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8" autoFilterDateGrouping="1"/>
  </bookViews>
  <sheets>
    <sheet xmlns:r="http://schemas.openxmlformats.org/officeDocument/2006/relationships" name="계좌현황" sheetId="1" state="visible" r:id="rId1"/>
    <sheet xmlns:r="http://schemas.openxmlformats.org/officeDocument/2006/relationships" name="금액순" sheetId="2" state="visible" r:id="rId2"/>
    <sheet xmlns:r="http://schemas.openxmlformats.org/officeDocument/2006/relationships" name="IMPORTXML함수" sheetId="3" state="hidden" r:id="rId3"/>
    <sheet xmlns:r="http://schemas.openxmlformats.org/officeDocument/2006/relationships" name="올해수익률 계산시트" sheetId="4" state="hidden" r:id="rId4"/>
    <sheet xmlns:r="http://schemas.openxmlformats.org/officeDocument/2006/relationships" name="8.거래내역" sheetId="5" state="hidden" r:id="rId5"/>
    <sheet xmlns:r="http://schemas.openxmlformats.org/officeDocument/2006/relationships" name="인덱스" sheetId="6" state="hidden" r:id="rId6"/>
    <sheet xmlns:r="http://schemas.openxmlformats.org/officeDocument/2006/relationships" name="지수RAW" sheetId="7" state="hidden" r:id="rId7"/>
    <sheet xmlns:r="http://schemas.openxmlformats.org/officeDocument/2006/relationships" name="드롭박스" sheetId="8" state="hidden" r:id="rId8"/>
    <sheet xmlns:r="http://schemas.openxmlformats.org/officeDocument/2006/relationships" name="월별배당" sheetId="9" state="visible" r:id="rId9"/>
  </sheets>
  <definedNames>
    <definedName name="_xlnm._FilterDatabase" localSheetId="1" hidden="1">'금액순'!$A$19:$I$95</definedName>
    <definedName name="_xlnm._FilterDatabase" localSheetId="8" hidden="1">'월별배당'!$A$43:$H$363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.0%"/>
    <numFmt numFmtId="165" formatCode="[$₩]#,##0"/>
    <numFmt numFmtId="166" formatCode="[$₩-412]#,##0"/>
    <numFmt numFmtId="167" formatCode="[$$]#,##0.00"/>
    <numFmt numFmtId="168" formatCode="yyyy&quot;/&quot;mm&quot;/&quot;dd"/>
    <numFmt numFmtId="169" formatCode="000000"/>
    <numFmt numFmtId="170" formatCode="m/d/yyyy\ h:mm:ss"/>
    <numFmt numFmtId="171" formatCode="#,##0.##"/>
    <numFmt numFmtId="172" formatCode="\₩#,##0;[Blue]\▼\₩#,##0"/>
    <numFmt numFmtId="173" formatCode="0%;[Blue]\▼0%"/>
    <numFmt numFmtId="174" formatCode="\$#,##0.00_);[Red]\(\$#,##0.00\)"/>
    <numFmt numFmtId="175" formatCode="yyyy\-mm\-dd"/>
    <numFmt numFmtId="176" formatCode="0.0000"/>
    <numFmt numFmtId="177" formatCode="YYYY-MM-DD"/>
    <numFmt numFmtId="178" formatCode="yyyy-mm-dd"/>
  </numFmts>
  <fonts count="32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8"/>
      <scheme val="minor"/>
    </font>
    <font>
      <name val="Arial"/>
      <family val="2"/>
      <b val="1"/>
      <color theme="1"/>
      <sz val="10"/>
    </font>
    <font>
      <name val="Arial"/>
      <family val="2"/>
      <color rgb="FFFF0000"/>
      <sz val="8"/>
      <scheme val="minor"/>
    </font>
    <font>
      <name val="Arial"/>
      <family val="2"/>
      <color rgb="FFFFFFFF"/>
      <sz val="10"/>
      <scheme val="minor"/>
    </font>
    <font>
      <name val="Arial"/>
      <family val="2"/>
      <color theme="1"/>
      <sz val="10"/>
    </font>
    <font>
      <name val="Arial"/>
      <family val="2"/>
      <color rgb="FF0000FF"/>
      <sz val="10"/>
      <u val="single"/>
    </font>
    <font>
      <name val="Arial"/>
      <family val="2"/>
      <color rgb="FFFFF2CC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  <scheme val="minor"/>
    </font>
    <font>
      <name val="Arial"/>
      <family val="3"/>
      <color theme="1"/>
      <sz val="10"/>
    </font>
    <font>
      <name val="Arial"/>
      <b val="1"/>
      <color rgb="FF1F4E79"/>
      <sz val="14"/>
    </font>
    <font>
      <name val="Arial"/>
      <color rgb="FF666666"/>
      <sz val="10"/>
    </font>
    <font>
      <name val="Arial"/>
      <b val="1"/>
      <color rgb="FF1F4E79"/>
      <sz val="12"/>
    </font>
    <font>
      <name val="Arial"/>
      <b val="1"/>
      <sz val="10"/>
    </font>
    <font>
      <name val="Arial"/>
      <b val="1"/>
      <color rgb="FFFFFFFF"/>
      <sz val="10"/>
    </font>
    <font>
      <name val="Arial"/>
      <color rgb="FF999999"/>
      <sz val="8"/>
    </font>
    <font>
      <name val="Arial"/>
      <color rgb="FFAAAAAA"/>
      <sz val="8"/>
    </font>
    <font>
      <name val="Arial"/>
      <color rgb="FF888888"/>
      <sz val="9"/>
    </font>
    <font>
      <name val="Arial"/>
      <charset val="129"/>
      <family val="2"/>
      <color theme="1"/>
      <sz val="10"/>
    </font>
    <font>
      <name val="맑은 고딕"/>
      <charset val="129"/>
      <family val="2"/>
      <color theme="1"/>
      <sz val="10"/>
    </font>
    <font>
      <b val="1"/>
      <color rgb="001F4E79"/>
      <sz val="14"/>
    </font>
    <font>
      <color rgb="00666666"/>
      <sz val="10"/>
    </font>
    <font>
      <b val="1"/>
      <color rgb="001F4E79"/>
      <sz val="12"/>
    </font>
    <font>
      <b val="1"/>
    </font>
    <font>
      <b val="1"/>
      <color rgb="00FFFFFF"/>
    </font>
    <font>
      <color rgb="00999999"/>
      <sz val="8"/>
    </font>
    <font>
      <color rgb="00AAAAAA"/>
      <sz val="8"/>
    </font>
    <font>
      <color rgb="00888888"/>
      <sz val="9"/>
    </font>
  </fonts>
  <fills count="30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"/>
        <bgColor rgb="FFFFF2CC"/>
      </patternFill>
    </fill>
    <fill>
      <patternFill patternType="solid">
        <fgColor theme="7" tint="0.5999938962981048"/>
        <bgColor rgb="FF00FFFF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6EAF8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5">
    <xf numFmtId="0" fontId="0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1" fillId="2" borderId="7" pivotButton="0" quotePrefix="0" xfId="0"/>
    <xf numFmtId="0" fontId="3" fillId="2" borderId="7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0" fontId="8" fillId="0" borderId="0" pivotButton="0" quotePrefix="0" xfId="0"/>
    <xf numFmtId="2" fontId="1" fillId="0" borderId="7" applyAlignment="1" pivotButton="0" quotePrefix="0" xfId="0">
      <alignment horizontal="center" vertical="center"/>
    </xf>
    <xf numFmtId="166" fontId="1" fillId="0" borderId="7" applyAlignment="1" pivotButton="0" quotePrefix="0" xfId="0">
      <alignment horizontal="center" vertical="center"/>
    </xf>
    <xf numFmtId="1" fontId="1" fillId="0" borderId="7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" fontId="1" fillId="3" borderId="7" applyAlignment="1" pivotButton="0" quotePrefix="0" xfId="0">
      <alignment horizontal="right" vertical="center"/>
    </xf>
    <xf numFmtId="1" fontId="1" fillId="3" borderId="8" applyAlignment="1" pivotButton="0" quotePrefix="0" xfId="0">
      <alignment horizontal="right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2" fontId="1" fillId="0" borderId="11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" fontId="1" fillId="0" borderId="8" applyAlignment="1" pivotButton="0" quotePrefix="0" xfId="0">
      <alignment horizontal="right" vertical="center"/>
    </xf>
    <xf numFmtId="4" fontId="1" fillId="0" borderId="0" applyAlignment="1" pivotButton="0" quotePrefix="0" xfId="0">
      <alignment horizontal="center" vertical="center"/>
    </xf>
    <xf numFmtId="2" fontId="1" fillId="0" borderId="10" applyAlignment="1" pivotButton="0" quotePrefix="0" xfId="0">
      <alignment horizontal="center" vertical="center"/>
    </xf>
    <xf numFmtId="1" fontId="1" fillId="0" borderId="0" applyAlignment="1" pivotButton="0" quotePrefix="0" xfId="0">
      <alignment horizontal="right" vertical="center"/>
    </xf>
    <xf numFmtId="1" fontId="1" fillId="0" borderId="5" applyAlignment="1" pivotButton="0" quotePrefix="0" xfId="0">
      <alignment horizontal="right" vertical="center"/>
    </xf>
    <xf numFmtId="2" fontId="1" fillId="0" borderId="9" applyAlignment="1" pivotButton="0" quotePrefix="0" xfId="0">
      <alignment horizontal="center" vertical="center"/>
    </xf>
    <xf numFmtId="165" fontId="1" fillId="5" borderId="2" applyAlignment="1" pivotButton="0" quotePrefix="0" xfId="0">
      <alignment horizontal="right" vertical="center"/>
    </xf>
    <xf numFmtId="1" fontId="1" fillId="0" borderId="2" applyAlignment="1" pivotButton="0" quotePrefix="0" xfId="0">
      <alignment horizontal="right" vertical="center"/>
    </xf>
    <xf numFmtId="1" fontId="1" fillId="0" borderId="3" applyAlignment="1" pivotButton="0" quotePrefix="0" xfId="0">
      <alignment horizontal="right" vertical="center"/>
    </xf>
    <xf numFmtId="2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2" fontId="1" fillId="6" borderId="1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8" fontId="7" fillId="5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9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0" fontId="4" fillId="6" borderId="6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8" applyAlignment="1" pivotButton="0" quotePrefix="0" xfId="0">
      <alignment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3" fontId="7" fillId="5" borderId="0" applyAlignment="1" pivotButton="0" quotePrefix="0" xfId="0">
      <alignment horizontal="right" vertical="center"/>
    </xf>
    <xf numFmtId="166" fontId="7" fillId="5" borderId="5" applyAlignment="1" pivotButton="0" quotePrefix="0" xfId="0">
      <alignment horizontal="right" vertical="center"/>
    </xf>
    <xf numFmtId="14" fontId="1" fillId="0" borderId="0" pivotButton="0" quotePrefix="0" xfId="0"/>
    <xf numFmtId="170" fontId="1" fillId="0" borderId="0" pivotButton="0" quotePrefix="0" xfId="0"/>
    <xf numFmtId="1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1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right" vertical="center"/>
    </xf>
    <xf numFmtId="169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9" fontId="2" fillId="3" borderId="5" applyAlignment="1" pivotButton="0" quotePrefix="0" xfId="0">
      <alignment horizontal="right" vertical="center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0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 vertic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0" fontId="7" fillId="0" borderId="12" applyAlignment="1" pivotButton="0" quotePrefix="0" xfId="0">
      <alignment horizontal="right"/>
    </xf>
    <xf numFmtId="173" fontId="7" fillId="0" borderId="12" pivotButton="0" quotePrefix="0" xfId="0"/>
    <xf numFmtId="2" fontId="7" fillId="0" borderId="12" pivotButton="0" quotePrefix="0" xfId="0"/>
    <xf numFmtId="49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49" fontId="7" fillId="8" borderId="12" applyAlignment="1" pivotButton="0" quotePrefix="0" xfId="0">
      <alignment horizontal="center"/>
    </xf>
    <xf numFmtId="0" fontId="7" fillId="8" borderId="12" applyAlignment="1" pivotButton="0" quotePrefix="0" xfId="0">
      <alignment horizontal="center"/>
    </xf>
    <xf numFmtId="3" fontId="7" fillId="8" borderId="12" applyAlignment="1" pivotButton="0" quotePrefix="0" xfId="0">
      <alignment horizont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0" fontId="1" fillId="9" borderId="12" applyAlignment="1" pivotButton="0" quotePrefix="0" xfId="0">
      <alignment horizontal="center" vertical="center"/>
    </xf>
    <xf numFmtId="166" fontId="1" fillId="10" borderId="12" applyAlignment="1" pivotButton="0" quotePrefix="0" xfId="0">
      <alignment horizontal="right" vertical="center"/>
    </xf>
    <xf numFmtId="49" fontId="7" fillId="10" borderId="12" applyAlignment="1" pivotButton="0" quotePrefix="0" xfId="0">
      <alignment horizontal="center"/>
    </xf>
    <xf numFmtId="0" fontId="7" fillId="10" borderId="12" applyAlignment="1" pivotButton="0" quotePrefix="0" xfId="0">
      <alignment horizontal="center"/>
    </xf>
    <xf numFmtId="3" fontId="7" fillId="10" borderId="12" applyAlignment="1" pivotButton="0" quotePrefix="0" xfId="0">
      <alignment horizontal="center"/>
    </xf>
    <xf numFmtId="166" fontId="7" fillId="10" borderId="12" pivotButton="0" quotePrefix="0" xfId="0"/>
    <xf numFmtId="167" fontId="7" fillId="10" borderId="12" pivotButton="0" quotePrefix="0" xfId="0"/>
    <xf numFmtId="0" fontId="1" fillId="8" borderId="12" applyAlignment="1" pivotButton="0" quotePrefix="0" xfId="0">
      <alignment horizontal="center" vertical="center"/>
    </xf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9" fontId="7" fillId="1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9" fontId="1" fillId="9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174" fontId="1" fillId="9" borderId="12" applyAlignment="1" pivotButton="0" quotePrefix="0" xfId="0">
      <alignment horizontal="center" vertical="center"/>
    </xf>
    <xf numFmtId="9" fontId="11" fillId="9" borderId="12" applyAlignment="1" pivotButton="0" quotePrefix="0" xfId="0">
      <alignment horizontal="center" vertical="center"/>
    </xf>
    <xf numFmtId="2" fontId="1" fillId="0" borderId="12" applyAlignment="1" pivotButton="0" quotePrefix="0" xfId="0">
      <alignment horizontal="center" vertical="center"/>
    </xf>
    <xf numFmtId="2" fontId="0" fillId="0" borderId="12" pivotButton="0" quotePrefix="0" xfId="0"/>
    <xf numFmtId="0" fontId="11" fillId="11" borderId="12" applyAlignment="1" pivotButton="0" quotePrefix="0" xfId="0">
      <alignment horizontal="center" vertical="center"/>
    </xf>
    <xf numFmtId="9" fontId="11" fillId="11" borderId="12" applyAlignment="1" pivotButton="0" quotePrefix="0" xfId="0">
      <alignment horizontal="center" vertical="center"/>
    </xf>
    <xf numFmtId="9" fontId="1" fillId="11" borderId="0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/>
    </xf>
    <xf numFmtId="0" fontId="14" fillId="0" borderId="0" pivotButton="0" quotePrefix="0" xfId="0"/>
    <xf numFmtId="3" fontId="16" fillId="0" borderId="0" pivotButton="0" quotePrefix="0" xfId="0"/>
    <xf numFmtId="0" fontId="17" fillId="0" borderId="0" pivotButton="0" quotePrefix="0" xfId="0"/>
    <xf numFmtId="0" fontId="18" fillId="12" borderId="13" applyAlignment="1" pivotButton="0" quotePrefix="0" xfId="0">
      <alignment horizontal="center"/>
    </xf>
    <xf numFmtId="0" fontId="0" fillId="13" borderId="13" pivotButton="0" quotePrefix="0" xfId="0"/>
    <xf numFmtId="3" fontId="0" fillId="13" borderId="13" pivotButton="0" quotePrefix="0" xfId="0"/>
    <xf numFmtId="164" fontId="0" fillId="13" borderId="13" pivotButton="0" quotePrefix="0" xfId="0"/>
    <xf numFmtId="0" fontId="0" fillId="14" borderId="13" pivotButton="0" quotePrefix="0" xfId="0"/>
    <xf numFmtId="3" fontId="0" fillId="14" borderId="13" pivotButton="0" quotePrefix="0" xfId="0"/>
    <xf numFmtId="164" fontId="0" fillId="14" borderId="13" pivotButton="0" quotePrefix="0" xfId="0"/>
    <xf numFmtId="0" fontId="0" fillId="15" borderId="13" pivotButton="0" quotePrefix="0" xfId="0"/>
    <xf numFmtId="3" fontId="0" fillId="15" borderId="13" pivotButton="0" quotePrefix="0" xfId="0"/>
    <xf numFmtId="164" fontId="0" fillId="15" borderId="13" pivotButton="0" quotePrefix="0" xfId="0"/>
    <xf numFmtId="0" fontId="0" fillId="16" borderId="13" pivotButton="0" quotePrefix="0" xfId="0"/>
    <xf numFmtId="3" fontId="0" fillId="16" borderId="13" pivotButton="0" quotePrefix="0" xfId="0"/>
    <xf numFmtId="164" fontId="0" fillId="16" borderId="13" pivotButton="0" quotePrefix="0" xfId="0"/>
    <xf numFmtId="0" fontId="0" fillId="17" borderId="13" pivotButton="0" quotePrefix="0" xfId="0"/>
    <xf numFmtId="3" fontId="0" fillId="17" borderId="13" pivotButton="0" quotePrefix="0" xfId="0"/>
    <xf numFmtId="164" fontId="0" fillId="17" borderId="13" pivotButton="0" quotePrefix="0" xfId="0"/>
    <xf numFmtId="0" fontId="0" fillId="18" borderId="13" pivotButton="0" quotePrefix="0" xfId="0"/>
    <xf numFmtId="3" fontId="0" fillId="18" borderId="13" pivotButton="0" quotePrefix="0" xfId="0"/>
    <xf numFmtId="164" fontId="0" fillId="18" borderId="13" pivotButton="0" quotePrefix="0" xfId="0"/>
    <xf numFmtId="0" fontId="0" fillId="19" borderId="13" pivotButton="0" quotePrefix="0" xfId="0"/>
    <xf numFmtId="3" fontId="0" fillId="19" borderId="13" pivotButton="0" quotePrefix="0" xfId="0"/>
    <xf numFmtId="164" fontId="0" fillId="19" borderId="13" pivotButton="0" quotePrefix="0" xfId="0"/>
    <xf numFmtId="0" fontId="0" fillId="20" borderId="13" pivotButton="0" quotePrefix="0" xfId="0"/>
    <xf numFmtId="3" fontId="0" fillId="20" borderId="13" pivotButton="0" quotePrefix="0" xfId="0"/>
    <xf numFmtId="164" fontId="0" fillId="20" borderId="13" pivotButton="0" quotePrefix="0" xfId="0"/>
    <xf numFmtId="0" fontId="0" fillId="0" borderId="13" pivotButton="0" quotePrefix="0" xfId="0"/>
    <xf numFmtId="3" fontId="0" fillId="0" borderId="13" pivotButton="0" quotePrefix="0" xfId="0"/>
    <xf numFmtId="164" fontId="0" fillId="0" borderId="13" pivotButton="0" quotePrefix="0" xfId="0"/>
    <xf numFmtId="0" fontId="20" fillId="0" borderId="0" pivotButton="0" quotePrefix="0" xfId="0"/>
    <xf numFmtId="0" fontId="18" fillId="12" borderId="13" applyAlignment="1" pivotButton="0" quotePrefix="0" xfId="0">
      <alignment horizontal="center" wrapText="1"/>
    </xf>
    <xf numFmtId="0" fontId="19" fillId="0" borderId="0" pivotButton="0" quotePrefix="0" xfId="0"/>
    <xf numFmtId="171" fontId="0" fillId="13" borderId="13" pivotButton="0" quotePrefix="0" xfId="0"/>
    <xf numFmtId="3" fontId="17" fillId="13" borderId="13" pivotButton="0" quotePrefix="0" xfId="0"/>
    <xf numFmtId="10" fontId="0" fillId="13" borderId="13" pivotButton="0" quotePrefix="0" xfId="0"/>
    <xf numFmtId="171" fontId="0" fillId="14" borderId="13" pivotButton="0" quotePrefix="0" xfId="0"/>
    <xf numFmtId="3" fontId="17" fillId="14" borderId="13" pivotButton="0" quotePrefix="0" xfId="0"/>
    <xf numFmtId="10" fontId="0" fillId="14" borderId="13" pivotButton="0" quotePrefix="0" xfId="0"/>
    <xf numFmtId="171" fontId="0" fillId="16" borderId="13" pivotButton="0" quotePrefix="0" xfId="0"/>
    <xf numFmtId="3" fontId="17" fillId="16" borderId="13" pivotButton="0" quotePrefix="0" xfId="0"/>
    <xf numFmtId="10" fontId="0" fillId="16" borderId="13" pivotButton="0" quotePrefix="0" xfId="0"/>
    <xf numFmtId="171" fontId="0" fillId="17" borderId="13" pivotButton="0" quotePrefix="0" xfId="0"/>
    <xf numFmtId="3" fontId="17" fillId="17" borderId="13" pivotButton="0" quotePrefix="0" xfId="0"/>
    <xf numFmtId="10" fontId="0" fillId="17" borderId="13" pivotButton="0" quotePrefix="0" xfId="0"/>
    <xf numFmtId="171" fontId="0" fillId="19" borderId="13" pivotButton="0" quotePrefix="0" xfId="0"/>
    <xf numFmtId="3" fontId="17" fillId="19" borderId="13" pivotButton="0" quotePrefix="0" xfId="0"/>
    <xf numFmtId="10" fontId="0" fillId="19" borderId="13" pivotButton="0" quotePrefix="0" xfId="0"/>
    <xf numFmtId="171" fontId="0" fillId="15" borderId="13" pivotButton="0" quotePrefix="0" xfId="0"/>
    <xf numFmtId="3" fontId="17" fillId="15" borderId="13" pivotButton="0" quotePrefix="0" xfId="0"/>
    <xf numFmtId="10" fontId="0" fillId="15" borderId="13" pivotButton="0" quotePrefix="0" xfId="0"/>
    <xf numFmtId="171" fontId="0" fillId="0" borderId="13" pivotButton="0" quotePrefix="0" xfId="0"/>
    <xf numFmtId="3" fontId="17" fillId="0" borderId="13" pivotButton="0" quotePrefix="0" xfId="0"/>
    <xf numFmtId="10" fontId="0" fillId="0" borderId="13" pivotButton="0" quotePrefix="0" xfId="0"/>
    <xf numFmtId="171" fontId="0" fillId="18" borderId="13" pivotButton="0" quotePrefix="0" xfId="0"/>
    <xf numFmtId="3" fontId="17" fillId="18" borderId="13" pivotButton="0" quotePrefix="0" xfId="0"/>
    <xf numFmtId="10" fontId="0" fillId="18" borderId="13" pivotButton="0" quotePrefix="0" xfId="0"/>
    <xf numFmtId="171" fontId="0" fillId="20" borderId="13" pivotButton="0" quotePrefix="0" xfId="0"/>
    <xf numFmtId="3" fontId="17" fillId="20" borderId="13" pivotButton="0" quotePrefix="0" xfId="0"/>
    <xf numFmtId="10" fontId="0" fillId="20" borderId="13" pivotButton="0" quotePrefix="0" xfId="0"/>
    <xf numFmtId="3" fontId="17" fillId="0" borderId="0" pivotButton="0" quotePrefix="0" xfId="0"/>
    <xf numFmtId="10" fontId="17" fillId="0" borderId="0" pivotButton="0" quotePrefix="0" xfId="0"/>
    <xf numFmtId="0" fontId="21" fillId="0" borderId="0" pivotButton="0" quotePrefix="0" xfId="0"/>
    <xf numFmtId="0" fontId="18" fillId="12" borderId="13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1" fillId="0" borderId="12" applyAlignment="1" pivotButton="0" quotePrefix="0" xfId="0">
      <alignment horizontal="center" vertical="center"/>
    </xf>
    <xf numFmtId="0" fontId="22" fillId="10" borderId="12" applyAlignment="1" pivotButton="0" quotePrefix="0" xfId="0">
      <alignment horizontal="center"/>
    </xf>
    <xf numFmtId="169" fontId="2" fillId="3" borderId="4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169" fontId="7" fillId="10" borderId="12" applyAlignment="1" pivotButton="0" quotePrefix="0" xfId="0">
      <alignment horizont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73" fontId="7" fillId="0" borderId="12" pivotButton="0" quotePrefix="0" xfId="0"/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166" fontId="1" fillId="10" borderId="12" applyAlignment="1" pivotButton="0" quotePrefix="0" xfId="0">
      <alignment horizontal="right" vertical="center"/>
    </xf>
    <xf numFmtId="166" fontId="7" fillId="10" borderId="12" pivotButton="0" quotePrefix="0" xfId="0"/>
    <xf numFmtId="167" fontId="7" fillId="10" borderId="12" pivotButton="0" quotePrefix="0" xfId="0"/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74" fontId="1" fillId="9" borderId="12" applyAlignment="1" pivotButton="0" quotePrefix="0" xfId="0">
      <alignment horizontal="center" vertical="center"/>
    </xf>
    <xf numFmtId="164" fontId="0" fillId="13" borderId="13" pivotButton="0" quotePrefix="0" xfId="0"/>
    <xf numFmtId="164" fontId="0" fillId="14" borderId="13" pivotButton="0" quotePrefix="0" xfId="0"/>
    <xf numFmtId="164" fontId="0" fillId="15" borderId="13" pivotButton="0" quotePrefix="0" xfId="0"/>
    <xf numFmtId="164" fontId="0" fillId="16" borderId="13" pivotButton="0" quotePrefix="0" xfId="0"/>
    <xf numFmtId="164" fontId="0" fillId="17" borderId="13" pivotButton="0" quotePrefix="0" xfId="0"/>
    <xf numFmtId="164" fontId="0" fillId="18" borderId="13" pivotButton="0" quotePrefix="0" xfId="0"/>
    <xf numFmtId="164" fontId="0" fillId="19" borderId="13" pivotButton="0" quotePrefix="0" xfId="0"/>
    <xf numFmtId="164" fontId="0" fillId="20" borderId="13" pivotButton="0" quotePrefix="0" xfId="0"/>
    <xf numFmtId="164" fontId="0" fillId="0" borderId="13" pivotButton="0" quotePrefix="0" xfId="0"/>
    <xf numFmtId="171" fontId="0" fillId="13" borderId="13" pivotButton="0" quotePrefix="0" xfId="0"/>
    <xf numFmtId="171" fontId="0" fillId="14" borderId="13" pivotButton="0" quotePrefix="0" xfId="0"/>
    <xf numFmtId="171" fontId="0" fillId="16" borderId="13" pivotButton="0" quotePrefix="0" xfId="0"/>
    <xf numFmtId="171" fontId="0" fillId="17" borderId="13" pivotButton="0" quotePrefix="0" xfId="0"/>
    <xf numFmtId="171" fontId="0" fillId="19" borderId="13" pivotButton="0" quotePrefix="0" xfId="0"/>
    <xf numFmtId="171" fontId="0" fillId="15" borderId="13" pivotButton="0" quotePrefix="0" xfId="0"/>
    <xf numFmtId="171" fontId="0" fillId="0" borderId="13" pivotButton="0" quotePrefix="0" xfId="0"/>
    <xf numFmtId="171" fontId="0" fillId="18" borderId="13" pivotButton="0" quotePrefix="0" xfId="0"/>
    <xf numFmtId="171" fontId="0" fillId="20" borderId="13" pivotButton="0" quotePrefix="0" xfId="0"/>
    <xf numFmtId="166" fontId="1" fillId="0" borderId="7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165" fontId="1" fillId="5" borderId="2" applyAlignment="1" pivotButton="0" quotePrefix="0" xfId="0">
      <alignment horizontal="right"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169" fontId="7" fillId="5" borderId="0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168" fontId="7" fillId="5" borderId="4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170" fontId="1" fillId="0" borderId="0" pivotButton="0" quotePrefix="0" xfId="0"/>
    <xf numFmtId="164" fontId="1" fillId="0" borderId="0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24" fillId="0" borderId="0" pivotButton="0" quotePrefix="0" xfId="0"/>
    <xf numFmtId="0" fontId="25" fillId="0" borderId="0" pivotButton="0" quotePrefix="0" xfId="0"/>
    <xf numFmtId="3" fontId="26" fillId="0" borderId="0" pivotButton="0" quotePrefix="0" xfId="0"/>
    <xf numFmtId="0" fontId="27" fillId="0" borderId="0" pivotButton="0" quotePrefix="0" xfId="0"/>
    <xf numFmtId="0" fontId="28" fillId="21" borderId="16" applyAlignment="1" pivotButton="0" quotePrefix="0" xfId="0">
      <alignment horizontal="center"/>
    </xf>
    <xf numFmtId="0" fontId="0" fillId="22" borderId="16" pivotButton="0" quotePrefix="0" xfId="0"/>
    <xf numFmtId="3" fontId="0" fillId="22" borderId="16" pivotButton="0" quotePrefix="0" xfId="0"/>
    <xf numFmtId="164" fontId="0" fillId="22" borderId="16" pivotButton="0" quotePrefix="0" xfId="0"/>
    <xf numFmtId="0" fontId="0" fillId="23" borderId="16" pivotButton="0" quotePrefix="0" xfId="0"/>
    <xf numFmtId="3" fontId="0" fillId="23" borderId="16" pivotButton="0" quotePrefix="0" xfId="0"/>
    <xf numFmtId="164" fontId="0" fillId="23" borderId="16" pivotButton="0" quotePrefix="0" xfId="0"/>
    <xf numFmtId="0" fontId="0" fillId="24" borderId="16" pivotButton="0" quotePrefix="0" xfId="0"/>
    <xf numFmtId="3" fontId="0" fillId="24" borderId="16" pivotButton="0" quotePrefix="0" xfId="0"/>
    <xf numFmtId="164" fontId="0" fillId="24" borderId="16" pivotButton="0" quotePrefix="0" xfId="0"/>
    <xf numFmtId="0" fontId="0" fillId="25" borderId="16" pivotButton="0" quotePrefix="0" xfId="0"/>
    <xf numFmtId="3" fontId="0" fillId="25" borderId="16" pivotButton="0" quotePrefix="0" xfId="0"/>
    <xf numFmtId="164" fontId="0" fillId="25" borderId="16" pivotButton="0" quotePrefix="0" xfId="0"/>
    <xf numFmtId="0" fontId="0" fillId="26" borderId="16" pivotButton="0" quotePrefix="0" xfId="0"/>
    <xf numFmtId="3" fontId="0" fillId="26" borderId="16" pivotButton="0" quotePrefix="0" xfId="0"/>
    <xf numFmtId="164" fontId="0" fillId="26" borderId="16" pivotButton="0" quotePrefix="0" xfId="0"/>
    <xf numFmtId="0" fontId="0" fillId="27" borderId="16" pivotButton="0" quotePrefix="0" xfId="0"/>
    <xf numFmtId="3" fontId="0" fillId="27" borderId="16" pivotButton="0" quotePrefix="0" xfId="0"/>
    <xf numFmtId="164" fontId="0" fillId="27" borderId="16" pivotButton="0" quotePrefix="0" xfId="0"/>
    <xf numFmtId="0" fontId="0" fillId="28" borderId="16" pivotButton="0" quotePrefix="0" xfId="0"/>
    <xf numFmtId="3" fontId="0" fillId="28" borderId="16" pivotButton="0" quotePrefix="0" xfId="0"/>
    <xf numFmtId="164" fontId="0" fillId="28" borderId="16" pivotButton="0" quotePrefix="0" xfId="0"/>
    <xf numFmtId="0" fontId="0" fillId="29" borderId="16" pivotButton="0" quotePrefix="0" xfId="0"/>
    <xf numFmtId="3" fontId="0" fillId="29" borderId="16" pivotButton="0" quotePrefix="0" xfId="0"/>
    <xf numFmtId="164" fontId="0" fillId="29" borderId="16" pivotButton="0" quotePrefix="0" xfId="0"/>
    <xf numFmtId="0" fontId="0" fillId="0" borderId="16" pivotButton="0" quotePrefix="0" xfId="0"/>
    <xf numFmtId="3" fontId="0" fillId="0" borderId="16" pivotButton="0" quotePrefix="0" xfId="0"/>
    <xf numFmtId="164" fontId="0" fillId="0" borderId="16" pivotButton="0" quotePrefix="0" xfId="0"/>
    <xf numFmtId="0" fontId="30" fillId="0" borderId="0" pivotButton="0" quotePrefix="0" xfId="0"/>
    <xf numFmtId="0" fontId="28" fillId="21" borderId="16" applyAlignment="1" pivotButton="0" quotePrefix="0" xfId="0">
      <alignment horizontal="center" wrapText="1"/>
    </xf>
    <xf numFmtId="0" fontId="29" fillId="0" borderId="0" pivotButton="0" quotePrefix="0" xfId="0"/>
    <xf numFmtId="171" fontId="0" fillId="22" borderId="16" pivotButton="0" quotePrefix="0" xfId="0"/>
    <xf numFmtId="3" fontId="27" fillId="22" borderId="16" pivotButton="0" quotePrefix="0" xfId="0"/>
    <xf numFmtId="10" fontId="0" fillId="22" borderId="16" pivotButton="0" quotePrefix="0" xfId="0"/>
    <xf numFmtId="171" fontId="0" fillId="23" borderId="16" pivotButton="0" quotePrefix="0" xfId="0"/>
    <xf numFmtId="3" fontId="27" fillId="23" borderId="16" pivotButton="0" quotePrefix="0" xfId="0"/>
    <xf numFmtId="10" fontId="0" fillId="23" borderId="16" pivotButton="0" quotePrefix="0" xfId="0"/>
    <xf numFmtId="171" fontId="0" fillId="25" borderId="16" pivotButton="0" quotePrefix="0" xfId="0"/>
    <xf numFmtId="3" fontId="27" fillId="25" borderId="16" pivotButton="0" quotePrefix="0" xfId="0"/>
    <xf numFmtId="10" fontId="0" fillId="25" borderId="16" pivotButton="0" quotePrefix="0" xfId="0"/>
    <xf numFmtId="171" fontId="0" fillId="26" borderId="16" pivotButton="0" quotePrefix="0" xfId="0"/>
    <xf numFmtId="3" fontId="27" fillId="26" borderId="16" pivotButton="0" quotePrefix="0" xfId="0"/>
    <xf numFmtId="10" fontId="0" fillId="26" borderId="16" pivotButton="0" quotePrefix="0" xfId="0"/>
    <xf numFmtId="171" fontId="0" fillId="28" borderId="16" pivotButton="0" quotePrefix="0" xfId="0"/>
    <xf numFmtId="3" fontId="27" fillId="28" borderId="16" pivotButton="0" quotePrefix="0" xfId="0"/>
    <xf numFmtId="10" fontId="0" fillId="28" borderId="16" pivotButton="0" quotePrefix="0" xfId="0"/>
    <xf numFmtId="171" fontId="0" fillId="24" borderId="16" pivotButton="0" quotePrefix="0" xfId="0"/>
    <xf numFmtId="3" fontId="27" fillId="24" borderId="16" pivotButton="0" quotePrefix="0" xfId="0"/>
    <xf numFmtId="10" fontId="0" fillId="24" borderId="16" pivotButton="0" quotePrefix="0" xfId="0"/>
    <xf numFmtId="171" fontId="0" fillId="0" borderId="16" pivotButton="0" quotePrefix="0" xfId="0"/>
    <xf numFmtId="3" fontId="27" fillId="0" borderId="16" pivotButton="0" quotePrefix="0" xfId="0"/>
    <xf numFmtId="10" fontId="0" fillId="0" borderId="16" pivotButton="0" quotePrefix="0" xfId="0"/>
    <xf numFmtId="171" fontId="0" fillId="27" borderId="16" pivotButton="0" quotePrefix="0" xfId="0"/>
    <xf numFmtId="3" fontId="27" fillId="27" borderId="16" pivotButton="0" quotePrefix="0" xfId="0"/>
    <xf numFmtId="10" fontId="0" fillId="27" borderId="16" pivotButton="0" quotePrefix="0" xfId="0"/>
    <xf numFmtId="171" fontId="0" fillId="29" borderId="16" pivotButton="0" quotePrefix="0" xfId="0"/>
    <xf numFmtId="3" fontId="27" fillId="29" borderId="16" pivotButton="0" quotePrefix="0" xfId="0"/>
    <xf numFmtId="10" fontId="0" fillId="29" borderId="16" pivotButton="0" quotePrefix="0" xfId="0"/>
    <xf numFmtId="3" fontId="27" fillId="0" borderId="0" pivotButton="0" quotePrefix="0" xfId="0"/>
    <xf numFmtId="10" fontId="27" fillId="0" borderId="0" pivotButton="0" quotePrefix="0" xfId="0"/>
    <xf numFmtId="0" fontId="31" fillId="0" borderId="0" pivotButton="0" quotePrefix="0" xfId="0"/>
    <xf numFmtId="0" fontId="28" fillId="21" borderId="16" pivotButton="0" quotePrefix="0" xfId="0"/>
    <xf numFmtId="177" fontId="0" fillId="22" borderId="16" pivotButton="0" quotePrefix="0" xfId="0"/>
    <xf numFmtId="176" fontId="0" fillId="22" borderId="16" pivotButton="0" quotePrefix="0" xfId="0"/>
    <xf numFmtId="177" fontId="0" fillId="25" borderId="16" pivotButton="0" quotePrefix="0" xfId="0"/>
    <xf numFmtId="176" fontId="0" fillId="25" borderId="16" pivotButton="0" quotePrefix="0" xfId="0"/>
    <xf numFmtId="177" fontId="0" fillId="22" borderId="16" pivotButton="0" quotePrefix="0" xfId="0"/>
    <xf numFmtId="177" fontId="0" fillId="25" borderId="1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904892323242204"/>
          <y val="0.03680468423253869"/>
          <w val="0.5960144927536232"/>
          <h val="0.9631953157674613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6D01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46BDC6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7BAAF7"/>
              </a:solidFill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F07B72"/>
              </a:solidFill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FCD04F"/>
              </a:solidFill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71C287"/>
              </a:solidFill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FF994D"/>
              </a:solidFill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7ED1D7"/>
              </a:solidFill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B3CEFB"/>
              </a:solidFill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F7B4AE"/>
              </a:solidFill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FDE49B"/>
              </a:solidFill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EDCBA"/>
              </a:solidFill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599"/>
              </a:solidFill>
              <a:ln xmlns:a="http://schemas.openxmlformats.org/drawingml/2006/main"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B5E5E8"/>
              </a:solidFill>
              <a:ln xmlns:a="http://schemas.openxmlformats.org/drawingml/2006/main"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ECF3FE"/>
              </a:solidFill>
              <a:ln xmlns:a="http://schemas.openxmlformats.org/drawingml/2006/main"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FDECEB"/>
              </a:solidFill>
              <a:ln xmlns:a="http://schemas.openxmlformats.org/drawingml/2006/main"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FFF8E6"/>
              </a:solidFill>
              <a:ln xmlns:a="http://schemas.openxmlformats.org/drawingml/2006/main">
                <a:prstDash val="solid"/>
              </a:ln>
            </spPr>
          </dPt>
          <dPt>
            <idx val="21"/>
            <bubble3D val="0"/>
            <spPr>
              <a:solidFill xmlns:a="http://schemas.openxmlformats.org/drawingml/2006/main">
                <a:srgbClr val="EBF6EE"/>
              </a:solidFill>
              <a:ln xmlns:a="http://schemas.openxmlformats.org/drawingml/2006/main">
                <a:prstDash val="solid"/>
              </a:ln>
            </spPr>
          </dPt>
          <dPt>
            <idx val="22"/>
            <bubble3D val="0"/>
            <spPr>
              <a:solidFill xmlns:a="http://schemas.openxmlformats.org/drawingml/2006/main">
                <a:srgbClr val="FFF0E6"/>
              </a:solidFill>
              <a:ln xmlns:a="http://schemas.openxmlformats.org/drawingml/2006/main">
                <a:prstDash val="solid"/>
              </a:ln>
            </spPr>
          </dPt>
          <dPt>
            <idx val="23"/>
            <bubble3D val="0"/>
            <spPr>
              <a:solidFill xmlns:a="http://schemas.openxmlformats.org/drawingml/2006/main">
                <a:srgbClr val="EDF8F9"/>
              </a:solidFill>
              <a:ln xmlns:a="http://schemas.openxmlformats.org/drawingml/2006/main">
                <a:prstDash val="solid"/>
              </a:ln>
            </spPr>
          </dPt>
          <dPt>
            <idx val="24"/>
            <bubble3D val="0"/>
            <spPr>
              <a:solidFill xmlns:a="http://schemas.openxmlformats.org/drawingml/2006/main">
                <a:srgbClr val="251701"/>
              </a:solidFill>
              <a:ln xmlns:a="http://schemas.openxmlformats.org/drawingml/2006/main">
                <a:prstDash val="solid"/>
              </a:ln>
            </spPr>
          </dPt>
          <dPt>
            <idx val="25"/>
            <bubble3D val="0"/>
            <spPr>
              <a:solidFill xmlns:a="http://schemas.openxmlformats.org/drawingml/2006/main">
                <a:srgbClr val="032527"/>
              </a:solidFill>
              <a:ln xmlns:a="http://schemas.openxmlformats.org/drawingml/2006/main">
                <a:prstDash val="solid"/>
              </a:ln>
            </spPr>
          </dPt>
          <dPt>
            <idx val="26"/>
            <bubble3D val="0"/>
            <spPr>
              <a:solidFill xmlns:a="http://schemas.openxmlformats.org/drawingml/2006/main">
                <a:srgbClr val="000C31"/>
              </a:solidFill>
              <a:ln xmlns:a="http://schemas.openxmlformats.org/drawingml/2006/main">
                <a:prstDash val="solid"/>
              </a:ln>
            </spPr>
          </dPt>
          <dPt>
            <idx val="27"/>
            <bubble3D val="0"/>
            <spPr>
              <a:solidFill xmlns:a="http://schemas.openxmlformats.org/drawingml/2006/main">
                <a:srgbClr val="281021"/>
              </a:solidFill>
              <a:ln xmlns:a="http://schemas.openxmlformats.org/drawingml/2006/main">
                <a:prstDash val="solid"/>
              </a:ln>
            </spPr>
          </dPt>
          <dPt>
            <idx val="28"/>
            <bubble3D val="0"/>
            <spPr>
              <a:solidFill xmlns:a="http://schemas.openxmlformats.org/drawingml/2006/main">
                <a:srgbClr val="FF1C32"/>
              </a:solidFill>
              <a:ln xmlns:a="http://schemas.openxmlformats.org/drawingml/2006/main">
                <a:prstDash val="solid"/>
              </a:ln>
            </spPr>
          </dPt>
          <dPt>
            <idx val="29"/>
            <bubble3D val="0"/>
            <spPr>
              <a:solidFill xmlns:a="http://schemas.openxmlformats.org/drawingml/2006/main">
                <a:srgbClr val="240C0A"/>
              </a:solidFill>
              <a:ln xmlns:a="http://schemas.openxmlformats.org/drawingml/2006/main">
                <a:prstDash val="solid"/>
              </a:ln>
            </spPr>
          </dPt>
          <dPt>
            <idx val="30"/>
            <bubble3D val="0"/>
            <spPr>
              <a:solidFill xmlns:a="http://schemas.openxmlformats.org/drawingml/2006/main">
                <a:srgbClr val="5E3C05"/>
              </a:solidFill>
              <a:ln xmlns:a="http://schemas.openxmlformats.org/drawingml/2006/main">
                <a:prstDash val="solid"/>
              </a:ln>
            </spPr>
          </dPt>
          <dPt>
            <idx val="31"/>
            <bubble3D val="0"/>
            <spPr>
              <a:solidFill xmlns:a="http://schemas.openxmlformats.org/drawingml/2006/main">
                <a:srgbClr val="0A5D64"/>
              </a:solidFill>
              <a:ln xmlns:a="http://schemas.openxmlformats.org/drawingml/2006/main">
                <a:prstDash val="solid"/>
              </a:ln>
            </spPr>
          </dPt>
          <dPt>
            <idx val="32"/>
            <bubble3D val="0"/>
            <spPr>
              <a:solidFill xmlns:a="http://schemas.openxmlformats.org/drawingml/2006/main">
                <a:srgbClr val="01217D"/>
              </a:solidFill>
              <a:ln xmlns:a="http://schemas.openxmlformats.org/drawingml/2006/main">
                <a:prstDash val="solid"/>
              </a:ln>
            </spPr>
          </dPt>
          <dPt>
            <idx val="33"/>
            <bubble3D val="0"/>
            <spPr>
              <a:solidFill xmlns:a="http://schemas.openxmlformats.org/drawingml/2006/main">
                <a:srgbClr val="652B55"/>
              </a:solidFill>
              <a:ln xmlns:a="http://schemas.openxmlformats.org/drawingml/2006/main">
                <a:prstDash val="solid"/>
              </a:ln>
            </spPr>
          </dPt>
          <dPt>
            <idx val="34"/>
            <bubble3D val="0"/>
            <spPr>
              <a:solidFill xmlns:a="http://schemas.openxmlformats.org/drawingml/2006/main">
                <a:srgbClr val="FF487E"/>
              </a:solidFill>
              <a:ln xmlns:a="http://schemas.openxmlformats.org/drawingml/2006/main">
                <a:prstDash val="solid"/>
              </a:ln>
            </spPr>
          </dPt>
          <dPt>
            <idx val="35"/>
            <bubble3D val="0"/>
            <spPr>
              <a:solidFill xmlns:a="http://schemas.openxmlformats.org/drawingml/2006/main">
                <a:srgbClr val="5C201C"/>
              </a:solidFill>
              <a:ln xmlns:a="http://schemas.openxmlformats.org/drawingml/2006/main">
                <a:prstDash val="solid"/>
              </a:ln>
            </spPr>
          </dPt>
          <dPt>
            <idx val="36"/>
            <bubble3D val="0"/>
            <spPr>
              <a:solidFill xmlns:a="http://schemas.openxmlformats.org/drawingml/2006/main">
                <a:srgbClr val="966108"/>
              </a:solidFill>
              <a:ln xmlns:a="http://schemas.openxmlformats.org/drawingml/2006/main">
                <a:prstDash val="solid"/>
              </a:ln>
            </spPr>
          </dPt>
          <dPt>
            <idx val="37"/>
            <bubble3D val="0"/>
            <spPr>
              <a:solidFill xmlns:a="http://schemas.openxmlformats.org/drawingml/2006/main">
                <a:srgbClr val="1095A1"/>
              </a:solidFill>
              <a:ln xmlns:a="http://schemas.openxmlformats.org/drawingml/2006/main">
                <a:prstDash val="solid"/>
              </a:ln>
            </spPr>
          </dPt>
          <dPt>
            <idx val="38"/>
            <bubble3D val="0"/>
            <spPr>
              <a:solidFill xmlns:a="http://schemas.openxmlformats.org/drawingml/2006/main">
                <a:srgbClr val="0235C8"/>
              </a:solidFill>
              <a:ln xmlns:a="http://schemas.openxmlformats.org/drawingml/2006/main">
                <a:prstDash val="solid"/>
              </a:ln>
            </spPr>
          </dPt>
          <dPt>
            <idx val="39"/>
            <bubble3D val="0"/>
            <spPr>
              <a:solidFill xmlns:a="http://schemas.openxmlformats.org/drawingml/2006/main">
                <a:srgbClr val="A14589"/>
              </a:solidFill>
              <a:ln xmlns:a="http://schemas.openxmlformats.org/drawingml/2006/main">
                <a:prstDash val="solid"/>
              </a:ln>
            </spPr>
          </dPt>
          <dPt>
            <idx val="40"/>
            <bubble3D val="0"/>
            <spPr>
              <a:solidFill xmlns:a="http://schemas.openxmlformats.org/drawingml/2006/main">
                <a:srgbClr val="FF74CA"/>
              </a:solidFill>
              <a:ln xmlns:a="http://schemas.openxmlformats.org/drawingml/2006/main">
                <a:prstDash val="solid"/>
              </a:ln>
            </spPr>
          </dPt>
          <dPt>
            <idx val="41"/>
            <bubble3D val="0"/>
            <spPr>
              <a:solidFill xmlns:a="http://schemas.openxmlformats.org/drawingml/2006/main">
                <a:srgbClr val="93342D"/>
              </a:solidFill>
              <a:ln xmlns:a="http://schemas.openxmlformats.org/drawingml/2006/main">
                <a:prstDash val="solid"/>
              </a:ln>
            </spPr>
          </dPt>
          <dPt>
            <idx val="42"/>
            <bubble3D val="0"/>
            <spPr>
              <a:solidFill xmlns:a="http://schemas.openxmlformats.org/drawingml/2006/main">
                <a:srgbClr val="CF850B"/>
              </a:solidFill>
              <a:ln xmlns:a="http://schemas.openxmlformats.org/drawingml/2006/main">
                <a:prstDash val="solid"/>
              </a:ln>
            </spPr>
          </dPt>
          <dPt>
            <idx val="43"/>
            <bubble3D val="0"/>
            <spPr>
              <a:solidFill xmlns:a="http://schemas.openxmlformats.org/drawingml/2006/main">
                <a:srgbClr val="16CEDD"/>
              </a:solidFill>
              <a:ln xmlns:a="http://schemas.openxmlformats.org/drawingml/2006/main">
                <a:prstDash val="solid"/>
              </a:ln>
            </spPr>
          </dPt>
          <dPt>
            <idx val="44"/>
            <bubble3D val="0"/>
            <spPr>
              <a:solidFill xmlns:a="http://schemas.openxmlformats.org/drawingml/2006/main">
                <a:srgbClr val="034913"/>
              </a:solidFill>
              <a:ln xmlns:a="http://schemas.openxmlformats.org/drawingml/2006/main">
                <a:prstDash val="solid"/>
              </a:ln>
            </spPr>
          </dPt>
          <dPt>
            <idx val="45"/>
            <bubble3D val="0"/>
            <spPr>
              <a:solidFill xmlns:a="http://schemas.openxmlformats.org/drawingml/2006/main">
                <a:srgbClr val="DE5FBC"/>
              </a:solidFill>
              <a:ln xmlns:a="http://schemas.openxmlformats.org/drawingml/2006/main">
                <a:prstDash val="solid"/>
              </a:ln>
            </spPr>
          </dPt>
          <dPt>
            <idx val="46"/>
            <bubble3D val="0"/>
            <spPr>
              <a:solidFill xmlns:a="http://schemas.openxmlformats.org/drawingml/2006/main">
                <a:srgbClr val="FFA016"/>
              </a:solidFill>
              <a:ln xmlns:a="http://schemas.openxmlformats.org/drawingml/2006/main">
                <a:prstDash val="solid"/>
              </a:ln>
            </spPr>
          </dPt>
          <dPt>
            <idx val="47"/>
            <bubble3D val="0"/>
            <spPr>
              <a:solidFill xmlns:a="http://schemas.openxmlformats.org/drawingml/2006/main">
                <a:srgbClr val="CA483E"/>
              </a:solidFill>
              <a:ln xmlns:a="http://schemas.openxmlformats.org/drawingml/2006/main">
                <a:prstDash val="solid"/>
              </a:ln>
            </spPr>
          </dPt>
          <dPt>
            <idx val="48"/>
            <bubble3D val="0"/>
            <spPr>
              <a:solidFill xmlns:a="http://schemas.openxmlformats.org/drawingml/2006/main">
                <a:srgbClr val="08AA0E"/>
              </a:solidFill>
              <a:ln xmlns:a="http://schemas.openxmlformats.org/drawingml/2006/main">
                <a:prstDash val="solid"/>
              </a:ln>
            </spPr>
          </dPt>
          <dPt>
            <idx val="49"/>
            <bubble3D val="0"/>
            <spPr>
              <a:solidFill xmlns:a="http://schemas.openxmlformats.org/drawingml/2006/main">
                <a:srgbClr val="1C061A"/>
              </a:solidFill>
              <a:ln xmlns:a="http://schemas.openxmlformats.org/drawingml/2006/main">
                <a:prstDash val="solid"/>
              </a:ln>
            </spPr>
          </dPt>
          <dPt>
            <idx val="50"/>
            <bubble3D val="0"/>
            <spPr>
              <a:solidFill xmlns:a="http://schemas.openxmlformats.org/drawingml/2006/main">
                <a:srgbClr val="055D5E"/>
              </a:solidFill>
              <a:ln xmlns:a="http://schemas.openxmlformats.org/drawingml/2006/main">
                <a:prstDash val="solid"/>
              </a:ln>
            </spPr>
          </dPt>
          <dPt>
            <idx val="51"/>
            <bubble3D val="0"/>
            <spPr>
              <a:solidFill xmlns:a="http://schemas.openxmlformats.org/drawingml/2006/main">
                <a:srgbClr val="1B79F0"/>
              </a:solidFill>
              <a:ln xmlns:a="http://schemas.openxmlformats.org/drawingml/2006/main">
                <a:prstDash val="solid"/>
              </a:ln>
            </spPr>
          </dPt>
          <dPt>
            <idx val="52"/>
            <bubble3D val="0"/>
            <spPr>
              <a:solidFill xmlns:a="http://schemas.openxmlformats.org/drawingml/2006/main">
                <a:srgbClr val="FFCB63"/>
              </a:solidFill>
              <a:ln xmlns:a="http://schemas.openxmlformats.org/drawingml/2006/main">
                <a:prstDash val="solid"/>
              </a:ln>
            </spPr>
          </dPt>
          <dPt>
            <idx val="53"/>
            <bubble3D val="0"/>
            <spPr>
              <a:solidFill xmlns:a="http://schemas.openxmlformats.org/drawingml/2006/main">
                <a:srgbClr val="025B4F"/>
              </a:solidFill>
              <a:ln xmlns:a="http://schemas.openxmlformats.org/drawingml/2006/main">
                <a:prstDash val="solid"/>
              </a:ln>
            </spPr>
          </dPt>
          <dPt>
            <idx val="54"/>
            <bubble3D val="0"/>
            <spPr>
              <a:solidFill xmlns:a="http://schemas.openxmlformats.org/drawingml/2006/main">
                <a:srgbClr val="40CE12"/>
              </a:solidFill>
              <a:ln xmlns:a="http://schemas.openxmlformats.org/drawingml/2006/main">
                <a:prstDash val="solid"/>
              </a:ln>
            </spPr>
          </dPt>
          <dPt>
            <idx val="55"/>
            <bubble3D val="0"/>
            <spPr>
              <a:solidFill xmlns:a="http://schemas.openxmlformats.org/drawingml/2006/main">
                <a:srgbClr val="233F56"/>
              </a:solidFill>
              <a:ln xmlns:a="http://schemas.openxmlformats.org/drawingml/2006/main">
                <a:prstDash val="solid"/>
              </a:ln>
            </spPr>
          </dPt>
          <dPt>
            <idx val="56"/>
            <bubble3D val="0"/>
            <spPr>
              <a:solidFill xmlns:a="http://schemas.openxmlformats.org/drawingml/2006/main">
                <a:srgbClr val="0671AA"/>
              </a:solidFill>
              <a:ln xmlns:a="http://schemas.openxmlformats.org/drawingml/2006/main">
                <a:prstDash val="solid"/>
              </a:ln>
            </spPr>
          </dPt>
          <dPt>
            <idx val="57"/>
            <bubble3D val="0"/>
            <spPr>
              <a:solidFill xmlns:a="http://schemas.openxmlformats.org/drawingml/2006/main">
                <a:srgbClr val="589323"/>
              </a:solidFill>
              <a:ln xmlns:a="http://schemas.openxmlformats.org/drawingml/2006/main">
                <a:prstDash val="solid"/>
              </a:ln>
            </spPr>
          </dPt>
          <dPt>
            <idx val="58"/>
            <bubble3D val="0"/>
            <spPr>
              <a:solidFill xmlns:a="http://schemas.openxmlformats.org/drawingml/2006/main">
                <a:srgbClr val="FFF7AF"/>
              </a:solidFill>
              <a:ln xmlns:a="http://schemas.openxmlformats.org/drawingml/2006/main">
                <a:prstDash val="solid"/>
              </a:ln>
            </spPr>
          </dPt>
          <dPt>
            <idx val="59"/>
            <bubble3D val="0"/>
            <spPr>
              <a:solidFill xmlns:a="http://schemas.openxmlformats.org/drawingml/2006/main">
                <a:srgbClr val="3A6F60"/>
              </a:solidFill>
              <a:ln xmlns:a="http://schemas.openxmlformats.org/drawingml/2006/main">
                <a:prstDash val="solid"/>
              </a:ln>
            </spPr>
          </dPt>
          <dPt>
            <idx val="60"/>
            <bubble3D val="0"/>
            <spPr>
              <a:solidFill xmlns:a="http://schemas.openxmlformats.org/drawingml/2006/main">
                <a:srgbClr val="79F315"/>
              </a:solidFill>
              <a:ln xmlns:a="http://schemas.openxmlformats.org/drawingml/2006/main">
                <a:prstDash val="solid"/>
              </a:ln>
            </spPr>
          </dPt>
          <dPt>
            <idx val="61"/>
            <bubble3D val="0"/>
            <spPr>
              <a:solidFill xmlns:a="http://schemas.openxmlformats.org/drawingml/2006/main">
                <a:srgbClr val="297793"/>
              </a:solidFill>
              <a:ln xmlns:a="http://schemas.openxmlformats.org/drawingml/2006/main">
                <a:prstDash val="solid"/>
              </a:ln>
            </spPr>
          </dPt>
          <dPt>
            <idx val="62"/>
            <bubble3D val="0"/>
            <spPr>
              <a:solidFill xmlns:a="http://schemas.openxmlformats.org/drawingml/2006/main">
                <a:srgbClr val="0785F5"/>
              </a:solidFill>
              <a:ln xmlns:a="http://schemas.openxmlformats.org/drawingml/2006/main">
                <a:prstDash val="solid"/>
              </a:ln>
            </spPr>
          </dPt>
          <dPt>
            <idx val="63"/>
            <bubble3D val="0"/>
            <spPr>
              <a:solidFill xmlns:a="http://schemas.openxmlformats.org/drawingml/2006/main">
                <a:srgbClr val="95AD57"/>
              </a:solidFill>
              <a:ln xmlns:a="http://schemas.openxmlformats.org/drawingml/2006/main">
                <a:prstDash val="solid"/>
              </a:ln>
            </spPr>
          </dPt>
          <dPt>
            <idx val="64"/>
            <bubble3D val="0"/>
            <spPr>
              <a:solidFill xmlns:a="http://schemas.openxmlformats.org/drawingml/2006/main">
                <a:srgbClr val="FF23FB"/>
              </a:solidFill>
              <a:ln xmlns:a="http://schemas.openxmlformats.org/drawingml/2006/main">
                <a:prstDash val="solid"/>
              </a:ln>
            </spPr>
          </dPt>
          <dPt>
            <idx val="65"/>
            <bubble3D val="0"/>
            <spPr>
              <a:solidFill xmlns:a="http://schemas.openxmlformats.org/drawingml/2006/main">
                <a:srgbClr val="718371"/>
              </a:solidFill>
              <a:ln xmlns:a="http://schemas.openxmlformats.org/drawingml/2006/main">
                <a:prstDash val="solid"/>
              </a:ln>
            </spPr>
          </dPt>
          <dPt>
            <idx val="66"/>
            <bubble3D val="0"/>
            <spPr>
              <a:solidFill xmlns:a="http://schemas.openxmlformats.org/drawingml/2006/main">
                <a:srgbClr val="B21818"/>
              </a:solidFill>
              <a:ln xmlns:a="http://schemas.openxmlformats.org/drawingml/2006/main">
                <a:prstDash val="solid"/>
              </a:ln>
            </spPr>
          </dPt>
          <dPt>
            <idx val="67"/>
            <bubble3D val="0"/>
            <spPr>
              <a:solidFill xmlns:a="http://schemas.openxmlformats.org/drawingml/2006/main">
                <a:srgbClr val="2FAFD0"/>
              </a:solidFill>
              <a:ln xmlns:a="http://schemas.openxmlformats.org/drawingml/2006/main">
                <a:prstDash val="solid"/>
              </a:ln>
            </spPr>
          </dPt>
          <dPt>
            <idx val="68"/>
            <bubble3D val="0"/>
            <spPr>
              <a:solidFill xmlns:a="http://schemas.openxmlformats.org/drawingml/2006/main">
                <a:srgbClr val="089940"/>
              </a:solidFill>
              <a:ln xmlns:a="http://schemas.openxmlformats.org/drawingml/2006/main">
                <a:prstDash val="solid"/>
              </a:ln>
            </spPr>
          </dPt>
          <dPt>
            <idx val="69"/>
            <bubble3D val="0"/>
            <spPr>
              <a:solidFill xmlns:a="http://schemas.openxmlformats.org/drawingml/2006/main">
                <a:srgbClr val="D2C78B"/>
              </a:solidFill>
              <a:ln xmlns:a="http://schemas.openxmlformats.org/drawingml/2006/main">
                <a:prstDash val="solid"/>
              </a:ln>
            </spPr>
          </dPt>
          <dPt>
            <idx val="70"/>
            <bubble3D val="0"/>
            <spPr>
              <a:solidFill xmlns:a="http://schemas.openxmlformats.org/drawingml/2006/main">
                <a:srgbClr val="FF4F47"/>
              </a:solidFill>
              <a:ln xmlns:a="http://schemas.openxmlformats.org/drawingml/2006/main">
                <a:prstDash val="solid"/>
              </a:ln>
            </spPr>
          </dPt>
          <dPt>
            <idx val="71"/>
            <bubble3D val="0"/>
            <spPr>
              <a:solidFill xmlns:a="http://schemas.openxmlformats.org/drawingml/2006/main">
                <a:srgbClr val="A99782"/>
              </a:solidFill>
              <a:ln xmlns:a="http://schemas.openxmlformats.org/drawingml/2006/main">
                <a:prstDash val="solid"/>
              </a:ln>
            </spPr>
          </dPt>
          <dPt>
            <idx val="72"/>
            <bubble3D val="0"/>
            <spPr>
              <a:solidFill xmlns:a="http://schemas.openxmlformats.org/drawingml/2006/main">
                <a:srgbClr val="EA3C1C"/>
              </a:solidFill>
              <a:ln xmlns:a="http://schemas.openxmlformats.org/drawingml/2006/main">
                <a:prstDash val="solid"/>
              </a:ln>
            </spPr>
          </dPt>
          <dPt>
            <idx val="73"/>
            <bubble3D val="0"/>
            <spPr>
              <a:solidFill xmlns:a="http://schemas.openxmlformats.org/drawingml/2006/main">
                <a:srgbClr val="36E80C"/>
              </a:solidFill>
              <a:ln xmlns:a="http://schemas.openxmlformats.org/drawingml/2006/main">
                <a:prstDash val="solid"/>
              </a:ln>
            </spPr>
          </dPt>
          <cat>
            <strRef>
              <f>계좌현황!$E$9:$E$82</f>
              <strCache>
                <ptCount val="74"/>
                <pt idx="0">
                  <v xml:space="preserve">TIGER 미배당다우커버드콜2호 </v>
                </pt>
                <pt idx="1">
                  <v>SOL미국배당미국채혼합50</v>
                </pt>
                <pt idx="2">
                  <v>TIGER 미국배당다우존스타겟데일리커버드콜</v>
                </pt>
                <pt idx="3">
                  <v>KODEX금융고배당TOP10타겟위클리커버드콜</v>
                </pt>
                <pt idx="4">
                  <v>TIGER 미국테크TOP10채권혼합</v>
                </pt>
                <pt idx="5">
                  <v>KODEX iShares미국하이일드액티브</v>
                </pt>
                <pt idx="6">
                  <v>KODEX 미국30년국채타겟커버드콜(H)</v>
                </pt>
                <pt idx="7">
                  <v>TIGER리츠부동산인프라</v>
                </pt>
                <pt idx="8">
                  <v>KODEX 미국나스닥100</v>
                </pt>
                <pt idx="9">
                  <v xml:space="preserve">TIGER미국테크TOP10커버드콜 </v>
                </pt>
                <pt idx="10">
                  <v xml:space="preserve">TIGER 미배당다우커버드콜2호 </v>
                </pt>
                <pt idx="11">
                  <v>SOL 미국배당다우존스</v>
                </pt>
                <pt idx="12">
                  <v xml:space="preserve">SOL 미국 S&amp;P500  </v>
                </pt>
                <pt idx="13">
                  <v xml:space="preserve">미국S&amp;P500타겟데일리커버드콜 </v>
                </pt>
                <pt idx="14">
                  <v>ACE 미국나스닥100</v>
                </pt>
                <pt idx="15">
                  <v>TIGER미국S&amp;P500</v>
                </pt>
                <pt idx="16">
                  <v>KODEX 미국AI테크TOP10타겟커버드콜</v>
                </pt>
                <pt idx="17">
                  <v>TIGER 미배당다우커버드콜2호</v>
                </pt>
                <pt idx="18">
                  <v>TIGER미국테크TOP10커버드콜</v>
                </pt>
                <pt idx="19">
                  <v>ACE테슬라밸류체인액티브</v>
                </pt>
                <pt idx="20">
                  <v>SOL 미국 30년국채커버드콜(합성)</v>
                </pt>
                <pt idx="21">
                  <v>기아</v>
                </pt>
                <pt idx="22">
                  <v>KIWOOM 미국양자컴퓨팅</v>
                </pt>
                <pt idx="23">
                  <v>TIGER 미국30년국채커버드콜액티브(H)</v>
                </pt>
                <pt idx="24">
                  <v>TIGER KRX금현물</v>
                </pt>
                <pt idx="25">
                  <v>현대차3우B</v>
                </pt>
                <pt idx="26">
                  <v>TIGER 2차전지TOP10</v>
                </pt>
                <pt idx="27">
                  <v>TIGER 글로벌비만치료제 TOP2 Plus</v>
                </pt>
                <pt idx="28">
                  <v>RISE 글로벌리얼티인컴</v>
                </pt>
                <pt idx="29">
                  <v>삼성전자</v>
                </pt>
                <pt idx="30">
                  <v>삼성전자</v>
                </pt>
                <pt idx="31">
                  <v>KODEX 200타켓위클리커버드콜</v>
                </pt>
                <pt idx="32">
                  <v>테슬라</v>
                </pt>
                <pt idx="33">
                  <v>리얼티인컴</v>
                </pt>
                <pt idx="34">
                  <v>아이온큐</v>
                </pt>
                <pt idx="35">
                  <v>애플</v>
                </pt>
                <pt idx="36">
                  <v>기업은행</v>
                </pt>
                <pt idx="37">
                  <v>하이브</v>
                </pt>
                <pt idx="38">
                  <v>QLD</v>
                </pt>
                <pt idx="39">
                  <v>KB금융</v>
                </pt>
                <pt idx="40">
                  <v>CMA RP</v>
                </pt>
                <pt idx="41">
                  <v>KODEX 200커버드콜액티브</v>
                </pt>
                <pt idx="42">
                  <v>예수금(직투달러)</v>
                </pt>
                <pt idx="43">
                  <v>에스엠</v>
                </pt>
                <pt idx="44">
                  <v>현금성자산(삼성증권)</v>
                </pt>
                <pt idx="45">
                  <v>스페이스 X</v>
                </pt>
                <pt idx="46">
                  <v>아메리칸타워</v>
                </pt>
                <pt idx="47">
                  <v>엔비디아</v>
                </pt>
                <pt idx="48">
                  <v>SCHD</v>
                </pt>
                <pt idx="49">
                  <v>마이크로소프트</v>
                </pt>
                <pt idx="50">
                  <v>T-모바일</v>
                </pt>
                <pt idx="51">
                  <v>노보 노디스크</v>
                </pt>
                <pt idx="52">
                  <v>팔란티어</v>
                </pt>
                <pt idx="53">
                  <v>로켓랩</v>
                </pt>
                <pt idx="54">
                  <v>C3AI</v>
                </pt>
                <pt idx="55">
                  <v>나이키</v>
                </pt>
                <pt idx="56">
                  <v>TSMC</v>
                </pt>
                <pt idx="57">
                  <v>코인베이스 글로벌</v>
                </pt>
                <pt idx="58">
                  <v>센트러스 에너지</v>
                </pt>
                <pt idx="59">
                  <v>오라클</v>
                </pt>
                <pt idx="60">
                  <v>조비에비에이션</v>
                </pt>
                <pt idx="61">
                  <v>스타벅스</v>
                </pt>
                <pt idx="62">
                  <v>누스케일파워</v>
                </pt>
                <pt idx="63">
                  <v>더본코리아</v>
                </pt>
                <pt idx="64">
                  <v>오클로</v>
                </pt>
                <pt idx="65">
                  <v>미래에셋현금성자산</v>
                </pt>
                <pt idx="66">
                  <v>예수금(직투달러)</v>
                </pt>
                <pt idx="67">
                  <v>CMA RP</v>
                </pt>
                <pt idx="68">
                  <v>ACE미국나스닥100미국채혼합50액티브</v>
                </pt>
                <pt idx="69">
                  <v>TIGER 미국나스닥100</v>
                </pt>
                <pt idx="70">
                  <v>TIGER 미국테크TOP10 INDXX</v>
                </pt>
                <pt idx="71">
                  <v xml:space="preserve">SOL 미국 S&amp;P500 </v>
                </pt>
                <pt idx="72">
                  <v>새마을 예금</v>
                </pt>
                <pt idx="73">
                  <v>셰브론</v>
                </pt>
              </strCache>
            </strRef>
          </cat>
          <val>
            <numRef>
              <f>계좌현황!$L$9:$L$82</f>
              <numCache>
                <formatCode>0.00%</formatCode>
                <ptCount val="74"/>
                <pt idx="0">
                  <v>0.1308209338767765</v>
                </pt>
                <pt idx="1">
                  <v>0.05383416872273164</v>
                </pt>
                <pt idx="2">
                  <v>0.03790354790304439</v>
                </pt>
                <pt idx="3">
                  <v>0.03422210880355989</v>
                </pt>
                <pt idx="4">
                  <v>0.03435348311690969</v>
                </pt>
                <pt idx="5">
                  <v>0.02783291420002414</v>
                </pt>
                <pt idx="6">
                  <v>0.02787408423254322</v>
                </pt>
                <pt idx="7">
                  <v>0.02548474318359164</v>
                </pt>
                <pt idx="8">
                  <v>0.01341034920623936</v>
                </pt>
                <pt idx="9">
                  <v>0.0616019554241615</v>
                </pt>
                <pt idx="10">
                  <v>0.05668115042956821</v>
                </pt>
                <pt idx="11">
                  <v>0.02322217871681332</v>
                </pt>
                <pt idx="12">
                  <v>0.02533709807894687</v>
                </pt>
                <pt idx="13">
                  <v>0.006488132108330473</v>
                </pt>
                <pt idx="14">
                  <v>0.01350300643212137</v>
                </pt>
                <pt idx="15">
                  <v>0.007399253278598889</v>
                </pt>
                <pt idx="16">
                  <v>0.03365328440515931</v>
                </pt>
                <pt idx="17">
                  <v>0.02710351434844211</v>
                </pt>
                <pt idx="18">
                  <v>0.02456519694828526</v>
                </pt>
                <pt idx="19">
                  <v>0.01176177907324072</v>
                </pt>
                <pt idx="20">
                  <v>0.009750641474219264</v>
                </pt>
                <pt idx="21">
                  <v>0.005938592295521537</v>
                </pt>
                <pt idx="22">
                  <v>0.005846502082063442</v>
                </pt>
                <pt idx="23">
                  <v>0.003639172021188719</v>
                </pt>
                <pt idx="24">
                  <v>0.003410394834495872</v>
                </pt>
                <pt idx="25">
                  <v>0.003268949887443048</v>
                </pt>
                <pt idx="26">
                  <v>0.002230183126829924</v>
                </pt>
                <pt idx="27">
                  <v>0.001341723963982563</v>
                </pt>
                <pt idx="28">
                  <v>0.001332109405490084</v>
                </pt>
                <pt idx="29">
                  <v>0.01860971754361667</v>
                </pt>
                <pt idx="30">
                  <v>0.01488777403489334</v>
                </pt>
                <pt idx="31">
                  <v>0.01562766361631781</v>
                </pt>
                <pt idx="32">
                  <v>0.01012714859096579</v>
                </pt>
                <pt idx="33">
                  <v>0.005787484428265969</v>
                </pt>
                <pt idx="34">
                  <v>0.007326835566526401</v>
                </pt>
                <pt idx="35">
                  <v>0.004792189747580097</v>
                </pt>
                <pt idx="36">
                  <v>0.004501092537325428</v>
                </pt>
                <pt idx="37">
                  <v>0.003980427215886535</v>
                </pt>
                <pt idx="38">
                  <v>0.007046252905528236</v>
                </pt>
                <pt idx="39">
                  <v>0.0024923893938197</v>
                </pt>
                <pt idx="40">
                  <v>0.002712761237645852</v>
                </pt>
                <pt idx="41">
                  <v>0.01339184734431985</v>
                </pt>
                <pt idx="42">
                  <v>0.0005448249812405081</v>
                </pt>
                <pt idx="43">
                  <v>0.002171411056455382</v>
                </pt>
                <pt idx="44">
                  <v>0</v>
                </pt>
                <pt idx="45">
                  <v>0.001705671981994039</v>
                </pt>
                <pt idx="46">
                  <v>0.001527968825110674</v>
                </pt>
                <pt idx="47">
                  <v>0.001567547386580144</v>
                </pt>
                <pt idx="48">
                  <v>0.001441954226919892</v>
                </pt>
                <pt idx="49">
                  <v>0.001724469162182146</v>
                </pt>
                <pt idx="50">
                  <v>0.001271317394583637</v>
                </pt>
                <pt idx="51">
                  <v>0.0011980605032548</v>
                </pt>
                <pt idx="52">
                  <v>0.001211653633855459</v>
                </pt>
                <pt idx="53">
                  <v>0.0009777155468215833</v>
                </pt>
                <pt idx="54">
                  <v>0.0009159980969303278</v>
                </pt>
                <pt idx="55">
                  <v>0.0007088981535288016</v>
                </pt>
                <pt idx="56">
                  <v>0.0007420543468711779</v>
                </pt>
                <pt idx="57">
                  <v>0.0005168186147934165</v>
                </pt>
                <pt idx="58">
                  <v>0.0006619051366644307</v>
                </pt>
                <pt idx="59">
                  <v>0.0005239546000350198</v>
                </pt>
                <pt idx="60">
                  <v>0.0004686768936080184</v>
                </pt>
                <pt idx="61">
                  <v>0.0003748649385819923</v>
                </pt>
                <pt idx="62">
                  <v>0.0003268624591126537</v>
                </pt>
                <pt idx="63">
                  <v>0.0002937987200875002</v>
                </pt>
                <pt idx="64">
                  <v>0.0002317277277022949</v>
                </pt>
                <pt idx="65">
                  <v>2.514946627205902e-05</v>
                </pt>
                <pt idx="66">
                  <v>0</v>
                </pt>
                <pt idx="67">
                  <v>0.09729770486476359</v>
                </pt>
                <pt idx="68">
                  <v>0.01540004510718688</v>
                </pt>
                <pt idx="69">
                  <v>0.01324932384102589</v>
                </pt>
                <pt idx="70">
                  <v>0.01269075497168395</v>
                </pt>
                <pt idx="71">
                  <v>0.01060885175688644</v>
                </pt>
                <pt idx="72">
                  <v>0.003697907112492136</v>
                </pt>
                <pt idx="73">
                  <v>0.0003480963228559264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899710930679267"/>
          <y val="0.01102903358198106"/>
          <w val="0.1889325007642815"/>
          <h val="0.9549377681574884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계좌별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'금액순'!B6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'금액순'!$A$7:$A$15</f>
            </numRef>
          </cat>
          <val>
            <numRef>
              <f>'금액순'!$B$7:$B$15</f>
            </numRef>
          </val>
        </ser>
        <firstSliceAng val="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종목별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'금액순'!G19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'금액순'!$E$20:$E$95</f>
            </numRef>
          </cat>
          <val>
            <numRef>
              <f>'금액순'!$G$20:$G$95</f>
            </numRef>
          </val>
        </ser>
        <firstSliceAng val="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월별 배당·이자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'월별배당'!D6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'월별배당'!$A$7:$A$18</f>
            </numRef>
          </cat>
          <val>
            <numRef>
              <f>'월별배당'!$D$7:$D$18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707231</colOff>
      <row>92</row>
      <rowOff>23812</rowOff>
    </from>
    <ext cx="15651955" cy="1048940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sise.naver?code=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0000FF"/>
    <outlinePr summaryBelow="0"/>
    <pageSetUpPr/>
  </sheetPr>
  <dimension ref="A1:R1021"/>
  <sheetViews>
    <sheetView showGridLines="0" zoomScale="55" zoomScaleNormal="55" workbookViewId="0">
      <selection activeCell="G52" sqref="G52"/>
    </sheetView>
  </sheetViews>
  <sheetFormatPr baseColWidth="8" defaultColWidth="12.59765625" defaultRowHeight="15.75" customHeight="1"/>
  <cols>
    <col width="9.9296875" customWidth="1" style="202" min="1" max="1"/>
    <col outlineLevel="1" width="12.59765625" customWidth="1" style="202" min="2" max="2"/>
    <col width="41.59765625" customWidth="1" style="202" min="4" max="4"/>
    <col width="35.3984375" customWidth="1" style="202" min="5" max="5"/>
    <col width="14.59765625" customWidth="1" style="202" min="11" max="11"/>
    <col width="16" customWidth="1" style="202" min="13" max="13"/>
    <col width="22.796875" customWidth="1" style="202" min="14" max="14"/>
    <col width="14.1328125" customWidth="1" style="202" min="15" max="15"/>
    <col width="3.265625" customWidth="1" style="202" min="16" max="16"/>
  </cols>
  <sheetData>
    <row r="1" ht="12.75" customHeight="1" s="202">
      <c r="A1" s="201" t="n"/>
      <c r="B1" s="201" t="n"/>
      <c r="C1" s="201" t="n"/>
      <c r="D1" s="201" t="n"/>
      <c r="E1" s="201" t="n"/>
      <c r="F1" s="201" t="n"/>
      <c r="G1" s="201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</row>
    <row r="2" ht="13.15" customHeight="1" s="202">
      <c r="A2" s="201" t="n"/>
      <c r="B2" s="201" t="n"/>
      <c r="C2" s="201" t="n"/>
      <c r="D2" s="201" t="n"/>
      <c r="E2" s="201" t="n"/>
      <c r="F2" s="201" t="n"/>
      <c r="G2" s="201" t="n"/>
      <c r="H2" s="201" t="n"/>
      <c r="I2" s="201" t="n"/>
      <c r="J2" s="201" t="n"/>
      <c r="K2" s="201" t="n"/>
      <c r="L2" s="201" t="n"/>
      <c r="M2" s="1" t="n"/>
      <c r="N2" s="2" t="n"/>
      <c r="O2" s="201" t="n"/>
      <c r="P2" s="201" t="n"/>
      <c r="Q2" s="201" t="n"/>
      <c r="R2" s="201" t="n"/>
    </row>
    <row r="3" ht="22.5" customHeight="1" s="202">
      <c r="A3" s="201" t="n"/>
      <c r="B3" s="201" t="n"/>
      <c r="C3" s="4" t="inlineStr">
        <is>
          <t>종목별 실적 &amp; 비중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01" t="n"/>
      <c r="P3" s="201" t="n"/>
      <c r="Q3" s="201" t="n"/>
      <c r="R3" s="201" t="n"/>
    </row>
    <row r="4" ht="12.75" customHeight="1" s="202">
      <c r="A4" s="201" t="n"/>
      <c r="B4" s="201" t="n"/>
      <c r="C4" s="201" t="n"/>
      <c r="D4" s="201" t="n"/>
      <c r="E4" s="201" t="n"/>
      <c r="F4" s="201" t="n"/>
      <c r="G4" s="201" t="n"/>
      <c r="H4" s="201" t="n"/>
      <c r="I4" s="201" t="n"/>
      <c r="J4" s="201" t="n"/>
      <c r="K4" s="201" t="n"/>
      <c r="L4" s="201" t="n"/>
      <c r="M4" s="201" t="n"/>
      <c r="N4" s="201" t="n"/>
      <c r="O4" s="201" t="n"/>
      <c r="P4" s="201" t="n"/>
      <c r="Q4" s="201" t="n"/>
      <c r="R4" s="201" t="n"/>
    </row>
    <row r="5" ht="12.75" customHeight="1" s="202">
      <c r="A5" s="201" t="n"/>
      <c r="B5" s="201" t="n"/>
      <c r="C5" s="201" t="n"/>
      <c r="D5" s="201" t="n"/>
      <c r="E5" s="201" t="n"/>
      <c r="F5" s="201" t="n"/>
      <c r="G5" s="201" t="n"/>
      <c r="H5" s="201" t="n"/>
      <c r="I5" s="201" t="inlineStr">
        <is>
          <t>$1 = ￦1,379</t>
        </is>
      </c>
      <c r="J5" s="73" t="n">
        <v>1379.48</v>
      </c>
      <c r="K5" s="201" t="n"/>
      <c r="L5" s="201" t="n"/>
      <c r="M5" s="201" t="n"/>
      <c r="N5" s="201" t="n"/>
      <c r="O5" s="201" t="n"/>
      <c r="P5" s="201" t="n"/>
      <c r="Q5" s="201" t="n"/>
      <c r="R5" s="201" t="n"/>
    </row>
    <row r="6" ht="13.15" customHeight="1" s="202">
      <c r="A6" s="201" t="n"/>
      <c r="B6" s="201" t="n"/>
      <c r="C6" s="198" t="inlineStr">
        <is>
          <t>국가</t>
        </is>
      </c>
      <c r="D6" s="198" t="inlineStr">
        <is>
          <t>종목코드
(티커)</t>
        </is>
      </c>
      <c r="E6" s="198" t="inlineStr">
        <is>
          <t>종목명</t>
        </is>
      </c>
      <c r="F6" s="198" t="inlineStr">
        <is>
          <t>수량</t>
        </is>
      </c>
      <c r="G6" s="198" t="inlineStr">
        <is>
          <t>평단가</t>
        </is>
      </c>
      <c r="H6" s="199" t="n"/>
      <c r="I6" s="198" t="inlineStr">
        <is>
          <t>현재가</t>
        </is>
      </c>
      <c r="J6" s="199" t="n"/>
      <c r="K6" s="198" t="inlineStr">
        <is>
          <t>평가액
[원화]</t>
        </is>
      </c>
      <c r="L6" s="198" t="inlineStr">
        <is>
          <t>투자비중</t>
        </is>
      </c>
      <c r="M6" s="198" t="inlineStr">
        <is>
          <t>누적수익
[원화]</t>
        </is>
      </c>
      <c r="N6" s="198" t="inlineStr">
        <is>
          <t>총수익률
[평가+배당]</t>
        </is>
      </c>
      <c r="O6" s="201" t="inlineStr">
        <is>
          <t>종목</t>
        </is>
      </c>
      <c r="P6" s="201" t="n"/>
      <c r="Q6" s="201" t="n"/>
      <c r="R6" s="201" t="n"/>
    </row>
    <row r="7" ht="13.15" customHeight="1" s="202">
      <c r="A7" s="201" t="n"/>
      <c r="B7" s="201" t="n"/>
      <c r="C7" s="200" t="n"/>
      <c r="D7" s="200" t="n"/>
      <c r="E7" s="200" t="n"/>
      <c r="F7" s="200" t="n"/>
      <c r="G7" s="198" t="inlineStr">
        <is>
          <t>원화</t>
        </is>
      </c>
      <c r="H7" s="198" t="inlineStr">
        <is>
          <t>달러</t>
        </is>
      </c>
      <c r="I7" s="198" t="inlineStr">
        <is>
          <t>원화</t>
        </is>
      </c>
      <c r="J7" s="198" t="inlineStr">
        <is>
          <t>달러</t>
        </is>
      </c>
      <c r="K7" s="200" t="n"/>
      <c r="L7" s="200" t="n"/>
      <c r="M7" s="200" t="n"/>
      <c r="N7" s="200" t="n"/>
      <c r="P7" s="201" t="n"/>
      <c r="Q7" s="201" t="n"/>
      <c r="R7" s="201" t="n"/>
    </row>
    <row r="8">
      <c r="A8" s="201" t="inlineStr">
        <is>
          <t>계좌</t>
        </is>
      </c>
      <c r="B8" s="72" t="inlineStr">
        <is>
          <t>번호</t>
        </is>
      </c>
      <c r="C8" s="207" t="n"/>
      <c r="D8" s="93" t="n"/>
      <c r="E8" s="94" t="n"/>
      <c r="F8" s="95" t="n"/>
      <c r="G8" s="208" t="n"/>
      <c r="H8" s="95" t="n"/>
      <c r="I8" s="76" t="n"/>
      <c r="J8" s="75" t="n"/>
      <c r="K8" s="209">
        <f>SUM(K9:K84)</f>
        <v/>
      </c>
      <c r="L8" s="75" t="n"/>
      <c r="M8" s="210">
        <f>SUM(M9:M84)</f>
        <v/>
      </c>
      <c r="N8" s="79">
        <f>IFERROR(M8/(K8-M8),)</f>
        <v/>
      </c>
      <c r="O8" s="201" t="n"/>
      <c r="P8" s="201" t="n"/>
      <c r="Q8" s="201" t="n"/>
      <c r="R8" s="201" t="n"/>
    </row>
    <row r="9" ht="12.75" customHeight="1" s="202">
      <c r="A9" s="201" t="inlineStr">
        <is>
          <t>DC</t>
        </is>
      </c>
      <c r="B9" s="201" t="n">
        <v>1</v>
      </c>
      <c r="C9" s="211" t="inlineStr">
        <is>
          <t>한국</t>
        </is>
      </c>
      <c r="D9" s="97" t="inlineStr">
        <is>
          <t>458760</t>
        </is>
      </c>
      <c r="E9" s="98" t="inlineStr">
        <is>
          <t xml:space="preserve">TIGER 미배당다우커버드콜2호 </t>
        </is>
      </c>
      <c r="F9" s="99" t="n">
        <v>9359</v>
      </c>
      <c r="G9" s="212" t="n">
        <v>9435</v>
      </c>
      <c r="H9" s="213" t="n"/>
      <c r="I9" s="214" t="n">
        <v>11285</v>
      </c>
      <c r="J9" s="215" t="n"/>
      <c r="K9" s="216">
        <f>IFERROR(I9*F9+J9*$J$5*F9,)</f>
        <v/>
      </c>
      <c r="L9" s="83">
        <f>IFERROR(K9/$K$8,)</f>
        <v/>
      </c>
      <c r="M9" s="217">
        <f>IFERROR(K9-G9*F9-H9*$J$5*F9,)</f>
        <v/>
      </c>
      <c r="N9" s="218">
        <f>IFERROR(M9/(K9-M9),)</f>
        <v/>
      </c>
      <c r="O9" s="86" t="inlineStr">
        <is>
          <t>다우커</t>
        </is>
      </c>
      <c r="P9" s="201" t="n"/>
      <c r="Q9" s="201" t="n"/>
      <c r="R9" s="201" t="n"/>
    </row>
    <row r="10" ht="12.75" customHeight="1" s="202">
      <c r="A10" s="201" t="inlineStr">
        <is>
          <t>DC</t>
        </is>
      </c>
      <c r="B10" s="201" t="n">
        <v>2</v>
      </c>
      <c r="C10" s="211" t="inlineStr">
        <is>
          <t>한국</t>
        </is>
      </c>
      <c r="D10" s="97" t="inlineStr">
        <is>
          <t>490490</t>
        </is>
      </c>
      <c r="E10" s="98" t="inlineStr">
        <is>
          <t>SOL미국배당미국채혼합50</t>
        </is>
      </c>
      <c r="F10" s="99" t="n">
        <v>3821</v>
      </c>
      <c r="G10" s="212" t="n">
        <v>10603</v>
      </c>
      <c r="H10" s="213" t="n"/>
      <c r="I10" s="214" t="n">
        <v>11200</v>
      </c>
      <c r="J10" s="215" t="n"/>
      <c r="K10" s="216">
        <f>IFERROR(I10*F10+J10*$J$5*F10,)</f>
        <v/>
      </c>
      <c r="L10" s="83">
        <f>IFERROR(K10/$K$8,)</f>
        <v/>
      </c>
      <c r="M10" s="217">
        <f>IFERROR(K10-G10*F10-H10*$J$5*F10,)</f>
        <v/>
      </c>
      <c r="N10" s="218">
        <f>IFERROR(M10/(K10-M10),)</f>
        <v/>
      </c>
      <c r="O10" s="86" t="inlineStr">
        <is>
          <t>미배당국채</t>
        </is>
      </c>
      <c r="P10" s="201" t="n"/>
      <c r="Q10" s="201" t="n"/>
      <c r="R10" s="201" t="n"/>
    </row>
    <row r="11" ht="12.75" customHeight="1" s="202">
      <c r="A11" s="201" t="inlineStr">
        <is>
          <t>DC</t>
        </is>
      </c>
      <c r="B11" s="201" t="n">
        <v>3</v>
      </c>
      <c r="C11" s="219" t="inlineStr">
        <is>
          <t>한국</t>
        </is>
      </c>
      <c r="D11" s="97" t="inlineStr">
        <is>
          <t>0008S0</t>
        </is>
      </c>
      <c r="E11" s="98" t="inlineStr">
        <is>
          <t>TIGER 미국배당다우존스타겟데일리커버드콜</t>
        </is>
      </c>
      <c r="F11" s="99" t="n">
        <v>3000</v>
      </c>
      <c r="G11" s="212" t="n">
        <v>8910</v>
      </c>
      <c r="H11" s="213" t="n"/>
      <c r="I11" s="220" t="n">
        <v>10175</v>
      </c>
      <c r="J11" s="221" t="n"/>
      <c r="K11" s="222">
        <f>IFERROR(I11*F11+J11*$J$5*F11,)</f>
        <v/>
      </c>
      <c r="L11" s="90">
        <f>IFERROR(K11/$K$8,)</f>
        <v/>
      </c>
      <c r="M11" s="217">
        <f>IFERROR(K11-G11*F11-H11*$J$5*F11,)</f>
        <v/>
      </c>
      <c r="N11" s="223">
        <f>IFERROR(M11/(K11-M11),)</f>
        <v/>
      </c>
      <c r="O11" s="86" t="inlineStr">
        <is>
          <t>다우커</t>
        </is>
      </c>
      <c r="P11" s="201" t="n"/>
      <c r="Q11" s="201" t="n"/>
      <c r="R11" s="201" t="n"/>
    </row>
    <row r="12" ht="12.75" customHeight="1" s="202">
      <c r="A12" s="201" t="inlineStr">
        <is>
          <t>DC</t>
        </is>
      </c>
      <c r="B12" s="201" t="n">
        <v>4</v>
      </c>
      <c r="C12" s="219" t="inlineStr">
        <is>
          <t>한국</t>
        </is>
      </c>
      <c r="D12" s="97" t="inlineStr">
        <is>
          <t>498410</t>
        </is>
      </c>
      <c r="E12" s="98" t="inlineStr">
        <is>
          <t>KODEX금융고배당TOP10타겟위클리커버드콜</t>
        </is>
      </c>
      <c r="F12" s="99" t="n">
        <v>2377</v>
      </c>
      <c r="G12" s="224" t="n">
        <v>12286</v>
      </c>
      <c r="H12" s="225" t="n"/>
      <c r="I12" s="220" t="n">
        <v>11470</v>
      </c>
      <c r="J12" s="221" t="n"/>
      <c r="K12" s="222">
        <f>IFERROR(I12*F12+J12*$J$5*F12,)</f>
        <v/>
      </c>
      <c r="L12" s="90">
        <f>IFERROR(K12/$K$8,)</f>
        <v/>
      </c>
      <c r="M12" s="217">
        <f>IFERROR(K12-G12*F12-H12*$J$5*F12,)</f>
        <v/>
      </c>
      <c r="N12" s="223">
        <f>IFERROR(M12/(K12-M12),)</f>
        <v/>
      </c>
      <c r="O12" s="205" t="inlineStr">
        <is>
          <t>국내금융배당</t>
        </is>
      </c>
      <c r="P12" s="201" t="n"/>
      <c r="Q12" s="201" t="n"/>
      <c r="R12" s="201" t="n"/>
    </row>
    <row r="13" ht="12.75" customHeight="1" s="202">
      <c r="A13" s="201" t="inlineStr">
        <is>
          <t>DC</t>
        </is>
      </c>
      <c r="B13" s="201" t="n">
        <v>5</v>
      </c>
      <c r="C13" s="219" t="inlineStr">
        <is>
          <t>한국</t>
        </is>
      </c>
      <c r="D13" s="97" t="inlineStr">
        <is>
          <t>472170</t>
        </is>
      </c>
      <c r="E13" s="98" t="inlineStr">
        <is>
          <t>TIGER 미국테크TOP10채권혼합</t>
        </is>
      </c>
      <c r="F13" s="99" t="n">
        <v>1971</v>
      </c>
      <c r="G13" s="224" t="n">
        <v>14081</v>
      </c>
      <c r="H13" s="225" t="n"/>
      <c r="I13" s="220" t="n">
        <v>13750</v>
      </c>
      <c r="J13" s="221" t="n"/>
      <c r="K13" s="222">
        <f>IFERROR(I13*F13+J13*$J$5*F13,)</f>
        <v/>
      </c>
      <c r="L13" s="90">
        <f>IFERROR(K13/$K$8,)</f>
        <v/>
      </c>
      <c r="M13" s="217">
        <f>IFERROR(K13-G13*F13-H13*$J$5*F13,)</f>
        <v/>
      </c>
      <c r="N13" s="223">
        <f>IFERROR(M13/(K13-M13),)</f>
        <v/>
      </c>
      <c r="O13" s="86" t="inlineStr">
        <is>
          <t>테크채권</t>
        </is>
      </c>
      <c r="P13" s="201" t="n"/>
      <c r="Q13" s="201" t="n"/>
      <c r="R13" s="201" t="n"/>
    </row>
    <row r="14" ht="12.75" customHeight="1" s="202">
      <c r="A14" s="201" t="inlineStr">
        <is>
          <t>DC</t>
        </is>
      </c>
      <c r="B14" s="201" t="n">
        <v>6</v>
      </c>
      <c r="C14" s="219" t="inlineStr">
        <is>
          <t>한국</t>
        </is>
      </c>
      <c r="D14" s="97" t="inlineStr">
        <is>
          <t>468380</t>
        </is>
      </c>
      <c r="E14" s="98" t="inlineStr">
        <is>
          <t>KODEX iShares미국하이일드액티브</t>
        </is>
      </c>
      <c r="F14" s="99" t="n">
        <v>2000</v>
      </c>
      <c r="G14" s="224" t="n">
        <v>11685</v>
      </c>
      <c r="H14" s="225" t="n"/>
      <c r="I14" s="220" t="n">
        <v>10965</v>
      </c>
      <c r="J14" s="221" t="n"/>
      <c r="K14" s="222">
        <f>IFERROR(I14*F14+J14*$J$5*F14,)</f>
        <v/>
      </c>
      <c r="L14" s="90">
        <f>IFERROR(K14/$K$8,)</f>
        <v/>
      </c>
      <c r="M14" s="217">
        <f>IFERROR(K14-G14*F14-H14*$J$5*F14,)</f>
        <v/>
      </c>
      <c r="N14" s="223">
        <f>IFERROR(M14/(K14-M14),)</f>
        <v/>
      </c>
      <c r="O14" s="86" t="inlineStr">
        <is>
          <t>달러</t>
        </is>
      </c>
      <c r="P14" s="201" t="n"/>
      <c r="Q14" s="201" t="n"/>
      <c r="R14" s="201" t="n"/>
    </row>
    <row r="15" ht="12.75" customHeight="1" s="202">
      <c r="A15" s="201" t="inlineStr">
        <is>
          <t>DC</t>
        </is>
      </c>
      <c r="B15" s="201" t="n">
        <v>7</v>
      </c>
      <c r="C15" s="219" t="inlineStr">
        <is>
          <t>한국</t>
        </is>
      </c>
      <c r="D15" s="97" t="inlineStr">
        <is>
          <t>481060</t>
        </is>
      </c>
      <c r="E15" s="98" t="inlineStr">
        <is>
          <t>KODEX 미국30년국채타겟커버드콜(H)</t>
        </is>
      </c>
      <c r="F15" s="99" t="n">
        <v>3060</v>
      </c>
      <c r="G15" s="212" t="n">
        <v>8675</v>
      </c>
      <c r="H15" s="213" t="n"/>
      <c r="I15" s="220" t="n">
        <v>7420</v>
      </c>
      <c r="J15" s="221" t="n"/>
      <c r="K15" s="222">
        <f>IFERROR(I15*F15+J15*$J$5*F15,)</f>
        <v/>
      </c>
      <c r="L15" s="90">
        <f>IFERROR(K15/$K$8,)</f>
        <v/>
      </c>
      <c r="M15" s="217">
        <f>IFERROR(K15-G15*F15-H15*$J$5*F15,)</f>
        <v/>
      </c>
      <c r="N15" s="223">
        <f>IFERROR(M15/(K15-M15),)</f>
        <v/>
      </c>
      <c r="O15" s="86" t="inlineStr">
        <is>
          <t>미국채커</t>
        </is>
      </c>
      <c r="P15" s="201" t="n"/>
      <c r="Q15" s="201" t="n"/>
      <c r="R15" s="201" t="n"/>
    </row>
    <row r="16" ht="12.75" customHeight="1" s="202">
      <c r="A16" s="201" t="inlineStr">
        <is>
          <t>DC</t>
        </is>
      </c>
      <c r="B16" s="201" t="n">
        <v>8</v>
      </c>
      <c r="C16" s="219" t="inlineStr">
        <is>
          <t>한국</t>
        </is>
      </c>
      <c r="D16" s="97" t="inlineStr">
        <is>
          <t>329200</t>
        </is>
      </c>
      <c r="E16" s="98" t="inlineStr">
        <is>
          <t>TIGER리츠부동산인프라</t>
        </is>
      </c>
      <c r="F16" s="99" t="n">
        <v>5000</v>
      </c>
      <c r="G16" s="224" t="n">
        <v>4395</v>
      </c>
      <c r="H16" s="225" t="n"/>
      <c r="I16" s="220" t="n">
        <v>4110</v>
      </c>
      <c r="J16" s="221" t="n"/>
      <c r="K16" s="222">
        <f>IFERROR(I16*F16+J16*$J$5*F16,)</f>
        <v/>
      </c>
      <c r="L16" s="90">
        <f>IFERROR(K16/$K$8,)</f>
        <v/>
      </c>
      <c r="M16" s="217">
        <f>IFERROR(K16-G16*F16-H16*$J$5*F16,)</f>
        <v/>
      </c>
      <c r="N16" s="223">
        <f>IFERROR(M16/(K16-M16),)</f>
        <v/>
      </c>
      <c r="O16" s="86" t="inlineStr">
        <is>
          <t>국내리츠</t>
        </is>
      </c>
      <c r="P16" s="201" t="n"/>
      <c r="Q16" s="201" t="n"/>
      <c r="R16" s="201" t="n"/>
    </row>
    <row r="17" ht="12.75" customHeight="1" s="202">
      <c r="A17" s="201" t="inlineStr">
        <is>
          <t>DC</t>
        </is>
      </c>
      <c r="B17" s="201" t="n">
        <v>9</v>
      </c>
      <c r="C17" s="219" t="inlineStr">
        <is>
          <t>한국</t>
        </is>
      </c>
      <c r="D17" s="97" t="inlineStr">
        <is>
          <t>379810</t>
        </is>
      </c>
      <c r="E17" s="98" t="inlineStr">
        <is>
          <t>KODEX 미국나스닥100</t>
        </is>
      </c>
      <c r="F17" s="99" t="n">
        <v>386</v>
      </c>
      <c r="G17" s="212" t="n">
        <v>27067</v>
      </c>
      <c r="H17" s="225" t="n"/>
      <c r="I17" s="220" t="n">
        <v>26570</v>
      </c>
      <c r="J17" s="221" t="n"/>
      <c r="K17" s="222">
        <f>IFERROR(I17*F17+J17*$J$5*F17,)</f>
        <v/>
      </c>
      <c r="L17" s="90">
        <f>IFERROR(K17/$K$8,)</f>
        <v/>
      </c>
      <c r="M17" s="217">
        <f>IFERROR(K17-G17*F17-H17*$J$5*F17,)</f>
        <v/>
      </c>
      <c r="N17" s="223">
        <f>IFERROR(M17/(K17-M17),)</f>
        <v/>
      </c>
      <c r="O17" s="86" t="inlineStr">
        <is>
          <t>나스닥</t>
        </is>
      </c>
      <c r="P17" s="201" t="n"/>
      <c r="Q17" s="201" t="n"/>
      <c r="R17" s="201" t="n"/>
    </row>
    <row r="18" ht="12.75" customHeight="1" s="202">
      <c r="A18" s="201" t="inlineStr">
        <is>
          <t>개인연금1</t>
        </is>
      </c>
      <c r="B18" s="201" t="n">
        <v>10</v>
      </c>
      <c r="C18" s="211" t="inlineStr">
        <is>
          <t>한국</t>
        </is>
      </c>
      <c r="D18" s="97" t="inlineStr">
        <is>
          <t>474220</t>
        </is>
      </c>
      <c r="E18" s="98" t="inlineStr">
        <is>
          <t xml:space="preserve">TIGER미국테크TOP10커버드콜 </t>
        </is>
      </c>
      <c r="F18" s="99" t="n">
        <v>3260</v>
      </c>
      <c r="G18" s="212" t="n">
        <v>10680</v>
      </c>
      <c r="H18" s="213" t="n"/>
      <c r="I18" s="214" t="n">
        <v>14665</v>
      </c>
      <c r="J18" s="215" t="n"/>
      <c r="K18" s="216">
        <f>IFERROR(I18*F18+J18*$J$5*F18,)</f>
        <v/>
      </c>
      <c r="L18" s="83">
        <f>IFERROR(K18/$K$8,)</f>
        <v/>
      </c>
      <c r="M18" s="217">
        <f>IFERROR(K18-G18*F18-H18*$J$5*F18,)</f>
        <v/>
      </c>
      <c r="N18" s="218">
        <f>IFERROR(M18/(K18-M18),)</f>
        <v/>
      </c>
      <c r="O18" s="86" t="inlineStr">
        <is>
          <t>테커</t>
        </is>
      </c>
      <c r="P18" s="201" t="n"/>
      <c r="Q18" s="201" t="n"/>
      <c r="R18" s="201" t="n"/>
    </row>
    <row r="19" ht="12.75" customHeight="1" s="202">
      <c r="A19" s="201" t="inlineStr">
        <is>
          <t>개인연금1</t>
        </is>
      </c>
      <c r="B19" s="201" t="n">
        <v>11</v>
      </c>
      <c r="C19" s="211" t="inlineStr">
        <is>
          <t>한국</t>
        </is>
      </c>
      <c r="D19" s="97" t="inlineStr">
        <is>
          <t>458760</t>
        </is>
      </c>
      <c r="E19" s="98" t="inlineStr">
        <is>
          <t xml:space="preserve">TIGER 미배당다우커버드콜2호 </t>
        </is>
      </c>
      <c r="F19" s="99" t="n">
        <v>4055</v>
      </c>
      <c r="G19" s="212" t="n">
        <v>10101</v>
      </c>
      <c r="H19" s="213" t="n"/>
      <c r="I19" s="214" t="n">
        <v>11285</v>
      </c>
      <c r="J19" s="215" t="n"/>
      <c r="K19" s="216">
        <f>IFERROR(I19*F19+J19*$J$5*F19,)</f>
        <v/>
      </c>
      <c r="L19" s="83">
        <f>IFERROR(K19/$K$8,)</f>
        <v/>
      </c>
      <c r="M19" s="217">
        <f>IFERROR(K19-G19*F19-H19*$J$5*F19,)</f>
        <v/>
      </c>
      <c r="N19" s="218">
        <f>IFERROR(M19/(K19-M19),)</f>
        <v/>
      </c>
      <c r="O19" s="86" t="inlineStr">
        <is>
          <t>다우커</t>
        </is>
      </c>
      <c r="P19" s="201" t="n"/>
      <c r="Q19" s="201" t="n"/>
      <c r="R19" s="201" t="n"/>
    </row>
    <row r="20" ht="12.75" customHeight="1" s="202">
      <c r="A20" s="201" t="inlineStr">
        <is>
          <t>개인연금1</t>
        </is>
      </c>
      <c r="B20" s="201" t="n">
        <v>12</v>
      </c>
      <c r="C20" s="219" t="inlineStr">
        <is>
          <t>한국</t>
        </is>
      </c>
      <c r="D20" s="97" t="inlineStr">
        <is>
          <t>446720</t>
        </is>
      </c>
      <c r="E20" s="98" t="inlineStr">
        <is>
          <t>SOL 미국배당다우존스</t>
        </is>
      </c>
      <c r="F20" s="99" t="n">
        <v>1330</v>
      </c>
      <c r="G20" s="224" t="n">
        <v>10517</v>
      </c>
      <c r="H20" s="225" t="n"/>
      <c r="I20" s="220" t="n">
        <v>14085</v>
      </c>
      <c r="J20" s="221" t="n"/>
      <c r="K20" s="222">
        <f>IFERROR(I20*F20+J20*$J$5*F20,)</f>
        <v/>
      </c>
      <c r="L20" s="90">
        <f>IFERROR(K20/$K$8,)</f>
        <v/>
      </c>
      <c r="M20" s="217">
        <f>IFERROR(K20-G20*F20-H20*$J$5*F20,)</f>
        <v/>
      </c>
      <c r="N20" s="223">
        <f>IFERROR(M20/(K20-M20),)</f>
        <v/>
      </c>
      <c r="O20" s="86" t="inlineStr">
        <is>
          <t>다우</t>
        </is>
      </c>
      <c r="P20" s="201" t="n"/>
      <c r="Q20" s="201" t="n"/>
      <c r="R20" s="201" t="n"/>
    </row>
    <row r="21" ht="12.75" customHeight="1" s="202">
      <c r="A21" s="201" t="inlineStr">
        <is>
          <t>개인연금1</t>
        </is>
      </c>
      <c r="B21" s="201" t="n">
        <v>13</v>
      </c>
      <c r="C21" s="219" t="inlineStr">
        <is>
          <t>한국</t>
        </is>
      </c>
      <c r="D21" s="97" t="inlineStr">
        <is>
          <t>433330</t>
        </is>
      </c>
      <c r="E21" s="98" t="inlineStr">
        <is>
          <t xml:space="preserve">SOL 미국 S&amp;P500  </t>
        </is>
      </c>
      <c r="F21" s="99" t="n">
        <v>898</v>
      </c>
      <c r="G21" s="212" t="n">
        <v>20316</v>
      </c>
      <c r="H21" s="225" t="n"/>
      <c r="I21" s="220" t="n">
        <v>21895</v>
      </c>
      <c r="J21" s="221" t="n"/>
      <c r="K21" s="222">
        <f>IFERROR(I21*F21+J21*$J$5*F21,)</f>
        <v/>
      </c>
      <c r="L21" s="90">
        <f>IFERROR(K21/$K$8,)</f>
        <v/>
      </c>
      <c r="M21" s="217">
        <f>IFERROR(K21-G21*F21-H21*$J$5*F21,)</f>
        <v/>
      </c>
      <c r="N21" s="223">
        <f>IFERROR(M21/(K21-M21),)</f>
        <v/>
      </c>
      <c r="O21" s="86" t="inlineStr">
        <is>
          <t>슨피</t>
        </is>
      </c>
      <c r="P21" s="201" t="n"/>
      <c r="Q21" s="201" t="n"/>
      <c r="R21" s="201" t="n"/>
    </row>
    <row r="22" ht="12.75" customHeight="1" s="202">
      <c r="A22" s="201" t="inlineStr">
        <is>
          <t>개인연금1</t>
        </is>
      </c>
      <c r="B22" s="201" t="n">
        <v>14</v>
      </c>
      <c r="C22" s="219" t="inlineStr">
        <is>
          <t>한국</t>
        </is>
      </c>
      <c r="D22" s="97" t="inlineStr">
        <is>
          <t>482730</t>
        </is>
      </c>
      <c r="E22" s="98" t="inlineStr">
        <is>
          <t xml:space="preserve">미국S&amp;P500타겟데일리커버드콜 </t>
        </is>
      </c>
      <c r="F22" s="99" t="n">
        <v>425</v>
      </c>
      <c r="G22" s="212" t="n">
        <v>10629</v>
      </c>
      <c r="H22" s="225" t="n"/>
      <c r="I22" s="220" t="n">
        <v>11850</v>
      </c>
      <c r="J22" s="221" t="n"/>
      <c r="K22" s="222">
        <f>IFERROR(I22*F22+J22*$J$5*F22,)</f>
        <v/>
      </c>
      <c r="L22" s="90">
        <f>IFERROR(K22/$K$8,)</f>
        <v/>
      </c>
      <c r="M22" s="217">
        <f>IFERROR(K22-G22*F22-H22*$J$5*F22,)</f>
        <v/>
      </c>
      <c r="N22" s="223">
        <f>IFERROR(M22/(K22-M22),)</f>
        <v/>
      </c>
      <c r="O22" s="86" t="inlineStr">
        <is>
          <t>슨피커</t>
        </is>
      </c>
      <c r="P22" s="201" t="n"/>
      <c r="Q22" s="201" t="n"/>
      <c r="R22" s="201" t="n"/>
    </row>
    <row r="23" ht="12.75" customHeight="1" s="202">
      <c r="A23" s="72" t="inlineStr">
        <is>
          <t>개인연금2</t>
        </is>
      </c>
      <c r="B23" s="201" t="n">
        <v>15</v>
      </c>
      <c r="C23" s="219" t="inlineStr">
        <is>
          <t>한국</t>
        </is>
      </c>
      <c r="D23" s="97" t="inlineStr">
        <is>
          <t>367380</t>
        </is>
      </c>
      <c r="E23" s="98" t="inlineStr">
        <is>
          <t>ACE 미국나스닥100</t>
        </is>
      </c>
      <c r="F23" s="99" t="n">
        <v>338</v>
      </c>
      <c r="G23" s="212" t="n">
        <v>32791</v>
      </c>
      <c r="H23" s="225" t="n"/>
      <c r="I23" s="220" t="n">
        <v>30550</v>
      </c>
      <c r="J23" s="221" t="n"/>
      <c r="K23" s="222">
        <f>IFERROR(I23*F23+J23*$J$5*F23,)</f>
        <v/>
      </c>
      <c r="L23" s="90">
        <f>IFERROR(K23/$K$8,)</f>
        <v/>
      </c>
      <c r="M23" s="217">
        <f>IFERROR(K23-G23*F23-H23*$J$5*F23,)</f>
        <v/>
      </c>
      <c r="N23" s="223">
        <f>IFERROR(M23/(K23-M23),)</f>
        <v/>
      </c>
      <c r="O23" s="86" t="inlineStr">
        <is>
          <t>나스닥</t>
        </is>
      </c>
      <c r="P23" s="201" t="n"/>
      <c r="Q23" s="201" t="n"/>
      <c r="R23" s="201" t="n"/>
    </row>
    <row r="24" ht="12.75" customHeight="1" s="202">
      <c r="A24" s="72" t="inlineStr">
        <is>
          <t>개인연금2</t>
        </is>
      </c>
      <c r="B24" s="201" t="n">
        <v>16</v>
      </c>
      <c r="C24" s="219" t="inlineStr">
        <is>
          <t>한국</t>
        </is>
      </c>
      <c r="D24" s="97" t="inlineStr">
        <is>
          <t>360750</t>
        </is>
      </c>
      <c r="E24" s="98" t="inlineStr">
        <is>
          <t>TIGER미국S&amp;P500</t>
        </is>
      </c>
      <c r="F24" s="99" t="n">
        <v>219</v>
      </c>
      <c r="G24" s="212" t="n">
        <v>25492</v>
      </c>
      <c r="H24" s="225" t="n"/>
      <c r="I24" s="220" t="n">
        <v>26202</v>
      </c>
      <c r="J24" s="221" t="n"/>
      <c r="K24" s="222">
        <f>IFERROR(I24*F24+J24*$J$5*F24,)</f>
        <v/>
      </c>
      <c r="L24" s="90">
        <f>IFERROR(K24/$K$8,)</f>
        <v/>
      </c>
      <c r="M24" s="217">
        <f>IFERROR(K24-G24*F24-H24*$J$5*F24,)</f>
        <v/>
      </c>
      <c r="N24" s="223">
        <f>IFERROR(M24/(K24-M24),)</f>
        <v/>
      </c>
      <c r="O24" s="86" t="inlineStr">
        <is>
          <t>슨피</t>
        </is>
      </c>
      <c r="P24" s="201" t="n"/>
      <c r="Q24" s="201" t="n"/>
      <c r="R24" s="201" t="n"/>
    </row>
    <row r="25" ht="12.75" customHeight="1" s="202">
      <c r="A25" s="201" t="inlineStr">
        <is>
          <t>ISA</t>
        </is>
      </c>
      <c r="B25" s="201" t="n">
        <v>17</v>
      </c>
      <c r="C25" s="219" t="inlineStr">
        <is>
          <t>한국</t>
        </is>
      </c>
      <c r="D25" s="97" t="inlineStr">
        <is>
          <t>483280</t>
        </is>
      </c>
      <c r="E25" s="98" t="inlineStr">
        <is>
          <t>KODEX 미국AI테크TOP10타겟커버드콜</t>
        </is>
      </c>
      <c r="F25" s="99" t="n">
        <v>2226</v>
      </c>
      <c r="G25" s="224" t="n">
        <v>10928</v>
      </c>
      <c r="H25" s="225" t="n"/>
      <c r="I25" s="220" t="n">
        <v>11490</v>
      </c>
      <c r="J25" s="221" t="n"/>
      <c r="K25" s="222">
        <f>IFERROR(I25*F25+J25*$J$5*F25,)</f>
        <v/>
      </c>
      <c r="L25" s="90">
        <f>IFERROR(K25/$K$8,)</f>
        <v/>
      </c>
      <c r="M25" s="217">
        <f>IFERROR(K25-G25*F25-H25*$J$5*F25,)</f>
        <v/>
      </c>
      <c r="N25" s="223">
        <f>IFERROR(M25/(K25-M25),)</f>
        <v/>
      </c>
      <c r="O25" s="86" t="n"/>
      <c r="P25" s="201" t="n"/>
      <c r="Q25" s="201" t="n"/>
      <c r="R25" s="201" t="n"/>
    </row>
    <row r="26" ht="12.75" customHeight="1" s="202">
      <c r="A26" s="201" t="inlineStr">
        <is>
          <t>ISA</t>
        </is>
      </c>
      <c r="B26" s="201" t="n">
        <v>18</v>
      </c>
      <c r="C26" s="219" t="inlineStr">
        <is>
          <t>한국</t>
        </is>
      </c>
      <c r="D26" s="97" t="inlineStr">
        <is>
          <t>458760</t>
        </is>
      </c>
      <c r="E26" s="98" t="inlineStr">
        <is>
          <t>TIGER 미배당다우커버드콜2호</t>
        </is>
      </c>
      <c r="F26" s="99" t="n">
        <v>1939</v>
      </c>
      <c r="G26" s="212" t="n">
        <v>9901</v>
      </c>
      <c r="H26" s="225" t="n"/>
      <c r="I26" s="214" t="n">
        <v>11285</v>
      </c>
      <c r="J26" s="221" t="n"/>
      <c r="K26" s="216">
        <f>IFERROR(I26*F26+J26*$J$5*F26,)</f>
        <v/>
      </c>
      <c r="L26" s="83">
        <f>IFERROR(K26/$K$8,)</f>
        <v/>
      </c>
      <c r="M26" s="217">
        <f>IFERROR(K26-G26*F26-H26*$J$5*F26,)</f>
        <v/>
      </c>
      <c r="N26" s="218">
        <f>IFERROR(M26/(K26-M26),)</f>
        <v/>
      </c>
      <c r="O26" s="86" t="inlineStr">
        <is>
          <t>다우커</t>
        </is>
      </c>
      <c r="P26" s="201" t="n"/>
      <c r="Q26" s="201" t="n"/>
      <c r="R26" s="201" t="n"/>
    </row>
    <row r="27" ht="12.75" customHeight="1" s="202">
      <c r="A27" s="201" t="inlineStr">
        <is>
          <t>ISA</t>
        </is>
      </c>
      <c r="B27" s="201" t="n">
        <v>19</v>
      </c>
      <c r="C27" s="211" t="inlineStr">
        <is>
          <t>한국</t>
        </is>
      </c>
      <c r="D27" s="97" t="inlineStr">
        <is>
          <t>474220</t>
        </is>
      </c>
      <c r="E27" s="98" t="inlineStr">
        <is>
          <t>TIGER미국테크TOP10커버드콜</t>
        </is>
      </c>
      <c r="F27" s="99" t="n">
        <v>1300</v>
      </c>
      <c r="G27" s="212" t="n">
        <v>11901</v>
      </c>
      <c r="H27" s="213" t="n"/>
      <c r="I27" s="214" t="n">
        <v>14665</v>
      </c>
      <c r="J27" s="215" t="n"/>
      <c r="K27" s="216">
        <f>IFERROR(I27*F27+J27*$J$5*F27,)</f>
        <v/>
      </c>
      <c r="L27" s="83">
        <f>IFERROR(K27/$K$8,)</f>
        <v/>
      </c>
      <c r="M27" s="217">
        <f>IFERROR(K27-G27*F27-H27*$J$5*F27,)</f>
        <v/>
      </c>
      <c r="N27" s="218">
        <f>IFERROR(M27/(K27-M27),)</f>
        <v/>
      </c>
      <c r="O27" s="86" t="inlineStr">
        <is>
          <t>테커</t>
        </is>
      </c>
      <c r="P27" s="201" t="n"/>
      <c r="Q27" s="201" t="n"/>
      <c r="R27" s="201" t="n"/>
    </row>
    <row r="28" ht="12.75" customHeight="1" s="202">
      <c r="A28" s="201" t="inlineStr">
        <is>
          <t>ISA</t>
        </is>
      </c>
      <c r="B28" s="201" t="n">
        <v>20</v>
      </c>
      <c r="C28" s="219" t="inlineStr">
        <is>
          <t>한국</t>
        </is>
      </c>
      <c r="D28" s="97" t="inlineStr">
        <is>
          <t>457480</t>
        </is>
      </c>
      <c r="E28" s="98" t="inlineStr">
        <is>
          <t>ACE테슬라밸류체인액티브</t>
        </is>
      </c>
      <c r="F28" s="99" t="n">
        <v>505</v>
      </c>
      <c r="G28" s="212" t="n">
        <v>16714</v>
      </c>
      <c r="H28" s="225" t="n"/>
      <c r="I28" s="220" t="n">
        <v>18965</v>
      </c>
      <c r="J28" s="221" t="n"/>
      <c r="K28" s="222">
        <f>IFERROR(I28*F28+J28*$J$5*F28,)</f>
        <v/>
      </c>
      <c r="L28" s="90">
        <f>IFERROR(K28/$K$8,)</f>
        <v/>
      </c>
      <c r="M28" s="217">
        <f>IFERROR(K28-G28*F28-H28*$J$5*F28,)</f>
        <v/>
      </c>
      <c r="N28" s="223">
        <f>IFERROR(M28/(K28-M28),)</f>
        <v/>
      </c>
      <c r="O28" s="86" t="inlineStr">
        <is>
          <t>테슬라</t>
        </is>
      </c>
      <c r="P28" s="201" t="n"/>
      <c r="Q28" s="201" t="n"/>
      <c r="R28" s="201" t="n"/>
    </row>
    <row r="29" ht="12.75" customHeight="1" s="202">
      <c r="A29" s="201" t="inlineStr">
        <is>
          <t>ISA</t>
        </is>
      </c>
      <c r="B29" s="201" t="n">
        <v>21</v>
      </c>
      <c r="C29" s="219" t="inlineStr">
        <is>
          <t>한국</t>
        </is>
      </c>
      <c r="D29" s="97" t="inlineStr">
        <is>
          <t>473330</t>
        </is>
      </c>
      <c r="E29" s="98" t="inlineStr">
        <is>
          <t>SOL 미국 30년국채커버드콜(합성)</t>
        </is>
      </c>
      <c r="F29" s="99" t="n">
        <v>960</v>
      </c>
      <c r="G29" s="212" t="n">
        <v>9360</v>
      </c>
      <c r="H29" s="225" t="n"/>
      <c r="I29" s="220" t="n">
        <v>8010</v>
      </c>
      <c r="J29" s="221" t="n"/>
      <c r="K29" s="222">
        <f>IFERROR(I29*F29+J29*$J$5*F29,)</f>
        <v/>
      </c>
      <c r="L29" s="90">
        <f>IFERROR(K29/$K$8,)</f>
        <v/>
      </c>
      <c r="M29" s="217">
        <f>IFERROR(K29-G29*F29-H29*$J$5*F29,)</f>
        <v/>
      </c>
      <c r="N29" s="223">
        <f>IFERROR(M29/(K29-M29),)</f>
        <v/>
      </c>
      <c r="O29" s="86" t="inlineStr">
        <is>
          <t>미국채커</t>
        </is>
      </c>
      <c r="P29" s="201" t="n"/>
      <c r="Q29" s="201" t="n"/>
      <c r="R29" s="201" t="n"/>
    </row>
    <row r="30" ht="12.75" customHeight="1" s="202">
      <c r="A30" s="201" t="inlineStr">
        <is>
          <t>ISA</t>
        </is>
      </c>
      <c r="B30" s="201" t="n">
        <v>22</v>
      </c>
      <c r="C30" s="219" t="inlineStr">
        <is>
          <t>한국</t>
        </is>
      </c>
      <c r="D30" s="97" t="inlineStr">
        <is>
          <t>000270</t>
        </is>
      </c>
      <c r="E30" s="98" t="inlineStr">
        <is>
          <t>기아</t>
        </is>
      </c>
      <c r="F30" s="99" t="n">
        <v>34</v>
      </c>
      <c r="G30" s="212" t="n">
        <v>110746</v>
      </c>
      <c r="H30" s="225" t="n"/>
      <c r="I30" s="220" t="n">
        <v>130700</v>
      </c>
      <c r="J30" s="221" t="n"/>
      <c r="K30" s="222">
        <f>IFERROR(I30*F30+J30*$J$5*F30,)</f>
        <v/>
      </c>
      <c r="L30" s="90">
        <f>IFERROR(K30/$K$8,)</f>
        <v/>
      </c>
      <c r="M30" s="217">
        <f>IFERROR(K30-G30*F30-H30*$J$5*F30,)</f>
        <v/>
      </c>
      <c r="N30" s="223">
        <f>IFERROR(M30/(K30-M30),)</f>
        <v/>
      </c>
      <c r="O30" s="86" t="inlineStr">
        <is>
          <t>기아</t>
        </is>
      </c>
      <c r="P30" s="201" t="n"/>
      <c r="Q30" s="201" t="n"/>
      <c r="R30" s="201" t="n"/>
    </row>
    <row r="31" ht="12.75" customHeight="1" s="202">
      <c r="A31" s="201" t="inlineStr">
        <is>
          <t>ISA</t>
        </is>
      </c>
      <c r="B31" s="201" t="n">
        <v>23</v>
      </c>
      <c r="C31" s="219" t="inlineStr">
        <is>
          <t>한국</t>
        </is>
      </c>
      <c r="D31" s="97" t="inlineStr">
        <is>
          <t>498270</t>
        </is>
      </c>
      <c r="E31" s="98" t="inlineStr">
        <is>
          <t>KIWOOM 미국양자컴퓨팅</t>
        </is>
      </c>
      <c r="F31" s="99" t="n">
        <v>297</v>
      </c>
      <c r="G31" s="212" t="n">
        <v>12814</v>
      </c>
      <c r="H31" s="225" t="n"/>
      <c r="I31" s="220" t="n">
        <v>14805</v>
      </c>
      <c r="J31" s="221" t="n"/>
      <c r="K31" s="222">
        <f>IFERROR(I31*F31+J31*$J$5*F31,)</f>
        <v/>
      </c>
      <c r="L31" s="90">
        <f>IFERROR(K31/$K$8,)</f>
        <v/>
      </c>
      <c r="M31" s="217">
        <f>IFERROR(K31-G31*F31-H31*$J$5*F31,)</f>
        <v/>
      </c>
      <c r="N31" s="223">
        <f>IFERROR(M31/(K31-M31),)</f>
        <v/>
      </c>
      <c r="O31" s="86" t="inlineStr">
        <is>
          <t>양자</t>
        </is>
      </c>
      <c r="P31" s="201" t="n"/>
      <c r="Q31" s="201" t="n"/>
      <c r="R31" s="201" t="n"/>
    </row>
    <row r="32" ht="12.75" customHeight="1" s="202">
      <c r="A32" s="201" t="inlineStr">
        <is>
          <t>ISA</t>
        </is>
      </c>
      <c r="B32" s="201" t="n">
        <v>24</v>
      </c>
      <c r="C32" s="219" t="inlineStr">
        <is>
          <t>한국</t>
        </is>
      </c>
      <c r="D32" s="97" t="inlineStr">
        <is>
          <t>476550</t>
        </is>
      </c>
      <c r="E32" s="98" t="inlineStr">
        <is>
          <t>TIGER 미국30년국채커버드콜액티브(H)</t>
        </is>
      </c>
      <c r="F32" s="99" t="n">
        <v>431</v>
      </c>
      <c r="G32" s="212" t="n">
        <v>9583</v>
      </c>
      <c r="H32" s="225" t="n"/>
      <c r="I32" s="220" t="n">
        <v>6840</v>
      </c>
      <c r="J32" s="221" t="n"/>
      <c r="K32" s="222">
        <f>IFERROR(I32*F32+J32*$J$5*F32,)</f>
        <v/>
      </c>
      <c r="L32" s="90">
        <f>IFERROR(K32/$K$8,)</f>
        <v/>
      </c>
      <c r="M32" s="217">
        <f>IFERROR(K32-G32*F32-H32*$J$5*F32,)</f>
        <v/>
      </c>
      <c r="N32" s="223">
        <f>IFERROR(M32/(K32-M32),)</f>
        <v/>
      </c>
      <c r="O32" s="86" t="inlineStr">
        <is>
          <t>미국채커</t>
        </is>
      </c>
      <c r="P32" s="201" t="n"/>
      <c r="Q32" s="201" t="n"/>
      <c r="R32" s="201" t="n"/>
    </row>
    <row r="33" ht="12.75" customHeight="1" s="202">
      <c r="A33" s="201" t="inlineStr">
        <is>
          <t>ISA</t>
        </is>
      </c>
      <c r="B33" s="201" t="n">
        <v>25</v>
      </c>
      <c r="C33" s="219" t="inlineStr">
        <is>
          <t>한국</t>
        </is>
      </c>
      <c r="D33" s="97" t="inlineStr">
        <is>
          <t>0072R0</t>
        </is>
      </c>
      <c r="E33" s="98" t="inlineStr">
        <is>
          <t>TIGER KRX금현물</t>
        </is>
      </c>
      <c r="F33" s="99" t="n">
        <v>210</v>
      </c>
      <c r="G33" s="212" t="n">
        <v>14544</v>
      </c>
      <c r="H33" s="225" t="n"/>
      <c r="I33" s="220" t="n">
        <v>13815</v>
      </c>
      <c r="J33" s="221" t="n"/>
      <c r="K33" s="222">
        <f>IFERROR(I33*F33+J33*$J$5*F33,)</f>
        <v/>
      </c>
      <c r="L33" s="90">
        <f>IFERROR(K33/$K$8,)</f>
        <v/>
      </c>
      <c r="M33" s="217">
        <f>IFERROR(K33-G33*F33-H33*$J$5*F33,)</f>
        <v/>
      </c>
      <c r="N33" s="223">
        <f>IFERROR(M33/(K33-M33),)</f>
        <v/>
      </c>
      <c r="O33" s="86" t="inlineStr">
        <is>
          <t>금</t>
        </is>
      </c>
      <c r="P33" s="201" t="n"/>
      <c r="Q33" s="201" t="n"/>
      <c r="R33" s="201" t="n"/>
    </row>
    <row r="34" ht="12.75" customHeight="1" s="202">
      <c r="A34" s="201" t="inlineStr">
        <is>
          <t>ISA</t>
        </is>
      </c>
      <c r="B34" s="201" t="n">
        <v>26</v>
      </c>
      <c r="C34" s="219" t="inlineStr">
        <is>
          <t>한국</t>
        </is>
      </c>
      <c r="D34" s="97" t="inlineStr">
        <is>
          <t>005389</t>
        </is>
      </c>
      <c r="E34" s="98" t="inlineStr">
        <is>
          <t>현대차3우B</t>
        </is>
      </c>
      <c r="F34" s="99" t="n">
        <v>13</v>
      </c>
      <c r="G34" s="212" t="n">
        <v>160810</v>
      </c>
      <c r="H34" s="225" t="n"/>
      <c r="I34" s="220" t="n">
        <v>190700</v>
      </c>
      <c r="J34" s="221" t="n"/>
      <c r="K34" s="222">
        <f>IFERROR(I34*F34+J34*$J$5*F34,)</f>
        <v/>
      </c>
      <c r="L34" s="90">
        <f>IFERROR(K34/$K$8,)</f>
        <v/>
      </c>
      <c r="M34" s="217">
        <f>IFERROR(K34-G34*F34-H34*$J$5*F34,)</f>
        <v/>
      </c>
      <c r="N34" s="223">
        <f>IFERROR(M34/(K34-M34),)</f>
        <v/>
      </c>
      <c r="O34" s="86" t="inlineStr">
        <is>
          <t>현대차</t>
        </is>
      </c>
      <c r="P34" s="201" t="n"/>
      <c r="Q34" s="201" t="n"/>
      <c r="R34" s="201" t="n"/>
    </row>
    <row r="35" ht="12.75" customHeight="1" s="202">
      <c r="A35" s="201" t="inlineStr">
        <is>
          <t>ISA</t>
        </is>
      </c>
      <c r="B35" s="201" t="n">
        <v>27</v>
      </c>
      <c r="C35" s="219" t="inlineStr">
        <is>
          <t>한국</t>
        </is>
      </c>
      <c r="D35" s="97" t="inlineStr">
        <is>
          <t>364980</t>
        </is>
      </c>
      <c r="E35" s="98" t="inlineStr">
        <is>
          <t>TIGER 2차전지TOP10</t>
        </is>
      </c>
      <c r="F35" s="99" t="n">
        <v>176</v>
      </c>
      <c r="G35" s="212" t="n">
        <v>8477</v>
      </c>
      <c r="H35" s="225" t="n"/>
      <c r="I35" s="220" t="n">
        <v>10190</v>
      </c>
      <c r="J35" s="221" t="n"/>
      <c r="K35" s="222">
        <f>IFERROR(I35*F35+J35*$J$5*F35,)</f>
        <v/>
      </c>
      <c r="L35" s="90">
        <f>IFERROR(K35/$K$8,)</f>
        <v/>
      </c>
      <c r="M35" s="217">
        <f>IFERROR(K35-G35*F35-H35*$J$5*F35,)</f>
        <v/>
      </c>
      <c r="N35" s="223">
        <f>IFERROR(M35/(K35-M35),)</f>
        <v/>
      </c>
      <c r="O35" s="86" t="inlineStr">
        <is>
          <t>이차전지</t>
        </is>
      </c>
      <c r="P35" s="201" t="n"/>
      <c r="Q35" s="201" t="n"/>
      <c r="R35" s="201" t="n"/>
    </row>
    <row r="36" ht="12.75" customHeight="1" s="202">
      <c r="A36" s="201" t="inlineStr">
        <is>
          <t>ISA</t>
        </is>
      </c>
      <c r="B36" s="201" t="n">
        <v>28</v>
      </c>
      <c r="C36" s="219" t="inlineStr">
        <is>
          <t>한국</t>
        </is>
      </c>
      <c r="D36" s="97" t="inlineStr">
        <is>
          <t>476690</t>
        </is>
      </c>
      <c r="E36" s="98" t="inlineStr">
        <is>
          <t>TIGER 글로벌비만치료제 TOP2 Plus</t>
        </is>
      </c>
      <c r="F36" s="99" t="n">
        <v>100</v>
      </c>
      <c r="G36" s="212" t="n">
        <v>9378</v>
      </c>
      <c r="H36" s="225" t="n"/>
      <c r="I36" s="220" t="n">
        <v>11090</v>
      </c>
      <c r="J36" s="221" t="n"/>
      <c r="K36" s="222">
        <f>IFERROR(I36*F36+J36*$J$5*F36,)</f>
        <v/>
      </c>
      <c r="L36" s="90">
        <f>IFERROR(K36/$K$8,)</f>
        <v/>
      </c>
      <c r="M36" s="217">
        <f>IFERROR(K36-G36*F36-H36*$J$5*F36,)</f>
        <v/>
      </c>
      <c r="N36" s="223">
        <f>IFERROR(M36/(K36-M36),)</f>
        <v/>
      </c>
      <c r="O36" s="86" t="inlineStr">
        <is>
          <t>헬스</t>
        </is>
      </c>
      <c r="P36" s="201" t="n"/>
      <c r="Q36" s="201" t="n"/>
      <c r="R36" s="201" t="n"/>
    </row>
    <row r="37" ht="12.75" customHeight="1" s="202">
      <c r="A37" s="201" t="inlineStr">
        <is>
          <t>ISA</t>
        </is>
      </c>
      <c r="B37" s="201" t="n">
        <v>29</v>
      </c>
      <c r="C37" s="219" t="inlineStr">
        <is>
          <t>한국</t>
        </is>
      </c>
      <c r="D37" s="97" t="inlineStr">
        <is>
          <t>475380</t>
        </is>
      </c>
      <c r="E37" s="98" t="inlineStr">
        <is>
          <t>RISE 글로벌리얼티인컴</t>
        </is>
      </c>
      <c r="F37" s="99" t="n">
        <v>101</v>
      </c>
      <c r="G37" s="212" t="n">
        <v>9891</v>
      </c>
      <c r="H37" s="225" t="n"/>
      <c r="I37" s="220" t="n">
        <v>10435</v>
      </c>
      <c r="J37" s="221" t="n"/>
      <c r="K37" s="222">
        <f>IFERROR(I37*F37+J37*$J$5*F37,)</f>
        <v/>
      </c>
      <c r="L37" s="90">
        <f>IFERROR(K37/$K$8,)</f>
        <v/>
      </c>
      <c r="M37" s="217">
        <f>IFERROR(K37-G37*F37-H37*$J$5*F37,)</f>
        <v/>
      </c>
      <c r="N37" s="223">
        <f>IFERROR(M37/(K37-M37),)</f>
        <v/>
      </c>
      <c r="O37" s="86" t="inlineStr">
        <is>
          <t>리츠</t>
        </is>
      </c>
      <c r="P37" s="201" t="n"/>
      <c r="Q37" s="201" t="n"/>
      <c r="R37" s="201" t="n"/>
    </row>
    <row r="38" ht="12.75" customHeight="1" s="202">
      <c r="A38" s="201" t="inlineStr">
        <is>
          <t>일반계좌</t>
        </is>
      </c>
      <c r="B38" s="201" t="n">
        <v>30</v>
      </c>
      <c r="C38" s="219" t="inlineStr">
        <is>
          <t>한국</t>
        </is>
      </c>
      <c r="D38" s="97" t="inlineStr">
        <is>
          <t>005930</t>
        </is>
      </c>
      <c r="E38" s="98" t="inlineStr">
        <is>
          <t>삼성전자</t>
        </is>
      </c>
      <c r="F38" s="99" t="n">
        <v>55</v>
      </c>
      <c r="G38" s="212" t="n">
        <v>160500</v>
      </c>
      <c r="H38" s="225" t="n"/>
      <c r="I38" s="220" t="n">
        <v>256500</v>
      </c>
      <c r="J38" s="221" t="n"/>
      <c r="K38" s="222">
        <f>IFERROR(I38*F38+J38*$J$5*F38,)</f>
        <v/>
      </c>
      <c r="L38" s="90">
        <f>IFERROR(K38/$K$8,)</f>
        <v/>
      </c>
      <c r="M38" s="217">
        <f>IFERROR(K38-G38*F38-H38*$J$5*F38,)</f>
        <v/>
      </c>
      <c r="N38" s="223">
        <f>IFERROR(M38/(K38-M38),)</f>
        <v/>
      </c>
      <c r="O38" s="86" t="inlineStr">
        <is>
          <t>삼전</t>
        </is>
      </c>
      <c r="P38" s="201" t="n"/>
      <c r="Q38" s="201" t="n"/>
      <c r="R38" s="201" t="n"/>
    </row>
    <row r="39" ht="12.75" customHeight="1" s="202">
      <c r="A39" s="201" t="inlineStr">
        <is>
          <t>일반계좌</t>
        </is>
      </c>
      <c r="B39" s="201" t="n">
        <v>31</v>
      </c>
      <c r="C39" s="219" t="inlineStr">
        <is>
          <t>한국</t>
        </is>
      </c>
      <c r="D39" s="97" t="inlineStr">
        <is>
          <t>005930</t>
        </is>
      </c>
      <c r="E39" s="98" t="inlineStr">
        <is>
          <t>삼성전자</t>
        </is>
      </c>
      <c r="F39" s="99" t="n">
        <v>44</v>
      </c>
      <c r="G39" s="212" t="n">
        <v>199400</v>
      </c>
      <c r="H39" s="225" t="n"/>
      <c r="I39" s="220" t="n">
        <v>256500</v>
      </c>
      <c r="J39" s="221" t="n"/>
      <c r="K39" s="222">
        <f>IFERROR(I39*F39+J39*$J$5*F39,)</f>
        <v/>
      </c>
      <c r="L39" s="90">
        <f>IFERROR(K39/$K$8,)</f>
        <v/>
      </c>
      <c r="M39" s="217">
        <f>IFERROR(K39-G39*F39-H39*$J$5*F39,)</f>
        <v/>
      </c>
      <c r="N39" s="223">
        <f>IFERROR(M39/(K39-M39),)</f>
        <v/>
      </c>
      <c r="O39" s="86" t="inlineStr">
        <is>
          <t>삼전</t>
        </is>
      </c>
      <c r="P39" s="201" t="n"/>
      <c r="Q39" s="201" t="n"/>
      <c r="R39" s="201" t="n"/>
    </row>
    <row r="40" ht="12.75" customHeight="1" s="202">
      <c r="A40" s="72" t="inlineStr">
        <is>
          <t>일반계좌</t>
        </is>
      </c>
      <c r="B40" s="201" t="n">
        <v>32</v>
      </c>
      <c r="C40" s="219" t="inlineStr">
        <is>
          <t>한국</t>
        </is>
      </c>
      <c r="D40" s="97" t="inlineStr">
        <is>
          <t>498400</t>
        </is>
      </c>
      <c r="E40" s="98" t="inlineStr">
        <is>
          <t>KODEX 200타켓위클리커버드콜</t>
        </is>
      </c>
      <c r="F40" s="99" t="n">
        <v>611</v>
      </c>
      <c r="G40" s="212" t="n">
        <v>21321</v>
      </c>
      <c r="H40" s="225" t="n"/>
      <c r="I40" s="220" t="n">
        <v>20025</v>
      </c>
      <c r="J40" s="221" t="n"/>
      <c r="K40" s="222">
        <f>IFERROR(I40*F40+J40*$J$5*F40,)</f>
        <v/>
      </c>
      <c r="L40" s="90">
        <f>IFERROR(K40/$K$8,)</f>
        <v/>
      </c>
      <c r="M40" s="217">
        <f>IFERROR(K40-G40*F40-H40*$J$5*F40,)</f>
        <v/>
      </c>
      <c r="N40" s="223">
        <f>IFERROR(M40/(K40-M40),)</f>
        <v/>
      </c>
      <c r="O40" s="86" t="inlineStr">
        <is>
          <t>헬스</t>
        </is>
      </c>
      <c r="P40" s="201" t="n"/>
      <c r="Q40" s="201" t="n"/>
      <c r="R40" s="201" t="n"/>
    </row>
    <row r="41">
      <c r="A41" s="72" t="inlineStr">
        <is>
          <t>일반계좌</t>
        </is>
      </c>
      <c r="B41" s="201" t="n">
        <v>33</v>
      </c>
      <c r="C41" s="219" t="inlineStr">
        <is>
          <t>미국</t>
        </is>
      </c>
      <c r="D41" s="97" t="inlineStr">
        <is>
          <t>TSLA</t>
        </is>
      </c>
      <c r="E41" s="98" t="inlineStr">
        <is>
          <t>테슬라</t>
        </is>
      </c>
      <c r="F41" s="99" t="n">
        <v>17</v>
      </c>
      <c r="G41" s="212" t="n"/>
      <c r="H41" s="225" t="n">
        <v>280.9963</v>
      </c>
      <c r="I41" s="222" t="n"/>
      <c r="J41" s="92" t="n">
        <v>362.8599853515625</v>
      </c>
      <c r="K41" s="222">
        <f>IFERROR(I41*F41+J41*$J$5*F41,)</f>
        <v/>
      </c>
      <c r="L41" s="90">
        <f>IFERROR(K41/$K$8,)</f>
        <v/>
      </c>
      <c r="M41" s="217">
        <f>IFERROR(K41-G41*F41-H41*$J$5*F41,)</f>
        <v/>
      </c>
      <c r="N41" s="223">
        <f>IFERROR(M41/(K41-M41),)</f>
        <v/>
      </c>
      <c r="O41" s="86" t="inlineStr">
        <is>
          <t>테슬라</t>
        </is>
      </c>
      <c r="P41" s="201" t="n"/>
      <c r="Q41" s="201" t="n"/>
      <c r="R41" s="201" t="n"/>
    </row>
    <row r="42">
      <c r="A42" s="72" t="inlineStr">
        <is>
          <t>일반계좌</t>
        </is>
      </c>
      <c r="B42" s="201" t="n">
        <v>34</v>
      </c>
      <c r="C42" s="219" t="inlineStr">
        <is>
          <t>미국</t>
        </is>
      </c>
      <c r="D42" s="97" t="inlineStr">
        <is>
          <t>O</t>
        </is>
      </c>
      <c r="E42" s="98" t="inlineStr">
        <is>
          <t>리얼티인컴</t>
        </is>
      </c>
      <c r="F42" s="99" t="n">
        <v>53</v>
      </c>
      <c r="G42" s="212" t="n"/>
      <c r="H42" s="225" t="n">
        <v>53.53</v>
      </c>
      <c r="I42" s="222" t="n"/>
      <c r="J42" s="92" t="n">
        <v>62.59999847412109</v>
      </c>
      <c r="K42" s="222">
        <f>IFERROR(I42*F42+J42*$J$5*F42,)</f>
        <v/>
      </c>
      <c r="L42" s="90">
        <f>IFERROR(K42/$K$8,)</f>
        <v/>
      </c>
      <c r="M42" s="217">
        <f>IFERROR(K42-G42*F42-H42*$J$5*F42,)</f>
        <v/>
      </c>
      <c r="N42" s="223">
        <f>IFERROR(M42/(K42-M42),)</f>
        <v/>
      </c>
      <c r="O42" s="86" t="inlineStr">
        <is>
          <t>미국리츠</t>
        </is>
      </c>
      <c r="P42" s="201" t="n"/>
      <c r="Q42" s="201" t="n"/>
      <c r="R42" s="201" t="n"/>
    </row>
    <row r="43">
      <c r="A43" s="72" t="inlineStr">
        <is>
          <t>일반계좌</t>
        </is>
      </c>
      <c r="B43" s="201" t="n">
        <v>35</v>
      </c>
      <c r="C43" s="219" t="inlineStr">
        <is>
          <t>미국</t>
        </is>
      </c>
      <c r="D43" s="97" t="inlineStr">
        <is>
          <t>IONQ</t>
        </is>
      </c>
      <c r="E43" s="98" t="inlineStr">
        <is>
          <t>아이온큐</t>
        </is>
      </c>
      <c r="F43" s="99" t="n">
        <v>91</v>
      </c>
      <c r="G43" s="212" t="n"/>
      <c r="H43" s="225" t="n">
        <v>29.68</v>
      </c>
      <c r="I43" s="222" t="n"/>
      <c r="J43" s="92" t="n">
        <v>44.86000061035156</v>
      </c>
      <c r="K43" s="222">
        <f>IFERROR(I43*F43+J43*$J$5*F43,)</f>
        <v/>
      </c>
      <c r="L43" s="90">
        <f>IFERROR(K43/$K$8,)</f>
        <v/>
      </c>
      <c r="M43" s="217">
        <f>IFERROR(K43-G43*F43-H43*$J$5*F43,)</f>
        <v/>
      </c>
      <c r="N43" s="223">
        <f>IFERROR(M43/(K43-M43),)</f>
        <v/>
      </c>
      <c r="O43" s="86" t="inlineStr">
        <is>
          <t>양자</t>
        </is>
      </c>
      <c r="P43" s="201" t="n"/>
      <c r="Q43" s="201" t="n"/>
      <c r="R43" s="201" t="n"/>
    </row>
    <row r="44">
      <c r="A44" s="72" t="inlineStr">
        <is>
          <t>일반계좌</t>
        </is>
      </c>
      <c r="B44" s="201" t="n">
        <v>36</v>
      </c>
      <c r="C44" s="219" t="inlineStr">
        <is>
          <t>미국</t>
        </is>
      </c>
      <c r="D44" s="97" t="inlineStr">
        <is>
          <t>AAPL</t>
        </is>
      </c>
      <c r="E44" s="98" t="inlineStr">
        <is>
          <t>애플</t>
        </is>
      </c>
      <c r="F44" s="99" t="n">
        <v>9</v>
      </c>
      <c r="G44" s="212" t="n"/>
      <c r="H44" s="225" t="n">
        <v>208.16</v>
      </c>
      <c r="I44" s="222" t="n"/>
      <c r="J44" s="92" t="n">
        <v>309.3500061035156</v>
      </c>
      <c r="K44" s="222">
        <f>IFERROR(I44*F44+J44*$J$5*F44,)</f>
        <v/>
      </c>
      <c r="L44" s="90">
        <f>IFERROR(K44/$K$8,)</f>
        <v/>
      </c>
      <c r="M44" s="217">
        <f>IFERROR(K44-G44*F44-H44*$J$5*F44,)</f>
        <v/>
      </c>
      <c r="N44" s="223">
        <f>IFERROR(M44/(K44-M44),)</f>
        <v/>
      </c>
      <c r="O44" s="86" t="inlineStr">
        <is>
          <t>애플</t>
        </is>
      </c>
      <c r="P44" s="201" t="n"/>
      <c r="Q44" s="201" t="n"/>
      <c r="R44" s="201" t="n"/>
    </row>
    <row r="45">
      <c r="A45" s="72" t="inlineStr">
        <is>
          <t>일반계좌</t>
        </is>
      </c>
      <c r="B45" s="201" t="n">
        <v>37</v>
      </c>
      <c r="C45" s="219" t="inlineStr">
        <is>
          <t>한국</t>
        </is>
      </c>
      <c r="D45" s="97" t="inlineStr">
        <is>
          <t>024110</t>
        </is>
      </c>
      <c r="E45" s="98" t="inlineStr">
        <is>
          <t>기업은행</t>
        </is>
      </c>
      <c r="F45" s="99" t="n">
        <v>179</v>
      </c>
      <c r="G45" s="212" t="n">
        <v>21932</v>
      </c>
      <c r="H45" s="225" t="n"/>
      <c r="I45" s="220" t="n">
        <v>20200</v>
      </c>
      <c r="J45" s="221" t="n"/>
      <c r="K45" s="222">
        <f>IFERROR(I45*F45+J45*$J$5*F45,)</f>
        <v/>
      </c>
      <c r="L45" s="90">
        <f>IFERROR(K45/$K$8,)</f>
        <v/>
      </c>
      <c r="M45" s="217">
        <f>IFERROR(K45-G45*F45-H45*$J$5*F45,)</f>
        <v/>
      </c>
      <c r="N45" s="223">
        <f>IFERROR(M45/(K45-M45),)</f>
        <v/>
      </c>
      <c r="O45" s="86" t="inlineStr">
        <is>
          <t>기업은행</t>
        </is>
      </c>
      <c r="P45" s="201" t="n"/>
      <c r="Q45" s="201" t="n"/>
      <c r="R45" s="201" t="n"/>
    </row>
    <row r="46">
      <c r="A46" s="72" t="inlineStr">
        <is>
          <t>일반계좌</t>
        </is>
      </c>
      <c r="B46" s="201" t="n">
        <v>38</v>
      </c>
      <c r="C46" s="219" t="inlineStr">
        <is>
          <t>한국</t>
        </is>
      </c>
      <c r="D46" s="97" t="inlineStr">
        <is>
          <t>352820</t>
        </is>
      </c>
      <c r="E46" s="98" t="inlineStr">
        <is>
          <t>하이브</t>
        </is>
      </c>
      <c r="F46" s="99" t="n">
        <v>18</v>
      </c>
      <c r="G46" s="212" t="n">
        <v>222701</v>
      </c>
      <c r="H46" s="225" t="n"/>
      <c r="I46" s="220" t="n">
        <v>174400</v>
      </c>
      <c r="J46" s="221" t="n"/>
      <c r="K46" s="222">
        <f>IFERROR(I46*F46+J46*$J$5*F46,)</f>
        <v/>
      </c>
      <c r="L46" s="90">
        <f>IFERROR(K46/$K$8,)</f>
        <v/>
      </c>
      <c r="M46" s="217">
        <f>IFERROR(K46-G46*F46-H46*$J$5*F46,)</f>
        <v/>
      </c>
      <c r="N46" s="223">
        <f>IFERROR(M46/(K46-M46),)</f>
        <v/>
      </c>
      <c r="O46" s="86" t="inlineStr">
        <is>
          <t>엔터</t>
        </is>
      </c>
      <c r="P46" s="201" t="n"/>
      <c r="Q46" s="201" t="n"/>
      <c r="R46" s="201" t="n"/>
    </row>
    <row r="47">
      <c r="A47" s="72" t="inlineStr">
        <is>
          <t>일반계좌</t>
        </is>
      </c>
      <c r="B47" s="201" t="n">
        <v>39</v>
      </c>
      <c r="C47" s="219" t="inlineStr">
        <is>
          <t>미국</t>
        </is>
      </c>
      <c r="D47" s="97" t="inlineStr">
        <is>
          <t>QLD</t>
        </is>
      </c>
      <c r="E47" s="98" t="inlineStr">
        <is>
          <t>QLD</t>
        </is>
      </c>
      <c r="F47" s="99" t="n">
        <v>43</v>
      </c>
      <c r="G47" s="212" t="n"/>
      <c r="H47" s="225" t="n">
        <v>87.3673</v>
      </c>
      <c r="I47" s="222" t="n"/>
      <c r="J47" s="92" t="n">
        <v>89.52999877929688</v>
      </c>
      <c r="K47" s="222">
        <f>IFERROR(I47*F47+J47*$J$5*F47,)</f>
        <v/>
      </c>
      <c r="L47" s="90">
        <f>IFERROR(K47/$K$8,)</f>
        <v/>
      </c>
      <c r="M47" s="217">
        <f>IFERROR(K47-G47*F47-H47*$J$5*F47,)</f>
        <v/>
      </c>
      <c r="N47" s="223">
        <f>IFERROR(M47/(K47-M47),)</f>
        <v/>
      </c>
      <c r="O47" s="86" t="inlineStr">
        <is>
          <t>나스닥</t>
        </is>
      </c>
      <c r="P47" s="201" t="n"/>
      <c r="Q47" s="201" t="n"/>
      <c r="R47" s="201" t="n"/>
    </row>
    <row r="48">
      <c r="A48" s="72" t="inlineStr">
        <is>
          <t>일반계좌</t>
        </is>
      </c>
      <c r="B48" s="201" t="n">
        <v>40</v>
      </c>
      <c r="C48" s="104" t="inlineStr">
        <is>
          <t>한국</t>
        </is>
      </c>
      <c r="D48" s="104" t="n">
        <v>105560</v>
      </c>
      <c r="E48" s="104" t="inlineStr">
        <is>
          <t>KB금융</t>
        </is>
      </c>
      <c r="F48" s="104" t="n">
        <v>12</v>
      </c>
      <c r="G48" s="226" t="n">
        <v>173127</v>
      </c>
      <c r="H48" s="104" t="n"/>
      <c r="I48" s="220" t="n">
        <v>162700</v>
      </c>
      <c r="J48" s="86" t="n"/>
      <c r="K48" s="222">
        <f>IFERROR(I48*F48+J48*$J$5*F48,)</f>
        <v/>
      </c>
      <c r="L48" s="90">
        <f>IFERROR(K48/$K$8,)</f>
        <v/>
      </c>
      <c r="M48" s="217">
        <f>IFERROR(K48-G48*F48-H48*$J$5*F48,)</f>
        <v/>
      </c>
      <c r="N48" s="223">
        <f>IFERROR(M48/(K48-M48),)</f>
        <v/>
      </c>
      <c r="O48" s="86" t="inlineStr">
        <is>
          <t>KB금융</t>
        </is>
      </c>
      <c r="P48" s="201" t="n"/>
      <c r="Q48" s="201" t="n"/>
      <c r="R48" s="201" t="n"/>
    </row>
    <row r="49">
      <c r="A49" s="72" t="inlineStr">
        <is>
          <t>일반계좌</t>
        </is>
      </c>
      <c r="B49" s="201" t="n">
        <v>41</v>
      </c>
      <c r="C49" s="219" t="n"/>
      <c r="D49" s="106" t="inlineStr">
        <is>
          <t>현금</t>
        </is>
      </c>
      <c r="E49" s="128" t="inlineStr">
        <is>
          <t>CMA RP</t>
        </is>
      </c>
      <c r="F49" s="108" t="n">
        <v>1</v>
      </c>
      <c r="G49" s="227" t="n">
        <v>2200781</v>
      </c>
      <c r="H49" s="228" t="n"/>
      <c r="I49" s="216">
        <f>G49</f>
        <v/>
      </c>
      <c r="J49" s="221" t="n"/>
      <c r="K49" s="222">
        <f>IFERROR(I49*F49+J49*$J$5*F49,)</f>
        <v/>
      </c>
      <c r="L49" s="90">
        <f>IFERROR(K49/$K$8,)</f>
        <v/>
      </c>
      <c r="M49" s="217">
        <f>IFERROR(K49-G49*F49-H49*$J$5*F49,)</f>
        <v/>
      </c>
      <c r="N49" s="223">
        <f>IFERROR(M49/(K49-M49),)</f>
        <v/>
      </c>
      <c r="O49" s="86" t="inlineStr">
        <is>
          <t>예수금</t>
        </is>
      </c>
      <c r="P49" s="201" t="n"/>
      <c r="Q49" s="201" t="n"/>
      <c r="R49" s="201" t="n"/>
    </row>
    <row r="50">
      <c r="A50" s="72" t="inlineStr">
        <is>
          <t>일반계좌</t>
        </is>
      </c>
      <c r="B50" s="201" t="n">
        <v>43</v>
      </c>
      <c r="C50" s="219" t="inlineStr">
        <is>
          <t>한국</t>
        </is>
      </c>
      <c r="D50" s="97" t="inlineStr">
        <is>
          <t>0219E0</t>
        </is>
      </c>
      <c r="E50" s="98" t="inlineStr">
        <is>
          <t>KODEX 200커버드콜액티브</t>
        </is>
      </c>
      <c r="F50" s="99" t="n">
        <v>1256</v>
      </c>
      <c r="G50" s="212" t="n">
        <v>8294</v>
      </c>
      <c r="H50" s="225" t="n"/>
      <c r="I50" s="220" t="n">
        <v>8340</v>
      </c>
      <c r="J50" s="221" t="n"/>
      <c r="K50" s="222">
        <f>IFERROR(I50*F50+J50*$J$5*F50,)</f>
        <v/>
      </c>
      <c r="L50" s="90">
        <f>IFERROR(K50/$K$8,)</f>
        <v/>
      </c>
      <c r="M50" s="217">
        <f>IFERROR(K50-G50*F50-H50*$J$5*F50,)</f>
        <v/>
      </c>
      <c r="N50" s="223">
        <f>IFERROR(M50/(K50-M50),)</f>
        <v/>
      </c>
      <c r="O50" s="86" t="n"/>
      <c r="P50" s="201" t="n"/>
      <c r="Q50" s="201" t="n"/>
      <c r="R50" s="201" t="n"/>
    </row>
    <row r="51" ht="12.75" customHeight="1" s="202">
      <c r="A51" s="72" t="inlineStr">
        <is>
          <t>일반계좌</t>
        </is>
      </c>
      <c r="B51" s="201" t="n">
        <v>44</v>
      </c>
      <c r="C51" s="219" t="n"/>
      <c r="D51" s="106" t="inlineStr">
        <is>
          <t>현금</t>
        </is>
      </c>
      <c r="E51" s="206" t="inlineStr">
        <is>
          <t>예수금(직투달러)</t>
        </is>
      </c>
      <c r="F51" s="108" t="n">
        <v>1</v>
      </c>
      <c r="G51" s="227" t="n">
        <v>442000</v>
      </c>
      <c r="H51" s="228" t="n"/>
      <c r="I51" s="216">
        <f>G51</f>
        <v/>
      </c>
      <c r="J51" s="221" t="n"/>
      <c r="K51" s="222">
        <f>IFERROR(I51*F51+J51*$J$5*F51,)</f>
        <v/>
      </c>
      <c r="L51" s="90">
        <f>IFERROR(K51/$K$8,)</f>
        <v/>
      </c>
      <c r="M51" s="217">
        <f>IFERROR(K51-G51*F51-H51*$J$5*F51,)</f>
        <v/>
      </c>
      <c r="N51" s="223">
        <f>IFERROR(M51/(K51-M51),)</f>
        <v/>
      </c>
      <c r="O51" s="86" t="inlineStr">
        <is>
          <t>현금</t>
        </is>
      </c>
      <c r="P51" s="201" t="n"/>
      <c r="Q51" s="201" t="n"/>
      <c r="R51" s="201" t="n"/>
    </row>
    <row r="52" ht="12.75" customHeight="1" s="202">
      <c r="A52" s="72" t="inlineStr">
        <is>
          <t>일반계좌</t>
        </is>
      </c>
      <c r="B52" s="201" t="n">
        <v>45</v>
      </c>
      <c r="C52" s="219" t="inlineStr">
        <is>
          <t>한국</t>
        </is>
      </c>
      <c r="D52" s="97" t="inlineStr">
        <is>
          <t>041510</t>
        </is>
      </c>
      <c r="E52" s="98" t="inlineStr">
        <is>
          <t>에스엠</t>
        </is>
      </c>
      <c r="F52" s="99" t="n">
        <v>24</v>
      </c>
      <c r="G52" s="212" t="n">
        <v>87423</v>
      </c>
      <c r="H52" s="225" t="n"/>
      <c r="I52" s="220" t="n">
        <v>71800</v>
      </c>
      <c r="J52" s="221" t="n"/>
      <c r="K52" s="222">
        <f>IFERROR(I52*F52+J52*$J$5*F52,)</f>
        <v/>
      </c>
      <c r="L52" s="90">
        <f>IFERROR(K52/$K$8,)</f>
        <v/>
      </c>
      <c r="M52" s="217">
        <f>IFERROR(K52-G52*F52-H52*$J$5*F52,)</f>
        <v/>
      </c>
      <c r="N52" s="223">
        <f>IFERROR(M52/(K52-M52),)</f>
        <v/>
      </c>
      <c r="O52" s="86" t="inlineStr">
        <is>
          <t>엔터</t>
        </is>
      </c>
      <c r="P52" s="201" t="n"/>
      <c r="Q52" s="201" t="n"/>
      <c r="R52" s="201" t="n"/>
    </row>
    <row r="53" ht="12.75" customHeight="1" s="202">
      <c r="A53" s="72" t="inlineStr">
        <is>
          <t>일반계좌</t>
        </is>
      </c>
      <c r="B53" s="201" t="n">
        <v>46</v>
      </c>
      <c r="C53" s="219" t="n"/>
      <c r="D53" s="106" t="inlineStr">
        <is>
          <t>현금</t>
        </is>
      </c>
      <c r="E53" s="107" t="inlineStr">
        <is>
          <t>현금성자산(삼성증권)</t>
        </is>
      </c>
      <c r="F53" s="108" t="n">
        <v>1</v>
      </c>
      <c r="G53" s="227" t="n"/>
      <c r="H53" s="228" t="n"/>
      <c r="I53" s="216">
        <f>G53</f>
        <v/>
      </c>
      <c r="J53" s="221" t="n"/>
      <c r="K53" s="222">
        <f>IFERROR(I53*F53+J53*$J$5*F53,)</f>
        <v/>
      </c>
      <c r="L53" s="90">
        <f>IFERROR(K53/$K$8,)</f>
        <v/>
      </c>
      <c r="M53" s="217">
        <f>IFERROR(K53-G53*F53-H53*$J$5*F53,)</f>
        <v/>
      </c>
      <c r="N53" s="223">
        <f>IFERROR(M53/(K53-M53),)</f>
        <v/>
      </c>
      <c r="O53" s="86" t="inlineStr">
        <is>
          <t>현금</t>
        </is>
      </c>
      <c r="P53" s="201" t="n"/>
      <c r="Q53" s="201" t="n"/>
      <c r="R53" s="201" t="n"/>
    </row>
    <row r="54">
      <c r="A54" s="72" t="inlineStr">
        <is>
          <t>일반계좌</t>
        </is>
      </c>
      <c r="B54" s="201" t="n">
        <v>47</v>
      </c>
      <c r="C54" s="219" t="inlineStr">
        <is>
          <t>미국</t>
        </is>
      </c>
      <c r="D54" s="97" t="inlineStr">
        <is>
          <t>SPCX</t>
        </is>
      </c>
      <c r="E54" s="98" t="inlineStr">
        <is>
          <t>스페이스 X</t>
        </is>
      </c>
      <c r="F54" s="99" t="n">
        <v>7</v>
      </c>
      <c r="G54" s="212" t="n"/>
      <c r="H54" s="225" t="n">
        <v>180.0771</v>
      </c>
      <c r="I54" s="222" t="n"/>
      <c r="J54" s="92" t="n">
        <v>136.9700012207031</v>
      </c>
      <c r="K54" s="222">
        <f>IFERROR(I54*F54+J54*$J$5*F54,)</f>
        <v/>
      </c>
      <c r="L54" s="90">
        <f>IFERROR(K54/$K$8,)</f>
        <v/>
      </c>
      <c r="M54" s="217">
        <f>IFERROR(K54-G54*F54-H54*$J$5*F54,)</f>
        <v/>
      </c>
      <c r="N54" s="223">
        <f>IFERROR(M54/(K54-M54),)</f>
        <v/>
      </c>
      <c r="O54" s="86" t="inlineStr">
        <is>
          <t>스엑</t>
        </is>
      </c>
      <c r="P54" s="201" t="n"/>
      <c r="Q54" s="201" t="n"/>
      <c r="R54" s="201" t="n"/>
    </row>
    <row r="55">
      <c r="A55" s="72" t="inlineStr">
        <is>
          <t>일반계좌</t>
        </is>
      </c>
      <c r="B55" s="201" t="n">
        <v>48</v>
      </c>
      <c r="C55" s="219" t="inlineStr">
        <is>
          <t>미국</t>
        </is>
      </c>
      <c r="D55" s="97" t="inlineStr">
        <is>
          <t>AMT</t>
        </is>
      </c>
      <c r="E55" s="98" t="inlineStr">
        <is>
          <t>아메리칸타워</t>
        </is>
      </c>
      <c r="F55" s="99" t="n">
        <v>5</v>
      </c>
      <c r="G55" s="212" t="n"/>
      <c r="H55" s="225" t="n">
        <v>185.84</v>
      </c>
      <c r="I55" s="222" t="n"/>
      <c r="J55" s="92" t="n">
        <v>175.8000030517578</v>
      </c>
      <c r="K55" s="222">
        <f>IFERROR(I55*F55+J55*$J$5*F55,)</f>
        <v/>
      </c>
      <c r="L55" s="90">
        <f>IFERROR(K55/$K$8,)</f>
        <v/>
      </c>
      <c r="M55" s="217">
        <f>IFERROR(K55-G55*F55-H55*$J$5*F55,)</f>
        <v/>
      </c>
      <c r="N55" s="223">
        <f>IFERROR(M55/(K55-M55),)</f>
        <v/>
      </c>
      <c r="O55" s="86" t="inlineStr">
        <is>
          <t>아메리칸타워</t>
        </is>
      </c>
      <c r="P55" s="201" t="n"/>
      <c r="Q55" s="201" t="n"/>
      <c r="R55" s="201" t="n"/>
    </row>
    <row r="56">
      <c r="A56" s="72" t="inlineStr">
        <is>
          <t>일반계좌</t>
        </is>
      </c>
      <c r="B56" s="201" t="n">
        <v>49</v>
      </c>
      <c r="C56" s="219" t="inlineStr">
        <is>
          <t>미국</t>
        </is>
      </c>
      <c r="D56" s="97" t="inlineStr">
        <is>
          <t>NVDA</t>
        </is>
      </c>
      <c r="E56" s="98" t="inlineStr">
        <is>
          <t>엔비디아</t>
        </is>
      </c>
      <c r="F56" s="99" t="n">
        <v>4</v>
      </c>
      <c r="G56" s="212" t="n"/>
      <c r="H56" s="225" t="n">
        <v>169.016</v>
      </c>
      <c r="I56" s="222" t="n"/>
      <c r="J56" s="92" t="n">
        <v>214.7200012207031</v>
      </c>
      <c r="K56" s="222">
        <f>IFERROR(I56*F56+J56*$J$5*F56,)</f>
        <v/>
      </c>
      <c r="L56" s="90">
        <f>IFERROR(K56/$K$8,)</f>
        <v/>
      </c>
      <c r="M56" s="217">
        <f>IFERROR(K56-G56*F56-H56*$J$5*F56,)</f>
        <v/>
      </c>
      <c r="N56" s="223">
        <f>IFERROR(M56/(K56-M56),)</f>
        <v/>
      </c>
      <c r="O56" s="86" t="inlineStr">
        <is>
          <t>엔비디아</t>
        </is>
      </c>
      <c r="P56" s="201" t="n"/>
      <c r="Q56" s="201" t="n"/>
      <c r="R56" s="201" t="n"/>
    </row>
    <row r="57">
      <c r="A57" s="72" t="inlineStr">
        <is>
          <t>일반계좌</t>
        </is>
      </c>
      <c r="B57" s="201" t="n">
        <v>50</v>
      </c>
      <c r="C57" s="219" t="inlineStr">
        <is>
          <t>미국</t>
        </is>
      </c>
      <c r="D57" s="97" t="inlineStr">
        <is>
          <t>SCHD</t>
        </is>
      </c>
      <c r="E57" s="98" t="inlineStr">
        <is>
          <t>SCHD</t>
        </is>
      </c>
      <c r="F57" s="99" t="n">
        <v>24</v>
      </c>
      <c r="G57" s="212" t="n"/>
      <c r="H57" s="225" t="n">
        <v>27.59</v>
      </c>
      <c r="I57" s="222" t="n"/>
      <c r="J57" s="92" t="n">
        <v>35.11000061035156</v>
      </c>
      <c r="K57" s="222">
        <f>IFERROR(I57*F57+J57*$J$5*F57,)</f>
        <v/>
      </c>
      <c r="L57" s="90">
        <f>IFERROR(K57/$K$8,)</f>
        <v/>
      </c>
      <c r="M57" s="217">
        <f>IFERROR(K57-G57*F57-H57*$J$5*F57,)</f>
        <v/>
      </c>
      <c r="N57" s="223">
        <f>IFERROR(M57/(K57-M57),)</f>
        <v/>
      </c>
      <c r="O57" s="86" t="inlineStr">
        <is>
          <t>다우</t>
        </is>
      </c>
      <c r="P57" s="201" t="n"/>
      <c r="Q57" s="201" t="n"/>
      <c r="R57" s="201" t="n"/>
    </row>
    <row r="58">
      <c r="A58" s="72" t="inlineStr">
        <is>
          <t>일반계좌</t>
        </is>
      </c>
      <c r="B58" s="201" t="n">
        <v>51</v>
      </c>
      <c r="C58" s="219" t="inlineStr">
        <is>
          <t>미국</t>
        </is>
      </c>
      <c r="D58" s="97" t="inlineStr">
        <is>
          <t>MSFT</t>
        </is>
      </c>
      <c r="E58" s="98" t="inlineStr">
        <is>
          <t>마이크로소프트</t>
        </is>
      </c>
      <c r="F58" s="99" t="n">
        <v>2</v>
      </c>
      <c r="G58" s="212" t="n"/>
      <c r="H58" s="225" t="n">
        <v>408.19</v>
      </c>
      <c r="I58" s="222" t="n"/>
      <c r="J58" s="92" t="n">
        <v>483.239990234375</v>
      </c>
      <c r="K58" s="222">
        <f>IFERROR(I58*F58+J58*$J$5*F58,)</f>
        <v/>
      </c>
      <c r="L58" s="90">
        <f>IFERROR(K58/$K$8,)</f>
        <v/>
      </c>
      <c r="M58" s="217">
        <f>IFERROR(K58-G58*F58-H58*$J$5*F58,)</f>
        <v/>
      </c>
      <c r="N58" s="223">
        <f>IFERROR(M58/(K58-M58),)</f>
        <v/>
      </c>
      <c r="O58" s="86" t="inlineStr">
        <is>
          <t>마소</t>
        </is>
      </c>
      <c r="P58" s="201" t="n"/>
      <c r="Q58" s="201" t="n"/>
      <c r="R58" s="201" t="n"/>
    </row>
    <row r="59">
      <c r="A59" s="72" t="inlineStr">
        <is>
          <t>일반계좌</t>
        </is>
      </c>
      <c r="B59" s="201" t="n">
        <v>52</v>
      </c>
      <c r="C59" s="219" t="inlineStr">
        <is>
          <t>미국</t>
        </is>
      </c>
      <c r="D59" s="97" t="inlineStr">
        <is>
          <t>TMUS</t>
        </is>
      </c>
      <c r="E59" s="98" t="inlineStr">
        <is>
          <t>T-모바일</t>
        </is>
      </c>
      <c r="F59" s="99" t="n">
        <v>4</v>
      </c>
      <c r="G59" s="212" t="n"/>
      <c r="H59" s="225" t="n">
        <v>202.7775</v>
      </c>
      <c r="I59" s="222" t="n"/>
      <c r="J59" s="92" t="n">
        <v>183.0399932861328</v>
      </c>
      <c r="K59" s="222">
        <f>IFERROR(I59*F59+J59*$J$5*F59,)</f>
        <v/>
      </c>
      <c r="L59" s="90">
        <f>IFERROR(K59/$K$8,)</f>
        <v/>
      </c>
      <c r="M59" s="217">
        <f>IFERROR(K59-G59*F59-H59*$J$5*F59,)</f>
        <v/>
      </c>
      <c r="N59" s="223">
        <f>IFERROR(M59/(K59-M59),)</f>
        <v/>
      </c>
      <c r="O59" s="86" t="inlineStr">
        <is>
          <t>통신</t>
        </is>
      </c>
      <c r="P59" s="201" t="n"/>
      <c r="Q59" s="201" t="n"/>
      <c r="R59" s="201" t="n"/>
    </row>
    <row r="60">
      <c r="A60" s="72" t="inlineStr">
        <is>
          <t>일반계좌</t>
        </is>
      </c>
      <c r="B60" s="201" t="n">
        <v>53</v>
      </c>
      <c r="C60" s="219" t="inlineStr">
        <is>
          <t>미국</t>
        </is>
      </c>
      <c r="D60" s="97" t="inlineStr">
        <is>
          <t>NVO</t>
        </is>
      </c>
      <c r="E60" s="98" t="inlineStr">
        <is>
          <t>노보 노디스크</t>
        </is>
      </c>
      <c r="F60" s="99" t="n">
        <v>15</v>
      </c>
      <c r="G60" s="212" t="n"/>
      <c r="H60" s="225" t="n">
        <v>53.67</v>
      </c>
      <c r="I60" s="222" t="n"/>
      <c r="J60" s="92" t="n">
        <v>46.7400016784668</v>
      </c>
      <c r="K60" s="222">
        <f>IFERROR(I60*F60+J60*$J$5*F60,)</f>
        <v/>
      </c>
      <c r="L60" s="90">
        <f>IFERROR(K60/$K$8,)</f>
        <v/>
      </c>
      <c r="M60" s="217">
        <f>IFERROR(K60-G60*F60-H60*$J$5*F60,)</f>
        <v/>
      </c>
      <c r="N60" s="223">
        <f>IFERROR(M60/(K60-M60),)</f>
        <v/>
      </c>
      <c r="O60" s="86" t="inlineStr">
        <is>
          <t>헬스</t>
        </is>
      </c>
      <c r="P60" s="201" t="n"/>
      <c r="Q60" s="201" t="n"/>
      <c r="R60" s="201" t="n"/>
    </row>
    <row r="61">
      <c r="A61" s="72" t="inlineStr">
        <is>
          <t>일반계좌</t>
        </is>
      </c>
      <c r="B61" s="201" t="n">
        <v>54</v>
      </c>
      <c r="C61" s="219" t="inlineStr">
        <is>
          <t>미국</t>
        </is>
      </c>
      <c r="D61" s="97" t="inlineStr">
        <is>
          <t>PLTR</t>
        </is>
      </c>
      <c r="E61" s="98" t="inlineStr">
        <is>
          <t>팔란티어</t>
        </is>
      </c>
      <c r="F61" s="99" t="n">
        <v>4</v>
      </c>
      <c r="G61" s="212" t="n"/>
      <c r="H61" s="225" t="n">
        <v>129.42</v>
      </c>
      <c r="I61" s="222" t="n"/>
      <c r="J61" s="92" t="n">
        <v>179.9400024414062</v>
      </c>
      <c r="K61" s="222">
        <f>IFERROR(I61*F61+J61*$J$5*F61,)</f>
        <v/>
      </c>
      <c r="L61" s="90">
        <f>IFERROR(K61/$K$8,)</f>
        <v/>
      </c>
      <c r="M61" s="217">
        <f>IFERROR(K61-G61*F61-H61*$J$5*F61,)</f>
        <v/>
      </c>
      <c r="N61" s="223">
        <f>IFERROR(M61/(K61-M61),)</f>
        <v/>
      </c>
      <c r="O61" s="86" t="inlineStr">
        <is>
          <t>팔란</t>
        </is>
      </c>
      <c r="P61" s="201" t="n"/>
      <c r="Q61" s="201" t="n"/>
      <c r="R61" s="201" t="n"/>
    </row>
    <row r="62">
      <c r="A62" s="72" t="inlineStr">
        <is>
          <t>일반계좌</t>
        </is>
      </c>
      <c r="B62" s="201" t="n">
        <v>55</v>
      </c>
      <c r="C62" s="219" t="inlineStr">
        <is>
          <t>미국</t>
        </is>
      </c>
      <c r="D62" s="97" t="inlineStr">
        <is>
          <t>RKLB</t>
        </is>
      </c>
      <c r="E62" s="98" t="inlineStr">
        <is>
          <t>로켓랩</t>
        </is>
      </c>
      <c r="F62" s="99" t="n">
        <v>7</v>
      </c>
      <c r="G62" s="212" t="n"/>
      <c r="H62" s="225" t="n">
        <v>62.38</v>
      </c>
      <c r="I62" s="222" t="n"/>
      <c r="J62" s="92" t="n">
        <v>72.56999969482422</v>
      </c>
      <c r="K62" s="222">
        <f>IFERROR(I62*F62+J62*$J$5*F62,)</f>
        <v/>
      </c>
      <c r="L62" s="90">
        <f>IFERROR(K62/$K$8,)</f>
        <v/>
      </c>
      <c r="M62" s="217">
        <f>IFERROR(K62-G62*F62-H62*$J$5*F62,)</f>
        <v/>
      </c>
      <c r="N62" s="223">
        <f>IFERROR(M62/(K62-M62),)</f>
        <v/>
      </c>
      <c r="O62" s="86" t="inlineStr">
        <is>
          <t>로켓</t>
        </is>
      </c>
      <c r="P62" s="201" t="n"/>
      <c r="Q62" s="201" t="n"/>
      <c r="R62" s="201" t="n"/>
    </row>
    <row r="63">
      <c r="A63" s="72" t="inlineStr">
        <is>
          <t>일반계좌</t>
        </is>
      </c>
      <c r="B63" s="201" t="n">
        <v>56</v>
      </c>
      <c r="C63" s="219" t="inlineStr">
        <is>
          <t>미국</t>
        </is>
      </c>
      <c r="D63" s="97" t="inlineStr">
        <is>
          <t>AI</t>
        </is>
      </c>
      <c r="E63" s="98" t="inlineStr">
        <is>
          <t>C3AI</t>
        </is>
      </c>
      <c r="F63" s="99" t="n">
        <v>53</v>
      </c>
      <c r="G63" s="212" t="n"/>
      <c r="H63" s="225" t="n">
        <v>17.91</v>
      </c>
      <c r="I63" s="222" t="n"/>
      <c r="J63" s="92" t="n">
        <v>10.30000019073486</v>
      </c>
      <c r="K63" s="222">
        <f>IFERROR(I63*F63+J63*$J$5*F63,)</f>
        <v/>
      </c>
      <c r="L63" s="90">
        <f>IFERROR(K63/$K$8,)</f>
        <v/>
      </c>
      <c r="M63" s="217">
        <f>IFERROR(K63-G63*F63-H63*$J$5*F63,)</f>
        <v/>
      </c>
      <c r="N63" s="223">
        <f>IFERROR(M63/(K63-M63),)</f>
        <v/>
      </c>
      <c r="O63" s="86" t="inlineStr">
        <is>
          <t>C3AI</t>
        </is>
      </c>
      <c r="P63" s="201" t="n"/>
      <c r="Q63" s="201" t="n"/>
      <c r="R63" s="201" t="n"/>
    </row>
    <row r="64">
      <c r="A64" s="72" t="inlineStr">
        <is>
          <t>일반계좌</t>
        </is>
      </c>
      <c r="B64" s="201" t="n">
        <v>57</v>
      </c>
      <c r="C64" s="219" t="inlineStr">
        <is>
          <t>미국</t>
        </is>
      </c>
      <c r="D64" s="97" t="inlineStr">
        <is>
          <t>NKE</t>
        </is>
      </c>
      <c r="E64" s="98" t="inlineStr">
        <is>
          <t>나이키</t>
        </is>
      </c>
      <c r="F64" s="99" t="n">
        <v>10</v>
      </c>
      <c r="G64" s="212" t="n"/>
      <c r="H64" s="225" t="n">
        <v>63.31</v>
      </c>
      <c r="I64" s="222" t="n"/>
      <c r="J64" s="92" t="n">
        <v>40.7599983215332</v>
      </c>
      <c r="K64" s="222">
        <f>IFERROR(I64*F64+J64*$J$5*F64,)</f>
        <v/>
      </c>
      <c r="L64" s="90">
        <f>IFERROR(K64/$K$8,)</f>
        <v/>
      </c>
      <c r="M64" s="217">
        <f>IFERROR(K64-G64*F64-H64*$J$5*F64,)</f>
        <v/>
      </c>
      <c r="N64" s="223">
        <f>IFERROR(M64/(K64-M64),)</f>
        <v/>
      </c>
      <c r="O64" s="86" t="inlineStr">
        <is>
          <t>나이키</t>
        </is>
      </c>
      <c r="P64" s="201" t="n"/>
      <c r="Q64" s="201" t="n"/>
      <c r="R64" s="201" t="n"/>
    </row>
    <row r="65" ht="12.75" customHeight="1" s="202">
      <c r="A65" s="72" t="inlineStr">
        <is>
          <t>일반계좌</t>
        </is>
      </c>
      <c r="B65" s="201" t="n">
        <v>58</v>
      </c>
      <c r="C65" s="219" t="inlineStr">
        <is>
          <t>미국</t>
        </is>
      </c>
      <c r="D65" s="97" t="inlineStr">
        <is>
          <t>TSM</t>
        </is>
      </c>
      <c r="E65" s="98" t="inlineStr">
        <is>
          <t>TSMC</t>
        </is>
      </c>
      <c r="F65" s="99" t="n">
        <v>1</v>
      </c>
      <c r="G65" s="212" t="n"/>
      <c r="H65" s="225" t="n">
        <v>340.5</v>
      </c>
      <c r="I65" s="222" t="n"/>
      <c r="J65" s="92" t="n">
        <v>418.9500122070312</v>
      </c>
      <c r="K65" s="222">
        <f>IFERROR(I65*F65+J65*$J$5*F65,)</f>
        <v/>
      </c>
      <c r="L65" s="90">
        <f>IFERROR(K65/$K$8,)</f>
        <v/>
      </c>
      <c r="M65" s="217">
        <f>IFERROR(K65-G65*F65-H65*$J$5*F65,)</f>
        <v/>
      </c>
      <c r="N65" s="223">
        <f>IFERROR(M65/(K65-M65),)</f>
        <v/>
      </c>
      <c r="O65" s="86" t="inlineStr">
        <is>
          <t>TSMC</t>
        </is>
      </c>
      <c r="P65" s="201" t="n"/>
      <c r="Q65" s="201" t="n"/>
      <c r="R65" s="201" t="n"/>
    </row>
    <row r="66" ht="12.75" customHeight="1" s="202">
      <c r="A66" s="72" t="inlineStr">
        <is>
          <t>일반계좌</t>
        </is>
      </c>
      <c r="B66" s="201" t="n">
        <v>59</v>
      </c>
      <c r="C66" s="219" t="inlineStr">
        <is>
          <t>미국</t>
        </is>
      </c>
      <c r="D66" s="97" t="inlineStr">
        <is>
          <t>COIN</t>
        </is>
      </c>
      <c r="E66" s="98" t="inlineStr">
        <is>
          <t>코인베이스 글로벌</t>
        </is>
      </c>
      <c r="F66" s="99" t="n">
        <v>2</v>
      </c>
      <c r="G66" s="212" t="n"/>
      <c r="H66" s="225" t="n">
        <v>203.665</v>
      </c>
      <c r="I66" s="222" t="n"/>
      <c r="J66" s="92" t="n">
        <v>186.4900054931641</v>
      </c>
      <c r="K66" s="222">
        <f>IFERROR(I66*F66+J66*$J$5*F66,)</f>
        <v/>
      </c>
      <c r="L66" s="90">
        <f>IFERROR(K66/$K$8,)</f>
        <v/>
      </c>
      <c r="M66" s="217">
        <f>IFERROR(K66-G66*F66-H66*$J$5*F66,)</f>
        <v/>
      </c>
      <c r="N66" s="223">
        <f>IFERROR(M66/(K66-M66),)</f>
        <v/>
      </c>
      <c r="O66" s="86" t="inlineStr">
        <is>
          <t>코인베이스</t>
        </is>
      </c>
      <c r="P66" s="201" t="n"/>
      <c r="Q66" s="201" t="n"/>
      <c r="R66" s="201" t="n"/>
    </row>
    <row r="67" ht="12.75" customHeight="1" s="202">
      <c r="A67" s="72" t="inlineStr">
        <is>
          <t>일반계좌</t>
        </is>
      </c>
      <c r="B67" s="201" t="n">
        <v>60</v>
      </c>
      <c r="C67" s="219" t="inlineStr">
        <is>
          <t>미국</t>
        </is>
      </c>
      <c r="D67" s="97" t="inlineStr">
        <is>
          <t>LEU</t>
        </is>
      </c>
      <c r="E67" s="98" t="inlineStr">
        <is>
          <t>센트러스 에너지</t>
        </is>
      </c>
      <c r="F67" s="99" t="n">
        <v>2</v>
      </c>
      <c r="G67" s="212" t="n"/>
      <c r="H67" s="225" t="n">
        <v>213.8</v>
      </c>
      <c r="I67" s="222" t="n"/>
      <c r="J67" s="92" t="n">
        <v>186.2599945068359</v>
      </c>
      <c r="K67" s="222">
        <f>IFERROR(I67*F67+J67*$J$5*F67,)</f>
        <v/>
      </c>
      <c r="L67" s="90">
        <f>IFERROR(K67/$K$8,)</f>
        <v/>
      </c>
      <c r="M67" s="217">
        <f>IFERROR(K67-G67*F67-H67*$J$5*F67,)</f>
        <v/>
      </c>
      <c r="N67" s="223">
        <f>IFERROR(M67/(K67-M67),)</f>
        <v/>
      </c>
      <c r="O67" s="86" t="inlineStr">
        <is>
          <t>에너지</t>
        </is>
      </c>
      <c r="P67" s="201" t="n"/>
      <c r="Q67" s="201" t="n"/>
      <c r="R67" s="201" t="n"/>
    </row>
    <row r="68" ht="12.75" customHeight="1" s="202">
      <c r="A68" s="72" t="inlineStr">
        <is>
          <t>일반계좌</t>
        </is>
      </c>
      <c r="B68" s="201" t="n">
        <v>61</v>
      </c>
      <c r="C68" s="104" t="inlineStr">
        <is>
          <t>미국</t>
        </is>
      </c>
      <c r="D68" s="111" t="inlineStr">
        <is>
          <t>ORCL</t>
        </is>
      </c>
      <c r="E68" s="111" t="inlineStr">
        <is>
          <t>오라클</t>
        </is>
      </c>
      <c r="F68" s="111" t="n">
        <v>2</v>
      </c>
      <c r="G68" s="104" t="n"/>
      <c r="H68" s="225" t="n">
        <v>163.125</v>
      </c>
      <c r="I68" s="216" t="n"/>
      <c r="J68" s="92" t="n">
        <v>146.4700012207031</v>
      </c>
      <c r="K68" s="222">
        <f>IFERROR(I68*F68+J68*$J$5*F68,)</f>
        <v/>
      </c>
      <c r="L68" s="90">
        <f>IFERROR(K68/$K$8,)</f>
        <v/>
      </c>
      <c r="M68" s="217">
        <f>IFERROR(K68-G68*F68-H68*$J$5*F68,)</f>
        <v/>
      </c>
      <c r="N68" s="218">
        <f>IFERROR(M68/(K68-M68),)</f>
        <v/>
      </c>
      <c r="O68" s="86" t="inlineStr">
        <is>
          <t>오라클</t>
        </is>
      </c>
      <c r="P68" s="201" t="n"/>
      <c r="Q68" s="201" t="n"/>
      <c r="R68" s="201" t="n"/>
    </row>
    <row r="69" ht="12.75" customHeight="1" s="202">
      <c r="A69" s="72" t="inlineStr">
        <is>
          <t>일반계좌</t>
        </is>
      </c>
      <c r="B69" s="201" t="n">
        <v>62</v>
      </c>
      <c r="C69" s="219" t="inlineStr">
        <is>
          <t>미국</t>
        </is>
      </c>
      <c r="D69" s="97" t="inlineStr">
        <is>
          <t>JOBY</t>
        </is>
      </c>
      <c r="E69" s="98" t="inlineStr">
        <is>
          <t>조비에비에이션</t>
        </is>
      </c>
      <c r="F69" s="99" t="n">
        <v>34</v>
      </c>
      <c r="G69" s="212" t="n"/>
      <c r="H69" s="225" t="n">
        <v>9.51</v>
      </c>
      <c r="I69" s="222" t="n"/>
      <c r="J69" s="92" t="n">
        <v>7.53000020980835</v>
      </c>
      <c r="K69" s="222">
        <f>IFERROR(I69*F69+J69*$J$5*F69,)</f>
        <v/>
      </c>
      <c r="L69" s="90">
        <f>IFERROR(K69/$K$8,)</f>
        <v/>
      </c>
      <c r="M69" s="217">
        <f>IFERROR(K69-G69*F69-H69*$J$5*F69,)</f>
        <v/>
      </c>
      <c r="N69" s="223">
        <f>IFERROR(M69/(K69-M69),)</f>
        <v/>
      </c>
      <c r="O69" s="86" t="inlineStr">
        <is>
          <t>조비</t>
        </is>
      </c>
      <c r="P69" s="201" t="n"/>
      <c r="Q69" s="201" t="n"/>
      <c r="R69" s="201" t="n"/>
    </row>
    <row r="70" ht="12.75" customHeight="1" s="202">
      <c r="A70" s="72" t="inlineStr">
        <is>
          <t>일반계좌</t>
        </is>
      </c>
      <c r="B70" s="201" t="n">
        <v>63</v>
      </c>
      <c r="C70" s="219" t="inlineStr">
        <is>
          <t>미국</t>
        </is>
      </c>
      <c r="D70" s="97" t="inlineStr">
        <is>
          <t>SBUX</t>
        </is>
      </c>
      <c r="E70" s="98" t="inlineStr">
        <is>
          <t>스타벅스</t>
        </is>
      </c>
      <c r="F70" s="99" t="n">
        <v>2</v>
      </c>
      <c r="G70" s="212" t="n"/>
      <c r="H70" s="225" t="n">
        <v>100.529</v>
      </c>
      <c r="I70" s="222" t="n"/>
      <c r="J70" s="92" t="n">
        <v>107.0800018310547</v>
      </c>
      <c r="K70" s="222">
        <f>IFERROR(I70*F70+J70*$J$5*F70,)</f>
        <v/>
      </c>
      <c r="L70" s="90">
        <f>IFERROR(K70/$K$8,)</f>
        <v/>
      </c>
      <c r="M70" s="217">
        <f>IFERROR(K70-G70*F70-H70*$J$5*F70,)</f>
        <v/>
      </c>
      <c r="N70" s="223">
        <f>IFERROR(M70/(K70-M70),)</f>
        <v/>
      </c>
      <c r="O70" s="86" t="inlineStr">
        <is>
          <t>스벅</t>
        </is>
      </c>
      <c r="P70" s="201" t="n"/>
      <c r="Q70" s="201" t="n"/>
      <c r="R70" s="201" t="n"/>
    </row>
    <row r="71" ht="12.75" customHeight="1" s="202">
      <c r="A71" s="72" t="inlineStr">
        <is>
          <t>일반계좌</t>
        </is>
      </c>
      <c r="B71" s="201" t="n">
        <v>64</v>
      </c>
      <c r="C71" s="219" t="inlineStr">
        <is>
          <t>미국</t>
        </is>
      </c>
      <c r="D71" s="97" t="inlineStr">
        <is>
          <t>SMR</t>
        </is>
      </c>
      <c r="E71" s="98" t="inlineStr">
        <is>
          <t>누스케일파워</t>
        </is>
      </c>
      <c r="F71" s="99" t="n">
        <v>20</v>
      </c>
      <c r="G71" s="212" t="n"/>
      <c r="H71" s="225" t="n">
        <v>19.7113</v>
      </c>
      <c r="I71" s="222" t="n"/>
      <c r="J71" s="92" t="n">
        <v>9.399999618530273</v>
      </c>
      <c r="K71" s="222">
        <f>IFERROR(I71*F71+J71*$J$5*F71,)</f>
        <v/>
      </c>
      <c r="L71" s="90">
        <f>IFERROR(K71/$K$8,)</f>
        <v/>
      </c>
      <c r="M71" s="217">
        <f>IFERROR(K71-G71*F71-H71*$J$5*F71,)</f>
        <v/>
      </c>
      <c r="N71" s="223">
        <f>IFERROR(M71/(K71-M71),)</f>
        <v/>
      </c>
      <c r="O71" s="86" t="inlineStr">
        <is>
          <t>SMR</t>
        </is>
      </c>
      <c r="P71" s="201" t="n"/>
      <c r="Q71" s="201" t="n"/>
      <c r="R71" s="201" t="n"/>
    </row>
    <row r="72" ht="12.75" customHeight="1" s="202">
      <c r="A72" s="72" t="inlineStr">
        <is>
          <t>일반계좌</t>
        </is>
      </c>
      <c r="B72" s="201" t="n">
        <v>65</v>
      </c>
      <c r="C72" s="219" t="inlineStr">
        <is>
          <t>한국</t>
        </is>
      </c>
      <c r="D72" s="97" t="inlineStr">
        <is>
          <t>475560</t>
        </is>
      </c>
      <c r="E72" s="98" t="inlineStr">
        <is>
          <t>더본코리아</t>
        </is>
      </c>
      <c r="F72" s="99" t="n">
        <v>15</v>
      </c>
      <c r="G72" s="212" t="n">
        <v>32011</v>
      </c>
      <c r="H72" s="225" t="n"/>
      <c r="I72" s="220" t="n">
        <v>18950</v>
      </c>
      <c r="J72" s="221" t="n"/>
      <c r="K72" s="222">
        <f>IFERROR(I72*F72+J72*$J$5*F72,)</f>
        <v/>
      </c>
      <c r="L72" s="90">
        <f>IFERROR(K72/$K$8,)</f>
        <v/>
      </c>
      <c r="M72" s="217">
        <f>IFERROR(K72-G72*F72-H72*$J$5*F72,)</f>
        <v/>
      </c>
      <c r="N72" s="223">
        <f>IFERROR(M72/(K72-M72),)</f>
        <v/>
      </c>
      <c r="O72" s="86" t="inlineStr">
        <is>
          <t>더본</t>
        </is>
      </c>
      <c r="P72" s="201" t="n"/>
      <c r="Q72" s="201" t="n"/>
      <c r="R72" s="201" t="n"/>
    </row>
    <row r="73" ht="12.75" customHeight="1" s="202">
      <c r="A73" s="72" t="inlineStr">
        <is>
          <t>일반계좌</t>
        </is>
      </c>
      <c r="B73" s="201" t="n">
        <v>66</v>
      </c>
      <c r="C73" s="104" t="inlineStr">
        <is>
          <t>미국</t>
        </is>
      </c>
      <c r="D73" s="111" t="inlineStr">
        <is>
          <t>OKLO</t>
        </is>
      </c>
      <c r="E73" s="111" t="inlineStr">
        <is>
          <t>오클로</t>
        </is>
      </c>
      <c r="F73" s="111" t="n">
        <v>3</v>
      </c>
      <c r="G73" s="104" t="n"/>
      <c r="H73" s="225" t="n">
        <v>63.42</v>
      </c>
      <c r="I73" s="216" t="n"/>
      <c r="J73" s="92" t="n">
        <v>42.09000015258789</v>
      </c>
      <c r="K73" s="222">
        <f>IFERROR(I73*F73+J73*$J$5*F73,)</f>
        <v/>
      </c>
      <c r="L73" s="90">
        <f>IFERROR(K73/$K$8,)</f>
        <v/>
      </c>
      <c r="M73" s="217">
        <f>IFERROR(K73-G73*F73-H73*$J$5*F73,)</f>
        <v/>
      </c>
      <c r="N73" s="218">
        <f>IFERROR(M73/(K73-M73),)</f>
        <v/>
      </c>
      <c r="O73" s="86" t="inlineStr">
        <is>
          <t>오클로</t>
        </is>
      </c>
      <c r="P73" s="201" t="n"/>
      <c r="Q73" s="201" t="n"/>
      <c r="R73" s="201" t="n"/>
    </row>
    <row r="74" ht="12.75" customHeight="1" s="202">
      <c r="A74" s="72" t="inlineStr">
        <is>
          <t>일반계좌</t>
        </is>
      </c>
      <c r="B74" s="201" t="n">
        <v>67</v>
      </c>
      <c r="C74" s="211" t="n"/>
      <c r="D74" s="229" t="inlineStr">
        <is>
          <t>현금</t>
        </is>
      </c>
      <c r="E74" s="104" t="inlineStr">
        <is>
          <t>미래에셋현금성자산</t>
        </is>
      </c>
      <c r="F74" s="104" t="n">
        <v>1</v>
      </c>
      <c r="G74" s="226" t="n">
        <v>20403</v>
      </c>
      <c r="H74" s="230" t="n"/>
      <c r="I74" s="216">
        <f>G74</f>
        <v/>
      </c>
      <c r="J74" s="221" t="n"/>
      <c r="K74" s="222">
        <f>IFERROR(I74*F74+J74*$J$5*F74,)</f>
        <v/>
      </c>
      <c r="L74" s="90">
        <f>IFERROR(K74/$K$8,)</f>
        <v/>
      </c>
      <c r="M74" s="217">
        <f>IFERROR(K74-G74*F74-H74*$J$5*F74,)</f>
        <v/>
      </c>
      <c r="N74" s="218">
        <f>IFERROR(M74/(K74-M74),)</f>
        <v/>
      </c>
      <c r="O74" s="86" t="inlineStr">
        <is>
          <t>현금</t>
        </is>
      </c>
      <c r="P74" s="201" t="n"/>
      <c r="Q74" s="201" t="n"/>
      <c r="R74" s="201" t="n"/>
    </row>
    <row r="75" ht="12.75" customHeight="1" s="202">
      <c r="A75" s="72" t="inlineStr">
        <is>
          <t>일반계좌</t>
        </is>
      </c>
      <c r="B75" s="201" t="n">
        <v>68</v>
      </c>
      <c r="C75" s="219" t="n"/>
      <c r="D75" s="97" t="inlineStr">
        <is>
          <t>현금</t>
        </is>
      </c>
      <c r="E75" s="98" t="inlineStr">
        <is>
          <t>예수금(직투달러)</t>
        </is>
      </c>
      <c r="F75" s="99" t="n">
        <v>1</v>
      </c>
      <c r="G75" s="212" t="n">
        <v>0</v>
      </c>
      <c r="H75" s="225" t="n"/>
      <c r="I75" s="216">
        <f>G75</f>
        <v/>
      </c>
      <c r="J75" s="221" t="n"/>
      <c r="K75" s="222">
        <f>IFERROR(I75*F75+J75*$J$5*F75,)</f>
        <v/>
      </c>
      <c r="L75" s="90">
        <f>IFERROR(K75/$K$8,)</f>
        <v/>
      </c>
      <c r="M75" s="217">
        <f>IFERROR(K75-G75*F75-H75*$J$5*F75,)</f>
        <v/>
      </c>
      <c r="N75" s="223">
        <f>IFERROR(M75/(K75-M75),)</f>
        <v/>
      </c>
      <c r="O75" s="86" t="inlineStr">
        <is>
          <t>예수금</t>
        </is>
      </c>
      <c r="P75" s="201" t="n"/>
      <c r="Q75" s="201" t="n"/>
      <c r="R75" s="201" t="n"/>
    </row>
    <row r="76" ht="12.75" customHeight="1" s="202">
      <c r="A76" s="201" t="inlineStr">
        <is>
          <t>CMA</t>
        </is>
      </c>
      <c r="B76" s="201" t="n">
        <v>69</v>
      </c>
      <c r="C76" s="219" t="n"/>
      <c r="D76" s="106" t="inlineStr">
        <is>
          <t>현금</t>
        </is>
      </c>
      <c r="E76" s="107" t="inlineStr">
        <is>
          <t>CMA RP</t>
        </is>
      </c>
      <c r="F76" s="108" t="n">
        <v>1</v>
      </c>
      <c r="G76" s="227" t="n">
        <v>78934680</v>
      </c>
      <c r="H76" s="228" t="n"/>
      <c r="I76" s="216">
        <f>G76</f>
        <v/>
      </c>
      <c r="J76" s="221" t="n"/>
      <c r="K76" s="222">
        <f>IFERROR(I76*F76+J76*$J$5*F76,)</f>
        <v/>
      </c>
      <c r="L76" s="90">
        <f>IFERROR(K76/$K$8,)</f>
        <v/>
      </c>
      <c r="M76" s="217">
        <f>IFERROR(K76-G76*F76-H76*$J$5*F76,)</f>
        <v/>
      </c>
      <c r="N76" s="223">
        <f>IFERROR(M76/(K76-M76),)</f>
        <v/>
      </c>
      <c r="O76" s="86" t="inlineStr">
        <is>
          <t>현금</t>
        </is>
      </c>
      <c r="P76" s="201" t="n"/>
      <c r="Q76" s="201" t="n"/>
      <c r="R76" s="201" t="n"/>
    </row>
    <row r="77" ht="12.75" customHeight="1" s="202">
      <c r="A77" s="201" t="inlineStr">
        <is>
          <t>IRP</t>
        </is>
      </c>
      <c r="B77" s="201" t="n">
        <v>70</v>
      </c>
      <c r="C77" s="219" t="inlineStr">
        <is>
          <t>한국</t>
        </is>
      </c>
      <c r="D77" s="97" t="inlineStr">
        <is>
          <t>438100</t>
        </is>
      </c>
      <c r="E77" s="98" t="inlineStr">
        <is>
          <t>ACE미국나스닥100미국채혼합50액티브</t>
        </is>
      </c>
      <c r="F77" s="99" t="n">
        <v>794</v>
      </c>
      <c r="G77" s="212" t="n">
        <v>17065</v>
      </c>
      <c r="H77" s="225" t="n"/>
      <c r="I77" s="220" t="n">
        <v>15100</v>
      </c>
      <c r="J77" s="221" t="n"/>
      <c r="K77" s="222">
        <f>IFERROR(I77*F77+J77*$J$5*F77,)</f>
        <v/>
      </c>
      <c r="L77" s="90">
        <f>IFERROR(K77/$K$8,)</f>
        <v/>
      </c>
      <c r="M77" s="217">
        <f>IFERROR(K77-G77*F77-H77*$J$5*F77,)</f>
        <v/>
      </c>
      <c r="N77" s="223">
        <f>IFERROR(M77/(K77-M77),)</f>
        <v/>
      </c>
      <c r="O77" s="86" t="inlineStr">
        <is>
          <t xml:space="preserve">미국채 </t>
        </is>
      </c>
      <c r="P77" s="201" t="n"/>
      <c r="Q77" s="201" t="n"/>
      <c r="R77" s="201" t="n"/>
    </row>
    <row r="78" ht="12.75" customHeight="1" s="202">
      <c r="A78" s="201" t="inlineStr">
        <is>
          <t>IRP</t>
        </is>
      </c>
      <c r="B78" s="201" t="n">
        <v>71</v>
      </c>
      <c r="C78" s="219" t="inlineStr">
        <is>
          <t>한국</t>
        </is>
      </c>
      <c r="D78" s="97" t="inlineStr">
        <is>
          <t>133690</t>
        </is>
      </c>
      <c r="E78" s="98" t="inlineStr">
        <is>
          <t>TIGER 미국나스닥100</t>
        </is>
      </c>
      <c r="F78" s="99" t="n">
        <v>57</v>
      </c>
      <c r="G78" s="212" t="n">
        <v>177652</v>
      </c>
      <c r="H78" s="225" t="n"/>
      <c r="I78" s="220" t="n">
        <v>177710</v>
      </c>
      <c r="J78" s="221" t="n"/>
      <c r="K78" s="222">
        <f>IFERROR(I78*F78+J78*$J$5*F78,)</f>
        <v/>
      </c>
      <c r="L78" s="90">
        <f>IFERROR(K78/$K$8,)</f>
        <v/>
      </c>
      <c r="M78" s="217">
        <f>IFERROR(K78-G78*F78-H78*$J$5*F78,)</f>
        <v/>
      </c>
      <c r="N78" s="223">
        <f>IFERROR(M78/(K78-M78),)</f>
        <v/>
      </c>
      <c r="O78" s="86" t="inlineStr">
        <is>
          <t>나스닥</t>
        </is>
      </c>
      <c r="P78" s="201" t="n"/>
      <c r="Q78" s="201" t="n"/>
      <c r="R78" s="201" t="n"/>
    </row>
    <row r="79" ht="12.75" customHeight="1" s="202">
      <c r="A79" s="201" t="inlineStr">
        <is>
          <t>IRP</t>
        </is>
      </c>
      <c r="B79" s="201" t="n">
        <v>72</v>
      </c>
      <c r="C79" s="219" t="inlineStr">
        <is>
          <t>한국</t>
        </is>
      </c>
      <c r="D79" s="97" t="inlineStr">
        <is>
          <t>381170</t>
        </is>
      </c>
      <c r="E79" s="98" t="inlineStr">
        <is>
          <t>TIGER 미국테크TOP10 INDXX</t>
        </is>
      </c>
      <c r="F79" s="99" t="n">
        <v>323</v>
      </c>
      <c r="G79" s="212" t="n">
        <v>24648</v>
      </c>
      <c r="H79" s="225" t="n"/>
      <c r="I79" s="220" t="n">
        <v>30170</v>
      </c>
      <c r="J79" s="221" t="n"/>
      <c r="K79" s="222">
        <f>IFERROR(I79*F79+J79*$J$5*F79,)</f>
        <v/>
      </c>
      <c r="L79" s="90">
        <f>IFERROR(K79/$K$8,)</f>
        <v/>
      </c>
      <c r="M79" s="217">
        <f>IFERROR(K79-G79*F79-H79*$J$5*F79,)</f>
        <v/>
      </c>
      <c r="N79" s="223">
        <f>IFERROR(M79/(K79-M79),)</f>
        <v/>
      </c>
      <c r="O79" s="86" t="inlineStr">
        <is>
          <t>테크</t>
        </is>
      </c>
      <c r="P79" s="201" t="n"/>
      <c r="Q79" s="201" t="n"/>
      <c r="R79" s="201" t="n"/>
    </row>
    <row r="80" ht="12.75" customHeight="1" s="202">
      <c r="A80" s="201" t="inlineStr">
        <is>
          <t>IRP</t>
        </is>
      </c>
      <c r="B80" s="201" t="n">
        <v>73</v>
      </c>
      <c r="C80" s="219" t="inlineStr">
        <is>
          <t>한국</t>
        </is>
      </c>
      <c r="D80" s="97" t="inlineStr">
        <is>
          <t>433330</t>
        </is>
      </c>
      <c r="E80" s="98" t="inlineStr">
        <is>
          <t xml:space="preserve">SOL 미국 S&amp;P500 </t>
        </is>
      </c>
      <c r="F80" s="99" t="n">
        <v>376</v>
      </c>
      <c r="G80" s="212" t="n">
        <v>18437</v>
      </c>
      <c r="H80" s="225" t="n"/>
      <c r="I80" s="220" t="n">
        <v>21895</v>
      </c>
      <c r="J80" s="221" t="n"/>
      <c r="K80" s="222">
        <f>IFERROR(I80*F80+J80*$J$5*F80,)</f>
        <v/>
      </c>
      <c r="L80" s="90">
        <f>IFERROR(K80/$K$8,)</f>
        <v/>
      </c>
      <c r="M80" s="217">
        <f>IFERROR(K80-G80*F80-H80*$J$5*F80,)</f>
        <v/>
      </c>
      <c r="N80" s="223">
        <f>IFERROR(M80/(K80-M80),)</f>
        <v/>
      </c>
      <c r="O80" s="86" t="inlineStr">
        <is>
          <t>슨피</t>
        </is>
      </c>
      <c r="P80" s="201" t="n"/>
      <c r="Q80" s="201" t="n"/>
      <c r="R80" s="201" t="n"/>
    </row>
    <row r="81" ht="12.75" customHeight="1" s="202">
      <c r="A81" s="72" t="inlineStr">
        <is>
          <t>은행예금</t>
        </is>
      </c>
      <c r="B81" s="201" t="n">
        <v>74</v>
      </c>
      <c r="C81" s="104" t="n"/>
      <c r="D81" s="229" t="inlineStr">
        <is>
          <t>현금</t>
        </is>
      </c>
      <c r="E81" s="111" t="inlineStr">
        <is>
          <t>새마을 예금</t>
        </is>
      </c>
      <c r="F81" s="111" t="n">
        <v>1</v>
      </c>
      <c r="G81" s="104" t="n">
        <v>3000000</v>
      </c>
      <c r="H81" s="225" t="n"/>
      <c r="I81" s="216">
        <f>G81</f>
        <v/>
      </c>
      <c r="J81" s="221" t="n"/>
      <c r="K81" s="222">
        <f>IFERROR(I81*F81+J81*$J$5*F81,)</f>
        <v/>
      </c>
      <c r="L81" s="90">
        <f>IFERROR(K81/$K$8,)</f>
        <v/>
      </c>
      <c r="M81" s="217">
        <f>IFERROR(K81-G81*F81-H81*$J$5*F81,)</f>
        <v/>
      </c>
      <c r="N81" s="218">
        <f>IFERROR(M81/(K81-M81),)</f>
        <v/>
      </c>
      <c r="O81" s="86" t="inlineStr">
        <is>
          <t>예금</t>
        </is>
      </c>
      <c r="P81" s="201" t="n"/>
      <c r="Q81" s="201" t="n"/>
      <c r="R81" s="201" t="n"/>
    </row>
    <row r="82">
      <c r="A82" s="116" t="inlineStr">
        <is>
          <t>TOSS</t>
        </is>
      </c>
      <c r="B82" s="201" t="n">
        <v>75</v>
      </c>
      <c r="C82" s="119" t="inlineStr">
        <is>
          <t>미국</t>
        </is>
      </c>
      <c r="D82" s="120" t="inlineStr">
        <is>
          <t>CVX</t>
        </is>
      </c>
      <c r="E82" s="119" t="inlineStr">
        <is>
          <t>셰브론</t>
        </is>
      </c>
      <c r="F82" s="104" t="n">
        <v>1</v>
      </c>
      <c r="G82" s="104" t="n"/>
      <c r="H82" s="231" t="n">
        <v>181.32</v>
      </c>
      <c r="I82" s="86" t="n"/>
      <c r="J82" s="123" t="n">
        <v>205.2700042724609</v>
      </c>
      <c r="K82" s="222">
        <f>IFERROR(I82*F82+J82*$J$5*F82,)</f>
        <v/>
      </c>
      <c r="L82" s="90">
        <f>IFERROR(K82/$K$8,)</f>
        <v/>
      </c>
      <c r="M82" s="217">
        <f>IFERROR(K82-G82*F82-H82*$J$5*F82,)</f>
        <v/>
      </c>
      <c r="N82" s="218">
        <f>IFERROR(M82/(K82-M82),)</f>
        <v/>
      </c>
      <c r="O82" s="125" t="inlineStr">
        <is>
          <t>셰브론</t>
        </is>
      </c>
      <c r="P82" s="201" t="n"/>
      <c r="Q82" s="201" t="n"/>
      <c r="R82" s="201" t="n"/>
    </row>
    <row r="83" ht="12.75" customHeight="1" s="202">
      <c r="A83" s="116" t="inlineStr">
        <is>
          <t>TOSS</t>
        </is>
      </c>
      <c r="B83" s="201" t="n">
        <v>76</v>
      </c>
      <c r="C83" s="119" t="inlineStr">
        <is>
          <t>미국</t>
        </is>
      </c>
      <c r="D83" s="122" t="inlineStr">
        <is>
          <t>XOM</t>
        </is>
      </c>
      <c r="E83" s="122" t="inlineStr">
        <is>
          <t>엑슨모빌</t>
        </is>
      </c>
      <c r="F83" s="104" t="n">
        <v>1</v>
      </c>
      <c r="G83" s="104" t="n"/>
      <c r="H83" s="231" t="n">
        <v>144.41</v>
      </c>
      <c r="I83" s="86" t="n"/>
      <c r="J83" s="124" t="n">
        <v>165.1100006103516</v>
      </c>
      <c r="K83" s="222">
        <f>IFERROR(I83*F83+J83*$J$5*F83,)</f>
        <v/>
      </c>
      <c r="L83" s="90">
        <f>IFERROR(K83/$K$8,)</f>
        <v/>
      </c>
      <c r="M83" s="217">
        <f>IFERROR(K83-G83*F83-H83*$J$5*F83,)</f>
        <v/>
      </c>
      <c r="N83" s="218">
        <f>IFERROR(M83/(K83-M83),)</f>
        <v/>
      </c>
      <c r="O83" s="126" t="inlineStr">
        <is>
          <t>엑슨모빌</t>
        </is>
      </c>
      <c r="P83" s="201" t="n"/>
      <c r="Q83" s="201" t="n"/>
      <c r="R83" s="201" t="n"/>
    </row>
    <row r="84" ht="12.75" customHeight="1" s="202">
      <c r="A84" s="116" t="inlineStr">
        <is>
          <t>TOSS</t>
        </is>
      </c>
      <c r="B84" s="201" t="n">
        <v>77</v>
      </c>
      <c r="C84" s="119" t="inlineStr">
        <is>
          <t>미국</t>
        </is>
      </c>
      <c r="D84" s="120" t="inlineStr">
        <is>
          <t>WMT</t>
        </is>
      </c>
      <c r="E84" s="122" t="inlineStr">
        <is>
          <t>월마트</t>
        </is>
      </c>
      <c r="F84" s="104" t="n">
        <v>1</v>
      </c>
      <c r="G84" s="104" t="n"/>
      <c r="H84" s="231" t="n">
        <v>115.28</v>
      </c>
      <c r="I84" s="86" t="n"/>
      <c r="J84" s="124" t="n">
        <v>103.6999969482422</v>
      </c>
      <c r="K84" s="222">
        <f>IFERROR(I84*F84+J84*$J$5*F84,)</f>
        <v/>
      </c>
      <c r="L84" s="90">
        <f>IFERROR(K84/$K$8,)</f>
        <v/>
      </c>
      <c r="M84" s="217">
        <f>IFERROR(K84-G84*F84-H84*$J$5*F84,)</f>
        <v/>
      </c>
      <c r="N84" s="218">
        <f>IFERROR(M84/(K84-M84),)</f>
        <v/>
      </c>
      <c r="O84" s="126" t="inlineStr">
        <is>
          <t>월마트</t>
        </is>
      </c>
      <c r="P84" s="201" t="n"/>
      <c r="Q84" s="201" t="n"/>
      <c r="R84" s="201" t="n"/>
    </row>
    <row r="85" ht="12.75" customHeight="1" s="202">
      <c r="A85" s="201" t="n"/>
      <c r="B85" s="201" t="n"/>
      <c r="C85" s="117" t="n"/>
      <c r="D85" s="117" t="n"/>
      <c r="E85" s="118" t="n"/>
      <c r="F85" s="117" t="n"/>
      <c r="G85" s="117" t="n"/>
      <c r="H85" s="117" t="n"/>
      <c r="I85" s="201" t="n"/>
      <c r="L85" s="201" t="n"/>
      <c r="M85" s="201" t="n"/>
      <c r="N85" s="201" t="n"/>
      <c r="O85" s="127" t="n"/>
      <c r="P85" s="201" t="n"/>
      <c r="Q85" s="201" t="n"/>
      <c r="R85" s="201" t="n"/>
    </row>
    <row r="86" ht="12.75" customHeight="1" s="202">
      <c r="A86" s="201" t="n"/>
      <c r="B86" s="201" t="n"/>
      <c r="C86" s="201" t="n"/>
      <c r="D86" s="201" t="n"/>
      <c r="E86" s="13" t="n"/>
      <c r="F86" s="201" t="n"/>
      <c r="G86" s="201" t="n"/>
      <c r="H86" s="201" t="n"/>
      <c r="I86" s="201" t="n"/>
      <c r="L86" s="201" t="n"/>
      <c r="M86" s="201" t="n"/>
      <c r="N86" s="201" t="n"/>
      <c r="O86" s="201" t="n"/>
      <c r="P86" s="201" t="n"/>
      <c r="Q86" s="201" t="n"/>
      <c r="R86" s="201" t="n"/>
    </row>
    <row r="87" ht="12.75" customHeight="1" s="202">
      <c r="A87" s="201" t="n"/>
      <c r="B87" s="201" t="n"/>
      <c r="C87" s="201" t="n"/>
      <c r="D87" s="201" t="n"/>
      <c r="E87" s="13" t="n"/>
      <c r="F87" s="201" t="n"/>
      <c r="G87" s="201" t="n"/>
      <c r="H87" s="201" t="n"/>
      <c r="I87" s="201" t="n"/>
      <c r="L87" s="201" t="n"/>
      <c r="M87" s="201" t="n"/>
      <c r="N87" s="201" t="n"/>
      <c r="O87" s="201" t="n"/>
      <c r="P87" s="201" t="n"/>
      <c r="Q87" s="201" t="n"/>
      <c r="R87" s="201" t="n"/>
    </row>
    <row r="88" ht="12.75" customHeight="1" s="202">
      <c r="A88" s="201" t="n"/>
      <c r="B88" s="201" t="n"/>
      <c r="C88" s="201" t="n"/>
      <c r="D88" s="201" t="n"/>
      <c r="E88" s="13" t="n"/>
      <c r="F88" s="201" t="n"/>
      <c r="G88" s="201" t="n"/>
      <c r="H88" s="201" t="n"/>
      <c r="I88" s="201" t="n"/>
      <c r="L88" s="201" t="n"/>
      <c r="M88" s="201" t="n"/>
      <c r="N88" s="201" t="n"/>
      <c r="O88" s="201" t="n"/>
      <c r="P88" s="201" t="n"/>
      <c r="Q88" s="201" t="n"/>
      <c r="R88" s="201" t="n"/>
    </row>
    <row r="89" ht="12.75" customHeight="1" s="202">
      <c r="A89" s="201" t="n"/>
      <c r="B89" s="201" t="n"/>
      <c r="C89" s="201" t="n"/>
      <c r="D89" s="201" t="n"/>
      <c r="E89" s="13" t="n"/>
      <c r="F89" s="201" t="n"/>
      <c r="G89" s="201" t="n"/>
      <c r="H89" s="201" t="n"/>
      <c r="I89" s="201" t="n"/>
      <c r="L89" s="201" t="n"/>
      <c r="M89" s="201" t="n"/>
      <c r="N89" s="201" t="n"/>
      <c r="O89" s="201" t="n"/>
      <c r="P89" s="201" t="n"/>
      <c r="Q89" s="201" t="n"/>
      <c r="R89" s="201" t="n"/>
    </row>
    <row r="90" ht="12.75" customHeight="1" s="202">
      <c r="A90" s="201" t="n"/>
      <c r="B90" s="201" t="n"/>
      <c r="C90" s="201" t="n"/>
      <c r="D90" s="201" t="n"/>
      <c r="E90" s="13" t="n"/>
      <c r="F90" s="201" t="n"/>
      <c r="G90" s="201" t="n"/>
      <c r="H90" s="201" t="n"/>
      <c r="I90" s="201" t="n"/>
      <c r="L90" s="201" t="n"/>
      <c r="M90" s="201" t="n"/>
      <c r="N90" s="201" t="n"/>
      <c r="O90" s="201" t="n"/>
      <c r="P90" s="201" t="n"/>
      <c r="Q90" s="201" t="n"/>
      <c r="R90" s="201" t="n"/>
    </row>
    <row r="91" ht="12.75" customHeight="1" s="202">
      <c r="A91" s="201" t="n"/>
      <c r="B91" s="201" t="n"/>
      <c r="C91" s="201" t="n"/>
      <c r="D91" s="201" t="n"/>
      <c r="E91" s="13" t="n"/>
      <c r="F91" s="201" t="n"/>
      <c r="G91" s="201" t="n"/>
      <c r="H91" s="201" t="n"/>
      <c r="I91" s="201" t="n"/>
      <c r="L91" s="201" t="n"/>
      <c r="M91" s="201" t="n"/>
      <c r="N91" s="201" t="n"/>
      <c r="O91" s="201" t="n"/>
      <c r="P91" s="201" t="n"/>
      <c r="Q91" s="201" t="n"/>
      <c r="R91" s="201" t="n"/>
    </row>
    <row r="92" ht="12.75" customHeight="1" s="202">
      <c r="A92" s="201" t="n"/>
      <c r="B92" s="201" t="n"/>
      <c r="C92" s="201" t="n"/>
      <c r="D92" s="201" t="n"/>
      <c r="E92" s="201" t="n"/>
      <c r="F92" s="201" t="n"/>
      <c r="G92" s="201" t="n"/>
      <c r="H92" s="201" t="n"/>
      <c r="I92" s="201" t="n"/>
      <c r="J92" s="201" t="n"/>
      <c r="K92" s="201" t="n"/>
      <c r="L92" s="201" t="n"/>
      <c r="M92" s="201" t="n"/>
      <c r="N92" s="201" t="n"/>
      <c r="O92" s="201" t="n"/>
      <c r="P92" s="201" t="n"/>
      <c r="Q92" s="201" t="n"/>
      <c r="R92" s="201" t="n"/>
    </row>
    <row r="93" ht="12.75" customHeight="1" s="202">
      <c r="A93" s="201" t="n"/>
      <c r="B93" s="201" t="n"/>
      <c r="C93" s="201" t="n"/>
      <c r="D93" s="201" t="n"/>
      <c r="E93" s="201" t="n"/>
      <c r="F93" s="201" t="n"/>
      <c r="G93" s="201" t="n"/>
      <c r="H93" s="201" t="n"/>
      <c r="I93" s="201" t="n"/>
      <c r="J93" s="201" t="n"/>
      <c r="K93" s="201" t="n"/>
      <c r="L93" s="201" t="n"/>
      <c r="M93" s="201" t="n"/>
      <c r="N93" s="201" t="n"/>
      <c r="O93" s="201" t="n"/>
      <c r="P93" s="201" t="n"/>
      <c r="Q93" s="201" t="n"/>
      <c r="R93" s="201" t="n"/>
    </row>
    <row r="94" ht="12.75" customHeight="1" s="202">
      <c r="A94" s="201" t="n"/>
      <c r="B94" s="201" t="n"/>
      <c r="C94" s="201" t="n"/>
      <c r="D94" s="201" t="n"/>
      <c r="E94" s="201" t="n"/>
      <c r="F94" s="201" t="n"/>
      <c r="G94" s="201" t="n"/>
      <c r="H94" s="201" t="n"/>
      <c r="I94" s="201" t="n"/>
      <c r="J94" s="201" t="n"/>
      <c r="K94" s="201" t="n"/>
      <c r="L94" s="201" t="n"/>
      <c r="M94" s="201" t="n"/>
      <c r="N94" s="201" t="n"/>
      <c r="O94" s="201" t="n"/>
      <c r="P94" s="201" t="n"/>
      <c r="Q94" s="201" t="n"/>
      <c r="R94" s="201" t="n"/>
    </row>
    <row r="95" ht="12.75" customHeight="1" s="202">
      <c r="A95" s="201" t="n"/>
      <c r="B95" s="201" t="n"/>
      <c r="C95" s="201" t="n"/>
      <c r="D95" s="201" t="n"/>
      <c r="E95" s="201" t="n"/>
      <c r="F95" s="201" t="n"/>
      <c r="G95" s="201" t="n"/>
      <c r="H95" s="201" t="n"/>
      <c r="I95" s="201" t="n"/>
      <c r="J95" s="201" t="n"/>
      <c r="K95" s="201" t="n"/>
      <c r="L95" s="201" t="n"/>
      <c r="M95" s="201" t="n"/>
      <c r="N95" s="201" t="n"/>
      <c r="O95" s="201" t="n"/>
      <c r="P95" s="201" t="n"/>
      <c r="Q95" s="201" t="n"/>
      <c r="R95" s="201" t="n"/>
    </row>
    <row r="96" ht="12.75" customHeight="1" s="202">
      <c r="A96" s="201" t="n"/>
      <c r="B96" s="201" t="n"/>
      <c r="C96" s="201" t="n"/>
      <c r="D96" s="201" t="n"/>
      <c r="E96" s="201" t="n"/>
      <c r="F96" s="201" t="n"/>
      <c r="G96" s="201" t="n"/>
      <c r="H96" s="201" t="n"/>
      <c r="I96" s="201" t="n"/>
      <c r="J96" s="201" t="n"/>
      <c r="K96" s="201" t="n"/>
      <c r="L96" s="201" t="n"/>
      <c r="M96" s="201" t="n"/>
      <c r="N96" s="201" t="n"/>
      <c r="O96" s="201" t="n"/>
      <c r="P96" s="201" t="n"/>
      <c r="Q96" s="201" t="n"/>
      <c r="R96" s="201" t="n"/>
    </row>
    <row r="97" ht="12.75" customHeight="1" s="202">
      <c r="A97" s="201" t="n"/>
      <c r="B97" s="201" t="n"/>
      <c r="C97" s="201" t="n"/>
      <c r="D97" s="201" t="n"/>
      <c r="E97" s="201" t="n"/>
      <c r="F97" s="201" t="n"/>
      <c r="G97" s="201" t="n"/>
      <c r="H97" s="201" t="n"/>
      <c r="I97" s="201" t="n"/>
      <c r="J97" s="201" t="n"/>
      <c r="K97" s="201" t="n"/>
      <c r="L97" s="201" t="n"/>
      <c r="M97" s="201" t="n"/>
      <c r="N97" s="201" t="n"/>
      <c r="O97" s="201" t="n"/>
      <c r="P97" s="201" t="n"/>
      <c r="Q97" s="201" t="n"/>
      <c r="R97" s="201" t="n"/>
    </row>
    <row r="98" ht="12.75" customHeight="1" s="202">
      <c r="A98" s="201" t="n"/>
      <c r="B98" s="201" t="n"/>
      <c r="C98" s="201" t="n"/>
      <c r="D98" s="201" t="n"/>
      <c r="E98" s="201" t="n"/>
      <c r="F98" s="201" t="n"/>
      <c r="G98" s="201" t="n"/>
      <c r="H98" s="201" t="n"/>
      <c r="I98" s="201" t="n"/>
      <c r="J98" s="201" t="n"/>
      <c r="K98" s="201" t="n"/>
      <c r="L98" s="201" t="n"/>
      <c r="M98" s="201" t="n"/>
      <c r="N98" s="201" t="n"/>
      <c r="O98" s="201" t="n"/>
      <c r="P98" s="201" t="n"/>
      <c r="Q98" s="201" t="n"/>
      <c r="R98" s="201" t="n"/>
    </row>
    <row r="99" ht="12.75" customHeight="1" s="202">
      <c r="A99" s="201" t="n"/>
      <c r="B99" s="201" t="n"/>
      <c r="C99" s="201" t="n"/>
      <c r="D99" s="201" t="n"/>
      <c r="E99" s="201" t="n"/>
      <c r="F99" s="201" t="n"/>
      <c r="G99" s="201" t="n"/>
      <c r="H99" s="201" t="n"/>
      <c r="I99" s="201" t="n"/>
      <c r="J99" s="201" t="n"/>
      <c r="K99" s="201" t="n"/>
      <c r="L99" s="201" t="n"/>
      <c r="M99" s="201" t="n"/>
      <c r="N99" s="201" t="n"/>
      <c r="O99" s="201" t="n"/>
      <c r="P99" s="201" t="n"/>
      <c r="Q99" s="201" t="n"/>
      <c r="R99" s="201" t="n"/>
    </row>
    <row r="100" ht="12.75" customHeight="1" s="202">
      <c r="A100" s="201" t="n"/>
      <c r="B100" s="201" t="n"/>
      <c r="C100" s="201" t="n"/>
      <c r="D100" s="201" t="n"/>
      <c r="E100" s="201" t="n"/>
      <c r="F100" s="201" t="n"/>
      <c r="G100" s="201" t="n"/>
      <c r="H100" s="201" t="n"/>
      <c r="I100" s="201" t="n"/>
      <c r="J100" s="201" t="n"/>
      <c r="K100" s="201" t="n"/>
      <c r="L100" s="201" t="n"/>
      <c r="M100" s="201" t="n"/>
      <c r="N100" s="201" t="n"/>
      <c r="O100" s="201" t="n"/>
      <c r="P100" s="201" t="n"/>
      <c r="Q100" s="201" t="n"/>
      <c r="R100" s="201" t="n"/>
    </row>
    <row r="101" ht="12.75" customHeight="1" s="202">
      <c r="A101" s="201" t="n"/>
      <c r="B101" s="201" t="n"/>
      <c r="C101" s="201" t="n"/>
      <c r="D101" s="201" t="n"/>
      <c r="E101" s="201" t="n"/>
      <c r="F101" s="201" t="n"/>
      <c r="G101" s="201" t="n"/>
      <c r="H101" s="201" t="n"/>
      <c r="I101" s="201" t="n"/>
      <c r="J101" s="201" t="n"/>
      <c r="K101" s="201" t="n"/>
      <c r="L101" s="201" t="n"/>
      <c r="M101" s="201" t="n"/>
      <c r="N101" s="201" t="n"/>
      <c r="O101" s="201" t="n"/>
      <c r="P101" s="201" t="n"/>
      <c r="Q101" s="201" t="n"/>
      <c r="R101" s="201" t="n"/>
    </row>
    <row r="102" ht="12.75" customHeight="1" s="202">
      <c r="A102" s="201" t="n"/>
      <c r="B102" s="201" t="n"/>
      <c r="C102" s="201" t="n"/>
      <c r="D102" s="201" t="n"/>
      <c r="E102" s="201" t="n"/>
      <c r="F102" s="201" t="n"/>
      <c r="G102" s="201" t="n"/>
      <c r="H102" s="201" t="n"/>
      <c r="I102" s="201" t="n"/>
      <c r="J102" s="201" t="n"/>
      <c r="K102" s="201" t="n"/>
      <c r="L102" s="201" t="n"/>
      <c r="M102" s="201" t="n"/>
      <c r="N102" s="201" t="n"/>
      <c r="O102" s="201" t="n"/>
      <c r="P102" s="201" t="n"/>
      <c r="Q102" s="201" t="n"/>
      <c r="R102" s="201" t="n"/>
    </row>
    <row r="103" ht="12.75" customHeight="1" s="202">
      <c r="A103" s="201" t="n"/>
      <c r="B103" s="201" t="n"/>
      <c r="C103" s="201" t="n"/>
      <c r="D103" s="201" t="n"/>
      <c r="E103" s="201" t="n"/>
      <c r="F103" s="201" t="n"/>
      <c r="G103" s="201" t="n"/>
      <c r="H103" s="201" t="n"/>
      <c r="I103" s="201" t="n"/>
      <c r="J103" s="201" t="n"/>
      <c r="K103" s="201" t="n"/>
      <c r="L103" s="201" t="n"/>
      <c r="M103" s="201" t="n"/>
      <c r="N103" s="201" t="n"/>
      <c r="O103" s="201" t="n"/>
      <c r="P103" s="201" t="n"/>
      <c r="Q103" s="201" t="n"/>
      <c r="R103" s="201" t="n"/>
    </row>
    <row r="104" ht="12.75" customHeight="1" s="202">
      <c r="A104" s="201" t="n"/>
      <c r="B104" s="201" t="n"/>
      <c r="C104" s="201" t="n"/>
      <c r="D104" s="201" t="n"/>
      <c r="E104" s="201" t="n"/>
      <c r="F104" s="201" t="n"/>
      <c r="G104" s="201" t="n"/>
      <c r="H104" s="201" t="n"/>
      <c r="I104" s="201" t="n"/>
      <c r="J104" s="201" t="n"/>
      <c r="K104" s="201" t="n"/>
      <c r="L104" s="201" t="n"/>
      <c r="M104" s="201" t="n"/>
      <c r="N104" s="201" t="n"/>
      <c r="O104" s="201" t="n"/>
      <c r="P104" s="201" t="n"/>
      <c r="Q104" s="201" t="n"/>
      <c r="R104" s="201" t="n"/>
    </row>
    <row r="105" ht="12.75" customHeight="1" s="202">
      <c r="A105" s="201" t="n"/>
      <c r="B105" s="201" t="n"/>
      <c r="C105" s="201" t="n"/>
      <c r="D105" s="201" t="n"/>
      <c r="E105" s="201" t="n"/>
      <c r="F105" s="201" t="n"/>
      <c r="G105" s="201" t="n"/>
      <c r="H105" s="201" t="n"/>
      <c r="I105" s="201" t="n"/>
      <c r="J105" s="201" t="n"/>
      <c r="K105" s="201" t="n"/>
      <c r="L105" s="201" t="n"/>
      <c r="M105" s="201" t="n"/>
      <c r="N105" s="201" t="n"/>
      <c r="O105" s="201" t="n"/>
      <c r="P105" s="201" t="n"/>
      <c r="Q105" s="201" t="n"/>
      <c r="R105" s="201" t="n"/>
    </row>
    <row r="106" ht="12.75" customHeight="1" s="202">
      <c r="A106" s="201" t="n"/>
      <c r="B106" s="201" t="n"/>
      <c r="C106" s="201" t="n"/>
      <c r="D106" s="201" t="n"/>
      <c r="E106" s="201" t="n"/>
      <c r="F106" s="201" t="n"/>
      <c r="G106" s="201" t="n"/>
      <c r="H106" s="201" t="n"/>
      <c r="I106" s="201" t="n"/>
      <c r="J106" s="201" t="n"/>
      <c r="K106" s="201" t="n"/>
      <c r="L106" s="201" t="n"/>
      <c r="M106" s="201" t="n"/>
      <c r="N106" s="201" t="n"/>
      <c r="O106" s="201" t="n"/>
      <c r="P106" s="201" t="n"/>
      <c r="Q106" s="201" t="n"/>
      <c r="R106" s="201" t="n"/>
    </row>
    <row r="107" ht="12.75" customHeight="1" s="202">
      <c r="A107" s="201" t="n"/>
      <c r="B107" s="201" t="n"/>
      <c r="C107" s="201" t="n"/>
      <c r="D107" s="201" t="n"/>
      <c r="E107" s="201" t="n"/>
      <c r="F107" s="201" t="n"/>
      <c r="G107" s="201" t="n"/>
      <c r="H107" s="201" t="n"/>
      <c r="I107" s="201" t="n"/>
      <c r="J107" s="201" t="n"/>
      <c r="K107" s="201" t="n"/>
      <c r="L107" s="201" t="n"/>
      <c r="M107" s="201" t="n"/>
      <c r="N107" s="201" t="n"/>
      <c r="O107" s="201" t="n"/>
      <c r="P107" s="201" t="n"/>
      <c r="Q107" s="201" t="n"/>
      <c r="R107" s="201" t="n"/>
    </row>
    <row r="108" ht="12.75" customHeight="1" s="202">
      <c r="A108" s="201" t="n"/>
      <c r="B108" s="201" t="n"/>
      <c r="C108" s="201" t="n"/>
      <c r="D108" s="201" t="n"/>
      <c r="E108" s="201" t="n"/>
      <c r="F108" s="201" t="n"/>
      <c r="G108" s="201" t="n"/>
      <c r="H108" s="201" t="n"/>
      <c r="I108" s="201" t="n"/>
      <c r="J108" s="201" t="n"/>
      <c r="K108" s="201" t="n"/>
      <c r="L108" s="201" t="n"/>
      <c r="M108" s="201" t="n"/>
      <c r="N108" s="201" t="n"/>
      <c r="O108" s="201" t="n"/>
      <c r="P108" s="201" t="n"/>
      <c r="Q108" s="201" t="n"/>
      <c r="R108" s="201" t="n"/>
    </row>
    <row r="109" ht="12.75" customHeight="1" s="202">
      <c r="A109" s="201" t="n"/>
      <c r="B109" s="201" t="n"/>
      <c r="C109" s="201" t="n"/>
      <c r="D109" s="201" t="n"/>
      <c r="E109" s="201" t="n"/>
      <c r="F109" s="201" t="n"/>
      <c r="G109" s="201" t="n"/>
      <c r="H109" s="201" t="n"/>
      <c r="I109" s="201" t="n"/>
      <c r="J109" s="201" t="n"/>
      <c r="K109" s="201" t="n"/>
      <c r="L109" s="201" t="n"/>
      <c r="M109" s="201" t="n"/>
      <c r="N109" s="201" t="n"/>
      <c r="O109" s="201" t="n"/>
      <c r="P109" s="201" t="n"/>
      <c r="Q109" s="201" t="n"/>
      <c r="R109" s="201" t="n"/>
    </row>
    <row r="110" ht="12.75" customHeight="1" s="202">
      <c r="A110" s="201" t="n"/>
      <c r="B110" s="201" t="n"/>
      <c r="C110" s="201" t="n"/>
      <c r="D110" s="201" t="n"/>
      <c r="E110" s="201" t="n"/>
      <c r="F110" s="201" t="n"/>
      <c r="G110" s="201" t="n"/>
      <c r="H110" s="201" t="n"/>
      <c r="I110" s="201" t="n"/>
      <c r="J110" s="201" t="n"/>
      <c r="K110" s="201" t="n"/>
      <c r="L110" s="201" t="n"/>
      <c r="M110" s="201" t="n"/>
      <c r="N110" s="201" t="n"/>
      <c r="O110" s="201" t="n"/>
      <c r="P110" s="201" t="n"/>
      <c r="Q110" s="201" t="n"/>
      <c r="R110" s="201" t="n"/>
    </row>
    <row r="111" ht="12.75" customHeight="1" s="202">
      <c r="A111" s="201" t="n"/>
      <c r="B111" s="201" t="n"/>
      <c r="C111" s="201" t="n"/>
      <c r="D111" s="201" t="n"/>
      <c r="E111" s="201" t="n"/>
      <c r="F111" s="201" t="n"/>
      <c r="G111" s="201" t="n"/>
      <c r="H111" s="201" t="n"/>
      <c r="I111" s="201" t="n"/>
      <c r="J111" s="201" t="n"/>
      <c r="K111" s="201" t="n"/>
      <c r="L111" s="201" t="n"/>
      <c r="M111" s="201" t="n"/>
      <c r="N111" s="201" t="n"/>
      <c r="O111" s="201" t="n"/>
      <c r="P111" s="201" t="n"/>
      <c r="Q111" s="201" t="n"/>
      <c r="R111" s="201" t="n"/>
    </row>
    <row r="112" ht="12.75" customHeight="1" s="202">
      <c r="A112" s="201" t="n"/>
      <c r="B112" s="201" t="n"/>
      <c r="C112" s="201" t="n"/>
      <c r="D112" s="201" t="n"/>
      <c r="E112" s="201" t="n"/>
      <c r="F112" s="201" t="n"/>
      <c r="G112" s="201" t="n"/>
      <c r="H112" s="201" t="n"/>
      <c r="I112" s="201" t="n"/>
      <c r="J112" s="201" t="n"/>
      <c r="K112" s="201" t="n"/>
      <c r="L112" s="201" t="n"/>
      <c r="M112" s="201" t="n"/>
      <c r="N112" s="201" t="n"/>
      <c r="O112" s="201" t="n"/>
      <c r="P112" s="201" t="n"/>
      <c r="Q112" s="201" t="n"/>
      <c r="R112" s="201" t="n"/>
    </row>
    <row r="113" ht="12.75" customHeight="1" s="202">
      <c r="A113" s="201" t="n"/>
      <c r="B113" s="201" t="n"/>
      <c r="C113" s="201" t="n"/>
      <c r="D113" s="201" t="n"/>
      <c r="E113" s="201" t="n"/>
      <c r="F113" s="201" t="n"/>
      <c r="G113" s="201" t="n"/>
      <c r="H113" s="201" t="n"/>
      <c r="I113" s="201" t="n"/>
      <c r="J113" s="201" t="n"/>
      <c r="K113" s="201" t="n"/>
      <c r="L113" s="201" t="n"/>
      <c r="M113" s="201" t="n"/>
      <c r="N113" s="201" t="n"/>
      <c r="O113" s="201" t="n"/>
      <c r="P113" s="201" t="n"/>
      <c r="Q113" s="201" t="n"/>
      <c r="R113" s="201" t="n"/>
    </row>
    <row r="114" ht="12.75" customHeight="1" s="202">
      <c r="A114" s="201" t="n"/>
      <c r="B114" s="201" t="n"/>
      <c r="C114" s="201" t="n"/>
      <c r="D114" s="201" t="n"/>
      <c r="E114" s="201" t="n"/>
      <c r="F114" s="201" t="n"/>
      <c r="G114" s="201" t="n"/>
      <c r="H114" s="201" t="n"/>
      <c r="I114" s="201" t="n"/>
      <c r="J114" s="201" t="n"/>
      <c r="K114" s="201" t="n"/>
      <c r="L114" s="201" t="n"/>
      <c r="M114" s="201" t="n"/>
      <c r="N114" s="201" t="n"/>
      <c r="O114" s="201" t="n"/>
      <c r="P114" s="201" t="n"/>
      <c r="Q114" s="201" t="n"/>
      <c r="R114" s="201" t="n"/>
    </row>
    <row r="115" ht="12.75" customHeight="1" s="202">
      <c r="A115" s="201" t="n"/>
      <c r="B115" s="201" t="n"/>
      <c r="C115" s="201" t="n"/>
      <c r="D115" s="201" t="n"/>
      <c r="E115" s="201" t="n"/>
      <c r="F115" s="201" t="n"/>
      <c r="G115" s="201" t="n"/>
      <c r="H115" s="201" t="n"/>
      <c r="I115" s="201" t="n"/>
      <c r="J115" s="201" t="n"/>
      <c r="K115" s="201" t="n"/>
      <c r="L115" s="201" t="n"/>
      <c r="M115" s="201" t="n"/>
      <c r="N115" s="201" t="n"/>
      <c r="O115" s="201" t="n"/>
      <c r="P115" s="201" t="n"/>
      <c r="Q115" s="201" t="n"/>
      <c r="R115" s="201" t="n"/>
    </row>
    <row r="116" ht="12.75" customHeight="1" s="202">
      <c r="A116" s="201" t="n"/>
      <c r="B116" s="201" t="n"/>
      <c r="C116" s="201" t="n"/>
      <c r="D116" s="201" t="n"/>
      <c r="E116" s="201" t="n"/>
      <c r="F116" s="201" t="n"/>
      <c r="G116" s="201" t="n"/>
      <c r="H116" s="201" t="n"/>
      <c r="I116" s="201" t="n"/>
      <c r="J116" s="201" t="n"/>
      <c r="K116" s="201" t="n"/>
      <c r="L116" s="201" t="n"/>
      <c r="M116" s="201" t="n"/>
      <c r="N116" s="201" t="n"/>
      <c r="O116" s="201" t="n"/>
      <c r="P116" s="201" t="n"/>
      <c r="Q116" s="201" t="n"/>
      <c r="R116" s="201" t="n"/>
    </row>
    <row r="117" ht="12.75" customHeight="1" s="202">
      <c r="A117" s="201" t="n"/>
      <c r="B117" s="201" t="n"/>
      <c r="C117" s="201" t="n"/>
      <c r="D117" s="201" t="n"/>
      <c r="E117" s="201" t="n"/>
      <c r="F117" s="201" t="n"/>
      <c r="G117" s="201" t="n"/>
      <c r="H117" s="201" t="n"/>
      <c r="I117" s="201" t="n"/>
      <c r="J117" s="201" t="n"/>
      <c r="K117" s="201" t="n"/>
      <c r="L117" s="201" t="n"/>
      <c r="M117" s="201" t="n"/>
      <c r="N117" s="201" t="n"/>
      <c r="O117" s="201" t="n"/>
      <c r="P117" s="201" t="n"/>
      <c r="Q117" s="201" t="n"/>
      <c r="R117" s="201" t="n"/>
    </row>
    <row r="118" ht="12.75" customHeight="1" s="202">
      <c r="A118" s="201" t="n"/>
      <c r="B118" s="201" t="n"/>
      <c r="C118" s="201" t="n"/>
      <c r="D118" s="201" t="n"/>
      <c r="E118" s="201" t="n"/>
      <c r="F118" s="201" t="n"/>
      <c r="G118" s="201" t="n"/>
      <c r="H118" s="201" t="n"/>
      <c r="I118" s="201" t="n"/>
      <c r="J118" s="201" t="n"/>
      <c r="K118" s="201" t="n"/>
      <c r="L118" s="201" t="n"/>
      <c r="M118" s="201" t="n"/>
      <c r="N118" s="201" t="n"/>
      <c r="O118" s="201" t="n"/>
      <c r="P118" s="201" t="n"/>
      <c r="Q118" s="201" t="n"/>
      <c r="R118" s="201" t="n"/>
    </row>
    <row r="119" ht="12.75" customHeight="1" s="202">
      <c r="A119" s="201" t="n"/>
      <c r="B119" s="201" t="n"/>
      <c r="C119" s="201" t="n"/>
      <c r="D119" s="201" t="n"/>
      <c r="E119" s="201" t="n"/>
      <c r="F119" s="201" t="n"/>
      <c r="G119" s="201" t="n"/>
      <c r="H119" s="201" t="n"/>
      <c r="I119" s="201" t="n"/>
      <c r="J119" s="201" t="n"/>
      <c r="K119" s="201" t="n"/>
      <c r="L119" s="201" t="n"/>
      <c r="M119" s="201" t="n"/>
      <c r="N119" s="201" t="n"/>
      <c r="O119" s="201" t="n"/>
      <c r="P119" s="201" t="n"/>
      <c r="Q119" s="201" t="n"/>
      <c r="R119" s="201" t="n"/>
    </row>
    <row r="120" ht="12.75" customHeight="1" s="202">
      <c r="A120" s="201" t="n"/>
      <c r="B120" s="201" t="n"/>
      <c r="C120" s="201" t="n"/>
      <c r="D120" s="201" t="n"/>
      <c r="E120" s="201" t="n"/>
      <c r="F120" s="201" t="n"/>
      <c r="G120" s="201" t="n"/>
      <c r="H120" s="201" t="n"/>
      <c r="I120" s="201" t="n"/>
      <c r="J120" s="201" t="n"/>
      <c r="K120" s="201" t="n"/>
      <c r="L120" s="201" t="n"/>
      <c r="M120" s="201" t="n"/>
      <c r="N120" s="201" t="n"/>
      <c r="O120" s="201" t="n"/>
      <c r="P120" s="201" t="n"/>
      <c r="Q120" s="201" t="n"/>
      <c r="R120" s="201" t="n"/>
    </row>
    <row r="121" ht="12.75" customHeight="1" s="202">
      <c r="A121" s="201" t="n"/>
      <c r="B121" s="201" t="n"/>
      <c r="C121" s="201" t="n"/>
      <c r="D121" s="201" t="n"/>
      <c r="E121" s="201" t="n"/>
      <c r="F121" s="201" t="n"/>
      <c r="G121" s="201" t="n"/>
      <c r="H121" s="201" t="n"/>
      <c r="I121" s="201" t="n"/>
      <c r="J121" s="201" t="n"/>
      <c r="K121" s="201" t="n"/>
      <c r="L121" s="201" t="n"/>
      <c r="M121" s="201" t="n"/>
      <c r="N121" s="201" t="n"/>
      <c r="O121" s="201" t="n"/>
      <c r="P121" s="201" t="n"/>
      <c r="Q121" s="201" t="n"/>
      <c r="R121" s="201" t="n"/>
    </row>
    <row r="122" ht="12.75" customHeight="1" s="202">
      <c r="A122" s="201" t="n"/>
      <c r="B122" s="201" t="n"/>
      <c r="C122" s="201" t="n"/>
      <c r="D122" s="201" t="n"/>
      <c r="E122" s="201" t="n"/>
      <c r="F122" s="201" t="n"/>
      <c r="G122" s="201" t="n"/>
      <c r="H122" s="201" t="n"/>
      <c r="I122" s="201" t="n"/>
      <c r="J122" s="201" t="n"/>
      <c r="K122" s="201" t="n"/>
      <c r="L122" s="201" t="n"/>
      <c r="M122" s="201" t="n"/>
      <c r="N122" s="201" t="n"/>
      <c r="O122" s="201" t="n"/>
      <c r="P122" s="201" t="n"/>
      <c r="Q122" s="201" t="n"/>
      <c r="R122" s="201" t="n"/>
    </row>
    <row r="123" ht="12.75" customHeight="1" s="202">
      <c r="A123" s="201" t="n"/>
      <c r="B123" s="201" t="n"/>
      <c r="C123" s="201" t="n"/>
      <c r="D123" s="201" t="n"/>
      <c r="E123" s="201" t="n"/>
      <c r="F123" s="201" t="n"/>
      <c r="G123" s="201" t="n"/>
      <c r="H123" s="201" t="n"/>
      <c r="I123" s="201" t="n"/>
      <c r="J123" s="201" t="n"/>
      <c r="K123" s="201" t="n"/>
      <c r="L123" s="201" t="n"/>
      <c r="M123" s="201" t="n"/>
      <c r="N123" s="201" t="n"/>
      <c r="O123" s="201" t="n"/>
      <c r="P123" s="201" t="n"/>
      <c r="Q123" s="201" t="n"/>
      <c r="R123" s="201" t="n"/>
    </row>
    <row r="124" ht="12.75" customHeight="1" s="202">
      <c r="A124" s="201" t="n"/>
      <c r="B124" s="201" t="n"/>
      <c r="C124" s="201" t="n"/>
      <c r="D124" s="201" t="n"/>
      <c r="E124" s="201" t="n"/>
      <c r="F124" s="201" t="n"/>
      <c r="G124" s="201" t="n"/>
      <c r="H124" s="201" t="n"/>
      <c r="I124" s="201" t="n"/>
      <c r="J124" s="201" t="n"/>
      <c r="K124" s="201" t="n"/>
      <c r="L124" s="201" t="n"/>
      <c r="M124" s="201" t="n"/>
      <c r="N124" s="201" t="n"/>
      <c r="O124" s="201" t="n"/>
      <c r="P124" s="201" t="n"/>
      <c r="Q124" s="201" t="n"/>
      <c r="R124" s="201" t="n"/>
    </row>
    <row r="125" ht="12.75" customHeight="1" s="202">
      <c r="A125" s="201" t="n"/>
      <c r="B125" s="201" t="n"/>
      <c r="C125" s="201" t="n"/>
      <c r="D125" s="201" t="n"/>
      <c r="E125" s="201" t="n"/>
      <c r="F125" s="201" t="n"/>
      <c r="G125" s="201" t="n"/>
      <c r="H125" s="201" t="n"/>
      <c r="I125" s="201" t="n"/>
      <c r="J125" s="201" t="n"/>
      <c r="K125" s="201" t="n"/>
      <c r="L125" s="201" t="n"/>
      <c r="M125" s="201" t="n"/>
      <c r="N125" s="201" t="n"/>
      <c r="O125" s="201" t="n"/>
      <c r="P125" s="201" t="n"/>
      <c r="Q125" s="201" t="n"/>
      <c r="R125" s="201" t="n"/>
    </row>
    <row r="126" ht="12.75" customHeight="1" s="202">
      <c r="A126" s="201" t="n"/>
      <c r="B126" s="201" t="n"/>
      <c r="C126" s="201" t="n"/>
      <c r="D126" s="201" t="n"/>
      <c r="E126" s="201" t="n"/>
      <c r="F126" s="201" t="n"/>
      <c r="G126" s="201" t="n"/>
      <c r="H126" s="201" t="n"/>
      <c r="I126" s="201" t="n"/>
      <c r="J126" s="201" t="n"/>
      <c r="K126" s="201" t="n"/>
      <c r="L126" s="201" t="n"/>
      <c r="M126" s="201" t="n"/>
      <c r="N126" s="201" t="n"/>
      <c r="O126" s="201" t="n"/>
      <c r="P126" s="201" t="n"/>
      <c r="Q126" s="201" t="n"/>
      <c r="R126" s="201" t="n"/>
    </row>
    <row r="127" ht="12.75" customHeight="1" s="202">
      <c r="A127" s="201" t="n"/>
      <c r="B127" s="201" t="n"/>
      <c r="C127" s="201" t="n"/>
      <c r="D127" s="201" t="n"/>
      <c r="E127" s="201" t="n"/>
      <c r="F127" s="201" t="n"/>
      <c r="G127" s="201" t="n"/>
      <c r="H127" s="201" t="n"/>
      <c r="I127" s="201" t="n"/>
      <c r="J127" s="201" t="n"/>
      <c r="K127" s="201" t="n"/>
      <c r="L127" s="201" t="n"/>
      <c r="M127" s="201" t="n"/>
      <c r="N127" s="201" t="n"/>
      <c r="O127" s="201" t="n"/>
      <c r="P127" s="201" t="n"/>
      <c r="Q127" s="201" t="n"/>
      <c r="R127" s="201" t="n"/>
    </row>
    <row r="128" ht="12.75" customHeight="1" s="202">
      <c r="A128" s="201" t="n"/>
      <c r="B128" s="201" t="n"/>
      <c r="C128" s="201" t="n"/>
      <c r="D128" s="201" t="n"/>
      <c r="E128" s="201" t="n"/>
      <c r="F128" s="201" t="n"/>
      <c r="G128" s="201" t="n"/>
      <c r="H128" s="201" t="n"/>
      <c r="I128" s="201" t="n"/>
      <c r="J128" s="201" t="n"/>
      <c r="K128" s="201" t="n"/>
      <c r="L128" s="201" t="n"/>
      <c r="M128" s="201" t="n"/>
      <c r="N128" s="201" t="n"/>
      <c r="O128" s="201" t="n"/>
      <c r="P128" s="201" t="n"/>
      <c r="Q128" s="201" t="n"/>
      <c r="R128" s="201" t="n"/>
    </row>
    <row r="129" ht="12.75" customHeight="1" s="202">
      <c r="A129" s="201" t="n"/>
      <c r="B129" s="201" t="n"/>
      <c r="C129" s="201" t="n"/>
      <c r="D129" s="201" t="n"/>
      <c r="E129" s="201" t="n"/>
      <c r="F129" s="201" t="n"/>
      <c r="G129" s="201" t="n"/>
      <c r="H129" s="201" t="n"/>
      <c r="I129" s="201" t="n"/>
      <c r="J129" s="201" t="n"/>
      <c r="K129" s="201" t="n"/>
      <c r="L129" s="201" t="n"/>
      <c r="M129" s="201" t="n"/>
      <c r="N129" s="201" t="n"/>
      <c r="O129" s="201" t="n"/>
      <c r="P129" s="201" t="n"/>
      <c r="Q129" s="201" t="n"/>
      <c r="R129" s="201" t="n"/>
    </row>
    <row r="130" ht="12.75" customHeight="1" s="202">
      <c r="A130" s="201" t="n"/>
      <c r="B130" s="201" t="n"/>
      <c r="C130" s="201" t="n"/>
      <c r="D130" s="201" t="n"/>
      <c r="E130" s="201" t="n"/>
      <c r="F130" s="201" t="n"/>
      <c r="G130" s="201" t="n"/>
      <c r="H130" s="201" t="n"/>
      <c r="I130" s="201" t="n"/>
      <c r="J130" s="201" t="n"/>
      <c r="K130" s="201" t="n"/>
      <c r="L130" s="201" t="n"/>
      <c r="M130" s="201" t="n"/>
      <c r="N130" s="201" t="n"/>
      <c r="O130" s="201" t="n"/>
      <c r="P130" s="201" t="n"/>
      <c r="Q130" s="201" t="n"/>
      <c r="R130" s="201" t="n"/>
    </row>
    <row r="131" ht="12.75" customHeight="1" s="202">
      <c r="A131" s="201" t="n"/>
      <c r="B131" s="201" t="n"/>
      <c r="C131" s="201" t="n"/>
      <c r="D131" s="201" t="n"/>
      <c r="E131" s="201" t="n"/>
      <c r="F131" s="201" t="n"/>
      <c r="G131" s="201" t="n"/>
      <c r="H131" s="201" t="n"/>
      <c r="I131" s="201" t="n"/>
      <c r="J131" s="201" t="n"/>
      <c r="K131" s="201" t="n"/>
      <c r="L131" s="201" t="n"/>
      <c r="M131" s="201" t="n"/>
      <c r="N131" s="201" t="n"/>
      <c r="O131" s="201" t="n"/>
      <c r="P131" s="201" t="n"/>
      <c r="Q131" s="201" t="n"/>
      <c r="R131" s="201" t="n"/>
    </row>
    <row r="132" ht="12.75" customHeight="1" s="202">
      <c r="A132" s="201" t="n"/>
      <c r="B132" s="201" t="n"/>
      <c r="C132" s="201" t="n"/>
      <c r="D132" s="201" t="n"/>
      <c r="E132" s="201" t="n"/>
      <c r="F132" s="201" t="n"/>
      <c r="G132" s="201" t="n"/>
      <c r="H132" s="201" t="n"/>
      <c r="I132" s="201" t="n"/>
      <c r="J132" s="201" t="n"/>
      <c r="K132" s="201" t="n"/>
      <c r="L132" s="201" t="n"/>
      <c r="M132" s="201" t="n"/>
      <c r="N132" s="201" t="n"/>
      <c r="O132" s="201" t="n"/>
      <c r="P132" s="201" t="n"/>
      <c r="Q132" s="201" t="n"/>
      <c r="R132" s="201" t="n"/>
    </row>
    <row r="133" ht="12.75" customHeight="1" s="202">
      <c r="A133" s="201" t="n"/>
      <c r="B133" s="201" t="n"/>
      <c r="C133" s="201" t="n"/>
      <c r="D133" s="201" t="n"/>
      <c r="E133" s="201" t="n"/>
      <c r="F133" s="201" t="n"/>
      <c r="G133" s="201" t="n"/>
      <c r="H133" s="201" t="n"/>
      <c r="I133" s="201" t="n"/>
      <c r="J133" s="201" t="n"/>
      <c r="K133" s="201" t="n"/>
      <c r="L133" s="201" t="n"/>
      <c r="M133" s="201" t="n"/>
      <c r="N133" s="201" t="n"/>
      <c r="O133" s="201" t="n"/>
      <c r="P133" s="201" t="n"/>
      <c r="Q133" s="201" t="n"/>
      <c r="R133" s="201" t="n"/>
    </row>
    <row r="134" ht="12.75" customHeight="1" s="202">
      <c r="A134" s="201" t="n"/>
      <c r="B134" s="201" t="n"/>
      <c r="C134" s="201" t="n"/>
      <c r="D134" s="201" t="n"/>
      <c r="E134" s="201" t="n"/>
      <c r="F134" s="201" t="n"/>
      <c r="G134" s="201" t="n"/>
      <c r="H134" s="201" t="n"/>
      <c r="I134" s="201" t="n"/>
      <c r="J134" s="201" t="n"/>
      <c r="K134" s="201" t="n"/>
      <c r="L134" s="201" t="n"/>
      <c r="M134" s="201" t="n"/>
      <c r="N134" s="201" t="n"/>
      <c r="O134" s="201" t="n"/>
      <c r="P134" s="201" t="n"/>
      <c r="Q134" s="201" t="n"/>
      <c r="R134" s="201" t="n"/>
    </row>
    <row r="135" ht="12.75" customHeight="1" s="202">
      <c r="A135" s="201" t="n"/>
      <c r="B135" s="201" t="n"/>
      <c r="C135" s="201" t="n"/>
      <c r="D135" s="201" t="n"/>
      <c r="E135" s="201" t="n"/>
      <c r="F135" s="201" t="n"/>
      <c r="G135" s="201" t="n"/>
      <c r="H135" s="201" t="n"/>
      <c r="I135" s="201" t="n"/>
      <c r="J135" s="201" t="n"/>
      <c r="K135" s="201" t="n"/>
      <c r="L135" s="201" t="n"/>
      <c r="M135" s="201" t="n"/>
      <c r="N135" s="201" t="n"/>
      <c r="O135" s="201" t="n"/>
      <c r="P135" s="201" t="n"/>
      <c r="Q135" s="201" t="n"/>
      <c r="R135" s="201" t="n"/>
    </row>
    <row r="136" ht="12.75" customHeight="1" s="202">
      <c r="A136" s="201" t="n"/>
      <c r="B136" s="201" t="n"/>
      <c r="C136" s="201" t="n"/>
      <c r="D136" s="201" t="n"/>
      <c r="E136" s="201" t="n"/>
      <c r="F136" s="201" t="n"/>
      <c r="G136" s="201" t="n"/>
      <c r="H136" s="201" t="n"/>
      <c r="I136" s="201" t="n"/>
      <c r="J136" s="201" t="n"/>
      <c r="K136" s="201" t="n"/>
      <c r="L136" s="201" t="n"/>
      <c r="M136" s="201" t="n"/>
      <c r="N136" s="201" t="n"/>
      <c r="O136" s="201" t="n"/>
      <c r="P136" s="201" t="n"/>
      <c r="Q136" s="201" t="n"/>
      <c r="R136" s="201" t="n"/>
    </row>
    <row r="137" ht="12.75" customHeight="1" s="202">
      <c r="A137" s="201" t="n"/>
      <c r="B137" s="201" t="n"/>
      <c r="C137" s="201" t="n"/>
      <c r="D137" s="201" t="n"/>
      <c r="E137" s="201" t="n"/>
      <c r="F137" s="201" t="n"/>
      <c r="G137" s="201" t="n"/>
      <c r="H137" s="201" t="n"/>
      <c r="I137" s="201" t="n"/>
      <c r="J137" s="201" t="n"/>
      <c r="K137" s="201" t="n"/>
      <c r="L137" s="201" t="n"/>
      <c r="M137" s="201" t="n"/>
      <c r="N137" s="201" t="n"/>
      <c r="O137" s="201" t="n"/>
      <c r="P137" s="201" t="n"/>
      <c r="Q137" s="201" t="n"/>
      <c r="R137" s="201" t="n"/>
    </row>
    <row r="138" ht="12.75" customHeight="1" s="202">
      <c r="A138" s="201" t="n"/>
      <c r="B138" s="201" t="n"/>
      <c r="C138" s="201" t="n"/>
      <c r="D138" s="201" t="n"/>
      <c r="E138" s="201" t="n"/>
      <c r="F138" s="201" t="n"/>
      <c r="G138" s="201" t="n"/>
      <c r="H138" s="201" t="n"/>
      <c r="I138" s="201" t="n"/>
      <c r="J138" s="201" t="n"/>
      <c r="K138" s="201" t="n"/>
      <c r="L138" s="201" t="n"/>
      <c r="M138" s="201" t="n"/>
      <c r="N138" s="201" t="n"/>
      <c r="O138" s="201" t="n"/>
      <c r="P138" s="201" t="n"/>
      <c r="Q138" s="201" t="n"/>
      <c r="R138" s="201" t="n"/>
    </row>
    <row r="139" ht="12.75" customHeight="1" s="202">
      <c r="A139" s="201" t="n"/>
      <c r="B139" s="201" t="n"/>
      <c r="C139" s="201" t="n"/>
      <c r="D139" s="201" t="n"/>
      <c r="E139" s="201" t="n"/>
      <c r="F139" s="201" t="n"/>
      <c r="G139" s="201" t="n"/>
      <c r="H139" s="201" t="n"/>
      <c r="I139" s="201" t="n"/>
      <c r="J139" s="201" t="n"/>
      <c r="K139" s="201" t="n"/>
      <c r="L139" s="201" t="n"/>
      <c r="M139" s="201" t="n"/>
      <c r="N139" s="201" t="n"/>
      <c r="O139" s="201" t="n"/>
      <c r="P139" s="201" t="n"/>
      <c r="Q139" s="201" t="n"/>
      <c r="R139" s="201" t="n"/>
    </row>
    <row r="140" ht="12.75" customHeight="1" s="202">
      <c r="A140" s="201" t="n"/>
      <c r="B140" s="201" t="n"/>
      <c r="C140" s="201" t="n"/>
      <c r="D140" s="201" t="n"/>
      <c r="E140" s="201" t="n"/>
      <c r="F140" s="201" t="n"/>
      <c r="G140" s="201" t="n"/>
      <c r="H140" s="201" t="n"/>
      <c r="I140" s="201" t="n"/>
      <c r="J140" s="201" t="n"/>
      <c r="K140" s="201" t="n"/>
      <c r="L140" s="201" t="n"/>
      <c r="M140" s="201" t="n"/>
      <c r="N140" s="201" t="n"/>
      <c r="O140" s="201" t="n"/>
      <c r="P140" s="201" t="n"/>
      <c r="Q140" s="201" t="n"/>
      <c r="R140" s="201" t="n"/>
    </row>
    <row r="141" ht="12.75" customHeight="1" s="202">
      <c r="A141" s="201" t="n"/>
      <c r="B141" s="201" t="n"/>
      <c r="C141" s="201" t="n"/>
      <c r="D141" s="201" t="n"/>
      <c r="E141" s="201" t="n"/>
      <c r="F141" s="201" t="n"/>
      <c r="G141" s="201" t="n"/>
      <c r="H141" s="201" t="n"/>
      <c r="I141" s="201" t="n"/>
      <c r="J141" s="201" t="n"/>
      <c r="K141" s="201" t="n"/>
      <c r="L141" s="201" t="n"/>
      <c r="M141" s="201" t="n"/>
      <c r="N141" s="201" t="n"/>
      <c r="O141" s="201" t="n"/>
      <c r="P141" s="201" t="n"/>
      <c r="Q141" s="201" t="n"/>
      <c r="R141" s="201" t="n"/>
    </row>
    <row r="142" ht="12.75" customHeight="1" s="202">
      <c r="A142" s="201" t="n"/>
      <c r="B142" s="201" t="n"/>
      <c r="C142" s="201" t="n"/>
      <c r="D142" s="201" t="n"/>
      <c r="E142" s="201" t="n"/>
      <c r="F142" s="201" t="n"/>
      <c r="G142" s="201" t="n"/>
      <c r="H142" s="201" t="n"/>
      <c r="I142" s="201" t="n"/>
      <c r="J142" s="201" t="n"/>
      <c r="K142" s="201" t="n"/>
      <c r="L142" s="201" t="n"/>
      <c r="M142" s="201" t="n"/>
      <c r="N142" s="201" t="n"/>
      <c r="O142" s="201" t="n"/>
      <c r="P142" s="201" t="n"/>
      <c r="Q142" s="201" t="n"/>
      <c r="R142" s="201" t="n"/>
    </row>
    <row r="143" ht="12.75" customHeight="1" s="202">
      <c r="A143" s="201" t="n"/>
      <c r="B143" s="201" t="n"/>
      <c r="C143" s="201" t="n"/>
      <c r="D143" s="201" t="n"/>
      <c r="E143" s="201" t="n"/>
      <c r="F143" s="201" t="n"/>
      <c r="G143" s="201" t="n"/>
      <c r="H143" s="201" t="n"/>
      <c r="I143" s="201" t="n"/>
      <c r="J143" s="201" t="n"/>
      <c r="K143" s="201" t="n"/>
      <c r="L143" s="201" t="n"/>
      <c r="M143" s="201" t="n"/>
      <c r="N143" s="201" t="n"/>
      <c r="O143" s="201" t="n"/>
      <c r="P143" s="201" t="n"/>
      <c r="Q143" s="201" t="n"/>
      <c r="R143" s="201" t="n"/>
    </row>
    <row r="144" ht="12.75" customHeight="1" s="202">
      <c r="A144" s="201" t="n"/>
      <c r="B144" s="201" t="n"/>
      <c r="C144" s="201" t="n"/>
      <c r="D144" s="201" t="n"/>
      <c r="E144" s="201" t="n"/>
      <c r="F144" s="201" t="n"/>
      <c r="G144" s="201" t="n"/>
      <c r="H144" s="201" t="n"/>
      <c r="I144" s="201" t="n"/>
      <c r="J144" s="201" t="n"/>
      <c r="K144" s="201" t="n"/>
      <c r="L144" s="201" t="n"/>
      <c r="M144" s="201" t="n"/>
      <c r="N144" s="201" t="n"/>
      <c r="O144" s="201" t="n"/>
      <c r="P144" s="201" t="n"/>
      <c r="Q144" s="201" t="n"/>
      <c r="R144" s="201" t="n"/>
    </row>
    <row r="145" ht="12.75" customHeight="1" s="202">
      <c r="A145" s="201" t="n"/>
      <c r="B145" s="201" t="n"/>
      <c r="C145" s="201" t="n"/>
      <c r="D145" s="201" t="n"/>
      <c r="E145" s="201" t="n"/>
      <c r="F145" s="201" t="n"/>
      <c r="G145" s="201" t="n"/>
      <c r="H145" s="201" t="n"/>
      <c r="I145" s="201" t="n"/>
      <c r="J145" s="201" t="n"/>
      <c r="K145" s="201" t="n"/>
      <c r="L145" s="201" t="n"/>
      <c r="M145" s="201" t="n"/>
      <c r="N145" s="201" t="n"/>
      <c r="O145" s="201" t="n"/>
      <c r="P145" s="201" t="n"/>
      <c r="Q145" s="201" t="n"/>
      <c r="R145" s="201" t="n"/>
    </row>
    <row r="146" ht="12.75" customHeight="1" s="202">
      <c r="A146" s="201" t="n"/>
      <c r="B146" s="201" t="n"/>
      <c r="C146" s="201" t="n"/>
      <c r="D146" s="201" t="n"/>
      <c r="E146" s="201" t="n"/>
      <c r="F146" s="201" t="n"/>
      <c r="G146" s="201" t="n"/>
      <c r="H146" s="201" t="n"/>
      <c r="I146" s="201" t="n"/>
      <c r="J146" s="201" t="n"/>
      <c r="K146" s="201" t="n"/>
      <c r="L146" s="201" t="n"/>
      <c r="M146" s="201" t="n"/>
      <c r="N146" s="201" t="n"/>
      <c r="O146" s="201" t="n"/>
      <c r="P146" s="201" t="n"/>
      <c r="Q146" s="201" t="n"/>
      <c r="R146" s="201" t="n"/>
    </row>
    <row r="147" ht="12.75" customHeight="1" s="202">
      <c r="A147" s="201" t="n"/>
      <c r="B147" s="201" t="n"/>
      <c r="C147" s="201" t="n"/>
      <c r="D147" s="201" t="n"/>
      <c r="E147" s="201" t="n"/>
      <c r="F147" s="201" t="n"/>
      <c r="G147" s="201" t="n"/>
      <c r="H147" s="201" t="n"/>
      <c r="I147" s="201" t="n"/>
      <c r="J147" s="201" t="n"/>
      <c r="K147" s="201" t="n"/>
      <c r="L147" s="201" t="n"/>
      <c r="M147" s="201" t="n"/>
      <c r="N147" s="201" t="n"/>
      <c r="O147" s="201" t="n"/>
      <c r="P147" s="201" t="n"/>
      <c r="Q147" s="201" t="n"/>
      <c r="R147" s="201" t="n"/>
    </row>
    <row r="148" ht="12.75" customHeight="1" s="202">
      <c r="A148" s="201" t="n"/>
      <c r="B148" s="201" t="n"/>
      <c r="C148" s="201" t="n"/>
      <c r="D148" s="201" t="n"/>
      <c r="E148" s="201" t="n"/>
      <c r="F148" s="201" t="n"/>
      <c r="G148" s="201" t="n"/>
      <c r="H148" s="201" t="n"/>
      <c r="I148" s="201" t="n"/>
      <c r="J148" s="201" t="n"/>
      <c r="K148" s="201" t="n"/>
      <c r="L148" s="201" t="n"/>
      <c r="M148" s="201" t="n"/>
      <c r="N148" s="201" t="n"/>
      <c r="O148" s="201" t="n"/>
      <c r="P148" s="201" t="n"/>
      <c r="Q148" s="201" t="n"/>
      <c r="R148" s="201" t="n"/>
    </row>
    <row r="149" ht="12.75" customHeight="1" s="202">
      <c r="A149" s="201" t="n"/>
      <c r="B149" s="201" t="n"/>
      <c r="C149" s="201" t="n"/>
      <c r="D149" s="201" t="n"/>
      <c r="E149" s="201" t="n"/>
      <c r="F149" s="201" t="n"/>
      <c r="G149" s="201" t="n"/>
      <c r="H149" s="201" t="n"/>
      <c r="I149" s="201" t="n"/>
      <c r="J149" s="201" t="n"/>
      <c r="K149" s="201" t="n"/>
      <c r="L149" s="201" t="n"/>
      <c r="M149" s="201" t="n"/>
      <c r="N149" s="201" t="n"/>
      <c r="O149" s="201" t="n"/>
      <c r="P149" s="201" t="n"/>
      <c r="Q149" s="201" t="n"/>
      <c r="R149" s="201" t="n"/>
    </row>
    <row r="150" ht="12.75" customHeight="1" s="202">
      <c r="A150" s="201" t="n"/>
      <c r="B150" s="201" t="n"/>
      <c r="C150" s="201" t="n"/>
      <c r="D150" s="201" t="n"/>
      <c r="E150" s="201" t="n"/>
      <c r="F150" s="201" t="n"/>
      <c r="G150" s="201" t="n"/>
      <c r="H150" s="201" t="n"/>
      <c r="I150" s="201" t="n"/>
      <c r="J150" s="201" t="n"/>
      <c r="K150" s="201" t="n"/>
      <c r="L150" s="201" t="n"/>
      <c r="M150" s="201" t="n"/>
      <c r="N150" s="201" t="n"/>
      <c r="O150" s="201" t="n"/>
      <c r="P150" s="201" t="n"/>
      <c r="Q150" s="201" t="n"/>
      <c r="R150" s="201" t="n"/>
    </row>
    <row r="151" ht="12.75" customHeight="1" s="202">
      <c r="A151" s="201" t="n"/>
      <c r="B151" s="201" t="n"/>
      <c r="C151" s="201" t="n"/>
      <c r="D151" s="201" t="n"/>
      <c r="E151" s="201" t="n"/>
      <c r="F151" s="201" t="n"/>
      <c r="G151" s="201" t="n"/>
      <c r="H151" s="201" t="n"/>
      <c r="I151" s="201" t="n"/>
      <c r="J151" s="201" t="n"/>
      <c r="K151" s="201" t="n"/>
      <c r="L151" s="201" t="n"/>
      <c r="M151" s="201" t="n"/>
      <c r="N151" s="201" t="n"/>
      <c r="O151" s="201" t="n"/>
      <c r="P151" s="201" t="n"/>
      <c r="Q151" s="201" t="n"/>
      <c r="R151" s="201" t="n"/>
    </row>
    <row r="152" ht="12.75" customHeight="1" s="202">
      <c r="A152" s="201" t="n"/>
      <c r="B152" s="201" t="n"/>
      <c r="C152" s="201" t="n"/>
      <c r="D152" s="201" t="n"/>
      <c r="E152" s="201" t="n"/>
      <c r="F152" s="201" t="n"/>
      <c r="G152" s="201" t="n"/>
      <c r="H152" s="201" t="n"/>
      <c r="I152" s="201" t="n"/>
      <c r="J152" s="201" t="n"/>
      <c r="K152" s="201" t="n"/>
      <c r="L152" s="201" t="n"/>
      <c r="M152" s="201" t="n"/>
      <c r="N152" s="201" t="n"/>
      <c r="O152" s="201" t="n"/>
      <c r="P152" s="201" t="n"/>
      <c r="Q152" s="201" t="n"/>
      <c r="R152" s="201" t="n"/>
    </row>
    <row r="153" ht="12.75" customHeight="1" s="202">
      <c r="A153" s="201" t="n"/>
      <c r="B153" s="201" t="n"/>
      <c r="C153" s="201" t="n"/>
      <c r="D153" s="201" t="n"/>
      <c r="E153" s="201" t="n"/>
      <c r="F153" s="201" t="n"/>
      <c r="G153" s="201" t="n"/>
      <c r="H153" s="201" t="n"/>
      <c r="I153" s="201" t="n"/>
      <c r="J153" s="201" t="n"/>
      <c r="K153" s="201" t="n"/>
      <c r="L153" s="201" t="n"/>
      <c r="M153" s="201" t="n"/>
      <c r="N153" s="201" t="n"/>
      <c r="O153" s="201" t="n"/>
      <c r="P153" s="201" t="n"/>
      <c r="Q153" s="201" t="n"/>
      <c r="R153" s="201" t="n"/>
    </row>
    <row r="154" ht="12.75" customHeight="1" s="202">
      <c r="A154" s="201" t="n"/>
      <c r="B154" s="201" t="n"/>
      <c r="C154" s="201" t="n"/>
      <c r="D154" s="201" t="n"/>
      <c r="E154" s="201" t="n"/>
      <c r="F154" s="201" t="n"/>
      <c r="G154" s="201" t="n"/>
      <c r="H154" s="201" t="n"/>
      <c r="I154" s="201" t="n"/>
      <c r="J154" s="201" t="n"/>
      <c r="K154" s="201" t="n"/>
      <c r="L154" s="201" t="n"/>
      <c r="M154" s="201" t="n"/>
      <c r="N154" s="201" t="n"/>
      <c r="O154" s="201" t="n"/>
      <c r="P154" s="201" t="n"/>
      <c r="Q154" s="201" t="n"/>
      <c r="R154" s="201" t="n"/>
    </row>
    <row r="155" ht="12.75" customHeight="1" s="202">
      <c r="A155" s="201" t="n"/>
      <c r="B155" s="201" t="n"/>
      <c r="C155" s="201" t="n"/>
      <c r="D155" s="201" t="n"/>
      <c r="E155" s="201" t="n"/>
      <c r="F155" s="201" t="n"/>
      <c r="G155" s="201" t="n"/>
      <c r="H155" s="201" t="n"/>
      <c r="I155" s="201" t="n"/>
      <c r="J155" s="201" t="n"/>
      <c r="K155" s="201" t="n"/>
      <c r="L155" s="201" t="n"/>
      <c r="M155" s="201" t="n"/>
      <c r="N155" s="201" t="n"/>
      <c r="O155" s="201" t="n"/>
      <c r="P155" s="201" t="n"/>
      <c r="Q155" s="201" t="n"/>
      <c r="R155" s="201" t="n"/>
    </row>
    <row r="156" ht="12.75" customHeight="1" s="202">
      <c r="A156" s="201" t="n"/>
      <c r="B156" s="201" t="n"/>
      <c r="C156" s="201" t="n"/>
      <c r="D156" s="201" t="n"/>
      <c r="E156" s="201" t="n"/>
      <c r="F156" s="201" t="n"/>
      <c r="G156" s="201" t="n"/>
      <c r="H156" s="201" t="n"/>
      <c r="I156" s="201" t="n"/>
      <c r="J156" s="201" t="n"/>
      <c r="K156" s="201" t="n"/>
      <c r="L156" s="201" t="n"/>
      <c r="M156" s="201" t="n"/>
      <c r="N156" s="201" t="n"/>
      <c r="O156" s="201" t="n"/>
      <c r="P156" s="201" t="n"/>
      <c r="Q156" s="201" t="n"/>
      <c r="R156" s="201" t="n"/>
    </row>
    <row r="157" ht="12.75" customHeight="1" s="202">
      <c r="A157" s="201" t="n"/>
      <c r="B157" s="201" t="n"/>
      <c r="C157" s="201" t="n"/>
      <c r="D157" s="201" t="n"/>
      <c r="E157" s="201" t="n"/>
      <c r="F157" s="201" t="n"/>
      <c r="G157" s="201" t="n"/>
      <c r="H157" s="201" t="n"/>
      <c r="I157" s="201" t="n"/>
      <c r="J157" s="201" t="n"/>
      <c r="K157" s="201" t="n"/>
      <c r="L157" s="201" t="n"/>
      <c r="M157" s="201" t="n"/>
      <c r="N157" s="201" t="n"/>
      <c r="O157" s="201" t="n"/>
      <c r="P157" s="201" t="n"/>
      <c r="Q157" s="201" t="n"/>
      <c r="R157" s="201" t="n"/>
    </row>
    <row r="158" ht="12.75" customHeight="1" s="202">
      <c r="A158" s="201" t="n"/>
      <c r="B158" s="201" t="n"/>
      <c r="C158" s="201" t="n"/>
      <c r="D158" s="201" t="n"/>
      <c r="E158" s="201" t="n"/>
      <c r="F158" s="201" t="n"/>
      <c r="G158" s="201" t="n"/>
      <c r="H158" s="201" t="n"/>
      <c r="I158" s="201" t="n"/>
      <c r="J158" s="201" t="n"/>
      <c r="K158" s="201" t="n"/>
      <c r="L158" s="201" t="n"/>
      <c r="M158" s="201" t="n"/>
      <c r="N158" s="201" t="n"/>
      <c r="O158" s="201" t="n"/>
      <c r="P158" s="201" t="n"/>
      <c r="Q158" s="201" t="n"/>
      <c r="R158" s="201" t="n"/>
    </row>
    <row r="159" ht="12.75" customHeight="1" s="202">
      <c r="A159" s="201" t="n"/>
      <c r="B159" s="201" t="n"/>
      <c r="C159" s="201" t="n"/>
      <c r="D159" s="201" t="n"/>
      <c r="E159" s="201" t="n"/>
      <c r="F159" s="201" t="n"/>
      <c r="G159" s="201" t="n"/>
      <c r="H159" s="201" t="n"/>
      <c r="I159" s="201" t="n"/>
      <c r="J159" s="201" t="n"/>
      <c r="K159" s="201" t="n"/>
      <c r="L159" s="201" t="n"/>
      <c r="M159" s="201" t="n"/>
      <c r="N159" s="201" t="n"/>
      <c r="O159" s="201" t="n"/>
      <c r="P159" s="201" t="n"/>
      <c r="Q159" s="201" t="n"/>
      <c r="R159" s="201" t="n"/>
    </row>
    <row r="160" ht="12.75" customHeight="1" s="202">
      <c r="A160" s="201" t="n"/>
      <c r="B160" s="201" t="n"/>
      <c r="C160" s="201" t="n"/>
      <c r="D160" s="201" t="n"/>
      <c r="E160" s="201" t="n"/>
      <c r="F160" s="201" t="n"/>
      <c r="G160" s="201" t="n"/>
      <c r="H160" s="201" t="n"/>
      <c r="I160" s="201" t="n"/>
      <c r="J160" s="201" t="n"/>
      <c r="K160" s="201" t="n"/>
      <c r="L160" s="201" t="n"/>
      <c r="M160" s="201" t="n"/>
      <c r="N160" s="201" t="n"/>
      <c r="O160" s="201" t="n"/>
      <c r="P160" s="201" t="n"/>
      <c r="Q160" s="201" t="n"/>
      <c r="R160" s="201" t="n"/>
    </row>
    <row r="161" ht="12.75" customHeight="1" s="202">
      <c r="A161" s="201" t="n"/>
      <c r="B161" s="201" t="n"/>
      <c r="C161" s="201" t="n"/>
      <c r="D161" s="201" t="n"/>
      <c r="E161" s="201" t="n"/>
      <c r="F161" s="201" t="n"/>
      <c r="G161" s="201" t="n"/>
      <c r="H161" s="201" t="n"/>
      <c r="I161" s="201" t="n"/>
      <c r="J161" s="201" t="n"/>
      <c r="K161" s="201" t="n"/>
      <c r="L161" s="201" t="n"/>
      <c r="M161" s="201" t="n"/>
      <c r="N161" s="201" t="n"/>
      <c r="O161" s="201" t="n"/>
      <c r="P161" s="201" t="n"/>
      <c r="Q161" s="201" t="n"/>
      <c r="R161" s="201" t="n"/>
    </row>
    <row r="162" ht="12.75" customHeight="1" s="202">
      <c r="A162" s="201" t="n"/>
      <c r="B162" s="201" t="n"/>
      <c r="C162" s="201" t="n"/>
      <c r="D162" s="201" t="n"/>
      <c r="E162" s="201" t="n"/>
      <c r="F162" s="201" t="n"/>
      <c r="G162" s="201" t="n"/>
      <c r="H162" s="201" t="n"/>
      <c r="I162" s="201" t="n"/>
      <c r="J162" s="201" t="n"/>
      <c r="K162" s="201" t="n"/>
      <c r="L162" s="201" t="n"/>
      <c r="M162" s="201" t="n"/>
      <c r="N162" s="201" t="n"/>
      <c r="O162" s="201" t="n"/>
      <c r="P162" s="201" t="n"/>
      <c r="Q162" s="201" t="n"/>
      <c r="R162" s="201" t="n"/>
    </row>
    <row r="163" ht="12.75" customHeight="1" s="202">
      <c r="A163" s="201" t="n"/>
      <c r="B163" s="201" t="n"/>
      <c r="C163" s="201" t="n"/>
      <c r="D163" s="201" t="n"/>
      <c r="E163" s="201" t="n"/>
      <c r="F163" s="201" t="n"/>
      <c r="G163" s="201" t="n"/>
      <c r="H163" s="201" t="n"/>
      <c r="I163" s="201" t="n"/>
      <c r="J163" s="201" t="n"/>
      <c r="K163" s="201" t="n"/>
      <c r="L163" s="201" t="n"/>
      <c r="M163" s="201" t="n"/>
      <c r="N163" s="201" t="n"/>
      <c r="O163" s="201" t="n"/>
      <c r="P163" s="201" t="n"/>
      <c r="Q163" s="201" t="n"/>
      <c r="R163" s="201" t="n"/>
    </row>
    <row r="164" ht="12.75" customHeight="1" s="202">
      <c r="A164" s="201" t="n"/>
      <c r="B164" s="201" t="n"/>
      <c r="C164" s="201" t="n"/>
      <c r="D164" s="201" t="n"/>
      <c r="E164" s="201" t="n"/>
      <c r="F164" s="201" t="n"/>
      <c r="G164" s="201" t="n"/>
      <c r="H164" s="201" t="n"/>
      <c r="I164" s="201" t="n"/>
      <c r="J164" s="201" t="n"/>
      <c r="K164" s="201" t="n"/>
      <c r="L164" s="201" t="n"/>
      <c r="M164" s="201" t="n"/>
      <c r="N164" s="201" t="n"/>
      <c r="O164" s="201" t="n"/>
      <c r="P164" s="201" t="n"/>
      <c r="Q164" s="201" t="n"/>
      <c r="R164" s="201" t="n"/>
    </row>
    <row r="165" ht="12.75" customHeight="1" s="202">
      <c r="A165" s="201" t="n"/>
      <c r="B165" s="201" t="n"/>
      <c r="C165" s="201" t="n"/>
      <c r="D165" s="201" t="n"/>
      <c r="E165" s="201" t="n"/>
      <c r="F165" s="201" t="n"/>
      <c r="G165" s="201" t="n"/>
      <c r="H165" s="201" t="n"/>
      <c r="I165" s="201" t="n"/>
      <c r="J165" s="201" t="n"/>
      <c r="K165" s="201" t="n"/>
      <c r="L165" s="201" t="n"/>
      <c r="M165" s="201" t="n"/>
      <c r="N165" s="201" t="n"/>
      <c r="O165" s="201" t="n"/>
      <c r="P165" s="201" t="n"/>
      <c r="Q165" s="201" t="n"/>
      <c r="R165" s="201" t="n"/>
    </row>
    <row r="166" ht="12.75" customHeight="1" s="202">
      <c r="A166" s="201" t="n"/>
      <c r="B166" s="201" t="n"/>
      <c r="C166" s="201" t="n"/>
      <c r="D166" s="201" t="n"/>
      <c r="E166" s="201" t="n"/>
      <c r="F166" s="201" t="n"/>
      <c r="G166" s="201" t="n"/>
      <c r="H166" s="201" t="n"/>
      <c r="I166" s="201" t="n"/>
      <c r="J166" s="201" t="n"/>
      <c r="K166" s="201" t="n"/>
      <c r="L166" s="201" t="n"/>
      <c r="M166" s="201" t="n"/>
      <c r="N166" s="201" t="n"/>
      <c r="O166" s="201" t="n"/>
      <c r="P166" s="201" t="n"/>
      <c r="Q166" s="201" t="n"/>
      <c r="R166" s="201" t="n"/>
    </row>
    <row r="167" ht="12.75" customHeight="1" s="202">
      <c r="A167" s="201" t="n"/>
      <c r="B167" s="201" t="n"/>
      <c r="C167" s="201" t="n"/>
      <c r="D167" s="201" t="n"/>
      <c r="E167" s="201" t="n"/>
      <c r="F167" s="201" t="n"/>
      <c r="G167" s="201" t="n"/>
      <c r="H167" s="201" t="n"/>
      <c r="I167" s="201" t="n"/>
      <c r="J167" s="201" t="n"/>
      <c r="K167" s="201" t="n"/>
      <c r="L167" s="201" t="n"/>
      <c r="M167" s="201" t="n"/>
      <c r="N167" s="201" t="n"/>
      <c r="O167" s="201" t="n"/>
      <c r="P167" s="201" t="n"/>
      <c r="Q167" s="201" t="n"/>
      <c r="R167" s="201" t="n"/>
    </row>
    <row r="168" ht="12.75" customHeight="1" s="202">
      <c r="A168" s="201" t="n"/>
      <c r="B168" s="201" t="n"/>
      <c r="C168" s="201" t="n"/>
      <c r="D168" s="201" t="n"/>
      <c r="E168" s="201" t="n"/>
      <c r="F168" s="201" t="n"/>
      <c r="G168" s="201" t="n"/>
      <c r="H168" s="201" t="n"/>
      <c r="I168" s="201" t="n"/>
      <c r="J168" s="201" t="n"/>
      <c r="K168" s="201" t="n"/>
      <c r="L168" s="201" t="n"/>
      <c r="M168" s="201" t="n"/>
      <c r="N168" s="201" t="n"/>
      <c r="O168" s="201" t="n"/>
      <c r="P168" s="201" t="n"/>
      <c r="Q168" s="201" t="n"/>
      <c r="R168" s="201" t="n"/>
    </row>
    <row r="169" ht="12.75" customHeight="1" s="202">
      <c r="A169" s="201" t="n"/>
      <c r="B169" s="201" t="n"/>
      <c r="C169" s="201" t="n"/>
      <c r="D169" s="201" t="n"/>
      <c r="E169" s="201" t="n"/>
      <c r="F169" s="201" t="n"/>
      <c r="G169" s="201" t="n"/>
      <c r="H169" s="201" t="n"/>
      <c r="I169" s="201" t="n"/>
      <c r="J169" s="201" t="n"/>
      <c r="K169" s="201" t="n"/>
      <c r="L169" s="201" t="n"/>
      <c r="M169" s="201" t="n"/>
      <c r="N169" s="201" t="n"/>
      <c r="O169" s="201" t="n"/>
      <c r="P169" s="201" t="n"/>
      <c r="Q169" s="201" t="n"/>
      <c r="R169" s="201" t="n"/>
    </row>
    <row r="170" ht="12.75" customHeight="1" s="202">
      <c r="A170" s="201" t="n"/>
      <c r="B170" s="201" t="n"/>
      <c r="C170" s="201" t="n"/>
      <c r="D170" s="201" t="n"/>
      <c r="E170" s="201" t="n"/>
      <c r="F170" s="201" t="n"/>
      <c r="G170" s="201" t="n"/>
      <c r="H170" s="201" t="n"/>
      <c r="I170" s="201" t="n"/>
      <c r="J170" s="201" t="n"/>
      <c r="K170" s="201" t="n"/>
      <c r="L170" s="201" t="n"/>
      <c r="M170" s="201" t="n"/>
      <c r="N170" s="201" t="n"/>
      <c r="O170" s="201" t="n"/>
      <c r="P170" s="201" t="n"/>
      <c r="Q170" s="201" t="n"/>
      <c r="R170" s="201" t="n"/>
    </row>
    <row r="171" ht="12.75" customHeight="1" s="202">
      <c r="A171" s="201" t="n"/>
      <c r="B171" s="201" t="n"/>
      <c r="C171" s="201" t="n"/>
      <c r="D171" s="201" t="n"/>
      <c r="E171" s="201" t="n"/>
      <c r="F171" s="201" t="n"/>
      <c r="G171" s="201" t="n"/>
      <c r="H171" s="201" t="n"/>
      <c r="I171" s="201" t="n"/>
      <c r="J171" s="201" t="n"/>
      <c r="K171" s="201" t="n"/>
      <c r="L171" s="201" t="n"/>
      <c r="M171" s="201" t="n"/>
      <c r="N171" s="201" t="n"/>
      <c r="O171" s="201" t="n"/>
      <c r="P171" s="201" t="n"/>
      <c r="Q171" s="201" t="n"/>
      <c r="R171" s="201" t="n"/>
    </row>
    <row r="172" ht="12.75" customHeight="1" s="202">
      <c r="A172" s="201" t="n"/>
      <c r="B172" s="201" t="n"/>
      <c r="C172" s="201" t="n"/>
      <c r="D172" s="201" t="n"/>
      <c r="E172" s="201" t="n"/>
      <c r="F172" s="201" t="n"/>
      <c r="G172" s="201" t="n"/>
      <c r="H172" s="201" t="n"/>
      <c r="I172" s="201" t="n"/>
      <c r="J172" s="201" t="n"/>
      <c r="K172" s="201" t="n"/>
      <c r="L172" s="201" t="n"/>
      <c r="M172" s="201" t="n"/>
      <c r="N172" s="201" t="n"/>
      <c r="O172" s="201" t="n"/>
      <c r="P172" s="201" t="n"/>
      <c r="Q172" s="201" t="n"/>
      <c r="R172" s="201" t="n"/>
    </row>
    <row r="173" ht="12.75" customHeight="1" s="202">
      <c r="A173" s="201" t="n"/>
      <c r="B173" s="201" t="n"/>
      <c r="C173" s="201" t="n"/>
      <c r="D173" s="201" t="n"/>
      <c r="E173" s="201" t="n"/>
      <c r="F173" s="201" t="n"/>
      <c r="G173" s="201" t="n"/>
      <c r="H173" s="201" t="n"/>
      <c r="I173" s="201" t="n"/>
      <c r="J173" s="201" t="n"/>
      <c r="K173" s="201" t="n"/>
      <c r="L173" s="201" t="n"/>
      <c r="M173" s="201" t="n"/>
      <c r="N173" s="201" t="n"/>
      <c r="O173" s="201" t="n"/>
      <c r="P173" s="201" t="n"/>
      <c r="Q173" s="201" t="n"/>
      <c r="R173" s="201" t="n"/>
    </row>
    <row r="174" ht="12.75" customHeight="1" s="202">
      <c r="A174" s="201" t="n"/>
      <c r="B174" s="201" t="n"/>
      <c r="C174" s="201" t="n"/>
      <c r="D174" s="201" t="n"/>
      <c r="E174" s="201" t="n"/>
      <c r="F174" s="201" t="n"/>
      <c r="G174" s="201" t="n"/>
      <c r="H174" s="201" t="n"/>
      <c r="I174" s="201" t="n"/>
      <c r="J174" s="201" t="n"/>
      <c r="K174" s="201" t="n"/>
      <c r="L174" s="201" t="n"/>
      <c r="M174" s="201" t="n"/>
      <c r="N174" s="201" t="n"/>
      <c r="O174" s="201" t="n"/>
      <c r="P174" s="201" t="n"/>
      <c r="Q174" s="201" t="n"/>
      <c r="R174" s="201" t="n"/>
    </row>
    <row r="175" ht="12.75" customHeight="1" s="202">
      <c r="A175" s="201" t="n"/>
      <c r="B175" s="201" t="n"/>
      <c r="C175" s="201" t="n"/>
      <c r="D175" s="201" t="n"/>
      <c r="E175" s="201" t="n"/>
      <c r="F175" s="201" t="n"/>
      <c r="G175" s="201" t="n"/>
      <c r="H175" s="201" t="n"/>
      <c r="I175" s="201" t="n"/>
      <c r="J175" s="201" t="n"/>
      <c r="K175" s="201" t="n"/>
      <c r="L175" s="201" t="n"/>
      <c r="M175" s="201" t="n"/>
      <c r="N175" s="201" t="n"/>
      <c r="O175" s="201" t="n"/>
      <c r="P175" s="201" t="n"/>
      <c r="Q175" s="201" t="n"/>
      <c r="R175" s="201" t="n"/>
    </row>
    <row r="176" ht="12.75" customHeight="1" s="202">
      <c r="A176" s="201" t="n"/>
      <c r="B176" s="201" t="n"/>
      <c r="C176" s="201" t="n"/>
      <c r="D176" s="201" t="n"/>
      <c r="E176" s="201" t="n"/>
      <c r="F176" s="201" t="n"/>
      <c r="G176" s="201" t="n"/>
      <c r="H176" s="201" t="n"/>
      <c r="I176" s="201" t="n"/>
      <c r="J176" s="201" t="n"/>
      <c r="K176" s="201" t="n"/>
      <c r="L176" s="201" t="n"/>
      <c r="M176" s="201" t="n"/>
      <c r="N176" s="201" t="n"/>
      <c r="O176" s="201" t="n"/>
      <c r="P176" s="201" t="n"/>
      <c r="Q176" s="201" t="n"/>
      <c r="R176" s="201" t="n"/>
    </row>
    <row r="177" ht="12.75" customHeight="1" s="202">
      <c r="A177" s="201" t="n"/>
      <c r="B177" s="201" t="n"/>
      <c r="C177" s="201" t="n"/>
      <c r="D177" s="201" t="n"/>
      <c r="E177" s="201" t="n"/>
      <c r="F177" s="201" t="n"/>
      <c r="G177" s="201" t="n"/>
      <c r="H177" s="201" t="n"/>
      <c r="I177" s="201" t="n"/>
      <c r="J177" s="201" t="n"/>
      <c r="K177" s="201" t="n"/>
      <c r="L177" s="201" t="n"/>
      <c r="M177" s="201" t="n"/>
      <c r="N177" s="201" t="n"/>
      <c r="O177" s="201" t="n"/>
      <c r="P177" s="201" t="n"/>
      <c r="Q177" s="201" t="n"/>
      <c r="R177" s="201" t="n"/>
    </row>
    <row r="178" ht="12.75" customHeight="1" s="202">
      <c r="A178" s="201" t="n"/>
      <c r="B178" s="201" t="n"/>
      <c r="C178" s="201" t="n"/>
      <c r="D178" s="201" t="n"/>
      <c r="E178" s="201" t="n"/>
      <c r="F178" s="201" t="n"/>
      <c r="G178" s="201" t="n"/>
      <c r="H178" s="201" t="n"/>
      <c r="I178" s="201" t="n"/>
      <c r="J178" s="201" t="n"/>
      <c r="K178" s="201" t="n"/>
      <c r="L178" s="201" t="n"/>
      <c r="M178" s="201" t="n"/>
      <c r="N178" s="201" t="n"/>
      <c r="O178" s="201" t="n"/>
      <c r="P178" s="201" t="n"/>
      <c r="Q178" s="201" t="n"/>
      <c r="R178" s="201" t="n"/>
    </row>
    <row r="179" ht="12.75" customHeight="1" s="202">
      <c r="A179" s="201" t="n"/>
      <c r="B179" s="201" t="n"/>
      <c r="C179" s="201" t="n"/>
      <c r="D179" s="201" t="n"/>
      <c r="E179" s="201" t="n"/>
      <c r="F179" s="201" t="n"/>
      <c r="G179" s="201" t="n"/>
      <c r="H179" s="201" t="n"/>
      <c r="I179" s="201" t="n"/>
      <c r="J179" s="201" t="n"/>
      <c r="K179" s="201" t="n"/>
      <c r="L179" s="201" t="n"/>
      <c r="M179" s="201" t="n"/>
      <c r="N179" s="201" t="n"/>
      <c r="O179" s="201" t="n"/>
      <c r="P179" s="201" t="n"/>
      <c r="Q179" s="201" t="n"/>
      <c r="R179" s="201" t="n"/>
    </row>
    <row r="180" ht="12.75" customHeight="1" s="202">
      <c r="A180" s="201" t="n"/>
      <c r="B180" s="201" t="n"/>
      <c r="C180" s="201" t="n"/>
      <c r="D180" s="201" t="n"/>
      <c r="E180" s="201" t="n"/>
      <c r="F180" s="201" t="n"/>
      <c r="G180" s="201" t="n"/>
      <c r="H180" s="201" t="n"/>
      <c r="I180" s="201" t="n"/>
      <c r="J180" s="201" t="n"/>
      <c r="K180" s="201" t="n"/>
      <c r="L180" s="201" t="n"/>
      <c r="M180" s="201" t="n"/>
      <c r="N180" s="201" t="n"/>
      <c r="O180" s="201" t="n"/>
      <c r="P180" s="201" t="n"/>
      <c r="Q180" s="201" t="n"/>
      <c r="R180" s="201" t="n"/>
    </row>
    <row r="181" ht="12.75" customHeight="1" s="202">
      <c r="A181" s="201" t="n"/>
      <c r="B181" s="201" t="n"/>
      <c r="C181" s="201" t="n"/>
      <c r="D181" s="201" t="n"/>
      <c r="E181" s="201" t="n"/>
      <c r="F181" s="201" t="n"/>
      <c r="G181" s="201" t="n"/>
      <c r="H181" s="201" t="n"/>
      <c r="I181" s="201" t="n"/>
      <c r="J181" s="201" t="n"/>
      <c r="K181" s="201" t="n"/>
      <c r="L181" s="201" t="n"/>
      <c r="M181" s="201" t="n"/>
      <c r="N181" s="201" t="n"/>
      <c r="O181" s="201" t="n"/>
      <c r="P181" s="201" t="n"/>
      <c r="Q181" s="201" t="n"/>
      <c r="R181" s="201" t="n"/>
    </row>
    <row r="182" ht="12.75" customHeight="1" s="202">
      <c r="A182" s="201" t="n"/>
      <c r="B182" s="201" t="n"/>
      <c r="C182" s="201" t="n"/>
      <c r="D182" s="201" t="n"/>
      <c r="E182" s="201" t="n"/>
      <c r="F182" s="201" t="n"/>
      <c r="G182" s="201" t="n"/>
      <c r="H182" s="201" t="n"/>
      <c r="I182" s="201" t="n"/>
      <c r="J182" s="201" t="n"/>
      <c r="K182" s="201" t="n"/>
      <c r="L182" s="201" t="n"/>
      <c r="M182" s="201" t="n"/>
      <c r="N182" s="201" t="n"/>
      <c r="O182" s="201" t="n"/>
      <c r="P182" s="201" t="n"/>
      <c r="Q182" s="201" t="n"/>
      <c r="R182" s="201" t="n"/>
    </row>
    <row r="183" ht="12.75" customHeight="1" s="202">
      <c r="A183" s="201" t="n"/>
      <c r="B183" s="201" t="n"/>
      <c r="C183" s="201" t="n"/>
      <c r="D183" s="201" t="n"/>
      <c r="E183" s="201" t="n"/>
      <c r="F183" s="201" t="n"/>
      <c r="G183" s="201" t="n"/>
      <c r="H183" s="201" t="n"/>
      <c r="I183" s="201" t="n"/>
      <c r="J183" s="201" t="n"/>
      <c r="K183" s="201" t="n"/>
      <c r="L183" s="201" t="n"/>
      <c r="M183" s="201" t="n"/>
      <c r="N183" s="201" t="n"/>
      <c r="O183" s="201" t="n"/>
      <c r="P183" s="201" t="n"/>
      <c r="Q183" s="201" t="n"/>
      <c r="R183" s="201" t="n"/>
    </row>
    <row r="184" ht="12.75" customHeight="1" s="202">
      <c r="A184" s="201" t="n"/>
      <c r="B184" s="201" t="n"/>
      <c r="C184" s="201" t="n"/>
      <c r="D184" s="201" t="n"/>
      <c r="E184" s="201" t="n"/>
      <c r="F184" s="201" t="n"/>
      <c r="G184" s="201" t="n"/>
      <c r="H184" s="201" t="n"/>
      <c r="I184" s="201" t="n"/>
      <c r="J184" s="201" t="n"/>
      <c r="K184" s="201" t="n"/>
      <c r="L184" s="201" t="n"/>
      <c r="M184" s="201" t="n"/>
      <c r="N184" s="201" t="n"/>
      <c r="O184" s="201" t="n"/>
      <c r="P184" s="201" t="n"/>
      <c r="Q184" s="201" t="n"/>
      <c r="R184" s="201" t="n"/>
    </row>
    <row r="185" ht="12.75" customHeight="1" s="202">
      <c r="A185" s="201" t="n"/>
      <c r="B185" s="201" t="n"/>
      <c r="C185" s="201" t="n"/>
      <c r="D185" s="201" t="n"/>
      <c r="E185" s="201" t="n"/>
      <c r="F185" s="201" t="n"/>
      <c r="G185" s="201" t="n"/>
      <c r="H185" s="201" t="n"/>
      <c r="I185" s="201" t="n"/>
      <c r="J185" s="201" t="n"/>
      <c r="K185" s="201" t="n"/>
      <c r="L185" s="201" t="n"/>
      <c r="M185" s="201" t="n"/>
      <c r="N185" s="201" t="n"/>
      <c r="O185" s="201" t="n"/>
      <c r="P185" s="201" t="n"/>
      <c r="Q185" s="201" t="n"/>
      <c r="R185" s="201" t="n"/>
    </row>
    <row r="186" ht="12.75" customHeight="1" s="202">
      <c r="A186" s="201" t="n"/>
      <c r="B186" s="201" t="n"/>
      <c r="C186" s="201" t="n"/>
      <c r="D186" s="201" t="n"/>
      <c r="E186" s="201" t="n"/>
      <c r="F186" s="201" t="n"/>
      <c r="G186" s="201" t="n"/>
      <c r="H186" s="201" t="n"/>
      <c r="I186" s="201" t="n"/>
      <c r="J186" s="201" t="n"/>
      <c r="K186" s="201" t="n"/>
      <c r="L186" s="201" t="n"/>
      <c r="M186" s="201" t="n"/>
      <c r="N186" s="201" t="n"/>
      <c r="O186" s="201" t="n"/>
      <c r="P186" s="201" t="n"/>
      <c r="Q186" s="201" t="n"/>
      <c r="R186" s="201" t="n"/>
    </row>
    <row r="187" ht="12.75" customHeight="1" s="202">
      <c r="A187" s="201" t="n"/>
      <c r="B187" s="201" t="n"/>
      <c r="C187" s="201" t="n"/>
      <c r="D187" s="201" t="n"/>
      <c r="E187" s="201" t="n"/>
      <c r="F187" s="201" t="n"/>
      <c r="G187" s="201" t="n"/>
      <c r="H187" s="201" t="n"/>
      <c r="I187" s="201" t="n"/>
      <c r="J187" s="201" t="n"/>
      <c r="K187" s="201" t="n"/>
      <c r="L187" s="201" t="n"/>
      <c r="M187" s="201" t="n"/>
      <c r="N187" s="201" t="n"/>
      <c r="O187" s="201" t="n"/>
      <c r="P187" s="201" t="n"/>
      <c r="Q187" s="201" t="n"/>
      <c r="R187" s="201" t="n"/>
    </row>
    <row r="188" ht="12.75" customHeight="1" s="202">
      <c r="A188" s="201" t="n"/>
      <c r="B188" s="201" t="n"/>
      <c r="C188" s="201" t="n"/>
      <c r="D188" s="201" t="n"/>
      <c r="E188" s="201" t="n"/>
      <c r="F188" s="201" t="n"/>
      <c r="G188" s="201" t="n"/>
      <c r="H188" s="201" t="n"/>
      <c r="I188" s="201" t="n"/>
      <c r="J188" s="201" t="n"/>
      <c r="K188" s="201" t="n"/>
      <c r="L188" s="201" t="n"/>
      <c r="M188" s="201" t="n"/>
      <c r="N188" s="201" t="n"/>
      <c r="O188" s="201" t="n"/>
      <c r="P188" s="201" t="n"/>
      <c r="Q188" s="201" t="n"/>
      <c r="R188" s="201" t="n"/>
    </row>
    <row r="189" ht="12.75" customHeight="1" s="202">
      <c r="A189" s="201" t="n"/>
      <c r="B189" s="201" t="n"/>
      <c r="C189" s="201" t="n"/>
      <c r="D189" s="201" t="n"/>
      <c r="E189" s="201" t="n"/>
      <c r="F189" s="201" t="n"/>
      <c r="G189" s="201" t="n"/>
      <c r="H189" s="201" t="n"/>
      <c r="I189" s="201" t="n"/>
      <c r="J189" s="201" t="n"/>
      <c r="K189" s="201" t="n"/>
      <c r="L189" s="201" t="n"/>
      <c r="M189" s="201" t="n"/>
      <c r="N189" s="201" t="n"/>
      <c r="O189" s="201" t="n"/>
      <c r="P189" s="201" t="n"/>
      <c r="Q189" s="201" t="n"/>
      <c r="R189" s="201" t="n"/>
    </row>
    <row r="190" ht="12.75" customHeight="1" s="202">
      <c r="A190" s="201" t="n"/>
      <c r="B190" s="201" t="n"/>
      <c r="C190" s="201" t="n"/>
      <c r="D190" s="201" t="n"/>
      <c r="E190" s="201" t="n"/>
      <c r="F190" s="201" t="n"/>
      <c r="G190" s="201" t="n"/>
      <c r="H190" s="201" t="n"/>
      <c r="I190" s="201" t="n"/>
      <c r="J190" s="201" t="n"/>
      <c r="K190" s="201" t="n"/>
      <c r="L190" s="201" t="n"/>
      <c r="M190" s="201" t="n"/>
      <c r="N190" s="201" t="n"/>
      <c r="O190" s="201" t="n"/>
      <c r="P190" s="201" t="n"/>
      <c r="Q190" s="201" t="n"/>
      <c r="R190" s="201" t="n"/>
    </row>
    <row r="191" ht="12.75" customHeight="1" s="202">
      <c r="A191" s="201" t="n"/>
      <c r="B191" s="201" t="n"/>
      <c r="C191" s="201" t="n"/>
      <c r="D191" s="201" t="n"/>
      <c r="E191" s="201" t="n"/>
      <c r="F191" s="201" t="n"/>
      <c r="G191" s="201" t="n"/>
      <c r="H191" s="201" t="n"/>
      <c r="I191" s="201" t="n"/>
      <c r="J191" s="201" t="n"/>
      <c r="K191" s="201" t="n"/>
      <c r="L191" s="201" t="n"/>
      <c r="M191" s="201" t="n"/>
      <c r="N191" s="201" t="n"/>
      <c r="O191" s="201" t="n"/>
      <c r="P191" s="201" t="n"/>
      <c r="Q191" s="201" t="n"/>
      <c r="R191" s="201" t="n"/>
    </row>
    <row r="192" ht="12.75" customHeight="1" s="202">
      <c r="A192" s="201" t="n"/>
      <c r="B192" s="201" t="n"/>
      <c r="C192" s="201" t="n"/>
      <c r="D192" s="201" t="n"/>
      <c r="E192" s="201" t="n"/>
      <c r="F192" s="201" t="n"/>
      <c r="G192" s="201" t="n"/>
      <c r="H192" s="201" t="n"/>
      <c r="I192" s="201" t="n"/>
      <c r="J192" s="201" t="n"/>
      <c r="K192" s="201" t="n"/>
      <c r="L192" s="201" t="n"/>
      <c r="M192" s="201" t="n"/>
      <c r="N192" s="201" t="n"/>
      <c r="O192" s="201" t="n"/>
      <c r="P192" s="201" t="n"/>
      <c r="Q192" s="201" t="n"/>
      <c r="R192" s="201" t="n"/>
    </row>
    <row r="193" ht="12.75" customHeight="1" s="202">
      <c r="A193" s="201" t="n"/>
      <c r="B193" s="201" t="n"/>
      <c r="C193" s="201" t="n"/>
      <c r="D193" s="201" t="n"/>
      <c r="E193" s="201" t="n"/>
      <c r="F193" s="201" t="n"/>
      <c r="G193" s="201" t="n"/>
      <c r="H193" s="201" t="n"/>
      <c r="I193" s="201" t="n"/>
      <c r="J193" s="201" t="n"/>
      <c r="K193" s="201" t="n"/>
      <c r="L193" s="201" t="n"/>
      <c r="M193" s="201" t="n"/>
      <c r="N193" s="201" t="n"/>
      <c r="O193" s="201" t="n"/>
      <c r="P193" s="201" t="n"/>
      <c r="Q193" s="201" t="n"/>
      <c r="R193" s="201" t="n"/>
    </row>
    <row r="194" ht="12.75" customHeight="1" s="202">
      <c r="A194" s="201" t="n"/>
      <c r="B194" s="201" t="n"/>
      <c r="C194" s="201" t="n"/>
      <c r="D194" s="201" t="n"/>
      <c r="E194" s="201" t="n"/>
      <c r="F194" s="201" t="n"/>
      <c r="G194" s="201" t="n"/>
      <c r="H194" s="201" t="n"/>
      <c r="I194" s="201" t="n"/>
      <c r="J194" s="201" t="n"/>
      <c r="K194" s="201" t="n"/>
      <c r="L194" s="201" t="n"/>
      <c r="M194" s="201" t="n"/>
      <c r="N194" s="201" t="n"/>
      <c r="O194" s="201" t="n"/>
      <c r="P194" s="201" t="n"/>
      <c r="Q194" s="201" t="n"/>
      <c r="R194" s="201" t="n"/>
    </row>
    <row r="195" ht="12.75" customHeight="1" s="202">
      <c r="A195" s="201" t="n"/>
      <c r="B195" s="201" t="n"/>
      <c r="C195" s="201" t="n"/>
      <c r="D195" s="201" t="n"/>
      <c r="E195" s="201" t="n"/>
      <c r="F195" s="201" t="n"/>
      <c r="G195" s="201" t="n"/>
      <c r="H195" s="201" t="n"/>
      <c r="I195" s="201" t="n"/>
      <c r="J195" s="201" t="n"/>
      <c r="K195" s="201" t="n"/>
      <c r="L195" s="201" t="n"/>
      <c r="M195" s="201" t="n"/>
      <c r="N195" s="201" t="n"/>
      <c r="O195" s="201" t="n"/>
      <c r="P195" s="201" t="n"/>
      <c r="Q195" s="201" t="n"/>
      <c r="R195" s="201" t="n"/>
    </row>
    <row r="196" ht="12.75" customHeight="1" s="202">
      <c r="A196" s="201" t="n"/>
      <c r="B196" s="201" t="n"/>
      <c r="C196" s="201" t="n"/>
      <c r="D196" s="201" t="n"/>
      <c r="E196" s="201" t="n"/>
      <c r="F196" s="201" t="n"/>
      <c r="G196" s="201" t="n"/>
      <c r="H196" s="201" t="n"/>
      <c r="I196" s="201" t="n"/>
      <c r="J196" s="201" t="n"/>
      <c r="K196" s="201" t="n"/>
      <c r="L196" s="201" t="n"/>
      <c r="M196" s="201" t="n"/>
      <c r="N196" s="201" t="n"/>
      <c r="O196" s="201" t="n"/>
      <c r="P196" s="201" t="n"/>
      <c r="Q196" s="201" t="n"/>
      <c r="R196" s="201" t="n"/>
    </row>
    <row r="197" ht="12.75" customHeight="1" s="202">
      <c r="A197" s="201" t="n"/>
      <c r="B197" s="201" t="n"/>
      <c r="C197" s="201" t="n"/>
      <c r="D197" s="201" t="n"/>
      <c r="E197" s="201" t="n"/>
      <c r="F197" s="201" t="n"/>
      <c r="G197" s="201" t="n"/>
      <c r="H197" s="201" t="n"/>
      <c r="I197" s="201" t="n"/>
      <c r="J197" s="201" t="n"/>
      <c r="K197" s="201" t="n"/>
      <c r="L197" s="201" t="n"/>
      <c r="M197" s="201" t="n"/>
      <c r="N197" s="201" t="n"/>
      <c r="O197" s="201" t="n"/>
      <c r="P197" s="201" t="n"/>
      <c r="Q197" s="201" t="n"/>
      <c r="R197" s="201" t="n"/>
    </row>
    <row r="198" ht="12.75" customHeight="1" s="202">
      <c r="A198" s="201" t="n"/>
      <c r="B198" s="201" t="n"/>
      <c r="C198" s="201" t="n"/>
      <c r="D198" s="201" t="n"/>
      <c r="E198" s="201" t="n"/>
      <c r="F198" s="201" t="n"/>
      <c r="G198" s="201" t="n"/>
      <c r="H198" s="201" t="n"/>
      <c r="I198" s="201" t="n"/>
      <c r="J198" s="201" t="n"/>
      <c r="K198" s="201" t="n"/>
      <c r="L198" s="201" t="n"/>
      <c r="M198" s="201" t="n"/>
      <c r="N198" s="201" t="n"/>
      <c r="O198" s="201" t="n"/>
      <c r="P198" s="201" t="n"/>
      <c r="Q198" s="201" t="n"/>
      <c r="R198" s="201" t="n"/>
    </row>
    <row r="199" ht="12.75" customHeight="1" s="202">
      <c r="A199" s="201" t="n"/>
      <c r="B199" s="201" t="n"/>
      <c r="C199" s="201" t="n"/>
      <c r="D199" s="201" t="n"/>
      <c r="E199" s="201" t="n"/>
      <c r="F199" s="201" t="n"/>
      <c r="G199" s="201" t="n"/>
      <c r="H199" s="201" t="n"/>
      <c r="I199" s="201" t="n"/>
      <c r="J199" s="201" t="n"/>
      <c r="K199" s="201" t="n"/>
      <c r="L199" s="201" t="n"/>
      <c r="M199" s="201" t="n"/>
      <c r="N199" s="201" t="n"/>
      <c r="O199" s="201" t="n"/>
      <c r="P199" s="201" t="n"/>
      <c r="Q199" s="201" t="n"/>
      <c r="R199" s="201" t="n"/>
    </row>
    <row r="200" ht="12.75" customHeight="1" s="202">
      <c r="A200" s="201" t="n"/>
      <c r="B200" s="201" t="n"/>
      <c r="C200" s="201" t="n"/>
      <c r="D200" s="201" t="n"/>
      <c r="E200" s="201" t="n"/>
      <c r="F200" s="201" t="n"/>
      <c r="G200" s="201" t="n"/>
      <c r="H200" s="201" t="n"/>
      <c r="I200" s="201" t="n"/>
      <c r="J200" s="201" t="n"/>
      <c r="K200" s="201" t="n"/>
      <c r="L200" s="201" t="n"/>
      <c r="M200" s="201" t="n"/>
      <c r="N200" s="201" t="n"/>
      <c r="O200" s="201" t="n"/>
      <c r="P200" s="201" t="n"/>
      <c r="Q200" s="201" t="n"/>
      <c r="R200" s="201" t="n"/>
    </row>
    <row r="201" ht="12.75" customHeight="1" s="202">
      <c r="A201" s="201" t="n"/>
      <c r="B201" s="201" t="n"/>
      <c r="C201" s="201" t="n"/>
      <c r="D201" s="201" t="n"/>
      <c r="E201" s="201" t="n"/>
      <c r="F201" s="201" t="n"/>
      <c r="G201" s="201" t="n"/>
      <c r="H201" s="201" t="n"/>
      <c r="I201" s="201" t="n"/>
      <c r="J201" s="201" t="n"/>
      <c r="K201" s="201" t="n"/>
      <c r="L201" s="201" t="n"/>
      <c r="M201" s="201" t="n"/>
      <c r="N201" s="201" t="n"/>
      <c r="O201" s="201" t="n"/>
      <c r="P201" s="201" t="n"/>
      <c r="Q201" s="201" t="n"/>
      <c r="R201" s="201" t="n"/>
    </row>
    <row r="202" ht="12.75" customHeight="1" s="202">
      <c r="A202" s="201" t="n"/>
      <c r="B202" s="201" t="n"/>
      <c r="C202" s="201" t="n"/>
      <c r="D202" s="201" t="n"/>
      <c r="E202" s="201" t="n"/>
      <c r="F202" s="201" t="n"/>
      <c r="G202" s="201" t="n"/>
      <c r="H202" s="201" t="n"/>
      <c r="I202" s="201" t="n"/>
      <c r="J202" s="201" t="n"/>
      <c r="K202" s="201" t="n"/>
      <c r="L202" s="201" t="n"/>
      <c r="M202" s="201" t="n"/>
      <c r="N202" s="201" t="n"/>
      <c r="O202" s="201" t="n"/>
      <c r="P202" s="201" t="n"/>
      <c r="Q202" s="201" t="n"/>
      <c r="R202" s="201" t="n"/>
    </row>
    <row r="203" ht="12.75" customHeight="1" s="202">
      <c r="A203" s="201" t="n"/>
      <c r="B203" s="201" t="n"/>
      <c r="C203" s="201" t="n"/>
      <c r="D203" s="201" t="n"/>
      <c r="E203" s="201" t="n"/>
      <c r="F203" s="201" t="n"/>
      <c r="G203" s="201" t="n"/>
      <c r="H203" s="201" t="n"/>
      <c r="I203" s="201" t="n"/>
      <c r="J203" s="201" t="n"/>
      <c r="K203" s="201" t="n"/>
      <c r="L203" s="201" t="n"/>
      <c r="M203" s="201" t="n"/>
      <c r="N203" s="201" t="n"/>
      <c r="O203" s="201" t="n"/>
      <c r="P203" s="201" t="n"/>
      <c r="Q203" s="201" t="n"/>
      <c r="R203" s="201" t="n"/>
    </row>
    <row r="204" ht="12.75" customHeight="1" s="202">
      <c r="A204" s="201" t="n"/>
      <c r="B204" s="201" t="n"/>
      <c r="C204" s="201" t="n"/>
      <c r="D204" s="201" t="n"/>
      <c r="E204" s="201" t="n"/>
      <c r="F204" s="201" t="n"/>
      <c r="G204" s="201" t="n"/>
      <c r="H204" s="201" t="n"/>
      <c r="I204" s="201" t="n"/>
      <c r="J204" s="201" t="n"/>
      <c r="K204" s="201" t="n"/>
      <c r="L204" s="201" t="n"/>
      <c r="M204" s="201" t="n"/>
      <c r="N204" s="201" t="n"/>
      <c r="O204" s="201" t="n"/>
      <c r="P204" s="201" t="n"/>
      <c r="Q204" s="201" t="n"/>
      <c r="R204" s="201" t="n"/>
    </row>
    <row r="205" ht="12.75" customHeight="1" s="202">
      <c r="A205" s="201" t="n"/>
      <c r="B205" s="201" t="n"/>
      <c r="C205" s="201" t="n"/>
      <c r="D205" s="201" t="n"/>
      <c r="E205" s="201" t="n"/>
      <c r="F205" s="201" t="n"/>
      <c r="G205" s="201" t="n"/>
      <c r="H205" s="201" t="n"/>
      <c r="I205" s="201" t="n"/>
      <c r="J205" s="201" t="n"/>
      <c r="K205" s="201" t="n"/>
      <c r="L205" s="201" t="n"/>
      <c r="M205" s="201" t="n"/>
      <c r="N205" s="201" t="n"/>
      <c r="O205" s="201" t="n"/>
      <c r="P205" s="201" t="n"/>
      <c r="Q205" s="201" t="n"/>
      <c r="R205" s="201" t="n"/>
    </row>
    <row r="206" ht="12.75" customHeight="1" s="202">
      <c r="A206" s="201" t="n"/>
      <c r="B206" s="201" t="n"/>
      <c r="C206" s="201" t="n"/>
      <c r="D206" s="201" t="n"/>
      <c r="E206" s="201" t="n"/>
      <c r="F206" s="201" t="n"/>
      <c r="G206" s="201" t="n"/>
      <c r="H206" s="201" t="n"/>
      <c r="I206" s="201" t="n"/>
      <c r="J206" s="201" t="n"/>
      <c r="K206" s="201" t="n"/>
      <c r="L206" s="201" t="n"/>
      <c r="M206" s="201" t="n"/>
      <c r="N206" s="201" t="n"/>
      <c r="O206" s="201" t="n"/>
      <c r="P206" s="201" t="n"/>
      <c r="Q206" s="201" t="n"/>
      <c r="R206" s="201" t="n"/>
    </row>
    <row r="207" ht="12.75" customHeight="1" s="202">
      <c r="A207" s="201" t="n"/>
      <c r="B207" s="201" t="n"/>
      <c r="C207" s="201" t="n"/>
      <c r="D207" s="201" t="n"/>
      <c r="E207" s="201" t="n"/>
      <c r="F207" s="201" t="n"/>
      <c r="G207" s="201" t="n"/>
      <c r="H207" s="201" t="n"/>
      <c r="I207" s="201" t="n"/>
      <c r="J207" s="201" t="n"/>
      <c r="K207" s="201" t="n"/>
      <c r="L207" s="201" t="n"/>
      <c r="M207" s="201" t="n"/>
      <c r="N207" s="201" t="n"/>
      <c r="O207" s="201" t="n"/>
      <c r="P207" s="201" t="n"/>
      <c r="Q207" s="201" t="n"/>
      <c r="R207" s="201" t="n"/>
    </row>
    <row r="208" ht="12.75" customHeight="1" s="202">
      <c r="A208" s="201" t="n"/>
      <c r="B208" s="201" t="n"/>
      <c r="C208" s="201" t="n"/>
      <c r="D208" s="201" t="n"/>
      <c r="E208" s="201" t="n"/>
      <c r="F208" s="201" t="n"/>
      <c r="G208" s="201" t="n"/>
      <c r="H208" s="201" t="n"/>
      <c r="I208" s="201" t="n"/>
      <c r="J208" s="201" t="n"/>
      <c r="K208" s="201" t="n"/>
      <c r="L208" s="201" t="n"/>
      <c r="M208" s="201" t="n"/>
      <c r="N208" s="201" t="n"/>
      <c r="O208" s="201" t="n"/>
      <c r="P208" s="201" t="n"/>
      <c r="Q208" s="201" t="n"/>
      <c r="R208" s="201" t="n"/>
    </row>
    <row r="209" ht="12.75" customHeight="1" s="202">
      <c r="A209" s="201" t="n"/>
      <c r="B209" s="201" t="n"/>
      <c r="C209" s="201" t="n"/>
      <c r="D209" s="201" t="n"/>
      <c r="E209" s="201" t="n"/>
      <c r="F209" s="201" t="n"/>
      <c r="G209" s="201" t="n"/>
      <c r="H209" s="201" t="n"/>
      <c r="I209" s="201" t="n"/>
      <c r="J209" s="201" t="n"/>
      <c r="K209" s="201" t="n"/>
      <c r="L209" s="201" t="n"/>
      <c r="M209" s="201" t="n"/>
      <c r="N209" s="201" t="n"/>
      <c r="O209" s="201" t="n"/>
      <c r="P209" s="201" t="n"/>
      <c r="Q209" s="201" t="n"/>
      <c r="R209" s="201" t="n"/>
    </row>
    <row r="210" ht="12.75" customHeight="1" s="202">
      <c r="A210" s="201" t="n"/>
      <c r="B210" s="201" t="n"/>
      <c r="C210" s="201" t="n"/>
      <c r="D210" s="201" t="n"/>
      <c r="E210" s="201" t="n"/>
      <c r="F210" s="201" t="n"/>
      <c r="G210" s="201" t="n"/>
      <c r="H210" s="201" t="n"/>
      <c r="I210" s="201" t="n"/>
      <c r="J210" s="201" t="n"/>
      <c r="K210" s="201" t="n"/>
      <c r="L210" s="201" t="n"/>
      <c r="M210" s="201" t="n"/>
      <c r="N210" s="201" t="n"/>
      <c r="O210" s="201" t="n"/>
      <c r="P210" s="201" t="n"/>
      <c r="Q210" s="201" t="n"/>
      <c r="R210" s="201" t="n"/>
    </row>
    <row r="211" ht="12.75" customHeight="1" s="202">
      <c r="A211" s="201" t="n"/>
      <c r="B211" s="201" t="n"/>
      <c r="C211" s="201" t="n"/>
      <c r="D211" s="201" t="n"/>
      <c r="E211" s="201" t="n"/>
      <c r="F211" s="201" t="n"/>
      <c r="G211" s="201" t="n"/>
      <c r="H211" s="201" t="n"/>
      <c r="I211" s="201" t="n"/>
      <c r="J211" s="201" t="n"/>
      <c r="K211" s="201" t="n"/>
      <c r="L211" s="201" t="n"/>
      <c r="M211" s="201" t="n"/>
      <c r="N211" s="201" t="n"/>
      <c r="O211" s="201" t="n"/>
      <c r="P211" s="201" t="n"/>
      <c r="Q211" s="201" t="n"/>
      <c r="R211" s="201" t="n"/>
    </row>
    <row r="212" ht="12.75" customHeight="1" s="202">
      <c r="A212" s="201" t="n"/>
      <c r="B212" s="201" t="n"/>
      <c r="C212" s="201" t="n"/>
      <c r="D212" s="201" t="n"/>
      <c r="E212" s="201" t="n"/>
      <c r="F212" s="201" t="n"/>
      <c r="G212" s="201" t="n"/>
      <c r="H212" s="201" t="n"/>
      <c r="I212" s="201" t="n"/>
      <c r="J212" s="201" t="n"/>
      <c r="K212" s="201" t="n"/>
      <c r="L212" s="201" t="n"/>
      <c r="M212" s="201" t="n"/>
      <c r="N212" s="201" t="n"/>
      <c r="O212" s="201" t="n"/>
      <c r="P212" s="201" t="n"/>
      <c r="Q212" s="201" t="n"/>
      <c r="R212" s="201" t="n"/>
    </row>
    <row r="213" ht="12.75" customHeight="1" s="202">
      <c r="A213" s="201" t="n"/>
      <c r="B213" s="201" t="n"/>
      <c r="C213" s="201" t="n"/>
      <c r="D213" s="201" t="n"/>
      <c r="E213" s="201" t="n"/>
      <c r="F213" s="201" t="n"/>
      <c r="G213" s="201" t="n"/>
      <c r="H213" s="201" t="n"/>
      <c r="I213" s="201" t="n"/>
      <c r="J213" s="201" t="n"/>
      <c r="K213" s="201" t="n"/>
      <c r="L213" s="201" t="n"/>
      <c r="M213" s="201" t="n"/>
      <c r="N213" s="201" t="n"/>
      <c r="O213" s="201" t="n"/>
      <c r="P213" s="201" t="n"/>
      <c r="Q213" s="201" t="n"/>
      <c r="R213" s="201" t="n"/>
    </row>
    <row r="214" ht="12.75" customHeight="1" s="202">
      <c r="A214" s="201" t="n"/>
      <c r="B214" s="201" t="n"/>
      <c r="C214" s="201" t="n"/>
      <c r="D214" s="201" t="n"/>
      <c r="E214" s="201" t="n"/>
      <c r="F214" s="201" t="n"/>
      <c r="G214" s="201" t="n"/>
      <c r="H214" s="201" t="n"/>
      <c r="I214" s="201" t="n"/>
      <c r="J214" s="201" t="n"/>
      <c r="K214" s="201" t="n"/>
      <c r="L214" s="201" t="n"/>
      <c r="M214" s="201" t="n"/>
      <c r="N214" s="201" t="n"/>
      <c r="O214" s="201" t="n"/>
      <c r="P214" s="201" t="n"/>
      <c r="Q214" s="201" t="n"/>
      <c r="R214" s="201" t="n"/>
    </row>
    <row r="215" ht="12.75" customHeight="1" s="202">
      <c r="A215" s="201" t="n"/>
      <c r="B215" s="201" t="n"/>
      <c r="C215" s="201" t="n"/>
      <c r="D215" s="201" t="n"/>
      <c r="E215" s="201" t="n"/>
      <c r="F215" s="201" t="n"/>
      <c r="G215" s="201" t="n"/>
      <c r="H215" s="201" t="n"/>
      <c r="I215" s="201" t="n"/>
      <c r="J215" s="201" t="n"/>
      <c r="K215" s="201" t="n"/>
      <c r="L215" s="201" t="n"/>
      <c r="M215" s="201" t="n"/>
      <c r="N215" s="201" t="n"/>
      <c r="O215" s="201" t="n"/>
      <c r="P215" s="201" t="n"/>
      <c r="Q215" s="201" t="n"/>
      <c r="R215" s="201" t="n"/>
    </row>
    <row r="216" ht="12.75" customHeight="1" s="202">
      <c r="A216" s="201" t="n"/>
      <c r="B216" s="201" t="n"/>
      <c r="C216" s="201" t="n"/>
      <c r="D216" s="201" t="n"/>
      <c r="E216" s="201" t="n"/>
      <c r="F216" s="201" t="n"/>
      <c r="G216" s="201" t="n"/>
      <c r="H216" s="201" t="n"/>
      <c r="I216" s="201" t="n"/>
      <c r="J216" s="201" t="n"/>
      <c r="K216" s="201" t="n"/>
      <c r="L216" s="201" t="n"/>
      <c r="M216" s="201" t="n"/>
      <c r="N216" s="201" t="n"/>
      <c r="O216" s="201" t="n"/>
      <c r="P216" s="201" t="n"/>
      <c r="Q216" s="201" t="n"/>
      <c r="R216" s="201" t="n"/>
    </row>
    <row r="217" ht="12.75" customHeight="1" s="202">
      <c r="A217" s="201" t="n"/>
      <c r="B217" s="201" t="n"/>
      <c r="C217" s="201" t="n"/>
      <c r="D217" s="201" t="n"/>
      <c r="E217" s="201" t="n"/>
      <c r="F217" s="201" t="n"/>
      <c r="G217" s="201" t="n"/>
      <c r="H217" s="201" t="n"/>
      <c r="I217" s="201" t="n"/>
      <c r="J217" s="201" t="n"/>
      <c r="K217" s="201" t="n"/>
      <c r="L217" s="201" t="n"/>
      <c r="M217" s="201" t="n"/>
      <c r="N217" s="201" t="n"/>
      <c r="O217" s="201" t="n"/>
      <c r="P217" s="201" t="n"/>
      <c r="Q217" s="201" t="n"/>
      <c r="R217" s="201" t="n"/>
    </row>
    <row r="218" ht="12.75" customHeight="1" s="202">
      <c r="A218" s="201" t="n"/>
      <c r="B218" s="201" t="n"/>
      <c r="C218" s="201" t="n"/>
      <c r="D218" s="201" t="n"/>
      <c r="E218" s="201" t="n"/>
      <c r="F218" s="201" t="n"/>
      <c r="G218" s="201" t="n"/>
      <c r="H218" s="201" t="n"/>
      <c r="I218" s="201" t="n"/>
      <c r="J218" s="201" t="n"/>
      <c r="K218" s="201" t="n"/>
      <c r="L218" s="201" t="n"/>
      <c r="M218" s="201" t="n"/>
      <c r="N218" s="201" t="n"/>
      <c r="O218" s="201" t="n"/>
      <c r="P218" s="201" t="n"/>
      <c r="Q218" s="201" t="n"/>
      <c r="R218" s="201" t="n"/>
    </row>
    <row r="219" ht="12.75" customHeight="1" s="202">
      <c r="A219" s="201" t="n"/>
      <c r="B219" s="201" t="n"/>
      <c r="C219" s="201" t="n"/>
      <c r="D219" s="201" t="n"/>
      <c r="E219" s="201" t="n"/>
      <c r="F219" s="201" t="n"/>
      <c r="G219" s="201" t="n"/>
      <c r="H219" s="201" t="n"/>
      <c r="I219" s="201" t="n"/>
      <c r="J219" s="201" t="n"/>
      <c r="K219" s="201" t="n"/>
      <c r="L219" s="201" t="n"/>
      <c r="M219" s="201" t="n"/>
      <c r="N219" s="201" t="n"/>
      <c r="O219" s="201" t="n"/>
      <c r="P219" s="201" t="n"/>
      <c r="Q219" s="201" t="n"/>
      <c r="R219" s="201" t="n"/>
    </row>
    <row r="220" ht="12.75" customHeight="1" s="202">
      <c r="A220" s="201" t="n"/>
      <c r="B220" s="201" t="n"/>
      <c r="C220" s="201" t="n"/>
      <c r="D220" s="201" t="n"/>
      <c r="E220" s="201" t="n"/>
      <c r="F220" s="201" t="n"/>
      <c r="G220" s="201" t="n"/>
      <c r="H220" s="201" t="n"/>
      <c r="I220" s="201" t="n"/>
      <c r="J220" s="201" t="n"/>
      <c r="K220" s="201" t="n"/>
      <c r="L220" s="201" t="n"/>
      <c r="M220" s="201" t="n"/>
      <c r="N220" s="201" t="n"/>
      <c r="O220" s="201" t="n"/>
      <c r="P220" s="201" t="n"/>
      <c r="Q220" s="201" t="n"/>
      <c r="R220" s="201" t="n"/>
    </row>
    <row r="221" ht="12.75" customHeight="1" s="202">
      <c r="A221" s="201" t="n"/>
      <c r="B221" s="201" t="n"/>
      <c r="C221" s="201" t="n"/>
      <c r="D221" s="201" t="n"/>
      <c r="E221" s="201" t="n"/>
      <c r="F221" s="201" t="n"/>
      <c r="G221" s="201" t="n"/>
      <c r="H221" s="201" t="n"/>
      <c r="I221" s="201" t="n"/>
      <c r="J221" s="201" t="n"/>
      <c r="K221" s="201" t="n"/>
      <c r="L221" s="201" t="n"/>
      <c r="M221" s="201" t="n"/>
      <c r="N221" s="201" t="n"/>
      <c r="O221" s="201" t="n"/>
      <c r="P221" s="201" t="n"/>
      <c r="Q221" s="201" t="n"/>
      <c r="R221" s="201" t="n"/>
    </row>
    <row r="222" ht="12.75" customHeight="1" s="202">
      <c r="A222" s="201" t="n"/>
      <c r="B222" s="201" t="n"/>
      <c r="C222" s="201" t="n"/>
      <c r="D222" s="201" t="n"/>
      <c r="E222" s="201" t="n"/>
      <c r="F222" s="201" t="n"/>
      <c r="G222" s="201" t="n"/>
      <c r="H222" s="201" t="n"/>
      <c r="I222" s="201" t="n"/>
      <c r="J222" s="201" t="n"/>
      <c r="K222" s="201" t="n"/>
      <c r="L222" s="201" t="n"/>
      <c r="M222" s="201" t="n"/>
      <c r="N222" s="201" t="n"/>
      <c r="O222" s="201" t="n"/>
      <c r="P222" s="201" t="n"/>
      <c r="Q222" s="201" t="n"/>
      <c r="R222" s="201" t="n"/>
    </row>
    <row r="223" ht="12.75" customHeight="1" s="202">
      <c r="A223" s="201" t="n"/>
      <c r="B223" s="201" t="n"/>
      <c r="C223" s="201" t="n"/>
      <c r="D223" s="201" t="n"/>
      <c r="E223" s="201" t="n"/>
      <c r="F223" s="201" t="n"/>
      <c r="G223" s="201" t="n"/>
      <c r="H223" s="201" t="n"/>
      <c r="I223" s="201" t="n"/>
      <c r="J223" s="201" t="n"/>
      <c r="K223" s="201" t="n"/>
      <c r="L223" s="201" t="n"/>
      <c r="M223" s="201" t="n"/>
      <c r="N223" s="201" t="n"/>
      <c r="O223" s="201" t="n"/>
      <c r="P223" s="201" t="n"/>
      <c r="Q223" s="201" t="n"/>
      <c r="R223" s="201" t="n"/>
    </row>
    <row r="224" ht="12.75" customHeight="1" s="202">
      <c r="A224" s="201" t="n"/>
      <c r="B224" s="201" t="n"/>
      <c r="C224" s="201" t="n"/>
      <c r="D224" s="201" t="n"/>
      <c r="E224" s="201" t="n"/>
      <c r="F224" s="201" t="n"/>
      <c r="G224" s="201" t="n"/>
      <c r="H224" s="201" t="n"/>
      <c r="I224" s="201" t="n"/>
      <c r="J224" s="201" t="n"/>
      <c r="K224" s="201" t="n"/>
      <c r="L224" s="201" t="n"/>
      <c r="M224" s="201" t="n"/>
      <c r="N224" s="201" t="n"/>
      <c r="O224" s="201" t="n"/>
      <c r="P224" s="201" t="n"/>
      <c r="Q224" s="201" t="n"/>
      <c r="R224" s="201" t="n"/>
    </row>
    <row r="225" ht="12.75" customHeight="1" s="202">
      <c r="A225" s="201" t="n"/>
      <c r="B225" s="201" t="n"/>
      <c r="C225" s="201" t="n"/>
      <c r="D225" s="201" t="n"/>
      <c r="E225" s="201" t="n"/>
      <c r="F225" s="201" t="n"/>
      <c r="G225" s="201" t="n"/>
      <c r="H225" s="201" t="n"/>
      <c r="I225" s="201" t="n"/>
      <c r="J225" s="201" t="n"/>
      <c r="K225" s="201" t="n"/>
      <c r="L225" s="201" t="n"/>
      <c r="M225" s="201" t="n"/>
      <c r="N225" s="201" t="n"/>
      <c r="O225" s="201" t="n"/>
      <c r="P225" s="201" t="n"/>
      <c r="Q225" s="201" t="n"/>
      <c r="R225" s="201" t="n"/>
    </row>
    <row r="226" ht="12.75" customHeight="1" s="202">
      <c r="A226" s="201" t="n"/>
      <c r="B226" s="201" t="n"/>
      <c r="C226" s="201" t="n"/>
      <c r="D226" s="201" t="n"/>
      <c r="E226" s="201" t="n"/>
      <c r="F226" s="201" t="n"/>
      <c r="G226" s="201" t="n"/>
      <c r="H226" s="201" t="n"/>
      <c r="I226" s="201" t="n"/>
      <c r="J226" s="201" t="n"/>
      <c r="K226" s="201" t="n"/>
      <c r="L226" s="201" t="n"/>
      <c r="M226" s="201" t="n"/>
      <c r="N226" s="201" t="n"/>
      <c r="O226" s="201" t="n"/>
      <c r="P226" s="201" t="n"/>
      <c r="Q226" s="201" t="n"/>
      <c r="R226" s="201" t="n"/>
    </row>
    <row r="227" ht="12.75" customHeight="1" s="202">
      <c r="A227" s="201" t="n"/>
      <c r="B227" s="201" t="n"/>
      <c r="C227" s="201" t="n"/>
      <c r="D227" s="201" t="n"/>
      <c r="E227" s="201" t="n"/>
      <c r="F227" s="201" t="n"/>
      <c r="G227" s="201" t="n"/>
      <c r="H227" s="201" t="n"/>
      <c r="I227" s="201" t="n"/>
      <c r="J227" s="201" t="n"/>
      <c r="K227" s="201" t="n"/>
      <c r="L227" s="201" t="n"/>
      <c r="M227" s="201" t="n"/>
      <c r="N227" s="201" t="n"/>
      <c r="O227" s="201" t="n"/>
      <c r="P227" s="201" t="n"/>
      <c r="Q227" s="201" t="n"/>
      <c r="R227" s="201" t="n"/>
    </row>
    <row r="228" ht="12.75" customHeight="1" s="202">
      <c r="A228" s="201" t="n"/>
      <c r="B228" s="201" t="n"/>
      <c r="C228" s="201" t="n"/>
      <c r="D228" s="201" t="n"/>
      <c r="E228" s="201" t="n"/>
      <c r="F228" s="201" t="n"/>
      <c r="G228" s="201" t="n"/>
      <c r="H228" s="201" t="n"/>
      <c r="I228" s="201" t="n"/>
      <c r="J228" s="201" t="n"/>
      <c r="K228" s="201" t="n"/>
      <c r="L228" s="201" t="n"/>
      <c r="M228" s="201" t="n"/>
      <c r="N228" s="201" t="n"/>
      <c r="O228" s="201" t="n"/>
      <c r="P228" s="201" t="n"/>
      <c r="Q228" s="201" t="n"/>
      <c r="R228" s="201" t="n"/>
    </row>
    <row r="229" ht="12.75" customHeight="1" s="202">
      <c r="A229" s="201" t="n"/>
      <c r="B229" s="201" t="n"/>
      <c r="C229" s="201" t="n"/>
      <c r="D229" s="201" t="n"/>
      <c r="E229" s="201" t="n"/>
      <c r="F229" s="201" t="n"/>
      <c r="G229" s="201" t="n"/>
      <c r="H229" s="201" t="n"/>
      <c r="I229" s="201" t="n"/>
      <c r="J229" s="201" t="n"/>
      <c r="K229" s="201" t="n"/>
      <c r="L229" s="201" t="n"/>
      <c r="M229" s="201" t="n"/>
      <c r="N229" s="201" t="n"/>
      <c r="O229" s="201" t="n"/>
      <c r="P229" s="201" t="n"/>
      <c r="Q229" s="201" t="n"/>
      <c r="R229" s="201" t="n"/>
    </row>
    <row r="230" ht="12.75" customHeight="1" s="202">
      <c r="A230" s="201" t="n"/>
      <c r="B230" s="201" t="n"/>
      <c r="C230" s="201" t="n"/>
      <c r="D230" s="201" t="n"/>
      <c r="E230" s="201" t="n"/>
      <c r="F230" s="201" t="n"/>
      <c r="G230" s="201" t="n"/>
      <c r="H230" s="201" t="n"/>
      <c r="I230" s="201" t="n"/>
      <c r="J230" s="201" t="n"/>
      <c r="K230" s="201" t="n"/>
      <c r="L230" s="201" t="n"/>
      <c r="M230" s="201" t="n"/>
      <c r="N230" s="201" t="n"/>
      <c r="O230" s="201" t="n"/>
      <c r="P230" s="201" t="n"/>
      <c r="Q230" s="201" t="n"/>
      <c r="R230" s="201" t="n"/>
    </row>
    <row r="231" ht="12.75" customHeight="1" s="202">
      <c r="A231" s="201" t="n"/>
      <c r="B231" s="201" t="n"/>
      <c r="C231" s="201" t="n"/>
      <c r="D231" s="201" t="n"/>
      <c r="E231" s="201" t="n"/>
      <c r="F231" s="201" t="n"/>
      <c r="G231" s="201" t="n"/>
      <c r="H231" s="201" t="n"/>
      <c r="I231" s="201" t="n"/>
      <c r="J231" s="201" t="n"/>
      <c r="K231" s="201" t="n"/>
      <c r="L231" s="201" t="n"/>
      <c r="M231" s="201" t="n"/>
      <c r="N231" s="201" t="n"/>
      <c r="O231" s="201" t="n"/>
      <c r="P231" s="201" t="n"/>
      <c r="Q231" s="201" t="n"/>
      <c r="R231" s="201" t="n"/>
    </row>
    <row r="232" ht="12.75" customHeight="1" s="202">
      <c r="A232" s="201" t="n"/>
      <c r="B232" s="201" t="n"/>
      <c r="C232" s="201" t="n"/>
      <c r="D232" s="201" t="n"/>
      <c r="E232" s="201" t="n"/>
      <c r="F232" s="201" t="n"/>
      <c r="G232" s="201" t="n"/>
      <c r="H232" s="201" t="n"/>
      <c r="I232" s="201" t="n"/>
      <c r="J232" s="201" t="n"/>
      <c r="K232" s="201" t="n"/>
      <c r="L232" s="201" t="n"/>
      <c r="M232" s="201" t="n"/>
      <c r="N232" s="201" t="n"/>
      <c r="O232" s="201" t="n"/>
      <c r="P232" s="201" t="n"/>
      <c r="Q232" s="201" t="n"/>
      <c r="R232" s="201" t="n"/>
    </row>
    <row r="233" ht="12.75" customHeight="1" s="202">
      <c r="A233" s="201" t="n"/>
      <c r="B233" s="201" t="n"/>
      <c r="C233" s="201" t="n"/>
      <c r="D233" s="201" t="n"/>
      <c r="E233" s="201" t="n"/>
      <c r="F233" s="201" t="n"/>
      <c r="G233" s="201" t="n"/>
      <c r="H233" s="201" t="n"/>
      <c r="I233" s="201" t="n"/>
      <c r="J233" s="201" t="n"/>
      <c r="K233" s="201" t="n"/>
      <c r="L233" s="201" t="n"/>
      <c r="M233" s="201" t="n"/>
      <c r="N233" s="201" t="n"/>
      <c r="O233" s="201" t="n"/>
      <c r="P233" s="201" t="n"/>
      <c r="Q233" s="201" t="n"/>
      <c r="R233" s="201" t="n"/>
    </row>
    <row r="234" ht="12.75" customHeight="1" s="202">
      <c r="A234" s="201" t="n"/>
      <c r="B234" s="201" t="n"/>
      <c r="C234" s="201" t="n"/>
      <c r="D234" s="201" t="n"/>
      <c r="E234" s="201" t="n"/>
      <c r="F234" s="201" t="n"/>
      <c r="G234" s="201" t="n"/>
      <c r="H234" s="201" t="n"/>
      <c r="I234" s="201" t="n"/>
      <c r="J234" s="201" t="n"/>
      <c r="K234" s="201" t="n"/>
      <c r="L234" s="201" t="n"/>
      <c r="M234" s="201" t="n"/>
      <c r="N234" s="201" t="n"/>
      <c r="O234" s="201" t="n"/>
      <c r="P234" s="201" t="n"/>
      <c r="Q234" s="201" t="n"/>
      <c r="R234" s="201" t="n"/>
    </row>
    <row r="235" ht="12.75" customHeight="1" s="202">
      <c r="A235" s="201" t="n"/>
      <c r="B235" s="201" t="n"/>
      <c r="C235" s="201" t="n"/>
      <c r="D235" s="201" t="n"/>
      <c r="E235" s="201" t="n"/>
      <c r="F235" s="201" t="n"/>
      <c r="G235" s="201" t="n"/>
      <c r="H235" s="201" t="n"/>
      <c r="I235" s="201" t="n"/>
      <c r="J235" s="201" t="n"/>
      <c r="K235" s="201" t="n"/>
      <c r="L235" s="201" t="n"/>
      <c r="M235" s="201" t="n"/>
      <c r="N235" s="201" t="n"/>
      <c r="O235" s="201" t="n"/>
      <c r="P235" s="201" t="n"/>
      <c r="Q235" s="201" t="n"/>
      <c r="R235" s="201" t="n"/>
    </row>
    <row r="236" ht="12.75" customHeight="1" s="202">
      <c r="A236" s="201" t="n"/>
      <c r="B236" s="201" t="n"/>
      <c r="C236" s="201" t="n"/>
      <c r="D236" s="201" t="n"/>
      <c r="E236" s="201" t="n"/>
      <c r="F236" s="201" t="n"/>
      <c r="G236" s="201" t="n"/>
      <c r="H236" s="201" t="n"/>
      <c r="I236" s="201" t="n"/>
      <c r="J236" s="201" t="n"/>
      <c r="K236" s="201" t="n"/>
      <c r="L236" s="201" t="n"/>
      <c r="M236" s="201" t="n"/>
      <c r="N236" s="201" t="n"/>
      <c r="O236" s="201" t="n"/>
      <c r="P236" s="201" t="n"/>
      <c r="Q236" s="201" t="n"/>
      <c r="R236" s="201" t="n"/>
    </row>
    <row r="237" ht="12.75" customHeight="1" s="202">
      <c r="A237" s="201" t="n"/>
      <c r="B237" s="201" t="n"/>
      <c r="C237" s="201" t="n"/>
      <c r="D237" s="201" t="n"/>
      <c r="E237" s="201" t="n"/>
      <c r="F237" s="201" t="n"/>
      <c r="G237" s="201" t="n"/>
      <c r="H237" s="201" t="n"/>
      <c r="I237" s="201" t="n"/>
      <c r="J237" s="201" t="n"/>
      <c r="K237" s="201" t="n"/>
      <c r="L237" s="201" t="n"/>
      <c r="M237" s="201" t="n"/>
      <c r="N237" s="201" t="n"/>
      <c r="O237" s="201" t="n"/>
      <c r="P237" s="201" t="n"/>
      <c r="Q237" s="201" t="n"/>
      <c r="R237" s="201" t="n"/>
    </row>
    <row r="238" ht="12.75" customHeight="1" s="202">
      <c r="A238" s="201" t="n"/>
      <c r="B238" s="201" t="n"/>
      <c r="C238" s="201" t="n"/>
      <c r="D238" s="201" t="n"/>
      <c r="E238" s="201" t="n"/>
      <c r="F238" s="201" t="n"/>
      <c r="G238" s="201" t="n"/>
      <c r="H238" s="201" t="n"/>
      <c r="I238" s="201" t="n"/>
      <c r="J238" s="201" t="n"/>
      <c r="K238" s="201" t="n"/>
      <c r="L238" s="201" t="n"/>
      <c r="M238" s="201" t="n"/>
      <c r="N238" s="201" t="n"/>
      <c r="O238" s="201" t="n"/>
      <c r="P238" s="201" t="n"/>
      <c r="Q238" s="201" t="n"/>
      <c r="R238" s="201" t="n"/>
    </row>
    <row r="239" ht="12.75" customHeight="1" s="202">
      <c r="A239" s="201" t="n"/>
      <c r="B239" s="201" t="n"/>
      <c r="C239" s="201" t="n"/>
      <c r="D239" s="201" t="n"/>
      <c r="E239" s="201" t="n"/>
      <c r="F239" s="201" t="n"/>
      <c r="G239" s="201" t="n"/>
      <c r="H239" s="201" t="n"/>
      <c r="I239" s="201" t="n"/>
      <c r="J239" s="201" t="n"/>
      <c r="K239" s="201" t="n"/>
      <c r="L239" s="201" t="n"/>
      <c r="M239" s="201" t="n"/>
      <c r="N239" s="201" t="n"/>
      <c r="O239" s="201" t="n"/>
      <c r="P239" s="201" t="n"/>
      <c r="Q239" s="201" t="n"/>
      <c r="R239" s="201" t="n"/>
    </row>
    <row r="240" ht="12.75" customHeight="1" s="202">
      <c r="A240" s="201" t="n"/>
      <c r="B240" s="201" t="n"/>
      <c r="C240" s="201" t="n"/>
      <c r="D240" s="201" t="n"/>
      <c r="E240" s="201" t="n"/>
      <c r="F240" s="201" t="n"/>
      <c r="G240" s="201" t="n"/>
      <c r="H240" s="201" t="n"/>
      <c r="I240" s="201" t="n"/>
      <c r="J240" s="201" t="n"/>
      <c r="K240" s="201" t="n"/>
      <c r="L240" s="201" t="n"/>
      <c r="M240" s="201" t="n"/>
      <c r="N240" s="201" t="n"/>
      <c r="O240" s="201" t="n"/>
      <c r="P240" s="201" t="n"/>
      <c r="Q240" s="201" t="n"/>
      <c r="R240" s="201" t="n"/>
    </row>
    <row r="241" ht="12.75" customHeight="1" s="202">
      <c r="A241" s="201" t="n"/>
      <c r="B241" s="201" t="n"/>
      <c r="C241" s="201" t="n"/>
      <c r="D241" s="201" t="n"/>
      <c r="E241" s="201" t="n"/>
      <c r="F241" s="201" t="n"/>
      <c r="G241" s="201" t="n"/>
      <c r="H241" s="201" t="n"/>
      <c r="I241" s="201" t="n"/>
      <c r="J241" s="201" t="n"/>
      <c r="K241" s="201" t="n"/>
      <c r="L241" s="201" t="n"/>
      <c r="M241" s="201" t="n"/>
      <c r="N241" s="201" t="n"/>
      <c r="O241" s="201" t="n"/>
      <c r="P241" s="201" t="n"/>
      <c r="Q241" s="201" t="n"/>
      <c r="R241" s="201" t="n"/>
    </row>
    <row r="242" ht="12.75" customHeight="1" s="202">
      <c r="A242" s="201" t="n"/>
      <c r="B242" s="201" t="n"/>
      <c r="C242" s="201" t="n"/>
      <c r="D242" s="201" t="n"/>
      <c r="E242" s="201" t="n"/>
      <c r="F242" s="201" t="n"/>
      <c r="G242" s="201" t="n"/>
      <c r="H242" s="201" t="n"/>
      <c r="I242" s="201" t="n"/>
      <c r="J242" s="201" t="n"/>
      <c r="K242" s="201" t="n"/>
      <c r="L242" s="201" t="n"/>
      <c r="M242" s="201" t="n"/>
      <c r="N242" s="201" t="n"/>
      <c r="O242" s="201" t="n"/>
      <c r="P242" s="201" t="n"/>
      <c r="Q242" s="201" t="n"/>
      <c r="R242" s="201" t="n"/>
    </row>
    <row r="243" ht="12.75" customHeight="1" s="202">
      <c r="A243" s="201" t="n"/>
      <c r="B243" s="201" t="n"/>
      <c r="C243" s="201" t="n"/>
      <c r="D243" s="201" t="n"/>
      <c r="E243" s="201" t="n"/>
      <c r="F243" s="201" t="n"/>
      <c r="G243" s="201" t="n"/>
      <c r="H243" s="201" t="n"/>
      <c r="I243" s="201" t="n"/>
      <c r="J243" s="201" t="n"/>
      <c r="K243" s="201" t="n"/>
      <c r="L243" s="201" t="n"/>
      <c r="M243" s="201" t="n"/>
      <c r="N243" s="201" t="n"/>
      <c r="O243" s="201" t="n"/>
      <c r="P243" s="201" t="n"/>
      <c r="Q243" s="201" t="n"/>
      <c r="R243" s="201" t="n"/>
    </row>
    <row r="244" ht="12.75" customHeight="1" s="202">
      <c r="A244" s="201" t="n"/>
      <c r="B244" s="201" t="n"/>
      <c r="C244" s="201" t="n"/>
      <c r="D244" s="201" t="n"/>
      <c r="E244" s="201" t="n"/>
      <c r="F244" s="201" t="n"/>
      <c r="G244" s="201" t="n"/>
      <c r="H244" s="201" t="n"/>
      <c r="I244" s="201" t="n"/>
      <c r="J244" s="201" t="n"/>
      <c r="K244" s="201" t="n"/>
      <c r="L244" s="201" t="n"/>
      <c r="M244" s="201" t="n"/>
      <c r="N244" s="201" t="n"/>
      <c r="O244" s="201" t="n"/>
      <c r="P244" s="201" t="n"/>
      <c r="Q244" s="201" t="n"/>
      <c r="R244" s="201" t="n"/>
    </row>
    <row r="245" ht="12.75" customHeight="1" s="202">
      <c r="A245" s="201" t="n"/>
      <c r="B245" s="201" t="n"/>
      <c r="C245" s="201" t="n"/>
      <c r="D245" s="201" t="n"/>
      <c r="E245" s="201" t="n"/>
      <c r="F245" s="201" t="n"/>
      <c r="G245" s="201" t="n"/>
      <c r="H245" s="201" t="n"/>
      <c r="I245" s="201" t="n"/>
      <c r="J245" s="201" t="n"/>
      <c r="K245" s="201" t="n"/>
      <c r="L245" s="201" t="n"/>
      <c r="M245" s="201" t="n"/>
      <c r="N245" s="201" t="n"/>
      <c r="O245" s="201" t="n"/>
      <c r="P245" s="201" t="n"/>
      <c r="Q245" s="201" t="n"/>
      <c r="R245" s="201" t="n"/>
    </row>
    <row r="246" ht="12.75" customHeight="1" s="202">
      <c r="A246" s="201" t="n"/>
      <c r="B246" s="201" t="n"/>
      <c r="C246" s="201" t="n"/>
      <c r="D246" s="201" t="n"/>
      <c r="E246" s="201" t="n"/>
      <c r="F246" s="201" t="n"/>
      <c r="G246" s="201" t="n"/>
      <c r="H246" s="201" t="n"/>
      <c r="I246" s="201" t="n"/>
      <c r="J246" s="201" t="n"/>
      <c r="K246" s="201" t="n"/>
      <c r="L246" s="201" t="n"/>
      <c r="M246" s="201" t="n"/>
      <c r="N246" s="201" t="n"/>
      <c r="O246" s="201" t="n"/>
      <c r="P246" s="201" t="n"/>
      <c r="Q246" s="201" t="n"/>
      <c r="R246" s="201" t="n"/>
    </row>
    <row r="247" ht="12.75" customHeight="1" s="202">
      <c r="A247" s="201" t="n"/>
      <c r="B247" s="201" t="n"/>
      <c r="C247" s="201" t="n"/>
      <c r="D247" s="201" t="n"/>
      <c r="E247" s="201" t="n"/>
      <c r="F247" s="201" t="n"/>
      <c r="G247" s="201" t="n"/>
      <c r="H247" s="201" t="n"/>
      <c r="I247" s="201" t="n"/>
      <c r="J247" s="201" t="n"/>
      <c r="K247" s="201" t="n"/>
      <c r="L247" s="201" t="n"/>
      <c r="M247" s="201" t="n"/>
      <c r="N247" s="201" t="n"/>
      <c r="O247" s="201" t="n"/>
      <c r="P247" s="201" t="n"/>
      <c r="Q247" s="201" t="n"/>
      <c r="R247" s="201" t="n"/>
    </row>
    <row r="248" ht="12.75" customHeight="1" s="202">
      <c r="A248" s="201" t="n"/>
      <c r="B248" s="201" t="n"/>
      <c r="C248" s="201" t="n"/>
      <c r="D248" s="201" t="n"/>
      <c r="E248" s="201" t="n"/>
      <c r="F248" s="201" t="n"/>
      <c r="G248" s="201" t="n"/>
      <c r="H248" s="201" t="n"/>
      <c r="I248" s="201" t="n"/>
      <c r="J248" s="201" t="n"/>
      <c r="K248" s="201" t="n"/>
      <c r="L248" s="201" t="n"/>
      <c r="M248" s="201" t="n"/>
      <c r="N248" s="201" t="n"/>
      <c r="O248" s="201" t="n"/>
      <c r="P248" s="201" t="n"/>
      <c r="Q248" s="201" t="n"/>
      <c r="R248" s="201" t="n"/>
    </row>
    <row r="249" ht="12.75" customHeight="1" s="202">
      <c r="A249" s="201" t="n"/>
      <c r="B249" s="201" t="n"/>
      <c r="C249" s="201" t="n"/>
      <c r="D249" s="201" t="n"/>
      <c r="E249" s="201" t="n"/>
      <c r="F249" s="201" t="n"/>
      <c r="G249" s="201" t="n"/>
      <c r="H249" s="201" t="n"/>
      <c r="I249" s="201" t="n"/>
      <c r="J249" s="201" t="n"/>
      <c r="K249" s="201" t="n"/>
      <c r="L249" s="201" t="n"/>
      <c r="M249" s="201" t="n"/>
      <c r="N249" s="201" t="n"/>
      <c r="O249" s="201" t="n"/>
      <c r="P249" s="201" t="n"/>
      <c r="Q249" s="201" t="n"/>
      <c r="R249" s="201" t="n"/>
    </row>
    <row r="250" ht="12.75" customHeight="1" s="202">
      <c r="A250" s="201" t="n"/>
      <c r="B250" s="201" t="n"/>
      <c r="C250" s="201" t="n"/>
      <c r="D250" s="201" t="n"/>
      <c r="E250" s="201" t="n"/>
      <c r="F250" s="201" t="n"/>
      <c r="G250" s="201" t="n"/>
      <c r="H250" s="201" t="n"/>
      <c r="I250" s="201" t="n"/>
      <c r="J250" s="201" t="n"/>
      <c r="K250" s="201" t="n"/>
      <c r="L250" s="201" t="n"/>
      <c r="M250" s="201" t="n"/>
      <c r="N250" s="201" t="n"/>
      <c r="O250" s="201" t="n"/>
      <c r="P250" s="201" t="n"/>
      <c r="Q250" s="201" t="n"/>
      <c r="R250" s="201" t="n"/>
    </row>
    <row r="251" ht="12.75" customHeight="1" s="202">
      <c r="A251" s="201" t="n"/>
      <c r="B251" s="201" t="n"/>
      <c r="C251" s="201" t="n"/>
      <c r="D251" s="201" t="n"/>
      <c r="E251" s="201" t="n"/>
      <c r="F251" s="201" t="n"/>
      <c r="G251" s="201" t="n"/>
      <c r="H251" s="201" t="n"/>
      <c r="I251" s="201" t="n"/>
      <c r="J251" s="201" t="n"/>
      <c r="K251" s="201" t="n"/>
      <c r="L251" s="201" t="n"/>
      <c r="M251" s="201" t="n"/>
      <c r="N251" s="201" t="n"/>
      <c r="O251" s="201" t="n"/>
      <c r="P251" s="201" t="n"/>
      <c r="Q251" s="201" t="n"/>
      <c r="R251" s="201" t="n"/>
    </row>
    <row r="252" ht="12.75" customHeight="1" s="202">
      <c r="A252" s="201" t="n"/>
      <c r="B252" s="201" t="n"/>
      <c r="C252" s="201" t="n"/>
      <c r="D252" s="201" t="n"/>
      <c r="E252" s="201" t="n"/>
      <c r="F252" s="201" t="n"/>
      <c r="G252" s="201" t="n"/>
      <c r="H252" s="201" t="n"/>
      <c r="I252" s="201" t="n"/>
      <c r="J252" s="201" t="n"/>
      <c r="K252" s="201" t="n"/>
      <c r="L252" s="201" t="n"/>
      <c r="M252" s="201" t="n"/>
      <c r="N252" s="201" t="n"/>
      <c r="O252" s="201" t="n"/>
      <c r="P252" s="201" t="n"/>
      <c r="Q252" s="201" t="n"/>
      <c r="R252" s="201" t="n"/>
    </row>
    <row r="253" ht="12.75" customHeight="1" s="202">
      <c r="A253" s="201" t="n"/>
      <c r="B253" s="201" t="n"/>
      <c r="C253" s="201" t="n"/>
      <c r="D253" s="201" t="n"/>
      <c r="E253" s="201" t="n"/>
      <c r="F253" s="201" t="n"/>
      <c r="G253" s="201" t="n"/>
      <c r="H253" s="201" t="n"/>
      <c r="I253" s="201" t="n"/>
      <c r="J253" s="201" t="n"/>
      <c r="K253" s="201" t="n"/>
      <c r="L253" s="201" t="n"/>
      <c r="M253" s="201" t="n"/>
      <c r="N253" s="201" t="n"/>
      <c r="O253" s="201" t="n"/>
      <c r="P253" s="201" t="n"/>
      <c r="Q253" s="201" t="n"/>
      <c r="R253" s="201" t="n"/>
    </row>
    <row r="254" ht="12.75" customHeight="1" s="202">
      <c r="A254" s="201" t="n"/>
      <c r="B254" s="201" t="n"/>
      <c r="C254" s="201" t="n"/>
      <c r="D254" s="201" t="n"/>
      <c r="E254" s="201" t="n"/>
      <c r="F254" s="201" t="n"/>
      <c r="G254" s="201" t="n"/>
      <c r="H254" s="201" t="n"/>
      <c r="I254" s="201" t="n"/>
      <c r="J254" s="201" t="n"/>
      <c r="K254" s="201" t="n"/>
      <c r="L254" s="201" t="n"/>
      <c r="M254" s="201" t="n"/>
      <c r="N254" s="201" t="n"/>
      <c r="O254" s="201" t="n"/>
      <c r="P254" s="201" t="n"/>
      <c r="Q254" s="201" t="n"/>
      <c r="R254" s="201" t="n"/>
    </row>
    <row r="255" ht="12.75" customHeight="1" s="202">
      <c r="A255" s="201" t="n"/>
      <c r="B255" s="201" t="n"/>
      <c r="C255" s="201" t="n"/>
      <c r="D255" s="201" t="n"/>
      <c r="E255" s="201" t="n"/>
      <c r="F255" s="201" t="n"/>
      <c r="G255" s="201" t="n"/>
      <c r="H255" s="201" t="n"/>
      <c r="I255" s="201" t="n"/>
      <c r="J255" s="201" t="n"/>
      <c r="K255" s="201" t="n"/>
      <c r="L255" s="201" t="n"/>
      <c r="M255" s="201" t="n"/>
      <c r="N255" s="201" t="n"/>
      <c r="O255" s="201" t="n"/>
      <c r="P255" s="201" t="n"/>
      <c r="Q255" s="201" t="n"/>
      <c r="R255" s="201" t="n"/>
    </row>
    <row r="256" ht="12.75" customHeight="1" s="202">
      <c r="A256" s="201" t="n"/>
      <c r="B256" s="201" t="n"/>
      <c r="C256" s="201" t="n"/>
      <c r="D256" s="201" t="n"/>
      <c r="E256" s="201" t="n"/>
      <c r="F256" s="201" t="n"/>
      <c r="G256" s="201" t="n"/>
      <c r="H256" s="201" t="n"/>
      <c r="I256" s="201" t="n"/>
      <c r="J256" s="201" t="n"/>
      <c r="K256" s="201" t="n"/>
      <c r="L256" s="201" t="n"/>
      <c r="M256" s="201" t="n"/>
      <c r="N256" s="201" t="n"/>
      <c r="O256" s="201" t="n"/>
      <c r="P256" s="201" t="n"/>
      <c r="Q256" s="201" t="n"/>
      <c r="R256" s="201" t="n"/>
    </row>
    <row r="257" ht="12.75" customHeight="1" s="202">
      <c r="A257" s="201" t="n"/>
      <c r="B257" s="201" t="n"/>
      <c r="C257" s="201" t="n"/>
      <c r="D257" s="201" t="n"/>
      <c r="E257" s="201" t="n"/>
      <c r="F257" s="201" t="n"/>
      <c r="G257" s="201" t="n"/>
      <c r="H257" s="201" t="n"/>
      <c r="I257" s="201" t="n"/>
      <c r="J257" s="201" t="n"/>
      <c r="K257" s="201" t="n"/>
      <c r="L257" s="201" t="n"/>
      <c r="M257" s="201" t="n"/>
      <c r="N257" s="201" t="n"/>
      <c r="O257" s="201" t="n"/>
      <c r="P257" s="201" t="n"/>
      <c r="Q257" s="201" t="n"/>
      <c r="R257" s="201" t="n"/>
    </row>
    <row r="258" ht="12.75" customHeight="1" s="202">
      <c r="A258" s="201" t="n"/>
      <c r="B258" s="201" t="n"/>
      <c r="C258" s="201" t="n"/>
      <c r="D258" s="201" t="n"/>
      <c r="E258" s="201" t="n"/>
      <c r="F258" s="201" t="n"/>
      <c r="G258" s="201" t="n"/>
      <c r="H258" s="201" t="n"/>
      <c r="I258" s="201" t="n"/>
      <c r="J258" s="201" t="n"/>
      <c r="K258" s="201" t="n"/>
      <c r="L258" s="201" t="n"/>
      <c r="M258" s="201" t="n"/>
      <c r="N258" s="201" t="n"/>
      <c r="O258" s="201" t="n"/>
      <c r="P258" s="201" t="n"/>
      <c r="Q258" s="201" t="n"/>
      <c r="R258" s="201" t="n"/>
    </row>
    <row r="259" ht="12.75" customHeight="1" s="202">
      <c r="A259" s="201" t="n"/>
      <c r="B259" s="201" t="n"/>
      <c r="C259" s="201" t="n"/>
      <c r="D259" s="201" t="n"/>
      <c r="E259" s="201" t="n"/>
      <c r="F259" s="201" t="n"/>
      <c r="G259" s="201" t="n"/>
      <c r="H259" s="201" t="n"/>
      <c r="I259" s="201" t="n"/>
      <c r="J259" s="201" t="n"/>
      <c r="K259" s="201" t="n"/>
      <c r="L259" s="201" t="n"/>
      <c r="M259" s="201" t="n"/>
      <c r="N259" s="201" t="n"/>
      <c r="O259" s="201" t="n"/>
      <c r="P259" s="201" t="n"/>
      <c r="Q259" s="201" t="n"/>
      <c r="R259" s="201" t="n"/>
    </row>
    <row r="260" ht="12.75" customHeight="1" s="202">
      <c r="A260" s="201" t="n"/>
      <c r="B260" s="201" t="n"/>
      <c r="C260" s="201" t="n"/>
      <c r="D260" s="201" t="n"/>
      <c r="E260" s="201" t="n"/>
      <c r="F260" s="201" t="n"/>
      <c r="G260" s="201" t="n"/>
      <c r="H260" s="201" t="n"/>
      <c r="I260" s="201" t="n"/>
      <c r="J260" s="201" t="n"/>
      <c r="K260" s="201" t="n"/>
      <c r="L260" s="201" t="n"/>
      <c r="M260" s="201" t="n"/>
      <c r="N260" s="201" t="n"/>
      <c r="O260" s="201" t="n"/>
      <c r="P260" s="201" t="n"/>
      <c r="Q260" s="201" t="n"/>
      <c r="R260" s="201" t="n"/>
    </row>
    <row r="261" ht="12.75" customHeight="1" s="202">
      <c r="A261" s="201" t="n"/>
      <c r="B261" s="201" t="n"/>
      <c r="C261" s="201" t="n"/>
      <c r="D261" s="201" t="n"/>
      <c r="E261" s="201" t="n"/>
      <c r="F261" s="201" t="n"/>
      <c r="G261" s="201" t="n"/>
      <c r="H261" s="201" t="n"/>
      <c r="I261" s="201" t="n"/>
      <c r="J261" s="201" t="n"/>
      <c r="K261" s="201" t="n"/>
      <c r="L261" s="201" t="n"/>
      <c r="M261" s="201" t="n"/>
      <c r="N261" s="201" t="n"/>
      <c r="O261" s="201" t="n"/>
      <c r="P261" s="201" t="n"/>
      <c r="Q261" s="201" t="n"/>
      <c r="R261" s="201" t="n"/>
    </row>
    <row r="262" ht="12.75" customHeight="1" s="202">
      <c r="A262" s="201" t="n"/>
      <c r="B262" s="201" t="n"/>
      <c r="C262" s="201" t="n"/>
      <c r="D262" s="201" t="n"/>
      <c r="E262" s="201" t="n"/>
      <c r="F262" s="201" t="n"/>
      <c r="G262" s="201" t="n"/>
      <c r="H262" s="201" t="n"/>
      <c r="I262" s="201" t="n"/>
      <c r="J262" s="201" t="n"/>
      <c r="K262" s="201" t="n"/>
      <c r="L262" s="201" t="n"/>
      <c r="M262" s="201" t="n"/>
      <c r="N262" s="201" t="n"/>
      <c r="O262" s="201" t="n"/>
      <c r="P262" s="201" t="n"/>
      <c r="Q262" s="201" t="n"/>
      <c r="R262" s="201" t="n"/>
    </row>
    <row r="263" ht="12.75" customHeight="1" s="202">
      <c r="A263" s="201" t="n"/>
      <c r="B263" s="201" t="n"/>
      <c r="C263" s="201" t="n"/>
      <c r="D263" s="201" t="n"/>
      <c r="E263" s="201" t="n"/>
      <c r="F263" s="201" t="n"/>
      <c r="G263" s="201" t="n"/>
      <c r="H263" s="201" t="n"/>
      <c r="I263" s="201" t="n"/>
      <c r="J263" s="201" t="n"/>
      <c r="K263" s="201" t="n"/>
      <c r="L263" s="201" t="n"/>
      <c r="M263" s="201" t="n"/>
      <c r="N263" s="201" t="n"/>
      <c r="O263" s="201" t="n"/>
      <c r="P263" s="201" t="n"/>
      <c r="Q263" s="201" t="n"/>
      <c r="R263" s="201" t="n"/>
    </row>
    <row r="264" ht="12.75" customHeight="1" s="202">
      <c r="A264" s="201" t="n"/>
      <c r="B264" s="201" t="n"/>
      <c r="C264" s="201" t="n"/>
      <c r="D264" s="201" t="n"/>
      <c r="E264" s="201" t="n"/>
      <c r="F264" s="201" t="n"/>
      <c r="G264" s="201" t="n"/>
      <c r="H264" s="201" t="n"/>
      <c r="I264" s="201" t="n"/>
      <c r="J264" s="201" t="n"/>
      <c r="K264" s="201" t="n"/>
      <c r="L264" s="201" t="n"/>
      <c r="M264" s="201" t="n"/>
      <c r="N264" s="201" t="n"/>
      <c r="O264" s="201" t="n"/>
      <c r="P264" s="201" t="n"/>
      <c r="Q264" s="201" t="n"/>
      <c r="R264" s="201" t="n"/>
    </row>
    <row r="265" ht="12.75" customHeight="1" s="202">
      <c r="A265" s="201" t="n"/>
      <c r="B265" s="201" t="n"/>
      <c r="C265" s="201" t="n"/>
      <c r="D265" s="201" t="n"/>
      <c r="E265" s="201" t="n"/>
      <c r="F265" s="201" t="n"/>
      <c r="G265" s="201" t="n"/>
      <c r="H265" s="201" t="n"/>
      <c r="I265" s="201" t="n"/>
      <c r="J265" s="201" t="n"/>
      <c r="K265" s="201" t="n"/>
      <c r="L265" s="201" t="n"/>
      <c r="M265" s="201" t="n"/>
      <c r="N265" s="201" t="n"/>
      <c r="O265" s="201" t="n"/>
      <c r="P265" s="201" t="n"/>
      <c r="Q265" s="201" t="n"/>
      <c r="R265" s="201" t="n"/>
    </row>
    <row r="266" ht="12.75" customHeight="1" s="202">
      <c r="A266" s="201" t="n"/>
      <c r="B266" s="201" t="n"/>
      <c r="C266" s="201" t="n"/>
      <c r="D266" s="201" t="n"/>
      <c r="E266" s="201" t="n"/>
      <c r="F266" s="201" t="n"/>
      <c r="G266" s="201" t="n"/>
      <c r="H266" s="201" t="n"/>
      <c r="I266" s="201" t="n"/>
      <c r="J266" s="201" t="n"/>
      <c r="K266" s="201" t="n"/>
      <c r="L266" s="201" t="n"/>
      <c r="M266" s="201" t="n"/>
      <c r="N266" s="201" t="n"/>
      <c r="O266" s="201" t="n"/>
      <c r="P266" s="201" t="n"/>
      <c r="Q266" s="201" t="n"/>
      <c r="R266" s="201" t="n"/>
    </row>
    <row r="267" ht="12.75" customHeight="1" s="202">
      <c r="A267" s="201" t="n"/>
      <c r="B267" s="201" t="n"/>
      <c r="C267" s="201" t="n"/>
      <c r="D267" s="201" t="n"/>
      <c r="E267" s="201" t="n"/>
      <c r="F267" s="201" t="n"/>
      <c r="G267" s="201" t="n"/>
      <c r="H267" s="201" t="n"/>
      <c r="I267" s="201" t="n"/>
      <c r="J267" s="201" t="n"/>
      <c r="K267" s="201" t="n"/>
      <c r="L267" s="201" t="n"/>
      <c r="M267" s="201" t="n"/>
      <c r="N267" s="201" t="n"/>
      <c r="O267" s="201" t="n"/>
      <c r="P267" s="201" t="n"/>
      <c r="Q267" s="201" t="n"/>
      <c r="R267" s="201" t="n"/>
    </row>
    <row r="268" ht="12.75" customHeight="1" s="202">
      <c r="A268" s="201" t="n"/>
      <c r="B268" s="201" t="n"/>
      <c r="C268" s="201" t="n"/>
      <c r="D268" s="201" t="n"/>
      <c r="E268" s="201" t="n"/>
      <c r="F268" s="201" t="n"/>
      <c r="G268" s="201" t="n"/>
      <c r="H268" s="201" t="n"/>
      <c r="I268" s="201" t="n"/>
      <c r="J268" s="201" t="n"/>
      <c r="K268" s="201" t="n"/>
      <c r="L268" s="201" t="n"/>
      <c r="M268" s="201" t="n"/>
      <c r="N268" s="201" t="n"/>
      <c r="O268" s="201" t="n"/>
      <c r="P268" s="201" t="n"/>
      <c r="Q268" s="201" t="n"/>
      <c r="R268" s="201" t="n"/>
    </row>
    <row r="269" ht="12.75" customHeight="1" s="202">
      <c r="A269" s="201" t="n"/>
      <c r="B269" s="201" t="n"/>
      <c r="C269" s="201" t="n"/>
      <c r="D269" s="201" t="n"/>
      <c r="E269" s="201" t="n"/>
      <c r="F269" s="201" t="n"/>
      <c r="G269" s="201" t="n"/>
      <c r="H269" s="201" t="n"/>
      <c r="I269" s="201" t="n"/>
      <c r="J269" s="201" t="n"/>
      <c r="K269" s="201" t="n"/>
      <c r="L269" s="201" t="n"/>
      <c r="M269" s="201" t="n"/>
      <c r="N269" s="201" t="n"/>
      <c r="O269" s="201" t="n"/>
      <c r="P269" s="201" t="n"/>
      <c r="Q269" s="201" t="n"/>
      <c r="R269" s="201" t="n"/>
    </row>
    <row r="270" ht="12.75" customHeight="1" s="202">
      <c r="A270" s="201" t="n"/>
      <c r="B270" s="201" t="n"/>
      <c r="C270" s="201" t="n"/>
      <c r="D270" s="201" t="n"/>
      <c r="E270" s="201" t="n"/>
      <c r="F270" s="201" t="n"/>
      <c r="G270" s="201" t="n"/>
      <c r="H270" s="201" t="n"/>
      <c r="I270" s="201" t="n"/>
      <c r="J270" s="201" t="n"/>
      <c r="K270" s="201" t="n"/>
      <c r="L270" s="201" t="n"/>
      <c r="M270" s="201" t="n"/>
      <c r="N270" s="201" t="n"/>
      <c r="O270" s="201" t="n"/>
      <c r="P270" s="201" t="n"/>
      <c r="Q270" s="201" t="n"/>
      <c r="R270" s="201" t="n"/>
    </row>
    <row r="271" ht="12.75" customHeight="1" s="202">
      <c r="A271" s="201" t="n"/>
      <c r="B271" s="201" t="n"/>
      <c r="C271" s="201" t="n"/>
      <c r="D271" s="201" t="n"/>
      <c r="E271" s="201" t="n"/>
      <c r="F271" s="201" t="n"/>
      <c r="G271" s="201" t="n"/>
      <c r="H271" s="201" t="n"/>
      <c r="I271" s="201" t="n"/>
      <c r="J271" s="201" t="n"/>
      <c r="K271" s="201" t="n"/>
      <c r="L271" s="201" t="n"/>
      <c r="M271" s="201" t="n"/>
      <c r="N271" s="201" t="n"/>
      <c r="O271" s="201" t="n"/>
      <c r="P271" s="201" t="n"/>
      <c r="Q271" s="201" t="n"/>
      <c r="R271" s="201" t="n"/>
    </row>
    <row r="272" ht="12.75" customHeight="1" s="202">
      <c r="A272" s="201" t="n"/>
      <c r="B272" s="201" t="n"/>
      <c r="C272" s="201" t="n"/>
      <c r="D272" s="201" t="n"/>
      <c r="E272" s="201" t="n"/>
      <c r="F272" s="201" t="n"/>
      <c r="G272" s="201" t="n"/>
      <c r="H272" s="201" t="n"/>
      <c r="I272" s="201" t="n"/>
      <c r="J272" s="201" t="n"/>
      <c r="K272" s="201" t="n"/>
      <c r="L272" s="201" t="n"/>
      <c r="M272" s="201" t="n"/>
      <c r="N272" s="201" t="n"/>
      <c r="O272" s="201" t="n"/>
      <c r="P272" s="201" t="n"/>
      <c r="Q272" s="201" t="n"/>
      <c r="R272" s="201" t="n"/>
    </row>
    <row r="273" ht="12.75" customHeight="1" s="202">
      <c r="A273" s="201" t="n"/>
      <c r="B273" s="201" t="n"/>
      <c r="C273" s="201" t="n"/>
      <c r="D273" s="201" t="n"/>
      <c r="E273" s="201" t="n"/>
      <c r="F273" s="201" t="n"/>
      <c r="G273" s="201" t="n"/>
      <c r="H273" s="201" t="n"/>
      <c r="I273" s="201" t="n"/>
      <c r="J273" s="201" t="n"/>
      <c r="K273" s="201" t="n"/>
      <c r="L273" s="201" t="n"/>
      <c r="M273" s="201" t="n"/>
      <c r="N273" s="201" t="n"/>
      <c r="O273" s="201" t="n"/>
      <c r="P273" s="201" t="n"/>
      <c r="Q273" s="201" t="n"/>
      <c r="R273" s="201" t="n"/>
    </row>
    <row r="274" ht="12.75" customHeight="1" s="202">
      <c r="A274" s="201" t="n"/>
      <c r="B274" s="201" t="n"/>
      <c r="C274" s="201" t="n"/>
      <c r="D274" s="201" t="n"/>
      <c r="E274" s="201" t="n"/>
      <c r="F274" s="201" t="n"/>
      <c r="G274" s="201" t="n"/>
      <c r="H274" s="201" t="n"/>
      <c r="I274" s="201" t="n"/>
      <c r="J274" s="201" t="n"/>
      <c r="K274" s="201" t="n"/>
      <c r="L274" s="201" t="n"/>
      <c r="M274" s="201" t="n"/>
      <c r="N274" s="201" t="n"/>
      <c r="O274" s="201" t="n"/>
      <c r="P274" s="201" t="n"/>
      <c r="Q274" s="201" t="n"/>
      <c r="R274" s="201" t="n"/>
    </row>
    <row r="275" ht="12.75" customHeight="1" s="202">
      <c r="A275" s="201" t="n"/>
      <c r="B275" s="201" t="n"/>
      <c r="C275" s="201" t="n"/>
      <c r="D275" s="201" t="n"/>
      <c r="E275" s="201" t="n"/>
      <c r="F275" s="201" t="n"/>
      <c r="G275" s="201" t="n"/>
      <c r="H275" s="201" t="n"/>
      <c r="I275" s="201" t="n"/>
      <c r="J275" s="201" t="n"/>
      <c r="K275" s="201" t="n"/>
      <c r="L275" s="201" t="n"/>
      <c r="M275" s="201" t="n"/>
      <c r="N275" s="201" t="n"/>
      <c r="O275" s="201" t="n"/>
      <c r="P275" s="201" t="n"/>
      <c r="Q275" s="201" t="n"/>
      <c r="R275" s="201" t="n"/>
    </row>
    <row r="276" ht="12.75" customHeight="1" s="202">
      <c r="A276" s="201" t="n"/>
      <c r="B276" s="201" t="n"/>
      <c r="C276" s="201" t="n"/>
      <c r="D276" s="201" t="n"/>
      <c r="E276" s="201" t="n"/>
      <c r="F276" s="201" t="n"/>
      <c r="G276" s="201" t="n"/>
      <c r="H276" s="201" t="n"/>
      <c r="I276" s="201" t="n"/>
      <c r="J276" s="201" t="n"/>
      <c r="K276" s="201" t="n"/>
      <c r="L276" s="201" t="n"/>
      <c r="M276" s="201" t="n"/>
      <c r="N276" s="201" t="n"/>
      <c r="O276" s="201" t="n"/>
      <c r="P276" s="201" t="n"/>
      <c r="Q276" s="201" t="n"/>
      <c r="R276" s="201" t="n"/>
    </row>
    <row r="277" ht="12.75" customHeight="1" s="202">
      <c r="A277" s="201" t="n"/>
      <c r="B277" s="201" t="n"/>
      <c r="C277" s="201" t="n"/>
      <c r="D277" s="201" t="n"/>
      <c r="E277" s="201" t="n"/>
      <c r="F277" s="201" t="n"/>
      <c r="G277" s="201" t="n"/>
      <c r="H277" s="201" t="n"/>
      <c r="I277" s="201" t="n"/>
      <c r="J277" s="201" t="n"/>
      <c r="K277" s="201" t="n"/>
      <c r="L277" s="201" t="n"/>
      <c r="M277" s="201" t="n"/>
      <c r="N277" s="201" t="n"/>
      <c r="O277" s="201" t="n"/>
      <c r="P277" s="201" t="n"/>
      <c r="Q277" s="201" t="n"/>
      <c r="R277" s="201" t="n"/>
    </row>
    <row r="278" ht="12.75" customHeight="1" s="202">
      <c r="A278" s="201" t="n"/>
      <c r="B278" s="201" t="n"/>
      <c r="C278" s="201" t="n"/>
      <c r="D278" s="201" t="n"/>
      <c r="E278" s="201" t="n"/>
      <c r="F278" s="201" t="n"/>
      <c r="G278" s="201" t="n"/>
      <c r="H278" s="201" t="n"/>
      <c r="I278" s="201" t="n"/>
      <c r="J278" s="201" t="n"/>
      <c r="K278" s="201" t="n"/>
      <c r="L278" s="201" t="n"/>
      <c r="M278" s="201" t="n"/>
      <c r="N278" s="201" t="n"/>
      <c r="O278" s="201" t="n"/>
      <c r="P278" s="201" t="n"/>
      <c r="Q278" s="201" t="n"/>
      <c r="R278" s="201" t="n"/>
    </row>
    <row r="279" ht="12.75" customHeight="1" s="202">
      <c r="A279" s="201" t="n"/>
      <c r="B279" s="201" t="n"/>
      <c r="C279" s="201" t="n"/>
      <c r="D279" s="201" t="n"/>
      <c r="E279" s="201" t="n"/>
      <c r="F279" s="201" t="n"/>
      <c r="G279" s="201" t="n"/>
      <c r="H279" s="201" t="n"/>
      <c r="I279" s="201" t="n"/>
      <c r="J279" s="201" t="n"/>
      <c r="K279" s="201" t="n"/>
      <c r="L279" s="201" t="n"/>
      <c r="M279" s="201" t="n"/>
      <c r="N279" s="201" t="n"/>
      <c r="O279" s="201" t="n"/>
      <c r="P279" s="201" t="n"/>
      <c r="Q279" s="201" t="n"/>
      <c r="R279" s="201" t="n"/>
    </row>
    <row r="280" ht="12.75" customHeight="1" s="202">
      <c r="A280" s="201" t="n"/>
      <c r="B280" s="201" t="n"/>
      <c r="C280" s="201" t="n"/>
      <c r="D280" s="201" t="n"/>
      <c r="E280" s="201" t="n"/>
      <c r="F280" s="201" t="n"/>
      <c r="G280" s="201" t="n"/>
      <c r="H280" s="201" t="n"/>
      <c r="I280" s="201" t="n"/>
      <c r="J280" s="201" t="n"/>
      <c r="K280" s="201" t="n"/>
      <c r="L280" s="201" t="n"/>
      <c r="M280" s="201" t="n"/>
      <c r="N280" s="201" t="n"/>
      <c r="O280" s="201" t="n"/>
      <c r="P280" s="201" t="n"/>
      <c r="Q280" s="201" t="n"/>
      <c r="R280" s="201" t="n"/>
    </row>
    <row r="281" ht="12.75" customHeight="1" s="202">
      <c r="A281" s="201" t="n"/>
      <c r="B281" s="201" t="n"/>
      <c r="C281" s="201" t="n"/>
      <c r="D281" s="201" t="n"/>
      <c r="E281" s="201" t="n"/>
      <c r="F281" s="201" t="n"/>
      <c r="G281" s="201" t="n"/>
      <c r="H281" s="201" t="n"/>
      <c r="I281" s="201" t="n"/>
      <c r="J281" s="201" t="n"/>
      <c r="K281" s="201" t="n"/>
      <c r="L281" s="201" t="n"/>
      <c r="M281" s="201" t="n"/>
      <c r="N281" s="201" t="n"/>
      <c r="O281" s="201" t="n"/>
      <c r="P281" s="201" t="n"/>
      <c r="Q281" s="201" t="n"/>
      <c r="R281" s="201" t="n"/>
    </row>
    <row r="282" ht="12.75" customHeight="1" s="202">
      <c r="A282" s="201" t="n"/>
      <c r="B282" s="201" t="n"/>
      <c r="C282" s="201" t="n"/>
      <c r="D282" s="201" t="n"/>
      <c r="E282" s="201" t="n"/>
      <c r="F282" s="201" t="n"/>
      <c r="G282" s="201" t="n"/>
      <c r="H282" s="201" t="n"/>
      <c r="I282" s="201" t="n"/>
      <c r="J282" s="201" t="n"/>
      <c r="K282" s="201" t="n"/>
      <c r="L282" s="201" t="n"/>
      <c r="M282" s="201" t="n"/>
      <c r="N282" s="201" t="n"/>
      <c r="O282" s="201" t="n"/>
      <c r="P282" s="201" t="n"/>
      <c r="Q282" s="201" t="n"/>
      <c r="R282" s="201" t="n"/>
    </row>
    <row r="283" ht="12.75" customHeight="1" s="202">
      <c r="A283" s="201" t="n"/>
      <c r="B283" s="201" t="n"/>
      <c r="C283" s="201" t="n"/>
      <c r="D283" s="201" t="n"/>
      <c r="E283" s="201" t="n"/>
      <c r="F283" s="201" t="n"/>
      <c r="G283" s="201" t="n"/>
      <c r="H283" s="201" t="n"/>
      <c r="I283" s="201" t="n"/>
      <c r="J283" s="201" t="n"/>
      <c r="K283" s="201" t="n"/>
      <c r="L283" s="201" t="n"/>
      <c r="M283" s="201" t="n"/>
      <c r="N283" s="201" t="n"/>
      <c r="O283" s="201" t="n"/>
      <c r="P283" s="201" t="n"/>
      <c r="Q283" s="201" t="n"/>
      <c r="R283" s="201" t="n"/>
    </row>
    <row r="284" ht="12.75" customHeight="1" s="202">
      <c r="A284" s="201" t="n"/>
      <c r="B284" s="201" t="n"/>
      <c r="C284" s="201" t="n"/>
      <c r="D284" s="201" t="n"/>
      <c r="E284" s="201" t="n"/>
      <c r="F284" s="201" t="n"/>
      <c r="G284" s="201" t="n"/>
      <c r="H284" s="201" t="n"/>
      <c r="I284" s="201" t="n"/>
      <c r="J284" s="201" t="n"/>
      <c r="K284" s="201" t="n"/>
      <c r="L284" s="201" t="n"/>
      <c r="M284" s="201" t="n"/>
      <c r="N284" s="201" t="n"/>
      <c r="O284" s="201" t="n"/>
      <c r="P284" s="201" t="n"/>
      <c r="Q284" s="201" t="n"/>
      <c r="R284" s="201" t="n"/>
    </row>
    <row r="285" ht="12.75" customHeight="1" s="202">
      <c r="A285" s="201" t="n"/>
      <c r="B285" s="201" t="n"/>
      <c r="C285" s="201" t="n"/>
      <c r="D285" s="201" t="n"/>
      <c r="E285" s="201" t="n"/>
      <c r="F285" s="201" t="n"/>
      <c r="G285" s="201" t="n"/>
      <c r="H285" s="201" t="n"/>
      <c r="I285" s="201" t="n"/>
      <c r="J285" s="201" t="n"/>
      <c r="K285" s="201" t="n"/>
      <c r="L285" s="201" t="n"/>
      <c r="M285" s="201" t="n"/>
      <c r="N285" s="201" t="n"/>
      <c r="O285" s="201" t="n"/>
      <c r="P285" s="201" t="n"/>
      <c r="Q285" s="201" t="n"/>
      <c r="R285" s="201" t="n"/>
    </row>
    <row r="286" ht="12.75" customHeight="1" s="202">
      <c r="A286" s="201" t="n"/>
      <c r="B286" s="201" t="n"/>
      <c r="C286" s="201" t="n"/>
      <c r="D286" s="201" t="n"/>
      <c r="E286" s="201" t="n"/>
      <c r="F286" s="201" t="n"/>
      <c r="G286" s="201" t="n"/>
      <c r="H286" s="201" t="n"/>
      <c r="I286" s="201" t="n"/>
      <c r="J286" s="201" t="n"/>
      <c r="K286" s="201" t="n"/>
      <c r="L286" s="201" t="n"/>
      <c r="M286" s="201" t="n"/>
      <c r="N286" s="201" t="n"/>
      <c r="O286" s="201" t="n"/>
      <c r="P286" s="201" t="n"/>
      <c r="Q286" s="201" t="n"/>
      <c r="R286" s="201" t="n"/>
    </row>
    <row r="287" ht="12.75" customHeight="1" s="202">
      <c r="A287" s="201" t="n"/>
      <c r="B287" s="201" t="n"/>
      <c r="C287" s="201" t="n"/>
      <c r="D287" s="201" t="n"/>
      <c r="E287" s="201" t="n"/>
      <c r="F287" s="201" t="n"/>
      <c r="G287" s="201" t="n"/>
      <c r="H287" s="201" t="n"/>
      <c r="I287" s="201" t="n"/>
      <c r="J287" s="201" t="n"/>
      <c r="K287" s="201" t="n"/>
      <c r="L287" s="201" t="n"/>
      <c r="M287" s="201" t="n"/>
      <c r="N287" s="201" t="n"/>
      <c r="O287" s="201" t="n"/>
      <c r="P287" s="201" t="n"/>
      <c r="Q287" s="201" t="n"/>
      <c r="R287" s="201" t="n"/>
    </row>
    <row r="288" ht="12.75" customHeight="1" s="202">
      <c r="A288" s="201" t="n"/>
      <c r="B288" s="201" t="n"/>
      <c r="C288" s="201" t="n"/>
      <c r="D288" s="201" t="n"/>
      <c r="E288" s="201" t="n"/>
      <c r="F288" s="201" t="n"/>
      <c r="G288" s="201" t="n"/>
      <c r="H288" s="201" t="n"/>
      <c r="I288" s="201" t="n"/>
      <c r="J288" s="201" t="n"/>
      <c r="K288" s="201" t="n"/>
      <c r="L288" s="201" t="n"/>
      <c r="M288" s="201" t="n"/>
      <c r="N288" s="201" t="n"/>
      <c r="O288" s="201" t="n"/>
      <c r="P288" s="201" t="n"/>
      <c r="Q288" s="201" t="n"/>
      <c r="R288" s="201" t="n"/>
    </row>
    <row r="289" ht="12.75" customHeight="1" s="202">
      <c r="A289" s="201" t="n"/>
      <c r="B289" s="201" t="n"/>
      <c r="C289" s="201" t="n"/>
      <c r="D289" s="201" t="n"/>
      <c r="E289" s="201" t="n"/>
      <c r="F289" s="201" t="n"/>
      <c r="G289" s="201" t="n"/>
      <c r="H289" s="201" t="n"/>
      <c r="I289" s="201" t="n"/>
      <c r="J289" s="201" t="n"/>
      <c r="K289" s="201" t="n"/>
      <c r="L289" s="201" t="n"/>
      <c r="M289" s="201" t="n"/>
      <c r="N289" s="201" t="n"/>
      <c r="O289" s="201" t="n"/>
      <c r="P289" s="201" t="n"/>
      <c r="Q289" s="201" t="n"/>
      <c r="R289" s="201" t="n"/>
    </row>
    <row r="290" ht="12.75" customHeight="1" s="202">
      <c r="A290" s="201" t="n"/>
      <c r="B290" s="201" t="n"/>
      <c r="C290" s="201" t="n"/>
      <c r="D290" s="201" t="n"/>
      <c r="E290" s="201" t="n"/>
      <c r="F290" s="201" t="n"/>
      <c r="G290" s="201" t="n"/>
      <c r="H290" s="201" t="n"/>
      <c r="I290" s="201" t="n"/>
      <c r="J290" s="201" t="n"/>
      <c r="K290" s="201" t="n"/>
      <c r="L290" s="201" t="n"/>
      <c r="M290" s="201" t="n"/>
      <c r="N290" s="201" t="n"/>
      <c r="O290" s="201" t="n"/>
      <c r="P290" s="201" t="n"/>
      <c r="Q290" s="201" t="n"/>
      <c r="R290" s="201" t="n"/>
    </row>
    <row r="291" ht="12.75" customHeight="1" s="202">
      <c r="A291" s="201" t="n"/>
      <c r="B291" s="201" t="n"/>
      <c r="C291" s="201" t="n"/>
      <c r="D291" s="201" t="n"/>
      <c r="E291" s="201" t="n"/>
      <c r="F291" s="201" t="n"/>
      <c r="G291" s="201" t="n"/>
      <c r="H291" s="201" t="n"/>
      <c r="I291" s="201" t="n"/>
      <c r="J291" s="201" t="n"/>
      <c r="K291" s="201" t="n"/>
      <c r="L291" s="201" t="n"/>
      <c r="M291" s="201" t="n"/>
      <c r="N291" s="201" t="n"/>
      <c r="O291" s="201" t="n"/>
      <c r="P291" s="201" t="n"/>
      <c r="Q291" s="201" t="n"/>
      <c r="R291" s="201" t="n"/>
    </row>
    <row r="292" ht="12.75" customHeight="1" s="202">
      <c r="A292" s="201" t="n"/>
      <c r="B292" s="201" t="n"/>
      <c r="C292" s="201" t="n"/>
      <c r="D292" s="201" t="n"/>
      <c r="E292" s="201" t="n"/>
      <c r="F292" s="201" t="n"/>
      <c r="G292" s="201" t="n"/>
      <c r="H292" s="201" t="n"/>
      <c r="I292" s="201" t="n"/>
      <c r="J292" s="201" t="n"/>
      <c r="K292" s="201" t="n"/>
      <c r="L292" s="201" t="n"/>
      <c r="M292" s="201" t="n"/>
      <c r="N292" s="201" t="n"/>
      <c r="O292" s="201" t="n"/>
      <c r="P292" s="201" t="n"/>
      <c r="Q292" s="201" t="n"/>
      <c r="R292" s="201" t="n"/>
    </row>
    <row r="293" ht="12.75" customHeight="1" s="202">
      <c r="A293" s="201" t="n"/>
      <c r="B293" s="201" t="n"/>
      <c r="C293" s="201" t="n"/>
      <c r="D293" s="201" t="n"/>
      <c r="E293" s="201" t="n"/>
      <c r="F293" s="201" t="n"/>
      <c r="G293" s="201" t="n"/>
      <c r="H293" s="201" t="n"/>
      <c r="I293" s="201" t="n"/>
      <c r="J293" s="201" t="n"/>
      <c r="K293" s="201" t="n"/>
      <c r="L293" s="201" t="n"/>
      <c r="M293" s="201" t="n"/>
      <c r="N293" s="201" t="n"/>
      <c r="O293" s="201" t="n"/>
      <c r="P293" s="201" t="n"/>
      <c r="Q293" s="201" t="n"/>
      <c r="R293" s="201" t="n"/>
    </row>
    <row r="294" ht="12.75" customHeight="1" s="202">
      <c r="A294" s="201" t="n"/>
      <c r="B294" s="201" t="n"/>
      <c r="C294" s="201" t="n"/>
      <c r="D294" s="201" t="n"/>
      <c r="E294" s="201" t="n"/>
      <c r="F294" s="201" t="n"/>
      <c r="G294" s="201" t="n"/>
      <c r="H294" s="201" t="n"/>
      <c r="I294" s="201" t="n"/>
      <c r="J294" s="201" t="n"/>
      <c r="K294" s="201" t="n"/>
      <c r="L294" s="201" t="n"/>
      <c r="M294" s="201" t="n"/>
      <c r="N294" s="201" t="n"/>
      <c r="O294" s="201" t="n"/>
      <c r="P294" s="201" t="n"/>
      <c r="Q294" s="201" t="n"/>
      <c r="R294" s="201" t="n"/>
    </row>
    <row r="295" ht="12.75" customHeight="1" s="202">
      <c r="A295" s="201" t="n"/>
      <c r="B295" s="201" t="n"/>
      <c r="C295" s="201" t="n"/>
      <c r="D295" s="201" t="n"/>
      <c r="E295" s="201" t="n"/>
      <c r="F295" s="201" t="n"/>
      <c r="G295" s="201" t="n"/>
      <c r="H295" s="201" t="n"/>
      <c r="I295" s="201" t="n"/>
      <c r="J295" s="201" t="n"/>
      <c r="K295" s="201" t="n"/>
      <c r="L295" s="201" t="n"/>
      <c r="M295" s="201" t="n"/>
      <c r="N295" s="201" t="n"/>
      <c r="O295" s="201" t="n"/>
      <c r="P295" s="201" t="n"/>
      <c r="Q295" s="201" t="n"/>
      <c r="R295" s="201" t="n"/>
    </row>
    <row r="296" ht="12.75" customHeight="1" s="202">
      <c r="A296" s="201" t="n"/>
      <c r="B296" s="201" t="n"/>
      <c r="C296" s="201" t="n"/>
      <c r="D296" s="201" t="n"/>
      <c r="E296" s="201" t="n"/>
      <c r="F296" s="201" t="n"/>
      <c r="G296" s="201" t="n"/>
      <c r="H296" s="201" t="n"/>
      <c r="I296" s="201" t="n"/>
      <c r="J296" s="201" t="n"/>
      <c r="K296" s="201" t="n"/>
      <c r="L296" s="201" t="n"/>
      <c r="M296" s="201" t="n"/>
      <c r="N296" s="201" t="n"/>
      <c r="O296" s="201" t="n"/>
      <c r="P296" s="201" t="n"/>
      <c r="Q296" s="201" t="n"/>
      <c r="R296" s="201" t="n"/>
    </row>
    <row r="297" ht="12.75" customHeight="1" s="202">
      <c r="A297" s="201" t="n"/>
      <c r="B297" s="201" t="n"/>
      <c r="C297" s="201" t="n"/>
      <c r="D297" s="201" t="n"/>
      <c r="E297" s="201" t="n"/>
      <c r="F297" s="201" t="n"/>
      <c r="G297" s="201" t="n"/>
      <c r="H297" s="201" t="n"/>
      <c r="I297" s="201" t="n"/>
      <c r="J297" s="201" t="n"/>
      <c r="K297" s="201" t="n"/>
      <c r="L297" s="201" t="n"/>
      <c r="M297" s="201" t="n"/>
      <c r="N297" s="201" t="n"/>
      <c r="O297" s="201" t="n"/>
      <c r="P297" s="201" t="n"/>
      <c r="Q297" s="201" t="n"/>
      <c r="R297" s="201" t="n"/>
    </row>
    <row r="298" ht="12.75" customHeight="1" s="202">
      <c r="A298" s="201" t="n"/>
      <c r="B298" s="201" t="n"/>
      <c r="C298" s="201" t="n"/>
      <c r="D298" s="201" t="n"/>
      <c r="E298" s="201" t="n"/>
      <c r="F298" s="201" t="n"/>
      <c r="G298" s="201" t="n"/>
      <c r="H298" s="201" t="n"/>
      <c r="I298" s="201" t="n"/>
      <c r="J298" s="201" t="n"/>
      <c r="K298" s="201" t="n"/>
      <c r="L298" s="201" t="n"/>
      <c r="M298" s="201" t="n"/>
      <c r="N298" s="201" t="n"/>
      <c r="O298" s="201" t="n"/>
      <c r="P298" s="201" t="n"/>
      <c r="Q298" s="201" t="n"/>
      <c r="R298" s="201" t="n"/>
    </row>
    <row r="299" ht="12.75" customHeight="1" s="202">
      <c r="A299" s="201" t="n"/>
      <c r="B299" s="201" t="n"/>
      <c r="C299" s="201" t="n"/>
      <c r="D299" s="201" t="n"/>
      <c r="E299" s="201" t="n"/>
      <c r="F299" s="201" t="n"/>
      <c r="G299" s="201" t="n"/>
      <c r="H299" s="201" t="n"/>
      <c r="I299" s="201" t="n"/>
      <c r="J299" s="201" t="n"/>
      <c r="K299" s="201" t="n"/>
      <c r="L299" s="201" t="n"/>
      <c r="M299" s="201" t="n"/>
      <c r="N299" s="201" t="n"/>
      <c r="O299" s="201" t="n"/>
      <c r="P299" s="201" t="n"/>
      <c r="Q299" s="201" t="n"/>
      <c r="R299" s="201" t="n"/>
    </row>
    <row r="300" ht="12.75" customHeight="1" s="202">
      <c r="A300" s="201" t="n"/>
      <c r="B300" s="201" t="n"/>
      <c r="C300" s="201" t="n"/>
      <c r="D300" s="201" t="n"/>
      <c r="E300" s="201" t="n"/>
      <c r="F300" s="201" t="n"/>
      <c r="G300" s="201" t="n"/>
      <c r="H300" s="201" t="n"/>
      <c r="I300" s="201" t="n"/>
      <c r="J300" s="201" t="n"/>
      <c r="K300" s="201" t="n"/>
      <c r="L300" s="201" t="n"/>
      <c r="M300" s="201" t="n"/>
      <c r="N300" s="201" t="n"/>
      <c r="O300" s="201" t="n"/>
      <c r="P300" s="201" t="n"/>
      <c r="Q300" s="201" t="n"/>
      <c r="R300" s="201" t="n"/>
    </row>
    <row r="301" ht="12.75" customHeight="1" s="202">
      <c r="A301" s="201" t="n"/>
      <c r="B301" s="201" t="n"/>
      <c r="C301" s="201" t="n"/>
      <c r="D301" s="201" t="n"/>
      <c r="E301" s="201" t="n"/>
      <c r="F301" s="201" t="n"/>
      <c r="G301" s="201" t="n"/>
      <c r="H301" s="201" t="n"/>
      <c r="I301" s="201" t="n"/>
      <c r="J301" s="201" t="n"/>
      <c r="K301" s="201" t="n"/>
      <c r="L301" s="201" t="n"/>
      <c r="M301" s="201" t="n"/>
      <c r="N301" s="201" t="n"/>
      <c r="O301" s="201" t="n"/>
      <c r="P301" s="201" t="n"/>
      <c r="Q301" s="201" t="n"/>
      <c r="R301" s="201" t="n"/>
    </row>
    <row r="302" ht="12.75" customHeight="1" s="202">
      <c r="A302" s="201" t="n"/>
      <c r="B302" s="201" t="n"/>
      <c r="C302" s="201" t="n"/>
      <c r="D302" s="201" t="n"/>
      <c r="E302" s="201" t="n"/>
      <c r="F302" s="201" t="n"/>
      <c r="G302" s="201" t="n"/>
      <c r="H302" s="201" t="n"/>
      <c r="I302" s="201" t="n"/>
      <c r="J302" s="201" t="n"/>
      <c r="K302" s="201" t="n"/>
      <c r="L302" s="201" t="n"/>
      <c r="M302" s="201" t="n"/>
      <c r="N302" s="201" t="n"/>
      <c r="O302" s="201" t="n"/>
      <c r="P302" s="201" t="n"/>
      <c r="Q302" s="201" t="n"/>
      <c r="R302" s="201" t="n"/>
    </row>
    <row r="303" ht="12.75" customHeight="1" s="202">
      <c r="A303" s="201" t="n"/>
      <c r="B303" s="201" t="n"/>
      <c r="C303" s="201" t="n"/>
      <c r="D303" s="201" t="n"/>
      <c r="E303" s="201" t="n"/>
      <c r="F303" s="201" t="n"/>
      <c r="G303" s="201" t="n"/>
      <c r="H303" s="201" t="n"/>
      <c r="I303" s="201" t="n"/>
      <c r="J303" s="201" t="n"/>
      <c r="K303" s="201" t="n"/>
      <c r="L303" s="201" t="n"/>
      <c r="M303" s="201" t="n"/>
      <c r="N303" s="201" t="n"/>
      <c r="O303" s="201" t="n"/>
      <c r="P303" s="201" t="n"/>
      <c r="Q303" s="201" t="n"/>
      <c r="R303" s="201" t="n"/>
    </row>
    <row r="304" ht="12.75" customHeight="1" s="202">
      <c r="A304" s="201" t="n"/>
      <c r="B304" s="201" t="n"/>
      <c r="C304" s="201" t="n"/>
      <c r="D304" s="201" t="n"/>
      <c r="E304" s="201" t="n"/>
      <c r="F304" s="201" t="n"/>
      <c r="G304" s="201" t="n"/>
      <c r="H304" s="201" t="n"/>
      <c r="I304" s="201" t="n"/>
      <c r="J304" s="201" t="n"/>
      <c r="K304" s="201" t="n"/>
      <c r="L304" s="201" t="n"/>
      <c r="M304" s="201" t="n"/>
      <c r="N304" s="201" t="n"/>
      <c r="O304" s="201" t="n"/>
      <c r="P304" s="201" t="n"/>
      <c r="Q304" s="201" t="n"/>
      <c r="R304" s="201" t="n"/>
    </row>
    <row r="305" ht="12.75" customHeight="1" s="202">
      <c r="A305" s="201" t="n"/>
      <c r="B305" s="201" t="n"/>
      <c r="C305" s="201" t="n"/>
      <c r="D305" s="201" t="n"/>
      <c r="E305" s="201" t="n"/>
      <c r="F305" s="201" t="n"/>
      <c r="G305" s="201" t="n"/>
      <c r="H305" s="201" t="n"/>
      <c r="I305" s="201" t="n"/>
      <c r="J305" s="201" t="n"/>
      <c r="K305" s="201" t="n"/>
      <c r="L305" s="201" t="n"/>
      <c r="M305" s="201" t="n"/>
      <c r="N305" s="201" t="n"/>
      <c r="O305" s="201" t="n"/>
      <c r="P305" s="201" t="n"/>
      <c r="Q305" s="201" t="n"/>
      <c r="R305" s="201" t="n"/>
    </row>
    <row r="306" ht="12.75" customHeight="1" s="202">
      <c r="A306" s="201" t="n"/>
      <c r="B306" s="201" t="n"/>
      <c r="C306" s="201" t="n"/>
      <c r="D306" s="201" t="n"/>
      <c r="E306" s="201" t="n"/>
      <c r="F306" s="201" t="n"/>
      <c r="G306" s="201" t="n"/>
      <c r="H306" s="201" t="n"/>
      <c r="I306" s="201" t="n"/>
      <c r="J306" s="201" t="n"/>
      <c r="K306" s="201" t="n"/>
      <c r="L306" s="201" t="n"/>
      <c r="M306" s="201" t="n"/>
      <c r="N306" s="201" t="n"/>
      <c r="O306" s="201" t="n"/>
      <c r="P306" s="201" t="n"/>
      <c r="Q306" s="201" t="n"/>
      <c r="R306" s="201" t="n"/>
    </row>
    <row r="307" ht="12.75" customHeight="1" s="202">
      <c r="A307" s="201" t="n"/>
      <c r="B307" s="201" t="n"/>
      <c r="C307" s="201" t="n"/>
      <c r="D307" s="201" t="n"/>
      <c r="E307" s="201" t="n"/>
      <c r="F307" s="201" t="n"/>
      <c r="G307" s="201" t="n"/>
      <c r="H307" s="201" t="n"/>
      <c r="I307" s="201" t="n"/>
      <c r="J307" s="201" t="n"/>
      <c r="K307" s="201" t="n"/>
      <c r="L307" s="201" t="n"/>
      <c r="M307" s="201" t="n"/>
      <c r="N307" s="201" t="n"/>
      <c r="O307" s="201" t="n"/>
      <c r="P307" s="201" t="n"/>
      <c r="Q307" s="201" t="n"/>
      <c r="R307" s="201" t="n"/>
    </row>
    <row r="308" ht="12.75" customHeight="1" s="202">
      <c r="A308" s="201" t="n"/>
      <c r="B308" s="201" t="n"/>
      <c r="C308" s="201" t="n"/>
      <c r="D308" s="201" t="n"/>
      <c r="E308" s="201" t="n"/>
      <c r="F308" s="201" t="n"/>
      <c r="G308" s="201" t="n"/>
      <c r="H308" s="201" t="n"/>
      <c r="I308" s="201" t="n"/>
      <c r="J308" s="201" t="n"/>
      <c r="K308" s="201" t="n"/>
      <c r="L308" s="201" t="n"/>
      <c r="M308" s="201" t="n"/>
      <c r="N308" s="201" t="n"/>
      <c r="O308" s="201" t="n"/>
      <c r="P308" s="201" t="n"/>
      <c r="Q308" s="201" t="n"/>
      <c r="R308" s="201" t="n"/>
    </row>
    <row r="309" ht="12.75" customHeight="1" s="202">
      <c r="A309" s="201" t="n"/>
      <c r="B309" s="201" t="n"/>
      <c r="C309" s="201" t="n"/>
      <c r="D309" s="201" t="n"/>
      <c r="E309" s="201" t="n"/>
      <c r="F309" s="201" t="n"/>
      <c r="G309" s="201" t="n"/>
      <c r="H309" s="201" t="n"/>
      <c r="I309" s="201" t="n"/>
      <c r="J309" s="201" t="n"/>
      <c r="K309" s="201" t="n"/>
      <c r="L309" s="201" t="n"/>
      <c r="M309" s="201" t="n"/>
      <c r="N309" s="201" t="n"/>
      <c r="O309" s="201" t="n"/>
      <c r="P309" s="201" t="n"/>
      <c r="Q309" s="201" t="n"/>
      <c r="R309" s="201" t="n"/>
    </row>
    <row r="310" ht="12.75" customHeight="1" s="202">
      <c r="A310" s="201" t="n"/>
      <c r="B310" s="201" t="n"/>
      <c r="C310" s="201" t="n"/>
      <c r="D310" s="201" t="n"/>
      <c r="E310" s="201" t="n"/>
      <c r="F310" s="201" t="n"/>
      <c r="G310" s="201" t="n"/>
      <c r="H310" s="201" t="n"/>
      <c r="I310" s="201" t="n"/>
      <c r="J310" s="201" t="n"/>
      <c r="K310" s="201" t="n"/>
      <c r="L310" s="201" t="n"/>
      <c r="M310" s="201" t="n"/>
      <c r="N310" s="201" t="n"/>
      <c r="O310" s="201" t="n"/>
      <c r="P310" s="201" t="n"/>
      <c r="Q310" s="201" t="n"/>
      <c r="R310" s="201" t="n"/>
    </row>
    <row r="311" ht="12.75" customHeight="1" s="202">
      <c r="A311" s="201" t="n"/>
      <c r="B311" s="201" t="n"/>
      <c r="C311" s="201" t="n"/>
      <c r="D311" s="201" t="n"/>
      <c r="E311" s="201" t="n"/>
      <c r="F311" s="201" t="n"/>
      <c r="G311" s="201" t="n"/>
      <c r="H311" s="201" t="n"/>
      <c r="I311" s="201" t="n"/>
      <c r="J311" s="201" t="n"/>
      <c r="K311" s="201" t="n"/>
      <c r="L311" s="201" t="n"/>
      <c r="M311" s="201" t="n"/>
      <c r="N311" s="201" t="n"/>
      <c r="O311" s="201" t="n"/>
      <c r="P311" s="201" t="n"/>
      <c r="Q311" s="201" t="n"/>
      <c r="R311" s="201" t="n"/>
    </row>
    <row r="312" ht="12.75" customHeight="1" s="202">
      <c r="A312" s="201" t="n"/>
      <c r="B312" s="201" t="n"/>
      <c r="C312" s="201" t="n"/>
      <c r="D312" s="201" t="n"/>
      <c r="E312" s="201" t="n"/>
      <c r="F312" s="201" t="n"/>
      <c r="G312" s="201" t="n"/>
      <c r="H312" s="201" t="n"/>
      <c r="I312" s="201" t="n"/>
      <c r="J312" s="201" t="n"/>
      <c r="K312" s="201" t="n"/>
      <c r="L312" s="201" t="n"/>
      <c r="M312" s="201" t="n"/>
      <c r="N312" s="201" t="n"/>
      <c r="O312" s="201" t="n"/>
      <c r="P312" s="201" t="n"/>
      <c r="Q312" s="201" t="n"/>
      <c r="R312" s="201" t="n"/>
    </row>
    <row r="313" ht="12.75" customHeight="1" s="202">
      <c r="A313" s="201" t="n"/>
      <c r="B313" s="201" t="n"/>
      <c r="C313" s="201" t="n"/>
      <c r="D313" s="201" t="n"/>
      <c r="E313" s="201" t="n"/>
      <c r="F313" s="201" t="n"/>
      <c r="G313" s="201" t="n"/>
      <c r="H313" s="201" t="n"/>
      <c r="I313" s="201" t="n"/>
      <c r="J313" s="201" t="n"/>
      <c r="K313" s="201" t="n"/>
      <c r="L313" s="201" t="n"/>
      <c r="M313" s="201" t="n"/>
      <c r="N313" s="201" t="n"/>
      <c r="O313" s="201" t="n"/>
      <c r="P313" s="201" t="n"/>
      <c r="Q313" s="201" t="n"/>
      <c r="R313" s="201" t="n"/>
    </row>
    <row r="314" ht="12.75" customHeight="1" s="202">
      <c r="A314" s="201" t="n"/>
      <c r="B314" s="201" t="n"/>
      <c r="C314" s="201" t="n"/>
      <c r="D314" s="201" t="n"/>
      <c r="E314" s="201" t="n"/>
      <c r="F314" s="201" t="n"/>
      <c r="G314" s="201" t="n"/>
      <c r="H314" s="201" t="n"/>
      <c r="I314" s="201" t="n"/>
      <c r="J314" s="201" t="n"/>
      <c r="K314" s="201" t="n"/>
      <c r="L314" s="201" t="n"/>
      <c r="M314" s="201" t="n"/>
      <c r="N314" s="201" t="n"/>
      <c r="O314" s="201" t="n"/>
      <c r="P314" s="201" t="n"/>
      <c r="Q314" s="201" t="n"/>
      <c r="R314" s="201" t="n"/>
    </row>
    <row r="315" ht="12.75" customHeight="1" s="202">
      <c r="A315" s="201" t="n"/>
      <c r="B315" s="201" t="n"/>
      <c r="C315" s="201" t="n"/>
      <c r="D315" s="201" t="n"/>
      <c r="E315" s="201" t="n"/>
      <c r="F315" s="201" t="n"/>
      <c r="G315" s="201" t="n"/>
      <c r="H315" s="201" t="n"/>
      <c r="I315" s="201" t="n"/>
      <c r="J315" s="201" t="n"/>
      <c r="K315" s="201" t="n"/>
      <c r="L315" s="201" t="n"/>
      <c r="M315" s="201" t="n"/>
      <c r="N315" s="201" t="n"/>
      <c r="O315" s="201" t="n"/>
      <c r="P315" s="201" t="n"/>
      <c r="Q315" s="201" t="n"/>
      <c r="R315" s="201" t="n"/>
    </row>
    <row r="316" ht="12.75" customHeight="1" s="202">
      <c r="A316" s="201" t="n"/>
      <c r="B316" s="201" t="n"/>
      <c r="C316" s="201" t="n"/>
      <c r="D316" s="201" t="n"/>
      <c r="E316" s="201" t="n"/>
      <c r="F316" s="201" t="n"/>
      <c r="G316" s="201" t="n"/>
      <c r="H316" s="201" t="n"/>
      <c r="I316" s="201" t="n"/>
      <c r="J316" s="201" t="n"/>
      <c r="K316" s="201" t="n"/>
      <c r="L316" s="201" t="n"/>
      <c r="M316" s="201" t="n"/>
      <c r="N316" s="201" t="n"/>
      <c r="O316" s="201" t="n"/>
      <c r="P316" s="201" t="n"/>
      <c r="Q316" s="201" t="n"/>
      <c r="R316" s="201" t="n"/>
    </row>
    <row r="317" ht="12.75" customHeight="1" s="202">
      <c r="A317" s="201" t="n"/>
      <c r="B317" s="201" t="n"/>
      <c r="C317" s="201" t="n"/>
      <c r="D317" s="201" t="n"/>
      <c r="E317" s="201" t="n"/>
      <c r="F317" s="201" t="n"/>
      <c r="G317" s="201" t="n"/>
      <c r="H317" s="201" t="n"/>
      <c r="I317" s="201" t="n"/>
      <c r="J317" s="201" t="n"/>
      <c r="K317" s="201" t="n"/>
      <c r="L317" s="201" t="n"/>
      <c r="M317" s="201" t="n"/>
      <c r="N317" s="201" t="n"/>
      <c r="O317" s="201" t="n"/>
      <c r="P317" s="201" t="n"/>
      <c r="Q317" s="201" t="n"/>
      <c r="R317" s="201" t="n"/>
    </row>
    <row r="318" ht="12.75" customHeight="1" s="202">
      <c r="A318" s="201" t="n"/>
      <c r="B318" s="201" t="n"/>
      <c r="C318" s="201" t="n"/>
      <c r="D318" s="201" t="n"/>
      <c r="E318" s="201" t="n"/>
      <c r="F318" s="201" t="n"/>
      <c r="G318" s="201" t="n"/>
      <c r="H318" s="201" t="n"/>
      <c r="I318" s="201" t="n"/>
      <c r="J318" s="201" t="n"/>
      <c r="K318" s="201" t="n"/>
      <c r="L318" s="201" t="n"/>
      <c r="M318" s="201" t="n"/>
      <c r="N318" s="201" t="n"/>
      <c r="O318" s="201" t="n"/>
      <c r="P318" s="201" t="n"/>
      <c r="Q318" s="201" t="n"/>
      <c r="R318" s="201" t="n"/>
    </row>
    <row r="319" ht="12.75" customHeight="1" s="202">
      <c r="A319" s="201" t="n"/>
      <c r="B319" s="201" t="n"/>
      <c r="C319" s="201" t="n"/>
      <c r="D319" s="201" t="n"/>
      <c r="E319" s="201" t="n"/>
      <c r="F319" s="201" t="n"/>
      <c r="G319" s="201" t="n"/>
      <c r="H319" s="201" t="n"/>
      <c r="I319" s="201" t="n"/>
      <c r="J319" s="201" t="n"/>
      <c r="K319" s="201" t="n"/>
      <c r="L319" s="201" t="n"/>
      <c r="M319" s="201" t="n"/>
      <c r="N319" s="201" t="n"/>
      <c r="O319" s="201" t="n"/>
      <c r="P319" s="201" t="n"/>
      <c r="Q319" s="201" t="n"/>
      <c r="R319" s="201" t="n"/>
    </row>
    <row r="320" ht="12.75" customHeight="1" s="202">
      <c r="A320" s="201" t="n"/>
      <c r="B320" s="201" t="n"/>
      <c r="C320" s="201" t="n"/>
      <c r="D320" s="201" t="n"/>
      <c r="E320" s="201" t="n"/>
      <c r="F320" s="201" t="n"/>
      <c r="G320" s="201" t="n"/>
      <c r="H320" s="201" t="n"/>
      <c r="I320" s="201" t="n"/>
      <c r="J320" s="201" t="n"/>
      <c r="K320" s="201" t="n"/>
      <c r="L320" s="201" t="n"/>
      <c r="M320" s="201" t="n"/>
      <c r="N320" s="201" t="n"/>
      <c r="O320" s="201" t="n"/>
      <c r="P320" s="201" t="n"/>
      <c r="Q320" s="201" t="n"/>
      <c r="R320" s="201" t="n"/>
    </row>
    <row r="321" ht="12.75" customHeight="1" s="202">
      <c r="A321" s="201" t="n"/>
      <c r="B321" s="201" t="n"/>
      <c r="C321" s="201" t="n"/>
      <c r="D321" s="201" t="n"/>
      <c r="E321" s="201" t="n"/>
      <c r="F321" s="201" t="n"/>
      <c r="G321" s="201" t="n"/>
      <c r="H321" s="201" t="n"/>
      <c r="I321" s="201" t="n"/>
      <c r="J321" s="201" t="n"/>
      <c r="K321" s="201" t="n"/>
      <c r="L321" s="201" t="n"/>
      <c r="M321" s="201" t="n"/>
      <c r="N321" s="201" t="n"/>
      <c r="O321" s="201" t="n"/>
      <c r="P321" s="201" t="n"/>
      <c r="Q321" s="201" t="n"/>
      <c r="R321" s="201" t="n"/>
    </row>
    <row r="322" ht="12.75" customHeight="1" s="202">
      <c r="A322" s="201" t="n"/>
      <c r="B322" s="201" t="n"/>
      <c r="C322" s="201" t="n"/>
      <c r="D322" s="201" t="n"/>
      <c r="E322" s="201" t="n"/>
      <c r="F322" s="201" t="n"/>
      <c r="G322" s="201" t="n"/>
      <c r="H322" s="201" t="n"/>
      <c r="I322" s="201" t="n"/>
      <c r="J322" s="201" t="n"/>
      <c r="K322" s="201" t="n"/>
      <c r="L322" s="201" t="n"/>
      <c r="M322" s="201" t="n"/>
      <c r="N322" s="201" t="n"/>
      <c r="O322" s="201" t="n"/>
      <c r="P322" s="201" t="n"/>
      <c r="Q322" s="201" t="n"/>
      <c r="R322" s="201" t="n"/>
    </row>
    <row r="323" ht="12.75" customHeight="1" s="202">
      <c r="A323" s="201" t="n"/>
      <c r="B323" s="201" t="n"/>
      <c r="C323" s="201" t="n"/>
      <c r="D323" s="201" t="n"/>
      <c r="E323" s="201" t="n"/>
      <c r="F323" s="201" t="n"/>
      <c r="G323" s="201" t="n"/>
      <c r="H323" s="201" t="n"/>
      <c r="I323" s="201" t="n"/>
      <c r="J323" s="201" t="n"/>
      <c r="K323" s="201" t="n"/>
      <c r="L323" s="201" t="n"/>
      <c r="M323" s="201" t="n"/>
      <c r="N323" s="201" t="n"/>
      <c r="O323" s="201" t="n"/>
      <c r="P323" s="201" t="n"/>
      <c r="Q323" s="201" t="n"/>
      <c r="R323" s="201" t="n"/>
    </row>
    <row r="324" ht="12.75" customHeight="1" s="202">
      <c r="A324" s="201" t="n"/>
      <c r="B324" s="201" t="n"/>
      <c r="C324" s="201" t="n"/>
      <c r="D324" s="201" t="n"/>
      <c r="E324" s="201" t="n"/>
      <c r="F324" s="201" t="n"/>
      <c r="G324" s="201" t="n"/>
      <c r="H324" s="201" t="n"/>
      <c r="I324" s="201" t="n"/>
      <c r="J324" s="201" t="n"/>
      <c r="K324" s="201" t="n"/>
      <c r="L324" s="201" t="n"/>
      <c r="M324" s="201" t="n"/>
      <c r="N324" s="201" t="n"/>
      <c r="O324" s="201" t="n"/>
      <c r="P324" s="201" t="n"/>
      <c r="Q324" s="201" t="n"/>
      <c r="R324" s="201" t="n"/>
    </row>
    <row r="325" ht="12.75" customHeight="1" s="202">
      <c r="A325" s="201" t="n"/>
      <c r="B325" s="201" t="n"/>
      <c r="C325" s="201" t="n"/>
      <c r="D325" s="201" t="n"/>
      <c r="E325" s="201" t="n"/>
      <c r="F325" s="201" t="n"/>
      <c r="G325" s="201" t="n"/>
      <c r="H325" s="201" t="n"/>
      <c r="I325" s="201" t="n"/>
      <c r="J325" s="201" t="n"/>
      <c r="K325" s="201" t="n"/>
      <c r="L325" s="201" t="n"/>
      <c r="M325" s="201" t="n"/>
      <c r="N325" s="201" t="n"/>
      <c r="O325" s="201" t="n"/>
      <c r="P325" s="201" t="n"/>
      <c r="Q325" s="201" t="n"/>
      <c r="R325" s="201" t="n"/>
    </row>
    <row r="326" ht="12.75" customHeight="1" s="202">
      <c r="A326" s="201" t="n"/>
      <c r="B326" s="201" t="n"/>
      <c r="C326" s="201" t="n"/>
      <c r="D326" s="201" t="n"/>
      <c r="E326" s="201" t="n"/>
      <c r="F326" s="201" t="n"/>
      <c r="G326" s="201" t="n"/>
      <c r="H326" s="201" t="n"/>
      <c r="I326" s="201" t="n"/>
      <c r="J326" s="201" t="n"/>
      <c r="K326" s="201" t="n"/>
      <c r="L326" s="201" t="n"/>
      <c r="M326" s="201" t="n"/>
      <c r="N326" s="201" t="n"/>
      <c r="O326" s="201" t="n"/>
      <c r="P326" s="201" t="n"/>
      <c r="Q326" s="201" t="n"/>
      <c r="R326" s="201" t="n"/>
    </row>
    <row r="327" ht="12.75" customHeight="1" s="202">
      <c r="A327" s="201" t="n"/>
      <c r="B327" s="201" t="n"/>
      <c r="C327" s="201" t="n"/>
      <c r="D327" s="201" t="n"/>
      <c r="E327" s="201" t="n"/>
      <c r="F327" s="201" t="n"/>
      <c r="G327" s="201" t="n"/>
      <c r="H327" s="201" t="n"/>
      <c r="I327" s="201" t="n"/>
      <c r="J327" s="201" t="n"/>
      <c r="K327" s="201" t="n"/>
      <c r="L327" s="201" t="n"/>
      <c r="M327" s="201" t="n"/>
      <c r="N327" s="201" t="n"/>
      <c r="O327" s="201" t="n"/>
      <c r="P327" s="201" t="n"/>
      <c r="Q327" s="201" t="n"/>
      <c r="R327" s="201" t="n"/>
    </row>
    <row r="328" ht="12.75" customHeight="1" s="202">
      <c r="A328" s="201" t="n"/>
      <c r="B328" s="201" t="n"/>
      <c r="C328" s="201" t="n"/>
      <c r="D328" s="201" t="n"/>
      <c r="E328" s="201" t="n"/>
      <c r="F328" s="201" t="n"/>
      <c r="G328" s="201" t="n"/>
      <c r="H328" s="201" t="n"/>
      <c r="I328" s="201" t="n"/>
      <c r="J328" s="201" t="n"/>
      <c r="K328" s="201" t="n"/>
      <c r="L328" s="201" t="n"/>
      <c r="M328" s="201" t="n"/>
      <c r="N328" s="201" t="n"/>
      <c r="O328" s="201" t="n"/>
      <c r="P328" s="201" t="n"/>
      <c r="Q328" s="201" t="n"/>
      <c r="R328" s="201" t="n"/>
    </row>
    <row r="329" ht="12.75" customHeight="1" s="202">
      <c r="A329" s="201" t="n"/>
      <c r="B329" s="201" t="n"/>
      <c r="C329" s="201" t="n"/>
      <c r="D329" s="201" t="n"/>
      <c r="E329" s="201" t="n"/>
      <c r="F329" s="201" t="n"/>
      <c r="G329" s="201" t="n"/>
      <c r="H329" s="201" t="n"/>
      <c r="I329" s="201" t="n"/>
      <c r="J329" s="201" t="n"/>
      <c r="K329" s="201" t="n"/>
      <c r="L329" s="201" t="n"/>
      <c r="M329" s="201" t="n"/>
      <c r="N329" s="201" t="n"/>
      <c r="O329" s="201" t="n"/>
      <c r="P329" s="201" t="n"/>
      <c r="Q329" s="201" t="n"/>
      <c r="R329" s="201" t="n"/>
    </row>
    <row r="330" ht="12.75" customHeight="1" s="202">
      <c r="A330" s="201" t="n"/>
      <c r="B330" s="201" t="n"/>
      <c r="C330" s="201" t="n"/>
      <c r="D330" s="201" t="n"/>
      <c r="E330" s="201" t="n"/>
      <c r="F330" s="201" t="n"/>
      <c r="G330" s="201" t="n"/>
      <c r="H330" s="201" t="n"/>
      <c r="I330" s="201" t="n"/>
      <c r="J330" s="201" t="n"/>
      <c r="K330" s="201" t="n"/>
      <c r="L330" s="201" t="n"/>
      <c r="M330" s="201" t="n"/>
      <c r="N330" s="201" t="n"/>
      <c r="O330" s="201" t="n"/>
      <c r="P330" s="201" t="n"/>
      <c r="Q330" s="201" t="n"/>
      <c r="R330" s="201" t="n"/>
    </row>
    <row r="331" ht="12.75" customHeight="1" s="202">
      <c r="A331" s="201" t="n"/>
      <c r="B331" s="201" t="n"/>
      <c r="C331" s="201" t="n"/>
      <c r="D331" s="201" t="n"/>
      <c r="E331" s="201" t="n"/>
      <c r="F331" s="201" t="n"/>
      <c r="G331" s="201" t="n"/>
      <c r="H331" s="201" t="n"/>
      <c r="I331" s="201" t="n"/>
      <c r="J331" s="201" t="n"/>
      <c r="K331" s="201" t="n"/>
      <c r="L331" s="201" t="n"/>
      <c r="M331" s="201" t="n"/>
      <c r="N331" s="201" t="n"/>
      <c r="O331" s="201" t="n"/>
      <c r="P331" s="201" t="n"/>
      <c r="Q331" s="201" t="n"/>
      <c r="R331" s="201" t="n"/>
    </row>
    <row r="332" ht="12.75" customHeight="1" s="202">
      <c r="A332" s="201" t="n"/>
      <c r="B332" s="201" t="n"/>
      <c r="C332" s="201" t="n"/>
      <c r="D332" s="201" t="n"/>
      <c r="E332" s="201" t="n"/>
      <c r="F332" s="201" t="n"/>
      <c r="G332" s="201" t="n"/>
      <c r="H332" s="201" t="n"/>
      <c r="I332" s="201" t="n"/>
      <c r="J332" s="201" t="n"/>
      <c r="K332" s="201" t="n"/>
      <c r="L332" s="201" t="n"/>
      <c r="M332" s="201" t="n"/>
      <c r="N332" s="201" t="n"/>
      <c r="O332" s="201" t="n"/>
      <c r="P332" s="201" t="n"/>
      <c r="Q332" s="201" t="n"/>
      <c r="R332" s="201" t="n"/>
    </row>
    <row r="333" ht="12.75" customHeight="1" s="202">
      <c r="A333" s="201" t="n"/>
      <c r="B333" s="201" t="n"/>
      <c r="C333" s="201" t="n"/>
      <c r="D333" s="201" t="n"/>
      <c r="E333" s="201" t="n"/>
      <c r="F333" s="201" t="n"/>
      <c r="G333" s="201" t="n"/>
      <c r="H333" s="201" t="n"/>
      <c r="I333" s="201" t="n"/>
      <c r="J333" s="201" t="n"/>
      <c r="K333" s="201" t="n"/>
      <c r="L333" s="201" t="n"/>
      <c r="M333" s="201" t="n"/>
      <c r="N333" s="201" t="n"/>
      <c r="O333" s="201" t="n"/>
      <c r="P333" s="201" t="n"/>
      <c r="Q333" s="201" t="n"/>
      <c r="R333" s="201" t="n"/>
    </row>
    <row r="334" ht="12.75" customHeight="1" s="202">
      <c r="A334" s="201" t="n"/>
      <c r="B334" s="201" t="n"/>
      <c r="C334" s="201" t="n"/>
      <c r="D334" s="201" t="n"/>
      <c r="E334" s="201" t="n"/>
      <c r="F334" s="201" t="n"/>
      <c r="G334" s="201" t="n"/>
      <c r="H334" s="201" t="n"/>
      <c r="I334" s="201" t="n"/>
      <c r="J334" s="201" t="n"/>
      <c r="K334" s="201" t="n"/>
      <c r="L334" s="201" t="n"/>
      <c r="M334" s="201" t="n"/>
      <c r="N334" s="201" t="n"/>
      <c r="O334" s="201" t="n"/>
      <c r="P334" s="201" t="n"/>
      <c r="Q334" s="201" t="n"/>
      <c r="R334" s="201" t="n"/>
    </row>
    <row r="335" ht="12.75" customHeight="1" s="202">
      <c r="A335" s="201" t="n"/>
      <c r="B335" s="201" t="n"/>
      <c r="C335" s="201" t="n"/>
      <c r="D335" s="201" t="n"/>
      <c r="E335" s="201" t="n"/>
      <c r="F335" s="201" t="n"/>
      <c r="G335" s="201" t="n"/>
      <c r="H335" s="201" t="n"/>
      <c r="I335" s="201" t="n"/>
      <c r="J335" s="201" t="n"/>
      <c r="K335" s="201" t="n"/>
      <c r="L335" s="201" t="n"/>
      <c r="M335" s="201" t="n"/>
      <c r="N335" s="201" t="n"/>
      <c r="O335" s="201" t="n"/>
      <c r="P335" s="201" t="n"/>
      <c r="Q335" s="201" t="n"/>
      <c r="R335" s="201" t="n"/>
    </row>
    <row r="336" ht="12.75" customHeight="1" s="202">
      <c r="A336" s="201" t="n"/>
      <c r="B336" s="201" t="n"/>
      <c r="C336" s="201" t="n"/>
      <c r="D336" s="201" t="n"/>
      <c r="E336" s="201" t="n"/>
      <c r="F336" s="201" t="n"/>
      <c r="G336" s="201" t="n"/>
      <c r="H336" s="201" t="n"/>
      <c r="I336" s="201" t="n"/>
      <c r="J336" s="201" t="n"/>
      <c r="K336" s="201" t="n"/>
      <c r="L336" s="201" t="n"/>
      <c r="M336" s="201" t="n"/>
      <c r="N336" s="201" t="n"/>
      <c r="O336" s="201" t="n"/>
      <c r="P336" s="201" t="n"/>
      <c r="Q336" s="201" t="n"/>
      <c r="R336" s="201" t="n"/>
    </row>
    <row r="337" ht="12.75" customHeight="1" s="202">
      <c r="A337" s="201" t="n"/>
      <c r="B337" s="201" t="n"/>
      <c r="C337" s="201" t="n"/>
      <c r="D337" s="201" t="n"/>
      <c r="E337" s="201" t="n"/>
      <c r="F337" s="201" t="n"/>
      <c r="G337" s="201" t="n"/>
      <c r="H337" s="201" t="n"/>
      <c r="I337" s="201" t="n"/>
      <c r="J337" s="201" t="n"/>
      <c r="K337" s="201" t="n"/>
      <c r="L337" s="201" t="n"/>
      <c r="M337" s="201" t="n"/>
      <c r="N337" s="201" t="n"/>
      <c r="O337" s="201" t="n"/>
      <c r="P337" s="201" t="n"/>
      <c r="Q337" s="201" t="n"/>
      <c r="R337" s="201" t="n"/>
    </row>
    <row r="338" ht="12.75" customHeight="1" s="202">
      <c r="A338" s="201" t="n"/>
      <c r="B338" s="201" t="n"/>
      <c r="C338" s="201" t="n"/>
      <c r="D338" s="201" t="n"/>
      <c r="E338" s="201" t="n"/>
      <c r="F338" s="201" t="n"/>
      <c r="G338" s="201" t="n"/>
      <c r="H338" s="201" t="n"/>
      <c r="I338" s="201" t="n"/>
      <c r="J338" s="201" t="n"/>
      <c r="K338" s="201" t="n"/>
      <c r="L338" s="201" t="n"/>
      <c r="M338" s="201" t="n"/>
      <c r="N338" s="201" t="n"/>
      <c r="O338" s="201" t="n"/>
      <c r="P338" s="201" t="n"/>
      <c r="Q338" s="201" t="n"/>
      <c r="R338" s="201" t="n"/>
    </row>
    <row r="339" ht="12.75" customHeight="1" s="202">
      <c r="A339" s="201" t="n"/>
      <c r="B339" s="201" t="n"/>
      <c r="C339" s="201" t="n"/>
      <c r="D339" s="201" t="n"/>
      <c r="E339" s="201" t="n"/>
      <c r="F339" s="201" t="n"/>
      <c r="G339" s="201" t="n"/>
      <c r="H339" s="201" t="n"/>
      <c r="I339" s="201" t="n"/>
      <c r="J339" s="201" t="n"/>
      <c r="K339" s="201" t="n"/>
      <c r="L339" s="201" t="n"/>
      <c r="M339" s="201" t="n"/>
      <c r="N339" s="201" t="n"/>
      <c r="O339" s="201" t="n"/>
      <c r="P339" s="201" t="n"/>
      <c r="Q339" s="201" t="n"/>
      <c r="R339" s="201" t="n"/>
    </row>
    <row r="340" ht="12.75" customHeight="1" s="202">
      <c r="A340" s="201" t="n"/>
      <c r="B340" s="201" t="n"/>
      <c r="C340" s="201" t="n"/>
      <c r="D340" s="201" t="n"/>
      <c r="E340" s="201" t="n"/>
      <c r="F340" s="201" t="n"/>
      <c r="G340" s="201" t="n"/>
      <c r="H340" s="201" t="n"/>
      <c r="I340" s="201" t="n"/>
      <c r="J340" s="201" t="n"/>
      <c r="K340" s="201" t="n"/>
      <c r="L340" s="201" t="n"/>
      <c r="M340" s="201" t="n"/>
      <c r="N340" s="201" t="n"/>
      <c r="O340" s="201" t="n"/>
      <c r="P340" s="201" t="n"/>
      <c r="Q340" s="201" t="n"/>
      <c r="R340" s="201" t="n"/>
    </row>
    <row r="341" ht="12.75" customHeight="1" s="202">
      <c r="A341" s="201" t="n"/>
      <c r="B341" s="201" t="n"/>
      <c r="C341" s="201" t="n"/>
      <c r="D341" s="201" t="n"/>
      <c r="E341" s="201" t="n"/>
      <c r="F341" s="201" t="n"/>
      <c r="G341" s="201" t="n"/>
      <c r="H341" s="201" t="n"/>
      <c r="I341" s="201" t="n"/>
      <c r="J341" s="201" t="n"/>
      <c r="K341" s="201" t="n"/>
      <c r="L341" s="201" t="n"/>
      <c r="M341" s="201" t="n"/>
      <c r="N341" s="201" t="n"/>
      <c r="O341" s="201" t="n"/>
      <c r="P341" s="201" t="n"/>
      <c r="Q341" s="201" t="n"/>
      <c r="R341" s="201" t="n"/>
    </row>
    <row r="342" ht="12.75" customHeight="1" s="202">
      <c r="A342" s="201" t="n"/>
      <c r="B342" s="201" t="n"/>
      <c r="C342" s="201" t="n"/>
      <c r="D342" s="201" t="n"/>
      <c r="E342" s="201" t="n"/>
      <c r="F342" s="201" t="n"/>
      <c r="G342" s="201" t="n"/>
      <c r="H342" s="201" t="n"/>
      <c r="I342" s="201" t="n"/>
      <c r="J342" s="201" t="n"/>
      <c r="K342" s="201" t="n"/>
      <c r="L342" s="201" t="n"/>
      <c r="M342" s="201" t="n"/>
      <c r="N342" s="201" t="n"/>
      <c r="O342" s="201" t="n"/>
      <c r="P342" s="201" t="n"/>
      <c r="Q342" s="201" t="n"/>
      <c r="R342" s="201" t="n"/>
    </row>
    <row r="343" ht="12.75" customHeight="1" s="202">
      <c r="A343" s="201" t="n"/>
      <c r="B343" s="201" t="n"/>
      <c r="C343" s="201" t="n"/>
      <c r="D343" s="201" t="n"/>
      <c r="E343" s="201" t="n"/>
      <c r="F343" s="201" t="n"/>
      <c r="G343" s="201" t="n"/>
      <c r="H343" s="201" t="n"/>
      <c r="I343" s="201" t="n"/>
      <c r="J343" s="201" t="n"/>
      <c r="K343" s="201" t="n"/>
      <c r="L343" s="201" t="n"/>
      <c r="M343" s="201" t="n"/>
      <c r="N343" s="201" t="n"/>
      <c r="O343" s="201" t="n"/>
      <c r="P343" s="201" t="n"/>
      <c r="Q343" s="201" t="n"/>
      <c r="R343" s="201" t="n"/>
    </row>
    <row r="344" ht="12.75" customHeight="1" s="202">
      <c r="A344" s="201" t="n"/>
      <c r="B344" s="201" t="n"/>
      <c r="C344" s="201" t="n"/>
      <c r="D344" s="201" t="n"/>
      <c r="E344" s="201" t="n"/>
      <c r="F344" s="201" t="n"/>
      <c r="G344" s="201" t="n"/>
      <c r="H344" s="201" t="n"/>
      <c r="I344" s="201" t="n"/>
      <c r="J344" s="201" t="n"/>
      <c r="K344" s="201" t="n"/>
      <c r="L344" s="201" t="n"/>
      <c r="M344" s="201" t="n"/>
      <c r="N344" s="201" t="n"/>
      <c r="O344" s="201" t="n"/>
      <c r="P344" s="201" t="n"/>
      <c r="Q344" s="201" t="n"/>
      <c r="R344" s="201" t="n"/>
    </row>
    <row r="345" ht="12.75" customHeight="1" s="202">
      <c r="A345" s="201" t="n"/>
      <c r="B345" s="201" t="n"/>
      <c r="C345" s="201" t="n"/>
      <c r="D345" s="201" t="n"/>
      <c r="E345" s="201" t="n"/>
      <c r="F345" s="201" t="n"/>
      <c r="G345" s="201" t="n"/>
      <c r="H345" s="201" t="n"/>
      <c r="I345" s="201" t="n"/>
      <c r="J345" s="201" t="n"/>
      <c r="K345" s="201" t="n"/>
      <c r="L345" s="201" t="n"/>
      <c r="M345" s="201" t="n"/>
      <c r="N345" s="201" t="n"/>
      <c r="O345" s="201" t="n"/>
      <c r="P345" s="201" t="n"/>
      <c r="Q345" s="201" t="n"/>
      <c r="R345" s="201" t="n"/>
    </row>
    <row r="346" ht="12.75" customHeight="1" s="202">
      <c r="A346" s="201" t="n"/>
      <c r="B346" s="201" t="n"/>
      <c r="C346" s="201" t="n"/>
      <c r="D346" s="201" t="n"/>
      <c r="E346" s="201" t="n"/>
      <c r="F346" s="201" t="n"/>
      <c r="G346" s="201" t="n"/>
      <c r="H346" s="201" t="n"/>
      <c r="I346" s="201" t="n"/>
      <c r="J346" s="201" t="n"/>
      <c r="K346" s="201" t="n"/>
      <c r="L346" s="201" t="n"/>
      <c r="M346" s="201" t="n"/>
      <c r="N346" s="201" t="n"/>
      <c r="O346" s="201" t="n"/>
      <c r="P346" s="201" t="n"/>
      <c r="Q346" s="201" t="n"/>
      <c r="R346" s="201" t="n"/>
    </row>
    <row r="347" ht="12.75" customHeight="1" s="202">
      <c r="A347" s="201" t="n"/>
      <c r="B347" s="201" t="n"/>
      <c r="C347" s="201" t="n"/>
      <c r="D347" s="201" t="n"/>
      <c r="E347" s="201" t="n"/>
      <c r="F347" s="201" t="n"/>
      <c r="G347" s="201" t="n"/>
      <c r="H347" s="201" t="n"/>
      <c r="I347" s="201" t="n"/>
      <c r="J347" s="201" t="n"/>
      <c r="K347" s="201" t="n"/>
      <c r="L347" s="201" t="n"/>
      <c r="M347" s="201" t="n"/>
      <c r="N347" s="201" t="n"/>
      <c r="O347" s="201" t="n"/>
      <c r="P347" s="201" t="n"/>
      <c r="Q347" s="201" t="n"/>
      <c r="R347" s="201" t="n"/>
    </row>
    <row r="348" ht="12.75" customHeight="1" s="202">
      <c r="A348" s="201" t="n"/>
      <c r="B348" s="201" t="n"/>
      <c r="C348" s="201" t="n"/>
      <c r="D348" s="201" t="n"/>
      <c r="E348" s="201" t="n"/>
      <c r="F348" s="201" t="n"/>
      <c r="G348" s="201" t="n"/>
      <c r="H348" s="201" t="n"/>
      <c r="I348" s="201" t="n"/>
      <c r="J348" s="201" t="n"/>
      <c r="K348" s="201" t="n"/>
      <c r="L348" s="201" t="n"/>
      <c r="M348" s="201" t="n"/>
      <c r="N348" s="201" t="n"/>
      <c r="O348" s="201" t="n"/>
      <c r="P348" s="201" t="n"/>
      <c r="Q348" s="201" t="n"/>
      <c r="R348" s="201" t="n"/>
    </row>
    <row r="349" ht="12.75" customHeight="1" s="202">
      <c r="A349" s="201" t="n"/>
      <c r="B349" s="201" t="n"/>
      <c r="C349" s="201" t="n"/>
      <c r="D349" s="201" t="n"/>
      <c r="E349" s="201" t="n"/>
      <c r="F349" s="201" t="n"/>
      <c r="G349" s="201" t="n"/>
      <c r="H349" s="201" t="n"/>
      <c r="I349" s="201" t="n"/>
      <c r="J349" s="201" t="n"/>
      <c r="K349" s="201" t="n"/>
      <c r="L349" s="201" t="n"/>
      <c r="M349" s="201" t="n"/>
      <c r="N349" s="201" t="n"/>
      <c r="O349" s="201" t="n"/>
      <c r="P349" s="201" t="n"/>
      <c r="Q349" s="201" t="n"/>
      <c r="R349" s="201" t="n"/>
    </row>
    <row r="350" ht="12.75" customHeight="1" s="202">
      <c r="A350" s="201" t="n"/>
      <c r="B350" s="201" t="n"/>
      <c r="C350" s="201" t="n"/>
      <c r="D350" s="201" t="n"/>
      <c r="E350" s="201" t="n"/>
      <c r="F350" s="201" t="n"/>
      <c r="G350" s="201" t="n"/>
      <c r="H350" s="201" t="n"/>
      <c r="I350" s="201" t="n"/>
      <c r="J350" s="201" t="n"/>
      <c r="K350" s="201" t="n"/>
      <c r="L350" s="201" t="n"/>
      <c r="M350" s="201" t="n"/>
      <c r="N350" s="201" t="n"/>
      <c r="O350" s="201" t="n"/>
      <c r="P350" s="201" t="n"/>
      <c r="Q350" s="201" t="n"/>
      <c r="R350" s="201" t="n"/>
    </row>
    <row r="351" ht="12.75" customHeight="1" s="202">
      <c r="A351" s="201" t="n"/>
      <c r="B351" s="201" t="n"/>
      <c r="C351" s="201" t="n"/>
      <c r="D351" s="201" t="n"/>
      <c r="E351" s="201" t="n"/>
      <c r="F351" s="201" t="n"/>
      <c r="G351" s="201" t="n"/>
      <c r="H351" s="201" t="n"/>
      <c r="I351" s="201" t="n"/>
      <c r="J351" s="201" t="n"/>
      <c r="K351" s="201" t="n"/>
      <c r="L351" s="201" t="n"/>
      <c r="M351" s="201" t="n"/>
      <c r="N351" s="201" t="n"/>
      <c r="O351" s="201" t="n"/>
      <c r="P351" s="201" t="n"/>
      <c r="Q351" s="201" t="n"/>
      <c r="R351" s="201" t="n"/>
    </row>
    <row r="352" ht="12.75" customHeight="1" s="202">
      <c r="A352" s="201" t="n"/>
      <c r="B352" s="201" t="n"/>
      <c r="C352" s="201" t="n"/>
      <c r="D352" s="201" t="n"/>
      <c r="E352" s="201" t="n"/>
      <c r="F352" s="201" t="n"/>
      <c r="G352" s="201" t="n"/>
      <c r="H352" s="201" t="n"/>
      <c r="I352" s="201" t="n"/>
      <c r="J352" s="201" t="n"/>
      <c r="K352" s="201" t="n"/>
      <c r="L352" s="201" t="n"/>
      <c r="M352" s="201" t="n"/>
      <c r="N352" s="201" t="n"/>
      <c r="O352" s="201" t="n"/>
      <c r="P352" s="201" t="n"/>
      <c r="Q352" s="201" t="n"/>
      <c r="R352" s="201" t="n"/>
    </row>
    <row r="353" ht="12.75" customHeight="1" s="202">
      <c r="A353" s="201" t="n"/>
      <c r="B353" s="201" t="n"/>
      <c r="C353" s="201" t="n"/>
      <c r="D353" s="201" t="n"/>
      <c r="E353" s="201" t="n"/>
      <c r="F353" s="201" t="n"/>
      <c r="G353" s="201" t="n"/>
      <c r="H353" s="201" t="n"/>
      <c r="I353" s="201" t="n"/>
      <c r="J353" s="201" t="n"/>
      <c r="K353" s="201" t="n"/>
      <c r="L353" s="201" t="n"/>
      <c r="M353" s="201" t="n"/>
      <c r="N353" s="201" t="n"/>
      <c r="O353" s="201" t="n"/>
      <c r="P353" s="201" t="n"/>
      <c r="Q353" s="201" t="n"/>
      <c r="R353" s="201" t="n"/>
    </row>
    <row r="354" ht="12.75" customHeight="1" s="202">
      <c r="A354" s="201" t="n"/>
      <c r="B354" s="201" t="n"/>
      <c r="C354" s="201" t="n"/>
      <c r="D354" s="201" t="n"/>
      <c r="E354" s="201" t="n"/>
      <c r="F354" s="201" t="n"/>
      <c r="G354" s="201" t="n"/>
      <c r="H354" s="201" t="n"/>
      <c r="I354" s="201" t="n"/>
      <c r="J354" s="201" t="n"/>
      <c r="K354" s="201" t="n"/>
      <c r="L354" s="201" t="n"/>
      <c r="M354" s="201" t="n"/>
      <c r="N354" s="201" t="n"/>
      <c r="O354" s="201" t="n"/>
      <c r="P354" s="201" t="n"/>
      <c r="Q354" s="201" t="n"/>
      <c r="R354" s="201" t="n"/>
    </row>
    <row r="355" ht="12.75" customHeight="1" s="202">
      <c r="A355" s="201" t="n"/>
      <c r="B355" s="201" t="n"/>
      <c r="C355" s="201" t="n"/>
      <c r="D355" s="201" t="n"/>
      <c r="E355" s="201" t="n"/>
      <c r="F355" s="201" t="n"/>
      <c r="G355" s="201" t="n"/>
      <c r="H355" s="201" t="n"/>
      <c r="I355" s="201" t="n"/>
      <c r="J355" s="201" t="n"/>
      <c r="K355" s="201" t="n"/>
      <c r="L355" s="201" t="n"/>
      <c r="M355" s="201" t="n"/>
      <c r="N355" s="201" t="n"/>
      <c r="O355" s="201" t="n"/>
      <c r="P355" s="201" t="n"/>
      <c r="Q355" s="201" t="n"/>
      <c r="R355" s="201" t="n"/>
    </row>
    <row r="356" ht="12.75" customHeight="1" s="202">
      <c r="A356" s="201" t="n"/>
      <c r="B356" s="201" t="n"/>
      <c r="C356" s="201" t="n"/>
      <c r="D356" s="201" t="n"/>
      <c r="E356" s="201" t="n"/>
      <c r="F356" s="201" t="n"/>
      <c r="G356" s="201" t="n"/>
      <c r="H356" s="201" t="n"/>
      <c r="I356" s="201" t="n"/>
      <c r="J356" s="201" t="n"/>
      <c r="K356" s="201" t="n"/>
      <c r="L356" s="201" t="n"/>
      <c r="M356" s="201" t="n"/>
      <c r="N356" s="201" t="n"/>
      <c r="O356" s="201" t="n"/>
      <c r="P356" s="201" t="n"/>
      <c r="Q356" s="201" t="n"/>
      <c r="R356" s="201" t="n"/>
    </row>
    <row r="357" ht="12.75" customHeight="1" s="202">
      <c r="A357" s="201" t="n"/>
      <c r="B357" s="201" t="n"/>
      <c r="C357" s="201" t="n"/>
      <c r="D357" s="201" t="n"/>
      <c r="E357" s="201" t="n"/>
      <c r="F357" s="201" t="n"/>
      <c r="G357" s="201" t="n"/>
      <c r="H357" s="201" t="n"/>
      <c r="I357" s="201" t="n"/>
      <c r="J357" s="201" t="n"/>
      <c r="K357" s="201" t="n"/>
      <c r="L357" s="201" t="n"/>
      <c r="M357" s="201" t="n"/>
      <c r="N357" s="201" t="n"/>
      <c r="O357" s="201" t="n"/>
      <c r="P357" s="201" t="n"/>
      <c r="Q357" s="201" t="n"/>
      <c r="R357" s="201" t="n"/>
    </row>
    <row r="358" ht="12.75" customHeight="1" s="202">
      <c r="A358" s="201" t="n"/>
      <c r="B358" s="201" t="n"/>
      <c r="C358" s="201" t="n"/>
      <c r="D358" s="201" t="n"/>
      <c r="E358" s="201" t="n"/>
      <c r="F358" s="201" t="n"/>
      <c r="G358" s="201" t="n"/>
      <c r="H358" s="201" t="n"/>
      <c r="I358" s="201" t="n"/>
      <c r="J358" s="201" t="n"/>
      <c r="K358" s="201" t="n"/>
      <c r="L358" s="201" t="n"/>
      <c r="M358" s="201" t="n"/>
      <c r="N358" s="201" t="n"/>
      <c r="O358" s="201" t="n"/>
      <c r="P358" s="201" t="n"/>
      <c r="Q358" s="201" t="n"/>
      <c r="R358" s="201" t="n"/>
    </row>
    <row r="359" ht="12.75" customHeight="1" s="202">
      <c r="A359" s="201" t="n"/>
      <c r="B359" s="201" t="n"/>
      <c r="C359" s="201" t="n"/>
      <c r="D359" s="201" t="n"/>
      <c r="E359" s="201" t="n"/>
      <c r="F359" s="201" t="n"/>
      <c r="G359" s="201" t="n"/>
      <c r="H359" s="201" t="n"/>
      <c r="I359" s="201" t="n"/>
      <c r="J359" s="201" t="n"/>
      <c r="K359" s="201" t="n"/>
      <c r="L359" s="201" t="n"/>
      <c r="M359" s="201" t="n"/>
      <c r="N359" s="201" t="n"/>
      <c r="O359" s="201" t="n"/>
      <c r="P359" s="201" t="n"/>
      <c r="Q359" s="201" t="n"/>
      <c r="R359" s="201" t="n"/>
    </row>
    <row r="360" ht="12.75" customHeight="1" s="202">
      <c r="A360" s="201" t="n"/>
      <c r="B360" s="201" t="n"/>
      <c r="C360" s="201" t="n"/>
      <c r="D360" s="201" t="n"/>
      <c r="E360" s="201" t="n"/>
      <c r="F360" s="201" t="n"/>
      <c r="G360" s="201" t="n"/>
      <c r="H360" s="201" t="n"/>
      <c r="I360" s="201" t="n"/>
      <c r="J360" s="201" t="n"/>
      <c r="K360" s="201" t="n"/>
      <c r="L360" s="201" t="n"/>
      <c r="M360" s="201" t="n"/>
      <c r="N360" s="201" t="n"/>
      <c r="O360" s="201" t="n"/>
      <c r="P360" s="201" t="n"/>
      <c r="Q360" s="201" t="n"/>
      <c r="R360" s="201" t="n"/>
    </row>
    <row r="361" ht="12.75" customHeight="1" s="202">
      <c r="A361" s="201" t="n"/>
      <c r="B361" s="201" t="n"/>
      <c r="C361" s="201" t="n"/>
      <c r="D361" s="201" t="n"/>
      <c r="E361" s="201" t="n"/>
      <c r="F361" s="201" t="n"/>
      <c r="G361" s="201" t="n"/>
      <c r="H361" s="201" t="n"/>
      <c r="I361" s="201" t="n"/>
      <c r="J361" s="201" t="n"/>
      <c r="K361" s="201" t="n"/>
      <c r="L361" s="201" t="n"/>
      <c r="M361" s="201" t="n"/>
      <c r="N361" s="201" t="n"/>
      <c r="O361" s="201" t="n"/>
      <c r="P361" s="201" t="n"/>
      <c r="Q361" s="201" t="n"/>
      <c r="R361" s="201" t="n"/>
    </row>
    <row r="362" ht="12.75" customHeight="1" s="202">
      <c r="A362" s="201" t="n"/>
      <c r="B362" s="201" t="n"/>
      <c r="C362" s="201" t="n"/>
      <c r="D362" s="201" t="n"/>
      <c r="E362" s="201" t="n"/>
      <c r="F362" s="201" t="n"/>
      <c r="G362" s="201" t="n"/>
      <c r="H362" s="201" t="n"/>
      <c r="I362" s="201" t="n"/>
      <c r="J362" s="201" t="n"/>
      <c r="K362" s="201" t="n"/>
      <c r="L362" s="201" t="n"/>
      <c r="M362" s="201" t="n"/>
      <c r="N362" s="201" t="n"/>
      <c r="O362" s="201" t="n"/>
      <c r="P362" s="201" t="n"/>
      <c r="Q362" s="201" t="n"/>
      <c r="R362" s="201" t="n"/>
    </row>
    <row r="363" ht="12.75" customHeight="1" s="202">
      <c r="A363" s="201" t="n"/>
      <c r="B363" s="201" t="n"/>
      <c r="C363" s="201" t="n"/>
      <c r="D363" s="201" t="n"/>
      <c r="E363" s="201" t="n"/>
      <c r="F363" s="201" t="n"/>
      <c r="G363" s="201" t="n"/>
      <c r="H363" s="201" t="n"/>
      <c r="I363" s="201" t="n"/>
      <c r="J363" s="201" t="n"/>
      <c r="K363" s="201" t="n"/>
      <c r="L363" s="201" t="n"/>
      <c r="M363" s="201" t="n"/>
      <c r="N363" s="201" t="n"/>
      <c r="O363" s="201" t="n"/>
      <c r="P363" s="201" t="n"/>
      <c r="Q363" s="201" t="n"/>
      <c r="R363" s="201" t="n"/>
    </row>
    <row r="364" ht="12.75" customHeight="1" s="202">
      <c r="A364" s="201" t="n"/>
      <c r="B364" s="201" t="n"/>
      <c r="C364" s="201" t="n"/>
      <c r="D364" s="201" t="n"/>
      <c r="E364" s="201" t="n"/>
      <c r="F364" s="201" t="n"/>
      <c r="G364" s="201" t="n"/>
      <c r="H364" s="201" t="n"/>
      <c r="I364" s="201" t="n"/>
      <c r="J364" s="201" t="n"/>
      <c r="K364" s="201" t="n"/>
      <c r="L364" s="201" t="n"/>
      <c r="M364" s="201" t="n"/>
      <c r="N364" s="201" t="n"/>
      <c r="O364" s="201" t="n"/>
      <c r="P364" s="201" t="n"/>
      <c r="Q364" s="201" t="n"/>
      <c r="R364" s="201" t="n"/>
    </row>
    <row r="365" ht="12.75" customHeight="1" s="202">
      <c r="A365" s="201" t="n"/>
      <c r="B365" s="201" t="n"/>
      <c r="C365" s="201" t="n"/>
      <c r="D365" s="201" t="n"/>
      <c r="E365" s="201" t="n"/>
      <c r="F365" s="201" t="n"/>
      <c r="G365" s="201" t="n"/>
      <c r="H365" s="201" t="n"/>
      <c r="I365" s="201" t="n"/>
      <c r="J365" s="201" t="n"/>
      <c r="K365" s="201" t="n"/>
      <c r="L365" s="201" t="n"/>
      <c r="M365" s="201" t="n"/>
      <c r="N365" s="201" t="n"/>
      <c r="O365" s="201" t="n"/>
      <c r="P365" s="201" t="n"/>
      <c r="Q365" s="201" t="n"/>
      <c r="R365" s="201" t="n"/>
    </row>
    <row r="366" ht="12.75" customHeight="1" s="202">
      <c r="A366" s="201" t="n"/>
      <c r="B366" s="201" t="n"/>
      <c r="C366" s="201" t="n"/>
      <c r="D366" s="201" t="n"/>
      <c r="E366" s="201" t="n"/>
      <c r="F366" s="201" t="n"/>
      <c r="G366" s="201" t="n"/>
      <c r="H366" s="201" t="n"/>
      <c r="I366" s="201" t="n"/>
      <c r="J366" s="201" t="n"/>
      <c r="K366" s="201" t="n"/>
      <c r="L366" s="201" t="n"/>
      <c r="M366" s="201" t="n"/>
      <c r="N366" s="201" t="n"/>
      <c r="O366" s="201" t="n"/>
      <c r="P366" s="201" t="n"/>
      <c r="Q366" s="201" t="n"/>
      <c r="R366" s="201" t="n"/>
    </row>
    <row r="367" ht="12.75" customHeight="1" s="202">
      <c r="A367" s="201" t="n"/>
      <c r="B367" s="201" t="n"/>
      <c r="C367" s="201" t="n"/>
      <c r="D367" s="201" t="n"/>
      <c r="E367" s="201" t="n"/>
      <c r="F367" s="201" t="n"/>
      <c r="G367" s="201" t="n"/>
      <c r="H367" s="201" t="n"/>
      <c r="I367" s="201" t="n"/>
      <c r="J367" s="201" t="n"/>
      <c r="K367" s="201" t="n"/>
      <c r="L367" s="201" t="n"/>
      <c r="M367" s="201" t="n"/>
      <c r="N367" s="201" t="n"/>
      <c r="O367" s="201" t="n"/>
      <c r="P367" s="201" t="n"/>
      <c r="Q367" s="201" t="n"/>
      <c r="R367" s="201" t="n"/>
    </row>
    <row r="368" ht="12.75" customHeight="1" s="202">
      <c r="A368" s="201" t="n"/>
      <c r="B368" s="201" t="n"/>
      <c r="C368" s="201" t="n"/>
      <c r="D368" s="201" t="n"/>
      <c r="E368" s="201" t="n"/>
      <c r="F368" s="201" t="n"/>
      <c r="G368" s="201" t="n"/>
      <c r="H368" s="201" t="n"/>
      <c r="I368" s="201" t="n"/>
      <c r="J368" s="201" t="n"/>
      <c r="K368" s="201" t="n"/>
      <c r="L368" s="201" t="n"/>
      <c r="M368" s="201" t="n"/>
      <c r="N368" s="201" t="n"/>
      <c r="O368" s="201" t="n"/>
      <c r="P368" s="201" t="n"/>
      <c r="Q368" s="201" t="n"/>
      <c r="R368" s="201" t="n"/>
    </row>
    <row r="369" ht="12.75" customHeight="1" s="202">
      <c r="A369" s="201" t="n"/>
      <c r="B369" s="201" t="n"/>
      <c r="C369" s="201" t="n"/>
      <c r="D369" s="201" t="n"/>
      <c r="E369" s="201" t="n"/>
      <c r="F369" s="201" t="n"/>
      <c r="G369" s="201" t="n"/>
      <c r="H369" s="201" t="n"/>
      <c r="I369" s="201" t="n"/>
      <c r="J369" s="201" t="n"/>
      <c r="K369" s="201" t="n"/>
      <c r="L369" s="201" t="n"/>
      <c r="M369" s="201" t="n"/>
      <c r="N369" s="201" t="n"/>
      <c r="O369" s="201" t="n"/>
      <c r="P369" s="201" t="n"/>
      <c r="Q369" s="201" t="n"/>
      <c r="R369" s="201" t="n"/>
    </row>
    <row r="370" ht="12.75" customHeight="1" s="202">
      <c r="A370" s="201" t="n"/>
      <c r="B370" s="201" t="n"/>
      <c r="C370" s="201" t="n"/>
      <c r="D370" s="201" t="n"/>
      <c r="E370" s="201" t="n"/>
      <c r="F370" s="201" t="n"/>
      <c r="G370" s="201" t="n"/>
      <c r="H370" s="201" t="n"/>
      <c r="I370" s="201" t="n"/>
      <c r="J370" s="201" t="n"/>
      <c r="K370" s="201" t="n"/>
      <c r="L370" s="201" t="n"/>
      <c r="M370" s="201" t="n"/>
      <c r="N370" s="201" t="n"/>
      <c r="O370" s="201" t="n"/>
      <c r="P370" s="201" t="n"/>
      <c r="Q370" s="201" t="n"/>
      <c r="R370" s="201" t="n"/>
    </row>
    <row r="371" ht="12.75" customHeight="1" s="202">
      <c r="A371" s="201" t="n"/>
      <c r="B371" s="201" t="n"/>
      <c r="C371" s="201" t="n"/>
      <c r="D371" s="201" t="n"/>
      <c r="E371" s="201" t="n"/>
      <c r="F371" s="201" t="n"/>
      <c r="G371" s="201" t="n"/>
      <c r="H371" s="201" t="n"/>
      <c r="I371" s="201" t="n"/>
      <c r="J371" s="201" t="n"/>
      <c r="K371" s="201" t="n"/>
      <c r="L371" s="201" t="n"/>
      <c r="M371" s="201" t="n"/>
      <c r="N371" s="201" t="n"/>
      <c r="O371" s="201" t="n"/>
      <c r="P371" s="201" t="n"/>
      <c r="Q371" s="201" t="n"/>
      <c r="R371" s="201" t="n"/>
    </row>
    <row r="372" ht="12.75" customHeight="1" s="202">
      <c r="A372" s="201" t="n"/>
      <c r="B372" s="201" t="n"/>
      <c r="C372" s="201" t="n"/>
      <c r="D372" s="201" t="n"/>
      <c r="E372" s="201" t="n"/>
      <c r="F372" s="201" t="n"/>
      <c r="G372" s="201" t="n"/>
      <c r="H372" s="201" t="n"/>
      <c r="I372" s="201" t="n"/>
      <c r="J372" s="201" t="n"/>
      <c r="K372" s="201" t="n"/>
      <c r="L372" s="201" t="n"/>
      <c r="M372" s="201" t="n"/>
      <c r="N372" s="201" t="n"/>
      <c r="O372" s="201" t="n"/>
      <c r="P372" s="201" t="n"/>
      <c r="Q372" s="201" t="n"/>
      <c r="R372" s="201" t="n"/>
    </row>
    <row r="373" ht="12.75" customHeight="1" s="202">
      <c r="A373" s="201" t="n"/>
      <c r="B373" s="201" t="n"/>
      <c r="C373" s="201" t="n"/>
      <c r="D373" s="201" t="n"/>
      <c r="E373" s="201" t="n"/>
      <c r="F373" s="201" t="n"/>
      <c r="G373" s="201" t="n"/>
      <c r="H373" s="201" t="n"/>
      <c r="I373" s="201" t="n"/>
      <c r="J373" s="201" t="n"/>
      <c r="K373" s="201" t="n"/>
      <c r="L373" s="201" t="n"/>
      <c r="M373" s="201" t="n"/>
      <c r="N373" s="201" t="n"/>
      <c r="O373" s="201" t="n"/>
      <c r="P373" s="201" t="n"/>
      <c r="Q373" s="201" t="n"/>
      <c r="R373" s="201" t="n"/>
    </row>
    <row r="374" ht="12.75" customHeight="1" s="202">
      <c r="A374" s="201" t="n"/>
      <c r="B374" s="201" t="n"/>
      <c r="C374" s="201" t="n"/>
      <c r="D374" s="201" t="n"/>
      <c r="E374" s="201" t="n"/>
      <c r="F374" s="201" t="n"/>
      <c r="G374" s="201" t="n"/>
      <c r="H374" s="201" t="n"/>
      <c r="I374" s="201" t="n"/>
      <c r="J374" s="201" t="n"/>
      <c r="K374" s="201" t="n"/>
      <c r="L374" s="201" t="n"/>
      <c r="M374" s="201" t="n"/>
      <c r="N374" s="201" t="n"/>
      <c r="O374" s="201" t="n"/>
      <c r="P374" s="201" t="n"/>
      <c r="Q374" s="201" t="n"/>
      <c r="R374" s="201" t="n"/>
    </row>
    <row r="375" ht="12.75" customHeight="1" s="202">
      <c r="A375" s="201" t="n"/>
      <c r="B375" s="201" t="n"/>
      <c r="C375" s="201" t="n"/>
      <c r="D375" s="201" t="n"/>
      <c r="E375" s="201" t="n"/>
      <c r="F375" s="201" t="n"/>
      <c r="G375" s="201" t="n"/>
      <c r="H375" s="201" t="n"/>
      <c r="I375" s="201" t="n"/>
      <c r="J375" s="201" t="n"/>
      <c r="K375" s="201" t="n"/>
      <c r="L375" s="201" t="n"/>
      <c r="M375" s="201" t="n"/>
      <c r="N375" s="201" t="n"/>
      <c r="O375" s="201" t="n"/>
      <c r="P375" s="201" t="n"/>
      <c r="Q375" s="201" t="n"/>
      <c r="R375" s="201" t="n"/>
    </row>
    <row r="376" ht="12.75" customHeight="1" s="202">
      <c r="A376" s="201" t="n"/>
      <c r="B376" s="201" t="n"/>
      <c r="C376" s="201" t="n"/>
      <c r="D376" s="201" t="n"/>
      <c r="E376" s="201" t="n"/>
      <c r="F376" s="201" t="n"/>
      <c r="G376" s="201" t="n"/>
      <c r="H376" s="201" t="n"/>
      <c r="I376" s="201" t="n"/>
      <c r="J376" s="201" t="n"/>
      <c r="K376" s="201" t="n"/>
      <c r="L376" s="201" t="n"/>
      <c r="M376" s="201" t="n"/>
      <c r="N376" s="201" t="n"/>
      <c r="O376" s="201" t="n"/>
      <c r="P376" s="201" t="n"/>
      <c r="Q376" s="201" t="n"/>
      <c r="R376" s="201" t="n"/>
    </row>
    <row r="377" ht="12.75" customHeight="1" s="202">
      <c r="A377" s="201" t="n"/>
      <c r="B377" s="201" t="n"/>
      <c r="C377" s="201" t="n"/>
      <c r="D377" s="201" t="n"/>
      <c r="E377" s="201" t="n"/>
      <c r="F377" s="201" t="n"/>
      <c r="G377" s="201" t="n"/>
      <c r="H377" s="201" t="n"/>
      <c r="I377" s="201" t="n"/>
      <c r="J377" s="201" t="n"/>
      <c r="K377" s="201" t="n"/>
      <c r="L377" s="201" t="n"/>
      <c r="M377" s="201" t="n"/>
      <c r="N377" s="201" t="n"/>
      <c r="O377" s="201" t="n"/>
      <c r="P377" s="201" t="n"/>
      <c r="Q377" s="201" t="n"/>
      <c r="R377" s="201" t="n"/>
    </row>
    <row r="378" ht="12.75" customHeight="1" s="202">
      <c r="A378" s="201" t="n"/>
      <c r="B378" s="201" t="n"/>
      <c r="C378" s="201" t="n"/>
      <c r="D378" s="201" t="n"/>
      <c r="E378" s="201" t="n"/>
      <c r="F378" s="201" t="n"/>
      <c r="G378" s="201" t="n"/>
      <c r="H378" s="201" t="n"/>
      <c r="I378" s="201" t="n"/>
      <c r="J378" s="201" t="n"/>
      <c r="K378" s="201" t="n"/>
      <c r="L378" s="201" t="n"/>
      <c r="M378" s="201" t="n"/>
      <c r="N378" s="201" t="n"/>
      <c r="O378" s="201" t="n"/>
      <c r="P378" s="201" t="n"/>
      <c r="Q378" s="201" t="n"/>
      <c r="R378" s="201" t="n"/>
    </row>
    <row r="379" ht="12.75" customHeight="1" s="202">
      <c r="A379" s="201" t="n"/>
      <c r="B379" s="201" t="n"/>
      <c r="C379" s="201" t="n"/>
      <c r="D379" s="201" t="n"/>
      <c r="E379" s="201" t="n"/>
      <c r="F379" s="201" t="n"/>
      <c r="G379" s="201" t="n"/>
      <c r="H379" s="201" t="n"/>
      <c r="I379" s="201" t="n"/>
      <c r="J379" s="201" t="n"/>
      <c r="K379" s="201" t="n"/>
      <c r="L379" s="201" t="n"/>
      <c r="M379" s="201" t="n"/>
      <c r="N379" s="201" t="n"/>
      <c r="O379" s="201" t="n"/>
      <c r="P379" s="201" t="n"/>
      <c r="Q379" s="201" t="n"/>
      <c r="R379" s="201" t="n"/>
    </row>
    <row r="380" ht="12.75" customHeight="1" s="202">
      <c r="A380" s="201" t="n"/>
      <c r="B380" s="201" t="n"/>
      <c r="C380" s="201" t="n"/>
      <c r="D380" s="201" t="n"/>
      <c r="E380" s="201" t="n"/>
      <c r="F380" s="201" t="n"/>
      <c r="G380" s="201" t="n"/>
      <c r="H380" s="201" t="n"/>
      <c r="I380" s="201" t="n"/>
      <c r="J380" s="201" t="n"/>
      <c r="K380" s="201" t="n"/>
      <c r="L380" s="201" t="n"/>
      <c r="M380" s="201" t="n"/>
      <c r="N380" s="201" t="n"/>
      <c r="O380" s="201" t="n"/>
      <c r="P380" s="201" t="n"/>
      <c r="Q380" s="201" t="n"/>
      <c r="R380" s="201" t="n"/>
    </row>
    <row r="381" ht="12.75" customHeight="1" s="202">
      <c r="A381" s="201" t="n"/>
      <c r="B381" s="201" t="n"/>
      <c r="C381" s="201" t="n"/>
      <c r="D381" s="201" t="n"/>
      <c r="E381" s="201" t="n"/>
      <c r="F381" s="201" t="n"/>
      <c r="G381" s="201" t="n"/>
      <c r="H381" s="201" t="n"/>
      <c r="I381" s="201" t="n"/>
      <c r="J381" s="201" t="n"/>
      <c r="K381" s="201" t="n"/>
      <c r="L381" s="201" t="n"/>
      <c r="M381" s="201" t="n"/>
      <c r="N381" s="201" t="n"/>
      <c r="O381" s="201" t="n"/>
      <c r="P381" s="201" t="n"/>
      <c r="Q381" s="201" t="n"/>
      <c r="R381" s="201" t="n"/>
    </row>
    <row r="382" ht="12.75" customHeight="1" s="202">
      <c r="A382" s="201" t="n"/>
      <c r="B382" s="201" t="n"/>
      <c r="C382" s="201" t="n"/>
      <c r="D382" s="201" t="n"/>
      <c r="E382" s="201" t="n"/>
      <c r="F382" s="201" t="n"/>
      <c r="G382" s="201" t="n"/>
      <c r="H382" s="201" t="n"/>
      <c r="I382" s="201" t="n"/>
      <c r="J382" s="201" t="n"/>
      <c r="K382" s="201" t="n"/>
      <c r="L382" s="201" t="n"/>
      <c r="M382" s="201" t="n"/>
      <c r="N382" s="201" t="n"/>
      <c r="O382" s="201" t="n"/>
      <c r="P382" s="201" t="n"/>
      <c r="Q382" s="201" t="n"/>
      <c r="R382" s="201" t="n"/>
    </row>
    <row r="383" ht="12.75" customHeight="1" s="202">
      <c r="A383" s="201" t="n"/>
      <c r="B383" s="201" t="n"/>
      <c r="C383" s="201" t="n"/>
      <c r="D383" s="201" t="n"/>
      <c r="E383" s="201" t="n"/>
      <c r="F383" s="201" t="n"/>
      <c r="G383" s="201" t="n"/>
      <c r="H383" s="201" t="n"/>
      <c r="I383" s="201" t="n"/>
      <c r="J383" s="201" t="n"/>
      <c r="K383" s="201" t="n"/>
      <c r="L383" s="201" t="n"/>
      <c r="M383" s="201" t="n"/>
      <c r="N383" s="201" t="n"/>
      <c r="O383" s="201" t="n"/>
      <c r="P383" s="201" t="n"/>
      <c r="Q383" s="201" t="n"/>
      <c r="R383" s="201" t="n"/>
    </row>
    <row r="384" ht="12.75" customHeight="1" s="202">
      <c r="A384" s="201" t="n"/>
      <c r="B384" s="201" t="n"/>
      <c r="C384" s="201" t="n"/>
      <c r="D384" s="201" t="n"/>
      <c r="E384" s="201" t="n"/>
      <c r="F384" s="201" t="n"/>
      <c r="G384" s="201" t="n"/>
      <c r="H384" s="201" t="n"/>
      <c r="I384" s="201" t="n"/>
      <c r="J384" s="201" t="n"/>
      <c r="K384" s="201" t="n"/>
      <c r="L384" s="201" t="n"/>
      <c r="M384" s="201" t="n"/>
      <c r="N384" s="201" t="n"/>
      <c r="O384" s="201" t="n"/>
      <c r="P384" s="201" t="n"/>
      <c r="Q384" s="201" t="n"/>
      <c r="R384" s="201" t="n"/>
    </row>
    <row r="385" ht="12.75" customHeight="1" s="202">
      <c r="A385" s="201" t="n"/>
      <c r="B385" s="201" t="n"/>
      <c r="C385" s="201" t="n"/>
      <c r="D385" s="201" t="n"/>
      <c r="E385" s="201" t="n"/>
      <c r="F385" s="201" t="n"/>
      <c r="G385" s="201" t="n"/>
      <c r="H385" s="201" t="n"/>
      <c r="I385" s="201" t="n"/>
      <c r="J385" s="201" t="n"/>
      <c r="K385" s="201" t="n"/>
      <c r="L385" s="201" t="n"/>
      <c r="M385" s="201" t="n"/>
      <c r="N385" s="201" t="n"/>
      <c r="O385" s="201" t="n"/>
      <c r="P385" s="201" t="n"/>
      <c r="Q385" s="201" t="n"/>
      <c r="R385" s="201" t="n"/>
    </row>
    <row r="386" ht="12.75" customHeight="1" s="202">
      <c r="A386" s="201" t="n"/>
      <c r="B386" s="201" t="n"/>
      <c r="C386" s="201" t="n"/>
      <c r="D386" s="201" t="n"/>
      <c r="E386" s="201" t="n"/>
      <c r="F386" s="201" t="n"/>
      <c r="G386" s="201" t="n"/>
      <c r="H386" s="201" t="n"/>
      <c r="I386" s="201" t="n"/>
      <c r="J386" s="201" t="n"/>
      <c r="K386" s="201" t="n"/>
      <c r="L386" s="201" t="n"/>
      <c r="M386" s="201" t="n"/>
      <c r="N386" s="201" t="n"/>
      <c r="O386" s="201" t="n"/>
      <c r="P386" s="201" t="n"/>
      <c r="Q386" s="201" t="n"/>
      <c r="R386" s="201" t="n"/>
    </row>
    <row r="387" ht="12.75" customHeight="1" s="202">
      <c r="A387" s="201" t="n"/>
      <c r="B387" s="201" t="n"/>
      <c r="C387" s="201" t="n"/>
      <c r="D387" s="201" t="n"/>
      <c r="E387" s="201" t="n"/>
      <c r="F387" s="201" t="n"/>
      <c r="G387" s="201" t="n"/>
      <c r="H387" s="201" t="n"/>
      <c r="I387" s="201" t="n"/>
      <c r="J387" s="201" t="n"/>
      <c r="K387" s="201" t="n"/>
      <c r="L387" s="201" t="n"/>
      <c r="M387" s="201" t="n"/>
      <c r="N387" s="201" t="n"/>
      <c r="O387" s="201" t="n"/>
      <c r="P387" s="201" t="n"/>
      <c r="Q387" s="201" t="n"/>
      <c r="R387" s="201" t="n"/>
    </row>
    <row r="388" ht="12.75" customHeight="1" s="202">
      <c r="A388" s="201" t="n"/>
      <c r="B388" s="201" t="n"/>
      <c r="C388" s="201" t="n"/>
      <c r="D388" s="201" t="n"/>
      <c r="E388" s="201" t="n"/>
      <c r="F388" s="201" t="n"/>
      <c r="G388" s="201" t="n"/>
      <c r="H388" s="201" t="n"/>
      <c r="I388" s="201" t="n"/>
      <c r="J388" s="201" t="n"/>
      <c r="K388" s="201" t="n"/>
      <c r="L388" s="201" t="n"/>
      <c r="M388" s="201" t="n"/>
      <c r="N388" s="201" t="n"/>
      <c r="O388" s="201" t="n"/>
      <c r="P388" s="201" t="n"/>
      <c r="Q388" s="201" t="n"/>
      <c r="R388" s="201" t="n"/>
    </row>
    <row r="389" ht="12.75" customHeight="1" s="202">
      <c r="A389" s="201" t="n"/>
      <c r="B389" s="201" t="n"/>
      <c r="C389" s="201" t="n"/>
      <c r="D389" s="201" t="n"/>
      <c r="E389" s="201" t="n"/>
      <c r="F389" s="201" t="n"/>
      <c r="G389" s="201" t="n"/>
      <c r="H389" s="201" t="n"/>
      <c r="I389" s="201" t="n"/>
      <c r="J389" s="201" t="n"/>
      <c r="K389" s="201" t="n"/>
      <c r="L389" s="201" t="n"/>
      <c r="M389" s="201" t="n"/>
      <c r="N389" s="201" t="n"/>
      <c r="O389" s="201" t="n"/>
      <c r="P389" s="201" t="n"/>
      <c r="Q389" s="201" t="n"/>
      <c r="R389" s="201" t="n"/>
    </row>
    <row r="390" ht="12.75" customHeight="1" s="202">
      <c r="A390" s="201" t="n"/>
      <c r="B390" s="201" t="n"/>
      <c r="C390" s="201" t="n"/>
      <c r="D390" s="201" t="n"/>
      <c r="E390" s="201" t="n"/>
      <c r="F390" s="201" t="n"/>
      <c r="G390" s="201" t="n"/>
      <c r="H390" s="201" t="n"/>
      <c r="I390" s="201" t="n"/>
      <c r="J390" s="201" t="n"/>
      <c r="K390" s="201" t="n"/>
      <c r="L390" s="201" t="n"/>
      <c r="M390" s="201" t="n"/>
      <c r="N390" s="201" t="n"/>
      <c r="O390" s="201" t="n"/>
      <c r="P390" s="201" t="n"/>
      <c r="Q390" s="201" t="n"/>
      <c r="R390" s="201" t="n"/>
    </row>
    <row r="391" ht="12.75" customHeight="1" s="202">
      <c r="A391" s="201" t="n"/>
      <c r="B391" s="201" t="n"/>
      <c r="C391" s="201" t="n"/>
      <c r="D391" s="201" t="n"/>
      <c r="E391" s="201" t="n"/>
      <c r="F391" s="201" t="n"/>
      <c r="G391" s="201" t="n"/>
      <c r="H391" s="201" t="n"/>
      <c r="I391" s="201" t="n"/>
      <c r="J391" s="201" t="n"/>
      <c r="K391" s="201" t="n"/>
      <c r="L391" s="201" t="n"/>
      <c r="M391" s="201" t="n"/>
      <c r="N391" s="201" t="n"/>
      <c r="O391" s="201" t="n"/>
      <c r="P391" s="201" t="n"/>
      <c r="Q391" s="201" t="n"/>
      <c r="R391" s="201" t="n"/>
    </row>
    <row r="392" ht="12.75" customHeight="1" s="202">
      <c r="A392" s="201" t="n"/>
      <c r="B392" s="201" t="n"/>
      <c r="C392" s="201" t="n"/>
      <c r="D392" s="201" t="n"/>
      <c r="E392" s="201" t="n"/>
      <c r="F392" s="201" t="n"/>
      <c r="G392" s="201" t="n"/>
      <c r="H392" s="201" t="n"/>
      <c r="I392" s="201" t="n"/>
      <c r="J392" s="201" t="n"/>
      <c r="K392" s="201" t="n"/>
      <c r="L392" s="201" t="n"/>
      <c r="M392" s="201" t="n"/>
      <c r="N392" s="201" t="n"/>
      <c r="O392" s="201" t="n"/>
      <c r="P392" s="201" t="n"/>
      <c r="Q392" s="201" t="n"/>
      <c r="R392" s="201" t="n"/>
    </row>
    <row r="393" ht="12.75" customHeight="1" s="202">
      <c r="A393" s="201" t="n"/>
      <c r="B393" s="201" t="n"/>
      <c r="C393" s="201" t="n"/>
      <c r="D393" s="201" t="n"/>
      <c r="E393" s="201" t="n"/>
      <c r="F393" s="201" t="n"/>
      <c r="G393" s="201" t="n"/>
      <c r="H393" s="201" t="n"/>
      <c r="I393" s="201" t="n"/>
      <c r="J393" s="201" t="n"/>
      <c r="K393" s="201" t="n"/>
      <c r="L393" s="201" t="n"/>
      <c r="M393" s="201" t="n"/>
      <c r="N393" s="201" t="n"/>
      <c r="O393" s="201" t="n"/>
      <c r="P393" s="201" t="n"/>
      <c r="Q393" s="201" t="n"/>
      <c r="R393" s="201" t="n"/>
    </row>
    <row r="394" ht="12.75" customHeight="1" s="202">
      <c r="A394" s="201" t="n"/>
      <c r="B394" s="201" t="n"/>
      <c r="C394" s="201" t="n"/>
      <c r="D394" s="201" t="n"/>
      <c r="E394" s="201" t="n"/>
      <c r="F394" s="201" t="n"/>
      <c r="G394" s="201" t="n"/>
      <c r="H394" s="201" t="n"/>
      <c r="I394" s="201" t="n"/>
      <c r="J394" s="201" t="n"/>
      <c r="K394" s="201" t="n"/>
      <c r="L394" s="201" t="n"/>
      <c r="M394" s="201" t="n"/>
      <c r="N394" s="201" t="n"/>
      <c r="O394" s="201" t="n"/>
      <c r="P394" s="201" t="n"/>
      <c r="Q394" s="201" t="n"/>
      <c r="R394" s="201" t="n"/>
    </row>
    <row r="395" ht="12.75" customHeight="1" s="202">
      <c r="A395" s="201" t="n"/>
      <c r="B395" s="201" t="n"/>
      <c r="C395" s="201" t="n"/>
      <c r="D395" s="201" t="n"/>
      <c r="E395" s="201" t="n"/>
      <c r="F395" s="201" t="n"/>
      <c r="G395" s="201" t="n"/>
      <c r="H395" s="201" t="n"/>
      <c r="I395" s="201" t="n"/>
      <c r="J395" s="201" t="n"/>
      <c r="K395" s="201" t="n"/>
      <c r="L395" s="201" t="n"/>
      <c r="M395" s="201" t="n"/>
      <c r="N395" s="201" t="n"/>
      <c r="O395" s="201" t="n"/>
      <c r="P395" s="201" t="n"/>
      <c r="Q395" s="201" t="n"/>
      <c r="R395" s="201" t="n"/>
    </row>
    <row r="396" ht="12.75" customHeight="1" s="202">
      <c r="A396" s="201" t="n"/>
      <c r="B396" s="201" t="n"/>
      <c r="C396" s="201" t="n"/>
      <c r="D396" s="201" t="n"/>
      <c r="E396" s="201" t="n"/>
      <c r="F396" s="201" t="n"/>
      <c r="G396" s="201" t="n"/>
      <c r="H396" s="201" t="n"/>
      <c r="I396" s="201" t="n"/>
      <c r="J396" s="201" t="n"/>
      <c r="K396" s="201" t="n"/>
      <c r="L396" s="201" t="n"/>
      <c r="M396" s="201" t="n"/>
      <c r="N396" s="201" t="n"/>
      <c r="O396" s="201" t="n"/>
      <c r="P396" s="201" t="n"/>
      <c r="Q396" s="201" t="n"/>
      <c r="R396" s="201" t="n"/>
    </row>
    <row r="397" ht="12.75" customHeight="1" s="202">
      <c r="A397" s="201" t="n"/>
      <c r="B397" s="201" t="n"/>
      <c r="C397" s="201" t="n"/>
      <c r="D397" s="201" t="n"/>
      <c r="E397" s="201" t="n"/>
      <c r="F397" s="201" t="n"/>
      <c r="G397" s="201" t="n"/>
      <c r="H397" s="201" t="n"/>
      <c r="I397" s="201" t="n"/>
      <c r="J397" s="201" t="n"/>
      <c r="K397" s="201" t="n"/>
      <c r="L397" s="201" t="n"/>
      <c r="M397" s="201" t="n"/>
      <c r="N397" s="201" t="n"/>
      <c r="O397" s="201" t="n"/>
      <c r="P397" s="201" t="n"/>
      <c r="Q397" s="201" t="n"/>
      <c r="R397" s="201" t="n"/>
    </row>
    <row r="398" ht="12.75" customHeight="1" s="202">
      <c r="A398" s="201" t="n"/>
      <c r="B398" s="201" t="n"/>
      <c r="C398" s="201" t="n"/>
      <c r="D398" s="201" t="n"/>
      <c r="E398" s="201" t="n"/>
      <c r="F398" s="201" t="n"/>
      <c r="G398" s="201" t="n"/>
      <c r="H398" s="201" t="n"/>
      <c r="I398" s="201" t="n"/>
      <c r="J398" s="201" t="n"/>
      <c r="K398" s="201" t="n"/>
      <c r="L398" s="201" t="n"/>
      <c r="M398" s="201" t="n"/>
      <c r="N398" s="201" t="n"/>
      <c r="O398" s="201" t="n"/>
      <c r="P398" s="201" t="n"/>
      <c r="Q398" s="201" t="n"/>
      <c r="R398" s="201" t="n"/>
    </row>
    <row r="399" ht="12.75" customHeight="1" s="202">
      <c r="A399" s="201" t="n"/>
      <c r="B399" s="201" t="n"/>
      <c r="C399" s="201" t="n"/>
      <c r="D399" s="201" t="n"/>
      <c r="E399" s="201" t="n"/>
      <c r="F399" s="201" t="n"/>
      <c r="G399" s="201" t="n"/>
      <c r="H399" s="201" t="n"/>
      <c r="I399" s="201" t="n"/>
      <c r="J399" s="201" t="n"/>
      <c r="K399" s="201" t="n"/>
      <c r="L399" s="201" t="n"/>
      <c r="M399" s="201" t="n"/>
      <c r="N399" s="201" t="n"/>
      <c r="O399" s="201" t="n"/>
      <c r="P399" s="201" t="n"/>
      <c r="Q399" s="201" t="n"/>
      <c r="R399" s="201" t="n"/>
    </row>
    <row r="400" ht="12.75" customHeight="1" s="202">
      <c r="A400" s="201" t="n"/>
      <c r="B400" s="201" t="n"/>
      <c r="C400" s="201" t="n"/>
      <c r="D400" s="201" t="n"/>
      <c r="E400" s="201" t="n"/>
      <c r="F400" s="201" t="n"/>
      <c r="G400" s="201" t="n"/>
      <c r="H400" s="201" t="n"/>
      <c r="I400" s="201" t="n"/>
      <c r="J400" s="201" t="n"/>
      <c r="K400" s="201" t="n"/>
      <c r="L400" s="201" t="n"/>
      <c r="M400" s="201" t="n"/>
      <c r="N400" s="201" t="n"/>
      <c r="O400" s="201" t="n"/>
      <c r="P400" s="201" t="n"/>
      <c r="Q400" s="201" t="n"/>
      <c r="R400" s="201" t="n"/>
    </row>
    <row r="401" ht="12.75" customHeight="1" s="202">
      <c r="A401" s="201" t="n"/>
      <c r="B401" s="201" t="n"/>
      <c r="C401" s="201" t="n"/>
      <c r="D401" s="201" t="n"/>
      <c r="E401" s="201" t="n"/>
      <c r="F401" s="201" t="n"/>
      <c r="G401" s="201" t="n"/>
      <c r="H401" s="201" t="n"/>
      <c r="I401" s="201" t="n"/>
      <c r="J401" s="201" t="n"/>
      <c r="K401" s="201" t="n"/>
      <c r="L401" s="201" t="n"/>
      <c r="M401" s="201" t="n"/>
      <c r="N401" s="201" t="n"/>
      <c r="O401" s="201" t="n"/>
      <c r="P401" s="201" t="n"/>
      <c r="Q401" s="201" t="n"/>
      <c r="R401" s="201" t="n"/>
    </row>
    <row r="402" ht="12.75" customHeight="1" s="202">
      <c r="A402" s="201" t="n"/>
      <c r="B402" s="201" t="n"/>
      <c r="C402" s="201" t="n"/>
      <c r="D402" s="201" t="n"/>
      <c r="E402" s="201" t="n"/>
      <c r="F402" s="201" t="n"/>
      <c r="G402" s="201" t="n"/>
      <c r="H402" s="201" t="n"/>
      <c r="I402" s="201" t="n"/>
      <c r="J402" s="201" t="n"/>
      <c r="K402" s="201" t="n"/>
      <c r="L402" s="201" t="n"/>
      <c r="M402" s="201" t="n"/>
      <c r="N402" s="201" t="n"/>
      <c r="O402" s="201" t="n"/>
      <c r="P402" s="201" t="n"/>
      <c r="Q402" s="201" t="n"/>
      <c r="R402" s="201" t="n"/>
    </row>
    <row r="403" ht="12.75" customHeight="1" s="202">
      <c r="A403" s="201" t="n"/>
      <c r="B403" s="201" t="n"/>
      <c r="C403" s="201" t="n"/>
      <c r="D403" s="201" t="n"/>
      <c r="E403" s="201" t="n"/>
      <c r="F403" s="201" t="n"/>
      <c r="G403" s="201" t="n"/>
      <c r="H403" s="201" t="n"/>
      <c r="I403" s="201" t="n"/>
      <c r="J403" s="201" t="n"/>
      <c r="K403" s="201" t="n"/>
      <c r="L403" s="201" t="n"/>
      <c r="M403" s="201" t="n"/>
      <c r="N403" s="201" t="n"/>
      <c r="O403" s="201" t="n"/>
      <c r="P403" s="201" t="n"/>
      <c r="Q403" s="201" t="n"/>
      <c r="R403" s="201" t="n"/>
    </row>
    <row r="404" ht="12.75" customHeight="1" s="202">
      <c r="A404" s="201" t="n"/>
      <c r="B404" s="201" t="n"/>
      <c r="C404" s="201" t="n"/>
      <c r="D404" s="201" t="n"/>
      <c r="E404" s="201" t="n"/>
      <c r="F404" s="201" t="n"/>
      <c r="G404" s="201" t="n"/>
      <c r="H404" s="201" t="n"/>
      <c r="I404" s="201" t="n"/>
      <c r="J404" s="201" t="n"/>
      <c r="K404" s="201" t="n"/>
      <c r="L404" s="201" t="n"/>
      <c r="M404" s="201" t="n"/>
      <c r="N404" s="201" t="n"/>
      <c r="O404" s="201" t="n"/>
      <c r="P404" s="201" t="n"/>
      <c r="Q404" s="201" t="n"/>
      <c r="R404" s="201" t="n"/>
    </row>
    <row r="405" ht="12.75" customHeight="1" s="202">
      <c r="A405" s="201" t="n"/>
      <c r="B405" s="201" t="n"/>
      <c r="C405" s="201" t="n"/>
      <c r="D405" s="201" t="n"/>
      <c r="E405" s="201" t="n"/>
      <c r="F405" s="201" t="n"/>
      <c r="G405" s="201" t="n"/>
      <c r="H405" s="201" t="n"/>
      <c r="I405" s="201" t="n"/>
      <c r="J405" s="201" t="n"/>
      <c r="K405" s="201" t="n"/>
      <c r="L405" s="201" t="n"/>
      <c r="M405" s="201" t="n"/>
      <c r="N405" s="201" t="n"/>
      <c r="O405" s="201" t="n"/>
      <c r="P405" s="201" t="n"/>
      <c r="Q405" s="201" t="n"/>
      <c r="R405" s="201" t="n"/>
    </row>
    <row r="406" ht="12.75" customHeight="1" s="202">
      <c r="A406" s="201" t="n"/>
      <c r="B406" s="201" t="n"/>
      <c r="C406" s="201" t="n"/>
      <c r="D406" s="201" t="n"/>
      <c r="E406" s="201" t="n"/>
      <c r="F406" s="201" t="n"/>
      <c r="G406" s="201" t="n"/>
      <c r="H406" s="201" t="n"/>
      <c r="I406" s="201" t="n"/>
      <c r="J406" s="201" t="n"/>
      <c r="K406" s="201" t="n"/>
      <c r="L406" s="201" t="n"/>
      <c r="M406" s="201" t="n"/>
      <c r="N406" s="201" t="n"/>
      <c r="O406" s="201" t="n"/>
      <c r="P406" s="201" t="n"/>
      <c r="Q406" s="201" t="n"/>
      <c r="R406" s="201" t="n"/>
    </row>
    <row r="407" ht="12.75" customHeight="1" s="202">
      <c r="A407" s="201" t="n"/>
      <c r="B407" s="201" t="n"/>
      <c r="C407" s="201" t="n"/>
      <c r="D407" s="201" t="n"/>
      <c r="E407" s="201" t="n"/>
      <c r="F407" s="201" t="n"/>
      <c r="G407" s="201" t="n"/>
      <c r="H407" s="201" t="n"/>
      <c r="I407" s="201" t="n"/>
      <c r="J407" s="201" t="n"/>
      <c r="K407" s="201" t="n"/>
      <c r="L407" s="201" t="n"/>
      <c r="M407" s="201" t="n"/>
      <c r="N407" s="201" t="n"/>
      <c r="O407" s="201" t="n"/>
      <c r="P407" s="201" t="n"/>
      <c r="Q407" s="201" t="n"/>
      <c r="R407" s="201" t="n"/>
    </row>
    <row r="408" ht="12.75" customHeight="1" s="202">
      <c r="A408" s="201" t="n"/>
      <c r="B408" s="201" t="n"/>
      <c r="C408" s="201" t="n"/>
      <c r="D408" s="201" t="n"/>
      <c r="E408" s="201" t="n"/>
      <c r="F408" s="201" t="n"/>
      <c r="G408" s="201" t="n"/>
      <c r="H408" s="201" t="n"/>
      <c r="I408" s="201" t="n"/>
      <c r="J408" s="201" t="n"/>
      <c r="K408" s="201" t="n"/>
      <c r="L408" s="201" t="n"/>
      <c r="M408" s="201" t="n"/>
      <c r="N408" s="201" t="n"/>
      <c r="O408" s="201" t="n"/>
      <c r="P408" s="201" t="n"/>
      <c r="Q408" s="201" t="n"/>
      <c r="R408" s="201" t="n"/>
    </row>
    <row r="409" ht="12.75" customHeight="1" s="202">
      <c r="A409" s="201" t="n"/>
      <c r="B409" s="201" t="n"/>
      <c r="C409" s="201" t="n"/>
      <c r="D409" s="201" t="n"/>
      <c r="E409" s="201" t="n"/>
      <c r="F409" s="201" t="n"/>
      <c r="G409" s="201" t="n"/>
      <c r="H409" s="201" t="n"/>
      <c r="I409" s="201" t="n"/>
      <c r="J409" s="201" t="n"/>
      <c r="K409" s="201" t="n"/>
      <c r="L409" s="201" t="n"/>
      <c r="M409" s="201" t="n"/>
      <c r="N409" s="201" t="n"/>
      <c r="O409" s="201" t="n"/>
      <c r="P409" s="201" t="n"/>
      <c r="Q409" s="201" t="n"/>
      <c r="R409" s="201" t="n"/>
    </row>
    <row r="410" ht="12.75" customHeight="1" s="202">
      <c r="A410" s="201" t="n"/>
      <c r="B410" s="201" t="n"/>
      <c r="C410" s="201" t="n"/>
      <c r="D410" s="201" t="n"/>
      <c r="E410" s="201" t="n"/>
      <c r="F410" s="201" t="n"/>
      <c r="G410" s="201" t="n"/>
      <c r="H410" s="201" t="n"/>
      <c r="I410" s="201" t="n"/>
      <c r="J410" s="201" t="n"/>
      <c r="K410" s="201" t="n"/>
      <c r="L410" s="201" t="n"/>
      <c r="M410" s="201" t="n"/>
      <c r="N410" s="201" t="n"/>
      <c r="O410" s="201" t="n"/>
      <c r="P410" s="201" t="n"/>
      <c r="Q410" s="201" t="n"/>
      <c r="R410" s="201" t="n"/>
    </row>
    <row r="411" ht="12.75" customHeight="1" s="202">
      <c r="A411" s="201" t="n"/>
      <c r="B411" s="201" t="n"/>
      <c r="C411" s="201" t="n"/>
      <c r="D411" s="201" t="n"/>
      <c r="E411" s="201" t="n"/>
      <c r="F411" s="201" t="n"/>
      <c r="G411" s="201" t="n"/>
      <c r="H411" s="201" t="n"/>
      <c r="I411" s="201" t="n"/>
      <c r="J411" s="201" t="n"/>
      <c r="K411" s="201" t="n"/>
      <c r="L411" s="201" t="n"/>
      <c r="M411" s="201" t="n"/>
      <c r="N411" s="201" t="n"/>
      <c r="O411" s="201" t="n"/>
      <c r="P411" s="201" t="n"/>
      <c r="Q411" s="201" t="n"/>
      <c r="R411" s="201" t="n"/>
    </row>
    <row r="412" ht="12.75" customHeight="1" s="202">
      <c r="A412" s="201" t="n"/>
      <c r="B412" s="201" t="n"/>
      <c r="C412" s="201" t="n"/>
      <c r="D412" s="201" t="n"/>
      <c r="E412" s="201" t="n"/>
      <c r="F412" s="201" t="n"/>
      <c r="G412" s="201" t="n"/>
      <c r="H412" s="201" t="n"/>
      <c r="I412" s="201" t="n"/>
      <c r="J412" s="201" t="n"/>
      <c r="K412" s="201" t="n"/>
      <c r="L412" s="201" t="n"/>
      <c r="M412" s="201" t="n"/>
      <c r="N412" s="201" t="n"/>
      <c r="O412" s="201" t="n"/>
      <c r="P412" s="201" t="n"/>
      <c r="Q412" s="201" t="n"/>
      <c r="R412" s="201" t="n"/>
    </row>
    <row r="413" ht="12.75" customHeight="1" s="202">
      <c r="A413" s="201" t="n"/>
      <c r="B413" s="201" t="n"/>
      <c r="C413" s="201" t="n"/>
      <c r="D413" s="201" t="n"/>
      <c r="E413" s="201" t="n"/>
      <c r="F413" s="201" t="n"/>
      <c r="G413" s="201" t="n"/>
      <c r="H413" s="201" t="n"/>
      <c r="I413" s="201" t="n"/>
      <c r="J413" s="201" t="n"/>
      <c r="K413" s="201" t="n"/>
      <c r="L413" s="201" t="n"/>
      <c r="M413" s="201" t="n"/>
      <c r="N413" s="201" t="n"/>
      <c r="O413" s="201" t="n"/>
      <c r="P413" s="201" t="n"/>
      <c r="Q413" s="201" t="n"/>
      <c r="R413" s="201" t="n"/>
    </row>
    <row r="414" ht="12.75" customHeight="1" s="202">
      <c r="A414" s="201" t="n"/>
      <c r="B414" s="201" t="n"/>
      <c r="C414" s="201" t="n"/>
      <c r="D414" s="201" t="n"/>
      <c r="E414" s="201" t="n"/>
      <c r="F414" s="201" t="n"/>
      <c r="G414" s="201" t="n"/>
      <c r="H414" s="201" t="n"/>
      <c r="I414" s="201" t="n"/>
      <c r="J414" s="201" t="n"/>
      <c r="K414" s="201" t="n"/>
      <c r="L414" s="201" t="n"/>
      <c r="M414" s="201" t="n"/>
      <c r="N414" s="201" t="n"/>
      <c r="O414" s="201" t="n"/>
      <c r="P414" s="201" t="n"/>
      <c r="Q414" s="201" t="n"/>
      <c r="R414" s="201" t="n"/>
    </row>
    <row r="415" ht="12.75" customHeight="1" s="202">
      <c r="A415" s="201" t="n"/>
      <c r="B415" s="201" t="n"/>
      <c r="C415" s="201" t="n"/>
      <c r="D415" s="201" t="n"/>
      <c r="E415" s="201" t="n"/>
      <c r="F415" s="201" t="n"/>
      <c r="G415" s="201" t="n"/>
      <c r="H415" s="201" t="n"/>
      <c r="I415" s="201" t="n"/>
      <c r="J415" s="201" t="n"/>
      <c r="K415" s="201" t="n"/>
      <c r="L415" s="201" t="n"/>
      <c r="M415" s="201" t="n"/>
      <c r="N415" s="201" t="n"/>
      <c r="O415" s="201" t="n"/>
      <c r="P415" s="201" t="n"/>
      <c r="Q415" s="201" t="n"/>
      <c r="R415" s="201" t="n"/>
    </row>
    <row r="416" ht="12.75" customHeight="1" s="202">
      <c r="A416" s="201" t="n"/>
      <c r="B416" s="201" t="n"/>
      <c r="C416" s="201" t="n"/>
      <c r="D416" s="201" t="n"/>
      <c r="E416" s="201" t="n"/>
      <c r="F416" s="201" t="n"/>
      <c r="G416" s="201" t="n"/>
      <c r="H416" s="201" t="n"/>
      <c r="I416" s="201" t="n"/>
      <c r="J416" s="201" t="n"/>
      <c r="K416" s="201" t="n"/>
      <c r="L416" s="201" t="n"/>
      <c r="M416" s="201" t="n"/>
      <c r="N416" s="201" t="n"/>
      <c r="O416" s="201" t="n"/>
      <c r="P416" s="201" t="n"/>
      <c r="Q416" s="201" t="n"/>
      <c r="R416" s="201" t="n"/>
    </row>
    <row r="417" ht="12.75" customHeight="1" s="202">
      <c r="A417" s="201" t="n"/>
      <c r="B417" s="201" t="n"/>
      <c r="C417" s="201" t="n"/>
      <c r="D417" s="201" t="n"/>
      <c r="E417" s="201" t="n"/>
      <c r="F417" s="201" t="n"/>
      <c r="G417" s="201" t="n"/>
      <c r="H417" s="201" t="n"/>
      <c r="I417" s="201" t="n"/>
      <c r="J417" s="201" t="n"/>
      <c r="K417" s="201" t="n"/>
      <c r="L417" s="201" t="n"/>
      <c r="M417" s="201" t="n"/>
      <c r="N417" s="201" t="n"/>
      <c r="O417" s="201" t="n"/>
      <c r="P417" s="201" t="n"/>
      <c r="Q417" s="201" t="n"/>
      <c r="R417" s="201" t="n"/>
    </row>
    <row r="418" ht="12.75" customHeight="1" s="202">
      <c r="A418" s="201" t="n"/>
      <c r="B418" s="201" t="n"/>
      <c r="C418" s="201" t="n"/>
      <c r="D418" s="201" t="n"/>
      <c r="E418" s="201" t="n"/>
      <c r="F418" s="201" t="n"/>
      <c r="G418" s="201" t="n"/>
      <c r="H418" s="201" t="n"/>
      <c r="I418" s="201" t="n"/>
      <c r="J418" s="201" t="n"/>
      <c r="K418" s="201" t="n"/>
      <c r="L418" s="201" t="n"/>
      <c r="M418" s="201" t="n"/>
      <c r="N418" s="201" t="n"/>
      <c r="O418" s="201" t="n"/>
      <c r="P418" s="201" t="n"/>
      <c r="Q418" s="201" t="n"/>
      <c r="R418" s="201" t="n"/>
    </row>
    <row r="419" ht="12.75" customHeight="1" s="202">
      <c r="A419" s="201" t="n"/>
      <c r="B419" s="201" t="n"/>
      <c r="C419" s="201" t="n"/>
      <c r="D419" s="201" t="n"/>
      <c r="E419" s="201" t="n"/>
      <c r="F419" s="201" t="n"/>
      <c r="G419" s="201" t="n"/>
      <c r="H419" s="201" t="n"/>
      <c r="I419" s="201" t="n"/>
      <c r="J419" s="201" t="n"/>
      <c r="K419" s="201" t="n"/>
      <c r="L419" s="201" t="n"/>
      <c r="M419" s="201" t="n"/>
      <c r="N419" s="201" t="n"/>
      <c r="O419" s="201" t="n"/>
      <c r="P419" s="201" t="n"/>
      <c r="Q419" s="201" t="n"/>
      <c r="R419" s="201" t="n"/>
    </row>
    <row r="420" ht="12.75" customHeight="1" s="202">
      <c r="A420" s="201" t="n"/>
      <c r="B420" s="201" t="n"/>
      <c r="C420" s="201" t="n"/>
      <c r="D420" s="201" t="n"/>
      <c r="E420" s="201" t="n"/>
      <c r="F420" s="201" t="n"/>
      <c r="G420" s="201" t="n"/>
      <c r="H420" s="201" t="n"/>
      <c r="I420" s="201" t="n"/>
      <c r="J420" s="201" t="n"/>
      <c r="K420" s="201" t="n"/>
      <c r="L420" s="201" t="n"/>
      <c r="M420" s="201" t="n"/>
      <c r="N420" s="201" t="n"/>
      <c r="O420" s="201" t="n"/>
      <c r="P420" s="201" t="n"/>
      <c r="Q420" s="201" t="n"/>
      <c r="R420" s="201" t="n"/>
    </row>
    <row r="421" ht="12.75" customHeight="1" s="202">
      <c r="A421" s="201" t="n"/>
      <c r="B421" s="201" t="n"/>
      <c r="C421" s="201" t="n"/>
      <c r="D421" s="201" t="n"/>
      <c r="E421" s="201" t="n"/>
      <c r="F421" s="201" t="n"/>
      <c r="G421" s="201" t="n"/>
      <c r="H421" s="201" t="n"/>
      <c r="I421" s="201" t="n"/>
      <c r="J421" s="201" t="n"/>
      <c r="K421" s="201" t="n"/>
      <c r="L421" s="201" t="n"/>
      <c r="M421" s="201" t="n"/>
      <c r="N421" s="201" t="n"/>
      <c r="O421" s="201" t="n"/>
      <c r="P421" s="201" t="n"/>
      <c r="Q421" s="201" t="n"/>
      <c r="R421" s="201" t="n"/>
    </row>
    <row r="422" ht="12.75" customHeight="1" s="202">
      <c r="A422" s="201" t="n"/>
      <c r="B422" s="201" t="n"/>
      <c r="C422" s="201" t="n"/>
      <c r="D422" s="201" t="n"/>
      <c r="E422" s="201" t="n"/>
      <c r="F422" s="201" t="n"/>
      <c r="G422" s="201" t="n"/>
      <c r="H422" s="201" t="n"/>
      <c r="I422" s="201" t="n"/>
      <c r="J422" s="201" t="n"/>
      <c r="K422" s="201" t="n"/>
      <c r="L422" s="201" t="n"/>
      <c r="M422" s="201" t="n"/>
      <c r="N422" s="201" t="n"/>
      <c r="O422" s="201" t="n"/>
      <c r="P422" s="201" t="n"/>
      <c r="Q422" s="201" t="n"/>
      <c r="R422" s="201" t="n"/>
    </row>
    <row r="423" ht="12.75" customHeight="1" s="202">
      <c r="A423" s="201" t="n"/>
      <c r="B423" s="201" t="n"/>
      <c r="C423" s="201" t="n"/>
      <c r="D423" s="201" t="n"/>
      <c r="E423" s="201" t="n"/>
      <c r="F423" s="201" t="n"/>
      <c r="G423" s="201" t="n"/>
      <c r="H423" s="201" t="n"/>
      <c r="I423" s="201" t="n"/>
      <c r="J423" s="201" t="n"/>
      <c r="K423" s="201" t="n"/>
      <c r="L423" s="201" t="n"/>
      <c r="M423" s="201" t="n"/>
      <c r="N423" s="201" t="n"/>
      <c r="O423" s="201" t="n"/>
      <c r="P423" s="201" t="n"/>
      <c r="Q423" s="201" t="n"/>
      <c r="R423" s="201" t="n"/>
    </row>
    <row r="424" ht="12.75" customHeight="1" s="202">
      <c r="A424" s="201" t="n"/>
      <c r="B424" s="201" t="n"/>
      <c r="C424" s="201" t="n"/>
      <c r="D424" s="201" t="n"/>
      <c r="E424" s="201" t="n"/>
      <c r="F424" s="201" t="n"/>
      <c r="G424" s="201" t="n"/>
      <c r="H424" s="201" t="n"/>
      <c r="I424" s="201" t="n"/>
      <c r="J424" s="201" t="n"/>
      <c r="K424" s="201" t="n"/>
      <c r="L424" s="201" t="n"/>
      <c r="M424" s="201" t="n"/>
      <c r="N424" s="201" t="n"/>
      <c r="O424" s="201" t="n"/>
      <c r="P424" s="201" t="n"/>
      <c r="Q424" s="201" t="n"/>
      <c r="R424" s="201" t="n"/>
    </row>
    <row r="425" ht="12.75" customHeight="1" s="202">
      <c r="A425" s="201" t="n"/>
      <c r="B425" s="201" t="n"/>
      <c r="C425" s="201" t="n"/>
      <c r="D425" s="201" t="n"/>
      <c r="E425" s="201" t="n"/>
      <c r="F425" s="201" t="n"/>
      <c r="G425" s="201" t="n"/>
      <c r="H425" s="201" t="n"/>
      <c r="I425" s="201" t="n"/>
      <c r="J425" s="201" t="n"/>
      <c r="K425" s="201" t="n"/>
      <c r="L425" s="201" t="n"/>
      <c r="M425" s="201" t="n"/>
      <c r="N425" s="201" t="n"/>
      <c r="O425" s="201" t="n"/>
      <c r="P425" s="201" t="n"/>
      <c r="Q425" s="201" t="n"/>
      <c r="R425" s="201" t="n"/>
    </row>
    <row r="426" ht="12.75" customHeight="1" s="202">
      <c r="A426" s="201" t="n"/>
      <c r="B426" s="201" t="n"/>
      <c r="C426" s="201" t="n"/>
      <c r="D426" s="201" t="n"/>
      <c r="E426" s="201" t="n"/>
      <c r="F426" s="201" t="n"/>
      <c r="G426" s="201" t="n"/>
      <c r="H426" s="201" t="n"/>
      <c r="I426" s="201" t="n"/>
      <c r="J426" s="201" t="n"/>
      <c r="K426" s="201" t="n"/>
      <c r="L426" s="201" t="n"/>
      <c r="M426" s="201" t="n"/>
      <c r="N426" s="201" t="n"/>
      <c r="O426" s="201" t="n"/>
      <c r="P426" s="201" t="n"/>
      <c r="Q426" s="201" t="n"/>
      <c r="R426" s="201" t="n"/>
    </row>
    <row r="427" ht="12.75" customHeight="1" s="202">
      <c r="A427" s="201" t="n"/>
      <c r="B427" s="201" t="n"/>
      <c r="C427" s="201" t="n"/>
      <c r="D427" s="201" t="n"/>
      <c r="E427" s="201" t="n"/>
      <c r="F427" s="201" t="n"/>
      <c r="G427" s="201" t="n"/>
      <c r="H427" s="201" t="n"/>
      <c r="I427" s="201" t="n"/>
      <c r="J427" s="201" t="n"/>
      <c r="K427" s="201" t="n"/>
      <c r="L427" s="201" t="n"/>
      <c r="M427" s="201" t="n"/>
      <c r="N427" s="201" t="n"/>
      <c r="O427" s="201" t="n"/>
      <c r="P427" s="201" t="n"/>
      <c r="Q427" s="201" t="n"/>
      <c r="R427" s="201" t="n"/>
    </row>
    <row r="428" ht="12.75" customHeight="1" s="202">
      <c r="A428" s="201" t="n"/>
      <c r="B428" s="201" t="n"/>
      <c r="C428" s="201" t="n"/>
      <c r="D428" s="201" t="n"/>
      <c r="E428" s="201" t="n"/>
      <c r="F428" s="201" t="n"/>
      <c r="G428" s="201" t="n"/>
      <c r="H428" s="201" t="n"/>
      <c r="I428" s="201" t="n"/>
      <c r="J428" s="201" t="n"/>
      <c r="K428" s="201" t="n"/>
      <c r="L428" s="201" t="n"/>
      <c r="M428" s="201" t="n"/>
      <c r="N428" s="201" t="n"/>
      <c r="O428" s="201" t="n"/>
      <c r="P428" s="201" t="n"/>
      <c r="Q428" s="201" t="n"/>
      <c r="R428" s="201" t="n"/>
    </row>
    <row r="429" ht="12.75" customHeight="1" s="202">
      <c r="A429" s="201" t="n"/>
      <c r="B429" s="201" t="n"/>
      <c r="C429" s="201" t="n"/>
      <c r="D429" s="201" t="n"/>
      <c r="E429" s="201" t="n"/>
      <c r="F429" s="201" t="n"/>
      <c r="G429" s="201" t="n"/>
      <c r="H429" s="201" t="n"/>
      <c r="I429" s="201" t="n"/>
      <c r="J429" s="201" t="n"/>
      <c r="K429" s="201" t="n"/>
      <c r="L429" s="201" t="n"/>
      <c r="M429" s="201" t="n"/>
      <c r="N429" s="201" t="n"/>
      <c r="O429" s="201" t="n"/>
      <c r="P429" s="201" t="n"/>
      <c r="Q429" s="201" t="n"/>
      <c r="R429" s="201" t="n"/>
    </row>
    <row r="430" ht="12.75" customHeight="1" s="202">
      <c r="A430" s="201" t="n"/>
      <c r="B430" s="201" t="n"/>
      <c r="C430" s="201" t="n"/>
      <c r="D430" s="201" t="n"/>
      <c r="E430" s="201" t="n"/>
      <c r="F430" s="201" t="n"/>
      <c r="G430" s="201" t="n"/>
      <c r="H430" s="201" t="n"/>
      <c r="I430" s="201" t="n"/>
      <c r="J430" s="201" t="n"/>
      <c r="K430" s="201" t="n"/>
      <c r="L430" s="201" t="n"/>
      <c r="M430" s="201" t="n"/>
      <c r="N430" s="201" t="n"/>
      <c r="O430" s="201" t="n"/>
      <c r="P430" s="201" t="n"/>
      <c r="Q430" s="201" t="n"/>
      <c r="R430" s="201" t="n"/>
    </row>
    <row r="431" ht="12.75" customHeight="1" s="202">
      <c r="A431" s="201" t="n"/>
      <c r="B431" s="201" t="n"/>
      <c r="C431" s="201" t="n"/>
      <c r="D431" s="201" t="n"/>
      <c r="E431" s="201" t="n"/>
      <c r="F431" s="201" t="n"/>
      <c r="G431" s="201" t="n"/>
      <c r="H431" s="201" t="n"/>
      <c r="I431" s="201" t="n"/>
      <c r="J431" s="201" t="n"/>
      <c r="K431" s="201" t="n"/>
      <c r="L431" s="201" t="n"/>
      <c r="M431" s="201" t="n"/>
      <c r="N431" s="201" t="n"/>
      <c r="O431" s="201" t="n"/>
      <c r="P431" s="201" t="n"/>
      <c r="Q431" s="201" t="n"/>
      <c r="R431" s="201" t="n"/>
    </row>
    <row r="432" ht="12.75" customHeight="1" s="202">
      <c r="A432" s="201" t="n"/>
      <c r="B432" s="201" t="n"/>
      <c r="C432" s="201" t="n"/>
      <c r="D432" s="201" t="n"/>
      <c r="E432" s="201" t="n"/>
      <c r="F432" s="201" t="n"/>
      <c r="G432" s="201" t="n"/>
      <c r="H432" s="201" t="n"/>
      <c r="I432" s="201" t="n"/>
      <c r="J432" s="201" t="n"/>
      <c r="K432" s="201" t="n"/>
      <c r="L432" s="201" t="n"/>
      <c r="M432" s="201" t="n"/>
      <c r="N432" s="201" t="n"/>
      <c r="O432" s="201" t="n"/>
      <c r="P432" s="201" t="n"/>
      <c r="Q432" s="201" t="n"/>
      <c r="R432" s="201" t="n"/>
    </row>
    <row r="433" ht="12.75" customHeight="1" s="202">
      <c r="A433" s="201" t="n"/>
      <c r="B433" s="201" t="n"/>
      <c r="C433" s="201" t="n"/>
      <c r="D433" s="201" t="n"/>
      <c r="E433" s="201" t="n"/>
      <c r="F433" s="201" t="n"/>
      <c r="G433" s="201" t="n"/>
      <c r="H433" s="201" t="n"/>
      <c r="I433" s="201" t="n"/>
      <c r="J433" s="201" t="n"/>
      <c r="K433" s="201" t="n"/>
      <c r="L433" s="201" t="n"/>
      <c r="M433" s="201" t="n"/>
      <c r="N433" s="201" t="n"/>
      <c r="O433" s="201" t="n"/>
      <c r="P433" s="201" t="n"/>
      <c r="Q433" s="201" t="n"/>
      <c r="R433" s="201" t="n"/>
    </row>
    <row r="434" ht="12.75" customHeight="1" s="202">
      <c r="A434" s="201" t="n"/>
      <c r="B434" s="201" t="n"/>
      <c r="C434" s="201" t="n"/>
      <c r="D434" s="201" t="n"/>
      <c r="E434" s="201" t="n"/>
      <c r="F434" s="201" t="n"/>
      <c r="G434" s="201" t="n"/>
      <c r="H434" s="201" t="n"/>
      <c r="I434" s="201" t="n"/>
      <c r="J434" s="201" t="n"/>
      <c r="K434" s="201" t="n"/>
      <c r="L434" s="201" t="n"/>
      <c r="M434" s="201" t="n"/>
      <c r="N434" s="201" t="n"/>
      <c r="O434" s="201" t="n"/>
      <c r="P434" s="201" t="n"/>
      <c r="Q434" s="201" t="n"/>
      <c r="R434" s="201" t="n"/>
    </row>
    <row r="435" ht="12.75" customHeight="1" s="202">
      <c r="A435" s="201" t="n"/>
      <c r="B435" s="201" t="n"/>
      <c r="C435" s="201" t="n"/>
      <c r="D435" s="201" t="n"/>
      <c r="E435" s="201" t="n"/>
      <c r="F435" s="201" t="n"/>
      <c r="G435" s="201" t="n"/>
      <c r="H435" s="201" t="n"/>
      <c r="I435" s="201" t="n"/>
      <c r="J435" s="201" t="n"/>
      <c r="K435" s="201" t="n"/>
      <c r="L435" s="201" t="n"/>
      <c r="M435" s="201" t="n"/>
      <c r="N435" s="201" t="n"/>
      <c r="O435" s="201" t="n"/>
      <c r="P435" s="201" t="n"/>
      <c r="Q435" s="201" t="n"/>
      <c r="R435" s="201" t="n"/>
    </row>
    <row r="436" ht="12.75" customHeight="1" s="202">
      <c r="A436" s="201" t="n"/>
      <c r="B436" s="201" t="n"/>
      <c r="C436" s="201" t="n"/>
      <c r="D436" s="201" t="n"/>
      <c r="E436" s="201" t="n"/>
      <c r="F436" s="201" t="n"/>
      <c r="G436" s="201" t="n"/>
      <c r="H436" s="201" t="n"/>
      <c r="I436" s="201" t="n"/>
      <c r="J436" s="201" t="n"/>
      <c r="K436" s="201" t="n"/>
      <c r="L436" s="201" t="n"/>
      <c r="M436" s="201" t="n"/>
      <c r="N436" s="201" t="n"/>
      <c r="O436" s="201" t="n"/>
      <c r="P436" s="201" t="n"/>
      <c r="Q436" s="201" t="n"/>
      <c r="R436" s="201" t="n"/>
    </row>
    <row r="437" ht="12.75" customHeight="1" s="202">
      <c r="A437" s="201" t="n"/>
      <c r="B437" s="201" t="n"/>
      <c r="C437" s="201" t="n"/>
      <c r="D437" s="201" t="n"/>
      <c r="E437" s="201" t="n"/>
      <c r="F437" s="201" t="n"/>
      <c r="G437" s="201" t="n"/>
      <c r="H437" s="201" t="n"/>
      <c r="I437" s="201" t="n"/>
      <c r="J437" s="201" t="n"/>
      <c r="K437" s="201" t="n"/>
      <c r="L437" s="201" t="n"/>
      <c r="M437" s="201" t="n"/>
      <c r="N437" s="201" t="n"/>
      <c r="O437" s="201" t="n"/>
      <c r="P437" s="201" t="n"/>
      <c r="Q437" s="201" t="n"/>
      <c r="R437" s="201" t="n"/>
    </row>
    <row r="438" ht="12.75" customHeight="1" s="202">
      <c r="A438" s="201" t="n"/>
      <c r="B438" s="201" t="n"/>
      <c r="C438" s="201" t="n"/>
      <c r="D438" s="201" t="n"/>
      <c r="E438" s="201" t="n"/>
      <c r="F438" s="201" t="n"/>
      <c r="G438" s="201" t="n"/>
      <c r="H438" s="201" t="n"/>
      <c r="I438" s="201" t="n"/>
      <c r="J438" s="201" t="n"/>
      <c r="K438" s="201" t="n"/>
      <c r="L438" s="201" t="n"/>
      <c r="M438" s="201" t="n"/>
      <c r="N438" s="201" t="n"/>
      <c r="O438" s="201" t="n"/>
      <c r="P438" s="201" t="n"/>
      <c r="Q438" s="201" t="n"/>
      <c r="R438" s="201" t="n"/>
    </row>
    <row r="439" ht="12.75" customHeight="1" s="202">
      <c r="A439" s="201" t="n"/>
      <c r="B439" s="201" t="n"/>
      <c r="C439" s="201" t="n"/>
      <c r="D439" s="201" t="n"/>
      <c r="E439" s="201" t="n"/>
      <c r="F439" s="201" t="n"/>
      <c r="G439" s="201" t="n"/>
      <c r="H439" s="201" t="n"/>
      <c r="I439" s="201" t="n"/>
      <c r="J439" s="201" t="n"/>
      <c r="K439" s="201" t="n"/>
      <c r="L439" s="201" t="n"/>
      <c r="M439" s="201" t="n"/>
      <c r="N439" s="201" t="n"/>
      <c r="O439" s="201" t="n"/>
      <c r="P439" s="201" t="n"/>
      <c r="Q439" s="201" t="n"/>
      <c r="R439" s="201" t="n"/>
    </row>
    <row r="440" ht="12.75" customHeight="1" s="202">
      <c r="A440" s="201" t="n"/>
      <c r="B440" s="201" t="n"/>
      <c r="C440" s="201" t="n"/>
      <c r="D440" s="201" t="n"/>
      <c r="E440" s="201" t="n"/>
      <c r="F440" s="201" t="n"/>
      <c r="G440" s="201" t="n"/>
      <c r="H440" s="201" t="n"/>
      <c r="I440" s="201" t="n"/>
      <c r="J440" s="201" t="n"/>
      <c r="K440" s="201" t="n"/>
      <c r="L440" s="201" t="n"/>
      <c r="M440" s="201" t="n"/>
      <c r="N440" s="201" t="n"/>
      <c r="O440" s="201" t="n"/>
      <c r="P440" s="201" t="n"/>
      <c r="Q440" s="201" t="n"/>
      <c r="R440" s="201" t="n"/>
    </row>
    <row r="441" ht="12.75" customHeight="1" s="202">
      <c r="A441" s="201" t="n"/>
      <c r="B441" s="201" t="n"/>
      <c r="C441" s="201" t="n"/>
      <c r="D441" s="201" t="n"/>
      <c r="E441" s="201" t="n"/>
      <c r="F441" s="201" t="n"/>
      <c r="G441" s="201" t="n"/>
      <c r="H441" s="201" t="n"/>
      <c r="I441" s="201" t="n"/>
      <c r="J441" s="201" t="n"/>
      <c r="K441" s="201" t="n"/>
      <c r="L441" s="201" t="n"/>
      <c r="M441" s="201" t="n"/>
      <c r="N441" s="201" t="n"/>
      <c r="O441" s="201" t="n"/>
      <c r="P441" s="201" t="n"/>
      <c r="Q441" s="201" t="n"/>
      <c r="R441" s="201" t="n"/>
    </row>
    <row r="442" ht="12.75" customHeight="1" s="202">
      <c r="A442" s="201" t="n"/>
      <c r="B442" s="201" t="n"/>
      <c r="C442" s="201" t="n"/>
      <c r="D442" s="201" t="n"/>
      <c r="E442" s="201" t="n"/>
      <c r="F442" s="201" t="n"/>
      <c r="G442" s="201" t="n"/>
      <c r="H442" s="201" t="n"/>
      <c r="I442" s="201" t="n"/>
      <c r="J442" s="201" t="n"/>
      <c r="K442" s="201" t="n"/>
      <c r="L442" s="201" t="n"/>
      <c r="M442" s="201" t="n"/>
      <c r="N442" s="201" t="n"/>
      <c r="O442" s="201" t="n"/>
      <c r="P442" s="201" t="n"/>
      <c r="Q442" s="201" t="n"/>
      <c r="R442" s="201" t="n"/>
    </row>
    <row r="443" ht="12.75" customHeight="1" s="202">
      <c r="A443" s="201" t="n"/>
      <c r="B443" s="201" t="n"/>
      <c r="C443" s="201" t="n"/>
      <c r="D443" s="201" t="n"/>
      <c r="E443" s="201" t="n"/>
      <c r="F443" s="201" t="n"/>
      <c r="G443" s="201" t="n"/>
      <c r="H443" s="201" t="n"/>
      <c r="I443" s="201" t="n"/>
      <c r="J443" s="201" t="n"/>
      <c r="K443" s="201" t="n"/>
      <c r="L443" s="201" t="n"/>
      <c r="M443" s="201" t="n"/>
      <c r="N443" s="201" t="n"/>
      <c r="O443" s="201" t="n"/>
      <c r="P443" s="201" t="n"/>
      <c r="Q443" s="201" t="n"/>
      <c r="R443" s="201" t="n"/>
    </row>
    <row r="444" ht="12.75" customHeight="1" s="202">
      <c r="A444" s="201" t="n"/>
      <c r="B444" s="201" t="n"/>
      <c r="C444" s="201" t="n"/>
      <c r="D444" s="201" t="n"/>
      <c r="E444" s="201" t="n"/>
      <c r="F444" s="201" t="n"/>
      <c r="G444" s="201" t="n"/>
      <c r="H444" s="201" t="n"/>
      <c r="I444" s="201" t="n"/>
      <c r="J444" s="201" t="n"/>
      <c r="K444" s="201" t="n"/>
      <c r="L444" s="201" t="n"/>
      <c r="M444" s="201" t="n"/>
      <c r="N444" s="201" t="n"/>
      <c r="O444" s="201" t="n"/>
      <c r="P444" s="201" t="n"/>
      <c r="Q444" s="201" t="n"/>
      <c r="R444" s="201" t="n"/>
    </row>
    <row r="445" ht="12.75" customHeight="1" s="202">
      <c r="A445" s="201" t="n"/>
      <c r="B445" s="201" t="n"/>
      <c r="C445" s="201" t="n"/>
      <c r="D445" s="201" t="n"/>
      <c r="E445" s="201" t="n"/>
      <c r="F445" s="201" t="n"/>
      <c r="G445" s="201" t="n"/>
      <c r="H445" s="201" t="n"/>
      <c r="I445" s="201" t="n"/>
      <c r="J445" s="201" t="n"/>
      <c r="K445" s="201" t="n"/>
      <c r="L445" s="201" t="n"/>
      <c r="M445" s="201" t="n"/>
      <c r="N445" s="201" t="n"/>
      <c r="O445" s="201" t="n"/>
      <c r="P445" s="201" t="n"/>
      <c r="Q445" s="201" t="n"/>
      <c r="R445" s="201" t="n"/>
    </row>
    <row r="446" ht="12.75" customHeight="1" s="202">
      <c r="A446" s="201" t="n"/>
      <c r="B446" s="201" t="n"/>
      <c r="C446" s="201" t="n"/>
      <c r="D446" s="201" t="n"/>
      <c r="E446" s="201" t="n"/>
      <c r="F446" s="201" t="n"/>
      <c r="G446" s="201" t="n"/>
      <c r="H446" s="201" t="n"/>
      <c r="I446" s="201" t="n"/>
      <c r="J446" s="201" t="n"/>
      <c r="K446" s="201" t="n"/>
      <c r="L446" s="201" t="n"/>
      <c r="M446" s="201" t="n"/>
      <c r="N446" s="201" t="n"/>
      <c r="O446" s="201" t="n"/>
      <c r="P446" s="201" t="n"/>
      <c r="Q446" s="201" t="n"/>
      <c r="R446" s="201" t="n"/>
    </row>
    <row r="447" ht="12.75" customHeight="1" s="202">
      <c r="A447" s="201" t="n"/>
      <c r="B447" s="201" t="n"/>
      <c r="C447" s="201" t="n"/>
      <c r="D447" s="201" t="n"/>
      <c r="E447" s="201" t="n"/>
      <c r="F447" s="201" t="n"/>
      <c r="G447" s="201" t="n"/>
      <c r="H447" s="201" t="n"/>
      <c r="I447" s="201" t="n"/>
      <c r="J447" s="201" t="n"/>
      <c r="K447" s="201" t="n"/>
      <c r="L447" s="201" t="n"/>
      <c r="M447" s="201" t="n"/>
      <c r="N447" s="201" t="n"/>
      <c r="O447" s="201" t="n"/>
      <c r="P447" s="201" t="n"/>
      <c r="Q447" s="201" t="n"/>
      <c r="R447" s="201" t="n"/>
    </row>
    <row r="448" ht="12.75" customHeight="1" s="202">
      <c r="A448" s="201" t="n"/>
      <c r="B448" s="201" t="n"/>
      <c r="C448" s="201" t="n"/>
      <c r="D448" s="201" t="n"/>
      <c r="E448" s="201" t="n"/>
      <c r="F448" s="201" t="n"/>
      <c r="G448" s="201" t="n"/>
      <c r="H448" s="201" t="n"/>
      <c r="I448" s="201" t="n"/>
      <c r="J448" s="201" t="n"/>
      <c r="K448" s="201" t="n"/>
      <c r="L448" s="201" t="n"/>
      <c r="M448" s="201" t="n"/>
      <c r="N448" s="201" t="n"/>
      <c r="O448" s="201" t="n"/>
      <c r="P448" s="201" t="n"/>
      <c r="Q448" s="201" t="n"/>
      <c r="R448" s="201" t="n"/>
    </row>
    <row r="449" ht="12.75" customHeight="1" s="202">
      <c r="A449" s="201" t="n"/>
      <c r="B449" s="201" t="n"/>
      <c r="C449" s="201" t="n"/>
      <c r="D449" s="201" t="n"/>
      <c r="E449" s="201" t="n"/>
      <c r="F449" s="201" t="n"/>
      <c r="G449" s="201" t="n"/>
      <c r="H449" s="201" t="n"/>
      <c r="I449" s="201" t="n"/>
      <c r="J449" s="201" t="n"/>
      <c r="K449" s="201" t="n"/>
      <c r="L449" s="201" t="n"/>
      <c r="M449" s="201" t="n"/>
      <c r="N449" s="201" t="n"/>
      <c r="O449" s="201" t="n"/>
      <c r="P449" s="201" t="n"/>
      <c r="Q449" s="201" t="n"/>
      <c r="R449" s="201" t="n"/>
    </row>
    <row r="450" ht="12.75" customHeight="1" s="202">
      <c r="A450" s="201" t="n"/>
      <c r="B450" s="201" t="n"/>
      <c r="C450" s="201" t="n"/>
      <c r="D450" s="201" t="n"/>
      <c r="E450" s="201" t="n"/>
      <c r="F450" s="201" t="n"/>
      <c r="G450" s="201" t="n"/>
      <c r="H450" s="201" t="n"/>
      <c r="I450" s="201" t="n"/>
      <c r="J450" s="201" t="n"/>
      <c r="K450" s="201" t="n"/>
      <c r="L450" s="201" t="n"/>
      <c r="M450" s="201" t="n"/>
      <c r="N450" s="201" t="n"/>
      <c r="O450" s="201" t="n"/>
      <c r="P450" s="201" t="n"/>
      <c r="Q450" s="201" t="n"/>
      <c r="R450" s="201" t="n"/>
    </row>
    <row r="451" ht="12.75" customHeight="1" s="202">
      <c r="A451" s="201" t="n"/>
      <c r="B451" s="201" t="n"/>
      <c r="C451" s="201" t="n"/>
      <c r="D451" s="201" t="n"/>
      <c r="E451" s="201" t="n"/>
      <c r="F451" s="201" t="n"/>
      <c r="G451" s="201" t="n"/>
      <c r="H451" s="201" t="n"/>
      <c r="I451" s="201" t="n"/>
      <c r="J451" s="201" t="n"/>
      <c r="K451" s="201" t="n"/>
      <c r="L451" s="201" t="n"/>
      <c r="M451" s="201" t="n"/>
      <c r="N451" s="201" t="n"/>
      <c r="O451" s="201" t="n"/>
      <c r="P451" s="201" t="n"/>
      <c r="Q451" s="201" t="n"/>
      <c r="R451" s="201" t="n"/>
    </row>
    <row r="452" ht="12.75" customHeight="1" s="202">
      <c r="A452" s="201" t="n"/>
      <c r="B452" s="201" t="n"/>
      <c r="C452" s="201" t="n"/>
      <c r="D452" s="201" t="n"/>
      <c r="E452" s="201" t="n"/>
      <c r="F452" s="201" t="n"/>
      <c r="G452" s="201" t="n"/>
      <c r="H452" s="201" t="n"/>
      <c r="I452" s="201" t="n"/>
      <c r="J452" s="201" t="n"/>
      <c r="K452" s="201" t="n"/>
      <c r="L452" s="201" t="n"/>
      <c r="M452" s="201" t="n"/>
      <c r="N452" s="201" t="n"/>
      <c r="O452" s="201" t="n"/>
      <c r="P452" s="201" t="n"/>
      <c r="Q452" s="201" t="n"/>
      <c r="R452" s="201" t="n"/>
    </row>
    <row r="453" ht="12.75" customHeight="1" s="202">
      <c r="A453" s="201" t="n"/>
      <c r="B453" s="201" t="n"/>
      <c r="C453" s="201" t="n"/>
      <c r="D453" s="201" t="n"/>
      <c r="E453" s="201" t="n"/>
      <c r="F453" s="201" t="n"/>
      <c r="G453" s="201" t="n"/>
      <c r="H453" s="201" t="n"/>
      <c r="I453" s="201" t="n"/>
      <c r="J453" s="201" t="n"/>
      <c r="K453" s="201" t="n"/>
      <c r="L453" s="201" t="n"/>
      <c r="M453" s="201" t="n"/>
      <c r="N453" s="201" t="n"/>
      <c r="O453" s="201" t="n"/>
      <c r="P453" s="201" t="n"/>
      <c r="Q453" s="201" t="n"/>
      <c r="R453" s="201" t="n"/>
    </row>
    <row r="454" ht="12.75" customHeight="1" s="202">
      <c r="A454" s="201" t="n"/>
      <c r="B454" s="201" t="n"/>
      <c r="C454" s="201" t="n"/>
      <c r="D454" s="201" t="n"/>
      <c r="E454" s="201" t="n"/>
      <c r="F454" s="201" t="n"/>
      <c r="G454" s="201" t="n"/>
      <c r="H454" s="201" t="n"/>
      <c r="I454" s="201" t="n"/>
      <c r="J454" s="201" t="n"/>
      <c r="K454" s="201" t="n"/>
      <c r="L454" s="201" t="n"/>
      <c r="M454" s="201" t="n"/>
      <c r="N454" s="201" t="n"/>
      <c r="O454" s="201" t="n"/>
      <c r="P454" s="201" t="n"/>
      <c r="Q454" s="201" t="n"/>
      <c r="R454" s="201" t="n"/>
    </row>
    <row r="455" ht="12.75" customHeight="1" s="202">
      <c r="A455" s="201" t="n"/>
      <c r="B455" s="201" t="n"/>
      <c r="C455" s="201" t="n"/>
      <c r="D455" s="201" t="n"/>
      <c r="E455" s="201" t="n"/>
      <c r="F455" s="201" t="n"/>
      <c r="G455" s="201" t="n"/>
      <c r="H455" s="201" t="n"/>
      <c r="I455" s="201" t="n"/>
      <c r="J455" s="201" t="n"/>
      <c r="K455" s="201" t="n"/>
      <c r="L455" s="201" t="n"/>
      <c r="M455" s="201" t="n"/>
      <c r="N455" s="201" t="n"/>
      <c r="O455" s="201" t="n"/>
      <c r="P455" s="201" t="n"/>
      <c r="Q455" s="201" t="n"/>
      <c r="R455" s="201" t="n"/>
    </row>
    <row r="456" ht="12.75" customHeight="1" s="202">
      <c r="A456" s="201" t="n"/>
      <c r="B456" s="201" t="n"/>
      <c r="C456" s="201" t="n"/>
      <c r="D456" s="201" t="n"/>
      <c r="E456" s="201" t="n"/>
      <c r="F456" s="201" t="n"/>
      <c r="G456" s="201" t="n"/>
      <c r="H456" s="201" t="n"/>
      <c r="I456" s="201" t="n"/>
      <c r="J456" s="201" t="n"/>
      <c r="K456" s="201" t="n"/>
      <c r="L456" s="201" t="n"/>
      <c r="M456" s="201" t="n"/>
      <c r="N456" s="201" t="n"/>
      <c r="O456" s="201" t="n"/>
      <c r="P456" s="201" t="n"/>
      <c r="Q456" s="201" t="n"/>
      <c r="R456" s="201" t="n"/>
    </row>
    <row r="457" ht="12.75" customHeight="1" s="202">
      <c r="A457" s="201" t="n"/>
      <c r="B457" s="201" t="n"/>
      <c r="C457" s="201" t="n"/>
      <c r="D457" s="201" t="n"/>
      <c r="E457" s="201" t="n"/>
      <c r="F457" s="201" t="n"/>
      <c r="G457" s="201" t="n"/>
      <c r="H457" s="201" t="n"/>
      <c r="I457" s="201" t="n"/>
      <c r="J457" s="201" t="n"/>
      <c r="K457" s="201" t="n"/>
      <c r="L457" s="201" t="n"/>
      <c r="M457" s="201" t="n"/>
      <c r="N457" s="201" t="n"/>
      <c r="O457" s="201" t="n"/>
      <c r="P457" s="201" t="n"/>
      <c r="Q457" s="201" t="n"/>
      <c r="R457" s="201" t="n"/>
    </row>
    <row r="458" ht="12.75" customHeight="1" s="202">
      <c r="A458" s="201" t="n"/>
      <c r="B458" s="201" t="n"/>
      <c r="C458" s="201" t="n"/>
      <c r="D458" s="201" t="n"/>
      <c r="E458" s="201" t="n"/>
      <c r="F458" s="201" t="n"/>
      <c r="G458" s="201" t="n"/>
      <c r="H458" s="201" t="n"/>
      <c r="I458" s="201" t="n"/>
      <c r="J458" s="201" t="n"/>
      <c r="K458" s="201" t="n"/>
      <c r="L458" s="201" t="n"/>
      <c r="M458" s="201" t="n"/>
      <c r="N458" s="201" t="n"/>
      <c r="O458" s="201" t="n"/>
      <c r="P458" s="201" t="n"/>
      <c r="Q458" s="201" t="n"/>
      <c r="R458" s="201" t="n"/>
    </row>
    <row r="459" ht="12.75" customHeight="1" s="202">
      <c r="A459" s="201" t="n"/>
      <c r="B459" s="201" t="n"/>
      <c r="C459" s="201" t="n"/>
      <c r="D459" s="201" t="n"/>
      <c r="E459" s="201" t="n"/>
      <c r="F459" s="201" t="n"/>
      <c r="G459" s="201" t="n"/>
      <c r="H459" s="201" t="n"/>
      <c r="I459" s="201" t="n"/>
      <c r="J459" s="201" t="n"/>
      <c r="K459" s="201" t="n"/>
      <c r="L459" s="201" t="n"/>
      <c r="M459" s="201" t="n"/>
      <c r="N459" s="201" t="n"/>
      <c r="O459" s="201" t="n"/>
      <c r="P459" s="201" t="n"/>
      <c r="Q459" s="201" t="n"/>
      <c r="R459" s="201" t="n"/>
    </row>
    <row r="460" ht="12.75" customHeight="1" s="202">
      <c r="A460" s="201" t="n"/>
      <c r="B460" s="201" t="n"/>
      <c r="C460" s="201" t="n"/>
      <c r="D460" s="201" t="n"/>
      <c r="E460" s="201" t="n"/>
      <c r="F460" s="201" t="n"/>
      <c r="G460" s="201" t="n"/>
      <c r="H460" s="201" t="n"/>
      <c r="I460" s="201" t="n"/>
      <c r="J460" s="201" t="n"/>
      <c r="K460" s="201" t="n"/>
      <c r="L460" s="201" t="n"/>
      <c r="M460" s="201" t="n"/>
      <c r="N460" s="201" t="n"/>
      <c r="O460" s="201" t="n"/>
      <c r="P460" s="201" t="n"/>
      <c r="Q460" s="201" t="n"/>
      <c r="R460" s="201" t="n"/>
    </row>
    <row r="461" ht="12.75" customHeight="1" s="202">
      <c r="A461" s="201" t="n"/>
      <c r="B461" s="201" t="n"/>
      <c r="C461" s="201" t="n"/>
      <c r="D461" s="201" t="n"/>
      <c r="E461" s="201" t="n"/>
      <c r="F461" s="201" t="n"/>
      <c r="G461" s="201" t="n"/>
      <c r="H461" s="201" t="n"/>
      <c r="I461" s="201" t="n"/>
      <c r="J461" s="201" t="n"/>
      <c r="K461" s="201" t="n"/>
      <c r="L461" s="201" t="n"/>
      <c r="M461" s="201" t="n"/>
      <c r="N461" s="201" t="n"/>
      <c r="O461" s="201" t="n"/>
      <c r="P461" s="201" t="n"/>
      <c r="Q461" s="201" t="n"/>
      <c r="R461" s="201" t="n"/>
    </row>
    <row r="462" ht="12.75" customHeight="1" s="202">
      <c r="A462" s="201" t="n"/>
      <c r="B462" s="201" t="n"/>
      <c r="C462" s="201" t="n"/>
      <c r="D462" s="201" t="n"/>
      <c r="E462" s="201" t="n"/>
      <c r="F462" s="201" t="n"/>
      <c r="G462" s="201" t="n"/>
      <c r="H462" s="201" t="n"/>
      <c r="I462" s="201" t="n"/>
      <c r="J462" s="201" t="n"/>
      <c r="K462" s="201" t="n"/>
      <c r="L462" s="201" t="n"/>
      <c r="M462" s="201" t="n"/>
      <c r="N462" s="201" t="n"/>
      <c r="O462" s="201" t="n"/>
      <c r="P462" s="201" t="n"/>
      <c r="Q462" s="201" t="n"/>
      <c r="R462" s="201" t="n"/>
    </row>
    <row r="463" ht="12.75" customHeight="1" s="202">
      <c r="A463" s="201" t="n"/>
      <c r="B463" s="201" t="n"/>
      <c r="C463" s="201" t="n"/>
      <c r="D463" s="201" t="n"/>
      <c r="E463" s="201" t="n"/>
      <c r="F463" s="201" t="n"/>
      <c r="G463" s="201" t="n"/>
      <c r="H463" s="201" t="n"/>
      <c r="I463" s="201" t="n"/>
      <c r="J463" s="201" t="n"/>
      <c r="K463" s="201" t="n"/>
      <c r="L463" s="201" t="n"/>
      <c r="M463" s="201" t="n"/>
      <c r="N463" s="201" t="n"/>
      <c r="O463" s="201" t="n"/>
      <c r="P463" s="201" t="n"/>
      <c r="Q463" s="201" t="n"/>
      <c r="R463" s="201" t="n"/>
    </row>
    <row r="464" ht="12.75" customHeight="1" s="202">
      <c r="A464" s="201" t="n"/>
      <c r="B464" s="201" t="n"/>
      <c r="C464" s="201" t="n"/>
      <c r="D464" s="201" t="n"/>
      <c r="E464" s="201" t="n"/>
      <c r="F464" s="201" t="n"/>
      <c r="G464" s="201" t="n"/>
      <c r="H464" s="201" t="n"/>
      <c r="I464" s="201" t="n"/>
      <c r="J464" s="201" t="n"/>
      <c r="K464" s="201" t="n"/>
      <c r="L464" s="201" t="n"/>
      <c r="M464" s="201" t="n"/>
      <c r="N464" s="201" t="n"/>
      <c r="O464" s="201" t="n"/>
      <c r="P464" s="201" t="n"/>
      <c r="Q464" s="201" t="n"/>
      <c r="R464" s="201" t="n"/>
    </row>
    <row r="465" ht="12.75" customHeight="1" s="202">
      <c r="A465" s="201" t="n"/>
      <c r="B465" s="201" t="n"/>
      <c r="C465" s="201" t="n"/>
      <c r="D465" s="201" t="n"/>
      <c r="E465" s="201" t="n"/>
      <c r="F465" s="201" t="n"/>
      <c r="G465" s="201" t="n"/>
      <c r="H465" s="201" t="n"/>
      <c r="I465" s="201" t="n"/>
      <c r="J465" s="201" t="n"/>
      <c r="K465" s="201" t="n"/>
      <c r="L465" s="201" t="n"/>
      <c r="M465" s="201" t="n"/>
      <c r="N465" s="201" t="n"/>
      <c r="O465" s="201" t="n"/>
      <c r="P465" s="201" t="n"/>
      <c r="Q465" s="201" t="n"/>
      <c r="R465" s="201" t="n"/>
    </row>
    <row r="466" ht="12.75" customHeight="1" s="202">
      <c r="A466" s="201" t="n"/>
      <c r="B466" s="201" t="n"/>
      <c r="C466" s="201" t="n"/>
      <c r="D466" s="201" t="n"/>
      <c r="E466" s="201" t="n"/>
      <c r="F466" s="201" t="n"/>
      <c r="G466" s="201" t="n"/>
      <c r="H466" s="201" t="n"/>
      <c r="I466" s="201" t="n"/>
      <c r="J466" s="201" t="n"/>
      <c r="K466" s="201" t="n"/>
      <c r="L466" s="201" t="n"/>
      <c r="M466" s="201" t="n"/>
      <c r="N466" s="201" t="n"/>
      <c r="O466" s="201" t="n"/>
      <c r="P466" s="201" t="n"/>
      <c r="Q466" s="201" t="n"/>
      <c r="R466" s="201" t="n"/>
    </row>
    <row r="467" ht="12.75" customHeight="1" s="202">
      <c r="A467" s="201" t="n"/>
      <c r="B467" s="201" t="n"/>
      <c r="C467" s="201" t="n"/>
      <c r="D467" s="201" t="n"/>
      <c r="E467" s="201" t="n"/>
      <c r="F467" s="201" t="n"/>
      <c r="G467" s="201" t="n"/>
      <c r="H467" s="201" t="n"/>
      <c r="I467" s="201" t="n"/>
      <c r="J467" s="201" t="n"/>
      <c r="K467" s="201" t="n"/>
      <c r="L467" s="201" t="n"/>
      <c r="M467" s="201" t="n"/>
      <c r="N467" s="201" t="n"/>
      <c r="O467" s="201" t="n"/>
      <c r="P467" s="201" t="n"/>
      <c r="Q467" s="201" t="n"/>
      <c r="R467" s="201" t="n"/>
    </row>
    <row r="468" ht="12.75" customHeight="1" s="202">
      <c r="A468" s="201" t="n"/>
      <c r="B468" s="201" t="n"/>
      <c r="C468" s="201" t="n"/>
      <c r="D468" s="201" t="n"/>
      <c r="E468" s="201" t="n"/>
      <c r="F468" s="201" t="n"/>
      <c r="G468" s="201" t="n"/>
      <c r="H468" s="201" t="n"/>
      <c r="I468" s="201" t="n"/>
      <c r="J468" s="201" t="n"/>
      <c r="K468" s="201" t="n"/>
      <c r="L468" s="201" t="n"/>
      <c r="M468" s="201" t="n"/>
      <c r="N468" s="201" t="n"/>
      <c r="O468" s="201" t="n"/>
      <c r="P468" s="201" t="n"/>
      <c r="Q468" s="201" t="n"/>
      <c r="R468" s="201" t="n"/>
    </row>
    <row r="469" ht="12.75" customHeight="1" s="202">
      <c r="A469" s="201" t="n"/>
      <c r="B469" s="201" t="n"/>
      <c r="C469" s="201" t="n"/>
      <c r="D469" s="201" t="n"/>
      <c r="E469" s="201" t="n"/>
      <c r="F469" s="201" t="n"/>
      <c r="G469" s="201" t="n"/>
      <c r="H469" s="201" t="n"/>
      <c r="I469" s="201" t="n"/>
      <c r="J469" s="201" t="n"/>
      <c r="K469" s="201" t="n"/>
      <c r="L469" s="201" t="n"/>
      <c r="M469" s="201" t="n"/>
      <c r="N469" s="201" t="n"/>
      <c r="O469" s="201" t="n"/>
      <c r="P469" s="201" t="n"/>
      <c r="Q469" s="201" t="n"/>
      <c r="R469" s="201" t="n"/>
    </row>
    <row r="470" ht="12.75" customHeight="1" s="202">
      <c r="A470" s="201" t="n"/>
      <c r="B470" s="201" t="n"/>
      <c r="C470" s="201" t="n"/>
      <c r="D470" s="201" t="n"/>
      <c r="E470" s="201" t="n"/>
      <c r="F470" s="201" t="n"/>
      <c r="G470" s="201" t="n"/>
      <c r="H470" s="201" t="n"/>
      <c r="I470" s="201" t="n"/>
      <c r="J470" s="201" t="n"/>
      <c r="K470" s="201" t="n"/>
      <c r="L470" s="201" t="n"/>
      <c r="M470" s="201" t="n"/>
      <c r="N470" s="201" t="n"/>
      <c r="O470" s="201" t="n"/>
      <c r="P470" s="201" t="n"/>
      <c r="Q470" s="201" t="n"/>
      <c r="R470" s="201" t="n"/>
    </row>
    <row r="471" ht="12.75" customHeight="1" s="202">
      <c r="A471" s="201" t="n"/>
      <c r="B471" s="201" t="n"/>
      <c r="C471" s="201" t="n"/>
      <c r="D471" s="201" t="n"/>
      <c r="E471" s="201" t="n"/>
      <c r="F471" s="201" t="n"/>
      <c r="G471" s="201" t="n"/>
      <c r="H471" s="201" t="n"/>
      <c r="I471" s="201" t="n"/>
      <c r="J471" s="201" t="n"/>
      <c r="K471" s="201" t="n"/>
      <c r="L471" s="201" t="n"/>
      <c r="M471" s="201" t="n"/>
      <c r="N471" s="201" t="n"/>
      <c r="O471" s="201" t="n"/>
      <c r="P471" s="201" t="n"/>
      <c r="Q471" s="201" t="n"/>
      <c r="R471" s="201" t="n"/>
    </row>
    <row r="472" ht="12.75" customHeight="1" s="202">
      <c r="A472" s="201" t="n"/>
      <c r="B472" s="201" t="n"/>
      <c r="C472" s="201" t="n"/>
      <c r="D472" s="201" t="n"/>
      <c r="E472" s="201" t="n"/>
      <c r="F472" s="201" t="n"/>
      <c r="G472" s="201" t="n"/>
      <c r="H472" s="201" t="n"/>
      <c r="I472" s="201" t="n"/>
      <c r="J472" s="201" t="n"/>
      <c r="K472" s="201" t="n"/>
      <c r="L472" s="201" t="n"/>
      <c r="M472" s="201" t="n"/>
      <c r="N472" s="201" t="n"/>
      <c r="O472" s="201" t="n"/>
      <c r="P472" s="201" t="n"/>
      <c r="Q472" s="201" t="n"/>
      <c r="R472" s="201" t="n"/>
    </row>
    <row r="473" ht="12.75" customHeight="1" s="202">
      <c r="A473" s="201" t="n"/>
      <c r="B473" s="201" t="n"/>
      <c r="C473" s="201" t="n"/>
      <c r="D473" s="201" t="n"/>
      <c r="E473" s="201" t="n"/>
      <c r="F473" s="201" t="n"/>
      <c r="G473" s="201" t="n"/>
      <c r="H473" s="201" t="n"/>
      <c r="I473" s="201" t="n"/>
      <c r="J473" s="201" t="n"/>
      <c r="K473" s="201" t="n"/>
      <c r="L473" s="201" t="n"/>
      <c r="M473" s="201" t="n"/>
      <c r="N473" s="201" t="n"/>
      <c r="O473" s="201" t="n"/>
      <c r="P473" s="201" t="n"/>
      <c r="Q473" s="201" t="n"/>
      <c r="R473" s="201" t="n"/>
    </row>
    <row r="474" ht="12.75" customHeight="1" s="202">
      <c r="A474" s="201" t="n"/>
      <c r="B474" s="201" t="n"/>
      <c r="C474" s="201" t="n"/>
      <c r="D474" s="201" t="n"/>
      <c r="E474" s="201" t="n"/>
      <c r="F474" s="201" t="n"/>
      <c r="G474" s="201" t="n"/>
      <c r="H474" s="201" t="n"/>
      <c r="I474" s="201" t="n"/>
      <c r="J474" s="201" t="n"/>
      <c r="K474" s="201" t="n"/>
      <c r="L474" s="201" t="n"/>
      <c r="M474" s="201" t="n"/>
      <c r="N474" s="201" t="n"/>
      <c r="O474" s="201" t="n"/>
      <c r="P474" s="201" t="n"/>
      <c r="Q474" s="201" t="n"/>
      <c r="R474" s="201" t="n"/>
    </row>
    <row r="475" ht="12.75" customHeight="1" s="202">
      <c r="A475" s="201" t="n"/>
      <c r="B475" s="201" t="n"/>
      <c r="C475" s="201" t="n"/>
      <c r="D475" s="201" t="n"/>
      <c r="E475" s="201" t="n"/>
      <c r="F475" s="201" t="n"/>
      <c r="G475" s="201" t="n"/>
      <c r="H475" s="201" t="n"/>
      <c r="I475" s="201" t="n"/>
      <c r="J475" s="201" t="n"/>
      <c r="K475" s="201" t="n"/>
      <c r="L475" s="201" t="n"/>
      <c r="M475" s="201" t="n"/>
      <c r="N475" s="201" t="n"/>
      <c r="O475" s="201" t="n"/>
      <c r="P475" s="201" t="n"/>
      <c r="Q475" s="201" t="n"/>
      <c r="R475" s="201" t="n"/>
    </row>
    <row r="476" ht="12.75" customHeight="1" s="202">
      <c r="A476" s="201" t="n"/>
      <c r="B476" s="201" t="n"/>
      <c r="C476" s="201" t="n"/>
      <c r="D476" s="201" t="n"/>
      <c r="E476" s="201" t="n"/>
      <c r="F476" s="201" t="n"/>
      <c r="G476" s="201" t="n"/>
      <c r="H476" s="201" t="n"/>
      <c r="I476" s="201" t="n"/>
      <c r="J476" s="201" t="n"/>
      <c r="K476" s="201" t="n"/>
      <c r="L476" s="201" t="n"/>
      <c r="M476" s="201" t="n"/>
      <c r="N476" s="201" t="n"/>
      <c r="O476" s="201" t="n"/>
      <c r="P476" s="201" t="n"/>
      <c r="Q476" s="201" t="n"/>
      <c r="R476" s="201" t="n"/>
    </row>
    <row r="477" ht="12.75" customHeight="1" s="202">
      <c r="A477" s="201" t="n"/>
      <c r="B477" s="201" t="n"/>
      <c r="C477" s="201" t="n"/>
      <c r="D477" s="201" t="n"/>
      <c r="E477" s="201" t="n"/>
      <c r="F477" s="201" t="n"/>
      <c r="G477" s="201" t="n"/>
      <c r="H477" s="201" t="n"/>
      <c r="I477" s="201" t="n"/>
      <c r="J477" s="201" t="n"/>
      <c r="K477" s="201" t="n"/>
      <c r="L477" s="201" t="n"/>
      <c r="M477" s="201" t="n"/>
      <c r="N477" s="201" t="n"/>
      <c r="O477" s="201" t="n"/>
      <c r="P477" s="201" t="n"/>
      <c r="Q477" s="201" t="n"/>
      <c r="R477" s="201" t="n"/>
    </row>
    <row r="478" ht="12.75" customHeight="1" s="202">
      <c r="A478" s="201" t="n"/>
      <c r="B478" s="201" t="n"/>
      <c r="C478" s="201" t="n"/>
      <c r="D478" s="201" t="n"/>
      <c r="E478" s="201" t="n"/>
      <c r="F478" s="201" t="n"/>
      <c r="G478" s="201" t="n"/>
      <c r="H478" s="201" t="n"/>
      <c r="I478" s="201" t="n"/>
      <c r="J478" s="201" t="n"/>
      <c r="K478" s="201" t="n"/>
      <c r="L478" s="201" t="n"/>
      <c r="M478" s="201" t="n"/>
      <c r="N478" s="201" t="n"/>
      <c r="O478" s="201" t="n"/>
      <c r="P478" s="201" t="n"/>
      <c r="Q478" s="201" t="n"/>
      <c r="R478" s="201" t="n"/>
    </row>
    <row r="479" ht="12.75" customHeight="1" s="202">
      <c r="A479" s="201" t="n"/>
      <c r="B479" s="201" t="n"/>
      <c r="C479" s="201" t="n"/>
      <c r="D479" s="201" t="n"/>
      <c r="E479" s="201" t="n"/>
      <c r="F479" s="201" t="n"/>
      <c r="G479" s="201" t="n"/>
      <c r="H479" s="201" t="n"/>
      <c r="I479" s="201" t="n"/>
      <c r="J479" s="201" t="n"/>
      <c r="K479" s="201" t="n"/>
      <c r="L479" s="201" t="n"/>
      <c r="M479" s="201" t="n"/>
      <c r="N479" s="201" t="n"/>
      <c r="O479" s="201" t="n"/>
      <c r="P479" s="201" t="n"/>
      <c r="Q479" s="201" t="n"/>
      <c r="R479" s="201" t="n"/>
    </row>
    <row r="480" ht="12.75" customHeight="1" s="202">
      <c r="A480" s="201" t="n"/>
      <c r="B480" s="201" t="n"/>
      <c r="C480" s="201" t="n"/>
      <c r="D480" s="201" t="n"/>
      <c r="E480" s="201" t="n"/>
      <c r="F480" s="201" t="n"/>
      <c r="G480" s="201" t="n"/>
      <c r="H480" s="201" t="n"/>
      <c r="I480" s="201" t="n"/>
      <c r="J480" s="201" t="n"/>
      <c r="K480" s="201" t="n"/>
      <c r="L480" s="201" t="n"/>
      <c r="M480" s="201" t="n"/>
      <c r="N480" s="201" t="n"/>
      <c r="O480" s="201" t="n"/>
      <c r="P480" s="201" t="n"/>
      <c r="Q480" s="201" t="n"/>
      <c r="R480" s="201" t="n"/>
    </row>
    <row r="481" ht="12.75" customHeight="1" s="202">
      <c r="A481" s="201" t="n"/>
      <c r="B481" s="201" t="n"/>
      <c r="C481" s="201" t="n"/>
      <c r="D481" s="201" t="n"/>
      <c r="E481" s="201" t="n"/>
      <c r="F481" s="201" t="n"/>
      <c r="G481" s="201" t="n"/>
      <c r="H481" s="201" t="n"/>
      <c r="I481" s="201" t="n"/>
      <c r="J481" s="201" t="n"/>
      <c r="K481" s="201" t="n"/>
      <c r="L481" s="201" t="n"/>
      <c r="M481" s="201" t="n"/>
      <c r="N481" s="201" t="n"/>
      <c r="O481" s="201" t="n"/>
      <c r="P481" s="201" t="n"/>
      <c r="Q481" s="201" t="n"/>
      <c r="R481" s="201" t="n"/>
    </row>
    <row r="482" ht="12.75" customHeight="1" s="202">
      <c r="A482" s="201" t="n"/>
      <c r="B482" s="201" t="n"/>
      <c r="C482" s="201" t="n"/>
      <c r="D482" s="201" t="n"/>
      <c r="E482" s="201" t="n"/>
      <c r="F482" s="201" t="n"/>
      <c r="G482" s="201" t="n"/>
      <c r="H482" s="201" t="n"/>
      <c r="I482" s="201" t="n"/>
      <c r="J482" s="201" t="n"/>
      <c r="K482" s="201" t="n"/>
      <c r="L482" s="201" t="n"/>
      <c r="M482" s="201" t="n"/>
      <c r="N482" s="201" t="n"/>
      <c r="O482" s="201" t="n"/>
      <c r="P482" s="201" t="n"/>
      <c r="Q482" s="201" t="n"/>
      <c r="R482" s="201" t="n"/>
    </row>
    <row r="483" ht="12.75" customHeight="1" s="202">
      <c r="A483" s="201" t="n"/>
      <c r="B483" s="201" t="n"/>
      <c r="C483" s="201" t="n"/>
      <c r="D483" s="201" t="n"/>
      <c r="E483" s="201" t="n"/>
      <c r="F483" s="201" t="n"/>
      <c r="G483" s="201" t="n"/>
      <c r="H483" s="201" t="n"/>
      <c r="I483" s="201" t="n"/>
      <c r="J483" s="201" t="n"/>
      <c r="K483" s="201" t="n"/>
      <c r="L483" s="201" t="n"/>
      <c r="M483" s="201" t="n"/>
      <c r="N483" s="201" t="n"/>
      <c r="O483" s="201" t="n"/>
      <c r="P483" s="201" t="n"/>
      <c r="Q483" s="201" t="n"/>
      <c r="R483" s="201" t="n"/>
    </row>
    <row r="484" ht="12.75" customHeight="1" s="202">
      <c r="A484" s="201" t="n"/>
      <c r="B484" s="201" t="n"/>
      <c r="C484" s="201" t="n"/>
      <c r="D484" s="201" t="n"/>
      <c r="E484" s="201" t="n"/>
      <c r="F484" s="201" t="n"/>
      <c r="G484" s="201" t="n"/>
      <c r="H484" s="201" t="n"/>
      <c r="I484" s="201" t="n"/>
      <c r="J484" s="201" t="n"/>
      <c r="K484" s="201" t="n"/>
      <c r="L484" s="201" t="n"/>
      <c r="M484" s="201" t="n"/>
      <c r="N484" s="201" t="n"/>
      <c r="O484" s="201" t="n"/>
      <c r="P484" s="201" t="n"/>
      <c r="Q484" s="201" t="n"/>
      <c r="R484" s="201" t="n"/>
    </row>
    <row r="485" ht="12.75" customHeight="1" s="202">
      <c r="A485" s="201" t="n"/>
      <c r="B485" s="201" t="n"/>
      <c r="C485" s="201" t="n"/>
      <c r="D485" s="201" t="n"/>
      <c r="E485" s="201" t="n"/>
      <c r="F485" s="201" t="n"/>
      <c r="G485" s="201" t="n"/>
      <c r="H485" s="201" t="n"/>
      <c r="I485" s="201" t="n"/>
      <c r="J485" s="201" t="n"/>
      <c r="K485" s="201" t="n"/>
      <c r="L485" s="201" t="n"/>
      <c r="M485" s="201" t="n"/>
      <c r="N485" s="201" t="n"/>
      <c r="O485" s="201" t="n"/>
      <c r="P485" s="201" t="n"/>
      <c r="Q485" s="201" t="n"/>
      <c r="R485" s="201" t="n"/>
    </row>
    <row r="486" ht="12.75" customHeight="1" s="202">
      <c r="A486" s="201" t="n"/>
      <c r="B486" s="201" t="n"/>
      <c r="C486" s="201" t="n"/>
      <c r="D486" s="201" t="n"/>
      <c r="E486" s="201" t="n"/>
      <c r="F486" s="201" t="n"/>
      <c r="G486" s="201" t="n"/>
      <c r="H486" s="201" t="n"/>
      <c r="I486" s="201" t="n"/>
      <c r="J486" s="201" t="n"/>
      <c r="K486" s="201" t="n"/>
      <c r="L486" s="201" t="n"/>
      <c r="M486" s="201" t="n"/>
      <c r="N486" s="201" t="n"/>
      <c r="O486" s="201" t="n"/>
      <c r="P486" s="201" t="n"/>
      <c r="Q486" s="201" t="n"/>
      <c r="R486" s="201" t="n"/>
    </row>
    <row r="487" ht="12.75" customHeight="1" s="202">
      <c r="A487" s="201" t="n"/>
      <c r="B487" s="201" t="n"/>
      <c r="C487" s="201" t="n"/>
      <c r="D487" s="201" t="n"/>
      <c r="E487" s="201" t="n"/>
      <c r="F487" s="201" t="n"/>
      <c r="G487" s="201" t="n"/>
      <c r="H487" s="201" t="n"/>
      <c r="I487" s="201" t="n"/>
      <c r="J487" s="201" t="n"/>
      <c r="K487" s="201" t="n"/>
      <c r="L487" s="201" t="n"/>
      <c r="M487" s="201" t="n"/>
      <c r="N487" s="201" t="n"/>
      <c r="O487" s="201" t="n"/>
      <c r="P487" s="201" t="n"/>
      <c r="Q487" s="201" t="n"/>
      <c r="R487" s="201" t="n"/>
    </row>
    <row r="488" ht="12.75" customHeight="1" s="202">
      <c r="A488" s="201" t="n"/>
      <c r="B488" s="201" t="n"/>
      <c r="C488" s="201" t="n"/>
      <c r="D488" s="201" t="n"/>
      <c r="E488" s="201" t="n"/>
      <c r="F488" s="201" t="n"/>
      <c r="G488" s="201" t="n"/>
      <c r="H488" s="201" t="n"/>
      <c r="I488" s="201" t="n"/>
      <c r="J488" s="201" t="n"/>
      <c r="K488" s="201" t="n"/>
      <c r="L488" s="201" t="n"/>
      <c r="M488" s="201" t="n"/>
      <c r="N488" s="201" t="n"/>
      <c r="O488" s="201" t="n"/>
      <c r="P488" s="201" t="n"/>
      <c r="Q488" s="201" t="n"/>
      <c r="R488" s="201" t="n"/>
    </row>
    <row r="489" ht="12.75" customHeight="1" s="202">
      <c r="A489" s="201" t="n"/>
      <c r="B489" s="201" t="n"/>
      <c r="C489" s="201" t="n"/>
      <c r="D489" s="201" t="n"/>
      <c r="E489" s="201" t="n"/>
      <c r="F489" s="201" t="n"/>
      <c r="G489" s="201" t="n"/>
      <c r="H489" s="201" t="n"/>
      <c r="I489" s="201" t="n"/>
      <c r="J489" s="201" t="n"/>
      <c r="K489" s="201" t="n"/>
      <c r="L489" s="201" t="n"/>
      <c r="M489" s="201" t="n"/>
      <c r="N489" s="201" t="n"/>
      <c r="O489" s="201" t="n"/>
      <c r="P489" s="201" t="n"/>
      <c r="Q489" s="201" t="n"/>
      <c r="R489" s="201" t="n"/>
    </row>
    <row r="490" ht="12.75" customHeight="1" s="202">
      <c r="A490" s="201" t="n"/>
      <c r="B490" s="201" t="n"/>
      <c r="C490" s="201" t="n"/>
      <c r="D490" s="201" t="n"/>
      <c r="E490" s="201" t="n"/>
      <c r="F490" s="201" t="n"/>
      <c r="G490" s="201" t="n"/>
      <c r="H490" s="201" t="n"/>
      <c r="I490" s="201" t="n"/>
      <c r="J490" s="201" t="n"/>
      <c r="K490" s="201" t="n"/>
      <c r="L490" s="201" t="n"/>
      <c r="M490" s="201" t="n"/>
      <c r="N490" s="201" t="n"/>
      <c r="O490" s="201" t="n"/>
      <c r="P490" s="201" t="n"/>
      <c r="Q490" s="201" t="n"/>
      <c r="R490" s="201" t="n"/>
    </row>
    <row r="491" ht="12.75" customHeight="1" s="202">
      <c r="A491" s="201" t="n"/>
      <c r="B491" s="201" t="n"/>
      <c r="C491" s="201" t="n"/>
      <c r="D491" s="201" t="n"/>
      <c r="E491" s="201" t="n"/>
      <c r="F491" s="201" t="n"/>
      <c r="G491" s="201" t="n"/>
      <c r="H491" s="201" t="n"/>
      <c r="I491" s="201" t="n"/>
      <c r="J491" s="201" t="n"/>
      <c r="K491" s="201" t="n"/>
      <c r="L491" s="201" t="n"/>
      <c r="M491" s="201" t="n"/>
      <c r="N491" s="201" t="n"/>
      <c r="O491" s="201" t="n"/>
      <c r="P491" s="201" t="n"/>
      <c r="Q491" s="201" t="n"/>
      <c r="R491" s="201" t="n"/>
    </row>
    <row r="492" ht="12.75" customHeight="1" s="202">
      <c r="A492" s="201" t="n"/>
      <c r="B492" s="201" t="n"/>
      <c r="C492" s="201" t="n"/>
      <c r="D492" s="201" t="n"/>
      <c r="E492" s="201" t="n"/>
      <c r="F492" s="201" t="n"/>
      <c r="G492" s="201" t="n"/>
      <c r="H492" s="201" t="n"/>
      <c r="I492" s="201" t="n"/>
      <c r="J492" s="201" t="n"/>
      <c r="K492" s="201" t="n"/>
      <c r="L492" s="201" t="n"/>
      <c r="M492" s="201" t="n"/>
      <c r="N492" s="201" t="n"/>
      <c r="O492" s="201" t="n"/>
      <c r="P492" s="201" t="n"/>
      <c r="Q492" s="201" t="n"/>
      <c r="R492" s="201" t="n"/>
    </row>
    <row r="493" ht="12.75" customHeight="1" s="202">
      <c r="A493" s="201" t="n"/>
      <c r="B493" s="201" t="n"/>
      <c r="C493" s="201" t="n"/>
      <c r="D493" s="201" t="n"/>
      <c r="E493" s="201" t="n"/>
      <c r="F493" s="201" t="n"/>
      <c r="G493" s="201" t="n"/>
      <c r="H493" s="201" t="n"/>
      <c r="I493" s="201" t="n"/>
      <c r="J493" s="201" t="n"/>
      <c r="K493" s="201" t="n"/>
      <c r="L493" s="201" t="n"/>
      <c r="M493" s="201" t="n"/>
      <c r="N493" s="201" t="n"/>
      <c r="O493" s="201" t="n"/>
      <c r="P493" s="201" t="n"/>
      <c r="Q493" s="201" t="n"/>
      <c r="R493" s="201" t="n"/>
    </row>
    <row r="494" ht="12.75" customHeight="1" s="202">
      <c r="A494" s="201" t="n"/>
      <c r="B494" s="201" t="n"/>
      <c r="C494" s="201" t="n"/>
      <c r="D494" s="201" t="n"/>
      <c r="E494" s="201" t="n"/>
      <c r="F494" s="201" t="n"/>
      <c r="G494" s="201" t="n"/>
      <c r="H494" s="201" t="n"/>
      <c r="I494" s="201" t="n"/>
      <c r="J494" s="201" t="n"/>
      <c r="K494" s="201" t="n"/>
      <c r="L494" s="201" t="n"/>
      <c r="M494" s="201" t="n"/>
      <c r="N494" s="201" t="n"/>
      <c r="O494" s="201" t="n"/>
      <c r="P494" s="201" t="n"/>
      <c r="Q494" s="201" t="n"/>
      <c r="R494" s="201" t="n"/>
    </row>
    <row r="495" ht="12.75" customHeight="1" s="202">
      <c r="A495" s="201" t="n"/>
      <c r="B495" s="201" t="n"/>
      <c r="C495" s="201" t="n"/>
      <c r="D495" s="201" t="n"/>
      <c r="E495" s="201" t="n"/>
      <c r="F495" s="201" t="n"/>
      <c r="G495" s="201" t="n"/>
      <c r="H495" s="201" t="n"/>
      <c r="I495" s="201" t="n"/>
      <c r="J495" s="201" t="n"/>
      <c r="K495" s="201" t="n"/>
      <c r="L495" s="201" t="n"/>
      <c r="M495" s="201" t="n"/>
      <c r="N495" s="201" t="n"/>
      <c r="O495" s="201" t="n"/>
      <c r="P495" s="201" t="n"/>
      <c r="Q495" s="201" t="n"/>
      <c r="R495" s="201" t="n"/>
    </row>
    <row r="496" ht="12.75" customHeight="1" s="202">
      <c r="A496" s="201" t="n"/>
      <c r="B496" s="201" t="n"/>
      <c r="C496" s="201" t="n"/>
      <c r="D496" s="201" t="n"/>
      <c r="E496" s="201" t="n"/>
      <c r="F496" s="201" t="n"/>
      <c r="G496" s="201" t="n"/>
      <c r="H496" s="201" t="n"/>
      <c r="I496" s="201" t="n"/>
      <c r="J496" s="201" t="n"/>
      <c r="K496" s="201" t="n"/>
      <c r="L496" s="201" t="n"/>
      <c r="M496" s="201" t="n"/>
      <c r="N496" s="201" t="n"/>
      <c r="O496" s="201" t="n"/>
      <c r="P496" s="201" t="n"/>
      <c r="Q496" s="201" t="n"/>
      <c r="R496" s="201" t="n"/>
    </row>
    <row r="497" ht="12.75" customHeight="1" s="202">
      <c r="A497" s="201" t="n"/>
      <c r="B497" s="201" t="n"/>
      <c r="C497" s="201" t="n"/>
      <c r="D497" s="201" t="n"/>
      <c r="E497" s="201" t="n"/>
      <c r="F497" s="201" t="n"/>
      <c r="G497" s="201" t="n"/>
      <c r="H497" s="201" t="n"/>
      <c r="I497" s="201" t="n"/>
      <c r="J497" s="201" t="n"/>
      <c r="K497" s="201" t="n"/>
      <c r="L497" s="201" t="n"/>
      <c r="M497" s="201" t="n"/>
      <c r="N497" s="201" t="n"/>
      <c r="O497" s="201" t="n"/>
      <c r="P497" s="201" t="n"/>
      <c r="Q497" s="201" t="n"/>
      <c r="R497" s="201" t="n"/>
    </row>
    <row r="498" ht="12.75" customHeight="1" s="202">
      <c r="A498" s="201" t="n"/>
      <c r="B498" s="201" t="n"/>
      <c r="C498" s="201" t="n"/>
      <c r="D498" s="201" t="n"/>
      <c r="E498" s="201" t="n"/>
      <c r="F498" s="201" t="n"/>
      <c r="G498" s="201" t="n"/>
      <c r="H498" s="201" t="n"/>
      <c r="I498" s="201" t="n"/>
      <c r="J498" s="201" t="n"/>
      <c r="K498" s="201" t="n"/>
      <c r="L498" s="201" t="n"/>
      <c r="M498" s="201" t="n"/>
      <c r="N498" s="201" t="n"/>
      <c r="O498" s="201" t="n"/>
      <c r="P498" s="201" t="n"/>
      <c r="Q498" s="201" t="n"/>
      <c r="R498" s="201" t="n"/>
    </row>
    <row r="499" ht="12.75" customHeight="1" s="202">
      <c r="A499" s="201" t="n"/>
      <c r="B499" s="201" t="n"/>
      <c r="C499" s="201" t="n"/>
      <c r="D499" s="201" t="n"/>
      <c r="E499" s="201" t="n"/>
      <c r="F499" s="201" t="n"/>
      <c r="G499" s="201" t="n"/>
      <c r="H499" s="201" t="n"/>
      <c r="I499" s="201" t="n"/>
      <c r="J499" s="201" t="n"/>
      <c r="K499" s="201" t="n"/>
      <c r="L499" s="201" t="n"/>
      <c r="M499" s="201" t="n"/>
      <c r="N499" s="201" t="n"/>
      <c r="O499" s="201" t="n"/>
      <c r="P499" s="201" t="n"/>
      <c r="Q499" s="201" t="n"/>
      <c r="R499" s="201" t="n"/>
    </row>
    <row r="500" ht="12.75" customHeight="1" s="202">
      <c r="A500" s="201" t="n"/>
      <c r="B500" s="201" t="n"/>
      <c r="C500" s="201" t="n"/>
      <c r="D500" s="201" t="n"/>
      <c r="E500" s="201" t="n"/>
      <c r="F500" s="201" t="n"/>
      <c r="G500" s="201" t="n"/>
      <c r="H500" s="201" t="n"/>
      <c r="I500" s="201" t="n"/>
      <c r="J500" s="201" t="n"/>
      <c r="K500" s="201" t="n"/>
      <c r="L500" s="201" t="n"/>
      <c r="M500" s="201" t="n"/>
      <c r="N500" s="201" t="n"/>
      <c r="O500" s="201" t="n"/>
      <c r="P500" s="201" t="n"/>
      <c r="Q500" s="201" t="n"/>
      <c r="R500" s="201" t="n"/>
    </row>
    <row r="501" ht="12.75" customHeight="1" s="202">
      <c r="A501" s="201" t="n"/>
      <c r="B501" s="201" t="n"/>
      <c r="C501" s="201" t="n"/>
      <c r="D501" s="201" t="n"/>
      <c r="E501" s="201" t="n"/>
      <c r="F501" s="201" t="n"/>
      <c r="G501" s="201" t="n"/>
      <c r="H501" s="201" t="n"/>
      <c r="I501" s="201" t="n"/>
      <c r="J501" s="201" t="n"/>
      <c r="K501" s="201" t="n"/>
      <c r="L501" s="201" t="n"/>
      <c r="M501" s="201" t="n"/>
      <c r="N501" s="201" t="n"/>
      <c r="O501" s="201" t="n"/>
      <c r="P501" s="201" t="n"/>
      <c r="Q501" s="201" t="n"/>
      <c r="R501" s="201" t="n"/>
    </row>
    <row r="502" ht="12.75" customHeight="1" s="202">
      <c r="A502" s="201" t="n"/>
      <c r="B502" s="201" t="n"/>
      <c r="C502" s="201" t="n"/>
      <c r="D502" s="201" t="n"/>
      <c r="E502" s="201" t="n"/>
      <c r="F502" s="201" t="n"/>
      <c r="G502" s="201" t="n"/>
      <c r="H502" s="201" t="n"/>
      <c r="I502" s="201" t="n"/>
      <c r="J502" s="201" t="n"/>
      <c r="K502" s="201" t="n"/>
      <c r="L502" s="201" t="n"/>
      <c r="M502" s="201" t="n"/>
      <c r="N502" s="201" t="n"/>
      <c r="O502" s="201" t="n"/>
      <c r="P502" s="201" t="n"/>
      <c r="Q502" s="201" t="n"/>
      <c r="R502" s="201" t="n"/>
    </row>
    <row r="503" ht="12.75" customHeight="1" s="202">
      <c r="A503" s="201" t="n"/>
      <c r="B503" s="201" t="n"/>
      <c r="C503" s="201" t="n"/>
      <c r="D503" s="201" t="n"/>
      <c r="E503" s="201" t="n"/>
      <c r="F503" s="201" t="n"/>
      <c r="G503" s="201" t="n"/>
      <c r="H503" s="201" t="n"/>
      <c r="I503" s="201" t="n"/>
      <c r="J503" s="201" t="n"/>
      <c r="K503" s="201" t="n"/>
      <c r="L503" s="201" t="n"/>
      <c r="M503" s="201" t="n"/>
      <c r="N503" s="201" t="n"/>
      <c r="O503" s="201" t="n"/>
      <c r="P503" s="201" t="n"/>
      <c r="Q503" s="201" t="n"/>
      <c r="R503" s="201" t="n"/>
    </row>
    <row r="504" ht="12.75" customHeight="1" s="202">
      <c r="A504" s="201" t="n"/>
      <c r="B504" s="201" t="n"/>
      <c r="C504" s="201" t="n"/>
      <c r="D504" s="201" t="n"/>
      <c r="E504" s="201" t="n"/>
      <c r="F504" s="201" t="n"/>
      <c r="G504" s="201" t="n"/>
      <c r="H504" s="201" t="n"/>
      <c r="I504" s="201" t="n"/>
      <c r="J504" s="201" t="n"/>
      <c r="K504" s="201" t="n"/>
      <c r="L504" s="201" t="n"/>
      <c r="M504" s="201" t="n"/>
      <c r="N504" s="201" t="n"/>
      <c r="O504" s="201" t="n"/>
      <c r="P504" s="201" t="n"/>
      <c r="Q504" s="201" t="n"/>
      <c r="R504" s="201" t="n"/>
    </row>
    <row r="505" ht="12.75" customHeight="1" s="202">
      <c r="A505" s="201" t="n"/>
      <c r="B505" s="201" t="n"/>
      <c r="C505" s="201" t="n"/>
      <c r="D505" s="201" t="n"/>
      <c r="E505" s="201" t="n"/>
      <c r="F505" s="201" t="n"/>
      <c r="G505" s="201" t="n"/>
      <c r="H505" s="201" t="n"/>
      <c r="I505" s="201" t="n"/>
      <c r="J505" s="201" t="n"/>
      <c r="K505" s="201" t="n"/>
      <c r="L505" s="201" t="n"/>
      <c r="M505" s="201" t="n"/>
      <c r="N505" s="201" t="n"/>
      <c r="O505" s="201" t="n"/>
      <c r="P505" s="201" t="n"/>
      <c r="Q505" s="201" t="n"/>
      <c r="R505" s="201" t="n"/>
    </row>
    <row r="506" ht="12.75" customHeight="1" s="202">
      <c r="A506" s="201" t="n"/>
      <c r="B506" s="201" t="n"/>
      <c r="C506" s="201" t="n"/>
      <c r="D506" s="201" t="n"/>
      <c r="E506" s="201" t="n"/>
      <c r="F506" s="201" t="n"/>
      <c r="G506" s="201" t="n"/>
      <c r="H506" s="201" t="n"/>
      <c r="I506" s="201" t="n"/>
      <c r="J506" s="201" t="n"/>
      <c r="K506" s="201" t="n"/>
      <c r="L506" s="201" t="n"/>
      <c r="M506" s="201" t="n"/>
      <c r="N506" s="201" t="n"/>
      <c r="O506" s="201" t="n"/>
      <c r="P506" s="201" t="n"/>
      <c r="Q506" s="201" t="n"/>
      <c r="R506" s="201" t="n"/>
    </row>
    <row r="507" ht="12.75" customHeight="1" s="202">
      <c r="A507" s="201" t="n"/>
      <c r="B507" s="201" t="n"/>
      <c r="C507" s="201" t="n"/>
      <c r="D507" s="201" t="n"/>
      <c r="E507" s="201" t="n"/>
      <c r="F507" s="201" t="n"/>
      <c r="G507" s="201" t="n"/>
      <c r="H507" s="201" t="n"/>
      <c r="I507" s="201" t="n"/>
      <c r="J507" s="201" t="n"/>
      <c r="K507" s="201" t="n"/>
      <c r="L507" s="201" t="n"/>
      <c r="M507" s="201" t="n"/>
      <c r="N507" s="201" t="n"/>
      <c r="O507" s="201" t="n"/>
      <c r="P507" s="201" t="n"/>
      <c r="Q507" s="201" t="n"/>
      <c r="R507" s="201" t="n"/>
    </row>
    <row r="508" ht="12.75" customHeight="1" s="202">
      <c r="A508" s="201" t="n"/>
      <c r="B508" s="201" t="n"/>
      <c r="C508" s="201" t="n"/>
      <c r="D508" s="201" t="n"/>
      <c r="E508" s="201" t="n"/>
      <c r="F508" s="201" t="n"/>
      <c r="G508" s="201" t="n"/>
      <c r="H508" s="201" t="n"/>
      <c r="I508" s="201" t="n"/>
      <c r="J508" s="201" t="n"/>
      <c r="K508" s="201" t="n"/>
      <c r="L508" s="201" t="n"/>
      <c r="M508" s="201" t="n"/>
      <c r="N508" s="201" t="n"/>
      <c r="O508" s="201" t="n"/>
      <c r="P508" s="201" t="n"/>
      <c r="Q508" s="201" t="n"/>
      <c r="R508" s="201" t="n"/>
    </row>
    <row r="509" ht="12.75" customHeight="1" s="202">
      <c r="A509" s="201" t="n"/>
      <c r="B509" s="201" t="n"/>
      <c r="C509" s="201" t="n"/>
      <c r="D509" s="201" t="n"/>
      <c r="E509" s="201" t="n"/>
      <c r="F509" s="201" t="n"/>
      <c r="G509" s="201" t="n"/>
      <c r="H509" s="201" t="n"/>
      <c r="I509" s="201" t="n"/>
      <c r="J509" s="201" t="n"/>
      <c r="K509" s="201" t="n"/>
      <c r="L509" s="201" t="n"/>
      <c r="M509" s="201" t="n"/>
      <c r="N509" s="201" t="n"/>
      <c r="O509" s="201" t="n"/>
      <c r="P509" s="201" t="n"/>
      <c r="Q509" s="201" t="n"/>
      <c r="R509" s="201" t="n"/>
    </row>
    <row r="510" ht="12.75" customHeight="1" s="202">
      <c r="A510" s="201" t="n"/>
      <c r="B510" s="201" t="n"/>
      <c r="C510" s="201" t="n"/>
      <c r="D510" s="201" t="n"/>
      <c r="E510" s="201" t="n"/>
      <c r="F510" s="201" t="n"/>
      <c r="G510" s="201" t="n"/>
      <c r="H510" s="201" t="n"/>
      <c r="I510" s="201" t="n"/>
      <c r="J510" s="201" t="n"/>
      <c r="K510" s="201" t="n"/>
      <c r="L510" s="201" t="n"/>
      <c r="M510" s="201" t="n"/>
      <c r="N510" s="201" t="n"/>
      <c r="O510" s="201" t="n"/>
      <c r="P510" s="201" t="n"/>
      <c r="Q510" s="201" t="n"/>
      <c r="R510" s="201" t="n"/>
    </row>
    <row r="511" ht="12.75" customHeight="1" s="202">
      <c r="A511" s="201" t="n"/>
      <c r="B511" s="201" t="n"/>
      <c r="C511" s="201" t="n"/>
      <c r="D511" s="201" t="n"/>
      <c r="E511" s="201" t="n"/>
      <c r="F511" s="201" t="n"/>
      <c r="G511" s="201" t="n"/>
      <c r="H511" s="201" t="n"/>
      <c r="I511" s="201" t="n"/>
      <c r="J511" s="201" t="n"/>
      <c r="K511" s="201" t="n"/>
      <c r="L511" s="201" t="n"/>
      <c r="M511" s="201" t="n"/>
      <c r="N511" s="201" t="n"/>
      <c r="O511" s="201" t="n"/>
      <c r="P511" s="201" t="n"/>
      <c r="Q511" s="201" t="n"/>
      <c r="R511" s="201" t="n"/>
    </row>
    <row r="512" ht="12.75" customHeight="1" s="202">
      <c r="A512" s="201" t="n"/>
      <c r="B512" s="201" t="n"/>
      <c r="C512" s="201" t="n"/>
      <c r="D512" s="201" t="n"/>
      <c r="E512" s="201" t="n"/>
      <c r="F512" s="201" t="n"/>
      <c r="G512" s="201" t="n"/>
      <c r="H512" s="201" t="n"/>
      <c r="I512" s="201" t="n"/>
      <c r="J512" s="201" t="n"/>
      <c r="K512" s="201" t="n"/>
      <c r="L512" s="201" t="n"/>
      <c r="M512" s="201" t="n"/>
      <c r="N512" s="201" t="n"/>
      <c r="O512" s="201" t="n"/>
      <c r="P512" s="201" t="n"/>
      <c r="Q512" s="201" t="n"/>
      <c r="R512" s="201" t="n"/>
    </row>
    <row r="513" ht="12.75" customHeight="1" s="202">
      <c r="A513" s="201" t="n"/>
      <c r="B513" s="201" t="n"/>
      <c r="C513" s="201" t="n"/>
      <c r="D513" s="201" t="n"/>
      <c r="E513" s="201" t="n"/>
      <c r="F513" s="201" t="n"/>
      <c r="G513" s="201" t="n"/>
      <c r="H513" s="201" t="n"/>
      <c r="I513" s="201" t="n"/>
      <c r="J513" s="201" t="n"/>
      <c r="K513" s="201" t="n"/>
      <c r="L513" s="201" t="n"/>
      <c r="M513" s="201" t="n"/>
      <c r="N513" s="201" t="n"/>
      <c r="O513" s="201" t="n"/>
      <c r="P513" s="201" t="n"/>
      <c r="Q513" s="201" t="n"/>
      <c r="R513" s="201" t="n"/>
    </row>
    <row r="514" ht="12.75" customHeight="1" s="202">
      <c r="A514" s="201" t="n"/>
      <c r="B514" s="201" t="n"/>
      <c r="C514" s="201" t="n"/>
      <c r="D514" s="201" t="n"/>
      <c r="E514" s="201" t="n"/>
      <c r="F514" s="201" t="n"/>
      <c r="G514" s="201" t="n"/>
      <c r="H514" s="201" t="n"/>
      <c r="I514" s="201" t="n"/>
      <c r="J514" s="201" t="n"/>
      <c r="K514" s="201" t="n"/>
      <c r="L514" s="201" t="n"/>
      <c r="M514" s="201" t="n"/>
      <c r="N514" s="201" t="n"/>
      <c r="O514" s="201" t="n"/>
      <c r="P514" s="201" t="n"/>
      <c r="Q514" s="201" t="n"/>
      <c r="R514" s="201" t="n"/>
    </row>
    <row r="515" ht="12.75" customHeight="1" s="202">
      <c r="A515" s="201" t="n"/>
      <c r="B515" s="201" t="n"/>
      <c r="C515" s="201" t="n"/>
      <c r="D515" s="201" t="n"/>
      <c r="E515" s="201" t="n"/>
      <c r="F515" s="201" t="n"/>
      <c r="G515" s="201" t="n"/>
      <c r="H515" s="201" t="n"/>
      <c r="I515" s="201" t="n"/>
      <c r="J515" s="201" t="n"/>
      <c r="K515" s="201" t="n"/>
      <c r="L515" s="201" t="n"/>
      <c r="M515" s="201" t="n"/>
      <c r="N515" s="201" t="n"/>
      <c r="O515" s="201" t="n"/>
      <c r="P515" s="201" t="n"/>
      <c r="Q515" s="201" t="n"/>
      <c r="R515" s="201" t="n"/>
    </row>
    <row r="516" ht="12.75" customHeight="1" s="202">
      <c r="A516" s="201" t="n"/>
      <c r="B516" s="201" t="n"/>
      <c r="C516" s="201" t="n"/>
      <c r="D516" s="201" t="n"/>
      <c r="E516" s="201" t="n"/>
      <c r="F516" s="201" t="n"/>
      <c r="G516" s="201" t="n"/>
      <c r="H516" s="201" t="n"/>
      <c r="I516" s="201" t="n"/>
      <c r="J516" s="201" t="n"/>
      <c r="K516" s="201" t="n"/>
      <c r="L516" s="201" t="n"/>
      <c r="M516" s="201" t="n"/>
      <c r="N516" s="201" t="n"/>
      <c r="O516" s="201" t="n"/>
      <c r="P516" s="201" t="n"/>
      <c r="Q516" s="201" t="n"/>
      <c r="R516" s="201" t="n"/>
    </row>
    <row r="517" ht="12.75" customHeight="1" s="202">
      <c r="A517" s="201" t="n"/>
      <c r="B517" s="201" t="n"/>
      <c r="C517" s="201" t="n"/>
      <c r="D517" s="201" t="n"/>
      <c r="E517" s="201" t="n"/>
      <c r="F517" s="201" t="n"/>
      <c r="G517" s="201" t="n"/>
      <c r="H517" s="201" t="n"/>
      <c r="I517" s="201" t="n"/>
      <c r="J517" s="201" t="n"/>
      <c r="K517" s="201" t="n"/>
      <c r="L517" s="201" t="n"/>
      <c r="M517" s="201" t="n"/>
      <c r="N517" s="201" t="n"/>
      <c r="O517" s="201" t="n"/>
      <c r="P517" s="201" t="n"/>
      <c r="Q517" s="201" t="n"/>
      <c r="R517" s="201" t="n"/>
    </row>
    <row r="518" ht="12.75" customHeight="1" s="202">
      <c r="A518" s="201" t="n"/>
      <c r="B518" s="201" t="n"/>
      <c r="C518" s="201" t="n"/>
      <c r="D518" s="201" t="n"/>
      <c r="E518" s="201" t="n"/>
      <c r="F518" s="201" t="n"/>
      <c r="G518" s="201" t="n"/>
      <c r="H518" s="201" t="n"/>
      <c r="I518" s="201" t="n"/>
      <c r="J518" s="201" t="n"/>
      <c r="K518" s="201" t="n"/>
      <c r="L518" s="201" t="n"/>
      <c r="M518" s="201" t="n"/>
      <c r="N518" s="201" t="n"/>
      <c r="O518" s="201" t="n"/>
      <c r="P518" s="201" t="n"/>
      <c r="Q518" s="201" t="n"/>
      <c r="R518" s="201" t="n"/>
    </row>
    <row r="519" ht="12.75" customHeight="1" s="202">
      <c r="A519" s="201" t="n"/>
      <c r="B519" s="201" t="n"/>
      <c r="C519" s="201" t="n"/>
      <c r="D519" s="201" t="n"/>
      <c r="E519" s="201" t="n"/>
      <c r="F519" s="201" t="n"/>
      <c r="G519" s="201" t="n"/>
      <c r="H519" s="201" t="n"/>
      <c r="I519" s="201" t="n"/>
      <c r="J519" s="201" t="n"/>
      <c r="K519" s="201" t="n"/>
      <c r="L519" s="201" t="n"/>
      <c r="M519" s="201" t="n"/>
      <c r="N519" s="201" t="n"/>
      <c r="O519" s="201" t="n"/>
      <c r="P519" s="201" t="n"/>
      <c r="Q519" s="201" t="n"/>
      <c r="R519" s="201" t="n"/>
    </row>
    <row r="520" ht="12.75" customHeight="1" s="202">
      <c r="A520" s="201" t="n"/>
      <c r="B520" s="201" t="n"/>
      <c r="C520" s="201" t="n"/>
      <c r="D520" s="201" t="n"/>
      <c r="E520" s="201" t="n"/>
      <c r="F520" s="201" t="n"/>
      <c r="G520" s="201" t="n"/>
      <c r="H520" s="201" t="n"/>
      <c r="I520" s="201" t="n"/>
      <c r="J520" s="201" t="n"/>
      <c r="K520" s="201" t="n"/>
      <c r="L520" s="201" t="n"/>
      <c r="M520" s="201" t="n"/>
      <c r="N520" s="201" t="n"/>
      <c r="O520" s="201" t="n"/>
      <c r="P520" s="201" t="n"/>
      <c r="Q520" s="201" t="n"/>
      <c r="R520" s="201" t="n"/>
    </row>
    <row r="521" ht="12.75" customHeight="1" s="202">
      <c r="A521" s="201" t="n"/>
      <c r="B521" s="201" t="n"/>
      <c r="C521" s="201" t="n"/>
      <c r="D521" s="201" t="n"/>
      <c r="E521" s="201" t="n"/>
      <c r="F521" s="201" t="n"/>
      <c r="G521" s="201" t="n"/>
      <c r="H521" s="201" t="n"/>
      <c r="I521" s="201" t="n"/>
      <c r="J521" s="201" t="n"/>
      <c r="K521" s="201" t="n"/>
      <c r="L521" s="201" t="n"/>
      <c r="M521" s="201" t="n"/>
      <c r="N521" s="201" t="n"/>
      <c r="O521" s="201" t="n"/>
      <c r="P521" s="201" t="n"/>
      <c r="Q521" s="201" t="n"/>
      <c r="R521" s="201" t="n"/>
    </row>
    <row r="522" ht="12.75" customHeight="1" s="202">
      <c r="A522" s="201" t="n"/>
      <c r="B522" s="201" t="n"/>
      <c r="C522" s="201" t="n"/>
      <c r="D522" s="201" t="n"/>
      <c r="E522" s="201" t="n"/>
      <c r="F522" s="201" t="n"/>
      <c r="G522" s="201" t="n"/>
      <c r="H522" s="201" t="n"/>
      <c r="I522" s="201" t="n"/>
      <c r="J522" s="201" t="n"/>
      <c r="K522" s="201" t="n"/>
      <c r="L522" s="201" t="n"/>
      <c r="M522" s="201" t="n"/>
      <c r="N522" s="201" t="n"/>
      <c r="O522" s="201" t="n"/>
      <c r="P522" s="201" t="n"/>
      <c r="Q522" s="201" t="n"/>
      <c r="R522" s="201" t="n"/>
    </row>
    <row r="523" ht="12.75" customHeight="1" s="202">
      <c r="A523" s="201" t="n"/>
      <c r="B523" s="201" t="n"/>
      <c r="C523" s="201" t="n"/>
      <c r="D523" s="201" t="n"/>
      <c r="E523" s="201" t="n"/>
      <c r="F523" s="201" t="n"/>
      <c r="G523" s="201" t="n"/>
      <c r="H523" s="201" t="n"/>
      <c r="I523" s="201" t="n"/>
      <c r="J523" s="201" t="n"/>
      <c r="K523" s="201" t="n"/>
      <c r="L523" s="201" t="n"/>
      <c r="M523" s="201" t="n"/>
      <c r="N523" s="201" t="n"/>
      <c r="O523" s="201" t="n"/>
      <c r="P523" s="201" t="n"/>
      <c r="Q523" s="201" t="n"/>
      <c r="R523" s="201" t="n"/>
    </row>
    <row r="524" ht="12.75" customHeight="1" s="202">
      <c r="A524" s="201" t="n"/>
      <c r="B524" s="201" t="n"/>
      <c r="C524" s="201" t="n"/>
      <c r="D524" s="201" t="n"/>
      <c r="E524" s="201" t="n"/>
      <c r="F524" s="201" t="n"/>
      <c r="G524" s="201" t="n"/>
      <c r="H524" s="201" t="n"/>
      <c r="I524" s="201" t="n"/>
      <c r="J524" s="201" t="n"/>
      <c r="K524" s="201" t="n"/>
      <c r="L524" s="201" t="n"/>
      <c r="M524" s="201" t="n"/>
      <c r="N524" s="201" t="n"/>
      <c r="O524" s="201" t="n"/>
      <c r="P524" s="201" t="n"/>
      <c r="Q524" s="201" t="n"/>
      <c r="R524" s="201" t="n"/>
    </row>
    <row r="525" ht="12.75" customHeight="1" s="202">
      <c r="A525" s="201" t="n"/>
      <c r="B525" s="201" t="n"/>
      <c r="C525" s="201" t="n"/>
      <c r="D525" s="201" t="n"/>
      <c r="E525" s="201" t="n"/>
      <c r="F525" s="201" t="n"/>
      <c r="G525" s="201" t="n"/>
      <c r="H525" s="201" t="n"/>
      <c r="I525" s="201" t="n"/>
      <c r="J525" s="201" t="n"/>
      <c r="K525" s="201" t="n"/>
      <c r="L525" s="201" t="n"/>
      <c r="M525" s="201" t="n"/>
      <c r="N525" s="201" t="n"/>
      <c r="O525" s="201" t="n"/>
      <c r="P525" s="201" t="n"/>
      <c r="Q525" s="201" t="n"/>
      <c r="R525" s="201" t="n"/>
    </row>
    <row r="526" ht="12.75" customHeight="1" s="202">
      <c r="A526" s="201" t="n"/>
      <c r="B526" s="201" t="n"/>
      <c r="C526" s="201" t="n"/>
      <c r="D526" s="201" t="n"/>
      <c r="E526" s="201" t="n"/>
      <c r="F526" s="201" t="n"/>
      <c r="G526" s="201" t="n"/>
      <c r="H526" s="201" t="n"/>
      <c r="I526" s="201" t="n"/>
      <c r="J526" s="201" t="n"/>
      <c r="K526" s="201" t="n"/>
      <c r="L526" s="201" t="n"/>
      <c r="M526" s="201" t="n"/>
      <c r="N526" s="201" t="n"/>
      <c r="O526" s="201" t="n"/>
      <c r="P526" s="201" t="n"/>
      <c r="Q526" s="201" t="n"/>
      <c r="R526" s="201" t="n"/>
    </row>
    <row r="527" ht="12.75" customHeight="1" s="202">
      <c r="A527" s="201" t="n"/>
      <c r="B527" s="201" t="n"/>
      <c r="C527" s="201" t="n"/>
      <c r="D527" s="201" t="n"/>
      <c r="E527" s="201" t="n"/>
      <c r="F527" s="201" t="n"/>
      <c r="G527" s="201" t="n"/>
      <c r="H527" s="201" t="n"/>
      <c r="I527" s="201" t="n"/>
      <c r="J527" s="201" t="n"/>
      <c r="K527" s="201" t="n"/>
      <c r="L527" s="201" t="n"/>
      <c r="M527" s="201" t="n"/>
      <c r="N527" s="201" t="n"/>
      <c r="O527" s="201" t="n"/>
      <c r="P527" s="201" t="n"/>
      <c r="Q527" s="201" t="n"/>
      <c r="R527" s="201" t="n"/>
    </row>
    <row r="528" ht="12.75" customHeight="1" s="202">
      <c r="A528" s="201" t="n"/>
      <c r="B528" s="201" t="n"/>
      <c r="C528" s="201" t="n"/>
      <c r="D528" s="201" t="n"/>
      <c r="E528" s="201" t="n"/>
      <c r="F528" s="201" t="n"/>
      <c r="G528" s="201" t="n"/>
      <c r="H528" s="201" t="n"/>
      <c r="I528" s="201" t="n"/>
      <c r="J528" s="201" t="n"/>
      <c r="K528" s="201" t="n"/>
      <c r="L528" s="201" t="n"/>
      <c r="M528" s="201" t="n"/>
      <c r="N528" s="201" t="n"/>
      <c r="O528" s="201" t="n"/>
      <c r="P528" s="201" t="n"/>
      <c r="Q528" s="201" t="n"/>
      <c r="R528" s="201" t="n"/>
    </row>
    <row r="529" ht="12.75" customHeight="1" s="202">
      <c r="A529" s="201" t="n"/>
      <c r="B529" s="201" t="n"/>
      <c r="C529" s="201" t="n"/>
      <c r="D529" s="201" t="n"/>
      <c r="E529" s="201" t="n"/>
      <c r="F529" s="201" t="n"/>
      <c r="G529" s="201" t="n"/>
      <c r="H529" s="201" t="n"/>
      <c r="I529" s="201" t="n"/>
      <c r="J529" s="201" t="n"/>
      <c r="K529" s="201" t="n"/>
      <c r="L529" s="201" t="n"/>
      <c r="M529" s="201" t="n"/>
      <c r="N529" s="201" t="n"/>
      <c r="O529" s="201" t="n"/>
      <c r="P529" s="201" t="n"/>
      <c r="Q529" s="201" t="n"/>
      <c r="R529" s="201" t="n"/>
    </row>
    <row r="530" ht="12.75" customHeight="1" s="202">
      <c r="A530" s="201" t="n"/>
      <c r="B530" s="201" t="n"/>
      <c r="C530" s="201" t="n"/>
      <c r="D530" s="201" t="n"/>
      <c r="E530" s="201" t="n"/>
      <c r="F530" s="201" t="n"/>
      <c r="G530" s="201" t="n"/>
      <c r="H530" s="201" t="n"/>
      <c r="I530" s="201" t="n"/>
      <c r="J530" s="201" t="n"/>
      <c r="K530" s="201" t="n"/>
      <c r="L530" s="201" t="n"/>
      <c r="M530" s="201" t="n"/>
      <c r="N530" s="201" t="n"/>
      <c r="O530" s="201" t="n"/>
      <c r="P530" s="201" t="n"/>
      <c r="Q530" s="201" t="n"/>
      <c r="R530" s="201" t="n"/>
    </row>
    <row r="531" ht="12.75" customHeight="1" s="202">
      <c r="A531" s="201" t="n"/>
      <c r="B531" s="201" t="n"/>
      <c r="C531" s="201" t="n"/>
      <c r="D531" s="201" t="n"/>
      <c r="E531" s="201" t="n"/>
      <c r="F531" s="201" t="n"/>
      <c r="G531" s="201" t="n"/>
      <c r="H531" s="201" t="n"/>
      <c r="I531" s="201" t="n"/>
      <c r="J531" s="201" t="n"/>
      <c r="K531" s="201" t="n"/>
      <c r="L531" s="201" t="n"/>
      <c r="M531" s="201" t="n"/>
      <c r="N531" s="201" t="n"/>
      <c r="O531" s="201" t="n"/>
      <c r="P531" s="201" t="n"/>
      <c r="Q531" s="201" t="n"/>
      <c r="R531" s="201" t="n"/>
    </row>
    <row r="532" ht="12.75" customHeight="1" s="202">
      <c r="A532" s="201" t="n"/>
      <c r="B532" s="201" t="n"/>
      <c r="C532" s="201" t="n"/>
      <c r="D532" s="201" t="n"/>
      <c r="E532" s="201" t="n"/>
      <c r="F532" s="201" t="n"/>
      <c r="G532" s="201" t="n"/>
      <c r="H532" s="201" t="n"/>
      <c r="I532" s="201" t="n"/>
      <c r="J532" s="201" t="n"/>
      <c r="K532" s="201" t="n"/>
      <c r="L532" s="201" t="n"/>
      <c r="M532" s="201" t="n"/>
      <c r="N532" s="201" t="n"/>
      <c r="O532" s="201" t="n"/>
      <c r="P532" s="201" t="n"/>
      <c r="Q532" s="201" t="n"/>
      <c r="R532" s="201" t="n"/>
    </row>
    <row r="533" ht="12.75" customHeight="1" s="202">
      <c r="A533" s="201" t="n"/>
      <c r="B533" s="201" t="n"/>
      <c r="C533" s="201" t="n"/>
      <c r="D533" s="201" t="n"/>
      <c r="E533" s="201" t="n"/>
      <c r="F533" s="201" t="n"/>
      <c r="G533" s="201" t="n"/>
      <c r="H533" s="201" t="n"/>
      <c r="I533" s="201" t="n"/>
      <c r="J533" s="201" t="n"/>
      <c r="K533" s="201" t="n"/>
      <c r="L533" s="201" t="n"/>
      <c r="M533" s="201" t="n"/>
      <c r="N533" s="201" t="n"/>
      <c r="O533" s="201" t="n"/>
      <c r="P533" s="201" t="n"/>
      <c r="Q533" s="201" t="n"/>
      <c r="R533" s="201" t="n"/>
    </row>
    <row r="534" ht="12.75" customHeight="1" s="202">
      <c r="A534" s="201" t="n"/>
      <c r="B534" s="201" t="n"/>
      <c r="C534" s="201" t="n"/>
      <c r="D534" s="201" t="n"/>
      <c r="E534" s="201" t="n"/>
      <c r="F534" s="201" t="n"/>
      <c r="G534" s="201" t="n"/>
      <c r="H534" s="201" t="n"/>
      <c r="I534" s="201" t="n"/>
      <c r="J534" s="201" t="n"/>
      <c r="K534" s="201" t="n"/>
      <c r="L534" s="201" t="n"/>
      <c r="M534" s="201" t="n"/>
      <c r="N534" s="201" t="n"/>
      <c r="O534" s="201" t="n"/>
      <c r="P534" s="201" t="n"/>
      <c r="Q534" s="201" t="n"/>
      <c r="R534" s="201" t="n"/>
    </row>
    <row r="535" ht="12.75" customHeight="1" s="202">
      <c r="A535" s="201" t="n"/>
      <c r="B535" s="201" t="n"/>
      <c r="C535" s="201" t="n"/>
      <c r="D535" s="201" t="n"/>
      <c r="E535" s="201" t="n"/>
      <c r="F535" s="201" t="n"/>
      <c r="G535" s="201" t="n"/>
      <c r="H535" s="201" t="n"/>
      <c r="I535" s="201" t="n"/>
      <c r="J535" s="201" t="n"/>
      <c r="K535" s="201" t="n"/>
      <c r="L535" s="201" t="n"/>
      <c r="M535" s="201" t="n"/>
      <c r="N535" s="201" t="n"/>
      <c r="O535" s="201" t="n"/>
      <c r="P535" s="201" t="n"/>
      <c r="Q535" s="201" t="n"/>
      <c r="R535" s="201" t="n"/>
    </row>
    <row r="536" ht="12.75" customHeight="1" s="202">
      <c r="A536" s="201" t="n"/>
      <c r="B536" s="201" t="n"/>
      <c r="C536" s="201" t="n"/>
      <c r="D536" s="201" t="n"/>
      <c r="E536" s="201" t="n"/>
      <c r="F536" s="201" t="n"/>
      <c r="G536" s="201" t="n"/>
      <c r="H536" s="201" t="n"/>
      <c r="I536" s="201" t="n"/>
      <c r="J536" s="201" t="n"/>
      <c r="K536" s="201" t="n"/>
      <c r="L536" s="201" t="n"/>
      <c r="M536" s="201" t="n"/>
      <c r="N536" s="201" t="n"/>
      <c r="O536" s="201" t="n"/>
      <c r="P536" s="201" t="n"/>
      <c r="Q536" s="201" t="n"/>
      <c r="R536" s="201" t="n"/>
    </row>
    <row r="537" ht="12.75" customHeight="1" s="202">
      <c r="A537" s="201" t="n"/>
      <c r="B537" s="201" t="n"/>
      <c r="C537" s="201" t="n"/>
      <c r="D537" s="201" t="n"/>
      <c r="E537" s="201" t="n"/>
      <c r="F537" s="201" t="n"/>
      <c r="G537" s="201" t="n"/>
      <c r="H537" s="201" t="n"/>
      <c r="I537" s="201" t="n"/>
      <c r="J537" s="201" t="n"/>
      <c r="K537" s="201" t="n"/>
      <c r="L537" s="201" t="n"/>
      <c r="M537" s="201" t="n"/>
      <c r="N537" s="201" t="n"/>
      <c r="O537" s="201" t="n"/>
      <c r="P537" s="201" t="n"/>
      <c r="Q537" s="201" t="n"/>
      <c r="R537" s="201" t="n"/>
    </row>
    <row r="538" ht="12.75" customHeight="1" s="202">
      <c r="A538" s="201" t="n"/>
      <c r="B538" s="201" t="n"/>
      <c r="C538" s="201" t="n"/>
      <c r="D538" s="201" t="n"/>
      <c r="E538" s="201" t="n"/>
      <c r="F538" s="201" t="n"/>
      <c r="G538" s="201" t="n"/>
      <c r="H538" s="201" t="n"/>
      <c r="I538" s="201" t="n"/>
      <c r="J538" s="201" t="n"/>
      <c r="K538" s="201" t="n"/>
      <c r="L538" s="201" t="n"/>
      <c r="M538" s="201" t="n"/>
      <c r="N538" s="201" t="n"/>
      <c r="O538" s="201" t="n"/>
      <c r="P538" s="201" t="n"/>
      <c r="Q538" s="201" t="n"/>
      <c r="R538" s="201" t="n"/>
    </row>
    <row r="539" ht="12.75" customHeight="1" s="202">
      <c r="A539" s="201" t="n"/>
      <c r="B539" s="201" t="n"/>
      <c r="C539" s="201" t="n"/>
      <c r="D539" s="201" t="n"/>
      <c r="E539" s="201" t="n"/>
      <c r="F539" s="201" t="n"/>
      <c r="G539" s="201" t="n"/>
      <c r="H539" s="201" t="n"/>
      <c r="I539" s="201" t="n"/>
      <c r="J539" s="201" t="n"/>
      <c r="K539" s="201" t="n"/>
      <c r="L539" s="201" t="n"/>
      <c r="M539" s="201" t="n"/>
      <c r="N539" s="201" t="n"/>
      <c r="O539" s="201" t="n"/>
      <c r="P539" s="201" t="n"/>
      <c r="Q539" s="201" t="n"/>
      <c r="R539" s="201" t="n"/>
    </row>
    <row r="540" ht="12.75" customHeight="1" s="202">
      <c r="A540" s="201" t="n"/>
      <c r="B540" s="201" t="n"/>
      <c r="C540" s="201" t="n"/>
      <c r="D540" s="201" t="n"/>
      <c r="E540" s="201" t="n"/>
      <c r="F540" s="201" t="n"/>
      <c r="G540" s="201" t="n"/>
      <c r="H540" s="201" t="n"/>
      <c r="I540" s="201" t="n"/>
      <c r="J540" s="201" t="n"/>
      <c r="K540" s="201" t="n"/>
      <c r="L540" s="201" t="n"/>
      <c r="M540" s="201" t="n"/>
      <c r="N540" s="201" t="n"/>
      <c r="O540" s="201" t="n"/>
      <c r="P540" s="201" t="n"/>
      <c r="Q540" s="201" t="n"/>
      <c r="R540" s="201" t="n"/>
    </row>
    <row r="541" ht="12.75" customHeight="1" s="202">
      <c r="A541" s="201" t="n"/>
      <c r="B541" s="201" t="n"/>
      <c r="C541" s="201" t="n"/>
      <c r="D541" s="201" t="n"/>
      <c r="E541" s="201" t="n"/>
      <c r="F541" s="201" t="n"/>
      <c r="G541" s="201" t="n"/>
      <c r="H541" s="201" t="n"/>
      <c r="I541" s="201" t="n"/>
      <c r="J541" s="201" t="n"/>
      <c r="K541" s="201" t="n"/>
      <c r="L541" s="201" t="n"/>
      <c r="M541" s="201" t="n"/>
      <c r="N541" s="201" t="n"/>
      <c r="O541" s="201" t="n"/>
      <c r="P541" s="201" t="n"/>
      <c r="Q541" s="201" t="n"/>
      <c r="R541" s="201" t="n"/>
    </row>
    <row r="542" ht="12.75" customHeight="1" s="202">
      <c r="A542" s="201" t="n"/>
      <c r="B542" s="201" t="n"/>
      <c r="C542" s="201" t="n"/>
      <c r="D542" s="201" t="n"/>
      <c r="E542" s="201" t="n"/>
      <c r="F542" s="201" t="n"/>
      <c r="G542" s="201" t="n"/>
      <c r="H542" s="201" t="n"/>
      <c r="I542" s="201" t="n"/>
      <c r="J542" s="201" t="n"/>
      <c r="K542" s="201" t="n"/>
      <c r="L542" s="201" t="n"/>
      <c r="M542" s="201" t="n"/>
      <c r="N542" s="201" t="n"/>
      <c r="O542" s="201" t="n"/>
      <c r="P542" s="201" t="n"/>
      <c r="Q542" s="201" t="n"/>
      <c r="R542" s="201" t="n"/>
    </row>
    <row r="543" ht="12.75" customHeight="1" s="202">
      <c r="A543" s="201" t="n"/>
      <c r="B543" s="201" t="n"/>
      <c r="C543" s="201" t="n"/>
      <c r="D543" s="201" t="n"/>
      <c r="E543" s="201" t="n"/>
      <c r="F543" s="201" t="n"/>
      <c r="G543" s="201" t="n"/>
      <c r="H543" s="201" t="n"/>
      <c r="I543" s="201" t="n"/>
      <c r="J543" s="201" t="n"/>
      <c r="K543" s="201" t="n"/>
      <c r="L543" s="201" t="n"/>
      <c r="M543" s="201" t="n"/>
      <c r="N543" s="201" t="n"/>
      <c r="O543" s="201" t="n"/>
      <c r="P543" s="201" t="n"/>
      <c r="Q543" s="201" t="n"/>
      <c r="R543" s="201" t="n"/>
    </row>
    <row r="544" ht="12.75" customHeight="1" s="202">
      <c r="A544" s="201" t="n"/>
      <c r="B544" s="201" t="n"/>
      <c r="C544" s="201" t="n"/>
      <c r="D544" s="201" t="n"/>
      <c r="E544" s="201" t="n"/>
      <c r="F544" s="201" t="n"/>
      <c r="G544" s="201" t="n"/>
      <c r="H544" s="201" t="n"/>
      <c r="I544" s="201" t="n"/>
      <c r="J544" s="201" t="n"/>
      <c r="K544" s="201" t="n"/>
      <c r="L544" s="201" t="n"/>
      <c r="M544" s="201" t="n"/>
      <c r="N544" s="201" t="n"/>
      <c r="O544" s="201" t="n"/>
      <c r="P544" s="201" t="n"/>
      <c r="Q544" s="201" t="n"/>
      <c r="R544" s="201" t="n"/>
    </row>
    <row r="545" ht="12.75" customHeight="1" s="202">
      <c r="A545" s="201" t="n"/>
      <c r="B545" s="201" t="n"/>
      <c r="C545" s="201" t="n"/>
      <c r="D545" s="201" t="n"/>
      <c r="E545" s="201" t="n"/>
      <c r="F545" s="201" t="n"/>
      <c r="G545" s="201" t="n"/>
      <c r="H545" s="201" t="n"/>
      <c r="I545" s="201" t="n"/>
      <c r="J545" s="201" t="n"/>
      <c r="K545" s="201" t="n"/>
      <c r="L545" s="201" t="n"/>
      <c r="M545" s="201" t="n"/>
      <c r="N545" s="201" t="n"/>
      <c r="O545" s="201" t="n"/>
      <c r="P545" s="201" t="n"/>
      <c r="Q545" s="201" t="n"/>
      <c r="R545" s="201" t="n"/>
    </row>
    <row r="546" ht="12.75" customHeight="1" s="202">
      <c r="A546" s="201" t="n"/>
      <c r="B546" s="201" t="n"/>
      <c r="C546" s="201" t="n"/>
      <c r="D546" s="201" t="n"/>
      <c r="E546" s="201" t="n"/>
      <c r="F546" s="201" t="n"/>
      <c r="G546" s="201" t="n"/>
      <c r="H546" s="201" t="n"/>
      <c r="I546" s="201" t="n"/>
      <c r="J546" s="201" t="n"/>
      <c r="K546" s="201" t="n"/>
      <c r="L546" s="201" t="n"/>
      <c r="M546" s="201" t="n"/>
      <c r="N546" s="201" t="n"/>
      <c r="O546" s="201" t="n"/>
      <c r="P546" s="201" t="n"/>
      <c r="Q546" s="201" t="n"/>
      <c r="R546" s="201" t="n"/>
    </row>
    <row r="547" ht="12.75" customHeight="1" s="202">
      <c r="A547" s="201" t="n"/>
      <c r="B547" s="201" t="n"/>
      <c r="C547" s="201" t="n"/>
      <c r="D547" s="201" t="n"/>
      <c r="E547" s="201" t="n"/>
      <c r="F547" s="201" t="n"/>
      <c r="G547" s="201" t="n"/>
      <c r="H547" s="201" t="n"/>
      <c r="I547" s="201" t="n"/>
      <c r="J547" s="201" t="n"/>
      <c r="K547" s="201" t="n"/>
      <c r="L547" s="201" t="n"/>
      <c r="M547" s="201" t="n"/>
      <c r="N547" s="201" t="n"/>
      <c r="O547" s="201" t="n"/>
      <c r="P547" s="201" t="n"/>
      <c r="Q547" s="201" t="n"/>
      <c r="R547" s="201" t="n"/>
    </row>
    <row r="548" ht="12.75" customHeight="1" s="202">
      <c r="A548" s="201" t="n"/>
      <c r="B548" s="201" t="n"/>
      <c r="C548" s="201" t="n"/>
      <c r="D548" s="201" t="n"/>
      <c r="E548" s="201" t="n"/>
      <c r="F548" s="201" t="n"/>
      <c r="G548" s="201" t="n"/>
      <c r="H548" s="201" t="n"/>
      <c r="I548" s="201" t="n"/>
      <c r="J548" s="201" t="n"/>
      <c r="K548" s="201" t="n"/>
      <c r="L548" s="201" t="n"/>
      <c r="M548" s="201" t="n"/>
      <c r="N548" s="201" t="n"/>
      <c r="O548" s="201" t="n"/>
      <c r="P548" s="201" t="n"/>
      <c r="Q548" s="201" t="n"/>
      <c r="R548" s="201" t="n"/>
    </row>
    <row r="549" ht="12.75" customHeight="1" s="202">
      <c r="A549" s="201" t="n"/>
      <c r="B549" s="201" t="n"/>
      <c r="C549" s="201" t="n"/>
      <c r="D549" s="201" t="n"/>
      <c r="E549" s="201" t="n"/>
      <c r="F549" s="201" t="n"/>
      <c r="G549" s="201" t="n"/>
      <c r="H549" s="201" t="n"/>
      <c r="I549" s="201" t="n"/>
      <c r="J549" s="201" t="n"/>
      <c r="K549" s="201" t="n"/>
      <c r="L549" s="201" t="n"/>
      <c r="M549" s="201" t="n"/>
      <c r="N549" s="201" t="n"/>
      <c r="O549" s="201" t="n"/>
      <c r="P549" s="201" t="n"/>
      <c r="Q549" s="201" t="n"/>
      <c r="R549" s="201" t="n"/>
    </row>
    <row r="550" ht="12.75" customHeight="1" s="202">
      <c r="A550" s="201" t="n"/>
      <c r="B550" s="201" t="n"/>
      <c r="C550" s="201" t="n"/>
      <c r="D550" s="201" t="n"/>
      <c r="E550" s="201" t="n"/>
      <c r="F550" s="201" t="n"/>
      <c r="G550" s="201" t="n"/>
      <c r="H550" s="201" t="n"/>
      <c r="I550" s="201" t="n"/>
      <c r="J550" s="201" t="n"/>
      <c r="K550" s="201" t="n"/>
      <c r="L550" s="201" t="n"/>
      <c r="M550" s="201" t="n"/>
      <c r="N550" s="201" t="n"/>
      <c r="O550" s="201" t="n"/>
      <c r="P550" s="201" t="n"/>
      <c r="Q550" s="201" t="n"/>
      <c r="R550" s="201" t="n"/>
    </row>
    <row r="551" ht="12.75" customHeight="1" s="202">
      <c r="A551" s="201" t="n"/>
      <c r="B551" s="201" t="n"/>
      <c r="C551" s="201" t="n"/>
      <c r="D551" s="201" t="n"/>
      <c r="E551" s="201" t="n"/>
      <c r="F551" s="201" t="n"/>
      <c r="G551" s="201" t="n"/>
      <c r="H551" s="201" t="n"/>
      <c r="I551" s="201" t="n"/>
      <c r="J551" s="201" t="n"/>
      <c r="K551" s="201" t="n"/>
      <c r="L551" s="201" t="n"/>
      <c r="M551" s="201" t="n"/>
      <c r="N551" s="201" t="n"/>
      <c r="O551" s="201" t="n"/>
      <c r="P551" s="201" t="n"/>
      <c r="Q551" s="201" t="n"/>
      <c r="R551" s="201" t="n"/>
    </row>
    <row r="552" ht="12.75" customHeight="1" s="202">
      <c r="A552" s="201" t="n"/>
      <c r="B552" s="201" t="n"/>
      <c r="C552" s="201" t="n"/>
      <c r="D552" s="201" t="n"/>
      <c r="E552" s="201" t="n"/>
      <c r="F552" s="201" t="n"/>
      <c r="G552" s="201" t="n"/>
      <c r="H552" s="201" t="n"/>
      <c r="I552" s="201" t="n"/>
      <c r="J552" s="201" t="n"/>
      <c r="K552" s="201" t="n"/>
      <c r="L552" s="201" t="n"/>
      <c r="M552" s="201" t="n"/>
      <c r="N552" s="201" t="n"/>
      <c r="O552" s="201" t="n"/>
      <c r="P552" s="201" t="n"/>
      <c r="Q552" s="201" t="n"/>
      <c r="R552" s="201" t="n"/>
    </row>
    <row r="553" ht="12.75" customHeight="1" s="202">
      <c r="A553" s="201" t="n"/>
      <c r="B553" s="201" t="n"/>
      <c r="C553" s="201" t="n"/>
      <c r="D553" s="201" t="n"/>
      <c r="E553" s="201" t="n"/>
      <c r="F553" s="201" t="n"/>
      <c r="G553" s="201" t="n"/>
      <c r="H553" s="201" t="n"/>
      <c r="I553" s="201" t="n"/>
      <c r="J553" s="201" t="n"/>
      <c r="K553" s="201" t="n"/>
      <c r="L553" s="201" t="n"/>
      <c r="M553" s="201" t="n"/>
      <c r="N553" s="201" t="n"/>
      <c r="O553" s="201" t="n"/>
      <c r="P553" s="201" t="n"/>
      <c r="Q553" s="201" t="n"/>
      <c r="R553" s="201" t="n"/>
    </row>
    <row r="554" ht="12.75" customHeight="1" s="202">
      <c r="A554" s="201" t="n"/>
      <c r="B554" s="201" t="n"/>
      <c r="C554" s="201" t="n"/>
      <c r="D554" s="201" t="n"/>
      <c r="E554" s="201" t="n"/>
      <c r="F554" s="201" t="n"/>
      <c r="G554" s="201" t="n"/>
      <c r="H554" s="201" t="n"/>
      <c r="I554" s="201" t="n"/>
      <c r="J554" s="201" t="n"/>
      <c r="K554" s="201" t="n"/>
      <c r="L554" s="201" t="n"/>
      <c r="M554" s="201" t="n"/>
      <c r="N554" s="201" t="n"/>
      <c r="O554" s="201" t="n"/>
      <c r="P554" s="201" t="n"/>
      <c r="Q554" s="201" t="n"/>
      <c r="R554" s="201" t="n"/>
    </row>
    <row r="555" ht="12.75" customHeight="1" s="202">
      <c r="A555" s="201" t="n"/>
      <c r="B555" s="201" t="n"/>
      <c r="C555" s="201" t="n"/>
      <c r="D555" s="201" t="n"/>
      <c r="E555" s="201" t="n"/>
      <c r="F555" s="201" t="n"/>
      <c r="G555" s="201" t="n"/>
      <c r="H555" s="201" t="n"/>
      <c r="I555" s="201" t="n"/>
      <c r="J555" s="201" t="n"/>
      <c r="K555" s="201" t="n"/>
      <c r="L555" s="201" t="n"/>
      <c r="M555" s="201" t="n"/>
      <c r="N555" s="201" t="n"/>
      <c r="O555" s="201" t="n"/>
      <c r="P555" s="201" t="n"/>
      <c r="Q555" s="201" t="n"/>
      <c r="R555" s="201" t="n"/>
    </row>
    <row r="556" ht="12.75" customHeight="1" s="202">
      <c r="A556" s="201" t="n"/>
      <c r="B556" s="201" t="n"/>
      <c r="C556" s="201" t="n"/>
      <c r="D556" s="201" t="n"/>
      <c r="E556" s="201" t="n"/>
      <c r="F556" s="201" t="n"/>
      <c r="G556" s="201" t="n"/>
      <c r="H556" s="201" t="n"/>
      <c r="I556" s="201" t="n"/>
      <c r="J556" s="201" t="n"/>
      <c r="K556" s="201" t="n"/>
      <c r="L556" s="201" t="n"/>
      <c r="M556" s="201" t="n"/>
      <c r="N556" s="201" t="n"/>
      <c r="O556" s="201" t="n"/>
      <c r="P556" s="201" t="n"/>
      <c r="Q556" s="201" t="n"/>
      <c r="R556" s="201" t="n"/>
    </row>
    <row r="557" ht="12.75" customHeight="1" s="202">
      <c r="A557" s="201" t="n"/>
      <c r="B557" s="201" t="n"/>
      <c r="C557" s="201" t="n"/>
      <c r="D557" s="201" t="n"/>
      <c r="E557" s="201" t="n"/>
      <c r="F557" s="201" t="n"/>
      <c r="G557" s="201" t="n"/>
      <c r="H557" s="201" t="n"/>
      <c r="I557" s="201" t="n"/>
      <c r="J557" s="201" t="n"/>
      <c r="K557" s="201" t="n"/>
      <c r="L557" s="201" t="n"/>
      <c r="M557" s="201" t="n"/>
      <c r="N557" s="201" t="n"/>
      <c r="O557" s="201" t="n"/>
      <c r="P557" s="201" t="n"/>
      <c r="Q557" s="201" t="n"/>
      <c r="R557" s="201" t="n"/>
    </row>
    <row r="558" ht="12.75" customHeight="1" s="202">
      <c r="A558" s="201" t="n"/>
      <c r="B558" s="201" t="n"/>
      <c r="C558" s="201" t="n"/>
      <c r="D558" s="201" t="n"/>
      <c r="E558" s="201" t="n"/>
      <c r="F558" s="201" t="n"/>
      <c r="G558" s="201" t="n"/>
      <c r="H558" s="201" t="n"/>
      <c r="I558" s="201" t="n"/>
      <c r="J558" s="201" t="n"/>
      <c r="K558" s="201" t="n"/>
      <c r="L558" s="201" t="n"/>
      <c r="M558" s="201" t="n"/>
      <c r="N558" s="201" t="n"/>
      <c r="O558" s="201" t="n"/>
      <c r="P558" s="201" t="n"/>
      <c r="Q558" s="201" t="n"/>
      <c r="R558" s="201" t="n"/>
    </row>
    <row r="559" ht="12.75" customHeight="1" s="202">
      <c r="A559" s="201" t="n"/>
      <c r="B559" s="201" t="n"/>
      <c r="C559" s="201" t="n"/>
      <c r="D559" s="201" t="n"/>
      <c r="E559" s="201" t="n"/>
      <c r="F559" s="201" t="n"/>
      <c r="G559" s="201" t="n"/>
      <c r="H559" s="201" t="n"/>
      <c r="I559" s="201" t="n"/>
      <c r="J559" s="201" t="n"/>
      <c r="K559" s="201" t="n"/>
      <c r="L559" s="201" t="n"/>
      <c r="M559" s="201" t="n"/>
      <c r="N559" s="201" t="n"/>
      <c r="O559" s="201" t="n"/>
      <c r="P559" s="201" t="n"/>
      <c r="Q559" s="201" t="n"/>
      <c r="R559" s="201" t="n"/>
    </row>
    <row r="560" ht="12.75" customHeight="1" s="202">
      <c r="A560" s="201" t="n"/>
      <c r="B560" s="201" t="n"/>
      <c r="C560" s="201" t="n"/>
      <c r="D560" s="201" t="n"/>
      <c r="E560" s="201" t="n"/>
      <c r="F560" s="201" t="n"/>
      <c r="G560" s="201" t="n"/>
      <c r="H560" s="201" t="n"/>
      <c r="I560" s="201" t="n"/>
      <c r="J560" s="201" t="n"/>
      <c r="K560" s="201" t="n"/>
      <c r="L560" s="201" t="n"/>
      <c r="M560" s="201" t="n"/>
      <c r="N560" s="201" t="n"/>
      <c r="O560" s="201" t="n"/>
      <c r="P560" s="201" t="n"/>
      <c r="Q560" s="201" t="n"/>
      <c r="R560" s="201" t="n"/>
    </row>
    <row r="561" ht="12.75" customHeight="1" s="202">
      <c r="A561" s="201" t="n"/>
      <c r="B561" s="201" t="n"/>
      <c r="C561" s="201" t="n"/>
      <c r="D561" s="201" t="n"/>
      <c r="E561" s="201" t="n"/>
      <c r="F561" s="201" t="n"/>
      <c r="G561" s="201" t="n"/>
      <c r="H561" s="201" t="n"/>
      <c r="I561" s="201" t="n"/>
      <c r="J561" s="201" t="n"/>
      <c r="K561" s="201" t="n"/>
      <c r="L561" s="201" t="n"/>
      <c r="M561" s="201" t="n"/>
      <c r="N561" s="201" t="n"/>
      <c r="O561" s="201" t="n"/>
      <c r="P561" s="201" t="n"/>
      <c r="Q561" s="201" t="n"/>
      <c r="R561" s="201" t="n"/>
    </row>
    <row r="562" ht="12.75" customHeight="1" s="202">
      <c r="A562" s="201" t="n"/>
      <c r="B562" s="201" t="n"/>
      <c r="C562" s="201" t="n"/>
      <c r="D562" s="201" t="n"/>
      <c r="E562" s="201" t="n"/>
      <c r="F562" s="201" t="n"/>
      <c r="G562" s="201" t="n"/>
      <c r="H562" s="201" t="n"/>
      <c r="I562" s="201" t="n"/>
      <c r="J562" s="201" t="n"/>
      <c r="K562" s="201" t="n"/>
      <c r="L562" s="201" t="n"/>
      <c r="M562" s="201" t="n"/>
      <c r="N562" s="201" t="n"/>
      <c r="O562" s="201" t="n"/>
      <c r="P562" s="201" t="n"/>
      <c r="Q562" s="201" t="n"/>
      <c r="R562" s="201" t="n"/>
    </row>
    <row r="563" ht="12.75" customHeight="1" s="202">
      <c r="A563" s="201" t="n"/>
      <c r="B563" s="201" t="n"/>
      <c r="C563" s="201" t="n"/>
      <c r="D563" s="201" t="n"/>
      <c r="E563" s="201" t="n"/>
      <c r="F563" s="201" t="n"/>
      <c r="G563" s="201" t="n"/>
      <c r="H563" s="201" t="n"/>
      <c r="I563" s="201" t="n"/>
      <c r="J563" s="201" t="n"/>
      <c r="K563" s="201" t="n"/>
      <c r="L563" s="201" t="n"/>
      <c r="M563" s="201" t="n"/>
      <c r="N563" s="201" t="n"/>
      <c r="O563" s="201" t="n"/>
      <c r="P563" s="201" t="n"/>
      <c r="Q563" s="201" t="n"/>
      <c r="R563" s="201" t="n"/>
    </row>
    <row r="564" ht="12.75" customHeight="1" s="202">
      <c r="A564" s="201" t="n"/>
      <c r="B564" s="201" t="n"/>
      <c r="C564" s="201" t="n"/>
      <c r="D564" s="201" t="n"/>
      <c r="E564" s="201" t="n"/>
      <c r="F564" s="201" t="n"/>
      <c r="G564" s="201" t="n"/>
      <c r="H564" s="201" t="n"/>
      <c r="I564" s="201" t="n"/>
      <c r="J564" s="201" t="n"/>
      <c r="K564" s="201" t="n"/>
      <c r="L564" s="201" t="n"/>
      <c r="M564" s="201" t="n"/>
      <c r="N564" s="201" t="n"/>
      <c r="O564" s="201" t="n"/>
      <c r="P564" s="201" t="n"/>
      <c r="Q564" s="201" t="n"/>
      <c r="R564" s="201" t="n"/>
    </row>
    <row r="565" ht="12.75" customHeight="1" s="202">
      <c r="A565" s="201" t="n"/>
      <c r="B565" s="201" t="n"/>
      <c r="C565" s="201" t="n"/>
      <c r="D565" s="201" t="n"/>
      <c r="E565" s="201" t="n"/>
      <c r="F565" s="201" t="n"/>
      <c r="G565" s="201" t="n"/>
      <c r="H565" s="201" t="n"/>
      <c r="I565" s="201" t="n"/>
      <c r="J565" s="201" t="n"/>
      <c r="K565" s="201" t="n"/>
      <c r="L565" s="201" t="n"/>
      <c r="M565" s="201" t="n"/>
      <c r="N565" s="201" t="n"/>
      <c r="O565" s="201" t="n"/>
      <c r="P565" s="201" t="n"/>
      <c r="Q565" s="201" t="n"/>
      <c r="R565" s="201" t="n"/>
    </row>
    <row r="566" ht="12.75" customHeight="1" s="202">
      <c r="A566" s="201" t="n"/>
      <c r="B566" s="201" t="n"/>
      <c r="C566" s="201" t="n"/>
      <c r="D566" s="201" t="n"/>
      <c r="E566" s="201" t="n"/>
      <c r="F566" s="201" t="n"/>
      <c r="G566" s="201" t="n"/>
      <c r="H566" s="201" t="n"/>
      <c r="I566" s="201" t="n"/>
      <c r="J566" s="201" t="n"/>
      <c r="K566" s="201" t="n"/>
      <c r="L566" s="201" t="n"/>
      <c r="M566" s="201" t="n"/>
      <c r="N566" s="201" t="n"/>
      <c r="O566" s="201" t="n"/>
      <c r="P566" s="201" t="n"/>
      <c r="Q566" s="201" t="n"/>
      <c r="R566" s="201" t="n"/>
    </row>
    <row r="567" ht="12.75" customHeight="1" s="202">
      <c r="A567" s="201" t="n"/>
      <c r="B567" s="201" t="n"/>
      <c r="C567" s="201" t="n"/>
      <c r="D567" s="201" t="n"/>
      <c r="E567" s="201" t="n"/>
      <c r="F567" s="201" t="n"/>
      <c r="G567" s="201" t="n"/>
      <c r="H567" s="201" t="n"/>
      <c r="I567" s="201" t="n"/>
      <c r="J567" s="201" t="n"/>
      <c r="K567" s="201" t="n"/>
      <c r="L567" s="201" t="n"/>
      <c r="M567" s="201" t="n"/>
      <c r="N567" s="201" t="n"/>
      <c r="O567" s="201" t="n"/>
      <c r="P567" s="201" t="n"/>
      <c r="Q567" s="201" t="n"/>
      <c r="R567" s="201" t="n"/>
    </row>
    <row r="568" ht="12.75" customHeight="1" s="202">
      <c r="A568" s="201" t="n"/>
      <c r="B568" s="201" t="n"/>
      <c r="C568" s="201" t="n"/>
      <c r="D568" s="201" t="n"/>
      <c r="E568" s="201" t="n"/>
      <c r="F568" s="201" t="n"/>
      <c r="G568" s="201" t="n"/>
      <c r="H568" s="201" t="n"/>
      <c r="I568" s="201" t="n"/>
      <c r="J568" s="201" t="n"/>
      <c r="K568" s="201" t="n"/>
      <c r="L568" s="201" t="n"/>
      <c r="M568" s="201" t="n"/>
      <c r="N568" s="201" t="n"/>
      <c r="O568" s="201" t="n"/>
      <c r="P568" s="201" t="n"/>
      <c r="Q568" s="201" t="n"/>
      <c r="R568" s="201" t="n"/>
    </row>
    <row r="569" ht="12.75" customHeight="1" s="202">
      <c r="A569" s="201" t="n"/>
      <c r="B569" s="201" t="n"/>
      <c r="C569" s="201" t="n"/>
      <c r="D569" s="201" t="n"/>
      <c r="E569" s="201" t="n"/>
      <c r="F569" s="201" t="n"/>
      <c r="G569" s="201" t="n"/>
      <c r="H569" s="201" t="n"/>
      <c r="I569" s="201" t="n"/>
      <c r="J569" s="201" t="n"/>
      <c r="K569" s="201" t="n"/>
      <c r="L569" s="201" t="n"/>
      <c r="M569" s="201" t="n"/>
      <c r="N569" s="201" t="n"/>
      <c r="O569" s="201" t="n"/>
      <c r="P569" s="201" t="n"/>
      <c r="Q569" s="201" t="n"/>
      <c r="R569" s="201" t="n"/>
    </row>
    <row r="570" ht="12.75" customHeight="1" s="202">
      <c r="A570" s="201" t="n"/>
      <c r="B570" s="201" t="n"/>
      <c r="C570" s="201" t="n"/>
      <c r="D570" s="201" t="n"/>
      <c r="E570" s="201" t="n"/>
      <c r="F570" s="201" t="n"/>
      <c r="G570" s="201" t="n"/>
      <c r="H570" s="201" t="n"/>
      <c r="I570" s="201" t="n"/>
      <c r="J570" s="201" t="n"/>
      <c r="K570" s="201" t="n"/>
      <c r="L570" s="201" t="n"/>
      <c r="M570" s="201" t="n"/>
      <c r="N570" s="201" t="n"/>
      <c r="O570" s="201" t="n"/>
      <c r="P570" s="201" t="n"/>
      <c r="Q570" s="201" t="n"/>
      <c r="R570" s="201" t="n"/>
    </row>
    <row r="571" ht="12.75" customHeight="1" s="202">
      <c r="A571" s="201" t="n"/>
      <c r="B571" s="201" t="n"/>
      <c r="C571" s="201" t="n"/>
      <c r="D571" s="201" t="n"/>
      <c r="E571" s="201" t="n"/>
      <c r="F571" s="201" t="n"/>
      <c r="G571" s="201" t="n"/>
      <c r="H571" s="201" t="n"/>
      <c r="I571" s="201" t="n"/>
      <c r="J571" s="201" t="n"/>
      <c r="K571" s="201" t="n"/>
      <c r="L571" s="201" t="n"/>
      <c r="M571" s="201" t="n"/>
      <c r="N571" s="201" t="n"/>
      <c r="O571" s="201" t="n"/>
      <c r="P571" s="201" t="n"/>
      <c r="Q571" s="201" t="n"/>
      <c r="R571" s="201" t="n"/>
    </row>
    <row r="572" ht="12.75" customHeight="1" s="202">
      <c r="A572" s="201" t="n"/>
      <c r="B572" s="201" t="n"/>
      <c r="C572" s="201" t="n"/>
      <c r="D572" s="201" t="n"/>
      <c r="E572" s="201" t="n"/>
      <c r="F572" s="201" t="n"/>
      <c r="G572" s="201" t="n"/>
      <c r="H572" s="201" t="n"/>
      <c r="I572" s="201" t="n"/>
      <c r="J572" s="201" t="n"/>
      <c r="K572" s="201" t="n"/>
      <c r="L572" s="201" t="n"/>
      <c r="M572" s="201" t="n"/>
      <c r="N572" s="201" t="n"/>
      <c r="O572" s="201" t="n"/>
      <c r="P572" s="201" t="n"/>
      <c r="Q572" s="201" t="n"/>
      <c r="R572" s="201" t="n"/>
    </row>
    <row r="573" ht="12.75" customHeight="1" s="202">
      <c r="A573" s="201" t="n"/>
      <c r="B573" s="201" t="n"/>
      <c r="C573" s="201" t="n"/>
      <c r="D573" s="201" t="n"/>
      <c r="E573" s="201" t="n"/>
      <c r="F573" s="201" t="n"/>
      <c r="G573" s="201" t="n"/>
      <c r="H573" s="201" t="n"/>
      <c r="I573" s="201" t="n"/>
      <c r="J573" s="201" t="n"/>
      <c r="K573" s="201" t="n"/>
      <c r="L573" s="201" t="n"/>
      <c r="M573" s="201" t="n"/>
      <c r="N573" s="201" t="n"/>
      <c r="O573" s="201" t="n"/>
      <c r="P573" s="201" t="n"/>
      <c r="Q573" s="201" t="n"/>
      <c r="R573" s="201" t="n"/>
    </row>
    <row r="574" ht="12.75" customHeight="1" s="202">
      <c r="A574" s="201" t="n"/>
      <c r="B574" s="201" t="n"/>
      <c r="C574" s="201" t="n"/>
      <c r="D574" s="201" t="n"/>
      <c r="E574" s="201" t="n"/>
      <c r="F574" s="201" t="n"/>
      <c r="G574" s="201" t="n"/>
      <c r="H574" s="201" t="n"/>
      <c r="I574" s="201" t="n"/>
      <c r="J574" s="201" t="n"/>
      <c r="K574" s="201" t="n"/>
      <c r="L574" s="201" t="n"/>
      <c r="M574" s="201" t="n"/>
      <c r="N574" s="201" t="n"/>
      <c r="O574" s="201" t="n"/>
      <c r="P574" s="201" t="n"/>
      <c r="Q574" s="201" t="n"/>
      <c r="R574" s="201" t="n"/>
    </row>
    <row r="575" ht="12.75" customHeight="1" s="202">
      <c r="A575" s="201" t="n"/>
      <c r="B575" s="201" t="n"/>
      <c r="C575" s="201" t="n"/>
      <c r="D575" s="201" t="n"/>
      <c r="E575" s="201" t="n"/>
      <c r="F575" s="201" t="n"/>
      <c r="G575" s="201" t="n"/>
      <c r="H575" s="201" t="n"/>
      <c r="I575" s="201" t="n"/>
      <c r="J575" s="201" t="n"/>
      <c r="K575" s="201" t="n"/>
      <c r="L575" s="201" t="n"/>
      <c r="M575" s="201" t="n"/>
      <c r="N575" s="201" t="n"/>
      <c r="O575" s="201" t="n"/>
      <c r="P575" s="201" t="n"/>
      <c r="Q575" s="201" t="n"/>
      <c r="R575" s="201" t="n"/>
    </row>
    <row r="576" ht="12.75" customHeight="1" s="202">
      <c r="A576" s="201" t="n"/>
      <c r="B576" s="201" t="n"/>
      <c r="C576" s="201" t="n"/>
      <c r="D576" s="201" t="n"/>
      <c r="E576" s="201" t="n"/>
      <c r="F576" s="201" t="n"/>
      <c r="G576" s="201" t="n"/>
      <c r="H576" s="201" t="n"/>
      <c r="I576" s="201" t="n"/>
      <c r="J576" s="201" t="n"/>
      <c r="K576" s="201" t="n"/>
      <c r="L576" s="201" t="n"/>
      <c r="M576" s="201" t="n"/>
      <c r="N576" s="201" t="n"/>
      <c r="O576" s="201" t="n"/>
      <c r="P576" s="201" t="n"/>
      <c r="Q576" s="201" t="n"/>
      <c r="R576" s="201" t="n"/>
    </row>
    <row r="577" ht="12.75" customHeight="1" s="202">
      <c r="A577" s="201" t="n"/>
      <c r="B577" s="201" t="n"/>
      <c r="C577" s="201" t="n"/>
      <c r="D577" s="201" t="n"/>
      <c r="E577" s="201" t="n"/>
      <c r="F577" s="201" t="n"/>
      <c r="G577" s="201" t="n"/>
      <c r="H577" s="201" t="n"/>
      <c r="I577" s="201" t="n"/>
      <c r="J577" s="201" t="n"/>
      <c r="K577" s="201" t="n"/>
      <c r="L577" s="201" t="n"/>
      <c r="M577" s="201" t="n"/>
      <c r="N577" s="201" t="n"/>
      <c r="O577" s="201" t="n"/>
      <c r="P577" s="201" t="n"/>
      <c r="Q577" s="201" t="n"/>
      <c r="R577" s="201" t="n"/>
    </row>
    <row r="578" ht="12.75" customHeight="1" s="202">
      <c r="A578" s="201" t="n"/>
      <c r="B578" s="201" t="n"/>
      <c r="C578" s="201" t="n"/>
      <c r="D578" s="201" t="n"/>
      <c r="E578" s="201" t="n"/>
      <c r="F578" s="201" t="n"/>
      <c r="G578" s="201" t="n"/>
      <c r="H578" s="201" t="n"/>
      <c r="I578" s="201" t="n"/>
      <c r="J578" s="201" t="n"/>
      <c r="K578" s="201" t="n"/>
      <c r="L578" s="201" t="n"/>
      <c r="M578" s="201" t="n"/>
      <c r="N578" s="201" t="n"/>
      <c r="O578" s="201" t="n"/>
      <c r="P578" s="201" t="n"/>
      <c r="Q578" s="201" t="n"/>
      <c r="R578" s="201" t="n"/>
    </row>
    <row r="579" ht="12.75" customHeight="1" s="202">
      <c r="A579" s="201" t="n"/>
      <c r="B579" s="201" t="n"/>
      <c r="C579" s="201" t="n"/>
      <c r="D579" s="201" t="n"/>
      <c r="E579" s="201" t="n"/>
      <c r="F579" s="201" t="n"/>
      <c r="G579" s="201" t="n"/>
      <c r="H579" s="201" t="n"/>
      <c r="I579" s="201" t="n"/>
      <c r="J579" s="201" t="n"/>
      <c r="K579" s="201" t="n"/>
      <c r="L579" s="201" t="n"/>
      <c r="M579" s="201" t="n"/>
      <c r="N579" s="201" t="n"/>
      <c r="O579" s="201" t="n"/>
      <c r="P579" s="201" t="n"/>
      <c r="Q579" s="201" t="n"/>
      <c r="R579" s="201" t="n"/>
    </row>
    <row r="580" ht="12.75" customHeight="1" s="202">
      <c r="A580" s="201" t="n"/>
      <c r="B580" s="201" t="n"/>
      <c r="C580" s="201" t="n"/>
      <c r="D580" s="201" t="n"/>
      <c r="E580" s="201" t="n"/>
      <c r="F580" s="201" t="n"/>
      <c r="G580" s="201" t="n"/>
      <c r="H580" s="201" t="n"/>
      <c r="I580" s="201" t="n"/>
      <c r="J580" s="201" t="n"/>
      <c r="K580" s="201" t="n"/>
      <c r="L580" s="201" t="n"/>
      <c r="M580" s="201" t="n"/>
      <c r="N580" s="201" t="n"/>
      <c r="O580" s="201" t="n"/>
      <c r="P580" s="201" t="n"/>
      <c r="Q580" s="201" t="n"/>
      <c r="R580" s="201" t="n"/>
    </row>
    <row r="581" ht="12.75" customHeight="1" s="202">
      <c r="A581" s="201" t="n"/>
      <c r="B581" s="201" t="n"/>
      <c r="C581" s="201" t="n"/>
      <c r="D581" s="201" t="n"/>
      <c r="E581" s="201" t="n"/>
      <c r="F581" s="201" t="n"/>
      <c r="G581" s="201" t="n"/>
      <c r="H581" s="201" t="n"/>
      <c r="I581" s="201" t="n"/>
      <c r="J581" s="201" t="n"/>
      <c r="K581" s="201" t="n"/>
      <c r="L581" s="201" t="n"/>
      <c r="M581" s="201" t="n"/>
      <c r="N581" s="201" t="n"/>
      <c r="O581" s="201" t="n"/>
      <c r="P581" s="201" t="n"/>
      <c r="Q581" s="201" t="n"/>
      <c r="R581" s="201" t="n"/>
    </row>
    <row r="582" ht="12.75" customHeight="1" s="202">
      <c r="A582" s="201" t="n"/>
      <c r="B582" s="201" t="n"/>
      <c r="C582" s="201" t="n"/>
      <c r="D582" s="201" t="n"/>
      <c r="E582" s="201" t="n"/>
      <c r="F582" s="201" t="n"/>
      <c r="G582" s="201" t="n"/>
      <c r="H582" s="201" t="n"/>
      <c r="I582" s="201" t="n"/>
      <c r="J582" s="201" t="n"/>
      <c r="K582" s="201" t="n"/>
      <c r="L582" s="201" t="n"/>
      <c r="M582" s="201" t="n"/>
      <c r="N582" s="201" t="n"/>
      <c r="O582" s="201" t="n"/>
      <c r="P582" s="201" t="n"/>
      <c r="Q582" s="201" t="n"/>
      <c r="R582" s="201" t="n"/>
    </row>
    <row r="583" ht="12.75" customHeight="1" s="202">
      <c r="A583" s="201" t="n"/>
      <c r="B583" s="201" t="n"/>
      <c r="C583" s="201" t="n"/>
      <c r="D583" s="201" t="n"/>
      <c r="E583" s="201" t="n"/>
      <c r="F583" s="201" t="n"/>
      <c r="G583" s="201" t="n"/>
      <c r="H583" s="201" t="n"/>
      <c r="I583" s="201" t="n"/>
      <c r="J583" s="201" t="n"/>
      <c r="K583" s="201" t="n"/>
      <c r="L583" s="201" t="n"/>
      <c r="M583" s="201" t="n"/>
      <c r="N583" s="201" t="n"/>
      <c r="O583" s="201" t="n"/>
      <c r="P583" s="201" t="n"/>
      <c r="Q583" s="201" t="n"/>
      <c r="R583" s="201" t="n"/>
    </row>
    <row r="584" ht="12.75" customHeight="1" s="202">
      <c r="A584" s="201" t="n"/>
      <c r="B584" s="201" t="n"/>
      <c r="C584" s="201" t="n"/>
      <c r="D584" s="201" t="n"/>
      <c r="E584" s="201" t="n"/>
      <c r="F584" s="201" t="n"/>
      <c r="G584" s="201" t="n"/>
      <c r="H584" s="201" t="n"/>
      <c r="I584" s="201" t="n"/>
      <c r="J584" s="201" t="n"/>
      <c r="K584" s="201" t="n"/>
      <c r="L584" s="201" t="n"/>
      <c r="M584" s="201" t="n"/>
      <c r="N584" s="201" t="n"/>
      <c r="O584" s="201" t="n"/>
      <c r="P584" s="201" t="n"/>
      <c r="Q584" s="201" t="n"/>
      <c r="R584" s="201" t="n"/>
    </row>
    <row r="585" ht="12.75" customHeight="1" s="202">
      <c r="A585" s="201" t="n"/>
      <c r="B585" s="201" t="n"/>
      <c r="C585" s="201" t="n"/>
      <c r="D585" s="201" t="n"/>
      <c r="E585" s="201" t="n"/>
      <c r="F585" s="201" t="n"/>
      <c r="G585" s="201" t="n"/>
      <c r="H585" s="201" t="n"/>
      <c r="I585" s="201" t="n"/>
      <c r="J585" s="201" t="n"/>
      <c r="K585" s="201" t="n"/>
      <c r="L585" s="201" t="n"/>
      <c r="M585" s="201" t="n"/>
      <c r="N585" s="201" t="n"/>
      <c r="O585" s="201" t="n"/>
      <c r="P585" s="201" t="n"/>
      <c r="Q585" s="201" t="n"/>
      <c r="R585" s="201" t="n"/>
    </row>
    <row r="586" ht="12.75" customHeight="1" s="202">
      <c r="A586" s="201" t="n"/>
      <c r="B586" s="201" t="n"/>
      <c r="C586" s="201" t="n"/>
      <c r="D586" s="201" t="n"/>
      <c r="E586" s="201" t="n"/>
      <c r="F586" s="201" t="n"/>
      <c r="G586" s="201" t="n"/>
      <c r="H586" s="201" t="n"/>
      <c r="I586" s="201" t="n"/>
      <c r="J586" s="201" t="n"/>
      <c r="K586" s="201" t="n"/>
      <c r="L586" s="201" t="n"/>
      <c r="M586" s="201" t="n"/>
      <c r="N586" s="201" t="n"/>
      <c r="O586" s="201" t="n"/>
      <c r="P586" s="201" t="n"/>
      <c r="Q586" s="201" t="n"/>
      <c r="R586" s="201" t="n"/>
    </row>
    <row r="587" ht="12.75" customHeight="1" s="202">
      <c r="A587" s="201" t="n"/>
      <c r="B587" s="201" t="n"/>
      <c r="C587" s="201" t="n"/>
      <c r="D587" s="201" t="n"/>
      <c r="E587" s="201" t="n"/>
      <c r="F587" s="201" t="n"/>
      <c r="G587" s="201" t="n"/>
      <c r="H587" s="201" t="n"/>
      <c r="I587" s="201" t="n"/>
      <c r="J587" s="201" t="n"/>
      <c r="K587" s="201" t="n"/>
      <c r="L587" s="201" t="n"/>
      <c r="M587" s="201" t="n"/>
      <c r="N587" s="201" t="n"/>
      <c r="O587" s="201" t="n"/>
      <c r="P587" s="201" t="n"/>
      <c r="Q587" s="201" t="n"/>
      <c r="R587" s="201" t="n"/>
    </row>
    <row r="588" ht="12.75" customHeight="1" s="202">
      <c r="A588" s="201" t="n"/>
      <c r="B588" s="201" t="n"/>
      <c r="C588" s="201" t="n"/>
      <c r="D588" s="201" t="n"/>
      <c r="E588" s="201" t="n"/>
      <c r="F588" s="201" t="n"/>
      <c r="G588" s="201" t="n"/>
      <c r="H588" s="201" t="n"/>
      <c r="I588" s="201" t="n"/>
      <c r="J588" s="201" t="n"/>
      <c r="K588" s="201" t="n"/>
      <c r="L588" s="201" t="n"/>
      <c r="M588" s="201" t="n"/>
      <c r="N588" s="201" t="n"/>
      <c r="O588" s="201" t="n"/>
      <c r="P588" s="201" t="n"/>
      <c r="Q588" s="201" t="n"/>
      <c r="R588" s="201" t="n"/>
    </row>
    <row r="589" ht="12.75" customHeight="1" s="202">
      <c r="A589" s="201" t="n"/>
      <c r="B589" s="201" t="n"/>
      <c r="C589" s="201" t="n"/>
      <c r="D589" s="201" t="n"/>
      <c r="E589" s="201" t="n"/>
      <c r="F589" s="201" t="n"/>
      <c r="G589" s="201" t="n"/>
      <c r="H589" s="201" t="n"/>
      <c r="I589" s="201" t="n"/>
      <c r="J589" s="201" t="n"/>
      <c r="K589" s="201" t="n"/>
      <c r="L589" s="201" t="n"/>
      <c r="M589" s="201" t="n"/>
      <c r="N589" s="201" t="n"/>
      <c r="O589" s="201" t="n"/>
      <c r="P589" s="201" t="n"/>
      <c r="Q589" s="201" t="n"/>
      <c r="R589" s="201" t="n"/>
    </row>
    <row r="590" ht="12.75" customHeight="1" s="202">
      <c r="A590" s="201" t="n"/>
      <c r="B590" s="201" t="n"/>
      <c r="C590" s="201" t="n"/>
      <c r="D590" s="201" t="n"/>
      <c r="E590" s="201" t="n"/>
      <c r="F590" s="201" t="n"/>
      <c r="G590" s="201" t="n"/>
      <c r="H590" s="201" t="n"/>
      <c r="I590" s="201" t="n"/>
      <c r="J590" s="201" t="n"/>
      <c r="K590" s="201" t="n"/>
      <c r="L590" s="201" t="n"/>
      <c r="M590" s="201" t="n"/>
      <c r="N590" s="201" t="n"/>
      <c r="O590" s="201" t="n"/>
      <c r="P590" s="201" t="n"/>
      <c r="Q590" s="201" t="n"/>
      <c r="R590" s="201" t="n"/>
    </row>
    <row r="591" ht="12.75" customHeight="1" s="202">
      <c r="A591" s="201" t="n"/>
      <c r="B591" s="201" t="n"/>
      <c r="C591" s="201" t="n"/>
      <c r="D591" s="201" t="n"/>
      <c r="E591" s="201" t="n"/>
      <c r="F591" s="201" t="n"/>
      <c r="G591" s="201" t="n"/>
      <c r="H591" s="201" t="n"/>
      <c r="I591" s="201" t="n"/>
      <c r="J591" s="201" t="n"/>
      <c r="K591" s="201" t="n"/>
      <c r="L591" s="201" t="n"/>
      <c r="M591" s="201" t="n"/>
      <c r="N591" s="201" t="n"/>
      <c r="O591" s="201" t="n"/>
      <c r="P591" s="201" t="n"/>
      <c r="Q591" s="201" t="n"/>
      <c r="R591" s="201" t="n"/>
    </row>
    <row r="592" ht="12.75" customHeight="1" s="202">
      <c r="A592" s="201" t="n"/>
      <c r="B592" s="201" t="n"/>
      <c r="C592" s="201" t="n"/>
      <c r="D592" s="201" t="n"/>
      <c r="E592" s="201" t="n"/>
      <c r="F592" s="201" t="n"/>
      <c r="G592" s="201" t="n"/>
      <c r="H592" s="201" t="n"/>
      <c r="I592" s="201" t="n"/>
      <c r="J592" s="201" t="n"/>
      <c r="K592" s="201" t="n"/>
      <c r="L592" s="201" t="n"/>
      <c r="M592" s="201" t="n"/>
      <c r="N592" s="201" t="n"/>
      <c r="O592" s="201" t="n"/>
      <c r="P592" s="201" t="n"/>
      <c r="Q592" s="201" t="n"/>
      <c r="R592" s="201" t="n"/>
    </row>
    <row r="593" ht="12.75" customHeight="1" s="202">
      <c r="A593" s="201" t="n"/>
      <c r="B593" s="201" t="n"/>
      <c r="C593" s="201" t="n"/>
      <c r="D593" s="201" t="n"/>
      <c r="E593" s="201" t="n"/>
      <c r="F593" s="201" t="n"/>
      <c r="G593" s="201" t="n"/>
      <c r="H593" s="201" t="n"/>
      <c r="I593" s="201" t="n"/>
      <c r="J593" s="201" t="n"/>
      <c r="K593" s="201" t="n"/>
      <c r="L593" s="201" t="n"/>
      <c r="M593" s="201" t="n"/>
      <c r="N593" s="201" t="n"/>
      <c r="O593" s="201" t="n"/>
      <c r="P593" s="201" t="n"/>
      <c r="Q593" s="201" t="n"/>
      <c r="R593" s="201" t="n"/>
    </row>
    <row r="594" ht="12.75" customHeight="1" s="202">
      <c r="A594" s="201" t="n"/>
      <c r="B594" s="201" t="n"/>
      <c r="C594" s="201" t="n"/>
      <c r="D594" s="201" t="n"/>
      <c r="E594" s="201" t="n"/>
      <c r="F594" s="201" t="n"/>
      <c r="G594" s="201" t="n"/>
      <c r="H594" s="201" t="n"/>
      <c r="I594" s="201" t="n"/>
      <c r="J594" s="201" t="n"/>
      <c r="K594" s="201" t="n"/>
      <c r="L594" s="201" t="n"/>
      <c r="M594" s="201" t="n"/>
      <c r="N594" s="201" t="n"/>
      <c r="O594" s="201" t="n"/>
      <c r="P594" s="201" t="n"/>
      <c r="Q594" s="201" t="n"/>
      <c r="R594" s="201" t="n"/>
    </row>
    <row r="595" ht="12.75" customHeight="1" s="202">
      <c r="A595" s="201" t="n"/>
      <c r="B595" s="201" t="n"/>
      <c r="C595" s="201" t="n"/>
      <c r="D595" s="201" t="n"/>
      <c r="E595" s="201" t="n"/>
      <c r="F595" s="201" t="n"/>
      <c r="G595" s="201" t="n"/>
      <c r="H595" s="201" t="n"/>
      <c r="I595" s="201" t="n"/>
      <c r="J595" s="201" t="n"/>
      <c r="K595" s="201" t="n"/>
      <c r="L595" s="201" t="n"/>
      <c r="M595" s="201" t="n"/>
      <c r="N595" s="201" t="n"/>
      <c r="O595" s="201" t="n"/>
      <c r="P595" s="201" t="n"/>
      <c r="Q595" s="201" t="n"/>
      <c r="R595" s="201" t="n"/>
    </row>
    <row r="596" ht="12.75" customHeight="1" s="202">
      <c r="A596" s="201" t="n"/>
      <c r="B596" s="201" t="n"/>
      <c r="C596" s="201" t="n"/>
      <c r="D596" s="201" t="n"/>
      <c r="E596" s="201" t="n"/>
      <c r="F596" s="201" t="n"/>
      <c r="G596" s="201" t="n"/>
      <c r="H596" s="201" t="n"/>
      <c r="I596" s="201" t="n"/>
      <c r="J596" s="201" t="n"/>
      <c r="K596" s="201" t="n"/>
      <c r="L596" s="201" t="n"/>
      <c r="M596" s="201" t="n"/>
      <c r="N596" s="201" t="n"/>
      <c r="O596" s="201" t="n"/>
      <c r="P596" s="201" t="n"/>
      <c r="Q596" s="201" t="n"/>
      <c r="R596" s="201" t="n"/>
    </row>
    <row r="597" ht="12.75" customHeight="1" s="202">
      <c r="A597" s="201" t="n"/>
      <c r="B597" s="201" t="n"/>
      <c r="C597" s="201" t="n"/>
      <c r="D597" s="201" t="n"/>
      <c r="E597" s="201" t="n"/>
      <c r="F597" s="201" t="n"/>
      <c r="G597" s="201" t="n"/>
      <c r="H597" s="201" t="n"/>
      <c r="I597" s="201" t="n"/>
      <c r="J597" s="201" t="n"/>
      <c r="K597" s="201" t="n"/>
      <c r="L597" s="201" t="n"/>
      <c r="M597" s="201" t="n"/>
      <c r="N597" s="201" t="n"/>
      <c r="O597" s="201" t="n"/>
      <c r="P597" s="201" t="n"/>
      <c r="Q597" s="201" t="n"/>
      <c r="R597" s="201" t="n"/>
    </row>
    <row r="598" ht="12.75" customHeight="1" s="202">
      <c r="A598" s="201" t="n"/>
      <c r="B598" s="201" t="n"/>
      <c r="C598" s="201" t="n"/>
      <c r="D598" s="201" t="n"/>
      <c r="E598" s="201" t="n"/>
      <c r="F598" s="201" t="n"/>
      <c r="G598" s="201" t="n"/>
      <c r="H598" s="201" t="n"/>
      <c r="I598" s="201" t="n"/>
      <c r="J598" s="201" t="n"/>
      <c r="K598" s="201" t="n"/>
      <c r="L598" s="201" t="n"/>
      <c r="M598" s="201" t="n"/>
      <c r="N598" s="201" t="n"/>
      <c r="O598" s="201" t="n"/>
      <c r="P598" s="201" t="n"/>
      <c r="Q598" s="201" t="n"/>
      <c r="R598" s="201" t="n"/>
    </row>
    <row r="599" ht="12.75" customHeight="1" s="202">
      <c r="A599" s="201" t="n"/>
      <c r="B599" s="201" t="n"/>
      <c r="C599" s="201" t="n"/>
      <c r="D599" s="201" t="n"/>
      <c r="E599" s="201" t="n"/>
      <c r="F599" s="201" t="n"/>
      <c r="G599" s="201" t="n"/>
      <c r="H599" s="201" t="n"/>
      <c r="I599" s="201" t="n"/>
      <c r="J599" s="201" t="n"/>
      <c r="K599" s="201" t="n"/>
      <c r="L599" s="201" t="n"/>
      <c r="M599" s="201" t="n"/>
      <c r="N599" s="201" t="n"/>
      <c r="O599" s="201" t="n"/>
      <c r="P599" s="201" t="n"/>
      <c r="Q599" s="201" t="n"/>
      <c r="R599" s="201" t="n"/>
    </row>
    <row r="600" ht="12.75" customHeight="1" s="202">
      <c r="A600" s="201" t="n"/>
      <c r="B600" s="201" t="n"/>
      <c r="C600" s="201" t="n"/>
      <c r="D600" s="201" t="n"/>
      <c r="E600" s="201" t="n"/>
      <c r="F600" s="201" t="n"/>
      <c r="G600" s="201" t="n"/>
      <c r="H600" s="201" t="n"/>
      <c r="I600" s="201" t="n"/>
      <c r="J600" s="201" t="n"/>
      <c r="K600" s="201" t="n"/>
      <c r="L600" s="201" t="n"/>
      <c r="M600" s="201" t="n"/>
      <c r="N600" s="201" t="n"/>
      <c r="O600" s="201" t="n"/>
      <c r="P600" s="201" t="n"/>
      <c r="Q600" s="201" t="n"/>
      <c r="R600" s="201" t="n"/>
    </row>
    <row r="601" ht="12.75" customHeight="1" s="202">
      <c r="A601" s="201" t="n"/>
      <c r="B601" s="201" t="n"/>
      <c r="C601" s="201" t="n"/>
      <c r="D601" s="201" t="n"/>
      <c r="E601" s="201" t="n"/>
      <c r="F601" s="201" t="n"/>
      <c r="G601" s="201" t="n"/>
      <c r="H601" s="201" t="n"/>
      <c r="I601" s="201" t="n"/>
      <c r="J601" s="201" t="n"/>
      <c r="K601" s="201" t="n"/>
      <c r="L601" s="201" t="n"/>
      <c r="M601" s="201" t="n"/>
      <c r="N601" s="201" t="n"/>
      <c r="O601" s="201" t="n"/>
      <c r="P601" s="201" t="n"/>
      <c r="Q601" s="201" t="n"/>
      <c r="R601" s="201" t="n"/>
    </row>
    <row r="602" ht="12.75" customHeight="1" s="202">
      <c r="A602" s="201" t="n"/>
      <c r="B602" s="201" t="n"/>
      <c r="C602" s="201" t="n"/>
      <c r="D602" s="201" t="n"/>
      <c r="E602" s="201" t="n"/>
      <c r="F602" s="201" t="n"/>
      <c r="G602" s="201" t="n"/>
      <c r="H602" s="201" t="n"/>
      <c r="I602" s="201" t="n"/>
      <c r="J602" s="201" t="n"/>
      <c r="K602" s="201" t="n"/>
      <c r="L602" s="201" t="n"/>
      <c r="M602" s="201" t="n"/>
      <c r="N602" s="201" t="n"/>
      <c r="O602" s="201" t="n"/>
      <c r="P602" s="201" t="n"/>
      <c r="Q602" s="201" t="n"/>
      <c r="R602" s="201" t="n"/>
    </row>
    <row r="603" ht="12.75" customHeight="1" s="202">
      <c r="A603" s="201" t="n"/>
      <c r="B603" s="201" t="n"/>
      <c r="C603" s="201" t="n"/>
      <c r="D603" s="201" t="n"/>
      <c r="E603" s="201" t="n"/>
      <c r="F603" s="201" t="n"/>
      <c r="G603" s="201" t="n"/>
      <c r="H603" s="201" t="n"/>
      <c r="I603" s="201" t="n"/>
      <c r="J603" s="201" t="n"/>
      <c r="K603" s="201" t="n"/>
      <c r="L603" s="201" t="n"/>
      <c r="M603" s="201" t="n"/>
      <c r="N603" s="201" t="n"/>
      <c r="O603" s="201" t="n"/>
      <c r="P603" s="201" t="n"/>
      <c r="Q603" s="201" t="n"/>
      <c r="R603" s="201" t="n"/>
    </row>
    <row r="604" ht="12.75" customHeight="1" s="202">
      <c r="A604" s="201" t="n"/>
      <c r="B604" s="201" t="n"/>
      <c r="C604" s="201" t="n"/>
      <c r="D604" s="201" t="n"/>
      <c r="E604" s="201" t="n"/>
      <c r="F604" s="201" t="n"/>
      <c r="G604" s="201" t="n"/>
      <c r="H604" s="201" t="n"/>
      <c r="I604" s="201" t="n"/>
      <c r="J604" s="201" t="n"/>
      <c r="K604" s="201" t="n"/>
      <c r="L604" s="201" t="n"/>
      <c r="M604" s="201" t="n"/>
      <c r="N604" s="201" t="n"/>
      <c r="O604" s="201" t="n"/>
      <c r="P604" s="201" t="n"/>
      <c r="Q604" s="201" t="n"/>
      <c r="R604" s="201" t="n"/>
    </row>
    <row r="605" ht="12.75" customHeight="1" s="202">
      <c r="A605" s="201" t="n"/>
      <c r="B605" s="201" t="n"/>
      <c r="C605" s="201" t="n"/>
      <c r="D605" s="201" t="n"/>
      <c r="E605" s="201" t="n"/>
      <c r="F605" s="201" t="n"/>
      <c r="G605" s="201" t="n"/>
      <c r="H605" s="201" t="n"/>
      <c r="I605" s="201" t="n"/>
      <c r="J605" s="201" t="n"/>
      <c r="K605" s="201" t="n"/>
      <c r="L605" s="201" t="n"/>
      <c r="M605" s="201" t="n"/>
      <c r="N605" s="201" t="n"/>
      <c r="O605" s="201" t="n"/>
      <c r="P605" s="201" t="n"/>
      <c r="Q605" s="201" t="n"/>
      <c r="R605" s="201" t="n"/>
    </row>
    <row r="606" ht="12.75" customHeight="1" s="202">
      <c r="A606" s="201" t="n"/>
      <c r="B606" s="201" t="n"/>
      <c r="C606" s="201" t="n"/>
      <c r="D606" s="201" t="n"/>
      <c r="E606" s="201" t="n"/>
      <c r="F606" s="201" t="n"/>
      <c r="G606" s="201" t="n"/>
      <c r="H606" s="201" t="n"/>
      <c r="I606" s="201" t="n"/>
      <c r="J606" s="201" t="n"/>
      <c r="K606" s="201" t="n"/>
      <c r="L606" s="201" t="n"/>
      <c r="M606" s="201" t="n"/>
      <c r="N606" s="201" t="n"/>
      <c r="O606" s="201" t="n"/>
      <c r="P606" s="201" t="n"/>
      <c r="Q606" s="201" t="n"/>
      <c r="R606" s="201" t="n"/>
    </row>
    <row r="607" ht="12.75" customHeight="1" s="202">
      <c r="A607" s="201" t="n"/>
      <c r="B607" s="201" t="n"/>
      <c r="C607" s="201" t="n"/>
      <c r="D607" s="201" t="n"/>
      <c r="E607" s="201" t="n"/>
      <c r="F607" s="201" t="n"/>
      <c r="G607" s="201" t="n"/>
      <c r="H607" s="201" t="n"/>
      <c r="I607" s="201" t="n"/>
      <c r="J607" s="201" t="n"/>
      <c r="K607" s="201" t="n"/>
      <c r="L607" s="201" t="n"/>
      <c r="M607" s="201" t="n"/>
      <c r="N607" s="201" t="n"/>
      <c r="O607" s="201" t="n"/>
      <c r="P607" s="201" t="n"/>
      <c r="Q607" s="201" t="n"/>
      <c r="R607" s="201" t="n"/>
    </row>
    <row r="608" ht="12.75" customHeight="1" s="202">
      <c r="A608" s="201" t="n"/>
      <c r="B608" s="201" t="n"/>
      <c r="C608" s="201" t="n"/>
      <c r="D608" s="201" t="n"/>
      <c r="E608" s="201" t="n"/>
      <c r="F608" s="201" t="n"/>
      <c r="G608" s="201" t="n"/>
      <c r="H608" s="201" t="n"/>
      <c r="I608" s="201" t="n"/>
      <c r="J608" s="201" t="n"/>
      <c r="K608" s="201" t="n"/>
      <c r="L608" s="201" t="n"/>
      <c r="M608" s="201" t="n"/>
      <c r="N608" s="201" t="n"/>
      <c r="O608" s="201" t="n"/>
      <c r="P608" s="201" t="n"/>
      <c r="Q608" s="201" t="n"/>
      <c r="R608" s="201" t="n"/>
    </row>
    <row r="609" ht="12.75" customHeight="1" s="202">
      <c r="A609" s="201" t="n"/>
      <c r="B609" s="201" t="n"/>
      <c r="C609" s="201" t="n"/>
      <c r="D609" s="201" t="n"/>
      <c r="E609" s="201" t="n"/>
      <c r="F609" s="201" t="n"/>
      <c r="G609" s="201" t="n"/>
      <c r="H609" s="201" t="n"/>
      <c r="I609" s="201" t="n"/>
      <c r="J609" s="201" t="n"/>
      <c r="K609" s="201" t="n"/>
      <c r="L609" s="201" t="n"/>
      <c r="M609" s="201" t="n"/>
      <c r="N609" s="201" t="n"/>
      <c r="O609" s="201" t="n"/>
      <c r="P609" s="201" t="n"/>
      <c r="Q609" s="201" t="n"/>
      <c r="R609" s="201" t="n"/>
    </row>
    <row r="610" ht="12.75" customHeight="1" s="202">
      <c r="A610" s="201" t="n"/>
      <c r="B610" s="201" t="n"/>
      <c r="C610" s="201" t="n"/>
      <c r="D610" s="201" t="n"/>
      <c r="E610" s="201" t="n"/>
      <c r="F610" s="201" t="n"/>
      <c r="G610" s="201" t="n"/>
      <c r="H610" s="201" t="n"/>
      <c r="I610" s="201" t="n"/>
      <c r="J610" s="201" t="n"/>
      <c r="K610" s="201" t="n"/>
      <c r="L610" s="201" t="n"/>
      <c r="M610" s="201" t="n"/>
      <c r="N610" s="201" t="n"/>
      <c r="O610" s="201" t="n"/>
      <c r="P610" s="201" t="n"/>
      <c r="Q610" s="201" t="n"/>
      <c r="R610" s="201" t="n"/>
    </row>
    <row r="611" ht="12.75" customHeight="1" s="202">
      <c r="A611" s="201" t="n"/>
      <c r="B611" s="201" t="n"/>
      <c r="C611" s="201" t="n"/>
      <c r="D611" s="201" t="n"/>
      <c r="E611" s="201" t="n"/>
      <c r="F611" s="201" t="n"/>
      <c r="G611" s="201" t="n"/>
      <c r="H611" s="201" t="n"/>
      <c r="I611" s="201" t="n"/>
      <c r="J611" s="201" t="n"/>
      <c r="K611" s="201" t="n"/>
      <c r="L611" s="201" t="n"/>
      <c r="M611" s="201" t="n"/>
      <c r="N611" s="201" t="n"/>
      <c r="O611" s="201" t="n"/>
      <c r="P611" s="201" t="n"/>
      <c r="Q611" s="201" t="n"/>
      <c r="R611" s="201" t="n"/>
    </row>
    <row r="612" ht="12.75" customHeight="1" s="202">
      <c r="A612" s="201" t="n"/>
      <c r="B612" s="201" t="n"/>
      <c r="C612" s="201" t="n"/>
      <c r="D612" s="201" t="n"/>
      <c r="E612" s="201" t="n"/>
      <c r="F612" s="201" t="n"/>
      <c r="G612" s="201" t="n"/>
      <c r="H612" s="201" t="n"/>
      <c r="I612" s="201" t="n"/>
      <c r="J612" s="201" t="n"/>
      <c r="K612" s="201" t="n"/>
      <c r="L612" s="201" t="n"/>
      <c r="M612" s="201" t="n"/>
      <c r="N612" s="201" t="n"/>
      <c r="O612" s="201" t="n"/>
      <c r="P612" s="201" t="n"/>
      <c r="Q612" s="201" t="n"/>
      <c r="R612" s="201" t="n"/>
    </row>
    <row r="613" ht="12.75" customHeight="1" s="202">
      <c r="A613" s="201" t="n"/>
      <c r="B613" s="201" t="n"/>
      <c r="C613" s="201" t="n"/>
      <c r="D613" s="201" t="n"/>
      <c r="E613" s="201" t="n"/>
      <c r="F613" s="201" t="n"/>
      <c r="G613" s="201" t="n"/>
      <c r="H613" s="201" t="n"/>
      <c r="I613" s="201" t="n"/>
      <c r="J613" s="201" t="n"/>
      <c r="K613" s="201" t="n"/>
      <c r="L613" s="201" t="n"/>
      <c r="M613" s="201" t="n"/>
      <c r="N613" s="201" t="n"/>
      <c r="O613" s="201" t="n"/>
      <c r="P613" s="201" t="n"/>
      <c r="Q613" s="201" t="n"/>
      <c r="R613" s="201" t="n"/>
    </row>
    <row r="614" ht="12.75" customHeight="1" s="202">
      <c r="A614" s="201" t="n"/>
      <c r="B614" s="201" t="n"/>
      <c r="C614" s="201" t="n"/>
      <c r="D614" s="201" t="n"/>
      <c r="E614" s="201" t="n"/>
      <c r="F614" s="201" t="n"/>
      <c r="G614" s="201" t="n"/>
      <c r="H614" s="201" t="n"/>
      <c r="I614" s="201" t="n"/>
      <c r="J614" s="201" t="n"/>
      <c r="K614" s="201" t="n"/>
      <c r="L614" s="201" t="n"/>
      <c r="M614" s="201" t="n"/>
      <c r="N614" s="201" t="n"/>
      <c r="O614" s="201" t="n"/>
      <c r="P614" s="201" t="n"/>
      <c r="Q614" s="201" t="n"/>
      <c r="R614" s="201" t="n"/>
    </row>
    <row r="615" ht="12.75" customHeight="1" s="202">
      <c r="A615" s="201" t="n"/>
      <c r="B615" s="201" t="n"/>
      <c r="C615" s="201" t="n"/>
      <c r="D615" s="201" t="n"/>
      <c r="E615" s="201" t="n"/>
      <c r="F615" s="201" t="n"/>
      <c r="G615" s="201" t="n"/>
      <c r="H615" s="201" t="n"/>
      <c r="I615" s="201" t="n"/>
      <c r="J615" s="201" t="n"/>
      <c r="K615" s="201" t="n"/>
      <c r="L615" s="201" t="n"/>
      <c r="M615" s="201" t="n"/>
      <c r="N615" s="201" t="n"/>
      <c r="O615" s="201" t="n"/>
      <c r="P615" s="201" t="n"/>
      <c r="Q615" s="201" t="n"/>
      <c r="R615" s="201" t="n"/>
    </row>
    <row r="616" ht="12.75" customHeight="1" s="202">
      <c r="A616" s="201" t="n"/>
      <c r="B616" s="201" t="n"/>
      <c r="C616" s="201" t="n"/>
      <c r="D616" s="201" t="n"/>
      <c r="E616" s="201" t="n"/>
      <c r="F616" s="201" t="n"/>
      <c r="G616" s="201" t="n"/>
      <c r="H616" s="201" t="n"/>
      <c r="I616" s="201" t="n"/>
      <c r="J616" s="201" t="n"/>
      <c r="K616" s="201" t="n"/>
      <c r="L616" s="201" t="n"/>
      <c r="M616" s="201" t="n"/>
      <c r="N616" s="201" t="n"/>
      <c r="O616" s="201" t="n"/>
      <c r="P616" s="201" t="n"/>
      <c r="Q616" s="201" t="n"/>
      <c r="R616" s="201" t="n"/>
    </row>
    <row r="617" ht="12.75" customHeight="1" s="202">
      <c r="A617" s="201" t="n"/>
      <c r="B617" s="201" t="n"/>
      <c r="C617" s="201" t="n"/>
      <c r="D617" s="201" t="n"/>
      <c r="E617" s="201" t="n"/>
      <c r="F617" s="201" t="n"/>
      <c r="G617" s="201" t="n"/>
      <c r="H617" s="201" t="n"/>
      <c r="I617" s="201" t="n"/>
      <c r="J617" s="201" t="n"/>
      <c r="K617" s="201" t="n"/>
      <c r="L617" s="201" t="n"/>
      <c r="M617" s="201" t="n"/>
      <c r="N617" s="201" t="n"/>
      <c r="O617" s="201" t="n"/>
      <c r="P617" s="201" t="n"/>
      <c r="Q617" s="201" t="n"/>
      <c r="R617" s="201" t="n"/>
    </row>
    <row r="618" ht="12.75" customHeight="1" s="202">
      <c r="A618" s="201" t="n"/>
      <c r="B618" s="201" t="n"/>
      <c r="C618" s="201" t="n"/>
      <c r="D618" s="201" t="n"/>
      <c r="E618" s="201" t="n"/>
      <c r="F618" s="201" t="n"/>
      <c r="G618" s="201" t="n"/>
      <c r="H618" s="201" t="n"/>
      <c r="I618" s="201" t="n"/>
      <c r="J618" s="201" t="n"/>
      <c r="K618" s="201" t="n"/>
      <c r="L618" s="201" t="n"/>
      <c r="M618" s="201" t="n"/>
      <c r="N618" s="201" t="n"/>
      <c r="O618" s="201" t="n"/>
      <c r="P618" s="201" t="n"/>
      <c r="Q618" s="201" t="n"/>
      <c r="R618" s="201" t="n"/>
    </row>
    <row r="619" ht="12.75" customHeight="1" s="202">
      <c r="A619" s="201" t="n"/>
      <c r="B619" s="201" t="n"/>
      <c r="C619" s="201" t="n"/>
      <c r="D619" s="201" t="n"/>
      <c r="E619" s="201" t="n"/>
      <c r="F619" s="201" t="n"/>
      <c r="G619" s="201" t="n"/>
      <c r="H619" s="201" t="n"/>
      <c r="I619" s="201" t="n"/>
      <c r="J619" s="201" t="n"/>
      <c r="K619" s="201" t="n"/>
      <c r="L619" s="201" t="n"/>
      <c r="M619" s="201" t="n"/>
      <c r="N619" s="201" t="n"/>
      <c r="O619" s="201" t="n"/>
      <c r="P619" s="201" t="n"/>
      <c r="Q619" s="201" t="n"/>
      <c r="R619" s="201" t="n"/>
    </row>
    <row r="620" ht="12.75" customHeight="1" s="202">
      <c r="A620" s="201" t="n"/>
      <c r="B620" s="201" t="n"/>
      <c r="C620" s="201" t="n"/>
      <c r="D620" s="201" t="n"/>
      <c r="E620" s="201" t="n"/>
      <c r="F620" s="201" t="n"/>
      <c r="G620" s="201" t="n"/>
      <c r="H620" s="201" t="n"/>
      <c r="I620" s="201" t="n"/>
      <c r="J620" s="201" t="n"/>
      <c r="K620" s="201" t="n"/>
      <c r="L620" s="201" t="n"/>
      <c r="M620" s="201" t="n"/>
      <c r="N620" s="201" t="n"/>
      <c r="O620" s="201" t="n"/>
      <c r="P620" s="201" t="n"/>
      <c r="Q620" s="201" t="n"/>
      <c r="R620" s="201" t="n"/>
    </row>
    <row r="621" ht="12.75" customHeight="1" s="202">
      <c r="A621" s="201" t="n"/>
      <c r="B621" s="201" t="n"/>
      <c r="C621" s="201" t="n"/>
      <c r="D621" s="201" t="n"/>
      <c r="E621" s="201" t="n"/>
      <c r="F621" s="201" t="n"/>
      <c r="G621" s="201" t="n"/>
      <c r="H621" s="201" t="n"/>
      <c r="I621" s="201" t="n"/>
      <c r="J621" s="201" t="n"/>
      <c r="K621" s="201" t="n"/>
      <c r="L621" s="201" t="n"/>
      <c r="M621" s="201" t="n"/>
      <c r="N621" s="201" t="n"/>
      <c r="O621" s="201" t="n"/>
      <c r="P621" s="201" t="n"/>
      <c r="Q621" s="201" t="n"/>
      <c r="R621" s="201" t="n"/>
    </row>
    <row r="622" ht="12.75" customHeight="1" s="202">
      <c r="A622" s="201" t="n"/>
      <c r="B622" s="201" t="n"/>
      <c r="C622" s="201" t="n"/>
      <c r="D622" s="201" t="n"/>
      <c r="E622" s="201" t="n"/>
      <c r="F622" s="201" t="n"/>
      <c r="G622" s="201" t="n"/>
      <c r="H622" s="201" t="n"/>
      <c r="I622" s="201" t="n"/>
      <c r="J622" s="201" t="n"/>
      <c r="K622" s="201" t="n"/>
      <c r="L622" s="201" t="n"/>
      <c r="M622" s="201" t="n"/>
      <c r="N622" s="201" t="n"/>
      <c r="O622" s="201" t="n"/>
      <c r="P622" s="201" t="n"/>
      <c r="Q622" s="201" t="n"/>
      <c r="R622" s="201" t="n"/>
    </row>
    <row r="623" ht="12.75" customHeight="1" s="202">
      <c r="A623" s="201" t="n"/>
      <c r="B623" s="201" t="n"/>
      <c r="C623" s="201" t="n"/>
      <c r="D623" s="201" t="n"/>
      <c r="E623" s="201" t="n"/>
      <c r="F623" s="201" t="n"/>
      <c r="G623" s="201" t="n"/>
      <c r="H623" s="201" t="n"/>
      <c r="I623" s="201" t="n"/>
      <c r="J623" s="201" t="n"/>
      <c r="K623" s="201" t="n"/>
      <c r="L623" s="201" t="n"/>
      <c r="M623" s="201" t="n"/>
      <c r="N623" s="201" t="n"/>
      <c r="O623" s="201" t="n"/>
      <c r="P623" s="201" t="n"/>
      <c r="Q623" s="201" t="n"/>
      <c r="R623" s="201" t="n"/>
    </row>
    <row r="624" ht="12.75" customHeight="1" s="202">
      <c r="A624" s="201" t="n"/>
      <c r="B624" s="201" t="n"/>
      <c r="C624" s="201" t="n"/>
      <c r="D624" s="201" t="n"/>
      <c r="E624" s="201" t="n"/>
      <c r="F624" s="201" t="n"/>
      <c r="G624" s="201" t="n"/>
      <c r="H624" s="201" t="n"/>
      <c r="I624" s="201" t="n"/>
      <c r="J624" s="201" t="n"/>
      <c r="K624" s="201" t="n"/>
      <c r="L624" s="201" t="n"/>
      <c r="M624" s="201" t="n"/>
      <c r="N624" s="201" t="n"/>
      <c r="O624" s="201" t="n"/>
      <c r="P624" s="201" t="n"/>
      <c r="Q624" s="201" t="n"/>
      <c r="R624" s="201" t="n"/>
    </row>
    <row r="625" ht="12.75" customHeight="1" s="202">
      <c r="A625" s="201" t="n"/>
      <c r="B625" s="201" t="n"/>
      <c r="C625" s="201" t="n"/>
      <c r="D625" s="201" t="n"/>
      <c r="E625" s="201" t="n"/>
      <c r="F625" s="201" t="n"/>
      <c r="G625" s="201" t="n"/>
      <c r="H625" s="201" t="n"/>
      <c r="I625" s="201" t="n"/>
      <c r="J625" s="201" t="n"/>
      <c r="K625" s="201" t="n"/>
      <c r="L625" s="201" t="n"/>
      <c r="M625" s="201" t="n"/>
      <c r="N625" s="201" t="n"/>
      <c r="O625" s="201" t="n"/>
      <c r="P625" s="201" t="n"/>
      <c r="Q625" s="201" t="n"/>
      <c r="R625" s="201" t="n"/>
    </row>
    <row r="626" ht="12.75" customHeight="1" s="202">
      <c r="A626" s="201" t="n"/>
      <c r="B626" s="201" t="n"/>
      <c r="C626" s="201" t="n"/>
      <c r="D626" s="201" t="n"/>
      <c r="E626" s="201" t="n"/>
      <c r="F626" s="201" t="n"/>
      <c r="G626" s="201" t="n"/>
      <c r="H626" s="201" t="n"/>
      <c r="I626" s="201" t="n"/>
      <c r="J626" s="201" t="n"/>
      <c r="K626" s="201" t="n"/>
      <c r="L626" s="201" t="n"/>
      <c r="M626" s="201" t="n"/>
      <c r="N626" s="201" t="n"/>
      <c r="O626" s="201" t="n"/>
      <c r="P626" s="201" t="n"/>
      <c r="Q626" s="201" t="n"/>
      <c r="R626" s="201" t="n"/>
    </row>
    <row r="627" ht="12.75" customHeight="1" s="202">
      <c r="A627" s="201" t="n"/>
      <c r="B627" s="201" t="n"/>
      <c r="C627" s="201" t="n"/>
      <c r="D627" s="201" t="n"/>
      <c r="E627" s="201" t="n"/>
      <c r="F627" s="201" t="n"/>
      <c r="G627" s="201" t="n"/>
      <c r="H627" s="201" t="n"/>
      <c r="I627" s="201" t="n"/>
      <c r="J627" s="201" t="n"/>
      <c r="K627" s="201" t="n"/>
      <c r="L627" s="201" t="n"/>
      <c r="M627" s="201" t="n"/>
      <c r="N627" s="201" t="n"/>
      <c r="O627" s="201" t="n"/>
      <c r="P627" s="201" t="n"/>
      <c r="Q627" s="201" t="n"/>
      <c r="R627" s="201" t="n"/>
    </row>
    <row r="628" ht="12.75" customHeight="1" s="202">
      <c r="A628" s="201" t="n"/>
      <c r="B628" s="201" t="n"/>
      <c r="C628" s="201" t="n"/>
      <c r="D628" s="201" t="n"/>
      <c r="E628" s="201" t="n"/>
      <c r="F628" s="201" t="n"/>
      <c r="G628" s="201" t="n"/>
      <c r="H628" s="201" t="n"/>
      <c r="I628" s="201" t="n"/>
      <c r="J628" s="201" t="n"/>
      <c r="K628" s="201" t="n"/>
      <c r="L628" s="201" t="n"/>
      <c r="M628" s="201" t="n"/>
      <c r="N628" s="201" t="n"/>
      <c r="O628" s="201" t="n"/>
      <c r="P628" s="201" t="n"/>
      <c r="Q628" s="201" t="n"/>
      <c r="R628" s="201" t="n"/>
    </row>
    <row r="629" ht="12.75" customHeight="1" s="202">
      <c r="A629" s="201" t="n"/>
      <c r="B629" s="201" t="n"/>
      <c r="C629" s="201" t="n"/>
      <c r="D629" s="201" t="n"/>
      <c r="E629" s="201" t="n"/>
      <c r="F629" s="201" t="n"/>
      <c r="G629" s="201" t="n"/>
      <c r="H629" s="201" t="n"/>
      <c r="I629" s="201" t="n"/>
      <c r="J629" s="201" t="n"/>
      <c r="K629" s="201" t="n"/>
      <c r="L629" s="201" t="n"/>
      <c r="M629" s="201" t="n"/>
      <c r="N629" s="201" t="n"/>
      <c r="O629" s="201" t="n"/>
      <c r="P629" s="201" t="n"/>
      <c r="Q629" s="201" t="n"/>
      <c r="R629" s="201" t="n"/>
    </row>
    <row r="630" ht="12.75" customHeight="1" s="202">
      <c r="A630" s="201" t="n"/>
      <c r="B630" s="201" t="n"/>
      <c r="C630" s="201" t="n"/>
      <c r="D630" s="201" t="n"/>
      <c r="E630" s="201" t="n"/>
      <c r="F630" s="201" t="n"/>
      <c r="G630" s="201" t="n"/>
      <c r="H630" s="201" t="n"/>
      <c r="I630" s="201" t="n"/>
      <c r="J630" s="201" t="n"/>
      <c r="K630" s="201" t="n"/>
      <c r="L630" s="201" t="n"/>
      <c r="M630" s="201" t="n"/>
      <c r="N630" s="201" t="n"/>
      <c r="O630" s="201" t="n"/>
      <c r="P630" s="201" t="n"/>
      <c r="Q630" s="201" t="n"/>
      <c r="R630" s="201" t="n"/>
    </row>
    <row r="631" ht="12.75" customHeight="1" s="202">
      <c r="A631" s="201" t="n"/>
      <c r="B631" s="201" t="n"/>
      <c r="C631" s="201" t="n"/>
      <c r="D631" s="201" t="n"/>
      <c r="E631" s="201" t="n"/>
      <c r="F631" s="201" t="n"/>
      <c r="G631" s="201" t="n"/>
      <c r="H631" s="201" t="n"/>
      <c r="I631" s="201" t="n"/>
      <c r="J631" s="201" t="n"/>
      <c r="K631" s="201" t="n"/>
      <c r="L631" s="201" t="n"/>
      <c r="M631" s="201" t="n"/>
      <c r="N631" s="201" t="n"/>
      <c r="O631" s="201" t="n"/>
      <c r="P631" s="201" t="n"/>
      <c r="Q631" s="201" t="n"/>
      <c r="R631" s="201" t="n"/>
    </row>
    <row r="632" ht="12.75" customHeight="1" s="202">
      <c r="A632" s="201" t="n"/>
      <c r="B632" s="201" t="n"/>
      <c r="C632" s="201" t="n"/>
      <c r="D632" s="201" t="n"/>
      <c r="E632" s="201" t="n"/>
      <c r="F632" s="201" t="n"/>
      <c r="G632" s="201" t="n"/>
      <c r="H632" s="201" t="n"/>
      <c r="I632" s="201" t="n"/>
      <c r="J632" s="201" t="n"/>
      <c r="K632" s="201" t="n"/>
      <c r="L632" s="201" t="n"/>
      <c r="M632" s="201" t="n"/>
      <c r="N632" s="201" t="n"/>
      <c r="O632" s="201" t="n"/>
      <c r="P632" s="201" t="n"/>
      <c r="Q632" s="201" t="n"/>
      <c r="R632" s="201" t="n"/>
    </row>
    <row r="633" ht="12.75" customHeight="1" s="202">
      <c r="A633" s="201" t="n"/>
      <c r="B633" s="201" t="n"/>
      <c r="C633" s="201" t="n"/>
      <c r="D633" s="201" t="n"/>
      <c r="E633" s="201" t="n"/>
      <c r="F633" s="201" t="n"/>
      <c r="G633" s="201" t="n"/>
      <c r="H633" s="201" t="n"/>
      <c r="I633" s="201" t="n"/>
      <c r="J633" s="201" t="n"/>
      <c r="K633" s="201" t="n"/>
      <c r="L633" s="201" t="n"/>
      <c r="M633" s="201" t="n"/>
      <c r="N633" s="201" t="n"/>
      <c r="O633" s="201" t="n"/>
      <c r="P633" s="201" t="n"/>
      <c r="Q633" s="201" t="n"/>
      <c r="R633" s="201" t="n"/>
    </row>
    <row r="634" ht="12.75" customHeight="1" s="202">
      <c r="A634" s="201" t="n"/>
      <c r="B634" s="201" t="n"/>
      <c r="C634" s="201" t="n"/>
      <c r="D634" s="201" t="n"/>
      <c r="E634" s="201" t="n"/>
      <c r="F634" s="201" t="n"/>
      <c r="G634" s="201" t="n"/>
      <c r="H634" s="201" t="n"/>
      <c r="I634" s="201" t="n"/>
      <c r="J634" s="201" t="n"/>
      <c r="K634" s="201" t="n"/>
      <c r="L634" s="201" t="n"/>
      <c r="M634" s="201" t="n"/>
      <c r="N634" s="201" t="n"/>
      <c r="O634" s="201" t="n"/>
      <c r="P634" s="201" t="n"/>
      <c r="Q634" s="201" t="n"/>
      <c r="R634" s="201" t="n"/>
    </row>
    <row r="635" ht="12.75" customHeight="1" s="202">
      <c r="A635" s="201" t="n"/>
      <c r="B635" s="201" t="n"/>
      <c r="C635" s="201" t="n"/>
      <c r="D635" s="201" t="n"/>
      <c r="E635" s="201" t="n"/>
      <c r="F635" s="201" t="n"/>
      <c r="G635" s="201" t="n"/>
      <c r="H635" s="201" t="n"/>
      <c r="I635" s="201" t="n"/>
      <c r="J635" s="201" t="n"/>
      <c r="K635" s="201" t="n"/>
      <c r="L635" s="201" t="n"/>
      <c r="M635" s="201" t="n"/>
      <c r="N635" s="201" t="n"/>
      <c r="O635" s="201" t="n"/>
      <c r="P635" s="201" t="n"/>
      <c r="Q635" s="201" t="n"/>
      <c r="R635" s="201" t="n"/>
    </row>
    <row r="636" ht="12.75" customHeight="1" s="202">
      <c r="A636" s="201" t="n"/>
      <c r="B636" s="201" t="n"/>
      <c r="C636" s="201" t="n"/>
      <c r="D636" s="201" t="n"/>
      <c r="E636" s="201" t="n"/>
      <c r="F636" s="201" t="n"/>
      <c r="G636" s="201" t="n"/>
      <c r="H636" s="201" t="n"/>
      <c r="I636" s="201" t="n"/>
      <c r="J636" s="201" t="n"/>
      <c r="K636" s="201" t="n"/>
      <c r="L636" s="201" t="n"/>
      <c r="M636" s="201" t="n"/>
      <c r="N636" s="201" t="n"/>
      <c r="O636" s="201" t="n"/>
      <c r="P636" s="201" t="n"/>
      <c r="Q636" s="201" t="n"/>
      <c r="R636" s="201" t="n"/>
    </row>
    <row r="637" ht="12.75" customHeight="1" s="202">
      <c r="A637" s="201" t="n"/>
      <c r="B637" s="201" t="n"/>
      <c r="C637" s="201" t="n"/>
      <c r="D637" s="201" t="n"/>
      <c r="E637" s="201" t="n"/>
      <c r="F637" s="201" t="n"/>
      <c r="G637" s="201" t="n"/>
      <c r="H637" s="201" t="n"/>
      <c r="I637" s="201" t="n"/>
      <c r="J637" s="201" t="n"/>
      <c r="K637" s="201" t="n"/>
      <c r="L637" s="201" t="n"/>
      <c r="M637" s="201" t="n"/>
      <c r="N637" s="201" t="n"/>
      <c r="O637" s="201" t="n"/>
      <c r="P637" s="201" t="n"/>
      <c r="Q637" s="201" t="n"/>
      <c r="R637" s="201" t="n"/>
    </row>
    <row r="638" ht="12.75" customHeight="1" s="202">
      <c r="A638" s="201" t="n"/>
      <c r="B638" s="201" t="n"/>
      <c r="C638" s="201" t="n"/>
      <c r="D638" s="201" t="n"/>
      <c r="E638" s="201" t="n"/>
      <c r="F638" s="201" t="n"/>
      <c r="G638" s="201" t="n"/>
      <c r="H638" s="201" t="n"/>
      <c r="I638" s="201" t="n"/>
      <c r="J638" s="201" t="n"/>
      <c r="K638" s="201" t="n"/>
      <c r="L638" s="201" t="n"/>
      <c r="M638" s="201" t="n"/>
      <c r="N638" s="201" t="n"/>
      <c r="O638" s="201" t="n"/>
      <c r="P638" s="201" t="n"/>
      <c r="Q638" s="201" t="n"/>
      <c r="R638" s="201" t="n"/>
    </row>
    <row r="639" ht="12.75" customHeight="1" s="202">
      <c r="A639" s="201" t="n"/>
      <c r="B639" s="201" t="n"/>
      <c r="C639" s="201" t="n"/>
      <c r="D639" s="201" t="n"/>
      <c r="E639" s="201" t="n"/>
      <c r="F639" s="201" t="n"/>
      <c r="G639" s="201" t="n"/>
      <c r="H639" s="201" t="n"/>
      <c r="I639" s="201" t="n"/>
      <c r="J639" s="201" t="n"/>
      <c r="K639" s="201" t="n"/>
      <c r="L639" s="201" t="n"/>
      <c r="M639" s="201" t="n"/>
      <c r="N639" s="201" t="n"/>
      <c r="O639" s="201" t="n"/>
      <c r="P639" s="201" t="n"/>
      <c r="Q639" s="201" t="n"/>
      <c r="R639" s="201" t="n"/>
    </row>
    <row r="640" ht="12.75" customHeight="1" s="202">
      <c r="A640" s="201" t="n"/>
      <c r="B640" s="201" t="n"/>
      <c r="C640" s="201" t="n"/>
      <c r="D640" s="201" t="n"/>
      <c r="E640" s="201" t="n"/>
      <c r="F640" s="201" t="n"/>
      <c r="G640" s="201" t="n"/>
      <c r="H640" s="201" t="n"/>
      <c r="I640" s="201" t="n"/>
      <c r="J640" s="201" t="n"/>
      <c r="K640" s="201" t="n"/>
      <c r="L640" s="201" t="n"/>
      <c r="M640" s="201" t="n"/>
      <c r="N640" s="201" t="n"/>
      <c r="O640" s="201" t="n"/>
      <c r="P640" s="201" t="n"/>
      <c r="Q640" s="201" t="n"/>
      <c r="R640" s="201" t="n"/>
    </row>
    <row r="641" ht="12.75" customHeight="1" s="202">
      <c r="A641" s="201" t="n"/>
      <c r="B641" s="201" t="n"/>
      <c r="C641" s="201" t="n"/>
      <c r="D641" s="201" t="n"/>
      <c r="E641" s="201" t="n"/>
      <c r="F641" s="201" t="n"/>
      <c r="G641" s="201" t="n"/>
      <c r="H641" s="201" t="n"/>
      <c r="I641" s="201" t="n"/>
      <c r="J641" s="201" t="n"/>
      <c r="K641" s="201" t="n"/>
      <c r="L641" s="201" t="n"/>
      <c r="M641" s="201" t="n"/>
      <c r="N641" s="201" t="n"/>
      <c r="O641" s="201" t="n"/>
      <c r="P641" s="201" t="n"/>
      <c r="Q641" s="201" t="n"/>
      <c r="R641" s="201" t="n"/>
    </row>
    <row r="642" ht="12.75" customHeight="1" s="202">
      <c r="A642" s="201" t="n"/>
      <c r="B642" s="201" t="n"/>
      <c r="C642" s="201" t="n"/>
      <c r="D642" s="201" t="n"/>
      <c r="E642" s="201" t="n"/>
      <c r="F642" s="201" t="n"/>
      <c r="G642" s="201" t="n"/>
      <c r="H642" s="201" t="n"/>
      <c r="I642" s="201" t="n"/>
      <c r="J642" s="201" t="n"/>
      <c r="K642" s="201" t="n"/>
      <c r="L642" s="201" t="n"/>
      <c r="M642" s="201" t="n"/>
      <c r="N642" s="201" t="n"/>
      <c r="O642" s="201" t="n"/>
      <c r="P642" s="201" t="n"/>
      <c r="Q642" s="201" t="n"/>
      <c r="R642" s="201" t="n"/>
    </row>
    <row r="643" ht="12.75" customHeight="1" s="202">
      <c r="A643" s="201" t="n"/>
      <c r="B643" s="201" t="n"/>
      <c r="C643" s="201" t="n"/>
      <c r="D643" s="201" t="n"/>
      <c r="E643" s="201" t="n"/>
      <c r="F643" s="201" t="n"/>
      <c r="G643" s="201" t="n"/>
      <c r="H643" s="201" t="n"/>
      <c r="I643" s="201" t="n"/>
      <c r="J643" s="201" t="n"/>
      <c r="K643" s="201" t="n"/>
      <c r="L643" s="201" t="n"/>
      <c r="M643" s="201" t="n"/>
      <c r="N643" s="201" t="n"/>
      <c r="O643" s="201" t="n"/>
      <c r="P643" s="201" t="n"/>
      <c r="Q643" s="201" t="n"/>
      <c r="R643" s="201" t="n"/>
    </row>
    <row r="644" ht="12.75" customHeight="1" s="202">
      <c r="A644" s="201" t="n"/>
      <c r="B644" s="201" t="n"/>
      <c r="C644" s="201" t="n"/>
      <c r="D644" s="201" t="n"/>
      <c r="E644" s="201" t="n"/>
      <c r="F644" s="201" t="n"/>
      <c r="G644" s="201" t="n"/>
      <c r="H644" s="201" t="n"/>
      <c r="I644" s="201" t="n"/>
      <c r="J644" s="201" t="n"/>
      <c r="K644" s="201" t="n"/>
      <c r="L644" s="201" t="n"/>
      <c r="M644" s="201" t="n"/>
      <c r="N644" s="201" t="n"/>
      <c r="O644" s="201" t="n"/>
      <c r="P644" s="201" t="n"/>
      <c r="Q644" s="201" t="n"/>
      <c r="R644" s="201" t="n"/>
    </row>
    <row r="645" ht="12.75" customHeight="1" s="202">
      <c r="A645" s="201" t="n"/>
      <c r="B645" s="201" t="n"/>
      <c r="C645" s="201" t="n"/>
      <c r="D645" s="201" t="n"/>
      <c r="E645" s="201" t="n"/>
      <c r="F645" s="201" t="n"/>
      <c r="G645" s="201" t="n"/>
      <c r="H645" s="201" t="n"/>
      <c r="I645" s="201" t="n"/>
      <c r="J645" s="201" t="n"/>
      <c r="K645" s="201" t="n"/>
      <c r="L645" s="201" t="n"/>
      <c r="M645" s="201" t="n"/>
      <c r="N645" s="201" t="n"/>
      <c r="O645" s="201" t="n"/>
      <c r="P645" s="201" t="n"/>
      <c r="Q645" s="201" t="n"/>
      <c r="R645" s="201" t="n"/>
    </row>
    <row r="646" ht="12.75" customHeight="1" s="202">
      <c r="A646" s="201" t="n"/>
      <c r="B646" s="201" t="n"/>
      <c r="C646" s="201" t="n"/>
      <c r="D646" s="201" t="n"/>
      <c r="E646" s="201" t="n"/>
      <c r="F646" s="201" t="n"/>
      <c r="G646" s="201" t="n"/>
      <c r="H646" s="201" t="n"/>
      <c r="I646" s="201" t="n"/>
      <c r="J646" s="201" t="n"/>
      <c r="K646" s="201" t="n"/>
      <c r="L646" s="201" t="n"/>
      <c r="M646" s="201" t="n"/>
      <c r="N646" s="201" t="n"/>
      <c r="O646" s="201" t="n"/>
      <c r="P646" s="201" t="n"/>
      <c r="Q646" s="201" t="n"/>
      <c r="R646" s="201" t="n"/>
    </row>
    <row r="647" ht="12.75" customHeight="1" s="202">
      <c r="A647" s="201" t="n"/>
      <c r="B647" s="201" t="n"/>
      <c r="C647" s="201" t="n"/>
      <c r="D647" s="201" t="n"/>
      <c r="E647" s="201" t="n"/>
      <c r="F647" s="201" t="n"/>
      <c r="G647" s="201" t="n"/>
      <c r="H647" s="201" t="n"/>
      <c r="I647" s="201" t="n"/>
      <c r="J647" s="201" t="n"/>
      <c r="K647" s="201" t="n"/>
      <c r="L647" s="201" t="n"/>
      <c r="M647" s="201" t="n"/>
      <c r="N647" s="201" t="n"/>
      <c r="O647" s="201" t="n"/>
      <c r="P647" s="201" t="n"/>
      <c r="Q647" s="201" t="n"/>
      <c r="R647" s="201" t="n"/>
    </row>
    <row r="648" ht="12.75" customHeight="1" s="202">
      <c r="A648" s="201" t="n"/>
      <c r="B648" s="201" t="n"/>
      <c r="C648" s="201" t="n"/>
      <c r="D648" s="201" t="n"/>
      <c r="E648" s="201" t="n"/>
      <c r="F648" s="201" t="n"/>
      <c r="G648" s="201" t="n"/>
      <c r="H648" s="201" t="n"/>
      <c r="I648" s="201" t="n"/>
      <c r="J648" s="201" t="n"/>
      <c r="K648" s="201" t="n"/>
      <c r="L648" s="201" t="n"/>
      <c r="M648" s="201" t="n"/>
      <c r="N648" s="201" t="n"/>
      <c r="O648" s="201" t="n"/>
      <c r="P648" s="201" t="n"/>
      <c r="Q648" s="201" t="n"/>
      <c r="R648" s="201" t="n"/>
    </row>
    <row r="649" ht="12.75" customHeight="1" s="202">
      <c r="A649" s="201" t="n"/>
      <c r="B649" s="201" t="n"/>
      <c r="C649" s="201" t="n"/>
      <c r="D649" s="201" t="n"/>
      <c r="E649" s="201" t="n"/>
      <c r="F649" s="201" t="n"/>
      <c r="G649" s="201" t="n"/>
      <c r="H649" s="201" t="n"/>
      <c r="I649" s="201" t="n"/>
      <c r="J649" s="201" t="n"/>
      <c r="K649" s="201" t="n"/>
      <c r="L649" s="201" t="n"/>
      <c r="M649" s="201" t="n"/>
      <c r="N649" s="201" t="n"/>
      <c r="O649" s="201" t="n"/>
      <c r="P649" s="201" t="n"/>
      <c r="Q649" s="201" t="n"/>
      <c r="R649" s="201" t="n"/>
    </row>
    <row r="650" ht="12.75" customHeight="1" s="202">
      <c r="A650" s="201" t="n"/>
      <c r="B650" s="201" t="n"/>
      <c r="C650" s="201" t="n"/>
      <c r="D650" s="201" t="n"/>
      <c r="E650" s="201" t="n"/>
      <c r="F650" s="201" t="n"/>
      <c r="G650" s="201" t="n"/>
      <c r="H650" s="201" t="n"/>
      <c r="I650" s="201" t="n"/>
      <c r="J650" s="201" t="n"/>
      <c r="K650" s="201" t="n"/>
      <c r="L650" s="201" t="n"/>
      <c r="M650" s="201" t="n"/>
      <c r="N650" s="201" t="n"/>
      <c r="O650" s="201" t="n"/>
      <c r="P650" s="201" t="n"/>
      <c r="Q650" s="201" t="n"/>
      <c r="R650" s="201" t="n"/>
    </row>
    <row r="651" ht="12.75" customHeight="1" s="202">
      <c r="A651" s="201" t="n"/>
      <c r="B651" s="201" t="n"/>
      <c r="C651" s="201" t="n"/>
      <c r="D651" s="201" t="n"/>
      <c r="E651" s="201" t="n"/>
      <c r="F651" s="201" t="n"/>
      <c r="G651" s="201" t="n"/>
      <c r="H651" s="201" t="n"/>
      <c r="I651" s="201" t="n"/>
      <c r="J651" s="201" t="n"/>
      <c r="K651" s="201" t="n"/>
      <c r="L651" s="201" t="n"/>
      <c r="M651" s="201" t="n"/>
      <c r="N651" s="201" t="n"/>
      <c r="O651" s="201" t="n"/>
      <c r="P651" s="201" t="n"/>
      <c r="Q651" s="201" t="n"/>
      <c r="R651" s="201" t="n"/>
    </row>
    <row r="652" ht="12.75" customHeight="1" s="202">
      <c r="A652" s="201" t="n"/>
      <c r="B652" s="201" t="n"/>
      <c r="C652" s="201" t="n"/>
      <c r="D652" s="201" t="n"/>
      <c r="E652" s="201" t="n"/>
      <c r="F652" s="201" t="n"/>
      <c r="G652" s="201" t="n"/>
      <c r="H652" s="201" t="n"/>
      <c r="I652" s="201" t="n"/>
      <c r="J652" s="201" t="n"/>
      <c r="K652" s="201" t="n"/>
      <c r="L652" s="201" t="n"/>
      <c r="M652" s="201" t="n"/>
      <c r="N652" s="201" t="n"/>
      <c r="O652" s="201" t="n"/>
      <c r="P652" s="201" t="n"/>
      <c r="Q652" s="201" t="n"/>
      <c r="R652" s="201" t="n"/>
    </row>
    <row r="653" ht="12.75" customHeight="1" s="202">
      <c r="A653" s="201" t="n"/>
      <c r="B653" s="201" t="n"/>
      <c r="C653" s="201" t="n"/>
      <c r="D653" s="201" t="n"/>
      <c r="E653" s="201" t="n"/>
      <c r="F653" s="201" t="n"/>
      <c r="G653" s="201" t="n"/>
      <c r="H653" s="201" t="n"/>
      <c r="I653" s="201" t="n"/>
      <c r="J653" s="201" t="n"/>
      <c r="K653" s="201" t="n"/>
      <c r="L653" s="201" t="n"/>
      <c r="M653" s="201" t="n"/>
      <c r="N653" s="201" t="n"/>
      <c r="O653" s="201" t="n"/>
      <c r="P653" s="201" t="n"/>
      <c r="Q653" s="201" t="n"/>
      <c r="R653" s="201" t="n"/>
    </row>
    <row r="654" ht="12.75" customHeight="1" s="202">
      <c r="A654" s="201" t="n"/>
      <c r="B654" s="201" t="n"/>
      <c r="C654" s="201" t="n"/>
      <c r="D654" s="201" t="n"/>
      <c r="E654" s="201" t="n"/>
      <c r="F654" s="201" t="n"/>
      <c r="G654" s="201" t="n"/>
      <c r="H654" s="201" t="n"/>
      <c r="I654" s="201" t="n"/>
      <c r="J654" s="201" t="n"/>
      <c r="K654" s="201" t="n"/>
      <c r="L654" s="201" t="n"/>
      <c r="M654" s="201" t="n"/>
      <c r="N654" s="201" t="n"/>
      <c r="O654" s="201" t="n"/>
      <c r="P654" s="201" t="n"/>
      <c r="Q654" s="201" t="n"/>
      <c r="R654" s="201" t="n"/>
    </row>
    <row r="655" ht="12.75" customHeight="1" s="202">
      <c r="A655" s="201" t="n"/>
      <c r="B655" s="201" t="n"/>
      <c r="C655" s="201" t="n"/>
      <c r="D655" s="201" t="n"/>
      <c r="E655" s="201" t="n"/>
      <c r="F655" s="201" t="n"/>
      <c r="G655" s="201" t="n"/>
      <c r="H655" s="201" t="n"/>
      <c r="I655" s="201" t="n"/>
      <c r="J655" s="201" t="n"/>
      <c r="K655" s="201" t="n"/>
      <c r="L655" s="201" t="n"/>
      <c r="M655" s="201" t="n"/>
      <c r="N655" s="201" t="n"/>
      <c r="O655" s="201" t="n"/>
      <c r="P655" s="201" t="n"/>
      <c r="Q655" s="201" t="n"/>
      <c r="R655" s="201" t="n"/>
    </row>
    <row r="656" ht="12.75" customHeight="1" s="202">
      <c r="A656" s="201" t="n"/>
      <c r="B656" s="201" t="n"/>
      <c r="C656" s="201" t="n"/>
      <c r="D656" s="201" t="n"/>
      <c r="E656" s="201" t="n"/>
      <c r="F656" s="201" t="n"/>
      <c r="G656" s="201" t="n"/>
      <c r="H656" s="201" t="n"/>
      <c r="I656" s="201" t="n"/>
      <c r="J656" s="201" t="n"/>
      <c r="K656" s="201" t="n"/>
      <c r="L656" s="201" t="n"/>
      <c r="M656" s="201" t="n"/>
      <c r="N656" s="201" t="n"/>
      <c r="O656" s="201" t="n"/>
      <c r="P656" s="201" t="n"/>
      <c r="Q656" s="201" t="n"/>
      <c r="R656" s="201" t="n"/>
    </row>
    <row r="657" ht="12.75" customHeight="1" s="202">
      <c r="A657" s="201" t="n"/>
      <c r="B657" s="201" t="n"/>
      <c r="C657" s="201" t="n"/>
      <c r="D657" s="201" t="n"/>
      <c r="E657" s="201" t="n"/>
      <c r="F657" s="201" t="n"/>
      <c r="G657" s="201" t="n"/>
      <c r="H657" s="201" t="n"/>
      <c r="I657" s="201" t="n"/>
      <c r="J657" s="201" t="n"/>
      <c r="K657" s="201" t="n"/>
      <c r="L657" s="201" t="n"/>
      <c r="M657" s="201" t="n"/>
      <c r="N657" s="201" t="n"/>
      <c r="O657" s="201" t="n"/>
      <c r="P657" s="201" t="n"/>
      <c r="Q657" s="201" t="n"/>
      <c r="R657" s="201" t="n"/>
    </row>
    <row r="658" ht="12.75" customHeight="1" s="202">
      <c r="A658" s="201" t="n"/>
      <c r="B658" s="201" t="n"/>
      <c r="C658" s="201" t="n"/>
      <c r="D658" s="201" t="n"/>
      <c r="E658" s="201" t="n"/>
      <c r="F658" s="201" t="n"/>
      <c r="G658" s="201" t="n"/>
      <c r="H658" s="201" t="n"/>
      <c r="I658" s="201" t="n"/>
      <c r="J658" s="201" t="n"/>
      <c r="K658" s="201" t="n"/>
      <c r="L658" s="201" t="n"/>
      <c r="M658" s="201" t="n"/>
      <c r="N658" s="201" t="n"/>
      <c r="O658" s="201" t="n"/>
      <c r="P658" s="201" t="n"/>
      <c r="Q658" s="201" t="n"/>
      <c r="R658" s="201" t="n"/>
    </row>
    <row r="659" ht="12.75" customHeight="1" s="202">
      <c r="A659" s="201" t="n"/>
      <c r="B659" s="201" t="n"/>
      <c r="C659" s="201" t="n"/>
      <c r="D659" s="201" t="n"/>
      <c r="E659" s="201" t="n"/>
      <c r="F659" s="201" t="n"/>
      <c r="G659" s="201" t="n"/>
      <c r="H659" s="201" t="n"/>
      <c r="I659" s="201" t="n"/>
      <c r="J659" s="201" t="n"/>
      <c r="K659" s="201" t="n"/>
      <c r="L659" s="201" t="n"/>
      <c r="M659" s="201" t="n"/>
      <c r="N659" s="201" t="n"/>
      <c r="O659" s="201" t="n"/>
      <c r="P659" s="201" t="n"/>
      <c r="Q659" s="201" t="n"/>
      <c r="R659" s="201" t="n"/>
    </row>
    <row r="660" ht="12.75" customHeight="1" s="202">
      <c r="A660" s="201" t="n"/>
      <c r="B660" s="201" t="n"/>
      <c r="C660" s="201" t="n"/>
      <c r="D660" s="201" t="n"/>
      <c r="E660" s="201" t="n"/>
      <c r="F660" s="201" t="n"/>
      <c r="G660" s="201" t="n"/>
      <c r="H660" s="201" t="n"/>
      <c r="I660" s="201" t="n"/>
      <c r="J660" s="201" t="n"/>
      <c r="K660" s="201" t="n"/>
      <c r="L660" s="201" t="n"/>
      <c r="M660" s="201" t="n"/>
      <c r="N660" s="201" t="n"/>
      <c r="O660" s="201" t="n"/>
      <c r="P660" s="201" t="n"/>
      <c r="Q660" s="201" t="n"/>
      <c r="R660" s="201" t="n"/>
    </row>
    <row r="661" ht="12.75" customHeight="1" s="202">
      <c r="A661" s="201" t="n"/>
      <c r="B661" s="201" t="n"/>
      <c r="C661" s="201" t="n"/>
      <c r="D661" s="201" t="n"/>
      <c r="E661" s="201" t="n"/>
      <c r="F661" s="201" t="n"/>
      <c r="G661" s="201" t="n"/>
      <c r="H661" s="201" t="n"/>
      <c r="I661" s="201" t="n"/>
      <c r="J661" s="201" t="n"/>
      <c r="K661" s="201" t="n"/>
      <c r="L661" s="201" t="n"/>
      <c r="M661" s="201" t="n"/>
      <c r="N661" s="201" t="n"/>
      <c r="O661" s="201" t="n"/>
      <c r="P661" s="201" t="n"/>
      <c r="Q661" s="201" t="n"/>
      <c r="R661" s="201" t="n"/>
    </row>
    <row r="662" ht="12.75" customHeight="1" s="202">
      <c r="A662" s="201" t="n"/>
      <c r="B662" s="201" t="n"/>
      <c r="C662" s="201" t="n"/>
      <c r="D662" s="201" t="n"/>
      <c r="E662" s="201" t="n"/>
      <c r="F662" s="201" t="n"/>
      <c r="G662" s="201" t="n"/>
      <c r="H662" s="201" t="n"/>
      <c r="I662" s="201" t="n"/>
      <c r="J662" s="201" t="n"/>
      <c r="K662" s="201" t="n"/>
      <c r="L662" s="201" t="n"/>
      <c r="M662" s="201" t="n"/>
      <c r="N662" s="201" t="n"/>
      <c r="O662" s="201" t="n"/>
      <c r="P662" s="201" t="n"/>
      <c r="Q662" s="201" t="n"/>
      <c r="R662" s="201" t="n"/>
    </row>
    <row r="663" ht="12.75" customHeight="1" s="202">
      <c r="A663" s="201" t="n"/>
      <c r="B663" s="201" t="n"/>
      <c r="C663" s="201" t="n"/>
      <c r="D663" s="201" t="n"/>
      <c r="E663" s="201" t="n"/>
      <c r="F663" s="201" t="n"/>
      <c r="G663" s="201" t="n"/>
      <c r="H663" s="201" t="n"/>
      <c r="I663" s="201" t="n"/>
      <c r="J663" s="201" t="n"/>
      <c r="K663" s="201" t="n"/>
      <c r="L663" s="201" t="n"/>
      <c r="M663" s="201" t="n"/>
      <c r="N663" s="201" t="n"/>
      <c r="O663" s="201" t="n"/>
      <c r="P663" s="201" t="n"/>
      <c r="Q663" s="201" t="n"/>
      <c r="R663" s="201" t="n"/>
    </row>
    <row r="664" ht="12.75" customHeight="1" s="202">
      <c r="A664" s="201" t="n"/>
      <c r="B664" s="201" t="n"/>
      <c r="C664" s="201" t="n"/>
      <c r="D664" s="201" t="n"/>
      <c r="E664" s="201" t="n"/>
      <c r="F664" s="201" t="n"/>
      <c r="G664" s="201" t="n"/>
      <c r="H664" s="201" t="n"/>
      <c r="I664" s="201" t="n"/>
      <c r="J664" s="201" t="n"/>
      <c r="K664" s="201" t="n"/>
      <c r="L664" s="201" t="n"/>
      <c r="M664" s="201" t="n"/>
      <c r="N664" s="201" t="n"/>
      <c r="O664" s="201" t="n"/>
      <c r="P664" s="201" t="n"/>
      <c r="Q664" s="201" t="n"/>
      <c r="R664" s="201" t="n"/>
    </row>
    <row r="665" ht="12.75" customHeight="1" s="202">
      <c r="A665" s="201" t="n"/>
      <c r="B665" s="201" t="n"/>
      <c r="C665" s="201" t="n"/>
      <c r="D665" s="201" t="n"/>
      <c r="E665" s="201" t="n"/>
      <c r="F665" s="201" t="n"/>
      <c r="G665" s="201" t="n"/>
      <c r="H665" s="201" t="n"/>
      <c r="I665" s="201" t="n"/>
      <c r="J665" s="201" t="n"/>
      <c r="K665" s="201" t="n"/>
      <c r="L665" s="201" t="n"/>
      <c r="M665" s="201" t="n"/>
      <c r="N665" s="201" t="n"/>
      <c r="O665" s="201" t="n"/>
      <c r="P665" s="201" t="n"/>
      <c r="Q665" s="201" t="n"/>
      <c r="R665" s="201" t="n"/>
    </row>
    <row r="666" ht="12.75" customHeight="1" s="202">
      <c r="A666" s="201" t="n"/>
      <c r="B666" s="201" t="n"/>
      <c r="C666" s="201" t="n"/>
      <c r="D666" s="201" t="n"/>
      <c r="E666" s="201" t="n"/>
      <c r="F666" s="201" t="n"/>
      <c r="G666" s="201" t="n"/>
      <c r="H666" s="201" t="n"/>
      <c r="I666" s="201" t="n"/>
      <c r="J666" s="201" t="n"/>
      <c r="K666" s="201" t="n"/>
      <c r="L666" s="201" t="n"/>
      <c r="M666" s="201" t="n"/>
      <c r="N666" s="201" t="n"/>
      <c r="O666" s="201" t="n"/>
      <c r="P666" s="201" t="n"/>
      <c r="Q666" s="201" t="n"/>
      <c r="R666" s="201" t="n"/>
    </row>
    <row r="667" ht="12.75" customHeight="1" s="202">
      <c r="A667" s="201" t="n"/>
      <c r="B667" s="201" t="n"/>
      <c r="C667" s="201" t="n"/>
      <c r="D667" s="201" t="n"/>
      <c r="E667" s="201" t="n"/>
      <c r="F667" s="201" t="n"/>
      <c r="G667" s="201" t="n"/>
      <c r="H667" s="201" t="n"/>
      <c r="I667" s="201" t="n"/>
      <c r="J667" s="201" t="n"/>
      <c r="K667" s="201" t="n"/>
      <c r="L667" s="201" t="n"/>
      <c r="M667" s="201" t="n"/>
      <c r="N667" s="201" t="n"/>
      <c r="O667" s="201" t="n"/>
      <c r="P667" s="201" t="n"/>
      <c r="Q667" s="201" t="n"/>
      <c r="R667" s="201" t="n"/>
    </row>
    <row r="668" ht="12.75" customHeight="1" s="202">
      <c r="A668" s="201" t="n"/>
      <c r="B668" s="201" t="n"/>
      <c r="C668" s="201" t="n"/>
      <c r="D668" s="201" t="n"/>
      <c r="E668" s="201" t="n"/>
      <c r="F668" s="201" t="n"/>
      <c r="G668" s="201" t="n"/>
      <c r="H668" s="201" t="n"/>
      <c r="I668" s="201" t="n"/>
      <c r="J668" s="201" t="n"/>
      <c r="K668" s="201" t="n"/>
      <c r="L668" s="201" t="n"/>
      <c r="M668" s="201" t="n"/>
      <c r="N668" s="201" t="n"/>
      <c r="O668" s="201" t="n"/>
      <c r="P668" s="201" t="n"/>
      <c r="Q668" s="201" t="n"/>
      <c r="R668" s="201" t="n"/>
    </row>
    <row r="669" ht="12.75" customHeight="1" s="202">
      <c r="A669" s="201" t="n"/>
      <c r="B669" s="201" t="n"/>
      <c r="C669" s="201" t="n"/>
      <c r="D669" s="201" t="n"/>
      <c r="E669" s="201" t="n"/>
      <c r="F669" s="201" t="n"/>
      <c r="G669" s="201" t="n"/>
      <c r="H669" s="201" t="n"/>
      <c r="I669" s="201" t="n"/>
      <c r="J669" s="201" t="n"/>
      <c r="K669" s="201" t="n"/>
      <c r="L669" s="201" t="n"/>
      <c r="M669" s="201" t="n"/>
      <c r="N669" s="201" t="n"/>
      <c r="O669" s="201" t="n"/>
      <c r="P669" s="201" t="n"/>
      <c r="Q669" s="201" t="n"/>
      <c r="R669" s="201" t="n"/>
    </row>
    <row r="670" ht="12.75" customHeight="1" s="202">
      <c r="A670" s="201" t="n"/>
      <c r="B670" s="201" t="n"/>
      <c r="C670" s="201" t="n"/>
      <c r="D670" s="201" t="n"/>
      <c r="E670" s="201" t="n"/>
      <c r="F670" s="201" t="n"/>
      <c r="G670" s="201" t="n"/>
      <c r="H670" s="201" t="n"/>
      <c r="I670" s="201" t="n"/>
      <c r="J670" s="201" t="n"/>
      <c r="K670" s="201" t="n"/>
      <c r="L670" s="201" t="n"/>
      <c r="M670" s="201" t="n"/>
      <c r="N670" s="201" t="n"/>
      <c r="O670" s="201" t="n"/>
      <c r="P670" s="201" t="n"/>
      <c r="Q670" s="201" t="n"/>
      <c r="R670" s="201" t="n"/>
    </row>
    <row r="671" ht="12.75" customHeight="1" s="202">
      <c r="A671" s="201" t="n"/>
      <c r="B671" s="201" t="n"/>
      <c r="C671" s="201" t="n"/>
      <c r="D671" s="201" t="n"/>
      <c r="E671" s="201" t="n"/>
      <c r="F671" s="201" t="n"/>
      <c r="G671" s="201" t="n"/>
      <c r="H671" s="201" t="n"/>
      <c r="I671" s="201" t="n"/>
      <c r="J671" s="201" t="n"/>
      <c r="K671" s="201" t="n"/>
      <c r="L671" s="201" t="n"/>
      <c r="M671" s="201" t="n"/>
      <c r="N671" s="201" t="n"/>
      <c r="O671" s="201" t="n"/>
      <c r="P671" s="201" t="n"/>
      <c r="Q671" s="201" t="n"/>
      <c r="R671" s="201" t="n"/>
    </row>
    <row r="672" ht="12.75" customHeight="1" s="202">
      <c r="A672" s="201" t="n"/>
      <c r="B672" s="201" t="n"/>
      <c r="C672" s="201" t="n"/>
      <c r="D672" s="201" t="n"/>
      <c r="E672" s="201" t="n"/>
      <c r="F672" s="201" t="n"/>
      <c r="G672" s="201" t="n"/>
      <c r="H672" s="201" t="n"/>
      <c r="I672" s="201" t="n"/>
      <c r="J672" s="201" t="n"/>
      <c r="K672" s="201" t="n"/>
      <c r="L672" s="201" t="n"/>
      <c r="M672" s="201" t="n"/>
      <c r="N672" s="201" t="n"/>
      <c r="O672" s="201" t="n"/>
      <c r="P672" s="201" t="n"/>
      <c r="Q672" s="201" t="n"/>
      <c r="R672" s="201" t="n"/>
    </row>
    <row r="673" ht="12.75" customHeight="1" s="202">
      <c r="A673" s="201" t="n"/>
      <c r="B673" s="201" t="n"/>
      <c r="C673" s="201" t="n"/>
      <c r="D673" s="201" t="n"/>
      <c r="E673" s="201" t="n"/>
      <c r="F673" s="201" t="n"/>
      <c r="G673" s="201" t="n"/>
      <c r="H673" s="201" t="n"/>
      <c r="I673" s="201" t="n"/>
      <c r="J673" s="201" t="n"/>
      <c r="K673" s="201" t="n"/>
      <c r="L673" s="201" t="n"/>
      <c r="M673" s="201" t="n"/>
      <c r="N673" s="201" t="n"/>
      <c r="O673" s="201" t="n"/>
      <c r="P673" s="201" t="n"/>
      <c r="Q673" s="201" t="n"/>
      <c r="R673" s="201" t="n"/>
    </row>
    <row r="674" ht="12.75" customHeight="1" s="202">
      <c r="A674" s="201" t="n"/>
      <c r="B674" s="201" t="n"/>
      <c r="C674" s="201" t="n"/>
      <c r="D674" s="201" t="n"/>
      <c r="E674" s="201" t="n"/>
      <c r="F674" s="201" t="n"/>
      <c r="G674" s="201" t="n"/>
      <c r="H674" s="201" t="n"/>
      <c r="I674" s="201" t="n"/>
      <c r="J674" s="201" t="n"/>
      <c r="K674" s="201" t="n"/>
      <c r="L674" s="201" t="n"/>
      <c r="M674" s="201" t="n"/>
      <c r="N674" s="201" t="n"/>
      <c r="O674" s="201" t="n"/>
      <c r="P674" s="201" t="n"/>
      <c r="Q674" s="201" t="n"/>
      <c r="R674" s="201" t="n"/>
    </row>
    <row r="675" ht="12.75" customHeight="1" s="202">
      <c r="A675" s="201" t="n"/>
      <c r="B675" s="201" t="n"/>
      <c r="C675" s="201" t="n"/>
      <c r="D675" s="201" t="n"/>
      <c r="E675" s="201" t="n"/>
      <c r="F675" s="201" t="n"/>
      <c r="G675" s="201" t="n"/>
      <c r="H675" s="201" t="n"/>
      <c r="I675" s="201" t="n"/>
      <c r="J675" s="201" t="n"/>
      <c r="K675" s="201" t="n"/>
      <c r="L675" s="201" t="n"/>
      <c r="M675" s="201" t="n"/>
      <c r="N675" s="201" t="n"/>
      <c r="O675" s="201" t="n"/>
      <c r="P675" s="201" t="n"/>
      <c r="Q675" s="201" t="n"/>
      <c r="R675" s="201" t="n"/>
    </row>
    <row r="676" ht="12.75" customHeight="1" s="202">
      <c r="A676" s="201" t="n"/>
      <c r="B676" s="201" t="n"/>
      <c r="C676" s="201" t="n"/>
      <c r="D676" s="201" t="n"/>
      <c r="E676" s="201" t="n"/>
      <c r="F676" s="201" t="n"/>
      <c r="G676" s="201" t="n"/>
      <c r="H676" s="201" t="n"/>
      <c r="I676" s="201" t="n"/>
      <c r="J676" s="201" t="n"/>
      <c r="K676" s="201" t="n"/>
      <c r="L676" s="201" t="n"/>
      <c r="M676" s="201" t="n"/>
      <c r="N676" s="201" t="n"/>
      <c r="O676" s="201" t="n"/>
      <c r="P676" s="201" t="n"/>
      <c r="Q676" s="201" t="n"/>
      <c r="R676" s="201" t="n"/>
    </row>
    <row r="677" ht="12.75" customHeight="1" s="202">
      <c r="A677" s="201" t="n"/>
      <c r="B677" s="201" t="n"/>
      <c r="C677" s="201" t="n"/>
      <c r="D677" s="201" t="n"/>
      <c r="E677" s="201" t="n"/>
      <c r="F677" s="201" t="n"/>
      <c r="G677" s="201" t="n"/>
      <c r="H677" s="201" t="n"/>
      <c r="I677" s="201" t="n"/>
      <c r="J677" s="201" t="n"/>
      <c r="K677" s="201" t="n"/>
      <c r="L677" s="201" t="n"/>
      <c r="M677" s="201" t="n"/>
      <c r="N677" s="201" t="n"/>
      <c r="O677" s="201" t="n"/>
      <c r="P677" s="201" t="n"/>
      <c r="Q677" s="201" t="n"/>
      <c r="R677" s="201" t="n"/>
    </row>
    <row r="678" ht="12.75" customHeight="1" s="202">
      <c r="A678" s="201" t="n"/>
      <c r="B678" s="201" t="n"/>
      <c r="C678" s="201" t="n"/>
      <c r="D678" s="201" t="n"/>
      <c r="E678" s="201" t="n"/>
      <c r="F678" s="201" t="n"/>
      <c r="G678" s="201" t="n"/>
      <c r="H678" s="201" t="n"/>
      <c r="I678" s="201" t="n"/>
      <c r="J678" s="201" t="n"/>
      <c r="K678" s="201" t="n"/>
      <c r="L678" s="201" t="n"/>
      <c r="M678" s="201" t="n"/>
      <c r="N678" s="201" t="n"/>
      <c r="O678" s="201" t="n"/>
      <c r="P678" s="201" t="n"/>
      <c r="Q678" s="201" t="n"/>
      <c r="R678" s="201" t="n"/>
    </row>
    <row r="679" ht="12.75" customHeight="1" s="202">
      <c r="A679" s="201" t="n"/>
      <c r="B679" s="201" t="n"/>
      <c r="C679" s="201" t="n"/>
      <c r="D679" s="201" t="n"/>
      <c r="E679" s="201" t="n"/>
      <c r="F679" s="201" t="n"/>
      <c r="G679" s="201" t="n"/>
      <c r="H679" s="201" t="n"/>
      <c r="I679" s="201" t="n"/>
      <c r="J679" s="201" t="n"/>
      <c r="K679" s="201" t="n"/>
      <c r="L679" s="201" t="n"/>
      <c r="M679" s="201" t="n"/>
      <c r="N679" s="201" t="n"/>
      <c r="O679" s="201" t="n"/>
      <c r="P679" s="201" t="n"/>
      <c r="Q679" s="201" t="n"/>
      <c r="R679" s="201" t="n"/>
    </row>
    <row r="680" ht="12.75" customHeight="1" s="202">
      <c r="A680" s="201" t="n"/>
      <c r="B680" s="201" t="n"/>
      <c r="C680" s="201" t="n"/>
      <c r="D680" s="201" t="n"/>
      <c r="E680" s="201" t="n"/>
      <c r="F680" s="201" t="n"/>
      <c r="G680" s="201" t="n"/>
      <c r="H680" s="201" t="n"/>
      <c r="I680" s="201" t="n"/>
      <c r="J680" s="201" t="n"/>
      <c r="K680" s="201" t="n"/>
      <c r="L680" s="201" t="n"/>
      <c r="M680" s="201" t="n"/>
      <c r="N680" s="201" t="n"/>
      <c r="O680" s="201" t="n"/>
      <c r="P680" s="201" t="n"/>
      <c r="Q680" s="201" t="n"/>
      <c r="R680" s="201" t="n"/>
    </row>
    <row r="681" ht="12.75" customHeight="1" s="202">
      <c r="A681" s="201" t="n"/>
      <c r="B681" s="201" t="n"/>
      <c r="C681" s="201" t="n"/>
      <c r="D681" s="201" t="n"/>
      <c r="E681" s="201" t="n"/>
      <c r="F681" s="201" t="n"/>
      <c r="G681" s="201" t="n"/>
      <c r="H681" s="201" t="n"/>
      <c r="I681" s="201" t="n"/>
      <c r="J681" s="201" t="n"/>
      <c r="K681" s="201" t="n"/>
      <c r="L681" s="201" t="n"/>
      <c r="M681" s="201" t="n"/>
      <c r="N681" s="201" t="n"/>
      <c r="O681" s="201" t="n"/>
      <c r="P681" s="201" t="n"/>
      <c r="Q681" s="201" t="n"/>
      <c r="R681" s="201" t="n"/>
    </row>
    <row r="682" ht="12.75" customHeight="1" s="202">
      <c r="A682" s="201" t="n"/>
      <c r="B682" s="201" t="n"/>
      <c r="C682" s="201" t="n"/>
      <c r="D682" s="201" t="n"/>
      <c r="E682" s="201" t="n"/>
      <c r="F682" s="201" t="n"/>
      <c r="G682" s="201" t="n"/>
      <c r="H682" s="201" t="n"/>
      <c r="I682" s="201" t="n"/>
      <c r="J682" s="201" t="n"/>
      <c r="K682" s="201" t="n"/>
      <c r="L682" s="201" t="n"/>
      <c r="M682" s="201" t="n"/>
      <c r="N682" s="201" t="n"/>
      <c r="O682" s="201" t="n"/>
      <c r="P682" s="201" t="n"/>
      <c r="Q682" s="201" t="n"/>
      <c r="R682" s="201" t="n"/>
    </row>
    <row r="683" ht="12.75" customHeight="1" s="202">
      <c r="A683" s="201" t="n"/>
      <c r="B683" s="201" t="n"/>
      <c r="C683" s="201" t="n"/>
      <c r="D683" s="201" t="n"/>
      <c r="E683" s="201" t="n"/>
      <c r="F683" s="201" t="n"/>
      <c r="G683" s="201" t="n"/>
      <c r="H683" s="201" t="n"/>
      <c r="I683" s="201" t="n"/>
      <c r="J683" s="201" t="n"/>
      <c r="K683" s="201" t="n"/>
      <c r="L683" s="201" t="n"/>
      <c r="M683" s="201" t="n"/>
      <c r="N683" s="201" t="n"/>
      <c r="O683" s="201" t="n"/>
      <c r="P683" s="201" t="n"/>
      <c r="Q683" s="201" t="n"/>
      <c r="R683" s="201" t="n"/>
    </row>
    <row r="684" ht="12.75" customHeight="1" s="202">
      <c r="A684" s="201" t="n"/>
      <c r="B684" s="201" t="n"/>
      <c r="C684" s="201" t="n"/>
      <c r="D684" s="201" t="n"/>
      <c r="E684" s="201" t="n"/>
      <c r="F684" s="201" t="n"/>
      <c r="G684" s="201" t="n"/>
      <c r="H684" s="201" t="n"/>
      <c r="I684" s="201" t="n"/>
      <c r="J684" s="201" t="n"/>
      <c r="K684" s="201" t="n"/>
      <c r="L684" s="201" t="n"/>
      <c r="M684" s="201" t="n"/>
      <c r="N684" s="201" t="n"/>
      <c r="O684" s="201" t="n"/>
      <c r="P684" s="201" t="n"/>
      <c r="Q684" s="201" t="n"/>
      <c r="R684" s="201" t="n"/>
    </row>
    <row r="685" ht="12.75" customHeight="1" s="202">
      <c r="A685" s="201" t="n"/>
      <c r="B685" s="201" t="n"/>
      <c r="C685" s="201" t="n"/>
      <c r="D685" s="201" t="n"/>
      <c r="E685" s="201" t="n"/>
      <c r="F685" s="201" t="n"/>
      <c r="G685" s="201" t="n"/>
      <c r="H685" s="201" t="n"/>
      <c r="I685" s="201" t="n"/>
      <c r="J685" s="201" t="n"/>
      <c r="K685" s="201" t="n"/>
      <c r="L685" s="201" t="n"/>
      <c r="M685" s="201" t="n"/>
      <c r="N685" s="201" t="n"/>
      <c r="O685" s="201" t="n"/>
      <c r="P685" s="201" t="n"/>
      <c r="Q685" s="201" t="n"/>
      <c r="R685" s="201" t="n"/>
    </row>
    <row r="686" ht="12.75" customHeight="1" s="202">
      <c r="A686" s="201" t="n"/>
      <c r="B686" s="201" t="n"/>
      <c r="C686" s="201" t="n"/>
      <c r="D686" s="201" t="n"/>
      <c r="E686" s="201" t="n"/>
      <c r="F686" s="201" t="n"/>
      <c r="G686" s="201" t="n"/>
      <c r="H686" s="201" t="n"/>
      <c r="I686" s="201" t="n"/>
      <c r="J686" s="201" t="n"/>
      <c r="K686" s="201" t="n"/>
      <c r="L686" s="201" t="n"/>
      <c r="M686" s="201" t="n"/>
      <c r="N686" s="201" t="n"/>
      <c r="O686" s="201" t="n"/>
      <c r="P686" s="201" t="n"/>
      <c r="Q686" s="201" t="n"/>
      <c r="R686" s="201" t="n"/>
    </row>
    <row r="687" ht="12.75" customHeight="1" s="202">
      <c r="A687" s="201" t="n"/>
      <c r="B687" s="201" t="n"/>
      <c r="C687" s="201" t="n"/>
      <c r="D687" s="201" t="n"/>
      <c r="E687" s="201" t="n"/>
      <c r="F687" s="201" t="n"/>
      <c r="G687" s="201" t="n"/>
      <c r="H687" s="201" t="n"/>
      <c r="I687" s="201" t="n"/>
      <c r="J687" s="201" t="n"/>
      <c r="K687" s="201" t="n"/>
      <c r="L687" s="201" t="n"/>
      <c r="M687" s="201" t="n"/>
      <c r="N687" s="201" t="n"/>
      <c r="O687" s="201" t="n"/>
      <c r="P687" s="201" t="n"/>
      <c r="Q687" s="201" t="n"/>
      <c r="R687" s="201" t="n"/>
    </row>
    <row r="688" ht="12.75" customHeight="1" s="202">
      <c r="A688" s="201" t="n"/>
      <c r="B688" s="201" t="n"/>
      <c r="C688" s="201" t="n"/>
      <c r="D688" s="201" t="n"/>
      <c r="E688" s="201" t="n"/>
      <c r="F688" s="201" t="n"/>
      <c r="G688" s="201" t="n"/>
      <c r="H688" s="201" t="n"/>
      <c r="I688" s="201" t="n"/>
      <c r="J688" s="201" t="n"/>
      <c r="K688" s="201" t="n"/>
      <c r="L688" s="201" t="n"/>
      <c r="M688" s="201" t="n"/>
      <c r="N688" s="201" t="n"/>
      <c r="O688" s="201" t="n"/>
      <c r="P688" s="201" t="n"/>
      <c r="Q688" s="201" t="n"/>
      <c r="R688" s="201" t="n"/>
    </row>
    <row r="689" ht="12.75" customHeight="1" s="202">
      <c r="A689" s="201" t="n"/>
      <c r="B689" s="201" t="n"/>
      <c r="C689" s="201" t="n"/>
      <c r="D689" s="201" t="n"/>
      <c r="E689" s="201" t="n"/>
      <c r="F689" s="201" t="n"/>
      <c r="G689" s="201" t="n"/>
      <c r="H689" s="201" t="n"/>
      <c r="I689" s="201" t="n"/>
      <c r="J689" s="201" t="n"/>
      <c r="K689" s="201" t="n"/>
      <c r="L689" s="201" t="n"/>
      <c r="M689" s="201" t="n"/>
      <c r="N689" s="201" t="n"/>
      <c r="O689" s="201" t="n"/>
      <c r="P689" s="201" t="n"/>
      <c r="Q689" s="201" t="n"/>
      <c r="R689" s="201" t="n"/>
    </row>
    <row r="690" ht="12.75" customHeight="1" s="202">
      <c r="A690" s="201" t="n"/>
      <c r="B690" s="201" t="n"/>
      <c r="C690" s="201" t="n"/>
      <c r="D690" s="201" t="n"/>
      <c r="E690" s="201" t="n"/>
      <c r="F690" s="201" t="n"/>
      <c r="G690" s="201" t="n"/>
      <c r="H690" s="201" t="n"/>
      <c r="I690" s="201" t="n"/>
      <c r="J690" s="201" t="n"/>
      <c r="K690" s="201" t="n"/>
      <c r="L690" s="201" t="n"/>
      <c r="M690" s="201" t="n"/>
      <c r="N690" s="201" t="n"/>
      <c r="O690" s="201" t="n"/>
      <c r="P690" s="201" t="n"/>
      <c r="Q690" s="201" t="n"/>
      <c r="R690" s="201" t="n"/>
    </row>
    <row r="691" ht="12.75" customHeight="1" s="202">
      <c r="A691" s="201" t="n"/>
      <c r="B691" s="201" t="n"/>
      <c r="C691" s="201" t="n"/>
      <c r="D691" s="201" t="n"/>
      <c r="E691" s="201" t="n"/>
      <c r="F691" s="201" t="n"/>
      <c r="G691" s="201" t="n"/>
      <c r="H691" s="201" t="n"/>
      <c r="I691" s="201" t="n"/>
      <c r="J691" s="201" t="n"/>
      <c r="K691" s="201" t="n"/>
      <c r="L691" s="201" t="n"/>
      <c r="M691" s="201" t="n"/>
      <c r="N691" s="201" t="n"/>
      <c r="O691" s="201" t="n"/>
      <c r="P691" s="201" t="n"/>
      <c r="Q691" s="201" t="n"/>
      <c r="R691" s="201" t="n"/>
    </row>
    <row r="692" ht="12.75" customHeight="1" s="202">
      <c r="A692" s="201" t="n"/>
      <c r="B692" s="201" t="n"/>
      <c r="C692" s="201" t="n"/>
      <c r="D692" s="201" t="n"/>
      <c r="E692" s="201" t="n"/>
      <c r="F692" s="201" t="n"/>
      <c r="G692" s="201" t="n"/>
      <c r="H692" s="201" t="n"/>
      <c r="I692" s="201" t="n"/>
      <c r="J692" s="201" t="n"/>
      <c r="K692" s="201" t="n"/>
      <c r="L692" s="201" t="n"/>
      <c r="M692" s="201" t="n"/>
      <c r="N692" s="201" t="n"/>
      <c r="O692" s="201" t="n"/>
      <c r="P692" s="201" t="n"/>
      <c r="Q692" s="201" t="n"/>
      <c r="R692" s="201" t="n"/>
    </row>
    <row r="693" ht="12.75" customHeight="1" s="202">
      <c r="A693" s="201" t="n"/>
      <c r="B693" s="201" t="n"/>
      <c r="C693" s="201" t="n"/>
      <c r="D693" s="201" t="n"/>
      <c r="E693" s="201" t="n"/>
      <c r="F693" s="201" t="n"/>
      <c r="G693" s="201" t="n"/>
      <c r="H693" s="201" t="n"/>
      <c r="I693" s="201" t="n"/>
      <c r="J693" s="201" t="n"/>
      <c r="K693" s="201" t="n"/>
      <c r="L693" s="201" t="n"/>
      <c r="M693" s="201" t="n"/>
      <c r="N693" s="201" t="n"/>
      <c r="O693" s="201" t="n"/>
      <c r="P693" s="201" t="n"/>
      <c r="Q693" s="201" t="n"/>
      <c r="R693" s="201" t="n"/>
    </row>
    <row r="694" ht="12.75" customHeight="1" s="202">
      <c r="A694" s="201" t="n"/>
      <c r="B694" s="201" t="n"/>
      <c r="C694" s="201" t="n"/>
      <c r="D694" s="201" t="n"/>
      <c r="E694" s="201" t="n"/>
      <c r="F694" s="201" t="n"/>
      <c r="G694" s="201" t="n"/>
      <c r="H694" s="201" t="n"/>
      <c r="I694" s="201" t="n"/>
      <c r="J694" s="201" t="n"/>
      <c r="K694" s="201" t="n"/>
      <c r="L694" s="201" t="n"/>
      <c r="M694" s="201" t="n"/>
      <c r="N694" s="201" t="n"/>
      <c r="O694" s="201" t="n"/>
      <c r="P694" s="201" t="n"/>
      <c r="Q694" s="201" t="n"/>
      <c r="R694" s="201" t="n"/>
    </row>
    <row r="695" ht="12.75" customHeight="1" s="202">
      <c r="A695" s="201" t="n"/>
      <c r="B695" s="201" t="n"/>
      <c r="C695" s="201" t="n"/>
      <c r="D695" s="201" t="n"/>
      <c r="E695" s="201" t="n"/>
      <c r="F695" s="201" t="n"/>
      <c r="G695" s="201" t="n"/>
      <c r="H695" s="201" t="n"/>
      <c r="I695" s="201" t="n"/>
      <c r="J695" s="201" t="n"/>
      <c r="K695" s="201" t="n"/>
      <c r="L695" s="201" t="n"/>
      <c r="M695" s="201" t="n"/>
      <c r="N695" s="201" t="n"/>
      <c r="O695" s="201" t="n"/>
      <c r="P695" s="201" t="n"/>
      <c r="Q695" s="201" t="n"/>
      <c r="R695" s="201" t="n"/>
    </row>
    <row r="696" ht="12.75" customHeight="1" s="202">
      <c r="A696" s="201" t="n"/>
      <c r="B696" s="201" t="n"/>
      <c r="C696" s="201" t="n"/>
      <c r="D696" s="201" t="n"/>
      <c r="E696" s="201" t="n"/>
      <c r="F696" s="201" t="n"/>
      <c r="G696" s="201" t="n"/>
      <c r="H696" s="201" t="n"/>
      <c r="I696" s="201" t="n"/>
      <c r="J696" s="201" t="n"/>
      <c r="K696" s="201" t="n"/>
      <c r="L696" s="201" t="n"/>
      <c r="M696" s="201" t="n"/>
      <c r="N696" s="201" t="n"/>
      <c r="O696" s="201" t="n"/>
      <c r="P696" s="201" t="n"/>
      <c r="Q696" s="201" t="n"/>
      <c r="R696" s="201" t="n"/>
    </row>
    <row r="697" ht="12.75" customHeight="1" s="202">
      <c r="A697" s="201" t="n"/>
      <c r="B697" s="201" t="n"/>
      <c r="C697" s="201" t="n"/>
      <c r="D697" s="201" t="n"/>
      <c r="E697" s="201" t="n"/>
      <c r="F697" s="201" t="n"/>
      <c r="G697" s="201" t="n"/>
      <c r="H697" s="201" t="n"/>
      <c r="I697" s="201" t="n"/>
      <c r="J697" s="201" t="n"/>
      <c r="K697" s="201" t="n"/>
      <c r="L697" s="201" t="n"/>
      <c r="M697" s="201" t="n"/>
      <c r="N697" s="201" t="n"/>
      <c r="O697" s="201" t="n"/>
      <c r="P697" s="201" t="n"/>
      <c r="Q697" s="201" t="n"/>
      <c r="R697" s="201" t="n"/>
    </row>
    <row r="698" ht="12.75" customHeight="1" s="202">
      <c r="A698" s="201" t="n"/>
      <c r="B698" s="201" t="n"/>
      <c r="C698" s="201" t="n"/>
      <c r="D698" s="201" t="n"/>
      <c r="E698" s="201" t="n"/>
      <c r="F698" s="201" t="n"/>
      <c r="G698" s="201" t="n"/>
      <c r="H698" s="201" t="n"/>
      <c r="I698" s="201" t="n"/>
      <c r="J698" s="201" t="n"/>
      <c r="K698" s="201" t="n"/>
      <c r="L698" s="201" t="n"/>
      <c r="M698" s="201" t="n"/>
      <c r="N698" s="201" t="n"/>
      <c r="O698" s="201" t="n"/>
      <c r="P698" s="201" t="n"/>
      <c r="Q698" s="201" t="n"/>
      <c r="R698" s="201" t="n"/>
    </row>
    <row r="699" ht="12.75" customHeight="1" s="202">
      <c r="A699" s="201" t="n"/>
      <c r="B699" s="201" t="n"/>
      <c r="C699" s="201" t="n"/>
      <c r="D699" s="201" t="n"/>
      <c r="E699" s="201" t="n"/>
      <c r="F699" s="201" t="n"/>
      <c r="G699" s="201" t="n"/>
      <c r="H699" s="201" t="n"/>
      <c r="I699" s="201" t="n"/>
      <c r="J699" s="201" t="n"/>
      <c r="K699" s="201" t="n"/>
      <c r="L699" s="201" t="n"/>
      <c r="M699" s="201" t="n"/>
      <c r="N699" s="201" t="n"/>
      <c r="O699" s="201" t="n"/>
      <c r="P699" s="201" t="n"/>
      <c r="Q699" s="201" t="n"/>
      <c r="R699" s="201" t="n"/>
    </row>
    <row r="700" ht="12.75" customHeight="1" s="202">
      <c r="A700" s="201" t="n"/>
      <c r="B700" s="201" t="n"/>
      <c r="C700" s="201" t="n"/>
      <c r="D700" s="201" t="n"/>
      <c r="E700" s="201" t="n"/>
      <c r="F700" s="201" t="n"/>
      <c r="G700" s="201" t="n"/>
      <c r="H700" s="201" t="n"/>
      <c r="I700" s="201" t="n"/>
      <c r="J700" s="201" t="n"/>
      <c r="K700" s="201" t="n"/>
      <c r="L700" s="201" t="n"/>
      <c r="M700" s="201" t="n"/>
      <c r="N700" s="201" t="n"/>
      <c r="O700" s="201" t="n"/>
      <c r="P700" s="201" t="n"/>
      <c r="Q700" s="201" t="n"/>
      <c r="R700" s="201" t="n"/>
    </row>
    <row r="701" ht="12.75" customHeight="1" s="202">
      <c r="A701" s="201" t="n"/>
      <c r="B701" s="201" t="n"/>
      <c r="C701" s="201" t="n"/>
      <c r="D701" s="201" t="n"/>
      <c r="E701" s="201" t="n"/>
      <c r="F701" s="201" t="n"/>
      <c r="G701" s="201" t="n"/>
      <c r="H701" s="201" t="n"/>
      <c r="I701" s="201" t="n"/>
      <c r="J701" s="201" t="n"/>
      <c r="K701" s="201" t="n"/>
      <c r="L701" s="201" t="n"/>
      <c r="M701" s="201" t="n"/>
      <c r="N701" s="201" t="n"/>
      <c r="O701" s="201" t="n"/>
      <c r="P701" s="201" t="n"/>
      <c r="Q701" s="201" t="n"/>
      <c r="R701" s="201" t="n"/>
    </row>
    <row r="702" ht="12.75" customHeight="1" s="202">
      <c r="A702" s="201" t="n"/>
      <c r="B702" s="201" t="n"/>
      <c r="C702" s="201" t="n"/>
      <c r="D702" s="201" t="n"/>
      <c r="E702" s="201" t="n"/>
      <c r="F702" s="201" t="n"/>
      <c r="G702" s="201" t="n"/>
      <c r="H702" s="201" t="n"/>
      <c r="I702" s="201" t="n"/>
      <c r="J702" s="201" t="n"/>
      <c r="K702" s="201" t="n"/>
      <c r="L702" s="201" t="n"/>
      <c r="M702" s="201" t="n"/>
      <c r="N702" s="201" t="n"/>
      <c r="O702" s="201" t="n"/>
      <c r="P702" s="201" t="n"/>
      <c r="Q702" s="201" t="n"/>
      <c r="R702" s="201" t="n"/>
    </row>
    <row r="703" ht="12.75" customHeight="1" s="202">
      <c r="A703" s="201" t="n"/>
      <c r="B703" s="201" t="n"/>
      <c r="C703" s="201" t="n"/>
      <c r="D703" s="201" t="n"/>
      <c r="E703" s="201" t="n"/>
      <c r="F703" s="201" t="n"/>
      <c r="G703" s="201" t="n"/>
      <c r="H703" s="201" t="n"/>
      <c r="I703" s="201" t="n"/>
      <c r="J703" s="201" t="n"/>
      <c r="K703" s="201" t="n"/>
      <c r="L703" s="201" t="n"/>
      <c r="M703" s="201" t="n"/>
      <c r="N703" s="201" t="n"/>
      <c r="O703" s="201" t="n"/>
      <c r="P703" s="201" t="n"/>
      <c r="Q703" s="201" t="n"/>
      <c r="R703" s="201" t="n"/>
    </row>
    <row r="704" ht="12.75" customHeight="1" s="202">
      <c r="A704" s="201" t="n"/>
      <c r="B704" s="201" t="n"/>
      <c r="C704" s="201" t="n"/>
      <c r="D704" s="201" t="n"/>
      <c r="E704" s="201" t="n"/>
      <c r="F704" s="201" t="n"/>
      <c r="G704" s="201" t="n"/>
      <c r="H704" s="201" t="n"/>
      <c r="I704" s="201" t="n"/>
      <c r="J704" s="201" t="n"/>
      <c r="K704" s="201" t="n"/>
      <c r="L704" s="201" t="n"/>
      <c r="M704" s="201" t="n"/>
      <c r="N704" s="201" t="n"/>
      <c r="O704" s="201" t="n"/>
      <c r="P704" s="201" t="n"/>
      <c r="Q704" s="201" t="n"/>
      <c r="R704" s="201" t="n"/>
    </row>
    <row r="705" ht="12.75" customHeight="1" s="202">
      <c r="A705" s="201" t="n"/>
      <c r="B705" s="201" t="n"/>
      <c r="C705" s="201" t="n"/>
      <c r="D705" s="201" t="n"/>
      <c r="E705" s="201" t="n"/>
      <c r="F705" s="201" t="n"/>
      <c r="G705" s="201" t="n"/>
      <c r="H705" s="201" t="n"/>
      <c r="I705" s="201" t="n"/>
      <c r="J705" s="201" t="n"/>
      <c r="K705" s="201" t="n"/>
      <c r="L705" s="201" t="n"/>
      <c r="M705" s="201" t="n"/>
      <c r="N705" s="201" t="n"/>
      <c r="O705" s="201" t="n"/>
      <c r="P705" s="201" t="n"/>
      <c r="Q705" s="201" t="n"/>
      <c r="R705" s="201" t="n"/>
    </row>
    <row r="706" ht="12.75" customHeight="1" s="202">
      <c r="A706" s="201" t="n"/>
      <c r="B706" s="201" t="n"/>
      <c r="C706" s="201" t="n"/>
      <c r="D706" s="201" t="n"/>
      <c r="E706" s="201" t="n"/>
      <c r="F706" s="201" t="n"/>
      <c r="G706" s="201" t="n"/>
      <c r="H706" s="201" t="n"/>
      <c r="I706" s="201" t="n"/>
      <c r="J706" s="201" t="n"/>
      <c r="K706" s="201" t="n"/>
      <c r="L706" s="201" t="n"/>
      <c r="M706" s="201" t="n"/>
      <c r="N706" s="201" t="n"/>
      <c r="O706" s="201" t="n"/>
      <c r="P706" s="201" t="n"/>
      <c r="Q706" s="201" t="n"/>
      <c r="R706" s="201" t="n"/>
    </row>
    <row r="707" ht="12.75" customHeight="1" s="202">
      <c r="A707" s="201" t="n"/>
      <c r="B707" s="201" t="n"/>
      <c r="C707" s="201" t="n"/>
      <c r="D707" s="201" t="n"/>
      <c r="E707" s="201" t="n"/>
      <c r="F707" s="201" t="n"/>
      <c r="G707" s="201" t="n"/>
      <c r="H707" s="201" t="n"/>
      <c r="I707" s="201" t="n"/>
      <c r="J707" s="201" t="n"/>
      <c r="K707" s="201" t="n"/>
      <c r="L707" s="201" t="n"/>
      <c r="M707" s="201" t="n"/>
      <c r="N707" s="201" t="n"/>
      <c r="O707" s="201" t="n"/>
      <c r="P707" s="201" t="n"/>
      <c r="Q707" s="201" t="n"/>
      <c r="R707" s="201" t="n"/>
    </row>
    <row r="708" ht="12.75" customHeight="1" s="202">
      <c r="A708" s="201" t="n"/>
      <c r="B708" s="201" t="n"/>
      <c r="C708" s="201" t="n"/>
      <c r="D708" s="201" t="n"/>
      <c r="E708" s="201" t="n"/>
      <c r="F708" s="201" t="n"/>
      <c r="G708" s="201" t="n"/>
      <c r="H708" s="201" t="n"/>
      <c r="I708" s="201" t="n"/>
      <c r="J708" s="201" t="n"/>
      <c r="K708" s="201" t="n"/>
      <c r="L708" s="201" t="n"/>
      <c r="M708" s="201" t="n"/>
      <c r="N708" s="201" t="n"/>
      <c r="O708" s="201" t="n"/>
      <c r="P708" s="201" t="n"/>
      <c r="Q708" s="201" t="n"/>
      <c r="R708" s="201" t="n"/>
    </row>
    <row r="709" ht="12.75" customHeight="1" s="202">
      <c r="A709" s="201" t="n"/>
      <c r="B709" s="201" t="n"/>
      <c r="C709" s="201" t="n"/>
      <c r="D709" s="201" t="n"/>
      <c r="E709" s="201" t="n"/>
      <c r="F709" s="201" t="n"/>
      <c r="G709" s="201" t="n"/>
      <c r="H709" s="201" t="n"/>
      <c r="I709" s="201" t="n"/>
      <c r="J709" s="201" t="n"/>
      <c r="K709" s="201" t="n"/>
      <c r="L709" s="201" t="n"/>
      <c r="M709" s="201" t="n"/>
      <c r="N709" s="201" t="n"/>
      <c r="O709" s="201" t="n"/>
      <c r="P709" s="201" t="n"/>
      <c r="Q709" s="201" t="n"/>
      <c r="R709" s="201" t="n"/>
    </row>
    <row r="710" ht="12.75" customHeight="1" s="202">
      <c r="A710" s="201" t="n"/>
      <c r="B710" s="201" t="n"/>
      <c r="C710" s="201" t="n"/>
      <c r="D710" s="201" t="n"/>
      <c r="E710" s="201" t="n"/>
      <c r="F710" s="201" t="n"/>
      <c r="G710" s="201" t="n"/>
      <c r="H710" s="201" t="n"/>
      <c r="I710" s="201" t="n"/>
      <c r="J710" s="201" t="n"/>
      <c r="K710" s="201" t="n"/>
      <c r="L710" s="201" t="n"/>
      <c r="M710" s="201" t="n"/>
      <c r="N710" s="201" t="n"/>
      <c r="O710" s="201" t="n"/>
      <c r="P710" s="201" t="n"/>
      <c r="Q710" s="201" t="n"/>
      <c r="R710" s="201" t="n"/>
    </row>
    <row r="711" ht="12.75" customHeight="1" s="202">
      <c r="A711" s="201" t="n"/>
      <c r="B711" s="201" t="n"/>
      <c r="C711" s="201" t="n"/>
      <c r="D711" s="201" t="n"/>
      <c r="E711" s="201" t="n"/>
      <c r="F711" s="201" t="n"/>
      <c r="G711" s="201" t="n"/>
      <c r="H711" s="201" t="n"/>
      <c r="I711" s="201" t="n"/>
      <c r="J711" s="201" t="n"/>
      <c r="K711" s="201" t="n"/>
      <c r="L711" s="201" t="n"/>
      <c r="M711" s="201" t="n"/>
      <c r="N711" s="201" t="n"/>
      <c r="O711" s="201" t="n"/>
      <c r="P711" s="201" t="n"/>
      <c r="Q711" s="201" t="n"/>
      <c r="R711" s="201" t="n"/>
    </row>
    <row r="712" ht="12.75" customHeight="1" s="202">
      <c r="A712" s="201" t="n"/>
      <c r="B712" s="201" t="n"/>
      <c r="C712" s="201" t="n"/>
      <c r="D712" s="201" t="n"/>
      <c r="E712" s="201" t="n"/>
      <c r="F712" s="201" t="n"/>
      <c r="G712" s="201" t="n"/>
      <c r="H712" s="201" t="n"/>
      <c r="I712" s="201" t="n"/>
      <c r="J712" s="201" t="n"/>
      <c r="K712" s="201" t="n"/>
      <c r="L712" s="201" t="n"/>
      <c r="M712" s="201" t="n"/>
      <c r="N712" s="201" t="n"/>
      <c r="O712" s="201" t="n"/>
      <c r="P712" s="201" t="n"/>
      <c r="Q712" s="201" t="n"/>
      <c r="R712" s="201" t="n"/>
    </row>
    <row r="713" ht="12.75" customHeight="1" s="202">
      <c r="A713" s="201" t="n"/>
      <c r="B713" s="201" t="n"/>
      <c r="C713" s="201" t="n"/>
      <c r="D713" s="201" t="n"/>
      <c r="E713" s="201" t="n"/>
      <c r="F713" s="201" t="n"/>
      <c r="G713" s="201" t="n"/>
      <c r="H713" s="201" t="n"/>
      <c r="I713" s="201" t="n"/>
      <c r="J713" s="201" t="n"/>
      <c r="K713" s="201" t="n"/>
      <c r="L713" s="201" t="n"/>
      <c r="M713" s="201" t="n"/>
      <c r="N713" s="201" t="n"/>
      <c r="O713" s="201" t="n"/>
      <c r="P713" s="201" t="n"/>
      <c r="Q713" s="201" t="n"/>
      <c r="R713" s="201" t="n"/>
    </row>
    <row r="714" ht="12.75" customHeight="1" s="202">
      <c r="A714" s="201" t="n"/>
      <c r="B714" s="201" t="n"/>
      <c r="C714" s="201" t="n"/>
      <c r="D714" s="201" t="n"/>
      <c r="E714" s="201" t="n"/>
      <c r="F714" s="201" t="n"/>
      <c r="G714" s="201" t="n"/>
      <c r="H714" s="201" t="n"/>
      <c r="I714" s="201" t="n"/>
      <c r="J714" s="201" t="n"/>
      <c r="K714" s="201" t="n"/>
      <c r="L714" s="201" t="n"/>
      <c r="M714" s="201" t="n"/>
      <c r="N714" s="201" t="n"/>
      <c r="O714" s="201" t="n"/>
      <c r="P714" s="201" t="n"/>
      <c r="Q714" s="201" t="n"/>
      <c r="R714" s="201" t="n"/>
    </row>
    <row r="715" ht="12.75" customHeight="1" s="202">
      <c r="A715" s="201" t="n"/>
      <c r="B715" s="201" t="n"/>
      <c r="C715" s="201" t="n"/>
      <c r="D715" s="201" t="n"/>
      <c r="E715" s="201" t="n"/>
      <c r="F715" s="201" t="n"/>
      <c r="G715" s="201" t="n"/>
      <c r="H715" s="201" t="n"/>
      <c r="I715" s="201" t="n"/>
      <c r="J715" s="201" t="n"/>
      <c r="K715" s="201" t="n"/>
      <c r="L715" s="201" t="n"/>
      <c r="M715" s="201" t="n"/>
      <c r="N715" s="201" t="n"/>
      <c r="O715" s="201" t="n"/>
      <c r="P715" s="201" t="n"/>
      <c r="Q715" s="201" t="n"/>
      <c r="R715" s="201" t="n"/>
    </row>
    <row r="716" ht="12.75" customHeight="1" s="202">
      <c r="A716" s="201" t="n"/>
      <c r="B716" s="201" t="n"/>
      <c r="C716" s="201" t="n"/>
      <c r="D716" s="201" t="n"/>
      <c r="E716" s="201" t="n"/>
      <c r="F716" s="201" t="n"/>
      <c r="G716" s="201" t="n"/>
      <c r="H716" s="201" t="n"/>
      <c r="I716" s="201" t="n"/>
      <c r="J716" s="201" t="n"/>
      <c r="K716" s="201" t="n"/>
      <c r="L716" s="201" t="n"/>
      <c r="M716" s="201" t="n"/>
      <c r="N716" s="201" t="n"/>
      <c r="O716" s="201" t="n"/>
      <c r="P716" s="201" t="n"/>
      <c r="Q716" s="201" t="n"/>
      <c r="R716" s="201" t="n"/>
    </row>
    <row r="717" ht="12.75" customHeight="1" s="202">
      <c r="A717" s="201" t="n"/>
      <c r="B717" s="201" t="n"/>
      <c r="C717" s="201" t="n"/>
      <c r="D717" s="201" t="n"/>
      <c r="E717" s="201" t="n"/>
      <c r="F717" s="201" t="n"/>
      <c r="G717" s="201" t="n"/>
      <c r="H717" s="201" t="n"/>
      <c r="I717" s="201" t="n"/>
      <c r="J717" s="201" t="n"/>
      <c r="K717" s="201" t="n"/>
      <c r="L717" s="201" t="n"/>
      <c r="M717" s="201" t="n"/>
      <c r="N717" s="201" t="n"/>
      <c r="O717" s="201" t="n"/>
      <c r="P717" s="201" t="n"/>
      <c r="Q717" s="201" t="n"/>
      <c r="R717" s="201" t="n"/>
    </row>
    <row r="718" ht="12.75" customHeight="1" s="202">
      <c r="A718" s="201" t="n"/>
      <c r="B718" s="201" t="n"/>
      <c r="C718" s="201" t="n"/>
      <c r="D718" s="201" t="n"/>
      <c r="E718" s="201" t="n"/>
      <c r="F718" s="201" t="n"/>
      <c r="G718" s="201" t="n"/>
      <c r="H718" s="201" t="n"/>
      <c r="I718" s="201" t="n"/>
      <c r="J718" s="201" t="n"/>
      <c r="K718" s="201" t="n"/>
      <c r="L718" s="201" t="n"/>
      <c r="M718" s="201" t="n"/>
      <c r="N718" s="201" t="n"/>
      <c r="O718" s="201" t="n"/>
      <c r="P718" s="201" t="n"/>
      <c r="Q718" s="201" t="n"/>
      <c r="R718" s="201" t="n"/>
    </row>
    <row r="719" ht="12.75" customHeight="1" s="202">
      <c r="A719" s="201" t="n"/>
      <c r="B719" s="201" t="n"/>
      <c r="C719" s="201" t="n"/>
      <c r="D719" s="201" t="n"/>
      <c r="E719" s="201" t="n"/>
      <c r="F719" s="201" t="n"/>
      <c r="G719" s="201" t="n"/>
      <c r="H719" s="201" t="n"/>
      <c r="I719" s="201" t="n"/>
      <c r="J719" s="201" t="n"/>
      <c r="K719" s="201" t="n"/>
      <c r="L719" s="201" t="n"/>
      <c r="M719" s="201" t="n"/>
      <c r="N719" s="201" t="n"/>
      <c r="O719" s="201" t="n"/>
      <c r="P719" s="201" t="n"/>
      <c r="Q719" s="201" t="n"/>
      <c r="R719" s="201" t="n"/>
    </row>
    <row r="720" ht="12.75" customHeight="1" s="202">
      <c r="A720" s="201" t="n"/>
      <c r="B720" s="201" t="n"/>
      <c r="C720" s="201" t="n"/>
      <c r="D720" s="201" t="n"/>
      <c r="E720" s="201" t="n"/>
      <c r="F720" s="201" t="n"/>
      <c r="G720" s="201" t="n"/>
      <c r="H720" s="201" t="n"/>
      <c r="I720" s="201" t="n"/>
      <c r="J720" s="201" t="n"/>
      <c r="K720" s="201" t="n"/>
      <c r="L720" s="201" t="n"/>
      <c r="M720" s="201" t="n"/>
      <c r="N720" s="201" t="n"/>
      <c r="O720" s="201" t="n"/>
      <c r="P720" s="201" t="n"/>
      <c r="Q720" s="201" t="n"/>
      <c r="R720" s="201" t="n"/>
    </row>
    <row r="721" ht="12.75" customHeight="1" s="202">
      <c r="A721" s="201" t="n"/>
      <c r="B721" s="201" t="n"/>
      <c r="C721" s="201" t="n"/>
      <c r="D721" s="201" t="n"/>
      <c r="E721" s="201" t="n"/>
      <c r="F721" s="201" t="n"/>
      <c r="G721" s="201" t="n"/>
      <c r="H721" s="201" t="n"/>
      <c r="I721" s="201" t="n"/>
      <c r="J721" s="201" t="n"/>
      <c r="K721" s="201" t="n"/>
      <c r="L721" s="201" t="n"/>
      <c r="M721" s="201" t="n"/>
      <c r="N721" s="201" t="n"/>
      <c r="O721" s="201" t="n"/>
      <c r="P721" s="201" t="n"/>
      <c r="Q721" s="201" t="n"/>
      <c r="R721" s="201" t="n"/>
    </row>
    <row r="722" ht="12.75" customHeight="1" s="202">
      <c r="A722" s="201" t="n"/>
      <c r="B722" s="201" t="n"/>
      <c r="C722" s="201" t="n"/>
      <c r="D722" s="201" t="n"/>
      <c r="E722" s="201" t="n"/>
      <c r="F722" s="201" t="n"/>
      <c r="G722" s="201" t="n"/>
      <c r="H722" s="201" t="n"/>
      <c r="I722" s="201" t="n"/>
      <c r="J722" s="201" t="n"/>
      <c r="K722" s="201" t="n"/>
      <c r="L722" s="201" t="n"/>
      <c r="M722" s="201" t="n"/>
      <c r="N722" s="201" t="n"/>
      <c r="O722" s="201" t="n"/>
      <c r="P722" s="201" t="n"/>
      <c r="Q722" s="201" t="n"/>
      <c r="R722" s="201" t="n"/>
    </row>
    <row r="723" ht="12.75" customHeight="1" s="202">
      <c r="A723" s="201" t="n"/>
      <c r="B723" s="201" t="n"/>
      <c r="C723" s="201" t="n"/>
      <c r="D723" s="201" t="n"/>
      <c r="E723" s="201" t="n"/>
      <c r="F723" s="201" t="n"/>
      <c r="G723" s="201" t="n"/>
      <c r="H723" s="201" t="n"/>
      <c r="I723" s="201" t="n"/>
      <c r="J723" s="201" t="n"/>
      <c r="K723" s="201" t="n"/>
      <c r="L723" s="201" t="n"/>
      <c r="M723" s="201" t="n"/>
      <c r="N723" s="201" t="n"/>
      <c r="O723" s="201" t="n"/>
      <c r="P723" s="201" t="n"/>
      <c r="Q723" s="201" t="n"/>
      <c r="R723" s="201" t="n"/>
    </row>
    <row r="724" ht="12.75" customHeight="1" s="202">
      <c r="A724" s="201" t="n"/>
      <c r="B724" s="201" t="n"/>
      <c r="C724" s="201" t="n"/>
      <c r="D724" s="201" t="n"/>
      <c r="E724" s="201" t="n"/>
      <c r="F724" s="201" t="n"/>
      <c r="G724" s="201" t="n"/>
      <c r="H724" s="201" t="n"/>
      <c r="I724" s="201" t="n"/>
      <c r="J724" s="201" t="n"/>
      <c r="K724" s="201" t="n"/>
      <c r="L724" s="201" t="n"/>
      <c r="M724" s="201" t="n"/>
      <c r="N724" s="201" t="n"/>
      <c r="O724" s="201" t="n"/>
      <c r="P724" s="201" t="n"/>
      <c r="Q724" s="201" t="n"/>
      <c r="R724" s="201" t="n"/>
    </row>
    <row r="725" ht="12.75" customHeight="1" s="202">
      <c r="A725" s="201" t="n"/>
      <c r="B725" s="201" t="n"/>
      <c r="C725" s="201" t="n"/>
      <c r="D725" s="201" t="n"/>
      <c r="E725" s="201" t="n"/>
      <c r="F725" s="201" t="n"/>
      <c r="G725" s="201" t="n"/>
      <c r="H725" s="201" t="n"/>
      <c r="I725" s="201" t="n"/>
      <c r="J725" s="201" t="n"/>
      <c r="K725" s="201" t="n"/>
      <c r="L725" s="201" t="n"/>
      <c r="M725" s="201" t="n"/>
      <c r="N725" s="201" t="n"/>
      <c r="O725" s="201" t="n"/>
      <c r="P725" s="201" t="n"/>
      <c r="Q725" s="201" t="n"/>
      <c r="R725" s="201" t="n"/>
    </row>
    <row r="726" ht="12.75" customHeight="1" s="202">
      <c r="A726" s="201" t="n"/>
      <c r="B726" s="201" t="n"/>
      <c r="C726" s="201" t="n"/>
      <c r="D726" s="201" t="n"/>
      <c r="E726" s="201" t="n"/>
      <c r="F726" s="201" t="n"/>
      <c r="G726" s="201" t="n"/>
      <c r="H726" s="201" t="n"/>
      <c r="I726" s="201" t="n"/>
      <c r="J726" s="201" t="n"/>
      <c r="K726" s="201" t="n"/>
      <c r="L726" s="201" t="n"/>
      <c r="M726" s="201" t="n"/>
      <c r="N726" s="201" t="n"/>
      <c r="O726" s="201" t="n"/>
      <c r="P726" s="201" t="n"/>
      <c r="Q726" s="201" t="n"/>
      <c r="R726" s="201" t="n"/>
    </row>
    <row r="727" ht="12.75" customHeight="1" s="202">
      <c r="A727" s="201" t="n"/>
      <c r="B727" s="201" t="n"/>
      <c r="C727" s="201" t="n"/>
      <c r="D727" s="201" t="n"/>
      <c r="E727" s="201" t="n"/>
      <c r="F727" s="201" t="n"/>
      <c r="G727" s="201" t="n"/>
      <c r="H727" s="201" t="n"/>
      <c r="I727" s="201" t="n"/>
      <c r="J727" s="201" t="n"/>
      <c r="K727" s="201" t="n"/>
      <c r="L727" s="201" t="n"/>
      <c r="M727" s="201" t="n"/>
      <c r="N727" s="201" t="n"/>
      <c r="O727" s="201" t="n"/>
      <c r="P727" s="201" t="n"/>
      <c r="Q727" s="201" t="n"/>
      <c r="R727" s="201" t="n"/>
    </row>
    <row r="728" ht="12.75" customHeight="1" s="202">
      <c r="A728" s="201" t="n"/>
      <c r="B728" s="201" t="n"/>
      <c r="C728" s="201" t="n"/>
      <c r="D728" s="201" t="n"/>
      <c r="E728" s="201" t="n"/>
      <c r="F728" s="201" t="n"/>
      <c r="G728" s="201" t="n"/>
      <c r="H728" s="201" t="n"/>
      <c r="I728" s="201" t="n"/>
      <c r="J728" s="201" t="n"/>
      <c r="K728" s="201" t="n"/>
      <c r="L728" s="201" t="n"/>
      <c r="M728" s="201" t="n"/>
      <c r="N728" s="201" t="n"/>
      <c r="O728" s="201" t="n"/>
      <c r="P728" s="201" t="n"/>
      <c r="Q728" s="201" t="n"/>
      <c r="R728" s="201" t="n"/>
    </row>
    <row r="729" ht="12.75" customHeight="1" s="202">
      <c r="A729" s="201" t="n"/>
      <c r="B729" s="201" t="n"/>
      <c r="C729" s="201" t="n"/>
      <c r="D729" s="201" t="n"/>
      <c r="E729" s="201" t="n"/>
      <c r="F729" s="201" t="n"/>
      <c r="G729" s="201" t="n"/>
      <c r="H729" s="201" t="n"/>
      <c r="I729" s="201" t="n"/>
      <c r="J729" s="201" t="n"/>
      <c r="K729" s="201" t="n"/>
      <c r="L729" s="201" t="n"/>
      <c r="M729" s="201" t="n"/>
      <c r="N729" s="201" t="n"/>
      <c r="O729" s="201" t="n"/>
      <c r="P729" s="201" t="n"/>
      <c r="Q729" s="201" t="n"/>
      <c r="R729" s="201" t="n"/>
    </row>
    <row r="730" ht="12.75" customHeight="1" s="202">
      <c r="A730" s="201" t="n"/>
      <c r="B730" s="201" t="n"/>
      <c r="C730" s="201" t="n"/>
      <c r="D730" s="201" t="n"/>
      <c r="E730" s="201" t="n"/>
      <c r="F730" s="201" t="n"/>
      <c r="G730" s="201" t="n"/>
      <c r="H730" s="201" t="n"/>
      <c r="I730" s="201" t="n"/>
      <c r="J730" s="201" t="n"/>
      <c r="K730" s="201" t="n"/>
      <c r="L730" s="201" t="n"/>
      <c r="M730" s="201" t="n"/>
      <c r="N730" s="201" t="n"/>
      <c r="O730" s="201" t="n"/>
      <c r="P730" s="201" t="n"/>
      <c r="Q730" s="201" t="n"/>
      <c r="R730" s="201" t="n"/>
    </row>
    <row r="731" ht="12.75" customHeight="1" s="202">
      <c r="A731" s="201" t="n"/>
      <c r="B731" s="201" t="n"/>
      <c r="C731" s="201" t="n"/>
      <c r="D731" s="201" t="n"/>
      <c r="E731" s="201" t="n"/>
      <c r="F731" s="201" t="n"/>
      <c r="G731" s="201" t="n"/>
      <c r="H731" s="201" t="n"/>
      <c r="I731" s="201" t="n"/>
      <c r="J731" s="201" t="n"/>
      <c r="K731" s="201" t="n"/>
      <c r="L731" s="201" t="n"/>
      <c r="M731" s="201" t="n"/>
      <c r="N731" s="201" t="n"/>
      <c r="O731" s="201" t="n"/>
      <c r="P731" s="201" t="n"/>
      <c r="Q731" s="201" t="n"/>
      <c r="R731" s="201" t="n"/>
    </row>
    <row r="732" ht="12.75" customHeight="1" s="202">
      <c r="A732" s="201" t="n"/>
      <c r="B732" s="201" t="n"/>
      <c r="C732" s="201" t="n"/>
      <c r="D732" s="201" t="n"/>
      <c r="E732" s="201" t="n"/>
      <c r="F732" s="201" t="n"/>
      <c r="G732" s="201" t="n"/>
      <c r="H732" s="201" t="n"/>
      <c r="I732" s="201" t="n"/>
      <c r="J732" s="201" t="n"/>
      <c r="K732" s="201" t="n"/>
      <c r="L732" s="201" t="n"/>
      <c r="M732" s="201" t="n"/>
      <c r="N732" s="201" t="n"/>
      <c r="O732" s="201" t="n"/>
      <c r="P732" s="201" t="n"/>
      <c r="Q732" s="201" t="n"/>
      <c r="R732" s="201" t="n"/>
    </row>
    <row r="733" ht="12.75" customHeight="1" s="202">
      <c r="A733" s="201" t="n"/>
      <c r="B733" s="201" t="n"/>
      <c r="C733" s="201" t="n"/>
      <c r="D733" s="201" t="n"/>
      <c r="E733" s="201" t="n"/>
      <c r="F733" s="201" t="n"/>
      <c r="G733" s="201" t="n"/>
      <c r="H733" s="201" t="n"/>
      <c r="I733" s="201" t="n"/>
      <c r="J733" s="201" t="n"/>
      <c r="K733" s="201" t="n"/>
      <c r="L733" s="201" t="n"/>
      <c r="M733" s="201" t="n"/>
      <c r="N733" s="201" t="n"/>
      <c r="O733" s="201" t="n"/>
      <c r="P733" s="201" t="n"/>
      <c r="Q733" s="201" t="n"/>
      <c r="R733" s="201" t="n"/>
    </row>
    <row r="734" ht="12.75" customHeight="1" s="202">
      <c r="A734" s="201" t="n"/>
      <c r="B734" s="201" t="n"/>
      <c r="C734" s="201" t="n"/>
      <c r="D734" s="201" t="n"/>
      <c r="E734" s="201" t="n"/>
      <c r="F734" s="201" t="n"/>
      <c r="G734" s="201" t="n"/>
      <c r="H734" s="201" t="n"/>
      <c r="I734" s="201" t="n"/>
      <c r="J734" s="201" t="n"/>
      <c r="K734" s="201" t="n"/>
      <c r="L734" s="201" t="n"/>
      <c r="M734" s="201" t="n"/>
      <c r="N734" s="201" t="n"/>
      <c r="O734" s="201" t="n"/>
      <c r="P734" s="201" t="n"/>
      <c r="Q734" s="201" t="n"/>
      <c r="R734" s="201" t="n"/>
    </row>
    <row r="735" ht="12.75" customHeight="1" s="202">
      <c r="A735" s="201" t="n"/>
      <c r="B735" s="201" t="n"/>
      <c r="C735" s="201" t="n"/>
      <c r="D735" s="201" t="n"/>
      <c r="E735" s="201" t="n"/>
      <c r="F735" s="201" t="n"/>
      <c r="G735" s="201" t="n"/>
      <c r="H735" s="201" t="n"/>
      <c r="I735" s="201" t="n"/>
      <c r="J735" s="201" t="n"/>
      <c r="K735" s="201" t="n"/>
      <c r="L735" s="201" t="n"/>
      <c r="M735" s="201" t="n"/>
      <c r="N735" s="201" t="n"/>
      <c r="O735" s="201" t="n"/>
      <c r="P735" s="201" t="n"/>
      <c r="Q735" s="201" t="n"/>
      <c r="R735" s="201" t="n"/>
    </row>
    <row r="736" ht="12.75" customHeight="1" s="202">
      <c r="A736" s="201" t="n"/>
      <c r="B736" s="201" t="n"/>
      <c r="C736" s="201" t="n"/>
      <c r="D736" s="201" t="n"/>
      <c r="E736" s="201" t="n"/>
      <c r="F736" s="201" t="n"/>
      <c r="G736" s="201" t="n"/>
      <c r="H736" s="201" t="n"/>
      <c r="I736" s="201" t="n"/>
      <c r="J736" s="201" t="n"/>
      <c r="K736" s="201" t="n"/>
      <c r="L736" s="201" t="n"/>
      <c r="M736" s="201" t="n"/>
      <c r="N736" s="201" t="n"/>
      <c r="O736" s="201" t="n"/>
      <c r="P736" s="201" t="n"/>
      <c r="Q736" s="201" t="n"/>
      <c r="R736" s="201" t="n"/>
    </row>
    <row r="737" ht="12.75" customHeight="1" s="202">
      <c r="A737" s="201" t="n"/>
      <c r="B737" s="201" t="n"/>
      <c r="C737" s="201" t="n"/>
      <c r="D737" s="201" t="n"/>
      <c r="E737" s="201" t="n"/>
      <c r="F737" s="201" t="n"/>
      <c r="G737" s="201" t="n"/>
      <c r="H737" s="201" t="n"/>
      <c r="I737" s="201" t="n"/>
      <c r="J737" s="201" t="n"/>
      <c r="K737" s="201" t="n"/>
      <c r="L737" s="201" t="n"/>
      <c r="M737" s="201" t="n"/>
      <c r="N737" s="201" t="n"/>
      <c r="O737" s="201" t="n"/>
      <c r="P737" s="201" t="n"/>
      <c r="Q737" s="201" t="n"/>
      <c r="R737" s="201" t="n"/>
    </row>
    <row r="738" ht="12.75" customHeight="1" s="202">
      <c r="A738" s="201" t="n"/>
      <c r="B738" s="201" t="n"/>
      <c r="C738" s="201" t="n"/>
      <c r="D738" s="201" t="n"/>
      <c r="E738" s="201" t="n"/>
      <c r="F738" s="201" t="n"/>
      <c r="G738" s="201" t="n"/>
      <c r="H738" s="201" t="n"/>
      <c r="I738" s="201" t="n"/>
      <c r="J738" s="201" t="n"/>
      <c r="K738" s="201" t="n"/>
      <c r="L738" s="201" t="n"/>
      <c r="M738" s="201" t="n"/>
      <c r="N738" s="201" t="n"/>
      <c r="O738" s="201" t="n"/>
      <c r="P738" s="201" t="n"/>
      <c r="Q738" s="201" t="n"/>
      <c r="R738" s="201" t="n"/>
    </row>
    <row r="739" ht="12.75" customHeight="1" s="202">
      <c r="A739" s="201" t="n"/>
      <c r="B739" s="201" t="n"/>
      <c r="C739" s="201" t="n"/>
      <c r="D739" s="201" t="n"/>
      <c r="E739" s="201" t="n"/>
      <c r="F739" s="201" t="n"/>
      <c r="G739" s="201" t="n"/>
      <c r="H739" s="201" t="n"/>
      <c r="I739" s="201" t="n"/>
      <c r="J739" s="201" t="n"/>
      <c r="K739" s="201" t="n"/>
      <c r="L739" s="201" t="n"/>
      <c r="M739" s="201" t="n"/>
      <c r="N739" s="201" t="n"/>
      <c r="O739" s="201" t="n"/>
      <c r="P739" s="201" t="n"/>
      <c r="Q739" s="201" t="n"/>
      <c r="R739" s="201" t="n"/>
    </row>
    <row r="740" ht="12.75" customHeight="1" s="202">
      <c r="A740" s="201" t="n"/>
      <c r="B740" s="201" t="n"/>
      <c r="C740" s="201" t="n"/>
      <c r="D740" s="201" t="n"/>
      <c r="E740" s="201" t="n"/>
      <c r="F740" s="201" t="n"/>
      <c r="G740" s="201" t="n"/>
      <c r="H740" s="201" t="n"/>
      <c r="I740" s="201" t="n"/>
      <c r="J740" s="201" t="n"/>
      <c r="K740" s="201" t="n"/>
      <c r="L740" s="201" t="n"/>
      <c r="M740" s="201" t="n"/>
      <c r="N740" s="201" t="n"/>
      <c r="O740" s="201" t="n"/>
      <c r="P740" s="201" t="n"/>
      <c r="Q740" s="201" t="n"/>
      <c r="R740" s="201" t="n"/>
    </row>
    <row r="741" ht="12.75" customHeight="1" s="202">
      <c r="A741" s="201" t="n"/>
      <c r="B741" s="201" t="n"/>
      <c r="C741" s="201" t="n"/>
      <c r="D741" s="201" t="n"/>
      <c r="E741" s="201" t="n"/>
      <c r="F741" s="201" t="n"/>
      <c r="G741" s="201" t="n"/>
      <c r="H741" s="201" t="n"/>
      <c r="I741" s="201" t="n"/>
      <c r="J741" s="201" t="n"/>
      <c r="K741" s="201" t="n"/>
      <c r="L741" s="201" t="n"/>
      <c r="M741" s="201" t="n"/>
      <c r="N741" s="201" t="n"/>
      <c r="O741" s="201" t="n"/>
      <c r="P741" s="201" t="n"/>
      <c r="Q741" s="201" t="n"/>
      <c r="R741" s="201" t="n"/>
    </row>
    <row r="742" ht="12.75" customHeight="1" s="202">
      <c r="A742" s="201" t="n"/>
      <c r="B742" s="201" t="n"/>
      <c r="C742" s="201" t="n"/>
      <c r="D742" s="201" t="n"/>
      <c r="E742" s="201" t="n"/>
      <c r="F742" s="201" t="n"/>
      <c r="G742" s="201" t="n"/>
      <c r="H742" s="201" t="n"/>
      <c r="I742" s="201" t="n"/>
      <c r="J742" s="201" t="n"/>
      <c r="K742" s="201" t="n"/>
      <c r="L742" s="201" t="n"/>
      <c r="M742" s="201" t="n"/>
      <c r="N742" s="201" t="n"/>
      <c r="O742" s="201" t="n"/>
      <c r="P742" s="201" t="n"/>
      <c r="Q742" s="201" t="n"/>
      <c r="R742" s="201" t="n"/>
    </row>
    <row r="743" ht="12.75" customHeight="1" s="202">
      <c r="A743" s="201" t="n"/>
      <c r="B743" s="201" t="n"/>
      <c r="C743" s="201" t="n"/>
      <c r="D743" s="201" t="n"/>
      <c r="E743" s="201" t="n"/>
      <c r="F743" s="201" t="n"/>
      <c r="G743" s="201" t="n"/>
      <c r="H743" s="201" t="n"/>
      <c r="I743" s="201" t="n"/>
      <c r="J743" s="201" t="n"/>
      <c r="K743" s="201" t="n"/>
      <c r="L743" s="201" t="n"/>
      <c r="M743" s="201" t="n"/>
      <c r="N743" s="201" t="n"/>
      <c r="O743" s="201" t="n"/>
      <c r="P743" s="201" t="n"/>
      <c r="Q743" s="201" t="n"/>
      <c r="R743" s="201" t="n"/>
    </row>
    <row r="744" ht="12.75" customHeight="1" s="202">
      <c r="A744" s="201" t="n"/>
      <c r="B744" s="201" t="n"/>
      <c r="C744" s="201" t="n"/>
      <c r="D744" s="201" t="n"/>
      <c r="E744" s="201" t="n"/>
      <c r="F744" s="201" t="n"/>
      <c r="G744" s="201" t="n"/>
      <c r="H744" s="201" t="n"/>
      <c r="I744" s="201" t="n"/>
      <c r="J744" s="201" t="n"/>
      <c r="K744" s="201" t="n"/>
      <c r="L744" s="201" t="n"/>
      <c r="M744" s="201" t="n"/>
      <c r="N744" s="201" t="n"/>
      <c r="O744" s="201" t="n"/>
      <c r="P744" s="201" t="n"/>
      <c r="Q744" s="201" t="n"/>
      <c r="R744" s="201" t="n"/>
    </row>
    <row r="745" ht="12.75" customHeight="1" s="202">
      <c r="A745" s="201" t="n"/>
      <c r="B745" s="201" t="n"/>
      <c r="C745" s="201" t="n"/>
      <c r="D745" s="201" t="n"/>
      <c r="E745" s="201" t="n"/>
      <c r="F745" s="201" t="n"/>
      <c r="G745" s="201" t="n"/>
      <c r="H745" s="201" t="n"/>
      <c r="I745" s="201" t="n"/>
      <c r="J745" s="201" t="n"/>
      <c r="K745" s="201" t="n"/>
      <c r="L745" s="201" t="n"/>
      <c r="M745" s="201" t="n"/>
      <c r="N745" s="201" t="n"/>
      <c r="O745" s="201" t="n"/>
      <c r="P745" s="201" t="n"/>
      <c r="Q745" s="201" t="n"/>
      <c r="R745" s="201" t="n"/>
    </row>
    <row r="746" ht="12.75" customHeight="1" s="202">
      <c r="A746" s="201" t="n"/>
      <c r="B746" s="201" t="n"/>
      <c r="C746" s="201" t="n"/>
      <c r="D746" s="201" t="n"/>
      <c r="E746" s="201" t="n"/>
      <c r="F746" s="201" t="n"/>
      <c r="G746" s="201" t="n"/>
      <c r="H746" s="201" t="n"/>
      <c r="I746" s="201" t="n"/>
      <c r="J746" s="201" t="n"/>
      <c r="K746" s="201" t="n"/>
      <c r="L746" s="201" t="n"/>
      <c r="M746" s="201" t="n"/>
      <c r="N746" s="201" t="n"/>
      <c r="O746" s="201" t="n"/>
      <c r="P746" s="201" t="n"/>
      <c r="Q746" s="201" t="n"/>
      <c r="R746" s="201" t="n"/>
    </row>
    <row r="747" ht="12.75" customHeight="1" s="202">
      <c r="A747" s="201" t="n"/>
      <c r="B747" s="201" t="n"/>
      <c r="C747" s="201" t="n"/>
      <c r="D747" s="201" t="n"/>
      <c r="E747" s="201" t="n"/>
      <c r="F747" s="201" t="n"/>
      <c r="G747" s="201" t="n"/>
      <c r="H747" s="201" t="n"/>
      <c r="I747" s="201" t="n"/>
      <c r="J747" s="201" t="n"/>
      <c r="K747" s="201" t="n"/>
      <c r="L747" s="201" t="n"/>
      <c r="M747" s="201" t="n"/>
      <c r="N747" s="201" t="n"/>
      <c r="O747" s="201" t="n"/>
      <c r="P747" s="201" t="n"/>
      <c r="Q747" s="201" t="n"/>
      <c r="R747" s="201" t="n"/>
    </row>
    <row r="748" ht="12.75" customHeight="1" s="202">
      <c r="A748" s="201" t="n"/>
      <c r="B748" s="201" t="n"/>
      <c r="C748" s="201" t="n"/>
      <c r="D748" s="201" t="n"/>
      <c r="E748" s="201" t="n"/>
      <c r="F748" s="201" t="n"/>
      <c r="G748" s="201" t="n"/>
      <c r="H748" s="201" t="n"/>
      <c r="I748" s="201" t="n"/>
      <c r="J748" s="201" t="n"/>
      <c r="K748" s="201" t="n"/>
      <c r="L748" s="201" t="n"/>
      <c r="M748" s="201" t="n"/>
      <c r="N748" s="201" t="n"/>
      <c r="O748" s="201" t="n"/>
      <c r="P748" s="201" t="n"/>
      <c r="Q748" s="201" t="n"/>
      <c r="R748" s="201" t="n"/>
    </row>
    <row r="749" ht="12.75" customHeight="1" s="202">
      <c r="A749" s="201" t="n"/>
      <c r="B749" s="201" t="n"/>
      <c r="C749" s="201" t="n"/>
      <c r="D749" s="201" t="n"/>
      <c r="E749" s="201" t="n"/>
      <c r="F749" s="201" t="n"/>
      <c r="G749" s="201" t="n"/>
      <c r="H749" s="201" t="n"/>
      <c r="I749" s="201" t="n"/>
      <c r="J749" s="201" t="n"/>
      <c r="K749" s="201" t="n"/>
      <c r="L749" s="201" t="n"/>
      <c r="M749" s="201" t="n"/>
      <c r="N749" s="201" t="n"/>
      <c r="O749" s="201" t="n"/>
      <c r="P749" s="201" t="n"/>
      <c r="Q749" s="201" t="n"/>
      <c r="R749" s="201" t="n"/>
    </row>
    <row r="750" ht="12.75" customHeight="1" s="202">
      <c r="A750" s="201" t="n"/>
      <c r="B750" s="201" t="n"/>
      <c r="C750" s="201" t="n"/>
      <c r="D750" s="201" t="n"/>
      <c r="E750" s="201" t="n"/>
      <c r="F750" s="201" t="n"/>
      <c r="G750" s="201" t="n"/>
      <c r="H750" s="201" t="n"/>
      <c r="I750" s="201" t="n"/>
      <c r="J750" s="201" t="n"/>
      <c r="K750" s="201" t="n"/>
      <c r="L750" s="201" t="n"/>
      <c r="M750" s="201" t="n"/>
      <c r="N750" s="201" t="n"/>
      <c r="O750" s="201" t="n"/>
      <c r="P750" s="201" t="n"/>
      <c r="Q750" s="201" t="n"/>
      <c r="R750" s="201" t="n"/>
    </row>
    <row r="751" ht="12.75" customHeight="1" s="202">
      <c r="A751" s="201" t="n"/>
      <c r="B751" s="201" t="n"/>
      <c r="C751" s="201" t="n"/>
      <c r="D751" s="201" t="n"/>
      <c r="E751" s="201" t="n"/>
      <c r="F751" s="201" t="n"/>
      <c r="G751" s="201" t="n"/>
      <c r="H751" s="201" t="n"/>
      <c r="I751" s="201" t="n"/>
      <c r="J751" s="201" t="n"/>
      <c r="K751" s="201" t="n"/>
      <c r="L751" s="201" t="n"/>
      <c r="M751" s="201" t="n"/>
      <c r="N751" s="201" t="n"/>
      <c r="O751" s="201" t="n"/>
      <c r="P751" s="201" t="n"/>
      <c r="Q751" s="201" t="n"/>
      <c r="R751" s="201" t="n"/>
    </row>
    <row r="752" ht="12.75" customHeight="1" s="202">
      <c r="A752" s="201" t="n"/>
      <c r="B752" s="201" t="n"/>
      <c r="C752" s="201" t="n"/>
      <c r="D752" s="201" t="n"/>
      <c r="E752" s="201" t="n"/>
      <c r="F752" s="201" t="n"/>
      <c r="G752" s="201" t="n"/>
      <c r="H752" s="201" t="n"/>
      <c r="I752" s="201" t="n"/>
      <c r="J752" s="201" t="n"/>
      <c r="K752" s="201" t="n"/>
      <c r="L752" s="201" t="n"/>
      <c r="M752" s="201" t="n"/>
      <c r="N752" s="201" t="n"/>
      <c r="O752" s="201" t="n"/>
      <c r="P752" s="201" t="n"/>
      <c r="Q752" s="201" t="n"/>
      <c r="R752" s="201" t="n"/>
    </row>
    <row r="753" ht="12.75" customHeight="1" s="202">
      <c r="A753" s="201" t="n"/>
      <c r="B753" s="201" t="n"/>
      <c r="C753" s="201" t="n"/>
      <c r="D753" s="201" t="n"/>
      <c r="E753" s="201" t="n"/>
      <c r="F753" s="201" t="n"/>
      <c r="G753" s="201" t="n"/>
      <c r="H753" s="201" t="n"/>
      <c r="I753" s="201" t="n"/>
      <c r="J753" s="201" t="n"/>
      <c r="K753" s="201" t="n"/>
      <c r="L753" s="201" t="n"/>
      <c r="M753" s="201" t="n"/>
      <c r="N753" s="201" t="n"/>
      <c r="O753" s="201" t="n"/>
      <c r="P753" s="201" t="n"/>
      <c r="Q753" s="201" t="n"/>
      <c r="R753" s="201" t="n"/>
    </row>
    <row r="754" ht="12.75" customHeight="1" s="202">
      <c r="A754" s="201" t="n"/>
      <c r="B754" s="201" t="n"/>
      <c r="C754" s="201" t="n"/>
      <c r="D754" s="201" t="n"/>
      <c r="E754" s="201" t="n"/>
      <c r="F754" s="201" t="n"/>
      <c r="G754" s="201" t="n"/>
      <c r="H754" s="201" t="n"/>
      <c r="I754" s="201" t="n"/>
      <c r="J754" s="201" t="n"/>
      <c r="K754" s="201" t="n"/>
      <c r="L754" s="201" t="n"/>
      <c r="M754" s="201" t="n"/>
      <c r="N754" s="201" t="n"/>
      <c r="O754" s="201" t="n"/>
      <c r="P754" s="201" t="n"/>
      <c r="Q754" s="201" t="n"/>
      <c r="R754" s="201" t="n"/>
    </row>
    <row r="755" ht="12.75" customHeight="1" s="202">
      <c r="A755" s="201" t="n"/>
      <c r="B755" s="201" t="n"/>
      <c r="C755" s="201" t="n"/>
      <c r="D755" s="201" t="n"/>
      <c r="E755" s="201" t="n"/>
      <c r="F755" s="201" t="n"/>
      <c r="G755" s="201" t="n"/>
      <c r="H755" s="201" t="n"/>
      <c r="I755" s="201" t="n"/>
      <c r="J755" s="201" t="n"/>
      <c r="K755" s="201" t="n"/>
      <c r="L755" s="201" t="n"/>
      <c r="M755" s="201" t="n"/>
      <c r="N755" s="201" t="n"/>
      <c r="O755" s="201" t="n"/>
      <c r="P755" s="201" t="n"/>
      <c r="Q755" s="201" t="n"/>
      <c r="R755" s="201" t="n"/>
    </row>
    <row r="756" ht="12.75" customHeight="1" s="202">
      <c r="A756" s="201" t="n"/>
      <c r="B756" s="201" t="n"/>
      <c r="C756" s="201" t="n"/>
      <c r="D756" s="201" t="n"/>
      <c r="E756" s="201" t="n"/>
      <c r="F756" s="201" t="n"/>
      <c r="G756" s="201" t="n"/>
      <c r="H756" s="201" t="n"/>
      <c r="I756" s="201" t="n"/>
      <c r="J756" s="201" t="n"/>
      <c r="K756" s="201" t="n"/>
      <c r="L756" s="201" t="n"/>
      <c r="M756" s="201" t="n"/>
      <c r="N756" s="201" t="n"/>
      <c r="O756" s="201" t="n"/>
      <c r="P756" s="201" t="n"/>
      <c r="Q756" s="201" t="n"/>
      <c r="R756" s="201" t="n"/>
    </row>
    <row r="757" ht="12.75" customHeight="1" s="202">
      <c r="A757" s="201" t="n"/>
      <c r="B757" s="201" t="n"/>
      <c r="C757" s="201" t="n"/>
      <c r="D757" s="201" t="n"/>
      <c r="E757" s="201" t="n"/>
      <c r="F757" s="201" t="n"/>
      <c r="G757" s="201" t="n"/>
      <c r="H757" s="201" t="n"/>
      <c r="I757" s="201" t="n"/>
      <c r="J757" s="201" t="n"/>
      <c r="K757" s="201" t="n"/>
      <c r="L757" s="201" t="n"/>
      <c r="M757" s="201" t="n"/>
      <c r="N757" s="201" t="n"/>
      <c r="O757" s="201" t="n"/>
      <c r="P757" s="201" t="n"/>
      <c r="Q757" s="201" t="n"/>
      <c r="R757" s="201" t="n"/>
    </row>
    <row r="758" ht="12.75" customHeight="1" s="202">
      <c r="A758" s="201" t="n"/>
      <c r="B758" s="201" t="n"/>
      <c r="C758" s="201" t="n"/>
      <c r="D758" s="201" t="n"/>
      <c r="E758" s="201" t="n"/>
      <c r="F758" s="201" t="n"/>
      <c r="G758" s="201" t="n"/>
      <c r="H758" s="201" t="n"/>
      <c r="I758" s="201" t="n"/>
      <c r="J758" s="201" t="n"/>
      <c r="K758" s="201" t="n"/>
      <c r="L758" s="201" t="n"/>
      <c r="M758" s="201" t="n"/>
      <c r="N758" s="201" t="n"/>
      <c r="O758" s="201" t="n"/>
      <c r="P758" s="201" t="n"/>
      <c r="Q758" s="201" t="n"/>
      <c r="R758" s="201" t="n"/>
    </row>
    <row r="759" ht="12.75" customHeight="1" s="202">
      <c r="A759" s="201" t="n"/>
      <c r="B759" s="201" t="n"/>
      <c r="C759" s="201" t="n"/>
      <c r="D759" s="201" t="n"/>
      <c r="E759" s="201" t="n"/>
      <c r="F759" s="201" t="n"/>
      <c r="G759" s="201" t="n"/>
      <c r="H759" s="201" t="n"/>
      <c r="I759" s="201" t="n"/>
      <c r="J759" s="201" t="n"/>
      <c r="K759" s="201" t="n"/>
      <c r="L759" s="201" t="n"/>
      <c r="M759" s="201" t="n"/>
      <c r="N759" s="201" t="n"/>
      <c r="O759" s="201" t="n"/>
      <c r="P759" s="201" t="n"/>
      <c r="Q759" s="201" t="n"/>
      <c r="R759" s="201" t="n"/>
    </row>
    <row r="760" ht="12.75" customHeight="1" s="202">
      <c r="A760" s="201" t="n"/>
      <c r="B760" s="201" t="n"/>
      <c r="C760" s="201" t="n"/>
      <c r="D760" s="201" t="n"/>
      <c r="E760" s="201" t="n"/>
      <c r="F760" s="201" t="n"/>
      <c r="G760" s="201" t="n"/>
      <c r="H760" s="201" t="n"/>
      <c r="I760" s="201" t="n"/>
      <c r="J760" s="201" t="n"/>
      <c r="K760" s="201" t="n"/>
      <c r="L760" s="201" t="n"/>
      <c r="M760" s="201" t="n"/>
      <c r="N760" s="201" t="n"/>
      <c r="O760" s="201" t="n"/>
      <c r="P760" s="201" t="n"/>
      <c r="Q760" s="201" t="n"/>
      <c r="R760" s="201" t="n"/>
    </row>
    <row r="761" ht="12.75" customHeight="1" s="202">
      <c r="A761" s="201" t="n"/>
      <c r="B761" s="201" t="n"/>
      <c r="C761" s="201" t="n"/>
      <c r="D761" s="201" t="n"/>
      <c r="E761" s="201" t="n"/>
      <c r="F761" s="201" t="n"/>
      <c r="G761" s="201" t="n"/>
      <c r="H761" s="201" t="n"/>
      <c r="I761" s="201" t="n"/>
      <c r="J761" s="201" t="n"/>
      <c r="K761" s="201" t="n"/>
      <c r="L761" s="201" t="n"/>
      <c r="M761" s="201" t="n"/>
      <c r="N761" s="201" t="n"/>
      <c r="O761" s="201" t="n"/>
      <c r="P761" s="201" t="n"/>
      <c r="Q761" s="201" t="n"/>
      <c r="R761" s="201" t="n"/>
    </row>
    <row r="762" ht="12.75" customHeight="1" s="202">
      <c r="A762" s="201" t="n"/>
      <c r="B762" s="201" t="n"/>
      <c r="C762" s="201" t="n"/>
      <c r="D762" s="201" t="n"/>
      <c r="E762" s="201" t="n"/>
      <c r="F762" s="201" t="n"/>
      <c r="G762" s="201" t="n"/>
      <c r="H762" s="201" t="n"/>
      <c r="I762" s="201" t="n"/>
      <c r="J762" s="201" t="n"/>
      <c r="K762" s="201" t="n"/>
      <c r="L762" s="201" t="n"/>
      <c r="M762" s="201" t="n"/>
      <c r="N762" s="201" t="n"/>
      <c r="O762" s="201" t="n"/>
      <c r="P762" s="201" t="n"/>
      <c r="Q762" s="201" t="n"/>
      <c r="R762" s="201" t="n"/>
    </row>
    <row r="763" ht="12.75" customHeight="1" s="202">
      <c r="A763" s="201" t="n"/>
      <c r="B763" s="201" t="n"/>
      <c r="C763" s="201" t="n"/>
      <c r="D763" s="201" t="n"/>
      <c r="E763" s="201" t="n"/>
      <c r="F763" s="201" t="n"/>
      <c r="G763" s="201" t="n"/>
      <c r="H763" s="201" t="n"/>
      <c r="I763" s="201" t="n"/>
      <c r="J763" s="201" t="n"/>
      <c r="K763" s="201" t="n"/>
      <c r="L763" s="201" t="n"/>
      <c r="M763" s="201" t="n"/>
      <c r="N763" s="201" t="n"/>
      <c r="O763" s="201" t="n"/>
      <c r="P763" s="201" t="n"/>
      <c r="Q763" s="201" t="n"/>
      <c r="R763" s="201" t="n"/>
    </row>
    <row r="764" ht="12.75" customHeight="1" s="202">
      <c r="A764" s="201" t="n"/>
      <c r="B764" s="201" t="n"/>
      <c r="C764" s="201" t="n"/>
      <c r="D764" s="201" t="n"/>
      <c r="E764" s="201" t="n"/>
      <c r="F764" s="201" t="n"/>
      <c r="G764" s="201" t="n"/>
      <c r="H764" s="201" t="n"/>
      <c r="I764" s="201" t="n"/>
      <c r="J764" s="201" t="n"/>
      <c r="K764" s="201" t="n"/>
      <c r="L764" s="201" t="n"/>
      <c r="M764" s="201" t="n"/>
      <c r="N764" s="201" t="n"/>
      <c r="O764" s="201" t="n"/>
      <c r="P764" s="201" t="n"/>
      <c r="Q764" s="201" t="n"/>
      <c r="R764" s="201" t="n"/>
    </row>
    <row r="765" ht="12.75" customHeight="1" s="202">
      <c r="A765" s="201" t="n"/>
      <c r="B765" s="201" t="n"/>
      <c r="C765" s="201" t="n"/>
      <c r="D765" s="201" t="n"/>
      <c r="E765" s="201" t="n"/>
      <c r="F765" s="201" t="n"/>
      <c r="G765" s="201" t="n"/>
      <c r="H765" s="201" t="n"/>
      <c r="I765" s="201" t="n"/>
      <c r="J765" s="201" t="n"/>
      <c r="K765" s="201" t="n"/>
      <c r="L765" s="201" t="n"/>
      <c r="M765" s="201" t="n"/>
      <c r="N765" s="201" t="n"/>
      <c r="O765" s="201" t="n"/>
      <c r="P765" s="201" t="n"/>
      <c r="Q765" s="201" t="n"/>
      <c r="R765" s="201" t="n"/>
    </row>
    <row r="766" ht="12.75" customHeight="1" s="202">
      <c r="A766" s="201" t="n"/>
      <c r="B766" s="201" t="n"/>
      <c r="C766" s="201" t="n"/>
      <c r="D766" s="201" t="n"/>
      <c r="E766" s="201" t="n"/>
      <c r="F766" s="201" t="n"/>
      <c r="G766" s="201" t="n"/>
      <c r="H766" s="201" t="n"/>
      <c r="I766" s="201" t="n"/>
      <c r="J766" s="201" t="n"/>
      <c r="K766" s="201" t="n"/>
      <c r="L766" s="201" t="n"/>
      <c r="M766" s="201" t="n"/>
      <c r="N766" s="201" t="n"/>
      <c r="O766" s="201" t="n"/>
      <c r="P766" s="201" t="n"/>
      <c r="Q766" s="201" t="n"/>
      <c r="R766" s="201" t="n"/>
    </row>
    <row r="767" ht="12.75" customHeight="1" s="202">
      <c r="A767" s="201" t="n"/>
      <c r="B767" s="201" t="n"/>
      <c r="C767" s="201" t="n"/>
      <c r="D767" s="201" t="n"/>
      <c r="E767" s="201" t="n"/>
      <c r="F767" s="201" t="n"/>
      <c r="G767" s="201" t="n"/>
      <c r="H767" s="201" t="n"/>
      <c r="I767" s="201" t="n"/>
      <c r="J767" s="201" t="n"/>
      <c r="K767" s="201" t="n"/>
      <c r="L767" s="201" t="n"/>
      <c r="M767" s="201" t="n"/>
      <c r="N767" s="201" t="n"/>
      <c r="O767" s="201" t="n"/>
      <c r="P767" s="201" t="n"/>
      <c r="Q767" s="201" t="n"/>
      <c r="R767" s="201" t="n"/>
    </row>
    <row r="768" ht="12.75" customHeight="1" s="202">
      <c r="A768" s="201" t="n"/>
      <c r="B768" s="201" t="n"/>
      <c r="C768" s="201" t="n"/>
      <c r="D768" s="201" t="n"/>
      <c r="E768" s="201" t="n"/>
      <c r="F768" s="201" t="n"/>
      <c r="G768" s="201" t="n"/>
      <c r="H768" s="201" t="n"/>
      <c r="I768" s="201" t="n"/>
      <c r="J768" s="201" t="n"/>
      <c r="K768" s="201" t="n"/>
      <c r="L768" s="201" t="n"/>
      <c r="M768" s="201" t="n"/>
      <c r="N768" s="201" t="n"/>
      <c r="O768" s="201" t="n"/>
      <c r="P768" s="201" t="n"/>
      <c r="Q768" s="201" t="n"/>
      <c r="R768" s="201" t="n"/>
    </row>
    <row r="769" ht="12.75" customHeight="1" s="202">
      <c r="A769" s="201" t="n"/>
      <c r="B769" s="201" t="n"/>
      <c r="C769" s="201" t="n"/>
      <c r="D769" s="201" t="n"/>
      <c r="E769" s="201" t="n"/>
      <c r="F769" s="201" t="n"/>
      <c r="G769" s="201" t="n"/>
      <c r="H769" s="201" t="n"/>
      <c r="I769" s="201" t="n"/>
      <c r="J769" s="201" t="n"/>
      <c r="K769" s="201" t="n"/>
      <c r="L769" s="201" t="n"/>
      <c r="M769" s="201" t="n"/>
      <c r="N769" s="201" t="n"/>
      <c r="O769" s="201" t="n"/>
      <c r="P769" s="201" t="n"/>
      <c r="Q769" s="201" t="n"/>
      <c r="R769" s="201" t="n"/>
    </row>
    <row r="770" ht="12.75" customHeight="1" s="202">
      <c r="A770" s="201" t="n"/>
      <c r="B770" s="201" t="n"/>
      <c r="C770" s="201" t="n"/>
      <c r="D770" s="201" t="n"/>
      <c r="E770" s="201" t="n"/>
      <c r="F770" s="201" t="n"/>
      <c r="G770" s="201" t="n"/>
      <c r="H770" s="201" t="n"/>
      <c r="I770" s="201" t="n"/>
      <c r="J770" s="201" t="n"/>
      <c r="K770" s="201" t="n"/>
      <c r="L770" s="201" t="n"/>
      <c r="M770" s="201" t="n"/>
      <c r="N770" s="201" t="n"/>
      <c r="O770" s="201" t="n"/>
      <c r="P770" s="201" t="n"/>
      <c r="Q770" s="201" t="n"/>
      <c r="R770" s="201" t="n"/>
    </row>
    <row r="771" ht="12.75" customHeight="1" s="202">
      <c r="A771" s="201" t="n"/>
      <c r="B771" s="201" t="n"/>
      <c r="C771" s="201" t="n"/>
      <c r="D771" s="201" t="n"/>
      <c r="E771" s="201" t="n"/>
      <c r="F771" s="201" t="n"/>
      <c r="G771" s="201" t="n"/>
      <c r="H771" s="201" t="n"/>
      <c r="I771" s="201" t="n"/>
      <c r="J771" s="201" t="n"/>
      <c r="K771" s="201" t="n"/>
      <c r="L771" s="201" t="n"/>
      <c r="M771" s="201" t="n"/>
      <c r="N771" s="201" t="n"/>
      <c r="O771" s="201" t="n"/>
      <c r="P771" s="201" t="n"/>
      <c r="Q771" s="201" t="n"/>
      <c r="R771" s="201" t="n"/>
    </row>
    <row r="772" ht="12.75" customHeight="1" s="202">
      <c r="A772" s="201" t="n"/>
      <c r="B772" s="201" t="n"/>
      <c r="C772" s="201" t="n"/>
      <c r="D772" s="201" t="n"/>
      <c r="E772" s="201" t="n"/>
      <c r="F772" s="201" t="n"/>
      <c r="G772" s="201" t="n"/>
      <c r="H772" s="201" t="n"/>
      <c r="I772" s="201" t="n"/>
      <c r="J772" s="201" t="n"/>
      <c r="K772" s="201" t="n"/>
      <c r="L772" s="201" t="n"/>
      <c r="M772" s="201" t="n"/>
      <c r="N772" s="201" t="n"/>
      <c r="O772" s="201" t="n"/>
      <c r="P772" s="201" t="n"/>
      <c r="Q772" s="201" t="n"/>
      <c r="R772" s="201" t="n"/>
    </row>
    <row r="773" ht="12.75" customHeight="1" s="202">
      <c r="A773" s="201" t="n"/>
      <c r="B773" s="201" t="n"/>
      <c r="C773" s="201" t="n"/>
      <c r="D773" s="201" t="n"/>
      <c r="E773" s="201" t="n"/>
      <c r="F773" s="201" t="n"/>
      <c r="G773" s="201" t="n"/>
      <c r="H773" s="201" t="n"/>
      <c r="I773" s="201" t="n"/>
      <c r="J773" s="201" t="n"/>
      <c r="K773" s="201" t="n"/>
      <c r="L773" s="201" t="n"/>
      <c r="M773" s="201" t="n"/>
      <c r="N773" s="201" t="n"/>
      <c r="O773" s="201" t="n"/>
      <c r="P773" s="201" t="n"/>
      <c r="Q773" s="201" t="n"/>
      <c r="R773" s="201" t="n"/>
    </row>
    <row r="774" ht="12.75" customHeight="1" s="202">
      <c r="A774" s="201" t="n"/>
      <c r="B774" s="201" t="n"/>
      <c r="C774" s="201" t="n"/>
      <c r="D774" s="201" t="n"/>
      <c r="E774" s="201" t="n"/>
      <c r="F774" s="201" t="n"/>
      <c r="G774" s="201" t="n"/>
      <c r="H774" s="201" t="n"/>
      <c r="I774" s="201" t="n"/>
      <c r="J774" s="201" t="n"/>
      <c r="K774" s="201" t="n"/>
      <c r="L774" s="201" t="n"/>
      <c r="M774" s="201" t="n"/>
      <c r="N774" s="201" t="n"/>
      <c r="O774" s="201" t="n"/>
      <c r="P774" s="201" t="n"/>
      <c r="Q774" s="201" t="n"/>
      <c r="R774" s="201" t="n"/>
    </row>
    <row r="775" ht="12.75" customHeight="1" s="202">
      <c r="A775" s="201" t="n"/>
      <c r="B775" s="201" t="n"/>
      <c r="C775" s="201" t="n"/>
      <c r="D775" s="201" t="n"/>
      <c r="E775" s="201" t="n"/>
      <c r="F775" s="201" t="n"/>
      <c r="G775" s="201" t="n"/>
      <c r="H775" s="201" t="n"/>
      <c r="I775" s="201" t="n"/>
      <c r="J775" s="201" t="n"/>
      <c r="K775" s="201" t="n"/>
      <c r="L775" s="201" t="n"/>
      <c r="M775" s="201" t="n"/>
      <c r="N775" s="201" t="n"/>
      <c r="O775" s="201" t="n"/>
      <c r="P775" s="201" t="n"/>
      <c r="Q775" s="201" t="n"/>
      <c r="R775" s="201" t="n"/>
    </row>
    <row r="776" ht="12.75" customHeight="1" s="202">
      <c r="A776" s="201" t="n"/>
      <c r="B776" s="201" t="n"/>
      <c r="C776" s="201" t="n"/>
      <c r="D776" s="201" t="n"/>
      <c r="E776" s="201" t="n"/>
      <c r="F776" s="201" t="n"/>
      <c r="G776" s="201" t="n"/>
      <c r="H776" s="201" t="n"/>
      <c r="I776" s="201" t="n"/>
      <c r="J776" s="201" t="n"/>
      <c r="K776" s="201" t="n"/>
      <c r="L776" s="201" t="n"/>
      <c r="M776" s="201" t="n"/>
      <c r="N776" s="201" t="n"/>
      <c r="O776" s="201" t="n"/>
      <c r="P776" s="201" t="n"/>
      <c r="Q776" s="201" t="n"/>
      <c r="R776" s="201" t="n"/>
    </row>
    <row r="777" ht="12.75" customHeight="1" s="202">
      <c r="A777" s="201" t="n"/>
      <c r="B777" s="201" t="n"/>
      <c r="C777" s="201" t="n"/>
      <c r="D777" s="201" t="n"/>
      <c r="E777" s="201" t="n"/>
      <c r="F777" s="201" t="n"/>
      <c r="G777" s="201" t="n"/>
      <c r="H777" s="201" t="n"/>
      <c r="I777" s="201" t="n"/>
      <c r="J777" s="201" t="n"/>
      <c r="K777" s="201" t="n"/>
      <c r="L777" s="201" t="n"/>
      <c r="M777" s="201" t="n"/>
      <c r="N777" s="201" t="n"/>
      <c r="O777" s="201" t="n"/>
      <c r="P777" s="201" t="n"/>
      <c r="Q777" s="201" t="n"/>
      <c r="R777" s="201" t="n"/>
    </row>
    <row r="778" ht="12.75" customHeight="1" s="202">
      <c r="A778" s="201" t="n"/>
      <c r="B778" s="201" t="n"/>
      <c r="C778" s="201" t="n"/>
      <c r="D778" s="201" t="n"/>
      <c r="E778" s="201" t="n"/>
      <c r="F778" s="201" t="n"/>
      <c r="G778" s="201" t="n"/>
      <c r="H778" s="201" t="n"/>
      <c r="I778" s="201" t="n"/>
      <c r="J778" s="201" t="n"/>
      <c r="K778" s="201" t="n"/>
      <c r="L778" s="201" t="n"/>
      <c r="M778" s="201" t="n"/>
      <c r="N778" s="201" t="n"/>
      <c r="O778" s="201" t="n"/>
      <c r="P778" s="201" t="n"/>
      <c r="Q778" s="201" t="n"/>
      <c r="R778" s="201" t="n"/>
    </row>
    <row r="779" ht="12.75" customHeight="1" s="202">
      <c r="A779" s="201" t="n"/>
      <c r="B779" s="201" t="n"/>
      <c r="C779" s="201" t="n"/>
      <c r="D779" s="201" t="n"/>
      <c r="E779" s="201" t="n"/>
      <c r="F779" s="201" t="n"/>
      <c r="G779" s="201" t="n"/>
      <c r="H779" s="201" t="n"/>
      <c r="I779" s="201" t="n"/>
      <c r="J779" s="201" t="n"/>
      <c r="K779" s="201" t="n"/>
      <c r="L779" s="201" t="n"/>
      <c r="M779" s="201" t="n"/>
      <c r="N779" s="201" t="n"/>
      <c r="O779" s="201" t="n"/>
      <c r="P779" s="201" t="n"/>
      <c r="Q779" s="201" t="n"/>
      <c r="R779" s="201" t="n"/>
    </row>
    <row r="780" ht="12.75" customHeight="1" s="202">
      <c r="A780" s="201" t="n"/>
      <c r="B780" s="201" t="n"/>
      <c r="C780" s="201" t="n"/>
      <c r="D780" s="201" t="n"/>
      <c r="E780" s="201" t="n"/>
      <c r="F780" s="201" t="n"/>
      <c r="G780" s="201" t="n"/>
      <c r="H780" s="201" t="n"/>
      <c r="I780" s="201" t="n"/>
      <c r="J780" s="201" t="n"/>
      <c r="K780" s="201" t="n"/>
      <c r="L780" s="201" t="n"/>
      <c r="M780" s="201" t="n"/>
      <c r="N780" s="201" t="n"/>
      <c r="O780" s="201" t="n"/>
      <c r="P780" s="201" t="n"/>
      <c r="Q780" s="201" t="n"/>
      <c r="R780" s="201" t="n"/>
    </row>
    <row r="781" ht="12.75" customHeight="1" s="202">
      <c r="A781" s="201" t="n"/>
      <c r="B781" s="201" t="n"/>
      <c r="C781" s="201" t="n"/>
      <c r="D781" s="201" t="n"/>
      <c r="E781" s="201" t="n"/>
      <c r="F781" s="201" t="n"/>
      <c r="G781" s="201" t="n"/>
      <c r="H781" s="201" t="n"/>
      <c r="I781" s="201" t="n"/>
      <c r="J781" s="201" t="n"/>
      <c r="K781" s="201" t="n"/>
      <c r="L781" s="201" t="n"/>
      <c r="M781" s="201" t="n"/>
      <c r="N781" s="201" t="n"/>
      <c r="O781" s="201" t="n"/>
      <c r="P781" s="201" t="n"/>
      <c r="Q781" s="201" t="n"/>
      <c r="R781" s="201" t="n"/>
    </row>
    <row r="782" ht="12.75" customHeight="1" s="202">
      <c r="A782" s="201" t="n"/>
      <c r="B782" s="201" t="n"/>
      <c r="C782" s="201" t="n"/>
      <c r="D782" s="201" t="n"/>
      <c r="E782" s="201" t="n"/>
      <c r="F782" s="201" t="n"/>
      <c r="G782" s="201" t="n"/>
      <c r="H782" s="201" t="n"/>
      <c r="I782" s="201" t="n"/>
      <c r="J782" s="201" t="n"/>
      <c r="K782" s="201" t="n"/>
      <c r="L782" s="201" t="n"/>
      <c r="M782" s="201" t="n"/>
      <c r="N782" s="201" t="n"/>
      <c r="O782" s="201" t="n"/>
      <c r="P782" s="201" t="n"/>
      <c r="Q782" s="201" t="n"/>
      <c r="R782" s="201" t="n"/>
    </row>
    <row r="783" ht="12.75" customHeight="1" s="202">
      <c r="A783" s="201" t="n"/>
      <c r="B783" s="201" t="n"/>
      <c r="C783" s="201" t="n"/>
      <c r="D783" s="201" t="n"/>
      <c r="E783" s="201" t="n"/>
      <c r="F783" s="201" t="n"/>
      <c r="G783" s="201" t="n"/>
      <c r="H783" s="201" t="n"/>
      <c r="I783" s="201" t="n"/>
      <c r="J783" s="201" t="n"/>
      <c r="K783" s="201" t="n"/>
      <c r="L783" s="201" t="n"/>
      <c r="M783" s="201" t="n"/>
      <c r="N783" s="201" t="n"/>
      <c r="O783" s="201" t="n"/>
      <c r="P783" s="201" t="n"/>
      <c r="Q783" s="201" t="n"/>
      <c r="R783" s="201" t="n"/>
    </row>
    <row r="784" ht="12.75" customHeight="1" s="202">
      <c r="A784" s="201" t="n"/>
      <c r="B784" s="201" t="n"/>
      <c r="C784" s="201" t="n"/>
      <c r="D784" s="201" t="n"/>
      <c r="E784" s="201" t="n"/>
      <c r="F784" s="201" t="n"/>
      <c r="G784" s="201" t="n"/>
      <c r="H784" s="201" t="n"/>
      <c r="I784" s="201" t="n"/>
      <c r="J784" s="201" t="n"/>
      <c r="K784" s="201" t="n"/>
      <c r="L784" s="201" t="n"/>
      <c r="M784" s="201" t="n"/>
      <c r="N784" s="201" t="n"/>
      <c r="O784" s="201" t="n"/>
      <c r="P784" s="201" t="n"/>
      <c r="Q784" s="201" t="n"/>
      <c r="R784" s="201" t="n"/>
    </row>
    <row r="785" ht="12.75" customHeight="1" s="202">
      <c r="A785" s="201" t="n"/>
      <c r="B785" s="201" t="n"/>
      <c r="C785" s="201" t="n"/>
      <c r="D785" s="201" t="n"/>
      <c r="E785" s="201" t="n"/>
      <c r="F785" s="201" t="n"/>
      <c r="G785" s="201" t="n"/>
      <c r="H785" s="201" t="n"/>
      <c r="I785" s="201" t="n"/>
      <c r="J785" s="201" t="n"/>
      <c r="K785" s="201" t="n"/>
      <c r="L785" s="201" t="n"/>
      <c r="M785" s="201" t="n"/>
      <c r="N785" s="201" t="n"/>
      <c r="O785" s="201" t="n"/>
      <c r="P785" s="201" t="n"/>
      <c r="Q785" s="201" t="n"/>
      <c r="R785" s="201" t="n"/>
    </row>
    <row r="786" ht="12.75" customHeight="1" s="202">
      <c r="A786" s="201" t="n"/>
      <c r="B786" s="201" t="n"/>
      <c r="C786" s="201" t="n"/>
      <c r="D786" s="201" t="n"/>
      <c r="E786" s="201" t="n"/>
      <c r="F786" s="201" t="n"/>
      <c r="G786" s="201" t="n"/>
      <c r="H786" s="201" t="n"/>
      <c r="I786" s="201" t="n"/>
      <c r="J786" s="201" t="n"/>
      <c r="K786" s="201" t="n"/>
      <c r="L786" s="201" t="n"/>
      <c r="M786" s="201" t="n"/>
      <c r="N786" s="201" t="n"/>
      <c r="O786" s="201" t="n"/>
      <c r="P786" s="201" t="n"/>
      <c r="Q786" s="201" t="n"/>
      <c r="R786" s="201" t="n"/>
    </row>
    <row r="787" ht="12.75" customHeight="1" s="202">
      <c r="A787" s="201" t="n"/>
      <c r="B787" s="201" t="n"/>
      <c r="C787" s="201" t="n"/>
      <c r="D787" s="201" t="n"/>
      <c r="E787" s="201" t="n"/>
      <c r="F787" s="201" t="n"/>
      <c r="G787" s="201" t="n"/>
      <c r="H787" s="201" t="n"/>
      <c r="I787" s="201" t="n"/>
      <c r="J787" s="201" t="n"/>
      <c r="K787" s="201" t="n"/>
      <c r="L787" s="201" t="n"/>
      <c r="M787" s="201" t="n"/>
      <c r="N787" s="201" t="n"/>
      <c r="O787" s="201" t="n"/>
      <c r="P787" s="201" t="n"/>
      <c r="Q787" s="201" t="n"/>
      <c r="R787" s="201" t="n"/>
    </row>
    <row r="788" ht="12.75" customHeight="1" s="202">
      <c r="A788" s="201" t="n"/>
      <c r="B788" s="201" t="n"/>
      <c r="C788" s="201" t="n"/>
      <c r="D788" s="201" t="n"/>
      <c r="E788" s="201" t="n"/>
      <c r="F788" s="201" t="n"/>
      <c r="G788" s="201" t="n"/>
      <c r="H788" s="201" t="n"/>
      <c r="I788" s="201" t="n"/>
      <c r="J788" s="201" t="n"/>
      <c r="K788" s="201" t="n"/>
      <c r="L788" s="201" t="n"/>
      <c r="M788" s="201" t="n"/>
      <c r="N788" s="201" t="n"/>
      <c r="O788" s="201" t="n"/>
      <c r="P788" s="201" t="n"/>
      <c r="Q788" s="201" t="n"/>
      <c r="R788" s="201" t="n"/>
    </row>
    <row r="789" ht="12.75" customHeight="1" s="202">
      <c r="A789" s="201" t="n"/>
      <c r="B789" s="201" t="n"/>
      <c r="C789" s="201" t="n"/>
      <c r="D789" s="201" t="n"/>
      <c r="E789" s="201" t="n"/>
      <c r="F789" s="201" t="n"/>
      <c r="G789" s="201" t="n"/>
      <c r="H789" s="201" t="n"/>
      <c r="I789" s="201" t="n"/>
      <c r="J789" s="201" t="n"/>
      <c r="K789" s="201" t="n"/>
      <c r="L789" s="201" t="n"/>
      <c r="M789" s="201" t="n"/>
      <c r="N789" s="201" t="n"/>
      <c r="O789" s="201" t="n"/>
      <c r="P789" s="201" t="n"/>
      <c r="Q789" s="201" t="n"/>
      <c r="R789" s="201" t="n"/>
    </row>
    <row r="790" ht="12.75" customHeight="1" s="202">
      <c r="A790" s="201" t="n"/>
      <c r="B790" s="201" t="n"/>
      <c r="C790" s="201" t="n"/>
      <c r="D790" s="201" t="n"/>
      <c r="E790" s="201" t="n"/>
      <c r="F790" s="201" t="n"/>
      <c r="G790" s="201" t="n"/>
      <c r="H790" s="201" t="n"/>
      <c r="I790" s="201" t="n"/>
      <c r="J790" s="201" t="n"/>
      <c r="K790" s="201" t="n"/>
      <c r="L790" s="201" t="n"/>
      <c r="M790" s="201" t="n"/>
      <c r="N790" s="201" t="n"/>
      <c r="O790" s="201" t="n"/>
      <c r="P790" s="201" t="n"/>
      <c r="Q790" s="201" t="n"/>
      <c r="R790" s="201" t="n"/>
    </row>
    <row r="791" ht="12.75" customHeight="1" s="202">
      <c r="A791" s="201" t="n"/>
      <c r="B791" s="201" t="n"/>
      <c r="C791" s="201" t="n"/>
      <c r="D791" s="201" t="n"/>
      <c r="E791" s="201" t="n"/>
      <c r="F791" s="201" t="n"/>
      <c r="G791" s="201" t="n"/>
      <c r="H791" s="201" t="n"/>
      <c r="I791" s="201" t="n"/>
      <c r="J791" s="201" t="n"/>
      <c r="K791" s="201" t="n"/>
      <c r="L791" s="201" t="n"/>
      <c r="M791" s="201" t="n"/>
      <c r="N791" s="201" t="n"/>
      <c r="O791" s="201" t="n"/>
      <c r="P791" s="201" t="n"/>
      <c r="Q791" s="201" t="n"/>
      <c r="R791" s="201" t="n"/>
    </row>
    <row r="792" ht="12.75" customHeight="1" s="202">
      <c r="A792" s="201" t="n"/>
      <c r="B792" s="201" t="n"/>
      <c r="C792" s="201" t="n"/>
      <c r="D792" s="201" t="n"/>
      <c r="E792" s="201" t="n"/>
      <c r="F792" s="201" t="n"/>
      <c r="G792" s="201" t="n"/>
      <c r="H792" s="201" t="n"/>
      <c r="I792" s="201" t="n"/>
      <c r="J792" s="201" t="n"/>
      <c r="K792" s="201" t="n"/>
      <c r="L792" s="201" t="n"/>
      <c r="M792" s="201" t="n"/>
      <c r="N792" s="201" t="n"/>
      <c r="O792" s="201" t="n"/>
      <c r="P792" s="201" t="n"/>
      <c r="Q792" s="201" t="n"/>
      <c r="R792" s="201" t="n"/>
    </row>
    <row r="793" ht="12.75" customHeight="1" s="202">
      <c r="A793" s="201" t="n"/>
      <c r="B793" s="201" t="n"/>
      <c r="C793" s="201" t="n"/>
      <c r="D793" s="201" t="n"/>
      <c r="E793" s="201" t="n"/>
      <c r="F793" s="201" t="n"/>
      <c r="G793" s="201" t="n"/>
      <c r="H793" s="201" t="n"/>
      <c r="I793" s="201" t="n"/>
      <c r="J793" s="201" t="n"/>
      <c r="K793" s="201" t="n"/>
      <c r="L793" s="201" t="n"/>
      <c r="M793" s="201" t="n"/>
      <c r="N793" s="201" t="n"/>
      <c r="O793" s="201" t="n"/>
      <c r="P793" s="201" t="n"/>
      <c r="Q793" s="201" t="n"/>
      <c r="R793" s="201" t="n"/>
    </row>
    <row r="794" ht="12.75" customHeight="1" s="202">
      <c r="A794" s="201" t="n"/>
      <c r="B794" s="201" t="n"/>
      <c r="C794" s="201" t="n"/>
      <c r="D794" s="201" t="n"/>
      <c r="E794" s="201" t="n"/>
      <c r="F794" s="201" t="n"/>
      <c r="G794" s="201" t="n"/>
      <c r="H794" s="201" t="n"/>
      <c r="I794" s="201" t="n"/>
      <c r="J794" s="201" t="n"/>
      <c r="K794" s="201" t="n"/>
      <c r="L794" s="201" t="n"/>
      <c r="M794" s="201" t="n"/>
      <c r="N794" s="201" t="n"/>
      <c r="O794" s="201" t="n"/>
      <c r="P794" s="201" t="n"/>
      <c r="Q794" s="201" t="n"/>
      <c r="R794" s="201" t="n"/>
    </row>
    <row r="795" ht="12.75" customHeight="1" s="202">
      <c r="A795" s="201" t="n"/>
      <c r="B795" s="201" t="n"/>
      <c r="C795" s="201" t="n"/>
      <c r="D795" s="201" t="n"/>
      <c r="E795" s="201" t="n"/>
      <c r="F795" s="201" t="n"/>
      <c r="G795" s="201" t="n"/>
      <c r="H795" s="201" t="n"/>
      <c r="I795" s="201" t="n"/>
      <c r="J795" s="201" t="n"/>
      <c r="K795" s="201" t="n"/>
      <c r="L795" s="201" t="n"/>
      <c r="M795" s="201" t="n"/>
      <c r="N795" s="201" t="n"/>
      <c r="O795" s="201" t="n"/>
      <c r="P795" s="201" t="n"/>
      <c r="Q795" s="201" t="n"/>
      <c r="R795" s="201" t="n"/>
    </row>
    <row r="796" ht="12.75" customHeight="1" s="202">
      <c r="A796" s="201" t="n"/>
      <c r="B796" s="201" t="n"/>
      <c r="C796" s="201" t="n"/>
      <c r="D796" s="201" t="n"/>
      <c r="E796" s="201" t="n"/>
      <c r="F796" s="201" t="n"/>
      <c r="G796" s="201" t="n"/>
      <c r="H796" s="201" t="n"/>
      <c r="I796" s="201" t="n"/>
      <c r="J796" s="201" t="n"/>
      <c r="K796" s="201" t="n"/>
      <c r="L796" s="201" t="n"/>
      <c r="M796" s="201" t="n"/>
      <c r="N796" s="201" t="n"/>
      <c r="O796" s="201" t="n"/>
      <c r="P796" s="201" t="n"/>
      <c r="Q796" s="201" t="n"/>
      <c r="R796" s="201" t="n"/>
    </row>
    <row r="797" ht="12.75" customHeight="1" s="202">
      <c r="A797" s="201" t="n"/>
      <c r="B797" s="201" t="n"/>
      <c r="C797" s="201" t="n"/>
      <c r="D797" s="201" t="n"/>
      <c r="E797" s="201" t="n"/>
      <c r="F797" s="201" t="n"/>
      <c r="G797" s="201" t="n"/>
      <c r="H797" s="201" t="n"/>
      <c r="I797" s="201" t="n"/>
      <c r="J797" s="201" t="n"/>
      <c r="K797" s="201" t="n"/>
      <c r="L797" s="201" t="n"/>
      <c r="M797" s="201" t="n"/>
      <c r="N797" s="201" t="n"/>
      <c r="O797" s="201" t="n"/>
      <c r="P797" s="201" t="n"/>
      <c r="Q797" s="201" t="n"/>
      <c r="R797" s="201" t="n"/>
    </row>
    <row r="798" ht="12.75" customHeight="1" s="202">
      <c r="A798" s="201" t="n"/>
      <c r="B798" s="201" t="n"/>
      <c r="C798" s="201" t="n"/>
      <c r="D798" s="201" t="n"/>
      <c r="E798" s="201" t="n"/>
      <c r="F798" s="201" t="n"/>
      <c r="G798" s="201" t="n"/>
      <c r="H798" s="201" t="n"/>
      <c r="I798" s="201" t="n"/>
      <c r="J798" s="201" t="n"/>
      <c r="K798" s="201" t="n"/>
      <c r="L798" s="201" t="n"/>
      <c r="M798" s="201" t="n"/>
      <c r="N798" s="201" t="n"/>
      <c r="O798" s="201" t="n"/>
      <c r="P798" s="201" t="n"/>
      <c r="Q798" s="201" t="n"/>
      <c r="R798" s="201" t="n"/>
    </row>
    <row r="799" ht="12.75" customHeight="1" s="202">
      <c r="A799" s="201" t="n"/>
      <c r="B799" s="201" t="n"/>
      <c r="C799" s="201" t="n"/>
      <c r="D799" s="201" t="n"/>
      <c r="E799" s="201" t="n"/>
      <c r="F799" s="201" t="n"/>
      <c r="G799" s="201" t="n"/>
      <c r="H799" s="201" t="n"/>
      <c r="I799" s="201" t="n"/>
      <c r="J799" s="201" t="n"/>
      <c r="K799" s="201" t="n"/>
      <c r="L799" s="201" t="n"/>
      <c r="M799" s="201" t="n"/>
      <c r="N799" s="201" t="n"/>
      <c r="O799" s="201" t="n"/>
      <c r="P799" s="201" t="n"/>
      <c r="Q799" s="201" t="n"/>
      <c r="R799" s="201" t="n"/>
    </row>
    <row r="800" ht="12.75" customHeight="1" s="202">
      <c r="A800" s="201" t="n"/>
      <c r="B800" s="201" t="n"/>
      <c r="C800" s="201" t="n"/>
      <c r="D800" s="201" t="n"/>
      <c r="E800" s="201" t="n"/>
      <c r="F800" s="201" t="n"/>
      <c r="G800" s="201" t="n"/>
      <c r="H800" s="201" t="n"/>
      <c r="I800" s="201" t="n"/>
      <c r="J800" s="201" t="n"/>
      <c r="K800" s="201" t="n"/>
      <c r="L800" s="201" t="n"/>
      <c r="M800" s="201" t="n"/>
      <c r="N800" s="201" t="n"/>
      <c r="O800" s="201" t="n"/>
      <c r="P800" s="201" t="n"/>
      <c r="Q800" s="201" t="n"/>
      <c r="R800" s="201" t="n"/>
    </row>
    <row r="801" ht="12.75" customHeight="1" s="202">
      <c r="A801" s="201" t="n"/>
      <c r="B801" s="201" t="n"/>
      <c r="C801" s="201" t="n"/>
      <c r="D801" s="201" t="n"/>
      <c r="E801" s="201" t="n"/>
      <c r="F801" s="201" t="n"/>
      <c r="G801" s="201" t="n"/>
      <c r="H801" s="201" t="n"/>
      <c r="I801" s="201" t="n"/>
      <c r="J801" s="201" t="n"/>
      <c r="K801" s="201" t="n"/>
      <c r="L801" s="201" t="n"/>
      <c r="M801" s="201" t="n"/>
      <c r="N801" s="201" t="n"/>
      <c r="O801" s="201" t="n"/>
      <c r="P801" s="201" t="n"/>
      <c r="Q801" s="201" t="n"/>
      <c r="R801" s="201" t="n"/>
    </row>
    <row r="802" ht="12.75" customHeight="1" s="202">
      <c r="A802" s="201" t="n"/>
      <c r="B802" s="201" t="n"/>
      <c r="C802" s="201" t="n"/>
      <c r="D802" s="201" t="n"/>
      <c r="E802" s="201" t="n"/>
      <c r="F802" s="201" t="n"/>
      <c r="G802" s="201" t="n"/>
      <c r="H802" s="201" t="n"/>
      <c r="I802" s="201" t="n"/>
      <c r="J802" s="201" t="n"/>
      <c r="K802" s="201" t="n"/>
      <c r="L802" s="201" t="n"/>
      <c r="M802" s="201" t="n"/>
      <c r="N802" s="201" t="n"/>
      <c r="O802" s="201" t="n"/>
      <c r="P802" s="201" t="n"/>
      <c r="Q802" s="201" t="n"/>
      <c r="R802" s="201" t="n"/>
    </row>
    <row r="803" ht="12.75" customHeight="1" s="202">
      <c r="A803" s="201" t="n"/>
      <c r="B803" s="201" t="n"/>
      <c r="C803" s="201" t="n"/>
      <c r="D803" s="201" t="n"/>
      <c r="E803" s="201" t="n"/>
      <c r="F803" s="201" t="n"/>
      <c r="G803" s="201" t="n"/>
      <c r="H803" s="201" t="n"/>
      <c r="I803" s="201" t="n"/>
      <c r="J803" s="201" t="n"/>
      <c r="K803" s="201" t="n"/>
      <c r="L803" s="201" t="n"/>
      <c r="M803" s="201" t="n"/>
      <c r="N803" s="201" t="n"/>
      <c r="O803" s="201" t="n"/>
      <c r="P803" s="201" t="n"/>
      <c r="Q803" s="201" t="n"/>
      <c r="R803" s="201" t="n"/>
    </row>
    <row r="804" ht="12.75" customHeight="1" s="202">
      <c r="A804" s="201" t="n"/>
      <c r="B804" s="201" t="n"/>
      <c r="C804" s="201" t="n"/>
      <c r="D804" s="201" t="n"/>
      <c r="E804" s="201" t="n"/>
      <c r="F804" s="201" t="n"/>
      <c r="G804" s="201" t="n"/>
      <c r="H804" s="201" t="n"/>
      <c r="I804" s="201" t="n"/>
      <c r="J804" s="201" t="n"/>
      <c r="K804" s="201" t="n"/>
      <c r="L804" s="201" t="n"/>
      <c r="M804" s="201" t="n"/>
      <c r="N804" s="201" t="n"/>
      <c r="O804" s="201" t="n"/>
      <c r="P804" s="201" t="n"/>
      <c r="Q804" s="201" t="n"/>
      <c r="R804" s="201" t="n"/>
    </row>
    <row r="805" ht="12.75" customHeight="1" s="202">
      <c r="A805" s="201" t="n"/>
      <c r="B805" s="201" t="n"/>
      <c r="C805" s="201" t="n"/>
      <c r="D805" s="201" t="n"/>
      <c r="E805" s="201" t="n"/>
      <c r="F805" s="201" t="n"/>
      <c r="G805" s="201" t="n"/>
      <c r="H805" s="201" t="n"/>
      <c r="I805" s="201" t="n"/>
      <c r="J805" s="201" t="n"/>
      <c r="K805" s="201" t="n"/>
      <c r="L805" s="201" t="n"/>
      <c r="M805" s="201" t="n"/>
      <c r="N805" s="201" t="n"/>
      <c r="O805" s="201" t="n"/>
      <c r="P805" s="201" t="n"/>
      <c r="Q805" s="201" t="n"/>
      <c r="R805" s="201" t="n"/>
    </row>
    <row r="806" ht="12.75" customHeight="1" s="202">
      <c r="A806" s="201" t="n"/>
      <c r="B806" s="201" t="n"/>
      <c r="C806" s="201" t="n"/>
      <c r="D806" s="201" t="n"/>
      <c r="E806" s="201" t="n"/>
      <c r="F806" s="201" t="n"/>
      <c r="G806" s="201" t="n"/>
      <c r="H806" s="201" t="n"/>
      <c r="I806" s="201" t="n"/>
      <c r="J806" s="201" t="n"/>
      <c r="K806" s="201" t="n"/>
      <c r="L806" s="201" t="n"/>
      <c r="M806" s="201" t="n"/>
      <c r="N806" s="201" t="n"/>
      <c r="O806" s="201" t="n"/>
      <c r="P806" s="201" t="n"/>
      <c r="Q806" s="201" t="n"/>
      <c r="R806" s="201" t="n"/>
    </row>
    <row r="807" ht="12.75" customHeight="1" s="202">
      <c r="A807" s="201" t="n"/>
      <c r="B807" s="201" t="n"/>
      <c r="C807" s="201" t="n"/>
      <c r="D807" s="201" t="n"/>
      <c r="E807" s="201" t="n"/>
      <c r="F807" s="201" t="n"/>
      <c r="G807" s="201" t="n"/>
      <c r="H807" s="201" t="n"/>
      <c r="I807" s="201" t="n"/>
      <c r="J807" s="201" t="n"/>
      <c r="K807" s="201" t="n"/>
      <c r="L807" s="201" t="n"/>
      <c r="M807" s="201" t="n"/>
      <c r="N807" s="201" t="n"/>
      <c r="O807" s="201" t="n"/>
      <c r="P807" s="201" t="n"/>
      <c r="Q807" s="201" t="n"/>
      <c r="R807" s="201" t="n"/>
    </row>
    <row r="808" ht="12.75" customHeight="1" s="202">
      <c r="A808" s="201" t="n"/>
      <c r="B808" s="201" t="n"/>
      <c r="C808" s="201" t="n"/>
      <c r="D808" s="201" t="n"/>
      <c r="E808" s="201" t="n"/>
      <c r="F808" s="201" t="n"/>
      <c r="G808" s="201" t="n"/>
      <c r="H808" s="201" t="n"/>
      <c r="I808" s="201" t="n"/>
      <c r="J808" s="201" t="n"/>
      <c r="K808" s="201" t="n"/>
      <c r="L808" s="201" t="n"/>
      <c r="M808" s="201" t="n"/>
      <c r="N808" s="201" t="n"/>
      <c r="O808" s="201" t="n"/>
      <c r="P808" s="201" t="n"/>
      <c r="Q808" s="201" t="n"/>
      <c r="R808" s="201" t="n"/>
    </row>
    <row r="809" ht="12.75" customHeight="1" s="202">
      <c r="A809" s="201" t="n"/>
      <c r="B809" s="201" t="n"/>
      <c r="C809" s="201" t="n"/>
      <c r="D809" s="201" t="n"/>
      <c r="E809" s="201" t="n"/>
      <c r="F809" s="201" t="n"/>
      <c r="G809" s="201" t="n"/>
      <c r="H809" s="201" t="n"/>
      <c r="I809" s="201" t="n"/>
      <c r="J809" s="201" t="n"/>
      <c r="K809" s="201" t="n"/>
      <c r="L809" s="201" t="n"/>
      <c r="M809" s="201" t="n"/>
      <c r="N809" s="201" t="n"/>
      <c r="O809" s="201" t="n"/>
      <c r="P809" s="201" t="n"/>
      <c r="Q809" s="201" t="n"/>
      <c r="R809" s="201" t="n"/>
    </row>
    <row r="810" ht="12.75" customHeight="1" s="202">
      <c r="A810" s="201" t="n"/>
      <c r="B810" s="201" t="n"/>
      <c r="C810" s="201" t="n"/>
      <c r="D810" s="201" t="n"/>
      <c r="E810" s="201" t="n"/>
      <c r="F810" s="201" t="n"/>
      <c r="G810" s="201" t="n"/>
      <c r="H810" s="201" t="n"/>
      <c r="I810" s="201" t="n"/>
      <c r="J810" s="201" t="n"/>
      <c r="K810" s="201" t="n"/>
      <c r="L810" s="201" t="n"/>
      <c r="M810" s="201" t="n"/>
      <c r="N810" s="201" t="n"/>
      <c r="O810" s="201" t="n"/>
      <c r="P810" s="201" t="n"/>
      <c r="Q810" s="201" t="n"/>
      <c r="R810" s="201" t="n"/>
    </row>
    <row r="811" ht="12.75" customHeight="1" s="202">
      <c r="A811" s="201" t="n"/>
      <c r="B811" s="201" t="n"/>
      <c r="C811" s="201" t="n"/>
      <c r="D811" s="201" t="n"/>
      <c r="E811" s="201" t="n"/>
      <c r="F811" s="201" t="n"/>
      <c r="G811" s="201" t="n"/>
      <c r="H811" s="201" t="n"/>
      <c r="I811" s="201" t="n"/>
      <c r="J811" s="201" t="n"/>
      <c r="K811" s="201" t="n"/>
      <c r="L811" s="201" t="n"/>
      <c r="M811" s="201" t="n"/>
      <c r="N811" s="201" t="n"/>
      <c r="O811" s="201" t="n"/>
      <c r="P811" s="201" t="n"/>
      <c r="Q811" s="201" t="n"/>
      <c r="R811" s="201" t="n"/>
    </row>
    <row r="812" ht="12.75" customHeight="1" s="202">
      <c r="A812" s="201" t="n"/>
      <c r="B812" s="201" t="n"/>
      <c r="C812" s="201" t="n"/>
      <c r="D812" s="201" t="n"/>
      <c r="E812" s="201" t="n"/>
      <c r="F812" s="201" t="n"/>
      <c r="G812" s="201" t="n"/>
      <c r="H812" s="201" t="n"/>
      <c r="I812" s="201" t="n"/>
      <c r="J812" s="201" t="n"/>
      <c r="K812" s="201" t="n"/>
      <c r="L812" s="201" t="n"/>
      <c r="M812" s="201" t="n"/>
      <c r="N812" s="201" t="n"/>
      <c r="O812" s="201" t="n"/>
      <c r="P812" s="201" t="n"/>
      <c r="Q812" s="201" t="n"/>
      <c r="R812" s="201" t="n"/>
    </row>
    <row r="813" ht="12.75" customHeight="1" s="202">
      <c r="A813" s="201" t="n"/>
      <c r="B813" s="201" t="n"/>
      <c r="C813" s="201" t="n"/>
      <c r="D813" s="201" t="n"/>
      <c r="E813" s="201" t="n"/>
      <c r="F813" s="201" t="n"/>
      <c r="G813" s="201" t="n"/>
      <c r="H813" s="201" t="n"/>
      <c r="I813" s="201" t="n"/>
      <c r="J813" s="201" t="n"/>
      <c r="K813" s="201" t="n"/>
      <c r="L813" s="201" t="n"/>
      <c r="M813" s="201" t="n"/>
      <c r="N813" s="201" t="n"/>
      <c r="O813" s="201" t="n"/>
      <c r="P813" s="201" t="n"/>
      <c r="Q813" s="201" t="n"/>
      <c r="R813" s="201" t="n"/>
    </row>
    <row r="814" ht="12.75" customHeight="1" s="202">
      <c r="A814" s="201" t="n"/>
      <c r="B814" s="201" t="n"/>
      <c r="C814" s="201" t="n"/>
      <c r="D814" s="201" t="n"/>
      <c r="E814" s="201" t="n"/>
      <c r="F814" s="201" t="n"/>
      <c r="G814" s="201" t="n"/>
      <c r="H814" s="201" t="n"/>
      <c r="I814" s="201" t="n"/>
      <c r="J814" s="201" t="n"/>
      <c r="K814" s="201" t="n"/>
      <c r="L814" s="201" t="n"/>
      <c r="M814" s="201" t="n"/>
      <c r="N814" s="201" t="n"/>
      <c r="O814" s="201" t="n"/>
      <c r="P814" s="201" t="n"/>
      <c r="Q814" s="201" t="n"/>
      <c r="R814" s="201" t="n"/>
    </row>
    <row r="815" ht="12.75" customHeight="1" s="202">
      <c r="A815" s="201" t="n"/>
      <c r="B815" s="201" t="n"/>
      <c r="C815" s="201" t="n"/>
      <c r="D815" s="201" t="n"/>
      <c r="E815" s="201" t="n"/>
      <c r="F815" s="201" t="n"/>
      <c r="G815" s="201" t="n"/>
      <c r="H815" s="201" t="n"/>
      <c r="I815" s="201" t="n"/>
      <c r="J815" s="201" t="n"/>
      <c r="K815" s="201" t="n"/>
      <c r="L815" s="201" t="n"/>
      <c r="M815" s="201" t="n"/>
      <c r="N815" s="201" t="n"/>
      <c r="O815" s="201" t="n"/>
      <c r="P815" s="201" t="n"/>
      <c r="Q815" s="201" t="n"/>
      <c r="R815" s="201" t="n"/>
    </row>
    <row r="816" ht="12.75" customHeight="1" s="202">
      <c r="A816" s="201" t="n"/>
      <c r="B816" s="201" t="n"/>
      <c r="C816" s="201" t="n"/>
      <c r="D816" s="201" t="n"/>
      <c r="E816" s="201" t="n"/>
      <c r="F816" s="201" t="n"/>
      <c r="G816" s="201" t="n"/>
      <c r="H816" s="201" t="n"/>
      <c r="I816" s="201" t="n"/>
      <c r="J816" s="201" t="n"/>
      <c r="K816" s="201" t="n"/>
      <c r="L816" s="201" t="n"/>
      <c r="M816" s="201" t="n"/>
      <c r="N816" s="201" t="n"/>
      <c r="O816" s="201" t="n"/>
      <c r="P816" s="201" t="n"/>
      <c r="Q816" s="201" t="n"/>
      <c r="R816" s="201" t="n"/>
    </row>
    <row r="817" ht="12.75" customHeight="1" s="202">
      <c r="A817" s="201" t="n"/>
      <c r="B817" s="201" t="n"/>
      <c r="C817" s="201" t="n"/>
      <c r="D817" s="201" t="n"/>
      <c r="E817" s="201" t="n"/>
      <c r="F817" s="201" t="n"/>
      <c r="G817" s="201" t="n"/>
      <c r="H817" s="201" t="n"/>
      <c r="I817" s="201" t="n"/>
      <c r="J817" s="201" t="n"/>
      <c r="K817" s="201" t="n"/>
      <c r="L817" s="201" t="n"/>
      <c r="M817" s="201" t="n"/>
      <c r="N817" s="201" t="n"/>
      <c r="O817" s="201" t="n"/>
      <c r="P817" s="201" t="n"/>
      <c r="Q817" s="201" t="n"/>
      <c r="R817" s="201" t="n"/>
    </row>
    <row r="818" ht="12.75" customHeight="1" s="202">
      <c r="A818" s="201" t="n"/>
      <c r="B818" s="201" t="n"/>
      <c r="C818" s="201" t="n"/>
      <c r="D818" s="201" t="n"/>
      <c r="E818" s="201" t="n"/>
      <c r="F818" s="201" t="n"/>
      <c r="G818" s="201" t="n"/>
      <c r="H818" s="201" t="n"/>
      <c r="I818" s="201" t="n"/>
      <c r="J818" s="201" t="n"/>
      <c r="K818" s="201" t="n"/>
      <c r="L818" s="201" t="n"/>
      <c r="M818" s="201" t="n"/>
      <c r="N818" s="201" t="n"/>
      <c r="O818" s="201" t="n"/>
      <c r="P818" s="201" t="n"/>
      <c r="Q818" s="201" t="n"/>
      <c r="R818" s="201" t="n"/>
    </row>
    <row r="819" ht="12.75" customHeight="1" s="202">
      <c r="A819" s="201" t="n"/>
      <c r="B819" s="201" t="n"/>
      <c r="C819" s="201" t="n"/>
      <c r="D819" s="201" t="n"/>
      <c r="E819" s="201" t="n"/>
      <c r="F819" s="201" t="n"/>
      <c r="G819" s="201" t="n"/>
      <c r="H819" s="201" t="n"/>
      <c r="I819" s="201" t="n"/>
      <c r="J819" s="201" t="n"/>
      <c r="K819" s="201" t="n"/>
      <c r="L819" s="201" t="n"/>
      <c r="M819" s="201" t="n"/>
      <c r="N819" s="201" t="n"/>
      <c r="O819" s="201" t="n"/>
      <c r="P819" s="201" t="n"/>
      <c r="Q819" s="201" t="n"/>
      <c r="R819" s="201" t="n"/>
    </row>
    <row r="820" ht="12.75" customHeight="1" s="202">
      <c r="A820" s="201" t="n"/>
      <c r="B820" s="201" t="n"/>
      <c r="C820" s="201" t="n"/>
      <c r="D820" s="201" t="n"/>
      <c r="E820" s="201" t="n"/>
      <c r="F820" s="201" t="n"/>
      <c r="G820" s="201" t="n"/>
      <c r="H820" s="201" t="n"/>
      <c r="I820" s="201" t="n"/>
      <c r="J820" s="201" t="n"/>
      <c r="K820" s="201" t="n"/>
      <c r="L820" s="201" t="n"/>
      <c r="M820" s="201" t="n"/>
      <c r="N820" s="201" t="n"/>
      <c r="O820" s="201" t="n"/>
      <c r="P820" s="201" t="n"/>
      <c r="Q820" s="201" t="n"/>
      <c r="R820" s="201" t="n"/>
    </row>
    <row r="821" ht="12.75" customHeight="1" s="202">
      <c r="A821" s="201" t="n"/>
      <c r="B821" s="201" t="n"/>
      <c r="C821" s="201" t="n"/>
      <c r="D821" s="201" t="n"/>
      <c r="E821" s="201" t="n"/>
      <c r="F821" s="201" t="n"/>
      <c r="G821" s="201" t="n"/>
      <c r="H821" s="201" t="n"/>
      <c r="I821" s="201" t="n"/>
      <c r="J821" s="201" t="n"/>
      <c r="K821" s="201" t="n"/>
      <c r="L821" s="201" t="n"/>
      <c r="M821" s="201" t="n"/>
      <c r="N821" s="201" t="n"/>
      <c r="O821" s="201" t="n"/>
      <c r="P821" s="201" t="n"/>
      <c r="Q821" s="201" t="n"/>
      <c r="R821" s="201" t="n"/>
    </row>
    <row r="822" ht="12.75" customHeight="1" s="202">
      <c r="A822" s="201" t="n"/>
      <c r="B822" s="201" t="n"/>
      <c r="C822" s="201" t="n"/>
      <c r="D822" s="201" t="n"/>
      <c r="E822" s="201" t="n"/>
      <c r="F822" s="201" t="n"/>
      <c r="G822" s="201" t="n"/>
      <c r="H822" s="201" t="n"/>
      <c r="I822" s="201" t="n"/>
      <c r="J822" s="201" t="n"/>
      <c r="K822" s="201" t="n"/>
      <c r="L822" s="201" t="n"/>
      <c r="M822" s="201" t="n"/>
      <c r="N822" s="201" t="n"/>
      <c r="O822" s="201" t="n"/>
      <c r="P822" s="201" t="n"/>
      <c r="Q822" s="201" t="n"/>
      <c r="R822" s="201" t="n"/>
    </row>
    <row r="823" ht="12.75" customHeight="1" s="202">
      <c r="A823" s="201" t="n"/>
      <c r="B823" s="201" t="n"/>
      <c r="C823" s="201" t="n"/>
      <c r="D823" s="201" t="n"/>
      <c r="E823" s="201" t="n"/>
      <c r="F823" s="201" t="n"/>
      <c r="G823" s="201" t="n"/>
      <c r="H823" s="201" t="n"/>
      <c r="I823" s="201" t="n"/>
      <c r="J823" s="201" t="n"/>
      <c r="K823" s="201" t="n"/>
      <c r="L823" s="201" t="n"/>
      <c r="M823" s="201" t="n"/>
      <c r="N823" s="201" t="n"/>
      <c r="O823" s="201" t="n"/>
      <c r="P823" s="201" t="n"/>
      <c r="Q823" s="201" t="n"/>
      <c r="R823" s="201" t="n"/>
    </row>
    <row r="824" ht="12.75" customHeight="1" s="202">
      <c r="A824" s="201" t="n"/>
      <c r="B824" s="201" t="n"/>
      <c r="C824" s="201" t="n"/>
      <c r="D824" s="201" t="n"/>
      <c r="E824" s="201" t="n"/>
      <c r="F824" s="201" t="n"/>
      <c r="G824" s="201" t="n"/>
      <c r="H824" s="201" t="n"/>
      <c r="I824" s="201" t="n"/>
      <c r="J824" s="201" t="n"/>
      <c r="K824" s="201" t="n"/>
      <c r="L824" s="201" t="n"/>
      <c r="M824" s="201" t="n"/>
      <c r="N824" s="201" t="n"/>
      <c r="O824" s="201" t="n"/>
      <c r="P824" s="201" t="n"/>
      <c r="Q824" s="201" t="n"/>
      <c r="R824" s="201" t="n"/>
    </row>
    <row r="825" ht="12.75" customHeight="1" s="202">
      <c r="A825" s="201" t="n"/>
      <c r="B825" s="201" t="n"/>
      <c r="C825" s="201" t="n"/>
      <c r="D825" s="201" t="n"/>
      <c r="E825" s="201" t="n"/>
      <c r="F825" s="201" t="n"/>
      <c r="G825" s="201" t="n"/>
      <c r="H825" s="201" t="n"/>
      <c r="I825" s="201" t="n"/>
      <c r="J825" s="201" t="n"/>
      <c r="K825" s="201" t="n"/>
      <c r="L825" s="201" t="n"/>
      <c r="M825" s="201" t="n"/>
      <c r="N825" s="201" t="n"/>
      <c r="O825" s="201" t="n"/>
      <c r="P825" s="201" t="n"/>
      <c r="Q825" s="201" t="n"/>
      <c r="R825" s="201" t="n"/>
    </row>
    <row r="826" ht="12.75" customHeight="1" s="202">
      <c r="A826" s="201" t="n"/>
      <c r="B826" s="201" t="n"/>
      <c r="C826" s="201" t="n"/>
      <c r="D826" s="201" t="n"/>
      <c r="E826" s="201" t="n"/>
      <c r="F826" s="201" t="n"/>
      <c r="G826" s="201" t="n"/>
      <c r="H826" s="201" t="n"/>
      <c r="I826" s="201" t="n"/>
      <c r="J826" s="201" t="n"/>
      <c r="K826" s="201" t="n"/>
      <c r="L826" s="201" t="n"/>
      <c r="M826" s="201" t="n"/>
      <c r="N826" s="201" t="n"/>
      <c r="O826" s="201" t="n"/>
      <c r="P826" s="201" t="n"/>
      <c r="Q826" s="201" t="n"/>
      <c r="R826" s="201" t="n"/>
    </row>
    <row r="827" ht="12.75" customHeight="1" s="202">
      <c r="A827" s="201" t="n"/>
      <c r="B827" s="201" t="n"/>
      <c r="C827" s="201" t="n"/>
      <c r="D827" s="201" t="n"/>
      <c r="E827" s="201" t="n"/>
      <c r="F827" s="201" t="n"/>
      <c r="G827" s="201" t="n"/>
      <c r="H827" s="201" t="n"/>
      <c r="I827" s="201" t="n"/>
      <c r="J827" s="201" t="n"/>
      <c r="K827" s="201" t="n"/>
      <c r="L827" s="201" t="n"/>
      <c r="M827" s="201" t="n"/>
      <c r="N827" s="201" t="n"/>
      <c r="O827" s="201" t="n"/>
      <c r="P827" s="201" t="n"/>
      <c r="Q827" s="201" t="n"/>
      <c r="R827" s="201" t="n"/>
    </row>
    <row r="828" ht="12.75" customHeight="1" s="202">
      <c r="A828" s="201" t="n"/>
      <c r="B828" s="201" t="n"/>
      <c r="C828" s="201" t="n"/>
      <c r="D828" s="201" t="n"/>
      <c r="E828" s="201" t="n"/>
      <c r="F828" s="201" t="n"/>
      <c r="G828" s="201" t="n"/>
      <c r="H828" s="201" t="n"/>
      <c r="I828" s="201" t="n"/>
      <c r="J828" s="201" t="n"/>
      <c r="K828" s="201" t="n"/>
      <c r="L828" s="201" t="n"/>
      <c r="M828" s="201" t="n"/>
      <c r="N828" s="201" t="n"/>
      <c r="O828" s="201" t="n"/>
      <c r="P828" s="201" t="n"/>
      <c r="Q828" s="201" t="n"/>
      <c r="R828" s="201" t="n"/>
    </row>
    <row r="829" ht="12.75" customHeight="1" s="202">
      <c r="A829" s="201" t="n"/>
      <c r="B829" s="201" t="n"/>
      <c r="C829" s="201" t="n"/>
      <c r="D829" s="201" t="n"/>
      <c r="E829" s="201" t="n"/>
      <c r="F829" s="201" t="n"/>
      <c r="G829" s="201" t="n"/>
      <c r="H829" s="201" t="n"/>
      <c r="I829" s="201" t="n"/>
      <c r="J829" s="201" t="n"/>
      <c r="K829" s="201" t="n"/>
      <c r="L829" s="201" t="n"/>
      <c r="M829" s="201" t="n"/>
      <c r="N829" s="201" t="n"/>
      <c r="O829" s="201" t="n"/>
      <c r="P829" s="201" t="n"/>
      <c r="Q829" s="201" t="n"/>
      <c r="R829" s="201" t="n"/>
    </row>
    <row r="830" ht="12.75" customHeight="1" s="202">
      <c r="A830" s="201" t="n"/>
      <c r="B830" s="201" t="n"/>
      <c r="C830" s="201" t="n"/>
      <c r="D830" s="201" t="n"/>
      <c r="E830" s="201" t="n"/>
      <c r="F830" s="201" t="n"/>
      <c r="G830" s="201" t="n"/>
      <c r="H830" s="201" t="n"/>
      <c r="I830" s="201" t="n"/>
      <c r="J830" s="201" t="n"/>
      <c r="K830" s="201" t="n"/>
      <c r="L830" s="201" t="n"/>
      <c r="M830" s="201" t="n"/>
      <c r="N830" s="201" t="n"/>
      <c r="O830" s="201" t="n"/>
      <c r="P830" s="201" t="n"/>
      <c r="Q830" s="201" t="n"/>
      <c r="R830" s="201" t="n"/>
    </row>
    <row r="831" ht="12.75" customHeight="1" s="202">
      <c r="A831" s="201" t="n"/>
      <c r="B831" s="201" t="n"/>
      <c r="C831" s="201" t="n"/>
      <c r="D831" s="201" t="n"/>
      <c r="E831" s="201" t="n"/>
      <c r="F831" s="201" t="n"/>
      <c r="G831" s="201" t="n"/>
      <c r="H831" s="201" t="n"/>
      <c r="I831" s="201" t="n"/>
      <c r="J831" s="201" t="n"/>
      <c r="K831" s="201" t="n"/>
      <c r="L831" s="201" t="n"/>
      <c r="M831" s="201" t="n"/>
      <c r="N831" s="201" t="n"/>
      <c r="O831" s="201" t="n"/>
      <c r="P831" s="201" t="n"/>
      <c r="Q831" s="201" t="n"/>
      <c r="R831" s="201" t="n"/>
    </row>
    <row r="832" ht="12.75" customHeight="1" s="202">
      <c r="A832" s="201" t="n"/>
      <c r="B832" s="201" t="n"/>
      <c r="C832" s="201" t="n"/>
      <c r="D832" s="201" t="n"/>
      <c r="E832" s="201" t="n"/>
      <c r="F832" s="201" t="n"/>
      <c r="G832" s="201" t="n"/>
      <c r="H832" s="201" t="n"/>
      <c r="I832" s="201" t="n"/>
      <c r="J832" s="201" t="n"/>
      <c r="K832" s="201" t="n"/>
      <c r="L832" s="201" t="n"/>
      <c r="M832" s="201" t="n"/>
      <c r="N832" s="201" t="n"/>
      <c r="O832" s="201" t="n"/>
      <c r="P832" s="201" t="n"/>
      <c r="Q832" s="201" t="n"/>
      <c r="R832" s="201" t="n"/>
    </row>
    <row r="833" ht="12.75" customHeight="1" s="202">
      <c r="A833" s="201" t="n"/>
      <c r="B833" s="201" t="n"/>
      <c r="C833" s="201" t="n"/>
      <c r="D833" s="201" t="n"/>
      <c r="E833" s="201" t="n"/>
      <c r="F833" s="201" t="n"/>
      <c r="G833" s="201" t="n"/>
      <c r="H833" s="201" t="n"/>
      <c r="I833" s="201" t="n"/>
      <c r="J833" s="201" t="n"/>
      <c r="K833" s="201" t="n"/>
      <c r="L833" s="201" t="n"/>
      <c r="M833" s="201" t="n"/>
      <c r="N833" s="201" t="n"/>
      <c r="O833" s="201" t="n"/>
      <c r="P833" s="201" t="n"/>
      <c r="Q833" s="201" t="n"/>
      <c r="R833" s="201" t="n"/>
    </row>
    <row r="834" ht="12.75" customHeight="1" s="202">
      <c r="A834" s="201" t="n"/>
      <c r="B834" s="201" t="n"/>
      <c r="C834" s="201" t="n"/>
      <c r="D834" s="201" t="n"/>
      <c r="E834" s="201" t="n"/>
      <c r="F834" s="201" t="n"/>
      <c r="G834" s="201" t="n"/>
      <c r="H834" s="201" t="n"/>
      <c r="I834" s="201" t="n"/>
      <c r="J834" s="201" t="n"/>
      <c r="K834" s="201" t="n"/>
      <c r="L834" s="201" t="n"/>
      <c r="M834" s="201" t="n"/>
      <c r="N834" s="201" t="n"/>
      <c r="O834" s="201" t="n"/>
      <c r="P834" s="201" t="n"/>
      <c r="Q834" s="201" t="n"/>
      <c r="R834" s="201" t="n"/>
    </row>
    <row r="835" ht="12.75" customHeight="1" s="202">
      <c r="A835" s="201" t="n"/>
      <c r="B835" s="201" t="n"/>
      <c r="C835" s="201" t="n"/>
      <c r="D835" s="201" t="n"/>
      <c r="E835" s="201" t="n"/>
      <c r="F835" s="201" t="n"/>
      <c r="G835" s="201" t="n"/>
      <c r="H835" s="201" t="n"/>
      <c r="I835" s="201" t="n"/>
      <c r="J835" s="201" t="n"/>
      <c r="K835" s="201" t="n"/>
      <c r="L835" s="201" t="n"/>
      <c r="M835" s="201" t="n"/>
      <c r="N835" s="201" t="n"/>
      <c r="O835" s="201" t="n"/>
      <c r="P835" s="201" t="n"/>
      <c r="Q835" s="201" t="n"/>
      <c r="R835" s="201" t="n"/>
    </row>
    <row r="836" ht="12.75" customHeight="1" s="202">
      <c r="A836" s="201" t="n"/>
      <c r="B836" s="201" t="n"/>
      <c r="C836" s="201" t="n"/>
      <c r="D836" s="201" t="n"/>
      <c r="E836" s="201" t="n"/>
      <c r="F836" s="201" t="n"/>
      <c r="G836" s="201" t="n"/>
      <c r="H836" s="201" t="n"/>
      <c r="I836" s="201" t="n"/>
      <c r="J836" s="201" t="n"/>
      <c r="K836" s="201" t="n"/>
      <c r="L836" s="201" t="n"/>
      <c r="M836" s="201" t="n"/>
      <c r="N836" s="201" t="n"/>
      <c r="O836" s="201" t="n"/>
      <c r="P836" s="201" t="n"/>
      <c r="Q836" s="201" t="n"/>
      <c r="R836" s="201" t="n"/>
    </row>
    <row r="837" ht="12.75" customHeight="1" s="202">
      <c r="A837" s="201" t="n"/>
      <c r="B837" s="201" t="n"/>
      <c r="C837" s="201" t="n"/>
      <c r="D837" s="201" t="n"/>
      <c r="E837" s="201" t="n"/>
      <c r="F837" s="201" t="n"/>
      <c r="G837" s="201" t="n"/>
      <c r="H837" s="201" t="n"/>
      <c r="I837" s="201" t="n"/>
      <c r="J837" s="201" t="n"/>
      <c r="K837" s="201" t="n"/>
      <c r="L837" s="201" t="n"/>
      <c r="M837" s="201" t="n"/>
      <c r="N837" s="201" t="n"/>
      <c r="O837" s="201" t="n"/>
      <c r="P837" s="201" t="n"/>
      <c r="Q837" s="201" t="n"/>
      <c r="R837" s="201" t="n"/>
    </row>
    <row r="838" ht="12.75" customHeight="1" s="202">
      <c r="A838" s="201" t="n"/>
      <c r="B838" s="201" t="n"/>
      <c r="C838" s="201" t="n"/>
      <c r="D838" s="201" t="n"/>
      <c r="E838" s="201" t="n"/>
      <c r="F838" s="201" t="n"/>
      <c r="G838" s="201" t="n"/>
      <c r="H838" s="201" t="n"/>
      <c r="I838" s="201" t="n"/>
      <c r="J838" s="201" t="n"/>
      <c r="K838" s="201" t="n"/>
      <c r="L838" s="201" t="n"/>
      <c r="M838" s="201" t="n"/>
      <c r="N838" s="201" t="n"/>
      <c r="O838" s="201" t="n"/>
      <c r="P838" s="201" t="n"/>
      <c r="Q838" s="201" t="n"/>
      <c r="R838" s="201" t="n"/>
    </row>
    <row r="839" ht="12.75" customHeight="1" s="202">
      <c r="A839" s="201" t="n"/>
      <c r="B839" s="201" t="n"/>
      <c r="C839" s="201" t="n"/>
      <c r="D839" s="201" t="n"/>
      <c r="E839" s="201" t="n"/>
      <c r="F839" s="201" t="n"/>
      <c r="G839" s="201" t="n"/>
      <c r="H839" s="201" t="n"/>
      <c r="I839" s="201" t="n"/>
      <c r="J839" s="201" t="n"/>
      <c r="K839" s="201" t="n"/>
      <c r="L839" s="201" t="n"/>
      <c r="M839" s="201" t="n"/>
      <c r="N839" s="201" t="n"/>
      <c r="O839" s="201" t="n"/>
      <c r="P839" s="201" t="n"/>
      <c r="Q839" s="201" t="n"/>
      <c r="R839" s="201" t="n"/>
    </row>
    <row r="840" ht="12.75" customHeight="1" s="202">
      <c r="A840" s="201" t="n"/>
      <c r="B840" s="201" t="n"/>
      <c r="C840" s="201" t="n"/>
      <c r="D840" s="201" t="n"/>
      <c r="E840" s="201" t="n"/>
      <c r="F840" s="201" t="n"/>
      <c r="G840" s="201" t="n"/>
      <c r="H840" s="201" t="n"/>
      <c r="I840" s="201" t="n"/>
      <c r="J840" s="201" t="n"/>
      <c r="K840" s="201" t="n"/>
      <c r="L840" s="201" t="n"/>
      <c r="M840" s="201" t="n"/>
      <c r="N840" s="201" t="n"/>
      <c r="O840" s="201" t="n"/>
      <c r="P840" s="201" t="n"/>
      <c r="Q840" s="201" t="n"/>
      <c r="R840" s="201" t="n"/>
    </row>
    <row r="841" ht="12.75" customHeight="1" s="202">
      <c r="A841" s="201" t="n"/>
      <c r="B841" s="201" t="n"/>
      <c r="C841" s="201" t="n"/>
      <c r="D841" s="201" t="n"/>
      <c r="E841" s="201" t="n"/>
      <c r="F841" s="201" t="n"/>
      <c r="G841" s="201" t="n"/>
      <c r="H841" s="201" t="n"/>
      <c r="I841" s="201" t="n"/>
      <c r="J841" s="201" t="n"/>
      <c r="K841" s="201" t="n"/>
      <c r="L841" s="201" t="n"/>
      <c r="M841" s="201" t="n"/>
      <c r="N841" s="201" t="n"/>
      <c r="O841" s="201" t="n"/>
      <c r="P841" s="201" t="n"/>
      <c r="Q841" s="201" t="n"/>
      <c r="R841" s="201" t="n"/>
    </row>
    <row r="842" ht="12.75" customHeight="1" s="202">
      <c r="A842" s="201" t="n"/>
      <c r="B842" s="201" t="n"/>
      <c r="C842" s="201" t="n"/>
      <c r="D842" s="201" t="n"/>
      <c r="E842" s="201" t="n"/>
      <c r="F842" s="201" t="n"/>
      <c r="G842" s="201" t="n"/>
      <c r="H842" s="201" t="n"/>
      <c r="I842" s="201" t="n"/>
      <c r="J842" s="201" t="n"/>
      <c r="K842" s="201" t="n"/>
      <c r="L842" s="201" t="n"/>
      <c r="M842" s="201" t="n"/>
      <c r="N842" s="201" t="n"/>
      <c r="O842" s="201" t="n"/>
      <c r="P842" s="201" t="n"/>
      <c r="Q842" s="201" t="n"/>
      <c r="R842" s="201" t="n"/>
    </row>
    <row r="843" ht="12.75" customHeight="1" s="202">
      <c r="A843" s="201" t="n"/>
      <c r="B843" s="201" t="n"/>
      <c r="C843" s="201" t="n"/>
      <c r="D843" s="201" t="n"/>
      <c r="E843" s="201" t="n"/>
      <c r="F843" s="201" t="n"/>
      <c r="G843" s="201" t="n"/>
      <c r="H843" s="201" t="n"/>
      <c r="I843" s="201" t="n"/>
      <c r="J843" s="201" t="n"/>
      <c r="K843" s="201" t="n"/>
      <c r="L843" s="201" t="n"/>
      <c r="M843" s="201" t="n"/>
      <c r="N843" s="201" t="n"/>
      <c r="O843" s="201" t="n"/>
      <c r="P843" s="201" t="n"/>
      <c r="Q843" s="201" t="n"/>
      <c r="R843" s="201" t="n"/>
    </row>
    <row r="844" ht="12.75" customHeight="1" s="202">
      <c r="A844" s="201" t="n"/>
      <c r="B844" s="201" t="n"/>
      <c r="C844" s="201" t="n"/>
      <c r="D844" s="201" t="n"/>
      <c r="E844" s="201" t="n"/>
      <c r="F844" s="201" t="n"/>
      <c r="G844" s="201" t="n"/>
      <c r="H844" s="201" t="n"/>
      <c r="I844" s="201" t="n"/>
      <c r="J844" s="201" t="n"/>
      <c r="K844" s="201" t="n"/>
      <c r="L844" s="201" t="n"/>
      <c r="M844" s="201" t="n"/>
      <c r="N844" s="201" t="n"/>
      <c r="O844" s="201" t="n"/>
      <c r="P844" s="201" t="n"/>
      <c r="Q844" s="201" t="n"/>
      <c r="R844" s="201" t="n"/>
    </row>
    <row r="845" ht="12.75" customHeight="1" s="202">
      <c r="A845" s="201" t="n"/>
      <c r="B845" s="201" t="n"/>
      <c r="C845" s="201" t="n"/>
      <c r="D845" s="201" t="n"/>
      <c r="E845" s="201" t="n"/>
      <c r="F845" s="201" t="n"/>
      <c r="G845" s="201" t="n"/>
      <c r="H845" s="201" t="n"/>
      <c r="I845" s="201" t="n"/>
      <c r="J845" s="201" t="n"/>
      <c r="K845" s="201" t="n"/>
      <c r="L845" s="201" t="n"/>
      <c r="M845" s="201" t="n"/>
      <c r="N845" s="201" t="n"/>
      <c r="O845" s="201" t="n"/>
      <c r="P845" s="201" t="n"/>
      <c r="Q845" s="201" t="n"/>
      <c r="R845" s="201" t="n"/>
    </row>
    <row r="846" ht="12.75" customHeight="1" s="202">
      <c r="A846" s="201" t="n"/>
      <c r="B846" s="201" t="n"/>
      <c r="C846" s="201" t="n"/>
      <c r="D846" s="201" t="n"/>
      <c r="E846" s="201" t="n"/>
      <c r="F846" s="201" t="n"/>
      <c r="G846" s="201" t="n"/>
      <c r="H846" s="201" t="n"/>
      <c r="I846" s="201" t="n"/>
      <c r="J846" s="201" t="n"/>
      <c r="K846" s="201" t="n"/>
      <c r="L846" s="201" t="n"/>
      <c r="M846" s="201" t="n"/>
      <c r="N846" s="201" t="n"/>
      <c r="O846" s="201" t="n"/>
      <c r="P846" s="201" t="n"/>
      <c r="Q846" s="201" t="n"/>
      <c r="R846" s="201" t="n"/>
    </row>
    <row r="847" ht="12.75" customHeight="1" s="202">
      <c r="A847" s="201" t="n"/>
      <c r="B847" s="201" t="n"/>
      <c r="C847" s="201" t="n"/>
      <c r="D847" s="201" t="n"/>
      <c r="E847" s="201" t="n"/>
      <c r="F847" s="201" t="n"/>
      <c r="G847" s="201" t="n"/>
      <c r="H847" s="201" t="n"/>
      <c r="I847" s="201" t="n"/>
      <c r="J847" s="201" t="n"/>
      <c r="K847" s="201" t="n"/>
      <c r="L847" s="201" t="n"/>
      <c r="M847" s="201" t="n"/>
      <c r="N847" s="201" t="n"/>
      <c r="O847" s="201" t="n"/>
      <c r="P847" s="201" t="n"/>
      <c r="Q847" s="201" t="n"/>
      <c r="R847" s="201" t="n"/>
    </row>
    <row r="848" ht="12.75" customHeight="1" s="202">
      <c r="A848" s="201" t="n"/>
      <c r="B848" s="201" t="n"/>
      <c r="C848" s="201" t="n"/>
      <c r="D848" s="201" t="n"/>
      <c r="E848" s="201" t="n"/>
      <c r="F848" s="201" t="n"/>
      <c r="G848" s="201" t="n"/>
      <c r="H848" s="201" t="n"/>
      <c r="I848" s="201" t="n"/>
      <c r="J848" s="201" t="n"/>
      <c r="K848" s="201" t="n"/>
      <c r="L848" s="201" t="n"/>
      <c r="M848" s="201" t="n"/>
      <c r="N848" s="201" t="n"/>
      <c r="O848" s="201" t="n"/>
      <c r="P848" s="201" t="n"/>
      <c r="Q848" s="201" t="n"/>
      <c r="R848" s="201" t="n"/>
    </row>
    <row r="849" ht="12.75" customHeight="1" s="202">
      <c r="A849" s="201" t="n"/>
      <c r="B849" s="201" t="n"/>
      <c r="C849" s="201" t="n"/>
      <c r="D849" s="201" t="n"/>
      <c r="E849" s="201" t="n"/>
      <c r="F849" s="201" t="n"/>
      <c r="G849" s="201" t="n"/>
      <c r="H849" s="201" t="n"/>
      <c r="I849" s="201" t="n"/>
      <c r="J849" s="201" t="n"/>
      <c r="K849" s="201" t="n"/>
      <c r="L849" s="201" t="n"/>
      <c r="M849" s="201" t="n"/>
      <c r="N849" s="201" t="n"/>
      <c r="O849" s="201" t="n"/>
      <c r="P849" s="201" t="n"/>
      <c r="Q849" s="201" t="n"/>
      <c r="R849" s="201" t="n"/>
    </row>
    <row r="850" ht="12.75" customHeight="1" s="202">
      <c r="A850" s="201" t="n"/>
      <c r="B850" s="201" t="n"/>
      <c r="C850" s="201" t="n"/>
      <c r="D850" s="201" t="n"/>
      <c r="E850" s="201" t="n"/>
      <c r="F850" s="201" t="n"/>
      <c r="G850" s="201" t="n"/>
      <c r="H850" s="201" t="n"/>
      <c r="I850" s="201" t="n"/>
      <c r="J850" s="201" t="n"/>
      <c r="K850" s="201" t="n"/>
      <c r="L850" s="201" t="n"/>
      <c r="M850" s="201" t="n"/>
      <c r="N850" s="201" t="n"/>
      <c r="O850" s="201" t="n"/>
      <c r="P850" s="201" t="n"/>
      <c r="Q850" s="201" t="n"/>
      <c r="R850" s="201" t="n"/>
    </row>
    <row r="851" ht="12.75" customHeight="1" s="202">
      <c r="A851" s="201" t="n"/>
      <c r="B851" s="201" t="n"/>
      <c r="C851" s="201" t="n"/>
      <c r="D851" s="201" t="n"/>
      <c r="E851" s="201" t="n"/>
      <c r="F851" s="201" t="n"/>
      <c r="G851" s="201" t="n"/>
      <c r="H851" s="201" t="n"/>
      <c r="I851" s="201" t="n"/>
      <c r="J851" s="201" t="n"/>
      <c r="K851" s="201" t="n"/>
      <c r="L851" s="201" t="n"/>
      <c r="M851" s="201" t="n"/>
      <c r="N851" s="201" t="n"/>
      <c r="O851" s="201" t="n"/>
      <c r="P851" s="201" t="n"/>
      <c r="Q851" s="201" t="n"/>
      <c r="R851" s="201" t="n"/>
    </row>
    <row r="852" ht="12.75" customHeight="1" s="202">
      <c r="A852" s="201" t="n"/>
      <c r="B852" s="201" t="n"/>
      <c r="C852" s="201" t="n"/>
      <c r="D852" s="201" t="n"/>
      <c r="E852" s="201" t="n"/>
      <c r="F852" s="201" t="n"/>
      <c r="G852" s="201" t="n"/>
      <c r="H852" s="201" t="n"/>
      <c r="I852" s="201" t="n"/>
      <c r="J852" s="201" t="n"/>
      <c r="K852" s="201" t="n"/>
      <c r="L852" s="201" t="n"/>
      <c r="M852" s="201" t="n"/>
      <c r="N852" s="201" t="n"/>
      <c r="O852" s="201" t="n"/>
      <c r="P852" s="201" t="n"/>
      <c r="Q852" s="201" t="n"/>
      <c r="R852" s="201" t="n"/>
    </row>
    <row r="853" ht="12.75" customHeight="1" s="202">
      <c r="A853" s="201" t="n"/>
      <c r="B853" s="201" t="n"/>
      <c r="C853" s="201" t="n"/>
      <c r="D853" s="201" t="n"/>
      <c r="E853" s="201" t="n"/>
      <c r="F853" s="201" t="n"/>
      <c r="G853" s="201" t="n"/>
      <c r="H853" s="201" t="n"/>
      <c r="I853" s="201" t="n"/>
      <c r="J853" s="201" t="n"/>
      <c r="K853" s="201" t="n"/>
      <c r="L853" s="201" t="n"/>
      <c r="M853" s="201" t="n"/>
      <c r="N853" s="201" t="n"/>
      <c r="O853" s="201" t="n"/>
      <c r="P853" s="201" t="n"/>
      <c r="Q853" s="201" t="n"/>
      <c r="R853" s="201" t="n"/>
    </row>
    <row r="854" ht="12.75" customHeight="1" s="202">
      <c r="A854" s="201" t="n"/>
      <c r="B854" s="201" t="n"/>
      <c r="C854" s="201" t="n"/>
      <c r="D854" s="201" t="n"/>
      <c r="E854" s="201" t="n"/>
      <c r="F854" s="201" t="n"/>
      <c r="G854" s="201" t="n"/>
      <c r="H854" s="201" t="n"/>
      <c r="I854" s="201" t="n"/>
      <c r="J854" s="201" t="n"/>
      <c r="K854" s="201" t="n"/>
      <c r="L854" s="201" t="n"/>
      <c r="M854" s="201" t="n"/>
      <c r="N854" s="201" t="n"/>
      <c r="O854" s="201" t="n"/>
      <c r="P854" s="201" t="n"/>
      <c r="Q854" s="201" t="n"/>
      <c r="R854" s="201" t="n"/>
    </row>
    <row r="855" ht="12.75" customHeight="1" s="202">
      <c r="A855" s="201" t="n"/>
      <c r="B855" s="201" t="n"/>
      <c r="C855" s="201" t="n"/>
      <c r="D855" s="201" t="n"/>
      <c r="E855" s="201" t="n"/>
      <c r="F855" s="201" t="n"/>
      <c r="G855" s="201" t="n"/>
      <c r="H855" s="201" t="n"/>
      <c r="I855" s="201" t="n"/>
      <c r="J855" s="201" t="n"/>
      <c r="K855" s="201" t="n"/>
      <c r="L855" s="201" t="n"/>
      <c r="M855" s="201" t="n"/>
      <c r="N855" s="201" t="n"/>
      <c r="O855" s="201" t="n"/>
      <c r="P855" s="201" t="n"/>
      <c r="Q855" s="201" t="n"/>
      <c r="R855" s="201" t="n"/>
    </row>
    <row r="856" ht="12.75" customHeight="1" s="202">
      <c r="A856" s="201" t="n"/>
      <c r="B856" s="201" t="n"/>
      <c r="C856" s="201" t="n"/>
      <c r="D856" s="201" t="n"/>
      <c r="E856" s="201" t="n"/>
      <c r="F856" s="201" t="n"/>
      <c r="G856" s="201" t="n"/>
      <c r="H856" s="201" t="n"/>
      <c r="I856" s="201" t="n"/>
      <c r="J856" s="201" t="n"/>
      <c r="K856" s="201" t="n"/>
      <c r="L856" s="201" t="n"/>
      <c r="M856" s="201" t="n"/>
      <c r="N856" s="201" t="n"/>
      <c r="O856" s="201" t="n"/>
      <c r="P856" s="201" t="n"/>
      <c r="Q856" s="201" t="n"/>
      <c r="R856" s="201" t="n"/>
    </row>
    <row r="857" ht="12.75" customHeight="1" s="202">
      <c r="A857" s="201" t="n"/>
      <c r="B857" s="201" t="n"/>
      <c r="C857" s="201" t="n"/>
      <c r="D857" s="201" t="n"/>
      <c r="E857" s="201" t="n"/>
      <c r="F857" s="201" t="n"/>
      <c r="G857" s="201" t="n"/>
      <c r="H857" s="201" t="n"/>
      <c r="I857" s="201" t="n"/>
      <c r="J857" s="201" t="n"/>
      <c r="K857" s="201" t="n"/>
      <c r="L857" s="201" t="n"/>
      <c r="M857" s="201" t="n"/>
      <c r="N857" s="201" t="n"/>
      <c r="O857" s="201" t="n"/>
      <c r="P857" s="201" t="n"/>
      <c r="Q857" s="201" t="n"/>
      <c r="R857" s="201" t="n"/>
    </row>
    <row r="858" ht="12.75" customHeight="1" s="202">
      <c r="A858" s="201" t="n"/>
      <c r="B858" s="201" t="n"/>
      <c r="C858" s="201" t="n"/>
      <c r="D858" s="201" t="n"/>
      <c r="E858" s="201" t="n"/>
      <c r="F858" s="201" t="n"/>
      <c r="G858" s="201" t="n"/>
      <c r="H858" s="201" t="n"/>
      <c r="I858" s="201" t="n"/>
      <c r="J858" s="201" t="n"/>
      <c r="K858" s="201" t="n"/>
      <c r="L858" s="201" t="n"/>
      <c r="M858" s="201" t="n"/>
      <c r="N858" s="201" t="n"/>
      <c r="O858" s="201" t="n"/>
      <c r="P858" s="201" t="n"/>
      <c r="Q858" s="201" t="n"/>
      <c r="R858" s="201" t="n"/>
    </row>
    <row r="859" ht="12.75" customHeight="1" s="202">
      <c r="A859" s="201" t="n"/>
      <c r="B859" s="201" t="n"/>
      <c r="C859" s="201" t="n"/>
      <c r="D859" s="201" t="n"/>
      <c r="E859" s="201" t="n"/>
      <c r="F859" s="201" t="n"/>
      <c r="G859" s="201" t="n"/>
      <c r="H859" s="201" t="n"/>
      <c r="I859" s="201" t="n"/>
      <c r="J859" s="201" t="n"/>
      <c r="K859" s="201" t="n"/>
      <c r="L859" s="201" t="n"/>
      <c r="M859" s="201" t="n"/>
      <c r="N859" s="201" t="n"/>
      <c r="O859" s="201" t="n"/>
      <c r="P859" s="201" t="n"/>
      <c r="Q859" s="201" t="n"/>
      <c r="R859" s="201" t="n"/>
    </row>
    <row r="860" ht="12.75" customHeight="1" s="202">
      <c r="A860" s="201" t="n"/>
      <c r="B860" s="201" t="n"/>
      <c r="C860" s="201" t="n"/>
      <c r="D860" s="201" t="n"/>
      <c r="E860" s="201" t="n"/>
      <c r="F860" s="201" t="n"/>
      <c r="G860" s="201" t="n"/>
      <c r="H860" s="201" t="n"/>
      <c r="I860" s="201" t="n"/>
      <c r="J860" s="201" t="n"/>
      <c r="K860" s="201" t="n"/>
      <c r="L860" s="201" t="n"/>
      <c r="M860" s="201" t="n"/>
      <c r="N860" s="201" t="n"/>
      <c r="O860" s="201" t="n"/>
      <c r="P860" s="201" t="n"/>
      <c r="Q860" s="201" t="n"/>
      <c r="R860" s="201" t="n"/>
    </row>
    <row r="861" ht="12.75" customHeight="1" s="202">
      <c r="A861" s="201" t="n"/>
      <c r="B861" s="201" t="n"/>
      <c r="C861" s="201" t="n"/>
      <c r="D861" s="201" t="n"/>
      <c r="E861" s="201" t="n"/>
      <c r="F861" s="201" t="n"/>
      <c r="G861" s="201" t="n"/>
      <c r="H861" s="201" t="n"/>
      <c r="I861" s="201" t="n"/>
      <c r="J861" s="201" t="n"/>
      <c r="K861" s="201" t="n"/>
      <c r="L861" s="201" t="n"/>
      <c r="M861" s="201" t="n"/>
      <c r="N861" s="201" t="n"/>
      <c r="O861" s="201" t="n"/>
      <c r="P861" s="201" t="n"/>
      <c r="Q861" s="201" t="n"/>
      <c r="R861" s="201" t="n"/>
    </row>
    <row r="862" ht="12.75" customHeight="1" s="202">
      <c r="A862" s="201" t="n"/>
      <c r="B862" s="201" t="n"/>
      <c r="C862" s="201" t="n"/>
      <c r="D862" s="201" t="n"/>
      <c r="E862" s="201" t="n"/>
      <c r="F862" s="201" t="n"/>
      <c r="G862" s="201" t="n"/>
      <c r="H862" s="201" t="n"/>
      <c r="I862" s="201" t="n"/>
      <c r="J862" s="201" t="n"/>
      <c r="K862" s="201" t="n"/>
      <c r="L862" s="201" t="n"/>
      <c r="M862" s="201" t="n"/>
      <c r="N862" s="201" t="n"/>
      <c r="O862" s="201" t="n"/>
      <c r="P862" s="201" t="n"/>
      <c r="Q862" s="201" t="n"/>
      <c r="R862" s="201" t="n"/>
    </row>
    <row r="863" ht="12.75" customHeight="1" s="202">
      <c r="A863" s="201" t="n"/>
      <c r="B863" s="201" t="n"/>
      <c r="C863" s="201" t="n"/>
      <c r="D863" s="201" t="n"/>
      <c r="E863" s="201" t="n"/>
      <c r="F863" s="201" t="n"/>
      <c r="G863" s="201" t="n"/>
      <c r="H863" s="201" t="n"/>
      <c r="I863" s="201" t="n"/>
      <c r="J863" s="201" t="n"/>
      <c r="K863" s="201" t="n"/>
      <c r="L863" s="201" t="n"/>
      <c r="M863" s="201" t="n"/>
      <c r="N863" s="201" t="n"/>
      <c r="O863" s="201" t="n"/>
      <c r="P863" s="201" t="n"/>
      <c r="Q863" s="201" t="n"/>
      <c r="R863" s="201" t="n"/>
    </row>
    <row r="864" ht="12.75" customHeight="1" s="202">
      <c r="A864" s="201" t="n"/>
      <c r="B864" s="201" t="n"/>
      <c r="C864" s="201" t="n"/>
      <c r="D864" s="201" t="n"/>
      <c r="E864" s="201" t="n"/>
      <c r="F864" s="201" t="n"/>
      <c r="G864" s="201" t="n"/>
      <c r="H864" s="201" t="n"/>
      <c r="I864" s="201" t="n"/>
      <c r="J864" s="201" t="n"/>
      <c r="K864" s="201" t="n"/>
      <c r="L864" s="201" t="n"/>
      <c r="M864" s="201" t="n"/>
      <c r="N864" s="201" t="n"/>
      <c r="O864" s="201" t="n"/>
      <c r="P864" s="201" t="n"/>
      <c r="Q864" s="201" t="n"/>
      <c r="R864" s="201" t="n"/>
    </row>
    <row r="865" ht="12.75" customHeight="1" s="202">
      <c r="A865" s="201" t="n"/>
      <c r="B865" s="201" t="n"/>
      <c r="C865" s="201" t="n"/>
      <c r="D865" s="201" t="n"/>
      <c r="E865" s="201" t="n"/>
      <c r="F865" s="201" t="n"/>
      <c r="G865" s="201" t="n"/>
      <c r="H865" s="201" t="n"/>
      <c r="I865" s="201" t="n"/>
      <c r="J865" s="201" t="n"/>
      <c r="K865" s="201" t="n"/>
      <c r="L865" s="201" t="n"/>
      <c r="M865" s="201" t="n"/>
      <c r="N865" s="201" t="n"/>
      <c r="O865" s="201" t="n"/>
      <c r="P865" s="201" t="n"/>
      <c r="Q865" s="201" t="n"/>
      <c r="R865" s="201" t="n"/>
    </row>
    <row r="866" ht="12.75" customHeight="1" s="202">
      <c r="A866" s="201" t="n"/>
      <c r="B866" s="201" t="n"/>
      <c r="C866" s="201" t="n"/>
      <c r="D866" s="201" t="n"/>
      <c r="E866" s="201" t="n"/>
      <c r="F866" s="201" t="n"/>
      <c r="G866" s="201" t="n"/>
      <c r="H866" s="201" t="n"/>
      <c r="I866" s="201" t="n"/>
      <c r="J866" s="201" t="n"/>
      <c r="K866" s="201" t="n"/>
      <c r="L866" s="201" t="n"/>
      <c r="M866" s="201" t="n"/>
      <c r="N866" s="201" t="n"/>
      <c r="O866" s="201" t="n"/>
      <c r="P866" s="201" t="n"/>
      <c r="Q866" s="201" t="n"/>
      <c r="R866" s="201" t="n"/>
    </row>
    <row r="867" ht="12.75" customHeight="1" s="202">
      <c r="A867" s="201" t="n"/>
      <c r="B867" s="201" t="n"/>
      <c r="C867" s="201" t="n"/>
      <c r="D867" s="201" t="n"/>
      <c r="E867" s="201" t="n"/>
      <c r="F867" s="201" t="n"/>
      <c r="G867" s="201" t="n"/>
      <c r="H867" s="201" t="n"/>
      <c r="I867" s="201" t="n"/>
      <c r="J867" s="201" t="n"/>
      <c r="K867" s="201" t="n"/>
      <c r="L867" s="201" t="n"/>
      <c r="M867" s="201" t="n"/>
      <c r="N867" s="201" t="n"/>
      <c r="O867" s="201" t="n"/>
      <c r="P867" s="201" t="n"/>
      <c r="Q867" s="201" t="n"/>
      <c r="R867" s="201" t="n"/>
    </row>
    <row r="868" ht="12.75" customHeight="1" s="202">
      <c r="A868" s="201" t="n"/>
      <c r="B868" s="201" t="n"/>
      <c r="C868" s="201" t="n"/>
      <c r="D868" s="201" t="n"/>
      <c r="E868" s="201" t="n"/>
      <c r="F868" s="201" t="n"/>
      <c r="G868" s="201" t="n"/>
      <c r="H868" s="201" t="n"/>
      <c r="I868" s="201" t="n"/>
      <c r="J868" s="201" t="n"/>
      <c r="K868" s="201" t="n"/>
      <c r="L868" s="201" t="n"/>
      <c r="M868" s="201" t="n"/>
      <c r="N868" s="201" t="n"/>
      <c r="O868" s="201" t="n"/>
      <c r="P868" s="201" t="n"/>
      <c r="Q868" s="201" t="n"/>
      <c r="R868" s="201" t="n"/>
    </row>
    <row r="869" ht="12.75" customHeight="1" s="202">
      <c r="A869" s="201" t="n"/>
      <c r="B869" s="201" t="n"/>
      <c r="C869" s="201" t="n"/>
      <c r="D869" s="201" t="n"/>
      <c r="E869" s="201" t="n"/>
      <c r="F869" s="201" t="n"/>
      <c r="G869" s="201" t="n"/>
      <c r="H869" s="201" t="n"/>
      <c r="I869" s="201" t="n"/>
      <c r="J869" s="201" t="n"/>
      <c r="K869" s="201" t="n"/>
      <c r="L869" s="201" t="n"/>
      <c r="M869" s="201" t="n"/>
      <c r="N869" s="201" t="n"/>
      <c r="O869" s="201" t="n"/>
      <c r="P869" s="201" t="n"/>
      <c r="Q869" s="201" t="n"/>
      <c r="R869" s="201" t="n"/>
    </row>
    <row r="870" ht="12.75" customHeight="1" s="202">
      <c r="A870" s="201" t="n"/>
      <c r="B870" s="201" t="n"/>
      <c r="C870" s="201" t="n"/>
      <c r="D870" s="201" t="n"/>
      <c r="E870" s="201" t="n"/>
      <c r="F870" s="201" t="n"/>
      <c r="G870" s="201" t="n"/>
      <c r="H870" s="201" t="n"/>
      <c r="I870" s="201" t="n"/>
      <c r="J870" s="201" t="n"/>
      <c r="K870" s="201" t="n"/>
      <c r="L870" s="201" t="n"/>
      <c r="M870" s="201" t="n"/>
      <c r="N870" s="201" t="n"/>
      <c r="O870" s="201" t="n"/>
      <c r="P870" s="201" t="n"/>
      <c r="Q870" s="201" t="n"/>
      <c r="R870" s="201" t="n"/>
    </row>
    <row r="871" ht="12.75" customHeight="1" s="202">
      <c r="A871" s="201" t="n"/>
      <c r="B871" s="201" t="n"/>
      <c r="C871" s="201" t="n"/>
      <c r="D871" s="201" t="n"/>
      <c r="E871" s="201" t="n"/>
      <c r="F871" s="201" t="n"/>
      <c r="G871" s="201" t="n"/>
      <c r="H871" s="201" t="n"/>
      <c r="I871" s="201" t="n"/>
      <c r="J871" s="201" t="n"/>
      <c r="K871" s="201" t="n"/>
      <c r="L871" s="201" t="n"/>
      <c r="M871" s="201" t="n"/>
      <c r="N871" s="201" t="n"/>
      <c r="O871" s="201" t="n"/>
      <c r="P871" s="201" t="n"/>
      <c r="Q871" s="201" t="n"/>
      <c r="R871" s="201" t="n"/>
    </row>
    <row r="872" ht="12.75" customHeight="1" s="202">
      <c r="A872" s="201" t="n"/>
      <c r="B872" s="201" t="n"/>
      <c r="C872" s="201" t="n"/>
      <c r="D872" s="201" t="n"/>
      <c r="E872" s="201" t="n"/>
      <c r="F872" s="201" t="n"/>
      <c r="G872" s="201" t="n"/>
      <c r="H872" s="201" t="n"/>
      <c r="I872" s="201" t="n"/>
      <c r="J872" s="201" t="n"/>
      <c r="K872" s="201" t="n"/>
      <c r="L872" s="201" t="n"/>
      <c r="M872" s="201" t="n"/>
      <c r="N872" s="201" t="n"/>
      <c r="O872" s="201" t="n"/>
      <c r="P872" s="201" t="n"/>
      <c r="Q872" s="201" t="n"/>
      <c r="R872" s="201" t="n"/>
    </row>
    <row r="873" ht="12.75" customHeight="1" s="202">
      <c r="A873" s="201" t="n"/>
      <c r="B873" s="201" t="n"/>
      <c r="C873" s="201" t="n"/>
      <c r="D873" s="201" t="n"/>
      <c r="E873" s="201" t="n"/>
      <c r="F873" s="201" t="n"/>
      <c r="G873" s="201" t="n"/>
      <c r="H873" s="201" t="n"/>
      <c r="I873" s="201" t="n"/>
      <c r="J873" s="201" t="n"/>
      <c r="K873" s="201" t="n"/>
      <c r="L873" s="201" t="n"/>
      <c r="M873" s="201" t="n"/>
      <c r="N873" s="201" t="n"/>
      <c r="O873" s="201" t="n"/>
      <c r="P873" s="201" t="n"/>
      <c r="Q873" s="201" t="n"/>
      <c r="R873" s="201" t="n"/>
    </row>
    <row r="874" ht="12.75" customHeight="1" s="202">
      <c r="A874" s="201" t="n"/>
      <c r="B874" s="201" t="n"/>
      <c r="C874" s="201" t="n"/>
      <c r="D874" s="201" t="n"/>
      <c r="E874" s="201" t="n"/>
      <c r="F874" s="201" t="n"/>
      <c r="G874" s="201" t="n"/>
      <c r="H874" s="201" t="n"/>
      <c r="I874" s="201" t="n"/>
      <c r="J874" s="201" t="n"/>
      <c r="K874" s="201" t="n"/>
      <c r="L874" s="201" t="n"/>
      <c r="M874" s="201" t="n"/>
      <c r="N874" s="201" t="n"/>
      <c r="O874" s="201" t="n"/>
      <c r="P874" s="201" t="n"/>
      <c r="Q874" s="201" t="n"/>
      <c r="R874" s="201" t="n"/>
    </row>
    <row r="875" ht="12.75" customHeight="1" s="202">
      <c r="A875" s="201" t="n"/>
      <c r="B875" s="201" t="n"/>
      <c r="C875" s="201" t="n"/>
      <c r="D875" s="201" t="n"/>
      <c r="E875" s="201" t="n"/>
      <c r="F875" s="201" t="n"/>
      <c r="G875" s="201" t="n"/>
      <c r="H875" s="201" t="n"/>
      <c r="I875" s="201" t="n"/>
      <c r="J875" s="201" t="n"/>
      <c r="K875" s="201" t="n"/>
      <c r="L875" s="201" t="n"/>
      <c r="M875" s="201" t="n"/>
      <c r="N875" s="201" t="n"/>
      <c r="O875" s="201" t="n"/>
      <c r="P875" s="201" t="n"/>
      <c r="Q875" s="201" t="n"/>
      <c r="R875" s="201" t="n"/>
    </row>
    <row r="876" ht="12.75" customHeight="1" s="202">
      <c r="A876" s="201" t="n"/>
      <c r="B876" s="201" t="n"/>
      <c r="C876" s="201" t="n"/>
      <c r="D876" s="201" t="n"/>
      <c r="E876" s="201" t="n"/>
      <c r="F876" s="201" t="n"/>
      <c r="G876" s="201" t="n"/>
      <c r="H876" s="201" t="n"/>
      <c r="I876" s="201" t="n"/>
      <c r="J876" s="201" t="n"/>
      <c r="K876" s="201" t="n"/>
      <c r="L876" s="201" t="n"/>
      <c r="M876" s="201" t="n"/>
      <c r="N876" s="201" t="n"/>
      <c r="O876" s="201" t="n"/>
      <c r="P876" s="201" t="n"/>
      <c r="Q876" s="201" t="n"/>
      <c r="R876" s="201" t="n"/>
    </row>
    <row r="877" ht="12.75" customHeight="1" s="202">
      <c r="A877" s="201" t="n"/>
      <c r="B877" s="201" t="n"/>
      <c r="C877" s="201" t="n"/>
      <c r="D877" s="201" t="n"/>
      <c r="E877" s="201" t="n"/>
      <c r="F877" s="201" t="n"/>
      <c r="G877" s="201" t="n"/>
      <c r="H877" s="201" t="n"/>
      <c r="I877" s="201" t="n"/>
      <c r="J877" s="201" t="n"/>
      <c r="K877" s="201" t="n"/>
      <c r="L877" s="201" t="n"/>
      <c r="M877" s="201" t="n"/>
      <c r="N877" s="201" t="n"/>
      <c r="O877" s="201" t="n"/>
      <c r="P877" s="201" t="n"/>
      <c r="Q877" s="201" t="n"/>
      <c r="R877" s="201" t="n"/>
    </row>
    <row r="878" ht="12.75" customHeight="1" s="202">
      <c r="A878" s="201" t="n"/>
      <c r="B878" s="201" t="n"/>
      <c r="C878" s="201" t="n"/>
      <c r="D878" s="201" t="n"/>
      <c r="E878" s="201" t="n"/>
      <c r="F878" s="201" t="n"/>
      <c r="G878" s="201" t="n"/>
      <c r="H878" s="201" t="n"/>
      <c r="I878" s="201" t="n"/>
      <c r="J878" s="201" t="n"/>
      <c r="K878" s="201" t="n"/>
      <c r="L878" s="201" t="n"/>
      <c r="M878" s="201" t="n"/>
      <c r="N878" s="201" t="n"/>
      <c r="O878" s="201" t="n"/>
      <c r="P878" s="201" t="n"/>
      <c r="Q878" s="201" t="n"/>
      <c r="R878" s="201" t="n"/>
    </row>
    <row r="879" ht="12.75" customHeight="1" s="202">
      <c r="A879" s="201" t="n"/>
      <c r="B879" s="201" t="n"/>
      <c r="C879" s="201" t="n"/>
      <c r="D879" s="201" t="n"/>
      <c r="E879" s="201" t="n"/>
      <c r="F879" s="201" t="n"/>
      <c r="G879" s="201" t="n"/>
      <c r="H879" s="201" t="n"/>
      <c r="I879" s="201" t="n"/>
      <c r="J879" s="201" t="n"/>
      <c r="K879" s="201" t="n"/>
      <c r="L879" s="201" t="n"/>
      <c r="M879" s="201" t="n"/>
      <c r="N879" s="201" t="n"/>
      <c r="O879" s="201" t="n"/>
      <c r="P879" s="201" t="n"/>
      <c r="Q879" s="201" t="n"/>
      <c r="R879" s="201" t="n"/>
    </row>
    <row r="880" ht="12.75" customHeight="1" s="202">
      <c r="A880" s="201" t="n"/>
      <c r="B880" s="201" t="n"/>
      <c r="C880" s="201" t="n"/>
      <c r="D880" s="201" t="n"/>
      <c r="E880" s="201" t="n"/>
      <c r="F880" s="201" t="n"/>
      <c r="G880" s="201" t="n"/>
      <c r="H880" s="201" t="n"/>
      <c r="I880" s="201" t="n"/>
      <c r="J880" s="201" t="n"/>
      <c r="K880" s="201" t="n"/>
      <c r="L880" s="201" t="n"/>
      <c r="M880" s="201" t="n"/>
      <c r="N880" s="201" t="n"/>
      <c r="O880" s="201" t="n"/>
      <c r="P880" s="201" t="n"/>
      <c r="Q880" s="201" t="n"/>
      <c r="R880" s="201" t="n"/>
    </row>
    <row r="881" ht="12.75" customHeight="1" s="202">
      <c r="A881" s="201" t="n"/>
      <c r="B881" s="201" t="n"/>
      <c r="C881" s="201" t="n"/>
      <c r="D881" s="201" t="n"/>
      <c r="E881" s="201" t="n"/>
      <c r="F881" s="201" t="n"/>
      <c r="G881" s="201" t="n"/>
      <c r="H881" s="201" t="n"/>
      <c r="I881" s="201" t="n"/>
      <c r="J881" s="201" t="n"/>
      <c r="K881" s="201" t="n"/>
      <c r="L881" s="201" t="n"/>
      <c r="M881" s="201" t="n"/>
      <c r="N881" s="201" t="n"/>
      <c r="O881" s="201" t="n"/>
      <c r="P881" s="201" t="n"/>
      <c r="Q881" s="201" t="n"/>
      <c r="R881" s="201" t="n"/>
    </row>
    <row r="882" ht="12.75" customHeight="1" s="202">
      <c r="A882" s="201" t="n"/>
      <c r="B882" s="201" t="n"/>
      <c r="C882" s="201" t="n"/>
      <c r="D882" s="201" t="n"/>
      <c r="E882" s="201" t="n"/>
      <c r="F882" s="201" t="n"/>
      <c r="G882" s="201" t="n"/>
      <c r="H882" s="201" t="n"/>
      <c r="I882" s="201" t="n"/>
      <c r="J882" s="201" t="n"/>
      <c r="K882" s="201" t="n"/>
      <c r="L882" s="201" t="n"/>
      <c r="M882" s="201" t="n"/>
      <c r="N882" s="201" t="n"/>
      <c r="O882" s="201" t="n"/>
      <c r="P882" s="201" t="n"/>
      <c r="Q882" s="201" t="n"/>
      <c r="R882" s="201" t="n"/>
    </row>
    <row r="883" ht="12.75" customHeight="1" s="202">
      <c r="A883" s="201" t="n"/>
      <c r="B883" s="201" t="n"/>
      <c r="C883" s="201" t="n"/>
      <c r="D883" s="201" t="n"/>
      <c r="E883" s="201" t="n"/>
      <c r="F883" s="201" t="n"/>
      <c r="G883" s="201" t="n"/>
      <c r="H883" s="201" t="n"/>
      <c r="I883" s="201" t="n"/>
      <c r="J883" s="201" t="n"/>
      <c r="K883" s="201" t="n"/>
      <c r="L883" s="201" t="n"/>
      <c r="M883" s="201" t="n"/>
      <c r="N883" s="201" t="n"/>
      <c r="O883" s="201" t="n"/>
      <c r="P883" s="201" t="n"/>
      <c r="Q883" s="201" t="n"/>
      <c r="R883" s="201" t="n"/>
    </row>
    <row r="884" ht="12.75" customHeight="1" s="202">
      <c r="A884" s="201" t="n"/>
      <c r="B884" s="201" t="n"/>
      <c r="C884" s="201" t="n"/>
      <c r="D884" s="201" t="n"/>
      <c r="E884" s="201" t="n"/>
      <c r="F884" s="201" t="n"/>
      <c r="G884" s="201" t="n"/>
      <c r="H884" s="201" t="n"/>
      <c r="I884" s="201" t="n"/>
      <c r="J884" s="201" t="n"/>
      <c r="K884" s="201" t="n"/>
      <c r="L884" s="201" t="n"/>
      <c r="M884" s="201" t="n"/>
      <c r="N884" s="201" t="n"/>
      <c r="O884" s="201" t="n"/>
      <c r="P884" s="201" t="n"/>
      <c r="Q884" s="201" t="n"/>
      <c r="R884" s="201" t="n"/>
    </row>
    <row r="885" ht="12.75" customHeight="1" s="202">
      <c r="A885" s="201" t="n"/>
      <c r="B885" s="201" t="n"/>
      <c r="C885" s="201" t="n"/>
      <c r="D885" s="201" t="n"/>
      <c r="E885" s="201" t="n"/>
      <c r="F885" s="201" t="n"/>
      <c r="G885" s="201" t="n"/>
      <c r="H885" s="201" t="n"/>
      <c r="I885" s="201" t="n"/>
      <c r="J885" s="201" t="n"/>
      <c r="K885" s="201" t="n"/>
      <c r="L885" s="201" t="n"/>
      <c r="M885" s="201" t="n"/>
      <c r="N885" s="201" t="n"/>
      <c r="O885" s="201" t="n"/>
      <c r="P885" s="201" t="n"/>
      <c r="Q885" s="201" t="n"/>
      <c r="R885" s="201" t="n"/>
    </row>
    <row r="886" ht="12.75" customHeight="1" s="202">
      <c r="A886" s="201" t="n"/>
      <c r="B886" s="201" t="n"/>
      <c r="C886" s="201" t="n"/>
      <c r="D886" s="201" t="n"/>
      <c r="E886" s="201" t="n"/>
      <c r="F886" s="201" t="n"/>
      <c r="G886" s="201" t="n"/>
      <c r="H886" s="201" t="n"/>
      <c r="I886" s="201" t="n"/>
      <c r="J886" s="201" t="n"/>
      <c r="K886" s="201" t="n"/>
      <c r="L886" s="201" t="n"/>
      <c r="M886" s="201" t="n"/>
      <c r="N886" s="201" t="n"/>
      <c r="O886" s="201" t="n"/>
      <c r="P886" s="201" t="n"/>
      <c r="Q886" s="201" t="n"/>
      <c r="R886" s="201" t="n"/>
    </row>
    <row r="887" ht="12.75" customHeight="1" s="202">
      <c r="A887" s="201" t="n"/>
      <c r="B887" s="201" t="n"/>
      <c r="C887" s="201" t="n"/>
      <c r="D887" s="201" t="n"/>
      <c r="E887" s="201" t="n"/>
      <c r="F887" s="201" t="n"/>
      <c r="G887" s="201" t="n"/>
      <c r="H887" s="201" t="n"/>
      <c r="I887" s="201" t="n"/>
      <c r="J887" s="201" t="n"/>
      <c r="K887" s="201" t="n"/>
      <c r="L887" s="201" t="n"/>
      <c r="M887" s="201" t="n"/>
      <c r="N887" s="201" t="n"/>
      <c r="O887" s="201" t="n"/>
      <c r="P887" s="201" t="n"/>
      <c r="Q887" s="201" t="n"/>
      <c r="R887" s="201" t="n"/>
    </row>
    <row r="888" ht="12.75" customHeight="1" s="202">
      <c r="A888" s="201" t="n"/>
      <c r="B888" s="201" t="n"/>
      <c r="C888" s="201" t="n"/>
      <c r="D888" s="201" t="n"/>
      <c r="E888" s="201" t="n"/>
      <c r="F888" s="201" t="n"/>
      <c r="G888" s="201" t="n"/>
      <c r="H888" s="201" t="n"/>
      <c r="I888" s="201" t="n"/>
      <c r="J888" s="201" t="n"/>
      <c r="K888" s="201" t="n"/>
      <c r="L888" s="201" t="n"/>
      <c r="M888" s="201" t="n"/>
      <c r="N888" s="201" t="n"/>
      <c r="O888" s="201" t="n"/>
      <c r="P888" s="201" t="n"/>
      <c r="Q888" s="201" t="n"/>
      <c r="R888" s="201" t="n"/>
    </row>
    <row r="889" ht="12.75" customHeight="1" s="202">
      <c r="A889" s="201" t="n"/>
      <c r="B889" s="201" t="n"/>
      <c r="C889" s="201" t="n"/>
      <c r="D889" s="201" t="n"/>
      <c r="E889" s="201" t="n"/>
      <c r="F889" s="201" t="n"/>
      <c r="G889" s="201" t="n"/>
      <c r="H889" s="201" t="n"/>
      <c r="I889" s="201" t="n"/>
      <c r="J889" s="201" t="n"/>
      <c r="K889" s="201" t="n"/>
      <c r="L889" s="201" t="n"/>
      <c r="M889" s="201" t="n"/>
      <c r="N889" s="201" t="n"/>
      <c r="O889" s="201" t="n"/>
      <c r="P889" s="201" t="n"/>
      <c r="Q889" s="201" t="n"/>
      <c r="R889" s="201" t="n"/>
    </row>
    <row r="890" ht="12.75" customHeight="1" s="202">
      <c r="A890" s="201" t="n"/>
      <c r="B890" s="201" t="n"/>
      <c r="C890" s="201" t="n"/>
      <c r="D890" s="201" t="n"/>
      <c r="E890" s="201" t="n"/>
      <c r="F890" s="201" t="n"/>
      <c r="G890" s="201" t="n"/>
      <c r="H890" s="201" t="n"/>
      <c r="I890" s="201" t="n"/>
      <c r="J890" s="201" t="n"/>
      <c r="K890" s="201" t="n"/>
      <c r="L890" s="201" t="n"/>
      <c r="M890" s="201" t="n"/>
      <c r="N890" s="201" t="n"/>
      <c r="O890" s="201" t="n"/>
      <c r="P890" s="201" t="n"/>
      <c r="Q890" s="201" t="n"/>
      <c r="R890" s="201" t="n"/>
    </row>
    <row r="891" ht="12.75" customHeight="1" s="202">
      <c r="A891" s="201" t="n"/>
      <c r="B891" s="201" t="n"/>
      <c r="C891" s="201" t="n"/>
      <c r="D891" s="201" t="n"/>
      <c r="E891" s="201" t="n"/>
      <c r="F891" s="201" t="n"/>
      <c r="G891" s="201" t="n"/>
      <c r="H891" s="201" t="n"/>
      <c r="I891" s="201" t="n"/>
      <c r="J891" s="201" t="n"/>
      <c r="K891" s="201" t="n"/>
      <c r="L891" s="201" t="n"/>
      <c r="M891" s="201" t="n"/>
      <c r="N891" s="201" t="n"/>
      <c r="O891" s="201" t="n"/>
      <c r="P891" s="201" t="n"/>
      <c r="Q891" s="201" t="n"/>
      <c r="R891" s="201" t="n"/>
    </row>
    <row r="892" ht="12.75" customHeight="1" s="202">
      <c r="A892" s="201" t="n"/>
      <c r="B892" s="201" t="n"/>
      <c r="C892" s="201" t="n"/>
      <c r="D892" s="201" t="n"/>
      <c r="E892" s="201" t="n"/>
      <c r="F892" s="201" t="n"/>
      <c r="G892" s="201" t="n"/>
      <c r="H892" s="201" t="n"/>
      <c r="I892" s="201" t="n"/>
      <c r="J892" s="201" t="n"/>
      <c r="K892" s="201" t="n"/>
      <c r="L892" s="201" t="n"/>
      <c r="M892" s="201" t="n"/>
      <c r="N892" s="201" t="n"/>
      <c r="O892" s="201" t="n"/>
      <c r="P892" s="201" t="n"/>
      <c r="Q892" s="201" t="n"/>
      <c r="R892" s="201" t="n"/>
    </row>
    <row r="893" ht="12.75" customHeight="1" s="202">
      <c r="A893" s="201" t="n"/>
      <c r="B893" s="201" t="n"/>
      <c r="C893" s="201" t="n"/>
      <c r="D893" s="201" t="n"/>
      <c r="E893" s="201" t="n"/>
      <c r="F893" s="201" t="n"/>
      <c r="G893" s="201" t="n"/>
      <c r="H893" s="201" t="n"/>
      <c r="I893" s="201" t="n"/>
      <c r="J893" s="201" t="n"/>
      <c r="K893" s="201" t="n"/>
      <c r="L893" s="201" t="n"/>
      <c r="M893" s="201" t="n"/>
      <c r="N893" s="201" t="n"/>
      <c r="O893" s="201" t="n"/>
      <c r="P893" s="201" t="n"/>
      <c r="Q893" s="201" t="n"/>
      <c r="R893" s="201" t="n"/>
    </row>
    <row r="894" ht="12.75" customHeight="1" s="202">
      <c r="A894" s="201" t="n"/>
      <c r="B894" s="201" t="n"/>
      <c r="C894" s="201" t="n"/>
      <c r="D894" s="201" t="n"/>
      <c r="E894" s="201" t="n"/>
      <c r="F894" s="201" t="n"/>
      <c r="G894" s="201" t="n"/>
      <c r="H894" s="201" t="n"/>
      <c r="I894" s="201" t="n"/>
      <c r="J894" s="201" t="n"/>
      <c r="K894" s="201" t="n"/>
      <c r="L894" s="201" t="n"/>
      <c r="M894" s="201" t="n"/>
      <c r="N894" s="201" t="n"/>
      <c r="O894" s="201" t="n"/>
      <c r="P894" s="201" t="n"/>
      <c r="Q894" s="201" t="n"/>
      <c r="R894" s="201" t="n"/>
    </row>
    <row r="895" ht="12.75" customHeight="1" s="202">
      <c r="A895" s="201" t="n"/>
      <c r="B895" s="201" t="n"/>
      <c r="C895" s="201" t="n"/>
      <c r="D895" s="201" t="n"/>
      <c r="E895" s="201" t="n"/>
      <c r="F895" s="201" t="n"/>
      <c r="G895" s="201" t="n"/>
      <c r="H895" s="201" t="n"/>
      <c r="I895" s="201" t="n"/>
      <c r="J895" s="201" t="n"/>
      <c r="K895" s="201" t="n"/>
      <c r="L895" s="201" t="n"/>
      <c r="M895" s="201" t="n"/>
      <c r="N895" s="201" t="n"/>
      <c r="O895" s="201" t="n"/>
      <c r="P895" s="201" t="n"/>
      <c r="Q895" s="201" t="n"/>
      <c r="R895" s="201" t="n"/>
    </row>
    <row r="896" ht="12.75" customHeight="1" s="202">
      <c r="A896" s="201" t="n"/>
      <c r="B896" s="201" t="n"/>
      <c r="C896" s="201" t="n"/>
      <c r="D896" s="201" t="n"/>
      <c r="E896" s="201" t="n"/>
      <c r="F896" s="201" t="n"/>
      <c r="G896" s="201" t="n"/>
      <c r="H896" s="201" t="n"/>
      <c r="I896" s="201" t="n"/>
      <c r="J896" s="201" t="n"/>
      <c r="K896" s="201" t="n"/>
      <c r="L896" s="201" t="n"/>
      <c r="M896" s="201" t="n"/>
      <c r="N896" s="201" t="n"/>
      <c r="O896" s="201" t="n"/>
      <c r="P896" s="201" t="n"/>
      <c r="Q896" s="201" t="n"/>
      <c r="R896" s="201" t="n"/>
    </row>
    <row r="897" ht="12.75" customHeight="1" s="202">
      <c r="A897" s="201" t="n"/>
      <c r="B897" s="201" t="n"/>
      <c r="C897" s="201" t="n"/>
      <c r="D897" s="201" t="n"/>
      <c r="E897" s="201" t="n"/>
      <c r="F897" s="201" t="n"/>
      <c r="G897" s="201" t="n"/>
      <c r="H897" s="201" t="n"/>
      <c r="I897" s="201" t="n"/>
      <c r="J897" s="201" t="n"/>
      <c r="K897" s="201" t="n"/>
      <c r="L897" s="201" t="n"/>
      <c r="M897" s="201" t="n"/>
      <c r="N897" s="201" t="n"/>
      <c r="O897" s="201" t="n"/>
      <c r="P897" s="201" t="n"/>
      <c r="Q897" s="201" t="n"/>
      <c r="R897" s="201" t="n"/>
    </row>
    <row r="898" ht="12.75" customHeight="1" s="202">
      <c r="A898" s="201" t="n"/>
      <c r="B898" s="201" t="n"/>
      <c r="C898" s="201" t="n"/>
      <c r="D898" s="201" t="n"/>
      <c r="E898" s="201" t="n"/>
      <c r="F898" s="201" t="n"/>
      <c r="G898" s="201" t="n"/>
      <c r="H898" s="201" t="n"/>
      <c r="I898" s="201" t="n"/>
      <c r="J898" s="201" t="n"/>
      <c r="K898" s="201" t="n"/>
      <c r="L898" s="201" t="n"/>
      <c r="M898" s="201" t="n"/>
      <c r="N898" s="201" t="n"/>
      <c r="O898" s="201" t="n"/>
      <c r="P898" s="201" t="n"/>
      <c r="Q898" s="201" t="n"/>
      <c r="R898" s="201" t="n"/>
    </row>
    <row r="899" ht="12.75" customHeight="1" s="202">
      <c r="A899" s="201" t="n"/>
      <c r="B899" s="201" t="n"/>
      <c r="C899" s="201" t="n"/>
      <c r="D899" s="201" t="n"/>
      <c r="E899" s="201" t="n"/>
      <c r="F899" s="201" t="n"/>
      <c r="G899" s="201" t="n"/>
      <c r="H899" s="201" t="n"/>
      <c r="I899" s="201" t="n"/>
      <c r="J899" s="201" t="n"/>
      <c r="K899" s="201" t="n"/>
      <c r="L899" s="201" t="n"/>
      <c r="M899" s="201" t="n"/>
      <c r="N899" s="201" t="n"/>
      <c r="O899" s="201" t="n"/>
      <c r="P899" s="201" t="n"/>
      <c r="Q899" s="201" t="n"/>
      <c r="R899" s="201" t="n"/>
    </row>
    <row r="900" ht="12.75" customHeight="1" s="202">
      <c r="A900" s="201" t="n"/>
      <c r="B900" s="201" t="n"/>
      <c r="C900" s="201" t="n"/>
      <c r="D900" s="201" t="n"/>
      <c r="E900" s="201" t="n"/>
      <c r="F900" s="201" t="n"/>
      <c r="G900" s="201" t="n"/>
      <c r="H900" s="201" t="n"/>
      <c r="I900" s="201" t="n"/>
      <c r="J900" s="201" t="n"/>
      <c r="K900" s="201" t="n"/>
      <c r="L900" s="201" t="n"/>
      <c r="M900" s="201" t="n"/>
      <c r="N900" s="201" t="n"/>
      <c r="O900" s="201" t="n"/>
      <c r="P900" s="201" t="n"/>
      <c r="Q900" s="201" t="n"/>
      <c r="R900" s="201" t="n"/>
    </row>
    <row r="901" ht="12.75" customHeight="1" s="202">
      <c r="A901" s="201" t="n"/>
      <c r="B901" s="201" t="n"/>
      <c r="C901" s="201" t="n"/>
      <c r="D901" s="201" t="n"/>
      <c r="E901" s="201" t="n"/>
      <c r="F901" s="201" t="n"/>
      <c r="G901" s="201" t="n"/>
      <c r="H901" s="201" t="n"/>
      <c r="I901" s="201" t="n"/>
      <c r="J901" s="201" t="n"/>
      <c r="K901" s="201" t="n"/>
      <c r="L901" s="201" t="n"/>
      <c r="M901" s="201" t="n"/>
      <c r="N901" s="201" t="n"/>
      <c r="O901" s="201" t="n"/>
      <c r="P901" s="201" t="n"/>
      <c r="Q901" s="201" t="n"/>
      <c r="R901" s="201" t="n"/>
    </row>
    <row r="902" ht="12.75" customHeight="1" s="202">
      <c r="A902" s="201" t="n"/>
      <c r="B902" s="201" t="n"/>
      <c r="C902" s="201" t="n"/>
      <c r="D902" s="201" t="n"/>
      <c r="E902" s="201" t="n"/>
      <c r="F902" s="201" t="n"/>
      <c r="G902" s="201" t="n"/>
      <c r="H902" s="201" t="n"/>
      <c r="I902" s="201" t="n"/>
      <c r="J902" s="201" t="n"/>
      <c r="K902" s="201" t="n"/>
      <c r="L902" s="201" t="n"/>
      <c r="M902" s="201" t="n"/>
      <c r="N902" s="201" t="n"/>
      <c r="O902" s="201" t="n"/>
      <c r="P902" s="201" t="n"/>
      <c r="Q902" s="201" t="n"/>
      <c r="R902" s="201" t="n"/>
    </row>
    <row r="903" ht="12.75" customHeight="1" s="202">
      <c r="A903" s="201" t="n"/>
      <c r="B903" s="201" t="n"/>
      <c r="C903" s="201" t="n"/>
      <c r="D903" s="201" t="n"/>
      <c r="E903" s="201" t="n"/>
      <c r="F903" s="201" t="n"/>
      <c r="G903" s="201" t="n"/>
      <c r="H903" s="201" t="n"/>
      <c r="I903" s="201" t="n"/>
      <c r="J903" s="201" t="n"/>
      <c r="K903" s="201" t="n"/>
      <c r="L903" s="201" t="n"/>
      <c r="M903" s="201" t="n"/>
      <c r="N903" s="201" t="n"/>
      <c r="O903" s="201" t="n"/>
      <c r="P903" s="201" t="n"/>
      <c r="Q903" s="201" t="n"/>
      <c r="R903" s="201" t="n"/>
    </row>
    <row r="904" ht="12.75" customHeight="1" s="202">
      <c r="A904" s="201" t="n"/>
      <c r="B904" s="201" t="n"/>
      <c r="C904" s="201" t="n"/>
      <c r="D904" s="201" t="n"/>
      <c r="E904" s="201" t="n"/>
      <c r="F904" s="201" t="n"/>
      <c r="G904" s="201" t="n"/>
      <c r="H904" s="201" t="n"/>
      <c r="I904" s="201" t="n"/>
      <c r="J904" s="201" t="n"/>
      <c r="K904" s="201" t="n"/>
      <c r="L904" s="201" t="n"/>
      <c r="M904" s="201" t="n"/>
      <c r="N904" s="201" t="n"/>
      <c r="O904" s="201" t="n"/>
      <c r="P904" s="201" t="n"/>
      <c r="Q904" s="201" t="n"/>
      <c r="R904" s="201" t="n"/>
    </row>
    <row r="905" ht="12.75" customHeight="1" s="202">
      <c r="A905" s="201" t="n"/>
      <c r="B905" s="201" t="n"/>
      <c r="C905" s="201" t="n"/>
      <c r="D905" s="201" t="n"/>
      <c r="E905" s="201" t="n"/>
      <c r="F905" s="201" t="n"/>
      <c r="G905" s="201" t="n"/>
      <c r="H905" s="201" t="n"/>
      <c r="I905" s="201" t="n"/>
      <c r="J905" s="201" t="n"/>
      <c r="K905" s="201" t="n"/>
      <c r="L905" s="201" t="n"/>
      <c r="M905" s="201" t="n"/>
      <c r="N905" s="201" t="n"/>
      <c r="O905" s="201" t="n"/>
      <c r="P905" s="201" t="n"/>
      <c r="Q905" s="201" t="n"/>
      <c r="R905" s="201" t="n"/>
    </row>
    <row r="906" ht="12.75" customHeight="1" s="202">
      <c r="A906" s="201" t="n"/>
      <c r="B906" s="201" t="n"/>
      <c r="C906" s="201" t="n"/>
      <c r="D906" s="201" t="n"/>
      <c r="E906" s="201" t="n"/>
      <c r="F906" s="201" t="n"/>
      <c r="G906" s="201" t="n"/>
      <c r="H906" s="201" t="n"/>
      <c r="I906" s="201" t="n"/>
      <c r="J906" s="201" t="n"/>
      <c r="K906" s="201" t="n"/>
      <c r="L906" s="201" t="n"/>
      <c r="M906" s="201" t="n"/>
      <c r="N906" s="201" t="n"/>
      <c r="O906" s="201" t="n"/>
      <c r="P906" s="201" t="n"/>
      <c r="Q906" s="201" t="n"/>
      <c r="R906" s="201" t="n"/>
    </row>
    <row r="907" ht="12.75" customHeight="1" s="202">
      <c r="A907" s="201" t="n"/>
      <c r="B907" s="201" t="n"/>
      <c r="C907" s="201" t="n"/>
      <c r="D907" s="201" t="n"/>
      <c r="E907" s="201" t="n"/>
      <c r="F907" s="201" t="n"/>
      <c r="G907" s="201" t="n"/>
      <c r="H907" s="201" t="n"/>
      <c r="I907" s="201" t="n"/>
      <c r="J907" s="201" t="n"/>
      <c r="K907" s="201" t="n"/>
      <c r="L907" s="201" t="n"/>
      <c r="M907" s="201" t="n"/>
      <c r="N907" s="201" t="n"/>
      <c r="O907" s="201" t="n"/>
      <c r="P907" s="201" t="n"/>
      <c r="Q907" s="201" t="n"/>
      <c r="R907" s="201" t="n"/>
    </row>
    <row r="908" ht="12.75" customHeight="1" s="202">
      <c r="A908" s="201" t="n"/>
      <c r="B908" s="201" t="n"/>
      <c r="C908" s="201" t="n"/>
      <c r="D908" s="201" t="n"/>
      <c r="E908" s="201" t="n"/>
      <c r="F908" s="201" t="n"/>
      <c r="G908" s="201" t="n"/>
      <c r="H908" s="201" t="n"/>
      <c r="I908" s="201" t="n"/>
      <c r="J908" s="201" t="n"/>
      <c r="K908" s="201" t="n"/>
      <c r="L908" s="201" t="n"/>
      <c r="M908" s="201" t="n"/>
      <c r="N908" s="201" t="n"/>
      <c r="O908" s="201" t="n"/>
      <c r="P908" s="201" t="n"/>
      <c r="Q908" s="201" t="n"/>
      <c r="R908" s="201" t="n"/>
    </row>
    <row r="909" ht="12.75" customHeight="1" s="202">
      <c r="A909" s="201" t="n"/>
      <c r="B909" s="201" t="n"/>
      <c r="C909" s="201" t="n"/>
      <c r="D909" s="201" t="n"/>
      <c r="E909" s="201" t="n"/>
      <c r="F909" s="201" t="n"/>
      <c r="G909" s="201" t="n"/>
      <c r="H909" s="201" t="n"/>
      <c r="I909" s="201" t="n"/>
      <c r="J909" s="201" t="n"/>
      <c r="K909" s="201" t="n"/>
      <c r="L909" s="201" t="n"/>
      <c r="M909" s="201" t="n"/>
      <c r="N909" s="201" t="n"/>
      <c r="O909" s="201" t="n"/>
      <c r="P909" s="201" t="n"/>
      <c r="Q909" s="201" t="n"/>
      <c r="R909" s="201" t="n"/>
    </row>
    <row r="910" ht="12.75" customHeight="1" s="202">
      <c r="A910" s="201" t="n"/>
      <c r="B910" s="201" t="n"/>
      <c r="C910" s="201" t="n"/>
      <c r="D910" s="201" t="n"/>
      <c r="E910" s="201" t="n"/>
      <c r="F910" s="201" t="n"/>
      <c r="G910" s="201" t="n"/>
      <c r="H910" s="201" t="n"/>
      <c r="I910" s="201" t="n"/>
      <c r="J910" s="201" t="n"/>
      <c r="K910" s="201" t="n"/>
      <c r="L910" s="201" t="n"/>
      <c r="M910" s="201" t="n"/>
      <c r="N910" s="201" t="n"/>
      <c r="O910" s="201" t="n"/>
      <c r="P910" s="201" t="n"/>
      <c r="Q910" s="201" t="n"/>
      <c r="R910" s="201" t="n"/>
    </row>
    <row r="911" ht="12.75" customHeight="1" s="202">
      <c r="A911" s="201" t="n"/>
      <c r="B911" s="201" t="n"/>
      <c r="C911" s="201" t="n"/>
      <c r="D911" s="201" t="n"/>
      <c r="E911" s="201" t="n"/>
      <c r="F911" s="201" t="n"/>
      <c r="G911" s="201" t="n"/>
      <c r="H911" s="201" t="n"/>
      <c r="I911" s="201" t="n"/>
      <c r="J911" s="201" t="n"/>
      <c r="K911" s="201" t="n"/>
      <c r="L911" s="201" t="n"/>
      <c r="M911" s="201" t="n"/>
      <c r="N911" s="201" t="n"/>
      <c r="O911" s="201" t="n"/>
      <c r="P911" s="201" t="n"/>
      <c r="Q911" s="201" t="n"/>
      <c r="R911" s="201" t="n"/>
    </row>
    <row r="912" ht="12.75" customHeight="1" s="202">
      <c r="A912" s="201" t="n"/>
      <c r="B912" s="201" t="n"/>
      <c r="C912" s="201" t="n"/>
      <c r="D912" s="201" t="n"/>
      <c r="E912" s="201" t="n"/>
      <c r="F912" s="201" t="n"/>
      <c r="G912" s="201" t="n"/>
      <c r="H912" s="201" t="n"/>
      <c r="I912" s="201" t="n"/>
      <c r="J912" s="201" t="n"/>
      <c r="K912" s="201" t="n"/>
      <c r="L912" s="201" t="n"/>
      <c r="M912" s="201" t="n"/>
      <c r="N912" s="201" t="n"/>
      <c r="O912" s="201" t="n"/>
      <c r="P912" s="201" t="n"/>
      <c r="Q912" s="201" t="n"/>
      <c r="R912" s="201" t="n"/>
    </row>
    <row r="913" ht="12.75" customHeight="1" s="202">
      <c r="A913" s="201" t="n"/>
      <c r="B913" s="201" t="n"/>
      <c r="C913" s="201" t="n"/>
      <c r="D913" s="201" t="n"/>
      <c r="E913" s="201" t="n"/>
      <c r="F913" s="201" t="n"/>
      <c r="G913" s="201" t="n"/>
      <c r="H913" s="201" t="n"/>
      <c r="I913" s="201" t="n"/>
      <c r="J913" s="201" t="n"/>
      <c r="K913" s="201" t="n"/>
      <c r="L913" s="201" t="n"/>
      <c r="M913" s="201" t="n"/>
      <c r="N913" s="201" t="n"/>
      <c r="O913" s="201" t="n"/>
      <c r="P913" s="201" t="n"/>
      <c r="Q913" s="201" t="n"/>
      <c r="R913" s="201" t="n"/>
    </row>
    <row r="914" ht="12.75" customHeight="1" s="202">
      <c r="A914" s="201" t="n"/>
      <c r="B914" s="201" t="n"/>
      <c r="C914" s="201" t="n"/>
      <c r="D914" s="201" t="n"/>
      <c r="E914" s="201" t="n"/>
      <c r="F914" s="201" t="n"/>
      <c r="G914" s="201" t="n"/>
      <c r="H914" s="201" t="n"/>
      <c r="I914" s="201" t="n"/>
      <c r="J914" s="201" t="n"/>
      <c r="K914" s="201" t="n"/>
      <c r="L914" s="201" t="n"/>
      <c r="M914" s="201" t="n"/>
      <c r="N914" s="201" t="n"/>
      <c r="O914" s="201" t="n"/>
      <c r="P914" s="201" t="n"/>
      <c r="Q914" s="201" t="n"/>
      <c r="R914" s="201" t="n"/>
    </row>
    <row r="915" ht="12.75" customHeight="1" s="202">
      <c r="A915" s="201" t="n"/>
      <c r="B915" s="201" t="n"/>
      <c r="C915" s="201" t="n"/>
      <c r="D915" s="201" t="n"/>
      <c r="E915" s="201" t="n"/>
      <c r="F915" s="201" t="n"/>
      <c r="G915" s="201" t="n"/>
      <c r="H915" s="201" t="n"/>
      <c r="I915" s="201" t="n"/>
      <c r="J915" s="201" t="n"/>
      <c r="K915" s="201" t="n"/>
      <c r="L915" s="201" t="n"/>
      <c r="M915" s="201" t="n"/>
      <c r="N915" s="201" t="n"/>
      <c r="O915" s="201" t="n"/>
      <c r="P915" s="201" t="n"/>
      <c r="Q915" s="201" t="n"/>
      <c r="R915" s="201" t="n"/>
    </row>
    <row r="916" ht="12.75" customHeight="1" s="202">
      <c r="A916" s="201" t="n"/>
      <c r="B916" s="201" t="n"/>
      <c r="C916" s="201" t="n"/>
      <c r="D916" s="201" t="n"/>
      <c r="E916" s="201" t="n"/>
      <c r="F916" s="201" t="n"/>
      <c r="G916" s="201" t="n"/>
      <c r="H916" s="201" t="n"/>
      <c r="I916" s="201" t="n"/>
      <c r="J916" s="201" t="n"/>
      <c r="K916" s="201" t="n"/>
      <c r="L916" s="201" t="n"/>
      <c r="M916" s="201" t="n"/>
      <c r="N916" s="201" t="n"/>
      <c r="O916" s="201" t="n"/>
      <c r="P916" s="201" t="n"/>
      <c r="Q916" s="201" t="n"/>
      <c r="R916" s="201" t="n"/>
    </row>
    <row r="917" ht="12.75" customHeight="1" s="202">
      <c r="A917" s="201" t="n"/>
      <c r="B917" s="201" t="n"/>
      <c r="C917" s="201" t="n"/>
      <c r="D917" s="201" t="n"/>
      <c r="E917" s="201" t="n"/>
      <c r="F917" s="201" t="n"/>
      <c r="G917" s="201" t="n"/>
      <c r="H917" s="201" t="n"/>
      <c r="I917" s="201" t="n"/>
      <c r="J917" s="201" t="n"/>
      <c r="K917" s="201" t="n"/>
      <c r="L917" s="201" t="n"/>
      <c r="M917" s="201" t="n"/>
      <c r="N917" s="201" t="n"/>
      <c r="O917" s="201" t="n"/>
      <c r="P917" s="201" t="n"/>
      <c r="Q917" s="201" t="n"/>
      <c r="R917" s="201" t="n"/>
    </row>
    <row r="918" ht="12.75" customHeight="1" s="202">
      <c r="A918" s="201" t="n"/>
      <c r="B918" s="201" t="n"/>
      <c r="C918" s="201" t="n"/>
      <c r="D918" s="201" t="n"/>
      <c r="E918" s="201" t="n"/>
      <c r="F918" s="201" t="n"/>
      <c r="G918" s="201" t="n"/>
      <c r="H918" s="201" t="n"/>
      <c r="I918" s="201" t="n"/>
      <c r="J918" s="201" t="n"/>
      <c r="K918" s="201" t="n"/>
      <c r="L918" s="201" t="n"/>
      <c r="M918" s="201" t="n"/>
      <c r="N918" s="201" t="n"/>
      <c r="O918" s="201" t="n"/>
      <c r="P918" s="201" t="n"/>
      <c r="Q918" s="201" t="n"/>
      <c r="R918" s="201" t="n"/>
    </row>
    <row r="919" ht="12.75" customHeight="1" s="202">
      <c r="A919" s="201" t="n"/>
      <c r="B919" s="201" t="n"/>
      <c r="C919" s="201" t="n"/>
      <c r="D919" s="201" t="n"/>
      <c r="E919" s="201" t="n"/>
      <c r="F919" s="201" t="n"/>
      <c r="G919" s="201" t="n"/>
      <c r="H919" s="201" t="n"/>
      <c r="I919" s="201" t="n"/>
      <c r="J919" s="201" t="n"/>
      <c r="K919" s="201" t="n"/>
      <c r="L919" s="201" t="n"/>
      <c r="M919" s="201" t="n"/>
      <c r="N919" s="201" t="n"/>
      <c r="O919" s="201" t="n"/>
      <c r="P919" s="201" t="n"/>
      <c r="Q919" s="201" t="n"/>
      <c r="R919" s="201" t="n"/>
    </row>
    <row r="920" ht="12.75" customHeight="1" s="202">
      <c r="A920" s="201" t="n"/>
      <c r="B920" s="201" t="n"/>
      <c r="C920" s="201" t="n"/>
      <c r="D920" s="201" t="n"/>
      <c r="E920" s="201" t="n"/>
      <c r="F920" s="201" t="n"/>
      <c r="G920" s="201" t="n"/>
      <c r="H920" s="201" t="n"/>
      <c r="I920" s="201" t="n"/>
      <c r="J920" s="201" t="n"/>
      <c r="K920" s="201" t="n"/>
      <c r="L920" s="201" t="n"/>
      <c r="M920" s="201" t="n"/>
      <c r="N920" s="201" t="n"/>
      <c r="O920" s="201" t="n"/>
      <c r="P920" s="201" t="n"/>
      <c r="Q920" s="201" t="n"/>
      <c r="R920" s="201" t="n"/>
    </row>
    <row r="921" ht="12.75" customHeight="1" s="202">
      <c r="A921" s="201" t="n"/>
      <c r="B921" s="201" t="n"/>
      <c r="C921" s="201" t="n"/>
      <c r="D921" s="201" t="n"/>
      <c r="E921" s="201" t="n"/>
      <c r="F921" s="201" t="n"/>
      <c r="G921" s="201" t="n"/>
      <c r="H921" s="201" t="n"/>
      <c r="I921" s="201" t="n"/>
      <c r="J921" s="201" t="n"/>
      <c r="K921" s="201" t="n"/>
      <c r="L921" s="201" t="n"/>
      <c r="M921" s="201" t="n"/>
      <c r="N921" s="201" t="n"/>
      <c r="O921" s="201" t="n"/>
      <c r="P921" s="201" t="n"/>
      <c r="Q921" s="201" t="n"/>
      <c r="R921" s="201" t="n"/>
    </row>
    <row r="922" ht="12.75" customHeight="1" s="202">
      <c r="A922" s="201" t="n"/>
      <c r="B922" s="201" t="n"/>
      <c r="C922" s="201" t="n"/>
      <c r="D922" s="201" t="n"/>
      <c r="E922" s="201" t="n"/>
      <c r="F922" s="201" t="n"/>
      <c r="G922" s="201" t="n"/>
      <c r="H922" s="201" t="n"/>
      <c r="I922" s="201" t="n"/>
      <c r="J922" s="201" t="n"/>
      <c r="K922" s="201" t="n"/>
      <c r="L922" s="201" t="n"/>
      <c r="M922" s="201" t="n"/>
      <c r="N922" s="201" t="n"/>
      <c r="O922" s="201" t="n"/>
      <c r="P922" s="201" t="n"/>
      <c r="Q922" s="201" t="n"/>
      <c r="R922" s="201" t="n"/>
    </row>
    <row r="923" ht="12.75" customHeight="1" s="202">
      <c r="A923" s="201" t="n"/>
      <c r="B923" s="201" t="n"/>
      <c r="C923" s="201" t="n"/>
      <c r="D923" s="201" t="n"/>
      <c r="E923" s="201" t="n"/>
      <c r="F923" s="201" t="n"/>
      <c r="G923" s="201" t="n"/>
      <c r="H923" s="201" t="n"/>
      <c r="I923" s="201" t="n"/>
      <c r="J923" s="201" t="n"/>
      <c r="K923" s="201" t="n"/>
      <c r="L923" s="201" t="n"/>
      <c r="M923" s="201" t="n"/>
      <c r="N923" s="201" t="n"/>
      <c r="O923" s="201" t="n"/>
      <c r="P923" s="201" t="n"/>
      <c r="Q923" s="201" t="n"/>
      <c r="R923" s="201" t="n"/>
    </row>
    <row r="924" ht="12.75" customHeight="1" s="202">
      <c r="A924" s="201" t="n"/>
      <c r="B924" s="201" t="n"/>
      <c r="C924" s="201" t="n"/>
      <c r="D924" s="201" t="n"/>
      <c r="E924" s="201" t="n"/>
      <c r="F924" s="201" t="n"/>
      <c r="G924" s="201" t="n"/>
      <c r="H924" s="201" t="n"/>
      <c r="I924" s="201" t="n"/>
      <c r="J924" s="201" t="n"/>
      <c r="K924" s="201" t="n"/>
      <c r="L924" s="201" t="n"/>
      <c r="M924" s="201" t="n"/>
      <c r="N924" s="201" t="n"/>
      <c r="O924" s="201" t="n"/>
      <c r="P924" s="201" t="n"/>
      <c r="Q924" s="201" t="n"/>
      <c r="R924" s="201" t="n"/>
    </row>
    <row r="925" ht="12.75" customHeight="1" s="202">
      <c r="A925" s="201" t="n"/>
      <c r="B925" s="201" t="n"/>
      <c r="C925" s="201" t="n"/>
      <c r="D925" s="201" t="n"/>
      <c r="E925" s="201" t="n"/>
      <c r="F925" s="201" t="n"/>
      <c r="G925" s="201" t="n"/>
      <c r="H925" s="201" t="n"/>
      <c r="I925" s="201" t="n"/>
      <c r="J925" s="201" t="n"/>
      <c r="K925" s="201" t="n"/>
      <c r="L925" s="201" t="n"/>
      <c r="M925" s="201" t="n"/>
      <c r="N925" s="201" t="n"/>
      <c r="O925" s="201" t="n"/>
      <c r="P925" s="201" t="n"/>
      <c r="Q925" s="201" t="n"/>
      <c r="R925" s="201" t="n"/>
    </row>
    <row r="926" ht="12.75" customHeight="1" s="202">
      <c r="A926" s="201" t="n"/>
      <c r="B926" s="201" t="n"/>
      <c r="C926" s="201" t="n"/>
      <c r="D926" s="201" t="n"/>
      <c r="E926" s="201" t="n"/>
      <c r="F926" s="201" t="n"/>
      <c r="G926" s="201" t="n"/>
      <c r="H926" s="201" t="n"/>
      <c r="I926" s="201" t="n"/>
      <c r="J926" s="201" t="n"/>
      <c r="K926" s="201" t="n"/>
      <c r="L926" s="201" t="n"/>
      <c r="M926" s="201" t="n"/>
      <c r="N926" s="201" t="n"/>
      <c r="O926" s="201" t="n"/>
      <c r="P926" s="201" t="n"/>
      <c r="Q926" s="201" t="n"/>
      <c r="R926" s="201" t="n"/>
    </row>
    <row r="927" ht="12.75" customHeight="1" s="202">
      <c r="A927" s="201" t="n"/>
      <c r="B927" s="201" t="n"/>
      <c r="C927" s="201" t="n"/>
      <c r="D927" s="201" t="n"/>
      <c r="E927" s="201" t="n"/>
      <c r="F927" s="201" t="n"/>
      <c r="G927" s="201" t="n"/>
      <c r="H927" s="201" t="n"/>
      <c r="I927" s="201" t="n"/>
      <c r="J927" s="201" t="n"/>
      <c r="K927" s="201" t="n"/>
      <c r="L927" s="201" t="n"/>
      <c r="M927" s="201" t="n"/>
      <c r="N927" s="201" t="n"/>
      <c r="O927" s="201" t="n"/>
      <c r="P927" s="201" t="n"/>
      <c r="Q927" s="201" t="n"/>
      <c r="R927" s="201" t="n"/>
    </row>
    <row r="928" ht="12.75" customHeight="1" s="202">
      <c r="A928" s="201" t="n"/>
      <c r="B928" s="201" t="n"/>
      <c r="C928" s="201" t="n"/>
      <c r="D928" s="201" t="n"/>
      <c r="E928" s="201" t="n"/>
      <c r="F928" s="201" t="n"/>
      <c r="G928" s="201" t="n"/>
      <c r="H928" s="201" t="n"/>
      <c r="I928" s="201" t="n"/>
      <c r="J928" s="201" t="n"/>
      <c r="K928" s="201" t="n"/>
      <c r="L928" s="201" t="n"/>
      <c r="M928" s="201" t="n"/>
      <c r="N928" s="201" t="n"/>
      <c r="O928" s="201" t="n"/>
      <c r="P928" s="201" t="n"/>
      <c r="Q928" s="201" t="n"/>
      <c r="R928" s="201" t="n"/>
    </row>
    <row r="929" ht="12.75" customHeight="1" s="202">
      <c r="A929" s="201" t="n"/>
      <c r="B929" s="201" t="n"/>
      <c r="C929" s="201" t="n"/>
      <c r="D929" s="201" t="n"/>
      <c r="E929" s="201" t="n"/>
      <c r="F929" s="201" t="n"/>
      <c r="G929" s="201" t="n"/>
      <c r="H929" s="201" t="n"/>
      <c r="I929" s="201" t="n"/>
      <c r="J929" s="201" t="n"/>
      <c r="K929" s="201" t="n"/>
      <c r="L929" s="201" t="n"/>
      <c r="M929" s="201" t="n"/>
      <c r="N929" s="201" t="n"/>
      <c r="O929" s="201" t="n"/>
      <c r="P929" s="201" t="n"/>
      <c r="Q929" s="201" t="n"/>
      <c r="R929" s="201" t="n"/>
    </row>
    <row r="930" ht="12.75" customHeight="1" s="202">
      <c r="A930" s="201" t="n"/>
      <c r="B930" s="201" t="n"/>
      <c r="C930" s="201" t="n"/>
      <c r="D930" s="201" t="n"/>
      <c r="E930" s="201" t="n"/>
      <c r="F930" s="201" t="n"/>
      <c r="G930" s="201" t="n"/>
      <c r="H930" s="201" t="n"/>
      <c r="I930" s="201" t="n"/>
      <c r="J930" s="201" t="n"/>
      <c r="K930" s="201" t="n"/>
      <c r="L930" s="201" t="n"/>
      <c r="M930" s="201" t="n"/>
      <c r="N930" s="201" t="n"/>
      <c r="O930" s="201" t="n"/>
      <c r="P930" s="201" t="n"/>
      <c r="Q930" s="201" t="n"/>
      <c r="R930" s="201" t="n"/>
    </row>
    <row r="931" ht="12.75" customHeight="1" s="202">
      <c r="A931" s="201" t="n"/>
      <c r="B931" s="201" t="n"/>
      <c r="C931" s="201" t="n"/>
      <c r="D931" s="201" t="n"/>
      <c r="E931" s="201" t="n"/>
      <c r="F931" s="201" t="n"/>
      <c r="G931" s="201" t="n"/>
      <c r="H931" s="201" t="n"/>
      <c r="I931" s="201" t="n"/>
      <c r="J931" s="201" t="n"/>
      <c r="K931" s="201" t="n"/>
      <c r="L931" s="201" t="n"/>
      <c r="M931" s="201" t="n"/>
      <c r="N931" s="201" t="n"/>
      <c r="O931" s="201" t="n"/>
      <c r="P931" s="201" t="n"/>
      <c r="Q931" s="201" t="n"/>
      <c r="R931" s="201" t="n"/>
    </row>
    <row r="932" ht="12.75" customHeight="1" s="202">
      <c r="A932" s="201" t="n"/>
      <c r="B932" s="201" t="n"/>
      <c r="C932" s="201" t="n"/>
      <c r="D932" s="201" t="n"/>
      <c r="E932" s="201" t="n"/>
      <c r="F932" s="201" t="n"/>
      <c r="G932" s="201" t="n"/>
      <c r="H932" s="201" t="n"/>
      <c r="I932" s="201" t="n"/>
      <c r="J932" s="201" t="n"/>
      <c r="K932" s="201" t="n"/>
      <c r="L932" s="201" t="n"/>
      <c r="M932" s="201" t="n"/>
      <c r="N932" s="201" t="n"/>
      <c r="O932" s="201" t="n"/>
      <c r="P932" s="201" t="n"/>
      <c r="Q932" s="201" t="n"/>
      <c r="R932" s="201" t="n"/>
    </row>
    <row r="933" ht="12.75" customHeight="1" s="202">
      <c r="A933" s="201" t="n"/>
      <c r="B933" s="201" t="n"/>
      <c r="C933" s="201" t="n"/>
      <c r="D933" s="201" t="n"/>
      <c r="E933" s="201" t="n"/>
      <c r="F933" s="201" t="n"/>
      <c r="G933" s="201" t="n"/>
      <c r="H933" s="201" t="n"/>
      <c r="I933" s="201" t="n"/>
      <c r="J933" s="201" t="n"/>
      <c r="K933" s="201" t="n"/>
      <c r="L933" s="201" t="n"/>
      <c r="M933" s="201" t="n"/>
      <c r="N933" s="201" t="n"/>
      <c r="O933" s="201" t="n"/>
      <c r="P933" s="201" t="n"/>
      <c r="Q933" s="201" t="n"/>
      <c r="R933" s="201" t="n"/>
    </row>
    <row r="934" ht="12.75" customHeight="1" s="202">
      <c r="A934" s="201" t="n"/>
      <c r="B934" s="201" t="n"/>
      <c r="C934" s="201" t="n"/>
      <c r="D934" s="201" t="n"/>
      <c r="E934" s="201" t="n"/>
      <c r="F934" s="201" t="n"/>
      <c r="G934" s="201" t="n"/>
      <c r="H934" s="201" t="n"/>
      <c r="I934" s="201" t="n"/>
      <c r="J934" s="201" t="n"/>
      <c r="K934" s="201" t="n"/>
      <c r="L934" s="201" t="n"/>
      <c r="M934" s="201" t="n"/>
      <c r="N934" s="201" t="n"/>
      <c r="O934" s="201" t="n"/>
      <c r="P934" s="201" t="n"/>
      <c r="Q934" s="201" t="n"/>
      <c r="R934" s="201" t="n"/>
    </row>
    <row r="935" ht="12.75" customHeight="1" s="202">
      <c r="A935" s="201" t="n"/>
      <c r="B935" s="201" t="n"/>
      <c r="C935" s="201" t="n"/>
      <c r="D935" s="201" t="n"/>
      <c r="E935" s="201" t="n"/>
      <c r="F935" s="201" t="n"/>
      <c r="G935" s="201" t="n"/>
      <c r="H935" s="201" t="n"/>
      <c r="I935" s="201" t="n"/>
      <c r="J935" s="201" t="n"/>
      <c r="K935" s="201" t="n"/>
      <c r="L935" s="201" t="n"/>
      <c r="M935" s="201" t="n"/>
      <c r="N935" s="201" t="n"/>
      <c r="O935" s="201" t="n"/>
      <c r="P935" s="201" t="n"/>
      <c r="Q935" s="201" t="n"/>
      <c r="R935" s="201" t="n"/>
    </row>
    <row r="936" ht="12.75" customHeight="1" s="202">
      <c r="A936" s="201" t="n"/>
      <c r="B936" s="201" t="n"/>
      <c r="C936" s="201" t="n"/>
      <c r="D936" s="201" t="n"/>
      <c r="E936" s="201" t="n"/>
      <c r="F936" s="201" t="n"/>
      <c r="G936" s="201" t="n"/>
      <c r="H936" s="201" t="n"/>
      <c r="I936" s="201" t="n"/>
      <c r="J936" s="201" t="n"/>
      <c r="K936" s="201" t="n"/>
      <c r="L936" s="201" t="n"/>
      <c r="M936" s="201" t="n"/>
      <c r="N936" s="201" t="n"/>
      <c r="O936" s="201" t="n"/>
      <c r="P936" s="201" t="n"/>
      <c r="Q936" s="201" t="n"/>
      <c r="R936" s="201" t="n"/>
    </row>
    <row r="937" ht="12.75" customHeight="1" s="202">
      <c r="A937" s="201" t="n"/>
      <c r="B937" s="201" t="n"/>
      <c r="C937" s="201" t="n"/>
      <c r="D937" s="201" t="n"/>
      <c r="E937" s="201" t="n"/>
      <c r="F937" s="201" t="n"/>
      <c r="G937" s="201" t="n"/>
      <c r="H937" s="201" t="n"/>
      <c r="I937" s="201" t="n"/>
      <c r="J937" s="201" t="n"/>
      <c r="K937" s="201" t="n"/>
      <c r="L937" s="201" t="n"/>
      <c r="M937" s="201" t="n"/>
      <c r="N937" s="201" t="n"/>
      <c r="O937" s="201" t="n"/>
      <c r="P937" s="201" t="n"/>
      <c r="Q937" s="201" t="n"/>
      <c r="R937" s="201" t="n"/>
    </row>
    <row r="938" ht="12.75" customHeight="1" s="202">
      <c r="A938" s="201" t="n"/>
      <c r="B938" s="201" t="n"/>
      <c r="C938" s="201" t="n"/>
      <c r="D938" s="201" t="n"/>
      <c r="E938" s="201" t="n"/>
      <c r="F938" s="201" t="n"/>
      <c r="G938" s="201" t="n"/>
      <c r="H938" s="201" t="n"/>
      <c r="I938" s="201" t="n"/>
      <c r="J938" s="201" t="n"/>
      <c r="K938" s="201" t="n"/>
      <c r="L938" s="201" t="n"/>
      <c r="M938" s="201" t="n"/>
      <c r="N938" s="201" t="n"/>
      <c r="O938" s="201" t="n"/>
      <c r="P938" s="201" t="n"/>
      <c r="Q938" s="201" t="n"/>
      <c r="R938" s="201" t="n"/>
    </row>
    <row r="939" ht="12.75" customHeight="1" s="202">
      <c r="A939" s="201" t="n"/>
      <c r="B939" s="201" t="n"/>
      <c r="C939" s="201" t="n"/>
      <c r="D939" s="201" t="n"/>
      <c r="E939" s="201" t="n"/>
      <c r="F939" s="201" t="n"/>
      <c r="G939" s="201" t="n"/>
      <c r="H939" s="201" t="n"/>
      <c r="I939" s="201" t="n"/>
      <c r="J939" s="201" t="n"/>
      <c r="K939" s="201" t="n"/>
      <c r="L939" s="201" t="n"/>
      <c r="M939" s="201" t="n"/>
      <c r="N939" s="201" t="n"/>
      <c r="O939" s="201" t="n"/>
      <c r="P939" s="201" t="n"/>
      <c r="Q939" s="201" t="n"/>
      <c r="R939" s="201" t="n"/>
    </row>
    <row r="940" ht="12.75" customHeight="1" s="202">
      <c r="A940" s="201" t="n"/>
      <c r="B940" s="201" t="n"/>
      <c r="C940" s="201" t="n"/>
      <c r="D940" s="201" t="n"/>
      <c r="E940" s="201" t="n"/>
      <c r="F940" s="201" t="n"/>
      <c r="G940" s="201" t="n"/>
      <c r="H940" s="201" t="n"/>
      <c r="I940" s="201" t="n"/>
      <c r="J940" s="201" t="n"/>
      <c r="K940" s="201" t="n"/>
      <c r="L940" s="201" t="n"/>
      <c r="M940" s="201" t="n"/>
      <c r="N940" s="201" t="n"/>
      <c r="O940" s="201" t="n"/>
      <c r="P940" s="201" t="n"/>
      <c r="Q940" s="201" t="n"/>
      <c r="R940" s="201" t="n"/>
    </row>
    <row r="941" ht="12.75" customHeight="1" s="202">
      <c r="A941" s="201" t="n"/>
      <c r="B941" s="201" t="n"/>
      <c r="C941" s="201" t="n"/>
      <c r="D941" s="201" t="n"/>
      <c r="E941" s="201" t="n"/>
      <c r="F941" s="201" t="n"/>
      <c r="G941" s="201" t="n"/>
      <c r="H941" s="201" t="n"/>
      <c r="I941" s="201" t="n"/>
      <c r="J941" s="201" t="n"/>
      <c r="K941" s="201" t="n"/>
      <c r="L941" s="201" t="n"/>
      <c r="M941" s="201" t="n"/>
      <c r="N941" s="201" t="n"/>
      <c r="O941" s="201" t="n"/>
      <c r="P941" s="201" t="n"/>
      <c r="Q941" s="201" t="n"/>
      <c r="R941" s="201" t="n"/>
    </row>
    <row r="942" ht="12.75" customHeight="1" s="202">
      <c r="A942" s="201" t="n"/>
      <c r="B942" s="201" t="n"/>
      <c r="C942" s="201" t="n"/>
      <c r="D942" s="201" t="n"/>
      <c r="E942" s="201" t="n"/>
      <c r="F942" s="201" t="n"/>
      <c r="G942" s="201" t="n"/>
      <c r="H942" s="201" t="n"/>
      <c r="I942" s="201" t="n"/>
      <c r="J942" s="201" t="n"/>
      <c r="K942" s="201" t="n"/>
      <c r="L942" s="201" t="n"/>
      <c r="M942" s="201" t="n"/>
      <c r="N942" s="201" t="n"/>
      <c r="O942" s="201" t="n"/>
      <c r="P942" s="201" t="n"/>
      <c r="Q942" s="201" t="n"/>
      <c r="R942" s="201" t="n"/>
    </row>
    <row r="943" ht="12.75" customHeight="1" s="202">
      <c r="A943" s="201" t="n"/>
      <c r="B943" s="201" t="n"/>
      <c r="C943" s="201" t="n"/>
      <c r="D943" s="201" t="n"/>
      <c r="E943" s="201" t="n"/>
      <c r="F943" s="201" t="n"/>
      <c r="G943" s="201" t="n"/>
      <c r="H943" s="201" t="n"/>
      <c r="I943" s="201" t="n"/>
      <c r="J943" s="201" t="n"/>
      <c r="K943" s="201" t="n"/>
      <c r="L943" s="201" t="n"/>
      <c r="M943" s="201" t="n"/>
      <c r="N943" s="201" t="n"/>
      <c r="O943" s="201" t="n"/>
      <c r="P943" s="201" t="n"/>
      <c r="Q943" s="201" t="n"/>
      <c r="R943" s="201" t="n"/>
    </row>
    <row r="944" ht="12.75" customHeight="1" s="202">
      <c r="A944" s="201" t="n"/>
      <c r="B944" s="201" t="n"/>
      <c r="C944" s="201" t="n"/>
      <c r="D944" s="201" t="n"/>
      <c r="E944" s="201" t="n"/>
      <c r="F944" s="201" t="n"/>
      <c r="G944" s="201" t="n"/>
      <c r="H944" s="201" t="n"/>
      <c r="I944" s="201" t="n"/>
      <c r="J944" s="201" t="n"/>
      <c r="K944" s="201" t="n"/>
      <c r="L944" s="201" t="n"/>
      <c r="M944" s="201" t="n"/>
      <c r="N944" s="201" t="n"/>
      <c r="O944" s="201" t="n"/>
      <c r="P944" s="201" t="n"/>
      <c r="Q944" s="201" t="n"/>
      <c r="R944" s="201" t="n"/>
    </row>
    <row r="945" ht="12.75" customHeight="1" s="202">
      <c r="A945" s="201" t="n"/>
      <c r="B945" s="201" t="n"/>
      <c r="C945" s="201" t="n"/>
      <c r="D945" s="201" t="n"/>
      <c r="E945" s="201" t="n"/>
      <c r="F945" s="201" t="n"/>
      <c r="G945" s="201" t="n"/>
      <c r="H945" s="201" t="n"/>
      <c r="I945" s="201" t="n"/>
      <c r="J945" s="201" t="n"/>
      <c r="K945" s="201" t="n"/>
      <c r="L945" s="201" t="n"/>
      <c r="M945" s="201" t="n"/>
      <c r="N945" s="201" t="n"/>
      <c r="O945" s="201" t="n"/>
      <c r="P945" s="201" t="n"/>
      <c r="Q945" s="201" t="n"/>
      <c r="R945" s="201" t="n"/>
    </row>
    <row r="946" ht="12.75" customHeight="1" s="202">
      <c r="A946" s="201" t="n"/>
      <c r="B946" s="201" t="n"/>
      <c r="C946" s="201" t="n"/>
      <c r="D946" s="201" t="n"/>
      <c r="E946" s="201" t="n"/>
      <c r="F946" s="201" t="n"/>
      <c r="G946" s="201" t="n"/>
      <c r="H946" s="201" t="n"/>
      <c r="I946" s="201" t="n"/>
      <c r="J946" s="201" t="n"/>
      <c r="K946" s="201" t="n"/>
      <c r="L946" s="201" t="n"/>
      <c r="M946" s="201" t="n"/>
      <c r="N946" s="201" t="n"/>
      <c r="O946" s="201" t="n"/>
      <c r="P946" s="201" t="n"/>
      <c r="Q946" s="201" t="n"/>
      <c r="R946" s="201" t="n"/>
    </row>
    <row r="947" ht="12.75" customHeight="1" s="202">
      <c r="A947" s="201" t="n"/>
      <c r="B947" s="201" t="n"/>
      <c r="C947" s="201" t="n"/>
      <c r="D947" s="201" t="n"/>
      <c r="E947" s="201" t="n"/>
      <c r="F947" s="201" t="n"/>
      <c r="G947" s="201" t="n"/>
      <c r="H947" s="201" t="n"/>
      <c r="I947" s="201" t="n"/>
      <c r="J947" s="201" t="n"/>
      <c r="K947" s="201" t="n"/>
      <c r="L947" s="201" t="n"/>
      <c r="M947" s="201" t="n"/>
      <c r="N947" s="201" t="n"/>
      <c r="O947" s="201" t="n"/>
      <c r="P947" s="201" t="n"/>
      <c r="Q947" s="201" t="n"/>
      <c r="R947" s="201" t="n"/>
    </row>
    <row r="948" ht="12.75" customHeight="1" s="202">
      <c r="A948" s="201" t="n"/>
      <c r="B948" s="201" t="n"/>
      <c r="C948" s="201" t="n"/>
      <c r="D948" s="201" t="n"/>
      <c r="E948" s="201" t="n"/>
      <c r="F948" s="201" t="n"/>
      <c r="G948" s="201" t="n"/>
      <c r="H948" s="201" t="n"/>
      <c r="I948" s="201" t="n"/>
      <c r="J948" s="201" t="n"/>
      <c r="K948" s="201" t="n"/>
      <c r="L948" s="201" t="n"/>
      <c r="M948" s="201" t="n"/>
      <c r="N948" s="201" t="n"/>
      <c r="O948" s="201" t="n"/>
      <c r="P948" s="201" t="n"/>
      <c r="Q948" s="201" t="n"/>
      <c r="R948" s="201" t="n"/>
    </row>
    <row r="949" ht="12.75" customHeight="1" s="202">
      <c r="A949" s="201" t="n"/>
      <c r="B949" s="201" t="n"/>
      <c r="C949" s="201" t="n"/>
      <c r="D949" s="201" t="n"/>
      <c r="E949" s="201" t="n"/>
      <c r="F949" s="201" t="n"/>
      <c r="G949" s="201" t="n"/>
      <c r="H949" s="201" t="n"/>
      <c r="I949" s="201" t="n"/>
      <c r="J949" s="201" t="n"/>
      <c r="K949" s="201" t="n"/>
      <c r="L949" s="201" t="n"/>
      <c r="M949" s="201" t="n"/>
      <c r="N949" s="201" t="n"/>
      <c r="O949" s="201" t="n"/>
      <c r="P949" s="201" t="n"/>
      <c r="Q949" s="201" t="n"/>
      <c r="R949" s="201" t="n"/>
    </row>
    <row r="950" ht="12.75" customHeight="1" s="202">
      <c r="A950" s="201" t="n"/>
      <c r="B950" s="201" t="n"/>
      <c r="C950" s="201" t="n"/>
      <c r="D950" s="201" t="n"/>
      <c r="E950" s="201" t="n"/>
      <c r="F950" s="201" t="n"/>
      <c r="G950" s="201" t="n"/>
      <c r="H950" s="201" t="n"/>
      <c r="I950" s="201" t="n"/>
      <c r="J950" s="201" t="n"/>
      <c r="K950" s="201" t="n"/>
      <c r="L950" s="201" t="n"/>
      <c r="M950" s="201" t="n"/>
      <c r="N950" s="201" t="n"/>
      <c r="O950" s="201" t="n"/>
      <c r="P950" s="201" t="n"/>
      <c r="Q950" s="201" t="n"/>
      <c r="R950" s="201" t="n"/>
    </row>
    <row r="951" ht="12.75" customHeight="1" s="202">
      <c r="A951" s="201" t="n"/>
      <c r="B951" s="201" t="n"/>
      <c r="C951" s="201" t="n"/>
      <c r="D951" s="201" t="n"/>
      <c r="E951" s="201" t="n"/>
      <c r="F951" s="201" t="n"/>
      <c r="G951" s="201" t="n"/>
      <c r="H951" s="201" t="n"/>
      <c r="I951" s="201" t="n"/>
      <c r="J951" s="201" t="n"/>
      <c r="K951" s="201" t="n"/>
      <c r="L951" s="201" t="n"/>
      <c r="M951" s="201" t="n"/>
      <c r="N951" s="201" t="n"/>
      <c r="O951" s="201" t="n"/>
      <c r="P951" s="201" t="n"/>
      <c r="Q951" s="201" t="n"/>
      <c r="R951" s="201" t="n"/>
    </row>
    <row r="952" ht="12.75" customHeight="1" s="202">
      <c r="A952" s="201" t="n"/>
      <c r="B952" s="201" t="n"/>
      <c r="C952" s="201" t="n"/>
      <c r="D952" s="201" t="n"/>
      <c r="E952" s="201" t="n"/>
      <c r="F952" s="201" t="n"/>
      <c r="G952" s="201" t="n"/>
      <c r="H952" s="201" t="n"/>
      <c r="I952" s="201" t="n"/>
      <c r="J952" s="201" t="n"/>
      <c r="K952" s="201" t="n"/>
      <c r="L952" s="201" t="n"/>
      <c r="M952" s="201" t="n"/>
      <c r="N952" s="201" t="n"/>
      <c r="O952" s="201" t="n"/>
      <c r="P952" s="201" t="n"/>
      <c r="Q952" s="201" t="n"/>
      <c r="R952" s="201" t="n"/>
    </row>
    <row r="953" ht="12.75" customHeight="1" s="202">
      <c r="A953" s="201" t="n"/>
      <c r="B953" s="201" t="n"/>
      <c r="C953" s="201" t="n"/>
      <c r="D953" s="201" t="n"/>
      <c r="E953" s="201" t="n"/>
      <c r="F953" s="201" t="n"/>
      <c r="G953" s="201" t="n"/>
      <c r="H953" s="201" t="n"/>
      <c r="I953" s="201" t="n"/>
      <c r="J953" s="201" t="n"/>
      <c r="K953" s="201" t="n"/>
      <c r="L953" s="201" t="n"/>
      <c r="M953" s="201" t="n"/>
      <c r="N953" s="201" t="n"/>
      <c r="O953" s="201" t="n"/>
      <c r="P953" s="201" t="n"/>
      <c r="Q953" s="201" t="n"/>
      <c r="R953" s="201" t="n"/>
    </row>
    <row r="954" ht="12.75" customHeight="1" s="202">
      <c r="A954" s="201" t="n"/>
      <c r="B954" s="201" t="n"/>
      <c r="C954" s="201" t="n"/>
      <c r="D954" s="201" t="n"/>
      <c r="E954" s="201" t="n"/>
      <c r="F954" s="201" t="n"/>
      <c r="G954" s="201" t="n"/>
      <c r="H954" s="201" t="n"/>
      <c r="I954" s="201" t="n"/>
      <c r="J954" s="201" t="n"/>
      <c r="K954" s="201" t="n"/>
      <c r="L954" s="201" t="n"/>
      <c r="M954" s="201" t="n"/>
      <c r="N954" s="201" t="n"/>
      <c r="O954" s="201" t="n"/>
      <c r="P954" s="201" t="n"/>
      <c r="Q954" s="201" t="n"/>
      <c r="R954" s="201" t="n"/>
    </row>
    <row r="955" ht="12.75" customHeight="1" s="202">
      <c r="A955" s="201" t="n"/>
      <c r="B955" s="201" t="n"/>
      <c r="C955" s="201" t="n"/>
      <c r="D955" s="201" t="n"/>
      <c r="E955" s="201" t="n"/>
      <c r="F955" s="201" t="n"/>
      <c r="G955" s="201" t="n"/>
      <c r="H955" s="201" t="n"/>
      <c r="I955" s="201" t="n"/>
      <c r="J955" s="201" t="n"/>
      <c r="K955" s="201" t="n"/>
      <c r="L955" s="201" t="n"/>
      <c r="M955" s="201" t="n"/>
      <c r="N955" s="201" t="n"/>
      <c r="O955" s="201" t="n"/>
      <c r="P955" s="201" t="n"/>
      <c r="Q955" s="201" t="n"/>
      <c r="R955" s="201" t="n"/>
    </row>
    <row r="956" ht="12.75" customHeight="1" s="202">
      <c r="A956" s="201" t="n"/>
      <c r="B956" s="201" t="n"/>
      <c r="C956" s="201" t="n"/>
      <c r="D956" s="201" t="n"/>
      <c r="E956" s="201" t="n"/>
      <c r="F956" s="201" t="n"/>
      <c r="G956" s="201" t="n"/>
      <c r="H956" s="201" t="n"/>
      <c r="I956" s="201" t="n"/>
      <c r="J956" s="201" t="n"/>
      <c r="K956" s="201" t="n"/>
      <c r="L956" s="201" t="n"/>
      <c r="M956" s="201" t="n"/>
      <c r="N956" s="201" t="n"/>
      <c r="O956" s="201" t="n"/>
      <c r="P956" s="201" t="n"/>
      <c r="Q956" s="201" t="n"/>
      <c r="R956" s="201" t="n"/>
    </row>
    <row r="957" ht="12.75" customHeight="1" s="202">
      <c r="A957" s="201" t="n"/>
      <c r="B957" s="201" t="n"/>
      <c r="C957" s="201" t="n"/>
      <c r="D957" s="201" t="n"/>
      <c r="E957" s="201" t="n"/>
      <c r="F957" s="201" t="n"/>
      <c r="G957" s="201" t="n"/>
      <c r="H957" s="201" t="n"/>
      <c r="I957" s="201" t="n"/>
      <c r="J957" s="201" t="n"/>
      <c r="K957" s="201" t="n"/>
      <c r="L957" s="201" t="n"/>
      <c r="M957" s="201" t="n"/>
      <c r="N957" s="201" t="n"/>
      <c r="O957" s="201" t="n"/>
      <c r="P957" s="201" t="n"/>
      <c r="Q957" s="201" t="n"/>
      <c r="R957" s="201" t="n"/>
    </row>
    <row r="958" ht="12.75" customHeight="1" s="202">
      <c r="A958" s="201" t="n"/>
      <c r="B958" s="201" t="n"/>
      <c r="C958" s="201" t="n"/>
      <c r="D958" s="201" t="n"/>
      <c r="E958" s="201" t="n"/>
      <c r="F958" s="201" t="n"/>
      <c r="G958" s="201" t="n"/>
      <c r="H958" s="201" t="n"/>
      <c r="I958" s="201" t="n"/>
      <c r="J958" s="201" t="n"/>
      <c r="K958" s="201" t="n"/>
      <c r="L958" s="201" t="n"/>
      <c r="M958" s="201" t="n"/>
      <c r="N958" s="201" t="n"/>
      <c r="O958" s="201" t="n"/>
      <c r="P958" s="201" t="n"/>
      <c r="Q958" s="201" t="n"/>
      <c r="R958" s="201" t="n"/>
    </row>
    <row r="959" ht="12.75" customHeight="1" s="202">
      <c r="A959" s="201" t="n"/>
      <c r="B959" s="201" t="n"/>
      <c r="C959" s="201" t="n"/>
      <c r="D959" s="201" t="n"/>
      <c r="E959" s="201" t="n"/>
      <c r="F959" s="201" t="n"/>
      <c r="G959" s="201" t="n"/>
      <c r="H959" s="201" t="n"/>
      <c r="I959" s="201" t="n"/>
      <c r="J959" s="201" t="n"/>
      <c r="K959" s="201" t="n"/>
      <c r="L959" s="201" t="n"/>
      <c r="M959" s="201" t="n"/>
      <c r="N959" s="201" t="n"/>
      <c r="O959" s="201" t="n"/>
      <c r="P959" s="201" t="n"/>
      <c r="Q959" s="201" t="n"/>
      <c r="R959" s="201" t="n"/>
    </row>
    <row r="960" ht="12.75" customHeight="1" s="202">
      <c r="A960" s="201" t="n"/>
      <c r="B960" s="201" t="n"/>
      <c r="C960" s="201" t="n"/>
      <c r="D960" s="201" t="n"/>
      <c r="E960" s="201" t="n"/>
      <c r="F960" s="201" t="n"/>
      <c r="G960" s="201" t="n"/>
      <c r="H960" s="201" t="n"/>
      <c r="I960" s="201" t="n"/>
      <c r="J960" s="201" t="n"/>
      <c r="K960" s="201" t="n"/>
      <c r="L960" s="201" t="n"/>
      <c r="M960" s="201" t="n"/>
      <c r="N960" s="201" t="n"/>
      <c r="O960" s="201" t="n"/>
      <c r="P960" s="201" t="n"/>
      <c r="Q960" s="201" t="n"/>
      <c r="R960" s="201" t="n"/>
    </row>
    <row r="961" ht="12.75" customHeight="1" s="202">
      <c r="A961" s="201" t="n"/>
      <c r="B961" s="201" t="n"/>
      <c r="C961" s="201" t="n"/>
      <c r="D961" s="201" t="n"/>
      <c r="E961" s="201" t="n"/>
      <c r="F961" s="201" t="n"/>
      <c r="G961" s="201" t="n"/>
      <c r="H961" s="201" t="n"/>
      <c r="I961" s="201" t="n"/>
      <c r="J961" s="201" t="n"/>
      <c r="K961" s="201" t="n"/>
      <c r="L961" s="201" t="n"/>
      <c r="M961" s="201" t="n"/>
      <c r="N961" s="201" t="n"/>
      <c r="O961" s="201" t="n"/>
      <c r="P961" s="201" t="n"/>
      <c r="Q961" s="201" t="n"/>
      <c r="R961" s="201" t="n"/>
    </row>
    <row r="962" ht="12.75" customHeight="1" s="202">
      <c r="A962" s="201" t="n"/>
      <c r="B962" s="201" t="n"/>
      <c r="C962" s="201" t="n"/>
      <c r="D962" s="201" t="n"/>
      <c r="E962" s="201" t="n"/>
      <c r="F962" s="201" t="n"/>
      <c r="G962" s="201" t="n"/>
      <c r="H962" s="201" t="n"/>
      <c r="I962" s="201" t="n"/>
      <c r="J962" s="201" t="n"/>
      <c r="K962" s="201" t="n"/>
      <c r="L962" s="201" t="n"/>
      <c r="M962" s="201" t="n"/>
      <c r="N962" s="201" t="n"/>
      <c r="O962" s="201" t="n"/>
      <c r="P962" s="201" t="n"/>
      <c r="Q962" s="201" t="n"/>
      <c r="R962" s="201" t="n"/>
    </row>
    <row r="963" ht="12.75" customHeight="1" s="202">
      <c r="A963" s="201" t="n"/>
      <c r="B963" s="201" t="n"/>
      <c r="C963" s="201" t="n"/>
      <c r="D963" s="201" t="n"/>
      <c r="E963" s="201" t="n"/>
      <c r="F963" s="201" t="n"/>
      <c r="G963" s="201" t="n"/>
      <c r="H963" s="201" t="n"/>
      <c r="I963" s="201" t="n"/>
      <c r="J963" s="201" t="n"/>
      <c r="K963" s="201" t="n"/>
      <c r="L963" s="201" t="n"/>
      <c r="M963" s="201" t="n"/>
      <c r="N963" s="201" t="n"/>
      <c r="O963" s="201" t="n"/>
      <c r="P963" s="201" t="n"/>
      <c r="Q963" s="201" t="n"/>
      <c r="R963" s="201" t="n"/>
    </row>
    <row r="964" ht="12.75" customHeight="1" s="202">
      <c r="A964" s="201" t="n"/>
      <c r="B964" s="201" t="n"/>
      <c r="C964" s="201" t="n"/>
      <c r="D964" s="201" t="n"/>
      <c r="E964" s="201" t="n"/>
      <c r="F964" s="201" t="n"/>
      <c r="G964" s="201" t="n"/>
      <c r="H964" s="201" t="n"/>
      <c r="I964" s="201" t="n"/>
      <c r="J964" s="201" t="n"/>
      <c r="K964" s="201" t="n"/>
      <c r="L964" s="201" t="n"/>
      <c r="M964" s="201" t="n"/>
      <c r="N964" s="201" t="n"/>
      <c r="O964" s="201" t="n"/>
      <c r="P964" s="201" t="n"/>
      <c r="Q964" s="201" t="n"/>
      <c r="R964" s="201" t="n"/>
    </row>
    <row r="965" ht="12.75" customHeight="1" s="202">
      <c r="A965" s="201" t="n"/>
      <c r="B965" s="201" t="n"/>
      <c r="C965" s="201" t="n"/>
      <c r="D965" s="201" t="n"/>
      <c r="E965" s="201" t="n"/>
      <c r="F965" s="201" t="n"/>
      <c r="G965" s="201" t="n"/>
      <c r="H965" s="201" t="n"/>
      <c r="I965" s="201" t="n"/>
      <c r="J965" s="201" t="n"/>
      <c r="K965" s="201" t="n"/>
      <c r="L965" s="201" t="n"/>
      <c r="M965" s="201" t="n"/>
      <c r="N965" s="201" t="n"/>
      <c r="O965" s="201" t="n"/>
      <c r="P965" s="201" t="n"/>
      <c r="Q965" s="201" t="n"/>
      <c r="R965" s="201" t="n"/>
    </row>
    <row r="966" ht="12.75" customHeight="1" s="202">
      <c r="A966" s="201" t="n"/>
      <c r="B966" s="201" t="n"/>
      <c r="C966" s="201" t="n"/>
      <c r="D966" s="201" t="n"/>
      <c r="E966" s="201" t="n"/>
      <c r="F966" s="201" t="n"/>
      <c r="G966" s="201" t="n"/>
      <c r="H966" s="201" t="n"/>
      <c r="I966" s="201" t="n"/>
      <c r="J966" s="201" t="n"/>
      <c r="K966" s="201" t="n"/>
      <c r="L966" s="201" t="n"/>
      <c r="M966" s="201" t="n"/>
      <c r="N966" s="201" t="n"/>
      <c r="O966" s="201" t="n"/>
      <c r="P966" s="201" t="n"/>
      <c r="Q966" s="201" t="n"/>
      <c r="R966" s="201" t="n"/>
    </row>
    <row r="967" ht="12.75" customHeight="1" s="202">
      <c r="A967" s="201" t="n"/>
      <c r="B967" s="201" t="n"/>
      <c r="C967" s="201" t="n"/>
      <c r="D967" s="201" t="n"/>
      <c r="E967" s="201" t="n"/>
      <c r="F967" s="201" t="n"/>
      <c r="G967" s="201" t="n"/>
      <c r="H967" s="201" t="n"/>
      <c r="I967" s="201" t="n"/>
      <c r="J967" s="201" t="n"/>
      <c r="K967" s="201" t="n"/>
      <c r="L967" s="201" t="n"/>
      <c r="M967" s="201" t="n"/>
      <c r="N967" s="201" t="n"/>
      <c r="O967" s="201" t="n"/>
      <c r="P967" s="201" t="n"/>
      <c r="Q967" s="201" t="n"/>
      <c r="R967" s="201" t="n"/>
    </row>
    <row r="968" ht="12.75" customHeight="1" s="202">
      <c r="A968" s="201" t="n"/>
      <c r="B968" s="201" t="n"/>
      <c r="C968" s="201" t="n"/>
      <c r="D968" s="201" t="n"/>
      <c r="E968" s="201" t="n"/>
      <c r="F968" s="201" t="n"/>
      <c r="G968" s="201" t="n"/>
      <c r="H968" s="201" t="n"/>
      <c r="I968" s="201" t="n"/>
      <c r="J968" s="201" t="n"/>
      <c r="K968" s="201" t="n"/>
      <c r="L968" s="201" t="n"/>
      <c r="M968" s="201" t="n"/>
      <c r="N968" s="201" t="n"/>
      <c r="O968" s="201" t="n"/>
      <c r="P968" s="201" t="n"/>
      <c r="Q968" s="201" t="n"/>
      <c r="R968" s="201" t="n"/>
    </row>
    <row r="969" ht="12.75" customHeight="1" s="202">
      <c r="A969" s="201" t="n"/>
      <c r="B969" s="201" t="n"/>
      <c r="C969" s="201" t="n"/>
      <c r="D969" s="201" t="n"/>
      <c r="E969" s="201" t="n"/>
      <c r="F969" s="201" t="n"/>
      <c r="G969" s="201" t="n"/>
      <c r="H969" s="201" t="n"/>
      <c r="I969" s="201" t="n"/>
      <c r="J969" s="201" t="n"/>
      <c r="K969" s="201" t="n"/>
      <c r="L969" s="201" t="n"/>
      <c r="M969" s="201" t="n"/>
      <c r="N969" s="201" t="n"/>
      <c r="O969" s="201" t="n"/>
      <c r="P969" s="201" t="n"/>
      <c r="Q969" s="201" t="n"/>
      <c r="R969" s="201" t="n"/>
    </row>
    <row r="970" ht="12.75" customHeight="1" s="202">
      <c r="A970" s="201" t="n"/>
      <c r="B970" s="201" t="n"/>
      <c r="C970" s="201" t="n"/>
      <c r="D970" s="201" t="n"/>
      <c r="E970" s="201" t="n"/>
      <c r="F970" s="201" t="n"/>
      <c r="G970" s="201" t="n"/>
      <c r="H970" s="201" t="n"/>
      <c r="I970" s="201" t="n"/>
      <c r="J970" s="201" t="n"/>
      <c r="K970" s="201" t="n"/>
      <c r="L970" s="201" t="n"/>
      <c r="M970" s="201" t="n"/>
      <c r="N970" s="201" t="n"/>
      <c r="O970" s="201" t="n"/>
      <c r="P970" s="201" t="n"/>
      <c r="Q970" s="201" t="n"/>
      <c r="R970" s="201" t="n"/>
    </row>
    <row r="971" ht="12.75" customHeight="1" s="202">
      <c r="A971" s="201" t="n"/>
      <c r="B971" s="201" t="n"/>
      <c r="C971" s="201" t="n"/>
      <c r="D971" s="201" t="n"/>
      <c r="E971" s="201" t="n"/>
      <c r="F971" s="201" t="n"/>
      <c r="G971" s="201" t="n"/>
      <c r="H971" s="201" t="n"/>
      <c r="I971" s="201" t="n"/>
      <c r="J971" s="201" t="n"/>
      <c r="K971" s="201" t="n"/>
      <c r="L971" s="201" t="n"/>
      <c r="M971" s="201" t="n"/>
      <c r="N971" s="201" t="n"/>
      <c r="O971" s="201" t="n"/>
      <c r="P971" s="201" t="n"/>
      <c r="Q971" s="201" t="n"/>
      <c r="R971" s="201" t="n"/>
    </row>
    <row r="972" ht="12.75" customHeight="1" s="202">
      <c r="A972" s="201" t="n"/>
      <c r="B972" s="201" t="n"/>
      <c r="C972" s="201" t="n"/>
      <c r="D972" s="201" t="n"/>
      <c r="E972" s="201" t="n"/>
      <c r="F972" s="201" t="n"/>
      <c r="G972" s="201" t="n"/>
      <c r="H972" s="201" t="n"/>
      <c r="I972" s="201" t="n"/>
      <c r="J972" s="201" t="n"/>
      <c r="K972" s="201" t="n"/>
      <c r="L972" s="201" t="n"/>
      <c r="M972" s="201" t="n"/>
      <c r="N972" s="201" t="n"/>
      <c r="O972" s="201" t="n"/>
      <c r="P972" s="201" t="n"/>
      <c r="Q972" s="201" t="n"/>
      <c r="R972" s="201" t="n"/>
    </row>
    <row r="973" ht="12.75" customHeight="1" s="202">
      <c r="A973" s="201" t="n"/>
      <c r="B973" s="201" t="n"/>
      <c r="C973" s="201" t="n"/>
      <c r="D973" s="201" t="n"/>
      <c r="E973" s="201" t="n"/>
      <c r="F973" s="201" t="n"/>
      <c r="G973" s="201" t="n"/>
      <c r="H973" s="201" t="n"/>
      <c r="I973" s="201" t="n"/>
      <c r="J973" s="201" t="n"/>
      <c r="K973" s="201" t="n"/>
      <c r="L973" s="201" t="n"/>
      <c r="M973" s="201" t="n"/>
      <c r="N973" s="201" t="n"/>
      <c r="O973" s="201" t="n"/>
      <c r="P973" s="201" t="n"/>
      <c r="Q973" s="201" t="n"/>
      <c r="R973" s="201" t="n"/>
    </row>
    <row r="974" ht="12.75" customHeight="1" s="202">
      <c r="A974" s="201" t="n"/>
      <c r="B974" s="201" t="n"/>
      <c r="C974" s="201" t="n"/>
      <c r="D974" s="201" t="n"/>
      <c r="E974" s="201" t="n"/>
      <c r="F974" s="201" t="n"/>
      <c r="G974" s="201" t="n"/>
      <c r="H974" s="201" t="n"/>
      <c r="I974" s="201" t="n"/>
      <c r="J974" s="201" t="n"/>
      <c r="K974" s="201" t="n"/>
      <c r="L974" s="201" t="n"/>
      <c r="M974" s="201" t="n"/>
      <c r="N974" s="201" t="n"/>
      <c r="O974" s="201" t="n"/>
      <c r="P974" s="201" t="n"/>
      <c r="Q974" s="201" t="n"/>
      <c r="R974" s="201" t="n"/>
    </row>
    <row r="975" ht="12.75" customHeight="1" s="202">
      <c r="A975" s="201" t="n"/>
      <c r="B975" s="201" t="n"/>
      <c r="C975" s="201" t="n"/>
      <c r="D975" s="201" t="n"/>
      <c r="E975" s="201" t="n"/>
      <c r="F975" s="201" t="n"/>
      <c r="G975" s="201" t="n"/>
      <c r="H975" s="201" t="n"/>
      <c r="I975" s="201" t="n"/>
      <c r="J975" s="201" t="n"/>
      <c r="K975" s="201" t="n"/>
      <c r="L975" s="201" t="n"/>
      <c r="M975" s="201" t="n"/>
      <c r="N975" s="201" t="n"/>
      <c r="O975" s="201" t="n"/>
      <c r="P975" s="201" t="n"/>
      <c r="Q975" s="201" t="n"/>
      <c r="R975" s="201" t="n"/>
    </row>
    <row r="976" ht="12.75" customHeight="1" s="202">
      <c r="A976" s="201" t="n"/>
      <c r="B976" s="201" t="n"/>
      <c r="C976" s="201" t="n"/>
      <c r="D976" s="201" t="n"/>
      <c r="E976" s="201" t="n"/>
      <c r="F976" s="201" t="n"/>
      <c r="G976" s="201" t="n"/>
      <c r="H976" s="201" t="n"/>
      <c r="I976" s="201" t="n"/>
      <c r="J976" s="201" t="n"/>
      <c r="K976" s="201" t="n"/>
      <c r="L976" s="201" t="n"/>
      <c r="M976" s="201" t="n"/>
      <c r="N976" s="201" t="n"/>
      <c r="O976" s="201" t="n"/>
      <c r="P976" s="201" t="n"/>
      <c r="Q976" s="201" t="n"/>
      <c r="R976" s="201" t="n"/>
    </row>
    <row r="977" ht="12.75" customHeight="1" s="202">
      <c r="A977" s="201" t="n"/>
      <c r="B977" s="201" t="n"/>
      <c r="C977" s="201" t="n"/>
      <c r="D977" s="201" t="n"/>
      <c r="E977" s="201" t="n"/>
      <c r="F977" s="201" t="n"/>
      <c r="G977" s="201" t="n"/>
      <c r="H977" s="201" t="n"/>
      <c r="I977" s="201" t="n"/>
      <c r="J977" s="201" t="n"/>
      <c r="K977" s="201" t="n"/>
      <c r="L977" s="201" t="n"/>
      <c r="M977" s="201" t="n"/>
      <c r="N977" s="201" t="n"/>
      <c r="O977" s="201" t="n"/>
      <c r="P977" s="201" t="n"/>
      <c r="Q977" s="201" t="n"/>
      <c r="R977" s="201" t="n"/>
    </row>
    <row r="978" ht="12.75" customHeight="1" s="202">
      <c r="A978" s="201" t="n"/>
      <c r="B978" s="201" t="n"/>
      <c r="C978" s="201" t="n"/>
      <c r="D978" s="201" t="n"/>
      <c r="E978" s="201" t="n"/>
      <c r="F978" s="201" t="n"/>
      <c r="G978" s="201" t="n"/>
      <c r="H978" s="201" t="n"/>
      <c r="I978" s="201" t="n"/>
      <c r="J978" s="201" t="n"/>
      <c r="K978" s="201" t="n"/>
      <c r="L978" s="201" t="n"/>
      <c r="M978" s="201" t="n"/>
      <c r="N978" s="201" t="n"/>
      <c r="O978" s="201" t="n"/>
      <c r="P978" s="201" t="n"/>
      <c r="Q978" s="201" t="n"/>
      <c r="R978" s="201" t="n"/>
    </row>
    <row r="979" ht="12.75" customHeight="1" s="202">
      <c r="A979" s="201" t="n"/>
      <c r="B979" s="201" t="n"/>
      <c r="C979" s="201" t="n"/>
      <c r="D979" s="201" t="n"/>
      <c r="E979" s="201" t="n"/>
      <c r="F979" s="201" t="n"/>
      <c r="G979" s="201" t="n"/>
      <c r="H979" s="201" t="n"/>
      <c r="I979" s="201" t="n"/>
      <c r="J979" s="201" t="n"/>
      <c r="K979" s="201" t="n"/>
      <c r="L979" s="201" t="n"/>
      <c r="M979" s="201" t="n"/>
      <c r="N979" s="201" t="n"/>
      <c r="O979" s="201" t="n"/>
      <c r="P979" s="201" t="n"/>
      <c r="Q979" s="201" t="n"/>
      <c r="R979" s="201" t="n"/>
    </row>
    <row r="980" ht="12.75" customHeight="1" s="202">
      <c r="A980" s="201" t="n"/>
      <c r="B980" s="201" t="n"/>
      <c r="C980" s="201" t="n"/>
      <c r="D980" s="201" t="n"/>
      <c r="E980" s="201" t="n"/>
      <c r="F980" s="201" t="n"/>
      <c r="G980" s="201" t="n"/>
      <c r="H980" s="201" t="n"/>
      <c r="I980" s="201" t="n"/>
      <c r="J980" s="201" t="n"/>
      <c r="K980" s="201" t="n"/>
      <c r="L980" s="201" t="n"/>
      <c r="M980" s="201" t="n"/>
      <c r="N980" s="201" t="n"/>
      <c r="O980" s="201" t="n"/>
      <c r="P980" s="201" t="n"/>
      <c r="Q980" s="201" t="n"/>
      <c r="R980" s="201" t="n"/>
    </row>
    <row r="981" ht="12.75" customHeight="1" s="202">
      <c r="A981" s="201" t="n"/>
      <c r="B981" s="201" t="n"/>
      <c r="C981" s="201" t="n"/>
      <c r="D981" s="201" t="n"/>
      <c r="E981" s="201" t="n"/>
      <c r="F981" s="201" t="n"/>
      <c r="G981" s="201" t="n"/>
      <c r="H981" s="201" t="n"/>
      <c r="I981" s="201" t="n"/>
      <c r="J981" s="201" t="n"/>
      <c r="K981" s="201" t="n"/>
      <c r="L981" s="201" t="n"/>
      <c r="M981" s="201" t="n"/>
      <c r="N981" s="201" t="n"/>
      <c r="O981" s="201" t="n"/>
      <c r="P981" s="201" t="n"/>
      <c r="Q981" s="201" t="n"/>
      <c r="R981" s="201" t="n"/>
    </row>
    <row r="982" ht="12.75" customHeight="1" s="202">
      <c r="A982" s="201" t="n"/>
      <c r="B982" s="201" t="n"/>
      <c r="C982" s="201" t="n"/>
      <c r="D982" s="201" t="n"/>
      <c r="E982" s="201" t="n"/>
      <c r="F982" s="201" t="n"/>
      <c r="G982" s="201" t="n"/>
      <c r="H982" s="201" t="n"/>
      <c r="I982" s="201" t="n"/>
      <c r="J982" s="201" t="n"/>
      <c r="K982" s="201" t="n"/>
      <c r="L982" s="201" t="n"/>
      <c r="M982" s="201" t="n"/>
      <c r="N982" s="201" t="n"/>
      <c r="O982" s="201" t="n"/>
      <c r="P982" s="201" t="n"/>
      <c r="Q982" s="201" t="n"/>
      <c r="R982" s="201" t="n"/>
    </row>
    <row r="983" ht="12.75" customHeight="1" s="202">
      <c r="A983" s="201" t="n"/>
      <c r="B983" s="201" t="n"/>
      <c r="C983" s="201" t="n"/>
      <c r="D983" s="201" t="n"/>
      <c r="E983" s="201" t="n"/>
      <c r="F983" s="201" t="n"/>
      <c r="G983" s="201" t="n"/>
      <c r="H983" s="201" t="n"/>
      <c r="I983" s="201" t="n"/>
      <c r="J983" s="201" t="n"/>
      <c r="K983" s="201" t="n"/>
      <c r="L983" s="201" t="n"/>
      <c r="M983" s="201" t="n"/>
      <c r="N983" s="201" t="n"/>
      <c r="O983" s="201" t="n"/>
      <c r="P983" s="201" t="n"/>
      <c r="Q983" s="201" t="n"/>
      <c r="R983" s="201" t="n"/>
    </row>
    <row r="984" ht="12.75" customHeight="1" s="202">
      <c r="A984" s="201" t="n"/>
      <c r="B984" s="201" t="n"/>
      <c r="C984" s="201" t="n"/>
      <c r="D984" s="201" t="n"/>
      <c r="E984" s="201" t="n"/>
      <c r="F984" s="201" t="n"/>
      <c r="G984" s="201" t="n"/>
      <c r="H984" s="201" t="n"/>
      <c r="I984" s="201" t="n"/>
      <c r="J984" s="201" t="n"/>
      <c r="K984" s="201" t="n"/>
      <c r="L984" s="201" t="n"/>
      <c r="M984" s="201" t="n"/>
      <c r="N984" s="201" t="n"/>
      <c r="O984" s="201" t="n"/>
      <c r="P984" s="201" t="n"/>
      <c r="Q984" s="201" t="n"/>
      <c r="R984" s="201" t="n"/>
    </row>
    <row r="985" ht="12.75" customHeight="1" s="202">
      <c r="A985" s="201" t="n"/>
      <c r="B985" s="201" t="n"/>
      <c r="C985" s="201" t="n"/>
      <c r="D985" s="201" t="n"/>
      <c r="E985" s="201" t="n"/>
      <c r="F985" s="201" t="n"/>
      <c r="G985" s="201" t="n"/>
      <c r="H985" s="201" t="n"/>
      <c r="I985" s="201" t="n"/>
      <c r="J985" s="201" t="n"/>
      <c r="K985" s="201" t="n"/>
      <c r="L985" s="201" t="n"/>
      <c r="M985" s="201" t="n"/>
      <c r="N985" s="201" t="n"/>
      <c r="O985" s="201" t="n"/>
      <c r="P985" s="201" t="n"/>
      <c r="Q985" s="201" t="n"/>
      <c r="R985" s="201" t="n"/>
    </row>
    <row r="986" ht="12.75" customHeight="1" s="202">
      <c r="A986" s="201" t="n"/>
      <c r="B986" s="201" t="n"/>
      <c r="C986" s="201" t="n"/>
      <c r="D986" s="201" t="n"/>
      <c r="E986" s="201" t="n"/>
      <c r="F986" s="201" t="n"/>
      <c r="G986" s="201" t="n"/>
      <c r="H986" s="201" t="n"/>
      <c r="I986" s="201" t="n"/>
      <c r="J986" s="201" t="n"/>
      <c r="K986" s="201" t="n"/>
      <c r="L986" s="201" t="n"/>
      <c r="M986" s="201" t="n"/>
      <c r="N986" s="201" t="n"/>
      <c r="O986" s="201" t="n"/>
      <c r="P986" s="201" t="n"/>
      <c r="Q986" s="201" t="n"/>
      <c r="R986" s="201" t="n"/>
    </row>
    <row r="987" ht="12.75" customHeight="1" s="202">
      <c r="A987" s="201" t="n"/>
      <c r="B987" s="201" t="n"/>
      <c r="C987" s="201" t="n"/>
      <c r="D987" s="201" t="n"/>
      <c r="E987" s="201" t="n"/>
      <c r="F987" s="201" t="n"/>
      <c r="G987" s="201" t="n"/>
      <c r="H987" s="201" t="n"/>
      <c r="I987" s="201" t="n"/>
      <c r="J987" s="201" t="n"/>
      <c r="K987" s="201" t="n"/>
      <c r="L987" s="201" t="n"/>
      <c r="M987" s="201" t="n"/>
      <c r="N987" s="201" t="n"/>
      <c r="O987" s="201" t="n"/>
      <c r="P987" s="201" t="n"/>
      <c r="Q987" s="201" t="n"/>
      <c r="R987" s="201" t="n"/>
    </row>
    <row r="988" ht="12.75" customHeight="1" s="202">
      <c r="A988" s="201" t="n"/>
      <c r="B988" s="201" t="n"/>
      <c r="C988" s="201" t="n"/>
      <c r="D988" s="201" t="n"/>
      <c r="E988" s="201" t="n"/>
      <c r="F988" s="201" t="n"/>
      <c r="G988" s="201" t="n"/>
      <c r="H988" s="201" t="n"/>
      <c r="I988" s="201" t="n"/>
      <c r="J988" s="201" t="n"/>
      <c r="K988" s="201" t="n"/>
      <c r="L988" s="201" t="n"/>
      <c r="M988" s="201" t="n"/>
      <c r="N988" s="201" t="n"/>
      <c r="O988" s="201" t="n"/>
      <c r="P988" s="201" t="n"/>
      <c r="Q988" s="201" t="n"/>
      <c r="R988" s="201" t="n"/>
    </row>
    <row r="989" ht="12.75" customHeight="1" s="202">
      <c r="A989" s="201" t="n"/>
      <c r="B989" s="201" t="n"/>
      <c r="C989" s="201" t="n"/>
      <c r="D989" s="201" t="n"/>
      <c r="E989" s="201" t="n"/>
      <c r="F989" s="201" t="n"/>
      <c r="G989" s="201" t="n"/>
      <c r="H989" s="201" t="n"/>
      <c r="I989" s="201" t="n"/>
      <c r="J989" s="201" t="n"/>
      <c r="K989" s="201" t="n"/>
      <c r="L989" s="201" t="n"/>
      <c r="M989" s="201" t="n"/>
      <c r="N989" s="201" t="n"/>
      <c r="O989" s="201" t="n"/>
      <c r="P989" s="201" t="n"/>
      <c r="Q989" s="201" t="n"/>
      <c r="R989" s="201" t="n"/>
    </row>
    <row r="990" ht="12.75" customHeight="1" s="202">
      <c r="A990" s="201" t="n"/>
      <c r="B990" s="201" t="n"/>
      <c r="C990" s="201" t="n"/>
      <c r="D990" s="201" t="n"/>
      <c r="E990" s="201" t="n"/>
      <c r="F990" s="201" t="n"/>
      <c r="G990" s="201" t="n"/>
      <c r="H990" s="201" t="n"/>
      <c r="I990" s="201" t="n"/>
      <c r="J990" s="201" t="n"/>
      <c r="K990" s="201" t="n"/>
      <c r="L990" s="201" t="n"/>
      <c r="M990" s="201" t="n"/>
      <c r="N990" s="201" t="n"/>
      <c r="O990" s="201" t="n"/>
      <c r="P990" s="201" t="n"/>
      <c r="Q990" s="201" t="n"/>
      <c r="R990" s="201" t="n"/>
    </row>
    <row r="991" ht="12.75" customHeight="1" s="202">
      <c r="A991" s="201" t="n"/>
      <c r="B991" s="201" t="n"/>
      <c r="C991" s="201" t="n"/>
      <c r="D991" s="201" t="n"/>
      <c r="E991" s="201" t="n"/>
      <c r="F991" s="201" t="n"/>
      <c r="G991" s="201" t="n"/>
      <c r="H991" s="201" t="n"/>
      <c r="I991" s="201" t="n"/>
      <c r="J991" s="201" t="n"/>
      <c r="K991" s="201" t="n"/>
      <c r="L991" s="201" t="n"/>
      <c r="M991" s="201" t="n"/>
      <c r="N991" s="201" t="n"/>
      <c r="O991" s="201" t="n"/>
      <c r="P991" s="201" t="n"/>
      <c r="Q991" s="201" t="n"/>
      <c r="R991" s="201" t="n"/>
    </row>
    <row r="992" ht="12.75" customHeight="1" s="202">
      <c r="A992" s="201" t="n"/>
      <c r="B992" s="201" t="n"/>
      <c r="C992" s="201" t="n"/>
      <c r="D992" s="201" t="n"/>
      <c r="E992" s="201" t="n"/>
      <c r="F992" s="201" t="n"/>
      <c r="G992" s="201" t="n"/>
      <c r="H992" s="201" t="n"/>
      <c r="I992" s="201" t="n"/>
      <c r="J992" s="201" t="n"/>
      <c r="K992" s="201" t="n"/>
      <c r="L992" s="201" t="n"/>
      <c r="M992" s="201" t="n"/>
      <c r="N992" s="201" t="n"/>
      <c r="O992" s="201" t="n"/>
      <c r="P992" s="201" t="n"/>
      <c r="Q992" s="201" t="n"/>
      <c r="R992" s="201" t="n"/>
    </row>
    <row r="993" ht="12.75" customHeight="1" s="202">
      <c r="A993" s="201" t="n"/>
      <c r="B993" s="201" t="n"/>
      <c r="C993" s="201" t="n"/>
      <c r="D993" s="201" t="n"/>
      <c r="E993" s="201" t="n"/>
      <c r="F993" s="201" t="n"/>
      <c r="G993" s="201" t="n"/>
      <c r="H993" s="201" t="n"/>
      <c r="I993" s="201" t="n"/>
      <c r="J993" s="201" t="n"/>
      <c r="K993" s="201" t="n"/>
      <c r="L993" s="201" t="n"/>
      <c r="M993" s="201" t="n"/>
      <c r="N993" s="201" t="n"/>
      <c r="O993" s="201" t="n"/>
      <c r="P993" s="201" t="n"/>
      <c r="Q993" s="201" t="n"/>
      <c r="R993" s="201" t="n"/>
    </row>
    <row r="994" ht="12.75" customHeight="1" s="202">
      <c r="A994" s="201" t="n"/>
      <c r="B994" s="201" t="n"/>
      <c r="C994" s="201" t="n"/>
      <c r="D994" s="201" t="n"/>
      <c r="E994" s="201" t="n"/>
      <c r="F994" s="201" t="n"/>
      <c r="G994" s="201" t="n"/>
      <c r="H994" s="201" t="n"/>
      <c r="I994" s="201" t="n"/>
      <c r="J994" s="201" t="n"/>
      <c r="K994" s="201" t="n"/>
      <c r="L994" s="201" t="n"/>
      <c r="M994" s="201" t="n"/>
      <c r="N994" s="201" t="n"/>
      <c r="O994" s="201" t="n"/>
      <c r="P994" s="201" t="n"/>
      <c r="Q994" s="201" t="n"/>
      <c r="R994" s="201" t="n"/>
    </row>
    <row r="995" ht="12.75" customHeight="1" s="202">
      <c r="A995" s="201" t="n"/>
      <c r="B995" s="201" t="n"/>
      <c r="C995" s="201" t="n"/>
      <c r="D995" s="201" t="n"/>
      <c r="E995" s="201" t="n"/>
      <c r="F995" s="201" t="n"/>
      <c r="G995" s="201" t="n"/>
      <c r="H995" s="201" t="n"/>
      <c r="I995" s="201" t="n"/>
      <c r="J995" s="201" t="n"/>
      <c r="K995" s="201" t="n"/>
      <c r="L995" s="201" t="n"/>
      <c r="M995" s="201" t="n"/>
      <c r="N995" s="201" t="n"/>
      <c r="O995" s="201" t="n"/>
      <c r="P995" s="201" t="n"/>
      <c r="Q995" s="201" t="n"/>
      <c r="R995" s="201" t="n"/>
    </row>
    <row r="996" ht="12.75" customHeight="1" s="202">
      <c r="A996" s="201" t="n"/>
      <c r="B996" s="201" t="n"/>
      <c r="C996" s="201" t="n"/>
      <c r="D996" s="201" t="n"/>
      <c r="E996" s="201" t="n"/>
      <c r="F996" s="201" t="n"/>
      <c r="G996" s="201" t="n"/>
      <c r="H996" s="201" t="n"/>
      <c r="I996" s="201" t="n"/>
      <c r="J996" s="201" t="n"/>
      <c r="K996" s="201" t="n"/>
      <c r="L996" s="201" t="n"/>
      <c r="M996" s="201" t="n"/>
      <c r="N996" s="201" t="n"/>
      <c r="O996" s="201" t="n"/>
      <c r="P996" s="201" t="n"/>
      <c r="Q996" s="201" t="n"/>
      <c r="R996" s="201" t="n"/>
    </row>
    <row r="997" ht="12.75" customHeight="1" s="202">
      <c r="A997" s="201" t="n"/>
      <c r="B997" s="201" t="n"/>
      <c r="C997" s="201" t="n"/>
      <c r="D997" s="201" t="n"/>
      <c r="E997" s="201" t="n"/>
      <c r="F997" s="201" t="n"/>
      <c r="G997" s="201" t="n"/>
      <c r="H997" s="201" t="n"/>
      <c r="I997" s="201" t="n"/>
      <c r="J997" s="201" t="n"/>
      <c r="K997" s="201" t="n"/>
      <c r="L997" s="201" t="n"/>
      <c r="M997" s="201" t="n"/>
      <c r="N997" s="201" t="n"/>
      <c r="O997" s="201" t="n"/>
      <c r="P997" s="201" t="n"/>
      <c r="Q997" s="201" t="n"/>
      <c r="R997" s="201" t="n"/>
    </row>
    <row r="998" ht="12.75" customHeight="1" s="202">
      <c r="A998" s="201" t="n"/>
      <c r="B998" s="201" t="n"/>
      <c r="C998" s="201" t="n"/>
      <c r="D998" s="201" t="n"/>
      <c r="E998" s="201" t="n"/>
      <c r="F998" s="201" t="n"/>
      <c r="G998" s="201" t="n"/>
      <c r="H998" s="201" t="n"/>
      <c r="I998" s="201" t="n"/>
      <c r="J998" s="201" t="n"/>
      <c r="K998" s="201" t="n"/>
      <c r="L998" s="201" t="n"/>
      <c r="M998" s="201" t="n"/>
      <c r="N998" s="201" t="n"/>
      <c r="O998" s="201" t="n"/>
      <c r="P998" s="201" t="n"/>
      <c r="Q998" s="201" t="n"/>
      <c r="R998" s="201" t="n"/>
    </row>
    <row r="999" ht="12.75" customHeight="1" s="202">
      <c r="A999" s="201" t="n"/>
      <c r="B999" s="201" t="n"/>
      <c r="C999" s="201" t="n"/>
      <c r="D999" s="201" t="n"/>
      <c r="E999" s="201" t="n"/>
      <c r="F999" s="201" t="n"/>
      <c r="G999" s="201" t="n"/>
      <c r="H999" s="201" t="n"/>
      <c r="I999" s="201" t="n"/>
      <c r="J999" s="201" t="n"/>
      <c r="K999" s="201" t="n"/>
      <c r="L999" s="201" t="n"/>
      <c r="M999" s="201" t="n"/>
      <c r="N999" s="201" t="n"/>
      <c r="O999" s="201" t="n"/>
      <c r="P999" s="201" t="n"/>
      <c r="Q999" s="201" t="n"/>
      <c r="R999" s="201" t="n"/>
    </row>
    <row r="1000" ht="12.75" customHeight="1" s="202">
      <c r="A1000" s="201" t="n"/>
      <c r="B1000" s="201" t="n"/>
      <c r="C1000" s="201" t="n"/>
      <c r="D1000" s="201" t="n"/>
      <c r="E1000" s="201" t="n"/>
      <c r="F1000" s="201" t="n"/>
      <c r="G1000" s="201" t="n"/>
      <c r="H1000" s="201" t="n"/>
      <c r="I1000" s="201" t="n"/>
      <c r="J1000" s="201" t="n"/>
      <c r="K1000" s="201" t="n"/>
      <c r="L1000" s="201" t="n"/>
      <c r="M1000" s="201" t="n"/>
      <c r="N1000" s="201" t="n"/>
      <c r="O1000" s="201" t="n"/>
      <c r="P1000" s="201" t="n"/>
      <c r="Q1000" s="201" t="n"/>
      <c r="R1000" s="201" t="n"/>
    </row>
    <row r="1001" ht="12.75" customHeight="1" s="202">
      <c r="A1001" s="201" t="n"/>
      <c r="B1001" s="201" t="n"/>
      <c r="C1001" s="201" t="n"/>
      <c r="D1001" s="201" t="n"/>
      <c r="E1001" s="201" t="n"/>
      <c r="F1001" s="201" t="n"/>
      <c r="G1001" s="201" t="n"/>
      <c r="H1001" s="201" t="n"/>
      <c r="I1001" s="201" t="n"/>
      <c r="J1001" s="201" t="n"/>
      <c r="K1001" s="201" t="n"/>
      <c r="L1001" s="201" t="n"/>
      <c r="M1001" s="201" t="n"/>
      <c r="N1001" s="201" t="n"/>
      <c r="O1001" s="201" t="n"/>
      <c r="P1001" s="201" t="n"/>
      <c r="Q1001" s="201" t="n"/>
      <c r="R1001" s="201" t="n"/>
    </row>
    <row r="1002" ht="12.75" customHeight="1" s="202">
      <c r="A1002" s="201" t="n"/>
      <c r="B1002" s="201" t="n"/>
      <c r="C1002" s="201" t="n"/>
      <c r="D1002" s="201" t="n"/>
      <c r="E1002" s="201" t="n"/>
      <c r="F1002" s="201" t="n"/>
      <c r="G1002" s="201" t="n"/>
      <c r="H1002" s="201" t="n"/>
      <c r="I1002" s="201" t="n"/>
      <c r="J1002" s="201" t="n"/>
      <c r="K1002" s="201" t="n"/>
      <c r="L1002" s="201" t="n"/>
      <c r="M1002" s="201" t="n"/>
      <c r="N1002" s="201" t="n"/>
      <c r="O1002" s="201" t="n"/>
      <c r="P1002" s="201" t="n"/>
      <c r="Q1002" s="201" t="n"/>
      <c r="R1002" s="201" t="n"/>
    </row>
    <row r="1003" ht="12.75" customHeight="1" s="202">
      <c r="A1003" s="201" t="n"/>
      <c r="B1003" s="201" t="n"/>
      <c r="C1003" s="201" t="n"/>
      <c r="D1003" s="201" t="n"/>
      <c r="E1003" s="201" t="n"/>
      <c r="F1003" s="201" t="n"/>
      <c r="G1003" s="201" t="n"/>
      <c r="H1003" s="201" t="n"/>
      <c r="I1003" s="201" t="n"/>
      <c r="J1003" s="201" t="n"/>
      <c r="K1003" s="201" t="n"/>
      <c r="L1003" s="201" t="n"/>
      <c r="M1003" s="201" t="n"/>
      <c r="N1003" s="201" t="n"/>
      <c r="O1003" s="201" t="n"/>
      <c r="P1003" s="201" t="n"/>
      <c r="Q1003" s="201" t="n"/>
      <c r="R1003" s="201" t="n"/>
    </row>
    <row r="1004" ht="12.75" customHeight="1" s="202">
      <c r="A1004" s="201" t="n"/>
      <c r="B1004" s="201" t="n"/>
      <c r="C1004" s="201" t="n"/>
      <c r="D1004" s="201" t="n"/>
      <c r="E1004" s="201" t="n"/>
      <c r="F1004" s="201" t="n"/>
      <c r="G1004" s="201" t="n"/>
      <c r="H1004" s="201" t="n"/>
      <c r="I1004" s="201" t="n"/>
      <c r="J1004" s="201" t="n"/>
      <c r="K1004" s="201" t="n"/>
      <c r="L1004" s="201" t="n"/>
      <c r="M1004" s="201" t="n"/>
      <c r="N1004" s="201" t="n"/>
      <c r="O1004" s="201" t="n"/>
      <c r="P1004" s="201" t="n"/>
      <c r="Q1004" s="201" t="n"/>
      <c r="R1004" s="201" t="n"/>
    </row>
    <row r="1005" ht="12.75" customHeight="1" s="202">
      <c r="A1005" s="201" t="n"/>
      <c r="B1005" s="201" t="n"/>
      <c r="C1005" s="201" t="n"/>
      <c r="D1005" s="201" t="n"/>
      <c r="E1005" s="201" t="n"/>
      <c r="F1005" s="201" t="n"/>
      <c r="G1005" s="201" t="n"/>
      <c r="H1005" s="201" t="n"/>
      <c r="I1005" s="201" t="n"/>
      <c r="J1005" s="201" t="n"/>
      <c r="K1005" s="201" t="n"/>
      <c r="L1005" s="201" t="n"/>
      <c r="M1005" s="201" t="n"/>
      <c r="N1005" s="201" t="n"/>
      <c r="O1005" s="201" t="n"/>
      <c r="P1005" s="201" t="n"/>
      <c r="Q1005" s="201" t="n"/>
      <c r="R1005" s="201" t="n"/>
    </row>
    <row r="1006" ht="12.75" customHeight="1" s="202">
      <c r="A1006" s="201" t="n"/>
      <c r="B1006" s="201" t="n"/>
      <c r="C1006" s="201" t="n"/>
      <c r="D1006" s="201" t="n"/>
      <c r="E1006" s="201" t="n"/>
      <c r="F1006" s="201" t="n"/>
      <c r="G1006" s="201" t="n"/>
      <c r="H1006" s="201" t="n"/>
      <c r="I1006" s="201" t="n"/>
      <c r="J1006" s="201" t="n"/>
      <c r="K1006" s="201" t="n"/>
      <c r="L1006" s="201" t="n"/>
      <c r="M1006" s="201" t="n"/>
      <c r="N1006" s="201" t="n"/>
      <c r="O1006" s="201" t="n"/>
      <c r="P1006" s="201" t="n"/>
      <c r="Q1006" s="201" t="n"/>
      <c r="R1006" s="201" t="n"/>
    </row>
    <row r="1007" ht="12.75" customHeight="1" s="202">
      <c r="A1007" s="201" t="n"/>
      <c r="B1007" s="201" t="n"/>
      <c r="C1007" s="201" t="n"/>
      <c r="D1007" s="201" t="n"/>
      <c r="E1007" s="201" t="n"/>
      <c r="F1007" s="201" t="n"/>
      <c r="G1007" s="201" t="n"/>
      <c r="H1007" s="201" t="n"/>
      <c r="I1007" s="201" t="n"/>
      <c r="J1007" s="201" t="n"/>
      <c r="K1007" s="201" t="n"/>
      <c r="L1007" s="201" t="n"/>
      <c r="M1007" s="201" t="n"/>
      <c r="N1007" s="201" t="n"/>
      <c r="O1007" s="201" t="n"/>
      <c r="P1007" s="201" t="n"/>
      <c r="Q1007" s="201" t="n"/>
      <c r="R1007" s="201" t="n"/>
    </row>
    <row r="1008" ht="12.75" customHeight="1" s="202">
      <c r="A1008" s="201" t="n"/>
      <c r="B1008" s="201" t="n"/>
      <c r="C1008" s="201" t="n"/>
      <c r="D1008" s="201" t="n"/>
      <c r="E1008" s="201" t="n"/>
      <c r="F1008" s="201" t="n"/>
      <c r="G1008" s="201" t="n"/>
      <c r="H1008" s="201" t="n"/>
      <c r="I1008" s="201" t="n"/>
      <c r="J1008" s="201" t="n"/>
      <c r="K1008" s="201" t="n"/>
      <c r="L1008" s="201" t="n"/>
      <c r="M1008" s="201" t="n"/>
      <c r="N1008" s="201" t="n"/>
      <c r="O1008" s="201" t="n"/>
      <c r="P1008" s="201" t="n"/>
      <c r="Q1008" s="201" t="n"/>
      <c r="R1008" s="201" t="n"/>
    </row>
    <row r="1009" ht="12.75" customHeight="1" s="202">
      <c r="A1009" s="201" t="n"/>
      <c r="B1009" s="201" t="n"/>
      <c r="C1009" s="201" t="n"/>
      <c r="D1009" s="201" t="n"/>
      <c r="E1009" s="201" t="n"/>
      <c r="F1009" s="201" t="n"/>
      <c r="G1009" s="201" t="n"/>
      <c r="H1009" s="201" t="n"/>
      <c r="I1009" s="201" t="n"/>
      <c r="J1009" s="201" t="n"/>
      <c r="K1009" s="201" t="n"/>
      <c r="L1009" s="201" t="n"/>
      <c r="M1009" s="201" t="n"/>
      <c r="N1009" s="201" t="n"/>
      <c r="O1009" s="201" t="n"/>
      <c r="P1009" s="201" t="n"/>
      <c r="Q1009" s="201" t="n"/>
      <c r="R1009" s="201" t="n"/>
    </row>
    <row r="1010" ht="12.75" customHeight="1" s="202">
      <c r="A1010" s="201" t="n"/>
      <c r="B1010" s="201" t="n"/>
      <c r="C1010" s="201" t="n"/>
      <c r="D1010" s="201" t="n"/>
      <c r="E1010" s="201" t="n"/>
      <c r="F1010" s="201" t="n"/>
      <c r="G1010" s="201" t="n"/>
      <c r="H1010" s="201" t="n"/>
      <c r="I1010" s="201" t="n"/>
      <c r="J1010" s="201" t="n"/>
      <c r="K1010" s="201" t="n"/>
      <c r="L1010" s="201" t="n"/>
      <c r="M1010" s="201" t="n"/>
      <c r="N1010" s="201" t="n"/>
      <c r="O1010" s="201" t="n"/>
      <c r="P1010" s="201" t="n"/>
      <c r="Q1010" s="201" t="n"/>
      <c r="R1010" s="201" t="n"/>
    </row>
    <row r="1011" ht="12.75" customHeight="1" s="202">
      <c r="A1011" s="201" t="n"/>
      <c r="B1011" s="201" t="n"/>
      <c r="C1011" s="201" t="n"/>
      <c r="D1011" s="201" t="n"/>
      <c r="E1011" s="201" t="n"/>
      <c r="F1011" s="201" t="n"/>
      <c r="G1011" s="201" t="n"/>
      <c r="H1011" s="201" t="n"/>
      <c r="I1011" s="201" t="n"/>
      <c r="J1011" s="201" t="n"/>
      <c r="K1011" s="201" t="n"/>
      <c r="L1011" s="201" t="n"/>
      <c r="M1011" s="201" t="n"/>
      <c r="N1011" s="201" t="n"/>
      <c r="O1011" s="201" t="n"/>
      <c r="P1011" s="201" t="n"/>
      <c r="Q1011" s="201" t="n"/>
      <c r="R1011" s="201" t="n"/>
    </row>
    <row r="1012" ht="12.75" customHeight="1" s="202">
      <c r="A1012" s="201" t="n"/>
      <c r="B1012" s="201" t="n"/>
      <c r="C1012" s="201" t="n"/>
      <c r="D1012" s="201" t="n"/>
      <c r="E1012" s="201" t="n"/>
      <c r="F1012" s="201" t="n"/>
      <c r="G1012" s="201" t="n"/>
      <c r="H1012" s="201" t="n"/>
      <c r="I1012" s="201" t="n"/>
      <c r="J1012" s="201" t="n"/>
      <c r="K1012" s="201" t="n"/>
      <c r="L1012" s="201" t="n"/>
      <c r="M1012" s="201" t="n"/>
      <c r="N1012" s="201" t="n"/>
      <c r="O1012" s="201" t="n"/>
      <c r="P1012" s="201" t="n"/>
      <c r="Q1012" s="201" t="n"/>
      <c r="R1012" s="201" t="n"/>
    </row>
    <row r="1013" ht="12.75" customHeight="1" s="202">
      <c r="A1013" s="201" t="n"/>
      <c r="B1013" s="201" t="n"/>
      <c r="C1013" s="201" t="n"/>
      <c r="D1013" s="201" t="n"/>
      <c r="E1013" s="201" t="n"/>
      <c r="F1013" s="201" t="n"/>
      <c r="G1013" s="201" t="n"/>
      <c r="H1013" s="201" t="n"/>
      <c r="I1013" s="201" t="n"/>
      <c r="J1013" s="201" t="n"/>
      <c r="K1013" s="201" t="n"/>
      <c r="L1013" s="201" t="n"/>
      <c r="M1013" s="201" t="n"/>
      <c r="N1013" s="201" t="n"/>
      <c r="O1013" s="201" t="n"/>
      <c r="P1013" s="201" t="n"/>
      <c r="Q1013" s="201" t="n"/>
      <c r="R1013" s="201" t="n"/>
    </row>
    <row r="1014" ht="12.75" customHeight="1" s="202">
      <c r="A1014" s="201" t="n"/>
      <c r="B1014" s="201" t="n"/>
      <c r="C1014" s="201" t="n"/>
      <c r="D1014" s="201" t="n"/>
      <c r="E1014" s="201" t="n"/>
      <c r="F1014" s="201" t="n"/>
      <c r="G1014" s="201" t="n"/>
      <c r="H1014" s="201" t="n"/>
      <c r="I1014" s="201" t="n"/>
      <c r="J1014" s="201" t="n"/>
      <c r="K1014" s="201" t="n"/>
      <c r="L1014" s="201" t="n"/>
      <c r="M1014" s="201" t="n"/>
      <c r="N1014" s="201" t="n"/>
      <c r="O1014" s="201" t="n"/>
      <c r="P1014" s="201" t="n"/>
      <c r="Q1014" s="201" t="n"/>
      <c r="R1014" s="201" t="n"/>
    </row>
    <row r="1015" ht="12.75" customHeight="1" s="202">
      <c r="A1015" s="201" t="n"/>
      <c r="B1015" s="201" t="n"/>
      <c r="C1015" s="201" t="n"/>
      <c r="D1015" s="201" t="n"/>
      <c r="E1015" s="201" t="n"/>
      <c r="F1015" s="201" t="n"/>
      <c r="G1015" s="201" t="n"/>
      <c r="H1015" s="201" t="n"/>
      <c r="I1015" s="201" t="n"/>
      <c r="J1015" s="201" t="n"/>
      <c r="K1015" s="201" t="n"/>
      <c r="L1015" s="201" t="n"/>
      <c r="M1015" s="201" t="n"/>
      <c r="N1015" s="201" t="n"/>
      <c r="O1015" s="201" t="n"/>
      <c r="P1015" s="201" t="n"/>
      <c r="Q1015" s="201" t="n"/>
      <c r="R1015" s="201" t="n"/>
    </row>
    <row r="1016" ht="12.75" customHeight="1" s="202">
      <c r="A1016" s="201" t="n"/>
      <c r="B1016" s="201" t="n"/>
      <c r="C1016" s="201" t="n"/>
      <c r="D1016" s="201" t="n"/>
      <c r="E1016" s="201" t="n"/>
      <c r="F1016" s="201" t="n"/>
      <c r="G1016" s="201" t="n"/>
      <c r="H1016" s="201" t="n"/>
      <c r="I1016" s="201" t="n"/>
      <c r="J1016" s="201" t="n"/>
      <c r="K1016" s="201" t="n"/>
      <c r="L1016" s="201" t="n"/>
      <c r="M1016" s="201" t="n"/>
      <c r="N1016" s="201" t="n"/>
      <c r="O1016" s="201" t="n"/>
      <c r="P1016" s="201" t="n"/>
      <c r="Q1016" s="201" t="n"/>
      <c r="R1016" s="201" t="n"/>
    </row>
    <row r="1017" ht="12.75" customHeight="1" s="202">
      <c r="A1017" s="201" t="n"/>
      <c r="B1017" s="201" t="n"/>
      <c r="C1017" s="201" t="n"/>
      <c r="D1017" s="201" t="n"/>
      <c r="E1017" s="201" t="n"/>
      <c r="F1017" s="201" t="n"/>
      <c r="G1017" s="201" t="n"/>
      <c r="H1017" s="201" t="n"/>
      <c r="I1017" s="201" t="n"/>
      <c r="J1017" s="201" t="n"/>
      <c r="K1017" s="201" t="n"/>
      <c r="L1017" s="201" t="n"/>
      <c r="M1017" s="201" t="n"/>
      <c r="N1017" s="201" t="n"/>
      <c r="O1017" s="201" t="n"/>
      <c r="P1017" s="201" t="n"/>
      <c r="Q1017" s="201" t="n"/>
      <c r="R1017" s="201" t="n"/>
    </row>
    <row r="1018" ht="12.75" customHeight="1" s="202">
      <c r="A1018" s="201" t="n"/>
      <c r="B1018" s="201" t="n"/>
      <c r="C1018" s="201" t="n"/>
      <c r="D1018" s="201" t="n"/>
      <c r="E1018" s="201" t="n"/>
      <c r="F1018" s="201" t="n"/>
      <c r="G1018" s="201" t="n"/>
      <c r="H1018" s="201" t="n"/>
      <c r="I1018" s="201" t="n"/>
      <c r="J1018" s="201" t="n"/>
      <c r="K1018" s="201" t="n"/>
      <c r="L1018" s="201" t="n"/>
      <c r="M1018" s="201" t="n"/>
      <c r="N1018" s="201" t="n"/>
      <c r="O1018" s="201" t="n"/>
      <c r="P1018" s="201" t="n"/>
      <c r="Q1018" s="201" t="n"/>
      <c r="R1018" s="201" t="n"/>
    </row>
    <row r="1019" ht="12.75" customHeight="1" s="202">
      <c r="A1019" s="201" t="n"/>
      <c r="B1019" s="201" t="n"/>
      <c r="C1019" s="201" t="n"/>
      <c r="D1019" s="201" t="n"/>
      <c r="E1019" s="201" t="n"/>
      <c r="F1019" s="201" t="n"/>
      <c r="G1019" s="201" t="n"/>
      <c r="H1019" s="201" t="n"/>
      <c r="I1019" s="201" t="n"/>
      <c r="J1019" s="201" t="n"/>
      <c r="K1019" s="201" t="n"/>
      <c r="L1019" s="201" t="n"/>
      <c r="M1019" s="201" t="n"/>
      <c r="N1019" s="201" t="n"/>
      <c r="O1019" s="201" t="n"/>
      <c r="P1019" s="201" t="n"/>
      <c r="Q1019" s="201" t="n"/>
      <c r="R1019" s="201" t="n"/>
    </row>
    <row r="1020" ht="12.75" customHeight="1" s="202">
      <c r="A1020" s="201" t="n"/>
      <c r="B1020" s="201" t="n"/>
      <c r="C1020" s="201" t="n"/>
      <c r="D1020" s="201" t="n"/>
      <c r="E1020" s="201" t="n"/>
      <c r="F1020" s="201" t="n"/>
      <c r="G1020" s="201" t="n"/>
      <c r="H1020" s="201" t="n"/>
      <c r="I1020" s="201" t="n"/>
      <c r="J1020" s="201" t="n"/>
      <c r="K1020" s="201" t="n"/>
      <c r="L1020" s="201" t="n"/>
      <c r="M1020" s="201" t="n"/>
      <c r="N1020" s="201" t="n"/>
      <c r="O1020" s="201" t="n"/>
      <c r="P1020" s="201" t="n"/>
      <c r="Q1020" s="201" t="n"/>
      <c r="R1020" s="201" t="n"/>
    </row>
    <row r="1021" ht="12.75" customHeight="1" s="202">
      <c r="A1021" s="201" t="n"/>
      <c r="B1021" s="201" t="n"/>
      <c r="C1021" s="201" t="n"/>
      <c r="D1021" s="201" t="n"/>
      <c r="E1021" s="201" t="n"/>
      <c r="F1021" s="201" t="n"/>
      <c r="G1021" s="201" t="n"/>
      <c r="H1021" s="201" t="n"/>
      <c r="I1021" s="201" t="n"/>
      <c r="J1021" s="201" t="n"/>
      <c r="K1021" s="201" t="n"/>
      <c r="L1021" s="201" t="n"/>
      <c r="M1021" s="201" t="n"/>
      <c r="N1021" s="201" t="n"/>
      <c r="O1021" s="201" t="n"/>
      <c r="P1021" s="201" t="n"/>
      <c r="Q1021" s="201" t="n"/>
      <c r="R1021" s="201" t="n"/>
    </row>
    <row r="1022" ht="12.75" customHeight="1" s="202"/>
  </sheetData>
  <mergeCells count="11">
    <mergeCell ref="I6:J6"/>
    <mergeCell ref="M6:M7"/>
    <mergeCell ref="L6:L7"/>
    <mergeCell ref="K6:K7"/>
    <mergeCell ref="E6:E7"/>
    <mergeCell ref="C6:C7"/>
    <mergeCell ref="G6:H6"/>
    <mergeCell ref="O6:O7"/>
    <mergeCell ref="D6:D7"/>
    <mergeCell ref="N6:N7"/>
    <mergeCell ref="F6:F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cols>
    <col width="8" customWidth="1" style="202" min="1" max="1"/>
    <col width="12" customWidth="1" style="202" min="2" max="2"/>
    <col width="8" customWidth="1" style="202" min="3" max="3"/>
    <col width="12" customWidth="1" style="202" min="4" max="4"/>
    <col width="36" customWidth="1" style="202" min="5" max="5"/>
    <col width="10" customWidth="1" style="202" min="6" max="6"/>
    <col width="14" customWidth="1" style="202" min="7" max="7"/>
    <col width="10" customWidth="1" style="202" min="8" max="8"/>
    <col width="10" customWidth="1" style="202" min="9" max="9"/>
    <col width="8" customWidth="1" style="202" min="12" max="12"/>
    <col width="12" customWidth="1" style="202" min="13" max="13"/>
    <col width="14" customWidth="1" style="202" min="14" max="14"/>
  </cols>
  <sheetData>
    <row r="1">
      <c r="A1" s="273" t="inlineStr">
        <is>
          <t>금액순 · 포트폴리오 비중 100% (계좌현황 자동연동)</t>
        </is>
      </c>
    </row>
    <row r="2">
      <c r="A2" s="274" t="inlineStr">
        <is>
          <t>왼쪽 '계좌현황' 시트의 평가액(K열)·계좌(A열)을 수식으로 참조합니다. 왼쪽을 수정·정렬하면 이 탭 수치가 함께 바뀝니다. (Google 스프레드시트 / Excel 365 권장)</t>
        </is>
      </c>
    </row>
    <row r="3">
      <c r="A3" t="inlineStr">
        <is>
          <t>총 평가액</t>
        </is>
      </c>
      <c r="B3" s="275">
        <f>SUM('계좌현황'!K9:K84)</f>
        <v/>
      </c>
      <c r="C3" t="inlineStr">
        <is>
          <t>종목수</t>
        </is>
      </c>
      <c r="D3" s="276">
        <f>COUNTA('계좌현황'!E9:E84)</f>
        <v/>
      </c>
    </row>
    <row r="5">
      <c r="A5" s="273" t="inlineStr">
        <is>
          <t>① 계좌별 합계 (왼쪽 자동집계)</t>
        </is>
      </c>
    </row>
    <row r="6">
      <c r="A6" s="277" t="inlineStr">
        <is>
          <t>계좌</t>
        </is>
      </c>
      <c r="B6" s="277" t="inlineStr">
        <is>
          <t>평가액</t>
        </is>
      </c>
      <c r="C6" s="277" t="inlineStr">
        <is>
          <t>비중</t>
        </is>
      </c>
      <c r="D6" s="277" t="inlineStr">
        <is>
          <t>종목수</t>
        </is>
      </c>
    </row>
    <row r="7">
      <c r="A7" s="278" t="inlineStr">
        <is>
          <t>DC</t>
        </is>
      </c>
      <c r="B7" s="279">
        <f>SUMIF('계좌현황'!A:A,A7,'계좌현황'!K:K)</f>
        <v/>
      </c>
      <c r="C7" s="280">
        <f>IF($B$3=0,0,B7/$B$3)</f>
        <v/>
      </c>
      <c r="D7" s="278">
        <f>COUNTIF('계좌현황'!A9:A84,A7)</f>
        <v/>
      </c>
    </row>
    <row r="8">
      <c r="A8" s="281" t="inlineStr">
        <is>
          <t>개인연금1</t>
        </is>
      </c>
      <c r="B8" s="282">
        <f>SUMIF('계좌현황'!A:A,A8,'계좌현황'!K:K)</f>
        <v/>
      </c>
      <c r="C8" s="283">
        <f>IF($B$3=0,0,B8/$B$3)</f>
        <v/>
      </c>
      <c r="D8" s="281">
        <f>COUNTIF('계좌현황'!A9:A84,A8)</f>
        <v/>
      </c>
    </row>
    <row r="9">
      <c r="A9" s="284" t="inlineStr">
        <is>
          <t>개인연금2</t>
        </is>
      </c>
      <c r="B9" s="285">
        <f>SUMIF('계좌현황'!A:A,A9,'계좌현황'!K:K)</f>
        <v/>
      </c>
      <c r="C9" s="286">
        <f>IF($B$3=0,0,B9/$B$3)</f>
        <v/>
      </c>
      <c r="D9" s="284">
        <f>COUNTIF('계좌현황'!A9:A84,A9)</f>
        <v/>
      </c>
    </row>
    <row r="10">
      <c r="A10" s="287" t="inlineStr">
        <is>
          <t>ISA</t>
        </is>
      </c>
      <c r="B10" s="288">
        <f>SUMIF('계좌현황'!A:A,A10,'계좌현황'!K:K)</f>
        <v/>
      </c>
      <c r="C10" s="289">
        <f>IF($B$3=0,0,B10/$B$3)</f>
        <v/>
      </c>
      <c r="D10" s="287">
        <f>COUNTIF('계좌현황'!A9:A84,A10)</f>
        <v/>
      </c>
    </row>
    <row r="11">
      <c r="A11" s="290" t="inlineStr">
        <is>
          <t>일반계좌</t>
        </is>
      </c>
      <c r="B11" s="291">
        <f>SUMIF('계좌현황'!A:A,A11,'계좌현황'!K:K)</f>
        <v/>
      </c>
      <c r="C11" s="292">
        <f>IF($B$3=0,0,B11/$B$3)</f>
        <v/>
      </c>
      <c r="D11" s="290">
        <f>COUNTIF('계좌현황'!A9:A84,A11)</f>
        <v/>
      </c>
    </row>
    <row r="12">
      <c r="A12" s="293" t="inlineStr">
        <is>
          <t>CMA</t>
        </is>
      </c>
      <c r="B12" s="294">
        <f>SUMIF('계좌현황'!A:A,A12,'계좌현황'!K:K)</f>
        <v/>
      </c>
      <c r="C12" s="295">
        <f>IF($B$3=0,0,B12/$B$3)</f>
        <v/>
      </c>
      <c r="D12" s="293">
        <f>COUNTIF('계좌현황'!A9:A84,A12)</f>
        <v/>
      </c>
    </row>
    <row r="13">
      <c r="A13" s="296" t="inlineStr">
        <is>
          <t>IRP</t>
        </is>
      </c>
      <c r="B13" s="297">
        <f>SUMIF('계좌현황'!A:A,A13,'계좌현황'!K:K)</f>
        <v/>
      </c>
      <c r="C13" s="298">
        <f>IF($B$3=0,0,B13/$B$3)</f>
        <v/>
      </c>
      <c r="D13" s="296">
        <f>COUNTIF('계좌현황'!A9:A84,A13)</f>
        <v/>
      </c>
    </row>
    <row r="14">
      <c r="A14" s="299" t="inlineStr">
        <is>
          <t>은행예금</t>
        </is>
      </c>
      <c r="B14" s="300">
        <f>SUMIF('계좌현황'!A:A,A14,'계좌현황'!K:K)</f>
        <v/>
      </c>
      <c r="C14" s="301">
        <f>IF($B$3=0,0,B14/$B$3)</f>
        <v/>
      </c>
      <c r="D14" s="299">
        <f>COUNTIF('계좌현황'!A9:A84,A14)</f>
        <v/>
      </c>
    </row>
    <row r="15">
      <c r="A15" s="302" t="inlineStr">
        <is>
          <t>TOSS</t>
        </is>
      </c>
      <c r="B15" s="303">
        <f>SUMIF('계좌현황'!A:A,A15,'계좌현황'!K:K)</f>
        <v/>
      </c>
      <c r="C15" s="304">
        <f>IF($B$3=0,0,B15/$B$3)</f>
        <v/>
      </c>
      <c r="D15" s="302">
        <f>COUNTIF('계좌현황'!A9:A84,A15)</f>
        <v/>
      </c>
    </row>
    <row r="18">
      <c r="A18" s="273" t="inlineStr">
        <is>
          <t>② 전체 종목 금액 내림차순 100% (왼쪽 K열 기준 자동정렬)</t>
        </is>
      </c>
      <c r="L18" s="305" t="inlineStr">
        <is>
          <t>← 자동계산용(원본행/미러)</t>
        </is>
      </c>
    </row>
    <row r="19" ht="28" customHeight="1" s="202">
      <c r="A19" s="306" t="inlineStr">
        <is>
          <t>순위</t>
        </is>
      </c>
      <c r="B19" s="306" t="inlineStr">
        <is>
          <t>계좌</t>
        </is>
      </c>
      <c r="C19" s="306" t="inlineStr">
        <is>
          <t>국가</t>
        </is>
      </c>
      <c r="D19" s="306" t="inlineStr">
        <is>
          <t>종목코드</t>
        </is>
      </c>
      <c r="E19" s="306" t="inlineStr">
        <is>
          <t>종목명</t>
        </is>
      </c>
      <c r="F19" s="306" t="inlineStr">
        <is>
          <t>수량</t>
        </is>
      </c>
      <c r="G19" s="306" t="inlineStr">
        <is>
          <t>평가액</t>
        </is>
      </c>
      <c r="H19" s="306" t="inlineStr">
        <is>
          <t>비중</t>
        </is>
      </c>
      <c r="I19" s="306" t="inlineStr">
        <is>
          <t>누적비중</t>
        </is>
      </c>
      <c r="L19" s="307" t="inlineStr">
        <is>
          <t>원본행</t>
        </is>
      </c>
      <c r="M19" s="307" t="inlineStr">
        <is>
          <t>평가액미러</t>
        </is>
      </c>
      <c r="N19" s="307" t="inlineStr">
        <is>
          <t>정렬키</t>
        </is>
      </c>
    </row>
    <row r="20">
      <c r="A20" s="278" t="n">
        <v>1</v>
      </c>
      <c r="B20" s="278">
        <f>IFERROR(INDEX('계좌현황'!A:A,INDEX($L$20:$L$95,MATCH(LARGE($N$20:$N$95,1),$N$20:$N$95,0))),"")</f>
        <v/>
      </c>
      <c r="C20" s="278">
        <f>IFERROR(INDEX('계좌현황'!C:C,INDEX($L$20:$L$95,MATCH(LARGE($N$20:$N$95,1),$N$20:$N$95,0))),"")</f>
        <v/>
      </c>
      <c r="D20" s="278">
        <f>IFERROR(INDEX('계좌현황'!D:D,INDEX($L$20:$L$95,MATCH(LARGE($N$20:$N$95,1),$N$20:$N$95,0))),"")</f>
        <v/>
      </c>
      <c r="E20" s="278">
        <f>IFERROR(INDEX('계좌현황'!E:E,INDEX($L$20:$L$95,MATCH(LARGE($N$20:$N$95,1),$N$20:$N$95,0))),"")</f>
        <v/>
      </c>
      <c r="F20" s="308">
        <f>IFERROR(INDEX('계좌현황'!F:F,INDEX($L$20:$L$95,MATCH(LARGE($N$20:$N$95,1),$N$20:$N$95,0))),"")</f>
        <v/>
      </c>
      <c r="G20" s="309">
        <f>IFERROR(INDEX('계좌현황'!K:K,INDEX($L$20:$L$95,MATCH(LARGE($N$20:$N$95,1),$N$20:$N$95,0))),0)</f>
        <v/>
      </c>
      <c r="H20" s="310">
        <f>IF($B$3=0,0,G20/$B$3)</f>
        <v/>
      </c>
      <c r="I20" s="310">
        <f>H20</f>
        <v/>
      </c>
      <c r="L20" t="n">
        <v>9</v>
      </c>
      <c r="M20">
        <f>'계좌현황'!K9</f>
        <v/>
      </c>
      <c r="N20">
        <f>IF(M20="",-1E99,M20*100000+(10000-L20))</f>
        <v/>
      </c>
    </row>
    <row r="21">
      <c r="A21" s="281" t="n">
        <v>2</v>
      </c>
      <c r="B21" s="281">
        <f>IFERROR(INDEX('계좌현황'!A:A,INDEX($L$20:$L$95,MATCH(LARGE($N$20:$N$95,2),$N$20:$N$95,0))),"")</f>
        <v/>
      </c>
      <c r="C21" s="281">
        <f>IFERROR(INDEX('계좌현황'!C:C,INDEX($L$20:$L$95,MATCH(LARGE($N$20:$N$95,2),$N$20:$N$95,0))),"")</f>
        <v/>
      </c>
      <c r="D21" s="281">
        <f>IFERROR(INDEX('계좌현황'!D:D,INDEX($L$20:$L$95,MATCH(LARGE($N$20:$N$95,2),$N$20:$N$95,0))),"")</f>
        <v/>
      </c>
      <c r="E21" s="281">
        <f>IFERROR(INDEX('계좌현황'!E:E,INDEX($L$20:$L$95,MATCH(LARGE($N$20:$N$95,2),$N$20:$N$95,0))),"")</f>
        <v/>
      </c>
      <c r="F21" s="311">
        <f>IFERROR(INDEX('계좌현황'!F:F,INDEX($L$20:$L$95,MATCH(LARGE($N$20:$N$95,2),$N$20:$N$95,0))),"")</f>
        <v/>
      </c>
      <c r="G21" s="312">
        <f>IFERROR(INDEX('계좌현황'!K:K,INDEX($L$20:$L$95,MATCH(LARGE($N$20:$N$95,2),$N$20:$N$95,0))),0)</f>
        <v/>
      </c>
      <c r="H21" s="313">
        <f>IF($B$3=0,0,G21/$B$3)</f>
        <v/>
      </c>
      <c r="I21" s="313">
        <f>I20+H21</f>
        <v/>
      </c>
      <c r="L21" t="n">
        <v>10</v>
      </c>
      <c r="M21">
        <f>'계좌현황'!K10</f>
        <v/>
      </c>
      <c r="N21">
        <f>IF(M21="",-1E99,M21*100000+(10000-L21))</f>
        <v/>
      </c>
    </row>
    <row r="22">
      <c r="A22" s="281" t="n">
        <v>3</v>
      </c>
      <c r="B22" s="281">
        <f>IFERROR(INDEX('계좌현황'!A:A,INDEX($L$20:$L$95,MATCH(LARGE($N$20:$N$95,3),$N$20:$N$95,0))),"")</f>
        <v/>
      </c>
      <c r="C22" s="281">
        <f>IFERROR(INDEX('계좌현황'!C:C,INDEX($L$20:$L$95,MATCH(LARGE($N$20:$N$95,3),$N$20:$N$95,0))),"")</f>
        <v/>
      </c>
      <c r="D22" s="281">
        <f>IFERROR(INDEX('계좌현황'!D:D,INDEX($L$20:$L$95,MATCH(LARGE($N$20:$N$95,3),$N$20:$N$95,0))),"")</f>
        <v/>
      </c>
      <c r="E22" s="281">
        <f>IFERROR(INDEX('계좌현황'!E:E,INDEX($L$20:$L$95,MATCH(LARGE($N$20:$N$95,3),$N$20:$N$95,0))),"")</f>
        <v/>
      </c>
      <c r="F22" s="311">
        <f>IFERROR(INDEX('계좌현황'!F:F,INDEX($L$20:$L$95,MATCH(LARGE($N$20:$N$95,3),$N$20:$N$95,0))),"")</f>
        <v/>
      </c>
      <c r="G22" s="312">
        <f>IFERROR(INDEX('계좌현황'!K:K,INDEX($L$20:$L$95,MATCH(LARGE($N$20:$N$95,3),$N$20:$N$95,0))),0)</f>
        <v/>
      </c>
      <c r="H22" s="313">
        <f>IF($B$3=0,0,G22/$B$3)</f>
        <v/>
      </c>
      <c r="I22" s="313">
        <f>I21+H22</f>
        <v/>
      </c>
      <c r="L22" t="n">
        <v>11</v>
      </c>
      <c r="M22">
        <f>'계좌현황'!K11</f>
        <v/>
      </c>
      <c r="N22">
        <f>IF(M22="",-1E99,M22*100000+(10000-L22))</f>
        <v/>
      </c>
    </row>
    <row r="23">
      <c r="A23" s="278" t="n">
        <v>4</v>
      </c>
      <c r="B23" s="278">
        <f>IFERROR(INDEX('계좌현황'!A:A,INDEX($L$20:$L$95,MATCH(LARGE($N$20:$N$95,4),$N$20:$N$95,0))),"")</f>
        <v/>
      </c>
      <c r="C23" s="278">
        <f>IFERROR(INDEX('계좌현황'!C:C,INDEX($L$20:$L$95,MATCH(LARGE($N$20:$N$95,4),$N$20:$N$95,0))),"")</f>
        <v/>
      </c>
      <c r="D23" s="278">
        <f>IFERROR(INDEX('계좌현황'!D:D,INDEX($L$20:$L$95,MATCH(LARGE($N$20:$N$95,4),$N$20:$N$95,0))),"")</f>
        <v/>
      </c>
      <c r="E23" s="278">
        <f>IFERROR(INDEX('계좌현황'!E:E,INDEX($L$20:$L$95,MATCH(LARGE($N$20:$N$95,4),$N$20:$N$95,0))),"")</f>
        <v/>
      </c>
      <c r="F23" s="308">
        <f>IFERROR(INDEX('계좌현황'!F:F,INDEX($L$20:$L$95,MATCH(LARGE($N$20:$N$95,4),$N$20:$N$95,0))),"")</f>
        <v/>
      </c>
      <c r="G23" s="309">
        <f>IFERROR(INDEX('계좌현황'!K:K,INDEX($L$20:$L$95,MATCH(LARGE($N$20:$N$95,4),$N$20:$N$95,0))),0)</f>
        <v/>
      </c>
      <c r="H23" s="310">
        <f>IF($B$3=0,0,G23/$B$3)</f>
        <v/>
      </c>
      <c r="I23" s="310">
        <f>I22+H23</f>
        <v/>
      </c>
      <c r="L23" t="n">
        <v>12</v>
      </c>
      <c r="M23">
        <f>'계좌현황'!K12</f>
        <v/>
      </c>
      <c r="N23">
        <f>IF(M23="",-1E99,M23*100000+(10000-L23))</f>
        <v/>
      </c>
    </row>
    <row r="24">
      <c r="A24" s="278" t="n">
        <v>5</v>
      </c>
      <c r="B24" s="278">
        <f>IFERROR(INDEX('계좌현황'!A:A,INDEX($L$20:$L$95,MATCH(LARGE($N$20:$N$95,5),$N$20:$N$95,0))),"")</f>
        <v/>
      </c>
      <c r="C24" s="278">
        <f>IFERROR(INDEX('계좌현황'!C:C,INDEX($L$20:$L$95,MATCH(LARGE($N$20:$N$95,5),$N$20:$N$95,0))),"")</f>
        <v/>
      </c>
      <c r="D24" s="278">
        <f>IFERROR(INDEX('계좌현황'!D:D,INDEX($L$20:$L$95,MATCH(LARGE($N$20:$N$95,5),$N$20:$N$95,0))),"")</f>
        <v/>
      </c>
      <c r="E24" s="278">
        <f>IFERROR(INDEX('계좌현황'!E:E,INDEX($L$20:$L$95,MATCH(LARGE($N$20:$N$95,5),$N$20:$N$95,0))),"")</f>
        <v/>
      </c>
      <c r="F24" s="308">
        <f>IFERROR(INDEX('계좌현황'!F:F,INDEX($L$20:$L$95,MATCH(LARGE($N$20:$N$95,5),$N$20:$N$95,0))),"")</f>
        <v/>
      </c>
      <c r="G24" s="309">
        <f>IFERROR(INDEX('계좌현황'!K:K,INDEX($L$20:$L$95,MATCH(LARGE($N$20:$N$95,5),$N$20:$N$95,0))),0)</f>
        <v/>
      </c>
      <c r="H24" s="310">
        <f>IF($B$3=0,0,G24/$B$3)</f>
        <v/>
      </c>
      <c r="I24" s="310">
        <f>I23+H24</f>
        <v/>
      </c>
      <c r="L24" t="n">
        <v>13</v>
      </c>
      <c r="M24">
        <f>'계좌현황'!K13</f>
        <v/>
      </c>
      <c r="N24">
        <f>IF(M24="",-1E99,M24*100000+(10000-L24))</f>
        <v/>
      </c>
    </row>
    <row r="25">
      <c r="A25" s="278" t="n">
        <v>6</v>
      </c>
      <c r="B25" s="278">
        <f>IFERROR(INDEX('계좌현황'!A:A,INDEX($L$20:$L$95,MATCH(LARGE($N$20:$N$95,6),$N$20:$N$95,0))),"")</f>
        <v/>
      </c>
      <c r="C25" s="278">
        <f>IFERROR(INDEX('계좌현황'!C:C,INDEX($L$20:$L$95,MATCH(LARGE($N$20:$N$95,6),$N$20:$N$95,0))),"")</f>
        <v/>
      </c>
      <c r="D25" s="278">
        <f>IFERROR(INDEX('계좌현황'!D:D,INDEX($L$20:$L$95,MATCH(LARGE($N$20:$N$95,6),$N$20:$N$95,0))),"")</f>
        <v/>
      </c>
      <c r="E25" s="278">
        <f>IFERROR(INDEX('계좌현황'!E:E,INDEX($L$20:$L$95,MATCH(LARGE($N$20:$N$95,6),$N$20:$N$95,0))),"")</f>
        <v/>
      </c>
      <c r="F25" s="308">
        <f>IFERROR(INDEX('계좌현황'!F:F,INDEX($L$20:$L$95,MATCH(LARGE($N$20:$N$95,6),$N$20:$N$95,0))),"")</f>
        <v/>
      </c>
      <c r="G25" s="309">
        <f>IFERROR(INDEX('계좌현황'!K:K,INDEX($L$20:$L$95,MATCH(LARGE($N$20:$N$95,6),$N$20:$N$95,0))),0)</f>
        <v/>
      </c>
      <c r="H25" s="310">
        <f>IF($B$3=0,0,G25/$B$3)</f>
        <v/>
      </c>
      <c r="I25" s="310">
        <f>I24+H25</f>
        <v/>
      </c>
      <c r="L25" t="n">
        <v>14</v>
      </c>
      <c r="M25">
        <f>'계좌현황'!K14</f>
        <v/>
      </c>
      <c r="N25">
        <f>IF(M25="",-1E99,M25*100000+(10000-L25))</f>
        <v/>
      </c>
    </row>
    <row r="26">
      <c r="A26" s="278" t="n">
        <v>7</v>
      </c>
      <c r="B26" s="278">
        <f>IFERROR(INDEX('계좌현황'!A:A,INDEX($L$20:$L$95,MATCH(LARGE($N$20:$N$95,7),$N$20:$N$95,0))),"")</f>
        <v/>
      </c>
      <c r="C26" s="278">
        <f>IFERROR(INDEX('계좌현황'!C:C,INDEX($L$20:$L$95,MATCH(LARGE($N$20:$N$95,7),$N$20:$N$95,0))),"")</f>
        <v/>
      </c>
      <c r="D26" s="278">
        <f>IFERROR(INDEX('계좌현황'!D:D,INDEX($L$20:$L$95,MATCH(LARGE($N$20:$N$95,7),$N$20:$N$95,0))),"")</f>
        <v/>
      </c>
      <c r="E26" s="278">
        <f>IFERROR(INDEX('계좌현황'!E:E,INDEX($L$20:$L$95,MATCH(LARGE($N$20:$N$95,7),$N$20:$N$95,0))),"")</f>
        <v/>
      </c>
      <c r="F26" s="308">
        <f>IFERROR(INDEX('계좌현황'!F:F,INDEX($L$20:$L$95,MATCH(LARGE($N$20:$N$95,7),$N$20:$N$95,0))),"")</f>
        <v/>
      </c>
      <c r="G26" s="309">
        <f>IFERROR(INDEX('계좌현황'!K:K,INDEX($L$20:$L$95,MATCH(LARGE($N$20:$N$95,7),$N$20:$N$95,0))),0)</f>
        <v/>
      </c>
      <c r="H26" s="310">
        <f>IF($B$3=0,0,G26/$B$3)</f>
        <v/>
      </c>
      <c r="I26" s="310">
        <f>I25+H26</f>
        <v/>
      </c>
      <c r="L26" t="n">
        <v>15</v>
      </c>
      <c r="M26">
        <f>'계좌현황'!K15</f>
        <v/>
      </c>
      <c r="N26">
        <f>IF(M26="",-1E99,M26*100000+(10000-L26))</f>
        <v/>
      </c>
    </row>
    <row r="27">
      <c r="A27" s="287" t="n">
        <v>8</v>
      </c>
      <c r="B27" s="287">
        <f>IFERROR(INDEX('계좌현황'!A:A,INDEX($L$20:$L$95,MATCH(LARGE($N$20:$N$95,8),$N$20:$N$95,0))),"")</f>
        <v/>
      </c>
      <c r="C27" s="287">
        <f>IFERROR(INDEX('계좌현황'!C:C,INDEX($L$20:$L$95,MATCH(LARGE($N$20:$N$95,8),$N$20:$N$95,0))),"")</f>
        <v/>
      </c>
      <c r="D27" s="287">
        <f>IFERROR(INDEX('계좌현황'!D:D,INDEX($L$20:$L$95,MATCH(LARGE($N$20:$N$95,8),$N$20:$N$95,0))),"")</f>
        <v/>
      </c>
      <c r="E27" s="287">
        <f>IFERROR(INDEX('계좌현황'!E:E,INDEX($L$20:$L$95,MATCH(LARGE($N$20:$N$95,8),$N$20:$N$95,0))),"")</f>
        <v/>
      </c>
      <c r="F27" s="314">
        <f>IFERROR(INDEX('계좌현황'!F:F,INDEX($L$20:$L$95,MATCH(LARGE($N$20:$N$95,8),$N$20:$N$95,0))),"")</f>
        <v/>
      </c>
      <c r="G27" s="315">
        <f>IFERROR(INDEX('계좌현황'!K:K,INDEX($L$20:$L$95,MATCH(LARGE($N$20:$N$95,8),$N$20:$N$95,0))),0)</f>
        <v/>
      </c>
      <c r="H27" s="316">
        <f>IF($B$3=0,0,G27/$B$3)</f>
        <v/>
      </c>
      <c r="I27" s="316">
        <f>I26+H27</f>
        <v/>
      </c>
      <c r="L27" t="n">
        <v>16</v>
      </c>
      <c r="M27">
        <f>'계좌현황'!K16</f>
        <v/>
      </c>
      <c r="N27">
        <f>IF(M27="",-1E99,M27*100000+(10000-L27))</f>
        <v/>
      </c>
    </row>
    <row r="28">
      <c r="A28" s="278" t="n">
        <v>9</v>
      </c>
      <c r="B28" s="278">
        <f>IFERROR(INDEX('계좌현황'!A:A,INDEX($L$20:$L$95,MATCH(LARGE($N$20:$N$95,9),$N$20:$N$95,0))),"")</f>
        <v/>
      </c>
      <c r="C28" s="278">
        <f>IFERROR(INDEX('계좌현황'!C:C,INDEX($L$20:$L$95,MATCH(LARGE($N$20:$N$95,9),$N$20:$N$95,0))),"")</f>
        <v/>
      </c>
      <c r="D28" s="278">
        <f>IFERROR(INDEX('계좌현황'!D:D,INDEX($L$20:$L$95,MATCH(LARGE($N$20:$N$95,9),$N$20:$N$95,0))),"")</f>
        <v/>
      </c>
      <c r="E28" s="278">
        <f>IFERROR(INDEX('계좌현황'!E:E,INDEX($L$20:$L$95,MATCH(LARGE($N$20:$N$95,9),$N$20:$N$95,0))),"")</f>
        <v/>
      </c>
      <c r="F28" s="308">
        <f>IFERROR(INDEX('계좌현황'!F:F,INDEX($L$20:$L$95,MATCH(LARGE($N$20:$N$95,9),$N$20:$N$95,0))),"")</f>
        <v/>
      </c>
      <c r="G28" s="309">
        <f>IFERROR(INDEX('계좌현황'!K:K,INDEX($L$20:$L$95,MATCH(LARGE($N$20:$N$95,9),$N$20:$N$95,0))),0)</f>
        <v/>
      </c>
      <c r="H28" s="310">
        <f>IF($B$3=0,0,G28/$B$3)</f>
        <v/>
      </c>
      <c r="I28" s="310">
        <f>I27+H28</f>
        <v/>
      </c>
      <c r="L28" t="n">
        <v>17</v>
      </c>
      <c r="M28">
        <f>'계좌현황'!K17</f>
        <v/>
      </c>
      <c r="N28">
        <f>IF(M28="",-1E99,M28*100000+(10000-L28))</f>
        <v/>
      </c>
    </row>
    <row r="29">
      <c r="A29" s="278" t="n">
        <v>10</v>
      </c>
      <c r="B29" s="278">
        <f>IFERROR(INDEX('계좌현황'!A:A,INDEX($L$20:$L$95,MATCH(LARGE($N$20:$N$95,10),$N$20:$N$95,0))),"")</f>
        <v/>
      </c>
      <c r="C29" s="278">
        <f>IFERROR(INDEX('계좌현황'!C:C,INDEX($L$20:$L$95,MATCH(LARGE($N$20:$N$95,10),$N$20:$N$95,0))),"")</f>
        <v/>
      </c>
      <c r="D29" s="278">
        <f>IFERROR(INDEX('계좌현황'!D:D,INDEX($L$20:$L$95,MATCH(LARGE($N$20:$N$95,10),$N$20:$N$95,0))),"")</f>
        <v/>
      </c>
      <c r="E29" s="278">
        <f>IFERROR(INDEX('계좌현황'!E:E,INDEX($L$20:$L$95,MATCH(LARGE($N$20:$N$95,10),$N$20:$N$95,0))),"")</f>
        <v/>
      </c>
      <c r="F29" s="308">
        <f>IFERROR(INDEX('계좌현황'!F:F,INDEX($L$20:$L$95,MATCH(LARGE($N$20:$N$95,10),$N$20:$N$95,0))),"")</f>
        <v/>
      </c>
      <c r="G29" s="309">
        <f>IFERROR(INDEX('계좌현황'!K:K,INDEX($L$20:$L$95,MATCH(LARGE($N$20:$N$95,10),$N$20:$N$95,0))),0)</f>
        <v/>
      </c>
      <c r="H29" s="310">
        <f>IF($B$3=0,0,G29/$B$3)</f>
        <v/>
      </c>
      <c r="I29" s="310">
        <f>I28+H29</f>
        <v/>
      </c>
      <c r="L29" t="n">
        <v>18</v>
      </c>
      <c r="M29">
        <f>'계좌현황'!K18</f>
        <v/>
      </c>
      <c r="N29">
        <f>IF(M29="",-1E99,M29*100000+(10000-L29))</f>
        <v/>
      </c>
    </row>
    <row r="30">
      <c r="A30" s="287" t="n">
        <v>11</v>
      </c>
      <c r="B30" s="287">
        <f>IFERROR(INDEX('계좌현황'!A:A,INDEX($L$20:$L$95,MATCH(LARGE($N$20:$N$95,11),$N$20:$N$95,0))),"")</f>
        <v/>
      </c>
      <c r="C30" s="287">
        <f>IFERROR(INDEX('계좌현황'!C:C,INDEX($L$20:$L$95,MATCH(LARGE($N$20:$N$95,11),$N$20:$N$95,0))),"")</f>
        <v/>
      </c>
      <c r="D30" s="287">
        <f>IFERROR(INDEX('계좌현황'!D:D,INDEX($L$20:$L$95,MATCH(LARGE($N$20:$N$95,11),$N$20:$N$95,0))),"")</f>
        <v/>
      </c>
      <c r="E30" s="287">
        <f>IFERROR(INDEX('계좌현황'!E:E,INDEX($L$20:$L$95,MATCH(LARGE($N$20:$N$95,11),$N$20:$N$95,0))),"")</f>
        <v/>
      </c>
      <c r="F30" s="314">
        <f>IFERROR(INDEX('계좌현황'!F:F,INDEX($L$20:$L$95,MATCH(LARGE($N$20:$N$95,11),$N$20:$N$95,0))),"")</f>
        <v/>
      </c>
      <c r="G30" s="315">
        <f>IFERROR(INDEX('계좌현황'!K:K,INDEX($L$20:$L$95,MATCH(LARGE($N$20:$N$95,11),$N$20:$N$95,0))),0)</f>
        <v/>
      </c>
      <c r="H30" s="316">
        <f>IF($B$3=0,0,G30/$B$3)</f>
        <v/>
      </c>
      <c r="I30" s="316">
        <f>I29+H30</f>
        <v/>
      </c>
      <c r="L30" t="n">
        <v>19</v>
      </c>
      <c r="M30">
        <f>'계좌현황'!K19</f>
        <v/>
      </c>
      <c r="N30">
        <f>IF(M30="",-1E99,M30*100000+(10000-L30))</f>
        <v/>
      </c>
    </row>
    <row r="31">
      <c r="A31" s="278" t="n">
        <v>12</v>
      </c>
      <c r="B31" s="278">
        <f>IFERROR(INDEX('계좌현황'!A:A,INDEX($L$20:$L$95,MATCH(LARGE($N$20:$N$95,12),$N$20:$N$95,0))),"")</f>
        <v/>
      </c>
      <c r="C31" s="278">
        <f>IFERROR(INDEX('계좌현황'!C:C,INDEX($L$20:$L$95,MATCH(LARGE($N$20:$N$95,12),$N$20:$N$95,0))),"")</f>
        <v/>
      </c>
      <c r="D31" s="278">
        <f>IFERROR(INDEX('계좌현황'!D:D,INDEX($L$20:$L$95,MATCH(LARGE($N$20:$N$95,12),$N$20:$N$95,0))),"")</f>
        <v/>
      </c>
      <c r="E31" s="278">
        <f>IFERROR(INDEX('계좌현황'!E:E,INDEX($L$20:$L$95,MATCH(LARGE($N$20:$N$95,12),$N$20:$N$95,0))),"")</f>
        <v/>
      </c>
      <c r="F31" s="308">
        <f>IFERROR(INDEX('계좌현황'!F:F,INDEX($L$20:$L$95,MATCH(LARGE($N$20:$N$95,12),$N$20:$N$95,0))),"")</f>
        <v/>
      </c>
      <c r="G31" s="309">
        <f>IFERROR(INDEX('계좌현황'!K:K,INDEX($L$20:$L$95,MATCH(LARGE($N$20:$N$95,12),$N$20:$N$95,0))),0)</f>
        <v/>
      </c>
      <c r="H31" s="310">
        <f>IF($B$3=0,0,G31/$B$3)</f>
        <v/>
      </c>
      <c r="I31" s="310">
        <f>I30+H31</f>
        <v/>
      </c>
      <c r="L31" t="n">
        <v>20</v>
      </c>
      <c r="M31">
        <f>'계좌현황'!K20</f>
        <v/>
      </c>
      <c r="N31">
        <f>IF(M31="",-1E99,M31*100000+(10000-L31))</f>
        <v/>
      </c>
    </row>
    <row r="32">
      <c r="A32" s="281" t="n">
        <v>13</v>
      </c>
      <c r="B32" s="281">
        <f>IFERROR(INDEX('계좌현황'!A:A,INDEX($L$20:$L$95,MATCH(LARGE($N$20:$N$95,13),$N$20:$N$95,0))),"")</f>
        <v/>
      </c>
      <c r="C32" s="281">
        <f>IFERROR(INDEX('계좌현황'!C:C,INDEX($L$20:$L$95,MATCH(LARGE($N$20:$N$95,13),$N$20:$N$95,0))),"")</f>
        <v/>
      </c>
      <c r="D32" s="281">
        <f>IFERROR(INDEX('계좌현황'!D:D,INDEX($L$20:$L$95,MATCH(LARGE($N$20:$N$95,13),$N$20:$N$95,0))),"")</f>
        <v/>
      </c>
      <c r="E32" s="281">
        <f>IFERROR(INDEX('계좌현황'!E:E,INDEX($L$20:$L$95,MATCH(LARGE($N$20:$N$95,13),$N$20:$N$95,0))),"")</f>
        <v/>
      </c>
      <c r="F32" s="311">
        <f>IFERROR(INDEX('계좌현황'!F:F,INDEX($L$20:$L$95,MATCH(LARGE($N$20:$N$95,13),$N$20:$N$95,0))),"")</f>
        <v/>
      </c>
      <c r="G32" s="312">
        <f>IFERROR(INDEX('계좌현황'!K:K,INDEX($L$20:$L$95,MATCH(LARGE($N$20:$N$95,13),$N$20:$N$95,0))),0)</f>
        <v/>
      </c>
      <c r="H32" s="313">
        <f>IF($B$3=0,0,G32/$B$3)</f>
        <v/>
      </c>
      <c r="I32" s="313">
        <f>I31+H32</f>
        <v/>
      </c>
      <c r="L32" t="n">
        <v>21</v>
      </c>
      <c r="M32">
        <f>'계좌현황'!K21</f>
        <v/>
      </c>
      <c r="N32">
        <f>IF(M32="",-1E99,M32*100000+(10000-L32))</f>
        <v/>
      </c>
    </row>
    <row r="33">
      <c r="A33" s="287" t="n">
        <v>14</v>
      </c>
      <c r="B33" s="287">
        <f>IFERROR(INDEX('계좌현황'!A:A,INDEX($L$20:$L$95,MATCH(LARGE($N$20:$N$95,14),$N$20:$N$95,0))),"")</f>
        <v/>
      </c>
      <c r="C33" s="287">
        <f>IFERROR(INDEX('계좌현황'!C:C,INDEX($L$20:$L$95,MATCH(LARGE($N$20:$N$95,14),$N$20:$N$95,0))),"")</f>
        <v/>
      </c>
      <c r="D33" s="287">
        <f>IFERROR(INDEX('계좌현황'!D:D,INDEX($L$20:$L$95,MATCH(LARGE($N$20:$N$95,14),$N$20:$N$95,0))),"")</f>
        <v/>
      </c>
      <c r="E33" s="287">
        <f>IFERROR(INDEX('계좌현황'!E:E,INDEX($L$20:$L$95,MATCH(LARGE($N$20:$N$95,14),$N$20:$N$95,0))),"")</f>
        <v/>
      </c>
      <c r="F33" s="314">
        <f>IFERROR(INDEX('계좌현황'!F:F,INDEX($L$20:$L$95,MATCH(LARGE($N$20:$N$95,14),$N$20:$N$95,0))),"")</f>
        <v/>
      </c>
      <c r="G33" s="315">
        <f>IFERROR(INDEX('계좌현황'!K:K,INDEX($L$20:$L$95,MATCH(LARGE($N$20:$N$95,14),$N$20:$N$95,0))),0)</f>
        <v/>
      </c>
      <c r="H33" s="316">
        <f>IF($B$3=0,0,G33/$B$3)</f>
        <v/>
      </c>
      <c r="I33" s="316">
        <f>I32+H33</f>
        <v/>
      </c>
      <c r="L33" t="n">
        <v>22</v>
      </c>
      <c r="M33">
        <f>'계좌현황'!K22</f>
        <v/>
      </c>
      <c r="N33">
        <f>IF(M33="",-1E99,M33*100000+(10000-L33))</f>
        <v/>
      </c>
    </row>
    <row r="34">
      <c r="A34" s="281" t="n">
        <v>15</v>
      </c>
      <c r="B34" s="281">
        <f>IFERROR(INDEX('계좌현황'!A:A,INDEX($L$20:$L$95,MATCH(LARGE($N$20:$N$95,15),$N$20:$N$95,0))),"")</f>
        <v/>
      </c>
      <c r="C34" s="281">
        <f>IFERROR(INDEX('계좌현황'!C:C,INDEX($L$20:$L$95,MATCH(LARGE($N$20:$N$95,15),$N$20:$N$95,0))),"")</f>
        <v/>
      </c>
      <c r="D34" s="281">
        <f>IFERROR(INDEX('계좌현황'!D:D,INDEX($L$20:$L$95,MATCH(LARGE($N$20:$N$95,15),$N$20:$N$95,0))),"")</f>
        <v/>
      </c>
      <c r="E34" s="281">
        <f>IFERROR(INDEX('계좌현황'!E:E,INDEX($L$20:$L$95,MATCH(LARGE($N$20:$N$95,15),$N$20:$N$95,0))),"")</f>
        <v/>
      </c>
      <c r="F34" s="311">
        <f>IFERROR(INDEX('계좌현황'!F:F,INDEX($L$20:$L$95,MATCH(LARGE($N$20:$N$95,15),$N$20:$N$95,0))),"")</f>
        <v/>
      </c>
      <c r="G34" s="312">
        <f>IFERROR(INDEX('계좌현황'!K:K,INDEX($L$20:$L$95,MATCH(LARGE($N$20:$N$95,15),$N$20:$N$95,0))),0)</f>
        <v/>
      </c>
      <c r="H34" s="313">
        <f>IF($B$3=0,0,G34/$B$3)</f>
        <v/>
      </c>
      <c r="I34" s="313">
        <f>I33+H34</f>
        <v/>
      </c>
      <c r="L34" t="n">
        <v>23</v>
      </c>
      <c r="M34">
        <f>'계좌현황'!K23</f>
        <v/>
      </c>
      <c r="N34">
        <f>IF(M34="",-1E99,M34*100000+(10000-L34))</f>
        <v/>
      </c>
    </row>
    <row r="35">
      <c r="A35" s="290" t="n">
        <v>16</v>
      </c>
      <c r="B35" s="290">
        <f>IFERROR(INDEX('계좌현황'!A:A,INDEX($L$20:$L$95,MATCH(LARGE($N$20:$N$95,16),$N$20:$N$95,0))),"")</f>
        <v/>
      </c>
      <c r="C35" s="290">
        <f>IFERROR(INDEX('계좌현황'!C:C,INDEX($L$20:$L$95,MATCH(LARGE($N$20:$N$95,16),$N$20:$N$95,0))),"")</f>
        <v/>
      </c>
      <c r="D35" s="290">
        <f>IFERROR(INDEX('계좌현황'!D:D,INDEX($L$20:$L$95,MATCH(LARGE($N$20:$N$95,16),$N$20:$N$95,0))),"")</f>
        <v/>
      </c>
      <c r="E35" s="290">
        <f>IFERROR(INDEX('계좌현황'!E:E,INDEX($L$20:$L$95,MATCH(LARGE($N$20:$N$95,16),$N$20:$N$95,0))),"")</f>
        <v/>
      </c>
      <c r="F35" s="317">
        <f>IFERROR(INDEX('계좌현황'!F:F,INDEX($L$20:$L$95,MATCH(LARGE($N$20:$N$95,16),$N$20:$N$95,0))),"")</f>
        <v/>
      </c>
      <c r="G35" s="318">
        <f>IFERROR(INDEX('계좌현황'!K:K,INDEX($L$20:$L$95,MATCH(LARGE($N$20:$N$95,16),$N$20:$N$95,0))),0)</f>
        <v/>
      </c>
      <c r="H35" s="319">
        <f>IF($B$3=0,0,G35/$B$3)</f>
        <v/>
      </c>
      <c r="I35" s="319">
        <f>I34+H35</f>
        <v/>
      </c>
      <c r="L35" t="n">
        <v>24</v>
      </c>
      <c r="M35">
        <f>'계좌현황'!K24</f>
        <v/>
      </c>
      <c r="N35">
        <f>IF(M35="",-1E99,M35*100000+(10000-L35))</f>
        <v/>
      </c>
    </row>
    <row r="36">
      <c r="A36" s="290" t="n">
        <v>17</v>
      </c>
      <c r="B36" s="290">
        <f>IFERROR(INDEX('계좌현황'!A:A,INDEX($L$20:$L$95,MATCH(LARGE($N$20:$N$95,17),$N$20:$N$95,0))),"")</f>
        <v/>
      </c>
      <c r="C36" s="290">
        <f>IFERROR(INDEX('계좌현황'!C:C,INDEX($L$20:$L$95,MATCH(LARGE($N$20:$N$95,17),$N$20:$N$95,0))),"")</f>
        <v/>
      </c>
      <c r="D36" s="290">
        <f>IFERROR(INDEX('계좌현황'!D:D,INDEX($L$20:$L$95,MATCH(LARGE($N$20:$N$95,17),$N$20:$N$95,0))),"")</f>
        <v/>
      </c>
      <c r="E36" s="290">
        <f>IFERROR(INDEX('계좌현황'!E:E,INDEX($L$20:$L$95,MATCH(LARGE($N$20:$N$95,17),$N$20:$N$95,0))),"")</f>
        <v/>
      </c>
      <c r="F36" s="317">
        <f>IFERROR(INDEX('계좌현황'!F:F,INDEX($L$20:$L$95,MATCH(LARGE($N$20:$N$95,17),$N$20:$N$95,0))),"")</f>
        <v/>
      </c>
      <c r="G36" s="318">
        <f>IFERROR(INDEX('계좌현황'!K:K,INDEX($L$20:$L$95,MATCH(LARGE($N$20:$N$95,17),$N$20:$N$95,0))),0)</f>
        <v/>
      </c>
      <c r="H36" s="319">
        <f>IF($B$3=0,0,G36/$B$3)</f>
        <v/>
      </c>
      <c r="I36" s="319">
        <f>I35+H36</f>
        <v/>
      </c>
      <c r="L36" t="n">
        <v>25</v>
      </c>
      <c r="M36">
        <f>'계좌현황'!K25</f>
        <v/>
      </c>
      <c r="N36">
        <f>IF(M36="",-1E99,M36*100000+(10000-L36))</f>
        <v/>
      </c>
    </row>
    <row r="37">
      <c r="A37" s="296" t="n">
        <v>18</v>
      </c>
      <c r="B37" s="296">
        <f>IFERROR(INDEX('계좌현황'!A:A,INDEX($L$20:$L$95,MATCH(LARGE($N$20:$N$95,18),$N$20:$N$95,0))),"")</f>
        <v/>
      </c>
      <c r="C37" s="296">
        <f>IFERROR(INDEX('계좌현황'!C:C,INDEX($L$20:$L$95,MATCH(LARGE($N$20:$N$95,18),$N$20:$N$95,0))),"")</f>
        <v/>
      </c>
      <c r="D37" s="296">
        <f>IFERROR(INDEX('계좌현황'!D:D,INDEX($L$20:$L$95,MATCH(LARGE($N$20:$N$95,18),$N$20:$N$95,0))),"")</f>
        <v/>
      </c>
      <c r="E37" s="296">
        <f>IFERROR(INDEX('계좌현황'!E:E,INDEX($L$20:$L$95,MATCH(LARGE($N$20:$N$95,18),$N$20:$N$95,0))),"")</f>
        <v/>
      </c>
      <c r="F37" s="320">
        <f>IFERROR(INDEX('계좌현황'!F:F,INDEX($L$20:$L$95,MATCH(LARGE($N$20:$N$95,18),$N$20:$N$95,0))),"")</f>
        <v/>
      </c>
      <c r="G37" s="321">
        <f>IFERROR(INDEX('계좌현황'!K:K,INDEX($L$20:$L$95,MATCH(LARGE($N$20:$N$95,18),$N$20:$N$95,0))),0)</f>
        <v/>
      </c>
      <c r="H37" s="322">
        <f>IF($B$3=0,0,G37/$B$3)</f>
        <v/>
      </c>
      <c r="I37" s="322">
        <f>I36+H37</f>
        <v/>
      </c>
      <c r="L37" t="n">
        <v>26</v>
      </c>
      <c r="M37">
        <f>'계좌현황'!K26</f>
        <v/>
      </c>
      <c r="N37">
        <f>IF(M37="",-1E99,M37*100000+(10000-L37))</f>
        <v/>
      </c>
    </row>
    <row r="38">
      <c r="A38" s="290" t="n">
        <v>19</v>
      </c>
      <c r="B38" s="290">
        <f>IFERROR(INDEX('계좌현황'!A:A,INDEX($L$20:$L$95,MATCH(LARGE($N$20:$N$95,19),$N$20:$N$95,0))),"")</f>
        <v/>
      </c>
      <c r="C38" s="290">
        <f>IFERROR(INDEX('계좌현황'!C:C,INDEX($L$20:$L$95,MATCH(LARGE($N$20:$N$95,19),$N$20:$N$95,0))),"")</f>
        <v/>
      </c>
      <c r="D38" s="290">
        <f>IFERROR(INDEX('계좌현황'!D:D,INDEX($L$20:$L$95,MATCH(LARGE($N$20:$N$95,19),$N$20:$N$95,0))),"")</f>
        <v/>
      </c>
      <c r="E38" s="290">
        <f>IFERROR(INDEX('계좌현황'!E:E,INDEX($L$20:$L$95,MATCH(LARGE($N$20:$N$95,19),$N$20:$N$95,0))),"")</f>
        <v/>
      </c>
      <c r="F38" s="317">
        <f>IFERROR(INDEX('계좌현황'!F:F,INDEX($L$20:$L$95,MATCH(LARGE($N$20:$N$95,19),$N$20:$N$95,0))),"")</f>
        <v/>
      </c>
      <c r="G38" s="318">
        <f>IFERROR(INDEX('계좌현황'!K:K,INDEX($L$20:$L$95,MATCH(LARGE($N$20:$N$95,19),$N$20:$N$95,0))),0)</f>
        <v/>
      </c>
      <c r="H38" s="319">
        <f>IF($B$3=0,0,G38/$B$3)</f>
        <v/>
      </c>
      <c r="I38" s="319">
        <f>I37+H38</f>
        <v/>
      </c>
      <c r="L38" t="n">
        <v>27</v>
      </c>
      <c r="M38">
        <f>'계좌현황'!K27</f>
        <v/>
      </c>
      <c r="N38">
        <f>IF(M38="",-1E99,M38*100000+(10000-L38))</f>
        <v/>
      </c>
    </row>
    <row r="39">
      <c r="A39" s="290" t="n">
        <v>20</v>
      </c>
      <c r="B39" s="290">
        <f>IFERROR(INDEX('계좌현황'!A:A,INDEX($L$20:$L$95,MATCH(LARGE($N$20:$N$95,20),$N$20:$N$95,0))),"")</f>
        <v/>
      </c>
      <c r="C39" s="290">
        <f>IFERROR(INDEX('계좌현황'!C:C,INDEX($L$20:$L$95,MATCH(LARGE($N$20:$N$95,20),$N$20:$N$95,0))),"")</f>
        <v/>
      </c>
      <c r="D39" s="290">
        <f>IFERROR(INDEX('계좌현황'!D:D,INDEX($L$20:$L$95,MATCH(LARGE($N$20:$N$95,20),$N$20:$N$95,0))),"")</f>
        <v/>
      </c>
      <c r="E39" s="290">
        <f>IFERROR(INDEX('계좌현황'!E:E,INDEX($L$20:$L$95,MATCH(LARGE($N$20:$N$95,20),$N$20:$N$95,0))),"")</f>
        <v/>
      </c>
      <c r="F39" s="317">
        <f>IFERROR(INDEX('계좌현황'!F:F,INDEX($L$20:$L$95,MATCH(LARGE($N$20:$N$95,20),$N$20:$N$95,0))),"")</f>
        <v/>
      </c>
      <c r="G39" s="318">
        <f>IFERROR(INDEX('계좌현황'!K:K,INDEX($L$20:$L$95,MATCH(LARGE($N$20:$N$95,20),$N$20:$N$95,0))),0)</f>
        <v/>
      </c>
      <c r="H39" s="319">
        <f>IF($B$3=0,0,G39/$B$3)</f>
        <v/>
      </c>
      <c r="I39" s="319">
        <f>I38+H39</f>
        <v/>
      </c>
      <c r="L39" t="n">
        <v>28</v>
      </c>
      <c r="M39">
        <f>'계좌현황'!K28</f>
        <v/>
      </c>
      <c r="N39">
        <f>IF(M39="",-1E99,M39*100000+(10000-L39))</f>
        <v/>
      </c>
    </row>
    <row r="40">
      <c r="A40" s="284" t="n">
        <v>21</v>
      </c>
      <c r="B40" s="284">
        <f>IFERROR(INDEX('계좌현황'!A:A,INDEX($L$20:$L$95,MATCH(LARGE($N$20:$N$95,21),$N$20:$N$95,0))),"")</f>
        <v/>
      </c>
      <c r="C40" s="284">
        <f>IFERROR(INDEX('계좌현황'!C:C,INDEX($L$20:$L$95,MATCH(LARGE($N$20:$N$95,21),$N$20:$N$95,0))),"")</f>
        <v/>
      </c>
      <c r="D40" s="284">
        <f>IFERROR(INDEX('계좌현황'!D:D,INDEX($L$20:$L$95,MATCH(LARGE($N$20:$N$95,21),$N$20:$N$95,0))),"")</f>
        <v/>
      </c>
      <c r="E40" s="284">
        <f>IFERROR(INDEX('계좌현황'!E:E,INDEX($L$20:$L$95,MATCH(LARGE($N$20:$N$95,21),$N$20:$N$95,0))),"")</f>
        <v/>
      </c>
      <c r="F40" s="323">
        <f>IFERROR(INDEX('계좌현황'!F:F,INDEX($L$20:$L$95,MATCH(LARGE($N$20:$N$95,21),$N$20:$N$95,0))),"")</f>
        <v/>
      </c>
      <c r="G40" s="324">
        <f>IFERROR(INDEX('계좌현황'!K:K,INDEX($L$20:$L$95,MATCH(LARGE($N$20:$N$95,21),$N$20:$N$95,0))),0)</f>
        <v/>
      </c>
      <c r="H40" s="325">
        <f>IF($B$3=0,0,G40/$B$3)</f>
        <v/>
      </c>
      <c r="I40" s="325">
        <f>I39+H40</f>
        <v/>
      </c>
      <c r="L40" t="n">
        <v>29</v>
      </c>
      <c r="M40">
        <f>'계좌현황'!K29</f>
        <v/>
      </c>
      <c r="N40">
        <f>IF(M40="",-1E99,M40*100000+(10000-L40))</f>
        <v/>
      </c>
    </row>
    <row r="41">
      <c r="A41" s="278" t="n">
        <v>22</v>
      </c>
      <c r="B41" s="278">
        <f>IFERROR(INDEX('계좌현황'!A:A,INDEX($L$20:$L$95,MATCH(LARGE($N$20:$N$95,22),$N$20:$N$95,0))),"")</f>
        <v/>
      </c>
      <c r="C41" s="278">
        <f>IFERROR(INDEX('계좌현황'!C:C,INDEX($L$20:$L$95,MATCH(LARGE($N$20:$N$95,22),$N$20:$N$95,0))),"")</f>
        <v/>
      </c>
      <c r="D41" s="278">
        <f>IFERROR(INDEX('계좌현황'!D:D,INDEX($L$20:$L$95,MATCH(LARGE($N$20:$N$95,22),$N$20:$N$95,0))),"")</f>
        <v/>
      </c>
      <c r="E41" s="278">
        <f>IFERROR(INDEX('계좌현황'!E:E,INDEX($L$20:$L$95,MATCH(LARGE($N$20:$N$95,22),$N$20:$N$95,0))),"")</f>
        <v/>
      </c>
      <c r="F41" s="308">
        <f>IFERROR(INDEX('계좌현황'!F:F,INDEX($L$20:$L$95,MATCH(LARGE($N$20:$N$95,22),$N$20:$N$95,0))),"")</f>
        <v/>
      </c>
      <c r="G41" s="309">
        <f>IFERROR(INDEX('계좌현황'!K:K,INDEX($L$20:$L$95,MATCH(LARGE($N$20:$N$95,22),$N$20:$N$95,0))),0)</f>
        <v/>
      </c>
      <c r="H41" s="310">
        <f>IF($B$3=0,0,G41/$B$3)</f>
        <v/>
      </c>
      <c r="I41" s="310">
        <f>I40+H41</f>
        <v/>
      </c>
      <c r="L41" t="n">
        <v>30</v>
      </c>
      <c r="M41">
        <f>'계좌현황'!K30</f>
        <v/>
      </c>
      <c r="N41">
        <f>IF(M41="",-1E99,M41*100000+(10000-L41))</f>
        <v/>
      </c>
    </row>
    <row r="42">
      <c r="A42" s="296" t="n">
        <v>23</v>
      </c>
      <c r="B42" s="296">
        <f>IFERROR(INDEX('계좌현황'!A:A,INDEX($L$20:$L$95,MATCH(LARGE($N$20:$N$95,23),$N$20:$N$95,0))),"")</f>
        <v/>
      </c>
      <c r="C42" s="296">
        <f>IFERROR(INDEX('계좌현황'!C:C,INDEX($L$20:$L$95,MATCH(LARGE($N$20:$N$95,23),$N$20:$N$95,0))),"")</f>
        <v/>
      </c>
      <c r="D42" s="296">
        <f>IFERROR(INDEX('계좌현황'!D:D,INDEX($L$20:$L$95,MATCH(LARGE($N$20:$N$95,23),$N$20:$N$95,0))),"")</f>
        <v/>
      </c>
      <c r="E42" s="296">
        <f>IFERROR(INDEX('계좌현황'!E:E,INDEX($L$20:$L$95,MATCH(LARGE($N$20:$N$95,23),$N$20:$N$95,0))),"")</f>
        <v/>
      </c>
      <c r="F42" s="320">
        <f>IFERROR(INDEX('계좌현황'!F:F,INDEX($L$20:$L$95,MATCH(LARGE($N$20:$N$95,23),$N$20:$N$95,0))),"")</f>
        <v/>
      </c>
      <c r="G42" s="321">
        <f>IFERROR(INDEX('계좌현황'!K:K,INDEX($L$20:$L$95,MATCH(LARGE($N$20:$N$95,23),$N$20:$N$95,0))),0)</f>
        <v/>
      </c>
      <c r="H42" s="322">
        <f>IF($B$3=0,0,G42/$B$3)</f>
        <v/>
      </c>
      <c r="I42" s="322">
        <f>I41+H42</f>
        <v/>
      </c>
      <c r="L42" t="n">
        <v>31</v>
      </c>
      <c r="M42">
        <f>'계좌현황'!K31</f>
        <v/>
      </c>
      <c r="N42">
        <f>IF(M42="",-1E99,M42*100000+(10000-L42))</f>
        <v/>
      </c>
    </row>
    <row r="43">
      <c r="A43" s="296" t="n">
        <v>24</v>
      </c>
      <c r="B43" s="296">
        <f>IFERROR(INDEX('계좌현황'!A:A,INDEX($L$20:$L$95,MATCH(LARGE($N$20:$N$95,24),$N$20:$N$95,0))),"")</f>
        <v/>
      </c>
      <c r="C43" s="296">
        <f>IFERROR(INDEX('계좌현황'!C:C,INDEX($L$20:$L$95,MATCH(LARGE($N$20:$N$95,24),$N$20:$N$95,0))),"")</f>
        <v/>
      </c>
      <c r="D43" s="296">
        <f>IFERROR(INDEX('계좌현황'!D:D,INDEX($L$20:$L$95,MATCH(LARGE($N$20:$N$95,24),$N$20:$N$95,0))),"")</f>
        <v/>
      </c>
      <c r="E43" s="296">
        <f>IFERROR(INDEX('계좌현황'!E:E,INDEX($L$20:$L$95,MATCH(LARGE($N$20:$N$95,24),$N$20:$N$95,0))),"")</f>
        <v/>
      </c>
      <c r="F43" s="320">
        <f>IFERROR(INDEX('계좌현황'!F:F,INDEX($L$20:$L$95,MATCH(LARGE($N$20:$N$95,24),$N$20:$N$95,0))),"")</f>
        <v/>
      </c>
      <c r="G43" s="321">
        <f>IFERROR(INDEX('계좌현황'!K:K,INDEX($L$20:$L$95,MATCH(LARGE($N$20:$N$95,24),$N$20:$N$95,0))),0)</f>
        <v/>
      </c>
      <c r="H43" s="322">
        <f>IF($B$3=0,0,G43/$B$3)</f>
        <v/>
      </c>
      <c r="I43" s="322">
        <f>I42+H43</f>
        <v/>
      </c>
      <c r="L43" t="n">
        <v>32</v>
      </c>
      <c r="M43">
        <f>'계좌현황'!K32</f>
        <v/>
      </c>
      <c r="N43">
        <f>IF(M43="",-1E99,M43*100000+(10000-L43))</f>
        <v/>
      </c>
    </row>
    <row r="44">
      <c r="A44" s="287" t="n">
        <v>25</v>
      </c>
      <c r="B44" s="287">
        <f>IFERROR(INDEX('계좌현황'!A:A,INDEX($L$20:$L$95,MATCH(LARGE($N$20:$N$95,25),$N$20:$N$95,0))),"")</f>
        <v/>
      </c>
      <c r="C44" s="287">
        <f>IFERROR(INDEX('계좌현황'!C:C,INDEX($L$20:$L$95,MATCH(LARGE($N$20:$N$95,25),$N$20:$N$95,0))),"")</f>
        <v/>
      </c>
      <c r="D44" s="287">
        <f>IFERROR(INDEX('계좌현황'!D:D,INDEX($L$20:$L$95,MATCH(LARGE($N$20:$N$95,25),$N$20:$N$95,0))),"")</f>
        <v/>
      </c>
      <c r="E44" s="287">
        <f>IFERROR(INDEX('계좌현황'!E:E,INDEX($L$20:$L$95,MATCH(LARGE($N$20:$N$95,25),$N$20:$N$95,0))),"")</f>
        <v/>
      </c>
      <c r="F44" s="314">
        <f>IFERROR(INDEX('계좌현황'!F:F,INDEX($L$20:$L$95,MATCH(LARGE($N$20:$N$95,25),$N$20:$N$95,0))),"")</f>
        <v/>
      </c>
      <c r="G44" s="315">
        <f>IFERROR(INDEX('계좌현황'!K:K,INDEX($L$20:$L$95,MATCH(LARGE($N$20:$N$95,25),$N$20:$N$95,0))),0)</f>
        <v/>
      </c>
      <c r="H44" s="316">
        <f>IF($B$3=0,0,G44/$B$3)</f>
        <v/>
      </c>
      <c r="I44" s="316">
        <f>I43+H44</f>
        <v/>
      </c>
      <c r="L44" t="n">
        <v>33</v>
      </c>
      <c r="M44">
        <f>'계좌현황'!K33</f>
        <v/>
      </c>
      <c r="N44">
        <f>IF(M44="",-1E99,M44*100000+(10000-L44))</f>
        <v/>
      </c>
    </row>
    <row r="45">
      <c r="A45" s="290" t="n">
        <v>26</v>
      </c>
      <c r="B45" s="290">
        <f>IFERROR(INDEX('계좌현황'!A:A,INDEX($L$20:$L$95,MATCH(LARGE($N$20:$N$95,26),$N$20:$N$95,0))),"")</f>
        <v/>
      </c>
      <c r="C45" s="290">
        <f>IFERROR(INDEX('계좌현황'!C:C,INDEX($L$20:$L$95,MATCH(LARGE($N$20:$N$95,26),$N$20:$N$95,0))),"")</f>
        <v/>
      </c>
      <c r="D45" s="290">
        <f>IFERROR(INDEX('계좌현황'!D:D,INDEX($L$20:$L$95,MATCH(LARGE($N$20:$N$95,26),$N$20:$N$95,0))),"")</f>
        <v/>
      </c>
      <c r="E45" s="290">
        <f>IFERROR(INDEX('계좌현황'!E:E,INDEX($L$20:$L$95,MATCH(LARGE($N$20:$N$95,26),$N$20:$N$95,0))),"")</f>
        <v/>
      </c>
      <c r="F45" s="317">
        <f>IFERROR(INDEX('계좌현황'!F:F,INDEX($L$20:$L$95,MATCH(LARGE($N$20:$N$95,26),$N$20:$N$95,0))),"")</f>
        <v/>
      </c>
      <c r="G45" s="318">
        <f>IFERROR(INDEX('계좌현황'!K:K,INDEX($L$20:$L$95,MATCH(LARGE($N$20:$N$95,26),$N$20:$N$95,0))),0)</f>
        <v/>
      </c>
      <c r="H45" s="319">
        <f>IF($B$3=0,0,G45/$B$3)</f>
        <v/>
      </c>
      <c r="I45" s="319">
        <f>I44+H45</f>
        <v/>
      </c>
      <c r="L45" t="n">
        <v>34</v>
      </c>
      <c r="M45">
        <f>'계좌현황'!K34</f>
        <v/>
      </c>
      <c r="N45">
        <f>IF(M45="",-1E99,M45*100000+(10000-L45))</f>
        <v/>
      </c>
    </row>
    <row r="46">
      <c r="A46" s="296" t="n">
        <v>27</v>
      </c>
      <c r="B46" s="296">
        <f>IFERROR(INDEX('계좌현황'!A:A,INDEX($L$20:$L$95,MATCH(LARGE($N$20:$N$95,27),$N$20:$N$95,0))),"")</f>
        <v/>
      </c>
      <c r="C46" s="296">
        <f>IFERROR(INDEX('계좌현황'!C:C,INDEX($L$20:$L$95,MATCH(LARGE($N$20:$N$95,27),$N$20:$N$95,0))),"")</f>
        <v/>
      </c>
      <c r="D46" s="296">
        <f>IFERROR(INDEX('계좌현황'!D:D,INDEX($L$20:$L$95,MATCH(LARGE($N$20:$N$95,27),$N$20:$N$95,0))),"")</f>
        <v/>
      </c>
      <c r="E46" s="296">
        <f>IFERROR(INDEX('계좌현황'!E:E,INDEX($L$20:$L$95,MATCH(LARGE($N$20:$N$95,27),$N$20:$N$95,0))),"")</f>
        <v/>
      </c>
      <c r="F46" s="320">
        <f>IFERROR(INDEX('계좌현황'!F:F,INDEX($L$20:$L$95,MATCH(LARGE($N$20:$N$95,27),$N$20:$N$95,0))),"")</f>
        <v/>
      </c>
      <c r="G46" s="321">
        <f>IFERROR(INDEX('계좌현황'!K:K,INDEX($L$20:$L$95,MATCH(LARGE($N$20:$N$95,27),$N$20:$N$95,0))),0)</f>
        <v/>
      </c>
      <c r="H46" s="322">
        <f>IF($B$3=0,0,G46/$B$3)</f>
        <v/>
      </c>
      <c r="I46" s="322">
        <f>I45+H46</f>
        <v/>
      </c>
      <c r="L46" t="n">
        <v>35</v>
      </c>
      <c r="M46">
        <f>'계좌현황'!K35</f>
        <v/>
      </c>
      <c r="N46">
        <f>IF(M46="",-1E99,M46*100000+(10000-L46))</f>
        <v/>
      </c>
    </row>
    <row r="47">
      <c r="A47" s="287" t="n">
        <v>28</v>
      </c>
      <c r="B47" s="287">
        <f>IFERROR(INDEX('계좌현황'!A:A,INDEX($L$20:$L$95,MATCH(LARGE($N$20:$N$95,28),$N$20:$N$95,0))),"")</f>
        <v/>
      </c>
      <c r="C47" s="287">
        <f>IFERROR(INDEX('계좌현황'!C:C,INDEX($L$20:$L$95,MATCH(LARGE($N$20:$N$95,28),$N$20:$N$95,0))),"")</f>
        <v/>
      </c>
      <c r="D47" s="287">
        <f>IFERROR(INDEX('계좌현황'!D:D,INDEX($L$20:$L$95,MATCH(LARGE($N$20:$N$95,28),$N$20:$N$95,0))),"")</f>
        <v/>
      </c>
      <c r="E47" s="287">
        <f>IFERROR(INDEX('계좌현황'!E:E,INDEX($L$20:$L$95,MATCH(LARGE($N$20:$N$95,28),$N$20:$N$95,0))),"")</f>
        <v/>
      </c>
      <c r="F47" s="314">
        <f>IFERROR(INDEX('계좌현황'!F:F,INDEX($L$20:$L$95,MATCH(LARGE($N$20:$N$95,28),$N$20:$N$95,0))),"")</f>
        <v/>
      </c>
      <c r="G47" s="315">
        <f>IFERROR(INDEX('계좌현황'!K:K,INDEX($L$20:$L$95,MATCH(LARGE($N$20:$N$95,28),$N$20:$N$95,0))),0)</f>
        <v/>
      </c>
      <c r="H47" s="316">
        <f>IF($B$3=0,0,G47/$B$3)</f>
        <v/>
      </c>
      <c r="I47" s="316">
        <f>I46+H47</f>
        <v/>
      </c>
      <c r="L47" t="n">
        <v>36</v>
      </c>
      <c r="M47">
        <f>'계좌현황'!K36</f>
        <v/>
      </c>
      <c r="N47">
        <f>IF(M47="",-1E99,M47*100000+(10000-L47))</f>
        <v/>
      </c>
    </row>
    <row r="48">
      <c r="A48" s="284" t="n">
        <v>29</v>
      </c>
      <c r="B48" s="284">
        <f>IFERROR(INDEX('계좌현황'!A:A,INDEX($L$20:$L$95,MATCH(LARGE($N$20:$N$95,29),$N$20:$N$95,0))),"")</f>
        <v/>
      </c>
      <c r="C48" s="284">
        <f>IFERROR(INDEX('계좌현황'!C:C,INDEX($L$20:$L$95,MATCH(LARGE($N$20:$N$95,29),$N$20:$N$95,0))),"")</f>
        <v/>
      </c>
      <c r="D48" s="284">
        <f>IFERROR(INDEX('계좌현황'!D:D,INDEX($L$20:$L$95,MATCH(LARGE($N$20:$N$95,29),$N$20:$N$95,0))),"")</f>
        <v/>
      </c>
      <c r="E48" s="284">
        <f>IFERROR(INDEX('계좌현황'!E:E,INDEX($L$20:$L$95,MATCH(LARGE($N$20:$N$95,29),$N$20:$N$95,0))),"")</f>
        <v/>
      </c>
      <c r="F48" s="323">
        <f>IFERROR(INDEX('계좌현황'!F:F,INDEX($L$20:$L$95,MATCH(LARGE($N$20:$N$95,29),$N$20:$N$95,0))),"")</f>
        <v/>
      </c>
      <c r="G48" s="324">
        <f>IFERROR(INDEX('계좌현황'!K:K,INDEX($L$20:$L$95,MATCH(LARGE($N$20:$N$95,29),$N$20:$N$95,0))),0)</f>
        <v/>
      </c>
      <c r="H48" s="325">
        <f>IF($B$3=0,0,G48/$B$3)</f>
        <v/>
      </c>
      <c r="I48" s="325">
        <f>I47+H48</f>
        <v/>
      </c>
      <c r="L48" t="n">
        <v>37</v>
      </c>
      <c r="M48">
        <f>'계좌현황'!K37</f>
        <v/>
      </c>
      <c r="N48">
        <f>IF(M48="",-1E99,M48*100000+(10000-L48))</f>
        <v/>
      </c>
    </row>
    <row r="49">
      <c r="A49" s="290" t="n">
        <v>30</v>
      </c>
      <c r="B49" s="290">
        <f>IFERROR(INDEX('계좌현황'!A:A,INDEX($L$20:$L$95,MATCH(LARGE($N$20:$N$95,30),$N$20:$N$95,0))),"")</f>
        <v/>
      </c>
      <c r="C49" s="290">
        <f>IFERROR(INDEX('계좌현황'!C:C,INDEX($L$20:$L$95,MATCH(LARGE($N$20:$N$95,30),$N$20:$N$95,0))),"")</f>
        <v/>
      </c>
      <c r="D49" s="290">
        <f>IFERROR(INDEX('계좌현황'!D:D,INDEX($L$20:$L$95,MATCH(LARGE($N$20:$N$95,30),$N$20:$N$95,0))),"")</f>
        <v/>
      </c>
      <c r="E49" s="290">
        <f>IFERROR(INDEX('계좌현황'!E:E,INDEX($L$20:$L$95,MATCH(LARGE($N$20:$N$95,30),$N$20:$N$95,0))),"")</f>
        <v/>
      </c>
      <c r="F49" s="317">
        <f>IFERROR(INDEX('계좌현황'!F:F,INDEX($L$20:$L$95,MATCH(LARGE($N$20:$N$95,30),$N$20:$N$95,0))),"")</f>
        <v/>
      </c>
      <c r="G49" s="318">
        <f>IFERROR(INDEX('계좌현황'!K:K,INDEX($L$20:$L$95,MATCH(LARGE($N$20:$N$95,30),$N$20:$N$95,0))),0)</f>
        <v/>
      </c>
      <c r="H49" s="319">
        <f>IF($B$3=0,0,G49/$B$3)</f>
        <v/>
      </c>
      <c r="I49" s="319">
        <f>I48+H49</f>
        <v/>
      </c>
      <c r="L49" t="n">
        <v>38</v>
      </c>
      <c r="M49">
        <f>'계좌현황'!K38</f>
        <v/>
      </c>
      <c r="N49">
        <f>IF(M49="",-1E99,M49*100000+(10000-L49))</f>
        <v/>
      </c>
    </row>
    <row r="50">
      <c r="A50" s="290" t="n">
        <v>31</v>
      </c>
      <c r="B50" s="290">
        <f>IFERROR(INDEX('계좌현황'!A:A,INDEX($L$20:$L$95,MATCH(LARGE($N$20:$N$95,31),$N$20:$N$95,0))),"")</f>
        <v/>
      </c>
      <c r="C50" s="290">
        <f>IFERROR(INDEX('계좌현황'!C:C,INDEX($L$20:$L$95,MATCH(LARGE($N$20:$N$95,31),$N$20:$N$95,0))),"")</f>
        <v/>
      </c>
      <c r="D50" s="290">
        <f>IFERROR(INDEX('계좌현황'!D:D,INDEX($L$20:$L$95,MATCH(LARGE($N$20:$N$95,31),$N$20:$N$95,0))),"")</f>
        <v/>
      </c>
      <c r="E50" s="290">
        <f>IFERROR(INDEX('계좌현황'!E:E,INDEX($L$20:$L$95,MATCH(LARGE($N$20:$N$95,31),$N$20:$N$95,0))),"")</f>
        <v/>
      </c>
      <c r="F50" s="317">
        <f>IFERROR(INDEX('계좌현황'!F:F,INDEX($L$20:$L$95,MATCH(LARGE($N$20:$N$95,31),$N$20:$N$95,0))),"")</f>
        <v/>
      </c>
      <c r="G50" s="318">
        <f>IFERROR(INDEX('계좌현황'!K:K,INDEX($L$20:$L$95,MATCH(LARGE($N$20:$N$95,31),$N$20:$N$95,0))),0)</f>
        <v/>
      </c>
      <c r="H50" s="319">
        <f>IF($B$3=0,0,G50/$B$3)</f>
        <v/>
      </c>
      <c r="I50" s="319">
        <f>I49+H50</f>
        <v/>
      </c>
      <c r="L50" t="n">
        <v>39</v>
      </c>
      <c r="M50">
        <f>'계좌현황'!K39</f>
        <v/>
      </c>
      <c r="N50">
        <f>IF(M50="",-1E99,M50*100000+(10000-L50))</f>
        <v/>
      </c>
    </row>
    <row r="51">
      <c r="A51" s="281" t="n">
        <v>32</v>
      </c>
      <c r="B51" s="281">
        <f>IFERROR(INDEX('계좌현황'!A:A,INDEX($L$20:$L$95,MATCH(LARGE($N$20:$N$95,32),$N$20:$N$95,0))),"")</f>
        <v/>
      </c>
      <c r="C51" s="281">
        <f>IFERROR(INDEX('계좌현황'!C:C,INDEX($L$20:$L$95,MATCH(LARGE($N$20:$N$95,32),$N$20:$N$95,0))),"")</f>
        <v/>
      </c>
      <c r="D51" s="281">
        <f>IFERROR(INDEX('계좌현황'!D:D,INDEX($L$20:$L$95,MATCH(LARGE($N$20:$N$95,32),$N$20:$N$95,0))),"")</f>
        <v/>
      </c>
      <c r="E51" s="281">
        <f>IFERROR(INDEX('계좌현황'!E:E,INDEX($L$20:$L$95,MATCH(LARGE($N$20:$N$95,32),$N$20:$N$95,0))),"")</f>
        <v/>
      </c>
      <c r="F51" s="311">
        <f>IFERROR(INDEX('계좌현황'!F:F,INDEX($L$20:$L$95,MATCH(LARGE($N$20:$N$95,32),$N$20:$N$95,0))),"")</f>
        <v/>
      </c>
      <c r="G51" s="312">
        <f>IFERROR(INDEX('계좌현황'!K:K,INDEX($L$20:$L$95,MATCH(LARGE($N$20:$N$95,32),$N$20:$N$95,0))),0)</f>
        <v/>
      </c>
      <c r="H51" s="313">
        <f>IF($B$3=0,0,G51/$B$3)</f>
        <v/>
      </c>
      <c r="I51" s="313">
        <f>I50+H51</f>
        <v/>
      </c>
      <c r="L51" t="n">
        <v>40</v>
      </c>
      <c r="M51">
        <f>'계좌현황'!K40</f>
        <v/>
      </c>
      <c r="N51">
        <f>IF(M51="",-1E99,M51*100000+(10000-L51))</f>
        <v/>
      </c>
    </row>
    <row r="52">
      <c r="A52" s="290" t="n">
        <v>33</v>
      </c>
      <c r="B52" s="290">
        <f>IFERROR(INDEX('계좌현황'!A:A,INDEX($L$20:$L$95,MATCH(LARGE($N$20:$N$95,33),$N$20:$N$95,0))),"")</f>
        <v/>
      </c>
      <c r="C52" s="290">
        <f>IFERROR(INDEX('계좌현황'!C:C,INDEX($L$20:$L$95,MATCH(LARGE($N$20:$N$95,33),$N$20:$N$95,0))),"")</f>
        <v/>
      </c>
      <c r="D52" s="290">
        <f>IFERROR(INDEX('계좌현황'!D:D,INDEX($L$20:$L$95,MATCH(LARGE($N$20:$N$95,33),$N$20:$N$95,0))),"")</f>
        <v/>
      </c>
      <c r="E52" s="290">
        <f>IFERROR(INDEX('계좌현황'!E:E,INDEX($L$20:$L$95,MATCH(LARGE($N$20:$N$95,33),$N$20:$N$95,0))),"")</f>
        <v/>
      </c>
      <c r="F52" s="317">
        <f>IFERROR(INDEX('계좌현황'!F:F,INDEX($L$20:$L$95,MATCH(LARGE($N$20:$N$95,33),$N$20:$N$95,0))),"")</f>
        <v/>
      </c>
      <c r="G52" s="318">
        <f>IFERROR(INDEX('계좌현황'!K:K,INDEX($L$20:$L$95,MATCH(LARGE($N$20:$N$95,33),$N$20:$N$95,0))),0)</f>
        <v/>
      </c>
      <c r="H52" s="319">
        <f>IF($B$3=0,0,G52/$B$3)</f>
        <v/>
      </c>
      <c r="I52" s="319">
        <f>I51+H52</f>
        <v/>
      </c>
      <c r="L52" t="n">
        <v>41</v>
      </c>
      <c r="M52">
        <f>'계좌현황'!K41</f>
        <v/>
      </c>
      <c r="N52">
        <f>IF(M52="",-1E99,M52*100000+(10000-L52))</f>
        <v/>
      </c>
    </row>
    <row r="53">
      <c r="A53" s="287" t="n">
        <v>34</v>
      </c>
      <c r="B53" s="287">
        <f>IFERROR(INDEX('계좌현황'!A:A,INDEX($L$20:$L$95,MATCH(LARGE($N$20:$N$95,34),$N$20:$N$95,0))),"")</f>
        <v/>
      </c>
      <c r="C53" s="287">
        <f>IFERROR(INDEX('계좌현황'!C:C,INDEX($L$20:$L$95,MATCH(LARGE($N$20:$N$95,34),$N$20:$N$95,0))),"")</f>
        <v/>
      </c>
      <c r="D53" s="287">
        <f>IFERROR(INDEX('계좌현황'!D:D,INDEX($L$20:$L$95,MATCH(LARGE($N$20:$N$95,34),$N$20:$N$95,0))),"")</f>
        <v/>
      </c>
      <c r="E53" s="287">
        <f>IFERROR(INDEX('계좌현황'!E:E,INDEX($L$20:$L$95,MATCH(LARGE($N$20:$N$95,34),$N$20:$N$95,0))),"")</f>
        <v/>
      </c>
      <c r="F53" s="314">
        <f>IFERROR(INDEX('계좌현황'!F:F,INDEX($L$20:$L$95,MATCH(LARGE($N$20:$N$95,34),$N$20:$N$95,0))),"")</f>
        <v/>
      </c>
      <c r="G53" s="315">
        <f>IFERROR(INDEX('계좌현황'!K:K,INDEX($L$20:$L$95,MATCH(LARGE($N$20:$N$95,34),$N$20:$N$95,0))),0)</f>
        <v/>
      </c>
      <c r="H53" s="316">
        <f>IF($B$3=0,0,G53/$B$3)</f>
        <v/>
      </c>
      <c r="I53" s="316">
        <f>I52+H53</f>
        <v/>
      </c>
      <c r="L53" t="n">
        <v>42</v>
      </c>
      <c r="M53">
        <f>'계좌현황'!K42</f>
        <v/>
      </c>
      <c r="N53">
        <f>IF(M53="",-1E99,M53*100000+(10000-L53))</f>
        <v/>
      </c>
    </row>
    <row r="54">
      <c r="A54" s="287" t="n">
        <v>35</v>
      </c>
      <c r="B54" s="287">
        <f>IFERROR(INDEX('계좌현황'!A:A,INDEX($L$20:$L$95,MATCH(LARGE($N$20:$N$95,35),$N$20:$N$95,0))),"")</f>
        <v/>
      </c>
      <c r="C54" s="287">
        <f>IFERROR(INDEX('계좌현황'!C:C,INDEX($L$20:$L$95,MATCH(LARGE($N$20:$N$95,35),$N$20:$N$95,0))),"")</f>
        <v/>
      </c>
      <c r="D54" s="287">
        <f>IFERROR(INDEX('계좌현황'!D:D,INDEX($L$20:$L$95,MATCH(LARGE($N$20:$N$95,35),$N$20:$N$95,0))),"")</f>
        <v/>
      </c>
      <c r="E54" s="287">
        <f>IFERROR(INDEX('계좌현황'!E:E,INDEX($L$20:$L$95,MATCH(LARGE($N$20:$N$95,35),$N$20:$N$95,0))),"")</f>
        <v/>
      </c>
      <c r="F54" s="314">
        <f>IFERROR(INDEX('계좌현황'!F:F,INDEX($L$20:$L$95,MATCH(LARGE($N$20:$N$95,35),$N$20:$N$95,0))),"")</f>
        <v/>
      </c>
      <c r="G54" s="315">
        <f>IFERROR(INDEX('계좌현황'!K:K,INDEX($L$20:$L$95,MATCH(LARGE($N$20:$N$95,35),$N$20:$N$95,0))),0)</f>
        <v/>
      </c>
      <c r="H54" s="316">
        <f>IF($B$3=0,0,G54/$B$3)</f>
        <v/>
      </c>
      <c r="I54" s="316">
        <f>I53+H54</f>
        <v/>
      </c>
      <c r="L54" t="n">
        <v>43</v>
      </c>
      <c r="M54">
        <f>'계좌현황'!K43</f>
        <v/>
      </c>
      <c r="N54">
        <f>IF(M54="",-1E99,M54*100000+(10000-L54))</f>
        <v/>
      </c>
    </row>
    <row r="55">
      <c r="A55" s="290" t="n">
        <v>36</v>
      </c>
      <c r="B55" s="290">
        <f>IFERROR(INDEX('계좌현황'!A:A,INDEX($L$20:$L$95,MATCH(LARGE($N$20:$N$95,36),$N$20:$N$95,0))),"")</f>
        <v/>
      </c>
      <c r="C55" s="290">
        <f>IFERROR(INDEX('계좌현황'!C:C,INDEX($L$20:$L$95,MATCH(LARGE($N$20:$N$95,36),$N$20:$N$95,0))),"")</f>
        <v/>
      </c>
      <c r="D55" s="290">
        <f>IFERROR(INDEX('계좌현황'!D:D,INDEX($L$20:$L$95,MATCH(LARGE($N$20:$N$95,36),$N$20:$N$95,0))),"")</f>
        <v/>
      </c>
      <c r="E55" s="290">
        <f>IFERROR(INDEX('계좌현황'!E:E,INDEX($L$20:$L$95,MATCH(LARGE($N$20:$N$95,36),$N$20:$N$95,0))),"")</f>
        <v/>
      </c>
      <c r="F55" s="317">
        <f>IFERROR(INDEX('계좌현황'!F:F,INDEX($L$20:$L$95,MATCH(LARGE($N$20:$N$95,36),$N$20:$N$95,0))),"")</f>
        <v/>
      </c>
      <c r="G55" s="318">
        <f>IFERROR(INDEX('계좌현황'!K:K,INDEX($L$20:$L$95,MATCH(LARGE($N$20:$N$95,36),$N$20:$N$95,0))),0)</f>
        <v/>
      </c>
      <c r="H55" s="319">
        <f>IF($B$3=0,0,G55/$B$3)</f>
        <v/>
      </c>
      <c r="I55" s="319">
        <f>I54+H55</f>
        <v/>
      </c>
      <c r="L55" t="n">
        <v>44</v>
      </c>
      <c r="M55">
        <f>'계좌현황'!K44</f>
        <v/>
      </c>
      <c r="N55">
        <f>IF(M55="",-1E99,M55*100000+(10000-L55))</f>
        <v/>
      </c>
    </row>
    <row r="56">
      <c r="A56" s="290" t="n">
        <v>37</v>
      </c>
      <c r="B56" s="290">
        <f>IFERROR(INDEX('계좌현황'!A:A,INDEX($L$20:$L$95,MATCH(LARGE($N$20:$N$95,37),$N$20:$N$95,0))),"")</f>
        <v/>
      </c>
      <c r="C56" s="290">
        <f>IFERROR(INDEX('계좌현황'!C:C,INDEX($L$20:$L$95,MATCH(LARGE($N$20:$N$95,37),$N$20:$N$95,0))),"")</f>
        <v/>
      </c>
      <c r="D56" s="290">
        <f>IFERROR(INDEX('계좌현황'!D:D,INDEX($L$20:$L$95,MATCH(LARGE($N$20:$N$95,37),$N$20:$N$95,0))),"")</f>
        <v/>
      </c>
      <c r="E56" s="290">
        <f>IFERROR(INDEX('계좌현황'!E:E,INDEX($L$20:$L$95,MATCH(LARGE($N$20:$N$95,37),$N$20:$N$95,0))),"")</f>
        <v/>
      </c>
      <c r="F56" s="317">
        <f>IFERROR(INDEX('계좌현황'!F:F,INDEX($L$20:$L$95,MATCH(LARGE($N$20:$N$95,37),$N$20:$N$95,0))),"")</f>
        <v/>
      </c>
      <c r="G56" s="318">
        <f>IFERROR(INDEX('계좌현황'!K:K,INDEX($L$20:$L$95,MATCH(LARGE($N$20:$N$95,37),$N$20:$N$95,0))),0)</f>
        <v/>
      </c>
      <c r="H56" s="319">
        <f>IF($B$3=0,0,G56/$B$3)</f>
        <v/>
      </c>
      <c r="I56" s="319">
        <f>I55+H56</f>
        <v/>
      </c>
      <c r="L56" t="n">
        <v>45</v>
      </c>
      <c r="M56">
        <f>'계좌현황'!K45</f>
        <v/>
      </c>
      <c r="N56">
        <f>IF(M56="",-1E99,M56*100000+(10000-L56))</f>
        <v/>
      </c>
    </row>
    <row r="57">
      <c r="A57" s="290" t="n">
        <v>38</v>
      </c>
      <c r="B57" s="290">
        <f>IFERROR(INDEX('계좌현황'!A:A,INDEX($L$20:$L$95,MATCH(LARGE($N$20:$N$95,38),$N$20:$N$95,0))),"")</f>
        <v/>
      </c>
      <c r="C57" s="290">
        <f>IFERROR(INDEX('계좌현황'!C:C,INDEX($L$20:$L$95,MATCH(LARGE($N$20:$N$95,38),$N$20:$N$95,0))),"")</f>
        <v/>
      </c>
      <c r="D57" s="290">
        <f>IFERROR(INDEX('계좌현황'!D:D,INDEX($L$20:$L$95,MATCH(LARGE($N$20:$N$95,38),$N$20:$N$95,0))),"")</f>
        <v/>
      </c>
      <c r="E57" s="290">
        <f>IFERROR(INDEX('계좌현황'!E:E,INDEX($L$20:$L$95,MATCH(LARGE($N$20:$N$95,38),$N$20:$N$95,0))),"")</f>
        <v/>
      </c>
      <c r="F57" s="317">
        <f>IFERROR(INDEX('계좌현황'!F:F,INDEX($L$20:$L$95,MATCH(LARGE($N$20:$N$95,38),$N$20:$N$95,0))),"")</f>
        <v/>
      </c>
      <c r="G57" s="318">
        <f>IFERROR(INDEX('계좌현황'!K:K,INDEX($L$20:$L$95,MATCH(LARGE($N$20:$N$95,38),$N$20:$N$95,0))),0)</f>
        <v/>
      </c>
      <c r="H57" s="319">
        <f>IF($B$3=0,0,G57/$B$3)</f>
        <v/>
      </c>
      <c r="I57" s="319">
        <f>I56+H57</f>
        <v/>
      </c>
      <c r="L57" t="n">
        <v>46</v>
      </c>
      <c r="M57">
        <f>'계좌현황'!K46</f>
        <v/>
      </c>
      <c r="N57">
        <f>IF(M57="",-1E99,M57*100000+(10000-L57))</f>
        <v/>
      </c>
    </row>
    <row r="58">
      <c r="A58" s="287" t="n">
        <v>39</v>
      </c>
      <c r="B58" s="287">
        <f>IFERROR(INDEX('계좌현황'!A:A,INDEX($L$20:$L$95,MATCH(LARGE($N$20:$N$95,39),$N$20:$N$95,0))),"")</f>
        <v/>
      </c>
      <c r="C58" s="287">
        <f>IFERROR(INDEX('계좌현황'!C:C,INDEX($L$20:$L$95,MATCH(LARGE($N$20:$N$95,39),$N$20:$N$95,0))),"")</f>
        <v/>
      </c>
      <c r="D58" s="287">
        <f>IFERROR(INDEX('계좌현황'!D:D,INDEX($L$20:$L$95,MATCH(LARGE($N$20:$N$95,39),$N$20:$N$95,0))),"")</f>
        <v/>
      </c>
      <c r="E58" s="287">
        <f>IFERROR(INDEX('계좌현황'!E:E,INDEX($L$20:$L$95,MATCH(LARGE($N$20:$N$95,39),$N$20:$N$95,0))),"")</f>
        <v/>
      </c>
      <c r="F58" s="314">
        <f>IFERROR(INDEX('계좌현황'!F:F,INDEX($L$20:$L$95,MATCH(LARGE($N$20:$N$95,39),$N$20:$N$95,0))),"")</f>
        <v/>
      </c>
      <c r="G58" s="315">
        <f>IFERROR(INDEX('계좌현황'!K:K,INDEX($L$20:$L$95,MATCH(LARGE($N$20:$N$95,39),$N$20:$N$95,0))),0)</f>
        <v/>
      </c>
      <c r="H58" s="316">
        <f>IF($B$3=0,0,G58/$B$3)</f>
        <v/>
      </c>
      <c r="I58" s="316">
        <f>I57+H58</f>
        <v/>
      </c>
      <c r="L58" t="n">
        <v>47</v>
      </c>
      <c r="M58">
        <f>'계좌현황'!K47</f>
        <v/>
      </c>
      <c r="N58">
        <f>IF(M58="",-1E99,M58*100000+(10000-L58))</f>
        <v/>
      </c>
    </row>
    <row r="59">
      <c r="A59" s="287" t="n">
        <v>40</v>
      </c>
      <c r="B59" s="287">
        <f>IFERROR(INDEX('계좌현황'!A:A,INDEX($L$20:$L$95,MATCH(LARGE($N$20:$N$95,40),$N$20:$N$95,0))),"")</f>
        <v/>
      </c>
      <c r="C59" s="287">
        <f>IFERROR(INDEX('계좌현황'!C:C,INDEX($L$20:$L$95,MATCH(LARGE($N$20:$N$95,40),$N$20:$N$95,0))),"")</f>
        <v/>
      </c>
      <c r="D59" s="287">
        <f>IFERROR(INDEX('계좌현황'!D:D,INDEX($L$20:$L$95,MATCH(LARGE($N$20:$N$95,40),$N$20:$N$95,0))),"")</f>
        <v/>
      </c>
      <c r="E59" s="287">
        <f>IFERROR(INDEX('계좌현황'!E:E,INDEX($L$20:$L$95,MATCH(LARGE($N$20:$N$95,40),$N$20:$N$95,0))),"")</f>
        <v/>
      </c>
      <c r="F59" s="314">
        <f>IFERROR(INDEX('계좌현황'!F:F,INDEX($L$20:$L$95,MATCH(LARGE($N$20:$N$95,40),$N$20:$N$95,0))),"")</f>
        <v/>
      </c>
      <c r="G59" s="315">
        <f>IFERROR(INDEX('계좌현황'!K:K,INDEX($L$20:$L$95,MATCH(LARGE($N$20:$N$95,40),$N$20:$N$95,0))),0)</f>
        <v/>
      </c>
      <c r="H59" s="316">
        <f>IF($B$3=0,0,G59/$B$3)</f>
        <v/>
      </c>
      <c r="I59" s="316">
        <f>I58+H59</f>
        <v/>
      </c>
      <c r="L59" t="n">
        <v>48</v>
      </c>
      <c r="M59">
        <f>'계좌현황'!K48</f>
        <v/>
      </c>
      <c r="N59">
        <f>IF(M59="",-1E99,M59*100000+(10000-L59))</f>
        <v/>
      </c>
    </row>
    <row r="60">
      <c r="A60" s="287" t="n">
        <v>41</v>
      </c>
      <c r="B60" s="287">
        <f>IFERROR(INDEX('계좌현황'!A:A,INDEX($L$20:$L$95,MATCH(LARGE($N$20:$N$95,41),$N$20:$N$95,0))),"")</f>
        <v/>
      </c>
      <c r="C60" s="287">
        <f>IFERROR(INDEX('계좌현황'!C:C,INDEX($L$20:$L$95,MATCH(LARGE($N$20:$N$95,41),$N$20:$N$95,0))),"")</f>
        <v/>
      </c>
      <c r="D60" s="287">
        <f>IFERROR(INDEX('계좌현황'!D:D,INDEX($L$20:$L$95,MATCH(LARGE($N$20:$N$95,41),$N$20:$N$95,0))),"")</f>
        <v/>
      </c>
      <c r="E60" s="287">
        <f>IFERROR(INDEX('계좌현황'!E:E,INDEX($L$20:$L$95,MATCH(LARGE($N$20:$N$95,41),$N$20:$N$95,0))),"")</f>
        <v/>
      </c>
      <c r="F60" s="314">
        <f>IFERROR(INDEX('계좌현황'!F:F,INDEX($L$20:$L$95,MATCH(LARGE($N$20:$N$95,41),$N$20:$N$95,0))),"")</f>
        <v/>
      </c>
      <c r="G60" s="315">
        <f>IFERROR(INDEX('계좌현황'!K:K,INDEX($L$20:$L$95,MATCH(LARGE($N$20:$N$95,41),$N$20:$N$95,0))),0)</f>
        <v/>
      </c>
      <c r="H60" s="316">
        <f>IF($B$3=0,0,G60/$B$3)</f>
        <v/>
      </c>
      <c r="I60" s="316">
        <f>I59+H60</f>
        <v/>
      </c>
      <c r="L60" t="n">
        <v>49</v>
      </c>
      <c r="M60">
        <f>'계좌현황'!K49</f>
        <v/>
      </c>
      <c r="N60">
        <f>IF(M60="",-1E99,M60*100000+(10000-L60))</f>
        <v/>
      </c>
    </row>
    <row r="61">
      <c r="A61" s="290" t="n">
        <v>42</v>
      </c>
      <c r="B61" s="290">
        <f>IFERROR(INDEX('계좌현황'!A:A,INDEX($L$20:$L$95,MATCH(LARGE($N$20:$N$95,42),$N$20:$N$95,0))),"")</f>
        <v/>
      </c>
      <c r="C61" s="290">
        <f>IFERROR(INDEX('계좌현황'!C:C,INDEX($L$20:$L$95,MATCH(LARGE($N$20:$N$95,42),$N$20:$N$95,0))),"")</f>
        <v/>
      </c>
      <c r="D61" s="290">
        <f>IFERROR(INDEX('계좌현황'!D:D,INDEX($L$20:$L$95,MATCH(LARGE($N$20:$N$95,42),$N$20:$N$95,0))),"")</f>
        <v/>
      </c>
      <c r="E61" s="290">
        <f>IFERROR(INDEX('계좌현황'!E:E,INDEX($L$20:$L$95,MATCH(LARGE($N$20:$N$95,42),$N$20:$N$95,0))),"")</f>
        <v/>
      </c>
      <c r="F61" s="317">
        <f>IFERROR(INDEX('계좌현황'!F:F,INDEX($L$20:$L$95,MATCH(LARGE($N$20:$N$95,42),$N$20:$N$95,0))),"")</f>
        <v/>
      </c>
      <c r="G61" s="318">
        <f>IFERROR(INDEX('계좌현황'!K:K,INDEX($L$20:$L$95,MATCH(LARGE($N$20:$N$95,42),$N$20:$N$95,0))),0)</f>
        <v/>
      </c>
      <c r="H61" s="319">
        <f>IF($B$3=0,0,G61/$B$3)</f>
        <v/>
      </c>
      <c r="I61" s="319">
        <f>I60+H61</f>
        <v/>
      </c>
      <c r="L61" t="n">
        <v>50</v>
      </c>
      <c r="M61">
        <f>'계좌현황'!K50</f>
        <v/>
      </c>
      <c r="N61">
        <f>IF(M61="",-1E99,M61*100000+(10000-L61))</f>
        <v/>
      </c>
    </row>
    <row r="62">
      <c r="A62" s="287" t="n">
        <v>43</v>
      </c>
      <c r="B62" s="287">
        <f>IFERROR(INDEX('계좌현황'!A:A,INDEX($L$20:$L$95,MATCH(LARGE($N$20:$N$95,43),$N$20:$N$95,0))),"")</f>
        <v/>
      </c>
      <c r="C62" s="287">
        <f>IFERROR(INDEX('계좌현황'!C:C,INDEX($L$20:$L$95,MATCH(LARGE($N$20:$N$95,43),$N$20:$N$95,0))),"")</f>
        <v/>
      </c>
      <c r="D62" s="287">
        <f>IFERROR(INDEX('계좌현황'!D:D,INDEX($L$20:$L$95,MATCH(LARGE($N$20:$N$95,43),$N$20:$N$95,0))),"")</f>
        <v/>
      </c>
      <c r="E62" s="287">
        <f>IFERROR(INDEX('계좌현황'!E:E,INDEX($L$20:$L$95,MATCH(LARGE($N$20:$N$95,43),$N$20:$N$95,0))),"")</f>
        <v/>
      </c>
      <c r="F62" s="314">
        <f>IFERROR(INDEX('계좌현황'!F:F,INDEX($L$20:$L$95,MATCH(LARGE($N$20:$N$95,43),$N$20:$N$95,0))),"")</f>
        <v/>
      </c>
      <c r="G62" s="315">
        <f>IFERROR(INDEX('계좌현황'!K:K,INDEX($L$20:$L$95,MATCH(LARGE($N$20:$N$95,43),$N$20:$N$95,0))),0)</f>
        <v/>
      </c>
      <c r="H62" s="316">
        <f>IF($B$3=0,0,G62/$B$3)</f>
        <v/>
      </c>
      <c r="I62" s="316">
        <f>I61+H62</f>
        <v/>
      </c>
      <c r="L62" t="n">
        <v>51</v>
      </c>
      <c r="M62">
        <f>'계좌현황'!K51</f>
        <v/>
      </c>
      <c r="N62">
        <f>IF(M62="",-1E99,M62*100000+(10000-L62))</f>
        <v/>
      </c>
    </row>
    <row r="63">
      <c r="A63" s="290" t="n">
        <v>44</v>
      </c>
      <c r="B63" s="290">
        <f>IFERROR(INDEX('계좌현황'!A:A,INDEX($L$20:$L$95,MATCH(LARGE($N$20:$N$95,44),$N$20:$N$95,0))),"")</f>
        <v/>
      </c>
      <c r="C63" s="290">
        <f>IFERROR(INDEX('계좌현황'!C:C,INDEX($L$20:$L$95,MATCH(LARGE($N$20:$N$95,44),$N$20:$N$95,0))),"")</f>
        <v/>
      </c>
      <c r="D63" s="290">
        <f>IFERROR(INDEX('계좌현황'!D:D,INDEX($L$20:$L$95,MATCH(LARGE($N$20:$N$95,44),$N$20:$N$95,0))),"")</f>
        <v/>
      </c>
      <c r="E63" s="290">
        <f>IFERROR(INDEX('계좌현황'!E:E,INDEX($L$20:$L$95,MATCH(LARGE($N$20:$N$95,44),$N$20:$N$95,0))),"")</f>
        <v/>
      </c>
      <c r="F63" s="317">
        <f>IFERROR(INDEX('계좌현황'!F:F,INDEX($L$20:$L$95,MATCH(LARGE($N$20:$N$95,44),$N$20:$N$95,0))),"")</f>
        <v/>
      </c>
      <c r="G63" s="318">
        <f>IFERROR(INDEX('계좌현황'!K:K,INDEX($L$20:$L$95,MATCH(LARGE($N$20:$N$95,44),$N$20:$N$95,0))),0)</f>
        <v/>
      </c>
      <c r="H63" s="319">
        <f>IF($B$3=0,0,G63/$B$3)</f>
        <v/>
      </c>
      <c r="I63" s="319">
        <f>I62+H63</f>
        <v/>
      </c>
      <c r="L63" t="n">
        <v>52</v>
      </c>
      <c r="M63">
        <f>'계좌현황'!K52</f>
        <v/>
      </c>
      <c r="N63">
        <f>IF(M63="",-1E99,M63*100000+(10000-L63))</f>
        <v/>
      </c>
    </row>
    <row r="64">
      <c r="A64" s="290" t="n">
        <v>45</v>
      </c>
      <c r="B64" s="290">
        <f>IFERROR(INDEX('계좌현황'!A:A,INDEX($L$20:$L$95,MATCH(LARGE($N$20:$N$95,45),$N$20:$N$95,0))),"")</f>
        <v/>
      </c>
      <c r="C64" s="290">
        <f>IFERROR(INDEX('계좌현황'!C:C,INDEX($L$20:$L$95,MATCH(LARGE($N$20:$N$95,45),$N$20:$N$95,0))),"")</f>
        <v/>
      </c>
      <c r="D64" s="290">
        <f>IFERROR(INDEX('계좌현황'!D:D,INDEX($L$20:$L$95,MATCH(LARGE($N$20:$N$95,45),$N$20:$N$95,0))),"")</f>
        <v/>
      </c>
      <c r="E64" s="290">
        <f>IFERROR(INDEX('계좌현황'!E:E,INDEX($L$20:$L$95,MATCH(LARGE($N$20:$N$95,45),$N$20:$N$95,0))),"")</f>
        <v/>
      </c>
      <c r="F64" s="317">
        <f>IFERROR(INDEX('계좌현황'!F:F,INDEX($L$20:$L$95,MATCH(LARGE($N$20:$N$95,45),$N$20:$N$95,0))),"")</f>
        <v/>
      </c>
      <c r="G64" s="318">
        <f>IFERROR(INDEX('계좌현황'!K:K,INDEX($L$20:$L$95,MATCH(LARGE($N$20:$N$95,45),$N$20:$N$95,0))),0)</f>
        <v/>
      </c>
      <c r="H64" s="319">
        <f>IF($B$3=0,0,G64/$B$3)</f>
        <v/>
      </c>
      <c r="I64" s="319">
        <f>I63+H64</f>
        <v/>
      </c>
      <c r="L64" t="n">
        <v>53</v>
      </c>
      <c r="M64">
        <f>'계좌현황'!K53</f>
        <v/>
      </c>
      <c r="N64">
        <f>IF(M64="",-1E99,M64*100000+(10000-L64))</f>
        <v/>
      </c>
    </row>
    <row r="65">
      <c r="A65" s="290" t="n">
        <v>46</v>
      </c>
      <c r="B65" s="290">
        <f>IFERROR(INDEX('계좌현황'!A:A,INDEX($L$20:$L$95,MATCH(LARGE($N$20:$N$95,46),$N$20:$N$95,0))),"")</f>
        <v/>
      </c>
      <c r="C65" s="290">
        <f>IFERROR(INDEX('계좌현황'!C:C,INDEX($L$20:$L$95,MATCH(LARGE($N$20:$N$95,46),$N$20:$N$95,0))),"")</f>
        <v/>
      </c>
      <c r="D65" s="290">
        <f>IFERROR(INDEX('계좌현황'!D:D,INDEX($L$20:$L$95,MATCH(LARGE($N$20:$N$95,46),$N$20:$N$95,0))),"")</f>
        <v/>
      </c>
      <c r="E65" s="290">
        <f>IFERROR(INDEX('계좌현황'!E:E,INDEX($L$20:$L$95,MATCH(LARGE($N$20:$N$95,46),$N$20:$N$95,0))),"")</f>
        <v/>
      </c>
      <c r="F65" s="317">
        <f>IFERROR(INDEX('계좌현황'!F:F,INDEX($L$20:$L$95,MATCH(LARGE($N$20:$N$95,46),$N$20:$N$95,0))),"")</f>
        <v/>
      </c>
      <c r="G65" s="318">
        <f>IFERROR(INDEX('계좌현황'!K:K,INDEX($L$20:$L$95,MATCH(LARGE($N$20:$N$95,46),$N$20:$N$95,0))),0)</f>
        <v/>
      </c>
      <c r="H65" s="319">
        <f>IF($B$3=0,0,G65/$B$3)</f>
        <v/>
      </c>
      <c r="I65" s="319">
        <f>I64+H65</f>
        <v/>
      </c>
      <c r="L65" t="n">
        <v>54</v>
      </c>
      <c r="M65">
        <f>'계좌현황'!K54</f>
        <v/>
      </c>
      <c r="N65">
        <f>IF(M65="",-1E99,M65*100000+(10000-L65))</f>
        <v/>
      </c>
    </row>
    <row r="66">
      <c r="A66" s="290" t="n">
        <v>47</v>
      </c>
      <c r="B66" s="290">
        <f>IFERROR(INDEX('계좌현황'!A:A,INDEX($L$20:$L$95,MATCH(LARGE($N$20:$N$95,47),$N$20:$N$95,0))),"")</f>
        <v/>
      </c>
      <c r="C66" s="290">
        <f>IFERROR(INDEX('계좌현황'!C:C,INDEX($L$20:$L$95,MATCH(LARGE($N$20:$N$95,47),$N$20:$N$95,0))),"")</f>
        <v/>
      </c>
      <c r="D66" s="290">
        <f>IFERROR(INDEX('계좌현황'!D:D,INDEX($L$20:$L$95,MATCH(LARGE($N$20:$N$95,47),$N$20:$N$95,0))),"")</f>
        <v/>
      </c>
      <c r="E66" s="290">
        <f>IFERROR(INDEX('계좌현황'!E:E,INDEX($L$20:$L$95,MATCH(LARGE($N$20:$N$95,47),$N$20:$N$95,0))),"")</f>
        <v/>
      </c>
      <c r="F66" s="317">
        <f>IFERROR(INDEX('계좌현황'!F:F,INDEX($L$20:$L$95,MATCH(LARGE($N$20:$N$95,47),$N$20:$N$95,0))),"")</f>
        <v/>
      </c>
      <c r="G66" s="318">
        <f>IFERROR(INDEX('계좌현황'!K:K,INDEX($L$20:$L$95,MATCH(LARGE($N$20:$N$95,47),$N$20:$N$95,0))),0)</f>
        <v/>
      </c>
      <c r="H66" s="319">
        <f>IF($B$3=0,0,G66/$B$3)</f>
        <v/>
      </c>
      <c r="I66" s="319">
        <f>I65+H66</f>
        <v/>
      </c>
      <c r="L66" t="n">
        <v>55</v>
      </c>
      <c r="M66">
        <f>'계좌현황'!K55</f>
        <v/>
      </c>
      <c r="N66">
        <f>IF(M66="",-1E99,M66*100000+(10000-L66))</f>
        <v/>
      </c>
    </row>
    <row r="67">
      <c r="A67" s="290" t="n">
        <v>48</v>
      </c>
      <c r="B67" s="290">
        <f>IFERROR(INDEX('계좌현황'!A:A,INDEX($L$20:$L$95,MATCH(LARGE($N$20:$N$95,48),$N$20:$N$95,0))),"")</f>
        <v/>
      </c>
      <c r="C67" s="290">
        <f>IFERROR(INDEX('계좌현황'!C:C,INDEX($L$20:$L$95,MATCH(LARGE($N$20:$N$95,48),$N$20:$N$95,0))),"")</f>
        <v/>
      </c>
      <c r="D67" s="290">
        <f>IFERROR(INDEX('계좌현황'!D:D,INDEX($L$20:$L$95,MATCH(LARGE($N$20:$N$95,48),$N$20:$N$95,0))),"")</f>
        <v/>
      </c>
      <c r="E67" s="290">
        <f>IFERROR(INDEX('계좌현황'!E:E,INDEX($L$20:$L$95,MATCH(LARGE($N$20:$N$95,48),$N$20:$N$95,0))),"")</f>
        <v/>
      </c>
      <c r="F67" s="317">
        <f>IFERROR(INDEX('계좌현황'!F:F,INDEX($L$20:$L$95,MATCH(LARGE($N$20:$N$95,48),$N$20:$N$95,0))),"")</f>
        <v/>
      </c>
      <c r="G67" s="318">
        <f>IFERROR(INDEX('계좌현황'!K:K,INDEX($L$20:$L$95,MATCH(LARGE($N$20:$N$95,48),$N$20:$N$95,0))),0)</f>
        <v/>
      </c>
      <c r="H67" s="319">
        <f>IF($B$3=0,0,G67/$B$3)</f>
        <v/>
      </c>
      <c r="I67" s="319">
        <f>I66+H67</f>
        <v/>
      </c>
      <c r="L67" t="n">
        <v>56</v>
      </c>
      <c r="M67">
        <f>'계좌현황'!K56</f>
        <v/>
      </c>
      <c r="N67">
        <f>IF(M67="",-1E99,M67*100000+(10000-L67))</f>
        <v/>
      </c>
    </row>
    <row r="68">
      <c r="A68" s="290" t="n">
        <v>49</v>
      </c>
      <c r="B68" s="290">
        <f>IFERROR(INDEX('계좌현황'!A:A,INDEX($L$20:$L$95,MATCH(LARGE($N$20:$N$95,49),$N$20:$N$95,0))),"")</f>
        <v/>
      </c>
      <c r="C68" s="290">
        <f>IFERROR(INDEX('계좌현황'!C:C,INDEX($L$20:$L$95,MATCH(LARGE($N$20:$N$95,49),$N$20:$N$95,0))),"")</f>
        <v/>
      </c>
      <c r="D68" s="290">
        <f>IFERROR(INDEX('계좌현황'!D:D,INDEX($L$20:$L$95,MATCH(LARGE($N$20:$N$95,49),$N$20:$N$95,0))),"")</f>
        <v/>
      </c>
      <c r="E68" s="290">
        <f>IFERROR(INDEX('계좌현황'!E:E,INDEX($L$20:$L$95,MATCH(LARGE($N$20:$N$95,49),$N$20:$N$95,0))),"")</f>
        <v/>
      </c>
      <c r="F68" s="317">
        <f>IFERROR(INDEX('계좌현황'!F:F,INDEX($L$20:$L$95,MATCH(LARGE($N$20:$N$95,49),$N$20:$N$95,0))),"")</f>
        <v/>
      </c>
      <c r="G68" s="318">
        <f>IFERROR(INDEX('계좌현황'!K:K,INDEX($L$20:$L$95,MATCH(LARGE($N$20:$N$95,49),$N$20:$N$95,0))),0)</f>
        <v/>
      </c>
      <c r="H68" s="319">
        <f>IF($B$3=0,0,G68/$B$3)</f>
        <v/>
      </c>
      <c r="I68" s="319">
        <f>I67+H68</f>
        <v/>
      </c>
      <c r="L68" t="n">
        <v>57</v>
      </c>
      <c r="M68">
        <f>'계좌현황'!K57</f>
        <v/>
      </c>
      <c r="N68">
        <f>IF(M68="",-1E99,M68*100000+(10000-L68))</f>
        <v/>
      </c>
    </row>
    <row r="69">
      <c r="A69" s="287" t="n">
        <v>50</v>
      </c>
      <c r="B69" s="287">
        <f>IFERROR(INDEX('계좌현황'!A:A,INDEX($L$20:$L$95,MATCH(LARGE($N$20:$N$95,50),$N$20:$N$95,0))),"")</f>
        <v/>
      </c>
      <c r="C69" s="287">
        <f>IFERROR(INDEX('계좌현황'!C:C,INDEX($L$20:$L$95,MATCH(LARGE($N$20:$N$95,50),$N$20:$N$95,0))),"")</f>
        <v/>
      </c>
      <c r="D69" s="287">
        <f>IFERROR(INDEX('계좌현황'!D:D,INDEX($L$20:$L$95,MATCH(LARGE($N$20:$N$95,50),$N$20:$N$95,0))),"")</f>
        <v/>
      </c>
      <c r="E69" s="287">
        <f>IFERROR(INDEX('계좌현황'!E:E,INDEX($L$20:$L$95,MATCH(LARGE($N$20:$N$95,50),$N$20:$N$95,0))),"")</f>
        <v/>
      </c>
      <c r="F69" s="314">
        <f>IFERROR(INDEX('계좌현황'!F:F,INDEX($L$20:$L$95,MATCH(LARGE($N$20:$N$95,50),$N$20:$N$95,0))),"")</f>
        <v/>
      </c>
      <c r="G69" s="315">
        <f>IFERROR(INDEX('계좌현황'!K:K,INDEX($L$20:$L$95,MATCH(LARGE($N$20:$N$95,50),$N$20:$N$95,0))),0)</f>
        <v/>
      </c>
      <c r="H69" s="316">
        <f>IF($B$3=0,0,G69/$B$3)</f>
        <v/>
      </c>
      <c r="I69" s="316">
        <f>I68+H69</f>
        <v/>
      </c>
      <c r="L69" t="n">
        <v>58</v>
      </c>
      <c r="M69">
        <f>'계좌현황'!K58</f>
        <v/>
      </c>
      <c r="N69">
        <f>IF(M69="",-1E99,M69*100000+(10000-L69))</f>
        <v/>
      </c>
    </row>
    <row r="70">
      <c r="A70" s="287" t="n">
        <v>51</v>
      </c>
      <c r="B70" s="287">
        <f>IFERROR(INDEX('계좌현황'!A:A,INDEX($L$20:$L$95,MATCH(LARGE($N$20:$N$95,51),$N$20:$N$95,0))),"")</f>
        <v/>
      </c>
      <c r="C70" s="287">
        <f>IFERROR(INDEX('계좌현황'!C:C,INDEX($L$20:$L$95,MATCH(LARGE($N$20:$N$95,51),$N$20:$N$95,0))),"")</f>
        <v/>
      </c>
      <c r="D70" s="287">
        <f>IFERROR(INDEX('계좌현황'!D:D,INDEX($L$20:$L$95,MATCH(LARGE($N$20:$N$95,51),$N$20:$N$95,0))),"")</f>
        <v/>
      </c>
      <c r="E70" s="287">
        <f>IFERROR(INDEX('계좌현황'!E:E,INDEX($L$20:$L$95,MATCH(LARGE($N$20:$N$95,51),$N$20:$N$95,0))),"")</f>
        <v/>
      </c>
      <c r="F70" s="314">
        <f>IFERROR(INDEX('계좌현황'!F:F,INDEX($L$20:$L$95,MATCH(LARGE($N$20:$N$95,51),$N$20:$N$95,0))),"")</f>
        <v/>
      </c>
      <c r="G70" s="315">
        <f>IFERROR(INDEX('계좌현황'!K:K,INDEX($L$20:$L$95,MATCH(LARGE($N$20:$N$95,51),$N$20:$N$95,0))),0)</f>
        <v/>
      </c>
      <c r="H70" s="316">
        <f>IF($B$3=0,0,G70/$B$3)</f>
        <v/>
      </c>
      <c r="I70" s="316">
        <f>I69+H70</f>
        <v/>
      </c>
      <c r="L70" t="n">
        <v>59</v>
      </c>
      <c r="M70">
        <f>'계좌현황'!K59</f>
        <v/>
      </c>
      <c r="N70">
        <f>IF(M70="",-1E99,M70*100000+(10000-L70))</f>
        <v/>
      </c>
    </row>
    <row r="71">
      <c r="A71" s="290" t="n">
        <v>52</v>
      </c>
      <c r="B71" s="290">
        <f>IFERROR(INDEX('계좌현황'!A:A,INDEX($L$20:$L$95,MATCH(LARGE($N$20:$N$95,52),$N$20:$N$95,0))),"")</f>
        <v/>
      </c>
      <c r="C71" s="290">
        <f>IFERROR(INDEX('계좌현황'!C:C,INDEX($L$20:$L$95,MATCH(LARGE($N$20:$N$95,52),$N$20:$N$95,0))),"")</f>
        <v/>
      </c>
      <c r="D71" s="290">
        <f>IFERROR(INDEX('계좌현황'!D:D,INDEX($L$20:$L$95,MATCH(LARGE($N$20:$N$95,52),$N$20:$N$95,0))),"")</f>
        <v/>
      </c>
      <c r="E71" s="290">
        <f>IFERROR(INDEX('계좌현황'!E:E,INDEX($L$20:$L$95,MATCH(LARGE($N$20:$N$95,52),$N$20:$N$95,0))),"")</f>
        <v/>
      </c>
      <c r="F71" s="317">
        <f>IFERROR(INDEX('계좌현황'!F:F,INDEX($L$20:$L$95,MATCH(LARGE($N$20:$N$95,52),$N$20:$N$95,0))),"")</f>
        <v/>
      </c>
      <c r="G71" s="318">
        <f>IFERROR(INDEX('계좌현황'!K:K,INDEX($L$20:$L$95,MATCH(LARGE($N$20:$N$95,52),$N$20:$N$95,0))),0)</f>
        <v/>
      </c>
      <c r="H71" s="319">
        <f>IF($B$3=0,0,G71/$B$3)</f>
        <v/>
      </c>
      <c r="I71" s="319">
        <f>I70+H71</f>
        <v/>
      </c>
      <c r="L71" t="n">
        <v>60</v>
      </c>
      <c r="M71">
        <f>'계좌현황'!K60</f>
        <v/>
      </c>
      <c r="N71">
        <f>IF(M71="",-1E99,M71*100000+(10000-L71))</f>
        <v/>
      </c>
    </row>
    <row r="72">
      <c r="A72" s="290" t="n">
        <v>53</v>
      </c>
      <c r="B72" s="290">
        <f>IFERROR(INDEX('계좌현황'!A:A,INDEX($L$20:$L$95,MATCH(LARGE($N$20:$N$95,53),$N$20:$N$95,0))),"")</f>
        <v/>
      </c>
      <c r="C72" s="290">
        <f>IFERROR(INDEX('계좌현황'!C:C,INDEX($L$20:$L$95,MATCH(LARGE($N$20:$N$95,53),$N$20:$N$95,0))),"")</f>
        <v/>
      </c>
      <c r="D72" s="290">
        <f>IFERROR(INDEX('계좌현황'!D:D,INDEX($L$20:$L$95,MATCH(LARGE($N$20:$N$95,53),$N$20:$N$95,0))),"")</f>
        <v/>
      </c>
      <c r="E72" s="290">
        <f>IFERROR(INDEX('계좌현황'!E:E,INDEX($L$20:$L$95,MATCH(LARGE($N$20:$N$95,53),$N$20:$N$95,0))),"")</f>
        <v/>
      </c>
      <c r="F72" s="317">
        <f>IFERROR(INDEX('계좌현황'!F:F,INDEX($L$20:$L$95,MATCH(LARGE($N$20:$N$95,53),$N$20:$N$95,0))),"")</f>
        <v/>
      </c>
      <c r="G72" s="318">
        <f>IFERROR(INDEX('계좌현황'!K:K,INDEX($L$20:$L$95,MATCH(LARGE($N$20:$N$95,53),$N$20:$N$95,0))),0)</f>
        <v/>
      </c>
      <c r="H72" s="319">
        <f>IF($B$3=0,0,G72/$B$3)</f>
        <v/>
      </c>
      <c r="I72" s="319">
        <f>I71+H72</f>
        <v/>
      </c>
      <c r="L72" t="n">
        <v>61</v>
      </c>
      <c r="M72">
        <f>'계좌현황'!K61</f>
        <v/>
      </c>
      <c r="N72">
        <f>IF(M72="",-1E99,M72*100000+(10000-L72))</f>
        <v/>
      </c>
    </row>
    <row r="73">
      <c r="A73" s="290" t="n">
        <v>54</v>
      </c>
      <c r="B73" s="290">
        <f>IFERROR(INDEX('계좌현황'!A:A,INDEX($L$20:$L$95,MATCH(LARGE($N$20:$N$95,54),$N$20:$N$95,0))),"")</f>
        <v/>
      </c>
      <c r="C73" s="290">
        <f>IFERROR(INDEX('계좌현황'!C:C,INDEX($L$20:$L$95,MATCH(LARGE($N$20:$N$95,54),$N$20:$N$95,0))),"")</f>
        <v/>
      </c>
      <c r="D73" s="290">
        <f>IFERROR(INDEX('계좌현황'!D:D,INDEX($L$20:$L$95,MATCH(LARGE($N$20:$N$95,54),$N$20:$N$95,0))),"")</f>
        <v/>
      </c>
      <c r="E73" s="290">
        <f>IFERROR(INDEX('계좌현황'!E:E,INDEX($L$20:$L$95,MATCH(LARGE($N$20:$N$95,54),$N$20:$N$95,0))),"")</f>
        <v/>
      </c>
      <c r="F73" s="317">
        <f>IFERROR(INDEX('계좌현황'!F:F,INDEX($L$20:$L$95,MATCH(LARGE($N$20:$N$95,54),$N$20:$N$95,0))),"")</f>
        <v/>
      </c>
      <c r="G73" s="318">
        <f>IFERROR(INDEX('계좌현황'!K:K,INDEX($L$20:$L$95,MATCH(LARGE($N$20:$N$95,54),$N$20:$N$95,0))),0)</f>
        <v/>
      </c>
      <c r="H73" s="319">
        <f>IF($B$3=0,0,G73/$B$3)</f>
        <v/>
      </c>
      <c r="I73" s="319">
        <f>I72+H73</f>
        <v/>
      </c>
      <c r="L73" t="n">
        <v>62</v>
      </c>
      <c r="M73">
        <f>'계좌현황'!K62</f>
        <v/>
      </c>
      <c r="N73">
        <f>IF(M73="",-1E99,M73*100000+(10000-L73))</f>
        <v/>
      </c>
    </row>
    <row r="74">
      <c r="A74" s="290" t="n">
        <v>55</v>
      </c>
      <c r="B74" s="290">
        <f>IFERROR(INDEX('계좌현황'!A:A,INDEX($L$20:$L$95,MATCH(LARGE($N$20:$N$95,55),$N$20:$N$95,0))),"")</f>
        <v/>
      </c>
      <c r="C74" s="290">
        <f>IFERROR(INDEX('계좌현황'!C:C,INDEX($L$20:$L$95,MATCH(LARGE($N$20:$N$95,55),$N$20:$N$95,0))),"")</f>
        <v/>
      </c>
      <c r="D74" s="290">
        <f>IFERROR(INDEX('계좌현황'!D:D,INDEX($L$20:$L$95,MATCH(LARGE($N$20:$N$95,55),$N$20:$N$95,0))),"")</f>
        <v/>
      </c>
      <c r="E74" s="290">
        <f>IFERROR(INDEX('계좌현황'!E:E,INDEX($L$20:$L$95,MATCH(LARGE($N$20:$N$95,55),$N$20:$N$95,0))),"")</f>
        <v/>
      </c>
      <c r="F74" s="317">
        <f>IFERROR(INDEX('계좌현황'!F:F,INDEX($L$20:$L$95,MATCH(LARGE($N$20:$N$95,55),$N$20:$N$95,0))),"")</f>
        <v/>
      </c>
      <c r="G74" s="318">
        <f>IFERROR(INDEX('계좌현황'!K:K,INDEX($L$20:$L$95,MATCH(LARGE($N$20:$N$95,55),$N$20:$N$95,0))),0)</f>
        <v/>
      </c>
      <c r="H74" s="319">
        <f>IF($B$3=0,0,G74/$B$3)</f>
        <v/>
      </c>
      <c r="I74" s="319">
        <f>I73+H74</f>
        <v/>
      </c>
      <c r="L74" t="n">
        <v>63</v>
      </c>
      <c r="M74">
        <f>'계좌현황'!K63</f>
        <v/>
      </c>
      <c r="N74">
        <f>IF(M74="",-1E99,M74*100000+(10000-L74))</f>
        <v/>
      </c>
    </row>
    <row r="75">
      <c r="A75" s="290" t="n">
        <v>56</v>
      </c>
      <c r="B75" s="290">
        <f>IFERROR(INDEX('계좌현황'!A:A,INDEX($L$20:$L$95,MATCH(LARGE($N$20:$N$95,56),$N$20:$N$95,0))),"")</f>
        <v/>
      </c>
      <c r="C75" s="290">
        <f>IFERROR(INDEX('계좌현황'!C:C,INDEX($L$20:$L$95,MATCH(LARGE($N$20:$N$95,56),$N$20:$N$95,0))),"")</f>
        <v/>
      </c>
      <c r="D75" s="290">
        <f>IFERROR(INDEX('계좌현황'!D:D,INDEX($L$20:$L$95,MATCH(LARGE($N$20:$N$95,56),$N$20:$N$95,0))),"")</f>
        <v/>
      </c>
      <c r="E75" s="290">
        <f>IFERROR(INDEX('계좌현황'!E:E,INDEX($L$20:$L$95,MATCH(LARGE($N$20:$N$95,56),$N$20:$N$95,0))),"")</f>
        <v/>
      </c>
      <c r="F75" s="317">
        <f>IFERROR(INDEX('계좌현황'!F:F,INDEX($L$20:$L$95,MATCH(LARGE($N$20:$N$95,56),$N$20:$N$95,0))),"")</f>
        <v/>
      </c>
      <c r="G75" s="318">
        <f>IFERROR(INDEX('계좌현황'!K:K,INDEX($L$20:$L$95,MATCH(LARGE($N$20:$N$95,56),$N$20:$N$95,0))),0)</f>
        <v/>
      </c>
      <c r="H75" s="319">
        <f>IF($B$3=0,0,G75/$B$3)</f>
        <v/>
      </c>
      <c r="I75" s="319">
        <f>I74+H75</f>
        <v/>
      </c>
      <c r="L75" t="n">
        <v>64</v>
      </c>
      <c r="M75">
        <f>'계좌현황'!K64</f>
        <v/>
      </c>
      <c r="N75">
        <f>IF(M75="",-1E99,M75*100000+(10000-L75))</f>
        <v/>
      </c>
    </row>
    <row r="76">
      <c r="A76" s="290" t="n">
        <v>57</v>
      </c>
      <c r="B76" s="290">
        <f>IFERROR(INDEX('계좌현황'!A:A,INDEX($L$20:$L$95,MATCH(LARGE($N$20:$N$95,57),$N$20:$N$95,0))),"")</f>
        <v/>
      </c>
      <c r="C76" s="290">
        <f>IFERROR(INDEX('계좌현황'!C:C,INDEX($L$20:$L$95,MATCH(LARGE($N$20:$N$95,57),$N$20:$N$95,0))),"")</f>
        <v/>
      </c>
      <c r="D76" s="290">
        <f>IFERROR(INDEX('계좌현황'!D:D,INDEX($L$20:$L$95,MATCH(LARGE($N$20:$N$95,57),$N$20:$N$95,0))),"")</f>
        <v/>
      </c>
      <c r="E76" s="290">
        <f>IFERROR(INDEX('계좌현황'!E:E,INDEX($L$20:$L$95,MATCH(LARGE($N$20:$N$95,57),$N$20:$N$95,0))),"")</f>
        <v/>
      </c>
      <c r="F76" s="317">
        <f>IFERROR(INDEX('계좌현황'!F:F,INDEX($L$20:$L$95,MATCH(LARGE($N$20:$N$95,57),$N$20:$N$95,0))),"")</f>
        <v/>
      </c>
      <c r="G76" s="318">
        <f>IFERROR(INDEX('계좌현황'!K:K,INDEX($L$20:$L$95,MATCH(LARGE($N$20:$N$95,57),$N$20:$N$95,0))),0)</f>
        <v/>
      </c>
      <c r="H76" s="319">
        <f>IF($B$3=0,0,G76/$B$3)</f>
        <v/>
      </c>
      <c r="I76" s="319">
        <f>I75+H76</f>
        <v/>
      </c>
      <c r="L76" t="n">
        <v>65</v>
      </c>
      <c r="M76">
        <f>'계좌현황'!K65</f>
        <v/>
      </c>
      <c r="N76">
        <f>IF(M76="",-1E99,M76*100000+(10000-L76))</f>
        <v/>
      </c>
    </row>
    <row r="77">
      <c r="A77" s="290" t="n">
        <v>58</v>
      </c>
      <c r="B77" s="290">
        <f>IFERROR(INDEX('계좌현황'!A:A,INDEX($L$20:$L$95,MATCH(LARGE($N$20:$N$95,58),$N$20:$N$95,0))),"")</f>
        <v/>
      </c>
      <c r="C77" s="290">
        <f>IFERROR(INDEX('계좌현황'!C:C,INDEX($L$20:$L$95,MATCH(LARGE($N$20:$N$95,58),$N$20:$N$95,0))),"")</f>
        <v/>
      </c>
      <c r="D77" s="290">
        <f>IFERROR(INDEX('계좌현황'!D:D,INDEX($L$20:$L$95,MATCH(LARGE($N$20:$N$95,58),$N$20:$N$95,0))),"")</f>
        <v/>
      </c>
      <c r="E77" s="290">
        <f>IFERROR(INDEX('계좌현황'!E:E,INDEX($L$20:$L$95,MATCH(LARGE($N$20:$N$95,58),$N$20:$N$95,0))),"")</f>
        <v/>
      </c>
      <c r="F77" s="317">
        <f>IFERROR(INDEX('계좌현황'!F:F,INDEX($L$20:$L$95,MATCH(LARGE($N$20:$N$95,58),$N$20:$N$95,0))),"")</f>
        <v/>
      </c>
      <c r="G77" s="318">
        <f>IFERROR(INDEX('계좌현황'!K:K,INDEX($L$20:$L$95,MATCH(LARGE($N$20:$N$95,58),$N$20:$N$95,0))),0)</f>
        <v/>
      </c>
      <c r="H77" s="319">
        <f>IF($B$3=0,0,G77/$B$3)</f>
        <v/>
      </c>
      <c r="I77" s="319">
        <f>I76+H77</f>
        <v/>
      </c>
      <c r="L77" t="n">
        <v>66</v>
      </c>
      <c r="M77">
        <f>'계좌현황'!K66</f>
        <v/>
      </c>
      <c r="N77">
        <f>IF(M77="",-1E99,M77*100000+(10000-L77))</f>
        <v/>
      </c>
    </row>
    <row r="78">
      <c r="A78" s="290" t="n">
        <v>59</v>
      </c>
      <c r="B78" s="290">
        <f>IFERROR(INDEX('계좌현황'!A:A,INDEX($L$20:$L$95,MATCH(LARGE($N$20:$N$95,59),$N$20:$N$95,0))),"")</f>
        <v/>
      </c>
      <c r="C78" s="290">
        <f>IFERROR(INDEX('계좌현황'!C:C,INDEX($L$20:$L$95,MATCH(LARGE($N$20:$N$95,59),$N$20:$N$95,0))),"")</f>
        <v/>
      </c>
      <c r="D78" s="290">
        <f>IFERROR(INDEX('계좌현황'!D:D,INDEX($L$20:$L$95,MATCH(LARGE($N$20:$N$95,59),$N$20:$N$95,0))),"")</f>
        <v/>
      </c>
      <c r="E78" s="290">
        <f>IFERROR(INDEX('계좌현황'!E:E,INDEX($L$20:$L$95,MATCH(LARGE($N$20:$N$95,59),$N$20:$N$95,0))),"")</f>
        <v/>
      </c>
      <c r="F78" s="317">
        <f>IFERROR(INDEX('계좌현황'!F:F,INDEX($L$20:$L$95,MATCH(LARGE($N$20:$N$95,59),$N$20:$N$95,0))),"")</f>
        <v/>
      </c>
      <c r="G78" s="318">
        <f>IFERROR(INDEX('계좌현황'!K:K,INDEX($L$20:$L$95,MATCH(LARGE($N$20:$N$95,59),$N$20:$N$95,0))),0)</f>
        <v/>
      </c>
      <c r="H78" s="319">
        <f>IF($B$3=0,0,G78/$B$3)</f>
        <v/>
      </c>
      <c r="I78" s="319">
        <f>I77+H78</f>
        <v/>
      </c>
      <c r="L78" t="n">
        <v>67</v>
      </c>
      <c r="M78">
        <f>'계좌현황'!K67</f>
        <v/>
      </c>
      <c r="N78">
        <f>IF(M78="",-1E99,M78*100000+(10000-L78))</f>
        <v/>
      </c>
    </row>
    <row r="79">
      <c r="A79" s="290" t="n">
        <v>60</v>
      </c>
      <c r="B79" s="290">
        <f>IFERROR(INDEX('계좌현황'!A:A,INDEX($L$20:$L$95,MATCH(LARGE($N$20:$N$95,60),$N$20:$N$95,0))),"")</f>
        <v/>
      </c>
      <c r="C79" s="290">
        <f>IFERROR(INDEX('계좌현황'!C:C,INDEX($L$20:$L$95,MATCH(LARGE($N$20:$N$95,60),$N$20:$N$95,0))),"")</f>
        <v/>
      </c>
      <c r="D79" s="290">
        <f>IFERROR(INDEX('계좌현황'!D:D,INDEX($L$20:$L$95,MATCH(LARGE($N$20:$N$95,60),$N$20:$N$95,0))),"")</f>
        <v/>
      </c>
      <c r="E79" s="290">
        <f>IFERROR(INDEX('계좌현황'!E:E,INDEX($L$20:$L$95,MATCH(LARGE($N$20:$N$95,60),$N$20:$N$95,0))),"")</f>
        <v/>
      </c>
      <c r="F79" s="317">
        <f>IFERROR(INDEX('계좌현황'!F:F,INDEX($L$20:$L$95,MATCH(LARGE($N$20:$N$95,60),$N$20:$N$95,0))),"")</f>
        <v/>
      </c>
      <c r="G79" s="318">
        <f>IFERROR(INDEX('계좌현황'!K:K,INDEX($L$20:$L$95,MATCH(LARGE($N$20:$N$95,60),$N$20:$N$95,0))),0)</f>
        <v/>
      </c>
      <c r="H79" s="319">
        <f>IF($B$3=0,0,G79/$B$3)</f>
        <v/>
      </c>
      <c r="I79" s="319">
        <f>I78+H79</f>
        <v/>
      </c>
      <c r="L79" t="n">
        <v>68</v>
      </c>
      <c r="M79">
        <f>'계좌현황'!K68</f>
        <v/>
      </c>
      <c r="N79">
        <f>IF(M79="",-1E99,M79*100000+(10000-L79))</f>
        <v/>
      </c>
    </row>
    <row r="80">
      <c r="A80" s="290" t="n">
        <v>61</v>
      </c>
      <c r="B80" s="290">
        <f>IFERROR(INDEX('계좌현황'!A:A,INDEX($L$20:$L$95,MATCH(LARGE($N$20:$N$95,61),$N$20:$N$95,0))),"")</f>
        <v/>
      </c>
      <c r="C80" s="290">
        <f>IFERROR(INDEX('계좌현황'!C:C,INDEX($L$20:$L$95,MATCH(LARGE($N$20:$N$95,61),$N$20:$N$95,0))),"")</f>
        <v/>
      </c>
      <c r="D80" s="290">
        <f>IFERROR(INDEX('계좌현황'!D:D,INDEX($L$20:$L$95,MATCH(LARGE($N$20:$N$95,61),$N$20:$N$95,0))),"")</f>
        <v/>
      </c>
      <c r="E80" s="290">
        <f>IFERROR(INDEX('계좌현황'!E:E,INDEX($L$20:$L$95,MATCH(LARGE($N$20:$N$95,61),$N$20:$N$95,0))),"")</f>
        <v/>
      </c>
      <c r="F80" s="317">
        <f>IFERROR(INDEX('계좌현황'!F:F,INDEX($L$20:$L$95,MATCH(LARGE($N$20:$N$95,61),$N$20:$N$95,0))),"")</f>
        <v/>
      </c>
      <c r="G80" s="318">
        <f>IFERROR(INDEX('계좌현황'!K:K,INDEX($L$20:$L$95,MATCH(LARGE($N$20:$N$95,61),$N$20:$N$95,0))),0)</f>
        <v/>
      </c>
      <c r="H80" s="319">
        <f>IF($B$3=0,0,G80/$B$3)</f>
        <v/>
      </c>
      <c r="I80" s="319">
        <f>I79+H80</f>
        <v/>
      </c>
      <c r="L80" t="n">
        <v>69</v>
      </c>
      <c r="M80">
        <f>'계좌현황'!K69</f>
        <v/>
      </c>
      <c r="N80">
        <f>IF(M80="",-1E99,M80*100000+(10000-L80))</f>
        <v/>
      </c>
    </row>
    <row r="81">
      <c r="A81" s="290" t="n">
        <v>62</v>
      </c>
      <c r="B81" s="290">
        <f>IFERROR(INDEX('계좌현황'!A:A,INDEX($L$20:$L$95,MATCH(LARGE($N$20:$N$95,62),$N$20:$N$95,0))),"")</f>
        <v/>
      </c>
      <c r="C81" s="290">
        <f>IFERROR(INDEX('계좌현황'!C:C,INDEX($L$20:$L$95,MATCH(LARGE($N$20:$N$95,62),$N$20:$N$95,0))),"")</f>
        <v/>
      </c>
      <c r="D81" s="290">
        <f>IFERROR(INDEX('계좌현황'!D:D,INDEX($L$20:$L$95,MATCH(LARGE($N$20:$N$95,62),$N$20:$N$95,0))),"")</f>
        <v/>
      </c>
      <c r="E81" s="290">
        <f>IFERROR(INDEX('계좌현황'!E:E,INDEX($L$20:$L$95,MATCH(LARGE($N$20:$N$95,62),$N$20:$N$95,0))),"")</f>
        <v/>
      </c>
      <c r="F81" s="317">
        <f>IFERROR(INDEX('계좌현황'!F:F,INDEX($L$20:$L$95,MATCH(LARGE($N$20:$N$95,62),$N$20:$N$95,0))),"")</f>
        <v/>
      </c>
      <c r="G81" s="318">
        <f>IFERROR(INDEX('계좌현황'!K:K,INDEX($L$20:$L$95,MATCH(LARGE($N$20:$N$95,62),$N$20:$N$95,0))),0)</f>
        <v/>
      </c>
      <c r="H81" s="319">
        <f>IF($B$3=0,0,G81/$B$3)</f>
        <v/>
      </c>
      <c r="I81" s="319">
        <f>I80+H81</f>
        <v/>
      </c>
      <c r="L81" t="n">
        <v>70</v>
      </c>
      <c r="M81">
        <f>'계좌현황'!K70</f>
        <v/>
      </c>
      <c r="N81">
        <f>IF(M81="",-1E99,M81*100000+(10000-L81))</f>
        <v/>
      </c>
    </row>
    <row r="82">
      <c r="A82" s="290" t="n">
        <v>63</v>
      </c>
      <c r="B82" s="290">
        <f>IFERROR(INDEX('계좌현황'!A:A,INDEX($L$20:$L$95,MATCH(LARGE($N$20:$N$95,63),$N$20:$N$95,0))),"")</f>
        <v/>
      </c>
      <c r="C82" s="290">
        <f>IFERROR(INDEX('계좌현황'!C:C,INDEX($L$20:$L$95,MATCH(LARGE($N$20:$N$95,63),$N$20:$N$95,0))),"")</f>
        <v/>
      </c>
      <c r="D82" s="290">
        <f>IFERROR(INDEX('계좌현황'!D:D,INDEX($L$20:$L$95,MATCH(LARGE($N$20:$N$95,63),$N$20:$N$95,0))),"")</f>
        <v/>
      </c>
      <c r="E82" s="290">
        <f>IFERROR(INDEX('계좌현황'!E:E,INDEX($L$20:$L$95,MATCH(LARGE($N$20:$N$95,63),$N$20:$N$95,0))),"")</f>
        <v/>
      </c>
      <c r="F82" s="317">
        <f>IFERROR(INDEX('계좌현황'!F:F,INDEX($L$20:$L$95,MATCH(LARGE($N$20:$N$95,63),$N$20:$N$95,0))),"")</f>
        <v/>
      </c>
      <c r="G82" s="318">
        <f>IFERROR(INDEX('계좌현황'!K:K,INDEX($L$20:$L$95,MATCH(LARGE($N$20:$N$95,63),$N$20:$N$95,0))),0)</f>
        <v/>
      </c>
      <c r="H82" s="319">
        <f>IF($B$3=0,0,G82/$B$3)</f>
        <v/>
      </c>
      <c r="I82" s="319">
        <f>I81+H82</f>
        <v/>
      </c>
      <c r="L82" t="n">
        <v>71</v>
      </c>
      <c r="M82">
        <f>'계좌현황'!K71</f>
        <v/>
      </c>
      <c r="N82">
        <f>IF(M82="",-1E99,M82*100000+(10000-L82))</f>
        <v/>
      </c>
    </row>
    <row r="83">
      <c r="A83" s="290" t="n">
        <v>64</v>
      </c>
      <c r="B83" s="290">
        <f>IFERROR(INDEX('계좌현황'!A:A,INDEX($L$20:$L$95,MATCH(LARGE($N$20:$N$95,64),$N$20:$N$95,0))),"")</f>
        <v/>
      </c>
      <c r="C83" s="290">
        <f>IFERROR(INDEX('계좌현황'!C:C,INDEX($L$20:$L$95,MATCH(LARGE($N$20:$N$95,64),$N$20:$N$95,0))),"")</f>
        <v/>
      </c>
      <c r="D83" s="290">
        <f>IFERROR(INDEX('계좌현황'!D:D,INDEX($L$20:$L$95,MATCH(LARGE($N$20:$N$95,64),$N$20:$N$95,0))),"")</f>
        <v/>
      </c>
      <c r="E83" s="290">
        <f>IFERROR(INDEX('계좌현황'!E:E,INDEX($L$20:$L$95,MATCH(LARGE($N$20:$N$95,64),$N$20:$N$95,0))),"")</f>
        <v/>
      </c>
      <c r="F83" s="317">
        <f>IFERROR(INDEX('계좌현황'!F:F,INDEX($L$20:$L$95,MATCH(LARGE($N$20:$N$95,64),$N$20:$N$95,0))),"")</f>
        <v/>
      </c>
      <c r="G83" s="318">
        <f>IFERROR(INDEX('계좌현황'!K:K,INDEX($L$20:$L$95,MATCH(LARGE($N$20:$N$95,64),$N$20:$N$95,0))),0)</f>
        <v/>
      </c>
      <c r="H83" s="319">
        <f>IF($B$3=0,0,G83/$B$3)</f>
        <v/>
      </c>
      <c r="I83" s="319">
        <f>I82+H83</f>
        <v/>
      </c>
      <c r="L83" t="n">
        <v>72</v>
      </c>
      <c r="M83">
        <f>'계좌현황'!K72</f>
        <v/>
      </c>
      <c r="N83">
        <f>IF(M83="",-1E99,M83*100000+(10000-L83))</f>
        <v/>
      </c>
    </row>
    <row r="84">
      <c r="A84" s="302" t="n">
        <v>65</v>
      </c>
      <c r="B84" s="302">
        <f>IFERROR(INDEX('계좌현황'!A:A,INDEX($L$20:$L$95,MATCH(LARGE($N$20:$N$95,65),$N$20:$N$95,0))),"")</f>
        <v/>
      </c>
      <c r="C84" s="302">
        <f>IFERROR(INDEX('계좌현황'!C:C,INDEX($L$20:$L$95,MATCH(LARGE($N$20:$N$95,65),$N$20:$N$95,0))),"")</f>
        <v/>
      </c>
      <c r="D84" s="302">
        <f>IFERROR(INDEX('계좌현황'!D:D,INDEX($L$20:$L$95,MATCH(LARGE($N$20:$N$95,65),$N$20:$N$95,0))),"")</f>
        <v/>
      </c>
      <c r="E84" s="302">
        <f>IFERROR(INDEX('계좌현황'!E:E,INDEX($L$20:$L$95,MATCH(LARGE($N$20:$N$95,65),$N$20:$N$95,0))),"")</f>
        <v/>
      </c>
      <c r="F84" s="326">
        <f>IFERROR(INDEX('계좌현황'!F:F,INDEX($L$20:$L$95,MATCH(LARGE($N$20:$N$95,65),$N$20:$N$95,0))),"")</f>
        <v/>
      </c>
      <c r="G84" s="327">
        <f>IFERROR(INDEX('계좌현황'!K:K,INDEX($L$20:$L$95,MATCH(LARGE($N$20:$N$95,65),$N$20:$N$95,0))),0)</f>
        <v/>
      </c>
      <c r="H84" s="328">
        <f>IF($B$3=0,0,G84/$B$3)</f>
        <v/>
      </c>
      <c r="I84" s="328">
        <f>I83+H84</f>
        <v/>
      </c>
      <c r="L84" t="n">
        <v>73</v>
      </c>
      <c r="M84">
        <f>'계좌현황'!K73</f>
        <v/>
      </c>
      <c r="N84">
        <f>IF(M84="",-1E99,M84*100000+(10000-L84))</f>
        <v/>
      </c>
    </row>
    <row r="85">
      <c r="A85" s="290" t="n">
        <v>66</v>
      </c>
      <c r="B85" s="290">
        <f>IFERROR(INDEX('계좌현황'!A:A,INDEX($L$20:$L$95,MATCH(LARGE($N$20:$N$95,66),$N$20:$N$95,0))),"")</f>
        <v/>
      </c>
      <c r="C85" s="290">
        <f>IFERROR(INDEX('계좌현황'!C:C,INDEX($L$20:$L$95,MATCH(LARGE($N$20:$N$95,66),$N$20:$N$95,0))),"")</f>
        <v/>
      </c>
      <c r="D85" s="290">
        <f>IFERROR(INDEX('계좌현황'!D:D,INDEX($L$20:$L$95,MATCH(LARGE($N$20:$N$95,66),$N$20:$N$95,0))),"")</f>
        <v/>
      </c>
      <c r="E85" s="290">
        <f>IFERROR(INDEX('계좌현황'!E:E,INDEX($L$20:$L$95,MATCH(LARGE($N$20:$N$95,66),$N$20:$N$95,0))),"")</f>
        <v/>
      </c>
      <c r="F85" s="317">
        <f>IFERROR(INDEX('계좌현황'!F:F,INDEX($L$20:$L$95,MATCH(LARGE($N$20:$N$95,66),$N$20:$N$95,0))),"")</f>
        <v/>
      </c>
      <c r="G85" s="318">
        <f>IFERROR(INDEX('계좌현황'!K:K,INDEX($L$20:$L$95,MATCH(LARGE($N$20:$N$95,66),$N$20:$N$95,0))),0)</f>
        <v/>
      </c>
      <c r="H85" s="319">
        <f>IF($B$3=0,0,G85/$B$3)</f>
        <v/>
      </c>
      <c r="I85" s="319">
        <f>I84+H85</f>
        <v/>
      </c>
      <c r="L85" t="n">
        <v>74</v>
      </c>
      <c r="M85">
        <f>'계좌현황'!K74</f>
        <v/>
      </c>
      <c r="N85">
        <f>IF(M85="",-1E99,M85*100000+(10000-L85))</f>
        <v/>
      </c>
    </row>
    <row r="86">
      <c r="A86" s="302" t="n">
        <v>67</v>
      </c>
      <c r="B86" s="302">
        <f>IFERROR(INDEX('계좌현황'!A:A,INDEX($L$20:$L$95,MATCH(LARGE($N$20:$N$95,67),$N$20:$N$95,0))),"")</f>
        <v/>
      </c>
      <c r="C86" s="302">
        <f>IFERROR(INDEX('계좌현황'!C:C,INDEX($L$20:$L$95,MATCH(LARGE($N$20:$N$95,67),$N$20:$N$95,0))),"")</f>
        <v/>
      </c>
      <c r="D86" s="302">
        <f>IFERROR(INDEX('계좌현황'!D:D,INDEX($L$20:$L$95,MATCH(LARGE($N$20:$N$95,67),$N$20:$N$95,0))),"")</f>
        <v/>
      </c>
      <c r="E86" s="302">
        <f>IFERROR(INDEX('계좌현황'!E:E,INDEX($L$20:$L$95,MATCH(LARGE($N$20:$N$95,67),$N$20:$N$95,0))),"")</f>
        <v/>
      </c>
      <c r="F86" s="326">
        <f>IFERROR(INDEX('계좌현황'!F:F,INDEX($L$20:$L$95,MATCH(LARGE($N$20:$N$95,67),$N$20:$N$95,0))),"")</f>
        <v/>
      </c>
      <c r="G86" s="327">
        <f>IFERROR(INDEX('계좌현황'!K:K,INDEX($L$20:$L$95,MATCH(LARGE($N$20:$N$95,67),$N$20:$N$95,0))),0)</f>
        <v/>
      </c>
      <c r="H86" s="328">
        <f>IF($B$3=0,0,G86/$B$3)</f>
        <v/>
      </c>
      <c r="I86" s="328">
        <f>I85+H86</f>
        <v/>
      </c>
      <c r="L86" t="n">
        <v>75</v>
      </c>
      <c r="M86">
        <f>'계좌현황'!K75</f>
        <v/>
      </c>
      <c r="N86">
        <f>IF(M86="",-1E99,M86*100000+(10000-L86))</f>
        <v/>
      </c>
    </row>
    <row r="87">
      <c r="A87" s="290" t="n">
        <v>68</v>
      </c>
      <c r="B87" s="290">
        <f>IFERROR(INDEX('계좌현황'!A:A,INDEX($L$20:$L$95,MATCH(LARGE($N$20:$N$95,68),$N$20:$N$95,0))),"")</f>
        <v/>
      </c>
      <c r="C87" s="290">
        <f>IFERROR(INDEX('계좌현황'!C:C,INDEX($L$20:$L$95,MATCH(LARGE($N$20:$N$95,68),$N$20:$N$95,0))),"")</f>
        <v/>
      </c>
      <c r="D87" s="290">
        <f>IFERROR(INDEX('계좌현황'!D:D,INDEX($L$20:$L$95,MATCH(LARGE($N$20:$N$95,68),$N$20:$N$95,0))),"")</f>
        <v/>
      </c>
      <c r="E87" s="290">
        <f>IFERROR(INDEX('계좌현황'!E:E,INDEX($L$20:$L$95,MATCH(LARGE($N$20:$N$95,68),$N$20:$N$95,0))),"")</f>
        <v/>
      </c>
      <c r="F87" s="317">
        <f>IFERROR(INDEX('계좌현황'!F:F,INDEX($L$20:$L$95,MATCH(LARGE($N$20:$N$95,68),$N$20:$N$95,0))),"")</f>
        <v/>
      </c>
      <c r="G87" s="318">
        <f>IFERROR(INDEX('계좌현황'!K:K,INDEX($L$20:$L$95,MATCH(LARGE($N$20:$N$95,68),$N$20:$N$95,0))),0)</f>
        <v/>
      </c>
      <c r="H87" s="319">
        <f>IF($B$3=0,0,G87/$B$3)</f>
        <v/>
      </c>
      <c r="I87" s="319">
        <f>I86+H87</f>
        <v/>
      </c>
      <c r="L87" t="n">
        <v>76</v>
      </c>
      <c r="M87">
        <f>'계좌현황'!K76</f>
        <v/>
      </c>
      <c r="N87">
        <f>IF(M87="",-1E99,M87*100000+(10000-L87))</f>
        <v/>
      </c>
    </row>
    <row r="88">
      <c r="A88" s="302" t="n">
        <v>69</v>
      </c>
      <c r="B88" s="302">
        <f>IFERROR(INDEX('계좌현황'!A:A,INDEX($L$20:$L$95,MATCH(LARGE($N$20:$N$95,69),$N$20:$N$95,0))),"")</f>
        <v/>
      </c>
      <c r="C88" s="302">
        <f>IFERROR(INDEX('계좌현황'!C:C,INDEX($L$20:$L$95,MATCH(LARGE($N$20:$N$95,69),$N$20:$N$95,0))),"")</f>
        <v/>
      </c>
      <c r="D88" s="302">
        <f>IFERROR(INDEX('계좌현황'!D:D,INDEX($L$20:$L$95,MATCH(LARGE($N$20:$N$95,69),$N$20:$N$95,0))),"")</f>
        <v/>
      </c>
      <c r="E88" s="302">
        <f>IFERROR(INDEX('계좌현황'!E:E,INDEX($L$20:$L$95,MATCH(LARGE($N$20:$N$95,69),$N$20:$N$95,0))),"")</f>
        <v/>
      </c>
      <c r="F88" s="326">
        <f>IFERROR(INDEX('계좌현황'!F:F,INDEX($L$20:$L$95,MATCH(LARGE($N$20:$N$95,69),$N$20:$N$95,0))),"")</f>
        <v/>
      </c>
      <c r="G88" s="327">
        <f>IFERROR(INDEX('계좌현황'!K:K,INDEX($L$20:$L$95,MATCH(LARGE($N$20:$N$95,69),$N$20:$N$95,0))),0)</f>
        <v/>
      </c>
      <c r="H88" s="328">
        <f>IF($B$3=0,0,G88/$B$3)</f>
        <v/>
      </c>
      <c r="I88" s="328">
        <f>I87+H88</f>
        <v/>
      </c>
      <c r="L88" t="n">
        <v>77</v>
      </c>
      <c r="M88">
        <f>'계좌현황'!K77</f>
        <v/>
      </c>
      <c r="N88">
        <f>IF(M88="",-1E99,M88*100000+(10000-L88))</f>
        <v/>
      </c>
    </row>
    <row r="89">
      <c r="A89" s="290" t="n">
        <v>70</v>
      </c>
      <c r="B89" s="290">
        <f>IFERROR(INDEX('계좌현황'!A:A,INDEX($L$20:$L$95,MATCH(LARGE($N$20:$N$95,70),$N$20:$N$95,0))),"")</f>
        <v/>
      </c>
      <c r="C89" s="290">
        <f>IFERROR(INDEX('계좌현황'!C:C,INDEX($L$20:$L$95,MATCH(LARGE($N$20:$N$95,70),$N$20:$N$95,0))),"")</f>
        <v/>
      </c>
      <c r="D89" s="290">
        <f>IFERROR(INDEX('계좌현황'!D:D,INDEX($L$20:$L$95,MATCH(LARGE($N$20:$N$95,70),$N$20:$N$95,0))),"")</f>
        <v/>
      </c>
      <c r="E89" s="290">
        <f>IFERROR(INDEX('계좌현황'!E:E,INDEX($L$20:$L$95,MATCH(LARGE($N$20:$N$95,70),$N$20:$N$95,0))),"")</f>
        <v/>
      </c>
      <c r="F89" s="317">
        <f>IFERROR(INDEX('계좌현황'!F:F,INDEX($L$20:$L$95,MATCH(LARGE($N$20:$N$95,70),$N$20:$N$95,0))),"")</f>
        <v/>
      </c>
      <c r="G89" s="318">
        <f>IFERROR(INDEX('계좌현황'!K:K,INDEX($L$20:$L$95,MATCH(LARGE($N$20:$N$95,70),$N$20:$N$95,0))),0)</f>
        <v/>
      </c>
      <c r="H89" s="319">
        <f>IF($B$3=0,0,G89/$B$3)</f>
        <v/>
      </c>
      <c r="I89" s="319">
        <f>I88+H89</f>
        <v/>
      </c>
      <c r="L89" t="n">
        <v>78</v>
      </c>
      <c r="M89">
        <f>'계좌현황'!K78</f>
        <v/>
      </c>
      <c r="N89">
        <f>IF(M89="",-1E99,M89*100000+(10000-L89))</f>
        <v/>
      </c>
    </row>
    <row r="90">
      <c r="A90" s="290" t="n">
        <v>71</v>
      </c>
      <c r="B90" s="290">
        <f>IFERROR(INDEX('계좌현황'!A:A,INDEX($L$20:$L$95,MATCH(LARGE($N$20:$N$95,71),$N$20:$N$95,0))),"")</f>
        <v/>
      </c>
      <c r="C90" s="290">
        <f>IFERROR(INDEX('계좌현황'!C:C,INDEX($L$20:$L$95,MATCH(LARGE($N$20:$N$95,71),$N$20:$N$95,0))),"")</f>
        <v/>
      </c>
      <c r="D90" s="290">
        <f>IFERROR(INDEX('계좌현황'!D:D,INDEX($L$20:$L$95,MATCH(LARGE($N$20:$N$95,71),$N$20:$N$95,0))),"")</f>
        <v/>
      </c>
      <c r="E90" s="290">
        <f>IFERROR(INDEX('계좌현황'!E:E,INDEX($L$20:$L$95,MATCH(LARGE($N$20:$N$95,71),$N$20:$N$95,0))),"")</f>
        <v/>
      </c>
      <c r="F90" s="317">
        <f>IFERROR(INDEX('계좌현황'!F:F,INDEX($L$20:$L$95,MATCH(LARGE($N$20:$N$95,71),$N$20:$N$95,0))),"")</f>
        <v/>
      </c>
      <c r="G90" s="318">
        <f>IFERROR(INDEX('계좌현황'!K:K,INDEX($L$20:$L$95,MATCH(LARGE($N$20:$N$95,71),$N$20:$N$95,0))),0)</f>
        <v/>
      </c>
      <c r="H90" s="319">
        <f>IF($B$3=0,0,G90/$B$3)</f>
        <v/>
      </c>
      <c r="I90" s="319">
        <f>I89+H90</f>
        <v/>
      </c>
      <c r="L90" t="n">
        <v>79</v>
      </c>
      <c r="M90">
        <f>'계좌현황'!K79</f>
        <v/>
      </c>
      <c r="N90">
        <f>IF(M90="",-1E99,M90*100000+(10000-L90))</f>
        <v/>
      </c>
    </row>
    <row r="91">
      <c r="A91" s="290" t="n">
        <v>72</v>
      </c>
      <c r="B91" s="290">
        <f>IFERROR(INDEX('계좌현황'!A:A,INDEX($L$20:$L$95,MATCH(LARGE($N$20:$N$95,72),$N$20:$N$95,0))),"")</f>
        <v/>
      </c>
      <c r="C91" s="290">
        <f>IFERROR(INDEX('계좌현황'!C:C,INDEX($L$20:$L$95,MATCH(LARGE($N$20:$N$95,72),$N$20:$N$95,0))),"")</f>
        <v/>
      </c>
      <c r="D91" s="290">
        <f>IFERROR(INDEX('계좌현황'!D:D,INDEX($L$20:$L$95,MATCH(LARGE($N$20:$N$95,72),$N$20:$N$95,0))),"")</f>
        <v/>
      </c>
      <c r="E91" s="290">
        <f>IFERROR(INDEX('계좌현황'!E:E,INDEX($L$20:$L$95,MATCH(LARGE($N$20:$N$95,72),$N$20:$N$95,0))),"")</f>
        <v/>
      </c>
      <c r="F91" s="317">
        <f>IFERROR(INDEX('계좌현황'!F:F,INDEX($L$20:$L$95,MATCH(LARGE($N$20:$N$95,72),$N$20:$N$95,0))),"")</f>
        <v/>
      </c>
      <c r="G91" s="318">
        <f>IFERROR(INDEX('계좌현황'!K:K,INDEX($L$20:$L$95,MATCH(LARGE($N$20:$N$95,72),$N$20:$N$95,0))),0)</f>
        <v/>
      </c>
      <c r="H91" s="319">
        <f>IF($B$3=0,0,G91/$B$3)</f>
        <v/>
      </c>
      <c r="I91" s="319">
        <f>I90+H91</f>
        <v/>
      </c>
      <c r="L91" t="n">
        <v>80</v>
      </c>
      <c r="M91">
        <f>'계좌현황'!K80</f>
        <v/>
      </c>
      <c r="N91">
        <f>IF(M91="",-1E99,M91*100000+(10000-L91))</f>
        <v/>
      </c>
    </row>
    <row r="92">
      <c r="A92" s="290" t="n">
        <v>73</v>
      </c>
      <c r="B92" s="290">
        <f>IFERROR(INDEX('계좌현황'!A:A,INDEX($L$20:$L$95,MATCH(LARGE($N$20:$N$95,73),$N$20:$N$95,0))),"")</f>
        <v/>
      </c>
      <c r="C92" s="290">
        <f>IFERROR(INDEX('계좌현황'!C:C,INDEX($L$20:$L$95,MATCH(LARGE($N$20:$N$95,73),$N$20:$N$95,0))),"")</f>
        <v/>
      </c>
      <c r="D92" s="290">
        <f>IFERROR(INDEX('계좌현황'!D:D,INDEX($L$20:$L$95,MATCH(LARGE($N$20:$N$95,73),$N$20:$N$95,0))),"")</f>
        <v/>
      </c>
      <c r="E92" s="290">
        <f>IFERROR(INDEX('계좌현황'!E:E,INDEX($L$20:$L$95,MATCH(LARGE($N$20:$N$95,73),$N$20:$N$95,0))),"")</f>
        <v/>
      </c>
      <c r="F92" s="317">
        <f>IFERROR(INDEX('계좌현황'!F:F,INDEX($L$20:$L$95,MATCH(LARGE($N$20:$N$95,73),$N$20:$N$95,0))),"")</f>
        <v/>
      </c>
      <c r="G92" s="318">
        <f>IFERROR(INDEX('계좌현황'!K:K,INDEX($L$20:$L$95,MATCH(LARGE($N$20:$N$95,73),$N$20:$N$95,0))),0)</f>
        <v/>
      </c>
      <c r="H92" s="319">
        <f>IF($B$3=0,0,G92/$B$3)</f>
        <v/>
      </c>
      <c r="I92" s="319">
        <f>I91+H92</f>
        <v/>
      </c>
      <c r="L92" t="n">
        <v>81</v>
      </c>
      <c r="M92">
        <f>'계좌현황'!K81</f>
        <v/>
      </c>
      <c r="N92">
        <f>IF(M92="",-1E99,M92*100000+(10000-L92))</f>
        <v/>
      </c>
    </row>
    <row r="93">
      <c r="A93" s="290" t="n">
        <v>74</v>
      </c>
      <c r="B93" s="290">
        <f>IFERROR(INDEX('계좌현황'!A:A,INDEX($L$20:$L$95,MATCH(LARGE($N$20:$N$95,74),$N$20:$N$95,0))),"")</f>
        <v/>
      </c>
      <c r="C93" s="290">
        <f>IFERROR(INDEX('계좌현황'!C:C,INDEX($L$20:$L$95,MATCH(LARGE($N$20:$N$95,74),$N$20:$N$95,0))),"")</f>
        <v/>
      </c>
      <c r="D93" s="290">
        <f>IFERROR(INDEX('계좌현황'!D:D,INDEX($L$20:$L$95,MATCH(LARGE($N$20:$N$95,74),$N$20:$N$95,0))),"")</f>
        <v/>
      </c>
      <c r="E93" s="290">
        <f>IFERROR(INDEX('계좌현황'!E:E,INDEX($L$20:$L$95,MATCH(LARGE($N$20:$N$95,74),$N$20:$N$95,0))),"")</f>
        <v/>
      </c>
      <c r="F93" s="317">
        <f>IFERROR(INDEX('계좌현황'!F:F,INDEX($L$20:$L$95,MATCH(LARGE($N$20:$N$95,74),$N$20:$N$95,0))),"")</f>
        <v/>
      </c>
      <c r="G93" s="318">
        <f>IFERROR(INDEX('계좌현황'!K:K,INDEX($L$20:$L$95,MATCH(LARGE($N$20:$N$95,74),$N$20:$N$95,0))),0)</f>
        <v/>
      </c>
      <c r="H93" s="319">
        <f>IF($B$3=0,0,G93/$B$3)</f>
        <v/>
      </c>
      <c r="I93" s="319">
        <f>I92+H93</f>
        <v/>
      </c>
      <c r="L93" t="n">
        <v>82</v>
      </c>
      <c r="M93">
        <f>'계좌현황'!K82</f>
        <v/>
      </c>
      <c r="N93">
        <f>IF(M93="",-1E99,M93*100000+(10000-L93))</f>
        <v/>
      </c>
    </row>
    <row r="94">
      <c r="A94" s="293" t="n">
        <v>75</v>
      </c>
      <c r="B94" s="293">
        <f>IFERROR(INDEX('계좌현황'!A:A,INDEX($L$20:$L$95,MATCH(LARGE($N$20:$N$95,75),$N$20:$N$95,0))),"")</f>
        <v/>
      </c>
      <c r="C94" s="293">
        <f>IFERROR(INDEX('계좌현황'!C:C,INDEX($L$20:$L$95,MATCH(LARGE($N$20:$N$95,75),$N$20:$N$95,0))),"")</f>
        <v/>
      </c>
      <c r="D94" s="293">
        <f>IFERROR(INDEX('계좌현황'!D:D,INDEX($L$20:$L$95,MATCH(LARGE($N$20:$N$95,75),$N$20:$N$95,0))),"")</f>
        <v/>
      </c>
      <c r="E94" s="293">
        <f>IFERROR(INDEX('계좌현황'!E:E,INDEX($L$20:$L$95,MATCH(LARGE($N$20:$N$95,75),$N$20:$N$95,0))),"")</f>
        <v/>
      </c>
      <c r="F94" s="329">
        <f>IFERROR(INDEX('계좌현황'!F:F,INDEX($L$20:$L$95,MATCH(LARGE($N$20:$N$95,75),$N$20:$N$95,0))),"")</f>
        <v/>
      </c>
      <c r="G94" s="330">
        <f>IFERROR(INDEX('계좌현황'!K:K,INDEX($L$20:$L$95,MATCH(LARGE($N$20:$N$95,75),$N$20:$N$95,0))),0)</f>
        <v/>
      </c>
      <c r="H94" s="331">
        <f>IF($B$3=0,0,G94/$B$3)</f>
        <v/>
      </c>
      <c r="I94" s="331">
        <f>I93+H94</f>
        <v/>
      </c>
      <c r="L94" t="n">
        <v>83</v>
      </c>
      <c r="M94">
        <f>'계좌현황'!K83</f>
        <v/>
      </c>
      <c r="N94">
        <f>IF(M94="",-1E99,M94*100000+(10000-L94))</f>
        <v/>
      </c>
    </row>
    <row r="95">
      <c r="A95" s="299" t="n">
        <v>76</v>
      </c>
      <c r="B95" s="299">
        <f>IFERROR(INDEX('계좌현황'!A:A,INDEX($L$20:$L$95,MATCH(LARGE($N$20:$N$95,76),$N$20:$N$95,0))),"")</f>
        <v/>
      </c>
      <c r="C95" s="299">
        <f>IFERROR(INDEX('계좌현황'!C:C,INDEX($L$20:$L$95,MATCH(LARGE($N$20:$N$95,76),$N$20:$N$95,0))),"")</f>
        <v/>
      </c>
      <c r="D95" s="299">
        <f>IFERROR(INDEX('계좌현황'!D:D,INDEX($L$20:$L$95,MATCH(LARGE($N$20:$N$95,76),$N$20:$N$95,0))),"")</f>
        <v/>
      </c>
      <c r="E95" s="299">
        <f>IFERROR(INDEX('계좌현황'!E:E,INDEX($L$20:$L$95,MATCH(LARGE($N$20:$N$95,76),$N$20:$N$95,0))),"")</f>
        <v/>
      </c>
      <c r="F95" s="332">
        <f>IFERROR(INDEX('계좌현황'!F:F,INDEX($L$20:$L$95,MATCH(LARGE($N$20:$N$95,76),$N$20:$N$95,0))),"")</f>
        <v/>
      </c>
      <c r="G95" s="333">
        <f>IFERROR(INDEX('계좌현황'!K:K,INDEX($L$20:$L$95,MATCH(LARGE($N$20:$N$95,76),$N$20:$N$95,0))),0)</f>
        <v/>
      </c>
      <c r="H95" s="334">
        <f>IF($B$3=0,0,G95/$B$3)</f>
        <v/>
      </c>
      <c r="I95" s="334">
        <f>I94+H95</f>
        <v/>
      </c>
      <c r="L95" t="n">
        <v>84</v>
      </c>
      <c r="M95">
        <f>'계좌현황'!K84</f>
        <v/>
      </c>
      <c r="N95">
        <f>IF(M95="",-1E99,M95*100000+(10000-L95))</f>
        <v/>
      </c>
    </row>
    <row r="96">
      <c r="E96" s="276" t="inlineStr">
        <is>
          <t>합계</t>
        </is>
      </c>
      <c r="G96" s="335">
        <f>SUM(G20:G95)</f>
        <v/>
      </c>
      <c r="H96" s="336">
        <f>SUM(H20:H95)</f>
        <v/>
      </c>
    </row>
    <row r="99">
      <c r="A99" s="273" t="inlineStr">
        <is>
          <t>③ 비중 차트 (전체 100%)</t>
        </is>
      </c>
    </row>
  </sheetData>
  <autoFilter ref="A19:I95"/>
  <mergeCells count="4">
    <mergeCell ref="A18:H18"/>
    <mergeCell ref="A99:H99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C13:C25"/>
  <sheetViews>
    <sheetView workbookViewId="0">
      <selection activeCell="A1" sqref="A1"/>
    </sheetView>
  </sheetViews>
  <sheetFormatPr baseColWidth="8" defaultColWidth="12.59765625" defaultRowHeight="15.75" customHeight="1"/>
  <sheetData>
    <row r="13">
      <c r="C13" s="6" t="n"/>
    </row>
    <row r="24">
      <c r="C24" s="15" t="inlineStr">
        <is>
          <t>https://finance.naver.com/item/sise.naver?code=</t>
        </is>
      </c>
    </row>
    <row r="25">
      <c r="C25" s="6" t="inlineStr">
        <is>
          <t>//html/body/div[3]/div[2]/div[2]/div[1]/div[3]/div[1]/table/tbody/tr[1]/td[1]/strong</t>
        </is>
      </c>
    </row>
  </sheetData>
  <hyperlinks>
    <hyperlink xmlns:r="http://schemas.openxmlformats.org/officeDocument/2006/relationships" ref="C2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2"/>
  <sheetViews>
    <sheetView showGridLines="0" workbookViewId="0">
      <selection activeCell="A1" sqref="A1"/>
    </sheetView>
  </sheetViews>
  <sheetFormatPr baseColWidth="8" defaultColWidth="12.59765625" defaultRowHeight="15.75" customHeight="1" outlineLevelRow="1"/>
  <cols>
    <col width="9" customWidth="1" style="202" min="1" max="1"/>
    <col outlineLevel="1" width="12.59765625" customWidth="1" style="202" min="2" max="5"/>
    <col outlineLevel="1" width="11.1328125" customWidth="1" style="202" min="6" max="6"/>
    <col width="15" customWidth="1" style="202" min="7" max="7"/>
    <col width="16.265625" customWidth="1" style="202" min="8" max="8"/>
    <col width="4.3984375" customWidth="1" style="202" min="14" max="16"/>
    <col outlineLevel="1" width="12.59765625" customWidth="1" style="202" min="21" max="33"/>
  </cols>
  <sheetData>
    <row r="1" ht="12.75" customHeight="1" s="202">
      <c r="A1" s="201" t="n"/>
      <c r="B1" s="201" t="n"/>
      <c r="C1" s="201" t="n"/>
      <c r="D1" s="201" t="n"/>
      <c r="E1" s="201" t="n"/>
      <c r="F1" s="201" t="n"/>
      <c r="G1" s="201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  <c r="AC1" s="201" t="n"/>
      <c r="AD1" s="201" t="n"/>
      <c r="AE1" s="201" t="n"/>
      <c r="AF1" s="201" t="n"/>
      <c r="AG1" s="201" t="n"/>
    </row>
    <row r="2" outlineLevel="1" ht="12.75" customHeight="1" s="202">
      <c r="A2" s="201" t="n"/>
      <c r="B2" s="201" t="n"/>
      <c r="C2" s="201" t="n"/>
      <c r="D2" s="201" t="n"/>
      <c r="E2" s="201" t="n"/>
      <c r="F2" s="201" t="n"/>
      <c r="G2" s="16" t="n"/>
      <c r="H2" s="250" t="n"/>
      <c r="I2" s="18" t="n"/>
      <c r="J2" s="18" t="n"/>
      <c r="K2" s="18" t="n"/>
      <c r="L2" s="18" t="n"/>
      <c r="M2" s="18" t="n"/>
      <c r="N2" s="201" t="n"/>
      <c r="O2" s="201" t="n"/>
      <c r="P2" s="201" t="n"/>
      <c r="Q2" s="7" t="inlineStr">
        <is>
          <t>KOSPI</t>
        </is>
      </c>
      <c r="R2" s="7" t="inlineStr">
        <is>
          <t>INDEXSP:.INX</t>
        </is>
      </c>
      <c r="S2" s="7" t="inlineStr">
        <is>
          <t>INDEXNASDAQ:.IXIC</t>
        </is>
      </c>
      <c r="T2" s="201" t="n"/>
      <c r="U2" s="7" t="inlineStr">
        <is>
          <t>GCW00</t>
        </is>
      </c>
      <c r="V2" s="7" t="inlineStr">
        <is>
          <t>BTCusd</t>
        </is>
      </c>
      <c r="W2" s="7" t="inlineStr">
        <is>
          <t>USDKRW</t>
        </is>
      </c>
      <c r="X2" s="201" t="n"/>
      <c r="Y2" s="201" t="n"/>
      <c r="Z2" s="201" t="n"/>
      <c r="AA2" s="201" t="n"/>
      <c r="AB2" s="201" t="n"/>
      <c r="AC2" s="201" t="n"/>
      <c r="AD2" s="201" t="n"/>
      <c r="AE2" s="201" t="n"/>
      <c r="AF2" s="201" t="n"/>
      <c r="AG2" s="201" t="n"/>
    </row>
    <row r="3" ht="24.75" customHeight="1" s="202">
      <c r="A3" s="201" t="n"/>
      <c r="B3" s="201" t="n"/>
      <c r="C3" s="201" t="n"/>
      <c r="D3" s="201" t="n"/>
      <c r="E3" s="201" t="n"/>
      <c r="F3" s="201" t="n"/>
      <c r="G3" s="198" t="inlineStr">
        <is>
          <t>날짜</t>
        </is>
      </c>
      <c r="H3" s="19" t="inlineStr">
        <is>
          <t>계좌총액</t>
        </is>
      </c>
      <c r="I3" s="19" t="inlineStr">
        <is>
          <t>코스피</t>
        </is>
      </c>
      <c r="J3" s="19" t="inlineStr">
        <is>
          <t>S&amp;P500</t>
        </is>
      </c>
      <c r="K3" s="20" t="inlineStr">
        <is>
          <t>나스닥</t>
        </is>
      </c>
      <c r="L3" s="20" t="inlineStr">
        <is>
          <t>골드(1온스)</t>
        </is>
      </c>
      <c r="M3" s="20" t="inlineStr">
        <is>
          <t>비트코인(달러)</t>
        </is>
      </c>
      <c r="N3" s="201" t="n"/>
      <c r="O3" s="201" t="n"/>
      <c r="P3" s="201" t="n"/>
      <c r="Q3" s="10" t="inlineStr">
        <is>
          <t>코스피</t>
        </is>
      </c>
      <c r="R3" s="19" t="inlineStr">
        <is>
          <t>S&amp;P500</t>
        </is>
      </c>
      <c r="S3" s="20" t="inlineStr">
        <is>
          <t>나스닥</t>
        </is>
      </c>
      <c r="T3" s="201" t="n"/>
      <c r="U3" s="21" t="inlineStr">
        <is>
          <t>골드(1온스)</t>
        </is>
      </c>
      <c r="V3" s="21" t="inlineStr">
        <is>
          <t>비트코인-달러</t>
        </is>
      </c>
      <c r="W3" s="21" t="inlineStr">
        <is>
          <t>달러환율</t>
        </is>
      </c>
      <c r="X3" s="19" t="inlineStr">
        <is>
          <t>S&amp;P500
(달러환율)</t>
        </is>
      </c>
      <c r="Y3" s="20" t="inlineStr">
        <is>
          <t>나스닥
(달러환율)</t>
        </is>
      </c>
      <c r="Z3" s="20" t="inlineStr">
        <is>
          <t>골드
(달러환율)</t>
        </is>
      </c>
      <c r="AA3" s="20" t="inlineStr">
        <is>
          <t>비트코인
(달러환율)</t>
        </is>
      </c>
      <c r="AB3" s="21" t="n"/>
      <c r="AC3" s="19" t="inlineStr">
        <is>
          <t>달러환율</t>
        </is>
      </c>
      <c r="AD3" s="19" t="inlineStr">
        <is>
          <t>S&amp;P500
(달러환율)</t>
        </is>
      </c>
      <c r="AE3" s="19" t="inlineStr">
        <is>
          <t>나스닥
(달러환율)</t>
        </is>
      </c>
      <c r="AF3" s="20" t="inlineStr">
        <is>
          <t>골드
(달러환율)</t>
        </is>
      </c>
      <c r="AG3" s="20" t="inlineStr">
        <is>
          <t>비트코인
(달러환율)</t>
        </is>
      </c>
    </row>
    <row r="4" ht="12.75" customHeight="1" s="202">
      <c r="A4" s="201" t="n"/>
      <c r="B4" s="22">
        <f>VALUE(MID(G4,1,2))</f>
        <v/>
      </c>
      <c r="C4" s="22">
        <f>VALUE(MID(G4,4,2))</f>
        <v/>
      </c>
      <c r="D4" s="22">
        <f>IF(F4="12월",(E4+1)&amp;VLOOKUP(F4,인덱스!$C:$D,2,0),E4&amp;VLOOKUP(F4,인덱스!$C:$D,2,0))</f>
        <v/>
      </c>
      <c r="E4" s="201">
        <f>"20"&amp;MID(G4,1,2)</f>
        <v/>
      </c>
      <c r="F4" s="201">
        <f>VLOOKUP(RIGHT(G4,2),인덱스!B:D,2,0)</f>
        <v/>
      </c>
      <c r="G4" s="46" t="n">
        <v>17.12</v>
      </c>
      <c r="H4" s="251" t="n">
        <v>0</v>
      </c>
      <c r="I4" s="24" t="n">
        <v>100</v>
      </c>
      <c r="J4" s="24" t="n">
        <v>100</v>
      </c>
      <c r="K4" s="25" t="n">
        <v>100</v>
      </c>
      <c r="L4" s="25" t="n">
        <v>100</v>
      </c>
      <c r="M4" s="25" t="n">
        <v>100</v>
      </c>
      <c r="N4" s="201" t="n"/>
      <c r="O4" s="201" t="n"/>
      <c r="P4" s="201" t="n"/>
      <c r="Q4" s="26">
        <f>IFERROR(__xludf.DUMMYFUNCTION("iferror(index('지수RAW'!$V$7:$V$12040,MATCH($D4,'지수RAW'!$R$7:$R$12040,0)-1,1),GOOGLEFINANCE(Q$2))"),2467.49)</f>
        <v/>
      </c>
      <c r="R4" s="27">
        <f>IFERROR(__xludf.DUMMYFUNCTION("iferror(index('지수RAW'!$F$7:$F$12040,MATCH($D4,'지수RAW'!$B$7:$B$12040,0)-1,1),GOOGLEFINANCE(R$2))"),2673.61)</f>
        <v/>
      </c>
      <c r="S4" s="28">
        <f>IFERROR(__xludf.DUMMYFUNCTION("iferror(index('지수RAW'!$N$7:$N$12040,MATCH($D4,'지수RAW'!$J$7:$J$12040,0)-1,1),GOOGLEFINANCE(S$2))"),6903.39)</f>
        <v/>
      </c>
      <c r="T4" s="201" t="n"/>
      <c r="U4" s="252">
        <f t="array" ref="U4">IFERROR(INDEX(지수RAW!$AT$7:$AT$12040,MATCH($D4,지수RAW!$AP$7:$AP$12040,0)-1,1),지수RAW!$AU$4)</f>
        <v/>
      </c>
      <c r="V4" s="252">
        <f>IFERROR(__xludf.DUMMYFUNCTION("iferror(index('지수RAW'!$AL$7:$AL$12040,MATCH($D4,'지수RAW'!$AH$7:$AH$12040,0)-1,1),GOOGLEFINANCE(V$2))"),13880.99)</f>
        <v/>
      </c>
      <c r="W4" s="253">
        <f>IFERROR(__xludf.DUMMYFUNCTION("iferror(index('지수RAW'!$AD$7:$AD$12040,MATCH($D4,'지수RAW'!$Z$7:$Z$12040,0)-1,1),GOOGLEFINANCE(W$2))"),1066.07)</f>
        <v/>
      </c>
      <c r="X4" s="31">
        <f>$W4*R4</f>
        <v/>
      </c>
      <c r="Y4" s="31">
        <f>$W4*S4</f>
        <v/>
      </c>
      <c r="Z4" s="31">
        <f>$W4*U4</f>
        <v/>
      </c>
      <c r="AA4" s="31">
        <f>$W4*V4</f>
        <v/>
      </c>
      <c r="AB4" s="32" t="n"/>
      <c r="AC4" s="24" t="n">
        <v>100</v>
      </c>
      <c r="AD4" s="24" t="n">
        <v>100</v>
      </c>
      <c r="AE4" s="24" t="n">
        <v>100</v>
      </c>
      <c r="AF4" s="24" t="n">
        <v>100</v>
      </c>
      <c r="AG4" s="24" t="n">
        <v>100</v>
      </c>
    </row>
    <row r="5" ht="12.75" customHeight="1" s="202">
      <c r="A5" s="201" t="n"/>
      <c r="B5" s="22">
        <f>IF(C4=12,B4+1,B4)</f>
        <v/>
      </c>
      <c r="C5" s="22">
        <f>IF(C4=12,1,C4+1)</f>
        <v/>
      </c>
      <c r="D5" s="22">
        <f>IF(F5="12월",(E5+1)&amp;VLOOKUP(F5,인덱스!$C:$D,2,0),E5&amp;VLOOKUP(F5,인덱스!$C:$D,2,0))</f>
        <v/>
      </c>
      <c r="E5" s="201">
        <f>"20"&amp;B5</f>
        <v/>
      </c>
      <c r="F5" s="201">
        <f>C5&amp;"월"</f>
        <v/>
      </c>
      <c r="G5" s="33">
        <f>B5&amp;"."&amp;VLOOKUP(F5,인덱스!$A:$B,2,0)</f>
        <v/>
      </c>
      <c r="H5" s="254">
        <f>IFERROR(VLOOKUP(G5,#REF!,2,0),)</f>
        <v/>
      </c>
      <c r="I5" s="18">
        <f>IF(Q5="","",I4*(Q5/Q4))</f>
        <v/>
      </c>
      <c r="J5" s="18">
        <f>IF(R5="","",J4*(R5/R4))</f>
        <v/>
      </c>
      <c r="K5" s="35">
        <f>IF(S5="","",K4*(S5/S4))</f>
        <v/>
      </c>
      <c r="L5" s="35">
        <f>IF(U5="","",L4*(U5/U4))</f>
        <v/>
      </c>
      <c r="M5" s="35">
        <f>IF(V5="","",M4*(V5/V4))</f>
        <v/>
      </c>
      <c r="N5" s="201" t="n"/>
      <c r="O5" s="201" t="n"/>
      <c r="P5" s="201" t="n"/>
      <c r="Q5" s="8">
        <f>IFERROR(__xludf.DUMMYFUNCTION("iferror(index('지수RAW'!$V$7:$V$12040,MATCH($D5,'지수RAW'!$R$7:$R$12040,0)-1,1),GOOGLEFINANCE(Q$2))"),2566.46)</f>
        <v/>
      </c>
      <c r="R5" s="201">
        <f>IFERROR(__xludf.DUMMYFUNCTION("iferror(index('지수RAW'!$F$7:$F$12040,MATCH($D5,'지수RAW'!$B$7:$B$12040,0)-1,1),GOOGLEFINANCE(R$2))"),2823.81)</f>
        <v/>
      </c>
      <c r="S5" s="9">
        <f>IFERROR(__xludf.DUMMYFUNCTION("iferror(index('지수RAW'!$N$7:$N$12040,MATCH($D5,'지수RAW'!$J$7:$J$12040,0)-1,1),GOOGLEFINANCE(S$2))"),7411.48)</f>
        <v/>
      </c>
      <c r="T5" s="201" t="n"/>
      <c r="U5" s="252">
        <f t="array" ref="U5">IFERROR(INDEX(지수RAW!$AT$7:$AT$12040,MATCH($D5,지수RAW!$AP$7:$AP$12040,0)-1,1),지수RAW!$AU$4)</f>
        <v/>
      </c>
      <c r="V5" s="252">
        <f>IFERROR(__xludf.DUMMYFUNCTION("iferror(index('지수RAW'!$AL$7:$AL$12040,MATCH($D5,'지수RAW'!$AH$7:$AH$12040,0)-1,1),GOOGLEFINANCE(V$2))"),10022.51)</f>
        <v/>
      </c>
      <c r="W5" s="253">
        <f>IFERROR(__xludf.DUMMYFUNCTION("iferror(index('지수RAW'!$AD$7:$AD$12040,MATCH($D5,'지수RAW'!$Z$7:$Z$12040,0)-1,1),GOOGLEFINANCE(W$2))"),1069.02)</f>
        <v/>
      </c>
      <c r="X5" s="36">
        <f>$W5*R5</f>
        <v/>
      </c>
      <c r="Y5" s="36">
        <f>$W5*S5</f>
        <v/>
      </c>
      <c r="Z5" s="36">
        <f>$W5*U5</f>
        <v/>
      </c>
      <c r="AA5" s="36">
        <f>$W5*V5</f>
        <v/>
      </c>
      <c r="AB5" s="255" t="n"/>
      <c r="AC5" s="18">
        <f>IF(Q5="","",AC4*(W5/W4))</f>
        <v/>
      </c>
      <c r="AD5" s="18">
        <f>IF(R5="","",AD4*(X5/X4))</f>
        <v/>
      </c>
      <c r="AE5" s="18">
        <f>IF(S5="","",AE4*(Y5/Y4))</f>
        <v/>
      </c>
      <c r="AF5" s="18">
        <f>IF(U5="","",AF4*(Z5/Z4))</f>
        <v/>
      </c>
      <c r="AG5" s="18">
        <f>IF(V5="","",AG4*(AA5/AA4))</f>
        <v/>
      </c>
    </row>
    <row r="6" ht="12.75" customHeight="1" s="202">
      <c r="A6" s="201" t="n"/>
      <c r="B6" s="22">
        <f>IF(C5=12,B5+1,B5)</f>
        <v/>
      </c>
      <c r="C6" s="22">
        <f>IF(C5=12,1,C5+1)</f>
        <v/>
      </c>
      <c r="D6" s="22">
        <f>IF(F6="12월",(E6+1)&amp;VLOOKUP(F6,인덱스!$C:$D,2,0),E6&amp;VLOOKUP(F6,인덱스!$C:$D,2,0))</f>
        <v/>
      </c>
      <c r="E6" s="201">
        <f>"20"&amp;B6</f>
        <v/>
      </c>
      <c r="F6" s="201">
        <f>C6&amp;"월"</f>
        <v/>
      </c>
      <c r="G6" s="37">
        <f>B6&amp;"."&amp;VLOOKUP(F6,인덱스!$A:$B,2,0)</f>
        <v/>
      </c>
      <c r="H6" s="256">
        <f>IFERROR(VLOOKUP(G6,#REF!,2,0),)</f>
        <v/>
      </c>
      <c r="I6" s="38">
        <f>IF(Q6="","",I5*(Q6/Q5))</f>
        <v/>
      </c>
      <c r="J6" s="38">
        <f>IF(R6="","",J5*(R6/R5))</f>
        <v/>
      </c>
      <c r="K6" s="39">
        <f>IF(S6="","",K5*(S6/S5))</f>
        <v/>
      </c>
      <c r="L6" s="39">
        <f>IF(U6="","",L5*(U6/U5))</f>
        <v/>
      </c>
      <c r="M6" s="39">
        <f>IF(V6="","",M5*(V6/V5))</f>
        <v/>
      </c>
      <c r="N6" s="201" t="n"/>
      <c r="O6" s="201" t="n"/>
      <c r="P6" s="201" t="n"/>
      <c r="Q6" s="8">
        <f>IFERROR(__xludf.DUMMYFUNCTION("iferror(index('지수RAW'!$V$7:$V$12040,MATCH($D6,'지수RAW'!$R$7:$R$12040,0)-1,1),GOOGLEFINANCE(Q$2))"),2427.36)</f>
        <v/>
      </c>
      <c r="R6" s="201">
        <f>IFERROR(__xludf.DUMMYFUNCTION("iferror(index('지수RAW'!$F$7:$F$12040,MATCH($D6,'지수RAW'!$B$7:$B$12040,0)-1,1),GOOGLEFINANCE(R$2))"),2713.83)</f>
        <v/>
      </c>
      <c r="S6" s="9">
        <f>IFERROR(__xludf.DUMMYFUNCTION("iferror(index('지수RAW'!$N$7:$N$12040,MATCH($D6,'지수RAW'!$J$7:$J$12040,0)-1,1),GOOGLEFINANCE(S$2))"),7273.01)</f>
        <v/>
      </c>
      <c r="T6" s="201" t="n"/>
      <c r="U6" s="252">
        <f t="array" ref="U6">IFERROR(INDEX(지수RAW!$AT$7:$AT$12040,MATCH($D6,지수RAW!$AP$7:$AP$12040,0)-1,1),지수RAW!$AU$4)</f>
        <v/>
      </c>
      <c r="V6" s="252">
        <f>IFERROR(__xludf.DUMMYFUNCTION("iferror(index('지수RAW'!$AL$7:$AL$12040,MATCH($D6,'지수RAW'!$AH$7:$AH$12040,0)-1,1),GOOGLEFINANCE(V$2))"),10542.55)</f>
        <v/>
      </c>
      <c r="W6" s="253">
        <f>IFERROR(__xludf.DUMMYFUNCTION("iferror(index('지수RAW'!$AD$7:$AD$12040,MATCH($D6,'지수RAW'!$Z$7:$Z$12040,0)-1,1),GOOGLEFINANCE(W$2))"),1085.35)</f>
        <v/>
      </c>
      <c r="X6" s="36">
        <f>$W6*R6</f>
        <v/>
      </c>
      <c r="Y6" s="36">
        <f>$W6*S6</f>
        <v/>
      </c>
      <c r="Z6" s="36">
        <f>$W6*U6</f>
        <v/>
      </c>
      <c r="AA6" s="36">
        <f>$W6*V6</f>
        <v/>
      </c>
      <c r="AB6" s="255" t="n"/>
      <c r="AC6" s="38">
        <f>IF(Q6="","",AC5*(W6/W5))</f>
        <v/>
      </c>
      <c r="AD6" s="38">
        <f>IF(R6="","",AD5*(X6/X5))</f>
        <v/>
      </c>
      <c r="AE6" s="38">
        <f>IF(S6="","",AE5*(Y6/Y5))</f>
        <v/>
      </c>
      <c r="AF6" s="38">
        <f>IF(U6="","",AF5*(Z6/Z5))</f>
        <v/>
      </c>
      <c r="AG6" s="38">
        <f>IF(V6="","",AG5*(AA6/AA5))</f>
        <v/>
      </c>
    </row>
    <row r="7" ht="12.75" customHeight="1" s="202">
      <c r="A7" s="201" t="n"/>
      <c r="B7" s="22">
        <f>IF(C6=12,B6+1,B6)</f>
        <v/>
      </c>
      <c r="C7" s="22">
        <f>IF(C6=12,1,C6+1)</f>
        <v/>
      </c>
      <c r="D7" s="22">
        <f>IF(F7="12월",(E7+1)&amp;VLOOKUP(F7,인덱스!$C:$D,2,0),E7&amp;VLOOKUP(F7,인덱스!$C:$D,2,0))</f>
        <v/>
      </c>
      <c r="E7" s="201">
        <f>"20"&amp;B7</f>
        <v/>
      </c>
      <c r="F7" s="201">
        <f>C7&amp;"월"</f>
        <v/>
      </c>
      <c r="G7" s="37">
        <f>B7&amp;"."&amp;VLOOKUP(F7,인덱스!$A:$B,2,0)</f>
        <v/>
      </c>
      <c r="H7" s="256">
        <f>IFERROR(VLOOKUP(G7,#REF!,2,0),)</f>
        <v/>
      </c>
      <c r="I7" s="38">
        <f>IF(Q7="","",I6*(Q7/Q6))</f>
        <v/>
      </c>
      <c r="J7" s="38">
        <f>IF(R7="","",J6*(R7/R6))</f>
        <v/>
      </c>
      <c r="K7" s="39">
        <f>IF(S7="","",K6*(S7/S6))</f>
        <v/>
      </c>
      <c r="L7" s="39">
        <f>IF(U7="","",L6*(U7/U6))</f>
        <v/>
      </c>
      <c r="M7" s="39">
        <f>IF(V7="","",M6*(V7/V6))</f>
        <v/>
      </c>
      <c r="N7" s="201" t="n"/>
      <c r="O7" s="201" t="n"/>
      <c r="P7" s="201" t="n"/>
      <c r="Q7" s="8">
        <f>IFERROR(__xludf.DUMMYFUNCTION("iferror(index('지수RAW'!$V$7:$V$12040,MATCH($D7,'지수RAW'!$R$7:$R$12040,0)-1,1),GOOGLEFINANCE(Q$2))"),2445.85)</f>
        <v/>
      </c>
      <c r="R7" s="201">
        <f>IFERROR(__xludf.DUMMYFUNCTION("iferror(index('지수RAW'!$F$7:$F$12040,MATCH($D7,'지수RAW'!$B$7:$B$12040,0)-1,1),GOOGLEFINANCE(R$2))"),2640.87)</f>
        <v/>
      </c>
      <c r="S7" s="9">
        <f>IFERROR(__xludf.DUMMYFUNCTION("iferror(index('지수RAW'!$N$7:$N$12040,MATCH($D7,'지수RAW'!$J$7:$J$12040,0)-1,1),GOOGLEFINANCE(S$2))"),7063.45)</f>
        <v/>
      </c>
      <c r="T7" s="201" t="n"/>
      <c r="U7" s="252">
        <f t="array" ref="U7">IFERROR(INDEX(지수RAW!$AT$7:$AT$12040,MATCH($D7,지수RAW!$AP$7:$AP$12040,0)-1,1),지수RAW!$AU$4)</f>
        <v/>
      </c>
      <c r="V7" s="252">
        <f>IFERROR(__xludf.DUMMYFUNCTION("iferror(index('지수RAW'!$AL$7:$AL$12040,MATCH($D7,'지수RAW'!$AH$7:$AH$12040,0)-1,1),GOOGLEFINANCE(V$2))"),6927.08)</f>
        <v/>
      </c>
      <c r="W7" s="253">
        <f>IFERROR(__xludf.DUMMYFUNCTION("iferror(index('지수RAW'!$AD$7:$AD$12040,MATCH($D7,'지수RAW'!$Z$7:$Z$12040,0)-1,1),GOOGLEFINANCE(W$2))"),1059.55)</f>
        <v/>
      </c>
      <c r="X7" s="36">
        <f>$W7*R7</f>
        <v/>
      </c>
      <c r="Y7" s="36">
        <f>$W7*S7</f>
        <v/>
      </c>
      <c r="Z7" s="36">
        <f>$W7*U7</f>
        <v/>
      </c>
      <c r="AA7" s="36">
        <f>$W7*V7</f>
        <v/>
      </c>
      <c r="AB7" s="255" t="n"/>
      <c r="AC7" s="38">
        <f>IF(Q7="","",AC6*(W7/W6))</f>
        <v/>
      </c>
      <c r="AD7" s="38">
        <f>IF(R7="","",AD6*(X7/X6))</f>
        <v/>
      </c>
      <c r="AE7" s="38">
        <f>IF(S7="","",AE6*(Y7/Y6))</f>
        <v/>
      </c>
      <c r="AF7" s="38">
        <f>IF(U7="","",AF6*(Z7/Z6))</f>
        <v/>
      </c>
      <c r="AG7" s="38">
        <f>IF(V7="","",AG6*(AA7/AA6))</f>
        <v/>
      </c>
    </row>
    <row r="8" ht="12.75" customHeight="1" s="202">
      <c r="A8" s="201" t="n"/>
      <c r="B8" s="22">
        <f>IF(C7=12,B7+1,B7)</f>
        <v/>
      </c>
      <c r="C8" s="22">
        <f>IF(C7=12,1,C7+1)</f>
        <v/>
      </c>
      <c r="D8" s="22">
        <f>IF(F8="12월",(E8+1)&amp;VLOOKUP(F8,인덱스!$C:$D,2,0),E8&amp;VLOOKUP(F8,인덱스!$C:$D,2,0))</f>
        <v/>
      </c>
      <c r="E8" s="201">
        <f>"20"&amp;B8</f>
        <v/>
      </c>
      <c r="F8" s="201">
        <f>C8&amp;"월"</f>
        <v/>
      </c>
      <c r="G8" s="37">
        <f>B8&amp;"."&amp;VLOOKUP(F8,인덱스!$A:$B,2,0)</f>
        <v/>
      </c>
      <c r="H8" s="256">
        <f>IFERROR(VLOOKUP(G8,#REF!,2,0),)</f>
        <v/>
      </c>
      <c r="I8" s="38">
        <f>IF(Q8="","",I7*(Q8/Q7))</f>
        <v/>
      </c>
      <c r="J8" s="38">
        <f>IF(R8="","",J7*(R8/R7))</f>
        <v/>
      </c>
      <c r="K8" s="39">
        <f>IF(S8="","",K7*(S8/S7))</f>
        <v/>
      </c>
      <c r="L8" s="39">
        <f>IF(U8="","",L7*(U8/U7))</f>
        <v/>
      </c>
      <c r="M8" s="39">
        <f>IF(V8="","",M7*(V8/V7))</f>
        <v/>
      </c>
      <c r="N8" s="201" t="n"/>
      <c r="O8" s="201" t="n"/>
      <c r="P8" s="201" t="n"/>
      <c r="Q8" s="8">
        <f>IFERROR(__xludf.DUMMYFUNCTION("iferror(index('지수RAW'!$V$7:$V$12040,MATCH($D8,'지수RAW'!$R$7:$R$12040,0)-1,1),GOOGLEFINANCE(Q$2))"),2515.38)</f>
        <v/>
      </c>
      <c r="R8" s="201">
        <f>IFERROR(__xludf.DUMMYFUNCTION("iferror(index('지수RAW'!$F$7:$F$12040,MATCH($D8,'지수RAW'!$B$7:$B$12040,0)-1,1),GOOGLEFINANCE(R$2))"),2648.05)</f>
        <v/>
      </c>
      <c r="S8" s="9">
        <f>IFERROR(__xludf.DUMMYFUNCTION("iferror(index('지수RAW'!$N$7:$N$12040,MATCH($D8,'지수RAW'!$J$7:$J$12040,0)-1,1),GOOGLEFINANCE(S$2))"),7066.27)</f>
        <v/>
      </c>
      <c r="T8" s="201" t="n"/>
      <c r="U8" s="252">
        <f t="array" ref="U8">IFERROR(INDEX(지수RAW!$AT$7:$AT$12040,MATCH($D8,지수RAW!$AP$7:$AP$12040,0)-1,1),지수RAW!$AU$4)</f>
        <v/>
      </c>
      <c r="V8" s="252">
        <f>IFERROR(__xludf.DUMMYFUNCTION("iferror(index('지수RAW'!$AL$7:$AL$12040,MATCH($D8,'지수RAW'!$AH$7:$AH$12040,0)-1,1),GOOGLEFINANCE(V$2))"),9231.28)</f>
        <v/>
      </c>
      <c r="W8" s="253">
        <f>IFERROR(__xludf.DUMMYFUNCTION("iferror(index('지수RAW'!$AD$7:$AD$12040,MATCH($D8,'지수RAW'!$Z$7:$Z$12040,0)-1,1),GOOGLEFINANCE(W$2))"),1069.45)</f>
        <v/>
      </c>
      <c r="X8" s="36">
        <f>$W8*R8</f>
        <v/>
      </c>
      <c r="Y8" s="36">
        <f>$W8*S8</f>
        <v/>
      </c>
      <c r="Z8" s="36">
        <f>$W8*U8</f>
        <v/>
      </c>
      <c r="AA8" s="36">
        <f>$W8*V8</f>
        <v/>
      </c>
      <c r="AB8" s="255" t="n"/>
      <c r="AC8" s="38">
        <f>IF(Q8="","",AC7*(W8/W7))</f>
        <v/>
      </c>
      <c r="AD8" s="38">
        <f>IF(R8="","",AD7*(X8/X7))</f>
        <v/>
      </c>
      <c r="AE8" s="38">
        <f>IF(S8="","",AE7*(Y8/Y7))</f>
        <v/>
      </c>
      <c r="AF8" s="38">
        <f>IF(U8="","",AF7*(Z8/Z7))</f>
        <v/>
      </c>
      <c r="AG8" s="38">
        <f>IF(V8="","",AG7*(AA8/AA7))</f>
        <v/>
      </c>
    </row>
    <row r="9" ht="12.75" customHeight="1" s="202">
      <c r="A9" s="201" t="n"/>
      <c r="B9" s="22">
        <f>IF(C8=12,B8+1,B8)</f>
        <v/>
      </c>
      <c r="C9" s="22">
        <f>IF(C8=12,1,C8+1)</f>
        <v/>
      </c>
      <c r="D9" s="22">
        <f>IF(F9="12월",(E9+1)&amp;VLOOKUP(F9,인덱스!$C:$D,2,0),E9&amp;VLOOKUP(F9,인덱스!$C:$D,2,0))</f>
        <v/>
      </c>
      <c r="E9" s="201">
        <f>"20"&amp;B9</f>
        <v/>
      </c>
      <c r="F9" s="201">
        <f>C9&amp;"월"</f>
        <v/>
      </c>
      <c r="G9" s="37">
        <f>B9&amp;"."&amp;VLOOKUP(F9,인덱스!$A:$B,2,0)</f>
        <v/>
      </c>
      <c r="H9" s="256">
        <f>IFERROR(VLOOKUP(G9,#REF!,2,0),)</f>
        <v/>
      </c>
      <c r="I9" s="38">
        <f>IF(Q9="","",I8*(Q9/Q8))</f>
        <v/>
      </c>
      <c r="J9" s="38">
        <f>IF(R9="","",J8*(R9/R8))</f>
        <v/>
      </c>
      <c r="K9" s="39">
        <f>IF(S9="","",K8*(S9/S8))</f>
        <v/>
      </c>
      <c r="L9" s="39">
        <f>IF(U9="","",L8*(U9/U8))</f>
        <v/>
      </c>
      <c r="M9" s="39">
        <f>IF(V9="","",M8*(V9/V8))</f>
        <v/>
      </c>
      <c r="N9" s="201" t="n"/>
      <c r="O9" s="201" t="n"/>
      <c r="P9" s="201" t="n"/>
      <c r="Q9" s="8">
        <f>IFERROR(__xludf.DUMMYFUNCTION("iferror(index('지수RAW'!$V$7:$V$12040,MATCH($D9,'지수RAW'!$R$7:$R$12040,0)-1,1),GOOGLEFINANCE(Q$2))"),2423.01)</f>
        <v/>
      </c>
      <c r="R9" s="201">
        <f>IFERROR(__xludf.DUMMYFUNCTION("iferror(index('지수RAW'!$F$7:$F$12040,MATCH($D9,'지수RAW'!$B$7:$B$12040,0)-1,1),GOOGLEFINANCE(R$2))"),2705.27)</f>
        <v/>
      </c>
      <c r="S9" s="9">
        <f>IFERROR(__xludf.DUMMYFUNCTION("iferror(index('지수RAW'!$N$7:$N$12040,MATCH($D9,'지수RAW'!$J$7:$J$12040,0)-1,1),GOOGLEFINANCE(S$2))"),7442.12)</f>
        <v/>
      </c>
      <c r="T9" s="201" t="n"/>
      <c r="U9" s="252">
        <f t="array" ref="U9">IFERROR(INDEX(지수RAW!$AT$7:$AT$12040,MATCH($D9,지수RAW!$AP$7:$AP$12040,0)-1,1),지수RAW!$AU$4)</f>
        <v/>
      </c>
      <c r="V9" s="252">
        <f>IFERROR(__xludf.DUMMYFUNCTION("iferror(index('지수RAW'!$AL$7:$AL$12040,MATCH($D9,'지수RAW'!$AH$7:$AH$12040,0)-1,1),GOOGLEFINANCE(V$2))"),7318.37)</f>
        <v/>
      </c>
      <c r="W9" s="253">
        <f>IFERROR(__xludf.DUMMYFUNCTION("iferror(index('지수RAW'!$AD$7:$AD$12040,MATCH($D9,'지수RAW'!$Z$7:$Z$12040,0)-1,1),GOOGLEFINANCE(W$2))"),1079.95)</f>
        <v/>
      </c>
      <c r="X9" s="36">
        <f>$W9*R9</f>
        <v/>
      </c>
      <c r="Y9" s="36">
        <f>$W9*S9</f>
        <v/>
      </c>
      <c r="Z9" s="36">
        <f>$W9*U9</f>
        <v/>
      </c>
      <c r="AA9" s="36">
        <f>$W9*V9</f>
        <v/>
      </c>
      <c r="AB9" s="255" t="n"/>
      <c r="AC9" s="38">
        <f>IF(Q9="","",AC8*(W9/W8))</f>
        <v/>
      </c>
      <c r="AD9" s="38">
        <f>IF(R9="","",AD8*(X9/X8))</f>
        <v/>
      </c>
      <c r="AE9" s="38">
        <f>IF(S9="","",AE8*(Y9/Y8))</f>
        <v/>
      </c>
      <c r="AF9" s="38">
        <f>IF(U9="","",AF8*(Z9/Z8))</f>
        <v/>
      </c>
      <c r="AG9" s="38">
        <f>IF(V9="","",AG8*(AA9/AA8))</f>
        <v/>
      </c>
    </row>
    <row r="10" ht="12.75" customHeight="1" s="202">
      <c r="A10" s="201" t="n"/>
      <c r="B10" s="22">
        <f>IF(C9=12,B9+1,B9)</f>
        <v/>
      </c>
      <c r="C10" s="22">
        <f>IF(C9=12,1,C9+1)</f>
        <v/>
      </c>
      <c r="D10" s="22">
        <f>IF(F10="12월",(E10+1)&amp;VLOOKUP(F10,인덱스!$C:$D,2,0),E10&amp;VLOOKUP(F10,인덱스!$C:$D,2,0))</f>
        <v/>
      </c>
      <c r="E10" s="201">
        <f>"20"&amp;B10</f>
        <v/>
      </c>
      <c r="F10" s="201">
        <f>C10&amp;"월"</f>
        <v/>
      </c>
      <c r="G10" s="37">
        <f>B10&amp;"."&amp;VLOOKUP(F10,인덱스!$A:$B,2,0)</f>
        <v/>
      </c>
      <c r="H10" s="256">
        <f>IFERROR(VLOOKUP(G10,#REF!,2,0),)</f>
        <v/>
      </c>
      <c r="I10" s="38">
        <f>IF(Q10="","",I9*(Q10/Q9))</f>
        <v/>
      </c>
      <c r="J10" s="38">
        <f>IF(R10="","",J9*(R10/R9))</f>
        <v/>
      </c>
      <c r="K10" s="39">
        <f>IF(S10="","",K9*(S10/S9))</f>
        <v/>
      </c>
      <c r="L10" s="39">
        <f>IF(U10="","",L9*(U10/U9))</f>
        <v/>
      </c>
      <c r="M10" s="39">
        <f>IF(V10="","",M9*(V10/V9))</f>
        <v/>
      </c>
      <c r="N10" s="201" t="n"/>
      <c r="O10" s="201" t="n"/>
      <c r="P10" s="201" t="n"/>
      <c r="Q10" s="8">
        <f>IFERROR(__xludf.DUMMYFUNCTION("iferror(index('지수RAW'!$V$7:$V$12040,MATCH($D10,'지수RAW'!$R$7:$R$12040,0)-1,1),GOOGLEFINANCE(Q$2))"),2326.13)</f>
        <v/>
      </c>
      <c r="R10" s="201">
        <f>IFERROR(__xludf.DUMMYFUNCTION("iferror(index('지수RAW'!$F$7:$F$12040,MATCH($D10,'지수RAW'!$B$7:$B$12040,0)-1,1),GOOGLEFINANCE(R$2))"),2718.37)</f>
        <v/>
      </c>
      <c r="S10" s="9">
        <f>IFERROR(__xludf.DUMMYFUNCTION("iferror(index('지수RAW'!$N$7:$N$12040,MATCH($D10,'지수RAW'!$J$7:$J$12040,0)-1,1),GOOGLEFINANCE(S$2))"),7510.3)</f>
        <v/>
      </c>
      <c r="T10" s="201" t="n"/>
      <c r="U10" s="252">
        <f t="array" ref="U10">IFERROR(INDEX(지수RAW!$AT$7:$AT$12040,MATCH($D10,지수RAW!$AP$7:$AP$12040,0)-1,1),지수RAW!$AU$4)</f>
        <v/>
      </c>
      <c r="V10" s="252">
        <f>IFERROR(__xludf.DUMMYFUNCTION("iferror(index('지수RAW'!$AL$7:$AL$12040,MATCH($D10,'지수RAW'!$AH$7:$AH$12040,0)-1,1),GOOGLEFINANCE(V$2))"),6387.27)</f>
        <v/>
      </c>
      <c r="W10" s="253">
        <f>IFERROR(__xludf.DUMMYFUNCTION("iferror(index('지수RAW'!$AD$7:$AD$12040,MATCH($D10,'지수RAW'!$Z$7:$Z$12040,0)-1,1),GOOGLEFINANCE(W$2))"),1113.92)</f>
        <v/>
      </c>
      <c r="X10" s="36">
        <f>$W10*R10</f>
        <v/>
      </c>
      <c r="Y10" s="36">
        <f>$W10*S10</f>
        <v/>
      </c>
      <c r="Z10" s="36">
        <f>$W10*U10</f>
        <v/>
      </c>
      <c r="AA10" s="36">
        <f>$W10*V10</f>
        <v/>
      </c>
      <c r="AB10" s="255" t="n"/>
      <c r="AC10" s="38">
        <f>IF(Q10="","",AC9*(W10/W9))</f>
        <v/>
      </c>
      <c r="AD10" s="38">
        <f>IF(R10="","",AD9*(X10/X9))</f>
        <v/>
      </c>
      <c r="AE10" s="38">
        <f>IF(S10="","",AE9*(Y10/Y9))</f>
        <v/>
      </c>
      <c r="AF10" s="38">
        <f>IF(U10="","",AF9*(Z10/Z9))</f>
        <v/>
      </c>
      <c r="AG10" s="38">
        <f>IF(V10="","",AG9*(AA10/AA9))</f>
        <v/>
      </c>
    </row>
    <row r="11" ht="12.75" customHeight="1" s="202">
      <c r="A11" s="201" t="n"/>
      <c r="B11" s="22">
        <f>IF(C10=12,B10+1,B10)</f>
        <v/>
      </c>
      <c r="C11" s="22">
        <f>IF(C10=12,1,C10+1)</f>
        <v/>
      </c>
      <c r="D11" s="22">
        <f>IF(F11="12월",(E11+1)&amp;VLOOKUP(F11,인덱스!$C:$D,2,0),E11&amp;VLOOKUP(F11,인덱스!$C:$D,2,0))</f>
        <v/>
      </c>
      <c r="E11" s="201">
        <f>"20"&amp;B11</f>
        <v/>
      </c>
      <c r="F11" s="201">
        <f>C11&amp;"월"</f>
        <v/>
      </c>
      <c r="G11" s="37">
        <f>B11&amp;"."&amp;VLOOKUP(F11,인덱스!$A:$B,2,0)</f>
        <v/>
      </c>
      <c r="H11" s="256">
        <f>IFERROR(VLOOKUP(G11,#REF!,2,0),)</f>
        <v/>
      </c>
      <c r="I11" s="38">
        <f>IF(Q11="","",I10*(Q11/Q10))</f>
        <v/>
      </c>
      <c r="J11" s="38">
        <f>IF(R11="","",J10*(R11/R10))</f>
        <v/>
      </c>
      <c r="K11" s="39">
        <f>IF(S11="","",K10*(S11/S10))</f>
        <v/>
      </c>
      <c r="L11" s="39">
        <f>IF(U11="","",L10*(U11/U10))</f>
        <v/>
      </c>
      <c r="M11" s="39">
        <f>IF(V11="","",M10*(V11/V10))</f>
        <v/>
      </c>
      <c r="N11" s="201" t="n"/>
      <c r="O11" s="201" t="n"/>
      <c r="P11" s="201" t="n"/>
      <c r="Q11" s="8">
        <f>IFERROR(__xludf.DUMMYFUNCTION("iferror(index('지수RAW'!$V$7:$V$12040,MATCH($D11,'지수RAW'!$R$7:$R$12040,0)-1,1),GOOGLEFINANCE(Q$2))"),2295.26)</f>
        <v/>
      </c>
      <c r="R11" s="201">
        <f>IFERROR(__xludf.DUMMYFUNCTION("iferror(index('지수RAW'!$F$7:$F$12040,MATCH($D11,'지수RAW'!$B$7:$B$12040,0)-1,1),GOOGLEFINANCE(R$2))"),2816.29)</f>
        <v/>
      </c>
      <c r="S11" s="9">
        <f>IFERROR(__xludf.DUMMYFUNCTION("iferror(index('지수RAW'!$N$7:$N$12040,MATCH($D11,'지수RAW'!$J$7:$J$12040,0)-1,1),GOOGLEFINANCE(S$2))"),7671.79)</f>
        <v/>
      </c>
      <c r="T11" s="201" t="n"/>
      <c r="U11" s="252">
        <f t="array" ref="U11">IFERROR(INDEX(지수RAW!$AT$7:$AT$12040,MATCH($D11,지수RAW!$AP$7:$AP$12040,0)-1,1),지수RAW!$AU$4)</f>
        <v/>
      </c>
      <c r="V11" s="252">
        <f>IFERROR(__xludf.DUMMYFUNCTION("iferror(index('지수RAW'!$AL$7:$AL$12040,MATCH($D11,'지수RAW'!$AH$7:$AH$12040,0)-1,1),GOOGLEFINANCE(V$2))"),7736.32)</f>
        <v/>
      </c>
      <c r="W11" s="253">
        <f>IFERROR(__xludf.DUMMYFUNCTION("iferror(index('지수RAW'!$AD$7:$AD$12040,MATCH($D11,'지수RAW'!$Z$7:$Z$12040,0)-1,1),GOOGLEFINANCE(W$2))"),1112.2)</f>
        <v/>
      </c>
      <c r="X11" s="36">
        <f>$W11*R11</f>
        <v/>
      </c>
      <c r="Y11" s="36">
        <f>$W11*S11</f>
        <v/>
      </c>
      <c r="Z11" s="36">
        <f>$W11*U11</f>
        <v/>
      </c>
      <c r="AA11" s="36">
        <f>$W11*V11</f>
        <v/>
      </c>
      <c r="AB11" s="255" t="n"/>
      <c r="AC11" s="38">
        <f>IF(Q11="","",AC10*(W11/W10))</f>
        <v/>
      </c>
      <c r="AD11" s="38">
        <f>IF(R11="","",AD10*(X11/X10))</f>
        <v/>
      </c>
      <c r="AE11" s="38">
        <f>IF(S11="","",AE10*(Y11/Y10))</f>
        <v/>
      </c>
      <c r="AF11" s="38">
        <f>IF(U11="","",AF10*(Z11/Z10))</f>
        <v/>
      </c>
      <c r="AG11" s="38">
        <f>IF(V11="","",AG10*(AA11/AA10))</f>
        <v/>
      </c>
    </row>
    <row r="12" ht="12.75" customHeight="1" s="202">
      <c r="A12" s="201" t="n"/>
      <c r="B12" s="22">
        <f>IF(C11=12,B11+1,B11)</f>
        <v/>
      </c>
      <c r="C12" s="22">
        <f>IF(C11=12,1,C11+1)</f>
        <v/>
      </c>
      <c r="D12" s="22">
        <f>IF(F12="12월",(E12+1)&amp;VLOOKUP(F12,인덱스!$C:$D,2,0),E12&amp;VLOOKUP(F12,인덱스!$C:$D,2,0))</f>
        <v/>
      </c>
      <c r="E12" s="201">
        <f>"20"&amp;B12</f>
        <v/>
      </c>
      <c r="F12" s="201">
        <f>C12&amp;"월"</f>
        <v/>
      </c>
      <c r="G12" s="37">
        <f>B12&amp;"."&amp;VLOOKUP(F12,인덱스!$A:$B,2,0)</f>
        <v/>
      </c>
      <c r="H12" s="256">
        <f>IFERROR(VLOOKUP(G12,#REF!,2,0),)</f>
        <v/>
      </c>
      <c r="I12" s="38">
        <f>IF(Q12="","",I11*(Q12/Q11))</f>
        <v/>
      </c>
      <c r="J12" s="38">
        <f>IF(R12="","",J11*(R12/R11))</f>
        <v/>
      </c>
      <c r="K12" s="39">
        <f>IF(S12="","",K11*(S12/S11))</f>
        <v/>
      </c>
      <c r="L12" s="39">
        <f>IF(U12="","",L11*(U12/U11))</f>
        <v/>
      </c>
      <c r="M12" s="39">
        <f>IF(V12="","",M11*(V12/V11))</f>
        <v/>
      </c>
      <c r="N12" s="201" t="n"/>
      <c r="O12" s="201" t="n"/>
      <c r="P12" s="201" t="n"/>
      <c r="Q12" s="8">
        <f>IFERROR(__xludf.DUMMYFUNCTION("iferror(index('지수RAW'!$V$7:$V$12040,MATCH($D12,'지수RAW'!$R$7:$R$12040,0)-1,1),GOOGLEFINANCE(Q$2))"),2322.88)</f>
        <v/>
      </c>
      <c r="R12" s="201">
        <f>IFERROR(__xludf.DUMMYFUNCTION("iferror(index('지수RAW'!$F$7:$F$12040,MATCH($D12,'지수RAW'!$B$7:$B$12040,0)-1,1),GOOGLEFINANCE(R$2))"),2901.52)</f>
        <v/>
      </c>
      <c r="S12" s="9">
        <f>IFERROR(__xludf.DUMMYFUNCTION("iferror(index('지수RAW'!$N$7:$N$12040,MATCH($D12,'지수RAW'!$J$7:$J$12040,0)-1,1),GOOGLEFINANCE(S$2))"),8109.54)</f>
        <v/>
      </c>
      <c r="T12" s="201" t="n"/>
      <c r="U12" s="252">
        <f t="array" ref="U12">IFERROR(INDEX(지수RAW!$AT$7:$AT$12040,MATCH($D12,지수RAW!$AP$7:$AP$12040,0)-1,1),지수RAW!$AU$4)</f>
        <v/>
      </c>
      <c r="V12" s="252">
        <f>IFERROR(__xludf.DUMMYFUNCTION("iferror(index('지수RAW'!$AL$7:$AL$12040,MATCH($D12,'지수RAW'!$AH$7:$AH$12040,0)-1,1),GOOGLEFINANCE(V$2))"),7012.26)</f>
        <v/>
      </c>
      <c r="W12" s="253">
        <f>IFERROR(__xludf.DUMMYFUNCTION("iferror(index('지수RAW'!$AD$7:$AD$12040,MATCH($D12,'지수RAW'!$Z$7:$Z$12040,0)-1,1),GOOGLEFINANCE(W$2))"),1114.64)</f>
        <v/>
      </c>
      <c r="X12" s="36">
        <f>$W12*R12</f>
        <v/>
      </c>
      <c r="Y12" s="36">
        <f>$W12*S12</f>
        <v/>
      </c>
      <c r="Z12" s="36">
        <f>$W12*U12</f>
        <v/>
      </c>
      <c r="AA12" s="36">
        <f>$W12*V12</f>
        <v/>
      </c>
      <c r="AB12" s="255" t="n"/>
      <c r="AC12" s="38">
        <f>IF(Q12="","",AC11*(W12/W11))</f>
        <v/>
      </c>
      <c r="AD12" s="38">
        <f>IF(R12="","",AD11*(X12/X11))</f>
        <v/>
      </c>
      <c r="AE12" s="38">
        <f>IF(S12="","",AE11*(Y12/Y11))</f>
        <v/>
      </c>
      <c r="AF12" s="38">
        <f>IF(U12="","",AF11*(Z12/Z11))</f>
        <v/>
      </c>
      <c r="AG12" s="38">
        <f>IF(V12="","",AG11*(AA12/AA11))</f>
        <v/>
      </c>
    </row>
    <row r="13" ht="12.75" customHeight="1" s="202">
      <c r="A13" s="201" t="n"/>
      <c r="B13" s="22">
        <f>IF(C12=12,B12+1,B12)</f>
        <v/>
      </c>
      <c r="C13" s="22">
        <f>IF(C12=12,1,C12+1)</f>
        <v/>
      </c>
      <c r="D13" s="22">
        <f>IF(F13="12월",(E13+1)&amp;VLOOKUP(F13,인덱스!$C:$D,2,0),E13&amp;VLOOKUP(F13,인덱스!$C:$D,2,0))</f>
        <v/>
      </c>
      <c r="E13" s="201">
        <f>"20"&amp;B13</f>
        <v/>
      </c>
      <c r="F13" s="201">
        <f>C13&amp;"월"</f>
        <v/>
      </c>
      <c r="G13" s="37">
        <f>B13&amp;"."&amp;VLOOKUP(F13,인덱스!$A:$B,2,0)</f>
        <v/>
      </c>
      <c r="H13" s="256">
        <f>IFERROR(VLOOKUP(G13,#REF!,2,0),)</f>
        <v/>
      </c>
      <c r="I13" s="38">
        <f>IF(Q13="","",I12*(Q13/Q12))</f>
        <v/>
      </c>
      <c r="J13" s="38">
        <f>IF(R13="","",J12*(R13/R12))</f>
        <v/>
      </c>
      <c r="K13" s="39">
        <f>IF(S13="","",K12*(S13/S12))</f>
        <v/>
      </c>
      <c r="L13" s="39">
        <f>IF(U13="","",L12*(U13/U12))</f>
        <v/>
      </c>
      <c r="M13" s="39">
        <f>IF(V13="","",M12*(V13/V12))</f>
        <v/>
      </c>
      <c r="N13" s="201" t="n"/>
      <c r="O13" s="201" t="n"/>
      <c r="P13" s="201" t="n"/>
      <c r="Q13" s="8">
        <f>IFERROR(__xludf.DUMMYFUNCTION("iferror(index('지수RAW'!$V$7:$V$12040,MATCH($D13,'지수RAW'!$R$7:$R$12040,0)-1,1),GOOGLEFINANCE(Q$2))"),2343.07)</f>
        <v/>
      </c>
      <c r="R13" s="201">
        <f>IFERROR(__xludf.DUMMYFUNCTION("iferror(index('지수RAW'!$F$7:$F$12040,MATCH($D13,'지수RAW'!$B$7:$B$12040,0)-1,1),GOOGLEFINANCE(R$2))"),2913.98)</f>
        <v/>
      </c>
      <c r="S13" s="9">
        <f>IFERROR(__xludf.DUMMYFUNCTION("iferror(index('지수RAW'!$N$7:$N$12040,MATCH($D13,'지수RAW'!$J$7:$J$12040,0)-1,1),GOOGLEFINANCE(S$2))"),8046.35)</f>
        <v/>
      </c>
      <c r="T13" s="201" t="n"/>
      <c r="U13" s="252">
        <f t="array" ref="U13">IFERROR(INDEX(지수RAW!$AT$7:$AT$12040,MATCH($D13,지수RAW!$AP$7:$AP$12040,0)-1,1),지수RAW!$AU$4)</f>
        <v/>
      </c>
      <c r="V13" s="252">
        <f>IFERROR(__xludf.DUMMYFUNCTION("iferror(index('지수RAW'!$AL$7:$AL$12040,MATCH($D13,'지수RAW'!$AH$7:$AH$12040,0)-1,1),GOOGLEFINANCE(V$2))"),6618.76)</f>
        <v/>
      </c>
      <c r="W13" s="253">
        <f>IFERROR(__xludf.DUMMYFUNCTION("iferror(index('지수RAW'!$AD$7:$AD$12040,MATCH($D13,'지수RAW'!$Z$7:$Z$12040,0)-1,1),GOOGLEFINANCE(W$2))"),1109.01)</f>
        <v/>
      </c>
      <c r="X13" s="36">
        <f>$W13*R13</f>
        <v/>
      </c>
      <c r="Y13" s="36">
        <f>$W13*S13</f>
        <v/>
      </c>
      <c r="Z13" s="36">
        <f>$W13*U13</f>
        <v/>
      </c>
      <c r="AA13" s="36">
        <f>$W13*V13</f>
        <v/>
      </c>
      <c r="AB13" s="255" t="n"/>
      <c r="AC13" s="38">
        <f>IF(Q13="","",AC12*(W13/W12))</f>
        <v/>
      </c>
      <c r="AD13" s="38">
        <f>IF(R13="","",AD12*(X13/X12))</f>
        <v/>
      </c>
      <c r="AE13" s="38">
        <f>IF(S13="","",AE12*(Y13/Y12))</f>
        <v/>
      </c>
      <c r="AF13" s="38">
        <f>IF(U13="","",AF12*(Z13/Z12))</f>
        <v/>
      </c>
      <c r="AG13" s="38">
        <f>IF(V13="","",AG12*(AA13/AA12))</f>
        <v/>
      </c>
    </row>
    <row r="14" ht="12.75" customHeight="1" s="202">
      <c r="A14" s="201" t="n"/>
      <c r="B14" s="22">
        <f>IF(C13=12,B13+1,B13)</f>
        <v/>
      </c>
      <c r="C14" s="22">
        <f>IF(C13=12,1,C13+1)</f>
        <v/>
      </c>
      <c r="D14" s="22">
        <f>IF(F14="12월",(E14+1)&amp;VLOOKUP(F14,인덱스!$C:$D,2,0),E14&amp;VLOOKUP(F14,인덱스!$C:$D,2,0))</f>
        <v/>
      </c>
      <c r="E14" s="201">
        <f>"20"&amp;B14</f>
        <v/>
      </c>
      <c r="F14" s="201">
        <f>C14&amp;"월"</f>
        <v/>
      </c>
      <c r="G14" s="37">
        <f>B14&amp;"."&amp;VLOOKUP(F14,인덱스!$A:$B,2,0)</f>
        <v/>
      </c>
      <c r="H14" s="256">
        <f>IFERROR(VLOOKUP(G14,#REF!,2,0),)</f>
        <v/>
      </c>
      <c r="I14" s="38">
        <f>IF(Q14="","",I13*(Q14/Q13))</f>
        <v/>
      </c>
      <c r="J14" s="38">
        <f>IF(R14="","",J13*(R14/R13))</f>
        <v/>
      </c>
      <c r="K14" s="39">
        <f>IF(S14="","",K13*(S14/S13))</f>
        <v/>
      </c>
      <c r="L14" s="39">
        <f>IF(U14="","",L13*(U14/U13))</f>
        <v/>
      </c>
      <c r="M14" s="39">
        <f>IF(V14="","",M13*(V14/V13))</f>
        <v/>
      </c>
      <c r="N14" s="201" t="n"/>
      <c r="O14" s="201" t="n"/>
      <c r="P14" s="201" t="n"/>
      <c r="Q14" s="8">
        <f>IFERROR(__xludf.DUMMYFUNCTION("iferror(index('지수RAW'!$V$7:$V$12040,MATCH($D14,'지수RAW'!$R$7:$R$12040,0)-1,1),GOOGLEFINANCE(Q$2))"),2029.69)</f>
        <v/>
      </c>
      <c r="R14" s="201">
        <f>IFERROR(__xludf.DUMMYFUNCTION("iferror(index('지수RAW'!$F$7:$F$12040,MATCH($D14,'지수RAW'!$B$7:$B$12040,0)-1,1),GOOGLEFINANCE(R$2))"),2711.74)</f>
        <v/>
      </c>
      <c r="S14" s="9">
        <f>IFERROR(__xludf.DUMMYFUNCTION("iferror(index('지수RAW'!$N$7:$N$12040,MATCH($D14,'지수RAW'!$J$7:$J$12040,0)-1,1),GOOGLEFINANCE(S$2))"),7305.9)</f>
        <v/>
      </c>
      <c r="T14" s="201" t="n"/>
      <c r="U14" s="252">
        <f t="array" ref="U14">IFERROR(INDEX(지수RAW!$AT$7:$AT$12040,MATCH($D14,지수RAW!$AP$7:$AP$12040,0)-1,1),지수RAW!$AU$4)</f>
        <v/>
      </c>
      <c r="V14" s="252">
        <f>IFERROR(__xludf.DUMMYFUNCTION("iferror(index('지수RAW'!$AL$7:$AL$12040,MATCH($D14,'지수RAW'!$AH$7:$AH$12040,0)-1,1),GOOGLEFINANCE(V$2))"),6340.38)</f>
        <v/>
      </c>
      <c r="W14" s="253">
        <f>IFERROR(__xludf.DUMMYFUNCTION("iferror(index('지수RAW'!$AD$7:$AD$12040,MATCH($D14,'지수RAW'!$Z$7:$Z$12040,0)-1,1),GOOGLEFINANCE(W$2))"),1140.97)</f>
        <v/>
      </c>
      <c r="X14" s="36">
        <f>$W14*R14</f>
        <v/>
      </c>
      <c r="Y14" s="36">
        <f>$W14*S14</f>
        <v/>
      </c>
      <c r="Z14" s="36">
        <f>$W14*U14</f>
        <v/>
      </c>
      <c r="AA14" s="36">
        <f>$W14*V14</f>
        <v/>
      </c>
      <c r="AB14" s="255" t="n"/>
      <c r="AC14" s="38">
        <f>IF(Q14="","",AC13*(W14/W13))</f>
        <v/>
      </c>
      <c r="AD14" s="38">
        <f>IF(R14="","",AD13*(X14/X13))</f>
        <v/>
      </c>
      <c r="AE14" s="38">
        <f>IF(S14="","",AE13*(Y14/Y13))</f>
        <v/>
      </c>
      <c r="AF14" s="38">
        <f>IF(U14="","",AF13*(Z14/Z13))</f>
        <v/>
      </c>
      <c r="AG14" s="38">
        <f>IF(V14="","",AG13*(AA14/AA13))</f>
        <v/>
      </c>
    </row>
    <row r="15" ht="12.75" customHeight="1" s="202">
      <c r="A15" s="201" t="n"/>
      <c r="B15" s="22">
        <f>IF(C14=12,B14+1,B14)</f>
        <v/>
      </c>
      <c r="C15" s="22">
        <f>IF(C14=12,1,C14+1)</f>
        <v/>
      </c>
      <c r="D15" s="22">
        <f>IF(F15="12월",(E15+1)&amp;VLOOKUP(F15,인덱스!$C:$D,2,0),E15&amp;VLOOKUP(F15,인덱스!$C:$D,2,0))</f>
        <v/>
      </c>
      <c r="E15" s="201">
        <f>"20"&amp;B15</f>
        <v/>
      </c>
      <c r="F15" s="201">
        <f>C15&amp;"월"</f>
        <v/>
      </c>
      <c r="G15" s="37">
        <f>B15&amp;"."&amp;VLOOKUP(F15,인덱스!$A:$B,2,0)</f>
        <v/>
      </c>
      <c r="H15" s="256">
        <f>IFERROR(VLOOKUP(G15,#REF!,2,0),)</f>
        <v/>
      </c>
      <c r="I15" s="38">
        <f>IF(Q15="","",I14*(Q15/Q14))</f>
        <v/>
      </c>
      <c r="J15" s="38">
        <f>IF(R15="","",J14*(R15/R14))</f>
        <v/>
      </c>
      <c r="K15" s="39">
        <f>IF(S15="","",K14*(S15/S14))</f>
        <v/>
      </c>
      <c r="L15" s="39">
        <f>IF(U15="","",L14*(U15/U14))</f>
        <v/>
      </c>
      <c r="M15" s="39">
        <f>IF(V15="","",M14*(V15/V14))</f>
        <v/>
      </c>
      <c r="N15" s="201" t="n"/>
      <c r="O15" s="201" t="n"/>
      <c r="P15" s="201" t="n"/>
      <c r="Q15" s="8">
        <f>IFERROR(__xludf.DUMMYFUNCTION("iferror(index('지수RAW'!$V$7:$V$12040,MATCH($D15,'지수RAW'!$R$7:$R$12040,0)-1,1),GOOGLEFINANCE(Q$2))"),2096.86)</f>
        <v/>
      </c>
      <c r="R15" s="201">
        <f>IFERROR(__xludf.DUMMYFUNCTION("iferror(index('지수RAW'!$F$7:$F$12040,MATCH($D15,'지수RAW'!$B$7:$B$12040,0)-1,1),GOOGLEFINANCE(R$2))"),2760.17)</f>
        <v/>
      </c>
      <c r="S15" s="9">
        <f>IFERROR(__xludf.DUMMYFUNCTION("iferror(index('지수RAW'!$N$7:$N$12040,MATCH($D15,'지수RAW'!$J$7:$J$12040,0)-1,1),GOOGLEFINANCE(S$2))"),7330.54)</f>
        <v/>
      </c>
      <c r="T15" s="201" t="n"/>
      <c r="U15" s="252">
        <f t="array" ref="U15">IFERROR(INDEX(지수RAW!$AT$7:$AT$12040,MATCH($D15,지수RAW!$AP$7:$AP$12040,0)-1,1),지수RAW!$AU$4)</f>
        <v/>
      </c>
      <c r="V15" s="252">
        <f>IFERROR(__xludf.DUMMYFUNCTION("iferror(index('지수RAW'!$AL$7:$AL$12040,MATCH($D15,'지수RAW'!$AH$7:$AH$12040,0)-1,1),GOOGLEFINANCE(V$2))"),4021.237)</f>
        <v/>
      </c>
      <c r="W15" s="253">
        <f>IFERROR(__xludf.DUMMYFUNCTION("iferror(index('지수RAW'!$AD$7:$AD$12040,MATCH($D15,'지수RAW'!$Z$7:$Z$12040,0)-1,1),GOOGLEFINANCE(W$2))"),1119.53)</f>
        <v/>
      </c>
      <c r="X15" s="36">
        <f>$W15*R15</f>
        <v/>
      </c>
      <c r="Y15" s="36">
        <f>$W15*S15</f>
        <v/>
      </c>
      <c r="Z15" s="36">
        <f>$W15*U15</f>
        <v/>
      </c>
      <c r="AA15" s="36">
        <f>$W15*V15</f>
        <v/>
      </c>
      <c r="AB15" s="255" t="n"/>
      <c r="AC15" s="38">
        <f>IF(Q15="","",AC14*(W15/W14))</f>
        <v/>
      </c>
      <c r="AD15" s="38">
        <f>IF(R15="","",AD14*(X15/X14))</f>
        <v/>
      </c>
      <c r="AE15" s="38">
        <f>IF(S15="","",AE14*(Y15/Y14))</f>
        <v/>
      </c>
      <c r="AF15" s="38">
        <f>IF(U15="","",AF14*(Z15/Z14))</f>
        <v/>
      </c>
      <c r="AG15" s="38">
        <f>IF(V15="","",AG14*(AA15/AA14))</f>
        <v/>
      </c>
    </row>
    <row r="16" ht="12.75" customHeight="1" s="202">
      <c r="A16" s="201" t="n"/>
      <c r="B16" s="22">
        <f>IF(C15=12,B15+1,B15)</f>
        <v/>
      </c>
      <c r="C16" s="22">
        <f>IF(C15=12,1,C15+1)</f>
        <v/>
      </c>
      <c r="D16" s="22">
        <f>IF(F16="12월",(E16+1)&amp;VLOOKUP(F16,인덱스!$C:$D,2,0),E16&amp;VLOOKUP(F16,인덱스!$C:$D,2,0))</f>
        <v/>
      </c>
      <c r="E16" s="201">
        <f>"20"&amp;B16</f>
        <v/>
      </c>
      <c r="F16" s="201">
        <f>C16&amp;"월"</f>
        <v/>
      </c>
      <c r="G16" s="37">
        <f>B16&amp;"."&amp;VLOOKUP(F16,인덱스!$A:$B,2,0)</f>
        <v/>
      </c>
      <c r="H16" s="256">
        <f>IFERROR(VLOOKUP(G16,#REF!,2,0),)</f>
        <v/>
      </c>
      <c r="I16" s="38">
        <f>IF(Q16="","",I15*(Q16/Q15))</f>
        <v/>
      </c>
      <c r="J16" s="38">
        <f>IF(R16="","",J15*(R16/R15))</f>
        <v/>
      </c>
      <c r="K16" s="39">
        <f>IF(S16="","",K15*(S16/S15))</f>
        <v/>
      </c>
      <c r="L16" s="39">
        <f>IF(U16="","",L15*(U16/U15))</f>
        <v/>
      </c>
      <c r="M16" s="39">
        <f>IF(V16="","",M15*(V16/V15))</f>
        <v/>
      </c>
      <c r="N16" s="201" t="n"/>
      <c r="O16" s="201" t="n"/>
      <c r="P16" s="201" t="n"/>
      <c r="Q16" s="8">
        <f>IFERROR(__xludf.DUMMYFUNCTION("iferror(index('지수RAW'!$V$7:$V$12040,MATCH($D16,'지수RAW'!$R$7:$R$12040,0)-1,1),GOOGLEFINANCE(Q$2))"),2041.04)</f>
        <v/>
      </c>
      <c r="R16" s="201">
        <f>IFERROR(__xludf.DUMMYFUNCTION("iferror(index('지수RAW'!$F$7:$F$12040,MATCH($D16,'지수RAW'!$B$7:$B$12040,0)-1,1),GOOGLEFINANCE(R$2))"),2506.85)</f>
        <v/>
      </c>
      <c r="S16" s="9">
        <f>IFERROR(__xludf.DUMMYFUNCTION("iferror(index('지수RAW'!$N$7:$N$12040,MATCH($D16,'지수RAW'!$J$7:$J$12040,0)-1,1),GOOGLEFINANCE(S$2))"),6635.28)</f>
        <v/>
      </c>
      <c r="T16" s="201" t="n"/>
      <c r="U16" s="252">
        <f t="array" ref="U16">IFERROR(INDEX(지수RAW!$AT$7:$AT$12040,MATCH($D16,지수RAW!$AP$7:$AP$12040,0)-1,1),지수RAW!$AU$4)</f>
        <v/>
      </c>
      <c r="V16" s="252">
        <f>IFERROR(__xludf.DUMMYFUNCTION("iferror(index('지수RAW'!$AL$7:$AL$12040,MATCH($D16,'지수RAW'!$AH$7:$AH$12040,0)-1,1),GOOGLEFINANCE(V$2))"),3711.907)</f>
        <v/>
      </c>
      <c r="W16" s="253">
        <f>IFERROR(__xludf.DUMMYFUNCTION("iferror(index('지수RAW'!$AD$7:$AD$12040,MATCH($D16,'지수RAW'!$Z$7:$Z$12040,0)-1,1),GOOGLEFINANCE(W$2))"),1112.5)</f>
        <v/>
      </c>
      <c r="X16" s="36">
        <f>$W16*R16</f>
        <v/>
      </c>
      <c r="Y16" s="36">
        <f>$W16*S16</f>
        <v/>
      </c>
      <c r="Z16" s="36">
        <f>$W16*U16</f>
        <v/>
      </c>
      <c r="AA16" s="36">
        <f>$W16*V16</f>
        <v/>
      </c>
      <c r="AB16" s="255" t="n"/>
      <c r="AC16" s="38">
        <f>IF(Q16="","",AC15*(W16/W15))</f>
        <v/>
      </c>
      <c r="AD16" s="38">
        <f>IF(R16="","",AD15*(X16/X15))</f>
        <v/>
      </c>
      <c r="AE16" s="38">
        <f>IF(S16="","",AE15*(Y16/Y15))</f>
        <v/>
      </c>
      <c r="AF16" s="38">
        <f>IF(U16="","",AF15*(Z16/Z15))</f>
        <v/>
      </c>
      <c r="AG16" s="38">
        <f>IF(V16="","",AG15*(AA16/AA15))</f>
        <v/>
      </c>
    </row>
    <row r="17" ht="12.75" customHeight="1" s="202">
      <c r="A17" s="201" t="n"/>
      <c r="B17" s="22">
        <f>IF(C16=12,B16+1,B16)</f>
        <v/>
      </c>
      <c r="C17" s="22">
        <f>IF(C16=12,1,C16+1)</f>
        <v/>
      </c>
      <c r="D17" s="22">
        <f>IF(F17="12월",(E17+1)&amp;VLOOKUP(F17,인덱스!$C:$D,2,0),E17&amp;VLOOKUP(F17,인덱스!$C:$D,2,0))</f>
        <v/>
      </c>
      <c r="E17" s="201">
        <f>"20"&amp;B17</f>
        <v/>
      </c>
      <c r="F17" s="201">
        <f>C17&amp;"월"</f>
        <v/>
      </c>
      <c r="G17" s="40">
        <f>B17&amp;"."&amp;VLOOKUP(F17,인덱스!$A:$B,2,0)</f>
        <v/>
      </c>
      <c r="H17" s="257">
        <f>IFERROR(VLOOKUP(G17,#REF!,2,0),)</f>
        <v/>
      </c>
      <c r="I17" s="42">
        <f>IF(Q17="","",I16*(Q17/Q16))</f>
        <v/>
      </c>
      <c r="J17" s="42">
        <f>IF(R17="","",J16*(R17/R16))</f>
        <v/>
      </c>
      <c r="K17" s="43">
        <f>IF(S17="","",K16*(S17/S16))</f>
        <v/>
      </c>
      <c r="L17" s="43">
        <f>IF(U17="","",L16*(U17/U16))</f>
        <v/>
      </c>
      <c r="M17" s="43">
        <f>IF(V17="","",M16*(V17/V16))</f>
        <v/>
      </c>
      <c r="N17" s="201" t="n"/>
      <c r="O17" s="201" t="n"/>
      <c r="P17" s="201" t="n"/>
      <c r="Q17" s="8">
        <f>IFERROR(__xludf.DUMMYFUNCTION("iferror(index('지수RAW'!$V$7:$V$12040,MATCH($D17,'지수RAW'!$R$7:$R$12040,0)-1,1),GOOGLEFINANCE(Q$2))"),2204.85)</f>
        <v/>
      </c>
      <c r="R17" s="201">
        <f>IFERROR(__xludf.DUMMYFUNCTION("iferror(index('지수RAW'!$F$7:$F$12040,MATCH($D17,'지수RAW'!$B$7:$B$12040,0)-1,1),GOOGLEFINANCE(R$2))"),2704.1)</f>
        <v/>
      </c>
      <c r="S17" s="9">
        <f>IFERROR(__xludf.DUMMYFUNCTION("iferror(index('지수RAW'!$N$7:$N$12040,MATCH($D17,'지수RAW'!$J$7:$J$12040,0)-1,1),GOOGLEFINANCE(S$2))"),7281.74)</f>
        <v/>
      </c>
      <c r="T17" s="201" t="n"/>
      <c r="U17" s="252">
        <f t="array" ref="U17">IFERROR(INDEX(지수RAW!$AT$7:$AT$12040,MATCH($D17,지수RAW!$AP$7:$AP$12040,0)-1,1),지수RAW!$AU$4)</f>
        <v/>
      </c>
      <c r="V17" s="252">
        <f>IFERROR(__xludf.DUMMYFUNCTION("iferror(index('지수RAW'!$AL$7:$AL$12040,MATCH($D17,'지수RAW'!$AH$7:$AH$12040,0)-1,1),GOOGLEFINANCE(V$2))"),3419.343)</f>
        <v/>
      </c>
      <c r="W17" s="253">
        <f>IFERROR(__xludf.DUMMYFUNCTION("iferror(index('지수RAW'!$AD$7:$AD$12040,MATCH($D17,'지수RAW'!$Z$7:$Z$12040,0)-1,1),GOOGLEFINANCE(W$2))"),1111.55)</f>
        <v/>
      </c>
      <c r="X17" s="36">
        <f>$W17*R17</f>
        <v/>
      </c>
      <c r="Y17" s="36">
        <f>$W17*S17</f>
        <v/>
      </c>
      <c r="Z17" s="36">
        <f>$W17*U17</f>
        <v/>
      </c>
      <c r="AA17" s="36">
        <f>$W17*V17</f>
        <v/>
      </c>
      <c r="AB17" s="255" t="n"/>
      <c r="AC17" s="42">
        <f>IF(Q17="","",AC16*(W17/W16))</f>
        <v/>
      </c>
      <c r="AD17" s="42">
        <f>IF(R17="","",AD16*(X17/X16))</f>
        <v/>
      </c>
      <c r="AE17" s="42">
        <f>IF(S17="","",AE16*(Y17/Y16))</f>
        <v/>
      </c>
      <c r="AF17" s="42">
        <f>IF(U17="","",AF16*(Z17/Z16))</f>
        <v/>
      </c>
      <c r="AG17" s="42">
        <f>IF(V17="","",AG16*(AA17/AA16))</f>
        <v/>
      </c>
    </row>
    <row r="18" ht="12.75" customHeight="1" s="202">
      <c r="A18" s="201" t="n"/>
      <c r="B18" s="22">
        <f>IF(C17=12,B17+1,B17)</f>
        <v/>
      </c>
      <c r="C18" s="22">
        <f>IF(C17=12,1,C17+1)</f>
        <v/>
      </c>
      <c r="D18" s="22">
        <f>IF(F18="12월",(E18+1)&amp;VLOOKUP(F18,인덱스!$C:$D,2,0),E18&amp;VLOOKUP(F18,인덱스!$C:$D,2,0))</f>
        <v/>
      </c>
      <c r="E18" s="201">
        <f>"20"&amp;B18</f>
        <v/>
      </c>
      <c r="F18" s="201">
        <f>C18&amp;"월"</f>
        <v/>
      </c>
      <c r="G18" s="37">
        <f>B18&amp;"."&amp;VLOOKUP(F18,인덱스!$A:$B,2,0)</f>
        <v/>
      </c>
      <c r="H18" s="256">
        <f>IFERROR(VLOOKUP(G18,#REF!,2,0),)</f>
        <v/>
      </c>
      <c r="I18" s="38">
        <f>IF(Q18="","",I17*(Q18/Q17))</f>
        <v/>
      </c>
      <c r="J18" s="38">
        <f>IF(R18="","",J17*(R18/R17))</f>
        <v/>
      </c>
      <c r="K18" s="39">
        <f>IF(S18="","",K17*(S18/S17))</f>
        <v/>
      </c>
      <c r="L18" s="39">
        <f>IF(U18="","",L17*(U18/U17))</f>
        <v/>
      </c>
      <c r="M18" s="39">
        <f>IF(V18="","",M17*(V18/V17))</f>
        <v/>
      </c>
      <c r="N18" s="201" t="n"/>
      <c r="O18" s="201" t="n"/>
      <c r="P18" s="201" t="n"/>
      <c r="Q18" s="8">
        <f>IFERROR(__xludf.DUMMYFUNCTION("iferror(index('지수RAW'!$V$7:$V$12040,MATCH($D18,'지수RAW'!$R$7:$R$12040,0)-1,1),GOOGLEFINANCE(Q$2))"),2195.44)</f>
        <v/>
      </c>
      <c r="R18" s="201">
        <f>IFERROR(__xludf.DUMMYFUNCTION("iferror(index('지수RAW'!$F$7:$F$12040,MATCH($D18,'지수RAW'!$B$7:$B$12040,0)-1,1),GOOGLEFINANCE(R$2))"),2784.49)</f>
        <v/>
      </c>
      <c r="S18" s="9">
        <f>IFERROR(__xludf.DUMMYFUNCTION("iferror(index('지수RAW'!$N$7:$N$12040,MATCH($D18,'지수RAW'!$J$7:$J$12040,0)-1,1),GOOGLEFINANCE(S$2))"),7532.53)</f>
        <v/>
      </c>
      <c r="T18" s="201" t="n"/>
      <c r="U18" s="252">
        <f t="array" ref="U18">IFERROR(INDEX(지수RAW!$AT$7:$AT$12040,MATCH($D18,지수RAW!$AP$7:$AP$12040,0)-1,1),지수RAW!$AU$4)</f>
        <v/>
      </c>
      <c r="V18" s="252">
        <f>IFERROR(__xludf.DUMMYFUNCTION("iferror(index('지수RAW'!$AL$7:$AL$12040,MATCH($D18,'지수RAW'!$AH$7:$AH$12040,0)-1,1),GOOGLEFINANCE(V$2))"),3801.876)</f>
        <v/>
      </c>
      <c r="W18" s="253">
        <f>IFERROR(__xludf.DUMMYFUNCTION("iferror(index('지수RAW'!$AD$7:$AD$12040,MATCH($D18,'지수RAW'!$Z$7:$Z$12040,0)-1,1),GOOGLEFINANCE(W$2))"),1124.22)</f>
        <v/>
      </c>
      <c r="X18" s="36">
        <f>$W18*R18</f>
        <v/>
      </c>
      <c r="Y18" s="36">
        <f>$W18*S18</f>
        <v/>
      </c>
      <c r="Z18" s="36">
        <f>$W18*U18</f>
        <v/>
      </c>
      <c r="AA18" s="36">
        <f>$W18*V18</f>
        <v/>
      </c>
      <c r="AB18" s="255" t="n"/>
      <c r="AC18" s="38">
        <f>IF(Q18="","",AC17*(W18/W17))</f>
        <v/>
      </c>
      <c r="AD18" s="38">
        <f>IF(R18="","",AD17*(X18/X17))</f>
        <v/>
      </c>
      <c r="AE18" s="38">
        <f>IF(S18="","",AE17*(Y18/Y17))</f>
        <v/>
      </c>
      <c r="AF18" s="38">
        <f>IF(U18="","",AF17*(Z18/Z17))</f>
        <v/>
      </c>
      <c r="AG18" s="38">
        <f>IF(V18="","",AG17*(AA18/AA17))</f>
        <v/>
      </c>
    </row>
    <row r="19" ht="12.75" customHeight="1" s="202">
      <c r="A19" s="201" t="n"/>
      <c r="B19" s="22">
        <f>IF(C18=12,B18+1,B18)</f>
        <v/>
      </c>
      <c r="C19" s="22">
        <f>IF(C18=12,1,C18+1)</f>
        <v/>
      </c>
      <c r="D19" s="22">
        <f>IF(F19="12월",(E19+1)&amp;VLOOKUP(F19,인덱스!$C:$D,2,0),E19&amp;VLOOKUP(F19,인덱스!$C:$D,2,0))</f>
        <v/>
      </c>
      <c r="E19" s="201">
        <f>"20"&amp;B19</f>
        <v/>
      </c>
      <c r="F19" s="201">
        <f>C19&amp;"월"</f>
        <v/>
      </c>
      <c r="G19" s="37">
        <f>B19&amp;"."&amp;VLOOKUP(F19,인덱스!$A:$B,2,0)</f>
        <v/>
      </c>
      <c r="H19" s="256">
        <f>IFERROR(VLOOKUP(G19,#REF!,2,0),)</f>
        <v/>
      </c>
      <c r="I19" s="38">
        <f>IF(Q19="","",I18*(Q19/Q18))</f>
        <v/>
      </c>
      <c r="J19" s="38">
        <f>IF(R19="","",J18*(R19/R18))</f>
        <v/>
      </c>
      <c r="K19" s="39">
        <f>IF(S19="","",K18*(S19/S18))</f>
        <v/>
      </c>
      <c r="L19" s="39">
        <f>IF(U19="","",L18*(U19/U18))</f>
        <v/>
      </c>
      <c r="M19" s="39">
        <f>IF(V19="","",M18*(V19/V18))</f>
        <v/>
      </c>
      <c r="N19" s="201" t="n"/>
      <c r="O19" s="201" t="n"/>
      <c r="P19" s="201" t="n"/>
      <c r="Q19" s="8">
        <f>IFERROR(__xludf.DUMMYFUNCTION("iferror(index('지수RAW'!$V$7:$V$12040,MATCH($D19,'지수RAW'!$R$7:$R$12040,0)-1,1),GOOGLEFINANCE(Q$2))"),2140.67)</f>
        <v/>
      </c>
      <c r="R19" s="201">
        <f>IFERROR(__xludf.DUMMYFUNCTION("iferror(index('지수RAW'!$F$7:$F$12040,MATCH($D19,'지수RAW'!$B$7:$B$12040,0)-1,1),GOOGLEFINANCE(R$2))"),2834.4)</f>
        <v/>
      </c>
      <c r="S19" s="9">
        <f>IFERROR(__xludf.DUMMYFUNCTION("iferror(index('지수RAW'!$N$7:$N$12040,MATCH($D19,'지수RAW'!$J$7:$J$12040,0)-1,1),GOOGLEFINANCE(S$2))"),7729.32)</f>
        <v/>
      </c>
      <c r="T19" s="201" t="n"/>
      <c r="U19" s="252">
        <f t="array" ref="U19">IFERROR(INDEX(지수RAW!$AT$7:$AT$12040,MATCH($D19,지수RAW!$AP$7:$AP$12040,0)-1,1),지수RAW!$AU$4)</f>
        <v/>
      </c>
      <c r="V19" s="252">
        <f>IFERROR(__xludf.DUMMYFUNCTION("iferror(index('지수RAW'!$AL$7:$AL$12040,MATCH($D19,'지수RAW'!$AH$7:$AH$12040,0)-1,1),GOOGLEFINANCE(V$2))"),4121.252)</f>
        <v/>
      </c>
      <c r="W19" s="253">
        <f>IFERROR(__xludf.DUMMYFUNCTION("iferror(index('지수RAW'!$AD$7:$AD$12040,MATCH($D19,'지수RAW'!$Z$7:$Z$12040,0)-1,1),GOOGLEFINANCE(W$2))"),1136.7)</f>
        <v/>
      </c>
      <c r="X19" s="36">
        <f>$W19*R19</f>
        <v/>
      </c>
      <c r="Y19" s="36">
        <f>$W19*S19</f>
        <v/>
      </c>
      <c r="Z19" s="36">
        <f>$W19*U19</f>
        <v/>
      </c>
      <c r="AA19" s="36">
        <f>$W19*V19</f>
        <v/>
      </c>
      <c r="AB19" s="255" t="n"/>
      <c r="AC19" s="38">
        <f>IF(Q19="","",AC18*(W19/W18))</f>
        <v/>
      </c>
      <c r="AD19" s="38">
        <f>IF(R19="","",AD18*(X19/X18))</f>
        <v/>
      </c>
      <c r="AE19" s="38">
        <f>IF(S19="","",AE18*(Y19/Y18))</f>
        <v/>
      </c>
      <c r="AF19" s="38">
        <f>IF(U19="","",AF18*(Z19/Z18))</f>
        <v/>
      </c>
      <c r="AG19" s="38">
        <f>IF(V19="","",AG18*(AA19/AA18))</f>
        <v/>
      </c>
    </row>
    <row r="20" ht="12.75" customHeight="1" s="202">
      <c r="A20" s="201" t="n"/>
      <c r="B20" s="22">
        <f>IF(C19=12,B19+1,B19)</f>
        <v/>
      </c>
      <c r="C20" s="22">
        <f>IF(C19=12,1,C19+1)</f>
        <v/>
      </c>
      <c r="D20" s="22">
        <f>IF(F20="12월",(E20+1)&amp;VLOOKUP(F20,인덱스!$C:$D,2,0),E20&amp;VLOOKUP(F20,인덱스!$C:$D,2,0))</f>
        <v/>
      </c>
      <c r="E20" s="201">
        <f>"20"&amp;B20</f>
        <v/>
      </c>
      <c r="F20" s="201">
        <f>C20&amp;"월"</f>
        <v/>
      </c>
      <c r="G20" s="37">
        <f>B20&amp;"."&amp;VLOOKUP(F20,인덱스!$A:$B,2,0)</f>
        <v/>
      </c>
      <c r="H20" s="256">
        <f>IFERROR(VLOOKUP(G20,#REF!,2,0),)</f>
        <v/>
      </c>
      <c r="I20" s="38">
        <f>IF(Q20="","",I19*(Q20/Q19))</f>
        <v/>
      </c>
      <c r="J20" s="38">
        <f>IF(R20="","",J19*(R20/R19))</f>
        <v/>
      </c>
      <c r="K20" s="39">
        <f>IF(S20="","",K19*(S20/S19))</f>
        <v/>
      </c>
      <c r="L20" s="39">
        <f>IF(U20="","",L19*(U20/U19))</f>
        <v/>
      </c>
      <c r="M20" s="39">
        <f>IF(V20="","",M19*(V20/V19))</f>
        <v/>
      </c>
      <c r="N20" s="201" t="n"/>
      <c r="O20" s="201" t="n"/>
      <c r="P20" s="201" t="n"/>
      <c r="Q20" s="8">
        <f>IFERROR(__xludf.DUMMYFUNCTION("iferror(index('지수RAW'!$V$7:$V$12040,MATCH($D20,'지수RAW'!$R$7:$R$12040,0)-1,1),GOOGLEFINANCE(Q$2))"),2203.59)</f>
        <v/>
      </c>
      <c r="R20" s="201">
        <f>IFERROR(__xludf.DUMMYFUNCTION("iferror(index('지수RAW'!$F$7:$F$12040,MATCH($D20,'지수RAW'!$B$7:$B$12040,0)-1,1),GOOGLEFINANCE(R$2))"),2945.83)</f>
        <v/>
      </c>
      <c r="S20" s="9">
        <f>IFERROR(__xludf.DUMMYFUNCTION("iferror(index('지수RAW'!$N$7:$N$12040,MATCH($D20,'지수RAW'!$J$7:$J$12040,0)-1,1),GOOGLEFINANCE(S$2))"),8095.39)</f>
        <v/>
      </c>
      <c r="T20" s="201" t="n"/>
      <c r="U20" s="252">
        <f t="array" ref="U20">IFERROR(INDEX(지수RAW!$AT$7:$AT$12040,MATCH($D20,지수RAW!$AP$7:$AP$12040,0)-1,1),지수RAW!$AU$4)</f>
        <v/>
      </c>
      <c r="V20" s="252">
        <f>IFERROR(__xludf.DUMMYFUNCTION("iferror(index('지수RAW'!$AL$7:$AL$12040,MATCH($D20,'지수RAW'!$AH$7:$AH$12040,0)-1,1),GOOGLEFINANCE(V$2))"),5286.545)</f>
        <v/>
      </c>
      <c r="W20" s="253">
        <f>IFERROR(__xludf.DUMMYFUNCTION("iferror(index('지수RAW'!$AD$7:$AD$12040,MATCH($D20,'지수RAW'!$Z$7:$Z$12040,0)-1,1),GOOGLEFINANCE(W$2))"),1163.26)</f>
        <v/>
      </c>
      <c r="X20" s="36">
        <f>$W20*R20</f>
        <v/>
      </c>
      <c r="Y20" s="36">
        <f>$W20*S20</f>
        <v/>
      </c>
      <c r="Z20" s="36">
        <f>$W20*U20</f>
        <v/>
      </c>
      <c r="AA20" s="36">
        <f>$W20*V20</f>
        <v/>
      </c>
      <c r="AB20" s="255" t="n"/>
      <c r="AC20" s="38">
        <f>IF(Q20="","",AC19*(W20/W19))</f>
        <v/>
      </c>
      <c r="AD20" s="38">
        <f>IF(R20="","",AD19*(X20/X19))</f>
        <v/>
      </c>
      <c r="AE20" s="38">
        <f>IF(S20="","",AE19*(Y20/Y19))</f>
        <v/>
      </c>
      <c r="AF20" s="38">
        <f>IF(U20="","",AF19*(Z20/Z19))</f>
        <v/>
      </c>
      <c r="AG20" s="38">
        <f>IF(V20="","",AG19*(AA20/AA19))</f>
        <v/>
      </c>
    </row>
    <row r="21" ht="12.75" customHeight="1" s="202">
      <c r="A21" s="201" t="n"/>
      <c r="B21" s="22">
        <f>IF(C20=12,B20+1,B20)</f>
        <v/>
      </c>
      <c r="C21" s="22">
        <f>IF(C20=12,1,C20+1)</f>
        <v/>
      </c>
      <c r="D21" s="22">
        <f>IF(F21="12월",(E21+1)&amp;VLOOKUP(F21,인덱스!$C:$D,2,0),E21&amp;VLOOKUP(F21,인덱스!$C:$D,2,0))</f>
        <v/>
      </c>
      <c r="E21" s="201">
        <f>"20"&amp;B21</f>
        <v/>
      </c>
      <c r="F21" s="201">
        <f>C21&amp;"월"</f>
        <v/>
      </c>
      <c r="G21" s="37">
        <f>B21&amp;"."&amp;VLOOKUP(F21,인덱스!$A:$B,2,0)</f>
        <v/>
      </c>
      <c r="H21" s="256">
        <f>IFERROR(VLOOKUP(G21,#REF!,2,0),)</f>
        <v/>
      </c>
      <c r="I21" s="38">
        <f>IF(Q21="","",I20*(Q21/Q20))</f>
        <v/>
      </c>
      <c r="J21" s="38">
        <f>IF(R21="","",J20*(R21/R20))</f>
        <v/>
      </c>
      <c r="K21" s="39">
        <f>IF(S21="","",K20*(S21/S20))</f>
        <v/>
      </c>
      <c r="L21" s="39">
        <f>IF(U21="","",L20*(U21/U20))</f>
        <v/>
      </c>
      <c r="M21" s="39">
        <f>IF(V21="","",M20*(V21/V20))</f>
        <v/>
      </c>
      <c r="N21" s="201" t="n"/>
      <c r="O21" s="201" t="n"/>
      <c r="P21" s="201" t="n"/>
      <c r="Q21" s="8">
        <f>IFERROR(__xludf.DUMMYFUNCTION("iferror(index('지수RAW'!$V$7:$V$12040,MATCH($D21,'지수RAW'!$R$7:$R$12040,0)-1,1),GOOGLEFINANCE(Q$2))"),2041.74)</f>
        <v/>
      </c>
      <c r="R21" s="201">
        <f>IFERROR(__xludf.DUMMYFUNCTION("iferror(index('지수RAW'!$F$7:$F$12040,MATCH($D21,'지수RAW'!$B$7:$B$12040,0)-1,1),GOOGLEFINANCE(R$2))"),2752.06)</f>
        <v/>
      </c>
      <c r="S21" s="9">
        <f>IFERROR(__xludf.DUMMYFUNCTION("iferror(index('지수RAW'!$N$7:$N$12040,MATCH($D21,'지수RAW'!$J$7:$J$12040,0)-1,1),GOOGLEFINANCE(S$2))"),7453.15)</f>
        <v/>
      </c>
      <c r="T21" s="201" t="n"/>
      <c r="U21" s="252">
        <f t="array" ref="U21">IFERROR(INDEX(지수RAW!$AT$7:$AT$12040,MATCH($D21,지수RAW!$AP$7:$AP$12040,0)-1,1),지수RAW!$AU$4)</f>
        <v/>
      </c>
      <c r="V21" s="252">
        <f>IFERROR(__xludf.DUMMYFUNCTION("iferror(index('지수RAW'!$AL$7:$AL$12040,MATCH($D21,'지수RAW'!$AH$7:$AH$12040,0)-1,1),GOOGLEFINANCE(V$2))"),8554.387)</f>
        <v/>
      </c>
      <c r="W21" s="253">
        <f>IFERROR(__xludf.DUMMYFUNCTION("iferror(index('지수RAW'!$AD$7:$AD$12040,MATCH($D21,'지수RAW'!$Z$7:$Z$12040,0)-1,1),GOOGLEFINANCE(W$2))"),1187.97)</f>
        <v/>
      </c>
      <c r="X21" s="36">
        <f>$W21*R21</f>
        <v/>
      </c>
      <c r="Y21" s="36">
        <f>$W21*S21</f>
        <v/>
      </c>
      <c r="Z21" s="36">
        <f>$W21*U21</f>
        <v/>
      </c>
      <c r="AA21" s="36">
        <f>$W21*V21</f>
        <v/>
      </c>
      <c r="AB21" s="255" t="n"/>
      <c r="AC21" s="38">
        <f>IF(Q21="","",AC20*(W21/W20))</f>
        <v/>
      </c>
      <c r="AD21" s="38">
        <f>IF(R21="","",AD20*(X21/X20))</f>
        <v/>
      </c>
      <c r="AE21" s="38">
        <f>IF(S21="","",AE20*(Y21/Y20))</f>
        <v/>
      </c>
      <c r="AF21" s="38">
        <f>IF(U21="","",AF20*(Z21/Z20))</f>
        <v/>
      </c>
      <c r="AG21" s="38">
        <f>IF(V21="","",AG20*(AA21/AA20))</f>
        <v/>
      </c>
    </row>
    <row r="22" ht="12.75" customHeight="1" s="202">
      <c r="A22" s="201" t="n"/>
      <c r="B22" s="22">
        <f>IF(C21=12,B21+1,B21)</f>
        <v/>
      </c>
      <c r="C22" s="22">
        <f>IF(C21=12,1,C21+1)</f>
        <v/>
      </c>
      <c r="D22" s="22">
        <f>IF(F22="12월",(E22+1)&amp;VLOOKUP(F22,인덱스!$C:$D,2,0),E22&amp;VLOOKUP(F22,인덱스!$C:$D,2,0))</f>
        <v/>
      </c>
      <c r="E22" s="201">
        <f>"20"&amp;B22</f>
        <v/>
      </c>
      <c r="F22" s="201">
        <f>C22&amp;"월"</f>
        <v/>
      </c>
      <c r="G22" s="37">
        <f>B22&amp;"."&amp;VLOOKUP(F22,인덱스!$A:$B,2,0)</f>
        <v/>
      </c>
      <c r="H22" s="256">
        <f>IFERROR(VLOOKUP(G22,#REF!,2,0),)</f>
        <v/>
      </c>
      <c r="I22" s="38">
        <f>IF(Q22="","",I21*(Q22/Q21))</f>
        <v/>
      </c>
      <c r="J22" s="38">
        <f>IF(R22="","",J21*(R22/R21))</f>
        <v/>
      </c>
      <c r="K22" s="39">
        <f>IF(S22="","",K21*(S22/S21))</f>
        <v/>
      </c>
      <c r="L22" s="39">
        <f>IF(U22="","",L21*(U22/U21))</f>
        <v/>
      </c>
      <c r="M22" s="39">
        <f>IF(V22="","",M21*(V22/V21))</f>
        <v/>
      </c>
      <c r="N22" s="201" t="n"/>
      <c r="O22" s="201" t="n"/>
      <c r="P22" s="201" t="n"/>
      <c r="Q22" s="8">
        <f>IFERROR(__xludf.DUMMYFUNCTION("iferror(index('지수RAW'!$V$7:$V$12040,MATCH($D22,'지수RAW'!$R$7:$R$12040,0)-1,1),GOOGLEFINANCE(Q$2))"),2130.62)</f>
        <v/>
      </c>
      <c r="R22" s="201">
        <f>IFERROR(__xludf.DUMMYFUNCTION("iferror(index('지수RAW'!$F$7:$F$12040,MATCH($D22,'지수RAW'!$B$7:$B$12040,0)-1,1),GOOGLEFINANCE(R$2))"),2941.76)</f>
        <v/>
      </c>
      <c r="S22" s="9">
        <f>IFERROR(__xludf.DUMMYFUNCTION("iferror(index('지수RAW'!$N$7:$N$12040,MATCH($D22,'지수RAW'!$J$7:$J$12040,0)-1,1),GOOGLEFINANCE(S$2))"),8006.24)</f>
        <v/>
      </c>
      <c r="T22" s="201" t="n"/>
      <c r="U22" s="252">
        <f t="array" ref="U22">IFERROR(INDEX(지수RAW!$AT$7:$AT$12040,MATCH($D22,지수RAW!$AP$7:$AP$12040,0)-1,1),지수RAW!$AU$4)</f>
        <v/>
      </c>
      <c r="V22" s="252">
        <f>IFERROR(__xludf.DUMMYFUNCTION("iferror(index('지수RAW'!$AL$7:$AL$12040,MATCH($D22,'지수RAW'!$AH$7:$AH$12040,0)-1,1),GOOGLEFINANCE(V$2))"),10769.18)</f>
        <v/>
      </c>
      <c r="W22" s="253">
        <f>IFERROR(__xludf.DUMMYFUNCTION("iferror(index('지수RAW'!$AD$7:$AD$12040,MATCH($D22,'지수RAW'!$Z$7:$Z$12040,0)-1,1),GOOGLEFINANCE(W$2))"),1155.6)</f>
        <v/>
      </c>
      <c r="X22" s="36">
        <f>$W22*R22</f>
        <v/>
      </c>
      <c r="Y22" s="36">
        <f>$W22*S22</f>
        <v/>
      </c>
      <c r="Z22" s="36">
        <f>$W22*U22</f>
        <v/>
      </c>
      <c r="AA22" s="36">
        <f>$W22*V22</f>
        <v/>
      </c>
      <c r="AB22" s="255" t="n"/>
      <c r="AC22" s="38">
        <f>IF(Q22="","",AC21*(W22/W21))</f>
        <v/>
      </c>
      <c r="AD22" s="38">
        <f>IF(R22="","",AD21*(X22/X21))</f>
        <v/>
      </c>
      <c r="AE22" s="38">
        <f>IF(S22="","",AE21*(Y22/Y21))</f>
        <v/>
      </c>
      <c r="AF22" s="38">
        <f>IF(U22="","",AF21*(Z22/Z21))</f>
        <v/>
      </c>
      <c r="AG22" s="38">
        <f>IF(V22="","",AG21*(AA22/AA21))</f>
        <v/>
      </c>
    </row>
    <row r="23" ht="12.75" customHeight="1" s="202">
      <c r="A23" s="201" t="n"/>
      <c r="B23" s="22">
        <f>IF(C22=12,B22+1,B22)</f>
        <v/>
      </c>
      <c r="C23" s="22">
        <f>IF(C22=12,1,C22+1)</f>
        <v/>
      </c>
      <c r="D23" s="22">
        <f>IF(F23="12월",(E23+1)&amp;VLOOKUP(F23,인덱스!$C:$D,2,0),E23&amp;VLOOKUP(F23,인덱스!$C:$D,2,0))</f>
        <v/>
      </c>
      <c r="E23" s="201">
        <f>"20"&amp;B23</f>
        <v/>
      </c>
      <c r="F23" s="201">
        <f>C23&amp;"월"</f>
        <v/>
      </c>
      <c r="G23" s="37">
        <f>B23&amp;"."&amp;VLOOKUP(F23,인덱스!$A:$B,2,0)</f>
        <v/>
      </c>
      <c r="H23" s="256">
        <f>IFERROR(VLOOKUP(G23,#REF!,2,0),)</f>
        <v/>
      </c>
      <c r="I23" s="38">
        <f>IF(Q23="","",I22*(Q23/Q22))</f>
        <v/>
      </c>
      <c r="J23" s="38">
        <f>IF(R23="","",J22*(R23/R22))</f>
        <v/>
      </c>
      <c r="K23" s="39">
        <f>IF(S23="","",K22*(S23/S22))</f>
        <v/>
      </c>
      <c r="L23" s="39">
        <f>IF(U23="","",L22*(U23/U22))</f>
        <v/>
      </c>
      <c r="M23" s="39">
        <f>IF(V23="","",M22*(V23/V22))</f>
        <v/>
      </c>
      <c r="N23" s="201" t="n"/>
      <c r="O23" s="201" t="n"/>
      <c r="P23" s="201" t="n"/>
      <c r="Q23" s="8">
        <f>IFERROR(__xludf.DUMMYFUNCTION("iferror(index('지수RAW'!$V$7:$V$12040,MATCH($D23,'지수RAW'!$R$7:$R$12040,0)-1,1),GOOGLEFINANCE(Q$2))"),2024.55)</f>
        <v/>
      </c>
      <c r="R23" s="201">
        <f>IFERROR(__xludf.DUMMYFUNCTION("iferror(index('지수RAW'!$F$7:$F$12040,MATCH($D23,'지수RAW'!$B$7:$B$12040,0)-1,1),GOOGLEFINANCE(R$2))"),2980.38)</f>
        <v/>
      </c>
      <c r="S23" s="9">
        <f>IFERROR(__xludf.DUMMYFUNCTION("iferror(index('지수RAW'!$N$7:$N$12040,MATCH($D23,'지수RAW'!$J$7:$J$12040,0)-1,1),GOOGLEFINANCE(S$2))"),8175.42)</f>
        <v/>
      </c>
      <c r="T23" s="201" t="n"/>
      <c r="U23" s="252">
        <f t="array" ref="U23">IFERROR(INDEX(지수RAW!$AT$7:$AT$12040,MATCH($D23,지수RAW!$AP$7:$AP$12040,0)-1,1),지수RAW!$AU$4)</f>
        <v/>
      </c>
      <c r="V23" s="252">
        <f>IFERROR(__xludf.DUMMYFUNCTION("iferror(index('지수RAW'!$AL$7:$AL$12040,MATCH($D23,'지수RAW'!$AH$7:$AH$12040,0)-1,1),GOOGLEFINANCE(V$2))"),10084.75)</f>
        <v/>
      </c>
      <c r="W23" s="253">
        <f>IFERROR(__xludf.DUMMYFUNCTION("iferror(index('지수RAW'!$AD$7:$AD$12040,MATCH($D23,'지수RAW'!$Z$7:$Z$12040,0)-1,1),GOOGLEFINANCE(W$2))"),1186.31)</f>
        <v/>
      </c>
      <c r="X23" s="36">
        <f>$W23*R23</f>
        <v/>
      </c>
      <c r="Y23" s="36">
        <f>$W23*S23</f>
        <v/>
      </c>
      <c r="Z23" s="36">
        <f>$W23*U23</f>
        <v/>
      </c>
      <c r="AA23" s="36">
        <f>$W23*V23</f>
        <v/>
      </c>
      <c r="AB23" s="255" t="n"/>
      <c r="AC23" s="38">
        <f>IF(Q23="","",AC22*(W23/W22))</f>
        <v/>
      </c>
      <c r="AD23" s="38">
        <f>IF(R23="","",AD22*(X23/X22))</f>
        <v/>
      </c>
      <c r="AE23" s="38">
        <f>IF(S23="","",AE22*(Y23/Y22))</f>
        <v/>
      </c>
      <c r="AF23" s="38">
        <f>IF(U23="","",AF22*(Z23/Z22))</f>
        <v/>
      </c>
      <c r="AG23" s="38">
        <f>IF(V23="","",AG22*(AA23/AA22))</f>
        <v/>
      </c>
    </row>
    <row r="24" ht="12.75" customHeight="1" s="202">
      <c r="A24" s="201" t="n"/>
      <c r="B24" s="22">
        <f>IF(C23=12,B23+1,B23)</f>
        <v/>
      </c>
      <c r="C24" s="22">
        <f>IF(C23=12,1,C23+1)</f>
        <v/>
      </c>
      <c r="D24" s="22">
        <f>IF(F24="12월",(E24+1)&amp;VLOOKUP(F24,인덱스!$C:$D,2,0),E24&amp;VLOOKUP(F24,인덱스!$C:$D,2,0))</f>
        <v/>
      </c>
      <c r="E24" s="201">
        <f>"20"&amp;B24</f>
        <v/>
      </c>
      <c r="F24" s="201">
        <f>C24&amp;"월"</f>
        <v/>
      </c>
      <c r="G24" s="37">
        <f>B24&amp;"."&amp;VLOOKUP(F24,인덱스!$A:$B,2,0)</f>
        <v/>
      </c>
      <c r="H24" s="256">
        <f>IFERROR(VLOOKUP(G24,#REF!,2,0),)</f>
        <v/>
      </c>
      <c r="I24" s="38">
        <f>IF(Q24="","",I23*(Q24/Q23))</f>
        <v/>
      </c>
      <c r="J24" s="38">
        <f>IF(R24="","",J23*(R24/R23))</f>
        <v/>
      </c>
      <c r="K24" s="39">
        <f>IF(S24="","",K23*(S24/S23))</f>
        <v/>
      </c>
      <c r="L24" s="39">
        <f>IF(U24="","",L23*(U24/U23))</f>
        <v/>
      </c>
      <c r="M24" s="39">
        <f>IF(V24="","",M23*(V24/V23))</f>
        <v/>
      </c>
      <c r="N24" s="201" t="n"/>
      <c r="O24" s="201" t="n"/>
      <c r="P24" s="201" t="n"/>
      <c r="Q24" s="8">
        <f>IFERROR(__xludf.DUMMYFUNCTION("iferror(index('지수RAW'!$V$7:$V$12040,MATCH($D24,'지수RAW'!$R$7:$R$12040,0)-1,1),GOOGLEFINANCE(Q$2))"),1967.79)</f>
        <v/>
      </c>
      <c r="R24" s="201">
        <f>IFERROR(__xludf.DUMMYFUNCTION("iferror(index('지수RAW'!$F$7:$F$12040,MATCH($D24,'지수RAW'!$B$7:$B$12040,0)-1,1),GOOGLEFINANCE(R$2))"),2926.46)</f>
        <v/>
      </c>
      <c r="S24" s="9">
        <f>IFERROR(__xludf.DUMMYFUNCTION("iferror(index('지수RAW'!$N$7:$N$12040,MATCH($D24,'지수RAW'!$J$7:$J$12040,0)-1,1),GOOGLEFINANCE(S$2))"),7962.88)</f>
        <v/>
      </c>
      <c r="T24" s="201" t="n"/>
      <c r="U24" s="252">
        <f t="array" ref="U24">IFERROR(INDEX(지수RAW!$AT$7:$AT$12040,MATCH($D24,지수RAW!$AP$7:$AP$12040,0)-1,1),지수RAW!$AU$4)</f>
        <v/>
      </c>
      <c r="V24" s="252">
        <f>IFERROR(__xludf.DUMMYFUNCTION("iferror(index('지수RAW'!$AL$7:$AL$12040,MATCH($D24,'지수RAW'!$AH$7:$AH$12040,0)-1,1),GOOGLEFINANCE(V$2))"),9619.062)</f>
        <v/>
      </c>
      <c r="W24" s="253">
        <f>IFERROR(__xludf.DUMMYFUNCTION("iferror(index('지수RAW'!$AD$7:$AD$12040,MATCH($D24,'지수RAW'!$Z$7:$Z$12040,0)-1,1),GOOGLEFINANCE(W$2))"),1209.51)</f>
        <v/>
      </c>
      <c r="X24" s="36">
        <f>$W24*R24</f>
        <v/>
      </c>
      <c r="Y24" s="36">
        <f>$W24*S24</f>
        <v/>
      </c>
      <c r="Z24" s="36">
        <f>$W24*U24</f>
        <v/>
      </c>
      <c r="AA24" s="36">
        <f>$W24*V24</f>
        <v/>
      </c>
      <c r="AB24" s="255" t="n"/>
      <c r="AC24" s="38">
        <f>IF(Q24="","",AC23*(W24/W23))</f>
        <v/>
      </c>
      <c r="AD24" s="38">
        <f>IF(R24="","",AD23*(X24/X23))</f>
        <v/>
      </c>
      <c r="AE24" s="38">
        <f>IF(S24="","",AE23*(Y24/Y23))</f>
        <v/>
      </c>
      <c r="AF24" s="38">
        <f>IF(U24="","",AF23*(Z24/Z23))</f>
        <v/>
      </c>
      <c r="AG24" s="38">
        <f>IF(V24="","",AG23*(AA24/AA23))</f>
        <v/>
      </c>
    </row>
    <row r="25" ht="12.75" customHeight="1" s="202">
      <c r="A25" s="201" t="n"/>
      <c r="B25" s="22">
        <f>IF(C24=12,B24+1,B24)</f>
        <v/>
      </c>
      <c r="C25" s="22">
        <f>IF(C24=12,1,C24+1)</f>
        <v/>
      </c>
      <c r="D25" s="22">
        <f>IF(F25="12월",(E25+1)&amp;VLOOKUP(F25,인덱스!$C:$D,2,0),E25&amp;VLOOKUP(F25,인덱스!$C:$D,2,0))</f>
        <v/>
      </c>
      <c r="E25" s="201">
        <f>"20"&amp;B25</f>
        <v/>
      </c>
      <c r="F25" s="201">
        <f>C25&amp;"월"</f>
        <v/>
      </c>
      <c r="G25" s="37">
        <f>B25&amp;"."&amp;VLOOKUP(F25,인덱스!$A:$B,2,0)</f>
        <v/>
      </c>
      <c r="H25" s="256">
        <f>IFERROR(VLOOKUP(G25,#REF!,2,0),)</f>
        <v/>
      </c>
      <c r="I25" s="38">
        <f>IF(Q25="","",I24*(Q25/Q24))</f>
        <v/>
      </c>
      <c r="J25" s="38">
        <f>IF(R25="","",J24*(R25/R24))</f>
        <v/>
      </c>
      <c r="K25" s="39">
        <f>IF(S25="","",K24*(S25/S24))</f>
        <v/>
      </c>
      <c r="L25" s="39">
        <f>IF(U25="","",L24*(U25/U24))</f>
        <v/>
      </c>
      <c r="M25" s="39">
        <f>IF(V25="","",M24*(V25/V24))</f>
        <v/>
      </c>
      <c r="N25" s="201" t="n"/>
      <c r="O25" s="201" t="n"/>
      <c r="P25" s="201" t="n"/>
      <c r="Q25" s="8">
        <f>IFERROR(__xludf.DUMMYFUNCTION("iferror(index('지수RAW'!$V$7:$V$12040,MATCH($D25,'지수RAW'!$R$7:$R$12040,0)-1,1),GOOGLEFINANCE(Q$2))"),2063.05)</f>
        <v/>
      </c>
      <c r="R25" s="201">
        <f>IFERROR(__xludf.DUMMYFUNCTION("iferror(index('지수RAW'!$F$7:$F$12040,MATCH($D25,'지수RAW'!$B$7:$B$12040,0)-1,1),GOOGLEFINANCE(R$2))"),2976.74)</f>
        <v/>
      </c>
      <c r="S25" s="9">
        <f>IFERROR(__xludf.DUMMYFUNCTION("iferror(index('지수RAW'!$N$7:$N$12040,MATCH($D25,'지수RAW'!$J$7:$J$12040,0)-1,1),GOOGLEFINANCE(S$2))"),7999.33)</f>
        <v/>
      </c>
      <c r="T25" s="201" t="n"/>
      <c r="U25" s="252">
        <f t="array" ref="U25">IFERROR(INDEX(지수RAW!$AT$7:$AT$12040,MATCH($D25,지수RAW!$AP$7:$AP$12040,0)-1,1),지수RAW!$AU$4)</f>
        <v/>
      </c>
      <c r="V25" s="252">
        <f>IFERROR(__xludf.DUMMYFUNCTION("iferror(index('지수RAW'!$AL$7:$AL$12040,MATCH($D25,'지수RAW'!$AH$7:$AH$12040,0)-1,1),GOOGLEFINANCE(V$2))"),8296.118)</f>
        <v/>
      </c>
      <c r="W25" s="253">
        <f>IFERROR(__xludf.DUMMYFUNCTION("iferror(index('지수RAW'!$AD$7:$AD$12040,MATCH($D25,'지수RAW'!$Z$7:$Z$12040,0)-1,1),GOOGLEFINANCE(W$2))"),1198)</f>
        <v/>
      </c>
      <c r="X25" s="36">
        <f>$W25*R25</f>
        <v/>
      </c>
      <c r="Y25" s="36">
        <f>$W25*S25</f>
        <v/>
      </c>
      <c r="Z25" s="36">
        <f>$W25*U25</f>
        <v/>
      </c>
      <c r="AA25" s="36">
        <f>$W25*V25</f>
        <v/>
      </c>
      <c r="AB25" s="255" t="n"/>
      <c r="AC25" s="38">
        <f>IF(Q25="","",AC24*(W25/W24))</f>
        <v/>
      </c>
      <c r="AD25" s="38">
        <f>IF(R25="","",AD24*(X25/X24))</f>
        <v/>
      </c>
      <c r="AE25" s="38">
        <f>IF(S25="","",AE24*(Y25/Y24))</f>
        <v/>
      </c>
      <c r="AF25" s="38">
        <f>IF(U25="","",AF24*(Z25/Z24))</f>
        <v/>
      </c>
      <c r="AG25" s="38">
        <f>IF(V25="","",AG24*(AA25/AA24))</f>
        <v/>
      </c>
    </row>
    <row r="26" ht="12.75" customHeight="1" s="202">
      <c r="A26" s="201" t="n"/>
      <c r="B26" s="22">
        <f>IF(C25=12,B25+1,B25)</f>
        <v/>
      </c>
      <c r="C26" s="22">
        <f>IF(C25=12,1,C25+1)</f>
        <v/>
      </c>
      <c r="D26" s="22">
        <f>IF(F26="12월",(E26+1)&amp;VLOOKUP(F26,인덱스!$C:$D,2,0),E26&amp;VLOOKUP(F26,인덱스!$C:$D,2,0))</f>
        <v/>
      </c>
      <c r="E26" s="201">
        <f>"20"&amp;B26</f>
        <v/>
      </c>
      <c r="F26" s="201">
        <f>C26&amp;"월"</f>
        <v/>
      </c>
      <c r="G26" s="37">
        <f>B26&amp;"."&amp;VLOOKUP(F26,인덱스!$A:$B,2,0)</f>
        <v/>
      </c>
      <c r="H26" s="256">
        <f>IFERROR(VLOOKUP(G26,#REF!,2,0),)</f>
        <v/>
      </c>
      <c r="I26" s="38">
        <f>IF(Q26="","",I25*(Q26/Q25))</f>
        <v/>
      </c>
      <c r="J26" s="38">
        <f>IF(R26="","",J25*(R26/R25))</f>
        <v/>
      </c>
      <c r="K26" s="39">
        <f>IF(S26="","",K25*(S26/S25))</f>
        <v/>
      </c>
      <c r="L26" s="39">
        <f>IF(U26="","",L25*(U26/U25))</f>
        <v/>
      </c>
      <c r="M26" s="39">
        <f>IF(V26="","",M25*(V26/V25))</f>
        <v/>
      </c>
      <c r="N26" s="201" t="n"/>
      <c r="O26" s="201" t="n"/>
      <c r="P26" s="201" t="n"/>
      <c r="Q26" s="8">
        <f>IFERROR(__xludf.DUMMYFUNCTION("iferror(index('지수RAW'!$V$7:$V$12040,MATCH($D26,'지수RAW'!$R$7:$R$12040,0)-1,1),GOOGLEFINANCE(Q$2))"),2083.48)</f>
        <v/>
      </c>
      <c r="R26" s="201">
        <f>IFERROR(__xludf.DUMMYFUNCTION("iferror(index('지수RAW'!$F$7:$F$12040,MATCH($D26,'지수RAW'!$B$7:$B$12040,0)-1,1),GOOGLEFINANCE(R$2))"),3046.77)</f>
        <v/>
      </c>
      <c r="S26" s="9">
        <f>IFERROR(__xludf.DUMMYFUNCTION("iferror(index('지수RAW'!$N$7:$N$12040,MATCH($D26,'지수RAW'!$J$7:$J$12040,0)-1,1),GOOGLEFINANCE(S$2))"),8292.36)</f>
        <v/>
      </c>
      <c r="T26" s="201" t="n"/>
      <c r="U26" s="252">
        <f t="array" ref="U26">IFERROR(INDEX(지수RAW!$AT$7:$AT$12040,MATCH($D26,지수RAW!$AP$7:$AP$12040,0)-1,1),지수RAW!$AU$4)</f>
        <v/>
      </c>
      <c r="V26" s="252">
        <f>IFERROR(__xludf.DUMMYFUNCTION("iferror(index('지수RAW'!$AL$7:$AL$12040,MATCH($D26,'지수RAW'!$AH$7:$AH$12040,0)-1,1),GOOGLEFINANCE(V$2))"),9159.36)</f>
        <v/>
      </c>
      <c r="W26" s="253">
        <f>IFERROR(__xludf.DUMMYFUNCTION("iferror(index('지수RAW'!$AD$7:$AD$12040,MATCH($D26,'지수RAW'!$Z$7:$Z$12040,0)-1,1),GOOGLEFINANCE(W$2))"),1168.55)</f>
        <v/>
      </c>
      <c r="X26" s="36">
        <f>$W26*R26</f>
        <v/>
      </c>
      <c r="Y26" s="36">
        <f>$W26*S26</f>
        <v/>
      </c>
      <c r="Z26" s="36">
        <f>$W26*U26</f>
        <v/>
      </c>
      <c r="AA26" s="36">
        <f>$W26*V26</f>
        <v/>
      </c>
      <c r="AB26" s="255" t="n"/>
      <c r="AC26" s="38">
        <f>IF(Q26="","",AC25*(W26/W25))</f>
        <v/>
      </c>
      <c r="AD26" s="38">
        <f>IF(R26="","",AD25*(X26/X25))</f>
        <v/>
      </c>
      <c r="AE26" s="38">
        <f>IF(S26="","",AE25*(Y26/Y25))</f>
        <v/>
      </c>
      <c r="AF26" s="38">
        <f>IF(U26="","",AF25*(Z26/Z25))</f>
        <v/>
      </c>
      <c r="AG26" s="38">
        <f>IF(V26="","",AG25*(AA26/AA25))</f>
        <v/>
      </c>
    </row>
    <row r="27" ht="12.75" customHeight="1" s="202">
      <c r="A27" s="201" t="n"/>
      <c r="B27" s="22">
        <f>IF(C26=12,B26+1,B26)</f>
        <v/>
      </c>
      <c r="C27" s="22">
        <f>IF(C26=12,1,C26+1)</f>
        <v/>
      </c>
      <c r="D27" s="22">
        <f>IF(F27="12월",(E27+1)&amp;VLOOKUP(F27,인덱스!$C:$D,2,0),E27&amp;VLOOKUP(F27,인덱스!$C:$D,2,0))</f>
        <v/>
      </c>
      <c r="E27" s="201">
        <f>"20"&amp;B27</f>
        <v/>
      </c>
      <c r="F27" s="201">
        <f>C27&amp;"월"</f>
        <v/>
      </c>
      <c r="G27" s="37">
        <f>B27&amp;"."&amp;VLOOKUP(F27,인덱스!$A:$B,2,0)</f>
        <v/>
      </c>
      <c r="H27" s="256">
        <f>IFERROR(VLOOKUP(G27,#REF!,2,0),)</f>
        <v/>
      </c>
      <c r="I27" s="38">
        <f>IF(Q27="","",I26*(Q27/Q26))</f>
        <v/>
      </c>
      <c r="J27" s="38">
        <f>IF(R27="","",J26*(R27/R26))</f>
        <v/>
      </c>
      <c r="K27" s="39">
        <f>IF(S27="","",K26*(S27/S26))</f>
        <v/>
      </c>
      <c r="L27" s="39">
        <f>IF(U27="","",L26*(U27/U26))</f>
        <v/>
      </c>
      <c r="M27" s="39">
        <f>IF(V27="","",M26*(V27/V26))</f>
        <v/>
      </c>
      <c r="N27" s="201" t="n"/>
      <c r="O27" s="201" t="n"/>
      <c r="P27" s="201" t="n"/>
      <c r="Q27" s="8">
        <f>IFERROR(__xludf.DUMMYFUNCTION("iferror(index('지수RAW'!$V$7:$V$12040,MATCH($D27,'지수RAW'!$R$7:$R$12040,0)-1,1),GOOGLEFINANCE(Q$2))"),2087.96)</f>
        <v/>
      </c>
      <c r="R27" s="201">
        <f>IFERROR(__xludf.DUMMYFUNCTION("iferror(index('지수RAW'!$F$7:$F$12040,MATCH($D27,'지수RAW'!$B$7:$B$12040,0)-1,1),GOOGLEFINANCE(R$2))"),3140.98)</f>
        <v/>
      </c>
      <c r="S27" s="9">
        <f>IFERROR(__xludf.DUMMYFUNCTION("iferror(index('지수RAW'!$N$7:$N$12040,MATCH($D27,'지수RAW'!$J$7:$J$12040,0)-1,1),GOOGLEFINANCE(S$2))"),8665.47)</f>
        <v/>
      </c>
      <c r="T27" s="201" t="n"/>
      <c r="U27" s="252">
        <f t="array" ref="U27">IFERROR(INDEX(지수RAW!$AT$7:$AT$12040,MATCH($D27,지수RAW!$AP$7:$AP$12040,0)-1,1),지수RAW!$AU$4)</f>
        <v/>
      </c>
      <c r="V27" s="252">
        <f>IFERROR(__xludf.DUMMYFUNCTION("iferror(index('지수RAW'!$AL$7:$AL$12040,MATCH($D27,'지수RAW'!$AH$7:$AH$12040,0)-1,1),GOOGLEFINANCE(V$2))"),7573.91)</f>
        <v/>
      </c>
      <c r="W27" s="253">
        <f>IFERROR(__xludf.DUMMYFUNCTION("iferror(index('지수RAW'!$AD$7:$AD$12040,MATCH($D27,'지수RAW'!$Z$7:$Z$12040,0)-1,1),GOOGLEFINANCE(W$2))"),1181.47)</f>
        <v/>
      </c>
      <c r="X27" s="36">
        <f>$W27*R27</f>
        <v/>
      </c>
      <c r="Y27" s="36">
        <f>$W27*S27</f>
        <v/>
      </c>
      <c r="Z27" s="36">
        <f>$W27*U27</f>
        <v/>
      </c>
      <c r="AA27" s="36">
        <f>$W27*V27</f>
        <v/>
      </c>
      <c r="AB27" s="255" t="n"/>
      <c r="AC27" s="38">
        <f>IF(Q27="","",AC26*(W27/W26))</f>
        <v/>
      </c>
      <c r="AD27" s="38">
        <f>IF(R27="","",AD26*(X27/X26))</f>
        <v/>
      </c>
      <c r="AE27" s="38">
        <f>IF(S27="","",AE26*(Y27/Y26))</f>
        <v/>
      </c>
      <c r="AF27" s="38">
        <f>IF(U27="","",AF26*(Z27/Z26))</f>
        <v/>
      </c>
      <c r="AG27" s="38">
        <f>IF(V27="","",AG26*(AA27/AA26))</f>
        <v/>
      </c>
    </row>
    <row r="28" ht="12.75" customHeight="1" s="202">
      <c r="A28" s="201" t="n"/>
      <c r="B28" s="22">
        <f>IF(C27=12,B27+1,B27)</f>
        <v/>
      </c>
      <c r="C28" s="22">
        <f>IF(C27=12,1,C27+1)</f>
        <v/>
      </c>
      <c r="D28" s="22">
        <f>IF(F28="12월",(E28+1)&amp;VLOOKUP(F28,인덱스!$C:$D,2,0),E28&amp;VLOOKUP(F28,인덱스!$C:$D,2,0))</f>
        <v/>
      </c>
      <c r="E28" s="201">
        <f>"20"&amp;B28</f>
        <v/>
      </c>
      <c r="F28" s="201">
        <f>C28&amp;"월"</f>
        <v/>
      </c>
      <c r="G28" s="37">
        <f>B28&amp;"."&amp;VLOOKUP(F28,인덱스!$A:$B,2,0)</f>
        <v/>
      </c>
      <c r="H28" s="256">
        <f>IFERROR(VLOOKUP(G28,#REF!,2,0),)</f>
        <v/>
      </c>
      <c r="I28" s="38">
        <f>IF(Q28="","",I27*(Q28/Q27))</f>
        <v/>
      </c>
      <c r="J28" s="38">
        <f>IF(R28="","",J27*(R28/R27))</f>
        <v/>
      </c>
      <c r="K28" s="39">
        <f>IF(S28="","",K27*(S28/S27))</f>
        <v/>
      </c>
      <c r="L28" s="39">
        <f>IF(U28="","",L27*(U28/U27))</f>
        <v/>
      </c>
      <c r="M28" s="39">
        <f>IF(V28="","",M27*(V28/V27))</f>
        <v/>
      </c>
      <c r="N28" s="201" t="n"/>
      <c r="O28" s="201" t="n"/>
      <c r="P28" s="201" t="n"/>
      <c r="Q28" s="8">
        <f>IFERROR(__xludf.DUMMYFUNCTION("iferror(index('지수RAW'!$V$7:$V$12040,MATCH($D28,'지수RAW'!$R$7:$R$12040,0)-1,1),GOOGLEFINANCE(Q$2))"),2197.67)</f>
        <v/>
      </c>
      <c r="R28" s="201">
        <f>IFERROR(__xludf.DUMMYFUNCTION("iferror(index('지수RAW'!$F$7:$F$12040,MATCH($D28,'지수RAW'!$B$7:$B$12040,0)-1,1),GOOGLEFINANCE(R$2))"),3221.29)</f>
        <v/>
      </c>
      <c r="S28" s="9">
        <f>IFERROR(__xludf.DUMMYFUNCTION("iferror(index('지수RAW'!$N$7:$N$12040,MATCH($D28,'지수RAW'!$J$7:$J$12040,0)-1,1),GOOGLEFINANCE(S$2))"),8972.6)</f>
        <v/>
      </c>
      <c r="T28" s="201" t="n"/>
      <c r="U28" s="252">
        <f t="array" ref="U28">IFERROR(INDEX(지수RAW!$AT$7:$AT$12040,MATCH($D28,지수RAW!$AP$7:$AP$12040,0)-1,1),지수RAW!$AU$4)</f>
        <v/>
      </c>
      <c r="V28" s="252">
        <f>IFERROR(__xludf.DUMMYFUNCTION("iferror(index('지수RAW'!$AL$7:$AL$12040,MATCH($D28,'지수RAW'!$AH$7:$AH$12040,0)-1,1),GOOGLEFINANCE(V$2))"),7174.535)</f>
        <v/>
      </c>
      <c r="W28" s="253">
        <f>IFERROR(__xludf.DUMMYFUNCTION("iferror(index('지수RAW'!$AD$7:$AD$12040,MATCH($D28,'지수RAW'!$Z$7:$Z$12040,0)-1,1),GOOGLEFINANCE(W$2))"),1153.75)</f>
        <v/>
      </c>
      <c r="X28" s="36">
        <f>$W28*R28</f>
        <v/>
      </c>
      <c r="Y28" s="36">
        <f>$W28*S28</f>
        <v/>
      </c>
      <c r="Z28" s="36">
        <f>$W28*U28</f>
        <v/>
      </c>
      <c r="AA28" s="36">
        <f>$W28*V28</f>
        <v/>
      </c>
      <c r="AB28" s="255" t="n"/>
      <c r="AC28" s="38">
        <f>IF(Q28="","",AC27*(W28/W27))</f>
        <v/>
      </c>
      <c r="AD28" s="38">
        <f>IF(R28="","",AD27*(X28/X27))</f>
        <v/>
      </c>
      <c r="AE28" s="38">
        <f>IF(S28="","",AE27*(Y28/Y27))</f>
        <v/>
      </c>
      <c r="AF28" s="38">
        <f>IF(U28="","",AF27*(Z28/Z27))</f>
        <v/>
      </c>
      <c r="AG28" s="38">
        <f>IF(V28="","",AG27*(AA28/AA27))</f>
        <v/>
      </c>
    </row>
    <row r="29" ht="12.75" customHeight="1" s="202">
      <c r="A29" s="201" t="n"/>
      <c r="B29" s="22">
        <f>IF(C28=12,B28+1,B28)</f>
        <v/>
      </c>
      <c r="C29" s="22">
        <f>IF(C28=12,1,C28+1)</f>
        <v/>
      </c>
      <c r="D29" s="22">
        <f>IF(F29="12월",(E29+1)&amp;VLOOKUP(F29,인덱스!$C:$D,2,0),E29&amp;VLOOKUP(F29,인덱스!$C:$D,2,0))</f>
        <v/>
      </c>
      <c r="E29" s="201">
        <f>"20"&amp;B29</f>
        <v/>
      </c>
      <c r="F29" s="201">
        <f>C29&amp;"월"</f>
        <v/>
      </c>
      <c r="G29" s="40">
        <f>B29&amp;"."&amp;VLOOKUP(F29,인덱스!$A:$B,2,0)</f>
        <v/>
      </c>
      <c r="H29" s="257">
        <f>IFERROR(VLOOKUP(G29,#REF!,2,0),)</f>
        <v/>
      </c>
      <c r="I29" s="42">
        <f>IF(Q29="","",I28*(Q29/Q28))</f>
        <v/>
      </c>
      <c r="J29" s="42">
        <f>IF(R29="","",J28*(R29/R28))</f>
        <v/>
      </c>
      <c r="K29" s="43">
        <f>IF(S29="","",K28*(S29/S28))</f>
        <v/>
      </c>
      <c r="L29" s="43">
        <f>IF(U29="","",L28*(U29/U28))</f>
        <v/>
      </c>
      <c r="M29" s="43">
        <f>IF(V29="","",M28*(V29/V28))</f>
        <v/>
      </c>
      <c r="N29" s="201" t="n"/>
      <c r="O29" s="201" t="n"/>
      <c r="P29" s="201" t="n"/>
      <c r="Q29" s="8">
        <f>IFERROR(__xludf.DUMMYFUNCTION("iferror(index('지수RAW'!$V$7:$V$12040,MATCH($D29,'지수RAW'!$R$7:$R$12040,0)-1,1),GOOGLEFINANCE(Q$2))"),2119.01)</f>
        <v/>
      </c>
      <c r="R29" s="201">
        <f>IFERROR(__xludf.DUMMYFUNCTION("iferror(index('지수RAW'!$F$7:$F$12040,MATCH($D29,'지수RAW'!$B$7:$B$12040,0)-1,1),GOOGLEFINANCE(R$2))"),3225.52)</f>
        <v/>
      </c>
      <c r="S29" s="9">
        <f>IFERROR(__xludf.DUMMYFUNCTION("iferror(index('지수RAW'!$N$7:$N$12040,MATCH($D29,'지수RAW'!$J$7:$J$12040,0)-1,1),GOOGLEFINANCE(S$2))"),9150.94)</f>
        <v/>
      </c>
      <c r="T29" s="201" t="n"/>
      <c r="U29" s="252">
        <f t="array" ref="U29">IFERROR(INDEX(지수RAW!$AT$7:$AT$12040,MATCH($D29,지수RAW!$AP$7:$AP$12040,0)-1,1),지수RAW!$AU$4)</f>
        <v/>
      </c>
      <c r="V29" s="252">
        <f>IFERROR(__xludf.DUMMYFUNCTION("iferror(index('지수RAW'!$AL$7:$AL$12040,MATCH($D29,'지수RAW'!$AH$7:$AH$12040,0)-1,1),GOOGLEFINANCE(V$2))"),9338.332)</f>
        <v/>
      </c>
      <c r="W29" s="253">
        <f>IFERROR(__xludf.DUMMYFUNCTION("iferror(index('지수RAW'!$AD$7:$AD$12040,MATCH($D29,'지수RAW'!$Z$7:$Z$12040,0)-1,1),GOOGLEFINANCE(W$2))"),1194.87)</f>
        <v/>
      </c>
      <c r="X29" s="36">
        <f>$W29*R29</f>
        <v/>
      </c>
      <c r="Y29" s="36">
        <f>$W29*S29</f>
        <v/>
      </c>
      <c r="Z29" s="36">
        <f>$W29*U29</f>
        <v/>
      </c>
      <c r="AA29" s="36">
        <f>$W29*V29</f>
        <v/>
      </c>
      <c r="AB29" s="255" t="n"/>
      <c r="AC29" s="42">
        <f>IF(Q29="","",AC28*(W29/W28))</f>
        <v/>
      </c>
      <c r="AD29" s="42">
        <f>IF(R29="","",AD28*(X29/X28))</f>
        <v/>
      </c>
      <c r="AE29" s="42">
        <f>IF(S29="","",AE28*(Y29/Y28))</f>
        <v/>
      </c>
      <c r="AF29" s="42">
        <f>IF(U29="","",AF28*(Z29/Z28))</f>
        <v/>
      </c>
      <c r="AG29" s="42">
        <f>IF(V29="","",AG28*(AA29/AA28))</f>
        <v/>
      </c>
    </row>
    <row r="30" ht="12.75" customHeight="1" s="202">
      <c r="A30" s="201" t="n"/>
      <c r="B30" s="22">
        <f>IF(C29=12,B29+1,B29)</f>
        <v/>
      </c>
      <c r="C30" s="22">
        <f>IF(C29=12,1,C29+1)</f>
        <v/>
      </c>
      <c r="D30" s="22">
        <f>IF(F30="12월",(E30+1)&amp;VLOOKUP(F30,인덱스!$C:$D,2,0),E30&amp;VLOOKUP(F30,인덱스!$C:$D,2,0))</f>
        <v/>
      </c>
      <c r="E30" s="201">
        <f>"20"&amp;B30</f>
        <v/>
      </c>
      <c r="F30" s="201">
        <f>C30&amp;"월"</f>
        <v/>
      </c>
      <c r="G30" s="37">
        <f>B30&amp;"."&amp;VLOOKUP(F30,인덱스!$A:$B,2,0)</f>
        <v/>
      </c>
      <c r="H30" s="256">
        <f>IFERROR(VLOOKUP(G30,#REF!,2,0),)</f>
        <v/>
      </c>
      <c r="I30" s="38">
        <f>IF(Q30="","",I29*(Q30/Q29))</f>
        <v/>
      </c>
      <c r="J30" s="38">
        <f>IF(R30="","",J29*(R30/R29))</f>
        <v/>
      </c>
      <c r="K30" s="39">
        <f>IF(S30="","",K29*(S30/S29))</f>
        <v/>
      </c>
      <c r="L30" s="39">
        <f>IF(U30="","",L29*(U30/U29))</f>
        <v/>
      </c>
      <c r="M30" s="39">
        <f>IF(V30="","",M29*(V30/V29))</f>
        <v/>
      </c>
      <c r="N30" s="201" t="n"/>
      <c r="O30" s="201" t="n"/>
      <c r="P30" s="201" t="n"/>
      <c r="Q30" s="8">
        <f>IFERROR(__xludf.DUMMYFUNCTION("iferror(index('지수RAW'!$V$7:$V$12040,MATCH($D30,'지수RAW'!$R$7:$R$12040,0)-1,1),GOOGLEFINANCE(Q$2))"),1987.01)</f>
        <v/>
      </c>
      <c r="R30" s="201">
        <f>IFERROR(__xludf.DUMMYFUNCTION("iferror(index('지수RAW'!$F$7:$F$12040,MATCH($D30,'지수RAW'!$B$7:$B$12040,0)-1,1),GOOGLEFINANCE(R$2))"),2954.22)</f>
        <v/>
      </c>
      <c r="S30" s="9">
        <f>IFERROR(__xludf.DUMMYFUNCTION("iferror(index('지수RAW'!$N$7:$N$12040,MATCH($D30,'지수RAW'!$J$7:$J$12040,0)-1,1),GOOGLEFINANCE(S$2))"),8567.37)</f>
        <v/>
      </c>
      <c r="T30" s="201" t="n"/>
      <c r="U30" s="252">
        <f t="array" ref="U30">IFERROR(INDEX(지수RAW!$AT$7:$AT$12040,MATCH($D30,지수RAW!$AP$7:$AP$12040,0)-1,1),지수RAW!$AU$4)</f>
        <v/>
      </c>
      <c r="V30" s="252">
        <f>IFERROR(__xludf.DUMMYFUNCTION("iferror(index('지수RAW'!$AL$7:$AL$12040,MATCH($D30,'지수RAW'!$AH$7:$AH$12040,0)-1,1),GOOGLEFINANCE(V$2))"),8531.393)</f>
        <v/>
      </c>
      <c r="W30" s="253">
        <f>IFERROR(__xludf.DUMMYFUNCTION("iferror(index('지수RAW'!$AD$7:$AD$12040,MATCH($D30,'지수RAW'!$Z$7:$Z$12040,0)-1,1),GOOGLEFINANCE(W$2))"),1200.1)</f>
        <v/>
      </c>
      <c r="X30" s="36">
        <f>$W30*R30</f>
        <v/>
      </c>
      <c r="Y30" s="36">
        <f>$W30*S30</f>
        <v/>
      </c>
      <c r="Z30" s="36">
        <f>$W30*U30</f>
        <v/>
      </c>
      <c r="AA30" s="36">
        <f>$W30*V30</f>
        <v/>
      </c>
      <c r="AB30" s="255" t="n"/>
      <c r="AC30" s="38">
        <f>IF(Q30="","",AC29*(W30/W29))</f>
        <v/>
      </c>
      <c r="AD30" s="38">
        <f>IF(R30="","",AD29*(X30/X29))</f>
        <v/>
      </c>
      <c r="AE30" s="38">
        <f>IF(S30="","",AE29*(Y30/Y29))</f>
        <v/>
      </c>
      <c r="AF30" s="38">
        <f>IF(U30="","",AF29*(Z30/Z29))</f>
        <v/>
      </c>
      <c r="AG30" s="38">
        <f>IF(V30="","",AG29*(AA30/AA29))</f>
        <v/>
      </c>
    </row>
    <row r="31" ht="12.75" customHeight="1" s="202">
      <c r="A31" s="201" t="n"/>
      <c r="B31" s="22">
        <f>IF(C30=12,B30+1,B30)</f>
        <v/>
      </c>
      <c r="C31" s="22">
        <f>IF(C30=12,1,C30+1)</f>
        <v/>
      </c>
      <c r="D31" s="22">
        <f>IF(F31="12월",(E31+1)&amp;VLOOKUP(F31,인덱스!$C:$D,2,0),E31&amp;VLOOKUP(F31,인덱스!$C:$D,2,0))</f>
        <v/>
      </c>
      <c r="E31" s="201">
        <f>"20"&amp;B31</f>
        <v/>
      </c>
      <c r="F31" s="201">
        <f>C31&amp;"월"</f>
        <v/>
      </c>
      <c r="G31" s="37">
        <f>B31&amp;"."&amp;VLOOKUP(F31,인덱스!$A:$B,2,0)</f>
        <v/>
      </c>
      <c r="H31" s="256">
        <f>IFERROR(VLOOKUP(G31,#REF!,2,0),)</f>
        <v/>
      </c>
      <c r="I31" s="38">
        <f>IF(Q31="","",I30*(Q31/Q30))</f>
        <v/>
      </c>
      <c r="J31" s="38">
        <f>IF(R31="","",J30*(R31/R30))</f>
        <v/>
      </c>
      <c r="K31" s="39">
        <f>IF(S31="","",K30*(S31/S30))</f>
        <v/>
      </c>
      <c r="L31" s="39">
        <f>IF(U31="","",L30*(U31/U30))</f>
        <v/>
      </c>
      <c r="M31" s="39">
        <f>IF(V31="","",M30*(V31/V30))</f>
        <v/>
      </c>
      <c r="N31" s="201" t="n"/>
      <c r="O31" s="201" t="n"/>
      <c r="P31" s="201" t="n"/>
      <c r="Q31" s="8">
        <f>IFERROR(__xludf.DUMMYFUNCTION("iferror(index('지수RAW'!$V$7:$V$12040,MATCH($D31,'지수RAW'!$R$7:$R$12040,0)-1,1),GOOGLEFINANCE(Q$2))"),1754.64)</f>
        <v/>
      </c>
      <c r="R31" s="201">
        <f>IFERROR(__xludf.DUMMYFUNCTION("iferror(index('지수RAW'!$F$7:$F$12040,MATCH($D31,'지수RAW'!$B$7:$B$12040,0)-1,1),GOOGLEFINANCE(R$2))"),2584.59)</f>
        <v/>
      </c>
      <c r="S31" s="9">
        <f>IFERROR(__xludf.DUMMYFUNCTION("iferror(index('지수RAW'!$N$7:$N$12040,MATCH($D31,'지수RAW'!$J$7:$J$12040,0)-1,1),GOOGLEFINANCE(S$2))"),7700.1)</f>
        <v/>
      </c>
      <c r="T31" s="201" t="n"/>
      <c r="U31" s="252">
        <f t="array" ref="U31">IFERROR(INDEX(지수RAW!$AT$7:$AT$12040,MATCH($D31,지수RAW!$AP$7:$AP$12040,0)-1,1),지수RAW!$AU$4)</f>
        <v/>
      </c>
      <c r="V31" s="252">
        <f>IFERROR(__xludf.DUMMYFUNCTION("iferror(index('지수RAW'!$AL$7:$AL$12040,MATCH($D31,'지수RAW'!$AH$7:$AH$12040,0)-1,1),GOOGLEFINANCE(V$2))"),6422.229)</f>
        <v/>
      </c>
      <c r="W31" s="253">
        <f>IFERROR(__xludf.DUMMYFUNCTION("iferror(index('지수RAW'!$AD$7:$AD$12040,MATCH($D31,'지수RAW'!$Z$7:$Z$12040,0)-1,1),GOOGLEFINANCE(W$2))"),1216.66)</f>
        <v/>
      </c>
      <c r="X31" s="36">
        <f>$W31*R31</f>
        <v/>
      </c>
      <c r="Y31" s="36">
        <f>$W31*S31</f>
        <v/>
      </c>
      <c r="Z31" s="36">
        <f>$W31*U31</f>
        <v/>
      </c>
      <c r="AA31" s="36">
        <f>$W31*V31</f>
        <v/>
      </c>
      <c r="AB31" s="255" t="n"/>
      <c r="AC31" s="38">
        <f>IF(Q31="","",AC30*(W31/W30))</f>
        <v/>
      </c>
      <c r="AD31" s="38">
        <f>IF(R31="","",AD30*(X31/X30))</f>
        <v/>
      </c>
      <c r="AE31" s="38">
        <f>IF(S31="","",AE30*(Y31/Y30))</f>
        <v/>
      </c>
      <c r="AF31" s="38">
        <f>IF(U31="","",AF30*(Z31/Z30))</f>
        <v/>
      </c>
      <c r="AG31" s="38">
        <f>IF(V31="","",AG30*(AA31/AA30))</f>
        <v/>
      </c>
    </row>
    <row r="32" ht="12.75" customHeight="1" s="202">
      <c r="A32" s="201" t="n"/>
      <c r="B32" s="22">
        <f>IF(C31=12,B31+1,B31)</f>
        <v/>
      </c>
      <c r="C32" s="22">
        <f>IF(C31=12,1,C31+1)</f>
        <v/>
      </c>
      <c r="D32" s="22">
        <f>IF(F32="12월",(E32+1)&amp;VLOOKUP(F32,인덱스!$C:$D,2,0),E32&amp;VLOOKUP(F32,인덱스!$C:$D,2,0))</f>
        <v/>
      </c>
      <c r="E32" s="201">
        <f>"20"&amp;B32</f>
        <v/>
      </c>
      <c r="F32" s="201">
        <f>C32&amp;"월"</f>
        <v/>
      </c>
      <c r="G32" s="37">
        <f>B32&amp;"."&amp;VLOOKUP(F32,인덱스!$A:$B,2,0)</f>
        <v/>
      </c>
      <c r="H32" s="256">
        <f>IFERROR(VLOOKUP(G32,#REF!,2,0),)</f>
        <v/>
      </c>
      <c r="I32" s="38">
        <f>IF(Q32="","",I31*(Q32/Q31))</f>
        <v/>
      </c>
      <c r="J32" s="38">
        <f>IF(R32="","",J31*(R32/R31))</f>
        <v/>
      </c>
      <c r="K32" s="39">
        <f>IF(S32="","",K31*(S32/S31))</f>
        <v/>
      </c>
      <c r="L32" s="39">
        <f>IF(U32="","",L31*(U32/U31))</f>
        <v/>
      </c>
      <c r="M32" s="39">
        <f>IF(V32="","",M31*(V32/V31))</f>
        <v/>
      </c>
      <c r="N32" s="201" t="n"/>
      <c r="O32" s="201" t="n"/>
      <c r="P32" s="201" t="n"/>
      <c r="Q32" s="8">
        <f>IFERROR(__xludf.DUMMYFUNCTION("iferror(index('지수RAW'!$V$7:$V$12040,MATCH($D32,'지수RAW'!$R$7:$R$12040,0)-1,1),GOOGLEFINANCE(Q$2))"),1947.56)</f>
        <v/>
      </c>
      <c r="R32" s="201">
        <f>IFERROR(__xludf.DUMMYFUNCTION("iferror(index('지수RAW'!$F$7:$F$12040,MATCH($D32,'지수RAW'!$B$7:$B$12040,0)-1,1),GOOGLEFINANCE(R$2))"),2912.43)</f>
        <v/>
      </c>
      <c r="S32" s="9">
        <f>IFERROR(__xludf.DUMMYFUNCTION("iferror(index('지수RAW'!$N$7:$N$12040,MATCH($D32,'지수RAW'!$J$7:$J$12040,0)-1,1),GOOGLEFINANCE(S$2))"),8889.55)</f>
        <v/>
      </c>
      <c r="T32" s="201" t="n"/>
      <c r="U32" s="252">
        <f t="array" ref="U32">IFERROR(INDEX(지수RAW!$AT$7:$AT$12040,MATCH($D32,지수RAW!$AP$7:$AP$12040,0)-1,1),지수RAW!$AU$4)</f>
        <v/>
      </c>
      <c r="V32" s="252">
        <f>IFERROR(__xludf.DUMMYFUNCTION("iferror(index('지수RAW'!$AL$7:$AL$12040,MATCH($D32,'지수RAW'!$AH$7:$AH$12040,0)-1,1),GOOGLEFINANCE(V$2))"),8631.604)</f>
        <v/>
      </c>
      <c r="W32" s="253">
        <f>IFERROR(__xludf.DUMMYFUNCTION("iferror(index('지수RAW'!$AD$7:$AD$12040,MATCH($D32,'지수RAW'!$Z$7:$Z$12040,0)-1,1),GOOGLEFINANCE(W$2))"),1212.96)</f>
        <v/>
      </c>
      <c r="X32" s="36">
        <f>$W32*R32</f>
        <v/>
      </c>
      <c r="Y32" s="36">
        <f>$W32*S32</f>
        <v/>
      </c>
      <c r="Z32" s="36">
        <f>$W32*U32</f>
        <v/>
      </c>
      <c r="AA32" s="36">
        <f>$W32*V32</f>
        <v/>
      </c>
      <c r="AB32" s="255" t="n"/>
      <c r="AC32" s="38">
        <f>IF(Q32="","",AC31*(W32/W31))</f>
        <v/>
      </c>
      <c r="AD32" s="38">
        <f>IF(R32="","",AD31*(X32/X31))</f>
        <v/>
      </c>
      <c r="AE32" s="38">
        <f>IF(S32="","",AE31*(Y32/Y31))</f>
        <v/>
      </c>
      <c r="AF32" s="38">
        <f>IF(U32="","",AF31*(Z32/Z31))</f>
        <v/>
      </c>
      <c r="AG32" s="38">
        <f>IF(V32="","",AG31*(AA32/AA31))</f>
        <v/>
      </c>
    </row>
    <row r="33" ht="12.75" customHeight="1" s="202">
      <c r="A33" s="201" t="n"/>
      <c r="B33" s="22">
        <f>IF(C32=12,B32+1,B32)</f>
        <v/>
      </c>
      <c r="C33" s="22">
        <f>IF(C32=12,1,C32+1)</f>
        <v/>
      </c>
      <c r="D33" s="22">
        <f>IF(F33="12월",(E33+1)&amp;VLOOKUP(F33,인덱스!$C:$D,2,0),E33&amp;VLOOKUP(F33,인덱스!$C:$D,2,0))</f>
        <v/>
      </c>
      <c r="E33" s="201">
        <f>"20"&amp;B33</f>
        <v/>
      </c>
      <c r="F33" s="201">
        <f>C33&amp;"월"</f>
        <v/>
      </c>
      <c r="G33" s="37">
        <f>B33&amp;"."&amp;VLOOKUP(F33,인덱스!$A:$B,2,0)</f>
        <v/>
      </c>
      <c r="H33" s="256">
        <f>IFERROR(VLOOKUP(G33,#REF!,2,0),)</f>
        <v/>
      </c>
      <c r="I33" s="38">
        <f>IF(Q33="","",I32*(Q33/Q32))</f>
        <v/>
      </c>
      <c r="J33" s="38">
        <f>IF(R33="","",J32*(R33/R32))</f>
        <v/>
      </c>
      <c r="K33" s="39">
        <f>IF(S33="","",K32*(S33/S32))</f>
        <v/>
      </c>
      <c r="L33" s="39">
        <f>IF(U33="","",L32*(U33/U32))</f>
        <v/>
      </c>
      <c r="M33" s="39">
        <f>IF(V33="","",M32*(V33/V32))</f>
        <v/>
      </c>
      <c r="N33" s="201" t="n"/>
      <c r="O33" s="201" t="n"/>
      <c r="P33" s="201" t="n"/>
      <c r="Q33" s="8">
        <f>IFERROR(__xludf.DUMMYFUNCTION("iferror(index('지수RAW'!$V$7:$V$12040,MATCH($D33,'지수RAW'!$R$7:$R$12040,0)-1,1),GOOGLEFINANCE(Q$2))"),2029.6)</f>
        <v/>
      </c>
      <c r="R33" s="201">
        <f>IFERROR(__xludf.DUMMYFUNCTION("iferror(index('지수RAW'!$F$7:$F$12040,MATCH($D33,'지수RAW'!$B$7:$B$12040,0)-1,1),GOOGLEFINANCE(R$2))"),3044.31)</f>
        <v/>
      </c>
      <c r="S33" s="9">
        <f>IFERROR(__xludf.DUMMYFUNCTION("iferror(index('지수RAW'!$N$7:$N$12040,MATCH($D33,'지수RAW'!$J$7:$J$12040,0)-1,1),GOOGLEFINANCE(S$2))"),9489.87)</f>
        <v/>
      </c>
      <c r="T33" s="201" t="n"/>
      <c r="U33" s="252">
        <f t="array" ref="U33">IFERROR(INDEX(지수RAW!$AT$7:$AT$12040,MATCH($D33,지수RAW!$AP$7:$AP$12040,0)-1,1),지수RAW!$AU$4)</f>
        <v/>
      </c>
      <c r="V33" s="252">
        <f>IFERROR(__xludf.DUMMYFUNCTION("iferror(index('지수RAW'!$AL$7:$AL$12040,MATCH($D33,'지수RAW'!$AH$7:$AH$12040,0)-1,1),GOOGLEFINANCE(V$2))"),9447.014)</f>
        <v/>
      </c>
      <c r="W33" s="253">
        <f>IFERROR(__xludf.DUMMYFUNCTION("iferror(index('지수RAW'!$AD$7:$AD$12040,MATCH($D33,'지수RAW'!$Z$7:$Z$12040,0)-1,1),GOOGLEFINANCE(W$2))"),1230.47)</f>
        <v/>
      </c>
      <c r="X33" s="36">
        <f>$W33*R33</f>
        <v/>
      </c>
      <c r="Y33" s="36">
        <f>$W33*S33</f>
        <v/>
      </c>
      <c r="Z33" s="36">
        <f>$W33*U33</f>
        <v/>
      </c>
      <c r="AA33" s="36">
        <f>$W33*V33</f>
        <v/>
      </c>
      <c r="AB33" s="255" t="n"/>
      <c r="AC33" s="38">
        <f>IF(Q33="","",AC32*(W33/W32))</f>
        <v/>
      </c>
      <c r="AD33" s="38">
        <f>IF(R33="","",AD32*(X33/X32))</f>
        <v/>
      </c>
      <c r="AE33" s="38">
        <f>IF(S33="","",AE32*(Y33/Y32))</f>
        <v/>
      </c>
      <c r="AF33" s="38">
        <f>IF(U33="","",AF32*(Z33/Z32))</f>
        <v/>
      </c>
      <c r="AG33" s="38">
        <f>IF(V33="","",AG32*(AA33/AA32))</f>
        <v/>
      </c>
    </row>
    <row r="34" ht="12.75" customHeight="1" s="202">
      <c r="A34" s="201" t="n"/>
      <c r="B34" s="22">
        <f>IF(C33=12,B33+1,B33)</f>
        <v/>
      </c>
      <c r="C34" s="22">
        <f>IF(C33=12,1,C33+1)</f>
        <v/>
      </c>
      <c r="D34" s="22">
        <f>IF(F34="12월",(E34+1)&amp;VLOOKUP(F34,인덱스!$C:$D,2,0),E34&amp;VLOOKUP(F34,인덱스!$C:$D,2,0))</f>
        <v/>
      </c>
      <c r="E34" s="201">
        <f>"20"&amp;B34</f>
        <v/>
      </c>
      <c r="F34" s="201">
        <f>C34&amp;"월"</f>
        <v/>
      </c>
      <c r="G34" s="37">
        <f>B34&amp;"."&amp;VLOOKUP(F34,인덱스!$A:$B,2,0)</f>
        <v/>
      </c>
      <c r="H34" s="256">
        <f>IFERROR(VLOOKUP(G34,#REF!,2,0),)</f>
        <v/>
      </c>
      <c r="I34" s="38">
        <f>IF(Q34="","",I33*(Q34/Q33))</f>
        <v/>
      </c>
      <c r="J34" s="38">
        <f>IF(R34="","",J33*(R34/R33))</f>
        <v/>
      </c>
      <c r="K34" s="39">
        <f>IF(S34="","",K33*(S34/S33))</f>
        <v/>
      </c>
      <c r="L34" s="39">
        <f>IF(U34="","",L33*(U34/U33))</f>
        <v/>
      </c>
      <c r="M34" s="39">
        <f>IF(V34="","",M33*(V34/V33))</f>
        <v/>
      </c>
      <c r="N34" s="201" t="n"/>
      <c r="O34" s="201" t="n"/>
      <c r="P34" s="201" t="n"/>
      <c r="Q34" s="8">
        <f>IFERROR(__xludf.DUMMYFUNCTION("iferror(index('지수RAW'!$V$7:$V$12040,MATCH($D34,'지수RAW'!$R$7:$R$12040,0)-1,1),GOOGLEFINANCE(Q$2))"),2108.33)</f>
        <v/>
      </c>
      <c r="R34" s="201">
        <f>IFERROR(__xludf.DUMMYFUNCTION("iferror(index('지수RAW'!$F$7:$F$12040,MATCH($D34,'지수RAW'!$B$7:$B$12040,0)-1,1),GOOGLEFINANCE(R$2))"),3100.29)</f>
        <v/>
      </c>
      <c r="S34" s="9">
        <f>IFERROR(__xludf.DUMMYFUNCTION("iferror(index('지수RAW'!$N$7:$N$12040,MATCH($D34,'지수RAW'!$J$7:$J$12040,0)-1,1),GOOGLEFINANCE(S$2))"),10058.77)</f>
        <v/>
      </c>
      <c r="T34" s="201" t="n"/>
      <c r="U34" s="252">
        <f t="array" ref="U34">IFERROR(INDEX(지수RAW!$AT$7:$AT$12040,MATCH($D34,지수RAW!$AP$7:$AP$12040,0)-1,1),지수RAW!$AU$4)</f>
        <v/>
      </c>
      <c r="V34" s="252">
        <f>IFERROR(__xludf.DUMMYFUNCTION("iferror(index('지수RAW'!$AL$7:$AL$12040,MATCH($D34,'지수RAW'!$AH$7:$AH$12040,0)-1,1),GOOGLEFINANCE(V$2))"),9136.464)</f>
        <v/>
      </c>
      <c r="W34" s="253">
        <f>IFERROR(__xludf.DUMMYFUNCTION("iferror(index('지수RAW'!$AD$7:$AD$12040,MATCH($D34,'지수RAW'!$Z$7:$Z$12040,0)-1,1),GOOGLEFINANCE(W$2))"),1198.39)</f>
        <v/>
      </c>
      <c r="X34" s="36">
        <f>$W34*R34</f>
        <v/>
      </c>
      <c r="Y34" s="36">
        <f>$W34*S34</f>
        <v/>
      </c>
      <c r="Z34" s="36">
        <f>$W34*U34</f>
        <v/>
      </c>
      <c r="AA34" s="36">
        <f>$W34*V34</f>
        <v/>
      </c>
      <c r="AB34" s="255" t="n"/>
      <c r="AC34" s="38">
        <f>IF(Q34="","",AC33*(W34/W33))</f>
        <v/>
      </c>
      <c r="AD34" s="38">
        <f>IF(R34="","",AD33*(X34/X33))</f>
        <v/>
      </c>
      <c r="AE34" s="38">
        <f>IF(S34="","",AE33*(Y34/Y33))</f>
        <v/>
      </c>
      <c r="AF34" s="38">
        <f>IF(U34="","",AF33*(Z34/Z33))</f>
        <v/>
      </c>
      <c r="AG34" s="38">
        <f>IF(V34="","",AG33*(AA34/AA33))</f>
        <v/>
      </c>
    </row>
    <row r="35" ht="12.75" customHeight="1" s="202">
      <c r="A35" s="201" t="n"/>
      <c r="B35" s="22">
        <f>IF(C34=12,B34+1,B34)</f>
        <v/>
      </c>
      <c r="C35" s="22">
        <f>IF(C34=12,1,C34+1)</f>
        <v/>
      </c>
      <c r="D35" s="22">
        <f>IF(F35="12월",(E35+1)&amp;VLOOKUP(F35,인덱스!$C:$D,2,0),E35&amp;VLOOKUP(F35,인덱스!$C:$D,2,0))</f>
        <v/>
      </c>
      <c r="E35" s="201">
        <f>"20"&amp;B35</f>
        <v/>
      </c>
      <c r="F35" s="201">
        <f>C35&amp;"월"</f>
        <v/>
      </c>
      <c r="G35" s="37">
        <f>B35&amp;"."&amp;VLOOKUP(F35,인덱스!$A:$B,2,0)</f>
        <v/>
      </c>
      <c r="H35" s="256">
        <f>IFERROR(VLOOKUP(G35,#REF!,2,0),)</f>
        <v/>
      </c>
      <c r="I35" s="38">
        <f>IF(Q35="","",I34*(Q35/Q34))</f>
        <v/>
      </c>
      <c r="J35" s="38">
        <f>IF(R35="","",J34*(R35/R34))</f>
        <v/>
      </c>
      <c r="K35" s="39">
        <f>IF(S35="","",K34*(S35/S34))</f>
        <v/>
      </c>
      <c r="L35" s="39">
        <f>IF(U35="","",L34*(U35/U34))</f>
        <v/>
      </c>
      <c r="M35" s="39">
        <f>IF(V35="","",M34*(V35/V34))</f>
        <v/>
      </c>
      <c r="N35" s="201" t="n"/>
      <c r="O35" s="201" t="n"/>
      <c r="P35" s="201" t="n"/>
      <c r="Q35" s="8">
        <f>IFERROR(__xludf.DUMMYFUNCTION("iferror(index('지수RAW'!$V$7:$V$12040,MATCH($D35,'지수RAW'!$R$7:$R$12040,0)-1,1),GOOGLEFINANCE(Q$2))"),2249.37)</f>
        <v/>
      </c>
      <c r="R35" s="201">
        <f>IFERROR(__xludf.DUMMYFUNCTION("iferror(index('지수RAW'!$F$7:$F$12040,MATCH($D35,'지수RAW'!$B$7:$B$12040,0)-1,1),GOOGLEFINANCE(R$2))"),3271.12)</f>
        <v/>
      </c>
      <c r="S35" s="9">
        <f>IFERROR(__xludf.DUMMYFUNCTION("iferror(index('지수RAW'!$N$7:$N$12040,MATCH($D35,'지수RAW'!$J$7:$J$12040,0)-1,1),GOOGLEFINANCE(S$2))"),10745.28)</f>
        <v/>
      </c>
      <c r="T35" s="201" t="n"/>
      <c r="U35" s="252">
        <f t="array" ref="U35">IFERROR(INDEX(지수RAW!$AT$7:$AT$12040,MATCH($D35,지수RAW!$AP$7:$AP$12040,0)-1,1),지수RAW!$AU$4)</f>
        <v/>
      </c>
      <c r="V35" s="252">
        <f>IFERROR(__xludf.DUMMYFUNCTION("iferror(index('지수RAW'!$AL$7:$AL$12040,MATCH($D35,'지수RAW'!$AH$7:$AH$12040,0)-1,1),GOOGLEFINANCE(V$2))"),11350.44)</f>
        <v/>
      </c>
      <c r="W35" s="253">
        <f>IFERROR(__xludf.DUMMYFUNCTION("iferror(index('지수RAW'!$AD$7:$AD$12040,MATCH($D35,'지수RAW'!$Z$7:$Z$12040,0)-1,1),GOOGLEFINANCE(W$2))"),1192.47)</f>
        <v/>
      </c>
      <c r="X35" s="36">
        <f>$W35*R35</f>
        <v/>
      </c>
      <c r="Y35" s="36">
        <f>$W35*S35</f>
        <v/>
      </c>
      <c r="Z35" s="36">
        <f>$W35*U35</f>
        <v/>
      </c>
      <c r="AA35" s="36">
        <f>$W35*V35</f>
        <v/>
      </c>
      <c r="AB35" s="255" t="n"/>
      <c r="AC35" s="38">
        <f>IF(Q35="","",AC34*(W35/W34))</f>
        <v/>
      </c>
      <c r="AD35" s="38">
        <f>IF(R35="","",AD34*(X35/X34))</f>
        <v/>
      </c>
      <c r="AE35" s="38">
        <f>IF(S35="","",AE34*(Y35/Y34))</f>
        <v/>
      </c>
      <c r="AF35" s="38">
        <f>IF(U35="","",AF34*(Z35/Z34))</f>
        <v/>
      </c>
      <c r="AG35" s="38">
        <f>IF(V35="","",AG34*(AA35/AA34))</f>
        <v/>
      </c>
    </row>
    <row r="36" ht="12.75" customHeight="1" s="202">
      <c r="A36" s="201" t="n"/>
      <c r="B36" s="22">
        <f>IF(C35=12,B35+1,B35)</f>
        <v/>
      </c>
      <c r="C36" s="22">
        <f>IF(C35=12,1,C35+1)</f>
        <v/>
      </c>
      <c r="D36" s="22">
        <f>IF(F36="12월",(E36+1)&amp;VLOOKUP(F36,인덱스!$C:$D,2,0),E36&amp;VLOOKUP(F36,인덱스!$C:$D,2,0))</f>
        <v/>
      </c>
      <c r="E36" s="201">
        <f>"20"&amp;B36</f>
        <v/>
      </c>
      <c r="F36" s="201">
        <f>C36&amp;"월"</f>
        <v/>
      </c>
      <c r="G36" s="37">
        <f>B36&amp;"."&amp;VLOOKUP(F36,인덱스!$A:$B,2,0)</f>
        <v/>
      </c>
      <c r="H36" s="256">
        <f>IFERROR(VLOOKUP(G36,#REF!,2,0),)</f>
        <v/>
      </c>
      <c r="I36" s="38">
        <f>IF(Q36="","",I35*(Q36/Q35))</f>
        <v/>
      </c>
      <c r="J36" s="38">
        <f>IF(R36="","",J35*(R36/R35))</f>
        <v/>
      </c>
      <c r="K36" s="39">
        <f>IF(S36="","",K35*(S36/S35))</f>
        <v/>
      </c>
      <c r="L36" s="39">
        <f>IF(U36="","",L35*(U36/U35))</f>
        <v/>
      </c>
      <c r="M36" s="39">
        <f>IF(V36="","",M35*(V36/V35))</f>
        <v/>
      </c>
      <c r="N36" s="201" t="n"/>
      <c r="O36" s="201" t="n"/>
      <c r="P36" s="201" t="n"/>
      <c r="Q36" s="8">
        <f>IFERROR(__xludf.DUMMYFUNCTION("iferror(index('지수RAW'!$V$7:$V$12040,MATCH($D36,'지수RAW'!$R$7:$R$12040,0)-1,1),GOOGLEFINANCE(Q$2))"),2326.17)</f>
        <v/>
      </c>
      <c r="R36" s="44">
        <f>IFERROR(__xludf.DUMMYFUNCTION("iferror(index('지수RAW'!$F$7:$F$12040,MATCH($D36,'지수RAW'!$B$7:$B$12040,0)-1,1),GOOGLEFINANCE(R$2))"),3500.31)</f>
        <v/>
      </c>
      <c r="S36" s="9">
        <f>IFERROR(__xludf.DUMMYFUNCTION("iferror(index('지수RAW'!$N$7:$N$12040,MATCH($D36,'지수RAW'!$J$7:$J$12040,0)-1,1),GOOGLEFINANCE(S$2))"),11775.46)</f>
        <v/>
      </c>
      <c r="T36" s="201" t="n"/>
      <c r="U36" s="252">
        <f t="array" ref="U36">IFERROR(INDEX(지수RAW!$AT$7:$AT$12040,MATCH($D36,지수RAW!$AP$7:$AP$12040,0)-1,1),지수RAW!$AU$4)</f>
        <v/>
      </c>
      <c r="V36" s="252">
        <f>IFERROR(__xludf.DUMMYFUNCTION("iferror(index('지수RAW'!$AL$7:$AL$12040,MATCH($D36,'지수RAW'!$AH$7:$AH$12040,0)-1,1),GOOGLEFINANCE(V$2))"),11656.86)</f>
        <v/>
      </c>
      <c r="W36" s="253">
        <f>IFERROR(__xludf.DUMMYFUNCTION("iferror(index('지수RAW'!$AD$7:$AD$12040,MATCH($D36,'지수RAW'!$Z$7:$Z$12040,0)-1,1),GOOGLEFINANCE(W$2))"),1187.04)</f>
        <v/>
      </c>
      <c r="X36" s="36">
        <f>$W36*R36</f>
        <v/>
      </c>
      <c r="Y36" s="36">
        <f>$W36*S36</f>
        <v/>
      </c>
      <c r="Z36" s="36">
        <f>$W36*U36</f>
        <v/>
      </c>
      <c r="AA36" s="36">
        <f>$W36*V36</f>
        <v/>
      </c>
      <c r="AB36" s="255" t="n"/>
      <c r="AC36" s="38">
        <f>IF(Q36="","",AC35*(W36/W35))</f>
        <v/>
      </c>
      <c r="AD36" s="38">
        <f>IF(R36="","",AD35*(X36/X35))</f>
        <v/>
      </c>
      <c r="AE36" s="38">
        <f>IF(S36="","",AE35*(Y36/Y35))</f>
        <v/>
      </c>
      <c r="AF36" s="38">
        <f>IF(U36="","",AF35*(Z36/Z35))</f>
        <v/>
      </c>
      <c r="AG36" s="38">
        <f>IF(V36="","",AG35*(AA36/AA35))</f>
        <v/>
      </c>
    </row>
    <row r="37" ht="12.75" customHeight="1" s="202">
      <c r="A37" s="201" t="n"/>
      <c r="B37" s="22">
        <f>IF(C36=12,B36+1,B36)</f>
        <v/>
      </c>
      <c r="C37" s="22">
        <f>IF(C36=12,1,C36+1)</f>
        <v/>
      </c>
      <c r="D37" s="22">
        <f>IF(F37="12월",(E37+1)&amp;VLOOKUP(F37,인덱스!$C:$D,2,0),E37&amp;VLOOKUP(F37,인덱스!$C:$D,2,0))</f>
        <v/>
      </c>
      <c r="E37" s="201">
        <f>"20"&amp;B37</f>
        <v/>
      </c>
      <c r="F37" s="201">
        <f>C37&amp;"월"</f>
        <v/>
      </c>
      <c r="G37" s="37">
        <f>B37&amp;"."&amp;VLOOKUP(F37,인덱스!$A:$B,2,0)</f>
        <v/>
      </c>
      <c r="H37" s="256">
        <f>IFERROR(VLOOKUP(G37,#REF!,2,0),)</f>
        <v/>
      </c>
      <c r="I37" s="38">
        <f>IF(Q37="","",I36*(Q37/Q36))</f>
        <v/>
      </c>
      <c r="J37" s="38">
        <f>IF(R37="","",J36*(R37/R36))</f>
        <v/>
      </c>
      <c r="K37" s="39">
        <f>IF(S37="","",K36*(S37/S36))</f>
        <v/>
      </c>
      <c r="L37" s="39">
        <f>IF(U37="","",L36*(U37/U36))</f>
        <v/>
      </c>
      <c r="M37" s="39">
        <f>IF(V37="","",M36*(V37/V36))</f>
        <v/>
      </c>
      <c r="N37" s="201" t="n"/>
      <c r="O37" s="201" t="n"/>
      <c r="P37" s="201" t="n"/>
      <c r="Q37" s="8">
        <f>IFERROR(__xludf.DUMMYFUNCTION("iferror(index('지수RAW'!$V$7:$V$12040,MATCH($D37,'지수RAW'!$R$7:$R$12040,0)-1,1),GOOGLEFINANCE(Q$2))"),2327.89)</f>
        <v/>
      </c>
      <c r="R37" s="201">
        <f>IFERROR(__xludf.DUMMYFUNCTION("iferror(index('지수RAW'!$F$7:$F$12040,MATCH($D37,'지수RAW'!$B$7:$B$12040,0)-1,1),GOOGLEFINANCE(R$2))"),3363)</f>
        <v/>
      </c>
      <c r="S37" s="9">
        <f>IFERROR(__xludf.DUMMYFUNCTION("iferror(index('지수RAW'!$N$7:$N$12040,MATCH($D37,'지수RAW'!$J$7:$J$12040,0)-1,1),GOOGLEFINANCE(S$2))"),11167.51)</f>
        <v/>
      </c>
      <c r="T37" s="201" t="n"/>
      <c r="U37" s="252">
        <f t="array" ref="U37">IFERROR(INDEX(지수RAW!$AT$7:$AT$12040,MATCH($D37,지수RAW!$AP$7:$AP$12040,0)-1,1),지수RAW!$AU$4)</f>
        <v/>
      </c>
      <c r="V37" s="252">
        <f>IFERROR(__xludf.DUMMYFUNCTION("iferror(index('지수RAW'!$AL$7:$AL$12040,MATCH($D37,'지수RAW'!$AH$7:$AH$12040,0)-1,1),GOOGLEFINANCE(V$2))"),10779.78)</f>
        <v/>
      </c>
      <c r="W37" s="253">
        <f>IFERROR(__xludf.DUMMYFUNCTION("iferror(index('지수RAW'!$AD$7:$AD$12040,MATCH($D37,'지수RAW'!$Z$7:$Z$12040,0)-1,1),GOOGLEFINANCE(W$2))"),1163.78)</f>
        <v/>
      </c>
      <c r="X37" s="36">
        <f>$W37*R37</f>
        <v/>
      </c>
      <c r="Y37" s="36">
        <f>$W37*S37</f>
        <v/>
      </c>
      <c r="Z37" s="36">
        <f>$W37*U37</f>
        <v/>
      </c>
      <c r="AA37" s="36">
        <f>$W37*V37</f>
        <v/>
      </c>
      <c r="AB37" s="255" t="n"/>
      <c r="AC37" s="38">
        <f>IF(Q37="","",AC36*(W37/W36))</f>
        <v/>
      </c>
      <c r="AD37" s="38">
        <f>IF(R37="","",AD36*(X37/X36))</f>
        <v/>
      </c>
      <c r="AE37" s="38">
        <f>IF(S37="","",AE36*(Y37/Y36))</f>
        <v/>
      </c>
      <c r="AF37" s="38">
        <f>IF(U37="","",AF36*(Z37/Z36))</f>
        <v/>
      </c>
      <c r="AG37" s="38">
        <f>IF(V37="","",AG36*(AA37/AA36))</f>
        <v/>
      </c>
    </row>
    <row r="38" ht="12.75" customHeight="1" s="202">
      <c r="A38" s="201" t="n"/>
      <c r="B38" s="22">
        <f>IF(C37=12,B37+1,B37)</f>
        <v/>
      </c>
      <c r="C38" s="22">
        <f>IF(C37=12,1,C37+1)</f>
        <v/>
      </c>
      <c r="D38" s="22">
        <f>IF(F38="12월",(E38+1)&amp;VLOOKUP(F38,인덱스!$C:$D,2,0),E38&amp;VLOOKUP(F38,인덱스!$C:$D,2,0))</f>
        <v/>
      </c>
      <c r="E38" s="201">
        <f>"20"&amp;B38</f>
        <v/>
      </c>
      <c r="F38" s="201">
        <f>C38&amp;"월"</f>
        <v/>
      </c>
      <c r="G38" s="37">
        <f>B38&amp;"."&amp;VLOOKUP(F38,인덱스!$A:$B,2,0)</f>
        <v/>
      </c>
      <c r="H38" s="256">
        <f>IFERROR(VLOOKUP(G38,#REF!,2,0),)</f>
        <v/>
      </c>
      <c r="I38" s="38">
        <f>IF(Q38="","",I37*(Q38/Q37))</f>
        <v/>
      </c>
      <c r="J38" s="38">
        <f>IF(R38="","",J37*(R38/R37))</f>
        <v/>
      </c>
      <c r="K38" s="39">
        <f>IF(S38="","",K37*(S38/S37))</f>
        <v/>
      </c>
      <c r="L38" s="39">
        <f>IF(U38="","",L37*(U38/U37))</f>
        <v/>
      </c>
      <c r="M38" s="39">
        <f>IF(V38="","",M37*(V38/V37))</f>
        <v/>
      </c>
      <c r="N38" s="45" t="n"/>
      <c r="O38" s="45" t="n"/>
      <c r="P38" s="45" t="n"/>
      <c r="Q38" s="8">
        <f>IFERROR(__xludf.DUMMYFUNCTION("iferror(index('지수RAW'!$V$7:$V$12040,MATCH($D38,'지수RAW'!$R$7:$R$12040,0)-1,1),GOOGLEFINANCE(Q$2))"),2267.15)</f>
        <v/>
      </c>
      <c r="R38" s="201">
        <f>IFERROR(__xludf.DUMMYFUNCTION("iferror(index('지수RAW'!$F$7:$F$12040,MATCH($D38,'지수RAW'!$B$7:$B$12040,0)-1,1),GOOGLEFINANCE(R$2))"),3269.96)</f>
        <v/>
      </c>
      <c r="S38" s="9">
        <f>IFERROR(__xludf.DUMMYFUNCTION("iferror(index('지수RAW'!$N$7:$N$12040,MATCH($D38,'지수RAW'!$J$7:$J$12040,0)-1,1),GOOGLEFINANCE(S$2))"),10911.59)</f>
        <v/>
      </c>
      <c r="T38" s="201" t="n"/>
      <c r="U38" s="252">
        <f t="array" ref="U38">IFERROR(INDEX(지수RAW!$AT$7:$AT$12040,MATCH($D38,지수RAW!$AP$7:$AP$12040,0)-1,1),지수RAW!$AU$4)</f>
        <v/>
      </c>
      <c r="V38" s="252">
        <f>IFERROR(__xludf.DUMMYFUNCTION("iferror(index('지수RAW'!$AL$7:$AL$12040,MATCH($D38,'지수RAW'!$AH$7:$AH$12040,0)-1,1),GOOGLEFINANCE(V$2))"),13798.8)</f>
        <v/>
      </c>
      <c r="W38" s="253">
        <f>IFERROR(__xludf.DUMMYFUNCTION("iferror(index('지수RAW'!$AD$7:$AD$12040,MATCH($D38,'지수RAW'!$Z$7:$Z$12040,0)-1,1),GOOGLEFINANCE(W$2))"),1135.61)</f>
        <v/>
      </c>
      <c r="X38" s="36">
        <f>$W38*R38</f>
        <v/>
      </c>
      <c r="Y38" s="36">
        <f>$W38*S38</f>
        <v/>
      </c>
      <c r="Z38" s="36">
        <f>$W38*U38</f>
        <v/>
      </c>
      <c r="AA38" s="36">
        <f>$W38*V38</f>
        <v/>
      </c>
      <c r="AB38" s="255" t="n"/>
      <c r="AC38" s="38">
        <f>IF(Q38="","",AC37*(W38/W37))</f>
        <v/>
      </c>
      <c r="AD38" s="38">
        <f>IF(R38="","",AD37*(X38/X37))</f>
        <v/>
      </c>
      <c r="AE38" s="38">
        <f>IF(S38="","",AE37*(Y38/Y37))</f>
        <v/>
      </c>
      <c r="AF38" s="38">
        <f>IF(U38="","",AF37*(Z38/Z37))</f>
        <v/>
      </c>
      <c r="AG38" s="38">
        <f>IF(V38="","",AG37*(AA38/AA37))</f>
        <v/>
      </c>
    </row>
    <row r="39" ht="12.75" customHeight="1" s="202">
      <c r="A39" s="201" t="n"/>
      <c r="B39" s="22">
        <f>IF(C38=12,B38+1,B38)</f>
        <v/>
      </c>
      <c r="C39" s="22">
        <f>IF(C38=12,1,C38+1)</f>
        <v/>
      </c>
      <c r="D39" s="22">
        <f>IF(F39="12월",(E39+1)&amp;VLOOKUP(F39,인덱스!$C:$D,2,0),E39&amp;VLOOKUP(F39,인덱스!$C:$D,2,0))</f>
        <v/>
      </c>
      <c r="E39" s="201">
        <f>"20"&amp;B39</f>
        <v/>
      </c>
      <c r="F39" s="201">
        <f>C39&amp;"월"</f>
        <v/>
      </c>
      <c r="G39" s="37">
        <f>B39&amp;"."&amp;VLOOKUP(F39,인덱스!$A:$B,2,0)</f>
        <v/>
      </c>
      <c r="H39" s="256">
        <f>IFERROR(VLOOKUP(G39,#REF!,2,0),)</f>
        <v/>
      </c>
      <c r="I39" s="38">
        <f>IF(Q39="","",I38*(Q39/Q38))</f>
        <v/>
      </c>
      <c r="J39" s="38">
        <f>IF(R39="","",J38*(R39/R38))</f>
        <v/>
      </c>
      <c r="K39" s="39">
        <f>IF(S39="","",K38*(S39/S38))</f>
        <v/>
      </c>
      <c r="L39" s="39">
        <f>IF(U39="","",L38*(U39/U38))</f>
        <v/>
      </c>
      <c r="M39" s="39">
        <f>IF(V39="","",M38*(V39/V38))</f>
        <v/>
      </c>
      <c r="N39" s="201" t="n"/>
      <c r="O39" s="201" t="n"/>
      <c r="P39" s="201" t="n"/>
      <c r="Q39" s="8">
        <f>IFERROR(__xludf.DUMMYFUNCTION("iferror(index('지수RAW'!$V$7:$V$12040,MATCH($D39,'지수RAW'!$R$7:$R$12040,0)-1,1),GOOGLEFINANCE(Q$2))"),2591.34)</f>
        <v/>
      </c>
      <c r="R39" s="201">
        <f>IFERROR(__xludf.DUMMYFUNCTION("iferror(index('지수RAW'!$F$7:$F$12040,MATCH($D39,'지수RAW'!$B$7:$B$12040,0)-1,1),GOOGLEFINANCE(R$2))"),3621.63)</f>
        <v/>
      </c>
      <c r="S39" s="9">
        <f>IFERROR(__xludf.DUMMYFUNCTION("iferror(index('지수RAW'!$N$7:$N$12040,MATCH($D39,'지수RAW'!$J$7:$J$12040,0)-1,1),GOOGLEFINANCE(S$2))"),12198.74)</f>
        <v/>
      </c>
      <c r="T39" s="201" t="n"/>
      <c r="U39" s="252">
        <f t="array" ref="U39">IFERROR(INDEX(지수RAW!$AT$7:$AT$12040,MATCH($D39,지수RAW!$AP$7:$AP$12040,0)-1,1),지수RAW!$AU$4)</f>
        <v/>
      </c>
      <c r="V39" s="252">
        <f>IFERROR(__xludf.DUMMYFUNCTION("iferror(index('지수RAW'!$AL$7:$AL$12040,MATCH($D39,'지수RAW'!$AH$7:$AH$12040,0)-1,1),GOOGLEFINANCE(V$2))"),19704.15)</f>
        <v/>
      </c>
      <c r="W39" s="253">
        <f>IFERROR(__xludf.DUMMYFUNCTION("iferror(index('지수RAW'!$AD$7:$AD$12040,MATCH($D39,'지수RAW'!$Z$7:$Z$12040,0)-1,1),GOOGLEFINANCE(W$2))"),1108.51)</f>
        <v/>
      </c>
      <c r="X39" s="36">
        <f>$W39*R39</f>
        <v/>
      </c>
      <c r="Y39" s="36">
        <f>$W39*S39</f>
        <v/>
      </c>
      <c r="Z39" s="36">
        <f>$W39*U39</f>
        <v/>
      </c>
      <c r="AA39" s="36">
        <f>$W39*V39</f>
        <v/>
      </c>
      <c r="AB39" s="255" t="n"/>
      <c r="AC39" s="38">
        <f>IF(Q39="","",AC38*(W39/W38))</f>
        <v/>
      </c>
      <c r="AD39" s="38">
        <f>IF(R39="","",AD38*(X39/X38))</f>
        <v/>
      </c>
      <c r="AE39" s="38">
        <f>IF(S39="","",AE38*(Y39/Y38))</f>
        <v/>
      </c>
      <c r="AF39" s="38">
        <f>IF(U39="","",AF38*(Z39/Z38))</f>
        <v/>
      </c>
      <c r="AG39" s="38">
        <f>IF(V39="","",AG38*(AA39/AA38))</f>
        <v/>
      </c>
    </row>
    <row r="40" ht="12.75" customHeight="1" s="202">
      <c r="A40" s="201" t="n"/>
      <c r="B40" s="22">
        <f>IF(C39=12,B39+1,B39)</f>
        <v/>
      </c>
      <c r="C40" s="22">
        <f>IF(C39=12,1,C39+1)</f>
        <v/>
      </c>
      <c r="D40" s="22">
        <f>IF(F40="12월",(E40+1)&amp;VLOOKUP(F40,인덱스!$C:$D,2,0),E40&amp;VLOOKUP(F40,인덱스!$C:$D,2,0))</f>
        <v/>
      </c>
      <c r="E40" s="201">
        <f>"20"&amp;B40</f>
        <v/>
      </c>
      <c r="F40" s="201">
        <f>C40&amp;"월"</f>
        <v/>
      </c>
      <c r="G40" s="37">
        <f>B40&amp;"."&amp;VLOOKUP(F40,인덱스!$A:$B,2,0)</f>
        <v/>
      </c>
      <c r="H40" s="256">
        <f>IFERROR(VLOOKUP(G40,#REF!,2,0),)</f>
        <v/>
      </c>
      <c r="I40" s="38">
        <f>IF(Q40="","",I39*(Q40/Q39))</f>
        <v/>
      </c>
      <c r="J40" s="38">
        <f>IF(R40="","",J39*(R40/R39))</f>
        <v/>
      </c>
      <c r="K40" s="39">
        <f>IF(S40="","",K39*(S40/S39))</f>
        <v/>
      </c>
      <c r="L40" s="39">
        <f>IF(U40="","",L39*(U40/U39))</f>
        <v/>
      </c>
      <c r="M40" s="39">
        <f>IF(V40="","",M39*(V40/V39))</f>
        <v/>
      </c>
      <c r="N40" s="201" t="n"/>
      <c r="O40" s="201" t="n"/>
      <c r="P40" s="201" t="n"/>
      <c r="Q40" s="8">
        <f>IFERROR(__xludf.DUMMYFUNCTION("iferror(index('지수RAW'!$V$7:$V$12040,MATCH($D40,'지수RAW'!$R$7:$R$12040,0)-1,1),GOOGLEFINANCE(Q$2))"),2873.47)</f>
        <v/>
      </c>
      <c r="R40" s="201">
        <f>IFERROR(__xludf.DUMMYFUNCTION("iferror(index('지수RAW'!$F$7:$F$12040,MATCH($D40,'지수RAW'!$B$7:$B$12040,0)-1,1),GOOGLEFINANCE(R$2))"),3756.07)</f>
        <v/>
      </c>
      <c r="S40" s="9">
        <f>IFERROR(__xludf.DUMMYFUNCTION("iferror(index('지수RAW'!$N$7:$N$12040,MATCH($D40,'지수RAW'!$J$7:$J$12040,0)-1,1),GOOGLEFINANCE(S$2))"),12888.28)</f>
        <v/>
      </c>
      <c r="T40" s="201" t="n"/>
      <c r="U40" s="252">
        <f t="array" ref="U40">IFERROR(INDEX(지수RAW!$AT$7:$AT$12040,MATCH($D40,지수RAW!$AP$7:$AP$12040,0)-1,1),지수RAW!$AU$4)</f>
        <v/>
      </c>
      <c r="V40" s="252">
        <f>IFERROR(__xludf.DUMMYFUNCTION("iferror(index('지수RAW'!$AL$7:$AL$12040,MATCH($D40,'지수RAW'!$AH$7:$AH$12040,0)-1,1),GOOGLEFINANCE(V$2))"),28943.58)</f>
        <v/>
      </c>
      <c r="W40" s="253">
        <f>IFERROR(__xludf.DUMMYFUNCTION("iferror(index('지수RAW'!$AD$7:$AD$12040,MATCH($D40,'지수RAW'!$Z$7:$Z$12040,0)-1,1),GOOGLEFINANCE(W$2))"),1084.65)</f>
        <v/>
      </c>
      <c r="X40" s="36">
        <f>$W40*R40</f>
        <v/>
      </c>
      <c r="Y40" s="36">
        <f>$W40*S40</f>
        <v/>
      </c>
      <c r="Z40" s="36">
        <f>$W40*U40</f>
        <v/>
      </c>
      <c r="AA40" s="36">
        <f>$W40*V40</f>
        <v/>
      </c>
      <c r="AB40" s="255" t="n"/>
      <c r="AC40" s="38">
        <f>IF(Q40="","",AC39*(W40/W39))</f>
        <v/>
      </c>
      <c r="AD40" s="38">
        <f>IF(R40="","",AD39*(X40/X39))</f>
        <v/>
      </c>
      <c r="AE40" s="38">
        <f>IF(S40="","",AE39*(Y40/Y39))</f>
        <v/>
      </c>
      <c r="AF40" s="38">
        <f>IF(U40="","",AF39*(Z40/Z39))</f>
        <v/>
      </c>
      <c r="AG40" s="38">
        <f>IF(V40="","",AG39*(AA40/AA39))</f>
        <v/>
      </c>
    </row>
    <row r="41" ht="12.75" customHeight="1" s="202">
      <c r="A41" s="201" t="n"/>
      <c r="B41" s="22">
        <f>IF(C40=12,B40+1,B40)</f>
        <v/>
      </c>
      <c r="C41" s="22">
        <f>IF(C40=12,1,C40+1)</f>
        <v/>
      </c>
      <c r="D41" s="22">
        <f>IF(F41="12월",(E41+1)&amp;VLOOKUP(F41,인덱스!$C:$D,2,0),E41&amp;VLOOKUP(F41,인덱스!$C:$D,2,0))</f>
        <v/>
      </c>
      <c r="E41" s="201">
        <f>"20"&amp;B41</f>
        <v/>
      </c>
      <c r="F41" s="201">
        <f>C41&amp;"월"</f>
        <v/>
      </c>
      <c r="G41" s="40">
        <f>B41&amp;"."&amp;VLOOKUP(F41,인덱스!$A:$B,2,0)</f>
        <v/>
      </c>
      <c r="H41" s="257">
        <f>IFERROR(VLOOKUP(G41,#REF!,2,0),)</f>
        <v/>
      </c>
      <c r="I41" s="42">
        <f>IF(Q41="","",I40*(Q41/Q40))</f>
        <v/>
      </c>
      <c r="J41" s="42">
        <f>IF(R41="","",J40*(R41/R40))</f>
        <v/>
      </c>
      <c r="K41" s="43">
        <f>IF(S41="","",K40*(S41/S40))</f>
        <v/>
      </c>
      <c r="L41" s="43">
        <f>IF(U41="","",L40*(U41/U40))</f>
        <v/>
      </c>
      <c r="M41" s="43">
        <f>IF(V41="","",M40*(V41/V40))</f>
        <v/>
      </c>
      <c r="N41" s="201" t="n"/>
      <c r="O41" s="201" t="n"/>
      <c r="P41" s="201" t="n"/>
      <c r="Q41" s="8">
        <f>IFERROR(__xludf.DUMMYFUNCTION("iferror(index('지수RAW'!$V$7:$V$12040,MATCH($D41,'지수RAW'!$R$7:$R$12040,0)-1,1),GOOGLEFINANCE(Q$2))"),2976.21)</f>
        <v/>
      </c>
      <c r="R41" s="201">
        <f>IFERROR(__xludf.DUMMYFUNCTION("iferror(index('지수RAW'!$F$7:$F$12040,MATCH($D41,'지수RAW'!$B$7:$B$12040,0)-1,1),GOOGLEFINANCE(R$2))"),3714.24)</f>
        <v/>
      </c>
      <c r="S41" s="9">
        <f>IFERROR(__xludf.DUMMYFUNCTION("iferror(index('지수RAW'!$N$7:$N$12040,MATCH($D41,'지수RAW'!$J$7:$J$12040,0)-1,1),GOOGLEFINANCE(S$2))"),13070.7)</f>
        <v/>
      </c>
      <c r="T41" s="201" t="n"/>
      <c r="U41" s="252">
        <f t="array" ref="U41">IFERROR(INDEX(지수RAW!$AT$7:$AT$12040,MATCH($D41,지수RAW!$AP$7:$AP$12040,0)-1,1),지수RAW!$AU$4)</f>
        <v/>
      </c>
      <c r="V41" s="252">
        <f>IFERROR(__xludf.DUMMYFUNCTION("iferror(index('지수RAW'!$AL$7:$AL$12040,MATCH($D41,'지수RAW'!$AH$7:$AH$12040,0)-1,1),GOOGLEFINANCE(V$2))"),33119.93)</f>
        <v/>
      </c>
      <c r="W41" s="253">
        <f>IFERROR(__xludf.DUMMYFUNCTION("iferror(index('지수RAW'!$AD$7:$AD$12040,MATCH($D41,'지수RAW'!$Z$7:$Z$12040,0)-1,1),GOOGLEFINANCE(W$2))"),1117.43)</f>
        <v/>
      </c>
      <c r="X41" s="36">
        <f>$W41*R41</f>
        <v/>
      </c>
      <c r="Y41" s="36">
        <f>$W41*S41</f>
        <v/>
      </c>
      <c r="Z41" s="36">
        <f>$W41*U41</f>
        <v/>
      </c>
      <c r="AA41" s="36">
        <f>$W41*V41</f>
        <v/>
      </c>
      <c r="AB41" s="255" t="n"/>
      <c r="AC41" s="42">
        <f>IF(Q41="","",AC40*(W41/W40))</f>
        <v/>
      </c>
      <c r="AD41" s="42">
        <f>IF(R41="","",AD40*(X41/X40))</f>
        <v/>
      </c>
      <c r="AE41" s="42">
        <f>IF(S41="","",AE40*(Y41/Y40))</f>
        <v/>
      </c>
      <c r="AF41" s="42">
        <f>IF(U41="","",AF40*(Z41/Z40))</f>
        <v/>
      </c>
      <c r="AG41" s="42">
        <f>IF(V41="","",AG40*(AA41/AA40))</f>
        <v/>
      </c>
    </row>
    <row r="42" ht="12.75" customHeight="1" s="202">
      <c r="A42" s="201" t="n"/>
      <c r="B42" s="22">
        <f>IF(C41=12,B41+1,B41)</f>
        <v/>
      </c>
      <c r="C42" s="22">
        <f>IF(C41=12,1,C41+1)</f>
        <v/>
      </c>
      <c r="D42" s="22">
        <f>IF(F42="12월",(E42+1)&amp;VLOOKUP(F42,인덱스!$C:$D,2,0),E42&amp;VLOOKUP(F42,인덱스!$C:$D,2,0))</f>
        <v/>
      </c>
      <c r="E42" s="201">
        <f>"20"&amp;B42</f>
        <v/>
      </c>
      <c r="F42" s="201">
        <f>C42&amp;"월"</f>
        <v/>
      </c>
      <c r="G42" s="37">
        <f>B42&amp;"."&amp;VLOOKUP(F42,인덱스!$A:$B,2,0)</f>
        <v/>
      </c>
      <c r="H42" s="256">
        <f>IFERROR(VLOOKUP(G42,#REF!,2,0),)</f>
        <v/>
      </c>
      <c r="I42" s="38">
        <f>IF(Q42="","",I41*(Q42/Q41))</f>
        <v/>
      </c>
      <c r="J42" s="38">
        <f>IF(R42="","",J41*(R42/R41))</f>
        <v/>
      </c>
      <c r="K42" s="39">
        <f>IF(S42="","",K41*(S42/S41))</f>
        <v/>
      </c>
      <c r="L42" s="39">
        <f>IF(U42="","",L41*(U42/U41))</f>
        <v/>
      </c>
      <c r="M42" s="39">
        <f>IF(V42="","",M41*(V42/V41))</f>
        <v/>
      </c>
      <c r="N42" s="201" t="n"/>
      <c r="O42" s="201" t="n"/>
      <c r="P42" s="201" t="n"/>
      <c r="Q42" s="8">
        <f>IFERROR(__xludf.DUMMYFUNCTION("iferror(index('지수RAW'!$V$7:$V$12040,MATCH($D42,'지수RAW'!$R$7:$R$12040,0)-1,1),GOOGLEFINANCE(Q$2))"),3012.95)</f>
        <v/>
      </c>
      <c r="R42" s="201">
        <f>IFERROR(__xludf.DUMMYFUNCTION("iferror(index('지수RAW'!$F$7:$F$12040,MATCH($D42,'지수RAW'!$B$7:$B$12040,0)-1,1),GOOGLEFINANCE(R$2))"),3811.15)</f>
        <v/>
      </c>
      <c r="S42" s="9">
        <f>IFERROR(__xludf.DUMMYFUNCTION("iferror(index('지수RAW'!$N$7:$N$12040,MATCH($D42,'지수RAW'!$J$7:$J$12040,0)-1,1),GOOGLEFINANCE(S$2))"),13192.35)</f>
        <v/>
      </c>
      <c r="T42" s="201" t="n"/>
      <c r="U42" s="252">
        <f t="array" ref="U42">IFERROR(INDEX(지수RAW!$AT$7:$AT$12040,MATCH($D42,지수RAW!$AP$7:$AP$12040,0)-1,1),지수RAW!$AU$4)</f>
        <v/>
      </c>
      <c r="V42" s="252">
        <f>IFERROR(__xludf.DUMMYFUNCTION("iferror(index('지수RAW'!$AL$7:$AL$12040,MATCH($D42,'지수RAW'!$AH$7:$AH$12040,0)-1,1),GOOGLEFINANCE(V$2))"),45203.05)</f>
        <v/>
      </c>
      <c r="W42" s="253">
        <f>IFERROR(__xludf.DUMMYFUNCTION("iferror(index('지수RAW'!$AD$7:$AD$12040,MATCH($D42,'지수RAW'!$Z$7:$Z$12040,0)-1,1),GOOGLEFINANCE(W$2))"),1123.37)</f>
        <v/>
      </c>
      <c r="X42" s="36">
        <f>$W42*R42</f>
        <v/>
      </c>
      <c r="Y42" s="36">
        <f>$W42*S42</f>
        <v/>
      </c>
      <c r="Z42" s="36">
        <f>$W42*U42</f>
        <v/>
      </c>
      <c r="AA42" s="36">
        <f>$W42*V42</f>
        <v/>
      </c>
      <c r="AB42" s="255" t="n"/>
      <c r="AC42" s="38">
        <f>IF(Q42="","",AC41*(W42/W41))</f>
        <v/>
      </c>
      <c r="AD42" s="38">
        <f>IF(R42="","",AD41*(X42/X41))</f>
        <v/>
      </c>
      <c r="AE42" s="38">
        <f>IF(S42="","",AE41*(Y42/Y41))</f>
        <v/>
      </c>
      <c r="AF42" s="38">
        <f>IF(U42="","",AF41*(Z42/Z41))</f>
        <v/>
      </c>
      <c r="AG42" s="38">
        <f>IF(V42="","",AG41*(AA42/AA41))</f>
        <v/>
      </c>
    </row>
    <row r="43" ht="12.75" customHeight="1" s="202">
      <c r="A43" s="201" t="n"/>
      <c r="B43" s="22">
        <f>IF(C42=12,B42+1,B42)</f>
        <v/>
      </c>
      <c r="C43" s="22">
        <f>IF(C42=12,1,C42+1)</f>
        <v/>
      </c>
      <c r="D43" s="22">
        <f>IF(F43="12월",(E43+1)&amp;VLOOKUP(F43,인덱스!$C:$D,2,0),E43&amp;VLOOKUP(F43,인덱스!$C:$D,2,0))</f>
        <v/>
      </c>
      <c r="E43" s="201">
        <f>"20"&amp;B43</f>
        <v/>
      </c>
      <c r="F43" s="201">
        <f>C43&amp;"월"</f>
        <v/>
      </c>
      <c r="G43" s="37">
        <f>B43&amp;"."&amp;VLOOKUP(F43,인덱스!$A:$B,2,0)</f>
        <v/>
      </c>
      <c r="H43" s="256">
        <f>IFERROR(VLOOKUP(G43,#REF!,2,0),)</f>
        <v/>
      </c>
      <c r="I43" s="38">
        <f>IF(Q43="","",I42*(Q43/Q42))</f>
        <v/>
      </c>
      <c r="J43" s="38">
        <f>IF(R43="","",J42*(R43/R42))</f>
        <v/>
      </c>
      <c r="K43" s="39">
        <f>IF(S43="","",K42*(S43/S42))</f>
        <v/>
      </c>
      <c r="L43" s="39">
        <f>IF(U43="","",L42*(U43/U42))</f>
        <v/>
      </c>
      <c r="M43" s="39">
        <f>IF(V43="","",M42*(V43/V42))</f>
        <v/>
      </c>
      <c r="N43" s="201" t="n"/>
      <c r="O43" s="201" t="n"/>
      <c r="P43" s="201" t="n"/>
      <c r="Q43" s="8">
        <f>IFERROR(__xludf.DUMMYFUNCTION("iferror(index('지수RAW'!$V$7:$V$12040,MATCH($D43,'지수RAW'!$R$7:$R$12040,0)-1,1),GOOGLEFINANCE(Q$2))"),3061.42)</f>
        <v/>
      </c>
      <c r="R43" s="201">
        <f>IFERROR(__xludf.DUMMYFUNCTION("iferror(index('지수RAW'!$F$7:$F$12040,MATCH($D43,'지수RAW'!$B$7:$B$12040,0)-1,1),GOOGLEFINANCE(R$2))"),3972.89)</f>
        <v/>
      </c>
      <c r="S43" s="9">
        <f>IFERROR(__xludf.DUMMYFUNCTION("iferror(index('지수RAW'!$N$7:$N$12040,MATCH($D43,'지수RAW'!$J$7:$J$12040,0)-1,1),GOOGLEFINANCE(S$2))"),13246.87)</f>
        <v/>
      </c>
      <c r="T43" s="201" t="n"/>
      <c r="U43" s="252">
        <f t="array" ref="U43">IFERROR(INDEX(지수RAW!$AT$7:$AT$12040,MATCH($D43,지수RAW!$AP$7:$AP$12040,0)-1,1),지수RAW!$AU$4)</f>
        <v/>
      </c>
      <c r="V43" s="252">
        <f>IFERROR(__xludf.DUMMYFUNCTION("iferror(index('지수RAW'!$AL$7:$AL$12040,MATCH($D43,'지수RAW'!$AH$7:$AH$12040,0)-1,1),GOOGLEFINANCE(V$2))"),58794.94)</f>
        <v/>
      </c>
      <c r="W43" s="253">
        <f>IFERROR(__xludf.DUMMYFUNCTION("iferror(index('지수RAW'!$AD$7:$AD$12040,MATCH($D43,'지수RAW'!$Z$7:$Z$12040,0)-1,1),GOOGLEFINANCE(W$2))"),1127.2)</f>
        <v/>
      </c>
      <c r="X43" s="36">
        <f>$W43*R43</f>
        <v/>
      </c>
      <c r="Y43" s="36">
        <f>$W43*S43</f>
        <v/>
      </c>
      <c r="Z43" s="36">
        <f>$W43*U43</f>
        <v/>
      </c>
      <c r="AA43" s="36">
        <f>$W43*V43</f>
        <v/>
      </c>
      <c r="AB43" s="255" t="n"/>
      <c r="AC43" s="38">
        <f>IF(Q43="","",AC42*(W43/W42))</f>
        <v/>
      </c>
      <c r="AD43" s="38">
        <f>IF(R43="","",AD42*(X43/X42))</f>
        <v/>
      </c>
      <c r="AE43" s="38">
        <f>IF(S43="","",AE42*(Y43/Y42))</f>
        <v/>
      </c>
      <c r="AF43" s="38">
        <f>IF(U43="","",AF42*(Z43/Z42))</f>
        <v/>
      </c>
      <c r="AG43" s="38">
        <f>IF(V43="","",AG42*(AA43/AA42))</f>
        <v/>
      </c>
    </row>
    <row r="44" ht="12.75" customHeight="1" s="202">
      <c r="A44" s="201" t="n"/>
      <c r="B44" s="22">
        <f>IF(C43=12,B43+1,B43)</f>
        <v/>
      </c>
      <c r="C44" s="22">
        <f>IF(C43=12,1,C43+1)</f>
        <v/>
      </c>
      <c r="D44" s="22">
        <f>IF(F44="12월",(E44+1)&amp;VLOOKUP(F44,인덱스!$C:$D,2,0),E44&amp;VLOOKUP(F44,인덱스!$C:$D,2,0))</f>
        <v/>
      </c>
      <c r="E44" s="201">
        <f>"20"&amp;B44</f>
        <v/>
      </c>
      <c r="F44" s="201">
        <f>C44&amp;"월"</f>
        <v/>
      </c>
      <c r="G44" s="37">
        <f>B44&amp;"."&amp;VLOOKUP(F44,인덱스!$A:$B,2,0)</f>
        <v/>
      </c>
      <c r="H44" s="256">
        <f>IFERROR(VLOOKUP(G44,#REF!,2,0),)</f>
        <v/>
      </c>
      <c r="I44" s="38">
        <f>IF(Q44="","",I43*(Q44/Q43))</f>
        <v/>
      </c>
      <c r="J44" s="38">
        <f>IF(R44="","",J43*(R44/R43))</f>
        <v/>
      </c>
      <c r="K44" s="39">
        <f>IF(S44="","",K43*(S44/S43))</f>
        <v/>
      </c>
      <c r="L44" s="39">
        <f>IF(U44="","",L43*(U44/U43))</f>
        <v/>
      </c>
      <c r="M44" s="39">
        <f>IF(V44="","",M43*(V44/V43))</f>
        <v/>
      </c>
      <c r="N44" s="201" t="n"/>
      <c r="O44" s="201" t="n"/>
      <c r="P44" s="201" t="n"/>
      <c r="Q44" s="8">
        <f>IFERROR(__xludf.DUMMYFUNCTION("iferror(index('지수RAW'!$V$7:$V$12040,MATCH($D44,'지수RAW'!$R$7:$R$12040,0)-1,1),GOOGLEFINANCE(Q$2))"),3147.86)</f>
        <v/>
      </c>
      <c r="R44" s="201">
        <f>IFERROR(__xludf.DUMMYFUNCTION("iferror(index('지수RAW'!$F$7:$F$12040,MATCH($D44,'지수RAW'!$B$7:$B$12040,0)-1,1),GOOGLEFINANCE(R$2))"),4181.17)</f>
        <v/>
      </c>
      <c r="S44" s="9">
        <f>IFERROR(__xludf.DUMMYFUNCTION("iferror(index('지수RAW'!$N$7:$N$12040,MATCH($D44,'지수RAW'!$J$7:$J$12040,0)-1,1),GOOGLEFINANCE(S$2))"),13962.68)</f>
        <v/>
      </c>
      <c r="T44" s="201" t="n"/>
      <c r="U44" s="252">
        <f t="array" ref="U44">IFERROR(INDEX(지수RAW!$AT$7:$AT$12040,MATCH($D44,지수RAW!$AP$7:$AP$12040,0)-1,1),지수RAW!$AU$4)</f>
        <v/>
      </c>
      <c r="V44" s="252">
        <f>IFERROR(__xludf.DUMMYFUNCTION("iferror(index('지수RAW'!$AL$7:$AL$12040,MATCH($D44,'지수RAW'!$AH$7:$AH$12040,0)-1,1),GOOGLEFINANCE(V$2))"),57766.05)</f>
        <v/>
      </c>
      <c r="W44" s="253">
        <f>IFERROR(__xludf.DUMMYFUNCTION("iferror(index('지수RAW'!$AD$7:$AD$12040,MATCH($D44,'지수RAW'!$Z$7:$Z$12040,0)-1,1),GOOGLEFINANCE(W$2))"),1116.46)</f>
        <v/>
      </c>
      <c r="X44" s="36">
        <f>$W44*R44</f>
        <v/>
      </c>
      <c r="Y44" s="36">
        <f>$W44*S44</f>
        <v/>
      </c>
      <c r="Z44" s="36">
        <f>$W44*U44</f>
        <v/>
      </c>
      <c r="AA44" s="36">
        <f>$W44*V44</f>
        <v/>
      </c>
      <c r="AB44" s="255" t="n"/>
      <c r="AC44" s="38">
        <f>IF(Q44="","",AC43*(W44/W43))</f>
        <v/>
      </c>
      <c r="AD44" s="38">
        <f>IF(R44="","",AD43*(X44/X43))</f>
        <v/>
      </c>
      <c r="AE44" s="38">
        <f>IF(S44="","",AE43*(Y44/Y43))</f>
        <v/>
      </c>
      <c r="AF44" s="38">
        <f>IF(U44="","",AF43*(Z44/Z43))</f>
        <v/>
      </c>
      <c r="AG44" s="38">
        <f>IF(V44="","",AG43*(AA44/AA43))</f>
        <v/>
      </c>
    </row>
    <row r="45" ht="12.75" customHeight="1" s="202">
      <c r="A45" s="201" t="n"/>
      <c r="B45" s="22">
        <f>IF(C44=12,B44+1,B44)</f>
        <v/>
      </c>
      <c r="C45" s="22">
        <f>IF(C44=12,1,C44+1)</f>
        <v/>
      </c>
      <c r="D45" s="22">
        <f>IF(F45="12월",(E45+1)&amp;VLOOKUP(F45,인덱스!$C:$D,2,0),E45&amp;VLOOKUP(F45,인덱스!$C:$D,2,0))</f>
        <v/>
      </c>
      <c r="E45" s="201">
        <f>"20"&amp;B45</f>
        <v/>
      </c>
      <c r="F45" s="201">
        <f>C45&amp;"월"</f>
        <v/>
      </c>
      <c r="G45" s="37">
        <f>B45&amp;"."&amp;VLOOKUP(F45,인덱스!$A:$B,2,0)</f>
        <v/>
      </c>
      <c r="H45" s="256">
        <f>IFERROR(VLOOKUP(G45,#REF!,2,0),)</f>
        <v/>
      </c>
      <c r="I45" s="38">
        <f>IF(Q45="","",I44*(Q45/Q44))</f>
        <v/>
      </c>
      <c r="J45" s="38">
        <f>IF(R45="","",J44*(R45/R44))</f>
        <v/>
      </c>
      <c r="K45" s="39">
        <f>IF(S45="","",K44*(S45/S44))</f>
        <v/>
      </c>
      <c r="L45" s="39">
        <f>IF(U45="","",L44*(U45/U44))</f>
        <v/>
      </c>
      <c r="M45" s="39">
        <f>IF(V45="","",M44*(V45/V44))</f>
        <v/>
      </c>
      <c r="N45" s="201" t="n"/>
      <c r="O45" s="201" t="n"/>
      <c r="P45" s="201" t="n"/>
      <c r="Q45" s="8">
        <f>IFERROR(__xludf.DUMMYFUNCTION("iferror(index('지수RAW'!$V$7:$V$12040,MATCH($D45,'지수RAW'!$R$7:$R$12040,0)-1,1),GOOGLEFINANCE(Q$2))"),3203.92)</f>
        <v/>
      </c>
      <c r="R45" s="201">
        <f>IFERROR(__xludf.DUMMYFUNCTION("iferror(index('지수RAW'!$F$7:$F$12040,MATCH($D45,'지수RAW'!$B$7:$B$12040,0)-1,1),GOOGLEFINANCE(R$2))"),4204.11)</f>
        <v/>
      </c>
      <c r="S45" s="9">
        <f>IFERROR(__xludf.DUMMYFUNCTION("iferror(index('지수RAW'!$N$7:$N$12040,MATCH($D45,'지수RAW'!$J$7:$J$12040,0)-1,1),GOOGLEFINANCE(S$2))"),13748.74)</f>
        <v/>
      </c>
      <c r="T45" s="201" t="n"/>
      <c r="U45" s="252">
        <f t="array" ref="U45">IFERROR(INDEX(지수RAW!$AT$7:$AT$12040,MATCH($D45,지수RAW!$AP$7:$AP$12040,0)-1,1),지수RAW!$AU$4)</f>
        <v/>
      </c>
      <c r="V45" s="252">
        <f>IFERROR(__xludf.DUMMYFUNCTION("iferror(index('지수RAW'!$AL$7:$AL$12040,MATCH($D45,'지수RAW'!$AH$7:$AH$12040,0)-1,1),GOOGLEFINANCE(V$2))"),37309.36)</f>
        <v/>
      </c>
      <c r="W45" s="253">
        <f>IFERROR(__xludf.DUMMYFUNCTION("iferror(index('지수RAW'!$AD$7:$AD$12040,MATCH($D45,'지수RAW'!$Z$7:$Z$12040,0)-1,1),GOOGLEFINANCE(W$2))"),1106.98)</f>
        <v/>
      </c>
      <c r="X45" s="36">
        <f>$W45*R45</f>
        <v/>
      </c>
      <c r="Y45" s="36">
        <f>$W45*S45</f>
        <v/>
      </c>
      <c r="Z45" s="36">
        <f>$W45*U45</f>
        <v/>
      </c>
      <c r="AA45" s="36">
        <f>$W45*V45</f>
        <v/>
      </c>
      <c r="AB45" s="255" t="n"/>
      <c r="AC45" s="38">
        <f>IF(Q45="","",AC44*(W45/W44))</f>
        <v/>
      </c>
      <c r="AD45" s="38">
        <f>IF(R45="","",AD44*(X45/X44))</f>
        <v/>
      </c>
      <c r="AE45" s="38">
        <f>IF(S45="","",AE44*(Y45/Y44))</f>
        <v/>
      </c>
      <c r="AF45" s="38">
        <f>IF(U45="","",AF44*(Z45/Z44))</f>
        <v/>
      </c>
      <c r="AG45" s="38">
        <f>IF(V45="","",AG44*(AA45/AA44))</f>
        <v/>
      </c>
    </row>
    <row r="46" ht="12.75" customHeight="1" s="202">
      <c r="A46" s="201" t="n"/>
      <c r="B46" s="22">
        <f>IF(C45=12,B45+1,B45)</f>
        <v/>
      </c>
      <c r="C46" s="22">
        <f>IF(C45=12,1,C45+1)</f>
        <v/>
      </c>
      <c r="D46" s="22">
        <f>IF(F46="12월",(E46+1)&amp;VLOOKUP(F46,인덱스!$C:$D,2,0),E46&amp;VLOOKUP(F46,인덱스!$C:$D,2,0))</f>
        <v/>
      </c>
      <c r="E46" s="201">
        <f>"20"&amp;B46</f>
        <v/>
      </c>
      <c r="F46" s="201">
        <f>C46&amp;"월"</f>
        <v/>
      </c>
      <c r="G46" s="37">
        <f>B46&amp;"."&amp;VLOOKUP(F46,인덱스!$A:$B,2,0)</f>
        <v/>
      </c>
      <c r="H46" s="256">
        <f>IFERROR(VLOOKUP(G46,#REF!,2,0),)</f>
        <v/>
      </c>
      <c r="I46" s="38">
        <f>IF(Q46="","",I45*(Q46/Q45))</f>
        <v/>
      </c>
      <c r="J46" s="38">
        <f>IF(R46="","",J45*(R46/R45))</f>
        <v/>
      </c>
      <c r="K46" s="39">
        <f>IF(S46="","",K45*(S46/S45))</f>
        <v/>
      </c>
      <c r="L46" s="39">
        <f>IF(U46="","",L45*(U46/U45))</f>
        <v/>
      </c>
      <c r="M46" s="39">
        <f>IF(V46="","",M45*(V46/V45))</f>
        <v/>
      </c>
      <c r="N46" s="201" t="n"/>
      <c r="O46" s="201" t="n"/>
      <c r="P46" s="201" t="n"/>
      <c r="Q46" s="8">
        <f>IFERROR(__xludf.DUMMYFUNCTION("iferror(index('지수RAW'!$V$7:$V$12040,MATCH($D46,'지수RAW'!$R$7:$R$12040,0)-1,1),GOOGLEFINANCE(Q$2))"),3296.68)</f>
        <v/>
      </c>
      <c r="R46" s="201">
        <f>IFERROR(__xludf.DUMMYFUNCTION("iferror(index('지수RAW'!$F$7:$F$12040,MATCH($D46,'지수RAW'!$B$7:$B$12040,0)-1,1),GOOGLEFINANCE(R$2))"),4297.5)</f>
        <v/>
      </c>
      <c r="S46" s="9">
        <f>IFERROR(__xludf.DUMMYFUNCTION("iferror(index('지수RAW'!$N$7:$N$12040,MATCH($D46,'지수RAW'!$J$7:$J$12040,0)-1,1),GOOGLEFINANCE(S$2))"),14503.95)</f>
        <v/>
      </c>
      <c r="T46" s="201" t="n"/>
      <c r="U46" s="252">
        <f t="array" ref="U46">IFERROR(INDEX(지수RAW!$AT$7:$AT$12040,MATCH($D46,지수RAW!$AP$7:$AP$12040,0)-1,1),지수RAW!$AU$4)</f>
        <v/>
      </c>
      <c r="V46" s="252">
        <f>IFERROR(__xludf.DUMMYFUNCTION("iferror(index('지수RAW'!$AL$7:$AL$12040,MATCH($D46,'지수RAW'!$AH$7:$AH$12040,0)-1,1),GOOGLEFINANCE(V$2))"),35031.71)</f>
        <v/>
      </c>
      <c r="W46" s="253">
        <f>IFERROR(__xludf.DUMMYFUNCTION("iferror(index('지수RAW'!$AD$7:$AD$12040,MATCH($D46,'지수RAW'!$Z$7:$Z$12040,0)-1,1),GOOGLEFINANCE(W$2))"),1129.6)</f>
        <v/>
      </c>
      <c r="X46" s="36">
        <f>$W46*R46</f>
        <v/>
      </c>
      <c r="Y46" s="36">
        <f>$W46*S46</f>
        <v/>
      </c>
      <c r="Z46" s="36">
        <f>$W46*U46</f>
        <v/>
      </c>
      <c r="AA46" s="36">
        <f>$W46*V46</f>
        <v/>
      </c>
      <c r="AB46" s="255" t="n"/>
      <c r="AC46" s="38">
        <f>IF(Q46="","",AC45*(W46/W45))</f>
        <v/>
      </c>
      <c r="AD46" s="38">
        <f>IF(R46="","",AD45*(X46/X45))</f>
        <v/>
      </c>
      <c r="AE46" s="38">
        <f>IF(S46="","",AE45*(Y46/Y45))</f>
        <v/>
      </c>
      <c r="AF46" s="38">
        <f>IF(U46="","",AF45*(Z46/Z45))</f>
        <v/>
      </c>
      <c r="AG46" s="38">
        <f>IF(V46="","",AG45*(AA46/AA45))</f>
        <v/>
      </c>
    </row>
    <row r="47" ht="12.75" customHeight="1" s="202">
      <c r="A47" s="201" t="n"/>
      <c r="B47" s="22">
        <f>IF(C46=12,B46+1,B46)</f>
        <v/>
      </c>
      <c r="C47" s="22">
        <f>IF(C46=12,1,C46+1)</f>
        <v/>
      </c>
      <c r="D47" s="22">
        <f>IF(F47="12월",(E47+1)&amp;VLOOKUP(F47,인덱스!$C:$D,2,0),E47&amp;VLOOKUP(F47,인덱스!$C:$D,2,0))</f>
        <v/>
      </c>
      <c r="E47" s="201">
        <f>"20"&amp;B47</f>
        <v/>
      </c>
      <c r="F47" s="201">
        <f>C47&amp;"월"</f>
        <v/>
      </c>
      <c r="G47" s="37">
        <f>B47&amp;"."&amp;VLOOKUP(F47,인덱스!$A:$B,2,0)</f>
        <v/>
      </c>
      <c r="H47" s="256">
        <f>IFERROR(VLOOKUP(G47,#REF!,2,0),)</f>
        <v/>
      </c>
      <c r="I47" s="38">
        <f>IF(Q47="","",I46*(Q47/Q46))</f>
        <v/>
      </c>
      <c r="J47" s="38">
        <f>IF(R47="","",J46*(R47/R46))</f>
        <v/>
      </c>
      <c r="K47" s="39">
        <f>IF(S47="","",K46*(S47/S46))</f>
        <v/>
      </c>
      <c r="L47" s="39">
        <f>IF(U47="","",L46*(U47/U46))</f>
        <v/>
      </c>
      <c r="M47" s="39">
        <f>IF(V47="","",M46*(V47/V46))</f>
        <v/>
      </c>
      <c r="N47" s="201" t="n"/>
      <c r="O47" s="201" t="n"/>
      <c r="P47" s="201" t="n"/>
      <c r="Q47" s="8">
        <f>IFERROR(__xludf.DUMMYFUNCTION("iferror(index('지수RAW'!$V$7:$V$12040,MATCH($D47,'지수RAW'!$R$7:$R$12040,0)-1,1),GOOGLEFINANCE(Q$2))"),3202.32)</f>
        <v/>
      </c>
      <c r="R47" s="201">
        <f>IFERROR(__xludf.DUMMYFUNCTION("iferror(index('지수RAW'!$F$7:$F$12040,MATCH($D47,'지수RAW'!$B$7:$B$12040,0)-1,1),GOOGLEFINANCE(R$2))"),4395.26)</f>
        <v/>
      </c>
      <c r="S47" s="9">
        <f>IFERROR(__xludf.DUMMYFUNCTION("iferror(index('지수RAW'!$N$7:$N$12040,MATCH($D47,'지수RAW'!$J$7:$J$12040,0)-1,1),GOOGLEFINANCE(S$2))"),14672.68)</f>
        <v/>
      </c>
      <c r="T47" s="201" t="n"/>
      <c r="U47" s="252">
        <f t="array" ref="U47">IFERROR(INDEX(지수RAW!$AT$7:$AT$12040,MATCH($D47,지수RAW!$AP$7:$AP$12040,0)-1,1),지수RAW!$AU$4)</f>
        <v/>
      </c>
      <c r="V47" s="252">
        <f>IFERROR(__xludf.DUMMYFUNCTION("iferror(index('지수RAW'!$AL$7:$AL$12040,MATCH($D47,'지수RAW'!$AH$7:$AH$12040,0)-1,1),GOOGLEFINANCE(V$2))"),41538.9)</f>
        <v/>
      </c>
      <c r="W47" s="253">
        <f>IFERROR(__xludf.DUMMYFUNCTION("iferror(index('지수RAW'!$AD$7:$AD$12040,MATCH($D47,'지수RAW'!$Z$7:$Z$12040,0)-1,1),GOOGLEFINANCE(W$2))"),1150.63)</f>
        <v/>
      </c>
      <c r="X47" s="36">
        <f>$W47*R47</f>
        <v/>
      </c>
      <c r="Y47" s="36">
        <f>$W47*S47</f>
        <v/>
      </c>
      <c r="Z47" s="36">
        <f>$W47*U47</f>
        <v/>
      </c>
      <c r="AA47" s="36">
        <f>$W47*V47</f>
        <v/>
      </c>
      <c r="AB47" s="255" t="n"/>
      <c r="AC47" s="38">
        <f>IF(Q47="","",AC46*(W47/W46))</f>
        <v/>
      </c>
      <c r="AD47" s="38">
        <f>IF(R47="","",AD46*(X47/X46))</f>
        <v/>
      </c>
      <c r="AE47" s="38">
        <f>IF(S47="","",AE46*(Y47/Y46))</f>
        <v/>
      </c>
      <c r="AF47" s="38">
        <f>IF(U47="","",AF46*(Z47/Z46))</f>
        <v/>
      </c>
      <c r="AG47" s="38">
        <f>IF(V47="","",AG46*(AA47/AA46))</f>
        <v/>
      </c>
    </row>
    <row r="48" ht="12.75" customHeight="1" s="202">
      <c r="A48" s="201" t="n"/>
      <c r="B48" s="22">
        <f>IF(C47=12,B47+1,B47)</f>
        <v/>
      </c>
      <c r="C48" s="22">
        <f>IF(C47=12,1,C47+1)</f>
        <v/>
      </c>
      <c r="D48" s="22">
        <f>IF(F48="12월",(E48+1)&amp;VLOOKUP(F48,인덱스!$C:$D,2,0),E48&amp;VLOOKUP(F48,인덱스!$C:$D,2,0))</f>
        <v/>
      </c>
      <c r="E48" s="201">
        <f>"20"&amp;B48</f>
        <v/>
      </c>
      <c r="F48" s="201">
        <f>C48&amp;"월"</f>
        <v/>
      </c>
      <c r="G48" s="37">
        <f>B48&amp;"."&amp;VLOOKUP(F48,인덱스!$A:$B,2,0)</f>
        <v/>
      </c>
      <c r="H48" s="256">
        <f>IFERROR(VLOOKUP(G48,#REF!,2,0),)</f>
        <v/>
      </c>
      <c r="I48" s="38">
        <f>IF(Q48="","",I47*(Q48/Q47))</f>
        <v/>
      </c>
      <c r="J48" s="38">
        <f>IF(R48="","",J47*(R48/R47))</f>
        <v/>
      </c>
      <c r="K48" s="39">
        <f>IF(S48="","",K47*(S48/S47))</f>
        <v/>
      </c>
      <c r="L48" s="39">
        <f>IF(U48="","",L47*(U48/U47))</f>
        <v/>
      </c>
      <c r="M48" s="39">
        <f>IF(V48="","",M47*(V48/V47))</f>
        <v/>
      </c>
      <c r="N48" s="201" t="n"/>
      <c r="O48" s="201" t="n"/>
      <c r="P48" s="201" t="n"/>
      <c r="Q48" s="8">
        <f>IFERROR(__xludf.DUMMYFUNCTION("iferror(index('지수RAW'!$V$7:$V$12040,MATCH($D48,'지수RAW'!$R$7:$R$12040,0)-1,1),GOOGLEFINANCE(Q$2))"),3199.27)</f>
        <v/>
      </c>
      <c r="R48" s="201">
        <f>IFERROR(__xludf.DUMMYFUNCTION("iferror(index('지수RAW'!$F$7:$F$12040,MATCH($D48,'지수RAW'!$B$7:$B$12040,0)-1,1),GOOGLEFINANCE(R$2))"),4522.68)</f>
        <v/>
      </c>
      <c r="S48" s="9">
        <f>IFERROR(__xludf.DUMMYFUNCTION("iferror(index('지수RAW'!$N$7:$N$12040,MATCH($D48,'지수RAW'!$J$7:$J$12040,0)-1,1),GOOGLEFINANCE(S$2))"),15259.24)</f>
        <v/>
      </c>
      <c r="T48" s="201" t="n"/>
      <c r="U48" s="252">
        <f t="array" ref="U48">IFERROR(INDEX(지수RAW!$AT$7:$AT$12040,MATCH($D48,지수RAW!$AP$7:$AP$12040,0)-1,1),지수RAW!$AU$4)</f>
        <v/>
      </c>
      <c r="V48" s="252">
        <f>IFERROR(__xludf.DUMMYFUNCTION("iferror(index('지수RAW'!$AL$7:$AL$12040,MATCH($D48,'지수RAW'!$AH$7:$AH$12040,0)-1,1),GOOGLEFINANCE(V$2))"),47135.83)</f>
        <v/>
      </c>
      <c r="W48" s="253">
        <f>IFERROR(__xludf.DUMMYFUNCTION("iferror(index('지수RAW'!$AD$7:$AD$12040,MATCH($D48,'지수RAW'!$Z$7:$Z$12040,0)-1,1),GOOGLEFINANCE(W$2))"),1158.41)</f>
        <v/>
      </c>
      <c r="X48" s="36">
        <f>$W48*R48</f>
        <v/>
      </c>
      <c r="Y48" s="36">
        <f>$W48*S48</f>
        <v/>
      </c>
      <c r="Z48" s="36">
        <f>$W48*U48</f>
        <v/>
      </c>
      <c r="AA48" s="36">
        <f>$W48*V48</f>
        <v/>
      </c>
      <c r="AB48" s="255" t="n"/>
      <c r="AC48" s="38">
        <f>IF(Q48="","",AC47*(W48/W47))</f>
        <v/>
      </c>
      <c r="AD48" s="38">
        <f>IF(R48="","",AD47*(X48/X47))</f>
        <v/>
      </c>
      <c r="AE48" s="38">
        <f>IF(S48="","",AE47*(Y48/Y47))</f>
        <v/>
      </c>
      <c r="AF48" s="38">
        <f>IF(U48="","",AF47*(Z48/Z47))</f>
        <v/>
      </c>
      <c r="AG48" s="38">
        <f>IF(V48="","",AG47*(AA48/AA47))</f>
        <v/>
      </c>
    </row>
    <row r="49" ht="12.75" customHeight="1" s="202">
      <c r="A49" s="201" t="n"/>
      <c r="B49" s="22">
        <f>IF(C48=12,B48+1,B48)</f>
        <v/>
      </c>
      <c r="C49" s="22">
        <f>IF(C48=12,1,C48+1)</f>
        <v/>
      </c>
      <c r="D49" s="22">
        <f>IF(F49="12월",(E49+1)&amp;VLOOKUP(F49,인덱스!$C:$D,2,0),E49&amp;VLOOKUP(F49,인덱스!$C:$D,2,0))</f>
        <v/>
      </c>
      <c r="E49" s="201">
        <f>"20"&amp;B49</f>
        <v/>
      </c>
      <c r="F49" s="201">
        <f>C49&amp;"월"</f>
        <v/>
      </c>
      <c r="G49" s="37">
        <f>B49&amp;"."&amp;VLOOKUP(F49,인덱스!$A:$B,2,0)</f>
        <v/>
      </c>
      <c r="H49" s="256">
        <f>IFERROR(VLOOKUP(G49,#REF!,2,0),)</f>
        <v/>
      </c>
      <c r="I49" s="38">
        <f>IF(Q49="","",I48*(Q49/Q48))</f>
        <v/>
      </c>
      <c r="J49" s="38">
        <f>IF(R49="","",J48*(R49/R48))</f>
        <v/>
      </c>
      <c r="K49" s="39">
        <f>IF(S49="","",K48*(S49/S48))</f>
        <v/>
      </c>
      <c r="L49" s="39">
        <f>IF(U49="","",L48*(U49/U48))</f>
        <v/>
      </c>
      <c r="M49" s="39">
        <f>IF(V49="","",M48*(V49/V48))</f>
        <v/>
      </c>
      <c r="N49" s="201" t="n"/>
      <c r="O49" s="201" t="n"/>
      <c r="P49" s="201" t="n"/>
      <c r="Q49" s="8">
        <f>IFERROR(__xludf.DUMMYFUNCTION("iferror(index('지수RAW'!$V$7:$V$12040,MATCH($D49,'지수RAW'!$R$7:$R$12040,0)-1,1),GOOGLEFINANCE(Q$2))"),3068.82)</f>
        <v/>
      </c>
      <c r="R49" s="201">
        <f>IFERROR(__xludf.DUMMYFUNCTION("iferror(index('지수RAW'!$F$7:$F$12040,MATCH($D49,'지수RAW'!$B$7:$B$12040,0)-1,1),GOOGLEFINANCE(R$2))"),4307.54)</f>
        <v/>
      </c>
      <c r="S49" s="9">
        <f>IFERROR(__xludf.DUMMYFUNCTION("iferror(index('지수RAW'!$N$7:$N$12040,MATCH($D49,'지수RAW'!$J$7:$J$12040,0)-1,1),GOOGLEFINANCE(S$2))"),14448.58)</f>
        <v/>
      </c>
      <c r="T49" s="201" t="n"/>
      <c r="U49" s="252">
        <f t="array" ref="U49">IFERROR(INDEX(지수RAW!$AT$7:$AT$12040,MATCH($D49,지수RAW!$AP$7:$AP$12040,0)-1,1),지수RAW!$AU$4)</f>
        <v/>
      </c>
      <c r="V49" s="252">
        <f>IFERROR(__xludf.DUMMYFUNCTION("iferror(index('지수RAW'!$AL$7:$AL$12040,MATCH($D49,'지수RAW'!$AH$7:$AH$12040,0)-1,1),GOOGLEFINANCE(V$2))"),43788.04)</f>
        <v/>
      </c>
      <c r="W49" s="253">
        <f>IFERROR(__xludf.DUMMYFUNCTION("iferror(index('지수RAW'!$AD$7:$AD$12040,MATCH($D49,'지수RAW'!$Z$7:$Z$12040,0)-1,1),GOOGLEFINANCE(W$2))"),1183.72)</f>
        <v/>
      </c>
      <c r="X49" s="36">
        <f>$W49*R49</f>
        <v/>
      </c>
      <c r="Y49" s="36">
        <f>$W49*S49</f>
        <v/>
      </c>
      <c r="Z49" s="36">
        <f>$W49*U49</f>
        <v/>
      </c>
      <c r="AA49" s="36">
        <f>$W49*V49</f>
        <v/>
      </c>
      <c r="AB49" s="255" t="n"/>
      <c r="AC49" s="38">
        <f>IF(Q49="","",AC48*(W49/W48))</f>
        <v/>
      </c>
      <c r="AD49" s="38">
        <f>IF(R49="","",AD48*(X49/X48))</f>
        <v/>
      </c>
      <c r="AE49" s="38">
        <f>IF(S49="","",AE48*(Y49/Y48))</f>
        <v/>
      </c>
      <c r="AF49" s="38">
        <f>IF(U49="","",AF48*(Z49/Z48))</f>
        <v/>
      </c>
      <c r="AG49" s="38">
        <f>IF(V49="","",AG48*(AA49/AA48))</f>
        <v/>
      </c>
    </row>
    <row r="50" ht="12.75" customHeight="1" s="202">
      <c r="A50" s="201" t="n"/>
      <c r="B50" s="22">
        <f>IF(C49=12,B49+1,B49)</f>
        <v/>
      </c>
      <c r="C50" s="22">
        <f>IF(C49=12,1,C49+1)</f>
        <v/>
      </c>
      <c r="D50" s="22">
        <f>IF(F50="12월",(E50+1)&amp;VLOOKUP(F50,인덱스!$C:$D,2,0),E50&amp;VLOOKUP(F50,인덱스!$C:$D,2,0))</f>
        <v/>
      </c>
      <c r="E50" s="201">
        <f>"20"&amp;B50</f>
        <v/>
      </c>
      <c r="F50" s="201">
        <f>C50&amp;"월"</f>
        <v/>
      </c>
      <c r="G50" s="37">
        <f>B50&amp;"."&amp;VLOOKUP(F50,인덱스!$A:$B,2,0)</f>
        <v/>
      </c>
      <c r="H50" s="256">
        <f>IFERROR(VLOOKUP(G50,#REF!,2,0),)</f>
        <v/>
      </c>
      <c r="I50" s="38">
        <f>IF(Q50="","",I49*(Q50/Q49))</f>
        <v/>
      </c>
      <c r="J50" s="38">
        <f>IF(R50="","",J49*(R50/R49))</f>
        <v/>
      </c>
      <c r="K50" s="39">
        <f>IF(S50="","",K49*(S50/S49))</f>
        <v/>
      </c>
      <c r="L50" s="39">
        <f>IF(U50="","",L49*(U50/U49))</f>
        <v/>
      </c>
      <c r="M50" s="39">
        <f>IF(V50="","",M49*(V50/V49))</f>
        <v/>
      </c>
      <c r="N50" s="201" t="n"/>
      <c r="O50" s="201" t="n"/>
      <c r="P50" s="201" t="n"/>
      <c r="Q50" s="8">
        <f>IFERROR(__xludf.DUMMYFUNCTION("iferror(index('지수RAW'!$V$7:$V$12040,MATCH($D50,'지수RAW'!$R$7:$R$12040,0)-1,1),GOOGLEFINANCE(Q$2))"),2970.68)</f>
        <v/>
      </c>
      <c r="R50" s="201">
        <f>IFERROR(__xludf.DUMMYFUNCTION("iferror(index('지수RAW'!$F$7:$F$12040,MATCH($D50,'지수RAW'!$B$7:$B$12040,0)-1,1),GOOGLEFINANCE(R$2))"),4605.38)</f>
        <v/>
      </c>
      <c r="S50" s="9">
        <f>IFERROR(__xludf.DUMMYFUNCTION("iferror(index('지수RAW'!$N$7:$N$12040,MATCH($D50,'지수RAW'!$J$7:$J$12040,0)-1,1),GOOGLEFINANCE(S$2))"),15498.39)</f>
        <v/>
      </c>
      <c r="T50" s="201" t="n"/>
      <c r="U50" s="252">
        <f t="array" ref="U50">IFERROR(INDEX(지수RAW!$AT$7:$AT$12040,MATCH($D50,지수RAW!$AP$7:$AP$12040,0)-1,1),지수RAW!$AU$4)</f>
        <v/>
      </c>
      <c r="V50" s="252">
        <f>IFERROR(__xludf.DUMMYFUNCTION("iferror(index('지수RAW'!$AL$7:$AL$12040,MATCH($D50,'지수RAW'!$AH$7:$AH$12040,0)-1,1),GOOGLEFINANCE(V$2))"),61340.66)</f>
        <v/>
      </c>
      <c r="W50" s="253">
        <f>IFERROR(__xludf.DUMMYFUNCTION("iferror(index('지수RAW'!$AD$7:$AD$12040,MATCH($D50,'지수RAW'!$Z$7:$Z$12040,0)-1,1),GOOGLEFINANCE(W$2))"),1174.38)</f>
        <v/>
      </c>
      <c r="X50" s="36">
        <f>$W50*R50</f>
        <v/>
      </c>
      <c r="Y50" s="36">
        <f>$W50*S50</f>
        <v/>
      </c>
      <c r="Z50" s="36">
        <f>$W50*U50</f>
        <v/>
      </c>
      <c r="AA50" s="36">
        <f>$W50*V50</f>
        <v/>
      </c>
      <c r="AB50" s="255" t="n"/>
      <c r="AC50" s="38">
        <f>IF(Q50="","",AC49*(W50/W49))</f>
        <v/>
      </c>
      <c r="AD50" s="38">
        <f>IF(R50="","",AD49*(X50/X49))</f>
        <v/>
      </c>
      <c r="AE50" s="38">
        <f>IF(S50="","",AE49*(Y50/Y49))</f>
        <v/>
      </c>
      <c r="AF50" s="38">
        <f>IF(U50="","",AF49*(Z50/Z49))</f>
        <v/>
      </c>
      <c r="AG50" s="38">
        <f>IF(V50="","",AG49*(AA50/AA49))</f>
        <v/>
      </c>
    </row>
    <row r="51" ht="12.75" customHeight="1" s="202">
      <c r="A51" s="201" t="n"/>
      <c r="B51" s="22">
        <f>IF(C50=12,B50+1,B50)</f>
        <v/>
      </c>
      <c r="C51" s="22">
        <f>IF(C50=12,1,C50+1)</f>
        <v/>
      </c>
      <c r="D51" s="22">
        <f>IF(F51="12월",(E51+1)&amp;VLOOKUP(F51,인덱스!$C:$D,2,0),E51&amp;VLOOKUP(F51,인덱스!$C:$D,2,0))</f>
        <v/>
      </c>
      <c r="E51" s="201">
        <f>"20"&amp;B51</f>
        <v/>
      </c>
      <c r="F51" s="201">
        <f>C51&amp;"월"</f>
        <v/>
      </c>
      <c r="G51" s="37">
        <f>B51&amp;"."&amp;VLOOKUP(F51,인덱스!$A:$B,2,0)</f>
        <v/>
      </c>
      <c r="H51" s="256">
        <f>IFERROR(VLOOKUP(G51,#REF!,2,0),)</f>
        <v/>
      </c>
      <c r="I51" s="38">
        <f>IF(Q51="","",I50*(Q51/Q50))</f>
        <v/>
      </c>
      <c r="J51" s="38">
        <f>IF(R51="","",J50*(R51/R50))</f>
        <v/>
      </c>
      <c r="K51" s="39">
        <f>IF(S51="","",K50*(S51/S50))</f>
        <v/>
      </c>
      <c r="L51" s="39">
        <f>IF(U51="","",L50*(U51/U50))</f>
        <v/>
      </c>
      <c r="M51" s="39">
        <f>IF(V51="","",M50*(V51/V50))</f>
        <v/>
      </c>
      <c r="N51" s="201" t="n"/>
      <c r="O51" s="201" t="n"/>
      <c r="P51" s="201" t="n"/>
      <c r="Q51" s="8">
        <f>IFERROR(__xludf.DUMMYFUNCTION("iferror(index('지수RAW'!$V$7:$V$12040,MATCH($D51,'지수RAW'!$R$7:$R$12040,0)-1,1),GOOGLEFINANCE(Q$2))"),2839.01)</f>
        <v/>
      </c>
      <c r="R51" s="201">
        <f>IFERROR(__xludf.DUMMYFUNCTION("iferror(index('지수RAW'!$F$7:$F$12040,MATCH($D51,'지수RAW'!$B$7:$B$12040,0)-1,1),GOOGLEFINANCE(R$2))"),4567)</f>
        <v/>
      </c>
      <c r="S51" s="9">
        <f>IFERROR(__xludf.DUMMYFUNCTION("iferror(index('지수RAW'!$N$7:$N$12040,MATCH($D51,'지수RAW'!$J$7:$J$12040,0)-1,1),GOOGLEFINANCE(S$2))"),15537.69)</f>
        <v/>
      </c>
      <c r="T51" s="201" t="n"/>
      <c r="U51" s="252">
        <f t="array" ref="U51">IFERROR(INDEX(지수RAW!$AT$7:$AT$12040,MATCH($D51,지수RAW!$AP$7:$AP$12040,0)-1,1),지수RAW!$AU$4)</f>
        <v/>
      </c>
      <c r="V51" s="252">
        <f>IFERROR(__xludf.DUMMYFUNCTION("iferror(index('지수RAW'!$AL$7:$AL$12040,MATCH($D51,'지수RAW'!$AH$7:$AH$12040,0)-1,1),GOOGLEFINANCE(V$2))"),56959.33)</f>
        <v/>
      </c>
      <c r="W51" s="253">
        <f>IFERROR(__xludf.DUMMYFUNCTION("iferror(index('지수RAW'!$AD$7:$AD$12040,MATCH($D51,'지수RAW'!$Z$7:$Z$12040,0)-1,1),GOOGLEFINANCE(W$2))"),1182.86)</f>
        <v/>
      </c>
      <c r="X51" s="36">
        <f>$W51*R51</f>
        <v/>
      </c>
      <c r="Y51" s="36">
        <f>$W51*S51</f>
        <v/>
      </c>
      <c r="Z51" s="36">
        <f>$W51*U51</f>
        <v/>
      </c>
      <c r="AA51" s="36">
        <f>$W51*V51</f>
        <v/>
      </c>
      <c r="AB51" s="255" t="n"/>
      <c r="AC51" s="38">
        <f>IF(Q51="","",AC50*(W51/W50))</f>
        <v/>
      </c>
      <c r="AD51" s="38">
        <f>IF(R51="","",AD50*(X51/X50))</f>
        <v/>
      </c>
      <c r="AE51" s="38">
        <f>IF(S51="","",AE50*(Y51/Y50))</f>
        <v/>
      </c>
      <c r="AF51" s="38">
        <f>IF(U51="","",AF50*(Z51/Z50))</f>
        <v/>
      </c>
      <c r="AG51" s="38">
        <f>IF(V51="","",AG50*(AA51/AA50))</f>
        <v/>
      </c>
    </row>
    <row r="52" ht="12.75" customHeight="1" s="202">
      <c r="A52" s="201" t="n"/>
      <c r="B52" s="22">
        <f>IF(C51=12,B51+1,B51)</f>
        <v/>
      </c>
      <c r="C52" s="22">
        <f>IF(C51=12,1,C51+1)</f>
        <v/>
      </c>
      <c r="D52" s="22">
        <f>IF(F52="12월",(E52+1)&amp;VLOOKUP(F52,인덱스!$C:$D,2,0),E52&amp;VLOOKUP(F52,인덱스!$C:$D,2,0))</f>
        <v/>
      </c>
      <c r="E52" s="201">
        <f>"20"&amp;B52</f>
        <v/>
      </c>
      <c r="F52" s="201">
        <f>C52&amp;"월"</f>
        <v/>
      </c>
      <c r="G52" s="37">
        <f>B52&amp;"."&amp;VLOOKUP(F52,인덱스!$A:$B,2,0)</f>
        <v/>
      </c>
      <c r="H52" s="256">
        <f>IFERROR(VLOOKUP(G52,#REF!,2,0),)</f>
        <v/>
      </c>
      <c r="I52" s="38">
        <f>IF(Q52="","",I51*(Q52/Q51))</f>
        <v/>
      </c>
      <c r="J52" s="38">
        <f>IF(R52="","",J51*(R52/R51))</f>
        <v/>
      </c>
      <c r="K52" s="39">
        <f>IF(S52="","",K51*(S52/S51))</f>
        <v/>
      </c>
      <c r="L52" s="39">
        <f>IF(U52="","",L51*(U52/U51))</f>
        <v/>
      </c>
      <c r="M52" s="39">
        <f>IF(V52="","",M51*(V52/V51))</f>
        <v/>
      </c>
      <c r="N52" s="201" t="n"/>
      <c r="O52" s="201" t="n"/>
      <c r="P52" s="201" t="n"/>
      <c r="Q52" s="8">
        <f>IFERROR(__xludf.DUMMYFUNCTION("iferror(index('지수RAW'!$V$7:$V$12040,MATCH($D52,'지수RAW'!$R$7:$R$12040,0)-1,1),GOOGLEFINANCE(Q$2))"),2977.65)</f>
        <v/>
      </c>
      <c r="R52" s="201">
        <f>IFERROR(__xludf.DUMMYFUNCTION("iferror(index('지수RAW'!$F$7:$F$12040,MATCH($D52,'지수RAW'!$B$7:$B$12040,0)-1,1),GOOGLEFINANCE(R$2))"),4766.18)</f>
        <v/>
      </c>
      <c r="S52" s="9">
        <f>IFERROR(__xludf.DUMMYFUNCTION("iferror(index('지수RAW'!$N$7:$N$12040,MATCH($D52,'지수RAW'!$J$7:$J$12040,0)-1,1),GOOGLEFINANCE(S$2))"),15644.97)</f>
        <v/>
      </c>
      <c r="T52" s="201" t="n"/>
      <c r="U52" s="252">
        <f t="array" ref="U52">IFERROR(INDEX(지수RAW!$AT$7:$AT$12040,MATCH($D52,지수RAW!$AP$7:$AP$12040,0)-1,1),지수RAW!$AU$4)</f>
        <v/>
      </c>
      <c r="V52" s="252">
        <f>IFERROR(__xludf.DUMMYFUNCTION("iferror(index('지수RAW'!$AL$7:$AL$12040,MATCH($D52,'지수RAW'!$AH$7:$AH$12040,0)-1,1),GOOGLEFINANCE(V$2))"),46203.3)</f>
        <v/>
      </c>
      <c r="W52" s="253">
        <f>IFERROR(__xludf.DUMMYFUNCTION("iferror(index('지수RAW'!$AD$7:$AD$12040,MATCH($D52,'지수RAW'!$Z$7:$Z$12040,0)-1,1),GOOGLEFINANCE(W$2))"),1187.78)</f>
        <v/>
      </c>
      <c r="X52" s="36">
        <f>$W52*R52</f>
        <v/>
      </c>
      <c r="Y52" s="36">
        <f>$W52*S52</f>
        <v/>
      </c>
      <c r="Z52" s="36">
        <f>$W52*U52</f>
        <v/>
      </c>
      <c r="AA52" s="36">
        <f>$W52*V52</f>
        <v/>
      </c>
      <c r="AB52" s="255" t="n"/>
      <c r="AC52" s="38">
        <f>IF(Q52="","",AC51*(W52/W51))</f>
        <v/>
      </c>
      <c r="AD52" s="38">
        <f>IF(R52="","",AD51*(X52/X51))</f>
        <v/>
      </c>
      <c r="AE52" s="38">
        <f>IF(S52="","",AE51*(Y52/Y51))</f>
        <v/>
      </c>
      <c r="AF52" s="38">
        <f>IF(U52="","",AF51*(Z52/Z51))</f>
        <v/>
      </c>
      <c r="AG52" s="38">
        <f>IF(V52="","",AG51*(AA52/AA51))</f>
        <v/>
      </c>
    </row>
    <row r="53" ht="12.75" customHeight="1" s="202">
      <c r="A53" s="201" t="n"/>
      <c r="B53" s="22">
        <f>IF(C52=12,B52+1,B52)</f>
        <v/>
      </c>
      <c r="C53" s="22">
        <f>IF(C52=12,1,C52+1)</f>
        <v/>
      </c>
      <c r="D53" s="22">
        <f>IF(F53="12월",(E53+1)&amp;VLOOKUP(F53,인덱스!$C:$D,2,0),E53&amp;VLOOKUP(F53,인덱스!$C:$D,2,0))</f>
        <v/>
      </c>
      <c r="E53" s="201">
        <f>"20"&amp;B53</f>
        <v/>
      </c>
      <c r="F53" s="201">
        <f>C53&amp;"월"</f>
        <v/>
      </c>
      <c r="G53" s="40">
        <f>B53&amp;"."&amp;VLOOKUP(F53,인덱스!$A:$B,2,0)</f>
        <v/>
      </c>
      <c r="H53" s="257">
        <f>IFERROR(VLOOKUP(G53,#REF!,2,0),)</f>
        <v/>
      </c>
      <c r="I53" s="42">
        <f>IF(Q53="","",I52*(Q53/Q52))</f>
        <v/>
      </c>
      <c r="J53" s="42">
        <f>IF(R53="","",J52*(R53/R52))</f>
        <v/>
      </c>
      <c r="K53" s="43">
        <f>IF(S53="","",K52*(S53/S52))</f>
        <v/>
      </c>
      <c r="L53" s="43">
        <f>IF(U53="","",L52*(U53/U52))</f>
        <v/>
      </c>
      <c r="M53" s="43">
        <f>IF(V53="","",M52*(V53/V52))</f>
        <v/>
      </c>
      <c r="N53" s="201" t="n"/>
      <c r="O53" s="201" t="n"/>
      <c r="P53" s="201" t="n"/>
      <c r="Q53" s="8">
        <f>IFERROR(__xludf.DUMMYFUNCTION("iferror(index('지수RAW'!$V$7:$V$12040,MATCH($D53,'지수RAW'!$R$7:$R$12040,0)-1,1),GOOGLEFINANCE(Q$2))"),2663.34)</f>
        <v/>
      </c>
      <c r="R53" s="201">
        <f>IFERROR(__xludf.DUMMYFUNCTION("iferror(index('지수RAW'!$F$7:$F$12040,MATCH($D53,'지수RAW'!$B$7:$B$12040,0)-1,1),GOOGLEFINANCE(R$2))"),4515.55)</f>
        <v/>
      </c>
      <c r="S53" s="9">
        <f>IFERROR(__xludf.DUMMYFUNCTION("iferror(index('지수RAW'!$N$7:$N$12040,MATCH($D53,'지수RAW'!$J$7:$J$12040,0)-1,1),GOOGLEFINANCE(S$2))"),14239.88)</f>
        <v/>
      </c>
      <c r="T53" s="201" t="n"/>
      <c r="U53" s="252">
        <f t="array" ref="U53">IFERROR(INDEX(지수RAW!$AT$7:$AT$12040,MATCH($D53,지수RAW!$AP$7:$AP$12040,0)-1,1),지수RAW!$AU$4)</f>
        <v/>
      </c>
      <c r="V53" s="252">
        <f>IFERROR(__xludf.DUMMYFUNCTION("iferror(index('지수RAW'!$AL$7:$AL$12040,MATCH($D53,'지수RAW'!$AH$7:$AH$12040,0)-1,1),GOOGLEFINANCE(V$2))"),38494.39)</f>
        <v/>
      </c>
      <c r="W53" s="253">
        <f>IFERROR(__xludf.DUMMYFUNCTION("iferror(index('지수RAW'!$AD$7:$AD$12040,MATCH($D53,'지수RAW'!$Z$7:$Z$12040,0)-1,1),GOOGLEFINANCE(W$2))"),1205.12)</f>
        <v/>
      </c>
      <c r="X53" s="36">
        <f>$W53*R53</f>
        <v/>
      </c>
      <c r="Y53" s="36">
        <f>$W53*S53</f>
        <v/>
      </c>
      <c r="Z53" s="36">
        <f>$W53*U53</f>
        <v/>
      </c>
      <c r="AA53" s="36">
        <f>$W53*V53</f>
        <v/>
      </c>
      <c r="AB53" s="255" t="n"/>
      <c r="AC53" s="42">
        <f>IF(Q53="","",AC52*(W53/W52))</f>
        <v/>
      </c>
      <c r="AD53" s="42">
        <f>IF(R53="","",AD52*(X53/X52))</f>
        <v/>
      </c>
      <c r="AE53" s="42">
        <f>IF(S53="","",AE52*(Y53/Y52))</f>
        <v/>
      </c>
      <c r="AF53" s="42">
        <f>IF(U53="","",AF52*(Z53/Z52))</f>
        <v/>
      </c>
      <c r="AG53" s="42">
        <f>IF(V53="","",AG52*(AA53/AA52))</f>
        <v/>
      </c>
    </row>
    <row r="54" ht="12.75" customHeight="1" s="202">
      <c r="A54" s="201" t="n"/>
      <c r="B54" s="22">
        <f>IF(C53=12,B53+1,B53)</f>
        <v/>
      </c>
      <c r="C54" s="22">
        <f>IF(C53=12,1,C53+1)</f>
        <v/>
      </c>
      <c r="D54" s="22">
        <f>IF(F54="12월",(E54+1)&amp;VLOOKUP(F54,인덱스!$C:$D,2,0),E54&amp;VLOOKUP(F54,인덱스!$C:$D,2,0))</f>
        <v/>
      </c>
      <c r="E54" s="201">
        <f>"20"&amp;B54</f>
        <v/>
      </c>
      <c r="F54" s="201">
        <f>C54&amp;"월"</f>
        <v/>
      </c>
      <c r="G54" s="37">
        <f>B54&amp;"."&amp;VLOOKUP(F54,인덱스!$A:$B,2,0)</f>
        <v/>
      </c>
      <c r="H54" s="256">
        <f>IFERROR(VLOOKUP(G54,#REF!,2,0),)</f>
        <v/>
      </c>
      <c r="I54" s="38">
        <f>IF(Q54="","",I53*(Q54/Q53))</f>
        <v/>
      </c>
      <c r="J54" s="38">
        <f>IF(R54="","",J53*(R54/R53))</f>
        <v/>
      </c>
      <c r="K54" s="39">
        <f>IF(S54="","",K53*(S54/S53))</f>
        <v/>
      </c>
      <c r="L54" s="39">
        <f>IF(U54="","",L53*(U54/U53))</f>
        <v/>
      </c>
      <c r="M54" s="39">
        <f>IF(V54="","",M53*(V54/V53))</f>
        <v/>
      </c>
      <c r="N54" s="201" t="n"/>
      <c r="O54" s="201" t="n"/>
      <c r="P54" s="201" t="n"/>
      <c r="Q54" s="8">
        <f>IFERROR(__xludf.DUMMYFUNCTION("iferror(index('지수RAW'!$V$7:$V$12040,MATCH($D54,'지수RAW'!$R$7:$R$12040,0)-1,1),GOOGLEFINANCE(Q$2))"),2699.18)</f>
        <v/>
      </c>
      <c r="R54" s="201">
        <f>IFERROR(__xludf.DUMMYFUNCTION("iferror(index('지수RAW'!$F$7:$F$12040,MATCH($D54,'지수RAW'!$B$7:$B$12040,0)-1,1),GOOGLEFINANCE(R$2))"),4373.94)</f>
        <v/>
      </c>
      <c r="S54" s="9">
        <f>IFERROR(__xludf.DUMMYFUNCTION("iferror(index('지수RAW'!$N$7:$N$12040,MATCH($D54,'지수RAW'!$J$7:$J$12040,0)-1,1),GOOGLEFINANCE(S$2))"),13751.4)</f>
        <v/>
      </c>
      <c r="T54" s="201" t="n"/>
      <c r="U54" s="252">
        <f t="array" ref="U54">IFERROR(INDEX(지수RAW!$AT$7:$AT$12040,MATCH($D54,지수RAW!$AP$7:$AP$12040,0)-1,1),지수RAW!$AU$4)</f>
        <v/>
      </c>
      <c r="V54" s="252">
        <f>IFERROR(__xludf.DUMMYFUNCTION("iferror(index('지수RAW'!$AL$7:$AL$12040,MATCH($D54,'지수RAW'!$AH$7:$AH$12040,0)-1,1),GOOGLEFINANCE(V$2))"),43193.8)</f>
        <v/>
      </c>
      <c r="W54" s="253">
        <f>IFERROR(__xludf.DUMMYFUNCTION("iferror(index('지수RAW'!$AD$7:$AD$12040,MATCH($D54,'지수RAW'!$Z$7:$Z$12040,0)-1,1),GOOGLEFINANCE(W$2))"),1200.93)</f>
        <v/>
      </c>
      <c r="X54" s="36">
        <f>$W54*R54</f>
        <v/>
      </c>
      <c r="Y54" s="36">
        <f>$W54*S54</f>
        <v/>
      </c>
      <c r="Z54" s="36">
        <f>$W54*U54</f>
        <v/>
      </c>
      <c r="AA54" s="36">
        <f>$W54*V54</f>
        <v/>
      </c>
      <c r="AB54" s="255" t="n"/>
      <c r="AC54" s="38">
        <f>IF(Q54="","",AC53*(W54/W53))</f>
        <v/>
      </c>
      <c r="AD54" s="38">
        <f>IF(R54="","",AD53*(X54/X53))</f>
        <v/>
      </c>
      <c r="AE54" s="38">
        <f>IF(S54="","",AE53*(Y54/Y53))</f>
        <v/>
      </c>
      <c r="AF54" s="38">
        <f>IF(U54="","",AF53*(Z54/Z53))</f>
        <v/>
      </c>
      <c r="AG54" s="38">
        <f>IF(V54="","",AG53*(AA54/AA53))</f>
        <v/>
      </c>
    </row>
    <row r="55" ht="12.75" customHeight="1" s="202">
      <c r="A55" s="201" t="n"/>
      <c r="B55" s="22">
        <f>IF(C54=12,B54+1,B54)</f>
        <v/>
      </c>
      <c r="C55" s="22">
        <f>IF(C54=12,1,C54+1)</f>
        <v/>
      </c>
      <c r="D55" s="22">
        <f>IF(F55="12월",(E55+1)&amp;VLOOKUP(F55,인덱스!$C:$D,2,0),E55&amp;VLOOKUP(F55,인덱스!$C:$D,2,0))</f>
        <v/>
      </c>
      <c r="E55" s="201">
        <f>"20"&amp;B55</f>
        <v/>
      </c>
      <c r="F55" s="201">
        <f>C55&amp;"월"</f>
        <v/>
      </c>
      <c r="G55" s="37">
        <f>B55&amp;"."&amp;VLOOKUP(F55,인덱스!$A:$B,2,0)</f>
        <v/>
      </c>
      <c r="H55" s="256">
        <f>IFERROR(VLOOKUP(G55,#REF!,2,0),)</f>
        <v/>
      </c>
      <c r="I55" s="38">
        <f>IF(Q55="","",I54*(Q55/Q54))</f>
        <v/>
      </c>
      <c r="J55" s="38">
        <f>IF(R55="","",J54*(R55/R54))</f>
        <v/>
      </c>
      <c r="K55" s="39">
        <f>IF(S55="","",K54*(S55/S54))</f>
        <v/>
      </c>
      <c r="L55" s="39">
        <f>IF(U55="","",L54*(U55/U54))</f>
        <v/>
      </c>
      <c r="M55" s="39">
        <f>IF(V55="","",M54*(V55/V54))</f>
        <v/>
      </c>
      <c r="N55" s="201" t="n"/>
      <c r="O55" s="201" t="n"/>
      <c r="P55" s="201" t="n"/>
      <c r="Q55" s="8">
        <f>IFERROR(__xludf.DUMMYFUNCTION("iferror(index('지수RAW'!$V$7:$V$12040,MATCH($D55,'지수RAW'!$R$7:$R$12040,0)-1,1),GOOGLEFINANCE(Q$2))"),2757.65)</f>
        <v/>
      </c>
      <c r="R55" s="201">
        <f>IFERROR(__xludf.DUMMYFUNCTION("iferror(index('지수RAW'!$F$7:$F$12040,MATCH($D55,'지수RAW'!$B$7:$B$12040,0)-1,1),GOOGLEFINANCE(R$2))"),4530.41)</f>
        <v/>
      </c>
      <c r="S55" s="9">
        <f>IFERROR(__xludf.DUMMYFUNCTION("iferror(index('지수RAW'!$N$7:$N$12040,MATCH($D55,'지수RAW'!$J$7:$J$12040,0)-1,1),GOOGLEFINANCE(S$2))"),14220.52)</f>
        <v/>
      </c>
      <c r="T55" s="201" t="n"/>
      <c r="U55" s="252">
        <f t="array" ref="U55">IFERROR(INDEX(지수RAW!$AT$7:$AT$12040,MATCH($D55,지수RAW!$AP$7:$AP$12040,0)-1,1),지수RAW!$AU$4)</f>
        <v/>
      </c>
      <c r="V55" s="252">
        <f>IFERROR(__xludf.DUMMYFUNCTION("iferror(index('지수RAW'!$AL$7:$AL$12040,MATCH($D55,'지수RAW'!$AH$7:$AH$12040,0)-1,1),GOOGLEFINANCE(V$2))"),45521.5)</f>
        <v/>
      </c>
      <c r="W55" s="253">
        <f>IFERROR(__xludf.DUMMYFUNCTION("iferror(index('지수RAW'!$AD$7:$AD$12040,MATCH($D55,'지수RAW'!$Z$7:$Z$12040,0)-1,1),GOOGLEFINANCE(W$2))"),1214.5)</f>
        <v/>
      </c>
      <c r="X55" s="36">
        <f>$W55*R55</f>
        <v/>
      </c>
      <c r="Y55" s="36">
        <f>$W55*S55</f>
        <v/>
      </c>
      <c r="Z55" s="36">
        <f>$W55*U55</f>
        <v/>
      </c>
      <c r="AA55" s="36">
        <f>$W55*V55</f>
        <v/>
      </c>
      <c r="AB55" s="255" t="n"/>
      <c r="AC55" s="38">
        <f>IF(Q55="","",AC54*(W55/W54))</f>
        <v/>
      </c>
      <c r="AD55" s="38">
        <f>IF(R55="","",AD54*(X55/X54))</f>
        <v/>
      </c>
      <c r="AE55" s="38">
        <f>IF(S55="","",AE54*(Y55/Y54))</f>
        <v/>
      </c>
      <c r="AF55" s="38">
        <f>IF(U55="","",AF54*(Z55/Z54))</f>
        <v/>
      </c>
      <c r="AG55" s="38">
        <f>IF(V55="","",AG54*(AA55/AA54))</f>
        <v/>
      </c>
    </row>
    <row r="56" ht="12.75" customHeight="1" s="202">
      <c r="A56" s="201" t="n"/>
      <c r="B56" s="22">
        <f>IF(C55=12,B55+1,B55)</f>
        <v/>
      </c>
      <c r="C56" s="22">
        <f>IF(C55=12,1,C55+1)</f>
        <v/>
      </c>
      <c r="D56" s="22">
        <f>IF(F56="12월",(E56+1)&amp;VLOOKUP(F56,인덱스!$C:$D,2,0),E56&amp;VLOOKUP(F56,인덱스!$C:$D,2,0))</f>
        <v/>
      </c>
      <c r="E56" s="201">
        <f>"20"&amp;B56</f>
        <v/>
      </c>
      <c r="F56" s="201">
        <f>C56&amp;"월"</f>
        <v/>
      </c>
      <c r="G56" s="37">
        <f>B56&amp;"."&amp;VLOOKUP(F56,인덱스!$A:$B,2,0)</f>
        <v/>
      </c>
      <c r="H56" s="256">
        <f>IFERROR(VLOOKUP(G56,#REF!,2,0),)</f>
        <v/>
      </c>
      <c r="I56" s="38">
        <f>IF(Q56="","",I55*(Q56/Q55))</f>
        <v/>
      </c>
      <c r="J56" s="38">
        <f>IF(R56="","",J55*(R56/R55))</f>
        <v/>
      </c>
      <c r="K56" s="39">
        <f>IF(S56="","",K55*(S56/S55))</f>
        <v/>
      </c>
      <c r="L56" s="39">
        <f>IF(U56="","",L55*(U56/U55))</f>
        <v/>
      </c>
      <c r="M56" s="39">
        <f>IF(V56="","",M55*(V56/V55))</f>
        <v/>
      </c>
      <c r="N56" s="201" t="n"/>
      <c r="O56" s="201" t="n"/>
      <c r="P56" s="201" t="n"/>
      <c r="Q56" s="8">
        <f>IFERROR(__xludf.DUMMYFUNCTION("iferror(index('지수RAW'!$V$7:$V$12040,MATCH($D56,'지수RAW'!$R$7:$R$12040,0)-1,1),GOOGLEFINANCE(Q$2))"),2695.05)</f>
        <v/>
      </c>
      <c r="R56" s="201">
        <f>IFERROR(__xludf.DUMMYFUNCTION("iferror(index('지수RAW'!$F$7:$F$12040,MATCH($D56,'지수RAW'!$B$7:$B$12040,0)-1,1),GOOGLEFINANCE(R$2))"),4131.93)</f>
        <v/>
      </c>
      <c r="S56" s="9">
        <f>IFERROR(__xludf.DUMMYFUNCTION("iferror(index('지수RAW'!$N$7:$N$12040,MATCH($D56,'지수RAW'!$J$7:$J$12040,0)-1,1),GOOGLEFINANCE(S$2))"),12334.64)</f>
        <v/>
      </c>
      <c r="T56" s="201" t="n"/>
      <c r="U56" s="252">
        <f t="array" ref="U56">IFERROR(INDEX(지수RAW!$AT$7:$AT$12040,MATCH($D56,지수RAW!$AP$7:$AP$12040,0)-1,1),지수RAW!$AU$4)</f>
        <v/>
      </c>
      <c r="V56" s="252">
        <f>IFERROR(__xludf.DUMMYFUNCTION("iferror(index('지수RAW'!$AL$7:$AL$12040,MATCH($D56,'지수RAW'!$AH$7:$AH$12040,0)-1,1),GOOGLEFINANCE(V$2))"),37648.9)</f>
        <v/>
      </c>
      <c r="W56" s="253">
        <f>IFERROR(__xludf.DUMMYFUNCTION("iferror(index('지수RAW'!$AD$7:$AD$12040,MATCH($D56,'지수RAW'!$Z$7:$Z$12040,0)-1,1),GOOGLEFINANCE(W$2))"),1263.38)</f>
        <v/>
      </c>
      <c r="X56" s="36">
        <f>$W56*R56</f>
        <v/>
      </c>
      <c r="Y56" s="36">
        <f>$W56*S56</f>
        <v/>
      </c>
      <c r="Z56" s="36">
        <f>$W56*U56</f>
        <v/>
      </c>
      <c r="AA56" s="36">
        <f>$W56*V56</f>
        <v/>
      </c>
      <c r="AB56" s="255" t="n"/>
      <c r="AC56" s="38">
        <f>IF(Q56="","",AC55*(W56/W55))</f>
        <v/>
      </c>
      <c r="AD56" s="38">
        <f>IF(R56="","",AD55*(X56/X55))</f>
        <v/>
      </c>
      <c r="AE56" s="38">
        <f>IF(S56="","",AE55*(Y56/Y55))</f>
        <v/>
      </c>
      <c r="AF56" s="38">
        <f>IF(U56="","",AF55*(Z56/Z55))</f>
        <v/>
      </c>
      <c r="AG56" s="38">
        <f>IF(V56="","",AG55*(AA56/AA55))</f>
        <v/>
      </c>
    </row>
    <row r="57" ht="12.75" customHeight="1" s="202">
      <c r="A57" s="201" t="n"/>
      <c r="B57" s="22">
        <f>IF(C56=12,B56+1,B56)</f>
        <v/>
      </c>
      <c r="C57" s="22">
        <f>IF(C56=12,1,C56+1)</f>
        <v/>
      </c>
      <c r="D57" s="22">
        <f>IF(F57="12월",(E57+1)&amp;VLOOKUP(F57,인덱스!$C:$D,2,0),E57&amp;VLOOKUP(F57,인덱스!$C:$D,2,0))</f>
        <v/>
      </c>
      <c r="E57" s="201">
        <f>"20"&amp;B57</f>
        <v/>
      </c>
      <c r="F57" s="201">
        <f>C57&amp;"월"</f>
        <v/>
      </c>
      <c r="G57" s="37">
        <f>B57&amp;"."&amp;VLOOKUP(F57,인덱스!$A:$B,2,0)</f>
        <v/>
      </c>
      <c r="H57" s="256">
        <f>IFERROR(VLOOKUP(G57,#REF!,2,0),)</f>
        <v/>
      </c>
      <c r="I57" s="38">
        <f>IF(Q57="","",I56*(Q57/Q56))</f>
        <v/>
      </c>
      <c r="J57" s="38">
        <f>IF(R57="","",J56*(R57/R56))</f>
        <v/>
      </c>
      <c r="K57" s="39">
        <f>IF(S57="","",K56*(S57/S56))</f>
        <v/>
      </c>
      <c r="L57" s="39">
        <f>IF(U57="","",L56*(U57/U56))</f>
        <v/>
      </c>
      <c r="M57" s="39">
        <f>IF(V57="","",M56*(V57/V56))</f>
        <v/>
      </c>
      <c r="N57" s="201" t="n"/>
      <c r="O57" s="201" t="n"/>
      <c r="P57" s="201" t="n"/>
      <c r="Q57" s="8">
        <f>IFERROR(__xludf.DUMMYFUNCTION("iferror(index('지수RAW'!$V$7:$V$12040,MATCH($D57,'지수RAW'!$R$7:$R$12040,0)-1,1),GOOGLEFINANCE(Q$2))"),2685.9)</f>
        <v/>
      </c>
      <c r="R57" s="201">
        <f>IFERROR(__xludf.DUMMYFUNCTION("iferror(index('지수RAW'!$F$7:$F$12040,MATCH($D57,'지수RAW'!$B$7:$B$12040,0)-1,1),GOOGLEFINANCE(R$2))"),4132.15)</f>
        <v/>
      </c>
      <c r="S57" s="9">
        <f>IFERROR(__xludf.DUMMYFUNCTION("iferror(index('지수RAW'!$N$7:$N$12040,MATCH($D57,'지수RAW'!$J$7:$J$12040,0)-1,1),GOOGLEFINANCE(S$2))"),12081.39)</f>
        <v/>
      </c>
      <c r="T57" s="201" t="n"/>
      <c r="U57" s="252">
        <f t="array" ref="U57">IFERROR(INDEX(지수RAW!$AT$7:$AT$12040,MATCH($D57,지수RAW!$AP$7:$AP$12040,0)-1,1),지수RAW!$AU$4)</f>
        <v/>
      </c>
      <c r="V57" s="252">
        <f>IFERROR(__xludf.DUMMYFUNCTION("iferror(index('지수RAW'!$AL$7:$AL$12040,MATCH($D57,'지수RAW'!$AH$7:$AH$12040,0)-1,1),GOOGLEFINANCE(V$2))"),31772.85)</f>
        <v/>
      </c>
      <c r="W57" s="253">
        <f>IFERROR(__xludf.DUMMYFUNCTION("iferror(index('지수RAW'!$AD$7:$AD$12040,MATCH($D57,'지수RAW'!$Z$7:$Z$12040,0)-1,1),GOOGLEFINANCE(W$2))"),1241.74)</f>
        <v/>
      </c>
      <c r="X57" s="36">
        <f>$W57*R57</f>
        <v/>
      </c>
      <c r="Y57" s="36">
        <f>$W57*S57</f>
        <v/>
      </c>
      <c r="Z57" s="36">
        <f>$W57*U57</f>
        <v/>
      </c>
      <c r="AA57" s="36">
        <f>$W57*V57</f>
        <v/>
      </c>
      <c r="AB57" s="255" t="n"/>
      <c r="AC57" s="38">
        <f>IF(Q57="","",AC56*(W57/W56))</f>
        <v/>
      </c>
      <c r="AD57" s="38">
        <f>IF(R57="","",AD56*(X57/X56))</f>
        <v/>
      </c>
      <c r="AE57" s="38">
        <f>IF(S57="","",AE56*(Y57/Y56))</f>
        <v/>
      </c>
      <c r="AF57" s="38">
        <f>IF(U57="","",AF56*(Z57/Z56))</f>
        <v/>
      </c>
      <c r="AG57" s="38">
        <f>IF(V57="","",AG56*(AA57/AA56))</f>
        <v/>
      </c>
    </row>
    <row r="58" ht="12.75" customHeight="1" s="202">
      <c r="A58" s="201" t="n"/>
      <c r="B58" s="22">
        <f>IF(C57=12,B57+1,B57)</f>
        <v/>
      </c>
      <c r="C58" s="22">
        <f>IF(C57=12,1,C57+1)</f>
        <v/>
      </c>
      <c r="D58" s="22">
        <f>IF(F58="12월",(E58+1)&amp;VLOOKUP(F58,인덱스!$C:$D,2,0),E58&amp;VLOOKUP(F58,인덱스!$C:$D,2,0))</f>
        <v/>
      </c>
      <c r="E58" s="201">
        <f>"20"&amp;B58</f>
        <v/>
      </c>
      <c r="F58" s="201">
        <f>C58&amp;"월"</f>
        <v/>
      </c>
      <c r="G58" s="37">
        <f>B58&amp;"."&amp;VLOOKUP(F58,인덱스!$A:$B,2,0)</f>
        <v/>
      </c>
      <c r="H58" s="256">
        <f>IFERROR(VLOOKUP(G58,#REF!,2,0),)</f>
        <v/>
      </c>
      <c r="I58" s="38">
        <f>IF(Q58="","",I57*(Q58/Q57))</f>
        <v/>
      </c>
      <c r="J58" s="38">
        <f>IF(R58="","",J57*(R58/R57))</f>
        <v/>
      </c>
      <c r="K58" s="39">
        <f>IF(S58="","",K57*(S58/S57))</f>
        <v/>
      </c>
      <c r="L58" s="39">
        <f>IF(U58="","",L57*(U58/U57))</f>
        <v/>
      </c>
      <c r="M58" s="39">
        <f>IF(V58="","",M57*(V58/V57))</f>
        <v/>
      </c>
      <c r="N58" s="201" t="n"/>
      <c r="O58" s="201" t="n"/>
      <c r="P58" s="201" t="n"/>
      <c r="Q58" s="8">
        <f>IFERROR(__xludf.DUMMYFUNCTION("iferror(index('지수RAW'!$V$7:$V$12040,MATCH($D58,'지수RAW'!$R$7:$R$12040,0)-1,1),GOOGLEFINANCE(Q$2))"),2332.64)</f>
        <v/>
      </c>
      <c r="R58" s="201">
        <f>IFERROR(__xludf.DUMMYFUNCTION("iferror(index('지수RAW'!$F$7:$F$12040,MATCH($D58,'지수RAW'!$B$7:$B$12040,0)-1,1),GOOGLEFINANCE(R$2))"),3785.38)</f>
        <v/>
      </c>
      <c r="S58" s="9">
        <f>IFERROR(__xludf.DUMMYFUNCTION("iferror(index('지수RAW'!$N$7:$N$12040,MATCH($D58,'지수RAW'!$J$7:$J$12040,0)-1,1),GOOGLEFINANCE(S$2))"),11028.74)</f>
        <v/>
      </c>
      <c r="T58" s="201" t="n"/>
      <c r="U58" s="252">
        <f t="array" ref="U58">IFERROR(INDEX(지수RAW!$AT$7:$AT$12040,MATCH($D58,지수RAW!$AP$7:$AP$12040,0)-1,1),지수RAW!$AU$4)</f>
        <v/>
      </c>
      <c r="V58" s="252">
        <f>IFERROR(__xludf.DUMMYFUNCTION("iferror(index('지수RAW'!$AL$7:$AL$12040,MATCH($D58,'지수RAW'!$AH$7:$AH$12040,0)-1,1),GOOGLEFINANCE(V$2))"),19913.14)</f>
        <v/>
      </c>
      <c r="W58" s="253">
        <f>IFERROR(__xludf.DUMMYFUNCTION("iferror(index('지수RAW'!$AD$7:$AD$12040,MATCH($D58,'지수RAW'!$Z$7:$Z$12040,0)-1,1),GOOGLEFINANCE(W$2))"),1287.71)</f>
        <v/>
      </c>
      <c r="X58" s="36">
        <f>$W58*R58</f>
        <v/>
      </c>
      <c r="Y58" s="36">
        <f>$W58*S58</f>
        <v/>
      </c>
      <c r="Z58" s="36">
        <f>$W58*U58</f>
        <v/>
      </c>
      <c r="AA58" s="36">
        <f>$W58*V58</f>
        <v/>
      </c>
      <c r="AB58" s="255" t="n"/>
      <c r="AC58" s="38">
        <f>IF(Q58="","",AC57*(W58/W57))</f>
        <v/>
      </c>
      <c r="AD58" s="38">
        <f>IF(R58="","",AD57*(X58/X57))</f>
        <v/>
      </c>
      <c r="AE58" s="38">
        <f>IF(S58="","",AE57*(Y58/Y57))</f>
        <v/>
      </c>
      <c r="AF58" s="38">
        <f>IF(U58="","",AF57*(Z58/Z57))</f>
        <v/>
      </c>
      <c r="AG58" s="38">
        <f>IF(V58="","",AG57*(AA58/AA57))</f>
        <v/>
      </c>
    </row>
    <row r="59" ht="12.75" customHeight="1" s="202">
      <c r="A59" s="201" t="n"/>
      <c r="B59" s="22">
        <f>IF(C58=12,B58+1,B58)</f>
        <v/>
      </c>
      <c r="C59" s="22">
        <f>IF(C58=12,1,C58+1)</f>
        <v/>
      </c>
      <c r="D59" s="22">
        <f>IF(F59="12월",(E59+1)&amp;VLOOKUP(F59,인덱스!$C:$D,2,0),E59&amp;VLOOKUP(F59,인덱스!$C:$D,2,0))</f>
        <v/>
      </c>
      <c r="E59" s="201">
        <f>"20"&amp;B59</f>
        <v/>
      </c>
      <c r="F59" s="201">
        <f>C59&amp;"월"</f>
        <v/>
      </c>
      <c r="G59" s="37">
        <f>B59&amp;"."&amp;VLOOKUP(F59,인덱스!$A:$B,2,0)</f>
        <v/>
      </c>
      <c r="H59" s="256">
        <f>IFERROR(VLOOKUP(G59,#REF!,2,0),)</f>
        <v/>
      </c>
      <c r="I59" s="38">
        <f>IF(Q59="","",I58*(Q59/Q58))</f>
        <v/>
      </c>
      <c r="J59" s="38">
        <f>IF(R59="","",J58*(R59/R58))</f>
        <v/>
      </c>
      <c r="K59" s="39">
        <f>IF(S59="","",K58*(S59/S58))</f>
        <v/>
      </c>
      <c r="L59" s="39">
        <f>IF(U59="","",L58*(U59/U58))</f>
        <v/>
      </c>
      <c r="M59" s="39">
        <f>IF(V59="","",M58*(V59/V58))</f>
        <v/>
      </c>
      <c r="N59" s="201" t="n"/>
      <c r="O59" s="201" t="n"/>
      <c r="P59" s="201" t="n"/>
      <c r="Q59" s="8">
        <f>IFERROR(__xludf.DUMMYFUNCTION("iferror(index('지수RAW'!$V$7:$V$12040,MATCH($D59,'지수RAW'!$R$7:$R$12040,0)-1,1),GOOGLEFINANCE(Q$2))"),2451.5)</f>
        <v/>
      </c>
      <c r="R59" s="201">
        <f>IFERROR(__xludf.DUMMYFUNCTION("iferror(index('지수RAW'!$F$7:$F$12040,MATCH($D59,'지수RAW'!$B$7:$B$12040,0)-1,1),GOOGLEFINANCE(R$2))"),4130.29)</f>
        <v/>
      </c>
      <c r="S59" s="9">
        <f>IFERROR(__xludf.DUMMYFUNCTION("iferror(index('지수RAW'!$N$7:$N$12040,MATCH($D59,'지수RAW'!$J$7:$J$12040,0)-1,1),GOOGLEFINANCE(S$2))"),12390.69)</f>
        <v/>
      </c>
      <c r="T59" s="201" t="n"/>
      <c r="U59" s="252">
        <f t="array" ref="U59">IFERROR(INDEX(지수RAW!$AT$7:$AT$12040,MATCH($D59,지수RAW!$AP$7:$AP$12040,0)-1,1),지수RAW!$AU$4)</f>
        <v/>
      </c>
      <c r="V59" s="252">
        <f>IFERROR(__xludf.DUMMYFUNCTION("iferror(index('지수RAW'!$AL$7:$AL$12040,MATCH($D59,'지수RAW'!$AH$7:$AH$12040,0)-1,1),GOOGLEFINANCE(V$2))"),23308.66)</f>
        <v/>
      </c>
      <c r="W59" s="253">
        <f>IFERROR(__xludf.DUMMYFUNCTION("iferror(index('지수RAW'!$AD$7:$AD$12040,MATCH($D59,'지수RAW'!$Z$7:$Z$12040,0)-1,1),GOOGLEFINANCE(W$2))"),1302.28)</f>
        <v/>
      </c>
      <c r="X59" s="36">
        <f>$W59*R59</f>
        <v/>
      </c>
      <c r="Y59" s="36">
        <f>$W59*S59</f>
        <v/>
      </c>
      <c r="Z59" s="36">
        <f>$W59*U59</f>
        <v/>
      </c>
      <c r="AA59" s="36">
        <f>$W59*V59</f>
        <v/>
      </c>
      <c r="AB59" s="255" t="n"/>
      <c r="AC59" s="38">
        <f>IF(Q59="","",AC58*(W59/W58))</f>
        <v/>
      </c>
      <c r="AD59" s="38">
        <f>IF(R59="","",AD58*(X59/X58))</f>
        <v/>
      </c>
      <c r="AE59" s="38">
        <f>IF(S59="","",AE58*(Y59/Y58))</f>
        <v/>
      </c>
      <c r="AF59" s="38">
        <f>IF(U59="","",AF58*(Z59/Z58))</f>
        <v/>
      </c>
      <c r="AG59" s="38">
        <f>IF(V59="","",AG58*(AA59/AA58))</f>
        <v/>
      </c>
    </row>
    <row r="60" ht="12.75" customHeight="1" s="202">
      <c r="A60" s="201" t="n"/>
      <c r="B60" s="22">
        <f>IF(C59=12,B59+1,B59)</f>
        <v/>
      </c>
      <c r="C60" s="22">
        <f>IF(C59=12,1,C59+1)</f>
        <v/>
      </c>
      <c r="D60" s="22">
        <f>IF(F60="12월",(E60+1)&amp;VLOOKUP(F60,인덱스!$C:$D,2,0),E60&amp;VLOOKUP(F60,인덱스!$C:$D,2,0))</f>
        <v/>
      </c>
      <c r="E60" s="201">
        <f>"20"&amp;B60</f>
        <v/>
      </c>
      <c r="F60" s="201">
        <f>C60&amp;"월"</f>
        <v/>
      </c>
      <c r="G60" s="37">
        <f>B60&amp;"."&amp;VLOOKUP(F60,인덱스!$A:$B,2,0)</f>
        <v/>
      </c>
      <c r="H60" s="256">
        <f>IFERROR(VLOOKUP(G60,#REF!,2,0),)</f>
        <v/>
      </c>
      <c r="I60" s="38">
        <f>IF(Q60="","",I59*(Q60/Q59))</f>
        <v/>
      </c>
      <c r="J60" s="38">
        <f>IF(R60="","",J59*(R60/R59))</f>
        <v/>
      </c>
      <c r="K60" s="39">
        <f>IF(S60="","",K59*(S60/S59))</f>
        <v/>
      </c>
      <c r="L60" s="39">
        <f>IF(U60="","",L59*(U60/U59))</f>
        <v/>
      </c>
      <c r="M60" s="39">
        <f>IF(V60="","",M59*(V60/V59))</f>
        <v/>
      </c>
      <c r="N60" s="201" t="n"/>
      <c r="O60" s="201" t="n"/>
      <c r="P60" s="201" t="n"/>
      <c r="Q60" s="8">
        <f>IFERROR(__xludf.DUMMYFUNCTION("iferror(index('지수RAW'!$V$7:$V$12040,MATCH($D60,'지수RAW'!$R$7:$R$12040,0)-1,1),GOOGLEFINANCE(Q$2))"),2472.05)</f>
        <v/>
      </c>
      <c r="R60" s="201">
        <f>IFERROR(__xludf.DUMMYFUNCTION("iferror(index('지수RAW'!$F$7:$F$12040,MATCH($D60,'지수RAW'!$B$7:$B$12040,0)-1,1),GOOGLEFINANCE(R$2))"),3955)</f>
        <v/>
      </c>
      <c r="S60" s="9">
        <f>IFERROR(__xludf.DUMMYFUNCTION("iferror(index('지수RAW'!$N$7:$N$12040,MATCH($D60,'지수RAW'!$J$7:$J$12040,0)-1,1),GOOGLEFINANCE(S$2))"),11816.2)</f>
        <v/>
      </c>
      <c r="T60" s="201" t="n"/>
      <c r="U60" s="252">
        <f t="array" ref="U60">IFERROR(INDEX(지수RAW!$AT$7:$AT$12040,MATCH($D60,지수RAW!$AP$7:$AP$12040,0)-1,1),지수RAW!$AU$4)</f>
        <v/>
      </c>
      <c r="V60" s="252">
        <f>IFERROR(__xludf.DUMMYFUNCTION("iferror(index('지수RAW'!$AL$7:$AL$12040,MATCH($D60,'지수RAW'!$AH$7:$AH$12040,0)-1,1),GOOGLEFINANCE(V$2))"),20049.38)</f>
        <v/>
      </c>
      <c r="W60" s="253">
        <f>IFERROR(__xludf.DUMMYFUNCTION("iferror(index('지수RAW'!$AD$7:$AD$12040,MATCH($D60,'지수RAW'!$Z$7:$Z$12040,0)-1,1),GOOGLEFINANCE(W$2))"),1342.26)</f>
        <v/>
      </c>
      <c r="X60" s="36">
        <f>$W60*R60</f>
        <v/>
      </c>
      <c r="Y60" s="36">
        <f>$W60*S60</f>
        <v/>
      </c>
      <c r="Z60" s="36">
        <f>$W60*U60</f>
        <v/>
      </c>
      <c r="AA60" s="36">
        <f>$W60*V60</f>
        <v/>
      </c>
      <c r="AB60" s="255" t="n"/>
      <c r="AC60" s="38">
        <f>IF(Q60="","",AC59*(W60/W59))</f>
        <v/>
      </c>
      <c r="AD60" s="38">
        <f>IF(R60="","",AD59*(X60/X59))</f>
        <v/>
      </c>
      <c r="AE60" s="38">
        <f>IF(S60="","",AE59*(Y60/Y59))</f>
        <v/>
      </c>
      <c r="AF60" s="38">
        <f>IF(U60="","",AF59*(Z60/Z59))</f>
        <v/>
      </c>
      <c r="AG60" s="38">
        <f>IF(V60="","",AG59*(AA60/AA59))</f>
        <v/>
      </c>
    </row>
    <row r="61" ht="12.75" customHeight="1" s="202">
      <c r="A61" s="201" t="n"/>
      <c r="B61" s="22">
        <f>IF(C60=12,B60+1,B60)</f>
        <v/>
      </c>
      <c r="C61" s="22">
        <f>IF(C60=12,1,C60+1)</f>
        <v/>
      </c>
      <c r="D61" s="22">
        <f>IF(F61="12월",(E61+1)&amp;VLOOKUP(F61,인덱스!$C:$D,2,0),E61&amp;VLOOKUP(F61,인덱스!$C:$D,2,0))</f>
        <v/>
      </c>
      <c r="E61" s="201">
        <f>"20"&amp;B61</f>
        <v/>
      </c>
      <c r="F61" s="201">
        <f>C61&amp;"월"</f>
        <v/>
      </c>
      <c r="G61" s="37">
        <f>B61&amp;"."&amp;VLOOKUP(F61,인덱스!$A:$B,2,0)</f>
        <v/>
      </c>
      <c r="H61" s="256">
        <f>IFERROR(VLOOKUP(G61,#REF!,2,0),)</f>
        <v/>
      </c>
      <c r="I61" s="38">
        <f>IF(Q61="","",I60*(Q61/Q60))</f>
        <v/>
      </c>
      <c r="J61" s="38">
        <f>IF(R61="","",J60*(R61/R60))</f>
        <v/>
      </c>
      <c r="K61" s="39">
        <f>IF(S61="","",K60*(S61/S60))</f>
        <v/>
      </c>
      <c r="L61" s="39">
        <f>IF(U61="","",L60*(U61/U60))</f>
        <v/>
      </c>
      <c r="M61" s="39">
        <f>IF(V61="","",M60*(V61/V60))</f>
        <v/>
      </c>
      <c r="N61" s="201" t="n"/>
      <c r="O61" s="201" t="n"/>
      <c r="P61" s="201" t="n"/>
      <c r="Q61" s="8">
        <f>IFERROR(__xludf.DUMMYFUNCTION("iferror(index('지수RAW'!$V$7:$V$12040,MATCH($D61,'지수RAW'!$R$7:$R$12040,0)-1,1),GOOGLEFINANCE(Q$2))"),2155.49)</f>
        <v/>
      </c>
      <c r="R61" s="201">
        <f>IFERROR(__xludf.DUMMYFUNCTION("iferror(index('지수RAW'!$F$7:$F$12040,MATCH($D61,'지수RAW'!$B$7:$B$12040,0)-1,1),GOOGLEFINANCE(R$2))"),3585.62)</f>
        <v/>
      </c>
      <c r="S61" s="9">
        <f>IFERROR(__xludf.DUMMYFUNCTION("iferror(index('지수RAW'!$N$7:$N$12040,MATCH($D61,'지수RAW'!$J$7:$J$12040,0)-1,1),GOOGLEFINANCE(S$2))"),10575.62)</f>
        <v/>
      </c>
      <c r="T61" s="201" t="n"/>
      <c r="U61" s="252">
        <f t="array" ref="U61">IFERROR(INDEX(지수RAW!$AT$7:$AT$12040,MATCH($D61,지수RAW!$AP$7:$AP$12040,0)-1,1),지수RAW!$AU$4)</f>
        <v/>
      </c>
      <c r="V61" s="252">
        <f>IFERROR(__xludf.DUMMYFUNCTION("iferror(index('지수RAW'!$AL$7:$AL$12040,MATCH($D61,'지수RAW'!$AH$7:$AH$12040,0)-1,1),GOOGLEFINANCE(V$2))"),19424.58)</f>
        <v/>
      </c>
      <c r="W61" s="253">
        <f>IFERROR(__xludf.DUMMYFUNCTION("iferror(index('지수RAW'!$AD$7:$AD$12040,MATCH($D61,'지수RAW'!$Z$7:$Z$12040,0)-1,1),GOOGLEFINANCE(W$2))"),1439.13)</f>
        <v/>
      </c>
      <c r="X61" s="36">
        <f>$W61*R61</f>
        <v/>
      </c>
      <c r="Y61" s="36">
        <f>$W61*S61</f>
        <v/>
      </c>
      <c r="Z61" s="36">
        <f>$W61*U61</f>
        <v/>
      </c>
      <c r="AA61" s="36">
        <f>$W61*V61</f>
        <v/>
      </c>
      <c r="AB61" s="255" t="n"/>
      <c r="AC61" s="38">
        <f>IF(Q61="","",AC60*(W61/W60))</f>
        <v/>
      </c>
      <c r="AD61" s="38">
        <f>IF(R61="","",AD60*(X61/X60))</f>
        <v/>
      </c>
      <c r="AE61" s="38">
        <f>IF(S61="","",AE60*(Y61/Y60))</f>
        <v/>
      </c>
      <c r="AF61" s="38">
        <f>IF(U61="","",AF60*(Z61/Z60))</f>
        <v/>
      </c>
      <c r="AG61" s="38">
        <f>IF(V61="","",AG60*(AA61/AA60))</f>
        <v/>
      </c>
    </row>
    <row r="62" ht="12.75" customHeight="1" s="202">
      <c r="A62" s="201" t="n"/>
      <c r="B62" s="22">
        <f>IF(C61=12,B61+1,B61)</f>
        <v/>
      </c>
      <c r="C62" s="22">
        <f>IF(C61=12,1,C61+1)</f>
        <v/>
      </c>
      <c r="D62" s="22">
        <f>IF(F62="12월",(E62+1)&amp;VLOOKUP(F62,인덱스!$C:$D,2,0),E62&amp;VLOOKUP(F62,인덱스!$C:$D,2,0))</f>
        <v/>
      </c>
      <c r="E62" s="201">
        <f>"20"&amp;B62</f>
        <v/>
      </c>
      <c r="F62" s="201">
        <f>C62&amp;"월"</f>
        <v/>
      </c>
      <c r="G62" s="37">
        <f>B62&amp;"."&amp;VLOOKUP(F62,인덱스!$A:$B,2,0)</f>
        <v/>
      </c>
      <c r="H62" s="256">
        <f>IFERROR(VLOOKUP(G62,#REF!,2,0),)</f>
        <v/>
      </c>
      <c r="I62" s="38">
        <f>IF(Q62="","",I61*(Q62/Q61))</f>
        <v/>
      </c>
      <c r="J62" s="38">
        <f>IF(R62="","",J61*(R62/R61))</f>
        <v/>
      </c>
      <c r="K62" s="39">
        <f>IF(S62="","",K61*(S62/S61))</f>
        <v/>
      </c>
      <c r="L62" s="39">
        <f>IF(U62="","",L61*(U62/U61))</f>
        <v/>
      </c>
      <c r="M62" s="39">
        <f>IF(V62="","",M61*(V62/V61))</f>
        <v/>
      </c>
      <c r="N62" s="201" t="n"/>
      <c r="O62" s="201" t="n"/>
      <c r="P62" s="201" t="n"/>
      <c r="Q62" s="8">
        <f>IFERROR(__xludf.DUMMYFUNCTION("iferror(index('지수RAW'!$V$7:$V$12040,MATCH($D62,'지수RAW'!$R$7:$R$12040,0)-1,1),GOOGLEFINANCE(Q$2))"),2293.61)</f>
        <v/>
      </c>
      <c r="R62" s="201">
        <f>IFERROR(__xludf.DUMMYFUNCTION("iferror(index('지수RAW'!$F$7:$F$12040,MATCH($D62,'지수RAW'!$B$7:$B$12040,0)-1,1),GOOGLEFINANCE(R$2))"),3871.98)</f>
        <v/>
      </c>
      <c r="S62" s="9">
        <f>IFERROR(__xludf.DUMMYFUNCTION("iferror(index('지수RAW'!$N$7:$N$12040,MATCH($D62,'지수RAW'!$J$7:$J$12040,0)-1,1),GOOGLEFINANCE(S$2))"),10988.15)</f>
        <v/>
      </c>
      <c r="T62" s="201" t="n"/>
      <c r="U62" s="252">
        <f t="array" ref="U62">IFERROR(INDEX(지수RAW!$AT$7:$AT$12040,MATCH($D62,지수RAW!$AP$7:$AP$12040,0)-1,1),지수RAW!$AU$4)</f>
        <v/>
      </c>
      <c r="V62" s="252">
        <f>IFERROR(__xludf.DUMMYFUNCTION("iferror(index('지수RAW'!$AL$7:$AL$12040,MATCH($D62,'지수RAW'!$AH$7:$AH$12040,0)-1,1),GOOGLEFINANCE(V$2))"),20492.16)</f>
        <v/>
      </c>
      <c r="W62" s="253">
        <f>IFERROR(__xludf.DUMMYFUNCTION("iferror(index('지수RAW'!$AD$7:$AD$12040,MATCH($D62,'지수RAW'!$Z$7:$Z$12040,0)-1,1),GOOGLEFINANCE(W$2))"),1424.67)</f>
        <v/>
      </c>
      <c r="X62" s="36">
        <f>$W62*R62</f>
        <v/>
      </c>
      <c r="Y62" s="36">
        <f>$W62*S62</f>
        <v/>
      </c>
      <c r="Z62" s="36">
        <f>$W62*U62</f>
        <v/>
      </c>
      <c r="AA62" s="36">
        <f>$W62*V62</f>
        <v/>
      </c>
      <c r="AB62" s="255" t="n"/>
      <c r="AC62" s="38">
        <f>IF(Q62="","",AC61*(W62/W61))</f>
        <v/>
      </c>
      <c r="AD62" s="38">
        <f>IF(R62="","",AD61*(X62/X61))</f>
        <v/>
      </c>
      <c r="AE62" s="38">
        <f>IF(S62="","",AE61*(Y62/Y61))</f>
        <v/>
      </c>
      <c r="AF62" s="38">
        <f>IF(U62="","",AF61*(Z62/Z61))</f>
        <v/>
      </c>
      <c r="AG62" s="38">
        <f>IF(V62="","",AG61*(AA62/AA61))</f>
        <v/>
      </c>
    </row>
    <row r="63" ht="12.75" customHeight="1" s="202">
      <c r="A63" s="201" t="n"/>
      <c r="B63" s="22">
        <f>IF(C62=12,B62+1,B62)</f>
        <v/>
      </c>
      <c r="C63" s="22">
        <f>IF(C62=12,1,C62+1)</f>
        <v/>
      </c>
      <c r="D63" s="22">
        <f>IF(F63="12월",(E63+1)&amp;VLOOKUP(F63,인덱스!$C:$D,2,0),E63&amp;VLOOKUP(F63,인덱스!$C:$D,2,0))</f>
        <v/>
      </c>
      <c r="E63" s="201">
        <f>"20"&amp;B63</f>
        <v/>
      </c>
      <c r="F63" s="201">
        <f>C63&amp;"월"</f>
        <v/>
      </c>
      <c r="G63" s="37">
        <f>B63&amp;"."&amp;VLOOKUP(F63,인덱스!$A:$B,2,0)</f>
        <v/>
      </c>
      <c r="H63" s="256">
        <f>IFERROR(VLOOKUP(G63,#REF!,2,0),)</f>
        <v/>
      </c>
      <c r="I63" s="38">
        <f>IF(Q63="","",I62*(Q63/Q62))</f>
        <v/>
      </c>
      <c r="J63" s="38">
        <f>IF(R63="","",J62*(R63/R62))</f>
        <v/>
      </c>
      <c r="K63" s="39">
        <f>IF(S63="","",K62*(S63/S62))</f>
        <v/>
      </c>
      <c r="L63" s="39">
        <f>IF(U63="","",L62*(U63/U62))</f>
        <v/>
      </c>
      <c r="M63" s="39">
        <f>IF(V63="","",M62*(V63/V62))</f>
        <v/>
      </c>
      <c r="N63" s="201" t="n"/>
      <c r="O63" s="201" t="n"/>
      <c r="P63" s="201" t="n"/>
      <c r="Q63" s="8">
        <f>IFERROR(__xludf.DUMMYFUNCTION("iferror(index('지수RAW'!$V$7:$V$12040,MATCH($D63,'지수RAW'!$R$7:$R$12040,0)-1,1),GOOGLEFINANCE(Q$2))"),2472.53)</f>
        <v/>
      </c>
      <c r="R63" s="201">
        <f>IFERROR(__xludf.DUMMYFUNCTION("iferror(index('지수RAW'!$F$7:$F$12040,MATCH($D63,'지수RAW'!$B$7:$B$12040,0)-1,1),GOOGLEFINANCE(R$2))"),4080.11)</f>
        <v/>
      </c>
      <c r="S63" s="9">
        <f>IFERROR(__xludf.DUMMYFUNCTION("iferror(index('지수RAW'!$N$7:$N$12040,MATCH($D63,'지수RAW'!$J$7:$J$12040,0)-1,1),GOOGLEFINANCE(S$2))"),11468)</f>
        <v/>
      </c>
      <c r="T63" s="201" t="n"/>
      <c r="U63" s="252">
        <f t="array" ref="U63">IFERROR(INDEX(지수RAW!$AT$7:$AT$12040,MATCH($D63,지수RAW!$AP$7:$AP$12040,0)-1,1),지수RAW!$AU$4)</f>
        <v/>
      </c>
      <c r="V63" s="252">
        <f>IFERROR(__xludf.DUMMYFUNCTION("iferror(index('지수RAW'!$AL$7:$AL$12040,MATCH($D63,'지수RAW'!$AH$7:$AH$12040,0)-1,1),GOOGLEFINANCE(V$2))"),17162.97)</f>
        <v/>
      </c>
      <c r="W63" s="253">
        <f>IFERROR(__xludf.DUMMYFUNCTION("iferror(index('지수RAW'!$AD$7:$AD$12040,MATCH($D63,'지수RAW'!$Z$7:$Z$12040,0)-1,1),GOOGLEFINANCE(W$2))"),1279.8)</f>
        <v/>
      </c>
      <c r="X63" s="36">
        <f>$W63*R63</f>
        <v/>
      </c>
      <c r="Y63" s="36">
        <f>$W63*S63</f>
        <v/>
      </c>
      <c r="Z63" s="36">
        <f>$W63*U63</f>
        <v/>
      </c>
      <c r="AA63" s="36">
        <f>$W63*V63</f>
        <v/>
      </c>
      <c r="AB63" s="255" t="n"/>
      <c r="AC63" s="38">
        <f>IF(Q63="","",AC62*(W63/W62))</f>
        <v/>
      </c>
      <c r="AD63" s="38">
        <f>IF(R63="","",AD62*(X63/X62))</f>
        <v/>
      </c>
      <c r="AE63" s="38">
        <f>IF(S63="","",AE62*(Y63/Y62))</f>
        <v/>
      </c>
      <c r="AF63" s="38">
        <f>IF(U63="","",AF62*(Z63/Z62))</f>
        <v/>
      </c>
      <c r="AG63" s="38">
        <f>IF(V63="","",AG62*(AA63/AA62))</f>
        <v/>
      </c>
    </row>
    <row r="64" ht="12.75" customHeight="1" s="202">
      <c r="A64" s="201" t="n"/>
      <c r="B64" s="22">
        <f>IF(C63=12,B63+1,B63)</f>
        <v/>
      </c>
      <c r="C64" s="22">
        <f>IF(C63=12,1,C63+1)</f>
        <v/>
      </c>
      <c r="D64" s="22">
        <f>IF(F64="12월",(E64+1)&amp;VLOOKUP(F64,인덱스!$C:$D,2,0),E64&amp;VLOOKUP(F64,인덱스!$C:$D,2,0))</f>
        <v/>
      </c>
      <c r="E64" s="201">
        <f>"20"&amp;B64</f>
        <v/>
      </c>
      <c r="F64" s="201">
        <f>C64&amp;"월"</f>
        <v/>
      </c>
      <c r="G64" s="37">
        <f>B64&amp;"."&amp;VLOOKUP(F64,인덱스!$A:$B,2,0)</f>
        <v/>
      </c>
      <c r="H64" s="256">
        <f>IFERROR(VLOOKUP(G64,#REF!,2,0),)</f>
        <v/>
      </c>
      <c r="I64" s="38">
        <f>IF(Q64="","",I63*(Q64/Q63))</f>
        <v/>
      </c>
      <c r="J64" s="38">
        <f>IF(R64="","",J63*(R64/R63))</f>
        <v/>
      </c>
      <c r="K64" s="39">
        <f>IF(S64="","",K63*(S64/S63))</f>
        <v/>
      </c>
      <c r="L64" s="39">
        <f>IF(U64="","",L63*(U64/U63))</f>
        <v/>
      </c>
      <c r="M64" s="39">
        <f>IF(V64="","",M63*(V64/V63))</f>
        <v/>
      </c>
      <c r="N64" s="201" t="n"/>
      <c r="O64" s="201" t="n"/>
      <c r="P64" s="201" t="n"/>
      <c r="Q64" s="8">
        <f>IFERROR(__xludf.DUMMYFUNCTION("iferror(index('지수RAW'!$V$7:$V$12040,MATCH($D64,'지수RAW'!$R$7:$R$12040,0)-1,1),GOOGLEFINANCE(Q$2))"),2236.4)</f>
        <v/>
      </c>
      <c r="R64" s="201">
        <f>IFERROR(__xludf.DUMMYFUNCTION("iferror(index('지수RAW'!$F$7:$F$12040,MATCH($D64,'지수RAW'!$B$7:$B$12040,0)-1,1),GOOGLEFINANCE(R$2))"),3839.5)</f>
        <v/>
      </c>
      <c r="S64" s="9">
        <f>IFERROR(__xludf.DUMMYFUNCTION("iferror(index('지수RAW'!$N$7:$N$12040,MATCH($D64,'지수RAW'!$J$7:$J$12040,0)-1,1),GOOGLEFINANCE(S$2))"),10466.48)</f>
        <v/>
      </c>
      <c r="T64" s="201" t="n"/>
      <c r="U64" s="252">
        <f t="array" ref="U64">IFERROR(INDEX(지수RAW!$AT$7:$AT$12040,MATCH($D64,지수RAW!$AP$7:$AP$12040,0)-1,1),지수RAW!$AU$4)</f>
        <v/>
      </c>
      <c r="V64" s="252">
        <f>IFERROR(__xludf.DUMMYFUNCTION("iferror(index('지수RAW'!$AL$7:$AL$12040,MATCH($D64,'지수RAW'!$AH$7:$AH$12040,0)-1,1),GOOGLEFINANCE(V$2))"),16529.2)</f>
        <v/>
      </c>
      <c r="W64" s="253">
        <f>IFERROR(__xludf.DUMMYFUNCTION("iferror(index('지수RAW'!$AD$7:$AD$12040,MATCH($D64,'지수RAW'!$Z$7:$Z$12040,0)-1,1),GOOGLEFINANCE(W$2))"),1260.91)</f>
        <v/>
      </c>
      <c r="X64" s="36">
        <f>$W64*R64</f>
        <v/>
      </c>
      <c r="Y64" s="36">
        <f>$W64*S64</f>
        <v/>
      </c>
      <c r="Z64" s="36">
        <f>$W64*U64</f>
        <v/>
      </c>
      <c r="AA64" s="36">
        <f>$W64*V64</f>
        <v/>
      </c>
      <c r="AB64" s="255" t="n"/>
      <c r="AC64" s="38">
        <f>IF(Q64="","",AC63*(W64/W63))</f>
        <v/>
      </c>
      <c r="AD64" s="38">
        <f>IF(R64="","",AD63*(X64/X63))</f>
        <v/>
      </c>
      <c r="AE64" s="38">
        <f>IF(S64="","",AE63*(Y64/Y63))</f>
        <v/>
      </c>
      <c r="AF64" s="38">
        <f>IF(U64="","",AF63*(Z64/Z63))</f>
        <v/>
      </c>
      <c r="AG64" s="38">
        <f>IF(V64="","",AG63*(AA64/AA63))</f>
        <v/>
      </c>
    </row>
    <row r="65" ht="12.75" customHeight="1" s="202">
      <c r="A65" s="201" t="n"/>
      <c r="B65" s="22">
        <f>IF(C64=12,B64+1,B64)</f>
        <v/>
      </c>
      <c r="C65" s="22">
        <f>IF(C64=12,1,C64+1)</f>
        <v/>
      </c>
      <c r="D65" s="22">
        <f>IF(F65="12월",(E65+1)&amp;VLOOKUP(F65,인덱스!$C:$D,2,0),E65&amp;VLOOKUP(F65,인덱스!$C:$D,2,0))</f>
        <v/>
      </c>
      <c r="E65" s="201">
        <f>"20"&amp;B65</f>
        <v/>
      </c>
      <c r="F65" s="201">
        <f>C65&amp;"월"</f>
        <v/>
      </c>
      <c r="G65" s="40">
        <f>B65&amp;"."&amp;VLOOKUP(F65,인덱스!$A:$B,2,0)</f>
        <v/>
      </c>
      <c r="H65" s="257">
        <f>IFERROR(VLOOKUP(G65,#REF!,2,0),)</f>
        <v/>
      </c>
      <c r="I65" s="42">
        <f>IF(Q65="","",I64*(Q65/Q64))</f>
        <v/>
      </c>
      <c r="J65" s="42">
        <f>IF(R65="","",J64*(R65/R64))</f>
        <v/>
      </c>
      <c r="K65" s="43">
        <f>IF(S65="","",K64*(S65/S64))</f>
        <v/>
      </c>
      <c r="L65" s="43">
        <f>IF(U65="","",L64*(U65/U64))</f>
        <v/>
      </c>
      <c r="M65" s="43">
        <f>IF(V65="","",M64*(V65/V64))</f>
        <v/>
      </c>
      <c r="N65" s="201" t="n"/>
      <c r="O65" s="201" t="n"/>
      <c r="P65" s="201" t="n"/>
      <c r="Q65" s="8">
        <f>IFERROR(__xludf.DUMMYFUNCTION("iferror(index('지수RAW'!$V$7:$V$12040,MATCH($D65,'지수RAW'!$R$7:$R$12040,0)-1,1),GOOGLEFINANCE(Q$2))"),2425.08)</f>
        <v/>
      </c>
      <c r="R65" s="201">
        <f>IFERROR(__xludf.DUMMYFUNCTION("iferror(index('지수RAW'!$F$7:$F$12040,MATCH($D65,'지수RAW'!$B$7:$B$12040,0)-1,1),GOOGLEFINANCE(R$2))"),4076.6)</f>
        <v/>
      </c>
      <c r="S65" s="9">
        <f>IFERROR(__xludf.DUMMYFUNCTION("iferror(index('지수RAW'!$N$7:$N$12040,MATCH($D65,'지수RAW'!$J$7:$J$12040,0)-1,1),GOOGLEFINANCE(S$2))"),11584.55)</f>
        <v/>
      </c>
      <c r="T65" s="201" t="n"/>
      <c r="U65" s="252">
        <f t="array" ref="U65">IFERROR(INDEX(지수RAW!$AT$7:$AT$12040,MATCH($D65,지수RAW!$AP$7:$AP$12040,0)-1,1),지수RAW!$AU$4)</f>
        <v/>
      </c>
      <c r="V65" s="252">
        <f>IFERROR(__xludf.DUMMYFUNCTION("iferror(index('지수RAW'!$AL$7:$AL$12040,MATCH($D65,'지수RAW'!$AH$7:$AH$12040,0)-1,1),GOOGLEFINANCE(V$2))"),23129.07)</f>
        <v/>
      </c>
      <c r="W65" s="253">
        <f>IFERROR(__xludf.DUMMYFUNCTION("iferror(index('지수RAW'!$AD$7:$AD$12040,MATCH($D65,'지수RAW'!$Z$7:$Z$12040,0)-1,1),GOOGLEFINANCE(W$2))"),1232.15)</f>
        <v/>
      </c>
      <c r="X65" s="36">
        <f>$W65*R65</f>
        <v/>
      </c>
      <c r="Y65" s="36">
        <f>$W65*S65</f>
        <v/>
      </c>
      <c r="Z65" s="36">
        <f>$W65*U65</f>
        <v/>
      </c>
      <c r="AA65" s="36">
        <f>$W65*V65</f>
        <v/>
      </c>
      <c r="AB65" s="255" t="n"/>
      <c r="AC65" s="42">
        <f>IF(Q65="","",AC64*(W65/W64))</f>
        <v/>
      </c>
      <c r="AD65" s="42">
        <f>IF(R65="","",AD64*(X65/X64))</f>
        <v/>
      </c>
      <c r="AE65" s="42">
        <f>IF(S65="","",AE64*(Y65/Y64))</f>
        <v/>
      </c>
      <c r="AF65" s="42">
        <f>IF(U65="","",AF64*(Z65/Z64))</f>
        <v/>
      </c>
      <c r="AG65" s="42">
        <f>IF(V65="","",AG64*(AA65/AA64))</f>
        <v/>
      </c>
    </row>
    <row r="66" ht="12.75" customHeight="1" s="202">
      <c r="A66" s="201" t="n"/>
      <c r="B66" s="22">
        <f>IF(C65=12,B65+1,B65)</f>
        <v/>
      </c>
      <c r="C66" s="22">
        <f>IF(C65=12,1,C65+1)</f>
        <v/>
      </c>
      <c r="D66" s="22">
        <f>IF(F66="12월",(E66+1)&amp;VLOOKUP(F66,인덱스!$C:$D,2,0),E66&amp;VLOOKUP(F66,인덱스!$C:$D,2,0))</f>
        <v/>
      </c>
      <c r="E66" s="201">
        <f>"20"&amp;B66</f>
        <v/>
      </c>
      <c r="F66" s="201">
        <f>C66&amp;"월"</f>
        <v/>
      </c>
      <c r="G66" s="37">
        <f>B66&amp;"."&amp;VLOOKUP(F66,인덱스!$A:$B,2,0)</f>
        <v/>
      </c>
      <c r="H66" s="256">
        <f>IFERROR(VLOOKUP(G66,#REF!,2,0),)</f>
        <v/>
      </c>
      <c r="I66" s="38">
        <f>IF(Q66="","",I65*(Q66/Q65))</f>
        <v/>
      </c>
      <c r="J66" s="38">
        <f>IF(R66="","",J65*(R66/R65))</f>
        <v/>
      </c>
      <c r="K66" s="39">
        <f>IF(S66="","",K65*(S66/S65))</f>
        <v/>
      </c>
      <c r="L66" s="39">
        <f>IF(U66="","",L65*(U66/U65))</f>
        <v/>
      </c>
      <c r="M66" s="39">
        <f>IF(V66="","",M65*(V66/V65))</f>
        <v/>
      </c>
      <c r="N66" s="201" t="n"/>
      <c r="O66" s="201" t="n"/>
      <c r="P66" s="201" t="n"/>
      <c r="Q66" s="8">
        <f>IFERROR(__xludf.DUMMYFUNCTION("iferror(index('지수RAW'!$V$7:$V$12040,MATCH($D66,'지수RAW'!$R$7:$R$12040,0)-1,1),GOOGLEFINANCE(Q$2))"),2412.85)</f>
        <v/>
      </c>
      <c r="R66" s="201">
        <f>IFERROR(__xludf.DUMMYFUNCTION("iferror(index('지수RAW'!$F$7:$F$12040,MATCH($D66,'지수RAW'!$B$7:$B$12040,0)-1,1),GOOGLEFINANCE(R$2))"),3970.15)</f>
        <v/>
      </c>
      <c r="S66" s="9">
        <f>IFERROR(__xludf.DUMMYFUNCTION("iferror(index('지수RAW'!$N$7:$N$12040,MATCH($D66,'지수RAW'!$J$7:$J$12040,0)-1,1),GOOGLEFINANCE(S$2))"),11455.54)</f>
        <v/>
      </c>
      <c r="T66" s="201" t="n"/>
      <c r="U66" s="252">
        <f t="array" ref="U66">IFERROR(INDEX(지수RAW!$AT$7:$AT$12040,MATCH($D66,지수RAW!$AP$7:$AP$12040,0)-1,1),지수RAW!$AU$4)</f>
        <v/>
      </c>
      <c r="V66" s="252">
        <f>IFERROR(__xludf.DUMMYFUNCTION("iferror(index('지수RAW'!$AL$7:$AL$12040,MATCH($D66,'지수RAW'!$AH$7:$AH$12040,0)-1,1),GOOGLEFINANCE(V$2))"),23131.85)</f>
        <v/>
      </c>
      <c r="W66" s="253">
        <f>IFERROR(__xludf.DUMMYFUNCTION("iferror(index('지수RAW'!$AD$7:$AD$12040,MATCH($D66,'지수RAW'!$Z$7:$Z$12040,0)-1,1),GOOGLEFINANCE(W$2))"),1321.6)</f>
        <v/>
      </c>
      <c r="X66" s="36">
        <f>$W66*R66</f>
        <v/>
      </c>
      <c r="Y66" s="36">
        <f>$W66*S66</f>
        <v/>
      </c>
      <c r="Z66" s="36">
        <f>$W66*U66</f>
        <v/>
      </c>
      <c r="AA66" s="36">
        <f>$W66*V66</f>
        <v/>
      </c>
      <c r="AB66" s="255" t="n"/>
      <c r="AC66" s="38">
        <f>IF(Q66="","",AC65*(W66/W65))</f>
        <v/>
      </c>
      <c r="AD66" s="38">
        <f>IF(R66="","",AD65*(X66/X65))</f>
        <v/>
      </c>
      <c r="AE66" s="38">
        <f>IF(S66="","",AE65*(Y66/Y65))</f>
        <v/>
      </c>
      <c r="AF66" s="38">
        <f>IF(U66="","",AF65*(Z66/Z65))</f>
        <v/>
      </c>
      <c r="AG66" s="38">
        <f>IF(V66="","",AG65*(AA66/AA65))</f>
        <v/>
      </c>
    </row>
    <row r="67" ht="12.75" customHeight="1" s="202">
      <c r="A67" s="201" t="n"/>
      <c r="B67" s="22">
        <f>IF(C66=12,B66+1,B66)</f>
        <v/>
      </c>
      <c r="C67" s="22">
        <f>IF(C66=12,1,C66+1)</f>
        <v/>
      </c>
      <c r="D67" s="22">
        <f>IF(F67="12월",(E67+1)&amp;VLOOKUP(F67,인덱스!$C:$D,2,0),E67&amp;VLOOKUP(F67,인덱스!$C:$D,2,0))</f>
        <v/>
      </c>
      <c r="E67" s="201">
        <f>"20"&amp;B67</f>
        <v/>
      </c>
      <c r="F67" s="201">
        <f>C67&amp;"월"</f>
        <v/>
      </c>
      <c r="G67" s="37">
        <f>B67&amp;"."&amp;VLOOKUP(F67,인덱스!$A:$B,2,0)</f>
        <v/>
      </c>
      <c r="H67" s="256">
        <f>IFERROR(VLOOKUP(G67,#REF!,2,0),)</f>
        <v/>
      </c>
      <c r="I67" s="38">
        <f>IF(Q67="","",I66*(Q67/Q66))</f>
        <v/>
      </c>
      <c r="J67" s="38">
        <f>IF(R67="","",J66*(R67/R66))</f>
        <v/>
      </c>
      <c r="K67" s="39">
        <f>IF(S67="","",K66*(S67/S66))</f>
        <v/>
      </c>
      <c r="L67" s="39">
        <f>IF(U67="","",L66*(U67/U66))</f>
        <v/>
      </c>
      <c r="M67" s="39">
        <f>IF(V67="","",M66*(V67/V66))</f>
        <v/>
      </c>
      <c r="N67" s="201" t="n"/>
      <c r="O67" s="201" t="n"/>
      <c r="P67" s="201" t="n"/>
      <c r="Q67" s="8">
        <f>IFERROR(__xludf.DUMMYFUNCTION("iferror(index('지수RAW'!$V$7:$V$12040,MATCH($D67,'지수RAW'!$R$7:$R$12040,0)-1,1),GOOGLEFINANCE(Q$2))"),2476.86)</f>
        <v/>
      </c>
      <c r="R67" s="201">
        <f>IFERROR(__xludf.DUMMYFUNCTION("iferror(index('지수RAW'!$F$7:$F$12040,MATCH($D67,'지수RAW'!$B$7:$B$12040,0)-1,1),GOOGLEFINANCE(R$2))"),4109.31)</f>
        <v/>
      </c>
      <c r="S67" s="9">
        <f>IFERROR(__xludf.DUMMYFUNCTION("iferror(index('지수RAW'!$N$7:$N$12040,MATCH($D67,'지수RAW'!$J$7:$J$12040,0)-1,1),GOOGLEFINANCE(S$2))"),12221.91)</f>
        <v/>
      </c>
      <c r="T67" s="201" t="n"/>
      <c r="U67" s="252">
        <f t="array" ref="U67">IFERROR(INDEX(지수RAW!$AT$7:$AT$12040,MATCH($D67,지수RAW!$AP$7:$AP$12040,0)-1,1),지수RAW!$AU$4)</f>
        <v/>
      </c>
      <c r="V67" s="252">
        <f>IFERROR(__xludf.DUMMYFUNCTION("iferror(index('지수RAW'!$AL$7:$AL$12040,MATCH($D67,'지수RAW'!$AH$7:$AH$12040,0)-1,1),GOOGLEFINANCE(V$2))"),28474.26)</f>
        <v/>
      </c>
      <c r="W67" s="253">
        <f>IFERROR(__xludf.DUMMYFUNCTION("iferror(index('지수RAW'!$AD$7:$AD$12040,MATCH($D67,'지수RAW'!$Z$7:$Z$12040,0)-1,1),GOOGLEFINANCE(W$2))"),1306.15)</f>
        <v/>
      </c>
      <c r="X67" s="36">
        <f>$W67*R67</f>
        <v/>
      </c>
      <c r="Y67" s="36">
        <f>$W67*S67</f>
        <v/>
      </c>
      <c r="Z67" s="36">
        <f>$W67*U67</f>
        <v/>
      </c>
      <c r="AA67" s="36">
        <f>$W67*V67</f>
        <v/>
      </c>
      <c r="AB67" s="255" t="n"/>
      <c r="AC67" s="38">
        <f>IF(Q67="","",AC66*(W67/W66))</f>
        <v/>
      </c>
      <c r="AD67" s="38">
        <f>IF(R67="","",AD66*(X67/X66))</f>
        <v/>
      </c>
      <c r="AE67" s="38">
        <f>IF(S67="","",AE66*(Y67/Y66))</f>
        <v/>
      </c>
      <c r="AF67" s="38">
        <f>IF(U67="","",AF66*(Z67/Z66))</f>
        <v/>
      </c>
      <c r="AG67" s="38">
        <f>IF(V67="","",AG66*(AA67/AA66))</f>
        <v/>
      </c>
    </row>
    <row r="68" ht="12.75" customHeight="1" s="202">
      <c r="A68" s="201" t="n"/>
      <c r="B68" s="22">
        <f>IF(C67=12,B67+1,B67)</f>
        <v/>
      </c>
      <c r="C68" s="22">
        <f>IF(C67=12,1,C67+1)</f>
        <v/>
      </c>
      <c r="D68" s="22">
        <f>IF(F68="12월",(E68+1)&amp;VLOOKUP(F68,인덱스!$C:$D,2,0),E68&amp;VLOOKUP(F68,인덱스!$C:$D,2,0))</f>
        <v/>
      </c>
      <c r="E68" s="201">
        <f>"20"&amp;B68</f>
        <v/>
      </c>
      <c r="F68" s="201">
        <f>C68&amp;"월"</f>
        <v/>
      </c>
      <c r="G68" s="37">
        <f>B68&amp;"."&amp;VLOOKUP(F68,인덱스!$A:$B,2,0)</f>
        <v/>
      </c>
      <c r="H68" s="256">
        <f>IFERROR(VLOOKUP(G68,#REF!,2,0),)</f>
        <v/>
      </c>
      <c r="I68" s="38">
        <f>IF(Q68="","",I67*(Q68/Q67))</f>
        <v/>
      </c>
      <c r="J68" s="38">
        <f>IF(R68="","",J67*(R68/R67))</f>
        <v/>
      </c>
      <c r="K68" s="39">
        <f>IF(S68="","",K67*(S68/S67))</f>
        <v/>
      </c>
      <c r="L68" s="39">
        <f>IF(U68="","",L67*(U68/U67))</f>
        <v/>
      </c>
      <c r="M68" s="39">
        <f>IF(V68="","",M67*(V68/V67))</f>
        <v/>
      </c>
      <c r="N68" s="201" t="n"/>
      <c r="O68" s="201" t="n"/>
      <c r="P68" s="201" t="n"/>
      <c r="Q68" s="8">
        <f>IFERROR(__xludf.DUMMYFUNCTION("iferror(index('지수RAW'!$V$7:$V$12040,MATCH($D68,'지수RAW'!$R$7:$R$12040,0)-1,1),GOOGLEFINANCE(Q$2))"),2501.53)</f>
        <v/>
      </c>
      <c r="R68" s="201">
        <f>IFERROR(__xludf.DUMMYFUNCTION("iferror(index('지수RAW'!$F$7:$F$12040,MATCH($D68,'지수RAW'!$B$7:$B$12040,0)-1,1),GOOGLEFINANCE(R$2))"),4169.48)</f>
        <v/>
      </c>
      <c r="S68" s="9">
        <f>IFERROR(__xludf.DUMMYFUNCTION("iferror(index('지수RAW'!$N$7:$N$12040,MATCH($D68,'지수RAW'!$J$7:$J$12040,0)-1,1),GOOGLEFINANCE(S$2))"),12226.58)</f>
        <v/>
      </c>
      <c r="T68" s="201" t="n"/>
      <c r="U68" s="252">
        <f t="array" ref="U68">IFERROR(INDEX(지수RAW!$AT$7:$AT$12040,MATCH($D68,지수RAW!$AP$7:$AP$12040,0)-1,1),지수RAW!$AU$4)</f>
        <v/>
      </c>
      <c r="V68" s="252">
        <f>IFERROR(__xludf.DUMMYFUNCTION("iferror(index('지수RAW'!$AL$7:$AL$12040,MATCH($D68,'지수RAW'!$AH$7:$AH$12040,0)-1,1),GOOGLEFINANCE(V$2))"),29253.14)</f>
        <v/>
      </c>
      <c r="W68" s="253">
        <f>IFERROR(__xludf.DUMMYFUNCTION("iferror(index('지수RAW'!$AD$7:$AD$12040,MATCH($D68,'지수RAW'!$Z$7:$Z$12040,0)-1,1),GOOGLEFINANCE(W$2))"),1337.17)</f>
        <v/>
      </c>
      <c r="X68" s="36">
        <f>$W68*R68</f>
        <v/>
      </c>
      <c r="Y68" s="36">
        <f>$W68*S68</f>
        <v/>
      </c>
      <c r="Z68" s="36">
        <f>$W68*U68</f>
        <v/>
      </c>
      <c r="AA68" s="36">
        <f>$W68*V68</f>
        <v/>
      </c>
      <c r="AB68" s="255" t="n"/>
      <c r="AC68" s="38">
        <f>IF(Q68="","",AC67*(W68/W67))</f>
        <v/>
      </c>
      <c r="AD68" s="38">
        <f>IF(R68="","",AD67*(X68/X67))</f>
        <v/>
      </c>
      <c r="AE68" s="38">
        <f>IF(S68="","",AE67*(Y68/Y67))</f>
        <v/>
      </c>
      <c r="AF68" s="38">
        <f>IF(U68="","",AF67*(Z68/Z67))</f>
        <v/>
      </c>
      <c r="AG68" s="38">
        <f>IF(V68="","",AG67*(AA68/AA67))</f>
        <v/>
      </c>
    </row>
    <row r="69" ht="12.75" customHeight="1" s="202">
      <c r="A69" s="201" t="n"/>
      <c r="B69" s="22">
        <f>IF(C68=12,B68+1,B68)</f>
        <v/>
      </c>
      <c r="C69" s="22">
        <f>IF(C68=12,1,C68+1)</f>
        <v/>
      </c>
      <c r="D69" s="22">
        <f>IF(F69="12월",(E69+1)&amp;VLOOKUP(F69,인덱스!$C:$D,2,0),E69&amp;VLOOKUP(F69,인덱스!$C:$D,2,0))</f>
        <v/>
      </c>
      <c r="E69" s="201">
        <f>"20"&amp;B69</f>
        <v/>
      </c>
      <c r="F69" s="201">
        <f>C69&amp;"월"</f>
        <v/>
      </c>
      <c r="G69" s="37">
        <f>B69&amp;"."&amp;VLOOKUP(F69,인덱스!$A:$B,2,0)</f>
        <v/>
      </c>
      <c r="H69" s="256">
        <f>IFERROR(VLOOKUP(G69,#REF!,2,0),)</f>
        <v/>
      </c>
      <c r="I69" s="38">
        <f>IF(Q69="","",I68*(Q69/Q68))</f>
        <v/>
      </c>
      <c r="J69" s="38">
        <f>IF(R69="","",J68*(R69/R68))</f>
        <v/>
      </c>
      <c r="K69" s="39">
        <f>IF(S69="","",K68*(S69/S68))</f>
        <v/>
      </c>
      <c r="L69" s="39">
        <f>IF(U69="","",L68*(U69/U68))</f>
        <v/>
      </c>
      <c r="M69" s="39">
        <f>IF(V69="","",M68*(V69/V68))</f>
        <v/>
      </c>
      <c r="N69" s="201" t="n"/>
      <c r="O69" s="201" t="n"/>
      <c r="P69" s="201" t="n"/>
      <c r="Q69" s="8">
        <f>IFERROR(__xludf.DUMMYFUNCTION("iferror(index('지수RAW'!$V$7:$V$12040,MATCH($D69,'지수RAW'!$R$7:$R$12040,0)-1,1),GOOGLEFINANCE(Q$2))"),2577.12)</f>
        <v/>
      </c>
      <c r="R69" s="201">
        <f>IFERROR(__xludf.DUMMYFUNCTION("iferror(index('지수RAW'!$F$7:$F$12040,MATCH($D69,'지수RAW'!$B$7:$B$12040,0)-1,1),GOOGLEFINANCE(R$2))"),4179.83)</f>
        <v/>
      </c>
      <c r="S69" s="9">
        <f>IFERROR(__xludf.DUMMYFUNCTION("iferror(index('지수RAW'!$N$7:$N$12040,MATCH($D69,'지수RAW'!$J$7:$J$12040,0)-1,1),GOOGLEFINANCE(S$2))"),12935.29)</f>
        <v/>
      </c>
      <c r="T69" s="201" t="n"/>
      <c r="U69" s="252">
        <f t="array" ref="U69">IFERROR(INDEX(지수RAW!$AT$7:$AT$12040,MATCH($D69,지수RAW!$AP$7:$AP$12040,0)-1,1),지수RAW!$AU$4)</f>
        <v/>
      </c>
      <c r="V69" s="252">
        <f>IFERROR(__xludf.DUMMYFUNCTION("iferror(index('지수RAW'!$AL$7:$AL$12040,MATCH($D69,'지수RAW'!$AH$7:$AH$12040,0)-1,1),GOOGLEFINANCE(V$2))"),27218.21)</f>
        <v/>
      </c>
      <c r="W69" s="253">
        <f>IFERROR(__xludf.DUMMYFUNCTION("iferror(index('지수RAW'!$AD$7:$AD$12040,MATCH($D69,'지수RAW'!$Z$7:$Z$12040,0)-1,1),GOOGLEFINANCE(W$2))"),1321.74)</f>
        <v/>
      </c>
      <c r="X69" s="36">
        <f>$W69*R69</f>
        <v/>
      </c>
      <c r="Y69" s="36">
        <f>$W69*S69</f>
        <v/>
      </c>
      <c r="Z69" s="36">
        <f>$W69*U69</f>
        <v/>
      </c>
      <c r="AA69" s="36">
        <f>$W69*V69</f>
        <v/>
      </c>
      <c r="AB69" s="255" t="n"/>
      <c r="AC69" s="38">
        <f>IF(Q69="","",AC68*(W69/W68))</f>
        <v/>
      </c>
      <c r="AD69" s="38">
        <f>IF(R69="","",AD68*(X69/X68))</f>
        <v/>
      </c>
      <c r="AE69" s="38">
        <f>IF(S69="","",AE68*(Y69/Y68))</f>
        <v/>
      </c>
      <c r="AF69" s="38">
        <f>IF(U69="","",AF68*(Z69/Z68))</f>
        <v/>
      </c>
      <c r="AG69" s="38">
        <f>IF(V69="","",AG68*(AA69/AA68))</f>
        <v/>
      </c>
    </row>
    <row r="70" ht="12.75" customHeight="1" s="202">
      <c r="A70" s="201" t="n"/>
      <c r="B70" s="22">
        <f>IF(C69=12,B69+1,B69)</f>
        <v/>
      </c>
      <c r="C70" s="22">
        <f>IF(C69=12,1,C69+1)</f>
        <v/>
      </c>
      <c r="D70" s="22">
        <f>IF(F70="12월",(E70+1)&amp;VLOOKUP(F70,인덱스!$C:$D,2,0),E70&amp;VLOOKUP(F70,인덱스!$C:$D,2,0))</f>
        <v/>
      </c>
      <c r="E70" s="201">
        <f>"20"&amp;B70</f>
        <v/>
      </c>
      <c r="F70" s="201">
        <f>C70&amp;"월"</f>
        <v/>
      </c>
      <c r="G70" s="37">
        <f>B70&amp;"."&amp;VLOOKUP(F70,인덱스!$A:$B,2,0)</f>
        <v/>
      </c>
      <c r="H70" s="256">
        <f>IFERROR(VLOOKUP(G70,#REF!,2,0),)</f>
        <v/>
      </c>
      <c r="I70" s="38">
        <f>IF(Q70="","",I69*(Q70/Q69))</f>
        <v/>
      </c>
      <c r="J70" s="38">
        <f>IF(R70="","",J69*(R70/R69))</f>
        <v/>
      </c>
      <c r="K70" s="39">
        <f>IF(S70="","",K69*(S70/S69))</f>
        <v/>
      </c>
      <c r="L70" s="39">
        <f>IF(U70="","",L69*(U70/U69))</f>
        <v/>
      </c>
      <c r="M70" s="39">
        <f>IF(V70="","",M69*(V70/V69))</f>
        <v/>
      </c>
      <c r="N70" s="201" t="n"/>
      <c r="O70" s="201" t="n"/>
      <c r="P70" s="201" t="n"/>
      <c r="Q70" s="8">
        <f>IFERROR(__xludf.DUMMYFUNCTION("iferror(index('지수RAW'!$V$7:$V$12040,MATCH($D70,'지수RAW'!$R$7:$R$12040,0)-1,1),GOOGLEFINANCE(Q$2))"),2564.28)</f>
        <v/>
      </c>
      <c r="R70" s="201">
        <f>IFERROR(__xludf.DUMMYFUNCTION("iferror(index('지수RAW'!$F$7:$F$12040,MATCH($D70,'지수RAW'!$B$7:$B$12040,0)-1,1),GOOGLEFINANCE(R$2))"),4450.38)</f>
        <v/>
      </c>
      <c r="S70" s="9">
        <f>IFERROR(__xludf.DUMMYFUNCTION("iferror(index('지수RAW'!$N$7:$N$12040,MATCH($D70,'지수RAW'!$J$7:$J$12040,0)-1,1),GOOGLEFINANCE(S$2))"),13787.92)</f>
        <v/>
      </c>
      <c r="T70" s="201" t="n"/>
      <c r="U70" s="252">
        <f t="array" ref="U70">IFERROR(INDEX(지수RAW!$AT$7:$AT$12040,MATCH($D70,지수RAW!$AP$7:$AP$12040,0)-1,1),지수RAW!$AU$4)</f>
        <v/>
      </c>
      <c r="V70" s="252">
        <f>IFERROR(__xludf.DUMMYFUNCTION("iferror(index('지수RAW'!$AL$7:$AL$12040,MATCH($D70,'지수RAW'!$AH$7:$AH$12040,0)-1,1),GOOGLEFINANCE(V$2))"),30472.82)</f>
        <v/>
      </c>
      <c r="W70" s="253">
        <f>IFERROR(__xludf.DUMMYFUNCTION("iferror(index('지수RAW'!$AD$7:$AD$12040,MATCH($D70,'지수RAW'!$Z$7:$Z$12040,0)-1,1),GOOGLEFINANCE(W$2))"),1315.3)</f>
        <v/>
      </c>
      <c r="X70" s="36">
        <f>$W70*R70</f>
        <v/>
      </c>
      <c r="Y70" s="36">
        <f>$W70*S70</f>
        <v/>
      </c>
      <c r="Z70" s="36">
        <f>$W70*U70</f>
        <v/>
      </c>
      <c r="AA70" s="36">
        <f>$W70*V70</f>
        <v/>
      </c>
      <c r="AB70" s="255" t="n"/>
      <c r="AC70" s="38">
        <f>IF(Q70="","",AC69*(W70/W69))</f>
        <v/>
      </c>
      <c r="AD70" s="38">
        <f>IF(R70="","",AD69*(X70/X69))</f>
        <v/>
      </c>
      <c r="AE70" s="38">
        <f>IF(S70="","",AE69*(Y70/Y69))</f>
        <v/>
      </c>
      <c r="AF70" s="38">
        <f>IF(U70="","",AF69*(Z70/Z69))</f>
        <v/>
      </c>
      <c r="AG70" s="38">
        <f>IF(V70="","",AG69*(AA70/AA69))</f>
        <v/>
      </c>
    </row>
    <row r="71" ht="12.75" customHeight="1" s="202">
      <c r="A71" s="201" t="n"/>
      <c r="B71" s="22">
        <f>IF(C70=12,B70+1,B70)</f>
        <v/>
      </c>
      <c r="C71" s="22">
        <f>IF(C70=12,1,C70+1)</f>
        <v/>
      </c>
      <c r="D71" s="22">
        <f>IF(F71="12월",(E71+1)&amp;VLOOKUP(F71,인덱스!$C:$D,2,0),E71&amp;VLOOKUP(F71,인덱스!$C:$D,2,0))</f>
        <v/>
      </c>
      <c r="E71" s="201">
        <f>"20"&amp;B71</f>
        <v/>
      </c>
      <c r="F71" s="201">
        <f>C71&amp;"월"</f>
        <v/>
      </c>
      <c r="G71" s="37">
        <f>B71&amp;"."&amp;VLOOKUP(F71,인덱스!$A:$B,2,0)</f>
        <v/>
      </c>
      <c r="H71" s="256">
        <f>IFERROR(VLOOKUP(G71,#REF!,2,0),)</f>
        <v/>
      </c>
      <c r="I71" s="38">
        <f>IF(Q71="","",I70*(Q71/Q70))</f>
        <v/>
      </c>
      <c r="J71" s="38">
        <f>IF(R71="","",J70*(R71/R70))</f>
        <v/>
      </c>
      <c r="K71" s="39">
        <f>IF(S71="","",K70*(S71/S70))</f>
        <v/>
      </c>
      <c r="L71" s="39">
        <f>IF(U71="","",L70*(U71/U70))</f>
        <v/>
      </c>
      <c r="M71" s="39">
        <f>IF(V71="","",M70*(V71/V70))</f>
        <v/>
      </c>
      <c r="N71" s="201" t="n"/>
      <c r="O71" s="201" t="n"/>
      <c r="P71" s="201" t="n"/>
      <c r="Q71" s="8">
        <f>IFERROR(__xludf.DUMMYFUNCTION("iferror(index('지수RAW'!$V$7:$V$12040,MATCH($D71,'지수RAW'!$R$7:$R$12040,0)-1,1),GOOGLEFINANCE(Q$2))"),2632.58)</f>
        <v/>
      </c>
      <c r="R71" s="201">
        <f>IFERROR(__xludf.DUMMYFUNCTION("iferror(index('지수RAW'!$F$7:$F$12040,MATCH($D71,'지수RAW'!$B$7:$B$12040,0)-1,1),GOOGLEFINANCE(R$2))"),4588.96)</f>
        <v/>
      </c>
      <c r="S71" s="9">
        <f>IFERROR(__xludf.DUMMYFUNCTION("iferror(index('지수RAW'!$N$7:$N$12040,MATCH($D71,'지수RAW'!$J$7:$J$12040,0)-1,1),GOOGLEFINANCE(S$2))"),14346.02)</f>
        <v/>
      </c>
      <c r="T71" s="201" t="n"/>
      <c r="U71" s="252">
        <f t="array" ref="U71">IFERROR(INDEX(지수RAW!$AT$7:$AT$12040,MATCH($D71,지수RAW!$AP$7:$AP$12040,0)-1,1),지수RAW!$AU$4)</f>
        <v/>
      </c>
      <c r="V71" s="252">
        <f>IFERROR(__xludf.DUMMYFUNCTION("iferror(index('지수RAW'!$AL$7:$AL$12040,MATCH($D71,'지수RAW'!$AH$7:$AH$12040,0)-1,1),GOOGLEFINANCE(V$2))"),29244.09)</f>
        <v/>
      </c>
      <c r="W71" s="253">
        <f>IFERROR(__xludf.DUMMYFUNCTION("iferror(index('지수RAW'!$AD$7:$AD$12040,MATCH($D71,'지수RAW'!$Z$7:$Z$12040,0)-1,1),GOOGLEFINANCE(W$2))"),1277.93)</f>
        <v/>
      </c>
      <c r="X71" s="36">
        <f>$W71*R71</f>
        <v/>
      </c>
      <c r="Y71" s="36">
        <f>$W71*S71</f>
        <v/>
      </c>
      <c r="Z71" s="36">
        <f>$W71*U71</f>
        <v/>
      </c>
      <c r="AA71" s="36">
        <f>$W71*V71</f>
        <v/>
      </c>
      <c r="AB71" s="255" t="n"/>
      <c r="AC71" s="38">
        <f>IF(Q71="","",AC70*(W71/W70))</f>
        <v/>
      </c>
      <c r="AD71" s="38">
        <f>IF(R71="","",AD70*(X71/X70))</f>
        <v/>
      </c>
      <c r="AE71" s="38">
        <f>IF(S71="","",AE70*(Y71/Y70))</f>
        <v/>
      </c>
      <c r="AF71" s="38">
        <f>IF(U71="","",AF70*(Z71/Z70))</f>
        <v/>
      </c>
      <c r="AG71" s="38">
        <f>IF(V71="","",AG70*(AA71/AA70))</f>
        <v/>
      </c>
    </row>
    <row r="72" ht="12.75" customHeight="1" s="202">
      <c r="A72" s="201" t="n"/>
      <c r="B72" s="22">
        <f>IF(C71=12,B71+1,B71)</f>
        <v/>
      </c>
      <c r="C72" s="22">
        <f>IF(C71=12,1,C71+1)</f>
        <v/>
      </c>
      <c r="D72" s="22">
        <f>IF(F72="12월",(E72+1)&amp;VLOOKUP(F72,인덱스!$C:$D,2,0),E72&amp;VLOOKUP(F72,인덱스!$C:$D,2,0))</f>
        <v/>
      </c>
      <c r="E72" s="201">
        <f>"20"&amp;B72</f>
        <v/>
      </c>
      <c r="F72" s="201">
        <f>C72&amp;"월"</f>
        <v/>
      </c>
      <c r="G72" s="37">
        <f>B72&amp;"."&amp;VLOOKUP(F72,인덱스!$A:$B,2,0)</f>
        <v/>
      </c>
      <c r="H72" s="256">
        <f>IFERROR(VLOOKUP(G72,#REF!,2,0),)</f>
        <v/>
      </c>
      <c r="I72" s="38">
        <f>IF(Q72="","",I71*(Q72/Q71))</f>
        <v/>
      </c>
      <c r="J72" s="38">
        <f>IF(R72="","",J71*(R72/R71))</f>
        <v/>
      </c>
      <c r="K72" s="39">
        <f>IF(S72="","",K71*(S72/S71))</f>
        <v/>
      </c>
      <c r="L72" s="39">
        <f>IF(U72="","",L71*(U72/U71))</f>
        <v/>
      </c>
      <c r="M72" s="39">
        <f>IF(V72="","",M71*(V72/V71))</f>
        <v/>
      </c>
      <c r="N72" s="201" t="n"/>
      <c r="O72" s="201" t="n"/>
      <c r="P72" s="201" t="n"/>
      <c r="Q72" s="8">
        <f>IFERROR(__xludf.DUMMYFUNCTION("iferror(index('지수RAW'!$V$7:$V$12040,MATCH($D72,'지수RAW'!$R$7:$R$12040,0)-1,1),GOOGLEFINANCE(Q$2))"),2556.27)</f>
        <v/>
      </c>
      <c r="R72" s="201">
        <f>IFERROR(__xludf.DUMMYFUNCTION("iferror(index('지수RAW'!$F$7:$F$12040,MATCH($D72,'지수RAW'!$B$7:$B$12040,0)-1,1),GOOGLEFINANCE(R$2))"),4507.66)</f>
        <v/>
      </c>
      <c r="S72" s="9">
        <f>IFERROR(__xludf.DUMMYFUNCTION("iferror(index('지수RAW'!$N$7:$N$12040,MATCH($D72,'지수RAW'!$J$7:$J$12040,0)-1,1),GOOGLEFINANCE(S$2))"),14034.97)</f>
        <v/>
      </c>
      <c r="T72" s="201" t="n"/>
      <c r="U72" s="252">
        <f t="array" ref="U72">IFERROR(INDEX(지수RAW!$AT$7:$AT$12040,MATCH($D72,지수RAW!$AP$7:$AP$12040,0)-1,1),지수RAW!$AU$4)</f>
        <v/>
      </c>
      <c r="V72" s="252">
        <f>IFERROR(__xludf.DUMMYFUNCTION("iferror(index('지수RAW'!$AL$7:$AL$12040,MATCH($D72,'지수RAW'!$AH$7:$AH$12040,0)-1,1),GOOGLEFINANCE(V$2))"),25936.08)</f>
        <v/>
      </c>
      <c r="W72" s="253">
        <f>IFERROR(__xludf.DUMMYFUNCTION("iferror(index('지수RAW'!$AD$7:$AD$12040,MATCH($D72,'지수RAW'!$Z$7:$Z$12040,0)-1,1),GOOGLEFINANCE(W$2))"),1324.64)</f>
        <v/>
      </c>
      <c r="X72" s="36">
        <f>$W72*R72</f>
        <v/>
      </c>
      <c r="Y72" s="36">
        <f>$W72*S72</f>
        <v/>
      </c>
      <c r="Z72" s="36">
        <f>$W72*U72</f>
        <v/>
      </c>
      <c r="AA72" s="36">
        <f>$W72*V72</f>
        <v/>
      </c>
      <c r="AB72" s="255" t="n"/>
      <c r="AC72" s="38">
        <f>IF(Q72="","",AC71*(W72/W71))</f>
        <v/>
      </c>
      <c r="AD72" s="38">
        <f>IF(R72="","",AD71*(X72/X71))</f>
        <v/>
      </c>
      <c r="AE72" s="38">
        <f>IF(S72="","",AE71*(Y72/Y71))</f>
        <v/>
      </c>
      <c r="AF72" s="38">
        <f>IF(U72="","",AF71*(Z72/Z71))</f>
        <v/>
      </c>
      <c r="AG72" s="38">
        <f>IF(V72="","",AG71*(AA72/AA71))</f>
        <v/>
      </c>
    </row>
    <row r="73" ht="12.75" customHeight="1" s="202">
      <c r="A73" s="201" t="n"/>
      <c r="B73" s="22">
        <f>IF(C72=12,B72+1,B72)</f>
        <v/>
      </c>
      <c r="C73" s="22">
        <f>IF(C72=12,1,C72+1)</f>
        <v/>
      </c>
      <c r="D73" s="22">
        <f>IF(F73="12월",(E73+1)&amp;VLOOKUP(F73,인덱스!$C:$D,2,0),E73&amp;VLOOKUP(F73,인덱스!$C:$D,2,0))</f>
        <v/>
      </c>
      <c r="E73" s="201">
        <f>"20"&amp;B73</f>
        <v/>
      </c>
      <c r="F73" s="201">
        <f>C73&amp;"월"</f>
        <v/>
      </c>
      <c r="G73" s="37">
        <f>B73&amp;"."&amp;VLOOKUP(F73,인덱스!$A:$B,2,0)</f>
        <v/>
      </c>
      <c r="H73" s="256">
        <f>IFERROR(VLOOKUP(G73,#REF!,2,0),)</f>
        <v/>
      </c>
      <c r="I73" s="38">
        <f>IF(Q73="","",I72*(Q73/Q72))</f>
        <v/>
      </c>
      <c r="J73" s="38">
        <f>IF(R73="","",J72*(R73/R72))</f>
        <v/>
      </c>
      <c r="K73" s="39">
        <f>IF(S73="","",K72*(S73/S72))</f>
        <v/>
      </c>
      <c r="L73" s="39">
        <f>IF(U73="","",L72*(U73/U72))</f>
        <v/>
      </c>
      <c r="M73" s="39">
        <f>IF(V73="","",M72*(V73/V72))</f>
        <v/>
      </c>
      <c r="N73" s="201" t="n"/>
      <c r="O73" s="201" t="n"/>
      <c r="P73" s="201" t="n"/>
      <c r="Q73" s="8">
        <f>IFERROR(__xludf.DUMMYFUNCTION("iferror(index('지수RAW'!$V$7:$V$12040,MATCH($D73,'지수RAW'!$R$7:$R$12040,0)-1,1),GOOGLEFINANCE(Q$2))"),2465.07)</f>
        <v/>
      </c>
      <c r="R73" s="201">
        <f>IFERROR(__xludf.DUMMYFUNCTION("iferror(index('지수RAW'!$F$7:$F$12040,MATCH($D73,'지수RAW'!$B$7:$B$12040,0)-1,1),GOOGLEFINANCE(R$2))"),4288.05)</f>
        <v/>
      </c>
      <c r="S73" s="9">
        <f>IFERROR(__xludf.DUMMYFUNCTION("iferror(index('지수RAW'!$N$7:$N$12040,MATCH($D73,'지수RAW'!$J$7:$J$12040,0)-1,1),GOOGLEFINANCE(S$2))"),13219.32)</f>
        <v/>
      </c>
      <c r="T73" s="201" t="n"/>
      <c r="U73" s="252">
        <f t="array" ref="U73">IFERROR(INDEX(지수RAW!$AT$7:$AT$12040,MATCH($D73,지수RAW!$AP$7:$AP$12040,0)-1,1),지수RAW!$AU$4)</f>
        <v/>
      </c>
      <c r="V73" s="252">
        <f>IFERROR(__xludf.DUMMYFUNCTION("iferror(index('지수RAW'!$AL$7:$AL$12040,MATCH($D73,'지수RAW'!$AH$7:$AH$12040,0)-1,1),GOOGLEFINANCE(V$2))"),26968.96)</f>
        <v/>
      </c>
      <c r="W73" s="253">
        <f>IFERROR(__xludf.DUMMYFUNCTION("iferror(index('지수RAW'!$AD$7:$AD$12040,MATCH($D73,'지수RAW'!$Z$7:$Z$12040,0)-1,1),GOOGLEFINANCE(W$2))"),1351.93)</f>
        <v/>
      </c>
      <c r="X73" s="36">
        <f>$W73*R73</f>
        <v/>
      </c>
      <c r="Y73" s="36">
        <f>$W73*S73</f>
        <v/>
      </c>
      <c r="Z73" s="36">
        <f>$W73*U73</f>
        <v/>
      </c>
      <c r="AA73" s="36">
        <f>$W73*V73</f>
        <v/>
      </c>
      <c r="AB73" s="255" t="n"/>
      <c r="AC73" s="38">
        <f>IF(Q73="","",AC72*(W73/W72))</f>
        <v/>
      </c>
      <c r="AD73" s="38">
        <f>IF(R73="","",AD72*(X73/X72))</f>
        <v/>
      </c>
      <c r="AE73" s="38">
        <f>IF(S73="","",AE72*(Y73/Y72))</f>
        <v/>
      </c>
      <c r="AF73" s="38">
        <f>IF(U73="","",AF72*(Z73/Z72))</f>
        <v/>
      </c>
      <c r="AG73" s="38">
        <f>IF(V73="","",AG72*(AA73/AA72))</f>
        <v/>
      </c>
    </row>
    <row r="74" ht="12.75" customHeight="1" s="202">
      <c r="A74" s="201" t="n"/>
      <c r="B74" s="22">
        <f>IF(C73=12,B73+1,B73)</f>
        <v/>
      </c>
      <c r="C74" s="22">
        <f>IF(C73=12,1,C73+1)</f>
        <v/>
      </c>
      <c r="D74" s="22">
        <f>IF(F74="12월",(E74+1)&amp;VLOOKUP(F74,인덱스!$C:$D,2,0),E74&amp;VLOOKUP(F74,인덱스!$C:$D,2,0))</f>
        <v/>
      </c>
      <c r="E74" s="201">
        <f>"20"&amp;B74</f>
        <v/>
      </c>
      <c r="F74" s="201">
        <f>C74&amp;"월"</f>
        <v/>
      </c>
      <c r="G74" s="37">
        <f>B74&amp;"."&amp;VLOOKUP(F74,인덱스!$A:$B,2,0)</f>
        <v/>
      </c>
      <c r="H74" s="256">
        <f>IFERROR(VLOOKUP(G74,#REF!,2,0),)</f>
        <v/>
      </c>
      <c r="I74" s="38">
        <f>IF(Q74="","",I73*(Q74/Q73))</f>
        <v/>
      </c>
      <c r="J74" s="38">
        <f>IF(R74="","",J73*(R74/R73))</f>
        <v/>
      </c>
      <c r="K74" s="39">
        <f>IF(S74="","",K73*(S74/S73))</f>
        <v/>
      </c>
      <c r="L74" s="39">
        <f>IF(U74="","",L73*(U74/U73))</f>
        <v/>
      </c>
      <c r="M74" s="39">
        <f>IF(V74="","",M73*(V74/V73))</f>
        <v/>
      </c>
      <c r="N74" s="201" t="n"/>
      <c r="O74" s="201" t="n"/>
      <c r="P74" s="201" t="n"/>
      <c r="Q74" s="8">
        <f>IFERROR(__xludf.DUMMYFUNCTION("iferror(index('지수RAW'!$V$7:$V$12040,MATCH($D74,'지수RAW'!$R$7:$R$12040,0)-1,1),GOOGLEFINANCE(Q$2))"),2277.99)</f>
        <v/>
      </c>
      <c r="R74" s="201">
        <f>IFERROR(__xludf.DUMMYFUNCTION("iferror(index('지수RAW'!$F$7:$F$12040,MATCH($D74,'지수RAW'!$B$7:$B$12040,0)-1,1),GOOGLEFINANCE(R$2))"),4193.8)</f>
        <v/>
      </c>
      <c r="S74" s="9">
        <f>IFERROR(__xludf.DUMMYFUNCTION("iferror(index('지수RAW'!$N$7:$N$12040,MATCH($D74,'지수RAW'!$J$7:$J$12040,0)-1,1),GOOGLEFINANCE(S$2))"),12851.24)</f>
        <v/>
      </c>
      <c r="T74" s="201" t="n"/>
      <c r="U74" s="252">
        <f t="array" ref="U74">IFERROR(INDEX(지수RAW!$AT$7:$AT$12040,MATCH($D74,지수RAW!$AP$7:$AP$12040,0)-1,1),지수RAW!$AU$4)</f>
        <v/>
      </c>
      <c r="V74" s="252">
        <f>IFERROR(__xludf.DUMMYFUNCTION("iferror(index('지수RAW'!$AL$7:$AL$12040,MATCH($D74,'지수RAW'!$AH$7:$AH$12040,0)-1,1),GOOGLEFINANCE(V$2))"),34661.5)</f>
        <v/>
      </c>
      <c r="W74" s="253">
        <f>IFERROR(__xludf.DUMMYFUNCTION("iferror(index('지수RAW'!$AD$7:$AD$12040,MATCH($D74,'지수RAW'!$Z$7:$Z$12040,0)-1,1),GOOGLEFINANCE(W$2))"),1350.16)</f>
        <v/>
      </c>
      <c r="X74" s="36">
        <f>$W74*R74</f>
        <v/>
      </c>
      <c r="Y74" s="36">
        <f>$W74*S74</f>
        <v/>
      </c>
      <c r="Z74" s="36">
        <f>$W74*U74</f>
        <v/>
      </c>
      <c r="AA74" s="36">
        <f>$W74*V74</f>
        <v/>
      </c>
      <c r="AB74" s="255" t="n"/>
      <c r="AC74" s="38">
        <f>IF(Q74="","",AC73*(W74/W73))</f>
        <v/>
      </c>
      <c r="AD74" s="38">
        <f>IF(R74="","",AD73*(X74/X73))</f>
        <v/>
      </c>
      <c r="AE74" s="38">
        <f>IF(S74="","",AE73*(Y74/Y73))</f>
        <v/>
      </c>
      <c r="AF74" s="38">
        <f>IF(U74="","",AF73*(Z74/Z73))</f>
        <v/>
      </c>
      <c r="AG74" s="38">
        <f>IF(V74="","",AG73*(AA74/AA73))</f>
        <v/>
      </c>
    </row>
    <row r="75" ht="12.75" customHeight="1" s="202">
      <c r="A75" s="201" t="n"/>
      <c r="B75" s="22">
        <f>IF(C74=12,B74+1,B74)</f>
        <v/>
      </c>
      <c r="C75" s="22">
        <f>IF(C74=12,1,C74+1)</f>
        <v/>
      </c>
      <c r="D75" s="22">
        <f>IF(F75="12월",(E75+1)&amp;VLOOKUP(F75,인덱스!$C:$D,2,0),E75&amp;VLOOKUP(F75,인덱스!$C:$D,2,0))</f>
        <v/>
      </c>
      <c r="E75" s="201">
        <f>"20"&amp;B75</f>
        <v/>
      </c>
      <c r="F75" s="201">
        <f>C75&amp;"월"</f>
        <v/>
      </c>
      <c r="G75" s="37">
        <f>B75&amp;"."&amp;VLOOKUP(F75,인덱스!$A:$B,2,0)</f>
        <v/>
      </c>
      <c r="H75" s="256">
        <f>IFERROR(VLOOKUP(G75,#REF!,2,0),)</f>
        <v/>
      </c>
      <c r="I75" s="38">
        <f>IF(Q75="","",I74*(Q75/Q74))</f>
        <v/>
      </c>
      <c r="J75" s="38">
        <f>IF(R75="","",J74*(R75/R74))</f>
        <v/>
      </c>
      <c r="K75" s="39">
        <f>IF(S75="","",K74*(S75/S74))</f>
        <v/>
      </c>
      <c r="L75" s="39">
        <f>IF(U75="","",L74*(U75/U74))</f>
        <v/>
      </c>
      <c r="M75" s="39">
        <f>IF(V75="","",M74*(V75/V74))</f>
        <v/>
      </c>
      <c r="N75" s="201" t="n"/>
      <c r="O75" s="201" t="n"/>
      <c r="P75" s="201" t="n"/>
      <c r="Q75" s="8">
        <f>IFERROR(__xludf.DUMMYFUNCTION("iferror(index('지수RAW'!$V$7:$V$12040,MATCH($D75,'지수RAW'!$R$7:$R$12040,0)-1,1),GOOGLEFINANCE(Q$2))"),2535.29)</f>
        <v/>
      </c>
      <c r="R75" s="201">
        <f>IFERROR(__xludf.DUMMYFUNCTION("iferror(index('지수RAW'!$F$7:$F$12040,MATCH($D75,'지수RAW'!$B$7:$B$12040,0)-1,1),GOOGLEFINANCE(R$2))"),4567.8)</f>
        <v/>
      </c>
      <c r="S75" s="9">
        <f>IFERROR(__xludf.DUMMYFUNCTION("iferror(index('지수RAW'!$N$7:$N$12040,MATCH($D75,'지수RAW'!$J$7:$J$12040,0)-1,1),GOOGLEFINANCE(S$2))"),14226.22)</f>
        <v/>
      </c>
      <c r="T75" s="201" t="n"/>
      <c r="U75" s="252">
        <f t="array" ref="U75">IFERROR(INDEX(지수RAW!$AT$7:$AT$12040,MATCH($D75,지수RAW!$AP$7:$AP$12040,0)-1,1),지수RAW!$AU$4)</f>
        <v/>
      </c>
      <c r="V75" s="252">
        <f>IFERROR(__xludf.DUMMYFUNCTION("iferror(index('지수RAW'!$AL$7:$AL$12040,MATCH($D75,'지수RAW'!$AH$7:$AH$12040,0)-1,1),GOOGLEFINANCE(V$2))"),37723.79)</f>
        <v/>
      </c>
      <c r="W75" s="253">
        <f>IFERROR(__xludf.DUMMYFUNCTION("iferror(index('지수RAW'!$AD$7:$AD$12040,MATCH($D75,'지수RAW'!$Z$7:$Z$12040,0)-1,1),GOOGLEFINANCE(W$2))"),1296.66)</f>
        <v/>
      </c>
      <c r="X75" s="36">
        <f>$W75*R75</f>
        <v/>
      </c>
      <c r="Y75" s="36">
        <f>$W75*S75</f>
        <v/>
      </c>
      <c r="Z75" s="36">
        <f>$W75*U75</f>
        <v/>
      </c>
      <c r="AA75" s="36">
        <f>$W75*V75</f>
        <v/>
      </c>
      <c r="AB75" s="255" t="n"/>
      <c r="AC75" s="38">
        <f>IF(Q75="","",AC74*(W75/W74))</f>
        <v/>
      </c>
      <c r="AD75" s="38">
        <f>IF(R75="","",AD74*(X75/X74))</f>
        <v/>
      </c>
      <c r="AE75" s="38">
        <f>IF(S75="","",AE74*(Y75/Y74))</f>
        <v/>
      </c>
      <c r="AF75" s="38">
        <f>IF(U75="","",AF74*(Z75/Z74))</f>
        <v/>
      </c>
      <c r="AG75" s="38">
        <f>IF(V75="","",AG74*(AA75/AA74))</f>
        <v/>
      </c>
    </row>
    <row r="76" ht="12.75" customHeight="1" s="202">
      <c r="A76" s="201" t="n"/>
      <c r="B76" s="22">
        <f>IF(C75=12,B75+1,B75)</f>
        <v/>
      </c>
      <c r="C76" s="22">
        <f>IF(C75=12,1,C75+1)</f>
        <v/>
      </c>
      <c r="D76" s="22">
        <f>IF(F76="12월",(E76+1)&amp;VLOOKUP(F76,인덱스!$C:$D,2,0),E76&amp;VLOOKUP(F76,인덱스!$C:$D,2,0))</f>
        <v/>
      </c>
      <c r="E76" s="201">
        <f>"20"&amp;B76</f>
        <v/>
      </c>
      <c r="F76" s="201">
        <f>C76&amp;"월"</f>
        <v/>
      </c>
      <c r="G76" s="37">
        <f>B76&amp;"."&amp;VLOOKUP(F76,인덱스!$A:$B,2,0)</f>
        <v/>
      </c>
      <c r="H76" s="256">
        <f>IFERROR(VLOOKUP(G76,#REF!,2,0),)</f>
        <v/>
      </c>
      <c r="I76" s="38">
        <f>IF(Q76="","",I75*(Q76/Q75))</f>
        <v/>
      </c>
      <c r="J76" s="38">
        <f>IF(R76="","",J75*(R76/R75))</f>
        <v/>
      </c>
      <c r="K76" s="39">
        <f>IF(S76="","",K75*(S76/S75))</f>
        <v/>
      </c>
      <c r="L76" s="39">
        <f>IF(U76="","",L75*(U76/U75))</f>
        <v/>
      </c>
      <c r="M76" s="39">
        <f>IF(V76="","",M75*(V76/V75))</f>
        <v/>
      </c>
      <c r="N76" s="201" t="n"/>
      <c r="O76" s="201" t="n"/>
      <c r="P76" s="201" t="n"/>
      <c r="Q76" s="8">
        <f>IFERROR(__xludf.DUMMYFUNCTION("iferror(index('지수RAW'!$V$7:$V$12040,MATCH($D76,'지수RAW'!$R$7:$R$12040,0)-1,1),GOOGLEFINANCE(Q$2))"),2655.28)</f>
        <v/>
      </c>
      <c r="R76" s="201">
        <f>IFERROR(__xludf.DUMMYFUNCTION("iferror(index('지수RAW'!$F$7:$F$12040,MATCH($D76,'지수RAW'!$B$7:$B$12040,0)-1,1),GOOGLEFINANCE(R$2))"),4769.83)</f>
        <v/>
      </c>
      <c r="S76" s="9">
        <f>IFERROR(__xludf.DUMMYFUNCTION("iferror(index('지수RAW'!$N$7:$N$12040,MATCH($D76,'지수RAW'!$J$7:$J$12040,0)-1,1),GOOGLEFINANCE(S$2))"),15011.35)</f>
        <v/>
      </c>
      <c r="T76" s="201" t="n"/>
      <c r="U76" s="252">
        <f t="array" ref="U76">IFERROR(INDEX(지수RAW!$AT$7:$AT$12040,MATCH($D76,지수RAW!$AP$7:$AP$12040,0)-1,1),지수RAW!$AU$4)</f>
        <v/>
      </c>
      <c r="V76" s="252">
        <f>IFERROR(__xludf.DUMMYFUNCTION("iferror(index('지수RAW'!$AL$7:$AL$12040,MATCH($D76,'지수RAW'!$AH$7:$AH$12040,0)-1,1),GOOGLEFINANCE(V$2))"),42291.37)</f>
        <v/>
      </c>
      <c r="W76" s="253">
        <f>IFERROR(__xludf.DUMMYFUNCTION("iferror(index('지수RAW'!$AD$7:$AD$12040,MATCH($D76,'지수RAW'!$Z$7:$Z$12040,0)-1,1),GOOGLEFINANCE(W$2))"),1293.53)</f>
        <v/>
      </c>
      <c r="X76" s="36">
        <f>$W76*R76</f>
        <v/>
      </c>
      <c r="Y76" s="36">
        <f>$W76*S76</f>
        <v/>
      </c>
      <c r="Z76" s="36">
        <f>$W76*U76</f>
        <v/>
      </c>
      <c r="AA76" s="36">
        <f>$W76*V76</f>
        <v/>
      </c>
      <c r="AB76" s="255" t="n"/>
      <c r="AC76" s="38">
        <f>IF(Q76="","",AC75*(W76/W75))</f>
        <v/>
      </c>
      <c r="AD76" s="38">
        <f>IF(R76="","",AD75*(X76/X75))</f>
        <v/>
      </c>
      <c r="AE76" s="38">
        <f>IF(S76="","",AE75*(Y76/Y75))</f>
        <v/>
      </c>
      <c r="AF76" s="38">
        <f>IF(U76="","",AF75*(Z76/Z75))</f>
        <v/>
      </c>
      <c r="AG76" s="38">
        <f>IF(V76="","",AG75*(AA76/AA75))</f>
        <v/>
      </c>
    </row>
    <row r="77" ht="12.75" customHeight="1" s="202">
      <c r="A77" s="201" t="n"/>
      <c r="B77" s="22">
        <f>IF(C76=12,B76+1,B76)</f>
        <v/>
      </c>
      <c r="C77" s="22">
        <f>IF(C76=12,1,C76+1)</f>
        <v/>
      </c>
      <c r="D77" s="22">
        <f>IF(F77="12월",(E77+1)&amp;VLOOKUP(F77,인덱스!$C:$D,2,0),E77&amp;VLOOKUP(F77,인덱스!$C:$D,2,0))</f>
        <v/>
      </c>
      <c r="E77" s="201">
        <f>"20"&amp;B77</f>
        <v/>
      </c>
      <c r="F77" s="201">
        <f>C77&amp;"월"</f>
        <v/>
      </c>
      <c r="G77" s="40">
        <f>B77&amp;"."&amp;VLOOKUP(F77,인덱스!$A:$B,2,0)</f>
        <v/>
      </c>
      <c r="H77" s="257">
        <f>IFERROR(VLOOKUP(G77,#REF!,2,0),)</f>
        <v/>
      </c>
      <c r="I77" s="42">
        <f>IF(Q77="","",I76*(Q77/Q76))</f>
        <v/>
      </c>
      <c r="J77" s="42">
        <f>IF(R77="","",J76*(R77/R76))</f>
        <v/>
      </c>
      <c r="K77" s="43">
        <f>IF(S77="","",K76*(S77/S76))</f>
        <v/>
      </c>
      <c r="L77" s="43">
        <f>IF(U77="","",L76*(U77/U76))</f>
        <v/>
      </c>
      <c r="M77" s="43">
        <f>IF(V77="","",M76*(V77/V76))</f>
        <v/>
      </c>
      <c r="N77" s="201" t="n"/>
      <c r="O77" s="201" t="n"/>
      <c r="P77" s="201" t="n"/>
      <c r="Q77" s="8">
        <f>IFERROR(__xludf.DUMMYFUNCTION("iferror(index('지수RAW'!$V$7:$V$12040,MATCH($D77,'지수RAW'!$R$7:$R$12040,0)-1,1),GOOGLEFINANCE(Q$2))"),2497.09)</f>
        <v/>
      </c>
      <c r="R77" s="201">
        <f>IFERROR(__xludf.DUMMYFUNCTION("iferror(index('지수RAW'!$F$7:$F$12040,MATCH($D77,'지수RAW'!$B$7:$B$12040,0)-1,1),GOOGLEFINANCE(R$2))"),4845.65)</f>
        <v/>
      </c>
      <c r="S77" s="9">
        <f>IFERROR(__xludf.DUMMYFUNCTION("iferror(index('지수RAW'!$N$7:$N$12040,MATCH($D77,'지수RAW'!$J$7:$J$12040,0)-1,1),GOOGLEFINANCE(S$2))"),15164.01)</f>
        <v/>
      </c>
      <c r="T77" s="201" t="n"/>
      <c r="U77" s="252">
        <f t="array" ref="U77">IFERROR(INDEX(지수RAW!$AT$7:$AT$12040,MATCH($D77,지수RAW!$AP$7:$AP$12040,0)-1,1),지수RAW!$AU$4)</f>
        <v/>
      </c>
      <c r="V77" s="252">
        <f>IFERROR(__xludf.DUMMYFUNCTION("iferror(index('지수RAW'!$AL$7:$AL$12040,MATCH($D77,'지수RAW'!$AH$7:$AH$12040,0)-1,1),GOOGLEFINANCE(V$2))"),42582.21)</f>
        <v/>
      </c>
      <c r="W77" s="253">
        <f>IFERROR(__xludf.DUMMYFUNCTION("iferror(index('지수RAW'!$AD$7:$AD$12040,MATCH($D77,'지수RAW'!$Z$7:$Z$12040,0)-1,1),GOOGLEFINANCE(W$2))"),1333.91)</f>
        <v/>
      </c>
      <c r="X77" s="36">
        <f>$W77*R77</f>
        <v/>
      </c>
      <c r="Y77" s="36">
        <f>$W77*S77</f>
        <v/>
      </c>
      <c r="Z77" s="36">
        <f>$W77*U77</f>
        <v/>
      </c>
      <c r="AA77" s="36">
        <f>$W77*V77</f>
        <v/>
      </c>
      <c r="AB77" s="255" t="n"/>
      <c r="AC77" s="42">
        <f>IF(Q77="","",AC76*(W77/W76))</f>
        <v/>
      </c>
      <c r="AD77" s="42">
        <f>IF(R77="","",AD76*(X77/X76))</f>
        <v/>
      </c>
      <c r="AE77" s="42">
        <f>IF(S77="","",AE76*(Y77/Y76))</f>
        <v/>
      </c>
      <c r="AF77" s="42">
        <f>IF(U77="","",AF76*(Z77/Z76))</f>
        <v/>
      </c>
      <c r="AG77" s="42">
        <f>IF(V77="","",AG76*(AA77/AA76))</f>
        <v/>
      </c>
    </row>
    <row r="78" ht="12.75" customHeight="1" s="202">
      <c r="A78" s="201" t="n"/>
      <c r="B78" s="22">
        <f>IF(C77=12,B77+1,B77)</f>
        <v/>
      </c>
      <c r="C78" s="22">
        <f>IF(C77=12,1,C77+1)</f>
        <v/>
      </c>
      <c r="D78" s="22">
        <f>IF(F78="12월",(E78+1)&amp;VLOOKUP(F78,인덱스!$C:$D,2,0),E78&amp;VLOOKUP(F78,인덱스!$C:$D,2,0))</f>
        <v/>
      </c>
      <c r="E78" s="201">
        <f>"20"&amp;B78</f>
        <v/>
      </c>
      <c r="F78" s="201">
        <f>C78&amp;"월"</f>
        <v/>
      </c>
      <c r="G78" s="37">
        <f>B78&amp;"."&amp;VLOOKUP(F78,인덱스!$A:$B,2,0)</f>
        <v/>
      </c>
      <c r="H78" s="256">
        <f>IFERROR(VLOOKUP(G78,#REF!,2,0),)</f>
        <v/>
      </c>
      <c r="I78" s="38">
        <f>IF(Q78="","",I77*(Q78/Q77))</f>
        <v/>
      </c>
      <c r="J78" s="38">
        <f>IF(R78="","",J77*(R78/R77))</f>
        <v/>
      </c>
      <c r="K78" s="39">
        <f>IF(S78="","",K77*(S78/S77))</f>
        <v/>
      </c>
      <c r="L78" s="39">
        <f>IF(U78="","",L77*(U78/U77))</f>
        <v/>
      </c>
      <c r="M78" s="39">
        <f>IF(V78="","",M77*(V78/V77))</f>
        <v/>
      </c>
      <c r="N78" s="201" t="n"/>
      <c r="O78" s="201" t="n"/>
      <c r="P78" s="201" t="n"/>
      <c r="Q78" s="8">
        <f>IFERROR(__xludf.DUMMYFUNCTION("iferror(index('지수RAW'!$V$7:$V$12040,MATCH($D78,'지수RAW'!$R$7:$R$12040,0)-1,1),GOOGLEFINANCE(Q$2))"),2642.36)</f>
        <v/>
      </c>
      <c r="R78" s="201">
        <f>IFERROR(__xludf.DUMMYFUNCTION("iferror(index('지수RAW'!$F$7:$F$12040,MATCH($D78,'지수RAW'!$B$7:$B$12040,0)-1,1),GOOGLEFINANCE(R$2))"),5096.27)</f>
        <v/>
      </c>
      <c r="S78" s="9">
        <f>IFERROR(__xludf.DUMMYFUNCTION("iferror(index('지수RAW'!$N$7:$N$12040,MATCH($D78,'지수RAW'!$J$7:$J$12040,0)-1,1),GOOGLEFINANCE(S$2))"),16091.92)</f>
        <v/>
      </c>
      <c r="T78" s="201" t="n"/>
      <c r="U78" s="252">
        <f t="array" ref="U78">IFERROR(INDEX(지수RAW!$AT$7:$AT$12040,MATCH($D78,지수RAW!$AP$7:$AP$12040,0)-1,1),지수RAW!$AU$4)</f>
        <v/>
      </c>
      <c r="V78" s="252">
        <f>IFERROR(__xludf.DUMMYFUNCTION("iferror(index('지수RAW'!$AL$7:$AL$12040,MATCH($D78,'지수RAW'!$AH$7:$AH$12040,0)-1,1),GOOGLEFINANCE(V$2))"),61253.9)</f>
        <v/>
      </c>
      <c r="W78" s="253">
        <f>IFERROR(__xludf.DUMMYFUNCTION("iferror(index('지수RAW'!$AD$7:$AD$12040,MATCH($D78,'지수RAW'!$Z$7:$Z$12040,0)-1,1),GOOGLEFINANCE(W$2))"),1335.2)</f>
        <v/>
      </c>
      <c r="X78" s="36">
        <f>$W78*R78</f>
        <v/>
      </c>
      <c r="Y78" s="36">
        <f>$W78*S78</f>
        <v/>
      </c>
      <c r="Z78" s="36">
        <f>$W78*U78</f>
        <v/>
      </c>
      <c r="AA78" s="36">
        <f>$W78*V78</f>
        <v/>
      </c>
      <c r="AB78" s="255" t="n"/>
      <c r="AC78" s="38">
        <f>IF(Q78="","",AC77*(W78/W77))</f>
        <v/>
      </c>
      <c r="AD78" s="38">
        <f>IF(R78="","",AD77*(X78/X77))</f>
        <v/>
      </c>
      <c r="AE78" s="38">
        <f>IF(S78="","",AE77*(Y78/Y77))</f>
        <v/>
      </c>
      <c r="AF78" s="38">
        <f>IF(U78="","",AF77*(Z78/Z77))</f>
        <v/>
      </c>
      <c r="AG78" s="38">
        <f>IF(V78="","",AG77*(AA78/AA77))</f>
        <v/>
      </c>
    </row>
    <row r="79" ht="12.75" customHeight="1" s="202">
      <c r="A79" s="201" t="n"/>
      <c r="B79" s="22">
        <f>IF(C78=12,B78+1,B78)</f>
        <v/>
      </c>
      <c r="C79" s="22">
        <f>IF(C78=12,1,C78+1)</f>
        <v/>
      </c>
      <c r="D79" s="22">
        <f>IF(F79="12월",(E79+1)&amp;VLOOKUP(F79,인덱스!$C:$D,2,0),E79&amp;VLOOKUP(F79,인덱스!$C:$D,2,0))</f>
        <v/>
      </c>
      <c r="E79" s="201">
        <f>"20"&amp;B79</f>
        <v/>
      </c>
      <c r="F79" s="201">
        <f>C79&amp;"월"</f>
        <v/>
      </c>
      <c r="G79" s="37">
        <f>B79&amp;"."&amp;VLOOKUP(F79,인덱스!$A:$B,2,0)</f>
        <v/>
      </c>
      <c r="H79" s="256">
        <f>IFERROR(VLOOKUP(G79,#REF!,2,0),)</f>
        <v/>
      </c>
      <c r="I79" s="38">
        <f>IF(Q79="","",I78*(Q79/Q78))</f>
        <v/>
      </c>
      <c r="J79" s="38">
        <f>IF(R79="","",J78*(R79/R78))</f>
        <v/>
      </c>
      <c r="K79" s="39">
        <f>IF(S79="","",K78*(S79/S78))</f>
        <v/>
      </c>
      <c r="L79" s="39">
        <f>IF(U79="","",L78*(U79/U78))</f>
        <v/>
      </c>
      <c r="M79" s="39">
        <f>IF(V79="","",M78*(V79/V78))</f>
        <v/>
      </c>
      <c r="N79" s="201" t="n"/>
      <c r="O79" s="201" t="n"/>
      <c r="P79" s="201" t="n"/>
      <c r="Q79" s="8">
        <f>IFERROR(__xludf.DUMMYFUNCTION("iferror(index('지수RAW'!$V$7:$V$12040,MATCH($D79,'지수RAW'!$R$7:$R$12040,0)-1,1),GOOGLEFINANCE(Q$2))"),2746.63)</f>
        <v/>
      </c>
      <c r="R79" s="201">
        <f>IFERROR(__xludf.DUMMYFUNCTION("iferror(index('지수RAW'!$F$7:$F$12040,MATCH($D79,'지수RAW'!$B$7:$B$12040,0)-1,1),GOOGLEFINANCE(R$2))"),5254.35)</f>
        <v/>
      </c>
      <c r="S79" s="9">
        <f>IFERROR(__xludf.DUMMYFUNCTION("iferror(index('지수RAW'!$N$7:$N$12040,MATCH($D79,'지수RAW'!$J$7:$J$12040,0)-1,1),GOOGLEFINANCE(S$2))"),16379.46)</f>
        <v/>
      </c>
      <c r="T79" s="201" t="n"/>
      <c r="U79" s="252">
        <f t="array" ref="U79">IFERROR(INDEX(지수RAW!$AT$7:$AT$12040,MATCH($D79,지수RAW!$AP$7:$AP$12040,0)-1,1),지수RAW!$AU$4)</f>
        <v/>
      </c>
      <c r="V79" s="252">
        <f>IFERROR(__xludf.DUMMYFUNCTION("iferror(index('지수RAW'!$AL$7:$AL$12040,MATCH($D79,'지수RAW'!$AH$7:$AH$12040,0)-1,1),GOOGLEFINANCE(V$2))"),71341.71)</f>
        <v/>
      </c>
      <c r="W79" s="253">
        <f>IFERROR(__xludf.DUMMYFUNCTION("iferror(index('지수RAW'!$AD$7:$AD$12040,MATCH($D79,'지수RAW'!$Z$7:$Z$12040,0)-1,1),GOOGLEFINANCE(W$2))"),1345.31)</f>
        <v/>
      </c>
      <c r="X79" s="36">
        <f>$W79*R79</f>
        <v/>
      </c>
      <c r="Y79" s="36">
        <f>$W79*S79</f>
        <v/>
      </c>
      <c r="Z79" s="36">
        <f>$W79*U79</f>
        <v/>
      </c>
      <c r="AA79" s="36">
        <f>$W79*V79</f>
        <v/>
      </c>
      <c r="AB79" s="255" t="n"/>
      <c r="AC79" s="38">
        <f>IF(Q79="","",AC78*(W79/W78))</f>
        <v/>
      </c>
      <c r="AD79" s="38">
        <f>IF(R79="","",AD78*(X79/X78))</f>
        <v/>
      </c>
      <c r="AE79" s="38">
        <f>IF(S79="","",AE78*(Y79/Y78))</f>
        <v/>
      </c>
      <c r="AF79" s="38">
        <f>IF(U79="","",AF78*(Z79/Z78))</f>
        <v/>
      </c>
      <c r="AG79" s="38">
        <f>IF(V79="","",AG78*(AA79/AA78))</f>
        <v/>
      </c>
    </row>
    <row r="80" ht="12.75" customHeight="1" s="202">
      <c r="A80" s="201" t="n"/>
      <c r="B80" s="22">
        <f>IF(C79=12,B79+1,B79)</f>
        <v/>
      </c>
      <c r="C80" s="22">
        <f>IF(C79=12,1,C79+1)</f>
        <v/>
      </c>
      <c r="D80" s="22">
        <f>IF(F80="12월",(E80+1)&amp;VLOOKUP(F80,인덱스!$C:$D,2,0),E80&amp;VLOOKUP(F80,인덱스!$C:$D,2,0))</f>
        <v/>
      </c>
      <c r="E80" s="201">
        <f>"20"&amp;B80</f>
        <v/>
      </c>
      <c r="F80" s="201">
        <f>C80&amp;"월"</f>
        <v/>
      </c>
      <c r="G80" s="37">
        <f>B80&amp;"."&amp;VLOOKUP(F80,인덱스!$A:$B,2,0)</f>
        <v/>
      </c>
      <c r="H80" s="256">
        <f>IFERROR(VLOOKUP(G80,#REF!,2,0),)</f>
        <v/>
      </c>
      <c r="I80" s="38">
        <f>IF(Q80="","",I79*(Q80/Q79))</f>
        <v/>
      </c>
      <c r="J80" s="38">
        <f>IF(R80="","",J79*(R80/R79))</f>
        <v/>
      </c>
      <c r="K80" s="39">
        <f>IF(S80="","",K79*(S80/S79))</f>
        <v/>
      </c>
      <c r="L80" s="39">
        <f>IF(U80="","",L79*(U80/U79))</f>
        <v/>
      </c>
      <c r="M80" s="39">
        <f>IF(V80="","",M79*(V80/V79))</f>
        <v/>
      </c>
      <c r="N80" s="201" t="n"/>
      <c r="O80" s="201" t="n"/>
      <c r="P80" s="201" t="n"/>
      <c r="Q80" s="8">
        <f>IFERROR(__xludf.DUMMYFUNCTION("iferror(index('지수RAW'!$V$7:$V$12040,MATCH($D80,'지수RAW'!$R$7:$R$12040,0)-1,1),GOOGLEFINANCE(Q$2))"),2692.06)</f>
        <v/>
      </c>
      <c r="R80" s="201">
        <f>IFERROR(__xludf.DUMMYFUNCTION("iferror(index('지수RAW'!$F$7:$F$12040,MATCH($D80,'지수RAW'!$B$7:$B$12040,0)-1,1),GOOGLEFINANCE(R$2))"),5035.69)</f>
        <v/>
      </c>
      <c r="S80" s="9">
        <f>IFERROR(__xludf.DUMMYFUNCTION("iferror(index('지수RAW'!$N$7:$N$12040,MATCH($D80,'지수RAW'!$J$7:$J$12040,0)-1,1),GOOGLEFINANCE(S$2))"),15657.82)</f>
        <v/>
      </c>
      <c r="T80" s="201" t="n"/>
      <c r="U80" s="252">
        <f t="array" ref="U80">IFERROR(INDEX(지수RAW!$AT$7:$AT$12040,MATCH($D80,지수RAW!$AP$7:$AP$12040,0)-1,1),지수RAW!$AU$4)</f>
        <v/>
      </c>
      <c r="V80" s="252">
        <f>IFERROR(__xludf.DUMMYFUNCTION("iferror(index('지수RAW'!$AL$7:$AL$12040,MATCH($D80,'지수RAW'!$AH$7:$AH$12040,0)-1,1),GOOGLEFINANCE(V$2))"),60751.65)</f>
        <v/>
      </c>
      <c r="W80" s="253">
        <f>IFERROR(__xludf.DUMMYFUNCTION("iferror(index('지수RAW'!$AD$7:$AD$12040,MATCH($D80,'지수RAW'!$Z$7:$Z$12040,0)-1,1),GOOGLEFINANCE(W$2))"),1385.46)</f>
        <v/>
      </c>
      <c r="X80" s="36">
        <f>$W80*R80</f>
        <v/>
      </c>
      <c r="Y80" s="36">
        <f>$W80*S80</f>
        <v/>
      </c>
      <c r="Z80" s="36">
        <f>$W80*U80</f>
        <v/>
      </c>
      <c r="AA80" s="36">
        <f>$W80*V80</f>
        <v/>
      </c>
      <c r="AB80" s="255" t="n"/>
      <c r="AC80" s="38">
        <f>IF(Q80="","",AC79*(W80/W79))</f>
        <v/>
      </c>
      <c r="AD80" s="38">
        <f>IF(R80="","",AD79*(X80/X79))</f>
        <v/>
      </c>
      <c r="AE80" s="38">
        <f>IF(S80="","",AE79*(Y80/Y79))</f>
        <v/>
      </c>
      <c r="AF80" s="38">
        <f>IF(U80="","",AF79*(Z80/Z79))</f>
        <v/>
      </c>
      <c r="AG80" s="38">
        <f>IF(V80="","",AG79*(AA80/AA79))</f>
        <v/>
      </c>
    </row>
    <row r="81" ht="12.75" customHeight="1" s="202">
      <c r="A81" s="201" t="n"/>
      <c r="B81" s="22">
        <f>IF(C80=12,B80+1,B80)</f>
        <v/>
      </c>
      <c r="C81" s="22">
        <f>IF(C80=12,1,C80+1)</f>
        <v/>
      </c>
      <c r="D81" s="22">
        <f>IF(F81="12월",(E81+1)&amp;VLOOKUP(F81,인덱스!$C:$D,2,0),E81&amp;VLOOKUP(F81,인덱스!$C:$D,2,0))</f>
        <v/>
      </c>
      <c r="E81" s="201">
        <f>"20"&amp;B81</f>
        <v/>
      </c>
      <c r="F81" s="201">
        <f>C81&amp;"월"</f>
        <v/>
      </c>
      <c r="G81" s="37">
        <f>B81&amp;"."&amp;VLOOKUP(F81,인덱스!$A:$B,2,0)</f>
        <v/>
      </c>
      <c r="H81" s="256">
        <f>IFERROR(VLOOKUP(G81,#REF!,2,0),)</f>
        <v/>
      </c>
      <c r="I81" s="38">
        <f>IF(Q81="","",I80*(Q81/Q80))</f>
        <v/>
      </c>
      <c r="J81" s="38">
        <f>IF(R81="","",J80*(R81/R80))</f>
        <v/>
      </c>
      <c r="K81" s="39">
        <f>IF(S81="","",K80*(S81/S80))</f>
        <v/>
      </c>
      <c r="L81" s="39">
        <f>IF(U81="","",L80*(U81/U80))</f>
        <v/>
      </c>
      <c r="M81" s="39">
        <f>IF(V81="","",M80*(V81/V80))</f>
        <v/>
      </c>
      <c r="N81" s="201" t="n"/>
      <c r="O81" s="201" t="n"/>
      <c r="P81" s="201" t="n"/>
      <c r="Q81" s="8">
        <f>IFERROR(__xludf.DUMMYFUNCTION("iferror(index('지수RAW'!$V$7:$V$12040,MATCH($D81,'지수RAW'!$R$7:$R$12040,0)-1,1),GOOGLEFINANCE(Q$2))"),2636.52)</f>
        <v/>
      </c>
      <c r="R81" s="201">
        <f>IFERROR(__xludf.DUMMYFUNCTION("iferror(index('지수RAW'!$F$7:$F$12040,MATCH($D81,'지수RAW'!$B$7:$B$12040,0)-1,1),GOOGLEFINANCE(R$2))"),5277.51)</f>
        <v/>
      </c>
      <c r="S81" s="9">
        <f>IFERROR(__xludf.DUMMYFUNCTION("iferror(index('지수RAW'!$N$7:$N$12040,MATCH($D81,'지수RAW'!$J$7:$J$12040,0)-1,1),GOOGLEFINANCE(S$2))"),16735.02)</f>
        <v/>
      </c>
      <c r="T81" s="201" t="n"/>
      <c r="U81" s="252">
        <f t="array" ref="U81">IFERROR(INDEX(지수RAW!$AT$7:$AT$12040,MATCH($D81,지수RAW!$AP$7:$AP$12040,0)-1,1),지수RAW!$AU$4)</f>
        <v/>
      </c>
      <c r="V81" s="252">
        <f>IFERROR(__xludf.DUMMYFUNCTION("iferror(index('지수RAW'!$AL$7:$AL$12040,MATCH($D81,'지수RAW'!$AH$7:$AH$12040,0)-1,1),GOOGLEFINANCE(V$2))"),68571.17)</f>
        <v/>
      </c>
      <c r="W81" s="253">
        <f>IFERROR(__xludf.DUMMYFUNCTION("iferror(index('지수RAW'!$AD$7:$AD$12040,MATCH($D81,'지수RAW'!$Z$7:$Z$12040,0)-1,1),GOOGLEFINANCE(W$2))"),1382.09)</f>
        <v/>
      </c>
      <c r="X81" s="36">
        <f>$W81*R81</f>
        <v/>
      </c>
      <c r="Y81" s="36">
        <f>$W81*S81</f>
        <v/>
      </c>
      <c r="Z81" s="36">
        <f>$W81*U81</f>
        <v/>
      </c>
      <c r="AA81" s="36">
        <f>$W81*V81</f>
        <v/>
      </c>
      <c r="AB81" s="255" t="n"/>
      <c r="AC81" s="38">
        <f>IF(Q81="","",AC80*(W81/W80))</f>
        <v/>
      </c>
      <c r="AD81" s="38">
        <f>IF(R81="","",AD80*(X81/X80))</f>
        <v/>
      </c>
      <c r="AE81" s="38">
        <f>IF(S81="","",AE80*(Y81/Y80))</f>
        <v/>
      </c>
      <c r="AF81" s="38">
        <f>IF(U81="","",AF80*(Z81/Z80))</f>
        <v/>
      </c>
      <c r="AG81" s="38">
        <f>IF(V81="","",AG80*(AA81/AA80))</f>
        <v/>
      </c>
    </row>
    <row r="82" ht="12.75" customHeight="1" s="202">
      <c r="A82" s="201" t="n"/>
      <c r="B82" s="22">
        <f>IF(C81=12,B81+1,B81)</f>
        <v/>
      </c>
      <c r="C82" s="22">
        <f>IF(C81=12,1,C81+1)</f>
        <v/>
      </c>
      <c r="D82" s="22">
        <f>IF(F82="12월",(E82+1)&amp;VLOOKUP(F82,인덱스!$C:$D,2,0),E82&amp;VLOOKUP(F82,인덱스!$C:$D,2,0))</f>
        <v/>
      </c>
      <c r="E82" s="201">
        <f>"20"&amp;B82</f>
        <v/>
      </c>
      <c r="F82" s="201">
        <f>C82&amp;"월"</f>
        <v/>
      </c>
      <c r="G82" s="37">
        <f>B82&amp;"."&amp;VLOOKUP(F82,인덱스!$A:$B,2,0)</f>
        <v/>
      </c>
      <c r="H82" s="256">
        <f>IFERROR(VLOOKUP(G82,#REF!,2,0),)</f>
        <v/>
      </c>
      <c r="I82" s="38">
        <f>IF(Q82="","",I81*(Q82/Q81))</f>
        <v/>
      </c>
      <c r="J82" s="38">
        <f>IF(R82="","",J81*(R82/R81))</f>
        <v/>
      </c>
      <c r="K82" s="39">
        <f>IF(S82="","",K81*(S82/S81))</f>
        <v/>
      </c>
      <c r="L82" s="39">
        <f>IF(U82="","",L81*(U82/U81))</f>
        <v/>
      </c>
      <c r="M82" s="39">
        <f>IF(V82="","",M81*(V82/V81))</f>
        <v/>
      </c>
      <c r="N82" s="201" t="n"/>
      <c r="O82" s="201" t="n"/>
      <c r="P82" s="201" t="n"/>
      <c r="Q82" s="8">
        <f>IFERROR(__xludf.DUMMYFUNCTION("iferror(index('지수RAW'!$V$7:$V$12040,MATCH($D82,'지수RAW'!$R$7:$R$12040,0)-1,1),GOOGLEFINANCE(Q$2))"),2797.82)</f>
        <v/>
      </c>
      <c r="R82" s="201">
        <f>IFERROR(__xludf.DUMMYFUNCTION("iferror(index('지수RAW'!$F$7:$F$12040,MATCH($D82,'지수RAW'!$B$7:$B$12040,0)-1,1),GOOGLEFINANCE(R$2))"),5460.48)</f>
        <v/>
      </c>
      <c r="S82" s="9">
        <f>IFERROR(__xludf.DUMMYFUNCTION("iferror(index('지수RAW'!$N$7:$N$12040,MATCH($D82,'지수RAW'!$J$7:$J$12040,0)-1,1),GOOGLEFINANCE(S$2))"),17732.6)</f>
        <v/>
      </c>
      <c r="T82" s="201" t="n"/>
      <c r="U82" s="252">
        <f t="array" ref="U82">IFERROR(INDEX(지수RAW!$AT$7:$AT$12040,MATCH($D82,지수RAW!$AP$7:$AP$12040,0)-1,1),지수RAW!$AU$4)</f>
        <v/>
      </c>
      <c r="V82" s="252">
        <f>IFERROR(__xludf.DUMMYFUNCTION("iferror(index('지수RAW'!$AL$7:$AL$12040,MATCH($D82,'지수RAW'!$AH$7:$AH$12040,0)-1,1),GOOGLEFINANCE(V$2))"),60860.1)</f>
        <v/>
      </c>
      <c r="W82" s="253">
        <f>IFERROR(__xludf.DUMMYFUNCTION("iferror(index('지수RAW'!$AD$7:$AD$12040,MATCH($D82,'지수RAW'!$Z$7:$Z$12040,0)-1,1),GOOGLEFINANCE(W$2))"),1380.29)</f>
        <v/>
      </c>
      <c r="X82" s="36">
        <f>$W82*R82</f>
        <v/>
      </c>
      <c r="Y82" s="36">
        <f>$W82*S82</f>
        <v/>
      </c>
      <c r="Z82" s="36">
        <f>$W82*U82</f>
        <v/>
      </c>
      <c r="AA82" s="36">
        <f>$W82*V82</f>
        <v/>
      </c>
      <c r="AB82" s="255" t="n"/>
      <c r="AC82" s="38">
        <f>IF(Q82="","",AC81*(W82/W81))</f>
        <v/>
      </c>
      <c r="AD82" s="38">
        <f>IF(R82="","",AD81*(X82/X81))</f>
        <v/>
      </c>
      <c r="AE82" s="38">
        <f>IF(S82="","",AE81*(Y82/Y81))</f>
        <v/>
      </c>
      <c r="AF82" s="38">
        <f>IF(U82="","",AF81*(Z82/Z81))</f>
        <v/>
      </c>
      <c r="AG82" s="38">
        <f>IF(V82="","",AG81*(AA82/AA81))</f>
        <v/>
      </c>
    </row>
    <row r="83" ht="12.75" customHeight="1" s="202">
      <c r="A83" s="201" t="n"/>
      <c r="B83" s="22">
        <f>IF(C82=12,B82+1,B82)</f>
        <v/>
      </c>
      <c r="C83" s="22">
        <f>IF(C82=12,1,C82+1)</f>
        <v/>
      </c>
      <c r="D83" s="22">
        <f>IF(F83="12월",(E83+1)&amp;VLOOKUP(F83,인덱스!$C:$D,2,0),E83&amp;VLOOKUP(F83,인덱스!$C:$D,2,0))</f>
        <v/>
      </c>
      <c r="E83" s="201">
        <f>"20"&amp;B83</f>
        <v/>
      </c>
      <c r="F83" s="201">
        <f>C83&amp;"월"</f>
        <v/>
      </c>
      <c r="G83" s="37">
        <f>B83&amp;"."&amp;VLOOKUP(F83,인덱스!$A:$B,2,0)</f>
        <v/>
      </c>
      <c r="H83" s="256">
        <f>IFERROR(VLOOKUP(G83,#REF!,2,0),)</f>
        <v/>
      </c>
      <c r="I83" s="38">
        <f>IF(Q83="","",I82*(Q83/Q82))</f>
        <v/>
      </c>
      <c r="J83" s="38">
        <f>IF(R83="","",J82*(R83/R82))</f>
        <v/>
      </c>
      <c r="K83" s="39">
        <f>IF(S83="","",K82*(S83/S82))</f>
        <v/>
      </c>
      <c r="L83" s="39">
        <f>IF(U83="","",L82*(U83/U82))</f>
        <v/>
      </c>
      <c r="M83" s="39">
        <f>IF(V83="","",M82*(V83/V82))</f>
        <v/>
      </c>
      <c r="N83" s="201" t="n"/>
      <c r="O83" s="201" t="n"/>
      <c r="P83" s="201" t="n"/>
      <c r="Q83" s="8">
        <f>IFERROR(__xludf.DUMMYFUNCTION("iferror(index('지수RAW'!$V$7:$V$12040,MATCH($D83,'지수RAW'!$R$7:$R$12040,0)-1,1),GOOGLEFINANCE(Q$2))"),2770.69)</f>
        <v/>
      </c>
      <c r="R83" s="201">
        <f>IFERROR(__xludf.DUMMYFUNCTION("iferror(index('지수RAW'!$F$7:$F$12040,MATCH($D83,'지수RAW'!$B$7:$B$12040,0)-1,1),GOOGLEFINANCE(R$2))"),5522.3)</f>
        <v/>
      </c>
      <c r="S83" s="9">
        <f>IFERROR(__xludf.DUMMYFUNCTION("iferror(index('지수RAW'!$N$7:$N$12040,MATCH($D83,'지수RAW'!$J$7:$J$12040,0)-1,1),GOOGLEFINANCE(S$2))"),17599.4)</f>
        <v/>
      </c>
      <c r="T83" s="201" t="n"/>
      <c r="U83" s="252">
        <f t="array" ref="U83">IFERROR(INDEX(지수RAW!$AT$7:$AT$12040,MATCH($D83,지수RAW!$AP$7:$AP$12040,0)-1,1),지수RAW!$AU$4)</f>
        <v/>
      </c>
      <c r="V83" s="252">
        <f>IFERROR(__xludf.DUMMYFUNCTION("iferror(index('지수RAW'!$AL$7:$AL$12040,MATCH($D83,'지수RAW'!$AH$7:$AH$12040,0)-1,1),GOOGLEFINANCE(V$2))"),66110.05)</f>
        <v/>
      </c>
      <c r="W83" s="253">
        <f>IFERROR(__xludf.DUMMYFUNCTION("iferror(index('지수RAW'!$AD$7:$AD$12040,MATCH($D83,'지수RAW'!$Z$7:$Z$12040,0)-1,1),GOOGLEFINANCE(W$2))"),1367.92)</f>
        <v/>
      </c>
      <c r="X83" s="36">
        <f>$W83*R83</f>
        <v/>
      </c>
      <c r="Y83" s="36">
        <f>$W83*S83</f>
        <v/>
      </c>
      <c r="Z83" s="36">
        <f>$W83*U83</f>
        <v/>
      </c>
      <c r="AA83" s="36">
        <f>$W83*V83</f>
        <v/>
      </c>
      <c r="AB83" s="255" t="n"/>
      <c r="AC83" s="38">
        <f>IF(Q83="","",AC82*(W83/W82))</f>
        <v/>
      </c>
      <c r="AD83" s="38">
        <f>IF(R83="","",AD82*(X83/X82))</f>
        <v/>
      </c>
      <c r="AE83" s="38">
        <f>IF(S83="","",AE82*(Y83/Y82))</f>
        <v/>
      </c>
      <c r="AF83" s="38">
        <f>IF(U83="","",AF82*(Z83/Z82))</f>
        <v/>
      </c>
      <c r="AG83" s="38">
        <f>IF(V83="","",AG82*(AA83/AA82))</f>
        <v/>
      </c>
    </row>
    <row r="84" ht="12.75" customHeight="1" s="202">
      <c r="A84" s="201" t="n"/>
      <c r="B84" s="22">
        <f>IF(C83=12,B83+1,B83)</f>
        <v/>
      </c>
      <c r="C84" s="22">
        <f>IF(C83=12,1,C83+1)</f>
        <v/>
      </c>
      <c r="D84" s="22">
        <f>IF(F84="12월",(E84+1)&amp;VLOOKUP(F84,인덱스!$C:$D,2,0),E84&amp;VLOOKUP(F84,인덱스!$C:$D,2,0))</f>
        <v/>
      </c>
      <c r="E84" s="201">
        <f>"20"&amp;B84</f>
        <v/>
      </c>
      <c r="F84" s="201">
        <f>C84&amp;"월"</f>
        <v/>
      </c>
      <c r="G84" s="37">
        <f>B84&amp;"."&amp;VLOOKUP(F84,인덱스!$A:$B,2,0)</f>
        <v/>
      </c>
      <c r="H84" s="256">
        <f>IFERROR(VLOOKUP(G84,#REF!,2,0),)</f>
        <v/>
      </c>
      <c r="I84" s="38">
        <f>IF(Q84="","",I83*(Q84/Q83))</f>
        <v/>
      </c>
      <c r="J84" s="38">
        <f>IF(R84="","",J83*(R84/R83))</f>
        <v/>
      </c>
      <c r="K84" s="39">
        <f>IF(S84="","",K83*(S84/S83))</f>
        <v/>
      </c>
      <c r="L84" s="39">
        <f>IF(U84="","",L83*(U84/U83))</f>
        <v/>
      </c>
      <c r="M84" s="39">
        <f>IF(V84="","",M83*(V84/V83))</f>
        <v/>
      </c>
      <c r="N84" s="201" t="n"/>
      <c r="O84" s="201" t="n"/>
      <c r="P84" s="201" t="n"/>
      <c r="Q84" s="8">
        <f>IFERROR(__xludf.DUMMYFUNCTION("iferror(index('지수RAW'!$V$7:$V$12040,MATCH($D84,'지수RAW'!$R$7:$R$12040,0)-1,1),GOOGLEFINANCE(Q$2))"),2674.31)</f>
        <v/>
      </c>
      <c r="R84" s="201">
        <f>IFERROR(__xludf.DUMMYFUNCTION("iferror(index('지수RAW'!$F$7:$F$12040,MATCH($D84,'지수RAW'!$B$7:$B$12040,0)-1,1),GOOGLEFINANCE(R$2))"),5648.4)</f>
        <v/>
      </c>
      <c r="S84" s="9">
        <f>IFERROR(__xludf.DUMMYFUNCTION("iferror(index('지수RAW'!$N$7:$N$12040,MATCH($D84,'지수RAW'!$J$7:$J$12040,0)-1,1),GOOGLEFINANCE(S$2))"),17713.62)</f>
        <v/>
      </c>
      <c r="T84" s="201" t="n"/>
      <c r="U84" s="252">
        <f t="array" ref="U84">IFERROR(INDEX(지수RAW!$AT$7:$AT$12040,MATCH($D84,지수RAW!$AP$7:$AP$12040,0)-1,1),지수RAW!$AU$4)</f>
        <v/>
      </c>
      <c r="V84" s="252">
        <f>IFERROR(__xludf.DUMMYFUNCTION("iferror(index('지수RAW'!$AL$7:$AL$12040,MATCH($D84,'지수RAW'!$AH$7:$AH$12040,0)-1,1),GOOGLEFINANCE(V$2))"),59244.12)</f>
        <v/>
      </c>
      <c r="W84" s="253">
        <f>IFERROR(__xludf.DUMMYFUNCTION("iferror(index('지수RAW'!$AD$7:$AD$12040,MATCH($D84,'지수RAW'!$Z$7:$Z$12040,0)-1,1),GOOGLEFINANCE(W$2))"),1336.57)</f>
        <v/>
      </c>
      <c r="X84" s="36">
        <f>$W84*R84</f>
        <v/>
      </c>
      <c r="Y84" s="36">
        <f>$W84*S84</f>
        <v/>
      </c>
      <c r="Z84" s="36">
        <f>$W84*U84</f>
        <v/>
      </c>
      <c r="AA84" s="36">
        <f>$W84*V84</f>
        <v/>
      </c>
      <c r="AB84" s="255" t="n"/>
      <c r="AC84" s="38">
        <f>IF(Q84="","",AC83*(W84/W83))</f>
        <v/>
      </c>
      <c r="AD84" s="38">
        <f>IF(R84="","",AD83*(X84/X83))</f>
        <v/>
      </c>
      <c r="AE84" s="38">
        <f>IF(S84="","",AE83*(Y84/Y83))</f>
        <v/>
      </c>
      <c r="AF84" s="38">
        <f>IF(U84="","",AF83*(Z84/Z83))</f>
        <v/>
      </c>
      <c r="AG84" s="38">
        <f>IF(V84="","",AG83*(AA84/AA83))</f>
        <v/>
      </c>
    </row>
    <row r="85" ht="12.75" customHeight="1" s="202">
      <c r="A85" s="201" t="n"/>
      <c r="B85" s="22">
        <f>IF(C84=12,B84+1,B84)</f>
        <v/>
      </c>
      <c r="C85" s="22">
        <f>IF(C84=12,1,C84+1)</f>
        <v/>
      </c>
      <c r="D85" s="22">
        <f>IF(F85="12월",(E85+1)&amp;VLOOKUP(F85,인덱스!$C:$D,2,0),E85&amp;VLOOKUP(F85,인덱스!$C:$D,2,0))</f>
        <v/>
      </c>
      <c r="E85" s="201">
        <f>"20"&amp;B85</f>
        <v/>
      </c>
      <c r="F85" s="201">
        <f>C85&amp;"월"</f>
        <v/>
      </c>
      <c r="G85" s="37">
        <f>B85&amp;"."&amp;VLOOKUP(F85,인덱스!$A:$B,2,0)</f>
        <v/>
      </c>
      <c r="H85" s="256">
        <f>IFERROR(VLOOKUP(G85,#REF!,2,0),)</f>
        <v/>
      </c>
      <c r="I85" s="38">
        <f>IF(Q85="","",I84*(Q85/Q84))</f>
        <v/>
      </c>
      <c r="J85" s="38">
        <f>IF(R85="","",J84*(R85/R84))</f>
        <v/>
      </c>
      <c r="K85" s="39">
        <f>IF(S85="","",K84*(S85/S84))</f>
        <v/>
      </c>
      <c r="L85" s="39">
        <f>IF(U85="","",L84*(U85/U84))</f>
        <v/>
      </c>
      <c r="M85" s="39">
        <f>IF(V85="","",M84*(V85/V84))</f>
        <v/>
      </c>
      <c r="N85" s="201" t="n"/>
      <c r="O85" s="201" t="n"/>
      <c r="P85" s="201" t="n"/>
      <c r="Q85" s="8">
        <f>IFERROR(__xludf.DUMMYFUNCTION("iferror(index('지수RAW'!$V$7:$V$12040,MATCH($D85,'지수RAW'!$R$7:$R$12040,0)-1,1),GOOGLEFINANCE(Q$2))"),2593.27)</f>
        <v/>
      </c>
      <c r="R85" s="201">
        <f>IFERROR(__xludf.DUMMYFUNCTION("iferror(index('지수RAW'!$F$7:$F$12040,MATCH($D85,'지수RAW'!$B$7:$B$12040,0)-1,1),GOOGLEFINANCE(R$2))"),5762.48)</f>
        <v/>
      </c>
      <c r="S85" s="9">
        <f>IFERROR(__xludf.DUMMYFUNCTION("iferror(index('지수RAW'!$N$7:$N$12040,MATCH($D85,'지수RAW'!$J$7:$J$12040,0)-1,1),GOOGLEFINANCE(S$2))"),18189.17)</f>
        <v/>
      </c>
      <c r="T85" s="201" t="n"/>
      <c r="U85" s="252">
        <f t="array" ref="U85">IFERROR(INDEX(지수RAW!$AT$7:$AT$12040,MATCH($D85,지수RAW!$AP$7:$AP$12040,0)-1,1),지수RAW!$AU$4)</f>
        <v/>
      </c>
      <c r="V85" s="252">
        <f>IFERROR(__xludf.DUMMYFUNCTION("iferror(index('지수RAW'!$AL$7:$AL$12040,MATCH($D85,'지수RAW'!$AH$7:$AH$12040,0)-1,1),GOOGLEFINANCE(V$2))"),64544.22)</f>
        <v/>
      </c>
      <c r="W85" s="253">
        <f>IFERROR(__xludf.DUMMYFUNCTION("iferror(index('지수RAW'!$AD$7:$AD$12040,MATCH($D85,'지수RAW'!$Z$7:$Z$12040,0)-1,1),GOOGLEFINANCE(W$2))"),1315.33)</f>
        <v/>
      </c>
      <c r="X85" s="36">
        <f>$W85*R85</f>
        <v/>
      </c>
      <c r="Y85" s="36">
        <f>$W85*S85</f>
        <v/>
      </c>
      <c r="Z85" s="36">
        <f>$W85*U85</f>
        <v/>
      </c>
      <c r="AA85" s="36">
        <f>$W85*V85</f>
        <v/>
      </c>
      <c r="AB85" s="255" t="n"/>
      <c r="AC85" s="38">
        <f>IF(Q85="","",AC84*(W85/W84))</f>
        <v/>
      </c>
      <c r="AD85" s="38">
        <f>IF(R85="","",AD84*(X85/X84))</f>
        <v/>
      </c>
      <c r="AE85" s="38">
        <f>IF(S85="","",AE84*(Y85/Y84))</f>
        <v/>
      </c>
      <c r="AF85" s="38">
        <f>IF(U85="","",AF84*(Z85/Z84))</f>
        <v/>
      </c>
      <c r="AG85" s="38">
        <f>IF(V85="","",AG84*(AA85/AA84))</f>
        <v/>
      </c>
    </row>
    <row r="86" ht="12.75" customHeight="1" s="202">
      <c r="A86" s="201" t="n"/>
      <c r="B86" s="22">
        <f>IF(C85=12,B85+1,B85)</f>
        <v/>
      </c>
      <c r="C86" s="22">
        <f>IF(C85=12,1,C85+1)</f>
        <v/>
      </c>
      <c r="D86" s="22">
        <f>IF(F86="12월",(E86+1)&amp;VLOOKUP(F86,인덱스!$C:$D,2,0),E86&amp;VLOOKUP(F86,인덱스!$C:$D,2,0))</f>
        <v/>
      </c>
      <c r="E86" s="201">
        <f>"20"&amp;B86</f>
        <v/>
      </c>
      <c r="F86" s="201">
        <f>C86&amp;"월"</f>
        <v/>
      </c>
      <c r="G86" s="37">
        <f>B86&amp;"."&amp;VLOOKUP(F86,인덱스!$A:$B,2,0)</f>
        <v/>
      </c>
      <c r="H86" s="256">
        <f>IFERROR(VLOOKUP(G86,#REF!,2,0),)</f>
        <v/>
      </c>
      <c r="I86" s="38">
        <f>IF(Q86="","",I85*(Q86/Q85))</f>
        <v/>
      </c>
      <c r="J86" s="38">
        <f>IF(R86="","",J85*(R86/R85))</f>
        <v/>
      </c>
      <c r="K86" s="39">
        <f>IF(S86="","",K85*(S86/S85))</f>
        <v/>
      </c>
      <c r="L86" s="39">
        <f>IF(U86="","",L85*(U86/U85))</f>
        <v/>
      </c>
      <c r="M86" s="39">
        <f>IF(V86="","",M85*(V86/V85))</f>
        <v/>
      </c>
      <c r="N86" s="201" t="n"/>
      <c r="O86" s="201" t="n"/>
      <c r="P86" s="201" t="n"/>
      <c r="Q86" s="8">
        <f>IFERROR(__xludf.DUMMYFUNCTION("iferror(index('지수RAW'!$V$7:$V$12040,MATCH($D86,'지수RAW'!$R$7:$R$12040,0)-1,1),GOOGLEFINANCE(Q$2))"),2556.15)</f>
        <v/>
      </c>
      <c r="R86" s="201">
        <f>IFERROR(__xludf.DUMMYFUNCTION("iferror(index('지수RAW'!$F$7:$F$12040,MATCH($D86,'지수RAW'!$B$7:$B$12040,0)-1,1),GOOGLEFINANCE(R$2))"),5705.45)</f>
        <v/>
      </c>
      <c r="S86" s="9">
        <f>IFERROR(__xludf.DUMMYFUNCTION("iferror(index('지수RAW'!$N$7:$N$12040,MATCH($D86,'지수RAW'!$J$7:$J$12040,0)-1,1),GOOGLEFINANCE(S$2))"),18095.15)</f>
        <v/>
      </c>
      <c r="T86" s="201" t="n"/>
      <c r="U86" s="252">
        <f t="array" ref="U86">IFERROR(INDEX(지수RAW!$AT$7:$AT$12040,MATCH($D86,지수RAW!$AP$7:$AP$12040,0)-1,1),지수RAW!$AU$4)</f>
        <v/>
      </c>
      <c r="V86" s="252">
        <f>IFERROR(__xludf.DUMMYFUNCTION("iferror(index('지수RAW'!$AL$7:$AL$12040,MATCH($D86,'지수RAW'!$AH$7:$AH$12040,0)-1,1),GOOGLEFINANCE(V$2))"),72327.32)</f>
        <v/>
      </c>
      <c r="W86" s="253">
        <f>IFERROR(__xludf.DUMMYFUNCTION("iferror(index('지수RAW'!$AD$7:$AD$12040,MATCH($D86,'지수RAW'!$Z$7:$Z$12040,0)-1,1),GOOGLEFINANCE(W$2))"),1372.93)</f>
        <v/>
      </c>
      <c r="X86" s="36">
        <f>$W86*R86</f>
        <v/>
      </c>
      <c r="Y86" s="36">
        <f>$W86*S86</f>
        <v/>
      </c>
      <c r="Z86" s="36">
        <f>$W86*U86</f>
        <v/>
      </c>
      <c r="AA86" s="36">
        <f>$W86*V86</f>
        <v/>
      </c>
      <c r="AB86" s="255" t="n"/>
      <c r="AC86" s="38">
        <f>IF(Q86="","",AC85*(W86/W85))</f>
        <v/>
      </c>
      <c r="AD86" s="38">
        <f>IF(R86="","",AD85*(X86/X85))</f>
        <v/>
      </c>
      <c r="AE86" s="38">
        <f>IF(S86="","",AE85*(Y86/Y85))</f>
        <v/>
      </c>
      <c r="AF86" s="38">
        <f>IF(U86="","",AF85*(Z86/Z85))</f>
        <v/>
      </c>
      <c r="AG86" s="38">
        <f>IF(V86="","",AG85*(AA86/AA85))</f>
        <v/>
      </c>
    </row>
    <row r="87" ht="12.75" customHeight="1" s="202">
      <c r="A87" s="201" t="n"/>
      <c r="B87" s="22">
        <f>IF(C86=12,B86+1,B86)</f>
        <v/>
      </c>
      <c r="C87" s="22">
        <f>IF(C86=12,1,C86+1)</f>
        <v/>
      </c>
      <c r="D87" s="22">
        <f>IF(F87="12월",(E87+1)&amp;VLOOKUP(F87,인덱스!$C:$D,2,0),E87&amp;VLOOKUP(F87,인덱스!$C:$D,2,0))</f>
        <v/>
      </c>
      <c r="E87" s="201">
        <f>"20"&amp;B87</f>
        <v/>
      </c>
      <c r="F87" s="201">
        <f>C87&amp;"월"</f>
        <v/>
      </c>
      <c r="G87" s="37">
        <f>B87&amp;"."&amp;VLOOKUP(F87,인덱스!$A:$B,2,0)</f>
        <v/>
      </c>
      <c r="H87" s="256">
        <f>IFERROR(VLOOKUP(G87,#REF!,2,0),)</f>
        <v/>
      </c>
      <c r="I87" s="38">
        <f>IF(Q87="","",I86*(Q87/Q86))</f>
        <v/>
      </c>
      <c r="J87" s="38">
        <f>IF(R87="","",J86*(R87/R86))</f>
        <v/>
      </c>
      <c r="K87" s="39">
        <f>IF(S87="","",K86*(S87/S86))</f>
        <v/>
      </c>
      <c r="L87" s="39">
        <f>IF(U87="","",L86*(U87/U86))</f>
        <v/>
      </c>
      <c r="M87" s="39">
        <f>IF(V87="","",M86*(V87/V86))</f>
        <v/>
      </c>
      <c r="N87" s="201" t="n"/>
      <c r="O87" s="201" t="n"/>
      <c r="P87" s="201" t="n"/>
      <c r="Q87" s="8">
        <f>IFERROR(__xludf.DUMMYFUNCTION("iferror(index('지수RAW'!$V$7:$V$12040,MATCH($D87,'지수RAW'!$R$7:$R$12040,0)-1,1),GOOGLEFINANCE(Q$2))"),2455.91)</f>
        <v/>
      </c>
      <c r="R87" s="201">
        <f>IFERROR(__xludf.DUMMYFUNCTION("iferror(index('지수RAW'!$F$7:$F$12040,MATCH($D87,'지수RAW'!$B$7:$B$12040,0)-1,1),GOOGLEFINANCE(R$2))"),6032.38)</f>
        <v/>
      </c>
      <c r="S87" s="9">
        <f>IFERROR(__xludf.DUMMYFUNCTION("iferror(index('지수RAW'!$N$7:$N$12040,MATCH($D87,'지수RAW'!$J$7:$J$12040,0)-1,1),GOOGLEFINANCE(S$2))"),19218.17)</f>
        <v/>
      </c>
      <c r="T87" s="201" t="n"/>
      <c r="U87" s="252">
        <f t="array" ref="U87">IFERROR(INDEX(지수RAW!$AT$7:$AT$12040,MATCH($D87,지수RAW!$AP$7:$AP$12040,0)-1,1),지수RAW!$AU$4)</f>
        <v/>
      </c>
      <c r="V87" s="252">
        <f>IFERROR(__xludf.DUMMYFUNCTION("iferror(index('지수RAW'!$AL$7:$AL$12040,MATCH($D87,'지수RAW'!$AH$7:$AH$12040,0)-1,1),GOOGLEFINANCE(V$2))"),96716.79)</f>
        <v/>
      </c>
      <c r="W87" s="253">
        <f>IFERROR(__xludf.DUMMYFUNCTION("iferror(index('지수RAW'!$AD$7:$AD$12040,MATCH($D87,'지수RAW'!$Z$7:$Z$12040,0)-1,1),GOOGLEFINANCE(W$2))"),1399.86)</f>
        <v/>
      </c>
      <c r="X87" s="36">
        <f>$W87*R87</f>
        <v/>
      </c>
      <c r="Y87" s="36">
        <f>$W87*S87</f>
        <v/>
      </c>
      <c r="Z87" s="36">
        <f>$W87*U87</f>
        <v/>
      </c>
      <c r="AA87" s="36">
        <f>$W87*V87</f>
        <v/>
      </c>
      <c r="AB87" s="255" t="n"/>
      <c r="AC87" s="38">
        <f>IF(Q87="","",AC86*(W87/W86))</f>
        <v/>
      </c>
      <c r="AD87" s="38">
        <f>IF(R87="","",AD86*(X87/X86))</f>
        <v/>
      </c>
      <c r="AE87" s="38">
        <f>IF(S87="","",AE86*(Y87/Y86))</f>
        <v/>
      </c>
      <c r="AF87" s="38">
        <f>IF(U87="","",AF86*(Z87/Z86))</f>
        <v/>
      </c>
      <c r="AG87" s="38">
        <f>IF(V87="","",AG86*(AA87/AA86))</f>
        <v/>
      </c>
    </row>
    <row r="88" ht="12.75" customHeight="1" s="202">
      <c r="A88" s="201" t="n"/>
      <c r="B88" s="22">
        <f>IF(C87=12,B87+1,B87)</f>
        <v/>
      </c>
      <c r="C88" s="22">
        <f>IF(C87=12,1,C87+1)</f>
        <v/>
      </c>
      <c r="D88" s="22">
        <f>IF(F88="12월",(E88+1)&amp;VLOOKUP(F88,인덱스!$C:$D,2,0),E88&amp;VLOOKUP(F88,인덱스!$C:$D,2,0))</f>
        <v/>
      </c>
      <c r="E88" s="201">
        <f>"20"&amp;B88</f>
        <v/>
      </c>
      <c r="F88" s="201">
        <f>C88&amp;"월"</f>
        <v/>
      </c>
      <c r="G88" s="37">
        <f>B88&amp;"."&amp;VLOOKUP(F88,인덱스!$A:$B,2,0)</f>
        <v/>
      </c>
      <c r="H88" s="256">
        <f>IFERROR(VLOOKUP(G88,#REF!,2,0),)</f>
        <v/>
      </c>
      <c r="I88" s="38">
        <f>IF(Q88="","",I87*(Q88/Q87))</f>
        <v/>
      </c>
      <c r="J88" s="38">
        <f>IF(R88="","",J87*(R88/R87))</f>
        <v/>
      </c>
      <c r="K88" s="39">
        <f>IF(S88="","",K87*(S88/S87))</f>
        <v/>
      </c>
      <c r="L88" s="39">
        <f>IF(U88="","",L87*(U88/U87))</f>
        <v/>
      </c>
      <c r="M88" s="39">
        <f>IF(V88="","",M87*(V88/V87))</f>
        <v/>
      </c>
      <c r="N88" s="201" t="n"/>
      <c r="O88" s="201" t="n"/>
      <c r="P88" s="201" t="n"/>
      <c r="Q88" s="8">
        <f>IFERROR(__xludf.DUMMYFUNCTION("iferror(index('지수RAW'!$V$7:$V$12040,MATCH($D88,'지수RAW'!$R$7:$R$12040,0)-1,1),GOOGLEFINANCE(Q$2))"),2399.49)</f>
        <v/>
      </c>
      <c r="R88" s="201">
        <f>IFERROR(__xludf.DUMMYFUNCTION("iferror(index('지수RAW'!$F$7:$F$12040,MATCH($D88,'지수RAW'!$B$7:$B$12040,0)-1,1),GOOGLEFINANCE(R$2))"),5881.63)</f>
        <v/>
      </c>
      <c r="S88" s="9">
        <f>IFERROR(__xludf.DUMMYFUNCTION("iferror(index('지수RAW'!$N$7:$N$12040,MATCH($D88,'지수RAW'!$J$7:$J$12040,0)-1,1),GOOGLEFINANCE(S$2))"),19310.79)</f>
        <v/>
      </c>
      <c r="T88" s="201" t="n"/>
      <c r="U88" s="252">
        <f t="array" ref="U88">IFERROR(INDEX(지수RAW!$AT$7:$AT$12040,MATCH($D88,지수RAW!$AP$7:$AP$12040,0)-1,1),지수RAW!$AU$4)</f>
        <v/>
      </c>
      <c r="V88" s="252">
        <f>IFERROR(__xludf.DUMMYFUNCTION("iferror(index('지수RAW'!$AL$7:$AL$12040,MATCH($D88,'지수RAW'!$AH$7:$AH$12040,0)-1,1),GOOGLEFINANCE(V$2))"),92382.89)</f>
        <v/>
      </c>
      <c r="W88" s="253">
        <f>IFERROR(__xludf.DUMMYFUNCTION("iferror(index('지수RAW'!$AD$7:$AD$12040,MATCH($D88,'지수RAW'!$Z$7:$Z$12040,0)-1,1),GOOGLEFINANCE(W$2))"),1476.69)</f>
        <v/>
      </c>
      <c r="X88" s="36">
        <f>$W88*R88</f>
        <v/>
      </c>
      <c r="Y88" s="36">
        <f>$W88*S88</f>
        <v/>
      </c>
      <c r="Z88" s="36">
        <f>$W88*U88</f>
        <v/>
      </c>
      <c r="AA88" s="36">
        <f>$W88*V88</f>
        <v/>
      </c>
      <c r="AB88" s="255" t="n"/>
      <c r="AC88" s="38">
        <f>IF(Q88="","",AC87*(W88/W87))</f>
        <v/>
      </c>
      <c r="AD88" s="38">
        <f>IF(R88="","",AD87*(X88/X87))</f>
        <v/>
      </c>
      <c r="AE88" s="38">
        <f>IF(S88="","",AE87*(Y88/Y87))</f>
        <v/>
      </c>
      <c r="AF88" s="38">
        <f>IF(U88="","",AF87*(Z88/Z87))</f>
        <v/>
      </c>
      <c r="AG88" s="38">
        <f>IF(V88="","",AG87*(AA88/AA87))</f>
        <v/>
      </c>
    </row>
    <row r="89" ht="12.75" customHeight="1" s="202">
      <c r="A89" s="201" t="n"/>
      <c r="B89" s="22">
        <f>IF(C88=12,B88+1,B88)</f>
        <v/>
      </c>
      <c r="C89" s="22">
        <f>IF(C88=12,1,C88+1)</f>
        <v/>
      </c>
      <c r="D89" s="22">
        <f>IF(F89="12월",(E89+1)&amp;VLOOKUP(F89,인덱스!$C:$D,2,0),E89&amp;VLOOKUP(F89,인덱스!$C:$D,2,0))</f>
        <v/>
      </c>
      <c r="E89" s="201">
        <f>"20"&amp;B89</f>
        <v/>
      </c>
      <c r="F89" s="201">
        <f>C89&amp;"월"</f>
        <v/>
      </c>
      <c r="G89" s="37">
        <f>B89&amp;"."&amp;VLOOKUP(F89,인덱스!$A:$B,2,0)</f>
        <v/>
      </c>
      <c r="H89" s="256">
        <f>IFERROR(VLOOKUP(G89,#REF!,2,0),)</f>
        <v/>
      </c>
      <c r="I89" s="38">
        <f>IF(Q89="","",I88*(Q89/Q88))</f>
        <v/>
      </c>
      <c r="J89" s="38">
        <f>IF(R89="","",J88*(R89/R88))</f>
        <v/>
      </c>
      <c r="K89" s="39">
        <f>IF(S89="","",K88*(S89/S88))</f>
        <v/>
      </c>
      <c r="L89" s="39">
        <f>IF(U89="","",L88*(U89/U88))</f>
        <v/>
      </c>
      <c r="M89" s="39">
        <f>IF(V89="","",M88*(V89/V88))</f>
        <v/>
      </c>
      <c r="N89" s="201" t="n"/>
      <c r="O89" s="201" t="n"/>
      <c r="P89" s="201" t="n"/>
      <c r="Q89" s="8">
        <f>IFERROR(__xludf.DUMMYFUNCTION("iferror(index('지수RAW'!$V$7:$V$12040,MATCH($D89,'지수RAW'!$R$7:$R$12040,0)-1,1),GOOGLEFINANCE(Q$2))"),2517.37)</f>
        <v/>
      </c>
      <c r="R89" s="201">
        <f>IFERROR(__xludf.DUMMYFUNCTION("iferror(index('지수RAW'!$F$7:$F$12040,MATCH($D89,'지수RAW'!$B$7:$B$12040,0)-1,1),GOOGLEFINANCE(R$2))"),6040.53)</f>
        <v/>
      </c>
      <c r="S89" s="9">
        <f>IFERROR(__xludf.DUMMYFUNCTION("iferror(index('지수RAW'!$N$7:$N$12040,MATCH($D89,'지수RAW'!$J$7:$J$12040,0)-1,1),GOOGLEFINANCE(S$2))"),19627.44)</f>
        <v/>
      </c>
      <c r="T89" s="201" t="n"/>
      <c r="U89" s="252">
        <f t="array" ref="U89">IFERROR(INDEX(지수RAW!$AT$7:$AT$12040,MATCH($D89,지수RAW!$AP$7:$AP$12040,0)-1,1),지수RAW!$AU$4)</f>
        <v/>
      </c>
      <c r="V89" s="252">
        <f>IFERROR(__xludf.DUMMYFUNCTION("iferror(index('지수RAW'!$AL$7:$AL$12040,MATCH($D89,'지수RAW'!$AH$7:$AH$12040,0)-1,1),GOOGLEFINANCE(V$2))"),104008.8)</f>
        <v/>
      </c>
      <c r="W89" s="253">
        <f>IFERROR(__xludf.DUMMYFUNCTION("iferror(index('지수RAW'!$AD$7:$AD$12040,MATCH($D89,'지수RAW'!$Z$7:$Z$12040,0)-1,1),GOOGLEFINANCE(W$2))"),1456.78)</f>
        <v/>
      </c>
      <c r="X89" s="36">
        <f>$W89*R89</f>
        <v/>
      </c>
      <c r="Y89" s="36">
        <f>$W89*S89</f>
        <v/>
      </c>
      <c r="Z89" s="36">
        <f>$W89*U89</f>
        <v/>
      </c>
      <c r="AA89" s="36">
        <f>$W89*V89</f>
        <v/>
      </c>
      <c r="AB89" s="255" t="n"/>
      <c r="AC89" s="38">
        <f>IF(Q89="","",AC88*(W89/W88))</f>
        <v/>
      </c>
      <c r="AD89" s="38">
        <f>IF(R89="","",AD88*(X89/X88))</f>
        <v/>
      </c>
      <c r="AE89" s="38">
        <f>IF(S89="","",AE88*(Y89/Y88))</f>
        <v/>
      </c>
      <c r="AF89" s="38">
        <f>IF(U89="","",AF88*(Z89/Z88))</f>
        <v/>
      </c>
      <c r="AG89" s="38">
        <f>IF(V89="","",AG88*(AA89/AA88))</f>
        <v/>
      </c>
    </row>
    <row r="90" ht="12.75" customHeight="1" s="202">
      <c r="A90" s="201" t="n"/>
      <c r="B90" s="22">
        <f>IF(C89=12,B89+1,B89)</f>
        <v/>
      </c>
      <c r="C90" s="22">
        <f>IF(C89=12,1,C89+1)</f>
        <v/>
      </c>
      <c r="D90" s="22">
        <f>IF(F90="12월",(E90+1)&amp;VLOOKUP(F90,인덱스!$C:$D,2,0),E90&amp;VLOOKUP(F90,인덱스!$C:$D,2,0))</f>
        <v/>
      </c>
      <c r="E90" s="201">
        <f>"20"&amp;B90</f>
        <v/>
      </c>
      <c r="F90" s="201">
        <f>C90&amp;"월"</f>
        <v/>
      </c>
      <c r="G90" s="37">
        <f>B90&amp;"."&amp;VLOOKUP(F90,인덱스!$A:$B,2,0)</f>
        <v/>
      </c>
      <c r="H90" s="256">
        <f>IFERROR(VLOOKUP(G90,#REF!,2,0),)</f>
        <v/>
      </c>
      <c r="I90" s="38">
        <f>IF(Q90="","",I89*(Q90/Q89))</f>
        <v/>
      </c>
      <c r="J90" s="38">
        <f>IF(R90="","",J89*(R90/R89))</f>
        <v/>
      </c>
      <c r="K90" s="39">
        <f>IF(S90="","",K89*(S90/S89))</f>
        <v/>
      </c>
      <c r="L90" s="39">
        <f>IF(U90="","",L89*(U90/U89))</f>
        <v/>
      </c>
      <c r="M90" s="39">
        <f>IF(V90="","",M89*(V90/V89))</f>
        <v/>
      </c>
      <c r="N90" s="201" t="n"/>
      <c r="O90" s="201" t="n"/>
      <c r="P90" s="201" t="n"/>
      <c r="Q90" s="8">
        <f>IFERROR(__xludf.DUMMYFUNCTION("iferror(index('지수RAW'!$V$7:$V$12040,MATCH($D90,'지수RAW'!$R$7:$R$12040,0)-1,1),GOOGLEFINANCE(Q$2))"),2532.78)</f>
        <v/>
      </c>
      <c r="R90" s="201">
        <f>IFERROR(__xludf.DUMMYFUNCTION("iferror(index('지수RAW'!$F$7:$F$12040,MATCH($D90,'지수RAW'!$B$7:$B$12040,0)-1,1),GOOGLEFINANCE(R$2))"),5954.5)</f>
        <v/>
      </c>
      <c r="S90" s="9">
        <f>IFERROR(__xludf.DUMMYFUNCTION("iferror(index('지수RAW'!$N$7:$N$12040,MATCH($D90,'지수RAW'!$J$7:$J$12040,0)-1,1),GOOGLEFINANCE(S$2))"),18847.28)</f>
        <v/>
      </c>
      <c r="T90" s="201" t="n"/>
      <c r="U90" s="252">
        <f t="array" ref="U90">IFERROR(INDEX(지수RAW!$AT$7:$AT$12040,MATCH($D90,지수RAW!$AP$7:$AP$12040,0)-1,1),지수RAW!$AU$4)</f>
        <v/>
      </c>
      <c r="V90" s="252">
        <f>IFERROR(__xludf.DUMMYFUNCTION("iferror(index('지수RAW'!$AL$7:$AL$12040,MATCH($D90,'지수RAW'!$AH$7:$AH$12040,0)-1,1),GOOGLEFINANCE(V$2))"),80376.5)</f>
        <v/>
      </c>
      <c r="W90" s="253">
        <f>IFERROR(__xludf.DUMMYFUNCTION("iferror(index('지수RAW'!$AD$7:$AD$12040,MATCH($D90,'지수RAW'!$Z$7:$Z$12040,0)-1,1),GOOGLEFINANCE(W$2))"),1461.18)</f>
        <v/>
      </c>
      <c r="X90" s="36">
        <f>$W90*R90</f>
        <v/>
      </c>
      <c r="Y90" s="36">
        <f>$W90*S90</f>
        <v/>
      </c>
      <c r="Z90" s="36">
        <f>$W90*U90</f>
        <v/>
      </c>
      <c r="AA90" s="36">
        <f>$W90*V90</f>
        <v/>
      </c>
      <c r="AB90" s="255" t="n"/>
      <c r="AC90" s="38">
        <f>IF(Q90="","",AC89*(W90/W89))</f>
        <v/>
      </c>
      <c r="AD90" s="38">
        <f>IF(R90="","",AD89*(X90/X89))</f>
        <v/>
      </c>
      <c r="AE90" s="38">
        <f>IF(S90="","",AE89*(Y90/Y89))</f>
        <v/>
      </c>
      <c r="AF90" s="38">
        <f>IF(U90="","",AF89*(Z90/Z89))</f>
        <v/>
      </c>
      <c r="AG90" s="38">
        <f>IF(V90="","",AG89*(AA90/AA89))</f>
        <v/>
      </c>
    </row>
    <row r="91" ht="12.75" customHeight="1" s="202">
      <c r="A91" s="201" t="n"/>
      <c r="B91" s="22">
        <f>IF(C90=12,B90+1,B90)</f>
        <v/>
      </c>
      <c r="C91" s="22">
        <f>IF(C90=12,1,C90+1)</f>
        <v/>
      </c>
      <c r="D91" s="22">
        <f>IF(F91="12월",(E91+1)&amp;VLOOKUP(F91,인덱스!$C:$D,2,0),E91&amp;VLOOKUP(F91,인덱스!$C:$D,2,0))</f>
        <v/>
      </c>
      <c r="E91" s="201">
        <f>"20"&amp;B91</f>
        <v/>
      </c>
      <c r="F91" s="201">
        <f>C91&amp;"월"</f>
        <v/>
      </c>
      <c r="G91" s="37">
        <f>B91&amp;"."&amp;VLOOKUP(F91,인덱스!$A:$B,2,0)</f>
        <v/>
      </c>
      <c r="H91" s="256">
        <f>IFERROR(VLOOKUP(G91,#REF!,2,0),)</f>
        <v/>
      </c>
      <c r="I91" s="38">
        <f>IF(Q91="","",I90*(Q91/Q90))</f>
        <v/>
      </c>
      <c r="J91" s="38">
        <f>IF(R91="","",J90*(R91/R90))</f>
        <v/>
      </c>
      <c r="K91" s="39">
        <f>IF(S91="","",K90*(S91/S90))</f>
        <v/>
      </c>
      <c r="L91" s="39">
        <f>IF(U91="","",L90*(U91/U90))</f>
        <v/>
      </c>
      <c r="M91" s="39">
        <f>IF(V91="","",M90*(V91/V90))</f>
        <v/>
      </c>
      <c r="N91" s="201" t="n"/>
      <c r="O91" s="201" t="n"/>
      <c r="P91" s="201" t="n"/>
      <c r="Q91" s="8">
        <f>IFERROR(__xludf.DUMMYFUNCTION("iferror(index('지수RAW'!$V$7:$V$12040,MATCH($D91,'지수RAW'!$R$7:$R$12040,0)-1,1),GOOGLEFINANCE(Q$2))"),2481.12)</f>
        <v/>
      </c>
      <c r="R91" s="201">
        <f>IFERROR(__xludf.DUMMYFUNCTION("iferror(index('지수RAW'!$F$7:$F$12040,MATCH($D91,'지수RAW'!$B$7:$B$12040,0)-1,1),GOOGLEFINANCE(R$2))"),5611.85)</f>
        <v/>
      </c>
      <c r="S91" s="9">
        <f>IFERROR(__xludf.DUMMYFUNCTION("iferror(index('지수RAW'!$N$7:$N$12040,MATCH($D91,'지수RAW'!$J$7:$J$12040,0)-1,1),GOOGLEFINANCE(S$2))"),17299.29)</f>
        <v/>
      </c>
      <c r="T91" s="201" t="n"/>
      <c r="U91" s="252">
        <f t="array" ref="U91">IFERROR(INDEX(지수RAW!$AT$7:$AT$12040,MATCH($D91,지수RAW!$AP$7:$AP$12040,0)-1,1),지수RAW!$AU$4)</f>
        <v/>
      </c>
      <c r="V91" s="252">
        <f>IFERROR(__xludf.DUMMYFUNCTION("iferror(index('지수RAW'!$AL$7:$AL$12040,MATCH($D91,'지수RAW'!$AH$7:$AH$12040,0)-1,1),GOOGLEFINANCE(V$2))"),81559.22)</f>
        <v/>
      </c>
      <c r="W91" s="253">
        <f>IFERROR(__xludf.DUMMYFUNCTION("iferror(index('지수RAW'!$AD$7:$AD$12040,MATCH($D91,'지수RAW'!$Z$7:$Z$12040,0)-1,1),GOOGLEFINANCE(W$2))"),1471.96)</f>
        <v/>
      </c>
      <c r="X91" s="36">
        <f>$W91*R91</f>
        <v/>
      </c>
      <c r="Y91" s="36">
        <f>$W91*S91</f>
        <v/>
      </c>
      <c r="Z91" s="36">
        <f>$W91*U91</f>
        <v/>
      </c>
      <c r="AA91" s="36">
        <f>$W91*V91</f>
        <v/>
      </c>
      <c r="AB91" s="255" t="n"/>
      <c r="AC91" s="38">
        <f>IF(Q91="","",AC90*(W91/W90))</f>
        <v/>
      </c>
      <c r="AD91" s="38">
        <f>IF(R91="","",AD90*(X91/X90))</f>
        <v/>
      </c>
      <c r="AE91" s="38">
        <f>IF(S91="","",AE90*(Y91/Y90))</f>
        <v/>
      </c>
      <c r="AF91" s="38">
        <f>IF(U91="","",AF90*(Z91/Z90))</f>
        <v/>
      </c>
      <c r="AG91" s="38">
        <f>IF(V91="","",AG90*(AA91/AA90))</f>
        <v/>
      </c>
    </row>
    <row r="92" ht="12.75" customHeight="1" s="202">
      <c r="A92" s="201" t="n"/>
      <c r="B92" s="22">
        <f>IF(C91=12,B91+1,B91)</f>
        <v/>
      </c>
      <c r="C92" s="22">
        <f>IF(C91=12,1,C91+1)</f>
        <v/>
      </c>
      <c r="D92" s="22">
        <f>IF(F92="12월",(E92+1)&amp;VLOOKUP(F92,인덱스!$C:$D,2,0),E92&amp;VLOOKUP(F92,인덱스!$C:$D,2,0))</f>
        <v/>
      </c>
      <c r="E92" s="201">
        <f>"20"&amp;B92</f>
        <v/>
      </c>
      <c r="F92" s="201">
        <f>C92&amp;"월"</f>
        <v/>
      </c>
      <c r="G92" s="37">
        <f>B92&amp;"."&amp;VLOOKUP(F92,인덱스!$A:$B,2,0)</f>
        <v/>
      </c>
      <c r="H92" s="256">
        <f>IFERROR(VLOOKUP(G92,#REF!,2,0),)</f>
        <v/>
      </c>
      <c r="I92" s="38">
        <f>IF(Q92="","",I91*(Q92/Q91))</f>
        <v/>
      </c>
      <c r="J92" s="38">
        <f>IF(R92="","",J91*(R92/R91))</f>
        <v/>
      </c>
      <c r="K92" s="39">
        <f>IF(S92="","",K91*(S92/S91))</f>
        <v/>
      </c>
      <c r="L92" s="39">
        <f>IF(U92="","",L91*(U92/U91))</f>
        <v/>
      </c>
      <c r="M92" s="39">
        <f>IF(V92="","",M91*(V92/V91))</f>
        <v/>
      </c>
      <c r="N92" s="201" t="n"/>
      <c r="O92" s="201" t="n"/>
      <c r="P92" s="201" t="n"/>
      <c r="Q92" s="8">
        <f>IFERROR(__xludf.DUMMYFUNCTION("iferror(index('지수RAW'!$V$7:$V$12040,MATCH($D92,'지수RAW'!$R$7:$R$12040,0)-1,1),GOOGLEFINANCE(Q$2))"),2556.61)</f>
        <v/>
      </c>
      <c r="R92" s="201">
        <f>IFERROR(__xludf.DUMMYFUNCTION("iferror(index('지수RAW'!$F$7:$F$12040,MATCH($D92,'지수RAW'!$B$7:$B$12040,0)-1,1),GOOGLEFINANCE(R$2))"),5569.06)</f>
        <v/>
      </c>
      <c r="S92" s="9">
        <f>IFERROR(__xludf.DUMMYFUNCTION("iferror(index('지수RAW'!$N$7:$N$12040,MATCH($D92,'지수RAW'!$J$7:$J$12040,0)-1,1),GOOGLEFINANCE(S$2))"),17446.34)</f>
        <v/>
      </c>
      <c r="T92" s="201" t="n"/>
      <c r="U92" s="252">
        <f t="array" ref="U92">IFERROR(INDEX(지수RAW!$AT$7:$AT$12040,MATCH($D92,지수RAW!$AP$7:$AP$12040,0)-1,1),지수RAW!$AU$4)</f>
        <v/>
      </c>
      <c r="V92" s="252">
        <f>IFERROR(__xludf.DUMMYFUNCTION("iferror(index('지수RAW'!$AL$7:$AL$12040,MATCH($D92,'지수RAW'!$AH$7:$AH$12040,0)-1,1),GOOGLEFINANCE(V$2))"),95041.93)</f>
        <v/>
      </c>
      <c r="W92" s="253">
        <f>IFERROR(__xludf.DUMMYFUNCTION("iferror(index('지수RAW'!$AD$7:$AD$12040,MATCH($D92,'지수RAW'!$Z$7:$Z$12040,0)-1,1),GOOGLEFINANCE(W$2))"),1423.75)</f>
        <v/>
      </c>
      <c r="X92" s="36">
        <f>$W92*R92</f>
        <v/>
      </c>
      <c r="Y92" s="36">
        <f>$W92*S92</f>
        <v/>
      </c>
      <c r="Z92" s="36">
        <f>$W92*U92</f>
        <v/>
      </c>
      <c r="AA92" s="36">
        <f>$W92*V92</f>
        <v/>
      </c>
      <c r="AB92" s="255" t="n"/>
      <c r="AC92" s="38">
        <f>IF(Q92="","",AC91*(W92/W91))</f>
        <v/>
      </c>
      <c r="AD92" s="38">
        <f>IF(R92="","",AD91*(X92/X91))</f>
        <v/>
      </c>
      <c r="AE92" s="38">
        <f>IF(S92="","",AE91*(Y92/Y91))</f>
        <v/>
      </c>
      <c r="AF92" s="38">
        <f>IF(U92="","",AF91*(Z92/Z91))</f>
        <v/>
      </c>
      <c r="AG92" s="38">
        <f>IF(V92="","",AG91*(AA92/AA91))</f>
        <v/>
      </c>
    </row>
    <row r="93" ht="12.75" customHeight="1" s="202">
      <c r="A93" s="201" t="n"/>
      <c r="B93" s="22">
        <f>IF(C92=12,B92+1,B92)</f>
        <v/>
      </c>
      <c r="C93" s="22">
        <f>IF(C92=12,1,C92+1)</f>
        <v/>
      </c>
      <c r="D93" s="22">
        <f>IF(F93="12월",(E93+1)&amp;VLOOKUP(F93,인덱스!$C:$D,2,0),E93&amp;VLOOKUP(F93,인덱스!$C:$D,2,0))</f>
        <v/>
      </c>
      <c r="E93" s="201">
        <f>"20"&amp;B93</f>
        <v/>
      </c>
      <c r="F93" s="201">
        <f>C93&amp;"월"</f>
        <v/>
      </c>
      <c r="G93" s="37">
        <f>B93&amp;"."&amp;VLOOKUP(F93,인덱스!$A:$B,2,0)</f>
        <v/>
      </c>
      <c r="H93" s="256">
        <f>IFERROR(VLOOKUP(G93,#REF!,2,0),)</f>
        <v/>
      </c>
      <c r="I93" s="38">
        <f>IF(Q93="","",I92*(Q93/Q92))</f>
        <v/>
      </c>
      <c r="J93" s="38">
        <f>IF(R93="","",J92*(R93/R92))</f>
        <v/>
      </c>
      <c r="K93" s="39">
        <f>IF(S93="","",K92*(S93/S92))</f>
        <v/>
      </c>
      <c r="L93" s="39">
        <f>IF(U93="","",L92*(U93/U92))</f>
        <v/>
      </c>
      <c r="M93" s="39">
        <f>IF(V93="","",M92*(V93/V92))</f>
        <v/>
      </c>
      <c r="N93" s="201" t="n"/>
      <c r="O93" s="201" t="n"/>
      <c r="P93" s="201" t="n"/>
      <c r="Q93" s="8">
        <f>IFERROR(__xludf.DUMMYFUNCTION("iferror(index('지수RAW'!$V$7:$V$12040,MATCH($D93,'지수RAW'!$R$7:$R$12040,0)-1,1),GOOGLEFINANCE(Q$2))"),2697.67)</f>
        <v/>
      </c>
      <c r="R93" s="201">
        <f>IFERROR(__xludf.DUMMYFUNCTION("iferror(index('지수RAW'!$F$7:$F$12040,MATCH($D93,'지수RAW'!$B$7:$B$12040,0)-1,1),GOOGLEFINANCE(R$2))"),5911.69)</f>
        <v/>
      </c>
      <c r="S93" s="9">
        <f>IFERROR(__xludf.DUMMYFUNCTION("iferror(index('지수RAW'!$N$7:$N$12040,MATCH($D93,'지수RAW'!$J$7:$J$12040,0)-1,1),GOOGLEFINANCE(S$2))"),19113.77)</f>
        <v/>
      </c>
      <c r="T93" s="201" t="n"/>
      <c r="U93" s="252">
        <f t="array" ref="U93">IFERROR(INDEX(지수RAW!$AT$7:$AT$12040,MATCH($D93,지수RAW!$AP$7:$AP$12040,0)-1,1),지수RAW!$AU$4)</f>
        <v/>
      </c>
      <c r="V93" s="252">
        <f>IFERROR(__xludf.DUMMYFUNCTION("iferror(index('지수RAW'!$AL$7:$AL$12040,MATCH($D93,'지수RAW'!$AH$7:$AH$12040,0)-1,1),GOOGLEFINANCE(V$2))"),103735.2)</f>
        <v/>
      </c>
      <c r="W93" s="253">
        <f>IFERROR(__xludf.DUMMYFUNCTION("iferror(index('지수RAW'!$AD$7:$AD$12040,MATCH($D93,'지수RAW'!$Z$7:$Z$12040,0)-1,1),GOOGLEFINANCE(W$2))"),1381.98)</f>
        <v/>
      </c>
      <c r="X93" s="36">
        <f>$W93*R93</f>
        <v/>
      </c>
      <c r="Y93" s="36">
        <f>$W93*S93</f>
        <v/>
      </c>
      <c r="Z93" s="36">
        <f>$W93*U93</f>
        <v/>
      </c>
      <c r="AA93" s="36">
        <f>$W93*V93</f>
        <v/>
      </c>
      <c r="AB93" s="255" t="n"/>
      <c r="AC93" s="38">
        <f>IF(Q93="","",AC92*(W93/W92))</f>
        <v/>
      </c>
      <c r="AD93" s="38">
        <f>IF(R93="","",AD92*(X93/X92))</f>
        <v/>
      </c>
      <c r="AE93" s="38">
        <f>IF(S93="","",AE92*(Y93/Y92))</f>
        <v/>
      </c>
      <c r="AF93" s="38">
        <f>IF(U93="","",AF92*(Z93/Z92))</f>
        <v/>
      </c>
      <c r="AG93" s="38">
        <f>IF(V93="","",AG92*(AA93/AA92))</f>
        <v/>
      </c>
    </row>
    <row r="94" ht="12.75" customHeight="1" s="202">
      <c r="A94" s="201" t="n"/>
      <c r="B94" s="22">
        <f>IF(C93=12,B93+1,B93)</f>
        <v/>
      </c>
      <c r="C94" s="22">
        <f>IF(C93=12,1,C93+1)</f>
        <v/>
      </c>
      <c r="D94" s="22">
        <f>IF(F94="12월",(E94+1)&amp;VLOOKUP(F94,인덱스!$C:$D,2,0),E94&amp;VLOOKUP(F94,인덱스!$C:$D,2,0))</f>
        <v/>
      </c>
      <c r="E94" s="201">
        <f>"20"&amp;B94</f>
        <v/>
      </c>
      <c r="F94" s="201">
        <f>C94&amp;"월"</f>
        <v/>
      </c>
      <c r="G94" s="37">
        <f>B94&amp;"."&amp;VLOOKUP(F94,인덱스!$A:$B,2,0)</f>
        <v/>
      </c>
      <c r="H94" s="256">
        <f>IFERROR(VLOOKUP(G94,#REF!,2,0),)</f>
        <v/>
      </c>
      <c r="I94" s="38">
        <f>IF(Q94="","",I93*(Q94/Q93))</f>
        <v/>
      </c>
      <c r="J94" s="38">
        <f>IF(R94="","",J93*(R94/R93))</f>
        <v/>
      </c>
      <c r="K94" s="39">
        <f>IF(S94="","",K93*(S94/S93))</f>
        <v/>
      </c>
      <c r="L94" s="39">
        <f>IF(U94="","",L93*(U94/U93))</f>
        <v/>
      </c>
      <c r="M94" s="39">
        <f>IF(V94="","",M93*(V94/V93))</f>
        <v/>
      </c>
      <c r="N94" s="201" t="n"/>
      <c r="O94" s="201" t="n"/>
      <c r="P94" s="201" t="n"/>
      <c r="Q94" s="8">
        <f>IFERROR(__xludf.DUMMYFUNCTION("iferror(index('지수RAW'!$V$7:$V$12040,MATCH($D94,'지수RAW'!$R$7:$R$12040,0)-1,1),GOOGLEFINANCE(Q$2))"),3071.7)</f>
        <v/>
      </c>
      <c r="R94" s="201">
        <f>IFERROR(__xludf.DUMMYFUNCTION("iferror(index('지수RAW'!$F$7:$F$12040,MATCH($D94,'지수RAW'!$B$7:$B$12040,0)-1,1),GOOGLEFINANCE(R$2))"),6204.95)</f>
        <v/>
      </c>
      <c r="S94" s="9">
        <f>IFERROR(__xludf.DUMMYFUNCTION("iferror(index('지수RAW'!$N$7:$N$12040,MATCH($D94,'지수RAW'!$J$7:$J$12040,0)-1,1),GOOGLEFINANCE(S$2))"),20369.73)</f>
        <v/>
      </c>
      <c r="T94" s="201" t="n"/>
      <c r="U94" s="252">
        <f t="array" ref="U94">IFERROR(INDEX(지수RAW!$AT$7:$AT$12040,MATCH($D94,지수RAW!$AP$7:$AP$12040,0)-1,1),지수RAW!$AU$4)</f>
        <v/>
      </c>
      <c r="V94" s="252">
        <f>IFERROR(__xludf.DUMMYFUNCTION("iferror(index('지수RAW'!$AL$7:$AL$12040,MATCH($D94,'지수RAW'!$AH$7:$AH$12040,0)-1,1),GOOGLEFINANCE(V$2))"),108527.5)</f>
        <v/>
      </c>
      <c r="W94" s="253">
        <f>IFERROR(__xludf.DUMMYFUNCTION("iferror(index('지수RAW'!$AD$7:$AD$12040,MATCH($D94,'지수RAW'!$Z$7:$Z$12040,0)-1,1),GOOGLEFINANCE(W$2))"),1348.5)</f>
        <v/>
      </c>
      <c r="X94" s="36">
        <f>$W94*R94</f>
        <v/>
      </c>
      <c r="Y94" s="36">
        <f>$W94*S94</f>
        <v/>
      </c>
      <c r="Z94" s="36">
        <f>$W94*U94</f>
        <v/>
      </c>
      <c r="AA94" s="36">
        <f>$W94*V94</f>
        <v/>
      </c>
      <c r="AB94" s="255" t="n"/>
      <c r="AC94" s="38">
        <f>IF(Q94="","",AC93*(W94/W93))</f>
        <v/>
      </c>
      <c r="AD94" s="38">
        <f>IF(R94="","",AD93*(X94/X93))</f>
        <v/>
      </c>
      <c r="AE94" s="38">
        <f>IF(S94="","",AE93*(Y94/Y93))</f>
        <v/>
      </c>
      <c r="AF94" s="38">
        <f>IF(U94="","",AF93*(Z94/Z93))</f>
        <v/>
      </c>
      <c r="AG94" s="38">
        <f>IF(V94="","",AG93*(AA94/AA93))</f>
        <v/>
      </c>
    </row>
    <row r="95" ht="12.75" customHeight="1" s="202">
      <c r="A95" s="201" t="n"/>
      <c r="B95" s="22">
        <f>IF(C94=12,B94+1,B94)</f>
        <v/>
      </c>
      <c r="C95" s="22">
        <f>IF(C94=12,1,C94+1)</f>
        <v/>
      </c>
      <c r="D95" s="22">
        <f>IF(F95="12월",(E95+1)&amp;VLOOKUP(F95,인덱스!$C:$D,2,0),E95&amp;VLOOKUP(F95,인덱스!$C:$D,2,0))</f>
        <v/>
      </c>
      <c r="E95" s="201">
        <f>"20"&amp;B95</f>
        <v/>
      </c>
      <c r="F95" s="201">
        <f>C95&amp;"월"</f>
        <v/>
      </c>
      <c r="G95" s="37">
        <f>B95&amp;"."&amp;VLOOKUP(F95,인덱스!$A:$B,2,0)</f>
        <v/>
      </c>
      <c r="H95" s="256">
        <f>IFERROR(VLOOKUP(G95,#REF!,2,0),)</f>
        <v/>
      </c>
      <c r="I95" s="38">
        <f>IF(Q95="","",I94*(Q95/Q94))</f>
        <v/>
      </c>
      <c r="J95" s="38">
        <f>IF(R95="","",J94*(R95/R94))</f>
        <v/>
      </c>
      <c r="K95" s="39">
        <f>IF(S95="","",K94*(S95/S94))</f>
        <v/>
      </c>
      <c r="L95" s="39">
        <f>IF(U95="","",L94*(U95/U94))</f>
        <v/>
      </c>
      <c r="M95" s="39">
        <f>IF(V95="","",M94*(V95/V94))</f>
        <v/>
      </c>
      <c r="N95" s="201" t="n"/>
      <c r="O95" s="201" t="n"/>
      <c r="P95" s="201" t="n"/>
      <c r="Q95" s="8">
        <f>IFERROR(__xludf.DUMMYFUNCTION("iferror(index('지수RAW'!$V$7:$V$12040,MATCH($D95,'지수RAW'!$R$7:$R$12040,0)-1,1),GOOGLEFINANCE(Q$2))"),3245.44)</f>
        <v/>
      </c>
      <c r="R95" s="201">
        <f>IFERROR(__xludf.DUMMYFUNCTION("iferror(index('지수RAW'!$F$7:$F$12040,MATCH($D95,'지수RAW'!$B$7:$B$12040,0)-1,1),GOOGLEFINANCE(R$2))"),6339.39)</f>
        <v/>
      </c>
      <c r="S95" s="9">
        <f>IFERROR(__xludf.DUMMYFUNCTION("iferror(index('지수RAW'!$N$7:$N$12040,MATCH($D95,'지수RAW'!$J$7:$J$12040,0)-1,1),GOOGLEFINANCE(S$2))"),21122.45)</f>
        <v/>
      </c>
      <c r="T95" s="201" t="n"/>
      <c r="U95" s="252">
        <f t="array" ref="U95">IFERROR(INDEX(지수RAW!$AT$7:$AT$12040,MATCH($D95,지수RAW!$AP$7:$AP$12040,0)-1,1),지수RAW!$AU$4)</f>
        <v/>
      </c>
      <c r="V95" s="252">
        <f>IFERROR(__xludf.DUMMYFUNCTION("iferror(index('지수RAW'!$AL$7:$AL$12040,MATCH($D95,'지수RAW'!$AH$7:$AH$12040,0)-1,1),GOOGLEFINANCE(V$2))"),118454.4)</f>
        <v/>
      </c>
      <c r="W95" s="253">
        <f>IFERROR(__xludf.DUMMYFUNCTION("iferror(index('지수RAW'!$AD$7:$AD$12040,MATCH($D95,'지수RAW'!$Z$7:$Z$12040,0)-1,1),GOOGLEFINANCE(W$2))"),1391.51)</f>
        <v/>
      </c>
      <c r="X95" s="36">
        <f>$W95*R95</f>
        <v/>
      </c>
      <c r="Y95" s="36">
        <f>$W95*S95</f>
        <v/>
      </c>
      <c r="Z95" s="36">
        <f>$W95*U95</f>
        <v/>
      </c>
      <c r="AA95" s="36">
        <f>$W95*V95</f>
        <v/>
      </c>
      <c r="AB95" s="255" t="n"/>
      <c r="AC95" s="38">
        <f>IF(Q95="","",AC94*(W95/W94))</f>
        <v/>
      </c>
      <c r="AD95" s="38">
        <f>IF(R95="","",AD94*(X95/X94))</f>
        <v/>
      </c>
      <c r="AE95" s="38">
        <f>IF(S95="","",AE94*(Y95/Y94))</f>
        <v/>
      </c>
      <c r="AF95" s="38">
        <f>IF(U95="","",AF94*(Z95/Z94))</f>
        <v/>
      </c>
      <c r="AG95" s="38">
        <f>IF(V95="","",AG94*(AA95/AA94))</f>
        <v/>
      </c>
    </row>
    <row r="96" ht="12.75" customHeight="1" s="202">
      <c r="A96" s="201" t="n"/>
      <c r="B96" s="22">
        <f>IF(C95=12,B95+1,B95)</f>
        <v/>
      </c>
      <c r="C96" s="22">
        <f>IF(C95=12,1,C95+1)</f>
        <v/>
      </c>
      <c r="D96" s="22">
        <f>IF(F96="12월",(E96+1)&amp;VLOOKUP(F96,인덱스!$C:$D,2,0),E96&amp;VLOOKUP(F96,인덱스!$C:$D,2,0))</f>
        <v/>
      </c>
      <c r="E96" s="201">
        <f>"20"&amp;B96</f>
        <v/>
      </c>
      <c r="F96" s="201">
        <f>C96&amp;"월"</f>
        <v/>
      </c>
      <c r="G96" s="37">
        <f>B96&amp;"."&amp;VLOOKUP(F96,인덱스!$A:$B,2,0)</f>
        <v/>
      </c>
      <c r="H96" s="256">
        <f>IFERROR(VLOOKUP(G96,#REF!,2,0),)</f>
        <v/>
      </c>
      <c r="I96" s="38">
        <f>IF(Q96="","",I95*(Q96/Q95))</f>
        <v/>
      </c>
      <c r="J96" s="38">
        <f>IF(R96="","",J95*(R96/R95))</f>
        <v/>
      </c>
      <c r="K96" s="39">
        <f>IF(S96="","",K95*(S96/S95))</f>
        <v/>
      </c>
      <c r="L96" s="39">
        <f>IF(U96="","",L95*(U96/U95))</f>
        <v/>
      </c>
      <c r="M96" s="39">
        <f>IF(V96="","",M95*(V96/V95))</f>
        <v/>
      </c>
      <c r="N96" s="201" t="n"/>
      <c r="O96" s="201" t="n"/>
      <c r="P96" s="201" t="n"/>
      <c r="Q96" s="8">
        <f>IFERROR(__xludf.DUMMYFUNCTION("iferror(index('지수RAW'!$V$7:$V$12040,MATCH($D96,'지수RAW'!$R$7:$R$12040,0)-1,1),GOOGLEFINANCE(Q$2))"),3186.01)</f>
        <v/>
      </c>
      <c r="R96" s="201">
        <f>IFERROR(__xludf.DUMMYFUNCTION("iferror(index('지수RAW'!$F$7:$F$12040,MATCH($D96,'지수RAW'!$B$7:$B$12040,0)-1,1),GOOGLEFINANCE(R$2))"),6460.26)</f>
        <v/>
      </c>
      <c r="S96" s="9">
        <f>IFERROR(__xludf.DUMMYFUNCTION("iferror(index('지수RAW'!$N$7:$N$12040,MATCH($D96,'지수RAW'!$J$7:$J$12040,0)-1,1),GOOGLEFINANCE(S$2))"),21455.55)</f>
        <v/>
      </c>
      <c r="T96" s="201" t="n"/>
      <c r="U96" s="252">
        <f t="array" ref="U96">IFERROR(INDEX(지수RAW!$AT$7:$AT$12040,MATCH($D96,지수RAW!$AP$7:$AP$12040,0)-1,1),지수RAW!$AU$4)</f>
        <v/>
      </c>
      <c r="V96" s="252">
        <f>IFERROR(__xludf.DUMMYFUNCTION("iferror(index('지수RAW'!$AL$7:$AL$12040,MATCH($D96,'지수RAW'!$AH$7:$AH$12040,0)-1,1),GOOGLEFINANCE(V$2))"),109251.6)</f>
        <v/>
      </c>
      <c r="W96" s="253">
        <f>IFERROR(__xludf.DUMMYFUNCTION("iferror(index('지수RAW'!$AD$7:$AD$12040,MATCH($D96,'지수RAW'!$Z$7:$Z$12040,0)-1,1),GOOGLEFINANCE(W$2))"),1388.84)</f>
        <v/>
      </c>
      <c r="X96" s="36">
        <f>$W96*R96</f>
        <v/>
      </c>
      <c r="Y96" s="36">
        <f>$W96*S96</f>
        <v/>
      </c>
      <c r="Z96" s="36">
        <f>$W96*U96</f>
        <v/>
      </c>
      <c r="AA96" s="36">
        <f>$W96*V96</f>
        <v/>
      </c>
      <c r="AB96" s="255" t="n"/>
      <c r="AC96" s="38">
        <f>IF(Q96="","",AC95*(W96/W95))</f>
        <v/>
      </c>
      <c r="AD96" s="38">
        <f>IF(R96="","",AD95*(X96/X95))</f>
        <v/>
      </c>
      <c r="AE96" s="38">
        <f>IF(S96="","",AE95*(Y96/Y95))</f>
        <v/>
      </c>
      <c r="AF96" s="38">
        <f>IF(U96="","",AF95*(Z96/Z95))</f>
        <v/>
      </c>
      <c r="AG96" s="38">
        <f>IF(V96="","",AG95*(AA96/AA95))</f>
        <v/>
      </c>
    </row>
    <row r="97" ht="12.75" customHeight="1" s="202">
      <c r="A97" s="201" t="n"/>
      <c r="B97" s="22">
        <f>IF(C96=12,B96+1,B96)</f>
        <v/>
      </c>
      <c r="C97" s="22">
        <f>IF(C96=12,1,C96+1)</f>
        <v/>
      </c>
      <c r="D97" s="22">
        <f>IF(F97="12월",(E97+1)&amp;VLOOKUP(F97,인덱스!$C:$D,2,0),E97&amp;VLOOKUP(F97,인덱스!$C:$D,2,0))</f>
        <v/>
      </c>
      <c r="E97" s="201">
        <f>"20"&amp;B97</f>
        <v/>
      </c>
      <c r="F97" s="201">
        <f>C97&amp;"월"</f>
        <v/>
      </c>
      <c r="G97" s="37">
        <f>B97&amp;"."&amp;VLOOKUP(F97,인덱스!$A:$B,2,0)</f>
        <v/>
      </c>
      <c r="H97" s="256">
        <f>IFERROR(VLOOKUP(G97,#REF!,2,0),)</f>
        <v/>
      </c>
      <c r="I97" s="38">
        <f>IF(Q97="","",I96*(Q97/Q96))</f>
        <v/>
      </c>
      <c r="J97" s="38">
        <f>IF(R97="","",J96*(R97/R96))</f>
        <v/>
      </c>
      <c r="K97" s="39">
        <f>IF(S97="","",K96*(S97/S96))</f>
        <v/>
      </c>
      <c r="L97" s="39">
        <f>IF(U97="","",L96*(U97/U96))</f>
        <v/>
      </c>
      <c r="M97" s="39">
        <f>IF(V97="","",M96*(V97/V96))</f>
        <v/>
      </c>
      <c r="N97" s="201" t="n"/>
      <c r="O97" s="201" t="n"/>
      <c r="P97" s="201" t="n"/>
      <c r="Q97" s="8">
        <f>IFERROR(__xludf.DUMMYFUNCTION("iferror(index('지수RAW'!$V$7:$V$12040,MATCH($D97,'지수RAW'!$R$7:$R$12040,0)-1,1),GOOGLEFINANCE(Q$2))"),3424.6)</f>
        <v/>
      </c>
      <c r="R97" s="201">
        <f>IFERROR(__xludf.DUMMYFUNCTION("iferror(index('지수RAW'!$F$7:$F$12040,MATCH($D97,'지수RAW'!$B$7:$B$12040,0)-1,1),GOOGLEFINANCE(R$2))"),6688.46)</f>
        <v/>
      </c>
      <c r="S97" s="9">
        <f>IFERROR(__xludf.DUMMYFUNCTION("iferror(index('지수RAW'!$N$7:$N$12040,MATCH($D97,'지수RAW'!$J$7:$J$12040,0)-1,1),GOOGLEFINANCE(S$2))"),22660.01)</f>
        <v/>
      </c>
      <c r="T97" s="201" t="n"/>
      <c r="U97" s="252">
        <f t="array" ref="U97">IFERROR(INDEX(지수RAW!$AT$7:$AT$12040,MATCH($D97,지수RAW!$AP$7:$AP$12040,0)-1,1),지수RAW!$AU$4)</f>
        <v/>
      </c>
      <c r="V97" s="252">
        <f>IFERROR(__xludf.DUMMYFUNCTION("iferror(index('지수RAW'!$AL$7:$AL$12040,MATCH($D97,'지수RAW'!$AH$7:$AH$12040,0)-1,1),GOOGLEFINANCE(V$2))"),114433.1)</f>
        <v/>
      </c>
      <c r="W97" s="253">
        <f>IFERROR(__xludf.DUMMYFUNCTION("iferror(index('지수RAW'!$AD$7:$AD$12040,MATCH($D97,'지수RAW'!$Z$7:$Z$12040,0)-1,1),GOOGLEFINANCE(W$2))"),1403.15)</f>
        <v/>
      </c>
      <c r="X97" s="36">
        <f>$W97*R97</f>
        <v/>
      </c>
      <c r="Y97" s="36">
        <f>$W97*S97</f>
        <v/>
      </c>
      <c r="Z97" s="36">
        <f>$W97*U97</f>
        <v/>
      </c>
      <c r="AA97" s="36">
        <f>$W97*V97</f>
        <v/>
      </c>
      <c r="AB97" s="255" t="n"/>
      <c r="AC97" s="38">
        <f>IF(Q97="","",AC96*(W97/W96))</f>
        <v/>
      </c>
      <c r="AD97" s="38">
        <f>IF(R97="","",AD96*(X97/X96))</f>
        <v/>
      </c>
      <c r="AE97" s="38">
        <f>IF(S97="","",AE96*(Y97/Y96))</f>
        <v/>
      </c>
      <c r="AF97" s="38">
        <f>IF(U97="","",AF96*(Z97/Z96))</f>
        <v/>
      </c>
      <c r="AG97" s="38">
        <f>IF(V97="","",AG96*(AA97/AA96))</f>
        <v/>
      </c>
    </row>
    <row r="98" ht="12.75" customHeight="1" s="202">
      <c r="A98" s="201" t="n"/>
      <c r="B98" s="22">
        <f>IF(C97=12,B97+1,B97)</f>
        <v/>
      </c>
      <c r="C98" s="22">
        <f>IF(C97=12,1,C97+1)</f>
        <v/>
      </c>
      <c r="D98" s="22">
        <f>IF(F98="12월",(E98+1)&amp;VLOOKUP(F98,인덱스!$C:$D,2,0),E98&amp;VLOOKUP(F98,인덱스!$C:$D,2,0))</f>
        <v/>
      </c>
      <c r="E98" s="201">
        <f>"20"&amp;B98</f>
        <v/>
      </c>
      <c r="F98" s="201">
        <f>C98&amp;"월"</f>
        <v/>
      </c>
      <c r="G98" s="37">
        <f>B98&amp;"."&amp;VLOOKUP(F98,인덱스!$A:$B,2,0)</f>
        <v/>
      </c>
      <c r="H98" s="256">
        <f>IFERROR(VLOOKUP(G98,#REF!,2,0),)</f>
        <v/>
      </c>
      <c r="I98" s="38">
        <f>IF(Q98="","",I97*(Q98/Q97))</f>
        <v/>
      </c>
      <c r="J98" s="38">
        <f>IF(R98="","",J97*(R98/R97))</f>
        <v/>
      </c>
      <c r="K98" s="39">
        <f>IF(S98="","",K97*(S98/S97))</f>
        <v/>
      </c>
      <c r="L98" s="39">
        <f>IF(U98="","",L97*(U98/U97))</f>
        <v/>
      </c>
      <c r="M98" s="39">
        <f>IF(V98="","",M97*(V98/V97))</f>
        <v/>
      </c>
      <c r="N98" s="201" t="n"/>
      <c r="O98" s="201" t="n"/>
      <c r="P98" s="201" t="n"/>
      <c r="Q98" s="8">
        <f>IFERROR(__xludf.DUMMYFUNCTION("iferror(index('지수RAW'!$V$7:$V$12040,MATCH($D98,'지수RAW'!$R$7:$R$12040,0)-1,1),GOOGLEFINANCE(Q$2))"),4107.5)</f>
        <v/>
      </c>
      <c r="R98" s="201">
        <f>IFERROR(__xludf.DUMMYFUNCTION("iferror(index('지수RAW'!$F$7:$F$12040,MATCH($D98,'지수RAW'!$B$7:$B$12040,0)-1,1),GOOGLEFINANCE(R$2))"),6840.2)</f>
        <v/>
      </c>
      <c r="S98" s="9">
        <f>IFERROR(__xludf.DUMMYFUNCTION("iferror(index('지수RAW'!$N$7:$N$12040,MATCH($D98,'지수RAW'!$J$7:$J$12040,0)-1,1),GOOGLEFINANCE(S$2))"),23724.96)</f>
        <v/>
      </c>
      <c r="T98" s="201" t="n"/>
      <c r="U98" s="252">
        <f t="array" ref="U98">IFERROR(INDEX(지수RAW!$AT$7:$AT$12040,MATCH($D98,지수RAW!$AP$7:$AP$12040,0)-1,1),지수RAW!$AU$4)</f>
        <v/>
      </c>
      <c r="V98" s="252">
        <f>IFERROR(__xludf.DUMMYFUNCTION("iferror(index('지수RAW'!$AL$7:$AL$12040,MATCH($D98,'지수RAW'!$AH$7:$AH$12040,0)-1,1),GOOGLEFINANCE(V$2))"),109243.2)</f>
        <v/>
      </c>
      <c r="W98" s="253">
        <f>IFERROR(__xludf.DUMMYFUNCTION("iferror(index('지수RAW'!$AD$7:$AD$12040,MATCH($D98,'지수RAW'!$Z$7:$Z$12040,0)-1,1),GOOGLEFINANCE(W$2))"),1427.77)</f>
        <v/>
      </c>
      <c r="X98" s="36">
        <f>$W98*R98</f>
        <v/>
      </c>
      <c r="Y98" s="36">
        <f>$W98*S98</f>
        <v/>
      </c>
      <c r="Z98" s="36">
        <f>$W98*U98</f>
        <v/>
      </c>
      <c r="AA98" s="36">
        <f>$W98*V98</f>
        <v/>
      </c>
      <c r="AB98" s="255" t="n"/>
      <c r="AC98" s="38">
        <f>IF(Q98="","",AC97*(W98/W97))</f>
        <v/>
      </c>
      <c r="AD98" s="38">
        <f>IF(R98="","",AD97*(X98/X97))</f>
        <v/>
      </c>
      <c r="AE98" s="38">
        <f>IF(S98="","",AE97*(Y98/Y97))</f>
        <v/>
      </c>
      <c r="AF98" s="38">
        <f>IF(U98="","",AF97*(Z98/Z97))</f>
        <v/>
      </c>
      <c r="AG98" s="38">
        <f>IF(V98="","",AG97*(AA98/AA97))</f>
        <v/>
      </c>
    </row>
    <row r="99" ht="12.75" customHeight="1" s="202">
      <c r="A99" s="201" t="n"/>
      <c r="B99" s="22">
        <f>IF(C98=12,B98+1,B98)</f>
        <v/>
      </c>
      <c r="C99" s="22">
        <f>IF(C98=12,1,C98+1)</f>
        <v/>
      </c>
      <c r="D99" s="22">
        <f>IF(F99="12월",(E99+1)&amp;VLOOKUP(F99,인덱스!$C:$D,2,0),E99&amp;VLOOKUP(F99,인덱스!$C:$D,2,0))</f>
        <v/>
      </c>
      <c r="E99" s="201">
        <f>"20"&amp;B99</f>
        <v/>
      </c>
      <c r="F99" s="201">
        <f>C99&amp;"월"</f>
        <v/>
      </c>
      <c r="G99" s="37">
        <f>B99&amp;"."&amp;VLOOKUP(F99,인덱스!$A:$B,2,0)</f>
        <v/>
      </c>
      <c r="H99" s="256">
        <f>IFERROR(VLOOKUP(G99,#REF!,2,0),)</f>
        <v/>
      </c>
      <c r="I99" s="38">
        <f>IF(Q99="","",I98*(Q99/Q98))</f>
        <v/>
      </c>
      <c r="J99" s="38">
        <f>IF(R99="","",J98*(R99/R98))</f>
        <v/>
      </c>
      <c r="K99" s="39">
        <f>IF(S99="","",K98*(S99/S98))</f>
        <v/>
      </c>
      <c r="L99" s="39">
        <f>IF(U99="","",L98*(U99/U98))</f>
        <v/>
      </c>
      <c r="M99" s="39">
        <f>IF(V99="","",M98*(V99/V98))</f>
        <v/>
      </c>
      <c r="N99" s="201" t="n"/>
      <c r="O99" s="201" t="n"/>
      <c r="P99" s="201" t="n"/>
      <c r="Q99" s="8">
        <f>IFERROR(__xludf.DUMMYFUNCTION("iferror(index('지수RAW'!$V$7:$V$12040,MATCH($D99,'지수RAW'!$R$7:$R$12040,0)-1,1),GOOGLEFINANCE(Q$2))"),3926.59)</f>
        <v/>
      </c>
      <c r="R99" s="201">
        <f>IFERROR(__xludf.DUMMYFUNCTION("iferror(index('지수RAW'!$F$7:$F$12040,MATCH($D99,'지수RAW'!$B$7:$B$12040,0)-1,1),GOOGLEFINANCE(R$2))"),6849.09)</f>
        <v/>
      </c>
      <c r="S99" s="9">
        <f>IFERROR(__xludf.DUMMYFUNCTION("iferror(index('지수RAW'!$N$7:$N$12040,MATCH($D99,'지수RAW'!$J$7:$J$12040,0)-1,1),GOOGLEFINANCE(S$2))"),23365.69)</f>
        <v/>
      </c>
      <c r="T99" s="201" t="n"/>
      <c r="U99" s="252">
        <f t="array" ref="U99">IFERROR(INDEX(지수RAW!$AT$7:$AT$12040,MATCH($D99,지수RAW!$AP$7:$AP$12040,0)-1,1),지수RAW!$AU$4)</f>
        <v/>
      </c>
      <c r="V99" s="252">
        <f>IFERROR(__xludf.DUMMYFUNCTION("iferror(index('지수RAW'!$AL$7:$AL$12040,MATCH($D99,'지수RAW'!$AH$7:$AH$12040,0)-1,1),GOOGLEFINANCE(V$2))"),90899.38)</f>
        <v/>
      </c>
      <c r="W99" s="253">
        <f>IFERROR(__xludf.DUMMYFUNCTION("iferror(index('지수RAW'!$AD$7:$AD$12040,MATCH($D99,'지수RAW'!$Z$7:$Z$12040,0)-1,1),GOOGLEFINANCE(W$2))"),1465.62)</f>
        <v/>
      </c>
      <c r="X99" s="36">
        <f>$W99*R99</f>
        <v/>
      </c>
      <c r="Y99" s="36">
        <f>$W99*S99</f>
        <v/>
      </c>
      <c r="Z99" s="36">
        <f>$W99*U99</f>
        <v/>
      </c>
      <c r="AA99" s="36">
        <f>$W99*V99</f>
        <v/>
      </c>
      <c r="AB99" s="255" t="n"/>
      <c r="AC99" s="38">
        <f>IF(Q99="","",AC98*(W99/W98))</f>
        <v/>
      </c>
      <c r="AD99" s="38">
        <f>IF(R99="","",AD98*(X99/X98))</f>
        <v/>
      </c>
      <c r="AE99" s="38">
        <f>IF(S99="","",AE98*(Y99/Y98))</f>
        <v/>
      </c>
      <c r="AF99" s="38">
        <f>IF(U99="","",AF98*(Z99/Z98))</f>
        <v/>
      </c>
      <c r="AG99" s="38">
        <f>IF(V99="","",AG98*(AA99/AA98))</f>
        <v/>
      </c>
    </row>
    <row r="100" ht="12.75" customHeight="1" s="202">
      <c r="A100" s="201" t="n"/>
      <c r="B100" s="22">
        <f>IF(C99=12,B99+1,B99)</f>
        <v/>
      </c>
      <c r="C100" s="22">
        <f>IF(C99=12,1,C99+1)</f>
        <v/>
      </c>
      <c r="D100" s="22">
        <f>IF(F100="12월",(E100+1)&amp;VLOOKUP(F100,인덱스!$C:$D,2,0),E100&amp;VLOOKUP(F100,인덱스!$C:$D,2,0))</f>
        <v/>
      </c>
      <c r="E100" s="201">
        <f>"20"&amp;B100</f>
        <v/>
      </c>
      <c r="F100" s="201">
        <f>C100&amp;"월"</f>
        <v/>
      </c>
      <c r="G100" s="37">
        <f>B100&amp;"."&amp;VLOOKUP(F100,인덱스!$A:$B,2,0)</f>
        <v/>
      </c>
      <c r="H100" s="256">
        <f>IFERROR(VLOOKUP(G100,#REF!,2,0),)</f>
        <v/>
      </c>
      <c r="I100" s="38">
        <f>IF(Q100="","",I99*(Q100/Q99))</f>
        <v/>
      </c>
      <c r="J100" s="38">
        <f>IF(R100="","",J99*(R100/R99))</f>
        <v/>
      </c>
      <c r="K100" s="39">
        <f>IF(S100="","",K99*(S100/S99))</f>
        <v/>
      </c>
      <c r="L100" s="39">
        <f>IF(U100="","",L99*(U100/U99))</f>
        <v/>
      </c>
      <c r="M100" s="39">
        <f>IF(V100="","",M99*(V100/V99))</f>
        <v/>
      </c>
      <c r="N100" s="201" t="n"/>
      <c r="O100" s="201" t="n"/>
      <c r="P100" s="201" t="n"/>
      <c r="Q100" s="8">
        <f>IFERROR(__xludf.DUMMYFUNCTION("iferror(index('지수RAW'!$V$7:$V$12040,MATCH($D100,'지수RAW'!$R$7:$R$12040,0)-1,1),GOOGLEFINANCE(Q$2))"),4214.17)</f>
        <v/>
      </c>
      <c r="R100" s="201">
        <f>IFERROR(__xludf.DUMMYFUNCTION("iferror(index('지수RAW'!$F$7:$F$12040,MATCH($D100,'지수RAW'!$B$7:$B$12040,0)-1,1),GOOGLEFINANCE(R$2))"),6845.5)</f>
        <v/>
      </c>
      <c r="S100" s="9">
        <f>IFERROR(__xludf.DUMMYFUNCTION("iferror(index('지수RAW'!$N$7:$N$12040,MATCH($D100,'지수RAW'!$J$7:$J$12040,0)-1,1),GOOGLEFINANCE(S$2))"),23241.99)</f>
        <v/>
      </c>
      <c r="T100" s="201" t="n"/>
      <c r="U100" s="252">
        <f t="array" ref="U100">IFERROR(INDEX(지수RAW!$AT$7:$AT$12040,MATCH($D100,지수RAW!$AP$7:$AP$12040,0)-1,1),지수RAW!$AU$4)</f>
        <v/>
      </c>
      <c r="V100" s="252">
        <f>IFERROR(__xludf.DUMMYFUNCTION("iferror(index('지수RAW'!$AL$7:$AL$12040,MATCH($D100,'지수RAW'!$AH$7:$AH$12040,0)-1,1),GOOGLEFINANCE(V$2))"),88262.84)</f>
        <v/>
      </c>
      <c r="W100" s="253">
        <f>IFERROR(__xludf.DUMMYFUNCTION("iferror(index('지수RAW'!$AD$7:$AD$12040,MATCH($D100,'지수RAW'!$Z$7:$Z$12040,0)-1,1),GOOGLEFINANCE(W$2))"),1443.64)</f>
        <v/>
      </c>
      <c r="X100" s="36">
        <f>$W100*R100</f>
        <v/>
      </c>
      <c r="Y100" s="36">
        <f>$W100*S100</f>
        <v/>
      </c>
      <c r="Z100" s="36">
        <f>$W100*U100</f>
        <v/>
      </c>
      <c r="AA100" s="36">
        <f>$W100*V100</f>
        <v/>
      </c>
      <c r="AB100" s="255" t="n"/>
      <c r="AC100" s="38">
        <f>IF(Q100="","",AC99*(W100/W99))</f>
        <v/>
      </c>
      <c r="AD100" s="38">
        <f>IF(R100="","",AD99*(X100/X99))</f>
        <v/>
      </c>
      <c r="AE100" s="38">
        <f>IF(S100="","",AE99*(Y100/Y99))</f>
        <v/>
      </c>
      <c r="AF100" s="38">
        <f>IF(U100="","",AF99*(Z100/Z99))</f>
        <v/>
      </c>
      <c r="AG100" s="38">
        <f>IF(V100="","",AG99*(AA100/AA99))</f>
        <v/>
      </c>
    </row>
    <row r="101" ht="12.75" customHeight="1" s="202">
      <c r="A101" s="201" t="n"/>
      <c r="B101" s="22">
        <f>IF(C100=12,B100+1,B100)</f>
        <v/>
      </c>
      <c r="C101" s="22">
        <f>IF(C100=12,1,C100+1)</f>
        <v/>
      </c>
      <c r="D101" s="22">
        <f>IF(F101="12월",(E101+1)&amp;VLOOKUP(F101,인덱스!$C:$D,2,0),E101&amp;VLOOKUP(F101,인덱스!$C:$D,2,0))</f>
        <v/>
      </c>
      <c r="E101" s="201">
        <f>"20"&amp;B101</f>
        <v/>
      </c>
      <c r="F101" s="201">
        <f>C101&amp;"월"</f>
        <v/>
      </c>
      <c r="G101" s="37">
        <f>B101&amp;"."&amp;VLOOKUP(F101,인덱스!$A:$B,2,0)</f>
        <v/>
      </c>
      <c r="H101" s="256">
        <f>IFERROR(VLOOKUP(G101,#REF!,2,0),)</f>
        <v/>
      </c>
      <c r="I101" s="38">
        <f>IF(Q101="","",I100*(Q101/Q100))</f>
        <v/>
      </c>
      <c r="J101" s="38">
        <f>IF(R101="","",J100*(R101/R100))</f>
        <v/>
      </c>
      <c r="K101" s="39">
        <f>IF(S101="","",K100*(S101/S100))</f>
        <v/>
      </c>
      <c r="L101" s="39">
        <f>IF(U101="","",L100*(U101/U100))</f>
        <v/>
      </c>
      <c r="M101" s="39">
        <f>IF(V101="","",M100*(V101/V100))</f>
        <v/>
      </c>
      <c r="N101" s="201" t="n"/>
      <c r="O101" s="201" t="n"/>
      <c r="P101" s="201" t="n"/>
      <c r="Q101" s="8">
        <f>IFERROR(__xludf.DUMMYFUNCTION("iferror(index('지수RAW'!$V$7:$V$12040,MATCH($D101,'지수RAW'!$R$7:$R$12040,0)-1,1),GOOGLEFINANCE(Q$2))"),5224.36)</f>
        <v/>
      </c>
      <c r="R101" s="201">
        <f>IFERROR(__xludf.DUMMYFUNCTION("iferror(index('지수RAW'!$F$7:$F$12040,MATCH($D101,'지수RAW'!$B$7:$B$12040,0)-1,1),GOOGLEFINANCE(R$2))"),6939.03)</f>
        <v/>
      </c>
      <c r="S101" s="9">
        <f>IFERROR(__xludf.DUMMYFUNCTION("iferror(index('지수RAW'!$N$7:$N$12040,MATCH($D101,'지수RAW'!$J$7:$J$12040,0)-1,1),GOOGLEFINANCE(S$2))"),23461.82)</f>
        <v/>
      </c>
      <c r="T101" s="201" t="n"/>
      <c r="U101" s="252">
        <f t="array" ref="U101">IFERROR(INDEX(지수RAW!$AT$7:$AT$12040,MATCH($D101,지수RAW!$AP$7:$AP$12040,0)-1,1),지수RAW!$AU$4)</f>
        <v/>
      </c>
      <c r="V101" s="252">
        <f>IFERROR(__xludf.DUMMYFUNCTION("iferror(index('지수RAW'!$AL$7:$AL$12040,MATCH($D101,'지수RAW'!$AH$7:$AH$12040,0)-1,1),GOOGLEFINANCE(V$2))"),83894.56)</f>
        <v/>
      </c>
      <c r="W101" s="253">
        <f>IFERROR(__xludf.DUMMYFUNCTION("iferror(index('지수RAW'!$AD$7:$AD$12040,MATCH($D101,'지수RAW'!$Z$7:$Z$12040,0)-1,1),GOOGLEFINANCE(W$2))"),1449.7)</f>
        <v/>
      </c>
      <c r="X101" s="36">
        <f>$W101*R101</f>
        <v/>
      </c>
      <c r="Y101" s="36">
        <f>$W101*S101</f>
        <v/>
      </c>
      <c r="Z101" s="36">
        <f>$W101*U101</f>
        <v/>
      </c>
      <c r="AA101" s="36">
        <f>$W101*V101</f>
        <v/>
      </c>
      <c r="AB101" s="255" t="n"/>
      <c r="AC101" s="38">
        <f>IF(Q101="","",AC100*(W101/W100))</f>
        <v/>
      </c>
      <c r="AD101" s="38">
        <f>IF(R101="","",AD100*(X101/X100))</f>
        <v/>
      </c>
      <c r="AE101" s="38">
        <f>IF(S101="","",AE100*(Y101/Y100))</f>
        <v/>
      </c>
      <c r="AF101" s="38">
        <f>IF(U101="","",AF100*(Z101/Z100))</f>
        <v/>
      </c>
      <c r="AG101" s="38">
        <f>IF(V101="","",AG100*(AA101/AA100))</f>
        <v/>
      </c>
    </row>
    <row r="102" ht="12.75" customHeight="1" s="202">
      <c r="A102" s="201" t="n"/>
      <c r="B102" s="22">
        <f>IF(C101=12,B101+1,B101)</f>
        <v/>
      </c>
      <c r="C102" s="22">
        <f>IF(C101=12,1,C101+1)</f>
        <v/>
      </c>
      <c r="D102" s="22">
        <f>IF(F102="12월",(E102+1)&amp;VLOOKUP(F102,인덱스!$C:$D,2,0),E102&amp;VLOOKUP(F102,인덱스!$C:$D,2,0))</f>
        <v/>
      </c>
      <c r="E102" s="201">
        <f>"20"&amp;B102</f>
        <v/>
      </c>
      <c r="F102" s="201">
        <f>C102&amp;"월"</f>
        <v/>
      </c>
      <c r="G102" s="37">
        <f>B102&amp;"."&amp;VLOOKUP(F102,인덱스!$A:$B,2,0)</f>
        <v/>
      </c>
      <c r="H102" s="256">
        <f>IFERROR(VLOOKUP(G102,#REF!,2,0),)</f>
        <v/>
      </c>
      <c r="I102" s="38">
        <f>IF(Q102="","",I101*(Q102/Q101))</f>
        <v/>
      </c>
      <c r="J102" s="38">
        <f>IF(R102="","",J101*(R102/R101))</f>
        <v/>
      </c>
      <c r="K102" s="39">
        <f>IF(S102="","",K101*(S102/S101))</f>
        <v/>
      </c>
      <c r="L102" s="39">
        <f>IF(U102="","",L101*(U102/U101))</f>
        <v/>
      </c>
      <c r="M102" s="39">
        <f>IF(V102="","",M101*(V102/V101))</f>
        <v/>
      </c>
      <c r="N102" s="201" t="n"/>
      <c r="O102" s="201" t="n"/>
      <c r="P102" s="201" t="n"/>
      <c r="Q102" s="8">
        <f>IFERROR(__xludf.DUMMYFUNCTION("iferror(index('지수RAW'!$V$7:$V$12040,MATCH($D102,'지수RAW'!$R$7:$R$12040,0)-1,1),GOOGLEFINANCE(Q$2))"),6244.13)</f>
        <v/>
      </c>
      <c r="R102" s="201">
        <f>IFERROR(__xludf.DUMMYFUNCTION("iferror(index('지수RAW'!$F$7:$F$12040,MATCH($D102,'지수RAW'!$B$7:$B$12040,0)-1,1),GOOGLEFINANCE(R$2))"),6878.88)</f>
        <v/>
      </c>
      <c r="S102" s="9">
        <f>IFERROR(__xludf.DUMMYFUNCTION("iferror(index('지수RAW'!$N$7:$N$12040,MATCH($D102,'지수RAW'!$J$7:$J$12040,0)-1,1),GOOGLEFINANCE(S$2))"),22668.21)</f>
        <v/>
      </c>
      <c r="T102" s="201" t="n"/>
      <c r="U102" s="252">
        <f t="array" ref="U102">IFERROR(INDEX(지수RAW!$AT$7:$AT$12040,MATCH($D102,지수RAW!$AP$7:$AP$12040,0)-1,1),지수RAW!$AU$4)</f>
        <v/>
      </c>
      <c r="V102" s="252">
        <f>IFERROR(__xludf.DUMMYFUNCTION("iferror(index('지수RAW'!$AL$7:$AL$12040,MATCH($D102,'지수RAW'!$AH$7:$AH$12040,0)-1,1),GOOGLEFINANCE(V$2))"),65696.42)</f>
        <v/>
      </c>
      <c r="W102" s="253">
        <f>IFERROR(__xludf.DUMMYFUNCTION("iferror(index('지수RAW'!$AD$7:$AD$12040,MATCH($D102,'지수RAW'!$Z$7:$Z$12040,0)-1,1),GOOGLEFINANCE(W$2))"),1437.8)</f>
        <v/>
      </c>
      <c r="X102" s="36">
        <f>$W102*R102</f>
        <v/>
      </c>
      <c r="Y102" s="36">
        <f>$W102*S102</f>
        <v/>
      </c>
      <c r="Z102" s="36">
        <f>$W102*U102</f>
        <v/>
      </c>
      <c r="AA102" s="36">
        <f>$W102*V102</f>
        <v/>
      </c>
      <c r="AB102" s="255" t="n"/>
      <c r="AC102" s="38">
        <f>IF(Q102="","",AC101*(W102/W101))</f>
        <v/>
      </c>
      <c r="AD102" s="38">
        <f>IF(R102="","",AD101*(X102/X101))</f>
        <v/>
      </c>
      <c r="AE102" s="38">
        <f>IF(S102="","",AE101*(Y102/Y101))</f>
        <v/>
      </c>
      <c r="AF102" s="38">
        <f>IF(U102="","",AF101*(Z102/Z101))</f>
        <v/>
      </c>
      <c r="AG102" s="38">
        <f>IF(V102="","",AG101*(AA102/AA101))</f>
        <v/>
      </c>
    </row>
    <row r="103" ht="12.75" customHeight="1" s="202">
      <c r="A103" s="201" t="n"/>
      <c r="B103" s="22">
        <f>IF(C102=12,B102+1,B102)</f>
        <v/>
      </c>
      <c r="C103" s="22">
        <f>IF(C102=12,1,C102+1)</f>
        <v/>
      </c>
      <c r="D103" s="22">
        <f>IF(F103="12월",(E103+1)&amp;VLOOKUP(F103,인덱스!$C:$D,2,0),E103&amp;VLOOKUP(F103,인덱스!$C:$D,2,0))</f>
        <v/>
      </c>
      <c r="E103" s="201">
        <f>"20"&amp;B103</f>
        <v/>
      </c>
      <c r="F103" s="201">
        <f>C103&amp;"월"</f>
        <v/>
      </c>
      <c r="G103" s="37">
        <f>B103&amp;"."&amp;VLOOKUP(F103,인덱스!$A:$B,2,0)</f>
        <v/>
      </c>
      <c r="H103" s="256">
        <f>IFERROR(VLOOKUP(G103,#REF!,2,0),)</f>
        <v/>
      </c>
      <c r="I103" s="38">
        <f>IF(Q103="","",I102*(Q103/Q102))</f>
        <v/>
      </c>
      <c r="J103" s="38">
        <f>IF(R103="","",J102*(R103/R102))</f>
        <v/>
      </c>
      <c r="K103" s="39">
        <f>IF(S103="","",K102*(S103/S102))</f>
        <v/>
      </c>
      <c r="L103" s="39">
        <f>IF(U103="","",L102*(U103/U102))</f>
        <v/>
      </c>
      <c r="M103" s="39">
        <f>IF(V103="","",M102*(V103/V102))</f>
        <v/>
      </c>
      <c r="N103" s="201" t="n"/>
      <c r="O103" s="201" t="n"/>
      <c r="P103" s="201" t="n"/>
      <c r="Q103" s="8">
        <f>IFERROR(__xludf.DUMMYFUNCTION("iferror(index('지수RAW'!$V$7:$V$12040,MATCH($D103,'지수RAW'!$R$7:$R$12040,0)-1,1),GOOGLEFINANCE(Q$2))"),5052.46)</f>
        <v/>
      </c>
      <c r="R103" s="201">
        <f>IFERROR(__xludf.DUMMYFUNCTION("iferror(index('지수RAW'!$F$7:$F$12040,MATCH($D103,'지수RAW'!$B$7:$B$12040,0)-1,1),GOOGLEFINANCE(R$2))"),6528.52)</f>
        <v/>
      </c>
      <c r="S103" s="9">
        <f>IFERROR(__xludf.DUMMYFUNCTION("iferror(index('지수RAW'!$N$7:$N$12040,MATCH($D103,'지수RAW'!$J$7:$J$12040,0)-1,1),GOOGLEFINANCE(S$2))"),21590.63)</f>
        <v/>
      </c>
      <c r="T103" s="201" t="n"/>
      <c r="U103" s="252">
        <f t="array" ref="U103">IFERROR(INDEX(지수RAW!$AT$7:$AT$12040,MATCH($D103,지수RAW!$AP$7:$AP$12040,0)-1,1),지수RAW!$AU$4)</f>
        <v/>
      </c>
      <c r="V103" s="252">
        <f>IFERROR(__xludf.DUMMYFUNCTION("iferror(index('지수RAW'!$AL$7:$AL$12040,MATCH($D103,'지수RAW'!$AH$7:$AH$12040,0)-1,1),GOOGLEFINANCE(V$2))"),67647.5)</f>
        <v/>
      </c>
      <c r="W103" s="253">
        <f>IFERROR(__xludf.DUMMYFUNCTION("iferror(index('지수RAW'!$AD$7:$AD$12040,MATCH($D103,'지수RAW'!$Z$7:$Z$12040,0)-1,1),GOOGLEFINANCE(W$2))"),1503.33)</f>
        <v/>
      </c>
      <c r="X103" s="36">
        <f>$W103*R103</f>
        <v/>
      </c>
      <c r="Y103" s="36">
        <f>$W103*S103</f>
        <v/>
      </c>
      <c r="Z103" s="36">
        <f>$W103*U103</f>
        <v/>
      </c>
      <c r="AA103" s="36">
        <f>$W103*V103</f>
        <v/>
      </c>
      <c r="AB103" s="255" t="n"/>
      <c r="AC103" s="38">
        <f>IF(Q103="","",AC102*(W103/W102))</f>
        <v/>
      </c>
      <c r="AD103" s="38">
        <f>IF(R103="","",AD102*(X103/X102))</f>
        <v/>
      </c>
      <c r="AE103" s="38">
        <f>IF(S103="","",AE102*(Y103/Y102))</f>
        <v/>
      </c>
      <c r="AF103" s="38">
        <f>IF(U103="","",AF102*(Z103/Z102))</f>
        <v/>
      </c>
      <c r="AG103" s="38">
        <f>IF(V103="","",AG102*(AA103/AA102))</f>
        <v/>
      </c>
    </row>
    <row r="104" ht="12.75" customHeight="1" s="202">
      <c r="A104" s="201" t="n"/>
      <c r="B104" s="22">
        <f>IF(C103=12,B103+1,B103)</f>
        <v/>
      </c>
      <c r="C104" s="22">
        <f>IF(C103=12,1,C103+1)</f>
        <v/>
      </c>
      <c r="D104" s="22">
        <f>IF(F104="12월",(E104+1)&amp;VLOOKUP(F104,인덱스!$C:$D,2,0),E104&amp;VLOOKUP(F104,인덱스!$C:$D,2,0))</f>
        <v/>
      </c>
      <c r="E104" s="201">
        <f>"20"&amp;B104</f>
        <v/>
      </c>
      <c r="F104" s="201">
        <f>C104&amp;"월"</f>
        <v/>
      </c>
      <c r="G104" s="37">
        <f>B104&amp;"."&amp;VLOOKUP(F104,인덱스!$A:$B,2,0)</f>
        <v/>
      </c>
      <c r="H104" s="256">
        <f>IFERROR(VLOOKUP(G104,#REF!,2,0),)</f>
        <v/>
      </c>
      <c r="I104" s="38">
        <f>IF(Q104="","",I103*(Q104/Q103))</f>
        <v/>
      </c>
      <c r="J104" s="38">
        <f>IF(R104="","",J103*(R104/R103))</f>
        <v/>
      </c>
      <c r="K104" s="39">
        <f>IF(S104="","",K103*(S104/S103))</f>
        <v/>
      </c>
      <c r="L104" s="39">
        <f>IF(U104="","",L103*(U104/U103))</f>
        <v/>
      </c>
      <c r="M104" s="39">
        <f>IF(V104="","",M103*(V104/V103))</f>
        <v/>
      </c>
      <c r="N104" s="201" t="n"/>
      <c r="O104" s="201" t="n"/>
      <c r="P104" s="201" t="n"/>
      <c r="Q104" s="8">
        <f>IFERROR(__xludf.DUMMYFUNCTION("iferror(index('지수RAW'!$V$7:$V$12040,MATCH($D104,'지수RAW'!$R$7:$R$12040,0)-1,1),GOOGLEFINANCE(Q$2))"),6598.87)</f>
        <v/>
      </c>
      <c r="R104" s="201">
        <f>IFERROR(__xludf.DUMMYFUNCTION("iferror(index('지수RAW'!$F$7:$F$12040,MATCH($D104,'지수RAW'!$B$7:$B$12040,0)-1,1),GOOGLEFINANCE(R$2))"),7209.01)</f>
        <v/>
      </c>
      <c r="S104" s="9">
        <f>IFERROR(__xludf.DUMMYFUNCTION("iferror(index('지수RAW'!$N$7:$N$12040,MATCH($D104,'지수RAW'!$J$7:$J$12040,0)-1,1),GOOGLEFINANCE(S$2))"),24892.31)</f>
        <v/>
      </c>
      <c r="T104" s="201" t="n"/>
      <c r="U104" s="252">
        <f t="array" ref="U104">IFERROR(INDEX(지수RAW!$AT$7:$AT$12040,MATCH($D104,지수RAW!$AP$7:$AP$12040,0)-1,1),지수RAW!$AU$4)</f>
        <v/>
      </c>
      <c r="V104" s="252">
        <f>IFERROR(__xludf.DUMMYFUNCTION("iferror(index('지수RAW'!$AL$7:$AL$12040,MATCH($D104,'지수RAW'!$AH$7:$AH$12040,0)-1,1),GOOGLEFINANCE(V$2))"),75902.99)</f>
        <v/>
      </c>
      <c r="W104" s="253">
        <f>IFERROR(__xludf.DUMMYFUNCTION("iferror(index('지수RAW'!$AD$7:$AD$12040,MATCH($D104,'지수RAW'!$Z$7:$Z$12040,0)-1,1),GOOGLEFINANCE(W$2))"),1474.01)</f>
        <v/>
      </c>
      <c r="X104" s="36">
        <f>$W104*R104</f>
        <v/>
      </c>
      <c r="Y104" s="36">
        <f>$W104*S104</f>
        <v/>
      </c>
      <c r="Z104" s="36">
        <f>$W104*U104</f>
        <v/>
      </c>
      <c r="AA104" s="36">
        <f>$W104*V104</f>
        <v/>
      </c>
      <c r="AB104" s="255" t="n"/>
      <c r="AC104" s="38">
        <f>IF(Q104="","",AC103*(W104/W103))</f>
        <v/>
      </c>
      <c r="AD104" s="38">
        <f>IF(R104="","",AD103*(X104/X103))</f>
        <v/>
      </c>
      <c r="AE104" s="38">
        <f>IF(S104="","",AE103*(Y104/Y103))</f>
        <v/>
      </c>
      <c r="AF104" s="38">
        <f>IF(U104="","",AF103*(Z104/Z103))</f>
        <v/>
      </c>
      <c r="AG104" s="38">
        <f>IF(V104="","",AG103*(AA104/AA103))</f>
        <v/>
      </c>
    </row>
    <row r="105" ht="12.75" customHeight="1" s="202">
      <c r="A105" s="201" t="n"/>
      <c r="B105" s="22">
        <f>IF(C104=12,B104+1,B104)</f>
        <v/>
      </c>
      <c r="C105" s="22">
        <f>IF(C104=12,1,C104+1)</f>
        <v/>
      </c>
      <c r="D105" s="22">
        <f>IF(F105="12월",(E105+1)&amp;VLOOKUP(F105,인덱스!$C:$D,2,0),E105&amp;VLOOKUP(F105,인덱스!$C:$D,2,0))</f>
        <v/>
      </c>
      <c r="E105" s="201">
        <f>"20"&amp;B105</f>
        <v/>
      </c>
      <c r="F105" s="201">
        <f>C105&amp;"월"</f>
        <v/>
      </c>
      <c r="G105" s="37">
        <f>B105&amp;"."&amp;VLOOKUP(F105,인덱스!$A:$B,2,0)</f>
        <v/>
      </c>
      <c r="H105" s="256">
        <f>IFERROR(VLOOKUP(G105,#REF!,2,0),)</f>
        <v/>
      </c>
      <c r="I105" s="38">
        <f>IF(Q105="","",I104*(Q105/Q104))</f>
        <v/>
      </c>
      <c r="J105" s="38">
        <f>IF(R105="","",J104*(R105/R104))</f>
        <v/>
      </c>
      <c r="K105" s="39">
        <f>IF(S105="","",K104*(S105/S104))</f>
        <v/>
      </c>
      <c r="L105" s="39">
        <f>IF(U105="","",L104*(U105/U104))</f>
        <v/>
      </c>
      <c r="M105" s="39">
        <f>IF(V105="","",M104*(V105/V104))</f>
        <v/>
      </c>
      <c r="N105" s="201" t="n"/>
      <c r="O105" s="201" t="n"/>
      <c r="P105" s="201" t="n"/>
      <c r="Q105" s="8">
        <f>IFERROR(__xludf.DUMMYFUNCTION("iferror(index('지수RAW'!$V$7:$V$12040,MATCH($D105,'지수RAW'!$R$7:$R$12040,0)-1,1),GOOGLEFINANCE(Q$2))"),8476.15)</f>
        <v/>
      </c>
      <c r="R105" s="201">
        <f>IFERROR(__xludf.DUMMYFUNCTION("iferror(index('지수RAW'!$F$7:$F$12040,MATCH($D105,'지수RAW'!$B$7:$B$12040,0)-1,1),GOOGLEFINANCE(R$2))"),7580.06)</f>
        <v/>
      </c>
      <c r="S105" s="9">
        <f>IFERROR(__xludf.DUMMYFUNCTION("iferror(index('지수RAW'!$N$7:$N$12040,MATCH($D105,'지수RAW'!$J$7:$J$12040,0)-1,1),GOOGLEFINANCE(S$2))"),26972.62)</f>
        <v/>
      </c>
      <c r="T105" s="201" t="n"/>
      <c r="U105" s="252">
        <f t="array" ref="U105">IFERROR(INDEX(지수RAW!$AT$7:$AT$12040,MATCH($D105,지수RAW!$AP$7:$AP$12040,0)-1,1),지수RAW!$AU$4)</f>
        <v/>
      </c>
      <c r="V105" s="252">
        <f>IFERROR(__xludf.DUMMYFUNCTION("iferror(index('지수RAW'!$AL$7:$AL$12040,MATCH($D105,'지수RAW'!$AH$7:$AH$12040,0)-1,1),GOOGLEFINANCE(V$2))"),74032.05)</f>
        <v/>
      </c>
      <c r="W105" s="253">
        <f>IFERROR(__xludf.DUMMYFUNCTION("iferror(index('지수RAW'!$AD$7:$AD$12040,MATCH($D105,'지수RAW'!$Z$7:$Z$12040,0)-1,1),GOOGLEFINANCE(W$2))"),1506.84)</f>
        <v/>
      </c>
      <c r="X105" s="36">
        <f>$W105*R105</f>
        <v/>
      </c>
      <c r="Y105" s="36">
        <f>$W105*S105</f>
        <v/>
      </c>
      <c r="Z105" s="36">
        <f>$W105*U105</f>
        <v/>
      </c>
      <c r="AA105" s="36">
        <f>$W105*V105</f>
        <v/>
      </c>
      <c r="AB105" s="255" t="n"/>
      <c r="AC105" s="38">
        <f>IF(Q105="","",AC104*(W105/W104))</f>
        <v/>
      </c>
      <c r="AD105" s="38">
        <f>IF(R105="","",AD104*(X105/X104))</f>
        <v/>
      </c>
      <c r="AE105" s="38">
        <f>IF(S105="","",AE104*(Y105/Y104))</f>
        <v/>
      </c>
      <c r="AF105" s="38">
        <f>IF(U105="","",AF104*(Z105/Z104))</f>
        <v/>
      </c>
      <c r="AG105" s="38">
        <f>IF(V105="","",AG104*(AA105/AA104))</f>
        <v/>
      </c>
    </row>
    <row r="106" ht="12.75" customHeight="1" s="202">
      <c r="A106" s="201" t="n"/>
      <c r="B106" s="22">
        <f>IF(C105=12,B105+1,B105)</f>
        <v/>
      </c>
      <c r="C106" s="22">
        <f>IF(C105=12,1,C105+1)</f>
        <v/>
      </c>
      <c r="D106" s="22">
        <f>IF(F106="12월",(E106+1)&amp;VLOOKUP(F106,인덱스!$C:$D,2,0),E106&amp;VLOOKUP(F106,인덱스!$C:$D,2,0))</f>
        <v/>
      </c>
      <c r="E106" s="201">
        <f>"20"&amp;B106</f>
        <v/>
      </c>
      <c r="F106" s="201">
        <f>C106&amp;"월"</f>
        <v/>
      </c>
      <c r="G106" s="37">
        <f>B106&amp;"."&amp;VLOOKUP(F106,인덱스!$A:$B,2,0)</f>
        <v/>
      </c>
      <c r="H106" s="256">
        <f>IFERROR(VLOOKUP(G106,#REF!,2,0),)</f>
        <v/>
      </c>
      <c r="I106" s="38">
        <f>IF(Q106="","",I105*(Q106/Q105))</f>
        <v/>
      </c>
      <c r="J106" s="38">
        <f>IF(R106="","",J105*(R106/R105))</f>
        <v/>
      </c>
      <c r="K106" s="39">
        <f>IF(S106="","",K105*(S106/S105))</f>
        <v/>
      </c>
      <c r="L106" s="39">
        <f>IF(U106="","",L105*(U106/U105))</f>
        <v/>
      </c>
      <c r="M106" s="39">
        <f>IF(V106="","",M105*(V106/V105))</f>
        <v/>
      </c>
      <c r="N106" s="201" t="n"/>
      <c r="O106" s="201" t="n"/>
      <c r="P106" s="201" t="n"/>
      <c r="Q106" s="8">
        <f>IFERROR(__xludf.DUMMYFUNCTION("iferror(index('지수RAW'!$V$7:$V$12040,MATCH($D106,'지수RAW'!$R$7:$R$12040,0)-1,1),GOOGLEFINANCE(Q$2))"),8476.48)</f>
        <v/>
      </c>
      <c r="R106" s="201">
        <f>IFERROR(__xludf.DUMMYFUNCTION("iferror(index('지수RAW'!$F$7:$F$12040,MATCH($D106,'지수RAW'!$B$7:$B$12040,0)-1,1),GOOGLEFINANCE(R$2))"),7499.36)</f>
        <v/>
      </c>
      <c r="S106" s="9">
        <f>IFERROR(__xludf.DUMMYFUNCTION("iferror(index('지수RAW'!$N$7:$N$12040,MATCH($D106,'지수RAW'!$J$7:$J$12040,0)-1,1),GOOGLEFINANCE(S$2))"),26213.72)</f>
        <v/>
      </c>
      <c r="T106" s="201" t="n"/>
      <c r="U106" s="252">
        <f t="array" ref="U106">IFERROR(INDEX(지수RAW!$AT$7:$AT$12040,MATCH($D106,지수RAW!$AP$7:$AP$12040,0)-1,1),지수RAW!$AU$4)</f>
        <v/>
      </c>
      <c r="V106" s="252">
        <f>IFERROR(__xludf.DUMMYFUNCTION("iferror(index('지수RAW'!$AL$7:$AL$12040,MATCH($D106,'지수RAW'!$AH$7:$AH$12040,0)-1,1),GOOGLEFINANCE(V$2))"),59513.99)</f>
        <v/>
      </c>
      <c r="W106" s="253">
        <f>IFERROR(__xludf.DUMMYFUNCTION("iferror(index('지수RAW'!$AD$7:$AD$12040,MATCH($D106,'지수RAW'!$Z$7:$Z$12040,0)-1,1),GOOGLEFINANCE(W$2))"),1548.61)</f>
        <v/>
      </c>
      <c r="X106" s="36">
        <f>$W106*R106</f>
        <v/>
      </c>
      <c r="Y106" s="36">
        <f>$W106*S106</f>
        <v/>
      </c>
      <c r="Z106" s="36">
        <f>$W106*U106</f>
        <v/>
      </c>
      <c r="AA106" s="36">
        <f>$W106*V106</f>
        <v/>
      </c>
      <c r="AB106" s="255" t="n"/>
      <c r="AC106" s="38">
        <f>IF(Q106="","",AC105*(W106/W105))</f>
        <v/>
      </c>
      <c r="AD106" s="38">
        <f>IF(R106="","",AD105*(X106/X105))</f>
        <v/>
      </c>
      <c r="AE106" s="38">
        <f>IF(S106="","",AE105*(Y106/Y105))</f>
        <v/>
      </c>
      <c r="AF106" s="38">
        <f>IF(U106="","",AF105*(Z106/Z105))</f>
        <v/>
      </c>
      <c r="AG106" s="38">
        <f>IF(V106="","",AG105*(AA106/AA105))</f>
        <v/>
      </c>
    </row>
    <row r="107" ht="12.75" customHeight="1" s="202">
      <c r="A107" s="201" t="n"/>
      <c r="B107" s="22">
        <f>IF(C106=12,B106+1,B106)</f>
        <v/>
      </c>
      <c r="C107" s="22">
        <f>IF(C106=12,1,C106+1)</f>
        <v/>
      </c>
      <c r="D107" s="22">
        <f>IF(F107="12월",(E107+1)&amp;VLOOKUP(F107,인덱스!$C:$D,2,0),E107&amp;VLOOKUP(F107,인덱스!$C:$D,2,0))</f>
        <v/>
      </c>
      <c r="E107" s="201">
        <f>"20"&amp;B107</f>
        <v/>
      </c>
      <c r="F107" s="201">
        <f>C107&amp;"월"</f>
        <v/>
      </c>
      <c r="G107" s="37">
        <f>B107&amp;"."&amp;VLOOKUP(F107,인덱스!$A:$B,2,0)</f>
        <v/>
      </c>
      <c r="H107" s="256">
        <f>IFERROR(VLOOKUP(G107,#REF!,2,0),)</f>
        <v/>
      </c>
      <c r="I107" s="38">
        <f>IF(Q107="","",I106*(Q107/Q106))</f>
        <v/>
      </c>
      <c r="J107" s="38">
        <f>IF(R107="","",J106*(R107/R106))</f>
        <v/>
      </c>
      <c r="K107" s="39">
        <f>IF(S107="","",K106*(S107/S106))</f>
        <v/>
      </c>
      <c r="L107" s="39">
        <f>IF(U107="","",L106*(U107/U106))</f>
        <v/>
      </c>
      <c r="M107" s="39">
        <f>IF(V107="","",M106*(V107/V106))</f>
        <v/>
      </c>
      <c r="N107" s="201" t="n"/>
      <c r="O107" s="201" t="n"/>
      <c r="P107" s="201" t="n"/>
      <c r="Q107" s="8">
        <f>IFERROR(__xludf.DUMMYFUNCTION("iferror(index('지수RAW'!$V$7:$V$12040,MATCH($D107,'지수RAW'!$R$7:$R$12040,0)-1,1),GOOGLEFINANCE(Q$2))"),6820.6)</f>
        <v/>
      </c>
      <c r="R107" s="201">
        <f>IFERROR(__xludf.DUMMYFUNCTION("iferror(index('지수RAW'!$F$7:$F$12040,MATCH($D107,'지수RAW'!$B$7:$B$12040,0)-1,1),GOOGLEFINANCE(R$2))"),7457.69)</f>
        <v/>
      </c>
      <c r="S107" s="9">
        <f>IFERROR(__xludf.DUMMYFUNCTION("iferror(index('지수RAW'!$N$7:$N$12040,MATCH($D107,'지수RAW'!$J$7:$J$12040,0)-1,1),GOOGLEFINANCE(S$2))"),25520.24)</f>
        <v/>
      </c>
      <c r="T107" s="201" t="n"/>
      <c r="U107" s="252">
        <f t="array" ref="U107">IFERROR(INDEX(지수RAW!$AT$7:$AT$12040,MATCH($D107,지수RAW!$AP$7:$AP$12040,0)-1,1),지수RAW!$AU$4)</f>
        <v/>
      </c>
      <c r="V107" s="252">
        <f>IFERROR(__xludf.DUMMYFUNCTION("iferror(index('지수RAW'!$AL$7:$AL$12040,MATCH($D107,'지수RAW'!$AH$7:$AH$12040,0)-1,1),GOOGLEFINANCE(V$2))"),64324)</f>
        <v/>
      </c>
      <c r="W107" s="253">
        <f>IFERROR(__xludf.DUMMYFUNCTION("iferror(index('지수RAW'!$AD$7:$AD$12040,MATCH($D107,'지수RAW'!$Z$7:$Z$12040,0)-1,1),GOOGLEFINANCE(W$2))"),1487.77)</f>
        <v/>
      </c>
      <c r="X107" s="36">
        <f>$W107*R107</f>
        <v/>
      </c>
      <c r="Y107" s="36">
        <f>$W107*S107</f>
        <v/>
      </c>
      <c r="Z107" s="36">
        <f>$W107*U107</f>
        <v/>
      </c>
      <c r="AA107" s="36">
        <f>$W107*V107</f>
        <v/>
      </c>
      <c r="AB107" s="255" t="n"/>
      <c r="AC107" s="38">
        <f>IF(Q107="","",AC106*(W107/W106))</f>
        <v/>
      </c>
      <c r="AD107" s="38">
        <f>IF(R107="","",AD106*(X107/X106))</f>
        <v/>
      </c>
      <c r="AE107" s="38">
        <f>IF(S107="","",AE106*(Y107/Y106))</f>
        <v/>
      </c>
      <c r="AF107" s="38">
        <f>IF(U107="","",AF106*(Z107/Z106))</f>
        <v/>
      </c>
      <c r="AG107" s="38">
        <f>IF(V107="","",AG106*(AA107/AA106))</f>
        <v/>
      </c>
    </row>
    <row r="108" ht="12.75" customHeight="1" s="202">
      <c r="A108" s="201" t="n"/>
      <c r="B108" s="22">
        <f>IF(C107=12,B107+1,B107)</f>
        <v/>
      </c>
      <c r="C108" s="22">
        <f>IF(C107=12,1,C107+1)</f>
        <v/>
      </c>
      <c r="D108" s="22">
        <f>IF(F108="12월",(E108+1)&amp;VLOOKUP(F108,인덱스!$C:$D,2,0),E108&amp;VLOOKUP(F108,인덱스!$C:$D,2,0))</f>
        <v/>
      </c>
      <c r="E108" s="201">
        <f>"20"&amp;B108</f>
        <v/>
      </c>
      <c r="F108" s="201">
        <f>C108&amp;"월"</f>
        <v/>
      </c>
      <c r="G108" s="37">
        <f>B108&amp;"."&amp;VLOOKUP(F108,인덱스!$A:$B,2,0)</f>
        <v/>
      </c>
      <c r="H108" s="256">
        <f>IFERROR(VLOOKUP(G108,#REF!,2,0),)</f>
        <v/>
      </c>
      <c r="I108" s="38">
        <f>IF(Q108="","",I107*(Q108/Q107))</f>
        <v/>
      </c>
      <c r="J108" s="38">
        <f>IF(R108="","",J107*(R108/R107))</f>
        <v/>
      </c>
      <c r="K108" s="39">
        <f>IF(S108="","",K107*(S108/S107))</f>
        <v/>
      </c>
      <c r="L108" s="39">
        <f>IF(U108="","",L107*(U108/U107))</f>
        <v/>
      </c>
      <c r="M108" s="39">
        <f>IF(V108="","",M107*(V108/V107))</f>
        <v/>
      </c>
      <c r="N108" s="201" t="n"/>
      <c r="O108" s="201" t="n"/>
      <c r="P108" s="201" t="n"/>
      <c r="Q108" s="8">
        <f>IFERROR(__xludf.DUMMYFUNCTION("iferror(index('지수RAW'!$V$7:$V$12040,MATCH($D108,'지수RAW'!$R$7:$R$12040,0)-1,1),GOOGLEFINANCE(Q$2))"),6820.6)</f>
        <v/>
      </c>
      <c r="R108" s="201">
        <f>IFERROR(__xludf.DUMMYFUNCTION("iferror(index('지수RAW'!$F$7:$F$12040,MATCH($D108,'지수RAW'!$B$7:$B$12040,0)-1,1),GOOGLEFINANCE(R$2))"),7457.69)</f>
        <v/>
      </c>
      <c r="S108" s="9">
        <f>IFERROR(__xludf.DUMMYFUNCTION("iferror(index('지수RAW'!$N$7:$N$12040,MATCH($D108,'지수RAW'!$J$7:$J$12040,0)-1,1),GOOGLEFINANCE(S$2))"),25520.24)</f>
        <v/>
      </c>
      <c r="T108" s="201" t="n"/>
      <c r="U108" s="252">
        <f t="array" ref="U108">IFERROR(INDEX(지수RAW!$AT$7:$AT$12040,MATCH($D108,지수RAW!$AP$7:$AP$12040,0)-1,1),지수RAW!$AU$4)</f>
        <v/>
      </c>
      <c r="V108" s="252">
        <f>IFERROR(__xludf.DUMMYFUNCTION("iferror(index('지수RAW'!$AL$7:$AL$12040,MATCH($D108,'지수RAW'!$AH$7:$AH$12040,0)-1,1),GOOGLEFINANCE(V$2))"),64324)</f>
        <v/>
      </c>
      <c r="W108" s="253">
        <f>IFERROR(__xludf.DUMMYFUNCTION("iferror(index('지수RAW'!$AD$7:$AD$12040,MATCH($D108,'지수RAW'!$Z$7:$Z$12040,0)-1,1),GOOGLEFINANCE(W$2))"),1487.77)</f>
        <v/>
      </c>
      <c r="X108" s="36">
        <f>$W108*R108</f>
        <v/>
      </c>
      <c r="Y108" s="36">
        <f>$W108*S108</f>
        <v/>
      </c>
      <c r="Z108" s="36">
        <f>$W108*U108</f>
        <v/>
      </c>
      <c r="AA108" s="36">
        <f>$W108*V108</f>
        <v/>
      </c>
      <c r="AB108" s="255" t="n"/>
      <c r="AC108" s="38">
        <f>IF(Q108="","",AC107*(W108/W107))</f>
        <v/>
      </c>
      <c r="AD108" s="38">
        <f>IF(R108="","",AD107*(X108/X107))</f>
        <v/>
      </c>
      <c r="AE108" s="38">
        <f>IF(S108="","",AE107*(Y108/Y107))</f>
        <v/>
      </c>
      <c r="AF108" s="38">
        <f>IF(U108="","",AF107*(Z108/Z107))</f>
        <v/>
      </c>
      <c r="AG108" s="38">
        <f>IF(V108="","",AG107*(AA108/AA107))</f>
        <v/>
      </c>
    </row>
    <row r="109" ht="12.75" customHeight="1" s="202">
      <c r="A109" s="201" t="n"/>
      <c r="B109" s="22">
        <f>IF(C108=12,B108+1,B108)</f>
        <v/>
      </c>
      <c r="C109" s="22">
        <f>IF(C108=12,1,C108+1)</f>
        <v/>
      </c>
      <c r="D109" s="22">
        <f>IF(F109="12월",(E109+1)&amp;VLOOKUP(F109,인덱스!$C:$D,2,0),E109&amp;VLOOKUP(F109,인덱스!$C:$D,2,0))</f>
        <v/>
      </c>
      <c r="E109" s="201">
        <f>"20"&amp;B109</f>
        <v/>
      </c>
      <c r="F109" s="201">
        <f>C109&amp;"월"</f>
        <v/>
      </c>
      <c r="G109" s="37">
        <f>B109&amp;"."&amp;VLOOKUP(F109,인덱스!$A:$B,2,0)</f>
        <v/>
      </c>
      <c r="H109" s="256">
        <f>IFERROR(VLOOKUP(G109,#REF!,2,0),)</f>
        <v/>
      </c>
      <c r="I109" s="38">
        <f>IF(Q109="","",I108*(Q109/Q108))</f>
        <v/>
      </c>
      <c r="J109" s="38">
        <f>IF(R109="","",J108*(R109/R108))</f>
        <v/>
      </c>
      <c r="K109" s="39">
        <f>IF(S109="","",K108*(S109/S108))</f>
        <v/>
      </c>
      <c r="L109" s="39">
        <f>IF(U109="","",L108*(U109/U108))</f>
        <v/>
      </c>
      <c r="M109" s="39">
        <f>IF(V109="","",M108*(V109/V108))</f>
        <v/>
      </c>
      <c r="N109" s="201" t="n"/>
      <c r="O109" s="201" t="n"/>
      <c r="P109" s="201" t="n"/>
      <c r="Q109" s="8">
        <f>IFERROR(__xludf.DUMMYFUNCTION("iferror(index('지수RAW'!$V$7:$V$12040,MATCH($D109,'지수RAW'!$R$7:$R$12040,0)-1,1),GOOGLEFINANCE(Q$2))"),6820.6)</f>
        <v/>
      </c>
      <c r="R109" s="201">
        <f>IFERROR(__xludf.DUMMYFUNCTION("iferror(index('지수RAW'!$F$7:$F$12040,MATCH($D109,'지수RAW'!$B$7:$B$12040,0)-1,1),GOOGLEFINANCE(R$2))"),7457.69)</f>
        <v/>
      </c>
      <c r="S109" s="9">
        <f>IFERROR(__xludf.DUMMYFUNCTION("iferror(index('지수RAW'!$N$7:$N$12040,MATCH($D109,'지수RAW'!$J$7:$J$12040,0)-1,1),GOOGLEFINANCE(S$2))"),25520.24)</f>
        <v/>
      </c>
      <c r="T109" s="201" t="n"/>
      <c r="U109" s="252">
        <f t="array" ref="U109">IFERROR(INDEX(지수RAW!$AT$7:$AT$12040,MATCH($D109,지수RAW!$AP$7:$AP$12040,0)-1,1),지수RAW!$AU$4)</f>
        <v/>
      </c>
      <c r="V109" s="252">
        <f>IFERROR(__xludf.DUMMYFUNCTION("iferror(index('지수RAW'!$AL$7:$AL$12040,MATCH($D109,'지수RAW'!$AH$7:$AH$12040,0)-1,1),GOOGLEFINANCE(V$2))"),64324)</f>
        <v/>
      </c>
      <c r="W109" s="253">
        <f>IFERROR(__xludf.DUMMYFUNCTION("iferror(index('지수RAW'!$AD$7:$AD$12040,MATCH($D109,'지수RAW'!$Z$7:$Z$12040,0)-1,1),GOOGLEFINANCE(W$2))"),1487.77)</f>
        <v/>
      </c>
      <c r="X109" s="36">
        <f>$W109*R109</f>
        <v/>
      </c>
      <c r="Y109" s="36">
        <f>$W109*S109</f>
        <v/>
      </c>
      <c r="Z109" s="36">
        <f>$W109*U109</f>
        <v/>
      </c>
      <c r="AA109" s="36">
        <f>$W109*V109</f>
        <v/>
      </c>
      <c r="AB109" s="255" t="n"/>
      <c r="AC109" s="38">
        <f>IF(Q109="","",AC108*(W109/W108))</f>
        <v/>
      </c>
      <c r="AD109" s="38">
        <f>IF(R109="","",AD108*(X109/X108))</f>
        <v/>
      </c>
      <c r="AE109" s="38">
        <f>IF(S109="","",AE108*(Y109/Y108))</f>
        <v/>
      </c>
      <c r="AF109" s="38">
        <f>IF(U109="","",AF108*(Z109/Z108))</f>
        <v/>
      </c>
      <c r="AG109" s="38">
        <f>IF(V109="","",AG108*(AA109/AA108))</f>
        <v/>
      </c>
    </row>
    <row r="110" ht="12.75" customHeight="1" s="202">
      <c r="A110" s="201" t="n"/>
      <c r="B110" s="22">
        <f>IF(C109=12,B109+1,B109)</f>
        <v/>
      </c>
      <c r="C110" s="22">
        <f>IF(C109=12,1,C109+1)</f>
        <v/>
      </c>
      <c r="D110" s="22">
        <f>IF(F110="12월",(E110+1)&amp;VLOOKUP(F110,인덱스!$C:$D,2,0),E110&amp;VLOOKUP(F110,인덱스!$C:$D,2,0))</f>
        <v/>
      </c>
      <c r="E110" s="201">
        <f>"20"&amp;B110</f>
        <v/>
      </c>
      <c r="F110" s="201">
        <f>C110&amp;"월"</f>
        <v/>
      </c>
      <c r="G110" s="37">
        <f>B110&amp;"."&amp;VLOOKUP(F110,인덱스!$A:$B,2,0)</f>
        <v/>
      </c>
      <c r="H110" s="256">
        <f>IFERROR(VLOOKUP(G110,#REF!,2,0),)</f>
        <v/>
      </c>
      <c r="I110" s="38">
        <f>IF(Q110="","",I109*(Q110/Q109))</f>
        <v/>
      </c>
      <c r="J110" s="38">
        <f>IF(R110="","",J109*(R110/R109))</f>
        <v/>
      </c>
      <c r="K110" s="39">
        <f>IF(S110="","",K109*(S110/S109))</f>
        <v/>
      </c>
      <c r="L110" s="39">
        <f>IF(U110="","",L109*(U110/U109))</f>
        <v/>
      </c>
      <c r="M110" s="39">
        <f>IF(V110="","",M109*(V110/V109))</f>
        <v/>
      </c>
      <c r="N110" s="201" t="n"/>
      <c r="O110" s="201" t="n"/>
      <c r="P110" s="201" t="n"/>
      <c r="Q110" s="8">
        <f>IFERROR(__xludf.DUMMYFUNCTION("iferror(index('지수RAW'!$V$7:$V$12040,MATCH($D110,'지수RAW'!$R$7:$R$12040,0)-1,1),GOOGLEFINANCE(Q$2))"),6820.6)</f>
        <v/>
      </c>
      <c r="R110" s="201">
        <f>IFERROR(__xludf.DUMMYFUNCTION("iferror(index('지수RAW'!$F$7:$F$12040,MATCH($D110,'지수RAW'!$B$7:$B$12040,0)-1,1),GOOGLEFINANCE(R$2))"),7457.69)</f>
        <v/>
      </c>
      <c r="S110" s="9">
        <f>IFERROR(__xludf.DUMMYFUNCTION("iferror(index('지수RAW'!$N$7:$N$12040,MATCH($D110,'지수RAW'!$J$7:$J$12040,0)-1,1),GOOGLEFINANCE(S$2))"),25520.24)</f>
        <v/>
      </c>
      <c r="T110" s="201" t="n"/>
      <c r="U110" s="252">
        <f t="array" ref="U110">IFERROR(INDEX(지수RAW!$AT$7:$AT$12040,MATCH($D110,지수RAW!$AP$7:$AP$12040,0)-1,1),지수RAW!$AU$4)</f>
        <v/>
      </c>
      <c r="V110" s="252">
        <f>IFERROR(__xludf.DUMMYFUNCTION("iferror(index('지수RAW'!$AL$7:$AL$12040,MATCH($D110,'지수RAW'!$AH$7:$AH$12040,0)-1,1),GOOGLEFINANCE(V$2))"),64324)</f>
        <v/>
      </c>
      <c r="W110" s="253">
        <f>IFERROR(__xludf.DUMMYFUNCTION("iferror(index('지수RAW'!$AD$7:$AD$12040,MATCH($D110,'지수RAW'!$Z$7:$Z$12040,0)-1,1),GOOGLEFINANCE(W$2))"),1487.77)</f>
        <v/>
      </c>
      <c r="X110" s="36">
        <f>$W110*R110</f>
        <v/>
      </c>
      <c r="Y110" s="36">
        <f>$W110*S110</f>
        <v/>
      </c>
      <c r="Z110" s="36">
        <f>$W110*U110</f>
        <v/>
      </c>
      <c r="AA110" s="36">
        <f>$W110*V110</f>
        <v/>
      </c>
      <c r="AB110" s="255" t="n"/>
      <c r="AC110" s="38">
        <f>IF(Q110="","",AC109*(W110/W109))</f>
        <v/>
      </c>
      <c r="AD110" s="38">
        <f>IF(R110="","",AD109*(X110/X109))</f>
        <v/>
      </c>
      <c r="AE110" s="38">
        <f>IF(S110="","",AE109*(Y110/Y109))</f>
        <v/>
      </c>
      <c r="AF110" s="38">
        <f>IF(U110="","",AF109*(Z110/Z109))</f>
        <v/>
      </c>
      <c r="AG110" s="38">
        <f>IF(V110="","",AG109*(AA110/AA109))</f>
        <v/>
      </c>
    </row>
    <row r="111" ht="12.75" customHeight="1" s="202">
      <c r="A111" s="201" t="n"/>
      <c r="B111" s="22">
        <f>IF(C110=12,B110+1,B110)</f>
        <v/>
      </c>
      <c r="C111" s="22">
        <f>IF(C110=12,1,C110+1)</f>
        <v/>
      </c>
      <c r="D111" s="22">
        <f>IF(F111="12월",(E111+1)&amp;VLOOKUP(F111,인덱스!$C:$D,2,0),E111&amp;VLOOKUP(F111,인덱스!$C:$D,2,0))</f>
        <v/>
      </c>
      <c r="E111" s="201">
        <f>"20"&amp;B111</f>
        <v/>
      </c>
      <c r="F111" s="201">
        <f>C111&amp;"월"</f>
        <v/>
      </c>
      <c r="G111" s="37">
        <f>B111&amp;"."&amp;VLOOKUP(F111,인덱스!$A:$B,2,0)</f>
        <v/>
      </c>
      <c r="H111" s="256">
        <f>IFERROR(VLOOKUP(G111,#REF!,2,0),)</f>
        <v/>
      </c>
      <c r="I111" s="38">
        <f>IF(Q111="","",I110*(Q111/Q110))</f>
        <v/>
      </c>
      <c r="J111" s="38">
        <f>IF(R111="","",J110*(R111/R110))</f>
        <v/>
      </c>
      <c r="K111" s="39">
        <f>IF(S111="","",K110*(S111/S110))</f>
        <v/>
      </c>
      <c r="L111" s="39">
        <f>IF(U111="","",L110*(U111/U110))</f>
        <v/>
      </c>
      <c r="M111" s="39">
        <f>IF(V111="","",M110*(V111/V110))</f>
        <v/>
      </c>
      <c r="N111" s="201" t="n"/>
      <c r="O111" s="201" t="n"/>
      <c r="P111" s="201" t="n"/>
      <c r="Q111" s="8">
        <f>IFERROR(__xludf.DUMMYFUNCTION("iferror(index('지수RAW'!$V$7:$V$12040,MATCH($D111,'지수RAW'!$R$7:$R$12040,0)-1,1),GOOGLEFINANCE(Q$2))"),6820.6)</f>
        <v/>
      </c>
      <c r="R111" s="201">
        <f>IFERROR(__xludf.DUMMYFUNCTION("iferror(index('지수RAW'!$F$7:$F$12040,MATCH($D111,'지수RAW'!$B$7:$B$12040,0)-1,1),GOOGLEFINANCE(R$2))"),7457.69)</f>
        <v/>
      </c>
      <c r="S111" s="9">
        <f>IFERROR(__xludf.DUMMYFUNCTION("iferror(index('지수RAW'!$N$7:$N$12040,MATCH($D111,'지수RAW'!$J$7:$J$12040,0)-1,1),GOOGLEFINANCE(S$2))"),25520.24)</f>
        <v/>
      </c>
      <c r="T111" s="201" t="n"/>
      <c r="U111" s="252">
        <f t="array" ref="U111">IFERROR(INDEX(지수RAW!$AT$7:$AT$12040,MATCH($D111,지수RAW!$AP$7:$AP$12040,0)-1,1),지수RAW!$AU$4)</f>
        <v/>
      </c>
      <c r="V111" s="252">
        <f>IFERROR(__xludf.DUMMYFUNCTION("iferror(index('지수RAW'!$AL$7:$AL$12040,MATCH($D111,'지수RAW'!$AH$7:$AH$12040,0)-1,1),GOOGLEFINANCE(V$2))"),64324)</f>
        <v/>
      </c>
      <c r="W111" s="253">
        <f>IFERROR(__xludf.DUMMYFUNCTION("iferror(index('지수RAW'!$AD$7:$AD$12040,MATCH($D111,'지수RAW'!$Z$7:$Z$12040,0)-1,1),GOOGLEFINANCE(W$2))"),1487.77)</f>
        <v/>
      </c>
      <c r="X111" s="36">
        <f>$W111*R111</f>
        <v/>
      </c>
      <c r="Y111" s="36">
        <f>$W111*S111</f>
        <v/>
      </c>
      <c r="Z111" s="36">
        <f>$W111*U111</f>
        <v/>
      </c>
      <c r="AA111" s="36">
        <f>$W111*V111</f>
        <v/>
      </c>
      <c r="AB111" s="255" t="n"/>
      <c r="AC111" s="38">
        <f>IF(Q111="","",AC110*(W111/W110))</f>
        <v/>
      </c>
      <c r="AD111" s="38">
        <f>IF(R111="","",AD110*(X111/X110))</f>
        <v/>
      </c>
      <c r="AE111" s="38">
        <f>IF(S111="","",AE110*(Y111/Y110))</f>
        <v/>
      </c>
      <c r="AF111" s="38">
        <f>IF(U111="","",AF110*(Z111/Z110))</f>
        <v/>
      </c>
      <c r="AG111" s="38">
        <f>IF(V111="","",AG110*(AA111/AA110))</f>
        <v/>
      </c>
    </row>
    <row r="112" ht="12.75" customHeight="1" s="202">
      <c r="A112" s="201" t="n"/>
      <c r="B112" s="22">
        <f>IF(C111=12,B111+1,B111)</f>
        <v/>
      </c>
      <c r="C112" s="22">
        <f>IF(C111=12,1,C111+1)</f>
        <v/>
      </c>
      <c r="D112" s="22">
        <f>IF(F112="12월",(E112+1)&amp;VLOOKUP(F112,인덱스!$C:$D,2,0),E112&amp;VLOOKUP(F112,인덱스!$C:$D,2,0))</f>
        <v/>
      </c>
      <c r="E112" s="201">
        <f>"20"&amp;B112</f>
        <v/>
      </c>
      <c r="F112" s="201">
        <f>C112&amp;"월"</f>
        <v/>
      </c>
      <c r="G112" s="37">
        <f>B112&amp;"."&amp;VLOOKUP(F112,인덱스!$A:$B,2,0)</f>
        <v/>
      </c>
      <c r="H112" s="256">
        <f>IFERROR(VLOOKUP(G112,#REF!,2,0),)</f>
        <v/>
      </c>
      <c r="I112" s="38">
        <f>IF(Q112="","",I111*(Q112/Q111))</f>
        <v/>
      </c>
      <c r="J112" s="38">
        <f>IF(R112="","",J111*(R112/R111))</f>
        <v/>
      </c>
      <c r="K112" s="39">
        <f>IF(S112="","",K111*(S112/S111))</f>
        <v/>
      </c>
      <c r="L112" s="39">
        <f>IF(U112="","",L111*(U112/U111))</f>
        <v/>
      </c>
      <c r="M112" s="39">
        <f>IF(V112="","",M111*(V112/V111))</f>
        <v/>
      </c>
      <c r="N112" s="201" t="n"/>
      <c r="O112" s="201" t="n"/>
      <c r="P112" s="201" t="n"/>
      <c r="Q112" s="8">
        <f>IFERROR(__xludf.DUMMYFUNCTION("iferror(index('지수RAW'!$V$7:$V$12040,MATCH($D112,'지수RAW'!$R$7:$R$12040,0)-1,1),GOOGLEFINANCE(Q$2))"),6820.6)</f>
        <v/>
      </c>
      <c r="R112" s="201">
        <f>IFERROR(__xludf.DUMMYFUNCTION("iferror(index('지수RAW'!$F$7:$F$12040,MATCH($D112,'지수RAW'!$B$7:$B$12040,0)-1,1),GOOGLEFINANCE(R$2))"),7457.69)</f>
        <v/>
      </c>
      <c r="S112" s="9">
        <f>IFERROR(__xludf.DUMMYFUNCTION("iferror(index('지수RAW'!$N$7:$N$12040,MATCH($D112,'지수RAW'!$J$7:$J$12040,0)-1,1),GOOGLEFINANCE(S$2))"),25520.24)</f>
        <v/>
      </c>
      <c r="T112" s="201" t="n"/>
      <c r="U112" s="252">
        <f t="array" ref="U112">IFERROR(INDEX(지수RAW!$AT$7:$AT$12040,MATCH($D112,지수RAW!$AP$7:$AP$12040,0)-1,1),지수RAW!$AU$4)</f>
        <v/>
      </c>
      <c r="V112" s="252">
        <f>IFERROR(__xludf.DUMMYFUNCTION("iferror(index('지수RAW'!$AL$7:$AL$12040,MATCH($D112,'지수RAW'!$AH$7:$AH$12040,0)-1,1),GOOGLEFINANCE(V$2))"),64324)</f>
        <v/>
      </c>
      <c r="W112" s="253">
        <f>IFERROR(__xludf.DUMMYFUNCTION("iferror(index('지수RAW'!$AD$7:$AD$12040,MATCH($D112,'지수RAW'!$Z$7:$Z$12040,0)-1,1),GOOGLEFINANCE(W$2))"),1487.77)</f>
        <v/>
      </c>
      <c r="X112" s="36">
        <f>$W112*R112</f>
        <v/>
      </c>
      <c r="Y112" s="36">
        <f>$W112*S112</f>
        <v/>
      </c>
      <c r="Z112" s="36">
        <f>$W112*U112</f>
        <v/>
      </c>
      <c r="AA112" s="36">
        <f>$W112*V112</f>
        <v/>
      </c>
      <c r="AB112" s="255" t="n"/>
      <c r="AC112" s="38">
        <f>IF(Q112="","",AC111*(W112/W111))</f>
        <v/>
      </c>
      <c r="AD112" s="38">
        <f>IF(R112="","",AD111*(X112/X111))</f>
        <v/>
      </c>
      <c r="AE112" s="38">
        <f>IF(S112="","",AE111*(Y112/Y111))</f>
        <v/>
      </c>
      <c r="AF112" s="38">
        <f>IF(U112="","",AF111*(Z112/Z111))</f>
        <v/>
      </c>
      <c r="AG112" s="38">
        <f>IF(V112="","",AG111*(AA112/AA111))</f>
        <v/>
      </c>
    </row>
    <row r="113" ht="12.75" customHeight="1" s="202">
      <c r="A113" s="201" t="n"/>
      <c r="B113" s="22">
        <f>IF(C112=12,B112+1,B112)</f>
        <v/>
      </c>
      <c r="C113" s="22">
        <f>IF(C112=12,1,C112+1)</f>
        <v/>
      </c>
      <c r="D113" s="22">
        <f>IF(F113="12월",(E113+1)&amp;VLOOKUP(F113,인덱스!$C:$D,2,0),E113&amp;VLOOKUP(F113,인덱스!$C:$D,2,0))</f>
        <v/>
      </c>
      <c r="E113" s="201">
        <f>"20"&amp;B113</f>
        <v/>
      </c>
      <c r="F113" s="201">
        <f>C113&amp;"월"</f>
        <v/>
      </c>
      <c r="G113" s="37">
        <f>B113&amp;"."&amp;VLOOKUP(F113,인덱스!$A:$B,2,0)</f>
        <v/>
      </c>
      <c r="H113" s="256">
        <f>IFERROR(VLOOKUP(G113,#REF!,2,0),)</f>
        <v/>
      </c>
      <c r="I113" s="38">
        <f>IF(Q113="","",I112*(Q113/Q112))</f>
        <v/>
      </c>
      <c r="J113" s="38">
        <f>IF(R113="","",J112*(R113/R112))</f>
        <v/>
      </c>
      <c r="K113" s="39">
        <f>IF(S113="","",K112*(S113/S112))</f>
        <v/>
      </c>
      <c r="L113" s="39">
        <f>IF(U113="","",L112*(U113/U112))</f>
        <v/>
      </c>
      <c r="M113" s="39">
        <f>IF(V113="","",M112*(V113/V112))</f>
        <v/>
      </c>
      <c r="N113" s="201" t="n"/>
      <c r="O113" s="201" t="n"/>
      <c r="P113" s="201" t="n"/>
      <c r="Q113" s="8">
        <f>IFERROR(__xludf.DUMMYFUNCTION("iferror(index('지수RAW'!$V$7:$V$12040,MATCH($D113,'지수RAW'!$R$7:$R$12040,0)-1,1),GOOGLEFINANCE(Q$2))"),6820.6)</f>
        <v/>
      </c>
      <c r="R113" s="201">
        <f>IFERROR(__xludf.DUMMYFUNCTION("iferror(index('지수RAW'!$F$7:$F$12040,MATCH($D113,'지수RAW'!$B$7:$B$12040,0)-1,1),GOOGLEFINANCE(R$2))"),7457.69)</f>
        <v/>
      </c>
      <c r="S113" s="9">
        <f>IFERROR(__xludf.DUMMYFUNCTION("iferror(index('지수RAW'!$N$7:$N$12040,MATCH($D113,'지수RAW'!$J$7:$J$12040,0)-1,1),GOOGLEFINANCE(S$2))"),25520.24)</f>
        <v/>
      </c>
      <c r="T113" s="201" t="n"/>
      <c r="U113" s="252">
        <f t="array" ref="U113">IFERROR(INDEX(지수RAW!$AT$7:$AT$12040,MATCH($D113,지수RAW!$AP$7:$AP$12040,0)-1,1),지수RAW!$AU$4)</f>
        <v/>
      </c>
      <c r="V113" s="252">
        <f>IFERROR(__xludf.DUMMYFUNCTION("iferror(index('지수RAW'!$AL$7:$AL$12040,MATCH($D113,'지수RAW'!$AH$7:$AH$12040,0)-1,1),GOOGLEFINANCE(V$2))"),64324)</f>
        <v/>
      </c>
      <c r="W113" s="253">
        <f>IFERROR(__xludf.DUMMYFUNCTION("iferror(index('지수RAW'!$AD$7:$AD$12040,MATCH($D113,'지수RAW'!$Z$7:$Z$12040,0)-1,1),GOOGLEFINANCE(W$2))"),1487.77)</f>
        <v/>
      </c>
      <c r="X113" s="36">
        <f>$W113*R113</f>
        <v/>
      </c>
      <c r="Y113" s="36">
        <f>$W113*S113</f>
        <v/>
      </c>
      <c r="Z113" s="36">
        <f>$W113*U113</f>
        <v/>
      </c>
      <c r="AA113" s="36">
        <f>$W113*V113</f>
        <v/>
      </c>
      <c r="AB113" s="255" t="n"/>
      <c r="AC113" s="38">
        <f>IF(Q113="","",AC112*(W113/W112))</f>
        <v/>
      </c>
      <c r="AD113" s="38">
        <f>IF(R113="","",AD112*(X113/X112))</f>
        <v/>
      </c>
      <c r="AE113" s="38">
        <f>IF(S113="","",AE112*(Y113/Y112))</f>
        <v/>
      </c>
      <c r="AF113" s="38">
        <f>IF(U113="","",AF112*(Z113/Z112))</f>
        <v/>
      </c>
      <c r="AG113" s="38">
        <f>IF(V113="","",AG112*(AA113/AA112))</f>
        <v/>
      </c>
    </row>
    <row r="114" ht="12.75" customHeight="1" s="202">
      <c r="A114" s="201" t="n"/>
      <c r="B114" s="22">
        <f>IF(C113=12,B113+1,B113)</f>
        <v/>
      </c>
      <c r="C114" s="22">
        <f>IF(C113=12,1,C113+1)</f>
        <v/>
      </c>
      <c r="D114" s="22">
        <f>IF(F114="12월",(E114+1)&amp;VLOOKUP(F114,인덱스!$C:$D,2,0),E114&amp;VLOOKUP(F114,인덱스!$C:$D,2,0))</f>
        <v/>
      </c>
      <c r="E114" s="201">
        <f>"20"&amp;B114</f>
        <v/>
      </c>
      <c r="F114" s="201">
        <f>C114&amp;"월"</f>
        <v/>
      </c>
      <c r="G114" s="37">
        <f>B114&amp;"."&amp;VLOOKUP(F114,인덱스!$A:$B,2,0)</f>
        <v/>
      </c>
      <c r="H114" s="256">
        <f>IFERROR(VLOOKUP(G114,#REF!,2,0),)</f>
        <v/>
      </c>
      <c r="I114" s="38">
        <f>IF(Q114="","",I113*(Q114/Q113))</f>
        <v/>
      </c>
      <c r="J114" s="38">
        <f>IF(R114="","",J113*(R114/R113))</f>
        <v/>
      </c>
      <c r="K114" s="39">
        <f>IF(S114="","",K113*(S114/S113))</f>
        <v/>
      </c>
      <c r="L114" s="39">
        <f>IF(U114="","",L113*(U114/U113))</f>
        <v/>
      </c>
      <c r="M114" s="39">
        <f>IF(V114="","",M113*(V114/V113))</f>
        <v/>
      </c>
      <c r="N114" s="201" t="n"/>
      <c r="O114" s="201" t="n"/>
      <c r="P114" s="201" t="n"/>
      <c r="Q114" s="8">
        <f>IFERROR(__xludf.DUMMYFUNCTION("iferror(index('지수RAW'!$V$7:$V$12040,MATCH($D114,'지수RAW'!$R$7:$R$12040,0)-1,1),GOOGLEFINANCE(Q$2))"),6820.6)</f>
        <v/>
      </c>
      <c r="R114" s="201">
        <f>IFERROR(__xludf.DUMMYFUNCTION("iferror(index('지수RAW'!$F$7:$F$12040,MATCH($D114,'지수RAW'!$B$7:$B$12040,0)-1,1),GOOGLEFINANCE(R$2))"),7457.69)</f>
        <v/>
      </c>
      <c r="S114" s="9">
        <f>IFERROR(__xludf.DUMMYFUNCTION("iferror(index('지수RAW'!$N$7:$N$12040,MATCH($D114,'지수RAW'!$J$7:$J$12040,0)-1,1),GOOGLEFINANCE(S$2))"),25520.24)</f>
        <v/>
      </c>
      <c r="T114" s="201" t="n"/>
      <c r="U114" s="252">
        <f t="array" ref="U114">IFERROR(INDEX(지수RAW!$AT$7:$AT$12040,MATCH($D114,지수RAW!$AP$7:$AP$12040,0)-1,1),지수RAW!$AU$4)</f>
        <v/>
      </c>
      <c r="V114" s="252">
        <f>IFERROR(__xludf.DUMMYFUNCTION("iferror(index('지수RAW'!$AL$7:$AL$12040,MATCH($D114,'지수RAW'!$AH$7:$AH$12040,0)-1,1),GOOGLEFINANCE(V$2))"),64324)</f>
        <v/>
      </c>
      <c r="W114" s="253">
        <f>IFERROR(__xludf.DUMMYFUNCTION("iferror(index('지수RAW'!$AD$7:$AD$12040,MATCH($D114,'지수RAW'!$Z$7:$Z$12040,0)-1,1),GOOGLEFINANCE(W$2))"),1487.77)</f>
        <v/>
      </c>
      <c r="X114" s="36">
        <f>$W114*R114</f>
        <v/>
      </c>
      <c r="Y114" s="36">
        <f>$W114*S114</f>
        <v/>
      </c>
      <c r="Z114" s="36">
        <f>$W114*U114</f>
        <v/>
      </c>
      <c r="AA114" s="36">
        <f>$W114*V114</f>
        <v/>
      </c>
      <c r="AB114" s="255" t="n"/>
      <c r="AC114" s="38">
        <f>IF(Q114="","",AC113*(W114/W113))</f>
        <v/>
      </c>
      <c r="AD114" s="38">
        <f>IF(R114="","",AD113*(X114/X113))</f>
        <v/>
      </c>
      <c r="AE114" s="38">
        <f>IF(S114="","",AE113*(Y114/Y113))</f>
        <v/>
      </c>
      <c r="AF114" s="38">
        <f>IF(U114="","",AF113*(Z114/Z113))</f>
        <v/>
      </c>
      <c r="AG114" s="38">
        <f>IF(V114="","",AG113*(AA114/AA113))</f>
        <v/>
      </c>
    </row>
    <row r="115" ht="12.75" customHeight="1" s="202">
      <c r="A115" s="201" t="n"/>
      <c r="B115" s="22">
        <f>IF(C114=12,B114+1,B114)</f>
        <v/>
      </c>
      <c r="C115" s="22">
        <f>IF(C114=12,1,C114+1)</f>
        <v/>
      </c>
      <c r="D115" s="22">
        <f>IF(F115="12월",(E115+1)&amp;VLOOKUP(F115,인덱스!$C:$D,2,0),E115&amp;VLOOKUP(F115,인덱스!$C:$D,2,0))</f>
        <v/>
      </c>
      <c r="E115" s="201">
        <f>"20"&amp;B115</f>
        <v/>
      </c>
      <c r="F115" s="201">
        <f>C115&amp;"월"</f>
        <v/>
      </c>
      <c r="G115" s="37">
        <f>B115&amp;"."&amp;VLOOKUP(F115,인덱스!$A:$B,2,0)</f>
        <v/>
      </c>
      <c r="H115" s="256">
        <f>IFERROR(VLOOKUP(G115,#REF!,2,0),)</f>
        <v/>
      </c>
      <c r="I115" s="38">
        <f>IF(Q115="","",I114*(Q115/Q114))</f>
        <v/>
      </c>
      <c r="J115" s="38">
        <f>IF(R115="","",J114*(R115/R114))</f>
        <v/>
      </c>
      <c r="K115" s="39">
        <f>IF(S115="","",K114*(S115/S114))</f>
        <v/>
      </c>
      <c r="L115" s="39">
        <f>IF(U115="","",L114*(U115/U114))</f>
        <v/>
      </c>
      <c r="M115" s="39">
        <f>IF(V115="","",M114*(V115/V114))</f>
        <v/>
      </c>
      <c r="N115" s="201" t="n"/>
      <c r="O115" s="201" t="n"/>
      <c r="P115" s="201" t="n"/>
      <c r="Q115" s="8">
        <f>IFERROR(__xludf.DUMMYFUNCTION("iferror(index('지수RAW'!$V$7:$V$12040,MATCH($D115,'지수RAW'!$R$7:$R$12040,0)-1,1),GOOGLEFINANCE(Q$2))"),6820.6)</f>
        <v/>
      </c>
      <c r="R115" s="201">
        <f>IFERROR(__xludf.DUMMYFUNCTION("iferror(index('지수RAW'!$F$7:$F$12040,MATCH($D115,'지수RAW'!$B$7:$B$12040,0)-1,1),GOOGLEFINANCE(R$2))"),7457.69)</f>
        <v/>
      </c>
      <c r="S115" s="9">
        <f>IFERROR(__xludf.DUMMYFUNCTION("iferror(index('지수RAW'!$N$7:$N$12040,MATCH($D115,'지수RAW'!$J$7:$J$12040,0)-1,1),GOOGLEFINANCE(S$2))"),25520.24)</f>
        <v/>
      </c>
      <c r="T115" s="201" t="n"/>
      <c r="U115" s="252">
        <f t="array" ref="U115">IFERROR(INDEX(지수RAW!$AT$7:$AT$12040,MATCH($D115,지수RAW!$AP$7:$AP$12040,0)-1,1),지수RAW!$AU$4)</f>
        <v/>
      </c>
      <c r="V115" s="252">
        <f>IFERROR(__xludf.DUMMYFUNCTION("iferror(index('지수RAW'!$AL$7:$AL$12040,MATCH($D115,'지수RAW'!$AH$7:$AH$12040,0)-1,1),GOOGLEFINANCE(V$2))"),64324)</f>
        <v/>
      </c>
      <c r="W115" s="253">
        <f>IFERROR(__xludf.DUMMYFUNCTION("iferror(index('지수RAW'!$AD$7:$AD$12040,MATCH($D115,'지수RAW'!$Z$7:$Z$12040,0)-1,1),GOOGLEFINANCE(W$2))"),1487.77)</f>
        <v/>
      </c>
      <c r="X115" s="36">
        <f>$W115*R115</f>
        <v/>
      </c>
      <c r="Y115" s="36">
        <f>$W115*S115</f>
        <v/>
      </c>
      <c r="Z115" s="36">
        <f>$W115*U115</f>
        <v/>
      </c>
      <c r="AA115" s="36">
        <f>$W115*V115</f>
        <v/>
      </c>
      <c r="AB115" s="255" t="n"/>
      <c r="AC115" s="38">
        <f>IF(Q115="","",AC114*(W115/W114))</f>
        <v/>
      </c>
      <c r="AD115" s="38">
        <f>IF(R115="","",AD114*(X115/X114))</f>
        <v/>
      </c>
      <c r="AE115" s="38">
        <f>IF(S115="","",AE114*(Y115/Y114))</f>
        <v/>
      </c>
      <c r="AF115" s="38">
        <f>IF(U115="","",AF114*(Z115/Z114))</f>
        <v/>
      </c>
      <c r="AG115" s="38">
        <f>IF(V115="","",AG114*(AA115/AA114))</f>
        <v/>
      </c>
    </row>
    <row r="116" ht="12.75" customHeight="1" s="202">
      <c r="A116" s="201" t="n"/>
      <c r="B116" s="22">
        <f>IF(C115=12,B115+1,B115)</f>
        <v/>
      </c>
      <c r="C116" s="22">
        <f>IF(C115=12,1,C115+1)</f>
        <v/>
      </c>
      <c r="D116" s="22">
        <f>IF(F116="12월",(E116+1)&amp;VLOOKUP(F116,인덱스!$C:$D,2,0),E116&amp;VLOOKUP(F116,인덱스!$C:$D,2,0))</f>
        <v/>
      </c>
      <c r="E116" s="201">
        <f>"20"&amp;B116</f>
        <v/>
      </c>
      <c r="F116" s="201">
        <f>C116&amp;"월"</f>
        <v/>
      </c>
      <c r="G116" s="37">
        <f>B116&amp;"."&amp;VLOOKUP(F116,인덱스!$A:$B,2,0)</f>
        <v/>
      </c>
      <c r="H116" s="256">
        <f>IFERROR(VLOOKUP(G116,#REF!,2,0),)</f>
        <v/>
      </c>
      <c r="I116" s="38">
        <f>IF(Q116="","",I115*(Q116/Q115))</f>
        <v/>
      </c>
      <c r="J116" s="38">
        <f>IF(R116="","",J115*(R116/R115))</f>
        <v/>
      </c>
      <c r="K116" s="39">
        <f>IF(S116="","",K115*(S116/S115))</f>
        <v/>
      </c>
      <c r="L116" s="39">
        <f>IF(U116="","",L115*(U116/U115))</f>
        <v/>
      </c>
      <c r="M116" s="39">
        <f>IF(V116="","",M115*(V116/V115))</f>
        <v/>
      </c>
      <c r="N116" s="201" t="n"/>
      <c r="O116" s="201" t="n"/>
      <c r="P116" s="201" t="n"/>
      <c r="Q116" s="8">
        <f>IFERROR(__xludf.DUMMYFUNCTION("iferror(index('지수RAW'!$V$7:$V$12040,MATCH($D116,'지수RAW'!$R$7:$R$12040,0)-1,1),GOOGLEFINANCE(Q$2))"),6820.6)</f>
        <v/>
      </c>
      <c r="R116" s="201">
        <f>IFERROR(__xludf.DUMMYFUNCTION("iferror(index('지수RAW'!$F$7:$F$12040,MATCH($D116,'지수RAW'!$B$7:$B$12040,0)-1,1),GOOGLEFINANCE(R$2))"),7457.69)</f>
        <v/>
      </c>
      <c r="S116" s="9">
        <f>IFERROR(__xludf.DUMMYFUNCTION("iferror(index('지수RAW'!$N$7:$N$12040,MATCH($D116,'지수RAW'!$J$7:$J$12040,0)-1,1),GOOGLEFINANCE(S$2))"),25520.24)</f>
        <v/>
      </c>
      <c r="T116" s="201" t="n"/>
      <c r="U116" s="252">
        <f t="array" ref="U116">IFERROR(INDEX(지수RAW!$AT$7:$AT$12040,MATCH($D116,지수RAW!$AP$7:$AP$12040,0)-1,1),지수RAW!$AU$4)</f>
        <v/>
      </c>
      <c r="V116" s="252">
        <f>IFERROR(__xludf.DUMMYFUNCTION("iferror(index('지수RAW'!$AL$7:$AL$12040,MATCH($D116,'지수RAW'!$AH$7:$AH$12040,0)-1,1),GOOGLEFINANCE(V$2))"),64324)</f>
        <v/>
      </c>
      <c r="W116" s="253">
        <f>IFERROR(__xludf.DUMMYFUNCTION("iferror(index('지수RAW'!$AD$7:$AD$12040,MATCH($D116,'지수RAW'!$Z$7:$Z$12040,0)-1,1),GOOGLEFINANCE(W$2))"),1487.77)</f>
        <v/>
      </c>
      <c r="X116" s="36">
        <f>$W116*R116</f>
        <v/>
      </c>
      <c r="Y116" s="36">
        <f>$W116*S116</f>
        <v/>
      </c>
      <c r="Z116" s="36">
        <f>$W116*U116</f>
        <v/>
      </c>
      <c r="AA116" s="36">
        <f>$W116*V116</f>
        <v/>
      </c>
      <c r="AB116" s="255" t="n"/>
      <c r="AC116" s="38">
        <f>IF(Q116="","",AC115*(W116/W115))</f>
        <v/>
      </c>
      <c r="AD116" s="38">
        <f>IF(R116="","",AD115*(X116/X115))</f>
        <v/>
      </c>
      <c r="AE116" s="38">
        <f>IF(S116="","",AE115*(Y116/Y115))</f>
        <v/>
      </c>
      <c r="AF116" s="38">
        <f>IF(U116="","",AF115*(Z116/Z115))</f>
        <v/>
      </c>
      <c r="AG116" s="38">
        <f>IF(V116="","",AG115*(AA116/AA115))</f>
        <v/>
      </c>
    </row>
    <row r="117" ht="12.75" customHeight="1" s="202">
      <c r="A117" s="201" t="n"/>
      <c r="B117" s="22">
        <f>IF(C116=12,B116+1,B116)</f>
        <v/>
      </c>
      <c r="C117" s="22">
        <f>IF(C116=12,1,C116+1)</f>
        <v/>
      </c>
      <c r="D117" s="22">
        <f>IF(F117="12월",(E117+1)&amp;VLOOKUP(F117,인덱스!$C:$D,2,0),E117&amp;VLOOKUP(F117,인덱스!$C:$D,2,0))</f>
        <v/>
      </c>
      <c r="E117" s="201">
        <f>"20"&amp;B117</f>
        <v/>
      </c>
      <c r="F117" s="201">
        <f>C117&amp;"월"</f>
        <v/>
      </c>
      <c r="G117" s="37">
        <f>B117&amp;"."&amp;VLOOKUP(F117,인덱스!$A:$B,2,0)</f>
        <v/>
      </c>
      <c r="H117" s="256">
        <f>IFERROR(VLOOKUP(G117,#REF!,2,0),)</f>
        <v/>
      </c>
      <c r="I117" s="38">
        <f>IF(Q117="","",I116*(Q117/Q116))</f>
        <v/>
      </c>
      <c r="J117" s="38">
        <f>IF(R117="","",J116*(R117/R116))</f>
        <v/>
      </c>
      <c r="K117" s="39">
        <f>IF(S117="","",K116*(S117/S116))</f>
        <v/>
      </c>
      <c r="L117" s="39">
        <f>IF(U117="","",L116*(U117/U116))</f>
        <v/>
      </c>
      <c r="M117" s="39">
        <f>IF(V117="","",M116*(V117/V116))</f>
        <v/>
      </c>
      <c r="N117" s="201" t="n"/>
      <c r="O117" s="201" t="n"/>
      <c r="P117" s="201" t="n"/>
      <c r="Q117" s="8">
        <f>IFERROR(__xludf.DUMMYFUNCTION("iferror(index('지수RAW'!$V$7:$V$12040,MATCH($D117,'지수RAW'!$R$7:$R$12040,0)-1,1),GOOGLEFINANCE(Q$2))"),6820.6)</f>
        <v/>
      </c>
      <c r="R117" s="201">
        <f>IFERROR(__xludf.DUMMYFUNCTION("iferror(index('지수RAW'!$F$7:$F$12040,MATCH($D117,'지수RAW'!$B$7:$B$12040,0)-1,1),GOOGLEFINANCE(R$2))"),7457.69)</f>
        <v/>
      </c>
      <c r="S117" s="9">
        <f>IFERROR(__xludf.DUMMYFUNCTION("iferror(index('지수RAW'!$N$7:$N$12040,MATCH($D117,'지수RAW'!$J$7:$J$12040,0)-1,1),GOOGLEFINANCE(S$2))"),25520.24)</f>
        <v/>
      </c>
      <c r="T117" s="201" t="n"/>
      <c r="U117" s="252">
        <f t="array" ref="U117">IFERROR(INDEX(지수RAW!$AT$7:$AT$12040,MATCH($D117,지수RAW!$AP$7:$AP$12040,0)-1,1),지수RAW!$AU$4)</f>
        <v/>
      </c>
      <c r="V117" s="252">
        <f>IFERROR(__xludf.DUMMYFUNCTION("iferror(index('지수RAW'!$AL$7:$AL$12040,MATCH($D117,'지수RAW'!$AH$7:$AH$12040,0)-1,1),GOOGLEFINANCE(V$2))"),64324)</f>
        <v/>
      </c>
      <c r="W117" s="253">
        <f>IFERROR(__xludf.DUMMYFUNCTION("iferror(index('지수RAW'!$AD$7:$AD$12040,MATCH($D117,'지수RAW'!$Z$7:$Z$12040,0)-1,1),GOOGLEFINANCE(W$2))"),1487.77)</f>
        <v/>
      </c>
      <c r="X117" s="36">
        <f>$W117*R117</f>
        <v/>
      </c>
      <c r="Y117" s="36">
        <f>$W117*S117</f>
        <v/>
      </c>
      <c r="Z117" s="36">
        <f>$W117*U117</f>
        <v/>
      </c>
      <c r="AA117" s="36">
        <f>$W117*V117</f>
        <v/>
      </c>
      <c r="AB117" s="255" t="n"/>
      <c r="AC117" s="38">
        <f>IF(Q117="","",AC116*(W117/W116))</f>
        <v/>
      </c>
      <c r="AD117" s="38">
        <f>IF(R117="","",AD116*(X117/X116))</f>
        <v/>
      </c>
      <c r="AE117" s="38">
        <f>IF(S117="","",AE116*(Y117/Y116))</f>
        <v/>
      </c>
      <c r="AF117" s="38">
        <f>IF(U117="","",AF116*(Z117/Z116))</f>
        <v/>
      </c>
      <c r="AG117" s="38">
        <f>IF(V117="","",AG116*(AA117/AA116))</f>
        <v/>
      </c>
    </row>
    <row r="118" ht="12.75" customHeight="1" s="202">
      <c r="A118" s="201" t="n"/>
      <c r="B118" s="22">
        <f>IF(C117=12,B117+1,B117)</f>
        <v/>
      </c>
      <c r="C118" s="22">
        <f>IF(C117=12,1,C117+1)</f>
        <v/>
      </c>
      <c r="D118" s="22">
        <f>IF(F118="12월",(E118+1)&amp;VLOOKUP(F118,인덱스!$C:$D,2,0),E118&amp;VLOOKUP(F118,인덱스!$C:$D,2,0))</f>
        <v/>
      </c>
      <c r="E118" s="201">
        <f>"20"&amp;B118</f>
        <v/>
      </c>
      <c r="F118" s="201">
        <f>C118&amp;"월"</f>
        <v/>
      </c>
      <c r="G118" s="37">
        <f>B118&amp;"."&amp;VLOOKUP(F118,인덱스!$A:$B,2,0)</f>
        <v/>
      </c>
      <c r="H118" s="256">
        <f>IFERROR(VLOOKUP(G118,#REF!,2,0),)</f>
        <v/>
      </c>
      <c r="I118" s="38">
        <f>IF(Q118="","",I117*(Q118/Q117))</f>
        <v/>
      </c>
      <c r="J118" s="38">
        <f>IF(R118="","",J117*(R118/R117))</f>
        <v/>
      </c>
      <c r="K118" s="39">
        <f>IF(S118="","",K117*(S118/S117))</f>
        <v/>
      </c>
      <c r="L118" s="39">
        <f>IF(U118="","",L117*(U118/U117))</f>
        <v/>
      </c>
      <c r="M118" s="39">
        <f>IF(V118="","",M117*(V118/V117))</f>
        <v/>
      </c>
      <c r="N118" s="201" t="n"/>
      <c r="O118" s="201" t="n"/>
      <c r="P118" s="201" t="n"/>
      <c r="Q118" s="8">
        <f>IFERROR(__xludf.DUMMYFUNCTION("iferror(index('지수RAW'!$V$7:$V$12040,MATCH($D118,'지수RAW'!$R$7:$R$12040,0)-1,1),GOOGLEFINANCE(Q$2))"),6820.6)</f>
        <v/>
      </c>
      <c r="R118" s="201">
        <f>IFERROR(__xludf.DUMMYFUNCTION("iferror(index('지수RAW'!$F$7:$F$12040,MATCH($D118,'지수RAW'!$B$7:$B$12040,0)-1,1),GOOGLEFINANCE(R$2))"),7457.69)</f>
        <v/>
      </c>
      <c r="S118" s="9">
        <f>IFERROR(__xludf.DUMMYFUNCTION("iferror(index('지수RAW'!$N$7:$N$12040,MATCH($D118,'지수RAW'!$J$7:$J$12040,0)-1,1),GOOGLEFINANCE(S$2))"),25520.24)</f>
        <v/>
      </c>
      <c r="T118" s="201" t="n"/>
      <c r="U118" s="252">
        <f t="array" ref="U118">IFERROR(INDEX(지수RAW!$AT$7:$AT$12040,MATCH($D118,지수RAW!$AP$7:$AP$12040,0)-1,1),지수RAW!$AU$4)</f>
        <v/>
      </c>
      <c r="V118" s="252">
        <f>IFERROR(__xludf.DUMMYFUNCTION("iferror(index('지수RAW'!$AL$7:$AL$12040,MATCH($D118,'지수RAW'!$AH$7:$AH$12040,0)-1,1),GOOGLEFINANCE(V$2))"),64324)</f>
        <v/>
      </c>
      <c r="W118" s="253">
        <f>IFERROR(__xludf.DUMMYFUNCTION("iferror(index('지수RAW'!$AD$7:$AD$12040,MATCH($D118,'지수RAW'!$Z$7:$Z$12040,0)-1,1),GOOGLEFINANCE(W$2))"),1487.77)</f>
        <v/>
      </c>
      <c r="X118" s="36">
        <f>$W118*R118</f>
        <v/>
      </c>
      <c r="Y118" s="36">
        <f>$W118*S118</f>
        <v/>
      </c>
      <c r="Z118" s="36">
        <f>$W118*U118</f>
        <v/>
      </c>
      <c r="AA118" s="36">
        <f>$W118*V118</f>
        <v/>
      </c>
      <c r="AB118" s="255" t="n"/>
      <c r="AC118" s="38">
        <f>IF(Q118="","",AC117*(W118/W117))</f>
        <v/>
      </c>
      <c r="AD118" s="38">
        <f>IF(R118="","",AD117*(X118/X117))</f>
        <v/>
      </c>
      <c r="AE118" s="38">
        <f>IF(S118="","",AE117*(Y118/Y117))</f>
        <v/>
      </c>
      <c r="AF118" s="38">
        <f>IF(U118="","",AF117*(Z118/Z117))</f>
        <v/>
      </c>
      <c r="AG118" s="38">
        <f>IF(V118="","",AG117*(AA118/AA117))</f>
        <v/>
      </c>
    </row>
    <row r="119" ht="12.75" customHeight="1" s="202">
      <c r="A119" s="201" t="n"/>
      <c r="B119" s="22">
        <f>IF(C118=12,B118+1,B118)</f>
        <v/>
      </c>
      <c r="C119" s="22">
        <f>IF(C118=12,1,C118+1)</f>
        <v/>
      </c>
      <c r="D119" s="22">
        <f>IF(F119="12월",(E119+1)&amp;VLOOKUP(F119,인덱스!$C:$D,2,0),E119&amp;VLOOKUP(F119,인덱스!$C:$D,2,0))</f>
        <v/>
      </c>
      <c r="E119" s="201">
        <f>"20"&amp;B119</f>
        <v/>
      </c>
      <c r="F119" s="201">
        <f>C119&amp;"월"</f>
        <v/>
      </c>
      <c r="G119" s="37">
        <f>B119&amp;"."&amp;VLOOKUP(F119,인덱스!$A:$B,2,0)</f>
        <v/>
      </c>
      <c r="H119" s="256">
        <f>IFERROR(VLOOKUP(G119,#REF!,2,0),)</f>
        <v/>
      </c>
      <c r="I119" s="38">
        <f>IF(Q119="","",I118*(Q119/Q118))</f>
        <v/>
      </c>
      <c r="J119" s="38">
        <f>IF(R119="","",J118*(R119/R118))</f>
        <v/>
      </c>
      <c r="K119" s="39">
        <f>IF(S119="","",K118*(S119/S118))</f>
        <v/>
      </c>
      <c r="L119" s="39">
        <f>IF(U119="","",L118*(U119/U118))</f>
        <v/>
      </c>
      <c r="M119" s="39">
        <f>IF(V119="","",M118*(V119/V118))</f>
        <v/>
      </c>
      <c r="N119" s="201" t="n"/>
      <c r="O119" s="201" t="n"/>
      <c r="P119" s="201" t="n"/>
      <c r="Q119" s="8">
        <f>IFERROR(__xludf.DUMMYFUNCTION("iferror(index('지수RAW'!$V$7:$V$12040,MATCH($D119,'지수RAW'!$R$7:$R$12040,0)-1,1),GOOGLEFINANCE(Q$2))"),6820.6)</f>
        <v/>
      </c>
      <c r="R119" s="201">
        <f>IFERROR(__xludf.DUMMYFUNCTION("iferror(index('지수RAW'!$F$7:$F$12040,MATCH($D119,'지수RAW'!$B$7:$B$12040,0)-1,1),GOOGLEFINANCE(R$2))"),7457.69)</f>
        <v/>
      </c>
      <c r="S119" s="9">
        <f>IFERROR(__xludf.DUMMYFUNCTION("iferror(index('지수RAW'!$N$7:$N$12040,MATCH($D119,'지수RAW'!$J$7:$J$12040,0)-1,1),GOOGLEFINANCE(S$2))"),25520.24)</f>
        <v/>
      </c>
      <c r="T119" s="201" t="n"/>
      <c r="U119" s="252">
        <f t="array" ref="U119">IFERROR(INDEX(지수RAW!$AT$7:$AT$12040,MATCH($D119,지수RAW!$AP$7:$AP$12040,0)-1,1),지수RAW!$AU$4)</f>
        <v/>
      </c>
      <c r="V119" s="252">
        <f>IFERROR(__xludf.DUMMYFUNCTION("iferror(index('지수RAW'!$AL$7:$AL$12040,MATCH($D119,'지수RAW'!$AH$7:$AH$12040,0)-1,1),GOOGLEFINANCE(V$2))"),64324)</f>
        <v/>
      </c>
      <c r="W119" s="253">
        <f>IFERROR(__xludf.DUMMYFUNCTION("iferror(index('지수RAW'!$AD$7:$AD$12040,MATCH($D119,'지수RAW'!$Z$7:$Z$12040,0)-1,1),GOOGLEFINANCE(W$2))"),1487.77)</f>
        <v/>
      </c>
      <c r="X119" s="36">
        <f>$W119*R119</f>
        <v/>
      </c>
      <c r="Y119" s="36">
        <f>$W119*S119</f>
        <v/>
      </c>
      <c r="Z119" s="36">
        <f>$W119*U119</f>
        <v/>
      </c>
      <c r="AA119" s="36">
        <f>$W119*V119</f>
        <v/>
      </c>
      <c r="AB119" s="255" t="n"/>
      <c r="AC119" s="38">
        <f>IF(Q119="","",AC118*(W119/W118))</f>
        <v/>
      </c>
      <c r="AD119" s="38">
        <f>IF(R119="","",AD118*(X119/X118))</f>
        <v/>
      </c>
      <c r="AE119" s="38">
        <f>IF(S119="","",AE118*(Y119/Y118))</f>
        <v/>
      </c>
      <c r="AF119" s="38">
        <f>IF(U119="","",AF118*(Z119/Z118))</f>
        <v/>
      </c>
      <c r="AG119" s="38">
        <f>IF(V119="","",AG118*(AA119/AA118))</f>
        <v/>
      </c>
    </row>
    <row r="120" ht="12.75" customHeight="1" s="202">
      <c r="A120" s="201" t="n"/>
      <c r="B120" s="22">
        <f>IF(C119=12,B119+1,B119)</f>
        <v/>
      </c>
      <c r="C120" s="22">
        <f>IF(C119=12,1,C119+1)</f>
        <v/>
      </c>
      <c r="D120" s="22">
        <f>IF(F120="12월",(E120+1)&amp;VLOOKUP(F120,인덱스!$C:$D,2,0),E120&amp;VLOOKUP(F120,인덱스!$C:$D,2,0))</f>
        <v/>
      </c>
      <c r="E120" s="201">
        <f>"20"&amp;B120</f>
        <v/>
      </c>
      <c r="F120" s="201">
        <f>C120&amp;"월"</f>
        <v/>
      </c>
      <c r="G120" s="37">
        <f>B120&amp;"."&amp;VLOOKUP(F120,인덱스!$A:$B,2,0)</f>
        <v/>
      </c>
      <c r="H120" s="256">
        <f>IFERROR(VLOOKUP(G120,#REF!,2,0),)</f>
        <v/>
      </c>
      <c r="I120" s="38">
        <f>IF(Q120="","",I119*(Q120/Q119))</f>
        <v/>
      </c>
      <c r="J120" s="38">
        <f>IF(R120="","",J119*(R120/R119))</f>
        <v/>
      </c>
      <c r="K120" s="39">
        <f>IF(S120="","",K119*(S120/S119))</f>
        <v/>
      </c>
      <c r="L120" s="39">
        <f>IF(U120="","",L119*(U120/U119))</f>
        <v/>
      </c>
      <c r="M120" s="39">
        <f>IF(V120="","",M119*(V120/V119))</f>
        <v/>
      </c>
      <c r="N120" s="201" t="n"/>
      <c r="O120" s="201" t="n"/>
      <c r="P120" s="201" t="n"/>
      <c r="Q120" s="8">
        <f>IFERROR(__xludf.DUMMYFUNCTION("iferror(index('지수RAW'!$V$7:$V$12040,MATCH($D120,'지수RAW'!$R$7:$R$12040,0)-1,1),GOOGLEFINANCE(Q$2))"),6820.6)</f>
        <v/>
      </c>
      <c r="R120" s="201">
        <f>IFERROR(__xludf.DUMMYFUNCTION("iferror(index('지수RAW'!$F$7:$F$12040,MATCH($D120,'지수RAW'!$B$7:$B$12040,0)-1,1),GOOGLEFINANCE(R$2))"),7457.69)</f>
        <v/>
      </c>
      <c r="S120" s="9">
        <f>IFERROR(__xludf.DUMMYFUNCTION("iferror(index('지수RAW'!$N$7:$N$12040,MATCH($D120,'지수RAW'!$J$7:$J$12040,0)-1,1),GOOGLEFINANCE(S$2))"),25520.24)</f>
        <v/>
      </c>
      <c r="T120" s="201" t="n"/>
      <c r="U120" s="252">
        <f t="array" ref="U120">IFERROR(INDEX(지수RAW!$AT$7:$AT$12040,MATCH($D120,지수RAW!$AP$7:$AP$12040,0)-1,1),지수RAW!$AU$4)</f>
        <v/>
      </c>
      <c r="V120" s="252">
        <f>IFERROR(__xludf.DUMMYFUNCTION("iferror(index('지수RAW'!$AL$7:$AL$12040,MATCH($D120,'지수RAW'!$AH$7:$AH$12040,0)-1,1),GOOGLEFINANCE(V$2))"),64324)</f>
        <v/>
      </c>
      <c r="W120" s="253">
        <f>IFERROR(__xludf.DUMMYFUNCTION("iferror(index('지수RAW'!$AD$7:$AD$12040,MATCH($D120,'지수RAW'!$Z$7:$Z$12040,0)-1,1),GOOGLEFINANCE(W$2))"),1487.77)</f>
        <v/>
      </c>
      <c r="X120" s="36">
        <f>$W120*R120</f>
        <v/>
      </c>
      <c r="Y120" s="36">
        <f>$W120*S120</f>
        <v/>
      </c>
      <c r="Z120" s="36">
        <f>$W120*U120</f>
        <v/>
      </c>
      <c r="AA120" s="36">
        <f>$W120*V120</f>
        <v/>
      </c>
      <c r="AB120" s="255" t="n"/>
      <c r="AC120" s="38">
        <f>IF(Q120="","",AC119*(W120/W119))</f>
        <v/>
      </c>
      <c r="AD120" s="38">
        <f>IF(R120="","",AD119*(X120/X119))</f>
        <v/>
      </c>
      <c r="AE120" s="38">
        <f>IF(S120="","",AE119*(Y120/Y119))</f>
        <v/>
      </c>
      <c r="AF120" s="38">
        <f>IF(U120="","",AF119*(Z120/Z119))</f>
        <v/>
      </c>
      <c r="AG120" s="38">
        <f>IF(V120="","",AG119*(AA120/AA119))</f>
        <v/>
      </c>
    </row>
    <row r="121" ht="12.75" customHeight="1" s="202">
      <c r="A121" s="201" t="n"/>
      <c r="B121" s="22">
        <f>IF(C120=12,B120+1,B120)</f>
        <v/>
      </c>
      <c r="C121" s="22">
        <f>IF(C120=12,1,C120+1)</f>
        <v/>
      </c>
      <c r="D121" s="22">
        <f>IF(F121="12월",(E121+1)&amp;VLOOKUP(F121,인덱스!$C:$D,2,0),E121&amp;VLOOKUP(F121,인덱스!$C:$D,2,0))</f>
        <v/>
      </c>
      <c r="E121" s="201">
        <f>"20"&amp;B121</f>
        <v/>
      </c>
      <c r="F121" s="201">
        <f>C121&amp;"월"</f>
        <v/>
      </c>
      <c r="G121" s="37">
        <f>B121&amp;"."&amp;VLOOKUP(F121,인덱스!$A:$B,2,0)</f>
        <v/>
      </c>
      <c r="H121" s="256">
        <f>IFERROR(VLOOKUP(G121,#REF!,2,0),)</f>
        <v/>
      </c>
      <c r="I121" s="38">
        <f>IF(Q121="","",I120*(Q121/Q120))</f>
        <v/>
      </c>
      <c r="J121" s="38">
        <f>IF(R121="","",J120*(R121/R120))</f>
        <v/>
      </c>
      <c r="K121" s="39">
        <f>IF(S121="","",K120*(S121/S120))</f>
        <v/>
      </c>
      <c r="L121" s="39">
        <f>IF(U121="","",L120*(U121/U120))</f>
        <v/>
      </c>
      <c r="M121" s="39">
        <f>IF(V121="","",M120*(V121/V120))</f>
        <v/>
      </c>
      <c r="N121" s="201" t="n"/>
      <c r="O121" s="201" t="n"/>
      <c r="P121" s="201" t="n"/>
      <c r="Q121" s="8">
        <f>IFERROR(__xludf.DUMMYFUNCTION("iferror(index('지수RAW'!$V$7:$V$12040,MATCH($D121,'지수RAW'!$R$7:$R$12040,0)-1,1),GOOGLEFINANCE(Q$2))"),6820.6)</f>
        <v/>
      </c>
      <c r="R121" s="201">
        <f>IFERROR(__xludf.DUMMYFUNCTION("iferror(index('지수RAW'!$F$7:$F$12040,MATCH($D121,'지수RAW'!$B$7:$B$12040,0)-1,1),GOOGLEFINANCE(R$2))"),7457.69)</f>
        <v/>
      </c>
      <c r="S121" s="9">
        <f>IFERROR(__xludf.DUMMYFUNCTION("iferror(index('지수RAW'!$N$7:$N$12040,MATCH($D121,'지수RAW'!$J$7:$J$12040,0)-1,1),GOOGLEFINANCE(S$2))"),25520.24)</f>
        <v/>
      </c>
      <c r="T121" s="201" t="n"/>
      <c r="U121" s="252">
        <f t="array" ref="U121">IFERROR(INDEX(지수RAW!$AT$7:$AT$12040,MATCH($D121,지수RAW!$AP$7:$AP$12040,0)-1,1),지수RAW!$AU$4)</f>
        <v/>
      </c>
      <c r="V121" s="252">
        <f>IFERROR(__xludf.DUMMYFUNCTION("iferror(index('지수RAW'!$AL$7:$AL$12040,MATCH($D121,'지수RAW'!$AH$7:$AH$12040,0)-1,1),GOOGLEFINANCE(V$2))"),64324)</f>
        <v/>
      </c>
      <c r="W121" s="253">
        <f>IFERROR(__xludf.DUMMYFUNCTION("iferror(index('지수RAW'!$AD$7:$AD$12040,MATCH($D121,'지수RAW'!$Z$7:$Z$12040,0)-1,1),GOOGLEFINANCE(W$2))"),1487.77)</f>
        <v/>
      </c>
      <c r="X121" s="36">
        <f>$W121*R121</f>
        <v/>
      </c>
      <c r="Y121" s="36">
        <f>$W121*S121</f>
        <v/>
      </c>
      <c r="Z121" s="36">
        <f>$W121*U121</f>
        <v/>
      </c>
      <c r="AA121" s="36">
        <f>$W121*V121</f>
        <v/>
      </c>
      <c r="AB121" s="255" t="n"/>
      <c r="AC121" s="38">
        <f>IF(Q121="","",AC120*(W121/W120))</f>
        <v/>
      </c>
      <c r="AD121" s="38">
        <f>IF(R121="","",AD120*(X121/X120))</f>
        <v/>
      </c>
      <c r="AE121" s="38">
        <f>IF(S121="","",AE120*(Y121/Y120))</f>
        <v/>
      </c>
      <c r="AF121" s="38">
        <f>IF(U121="","",AF120*(Z121/Z120))</f>
        <v/>
      </c>
      <c r="AG121" s="38">
        <f>IF(V121="","",AG120*(AA121/AA120))</f>
        <v/>
      </c>
    </row>
    <row r="122" ht="12.75" customHeight="1" s="202">
      <c r="A122" s="201" t="n"/>
      <c r="B122" s="22">
        <f>IF(C121=12,B121+1,B121)</f>
        <v/>
      </c>
      <c r="C122" s="22">
        <f>IF(C121=12,1,C121+1)</f>
        <v/>
      </c>
      <c r="D122" s="22">
        <f>IF(F122="12월",(E122+1)&amp;VLOOKUP(F122,인덱스!$C:$D,2,0),E122&amp;VLOOKUP(F122,인덱스!$C:$D,2,0))</f>
        <v/>
      </c>
      <c r="E122" s="201">
        <f>"20"&amp;B122</f>
        <v/>
      </c>
      <c r="F122" s="201">
        <f>C122&amp;"월"</f>
        <v/>
      </c>
      <c r="G122" s="37">
        <f>B122&amp;"."&amp;VLOOKUP(F122,인덱스!$A:$B,2,0)</f>
        <v/>
      </c>
      <c r="H122" s="256">
        <f>IFERROR(VLOOKUP(G122,#REF!,2,0),)</f>
        <v/>
      </c>
      <c r="I122" s="38">
        <f>IF(Q122="","",I121*(Q122/Q121))</f>
        <v/>
      </c>
      <c r="J122" s="38">
        <f>IF(R122="","",J121*(R122/R121))</f>
        <v/>
      </c>
      <c r="K122" s="39">
        <f>IF(S122="","",K121*(S122/S121))</f>
        <v/>
      </c>
      <c r="L122" s="39">
        <f>IF(U122="","",L121*(U122/U121))</f>
        <v/>
      </c>
      <c r="M122" s="39">
        <f>IF(V122="","",M121*(V122/V121))</f>
        <v/>
      </c>
      <c r="N122" s="201" t="n"/>
      <c r="O122" s="201" t="n"/>
      <c r="P122" s="201" t="n"/>
      <c r="Q122" s="8">
        <f>IFERROR(__xludf.DUMMYFUNCTION("iferror(index('지수RAW'!$V$7:$V$12040,MATCH($D122,'지수RAW'!$R$7:$R$12040,0)-1,1),GOOGLEFINANCE(Q$2))"),6820.6)</f>
        <v/>
      </c>
      <c r="R122" s="201">
        <f>IFERROR(__xludf.DUMMYFUNCTION("iferror(index('지수RAW'!$F$7:$F$12040,MATCH($D122,'지수RAW'!$B$7:$B$12040,0)-1,1),GOOGLEFINANCE(R$2))"),7457.69)</f>
        <v/>
      </c>
      <c r="S122" s="9">
        <f>IFERROR(__xludf.DUMMYFUNCTION("iferror(index('지수RAW'!$N$7:$N$12040,MATCH($D122,'지수RAW'!$J$7:$J$12040,0)-1,1),GOOGLEFINANCE(S$2))"),25520.24)</f>
        <v/>
      </c>
      <c r="T122" s="201" t="n"/>
      <c r="U122" s="252">
        <f t="array" ref="U122">IFERROR(INDEX(지수RAW!$AT$7:$AT$12040,MATCH($D122,지수RAW!$AP$7:$AP$12040,0)-1,1),지수RAW!$AU$4)</f>
        <v/>
      </c>
      <c r="V122" s="252">
        <f>IFERROR(__xludf.DUMMYFUNCTION("iferror(index('지수RAW'!$AL$7:$AL$12040,MATCH($D122,'지수RAW'!$AH$7:$AH$12040,0)-1,1),GOOGLEFINANCE(V$2))"),64324)</f>
        <v/>
      </c>
      <c r="W122" s="253">
        <f>IFERROR(__xludf.DUMMYFUNCTION("iferror(index('지수RAW'!$AD$7:$AD$12040,MATCH($D122,'지수RAW'!$Z$7:$Z$12040,0)-1,1),GOOGLEFINANCE(W$2))"),1487.77)</f>
        <v/>
      </c>
      <c r="X122" s="36">
        <f>$W122*R122</f>
        <v/>
      </c>
      <c r="Y122" s="36">
        <f>$W122*S122</f>
        <v/>
      </c>
      <c r="Z122" s="36">
        <f>$W122*U122</f>
        <v/>
      </c>
      <c r="AA122" s="36">
        <f>$W122*V122</f>
        <v/>
      </c>
      <c r="AB122" s="255" t="n"/>
      <c r="AC122" s="38">
        <f>IF(Q122="","",AC121*(W122/W121))</f>
        <v/>
      </c>
      <c r="AD122" s="38">
        <f>IF(R122="","",AD121*(X122/X121))</f>
        <v/>
      </c>
      <c r="AE122" s="38">
        <f>IF(S122="","",AE121*(Y122/Y121))</f>
        <v/>
      </c>
      <c r="AF122" s="38">
        <f>IF(U122="","",AF121*(Z122/Z121))</f>
        <v/>
      </c>
      <c r="AG122" s="38">
        <f>IF(V122="","",AG121*(AA122/AA121))</f>
        <v/>
      </c>
    </row>
    <row r="123" ht="12.75" customHeight="1" s="202">
      <c r="A123" s="201" t="n"/>
      <c r="B123" s="22">
        <f>IF(C122=12,B122+1,B122)</f>
        <v/>
      </c>
      <c r="C123" s="22">
        <f>IF(C122=12,1,C122+1)</f>
        <v/>
      </c>
      <c r="D123" s="22">
        <f>IF(F123="12월",(E123+1)&amp;VLOOKUP(F123,인덱스!$C:$D,2,0),E123&amp;VLOOKUP(F123,인덱스!$C:$D,2,0))</f>
        <v/>
      </c>
      <c r="E123" s="201">
        <f>"20"&amp;B123</f>
        <v/>
      </c>
      <c r="F123" s="201">
        <f>C123&amp;"월"</f>
        <v/>
      </c>
      <c r="G123" s="37">
        <f>B123&amp;"."&amp;VLOOKUP(F123,인덱스!$A:$B,2,0)</f>
        <v/>
      </c>
      <c r="H123" s="256">
        <f>IFERROR(VLOOKUP(G123,#REF!,2,0),)</f>
        <v/>
      </c>
      <c r="I123" s="38">
        <f>IF(Q123="","",I122*(Q123/Q122))</f>
        <v/>
      </c>
      <c r="J123" s="38">
        <f>IF(R123="","",J122*(R123/R122))</f>
        <v/>
      </c>
      <c r="K123" s="39">
        <f>IF(S123="","",K122*(S123/S122))</f>
        <v/>
      </c>
      <c r="L123" s="39">
        <f>IF(U123="","",L122*(U123/U122))</f>
        <v/>
      </c>
      <c r="M123" s="39">
        <f>IF(V123="","",M122*(V123/V122))</f>
        <v/>
      </c>
      <c r="N123" s="201" t="n"/>
      <c r="O123" s="201" t="n"/>
      <c r="P123" s="201" t="n"/>
      <c r="Q123" s="8">
        <f>IFERROR(__xludf.DUMMYFUNCTION("iferror(index('지수RAW'!$V$7:$V$12040,MATCH($D123,'지수RAW'!$R$7:$R$12040,0)-1,1),GOOGLEFINANCE(Q$2))"),6820.6)</f>
        <v/>
      </c>
      <c r="R123" s="201">
        <f>IFERROR(__xludf.DUMMYFUNCTION("iferror(index('지수RAW'!$F$7:$F$12040,MATCH($D123,'지수RAW'!$B$7:$B$12040,0)-1,1),GOOGLEFINANCE(R$2))"),7457.69)</f>
        <v/>
      </c>
      <c r="S123" s="9">
        <f>IFERROR(__xludf.DUMMYFUNCTION("iferror(index('지수RAW'!$N$7:$N$12040,MATCH($D123,'지수RAW'!$J$7:$J$12040,0)-1,1),GOOGLEFINANCE(S$2))"),25520.24)</f>
        <v/>
      </c>
      <c r="T123" s="201" t="n"/>
      <c r="U123" s="252">
        <f t="array" ref="U123">IFERROR(INDEX(지수RAW!$AT$7:$AT$12040,MATCH($D123,지수RAW!$AP$7:$AP$12040,0)-1,1),지수RAW!$AU$4)</f>
        <v/>
      </c>
      <c r="V123" s="252">
        <f>IFERROR(__xludf.DUMMYFUNCTION("iferror(index('지수RAW'!$AL$7:$AL$12040,MATCH($D123,'지수RAW'!$AH$7:$AH$12040,0)-1,1),GOOGLEFINANCE(V$2))"),64324)</f>
        <v/>
      </c>
      <c r="W123" s="253">
        <f>IFERROR(__xludf.DUMMYFUNCTION("iferror(index('지수RAW'!$AD$7:$AD$12040,MATCH($D123,'지수RAW'!$Z$7:$Z$12040,0)-1,1),GOOGLEFINANCE(W$2))"),1487.77)</f>
        <v/>
      </c>
      <c r="X123" s="36">
        <f>$W123*R123</f>
        <v/>
      </c>
      <c r="Y123" s="36">
        <f>$W123*S123</f>
        <v/>
      </c>
      <c r="Z123" s="36">
        <f>$W123*U123</f>
        <v/>
      </c>
      <c r="AA123" s="36">
        <f>$W123*V123</f>
        <v/>
      </c>
      <c r="AB123" s="255" t="n"/>
      <c r="AC123" s="38">
        <f>IF(Q123="","",AC122*(W123/W122))</f>
        <v/>
      </c>
      <c r="AD123" s="38">
        <f>IF(R123="","",AD122*(X123/X122))</f>
        <v/>
      </c>
      <c r="AE123" s="38">
        <f>IF(S123="","",AE122*(Y123/Y122))</f>
        <v/>
      </c>
      <c r="AF123" s="38">
        <f>IF(U123="","",AF122*(Z123/Z122))</f>
        <v/>
      </c>
      <c r="AG123" s="38">
        <f>IF(V123="","",AG122*(AA123/AA122))</f>
        <v/>
      </c>
    </row>
    <row r="124" ht="12.75" customHeight="1" s="202">
      <c r="A124" s="201" t="n"/>
      <c r="B124" s="22">
        <f>IF(C123=12,B123+1,B123)</f>
        <v/>
      </c>
      <c r="C124" s="22">
        <f>IF(C123=12,1,C123+1)</f>
        <v/>
      </c>
      <c r="D124" s="22">
        <f>IF(F124="12월",(E124+1)&amp;VLOOKUP(F124,인덱스!$C:$D,2,0),E124&amp;VLOOKUP(F124,인덱스!$C:$D,2,0))</f>
        <v/>
      </c>
      <c r="E124" s="201">
        <f>"20"&amp;B124</f>
        <v/>
      </c>
      <c r="F124" s="201">
        <f>C124&amp;"월"</f>
        <v/>
      </c>
      <c r="G124" s="37">
        <f>B124&amp;"."&amp;VLOOKUP(F124,인덱스!$A:$B,2,0)</f>
        <v/>
      </c>
      <c r="H124" s="256">
        <f>IFERROR(VLOOKUP(G124,#REF!,2,0),)</f>
        <v/>
      </c>
      <c r="I124" s="38">
        <f>IF(Q124="","",I123*(Q124/Q123))</f>
        <v/>
      </c>
      <c r="J124" s="38">
        <f>IF(R124="","",J123*(R124/R123))</f>
        <v/>
      </c>
      <c r="K124" s="39">
        <f>IF(S124="","",K123*(S124/S123))</f>
        <v/>
      </c>
      <c r="L124" s="39">
        <f>IF(U124="","",L123*(U124/U123))</f>
        <v/>
      </c>
      <c r="M124" s="39">
        <f>IF(V124="","",M123*(V124/V123))</f>
        <v/>
      </c>
      <c r="N124" s="201" t="n"/>
      <c r="O124" s="201" t="n"/>
      <c r="P124" s="201" t="n"/>
      <c r="Q124" s="8">
        <f>IFERROR(__xludf.DUMMYFUNCTION("iferror(index('지수RAW'!$V$7:$V$12040,MATCH($D124,'지수RAW'!$R$7:$R$12040,0)-1,1),GOOGLEFINANCE(Q$2))"),6820.6)</f>
        <v/>
      </c>
      <c r="R124" s="201">
        <f>IFERROR(__xludf.DUMMYFUNCTION("iferror(index('지수RAW'!$F$7:$F$12040,MATCH($D124,'지수RAW'!$B$7:$B$12040,0)-1,1),GOOGLEFINANCE(R$2))"),7457.69)</f>
        <v/>
      </c>
      <c r="S124" s="9">
        <f>IFERROR(__xludf.DUMMYFUNCTION("iferror(index('지수RAW'!$N$7:$N$12040,MATCH($D124,'지수RAW'!$J$7:$J$12040,0)-1,1),GOOGLEFINANCE(S$2))"),25520.24)</f>
        <v/>
      </c>
      <c r="T124" s="201" t="n"/>
      <c r="U124" s="252">
        <f t="array" ref="U124">IFERROR(INDEX(지수RAW!$AT$7:$AT$12040,MATCH($D124,지수RAW!$AP$7:$AP$12040,0)-1,1),지수RAW!$AU$4)</f>
        <v/>
      </c>
      <c r="V124" s="252">
        <f>IFERROR(__xludf.DUMMYFUNCTION("iferror(index('지수RAW'!$AL$7:$AL$12040,MATCH($D124,'지수RAW'!$AH$7:$AH$12040,0)-1,1),GOOGLEFINANCE(V$2))"),64324)</f>
        <v/>
      </c>
      <c r="W124" s="253">
        <f>IFERROR(__xludf.DUMMYFUNCTION("iferror(index('지수RAW'!$AD$7:$AD$12040,MATCH($D124,'지수RAW'!$Z$7:$Z$12040,0)-1,1),GOOGLEFINANCE(W$2))"),1487.77)</f>
        <v/>
      </c>
      <c r="X124" s="36">
        <f>$W124*R124</f>
        <v/>
      </c>
      <c r="Y124" s="36">
        <f>$W124*S124</f>
        <v/>
      </c>
      <c r="Z124" s="36">
        <f>$W124*U124</f>
        <v/>
      </c>
      <c r="AA124" s="36">
        <f>$W124*V124</f>
        <v/>
      </c>
      <c r="AB124" s="255" t="n"/>
      <c r="AC124" s="38">
        <f>IF(Q124="","",AC123*(W124/W123))</f>
        <v/>
      </c>
      <c r="AD124" s="38">
        <f>IF(R124="","",AD123*(X124/X123))</f>
        <v/>
      </c>
      <c r="AE124" s="38">
        <f>IF(S124="","",AE123*(Y124/Y123))</f>
        <v/>
      </c>
      <c r="AF124" s="38">
        <f>IF(U124="","",AF123*(Z124/Z123))</f>
        <v/>
      </c>
      <c r="AG124" s="38">
        <f>IF(V124="","",AG123*(AA124/AA123))</f>
        <v/>
      </c>
    </row>
    <row r="125" ht="12.75" customHeight="1" s="202">
      <c r="A125" s="201" t="n"/>
      <c r="B125" s="22">
        <f>IF(C124=12,B124+1,B124)</f>
        <v/>
      </c>
      <c r="C125" s="22">
        <f>IF(C124=12,1,C124+1)</f>
        <v/>
      </c>
      <c r="D125" s="22">
        <f>IF(F125="12월",(E125+1)&amp;VLOOKUP(F125,인덱스!$C:$D,2,0),E125&amp;VLOOKUP(F125,인덱스!$C:$D,2,0))</f>
        <v/>
      </c>
      <c r="E125" s="201">
        <f>"20"&amp;B125</f>
        <v/>
      </c>
      <c r="F125" s="201">
        <f>C125&amp;"월"</f>
        <v/>
      </c>
      <c r="G125" s="37">
        <f>B125&amp;"."&amp;VLOOKUP(F125,인덱스!$A:$B,2,0)</f>
        <v/>
      </c>
      <c r="H125" s="256">
        <f>IFERROR(VLOOKUP(G125,#REF!,2,0),)</f>
        <v/>
      </c>
      <c r="I125" s="38">
        <f>IF(Q125="","",I124*(Q125/Q124))</f>
        <v/>
      </c>
      <c r="J125" s="38">
        <f>IF(R125="","",J124*(R125/R124))</f>
        <v/>
      </c>
      <c r="K125" s="39">
        <f>IF(S125="","",K124*(S125/S124))</f>
        <v/>
      </c>
      <c r="L125" s="39">
        <f>IF(U125="","",L124*(U125/U124))</f>
        <v/>
      </c>
      <c r="M125" s="39">
        <f>IF(V125="","",M124*(V125/V124))</f>
        <v/>
      </c>
      <c r="N125" s="201" t="n"/>
      <c r="O125" s="201" t="n"/>
      <c r="P125" s="201" t="n"/>
      <c r="Q125" s="8">
        <f>IFERROR(__xludf.DUMMYFUNCTION("iferror(index('지수RAW'!$V$7:$V$12040,MATCH($D125,'지수RAW'!$R$7:$R$12040,0)-1,1),GOOGLEFINANCE(Q$2))"),6820.6)</f>
        <v/>
      </c>
      <c r="R125" s="201">
        <f>IFERROR(__xludf.DUMMYFUNCTION("iferror(index('지수RAW'!$F$7:$F$12040,MATCH($D125,'지수RAW'!$B$7:$B$12040,0)-1,1),GOOGLEFINANCE(R$2))"),7457.69)</f>
        <v/>
      </c>
      <c r="S125" s="9">
        <f>IFERROR(__xludf.DUMMYFUNCTION("iferror(index('지수RAW'!$N$7:$N$12040,MATCH($D125,'지수RAW'!$J$7:$J$12040,0)-1,1),GOOGLEFINANCE(S$2))"),25520.24)</f>
        <v/>
      </c>
      <c r="T125" s="201" t="n"/>
      <c r="U125" s="252">
        <f t="array" ref="U125">IFERROR(INDEX(지수RAW!$AT$7:$AT$12040,MATCH($D125,지수RAW!$AP$7:$AP$12040,0)-1,1),지수RAW!$AU$4)</f>
        <v/>
      </c>
      <c r="V125" s="252">
        <f>IFERROR(__xludf.DUMMYFUNCTION("iferror(index('지수RAW'!$AL$7:$AL$12040,MATCH($D125,'지수RAW'!$AH$7:$AH$12040,0)-1,1),GOOGLEFINANCE(V$2))"),64324)</f>
        <v/>
      </c>
      <c r="W125" s="253">
        <f>IFERROR(__xludf.DUMMYFUNCTION("iferror(index('지수RAW'!$AD$7:$AD$12040,MATCH($D125,'지수RAW'!$Z$7:$Z$12040,0)-1,1),GOOGLEFINANCE(W$2))"),1487.77)</f>
        <v/>
      </c>
      <c r="X125" s="36">
        <f>$W125*R125</f>
        <v/>
      </c>
      <c r="Y125" s="36">
        <f>$W125*S125</f>
        <v/>
      </c>
      <c r="Z125" s="36">
        <f>$W125*U125</f>
        <v/>
      </c>
      <c r="AA125" s="36">
        <f>$W125*V125</f>
        <v/>
      </c>
      <c r="AB125" s="255" t="n"/>
      <c r="AC125" s="38">
        <f>IF(Q125="","",AC124*(W125/W124))</f>
        <v/>
      </c>
      <c r="AD125" s="38">
        <f>IF(R125="","",AD124*(X125/X124))</f>
        <v/>
      </c>
      <c r="AE125" s="38">
        <f>IF(S125="","",AE124*(Y125/Y124))</f>
        <v/>
      </c>
      <c r="AF125" s="38">
        <f>IF(U125="","",AF124*(Z125/Z124))</f>
        <v/>
      </c>
      <c r="AG125" s="38">
        <f>IF(V125="","",AG124*(AA125/AA124))</f>
        <v/>
      </c>
    </row>
    <row r="126" ht="12.75" customHeight="1" s="202">
      <c r="A126" s="201" t="n"/>
      <c r="B126" s="22">
        <f>IF(C125=12,B125+1,B125)</f>
        <v/>
      </c>
      <c r="C126" s="22">
        <f>IF(C125=12,1,C125+1)</f>
        <v/>
      </c>
      <c r="D126" s="22">
        <f>IF(F126="12월",(E126+1)&amp;VLOOKUP(F126,인덱스!$C:$D,2,0),E126&amp;VLOOKUP(F126,인덱스!$C:$D,2,0))</f>
        <v/>
      </c>
      <c r="E126" s="201">
        <f>"20"&amp;B126</f>
        <v/>
      </c>
      <c r="F126" s="201">
        <f>C126&amp;"월"</f>
        <v/>
      </c>
      <c r="G126" s="37">
        <f>B126&amp;"."&amp;VLOOKUP(F126,인덱스!$A:$B,2,0)</f>
        <v/>
      </c>
      <c r="H126" s="256">
        <f>IFERROR(VLOOKUP(G126,#REF!,2,0),)</f>
        <v/>
      </c>
      <c r="I126" s="38">
        <f>IF(Q126="","",I125*(Q126/Q125))</f>
        <v/>
      </c>
      <c r="J126" s="38">
        <f>IF(R126="","",J125*(R126/R125))</f>
        <v/>
      </c>
      <c r="K126" s="39">
        <f>IF(S126="","",K125*(S126/S125))</f>
        <v/>
      </c>
      <c r="L126" s="39">
        <f>IF(U126="","",L125*(U126/U125))</f>
        <v/>
      </c>
      <c r="M126" s="39">
        <f>IF(V126="","",M125*(V126/V125))</f>
        <v/>
      </c>
      <c r="N126" s="201" t="n"/>
      <c r="O126" s="201" t="n"/>
      <c r="P126" s="201" t="n"/>
      <c r="Q126" s="8">
        <f>IFERROR(__xludf.DUMMYFUNCTION("iferror(index('지수RAW'!$V$7:$V$12040,MATCH($D126,'지수RAW'!$R$7:$R$12040,0)-1,1),GOOGLEFINANCE(Q$2))"),6820.6)</f>
        <v/>
      </c>
      <c r="R126" s="201">
        <f>IFERROR(__xludf.DUMMYFUNCTION("iferror(index('지수RAW'!$F$7:$F$12040,MATCH($D126,'지수RAW'!$B$7:$B$12040,0)-1,1),GOOGLEFINANCE(R$2))"),7457.69)</f>
        <v/>
      </c>
      <c r="S126" s="9">
        <f>IFERROR(__xludf.DUMMYFUNCTION("iferror(index('지수RAW'!$N$7:$N$12040,MATCH($D126,'지수RAW'!$J$7:$J$12040,0)-1,1),GOOGLEFINANCE(S$2))"),25520.24)</f>
        <v/>
      </c>
      <c r="T126" s="201" t="n"/>
      <c r="U126" s="252">
        <f t="array" ref="U126">IFERROR(INDEX(지수RAW!$AT$7:$AT$12040,MATCH($D126,지수RAW!$AP$7:$AP$12040,0)-1,1),지수RAW!$AU$4)</f>
        <v/>
      </c>
      <c r="V126" s="252">
        <f>IFERROR(__xludf.DUMMYFUNCTION("iferror(index('지수RAW'!$AL$7:$AL$12040,MATCH($D126,'지수RAW'!$AH$7:$AH$12040,0)-1,1),GOOGLEFINANCE(V$2))"),64324)</f>
        <v/>
      </c>
      <c r="W126" s="253">
        <f>IFERROR(__xludf.DUMMYFUNCTION("iferror(index('지수RAW'!$AD$7:$AD$12040,MATCH($D126,'지수RAW'!$Z$7:$Z$12040,0)-1,1),GOOGLEFINANCE(W$2))"),1487.77)</f>
        <v/>
      </c>
      <c r="X126" s="36">
        <f>$W126*R126</f>
        <v/>
      </c>
      <c r="Y126" s="36">
        <f>$W126*S126</f>
        <v/>
      </c>
      <c r="Z126" s="36">
        <f>$W126*U126</f>
        <v/>
      </c>
      <c r="AA126" s="36">
        <f>$W126*V126</f>
        <v/>
      </c>
      <c r="AB126" s="255" t="n"/>
      <c r="AC126" s="38">
        <f>IF(Q126="","",AC125*(W126/W125))</f>
        <v/>
      </c>
      <c r="AD126" s="38">
        <f>IF(R126="","",AD125*(X126/X125))</f>
        <v/>
      </c>
      <c r="AE126" s="38">
        <f>IF(S126="","",AE125*(Y126/Y125))</f>
        <v/>
      </c>
      <c r="AF126" s="38">
        <f>IF(U126="","",AF125*(Z126/Z125))</f>
        <v/>
      </c>
      <c r="AG126" s="38">
        <f>IF(V126="","",AG125*(AA126/AA125))</f>
        <v/>
      </c>
    </row>
    <row r="127" ht="12.75" customHeight="1" s="202">
      <c r="A127" s="201" t="n"/>
      <c r="B127" s="22">
        <f>IF(C126=12,B126+1,B126)</f>
        <v/>
      </c>
      <c r="C127" s="22">
        <f>IF(C126=12,1,C126+1)</f>
        <v/>
      </c>
      <c r="D127" s="22">
        <f>IF(F127="12월",(E127+1)&amp;VLOOKUP(F127,인덱스!$C:$D,2,0),E127&amp;VLOOKUP(F127,인덱스!$C:$D,2,0))</f>
        <v/>
      </c>
      <c r="E127" s="201">
        <f>"20"&amp;B127</f>
        <v/>
      </c>
      <c r="F127" s="201">
        <f>C127&amp;"월"</f>
        <v/>
      </c>
      <c r="G127" s="37">
        <f>B127&amp;"."&amp;VLOOKUP(F127,인덱스!$A:$B,2,0)</f>
        <v/>
      </c>
      <c r="H127" s="256">
        <f>IFERROR(VLOOKUP(G127,#REF!,2,0),)</f>
        <v/>
      </c>
      <c r="I127" s="38">
        <f>IF(Q127="","",I126*(Q127/Q126))</f>
        <v/>
      </c>
      <c r="J127" s="38">
        <f>IF(R127="","",J126*(R127/R126))</f>
        <v/>
      </c>
      <c r="K127" s="39">
        <f>IF(S127="","",K126*(S127/S126))</f>
        <v/>
      </c>
      <c r="L127" s="39">
        <f>IF(U127="","",L126*(U127/U126))</f>
        <v/>
      </c>
      <c r="M127" s="39">
        <f>IF(V127="","",M126*(V127/V126))</f>
        <v/>
      </c>
      <c r="N127" s="201" t="n"/>
      <c r="O127" s="201" t="n"/>
      <c r="P127" s="201" t="n"/>
      <c r="Q127" s="8">
        <f>IFERROR(__xludf.DUMMYFUNCTION("iferror(index('지수RAW'!$V$7:$V$12040,MATCH($D127,'지수RAW'!$R$7:$R$12040,0)-1,1),GOOGLEFINANCE(Q$2))"),6820.6)</f>
        <v/>
      </c>
      <c r="R127" s="201">
        <f>IFERROR(__xludf.DUMMYFUNCTION("iferror(index('지수RAW'!$F$7:$F$12040,MATCH($D127,'지수RAW'!$B$7:$B$12040,0)-1,1),GOOGLEFINANCE(R$2))"),7457.69)</f>
        <v/>
      </c>
      <c r="S127" s="9">
        <f>IFERROR(__xludf.DUMMYFUNCTION("iferror(index('지수RAW'!$N$7:$N$12040,MATCH($D127,'지수RAW'!$J$7:$J$12040,0)-1,1),GOOGLEFINANCE(S$2))"),25520.24)</f>
        <v/>
      </c>
      <c r="T127" s="201" t="n"/>
      <c r="U127" s="252">
        <f t="array" ref="U127">IFERROR(INDEX(지수RAW!$AT$7:$AT$12040,MATCH($D127,지수RAW!$AP$7:$AP$12040,0)-1,1),지수RAW!$AU$4)</f>
        <v/>
      </c>
      <c r="V127" s="252">
        <f>IFERROR(__xludf.DUMMYFUNCTION("iferror(index('지수RAW'!$AL$7:$AL$12040,MATCH($D127,'지수RAW'!$AH$7:$AH$12040,0)-1,1),GOOGLEFINANCE(V$2))"),64324)</f>
        <v/>
      </c>
      <c r="W127" s="253">
        <f>IFERROR(__xludf.DUMMYFUNCTION("iferror(index('지수RAW'!$AD$7:$AD$12040,MATCH($D127,'지수RAW'!$Z$7:$Z$12040,0)-1,1),GOOGLEFINANCE(W$2))"),1487.77)</f>
        <v/>
      </c>
      <c r="X127" s="36">
        <f>$W127*R127</f>
        <v/>
      </c>
      <c r="Y127" s="36">
        <f>$W127*S127</f>
        <v/>
      </c>
      <c r="Z127" s="36">
        <f>$W127*U127</f>
        <v/>
      </c>
      <c r="AA127" s="36">
        <f>$W127*V127</f>
        <v/>
      </c>
      <c r="AB127" s="255" t="n"/>
      <c r="AC127" s="38">
        <f>IF(Q127="","",AC126*(W127/W126))</f>
        <v/>
      </c>
      <c r="AD127" s="38">
        <f>IF(R127="","",AD126*(X127/X126))</f>
        <v/>
      </c>
      <c r="AE127" s="38">
        <f>IF(S127="","",AE126*(Y127/Y126))</f>
        <v/>
      </c>
      <c r="AF127" s="38">
        <f>IF(U127="","",AF126*(Z127/Z126))</f>
        <v/>
      </c>
      <c r="AG127" s="38">
        <f>IF(V127="","",AG126*(AA127/AA126))</f>
        <v/>
      </c>
    </row>
    <row r="128" ht="12.75" customHeight="1" s="202">
      <c r="A128" s="201" t="n"/>
      <c r="B128" s="22">
        <f>IF(C127=12,B127+1,B127)</f>
        <v/>
      </c>
      <c r="C128" s="22">
        <f>IF(C127=12,1,C127+1)</f>
        <v/>
      </c>
      <c r="D128" s="22">
        <f>IF(F128="12월",(E128+1)&amp;VLOOKUP(F128,인덱스!$C:$D,2,0),E128&amp;VLOOKUP(F128,인덱스!$C:$D,2,0))</f>
        <v/>
      </c>
      <c r="E128" s="201">
        <f>"20"&amp;B128</f>
        <v/>
      </c>
      <c r="F128" s="201">
        <f>C128&amp;"월"</f>
        <v/>
      </c>
      <c r="G128" s="37">
        <f>B128&amp;"."&amp;VLOOKUP(F128,인덱스!$A:$B,2,0)</f>
        <v/>
      </c>
      <c r="H128" s="256">
        <f>IFERROR(VLOOKUP(G128,#REF!,2,0),)</f>
        <v/>
      </c>
      <c r="I128" s="38">
        <f>IF(Q128="","",I127*(Q128/Q127))</f>
        <v/>
      </c>
      <c r="J128" s="38">
        <f>IF(R128="","",J127*(R128/R127))</f>
        <v/>
      </c>
      <c r="K128" s="39">
        <f>IF(S128="","",K127*(S128/S127))</f>
        <v/>
      </c>
      <c r="L128" s="39">
        <f>IF(U128="","",L127*(U128/U127))</f>
        <v/>
      </c>
      <c r="M128" s="39">
        <f>IF(V128="","",M127*(V128/V127))</f>
        <v/>
      </c>
      <c r="N128" s="201" t="n"/>
      <c r="O128" s="201" t="n"/>
      <c r="P128" s="201" t="n"/>
      <c r="Q128" s="8">
        <f>IFERROR(__xludf.DUMMYFUNCTION("iferror(index('지수RAW'!$V$7:$V$12040,MATCH($D128,'지수RAW'!$R$7:$R$12040,0)-1,1),GOOGLEFINANCE(Q$2))"),6820.6)</f>
        <v/>
      </c>
      <c r="R128" s="201">
        <f>IFERROR(__xludf.DUMMYFUNCTION("iferror(index('지수RAW'!$F$7:$F$12040,MATCH($D128,'지수RAW'!$B$7:$B$12040,0)-1,1),GOOGLEFINANCE(R$2))"),7457.69)</f>
        <v/>
      </c>
      <c r="S128" s="9">
        <f>IFERROR(__xludf.DUMMYFUNCTION("iferror(index('지수RAW'!$N$7:$N$12040,MATCH($D128,'지수RAW'!$J$7:$J$12040,0)-1,1),GOOGLEFINANCE(S$2))"),25520.24)</f>
        <v/>
      </c>
      <c r="T128" s="201" t="n"/>
      <c r="U128" s="252">
        <f t="array" ref="U128">IFERROR(INDEX(지수RAW!$AT$7:$AT$12040,MATCH($D128,지수RAW!$AP$7:$AP$12040,0)-1,1),지수RAW!$AU$4)</f>
        <v/>
      </c>
      <c r="V128" s="252">
        <f>IFERROR(__xludf.DUMMYFUNCTION("iferror(index('지수RAW'!$AL$7:$AL$12040,MATCH($D128,'지수RAW'!$AH$7:$AH$12040,0)-1,1),GOOGLEFINANCE(V$2))"),64324)</f>
        <v/>
      </c>
      <c r="W128" s="253">
        <f>IFERROR(__xludf.DUMMYFUNCTION("iferror(index('지수RAW'!$AD$7:$AD$12040,MATCH($D128,'지수RAW'!$Z$7:$Z$12040,0)-1,1),GOOGLEFINANCE(W$2))"),1487.77)</f>
        <v/>
      </c>
      <c r="X128" s="36">
        <f>$W128*R128</f>
        <v/>
      </c>
      <c r="Y128" s="36">
        <f>$W128*S128</f>
        <v/>
      </c>
      <c r="Z128" s="36">
        <f>$W128*U128</f>
        <v/>
      </c>
      <c r="AA128" s="36">
        <f>$W128*V128</f>
        <v/>
      </c>
      <c r="AB128" s="255" t="n"/>
      <c r="AC128" s="38">
        <f>IF(Q128="","",AC127*(W128/W127))</f>
        <v/>
      </c>
      <c r="AD128" s="38">
        <f>IF(R128="","",AD127*(X128/X127))</f>
        <v/>
      </c>
      <c r="AE128" s="38">
        <f>IF(S128="","",AE127*(Y128/Y127))</f>
        <v/>
      </c>
      <c r="AF128" s="38">
        <f>IF(U128="","",AF127*(Z128/Z127))</f>
        <v/>
      </c>
      <c r="AG128" s="38">
        <f>IF(V128="","",AG127*(AA128/AA127))</f>
        <v/>
      </c>
    </row>
    <row r="129" ht="12.75" customHeight="1" s="202">
      <c r="A129" s="201" t="n"/>
      <c r="B129" s="22">
        <f>IF(C128=12,B128+1,B128)</f>
        <v/>
      </c>
      <c r="C129" s="22">
        <f>IF(C128=12,1,C128+1)</f>
        <v/>
      </c>
      <c r="D129" s="22">
        <f>IF(F129="12월",(E129+1)&amp;VLOOKUP(F129,인덱스!$C:$D,2,0),E129&amp;VLOOKUP(F129,인덱스!$C:$D,2,0))</f>
        <v/>
      </c>
      <c r="E129" s="201">
        <f>"20"&amp;B129</f>
        <v/>
      </c>
      <c r="F129" s="201">
        <f>C129&amp;"월"</f>
        <v/>
      </c>
      <c r="G129" s="37">
        <f>B129&amp;"."&amp;VLOOKUP(F129,인덱스!$A:$B,2,0)</f>
        <v/>
      </c>
      <c r="H129" s="256">
        <f>IFERROR(VLOOKUP(G129,#REF!,2,0),)</f>
        <v/>
      </c>
      <c r="I129" s="38">
        <f>IF(Q129="","",I128*(Q129/Q128))</f>
        <v/>
      </c>
      <c r="J129" s="38">
        <f>IF(R129="","",J128*(R129/R128))</f>
        <v/>
      </c>
      <c r="K129" s="39">
        <f>IF(S129="","",K128*(S129/S128))</f>
        <v/>
      </c>
      <c r="L129" s="39">
        <f>IF(U129="","",L128*(U129/U128))</f>
        <v/>
      </c>
      <c r="M129" s="39">
        <f>IF(V129="","",M128*(V129/V128))</f>
        <v/>
      </c>
      <c r="N129" s="201" t="n"/>
      <c r="O129" s="201" t="n"/>
      <c r="P129" s="201" t="n"/>
      <c r="Q129" s="8">
        <f>IFERROR(__xludf.DUMMYFUNCTION("iferror(index('지수RAW'!$V$7:$V$12040,MATCH($D129,'지수RAW'!$R$7:$R$12040,0)-1,1),GOOGLEFINANCE(Q$2))"),6820.6)</f>
        <v/>
      </c>
      <c r="R129" s="201">
        <f>IFERROR(__xludf.DUMMYFUNCTION("iferror(index('지수RAW'!$F$7:$F$12040,MATCH($D129,'지수RAW'!$B$7:$B$12040,0)-1,1),GOOGLEFINANCE(R$2))"),7457.69)</f>
        <v/>
      </c>
      <c r="S129" s="9">
        <f>IFERROR(__xludf.DUMMYFUNCTION("iferror(index('지수RAW'!$N$7:$N$12040,MATCH($D129,'지수RAW'!$J$7:$J$12040,0)-1,1),GOOGLEFINANCE(S$2))"),25520.24)</f>
        <v/>
      </c>
      <c r="T129" s="201" t="n"/>
      <c r="U129" s="252">
        <f t="array" ref="U129">IFERROR(INDEX(지수RAW!$AT$7:$AT$12040,MATCH($D129,지수RAW!$AP$7:$AP$12040,0)-1,1),지수RAW!$AU$4)</f>
        <v/>
      </c>
      <c r="V129" s="252">
        <f>IFERROR(__xludf.DUMMYFUNCTION("iferror(index('지수RAW'!$AL$7:$AL$12040,MATCH($D129,'지수RAW'!$AH$7:$AH$12040,0)-1,1),GOOGLEFINANCE(V$2))"),64324)</f>
        <v/>
      </c>
      <c r="W129" s="253">
        <f>IFERROR(__xludf.DUMMYFUNCTION("iferror(index('지수RAW'!$AD$7:$AD$12040,MATCH($D129,'지수RAW'!$Z$7:$Z$12040,0)-1,1),GOOGLEFINANCE(W$2))"),1487.77)</f>
        <v/>
      </c>
      <c r="X129" s="36">
        <f>$W129*R129</f>
        <v/>
      </c>
      <c r="Y129" s="36">
        <f>$W129*S129</f>
        <v/>
      </c>
      <c r="Z129" s="36">
        <f>$W129*U129</f>
        <v/>
      </c>
      <c r="AA129" s="36">
        <f>$W129*V129</f>
        <v/>
      </c>
      <c r="AB129" s="255" t="n"/>
      <c r="AC129" s="38">
        <f>IF(Q129="","",AC128*(W129/W128))</f>
        <v/>
      </c>
      <c r="AD129" s="38">
        <f>IF(R129="","",AD128*(X129/X128))</f>
        <v/>
      </c>
      <c r="AE129" s="38">
        <f>IF(S129="","",AE128*(Y129/Y128))</f>
        <v/>
      </c>
      <c r="AF129" s="38">
        <f>IF(U129="","",AF128*(Z129/Z128))</f>
        <v/>
      </c>
      <c r="AG129" s="38">
        <f>IF(V129="","",AG128*(AA129/AA128))</f>
        <v/>
      </c>
    </row>
    <row r="130" ht="12.75" customHeight="1" s="202">
      <c r="A130" s="201" t="n"/>
      <c r="B130" s="22">
        <f>IF(C129=12,B129+1,B129)</f>
        <v/>
      </c>
      <c r="C130" s="22">
        <f>IF(C129=12,1,C129+1)</f>
        <v/>
      </c>
      <c r="D130" s="22">
        <f>IF(F130="12월",(E130+1)&amp;VLOOKUP(F130,인덱스!$C:$D,2,0),E130&amp;VLOOKUP(F130,인덱스!$C:$D,2,0))</f>
        <v/>
      </c>
      <c r="E130" s="201">
        <f>"20"&amp;B130</f>
        <v/>
      </c>
      <c r="F130" s="201">
        <f>C130&amp;"월"</f>
        <v/>
      </c>
      <c r="G130" s="37">
        <f>B130&amp;"."&amp;VLOOKUP(F130,인덱스!$A:$B,2,0)</f>
        <v/>
      </c>
      <c r="H130" s="256">
        <f>IFERROR(VLOOKUP(G130,#REF!,2,0),)</f>
        <v/>
      </c>
      <c r="I130" s="38">
        <f>IF(Q130="","",I129*(Q130/Q129))</f>
        <v/>
      </c>
      <c r="J130" s="38">
        <f>IF(R130="","",J129*(R130/R129))</f>
        <v/>
      </c>
      <c r="K130" s="39">
        <f>IF(S130="","",K129*(S130/S129))</f>
        <v/>
      </c>
      <c r="L130" s="39">
        <f>IF(U130="","",L129*(U130/U129))</f>
        <v/>
      </c>
      <c r="M130" s="39">
        <f>IF(V130="","",M129*(V130/V129))</f>
        <v/>
      </c>
      <c r="N130" s="201" t="n"/>
      <c r="O130" s="201" t="n"/>
      <c r="P130" s="201" t="n"/>
      <c r="Q130" s="8">
        <f>IFERROR(__xludf.DUMMYFUNCTION("iferror(index('지수RAW'!$V$7:$V$12040,MATCH($D130,'지수RAW'!$R$7:$R$12040,0)-1,1),GOOGLEFINANCE(Q$2))"),6820.6)</f>
        <v/>
      </c>
      <c r="R130" s="201">
        <f>IFERROR(__xludf.DUMMYFUNCTION("iferror(index('지수RAW'!$F$7:$F$12040,MATCH($D130,'지수RAW'!$B$7:$B$12040,0)-1,1),GOOGLEFINANCE(R$2))"),7457.69)</f>
        <v/>
      </c>
      <c r="S130" s="9">
        <f>IFERROR(__xludf.DUMMYFUNCTION("iferror(index('지수RAW'!$N$7:$N$12040,MATCH($D130,'지수RAW'!$J$7:$J$12040,0)-1,1),GOOGLEFINANCE(S$2))"),25520.24)</f>
        <v/>
      </c>
      <c r="T130" s="201" t="n"/>
      <c r="U130" s="252">
        <f t="array" ref="U130">IFERROR(INDEX(지수RAW!$AT$7:$AT$12040,MATCH($D130,지수RAW!$AP$7:$AP$12040,0)-1,1),지수RAW!$AU$4)</f>
        <v/>
      </c>
      <c r="V130" s="252">
        <f>IFERROR(__xludf.DUMMYFUNCTION("iferror(index('지수RAW'!$AL$7:$AL$12040,MATCH($D130,'지수RAW'!$AH$7:$AH$12040,0)-1,1),GOOGLEFINANCE(V$2))"),64324)</f>
        <v/>
      </c>
      <c r="W130" s="253">
        <f>IFERROR(__xludf.DUMMYFUNCTION("iferror(index('지수RAW'!$AD$7:$AD$12040,MATCH($D130,'지수RAW'!$Z$7:$Z$12040,0)-1,1),GOOGLEFINANCE(W$2))"),1487.77)</f>
        <v/>
      </c>
      <c r="X130" s="36">
        <f>$W130*R130</f>
        <v/>
      </c>
      <c r="Y130" s="36">
        <f>$W130*S130</f>
        <v/>
      </c>
      <c r="Z130" s="36">
        <f>$W130*U130</f>
        <v/>
      </c>
      <c r="AA130" s="36">
        <f>$W130*V130</f>
        <v/>
      </c>
      <c r="AB130" s="255" t="n"/>
      <c r="AC130" s="38">
        <f>IF(Q130="","",AC129*(W130/W129))</f>
        <v/>
      </c>
      <c r="AD130" s="38">
        <f>IF(R130="","",AD129*(X130/X129))</f>
        <v/>
      </c>
      <c r="AE130" s="38">
        <f>IF(S130="","",AE129*(Y130/Y129))</f>
        <v/>
      </c>
      <c r="AF130" s="38">
        <f>IF(U130="","",AF129*(Z130/Z129))</f>
        <v/>
      </c>
      <c r="AG130" s="38">
        <f>IF(V130="","",AG129*(AA130/AA129))</f>
        <v/>
      </c>
    </row>
    <row r="131" ht="12.75" customHeight="1" s="202">
      <c r="A131" s="201" t="n"/>
      <c r="B131" s="22">
        <f>IF(C130=12,B130+1,B130)</f>
        <v/>
      </c>
      <c r="C131" s="22">
        <f>IF(C130=12,1,C130+1)</f>
        <v/>
      </c>
      <c r="D131" s="22">
        <f>IF(F131="12월",(E131+1)&amp;VLOOKUP(F131,인덱스!$C:$D,2,0),E131&amp;VLOOKUP(F131,인덱스!$C:$D,2,0))</f>
        <v/>
      </c>
      <c r="E131" s="201">
        <f>"20"&amp;B131</f>
        <v/>
      </c>
      <c r="F131" s="201">
        <f>C131&amp;"월"</f>
        <v/>
      </c>
      <c r="G131" s="37">
        <f>B131&amp;"."&amp;VLOOKUP(F131,인덱스!$A:$B,2,0)</f>
        <v/>
      </c>
      <c r="H131" s="256">
        <f>IFERROR(VLOOKUP(G131,#REF!,2,0),)</f>
        <v/>
      </c>
      <c r="I131" s="38">
        <f>IF(Q131="","",I130*(Q131/Q130))</f>
        <v/>
      </c>
      <c r="J131" s="38">
        <f>IF(R131="","",J130*(R131/R130))</f>
        <v/>
      </c>
      <c r="K131" s="39">
        <f>IF(S131="","",K130*(S131/S130))</f>
        <v/>
      </c>
      <c r="L131" s="39">
        <f>IF(U131="","",L130*(U131/U130))</f>
        <v/>
      </c>
      <c r="M131" s="39">
        <f>IF(V131="","",M130*(V131/V130))</f>
        <v/>
      </c>
      <c r="N131" s="201" t="n"/>
      <c r="O131" s="201" t="n"/>
      <c r="P131" s="201" t="n"/>
      <c r="Q131" s="8">
        <f>IFERROR(__xludf.DUMMYFUNCTION("iferror(index('지수RAW'!$V$7:$V$12040,MATCH($D131,'지수RAW'!$R$7:$R$12040,0)-1,1),GOOGLEFINANCE(Q$2))"),6820.6)</f>
        <v/>
      </c>
      <c r="R131" s="201">
        <f>IFERROR(__xludf.DUMMYFUNCTION("iferror(index('지수RAW'!$F$7:$F$12040,MATCH($D131,'지수RAW'!$B$7:$B$12040,0)-1,1),GOOGLEFINANCE(R$2))"),7457.69)</f>
        <v/>
      </c>
      <c r="S131" s="9">
        <f>IFERROR(__xludf.DUMMYFUNCTION("iferror(index('지수RAW'!$N$7:$N$12040,MATCH($D131,'지수RAW'!$J$7:$J$12040,0)-1,1),GOOGLEFINANCE(S$2))"),25520.24)</f>
        <v/>
      </c>
      <c r="T131" s="201" t="n"/>
      <c r="U131" s="252">
        <f t="array" ref="U131">IFERROR(INDEX(지수RAW!$AT$7:$AT$12040,MATCH($D131,지수RAW!$AP$7:$AP$12040,0)-1,1),지수RAW!$AU$4)</f>
        <v/>
      </c>
      <c r="V131" s="252">
        <f>IFERROR(__xludf.DUMMYFUNCTION("iferror(index('지수RAW'!$AL$7:$AL$12040,MATCH($D131,'지수RAW'!$AH$7:$AH$12040,0)-1,1),GOOGLEFINANCE(V$2))"),64324)</f>
        <v/>
      </c>
      <c r="W131" s="253">
        <f>IFERROR(__xludf.DUMMYFUNCTION("iferror(index('지수RAW'!$AD$7:$AD$12040,MATCH($D131,'지수RAW'!$Z$7:$Z$12040,0)-1,1),GOOGLEFINANCE(W$2))"),1487.77)</f>
        <v/>
      </c>
      <c r="X131" s="36">
        <f>$W131*R131</f>
        <v/>
      </c>
      <c r="Y131" s="36">
        <f>$W131*S131</f>
        <v/>
      </c>
      <c r="Z131" s="36">
        <f>$W131*U131</f>
        <v/>
      </c>
      <c r="AA131" s="36">
        <f>$W131*V131</f>
        <v/>
      </c>
      <c r="AB131" s="255" t="n"/>
      <c r="AC131" s="38">
        <f>IF(Q131="","",AC130*(W131/W130))</f>
        <v/>
      </c>
      <c r="AD131" s="38">
        <f>IF(R131="","",AD130*(X131/X130))</f>
        <v/>
      </c>
      <c r="AE131" s="38">
        <f>IF(S131="","",AE130*(Y131/Y130))</f>
        <v/>
      </c>
      <c r="AF131" s="38">
        <f>IF(U131="","",AF130*(Z131/Z130))</f>
        <v/>
      </c>
      <c r="AG131" s="38">
        <f>IF(V131="","",AG130*(AA131/AA130))</f>
        <v/>
      </c>
    </row>
    <row r="132" ht="12.75" customHeight="1" s="202">
      <c r="A132" s="201" t="n"/>
      <c r="B132" s="22">
        <f>IF(C131=12,B131+1,B131)</f>
        <v/>
      </c>
      <c r="C132" s="22">
        <f>IF(C131=12,1,C131+1)</f>
        <v/>
      </c>
      <c r="D132" s="22">
        <f>IF(F132="12월",(E132+1)&amp;VLOOKUP(F132,인덱스!$C:$D,2,0),E132&amp;VLOOKUP(F132,인덱스!$C:$D,2,0))</f>
        <v/>
      </c>
      <c r="E132" s="201">
        <f>"20"&amp;B132</f>
        <v/>
      </c>
      <c r="F132" s="201">
        <f>C132&amp;"월"</f>
        <v/>
      </c>
      <c r="G132" s="37">
        <f>B132&amp;"."&amp;VLOOKUP(F132,인덱스!$A:$B,2,0)</f>
        <v/>
      </c>
      <c r="H132" s="256">
        <f>IFERROR(VLOOKUP(G132,#REF!,2,0),)</f>
        <v/>
      </c>
      <c r="I132" s="38">
        <f>IF(Q132="","",I131*(Q132/Q131))</f>
        <v/>
      </c>
      <c r="J132" s="38">
        <f>IF(R132="","",J131*(R132/R131))</f>
        <v/>
      </c>
      <c r="K132" s="39">
        <f>IF(S132="","",K131*(S132/S131))</f>
        <v/>
      </c>
      <c r="L132" s="39">
        <f>IF(U132="","",L131*(U132/U131))</f>
        <v/>
      </c>
      <c r="M132" s="39">
        <f>IF(V132="","",M131*(V132/V131))</f>
        <v/>
      </c>
      <c r="N132" s="201" t="n"/>
      <c r="O132" s="201" t="n"/>
      <c r="P132" s="201" t="n"/>
      <c r="Q132" s="8">
        <f>IFERROR(__xludf.DUMMYFUNCTION("iferror(index('지수RAW'!$V$7:$V$12040,MATCH($D132,'지수RAW'!$R$7:$R$12040,0)-1,1),GOOGLEFINANCE(Q$2))"),6820.6)</f>
        <v/>
      </c>
      <c r="R132" s="201">
        <f>IFERROR(__xludf.DUMMYFUNCTION("iferror(index('지수RAW'!$F$7:$F$12040,MATCH($D132,'지수RAW'!$B$7:$B$12040,0)-1,1),GOOGLEFINANCE(R$2))"),7457.69)</f>
        <v/>
      </c>
      <c r="S132" s="9">
        <f>IFERROR(__xludf.DUMMYFUNCTION("iferror(index('지수RAW'!$N$7:$N$12040,MATCH($D132,'지수RAW'!$J$7:$J$12040,0)-1,1),GOOGLEFINANCE(S$2))"),25520.24)</f>
        <v/>
      </c>
      <c r="T132" s="201" t="n"/>
      <c r="U132" s="252">
        <f t="array" ref="U132">IFERROR(INDEX(지수RAW!$AT$7:$AT$12040,MATCH($D132,지수RAW!$AP$7:$AP$12040,0)-1,1),지수RAW!$AU$4)</f>
        <v/>
      </c>
      <c r="V132" s="252">
        <f>IFERROR(__xludf.DUMMYFUNCTION("iferror(index('지수RAW'!$AL$7:$AL$12040,MATCH($D132,'지수RAW'!$AH$7:$AH$12040,0)-1,1),GOOGLEFINANCE(V$2))"),64324)</f>
        <v/>
      </c>
      <c r="W132" s="253">
        <f>IFERROR(__xludf.DUMMYFUNCTION("iferror(index('지수RAW'!$AD$7:$AD$12040,MATCH($D132,'지수RAW'!$Z$7:$Z$12040,0)-1,1),GOOGLEFINANCE(W$2))"),1487.77)</f>
        <v/>
      </c>
      <c r="X132" s="36">
        <f>$W132*R132</f>
        <v/>
      </c>
      <c r="Y132" s="36">
        <f>$W132*S132</f>
        <v/>
      </c>
      <c r="Z132" s="36">
        <f>$W132*U132</f>
        <v/>
      </c>
      <c r="AA132" s="36">
        <f>$W132*V132</f>
        <v/>
      </c>
      <c r="AB132" s="255" t="n"/>
      <c r="AC132" s="38">
        <f>IF(Q132="","",AC131*(W132/W131))</f>
        <v/>
      </c>
      <c r="AD132" s="38">
        <f>IF(R132="","",AD131*(X132/X131))</f>
        <v/>
      </c>
      <c r="AE132" s="38">
        <f>IF(S132="","",AE131*(Y132/Y131))</f>
        <v/>
      </c>
      <c r="AF132" s="38">
        <f>IF(U132="","",AF131*(Z132/Z131))</f>
        <v/>
      </c>
      <c r="AG132" s="38">
        <f>IF(V132="","",AG131*(AA132/AA131))</f>
        <v/>
      </c>
    </row>
    <row r="133" ht="12.75" customHeight="1" s="202">
      <c r="A133" s="201" t="n"/>
      <c r="B133" s="22">
        <f>IF(C132=12,B132+1,B132)</f>
        <v/>
      </c>
      <c r="C133" s="22">
        <f>IF(C132=12,1,C132+1)</f>
        <v/>
      </c>
      <c r="D133" s="22">
        <f>IF(F133="12월",(E133+1)&amp;VLOOKUP(F133,인덱스!$C:$D,2,0),E133&amp;VLOOKUP(F133,인덱스!$C:$D,2,0))</f>
        <v/>
      </c>
      <c r="E133" s="201">
        <f>"20"&amp;B133</f>
        <v/>
      </c>
      <c r="F133" s="201">
        <f>C133&amp;"월"</f>
        <v/>
      </c>
      <c r="G133" s="37">
        <f>B133&amp;"."&amp;VLOOKUP(F133,인덱스!$A:$B,2,0)</f>
        <v/>
      </c>
      <c r="H133" s="256">
        <f>IFERROR(VLOOKUP(G133,#REF!,2,0),)</f>
        <v/>
      </c>
      <c r="I133" s="38">
        <f>IF(Q133="","",I132*(Q133/Q132))</f>
        <v/>
      </c>
      <c r="J133" s="38">
        <f>IF(R133="","",J132*(R133/R132))</f>
        <v/>
      </c>
      <c r="K133" s="39">
        <f>IF(S133="","",K132*(S133/S132))</f>
        <v/>
      </c>
      <c r="L133" s="39">
        <f>IF(U133="","",L132*(U133/U132))</f>
        <v/>
      </c>
      <c r="M133" s="39">
        <f>IF(V133="","",M132*(V133/V132))</f>
        <v/>
      </c>
      <c r="N133" s="201" t="n"/>
      <c r="O133" s="201" t="n"/>
      <c r="P133" s="201" t="n"/>
      <c r="Q133" s="8">
        <f>IFERROR(__xludf.DUMMYFUNCTION("iferror(index('지수RAW'!$V$7:$V$12040,MATCH($D133,'지수RAW'!$R$7:$R$12040,0)-1,1),GOOGLEFINANCE(Q$2))"),6820.6)</f>
        <v/>
      </c>
      <c r="R133" s="201">
        <f>IFERROR(__xludf.DUMMYFUNCTION("iferror(index('지수RAW'!$F$7:$F$12040,MATCH($D133,'지수RAW'!$B$7:$B$12040,0)-1,1),GOOGLEFINANCE(R$2))"),7457.69)</f>
        <v/>
      </c>
      <c r="S133" s="9">
        <f>IFERROR(__xludf.DUMMYFUNCTION("iferror(index('지수RAW'!$N$7:$N$12040,MATCH($D133,'지수RAW'!$J$7:$J$12040,0)-1,1),GOOGLEFINANCE(S$2))"),25520.24)</f>
        <v/>
      </c>
      <c r="T133" s="201" t="n"/>
      <c r="U133" s="252">
        <f t="array" ref="U133">IFERROR(INDEX(지수RAW!$AT$7:$AT$12040,MATCH($D133,지수RAW!$AP$7:$AP$12040,0)-1,1),지수RAW!$AU$4)</f>
        <v/>
      </c>
      <c r="V133" s="252">
        <f>IFERROR(__xludf.DUMMYFUNCTION("iferror(index('지수RAW'!$AL$7:$AL$12040,MATCH($D133,'지수RAW'!$AH$7:$AH$12040,0)-1,1),GOOGLEFINANCE(V$2))"),64324)</f>
        <v/>
      </c>
      <c r="W133" s="253">
        <f>IFERROR(__xludf.DUMMYFUNCTION("iferror(index('지수RAW'!$AD$7:$AD$12040,MATCH($D133,'지수RAW'!$Z$7:$Z$12040,0)-1,1),GOOGLEFINANCE(W$2))"),1487.77)</f>
        <v/>
      </c>
      <c r="X133" s="36">
        <f>$W133*R133</f>
        <v/>
      </c>
      <c r="Y133" s="36">
        <f>$W133*S133</f>
        <v/>
      </c>
      <c r="Z133" s="36">
        <f>$W133*U133</f>
        <v/>
      </c>
      <c r="AA133" s="36">
        <f>$W133*V133</f>
        <v/>
      </c>
      <c r="AB133" s="255" t="n"/>
      <c r="AC133" s="38">
        <f>IF(Q133="","",AC132*(W133/W132))</f>
        <v/>
      </c>
      <c r="AD133" s="38">
        <f>IF(R133="","",AD132*(X133/X132))</f>
        <v/>
      </c>
      <c r="AE133" s="38">
        <f>IF(S133="","",AE132*(Y133/Y132))</f>
        <v/>
      </c>
      <c r="AF133" s="38">
        <f>IF(U133="","",AF132*(Z133/Z132))</f>
        <v/>
      </c>
      <c r="AG133" s="38">
        <f>IF(V133="","",AG132*(AA133/AA132))</f>
        <v/>
      </c>
    </row>
    <row r="134" ht="12.75" customHeight="1" s="202">
      <c r="A134" s="201" t="n"/>
      <c r="B134" s="22">
        <f>IF(C133=12,B133+1,B133)</f>
        <v/>
      </c>
      <c r="C134" s="22">
        <f>IF(C133=12,1,C133+1)</f>
        <v/>
      </c>
      <c r="D134" s="22">
        <f>IF(F134="12월",(E134+1)&amp;VLOOKUP(F134,인덱스!$C:$D,2,0),E134&amp;VLOOKUP(F134,인덱스!$C:$D,2,0))</f>
        <v/>
      </c>
      <c r="E134" s="201">
        <f>"20"&amp;B134</f>
        <v/>
      </c>
      <c r="F134" s="201">
        <f>C134&amp;"월"</f>
        <v/>
      </c>
      <c r="G134" s="37">
        <f>B134&amp;"."&amp;VLOOKUP(F134,인덱스!$A:$B,2,0)</f>
        <v/>
      </c>
      <c r="H134" s="256">
        <f>IFERROR(VLOOKUP(G134,#REF!,2,0),)</f>
        <v/>
      </c>
      <c r="I134" s="38">
        <f>IF(Q134="","",I133*(Q134/Q133))</f>
        <v/>
      </c>
      <c r="J134" s="38">
        <f>IF(R134="","",J133*(R134/R133))</f>
        <v/>
      </c>
      <c r="K134" s="39">
        <f>IF(S134="","",K133*(S134/S133))</f>
        <v/>
      </c>
      <c r="L134" s="39">
        <f>IF(U134="","",L133*(U134/U133))</f>
        <v/>
      </c>
      <c r="M134" s="39">
        <f>IF(V134="","",M133*(V134/V133))</f>
        <v/>
      </c>
      <c r="N134" s="201" t="n"/>
      <c r="O134" s="201" t="n"/>
      <c r="P134" s="201" t="n"/>
      <c r="Q134" s="8">
        <f>IFERROR(__xludf.DUMMYFUNCTION("iferror(index('지수RAW'!$V$7:$V$12040,MATCH($D134,'지수RAW'!$R$7:$R$12040,0)-1,1),GOOGLEFINANCE(Q$2))"),6820.6)</f>
        <v/>
      </c>
      <c r="R134" s="201">
        <f>IFERROR(__xludf.DUMMYFUNCTION("iferror(index('지수RAW'!$F$7:$F$12040,MATCH($D134,'지수RAW'!$B$7:$B$12040,0)-1,1),GOOGLEFINANCE(R$2))"),7457.69)</f>
        <v/>
      </c>
      <c r="S134" s="9">
        <f>IFERROR(__xludf.DUMMYFUNCTION("iferror(index('지수RAW'!$N$7:$N$12040,MATCH($D134,'지수RAW'!$J$7:$J$12040,0)-1,1),GOOGLEFINANCE(S$2))"),25520.24)</f>
        <v/>
      </c>
      <c r="T134" s="201" t="n"/>
      <c r="U134" s="252">
        <f t="array" ref="U134">IFERROR(INDEX(지수RAW!$AT$7:$AT$12040,MATCH($D134,지수RAW!$AP$7:$AP$12040,0)-1,1),지수RAW!$AU$4)</f>
        <v/>
      </c>
      <c r="V134" s="252">
        <f>IFERROR(__xludf.DUMMYFUNCTION("iferror(index('지수RAW'!$AL$7:$AL$12040,MATCH($D134,'지수RAW'!$AH$7:$AH$12040,0)-1,1),GOOGLEFINANCE(V$2))"),64324)</f>
        <v/>
      </c>
      <c r="W134" s="253">
        <f>IFERROR(__xludf.DUMMYFUNCTION("iferror(index('지수RAW'!$AD$7:$AD$12040,MATCH($D134,'지수RAW'!$Z$7:$Z$12040,0)-1,1),GOOGLEFINANCE(W$2))"),1487.77)</f>
        <v/>
      </c>
      <c r="X134" s="36">
        <f>$W134*R134</f>
        <v/>
      </c>
      <c r="Y134" s="36">
        <f>$W134*S134</f>
        <v/>
      </c>
      <c r="Z134" s="36">
        <f>$W134*U134</f>
        <v/>
      </c>
      <c r="AA134" s="36">
        <f>$W134*V134</f>
        <v/>
      </c>
      <c r="AB134" s="255" t="n"/>
      <c r="AC134" s="38">
        <f>IF(Q134="","",AC133*(W134/W133))</f>
        <v/>
      </c>
      <c r="AD134" s="38">
        <f>IF(R134="","",AD133*(X134/X133))</f>
        <v/>
      </c>
      <c r="AE134" s="38">
        <f>IF(S134="","",AE133*(Y134/Y133))</f>
        <v/>
      </c>
      <c r="AF134" s="38">
        <f>IF(U134="","",AF133*(Z134/Z133))</f>
        <v/>
      </c>
      <c r="AG134" s="38">
        <f>IF(V134="","",AG133*(AA134/AA133))</f>
        <v/>
      </c>
    </row>
    <row r="135" ht="12.75" customHeight="1" s="202">
      <c r="A135" s="201" t="n"/>
      <c r="B135" s="22">
        <f>IF(C134=12,B134+1,B134)</f>
        <v/>
      </c>
      <c r="C135" s="22">
        <f>IF(C134=12,1,C134+1)</f>
        <v/>
      </c>
      <c r="D135" s="22">
        <f>IF(F135="12월",(E135+1)&amp;VLOOKUP(F135,인덱스!$C:$D,2,0),E135&amp;VLOOKUP(F135,인덱스!$C:$D,2,0))</f>
        <v/>
      </c>
      <c r="E135" s="201">
        <f>"20"&amp;B135</f>
        <v/>
      </c>
      <c r="F135" s="201">
        <f>C135&amp;"월"</f>
        <v/>
      </c>
      <c r="G135" s="37">
        <f>B135&amp;"."&amp;VLOOKUP(F135,인덱스!$A:$B,2,0)</f>
        <v/>
      </c>
      <c r="H135" s="256">
        <f>IFERROR(VLOOKUP(G135,#REF!,2,0),)</f>
        <v/>
      </c>
      <c r="I135" s="38">
        <f>IF(Q135="","",I134*(Q135/Q134))</f>
        <v/>
      </c>
      <c r="J135" s="38">
        <f>IF(R135="","",J134*(R135/R134))</f>
        <v/>
      </c>
      <c r="K135" s="39">
        <f>IF(S135="","",K134*(S135/S134))</f>
        <v/>
      </c>
      <c r="L135" s="39">
        <f>IF(U135="","",L134*(U135/U134))</f>
        <v/>
      </c>
      <c r="M135" s="39">
        <f>IF(V135="","",M134*(V135/V134))</f>
        <v/>
      </c>
      <c r="N135" s="201" t="n"/>
      <c r="O135" s="201" t="n"/>
      <c r="P135" s="201" t="n"/>
      <c r="Q135" s="8">
        <f>IFERROR(__xludf.DUMMYFUNCTION("iferror(index('지수RAW'!$V$7:$V$12040,MATCH($D135,'지수RAW'!$R$7:$R$12040,0)-1,1),GOOGLEFINANCE(Q$2))"),6820.6)</f>
        <v/>
      </c>
      <c r="R135" s="201">
        <f>IFERROR(__xludf.DUMMYFUNCTION("iferror(index('지수RAW'!$F$7:$F$12040,MATCH($D135,'지수RAW'!$B$7:$B$12040,0)-1,1),GOOGLEFINANCE(R$2))"),7457.69)</f>
        <v/>
      </c>
      <c r="S135" s="9">
        <f>IFERROR(__xludf.DUMMYFUNCTION("iferror(index('지수RAW'!$N$7:$N$12040,MATCH($D135,'지수RAW'!$J$7:$J$12040,0)-1,1),GOOGLEFINANCE(S$2))"),25520.24)</f>
        <v/>
      </c>
      <c r="T135" s="201" t="n"/>
      <c r="U135" s="252">
        <f t="array" ref="U135">IFERROR(INDEX(지수RAW!$AT$7:$AT$12040,MATCH($D135,지수RAW!$AP$7:$AP$12040,0)-1,1),지수RAW!$AU$4)</f>
        <v/>
      </c>
      <c r="V135" s="252">
        <f>IFERROR(__xludf.DUMMYFUNCTION("iferror(index('지수RAW'!$AL$7:$AL$12040,MATCH($D135,'지수RAW'!$AH$7:$AH$12040,0)-1,1),GOOGLEFINANCE(V$2))"),64324)</f>
        <v/>
      </c>
      <c r="W135" s="253">
        <f>IFERROR(__xludf.DUMMYFUNCTION("iferror(index('지수RAW'!$AD$7:$AD$12040,MATCH($D135,'지수RAW'!$Z$7:$Z$12040,0)-1,1),GOOGLEFINANCE(W$2))"),1487.77)</f>
        <v/>
      </c>
      <c r="X135" s="36">
        <f>$W135*R135</f>
        <v/>
      </c>
      <c r="Y135" s="36">
        <f>$W135*S135</f>
        <v/>
      </c>
      <c r="Z135" s="36">
        <f>$W135*U135</f>
        <v/>
      </c>
      <c r="AA135" s="36">
        <f>$W135*V135</f>
        <v/>
      </c>
      <c r="AB135" s="255" t="n"/>
      <c r="AC135" s="38">
        <f>IF(Q135="","",AC134*(W135/W134))</f>
        <v/>
      </c>
      <c r="AD135" s="38">
        <f>IF(R135="","",AD134*(X135/X134))</f>
        <v/>
      </c>
      <c r="AE135" s="38">
        <f>IF(S135="","",AE134*(Y135/Y134))</f>
        <v/>
      </c>
      <c r="AF135" s="38">
        <f>IF(U135="","",AF134*(Z135/Z134))</f>
        <v/>
      </c>
      <c r="AG135" s="38">
        <f>IF(V135="","",AG134*(AA135/AA134))</f>
        <v/>
      </c>
    </row>
    <row r="136" ht="12.75" customHeight="1" s="202">
      <c r="A136" s="201" t="n"/>
      <c r="B136" s="22">
        <f>IF(C135=12,B135+1,B135)</f>
        <v/>
      </c>
      <c r="C136" s="22">
        <f>IF(C135=12,1,C135+1)</f>
        <v/>
      </c>
      <c r="D136" s="22">
        <f>IF(F136="12월",(E136+1)&amp;VLOOKUP(F136,인덱스!$C:$D,2,0),E136&amp;VLOOKUP(F136,인덱스!$C:$D,2,0))</f>
        <v/>
      </c>
      <c r="E136" s="201">
        <f>"20"&amp;B136</f>
        <v/>
      </c>
      <c r="F136" s="201">
        <f>C136&amp;"월"</f>
        <v/>
      </c>
      <c r="G136" s="37">
        <f>B136&amp;"."&amp;VLOOKUP(F136,인덱스!$A:$B,2,0)</f>
        <v/>
      </c>
      <c r="H136" s="256">
        <f>IFERROR(VLOOKUP(G136,#REF!,2,0),)</f>
        <v/>
      </c>
      <c r="I136" s="38">
        <f>IF(Q136="","",I135*(Q136/Q135))</f>
        <v/>
      </c>
      <c r="J136" s="38">
        <f>IF(R136="","",J135*(R136/R135))</f>
        <v/>
      </c>
      <c r="K136" s="39">
        <f>IF(S136="","",K135*(S136/S135))</f>
        <v/>
      </c>
      <c r="L136" s="39">
        <f>IF(U136="","",L135*(U136/U135))</f>
        <v/>
      </c>
      <c r="M136" s="39">
        <f>IF(V136="","",M135*(V136/V135))</f>
        <v/>
      </c>
      <c r="N136" s="201" t="n"/>
      <c r="O136" s="201" t="n"/>
      <c r="P136" s="201" t="n"/>
      <c r="Q136" s="8">
        <f>IFERROR(__xludf.DUMMYFUNCTION("iferror(index('지수RAW'!$V$7:$V$12040,MATCH($D136,'지수RAW'!$R$7:$R$12040,0)-1,1),GOOGLEFINANCE(Q$2))"),6820.6)</f>
        <v/>
      </c>
      <c r="R136" s="201">
        <f>IFERROR(__xludf.DUMMYFUNCTION("iferror(index('지수RAW'!$F$7:$F$12040,MATCH($D136,'지수RAW'!$B$7:$B$12040,0)-1,1),GOOGLEFINANCE(R$2))"),7457.69)</f>
        <v/>
      </c>
      <c r="S136" s="9">
        <f>IFERROR(__xludf.DUMMYFUNCTION("iferror(index('지수RAW'!$N$7:$N$12040,MATCH($D136,'지수RAW'!$J$7:$J$12040,0)-1,1),GOOGLEFINANCE(S$2))"),25520.24)</f>
        <v/>
      </c>
      <c r="T136" s="201" t="n"/>
      <c r="U136" s="252">
        <f t="array" ref="U136">IFERROR(INDEX(지수RAW!$AT$7:$AT$12040,MATCH($D136,지수RAW!$AP$7:$AP$12040,0)-1,1),지수RAW!$AU$4)</f>
        <v/>
      </c>
      <c r="V136" s="252">
        <f>IFERROR(__xludf.DUMMYFUNCTION("iferror(index('지수RAW'!$AL$7:$AL$12040,MATCH($D136,'지수RAW'!$AH$7:$AH$12040,0)-1,1),GOOGLEFINANCE(V$2))"),64324)</f>
        <v/>
      </c>
      <c r="W136" s="253">
        <f>IFERROR(__xludf.DUMMYFUNCTION("iferror(index('지수RAW'!$AD$7:$AD$12040,MATCH($D136,'지수RAW'!$Z$7:$Z$12040,0)-1,1),GOOGLEFINANCE(W$2))"),1487.77)</f>
        <v/>
      </c>
      <c r="X136" s="36">
        <f>$W136*R136</f>
        <v/>
      </c>
      <c r="Y136" s="36">
        <f>$W136*S136</f>
        <v/>
      </c>
      <c r="Z136" s="36">
        <f>$W136*U136</f>
        <v/>
      </c>
      <c r="AA136" s="36">
        <f>$W136*V136</f>
        <v/>
      </c>
      <c r="AB136" s="255" t="n"/>
      <c r="AC136" s="38">
        <f>IF(Q136="","",AC135*(W136/W135))</f>
        <v/>
      </c>
      <c r="AD136" s="38">
        <f>IF(R136="","",AD135*(X136/X135))</f>
        <v/>
      </c>
      <c r="AE136" s="38">
        <f>IF(S136="","",AE135*(Y136/Y135))</f>
        <v/>
      </c>
      <c r="AF136" s="38">
        <f>IF(U136="","",AF135*(Z136/Z135))</f>
        <v/>
      </c>
      <c r="AG136" s="38">
        <f>IF(V136="","",AG135*(AA136/AA135))</f>
        <v/>
      </c>
    </row>
    <row r="137" ht="12.75" customHeight="1" s="202">
      <c r="A137" s="201" t="n"/>
      <c r="B137" s="22">
        <f>IF(C136=12,B136+1,B136)</f>
        <v/>
      </c>
      <c r="C137" s="22">
        <f>IF(C136=12,1,C136+1)</f>
        <v/>
      </c>
      <c r="D137" s="22">
        <f>IF(F137="12월",(E137+1)&amp;VLOOKUP(F137,인덱스!$C:$D,2,0),E137&amp;VLOOKUP(F137,인덱스!$C:$D,2,0))</f>
        <v/>
      </c>
      <c r="E137" s="201">
        <f>"20"&amp;B137</f>
        <v/>
      </c>
      <c r="F137" s="201">
        <f>C137&amp;"월"</f>
        <v/>
      </c>
      <c r="G137" s="37">
        <f>B137&amp;"."&amp;VLOOKUP(F137,인덱스!$A:$B,2,0)</f>
        <v/>
      </c>
      <c r="H137" s="256">
        <f>IFERROR(VLOOKUP(G137,#REF!,2,0),)</f>
        <v/>
      </c>
      <c r="I137" s="38">
        <f>IF(Q137="","",I136*(Q137/Q136))</f>
        <v/>
      </c>
      <c r="J137" s="38">
        <f>IF(R137="","",J136*(R137/R136))</f>
        <v/>
      </c>
      <c r="K137" s="39">
        <f>IF(S137="","",K136*(S137/S136))</f>
        <v/>
      </c>
      <c r="L137" s="39">
        <f>IF(U137="","",L136*(U137/U136))</f>
        <v/>
      </c>
      <c r="M137" s="39">
        <f>IF(V137="","",M136*(V137/V136))</f>
        <v/>
      </c>
      <c r="N137" s="201" t="n"/>
      <c r="O137" s="201" t="n"/>
      <c r="P137" s="201" t="n"/>
      <c r="Q137" s="8">
        <f>IFERROR(__xludf.DUMMYFUNCTION("iferror(index('지수RAW'!$V$7:$V$12040,MATCH($D137,'지수RAW'!$R$7:$R$12040,0)-1,1),GOOGLEFINANCE(Q$2))"),6820.6)</f>
        <v/>
      </c>
      <c r="R137" s="201">
        <f>IFERROR(__xludf.DUMMYFUNCTION("iferror(index('지수RAW'!$F$7:$F$12040,MATCH($D137,'지수RAW'!$B$7:$B$12040,0)-1,1),GOOGLEFINANCE(R$2))"),7457.69)</f>
        <v/>
      </c>
      <c r="S137" s="9">
        <f>IFERROR(__xludf.DUMMYFUNCTION("iferror(index('지수RAW'!$N$7:$N$12040,MATCH($D137,'지수RAW'!$J$7:$J$12040,0)-1,1),GOOGLEFINANCE(S$2))"),25520.24)</f>
        <v/>
      </c>
      <c r="T137" s="201" t="n"/>
      <c r="U137" s="252">
        <f t="array" ref="U137">IFERROR(INDEX(지수RAW!$AT$7:$AT$12040,MATCH($D137,지수RAW!$AP$7:$AP$12040,0)-1,1),지수RAW!$AU$4)</f>
        <v/>
      </c>
      <c r="V137" s="252">
        <f>IFERROR(__xludf.DUMMYFUNCTION("iferror(index('지수RAW'!$AL$7:$AL$12040,MATCH($D137,'지수RAW'!$AH$7:$AH$12040,0)-1,1),GOOGLEFINANCE(V$2))"),64324)</f>
        <v/>
      </c>
      <c r="W137" s="253">
        <f>IFERROR(__xludf.DUMMYFUNCTION("iferror(index('지수RAW'!$AD$7:$AD$12040,MATCH($D137,'지수RAW'!$Z$7:$Z$12040,0)-1,1),GOOGLEFINANCE(W$2))"),1487.77)</f>
        <v/>
      </c>
      <c r="X137" s="36">
        <f>$W137*R137</f>
        <v/>
      </c>
      <c r="Y137" s="36">
        <f>$W137*S137</f>
        <v/>
      </c>
      <c r="Z137" s="36">
        <f>$W137*U137</f>
        <v/>
      </c>
      <c r="AA137" s="36">
        <f>$W137*V137</f>
        <v/>
      </c>
      <c r="AB137" s="255" t="n"/>
      <c r="AC137" s="38">
        <f>IF(Q137="","",AC136*(W137/W136))</f>
        <v/>
      </c>
      <c r="AD137" s="38">
        <f>IF(R137="","",AD136*(X137/X136))</f>
        <v/>
      </c>
      <c r="AE137" s="38">
        <f>IF(S137="","",AE136*(Y137/Y136))</f>
        <v/>
      </c>
      <c r="AF137" s="38">
        <f>IF(U137="","",AF136*(Z137/Z136))</f>
        <v/>
      </c>
      <c r="AG137" s="38">
        <f>IF(V137="","",AG136*(AA137/AA136))</f>
        <v/>
      </c>
    </row>
    <row r="138" ht="12.75" customHeight="1" s="202">
      <c r="A138" s="201" t="n"/>
      <c r="B138" s="22">
        <f>IF(C137=12,B137+1,B137)</f>
        <v/>
      </c>
      <c r="C138" s="22">
        <f>IF(C137=12,1,C137+1)</f>
        <v/>
      </c>
      <c r="D138" s="22">
        <f>IF(F138="12월",(E138+1)&amp;VLOOKUP(F138,인덱스!$C:$D,2,0),E138&amp;VLOOKUP(F138,인덱스!$C:$D,2,0))</f>
        <v/>
      </c>
      <c r="E138" s="201">
        <f>"20"&amp;B138</f>
        <v/>
      </c>
      <c r="F138" s="201">
        <f>C138&amp;"월"</f>
        <v/>
      </c>
      <c r="G138" s="37">
        <f>B138&amp;"."&amp;VLOOKUP(F138,인덱스!$A:$B,2,0)</f>
        <v/>
      </c>
      <c r="H138" s="256">
        <f>IFERROR(VLOOKUP(G138,#REF!,2,0),)</f>
        <v/>
      </c>
      <c r="I138" s="38">
        <f>IF(Q138="","",I137*(Q138/Q137))</f>
        <v/>
      </c>
      <c r="J138" s="38">
        <f>IF(R138="","",J137*(R138/R137))</f>
        <v/>
      </c>
      <c r="K138" s="39">
        <f>IF(S138="","",K137*(S138/S137))</f>
        <v/>
      </c>
      <c r="L138" s="39">
        <f>IF(U138="","",L137*(U138/U137))</f>
        <v/>
      </c>
      <c r="M138" s="39">
        <f>IF(V138="","",M137*(V138/V137))</f>
        <v/>
      </c>
      <c r="N138" s="201" t="n"/>
      <c r="O138" s="201" t="n"/>
      <c r="P138" s="201" t="n"/>
      <c r="Q138" s="8">
        <f>IFERROR(__xludf.DUMMYFUNCTION("iferror(index('지수RAW'!$V$7:$V$12040,MATCH($D138,'지수RAW'!$R$7:$R$12040,0)-1,1),GOOGLEFINANCE(Q$2))"),6820.6)</f>
        <v/>
      </c>
      <c r="R138" s="201">
        <f>IFERROR(__xludf.DUMMYFUNCTION("iferror(index('지수RAW'!$F$7:$F$12040,MATCH($D138,'지수RAW'!$B$7:$B$12040,0)-1,1),GOOGLEFINANCE(R$2))"),7457.69)</f>
        <v/>
      </c>
      <c r="S138" s="9">
        <f>IFERROR(__xludf.DUMMYFUNCTION("iferror(index('지수RAW'!$N$7:$N$12040,MATCH($D138,'지수RAW'!$J$7:$J$12040,0)-1,1),GOOGLEFINANCE(S$2))"),25520.24)</f>
        <v/>
      </c>
      <c r="T138" s="201" t="n"/>
      <c r="U138" s="252">
        <f t="array" ref="U138">IFERROR(INDEX(지수RAW!$AT$7:$AT$12040,MATCH($D138,지수RAW!$AP$7:$AP$12040,0)-1,1),지수RAW!$AU$4)</f>
        <v/>
      </c>
      <c r="V138" s="252">
        <f>IFERROR(__xludf.DUMMYFUNCTION("iferror(index('지수RAW'!$AL$7:$AL$12040,MATCH($D138,'지수RAW'!$AH$7:$AH$12040,0)-1,1),GOOGLEFINANCE(V$2))"),64324)</f>
        <v/>
      </c>
      <c r="W138" s="253">
        <f>IFERROR(__xludf.DUMMYFUNCTION("iferror(index('지수RAW'!$AD$7:$AD$12040,MATCH($D138,'지수RAW'!$Z$7:$Z$12040,0)-1,1),GOOGLEFINANCE(W$2))"),1487.77)</f>
        <v/>
      </c>
      <c r="X138" s="36">
        <f>$W138*R138</f>
        <v/>
      </c>
      <c r="Y138" s="36">
        <f>$W138*S138</f>
        <v/>
      </c>
      <c r="Z138" s="36">
        <f>$W138*U138</f>
        <v/>
      </c>
      <c r="AA138" s="36">
        <f>$W138*V138</f>
        <v/>
      </c>
      <c r="AB138" s="255" t="n"/>
      <c r="AC138" s="38">
        <f>IF(Q138="","",AC137*(W138/W137))</f>
        <v/>
      </c>
      <c r="AD138" s="38">
        <f>IF(R138="","",AD137*(X138/X137))</f>
        <v/>
      </c>
      <c r="AE138" s="38">
        <f>IF(S138="","",AE137*(Y138/Y137))</f>
        <v/>
      </c>
      <c r="AF138" s="38">
        <f>IF(U138="","",AF137*(Z138/Z137))</f>
        <v/>
      </c>
      <c r="AG138" s="38">
        <f>IF(V138="","",AG137*(AA138/AA137))</f>
        <v/>
      </c>
    </row>
    <row r="139" ht="12.75" customHeight="1" s="202">
      <c r="A139" s="201" t="n"/>
      <c r="B139" s="22">
        <f>IF(C138=12,B138+1,B138)</f>
        <v/>
      </c>
      <c r="C139" s="22">
        <f>IF(C138=12,1,C138+1)</f>
        <v/>
      </c>
      <c r="D139" s="22">
        <f>IF(F139="12월",(E139+1)&amp;VLOOKUP(F139,인덱스!$C:$D,2,0),E139&amp;VLOOKUP(F139,인덱스!$C:$D,2,0))</f>
        <v/>
      </c>
      <c r="E139" s="201">
        <f>"20"&amp;B139</f>
        <v/>
      </c>
      <c r="F139" s="201">
        <f>C139&amp;"월"</f>
        <v/>
      </c>
      <c r="G139" s="37">
        <f>B139&amp;"."&amp;VLOOKUP(F139,인덱스!$A:$B,2,0)</f>
        <v/>
      </c>
      <c r="H139" s="256">
        <f>IFERROR(VLOOKUP(G139,#REF!,2,0),)</f>
        <v/>
      </c>
      <c r="I139" s="38">
        <f>IF(Q139="","",I138*(Q139/Q138))</f>
        <v/>
      </c>
      <c r="J139" s="38">
        <f>IF(R139="","",J138*(R139/R138))</f>
        <v/>
      </c>
      <c r="K139" s="39">
        <f>IF(S139="","",K138*(S139/S138))</f>
        <v/>
      </c>
      <c r="L139" s="39">
        <f>IF(U139="","",L138*(U139/U138))</f>
        <v/>
      </c>
      <c r="M139" s="39">
        <f>IF(V139="","",M138*(V139/V138))</f>
        <v/>
      </c>
      <c r="N139" s="201" t="n"/>
      <c r="O139" s="201" t="n"/>
      <c r="P139" s="201" t="n"/>
      <c r="Q139" s="8">
        <f>IFERROR(__xludf.DUMMYFUNCTION("iferror(index('지수RAW'!$V$7:$V$12040,MATCH($D139,'지수RAW'!$R$7:$R$12040,0)-1,1),GOOGLEFINANCE(Q$2))"),6820.6)</f>
        <v/>
      </c>
      <c r="R139" s="201">
        <f>IFERROR(__xludf.DUMMYFUNCTION("iferror(index('지수RAW'!$F$7:$F$12040,MATCH($D139,'지수RAW'!$B$7:$B$12040,0)-1,1),GOOGLEFINANCE(R$2))"),7457.69)</f>
        <v/>
      </c>
      <c r="S139" s="9">
        <f>IFERROR(__xludf.DUMMYFUNCTION("iferror(index('지수RAW'!$N$7:$N$12040,MATCH($D139,'지수RAW'!$J$7:$J$12040,0)-1,1),GOOGLEFINANCE(S$2))"),25520.24)</f>
        <v/>
      </c>
      <c r="T139" s="201" t="n"/>
      <c r="U139" s="252">
        <f t="array" ref="U139">IFERROR(INDEX(지수RAW!$AT$7:$AT$12040,MATCH($D139,지수RAW!$AP$7:$AP$12040,0)-1,1),지수RAW!$AU$4)</f>
        <v/>
      </c>
      <c r="V139" s="252">
        <f>IFERROR(__xludf.DUMMYFUNCTION("iferror(index('지수RAW'!$AL$7:$AL$12040,MATCH($D139,'지수RAW'!$AH$7:$AH$12040,0)-1,1),GOOGLEFINANCE(V$2))"),64324)</f>
        <v/>
      </c>
      <c r="W139" s="253">
        <f>IFERROR(__xludf.DUMMYFUNCTION("iferror(index('지수RAW'!$AD$7:$AD$12040,MATCH($D139,'지수RAW'!$Z$7:$Z$12040,0)-1,1),GOOGLEFINANCE(W$2))"),1487.77)</f>
        <v/>
      </c>
      <c r="X139" s="36">
        <f>$W139*R139</f>
        <v/>
      </c>
      <c r="Y139" s="36">
        <f>$W139*S139</f>
        <v/>
      </c>
      <c r="Z139" s="36">
        <f>$W139*U139</f>
        <v/>
      </c>
      <c r="AA139" s="36">
        <f>$W139*V139</f>
        <v/>
      </c>
      <c r="AB139" s="255" t="n"/>
      <c r="AC139" s="38">
        <f>IF(Q139="","",AC138*(W139/W138))</f>
        <v/>
      </c>
      <c r="AD139" s="38">
        <f>IF(R139="","",AD138*(X139/X138))</f>
        <v/>
      </c>
      <c r="AE139" s="38">
        <f>IF(S139="","",AE138*(Y139/Y138))</f>
        <v/>
      </c>
      <c r="AF139" s="38">
        <f>IF(U139="","",AF138*(Z139/Z138))</f>
        <v/>
      </c>
      <c r="AG139" s="38">
        <f>IF(V139="","",AG138*(AA139/AA138))</f>
        <v/>
      </c>
    </row>
    <row r="140" ht="12.75" customHeight="1" s="202">
      <c r="A140" s="201" t="n"/>
      <c r="B140" s="22">
        <f>IF(C139=12,B139+1,B139)</f>
        <v/>
      </c>
      <c r="C140" s="22">
        <f>IF(C139=12,1,C139+1)</f>
        <v/>
      </c>
      <c r="D140" s="22">
        <f>IF(F140="12월",(E140+1)&amp;VLOOKUP(F140,인덱스!$C:$D,2,0),E140&amp;VLOOKUP(F140,인덱스!$C:$D,2,0))</f>
        <v/>
      </c>
      <c r="E140" s="201">
        <f>"20"&amp;B140</f>
        <v/>
      </c>
      <c r="F140" s="201">
        <f>C140&amp;"월"</f>
        <v/>
      </c>
      <c r="G140" s="37">
        <f>B140&amp;"."&amp;VLOOKUP(F140,인덱스!$A:$B,2,0)</f>
        <v/>
      </c>
      <c r="H140" s="256">
        <f>IFERROR(VLOOKUP(G140,#REF!,2,0),)</f>
        <v/>
      </c>
      <c r="I140" s="38">
        <f>IF(Q140="","",I139*(Q140/Q139))</f>
        <v/>
      </c>
      <c r="J140" s="38">
        <f>IF(R140="","",J139*(R140/R139))</f>
        <v/>
      </c>
      <c r="K140" s="39">
        <f>IF(S140="","",K139*(S140/S139))</f>
        <v/>
      </c>
      <c r="L140" s="39">
        <f>IF(U140="","",L139*(U140/U139))</f>
        <v/>
      </c>
      <c r="M140" s="39">
        <f>IF(V140="","",M139*(V140/V139))</f>
        <v/>
      </c>
      <c r="N140" s="201" t="n"/>
      <c r="O140" s="201" t="n"/>
      <c r="P140" s="201" t="n"/>
      <c r="Q140" s="8">
        <f>IFERROR(__xludf.DUMMYFUNCTION("iferror(index('지수RAW'!$V$7:$V$12040,MATCH($D140,'지수RAW'!$R$7:$R$12040,0)-1,1),GOOGLEFINANCE(Q$2))"),6820.6)</f>
        <v/>
      </c>
      <c r="R140" s="201">
        <f>IFERROR(__xludf.DUMMYFUNCTION("iferror(index('지수RAW'!$F$7:$F$12040,MATCH($D140,'지수RAW'!$B$7:$B$12040,0)-1,1),GOOGLEFINANCE(R$2))"),7457.69)</f>
        <v/>
      </c>
      <c r="S140" s="9">
        <f>IFERROR(__xludf.DUMMYFUNCTION("iferror(index('지수RAW'!$N$7:$N$12040,MATCH($D140,'지수RAW'!$J$7:$J$12040,0)-1,1),GOOGLEFINANCE(S$2))"),25520.24)</f>
        <v/>
      </c>
      <c r="T140" s="201" t="n"/>
      <c r="U140" s="252">
        <f t="array" ref="U140">IFERROR(INDEX(지수RAW!$AT$7:$AT$12040,MATCH($D140,지수RAW!$AP$7:$AP$12040,0)-1,1),지수RAW!$AU$4)</f>
        <v/>
      </c>
      <c r="V140" s="252">
        <f>IFERROR(__xludf.DUMMYFUNCTION("iferror(index('지수RAW'!$AL$7:$AL$12040,MATCH($D140,'지수RAW'!$AH$7:$AH$12040,0)-1,1),GOOGLEFINANCE(V$2))"),64324)</f>
        <v/>
      </c>
      <c r="W140" s="253">
        <f>IFERROR(__xludf.DUMMYFUNCTION("iferror(index('지수RAW'!$AD$7:$AD$12040,MATCH($D140,'지수RAW'!$Z$7:$Z$12040,0)-1,1),GOOGLEFINANCE(W$2))"),1487.77)</f>
        <v/>
      </c>
      <c r="X140" s="36">
        <f>$W140*R140</f>
        <v/>
      </c>
      <c r="Y140" s="36">
        <f>$W140*S140</f>
        <v/>
      </c>
      <c r="Z140" s="36">
        <f>$W140*U140</f>
        <v/>
      </c>
      <c r="AA140" s="36">
        <f>$W140*V140</f>
        <v/>
      </c>
      <c r="AB140" s="255" t="n"/>
      <c r="AC140" s="38">
        <f>IF(Q140="","",AC139*(W140/W139))</f>
        <v/>
      </c>
      <c r="AD140" s="38">
        <f>IF(R140="","",AD139*(X140/X139))</f>
        <v/>
      </c>
      <c r="AE140" s="38">
        <f>IF(S140="","",AE139*(Y140/Y139))</f>
        <v/>
      </c>
      <c r="AF140" s="38">
        <f>IF(U140="","",AF139*(Z140/Z139))</f>
        <v/>
      </c>
      <c r="AG140" s="38">
        <f>IF(V140="","",AG139*(AA140/AA139))</f>
        <v/>
      </c>
    </row>
    <row r="141" ht="12.75" customHeight="1" s="202">
      <c r="A141" s="201" t="n"/>
      <c r="B141" s="22">
        <f>IF(C140=12,B140+1,B140)</f>
        <v/>
      </c>
      <c r="C141" s="22">
        <f>IF(C140=12,1,C140+1)</f>
        <v/>
      </c>
      <c r="D141" s="22">
        <f>IF(F141="12월",(E141+1)&amp;VLOOKUP(F141,인덱스!$C:$D,2,0),E141&amp;VLOOKUP(F141,인덱스!$C:$D,2,0))</f>
        <v/>
      </c>
      <c r="E141" s="201">
        <f>"20"&amp;B141</f>
        <v/>
      </c>
      <c r="F141" s="201">
        <f>C141&amp;"월"</f>
        <v/>
      </c>
      <c r="G141" s="37">
        <f>B141&amp;"."&amp;VLOOKUP(F141,인덱스!$A:$B,2,0)</f>
        <v/>
      </c>
      <c r="H141" s="256">
        <f>IFERROR(VLOOKUP(G141,#REF!,2,0),)</f>
        <v/>
      </c>
      <c r="I141" s="38">
        <f>IF(Q141="","",I140*(Q141/Q140))</f>
        <v/>
      </c>
      <c r="J141" s="38">
        <f>IF(R141="","",J140*(R141/R140))</f>
        <v/>
      </c>
      <c r="K141" s="39">
        <f>IF(S141="","",K140*(S141/S140))</f>
        <v/>
      </c>
      <c r="L141" s="39">
        <f>IF(U141="","",L140*(U141/U140))</f>
        <v/>
      </c>
      <c r="M141" s="39">
        <f>IF(V141="","",M140*(V141/V140))</f>
        <v/>
      </c>
      <c r="N141" s="201" t="n"/>
      <c r="O141" s="201" t="n"/>
      <c r="P141" s="201" t="n"/>
      <c r="Q141" s="8">
        <f>IFERROR(__xludf.DUMMYFUNCTION("iferror(index('지수RAW'!$V$7:$V$12040,MATCH($D141,'지수RAW'!$R$7:$R$12040,0)-1,1),GOOGLEFINANCE(Q$2))"),6820.6)</f>
        <v/>
      </c>
      <c r="R141" s="201">
        <f>IFERROR(__xludf.DUMMYFUNCTION("iferror(index('지수RAW'!$F$7:$F$12040,MATCH($D141,'지수RAW'!$B$7:$B$12040,0)-1,1),GOOGLEFINANCE(R$2))"),7457.69)</f>
        <v/>
      </c>
      <c r="S141" s="9">
        <f>IFERROR(__xludf.DUMMYFUNCTION("iferror(index('지수RAW'!$N$7:$N$12040,MATCH($D141,'지수RAW'!$J$7:$J$12040,0)-1,1),GOOGLEFINANCE(S$2))"),25520.24)</f>
        <v/>
      </c>
      <c r="T141" s="201" t="n"/>
      <c r="U141" s="252">
        <f t="array" ref="U141">IFERROR(INDEX(지수RAW!$AT$7:$AT$12040,MATCH($D141,지수RAW!$AP$7:$AP$12040,0)-1,1),지수RAW!$AU$4)</f>
        <v/>
      </c>
      <c r="V141" s="252">
        <f>IFERROR(__xludf.DUMMYFUNCTION("iferror(index('지수RAW'!$AL$7:$AL$12040,MATCH($D141,'지수RAW'!$AH$7:$AH$12040,0)-1,1),GOOGLEFINANCE(V$2))"),64324)</f>
        <v/>
      </c>
      <c r="W141" s="253">
        <f>IFERROR(__xludf.DUMMYFUNCTION("iferror(index('지수RAW'!$AD$7:$AD$12040,MATCH($D141,'지수RAW'!$Z$7:$Z$12040,0)-1,1),GOOGLEFINANCE(W$2))"),1487.77)</f>
        <v/>
      </c>
      <c r="X141" s="36">
        <f>$W141*R141</f>
        <v/>
      </c>
      <c r="Y141" s="36">
        <f>$W141*S141</f>
        <v/>
      </c>
      <c r="Z141" s="36">
        <f>$W141*U141</f>
        <v/>
      </c>
      <c r="AA141" s="36">
        <f>$W141*V141</f>
        <v/>
      </c>
      <c r="AB141" s="255" t="n"/>
      <c r="AC141" s="38">
        <f>IF(Q141="","",AC140*(W141/W140))</f>
        <v/>
      </c>
      <c r="AD141" s="38">
        <f>IF(R141="","",AD140*(X141/X140))</f>
        <v/>
      </c>
      <c r="AE141" s="38">
        <f>IF(S141="","",AE140*(Y141/Y140))</f>
        <v/>
      </c>
      <c r="AF141" s="38">
        <f>IF(U141="","",AF140*(Z141/Z140))</f>
        <v/>
      </c>
      <c r="AG141" s="38">
        <f>IF(V141="","",AG140*(AA141/AA140))</f>
        <v/>
      </c>
    </row>
    <row r="142" ht="12.75" customHeight="1" s="202">
      <c r="A142" s="201" t="n"/>
      <c r="B142" s="22">
        <f>IF(C141=12,B141+1,B141)</f>
        <v/>
      </c>
      <c r="C142" s="22">
        <f>IF(C141=12,1,C141+1)</f>
        <v/>
      </c>
      <c r="D142" s="22">
        <f>IF(F142="12월",(E142+1)&amp;VLOOKUP(F142,인덱스!$C:$D,2,0),E142&amp;VLOOKUP(F142,인덱스!$C:$D,2,0))</f>
        <v/>
      </c>
      <c r="E142" s="201">
        <f>"20"&amp;B142</f>
        <v/>
      </c>
      <c r="F142" s="201">
        <f>C142&amp;"월"</f>
        <v/>
      </c>
      <c r="G142" s="37">
        <f>B142&amp;"."&amp;VLOOKUP(F142,인덱스!$A:$B,2,0)</f>
        <v/>
      </c>
      <c r="H142" s="256">
        <f>IFERROR(VLOOKUP(G142,#REF!,2,0),)</f>
        <v/>
      </c>
      <c r="I142" s="38">
        <f>IF(Q142="","",I141*(Q142/Q141))</f>
        <v/>
      </c>
      <c r="J142" s="38">
        <f>IF(R142="","",J141*(R142/R141))</f>
        <v/>
      </c>
      <c r="K142" s="39">
        <f>IF(S142="","",K141*(S142/S141))</f>
        <v/>
      </c>
      <c r="L142" s="39">
        <f>IF(U142="","",L141*(U142/U141))</f>
        <v/>
      </c>
      <c r="M142" s="39">
        <f>IF(V142="","",M141*(V142/V141))</f>
        <v/>
      </c>
      <c r="N142" s="201" t="n"/>
      <c r="O142" s="201" t="n"/>
      <c r="P142" s="201" t="n"/>
      <c r="Q142" s="8">
        <f>IFERROR(__xludf.DUMMYFUNCTION("iferror(index('지수RAW'!$V$7:$V$12040,MATCH($D142,'지수RAW'!$R$7:$R$12040,0)-1,1),GOOGLEFINANCE(Q$2))"),6820.6)</f>
        <v/>
      </c>
      <c r="R142" s="201">
        <f>IFERROR(__xludf.DUMMYFUNCTION("iferror(index('지수RAW'!$F$7:$F$12040,MATCH($D142,'지수RAW'!$B$7:$B$12040,0)-1,1),GOOGLEFINANCE(R$2))"),7457.69)</f>
        <v/>
      </c>
      <c r="S142" s="9">
        <f>IFERROR(__xludf.DUMMYFUNCTION("iferror(index('지수RAW'!$N$7:$N$12040,MATCH($D142,'지수RAW'!$J$7:$J$12040,0)-1,1),GOOGLEFINANCE(S$2))"),25520.24)</f>
        <v/>
      </c>
      <c r="T142" s="201" t="n"/>
      <c r="U142" s="252">
        <f t="array" ref="U142">IFERROR(INDEX(지수RAW!$AT$7:$AT$12040,MATCH($D142,지수RAW!$AP$7:$AP$12040,0)-1,1),지수RAW!$AU$4)</f>
        <v/>
      </c>
      <c r="V142" s="252">
        <f>IFERROR(__xludf.DUMMYFUNCTION("iferror(index('지수RAW'!$AL$7:$AL$12040,MATCH($D142,'지수RAW'!$AH$7:$AH$12040,0)-1,1),GOOGLEFINANCE(V$2))"),64324)</f>
        <v/>
      </c>
      <c r="W142" s="253">
        <f>IFERROR(__xludf.DUMMYFUNCTION("iferror(index('지수RAW'!$AD$7:$AD$12040,MATCH($D142,'지수RAW'!$Z$7:$Z$12040,0)-1,1),GOOGLEFINANCE(W$2))"),1487.77)</f>
        <v/>
      </c>
      <c r="X142" s="36">
        <f>$W142*R142</f>
        <v/>
      </c>
      <c r="Y142" s="36">
        <f>$W142*S142</f>
        <v/>
      </c>
      <c r="Z142" s="36">
        <f>$W142*U142</f>
        <v/>
      </c>
      <c r="AA142" s="36">
        <f>$W142*V142</f>
        <v/>
      </c>
      <c r="AB142" s="255" t="n"/>
      <c r="AC142" s="38">
        <f>IF(Q142="","",AC141*(W142/W141))</f>
        <v/>
      </c>
      <c r="AD142" s="38">
        <f>IF(R142="","",AD141*(X142/X141))</f>
        <v/>
      </c>
      <c r="AE142" s="38">
        <f>IF(S142="","",AE141*(Y142/Y141))</f>
        <v/>
      </c>
      <c r="AF142" s="38">
        <f>IF(U142="","",AF141*(Z142/Z141))</f>
        <v/>
      </c>
      <c r="AG142" s="38">
        <f>IF(V142="","",AG141*(AA142/AA141))</f>
        <v/>
      </c>
    </row>
    <row r="143" ht="12.75" customHeight="1" s="202">
      <c r="A143" s="201" t="n"/>
      <c r="B143" s="22">
        <f>IF(C142=12,B142+1,B142)</f>
        <v/>
      </c>
      <c r="C143" s="22">
        <f>IF(C142=12,1,C142+1)</f>
        <v/>
      </c>
      <c r="D143" s="22">
        <f>IF(F143="12월",(E143+1)&amp;VLOOKUP(F143,인덱스!$C:$D,2,0),E143&amp;VLOOKUP(F143,인덱스!$C:$D,2,0))</f>
        <v/>
      </c>
      <c r="E143" s="201">
        <f>"20"&amp;B143</f>
        <v/>
      </c>
      <c r="F143" s="201">
        <f>C143&amp;"월"</f>
        <v/>
      </c>
      <c r="G143" s="37">
        <f>B143&amp;"."&amp;VLOOKUP(F143,인덱스!$A:$B,2,0)</f>
        <v/>
      </c>
      <c r="H143" s="256">
        <f>IFERROR(VLOOKUP(G143,#REF!,2,0),)</f>
        <v/>
      </c>
      <c r="I143" s="38">
        <f>IF(Q143="","",I142*(Q143/Q142))</f>
        <v/>
      </c>
      <c r="J143" s="38">
        <f>IF(R143="","",J142*(R143/R142))</f>
        <v/>
      </c>
      <c r="K143" s="39">
        <f>IF(S143="","",K142*(S143/S142))</f>
        <v/>
      </c>
      <c r="L143" s="39">
        <f>IF(U143="","",L142*(U143/U142))</f>
        <v/>
      </c>
      <c r="M143" s="39">
        <f>IF(V143="","",M142*(V143/V142))</f>
        <v/>
      </c>
      <c r="N143" s="201" t="n"/>
      <c r="O143" s="201" t="n"/>
      <c r="P143" s="201" t="n"/>
      <c r="Q143" s="8">
        <f>IFERROR(__xludf.DUMMYFUNCTION("iferror(index('지수RAW'!$V$7:$V$12040,MATCH($D143,'지수RAW'!$R$7:$R$12040,0)-1,1),GOOGLEFINANCE(Q$2))"),6820.6)</f>
        <v/>
      </c>
      <c r="R143" s="201">
        <f>IFERROR(__xludf.DUMMYFUNCTION("iferror(index('지수RAW'!$F$7:$F$12040,MATCH($D143,'지수RAW'!$B$7:$B$12040,0)-1,1),GOOGLEFINANCE(R$2))"),7457.69)</f>
        <v/>
      </c>
      <c r="S143" s="9">
        <f>IFERROR(__xludf.DUMMYFUNCTION("iferror(index('지수RAW'!$N$7:$N$12040,MATCH($D143,'지수RAW'!$J$7:$J$12040,0)-1,1),GOOGLEFINANCE(S$2))"),25520.24)</f>
        <v/>
      </c>
      <c r="T143" s="201" t="n"/>
      <c r="U143" s="252">
        <f t="array" ref="U143">IFERROR(INDEX(지수RAW!$AT$7:$AT$12040,MATCH($D143,지수RAW!$AP$7:$AP$12040,0)-1,1),지수RAW!$AU$4)</f>
        <v/>
      </c>
      <c r="V143" s="252">
        <f>IFERROR(__xludf.DUMMYFUNCTION("iferror(index('지수RAW'!$AL$7:$AL$12040,MATCH($D143,'지수RAW'!$AH$7:$AH$12040,0)-1,1),GOOGLEFINANCE(V$2))"),64324)</f>
        <v/>
      </c>
      <c r="W143" s="253">
        <f>IFERROR(__xludf.DUMMYFUNCTION("iferror(index('지수RAW'!$AD$7:$AD$12040,MATCH($D143,'지수RAW'!$Z$7:$Z$12040,0)-1,1),GOOGLEFINANCE(W$2))"),1487.77)</f>
        <v/>
      </c>
      <c r="X143" s="36">
        <f>$W143*R143</f>
        <v/>
      </c>
      <c r="Y143" s="36">
        <f>$W143*S143</f>
        <v/>
      </c>
      <c r="Z143" s="36">
        <f>$W143*U143</f>
        <v/>
      </c>
      <c r="AA143" s="36">
        <f>$W143*V143</f>
        <v/>
      </c>
      <c r="AB143" s="255" t="n"/>
      <c r="AC143" s="38">
        <f>IF(Q143="","",AC142*(W143/W142))</f>
        <v/>
      </c>
      <c r="AD143" s="38">
        <f>IF(R143="","",AD142*(X143/X142))</f>
        <v/>
      </c>
      <c r="AE143" s="38">
        <f>IF(S143="","",AE142*(Y143/Y142))</f>
        <v/>
      </c>
      <c r="AF143" s="38">
        <f>IF(U143="","",AF142*(Z143/Z142))</f>
        <v/>
      </c>
      <c r="AG143" s="38">
        <f>IF(V143="","",AG142*(AA143/AA142))</f>
        <v/>
      </c>
    </row>
    <row r="144" ht="12.75" customHeight="1" s="202">
      <c r="A144" s="201" t="n"/>
      <c r="B144" s="22">
        <f>IF(C143=12,B143+1,B143)</f>
        <v/>
      </c>
      <c r="C144" s="22">
        <f>IF(C143=12,1,C143+1)</f>
        <v/>
      </c>
      <c r="D144" s="22">
        <f>IF(F144="12월",(E144+1)&amp;VLOOKUP(F144,인덱스!$C:$D,2,0),E144&amp;VLOOKUP(F144,인덱스!$C:$D,2,0))</f>
        <v/>
      </c>
      <c r="E144" s="201">
        <f>"20"&amp;B144</f>
        <v/>
      </c>
      <c r="F144" s="201">
        <f>C144&amp;"월"</f>
        <v/>
      </c>
      <c r="G144" s="37">
        <f>B144&amp;"."&amp;VLOOKUP(F144,인덱스!$A:$B,2,0)</f>
        <v/>
      </c>
      <c r="H144" s="256">
        <f>IFERROR(VLOOKUP(G144,#REF!,2,0),)</f>
        <v/>
      </c>
      <c r="I144" s="38">
        <f>IF(Q144="","",I143*(Q144/Q143))</f>
        <v/>
      </c>
      <c r="J144" s="38">
        <f>IF(R144="","",J143*(R144/R143))</f>
        <v/>
      </c>
      <c r="K144" s="39">
        <f>IF(S144="","",K143*(S144/S143))</f>
        <v/>
      </c>
      <c r="L144" s="39">
        <f>IF(U144="","",L143*(U144/U143))</f>
        <v/>
      </c>
      <c r="M144" s="39">
        <f>IF(V144="","",M143*(V144/V143))</f>
        <v/>
      </c>
      <c r="N144" s="201" t="n"/>
      <c r="O144" s="201" t="n"/>
      <c r="P144" s="201" t="n"/>
      <c r="Q144" s="8">
        <f>IFERROR(__xludf.DUMMYFUNCTION("iferror(index('지수RAW'!$V$7:$V$12040,MATCH($D144,'지수RAW'!$R$7:$R$12040,0)-1,1),GOOGLEFINANCE(Q$2))"),6820.6)</f>
        <v/>
      </c>
      <c r="R144" s="201">
        <f>IFERROR(__xludf.DUMMYFUNCTION("iferror(index('지수RAW'!$F$7:$F$12040,MATCH($D144,'지수RAW'!$B$7:$B$12040,0)-1,1),GOOGLEFINANCE(R$2))"),7457.69)</f>
        <v/>
      </c>
      <c r="S144" s="9">
        <f>IFERROR(__xludf.DUMMYFUNCTION("iferror(index('지수RAW'!$N$7:$N$12040,MATCH($D144,'지수RAW'!$J$7:$J$12040,0)-1,1),GOOGLEFINANCE(S$2))"),25520.24)</f>
        <v/>
      </c>
      <c r="T144" s="201" t="n"/>
      <c r="U144" s="252">
        <f t="array" ref="U144">IFERROR(INDEX(지수RAW!$AT$7:$AT$12040,MATCH($D144,지수RAW!$AP$7:$AP$12040,0)-1,1),지수RAW!$AU$4)</f>
        <v/>
      </c>
      <c r="V144" s="252">
        <f>IFERROR(__xludf.DUMMYFUNCTION("iferror(index('지수RAW'!$AL$7:$AL$12040,MATCH($D144,'지수RAW'!$AH$7:$AH$12040,0)-1,1),GOOGLEFINANCE(V$2))"),64324)</f>
        <v/>
      </c>
      <c r="W144" s="253">
        <f>IFERROR(__xludf.DUMMYFUNCTION("iferror(index('지수RAW'!$AD$7:$AD$12040,MATCH($D144,'지수RAW'!$Z$7:$Z$12040,0)-1,1),GOOGLEFINANCE(W$2))"),1487.77)</f>
        <v/>
      </c>
      <c r="X144" s="36">
        <f>$W144*R144</f>
        <v/>
      </c>
      <c r="Y144" s="36">
        <f>$W144*S144</f>
        <v/>
      </c>
      <c r="Z144" s="36">
        <f>$W144*U144</f>
        <v/>
      </c>
      <c r="AA144" s="36">
        <f>$W144*V144</f>
        <v/>
      </c>
      <c r="AB144" s="255" t="n"/>
      <c r="AC144" s="38">
        <f>IF(Q144="","",AC143*(W144/W143))</f>
        <v/>
      </c>
      <c r="AD144" s="38">
        <f>IF(R144="","",AD143*(X144/X143))</f>
        <v/>
      </c>
      <c r="AE144" s="38">
        <f>IF(S144="","",AE143*(Y144/Y143))</f>
        <v/>
      </c>
      <c r="AF144" s="38">
        <f>IF(U144="","",AF143*(Z144/Z143))</f>
        <v/>
      </c>
      <c r="AG144" s="38">
        <f>IF(V144="","",AG143*(AA144/AA143))</f>
        <v/>
      </c>
    </row>
    <row r="145" ht="12.75" customHeight="1" s="202">
      <c r="A145" s="201" t="n"/>
      <c r="B145" s="22">
        <f>IF(C144=12,B144+1,B144)</f>
        <v/>
      </c>
      <c r="C145" s="22">
        <f>IF(C144=12,1,C144+1)</f>
        <v/>
      </c>
      <c r="D145" s="22">
        <f>IF(F145="12월",(E145+1)&amp;VLOOKUP(F145,인덱스!$C:$D,2,0),E145&amp;VLOOKUP(F145,인덱스!$C:$D,2,0))</f>
        <v/>
      </c>
      <c r="E145" s="201">
        <f>"20"&amp;B145</f>
        <v/>
      </c>
      <c r="F145" s="201">
        <f>C145&amp;"월"</f>
        <v/>
      </c>
      <c r="G145" s="37">
        <f>B145&amp;"."&amp;VLOOKUP(F145,인덱스!$A:$B,2,0)</f>
        <v/>
      </c>
      <c r="H145" s="256">
        <f>IFERROR(VLOOKUP(G145,#REF!,2,0),)</f>
        <v/>
      </c>
      <c r="I145" s="38">
        <f>IF(Q145="","",I144*(Q145/Q144))</f>
        <v/>
      </c>
      <c r="J145" s="38">
        <f>IF(R145="","",J144*(R145/R144))</f>
        <v/>
      </c>
      <c r="K145" s="39">
        <f>IF(S145="","",K144*(S145/S144))</f>
        <v/>
      </c>
      <c r="L145" s="39">
        <f>IF(U145="","",L144*(U145/U144))</f>
        <v/>
      </c>
      <c r="M145" s="39">
        <f>IF(V145="","",M144*(V145/V144))</f>
        <v/>
      </c>
      <c r="N145" s="201" t="n"/>
      <c r="O145" s="201" t="n"/>
      <c r="P145" s="201" t="n"/>
      <c r="Q145" s="8">
        <f>IFERROR(__xludf.DUMMYFUNCTION("iferror(index('지수RAW'!$V$7:$V$12040,MATCH($D145,'지수RAW'!$R$7:$R$12040,0)-1,1),GOOGLEFINANCE(Q$2))"),6820.6)</f>
        <v/>
      </c>
      <c r="R145" s="201">
        <f>IFERROR(__xludf.DUMMYFUNCTION("iferror(index('지수RAW'!$F$7:$F$12040,MATCH($D145,'지수RAW'!$B$7:$B$12040,0)-1,1),GOOGLEFINANCE(R$2))"),7457.69)</f>
        <v/>
      </c>
      <c r="S145" s="9">
        <f>IFERROR(__xludf.DUMMYFUNCTION("iferror(index('지수RAW'!$N$7:$N$12040,MATCH($D145,'지수RAW'!$J$7:$J$12040,0)-1,1),GOOGLEFINANCE(S$2))"),25520.24)</f>
        <v/>
      </c>
      <c r="T145" s="201" t="n"/>
      <c r="U145" s="252">
        <f t="array" ref="U145">IFERROR(INDEX(지수RAW!$AT$7:$AT$12040,MATCH($D145,지수RAW!$AP$7:$AP$12040,0)-1,1),지수RAW!$AU$4)</f>
        <v/>
      </c>
      <c r="V145" s="252">
        <f>IFERROR(__xludf.DUMMYFUNCTION("iferror(index('지수RAW'!$AL$7:$AL$12040,MATCH($D145,'지수RAW'!$AH$7:$AH$12040,0)-1,1),GOOGLEFINANCE(V$2))"),64324)</f>
        <v/>
      </c>
      <c r="W145" s="253">
        <f>IFERROR(__xludf.DUMMYFUNCTION("iferror(index('지수RAW'!$AD$7:$AD$12040,MATCH($D145,'지수RAW'!$Z$7:$Z$12040,0)-1,1),GOOGLEFINANCE(W$2))"),1487.77)</f>
        <v/>
      </c>
      <c r="X145" s="36">
        <f>$W145*R145</f>
        <v/>
      </c>
      <c r="Y145" s="36">
        <f>$W145*S145</f>
        <v/>
      </c>
      <c r="Z145" s="36">
        <f>$W145*U145</f>
        <v/>
      </c>
      <c r="AA145" s="36">
        <f>$W145*V145</f>
        <v/>
      </c>
      <c r="AB145" s="255" t="n"/>
      <c r="AC145" s="38">
        <f>IF(Q145="","",AC144*(W145/W144))</f>
        <v/>
      </c>
      <c r="AD145" s="38">
        <f>IF(R145="","",AD144*(X145/X144))</f>
        <v/>
      </c>
      <c r="AE145" s="38">
        <f>IF(S145="","",AE144*(Y145/Y144))</f>
        <v/>
      </c>
      <c r="AF145" s="38">
        <f>IF(U145="","",AF144*(Z145/Z144))</f>
        <v/>
      </c>
      <c r="AG145" s="38">
        <f>IF(V145="","",AG144*(AA145/AA144))</f>
        <v/>
      </c>
    </row>
    <row r="146" ht="12.75" customHeight="1" s="202">
      <c r="A146" s="201" t="n"/>
      <c r="B146" s="22">
        <f>IF(C145=12,B145+1,B145)</f>
        <v/>
      </c>
      <c r="C146" s="22">
        <f>IF(C145=12,1,C145+1)</f>
        <v/>
      </c>
      <c r="D146" s="22">
        <f>IF(F146="12월",(E146+1)&amp;VLOOKUP(F146,인덱스!$C:$D,2,0),E146&amp;VLOOKUP(F146,인덱스!$C:$D,2,0))</f>
        <v/>
      </c>
      <c r="E146" s="201">
        <f>"20"&amp;B146</f>
        <v/>
      </c>
      <c r="F146" s="201">
        <f>C146&amp;"월"</f>
        <v/>
      </c>
      <c r="G146" s="37">
        <f>B146&amp;"."&amp;VLOOKUP(F146,인덱스!$A:$B,2,0)</f>
        <v/>
      </c>
      <c r="H146" s="256">
        <f>IFERROR(VLOOKUP(G146,#REF!,2,0),)</f>
        <v/>
      </c>
      <c r="I146" s="38">
        <f>IF(Q146="","",I145*(Q146/Q145))</f>
        <v/>
      </c>
      <c r="J146" s="38">
        <f>IF(R146="","",J145*(R146/R145))</f>
        <v/>
      </c>
      <c r="K146" s="39">
        <f>IF(S146="","",K145*(S146/S145))</f>
        <v/>
      </c>
      <c r="L146" s="39">
        <f>IF(U146="","",L145*(U146/U145))</f>
        <v/>
      </c>
      <c r="M146" s="39">
        <f>IF(V146="","",M145*(V146/V145))</f>
        <v/>
      </c>
      <c r="N146" s="201" t="n"/>
      <c r="O146" s="201" t="n"/>
      <c r="P146" s="201" t="n"/>
      <c r="Q146" s="8">
        <f>IFERROR(__xludf.DUMMYFUNCTION("iferror(index('지수RAW'!$V$7:$V$12040,MATCH($D146,'지수RAW'!$R$7:$R$12040,0)-1,1),GOOGLEFINANCE(Q$2))"),6820.6)</f>
        <v/>
      </c>
      <c r="R146" s="201">
        <f>IFERROR(__xludf.DUMMYFUNCTION("iferror(index('지수RAW'!$F$7:$F$12040,MATCH($D146,'지수RAW'!$B$7:$B$12040,0)-1,1),GOOGLEFINANCE(R$2))"),7457.69)</f>
        <v/>
      </c>
      <c r="S146" s="9">
        <f>IFERROR(__xludf.DUMMYFUNCTION("iferror(index('지수RAW'!$N$7:$N$12040,MATCH($D146,'지수RAW'!$J$7:$J$12040,0)-1,1),GOOGLEFINANCE(S$2))"),25520.24)</f>
        <v/>
      </c>
      <c r="T146" s="201" t="n"/>
      <c r="U146" s="252">
        <f t="array" ref="U146">IFERROR(INDEX(지수RAW!$AT$7:$AT$12040,MATCH($D146,지수RAW!$AP$7:$AP$12040,0)-1,1),지수RAW!$AU$4)</f>
        <v/>
      </c>
      <c r="V146" s="252">
        <f>IFERROR(__xludf.DUMMYFUNCTION("iferror(index('지수RAW'!$AL$7:$AL$12040,MATCH($D146,'지수RAW'!$AH$7:$AH$12040,0)-1,1),GOOGLEFINANCE(V$2))"),64324)</f>
        <v/>
      </c>
      <c r="W146" s="253">
        <f>IFERROR(__xludf.DUMMYFUNCTION("iferror(index('지수RAW'!$AD$7:$AD$12040,MATCH($D146,'지수RAW'!$Z$7:$Z$12040,0)-1,1),GOOGLEFINANCE(W$2))"),1487.77)</f>
        <v/>
      </c>
      <c r="X146" s="36">
        <f>$W146*R146</f>
        <v/>
      </c>
      <c r="Y146" s="36">
        <f>$W146*S146</f>
        <v/>
      </c>
      <c r="Z146" s="36">
        <f>$W146*U146</f>
        <v/>
      </c>
      <c r="AA146" s="36">
        <f>$W146*V146</f>
        <v/>
      </c>
      <c r="AB146" s="255" t="n"/>
      <c r="AC146" s="38">
        <f>IF(Q146="","",AC145*(W146/W145))</f>
        <v/>
      </c>
      <c r="AD146" s="38">
        <f>IF(R146="","",AD145*(X146/X145))</f>
        <v/>
      </c>
      <c r="AE146" s="38">
        <f>IF(S146="","",AE145*(Y146/Y145))</f>
        <v/>
      </c>
      <c r="AF146" s="38">
        <f>IF(U146="","",AF145*(Z146/Z145))</f>
        <v/>
      </c>
      <c r="AG146" s="38">
        <f>IF(V146="","",AG145*(AA146/AA145))</f>
        <v/>
      </c>
    </row>
    <row r="147" ht="12.75" customHeight="1" s="202">
      <c r="A147" s="201" t="n"/>
      <c r="B147" s="22">
        <f>IF(C146=12,B146+1,B146)</f>
        <v/>
      </c>
      <c r="C147" s="22">
        <f>IF(C146=12,1,C146+1)</f>
        <v/>
      </c>
      <c r="D147" s="22">
        <f>IF(F147="12월",(E147+1)&amp;VLOOKUP(F147,인덱스!$C:$D,2,0),E147&amp;VLOOKUP(F147,인덱스!$C:$D,2,0))</f>
        <v/>
      </c>
      <c r="E147" s="201">
        <f>"20"&amp;B147</f>
        <v/>
      </c>
      <c r="F147" s="201">
        <f>C147&amp;"월"</f>
        <v/>
      </c>
      <c r="G147" s="37">
        <f>B147&amp;"."&amp;VLOOKUP(F147,인덱스!$A:$B,2,0)</f>
        <v/>
      </c>
      <c r="H147" s="256">
        <f>IFERROR(VLOOKUP(G147,#REF!,2,0),)</f>
        <v/>
      </c>
      <c r="I147" s="38">
        <f>IF(Q147="","",I146*(Q147/Q146))</f>
        <v/>
      </c>
      <c r="J147" s="38">
        <f>IF(R147="","",J146*(R147/R146))</f>
        <v/>
      </c>
      <c r="K147" s="39">
        <f>IF(S147="","",K146*(S147/S146))</f>
        <v/>
      </c>
      <c r="L147" s="39">
        <f>IF(U147="","",L146*(U147/U146))</f>
        <v/>
      </c>
      <c r="M147" s="39">
        <f>IF(V147="","",M146*(V147/V146))</f>
        <v/>
      </c>
      <c r="N147" s="201" t="n"/>
      <c r="O147" s="201" t="n"/>
      <c r="P147" s="201" t="n"/>
      <c r="Q147" s="8">
        <f>IFERROR(__xludf.DUMMYFUNCTION("iferror(index('지수RAW'!$V$7:$V$12040,MATCH($D147,'지수RAW'!$R$7:$R$12040,0)-1,1),GOOGLEFINANCE(Q$2))"),6820.6)</f>
        <v/>
      </c>
      <c r="R147" s="201">
        <f>IFERROR(__xludf.DUMMYFUNCTION("iferror(index('지수RAW'!$F$7:$F$12040,MATCH($D147,'지수RAW'!$B$7:$B$12040,0)-1,1),GOOGLEFINANCE(R$2))"),7457.69)</f>
        <v/>
      </c>
      <c r="S147" s="9">
        <f>IFERROR(__xludf.DUMMYFUNCTION("iferror(index('지수RAW'!$N$7:$N$12040,MATCH($D147,'지수RAW'!$J$7:$J$12040,0)-1,1),GOOGLEFINANCE(S$2))"),25520.24)</f>
        <v/>
      </c>
      <c r="T147" s="201" t="n"/>
      <c r="U147" s="252">
        <f t="array" ref="U147">IFERROR(INDEX(지수RAW!$AT$7:$AT$12040,MATCH($D147,지수RAW!$AP$7:$AP$12040,0)-1,1),지수RAW!$AU$4)</f>
        <v/>
      </c>
      <c r="V147" s="252">
        <f>IFERROR(__xludf.DUMMYFUNCTION("iferror(index('지수RAW'!$AL$7:$AL$12040,MATCH($D147,'지수RAW'!$AH$7:$AH$12040,0)-1,1),GOOGLEFINANCE(V$2))"),64324)</f>
        <v/>
      </c>
      <c r="W147" s="253">
        <f>IFERROR(__xludf.DUMMYFUNCTION("iferror(index('지수RAW'!$AD$7:$AD$12040,MATCH($D147,'지수RAW'!$Z$7:$Z$12040,0)-1,1),GOOGLEFINANCE(W$2))"),1487.77)</f>
        <v/>
      </c>
      <c r="X147" s="36">
        <f>$W147*R147</f>
        <v/>
      </c>
      <c r="Y147" s="36">
        <f>$W147*S147</f>
        <v/>
      </c>
      <c r="Z147" s="36">
        <f>$W147*U147</f>
        <v/>
      </c>
      <c r="AA147" s="36">
        <f>$W147*V147</f>
        <v/>
      </c>
      <c r="AB147" s="255" t="n"/>
      <c r="AC147" s="38">
        <f>IF(Q147="","",AC146*(W147/W146))</f>
        <v/>
      </c>
      <c r="AD147" s="38">
        <f>IF(R147="","",AD146*(X147/X146))</f>
        <v/>
      </c>
      <c r="AE147" s="38">
        <f>IF(S147="","",AE146*(Y147/Y146))</f>
        <v/>
      </c>
      <c r="AF147" s="38">
        <f>IF(U147="","",AF146*(Z147/Z146))</f>
        <v/>
      </c>
      <c r="AG147" s="38">
        <f>IF(V147="","",AG146*(AA147/AA146))</f>
        <v/>
      </c>
    </row>
    <row r="148" ht="12.75" customHeight="1" s="202">
      <c r="A148" s="201" t="n"/>
      <c r="B148" s="22">
        <f>IF(C147=12,B147+1,B147)</f>
        <v/>
      </c>
      <c r="C148" s="22">
        <f>IF(C147=12,1,C147+1)</f>
        <v/>
      </c>
      <c r="D148" s="22">
        <f>IF(F148="12월",(E148+1)&amp;VLOOKUP(F148,인덱스!$C:$D,2,0),E148&amp;VLOOKUP(F148,인덱스!$C:$D,2,0))</f>
        <v/>
      </c>
      <c r="E148" s="201">
        <f>"20"&amp;B148</f>
        <v/>
      </c>
      <c r="F148" s="201">
        <f>C148&amp;"월"</f>
        <v/>
      </c>
      <c r="G148" s="37">
        <f>B148&amp;"."&amp;VLOOKUP(F148,인덱스!$A:$B,2,0)</f>
        <v/>
      </c>
      <c r="H148" s="256">
        <f>IFERROR(VLOOKUP(G148,#REF!,2,0),)</f>
        <v/>
      </c>
      <c r="I148" s="38">
        <f>IF(Q148="","",I147*(Q148/Q147))</f>
        <v/>
      </c>
      <c r="J148" s="38">
        <f>IF(R148="","",J147*(R148/R147))</f>
        <v/>
      </c>
      <c r="K148" s="39">
        <f>IF(S148="","",K147*(S148/S147))</f>
        <v/>
      </c>
      <c r="L148" s="39">
        <f>IF(U148="","",L147*(U148/U147))</f>
        <v/>
      </c>
      <c r="M148" s="39">
        <f>IF(V148="","",M147*(V148/V147))</f>
        <v/>
      </c>
      <c r="N148" s="201" t="n"/>
      <c r="O148" s="201" t="n"/>
      <c r="P148" s="201" t="n"/>
      <c r="Q148" s="8">
        <f>IFERROR(__xludf.DUMMYFUNCTION("iferror(index('지수RAW'!$V$7:$V$12040,MATCH($D148,'지수RAW'!$R$7:$R$12040,0)-1,1),GOOGLEFINANCE(Q$2))"),6820.6)</f>
        <v/>
      </c>
      <c r="R148" s="201">
        <f>IFERROR(__xludf.DUMMYFUNCTION("iferror(index('지수RAW'!$F$7:$F$12040,MATCH($D148,'지수RAW'!$B$7:$B$12040,0)-1,1),GOOGLEFINANCE(R$2))"),7457.69)</f>
        <v/>
      </c>
      <c r="S148" s="9">
        <f>IFERROR(__xludf.DUMMYFUNCTION("iferror(index('지수RAW'!$N$7:$N$12040,MATCH($D148,'지수RAW'!$J$7:$J$12040,0)-1,1),GOOGLEFINANCE(S$2))"),25520.24)</f>
        <v/>
      </c>
      <c r="T148" s="201" t="n"/>
      <c r="U148" s="252">
        <f t="array" ref="U148">IFERROR(INDEX(지수RAW!$AT$7:$AT$12040,MATCH($D148,지수RAW!$AP$7:$AP$12040,0)-1,1),지수RAW!$AU$4)</f>
        <v/>
      </c>
      <c r="V148" s="252">
        <f>IFERROR(__xludf.DUMMYFUNCTION("iferror(index('지수RAW'!$AL$7:$AL$12040,MATCH($D148,'지수RAW'!$AH$7:$AH$12040,0)-1,1),GOOGLEFINANCE(V$2))"),64324)</f>
        <v/>
      </c>
      <c r="W148" s="253">
        <f>IFERROR(__xludf.DUMMYFUNCTION("iferror(index('지수RAW'!$AD$7:$AD$12040,MATCH($D148,'지수RAW'!$Z$7:$Z$12040,0)-1,1),GOOGLEFINANCE(W$2))"),1487.77)</f>
        <v/>
      </c>
      <c r="X148" s="36">
        <f>$W148*R148</f>
        <v/>
      </c>
      <c r="Y148" s="36">
        <f>$W148*S148</f>
        <v/>
      </c>
      <c r="Z148" s="36">
        <f>$W148*U148</f>
        <v/>
      </c>
      <c r="AA148" s="36">
        <f>$W148*V148</f>
        <v/>
      </c>
      <c r="AB148" s="255" t="n"/>
      <c r="AC148" s="38">
        <f>IF(Q148="","",AC147*(W148/W147))</f>
        <v/>
      </c>
      <c r="AD148" s="38">
        <f>IF(R148="","",AD147*(X148/X147))</f>
        <v/>
      </c>
      <c r="AE148" s="38">
        <f>IF(S148="","",AE147*(Y148/Y147))</f>
        <v/>
      </c>
      <c r="AF148" s="38">
        <f>IF(U148="","",AF147*(Z148/Z147))</f>
        <v/>
      </c>
      <c r="AG148" s="38">
        <f>IF(V148="","",AG147*(AA148/AA147))</f>
        <v/>
      </c>
    </row>
    <row r="149" ht="12.75" customHeight="1" s="202">
      <c r="A149" s="201" t="n"/>
      <c r="B149" s="22">
        <f>IF(C148=12,B148+1,B148)</f>
        <v/>
      </c>
      <c r="C149" s="22">
        <f>IF(C148=12,1,C148+1)</f>
        <v/>
      </c>
      <c r="D149" s="22">
        <f>IF(F149="12월",(E149+1)&amp;VLOOKUP(F149,인덱스!$C:$D,2,0),E149&amp;VLOOKUP(F149,인덱스!$C:$D,2,0))</f>
        <v/>
      </c>
      <c r="E149" s="201">
        <f>"20"&amp;B149</f>
        <v/>
      </c>
      <c r="F149" s="201">
        <f>C149&amp;"월"</f>
        <v/>
      </c>
      <c r="G149" s="37">
        <f>B149&amp;"."&amp;VLOOKUP(F149,인덱스!$A:$B,2,0)</f>
        <v/>
      </c>
      <c r="H149" s="256">
        <f>IFERROR(VLOOKUP(G149,#REF!,2,0),)</f>
        <v/>
      </c>
      <c r="I149" s="38">
        <f>IF(Q149="","",I148*(Q149/Q148))</f>
        <v/>
      </c>
      <c r="J149" s="38">
        <f>IF(R149="","",J148*(R149/R148))</f>
        <v/>
      </c>
      <c r="K149" s="39">
        <f>IF(S149="","",K148*(S149/S148))</f>
        <v/>
      </c>
      <c r="L149" s="39">
        <f>IF(U149="","",L148*(U149/U148))</f>
        <v/>
      </c>
      <c r="M149" s="39">
        <f>IF(V149="","",M148*(V149/V148))</f>
        <v/>
      </c>
      <c r="N149" s="201" t="n"/>
      <c r="O149" s="201" t="n"/>
      <c r="P149" s="201" t="n"/>
      <c r="Q149" s="8">
        <f>IFERROR(__xludf.DUMMYFUNCTION("iferror(index('지수RAW'!$V$7:$V$12040,MATCH($D149,'지수RAW'!$R$7:$R$12040,0)-1,1),GOOGLEFINANCE(Q$2))"),6820.6)</f>
        <v/>
      </c>
      <c r="R149" s="201">
        <f>IFERROR(__xludf.DUMMYFUNCTION("iferror(index('지수RAW'!$F$7:$F$12040,MATCH($D149,'지수RAW'!$B$7:$B$12040,0)-1,1),GOOGLEFINANCE(R$2))"),7457.69)</f>
        <v/>
      </c>
      <c r="S149" s="9">
        <f>IFERROR(__xludf.DUMMYFUNCTION("iferror(index('지수RAW'!$N$7:$N$12040,MATCH($D149,'지수RAW'!$J$7:$J$12040,0)-1,1),GOOGLEFINANCE(S$2))"),25520.24)</f>
        <v/>
      </c>
      <c r="T149" s="201" t="n"/>
      <c r="U149" s="252">
        <f t="array" ref="U149">IFERROR(INDEX(지수RAW!$AT$7:$AT$12040,MATCH($D149,지수RAW!$AP$7:$AP$12040,0)-1,1),지수RAW!$AU$4)</f>
        <v/>
      </c>
      <c r="V149" s="252">
        <f>IFERROR(__xludf.DUMMYFUNCTION("iferror(index('지수RAW'!$AL$7:$AL$12040,MATCH($D149,'지수RAW'!$AH$7:$AH$12040,0)-1,1),GOOGLEFINANCE(V$2))"),64324)</f>
        <v/>
      </c>
      <c r="W149" s="253">
        <f>IFERROR(__xludf.DUMMYFUNCTION("iferror(index('지수RAW'!$AD$7:$AD$12040,MATCH($D149,'지수RAW'!$Z$7:$Z$12040,0)-1,1),GOOGLEFINANCE(W$2))"),1487.77)</f>
        <v/>
      </c>
      <c r="X149" s="36">
        <f>$W149*R149</f>
        <v/>
      </c>
      <c r="Y149" s="36">
        <f>$W149*S149</f>
        <v/>
      </c>
      <c r="Z149" s="36">
        <f>$W149*U149</f>
        <v/>
      </c>
      <c r="AA149" s="36">
        <f>$W149*V149</f>
        <v/>
      </c>
      <c r="AB149" s="255" t="n"/>
      <c r="AC149" s="38">
        <f>IF(Q149="","",AC148*(W149/W148))</f>
        <v/>
      </c>
      <c r="AD149" s="38">
        <f>IF(R149="","",AD148*(X149/X148))</f>
        <v/>
      </c>
      <c r="AE149" s="38">
        <f>IF(S149="","",AE148*(Y149/Y148))</f>
        <v/>
      </c>
      <c r="AF149" s="38">
        <f>IF(U149="","",AF148*(Z149/Z148))</f>
        <v/>
      </c>
      <c r="AG149" s="38">
        <f>IF(V149="","",AG148*(AA149/AA148))</f>
        <v/>
      </c>
    </row>
    <row r="150" ht="12.75" customHeight="1" s="202">
      <c r="A150" s="201" t="n"/>
      <c r="B150" s="22">
        <f>IF(C149=12,B149+1,B149)</f>
        <v/>
      </c>
      <c r="C150" s="22">
        <f>IF(C149=12,1,C149+1)</f>
        <v/>
      </c>
      <c r="D150" s="22">
        <f>IF(F150="12월",(E150+1)&amp;VLOOKUP(F150,인덱스!$C:$D,2,0),E150&amp;VLOOKUP(F150,인덱스!$C:$D,2,0))</f>
        <v/>
      </c>
      <c r="E150" s="201">
        <f>"20"&amp;B150</f>
        <v/>
      </c>
      <c r="F150" s="201">
        <f>C150&amp;"월"</f>
        <v/>
      </c>
      <c r="G150" s="37">
        <f>B150&amp;"."&amp;VLOOKUP(F150,인덱스!$A:$B,2,0)</f>
        <v/>
      </c>
      <c r="H150" s="256">
        <f>IFERROR(VLOOKUP(G150,#REF!,2,0),)</f>
        <v/>
      </c>
      <c r="I150" s="38">
        <f>IF(Q150="","",I149*(Q150/Q149))</f>
        <v/>
      </c>
      <c r="J150" s="38">
        <f>IF(R150="","",J149*(R150/R149))</f>
        <v/>
      </c>
      <c r="K150" s="39">
        <f>IF(S150="","",K149*(S150/S149))</f>
        <v/>
      </c>
      <c r="L150" s="39">
        <f>IF(U150="","",L149*(U150/U149))</f>
        <v/>
      </c>
      <c r="M150" s="39">
        <f>IF(V150="","",M149*(V150/V149))</f>
        <v/>
      </c>
      <c r="N150" s="201" t="n"/>
      <c r="O150" s="201" t="n"/>
      <c r="P150" s="201" t="n"/>
      <c r="Q150" s="8">
        <f>IFERROR(__xludf.DUMMYFUNCTION("iferror(index('지수RAW'!$V$7:$V$12040,MATCH($D150,'지수RAW'!$R$7:$R$12040,0)-1,1),GOOGLEFINANCE(Q$2))"),6820.6)</f>
        <v/>
      </c>
      <c r="R150" s="201">
        <f>IFERROR(__xludf.DUMMYFUNCTION("iferror(index('지수RAW'!$F$7:$F$12040,MATCH($D150,'지수RAW'!$B$7:$B$12040,0)-1,1),GOOGLEFINANCE(R$2))"),7457.69)</f>
        <v/>
      </c>
      <c r="S150" s="9">
        <f>IFERROR(__xludf.DUMMYFUNCTION("iferror(index('지수RAW'!$N$7:$N$12040,MATCH($D150,'지수RAW'!$J$7:$J$12040,0)-1,1),GOOGLEFINANCE(S$2))"),25520.24)</f>
        <v/>
      </c>
      <c r="T150" s="201" t="n"/>
      <c r="U150" s="252">
        <f t="array" ref="U150">IFERROR(INDEX(지수RAW!$AT$7:$AT$12040,MATCH($D150,지수RAW!$AP$7:$AP$12040,0)-1,1),지수RAW!$AU$4)</f>
        <v/>
      </c>
      <c r="V150" s="252">
        <f>IFERROR(__xludf.DUMMYFUNCTION("iferror(index('지수RAW'!$AL$7:$AL$12040,MATCH($D150,'지수RAW'!$AH$7:$AH$12040,0)-1,1),GOOGLEFINANCE(V$2))"),64324)</f>
        <v/>
      </c>
      <c r="W150" s="253">
        <f>IFERROR(__xludf.DUMMYFUNCTION("iferror(index('지수RAW'!$AD$7:$AD$12040,MATCH($D150,'지수RAW'!$Z$7:$Z$12040,0)-1,1),GOOGLEFINANCE(W$2))"),1487.77)</f>
        <v/>
      </c>
      <c r="X150" s="36">
        <f>$W150*R150</f>
        <v/>
      </c>
      <c r="Y150" s="36">
        <f>$W150*S150</f>
        <v/>
      </c>
      <c r="Z150" s="36">
        <f>$W150*U150</f>
        <v/>
      </c>
      <c r="AA150" s="36">
        <f>$W150*V150</f>
        <v/>
      </c>
      <c r="AB150" s="255" t="n"/>
      <c r="AC150" s="38">
        <f>IF(Q150="","",AC149*(W150/W149))</f>
        <v/>
      </c>
      <c r="AD150" s="38">
        <f>IF(R150="","",AD149*(X150/X149))</f>
        <v/>
      </c>
      <c r="AE150" s="38">
        <f>IF(S150="","",AE149*(Y150/Y149))</f>
        <v/>
      </c>
      <c r="AF150" s="38">
        <f>IF(U150="","",AF149*(Z150/Z149))</f>
        <v/>
      </c>
      <c r="AG150" s="38">
        <f>IF(V150="","",AG149*(AA150/AA149))</f>
        <v/>
      </c>
    </row>
    <row r="151" ht="12.75" customHeight="1" s="202">
      <c r="A151" s="201" t="n"/>
      <c r="B151" s="22">
        <f>IF(C150=12,B150+1,B150)</f>
        <v/>
      </c>
      <c r="C151" s="22">
        <f>IF(C150=12,1,C150+1)</f>
        <v/>
      </c>
      <c r="D151" s="22">
        <f>IF(F151="12월",(E151+1)&amp;VLOOKUP(F151,인덱스!$C:$D,2,0),E151&amp;VLOOKUP(F151,인덱스!$C:$D,2,0))</f>
        <v/>
      </c>
      <c r="E151" s="201">
        <f>"20"&amp;B151</f>
        <v/>
      </c>
      <c r="F151" s="201">
        <f>C151&amp;"월"</f>
        <v/>
      </c>
      <c r="G151" s="37">
        <f>B151&amp;"."&amp;VLOOKUP(F151,인덱스!$A:$B,2,0)</f>
        <v/>
      </c>
      <c r="H151" s="256">
        <f>IFERROR(VLOOKUP(G151,#REF!,2,0),)</f>
        <v/>
      </c>
      <c r="I151" s="38">
        <f>IF(Q151="","",I150*(Q151/Q150))</f>
        <v/>
      </c>
      <c r="J151" s="38">
        <f>IF(R151="","",J150*(R151/R150))</f>
        <v/>
      </c>
      <c r="K151" s="39">
        <f>IF(S151="","",K150*(S151/S150))</f>
        <v/>
      </c>
      <c r="L151" s="39">
        <f>IF(U151="","",L150*(U151/U150))</f>
        <v/>
      </c>
      <c r="M151" s="39">
        <f>IF(V151="","",M150*(V151/V150))</f>
        <v/>
      </c>
      <c r="N151" s="201" t="n"/>
      <c r="O151" s="201" t="n"/>
      <c r="P151" s="201" t="n"/>
      <c r="Q151" s="8">
        <f>IFERROR(__xludf.DUMMYFUNCTION("iferror(index('지수RAW'!$V$7:$V$12040,MATCH($D151,'지수RAW'!$R$7:$R$12040,0)-1,1),GOOGLEFINANCE(Q$2))"),6820.6)</f>
        <v/>
      </c>
      <c r="R151" s="201">
        <f>IFERROR(__xludf.DUMMYFUNCTION("iferror(index('지수RAW'!$F$7:$F$12040,MATCH($D151,'지수RAW'!$B$7:$B$12040,0)-1,1),GOOGLEFINANCE(R$2))"),7457.69)</f>
        <v/>
      </c>
      <c r="S151" s="9">
        <f>IFERROR(__xludf.DUMMYFUNCTION("iferror(index('지수RAW'!$N$7:$N$12040,MATCH($D151,'지수RAW'!$J$7:$J$12040,0)-1,1),GOOGLEFINANCE(S$2))"),25520.24)</f>
        <v/>
      </c>
      <c r="T151" s="201" t="n"/>
      <c r="U151" s="252">
        <f t="array" ref="U151">IFERROR(INDEX(지수RAW!$AT$7:$AT$12040,MATCH($D151,지수RAW!$AP$7:$AP$12040,0)-1,1),지수RAW!$AU$4)</f>
        <v/>
      </c>
      <c r="V151" s="252">
        <f>IFERROR(__xludf.DUMMYFUNCTION("iferror(index('지수RAW'!$AL$7:$AL$12040,MATCH($D151,'지수RAW'!$AH$7:$AH$12040,0)-1,1),GOOGLEFINANCE(V$2))"),64324)</f>
        <v/>
      </c>
      <c r="W151" s="253">
        <f>IFERROR(__xludf.DUMMYFUNCTION("iferror(index('지수RAW'!$AD$7:$AD$12040,MATCH($D151,'지수RAW'!$Z$7:$Z$12040,0)-1,1),GOOGLEFINANCE(W$2))"),1487.77)</f>
        <v/>
      </c>
      <c r="X151" s="36">
        <f>$W151*R151</f>
        <v/>
      </c>
      <c r="Y151" s="36">
        <f>$W151*S151</f>
        <v/>
      </c>
      <c r="Z151" s="36">
        <f>$W151*U151</f>
        <v/>
      </c>
      <c r="AA151" s="36">
        <f>$W151*V151</f>
        <v/>
      </c>
      <c r="AB151" s="255" t="n"/>
      <c r="AC151" s="38">
        <f>IF(Q151="","",AC150*(W151/W150))</f>
        <v/>
      </c>
      <c r="AD151" s="38">
        <f>IF(R151="","",AD150*(X151/X150))</f>
        <v/>
      </c>
      <c r="AE151" s="38">
        <f>IF(S151="","",AE150*(Y151/Y150))</f>
        <v/>
      </c>
      <c r="AF151" s="38">
        <f>IF(U151="","",AF150*(Z151/Z150))</f>
        <v/>
      </c>
      <c r="AG151" s="38">
        <f>IF(V151="","",AG150*(AA151/AA150))</f>
        <v/>
      </c>
    </row>
    <row r="152" ht="12.75" customHeight="1" s="202">
      <c r="A152" s="201" t="n"/>
      <c r="B152" s="22">
        <f>IF(C151=12,B151+1,B151)</f>
        <v/>
      </c>
      <c r="C152" s="22">
        <f>IF(C151=12,1,C151+1)</f>
        <v/>
      </c>
      <c r="D152" s="22">
        <f>IF(F152="12월",(E152+1)&amp;VLOOKUP(F152,인덱스!$C:$D,2,0),E152&amp;VLOOKUP(F152,인덱스!$C:$D,2,0))</f>
        <v/>
      </c>
      <c r="E152" s="201">
        <f>"20"&amp;B152</f>
        <v/>
      </c>
      <c r="F152" s="201">
        <f>C152&amp;"월"</f>
        <v/>
      </c>
      <c r="G152" s="37">
        <f>B152&amp;"."&amp;VLOOKUP(F152,인덱스!$A:$B,2,0)</f>
        <v/>
      </c>
      <c r="H152" s="256">
        <f>IFERROR(VLOOKUP(G152,#REF!,2,0),)</f>
        <v/>
      </c>
      <c r="I152" s="38">
        <f>IF(Q152="","",I151*(Q152/Q151))</f>
        <v/>
      </c>
      <c r="J152" s="38">
        <f>IF(R152="","",J151*(R152/R151))</f>
        <v/>
      </c>
      <c r="K152" s="39">
        <f>IF(S152="","",K151*(S152/S151))</f>
        <v/>
      </c>
      <c r="L152" s="39">
        <f>IF(U152="","",L151*(U152/U151))</f>
        <v/>
      </c>
      <c r="M152" s="39">
        <f>IF(V152="","",M151*(V152/V151))</f>
        <v/>
      </c>
      <c r="N152" s="201" t="n"/>
      <c r="O152" s="201" t="n"/>
      <c r="P152" s="201" t="n"/>
      <c r="Q152" s="8">
        <f>IFERROR(__xludf.DUMMYFUNCTION("iferror(index('지수RAW'!$V$7:$V$12040,MATCH($D152,'지수RAW'!$R$7:$R$12040,0)-1,1),GOOGLEFINANCE(Q$2))"),6820.6)</f>
        <v/>
      </c>
      <c r="R152" s="201">
        <f>IFERROR(__xludf.DUMMYFUNCTION("iferror(index('지수RAW'!$F$7:$F$12040,MATCH($D152,'지수RAW'!$B$7:$B$12040,0)-1,1),GOOGLEFINANCE(R$2))"),7457.69)</f>
        <v/>
      </c>
      <c r="S152" s="9">
        <f>IFERROR(__xludf.DUMMYFUNCTION("iferror(index('지수RAW'!$N$7:$N$12040,MATCH($D152,'지수RAW'!$J$7:$J$12040,0)-1,1),GOOGLEFINANCE(S$2))"),25520.24)</f>
        <v/>
      </c>
      <c r="T152" s="201" t="n"/>
      <c r="U152" s="252">
        <f t="array" ref="U152">IFERROR(INDEX(지수RAW!$AT$7:$AT$12040,MATCH($D152,지수RAW!$AP$7:$AP$12040,0)-1,1),지수RAW!$AU$4)</f>
        <v/>
      </c>
      <c r="V152" s="252">
        <f>IFERROR(__xludf.DUMMYFUNCTION("iferror(index('지수RAW'!$AL$7:$AL$12040,MATCH($D152,'지수RAW'!$AH$7:$AH$12040,0)-1,1),GOOGLEFINANCE(V$2))"),64324)</f>
        <v/>
      </c>
      <c r="W152" s="253">
        <f>IFERROR(__xludf.DUMMYFUNCTION("iferror(index('지수RAW'!$AD$7:$AD$12040,MATCH($D152,'지수RAW'!$Z$7:$Z$12040,0)-1,1),GOOGLEFINANCE(W$2))"),1487.77)</f>
        <v/>
      </c>
      <c r="X152" s="36">
        <f>$W152*R152</f>
        <v/>
      </c>
      <c r="Y152" s="36">
        <f>$W152*S152</f>
        <v/>
      </c>
      <c r="Z152" s="36">
        <f>$W152*U152</f>
        <v/>
      </c>
      <c r="AA152" s="36">
        <f>$W152*V152</f>
        <v/>
      </c>
      <c r="AB152" s="255" t="n"/>
      <c r="AC152" s="38">
        <f>IF(Q152="","",AC151*(W152/W151))</f>
        <v/>
      </c>
      <c r="AD152" s="38">
        <f>IF(R152="","",AD151*(X152/X151))</f>
        <v/>
      </c>
      <c r="AE152" s="38">
        <f>IF(S152="","",AE151*(Y152/Y151))</f>
        <v/>
      </c>
      <c r="AF152" s="38">
        <f>IF(U152="","",AF151*(Z152/Z151))</f>
        <v/>
      </c>
      <c r="AG152" s="38">
        <f>IF(V152="","",AG151*(AA152/AA151))</f>
        <v/>
      </c>
    </row>
    <row r="153" ht="12.75" customHeight="1" s="202">
      <c r="A153" s="201" t="n"/>
      <c r="B153" s="22">
        <f>IF(C152=12,B152+1,B152)</f>
        <v/>
      </c>
      <c r="C153" s="22">
        <f>IF(C152=12,1,C152+1)</f>
        <v/>
      </c>
      <c r="D153" s="22">
        <f>IF(F153="12월",(E153+1)&amp;VLOOKUP(F153,인덱스!$C:$D,2,0),E153&amp;VLOOKUP(F153,인덱스!$C:$D,2,0))</f>
        <v/>
      </c>
      <c r="E153" s="201">
        <f>"20"&amp;B153</f>
        <v/>
      </c>
      <c r="F153" s="201">
        <f>C153&amp;"월"</f>
        <v/>
      </c>
      <c r="G153" s="37">
        <f>B153&amp;"."&amp;VLOOKUP(F153,인덱스!$A:$B,2,0)</f>
        <v/>
      </c>
      <c r="H153" s="256">
        <f>IFERROR(VLOOKUP(G153,#REF!,2,0),)</f>
        <v/>
      </c>
      <c r="I153" s="38">
        <f>IF(Q153="","",I152*(Q153/Q152))</f>
        <v/>
      </c>
      <c r="J153" s="38">
        <f>IF(R153="","",J152*(R153/R152))</f>
        <v/>
      </c>
      <c r="K153" s="39">
        <f>IF(S153="","",K152*(S153/S152))</f>
        <v/>
      </c>
      <c r="L153" s="39">
        <f>IF(U153="","",L152*(U153/U152))</f>
        <v/>
      </c>
      <c r="M153" s="39">
        <f>IF(V153="","",M152*(V153/V152))</f>
        <v/>
      </c>
      <c r="N153" s="201" t="n"/>
      <c r="O153" s="201" t="n"/>
      <c r="P153" s="201" t="n"/>
      <c r="Q153" s="8">
        <f>IFERROR(__xludf.DUMMYFUNCTION("iferror(index('지수RAW'!$V$7:$V$12040,MATCH($D153,'지수RAW'!$R$7:$R$12040,0)-1,1),GOOGLEFINANCE(Q$2))"),6820.6)</f>
        <v/>
      </c>
      <c r="R153" s="201">
        <f>IFERROR(__xludf.DUMMYFUNCTION("iferror(index('지수RAW'!$F$7:$F$12040,MATCH($D153,'지수RAW'!$B$7:$B$12040,0)-1,1),GOOGLEFINANCE(R$2))"),7457.69)</f>
        <v/>
      </c>
      <c r="S153" s="9">
        <f>IFERROR(__xludf.DUMMYFUNCTION("iferror(index('지수RAW'!$N$7:$N$12040,MATCH($D153,'지수RAW'!$J$7:$J$12040,0)-1,1),GOOGLEFINANCE(S$2))"),25520.24)</f>
        <v/>
      </c>
      <c r="T153" s="201" t="n"/>
      <c r="U153" s="252">
        <f t="array" ref="U153">IFERROR(INDEX(지수RAW!$AT$7:$AT$12040,MATCH($D153,지수RAW!$AP$7:$AP$12040,0)-1,1),지수RAW!$AU$4)</f>
        <v/>
      </c>
      <c r="V153" s="252">
        <f>IFERROR(__xludf.DUMMYFUNCTION("iferror(index('지수RAW'!$AL$7:$AL$12040,MATCH($D153,'지수RAW'!$AH$7:$AH$12040,0)-1,1),GOOGLEFINANCE(V$2))"),64324)</f>
        <v/>
      </c>
      <c r="W153" s="253">
        <f>IFERROR(__xludf.DUMMYFUNCTION("iferror(index('지수RAW'!$AD$7:$AD$12040,MATCH($D153,'지수RAW'!$Z$7:$Z$12040,0)-1,1),GOOGLEFINANCE(W$2))"),1487.77)</f>
        <v/>
      </c>
      <c r="X153" s="36">
        <f>$W153*R153</f>
        <v/>
      </c>
      <c r="Y153" s="36">
        <f>$W153*S153</f>
        <v/>
      </c>
      <c r="Z153" s="36">
        <f>$W153*U153</f>
        <v/>
      </c>
      <c r="AA153" s="36">
        <f>$W153*V153</f>
        <v/>
      </c>
      <c r="AB153" s="255" t="n"/>
      <c r="AC153" s="38">
        <f>IF(Q153="","",AC152*(W153/W152))</f>
        <v/>
      </c>
      <c r="AD153" s="38">
        <f>IF(R153="","",AD152*(X153/X152))</f>
        <v/>
      </c>
      <c r="AE153" s="38">
        <f>IF(S153="","",AE152*(Y153/Y152))</f>
        <v/>
      </c>
      <c r="AF153" s="38">
        <f>IF(U153="","",AF152*(Z153/Z152))</f>
        <v/>
      </c>
      <c r="AG153" s="38">
        <f>IF(V153="","",AG152*(AA153/AA152))</f>
        <v/>
      </c>
    </row>
    <row r="154" ht="12.75" customHeight="1" s="202">
      <c r="A154" s="201" t="n"/>
      <c r="B154" s="22">
        <f>IF(C153=12,B153+1,B153)</f>
        <v/>
      </c>
      <c r="C154" s="22">
        <f>IF(C153=12,1,C153+1)</f>
        <v/>
      </c>
      <c r="D154" s="22">
        <f>IF(F154="12월",(E154+1)&amp;VLOOKUP(F154,인덱스!$C:$D,2,0),E154&amp;VLOOKUP(F154,인덱스!$C:$D,2,0))</f>
        <v/>
      </c>
      <c r="E154" s="201">
        <f>"20"&amp;B154</f>
        <v/>
      </c>
      <c r="F154" s="201">
        <f>C154&amp;"월"</f>
        <v/>
      </c>
      <c r="G154" s="37">
        <f>B154&amp;"."&amp;VLOOKUP(F154,인덱스!$A:$B,2,0)</f>
        <v/>
      </c>
      <c r="H154" s="256">
        <f>IFERROR(VLOOKUP(G154,#REF!,2,0),)</f>
        <v/>
      </c>
      <c r="I154" s="38">
        <f>IF(Q154="","",I153*(Q154/Q153))</f>
        <v/>
      </c>
      <c r="J154" s="38">
        <f>IF(R154="","",J153*(R154/R153))</f>
        <v/>
      </c>
      <c r="K154" s="39">
        <f>IF(S154="","",K153*(S154/S153))</f>
        <v/>
      </c>
      <c r="L154" s="39">
        <f>IF(U154="","",L153*(U154/U153))</f>
        <v/>
      </c>
      <c r="M154" s="39">
        <f>IF(V154="","",M153*(V154/V153))</f>
        <v/>
      </c>
      <c r="N154" s="201" t="n"/>
      <c r="O154" s="201" t="n"/>
      <c r="P154" s="201" t="n"/>
      <c r="Q154" s="8">
        <f>IFERROR(__xludf.DUMMYFUNCTION("iferror(index('지수RAW'!$V$7:$V$12040,MATCH($D154,'지수RAW'!$R$7:$R$12040,0)-1,1),GOOGLEFINANCE(Q$2))"),6820.6)</f>
        <v/>
      </c>
      <c r="R154" s="201">
        <f>IFERROR(__xludf.DUMMYFUNCTION("iferror(index('지수RAW'!$F$7:$F$12040,MATCH($D154,'지수RAW'!$B$7:$B$12040,0)-1,1),GOOGLEFINANCE(R$2))"),7457.69)</f>
        <v/>
      </c>
      <c r="S154" s="9">
        <f>IFERROR(__xludf.DUMMYFUNCTION("iferror(index('지수RAW'!$N$7:$N$12040,MATCH($D154,'지수RAW'!$J$7:$J$12040,0)-1,1),GOOGLEFINANCE(S$2))"),25520.24)</f>
        <v/>
      </c>
      <c r="T154" s="201" t="n"/>
      <c r="U154" s="252">
        <f t="array" ref="U154">IFERROR(INDEX(지수RAW!$AT$7:$AT$12040,MATCH($D154,지수RAW!$AP$7:$AP$12040,0)-1,1),지수RAW!$AU$4)</f>
        <v/>
      </c>
      <c r="V154" s="252">
        <f>IFERROR(__xludf.DUMMYFUNCTION("iferror(index('지수RAW'!$AL$7:$AL$12040,MATCH($D154,'지수RAW'!$AH$7:$AH$12040,0)-1,1),GOOGLEFINANCE(V$2))"),64324)</f>
        <v/>
      </c>
      <c r="W154" s="253">
        <f>IFERROR(__xludf.DUMMYFUNCTION("iferror(index('지수RAW'!$AD$7:$AD$12040,MATCH($D154,'지수RAW'!$Z$7:$Z$12040,0)-1,1),GOOGLEFINANCE(W$2))"),1487.77)</f>
        <v/>
      </c>
      <c r="X154" s="36">
        <f>$W154*R154</f>
        <v/>
      </c>
      <c r="Y154" s="36">
        <f>$W154*S154</f>
        <v/>
      </c>
      <c r="Z154" s="36">
        <f>$W154*U154</f>
        <v/>
      </c>
      <c r="AA154" s="36">
        <f>$W154*V154</f>
        <v/>
      </c>
      <c r="AB154" s="255" t="n"/>
      <c r="AC154" s="38">
        <f>IF(Q154="","",AC153*(W154/W153))</f>
        <v/>
      </c>
      <c r="AD154" s="38">
        <f>IF(R154="","",AD153*(X154/X153))</f>
        <v/>
      </c>
      <c r="AE154" s="38">
        <f>IF(S154="","",AE153*(Y154/Y153))</f>
        <v/>
      </c>
      <c r="AF154" s="38">
        <f>IF(U154="","",AF153*(Z154/Z153))</f>
        <v/>
      </c>
      <c r="AG154" s="38">
        <f>IF(V154="","",AG153*(AA154/AA153))</f>
        <v/>
      </c>
    </row>
    <row r="155" ht="12.75" customHeight="1" s="202">
      <c r="A155" s="201" t="n"/>
      <c r="B155" s="22">
        <f>IF(C154=12,B154+1,B154)</f>
        <v/>
      </c>
      <c r="C155" s="22">
        <f>IF(C154=12,1,C154+1)</f>
        <v/>
      </c>
      <c r="D155" s="22">
        <f>IF(F155="12월",(E155+1)&amp;VLOOKUP(F155,인덱스!$C:$D,2,0),E155&amp;VLOOKUP(F155,인덱스!$C:$D,2,0))</f>
        <v/>
      </c>
      <c r="E155" s="201">
        <f>"20"&amp;B155</f>
        <v/>
      </c>
      <c r="F155" s="201">
        <f>C155&amp;"월"</f>
        <v/>
      </c>
      <c r="G155" s="37">
        <f>B155&amp;"."&amp;VLOOKUP(F155,인덱스!$A:$B,2,0)</f>
        <v/>
      </c>
      <c r="H155" s="256">
        <f>IFERROR(VLOOKUP(G155,#REF!,2,0),)</f>
        <v/>
      </c>
      <c r="I155" s="38">
        <f>IF(Q155="","",I154*(Q155/Q154))</f>
        <v/>
      </c>
      <c r="J155" s="38">
        <f>IF(R155="","",J154*(R155/R154))</f>
        <v/>
      </c>
      <c r="K155" s="39">
        <f>IF(S155="","",K154*(S155/S154))</f>
        <v/>
      </c>
      <c r="L155" s="39">
        <f>IF(U155="","",L154*(U155/U154))</f>
        <v/>
      </c>
      <c r="M155" s="39">
        <f>IF(V155="","",M154*(V155/V154))</f>
        <v/>
      </c>
      <c r="N155" s="201" t="n"/>
      <c r="O155" s="201" t="n"/>
      <c r="P155" s="201" t="n"/>
      <c r="Q155" s="8">
        <f>IFERROR(__xludf.DUMMYFUNCTION("iferror(index('지수RAW'!$V$7:$V$12040,MATCH($D155,'지수RAW'!$R$7:$R$12040,0)-1,1),GOOGLEFINANCE(Q$2))"),6820.6)</f>
        <v/>
      </c>
      <c r="R155" s="201">
        <f>IFERROR(__xludf.DUMMYFUNCTION("iferror(index('지수RAW'!$F$7:$F$12040,MATCH($D155,'지수RAW'!$B$7:$B$12040,0)-1,1),GOOGLEFINANCE(R$2))"),7457.69)</f>
        <v/>
      </c>
      <c r="S155" s="9">
        <f>IFERROR(__xludf.DUMMYFUNCTION("iferror(index('지수RAW'!$N$7:$N$12040,MATCH($D155,'지수RAW'!$J$7:$J$12040,0)-1,1),GOOGLEFINANCE(S$2))"),25520.24)</f>
        <v/>
      </c>
      <c r="T155" s="201" t="n"/>
      <c r="U155" s="252">
        <f t="array" ref="U155">IFERROR(INDEX(지수RAW!$AT$7:$AT$12040,MATCH($D155,지수RAW!$AP$7:$AP$12040,0)-1,1),지수RAW!$AU$4)</f>
        <v/>
      </c>
      <c r="V155" s="252">
        <f>IFERROR(__xludf.DUMMYFUNCTION("iferror(index('지수RAW'!$AL$7:$AL$12040,MATCH($D155,'지수RAW'!$AH$7:$AH$12040,0)-1,1),GOOGLEFINANCE(V$2))"),64324)</f>
        <v/>
      </c>
      <c r="W155" s="253">
        <f>IFERROR(__xludf.DUMMYFUNCTION("iferror(index('지수RAW'!$AD$7:$AD$12040,MATCH($D155,'지수RAW'!$Z$7:$Z$12040,0)-1,1),GOOGLEFINANCE(W$2))"),1487.77)</f>
        <v/>
      </c>
      <c r="X155" s="36">
        <f>$W155*R155</f>
        <v/>
      </c>
      <c r="Y155" s="36">
        <f>$W155*S155</f>
        <v/>
      </c>
      <c r="Z155" s="36">
        <f>$W155*U155</f>
        <v/>
      </c>
      <c r="AA155" s="36">
        <f>$W155*V155</f>
        <v/>
      </c>
      <c r="AB155" s="255" t="n"/>
      <c r="AC155" s="38">
        <f>IF(Q155="","",AC154*(W155/W154))</f>
        <v/>
      </c>
      <c r="AD155" s="38">
        <f>IF(R155="","",AD154*(X155/X154))</f>
        <v/>
      </c>
      <c r="AE155" s="38">
        <f>IF(S155="","",AE154*(Y155/Y154))</f>
        <v/>
      </c>
      <c r="AF155" s="38">
        <f>IF(U155="","",AF154*(Z155/Z154))</f>
        <v/>
      </c>
      <c r="AG155" s="38">
        <f>IF(V155="","",AG154*(AA155/AA154))</f>
        <v/>
      </c>
    </row>
    <row r="156" ht="12.75" customHeight="1" s="202">
      <c r="A156" s="201" t="n"/>
      <c r="B156" s="201" t="n"/>
      <c r="C156" s="201" t="n"/>
      <c r="D156" s="201" t="n"/>
      <c r="E156" s="201" t="n"/>
      <c r="F156" s="201" t="n"/>
      <c r="G156" s="201" t="n"/>
      <c r="H156" s="201" t="n"/>
      <c r="I156" s="201" t="n"/>
      <c r="J156" s="201" t="n"/>
      <c r="K156" s="201" t="n"/>
      <c r="L156" s="201" t="n"/>
      <c r="M156" s="201" t="n"/>
      <c r="N156" s="201" t="n"/>
      <c r="O156" s="201" t="n"/>
      <c r="P156" s="201" t="n"/>
      <c r="Q156" s="201" t="n"/>
      <c r="R156" s="201" t="n"/>
      <c r="S156" s="201" t="n"/>
      <c r="T156" s="201" t="n"/>
      <c r="U156" s="201" t="n"/>
      <c r="V156" s="201" t="n"/>
      <c r="W156" s="201" t="n"/>
      <c r="X156" s="201" t="n"/>
      <c r="Y156" s="201" t="n"/>
      <c r="Z156" s="201" t="n"/>
      <c r="AA156" s="201" t="n"/>
      <c r="AB156" s="201" t="n"/>
      <c r="AC156" s="201" t="n"/>
      <c r="AD156" s="201" t="n"/>
      <c r="AE156" s="201" t="n"/>
      <c r="AF156" s="201" t="n"/>
      <c r="AG156" s="201" t="n"/>
    </row>
    <row r="157" ht="12.75" customHeight="1" s="202">
      <c r="A157" s="201" t="n"/>
      <c r="B157" s="201" t="n"/>
      <c r="C157" s="201" t="n"/>
      <c r="D157" s="201" t="n"/>
      <c r="E157" s="201" t="n"/>
      <c r="F157" s="201" t="n"/>
      <c r="G157" s="201" t="n"/>
      <c r="H157" s="201" t="n"/>
      <c r="I157" s="201" t="n"/>
      <c r="J157" s="201" t="n"/>
      <c r="K157" s="201" t="n"/>
      <c r="L157" s="201" t="n"/>
      <c r="M157" s="201" t="n"/>
      <c r="N157" s="201" t="n"/>
      <c r="O157" s="201" t="n"/>
      <c r="P157" s="201" t="n"/>
      <c r="Q157" s="201" t="n"/>
      <c r="R157" s="201" t="n"/>
      <c r="S157" s="201" t="n"/>
      <c r="T157" s="201" t="n"/>
      <c r="U157" s="201" t="n"/>
      <c r="V157" s="201" t="n"/>
      <c r="W157" s="201" t="n"/>
      <c r="X157" s="201" t="n"/>
      <c r="Y157" s="201" t="n"/>
      <c r="Z157" s="201" t="n"/>
      <c r="AA157" s="201" t="n"/>
      <c r="AB157" s="201" t="n"/>
      <c r="AC157" s="201" t="n"/>
      <c r="AD157" s="201" t="n"/>
      <c r="AE157" s="201" t="n"/>
      <c r="AF157" s="201" t="n"/>
      <c r="AG157" s="201" t="n"/>
    </row>
    <row r="158" ht="12.75" customHeight="1" s="202">
      <c r="A158" s="201" t="n"/>
      <c r="B158" s="201" t="n"/>
      <c r="C158" s="201" t="n"/>
      <c r="D158" s="201" t="n"/>
      <c r="E158" s="201" t="n"/>
      <c r="F158" s="201" t="n"/>
      <c r="G158" s="201" t="n"/>
      <c r="H158" s="201" t="n"/>
      <c r="I158" s="201" t="n"/>
      <c r="J158" s="201" t="n"/>
      <c r="K158" s="201" t="n"/>
      <c r="L158" s="201" t="n"/>
      <c r="M158" s="201" t="n"/>
      <c r="N158" s="201" t="n"/>
      <c r="O158" s="201" t="n"/>
      <c r="P158" s="201" t="n"/>
      <c r="Q158" s="201" t="n"/>
      <c r="R158" s="201" t="n"/>
      <c r="S158" s="201" t="n"/>
      <c r="T158" s="201" t="n"/>
      <c r="U158" s="201" t="n"/>
      <c r="V158" s="201" t="n"/>
      <c r="W158" s="201" t="n"/>
      <c r="X158" s="201" t="n"/>
      <c r="Y158" s="201" t="n"/>
      <c r="Z158" s="201" t="n"/>
      <c r="AA158" s="201" t="n"/>
      <c r="AB158" s="201" t="n"/>
      <c r="AC158" s="201" t="n"/>
      <c r="AD158" s="201" t="n"/>
      <c r="AE158" s="201" t="n"/>
      <c r="AF158" s="201" t="n"/>
      <c r="AG158" s="201" t="n"/>
    </row>
    <row r="159" ht="12.75" customHeight="1" s="202">
      <c r="A159" s="201" t="n"/>
      <c r="B159" s="201" t="n"/>
      <c r="C159" s="201" t="n"/>
      <c r="D159" s="201" t="n"/>
      <c r="E159" s="201" t="n"/>
      <c r="F159" s="201" t="n"/>
      <c r="G159" s="201" t="n"/>
      <c r="H159" s="201" t="n"/>
      <c r="I159" s="201" t="n"/>
      <c r="J159" s="201" t="n"/>
      <c r="K159" s="201" t="n"/>
      <c r="L159" s="201" t="n"/>
      <c r="M159" s="201" t="n"/>
      <c r="N159" s="201" t="n"/>
      <c r="O159" s="201" t="n"/>
      <c r="P159" s="201" t="n"/>
      <c r="Q159" s="201" t="n"/>
      <c r="R159" s="201" t="n"/>
      <c r="S159" s="201" t="n"/>
      <c r="T159" s="201" t="n"/>
      <c r="U159" s="201" t="n"/>
      <c r="V159" s="201" t="n"/>
      <c r="W159" s="201" t="n"/>
      <c r="X159" s="201" t="n"/>
      <c r="Y159" s="201" t="n"/>
      <c r="Z159" s="201" t="n"/>
      <c r="AA159" s="201" t="n"/>
      <c r="AB159" s="201" t="n"/>
      <c r="AC159" s="201" t="n"/>
      <c r="AD159" s="201" t="n"/>
      <c r="AE159" s="201" t="n"/>
      <c r="AF159" s="201" t="n"/>
      <c r="AG159" s="201" t="n"/>
    </row>
    <row r="160" ht="12.75" customHeight="1" s="202">
      <c r="A160" s="201" t="n"/>
      <c r="B160" s="201" t="n"/>
      <c r="C160" s="201" t="n"/>
      <c r="D160" s="201" t="n"/>
      <c r="E160" s="201" t="n"/>
      <c r="F160" s="201" t="n"/>
      <c r="G160" s="201" t="n"/>
      <c r="H160" s="201" t="n"/>
      <c r="I160" s="201" t="n"/>
      <c r="J160" s="201" t="n"/>
      <c r="K160" s="201" t="n"/>
      <c r="L160" s="201" t="n"/>
      <c r="M160" s="201" t="n"/>
      <c r="N160" s="201" t="n"/>
      <c r="O160" s="201" t="n"/>
      <c r="P160" s="201" t="n"/>
      <c r="Q160" s="201" t="n"/>
      <c r="R160" s="201" t="n"/>
      <c r="S160" s="201" t="n"/>
      <c r="T160" s="201" t="n"/>
      <c r="U160" s="201" t="n"/>
      <c r="V160" s="201" t="n"/>
      <c r="W160" s="201" t="n"/>
      <c r="X160" s="201" t="n"/>
      <c r="Y160" s="201" t="n"/>
      <c r="Z160" s="201" t="n"/>
      <c r="AA160" s="201" t="n"/>
      <c r="AB160" s="201" t="n"/>
      <c r="AC160" s="201" t="n"/>
      <c r="AD160" s="201" t="n"/>
      <c r="AE160" s="201" t="n"/>
      <c r="AF160" s="201" t="n"/>
      <c r="AG160" s="201" t="n"/>
    </row>
    <row r="161" ht="12.75" customHeight="1" s="202">
      <c r="A161" s="201" t="n"/>
      <c r="B161" s="201" t="n"/>
      <c r="C161" s="201" t="n"/>
      <c r="D161" s="201" t="n"/>
      <c r="E161" s="201" t="n"/>
      <c r="F161" s="201" t="n"/>
      <c r="G161" s="201" t="n"/>
      <c r="H161" s="201" t="n"/>
      <c r="I161" s="201" t="n"/>
      <c r="J161" s="201" t="n"/>
      <c r="K161" s="201" t="n"/>
      <c r="L161" s="201" t="n"/>
      <c r="M161" s="201" t="n"/>
      <c r="N161" s="201" t="n"/>
      <c r="O161" s="201" t="n"/>
      <c r="P161" s="201" t="n"/>
      <c r="Q161" s="201" t="n"/>
      <c r="R161" s="201" t="n"/>
      <c r="S161" s="201" t="n"/>
      <c r="T161" s="201" t="n"/>
      <c r="U161" s="201" t="n"/>
      <c r="V161" s="201" t="n"/>
      <c r="W161" s="201" t="n"/>
      <c r="X161" s="201" t="n"/>
      <c r="Y161" s="201" t="n"/>
      <c r="Z161" s="201" t="n"/>
      <c r="AA161" s="201" t="n"/>
      <c r="AB161" s="201" t="n"/>
      <c r="AC161" s="201" t="n"/>
      <c r="AD161" s="201" t="n"/>
      <c r="AE161" s="201" t="n"/>
      <c r="AF161" s="201" t="n"/>
      <c r="AG161" s="201" t="n"/>
    </row>
    <row r="162" ht="12.75" customHeight="1" s="202">
      <c r="A162" s="201" t="n"/>
      <c r="B162" s="201" t="n"/>
      <c r="C162" s="201" t="n"/>
      <c r="D162" s="201" t="n"/>
      <c r="E162" s="201" t="n"/>
      <c r="F162" s="201" t="n"/>
      <c r="G162" s="201" t="n"/>
      <c r="H162" s="201" t="n"/>
      <c r="I162" s="201" t="n"/>
      <c r="J162" s="201" t="n"/>
      <c r="K162" s="201" t="n"/>
      <c r="L162" s="201" t="n"/>
      <c r="M162" s="201" t="n"/>
      <c r="N162" s="201" t="n"/>
      <c r="O162" s="201" t="n"/>
      <c r="P162" s="201" t="n"/>
      <c r="Q162" s="201" t="n"/>
      <c r="R162" s="201" t="n"/>
      <c r="S162" s="201" t="n"/>
      <c r="T162" s="201" t="n"/>
      <c r="U162" s="201" t="n"/>
      <c r="V162" s="201" t="n"/>
      <c r="W162" s="201" t="n"/>
      <c r="X162" s="201" t="n"/>
      <c r="Y162" s="201" t="n"/>
      <c r="Z162" s="201" t="n"/>
      <c r="AA162" s="201" t="n"/>
      <c r="AB162" s="201" t="n"/>
      <c r="AC162" s="201" t="n"/>
      <c r="AD162" s="201" t="n"/>
      <c r="AE162" s="201" t="n"/>
      <c r="AF162" s="201" t="n"/>
      <c r="AG162" s="201" t="n"/>
    </row>
    <row r="163" ht="12.75" customHeight="1" s="202">
      <c r="A163" s="201" t="n"/>
      <c r="B163" s="201" t="n"/>
      <c r="C163" s="201" t="n"/>
      <c r="D163" s="201" t="n"/>
      <c r="E163" s="201" t="n"/>
      <c r="F163" s="201" t="n"/>
      <c r="G163" s="201" t="n"/>
      <c r="H163" s="201" t="n"/>
      <c r="I163" s="201" t="n"/>
      <c r="J163" s="201" t="n"/>
      <c r="K163" s="201" t="n"/>
      <c r="L163" s="201" t="n"/>
      <c r="M163" s="201" t="n"/>
      <c r="N163" s="201" t="n"/>
      <c r="O163" s="201" t="n"/>
      <c r="P163" s="201" t="n"/>
      <c r="Q163" s="201" t="n"/>
      <c r="R163" s="201" t="n"/>
      <c r="S163" s="201" t="n"/>
      <c r="T163" s="201" t="n"/>
      <c r="U163" s="201" t="n"/>
      <c r="V163" s="201" t="n"/>
      <c r="W163" s="201" t="n"/>
      <c r="X163" s="201" t="n"/>
      <c r="Y163" s="201" t="n"/>
      <c r="Z163" s="201" t="n"/>
      <c r="AA163" s="201" t="n"/>
      <c r="AB163" s="201" t="n"/>
      <c r="AC163" s="201" t="n"/>
      <c r="AD163" s="201" t="n"/>
      <c r="AE163" s="201" t="n"/>
      <c r="AF163" s="201" t="n"/>
      <c r="AG163" s="201" t="n"/>
    </row>
    <row r="164" ht="12.75" customHeight="1" s="202">
      <c r="A164" s="201" t="n"/>
      <c r="B164" s="201" t="n"/>
      <c r="C164" s="201" t="n"/>
      <c r="D164" s="201" t="n"/>
      <c r="E164" s="201" t="n"/>
      <c r="F164" s="201" t="n"/>
      <c r="G164" s="201" t="n"/>
      <c r="H164" s="201" t="n"/>
      <c r="I164" s="201" t="n"/>
      <c r="J164" s="201" t="n"/>
      <c r="K164" s="201" t="n"/>
      <c r="L164" s="201" t="n"/>
      <c r="M164" s="201" t="n"/>
      <c r="N164" s="201" t="n"/>
      <c r="O164" s="201" t="n"/>
      <c r="P164" s="201" t="n"/>
      <c r="Q164" s="201" t="n"/>
      <c r="R164" s="201" t="n"/>
      <c r="S164" s="201" t="n"/>
      <c r="T164" s="201" t="n"/>
      <c r="U164" s="201" t="n"/>
      <c r="V164" s="201" t="n"/>
      <c r="W164" s="201" t="n"/>
      <c r="X164" s="201" t="n"/>
      <c r="Y164" s="201" t="n"/>
      <c r="Z164" s="201" t="n"/>
      <c r="AA164" s="201" t="n"/>
      <c r="AB164" s="201" t="n"/>
      <c r="AC164" s="201" t="n"/>
      <c r="AD164" s="201" t="n"/>
      <c r="AE164" s="201" t="n"/>
      <c r="AF164" s="201" t="n"/>
      <c r="AG164" s="201" t="n"/>
    </row>
    <row r="165" ht="12.75" customHeight="1" s="202">
      <c r="A165" s="201" t="n"/>
      <c r="B165" s="201" t="n"/>
      <c r="C165" s="201" t="n"/>
      <c r="D165" s="201" t="n"/>
      <c r="E165" s="201" t="n"/>
      <c r="F165" s="201" t="n"/>
      <c r="G165" s="201" t="n"/>
      <c r="H165" s="201" t="n"/>
      <c r="I165" s="201" t="n"/>
      <c r="J165" s="201" t="n"/>
      <c r="K165" s="201" t="n"/>
      <c r="L165" s="201" t="n"/>
      <c r="M165" s="201" t="n"/>
      <c r="N165" s="201" t="n"/>
      <c r="O165" s="201" t="n"/>
      <c r="P165" s="201" t="n"/>
      <c r="Q165" s="201" t="n"/>
      <c r="R165" s="201" t="n"/>
      <c r="S165" s="201" t="n"/>
      <c r="T165" s="201" t="n"/>
      <c r="U165" s="201" t="n"/>
      <c r="V165" s="201" t="n"/>
      <c r="W165" s="201" t="n"/>
      <c r="X165" s="201" t="n"/>
      <c r="Y165" s="201" t="n"/>
      <c r="Z165" s="201" t="n"/>
      <c r="AA165" s="201" t="n"/>
      <c r="AB165" s="201" t="n"/>
      <c r="AC165" s="201" t="n"/>
      <c r="AD165" s="201" t="n"/>
      <c r="AE165" s="201" t="n"/>
      <c r="AF165" s="201" t="n"/>
      <c r="AG165" s="201" t="n"/>
    </row>
    <row r="166" ht="12.75" customHeight="1" s="202">
      <c r="A166" s="201" t="n"/>
      <c r="B166" s="201" t="n"/>
      <c r="C166" s="201" t="n"/>
      <c r="D166" s="201" t="n"/>
      <c r="E166" s="201" t="n"/>
      <c r="F166" s="201" t="n"/>
      <c r="G166" s="201" t="n"/>
      <c r="H166" s="201" t="n"/>
      <c r="I166" s="201" t="n"/>
      <c r="J166" s="201" t="n"/>
      <c r="K166" s="201" t="n"/>
      <c r="L166" s="201" t="n"/>
      <c r="M166" s="201" t="n"/>
      <c r="N166" s="201" t="n"/>
      <c r="O166" s="201" t="n"/>
      <c r="P166" s="201" t="n"/>
      <c r="Q166" s="201" t="n"/>
      <c r="R166" s="201" t="n"/>
      <c r="S166" s="201" t="n"/>
      <c r="T166" s="201" t="n"/>
      <c r="U166" s="201" t="n"/>
      <c r="V166" s="201" t="n"/>
      <c r="W166" s="201" t="n"/>
      <c r="X166" s="201" t="n"/>
      <c r="Y166" s="201" t="n"/>
      <c r="Z166" s="201" t="n"/>
      <c r="AA166" s="201" t="n"/>
      <c r="AB166" s="201" t="n"/>
      <c r="AC166" s="201" t="n"/>
      <c r="AD166" s="201" t="n"/>
      <c r="AE166" s="201" t="n"/>
      <c r="AF166" s="201" t="n"/>
      <c r="AG166" s="201" t="n"/>
    </row>
    <row r="167" ht="12.75" customHeight="1" s="202">
      <c r="A167" s="201" t="n"/>
      <c r="B167" s="201" t="n"/>
      <c r="C167" s="201" t="n"/>
      <c r="D167" s="201" t="n"/>
      <c r="E167" s="201" t="n"/>
      <c r="F167" s="201" t="n"/>
      <c r="G167" s="201" t="n"/>
      <c r="H167" s="201" t="n"/>
      <c r="I167" s="201" t="n"/>
      <c r="J167" s="201" t="n"/>
      <c r="K167" s="201" t="n"/>
      <c r="L167" s="201" t="n"/>
      <c r="M167" s="201" t="n"/>
      <c r="N167" s="201" t="n"/>
      <c r="O167" s="201" t="n"/>
      <c r="P167" s="201" t="n"/>
      <c r="Q167" s="201" t="n"/>
      <c r="R167" s="201" t="n"/>
      <c r="S167" s="201" t="n"/>
      <c r="T167" s="201" t="n"/>
      <c r="U167" s="201" t="n"/>
      <c r="V167" s="201" t="n"/>
      <c r="W167" s="201" t="n"/>
      <c r="X167" s="201" t="n"/>
      <c r="Y167" s="201" t="n"/>
      <c r="Z167" s="201" t="n"/>
      <c r="AA167" s="201" t="n"/>
      <c r="AB167" s="201" t="n"/>
      <c r="AC167" s="201" t="n"/>
      <c r="AD167" s="201" t="n"/>
      <c r="AE167" s="201" t="n"/>
      <c r="AF167" s="201" t="n"/>
      <c r="AG167" s="201" t="n"/>
    </row>
    <row r="168" ht="12.75" customHeight="1" s="202">
      <c r="A168" s="201" t="n"/>
      <c r="B168" s="201" t="n"/>
      <c r="C168" s="201" t="n"/>
      <c r="D168" s="201" t="n"/>
      <c r="E168" s="201" t="n"/>
      <c r="F168" s="201" t="n"/>
      <c r="G168" s="201" t="n"/>
      <c r="H168" s="201" t="n"/>
      <c r="I168" s="201" t="n"/>
      <c r="J168" s="201" t="n"/>
      <c r="K168" s="201" t="n"/>
      <c r="L168" s="201" t="n"/>
      <c r="M168" s="201" t="n"/>
      <c r="N168" s="201" t="n"/>
      <c r="O168" s="201" t="n"/>
      <c r="P168" s="201" t="n"/>
      <c r="Q168" s="201" t="n"/>
      <c r="R168" s="201" t="n"/>
      <c r="S168" s="201" t="n"/>
      <c r="T168" s="201" t="n"/>
      <c r="U168" s="201" t="n"/>
      <c r="V168" s="201" t="n"/>
      <c r="W168" s="201" t="n"/>
      <c r="X168" s="201" t="n"/>
      <c r="Y168" s="201" t="n"/>
      <c r="Z168" s="201" t="n"/>
      <c r="AA168" s="201" t="n"/>
      <c r="AB168" s="201" t="n"/>
      <c r="AC168" s="201" t="n"/>
      <c r="AD168" s="201" t="n"/>
      <c r="AE168" s="201" t="n"/>
      <c r="AF168" s="201" t="n"/>
      <c r="AG168" s="201" t="n"/>
    </row>
    <row r="169" ht="12.75" customHeight="1" s="202">
      <c r="A169" s="201" t="n"/>
      <c r="B169" s="201" t="n"/>
      <c r="C169" s="201" t="n"/>
      <c r="D169" s="201" t="n"/>
      <c r="E169" s="201" t="n"/>
      <c r="F169" s="201" t="n"/>
      <c r="G169" s="201" t="n"/>
      <c r="H169" s="201" t="n"/>
      <c r="I169" s="201" t="n"/>
      <c r="J169" s="201" t="n"/>
      <c r="K169" s="201" t="n"/>
      <c r="L169" s="201" t="n"/>
      <c r="M169" s="201" t="n"/>
      <c r="N169" s="201" t="n"/>
      <c r="O169" s="201" t="n"/>
      <c r="P169" s="201" t="n"/>
      <c r="Q169" s="201" t="n"/>
      <c r="R169" s="201" t="n"/>
      <c r="S169" s="201" t="n"/>
      <c r="T169" s="201" t="n"/>
      <c r="U169" s="201" t="n"/>
      <c r="V169" s="201" t="n"/>
      <c r="W169" s="201" t="n"/>
      <c r="X169" s="201" t="n"/>
      <c r="Y169" s="201" t="n"/>
      <c r="Z169" s="201" t="n"/>
      <c r="AA169" s="201" t="n"/>
      <c r="AB169" s="201" t="n"/>
      <c r="AC169" s="201" t="n"/>
      <c r="AD169" s="201" t="n"/>
      <c r="AE169" s="201" t="n"/>
      <c r="AF169" s="201" t="n"/>
      <c r="AG169" s="201" t="n"/>
    </row>
    <row r="170" ht="12.75" customHeight="1" s="202">
      <c r="A170" s="201" t="n"/>
      <c r="B170" s="201" t="n"/>
      <c r="C170" s="201" t="n"/>
      <c r="D170" s="201" t="n"/>
      <c r="E170" s="201" t="n"/>
      <c r="F170" s="201" t="n"/>
      <c r="G170" s="201" t="n"/>
      <c r="H170" s="201" t="n"/>
      <c r="I170" s="201" t="n"/>
      <c r="J170" s="201" t="n"/>
      <c r="K170" s="201" t="n"/>
      <c r="L170" s="201" t="n"/>
      <c r="M170" s="201" t="n"/>
      <c r="N170" s="201" t="n"/>
      <c r="O170" s="201" t="n"/>
      <c r="P170" s="201" t="n"/>
      <c r="Q170" s="201" t="n"/>
      <c r="R170" s="201" t="n"/>
      <c r="S170" s="201" t="n"/>
      <c r="T170" s="201" t="n"/>
      <c r="U170" s="201" t="n"/>
      <c r="V170" s="201" t="n"/>
      <c r="W170" s="201" t="n"/>
      <c r="X170" s="201" t="n"/>
      <c r="Y170" s="201" t="n"/>
      <c r="Z170" s="201" t="n"/>
      <c r="AA170" s="201" t="n"/>
      <c r="AB170" s="201" t="n"/>
      <c r="AC170" s="201" t="n"/>
      <c r="AD170" s="201" t="n"/>
      <c r="AE170" s="201" t="n"/>
      <c r="AF170" s="201" t="n"/>
      <c r="AG170" s="201" t="n"/>
    </row>
    <row r="171" ht="12.75" customHeight="1" s="202">
      <c r="A171" s="201" t="n"/>
      <c r="B171" s="201" t="n"/>
      <c r="C171" s="201" t="n"/>
      <c r="D171" s="201" t="n"/>
      <c r="E171" s="201" t="n"/>
      <c r="F171" s="201" t="n"/>
      <c r="G171" s="201" t="n"/>
      <c r="H171" s="201" t="n"/>
      <c r="I171" s="201" t="n"/>
      <c r="J171" s="201" t="n"/>
      <c r="K171" s="201" t="n"/>
      <c r="L171" s="201" t="n"/>
      <c r="M171" s="201" t="n"/>
      <c r="N171" s="201" t="n"/>
      <c r="O171" s="201" t="n"/>
      <c r="P171" s="201" t="n"/>
      <c r="Q171" s="201" t="n"/>
      <c r="R171" s="201" t="n"/>
      <c r="S171" s="201" t="n"/>
      <c r="T171" s="201" t="n"/>
      <c r="U171" s="201" t="n"/>
      <c r="V171" s="201" t="n"/>
      <c r="W171" s="201" t="n"/>
      <c r="X171" s="201" t="n"/>
      <c r="Y171" s="201" t="n"/>
      <c r="Z171" s="201" t="n"/>
      <c r="AA171" s="201" t="n"/>
      <c r="AB171" s="201" t="n"/>
      <c r="AC171" s="201" t="n"/>
      <c r="AD171" s="201" t="n"/>
      <c r="AE171" s="201" t="n"/>
      <c r="AF171" s="201" t="n"/>
      <c r="AG171" s="201" t="n"/>
    </row>
    <row r="172" ht="12.75" customHeight="1" s="202">
      <c r="A172" s="201" t="n"/>
      <c r="B172" s="201" t="n"/>
      <c r="C172" s="201" t="n"/>
      <c r="D172" s="201" t="n"/>
      <c r="E172" s="201" t="n"/>
      <c r="F172" s="201" t="n"/>
      <c r="G172" s="201" t="n"/>
      <c r="H172" s="201" t="n"/>
      <c r="I172" s="201" t="n"/>
      <c r="J172" s="201" t="n"/>
      <c r="K172" s="201" t="n"/>
      <c r="L172" s="201" t="n"/>
      <c r="M172" s="201" t="n"/>
      <c r="N172" s="201" t="n"/>
      <c r="O172" s="201" t="n"/>
      <c r="P172" s="201" t="n"/>
      <c r="Q172" s="201" t="n"/>
      <c r="R172" s="201" t="n"/>
      <c r="S172" s="201" t="n"/>
      <c r="T172" s="201" t="n"/>
      <c r="U172" s="201" t="n"/>
      <c r="V172" s="201" t="n"/>
      <c r="W172" s="201" t="n"/>
      <c r="X172" s="201" t="n"/>
      <c r="Y172" s="201" t="n"/>
      <c r="Z172" s="201" t="n"/>
      <c r="AA172" s="201" t="n"/>
      <c r="AB172" s="201" t="n"/>
      <c r="AC172" s="201" t="n"/>
      <c r="AD172" s="201" t="n"/>
      <c r="AE172" s="201" t="n"/>
      <c r="AF172" s="201" t="n"/>
      <c r="AG172" s="201" t="n"/>
    </row>
    <row r="173" ht="12.75" customHeight="1" s="202">
      <c r="A173" s="201" t="n"/>
      <c r="B173" s="201" t="n"/>
      <c r="C173" s="201" t="n"/>
      <c r="D173" s="201" t="n"/>
      <c r="E173" s="201" t="n"/>
      <c r="F173" s="201" t="n"/>
      <c r="G173" s="201" t="n"/>
      <c r="H173" s="201" t="n"/>
      <c r="I173" s="201" t="n"/>
      <c r="J173" s="201" t="n"/>
      <c r="K173" s="201" t="n"/>
      <c r="L173" s="201" t="n"/>
      <c r="M173" s="201" t="n"/>
      <c r="N173" s="201" t="n"/>
      <c r="O173" s="201" t="n"/>
      <c r="P173" s="201" t="n"/>
      <c r="Q173" s="201" t="n"/>
      <c r="R173" s="201" t="n"/>
      <c r="S173" s="201" t="n"/>
      <c r="T173" s="201" t="n"/>
      <c r="U173" s="201" t="n"/>
      <c r="V173" s="201" t="n"/>
      <c r="W173" s="201" t="n"/>
      <c r="X173" s="201" t="n"/>
      <c r="Y173" s="201" t="n"/>
      <c r="Z173" s="201" t="n"/>
      <c r="AA173" s="201" t="n"/>
      <c r="AB173" s="201" t="n"/>
      <c r="AC173" s="201" t="n"/>
      <c r="AD173" s="201" t="n"/>
      <c r="AE173" s="201" t="n"/>
      <c r="AF173" s="201" t="n"/>
      <c r="AG173" s="201" t="n"/>
    </row>
    <row r="174" ht="12.75" customHeight="1" s="202">
      <c r="A174" s="201" t="n"/>
      <c r="B174" s="201" t="n"/>
      <c r="C174" s="201" t="n"/>
      <c r="D174" s="201" t="n"/>
      <c r="E174" s="201" t="n"/>
      <c r="F174" s="201" t="n"/>
      <c r="G174" s="201" t="n"/>
      <c r="H174" s="201" t="n"/>
      <c r="I174" s="201" t="n"/>
      <c r="J174" s="201" t="n"/>
      <c r="K174" s="201" t="n"/>
      <c r="L174" s="201" t="n"/>
      <c r="M174" s="201" t="n"/>
      <c r="N174" s="201" t="n"/>
      <c r="O174" s="201" t="n"/>
      <c r="P174" s="201" t="n"/>
      <c r="Q174" s="201" t="n"/>
      <c r="R174" s="201" t="n"/>
      <c r="S174" s="201" t="n"/>
      <c r="T174" s="201" t="n"/>
      <c r="U174" s="201" t="n"/>
      <c r="V174" s="201" t="n"/>
      <c r="W174" s="201" t="n"/>
      <c r="X174" s="201" t="n"/>
      <c r="Y174" s="201" t="n"/>
      <c r="Z174" s="201" t="n"/>
      <c r="AA174" s="201" t="n"/>
      <c r="AB174" s="201" t="n"/>
      <c r="AC174" s="201" t="n"/>
      <c r="AD174" s="201" t="n"/>
      <c r="AE174" s="201" t="n"/>
      <c r="AF174" s="201" t="n"/>
      <c r="AG174" s="201" t="n"/>
    </row>
    <row r="175" ht="12.75" customHeight="1" s="202">
      <c r="A175" s="201" t="n"/>
      <c r="B175" s="201" t="n"/>
      <c r="C175" s="201" t="n"/>
      <c r="D175" s="201" t="n"/>
      <c r="E175" s="201" t="n"/>
      <c r="F175" s="201" t="n"/>
      <c r="G175" s="201" t="n"/>
      <c r="H175" s="201" t="n"/>
      <c r="I175" s="201" t="n"/>
      <c r="J175" s="201" t="n"/>
      <c r="K175" s="201" t="n"/>
      <c r="L175" s="201" t="n"/>
      <c r="M175" s="201" t="n"/>
      <c r="N175" s="201" t="n"/>
      <c r="O175" s="201" t="n"/>
      <c r="P175" s="201" t="n"/>
      <c r="Q175" s="201" t="n"/>
      <c r="R175" s="201" t="n"/>
      <c r="S175" s="201" t="n"/>
      <c r="T175" s="201" t="n"/>
      <c r="U175" s="201" t="n"/>
      <c r="V175" s="201" t="n"/>
      <c r="W175" s="201" t="n"/>
      <c r="X175" s="201" t="n"/>
      <c r="Y175" s="201" t="n"/>
      <c r="Z175" s="201" t="n"/>
      <c r="AA175" s="201" t="n"/>
      <c r="AB175" s="201" t="n"/>
      <c r="AC175" s="201" t="n"/>
      <c r="AD175" s="201" t="n"/>
      <c r="AE175" s="201" t="n"/>
      <c r="AF175" s="201" t="n"/>
      <c r="AG175" s="201" t="n"/>
    </row>
    <row r="176" ht="12.75" customHeight="1" s="202">
      <c r="A176" s="201" t="n"/>
      <c r="B176" s="201" t="n"/>
      <c r="C176" s="201" t="n"/>
      <c r="D176" s="201" t="n"/>
      <c r="E176" s="201" t="n"/>
      <c r="F176" s="201" t="n"/>
      <c r="G176" s="201" t="n"/>
      <c r="H176" s="201" t="n"/>
      <c r="I176" s="201" t="n"/>
      <c r="J176" s="201" t="n"/>
      <c r="K176" s="201" t="n"/>
      <c r="L176" s="201" t="n"/>
      <c r="M176" s="201" t="n"/>
      <c r="N176" s="201" t="n"/>
      <c r="O176" s="201" t="n"/>
      <c r="P176" s="201" t="n"/>
      <c r="Q176" s="201" t="n"/>
      <c r="R176" s="201" t="n"/>
      <c r="S176" s="201" t="n"/>
      <c r="T176" s="201" t="n"/>
      <c r="U176" s="201" t="n"/>
      <c r="V176" s="201" t="n"/>
      <c r="W176" s="201" t="n"/>
      <c r="X176" s="201" t="n"/>
      <c r="Y176" s="201" t="n"/>
      <c r="Z176" s="201" t="n"/>
      <c r="AA176" s="201" t="n"/>
      <c r="AB176" s="201" t="n"/>
      <c r="AC176" s="201" t="n"/>
      <c r="AD176" s="201" t="n"/>
      <c r="AE176" s="201" t="n"/>
      <c r="AF176" s="201" t="n"/>
      <c r="AG176" s="201" t="n"/>
    </row>
    <row r="177" ht="12.75" customHeight="1" s="202">
      <c r="A177" s="201" t="n"/>
      <c r="B177" s="201" t="n"/>
      <c r="C177" s="201" t="n"/>
      <c r="D177" s="201" t="n"/>
      <c r="E177" s="201" t="n"/>
      <c r="F177" s="201" t="n"/>
      <c r="G177" s="201" t="n"/>
      <c r="H177" s="201" t="n"/>
      <c r="I177" s="201" t="n"/>
      <c r="J177" s="201" t="n"/>
      <c r="K177" s="201" t="n"/>
      <c r="L177" s="201" t="n"/>
      <c r="M177" s="201" t="n"/>
      <c r="N177" s="201" t="n"/>
      <c r="O177" s="201" t="n"/>
      <c r="P177" s="201" t="n"/>
      <c r="Q177" s="201" t="n"/>
      <c r="R177" s="201" t="n"/>
      <c r="S177" s="201" t="n"/>
      <c r="T177" s="201" t="n"/>
      <c r="U177" s="201" t="n"/>
      <c r="V177" s="201" t="n"/>
      <c r="W177" s="201" t="n"/>
      <c r="X177" s="201" t="n"/>
      <c r="Y177" s="201" t="n"/>
      <c r="Z177" s="201" t="n"/>
      <c r="AA177" s="201" t="n"/>
      <c r="AB177" s="201" t="n"/>
      <c r="AC177" s="201" t="n"/>
      <c r="AD177" s="201" t="n"/>
      <c r="AE177" s="201" t="n"/>
      <c r="AF177" s="201" t="n"/>
      <c r="AG177" s="201" t="n"/>
    </row>
    <row r="178" ht="12.75" customHeight="1" s="202">
      <c r="A178" s="201" t="n"/>
      <c r="B178" s="201" t="n"/>
      <c r="C178" s="201" t="n"/>
      <c r="D178" s="201" t="n"/>
      <c r="E178" s="201" t="n"/>
      <c r="F178" s="201" t="n"/>
      <c r="G178" s="201" t="n"/>
      <c r="H178" s="201" t="n"/>
      <c r="I178" s="201" t="n"/>
      <c r="J178" s="201" t="n"/>
      <c r="K178" s="201" t="n"/>
      <c r="L178" s="201" t="n"/>
      <c r="M178" s="201" t="n"/>
      <c r="N178" s="201" t="n"/>
      <c r="O178" s="201" t="n"/>
      <c r="P178" s="201" t="n"/>
      <c r="Q178" s="201" t="n"/>
      <c r="R178" s="201" t="n"/>
      <c r="S178" s="201" t="n"/>
      <c r="T178" s="201" t="n"/>
      <c r="U178" s="201" t="n"/>
      <c r="V178" s="201" t="n"/>
      <c r="W178" s="201" t="n"/>
      <c r="X178" s="201" t="n"/>
      <c r="Y178" s="201" t="n"/>
      <c r="Z178" s="201" t="n"/>
      <c r="AA178" s="201" t="n"/>
      <c r="AB178" s="201" t="n"/>
      <c r="AC178" s="201" t="n"/>
      <c r="AD178" s="201" t="n"/>
      <c r="AE178" s="201" t="n"/>
      <c r="AF178" s="201" t="n"/>
      <c r="AG178" s="201" t="n"/>
    </row>
    <row r="179" ht="12.75" customHeight="1" s="202">
      <c r="A179" s="201" t="n"/>
      <c r="B179" s="201" t="n"/>
      <c r="C179" s="201" t="n"/>
      <c r="D179" s="201" t="n"/>
      <c r="E179" s="201" t="n"/>
      <c r="F179" s="201" t="n"/>
      <c r="G179" s="201" t="n"/>
      <c r="H179" s="201" t="n"/>
      <c r="I179" s="201" t="n"/>
      <c r="J179" s="201" t="n"/>
      <c r="K179" s="201" t="n"/>
      <c r="L179" s="201" t="n"/>
      <c r="M179" s="201" t="n"/>
      <c r="N179" s="201" t="n"/>
      <c r="O179" s="201" t="n"/>
      <c r="P179" s="201" t="n"/>
      <c r="Q179" s="201" t="n"/>
      <c r="R179" s="201" t="n"/>
      <c r="S179" s="201" t="n"/>
      <c r="T179" s="201" t="n"/>
      <c r="U179" s="201" t="n"/>
      <c r="V179" s="201" t="n"/>
      <c r="W179" s="201" t="n"/>
      <c r="X179" s="201" t="n"/>
      <c r="Y179" s="201" t="n"/>
      <c r="Z179" s="201" t="n"/>
      <c r="AA179" s="201" t="n"/>
      <c r="AB179" s="201" t="n"/>
      <c r="AC179" s="201" t="n"/>
      <c r="AD179" s="201" t="n"/>
      <c r="AE179" s="201" t="n"/>
      <c r="AF179" s="201" t="n"/>
      <c r="AG179" s="201" t="n"/>
    </row>
    <row r="180" ht="12.75" customHeight="1" s="202">
      <c r="A180" s="201" t="n"/>
      <c r="B180" s="201" t="n"/>
      <c r="C180" s="201" t="n"/>
      <c r="D180" s="201" t="n"/>
      <c r="E180" s="201" t="n"/>
      <c r="F180" s="201" t="n"/>
      <c r="G180" s="201" t="n"/>
      <c r="H180" s="201" t="n"/>
      <c r="I180" s="201" t="n"/>
      <c r="J180" s="201" t="n"/>
      <c r="K180" s="201" t="n"/>
      <c r="L180" s="201" t="n"/>
      <c r="M180" s="201" t="n"/>
      <c r="N180" s="201" t="n"/>
      <c r="O180" s="201" t="n"/>
      <c r="P180" s="201" t="n"/>
      <c r="Q180" s="201" t="n"/>
      <c r="R180" s="201" t="n"/>
      <c r="S180" s="201" t="n"/>
      <c r="T180" s="201" t="n"/>
      <c r="U180" s="201" t="n"/>
      <c r="V180" s="201" t="n"/>
      <c r="W180" s="201" t="n"/>
      <c r="X180" s="201" t="n"/>
      <c r="Y180" s="201" t="n"/>
      <c r="Z180" s="201" t="n"/>
      <c r="AA180" s="201" t="n"/>
      <c r="AB180" s="201" t="n"/>
      <c r="AC180" s="201" t="n"/>
      <c r="AD180" s="201" t="n"/>
      <c r="AE180" s="201" t="n"/>
      <c r="AF180" s="201" t="n"/>
      <c r="AG180" s="201" t="n"/>
    </row>
    <row r="181" ht="12.75" customHeight="1" s="202">
      <c r="A181" s="201" t="n"/>
      <c r="B181" s="201" t="n"/>
      <c r="C181" s="201" t="n"/>
      <c r="D181" s="201" t="n"/>
      <c r="E181" s="201" t="n"/>
      <c r="F181" s="201" t="n"/>
      <c r="G181" s="201" t="n"/>
      <c r="H181" s="201" t="n"/>
      <c r="I181" s="201" t="n"/>
      <c r="J181" s="201" t="n"/>
      <c r="K181" s="201" t="n"/>
      <c r="L181" s="201" t="n"/>
      <c r="M181" s="201" t="n"/>
      <c r="N181" s="201" t="n"/>
      <c r="O181" s="201" t="n"/>
      <c r="P181" s="201" t="n"/>
      <c r="Q181" s="201" t="n"/>
      <c r="R181" s="201" t="n"/>
      <c r="S181" s="201" t="n"/>
      <c r="T181" s="201" t="n"/>
      <c r="U181" s="201" t="n"/>
      <c r="V181" s="201" t="n"/>
      <c r="W181" s="201" t="n"/>
      <c r="X181" s="201" t="n"/>
      <c r="Y181" s="201" t="n"/>
      <c r="Z181" s="201" t="n"/>
      <c r="AA181" s="201" t="n"/>
      <c r="AB181" s="201" t="n"/>
      <c r="AC181" s="201" t="n"/>
      <c r="AD181" s="201" t="n"/>
      <c r="AE181" s="201" t="n"/>
      <c r="AF181" s="201" t="n"/>
      <c r="AG181" s="201" t="n"/>
    </row>
    <row r="182" ht="12.75" customHeight="1" s="202">
      <c r="A182" s="201" t="n"/>
      <c r="B182" s="201" t="n"/>
      <c r="C182" s="201" t="n"/>
      <c r="D182" s="201" t="n"/>
      <c r="E182" s="201" t="n"/>
      <c r="F182" s="201" t="n"/>
      <c r="G182" s="201" t="n"/>
      <c r="H182" s="201" t="n"/>
      <c r="I182" s="201" t="n"/>
      <c r="J182" s="201" t="n"/>
      <c r="K182" s="201" t="n"/>
      <c r="L182" s="201" t="n"/>
      <c r="M182" s="201" t="n"/>
      <c r="N182" s="201" t="n"/>
      <c r="O182" s="201" t="n"/>
      <c r="P182" s="201" t="n"/>
      <c r="Q182" s="201" t="n"/>
      <c r="R182" s="201" t="n"/>
      <c r="S182" s="201" t="n"/>
      <c r="T182" s="201" t="n"/>
      <c r="U182" s="201" t="n"/>
      <c r="V182" s="201" t="n"/>
      <c r="W182" s="201" t="n"/>
      <c r="X182" s="201" t="n"/>
      <c r="Y182" s="201" t="n"/>
      <c r="Z182" s="201" t="n"/>
      <c r="AA182" s="201" t="n"/>
      <c r="AB182" s="201" t="n"/>
      <c r="AC182" s="201" t="n"/>
      <c r="AD182" s="201" t="n"/>
      <c r="AE182" s="201" t="n"/>
      <c r="AF182" s="201" t="n"/>
      <c r="AG182" s="201" t="n"/>
    </row>
    <row r="183" ht="12.75" customHeight="1" s="202">
      <c r="A183" s="201" t="n"/>
      <c r="B183" s="201" t="n"/>
      <c r="C183" s="201" t="n"/>
      <c r="D183" s="201" t="n"/>
      <c r="E183" s="201" t="n"/>
      <c r="F183" s="201" t="n"/>
      <c r="G183" s="201" t="n"/>
      <c r="H183" s="201" t="n"/>
      <c r="I183" s="201" t="n"/>
      <c r="J183" s="201" t="n"/>
      <c r="K183" s="201" t="n"/>
      <c r="L183" s="201" t="n"/>
      <c r="M183" s="201" t="n"/>
      <c r="N183" s="201" t="n"/>
      <c r="O183" s="201" t="n"/>
      <c r="P183" s="201" t="n"/>
      <c r="Q183" s="201" t="n"/>
      <c r="R183" s="201" t="n"/>
      <c r="S183" s="201" t="n"/>
      <c r="T183" s="201" t="n"/>
      <c r="U183" s="201" t="n"/>
      <c r="V183" s="201" t="n"/>
      <c r="W183" s="201" t="n"/>
      <c r="X183" s="201" t="n"/>
      <c r="Y183" s="201" t="n"/>
      <c r="Z183" s="201" t="n"/>
      <c r="AA183" s="201" t="n"/>
      <c r="AB183" s="201" t="n"/>
      <c r="AC183" s="201" t="n"/>
      <c r="AD183" s="201" t="n"/>
      <c r="AE183" s="201" t="n"/>
      <c r="AF183" s="201" t="n"/>
      <c r="AG183" s="201" t="n"/>
    </row>
    <row r="184" ht="12.75" customHeight="1" s="202">
      <c r="A184" s="201" t="n"/>
      <c r="B184" s="201" t="n"/>
      <c r="C184" s="201" t="n"/>
      <c r="D184" s="201" t="n"/>
      <c r="E184" s="201" t="n"/>
      <c r="F184" s="201" t="n"/>
      <c r="G184" s="201" t="n"/>
      <c r="H184" s="201" t="n"/>
      <c r="I184" s="201" t="n"/>
      <c r="J184" s="201" t="n"/>
      <c r="K184" s="201" t="n"/>
      <c r="L184" s="201" t="n"/>
      <c r="M184" s="201" t="n"/>
      <c r="N184" s="201" t="n"/>
      <c r="O184" s="201" t="n"/>
      <c r="P184" s="201" t="n"/>
      <c r="Q184" s="201" t="n"/>
      <c r="R184" s="201" t="n"/>
      <c r="S184" s="201" t="n"/>
      <c r="T184" s="201" t="n"/>
      <c r="U184" s="201" t="n"/>
      <c r="V184" s="201" t="n"/>
      <c r="W184" s="201" t="n"/>
      <c r="X184" s="201" t="n"/>
      <c r="Y184" s="201" t="n"/>
      <c r="Z184" s="201" t="n"/>
      <c r="AA184" s="201" t="n"/>
      <c r="AB184" s="201" t="n"/>
      <c r="AC184" s="201" t="n"/>
      <c r="AD184" s="201" t="n"/>
      <c r="AE184" s="201" t="n"/>
      <c r="AF184" s="201" t="n"/>
      <c r="AG184" s="201" t="n"/>
    </row>
    <row r="185" ht="12.75" customHeight="1" s="202">
      <c r="A185" s="201" t="n"/>
      <c r="B185" s="201" t="n"/>
      <c r="C185" s="201" t="n"/>
      <c r="D185" s="201" t="n"/>
      <c r="E185" s="201" t="n"/>
      <c r="F185" s="201" t="n"/>
      <c r="G185" s="201" t="n"/>
      <c r="H185" s="201" t="n"/>
      <c r="I185" s="201" t="n"/>
      <c r="J185" s="201" t="n"/>
      <c r="K185" s="201" t="n"/>
      <c r="L185" s="201" t="n"/>
      <c r="M185" s="201" t="n"/>
      <c r="N185" s="201" t="n"/>
      <c r="O185" s="201" t="n"/>
      <c r="P185" s="201" t="n"/>
      <c r="Q185" s="201" t="n"/>
      <c r="R185" s="201" t="n"/>
      <c r="S185" s="201" t="n"/>
      <c r="T185" s="201" t="n"/>
      <c r="U185" s="201" t="n"/>
      <c r="V185" s="201" t="n"/>
      <c r="W185" s="201" t="n"/>
      <c r="X185" s="201" t="n"/>
      <c r="Y185" s="201" t="n"/>
      <c r="Z185" s="201" t="n"/>
      <c r="AA185" s="201" t="n"/>
      <c r="AB185" s="201" t="n"/>
      <c r="AC185" s="201" t="n"/>
      <c r="AD185" s="201" t="n"/>
      <c r="AE185" s="201" t="n"/>
      <c r="AF185" s="201" t="n"/>
      <c r="AG185" s="201" t="n"/>
    </row>
    <row r="186" ht="12.75" customHeight="1" s="202">
      <c r="A186" s="201" t="n"/>
      <c r="B186" s="201" t="n"/>
      <c r="C186" s="201" t="n"/>
      <c r="D186" s="201" t="n"/>
      <c r="E186" s="201" t="n"/>
      <c r="F186" s="201" t="n"/>
      <c r="G186" s="201" t="n"/>
      <c r="H186" s="201" t="n"/>
      <c r="I186" s="201" t="n"/>
      <c r="J186" s="201" t="n"/>
      <c r="K186" s="201" t="n"/>
      <c r="L186" s="201" t="n"/>
      <c r="M186" s="201" t="n"/>
      <c r="N186" s="201" t="n"/>
      <c r="O186" s="201" t="n"/>
      <c r="P186" s="201" t="n"/>
      <c r="Q186" s="201" t="n"/>
      <c r="R186" s="201" t="n"/>
      <c r="S186" s="201" t="n"/>
      <c r="T186" s="201" t="n"/>
      <c r="U186" s="201" t="n"/>
      <c r="V186" s="201" t="n"/>
      <c r="W186" s="201" t="n"/>
      <c r="X186" s="201" t="n"/>
      <c r="Y186" s="201" t="n"/>
      <c r="Z186" s="201" t="n"/>
      <c r="AA186" s="201" t="n"/>
      <c r="AB186" s="201" t="n"/>
      <c r="AC186" s="201" t="n"/>
      <c r="AD186" s="201" t="n"/>
      <c r="AE186" s="201" t="n"/>
      <c r="AF186" s="201" t="n"/>
      <c r="AG186" s="201" t="n"/>
    </row>
    <row r="187" ht="12.75" customHeight="1" s="202">
      <c r="A187" s="201" t="n"/>
      <c r="B187" s="201" t="n"/>
      <c r="C187" s="201" t="n"/>
      <c r="D187" s="201" t="n"/>
      <c r="E187" s="201" t="n"/>
      <c r="F187" s="201" t="n"/>
      <c r="G187" s="201" t="n"/>
      <c r="H187" s="201" t="n"/>
      <c r="I187" s="201" t="n"/>
      <c r="J187" s="201" t="n"/>
      <c r="K187" s="201" t="n"/>
      <c r="L187" s="201" t="n"/>
      <c r="M187" s="201" t="n"/>
      <c r="N187" s="201" t="n"/>
      <c r="O187" s="201" t="n"/>
      <c r="P187" s="201" t="n"/>
      <c r="Q187" s="201" t="n"/>
      <c r="R187" s="201" t="n"/>
      <c r="S187" s="201" t="n"/>
      <c r="T187" s="201" t="n"/>
      <c r="U187" s="201" t="n"/>
      <c r="V187" s="201" t="n"/>
      <c r="W187" s="201" t="n"/>
      <c r="X187" s="201" t="n"/>
      <c r="Y187" s="201" t="n"/>
      <c r="Z187" s="201" t="n"/>
      <c r="AA187" s="201" t="n"/>
      <c r="AB187" s="201" t="n"/>
      <c r="AC187" s="201" t="n"/>
      <c r="AD187" s="201" t="n"/>
      <c r="AE187" s="201" t="n"/>
      <c r="AF187" s="201" t="n"/>
      <c r="AG187" s="201" t="n"/>
    </row>
    <row r="188" ht="12.75" customHeight="1" s="202">
      <c r="A188" s="201" t="n"/>
      <c r="B188" s="201" t="n"/>
      <c r="C188" s="201" t="n"/>
      <c r="D188" s="201" t="n"/>
      <c r="E188" s="201" t="n"/>
      <c r="F188" s="201" t="n"/>
      <c r="G188" s="201" t="n"/>
      <c r="H188" s="201" t="n"/>
      <c r="I188" s="201" t="n"/>
      <c r="J188" s="201" t="n"/>
      <c r="K188" s="201" t="n"/>
      <c r="L188" s="201" t="n"/>
      <c r="M188" s="201" t="n"/>
      <c r="N188" s="201" t="n"/>
      <c r="O188" s="201" t="n"/>
      <c r="P188" s="201" t="n"/>
      <c r="Q188" s="201" t="n"/>
      <c r="R188" s="201" t="n"/>
      <c r="S188" s="201" t="n"/>
      <c r="T188" s="201" t="n"/>
      <c r="U188" s="201" t="n"/>
      <c r="V188" s="201" t="n"/>
      <c r="W188" s="201" t="n"/>
      <c r="X188" s="201" t="n"/>
      <c r="Y188" s="201" t="n"/>
      <c r="Z188" s="201" t="n"/>
      <c r="AA188" s="201" t="n"/>
      <c r="AB188" s="201" t="n"/>
      <c r="AC188" s="201" t="n"/>
      <c r="AD188" s="201" t="n"/>
      <c r="AE188" s="201" t="n"/>
      <c r="AF188" s="201" t="n"/>
      <c r="AG188" s="201" t="n"/>
    </row>
    <row r="189" ht="12.75" customHeight="1" s="202">
      <c r="A189" s="201" t="n"/>
      <c r="B189" s="201" t="n"/>
      <c r="C189" s="201" t="n"/>
      <c r="D189" s="201" t="n"/>
      <c r="E189" s="201" t="n"/>
      <c r="F189" s="201" t="n"/>
      <c r="G189" s="201" t="n"/>
      <c r="H189" s="201" t="n"/>
      <c r="I189" s="201" t="n"/>
      <c r="J189" s="201" t="n"/>
      <c r="K189" s="201" t="n"/>
      <c r="L189" s="201" t="n"/>
      <c r="M189" s="201" t="n"/>
      <c r="N189" s="201" t="n"/>
      <c r="O189" s="201" t="n"/>
      <c r="P189" s="201" t="n"/>
      <c r="Q189" s="201" t="n"/>
      <c r="R189" s="201" t="n"/>
      <c r="S189" s="201" t="n"/>
      <c r="T189" s="201" t="n"/>
      <c r="U189" s="201" t="n"/>
      <c r="V189" s="201" t="n"/>
      <c r="W189" s="201" t="n"/>
      <c r="X189" s="201" t="n"/>
      <c r="Y189" s="201" t="n"/>
      <c r="Z189" s="201" t="n"/>
      <c r="AA189" s="201" t="n"/>
      <c r="AB189" s="201" t="n"/>
      <c r="AC189" s="201" t="n"/>
      <c r="AD189" s="201" t="n"/>
      <c r="AE189" s="201" t="n"/>
      <c r="AF189" s="201" t="n"/>
      <c r="AG189" s="201" t="n"/>
    </row>
    <row r="190" ht="12.75" customHeight="1" s="202">
      <c r="A190" s="201" t="n"/>
      <c r="B190" s="201" t="n"/>
      <c r="C190" s="201" t="n"/>
      <c r="D190" s="201" t="n"/>
      <c r="E190" s="201" t="n"/>
      <c r="F190" s="201" t="n"/>
      <c r="G190" s="201" t="n"/>
      <c r="H190" s="201" t="n"/>
      <c r="I190" s="201" t="n"/>
      <c r="J190" s="201" t="n"/>
      <c r="K190" s="201" t="n"/>
      <c r="L190" s="201" t="n"/>
      <c r="M190" s="201" t="n"/>
      <c r="N190" s="201" t="n"/>
      <c r="O190" s="201" t="n"/>
      <c r="P190" s="201" t="n"/>
      <c r="Q190" s="201" t="n"/>
      <c r="R190" s="201" t="n"/>
      <c r="S190" s="201" t="n"/>
      <c r="T190" s="201" t="n"/>
      <c r="U190" s="201" t="n"/>
      <c r="V190" s="201" t="n"/>
      <c r="W190" s="201" t="n"/>
      <c r="X190" s="201" t="n"/>
      <c r="Y190" s="201" t="n"/>
      <c r="Z190" s="201" t="n"/>
      <c r="AA190" s="201" t="n"/>
      <c r="AB190" s="201" t="n"/>
      <c r="AC190" s="201" t="n"/>
      <c r="AD190" s="201" t="n"/>
      <c r="AE190" s="201" t="n"/>
      <c r="AF190" s="201" t="n"/>
      <c r="AG190" s="201" t="n"/>
    </row>
    <row r="191" ht="12.75" customHeight="1" s="202">
      <c r="A191" s="201" t="n"/>
      <c r="B191" s="201" t="n"/>
      <c r="C191" s="201" t="n"/>
      <c r="D191" s="201" t="n"/>
      <c r="E191" s="201" t="n"/>
      <c r="F191" s="201" t="n"/>
      <c r="G191" s="201" t="n"/>
      <c r="H191" s="201" t="n"/>
      <c r="I191" s="201" t="n"/>
      <c r="J191" s="201" t="n"/>
      <c r="K191" s="201" t="n"/>
      <c r="L191" s="201" t="n"/>
      <c r="M191" s="201" t="n"/>
      <c r="N191" s="201" t="n"/>
      <c r="O191" s="201" t="n"/>
      <c r="P191" s="201" t="n"/>
      <c r="Q191" s="201" t="n"/>
      <c r="R191" s="201" t="n"/>
      <c r="S191" s="201" t="n"/>
      <c r="T191" s="201" t="n"/>
      <c r="U191" s="201" t="n"/>
      <c r="V191" s="201" t="n"/>
      <c r="W191" s="201" t="n"/>
      <c r="X191" s="201" t="n"/>
      <c r="Y191" s="201" t="n"/>
      <c r="Z191" s="201" t="n"/>
      <c r="AA191" s="201" t="n"/>
      <c r="AB191" s="201" t="n"/>
      <c r="AC191" s="201" t="n"/>
      <c r="AD191" s="201" t="n"/>
      <c r="AE191" s="201" t="n"/>
      <c r="AF191" s="201" t="n"/>
      <c r="AG191" s="201" t="n"/>
    </row>
    <row r="192" ht="12.75" customHeight="1" s="202">
      <c r="A192" s="201" t="n"/>
      <c r="B192" s="201" t="n"/>
      <c r="C192" s="201" t="n"/>
      <c r="D192" s="201" t="n"/>
      <c r="E192" s="201" t="n"/>
      <c r="F192" s="201" t="n"/>
      <c r="G192" s="201" t="n"/>
      <c r="H192" s="201" t="n"/>
      <c r="I192" s="201" t="n"/>
      <c r="J192" s="201" t="n"/>
      <c r="K192" s="201" t="n"/>
      <c r="L192" s="201" t="n"/>
      <c r="M192" s="201" t="n"/>
      <c r="N192" s="201" t="n"/>
      <c r="O192" s="201" t="n"/>
      <c r="P192" s="201" t="n"/>
      <c r="Q192" s="201" t="n"/>
      <c r="R192" s="201" t="n"/>
      <c r="S192" s="201" t="n"/>
      <c r="T192" s="201" t="n"/>
      <c r="U192" s="201" t="n"/>
      <c r="V192" s="201" t="n"/>
      <c r="W192" s="201" t="n"/>
      <c r="X192" s="201" t="n"/>
      <c r="Y192" s="201" t="n"/>
      <c r="Z192" s="201" t="n"/>
      <c r="AA192" s="201" t="n"/>
      <c r="AB192" s="201" t="n"/>
      <c r="AC192" s="201" t="n"/>
      <c r="AD192" s="201" t="n"/>
      <c r="AE192" s="201" t="n"/>
      <c r="AF192" s="201" t="n"/>
      <c r="AG192" s="201" t="n"/>
    </row>
    <row r="193" ht="12.75" customHeight="1" s="202">
      <c r="A193" s="201" t="n"/>
      <c r="B193" s="201" t="n"/>
      <c r="C193" s="201" t="n"/>
      <c r="D193" s="201" t="n"/>
      <c r="E193" s="201" t="n"/>
      <c r="F193" s="201" t="n"/>
      <c r="G193" s="201" t="n"/>
      <c r="H193" s="201" t="n"/>
      <c r="I193" s="201" t="n"/>
      <c r="J193" s="201" t="n"/>
      <c r="K193" s="201" t="n"/>
      <c r="L193" s="201" t="n"/>
      <c r="M193" s="201" t="n"/>
      <c r="N193" s="201" t="n"/>
      <c r="O193" s="201" t="n"/>
      <c r="P193" s="201" t="n"/>
      <c r="Q193" s="201" t="n"/>
      <c r="R193" s="201" t="n"/>
      <c r="S193" s="201" t="n"/>
      <c r="T193" s="201" t="n"/>
      <c r="U193" s="201" t="n"/>
      <c r="V193" s="201" t="n"/>
      <c r="W193" s="201" t="n"/>
      <c r="X193" s="201" t="n"/>
      <c r="Y193" s="201" t="n"/>
      <c r="Z193" s="201" t="n"/>
      <c r="AA193" s="201" t="n"/>
      <c r="AB193" s="201" t="n"/>
      <c r="AC193" s="201" t="n"/>
      <c r="AD193" s="201" t="n"/>
      <c r="AE193" s="201" t="n"/>
      <c r="AF193" s="201" t="n"/>
      <c r="AG193" s="201" t="n"/>
    </row>
    <row r="194" ht="12.75" customHeight="1" s="202">
      <c r="A194" s="201" t="n"/>
      <c r="B194" s="201" t="n"/>
      <c r="C194" s="201" t="n"/>
      <c r="D194" s="201" t="n"/>
      <c r="E194" s="201" t="n"/>
      <c r="F194" s="201" t="n"/>
      <c r="G194" s="201" t="n"/>
      <c r="H194" s="201" t="n"/>
      <c r="I194" s="201" t="n"/>
      <c r="J194" s="201" t="n"/>
      <c r="K194" s="201" t="n"/>
      <c r="L194" s="201" t="n"/>
      <c r="M194" s="201" t="n"/>
      <c r="N194" s="201" t="n"/>
      <c r="O194" s="201" t="n"/>
      <c r="P194" s="201" t="n"/>
      <c r="Q194" s="201" t="n"/>
      <c r="R194" s="201" t="n"/>
      <c r="S194" s="201" t="n"/>
      <c r="T194" s="201" t="n"/>
      <c r="U194" s="201" t="n"/>
      <c r="V194" s="201" t="n"/>
      <c r="W194" s="201" t="n"/>
      <c r="X194" s="201" t="n"/>
      <c r="Y194" s="201" t="n"/>
      <c r="Z194" s="201" t="n"/>
      <c r="AA194" s="201" t="n"/>
      <c r="AB194" s="201" t="n"/>
      <c r="AC194" s="201" t="n"/>
      <c r="AD194" s="201" t="n"/>
      <c r="AE194" s="201" t="n"/>
      <c r="AF194" s="201" t="n"/>
      <c r="AG194" s="201" t="n"/>
    </row>
    <row r="195" ht="12.75" customHeight="1" s="202">
      <c r="A195" s="201" t="n"/>
      <c r="B195" s="201" t="n"/>
      <c r="C195" s="201" t="n"/>
      <c r="D195" s="201" t="n"/>
      <c r="E195" s="201" t="n"/>
      <c r="F195" s="201" t="n"/>
      <c r="G195" s="201" t="n"/>
      <c r="H195" s="201" t="n"/>
      <c r="I195" s="201" t="n"/>
      <c r="J195" s="201" t="n"/>
      <c r="K195" s="201" t="n"/>
      <c r="L195" s="201" t="n"/>
      <c r="M195" s="201" t="n"/>
      <c r="N195" s="201" t="n"/>
      <c r="O195" s="201" t="n"/>
      <c r="P195" s="201" t="n"/>
      <c r="Q195" s="201" t="n"/>
      <c r="R195" s="201" t="n"/>
      <c r="S195" s="201" t="n"/>
      <c r="T195" s="201" t="n"/>
      <c r="U195" s="201" t="n"/>
      <c r="V195" s="201" t="n"/>
      <c r="W195" s="201" t="n"/>
      <c r="X195" s="201" t="n"/>
      <c r="Y195" s="201" t="n"/>
      <c r="Z195" s="201" t="n"/>
      <c r="AA195" s="201" t="n"/>
      <c r="AB195" s="201" t="n"/>
      <c r="AC195" s="201" t="n"/>
      <c r="AD195" s="201" t="n"/>
      <c r="AE195" s="201" t="n"/>
      <c r="AF195" s="201" t="n"/>
      <c r="AG195" s="201" t="n"/>
    </row>
    <row r="196" ht="12.75" customHeight="1" s="202">
      <c r="A196" s="201" t="n"/>
      <c r="B196" s="201" t="n"/>
      <c r="C196" s="201" t="n"/>
      <c r="D196" s="201" t="n"/>
      <c r="E196" s="201" t="n"/>
      <c r="F196" s="201" t="n"/>
      <c r="G196" s="201" t="n"/>
      <c r="H196" s="201" t="n"/>
      <c r="I196" s="201" t="n"/>
      <c r="J196" s="201" t="n"/>
      <c r="K196" s="201" t="n"/>
      <c r="L196" s="201" t="n"/>
      <c r="M196" s="201" t="n"/>
      <c r="N196" s="201" t="n"/>
      <c r="O196" s="201" t="n"/>
      <c r="P196" s="201" t="n"/>
      <c r="Q196" s="201" t="n"/>
      <c r="R196" s="201" t="n"/>
      <c r="S196" s="201" t="n"/>
      <c r="T196" s="201" t="n"/>
      <c r="U196" s="201" t="n"/>
      <c r="V196" s="201" t="n"/>
      <c r="W196" s="201" t="n"/>
      <c r="X196" s="201" t="n"/>
      <c r="Y196" s="201" t="n"/>
      <c r="Z196" s="201" t="n"/>
      <c r="AA196" s="201" t="n"/>
      <c r="AB196" s="201" t="n"/>
      <c r="AC196" s="201" t="n"/>
      <c r="AD196" s="201" t="n"/>
      <c r="AE196" s="201" t="n"/>
      <c r="AF196" s="201" t="n"/>
      <c r="AG196" s="201" t="n"/>
    </row>
    <row r="197" ht="12.75" customHeight="1" s="202">
      <c r="A197" s="201" t="n"/>
      <c r="B197" s="201" t="n"/>
      <c r="C197" s="201" t="n"/>
      <c r="D197" s="201" t="n"/>
      <c r="E197" s="201" t="n"/>
      <c r="F197" s="201" t="n"/>
      <c r="G197" s="201" t="n"/>
      <c r="H197" s="201" t="n"/>
      <c r="I197" s="201" t="n"/>
      <c r="J197" s="201" t="n"/>
      <c r="K197" s="201" t="n"/>
      <c r="L197" s="201" t="n"/>
      <c r="M197" s="201" t="n"/>
      <c r="N197" s="201" t="n"/>
      <c r="O197" s="201" t="n"/>
      <c r="P197" s="201" t="n"/>
      <c r="Q197" s="201" t="n"/>
      <c r="R197" s="201" t="n"/>
      <c r="S197" s="201" t="n"/>
      <c r="T197" s="201" t="n"/>
      <c r="U197" s="201" t="n"/>
      <c r="V197" s="201" t="n"/>
      <c r="W197" s="201" t="n"/>
      <c r="X197" s="201" t="n"/>
      <c r="Y197" s="201" t="n"/>
      <c r="Z197" s="201" t="n"/>
      <c r="AA197" s="201" t="n"/>
      <c r="AB197" s="201" t="n"/>
      <c r="AC197" s="201" t="n"/>
      <c r="AD197" s="201" t="n"/>
      <c r="AE197" s="201" t="n"/>
      <c r="AF197" s="201" t="n"/>
      <c r="AG197" s="201" t="n"/>
    </row>
    <row r="198" ht="12.75" customHeight="1" s="202">
      <c r="A198" s="201" t="n"/>
      <c r="B198" s="201" t="n"/>
      <c r="C198" s="201" t="n"/>
      <c r="D198" s="201" t="n"/>
      <c r="E198" s="201" t="n"/>
      <c r="F198" s="201" t="n"/>
      <c r="G198" s="201" t="n"/>
      <c r="H198" s="201" t="n"/>
      <c r="I198" s="201" t="n"/>
      <c r="J198" s="201" t="n"/>
      <c r="K198" s="201" t="n"/>
      <c r="L198" s="201" t="n"/>
      <c r="M198" s="201" t="n"/>
      <c r="N198" s="201" t="n"/>
      <c r="O198" s="201" t="n"/>
      <c r="P198" s="201" t="n"/>
      <c r="Q198" s="201" t="n"/>
      <c r="R198" s="201" t="n"/>
      <c r="S198" s="201" t="n"/>
      <c r="T198" s="201" t="n"/>
      <c r="U198" s="201" t="n"/>
      <c r="V198" s="201" t="n"/>
      <c r="W198" s="201" t="n"/>
      <c r="X198" s="201" t="n"/>
      <c r="Y198" s="201" t="n"/>
      <c r="Z198" s="201" t="n"/>
      <c r="AA198" s="201" t="n"/>
      <c r="AB198" s="201" t="n"/>
      <c r="AC198" s="201" t="n"/>
      <c r="AD198" s="201" t="n"/>
      <c r="AE198" s="201" t="n"/>
      <c r="AF198" s="201" t="n"/>
      <c r="AG198" s="201" t="n"/>
    </row>
    <row r="199" ht="12.75" customHeight="1" s="202">
      <c r="A199" s="201" t="n"/>
      <c r="B199" s="201" t="n"/>
      <c r="C199" s="201" t="n"/>
      <c r="D199" s="201" t="n"/>
      <c r="E199" s="201" t="n"/>
      <c r="F199" s="201" t="n"/>
      <c r="G199" s="201" t="n"/>
      <c r="H199" s="201" t="n"/>
      <c r="I199" s="201" t="n"/>
      <c r="J199" s="201" t="n"/>
      <c r="K199" s="201" t="n"/>
      <c r="L199" s="201" t="n"/>
      <c r="M199" s="201" t="n"/>
      <c r="N199" s="201" t="n"/>
      <c r="O199" s="201" t="n"/>
      <c r="P199" s="201" t="n"/>
      <c r="Q199" s="201" t="n"/>
      <c r="R199" s="201" t="n"/>
      <c r="S199" s="201" t="n"/>
      <c r="T199" s="201" t="n"/>
      <c r="U199" s="201" t="n"/>
      <c r="V199" s="201" t="n"/>
      <c r="W199" s="201" t="n"/>
      <c r="X199" s="201" t="n"/>
      <c r="Y199" s="201" t="n"/>
      <c r="Z199" s="201" t="n"/>
      <c r="AA199" s="201" t="n"/>
      <c r="AB199" s="201" t="n"/>
      <c r="AC199" s="201" t="n"/>
      <c r="AD199" s="201" t="n"/>
      <c r="AE199" s="201" t="n"/>
      <c r="AF199" s="201" t="n"/>
      <c r="AG199" s="201" t="n"/>
    </row>
    <row r="200" ht="12.75" customHeight="1" s="202">
      <c r="A200" s="201" t="n"/>
      <c r="B200" s="201" t="n"/>
      <c r="C200" s="201" t="n"/>
      <c r="D200" s="201" t="n"/>
      <c r="E200" s="201" t="n"/>
      <c r="F200" s="201" t="n"/>
      <c r="G200" s="201" t="n"/>
      <c r="H200" s="201" t="n"/>
      <c r="I200" s="201" t="n"/>
      <c r="J200" s="201" t="n"/>
      <c r="K200" s="201" t="n"/>
      <c r="L200" s="201" t="n"/>
      <c r="M200" s="201" t="n"/>
      <c r="N200" s="201" t="n"/>
      <c r="O200" s="201" t="n"/>
      <c r="P200" s="201" t="n"/>
      <c r="Q200" s="201" t="n"/>
      <c r="R200" s="201" t="n"/>
      <c r="S200" s="201" t="n"/>
      <c r="T200" s="201" t="n"/>
      <c r="U200" s="201" t="n"/>
      <c r="V200" s="201" t="n"/>
      <c r="W200" s="201" t="n"/>
      <c r="X200" s="201" t="n"/>
      <c r="Y200" s="201" t="n"/>
      <c r="Z200" s="201" t="n"/>
      <c r="AA200" s="201" t="n"/>
      <c r="AB200" s="201" t="n"/>
      <c r="AC200" s="201" t="n"/>
      <c r="AD200" s="201" t="n"/>
      <c r="AE200" s="201" t="n"/>
      <c r="AF200" s="201" t="n"/>
      <c r="AG200" s="201" t="n"/>
    </row>
    <row r="201" ht="12.75" customHeight="1" s="202">
      <c r="A201" s="201" t="n"/>
      <c r="B201" s="201" t="n"/>
      <c r="C201" s="201" t="n"/>
      <c r="D201" s="201" t="n"/>
      <c r="E201" s="201" t="n"/>
      <c r="F201" s="201" t="n"/>
      <c r="G201" s="201" t="n"/>
      <c r="H201" s="201" t="n"/>
      <c r="I201" s="201" t="n"/>
      <c r="J201" s="201" t="n"/>
      <c r="K201" s="201" t="n"/>
      <c r="L201" s="201" t="n"/>
      <c r="M201" s="201" t="n"/>
      <c r="N201" s="201" t="n"/>
      <c r="O201" s="201" t="n"/>
      <c r="P201" s="201" t="n"/>
      <c r="Q201" s="201" t="n"/>
      <c r="R201" s="201" t="n"/>
      <c r="S201" s="201" t="n"/>
      <c r="T201" s="201" t="n"/>
      <c r="U201" s="201" t="n"/>
      <c r="V201" s="201" t="n"/>
      <c r="W201" s="201" t="n"/>
      <c r="X201" s="201" t="n"/>
      <c r="Y201" s="201" t="n"/>
      <c r="Z201" s="201" t="n"/>
      <c r="AA201" s="201" t="n"/>
      <c r="AB201" s="201" t="n"/>
      <c r="AC201" s="201" t="n"/>
      <c r="AD201" s="201" t="n"/>
      <c r="AE201" s="201" t="n"/>
      <c r="AF201" s="201" t="n"/>
      <c r="AG201" s="201" t="n"/>
    </row>
    <row r="202" ht="12.75" customHeight="1" s="202">
      <c r="A202" s="201" t="n"/>
      <c r="B202" s="201" t="n"/>
      <c r="C202" s="201" t="n"/>
      <c r="D202" s="201" t="n"/>
      <c r="E202" s="201" t="n"/>
      <c r="F202" s="201" t="n"/>
      <c r="G202" s="201" t="n"/>
      <c r="H202" s="201" t="n"/>
      <c r="I202" s="201" t="n"/>
      <c r="J202" s="201" t="n"/>
      <c r="K202" s="201" t="n"/>
      <c r="L202" s="201" t="n"/>
      <c r="M202" s="201" t="n"/>
      <c r="N202" s="201" t="n"/>
      <c r="O202" s="201" t="n"/>
      <c r="P202" s="201" t="n"/>
      <c r="Q202" s="201" t="n"/>
      <c r="R202" s="201" t="n"/>
      <c r="S202" s="201" t="n"/>
      <c r="T202" s="201" t="n"/>
      <c r="U202" s="201" t="n"/>
      <c r="V202" s="201" t="n"/>
      <c r="W202" s="201" t="n"/>
      <c r="X202" s="201" t="n"/>
      <c r="Y202" s="201" t="n"/>
      <c r="Z202" s="201" t="n"/>
      <c r="AA202" s="201" t="n"/>
      <c r="AB202" s="201" t="n"/>
      <c r="AC202" s="201" t="n"/>
      <c r="AD202" s="201" t="n"/>
      <c r="AE202" s="201" t="n"/>
      <c r="AF202" s="201" t="n"/>
      <c r="AG202" s="201" t="n"/>
    </row>
    <row r="203" ht="12.75" customHeight="1" s="202">
      <c r="A203" s="201" t="n"/>
      <c r="B203" s="201" t="n"/>
      <c r="C203" s="201" t="n"/>
      <c r="D203" s="201" t="n"/>
      <c r="E203" s="201" t="n"/>
      <c r="F203" s="201" t="n"/>
      <c r="G203" s="201" t="n"/>
      <c r="H203" s="201" t="n"/>
      <c r="I203" s="201" t="n"/>
      <c r="J203" s="201" t="n"/>
      <c r="K203" s="201" t="n"/>
      <c r="L203" s="201" t="n"/>
      <c r="M203" s="201" t="n"/>
      <c r="N203" s="201" t="n"/>
      <c r="O203" s="201" t="n"/>
      <c r="P203" s="201" t="n"/>
      <c r="Q203" s="201" t="n"/>
      <c r="R203" s="201" t="n"/>
      <c r="S203" s="201" t="n"/>
      <c r="T203" s="201" t="n"/>
      <c r="U203" s="201" t="n"/>
      <c r="V203" s="201" t="n"/>
      <c r="W203" s="201" t="n"/>
      <c r="X203" s="201" t="n"/>
      <c r="Y203" s="201" t="n"/>
      <c r="Z203" s="201" t="n"/>
      <c r="AA203" s="201" t="n"/>
      <c r="AB203" s="201" t="n"/>
      <c r="AC203" s="201" t="n"/>
      <c r="AD203" s="201" t="n"/>
      <c r="AE203" s="201" t="n"/>
      <c r="AF203" s="201" t="n"/>
      <c r="AG203" s="201" t="n"/>
    </row>
    <row r="204" ht="12.75" customHeight="1" s="202">
      <c r="A204" s="201" t="n"/>
      <c r="B204" s="201" t="n"/>
      <c r="C204" s="201" t="n"/>
      <c r="D204" s="201" t="n"/>
      <c r="E204" s="201" t="n"/>
      <c r="F204" s="201" t="n"/>
      <c r="G204" s="201" t="n"/>
      <c r="H204" s="201" t="n"/>
      <c r="I204" s="201" t="n"/>
      <c r="J204" s="201" t="n"/>
      <c r="K204" s="201" t="n"/>
      <c r="L204" s="201" t="n"/>
      <c r="M204" s="201" t="n"/>
      <c r="N204" s="201" t="n"/>
      <c r="O204" s="201" t="n"/>
      <c r="P204" s="201" t="n"/>
      <c r="Q204" s="201" t="n"/>
      <c r="R204" s="201" t="n"/>
      <c r="S204" s="201" t="n"/>
      <c r="T204" s="201" t="n"/>
      <c r="U204" s="201" t="n"/>
      <c r="V204" s="201" t="n"/>
      <c r="W204" s="201" t="n"/>
      <c r="X204" s="201" t="n"/>
      <c r="Y204" s="201" t="n"/>
      <c r="Z204" s="201" t="n"/>
      <c r="AA204" s="201" t="n"/>
      <c r="AB204" s="201" t="n"/>
      <c r="AC204" s="201" t="n"/>
      <c r="AD204" s="201" t="n"/>
      <c r="AE204" s="201" t="n"/>
      <c r="AF204" s="201" t="n"/>
      <c r="AG204" s="201" t="n"/>
    </row>
    <row r="205" ht="12.75" customHeight="1" s="202">
      <c r="A205" s="201" t="n"/>
      <c r="B205" s="201" t="n"/>
      <c r="C205" s="201" t="n"/>
      <c r="D205" s="201" t="n"/>
      <c r="E205" s="201" t="n"/>
      <c r="F205" s="201" t="n"/>
      <c r="G205" s="201" t="n"/>
      <c r="H205" s="201" t="n"/>
      <c r="I205" s="201" t="n"/>
      <c r="J205" s="201" t="n"/>
      <c r="K205" s="201" t="n"/>
      <c r="L205" s="201" t="n"/>
      <c r="M205" s="201" t="n"/>
      <c r="N205" s="201" t="n"/>
      <c r="O205" s="201" t="n"/>
      <c r="P205" s="201" t="n"/>
      <c r="Q205" s="201" t="n"/>
      <c r="R205" s="201" t="n"/>
      <c r="S205" s="201" t="n"/>
      <c r="T205" s="201" t="n"/>
      <c r="U205" s="201" t="n"/>
      <c r="V205" s="201" t="n"/>
      <c r="W205" s="201" t="n"/>
      <c r="X205" s="201" t="n"/>
      <c r="Y205" s="201" t="n"/>
      <c r="Z205" s="201" t="n"/>
      <c r="AA205" s="201" t="n"/>
      <c r="AB205" s="201" t="n"/>
      <c r="AC205" s="201" t="n"/>
      <c r="AD205" s="201" t="n"/>
      <c r="AE205" s="201" t="n"/>
      <c r="AF205" s="201" t="n"/>
      <c r="AG205" s="201" t="n"/>
    </row>
    <row r="206" ht="12.75" customHeight="1" s="202">
      <c r="A206" s="201" t="n"/>
      <c r="B206" s="201" t="n"/>
      <c r="C206" s="201" t="n"/>
      <c r="D206" s="201" t="n"/>
      <c r="E206" s="201" t="n"/>
      <c r="F206" s="201" t="n"/>
      <c r="G206" s="201" t="n"/>
      <c r="H206" s="201" t="n"/>
      <c r="I206" s="201" t="n"/>
      <c r="J206" s="201" t="n"/>
      <c r="K206" s="201" t="n"/>
      <c r="L206" s="201" t="n"/>
      <c r="M206" s="201" t="n"/>
      <c r="N206" s="201" t="n"/>
      <c r="O206" s="201" t="n"/>
      <c r="P206" s="201" t="n"/>
      <c r="Q206" s="201" t="n"/>
      <c r="R206" s="201" t="n"/>
      <c r="S206" s="201" t="n"/>
      <c r="T206" s="201" t="n"/>
      <c r="U206" s="201" t="n"/>
      <c r="V206" s="201" t="n"/>
      <c r="W206" s="201" t="n"/>
      <c r="X206" s="201" t="n"/>
      <c r="Y206" s="201" t="n"/>
      <c r="Z206" s="201" t="n"/>
      <c r="AA206" s="201" t="n"/>
      <c r="AB206" s="201" t="n"/>
      <c r="AC206" s="201" t="n"/>
      <c r="AD206" s="201" t="n"/>
      <c r="AE206" s="201" t="n"/>
      <c r="AF206" s="201" t="n"/>
      <c r="AG206" s="201" t="n"/>
    </row>
    <row r="207" ht="12.75" customHeight="1" s="202">
      <c r="A207" s="201" t="n"/>
      <c r="B207" s="201" t="n"/>
      <c r="C207" s="201" t="n"/>
      <c r="D207" s="201" t="n"/>
      <c r="E207" s="201" t="n"/>
      <c r="F207" s="201" t="n"/>
      <c r="G207" s="201" t="n"/>
      <c r="H207" s="201" t="n"/>
      <c r="I207" s="201" t="n"/>
      <c r="J207" s="201" t="n"/>
      <c r="K207" s="201" t="n"/>
      <c r="L207" s="201" t="n"/>
      <c r="M207" s="201" t="n"/>
      <c r="N207" s="201" t="n"/>
      <c r="O207" s="201" t="n"/>
      <c r="P207" s="201" t="n"/>
      <c r="Q207" s="201" t="n"/>
      <c r="R207" s="201" t="n"/>
      <c r="S207" s="201" t="n"/>
      <c r="T207" s="201" t="n"/>
      <c r="U207" s="201" t="n"/>
      <c r="V207" s="201" t="n"/>
      <c r="W207" s="201" t="n"/>
      <c r="X207" s="201" t="n"/>
      <c r="Y207" s="201" t="n"/>
      <c r="Z207" s="201" t="n"/>
      <c r="AA207" s="201" t="n"/>
      <c r="AB207" s="201" t="n"/>
      <c r="AC207" s="201" t="n"/>
      <c r="AD207" s="201" t="n"/>
      <c r="AE207" s="201" t="n"/>
      <c r="AF207" s="201" t="n"/>
      <c r="AG207" s="201" t="n"/>
    </row>
    <row r="208" ht="12.75" customHeight="1" s="202">
      <c r="A208" s="201" t="n"/>
      <c r="B208" s="201" t="n"/>
      <c r="C208" s="201" t="n"/>
      <c r="D208" s="201" t="n"/>
      <c r="E208" s="201" t="n"/>
      <c r="F208" s="201" t="n"/>
      <c r="G208" s="201" t="n"/>
      <c r="H208" s="201" t="n"/>
      <c r="I208" s="201" t="n"/>
      <c r="J208" s="201" t="n"/>
      <c r="K208" s="201" t="n"/>
      <c r="L208" s="201" t="n"/>
      <c r="M208" s="201" t="n"/>
      <c r="N208" s="201" t="n"/>
      <c r="O208" s="201" t="n"/>
      <c r="P208" s="201" t="n"/>
      <c r="Q208" s="201" t="n"/>
      <c r="R208" s="201" t="n"/>
      <c r="S208" s="201" t="n"/>
      <c r="T208" s="201" t="n"/>
      <c r="U208" s="201" t="n"/>
      <c r="V208" s="201" t="n"/>
      <c r="W208" s="201" t="n"/>
      <c r="X208" s="201" t="n"/>
      <c r="Y208" s="201" t="n"/>
      <c r="Z208" s="201" t="n"/>
      <c r="AA208" s="201" t="n"/>
      <c r="AB208" s="201" t="n"/>
      <c r="AC208" s="201" t="n"/>
      <c r="AD208" s="201" t="n"/>
      <c r="AE208" s="201" t="n"/>
      <c r="AF208" s="201" t="n"/>
      <c r="AG208" s="201" t="n"/>
    </row>
    <row r="209" ht="12.75" customHeight="1" s="202">
      <c r="A209" s="201" t="n"/>
      <c r="B209" s="201" t="n"/>
      <c r="C209" s="201" t="n"/>
      <c r="D209" s="201" t="n"/>
      <c r="E209" s="201" t="n"/>
      <c r="F209" s="201" t="n"/>
      <c r="G209" s="201" t="n"/>
      <c r="H209" s="201" t="n"/>
      <c r="I209" s="201" t="n"/>
      <c r="J209" s="201" t="n"/>
      <c r="K209" s="201" t="n"/>
      <c r="L209" s="201" t="n"/>
      <c r="M209" s="201" t="n"/>
      <c r="N209" s="201" t="n"/>
      <c r="O209" s="201" t="n"/>
      <c r="P209" s="201" t="n"/>
      <c r="Q209" s="201" t="n"/>
      <c r="R209" s="201" t="n"/>
      <c r="S209" s="201" t="n"/>
      <c r="T209" s="201" t="n"/>
      <c r="U209" s="201" t="n"/>
      <c r="V209" s="201" t="n"/>
      <c r="W209" s="201" t="n"/>
      <c r="X209" s="201" t="n"/>
      <c r="Y209" s="201" t="n"/>
      <c r="Z209" s="201" t="n"/>
      <c r="AA209" s="201" t="n"/>
      <c r="AB209" s="201" t="n"/>
      <c r="AC209" s="201" t="n"/>
      <c r="AD209" s="201" t="n"/>
      <c r="AE209" s="201" t="n"/>
      <c r="AF209" s="201" t="n"/>
      <c r="AG209" s="201" t="n"/>
    </row>
    <row r="210" ht="12.75" customHeight="1" s="202">
      <c r="A210" s="201" t="n"/>
      <c r="B210" s="201" t="n"/>
      <c r="C210" s="201" t="n"/>
      <c r="D210" s="201" t="n"/>
      <c r="E210" s="201" t="n"/>
      <c r="F210" s="201" t="n"/>
      <c r="G210" s="201" t="n"/>
      <c r="H210" s="201" t="n"/>
      <c r="I210" s="201" t="n"/>
      <c r="J210" s="201" t="n"/>
      <c r="K210" s="201" t="n"/>
      <c r="L210" s="201" t="n"/>
      <c r="M210" s="201" t="n"/>
      <c r="N210" s="201" t="n"/>
      <c r="O210" s="201" t="n"/>
      <c r="P210" s="201" t="n"/>
      <c r="Q210" s="201" t="n"/>
      <c r="R210" s="201" t="n"/>
      <c r="S210" s="201" t="n"/>
      <c r="T210" s="201" t="n"/>
      <c r="U210" s="201" t="n"/>
      <c r="V210" s="201" t="n"/>
      <c r="W210" s="201" t="n"/>
      <c r="X210" s="201" t="n"/>
      <c r="Y210" s="201" t="n"/>
      <c r="Z210" s="201" t="n"/>
      <c r="AA210" s="201" t="n"/>
      <c r="AB210" s="201" t="n"/>
      <c r="AC210" s="201" t="n"/>
      <c r="AD210" s="201" t="n"/>
      <c r="AE210" s="201" t="n"/>
      <c r="AF210" s="201" t="n"/>
      <c r="AG210" s="201" t="n"/>
    </row>
    <row r="211" ht="12.75" customHeight="1" s="202">
      <c r="A211" s="201" t="n"/>
      <c r="B211" s="201" t="n"/>
      <c r="C211" s="201" t="n"/>
      <c r="D211" s="201" t="n"/>
      <c r="E211" s="201" t="n"/>
      <c r="F211" s="201" t="n"/>
      <c r="G211" s="201" t="n"/>
      <c r="H211" s="201" t="n"/>
      <c r="I211" s="201" t="n"/>
      <c r="J211" s="201" t="n"/>
      <c r="K211" s="201" t="n"/>
      <c r="L211" s="201" t="n"/>
      <c r="M211" s="201" t="n"/>
      <c r="N211" s="201" t="n"/>
      <c r="O211" s="201" t="n"/>
      <c r="P211" s="201" t="n"/>
      <c r="Q211" s="201" t="n"/>
      <c r="R211" s="201" t="n"/>
      <c r="S211" s="201" t="n"/>
      <c r="T211" s="201" t="n"/>
      <c r="U211" s="201" t="n"/>
      <c r="V211" s="201" t="n"/>
      <c r="W211" s="201" t="n"/>
      <c r="X211" s="201" t="n"/>
      <c r="Y211" s="201" t="n"/>
      <c r="Z211" s="201" t="n"/>
      <c r="AA211" s="201" t="n"/>
      <c r="AB211" s="201" t="n"/>
      <c r="AC211" s="201" t="n"/>
      <c r="AD211" s="201" t="n"/>
      <c r="AE211" s="201" t="n"/>
      <c r="AF211" s="201" t="n"/>
      <c r="AG211" s="201" t="n"/>
    </row>
    <row r="212" ht="12.75" customHeight="1" s="202">
      <c r="A212" s="201" t="n"/>
      <c r="B212" s="201" t="n"/>
      <c r="C212" s="201" t="n"/>
      <c r="D212" s="201" t="n"/>
      <c r="E212" s="201" t="n"/>
      <c r="F212" s="201" t="n"/>
      <c r="G212" s="201" t="n"/>
      <c r="H212" s="201" t="n"/>
      <c r="I212" s="201" t="n"/>
      <c r="J212" s="201" t="n"/>
      <c r="K212" s="201" t="n"/>
      <c r="L212" s="201" t="n"/>
      <c r="M212" s="201" t="n"/>
      <c r="N212" s="201" t="n"/>
      <c r="O212" s="201" t="n"/>
      <c r="P212" s="201" t="n"/>
      <c r="Q212" s="201" t="n"/>
      <c r="R212" s="201" t="n"/>
      <c r="S212" s="201" t="n"/>
      <c r="T212" s="201" t="n"/>
      <c r="U212" s="201" t="n"/>
      <c r="V212" s="201" t="n"/>
      <c r="W212" s="201" t="n"/>
      <c r="X212" s="201" t="n"/>
      <c r="Y212" s="201" t="n"/>
      <c r="Z212" s="201" t="n"/>
      <c r="AA212" s="201" t="n"/>
      <c r="AB212" s="201" t="n"/>
      <c r="AC212" s="201" t="n"/>
      <c r="AD212" s="201" t="n"/>
      <c r="AE212" s="201" t="n"/>
      <c r="AF212" s="201" t="n"/>
      <c r="AG212" s="201" t="n"/>
    </row>
    <row r="213" ht="12.75" customHeight="1" s="202">
      <c r="A213" s="201" t="n"/>
      <c r="B213" s="201" t="n"/>
      <c r="C213" s="201" t="n"/>
      <c r="D213" s="201" t="n"/>
      <c r="E213" s="201" t="n"/>
      <c r="F213" s="201" t="n"/>
      <c r="G213" s="201" t="n"/>
      <c r="H213" s="201" t="n"/>
      <c r="I213" s="201" t="n"/>
      <c r="J213" s="201" t="n"/>
      <c r="K213" s="201" t="n"/>
      <c r="L213" s="201" t="n"/>
      <c r="M213" s="201" t="n"/>
      <c r="N213" s="201" t="n"/>
      <c r="O213" s="201" t="n"/>
      <c r="P213" s="201" t="n"/>
      <c r="Q213" s="201" t="n"/>
      <c r="R213" s="201" t="n"/>
      <c r="S213" s="201" t="n"/>
      <c r="T213" s="201" t="n"/>
      <c r="U213" s="201" t="n"/>
      <c r="V213" s="201" t="n"/>
      <c r="W213" s="201" t="n"/>
      <c r="X213" s="201" t="n"/>
      <c r="Y213" s="201" t="n"/>
      <c r="Z213" s="201" t="n"/>
      <c r="AA213" s="201" t="n"/>
      <c r="AB213" s="201" t="n"/>
      <c r="AC213" s="201" t="n"/>
      <c r="AD213" s="201" t="n"/>
      <c r="AE213" s="201" t="n"/>
      <c r="AF213" s="201" t="n"/>
      <c r="AG213" s="201" t="n"/>
    </row>
    <row r="214" ht="12.75" customHeight="1" s="202">
      <c r="A214" s="201" t="n"/>
      <c r="B214" s="201" t="n"/>
      <c r="C214" s="201" t="n"/>
      <c r="D214" s="201" t="n"/>
      <c r="E214" s="201" t="n"/>
      <c r="F214" s="201" t="n"/>
      <c r="G214" s="201" t="n"/>
      <c r="H214" s="201" t="n"/>
      <c r="I214" s="201" t="n"/>
      <c r="J214" s="201" t="n"/>
      <c r="K214" s="201" t="n"/>
      <c r="L214" s="201" t="n"/>
      <c r="M214" s="201" t="n"/>
      <c r="N214" s="201" t="n"/>
      <c r="O214" s="201" t="n"/>
      <c r="P214" s="201" t="n"/>
      <c r="Q214" s="201" t="n"/>
      <c r="R214" s="201" t="n"/>
      <c r="S214" s="201" t="n"/>
      <c r="T214" s="201" t="n"/>
      <c r="U214" s="201" t="n"/>
      <c r="V214" s="201" t="n"/>
      <c r="W214" s="201" t="n"/>
      <c r="X214" s="201" t="n"/>
      <c r="Y214" s="201" t="n"/>
      <c r="Z214" s="201" t="n"/>
      <c r="AA214" s="201" t="n"/>
      <c r="AB214" s="201" t="n"/>
      <c r="AC214" s="201" t="n"/>
      <c r="AD214" s="201" t="n"/>
      <c r="AE214" s="201" t="n"/>
      <c r="AF214" s="201" t="n"/>
      <c r="AG214" s="201" t="n"/>
    </row>
    <row r="215" ht="12.75" customHeight="1" s="202">
      <c r="A215" s="201" t="n"/>
      <c r="B215" s="201" t="n"/>
      <c r="C215" s="201" t="n"/>
      <c r="D215" s="201" t="n"/>
      <c r="E215" s="201" t="n"/>
      <c r="F215" s="201" t="n"/>
      <c r="G215" s="201" t="n"/>
      <c r="H215" s="201" t="n"/>
      <c r="I215" s="201" t="n"/>
      <c r="J215" s="201" t="n"/>
      <c r="K215" s="201" t="n"/>
      <c r="L215" s="201" t="n"/>
      <c r="M215" s="201" t="n"/>
      <c r="N215" s="201" t="n"/>
      <c r="O215" s="201" t="n"/>
      <c r="P215" s="201" t="n"/>
      <c r="Q215" s="201" t="n"/>
      <c r="R215" s="201" t="n"/>
      <c r="S215" s="201" t="n"/>
      <c r="T215" s="201" t="n"/>
      <c r="U215" s="201" t="n"/>
      <c r="V215" s="201" t="n"/>
      <c r="W215" s="201" t="n"/>
      <c r="X215" s="201" t="n"/>
      <c r="Y215" s="201" t="n"/>
      <c r="Z215" s="201" t="n"/>
      <c r="AA215" s="201" t="n"/>
      <c r="AB215" s="201" t="n"/>
      <c r="AC215" s="201" t="n"/>
      <c r="AD215" s="201" t="n"/>
      <c r="AE215" s="201" t="n"/>
      <c r="AF215" s="201" t="n"/>
      <c r="AG215" s="201" t="n"/>
    </row>
    <row r="216" ht="12.75" customHeight="1" s="202">
      <c r="A216" s="201" t="n"/>
      <c r="B216" s="201" t="n"/>
      <c r="C216" s="201" t="n"/>
      <c r="D216" s="201" t="n"/>
      <c r="E216" s="201" t="n"/>
      <c r="F216" s="201" t="n"/>
      <c r="G216" s="201" t="n"/>
      <c r="H216" s="201" t="n"/>
      <c r="I216" s="201" t="n"/>
      <c r="J216" s="201" t="n"/>
      <c r="K216" s="201" t="n"/>
      <c r="L216" s="201" t="n"/>
      <c r="M216" s="201" t="n"/>
      <c r="N216" s="201" t="n"/>
      <c r="O216" s="201" t="n"/>
      <c r="P216" s="201" t="n"/>
      <c r="Q216" s="201" t="n"/>
      <c r="R216" s="201" t="n"/>
      <c r="S216" s="201" t="n"/>
      <c r="T216" s="201" t="n"/>
      <c r="U216" s="201" t="n"/>
      <c r="V216" s="201" t="n"/>
      <c r="W216" s="201" t="n"/>
      <c r="X216" s="201" t="n"/>
      <c r="Y216" s="201" t="n"/>
      <c r="Z216" s="201" t="n"/>
      <c r="AA216" s="201" t="n"/>
      <c r="AB216" s="201" t="n"/>
      <c r="AC216" s="201" t="n"/>
      <c r="AD216" s="201" t="n"/>
      <c r="AE216" s="201" t="n"/>
      <c r="AF216" s="201" t="n"/>
      <c r="AG216" s="201" t="n"/>
    </row>
    <row r="217" ht="12.75" customHeight="1" s="202">
      <c r="A217" s="201" t="n"/>
      <c r="B217" s="201" t="n"/>
      <c r="C217" s="201" t="n"/>
      <c r="D217" s="201" t="n"/>
      <c r="E217" s="201" t="n"/>
      <c r="F217" s="201" t="n"/>
      <c r="G217" s="201" t="n"/>
      <c r="H217" s="201" t="n"/>
      <c r="I217" s="201" t="n"/>
      <c r="J217" s="201" t="n"/>
      <c r="K217" s="201" t="n"/>
      <c r="L217" s="201" t="n"/>
      <c r="M217" s="201" t="n"/>
      <c r="N217" s="201" t="n"/>
      <c r="O217" s="201" t="n"/>
      <c r="P217" s="201" t="n"/>
      <c r="Q217" s="201" t="n"/>
      <c r="R217" s="201" t="n"/>
      <c r="S217" s="201" t="n"/>
      <c r="T217" s="201" t="n"/>
      <c r="U217" s="201" t="n"/>
      <c r="V217" s="201" t="n"/>
      <c r="W217" s="201" t="n"/>
      <c r="X217" s="201" t="n"/>
      <c r="Y217" s="201" t="n"/>
      <c r="Z217" s="201" t="n"/>
      <c r="AA217" s="201" t="n"/>
      <c r="AB217" s="201" t="n"/>
      <c r="AC217" s="201" t="n"/>
      <c r="AD217" s="201" t="n"/>
      <c r="AE217" s="201" t="n"/>
      <c r="AF217" s="201" t="n"/>
      <c r="AG217" s="201" t="n"/>
    </row>
    <row r="218" ht="12.75" customHeight="1" s="202">
      <c r="A218" s="201" t="n"/>
      <c r="B218" s="201" t="n"/>
      <c r="C218" s="201" t="n"/>
      <c r="D218" s="201" t="n"/>
      <c r="E218" s="201" t="n"/>
      <c r="F218" s="201" t="n"/>
      <c r="G218" s="201" t="n"/>
      <c r="H218" s="201" t="n"/>
      <c r="I218" s="201" t="n"/>
      <c r="J218" s="201" t="n"/>
      <c r="K218" s="201" t="n"/>
      <c r="L218" s="201" t="n"/>
      <c r="M218" s="201" t="n"/>
      <c r="N218" s="201" t="n"/>
      <c r="O218" s="201" t="n"/>
      <c r="P218" s="201" t="n"/>
      <c r="Q218" s="201" t="n"/>
      <c r="R218" s="201" t="n"/>
      <c r="S218" s="201" t="n"/>
      <c r="T218" s="201" t="n"/>
      <c r="U218" s="201" t="n"/>
      <c r="V218" s="201" t="n"/>
      <c r="W218" s="201" t="n"/>
      <c r="X218" s="201" t="n"/>
      <c r="Y218" s="201" t="n"/>
      <c r="Z218" s="201" t="n"/>
      <c r="AA218" s="201" t="n"/>
      <c r="AB218" s="201" t="n"/>
      <c r="AC218" s="201" t="n"/>
      <c r="AD218" s="201" t="n"/>
      <c r="AE218" s="201" t="n"/>
      <c r="AF218" s="201" t="n"/>
      <c r="AG218" s="201" t="n"/>
    </row>
    <row r="219" ht="12.75" customHeight="1" s="202">
      <c r="A219" s="201" t="n"/>
      <c r="B219" s="201" t="n"/>
      <c r="C219" s="201" t="n"/>
      <c r="D219" s="201" t="n"/>
      <c r="E219" s="201" t="n"/>
      <c r="F219" s="201" t="n"/>
      <c r="G219" s="201" t="n"/>
      <c r="H219" s="201" t="n"/>
      <c r="I219" s="201" t="n"/>
      <c r="J219" s="201" t="n"/>
      <c r="K219" s="201" t="n"/>
      <c r="L219" s="201" t="n"/>
      <c r="M219" s="201" t="n"/>
      <c r="N219" s="201" t="n"/>
      <c r="O219" s="201" t="n"/>
      <c r="P219" s="201" t="n"/>
      <c r="Q219" s="201" t="n"/>
      <c r="R219" s="201" t="n"/>
      <c r="S219" s="201" t="n"/>
      <c r="T219" s="201" t="n"/>
      <c r="U219" s="201" t="n"/>
      <c r="V219" s="201" t="n"/>
      <c r="W219" s="201" t="n"/>
      <c r="X219" s="201" t="n"/>
      <c r="Y219" s="201" t="n"/>
      <c r="Z219" s="201" t="n"/>
      <c r="AA219" s="201" t="n"/>
      <c r="AB219" s="201" t="n"/>
      <c r="AC219" s="201" t="n"/>
      <c r="AD219" s="201" t="n"/>
      <c r="AE219" s="201" t="n"/>
      <c r="AF219" s="201" t="n"/>
      <c r="AG219" s="201" t="n"/>
    </row>
    <row r="220" ht="12.75" customHeight="1" s="202">
      <c r="A220" s="201" t="n"/>
      <c r="B220" s="201" t="n"/>
      <c r="C220" s="201" t="n"/>
      <c r="D220" s="201" t="n"/>
      <c r="E220" s="201" t="n"/>
      <c r="F220" s="201" t="n"/>
      <c r="G220" s="201" t="n"/>
      <c r="H220" s="201" t="n"/>
      <c r="I220" s="201" t="n"/>
      <c r="J220" s="201" t="n"/>
      <c r="K220" s="201" t="n"/>
      <c r="L220" s="201" t="n"/>
      <c r="M220" s="201" t="n"/>
      <c r="N220" s="201" t="n"/>
      <c r="O220" s="201" t="n"/>
      <c r="P220" s="201" t="n"/>
      <c r="Q220" s="201" t="n"/>
      <c r="R220" s="201" t="n"/>
      <c r="S220" s="201" t="n"/>
      <c r="T220" s="201" t="n"/>
      <c r="U220" s="201" t="n"/>
      <c r="V220" s="201" t="n"/>
      <c r="W220" s="201" t="n"/>
      <c r="X220" s="201" t="n"/>
      <c r="Y220" s="201" t="n"/>
      <c r="Z220" s="201" t="n"/>
      <c r="AA220" s="201" t="n"/>
      <c r="AB220" s="201" t="n"/>
      <c r="AC220" s="201" t="n"/>
      <c r="AD220" s="201" t="n"/>
      <c r="AE220" s="201" t="n"/>
      <c r="AF220" s="201" t="n"/>
      <c r="AG220" s="201" t="n"/>
    </row>
    <row r="221" ht="12.75" customHeight="1" s="202">
      <c r="A221" s="201" t="n"/>
      <c r="B221" s="201" t="n"/>
      <c r="C221" s="201" t="n"/>
      <c r="D221" s="201" t="n"/>
      <c r="E221" s="201" t="n"/>
      <c r="F221" s="201" t="n"/>
      <c r="G221" s="201" t="n"/>
      <c r="H221" s="201" t="n"/>
      <c r="I221" s="201" t="n"/>
      <c r="J221" s="201" t="n"/>
      <c r="K221" s="201" t="n"/>
      <c r="L221" s="201" t="n"/>
      <c r="M221" s="201" t="n"/>
      <c r="N221" s="201" t="n"/>
      <c r="O221" s="201" t="n"/>
      <c r="P221" s="201" t="n"/>
      <c r="Q221" s="201" t="n"/>
      <c r="R221" s="201" t="n"/>
      <c r="S221" s="201" t="n"/>
      <c r="T221" s="201" t="n"/>
      <c r="U221" s="201" t="n"/>
      <c r="V221" s="201" t="n"/>
      <c r="W221" s="201" t="n"/>
      <c r="X221" s="201" t="n"/>
      <c r="Y221" s="201" t="n"/>
      <c r="Z221" s="201" t="n"/>
      <c r="AA221" s="201" t="n"/>
      <c r="AB221" s="201" t="n"/>
      <c r="AC221" s="201" t="n"/>
      <c r="AD221" s="201" t="n"/>
      <c r="AE221" s="201" t="n"/>
      <c r="AF221" s="201" t="n"/>
      <c r="AG221" s="201" t="n"/>
    </row>
    <row r="222" ht="12.75" customHeight="1" s="202">
      <c r="A222" s="201" t="n"/>
      <c r="B222" s="201" t="n"/>
      <c r="C222" s="201" t="n"/>
      <c r="D222" s="201" t="n"/>
      <c r="E222" s="201" t="n"/>
      <c r="F222" s="201" t="n"/>
      <c r="G222" s="201" t="n"/>
      <c r="H222" s="201" t="n"/>
      <c r="I222" s="201" t="n"/>
      <c r="J222" s="201" t="n"/>
      <c r="K222" s="201" t="n"/>
      <c r="L222" s="201" t="n"/>
      <c r="M222" s="201" t="n"/>
      <c r="N222" s="201" t="n"/>
      <c r="O222" s="201" t="n"/>
      <c r="P222" s="201" t="n"/>
      <c r="Q222" s="201" t="n"/>
      <c r="R222" s="201" t="n"/>
      <c r="S222" s="201" t="n"/>
      <c r="T222" s="201" t="n"/>
      <c r="U222" s="201" t="n"/>
      <c r="V222" s="201" t="n"/>
      <c r="W222" s="201" t="n"/>
      <c r="X222" s="201" t="n"/>
      <c r="Y222" s="201" t="n"/>
      <c r="Z222" s="201" t="n"/>
      <c r="AA222" s="201" t="n"/>
      <c r="AB222" s="201" t="n"/>
      <c r="AC222" s="201" t="n"/>
      <c r="AD222" s="201" t="n"/>
      <c r="AE222" s="201" t="n"/>
      <c r="AF222" s="201" t="n"/>
      <c r="AG222" s="201" t="n"/>
    </row>
    <row r="223" ht="12.75" customHeight="1" s="202">
      <c r="A223" s="201" t="n"/>
      <c r="B223" s="201" t="n"/>
      <c r="C223" s="201" t="n"/>
      <c r="D223" s="201" t="n"/>
      <c r="E223" s="201" t="n"/>
      <c r="F223" s="201" t="n"/>
      <c r="G223" s="201" t="n"/>
      <c r="H223" s="201" t="n"/>
      <c r="I223" s="201" t="n"/>
      <c r="J223" s="201" t="n"/>
      <c r="K223" s="201" t="n"/>
      <c r="L223" s="201" t="n"/>
      <c r="M223" s="201" t="n"/>
      <c r="N223" s="201" t="n"/>
      <c r="O223" s="201" t="n"/>
      <c r="P223" s="201" t="n"/>
      <c r="Q223" s="201" t="n"/>
      <c r="R223" s="201" t="n"/>
      <c r="S223" s="201" t="n"/>
      <c r="T223" s="201" t="n"/>
      <c r="U223" s="201" t="n"/>
      <c r="V223" s="201" t="n"/>
      <c r="W223" s="201" t="n"/>
      <c r="X223" s="201" t="n"/>
      <c r="Y223" s="201" t="n"/>
      <c r="Z223" s="201" t="n"/>
      <c r="AA223" s="201" t="n"/>
      <c r="AB223" s="201" t="n"/>
      <c r="AC223" s="201" t="n"/>
      <c r="AD223" s="201" t="n"/>
      <c r="AE223" s="201" t="n"/>
      <c r="AF223" s="201" t="n"/>
      <c r="AG223" s="201" t="n"/>
    </row>
    <row r="224" ht="12.75" customHeight="1" s="202">
      <c r="A224" s="201" t="n"/>
      <c r="B224" s="201" t="n"/>
      <c r="C224" s="201" t="n"/>
      <c r="D224" s="201" t="n"/>
      <c r="E224" s="201" t="n"/>
      <c r="F224" s="201" t="n"/>
      <c r="G224" s="201" t="n"/>
      <c r="H224" s="201" t="n"/>
      <c r="I224" s="201" t="n"/>
      <c r="J224" s="201" t="n"/>
      <c r="K224" s="201" t="n"/>
      <c r="L224" s="201" t="n"/>
      <c r="M224" s="201" t="n"/>
      <c r="N224" s="201" t="n"/>
      <c r="O224" s="201" t="n"/>
      <c r="P224" s="201" t="n"/>
      <c r="Q224" s="201" t="n"/>
      <c r="R224" s="201" t="n"/>
      <c r="S224" s="201" t="n"/>
      <c r="T224" s="201" t="n"/>
      <c r="U224" s="201" t="n"/>
      <c r="V224" s="201" t="n"/>
      <c r="W224" s="201" t="n"/>
      <c r="X224" s="201" t="n"/>
      <c r="Y224" s="201" t="n"/>
      <c r="Z224" s="201" t="n"/>
      <c r="AA224" s="201" t="n"/>
      <c r="AB224" s="201" t="n"/>
      <c r="AC224" s="201" t="n"/>
      <c r="AD224" s="201" t="n"/>
      <c r="AE224" s="201" t="n"/>
      <c r="AF224" s="201" t="n"/>
      <c r="AG224" s="201" t="n"/>
    </row>
    <row r="225" ht="12.75" customHeight="1" s="202">
      <c r="A225" s="201" t="n"/>
      <c r="B225" s="201" t="n"/>
      <c r="C225" s="201" t="n"/>
      <c r="D225" s="201" t="n"/>
      <c r="E225" s="201" t="n"/>
      <c r="F225" s="201" t="n"/>
      <c r="G225" s="201" t="n"/>
      <c r="H225" s="201" t="n"/>
      <c r="I225" s="201" t="n"/>
      <c r="J225" s="201" t="n"/>
      <c r="K225" s="201" t="n"/>
      <c r="L225" s="201" t="n"/>
      <c r="M225" s="201" t="n"/>
      <c r="N225" s="201" t="n"/>
      <c r="O225" s="201" t="n"/>
      <c r="P225" s="201" t="n"/>
      <c r="Q225" s="201" t="n"/>
      <c r="R225" s="201" t="n"/>
      <c r="S225" s="201" t="n"/>
      <c r="T225" s="201" t="n"/>
      <c r="U225" s="201" t="n"/>
      <c r="V225" s="201" t="n"/>
      <c r="W225" s="201" t="n"/>
      <c r="X225" s="201" t="n"/>
      <c r="Y225" s="201" t="n"/>
      <c r="Z225" s="201" t="n"/>
      <c r="AA225" s="201" t="n"/>
      <c r="AB225" s="201" t="n"/>
      <c r="AC225" s="201" t="n"/>
      <c r="AD225" s="201" t="n"/>
      <c r="AE225" s="201" t="n"/>
      <c r="AF225" s="201" t="n"/>
      <c r="AG225" s="201" t="n"/>
    </row>
    <row r="226" ht="12.75" customHeight="1" s="202">
      <c r="A226" s="201" t="n"/>
      <c r="B226" s="201" t="n"/>
      <c r="C226" s="201" t="n"/>
      <c r="D226" s="201" t="n"/>
      <c r="E226" s="201" t="n"/>
      <c r="F226" s="201" t="n"/>
      <c r="G226" s="201" t="n"/>
      <c r="H226" s="201" t="n"/>
      <c r="I226" s="201" t="n"/>
      <c r="J226" s="201" t="n"/>
      <c r="K226" s="201" t="n"/>
      <c r="L226" s="201" t="n"/>
      <c r="M226" s="201" t="n"/>
      <c r="N226" s="201" t="n"/>
      <c r="O226" s="201" t="n"/>
      <c r="P226" s="201" t="n"/>
      <c r="Q226" s="201" t="n"/>
      <c r="R226" s="201" t="n"/>
      <c r="S226" s="201" t="n"/>
      <c r="T226" s="201" t="n"/>
      <c r="U226" s="201" t="n"/>
      <c r="V226" s="201" t="n"/>
      <c r="W226" s="201" t="n"/>
      <c r="X226" s="201" t="n"/>
      <c r="Y226" s="201" t="n"/>
      <c r="Z226" s="201" t="n"/>
      <c r="AA226" s="201" t="n"/>
      <c r="AB226" s="201" t="n"/>
      <c r="AC226" s="201" t="n"/>
      <c r="AD226" s="201" t="n"/>
      <c r="AE226" s="201" t="n"/>
      <c r="AF226" s="201" t="n"/>
      <c r="AG226" s="201" t="n"/>
    </row>
    <row r="227" ht="12.75" customHeight="1" s="202">
      <c r="A227" s="201" t="n"/>
      <c r="B227" s="201" t="n"/>
      <c r="C227" s="201" t="n"/>
      <c r="D227" s="201" t="n"/>
      <c r="E227" s="201" t="n"/>
      <c r="F227" s="201" t="n"/>
      <c r="G227" s="201" t="n"/>
      <c r="H227" s="201" t="n"/>
      <c r="I227" s="201" t="n"/>
      <c r="J227" s="201" t="n"/>
      <c r="K227" s="201" t="n"/>
      <c r="L227" s="201" t="n"/>
      <c r="M227" s="201" t="n"/>
      <c r="N227" s="201" t="n"/>
      <c r="O227" s="201" t="n"/>
      <c r="P227" s="201" t="n"/>
      <c r="Q227" s="201" t="n"/>
      <c r="R227" s="201" t="n"/>
      <c r="S227" s="201" t="n"/>
      <c r="T227" s="201" t="n"/>
      <c r="U227" s="201" t="n"/>
      <c r="V227" s="201" t="n"/>
      <c r="W227" s="201" t="n"/>
      <c r="X227" s="201" t="n"/>
      <c r="Y227" s="201" t="n"/>
      <c r="Z227" s="201" t="n"/>
      <c r="AA227" s="201" t="n"/>
      <c r="AB227" s="201" t="n"/>
      <c r="AC227" s="201" t="n"/>
      <c r="AD227" s="201" t="n"/>
      <c r="AE227" s="201" t="n"/>
      <c r="AF227" s="201" t="n"/>
      <c r="AG227" s="201" t="n"/>
    </row>
    <row r="228" ht="12.75" customHeight="1" s="202">
      <c r="A228" s="201" t="n"/>
      <c r="B228" s="201" t="n"/>
      <c r="C228" s="201" t="n"/>
      <c r="D228" s="201" t="n"/>
      <c r="E228" s="201" t="n"/>
      <c r="F228" s="201" t="n"/>
      <c r="G228" s="201" t="n"/>
      <c r="H228" s="201" t="n"/>
      <c r="I228" s="201" t="n"/>
      <c r="J228" s="201" t="n"/>
      <c r="K228" s="201" t="n"/>
      <c r="L228" s="201" t="n"/>
      <c r="M228" s="201" t="n"/>
      <c r="N228" s="201" t="n"/>
      <c r="O228" s="201" t="n"/>
      <c r="P228" s="201" t="n"/>
      <c r="Q228" s="201" t="n"/>
      <c r="R228" s="201" t="n"/>
      <c r="S228" s="201" t="n"/>
      <c r="T228" s="201" t="n"/>
      <c r="U228" s="201" t="n"/>
      <c r="V228" s="201" t="n"/>
      <c r="W228" s="201" t="n"/>
      <c r="X228" s="201" t="n"/>
      <c r="Y228" s="201" t="n"/>
      <c r="Z228" s="201" t="n"/>
      <c r="AA228" s="201" t="n"/>
      <c r="AB228" s="201" t="n"/>
      <c r="AC228" s="201" t="n"/>
      <c r="AD228" s="201" t="n"/>
      <c r="AE228" s="201" t="n"/>
      <c r="AF228" s="201" t="n"/>
      <c r="AG228" s="201" t="n"/>
    </row>
    <row r="229" ht="12.75" customHeight="1" s="202">
      <c r="A229" s="201" t="n"/>
      <c r="B229" s="201" t="n"/>
      <c r="C229" s="201" t="n"/>
      <c r="D229" s="201" t="n"/>
      <c r="E229" s="201" t="n"/>
      <c r="F229" s="201" t="n"/>
      <c r="G229" s="201" t="n"/>
      <c r="H229" s="201" t="n"/>
      <c r="I229" s="201" t="n"/>
      <c r="J229" s="201" t="n"/>
      <c r="K229" s="201" t="n"/>
      <c r="L229" s="201" t="n"/>
      <c r="M229" s="201" t="n"/>
      <c r="N229" s="201" t="n"/>
      <c r="O229" s="201" t="n"/>
      <c r="P229" s="201" t="n"/>
      <c r="Q229" s="201" t="n"/>
      <c r="R229" s="201" t="n"/>
      <c r="S229" s="201" t="n"/>
      <c r="T229" s="201" t="n"/>
      <c r="U229" s="201" t="n"/>
      <c r="V229" s="201" t="n"/>
      <c r="W229" s="201" t="n"/>
      <c r="X229" s="201" t="n"/>
      <c r="Y229" s="201" t="n"/>
      <c r="Z229" s="201" t="n"/>
      <c r="AA229" s="201" t="n"/>
      <c r="AB229" s="201" t="n"/>
      <c r="AC229" s="201" t="n"/>
      <c r="AD229" s="201" t="n"/>
      <c r="AE229" s="201" t="n"/>
      <c r="AF229" s="201" t="n"/>
      <c r="AG229" s="201" t="n"/>
    </row>
    <row r="230" ht="12.75" customHeight="1" s="202">
      <c r="A230" s="201" t="n"/>
      <c r="B230" s="201" t="n"/>
      <c r="C230" s="201" t="n"/>
      <c r="D230" s="201" t="n"/>
      <c r="E230" s="201" t="n"/>
      <c r="F230" s="201" t="n"/>
      <c r="G230" s="201" t="n"/>
      <c r="H230" s="201" t="n"/>
      <c r="I230" s="201" t="n"/>
      <c r="J230" s="201" t="n"/>
      <c r="K230" s="201" t="n"/>
      <c r="L230" s="201" t="n"/>
      <c r="M230" s="201" t="n"/>
      <c r="N230" s="201" t="n"/>
      <c r="O230" s="201" t="n"/>
      <c r="P230" s="201" t="n"/>
      <c r="Q230" s="201" t="n"/>
      <c r="R230" s="201" t="n"/>
      <c r="S230" s="201" t="n"/>
      <c r="T230" s="201" t="n"/>
      <c r="U230" s="201" t="n"/>
      <c r="V230" s="201" t="n"/>
      <c r="W230" s="201" t="n"/>
      <c r="X230" s="201" t="n"/>
      <c r="Y230" s="201" t="n"/>
      <c r="Z230" s="201" t="n"/>
      <c r="AA230" s="201" t="n"/>
      <c r="AB230" s="201" t="n"/>
      <c r="AC230" s="201" t="n"/>
      <c r="AD230" s="201" t="n"/>
      <c r="AE230" s="201" t="n"/>
      <c r="AF230" s="201" t="n"/>
      <c r="AG230" s="201" t="n"/>
    </row>
    <row r="231" ht="12.75" customHeight="1" s="202">
      <c r="A231" s="201" t="n"/>
      <c r="B231" s="201" t="n"/>
      <c r="C231" s="201" t="n"/>
      <c r="D231" s="201" t="n"/>
      <c r="E231" s="201" t="n"/>
      <c r="F231" s="201" t="n"/>
      <c r="G231" s="201" t="n"/>
      <c r="H231" s="201" t="n"/>
      <c r="I231" s="201" t="n"/>
      <c r="J231" s="201" t="n"/>
      <c r="K231" s="201" t="n"/>
      <c r="L231" s="201" t="n"/>
      <c r="M231" s="201" t="n"/>
      <c r="N231" s="201" t="n"/>
      <c r="O231" s="201" t="n"/>
      <c r="P231" s="201" t="n"/>
      <c r="Q231" s="201" t="n"/>
      <c r="R231" s="201" t="n"/>
      <c r="S231" s="201" t="n"/>
      <c r="T231" s="201" t="n"/>
      <c r="U231" s="201" t="n"/>
      <c r="V231" s="201" t="n"/>
      <c r="W231" s="201" t="n"/>
      <c r="X231" s="201" t="n"/>
      <c r="Y231" s="201" t="n"/>
      <c r="Z231" s="201" t="n"/>
      <c r="AA231" s="201" t="n"/>
      <c r="AB231" s="201" t="n"/>
      <c r="AC231" s="201" t="n"/>
      <c r="AD231" s="201" t="n"/>
      <c r="AE231" s="201" t="n"/>
      <c r="AF231" s="201" t="n"/>
      <c r="AG231" s="201" t="n"/>
    </row>
    <row r="232" ht="12.75" customHeight="1" s="202">
      <c r="A232" s="201" t="n"/>
      <c r="B232" s="201" t="n"/>
      <c r="C232" s="201" t="n"/>
      <c r="D232" s="201" t="n"/>
      <c r="E232" s="201" t="n"/>
      <c r="F232" s="201" t="n"/>
      <c r="G232" s="201" t="n"/>
      <c r="H232" s="201" t="n"/>
      <c r="I232" s="201" t="n"/>
      <c r="J232" s="201" t="n"/>
      <c r="K232" s="201" t="n"/>
      <c r="L232" s="201" t="n"/>
      <c r="M232" s="201" t="n"/>
      <c r="N232" s="201" t="n"/>
      <c r="O232" s="201" t="n"/>
      <c r="P232" s="201" t="n"/>
      <c r="Q232" s="201" t="n"/>
      <c r="R232" s="201" t="n"/>
      <c r="S232" s="201" t="n"/>
      <c r="T232" s="201" t="n"/>
      <c r="U232" s="201" t="n"/>
      <c r="V232" s="201" t="n"/>
      <c r="W232" s="201" t="n"/>
      <c r="X232" s="201" t="n"/>
      <c r="Y232" s="201" t="n"/>
      <c r="Z232" s="201" t="n"/>
      <c r="AA232" s="201" t="n"/>
      <c r="AB232" s="201" t="n"/>
      <c r="AC232" s="201" t="n"/>
      <c r="AD232" s="201" t="n"/>
      <c r="AE232" s="201" t="n"/>
      <c r="AF232" s="201" t="n"/>
      <c r="AG232" s="201" t="n"/>
    </row>
    <row r="233" ht="12.75" customHeight="1" s="202">
      <c r="A233" s="201" t="n"/>
      <c r="B233" s="201" t="n"/>
      <c r="C233" s="201" t="n"/>
      <c r="D233" s="201" t="n"/>
      <c r="E233" s="201" t="n"/>
      <c r="F233" s="201" t="n"/>
      <c r="G233" s="201" t="n"/>
      <c r="H233" s="201" t="n"/>
      <c r="I233" s="201" t="n"/>
      <c r="J233" s="201" t="n"/>
      <c r="K233" s="201" t="n"/>
      <c r="L233" s="201" t="n"/>
      <c r="M233" s="201" t="n"/>
      <c r="N233" s="201" t="n"/>
      <c r="O233" s="201" t="n"/>
      <c r="P233" s="201" t="n"/>
      <c r="Q233" s="201" t="n"/>
      <c r="R233" s="201" t="n"/>
      <c r="S233" s="201" t="n"/>
      <c r="T233" s="201" t="n"/>
      <c r="U233" s="201" t="n"/>
      <c r="V233" s="201" t="n"/>
      <c r="W233" s="201" t="n"/>
      <c r="X233" s="201" t="n"/>
      <c r="Y233" s="201" t="n"/>
      <c r="Z233" s="201" t="n"/>
      <c r="AA233" s="201" t="n"/>
      <c r="AB233" s="201" t="n"/>
      <c r="AC233" s="201" t="n"/>
      <c r="AD233" s="201" t="n"/>
      <c r="AE233" s="201" t="n"/>
      <c r="AF233" s="201" t="n"/>
      <c r="AG233" s="201" t="n"/>
    </row>
    <row r="234" ht="12.75" customHeight="1" s="202">
      <c r="A234" s="201" t="n"/>
      <c r="B234" s="201" t="n"/>
      <c r="C234" s="201" t="n"/>
      <c r="D234" s="201" t="n"/>
      <c r="E234" s="201" t="n"/>
      <c r="F234" s="201" t="n"/>
      <c r="G234" s="201" t="n"/>
      <c r="H234" s="201" t="n"/>
      <c r="I234" s="201" t="n"/>
      <c r="J234" s="201" t="n"/>
      <c r="K234" s="201" t="n"/>
      <c r="L234" s="201" t="n"/>
      <c r="M234" s="201" t="n"/>
      <c r="N234" s="201" t="n"/>
      <c r="O234" s="201" t="n"/>
      <c r="P234" s="201" t="n"/>
      <c r="Q234" s="201" t="n"/>
      <c r="R234" s="201" t="n"/>
      <c r="S234" s="201" t="n"/>
      <c r="T234" s="201" t="n"/>
      <c r="U234" s="201" t="n"/>
      <c r="V234" s="201" t="n"/>
      <c r="W234" s="201" t="n"/>
      <c r="X234" s="201" t="n"/>
      <c r="Y234" s="201" t="n"/>
      <c r="Z234" s="201" t="n"/>
      <c r="AA234" s="201" t="n"/>
      <c r="AB234" s="201" t="n"/>
      <c r="AC234" s="201" t="n"/>
      <c r="AD234" s="201" t="n"/>
      <c r="AE234" s="201" t="n"/>
      <c r="AF234" s="201" t="n"/>
      <c r="AG234" s="201" t="n"/>
    </row>
    <row r="235" ht="12.75" customHeight="1" s="202">
      <c r="A235" s="201" t="n"/>
      <c r="B235" s="201" t="n"/>
      <c r="C235" s="201" t="n"/>
      <c r="D235" s="201" t="n"/>
      <c r="E235" s="201" t="n"/>
      <c r="F235" s="201" t="n"/>
      <c r="G235" s="201" t="n"/>
      <c r="H235" s="201" t="n"/>
      <c r="I235" s="201" t="n"/>
      <c r="J235" s="201" t="n"/>
      <c r="K235" s="201" t="n"/>
      <c r="L235" s="201" t="n"/>
      <c r="M235" s="201" t="n"/>
      <c r="N235" s="201" t="n"/>
      <c r="O235" s="201" t="n"/>
      <c r="P235" s="201" t="n"/>
      <c r="Q235" s="201" t="n"/>
      <c r="R235" s="201" t="n"/>
      <c r="S235" s="201" t="n"/>
      <c r="T235" s="201" t="n"/>
      <c r="U235" s="201" t="n"/>
      <c r="V235" s="201" t="n"/>
      <c r="W235" s="201" t="n"/>
      <c r="X235" s="201" t="n"/>
      <c r="Y235" s="201" t="n"/>
      <c r="Z235" s="201" t="n"/>
      <c r="AA235" s="201" t="n"/>
      <c r="AB235" s="201" t="n"/>
      <c r="AC235" s="201" t="n"/>
      <c r="AD235" s="201" t="n"/>
      <c r="AE235" s="201" t="n"/>
      <c r="AF235" s="201" t="n"/>
      <c r="AG235" s="201" t="n"/>
    </row>
    <row r="236" ht="12.75" customHeight="1" s="202">
      <c r="A236" s="201" t="n"/>
      <c r="B236" s="201" t="n"/>
      <c r="C236" s="201" t="n"/>
      <c r="D236" s="201" t="n"/>
      <c r="E236" s="201" t="n"/>
      <c r="F236" s="201" t="n"/>
      <c r="G236" s="201" t="n"/>
      <c r="H236" s="201" t="n"/>
      <c r="I236" s="201" t="n"/>
      <c r="J236" s="201" t="n"/>
      <c r="K236" s="201" t="n"/>
      <c r="L236" s="201" t="n"/>
      <c r="M236" s="201" t="n"/>
      <c r="N236" s="201" t="n"/>
      <c r="O236" s="201" t="n"/>
      <c r="P236" s="201" t="n"/>
      <c r="Q236" s="201" t="n"/>
      <c r="R236" s="201" t="n"/>
      <c r="S236" s="201" t="n"/>
      <c r="T236" s="201" t="n"/>
      <c r="U236" s="201" t="n"/>
      <c r="V236" s="201" t="n"/>
      <c r="W236" s="201" t="n"/>
      <c r="X236" s="201" t="n"/>
      <c r="Y236" s="201" t="n"/>
      <c r="Z236" s="201" t="n"/>
      <c r="AA236" s="201" t="n"/>
      <c r="AB236" s="201" t="n"/>
      <c r="AC236" s="201" t="n"/>
      <c r="AD236" s="201" t="n"/>
      <c r="AE236" s="201" t="n"/>
      <c r="AF236" s="201" t="n"/>
      <c r="AG236" s="201" t="n"/>
    </row>
    <row r="237" ht="12.75" customHeight="1" s="202">
      <c r="A237" s="201" t="n"/>
      <c r="B237" s="201" t="n"/>
      <c r="C237" s="201" t="n"/>
      <c r="D237" s="201" t="n"/>
      <c r="E237" s="201" t="n"/>
      <c r="F237" s="201" t="n"/>
      <c r="G237" s="201" t="n"/>
      <c r="H237" s="201" t="n"/>
      <c r="I237" s="201" t="n"/>
      <c r="J237" s="201" t="n"/>
      <c r="K237" s="201" t="n"/>
      <c r="L237" s="201" t="n"/>
      <c r="M237" s="201" t="n"/>
      <c r="N237" s="201" t="n"/>
      <c r="O237" s="201" t="n"/>
      <c r="P237" s="201" t="n"/>
      <c r="Q237" s="201" t="n"/>
      <c r="R237" s="201" t="n"/>
      <c r="S237" s="201" t="n"/>
      <c r="T237" s="201" t="n"/>
      <c r="U237" s="201" t="n"/>
      <c r="V237" s="201" t="n"/>
      <c r="W237" s="201" t="n"/>
      <c r="X237" s="201" t="n"/>
      <c r="Y237" s="201" t="n"/>
      <c r="Z237" s="201" t="n"/>
      <c r="AA237" s="201" t="n"/>
      <c r="AB237" s="201" t="n"/>
      <c r="AC237" s="201" t="n"/>
      <c r="AD237" s="201" t="n"/>
      <c r="AE237" s="201" t="n"/>
      <c r="AF237" s="201" t="n"/>
      <c r="AG237" s="201" t="n"/>
    </row>
    <row r="238" ht="12.75" customHeight="1" s="202">
      <c r="A238" s="201" t="n"/>
      <c r="B238" s="201" t="n"/>
      <c r="C238" s="201" t="n"/>
      <c r="D238" s="201" t="n"/>
      <c r="E238" s="201" t="n"/>
      <c r="F238" s="201" t="n"/>
      <c r="G238" s="201" t="n"/>
      <c r="H238" s="201" t="n"/>
      <c r="I238" s="201" t="n"/>
      <c r="J238" s="201" t="n"/>
      <c r="K238" s="201" t="n"/>
      <c r="L238" s="201" t="n"/>
      <c r="M238" s="201" t="n"/>
      <c r="N238" s="201" t="n"/>
      <c r="O238" s="201" t="n"/>
      <c r="P238" s="201" t="n"/>
      <c r="Q238" s="201" t="n"/>
      <c r="R238" s="201" t="n"/>
      <c r="S238" s="201" t="n"/>
      <c r="T238" s="201" t="n"/>
      <c r="U238" s="201" t="n"/>
      <c r="V238" s="201" t="n"/>
      <c r="W238" s="201" t="n"/>
      <c r="X238" s="201" t="n"/>
      <c r="Y238" s="201" t="n"/>
      <c r="Z238" s="201" t="n"/>
      <c r="AA238" s="201" t="n"/>
      <c r="AB238" s="201" t="n"/>
      <c r="AC238" s="201" t="n"/>
      <c r="AD238" s="201" t="n"/>
      <c r="AE238" s="201" t="n"/>
      <c r="AF238" s="201" t="n"/>
      <c r="AG238" s="201" t="n"/>
    </row>
    <row r="239" ht="12.75" customHeight="1" s="202">
      <c r="A239" s="201" t="n"/>
      <c r="B239" s="201" t="n"/>
      <c r="C239" s="201" t="n"/>
      <c r="D239" s="201" t="n"/>
      <c r="E239" s="201" t="n"/>
      <c r="F239" s="201" t="n"/>
      <c r="G239" s="201" t="n"/>
      <c r="H239" s="201" t="n"/>
      <c r="I239" s="201" t="n"/>
      <c r="J239" s="201" t="n"/>
      <c r="K239" s="201" t="n"/>
      <c r="L239" s="201" t="n"/>
      <c r="M239" s="201" t="n"/>
      <c r="N239" s="201" t="n"/>
      <c r="O239" s="201" t="n"/>
      <c r="P239" s="201" t="n"/>
      <c r="Q239" s="201" t="n"/>
      <c r="R239" s="201" t="n"/>
      <c r="S239" s="201" t="n"/>
      <c r="T239" s="201" t="n"/>
      <c r="U239" s="201" t="n"/>
      <c r="V239" s="201" t="n"/>
      <c r="W239" s="201" t="n"/>
      <c r="X239" s="201" t="n"/>
      <c r="Y239" s="201" t="n"/>
      <c r="Z239" s="201" t="n"/>
      <c r="AA239" s="201" t="n"/>
      <c r="AB239" s="201" t="n"/>
      <c r="AC239" s="201" t="n"/>
      <c r="AD239" s="201" t="n"/>
      <c r="AE239" s="201" t="n"/>
      <c r="AF239" s="201" t="n"/>
      <c r="AG239" s="201" t="n"/>
    </row>
    <row r="240" ht="12.75" customHeight="1" s="202">
      <c r="A240" s="201" t="n"/>
      <c r="B240" s="201" t="n"/>
      <c r="C240" s="201" t="n"/>
      <c r="D240" s="201" t="n"/>
      <c r="E240" s="201" t="n"/>
      <c r="F240" s="201" t="n"/>
      <c r="G240" s="201" t="n"/>
      <c r="H240" s="201" t="n"/>
      <c r="I240" s="201" t="n"/>
      <c r="J240" s="201" t="n"/>
      <c r="K240" s="201" t="n"/>
      <c r="L240" s="201" t="n"/>
      <c r="M240" s="201" t="n"/>
      <c r="N240" s="201" t="n"/>
      <c r="O240" s="201" t="n"/>
      <c r="P240" s="201" t="n"/>
      <c r="Q240" s="201" t="n"/>
      <c r="R240" s="201" t="n"/>
      <c r="S240" s="201" t="n"/>
      <c r="T240" s="201" t="n"/>
      <c r="U240" s="201" t="n"/>
      <c r="V240" s="201" t="n"/>
      <c r="W240" s="201" t="n"/>
      <c r="X240" s="201" t="n"/>
      <c r="Y240" s="201" t="n"/>
      <c r="Z240" s="201" t="n"/>
      <c r="AA240" s="201" t="n"/>
      <c r="AB240" s="201" t="n"/>
      <c r="AC240" s="201" t="n"/>
      <c r="AD240" s="201" t="n"/>
      <c r="AE240" s="201" t="n"/>
      <c r="AF240" s="201" t="n"/>
      <c r="AG240" s="201" t="n"/>
    </row>
    <row r="241" ht="12.75" customHeight="1" s="202">
      <c r="A241" s="201" t="n"/>
      <c r="B241" s="201" t="n"/>
      <c r="C241" s="201" t="n"/>
      <c r="D241" s="201" t="n"/>
      <c r="E241" s="201" t="n"/>
      <c r="F241" s="201" t="n"/>
      <c r="G241" s="201" t="n"/>
      <c r="H241" s="201" t="n"/>
      <c r="I241" s="201" t="n"/>
      <c r="J241" s="201" t="n"/>
      <c r="K241" s="201" t="n"/>
      <c r="L241" s="201" t="n"/>
      <c r="M241" s="201" t="n"/>
      <c r="N241" s="201" t="n"/>
      <c r="O241" s="201" t="n"/>
      <c r="P241" s="201" t="n"/>
      <c r="Q241" s="201" t="n"/>
      <c r="R241" s="201" t="n"/>
      <c r="S241" s="201" t="n"/>
      <c r="T241" s="201" t="n"/>
      <c r="U241" s="201" t="n"/>
      <c r="V241" s="201" t="n"/>
      <c r="W241" s="201" t="n"/>
      <c r="X241" s="201" t="n"/>
      <c r="Y241" s="201" t="n"/>
      <c r="Z241" s="201" t="n"/>
      <c r="AA241" s="201" t="n"/>
      <c r="AB241" s="201" t="n"/>
      <c r="AC241" s="201" t="n"/>
      <c r="AD241" s="201" t="n"/>
      <c r="AE241" s="201" t="n"/>
      <c r="AF241" s="201" t="n"/>
      <c r="AG241" s="201" t="n"/>
    </row>
    <row r="242" ht="12.75" customHeight="1" s="202">
      <c r="A242" s="201" t="n"/>
      <c r="B242" s="201" t="n"/>
      <c r="C242" s="201" t="n"/>
      <c r="D242" s="201" t="n"/>
      <c r="E242" s="201" t="n"/>
      <c r="F242" s="201" t="n"/>
      <c r="G242" s="201" t="n"/>
      <c r="H242" s="201" t="n"/>
      <c r="I242" s="201" t="n"/>
      <c r="J242" s="201" t="n"/>
      <c r="K242" s="201" t="n"/>
      <c r="L242" s="201" t="n"/>
      <c r="M242" s="201" t="n"/>
      <c r="N242" s="201" t="n"/>
      <c r="O242" s="201" t="n"/>
      <c r="P242" s="201" t="n"/>
      <c r="Q242" s="201" t="n"/>
      <c r="R242" s="201" t="n"/>
      <c r="S242" s="201" t="n"/>
      <c r="T242" s="201" t="n"/>
      <c r="U242" s="201" t="n"/>
      <c r="V242" s="201" t="n"/>
      <c r="W242" s="201" t="n"/>
      <c r="X242" s="201" t="n"/>
      <c r="Y242" s="201" t="n"/>
      <c r="Z242" s="201" t="n"/>
      <c r="AA242" s="201" t="n"/>
      <c r="AB242" s="201" t="n"/>
      <c r="AC242" s="201" t="n"/>
      <c r="AD242" s="201" t="n"/>
      <c r="AE242" s="201" t="n"/>
      <c r="AF242" s="201" t="n"/>
      <c r="AG242" s="201" t="n"/>
    </row>
    <row r="243" ht="12.75" customHeight="1" s="202">
      <c r="A243" s="201" t="n"/>
      <c r="B243" s="201" t="n"/>
      <c r="C243" s="201" t="n"/>
      <c r="D243" s="201" t="n"/>
      <c r="E243" s="201" t="n"/>
      <c r="F243" s="201" t="n"/>
      <c r="G243" s="201" t="n"/>
      <c r="H243" s="201" t="n"/>
      <c r="I243" s="201" t="n"/>
      <c r="J243" s="201" t="n"/>
      <c r="K243" s="201" t="n"/>
      <c r="L243" s="201" t="n"/>
      <c r="M243" s="201" t="n"/>
      <c r="N243" s="201" t="n"/>
      <c r="O243" s="201" t="n"/>
      <c r="P243" s="201" t="n"/>
      <c r="Q243" s="201" t="n"/>
      <c r="R243" s="201" t="n"/>
      <c r="S243" s="201" t="n"/>
      <c r="T243" s="201" t="n"/>
      <c r="U243" s="201" t="n"/>
      <c r="V243" s="201" t="n"/>
      <c r="W243" s="201" t="n"/>
      <c r="X243" s="201" t="n"/>
      <c r="Y243" s="201" t="n"/>
      <c r="Z243" s="201" t="n"/>
      <c r="AA243" s="201" t="n"/>
      <c r="AB243" s="201" t="n"/>
      <c r="AC243" s="201" t="n"/>
      <c r="AD243" s="201" t="n"/>
      <c r="AE243" s="201" t="n"/>
      <c r="AF243" s="201" t="n"/>
      <c r="AG243" s="201" t="n"/>
    </row>
    <row r="244" ht="12.75" customHeight="1" s="202">
      <c r="A244" s="201" t="n"/>
      <c r="B244" s="201" t="n"/>
      <c r="C244" s="201" t="n"/>
      <c r="D244" s="201" t="n"/>
      <c r="E244" s="201" t="n"/>
      <c r="F244" s="201" t="n"/>
      <c r="G244" s="201" t="n"/>
      <c r="H244" s="201" t="n"/>
      <c r="I244" s="201" t="n"/>
      <c r="J244" s="201" t="n"/>
      <c r="K244" s="201" t="n"/>
      <c r="L244" s="201" t="n"/>
      <c r="M244" s="201" t="n"/>
      <c r="N244" s="201" t="n"/>
      <c r="O244" s="201" t="n"/>
      <c r="P244" s="201" t="n"/>
      <c r="Q244" s="201" t="n"/>
      <c r="R244" s="201" t="n"/>
      <c r="S244" s="201" t="n"/>
      <c r="T244" s="201" t="n"/>
      <c r="U244" s="201" t="n"/>
      <c r="V244" s="201" t="n"/>
      <c r="W244" s="201" t="n"/>
      <c r="X244" s="201" t="n"/>
      <c r="Y244" s="201" t="n"/>
      <c r="Z244" s="201" t="n"/>
      <c r="AA244" s="201" t="n"/>
      <c r="AB244" s="201" t="n"/>
      <c r="AC244" s="201" t="n"/>
      <c r="AD244" s="201" t="n"/>
      <c r="AE244" s="201" t="n"/>
      <c r="AF244" s="201" t="n"/>
      <c r="AG244" s="201" t="n"/>
    </row>
    <row r="245" ht="12.75" customHeight="1" s="202">
      <c r="A245" s="201" t="n"/>
      <c r="B245" s="201" t="n"/>
      <c r="C245" s="201" t="n"/>
      <c r="D245" s="201" t="n"/>
      <c r="E245" s="201" t="n"/>
      <c r="F245" s="201" t="n"/>
      <c r="G245" s="201" t="n"/>
      <c r="H245" s="201" t="n"/>
      <c r="I245" s="201" t="n"/>
      <c r="J245" s="201" t="n"/>
      <c r="K245" s="201" t="n"/>
      <c r="L245" s="201" t="n"/>
      <c r="M245" s="201" t="n"/>
      <c r="N245" s="201" t="n"/>
      <c r="O245" s="201" t="n"/>
      <c r="P245" s="201" t="n"/>
      <c r="Q245" s="201" t="n"/>
      <c r="R245" s="201" t="n"/>
      <c r="S245" s="201" t="n"/>
      <c r="T245" s="201" t="n"/>
      <c r="U245" s="201" t="n"/>
      <c r="V245" s="201" t="n"/>
      <c r="W245" s="201" t="n"/>
      <c r="X245" s="201" t="n"/>
      <c r="Y245" s="201" t="n"/>
      <c r="Z245" s="201" t="n"/>
      <c r="AA245" s="201" t="n"/>
      <c r="AB245" s="201" t="n"/>
      <c r="AC245" s="201" t="n"/>
      <c r="AD245" s="201" t="n"/>
      <c r="AE245" s="201" t="n"/>
      <c r="AF245" s="201" t="n"/>
      <c r="AG245" s="201" t="n"/>
    </row>
    <row r="246" ht="12.75" customHeight="1" s="202">
      <c r="A246" s="201" t="n"/>
      <c r="B246" s="201" t="n"/>
      <c r="C246" s="201" t="n"/>
      <c r="D246" s="201" t="n"/>
      <c r="E246" s="201" t="n"/>
      <c r="F246" s="201" t="n"/>
      <c r="G246" s="201" t="n"/>
      <c r="H246" s="201" t="n"/>
      <c r="I246" s="201" t="n"/>
      <c r="J246" s="201" t="n"/>
      <c r="K246" s="201" t="n"/>
      <c r="L246" s="201" t="n"/>
      <c r="M246" s="201" t="n"/>
      <c r="N246" s="201" t="n"/>
      <c r="O246" s="201" t="n"/>
      <c r="P246" s="201" t="n"/>
      <c r="Q246" s="201" t="n"/>
      <c r="R246" s="201" t="n"/>
      <c r="S246" s="201" t="n"/>
      <c r="T246" s="201" t="n"/>
      <c r="U246" s="201" t="n"/>
      <c r="V246" s="201" t="n"/>
      <c r="W246" s="201" t="n"/>
      <c r="X246" s="201" t="n"/>
      <c r="Y246" s="201" t="n"/>
      <c r="Z246" s="201" t="n"/>
      <c r="AA246" s="201" t="n"/>
      <c r="AB246" s="201" t="n"/>
      <c r="AC246" s="201" t="n"/>
      <c r="AD246" s="201" t="n"/>
      <c r="AE246" s="201" t="n"/>
      <c r="AF246" s="201" t="n"/>
      <c r="AG246" s="201" t="n"/>
    </row>
    <row r="247" ht="12.75" customHeight="1" s="202">
      <c r="A247" s="201" t="n"/>
      <c r="B247" s="201" t="n"/>
      <c r="C247" s="201" t="n"/>
      <c r="D247" s="201" t="n"/>
      <c r="E247" s="201" t="n"/>
      <c r="F247" s="201" t="n"/>
      <c r="G247" s="201" t="n"/>
      <c r="H247" s="201" t="n"/>
      <c r="I247" s="201" t="n"/>
      <c r="J247" s="201" t="n"/>
      <c r="K247" s="201" t="n"/>
      <c r="L247" s="201" t="n"/>
      <c r="M247" s="201" t="n"/>
      <c r="N247" s="201" t="n"/>
      <c r="O247" s="201" t="n"/>
      <c r="P247" s="201" t="n"/>
      <c r="Q247" s="201" t="n"/>
      <c r="R247" s="201" t="n"/>
      <c r="S247" s="201" t="n"/>
      <c r="T247" s="201" t="n"/>
      <c r="U247" s="201" t="n"/>
      <c r="V247" s="201" t="n"/>
      <c r="W247" s="201" t="n"/>
      <c r="X247" s="201" t="n"/>
      <c r="Y247" s="201" t="n"/>
      <c r="Z247" s="201" t="n"/>
      <c r="AA247" s="201" t="n"/>
      <c r="AB247" s="201" t="n"/>
      <c r="AC247" s="201" t="n"/>
      <c r="AD247" s="201" t="n"/>
      <c r="AE247" s="201" t="n"/>
      <c r="AF247" s="201" t="n"/>
      <c r="AG247" s="201" t="n"/>
    </row>
    <row r="248" ht="12.75" customHeight="1" s="202">
      <c r="A248" s="201" t="n"/>
      <c r="B248" s="201" t="n"/>
      <c r="C248" s="201" t="n"/>
      <c r="D248" s="201" t="n"/>
      <c r="E248" s="201" t="n"/>
      <c r="F248" s="201" t="n"/>
      <c r="G248" s="201" t="n"/>
      <c r="H248" s="201" t="n"/>
      <c r="I248" s="201" t="n"/>
      <c r="J248" s="201" t="n"/>
      <c r="K248" s="201" t="n"/>
      <c r="L248" s="201" t="n"/>
      <c r="M248" s="201" t="n"/>
      <c r="N248" s="201" t="n"/>
      <c r="O248" s="201" t="n"/>
      <c r="P248" s="201" t="n"/>
      <c r="Q248" s="201" t="n"/>
      <c r="R248" s="201" t="n"/>
      <c r="S248" s="201" t="n"/>
      <c r="T248" s="201" t="n"/>
      <c r="U248" s="201" t="n"/>
      <c r="V248" s="201" t="n"/>
      <c r="W248" s="201" t="n"/>
      <c r="X248" s="201" t="n"/>
      <c r="Y248" s="201" t="n"/>
      <c r="Z248" s="201" t="n"/>
      <c r="AA248" s="201" t="n"/>
      <c r="AB248" s="201" t="n"/>
      <c r="AC248" s="201" t="n"/>
      <c r="AD248" s="201" t="n"/>
      <c r="AE248" s="201" t="n"/>
      <c r="AF248" s="201" t="n"/>
      <c r="AG248" s="201" t="n"/>
    </row>
    <row r="249" ht="12.75" customHeight="1" s="202">
      <c r="A249" s="201" t="n"/>
      <c r="B249" s="201" t="n"/>
      <c r="C249" s="201" t="n"/>
      <c r="D249" s="201" t="n"/>
      <c r="E249" s="201" t="n"/>
      <c r="F249" s="201" t="n"/>
      <c r="G249" s="201" t="n"/>
      <c r="H249" s="201" t="n"/>
      <c r="I249" s="201" t="n"/>
      <c r="J249" s="201" t="n"/>
      <c r="K249" s="201" t="n"/>
      <c r="L249" s="201" t="n"/>
      <c r="M249" s="201" t="n"/>
      <c r="N249" s="201" t="n"/>
      <c r="O249" s="201" t="n"/>
      <c r="P249" s="201" t="n"/>
      <c r="Q249" s="201" t="n"/>
      <c r="R249" s="201" t="n"/>
      <c r="S249" s="201" t="n"/>
      <c r="T249" s="201" t="n"/>
      <c r="U249" s="201" t="n"/>
      <c r="V249" s="201" t="n"/>
      <c r="W249" s="201" t="n"/>
      <c r="X249" s="201" t="n"/>
      <c r="Y249" s="201" t="n"/>
      <c r="Z249" s="201" t="n"/>
      <c r="AA249" s="201" t="n"/>
      <c r="AB249" s="201" t="n"/>
      <c r="AC249" s="201" t="n"/>
      <c r="AD249" s="201" t="n"/>
      <c r="AE249" s="201" t="n"/>
      <c r="AF249" s="201" t="n"/>
      <c r="AG249" s="201" t="n"/>
    </row>
    <row r="250" ht="12.75" customHeight="1" s="202">
      <c r="A250" s="201" t="n"/>
      <c r="B250" s="201" t="n"/>
      <c r="C250" s="201" t="n"/>
      <c r="D250" s="201" t="n"/>
      <c r="E250" s="201" t="n"/>
      <c r="F250" s="201" t="n"/>
      <c r="G250" s="201" t="n"/>
      <c r="H250" s="201" t="n"/>
      <c r="I250" s="201" t="n"/>
      <c r="J250" s="201" t="n"/>
      <c r="K250" s="201" t="n"/>
      <c r="L250" s="201" t="n"/>
      <c r="M250" s="201" t="n"/>
      <c r="N250" s="201" t="n"/>
      <c r="O250" s="201" t="n"/>
      <c r="P250" s="201" t="n"/>
      <c r="Q250" s="201" t="n"/>
      <c r="R250" s="201" t="n"/>
      <c r="S250" s="201" t="n"/>
      <c r="T250" s="201" t="n"/>
      <c r="U250" s="201" t="n"/>
      <c r="V250" s="201" t="n"/>
      <c r="W250" s="201" t="n"/>
      <c r="X250" s="201" t="n"/>
      <c r="Y250" s="201" t="n"/>
      <c r="Z250" s="201" t="n"/>
      <c r="AA250" s="201" t="n"/>
      <c r="AB250" s="201" t="n"/>
      <c r="AC250" s="201" t="n"/>
      <c r="AD250" s="201" t="n"/>
      <c r="AE250" s="201" t="n"/>
      <c r="AF250" s="201" t="n"/>
      <c r="AG250" s="201" t="n"/>
    </row>
    <row r="251" ht="12.75" customHeight="1" s="202">
      <c r="A251" s="201" t="n"/>
      <c r="B251" s="201" t="n"/>
      <c r="C251" s="201" t="n"/>
      <c r="D251" s="201" t="n"/>
      <c r="E251" s="201" t="n"/>
      <c r="F251" s="201" t="n"/>
      <c r="G251" s="201" t="n"/>
      <c r="H251" s="201" t="n"/>
      <c r="I251" s="201" t="n"/>
      <c r="J251" s="201" t="n"/>
      <c r="K251" s="201" t="n"/>
      <c r="L251" s="201" t="n"/>
      <c r="M251" s="201" t="n"/>
      <c r="N251" s="201" t="n"/>
      <c r="O251" s="201" t="n"/>
      <c r="P251" s="201" t="n"/>
      <c r="Q251" s="201" t="n"/>
      <c r="R251" s="201" t="n"/>
      <c r="S251" s="201" t="n"/>
      <c r="T251" s="201" t="n"/>
      <c r="U251" s="201" t="n"/>
      <c r="V251" s="201" t="n"/>
      <c r="W251" s="201" t="n"/>
      <c r="X251" s="201" t="n"/>
      <c r="Y251" s="201" t="n"/>
      <c r="Z251" s="201" t="n"/>
      <c r="AA251" s="201" t="n"/>
      <c r="AB251" s="201" t="n"/>
      <c r="AC251" s="201" t="n"/>
      <c r="AD251" s="201" t="n"/>
      <c r="AE251" s="201" t="n"/>
      <c r="AF251" s="201" t="n"/>
      <c r="AG251" s="201" t="n"/>
    </row>
    <row r="252" ht="12.75" customHeight="1" s="202">
      <c r="A252" s="201" t="n"/>
      <c r="B252" s="201" t="n"/>
      <c r="C252" s="201" t="n"/>
      <c r="D252" s="201" t="n"/>
      <c r="E252" s="201" t="n"/>
      <c r="F252" s="201" t="n"/>
      <c r="G252" s="201" t="n"/>
      <c r="H252" s="201" t="n"/>
      <c r="I252" s="201" t="n"/>
      <c r="J252" s="201" t="n"/>
      <c r="K252" s="201" t="n"/>
      <c r="L252" s="201" t="n"/>
      <c r="M252" s="201" t="n"/>
      <c r="N252" s="201" t="n"/>
      <c r="O252" s="201" t="n"/>
      <c r="P252" s="201" t="n"/>
      <c r="Q252" s="201" t="n"/>
      <c r="R252" s="201" t="n"/>
      <c r="S252" s="201" t="n"/>
      <c r="T252" s="201" t="n"/>
      <c r="U252" s="201" t="n"/>
      <c r="V252" s="201" t="n"/>
      <c r="W252" s="201" t="n"/>
      <c r="X252" s="201" t="n"/>
      <c r="Y252" s="201" t="n"/>
      <c r="Z252" s="201" t="n"/>
      <c r="AA252" s="201" t="n"/>
      <c r="AB252" s="201" t="n"/>
      <c r="AC252" s="201" t="n"/>
      <c r="AD252" s="201" t="n"/>
      <c r="AE252" s="201" t="n"/>
      <c r="AF252" s="201" t="n"/>
      <c r="AG252" s="201" t="n"/>
    </row>
    <row r="253" ht="12.75" customHeight="1" s="202">
      <c r="A253" s="201" t="n"/>
      <c r="B253" s="201" t="n"/>
      <c r="C253" s="201" t="n"/>
      <c r="D253" s="201" t="n"/>
      <c r="E253" s="201" t="n"/>
      <c r="F253" s="201" t="n"/>
      <c r="G253" s="201" t="n"/>
      <c r="H253" s="201" t="n"/>
      <c r="I253" s="201" t="n"/>
      <c r="J253" s="201" t="n"/>
      <c r="K253" s="201" t="n"/>
      <c r="L253" s="201" t="n"/>
      <c r="M253" s="201" t="n"/>
      <c r="N253" s="201" t="n"/>
      <c r="O253" s="201" t="n"/>
      <c r="P253" s="201" t="n"/>
      <c r="Q253" s="201" t="n"/>
      <c r="R253" s="201" t="n"/>
      <c r="S253" s="201" t="n"/>
      <c r="T253" s="201" t="n"/>
      <c r="U253" s="201" t="n"/>
      <c r="V253" s="201" t="n"/>
      <c r="W253" s="201" t="n"/>
      <c r="X253" s="201" t="n"/>
      <c r="Y253" s="201" t="n"/>
      <c r="Z253" s="201" t="n"/>
      <c r="AA253" s="201" t="n"/>
      <c r="AB253" s="201" t="n"/>
      <c r="AC253" s="201" t="n"/>
      <c r="AD253" s="201" t="n"/>
      <c r="AE253" s="201" t="n"/>
      <c r="AF253" s="201" t="n"/>
      <c r="AG253" s="201" t="n"/>
    </row>
    <row r="254" ht="12.75" customHeight="1" s="202">
      <c r="A254" s="201" t="n"/>
      <c r="B254" s="201" t="n"/>
      <c r="C254" s="201" t="n"/>
      <c r="D254" s="201" t="n"/>
      <c r="E254" s="201" t="n"/>
      <c r="F254" s="201" t="n"/>
      <c r="G254" s="201" t="n"/>
      <c r="H254" s="201" t="n"/>
      <c r="I254" s="201" t="n"/>
      <c r="J254" s="201" t="n"/>
      <c r="K254" s="201" t="n"/>
      <c r="L254" s="201" t="n"/>
      <c r="M254" s="201" t="n"/>
      <c r="N254" s="201" t="n"/>
      <c r="O254" s="201" t="n"/>
      <c r="P254" s="201" t="n"/>
      <c r="Q254" s="201" t="n"/>
      <c r="R254" s="201" t="n"/>
      <c r="S254" s="201" t="n"/>
      <c r="T254" s="201" t="n"/>
      <c r="U254" s="201" t="n"/>
      <c r="V254" s="201" t="n"/>
      <c r="W254" s="201" t="n"/>
      <c r="X254" s="201" t="n"/>
      <c r="Y254" s="201" t="n"/>
      <c r="Z254" s="201" t="n"/>
      <c r="AA254" s="201" t="n"/>
      <c r="AB254" s="201" t="n"/>
      <c r="AC254" s="201" t="n"/>
      <c r="AD254" s="201" t="n"/>
      <c r="AE254" s="201" t="n"/>
      <c r="AF254" s="201" t="n"/>
      <c r="AG254" s="201" t="n"/>
    </row>
    <row r="255" ht="12.75" customHeight="1" s="202">
      <c r="A255" s="201" t="n"/>
      <c r="B255" s="201" t="n"/>
      <c r="C255" s="201" t="n"/>
      <c r="D255" s="201" t="n"/>
      <c r="E255" s="201" t="n"/>
      <c r="F255" s="201" t="n"/>
      <c r="G255" s="201" t="n"/>
      <c r="H255" s="201" t="n"/>
      <c r="I255" s="201" t="n"/>
      <c r="J255" s="201" t="n"/>
      <c r="K255" s="201" t="n"/>
      <c r="L255" s="201" t="n"/>
      <c r="M255" s="201" t="n"/>
      <c r="N255" s="201" t="n"/>
      <c r="O255" s="201" t="n"/>
      <c r="P255" s="201" t="n"/>
      <c r="Q255" s="201" t="n"/>
      <c r="R255" s="201" t="n"/>
      <c r="S255" s="201" t="n"/>
      <c r="T255" s="201" t="n"/>
      <c r="U255" s="201" t="n"/>
      <c r="V255" s="201" t="n"/>
      <c r="W255" s="201" t="n"/>
      <c r="X255" s="201" t="n"/>
      <c r="Y255" s="201" t="n"/>
      <c r="Z255" s="201" t="n"/>
      <c r="AA255" s="201" t="n"/>
      <c r="AB255" s="201" t="n"/>
      <c r="AC255" s="201" t="n"/>
      <c r="AD255" s="201" t="n"/>
      <c r="AE255" s="201" t="n"/>
      <c r="AF255" s="201" t="n"/>
      <c r="AG255" s="201" t="n"/>
    </row>
    <row r="256" ht="12.75" customHeight="1" s="202">
      <c r="A256" s="201" t="n"/>
      <c r="B256" s="201" t="n"/>
      <c r="C256" s="201" t="n"/>
      <c r="D256" s="201" t="n"/>
      <c r="E256" s="201" t="n"/>
      <c r="F256" s="201" t="n"/>
      <c r="G256" s="201" t="n"/>
      <c r="H256" s="201" t="n"/>
      <c r="I256" s="201" t="n"/>
      <c r="J256" s="201" t="n"/>
      <c r="K256" s="201" t="n"/>
      <c r="L256" s="201" t="n"/>
      <c r="M256" s="201" t="n"/>
      <c r="N256" s="201" t="n"/>
      <c r="O256" s="201" t="n"/>
      <c r="P256" s="201" t="n"/>
      <c r="Q256" s="201" t="n"/>
      <c r="R256" s="201" t="n"/>
      <c r="S256" s="201" t="n"/>
      <c r="T256" s="201" t="n"/>
      <c r="U256" s="201" t="n"/>
      <c r="V256" s="201" t="n"/>
      <c r="W256" s="201" t="n"/>
      <c r="X256" s="201" t="n"/>
      <c r="Y256" s="201" t="n"/>
      <c r="Z256" s="201" t="n"/>
      <c r="AA256" s="201" t="n"/>
      <c r="AB256" s="201" t="n"/>
      <c r="AC256" s="201" t="n"/>
      <c r="AD256" s="201" t="n"/>
      <c r="AE256" s="201" t="n"/>
      <c r="AF256" s="201" t="n"/>
      <c r="AG256" s="201" t="n"/>
    </row>
    <row r="257" ht="12.75" customHeight="1" s="202">
      <c r="A257" s="201" t="n"/>
      <c r="B257" s="201" t="n"/>
      <c r="C257" s="201" t="n"/>
      <c r="D257" s="201" t="n"/>
      <c r="E257" s="201" t="n"/>
      <c r="F257" s="201" t="n"/>
      <c r="G257" s="201" t="n"/>
      <c r="H257" s="201" t="n"/>
      <c r="I257" s="201" t="n"/>
      <c r="J257" s="201" t="n"/>
      <c r="K257" s="201" t="n"/>
      <c r="L257" s="201" t="n"/>
      <c r="M257" s="201" t="n"/>
      <c r="N257" s="201" t="n"/>
      <c r="O257" s="201" t="n"/>
      <c r="P257" s="201" t="n"/>
      <c r="Q257" s="201" t="n"/>
      <c r="R257" s="201" t="n"/>
      <c r="S257" s="201" t="n"/>
      <c r="T257" s="201" t="n"/>
      <c r="U257" s="201" t="n"/>
      <c r="V257" s="201" t="n"/>
      <c r="W257" s="201" t="n"/>
      <c r="X257" s="201" t="n"/>
      <c r="Y257" s="201" t="n"/>
      <c r="Z257" s="201" t="n"/>
      <c r="AA257" s="201" t="n"/>
      <c r="AB257" s="201" t="n"/>
      <c r="AC257" s="201" t="n"/>
      <c r="AD257" s="201" t="n"/>
      <c r="AE257" s="201" t="n"/>
      <c r="AF257" s="201" t="n"/>
      <c r="AG257" s="201" t="n"/>
    </row>
    <row r="258" ht="12.75" customHeight="1" s="202">
      <c r="A258" s="201" t="n"/>
      <c r="B258" s="201" t="n"/>
      <c r="C258" s="201" t="n"/>
      <c r="D258" s="201" t="n"/>
      <c r="E258" s="201" t="n"/>
      <c r="F258" s="201" t="n"/>
      <c r="G258" s="201" t="n"/>
      <c r="H258" s="201" t="n"/>
      <c r="I258" s="201" t="n"/>
      <c r="J258" s="201" t="n"/>
      <c r="K258" s="201" t="n"/>
      <c r="L258" s="201" t="n"/>
      <c r="M258" s="201" t="n"/>
      <c r="N258" s="201" t="n"/>
      <c r="O258" s="201" t="n"/>
      <c r="P258" s="201" t="n"/>
      <c r="Q258" s="201" t="n"/>
      <c r="R258" s="201" t="n"/>
      <c r="S258" s="201" t="n"/>
      <c r="T258" s="201" t="n"/>
      <c r="U258" s="201" t="n"/>
      <c r="V258" s="201" t="n"/>
      <c r="W258" s="201" t="n"/>
      <c r="X258" s="201" t="n"/>
      <c r="Y258" s="201" t="n"/>
      <c r="Z258" s="201" t="n"/>
      <c r="AA258" s="201" t="n"/>
      <c r="AB258" s="201" t="n"/>
      <c r="AC258" s="201" t="n"/>
      <c r="AD258" s="201" t="n"/>
      <c r="AE258" s="201" t="n"/>
      <c r="AF258" s="201" t="n"/>
      <c r="AG258" s="201" t="n"/>
    </row>
    <row r="259" ht="12.75" customHeight="1" s="202">
      <c r="A259" s="201" t="n"/>
      <c r="B259" s="201" t="n"/>
      <c r="C259" s="201" t="n"/>
      <c r="D259" s="201" t="n"/>
      <c r="E259" s="201" t="n"/>
      <c r="F259" s="201" t="n"/>
      <c r="G259" s="201" t="n"/>
      <c r="H259" s="201" t="n"/>
      <c r="I259" s="201" t="n"/>
      <c r="J259" s="201" t="n"/>
      <c r="K259" s="201" t="n"/>
      <c r="L259" s="201" t="n"/>
      <c r="M259" s="201" t="n"/>
      <c r="N259" s="201" t="n"/>
      <c r="O259" s="201" t="n"/>
      <c r="P259" s="201" t="n"/>
      <c r="Q259" s="201" t="n"/>
      <c r="R259" s="201" t="n"/>
      <c r="S259" s="201" t="n"/>
      <c r="T259" s="201" t="n"/>
      <c r="U259" s="201" t="n"/>
      <c r="V259" s="201" t="n"/>
      <c r="W259" s="201" t="n"/>
      <c r="X259" s="201" t="n"/>
      <c r="Y259" s="201" t="n"/>
      <c r="Z259" s="201" t="n"/>
      <c r="AA259" s="201" t="n"/>
      <c r="AB259" s="201" t="n"/>
      <c r="AC259" s="201" t="n"/>
      <c r="AD259" s="201" t="n"/>
      <c r="AE259" s="201" t="n"/>
      <c r="AF259" s="201" t="n"/>
      <c r="AG259" s="201" t="n"/>
    </row>
    <row r="260" ht="12.75" customHeight="1" s="202">
      <c r="A260" s="201" t="n"/>
      <c r="B260" s="201" t="n"/>
      <c r="C260" s="201" t="n"/>
      <c r="D260" s="201" t="n"/>
      <c r="E260" s="201" t="n"/>
      <c r="F260" s="201" t="n"/>
      <c r="G260" s="201" t="n"/>
      <c r="H260" s="201" t="n"/>
      <c r="I260" s="201" t="n"/>
      <c r="J260" s="201" t="n"/>
      <c r="K260" s="201" t="n"/>
      <c r="L260" s="201" t="n"/>
      <c r="M260" s="201" t="n"/>
      <c r="N260" s="201" t="n"/>
      <c r="O260" s="201" t="n"/>
      <c r="P260" s="201" t="n"/>
      <c r="Q260" s="201" t="n"/>
      <c r="R260" s="201" t="n"/>
      <c r="S260" s="201" t="n"/>
      <c r="T260" s="201" t="n"/>
      <c r="U260" s="201" t="n"/>
      <c r="V260" s="201" t="n"/>
      <c r="W260" s="201" t="n"/>
      <c r="X260" s="201" t="n"/>
      <c r="Y260" s="201" t="n"/>
      <c r="Z260" s="201" t="n"/>
      <c r="AA260" s="201" t="n"/>
      <c r="AB260" s="201" t="n"/>
      <c r="AC260" s="201" t="n"/>
      <c r="AD260" s="201" t="n"/>
      <c r="AE260" s="201" t="n"/>
      <c r="AF260" s="201" t="n"/>
      <c r="AG260" s="201" t="n"/>
    </row>
    <row r="261" ht="12.75" customHeight="1" s="202">
      <c r="A261" s="201" t="n"/>
      <c r="B261" s="201" t="n"/>
      <c r="C261" s="201" t="n"/>
      <c r="D261" s="201" t="n"/>
      <c r="E261" s="201" t="n"/>
      <c r="F261" s="201" t="n"/>
      <c r="G261" s="201" t="n"/>
      <c r="H261" s="201" t="n"/>
      <c r="I261" s="201" t="n"/>
      <c r="J261" s="201" t="n"/>
      <c r="K261" s="201" t="n"/>
      <c r="L261" s="201" t="n"/>
      <c r="M261" s="201" t="n"/>
      <c r="N261" s="201" t="n"/>
      <c r="O261" s="201" t="n"/>
      <c r="P261" s="201" t="n"/>
      <c r="Q261" s="201" t="n"/>
      <c r="R261" s="201" t="n"/>
      <c r="S261" s="201" t="n"/>
      <c r="T261" s="201" t="n"/>
      <c r="U261" s="201" t="n"/>
      <c r="V261" s="201" t="n"/>
      <c r="W261" s="201" t="n"/>
      <c r="X261" s="201" t="n"/>
      <c r="Y261" s="201" t="n"/>
      <c r="Z261" s="201" t="n"/>
      <c r="AA261" s="201" t="n"/>
      <c r="AB261" s="201" t="n"/>
      <c r="AC261" s="201" t="n"/>
      <c r="AD261" s="201" t="n"/>
      <c r="AE261" s="201" t="n"/>
      <c r="AF261" s="201" t="n"/>
      <c r="AG261" s="201" t="n"/>
    </row>
    <row r="262" ht="12.75" customHeight="1" s="202">
      <c r="A262" s="201" t="n"/>
      <c r="B262" s="201" t="n"/>
      <c r="C262" s="201" t="n"/>
      <c r="D262" s="201" t="n"/>
      <c r="E262" s="201" t="n"/>
      <c r="F262" s="201" t="n"/>
      <c r="G262" s="201" t="n"/>
      <c r="H262" s="201" t="n"/>
      <c r="I262" s="201" t="n"/>
      <c r="J262" s="201" t="n"/>
      <c r="K262" s="201" t="n"/>
      <c r="L262" s="201" t="n"/>
      <c r="M262" s="201" t="n"/>
      <c r="N262" s="201" t="n"/>
      <c r="O262" s="201" t="n"/>
      <c r="P262" s="201" t="n"/>
      <c r="Q262" s="201" t="n"/>
      <c r="R262" s="201" t="n"/>
      <c r="S262" s="201" t="n"/>
      <c r="T262" s="201" t="n"/>
      <c r="U262" s="201" t="n"/>
      <c r="V262" s="201" t="n"/>
      <c r="W262" s="201" t="n"/>
      <c r="X262" s="201" t="n"/>
      <c r="Y262" s="201" t="n"/>
      <c r="Z262" s="201" t="n"/>
      <c r="AA262" s="201" t="n"/>
      <c r="AB262" s="201" t="n"/>
      <c r="AC262" s="201" t="n"/>
      <c r="AD262" s="201" t="n"/>
      <c r="AE262" s="201" t="n"/>
      <c r="AF262" s="201" t="n"/>
      <c r="AG262" s="201" t="n"/>
    </row>
    <row r="263" ht="12.75" customHeight="1" s="202">
      <c r="A263" s="201" t="n"/>
      <c r="B263" s="201" t="n"/>
      <c r="C263" s="201" t="n"/>
      <c r="D263" s="201" t="n"/>
      <c r="E263" s="201" t="n"/>
      <c r="F263" s="201" t="n"/>
      <c r="G263" s="201" t="n"/>
      <c r="H263" s="201" t="n"/>
      <c r="I263" s="201" t="n"/>
      <c r="J263" s="201" t="n"/>
      <c r="K263" s="201" t="n"/>
      <c r="L263" s="201" t="n"/>
      <c r="M263" s="201" t="n"/>
      <c r="N263" s="201" t="n"/>
      <c r="O263" s="201" t="n"/>
      <c r="P263" s="201" t="n"/>
      <c r="Q263" s="201" t="n"/>
      <c r="R263" s="201" t="n"/>
      <c r="S263" s="201" t="n"/>
      <c r="T263" s="201" t="n"/>
      <c r="U263" s="201" t="n"/>
      <c r="V263" s="201" t="n"/>
      <c r="W263" s="201" t="n"/>
      <c r="X263" s="201" t="n"/>
      <c r="Y263" s="201" t="n"/>
      <c r="Z263" s="201" t="n"/>
      <c r="AA263" s="201" t="n"/>
      <c r="AB263" s="201" t="n"/>
      <c r="AC263" s="201" t="n"/>
      <c r="AD263" s="201" t="n"/>
      <c r="AE263" s="201" t="n"/>
      <c r="AF263" s="201" t="n"/>
      <c r="AG263" s="201" t="n"/>
    </row>
    <row r="264" ht="12.75" customHeight="1" s="202">
      <c r="A264" s="201" t="n"/>
      <c r="B264" s="201" t="n"/>
      <c r="C264" s="201" t="n"/>
      <c r="D264" s="201" t="n"/>
      <c r="E264" s="201" t="n"/>
      <c r="F264" s="201" t="n"/>
      <c r="G264" s="201" t="n"/>
      <c r="H264" s="201" t="n"/>
      <c r="I264" s="201" t="n"/>
      <c r="J264" s="201" t="n"/>
      <c r="K264" s="201" t="n"/>
      <c r="L264" s="201" t="n"/>
      <c r="M264" s="201" t="n"/>
      <c r="N264" s="201" t="n"/>
      <c r="O264" s="201" t="n"/>
      <c r="P264" s="201" t="n"/>
      <c r="Q264" s="201" t="n"/>
      <c r="R264" s="201" t="n"/>
      <c r="S264" s="201" t="n"/>
      <c r="T264" s="201" t="n"/>
      <c r="U264" s="201" t="n"/>
      <c r="V264" s="201" t="n"/>
      <c r="W264" s="201" t="n"/>
      <c r="X264" s="201" t="n"/>
      <c r="Y264" s="201" t="n"/>
      <c r="Z264" s="201" t="n"/>
      <c r="AA264" s="201" t="n"/>
      <c r="AB264" s="201" t="n"/>
      <c r="AC264" s="201" t="n"/>
      <c r="AD264" s="201" t="n"/>
      <c r="AE264" s="201" t="n"/>
      <c r="AF264" s="201" t="n"/>
      <c r="AG264" s="201" t="n"/>
    </row>
    <row r="265" ht="12.75" customHeight="1" s="202">
      <c r="A265" s="201" t="n"/>
      <c r="B265" s="201" t="n"/>
      <c r="C265" s="201" t="n"/>
      <c r="D265" s="201" t="n"/>
      <c r="E265" s="201" t="n"/>
      <c r="F265" s="201" t="n"/>
      <c r="G265" s="201" t="n"/>
      <c r="H265" s="201" t="n"/>
      <c r="I265" s="201" t="n"/>
      <c r="J265" s="201" t="n"/>
      <c r="K265" s="201" t="n"/>
      <c r="L265" s="201" t="n"/>
      <c r="M265" s="201" t="n"/>
      <c r="N265" s="201" t="n"/>
      <c r="O265" s="201" t="n"/>
      <c r="P265" s="201" t="n"/>
      <c r="Q265" s="201" t="n"/>
      <c r="R265" s="201" t="n"/>
      <c r="S265" s="201" t="n"/>
      <c r="T265" s="201" t="n"/>
      <c r="U265" s="201" t="n"/>
      <c r="V265" s="201" t="n"/>
      <c r="W265" s="201" t="n"/>
      <c r="X265" s="201" t="n"/>
      <c r="Y265" s="201" t="n"/>
      <c r="Z265" s="201" t="n"/>
      <c r="AA265" s="201" t="n"/>
      <c r="AB265" s="201" t="n"/>
      <c r="AC265" s="201" t="n"/>
      <c r="AD265" s="201" t="n"/>
      <c r="AE265" s="201" t="n"/>
      <c r="AF265" s="201" t="n"/>
      <c r="AG265" s="201" t="n"/>
    </row>
    <row r="266" ht="12.75" customHeight="1" s="202">
      <c r="A266" s="201" t="n"/>
      <c r="B266" s="201" t="n"/>
      <c r="C266" s="201" t="n"/>
      <c r="D266" s="201" t="n"/>
      <c r="E266" s="201" t="n"/>
      <c r="F266" s="201" t="n"/>
      <c r="G266" s="201" t="n"/>
      <c r="H266" s="201" t="n"/>
      <c r="I266" s="201" t="n"/>
      <c r="J266" s="201" t="n"/>
      <c r="K266" s="201" t="n"/>
      <c r="L266" s="201" t="n"/>
      <c r="M266" s="201" t="n"/>
      <c r="N266" s="201" t="n"/>
      <c r="O266" s="201" t="n"/>
      <c r="P266" s="201" t="n"/>
      <c r="Q266" s="201" t="n"/>
      <c r="R266" s="201" t="n"/>
      <c r="S266" s="201" t="n"/>
      <c r="T266" s="201" t="n"/>
      <c r="U266" s="201" t="n"/>
      <c r="V266" s="201" t="n"/>
      <c r="W266" s="201" t="n"/>
      <c r="X266" s="201" t="n"/>
      <c r="Y266" s="201" t="n"/>
      <c r="Z266" s="201" t="n"/>
      <c r="AA266" s="201" t="n"/>
      <c r="AB266" s="201" t="n"/>
      <c r="AC266" s="201" t="n"/>
      <c r="AD266" s="201" t="n"/>
      <c r="AE266" s="201" t="n"/>
      <c r="AF266" s="201" t="n"/>
      <c r="AG266" s="201" t="n"/>
    </row>
    <row r="267" ht="12.75" customHeight="1" s="202">
      <c r="A267" s="201" t="n"/>
      <c r="B267" s="201" t="n"/>
      <c r="C267" s="201" t="n"/>
      <c r="D267" s="201" t="n"/>
      <c r="E267" s="201" t="n"/>
      <c r="F267" s="201" t="n"/>
      <c r="G267" s="201" t="n"/>
      <c r="H267" s="201" t="n"/>
      <c r="I267" s="201" t="n"/>
      <c r="J267" s="201" t="n"/>
      <c r="K267" s="201" t="n"/>
      <c r="L267" s="201" t="n"/>
      <c r="M267" s="201" t="n"/>
      <c r="N267" s="201" t="n"/>
      <c r="O267" s="201" t="n"/>
      <c r="P267" s="201" t="n"/>
      <c r="Q267" s="201" t="n"/>
      <c r="R267" s="201" t="n"/>
      <c r="S267" s="201" t="n"/>
      <c r="T267" s="201" t="n"/>
      <c r="U267" s="201" t="n"/>
      <c r="V267" s="201" t="n"/>
      <c r="W267" s="201" t="n"/>
      <c r="X267" s="201" t="n"/>
      <c r="Y267" s="201" t="n"/>
      <c r="Z267" s="201" t="n"/>
      <c r="AA267" s="201" t="n"/>
      <c r="AB267" s="201" t="n"/>
      <c r="AC267" s="201" t="n"/>
      <c r="AD267" s="201" t="n"/>
      <c r="AE267" s="201" t="n"/>
      <c r="AF267" s="201" t="n"/>
      <c r="AG267" s="201" t="n"/>
    </row>
    <row r="268" ht="12.75" customHeight="1" s="202">
      <c r="A268" s="201" t="n"/>
      <c r="B268" s="201" t="n"/>
      <c r="C268" s="201" t="n"/>
      <c r="D268" s="201" t="n"/>
      <c r="E268" s="201" t="n"/>
      <c r="F268" s="201" t="n"/>
      <c r="G268" s="201" t="n"/>
      <c r="H268" s="201" t="n"/>
      <c r="I268" s="201" t="n"/>
      <c r="J268" s="201" t="n"/>
      <c r="K268" s="201" t="n"/>
      <c r="L268" s="201" t="n"/>
      <c r="M268" s="201" t="n"/>
      <c r="N268" s="201" t="n"/>
      <c r="O268" s="201" t="n"/>
      <c r="P268" s="201" t="n"/>
      <c r="Q268" s="201" t="n"/>
      <c r="R268" s="201" t="n"/>
      <c r="S268" s="201" t="n"/>
      <c r="T268" s="201" t="n"/>
      <c r="U268" s="201" t="n"/>
      <c r="V268" s="201" t="n"/>
      <c r="W268" s="201" t="n"/>
      <c r="X268" s="201" t="n"/>
      <c r="Y268" s="201" t="n"/>
      <c r="Z268" s="201" t="n"/>
      <c r="AA268" s="201" t="n"/>
      <c r="AB268" s="201" t="n"/>
      <c r="AC268" s="201" t="n"/>
      <c r="AD268" s="201" t="n"/>
      <c r="AE268" s="201" t="n"/>
      <c r="AF268" s="201" t="n"/>
      <c r="AG268" s="201" t="n"/>
    </row>
    <row r="269" ht="12.75" customHeight="1" s="202">
      <c r="A269" s="201" t="n"/>
      <c r="B269" s="201" t="n"/>
      <c r="C269" s="201" t="n"/>
      <c r="D269" s="201" t="n"/>
      <c r="E269" s="201" t="n"/>
      <c r="F269" s="201" t="n"/>
      <c r="G269" s="201" t="n"/>
      <c r="H269" s="201" t="n"/>
      <c r="I269" s="201" t="n"/>
      <c r="J269" s="201" t="n"/>
      <c r="K269" s="201" t="n"/>
      <c r="L269" s="201" t="n"/>
      <c r="M269" s="201" t="n"/>
      <c r="N269" s="201" t="n"/>
      <c r="O269" s="201" t="n"/>
      <c r="P269" s="201" t="n"/>
      <c r="Q269" s="201" t="n"/>
      <c r="R269" s="201" t="n"/>
      <c r="S269" s="201" t="n"/>
      <c r="T269" s="201" t="n"/>
      <c r="U269" s="201" t="n"/>
      <c r="V269" s="201" t="n"/>
      <c r="W269" s="201" t="n"/>
      <c r="X269" s="201" t="n"/>
      <c r="Y269" s="201" t="n"/>
      <c r="Z269" s="201" t="n"/>
      <c r="AA269" s="201" t="n"/>
      <c r="AB269" s="201" t="n"/>
      <c r="AC269" s="201" t="n"/>
      <c r="AD269" s="201" t="n"/>
      <c r="AE269" s="201" t="n"/>
      <c r="AF269" s="201" t="n"/>
      <c r="AG269" s="201" t="n"/>
    </row>
    <row r="270" ht="12.75" customHeight="1" s="202">
      <c r="A270" s="201" t="n"/>
      <c r="B270" s="201" t="n"/>
      <c r="C270" s="201" t="n"/>
      <c r="D270" s="201" t="n"/>
      <c r="E270" s="201" t="n"/>
      <c r="F270" s="201" t="n"/>
      <c r="G270" s="201" t="n"/>
      <c r="H270" s="201" t="n"/>
      <c r="I270" s="201" t="n"/>
      <c r="J270" s="201" t="n"/>
      <c r="K270" s="201" t="n"/>
      <c r="L270" s="201" t="n"/>
      <c r="M270" s="201" t="n"/>
      <c r="N270" s="201" t="n"/>
      <c r="O270" s="201" t="n"/>
      <c r="P270" s="201" t="n"/>
      <c r="Q270" s="201" t="n"/>
      <c r="R270" s="201" t="n"/>
      <c r="S270" s="201" t="n"/>
      <c r="T270" s="201" t="n"/>
      <c r="U270" s="201" t="n"/>
      <c r="V270" s="201" t="n"/>
      <c r="W270" s="201" t="n"/>
      <c r="X270" s="201" t="n"/>
      <c r="Y270" s="201" t="n"/>
      <c r="Z270" s="201" t="n"/>
      <c r="AA270" s="201" t="n"/>
      <c r="AB270" s="201" t="n"/>
      <c r="AC270" s="201" t="n"/>
      <c r="AD270" s="201" t="n"/>
      <c r="AE270" s="201" t="n"/>
      <c r="AF270" s="201" t="n"/>
      <c r="AG270" s="201" t="n"/>
    </row>
    <row r="271" ht="12.75" customHeight="1" s="202">
      <c r="A271" s="201" t="n"/>
      <c r="B271" s="201" t="n"/>
      <c r="C271" s="201" t="n"/>
      <c r="D271" s="201" t="n"/>
      <c r="E271" s="201" t="n"/>
      <c r="F271" s="201" t="n"/>
      <c r="G271" s="201" t="n"/>
      <c r="H271" s="201" t="n"/>
      <c r="I271" s="201" t="n"/>
      <c r="J271" s="201" t="n"/>
      <c r="K271" s="201" t="n"/>
      <c r="L271" s="201" t="n"/>
      <c r="M271" s="201" t="n"/>
      <c r="N271" s="201" t="n"/>
      <c r="O271" s="201" t="n"/>
      <c r="P271" s="201" t="n"/>
      <c r="Q271" s="201" t="n"/>
      <c r="R271" s="201" t="n"/>
      <c r="S271" s="201" t="n"/>
      <c r="T271" s="201" t="n"/>
      <c r="U271" s="201" t="n"/>
      <c r="V271" s="201" t="n"/>
      <c r="W271" s="201" t="n"/>
      <c r="X271" s="201" t="n"/>
      <c r="Y271" s="201" t="n"/>
      <c r="Z271" s="201" t="n"/>
      <c r="AA271" s="201" t="n"/>
      <c r="AB271" s="201" t="n"/>
      <c r="AC271" s="201" t="n"/>
      <c r="AD271" s="201" t="n"/>
      <c r="AE271" s="201" t="n"/>
      <c r="AF271" s="201" t="n"/>
      <c r="AG271" s="201" t="n"/>
    </row>
    <row r="272" ht="12.75" customHeight="1" s="202">
      <c r="A272" s="201" t="n"/>
      <c r="B272" s="201" t="n"/>
      <c r="C272" s="201" t="n"/>
      <c r="D272" s="201" t="n"/>
      <c r="E272" s="201" t="n"/>
      <c r="F272" s="201" t="n"/>
      <c r="G272" s="201" t="n"/>
      <c r="H272" s="201" t="n"/>
      <c r="I272" s="201" t="n"/>
      <c r="J272" s="201" t="n"/>
      <c r="K272" s="201" t="n"/>
      <c r="L272" s="201" t="n"/>
      <c r="M272" s="201" t="n"/>
      <c r="N272" s="201" t="n"/>
      <c r="O272" s="201" t="n"/>
      <c r="P272" s="201" t="n"/>
      <c r="Q272" s="201" t="n"/>
      <c r="R272" s="201" t="n"/>
      <c r="S272" s="201" t="n"/>
      <c r="T272" s="201" t="n"/>
      <c r="U272" s="201" t="n"/>
      <c r="V272" s="201" t="n"/>
      <c r="W272" s="201" t="n"/>
      <c r="X272" s="201" t="n"/>
      <c r="Y272" s="201" t="n"/>
      <c r="Z272" s="201" t="n"/>
      <c r="AA272" s="201" t="n"/>
      <c r="AB272" s="201" t="n"/>
      <c r="AC272" s="201" t="n"/>
      <c r="AD272" s="201" t="n"/>
      <c r="AE272" s="201" t="n"/>
      <c r="AF272" s="201" t="n"/>
      <c r="AG272" s="201" t="n"/>
    </row>
    <row r="273" ht="12.75" customHeight="1" s="202">
      <c r="A273" s="201" t="n"/>
      <c r="B273" s="201" t="n"/>
      <c r="C273" s="201" t="n"/>
      <c r="D273" s="201" t="n"/>
      <c r="E273" s="201" t="n"/>
      <c r="F273" s="201" t="n"/>
      <c r="G273" s="201" t="n"/>
      <c r="H273" s="201" t="n"/>
      <c r="I273" s="201" t="n"/>
      <c r="J273" s="201" t="n"/>
      <c r="K273" s="201" t="n"/>
      <c r="L273" s="201" t="n"/>
      <c r="M273" s="201" t="n"/>
      <c r="N273" s="201" t="n"/>
      <c r="O273" s="201" t="n"/>
      <c r="P273" s="201" t="n"/>
      <c r="Q273" s="201" t="n"/>
      <c r="R273" s="201" t="n"/>
      <c r="S273" s="201" t="n"/>
      <c r="T273" s="201" t="n"/>
      <c r="U273" s="201" t="n"/>
      <c r="V273" s="201" t="n"/>
      <c r="W273" s="201" t="n"/>
      <c r="X273" s="201" t="n"/>
      <c r="Y273" s="201" t="n"/>
      <c r="Z273" s="201" t="n"/>
      <c r="AA273" s="201" t="n"/>
      <c r="AB273" s="201" t="n"/>
      <c r="AC273" s="201" t="n"/>
      <c r="AD273" s="201" t="n"/>
      <c r="AE273" s="201" t="n"/>
      <c r="AF273" s="201" t="n"/>
      <c r="AG273" s="201" t="n"/>
    </row>
    <row r="274" ht="12.75" customHeight="1" s="202">
      <c r="A274" s="201" t="n"/>
      <c r="B274" s="201" t="n"/>
      <c r="C274" s="201" t="n"/>
      <c r="D274" s="201" t="n"/>
      <c r="E274" s="201" t="n"/>
      <c r="F274" s="201" t="n"/>
      <c r="G274" s="201" t="n"/>
      <c r="H274" s="201" t="n"/>
      <c r="I274" s="201" t="n"/>
      <c r="J274" s="201" t="n"/>
      <c r="K274" s="201" t="n"/>
      <c r="L274" s="201" t="n"/>
      <c r="M274" s="201" t="n"/>
      <c r="N274" s="201" t="n"/>
      <c r="O274" s="201" t="n"/>
      <c r="P274" s="201" t="n"/>
      <c r="Q274" s="201" t="n"/>
      <c r="R274" s="201" t="n"/>
      <c r="S274" s="201" t="n"/>
      <c r="T274" s="201" t="n"/>
      <c r="U274" s="201" t="n"/>
      <c r="V274" s="201" t="n"/>
      <c r="W274" s="201" t="n"/>
      <c r="X274" s="201" t="n"/>
      <c r="Y274" s="201" t="n"/>
      <c r="Z274" s="201" t="n"/>
      <c r="AA274" s="201" t="n"/>
      <c r="AB274" s="201" t="n"/>
      <c r="AC274" s="201" t="n"/>
      <c r="AD274" s="201" t="n"/>
      <c r="AE274" s="201" t="n"/>
      <c r="AF274" s="201" t="n"/>
      <c r="AG274" s="201" t="n"/>
    </row>
    <row r="275" ht="12.75" customHeight="1" s="202">
      <c r="A275" s="201" t="n"/>
      <c r="B275" s="201" t="n"/>
      <c r="C275" s="201" t="n"/>
      <c r="D275" s="201" t="n"/>
      <c r="E275" s="201" t="n"/>
      <c r="F275" s="201" t="n"/>
      <c r="G275" s="201" t="n"/>
      <c r="H275" s="201" t="n"/>
      <c r="I275" s="201" t="n"/>
      <c r="J275" s="201" t="n"/>
      <c r="K275" s="201" t="n"/>
      <c r="L275" s="201" t="n"/>
      <c r="M275" s="201" t="n"/>
      <c r="N275" s="201" t="n"/>
      <c r="O275" s="201" t="n"/>
      <c r="P275" s="201" t="n"/>
      <c r="Q275" s="201" t="n"/>
      <c r="R275" s="201" t="n"/>
      <c r="S275" s="201" t="n"/>
      <c r="T275" s="201" t="n"/>
      <c r="U275" s="201" t="n"/>
      <c r="V275" s="201" t="n"/>
      <c r="W275" s="201" t="n"/>
      <c r="X275" s="201" t="n"/>
      <c r="Y275" s="201" t="n"/>
      <c r="Z275" s="201" t="n"/>
      <c r="AA275" s="201" t="n"/>
      <c r="AB275" s="201" t="n"/>
      <c r="AC275" s="201" t="n"/>
      <c r="AD275" s="201" t="n"/>
      <c r="AE275" s="201" t="n"/>
      <c r="AF275" s="201" t="n"/>
      <c r="AG275" s="201" t="n"/>
    </row>
    <row r="276" ht="12.75" customHeight="1" s="202">
      <c r="A276" s="201" t="n"/>
      <c r="B276" s="201" t="n"/>
      <c r="C276" s="201" t="n"/>
      <c r="D276" s="201" t="n"/>
      <c r="E276" s="201" t="n"/>
      <c r="F276" s="201" t="n"/>
      <c r="G276" s="201" t="n"/>
      <c r="H276" s="201" t="n"/>
      <c r="I276" s="201" t="n"/>
      <c r="J276" s="201" t="n"/>
      <c r="K276" s="201" t="n"/>
      <c r="L276" s="201" t="n"/>
      <c r="M276" s="201" t="n"/>
      <c r="N276" s="201" t="n"/>
      <c r="O276" s="201" t="n"/>
      <c r="P276" s="201" t="n"/>
      <c r="Q276" s="201" t="n"/>
      <c r="R276" s="201" t="n"/>
      <c r="S276" s="201" t="n"/>
      <c r="T276" s="201" t="n"/>
      <c r="U276" s="201" t="n"/>
      <c r="V276" s="201" t="n"/>
      <c r="W276" s="201" t="n"/>
      <c r="X276" s="201" t="n"/>
      <c r="Y276" s="201" t="n"/>
      <c r="Z276" s="201" t="n"/>
      <c r="AA276" s="201" t="n"/>
      <c r="AB276" s="201" t="n"/>
      <c r="AC276" s="201" t="n"/>
      <c r="AD276" s="201" t="n"/>
      <c r="AE276" s="201" t="n"/>
      <c r="AF276" s="201" t="n"/>
      <c r="AG276" s="201" t="n"/>
    </row>
    <row r="277" ht="12.75" customHeight="1" s="202">
      <c r="A277" s="201" t="n"/>
      <c r="B277" s="201" t="n"/>
      <c r="C277" s="201" t="n"/>
      <c r="D277" s="201" t="n"/>
      <c r="E277" s="201" t="n"/>
      <c r="F277" s="201" t="n"/>
      <c r="G277" s="201" t="n"/>
      <c r="H277" s="201" t="n"/>
      <c r="I277" s="201" t="n"/>
      <c r="J277" s="201" t="n"/>
      <c r="K277" s="201" t="n"/>
      <c r="L277" s="201" t="n"/>
      <c r="M277" s="201" t="n"/>
      <c r="N277" s="201" t="n"/>
      <c r="O277" s="201" t="n"/>
      <c r="P277" s="201" t="n"/>
      <c r="Q277" s="201" t="n"/>
      <c r="R277" s="201" t="n"/>
      <c r="S277" s="201" t="n"/>
      <c r="T277" s="201" t="n"/>
      <c r="U277" s="201" t="n"/>
      <c r="V277" s="201" t="n"/>
      <c r="W277" s="201" t="n"/>
      <c r="X277" s="201" t="n"/>
      <c r="Y277" s="201" t="n"/>
      <c r="Z277" s="201" t="n"/>
      <c r="AA277" s="201" t="n"/>
      <c r="AB277" s="201" t="n"/>
      <c r="AC277" s="201" t="n"/>
      <c r="AD277" s="201" t="n"/>
      <c r="AE277" s="201" t="n"/>
      <c r="AF277" s="201" t="n"/>
      <c r="AG277" s="201" t="n"/>
    </row>
    <row r="278" ht="12.75" customHeight="1" s="202">
      <c r="A278" s="201" t="n"/>
      <c r="B278" s="201" t="n"/>
      <c r="C278" s="201" t="n"/>
      <c r="D278" s="201" t="n"/>
      <c r="E278" s="201" t="n"/>
      <c r="F278" s="201" t="n"/>
      <c r="G278" s="201" t="n"/>
      <c r="H278" s="201" t="n"/>
      <c r="I278" s="201" t="n"/>
      <c r="J278" s="201" t="n"/>
      <c r="K278" s="201" t="n"/>
      <c r="L278" s="201" t="n"/>
      <c r="M278" s="201" t="n"/>
      <c r="N278" s="201" t="n"/>
      <c r="O278" s="201" t="n"/>
      <c r="P278" s="201" t="n"/>
      <c r="Q278" s="201" t="n"/>
      <c r="R278" s="201" t="n"/>
      <c r="S278" s="201" t="n"/>
      <c r="T278" s="201" t="n"/>
      <c r="U278" s="201" t="n"/>
      <c r="V278" s="201" t="n"/>
      <c r="W278" s="201" t="n"/>
      <c r="X278" s="201" t="n"/>
      <c r="Y278" s="201" t="n"/>
      <c r="Z278" s="201" t="n"/>
      <c r="AA278" s="201" t="n"/>
      <c r="AB278" s="201" t="n"/>
      <c r="AC278" s="201" t="n"/>
      <c r="AD278" s="201" t="n"/>
      <c r="AE278" s="201" t="n"/>
      <c r="AF278" s="201" t="n"/>
      <c r="AG278" s="201" t="n"/>
    </row>
    <row r="279" ht="12.75" customHeight="1" s="202">
      <c r="A279" s="201" t="n"/>
      <c r="B279" s="201" t="n"/>
      <c r="C279" s="201" t="n"/>
      <c r="D279" s="201" t="n"/>
      <c r="E279" s="201" t="n"/>
      <c r="F279" s="201" t="n"/>
      <c r="G279" s="201" t="n"/>
      <c r="H279" s="201" t="n"/>
      <c r="I279" s="201" t="n"/>
      <c r="J279" s="201" t="n"/>
      <c r="K279" s="201" t="n"/>
      <c r="L279" s="201" t="n"/>
      <c r="M279" s="201" t="n"/>
      <c r="N279" s="201" t="n"/>
      <c r="O279" s="201" t="n"/>
      <c r="P279" s="201" t="n"/>
      <c r="Q279" s="201" t="n"/>
      <c r="R279" s="201" t="n"/>
      <c r="S279" s="201" t="n"/>
      <c r="T279" s="201" t="n"/>
      <c r="U279" s="201" t="n"/>
      <c r="V279" s="201" t="n"/>
      <c r="W279" s="201" t="n"/>
      <c r="X279" s="201" t="n"/>
      <c r="Y279" s="201" t="n"/>
      <c r="Z279" s="201" t="n"/>
      <c r="AA279" s="201" t="n"/>
      <c r="AB279" s="201" t="n"/>
      <c r="AC279" s="201" t="n"/>
      <c r="AD279" s="201" t="n"/>
      <c r="AE279" s="201" t="n"/>
      <c r="AF279" s="201" t="n"/>
      <c r="AG279" s="201" t="n"/>
    </row>
    <row r="280" ht="12.75" customHeight="1" s="202">
      <c r="A280" s="201" t="n"/>
      <c r="B280" s="201" t="n"/>
      <c r="C280" s="201" t="n"/>
      <c r="D280" s="201" t="n"/>
      <c r="E280" s="201" t="n"/>
      <c r="F280" s="201" t="n"/>
      <c r="G280" s="201" t="n"/>
      <c r="H280" s="201" t="n"/>
      <c r="I280" s="201" t="n"/>
      <c r="J280" s="201" t="n"/>
      <c r="K280" s="201" t="n"/>
      <c r="L280" s="201" t="n"/>
      <c r="M280" s="201" t="n"/>
      <c r="N280" s="201" t="n"/>
      <c r="O280" s="201" t="n"/>
      <c r="P280" s="201" t="n"/>
      <c r="Q280" s="201" t="n"/>
      <c r="R280" s="201" t="n"/>
      <c r="S280" s="201" t="n"/>
      <c r="T280" s="201" t="n"/>
      <c r="U280" s="201" t="n"/>
      <c r="V280" s="201" t="n"/>
      <c r="W280" s="201" t="n"/>
      <c r="X280" s="201" t="n"/>
      <c r="Y280" s="201" t="n"/>
      <c r="Z280" s="201" t="n"/>
      <c r="AA280" s="201" t="n"/>
      <c r="AB280" s="201" t="n"/>
      <c r="AC280" s="201" t="n"/>
      <c r="AD280" s="201" t="n"/>
      <c r="AE280" s="201" t="n"/>
      <c r="AF280" s="201" t="n"/>
      <c r="AG280" s="201" t="n"/>
    </row>
    <row r="281" ht="12.75" customHeight="1" s="202">
      <c r="A281" s="201" t="n"/>
      <c r="B281" s="201" t="n"/>
      <c r="C281" s="201" t="n"/>
      <c r="D281" s="201" t="n"/>
      <c r="E281" s="201" t="n"/>
      <c r="F281" s="201" t="n"/>
      <c r="G281" s="201" t="n"/>
      <c r="H281" s="201" t="n"/>
      <c r="I281" s="201" t="n"/>
      <c r="J281" s="201" t="n"/>
      <c r="K281" s="201" t="n"/>
      <c r="L281" s="201" t="n"/>
      <c r="M281" s="201" t="n"/>
      <c r="N281" s="201" t="n"/>
      <c r="O281" s="201" t="n"/>
      <c r="P281" s="201" t="n"/>
      <c r="Q281" s="201" t="n"/>
      <c r="R281" s="201" t="n"/>
      <c r="S281" s="201" t="n"/>
      <c r="T281" s="201" t="n"/>
      <c r="U281" s="201" t="n"/>
      <c r="V281" s="201" t="n"/>
      <c r="W281" s="201" t="n"/>
      <c r="X281" s="201" t="n"/>
      <c r="Y281" s="201" t="n"/>
      <c r="Z281" s="201" t="n"/>
      <c r="AA281" s="201" t="n"/>
      <c r="AB281" s="201" t="n"/>
      <c r="AC281" s="201" t="n"/>
      <c r="AD281" s="201" t="n"/>
      <c r="AE281" s="201" t="n"/>
      <c r="AF281" s="201" t="n"/>
      <c r="AG281" s="201" t="n"/>
    </row>
    <row r="282" ht="12.75" customHeight="1" s="202">
      <c r="A282" s="201" t="n"/>
      <c r="B282" s="201" t="n"/>
      <c r="C282" s="201" t="n"/>
      <c r="D282" s="201" t="n"/>
      <c r="E282" s="201" t="n"/>
      <c r="F282" s="201" t="n"/>
      <c r="G282" s="201" t="n"/>
      <c r="H282" s="201" t="n"/>
      <c r="I282" s="201" t="n"/>
      <c r="J282" s="201" t="n"/>
      <c r="K282" s="201" t="n"/>
      <c r="L282" s="201" t="n"/>
      <c r="M282" s="201" t="n"/>
      <c r="N282" s="201" t="n"/>
      <c r="O282" s="201" t="n"/>
      <c r="P282" s="201" t="n"/>
      <c r="Q282" s="201" t="n"/>
      <c r="R282" s="201" t="n"/>
      <c r="S282" s="201" t="n"/>
      <c r="T282" s="201" t="n"/>
      <c r="U282" s="201" t="n"/>
      <c r="V282" s="201" t="n"/>
      <c r="W282" s="201" t="n"/>
      <c r="X282" s="201" t="n"/>
      <c r="Y282" s="201" t="n"/>
      <c r="Z282" s="201" t="n"/>
      <c r="AA282" s="201" t="n"/>
      <c r="AB282" s="201" t="n"/>
      <c r="AC282" s="201" t="n"/>
      <c r="AD282" s="201" t="n"/>
      <c r="AE282" s="201" t="n"/>
      <c r="AF282" s="201" t="n"/>
      <c r="AG282" s="201" t="n"/>
    </row>
    <row r="283" ht="12.75" customHeight="1" s="202">
      <c r="A283" s="201" t="n"/>
      <c r="B283" s="201" t="n"/>
      <c r="C283" s="201" t="n"/>
      <c r="D283" s="201" t="n"/>
      <c r="E283" s="201" t="n"/>
      <c r="F283" s="201" t="n"/>
      <c r="G283" s="201" t="n"/>
      <c r="H283" s="201" t="n"/>
      <c r="I283" s="201" t="n"/>
      <c r="J283" s="201" t="n"/>
      <c r="K283" s="201" t="n"/>
      <c r="L283" s="201" t="n"/>
      <c r="M283" s="201" t="n"/>
      <c r="N283" s="201" t="n"/>
      <c r="O283" s="201" t="n"/>
      <c r="P283" s="201" t="n"/>
      <c r="Q283" s="201" t="n"/>
      <c r="R283" s="201" t="n"/>
      <c r="S283" s="201" t="n"/>
      <c r="T283" s="201" t="n"/>
      <c r="U283" s="201" t="n"/>
      <c r="V283" s="201" t="n"/>
      <c r="W283" s="201" t="n"/>
      <c r="X283" s="201" t="n"/>
      <c r="Y283" s="201" t="n"/>
      <c r="Z283" s="201" t="n"/>
      <c r="AA283" s="201" t="n"/>
      <c r="AB283" s="201" t="n"/>
      <c r="AC283" s="201" t="n"/>
      <c r="AD283" s="201" t="n"/>
      <c r="AE283" s="201" t="n"/>
      <c r="AF283" s="201" t="n"/>
      <c r="AG283" s="201" t="n"/>
    </row>
    <row r="284" ht="12.75" customHeight="1" s="202">
      <c r="A284" s="201" t="n"/>
      <c r="B284" s="201" t="n"/>
      <c r="C284" s="201" t="n"/>
      <c r="D284" s="201" t="n"/>
      <c r="E284" s="201" t="n"/>
      <c r="F284" s="201" t="n"/>
      <c r="G284" s="201" t="n"/>
      <c r="H284" s="201" t="n"/>
      <c r="I284" s="201" t="n"/>
      <c r="J284" s="201" t="n"/>
      <c r="K284" s="201" t="n"/>
      <c r="L284" s="201" t="n"/>
      <c r="M284" s="201" t="n"/>
      <c r="N284" s="201" t="n"/>
      <c r="O284" s="201" t="n"/>
      <c r="P284" s="201" t="n"/>
      <c r="Q284" s="201" t="n"/>
      <c r="R284" s="201" t="n"/>
      <c r="S284" s="201" t="n"/>
      <c r="T284" s="201" t="n"/>
      <c r="U284" s="201" t="n"/>
      <c r="V284" s="201" t="n"/>
      <c r="W284" s="201" t="n"/>
      <c r="X284" s="201" t="n"/>
      <c r="Y284" s="201" t="n"/>
      <c r="Z284" s="201" t="n"/>
      <c r="AA284" s="201" t="n"/>
      <c r="AB284" s="201" t="n"/>
      <c r="AC284" s="201" t="n"/>
      <c r="AD284" s="201" t="n"/>
      <c r="AE284" s="201" t="n"/>
      <c r="AF284" s="201" t="n"/>
      <c r="AG284" s="201" t="n"/>
    </row>
    <row r="285" ht="12.75" customHeight="1" s="202">
      <c r="A285" s="201" t="n"/>
      <c r="B285" s="201" t="n"/>
      <c r="C285" s="201" t="n"/>
      <c r="D285" s="201" t="n"/>
      <c r="E285" s="201" t="n"/>
      <c r="F285" s="201" t="n"/>
      <c r="G285" s="201" t="n"/>
      <c r="H285" s="201" t="n"/>
      <c r="I285" s="201" t="n"/>
      <c r="J285" s="201" t="n"/>
      <c r="K285" s="201" t="n"/>
      <c r="L285" s="201" t="n"/>
      <c r="M285" s="201" t="n"/>
      <c r="N285" s="201" t="n"/>
      <c r="O285" s="201" t="n"/>
      <c r="P285" s="201" t="n"/>
      <c r="Q285" s="201" t="n"/>
      <c r="R285" s="201" t="n"/>
      <c r="S285" s="201" t="n"/>
      <c r="T285" s="201" t="n"/>
      <c r="U285" s="201" t="n"/>
      <c r="V285" s="201" t="n"/>
      <c r="W285" s="201" t="n"/>
      <c r="X285" s="201" t="n"/>
      <c r="Y285" s="201" t="n"/>
      <c r="Z285" s="201" t="n"/>
      <c r="AA285" s="201" t="n"/>
      <c r="AB285" s="201" t="n"/>
      <c r="AC285" s="201" t="n"/>
      <c r="AD285" s="201" t="n"/>
      <c r="AE285" s="201" t="n"/>
      <c r="AF285" s="201" t="n"/>
      <c r="AG285" s="201" t="n"/>
    </row>
    <row r="286" ht="12.75" customHeight="1" s="202">
      <c r="A286" s="201" t="n"/>
      <c r="B286" s="201" t="n"/>
      <c r="C286" s="201" t="n"/>
      <c r="D286" s="201" t="n"/>
      <c r="E286" s="201" t="n"/>
      <c r="F286" s="201" t="n"/>
      <c r="G286" s="201" t="n"/>
      <c r="H286" s="201" t="n"/>
      <c r="I286" s="201" t="n"/>
      <c r="J286" s="201" t="n"/>
      <c r="K286" s="201" t="n"/>
      <c r="L286" s="201" t="n"/>
      <c r="M286" s="201" t="n"/>
      <c r="N286" s="201" t="n"/>
      <c r="O286" s="201" t="n"/>
      <c r="P286" s="201" t="n"/>
      <c r="Q286" s="201" t="n"/>
      <c r="R286" s="201" t="n"/>
      <c r="S286" s="201" t="n"/>
      <c r="T286" s="201" t="n"/>
      <c r="U286" s="201" t="n"/>
      <c r="V286" s="201" t="n"/>
      <c r="W286" s="201" t="n"/>
      <c r="X286" s="201" t="n"/>
      <c r="Y286" s="201" t="n"/>
      <c r="Z286" s="201" t="n"/>
      <c r="AA286" s="201" t="n"/>
      <c r="AB286" s="201" t="n"/>
      <c r="AC286" s="201" t="n"/>
      <c r="AD286" s="201" t="n"/>
      <c r="AE286" s="201" t="n"/>
      <c r="AF286" s="201" t="n"/>
      <c r="AG286" s="201" t="n"/>
    </row>
    <row r="287" ht="12.75" customHeight="1" s="202">
      <c r="A287" s="201" t="n"/>
      <c r="B287" s="201" t="n"/>
      <c r="C287" s="201" t="n"/>
      <c r="D287" s="201" t="n"/>
      <c r="E287" s="201" t="n"/>
      <c r="F287" s="201" t="n"/>
      <c r="G287" s="201" t="n"/>
      <c r="H287" s="201" t="n"/>
      <c r="I287" s="201" t="n"/>
      <c r="J287" s="201" t="n"/>
      <c r="K287" s="201" t="n"/>
      <c r="L287" s="201" t="n"/>
      <c r="M287" s="201" t="n"/>
      <c r="N287" s="201" t="n"/>
      <c r="O287" s="201" t="n"/>
      <c r="P287" s="201" t="n"/>
      <c r="Q287" s="201" t="n"/>
      <c r="R287" s="201" t="n"/>
      <c r="S287" s="201" t="n"/>
      <c r="T287" s="201" t="n"/>
      <c r="U287" s="201" t="n"/>
      <c r="V287" s="201" t="n"/>
      <c r="W287" s="201" t="n"/>
      <c r="X287" s="201" t="n"/>
      <c r="Y287" s="201" t="n"/>
      <c r="Z287" s="201" t="n"/>
      <c r="AA287" s="201" t="n"/>
      <c r="AB287" s="201" t="n"/>
      <c r="AC287" s="201" t="n"/>
      <c r="AD287" s="201" t="n"/>
      <c r="AE287" s="201" t="n"/>
      <c r="AF287" s="201" t="n"/>
      <c r="AG287" s="201" t="n"/>
    </row>
    <row r="288" ht="12.75" customHeight="1" s="202">
      <c r="A288" s="201" t="n"/>
      <c r="B288" s="201" t="n"/>
      <c r="C288" s="201" t="n"/>
      <c r="D288" s="201" t="n"/>
      <c r="E288" s="201" t="n"/>
      <c r="F288" s="201" t="n"/>
      <c r="G288" s="201" t="n"/>
      <c r="H288" s="201" t="n"/>
      <c r="I288" s="201" t="n"/>
      <c r="J288" s="201" t="n"/>
      <c r="K288" s="201" t="n"/>
      <c r="L288" s="201" t="n"/>
      <c r="M288" s="201" t="n"/>
      <c r="N288" s="201" t="n"/>
      <c r="O288" s="201" t="n"/>
      <c r="P288" s="201" t="n"/>
      <c r="Q288" s="201" t="n"/>
      <c r="R288" s="201" t="n"/>
      <c r="S288" s="201" t="n"/>
      <c r="T288" s="201" t="n"/>
      <c r="U288" s="201" t="n"/>
      <c r="V288" s="201" t="n"/>
      <c r="W288" s="201" t="n"/>
      <c r="X288" s="201" t="n"/>
      <c r="Y288" s="201" t="n"/>
      <c r="Z288" s="201" t="n"/>
      <c r="AA288" s="201" t="n"/>
      <c r="AB288" s="201" t="n"/>
      <c r="AC288" s="201" t="n"/>
      <c r="AD288" s="201" t="n"/>
      <c r="AE288" s="201" t="n"/>
      <c r="AF288" s="201" t="n"/>
      <c r="AG288" s="201" t="n"/>
    </row>
    <row r="289" ht="12.75" customHeight="1" s="202">
      <c r="A289" s="201" t="n"/>
      <c r="B289" s="201" t="n"/>
      <c r="C289" s="201" t="n"/>
      <c r="D289" s="201" t="n"/>
      <c r="E289" s="201" t="n"/>
      <c r="F289" s="201" t="n"/>
      <c r="G289" s="201" t="n"/>
      <c r="H289" s="201" t="n"/>
      <c r="I289" s="201" t="n"/>
      <c r="J289" s="201" t="n"/>
      <c r="K289" s="201" t="n"/>
      <c r="L289" s="201" t="n"/>
      <c r="M289" s="201" t="n"/>
      <c r="N289" s="201" t="n"/>
      <c r="O289" s="201" t="n"/>
      <c r="P289" s="201" t="n"/>
      <c r="Q289" s="201" t="n"/>
      <c r="R289" s="201" t="n"/>
      <c r="S289" s="201" t="n"/>
      <c r="T289" s="201" t="n"/>
      <c r="U289" s="201" t="n"/>
      <c r="V289" s="201" t="n"/>
      <c r="W289" s="201" t="n"/>
      <c r="X289" s="201" t="n"/>
      <c r="Y289" s="201" t="n"/>
      <c r="Z289" s="201" t="n"/>
      <c r="AA289" s="201" t="n"/>
      <c r="AB289" s="201" t="n"/>
      <c r="AC289" s="201" t="n"/>
      <c r="AD289" s="201" t="n"/>
      <c r="AE289" s="201" t="n"/>
      <c r="AF289" s="201" t="n"/>
      <c r="AG289" s="201" t="n"/>
    </row>
    <row r="290" ht="12.75" customHeight="1" s="202">
      <c r="A290" s="201" t="n"/>
      <c r="B290" s="201" t="n"/>
      <c r="C290" s="201" t="n"/>
      <c r="D290" s="201" t="n"/>
      <c r="E290" s="201" t="n"/>
      <c r="F290" s="201" t="n"/>
      <c r="G290" s="201" t="n"/>
      <c r="H290" s="201" t="n"/>
      <c r="I290" s="201" t="n"/>
      <c r="J290" s="201" t="n"/>
      <c r="K290" s="201" t="n"/>
      <c r="L290" s="201" t="n"/>
      <c r="M290" s="201" t="n"/>
      <c r="N290" s="201" t="n"/>
      <c r="O290" s="201" t="n"/>
      <c r="P290" s="201" t="n"/>
      <c r="Q290" s="201" t="n"/>
      <c r="R290" s="201" t="n"/>
      <c r="S290" s="201" t="n"/>
      <c r="T290" s="201" t="n"/>
      <c r="U290" s="201" t="n"/>
      <c r="V290" s="201" t="n"/>
      <c r="W290" s="201" t="n"/>
      <c r="X290" s="201" t="n"/>
      <c r="Y290" s="201" t="n"/>
      <c r="Z290" s="201" t="n"/>
      <c r="AA290" s="201" t="n"/>
      <c r="AB290" s="201" t="n"/>
      <c r="AC290" s="201" t="n"/>
      <c r="AD290" s="201" t="n"/>
      <c r="AE290" s="201" t="n"/>
      <c r="AF290" s="201" t="n"/>
      <c r="AG290" s="201" t="n"/>
    </row>
    <row r="291" ht="12.75" customHeight="1" s="202">
      <c r="A291" s="201" t="n"/>
      <c r="B291" s="201" t="n"/>
      <c r="C291" s="201" t="n"/>
      <c r="D291" s="201" t="n"/>
      <c r="E291" s="201" t="n"/>
      <c r="F291" s="201" t="n"/>
      <c r="G291" s="201" t="n"/>
      <c r="H291" s="201" t="n"/>
      <c r="I291" s="201" t="n"/>
      <c r="J291" s="201" t="n"/>
      <c r="K291" s="201" t="n"/>
      <c r="L291" s="201" t="n"/>
      <c r="M291" s="201" t="n"/>
      <c r="N291" s="201" t="n"/>
      <c r="O291" s="201" t="n"/>
      <c r="P291" s="201" t="n"/>
      <c r="Q291" s="201" t="n"/>
      <c r="R291" s="201" t="n"/>
      <c r="S291" s="201" t="n"/>
      <c r="T291" s="201" t="n"/>
      <c r="U291" s="201" t="n"/>
      <c r="V291" s="201" t="n"/>
      <c r="W291" s="201" t="n"/>
      <c r="X291" s="201" t="n"/>
      <c r="Y291" s="201" t="n"/>
      <c r="Z291" s="201" t="n"/>
      <c r="AA291" s="201" t="n"/>
      <c r="AB291" s="201" t="n"/>
      <c r="AC291" s="201" t="n"/>
      <c r="AD291" s="201" t="n"/>
      <c r="AE291" s="201" t="n"/>
      <c r="AF291" s="201" t="n"/>
      <c r="AG291" s="201" t="n"/>
    </row>
    <row r="292" ht="12.75" customHeight="1" s="202">
      <c r="A292" s="201" t="n"/>
      <c r="B292" s="201" t="n"/>
      <c r="C292" s="201" t="n"/>
      <c r="D292" s="201" t="n"/>
      <c r="E292" s="201" t="n"/>
      <c r="F292" s="201" t="n"/>
      <c r="G292" s="201" t="n"/>
      <c r="H292" s="201" t="n"/>
      <c r="I292" s="201" t="n"/>
      <c r="J292" s="201" t="n"/>
      <c r="K292" s="201" t="n"/>
      <c r="L292" s="201" t="n"/>
      <c r="M292" s="201" t="n"/>
      <c r="N292" s="201" t="n"/>
      <c r="O292" s="201" t="n"/>
      <c r="P292" s="201" t="n"/>
      <c r="Q292" s="201" t="n"/>
      <c r="R292" s="201" t="n"/>
      <c r="S292" s="201" t="n"/>
      <c r="T292" s="201" t="n"/>
      <c r="U292" s="201" t="n"/>
      <c r="V292" s="201" t="n"/>
      <c r="W292" s="201" t="n"/>
      <c r="X292" s="201" t="n"/>
      <c r="Y292" s="201" t="n"/>
      <c r="Z292" s="201" t="n"/>
      <c r="AA292" s="201" t="n"/>
      <c r="AB292" s="201" t="n"/>
      <c r="AC292" s="201" t="n"/>
      <c r="AD292" s="201" t="n"/>
      <c r="AE292" s="201" t="n"/>
      <c r="AF292" s="201" t="n"/>
      <c r="AG292" s="201" t="n"/>
    </row>
    <row r="293" ht="12.75" customHeight="1" s="202">
      <c r="A293" s="201" t="n"/>
      <c r="B293" s="201" t="n"/>
      <c r="C293" s="201" t="n"/>
      <c r="D293" s="201" t="n"/>
      <c r="E293" s="201" t="n"/>
      <c r="F293" s="201" t="n"/>
      <c r="G293" s="201" t="n"/>
      <c r="H293" s="201" t="n"/>
      <c r="I293" s="201" t="n"/>
      <c r="J293" s="201" t="n"/>
      <c r="K293" s="201" t="n"/>
      <c r="L293" s="201" t="n"/>
      <c r="M293" s="201" t="n"/>
      <c r="N293" s="201" t="n"/>
      <c r="O293" s="201" t="n"/>
      <c r="P293" s="201" t="n"/>
      <c r="Q293" s="201" t="n"/>
      <c r="R293" s="201" t="n"/>
      <c r="S293" s="201" t="n"/>
      <c r="T293" s="201" t="n"/>
      <c r="U293" s="201" t="n"/>
      <c r="V293" s="201" t="n"/>
      <c r="W293" s="201" t="n"/>
      <c r="X293" s="201" t="n"/>
      <c r="Y293" s="201" t="n"/>
      <c r="Z293" s="201" t="n"/>
      <c r="AA293" s="201" t="n"/>
      <c r="AB293" s="201" t="n"/>
      <c r="AC293" s="201" t="n"/>
      <c r="AD293" s="201" t="n"/>
      <c r="AE293" s="201" t="n"/>
      <c r="AF293" s="201" t="n"/>
      <c r="AG293" s="201" t="n"/>
    </row>
    <row r="294" ht="12.75" customHeight="1" s="202">
      <c r="A294" s="201" t="n"/>
      <c r="B294" s="201" t="n"/>
      <c r="C294" s="201" t="n"/>
      <c r="D294" s="201" t="n"/>
      <c r="E294" s="201" t="n"/>
      <c r="F294" s="201" t="n"/>
      <c r="G294" s="201" t="n"/>
      <c r="H294" s="201" t="n"/>
      <c r="I294" s="201" t="n"/>
      <c r="J294" s="201" t="n"/>
      <c r="K294" s="201" t="n"/>
      <c r="L294" s="201" t="n"/>
      <c r="M294" s="201" t="n"/>
      <c r="N294" s="201" t="n"/>
      <c r="O294" s="201" t="n"/>
      <c r="P294" s="201" t="n"/>
      <c r="Q294" s="201" t="n"/>
      <c r="R294" s="201" t="n"/>
      <c r="S294" s="201" t="n"/>
      <c r="T294" s="201" t="n"/>
      <c r="U294" s="201" t="n"/>
      <c r="V294" s="201" t="n"/>
      <c r="W294" s="201" t="n"/>
      <c r="X294" s="201" t="n"/>
      <c r="Y294" s="201" t="n"/>
      <c r="Z294" s="201" t="n"/>
      <c r="AA294" s="201" t="n"/>
      <c r="AB294" s="201" t="n"/>
      <c r="AC294" s="201" t="n"/>
      <c r="AD294" s="201" t="n"/>
      <c r="AE294" s="201" t="n"/>
      <c r="AF294" s="201" t="n"/>
      <c r="AG294" s="201" t="n"/>
    </row>
    <row r="295" ht="12.75" customHeight="1" s="202">
      <c r="A295" s="201" t="n"/>
      <c r="B295" s="201" t="n"/>
      <c r="C295" s="201" t="n"/>
      <c r="D295" s="201" t="n"/>
      <c r="E295" s="201" t="n"/>
      <c r="F295" s="201" t="n"/>
      <c r="G295" s="201" t="n"/>
      <c r="H295" s="201" t="n"/>
      <c r="I295" s="201" t="n"/>
      <c r="J295" s="201" t="n"/>
      <c r="K295" s="201" t="n"/>
      <c r="L295" s="201" t="n"/>
      <c r="M295" s="201" t="n"/>
      <c r="N295" s="201" t="n"/>
      <c r="O295" s="201" t="n"/>
      <c r="P295" s="201" t="n"/>
      <c r="Q295" s="201" t="n"/>
      <c r="R295" s="201" t="n"/>
      <c r="S295" s="201" t="n"/>
      <c r="T295" s="201" t="n"/>
      <c r="U295" s="201" t="n"/>
      <c r="V295" s="201" t="n"/>
      <c r="W295" s="201" t="n"/>
      <c r="X295" s="201" t="n"/>
      <c r="Y295" s="201" t="n"/>
      <c r="Z295" s="201" t="n"/>
      <c r="AA295" s="201" t="n"/>
      <c r="AB295" s="201" t="n"/>
      <c r="AC295" s="201" t="n"/>
      <c r="AD295" s="201" t="n"/>
      <c r="AE295" s="201" t="n"/>
      <c r="AF295" s="201" t="n"/>
      <c r="AG295" s="201" t="n"/>
    </row>
    <row r="296" ht="12.75" customHeight="1" s="202">
      <c r="A296" s="201" t="n"/>
      <c r="B296" s="201" t="n"/>
      <c r="C296" s="201" t="n"/>
      <c r="D296" s="201" t="n"/>
      <c r="E296" s="201" t="n"/>
      <c r="F296" s="201" t="n"/>
      <c r="G296" s="201" t="n"/>
      <c r="H296" s="201" t="n"/>
      <c r="I296" s="201" t="n"/>
      <c r="J296" s="201" t="n"/>
      <c r="K296" s="201" t="n"/>
      <c r="L296" s="201" t="n"/>
      <c r="M296" s="201" t="n"/>
      <c r="N296" s="201" t="n"/>
      <c r="O296" s="201" t="n"/>
      <c r="P296" s="201" t="n"/>
      <c r="Q296" s="201" t="n"/>
      <c r="R296" s="201" t="n"/>
      <c r="S296" s="201" t="n"/>
      <c r="T296" s="201" t="n"/>
      <c r="U296" s="201" t="n"/>
      <c r="V296" s="201" t="n"/>
      <c r="W296" s="201" t="n"/>
      <c r="X296" s="201" t="n"/>
      <c r="Y296" s="201" t="n"/>
      <c r="Z296" s="201" t="n"/>
      <c r="AA296" s="201" t="n"/>
      <c r="AB296" s="201" t="n"/>
      <c r="AC296" s="201" t="n"/>
      <c r="AD296" s="201" t="n"/>
      <c r="AE296" s="201" t="n"/>
      <c r="AF296" s="201" t="n"/>
      <c r="AG296" s="201" t="n"/>
    </row>
    <row r="297" ht="12.75" customHeight="1" s="202">
      <c r="A297" s="201" t="n"/>
      <c r="B297" s="201" t="n"/>
      <c r="C297" s="201" t="n"/>
      <c r="D297" s="201" t="n"/>
      <c r="E297" s="201" t="n"/>
      <c r="F297" s="201" t="n"/>
      <c r="G297" s="201" t="n"/>
      <c r="H297" s="201" t="n"/>
      <c r="I297" s="201" t="n"/>
      <c r="J297" s="201" t="n"/>
      <c r="K297" s="201" t="n"/>
      <c r="L297" s="201" t="n"/>
      <c r="M297" s="201" t="n"/>
      <c r="N297" s="201" t="n"/>
      <c r="O297" s="201" t="n"/>
      <c r="P297" s="201" t="n"/>
      <c r="Q297" s="201" t="n"/>
      <c r="R297" s="201" t="n"/>
      <c r="S297" s="201" t="n"/>
      <c r="T297" s="201" t="n"/>
      <c r="U297" s="201" t="n"/>
      <c r="V297" s="201" t="n"/>
      <c r="W297" s="201" t="n"/>
      <c r="X297" s="201" t="n"/>
      <c r="Y297" s="201" t="n"/>
      <c r="Z297" s="201" t="n"/>
      <c r="AA297" s="201" t="n"/>
      <c r="AB297" s="201" t="n"/>
      <c r="AC297" s="201" t="n"/>
      <c r="AD297" s="201" t="n"/>
      <c r="AE297" s="201" t="n"/>
      <c r="AF297" s="201" t="n"/>
      <c r="AG297" s="201" t="n"/>
    </row>
    <row r="298" ht="12.75" customHeight="1" s="202">
      <c r="A298" s="201" t="n"/>
      <c r="B298" s="201" t="n"/>
      <c r="C298" s="201" t="n"/>
      <c r="D298" s="201" t="n"/>
      <c r="E298" s="201" t="n"/>
      <c r="F298" s="201" t="n"/>
      <c r="G298" s="201" t="n"/>
      <c r="H298" s="201" t="n"/>
      <c r="I298" s="201" t="n"/>
      <c r="J298" s="201" t="n"/>
      <c r="K298" s="201" t="n"/>
      <c r="L298" s="201" t="n"/>
      <c r="M298" s="201" t="n"/>
      <c r="N298" s="201" t="n"/>
      <c r="O298" s="201" t="n"/>
      <c r="P298" s="201" t="n"/>
      <c r="Q298" s="201" t="n"/>
      <c r="R298" s="201" t="n"/>
      <c r="S298" s="201" t="n"/>
      <c r="T298" s="201" t="n"/>
      <c r="U298" s="201" t="n"/>
      <c r="V298" s="201" t="n"/>
      <c r="W298" s="201" t="n"/>
      <c r="X298" s="201" t="n"/>
      <c r="Y298" s="201" t="n"/>
      <c r="Z298" s="201" t="n"/>
      <c r="AA298" s="201" t="n"/>
      <c r="AB298" s="201" t="n"/>
      <c r="AC298" s="201" t="n"/>
      <c r="AD298" s="201" t="n"/>
      <c r="AE298" s="201" t="n"/>
      <c r="AF298" s="201" t="n"/>
      <c r="AG298" s="201" t="n"/>
    </row>
    <row r="299" ht="12.75" customHeight="1" s="202">
      <c r="A299" s="201" t="n"/>
      <c r="B299" s="201" t="n"/>
      <c r="C299" s="201" t="n"/>
      <c r="D299" s="201" t="n"/>
      <c r="E299" s="201" t="n"/>
      <c r="F299" s="201" t="n"/>
      <c r="G299" s="201" t="n"/>
      <c r="H299" s="201" t="n"/>
      <c r="I299" s="201" t="n"/>
      <c r="J299" s="201" t="n"/>
      <c r="K299" s="201" t="n"/>
      <c r="L299" s="201" t="n"/>
      <c r="M299" s="201" t="n"/>
      <c r="N299" s="201" t="n"/>
      <c r="O299" s="201" t="n"/>
      <c r="P299" s="201" t="n"/>
      <c r="Q299" s="201" t="n"/>
      <c r="R299" s="201" t="n"/>
      <c r="S299" s="201" t="n"/>
      <c r="T299" s="201" t="n"/>
      <c r="U299" s="201" t="n"/>
      <c r="V299" s="201" t="n"/>
      <c r="W299" s="201" t="n"/>
      <c r="X299" s="201" t="n"/>
      <c r="Y299" s="201" t="n"/>
      <c r="Z299" s="201" t="n"/>
      <c r="AA299" s="201" t="n"/>
      <c r="AB299" s="201" t="n"/>
      <c r="AC299" s="201" t="n"/>
      <c r="AD299" s="201" t="n"/>
      <c r="AE299" s="201" t="n"/>
      <c r="AF299" s="201" t="n"/>
      <c r="AG299" s="201" t="n"/>
    </row>
    <row r="300" ht="12.75" customHeight="1" s="202">
      <c r="A300" s="201" t="n"/>
      <c r="B300" s="201" t="n"/>
      <c r="C300" s="201" t="n"/>
      <c r="D300" s="201" t="n"/>
      <c r="E300" s="201" t="n"/>
      <c r="F300" s="201" t="n"/>
      <c r="G300" s="201" t="n"/>
      <c r="H300" s="201" t="n"/>
      <c r="I300" s="201" t="n"/>
      <c r="J300" s="201" t="n"/>
      <c r="K300" s="201" t="n"/>
      <c r="L300" s="201" t="n"/>
      <c r="M300" s="201" t="n"/>
      <c r="N300" s="201" t="n"/>
      <c r="O300" s="201" t="n"/>
      <c r="P300" s="201" t="n"/>
      <c r="Q300" s="201" t="n"/>
      <c r="R300" s="201" t="n"/>
      <c r="S300" s="201" t="n"/>
      <c r="T300" s="201" t="n"/>
      <c r="U300" s="201" t="n"/>
      <c r="V300" s="201" t="n"/>
      <c r="W300" s="201" t="n"/>
      <c r="X300" s="201" t="n"/>
      <c r="Y300" s="201" t="n"/>
      <c r="Z300" s="201" t="n"/>
      <c r="AA300" s="201" t="n"/>
      <c r="AB300" s="201" t="n"/>
      <c r="AC300" s="201" t="n"/>
      <c r="AD300" s="201" t="n"/>
      <c r="AE300" s="201" t="n"/>
      <c r="AF300" s="201" t="n"/>
      <c r="AG300" s="201" t="n"/>
    </row>
    <row r="301" ht="12.75" customHeight="1" s="202">
      <c r="A301" s="201" t="n"/>
      <c r="B301" s="201" t="n"/>
      <c r="C301" s="201" t="n"/>
      <c r="D301" s="201" t="n"/>
      <c r="E301" s="201" t="n"/>
      <c r="F301" s="201" t="n"/>
      <c r="G301" s="201" t="n"/>
      <c r="H301" s="201" t="n"/>
      <c r="I301" s="201" t="n"/>
      <c r="J301" s="201" t="n"/>
      <c r="K301" s="201" t="n"/>
      <c r="L301" s="201" t="n"/>
      <c r="M301" s="201" t="n"/>
      <c r="N301" s="201" t="n"/>
      <c r="O301" s="201" t="n"/>
      <c r="P301" s="201" t="n"/>
      <c r="Q301" s="201" t="n"/>
      <c r="R301" s="201" t="n"/>
      <c r="S301" s="201" t="n"/>
      <c r="T301" s="201" t="n"/>
      <c r="U301" s="201" t="n"/>
      <c r="V301" s="201" t="n"/>
      <c r="W301" s="201" t="n"/>
      <c r="X301" s="201" t="n"/>
      <c r="Y301" s="201" t="n"/>
      <c r="Z301" s="201" t="n"/>
      <c r="AA301" s="201" t="n"/>
      <c r="AB301" s="201" t="n"/>
      <c r="AC301" s="201" t="n"/>
      <c r="AD301" s="201" t="n"/>
      <c r="AE301" s="201" t="n"/>
      <c r="AF301" s="201" t="n"/>
      <c r="AG301" s="201" t="n"/>
    </row>
    <row r="302" ht="12.75" customHeight="1" s="202">
      <c r="A302" s="201" t="n"/>
      <c r="B302" s="201" t="n"/>
      <c r="C302" s="201" t="n"/>
      <c r="D302" s="201" t="n"/>
      <c r="E302" s="201" t="n"/>
      <c r="F302" s="201" t="n"/>
      <c r="G302" s="201" t="n"/>
      <c r="H302" s="201" t="n"/>
      <c r="I302" s="201" t="n"/>
      <c r="J302" s="201" t="n"/>
      <c r="K302" s="201" t="n"/>
      <c r="L302" s="201" t="n"/>
      <c r="M302" s="201" t="n"/>
      <c r="N302" s="201" t="n"/>
      <c r="O302" s="201" t="n"/>
      <c r="P302" s="201" t="n"/>
      <c r="Q302" s="201" t="n"/>
      <c r="R302" s="201" t="n"/>
      <c r="S302" s="201" t="n"/>
      <c r="T302" s="201" t="n"/>
      <c r="U302" s="201" t="n"/>
      <c r="V302" s="201" t="n"/>
      <c r="W302" s="201" t="n"/>
      <c r="X302" s="201" t="n"/>
      <c r="Y302" s="201" t="n"/>
      <c r="Z302" s="201" t="n"/>
      <c r="AA302" s="201" t="n"/>
      <c r="AB302" s="201" t="n"/>
      <c r="AC302" s="201" t="n"/>
      <c r="AD302" s="201" t="n"/>
      <c r="AE302" s="201" t="n"/>
      <c r="AF302" s="201" t="n"/>
      <c r="AG302" s="201" t="n"/>
    </row>
    <row r="303" ht="12.75" customHeight="1" s="202">
      <c r="A303" s="201" t="n"/>
      <c r="B303" s="201" t="n"/>
      <c r="C303" s="201" t="n"/>
      <c r="D303" s="201" t="n"/>
      <c r="E303" s="201" t="n"/>
      <c r="F303" s="201" t="n"/>
      <c r="G303" s="201" t="n"/>
      <c r="H303" s="201" t="n"/>
      <c r="I303" s="201" t="n"/>
      <c r="J303" s="201" t="n"/>
      <c r="K303" s="201" t="n"/>
      <c r="L303" s="201" t="n"/>
      <c r="M303" s="201" t="n"/>
      <c r="N303" s="201" t="n"/>
      <c r="O303" s="201" t="n"/>
      <c r="P303" s="201" t="n"/>
      <c r="Q303" s="201" t="n"/>
      <c r="R303" s="201" t="n"/>
      <c r="S303" s="201" t="n"/>
      <c r="T303" s="201" t="n"/>
      <c r="U303" s="201" t="n"/>
      <c r="V303" s="201" t="n"/>
      <c r="W303" s="201" t="n"/>
      <c r="X303" s="201" t="n"/>
      <c r="Y303" s="201" t="n"/>
      <c r="Z303" s="201" t="n"/>
      <c r="AA303" s="201" t="n"/>
      <c r="AB303" s="201" t="n"/>
      <c r="AC303" s="201" t="n"/>
      <c r="AD303" s="201" t="n"/>
      <c r="AE303" s="201" t="n"/>
      <c r="AF303" s="201" t="n"/>
      <c r="AG303" s="201" t="n"/>
    </row>
    <row r="304" ht="12.75" customHeight="1" s="202">
      <c r="A304" s="201" t="n"/>
      <c r="B304" s="201" t="n"/>
      <c r="C304" s="201" t="n"/>
      <c r="D304" s="201" t="n"/>
      <c r="E304" s="201" t="n"/>
      <c r="F304" s="201" t="n"/>
      <c r="G304" s="201" t="n"/>
      <c r="H304" s="201" t="n"/>
      <c r="I304" s="201" t="n"/>
      <c r="J304" s="201" t="n"/>
      <c r="K304" s="201" t="n"/>
      <c r="L304" s="201" t="n"/>
      <c r="M304" s="201" t="n"/>
      <c r="N304" s="201" t="n"/>
      <c r="O304" s="201" t="n"/>
      <c r="P304" s="201" t="n"/>
      <c r="Q304" s="201" t="n"/>
      <c r="R304" s="201" t="n"/>
      <c r="S304" s="201" t="n"/>
      <c r="T304" s="201" t="n"/>
      <c r="U304" s="201" t="n"/>
      <c r="V304" s="201" t="n"/>
      <c r="W304" s="201" t="n"/>
      <c r="X304" s="201" t="n"/>
      <c r="Y304" s="201" t="n"/>
      <c r="Z304" s="201" t="n"/>
      <c r="AA304" s="201" t="n"/>
      <c r="AB304" s="201" t="n"/>
      <c r="AC304" s="201" t="n"/>
      <c r="AD304" s="201" t="n"/>
      <c r="AE304" s="201" t="n"/>
      <c r="AF304" s="201" t="n"/>
      <c r="AG304" s="201" t="n"/>
    </row>
    <row r="305" ht="12.75" customHeight="1" s="202">
      <c r="A305" s="201" t="n"/>
      <c r="B305" s="201" t="n"/>
      <c r="C305" s="201" t="n"/>
      <c r="D305" s="201" t="n"/>
      <c r="E305" s="201" t="n"/>
      <c r="F305" s="201" t="n"/>
      <c r="G305" s="201" t="n"/>
      <c r="H305" s="201" t="n"/>
      <c r="I305" s="201" t="n"/>
      <c r="J305" s="201" t="n"/>
      <c r="K305" s="201" t="n"/>
      <c r="L305" s="201" t="n"/>
      <c r="M305" s="201" t="n"/>
      <c r="N305" s="201" t="n"/>
      <c r="O305" s="201" t="n"/>
      <c r="P305" s="201" t="n"/>
      <c r="Q305" s="201" t="n"/>
      <c r="R305" s="201" t="n"/>
      <c r="S305" s="201" t="n"/>
      <c r="T305" s="201" t="n"/>
      <c r="U305" s="201" t="n"/>
      <c r="V305" s="201" t="n"/>
      <c r="W305" s="201" t="n"/>
      <c r="X305" s="201" t="n"/>
      <c r="Y305" s="201" t="n"/>
      <c r="Z305" s="201" t="n"/>
      <c r="AA305" s="201" t="n"/>
      <c r="AB305" s="201" t="n"/>
      <c r="AC305" s="201" t="n"/>
      <c r="AD305" s="201" t="n"/>
      <c r="AE305" s="201" t="n"/>
      <c r="AF305" s="201" t="n"/>
      <c r="AG305" s="201" t="n"/>
    </row>
    <row r="306" ht="12.75" customHeight="1" s="202">
      <c r="A306" s="201" t="n"/>
      <c r="B306" s="201" t="n"/>
      <c r="C306" s="201" t="n"/>
      <c r="D306" s="201" t="n"/>
      <c r="E306" s="201" t="n"/>
      <c r="F306" s="201" t="n"/>
      <c r="G306" s="201" t="n"/>
      <c r="H306" s="201" t="n"/>
      <c r="I306" s="201" t="n"/>
      <c r="J306" s="201" t="n"/>
      <c r="K306" s="201" t="n"/>
      <c r="L306" s="201" t="n"/>
      <c r="M306" s="201" t="n"/>
      <c r="N306" s="201" t="n"/>
      <c r="O306" s="201" t="n"/>
      <c r="P306" s="201" t="n"/>
      <c r="Q306" s="201" t="n"/>
      <c r="R306" s="201" t="n"/>
      <c r="S306" s="201" t="n"/>
      <c r="T306" s="201" t="n"/>
      <c r="U306" s="201" t="n"/>
      <c r="V306" s="201" t="n"/>
      <c r="W306" s="201" t="n"/>
      <c r="X306" s="201" t="n"/>
      <c r="Y306" s="201" t="n"/>
      <c r="Z306" s="201" t="n"/>
      <c r="AA306" s="201" t="n"/>
      <c r="AB306" s="201" t="n"/>
      <c r="AC306" s="201" t="n"/>
      <c r="AD306" s="201" t="n"/>
      <c r="AE306" s="201" t="n"/>
      <c r="AF306" s="201" t="n"/>
      <c r="AG306" s="201" t="n"/>
    </row>
    <row r="307" ht="12.75" customHeight="1" s="202">
      <c r="A307" s="201" t="n"/>
      <c r="B307" s="201" t="n"/>
      <c r="C307" s="201" t="n"/>
      <c r="D307" s="201" t="n"/>
      <c r="E307" s="201" t="n"/>
      <c r="F307" s="201" t="n"/>
      <c r="G307" s="201" t="n"/>
      <c r="H307" s="201" t="n"/>
      <c r="I307" s="201" t="n"/>
      <c r="J307" s="201" t="n"/>
      <c r="K307" s="201" t="n"/>
      <c r="L307" s="201" t="n"/>
      <c r="M307" s="201" t="n"/>
      <c r="N307" s="201" t="n"/>
      <c r="O307" s="201" t="n"/>
      <c r="P307" s="201" t="n"/>
      <c r="Q307" s="201" t="n"/>
      <c r="R307" s="201" t="n"/>
      <c r="S307" s="201" t="n"/>
      <c r="T307" s="201" t="n"/>
      <c r="U307" s="201" t="n"/>
      <c r="V307" s="201" t="n"/>
      <c r="W307" s="201" t="n"/>
      <c r="X307" s="201" t="n"/>
      <c r="Y307" s="201" t="n"/>
      <c r="Z307" s="201" t="n"/>
      <c r="AA307" s="201" t="n"/>
      <c r="AB307" s="201" t="n"/>
      <c r="AC307" s="201" t="n"/>
      <c r="AD307" s="201" t="n"/>
      <c r="AE307" s="201" t="n"/>
      <c r="AF307" s="201" t="n"/>
      <c r="AG307" s="201" t="n"/>
    </row>
    <row r="308" ht="12.75" customHeight="1" s="202">
      <c r="A308" s="201" t="n"/>
      <c r="B308" s="201" t="n"/>
      <c r="C308" s="201" t="n"/>
      <c r="D308" s="201" t="n"/>
      <c r="E308" s="201" t="n"/>
      <c r="F308" s="201" t="n"/>
      <c r="G308" s="201" t="n"/>
      <c r="H308" s="201" t="n"/>
      <c r="I308" s="201" t="n"/>
      <c r="J308" s="201" t="n"/>
      <c r="K308" s="201" t="n"/>
      <c r="L308" s="201" t="n"/>
      <c r="M308" s="201" t="n"/>
      <c r="N308" s="201" t="n"/>
      <c r="O308" s="201" t="n"/>
      <c r="P308" s="201" t="n"/>
      <c r="Q308" s="201" t="n"/>
      <c r="R308" s="201" t="n"/>
      <c r="S308" s="201" t="n"/>
      <c r="T308" s="201" t="n"/>
      <c r="U308" s="201" t="n"/>
      <c r="V308" s="201" t="n"/>
      <c r="W308" s="201" t="n"/>
      <c r="X308" s="201" t="n"/>
      <c r="Y308" s="201" t="n"/>
      <c r="Z308" s="201" t="n"/>
      <c r="AA308" s="201" t="n"/>
      <c r="AB308" s="201" t="n"/>
      <c r="AC308" s="201" t="n"/>
      <c r="AD308" s="201" t="n"/>
      <c r="AE308" s="201" t="n"/>
      <c r="AF308" s="201" t="n"/>
      <c r="AG308" s="201" t="n"/>
    </row>
    <row r="309" ht="12.75" customHeight="1" s="202">
      <c r="A309" s="201" t="n"/>
      <c r="B309" s="201" t="n"/>
      <c r="C309" s="201" t="n"/>
      <c r="D309" s="201" t="n"/>
      <c r="E309" s="201" t="n"/>
      <c r="F309" s="201" t="n"/>
      <c r="G309" s="201" t="n"/>
      <c r="H309" s="201" t="n"/>
      <c r="I309" s="201" t="n"/>
      <c r="J309" s="201" t="n"/>
      <c r="K309" s="201" t="n"/>
      <c r="L309" s="201" t="n"/>
      <c r="M309" s="201" t="n"/>
      <c r="N309" s="201" t="n"/>
      <c r="O309" s="201" t="n"/>
      <c r="P309" s="201" t="n"/>
      <c r="Q309" s="201" t="n"/>
      <c r="R309" s="201" t="n"/>
      <c r="S309" s="201" t="n"/>
      <c r="T309" s="201" t="n"/>
      <c r="U309" s="201" t="n"/>
      <c r="V309" s="201" t="n"/>
      <c r="W309" s="201" t="n"/>
      <c r="X309" s="201" t="n"/>
      <c r="Y309" s="201" t="n"/>
      <c r="Z309" s="201" t="n"/>
      <c r="AA309" s="201" t="n"/>
      <c r="AB309" s="201" t="n"/>
      <c r="AC309" s="201" t="n"/>
      <c r="AD309" s="201" t="n"/>
      <c r="AE309" s="201" t="n"/>
      <c r="AF309" s="201" t="n"/>
      <c r="AG309" s="201" t="n"/>
    </row>
    <row r="310" ht="12.75" customHeight="1" s="202">
      <c r="A310" s="201" t="n"/>
      <c r="B310" s="201" t="n"/>
      <c r="C310" s="201" t="n"/>
      <c r="D310" s="201" t="n"/>
      <c r="E310" s="201" t="n"/>
      <c r="F310" s="201" t="n"/>
      <c r="G310" s="201" t="n"/>
      <c r="H310" s="201" t="n"/>
      <c r="I310" s="201" t="n"/>
      <c r="J310" s="201" t="n"/>
      <c r="K310" s="201" t="n"/>
      <c r="L310" s="201" t="n"/>
      <c r="M310" s="201" t="n"/>
      <c r="N310" s="201" t="n"/>
      <c r="O310" s="201" t="n"/>
      <c r="P310" s="201" t="n"/>
      <c r="Q310" s="201" t="n"/>
      <c r="R310" s="201" t="n"/>
      <c r="S310" s="201" t="n"/>
      <c r="T310" s="201" t="n"/>
      <c r="U310" s="201" t="n"/>
      <c r="V310" s="201" t="n"/>
      <c r="W310" s="201" t="n"/>
      <c r="X310" s="201" t="n"/>
      <c r="Y310" s="201" t="n"/>
      <c r="Z310" s="201" t="n"/>
      <c r="AA310" s="201" t="n"/>
      <c r="AB310" s="201" t="n"/>
      <c r="AC310" s="201" t="n"/>
      <c r="AD310" s="201" t="n"/>
      <c r="AE310" s="201" t="n"/>
      <c r="AF310" s="201" t="n"/>
      <c r="AG310" s="201" t="n"/>
    </row>
    <row r="311" ht="12.75" customHeight="1" s="202">
      <c r="A311" s="201" t="n"/>
      <c r="B311" s="201" t="n"/>
      <c r="C311" s="201" t="n"/>
      <c r="D311" s="201" t="n"/>
      <c r="E311" s="201" t="n"/>
      <c r="F311" s="201" t="n"/>
      <c r="G311" s="201" t="n"/>
      <c r="H311" s="201" t="n"/>
      <c r="I311" s="201" t="n"/>
      <c r="J311" s="201" t="n"/>
      <c r="K311" s="201" t="n"/>
      <c r="L311" s="201" t="n"/>
      <c r="M311" s="201" t="n"/>
      <c r="N311" s="201" t="n"/>
      <c r="O311" s="201" t="n"/>
      <c r="P311" s="201" t="n"/>
      <c r="Q311" s="201" t="n"/>
      <c r="R311" s="201" t="n"/>
      <c r="S311" s="201" t="n"/>
      <c r="T311" s="201" t="n"/>
      <c r="U311" s="201" t="n"/>
      <c r="V311" s="201" t="n"/>
      <c r="W311" s="201" t="n"/>
      <c r="X311" s="201" t="n"/>
      <c r="Y311" s="201" t="n"/>
      <c r="Z311" s="201" t="n"/>
      <c r="AA311" s="201" t="n"/>
      <c r="AB311" s="201" t="n"/>
      <c r="AC311" s="201" t="n"/>
      <c r="AD311" s="201" t="n"/>
      <c r="AE311" s="201" t="n"/>
      <c r="AF311" s="201" t="n"/>
      <c r="AG311" s="201" t="n"/>
    </row>
    <row r="312" ht="12.75" customHeight="1" s="202">
      <c r="A312" s="201" t="n"/>
      <c r="B312" s="201" t="n"/>
      <c r="C312" s="201" t="n"/>
      <c r="D312" s="201" t="n"/>
      <c r="E312" s="201" t="n"/>
      <c r="F312" s="201" t="n"/>
      <c r="G312" s="201" t="n"/>
      <c r="H312" s="201" t="n"/>
      <c r="I312" s="201" t="n"/>
      <c r="J312" s="201" t="n"/>
      <c r="K312" s="201" t="n"/>
      <c r="L312" s="201" t="n"/>
      <c r="M312" s="201" t="n"/>
      <c r="N312" s="201" t="n"/>
      <c r="O312" s="201" t="n"/>
      <c r="P312" s="201" t="n"/>
      <c r="Q312" s="201" t="n"/>
      <c r="R312" s="201" t="n"/>
      <c r="S312" s="201" t="n"/>
      <c r="T312" s="201" t="n"/>
      <c r="U312" s="201" t="n"/>
      <c r="V312" s="201" t="n"/>
      <c r="W312" s="201" t="n"/>
      <c r="X312" s="201" t="n"/>
      <c r="Y312" s="201" t="n"/>
      <c r="Z312" s="201" t="n"/>
      <c r="AA312" s="201" t="n"/>
      <c r="AB312" s="201" t="n"/>
      <c r="AC312" s="201" t="n"/>
      <c r="AD312" s="201" t="n"/>
      <c r="AE312" s="201" t="n"/>
      <c r="AF312" s="201" t="n"/>
      <c r="AG312" s="201" t="n"/>
    </row>
    <row r="313" ht="12.75" customHeight="1" s="202">
      <c r="A313" s="201" t="n"/>
      <c r="B313" s="201" t="n"/>
      <c r="C313" s="201" t="n"/>
      <c r="D313" s="201" t="n"/>
      <c r="E313" s="201" t="n"/>
      <c r="F313" s="201" t="n"/>
      <c r="G313" s="201" t="n"/>
      <c r="H313" s="201" t="n"/>
      <c r="I313" s="201" t="n"/>
      <c r="J313" s="201" t="n"/>
      <c r="K313" s="201" t="n"/>
      <c r="L313" s="201" t="n"/>
      <c r="M313" s="201" t="n"/>
      <c r="N313" s="201" t="n"/>
      <c r="O313" s="201" t="n"/>
      <c r="P313" s="201" t="n"/>
      <c r="Q313" s="201" t="n"/>
      <c r="R313" s="201" t="n"/>
      <c r="S313" s="201" t="n"/>
      <c r="T313" s="201" t="n"/>
      <c r="U313" s="201" t="n"/>
      <c r="V313" s="201" t="n"/>
      <c r="W313" s="201" t="n"/>
      <c r="X313" s="201" t="n"/>
      <c r="Y313" s="201" t="n"/>
      <c r="Z313" s="201" t="n"/>
      <c r="AA313" s="201" t="n"/>
      <c r="AB313" s="201" t="n"/>
      <c r="AC313" s="201" t="n"/>
      <c r="AD313" s="201" t="n"/>
      <c r="AE313" s="201" t="n"/>
      <c r="AF313" s="201" t="n"/>
      <c r="AG313" s="201" t="n"/>
    </row>
    <row r="314" ht="12.75" customHeight="1" s="202">
      <c r="A314" s="201" t="n"/>
      <c r="B314" s="201" t="n"/>
      <c r="C314" s="201" t="n"/>
      <c r="D314" s="201" t="n"/>
      <c r="E314" s="201" t="n"/>
      <c r="F314" s="201" t="n"/>
      <c r="G314" s="201" t="n"/>
      <c r="H314" s="201" t="n"/>
      <c r="I314" s="201" t="n"/>
      <c r="J314" s="201" t="n"/>
      <c r="K314" s="201" t="n"/>
      <c r="L314" s="201" t="n"/>
      <c r="M314" s="201" t="n"/>
      <c r="N314" s="201" t="n"/>
      <c r="O314" s="201" t="n"/>
      <c r="P314" s="201" t="n"/>
      <c r="Q314" s="201" t="n"/>
      <c r="R314" s="201" t="n"/>
      <c r="S314" s="201" t="n"/>
      <c r="T314" s="201" t="n"/>
      <c r="U314" s="201" t="n"/>
      <c r="V314" s="201" t="n"/>
      <c r="W314" s="201" t="n"/>
      <c r="X314" s="201" t="n"/>
      <c r="Y314" s="201" t="n"/>
      <c r="Z314" s="201" t="n"/>
      <c r="AA314" s="201" t="n"/>
      <c r="AB314" s="201" t="n"/>
      <c r="AC314" s="201" t="n"/>
      <c r="AD314" s="201" t="n"/>
      <c r="AE314" s="201" t="n"/>
      <c r="AF314" s="201" t="n"/>
      <c r="AG314" s="201" t="n"/>
    </row>
    <row r="315" ht="12.75" customHeight="1" s="202">
      <c r="A315" s="201" t="n"/>
      <c r="B315" s="201" t="n"/>
      <c r="C315" s="201" t="n"/>
      <c r="D315" s="201" t="n"/>
      <c r="E315" s="201" t="n"/>
      <c r="F315" s="201" t="n"/>
      <c r="G315" s="201" t="n"/>
      <c r="H315" s="201" t="n"/>
      <c r="I315" s="201" t="n"/>
      <c r="J315" s="201" t="n"/>
      <c r="K315" s="201" t="n"/>
      <c r="L315" s="201" t="n"/>
      <c r="M315" s="201" t="n"/>
      <c r="N315" s="201" t="n"/>
      <c r="O315" s="201" t="n"/>
      <c r="P315" s="201" t="n"/>
      <c r="Q315" s="201" t="n"/>
      <c r="R315" s="201" t="n"/>
      <c r="S315" s="201" t="n"/>
      <c r="T315" s="201" t="n"/>
      <c r="U315" s="201" t="n"/>
      <c r="V315" s="201" t="n"/>
      <c r="W315" s="201" t="n"/>
      <c r="X315" s="201" t="n"/>
      <c r="Y315" s="201" t="n"/>
      <c r="Z315" s="201" t="n"/>
      <c r="AA315" s="201" t="n"/>
      <c r="AB315" s="201" t="n"/>
      <c r="AC315" s="201" t="n"/>
      <c r="AD315" s="201" t="n"/>
      <c r="AE315" s="201" t="n"/>
      <c r="AF315" s="201" t="n"/>
      <c r="AG315" s="201" t="n"/>
    </row>
    <row r="316" ht="12.75" customHeight="1" s="202">
      <c r="A316" s="201" t="n"/>
      <c r="B316" s="201" t="n"/>
      <c r="C316" s="201" t="n"/>
      <c r="D316" s="201" t="n"/>
      <c r="E316" s="201" t="n"/>
      <c r="F316" s="201" t="n"/>
      <c r="G316" s="201" t="n"/>
      <c r="H316" s="201" t="n"/>
      <c r="I316" s="201" t="n"/>
      <c r="J316" s="201" t="n"/>
      <c r="K316" s="201" t="n"/>
      <c r="L316" s="201" t="n"/>
      <c r="M316" s="201" t="n"/>
      <c r="N316" s="201" t="n"/>
      <c r="O316" s="201" t="n"/>
      <c r="P316" s="201" t="n"/>
      <c r="Q316" s="201" t="n"/>
      <c r="R316" s="201" t="n"/>
      <c r="S316" s="201" t="n"/>
      <c r="T316" s="201" t="n"/>
      <c r="U316" s="201" t="n"/>
      <c r="V316" s="201" t="n"/>
      <c r="W316" s="201" t="n"/>
      <c r="X316" s="201" t="n"/>
      <c r="Y316" s="201" t="n"/>
      <c r="Z316" s="201" t="n"/>
      <c r="AA316" s="201" t="n"/>
      <c r="AB316" s="201" t="n"/>
      <c r="AC316" s="201" t="n"/>
      <c r="AD316" s="201" t="n"/>
      <c r="AE316" s="201" t="n"/>
      <c r="AF316" s="201" t="n"/>
      <c r="AG316" s="201" t="n"/>
    </row>
    <row r="317" ht="12.75" customHeight="1" s="202">
      <c r="A317" s="201" t="n"/>
      <c r="B317" s="201" t="n"/>
      <c r="C317" s="201" t="n"/>
      <c r="D317" s="201" t="n"/>
      <c r="E317" s="201" t="n"/>
      <c r="F317" s="201" t="n"/>
      <c r="G317" s="201" t="n"/>
      <c r="H317" s="201" t="n"/>
      <c r="I317" s="201" t="n"/>
      <c r="J317" s="201" t="n"/>
      <c r="K317" s="201" t="n"/>
      <c r="L317" s="201" t="n"/>
      <c r="M317" s="201" t="n"/>
      <c r="N317" s="201" t="n"/>
      <c r="O317" s="201" t="n"/>
      <c r="P317" s="201" t="n"/>
      <c r="Q317" s="201" t="n"/>
      <c r="R317" s="201" t="n"/>
      <c r="S317" s="201" t="n"/>
      <c r="T317" s="201" t="n"/>
      <c r="U317" s="201" t="n"/>
      <c r="V317" s="201" t="n"/>
      <c r="W317" s="201" t="n"/>
      <c r="X317" s="201" t="n"/>
      <c r="Y317" s="201" t="n"/>
      <c r="Z317" s="201" t="n"/>
      <c r="AA317" s="201" t="n"/>
      <c r="AB317" s="201" t="n"/>
      <c r="AC317" s="201" t="n"/>
      <c r="AD317" s="201" t="n"/>
      <c r="AE317" s="201" t="n"/>
      <c r="AF317" s="201" t="n"/>
      <c r="AG317" s="201" t="n"/>
    </row>
    <row r="318" ht="12.75" customHeight="1" s="202">
      <c r="A318" s="201" t="n"/>
      <c r="B318" s="201" t="n"/>
      <c r="C318" s="201" t="n"/>
      <c r="D318" s="201" t="n"/>
      <c r="E318" s="201" t="n"/>
      <c r="F318" s="201" t="n"/>
      <c r="G318" s="201" t="n"/>
      <c r="H318" s="201" t="n"/>
      <c r="I318" s="201" t="n"/>
      <c r="J318" s="201" t="n"/>
      <c r="K318" s="201" t="n"/>
      <c r="L318" s="201" t="n"/>
      <c r="M318" s="201" t="n"/>
      <c r="N318" s="201" t="n"/>
      <c r="O318" s="201" t="n"/>
      <c r="P318" s="201" t="n"/>
      <c r="Q318" s="201" t="n"/>
      <c r="R318" s="201" t="n"/>
      <c r="S318" s="201" t="n"/>
      <c r="T318" s="201" t="n"/>
      <c r="U318" s="201" t="n"/>
      <c r="V318" s="201" t="n"/>
      <c r="W318" s="201" t="n"/>
      <c r="X318" s="201" t="n"/>
      <c r="Y318" s="201" t="n"/>
      <c r="Z318" s="201" t="n"/>
      <c r="AA318" s="201" t="n"/>
      <c r="AB318" s="201" t="n"/>
      <c r="AC318" s="201" t="n"/>
      <c r="AD318" s="201" t="n"/>
      <c r="AE318" s="201" t="n"/>
      <c r="AF318" s="201" t="n"/>
      <c r="AG318" s="201" t="n"/>
    </row>
    <row r="319" ht="12.75" customHeight="1" s="202">
      <c r="A319" s="201" t="n"/>
      <c r="B319" s="201" t="n"/>
      <c r="C319" s="201" t="n"/>
      <c r="D319" s="201" t="n"/>
      <c r="E319" s="201" t="n"/>
      <c r="F319" s="201" t="n"/>
      <c r="G319" s="201" t="n"/>
      <c r="H319" s="201" t="n"/>
      <c r="I319" s="201" t="n"/>
      <c r="J319" s="201" t="n"/>
      <c r="K319" s="201" t="n"/>
      <c r="L319" s="201" t="n"/>
      <c r="M319" s="201" t="n"/>
      <c r="N319" s="201" t="n"/>
      <c r="O319" s="201" t="n"/>
      <c r="P319" s="201" t="n"/>
      <c r="Q319" s="201" t="n"/>
      <c r="R319" s="201" t="n"/>
      <c r="S319" s="201" t="n"/>
      <c r="T319" s="201" t="n"/>
      <c r="U319" s="201" t="n"/>
      <c r="V319" s="201" t="n"/>
      <c r="W319" s="201" t="n"/>
      <c r="X319" s="201" t="n"/>
      <c r="Y319" s="201" t="n"/>
      <c r="Z319" s="201" t="n"/>
      <c r="AA319" s="201" t="n"/>
      <c r="AB319" s="201" t="n"/>
      <c r="AC319" s="201" t="n"/>
      <c r="AD319" s="201" t="n"/>
      <c r="AE319" s="201" t="n"/>
      <c r="AF319" s="201" t="n"/>
      <c r="AG319" s="201" t="n"/>
    </row>
    <row r="320" ht="12.75" customHeight="1" s="202">
      <c r="A320" s="201" t="n"/>
      <c r="B320" s="201" t="n"/>
      <c r="C320" s="201" t="n"/>
      <c r="D320" s="201" t="n"/>
      <c r="E320" s="201" t="n"/>
      <c r="F320" s="201" t="n"/>
      <c r="G320" s="201" t="n"/>
      <c r="H320" s="201" t="n"/>
      <c r="I320" s="201" t="n"/>
      <c r="J320" s="201" t="n"/>
      <c r="K320" s="201" t="n"/>
      <c r="L320" s="201" t="n"/>
      <c r="M320" s="201" t="n"/>
      <c r="N320" s="201" t="n"/>
      <c r="O320" s="201" t="n"/>
      <c r="P320" s="201" t="n"/>
      <c r="Q320" s="201" t="n"/>
      <c r="R320" s="201" t="n"/>
      <c r="S320" s="201" t="n"/>
      <c r="T320" s="201" t="n"/>
      <c r="U320" s="201" t="n"/>
      <c r="V320" s="201" t="n"/>
      <c r="W320" s="201" t="n"/>
      <c r="X320" s="201" t="n"/>
      <c r="Y320" s="201" t="n"/>
      <c r="Z320" s="201" t="n"/>
      <c r="AA320" s="201" t="n"/>
      <c r="AB320" s="201" t="n"/>
      <c r="AC320" s="201" t="n"/>
      <c r="AD320" s="201" t="n"/>
      <c r="AE320" s="201" t="n"/>
      <c r="AF320" s="201" t="n"/>
      <c r="AG320" s="201" t="n"/>
    </row>
    <row r="321" ht="12.75" customHeight="1" s="202">
      <c r="A321" s="201" t="n"/>
      <c r="B321" s="201" t="n"/>
      <c r="C321" s="201" t="n"/>
      <c r="D321" s="201" t="n"/>
      <c r="E321" s="201" t="n"/>
      <c r="F321" s="201" t="n"/>
      <c r="G321" s="201" t="n"/>
      <c r="H321" s="201" t="n"/>
      <c r="I321" s="201" t="n"/>
      <c r="J321" s="201" t="n"/>
      <c r="K321" s="201" t="n"/>
      <c r="L321" s="201" t="n"/>
      <c r="M321" s="201" t="n"/>
      <c r="N321" s="201" t="n"/>
      <c r="O321" s="201" t="n"/>
      <c r="P321" s="201" t="n"/>
      <c r="Q321" s="201" t="n"/>
      <c r="R321" s="201" t="n"/>
      <c r="S321" s="201" t="n"/>
      <c r="T321" s="201" t="n"/>
      <c r="U321" s="201" t="n"/>
      <c r="V321" s="201" t="n"/>
      <c r="W321" s="201" t="n"/>
      <c r="X321" s="201" t="n"/>
      <c r="Y321" s="201" t="n"/>
      <c r="Z321" s="201" t="n"/>
      <c r="AA321" s="201" t="n"/>
      <c r="AB321" s="201" t="n"/>
      <c r="AC321" s="201" t="n"/>
      <c r="AD321" s="201" t="n"/>
      <c r="AE321" s="201" t="n"/>
      <c r="AF321" s="201" t="n"/>
      <c r="AG321" s="201" t="n"/>
    </row>
    <row r="322" ht="12.75" customHeight="1" s="202">
      <c r="A322" s="201" t="n"/>
      <c r="B322" s="201" t="n"/>
      <c r="C322" s="201" t="n"/>
      <c r="D322" s="201" t="n"/>
      <c r="E322" s="201" t="n"/>
      <c r="F322" s="201" t="n"/>
      <c r="G322" s="201" t="n"/>
      <c r="H322" s="201" t="n"/>
      <c r="I322" s="201" t="n"/>
      <c r="J322" s="201" t="n"/>
      <c r="K322" s="201" t="n"/>
      <c r="L322" s="201" t="n"/>
      <c r="M322" s="201" t="n"/>
      <c r="N322" s="201" t="n"/>
      <c r="O322" s="201" t="n"/>
      <c r="P322" s="201" t="n"/>
      <c r="Q322" s="201" t="n"/>
      <c r="R322" s="201" t="n"/>
      <c r="S322" s="201" t="n"/>
      <c r="T322" s="201" t="n"/>
      <c r="U322" s="201" t="n"/>
      <c r="V322" s="201" t="n"/>
      <c r="W322" s="201" t="n"/>
      <c r="X322" s="201" t="n"/>
      <c r="Y322" s="201" t="n"/>
      <c r="Z322" s="201" t="n"/>
      <c r="AA322" s="201" t="n"/>
      <c r="AB322" s="201" t="n"/>
      <c r="AC322" s="201" t="n"/>
      <c r="AD322" s="201" t="n"/>
      <c r="AE322" s="201" t="n"/>
      <c r="AF322" s="201" t="n"/>
      <c r="AG322" s="201" t="n"/>
    </row>
    <row r="323" ht="12.75" customHeight="1" s="202">
      <c r="A323" s="201" t="n"/>
      <c r="B323" s="201" t="n"/>
      <c r="C323" s="201" t="n"/>
      <c r="D323" s="201" t="n"/>
      <c r="E323" s="201" t="n"/>
      <c r="F323" s="201" t="n"/>
      <c r="G323" s="201" t="n"/>
      <c r="H323" s="201" t="n"/>
      <c r="I323" s="201" t="n"/>
      <c r="J323" s="201" t="n"/>
      <c r="K323" s="201" t="n"/>
      <c r="L323" s="201" t="n"/>
      <c r="M323" s="201" t="n"/>
      <c r="N323" s="201" t="n"/>
      <c r="O323" s="201" t="n"/>
      <c r="P323" s="201" t="n"/>
      <c r="Q323" s="201" t="n"/>
      <c r="R323" s="201" t="n"/>
      <c r="S323" s="201" t="n"/>
      <c r="T323" s="201" t="n"/>
      <c r="U323" s="201" t="n"/>
      <c r="V323" s="201" t="n"/>
      <c r="W323" s="201" t="n"/>
      <c r="X323" s="201" t="n"/>
      <c r="Y323" s="201" t="n"/>
      <c r="Z323" s="201" t="n"/>
      <c r="AA323" s="201" t="n"/>
      <c r="AB323" s="201" t="n"/>
      <c r="AC323" s="201" t="n"/>
      <c r="AD323" s="201" t="n"/>
      <c r="AE323" s="201" t="n"/>
      <c r="AF323" s="201" t="n"/>
      <c r="AG323" s="201" t="n"/>
    </row>
    <row r="324" ht="12.75" customHeight="1" s="202">
      <c r="A324" s="201" t="n"/>
      <c r="B324" s="201" t="n"/>
      <c r="C324" s="201" t="n"/>
      <c r="D324" s="201" t="n"/>
      <c r="E324" s="201" t="n"/>
      <c r="F324" s="201" t="n"/>
      <c r="G324" s="201" t="n"/>
      <c r="H324" s="201" t="n"/>
      <c r="I324" s="201" t="n"/>
      <c r="J324" s="201" t="n"/>
      <c r="K324" s="201" t="n"/>
      <c r="L324" s="201" t="n"/>
      <c r="M324" s="201" t="n"/>
      <c r="N324" s="201" t="n"/>
      <c r="O324" s="201" t="n"/>
      <c r="P324" s="201" t="n"/>
      <c r="Q324" s="201" t="n"/>
      <c r="R324" s="201" t="n"/>
      <c r="S324" s="201" t="n"/>
      <c r="T324" s="201" t="n"/>
      <c r="U324" s="201" t="n"/>
      <c r="V324" s="201" t="n"/>
      <c r="W324" s="201" t="n"/>
      <c r="X324" s="201" t="n"/>
      <c r="Y324" s="201" t="n"/>
      <c r="Z324" s="201" t="n"/>
      <c r="AA324" s="201" t="n"/>
      <c r="AB324" s="201" t="n"/>
      <c r="AC324" s="201" t="n"/>
      <c r="AD324" s="201" t="n"/>
      <c r="AE324" s="201" t="n"/>
      <c r="AF324" s="201" t="n"/>
      <c r="AG324" s="201" t="n"/>
    </row>
    <row r="325" ht="12.75" customHeight="1" s="202">
      <c r="A325" s="201" t="n"/>
      <c r="B325" s="201" t="n"/>
      <c r="C325" s="201" t="n"/>
      <c r="D325" s="201" t="n"/>
      <c r="E325" s="201" t="n"/>
      <c r="F325" s="201" t="n"/>
      <c r="G325" s="201" t="n"/>
      <c r="H325" s="201" t="n"/>
      <c r="I325" s="201" t="n"/>
      <c r="J325" s="201" t="n"/>
      <c r="K325" s="201" t="n"/>
      <c r="L325" s="201" t="n"/>
      <c r="M325" s="201" t="n"/>
      <c r="N325" s="201" t="n"/>
      <c r="O325" s="201" t="n"/>
      <c r="P325" s="201" t="n"/>
      <c r="Q325" s="201" t="n"/>
      <c r="R325" s="201" t="n"/>
      <c r="S325" s="201" t="n"/>
      <c r="T325" s="201" t="n"/>
      <c r="U325" s="201" t="n"/>
      <c r="V325" s="201" t="n"/>
      <c r="W325" s="201" t="n"/>
      <c r="X325" s="201" t="n"/>
      <c r="Y325" s="201" t="n"/>
      <c r="Z325" s="201" t="n"/>
      <c r="AA325" s="201" t="n"/>
      <c r="AB325" s="201" t="n"/>
      <c r="AC325" s="201" t="n"/>
      <c r="AD325" s="201" t="n"/>
      <c r="AE325" s="201" t="n"/>
      <c r="AF325" s="201" t="n"/>
      <c r="AG325" s="201" t="n"/>
    </row>
    <row r="326" ht="12.75" customHeight="1" s="202">
      <c r="A326" s="201" t="n"/>
      <c r="B326" s="201" t="n"/>
      <c r="C326" s="201" t="n"/>
      <c r="D326" s="201" t="n"/>
      <c r="E326" s="201" t="n"/>
      <c r="F326" s="201" t="n"/>
      <c r="G326" s="201" t="n"/>
      <c r="H326" s="201" t="n"/>
      <c r="I326" s="201" t="n"/>
      <c r="J326" s="201" t="n"/>
      <c r="K326" s="201" t="n"/>
      <c r="L326" s="201" t="n"/>
      <c r="M326" s="201" t="n"/>
      <c r="N326" s="201" t="n"/>
      <c r="O326" s="201" t="n"/>
      <c r="P326" s="201" t="n"/>
      <c r="Q326" s="201" t="n"/>
      <c r="R326" s="201" t="n"/>
      <c r="S326" s="201" t="n"/>
      <c r="T326" s="201" t="n"/>
      <c r="U326" s="201" t="n"/>
      <c r="V326" s="201" t="n"/>
      <c r="W326" s="201" t="n"/>
      <c r="X326" s="201" t="n"/>
      <c r="Y326" s="201" t="n"/>
      <c r="Z326" s="201" t="n"/>
      <c r="AA326" s="201" t="n"/>
      <c r="AB326" s="201" t="n"/>
      <c r="AC326" s="201" t="n"/>
      <c r="AD326" s="201" t="n"/>
      <c r="AE326" s="201" t="n"/>
      <c r="AF326" s="201" t="n"/>
      <c r="AG326" s="201" t="n"/>
    </row>
    <row r="327" ht="12.75" customHeight="1" s="202">
      <c r="A327" s="201" t="n"/>
      <c r="B327" s="201" t="n"/>
      <c r="C327" s="201" t="n"/>
      <c r="D327" s="201" t="n"/>
      <c r="E327" s="201" t="n"/>
      <c r="F327" s="201" t="n"/>
      <c r="G327" s="201" t="n"/>
      <c r="H327" s="201" t="n"/>
      <c r="I327" s="201" t="n"/>
      <c r="J327" s="201" t="n"/>
      <c r="K327" s="201" t="n"/>
      <c r="L327" s="201" t="n"/>
      <c r="M327" s="201" t="n"/>
      <c r="N327" s="201" t="n"/>
      <c r="O327" s="201" t="n"/>
      <c r="P327" s="201" t="n"/>
      <c r="Q327" s="201" t="n"/>
      <c r="R327" s="201" t="n"/>
      <c r="S327" s="201" t="n"/>
      <c r="T327" s="201" t="n"/>
      <c r="U327" s="201" t="n"/>
      <c r="V327" s="201" t="n"/>
      <c r="W327" s="201" t="n"/>
      <c r="X327" s="201" t="n"/>
      <c r="Y327" s="201" t="n"/>
      <c r="Z327" s="201" t="n"/>
      <c r="AA327" s="201" t="n"/>
      <c r="AB327" s="201" t="n"/>
      <c r="AC327" s="201" t="n"/>
      <c r="AD327" s="201" t="n"/>
      <c r="AE327" s="201" t="n"/>
      <c r="AF327" s="201" t="n"/>
      <c r="AG327" s="201" t="n"/>
    </row>
    <row r="328" ht="12.75" customHeight="1" s="202">
      <c r="A328" s="201" t="n"/>
      <c r="B328" s="201" t="n"/>
      <c r="C328" s="201" t="n"/>
      <c r="D328" s="201" t="n"/>
      <c r="E328" s="201" t="n"/>
      <c r="F328" s="201" t="n"/>
      <c r="G328" s="201" t="n"/>
      <c r="H328" s="201" t="n"/>
      <c r="I328" s="201" t="n"/>
      <c r="J328" s="201" t="n"/>
      <c r="K328" s="201" t="n"/>
      <c r="L328" s="201" t="n"/>
      <c r="M328" s="201" t="n"/>
      <c r="N328" s="201" t="n"/>
      <c r="O328" s="201" t="n"/>
      <c r="P328" s="201" t="n"/>
      <c r="Q328" s="201" t="n"/>
      <c r="R328" s="201" t="n"/>
      <c r="S328" s="201" t="n"/>
      <c r="T328" s="201" t="n"/>
      <c r="U328" s="201" t="n"/>
      <c r="V328" s="201" t="n"/>
      <c r="W328" s="201" t="n"/>
      <c r="X328" s="201" t="n"/>
      <c r="Y328" s="201" t="n"/>
      <c r="Z328" s="201" t="n"/>
      <c r="AA328" s="201" t="n"/>
      <c r="AB328" s="201" t="n"/>
      <c r="AC328" s="201" t="n"/>
      <c r="AD328" s="201" t="n"/>
      <c r="AE328" s="201" t="n"/>
      <c r="AF328" s="201" t="n"/>
      <c r="AG328" s="201" t="n"/>
    </row>
    <row r="329" ht="12.75" customHeight="1" s="202">
      <c r="A329" s="201" t="n"/>
      <c r="B329" s="201" t="n"/>
      <c r="C329" s="201" t="n"/>
      <c r="D329" s="201" t="n"/>
      <c r="E329" s="201" t="n"/>
      <c r="F329" s="201" t="n"/>
      <c r="G329" s="201" t="n"/>
      <c r="H329" s="201" t="n"/>
      <c r="I329" s="201" t="n"/>
      <c r="J329" s="201" t="n"/>
      <c r="K329" s="201" t="n"/>
      <c r="L329" s="201" t="n"/>
      <c r="M329" s="201" t="n"/>
      <c r="N329" s="201" t="n"/>
      <c r="O329" s="201" t="n"/>
      <c r="P329" s="201" t="n"/>
      <c r="Q329" s="201" t="n"/>
      <c r="R329" s="201" t="n"/>
      <c r="S329" s="201" t="n"/>
      <c r="T329" s="201" t="n"/>
      <c r="U329" s="201" t="n"/>
      <c r="V329" s="201" t="n"/>
      <c r="W329" s="201" t="n"/>
      <c r="X329" s="201" t="n"/>
      <c r="Y329" s="201" t="n"/>
      <c r="Z329" s="201" t="n"/>
      <c r="AA329" s="201" t="n"/>
      <c r="AB329" s="201" t="n"/>
      <c r="AC329" s="201" t="n"/>
      <c r="AD329" s="201" t="n"/>
      <c r="AE329" s="201" t="n"/>
      <c r="AF329" s="201" t="n"/>
      <c r="AG329" s="201" t="n"/>
    </row>
    <row r="330" ht="12.75" customHeight="1" s="202">
      <c r="A330" s="201" t="n"/>
      <c r="B330" s="201" t="n"/>
      <c r="C330" s="201" t="n"/>
      <c r="D330" s="201" t="n"/>
      <c r="E330" s="201" t="n"/>
      <c r="F330" s="201" t="n"/>
      <c r="G330" s="201" t="n"/>
      <c r="H330" s="201" t="n"/>
      <c r="I330" s="201" t="n"/>
      <c r="J330" s="201" t="n"/>
      <c r="K330" s="201" t="n"/>
      <c r="L330" s="201" t="n"/>
      <c r="M330" s="201" t="n"/>
      <c r="N330" s="201" t="n"/>
      <c r="O330" s="201" t="n"/>
      <c r="P330" s="201" t="n"/>
      <c r="Q330" s="201" t="n"/>
      <c r="R330" s="201" t="n"/>
      <c r="S330" s="201" t="n"/>
      <c r="T330" s="201" t="n"/>
      <c r="U330" s="201" t="n"/>
      <c r="V330" s="201" t="n"/>
      <c r="W330" s="201" t="n"/>
      <c r="X330" s="201" t="n"/>
      <c r="Y330" s="201" t="n"/>
      <c r="Z330" s="201" t="n"/>
      <c r="AA330" s="201" t="n"/>
      <c r="AB330" s="201" t="n"/>
      <c r="AC330" s="201" t="n"/>
      <c r="AD330" s="201" t="n"/>
      <c r="AE330" s="201" t="n"/>
      <c r="AF330" s="201" t="n"/>
      <c r="AG330" s="201" t="n"/>
    </row>
    <row r="331" ht="12.75" customHeight="1" s="202">
      <c r="A331" s="201" t="n"/>
      <c r="B331" s="201" t="n"/>
      <c r="C331" s="201" t="n"/>
      <c r="D331" s="201" t="n"/>
      <c r="E331" s="201" t="n"/>
      <c r="F331" s="201" t="n"/>
      <c r="G331" s="201" t="n"/>
      <c r="H331" s="201" t="n"/>
      <c r="I331" s="201" t="n"/>
      <c r="J331" s="201" t="n"/>
      <c r="K331" s="201" t="n"/>
      <c r="L331" s="201" t="n"/>
      <c r="M331" s="201" t="n"/>
      <c r="N331" s="201" t="n"/>
      <c r="O331" s="201" t="n"/>
      <c r="P331" s="201" t="n"/>
      <c r="Q331" s="201" t="n"/>
      <c r="R331" s="201" t="n"/>
      <c r="S331" s="201" t="n"/>
      <c r="T331" s="201" t="n"/>
      <c r="U331" s="201" t="n"/>
      <c r="V331" s="201" t="n"/>
      <c r="W331" s="201" t="n"/>
      <c r="X331" s="201" t="n"/>
      <c r="Y331" s="201" t="n"/>
      <c r="Z331" s="201" t="n"/>
      <c r="AA331" s="201" t="n"/>
      <c r="AB331" s="201" t="n"/>
      <c r="AC331" s="201" t="n"/>
      <c r="AD331" s="201" t="n"/>
      <c r="AE331" s="201" t="n"/>
      <c r="AF331" s="201" t="n"/>
      <c r="AG331" s="201" t="n"/>
    </row>
    <row r="332" ht="12.75" customHeight="1" s="202">
      <c r="A332" s="201" t="n"/>
      <c r="B332" s="201" t="n"/>
      <c r="C332" s="201" t="n"/>
      <c r="D332" s="201" t="n"/>
      <c r="E332" s="201" t="n"/>
      <c r="F332" s="201" t="n"/>
      <c r="G332" s="201" t="n"/>
      <c r="H332" s="201" t="n"/>
      <c r="I332" s="201" t="n"/>
      <c r="J332" s="201" t="n"/>
      <c r="K332" s="201" t="n"/>
      <c r="L332" s="201" t="n"/>
      <c r="M332" s="201" t="n"/>
      <c r="N332" s="201" t="n"/>
      <c r="O332" s="201" t="n"/>
      <c r="P332" s="201" t="n"/>
      <c r="Q332" s="201" t="n"/>
      <c r="R332" s="201" t="n"/>
      <c r="S332" s="201" t="n"/>
      <c r="T332" s="201" t="n"/>
      <c r="U332" s="201" t="n"/>
      <c r="V332" s="201" t="n"/>
      <c r="W332" s="201" t="n"/>
      <c r="X332" s="201" t="n"/>
      <c r="Y332" s="201" t="n"/>
      <c r="Z332" s="201" t="n"/>
      <c r="AA332" s="201" t="n"/>
      <c r="AB332" s="201" t="n"/>
      <c r="AC332" s="201" t="n"/>
      <c r="AD332" s="201" t="n"/>
      <c r="AE332" s="201" t="n"/>
      <c r="AF332" s="201" t="n"/>
      <c r="AG332" s="201" t="n"/>
    </row>
    <row r="333" ht="12.75" customHeight="1" s="202">
      <c r="A333" s="201" t="n"/>
      <c r="B333" s="201" t="n"/>
      <c r="C333" s="201" t="n"/>
      <c r="D333" s="201" t="n"/>
      <c r="E333" s="201" t="n"/>
      <c r="F333" s="201" t="n"/>
      <c r="G333" s="201" t="n"/>
      <c r="H333" s="201" t="n"/>
      <c r="I333" s="201" t="n"/>
      <c r="J333" s="201" t="n"/>
      <c r="K333" s="201" t="n"/>
      <c r="L333" s="201" t="n"/>
      <c r="M333" s="201" t="n"/>
      <c r="N333" s="201" t="n"/>
      <c r="O333" s="201" t="n"/>
      <c r="P333" s="201" t="n"/>
      <c r="Q333" s="201" t="n"/>
      <c r="R333" s="201" t="n"/>
      <c r="S333" s="201" t="n"/>
      <c r="T333" s="201" t="n"/>
      <c r="U333" s="201" t="n"/>
      <c r="V333" s="201" t="n"/>
      <c r="W333" s="201" t="n"/>
      <c r="X333" s="201" t="n"/>
      <c r="Y333" s="201" t="n"/>
      <c r="Z333" s="201" t="n"/>
      <c r="AA333" s="201" t="n"/>
      <c r="AB333" s="201" t="n"/>
      <c r="AC333" s="201" t="n"/>
      <c r="AD333" s="201" t="n"/>
      <c r="AE333" s="201" t="n"/>
      <c r="AF333" s="201" t="n"/>
      <c r="AG333" s="201" t="n"/>
    </row>
    <row r="334" ht="12.75" customHeight="1" s="202">
      <c r="A334" s="201" t="n"/>
      <c r="B334" s="201" t="n"/>
      <c r="C334" s="201" t="n"/>
      <c r="D334" s="201" t="n"/>
      <c r="E334" s="201" t="n"/>
      <c r="F334" s="201" t="n"/>
      <c r="G334" s="201" t="n"/>
      <c r="H334" s="201" t="n"/>
      <c r="I334" s="201" t="n"/>
      <c r="J334" s="201" t="n"/>
      <c r="K334" s="201" t="n"/>
      <c r="L334" s="201" t="n"/>
      <c r="M334" s="201" t="n"/>
      <c r="N334" s="201" t="n"/>
      <c r="O334" s="201" t="n"/>
      <c r="P334" s="201" t="n"/>
      <c r="Q334" s="201" t="n"/>
      <c r="R334" s="201" t="n"/>
      <c r="S334" s="201" t="n"/>
      <c r="T334" s="201" t="n"/>
      <c r="U334" s="201" t="n"/>
      <c r="V334" s="201" t="n"/>
      <c r="W334" s="201" t="n"/>
      <c r="X334" s="201" t="n"/>
      <c r="Y334" s="201" t="n"/>
      <c r="Z334" s="201" t="n"/>
      <c r="AA334" s="201" t="n"/>
      <c r="AB334" s="201" t="n"/>
      <c r="AC334" s="201" t="n"/>
      <c r="AD334" s="201" t="n"/>
      <c r="AE334" s="201" t="n"/>
      <c r="AF334" s="201" t="n"/>
      <c r="AG334" s="201" t="n"/>
    </row>
    <row r="335" ht="12.75" customHeight="1" s="202">
      <c r="A335" s="201" t="n"/>
      <c r="B335" s="201" t="n"/>
      <c r="C335" s="201" t="n"/>
      <c r="D335" s="201" t="n"/>
      <c r="E335" s="201" t="n"/>
      <c r="F335" s="201" t="n"/>
      <c r="G335" s="201" t="n"/>
      <c r="H335" s="201" t="n"/>
      <c r="I335" s="201" t="n"/>
      <c r="J335" s="201" t="n"/>
      <c r="K335" s="201" t="n"/>
      <c r="L335" s="201" t="n"/>
      <c r="M335" s="201" t="n"/>
      <c r="N335" s="201" t="n"/>
      <c r="O335" s="201" t="n"/>
      <c r="P335" s="201" t="n"/>
      <c r="Q335" s="201" t="n"/>
      <c r="R335" s="201" t="n"/>
      <c r="S335" s="201" t="n"/>
      <c r="T335" s="201" t="n"/>
      <c r="U335" s="201" t="n"/>
      <c r="V335" s="201" t="n"/>
      <c r="W335" s="201" t="n"/>
      <c r="X335" s="201" t="n"/>
      <c r="Y335" s="201" t="n"/>
      <c r="Z335" s="201" t="n"/>
      <c r="AA335" s="201" t="n"/>
      <c r="AB335" s="201" t="n"/>
      <c r="AC335" s="201" t="n"/>
      <c r="AD335" s="201" t="n"/>
      <c r="AE335" s="201" t="n"/>
      <c r="AF335" s="201" t="n"/>
      <c r="AG335" s="201" t="n"/>
    </row>
    <row r="336" ht="12.75" customHeight="1" s="202">
      <c r="A336" s="201" t="n"/>
      <c r="B336" s="201" t="n"/>
      <c r="C336" s="201" t="n"/>
      <c r="D336" s="201" t="n"/>
      <c r="E336" s="201" t="n"/>
      <c r="F336" s="201" t="n"/>
      <c r="G336" s="201" t="n"/>
      <c r="H336" s="201" t="n"/>
      <c r="I336" s="201" t="n"/>
      <c r="J336" s="201" t="n"/>
      <c r="K336" s="201" t="n"/>
      <c r="L336" s="201" t="n"/>
      <c r="M336" s="201" t="n"/>
      <c r="N336" s="201" t="n"/>
      <c r="O336" s="201" t="n"/>
      <c r="P336" s="201" t="n"/>
      <c r="Q336" s="201" t="n"/>
      <c r="R336" s="201" t="n"/>
      <c r="S336" s="201" t="n"/>
      <c r="T336" s="201" t="n"/>
      <c r="U336" s="201" t="n"/>
      <c r="V336" s="201" t="n"/>
      <c r="W336" s="201" t="n"/>
      <c r="X336" s="201" t="n"/>
      <c r="Y336" s="201" t="n"/>
      <c r="Z336" s="201" t="n"/>
      <c r="AA336" s="201" t="n"/>
      <c r="AB336" s="201" t="n"/>
      <c r="AC336" s="201" t="n"/>
      <c r="AD336" s="201" t="n"/>
      <c r="AE336" s="201" t="n"/>
      <c r="AF336" s="201" t="n"/>
      <c r="AG336" s="201" t="n"/>
    </row>
    <row r="337" ht="12.75" customHeight="1" s="202">
      <c r="A337" s="201" t="n"/>
      <c r="B337" s="201" t="n"/>
      <c r="C337" s="201" t="n"/>
      <c r="D337" s="201" t="n"/>
      <c r="E337" s="201" t="n"/>
      <c r="F337" s="201" t="n"/>
      <c r="G337" s="201" t="n"/>
      <c r="H337" s="201" t="n"/>
      <c r="I337" s="201" t="n"/>
      <c r="J337" s="201" t="n"/>
      <c r="K337" s="201" t="n"/>
      <c r="L337" s="201" t="n"/>
      <c r="M337" s="201" t="n"/>
      <c r="N337" s="201" t="n"/>
      <c r="O337" s="201" t="n"/>
      <c r="P337" s="201" t="n"/>
      <c r="Q337" s="201" t="n"/>
      <c r="R337" s="201" t="n"/>
      <c r="S337" s="201" t="n"/>
      <c r="T337" s="201" t="n"/>
      <c r="U337" s="201" t="n"/>
      <c r="V337" s="201" t="n"/>
      <c r="W337" s="201" t="n"/>
      <c r="X337" s="201" t="n"/>
      <c r="Y337" s="201" t="n"/>
      <c r="Z337" s="201" t="n"/>
      <c r="AA337" s="201" t="n"/>
      <c r="AB337" s="201" t="n"/>
      <c r="AC337" s="201" t="n"/>
      <c r="AD337" s="201" t="n"/>
      <c r="AE337" s="201" t="n"/>
      <c r="AF337" s="201" t="n"/>
      <c r="AG337" s="201" t="n"/>
    </row>
    <row r="338" ht="12.75" customHeight="1" s="202">
      <c r="A338" s="201" t="n"/>
      <c r="B338" s="201" t="n"/>
      <c r="C338" s="201" t="n"/>
      <c r="D338" s="201" t="n"/>
      <c r="E338" s="201" t="n"/>
      <c r="F338" s="201" t="n"/>
      <c r="G338" s="201" t="n"/>
      <c r="H338" s="201" t="n"/>
      <c r="I338" s="201" t="n"/>
      <c r="J338" s="201" t="n"/>
      <c r="K338" s="201" t="n"/>
      <c r="L338" s="201" t="n"/>
      <c r="M338" s="201" t="n"/>
      <c r="N338" s="201" t="n"/>
      <c r="O338" s="201" t="n"/>
      <c r="P338" s="201" t="n"/>
      <c r="Q338" s="201" t="n"/>
      <c r="R338" s="201" t="n"/>
      <c r="S338" s="201" t="n"/>
      <c r="T338" s="201" t="n"/>
      <c r="U338" s="201" t="n"/>
      <c r="V338" s="201" t="n"/>
      <c r="W338" s="201" t="n"/>
      <c r="X338" s="201" t="n"/>
      <c r="Y338" s="201" t="n"/>
      <c r="Z338" s="201" t="n"/>
      <c r="AA338" s="201" t="n"/>
      <c r="AB338" s="201" t="n"/>
      <c r="AC338" s="201" t="n"/>
      <c r="AD338" s="201" t="n"/>
      <c r="AE338" s="201" t="n"/>
      <c r="AF338" s="201" t="n"/>
      <c r="AG338" s="201" t="n"/>
    </row>
    <row r="339" ht="12.75" customHeight="1" s="202">
      <c r="A339" s="201" t="n"/>
      <c r="B339" s="201" t="n"/>
      <c r="C339" s="201" t="n"/>
      <c r="D339" s="201" t="n"/>
      <c r="E339" s="201" t="n"/>
      <c r="F339" s="201" t="n"/>
      <c r="G339" s="201" t="n"/>
      <c r="H339" s="201" t="n"/>
      <c r="I339" s="201" t="n"/>
      <c r="J339" s="201" t="n"/>
      <c r="K339" s="201" t="n"/>
      <c r="L339" s="201" t="n"/>
      <c r="M339" s="201" t="n"/>
      <c r="N339" s="201" t="n"/>
      <c r="O339" s="201" t="n"/>
      <c r="P339" s="201" t="n"/>
      <c r="Q339" s="201" t="n"/>
      <c r="R339" s="201" t="n"/>
      <c r="S339" s="201" t="n"/>
      <c r="T339" s="201" t="n"/>
      <c r="U339" s="201" t="n"/>
      <c r="V339" s="201" t="n"/>
      <c r="W339" s="201" t="n"/>
      <c r="X339" s="201" t="n"/>
      <c r="Y339" s="201" t="n"/>
      <c r="Z339" s="201" t="n"/>
      <c r="AA339" s="201" t="n"/>
      <c r="AB339" s="201" t="n"/>
      <c r="AC339" s="201" t="n"/>
      <c r="AD339" s="201" t="n"/>
      <c r="AE339" s="201" t="n"/>
      <c r="AF339" s="201" t="n"/>
      <c r="AG339" s="201" t="n"/>
    </row>
    <row r="340" ht="12.75" customHeight="1" s="202">
      <c r="A340" s="201" t="n"/>
      <c r="B340" s="201" t="n"/>
      <c r="C340" s="201" t="n"/>
      <c r="D340" s="201" t="n"/>
      <c r="E340" s="201" t="n"/>
      <c r="F340" s="201" t="n"/>
      <c r="G340" s="201" t="n"/>
      <c r="H340" s="201" t="n"/>
      <c r="I340" s="201" t="n"/>
      <c r="J340" s="201" t="n"/>
      <c r="K340" s="201" t="n"/>
      <c r="L340" s="201" t="n"/>
      <c r="M340" s="201" t="n"/>
      <c r="N340" s="201" t="n"/>
      <c r="O340" s="201" t="n"/>
      <c r="P340" s="201" t="n"/>
      <c r="Q340" s="201" t="n"/>
      <c r="R340" s="201" t="n"/>
      <c r="S340" s="201" t="n"/>
      <c r="T340" s="201" t="n"/>
      <c r="U340" s="201" t="n"/>
      <c r="V340" s="201" t="n"/>
      <c r="W340" s="201" t="n"/>
      <c r="X340" s="201" t="n"/>
      <c r="Y340" s="201" t="n"/>
      <c r="Z340" s="201" t="n"/>
      <c r="AA340" s="201" t="n"/>
      <c r="AB340" s="201" t="n"/>
      <c r="AC340" s="201" t="n"/>
      <c r="AD340" s="201" t="n"/>
      <c r="AE340" s="201" t="n"/>
      <c r="AF340" s="201" t="n"/>
      <c r="AG340" s="201" t="n"/>
    </row>
    <row r="341" ht="12.75" customHeight="1" s="202">
      <c r="A341" s="201" t="n"/>
      <c r="B341" s="201" t="n"/>
      <c r="C341" s="201" t="n"/>
      <c r="D341" s="201" t="n"/>
      <c r="E341" s="201" t="n"/>
      <c r="F341" s="201" t="n"/>
      <c r="G341" s="201" t="n"/>
      <c r="H341" s="201" t="n"/>
      <c r="I341" s="201" t="n"/>
      <c r="J341" s="201" t="n"/>
      <c r="K341" s="201" t="n"/>
      <c r="L341" s="201" t="n"/>
      <c r="M341" s="201" t="n"/>
      <c r="N341" s="201" t="n"/>
      <c r="O341" s="201" t="n"/>
      <c r="P341" s="201" t="n"/>
      <c r="Q341" s="201" t="n"/>
      <c r="R341" s="201" t="n"/>
      <c r="S341" s="201" t="n"/>
      <c r="T341" s="201" t="n"/>
      <c r="U341" s="201" t="n"/>
      <c r="V341" s="201" t="n"/>
      <c r="W341" s="201" t="n"/>
      <c r="X341" s="201" t="n"/>
      <c r="Y341" s="201" t="n"/>
      <c r="Z341" s="201" t="n"/>
      <c r="AA341" s="201" t="n"/>
      <c r="AB341" s="201" t="n"/>
      <c r="AC341" s="201" t="n"/>
      <c r="AD341" s="201" t="n"/>
      <c r="AE341" s="201" t="n"/>
      <c r="AF341" s="201" t="n"/>
      <c r="AG341" s="201" t="n"/>
    </row>
    <row r="342" ht="12.75" customHeight="1" s="202">
      <c r="A342" s="201" t="n"/>
      <c r="B342" s="201" t="n"/>
      <c r="C342" s="201" t="n"/>
      <c r="D342" s="201" t="n"/>
      <c r="E342" s="201" t="n"/>
      <c r="F342" s="201" t="n"/>
      <c r="G342" s="201" t="n"/>
      <c r="H342" s="201" t="n"/>
      <c r="I342" s="201" t="n"/>
      <c r="J342" s="201" t="n"/>
      <c r="K342" s="201" t="n"/>
      <c r="L342" s="201" t="n"/>
      <c r="M342" s="201" t="n"/>
      <c r="N342" s="201" t="n"/>
      <c r="O342" s="201" t="n"/>
      <c r="P342" s="201" t="n"/>
      <c r="Q342" s="201" t="n"/>
      <c r="R342" s="201" t="n"/>
      <c r="S342" s="201" t="n"/>
      <c r="T342" s="201" t="n"/>
      <c r="U342" s="201" t="n"/>
      <c r="V342" s="201" t="n"/>
      <c r="W342" s="201" t="n"/>
      <c r="X342" s="201" t="n"/>
      <c r="Y342" s="201" t="n"/>
      <c r="Z342" s="201" t="n"/>
      <c r="AA342" s="201" t="n"/>
      <c r="AB342" s="201" t="n"/>
      <c r="AC342" s="201" t="n"/>
      <c r="AD342" s="201" t="n"/>
      <c r="AE342" s="201" t="n"/>
      <c r="AF342" s="201" t="n"/>
      <c r="AG342" s="201" t="n"/>
    </row>
    <row r="343" ht="12.75" customHeight="1" s="202">
      <c r="A343" s="201" t="n"/>
      <c r="B343" s="201" t="n"/>
      <c r="C343" s="201" t="n"/>
      <c r="D343" s="201" t="n"/>
      <c r="E343" s="201" t="n"/>
      <c r="F343" s="201" t="n"/>
      <c r="G343" s="201" t="n"/>
      <c r="H343" s="201" t="n"/>
      <c r="I343" s="201" t="n"/>
      <c r="J343" s="201" t="n"/>
      <c r="K343" s="201" t="n"/>
      <c r="L343" s="201" t="n"/>
      <c r="M343" s="201" t="n"/>
      <c r="N343" s="201" t="n"/>
      <c r="O343" s="201" t="n"/>
      <c r="P343" s="201" t="n"/>
      <c r="Q343" s="201" t="n"/>
      <c r="R343" s="201" t="n"/>
      <c r="S343" s="201" t="n"/>
      <c r="T343" s="201" t="n"/>
      <c r="U343" s="201" t="n"/>
      <c r="V343" s="201" t="n"/>
      <c r="W343" s="201" t="n"/>
      <c r="X343" s="201" t="n"/>
      <c r="Y343" s="201" t="n"/>
      <c r="Z343" s="201" t="n"/>
      <c r="AA343" s="201" t="n"/>
      <c r="AB343" s="201" t="n"/>
      <c r="AC343" s="201" t="n"/>
      <c r="AD343" s="201" t="n"/>
      <c r="AE343" s="201" t="n"/>
      <c r="AF343" s="201" t="n"/>
      <c r="AG343" s="201" t="n"/>
    </row>
    <row r="344" ht="12.75" customHeight="1" s="202">
      <c r="A344" s="201" t="n"/>
      <c r="B344" s="201" t="n"/>
      <c r="C344" s="201" t="n"/>
      <c r="D344" s="201" t="n"/>
      <c r="E344" s="201" t="n"/>
      <c r="F344" s="201" t="n"/>
      <c r="G344" s="201" t="n"/>
      <c r="H344" s="201" t="n"/>
      <c r="I344" s="201" t="n"/>
      <c r="J344" s="201" t="n"/>
      <c r="K344" s="201" t="n"/>
      <c r="L344" s="201" t="n"/>
      <c r="M344" s="201" t="n"/>
      <c r="N344" s="201" t="n"/>
      <c r="O344" s="201" t="n"/>
      <c r="P344" s="201" t="n"/>
      <c r="Q344" s="201" t="n"/>
      <c r="R344" s="201" t="n"/>
      <c r="S344" s="201" t="n"/>
      <c r="T344" s="201" t="n"/>
      <c r="U344" s="201" t="n"/>
      <c r="V344" s="201" t="n"/>
      <c r="W344" s="201" t="n"/>
      <c r="X344" s="201" t="n"/>
      <c r="Y344" s="201" t="n"/>
      <c r="Z344" s="201" t="n"/>
      <c r="AA344" s="201" t="n"/>
      <c r="AB344" s="201" t="n"/>
      <c r="AC344" s="201" t="n"/>
      <c r="AD344" s="201" t="n"/>
      <c r="AE344" s="201" t="n"/>
      <c r="AF344" s="201" t="n"/>
      <c r="AG344" s="201" t="n"/>
    </row>
    <row r="345" ht="12.75" customHeight="1" s="202">
      <c r="A345" s="201" t="n"/>
      <c r="B345" s="201" t="n"/>
      <c r="C345" s="201" t="n"/>
      <c r="D345" s="201" t="n"/>
      <c r="E345" s="201" t="n"/>
      <c r="F345" s="201" t="n"/>
      <c r="G345" s="201" t="n"/>
      <c r="H345" s="201" t="n"/>
      <c r="I345" s="201" t="n"/>
      <c r="J345" s="201" t="n"/>
      <c r="K345" s="201" t="n"/>
      <c r="L345" s="201" t="n"/>
      <c r="M345" s="201" t="n"/>
      <c r="N345" s="201" t="n"/>
      <c r="O345" s="201" t="n"/>
      <c r="P345" s="201" t="n"/>
      <c r="Q345" s="201" t="n"/>
      <c r="R345" s="201" t="n"/>
      <c r="S345" s="201" t="n"/>
      <c r="T345" s="201" t="n"/>
      <c r="U345" s="201" t="n"/>
      <c r="V345" s="201" t="n"/>
      <c r="W345" s="201" t="n"/>
      <c r="X345" s="201" t="n"/>
      <c r="Y345" s="201" t="n"/>
      <c r="Z345" s="201" t="n"/>
      <c r="AA345" s="201" t="n"/>
      <c r="AB345" s="201" t="n"/>
      <c r="AC345" s="201" t="n"/>
      <c r="AD345" s="201" t="n"/>
      <c r="AE345" s="201" t="n"/>
      <c r="AF345" s="201" t="n"/>
      <c r="AG345" s="201" t="n"/>
    </row>
    <row r="346" ht="12.75" customHeight="1" s="202">
      <c r="A346" s="201" t="n"/>
      <c r="B346" s="201" t="n"/>
      <c r="C346" s="201" t="n"/>
      <c r="D346" s="201" t="n"/>
      <c r="E346" s="201" t="n"/>
      <c r="F346" s="201" t="n"/>
      <c r="G346" s="201" t="n"/>
      <c r="H346" s="201" t="n"/>
      <c r="I346" s="201" t="n"/>
      <c r="J346" s="201" t="n"/>
      <c r="K346" s="201" t="n"/>
      <c r="L346" s="201" t="n"/>
      <c r="M346" s="201" t="n"/>
      <c r="N346" s="201" t="n"/>
      <c r="O346" s="201" t="n"/>
      <c r="P346" s="201" t="n"/>
      <c r="Q346" s="201" t="n"/>
      <c r="R346" s="201" t="n"/>
      <c r="S346" s="201" t="n"/>
      <c r="T346" s="201" t="n"/>
      <c r="U346" s="201" t="n"/>
      <c r="V346" s="201" t="n"/>
      <c r="W346" s="201" t="n"/>
      <c r="X346" s="201" t="n"/>
      <c r="Y346" s="201" t="n"/>
      <c r="Z346" s="201" t="n"/>
      <c r="AA346" s="201" t="n"/>
      <c r="AB346" s="201" t="n"/>
      <c r="AC346" s="201" t="n"/>
      <c r="AD346" s="201" t="n"/>
      <c r="AE346" s="201" t="n"/>
      <c r="AF346" s="201" t="n"/>
      <c r="AG346" s="201" t="n"/>
    </row>
    <row r="347" ht="12.75" customHeight="1" s="202">
      <c r="A347" s="201" t="n"/>
      <c r="B347" s="201" t="n"/>
      <c r="C347" s="201" t="n"/>
      <c r="D347" s="201" t="n"/>
      <c r="E347" s="201" t="n"/>
      <c r="F347" s="201" t="n"/>
      <c r="G347" s="201" t="n"/>
      <c r="H347" s="201" t="n"/>
      <c r="I347" s="201" t="n"/>
      <c r="J347" s="201" t="n"/>
      <c r="K347" s="201" t="n"/>
      <c r="L347" s="201" t="n"/>
      <c r="M347" s="201" t="n"/>
      <c r="N347" s="201" t="n"/>
      <c r="O347" s="201" t="n"/>
      <c r="P347" s="201" t="n"/>
      <c r="Q347" s="201" t="n"/>
      <c r="R347" s="201" t="n"/>
      <c r="S347" s="201" t="n"/>
      <c r="T347" s="201" t="n"/>
      <c r="U347" s="201" t="n"/>
      <c r="V347" s="201" t="n"/>
      <c r="W347" s="201" t="n"/>
      <c r="X347" s="201" t="n"/>
      <c r="Y347" s="201" t="n"/>
      <c r="Z347" s="201" t="n"/>
      <c r="AA347" s="201" t="n"/>
      <c r="AB347" s="201" t="n"/>
      <c r="AC347" s="201" t="n"/>
      <c r="AD347" s="201" t="n"/>
      <c r="AE347" s="201" t="n"/>
      <c r="AF347" s="201" t="n"/>
      <c r="AG347" s="201" t="n"/>
    </row>
    <row r="348" ht="12.75" customHeight="1" s="202">
      <c r="A348" s="201" t="n"/>
      <c r="B348" s="201" t="n"/>
      <c r="C348" s="201" t="n"/>
      <c r="D348" s="201" t="n"/>
      <c r="E348" s="201" t="n"/>
      <c r="F348" s="201" t="n"/>
      <c r="G348" s="201" t="n"/>
      <c r="H348" s="201" t="n"/>
      <c r="I348" s="201" t="n"/>
      <c r="J348" s="201" t="n"/>
      <c r="K348" s="201" t="n"/>
      <c r="L348" s="201" t="n"/>
      <c r="M348" s="201" t="n"/>
      <c r="N348" s="201" t="n"/>
      <c r="O348" s="201" t="n"/>
      <c r="P348" s="201" t="n"/>
      <c r="Q348" s="201" t="n"/>
      <c r="R348" s="201" t="n"/>
      <c r="S348" s="201" t="n"/>
      <c r="T348" s="201" t="n"/>
      <c r="U348" s="201" t="n"/>
      <c r="V348" s="201" t="n"/>
      <c r="W348" s="201" t="n"/>
      <c r="X348" s="201" t="n"/>
      <c r="Y348" s="201" t="n"/>
      <c r="Z348" s="201" t="n"/>
      <c r="AA348" s="201" t="n"/>
      <c r="AB348" s="201" t="n"/>
      <c r="AC348" s="201" t="n"/>
      <c r="AD348" s="201" t="n"/>
      <c r="AE348" s="201" t="n"/>
      <c r="AF348" s="201" t="n"/>
      <c r="AG348" s="201" t="n"/>
    </row>
    <row r="349" ht="12.75" customHeight="1" s="202">
      <c r="A349" s="201" t="n"/>
      <c r="B349" s="201" t="n"/>
      <c r="C349" s="201" t="n"/>
      <c r="D349" s="201" t="n"/>
      <c r="E349" s="201" t="n"/>
      <c r="F349" s="201" t="n"/>
      <c r="G349" s="201" t="n"/>
      <c r="H349" s="201" t="n"/>
      <c r="I349" s="201" t="n"/>
      <c r="J349" s="201" t="n"/>
      <c r="K349" s="201" t="n"/>
      <c r="L349" s="201" t="n"/>
      <c r="M349" s="201" t="n"/>
      <c r="N349" s="201" t="n"/>
      <c r="O349" s="201" t="n"/>
      <c r="P349" s="201" t="n"/>
      <c r="Q349" s="201" t="n"/>
      <c r="R349" s="201" t="n"/>
      <c r="S349" s="201" t="n"/>
      <c r="T349" s="201" t="n"/>
      <c r="U349" s="201" t="n"/>
      <c r="V349" s="201" t="n"/>
      <c r="W349" s="201" t="n"/>
      <c r="X349" s="201" t="n"/>
      <c r="Y349" s="201" t="n"/>
      <c r="Z349" s="201" t="n"/>
      <c r="AA349" s="201" t="n"/>
      <c r="AB349" s="201" t="n"/>
      <c r="AC349" s="201" t="n"/>
      <c r="AD349" s="201" t="n"/>
      <c r="AE349" s="201" t="n"/>
      <c r="AF349" s="201" t="n"/>
      <c r="AG349" s="201" t="n"/>
    </row>
    <row r="350" ht="12.75" customHeight="1" s="202">
      <c r="A350" s="201" t="n"/>
      <c r="B350" s="201" t="n"/>
      <c r="C350" s="201" t="n"/>
      <c r="D350" s="201" t="n"/>
      <c r="E350" s="201" t="n"/>
      <c r="F350" s="201" t="n"/>
      <c r="G350" s="201" t="n"/>
      <c r="H350" s="201" t="n"/>
      <c r="I350" s="201" t="n"/>
      <c r="J350" s="201" t="n"/>
      <c r="K350" s="201" t="n"/>
      <c r="L350" s="201" t="n"/>
      <c r="M350" s="201" t="n"/>
      <c r="N350" s="201" t="n"/>
      <c r="O350" s="201" t="n"/>
      <c r="P350" s="201" t="n"/>
      <c r="Q350" s="201" t="n"/>
      <c r="R350" s="201" t="n"/>
      <c r="S350" s="201" t="n"/>
      <c r="T350" s="201" t="n"/>
      <c r="U350" s="201" t="n"/>
      <c r="V350" s="201" t="n"/>
      <c r="W350" s="201" t="n"/>
      <c r="X350" s="201" t="n"/>
      <c r="Y350" s="201" t="n"/>
      <c r="Z350" s="201" t="n"/>
      <c r="AA350" s="201" t="n"/>
      <c r="AB350" s="201" t="n"/>
      <c r="AC350" s="201" t="n"/>
      <c r="AD350" s="201" t="n"/>
      <c r="AE350" s="201" t="n"/>
      <c r="AF350" s="201" t="n"/>
      <c r="AG350" s="201" t="n"/>
    </row>
    <row r="351" ht="12.75" customHeight="1" s="202">
      <c r="A351" s="201" t="n"/>
      <c r="B351" s="201" t="n"/>
      <c r="C351" s="201" t="n"/>
      <c r="D351" s="201" t="n"/>
      <c r="E351" s="201" t="n"/>
      <c r="F351" s="201" t="n"/>
      <c r="G351" s="201" t="n"/>
      <c r="H351" s="201" t="n"/>
      <c r="I351" s="201" t="n"/>
      <c r="J351" s="201" t="n"/>
      <c r="K351" s="201" t="n"/>
      <c r="L351" s="201" t="n"/>
      <c r="M351" s="201" t="n"/>
      <c r="N351" s="201" t="n"/>
      <c r="O351" s="201" t="n"/>
      <c r="P351" s="201" t="n"/>
      <c r="Q351" s="201" t="n"/>
      <c r="R351" s="201" t="n"/>
      <c r="S351" s="201" t="n"/>
      <c r="T351" s="201" t="n"/>
      <c r="U351" s="201" t="n"/>
      <c r="V351" s="201" t="n"/>
      <c r="W351" s="201" t="n"/>
      <c r="X351" s="201" t="n"/>
      <c r="Y351" s="201" t="n"/>
      <c r="Z351" s="201" t="n"/>
      <c r="AA351" s="201" t="n"/>
      <c r="AB351" s="201" t="n"/>
      <c r="AC351" s="201" t="n"/>
      <c r="AD351" s="201" t="n"/>
      <c r="AE351" s="201" t="n"/>
      <c r="AF351" s="201" t="n"/>
      <c r="AG351" s="201" t="n"/>
    </row>
    <row r="352" ht="12.75" customHeight="1" s="202">
      <c r="A352" s="201" t="n"/>
      <c r="B352" s="201" t="n"/>
      <c r="C352" s="201" t="n"/>
      <c r="D352" s="201" t="n"/>
      <c r="E352" s="201" t="n"/>
      <c r="F352" s="201" t="n"/>
      <c r="G352" s="201" t="n"/>
      <c r="H352" s="201" t="n"/>
      <c r="I352" s="201" t="n"/>
      <c r="J352" s="201" t="n"/>
      <c r="K352" s="201" t="n"/>
      <c r="L352" s="201" t="n"/>
      <c r="M352" s="201" t="n"/>
      <c r="N352" s="201" t="n"/>
      <c r="O352" s="201" t="n"/>
      <c r="P352" s="201" t="n"/>
      <c r="Q352" s="201" t="n"/>
      <c r="R352" s="201" t="n"/>
      <c r="S352" s="201" t="n"/>
      <c r="T352" s="201" t="n"/>
      <c r="U352" s="201" t="n"/>
      <c r="V352" s="201" t="n"/>
      <c r="W352" s="201" t="n"/>
      <c r="X352" s="201" t="n"/>
      <c r="Y352" s="201" t="n"/>
      <c r="Z352" s="201" t="n"/>
      <c r="AA352" s="201" t="n"/>
      <c r="AB352" s="201" t="n"/>
      <c r="AC352" s="201" t="n"/>
      <c r="AD352" s="201" t="n"/>
      <c r="AE352" s="201" t="n"/>
      <c r="AF352" s="201" t="n"/>
      <c r="AG352" s="201" t="n"/>
    </row>
    <row r="353" ht="12.75" customHeight="1" s="202">
      <c r="A353" s="201" t="n"/>
      <c r="B353" s="201" t="n"/>
      <c r="C353" s="201" t="n"/>
      <c r="D353" s="201" t="n"/>
      <c r="E353" s="201" t="n"/>
      <c r="F353" s="201" t="n"/>
      <c r="G353" s="201" t="n"/>
      <c r="H353" s="201" t="n"/>
      <c r="I353" s="201" t="n"/>
      <c r="J353" s="201" t="n"/>
      <c r="K353" s="201" t="n"/>
      <c r="L353" s="201" t="n"/>
      <c r="M353" s="201" t="n"/>
      <c r="N353" s="201" t="n"/>
      <c r="O353" s="201" t="n"/>
      <c r="P353" s="201" t="n"/>
      <c r="Q353" s="201" t="n"/>
      <c r="R353" s="201" t="n"/>
      <c r="S353" s="201" t="n"/>
      <c r="T353" s="201" t="n"/>
      <c r="U353" s="201" t="n"/>
      <c r="V353" s="201" t="n"/>
      <c r="W353" s="201" t="n"/>
      <c r="X353" s="201" t="n"/>
      <c r="Y353" s="201" t="n"/>
      <c r="Z353" s="201" t="n"/>
      <c r="AA353" s="201" t="n"/>
      <c r="AB353" s="201" t="n"/>
      <c r="AC353" s="201" t="n"/>
      <c r="AD353" s="201" t="n"/>
      <c r="AE353" s="201" t="n"/>
      <c r="AF353" s="201" t="n"/>
      <c r="AG353" s="201" t="n"/>
    </row>
    <row r="354" ht="12.75" customHeight="1" s="202">
      <c r="A354" s="201" t="n"/>
      <c r="B354" s="201" t="n"/>
      <c r="C354" s="201" t="n"/>
      <c r="D354" s="201" t="n"/>
      <c r="E354" s="201" t="n"/>
      <c r="F354" s="201" t="n"/>
      <c r="G354" s="201" t="n"/>
      <c r="H354" s="201" t="n"/>
      <c r="I354" s="201" t="n"/>
      <c r="J354" s="201" t="n"/>
      <c r="K354" s="201" t="n"/>
      <c r="L354" s="201" t="n"/>
      <c r="M354" s="201" t="n"/>
      <c r="N354" s="201" t="n"/>
      <c r="O354" s="201" t="n"/>
      <c r="P354" s="201" t="n"/>
      <c r="Q354" s="201" t="n"/>
      <c r="R354" s="201" t="n"/>
      <c r="S354" s="201" t="n"/>
      <c r="T354" s="201" t="n"/>
      <c r="U354" s="201" t="n"/>
      <c r="V354" s="201" t="n"/>
      <c r="W354" s="201" t="n"/>
      <c r="X354" s="201" t="n"/>
      <c r="Y354" s="201" t="n"/>
      <c r="Z354" s="201" t="n"/>
      <c r="AA354" s="201" t="n"/>
      <c r="AB354" s="201" t="n"/>
      <c r="AC354" s="201" t="n"/>
      <c r="AD354" s="201" t="n"/>
      <c r="AE354" s="201" t="n"/>
      <c r="AF354" s="201" t="n"/>
      <c r="AG354" s="201" t="n"/>
    </row>
    <row r="355" ht="12.75" customHeight="1" s="202">
      <c r="A355" s="201" t="n"/>
      <c r="B355" s="201" t="n"/>
      <c r="C355" s="201" t="n"/>
      <c r="D355" s="201" t="n"/>
      <c r="E355" s="201" t="n"/>
      <c r="F355" s="201" t="n"/>
      <c r="G355" s="201" t="n"/>
      <c r="H355" s="201" t="n"/>
      <c r="I355" s="201" t="n"/>
      <c r="J355" s="201" t="n"/>
      <c r="K355" s="201" t="n"/>
      <c r="L355" s="201" t="n"/>
      <c r="M355" s="201" t="n"/>
      <c r="N355" s="201" t="n"/>
      <c r="O355" s="201" t="n"/>
      <c r="P355" s="201" t="n"/>
      <c r="Q355" s="201" t="n"/>
      <c r="R355" s="201" t="n"/>
      <c r="S355" s="201" t="n"/>
      <c r="T355" s="201" t="n"/>
      <c r="U355" s="201" t="n"/>
      <c r="V355" s="201" t="n"/>
      <c r="W355" s="201" t="n"/>
      <c r="X355" s="201" t="n"/>
      <c r="Y355" s="201" t="n"/>
      <c r="Z355" s="201" t="n"/>
      <c r="AA355" s="201" t="n"/>
      <c r="AB355" s="201" t="n"/>
      <c r="AC355" s="201" t="n"/>
      <c r="AD355" s="201" t="n"/>
      <c r="AE355" s="201" t="n"/>
      <c r="AF355" s="201" t="n"/>
      <c r="AG355" s="201" t="n"/>
    </row>
    <row r="356" ht="12.75" customHeight="1" s="202">
      <c r="A356" s="201" t="n"/>
      <c r="B356" s="201" t="n"/>
      <c r="C356" s="201" t="n"/>
      <c r="D356" s="201" t="n"/>
      <c r="E356" s="201" t="n"/>
      <c r="F356" s="201" t="n"/>
      <c r="G356" s="201" t="n"/>
      <c r="H356" s="201" t="n"/>
      <c r="I356" s="201" t="n"/>
      <c r="J356" s="201" t="n"/>
      <c r="K356" s="201" t="n"/>
      <c r="L356" s="201" t="n"/>
      <c r="M356" s="201" t="n"/>
      <c r="N356" s="201" t="n"/>
      <c r="O356" s="201" t="n"/>
      <c r="P356" s="201" t="n"/>
      <c r="Q356" s="201" t="n"/>
      <c r="R356" s="201" t="n"/>
      <c r="S356" s="201" t="n"/>
      <c r="T356" s="201" t="n"/>
      <c r="U356" s="201" t="n"/>
      <c r="V356" s="201" t="n"/>
      <c r="W356" s="201" t="n"/>
      <c r="X356" s="201" t="n"/>
      <c r="Y356" s="201" t="n"/>
      <c r="Z356" s="201" t="n"/>
      <c r="AA356" s="201" t="n"/>
      <c r="AB356" s="201" t="n"/>
      <c r="AC356" s="201" t="n"/>
      <c r="AD356" s="201" t="n"/>
      <c r="AE356" s="201" t="n"/>
      <c r="AF356" s="201" t="n"/>
      <c r="AG356" s="201" t="n"/>
    </row>
    <row r="357" ht="12.75" customHeight="1" s="202">
      <c r="A357" s="201" t="n"/>
      <c r="B357" s="201" t="n"/>
      <c r="C357" s="201" t="n"/>
      <c r="D357" s="201" t="n"/>
      <c r="E357" s="201" t="n"/>
      <c r="F357" s="201" t="n"/>
      <c r="G357" s="201" t="n"/>
      <c r="H357" s="201" t="n"/>
      <c r="I357" s="201" t="n"/>
      <c r="J357" s="201" t="n"/>
      <c r="K357" s="201" t="n"/>
      <c r="L357" s="201" t="n"/>
      <c r="M357" s="201" t="n"/>
      <c r="N357" s="201" t="n"/>
      <c r="O357" s="201" t="n"/>
      <c r="P357" s="201" t="n"/>
      <c r="Q357" s="201" t="n"/>
      <c r="R357" s="201" t="n"/>
      <c r="S357" s="201" t="n"/>
      <c r="T357" s="201" t="n"/>
      <c r="U357" s="201" t="n"/>
      <c r="V357" s="201" t="n"/>
      <c r="W357" s="201" t="n"/>
      <c r="X357" s="201" t="n"/>
      <c r="Y357" s="201" t="n"/>
      <c r="Z357" s="201" t="n"/>
      <c r="AA357" s="201" t="n"/>
      <c r="AB357" s="201" t="n"/>
      <c r="AC357" s="201" t="n"/>
      <c r="AD357" s="201" t="n"/>
      <c r="AE357" s="201" t="n"/>
      <c r="AF357" s="201" t="n"/>
      <c r="AG357" s="201" t="n"/>
    </row>
    <row r="358" ht="12.75" customHeight="1" s="202">
      <c r="A358" s="201" t="n"/>
      <c r="B358" s="201" t="n"/>
      <c r="C358" s="201" t="n"/>
      <c r="D358" s="201" t="n"/>
      <c r="E358" s="201" t="n"/>
      <c r="F358" s="201" t="n"/>
      <c r="G358" s="201" t="n"/>
      <c r="H358" s="201" t="n"/>
      <c r="I358" s="201" t="n"/>
      <c r="J358" s="201" t="n"/>
      <c r="K358" s="201" t="n"/>
      <c r="L358" s="201" t="n"/>
      <c r="M358" s="201" t="n"/>
      <c r="N358" s="201" t="n"/>
      <c r="O358" s="201" t="n"/>
      <c r="P358" s="201" t="n"/>
      <c r="Q358" s="201" t="n"/>
      <c r="R358" s="201" t="n"/>
      <c r="S358" s="201" t="n"/>
      <c r="T358" s="201" t="n"/>
      <c r="U358" s="201" t="n"/>
      <c r="V358" s="201" t="n"/>
      <c r="W358" s="201" t="n"/>
      <c r="X358" s="201" t="n"/>
      <c r="Y358" s="201" t="n"/>
      <c r="Z358" s="201" t="n"/>
      <c r="AA358" s="201" t="n"/>
      <c r="AB358" s="201" t="n"/>
      <c r="AC358" s="201" t="n"/>
      <c r="AD358" s="201" t="n"/>
      <c r="AE358" s="201" t="n"/>
      <c r="AF358" s="201" t="n"/>
      <c r="AG358" s="201" t="n"/>
    </row>
    <row r="359" ht="12.75" customHeight="1" s="202">
      <c r="A359" s="201" t="n"/>
      <c r="B359" s="201" t="n"/>
      <c r="C359" s="201" t="n"/>
      <c r="D359" s="201" t="n"/>
      <c r="E359" s="201" t="n"/>
      <c r="F359" s="201" t="n"/>
      <c r="G359" s="201" t="n"/>
      <c r="H359" s="201" t="n"/>
      <c r="I359" s="201" t="n"/>
      <c r="J359" s="201" t="n"/>
      <c r="K359" s="201" t="n"/>
      <c r="L359" s="201" t="n"/>
      <c r="M359" s="201" t="n"/>
      <c r="N359" s="201" t="n"/>
      <c r="O359" s="201" t="n"/>
      <c r="P359" s="201" t="n"/>
      <c r="Q359" s="201" t="n"/>
      <c r="R359" s="201" t="n"/>
      <c r="S359" s="201" t="n"/>
      <c r="T359" s="201" t="n"/>
      <c r="U359" s="201" t="n"/>
      <c r="V359" s="201" t="n"/>
      <c r="W359" s="201" t="n"/>
      <c r="X359" s="201" t="n"/>
      <c r="Y359" s="201" t="n"/>
      <c r="Z359" s="201" t="n"/>
      <c r="AA359" s="201" t="n"/>
      <c r="AB359" s="201" t="n"/>
      <c r="AC359" s="201" t="n"/>
      <c r="AD359" s="201" t="n"/>
      <c r="AE359" s="201" t="n"/>
      <c r="AF359" s="201" t="n"/>
      <c r="AG359" s="201" t="n"/>
    </row>
    <row r="360" ht="12.75" customHeight="1" s="202">
      <c r="A360" s="201" t="n"/>
      <c r="B360" s="201" t="n"/>
      <c r="C360" s="201" t="n"/>
      <c r="D360" s="201" t="n"/>
      <c r="E360" s="201" t="n"/>
      <c r="F360" s="201" t="n"/>
      <c r="G360" s="201" t="n"/>
      <c r="H360" s="201" t="n"/>
      <c r="I360" s="201" t="n"/>
      <c r="J360" s="201" t="n"/>
      <c r="K360" s="201" t="n"/>
      <c r="L360" s="201" t="n"/>
      <c r="M360" s="201" t="n"/>
      <c r="N360" s="201" t="n"/>
      <c r="O360" s="201" t="n"/>
      <c r="P360" s="201" t="n"/>
      <c r="Q360" s="201" t="n"/>
      <c r="R360" s="201" t="n"/>
      <c r="S360" s="201" t="n"/>
      <c r="T360" s="201" t="n"/>
      <c r="U360" s="201" t="n"/>
      <c r="V360" s="201" t="n"/>
      <c r="W360" s="201" t="n"/>
      <c r="X360" s="201" t="n"/>
      <c r="Y360" s="201" t="n"/>
      <c r="Z360" s="201" t="n"/>
      <c r="AA360" s="201" t="n"/>
      <c r="AB360" s="201" t="n"/>
      <c r="AC360" s="201" t="n"/>
      <c r="AD360" s="201" t="n"/>
      <c r="AE360" s="201" t="n"/>
      <c r="AF360" s="201" t="n"/>
      <c r="AG360" s="201" t="n"/>
    </row>
    <row r="361" ht="12.75" customHeight="1" s="202">
      <c r="A361" s="201" t="n"/>
      <c r="B361" s="201" t="n"/>
      <c r="C361" s="201" t="n"/>
      <c r="D361" s="201" t="n"/>
      <c r="E361" s="201" t="n"/>
      <c r="F361" s="201" t="n"/>
      <c r="G361" s="201" t="n"/>
      <c r="H361" s="201" t="n"/>
      <c r="I361" s="201" t="n"/>
      <c r="J361" s="201" t="n"/>
      <c r="K361" s="201" t="n"/>
      <c r="L361" s="201" t="n"/>
      <c r="M361" s="201" t="n"/>
      <c r="N361" s="201" t="n"/>
      <c r="O361" s="201" t="n"/>
      <c r="P361" s="201" t="n"/>
      <c r="Q361" s="201" t="n"/>
      <c r="R361" s="201" t="n"/>
      <c r="S361" s="201" t="n"/>
      <c r="T361" s="201" t="n"/>
      <c r="U361" s="201" t="n"/>
      <c r="V361" s="201" t="n"/>
      <c r="W361" s="201" t="n"/>
      <c r="X361" s="201" t="n"/>
      <c r="Y361" s="201" t="n"/>
      <c r="Z361" s="201" t="n"/>
      <c r="AA361" s="201" t="n"/>
      <c r="AB361" s="201" t="n"/>
      <c r="AC361" s="201" t="n"/>
      <c r="AD361" s="201" t="n"/>
      <c r="AE361" s="201" t="n"/>
      <c r="AF361" s="201" t="n"/>
      <c r="AG361" s="201" t="n"/>
    </row>
    <row r="362" ht="12.75" customHeight="1" s="202">
      <c r="A362" s="201" t="n"/>
      <c r="B362" s="201" t="n"/>
      <c r="C362" s="201" t="n"/>
      <c r="D362" s="201" t="n"/>
      <c r="E362" s="201" t="n"/>
      <c r="F362" s="201" t="n"/>
      <c r="G362" s="201" t="n"/>
      <c r="H362" s="201" t="n"/>
      <c r="I362" s="201" t="n"/>
      <c r="J362" s="201" t="n"/>
      <c r="K362" s="201" t="n"/>
      <c r="L362" s="201" t="n"/>
      <c r="M362" s="201" t="n"/>
      <c r="N362" s="201" t="n"/>
      <c r="O362" s="201" t="n"/>
      <c r="P362" s="201" t="n"/>
      <c r="Q362" s="201" t="n"/>
      <c r="R362" s="201" t="n"/>
      <c r="S362" s="201" t="n"/>
      <c r="T362" s="201" t="n"/>
      <c r="U362" s="201" t="n"/>
      <c r="V362" s="201" t="n"/>
      <c r="W362" s="201" t="n"/>
      <c r="X362" s="201" t="n"/>
      <c r="Y362" s="201" t="n"/>
      <c r="Z362" s="201" t="n"/>
      <c r="AA362" s="201" t="n"/>
      <c r="AB362" s="201" t="n"/>
      <c r="AC362" s="201" t="n"/>
      <c r="AD362" s="201" t="n"/>
      <c r="AE362" s="201" t="n"/>
      <c r="AF362" s="201" t="n"/>
      <c r="AG362" s="201" t="n"/>
    </row>
    <row r="363" ht="12.75" customHeight="1" s="202">
      <c r="A363" s="201" t="n"/>
      <c r="B363" s="201" t="n"/>
      <c r="C363" s="201" t="n"/>
      <c r="D363" s="201" t="n"/>
      <c r="E363" s="201" t="n"/>
      <c r="F363" s="201" t="n"/>
      <c r="G363" s="201" t="n"/>
      <c r="H363" s="201" t="n"/>
      <c r="I363" s="201" t="n"/>
      <c r="J363" s="201" t="n"/>
      <c r="K363" s="201" t="n"/>
      <c r="L363" s="201" t="n"/>
      <c r="M363" s="201" t="n"/>
      <c r="N363" s="201" t="n"/>
      <c r="O363" s="201" t="n"/>
      <c r="P363" s="201" t="n"/>
      <c r="Q363" s="201" t="n"/>
      <c r="R363" s="201" t="n"/>
      <c r="S363" s="201" t="n"/>
      <c r="T363" s="201" t="n"/>
      <c r="U363" s="201" t="n"/>
      <c r="V363" s="201" t="n"/>
      <c r="W363" s="201" t="n"/>
      <c r="X363" s="201" t="n"/>
      <c r="Y363" s="201" t="n"/>
      <c r="Z363" s="201" t="n"/>
      <c r="AA363" s="201" t="n"/>
      <c r="AB363" s="201" t="n"/>
      <c r="AC363" s="201" t="n"/>
      <c r="AD363" s="201" t="n"/>
      <c r="AE363" s="201" t="n"/>
      <c r="AF363" s="201" t="n"/>
      <c r="AG363" s="201" t="n"/>
    </row>
    <row r="364" ht="12.75" customHeight="1" s="202">
      <c r="A364" s="201" t="n"/>
      <c r="B364" s="201" t="n"/>
      <c r="C364" s="201" t="n"/>
      <c r="D364" s="201" t="n"/>
      <c r="E364" s="201" t="n"/>
      <c r="F364" s="201" t="n"/>
      <c r="G364" s="201" t="n"/>
      <c r="H364" s="201" t="n"/>
      <c r="I364" s="201" t="n"/>
      <c r="J364" s="201" t="n"/>
      <c r="K364" s="201" t="n"/>
      <c r="L364" s="201" t="n"/>
      <c r="M364" s="201" t="n"/>
      <c r="N364" s="201" t="n"/>
      <c r="O364" s="201" t="n"/>
      <c r="P364" s="201" t="n"/>
      <c r="Q364" s="201" t="n"/>
      <c r="R364" s="201" t="n"/>
      <c r="S364" s="201" t="n"/>
      <c r="T364" s="201" t="n"/>
      <c r="U364" s="201" t="n"/>
      <c r="V364" s="201" t="n"/>
      <c r="W364" s="201" t="n"/>
      <c r="X364" s="201" t="n"/>
      <c r="Y364" s="201" t="n"/>
      <c r="Z364" s="201" t="n"/>
      <c r="AA364" s="201" t="n"/>
      <c r="AB364" s="201" t="n"/>
      <c r="AC364" s="201" t="n"/>
      <c r="AD364" s="201" t="n"/>
      <c r="AE364" s="201" t="n"/>
      <c r="AF364" s="201" t="n"/>
      <c r="AG364" s="201" t="n"/>
    </row>
    <row r="365" ht="12.75" customHeight="1" s="202">
      <c r="A365" s="201" t="n"/>
      <c r="B365" s="201" t="n"/>
      <c r="C365" s="201" t="n"/>
      <c r="D365" s="201" t="n"/>
      <c r="E365" s="201" t="n"/>
      <c r="F365" s="201" t="n"/>
      <c r="G365" s="201" t="n"/>
      <c r="H365" s="201" t="n"/>
      <c r="I365" s="201" t="n"/>
      <c r="J365" s="201" t="n"/>
      <c r="K365" s="201" t="n"/>
      <c r="L365" s="201" t="n"/>
      <c r="M365" s="201" t="n"/>
      <c r="N365" s="201" t="n"/>
      <c r="O365" s="201" t="n"/>
      <c r="P365" s="201" t="n"/>
      <c r="Q365" s="201" t="n"/>
      <c r="R365" s="201" t="n"/>
      <c r="S365" s="201" t="n"/>
      <c r="T365" s="201" t="n"/>
      <c r="U365" s="201" t="n"/>
      <c r="V365" s="201" t="n"/>
      <c r="W365" s="201" t="n"/>
      <c r="X365" s="201" t="n"/>
      <c r="Y365" s="201" t="n"/>
      <c r="Z365" s="201" t="n"/>
      <c r="AA365" s="201" t="n"/>
      <c r="AB365" s="201" t="n"/>
      <c r="AC365" s="201" t="n"/>
      <c r="AD365" s="201" t="n"/>
      <c r="AE365" s="201" t="n"/>
      <c r="AF365" s="201" t="n"/>
      <c r="AG365" s="201" t="n"/>
    </row>
    <row r="366" ht="12.75" customHeight="1" s="202">
      <c r="A366" s="201" t="n"/>
      <c r="B366" s="201" t="n"/>
      <c r="C366" s="201" t="n"/>
      <c r="D366" s="201" t="n"/>
      <c r="E366" s="201" t="n"/>
      <c r="F366" s="201" t="n"/>
      <c r="G366" s="201" t="n"/>
      <c r="H366" s="201" t="n"/>
      <c r="I366" s="201" t="n"/>
      <c r="J366" s="201" t="n"/>
      <c r="K366" s="201" t="n"/>
      <c r="L366" s="201" t="n"/>
      <c r="M366" s="201" t="n"/>
      <c r="N366" s="201" t="n"/>
      <c r="O366" s="201" t="n"/>
      <c r="P366" s="201" t="n"/>
      <c r="Q366" s="201" t="n"/>
      <c r="R366" s="201" t="n"/>
      <c r="S366" s="201" t="n"/>
      <c r="T366" s="201" t="n"/>
      <c r="U366" s="201" t="n"/>
      <c r="V366" s="201" t="n"/>
      <c r="W366" s="201" t="n"/>
      <c r="X366" s="201" t="n"/>
      <c r="Y366" s="201" t="n"/>
      <c r="Z366" s="201" t="n"/>
      <c r="AA366" s="201" t="n"/>
      <c r="AB366" s="201" t="n"/>
      <c r="AC366" s="201" t="n"/>
      <c r="AD366" s="201" t="n"/>
      <c r="AE366" s="201" t="n"/>
      <c r="AF366" s="201" t="n"/>
      <c r="AG366" s="201" t="n"/>
    </row>
    <row r="367" ht="12.75" customHeight="1" s="202">
      <c r="A367" s="201" t="n"/>
      <c r="B367" s="201" t="n"/>
      <c r="C367" s="201" t="n"/>
      <c r="D367" s="201" t="n"/>
      <c r="E367" s="201" t="n"/>
      <c r="F367" s="201" t="n"/>
      <c r="G367" s="201" t="n"/>
      <c r="H367" s="201" t="n"/>
      <c r="I367" s="201" t="n"/>
      <c r="J367" s="201" t="n"/>
      <c r="K367" s="201" t="n"/>
      <c r="L367" s="201" t="n"/>
      <c r="M367" s="201" t="n"/>
      <c r="N367" s="201" t="n"/>
      <c r="O367" s="201" t="n"/>
      <c r="P367" s="201" t="n"/>
      <c r="Q367" s="201" t="n"/>
      <c r="R367" s="201" t="n"/>
      <c r="S367" s="201" t="n"/>
      <c r="T367" s="201" t="n"/>
      <c r="U367" s="201" t="n"/>
      <c r="V367" s="201" t="n"/>
      <c r="W367" s="201" t="n"/>
      <c r="X367" s="201" t="n"/>
      <c r="Y367" s="201" t="n"/>
      <c r="Z367" s="201" t="n"/>
      <c r="AA367" s="201" t="n"/>
      <c r="AB367" s="201" t="n"/>
      <c r="AC367" s="201" t="n"/>
      <c r="AD367" s="201" t="n"/>
      <c r="AE367" s="201" t="n"/>
      <c r="AF367" s="201" t="n"/>
      <c r="AG367" s="201" t="n"/>
    </row>
    <row r="368" ht="12.75" customHeight="1" s="202">
      <c r="A368" s="201" t="n"/>
      <c r="B368" s="201" t="n"/>
      <c r="C368" s="201" t="n"/>
      <c r="D368" s="201" t="n"/>
      <c r="E368" s="201" t="n"/>
      <c r="F368" s="201" t="n"/>
      <c r="G368" s="201" t="n"/>
      <c r="H368" s="201" t="n"/>
      <c r="I368" s="201" t="n"/>
      <c r="J368" s="201" t="n"/>
      <c r="K368" s="201" t="n"/>
      <c r="L368" s="201" t="n"/>
      <c r="M368" s="201" t="n"/>
      <c r="N368" s="201" t="n"/>
      <c r="O368" s="201" t="n"/>
      <c r="P368" s="201" t="n"/>
      <c r="Q368" s="201" t="n"/>
      <c r="R368" s="201" t="n"/>
      <c r="S368" s="201" t="n"/>
      <c r="T368" s="201" t="n"/>
      <c r="U368" s="201" t="n"/>
      <c r="V368" s="201" t="n"/>
      <c r="W368" s="201" t="n"/>
      <c r="X368" s="201" t="n"/>
      <c r="Y368" s="201" t="n"/>
      <c r="Z368" s="201" t="n"/>
      <c r="AA368" s="201" t="n"/>
      <c r="AB368" s="201" t="n"/>
      <c r="AC368" s="201" t="n"/>
      <c r="AD368" s="201" t="n"/>
      <c r="AE368" s="201" t="n"/>
      <c r="AF368" s="201" t="n"/>
      <c r="AG368" s="201" t="n"/>
    </row>
    <row r="369" ht="12.75" customHeight="1" s="202">
      <c r="A369" s="201" t="n"/>
      <c r="B369" s="201" t="n"/>
      <c r="C369" s="201" t="n"/>
      <c r="D369" s="201" t="n"/>
      <c r="E369" s="201" t="n"/>
      <c r="F369" s="201" t="n"/>
      <c r="G369" s="201" t="n"/>
      <c r="H369" s="201" t="n"/>
      <c r="I369" s="201" t="n"/>
      <c r="J369" s="201" t="n"/>
      <c r="K369" s="201" t="n"/>
      <c r="L369" s="201" t="n"/>
      <c r="M369" s="201" t="n"/>
      <c r="N369" s="201" t="n"/>
      <c r="O369" s="201" t="n"/>
      <c r="P369" s="201" t="n"/>
      <c r="Q369" s="201" t="n"/>
      <c r="R369" s="201" t="n"/>
      <c r="S369" s="201" t="n"/>
      <c r="T369" s="201" t="n"/>
      <c r="U369" s="201" t="n"/>
      <c r="V369" s="201" t="n"/>
      <c r="W369" s="201" t="n"/>
      <c r="X369" s="201" t="n"/>
      <c r="Y369" s="201" t="n"/>
      <c r="Z369" s="201" t="n"/>
      <c r="AA369" s="201" t="n"/>
      <c r="AB369" s="201" t="n"/>
      <c r="AC369" s="201" t="n"/>
      <c r="AD369" s="201" t="n"/>
      <c r="AE369" s="201" t="n"/>
      <c r="AF369" s="201" t="n"/>
      <c r="AG369" s="201" t="n"/>
    </row>
    <row r="370" ht="12.75" customHeight="1" s="202">
      <c r="A370" s="201" t="n"/>
      <c r="B370" s="201" t="n"/>
      <c r="C370" s="201" t="n"/>
      <c r="D370" s="201" t="n"/>
      <c r="E370" s="201" t="n"/>
      <c r="F370" s="201" t="n"/>
      <c r="G370" s="201" t="n"/>
      <c r="H370" s="201" t="n"/>
      <c r="I370" s="201" t="n"/>
      <c r="J370" s="201" t="n"/>
      <c r="K370" s="201" t="n"/>
      <c r="L370" s="201" t="n"/>
      <c r="M370" s="201" t="n"/>
      <c r="N370" s="201" t="n"/>
      <c r="O370" s="201" t="n"/>
      <c r="P370" s="201" t="n"/>
      <c r="Q370" s="201" t="n"/>
      <c r="R370" s="201" t="n"/>
      <c r="S370" s="201" t="n"/>
      <c r="T370" s="201" t="n"/>
      <c r="U370" s="201" t="n"/>
      <c r="V370" s="201" t="n"/>
      <c r="W370" s="201" t="n"/>
      <c r="X370" s="201" t="n"/>
      <c r="Y370" s="201" t="n"/>
      <c r="Z370" s="201" t="n"/>
      <c r="AA370" s="201" t="n"/>
      <c r="AB370" s="201" t="n"/>
      <c r="AC370" s="201" t="n"/>
      <c r="AD370" s="201" t="n"/>
      <c r="AE370" s="201" t="n"/>
      <c r="AF370" s="201" t="n"/>
      <c r="AG370" s="201" t="n"/>
    </row>
    <row r="371" ht="12.75" customHeight="1" s="202">
      <c r="A371" s="201" t="n"/>
      <c r="B371" s="201" t="n"/>
      <c r="C371" s="201" t="n"/>
      <c r="D371" s="201" t="n"/>
      <c r="E371" s="201" t="n"/>
      <c r="F371" s="201" t="n"/>
      <c r="G371" s="201" t="n"/>
      <c r="H371" s="201" t="n"/>
      <c r="I371" s="201" t="n"/>
      <c r="J371" s="201" t="n"/>
      <c r="K371" s="201" t="n"/>
      <c r="L371" s="201" t="n"/>
      <c r="M371" s="201" t="n"/>
      <c r="N371" s="201" t="n"/>
      <c r="O371" s="201" t="n"/>
      <c r="P371" s="201" t="n"/>
      <c r="Q371" s="201" t="n"/>
      <c r="R371" s="201" t="n"/>
      <c r="S371" s="201" t="n"/>
      <c r="T371" s="201" t="n"/>
      <c r="U371" s="201" t="n"/>
      <c r="V371" s="201" t="n"/>
      <c r="W371" s="201" t="n"/>
      <c r="X371" s="201" t="n"/>
      <c r="Y371" s="201" t="n"/>
      <c r="Z371" s="201" t="n"/>
      <c r="AA371" s="201" t="n"/>
      <c r="AB371" s="201" t="n"/>
      <c r="AC371" s="201" t="n"/>
      <c r="AD371" s="201" t="n"/>
      <c r="AE371" s="201" t="n"/>
      <c r="AF371" s="201" t="n"/>
      <c r="AG371" s="201" t="n"/>
    </row>
    <row r="372" ht="12.75" customHeight="1" s="202">
      <c r="A372" s="201" t="n"/>
      <c r="B372" s="201" t="n"/>
      <c r="C372" s="201" t="n"/>
      <c r="D372" s="201" t="n"/>
      <c r="E372" s="201" t="n"/>
      <c r="F372" s="201" t="n"/>
      <c r="G372" s="201" t="n"/>
      <c r="H372" s="201" t="n"/>
      <c r="I372" s="201" t="n"/>
      <c r="J372" s="201" t="n"/>
      <c r="K372" s="201" t="n"/>
      <c r="L372" s="201" t="n"/>
      <c r="M372" s="201" t="n"/>
      <c r="N372" s="201" t="n"/>
      <c r="O372" s="201" t="n"/>
      <c r="P372" s="201" t="n"/>
      <c r="Q372" s="201" t="n"/>
      <c r="R372" s="201" t="n"/>
      <c r="S372" s="201" t="n"/>
      <c r="T372" s="201" t="n"/>
      <c r="U372" s="201" t="n"/>
      <c r="V372" s="201" t="n"/>
      <c r="W372" s="201" t="n"/>
      <c r="X372" s="201" t="n"/>
      <c r="Y372" s="201" t="n"/>
      <c r="Z372" s="201" t="n"/>
      <c r="AA372" s="201" t="n"/>
      <c r="AB372" s="201" t="n"/>
      <c r="AC372" s="201" t="n"/>
      <c r="AD372" s="201" t="n"/>
      <c r="AE372" s="201" t="n"/>
      <c r="AF372" s="201" t="n"/>
      <c r="AG372" s="201" t="n"/>
    </row>
    <row r="373" ht="12.75" customHeight="1" s="202">
      <c r="A373" s="201" t="n"/>
      <c r="B373" s="201" t="n"/>
      <c r="C373" s="201" t="n"/>
      <c r="D373" s="201" t="n"/>
      <c r="E373" s="201" t="n"/>
      <c r="F373" s="201" t="n"/>
      <c r="G373" s="201" t="n"/>
      <c r="H373" s="201" t="n"/>
      <c r="I373" s="201" t="n"/>
      <c r="J373" s="201" t="n"/>
      <c r="K373" s="201" t="n"/>
      <c r="L373" s="201" t="n"/>
      <c r="M373" s="201" t="n"/>
      <c r="N373" s="201" t="n"/>
      <c r="O373" s="201" t="n"/>
      <c r="P373" s="201" t="n"/>
      <c r="Q373" s="201" t="n"/>
      <c r="R373" s="201" t="n"/>
      <c r="S373" s="201" t="n"/>
      <c r="T373" s="201" t="n"/>
      <c r="U373" s="201" t="n"/>
      <c r="V373" s="201" t="n"/>
      <c r="W373" s="201" t="n"/>
      <c r="X373" s="201" t="n"/>
      <c r="Y373" s="201" t="n"/>
      <c r="Z373" s="201" t="n"/>
      <c r="AA373" s="201" t="n"/>
      <c r="AB373" s="201" t="n"/>
      <c r="AC373" s="201" t="n"/>
      <c r="AD373" s="201" t="n"/>
      <c r="AE373" s="201" t="n"/>
      <c r="AF373" s="201" t="n"/>
      <c r="AG373" s="201" t="n"/>
    </row>
    <row r="374" ht="12.75" customHeight="1" s="202">
      <c r="A374" s="201" t="n"/>
      <c r="B374" s="201" t="n"/>
      <c r="C374" s="201" t="n"/>
      <c r="D374" s="201" t="n"/>
      <c r="E374" s="201" t="n"/>
      <c r="F374" s="201" t="n"/>
      <c r="G374" s="201" t="n"/>
      <c r="H374" s="201" t="n"/>
      <c r="I374" s="201" t="n"/>
      <c r="J374" s="201" t="n"/>
      <c r="K374" s="201" t="n"/>
      <c r="L374" s="201" t="n"/>
      <c r="M374" s="201" t="n"/>
      <c r="N374" s="201" t="n"/>
      <c r="O374" s="201" t="n"/>
      <c r="P374" s="201" t="n"/>
      <c r="Q374" s="201" t="n"/>
      <c r="R374" s="201" t="n"/>
      <c r="S374" s="201" t="n"/>
      <c r="T374" s="201" t="n"/>
      <c r="U374" s="201" t="n"/>
      <c r="V374" s="201" t="n"/>
      <c r="W374" s="201" t="n"/>
      <c r="X374" s="201" t="n"/>
      <c r="Y374" s="201" t="n"/>
      <c r="Z374" s="201" t="n"/>
      <c r="AA374" s="201" t="n"/>
      <c r="AB374" s="201" t="n"/>
      <c r="AC374" s="201" t="n"/>
      <c r="AD374" s="201" t="n"/>
      <c r="AE374" s="201" t="n"/>
      <c r="AF374" s="201" t="n"/>
      <c r="AG374" s="201" t="n"/>
    </row>
    <row r="375" ht="12.75" customHeight="1" s="202">
      <c r="A375" s="201" t="n"/>
      <c r="B375" s="201" t="n"/>
      <c r="C375" s="201" t="n"/>
      <c r="D375" s="201" t="n"/>
      <c r="E375" s="201" t="n"/>
      <c r="F375" s="201" t="n"/>
      <c r="G375" s="201" t="n"/>
      <c r="H375" s="201" t="n"/>
      <c r="I375" s="201" t="n"/>
      <c r="J375" s="201" t="n"/>
      <c r="K375" s="201" t="n"/>
      <c r="L375" s="201" t="n"/>
      <c r="M375" s="201" t="n"/>
      <c r="N375" s="201" t="n"/>
      <c r="O375" s="201" t="n"/>
      <c r="P375" s="201" t="n"/>
      <c r="Q375" s="201" t="n"/>
      <c r="R375" s="201" t="n"/>
      <c r="S375" s="201" t="n"/>
      <c r="T375" s="201" t="n"/>
      <c r="U375" s="201" t="n"/>
      <c r="V375" s="201" t="n"/>
      <c r="W375" s="201" t="n"/>
      <c r="X375" s="201" t="n"/>
      <c r="Y375" s="201" t="n"/>
      <c r="Z375" s="201" t="n"/>
      <c r="AA375" s="201" t="n"/>
      <c r="AB375" s="201" t="n"/>
      <c r="AC375" s="201" t="n"/>
      <c r="AD375" s="201" t="n"/>
      <c r="AE375" s="201" t="n"/>
      <c r="AF375" s="201" t="n"/>
      <c r="AG375" s="201" t="n"/>
    </row>
    <row r="376" ht="12.75" customHeight="1" s="202">
      <c r="A376" s="201" t="n"/>
      <c r="B376" s="201" t="n"/>
      <c r="C376" s="201" t="n"/>
      <c r="D376" s="201" t="n"/>
      <c r="E376" s="201" t="n"/>
      <c r="F376" s="201" t="n"/>
      <c r="G376" s="201" t="n"/>
      <c r="H376" s="201" t="n"/>
      <c r="I376" s="201" t="n"/>
      <c r="J376" s="201" t="n"/>
      <c r="K376" s="201" t="n"/>
      <c r="L376" s="201" t="n"/>
      <c r="M376" s="201" t="n"/>
      <c r="N376" s="201" t="n"/>
      <c r="O376" s="201" t="n"/>
      <c r="P376" s="201" t="n"/>
      <c r="Q376" s="201" t="n"/>
      <c r="R376" s="201" t="n"/>
      <c r="S376" s="201" t="n"/>
      <c r="T376" s="201" t="n"/>
      <c r="U376" s="201" t="n"/>
      <c r="V376" s="201" t="n"/>
      <c r="W376" s="201" t="n"/>
      <c r="X376" s="201" t="n"/>
      <c r="Y376" s="201" t="n"/>
      <c r="Z376" s="201" t="n"/>
      <c r="AA376" s="201" t="n"/>
      <c r="AB376" s="201" t="n"/>
      <c r="AC376" s="201" t="n"/>
      <c r="AD376" s="201" t="n"/>
      <c r="AE376" s="201" t="n"/>
      <c r="AF376" s="201" t="n"/>
      <c r="AG376" s="201" t="n"/>
    </row>
    <row r="377" ht="12.75" customHeight="1" s="202">
      <c r="A377" s="201" t="n"/>
      <c r="B377" s="201" t="n"/>
      <c r="C377" s="201" t="n"/>
      <c r="D377" s="201" t="n"/>
      <c r="E377" s="201" t="n"/>
      <c r="F377" s="201" t="n"/>
      <c r="G377" s="201" t="n"/>
      <c r="H377" s="201" t="n"/>
      <c r="I377" s="201" t="n"/>
      <c r="J377" s="201" t="n"/>
      <c r="K377" s="201" t="n"/>
      <c r="L377" s="201" t="n"/>
      <c r="M377" s="201" t="n"/>
      <c r="N377" s="201" t="n"/>
      <c r="O377" s="201" t="n"/>
      <c r="P377" s="201" t="n"/>
      <c r="Q377" s="201" t="n"/>
      <c r="R377" s="201" t="n"/>
      <c r="S377" s="201" t="n"/>
      <c r="T377" s="201" t="n"/>
      <c r="U377" s="201" t="n"/>
      <c r="V377" s="201" t="n"/>
      <c r="W377" s="201" t="n"/>
      <c r="X377" s="201" t="n"/>
      <c r="Y377" s="201" t="n"/>
      <c r="Z377" s="201" t="n"/>
      <c r="AA377" s="201" t="n"/>
      <c r="AB377" s="201" t="n"/>
      <c r="AC377" s="201" t="n"/>
      <c r="AD377" s="201" t="n"/>
      <c r="AE377" s="201" t="n"/>
      <c r="AF377" s="201" t="n"/>
      <c r="AG377" s="201" t="n"/>
    </row>
    <row r="378" ht="12.75" customHeight="1" s="202">
      <c r="A378" s="201" t="n"/>
      <c r="B378" s="201" t="n"/>
      <c r="C378" s="201" t="n"/>
      <c r="D378" s="201" t="n"/>
      <c r="E378" s="201" t="n"/>
      <c r="F378" s="201" t="n"/>
      <c r="G378" s="201" t="n"/>
      <c r="H378" s="201" t="n"/>
      <c r="I378" s="201" t="n"/>
      <c r="J378" s="201" t="n"/>
      <c r="K378" s="201" t="n"/>
      <c r="L378" s="201" t="n"/>
      <c r="M378" s="201" t="n"/>
      <c r="N378" s="201" t="n"/>
      <c r="O378" s="201" t="n"/>
      <c r="P378" s="201" t="n"/>
      <c r="Q378" s="201" t="n"/>
      <c r="R378" s="201" t="n"/>
      <c r="S378" s="201" t="n"/>
      <c r="T378" s="201" t="n"/>
      <c r="U378" s="201" t="n"/>
      <c r="V378" s="201" t="n"/>
      <c r="W378" s="201" t="n"/>
      <c r="X378" s="201" t="n"/>
      <c r="Y378" s="201" t="n"/>
      <c r="Z378" s="201" t="n"/>
      <c r="AA378" s="201" t="n"/>
      <c r="AB378" s="201" t="n"/>
      <c r="AC378" s="201" t="n"/>
      <c r="AD378" s="201" t="n"/>
      <c r="AE378" s="201" t="n"/>
      <c r="AF378" s="201" t="n"/>
      <c r="AG378" s="201" t="n"/>
    </row>
    <row r="379" ht="12.75" customHeight="1" s="202">
      <c r="A379" s="201" t="n"/>
      <c r="B379" s="201" t="n"/>
      <c r="C379" s="201" t="n"/>
      <c r="D379" s="201" t="n"/>
      <c r="E379" s="201" t="n"/>
      <c r="F379" s="201" t="n"/>
      <c r="G379" s="201" t="n"/>
      <c r="H379" s="201" t="n"/>
      <c r="I379" s="201" t="n"/>
      <c r="J379" s="201" t="n"/>
      <c r="K379" s="201" t="n"/>
      <c r="L379" s="201" t="n"/>
      <c r="M379" s="201" t="n"/>
      <c r="N379" s="201" t="n"/>
      <c r="O379" s="201" t="n"/>
      <c r="P379" s="201" t="n"/>
      <c r="Q379" s="201" t="n"/>
      <c r="R379" s="201" t="n"/>
      <c r="S379" s="201" t="n"/>
      <c r="T379" s="201" t="n"/>
      <c r="U379" s="201" t="n"/>
      <c r="V379" s="201" t="n"/>
      <c r="W379" s="201" t="n"/>
      <c r="X379" s="201" t="n"/>
      <c r="Y379" s="201" t="n"/>
      <c r="Z379" s="201" t="n"/>
      <c r="AA379" s="201" t="n"/>
      <c r="AB379" s="201" t="n"/>
      <c r="AC379" s="201" t="n"/>
      <c r="AD379" s="201" t="n"/>
      <c r="AE379" s="201" t="n"/>
      <c r="AF379" s="201" t="n"/>
      <c r="AG379" s="201" t="n"/>
    </row>
    <row r="380" ht="12.75" customHeight="1" s="202">
      <c r="A380" s="201" t="n"/>
      <c r="B380" s="201" t="n"/>
      <c r="C380" s="201" t="n"/>
      <c r="D380" s="201" t="n"/>
      <c r="E380" s="201" t="n"/>
      <c r="F380" s="201" t="n"/>
      <c r="G380" s="201" t="n"/>
      <c r="H380" s="201" t="n"/>
      <c r="I380" s="201" t="n"/>
      <c r="J380" s="201" t="n"/>
      <c r="K380" s="201" t="n"/>
      <c r="L380" s="201" t="n"/>
      <c r="M380" s="201" t="n"/>
      <c r="N380" s="201" t="n"/>
      <c r="O380" s="201" t="n"/>
      <c r="P380" s="201" t="n"/>
      <c r="Q380" s="201" t="n"/>
      <c r="R380" s="201" t="n"/>
      <c r="S380" s="201" t="n"/>
      <c r="T380" s="201" t="n"/>
      <c r="U380" s="201" t="n"/>
      <c r="V380" s="201" t="n"/>
      <c r="W380" s="201" t="n"/>
      <c r="X380" s="201" t="n"/>
      <c r="Y380" s="201" t="n"/>
      <c r="Z380" s="201" t="n"/>
      <c r="AA380" s="201" t="n"/>
      <c r="AB380" s="201" t="n"/>
      <c r="AC380" s="201" t="n"/>
      <c r="AD380" s="201" t="n"/>
      <c r="AE380" s="201" t="n"/>
      <c r="AF380" s="201" t="n"/>
      <c r="AG380" s="201" t="n"/>
    </row>
    <row r="381" ht="12.75" customHeight="1" s="202">
      <c r="A381" s="201" t="n"/>
      <c r="B381" s="201" t="n"/>
      <c r="C381" s="201" t="n"/>
      <c r="D381" s="201" t="n"/>
      <c r="E381" s="201" t="n"/>
      <c r="F381" s="201" t="n"/>
      <c r="G381" s="201" t="n"/>
      <c r="H381" s="201" t="n"/>
      <c r="I381" s="201" t="n"/>
      <c r="J381" s="201" t="n"/>
      <c r="K381" s="201" t="n"/>
      <c r="L381" s="201" t="n"/>
      <c r="M381" s="201" t="n"/>
      <c r="N381" s="201" t="n"/>
      <c r="O381" s="201" t="n"/>
      <c r="P381" s="201" t="n"/>
      <c r="Q381" s="201" t="n"/>
      <c r="R381" s="201" t="n"/>
      <c r="S381" s="201" t="n"/>
      <c r="T381" s="201" t="n"/>
      <c r="U381" s="201" t="n"/>
      <c r="V381" s="201" t="n"/>
      <c r="W381" s="201" t="n"/>
      <c r="X381" s="201" t="n"/>
      <c r="Y381" s="201" t="n"/>
      <c r="Z381" s="201" t="n"/>
      <c r="AA381" s="201" t="n"/>
      <c r="AB381" s="201" t="n"/>
      <c r="AC381" s="201" t="n"/>
      <c r="AD381" s="201" t="n"/>
      <c r="AE381" s="201" t="n"/>
      <c r="AF381" s="201" t="n"/>
      <c r="AG381" s="201" t="n"/>
    </row>
    <row r="382" ht="12.75" customHeight="1" s="202">
      <c r="A382" s="201" t="n"/>
      <c r="B382" s="201" t="n"/>
      <c r="C382" s="201" t="n"/>
      <c r="D382" s="201" t="n"/>
      <c r="E382" s="201" t="n"/>
      <c r="F382" s="201" t="n"/>
      <c r="G382" s="201" t="n"/>
      <c r="H382" s="201" t="n"/>
      <c r="I382" s="201" t="n"/>
      <c r="J382" s="201" t="n"/>
      <c r="K382" s="201" t="n"/>
      <c r="L382" s="201" t="n"/>
      <c r="M382" s="201" t="n"/>
      <c r="N382" s="201" t="n"/>
      <c r="O382" s="201" t="n"/>
      <c r="P382" s="201" t="n"/>
      <c r="Q382" s="201" t="n"/>
      <c r="R382" s="201" t="n"/>
      <c r="S382" s="201" t="n"/>
      <c r="T382" s="201" t="n"/>
      <c r="U382" s="201" t="n"/>
      <c r="V382" s="201" t="n"/>
      <c r="W382" s="201" t="n"/>
      <c r="X382" s="201" t="n"/>
      <c r="Y382" s="201" t="n"/>
      <c r="Z382" s="201" t="n"/>
      <c r="AA382" s="201" t="n"/>
      <c r="AB382" s="201" t="n"/>
      <c r="AC382" s="201" t="n"/>
      <c r="AD382" s="201" t="n"/>
      <c r="AE382" s="201" t="n"/>
      <c r="AF382" s="201" t="n"/>
      <c r="AG382" s="201" t="n"/>
    </row>
    <row r="383" ht="12.75" customHeight="1" s="202">
      <c r="A383" s="201" t="n"/>
      <c r="B383" s="201" t="n"/>
      <c r="C383" s="201" t="n"/>
      <c r="D383" s="201" t="n"/>
      <c r="E383" s="201" t="n"/>
      <c r="F383" s="201" t="n"/>
      <c r="G383" s="201" t="n"/>
      <c r="H383" s="201" t="n"/>
      <c r="I383" s="201" t="n"/>
      <c r="J383" s="201" t="n"/>
      <c r="K383" s="201" t="n"/>
      <c r="L383" s="201" t="n"/>
      <c r="M383" s="201" t="n"/>
      <c r="N383" s="201" t="n"/>
      <c r="O383" s="201" t="n"/>
      <c r="P383" s="201" t="n"/>
      <c r="Q383" s="201" t="n"/>
      <c r="R383" s="201" t="n"/>
      <c r="S383" s="201" t="n"/>
      <c r="T383" s="201" t="n"/>
      <c r="U383" s="201" t="n"/>
      <c r="V383" s="201" t="n"/>
      <c r="W383" s="201" t="n"/>
      <c r="X383" s="201" t="n"/>
      <c r="Y383" s="201" t="n"/>
      <c r="Z383" s="201" t="n"/>
      <c r="AA383" s="201" t="n"/>
      <c r="AB383" s="201" t="n"/>
      <c r="AC383" s="201" t="n"/>
      <c r="AD383" s="201" t="n"/>
      <c r="AE383" s="201" t="n"/>
      <c r="AF383" s="201" t="n"/>
      <c r="AG383" s="201" t="n"/>
    </row>
    <row r="384" ht="12.75" customHeight="1" s="202">
      <c r="A384" s="201" t="n"/>
      <c r="B384" s="201" t="n"/>
      <c r="C384" s="201" t="n"/>
      <c r="D384" s="201" t="n"/>
      <c r="E384" s="201" t="n"/>
      <c r="F384" s="201" t="n"/>
      <c r="G384" s="201" t="n"/>
      <c r="H384" s="201" t="n"/>
      <c r="I384" s="201" t="n"/>
      <c r="J384" s="201" t="n"/>
      <c r="K384" s="201" t="n"/>
      <c r="L384" s="201" t="n"/>
      <c r="M384" s="201" t="n"/>
      <c r="N384" s="201" t="n"/>
      <c r="O384" s="201" t="n"/>
      <c r="P384" s="201" t="n"/>
      <c r="Q384" s="201" t="n"/>
      <c r="R384" s="201" t="n"/>
      <c r="S384" s="201" t="n"/>
      <c r="T384" s="201" t="n"/>
      <c r="U384" s="201" t="n"/>
      <c r="V384" s="201" t="n"/>
      <c r="W384" s="201" t="n"/>
      <c r="X384" s="201" t="n"/>
      <c r="Y384" s="201" t="n"/>
      <c r="Z384" s="201" t="n"/>
      <c r="AA384" s="201" t="n"/>
      <c r="AB384" s="201" t="n"/>
      <c r="AC384" s="201" t="n"/>
      <c r="AD384" s="201" t="n"/>
      <c r="AE384" s="201" t="n"/>
      <c r="AF384" s="201" t="n"/>
      <c r="AG384" s="201" t="n"/>
    </row>
    <row r="385" ht="12.75" customHeight="1" s="202">
      <c r="A385" s="201" t="n"/>
      <c r="B385" s="201" t="n"/>
      <c r="C385" s="201" t="n"/>
      <c r="D385" s="201" t="n"/>
      <c r="E385" s="201" t="n"/>
      <c r="F385" s="201" t="n"/>
      <c r="G385" s="201" t="n"/>
      <c r="H385" s="201" t="n"/>
      <c r="I385" s="201" t="n"/>
      <c r="J385" s="201" t="n"/>
      <c r="K385" s="201" t="n"/>
      <c r="L385" s="201" t="n"/>
      <c r="M385" s="201" t="n"/>
      <c r="N385" s="201" t="n"/>
      <c r="O385" s="201" t="n"/>
      <c r="P385" s="201" t="n"/>
      <c r="Q385" s="201" t="n"/>
      <c r="R385" s="201" t="n"/>
      <c r="S385" s="201" t="n"/>
      <c r="T385" s="201" t="n"/>
      <c r="U385" s="201" t="n"/>
      <c r="V385" s="201" t="n"/>
      <c r="W385" s="201" t="n"/>
      <c r="X385" s="201" t="n"/>
      <c r="Y385" s="201" t="n"/>
      <c r="Z385" s="201" t="n"/>
      <c r="AA385" s="201" t="n"/>
      <c r="AB385" s="201" t="n"/>
      <c r="AC385" s="201" t="n"/>
      <c r="AD385" s="201" t="n"/>
      <c r="AE385" s="201" t="n"/>
      <c r="AF385" s="201" t="n"/>
      <c r="AG385" s="201" t="n"/>
    </row>
    <row r="386" ht="12.75" customHeight="1" s="202">
      <c r="A386" s="201" t="n"/>
      <c r="B386" s="201" t="n"/>
      <c r="C386" s="201" t="n"/>
      <c r="D386" s="201" t="n"/>
      <c r="E386" s="201" t="n"/>
      <c r="F386" s="201" t="n"/>
      <c r="G386" s="201" t="n"/>
      <c r="H386" s="201" t="n"/>
      <c r="I386" s="201" t="n"/>
      <c r="J386" s="201" t="n"/>
      <c r="K386" s="201" t="n"/>
      <c r="L386" s="201" t="n"/>
      <c r="M386" s="201" t="n"/>
      <c r="N386" s="201" t="n"/>
      <c r="O386" s="201" t="n"/>
      <c r="P386" s="201" t="n"/>
      <c r="Q386" s="201" t="n"/>
      <c r="R386" s="201" t="n"/>
      <c r="S386" s="201" t="n"/>
      <c r="T386" s="201" t="n"/>
      <c r="U386" s="201" t="n"/>
      <c r="V386" s="201" t="n"/>
      <c r="W386" s="201" t="n"/>
      <c r="X386" s="201" t="n"/>
      <c r="Y386" s="201" t="n"/>
      <c r="Z386" s="201" t="n"/>
      <c r="AA386" s="201" t="n"/>
      <c r="AB386" s="201" t="n"/>
      <c r="AC386" s="201" t="n"/>
      <c r="AD386" s="201" t="n"/>
      <c r="AE386" s="201" t="n"/>
      <c r="AF386" s="201" t="n"/>
      <c r="AG386" s="201" t="n"/>
    </row>
    <row r="387" ht="12.75" customHeight="1" s="202">
      <c r="A387" s="201" t="n"/>
      <c r="B387" s="201" t="n"/>
      <c r="C387" s="201" t="n"/>
      <c r="D387" s="201" t="n"/>
      <c r="E387" s="201" t="n"/>
      <c r="F387" s="201" t="n"/>
      <c r="G387" s="201" t="n"/>
      <c r="H387" s="201" t="n"/>
      <c r="I387" s="201" t="n"/>
      <c r="J387" s="201" t="n"/>
      <c r="K387" s="201" t="n"/>
      <c r="L387" s="201" t="n"/>
      <c r="M387" s="201" t="n"/>
      <c r="N387" s="201" t="n"/>
      <c r="O387" s="201" t="n"/>
      <c r="P387" s="201" t="n"/>
      <c r="Q387" s="201" t="n"/>
      <c r="R387" s="201" t="n"/>
      <c r="S387" s="201" t="n"/>
      <c r="T387" s="201" t="n"/>
      <c r="U387" s="201" t="n"/>
      <c r="V387" s="201" t="n"/>
      <c r="W387" s="201" t="n"/>
      <c r="X387" s="201" t="n"/>
      <c r="Y387" s="201" t="n"/>
      <c r="Z387" s="201" t="n"/>
      <c r="AA387" s="201" t="n"/>
      <c r="AB387" s="201" t="n"/>
      <c r="AC387" s="201" t="n"/>
      <c r="AD387" s="201" t="n"/>
      <c r="AE387" s="201" t="n"/>
      <c r="AF387" s="201" t="n"/>
      <c r="AG387" s="201" t="n"/>
    </row>
    <row r="388" ht="12.75" customHeight="1" s="202">
      <c r="A388" s="201" t="n"/>
      <c r="B388" s="201" t="n"/>
      <c r="C388" s="201" t="n"/>
      <c r="D388" s="201" t="n"/>
      <c r="E388" s="201" t="n"/>
      <c r="F388" s="201" t="n"/>
      <c r="G388" s="201" t="n"/>
      <c r="H388" s="201" t="n"/>
      <c r="I388" s="201" t="n"/>
      <c r="J388" s="201" t="n"/>
      <c r="K388" s="201" t="n"/>
      <c r="L388" s="201" t="n"/>
      <c r="M388" s="201" t="n"/>
      <c r="N388" s="201" t="n"/>
      <c r="O388" s="201" t="n"/>
      <c r="P388" s="201" t="n"/>
      <c r="Q388" s="201" t="n"/>
      <c r="R388" s="201" t="n"/>
      <c r="S388" s="201" t="n"/>
      <c r="T388" s="201" t="n"/>
      <c r="U388" s="201" t="n"/>
      <c r="V388" s="201" t="n"/>
      <c r="W388" s="201" t="n"/>
      <c r="X388" s="201" t="n"/>
      <c r="Y388" s="201" t="n"/>
      <c r="Z388" s="201" t="n"/>
      <c r="AA388" s="201" t="n"/>
      <c r="AB388" s="201" t="n"/>
      <c r="AC388" s="201" t="n"/>
      <c r="AD388" s="201" t="n"/>
      <c r="AE388" s="201" t="n"/>
      <c r="AF388" s="201" t="n"/>
      <c r="AG388" s="201" t="n"/>
    </row>
    <row r="389" ht="12.75" customHeight="1" s="202">
      <c r="A389" s="201" t="n"/>
      <c r="B389" s="201" t="n"/>
      <c r="C389" s="201" t="n"/>
      <c r="D389" s="201" t="n"/>
      <c r="E389" s="201" t="n"/>
      <c r="F389" s="201" t="n"/>
      <c r="G389" s="201" t="n"/>
      <c r="H389" s="201" t="n"/>
      <c r="I389" s="201" t="n"/>
      <c r="J389" s="201" t="n"/>
      <c r="K389" s="201" t="n"/>
      <c r="L389" s="201" t="n"/>
      <c r="M389" s="201" t="n"/>
      <c r="N389" s="201" t="n"/>
      <c r="O389" s="201" t="n"/>
      <c r="P389" s="201" t="n"/>
      <c r="Q389" s="201" t="n"/>
      <c r="R389" s="201" t="n"/>
      <c r="S389" s="201" t="n"/>
      <c r="T389" s="201" t="n"/>
      <c r="U389" s="201" t="n"/>
      <c r="V389" s="201" t="n"/>
      <c r="W389" s="201" t="n"/>
      <c r="X389" s="201" t="n"/>
      <c r="Y389" s="201" t="n"/>
      <c r="Z389" s="201" t="n"/>
      <c r="AA389" s="201" t="n"/>
      <c r="AB389" s="201" t="n"/>
      <c r="AC389" s="201" t="n"/>
      <c r="AD389" s="201" t="n"/>
      <c r="AE389" s="201" t="n"/>
      <c r="AF389" s="201" t="n"/>
      <c r="AG389" s="201" t="n"/>
    </row>
    <row r="390" ht="12.75" customHeight="1" s="202">
      <c r="A390" s="201" t="n"/>
      <c r="B390" s="201" t="n"/>
      <c r="C390" s="201" t="n"/>
      <c r="D390" s="201" t="n"/>
      <c r="E390" s="201" t="n"/>
      <c r="F390" s="201" t="n"/>
      <c r="G390" s="201" t="n"/>
      <c r="H390" s="201" t="n"/>
      <c r="I390" s="201" t="n"/>
      <c r="J390" s="201" t="n"/>
      <c r="K390" s="201" t="n"/>
      <c r="L390" s="201" t="n"/>
      <c r="M390" s="201" t="n"/>
      <c r="N390" s="201" t="n"/>
      <c r="O390" s="201" t="n"/>
      <c r="P390" s="201" t="n"/>
      <c r="Q390" s="201" t="n"/>
      <c r="R390" s="201" t="n"/>
      <c r="S390" s="201" t="n"/>
      <c r="T390" s="201" t="n"/>
      <c r="U390" s="201" t="n"/>
      <c r="V390" s="201" t="n"/>
      <c r="W390" s="201" t="n"/>
      <c r="X390" s="201" t="n"/>
      <c r="Y390" s="201" t="n"/>
      <c r="Z390" s="201" t="n"/>
      <c r="AA390" s="201" t="n"/>
      <c r="AB390" s="201" t="n"/>
      <c r="AC390" s="201" t="n"/>
      <c r="AD390" s="201" t="n"/>
      <c r="AE390" s="201" t="n"/>
      <c r="AF390" s="201" t="n"/>
      <c r="AG390" s="201" t="n"/>
    </row>
    <row r="391" ht="12.75" customHeight="1" s="202">
      <c r="A391" s="201" t="n"/>
      <c r="B391" s="201" t="n"/>
      <c r="C391" s="201" t="n"/>
      <c r="D391" s="201" t="n"/>
      <c r="E391" s="201" t="n"/>
      <c r="F391" s="201" t="n"/>
      <c r="G391" s="201" t="n"/>
      <c r="H391" s="201" t="n"/>
      <c r="I391" s="201" t="n"/>
      <c r="J391" s="201" t="n"/>
      <c r="K391" s="201" t="n"/>
      <c r="L391" s="201" t="n"/>
      <c r="M391" s="201" t="n"/>
      <c r="N391" s="201" t="n"/>
      <c r="O391" s="201" t="n"/>
      <c r="P391" s="201" t="n"/>
      <c r="Q391" s="201" t="n"/>
      <c r="R391" s="201" t="n"/>
      <c r="S391" s="201" t="n"/>
      <c r="T391" s="201" t="n"/>
      <c r="U391" s="201" t="n"/>
      <c r="V391" s="201" t="n"/>
      <c r="W391" s="201" t="n"/>
      <c r="X391" s="201" t="n"/>
      <c r="Y391" s="201" t="n"/>
      <c r="Z391" s="201" t="n"/>
      <c r="AA391" s="201" t="n"/>
      <c r="AB391" s="201" t="n"/>
      <c r="AC391" s="201" t="n"/>
      <c r="AD391" s="201" t="n"/>
      <c r="AE391" s="201" t="n"/>
      <c r="AF391" s="201" t="n"/>
      <c r="AG391" s="201" t="n"/>
    </row>
    <row r="392" ht="12.75" customHeight="1" s="202">
      <c r="A392" s="201" t="n"/>
      <c r="B392" s="201" t="n"/>
      <c r="C392" s="201" t="n"/>
      <c r="D392" s="201" t="n"/>
      <c r="E392" s="201" t="n"/>
      <c r="F392" s="201" t="n"/>
      <c r="G392" s="201" t="n"/>
      <c r="H392" s="201" t="n"/>
      <c r="I392" s="201" t="n"/>
      <c r="J392" s="201" t="n"/>
      <c r="K392" s="201" t="n"/>
      <c r="L392" s="201" t="n"/>
      <c r="M392" s="201" t="n"/>
      <c r="N392" s="201" t="n"/>
      <c r="O392" s="201" t="n"/>
      <c r="P392" s="201" t="n"/>
      <c r="Q392" s="201" t="n"/>
      <c r="R392" s="201" t="n"/>
      <c r="S392" s="201" t="n"/>
      <c r="T392" s="201" t="n"/>
      <c r="U392" s="201" t="n"/>
      <c r="V392" s="201" t="n"/>
      <c r="W392" s="201" t="n"/>
      <c r="X392" s="201" t="n"/>
      <c r="Y392" s="201" t="n"/>
      <c r="Z392" s="201" t="n"/>
      <c r="AA392" s="201" t="n"/>
      <c r="AB392" s="201" t="n"/>
      <c r="AC392" s="201" t="n"/>
      <c r="AD392" s="201" t="n"/>
      <c r="AE392" s="201" t="n"/>
      <c r="AF392" s="201" t="n"/>
      <c r="AG392" s="201" t="n"/>
    </row>
    <row r="393" ht="12.75" customHeight="1" s="202">
      <c r="A393" s="201" t="n"/>
      <c r="B393" s="201" t="n"/>
      <c r="C393" s="201" t="n"/>
      <c r="D393" s="201" t="n"/>
      <c r="E393" s="201" t="n"/>
      <c r="F393" s="201" t="n"/>
      <c r="G393" s="201" t="n"/>
      <c r="H393" s="201" t="n"/>
      <c r="I393" s="201" t="n"/>
      <c r="J393" s="201" t="n"/>
      <c r="K393" s="201" t="n"/>
      <c r="L393" s="201" t="n"/>
      <c r="M393" s="201" t="n"/>
      <c r="N393" s="201" t="n"/>
      <c r="O393" s="201" t="n"/>
      <c r="P393" s="201" t="n"/>
      <c r="Q393" s="201" t="n"/>
      <c r="R393" s="201" t="n"/>
      <c r="S393" s="201" t="n"/>
      <c r="T393" s="201" t="n"/>
      <c r="U393" s="201" t="n"/>
      <c r="V393" s="201" t="n"/>
      <c r="W393" s="201" t="n"/>
      <c r="X393" s="201" t="n"/>
      <c r="Y393" s="201" t="n"/>
      <c r="Z393" s="201" t="n"/>
      <c r="AA393" s="201" t="n"/>
      <c r="AB393" s="201" t="n"/>
      <c r="AC393" s="201" t="n"/>
      <c r="AD393" s="201" t="n"/>
      <c r="AE393" s="201" t="n"/>
      <c r="AF393" s="201" t="n"/>
      <c r="AG393" s="201" t="n"/>
    </row>
    <row r="394" ht="12.75" customHeight="1" s="202">
      <c r="A394" s="201" t="n"/>
      <c r="B394" s="201" t="n"/>
      <c r="C394" s="201" t="n"/>
      <c r="D394" s="201" t="n"/>
      <c r="E394" s="201" t="n"/>
      <c r="F394" s="201" t="n"/>
      <c r="G394" s="201" t="n"/>
      <c r="H394" s="201" t="n"/>
      <c r="I394" s="201" t="n"/>
      <c r="J394" s="201" t="n"/>
      <c r="K394" s="201" t="n"/>
      <c r="L394" s="201" t="n"/>
      <c r="M394" s="201" t="n"/>
      <c r="N394" s="201" t="n"/>
      <c r="O394" s="201" t="n"/>
      <c r="P394" s="201" t="n"/>
      <c r="Q394" s="201" t="n"/>
      <c r="R394" s="201" t="n"/>
      <c r="S394" s="201" t="n"/>
      <c r="T394" s="201" t="n"/>
      <c r="U394" s="201" t="n"/>
      <c r="V394" s="201" t="n"/>
      <c r="W394" s="201" t="n"/>
      <c r="X394" s="201" t="n"/>
      <c r="Y394" s="201" t="n"/>
      <c r="Z394" s="201" t="n"/>
      <c r="AA394" s="201" t="n"/>
      <c r="AB394" s="201" t="n"/>
      <c r="AC394" s="201" t="n"/>
      <c r="AD394" s="201" t="n"/>
      <c r="AE394" s="201" t="n"/>
      <c r="AF394" s="201" t="n"/>
      <c r="AG394" s="201" t="n"/>
    </row>
    <row r="395" ht="12.75" customHeight="1" s="202">
      <c r="A395" s="201" t="n"/>
      <c r="B395" s="201" t="n"/>
      <c r="C395" s="201" t="n"/>
      <c r="D395" s="201" t="n"/>
      <c r="E395" s="201" t="n"/>
      <c r="F395" s="201" t="n"/>
      <c r="G395" s="201" t="n"/>
      <c r="H395" s="201" t="n"/>
      <c r="I395" s="201" t="n"/>
      <c r="J395" s="201" t="n"/>
      <c r="K395" s="201" t="n"/>
      <c r="L395" s="201" t="n"/>
      <c r="M395" s="201" t="n"/>
      <c r="N395" s="201" t="n"/>
      <c r="O395" s="201" t="n"/>
      <c r="P395" s="201" t="n"/>
      <c r="Q395" s="201" t="n"/>
      <c r="R395" s="201" t="n"/>
      <c r="S395" s="201" t="n"/>
      <c r="T395" s="201" t="n"/>
      <c r="U395" s="201" t="n"/>
      <c r="V395" s="201" t="n"/>
      <c r="W395" s="201" t="n"/>
      <c r="X395" s="201" t="n"/>
      <c r="Y395" s="201" t="n"/>
      <c r="Z395" s="201" t="n"/>
      <c r="AA395" s="201" t="n"/>
      <c r="AB395" s="201" t="n"/>
      <c r="AC395" s="201" t="n"/>
      <c r="AD395" s="201" t="n"/>
      <c r="AE395" s="201" t="n"/>
      <c r="AF395" s="201" t="n"/>
      <c r="AG395" s="201" t="n"/>
    </row>
    <row r="396" ht="12.75" customHeight="1" s="202">
      <c r="A396" s="201" t="n"/>
      <c r="B396" s="201" t="n"/>
      <c r="C396" s="201" t="n"/>
      <c r="D396" s="201" t="n"/>
      <c r="E396" s="201" t="n"/>
      <c r="F396" s="201" t="n"/>
      <c r="G396" s="201" t="n"/>
      <c r="H396" s="201" t="n"/>
      <c r="I396" s="201" t="n"/>
      <c r="J396" s="201" t="n"/>
      <c r="K396" s="201" t="n"/>
      <c r="L396" s="201" t="n"/>
      <c r="M396" s="201" t="n"/>
      <c r="N396" s="201" t="n"/>
      <c r="O396" s="201" t="n"/>
      <c r="P396" s="201" t="n"/>
      <c r="Q396" s="201" t="n"/>
      <c r="R396" s="201" t="n"/>
      <c r="S396" s="201" t="n"/>
      <c r="T396" s="201" t="n"/>
      <c r="U396" s="201" t="n"/>
      <c r="V396" s="201" t="n"/>
      <c r="W396" s="201" t="n"/>
      <c r="X396" s="201" t="n"/>
      <c r="Y396" s="201" t="n"/>
      <c r="Z396" s="201" t="n"/>
      <c r="AA396" s="201" t="n"/>
      <c r="AB396" s="201" t="n"/>
      <c r="AC396" s="201" t="n"/>
      <c r="AD396" s="201" t="n"/>
      <c r="AE396" s="201" t="n"/>
      <c r="AF396" s="201" t="n"/>
      <c r="AG396" s="201" t="n"/>
    </row>
    <row r="397" ht="12.75" customHeight="1" s="202">
      <c r="A397" s="201" t="n"/>
      <c r="B397" s="201" t="n"/>
      <c r="C397" s="201" t="n"/>
      <c r="D397" s="201" t="n"/>
      <c r="E397" s="201" t="n"/>
      <c r="F397" s="201" t="n"/>
      <c r="G397" s="201" t="n"/>
      <c r="H397" s="201" t="n"/>
      <c r="I397" s="201" t="n"/>
      <c r="J397" s="201" t="n"/>
      <c r="K397" s="201" t="n"/>
      <c r="L397" s="201" t="n"/>
      <c r="M397" s="201" t="n"/>
      <c r="N397" s="201" t="n"/>
      <c r="O397" s="201" t="n"/>
      <c r="P397" s="201" t="n"/>
      <c r="Q397" s="201" t="n"/>
      <c r="R397" s="201" t="n"/>
      <c r="S397" s="201" t="n"/>
      <c r="T397" s="201" t="n"/>
      <c r="U397" s="201" t="n"/>
      <c r="V397" s="201" t="n"/>
      <c r="W397" s="201" t="n"/>
      <c r="X397" s="201" t="n"/>
      <c r="Y397" s="201" t="n"/>
      <c r="Z397" s="201" t="n"/>
      <c r="AA397" s="201" t="n"/>
      <c r="AB397" s="201" t="n"/>
      <c r="AC397" s="201" t="n"/>
      <c r="AD397" s="201" t="n"/>
      <c r="AE397" s="201" t="n"/>
      <c r="AF397" s="201" t="n"/>
      <c r="AG397" s="201" t="n"/>
    </row>
    <row r="398" ht="12.75" customHeight="1" s="202">
      <c r="A398" s="201" t="n"/>
      <c r="B398" s="201" t="n"/>
      <c r="C398" s="201" t="n"/>
      <c r="D398" s="201" t="n"/>
      <c r="E398" s="201" t="n"/>
      <c r="F398" s="201" t="n"/>
      <c r="G398" s="201" t="n"/>
      <c r="H398" s="201" t="n"/>
      <c r="I398" s="201" t="n"/>
      <c r="J398" s="201" t="n"/>
      <c r="K398" s="201" t="n"/>
      <c r="L398" s="201" t="n"/>
      <c r="M398" s="201" t="n"/>
      <c r="N398" s="201" t="n"/>
      <c r="O398" s="201" t="n"/>
      <c r="P398" s="201" t="n"/>
      <c r="Q398" s="201" t="n"/>
      <c r="R398" s="201" t="n"/>
      <c r="S398" s="201" t="n"/>
      <c r="T398" s="201" t="n"/>
      <c r="U398" s="201" t="n"/>
      <c r="V398" s="201" t="n"/>
      <c r="W398" s="201" t="n"/>
      <c r="X398" s="201" t="n"/>
      <c r="Y398" s="201" t="n"/>
      <c r="Z398" s="201" t="n"/>
      <c r="AA398" s="201" t="n"/>
      <c r="AB398" s="201" t="n"/>
      <c r="AC398" s="201" t="n"/>
      <c r="AD398" s="201" t="n"/>
      <c r="AE398" s="201" t="n"/>
      <c r="AF398" s="201" t="n"/>
      <c r="AG398" s="201" t="n"/>
    </row>
    <row r="399" ht="12.75" customHeight="1" s="202">
      <c r="A399" s="201" t="n"/>
      <c r="B399" s="201" t="n"/>
      <c r="C399" s="201" t="n"/>
      <c r="D399" s="201" t="n"/>
      <c r="E399" s="201" t="n"/>
      <c r="F399" s="201" t="n"/>
      <c r="G399" s="201" t="n"/>
      <c r="H399" s="201" t="n"/>
      <c r="I399" s="201" t="n"/>
      <c r="J399" s="201" t="n"/>
      <c r="K399" s="201" t="n"/>
      <c r="L399" s="201" t="n"/>
      <c r="M399" s="201" t="n"/>
      <c r="N399" s="201" t="n"/>
      <c r="O399" s="201" t="n"/>
      <c r="P399" s="201" t="n"/>
      <c r="Q399" s="201" t="n"/>
      <c r="R399" s="201" t="n"/>
      <c r="S399" s="201" t="n"/>
      <c r="T399" s="201" t="n"/>
      <c r="U399" s="201" t="n"/>
      <c r="V399" s="201" t="n"/>
      <c r="W399" s="201" t="n"/>
      <c r="X399" s="201" t="n"/>
      <c r="Y399" s="201" t="n"/>
      <c r="Z399" s="201" t="n"/>
      <c r="AA399" s="201" t="n"/>
      <c r="AB399" s="201" t="n"/>
      <c r="AC399" s="201" t="n"/>
      <c r="AD399" s="201" t="n"/>
      <c r="AE399" s="201" t="n"/>
      <c r="AF399" s="201" t="n"/>
      <c r="AG399" s="201" t="n"/>
    </row>
    <row r="400" ht="12.75" customHeight="1" s="202">
      <c r="A400" s="201" t="n"/>
      <c r="B400" s="201" t="n"/>
      <c r="C400" s="201" t="n"/>
      <c r="D400" s="201" t="n"/>
      <c r="E400" s="201" t="n"/>
      <c r="F400" s="201" t="n"/>
      <c r="G400" s="201" t="n"/>
      <c r="H400" s="201" t="n"/>
      <c r="I400" s="201" t="n"/>
      <c r="J400" s="201" t="n"/>
      <c r="K400" s="201" t="n"/>
      <c r="L400" s="201" t="n"/>
      <c r="M400" s="201" t="n"/>
      <c r="N400" s="201" t="n"/>
      <c r="O400" s="201" t="n"/>
      <c r="P400" s="201" t="n"/>
      <c r="Q400" s="201" t="n"/>
      <c r="R400" s="201" t="n"/>
      <c r="S400" s="201" t="n"/>
      <c r="T400" s="201" t="n"/>
      <c r="U400" s="201" t="n"/>
      <c r="V400" s="201" t="n"/>
      <c r="W400" s="201" t="n"/>
      <c r="X400" s="201" t="n"/>
      <c r="Y400" s="201" t="n"/>
      <c r="Z400" s="201" t="n"/>
      <c r="AA400" s="201" t="n"/>
      <c r="AB400" s="201" t="n"/>
      <c r="AC400" s="201" t="n"/>
      <c r="AD400" s="201" t="n"/>
      <c r="AE400" s="201" t="n"/>
      <c r="AF400" s="201" t="n"/>
      <c r="AG400" s="201" t="n"/>
    </row>
    <row r="401" ht="12.75" customHeight="1" s="202">
      <c r="A401" s="201" t="n"/>
      <c r="B401" s="201" t="n"/>
      <c r="C401" s="201" t="n"/>
      <c r="D401" s="201" t="n"/>
      <c r="E401" s="201" t="n"/>
      <c r="F401" s="201" t="n"/>
      <c r="G401" s="201" t="n"/>
      <c r="H401" s="201" t="n"/>
      <c r="I401" s="201" t="n"/>
      <c r="J401" s="201" t="n"/>
      <c r="K401" s="201" t="n"/>
      <c r="L401" s="201" t="n"/>
      <c r="M401" s="201" t="n"/>
      <c r="N401" s="201" t="n"/>
      <c r="O401" s="201" t="n"/>
      <c r="P401" s="201" t="n"/>
      <c r="Q401" s="201" t="n"/>
      <c r="R401" s="201" t="n"/>
      <c r="S401" s="201" t="n"/>
      <c r="T401" s="201" t="n"/>
      <c r="U401" s="201" t="n"/>
      <c r="V401" s="201" t="n"/>
      <c r="W401" s="201" t="n"/>
      <c r="X401" s="201" t="n"/>
      <c r="Y401" s="201" t="n"/>
      <c r="Z401" s="201" t="n"/>
      <c r="AA401" s="201" t="n"/>
      <c r="AB401" s="201" t="n"/>
      <c r="AC401" s="201" t="n"/>
      <c r="AD401" s="201" t="n"/>
      <c r="AE401" s="201" t="n"/>
      <c r="AF401" s="201" t="n"/>
      <c r="AG401" s="201" t="n"/>
    </row>
    <row r="402" ht="12.75" customHeight="1" s="202">
      <c r="A402" s="201" t="n"/>
      <c r="B402" s="201" t="n"/>
      <c r="C402" s="201" t="n"/>
      <c r="D402" s="201" t="n"/>
      <c r="E402" s="201" t="n"/>
      <c r="F402" s="201" t="n"/>
      <c r="G402" s="201" t="n"/>
      <c r="H402" s="201" t="n"/>
      <c r="I402" s="201" t="n"/>
      <c r="J402" s="201" t="n"/>
      <c r="K402" s="201" t="n"/>
      <c r="L402" s="201" t="n"/>
      <c r="M402" s="201" t="n"/>
      <c r="N402" s="201" t="n"/>
      <c r="O402" s="201" t="n"/>
      <c r="P402" s="201" t="n"/>
      <c r="Q402" s="201" t="n"/>
      <c r="R402" s="201" t="n"/>
      <c r="S402" s="201" t="n"/>
      <c r="T402" s="201" t="n"/>
      <c r="U402" s="201" t="n"/>
      <c r="V402" s="201" t="n"/>
      <c r="W402" s="201" t="n"/>
      <c r="X402" s="201" t="n"/>
      <c r="Y402" s="201" t="n"/>
      <c r="Z402" s="201" t="n"/>
      <c r="AA402" s="201" t="n"/>
      <c r="AB402" s="201" t="n"/>
      <c r="AC402" s="201" t="n"/>
      <c r="AD402" s="201" t="n"/>
      <c r="AE402" s="201" t="n"/>
      <c r="AF402" s="201" t="n"/>
      <c r="AG402" s="201" t="n"/>
    </row>
    <row r="403" ht="12.75" customHeight="1" s="202">
      <c r="A403" s="201" t="n"/>
      <c r="B403" s="201" t="n"/>
      <c r="C403" s="201" t="n"/>
      <c r="D403" s="201" t="n"/>
      <c r="E403" s="201" t="n"/>
      <c r="F403" s="201" t="n"/>
      <c r="G403" s="201" t="n"/>
      <c r="H403" s="201" t="n"/>
      <c r="I403" s="201" t="n"/>
      <c r="J403" s="201" t="n"/>
      <c r="K403" s="201" t="n"/>
      <c r="L403" s="201" t="n"/>
      <c r="M403" s="201" t="n"/>
      <c r="N403" s="201" t="n"/>
      <c r="O403" s="201" t="n"/>
      <c r="P403" s="201" t="n"/>
      <c r="Q403" s="201" t="n"/>
      <c r="R403" s="201" t="n"/>
      <c r="S403" s="201" t="n"/>
      <c r="T403" s="201" t="n"/>
      <c r="U403" s="201" t="n"/>
      <c r="V403" s="201" t="n"/>
      <c r="W403" s="201" t="n"/>
      <c r="X403" s="201" t="n"/>
      <c r="Y403" s="201" t="n"/>
      <c r="Z403" s="201" t="n"/>
      <c r="AA403" s="201" t="n"/>
      <c r="AB403" s="201" t="n"/>
      <c r="AC403" s="201" t="n"/>
      <c r="AD403" s="201" t="n"/>
      <c r="AE403" s="201" t="n"/>
      <c r="AF403" s="201" t="n"/>
      <c r="AG403" s="201" t="n"/>
    </row>
    <row r="404" ht="12.75" customHeight="1" s="202">
      <c r="A404" s="201" t="n"/>
      <c r="B404" s="201" t="n"/>
      <c r="C404" s="201" t="n"/>
      <c r="D404" s="201" t="n"/>
      <c r="E404" s="201" t="n"/>
      <c r="F404" s="201" t="n"/>
      <c r="G404" s="201" t="n"/>
      <c r="H404" s="201" t="n"/>
      <c r="I404" s="201" t="n"/>
      <c r="J404" s="201" t="n"/>
      <c r="K404" s="201" t="n"/>
      <c r="L404" s="201" t="n"/>
      <c r="M404" s="201" t="n"/>
      <c r="N404" s="201" t="n"/>
      <c r="O404" s="201" t="n"/>
      <c r="P404" s="201" t="n"/>
      <c r="Q404" s="201" t="n"/>
      <c r="R404" s="201" t="n"/>
      <c r="S404" s="201" t="n"/>
      <c r="T404" s="201" t="n"/>
      <c r="U404" s="201" t="n"/>
      <c r="V404" s="201" t="n"/>
      <c r="W404" s="201" t="n"/>
      <c r="X404" s="201" t="n"/>
      <c r="Y404" s="201" t="n"/>
      <c r="Z404" s="201" t="n"/>
      <c r="AA404" s="201" t="n"/>
      <c r="AB404" s="201" t="n"/>
      <c r="AC404" s="201" t="n"/>
      <c r="AD404" s="201" t="n"/>
      <c r="AE404" s="201" t="n"/>
      <c r="AF404" s="201" t="n"/>
      <c r="AG404" s="201" t="n"/>
    </row>
    <row r="405" ht="12.75" customHeight="1" s="202">
      <c r="A405" s="201" t="n"/>
      <c r="B405" s="201" t="n"/>
      <c r="C405" s="201" t="n"/>
      <c r="D405" s="201" t="n"/>
      <c r="E405" s="201" t="n"/>
      <c r="F405" s="201" t="n"/>
      <c r="G405" s="201" t="n"/>
      <c r="H405" s="201" t="n"/>
      <c r="I405" s="201" t="n"/>
      <c r="J405" s="201" t="n"/>
      <c r="K405" s="201" t="n"/>
      <c r="L405" s="201" t="n"/>
      <c r="M405" s="201" t="n"/>
      <c r="N405" s="201" t="n"/>
      <c r="O405" s="201" t="n"/>
      <c r="P405" s="201" t="n"/>
      <c r="Q405" s="201" t="n"/>
      <c r="R405" s="201" t="n"/>
      <c r="S405" s="201" t="n"/>
      <c r="T405" s="201" t="n"/>
      <c r="U405" s="201" t="n"/>
      <c r="V405" s="201" t="n"/>
      <c r="W405" s="201" t="n"/>
      <c r="X405" s="201" t="n"/>
      <c r="Y405" s="201" t="n"/>
      <c r="Z405" s="201" t="n"/>
      <c r="AA405" s="201" t="n"/>
      <c r="AB405" s="201" t="n"/>
      <c r="AC405" s="201" t="n"/>
      <c r="AD405" s="201" t="n"/>
      <c r="AE405" s="201" t="n"/>
      <c r="AF405" s="201" t="n"/>
      <c r="AG405" s="201" t="n"/>
    </row>
    <row r="406" ht="12.75" customHeight="1" s="202">
      <c r="A406" s="201" t="n"/>
      <c r="B406" s="201" t="n"/>
      <c r="C406" s="201" t="n"/>
      <c r="D406" s="201" t="n"/>
      <c r="E406" s="201" t="n"/>
      <c r="F406" s="201" t="n"/>
      <c r="G406" s="201" t="n"/>
      <c r="H406" s="201" t="n"/>
      <c r="I406" s="201" t="n"/>
      <c r="J406" s="201" t="n"/>
      <c r="K406" s="201" t="n"/>
      <c r="L406" s="201" t="n"/>
      <c r="M406" s="201" t="n"/>
      <c r="N406" s="201" t="n"/>
      <c r="O406" s="201" t="n"/>
      <c r="P406" s="201" t="n"/>
      <c r="Q406" s="201" t="n"/>
      <c r="R406" s="201" t="n"/>
      <c r="S406" s="201" t="n"/>
      <c r="T406" s="201" t="n"/>
      <c r="U406" s="201" t="n"/>
      <c r="V406" s="201" t="n"/>
      <c r="W406" s="201" t="n"/>
      <c r="X406" s="201" t="n"/>
      <c r="Y406" s="201" t="n"/>
      <c r="Z406" s="201" t="n"/>
      <c r="AA406" s="201" t="n"/>
      <c r="AB406" s="201" t="n"/>
      <c r="AC406" s="201" t="n"/>
      <c r="AD406" s="201" t="n"/>
      <c r="AE406" s="201" t="n"/>
      <c r="AF406" s="201" t="n"/>
      <c r="AG406" s="201" t="n"/>
    </row>
    <row r="407" ht="12.75" customHeight="1" s="202">
      <c r="A407" s="201" t="n"/>
      <c r="B407" s="201" t="n"/>
      <c r="C407" s="201" t="n"/>
      <c r="D407" s="201" t="n"/>
      <c r="E407" s="201" t="n"/>
      <c r="F407" s="201" t="n"/>
      <c r="G407" s="201" t="n"/>
      <c r="H407" s="201" t="n"/>
      <c r="I407" s="201" t="n"/>
      <c r="J407" s="201" t="n"/>
      <c r="K407" s="201" t="n"/>
      <c r="L407" s="201" t="n"/>
      <c r="M407" s="201" t="n"/>
      <c r="N407" s="201" t="n"/>
      <c r="O407" s="201" t="n"/>
      <c r="P407" s="201" t="n"/>
      <c r="Q407" s="201" t="n"/>
      <c r="R407" s="201" t="n"/>
      <c r="S407" s="201" t="n"/>
      <c r="T407" s="201" t="n"/>
      <c r="U407" s="201" t="n"/>
      <c r="V407" s="201" t="n"/>
      <c r="W407" s="201" t="n"/>
      <c r="X407" s="201" t="n"/>
      <c r="Y407" s="201" t="n"/>
      <c r="Z407" s="201" t="n"/>
      <c r="AA407" s="201" t="n"/>
      <c r="AB407" s="201" t="n"/>
      <c r="AC407" s="201" t="n"/>
      <c r="AD407" s="201" t="n"/>
      <c r="AE407" s="201" t="n"/>
      <c r="AF407" s="201" t="n"/>
      <c r="AG407" s="201" t="n"/>
    </row>
    <row r="408" ht="12.75" customHeight="1" s="202">
      <c r="A408" s="201" t="n"/>
      <c r="B408" s="201" t="n"/>
      <c r="C408" s="201" t="n"/>
      <c r="D408" s="201" t="n"/>
      <c r="E408" s="201" t="n"/>
      <c r="F408" s="201" t="n"/>
      <c r="G408" s="201" t="n"/>
      <c r="H408" s="201" t="n"/>
      <c r="I408" s="201" t="n"/>
      <c r="J408" s="201" t="n"/>
      <c r="K408" s="201" t="n"/>
      <c r="L408" s="201" t="n"/>
      <c r="M408" s="201" t="n"/>
      <c r="N408" s="201" t="n"/>
      <c r="O408" s="201" t="n"/>
      <c r="P408" s="201" t="n"/>
      <c r="Q408" s="201" t="n"/>
      <c r="R408" s="201" t="n"/>
      <c r="S408" s="201" t="n"/>
      <c r="T408" s="201" t="n"/>
      <c r="U408" s="201" t="n"/>
      <c r="V408" s="201" t="n"/>
      <c r="W408" s="201" t="n"/>
      <c r="X408" s="201" t="n"/>
      <c r="Y408" s="201" t="n"/>
      <c r="Z408" s="201" t="n"/>
      <c r="AA408" s="201" t="n"/>
      <c r="AB408" s="201" t="n"/>
      <c r="AC408" s="201" t="n"/>
      <c r="AD408" s="201" t="n"/>
      <c r="AE408" s="201" t="n"/>
      <c r="AF408" s="201" t="n"/>
      <c r="AG408" s="201" t="n"/>
    </row>
    <row r="409" ht="12.75" customHeight="1" s="202">
      <c r="A409" s="201" t="n"/>
      <c r="B409" s="201" t="n"/>
      <c r="C409" s="201" t="n"/>
      <c r="D409" s="201" t="n"/>
      <c r="E409" s="201" t="n"/>
      <c r="F409" s="201" t="n"/>
      <c r="G409" s="201" t="n"/>
      <c r="H409" s="201" t="n"/>
      <c r="I409" s="201" t="n"/>
      <c r="J409" s="201" t="n"/>
      <c r="K409" s="201" t="n"/>
      <c r="L409" s="201" t="n"/>
      <c r="M409" s="201" t="n"/>
      <c r="N409" s="201" t="n"/>
      <c r="O409" s="201" t="n"/>
      <c r="P409" s="201" t="n"/>
      <c r="Q409" s="201" t="n"/>
      <c r="R409" s="201" t="n"/>
      <c r="S409" s="201" t="n"/>
      <c r="T409" s="201" t="n"/>
      <c r="U409" s="201" t="n"/>
      <c r="V409" s="201" t="n"/>
      <c r="W409" s="201" t="n"/>
      <c r="X409" s="201" t="n"/>
      <c r="Y409" s="201" t="n"/>
      <c r="Z409" s="201" t="n"/>
      <c r="AA409" s="201" t="n"/>
      <c r="AB409" s="201" t="n"/>
      <c r="AC409" s="201" t="n"/>
      <c r="AD409" s="201" t="n"/>
      <c r="AE409" s="201" t="n"/>
      <c r="AF409" s="201" t="n"/>
      <c r="AG409" s="201" t="n"/>
    </row>
    <row r="410" ht="12.75" customHeight="1" s="202">
      <c r="A410" s="201" t="n"/>
      <c r="B410" s="201" t="n"/>
      <c r="C410" s="201" t="n"/>
      <c r="D410" s="201" t="n"/>
      <c r="E410" s="201" t="n"/>
      <c r="F410" s="201" t="n"/>
      <c r="G410" s="201" t="n"/>
      <c r="H410" s="201" t="n"/>
      <c r="I410" s="201" t="n"/>
      <c r="J410" s="201" t="n"/>
      <c r="K410" s="201" t="n"/>
      <c r="L410" s="201" t="n"/>
      <c r="M410" s="201" t="n"/>
      <c r="N410" s="201" t="n"/>
      <c r="O410" s="201" t="n"/>
      <c r="P410" s="201" t="n"/>
      <c r="Q410" s="201" t="n"/>
      <c r="R410" s="201" t="n"/>
      <c r="S410" s="201" t="n"/>
      <c r="T410" s="201" t="n"/>
      <c r="U410" s="201" t="n"/>
      <c r="V410" s="201" t="n"/>
      <c r="W410" s="201" t="n"/>
      <c r="X410" s="201" t="n"/>
      <c r="Y410" s="201" t="n"/>
      <c r="Z410" s="201" t="n"/>
      <c r="AA410" s="201" t="n"/>
      <c r="AB410" s="201" t="n"/>
      <c r="AC410" s="201" t="n"/>
      <c r="AD410" s="201" t="n"/>
      <c r="AE410" s="201" t="n"/>
      <c r="AF410" s="201" t="n"/>
      <c r="AG410" s="201" t="n"/>
    </row>
    <row r="411" ht="12.75" customHeight="1" s="202">
      <c r="A411" s="201" t="n"/>
      <c r="B411" s="201" t="n"/>
      <c r="C411" s="201" t="n"/>
      <c r="D411" s="201" t="n"/>
      <c r="E411" s="201" t="n"/>
      <c r="F411" s="201" t="n"/>
      <c r="G411" s="201" t="n"/>
      <c r="H411" s="201" t="n"/>
      <c r="I411" s="201" t="n"/>
      <c r="J411" s="201" t="n"/>
      <c r="K411" s="201" t="n"/>
      <c r="L411" s="201" t="n"/>
      <c r="M411" s="201" t="n"/>
      <c r="N411" s="201" t="n"/>
      <c r="O411" s="201" t="n"/>
      <c r="P411" s="201" t="n"/>
      <c r="Q411" s="201" t="n"/>
      <c r="R411" s="201" t="n"/>
      <c r="S411" s="201" t="n"/>
      <c r="T411" s="201" t="n"/>
      <c r="U411" s="201" t="n"/>
      <c r="V411" s="201" t="n"/>
      <c r="W411" s="201" t="n"/>
      <c r="X411" s="201" t="n"/>
      <c r="Y411" s="201" t="n"/>
      <c r="Z411" s="201" t="n"/>
      <c r="AA411" s="201" t="n"/>
      <c r="AB411" s="201" t="n"/>
      <c r="AC411" s="201" t="n"/>
      <c r="AD411" s="201" t="n"/>
      <c r="AE411" s="201" t="n"/>
      <c r="AF411" s="201" t="n"/>
      <c r="AG411" s="201" t="n"/>
    </row>
    <row r="412" ht="12.75" customHeight="1" s="202">
      <c r="A412" s="201" t="n"/>
      <c r="B412" s="201" t="n"/>
      <c r="C412" s="201" t="n"/>
      <c r="D412" s="201" t="n"/>
      <c r="E412" s="201" t="n"/>
      <c r="F412" s="201" t="n"/>
      <c r="G412" s="201" t="n"/>
      <c r="H412" s="201" t="n"/>
      <c r="I412" s="201" t="n"/>
      <c r="J412" s="201" t="n"/>
      <c r="K412" s="201" t="n"/>
      <c r="L412" s="201" t="n"/>
      <c r="M412" s="201" t="n"/>
      <c r="N412" s="201" t="n"/>
      <c r="O412" s="201" t="n"/>
      <c r="P412" s="201" t="n"/>
      <c r="Q412" s="201" t="n"/>
      <c r="R412" s="201" t="n"/>
      <c r="S412" s="201" t="n"/>
      <c r="T412" s="201" t="n"/>
      <c r="U412" s="201" t="n"/>
      <c r="V412" s="201" t="n"/>
      <c r="W412" s="201" t="n"/>
      <c r="X412" s="201" t="n"/>
      <c r="Y412" s="201" t="n"/>
      <c r="Z412" s="201" t="n"/>
      <c r="AA412" s="201" t="n"/>
      <c r="AB412" s="201" t="n"/>
      <c r="AC412" s="201" t="n"/>
      <c r="AD412" s="201" t="n"/>
      <c r="AE412" s="201" t="n"/>
      <c r="AF412" s="201" t="n"/>
      <c r="AG412" s="201" t="n"/>
    </row>
    <row r="413" ht="12.75" customHeight="1" s="202">
      <c r="A413" s="201" t="n"/>
      <c r="B413" s="201" t="n"/>
      <c r="C413" s="201" t="n"/>
      <c r="D413" s="201" t="n"/>
      <c r="E413" s="201" t="n"/>
      <c r="F413" s="201" t="n"/>
      <c r="G413" s="201" t="n"/>
      <c r="H413" s="201" t="n"/>
      <c r="I413" s="201" t="n"/>
      <c r="J413" s="201" t="n"/>
      <c r="K413" s="201" t="n"/>
      <c r="L413" s="201" t="n"/>
      <c r="M413" s="201" t="n"/>
      <c r="N413" s="201" t="n"/>
      <c r="O413" s="201" t="n"/>
      <c r="P413" s="201" t="n"/>
      <c r="Q413" s="201" t="n"/>
      <c r="R413" s="201" t="n"/>
      <c r="S413" s="201" t="n"/>
      <c r="T413" s="201" t="n"/>
      <c r="U413" s="201" t="n"/>
      <c r="V413" s="201" t="n"/>
      <c r="W413" s="201" t="n"/>
      <c r="X413" s="201" t="n"/>
      <c r="Y413" s="201" t="n"/>
      <c r="Z413" s="201" t="n"/>
      <c r="AA413" s="201" t="n"/>
      <c r="AB413" s="201" t="n"/>
      <c r="AC413" s="201" t="n"/>
      <c r="AD413" s="201" t="n"/>
      <c r="AE413" s="201" t="n"/>
      <c r="AF413" s="201" t="n"/>
      <c r="AG413" s="201" t="n"/>
    </row>
    <row r="414" ht="12.75" customHeight="1" s="202">
      <c r="A414" s="201" t="n"/>
      <c r="B414" s="201" t="n"/>
      <c r="C414" s="201" t="n"/>
      <c r="D414" s="201" t="n"/>
      <c r="E414" s="201" t="n"/>
      <c r="F414" s="201" t="n"/>
      <c r="G414" s="201" t="n"/>
      <c r="H414" s="201" t="n"/>
      <c r="I414" s="201" t="n"/>
      <c r="J414" s="201" t="n"/>
      <c r="K414" s="201" t="n"/>
      <c r="L414" s="201" t="n"/>
      <c r="M414" s="201" t="n"/>
      <c r="N414" s="201" t="n"/>
      <c r="O414" s="201" t="n"/>
      <c r="P414" s="201" t="n"/>
      <c r="Q414" s="201" t="n"/>
      <c r="R414" s="201" t="n"/>
      <c r="S414" s="201" t="n"/>
      <c r="T414" s="201" t="n"/>
      <c r="U414" s="201" t="n"/>
      <c r="V414" s="201" t="n"/>
      <c r="W414" s="201" t="n"/>
      <c r="X414" s="201" t="n"/>
      <c r="Y414" s="201" t="n"/>
      <c r="Z414" s="201" t="n"/>
      <c r="AA414" s="201" t="n"/>
      <c r="AB414" s="201" t="n"/>
      <c r="AC414" s="201" t="n"/>
      <c r="AD414" s="201" t="n"/>
      <c r="AE414" s="201" t="n"/>
      <c r="AF414" s="201" t="n"/>
      <c r="AG414" s="201" t="n"/>
    </row>
    <row r="415" ht="12.75" customHeight="1" s="202">
      <c r="A415" s="201" t="n"/>
      <c r="B415" s="201" t="n"/>
      <c r="C415" s="201" t="n"/>
      <c r="D415" s="201" t="n"/>
      <c r="E415" s="201" t="n"/>
      <c r="F415" s="201" t="n"/>
      <c r="G415" s="201" t="n"/>
      <c r="H415" s="201" t="n"/>
      <c r="I415" s="201" t="n"/>
      <c r="J415" s="201" t="n"/>
      <c r="K415" s="201" t="n"/>
      <c r="L415" s="201" t="n"/>
      <c r="M415" s="201" t="n"/>
      <c r="N415" s="201" t="n"/>
      <c r="O415" s="201" t="n"/>
      <c r="P415" s="201" t="n"/>
      <c r="Q415" s="201" t="n"/>
      <c r="R415" s="201" t="n"/>
      <c r="S415" s="201" t="n"/>
      <c r="T415" s="201" t="n"/>
      <c r="U415" s="201" t="n"/>
      <c r="V415" s="201" t="n"/>
      <c r="W415" s="201" t="n"/>
      <c r="X415" s="201" t="n"/>
      <c r="Y415" s="201" t="n"/>
      <c r="Z415" s="201" t="n"/>
      <c r="AA415" s="201" t="n"/>
      <c r="AB415" s="201" t="n"/>
      <c r="AC415" s="201" t="n"/>
      <c r="AD415" s="201" t="n"/>
      <c r="AE415" s="201" t="n"/>
      <c r="AF415" s="201" t="n"/>
      <c r="AG415" s="201" t="n"/>
    </row>
    <row r="416" ht="12.75" customHeight="1" s="202">
      <c r="A416" s="201" t="n"/>
      <c r="B416" s="201" t="n"/>
      <c r="C416" s="201" t="n"/>
      <c r="D416" s="201" t="n"/>
      <c r="E416" s="201" t="n"/>
      <c r="F416" s="201" t="n"/>
      <c r="G416" s="201" t="n"/>
      <c r="H416" s="201" t="n"/>
      <c r="I416" s="201" t="n"/>
      <c r="J416" s="201" t="n"/>
      <c r="K416" s="201" t="n"/>
      <c r="L416" s="201" t="n"/>
      <c r="M416" s="201" t="n"/>
      <c r="N416" s="201" t="n"/>
      <c r="O416" s="201" t="n"/>
      <c r="P416" s="201" t="n"/>
      <c r="Q416" s="201" t="n"/>
      <c r="R416" s="201" t="n"/>
      <c r="S416" s="201" t="n"/>
      <c r="T416" s="201" t="n"/>
      <c r="U416" s="201" t="n"/>
      <c r="V416" s="201" t="n"/>
      <c r="W416" s="201" t="n"/>
      <c r="X416" s="201" t="n"/>
      <c r="Y416" s="201" t="n"/>
      <c r="Z416" s="201" t="n"/>
      <c r="AA416" s="201" t="n"/>
      <c r="AB416" s="201" t="n"/>
      <c r="AC416" s="201" t="n"/>
      <c r="AD416" s="201" t="n"/>
      <c r="AE416" s="201" t="n"/>
      <c r="AF416" s="201" t="n"/>
      <c r="AG416" s="201" t="n"/>
    </row>
    <row r="417" ht="12.75" customHeight="1" s="202">
      <c r="A417" s="201" t="n"/>
      <c r="B417" s="201" t="n"/>
      <c r="C417" s="201" t="n"/>
      <c r="D417" s="201" t="n"/>
      <c r="E417" s="201" t="n"/>
      <c r="F417" s="201" t="n"/>
      <c r="G417" s="201" t="n"/>
      <c r="H417" s="201" t="n"/>
      <c r="I417" s="201" t="n"/>
      <c r="J417" s="201" t="n"/>
      <c r="K417" s="201" t="n"/>
      <c r="L417" s="201" t="n"/>
      <c r="M417" s="201" t="n"/>
      <c r="N417" s="201" t="n"/>
      <c r="O417" s="201" t="n"/>
      <c r="P417" s="201" t="n"/>
      <c r="Q417" s="201" t="n"/>
      <c r="R417" s="201" t="n"/>
      <c r="S417" s="201" t="n"/>
      <c r="T417" s="201" t="n"/>
      <c r="U417" s="201" t="n"/>
      <c r="V417" s="201" t="n"/>
      <c r="W417" s="201" t="n"/>
      <c r="X417" s="201" t="n"/>
      <c r="Y417" s="201" t="n"/>
      <c r="Z417" s="201" t="n"/>
      <c r="AA417" s="201" t="n"/>
      <c r="AB417" s="201" t="n"/>
      <c r="AC417" s="201" t="n"/>
      <c r="AD417" s="201" t="n"/>
      <c r="AE417" s="201" t="n"/>
      <c r="AF417" s="201" t="n"/>
      <c r="AG417" s="201" t="n"/>
    </row>
    <row r="418" ht="12.75" customHeight="1" s="202">
      <c r="A418" s="201" t="n"/>
      <c r="B418" s="201" t="n"/>
      <c r="C418" s="201" t="n"/>
      <c r="D418" s="201" t="n"/>
      <c r="E418" s="201" t="n"/>
      <c r="F418" s="201" t="n"/>
      <c r="G418" s="201" t="n"/>
      <c r="H418" s="201" t="n"/>
      <c r="I418" s="201" t="n"/>
      <c r="J418" s="201" t="n"/>
      <c r="K418" s="201" t="n"/>
      <c r="L418" s="201" t="n"/>
      <c r="M418" s="201" t="n"/>
      <c r="N418" s="201" t="n"/>
      <c r="O418" s="201" t="n"/>
      <c r="P418" s="201" t="n"/>
      <c r="Q418" s="201" t="n"/>
      <c r="R418" s="201" t="n"/>
      <c r="S418" s="201" t="n"/>
      <c r="T418" s="201" t="n"/>
      <c r="U418" s="201" t="n"/>
      <c r="V418" s="201" t="n"/>
      <c r="W418" s="201" t="n"/>
      <c r="X418" s="201" t="n"/>
      <c r="Y418" s="201" t="n"/>
      <c r="Z418" s="201" t="n"/>
      <c r="AA418" s="201" t="n"/>
      <c r="AB418" s="201" t="n"/>
      <c r="AC418" s="201" t="n"/>
      <c r="AD418" s="201" t="n"/>
      <c r="AE418" s="201" t="n"/>
      <c r="AF418" s="201" t="n"/>
      <c r="AG418" s="201" t="n"/>
    </row>
    <row r="419" ht="12.75" customHeight="1" s="202">
      <c r="A419" s="201" t="n"/>
      <c r="B419" s="201" t="n"/>
      <c r="C419" s="201" t="n"/>
      <c r="D419" s="201" t="n"/>
      <c r="E419" s="201" t="n"/>
      <c r="F419" s="201" t="n"/>
      <c r="G419" s="201" t="n"/>
      <c r="H419" s="201" t="n"/>
      <c r="I419" s="201" t="n"/>
      <c r="J419" s="201" t="n"/>
      <c r="K419" s="201" t="n"/>
      <c r="L419" s="201" t="n"/>
      <c r="M419" s="201" t="n"/>
      <c r="N419" s="201" t="n"/>
      <c r="O419" s="201" t="n"/>
      <c r="P419" s="201" t="n"/>
      <c r="Q419" s="201" t="n"/>
      <c r="R419" s="201" t="n"/>
      <c r="S419" s="201" t="n"/>
      <c r="T419" s="201" t="n"/>
      <c r="U419" s="201" t="n"/>
      <c r="V419" s="201" t="n"/>
      <c r="W419" s="201" t="n"/>
      <c r="X419" s="201" t="n"/>
      <c r="Y419" s="201" t="n"/>
      <c r="Z419" s="201" t="n"/>
      <c r="AA419" s="201" t="n"/>
      <c r="AB419" s="201" t="n"/>
      <c r="AC419" s="201" t="n"/>
      <c r="AD419" s="201" t="n"/>
      <c r="AE419" s="201" t="n"/>
      <c r="AF419" s="201" t="n"/>
      <c r="AG419" s="201" t="n"/>
    </row>
    <row r="420" ht="12.75" customHeight="1" s="202">
      <c r="A420" s="201" t="n"/>
      <c r="B420" s="201" t="n"/>
      <c r="C420" s="201" t="n"/>
      <c r="D420" s="201" t="n"/>
      <c r="E420" s="201" t="n"/>
      <c r="F420" s="201" t="n"/>
      <c r="G420" s="201" t="n"/>
      <c r="H420" s="201" t="n"/>
      <c r="I420" s="201" t="n"/>
      <c r="J420" s="201" t="n"/>
      <c r="K420" s="201" t="n"/>
      <c r="L420" s="201" t="n"/>
      <c r="M420" s="201" t="n"/>
      <c r="N420" s="201" t="n"/>
      <c r="O420" s="201" t="n"/>
      <c r="P420" s="201" t="n"/>
      <c r="Q420" s="201" t="n"/>
      <c r="R420" s="201" t="n"/>
      <c r="S420" s="201" t="n"/>
      <c r="T420" s="201" t="n"/>
      <c r="U420" s="201" t="n"/>
      <c r="V420" s="201" t="n"/>
      <c r="W420" s="201" t="n"/>
      <c r="X420" s="201" t="n"/>
      <c r="Y420" s="201" t="n"/>
      <c r="Z420" s="201" t="n"/>
      <c r="AA420" s="201" t="n"/>
      <c r="AB420" s="201" t="n"/>
      <c r="AC420" s="201" t="n"/>
      <c r="AD420" s="201" t="n"/>
      <c r="AE420" s="201" t="n"/>
      <c r="AF420" s="201" t="n"/>
      <c r="AG420" s="201" t="n"/>
    </row>
    <row r="421" ht="12.75" customHeight="1" s="202">
      <c r="A421" s="201" t="n"/>
      <c r="B421" s="201" t="n"/>
      <c r="C421" s="201" t="n"/>
      <c r="D421" s="201" t="n"/>
      <c r="E421" s="201" t="n"/>
      <c r="F421" s="201" t="n"/>
      <c r="G421" s="201" t="n"/>
      <c r="H421" s="201" t="n"/>
      <c r="I421" s="201" t="n"/>
      <c r="J421" s="201" t="n"/>
      <c r="K421" s="201" t="n"/>
      <c r="L421" s="201" t="n"/>
      <c r="M421" s="201" t="n"/>
      <c r="N421" s="201" t="n"/>
      <c r="O421" s="201" t="n"/>
      <c r="P421" s="201" t="n"/>
      <c r="Q421" s="201" t="n"/>
      <c r="R421" s="201" t="n"/>
      <c r="S421" s="201" t="n"/>
      <c r="T421" s="201" t="n"/>
      <c r="U421" s="201" t="n"/>
      <c r="V421" s="201" t="n"/>
      <c r="W421" s="201" t="n"/>
      <c r="X421" s="201" t="n"/>
      <c r="Y421" s="201" t="n"/>
      <c r="Z421" s="201" t="n"/>
      <c r="AA421" s="201" t="n"/>
      <c r="AB421" s="201" t="n"/>
      <c r="AC421" s="201" t="n"/>
      <c r="AD421" s="201" t="n"/>
      <c r="AE421" s="201" t="n"/>
      <c r="AF421" s="201" t="n"/>
      <c r="AG421" s="201" t="n"/>
    </row>
    <row r="422" ht="12.75" customHeight="1" s="202">
      <c r="A422" s="201" t="n"/>
      <c r="B422" s="201" t="n"/>
      <c r="C422" s="201" t="n"/>
      <c r="D422" s="201" t="n"/>
      <c r="E422" s="201" t="n"/>
      <c r="F422" s="201" t="n"/>
      <c r="G422" s="201" t="n"/>
      <c r="H422" s="201" t="n"/>
      <c r="I422" s="201" t="n"/>
      <c r="J422" s="201" t="n"/>
      <c r="K422" s="201" t="n"/>
      <c r="L422" s="201" t="n"/>
      <c r="M422" s="201" t="n"/>
      <c r="N422" s="201" t="n"/>
      <c r="O422" s="201" t="n"/>
      <c r="P422" s="201" t="n"/>
      <c r="Q422" s="201" t="n"/>
      <c r="R422" s="201" t="n"/>
      <c r="S422" s="201" t="n"/>
      <c r="T422" s="201" t="n"/>
      <c r="U422" s="201" t="n"/>
      <c r="V422" s="201" t="n"/>
      <c r="W422" s="201" t="n"/>
      <c r="X422" s="201" t="n"/>
      <c r="Y422" s="201" t="n"/>
      <c r="Z422" s="201" t="n"/>
      <c r="AA422" s="201" t="n"/>
      <c r="AB422" s="201" t="n"/>
      <c r="AC422" s="201" t="n"/>
      <c r="AD422" s="201" t="n"/>
      <c r="AE422" s="201" t="n"/>
      <c r="AF422" s="201" t="n"/>
      <c r="AG422" s="201" t="n"/>
    </row>
    <row r="423" ht="12.75" customHeight="1" s="202">
      <c r="A423" s="201" t="n"/>
      <c r="B423" s="201" t="n"/>
      <c r="C423" s="201" t="n"/>
      <c r="D423" s="201" t="n"/>
      <c r="E423" s="201" t="n"/>
      <c r="F423" s="201" t="n"/>
      <c r="G423" s="201" t="n"/>
      <c r="H423" s="201" t="n"/>
      <c r="I423" s="201" t="n"/>
      <c r="J423" s="201" t="n"/>
      <c r="K423" s="201" t="n"/>
      <c r="L423" s="201" t="n"/>
      <c r="M423" s="201" t="n"/>
      <c r="N423" s="201" t="n"/>
      <c r="O423" s="201" t="n"/>
      <c r="P423" s="201" t="n"/>
      <c r="Q423" s="201" t="n"/>
      <c r="R423" s="201" t="n"/>
      <c r="S423" s="201" t="n"/>
      <c r="T423" s="201" t="n"/>
      <c r="U423" s="201" t="n"/>
      <c r="V423" s="201" t="n"/>
      <c r="W423" s="201" t="n"/>
      <c r="X423" s="201" t="n"/>
      <c r="Y423" s="201" t="n"/>
      <c r="Z423" s="201" t="n"/>
      <c r="AA423" s="201" t="n"/>
      <c r="AB423" s="201" t="n"/>
      <c r="AC423" s="201" t="n"/>
      <c r="AD423" s="201" t="n"/>
      <c r="AE423" s="201" t="n"/>
      <c r="AF423" s="201" t="n"/>
      <c r="AG423" s="201" t="n"/>
    </row>
    <row r="424" ht="12.75" customHeight="1" s="202">
      <c r="A424" s="201" t="n"/>
      <c r="B424" s="201" t="n"/>
      <c r="C424" s="201" t="n"/>
      <c r="D424" s="201" t="n"/>
      <c r="E424" s="201" t="n"/>
      <c r="F424" s="201" t="n"/>
      <c r="G424" s="201" t="n"/>
      <c r="H424" s="201" t="n"/>
      <c r="I424" s="201" t="n"/>
      <c r="J424" s="201" t="n"/>
      <c r="K424" s="201" t="n"/>
      <c r="L424" s="201" t="n"/>
      <c r="M424" s="201" t="n"/>
      <c r="N424" s="201" t="n"/>
      <c r="O424" s="201" t="n"/>
      <c r="P424" s="201" t="n"/>
      <c r="Q424" s="201" t="n"/>
      <c r="R424" s="201" t="n"/>
      <c r="S424" s="201" t="n"/>
      <c r="T424" s="201" t="n"/>
      <c r="U424" s="201" t="n"/>
      <c r="V424" s="201" t="n"/>
      <c r="W424" s="201" t="n"/>
      <c r="X424" s="201" t="n"/>
      <c r="Y424" s="201" t="n"/>
      <c r="Z424" s="201" t="n"/>
      <c r="AA424" s="201" t="n"/>
      <c r="AB424" s="201" t="n"/>
      <c r="AC424" s="201" t="n"/>
      <c r="AD424" s="201" t="n"/>
      <c r="AE424" s="201" t="n"/>
      <c r="AF424" s="201" t="n"/>
      <c r="AG424" s="201" t="n"/>
    </row>
    <row r="425" ht="12.75" customHeight="1" s="202">
      <c r="A425" s="201" t="n"/>
      <c r="B425" s="201" t="n"/>
      <c r="C425" s="201" t="n"/>
      <c r="D425" s="201" t="n"/>
      <c r="E425" s="201" t="n"/>
      <c r="F425" s="201" t="n"/>
      <c r="G425" s="201" t="n"/>
      <c r="H425" s="201" t="n"/>
      <c r="I425" s="201" t="n"/>
      <c r="J425" s="201" t="n"/>
      <c r="K425" s="201" t="n"/>
      <c r="L425" s="201" t="n"/>
      <c r="M425" s="201" t="n"/>
      <c r="N425" s="201" t="n"/>
      <c r="O425" s="201" t="n"/>
      <c r="P425" s="201" t="n"/>
      <c r="Q425" s="201" t="n"/>
      <c r="R425" s="201" t="n"/>
      <c r="S425" s="201" t="n"/>
      <c r="T425" s="201" t="n"/>
      <c r="U425" s="201" t="n"/>
      <c r="V425" s="201" t="n"/>
      <c r="W425" s="201" t="n"/>
      <c r="X425" s="201" t="n"/>
      <c r="Y425" s="201" t="n"/>
      <c r="Z425" s="201" t="n"/>
      <c r="AA425" s="201" t="n"/>
      <c r="AB425" s="201" t="n"/>
      <c r="AC425" s="201" t="n"/>
      <c r="AD425" s="201" t="n"/>
      <c r="AE425" s="201" t="n"/>
      <c r="AF425" s="201" t="n"/>
      <c r="AG425" s="201" t="n"/>
    </row>
    <row r="426" ht="12.75" customHeight="1" s="202">
      <c r="A426" s="201" t="n"/>
      <c r="B426" s="201" t="n"/>
      <c r="C426" s="201" t="n"/>
      <c r="D426" s="201" t="n"/>
      <c r="E426" s="201" t="n"/>
      <c r="F426" s="201" t="n"/>
      <c r="G426" s="201" t="n"/>
      <c r="H426" s="201" t="n"/>
      <c r="I426" s="201" t="n"/>
      <c r="J426" s="201" t="n"/>
      <c r="K426" s="201" t="n"/>
      <c r="L426" s="201" t="n"/>
      <c r="M426" s="201" t="n"/>
      <c r="N426" s="201" t="n"/>
      <c r="O426" s="201" t="n"/>
      <c r="P426" s="201" t="n"/>
      <c r="Q426" s="201" t="n"/>
      <c r="R426" s="201" t="n"/>
      <c r="S426" s="201" t="n"/>
      <c r="T426" s="201" t="n"/>
      <c r="U426" s="201" t="n"/>
      <c r="V426" s="201" t="n"/>
      <c r="W426" s="201" t="n"/>
      <c r="X426" s="201" t="n"/>
      <c r="Y426" s="201" t="n"/>
      <c r="Z426" s="201" t="n"/>
      <c r="AA426" s="201" t="n"/>
      <c r="AB426" s="201" t="n"/>
      <c r="AC426" s="201" t="n"/>
      <c r="AD426" s="201" t="n"/>
      <c r="AE426" s="201" t="n"/>
      <c r="AF426" s="201" t="n"/>
      <c r="AG426" s="201" t="n"/>
    </row>
    <row r="427" ht="12.75" customHeight="1" s="202">
      <c r="A427" s="201" t="n"/>
      <c r="B427" s="201" t="n"/>
      <c r="C427" s="201" t="n"/>
      <c r="D427" s="201" t="n"/>
      <c r="E427" s="201" t="n"/>
      <c r="F427" s="201" t="n"/>
      <c r="G427" s="201" t="n"/>
      <c r="H427" s="201" t="n"/>
      <c r="I427" s="201" t="n"/>
      <c r="J427" s="201" t="n"/>
      <c r="K427" s="201" t="n"/>
      <c r="L427" s="201" t="n"/>
      <c r="M427" s="201" t="n"/>
      <c r="N427" s="201" t="n"/>
      <c r="O427" s="201" t="n"/>
      <c r="P427" s="201" t="n"/>
      <c r="Q427" s="201" t="n"/>
      <c r="R427" s="201" t="n"/>
      <c r="S427" s="201" t="n"/>
      <c r="T427" s="201" t="n"/>
      <c r="U427" s="201" t="n"/>
      <c r="V427" s="201" t="n"/>
      <c r="W427" s="201" t="n"/>
      <c r="X427" s="201" t="n"/>
      <c r="Y427" s="201" t="n"/>
      <c r="Z427" s="201" t="n"/>
      <c r="AA427" s="201" t="n"/>
      <c r="AB427" s="201" t="n"/>
      <c r="AC427" s="201" t="n"/>
      <c r="AD427" s="201" t="n"/>
      <c r="AE427" s="201" t="n"/>
      <c r="AF427" s="201" t="n"/>
      <c r="AG427" s="201" t="n"/>
    </row>
    <row r="428" ht="12.75" customHeight="1" s="202">
      <c r="A428" s="201" t="n"/>
      <c r="B428" s="201" t="n"/>
      <c r="C428" s="201" t="n"/>
      <c r="D428" s="201" t="n"/>
      <c r="E428" s="201" t="n"/>
      <c r="F428" s="201" t="n"/>
      <c r="G428" s="201" t="n"/>
      <c r="H428" s="201" t="n"/>
      <c r="I428" s="201" t="n"/>
      <c r="J428" s="201" t="n"/>
      <c r="K428" s="201" t="n"/>
      <c r="L428" s="201" t="n"/>
      <c r="M428" s="201" t="n"/>
      <c r="N428" s="201" t="n"/>
      <c r="O428" s="201" t="n"/>
      <c r="P428" s="201" t="n"/>
      <c r="Q428" s="201" t="n"/>
      <c r="R428" s="201" t="n"/>
      <c r="S428" s="201" t="n"/>
      <c r="T428" s="201" t="n"/>
      <c r="U428" s="201" t="n"/>
      <c r="V428" s="201" t="n"/>
      <c r="W428" s="201" t="n"/>
      <c r="X428" s="201" t="n"/>
      <c r="Y428" s="201" t="n"/>
      <c r="Z428" s="201" t="n"/>
      <c r="AA428" s="201" t="n"/>
      <c r="AB428" s="201" t="n"/>
      <c r="AC428" s="201" t="n"/>
      <c r="AD428" s="201" t="n"/>
      <c r="AE428" s="201" t="n"/>
      <c r="AF428" s="201" t="n"/>
      <c r="AG428" s="201" t="n"/>
    </row>
    <row r="429" ht="12.75" customHeight="1" s="202">
      <c r="A429" s="201" t="n"/>
      <c r="B429" s="201" t="n"/>
      <c r="C429" s="201" t="n"/>
      <c r="D429" s="201" t="n"/>
      <c r="E429" s="201" t="n"/>
      <c r="F429" s="201" t="n"/>
      <c r="G429" s="201" t="n"/>
      <c r="H429" s="201" t="n"/>
      <c r="I429" s="201" t="n"/>
      <c r="J429" s="201" t="n"/>
      <c r="K429" s="201" t="n"/>
      <c r="L429" s="201" t="n"/>
      <c r="M429" s="201" t="n"/>
      <c r="N429" s="201" t="n"/>
      <c r="O429" s="201" t="n"/>
      <c r="P429" s="201" t="n"/>
      <c r="Q429" s="201" t="n"/>
      <c r="R429" s="201" t="n"/>
      <c r="S429" s="201" t="n"/>
      <c r="T429" s="201" t="n"/>
      <c r="U429" s="201" t="n"/>
      <c r="V429" s="201" t="n"/>
      <c r="W429" s="201" t="n"/>
      <c r="X429" s="201" t="n"/>
      <c r="Y429" s="201" t="n"/>
      <c r="Z429" s="201" t="n"/>
      <c r="AA429" s="201" t="n"/>
      <c r="AB429" s="201" t="n"/>
      <c r="AC429" s="201" t="n"/>
      <c r="AD429" s="201" t="n"/>
      <c r="AE429" s="201" t="n"/>
      <c r="AF429" s="201" t="n"/>
      <c r="AG429" s="201" t="n"/>
    </row>
    <row r="430" ht="12.75" customHeight="1" s="202">
      <c r="A430" s="201" t="n"/>
      <c r="B430" s="201" t="n"/>
      <c r="C430" s="201" t="n"/>
      <c r="D430" s="201" t="n"/>
      <c r="E430" s="201" t="n"/>
      <c r="F430" s="201" t="n"/>
      <c r="G430" s="201" t="n"/>
      <c r="H430" s="201" t="n"/>
      <c r="I430" s="201" t="n"/>
      <c r="J430" s="201" t="n"/>
      <c r="K430" s="201" t="n"/>
      <c r="L430" s="201" t="n"/>
      <c r="M430" s="201" t="n"/>
      <c r="N430" s="201" t="n"/>
      <c r="O430" s="201" t="n"/>
      <c r="P430" s="201" t="n"/>
      <c r="Q430" s="201" t="n"/>
      <c r="R430" s="201" t="n"/>
      <c r="S430" s="201" t="n"/>
      <c r="T430" s="201" t="n"/>
      <c r="U430" s="201" t="n"/>
      <c r="V430" s="201" t="n"/>
      <c r="W430" s="201" t="n"/>
      <c r="X430" s="201" t="n"/>
      <c r="Y430" s="201" t="n"/>
      <c r="Z430" s="201" t="n"/>
      <c r="AA430" s="201" t="n"/>
      <c r="AB430" s="201" t="n"/>
      <c r="AC430" s="201" t="n"/>
      <c r="AD430" s="201" t="n"/>
      <c r="AE430" s="201" t="n"/>
      <c r="AF430" s="201" t="n"/>
      <c r="AG430" s="201" t="n"/>
    </row>
    <row r="431" ht="12.75" customHeight="1" s="202">
      <c r="A431" s="201" t="n"/>
      <c r="B431" s="201" t="n"/>
      <c r="C431" s="201" t="n"/>
      <c r="D431" s="201" t="n"/>
      <c r="E431" s="201" t="n"/>
      <c r="F431" s="201" t="n"/>
      <c r="G431" s="201" t="n"/>
      <c r="H431" s="201" t="n"/>
      <c r="I431" s="201" t="n"/>
      <c r="J431" s="201" t="n"/>
      <c r="K431" s="201" t="n"/>
      <c r="L431" s="201" t="n"/>
      <c r="M431" s="201" t="n"/>
      <c r="N431" s="201" t="n"/>
      <c r="O431" s="201" t="n"/>
      <c r="P431" s="201" t="n"/>
      <c r="Q431" s="201" t="n"/>
      <c r="R431" s="201" t="n"/>
      <c r="S431" s="201" t="n"/>
      <c r="T431" s="201" t="n"/>
      <c r="U431" s="201" t="n"/>
      <c r="V431" s="201" t="n"/>
      <c r="W431" s="201" t="n"/>
      <c r="X431" s="201" t="n"/>
      <c r="Y431" s="201" t="n"/>
      <c r="Z431" s="201" t="n"/>
      <c r="AA431" s="201" t="n"/>
      <c r="AB431" s="201" t="n"/>
      <c r="AC431" s="201" t="n"/>
      <c r="AD431" s="201" t="n"/>
      <c r="AE431" s="201" t="n"/>
      <c r="AF431" s="201" t="n"/>
      <c r="AG431" s="201" t="n"/>
    </row>
    <row r="432" ht="12.75" customHeight="1" s="202">
      <c r="A432" s="201" t="n"/>
      <c r="B432" s="201" t="n"/>
      <c r="C432" s="201" t="n"/>
      <c r="D432" s="201" t="n"/>
      <c r="E432" s="201" t="n"/>
      <c r="F432" s="201" t="n"/>
      <c r="G432" s="201" t="n"/>
      <c r="H432" s="201" t="n"/>
      <c r="I432" s="201" t="n"/>
      <c r="J432" s="201" t="n"/>
      <c r="K432" s="201" t="n"/>
      <c r="L432" s="201" t="n"/>
      <c r="M432" s="201" t="n"/>
      <c r="N432" s="201" t="n"/>
      <c r="O432" s="201" t="n"/>
      <c r="P432" s="201" t="n"/>
      <c r="Q432" s="201" t="n"/>
      <c r="R432" s="201" t="n"/>
      <c r="S432" s="201" t="n"/>
      <c r="T432" s="201" t="n"/>
      <c r="U432" s="201" t="n"/>
      <c r="V432" s="201" t="n"/>
      <c r="W432" s="201" t="n"/>
      <c r="X432" s="201" t="n"/>
      <c r="Y432" s="201" t="n"/>
      <c r="Z432" s="201" t="n"/>
      <c r="AA432" s="201" t="n"/>
      <c r="AB432" s="201" t="n"/>
      <c r="AC432" s="201" t="n"/>
      <c r="AD432" s="201" t="n"/>
      <c r="AE432" s="201" t="n"/>
      <c r="AF432" s="201" t="n"/>
      <c r="AG432" s="201" t="n"/>
    </row>
    <row r="433" ht="12.75" customHeight="1" s="202">
      <c r="A433" s="201" t="n"/>
      <c r="B433" s="201" t="n"/>
      <c r="C433" s="201" t="n"/>
      <c r="D433" s="201" t="n"/>
      <c r="E433" s="201" t="n"/>
      <c r="F433" s="201" t="n"/>
      <c r="G433" s="201" t="n"/>
      <c r="H433" s="201" t="n"/>
      <c r="I433" s="201" t="n"/>
      <c r="J433" s="201" t="n"/>
      <c r="K433" s="201" t="n"/>
      <c r="L433" s="201" t="n"/>
      <c r="M433" s="201" t="n"/>
      <c r="N433" s="201" t="n"/>
      <c r="O433" s="201" t="n"/>
      <c r="P433" s="201" t="n"/>
      <c r="Q433" s="201" t="n"/>
      <c r="R433" s="201" t="n"/>
      <c r="S433" s="201" t="n"/>
      <c r="T433" s="201" t="n"/>
      <c r="U433" s="201" t="n"/>
      <c r="V433" s="201" t="n"/>
      <c r="W433" s="201" t="n"/>
      <c r="X433" s="201" t="n"/>
      <c r="Y433" s="201" t="n"/>
      <c r="Z433" s="201" t="n"/>
      <c r="AA433" s="201" t="n"/>
      <c r="AB433" s="201" t="n"/>
      <c r="AC433" s="201" t="n"/>
      <c r="AD433" s="201" t="n"/>
      <c r="AE433" s="201" t="n"/>
      <c r="AF433" s="201" t="n"/>
      <c r="AG433" s="201" t="n"/>
    </row>
    <row r="434" ht="12.75" customHeight="1" s="202">
      <c r="A434" s="201" t="n"/>
      <c r="B434" s="201" t="n"/>
      <c r="C434" s="201" t="n"/>
      <c r="D434" s="201" t="n"/>
      <c r="E434" s="201" t="n"/>
      <c r="F434" s="201" t="n"/>
      <c r="G434" s="201" t="n"/>
      <c r="H434" s="201" t="n"/>
      <c r="I434" s="201" t="n"/>
      <c r="J434" s="201" t="n"/>
      <c r="K434" s="201" t="n"/>
      <c r="L434" s="201" t="n"/>
      <c r="M434" s="201" t="n"/>
      <c r="N434" s="201" t="n"/>
      <c r="O434" s="201" t="n"/>
      <c r="P434" s="201" t="n"/>
      <c r="Q434" s="201" t="n"/>
      <c r="R434" s="201" t="n"/>
      <c r="S434" s="201" t="n"/>
      <c r="T434" s="201" t="n"/>
      <c r="U434" s="201" t="n"/>
      <c r="V434" s="201" t="n"/>
      <c r="W434" s="201" t="n"/>
      <c r="X434" s="201" t="n"/>
      <c r="Y434" s="201" t="n"/>
      <c r="Z434" s="201" t="n"/>
      <c r="AA434" s="201" t="n"/>
      <c r="AB434" s="201" t="n"/>
      <c r="AC434" s="201" t="n"/>
      <c r="AD434" s="201" t="n"/>
      <c r="AE434" s="201" t="n"/>
      <c r="AF434" s="201" t="n"/>
      <c r="AG434" s="201" t="n"/>
    </row>
    <row r="435" ht="12.75" customHeight="1" s="202">
      <c r="A435" s="201" t="n"/>
      <c r="B435" s="201" t="n"/>
      <c r="C435" s="201" t="n"/>
      <c r="D435" s="201" t="n"/>
      <c r="E435" s="201" t="n"/>
      <c r="F435" s="201" t="n"/>
      <c r="G435" s="201" t="n"/>
      <c r="H435" s="201" t="n"/>
      <c r="I435" s="201" t="n"/>
      <c r="J435" s="201" t="n"/>
      <c r="K435" s="201" t="n"/>
      <c r="L435" s="201" t="n"/>
      <c r="M435" s="201" t="n"/>
      <c r="N435" s="201" t="n"/>
      <c r="O435" s="201" t="n"/>
      <c r="P435" s="201" t="n"/>
      <c r="Q435" s="201" t="n"/>
      <c r="R435" s="201" t="n"/>
      <c r="S435" s="201" t="n"/>
      <c r="T435" s="201" t="n"/>
      <c r="U435" s="201" t="n"/>
      <c r="V435" s="201" t="n"/>
      <c r="W435" s="201" t="n"/>
      <c r="X435" s="201" t="n"/>
      <c r="Y435" s="201" t="n"/>
      <c r="Z435" s="201" t="n"/>
      <c r="AA435" s="201" t="n"/>
      <c r="AB435" s="201" t="n"/>
      <c r="AC435" s="201" t="n"/>
      <c r="AD435" s="201" t="n"/>
      <c r="AE435" s="201" t="n"/>
      <c r="AF435" s="201" t="n"/>
      <c r="AG435" s="201" t="n"/>
    </row>
    <row r="436" ht="12.75" customHeight="1" s="202">
      <c r="A436" s="201" t="n"/>
      <c r="B436" s="201" t="n"/>
      <c r="C436" s="201" t="n"/>
      <c r="D436" s="201" t="n"/>
      <c r="E436" s="201" t="n"/>
      <c r="F436" s="201" t="n"/>
      <c r="G436" s="201" t="n"/>
      <c r="H436" s="201" t="n"/>
      <c r="I436" s="201" t="n"/>
      <c r="J436" s="201" t="n"/>
      <c r="K436" s="201" t="n"/>
      <c r="L436" s="201" t="n"/>
      <c r="M436" s="201" t="n"/>
      <c r="N436" s="201" t="n"/>
      <c r="O436" s="201" t="n"/>
      <c r="P436" s="201" t="n"/>
      <c r="Q436" s="201" t="n"/>
      <c r="R436" s="201" t="n"/>
      <c r="S436" s="201" t="n"/>
      <c r="T436" s="201" t="n"/>
      <c r="U436" s="201" t="n"/>
      <c r="V436" s="201" t="n"/>
      <c r="W436" s="201" t="n"/>
      <c r="X436" s="201" t="n"/>
      <c r="Y436" s="201" t="n"/>
      <c r="Z436" s="201" t="n"/>
      <c r="AA436" s="201" t="n"/>
      <c r="AB436" s="201" t="n"/>
      <c r="AC436" s="201" t="n"/>
      <c r="AD436" s="201" t="n"/>
      <c r="AE436" s="201" t="n"/>
      <c r="AF436" s="201" t="n"/>
      <c r="AG436" s="201" t="n"/>
    </row>
    <row r="437" ht="12.75" customHeight="1" s="202">
      <c r="A437" s="201" t="n"/>
      <c r="B437" s="201" t="n"/>
      <c r="C437" s="201" t="n"/>
      <c r="D437" s="201" t="n"/>
      <c r="E437" s="201" t="n"/>
      <c r="F437" s="201" t="n"/>
      <c r="G437" s="201" t="n"/>
      <c r="H437" s="201" t="n"/>
      <c r="I437" s="201" t="n"/>
      <c r="J437" s="201" t="n"/>
      <c r="K437" s="201" t="n"/>
      <c r="L437" s="201" t="n"/>
      <c r="M437" s="201" t="n"/>
      <c r="N437" s="201" t="n"/>
      <c r="O437" s="201" t="n"/>
      <c r="P437" s="201" t="n"/>
      <c r="Q437" s="201" t="n"/>
      <c r="R437" s="201" t="n"/>
      <c r="S437" s="201" t="n"/>
      <c r="T437" s="201" t="n"/>
      <c r="U437" s="201" t="n"/>
      <c r="V437" s="201" t="n"/>
      <c r="W437" s="201" t="n"/>
      <c r="X437" s="201" t="n"/>
      <c r="Y437" s="201" t="n"/>
      <c r="Z437" s="201" t="n"/>
      <c r="AA437" s="201" t="n"/>
      <c r="AB437" s="201" t="n"/>
      <c r="AC437" s="201" t="n"/>
      <c r="AD437" s="201" t="n"/>
      <c r="AE437" s="201" t="n"/>
      <c r="AF437" s="201" t="n"/>
      <c r="AG437" s="201" t="n"/>
    </row>
    <row r="438" ht="12.75" customHeight="1" s="202">
      <c r="A438" s="201" t="n"/>
      <c r="B438" s="201" t="n"/>
      <c r="C438" s="201" t="n"/>
      <c r="D438" s="201" t="n"/>
      <c r="E438" s="201" t="n"/>
      <c r="F438" s="201" t="n"/>
      <c r="G438" s="201" t="n"/>
      <c r="H438" s="201" t="n"/>
      <c r="I438" s="201" t="n"/>
      <c r="J438" s="201" t="n"/>
      <c r="K438" s="201" t="n"/>
      <c r="L438" s="201" t="n"/>
      <c r="M438" s="201" t="n"/>
      <c r="N438" s="201" t="n"/>
      <c r="O438" s="201" t="n"/>
      <c r="P438" s="201" t="n"/>
      <c r="Q438" s="201" t="n"/>
      <c r="R438" s="201" t="n"/>
      <c r="S438" s="201" t="n"/>
      <c r="T438" s="201" t="n"/>
      <c r="U438" s="201" t="n"/>
      <c r="V438" s="201" t="n"/>
      <c r="W438" s="201" t="n"/>
      <c r="X438" s="201" t="n"/>
      <c r="Y438" s="201" t="n"/>
      <c r="Z438" s="201" t="n"/>
      <c r="AA438" s="201" t="n"/>
      <c r="AB438" s="201" t="n"/>
      <c r="AC438" s="201" t="n"/>
      <c r="AD438" s="201" t="n"/>
      <c r="AE438" s="201" t="n"/>
      <c r="AF438" s="201" t="n"/>
      <c r="AG438" s="201" t="n"/>
    </row>
    <row r="439" ht="12.75" customHeight="1" s="202">
      <c r="A439" s="201" t="n"/>
      <c r="B439" s="201" t="n"/>
      <c r="C439" s="201" t="n"/>
      <c r="D439" s="201" t="n"/>
      <c r="E439" s="201" t="n"/>
      <c r="F439" s="201" t="n"/>
      <c r="G439" s="201" t="n"/>
      <c r="H439" s="201" t="n"/>
      <c r="I439" s="201" t="n"/>
      <c r="J439" s="201" t="n"/>
      <c r="K439" s="201" t="n"/>
      <c r="L439" s="201" t="n"/>
      <c r="M439" s="201" t="n"/>
      <c r="N439" s="201" t="n"/>
      <c r="O439" s="201" t="n"/>
      <c r="P439" s="201" t="n"/>
      <c r="Q439" s="201" t="n"/>
      <c r="R439" s="201" t="n"/>
      <c r="S439" s="201" t="n"/>
      <c r="T439" s="201" t="n"/>
      <c r="U439" s="201" t="n"/>
      <c r="V439" s="201" t="n"/>
      <c r="W439" s="201" t="n"/>
      <c r="X439" s="201" t="n"/>
      <c r="Y439" s="201" t="n"/>
      <c r="Z439" s="201" t="n"/>
      <c r="AA439" s="201" t="n"/>
      <c r="AB439" s="201" t="n"/>
      <c r="AC439" s="201" t="n"/>
      <c r="AD439" s="201" t="n"/>
      <c r="AE439" s="201" t="n"/>
      <c r="AF439" s="201" t="n"/>
      <c r="AG439" s="201" t="n"/>
    </row>
    <row r="440" ht="12.75" customHeight="1" s="202">
      <c r="A440" s="201" t="n"/>
      <c r="B440" s="201" t="n"/>
      <c r="C440" s="201" t="n"/>
      <c r="D440" s="201" t="n"/>
      <c r="E440" s="201" t="n"/>
      <c r="F440" s="201" t="n"/>
      <c r="G440" s="201" t="n"/>
      <c r="H440" s="201" t="n"/>
      <c r="I440" s="201" t="n"/>
      <c r="J440" s="201" t="n"/>
      <c r="K440" s="201" t="n"/>
      <c r="L440" s="201" t="n"/>
      <c r="M440" s="201" t="n"/>
      <c r="N440" s="201" t="n"/>
      <c r="O440" s="201" t="n"/>
      <c r="P440" s="201" t="n"/>
      <c r="Q440" s="201" t="n"/>
      <c r="R440" s="201" t="n"/>
      <c r="S440" s="201" t="n"/>
      <c r="T440" s="201" t="n"/>
      <c r="U440" s="201" t="n"/>
      <c r="V440" s="201" t="n"/>
      <c r="W440" s="201" t="n"/>
      <c r="X440" s="201" t="n"/>
      <c r="Y440" s="201" t="n"/>
      <c r="Z440" s="201" t="n"/>
      <c r="AA440" s="201" t="n"/>
      <c r="AB440" s="201" t="n"/>
      <c r="AC440" s="201" t="n"/>
      <c r="AD440" s="201" t="n"/>
      <c r="AE440" s="201" t="n"/>
      <c r="AF440" s="201" t="n"/>
      <c r="AG440" s="201" t="n"/>
    </row>
    <row r="441" ht="12.75" customHeight="1" s="202">
      <c r="A441" s="201" t="n"/>
      <c r="B441" s="201" t="n"/>
      <c r="C441" s="201" t="n"/>
      <c r="D441" s="201" t="n"/>
      <c r="E441" s="201" t="n"/>
      <c r="F441" s="201" t="n"/>
      <c r="G441" s="201" t="n"/>
      <c r="H441" s="201" t="n"/>
      <c r="I441" s="201" t="n"/>
      <c r="J441" s="201" t="n"/>
      <c r="K441" s="201" t="n"/>
      <c r="L441" s="201" t="n"/>
      <c r="M441" s="201" t="n"/>
      <c r="N441" s="201" t="n"/>
      <c r="O441" s="201" t="n"/>
      <c r="P441" s="201" t="n"/>
      <c r="Q441" s="201" t="n"/>
      <c r="R441" s="201" t="n"/>
      <c r="S441" s="201" t="n"/>
      <c r="T441" s="201" t="n"/>
      <c r="U441" s="201" t="n"/>
      <c r="V441" s="201" t="n"/>
      <c r="W441" s="201" t="n"/>
      <c r="X441" s="201" t="n"/>
      <c r="Y441" s="201" t="n"/>
      <c r="Z441" s="201" t="n"/>
      <c r="AA441" s="201" t="n"/>
      <c r="AB441" s="201" t="n"/>
      <c r="AC441" s="201" t="n"/>
      <c r="AD441" s="201" t="n"/>
      <c r="AE441" s="201" t="n"/>
      <c r="AF441" s="201" t="n"/>
      <c r="AG441" s="201" t="n"/>
    </row>
    <row r="442" ht="12.75" customHeight="1" s="202">
      <c r="A442" s="201" t="n"/>
      <c r="B442" s="201" t="n"/>
      <c r="C442" s="201" t="n"/>
      <c r="D442" s="201" t="n"/>
      <c r="E442" s="201" t="n"/>
      <c r="F442" s="201" t="n"/>
      <c r="G442" s="201" t="n"/>
      <c r="H442" s="201" t="n"/>
      <c r="I442" s="201" t="n"/>
      <c r="J442" s="201" t="n"/>
      <c r="K442" s="201" t="n"/>
      <c r="L442" s="201" t="n"/>
      <c r="M442" s="201" t="n"/>
      <c r="N442" s="201" t="n"/>
      <c r="O442" s="201" t="n"/>
      <c r="P442" s="201" t="n"/>
      <c r="Q442" s="201" t="n"/>
      <c r="R442" s="201" t="n"/>
      <c r="S442" s="201" t="n"/>
      <c r="T442" s="201" t="n"/>
      <c r="U442" s="201" t="n"/>
      <c r="V442" s="201" t="n"/>
      <c r="W442" s="201" t="n"/>
      <c r="X442" s="201" t="n"/>
      <c r="Y442" s="201" t="n"/>
      <c r="Z442" s="201" t="n"/>
      <c r="AA442" s="201" t="n"/>
      <c r="AB442" s="201" t="n"/>
      <c r="AC442" s="201" t="n"/>
      <c r="AD442" s="201" t="n"/>
      <c r="AE442" s="201" t="n"/>
      <c r="AF442" s="201" t="n"/>
      <c r="AG442" s="201" t="n"/>
    </row>
    <row r="443" ht="12.75" customHeight="1" s="202">
      <c r="A443" s="201" t="n"/>
      <c r="B443" s="201" t="n"/>
      <c r="C443" s="201" t="n"/>
      <c r="D443" s="201" t="n"/>
      <c r="E443" s="201" t="n"/>
      <c r="F443" s="201" t="n"/>
      <c r="G443" s="201" t="n"/>
      <c r="H443" s="201" t="n"/>
      <c r="I443" s="201" t="n"/>
      <c r="J443" s="201" t="n"/>
      <c r="K443" s="201" t="n"/>
      <c r="L443" s="201" t="n"/>
      <c r="M443" s="201" t="n"/>
      <c r="N443" s="201" t="n"/>
      <c r="O443" s="201" t="n"/>
      <c r="P443" s="201" t="n"/>
      <c r="Q443" s="201" t="n"/>
      <c r="R443" s="201" t="n"/>
      <c r="S443" s="201" t="n"/>
      <c r="T443" s="201" t="n"/>
      <c r="U443" s="201" t="n"/>
      <c r="V443" s="201" t="n"/>
      <c r="W443" s="201" t="n"/>
      <c r="X443" s="201" t="n"/>
      <c r="Y443" s="201" t="n"/>
      <c r="Z443" s="201" t="n"/>
      <c r="AA443" s="201" t="n"/>
      <c r="AB443" s="201" t="n"/>
      <c r="AC443" s="201" t="n"/>
      <c r="AD443" s="201" t="n"/>
      <c r="AE443" s="201" t="n"/>
      <c r="AF443" s="201" t="n"/>
      <c r="AG443" s="201" t="n"/>
    </row>
    <row r="444" ht="12.75" customHeight="1" s="202">
      <c r="A444" s="201" t="n"/>
      <c r="B444" s="201" t="n"/>
      <c r="C444" s="201" t="n"/>
      <c r="D444" s="201" t="n"/>
      <c r="E444" s="201" t="n"/>
      <c r="F444" s="201" t="n"/>
      <c r="G444" s="201" t="n"/>
      <c r="H444" s="201" t="n"/>
      <c r="I444" s="201" t="n"/>
      <c r="J444" s="201" t="n"/>
      <c r="K444" s="201" t="n"/>
      <c r="L444" s="201" t="n"/>
      <c r="M444" s="201" t="n"/>
      <c r="N444" s="201" t="n"/>
      <c r="O444" s="201" t="n"/>
      <c r="P444" s="201" t="n"/>
      <c r="Q444" s="201" t="n"/>
      <c r="R444" s="201" t="n"/>
      <c r="S444" s="201" t="n"/>
      <c r="T444" s="201" t="n"/>
      <c r="U444" s="201" t="n"/>
      <c r="V444" s="201" t="n"/>
      <c r="W444" s="201" t="n"/>
      <c r="X444" s="201" t="n"/>
      <c r="Y444" s="201" t="n"/>
      <c r="Z444" s="201" t="n"/>
      <c r="AA444" s="201" t="n"/>
      <c r="AB444" s="201" t="n"/>
      <c r="AC444" s="201" t="n"/>
      <c r="AD444" s="201" t="n"/>
      <c r="AE444" s="201" t="n"/>
      <c r="AF444" s="201" t="n"/>
      <c r="AG444" s="201" t="n"/>
    </row>
    <row r="445" ht="12.75" customHeight="1" s="202">
      <c r="A445" s="201" t="n"/>
      <c r="B445" s="201" t="n"/>
      <c r="C445" s="201" t="n"/>
      <c r="D445" s="201" t="n"/>
      <c r="E445" s="201" t="n"/>
      <c r="F445" s="201" t="n"/>
      <c r="G445" s="201" t="n"/>
      <c r="H445" s="201" t="n"/>
      <c r="I445" s="201" t="n"/>
      <c r="J445" s="201" t="n"/>
      <c r="K445" s="201" t="n"/>
      <c r="L445" s="201" t="n"/>
      <c r="M445" s="201" t="n"/>
      <c r="N445" s="201" t="n"/>
      <c r="O445" s="201" t="n"/>
      <c r="P445" s="201" t="n"/>
      <c r="Q445" s="201" t="n"/>
      <c r="R445" s="201" t="n"/>
      <c r="S445" s="201" t="n"/>
      <c r="T445" s="201" t="n"/>
      <c r="U445" s="201" t="n"/>
      <c r="V445" s="201" t="n"/>
      <c r="W445" s="201" t="n"/>
      <c r="X445" s="201" t="n"/>
      <c r="Y445" s="201" t="n"/>
      <c r="Z445" s="201" t="n"/>
      <c r="AA445" s="201" t="n"/>
      <c r="AB445" s="201" t="n"/>
      <c r="AC445" s="201" t="n"/>
      <c r="AD445" s="201" t="n"/>
      <c r="AE445" s="201" t="n"/>
      <c r="AF445" s="201" t="n"/>
      <c r="AG445" s="201" t="n"/>
    </row>
    <row r="446" ht="12.75" customHeight="1" s="202">
      <c r="A446" s="201" t="n"/>
      <c r="B446" s="201" t="n"/>
      <c r="C446" s="201" t="n"/>
      <c r="D446" s="201" t="n"/>
      <c r="E446" s="201" t="n"/>
      <c r="F446" s="201" t="n"/>
      <c r="G446" s="201" t="n"/>
      <c r="H446" s="201" t="n"/>
      <c r="I446" s="201" t="n"/>
      <c r="J446" s="201" t="n"/>
      <c r="K446" s="201" t="n"/>
      <c r="L446" s="201" t="n"/>
      <c r="M446" s="201" t="n"/>
      <c r="N446" s="201" t="n"/>
      <c r="O446" s="201" t="n"/>
      <c r="P446" s="201" t="n"/>
      <c r="Q446" s="201" t="n"/>
      <c r="R446" s="201" t="n"/>
      <c r="S446" s="201" t="n"/>
      <c r="T446" s="201" t="n"/>
      <c r="U446" s="201" t="n"/>
      <c r="V446" s="201" t="n"/>
      <c r="W446" s="201" t="n"/>
      <c r="X446" s="201" t="n"/>
      <c r="Y446" s="201" t="n"/>
      <c r="Z446" s="201" t="n"/>
      <c r="AA446" s="201" t="n"/>
      <c r="AB446" s="201" t="n"/>
      <c r="AC446" s="201" t="n"/>
      <c r="AD446" s="201" t="n"/>
      <c r="AE446" s="201" t="n"/>
      <c r="AF446" s="201" t="n"/>
      <c r="AG446" s="201" t="n"/>
    </row>
    <row r="447" ht="12.75" customHeight="1" s="202">
      <c r="A447" s="201" t="n"/>
      <c r="B447" s="201" t="n"/>
      <c r="C447" s="201" t="n"/>
      <c r="D447" s="201" t="n"/>
      <c r="E447" s="201" t="n"/>
      <c r="F447" s="201" t="n"/>
      <c r="G447" s="201" t="n"/>
      <c r="H447" s="201" t="n"/>
      <c r="I447" s="201" t="n"/>
      <c r="J447" s="201" t="n"/>
      <c r="K447" s="201" t="n"/>
      <c r="L447" s="201" t="n"/>
      <c r="M447" s="201" t="n"/>
      <c r="N447" s="201" t="n"/>
      <c r="O447" s="201" t="n"/>
      <c r="P447" s="201" t="n"/>
      <c r="Q447" s="201" t="n"/>
      <c r="R447" s="201" t="n"/>
      <c r="S447" s="201" t="n"/>
      <c r="T447" s="201" t="n"/>
      <c r="U447" s="201" t="n"/>
      <c r="V447" s="201" t="n"/>
      <c r="W447" s="201" t="n"/>
      <c r="X447" s="201" t="n"/>
      <c r="Y447" s="201" t="n"/>
      <c r="Z447" s="201" t="n"/>
      <c r="AA447" s="201" t="n"/>
      <c r="AB447" s="201" t="n"/>
      <c r="AC447" s="201" t="n"/>
      <c r="AD447" s="201" t="n"/>
      <c r="AE447" s="201" t="n"/>
      <c r="AF447" s="201" t="n"/>
      <c r="AG447" s="201" t="n"/>
    </row>
    <row r="448" ht="12.75" customHeight="1" s="202">
      <c r="A448" s="201" t="n"/>
      <c r="B448" s="201" t="n"/>
      <c r="C448" s="201" t="n"/>
      <c r="D448" s="201" t="n"/>
      <c r="E448" s="201" t="n"/>
      <c r="F448" s="201" t="n"/>
      <c r="G448" s="201" t="n"/>
      <c r="H448" s="201" t="n"/>
      <c r="I448" s="201" t="n"/>
      <c r="J448" s="201" t="n"/>
      <c r="K448" s="201" t="n"/>
      <c r="L448" s="201" t="n"/>
      <c r="M448" s="201" t="n"/>
      <c r="N448" s="201" t="n"/>
      <c r="O448" s="201" t="n"/>
      <c r="P448" s="201" t="n"/>
      <c r="Q448" s="201" t="n"/>
      <c r="R448" s="201" t="n"/>
      <c r="S448" s="201" t="n"/>
      <c r="T448" s="201" t="n"/>
      <c r="U448" s="201" t="n"/>
      <c r="V448" s="201" t="n"/>
      <c r="W448" s="201" t="n"/>
      <c r="X448" s="201" t="n"/>
      <c r="Y448" s="201" t="n"/>
      <c r="Z448" s="201" t="n"/>
      <c r="AA448" s="201" t="n"/>
      <c r="AB448" s="201" t="n"/>
      <c r="AC448" s="201" t="n"/>
      <c r="AD448" s="201" t="n"/>
      <c r="AE448" s="201" t="n"/>
      <c r="AF448" s="201" t="n"/>
      <c r="AG448" s="201" t="n"/>
    </row>
    <row r="449" ht="12.75" customHeight="1" s="202">
      <c r="A449" s="201" t="n"/>
      <c r="B449" s="201" t="n"/>
      <c r="C449" s="201" t="n"/>
      <c r="D449" s="201" t="n"/>
      <c r="E449" s="201" t="n"/>
      <c r="F449" s="201" t="n"/>
      <c r="G449" s="201" t="n"/>
      <c r="H449" s="201" t="n"/>
      <c r="I449" s="201" t="n"/>
      <c r="J449" s="201" t="n"/>
      <c r="K449" s="201" t="n"/>
      <c r="L449" s="201" t="n"/>
      <c r="M449" s="201" t="n"/>
      <c r="N449" s="201" t="n"/>
      <c r="O449" s="201" t="n"/>
      <c r="P449" s="201" t="n"/>
      <c r="Q449" s="201" t="n"/>
      <c r="R449" s="201" t="n"/>
      <c r="S449" s="201" t="n"/>
      <c r="T449" s="201" t="n"/>
      <c r="U449" s="201" t="n"/>
      <c r="V449" s="201" t="n"/>
      <c r="W449" s="201" t="n"/>
      <c r="X449" s="201" t="n"/>
      <c r="Y449" s="201" t="n"/>
      <c r="Z449" s="201" t="n"/>
      <c r="AA449" s="201" t="n"/>
      <c r="AB449" s="201" t="n"/>
      <c r="AC449" s="201" t="n"/>
      <c r="AD449" s="201" t="n"/>
      <c r="AE449" s="201" t="n"/>
      <c r="AF449" s="201" t="n"/>
      <c r="AG449" s="201" t="n"/>
    </row>
    <row r="450" ht="12.75" customHeight="1" s="202">
      <c r="A450" s="201" t="n"/>
      <c r="B450" s="201" t="n"/>
      <c r="C450" s="201" t="n"/>
      <c r="D450" s="201" t="n"/>
      <c r="E450" s="201" t="n"/>
      <c r="F450" s="201" t="n"/>
      <c r="G450" s="201" t="n"/>
      <c r="H450" s="201" t="n"/>
      <c r="I450" s="201" t="n"/>
      <c r="J450" s="201" t="n"/>
      <c r="K450" s="201" t="n"/>
      <c r="L450" s="201" t="n"/>
      <c r="M450" s="201" t="n"/>
      <c r="N450" s="201" t="n"/>
      <c r="O450" s="201" t="n"/>
      <c r="P450" s="201" t="n"/>
      <c r="Q450" s="201" t="n"/>
      <c r="R450" s="201" t="n"/>
      <c r="S450" s="201" t="n"/>
      <c r="T450" s="201" t="n"/>
      <c r="U450" s="201" t="n"/>
      <c r="V450" s="201" t="n"/>
      <c r="W450" s="201" t="n"/>
      <c r="X450" s="201" t="n"/>
      <c r="Y450" s="201" t="n"/>
      <c r="Z450" s="201" t="n"/>
      <c r="AA450" s="201" t="n"/>
      <c r="AB450" s="201" t="n"/>
      <c r="AC450" s="201" t="n"/>
      <c r="AD450" s="201" t="n"/>
      <c r="AE450" s="201" t="n"/>
      <c r="AF450" s="201" t="n"/>
      <c r="AG450" s="201" t="n"/>
    </row>
    <row r="451" ht="12.75" customHeight="1" s="202">
      <c r="A451" s="201" t="n"/>
      <c r="B451" s="201" t="n"/>
      <c r="C451" s="201" t="n"/>
      <c r="D451" s="201" t="n"/>
      <c r="E451" s="201" t="n"/>
      <c r="F451" s="201" t="n"/>
      <c r="G451" s="201" t="n"/>
      <c r="H451" s="201" t="n"/>
      <c r="I451" s="201" t="n"/>
      <c r="J451" s="201" t="n"/>
      <c r="K451" s="201" t="n"/>
      <c r="L451" s="201" t="n"/>
      <c r="M451" s="201" t="n"/>
      <c r="N451" s="201" t="n"/>
      <c r="O451" s="201" t="n"/>
      <c r="P451" s="201" t="n"/>
      <c r="Q451" s="201" t="n"/>
      <c r="R451" s="201" t="n"/>
      <c r="S451" s="201" t="n"/>
      <c r="T451" s="201" t="n"/>
      <c r="U451" s="201" t="n"/>
      <c r="V451" s="201" t="n"/>
      <c r="W451" s="201" t="n"/>
      <c r="X451" s="201" t="n"/>
      <c r="Y451" s="201" t="n"/>
      <c r="Z451" s="201" t="n"/>
      <c r="AA451" s="201" t="n"/>
      <c r="AB451" s="201" t="n"/>
      <c r="AC451" s="201" t="n"/>
      <c r="AD451" s="201" t="n"/>
      <c r="AE451" s="201" t="n"/>
      <c r="AF451" s="201" t="n"/>
      <c r="AG451" s="201" t="n"/>
    </row>
    <row r="452" ht="12.75" customHeight="1" s="202">
      <c r="A452" s="201" t="n"/>
      <c r="B452" s="201" t="n"/>
      <c r="C452" s="201" t="n"/>
      <c r="D452" s="201" t="n"/>
      <c r="E452" s="201" t="n"/>
      <c r="F452" s="201" t="n"/>
      <c r="G452" s="201" t="n"/>
      <c r="H452" s="201" t="n"/>
      <c r="I452" s="201" t="n"/>
      <c r="J452" s="201" t="n"/>
      <c r="K452" s="201" t="n"/>
      <c r="L452" s="201" t="n"/>
      <c r="M452" s="201" t="n"/>
      <c r="N452" s="201" t="n"/>
      <c r="O452" s="201" t="n"/>
      <c r="P452" s="201" t="n"/>
      <c r="Q452" s="201" t="n"/>
      <c r="R452" s="201" t="n"/>
      <c r="S452" s="201" t="n"/>
      <c r="T452" s="201" t="n"/>
      <c r="U452" s="201" t="n"/>
      <c r="V452" s="201" t="n"/>
      <c r="W452" s="201" t="n"/>
      <c r="X452" s="201" t="n"/>
      <c r="Y452" s="201" t="n"/>
      <c r="Z452" s="201" t="n"/>
      <c r="AA452" s="201" t="n"/>
      <c r="AB452" s="201" t="n"/>
      <c r="AC452" s="201" t="n"/>
      <c r="AD452" s="201" t="n"/>
      <c r="AE452" s="201" t="n"/>
      <c r="AF452" s="201" t="n"/>
      <c r="AG452" s="201" t="n"/>
    </row>
    <row r="453" ht="12.75" customHeight="1" s="202">
      <c r="A453" s="201" t="n"/>
      <c r="B453" s="201" t="n"/>
      <c r="C453" s="201" t="n"/>
      <c r="D453" s="201" t="n"/>
      <c r="E453" s="201" t="n"/>
      <c r="F453" s="201" t="n"/>
      <c r="G453" s="201" t="n"/>
      <c r="H453" s="201" t="n"/>
      <c r="I453" s="201" t="n"/>
      <c r="J453" s="201" t="n"/>
      <c r="K453" s="201" t="n"/>
      <c r="L453" s="201" t="n"/>
      <c r="M453" s="201" t="n"/>
      <c r="N453" s="201" t="n"/>
      <c r="O453" s="201" t="n"/>
      <c r="P453" s="201" t="n"/>
      <c r="Q453" s="201" t="n"/>
      <c r="R453" s="201" t="n"/>
      <c r="S453" s="201" t="n"/>
      <c r="T453" s="201" t="n"/>
      <c r="U453" s="201" t="n"/>
      <c r="V453" s="201" t="n"/>
      <c r="W453" s="201" t="n"/>
      <c r="X453" s="201" t="n"/>
      <c r="Y453" s="201" t="n"/>
      <c r="Z453" s="201" t="n"/>
      <c r="AA453" s="201" t="n"/>
      <c r="AB453" s="201" t="n"/>
      <c r="AC453" s="201" t="n"/>
      <c r="AD453" s="201" t="n"/>
      <c r="AE453" s="201" t="n"/>
      <c r="AF453" s="201" t="n"/>
      <c r="AG453" s="201" t="n"/>
    </row>
    <row r="454" ht="12.75" customHeight="1" s="202">
      <c r="A454" s="201" t="n"/>
      <c r="B454" s="201" t="n"/>
      <c r="C454" s="201" t="n"/>
      <c r="D454" s="201" t="n"/>
      <c r="E454" s="201" t="n"/>
      <c r="F454" s="201" t="n"/>
      <c r="G454" s="201" t="n"/>
      <c r="H454" s="201" t="n"/>
      <c r="I454" s="201" t="n"/>
      <c r="J454" s="201" t="n"/>
      <c r="K454" s="201" t="n"/>
      <c r="L454" s="201" t="n"/>
      <c r="M454" s="201" t="n"/>
      <c r="N454" s="201" t="n"/>
      <c r="O454" s="201" t="n"/>
      <c r="P454" s="201" t="n"/>
      <c r="Q454" s="201" t="n"/>
      <c r="R454" s="201" t="n"/>
      <c r="S454" s="201" t="n"/>
      <c r="T454" s="201" t="n"/>
      <c r="U454" s="201" t="n"/>
      <c r="V454" s="201" t="n"/>
      <c r="W454" s="201" t="n"/>
      <c r="X454" s="201" t="n"/>
      <c r="Y454" s="201" t="n"/>
      <c r="Z454" s="201" t="n"/>
      <c r="AA454" s="201" t="n"/>
      <c r="AB454" s="201" t="n"/>
      <c r="AC454" s="201" t="n"/>
      <c r="AD454" s="201" t="n"/>
      <c r="AE454" s="201" t="n"/>
      <c r="AF454" s="201" t="n"/>
      <c r="AG454" s="201" t="n"/>
    </row>
    <row r="455" ht="12.75" customHeight="1" s="202">
      <c r="A455" s="201" t="n"/>
      <c r="B455" s="201" t="n"/>
      <c r="C455" s="201" t="n"/>
      <c r="D455" s="201" t="n"/>
      <c r="E455" s="201" t="n"/>
      <c r="F455" s="201" t="n"/>
      <c r="G455" s="201" t="n"/>
      <c r="H455" s="201" t="n"/>
      <c r="I455" s="201" t="n"/>
      <c r="J455" s="201" t="n"/>
      <c r="K455" s="201" t="n"/>
      <c r="L455" s="201" t="n"/>
      <c r="M455" s="201" t="n"/>
      <c r="N455" s="201" t="n"/>
      <c r="O455" s="201" t="n"/>
      <c r="P455" s="201" t="n"/>
      <c r="Q455" s="201" t="n"/>
      <c r="R455" s="201" t="n"/>
      <c r="S455" s="201" t="n"/>
      <c r="T455" s="201" t="n"/>
      <c r="U455" s="201" t="n"/>
      <c r="V455" s="201" t="n"/>
      <c r="W455" s="201" t="n"/>
      <c r="X455" s="201" t="n"/>
      <c r="Y455" s="201" t="n"/>
      <c r="Z455" s="201" t="n"/>
      <c r="AA455" s="201" t="n"/>
      <c r="AB455" s="201" t="n"/>
      <c r="AC455" s="201" t="n"/>
      <c r="AD455" s="201" t="n"/>
      <c r="AE455" s="201" t="n"/>
      <c r="AF455" s="201" t="n"/>
      <c r="AG455" s="201" t="n"/>
    </row>
    <row r="456" ht="12.75" customHeight="1" s="202">
      <c r="A456" s="201" t="n"/>
      <c r="B456" s="201" t="n"/>
      <c r="C456" s="201" t="n"/>
      <c r="D456" s="201" t="n"/>
      <c r="E456" s="201" t="n"/>
      <c r="F456" s="201" t="n"/>
      <c r="G456" s="201" t="n"/>
      <c r="H456" s="201" t="n"/>
      <c r="I456" s="201" t="n"/>
      <c r="J456" s="201" t="n"/>
      <c r="K456" s="201" t="n"/>
      <c r="L456" s="201" t="n"/>
      <c r="M456" s="201" t="n"/>
      <c r="N456" s="201" t="n"/>
      <c r="O456" s="201" t="n"/>
      <c r="P456" s="201" t="n"/>
      <c r="Q456" s="201" t="n"/>
      <c r="R456" s="201" t="n"/>
      <c r="S456" s="201" t="n"/>
      <c r="T456" s="201" t="n"/>
      <c r="U456" s="201" t="n"/>
      <c r="V456" s="201" t="n"/>
      <c r="W456" s="201" t="n"/>
      <c r="X456" s="201" t="n"/>
      <c r="Y456" s="201" t="n"/>
      <c r="Z456" s="201" t="n"/>
      <c r="AA456" s="201" t="n"/>
      <c r="AB456" s="201" t="n"/>
      <c r="AC456" s="201" t="n"/>
      <c r="AD456" s="201" t="n"/>
      <c r="AE456" s="201" t="n"/>
      <c r="AF456" s="201" t="n"/>
      <c r="AG456" s="201" t="n"/>
    </row>
    <row r="457" ht="12.75" customHeight="1" s="202">
      <c r="A457" s="201" t="n"/>
      <c r="B457" s="201" t="n"/>
      <c r="C457" s="201" t="n"/>
      <c r="D457" s="201" t="n"/>
      <c r="E457" s="201" t="n"/>
      <c r="F457" s="201" t="n"/>
      <c r="G457" s="201" t="n"/>
      <c r="H457" s="201" t="n"/>
      <c r="I457" s="201" t="n"/>
      <c r="J457" s="201" t="n"/>
      <c r="K457" s="201" t="n"/>
      <c r="L457" s="201" t="n"/>
      <c r="M457" s="201" t="n"/>
      <c r="N457" s="201" t="n"/>
      <c r="O457" s="201" t="n"/>
      <c r="P457" s="201" t="n"/>
      <c r="Q457" s="201" t="n"/>
      <c r="R457" s="201" t="n"/>
      <c r="S457" s="201" t="n"/>
      <c r="T457" s="201" t="n"/>
      <c r="U457" s="201" t="n"/>
      <c r="V457" s="201" t="n"/>
      <c r="W457" s="201" t="n"/>
      <c r="X457" s="201" t="n"/>
      <c r="Y457" s="201" t="n"/>
      <c r="Z457" s="201" t="n"/>
      <c r="AA457" s="201" t="n"/>
      <c r="AB457" s="201" t="n"/>
      <c r="AC457" s="201" t="n"/>
      <c r="AD457" s="201" t="n"/>
      <c r="AE457" s="201" t="n"/>
      <c r="AF457" s="201" t="n"/>
      <c r="AG457" s="201" t="n"/>
    </row>
    <row r="458" ht="12.75" customHeight="1" s="202">
      <c r="A458" s="201" t="n"/>
      <c r="B458" s="201" t="n"/>
      <c r="C458" s="201" t="n"/>
      <c r="D458" s="201" t="n"/>
      <c r="E458" s="201" t="n"/>
      <c r="F458" s="201" t="n"/>
      <c r="G458" s="201" t="n"/>
      <c r="H458" s="201" t="n"/>
      <c r="I458" s="201" t="n"/>
      <c r="J458" s="201" t="n"/>
      <c r="K458" s="201" t="n"/>
      <c r="L458" s="201" t="n"/>
      <c r="M458" s="201" t="n"/>
      <c r="N458" s="201" t="n"/>
      <c r="O458" s="201" t="n"/>
      <c r="P458" s="201" t="n"/>
      <c r="Q458" s="201" t="n"/>
      <c r="R458" s="201" t="n"/>
      <c r="S458" s="201" t="n"/>
      <c r="T458" s="201" t="n"/>
      <c r="U458" s="201" t="n"/>
      <c r="V458" s="201" t="n"/>
      <c r="W458" s="201" t="n"/>
      <c r="X458" s="201" t="n"/>
      <c r="Y458" s="201" t="n"/>
      <c r="Z458" s="201" t="n"/>
      <c r="AA458" s="201" t="n"/>
      <c r="AB458" s="201" t="n"/>
      <c r="AC458" s="201" t="n"/>
      <c r="AD458" s="201" t="n"/>
      <c r="AE458" s="201" t="n"/>
      <c r="AF458" s="201" t="n"/>
      <c r="AG458" s="201" t="n"/>
    </row>
    <row r="459" ht="12.75" customHeight="1" s="202">
      <c r="A459" s="201" t="n"/>
      <c r="B459" s="201" t="n"/>
      <c r="C459" s="201" t="n"/>
      <c r="D459" s="201" t="n"/>
      <c r="E459" s="201" t="n"/>
      <c r="F459" s="201" t="n"/>
      <c r="G459" s="201" t="n"/>
      <c r="H459" s="201" t="n"/>
      <c r="I459" s="201" t="n"/>
      <c r="J459" s="201" t="n"/>
      <c r="K459" s="201" t="n"/>
      <c r="L459" s="201" t="n"/>
      <c r="M459" s="201" t="n"/>
      <c r="N459" s="201" t="n"/>
      <c r="O459" s="201" t="n"/>
      <c r="P459" s="201" t="n"/>
      <c r="Q459" s="201" t="n"/>
      <c r="R459" s="201" t="n"/>
      <c r="S459" s="201" t="n"/>
      <c r="T459" s="201" t="n"/>
      <c r="U459" s="201" t="n"/>
      <c r="V459" s="201" t="n"/>
      <c r="W459" s="201" t="n"/>
      <c r="X459" s="201" t="n"/>
      <c r="Y459" s="201" t="n"/>
      <c r="Z459" s="201" t="n"/>
      <c r="AA459" s="201" t="n"/>
      <c r="AB459" s="201" t="n"/>
      <c r="AC459" s="201" t="n"/>
      <c r="AD459" s="201" t="n"/>
      <c r="AE459" s="201" t="n"/>
      <c r="AF459" s="201" t="n"/>
      <c r="AG459" s="201" t="n"/>
    </row>
    <row r="460" ht="12.75" customHeight="1" s="202">
      <c r="A460" s="201" t="n"/>
      <c r="B460" s="201" t="n"/>
      <c r="C460" s="201" t="n"/>
      <c r="D460" s="201" t="n"/>
      <c r="E460" s="201" t="n"/>
      <c r="F460" s="201" t="n"/>
      <c r="G460" s="201" t="n"/>
      <c r="H460" s="201" t="n"/>
      <c r="I460" s="201" t="n"/>
      <c r="J460" s="201" t="n"/>
      <c r="K460" s="201" t="n"/>
      <c r="L460" s="201" t="n"/>
      <c r="M460" s="201" t="n"/>
      <c r="N460" s="201" t="n"/>
      <c r="O460" s="201" t="n"/>
      <c r="P460" s="201" t="n"/>
      <c r="Q460" s="201" t="n"/>
      <c r="R460" s="201" t="n"/>
      <c r="S460" s="201" t="n"/>
      <c r="T460" s="201" t="n"/>
      <c r="U460" s="201" t="n"/>
      <c r="V460" s="201" t="n"/>
      <c r="W460" s="201" t="n"/>
      <c r="X460" s="201" t="n"/>
      <c r="Y460" s="201" t="n"/>
      <c r="Z460" s="201" t="n"/>
      <c r="AA460" s="201" t="n"/>
      <c r="AB460" s="201" t="n"/>
      <c r="AC460" s="201" t="n"/>
      <c r="AD460" s="201" t="n"/>
      <c r="AE460" s="201" t="n"/>
      <c r="AF460" s="201" t="n"/>
      <c r="AG460" s="201" t="n"/>
    </row>
    <row r="461" ht="12.75" customHeight="1" s="202">
      <c r="A461" s="201" t="n"/>
      <c r="B461" s="201" t="n"/>
      <c r="C461" s="201" t="n"/>
      <c r="D461" s="201" t="n"/>
      <c r="E461" s="201" t="n"/>
      <c r="F461" s="201" t="n"/>
      <c r="G461" s="201" t="n"/>
      <c r="H461" s="201" t="n"/>
      <c r="I461" s="201" t="n"/>
      <c r="J461" s="201" t="n"/>
      <c r="K461" s="201" t="n"/>
      <c r="L461" s="201" t="n"/>
      <c r="M461" s="201" t="n"/>
      <c r="N461" s="201" t="n"/>
      <c r="O461" s="201" t="n"/>
      <c r="P461" s="201" t="n"/>
      <c r="Q461" s="201" t="n"/>
      <c r="R461" s="201" t="n"/>
      <c r="S461" s="201" t="n"/>
      <c r="T461" s="201" t="n"/>
      <c r="U461" s="201" t="n"/>
      <c r="V461" s="201" t="n"/>
      <c r="W461" s="201" t="n"/>
      <c r="X461" s="201" t="n"/>
      <c r="Y461" s="201" t="n"/>
      <c r="Z461" s="201" t="n"/>
      <c r="AA461" s="201" t="n"/>
      <c r="AB461" s="201" t="n"/>
      <c r="AC461" s="201" t="n"/>
      <c r="AD461" s="201" t="n"/>
      <c r="AE461" s="201" t="n"/>
      <c r="AF461" s="201" t="n"/>
      <c r="AG461" s="201" t="n"/>
    </row>
    <row r="462" ht="12.75" customHeight="1" s="202">
      <c r="A462" s="201" t="n"/>
      <c r="B462" s="201" t="n"/>
      <c r="C462" s="201" t="n"/>
      <c r="D462" s="201" t="n"/>
      <c r="E462" s="201" t="n"/>
      <c r="F462" s="201" t="n"/>
      <c r="G462" s="201" t="n"/>
      <c r="H462" s="201" t="n"/>
      <c r="I462" s="201" t="n"/>
      <c r="J462" s="201" t="n"/>
      <c r="K462" s="201" t="n"/>
      <c r="L462" s="201" t="n"/>
      <c r="M462" s="201" t="n"/>
      <c r="N462" s="201" t="n"/>
      <c r="O462" s="201" t="n"/>
      <c r="P462" s="201" t="n"/>
      <c r="Q462" s="201" t="n"/>
      <c r="R462" s="201" t="n"/>
      <c r="S462" s="201" t="n"/>
      <c r="T462" s="201" t="n"/>
      <c r="U462" s="201" t="n"/>
      <c r="V462" s="201" t="n"/>
      <c r="W462" s="201" t="n"/>
      <c r="X462" s="201" t="n"/>
      <c r="Y462" s="201" t="n"/>
      <c r="Z462" s="201" t="n"/>
      <c r="AA462" s="201" t="n"/>
      <c r="AB462" s="201" t="n"/>
      <c r="AC462" s="201" t="n"/>
      <c r="AD462" s="201" t="n"/>
      <c r="AE462" s="201" t="n"/>
      <c r="AF462" s="201" t="n"/>
      <c r="AG462" s="201" t="n"/>
    </row>
    <row r="463" ht="12.75" customHeight="1" s="202">
      <c r="A463" s="201" t="n"/>
      <c r="B463" s="201" t="n"/>
      <c r="C463" s="201" t="n"/>
      <c r="D463" s="201" t="n"/>
      <c r="E463" s="201" t="n"/>
      <c r="F463" s="201" t="n"/>
      <c r="G463" s="201" t="n"/>
      <c r="H463" s="201" t="n"/>
      <c r="I463" s="201" t="n"/>
      <c r="J463" s="201" t="n"/>
      <c r="K463" s="201" t="n"/>
      <c r="L463" s="201" t="n"/>
      <c r="M463" s="201" t="n"/>
      <c r="N463" s="201" t="n"/>
      <c r="O463" s="201" t="n"/>
      <c r="P463" s="201" t="n"/>
      <c r="Q463" s="201" t="n"/>
      <c r="R463" s="201" t="n"/>
      <c r="S463" s="201" t="n"/>
      <c r="T463" s="201" t="n"/>
      <c r="U463" s="201" t="n"/>
      <c r="V463" s="201" t="n"/>
      <c r="W463" s="201" t="n"/>
      <c r="X463" s="201" t="n"/>
      <c r="Y463" s="201" t="n"/>
      <c r="Z463" s="201" t="n"/>
      <c r="AA463" s="201" t="n"/>
      <c r="AB463" s="201" t="n"/>
      <c r="AC463" s="201" t="n"/>
      <c r="AD463" s="201" t="n"/>
      <c r="AE463" s="201" t="n"/>
      <c r="AF463" s="201" t="n"/>
      <c r="AG463" s="201" t="n"/>
    </row>
    <row r="464" ht="12.75" customHeight="1" s="202">
      <c r="A464" s="201" t="n"/>
      <c r="B464" s="201" t="n"/>
      <c r="C464" s="201" t="n"/>
      <c r="D464" s="201" t="n"/>
      <c r="E464" s="201" t="n"/>
      <c r="F464" s="201" t="n"/>
      <c r="G464" s="201" t="n"/>
      <c r="H464" s="201" t="n"/>
      <c r="I464" s="201" t="n"/>
      <c r="J464" s="201" t="n"/>
      <c r="K464" s="201" t="n"/>
      <c r="L464" s="201" t="n"/>
      <c r="M464" s="201" t="n"/>
      <c r="N464" s="201" t="n"/>
      <c r="O464" s="201" t="n"/>
      <c r="P464" s="201" t="n"/>
      <c r="Q464" s="201" t="n"/>
      <c r="R464" s="201" t="n"/>
      <c r="S464" s="201" t="n"/>
      <c r="T464" s="201" t="n"/>
      <c r="U464" s="201" t="n"/>
      <c r="V464" s="201" t="n"/>
      <c r="W464" s="201" t="n"/>
      <c r="X464" s="201" t="n"/>
      <c r="Y464" s="201" t="n"/>
      <c r="Z464" s="201" t="n"/>
      <c r="AA464" s="201" t="n"/>
      <c r="AB464" s="201" t="n"/>
      <c r="AC464" s="201" t="n"/>
      <c r="AD464" s="201" t="n"/>
      <c r="AE464" s="201" t="n"/>
      <c r="AF464" s="201" t="n"/>
      <c r="AG464" s="201" t="n"/>
    </row>
    <row r="465" ht="12.75" customHeight="1" s="202">
      <c r="A465" s="201" t="n"/>
      <c r="B465" s="201" t="n"/>
      <c r="C465" s="201" t="n"/>
      <c r="D465" s="201" t="n"/>
      <c r="E465" s="201" t="n"/>
      <c r="F465" s="201" t="n"/>
      <c r="G465" s="201" t="n"/>
      <c r="H465" s="201" t="n"/>
      <c r="I465" s="201" t="n"/>
      <c r="J465" s="201" t="n"/>
      <c r="K465" s="201" t="n"/>
      <c r="L465" s="201" t="n"/>
      <c r="M465" s="201" t="n"/>
      <c r="N465" s="201" t="n"/>
      <c r="O465" s="201" t="n"/>
      <c r="P465" s="201" t="n"/>
      <c r="Q465" s="201" t="n"/>
      <c r="R465" s="201" t="n"/>
      <c r="S465" s="201" t="n"/>
      <c r="T465" s="201" t="n"/>
      <c r="U465" s="201" t="n"/>
      <c r="V465" s="201" t="n"/>
      <c r="W465" s="201" t="n"/>
      <c r="X465" s="201" t="n"/>
      <c r="Y465" s="201" t="n"/>
      <c r="Z465" s="201" t="n"/>
      <c r="AA465" s="201" t="n"/>
      <c r="AB465" s="201" t="n"/>
      <c r="AC465" s="201" t="n"/>
      <c r="AD465" s="201" t="n"/>
      <c r="AE465" s="201" t="n"/>
      <c r="AF465" s="201" t="n"/>
      <c r="AG465" s="201" t="n"/>
    </row>
    <row r="466" ht="12.75" customHeight="1" s="202">
      <c r="A466" s="201" t="n"/>
      <c r="B466" s="201" t="n"/>
      <c r="C466" s="201" t="n"/>
      <c r="D466" s="201" t="n"/>
      <c r="E466" s="201" t="n"/>
      <c r="F466" s="201" t="n"/>
      <c r="G466" s="201" t="n"/>
      <c r="H466" s="201" t="n"/>
      <c r="I466" s="201" t="n"/>
      <c r="J466" s="201" t="n"/>
      <c r="K466" s="201" t="n"/>
      <c r="L466" s="201" t="n"/>
      <c r="M466" s="201" t="n"/>
      <c r="N466" s="201" t="n"/>
      <c r="O466" s="201" t="n"/>
      <c r="P466" s="201" t="n"/>
      <c r="Q466" s="201" t="n"/>
      <c r="R466" s="201" t="n"/>
      <c r="S466" s="201" t="n"/>
      <c r="T466" s="201" t="n"/>
      <c r="U466" s="201" t="n"/>
      <c r="V466" s="201" t="n"/>
      <c r="W466" s="201" t="n"/>
      <c r="X466" s="201" t="n"/>
      <c r="Y466" s="201" t="n"/>
      <c r="Z466" s="201" t="n"/>
      <c r="AA466" s="201" t="n"/>
      <c r="AB466" s="201" t="n"/>
      <c r="AC466" s="201" t="n"/>
      <c r="AD466" s="201" t="n"/>
      <c r="AE466" s="201" t="n"/>
      <c r="AF466" s="201" t="n"/>
      <c r="AG466" s="201" t="n"/>
    </row>
    <row r="467" ht="12.75" customHeight="1" s="202">
      <c r="A467" s="201" t="n"/>
      <c r="B467" s="201" t="n"/>
      <c r="C467" s="201" t="n"/>
      <c r="D467" s="201" t="n"/>
      <c r="E467" s="201" t="n"/>
      <c r="F467" s="201" t="n"/>
      <c r="G467" s="201" t="n"/>
      <c r="H467" s="201" t="n"/>
      <c r="I467" s="201" t="n"/>
      <c r="J467" s="201" t="n"/>
      <c r="K467" s="201" t="n"/>
      <c r="L467" s="201" t="n"/>
      <c r="M467" s="201" t="n"/>
      <c r="N467" s="201" t="n"/>
      <c r="O467" s="201" t="n"/>
      <c r="P467" s="201" t="n"/>
      <c r="Q467" s="201" t="n"/>
      <c r="R467" s="201" t="n"/>
      <c r="S467" s="201" t="n"/>
      <c r="T467" s="201" t="n"/>
      <c r="U467" s="201" t="n"/>
      <c r="V467" s="201" t="n"/>
      <c r="W467" s="201" t="n"/>
      <c r="X467" s="201" t="n"/>
      <c r="Y467" s="201" t="n"/>
      <c r="Z467" s="201" t="n"/>
      <c r="AA467" s="201" t="n"/>
      <c r="AB467" s="201" t="n"/>
      <c r="AC467" s="201" t="n"/>
      <c r="AD467" s="201" t="n"/>
      <c r="AE467" s="201" t="n"/>
      <c r="AF467" s="201" t="n"/>
      <c r="AG467" s="201" t="n"/>
    </row>
    <row r="468" ht="12.75" customHeight="1" s="202">
      <c r="A468" s="201" t="n"/>
      <c r="B468" s="201" t="n"/>
      <c r="C468" s="201" t="n"/>
      <c r="D468" s="201" t="n"/>
      <c r="E468" s="201" t="n"/>
      <c r="F468" s="201" t="n"/>
      <c r="G468" s="201" t="n"/>
      <c r="H468" s="201" t="n"/>
      <c r="I468" s="201" t="n"/>
      <c r="J468" s="201" t="n"/>
      <c r="K468" s="201" t="n"/>
      <c r="L468" s="201" t="n"/>
      <c r="M468" s="201" t="n"/>
      <c r="N468" s="201" t="n"/>
      <c r="O468" s="201" t="n"/>
      <c r="P468" s="201" t="n"/>
      <c r="Q468" s="201" t="n"/>
      <c r="R468" s="201" t="n"/>
      <c r="S468" s="201" t="n"/>
      <c r="T468" s="201" t="n"/>
      <c r="U468" s="201" t="n"/>
      <c r="V468" s="201" t="n"/>
      <c r="W468" s="201" t="n"/>
      <c r="X468" s="201" t="n"/>
      <c r="Y468" s="201" t="n"/>
      <c r="Z468" s="201" t="n"/>
      <c r="AA468" s="201" t="n"/>
      <c r="AB468" s="201" t="n"/>
      <c r="AC468" s="201" t="n"/>
      <c r="AD468" s="201" t="n"/>
      <c r="AE468" s="201" t="n"/>
      <c r="AF468" s="201" t="n"/>
      <c r="AG468" s="201" t="n"/>
    </row>
    <row r="469" ht="12.75" customHeight="1" s="202">
      <c r="A469" s="201" t="n"/>
      <c r="B469" s="201" t="n"/>
      <c r="C469" s="201" t="n"/>
      <c r="D469" s="201" t="n"/>
      <c r="E469" s="201" t="n"/>
      <c r="F469" s="201" t="n"/>
      <c r="G469" s="201" t="n"/>
      <c r="H469" s="201" t="n"/>
      <c r="I469" s="201" t="n"/>
      <c r="J469" s="201" t="n"/>
      <c r="K469" s="201" t="n"/>
      <c r="L469" s="201" t="n"/>
      <c r="M469" s="201" t="n"/>
      <c r="N469" s="201" t="n"/>
      <c r="O469" s="201" t="n"/>
      <c r="P469" s="201" t="n"/>
      <c r="Q469" s="201" t="n"/>
      <c r="R469" s="201" t="n"/>
      <c r="S469" s="201" t="n"/>
      <c r="T469" s="201" t="n"/>
      <c r="U469" s="201" t="n"/>
      <c r="V469" s="201" t="n"/>
      <c r="W469" s="201" t="n"/>
      <c r="X469" s="201" t="n"/>
      <c r="Y469" s="201" t="n"/>
      <c r="Z469" s="201" t="n"/>
      <c r="AA469" s="201" t="n"/>
      <c r="AB469" s="201" t="n"/>
      <c r="AC469" s="201" t="n"/>
      <c r="AD469" s="201" t="n"/>
      <c r="AE469" s="201" t="n"/>
      <c r="AF469" s="201" t="n"/>
      <c r="AG469" s="201" t="n"/>
    </row>
    <row r="470" ht="12.75" customHeight="1" s="202">
      <c r="A470" s="201" t="n"/>
      <c r="B470" s="201" t="n"/>
      <c r="C470" s="201" t="n"/>
      <c r="D470" s="201" t="n"/>
      <c r="E470" s="201" t="n"/>
      <c r="F470" s="201" t="n"/>
      <c r="G470" s="201" t="n"/>
      <c r="H470" s="201" t="n"/>
      <c r="I470" s="201" t="n"/>
      <c r="J470" s="201" t="n"/>
      <c r="K470" s="201" t="n"/>
      <c r="L470" s="201" t="n"/>
      <c r="M470" s="201" t="n"/>
      <c r="N470" s="201" t="n"/>
      <c r="O470" s="201" t="n"/>
      <c r="P470" s="201" t="n"/>
      <c r="Q470" s="201" t="n"/>
      <c r="R470" s="201" t="n"/>
      <c r="S470" s="201" t="n"/>
      <c r="T470" s="201" t="n"/>
      <c r="U470" s="201" t="n"/>
      <c r="V470" s="201" t="n"/>
      <c r="W470" s="201" t="n"/>
      <c r="X470" s="201" t="n"/>
      <c r="Y470" s="201" t="n"/>
      <c r="Z470" s="201" t="n"/>
      <c r="AA470" s="201" t="n"/>
      <c r="AB470" s="201" t="n"/>
      <c r="AC470" s="201" t="n"/>
      <c r="AD470" s="201" t="n"/>
      <c r="AE470" s="201" t="n"/>
      <c r="AF470" s="201" t="n"/>
      <c r="AG470" s="201" t="n"/>
    </row>
    <row r="471" ht="12.75" customHeight="1" s="202">
      <c r="A471" s="201" t="n"/>
      <c r="B471" s="201" t="n"/>
      <c r="C471" s="201" t="n"/>
      <c r="D471" s="201" t="n"/>
      <c r="E471" s="201" t="n"/>
      <c r="F471" s="201" t="n"/>
      <c r="G471" s="201" t="n"/>
      <c r="H471" s="201" t="n"/>
      <c r="I471" s="201" t="n"/>
      <c r="J471" s="201" t="n"/>
      <c r="K471" s="201" t="n"/>
      <c r="L471" s="201" t="n"/>
      <c r="M471" s="201" t="n"/>
      <c r="N471" s="201" t="n"/>
      <c r="O471" s="201" t="n"/>
      <c r="P471" s="201" t="n"/>
      <c r="Q471" s="201" t="n"/>
      <c r="R471" s="201" t="n"/>
      <c r="S471" s="201" t="n"/>
      <c r="T471" s="201" t="n"/>
      <c r="U471" s="201" t="n"/>
      <c r="V471" s="201" t="n"/>
      <c r="W471" s="201" t="n"/>
      <c r="X471" s="201" t="n"/>
      <c r="Y471" s="201" t="n"/>
      <c r="Z471" s="201" t="n"/>
      <c r="AA471" s="201" t="n"/>
      <c r="AB471" s="201" t="n"/>
      <c r="AC471" s="201" t="n"/>
      <c r="AD471" s="201" t="n"/>
      <c r="AE471" s="201" t="n"/>
      <c r="AF471" s="201" t="n"/>
      <c r="AG471" s="201" t="n"/>
    </row>
    <row r="472" ht="12.75" customHeight="1" s="202">
      <c r="A472" s="201" t="n"/>
      <c r="B472" s="201" t="n"/>
      <c r="C472" s="201" t="n"/>
      <c r="D472" s="201" t="n"/>
      <c r="E472" s="201" t="n"/>
      <c r="F472" s="201" t="n"/>
      <c r="G472" s="201" t="n"/>
      <c r="H472" s="201" t="n"/>
      <c r="I472" s="201" t="n"/>
      <c r="J472" s="201" t="n"/>
      <c r="K472" s="201" t="n"/>
      <c r="L472" s="201" t="n"/>
      <c r="M472" s="201" t="n"/>
      <c r="N472" s="201" t="n"/>
      <c r="O472" s="201" t="n"/>
      <c r="P472" s="201" t="n"/>
      <c r="Q472" s="201" t="n"/>
      <c r="R472" s="201" t="n"/>
      <c r="S472" s="201" t="n"/>
      <c r="T472" s="201" t="n"/>
      <c r="U472" s="201" t="n"/>
      <c r="V472" s="201" t="n"/>
      <c r="W472" s="201" t="n"/>
      <c r="X472" s="201" t="n"/>
      <c r="Y472" s="201" t="n"/>
      <c r="Z472" s="201" t="n"/>
      <c r="AA472" s="201" t="n"/>
      <c r="AB472" s="201" t="n"/>
      <c r="AC472" s="201" t="n"/>
      <c r="AD472" s="201" t="n"/>
      <c r="AE472" s="201" t="n"/>
      <c r="AF472" s="201" t="n"/>
      <c r="AG472" s="201" t="n"/>
    </row>
    <row r="473" ht="12.75" customHeight="1" s="202">
      <c r="A473" s="201" t="n"/>
      <c r="B473" s="201" t="n"/>
      <c r="C473" s="201" t="n"/>
      <c r="D473" s="201" t="n"/>
      <c r="E473" s="201" t="n"/>
      <c r="F473" s="201" t="n"/>
      <c r="G473" s="201" t="n"/>
      <c r="H473" s="201" t="n"/>
      <c r="I473" s="201" t="n"/>
      <c r="J473" s="201" t="n"/>
      <c r="K473" s="201" t="n"/>
      <c r="L473" s="201" t="n"/>
      <c r="M473" s="201" t="n"/>
      <c r="N473" s="201" t="n"/>
      <c r="O473" s="201" t="n"/>
      <c r="P473" s="201" t="n"/>
      <c r="Q473" s="201" t="n"/>
      <c r="R473" s="201" t="n"/>
      <c r="S473" s="201" t="n"/>
      <c r="T473" s="201" t="n"/>
      <c r="U473" s="201" t="n"/>
      <c r="V473" s="201" t="n"/>
      <c r="W473" s="201" t="n"/>
      <c r="X473" s="201" t="n"/>
      <c r="Y473" s="201" t="n"/>
      <c r="Z473" s="201" t="n"/>
      <c r="AA473" s="201" t="n"/>
      <c r="AB473" s="201" t="n"/>
      <c r="AC473" s="201" t="n"/>
      <c r="AD473" s="201" t="n"/>
      <c r="AE473" s="201" t="n"/>
      <c r="AF473" s="201" t="n"/>
      <c r="AG473" s="201" t="n"/>
    </row>
    <row r="474" ht="12.75" customHeight="1" s="202">
      <c r="A474" s="201" t="n"/>
      <c r="B474" s="201" t="n"/>
      <c r="C474" s="201" t="n"/>
      <c r="D474" s="201" t="n"/>
      <c r="E474" s="201" t="n"/>
      <c r="F474" s="201" t="n"/>
      <c r="G474" s="201" t="n"/>
      <c r="H474" s="201" t="n"/>
      <c r="I474" s="201" t="n"/>
      <c r="J474" s="201" t="n"/>
      <c r="K474" s="201" t="n"/>
      <c r="L474" s="201" t="n"/>
      <c r="M474" s="201" t="n"/>
      <c r="N474" s="201" t="n"/>
      <c r="O474" s="201" t="n"/>
      <c r="P474" s="201" t="n"/>
      <c r="Q474" s="201" t="n"/>
      <c r="R474" s="201" t="n"/>
      <c r="S474" s="201" t="n"/>
      <c r="T474" s="201" t="n"/>
      <c r="U474" s="201" t="n"/>
      <c r="V474" s="201" t="n"/>
      <c r="W474" s="201" t="n"/>
      <c r="X474" s="201" t="n"/>
      <c r="Y474" s="201" t="n"/>
      <c r="Z474" s="201" t="n"/>
      <c r="AA474" s="201" t="n"/>
      <c r="AB474" s="201" t="n"/>
      <c r="AC474" s="201" t="n"/>
      <c r="AD474" s="201" t="n"/>
      <c r="AE474" s="201" t="n"/>
      <c r="AF474" s="201" t="n"/>
      <c r="AG474" s="201" t="n"/>
    </row>
    <row r="475" ht="12.75" customHeight="1" s="202">
      <c r="A475" s="201" t="n"/>
      <c r="B475" s="201" t="n"/>
      <c r="C475" s="201" t="n"/>
      <c r="D475" s="201" t="n"/>
      <c r="E475" s="201" t="n"/>
      <c r="F475" s="201" t="n"/>
      <c r="G475" s="201" t="n"/>
      <c r="H475" s="201" t="n"/>
      <c r="I475" s="201" t="n"/>
      <c r="J475" s="201" t="n"/>
      <c r="K475" s="201" t="n"/>
      <c r="L475" s="201" t="n"/>
      <c r="M475" s="201" t="n"/>
      <c r="N475" s="201" t="n"/>
      <c r="O475" s="201" t="n"/>
      <c r="P475" s="201" t="n"/>
      <c r="Q475" s="201" t="n"/>
      <c r="R475" s="201" t="n"/>
      <c r="S475" s="201" t="n"/>
      <c r="T475" s="201" t="n"/>
      <c r="U475" s="201" t="n"/>
      <c r="V475" s="201" t="n"/>
      <c r="W475" s="201" t="n"/>
      <c r="X475" s="201" t="n"/>
      <c r="Y475" s="201" t="n"/>
      <c r="Z475" s="201" t="n"/>
      <c r="AA475" s="201" t="n"/>
      <c r="AB475" s="201" t="n"/>
      <c r="AC475" s="201" t="n"/>
      <c r="AD475" s="201" t="n"/>
      <c r="AE475" s="201" t="n"/>
      <c r="AF475" s="201" t="n"/>
      <c r="AG475" s="201" t="n"/>
    </row>
    <row r="476" ht="12.75" customHeight="1" s="202">
      <c r="A476" s="201" t="n"/>
      <c r="B476" s="201" t="n"/>
      <c r="C476" s="201" t="n"/>
      <c r="D476" s="201" t="n"/>
      <c r="E476" s="201" t="n"/>
      <c r="F476" s="201" t="n"/>
      <c r="G476" s="201" t="n"/>
      <c r="H476" s="201" t="n"/>
      <c r="I476" s="201" t="n"/>
      <c r="J476" s="201" t="n"/>
      <c r="K476" s="201" t="n"/>
      <c r="L476" s="201" t="n"/>
      <c r="M476" s="201" t="n"/>
      <c r="N476" s="201" t="n"/>
      <c r="O476" s="201" t="n"/>
      <c r="P476" s="201" t="n"/>
      <c r="Q476" s="201" t="n"/>
      <c r="R476" s="201" t="n"/>
      <c r="S476" s="201" t="n"/>
      <c r="T476" s="201" t="n"/>
      <c r="U476" s="201" t="n"/>
      <c r="V476" s="201" t="n"/>
      <c r="W476" s="201" t="n"/>
      <c r="X476" s="201" t="n"/>
      <c r="Y476" s="201" t="n"/>
      <c r="Z476" s="201" t="n"/>
      <c r="AA476" s="201" t="n"/>
      <c r="AB476" s="201" t="n"/>
      <c r="AC476" s="201" t="n"/>
      <c r="AD476" s="201" t="n"/>
      <c r="AE476" s="201" t="n"/>
      <c r="AF476" s="201" t="n"/>
      <c r="AG476" s="201" t="n"/>
    </row>
    <row r="477" ht="12.75" customHeight="1" s="202">
      <c r="A477" s="201" t="n"/>
      <c r="B477" s="201" t="n"/>
      <c r="C477" s="201" t="n"/>
      <c r="D477" s="201" t="n"/>
      <c r="E477" s="201" t="n"/>
      <c r="F477" s="201" t="n"/>
      <c r="G477" s="201" t="n"/>
      <c r="H477" s="201" t="n"/>
      <c r="I477" s="201" t="n"/>
      <c r="J477" s="201" t="n"/>
      <c r="K477" s="201" t="n"/>
      <c r="L477" s="201" t="n"/>
      <c r="M477" s="201" t="n"/>
      <c r="N477" s="201" t="n"/>
      <c r="O477" s="201" t="n"/>
      <c r="P477" s="201" t="n"/>
      <c r="Q477" s="201" t="n"/>
      <c r="R477" s="201" t="n"/>
      <c r="S477" s="201" t="n"/>
      <c r="T477" s="201" t="n"/>
      <c r="U477" s="201" t="n"/>
      <c r="V477" s="201" t="n"/>
      <c r="W477" s="201" t="n"/>
      <c r="X477" s="201" t="n"/>
      <c r="Y477" s="201" t="n"/>
      <c r="Z477" s="201" t="n"/>
      <c r="AA477" s="201" t="n"/>
      <c r="AB477" s="201" t="n"/>
      <c r="AC477" s="201" t="n"/>
      <c r="AD477" s="201" t="n"/>
      <c r="AE477" s="201" t="n"/>
      <c r="AF477" s="201" t="n"/>
      <c r="AG477" s="201" t="n"/>
    </row>
    <row r="478" ht="12.75" customHeight="1" s="202">
      <c r="A478" s="201" t="n"/>
      <c r="B478" s="201" t="n"/>
      <c r="C478" s="201" t="n"/>
      <c r="D478" s="201" t="n"/>
      <c r="E478" s="201" t="n"/>
      <c r="F478" s="201" t="n"/>
      <c r="G478" s="201" t="n"/>
      <c r="H478" s="201" t="n"/>
      <c r="I478" s="201" t="n"/>
      <c r="J478" s="201" t="n"/>
      <c r="K478" s="201" t="n"/>
      <c r="L478" s="201" t="n"/>
      <c r="M478" s="201" t="n"/>
      <c r="N478" s="201" t="n"/>
      <c r="O478" s="201" t="n"/>
      <c r="P478" s="201" t="n"/>
      <c r="Q478" s="201" t="n"/>
      <c r="R478" s="201" t="n"/>
      <c r="S478" s="201" t="n"/>
      <c r="T478" s="201" t="n"/>
      <c r="U478" s="201" t="n"/>
      <c r="V478" s="201" t="n"/>
      <c r="W478" s="201" t="n"/>
      <c r="X478" s="201" t="n"/>
      <c r="Y478" s="201" t="n"/>
      <c r="Z478" s="201" t="n"/>
      <c r="AA478" s="201" t="n"/>
      <c r="AB478" s="201" t="n"/>
      <c r="AC478" s="201" t="n"/>
      <c r="AD478" s="201" t="n"/>
      <c r="AE478" s="201" t="n"/>
      <c r="AF478" s="201" t="n"/>
      <c r="AG478" s="201" t="n"/>
    </row>
    <row r="479" ht="12.75" customHeight="1" s="202">
      <c r="A479" s="201" t="n"/>
      <c r="B479" s="201" t="n"/>
      <c r="C479" s="201" t="n"/>
      <c r="D479" s="201" t="n"/>
      <c r="E479" s="201" t="n"/>
      <c r="F479" s="201" t="n"/>
      <c r="G479" s="201" t="n"/>
      <c r="H479" s="201" t="n"/>
      <c r="I479" s="201" t="n"/>
      <c r="J479" s="201" t="n"/>
      <c r="K479" s="201" t="n"/>
      <c r="L479" s="201" t="n"/>
      <c r="M479" s="201" t="n"/>
      <c r="N479" s="201" t="n"/>
      <c r="O479" s="201" t="n"/>
      <c r="P479" s="201" t="n"/>
      <c r="Q479" s="201" t="n"/>
      <c r="R479" s="201" t="n"/>
      <c r="S479" s="201" t="n"/>
      <c r="T479" s="201" t="n"/>
      <c r="U479" s="201" t="n"/>
      <c r="V479" s="201" t="n"/>
      <c r="W479" s="201" t="n"/>
      <c r="X479" s="201" t="n"/>
      <c r="Y479" s="201" t="n"/>
      <c r="Z479" s="201" t="n"/>
      <c r="AA479" s="201" t="n"/>
      <c r="AB479" s="201" t="n"/>
      <c r="AC479" s="201" t="n"/>
      <c r="AD479" s="201" t="n"/>
      <c r="AE479" s="201" t="n"/>
      <c r="AF479" s="201" t="n"/>
      <c r="AG479" s="201" t="n"/>
    </row>
    <row r="480" ht="12.75" customHeight="1" s="202">
      <c r="A480" s="201" t="n"/>
      <c r="B480" s="201" t="n"/>
      <c r="C480" s="201" t="n"/>
      <c r="D480" s="201" t="n"/>
      <c r="E480" s="201" t="n"/>
      <c r="F480" s="201" t="n"/>
      <c r="G480" s="201" t="n"/>
      <c r="H480" s="201" t="n"/>
      <c r="I480" s="201" t="n"/>
      <c r="J480" s="201" t="n"/>
      <c r="K480" s="201" t="n"/>
      <c r="L480" s="201" t="n"/>
      <c r="M480" s="201" t="n"/>
      <c r="N480" s="201" t="n"/>
      <c r="O480" s="201" t="n"/>
      <c r="P480" s="201" t="n"/>
      <c r="Q480" s="201" t="n"/>
      <c r="R480" s="201" t="n"/>
      <c r="S480" s="201" t="n"/>
      <c r="T480" s="201" t="n"/>
      <c r="U480" s="201" t="n"/>
      <c r="V480" s="201" t="n"/>
      <c r="W480" s="201" t="n"/>
      <c r="X480" s="201" t="n"/>
      <c r="Y480" s="201" t="n"/>
      <c r="Z480" s="201" t="n"/>
      <c r="AA480" s="201" t="n"/>
      <c r="AB480" s="201" t="n"/>
      <c r="AC480" s="201" t="n"/>
      <c r="AD480" s="201" t="n"/>
      <c r="AE480" s="201" t="n"/>
      <c r="AF480" s="201" t="n"/>
      <c r="AG480" s="201" t="n"/>
    </row>
    <row r="481" ht="12.75" customHeight="1" s="202">
      <c r="A481" s="201" t="n"/>
      <c r="B481" s="201" t="n"/>
      <c r="C481" s="201" t="n"/>
      <c r="D481" s="201" t="n"/>
      <c r="E481" s="201" t="n"/>
      <c r="F481" s="201" t="n"/>
      <c r="G481" s="201" t="n"/>
      <c r="H481" s="201" t="n"/>
      <c r="I481" s="201" t="n"/>
      <c r="J481" s="201" t="n"/>
      <c r="K481" s="201" t="n"/>
      <c r="L481" s="201" t="n"/>
      <c r="M481" s="201" t="n"/>
      <c r="N481" s="201" t="n"/>
      <c r="O481" s="201" t="n"/>
      <c r="P481" s="201" t="n"/>
      <c r="Q481" s="201" t="n"/>
      <c r="R481" s="201" t="n"/>
      <c r="S481" s="201" t="n"/>
      <c r="T481" s="201" t="n"/>
      <c r="U481" s="201" t="n"/>
      <c r="V481" s="201" t="n"/>
      <c r="W481" s="201" t="n"/>
      <c r="X481" s="201" t="n"/>
      <c r="Y481" s="201" t="n"/>
      <c r="Z481" s="201" t="n"/>
      <c r="AA481" s="201" t="n"/>
      <c r="AB481" s="201" t="n"/>
      <c r="AC481" s="201" t="n"/>
      <c r="AD481" s="201" t="n"/>
      <c r="AE481" s="201" t="n"/>
      <c r="AF481" s="201" t="n"/>
      <c r="AG481" s="201" t="n"/>
    </row>
    <row r="482" ht="12.75" customHeight="1" s="202">
      <c r="A482" s="201" t="n"/>
      <c r="B482" s="201" t="n"/>
      <c r="C482" s="201" t="n"/>
      <c r="D482" s="201" t="n"/>
      <c r="E482" s="201" t="n"/>
      <c r="F482" s="201" t="n"/>
      <c r="G482" s="201" t="n"/>
      <c r="H482" s="201" t="n"/>
      <c r="I482" s="201" t="n"/>
      <c r="J482" s="201" t="n"/>
      <c r="K482" s="201" t="n"/>
      <c r="L482" s="201" t="n"/>
      <c r="M482" s="201" t="n"/>
      <c r="N482" s="201" t="n"/>
      <c r="O482" s="201" t="n"/>
      <c r="P482" s="201" t="n"/>
      <c r="Q482" s="201" t="n"/>
      <c r="R482" s="201" t="n"/>
      <c r="S482" s="201" t="n"/>
      <c r="T482" s="201" t="n"/>
      <c r="U482" s="201" t="n"/>
      <c r="V482" s="201" t="n"/>
      <c r="W482" s="201" t="n"/>
      <c r="X482" s="201" t="n"/>
      <c r="Y482" s="201" t="n"/>
      <c r="Z482" s="201" t="n"/>
      <c r="AA482" s="201" t="n"/>
      <c r="AB482" s="201" t="n"/>
      <c r="AC482" s="201" t="n"/>
      <c r="AD482" s="201" t="n"/>
      <c r="AE482" s="201" t="n"/>
      <c r="AF482" s="201" t="n"/>
      <c r="AG482" s="201" t="n"/>
    </row>
    <row r="483" ht="12.75" customHeight="1" s="202">
      <c r="A483" s="201" t="n"/>
      <c r="B483" s="201" t="n"/>
      <c r="C483" s="201" t="n"/>
      <c r="D483" s="201" t="n"/>
      <c r="E483" s="201" t="n"/>
      <c r="F483" s="201" t="n"/>
      <c r="G483" s="201" t="n"/>
      <c r="H483" s="201" t="n"/>
      <c r="I483" s="201" t="n"/>
      <c r="J483" s="201" t="n"/>
      <c r="K483" s="201" t="n"/>
      <c r="L483" s="201" t="n"/>
      <c r="M483" s="201" t="n"/>
      <c r="N483" s="201" t="n"/>
      <c r="O483" s="201" t="n"/>
      <c r="P483" s="201" t="n"/>
      <c r="Q483" s="201" t="n"/>
      <c r="R483" s="201" t="n"/>
      <c r="S483" s="201" t="n"/>
      <c r="T483" s="201" t="n"/>
      <c r="U483" s="201" t="n"/>
      <c r="V483" s="201" t="n"/>
      <c r="W483" s="201" t="n"/>
      <c r="X483" s="201" t="n"/>
      <c r="Y483" s="201" t="n"/>
      <c r="Z483" s="201" t="n"/>
      <c r="AA483" s="201" t="n"/>
      <c r="AB483" s="201" t="n"/>
      <c r="AC483" s="201" t="n"/>
      <c r="AD483" s="201" t="n"/>
      <c r="AE483" s="201" t="n"/>
      <c r="AF483" s="201" t="n"/>
      <c r="AG483" s="201" t="n"/>
    </row>
    <row r="484" ht="12.75" customHeight="1" s="202">
      <c r="A484" s="201" t="n"/>
      <c r="B484" s="201" t="n"/>
      <c r="C484" s="201" t="n"/>
      <c r="D484" s="201" t="n"/>
      <c r="E484" s="201" t="n"/>
      <c r="F484" s="201" t="n"/>
      <c r="G484" s="201" t="n"/>
      <c r="H484" s="201" t="n"/>
      <c r="I484" s="201" t="n"/>
      <c r="J484" s="201" t="n"/>
      <c r="K484" s="201" t="n"/>
      <c r="L484" s="201" t="n"/>
      <c r="M484" s="201" t="n"/>
      <c r="N484" s="201" t="n"/>
      <c r="O484" s="201" t="n"/>
      <c r="P484" s="201" t="n"/>
      <c r="Q484" s="201" t="n"/>
      <c r="R484" s="201" t="n"/>
      <c r="S484" s="201" t="n"/>
      <c r="T484" s="201" t="n"/>
      <c r="U484" s="201" t="n"/>
      <c r="V484" s="201" t="n"/>
      <c r="W484" s="201" t="n"/>
      <c r="X484" s="201" t="n"/>
      <c r="Y484" s="201" t="n"/>
      <c r="Z484" s="201" t="n"/>
      <c r="AA484" s="201" t="n"/>
      <c r="AB484" s="201" t="n"/>
      <c r="AC484" s="201" t="n"/>
      <c r="AD484" s="201" t="n"/>
      <c r="AE484" s="201" t="n"/>
      <c r="AF484" s="201" t="n"/>
      <c r="AG484" s="201" t="n"/>
    </row>
    <row r="485" ht="12.75" customHeight="1" s="202">
      <c r="A485" s="201" t="n"/>
      <c r="B485" s="201" t="n"/>
      <c r="C485" s="201" t="n"/>
      <c r="D485" s="201" t="n"/>
      <c r="E485" s="201" t="n"/>
      <c r="F485" s="201" t="n"/>
      <c r="G485" s="201" t="n"/>
      <c r="H485" s="201" t="n"/>
      <c r="I485" s="201" t="n"/>
      <c r="J485" s="201" t="n"/>
      <c r="K485" s="201" t="n"/>
      <c r="L485" s="201" t="n"/>
      <c r="M485" s="201" t="n"/>
      <c r="N485" s="201" t="n"/>
      <c r="O485" s="201" t="n"/>
      <c r="P485" s="201" t="n"/>
      <c r="Q485" s="201" t="n"/>
      <c r="R485" s="201" t="n"/>
      <c r="S485" s="201" t="n"/>
      <c r="T485" s="201" t="n"/>
      <c r="U485" s="201" t="n"/>
      <c r="V485" s="201" t="n"/>
      <c r="W485" s="201" t="n"/>
      <c r="X485" s="201" t="n"/>
      <c r="Y485" s="201" t="n"/>
      <c r="Z485" s="201" t="n"/>
      <c r="AA485" s="201" t="n"/>
      <c r="AB485" s="201" t="n"/>
      <c r="AC485" s="201" t="n"/>
      <c r="AD485" s="201" t="n"/>
      <c r="AE485" s="201" t="n"/>
      <c r="AF485" s="201" t="n"/>
      <c r="AG485" s="201" t="n"/>
    </row>
    <row r="486" ht="12.75" customHeight="1" s="202">
      <c r="A486" s="201" t="n"/>
      <c r="B486" s="201" t="n"/>
      <c r="C486" s="201" t="n"/>
      <c r="D486" s="201" t="n"/>
      <c r="E486" s="201" t="n"/>
      <c r="F486" s="201" t="n"/>
      <c r="G486" s="201" t="n"/>
      <c r="H486" s="201" t="n"/>
      <c r="I486" s="201" t="n"/>
      <c r="J486" s="201" t="n"/>
      <c r="K486" s="201" t="n"/>
      <c r="L486" s="201" t="n"/>
      <c r="M486" s="201" t="n"/>
      <c r="N486" s="201" t="n"/>
      <c r="O486" s="201" t="n"/>
      <c r="P486" s="201" t="n"/>
      <c r="Q486" s="201" t="n"/>
      <c r="R486" s="201" t="n"/>
      <c r="S486" s="201" t="n"/>
      <c r="T486" s="201" t="n"/>
      <c r="U486" s="201" t="n"/>
      <c r="V486" s="201" t="n"/>
      <c r="W486" s="201" t="n"/>
      <c r="X486" s="201" t="n"/>
      <c r="Y486" s="201" t="n"/>
      <c r="Z486" s="201" t="n"/>
      <c r="AA486" s="201" t="n"/>
      <c r="AB486" s="201" t="n"/>
      <c r="AC486" s="201" t="n"/>
      <c r="AD486" s="201" t="n"/>
      <c r="AE486" s="201" t="n"/>
      <c r="AF486" s="201" t="n"/>
      <c r="AG486" s="201" t="n"/>
    </row>
    <row r="487" ht="12.75" customHeight="1" s="202">
      <c r="A487" s="201" t="n"/>
      <c r="B487" s="201" t="n"/>
      <c r="C487" s="201" t="n"/>
      <c r="D487" s="201" t="n"/>
      <c r="E487" s="201" t="n"/>
      <c r="F487" s="201" t="n"/>
      <c r="G487" s="201" t="n"/>
      <c r="H487" s="201" t="n"/>
      <c r="I487" s="201" t="n"/>
      <c r="J487" s="201" t="n"/>
      <c r="K487" s="201" t="n"/>
      <c r="L487" s="201" t="n"/>
      <c r="M487" s="201" t="n"/>
      <c r="N487" s="201" t="n"/>
      <c r="O487" s="201" t="n"/>
      <c r="P487" s="201" t="n"/>
      <c r="Q487" s="201" t="n"/>
      <c r="R487" s="201" t="n"/>
      <c r="S487" s="201" t="n"/>
      <c r="T487" s="201" t="n"/>
      <c r="U487" s="201" t="n"/>
      <c r="V487" s="201" t="n"/>
      <c r="W487" s="201" t="n"/>
      <c r="X487" s="201" t="n"/>
      <c r="Y487" s="201" t="n"/>
      <c r="Z487" s="201" t="n"/>
      <c r="AA487" s="201" t="n"/>
      <c r="AB487" s="201" t="n"/>
      <c r="AC487" s="201" t="n"/>
      <c r="AD487" s="201" t="n"/>
      <c r="AE487" s="201" t="n"/>
      <c r="AF487" s="201" t="n"/>
      <c r="AG487" s="201" t="n"/>
    </row>
    <row r="488" ht="12.75" customHeight="1" s="202">
      <c r="A488" s="201" t="n"/>
      <c r="B488" s="201" t="n"/>
      <c r="C488" s="201" t="n"/>
      <c r="D488" s="201" t="n"/>
      <c r="E488" s="201" t="n"/>
      <c r="F488" s="201" t="n"/>
      <c r="G488" s="201" t="n"/>
      <c r="H488" s="201" t="n"/>
      <c r="I488" s="201" t="n"/>
      <c r="J488" s="201" t="n"/>
      <c r="K488" s="201" t="n"/>
      <c r="L488" s="201" t="n"/>
      <c r="M488" s="201" t="n"/>
      <c r="N488" s="201" t="n"/>
      <c r="O488" s="201" t="n"/>
      <c r="P488" s="201" t="n"/>
      <c r="Q488" s="201" t="n"/>
      <c r="R488" s="201" t="n"/>
      <c r="S488" s="201" t="n"/>
      <c r="T488" s="201" t="n"/>
      <c r="U488" s="201" t="n"/>
      <c r="V488" s="201" t="n"/>
      <c r="W488" s="201" t="n"/>
      <c r="X488" s="201" t="n"/>
      <c r="Y488" s="201" t="n"/>
      <c r="Z488" s="201" t="n"/>
      <c r="AA488" s="201" t="n"/>
      <c r="AB488" s="201" t="n"/>
      <c r="AC488" s="201" t="n"/>
      <c r="AD488" s="201" t="n"/>
      <c r="AE488" s="201" t="n"/>
      <c r="AF488" s="201" t="n"/>
      <c r="AG488" s="201" t="n"/>
    </row>
    <row r="489" ht="12.75" customHeight="1" s="202">
      <c r="A489" s="201" t="n"/>
      <c r="B489" s="201" t="n"/>
      <c r="C489" s="201" t="n"/>
      <c r="D489" s="201" t="n"/>
      <c r="E489" s="201" t="n"/>
      <c r="F489" s="201" t="n"/>
      <c r="G489" s="201" t="n"/>
      <c r="H489" s="201" t="n"/>
      <c r="I489" s="201" t="n"/>
      <c r="J489" s="201" t="n"/>
      <c r="K489" s="201" t="n"/>
      <c r="L489" s="201" t="n"/>
      <c r="M489" s="201" t="n"/>
      <c r="N489" s="201" t="n"/>
      <c r="O489" s="201" t="n"/>
      <c r="P489" s="201" t="n"/>
      <c r="Q489" s="201" t="n"/>
      <c r="R489" s="201" t="n"/>
      <c r="S489" s="201" t="n"/>
      <c r="T489" s="201" t="n"/>
      <c r="U489" s="201" t="n"/>
      <c r="V489" s="201" t="n"/>
      <c r="W489" s="201" t="n"/>
      <c r="X489" s="201" t="n"/>
      <c r="Y489" s="201" t="n"/>
      <c r="Z489" s="201" t="n"/>
      <c r="AA489" s="201" t="n"/>
      <c r="AB489" s="201" t="n"/>
      <c r="AC489" s="201" t="n"/>
      <c r="AD489" s="201" t="n"/>
      <c r="AE489" s="201" t="n"/>
      <c r="AF489" s="201" t="n"/>
      <c r="AG489" s="201" t="n"/>
    </row>
    <row r="490" ht="12.75" customHeight="1" s="202">
      <c r="A490" s="201" t="n"/>
      <c r="B490" s="201" t="n"/>
      <c r="C490" s="201" t="n"/>
      <c r="D490" s="201" t="n"/>
      <c r="E490" s="201" t="n"/>
      <c r="F490" s="201" t="n"/>
      <c r="G490" s="201" t="n"/>
      <c r="H490" s="201" t="n"/>
      <c r="I490" s="201" t="n"/>
      <c r="J490" s="201" t="n"/>
      <c r="K490" s="201" t="n"/>
      <c r="L490" s="201" t="n"/>
      <c r="M490" s="201" t="n"/>
      <c r="N490" s="201" t="n"/>
      <c r="O490" s="201" t="n"/>
      <c r="P490" s="201" t="n"/>
      <c r="Q490" s="201" t="n"/>
      <c r="R490" s="201" t="n"/>
      <c r="S490" s="201" t="n"/>
      <c r="T490" s="201" t="n"/>
      <c r="U490" s="201" t="n"/>
      <c r="V490" s="201" t="n"/>
      <c r="W490" s="201" t="n"/>
      <c r="X490" s="201" t="n"/>
      <c r="Y490" s="201" t="n"/>
      <c r="Z490" s="201" t="n"/>
      <c r="AA490" s="201" t="n"/>
      <c r="AB490" s="201" t="n"/>
      <c r="AC490" s="201" t="n"/>
      <c r="AD490" s="201" t="n"/>
      <c r="AE490" s="201" t="n"/>
      <c r="AF490" s="201" t="n"/>
      <c r="AG490" s="201" t="n"/>
    </row>
    <row r="491" ht="12.75" customHeight="1" s="202">
      <c r="A491" s="201" t="n"/>
      <c r="B491" s="201" t="n"/>
      <c r="C491" s="201" t="n"/>
      <c r="D491" s="201" t="n"/>
      <c r="E491" s="201" t="n"/>
      <c r="F491" s="201" t="n"/>
      <c r="G491" s="201" t="n"/>
      <c r="H491" s="201" t="n"/>
      <c r="I491" s="201" t="n"/>
      <c r="J491" s="201" t="n"/>
      <c r="K491" s="201" t="n"/>
      <c r="L491" s="201" t="n"/>
      <c r="M491" s="201" t="n"/>
      <c r="N491" s="201" t="n"/>
      <c r="O491" s="201" t="n"/>
      <c r="P491" s="201" t="n"/>
      <c r="Q491" s="201" t="n"/>
      <c r="R491" s="201" t="n"/>
      <c r="S491" s="201" t="n"/>
      <c r="T491" s="201" t="n"/>
      <c r="U491" s="201" t="n"/>
      <c r="V491" s="201" t="n"/>
      <c r="W491" s="201" t="n"/>
      <c r="X491" s="201" t="n"/>
      <c r="Y491" s="201" t="n"/>
      <c r="Z491" s="201" t="n"/>
      <c r="AA491" s="201" t="n"/>
      <c r="AB491" s="201" t="n"/>
      <c r="AC491" s="201" t="n"/>
      <c r="AD491" s="201" t="n"/>
      <c r="AE491" s="201" t="n"/>
      <c r="AF491" s="201" t="n"/>
      <c r="AG491" s="201" t="n"/>
    </row>
    <row r="492" ht="12.75" customHeight="1" s="202">
      <c r="A492" s="201" t="n"/>
      <c r="B492" s="201" t="n"/>
      <c r="C492" s="201" t="n"/>
      <c r="D492" s="201" t="n"/>
      <c r="E492" s="201" t="n"/>
      <c r="F492" s="201" t="n"/>
      <c r="G492" s="201" t="n"/>
      <c r="H492" s="201" t="n"/>
      <c r="I492" s="201" t="n"/>
      <c r="J492" s="201" t="n"/>
      <c r="K492" s="201" t="n"/>
      <c r="L492" s="201" t="n"/>
      <c r="M492" s="201" t="n"/>
      <c r="N492" s="201" t="n"/>
      <c r="O492" s="201" t="n"/>
      <c r="P492" s="201" t="n"/>
      <c r="Q492" s="201" t="n"/>
      <c r="R492" s="201" t="n"/>
      <c r="S492" s="201" t="n"/>
      <c r="T492" s="201" t="n"/>
      <c r="U492" s="201" t="n"/>
      <c r="V492" s="201" t="n"/>
      <c r="W492" s="201" t="n"/>
      <c r="X492" s="201" t="n"/>
      <c r="Y492" s="201" t="n"/>
      <c r="Z492" s="201" t="n"/>
      <c r="AA492" s="201" t="n"/>
      <c r="AB492" s="201" t="n"/>
      <c r="AC492" s="201" t="n"/>
      <c r="AD492" s="201" t="n"/>
      <c r="AE492" s="201" t="n"/>
      <c r="AF492" s="201" t="n"/>
      <c r="AG492" s="201" t="n"/>
    </row>
    <row r="493" ht="12.75" customHeight="1" s="202">
      <c r="A493" s="201" t="n"/>
      <c r="B493" s="201" t="n"/>
      <c r="C493" s="201" t="n"/>
      <c r="D493" s="201" t="n"/>
      <c r="E493" s="201" t="n"/>
      <c r="F493" s="201" t="n"/>
      <c r="G493" s="201" t="n"/>
      <c r="H493" s="201" t="n"/>
      <c r="I493" s="201" t="n"/>
      <c r="J493" s="201" t="n"/>
      <c r="K493" s="201" t="n"/>
      <c r="L493" s="201" t="n"/>
      <c r="M493" s="201" t="n"/>
      <c r="N493" s="201" t="n"/>
      <c r="O493" s="201" t="n"/>
      <c r="P493" s="201" t="n"/>
      <c r="Q493" s="201" t="n"/>
      <c r="R493" s="201" t="n"/>
      <c r="S493" s="201" t="n"/>
      <c r="T493" s="201" t="n"/>
      <c r="U493" s="201" t="n"/>
      <c r="V493" s="201" t="n"/>
      <c r="W493" s="201" t="n"/>
      <c r="X493" s="201" t="n"/>
      <c r="Y493" s="201" t="n"/>
      <c r="Z493" s="201" t="n"/>
      <c r="AA493" s="201" t="n"/>
      <c r="AB493" s="201" t="n"/>
      <c r="AC493" s="201" t="n"/>
      <c r="AD493" s="201" t="n"/>
      <c r="AE493" s="201" t="n"/>
      <c r="AF493" s="201" t="n"/>
      <c r="AG493" s="201" t="n"/>
    </row>
    <row r="494" ht="12.75" customHeight="1" s="202">
      <c r="A494" s="201" t="n"/>
      <c r="B494" s="201" t="n"/>
      <c r="C494" s="201" t="n"/>
      <c r="D494" s="201" t="n"/>
      <c r="E494" s="201" t="n"/>
      <c r="F494" s="201" t="n"/>
      <c r="G494" s="201" t="n"/>
      <c r="H494" s="201" t="n"/>
      <c r="I494" s="201" t="n"/>
      <c r="J494" s="201" t="n"/>
      <c r="K494" s="201" t="n"/>
      <c r="L494" s="201" t="n"/>
      <c r="M494" s="201" t="n"/>
      <c r="N494" s="201" t="n"/>
      <c r="O494" s="201" t="n"/>
      <c r="P494" s="201" t="n"/>
      <c r="Q494" s="201" t="n"/>
      <c r="R494" s="201" t="n"/>
      <c r="S494" s="201" t="n"/>
      <c r="T494" s="201" t="n"/>
      <c r="U494" s="201" t="n"/>
      <c r="V494" s="201" t="n"/>
      <c r="W494" s="201" t="n"/>
      <c r="X494" s="201" t="n"/>
      <c r="Y494" s="201" t="n"/>
      <c r="Z494" s="201" t="n"/>
      <c r="AA494" s="201" t="n"/>
      <c r="AB494" s="201" t="n"/>
      <c r="AC494" s="201" t="n"/>
      <c r="AD494" s="201" t="n"/>
      <c r="AE494" s="201" t="n"/>
      <c r="AF494" s="201" t="n"/>
      <c r="AG494" s="201" t="n"/>
    </row>
    <row r="495" ht="12.75" customHeight="1" s="202">
      <c r="A495" s="201" t="n"/>
      <c r="B495" s="201" t="n"/>
      <c r="C495" s="201" t="n"/>
      <c r="D495" s="201" t="n"/>
      <c r="E495" s="201" t="n"/>
      <c r="F495" s="201" t="n"/>
      <c r="G495" s="201" t="n"/>
      <c r="H495" s="201" t="n"/>
      <c r="I495" s="201" t="n"/>
      <c r="J495" s="201" t="n"/>
      <c r="K495" s="201" t="n"/>
      <c r="L495" s="201" t="n"/>
      <c r="M495" s="201" t="n"/>
      <c r="N495" s="201" t="n"/>
      <c r="O495" s="201" t="n"/>
      <c r="P495" s="201" t="n"/>
      <c r="Q495" s="201" t="n"/>
      <c r="R495" s="201" t="n"/>
      <c r="S495" s="201" t="n"/>
      <c r="T495" s="201" t="n"/>
      <c r="U495" s="201" t="n"/>
      <c r="V495" s="201" t="n"/>
      <c r="W495" s="201" t="n"/>
      <c r="X495" s="201" t="n"/>
      <c r="Y495" s="201" t="n"/>
      <c r="Z495" s="201" t="n"/>
      <c r="AA495" s="201" t="n"/>
      <c r="AB495" s="201" t="n"/>
      <c r="AC495" s="201" t="n"/>
      <c r="AD495" s="201" t="n"/>
      <c r="AE495" s="201" t="n"/>
      <c r="AF495" s="201" t="n"/>
      <c r="AG495" s="201" t="n"/>
    </row>
    <row r="496" ht="12.75" customHeight="1" s="202">
      <c r="A496" s="201" t="n"/>
      <c r="B496" s="201" t="n"/>
      <c r="C496" s="201" t="n"/>
      <c r="D496" s="201" t="n"/>
      <c r="E496" s="201" t="n"/>
      <c r="F496" s="201" t="n"/>
      <c r="G496" s="201" t="n"/>
      <c r="H496" s="201" t="n"/>
      <c r="I496" s="201" t="n"/>
      <c r="J496" s="201" t="n"/>
      <c r="K496" s="201" t="n"/>
      <c r="L496" s="201" t="n"/>
      <c r="M496" s="201" t="n"/>
      <c r="N496" s="201" t="n"/>
      <c r="O496" s="201" t="n"/>
      <c r="P496" s="201" t="n"/>
      <c r="Q496" s="201" t="n"/>
      <c r="R496" s="201" t="n"/>
      <c r="S496" s="201" t="n"/>
      <c r="T496" s="201" t="n"/>
      <c r="U496" s="201" t="n"/>
      <c r="V496" s="201" t="n"/>
      <c r="W496" s="201" t="n"/>
      <c r="X496" s="201" t="n"/>
      <c r="Y496" s="201" t="n"/>
      <c r="Z496" s="201" t="n"/>
      <c r="AA496" s="201" t="n"/>
      <c r="AB496" s="201" t="n"/>
      <c r="AC496" s="201" t="n"/>
      <c r="AD496" s="201" t="n"/>
      <c r="AE496" s="201" t="n"/>
      <c r="AF496" s="201" t="n"/>
      <c r="AG496" s="201" t="n"/>
    </row>
    <row r="497" ht="12.75" customHeight="1" s="202">
      <c r="A497" s="201" t="n"/>
      <c r="B497" s="201" t="n"/>
      <c r="C497" s="201" t="n"/>
      <c r="D497" s="201" t="n"/>
      <c r="E497" s="201" t="n"/>
      <c r="F497" s="201" t="n"/>
      <c r="G497" s="201" t="n"/>
      <c r="H497" s="201" t="n"/>
      <c r="I497" s="201" t="n"/>
      <c r="J497" s="201" t="n"/>
      <c r="K497" s="201" t="n"/>
      <c r="L497" s="201" t="n"/>
      <c r="M497" s="201" t="n"/>
      <c r="N497" s="201" t="n"/>
      <c r="O497" s="201" t="n"/>
      <c r="P497" s="201" t="n"/>
      <c r="Q497" s="201" t="n"/>
      <c r="R497" s="201" t="n"/>
      <c r="S497" s="201" t="n"/>
      <c r="T497" s="201" t="n"/>
      <c r="U497" s="201" t="n"/>
      <c r="V497" s="201" t="n"/>
      <c r="W497" s="201" t="n"/>
      <c r="X497" s="201" t="n"/>
      <c r="Y497" s="201" t="n"/>
      <c r="Z497" s="201" t="n"/>
      <c r="AA497" s="201" t="n"/>
      <c r="AB497" s="201" t="n"/>
      <c r="AC497" s="201" t="n"/>
      <c r="AD497" s="201" t="n"/>
      <c r="AE497" s="201" t="n"/>
      <c r="AF497" s="201" t="n"/>
      <c r="AG497" s="201" t="n"/>
    </row>
    <row r="498" ht="12.75" customHeight="1" s="202">
      <c r="A498" s="201" t="n"/>
      <c r="B498" s="201" t="n"/>
      <c r="C498" s="201" t="n"/>
      <c r="D498" s="201" t="n"/>
      <c r="E498" s="201" t="n"/>
      <c r="F498" s="201" t="n"/>
      <c r="G498" s="201" t="n"/>
      <c r="H498" s="201" t="n"/>
      <c r="I498" s="201" t="n"/>
      <c r="J498" s="201" t="n"/>
      <c r="K498" s="201" t="n"/>
      <c r="L498" s="201" t="n"/>
      <c r="M498" s="201" t="n"/>
      <c r="N498" s="201" t="n"/>
      <c r="O498" s="201" t="n"/>
      <c r="P498" s="201" t="n"/>
      <c r="Q498" s="201" t="n"/>
      <c r="R498" s="201" t="n"/>
      <c r="S498" s="201" t="n"/>
      <c r="T498" s="201" t="n"/>
      <c r="U498" s="201" t="n"/>
      <c r="V498" s="201" t="n"/>
      <c r="W498" s="201" t="n"/>
      <c r="X498" s="201" t="n"/>
      <c r="Y498" s="201" t="n"/>
      <c r="Z498" s="201" t="n"/>
      <c r="AA498" s="201" t="n"/>
      <c r="AB498" s="201" t="n"/>
      <c r="AC498" s="201" t="n"/>
      <c r="AD498" s="201" t="n"/>
      <c r="AE498" s="201" t="n"/>
      <c r="AF498" s="201" t="n"/>
      <c r="AG498" s="201" t="n"/>
    </row>
    <row r="499" ht="12.75" customHeight="1" s="202">
      <c r="A499" s="201" t="n"/>
      <c r="B499" s="201" t="n"/>
      <c r="C499" s="201" t="n"/>
      <c r="D499" s="201" t="n"/>
      <c r="E499" s="201" t="n"/>
      <c r="F499" s="201" t="n"/>
      <c r="G499" s="201" t="n"/>
      <c r="H499" s="201" t="n"/>
      <c r="I499" s="201" t="n"/>
      <c r="J499" s="201" t="n"/>
      <c r="K499" s="201" t="n"/>
      <c r="L499" s="201" t="n"/>
      <c r="M499" s="201" t="n"/>
      <c r="N499" s="201" t="n"/>
      <c r="O499" s="201" t="n"/>
      <c r="P499" s="201" t="n"/>
      <c r="Q499" s="201" t="n"/>
      <c r="R499" s="201" t="n"/>
      <c r="S499" s="201" t="n"/>
      <c r="T499" s="201" t="n"/>
      <c r="U499" s="201" t="n"/>
      <c r="V499" s="201" t="n"/>
      <c r="W499" s="201" t="n"/>
      <c r="X499" s="201" t="n"/>
      <c r="Y499" s="201" t="n"/>
      <c r="Z499" s="201" t="n"/>
      <c r="AA499" s="201" t="n"/>
      <c r="AB499" s="201" t="n"/>
      <c r="AC499" s="201" t="n"/>
      <c r="AD499" s="201" t="n"/>
      <c r="AE499" s="201" t="n"/>
      <c r="AF499" s="201" t="n"/>
      <c r="AG499" s="201" t="n"/>
    </row>
    <row r="500" ht="12.75" customHeight="1" s="202">
      <c r="A500" s="201" t="n"/>
      <c r="B500" s="201" t="n"/>
      <c r="C500" s="201" t="n"/>
      <c r="D500" s="201" t="n"/>
      <c r="E500" s="201" t="n"/>
      <c r="F500" s="201" t="n"/>
      <c r="G500" s="201" t="n"/>
      <c r="H500" s="201" t="n"/>
      <c r="I500" s="201" t="n"/>
      <c r="J500" s="201" t="n"/>
      <c r="K500" s="201" t="n"/>
      <c r="L500" s="201" t="n"/>
      <c r="M500" s="201" t="n"/>
      <c r="N500" s="201" t="n"/>
      <c r="O500" s="201" t="n"/>
      <c r="P500" s="201" t="n"/>
      <c r="Q500" s="201" t="n"/>
      <c r="R500" s="201" t="n"/>
      <c r="S500" s="201" t="n"/>
      <c r="T500" s="201" t="n"/>
      <c r="U500" s="201" t="n"/>
      <c r="V500" s="201" t="n"/>
      <c r="W500" s="201" t="n"/>
      <c r="X500" s="201" t="n"/>
      <c r="Y500" s="201" t="n"/>
      <c r="Z500" s="201" t="n"/>
      <c r="AA500" s="201" t="n"/>
      <c r="AB500" s="201" t="n"/>
      <c r="AC500" s="201" t="n"/>
      <c r="AD500" s="201" t="n"/>
      <c r="AE500" s="201" t="n"/>
      <c r="AF500" s="201" t="n"/>
      <c r="AG500" s="201" t="n"/>
    </row>
    <row r="501" ht="12.75" customHeight="1" s="202">
      <c r="A501" s="201" t="n"/>
      <c r="B501" s="201" t="n"/>
      <c r="C501" s="201" t="n"/>
      <c r="D501" s="201" t="n"/>
      <c r="E501" s="201" t="n"/>
      <c r="F501" s="201" t="n"/>
      <c r="G501" s="201" t="n"/>
      <c r="H501" s="201" t="n"/>
      <c r="I501" s="201" t="n"/>
      <c r="J501" s="201" t="n"/>
      <c r="K501" s="201" t="n"/>
      <c r="L501" s="201" t="n"/>
      <c r="M501" s="201" t="n"/>
      <c r="N501" s="201" t="n"/>
      <c r="O501" s="201" t="n"/>
      <c r="P501" s="201" t="n"/>
      <c r="Q501" s="201" t="n"/>
      <c r="R501" s="201" t="n"/>
      <c r="S501" s="201" t="n"/>
      <c r="T501" s="201" t="n"/>
      <c r="U501" s="201" t="n"/>
      <c r="V501" s="201" t="n"/>
      <c r="W501" s="201" t="n"/>
      <c r="X501" s="201" t="n"/>
      <c r="Y501" s="201" t="n"/>
      <c r="Z501" s="201" t="n"/>
      <c r="AA501" s="201" t="n"/>
      <c r="AB501" s="201" t="n"/>
      <c r="AC501" s="201" t="n"/>
      <c r="AD501" s="201" t="n"/>
      <c r="AE501" s="201" t="n"/>
      <c r="AF501" s="201" t="n"/>
      <c r="AG501" s="201" t="n"/>
    </row>
    <row r="502" ht="12.75" customHeight="1" s="202">
      <c r="A502" s="201" t="n"/>
      <c r="B502" s="201" t="n"/>
      <c r="C502" s="201" t="n"/>
      <c r="D502" s="201" t="n"/>
      <c r="E502" s="201" t="n"/>
      <c r="F502" s="201" t="n"/>
      <c r="G502" s="201" t="n"/>
      <c r="H502" s="201" t="n"/>
      <c r="I502" s="201" t="n"/>
      <c r="J502" s="201" t="n"/>
      <c r="K502" s="201" t="n"/>
      <c r="L502" s="201" t="n"/>
      <c r="M502" s="201" t="n"/>
      <c r="N502" s="201" t="n"/>
      <c r="O502" s="201" t="n"/>
      <c r="P502" s="201" t="n"/>
      <c r="Q502" s="201" t="n"/>
      <c r="R502" s="201" t="n"/>
      <c r="S502" s="201" t="n"/>
      <c r="T502" s="201" t="n"/>
      <c r="U502" s="201" t="n"/>
      <c r="V502" s="201" t="n"/>
      <c r="W502" s="201" t="n"/>
      <c r="X502" s="201" t="n"/>
      <c r="Y502" s="201" t="n"/>
      <c r="Z502" s="201" t="n"/>
      <c r="AA502" s="201" t="n"/>
      <c r="AB502" s="201" t="n"/>
      <c r="AC502" s="201" t="n"/>
      <c r="AD502" s="201" t="n"/>
      <c r="AE502" s="201" t="n"/>
      <c r="AF502" s="201" t="n"/>
      <c r="AG502" s="201" t="n"/>
    </row>
    <row r="503" ht="12.75" customHeight="1" s="202">
      <c r="A503" s="201" t="n"/>
      <c r="B503" s="201" t="n"/>
      <c r="C503" s="201" t="n"/>
      <c r="D503" s="201" t="n"/>
      <c r="E503" s="201" t="n"/>
      <c r="F503" s="201" t="n"/>
      <c r="G503" s="201" t="n"/>
      <c r="H503" s="201" t="n"/>
      <c r="I503" s="201" t="n"/>
      <c r="J503" s="201" t="n"/>
      <c r="K503" s="201" t="n"/>
      <c r="L503" s="201" t="n"/>
      <c r="M503" s="201" t="n"/>
      <c r="N503" s="201" t="n"/>
      <c r="O503" s="201" t="n"/>
      <c r="P503" s="201" t="n"/>
      <c r="Q503" s="201" t="n"/>
      <c r="R503" s="201" t="n"/>
      <c r="S503" s="201" t="n"/>
      <c r="T503" s="201" t="n"/>
      <c r="U503" s="201" t="n"/>
      <c r="V503" s="201" t="n"/>
      <c r="W503" s="201" t="n"/>
      <c r="X503" s="201" t="n"/>
      <c r="Y503" s="201" t="n"/>
      <c r="Z503" s="201" t="n"/>
      <c r="AA503" s="201" t="n"/>
      <c r="AB503" s="201" t="n"/>
      <c r="AC503" s="201" t="n"/>
      <c r="AD503" s="201" t="n"/>
      <c r="AE503" s="201" t="n"/>
      <c r="AF503" s="201" t="n"/>
      <c r="AG503" s="201" t="n"/>
    </row>
    <row r="504" ht="12.75" customHeight="1" s="202">
      <c r="A504" s="201" t="n"/>
      <c r="B504" s="201" t="n"/>
      <c r="C504" s="201" t="n"/>
      <c r="D504" s="201" t="n"/>
      <c r="E504" s="201" t="n"/>
      <c r="F504" s="201" t="n"/>
      <c r="G504" s="201" t="n"/>
      <c r="H504" s="201" t="n"/>
      <c r="I504" s="201" t="n"/>
      <c r="J504" s="201" t="n"/>
      <c r="K504" s="201" t="n"/>
      <c r="L504" s="201" t="n"/>
      <c r="M504" s="201" t="n"/>
      <c r="N504" s="201" t="n"/>
      <c r="O504" s="201" t="n"/>
      <c r="P504" s="201" t="n"/>
      <c r="Q504" s="201" t="n"/>
      <c r="R504" s="201" t="n"/>
      <c r="S504" s="201" t="n"/>
      <c r="T504" s="201" t="n"/>
      <c r="U504" s="201" t="n"/>
      <c r="V504" s="201" t="n"/>
      <c r="W504" s="201" t="n"/>
      <c r="X504" s="201" t="n"/>
      <c r="Y504" s="201" t="n"/>
      <c r="Z504" s="201" t="n"/>
      <c r="AA504" s="201" t="n"/>
      <c r="AB504" s="201" t="n"/>
      <c r="AC504" s="201" t="n"/>
      <c r="AD504" s="201" t="n"/>
      <c r="AE504" s="201" t="n"/>
      <c r="AF504" s="201" t="n"/>
      <c r="AG504" s="201" t="n"/>
    </row>
    <row r="505" ht="12.75" customHeight="1" s="202">
      <c r="A505" s="201" t="n"/>
      <c r="B505" s="201" t="n"/>
      <c r="C505" s="201" t="n"/>
      <c r="D505" s="201" t="n"/>
      <c r="E505" s="201" t="n"/>
      <c r="F505" s="201" t="n"/>
      <c r="G505" s="201" t="n"/>
      <c r="H505" s="201" t="n"/>
      <c r="I505" s="201" t="n"/>
      <c r="J505" s="201" t="n"/>
      <c r="K505" s="201" t="n"/>
      <c r="L505" s="201" t="n"/>
      <c r="M505" s="201" t="n"/>
      <c r="N505" s="201" t="n"/>
      <c r="O505" s="201" t="n"/>
      <c r="P505" s="201" t="n"/>
      <c r="Q505" s="201" t="n"/>
      <c r="R505" s="201" t="n"/>
      <c r="S505" s="201" t="n"/>
      <c r="T505" s="201" t="n"/>
      <c r="U505" s="201" t="n"/>
      <c r="V505" s="201" t="n"/>
      <c r="W505" s="201" t="n"/>
      <c r="X505" s="201" t="n"/>
      <c r="Y505" s="201" t="n"/>
      <c r="Z505" s="201" t="n"/>
      <c r="AA505" s="201" t="n"/>
      <c r="AB505" s="201" t="n"/>
      <c r="AC505" s="201" t="n"/>
      <c r="AD505" s="201" t="n"/>
      <c r="AE505" s="201" t="n"/>
      <c r="AF505" s="201" t="n"/>
      <c r="AG505" s="201" t="n"/>
    </row>
    <row r="506" ht="12.75" customHeight="1" s="202">
      <c r="A506" s="201" t="n"/>
      <c r="B506" s="201" t="n"/>
      <c r="C506" s="201" t="n"/>
      <c r="D506" s="201" t="n"/>
      <c r="E506" s="201" t="n"/>
      <c r="F506" s="201" t="n"/>
      <c r="G506" s="201" t="n"/>
      <c r="H506" s="201" t="n"/>
      <c r="I506" s="201" t="n"/>
      <c r="J506" s="201" t="n"/>
      <c r="K506" s="201" t="n"/>
      <c r="L506" s="201" t="n"/>
      <c r="M506" s="201" t="n"/>
      <c r="N506" s="201" t="n"/>
      <c r="O506" s="201" t="n"/>
      <c r="P506" s="201" t="n"/>
      <c r="Q506" s="201" t="n"/>
      <c r="R506" s="201" t="n"/>
      <c r="S506" s="201" t="n"/>
      <c r="T506" s="201" t="n"/>
      <c r="U506" s="201" t="n"/>
      <c r="V506" s="201" t="n"/>
      <c r="W506" s="201" t="n"/>
      <c r="X506" s="201" t="n"/>
      <c r="Y506" s="201" t="n"/>
      <c r="Z506" s="201" t="n"/>
      <c r="AA506" s="201" t="n"/>
      <c r="AB506" s="201" t="n"/>
      <c r="AC506" s="201" t="n"/>
      <c r="AD506" s="201" t="n"/>
      <c r="AE506" s="201" t="n"/>
      <c r="AF506" s="201" t="n"/>
      <c r="AG506" s="201" t="n"/>
    </row>
    <row r="507" ht="12.75" customHeight="1" s="202">
      <c r="A507" s="201" t="n"/>
      <c r="B507" s="201" t="n"/>
      <c r="C507" s="201" t="n"/>
      <c r="D507" s="201" t="n"/>
      <c r="E507" s="201" t="n"/>
      <c r="F507" s="201" t="n"/>
      <c r="G507" s="201" t="n"/>
      <c r="H507" s="201" t="n"/>
      <c r="I507" s="201" t="n"/>
      <c r="J507" s="201" t="n"/>
      <c r="K507" s="201" t="n"/>
      <c r="L507" s="201" t="n"/>
      <c r="M507" s="201" t="n"/>
      <c r="N507" s="201" t="n"/>
      <c r="O507" s="201" t="n"/>
      <c r="P507" s="201" t="n"/>
      <c r="Q507" s="201" t="n"/>
      <c r="R507" s="201" t="n"/>
      <c r="S507" s="201" t="n"/>
      <c r="T507" s="201" t="n"/>
      <c r="U507" s="201" t="n"/>
      <c r="V507" s="201" t="n"/>
      <c r="W507" s="201" t="n"/>
      <c r="X507" s="201" t="n"/>
      <c r="Y507" s="201" t="n"/>
      <c r="Z507" s="201" t="n"/>
      <c r="AA507" s="201" t="n"/>
      <c r="AB507" s="201" t="n"/>
      <c r="AC507" s="201" t="n"/>
      <c r="AD507" s="201" t="n"/>
      <c r="AE507" s="201" t="n"/>
      <c r="AF507" s="201" t="n"/>
      <c r="AG507" s="201" t="n"/>
    </row>
    <row r="508" ht="12.75" customHeight="1" s="202">
      <c r="A508" s="201" t="n"/>
      <c r="B508" s="201" t="n"/>
      <c r="C508" s="201" t="n"/>
      <c r="D508" s="201" t="n"/>
      <c r="E508" s="201" t="n"/>
      <c r="F508" s="201" t="n"/>
      <c r="G508" s="201" t="n"/>
      <c r="H508" s="201" t="n"/>
      <c r="I508" s="201" t="n"/>
      <c r="J508" s="201" t="n"/>
      <c r="K508" s="201" t="n"/>
      <c r="L508" s="201" t="n"/>
      <c r="M508" s="201" t="n"/>
      <c r="N508" s="201" t="n"/>
      <c r="O508" s="201" t="n"/>
      <c r="P508" s="201" t="n"/>
      <c r="Q508" s="201" t="n"/>
      <c r="R508" s="201" t="n"/>
      <c r="S508" s="201" t="n"/>
      <c r="T508" s="201" t="n"/>
      <c r="U508" s="201" t="n"/>
      <c r="V508" s="201" t="n"/>
      <c r="W508" s="201" t="n"/>
      <c r="X508" s="201" t="n"/>
      <c r="Y508" s="201" t="n"/>
      <c r="Z508" s="201" t="n"/>
      <c r="AA508" s="201" t="n"/>
      <c r="AB508" s="201" t="n"/>
      <c r="AC508" s="201" t="n"/>
      <c r="AD508" s="201" t="n"/>
      <c r="AE508" s="201" t="n"/>
      <c r="AF508" s="201" t="n"/>
      <c r="AG508" s="201" t="n"/>
    </row>
    <row r="509" ht="12.75" customHeight="1" s="202">
      <c r="A509" s="201" t="n"/>
      <c r="B509" s="201" t="n"/>
      <c r="C509" s="201" t="n"/>
      <c r="D509" s="201" t="n"/>
      <c r="E509" s="201" t="n"/>
      <c r="F509" s="201" t="n"/>
      <c r="G509" s="201" t="n"/>
      <c r="H509" s="201" t="n"/>
      <c r="I509" s="201" t="n"/>
      <c r="J509" s="201" t="n"/>
      <c r="K509" s="201" t="n"/>
      <c r="L509" s="201" t="n"/>
      <c r="M509" s="201" t="n"/>
      <c r="N509" s="201" t="n"/>
      <c r="O509" s="201" t="n"/>
      <c r="P509" s="201" t="n"/>
      <c r="Q509" s="201" t="n"/>
      <c r="R509" s="201" t="n"/>
      <c r="S509" s="201" t="n"/>
      <c r="T509" s="201" t="n"/>
      <c r="U509" s="201" t="n"/>
      <c r="V509" s="201" t="n"/>
      <c r="W509" s="201" t="n"/>
      <c r="X509" s="201" t="n"/>
      <c r="Y509" s="201" t="n"/>
      <c r="Z509" s="201" t="n"/>
      <c r="AA509" s="201" t="n"/>
      <c r="AB509" s="201" t="n"/>
      <c r="AC509" s="201" t="n"/>
      <c r="AD509" s="201" t="n"/>
      <c r="AE509" s="201" t="n"/>
      <c r="AF509" s="201" t="n"/>
      <c r="AG509" s="201" t="n"/>
    </row>
    <row r="510" ht="12.75" customHeight="1" s="202">
      <c r="A510" s="201" t="n"/>
      <c r="B510" s="201" t="n"/>
      <c r="C510" s="201" t="n"/>
      <c r="D510" s="201" t="n"/>
      <c r="E510" s="201" t="n"/>
      <c r="F510" s="201" t="n"/>
      <c r="G510" s="201" t="n"/>
      <c r="H510" s="201" t="n"/>
      <c r="I510" s="201" t="n"/>
      <c r="J510" s="201" t="n"/>
      <c r="K510" s="201" t="n"/>
      <c r="L510" s="201" t="n"/>
      <c r="M510" s="201" t="n"/>
      <c r="N510" s="201" t="n"/>
      <c r="O510" s="201" t="n"/>
      <c r="P510" s="201" t="n"/>
      <c r="Q510" s="201" t="n"/>
      <c r="R510" s="201" t="n"/>
      <c r="S510" s="201" t="n"/>
      <c r="T510" s="201" t="n"/>
      <c r="U510" s="201" t="n"/>
      <c r="V510" s="201" t="n"/>
      <c r="W510" s="201" t="n"/>
      <c r="X510" s="201" t="n"/>
      <c r="Y510" s="201" t="n"/>
      <c r="Z510" s="201" t="n"/>
      <c r="AA510" s="201" t="n"/>
      <c r="AB510" s="201" t="n"/>
      <c r="AC510" s="201" t="n"/>
      <c r="AD510" s="201" t="n"/>
      <c r="AE510" s="201" t="n"/>
      <c r="AF510" s="201" t="n"/>
      <c r="AG510" s="201" t="n"/>
    </row>
    <row r="511" ht="12.75" customHeight="1" s="202">
      <c r="A511" s="201" t="n"/>
      <c r="B511" s="201" t="n"/>
      <c r="C511" s="201" t="n"/>
      <c r="D511" s="201" t="n"/>
      <c r="E511" s="201" t="n"/>
      <c r="F511" s="201" t="n"/>
      <c r="G511" s="201" t="n"/>
      <c r="H511" s="201" t="n"/>
      <c r="I511" s="201" t="n"/>
      <c r="J511" s="201" t="n"/>
      <c r="K511" s="201" t="n"/>
      <c r="L511" s="201" t="n"/>
      <c r="M511" s="201" t="n"/>
      <c r="N511" s="201" t="n"/>
      <c r="O511" s="201" t="n"/>
      <c r="P511" s="201" t="n"/>
      <c r="Q511" s="201" t="n"/>
      <c r="R511" s="201" t="n"/>
      <c r="S511" s="201" t="n"/>
      <c r="T511" s="201" t="n"/>
      <c r="U511" s="201" t="n"/>
      <c r="V511" s="201" t="n"/>
      <c r="W511" s="201" t="n"/>
      <c r="X511" s="201" t="n"/>
      <c r="Y511" s="201" t="n"/>
      <c r="Z511" s="201" t="n"/>
      <c r="AA511" s="201" t="n"/>
      <c r="AB511" s="201" t="n"/>
      <c r="AC511" s="201" t="n"/>
      <c r="AD511" s="201" t="n"/>
      <c r="AE511" s="201" t="n"/>
      <c r="AF511" s="201" t="n"/>
      <c r="AG511" s="201" t="n"/>
    </row>
    <row r="512" ht="12.75" customHeight="1" s="202">
      <c r="A512" s="201" t="n"/>
      <c r="B512" s="201" t="n"/>
      <c r="C512" s="201" t="n"/>
      <c r="D512" s="201" t="n"/>
      <c r="E512" s="201" t="n"/>
      <c r="F512" s="201" t="n"/>
      <c r="G512" s="201" t="n"/>
      <c r="H512" s="201" t="n"/>
      <c r="I512" s="201" t="n"/>
      <c r="J512" s="201" t="n"/>
      <c r="K512" s="201" t="n"/>
      <c r="L512" s="201" t="n"/>
      <c r="M512" s="201" t="n"/>
      <c r="N512" s="201" t="n"/>
      <c r="O512" s="201" t="n"/>
      <c r="P512" s="201" t="n"/>
      <c r="Q512" s="201" t="n"/>
      <c r="R512" s="201" t="n"/>
      <c r="S512" s="201" t="n"/>
      <c r="T512" s="201" t="n"/>
      <c r="U512" s="201" t="n"/>
      <c r="V512" s="201" t="n"/>
      <c r="W512" s="201" t="n"/>
      <c r="X512" s="201" t="n"/>
      <c r="Y512" s="201" t="n"/>
      <c r="Z512" s="201" t="n"/>
      <c r="AA512" s="201" t="n"/>
      <c r="AB512" s="201" t="n"/>
      <c r="AC512" s="201" t="n"/>
      <c r="AD512" s="201" t="n"/>
      <c r="AE512" s="201" t="n"/>
      <c r="AF512" s="201" t="n"/>
      <c r="AG512" s="201" t="n"/>
    </row>
    <row r="513" ht="12.75" customHeight="1" s="202">
      <c r="A513" s="201" t="n"/>
      <c r="B513" s="201" t="n"/>
      <c r="C513" s="201" t="n"/>
      <c r="D513" s="201" t="n"/>
      <c r="E513" s="201" t="n"/>
      <c r="F513" s="201" t="n"/>
      <c r="G513" s="201" t="n"/>
      <c r="H513" s="201" t="n"/>
      <c r="I513" s="201" t="n"/>
      <c r="J513" s="201" t="n"/>
      <c r="K513" s="201" t="n"/>
      <c r="L513" s="201" t="n"/>
      <c r="M513" s="201" t="n"/>
      <c r="N513" s="201" t="n"/>
      <c r="O513" s="201" t="n"/>
      <c r="P513" s="201" t="n"/>
      <c r="Q513" s="201" t="n"/>
      <c r="R513" s="201" t="n"/>
      <c r="S513" s="201" t="n"/>
      <c r="T513" s="201" t="n"/>
      <c r="U513" s="201" t="n"/>
      <c r="V513" s="201" t="n"/>
      <c r="W513" s="201" t="n"/>
      <c r="X513" s="201" t="n"/>
      <c r="Y513" s="201" t="n"/>
      <c r="Z513" s="201" t="n"/>
      <c r="AA513" s="201" t="n"/>
      <c r="AB513" s="201" t="n"/>
      <c r="AC513" s="201" t="n"/>
      <c r="AD513" s="201" t="n"/>
      <c r="AE513" s="201" t="n"/>
      <c r="AF513" s="201" t="n"/>
      <c r="AG513" s="201" t="n"/>
    </row>
    <row r="514" ht="12.75" customHeight="1" s="202">
      <c r="A514" s="201" t="n"/>
      <c r="B514" s="201" t="n"/>
      <c r="C514" s="201" t="n"/>
      <c r="D514" s="201" t="n"/>
      <c r="E514" s="201" t="n"/>
      <c r="F514" s="201" t="n"/>
      <c r="G514" s="201" t="n"/>
      <c r="H514" s="201" t="n"/>
      <c r="I514" s="201" t="n"/>
      <c r="J514" s="201" t="n"/>
      <c r="K514" s="201" t="n"/>
      <c r="L514" s="201" t="n"/>
      <c r="M514" s="201" t="n"/>
      <c r="N514" s="201" t="n"/>
      <c r="O514" s="201" t="n"/>
      <c r="P514" s="201" t="n"/>
      <c r="Q514" s="201" t="n"/>
      <c r="R514" s="201" t="n"/>
      <c r="S514" s="201" t="n"/>
      <c r="T514" s="201" t="n"/>
      <c r="U514" s="201" t="n"/>
      <c r="V514" s="201" t="n"/>
      <c r="W514" s="201" t="n"/>
      <c r="X514" s="201" t="n"/>
      <c r="Y514" s="201" t="n"/>
      <c r="Z514" s="201" t="n"/>
      <c r="AA514" s="201" t="n"/>
      <c r="AB514" s="201" t="n"/>
      <c r="AC514" s="201" t="n"/>
      <c r="AD514" s="201" t="n"/>
      <c r="AE514" s="201" t="n"/>
      <c r="AF514" s="201" t="n"/>
      <c r="AG514" s="201" t="n"/>
    </row>
    <row r="515" ht="12.75" customHeight="1" s="202">
      <c r="A515" s="201" t="n"/>
      <c r="B515" s="201" t="n"/>
      <c r="C515" s="201" t="n"/>
      <c r="D515" s="201" t="n"/>
      <c r="E515" s="201" t="n"/>
      <c r="F515" s="201" t="n"/>
      <c r="G515" s="201" t="n"/>
      <c r="H515" s="201" t="n"/>
      <c r="I515" s="201" t="n"/>
      <c r="J515" s="201" t="n"/>
      <c r="K515" s="201" t="n"/>
      <c r="L515" s="201" t="n"/>
      <c r="M515" s="201" t="n"/>
      <c r="N515" s="201" t="n"/>
      <c r="O515" s="201" t="n"/>
      <c r="P515" s="201" t="n"/>
      <c r="Q515" s="201" t="n"/>
      <c r="R515" s="201" t="n"/>
      <c r="S515" s="201" t="n"/>
      <c r="T515" s="201" t="n"/>
      <c r="U515" s="201" t="n"/>
      <c r="V515" s="201" t="n"/>
      <c r="W515" s="201" t="n"/>
      <c r="X515" s="201" t="n"/>
      <c r="Y515" s="201" t="n"/>
      <c r="Z515" s="201" t="n"/>
      <c r="AA515" s="201" t="n"/>
      <c r="AB515" s="201" t="n"/>
      <c r="AC515" s="201" t="n"/>
      <c r="AD515" s="201" t="n"/>
      <c r="AE515" s="201" t="n"/>
      <c r="AF515" s="201" t="n"/>
      <c r="AG515" s="201" t="n"/>
    </row>
    <row r="516" ht="12.75" customHeight="1" s="202">
      <c r="A516" s="201" t="n"/>
      <c r="B516" s="201" t="n"/>
      <c r="C516" s="201" t="n"/>
      <c r="D516" s="201" t="n"/>
      <c r="E516" s="201" t="n"/>
      <c r="F516" s="201" t="n"/>
      <c r="G516" s="201" t="n"/>
      <c r="H516" s="201" t="n"/>
      <c r="I516" s="201" t="n"/>
      <c r="J516" s="201" t="n"/>
      <c r="K516" s="201" t="n"/>
      <c r="L516" s="201" t="n"/>
      <c r="M516" s="201" t="n"/>
      <c r="N516" s="201" t="n"/>
      <c r="O516" s="201" t="n"/>
      <c r="P516" s="201" t="n"/>
      <c r="Q516" s="201" t="n"/>
      <c r="R516" s="201" t="n"/>
      <c r="S516" s="201" t="n"/>
      <c r="T516" s="201" t="n"/>
      <c r="U516" s="201" t="n"/>
      <c r="V516" s="201" t="n"/>
      <c r="W516" s="201" t="n"/>
      <c r="X516" s="201" t="n"/>
      <c r="Y516" s="201" t="n"/>
      <c r="Z516" s="201" t="n"/>
      <c r="AA516" s="201" t="n"/>
      <c r="AB516" s="201" t="n"/>
      <c r="AC516" s="201" t="n"/>
      <c r="AD516" s="201" t="n"/>
      <c r="AE516" s="201" t="n"/>
      <c r="AF516" s="201" t="n"/>
      <c r="AG516" s="201" t="n"/>
    </row>
    <row r="517" ht="12.75" customHeight="1" s="202">
      <c r="A517" s="201" t="n"/>
      <c r="B517" s="201" t="n"/>
      <c r="C517" s="201" t="n"/>
      <c r="D517" s="201" t="n"/>
      <c r="E517" s="201" t="n"/>
      <c r="F517" s="201" t="n"/>
      <c r="G517" s="201" t="n"/>
      <c r="H517" s="201" t="n"/>
      <c r="I517" s="201" t="n"/>
      <c r="J517" s="201" t="n"/>
      <c r="K517" s="201" t="n"/>
      <c r="L517" s="201" t="n"/>
      <c r="M517" s="201" t="n"/>
      <c r="N517" s="201" t="n"/>
      <c r="O517" s="201" t="n"/>
      <c r="P517" s="201" t="n"/>
      <c r="Q517" s="201" t="n"/>
      <c r="R517" s="201" t="n"/>
      <c r="S517" s="201" t="n"/>
      <c r="T517" s="201" t="n"/>
      <c r="U517" s="201" t="n"/>
      <c r="V517" s="201" t="n"/>
      <c r="W517" s="201" t="n"/>
      <c r="X517" s="201" t="n"/>
      <c r="Y517" s="201" t="n"/>
      <c r="Z517" s="201" t="n"/>
      <c r="AA517" s="201" t="n"/>
      <c r="AB517" s="201" t="n"/>
      <c r="AC517" s="201" t="n"/>
      <c r="AD517" s="201" t="n"/>
      <c r="AE517" s="201" t="n"/>
      <c r="AF517" s="201" t="n"/>
      <c r="AG517" s="201" t="n"/>
    </row>
    <row r="518" ht="12.75" customHeight="1" s="202">
      <c r="A518" s="201" t="n"/>
      <c r="B518" s="201" t="n"/>
      <c r="C518" s="201" t="n"/>
      <c r="D518" s="201" t="n"/>
      <c r="E518" s="201" t="n"/>
      <c r="F518" s="201" t="n"/>
      <c r="G518" s="201" t="n"/>
      <c r="H518" s="201" t="n"/>
      <c r="I518" s="201" t="n"/>
      <c r="J518" s="201" t="n"/>
      <c r="K518" s="201" t="n"/>
      <c r="L518" s="201" t="n"/>
      <c r="M518" s="201" t="n"/>
      <c r="N518" s="201" t="n"/>
      <c r="O518" s="201" t="n"/>
      <c r="P518" s="201" t="n"/>
      <c r="Q518" s="201" t="n"/>
      <c r="R518" s="201" t="n"/>
      <c r="S518" s="201" t="n"/>
      <c r="T518" s="201" t="n"/>
      <c r="U518" s="201" t="n"/>
      <c r="V518" s="201" t="n"/>
      <c r="W518" s="201" t="n"/>
      <c r="X518" s="201" t="n"/>
      <c r="Y518" s="201" t="n"/>
      <c r="Z518" s="201" t="n"/>
      <c r="AA518" s="201" t="n"/>
      <c r="AB518" s="201" t="n"/>
      <c r="AC518" s="201" t="n"/>
      <c r="AD518" s="201" t="n"/>
      <c r="AE518" s="201" t="n"/>
      <c r="AF518" s="201" t="n"/>
      <c r="AG518" s="201" t="n"/>
    </row>
    <row r="519" ht="12.75" customHeight="1" s="202">
      <c r="A519" s="201" t="n"/>
      <c r="B519" s="201" t="n"/>
      <c r="C519" s="201" t="n"/>
      <c r="D519" s="201" t="n"/>
      <c r="E519" s="201" t="n"/>
      <c r="F519" s="201" t="n"/>
      <c r="G519" s="201" t="n"/>
      <c r="H519" s="201" t="n"/>
      <c r="I519" s="201" t="n"/>
      <c r="J519" s="201" t="n"/>
      <c r="K519" s="201" t="n"/>
      <c r="L519" s="201" t="n"/>
      <c r="M519" s="201" t="n"/>
      <c r="N519" s="201" t="n"/>
      <c r="O519" s="201" t="n"/>
      <c r="P519" s="201" t="n"/>
      <c r="Q519" s="201" t="n"/>
      <c r="R519" s="201" t="n"/>
      <c r="S519" s="201" t="n"/>
      <c r="T519" s="201" t="n"/>
      <c r="U519" s="201" t="n"/>
      <c r="V519" s="201" t="n"/>
      <c r="W519" s="201" t="n"/>
      <c r="X519" s="201" t="n"/>
      <c r="Y519" s="201" t="n"/>
      <c r="Z519" s="201" t="n"/>
      <c r="AA519" s="201" t="n"/>
      <c r="AB519" s="201" t="n"/>
      <c r="AC519" s="201" t="n"/>
      <c r="AD519" s="201" t="n"/>
      <c r="AE519" s="201" t="n"/>
      <c r="AF519" s="201" t="n"/>
      <c r="AG519" s="201" t="n"/>
    </row>
    <row r="520" ht="12.75" customHeight="1" s="202">
      <c r="A520" s="201" t="n"/>
      <c r="B520" s="201" t="n"/>
      <c r="C520" s="201" t="n"/>
      <c r="D520" s="201" t="n"/>
      <c r="E520" s="201" t="n"/>
      <c r="F520" s="201" t="n"/>
      <c r="G520" s="201" t="n"/>
      <c r="H520" s="201" t="n"/>
      <c r="I520" s="201" t="n"/>
      <c r="J520" s="201" t="n"/>
      <c r="K520" s="201" t="n"/>
      <c r="L520" s="201" t="n"/>
      <c r="M520" s="201" t="n"/>
      <c r="N520" s="201" t="n"/>
      <c r="O520" s="201" t="n"/>
      <c r="P520" s="201" t="n"/>
      <c r="Q520" s="201" t="n"/>
      <c r="R520" s="201" t="n"/>
      <c r="S520" s="201" t="n"/>
      <c r="T520" s="201" t="n"/>
      <c r="U520" s="201" t="n"/>
      <c r="V520" s="201" t="n"/>
      <c r="W520" s="201" t="n"/>
      <c r="X520" s="201" t="n"/>
      <c r="Y520" s="201" t="n"/>
      <c r="Z520" s="201" t="n"/>
      <c r="AA520" s="201" t="n"/>
      <c r="AB520" s="201" t="n"/>
      <c r="AC520" s="201" t="n"/>
      <c r="AD520" s="201" t="n"/>
      <c r="AE520" s="201" t="n"/>
      <c r="AF520" s="201" t="n"/>
      <c r="AG520" s="201" t="n"/>
    </row>
    <row r="521" ht="12.75" customHeight="1" s="202">
      <c r="A521" s="201" t="n"/>
      <c r="B521" s="201" t="n"/>
      <c r="C521" s="201" t="n"/>
      <c r="D521" s="201" t="n"/>
      <c r="E521" s="201" t="n"/>
      <c r="F521" s="201" t="n"/>
      <c r="G521" s="201" t="n"/>
      <c r="H521" s="201" t="n"/>
      <c r="I521" s="201" t="n"/>
      <c r="J521" s="201" t="n"/>
      <c r="K521" s="201" t="n"/>
      <c r="L521" s="201" t="n"/>
      <c r="M521" s="201" t="n"/>
      <c r="N521" s="201" t="n"/>
      <c r="O521" s="201" t="n"/>
      <c r="P521" s="201" t="n"/>
      <c r="Q521" s="201" t="n"/>
      <c r="R521" s="201" t="n"/>
      <c r="S521" s="201" t="n"/>
      <c r="T521" s="201" t="n"/>
      <c r="U521" s="201" t="n"/>
      <c r="V521" s="201" t="n"/>
      <c r="W521" s="201" t="n"/>
      <c r="X521" s="201" t="n"/>
      <c r="Y521" s="201" t="n"/>
      <c r="Z521" s="201" t="n"/>
      <c r="AA521" s="201" t="n"/>
      <c r="AB521" s="201" t="n"/>
      <c r="AC521" s="201" t="n"/>
      <c r="AD521" s="201" t="n"/>
      <c r="AE521" s="201" t="n"/>
      <c r="AF521" s="201" t="n"/>
      <c r="AG521" s="201" t="n"/>
    </row>
    <row r="522" ht="12.75" customHeight="1" s="202">
      <c r="A522" s="201" t="n"/>
      <c r="B522" s="201" t="n"/>
      <c r="C522" s="201" t="n"/>
      <c r="D522" s="201" t="n"/>
      <c r="E522" s="201" t="n"/>
      <c r="F522" s="201" t="n"/>
      <c r="G522" s="201" t="n"/>
      <c r="H522" s="201" t="n"/>
      <c r="I522" s="201" t="n"/>
      <c r="J522" s="201" t="n"/>
      <c r="K522" s="201" t="n"/>
      <c r="L522" s="201" t="n"/>
      <c r="M522" s="201" t="n"/>
      <c r="N522" s="201" t="n"/>
      <c r="O522" s="201" t="n"/>
      <c r="P522" s="201" t="n"/>
      <c r="Q522" s="201" t="n"/>
      <c r="R522" s="201" t="n"/>
      <c r="S522" s="201" t="n"/>
      <c r="T522" s="201" t="n"/>
      <c r="U522" s="201" t="n"/>
      <c r="V522" s="201" t="n"/>
      <c r="W522" s="201" t="n"/>
      <c r="X522" s="201" t="n"/>
      <c r="Y522" s="201" t="n"/>
      <c r="Z522" s="201" t="n"/>
      <c r="AA522" s="201" t="n"/>
      <c r="AB522" s="201" t="n"/>
      <c r="AC522" s="201" t="n"/>
      <c r="AD522" s="201" t="n"/>
      <c r="AE522" s="201" t="n"/>
      <c r="AF522" s="201" t="n"/>
      <c r="AG522" s="201" t="n"/>
    </row>
    <row r="523" ht="12.75" customHeight="1" s="202">
      <c r="A523" s="201" t="n"/>
      <c r="B523" s="201" t="n"/>
      <c r="C523" s="201" t="n"/>
      <c r="D523" s="201" t="n"/>
      <c r="E523" s="201" t="n"/>
      <c r="F523" s="201" t="n"/>
      <c r="G523" s="201" t="n"/>
      <c r="H523" s="201" t="n"/>
      <c r="I523" s="201" t="n"/>
      <c r="J523" s="201" t="n"/>
      <c r="K523" s="201" t="n"/>
      <c r="L523" s="201" t="n"/>
      <c r="M523" s="201" t="n"/>
      <c r="N523" s="201" t="n"/>
      <c r="O523" s="201" t="n"/>
      <c r="P523" s="201" t="n"/>
      <c r="Q523" s="201" t="n"/>
      <c r="R523" s="201" t="n"/>
      <c r="S523" s="201" t="n"/>
      <c r="T523" s="201" t="n"/>
      <c r="U523" s="201" t="n"/>
      <c r="V523" s="201" t="n"/>
      <c r="W523" s="201" t="n"/>
      <c r="X523" s="201" t="n"/>
      <c r="Y523" s="201" t="n"/>
      <c r="Z523" s="201" t="n"/>
      <c r="AA523" s="201" t="n"/>
      <c r="AB523" s="201" t="n"/>
      <c r="AC523" s="201" t="n"/>
      <c r="AD523" s="201" t="n"/>
      <c r="AE523" s="201" t="n"/>
      <c r="AF523" s="201" t="n"/>
      <c r="AG523" s="201" t="n"/>
    </row>
    <row r="524" ht="12.75" customHeight="1" s="202">
      <c r="A524" s="201" t="n"/>
      <c r="B524" s="201" t="n"/>
      <c r="C524" s="201" t="n"/>
      <c r="D524" s="201" t="n"/>
      <c r="E524" s="201" t="n"/>
      <c r="F524" s="201" t="n"/>
      <c r="G524" s="201" t="n"/>
      <c r="H524" s="201" t="n"/>
      <c r="I524" s="201" t="n"/>
      <c r="J524" s="201" t="n"/>
      <c r="K524" s="201" t="n"/>
      <c r="L524" s="201" t="n"/>
      <c r="M524" s="201" t="n"/>
      <c r="N524" s="201" t="n"/>
      <c r="O524" s="201" t="n"/>
      <c r="P524" s="201" t="n"/>
      <c r="Q524" s="201" t="n"/>
      <c r="R524" s="201" t="n"/>
      <c r="S524" s="201" t="n"/>
      <c r="T524" s="201" t="n"/>
      <c r="U524" s="201" t="n"/>
      <c r="V524" s="201" t="n"/>
      <c r="W524" s="201" t="n"/>
      <c r="X524" s="201" t="n"/>
      <c r="Y524" s="201" t="n"/>
      <c r="Z524" s="201" t="n"/>
      <c r="AA524" s="201" t="n"/>
      <c r="AB524" s="201" t="n"/>
      <c r="AC524" s="201" t="n"/>
      <c r="AD524" s="201" t="n"/>
      <c r="AE524" s="201" t="n"/>
      <c r="AF524" s="201" t="n"/>
      <c r="AG524" s="201" t="n"/>
    </row>
    <row r="525" ht="12.75" customHeight="1" s="202">
      <c r="A525" s="201" t="n"/>
      <c r="B525" s="201" t="n"/>
      <c r="C525" s="201" t="n"/>
      <c r="D525" s="201" t="n"/>
      <c r="E525" s="201" t="n"/>
      <c r="F525" s="201" t="n"/>
      <c r="G525" s="201" t="n"/>
      <c r="H525" s="201" t="n"/>
      <c r="I525" s="201" t="n"/>
      <c r="J525" s="201" t="n"/>
      <c r="K525" s="201" t="n"/>
      <c r="L525" s="201" t="n"/>
      <c r="M525" s="201" t="n"/>
      <c r="N525" s="201" t="n"/>
      <c r="O525" s="201" t="n"/>
      <c r="P525" s="201" t="n"/>
      <c r="Q525" s="201" t="n"/>
      <c r="R525" s="201" t="n"/>
      <c r="S525" s="201" t="n"/>
      <c r="T525" s="201" t="n"/>
      <c r="U525" s="201" t="n"/>
      <c r="V525" s="201" t="n"/>
      <c r="W525" s="201" t="n"/>
      <c r="X525" s="201" t="n"/>
      <c r="Y525" s="201" t="n"/>
      <c r="Z525" s="201" t="n"/>
      <c r="AA525" s="201" t="n"/>
      <c r="AB525" s="201" t="n"/>
      <c r="AC525" s="201" t="n"/>
      <c r="AD525" s="201" t="n"/>
      <c r="AE525" s="201" t="n"/>
      <c r="AF525" s="201" t="n"/>
      <c r="AG525" s="201" t="n"/>
    </row>
    <row r="526" ht="12.75" customHeight="1" s="202">
      <c r="A526" s="201" t="n"/>
      <c r="B526" s="201" t="n"/>
      <c r="C526" s="201" t="n"/>
      <c r="D526" s="201" t="n"/>
      <c r="E526" s="201" t="n"/>
      <c r="F526" s="201" t="n"/>
      <c r="G526" s="201" t="n"/>
      <c r="H526" s="201" t="n"/>
      <c r="I526" s="201" t="n"/>
      <c r="J526" s="201" t="n"/>
      <c r="K526" s="201" t="n"/>
      <c r="L526" s="201" t="n"/>
      <c r="M526" s="201" t="n"/>
      <c r="N526" s="201" t="n"/>
      <c r="O526" s="201" t="n"/>
      <c r="P526" s="201" t="n"/>
      <c r="Q526" s="201" t="n"/>
      <c r="R526" s="201" t="n"/>
      <c r="S526" s="201" t="n"/>
      <c r="T526" s="201" t="n"/>
      <c r="U526" s="201" t="n"/>
      <c r="V526" s="201" t="n"/>
      <c r="W526" s="201" t="n"/>
      <c r="X526" s="201" t="n"/>
      <c r="Y526" s="201" t="n"/>
      <c r="Z526" s="201" t="n"/>
      <c r="AA526" s="201" t="n"/>
      <c r="AB526" s="201" t="n"/>
      <c r="AC526" s="201" t="n"/>
      <c r="AD526" s="201" t="n"/>
      <c r="AE526" s="201" t="n"/>
      <c r="AF526" s="201" t="n"/>
      <c r="AG526" s="201" t="n"/>
    </row>
    <row r="527" ht="12.75" customHeight="1" s="202">
      <c r="A527" s="201" t="n"/>
      <c r="B527" s="201" t="n"/>
      <c r="C527" s="201" t="n"/>
      <c r="D527" s="201" t="n"/>
      <c r="E527" s="201" t="n"/>
      <c r="F527" s="201" t="n"/>
      <c r="G527" s="201" t="n"/>
      <c r="H527" s="201" t="n"/>
      <c r="I527" s="201" t="n"/>
      <c r="J527" s="201" t="n"/>
      <c r="K527" s="201" t="n"/>
      <c r="L527" s="201" t="n"/>
      <c r="M527" s="201" t="n"/>
      <c r="N527" s="201" t="n"/>
      <c r="O527" s="201" t="n"/>
      <c r="P527" s="201" t="n"/>
      <c r="Q527" s="201" t="n"/>
      <c r="R527" s="201" t="n"/>
      <c r="S527" s="201" t="n"/>
      <c r="T527" s="201" t="n"/>
      <c r="U527" s="201" t="n"/>
      <c r="V527" s="201" t="n"/>
      <c r="W527" s="201" t="n"/>
      <c r="X527" s="201" t="n"/>
      <c r="Y527" s="201" t="n"/>
      <c r="Z527" s="201" t="n"/>
      <c r="AA527" s="201" t="n"/>
      <c r="AB527" s="201" t="n"/>
      <c r="AC527" s="201" t="n"/>
      <c r="AD527" s="201" t="n"/>
      <c r="AE527" s="201" t="n"/>
      <c r="AF527" s="201" t="n"/>
      <c r="AG527" s="201" t="n"/>
    </row>
    <row r="528" ht="12.75" customHeight="1" s="202">
      <c r="A528" s="201" t="n"/>
      <c r="B528" s="201" t="n"/>
      <c r="C528" s="201" t="n"/>
      <c r="D528" s="201" t="n"/>
      <c r="E528" s="201" t="n"/>
      <c r="F528" s="201" t="n"/>
      <c r="G528" s="201" t="n"/>
      <c r="H528" s="201" t="n"/>
      <c r="I528" s="201" t="n"/>
      <c r="J528" s="201" t="n"/>
      <c r="K528" s="201" t="n"/>
      <c r="L528" s="201" t="n"/>
      <c r="M528" s="201" t="n"/>
      <c r="N528" s="201" t="n"/>
      <c r="O528" s="201" t="n"/>
      <c r="P528" s="201" t="n"/>
      <c r="Q528" s="201" t="n"/>
      <c r="R528" s="201" t="n"/>
      <c r="S528" s="201" t="n"/>
      <c r="T528" s="201" t="n"/>
      <c r="U528" s="201" t="n"/>
      <c r="V528" s="201" t="n"/>
      <c r="W528" s="201" t="n"/>
      <c r="X528" s="201" t="n"/>
      <c r="Y528" s="201" t="n"/>
      <c r="Z528" s="201" t="n"/>
      <c r="AA528" s="201" t="n"/>
      <c r="AB528" s="201" t="n"/>
      <c r="AC528" s="201" t="n"/>
      <c r="AD528" s="201" t="n"/>
      <c r="AE528" s="201" t="n"/>
      <c r="AF528" s="201" t="n"/>
      <c r="AG528" s="201" t="n"/>
    </row>
    <row r="529" ht="12.75" customHeight="1" s="202">
      <c r="A529" s="201" t="n"/>
      <c r="B529" s="201" t="n"/>
      <c r="C529" s="201" t="n"/>
      <c r="D529" s="201" t="n"/>
      <c r="E529" s="201" t="n"/>
      <c r="F529" s="201" t="n"/>
      <c r="G529" s="201" t="n"/>
      <c r="H529" s="201" t="n"/>
      <c r="I529" s="201" t="n"/>
      <c r="J529" s="201" t="n"/>
      <c r="K529" s="201" t="n"/>
      <c r="L529" s="201" t="n"/>
      <c r="M529" s="201" t="n"/>
      <c r="N529" s="201" t="n"/>
      <c r="O529" s="201" t="n"/>
      <c r="P529" s="201" t="n"/>
      <c r="Q529" s="201" t="n"/>
      <c r="R529" s="201" t="n"/>
      <c r="S529" s="201" t="n"/>
      <c r="T529" s="201" t="n"/>
      <c r="U529" s="201" t="n"/>
      <c r="V529" s="201" t="n"/>
      <c r="W529" s="201" t="n"/>
      <c r="X529" s="201" t="n"/>
      <c r="Y529" s="201" t="n"/>
      <c r="Z529" s="201" t="n"/>
      <c r="AA529" s="201" t="n"/>
      <c r="AB529" s="201" t="n"/>
      <c r="AC529" s="201" t="n"/>
      <c r="AD529" s="201" t="n"/>
      <c r="AE529" s="201" t="n"/>
      <c r="AF529" s="201" t="n"/>
      <c r="AG529" s="201" t="n"/>
    </row>
    <row r="530" ht="12.75" customHeight="1" s="202">
      <c r="A530" s="201" t="n"/>
      <c r="B530" s="201" t="n"/>
      <c r="C530" s="201" t="n"/>
      <c r="D530" s="201" t="n"/>
      <c r="E530" s="201" t="n"/>
      <c r="F530" s="201" t="n"/>
      <c r="G530" s="201" t="n"/>
      <c r="H530" s="201" t="n"/>
      <c r="I530" s="201" t="n"/>
      <c r="J530" s="201" t="n"/>
      <c r="K530" s="201" t="n"/>
      <c r="L530" s="201" t="n"/>
      <c r="M530" s="201" t="n"/>
      <c r="N530" s="201" t="n"/>
      <c r="O530" s="201" t="n"/>
      <c r="P530" s="201" t="n"/>
      <c r="Q530" s="201" t="n"/>
      <c r="R530" s="201" t="n"/>
      <c r="S530" s="201" t="n"/>
      <c r="T530" s="201" t="n"/>
      <c r="U530" s="201" t="n"/>
      <c r="V530" s="201" t="n"/>
      <c r="W530" s="201" t="n"/>
      <c r="X530" s="201" t="n"/>
      <c r="Y530" s="201" t="n"/>
      <c r="Z530" s="201" t="n"/>
      <c r="AA530" s="201" t="n"/>
      <c r="AB530" s="201" t="n"/>
      <c r="AC530" s="201" t="n"/>
      <c r="AD530" s="201" t="n"/>
      <c r="AE530" s="201" t="n"/>
      <c r="AF530" s="201" t="n"/>
      <c r="AG530" s="201" t="n"/>
    </row>
    <row r="531" ht="12.75" customHeight="1" s="202">
      <c r="A531" s="201" t="n"/>
      <c r="B531" s="201" t="n"/>
      <c r="C531" s="201" t="n"/>
      <c r="D531" s="201" t="n"/>
      <c r="E531" s="201" t="n"/>
      <c r="F531" s="201" t="n"/>
      <c r="G531" s="201" t="n"/>
      <c r="H531" s="201" t="n"/>
      <c r="I531" s="201" t="n"/>
      <c r="J531" s="201" t="n"/>
      <c r="K531" s="201" t="n"/>
      <c r="L531" s="201" t="n"/>
      <c r="M531" s="201" t="n"/>
      <c r="N531" s="201" t="n"/>
      <c r="O531" s="201" t="n"/>
      <c r="P531" s="201" t="n"/>
      <c r="Q531" s="201" t="n"/>
      <c r="R531" s="201" t="n"/>
      <c r="S531" s="201" t="n"/>
      <c r="T531" s="201" t="n"/>
      <c r="U531" s="201" t="n"/>
      <c r="V531" s="201" t="n"/>
      <c r="W531" s="201" t="n"/>
      <c r="X531" s="201" t="n"/>
      <c r="Y531" s="201" t="n"/>
      <c r="Z531" s="201" t="n"/>
      <c r="AA531" s="201" t="n"/>
      <c r="AB531" s="201" t="n"/>
      <c r="AC531" s="201" t="n"/>
      <c r="AD531" s="201" t="n"/>
      <c r="AE531" s="201" t="n"/>
      <c r="AF531" s="201" t="n"/>
      <c r="AG531" s="201" t="n"/>
    </row>
    <row r="532" ht="12.75" customHeight="1" s="202">
      <c r="A532" s="201" t="n"/>
      <c r="B532" s="201" t="n"/>
      <c r="C532" s="201" t="n"/>
      <c r="D532" s="201" t="n"/>
      <c r="E532" s="201" t="n"/>
      <c r="F532" s="201" t="n"/>
      <c r="G532" s="201" t="n"/>
      <c r="H532" s="201" t="n"/>
      <c r="I532" s="201" t="n"/>
      <c r="J532" s="201" t="n"/>
      <c r="K532" s="201" t="n"/>
      <c r="L532" s="201" t="n"/>
      <c r="M532" s="201" t="n"/>
      <c r="N532" s="201" t="n"/>
      <c r="O532" s="201" t="n"/>
      <c r="P532" s="201" t="n"/>
      <c r="Q532" s="201" t="n"/>
      <c r="R532" s="201" t="n"/>
      <c r="S532" s="201" t="n"/>
      <c r="T532" s="201" t="n"/>
      <c r="U532" s="201" t="n"/>
      <c r="V532" s="201" t="n"/>
      <c r="W532" s="201" t="n"/>
      <c r="X532" s="201" t="n"/>
      <c r="Y532" s="201" t="n"/>
      <c r="Z532" s="201" t="n"/>
      <c r="AA532" s="201" t="n"/>
      <c r="AB532" s="201" t="n"/>
      <c r="AC532" s="201" t="n"/>
      <c r="AD532" s="201" t="n"/>
      <c r="AE532" s="201" t="n"/>
      <c r="AF532" s="201" t="n"/>
      <c r="AG532" s="201" t="n"/>
    </row>
    <row r="533" ht="12.75" customHeight="1" s="202">
      <c r="A533" s="201" t="n"/>
      <c r="B533" s="201" t="n"/>
      <c r="C533" s="201" t="n"/>
      <c r="D533" s="201" t="n"/>
      <c r="E533" s="201" t="n"/>
      <c r="F533" s="201" t="n"/>
      <c r="G533" s="201" t="n"/>
      <c r="H533" s="201" t="n"/>
      <c r="I533" s="201" t="n"/>
      <c r="J533" s="201" t="n"/>
      <c r="K533" s="201" t="n"/>
      <c r="L533" s="201" t="n"/>
      <c r="M533" s="201" t="n"/>
      <c r="N533" s="201" t="n"/>
      <c r="O533" s="201" t="n"/>
      <c r="P533" s="201" t="n"/>
      <c r="Q533" s="201" t="n"/>
      <c r="R533" s="201" t="n"/>
      <c r="S533" s="201" t="n"/>
      <c r="T533" s="201" t="n"/>
      <c r="U533" s="201" t="n"/>
      <c r="V533" s="201" t="n"/>
      <c r="W533" s="201" t="n"/>
      <c r="X533" s="201" t="n"/>
      <c r="Y533" s="201" t="n"/>
      <c r="Z533" s="201" t="n"/>
      <c r="AA533" s="201" t="n"/>
      <c r="AB533" s="201" t="n"/>
      <c r="AC533" s="201" t="n"/>
      <c r="AD533" s="201" t="n"/>
      <c r="AE533" s="201" t="n"/>
      <c r="AF533" s="201" t="n"/>
      <c r="AG533" s="201" t="n"/>
    </row>
    <row r="534" ht="12.75" customHeight="1" s="202">
      <c r="A534" s="201" t="n"/>
      <c r="B534" s="201" t="n"/>
      <c r="C534" s="201" t="n"/>
      <c r="D534" s="201" t="n"/>
      <c r="E534" s="201" t="n"/>
      <c r="F534" s="201" t="n"/>
      <c r="G534" s="201" t="n"/>
      <c r="H534" s="201" t="n"/>
      <c r="I534" s="201" t="n"/>
      <c r="J534" s="201" t="n"/>
      <c r="K534" s="201" t="n"/>
      <c r="L534" s="201" t="n"/>
      <c r="M534" s="201" t="n"/>
      <c r="N534" s="201" t="n"/>
      <c r="O534" s="201" t="n"/>
      <c r="P534" s="201" t="n"/>
      <c r="Q534" s="201" t="n"/>
      <c r="R534" s="201" t="n"/>
      <c r="S534" s="201" t="n"/>
      <c r="T534" s="201" t="n"/>
      <c r="U534" s="201" t="n"/>
      <c r="V534" s="201" t="n"/>
      <c r="W534" s="201" t="n"/>
      <c r="X534" s="201" t="n"/>
      <c r="Y534" s="201" t="n"/>
      <c r="Z534" s="201" t="n"/>
      <c r="AA534" s="201" t="n"/>
      <c r="AB534" s="201" t="n"/>
      <c r="AC534" s="201" t="n"/>
      <c r="AD534" s="201" t="n"/>
      <c r="AE534" s="201" t="n"/>
      <c r="AF534" s="201" t="n"/>
      <c r="AG534" s="201" t="n"/>
    </row>
    <row r="535" ht="12.75" customHeight="1" s="202">
      <c r="A535" s="201" t="n"/>
      <c r="B535" s="201" t="n"/>
      <c r="C535" s="201" t="n"/>
      <c r="D535" s="201" t="n"/>
      <c r="E535" s="201" t="n"/>
      <c r="F535" s="201" t="n"/>
      <c r="G535" s="201" t="n"/>
      <c r="H535" s="201" t="n"/>
      <c r="I535" s="201" t="n"/>
      <c r="J535" s="201" t="n"/>
      <c r="K535" s="201" t="n"/>
      <c r="L535" s="201" t="n"/>
      <c r="M535" s="201" t="n"/>
      <c r="N535" s="201" t="n"/>
      <c r="O535" s="201" t="n"/>
      <c r="P535" s="201" t="n"/>
      <c r="Q535" s="201" t="n"/>
      <c r="R535" s="201" t="n"/>
      <c r="S535" s="201" t="n"/>
      <c r="T535" s="201" t="n"/>
      <c r="U535" s="201" t="n"/>
      <c r="V535" s="201" t="n"/>
      <c r="W535" s="201" t="n"/>
      <c r="X535" s="201" t="n"/>
      <c r="Y535" s="201" t="n"/>
      <c r="Z535" s="201" t="n"/>
      <c r="AA535" s="201" t="n"/>
      <c r="AB535" s="201" t="n"/>
      <c r="AC535" s="201" t="n"/>
      <c r="AD535" s="201" t="n"/>
      <c r="AE535" s="201" t="n"/>
      <c r="AF535" s="201" t="n"/>
      <c r="AG535" s="201" t="n"/>
    </row>
    <row r="536" ht="12.75" customHeight="1" s="202">
      <c r="A536" s="201" t="n"/>
      <c r="B536" s="201" t="n"/>
      <c r="C536" s="201" t="n"/>
      <c r="D536" s="201" t="n"/>
      <c r="E536" s="201" t="n"/>
      <c r="F536" s="201" t="n"/>
      <c r="G536" s="201" t="n"/>
      <c r="H536" s="201" t="n"/>
      <c r="I536" s="201" t="n"/>
      <c r="J536" s="201" t="n"/>
      <c r="K536" s="201" t="n"/>
      <c r="L536" s="201" t="n"/>
      <c r="M536" s="201" t="n"/>
      <c r="N536" s="201" t="n"/>
      <c r="O536" s="201" t="n"/>
      <c r="P536" s="201" t="n"/>
      <c r="Q536" s="201" t="n"/>
      <c r="R536" s="201" t="n"/>
      <c r="S536" s="201" t="n"/>
      <c r="T536" s="201" t="n"/>
      <c r="U536" s="201" t="n"/>
      <c r="V536" s="201" t="n"/>
      <c r="W536" s="201" t="n"/>
      <c r="X536" s="201" t="n"/>
      <c r="Y536" s="201" t="n"/>
      <c r="Z536" s="201" t="n"/>
      <c r="AA536" s="201" t="n"/>
      <c r="AB536" s="201" t="n"/>
      <c r="AC536" s="201" t="n"/>
      <c r="AD536" s="201" t="n"/>
      <c r="AE536" s="201" t="n"/>
      <c r="AF536" s="201" t="n"/>
      <c r="AG536" s="201" t="n"/>
    </row>
    <row r="537" ht="12.75" customHeight="1" s="202">
      <c r="A537" s="201" t="n"/>
      <c r="B537" s="201" t="n"/>
      <c r="C537" s="201" t="n"/>
      <c r="D537" s="201" t="n"/>
      <c r="E537" s="201" t="n"/>
      <c r="F537" s="201" t="n"/>
      <c r="G537" s="201" t="n"/>
      <c r="H537" s="201" t="n"/>
      <c r="I537" s="201" t="n"/>
      <c r="J537" s="201" t="n"/>
      <c r="K537" s="201" t="n"/>
      <c r="L537" s="201" t="n"/>
      <c r="M537" s="201" t="n"/>
      <c r="N537" s="201" t="n"/>
      <c r="O537" s="201" t="n"/>
      <c r="P537" s="201" t="n"/>
      <c r="Q537" s="201" t="n"/>
      <c r="R537" s="201" t="n"/>
      <c r="S537" s="201" t="n"/>
      <c r="T537" s="201" t="n"/>
      <c r="U537" s="201" t="n"/>
      <c r="V537" s="201" t="n"/>
      <c r="W537" s="201" t="n"/>
      <c r="X537" s="201" t="n"/>
      <c r="Y537" s="201" t="n"/>
      <c r="Z537" s="201" t="n"/>
      <c r="AA537" s="201" t="n"/>
      <c r="AB537" s="201" t="n"/>
      <c r="AC537" s="201" t="n"/>
      <c r="AD537" s="201" t="n"/>
      <c r="AE537" s="201" t="n"/>
      <c r="AF537" s="201" t="n"/>
      <c r="AG537" s="201" t="n"/>
    </row>
    <row r="538" ht="12.75" customHeight="1" s="202">
      <c r="A538" s="201" t="n"/>
      <c r="B538" s="201" t="n"/>
      <c r="C538" s="201" t="n"/>
      <c r="D538" s="201" t="n"/>
      <c r="E538" s="201" t="n"/>
      <c r="F538" s="201" t="n"/>
      <c r="G538" s="201" t="n"/>
      <c r="H538" s="201" t="n"/>
      <c r="I538" s="201" t="n"/>
      <c r="J538" s="201" t="n"/>
      <c r="K538" s="201" t="n"/>
      <c r="L538" s="201" t="n"/>
      <c r="M538" s="201" t="n"/>
      <c r="N538" s="201" t="n"/>
      <c r="O538" s="201" t="n"/>
      <c r="P538" s="201" t="n"/>
      <c r="Q538" s="201" t="n"/>
      <c r="R538" s="201" t="n"/>
      <c r="S538" s="201" t="n"/>
      <c r="T538" s="201" t="n"/>
      <c r="U538" s="201" t="n"/>
      <c r="V538" s="201" t="n"/>
      <c r="W538" s="201" t="n"/>
      <c r="X538" s="201" t="n"/>
      <c r="Y538" s="201" t="n"/>
      <c r="Z538" s="201" t="n"/>
      <c r="AA538" s="201" t="n"/>
      <c r="AB538" s="201" t="n"/>
      <c r="AC538" s="201" t="n"/>
      <c r="AD538" s="201" t="n"/>
      <c r="AE538" s="201" t="n"/>
      <c r="AF538" s="201" t="n"/>
      <c r="AG538" s="201" t="n"/>
    </row>
    <row r="539" ht="12.75" customHeight="1" s="202">
      <c r="A539" s="201" t="n"/>
      <c r="B539" s="201" t="n"/>
      <c r="C539" s="201" t="n"/>
      <c r="D539" s="201" t="n"/>
      <c r="E539" s="201" t="n"/>
      <c r="F539" s="201" t="n"/>
      <c r="G539" s="201" t="n"/>
      <c r="H539" s="201" t="n"/>
      <c r="I539" s="201" t="n"/>
      <c r="J539" s="201" t="n"/>
      <c r="K539" s="201" t="n"/>
      <c r="L539" s="201" t="n"/>
      <c r="M539" s="201" t="n"/>
      <c r="N539" s="201" t="n"/>
      <c r="O539" s="201" t="n"/>
      <c r="P539" s="201" t="n"/>
      <c r="Q539" s="201" t="n"/>
      <c r="R539" s="201" t="n"/>
      <c r="S539" s="201" t="n"/>
      <c r="T539" s="201" t="n"/>
      <c r="U539" s="201" t="n"/>
      <c r="V539" s="201" t="n"/>
      <c r="W539" s="201" t="n"/>
      <c r="X539" s="201" t="n"/>
      <c r="Y539" s="201" t="n"/>
      <c r="Z539" s="201" t="n"/>
      <c r="AA539" s="201" t="n"/>
      <c r="AB539" s="201" t="n"/>
      <c r="AC539" s="201" t="n"/>
      <c r="AD539" s="201" t="n"/>
      <c r="AE539" s="201" t="n"/>
      <c r="AF539" s="201" t="n"/>
      <c r="AG539" s="201" t="n"/>
    </row>
    <row r="540" ht="12.75" customHeight="1" s="202">
      <c r="A540" s="201" t="n"/>
      <c r="B540" s="201" t="n"/>
      <c r="C540" s="201" t="n"/>
      <c r="D540" s="201" t="n"/>
      <c r="E540" s="201" t="n"/>
      <c r="F540" s="201" t="n"/>
      <c r="G540" s="201" t="n"/>
      <c r="H540" s="201" t="n"/>
      <c r="I540" s="201" t="n"/>
      <c r="J540" s="201" t="n"/>
      <c r="K540" s="201" t="n"/>
      <c r="L540" s="201" t="n"/>
      <c r="M540" s="201" t="n"/>
      <c r="N540" s="201" t="n"/>
      <c r="O540" s="201" t="n"/>
      <c r="P540" s="201" t="n"/>
      <c r="Q540" s="201" t="n"/>
      <c r="R540" s="201" t="n"/>
      <c r="S540" s="201" t="n"/>
      <c r="T540" s="201" t="n"/>
      <c r="U540" s="201" t="n"/>
      <c r="V540" s="201" t="n"/>
      <c r="W540" s="201" t="n"/>
      <c r="X540" s="201" t="n"/>
      <c r="Y540" s="201" t="n"/>
      <c r="Z540" s="201" t="n"/>
      <c r="AA540" s="201" t="n"/>
      <c r="AB540" s="201" t="n"/>
      <c r="AC540" s="201" t="n"/>
      <c r="AD540" s="201" t="n"/>
      <c r="AE540" s="201" t="n"/>
      <c r="AF540" s="201" t="n"/>
      <c r="AG540" s="201" t="n"/>
    </row>
    <row r="541" ht="12.75" customHeight="1" s="202">
      <c r="A541" s="201" t="n"/>
      <c r="B541" s="201" t="n"/>
      <c r="C541" s="201" t="n"/>
      <c r="D541" s="201" t="n"/>
      <c r="E541" s="201" t="n"/>
      <c r="F541" s="201" t="n"/>
      <c r="G541" s="201" t="n"/>
      <c r="H541" s="201" t="n"/>
      <c r="I541" s="201" t="n"/>
      <c r="J541" s="201" t="n"/>
      <c r="K541" s="201" t="n"/>
      <c r="L541" s="201" t="n"/>
      <c r="M541" s="201" t="n"/>
      <c r="N541" s="201" t="n"/>
      <c r="O541" s="201" t="n"/>
      <c r="P541" s="201" t="n"/>
      <c r="Q541" s="201" t="n"/>
      <c r="R541" s="201" t="n"/>
      <c r="S541" s="201" t="n"/>
      <c r="T541" s="201" t="n"/>
      <c r="U541" s="201" t="n"/>
      <c r="V541" s="201" t="n"/>
      <c r="W541" s="201" t="n"/>
      <c r="X541" s="201" t="n"/>
      <c r="Y541" s="201" t="n"/>
      <c r="Z541" s="201" t="n"/>
      <c r="AA541" s="201" t="n"/>
      <c r="AB541" s="201" t="n"/>
      <c r="AC541" s="201" t="n"/>
      <c r="AD541" s="201" t="n"/>
      <c r="AE541" s="201" t="n"/>
      <c r="AF541" s="201" t="n"/>
      <c r="AG541" s="201" t="n"/>
    </row>
    <row r="542" ht="12.75" customHeight="1" s="202">
      <c r="A542" s="201" t="n"/>
      <c r="B542" s="201" t="n"/>
      <c r="C542" s="201" t="n"/>
      <c r="D542" s="201" t="n"/>
      <c r="E542" s="201" t="n"/>
      <c r="F542" s="201" t="n"/>
      <c r="G542" s="201" t="n"/>
      <c r="H542" s="201" t="n"/>
      <c r="I542" s="201" t="n"/>
      <c r="J542" s="201" t="n"/>
      <c r="K542" s="201" t="n"/>
      <c r="L542" s="201" t="n"/>
      <c r="M542" s="201" t="n"/>
      <c r="N542" s="201" t="n"/>
      <c r="O542" s="201" t="n"/>
      <c r="P542" s="201" t="n"/>
      <c r="Q542" s="201" t="n"/>
      <c r="R542" s="201" t="n"/>
      <c r="S542" s="201" t="n"/>
      <c r="T542" s="201" t="n"/>
      <c r="U542" s="201" t="n"/>
      <c r="V542" s="201" t="n"/>
      <c r="W542" s="201" t="n"/>
      <c r="X542" s="201" t="n"/>
      <c r="Y542" s="201" t="n"/>
      <c r="Z542" s="201" t="n"/>
      <c r="AA542" s="201" t="n"/>
      <c r="AB542" s="201" t="n"/>
      <c r="AC542" s="201" t="n"/>
      <c r="AD542" s="201" t="n"/>
      <c r="AE542" s="201" t="n"/>
      <c r="AF542" s="201" t="n"/>
      <c r="AG542" s="201" t="n"/>
    </row>
    <row r="543" ht="12.75" customHeight="1" s="202">
      <c r="A543" s="201" t="n"/>
      <c r="B543" s="201" t="n"/>
      <c r="C543" s="201" t="n"/>
      <c r="D543" s="201" t="n"/>
      <c r="E543" s="201" t="n"/>
      <c r="F543" s="201" t="n"/>
      <c r="G543" s="201" t="n"/>
      <c r="H543" s="201" t="n"/>
      <c r="I543" s="201" t="n"/>
      <c r="J543" s="201" t="n"/>
      <c r="K543" s="201" t="n"/>
      <c r="L543" s="201" t="n"/>
      <c r="M543" s="201" t="n"/>
      <c r="N543" s="201" t="n"/>
      <c r="O543" s="201" t="n"/>
      <c r="P543" s="201" t="n"/>
      <c r="Q543" s="201" t="n"/>
      <c r="R543" s="201" t="n"/>
      <c r="S543" s="201" t="n"/>
      <c r="T543" s="201" t="n"/>
      <c r="U543" s="201" t="n"/>
      <c r="V543" s="201" t="n"/>
      <c r="W543" s="201" t="n"/>
      <c r="X543" s="201" t="n"/>
      <c r="Y543" s="201" t="n"/>
      <c r="Z543" s="201" t="n"/>
      <c r="AA543" s="201" t="n"/>
      <c r="AB543" s="201" t="n"/>
      <c r="AC543" s="201" t="n"/>
      <c r="AD543" s="201" t="n"/>
      <c r="AE543" s="201" t="n"/>
      <c r="AF543" s="201" t="n"/>
      <c r="AG543" s="201" t="n"/>
    </row>
    <row r="544" ht="12.75" customHeight="1" s="202">
      <c r="A544" s="201" t="n"/>
      <c r="B544" s="201" t="n"/>
      <c r="C544" s="201" t="n"/>
      <c r="D544" s="201" t="n"/>
      <c r="E544" s="201" t="n"/>
      <c r="F544" s="201" t="n"/>
      <c r="G544" s="201" t="n"/>
      <c r="H544" s="201" t="n"/>
      <c r="I544" s="201" t="n"/>
      <c r="J544" s="201" t="n"/>
      <c r="K544" s="201" t="n"/>
      <c r="L544" s="201" t="n"/>
      <c r="M544" s="201" t="n"/>
      <c r="N544" s="201" t="n"/>
      <c r="O544" s="201" t="n"/>
      <c r="P544" s="201" t="n"/>
      <c r="Q544" s="201" t="n"/>
      <c r="R544" s="201" t="n"/>
      <c r="S544" s="201" t="n"/>
      <c r="T544" s="201" t="n"/>
      <c r="U544" s="201" t="n"/>
      <c r="V544" s="201" t="n"/>
      <c r="W544" s="201" t="n"/>
      <c r="X544" s="201" t="n"/>
      <c r="Y544" s="201" t="n"/>
      <c r="Z544" s="201" t="n"/>
      <c r="AA544" s="201" t="n"/>
      <c r="AB544" s="201" t="n"/>
      <c r="AC544" s="201" t="n"/>
      <c r="AD544" s="201" t="n"/>
      <c r="AE544" s="201" t="n"/>
      <c r="AF544" s="201" t="n"/>
      <c r="AG544" s="201" t="n"/>
    </row>
    <row r="545" ht="12.75" customHeight="1" s="202">
      <c r="A545" s="201" t="n"/>
      <c r="B545" s="201" t="n"/>
      <c r="C545" s="201" t="n"/>
      <c r="D545" s="201" t="n"/>
      <c r="E545" s="201" t="n"/>
      <c r="F545" s="201" t="n"/>
      <c r="G545" s="201" t="n"/>
      <c r="H545" s="201" t="n"/>
      <c r="I545" s="201" t="n"/>
      <c r="J545" s="201" t="n"/>
      <c r="K545" s="201" t="n"/>
      <c r="L545" s="201" t="n"/>
      <c r="M545" s="201" t="n"/>
      <c r="N545" s="201" t="n"/>
      <c r="O545" s="201" t="n"/>
      <c r="P545" s="201" t="n"/>
      <c r="Q545" s="201" t="n"/>
      <c r="R545" s="201" t="n"/>
      <c r="S545" s="201" t="n"/>
      <c r="T545" s="201" t="n"/>
      <c r="U545" s="201" t="n"/>
      <c r="V545" s="201" t="n"/>
      <c r="W545" s="201" t="n"/>
      <c r="X545" s="201" t="n"/>
      <c r="Y545" s="201" t="n"/>
      <c r="Z545" s="201" t="n"/>
      <c r="AA545" s="201" t="n"/>
      <c r="AB545" s="201" t="n"/>
      <c r="AC545" s="201" t="n"/>
      <c r="AD545" s="201" t="n"/>
      <c r="AE545" s="201" t="n"/>
      <c r="AF545" s="201" t="n"/>
      <c r="AG545" s="201" t="n"/>
    </row>
    <row r="546" ht="12.75" customHeight="1" s="202">
      <c r="A546" s="201" t="n"/>
      <c r="B546" s="201" t="n"/>
      <c r="C546" s="201" t="n"/>
      <c r="D546" s="201" t="n"/>
      <c r="E546" s="201" t="n"/>
      <c r="F546" s="201" t="n"/>
      <c r="G546" s="201" t="n"/>
      <c r="H546" s="201" t="n"/>
      <c r="I546" s="201" t="n"/>
      <c r="J546" s="201" t="n"/>
      <c r="K546" s="201" t="n"/>
      <c r="L546" s="201" t="n"/>
      <c r="M546" s="201" t="n"/>
      <c r="N546" s="201" t="n"/>
      <c r="O546" s="201" t="n"/>
      <c r="P546" s="201" t="n"/>
      <c r="Q546" s="201" t="n"/>
      <c r="R546" s="201" t="n"/>
      <c r="S546" s="201" t="n"/>
      <c r="T546" s="201" t="n"/>
      <c r="U546" s="201" t="n"/>
      <c r="V546" s="201" t="n"/>
      <c r="W546" s="201" t="n"/>
      <c r="X546" s="201" t="n"/>
      <c r="Y546" s="201" t="n"/>
      <c r="Z546" s="201" t="n"/>
      <c r="AA546" s="201" t="n"/>
      <c r="AB546" s="201" t="n"/>
      <c r="AC546" s="201" t="n"/>
      <c r="AD546" s="201" t="n"/>
      <c r="AE546" s="201" t="n"/>
      <c r="AF546" s="201" t="n"/>
      <c r="AG546" s="201" t="n"/>
    </row>
    <row r="547" ht="12.75" customHeight="1" s="202">
      <c r="A547" s="201" t="n"/>
      <c r="B547" s="201" t="n"/>
      <c r="C547" s="201" t="n"/>
      <c r="D547" s="201" t="n"/>
      <c r="E547" s="201" t="n"/>
      <c r="F547" s="201" t="n"/>
      <c r="G547" s="201" t="n"/>
      <c r="H547" s="201" t="n"/>
      <c r="I547" s="201" t="n"/>
      <c r="J547" s="201" t="n"/>
      <c r="K547" s="201" t="n"/>
      <c r="L547" s="201" t="n"/>
      <c r="M547" s="201" t="n"/>
      <c r="N547" s="201" t="n"/>
      <c r="O547" s="201" t="n"/>
      <c r="P547" s="201" t="n"/>
      <c r="Q547" s="201" t="n"/>
      <c r="R547" s="201" t="n"/>
      <c r="S547" s="201" t="n"/>
      <c r="T547" s="201" t="n"/>
      <c r="U547" s="201" t="n"/>
      <c r="V547" s="201" t="n"/>
      <c r="W547" s="201" t="n"/>
      <c r="X547" s="201" t="n"/>
      <c r="Y547" s="201" t="n"/>
      <c r="Z547" s="201" t="n"/>
      <c r="AA547" s="201" t="n"/>
      <c r="AB547" s="201" t="n"/>
      <c r="AC547" s="201" t="n"/>
      <c r="AD547" s="201" t="n"/>
      <c r="AE547" s="201" t="n"/>
      <c r="AF547" s="201" t="n"/>
      <c r="AG547" s="201" t="n"/>
    </row>
    <row r="548" ht="12.75" customHeight="1" s="202">
      <c r="A548" s="201" t="n"/>
      <c r="B548" s="201" t="n"/>
      <c r="C548" s="201" t="n"/>
      <c r="D548" s="201" t="n"/>
      <c r="E548" s="201" t="n"/>
      <c r="F548" s="201" t="n"/>
      <c r="G548" s="201" t="n"/>
      <c r="H548" s="201" t="n"/>
      <c r="I548" s="201" t="n"/>
      <c r="J548" s="201" t="n"/>
      <c r="K548" s="201" t="n"/>
      <c r="L548" s="201" t="n"/>
      <c r="M548" s="201" t="n"/>
      <c r="N548" s="201" t="n"/>
      <c r="O548" s="201" t="n"/>
      <c r="P548" s="201" t="n"/>
      <c r="Q548" s="201" t="n"/>
      <c r="R548" s="201" t="n"/>
      <c r="S548" s="201" t="n"/>
      <c r="T548" s="201" t="n"/>
      <c r="U548" s="201" t="n"/>
      <c r="V548" s="201" t="n"/>
      <c r="W548" s="201" t="n"/>
      <c r="X548" s="201" t="n"/>
      <c r="Y548" s="201" t="n"/>
      <c r="Z548" s="201" t="n"/>
      <c r="AA548" s="201" t="n"/>
      <c r="AB548" s="201" t="n"/>
      <c r="AC548" s="201" t="n"/>
      <c r="AD548" s="201" t="n"/>
      <c r="AE548" s="201" t="n"/>
      <c r="AF548" s="201" t="n"/>
      <c r="AG548" s="201" t="n"/>
    </row>
    <row r="549" ht="12.75" customHeight="1" s="202">
      <c r="A549" s="201" t="n"/>
      <c r="B549" s="201" t="n"/>
      <c r="C549" s="201" t="n"/>
      <c r="D549" s="201" t="n"/>
      <c r="E549" s="201" t="n"/>
      <c r="F549" s="201" t="n"/>
      <c r="G549" s="201" t="n"/>
      <c r="H549" s="201" t="n"/>
      <c r="I549" s="201" t="n"/>
      <c r="J549" s="201" t="n"/>
      <c r="K549" s="201" t="n"/>
      <c r="L549" s="201" t="n"/>
      <c r="M549" s="201" t="n"/>
      <c r="N549" s="201" t="n"/>
      <c r="O549" s="201" t="n"/>
      <c r="P549" s="201" t="n"/>
      <c r="Q549" s="201" t="n"/>
      <c r="R549" s="201" t="n"/>
      <c r="S549" s="201" t="n"/>
      <c r="T549" s="201" t="n"/>
      <c r="U549" s="201" t="n"/>
      <c r="V549" s="201" t="n"/>
      <c r="W549" s="201" t="n"/>
      <c r="X549" s="201" t="n"/>
      <c r="Y549" s="201" t="n"/>
      <c r="Z549" s="201" t="n"/>
      <c r="AA549" s="201" t="n"/>
      <c r="AB549" s="201" t="n"/>
      <c r="AC549" s="201" t="n"/>
      <c r="AD549" s="201" t="n"/>
      <c r="AE549" s="201" t="n"/>
      <c r="AF549" s="201" t="n"/>
      <c r="AG549" s="201" t="n"/>
    </row>
    <row r="550" ht="12.75" customHeight="1" s="202">
      <c r="A550" s="201" t="n"/>
      <c r="B550" s="201" t="n"/>
      <c r="C550" s="201" t="n"/>
      <c r="D550" s="201" t="n"/>
      <c r="E550" s="201" t="n"/>
      <c r="F550" s="201" t="n"/>
      <c r="G550" s="201" t="n"/>
      <c r="H550" s="201" t="n"/>
      <c r="I550" s="201" t="n"/>
      <c r="J550" s="201" t="n"/>
      <c r="K550" s="201" t="n"/>
      <c r="L550" s="201" t="n"/>
      <c r="M550" s="201" t="n"/>
      <c r="N550" s="201" t="n"/>
      <c r="O550" s="201" t="n"/>
      <c r="P550" s="201" t="n"/>
      <c r="Q550" s="201" t="n"/>
      <c r="R550" s="201" t="n"/>
      <c r="S550" s="201" t="n"/>
      <c r="T550" s="201" t="n"/>
      <c r="U550" s="201" t="n"/>
      <c r="V550" s="201" t="n"/>
      <c r="W550" s="201" t="n"/>
      <c r="X550" s="201" t="n"/>
      <c r="Y550" s="201" t="n"/>
      <c r="Z550" s="201" t="n"/>
      <c r="AA550" s="201" t="n"/>
      <c r="AB550" s="201" t="n"/>
      <c r="AC550" s="201" t="n"/>
      <c r="AD550" s="201" t="n"/>
      <c r="AE550" s="201" t="n"/>
      <c r="AF550" s="201" t="n"/>
      <c r="AG550" s="201" t="n"/>
    </row>
    <row r="551" ht="12.75" customHeight="1" s="202">
      <c r="A551" s="201" t="n"/>
      <c r="B551" s="201" t="n"/>
      <c r="C551" s="201" t="n"/>
      <c r="D551" s="201" t="n"/>
      <c r="E551" s="201" t="n"/>
      <c r="F551" s="201" t="n"/>
      <c r="G551" s="201" t="n"/>
      <c r="H551" s="201" t="n"/>
      <c r="I551" s="201" t="n"/>
      <c r="J551" s="201" t="n"/>
      <c r="K551" s="201" t="n"/>
      <c r="L551" s="201" t="n"/>
      <c r="M551" s="201" t="n"/>
      <c r="N551" s="201" t="n"/>
      <c r="O551" s="201" t="n"/>
      <c r="P551" s="201" t="n"/>
      <c r="Q551" s="201" t="n"/>
      <c r="R551" s="201" t="n"/>
      <c r="S551" s="201" t="n"/>
      <c r="T551" s="201" t="n"/>
      <c r="U551" s="201" t="n"/>
      <c r="V551" s="201" t="n"/>
      <c r="W551" s="201" t="n"/>
      <c r="X551" s="201" t="n"/>
      <c r="Y551" s="201" t="n"/>
      <c r="Z551" s="201" t="n"/>
      <c r="AA551" s="201" t="n"/>
      <c r="AB551" s="201" t="n"/>
      <c r="AC551" s="201" t="n"/>
      <c r="AD551" s="201" t="n"/>
      <c r="AE551" s="201" t="n"/>
      <c r="AF551" s="201" t="n"/>
      <c r="AG551" s="201" t="n"/>
    </row>
    <row r="552" ht="12.75" customHeight="1" s="202">
      <c r="A552" s="201" t="n"/>
      <c r="B552" s="201" t="n"/>
      <c r="C552" s="201" t="n"/>
      <c r="D552" s="201" t="n"/>
      <c r="E552" s="201" t="n"/>
      <c r="F552" s="201" t="n"/>
      <c r="G552" s="201" t="n"/>
      <c r="H552" s="201" t="n"/>
      <c r="I552" s="201" t="n"/>
      <c r="J552" s="201" t="n"/>
      <c r="K552" s="201" t="n"/>
      <c r="L552" s="201" t="n"/>
      <c r="M552" s="201" t="n"/>
      <c r="N552" s="201" t="n"/>
      <c r="O552" s="201" t="n"/>
      <c r="P552" s="201" t="n"/>
      <c r="Q552" s="201" t="n"/>
      <c r="R552" s="201" t="n"/>
      <c r="S552" s="201" t="n"/>
      <c r="T552" s="201" t="n"/>
      <c r="U552" s="201" t="n"/>
      <c r="V552" s="201" t="n"/>
      <c r="W552" s="201" t="n"/>
      <c r="X552" s="201" t="n"/>
      <c r="Y552" s="201" t="n"/>
      <c r="Z552" s="201" t="n"/>
      <c r="AA552" s="201" t="n"/>
      <c r="AB552" s="201" t="n"/>
      <c r="AC552" s="201" t="n"/>
      <c r="AD552" s="201" t="n"/>
      <c r="AE552" s="201" t="n"/>
      <c r="AF552" s="201" t="n"/>
      <c r="AG552" s="201" t="n"/>
    </row>
    <row r="553" ht="12.75" customHeight="1" s="202">
      <c r="A553" s="201" t="n"/>
      <c r="B553" s="201" t="n"/>
      <c r="C553" s="201" t="n"/>
      <c r="D553" s="201" t="n"/>
      <c r="E553" s="201" t="n"/>
      <c r="F553" s="201" t="n"/>
      <c r="G553" s="201" t="n"/>
      <c r="H553" s="201" t="n"/>
      <c r="I553" s="201" t="n"/>
      <c r="J553" s="201" t="n"/>
      <c r="K553" s="201" t="n"/>
      <c r="L553" s="201" t="n"/>
      <c r="M553" s="201" t="n"/>
      <c r="N553" s="201" t="n"/>
      <c r="O553" s="201" t="n"/>
      <c r="P553" s="201" t="n"/>
      <c r="Q553" s="201" t="n"/>
      <c r="R553" s="201" t="n"/>
      <c r="S553" s="201" t="n"/>
      <c r="T553" s="201" t="n"/>
      <c r="U553" s="201" t="n"/>
      <c r="V553" s="201" t="n"/>
      <c r="W553" s="201" t="n"/>
      <c r="X553" s="201" t="n"/>
      <c r="Y553" s="201" t="n"/>
      <c r="Z553" s="201" t="n"/>
      <c r="AA553" s="201" t="n"/>
      <c r="AB553" s="201" t="n"/>
      <c r="AC553" s="201" t="n"/>
      <c r="AD553" s="201" t="n"/>
      <c r="AE553" s="201" t="n"/>
      <c r="AF553" s="201" t="n"/>
      <c r="AG553" s="201" t="n"/>
    </row>
    <row r="554" ht="12.75" customHeight="1" s="202">
      <c r="A554" s="201" t="n"/>
      <c r="B554" s="201" t="n"/>
      <c r="C554" s="201" t="n"/>
      <c r="D554" s="201" t="n"/>
      <c r="E554" s="201" t="n"/>
      <c r="F554" s="201" t="n"/>
      <c r="G554" s="201" t="n"/>
      <c r="H554" s="201" t="n"/>
      <c r="I554" s="201" t="n"/>
      <c r="J554" s="201" t="n"/>
      <c r="K554" s="201" t="n"/>
      <c r="L554" s="201" t="n"/>
      <c r="M554" s="201" t="n"/>
      <c r="N554" s="201" t="n"/>
      <c r="O554" s="201" t="n"/>
      <c r="P554" s="201" t="n"/>
      <c r="Q554" s="201" t="n"/>
      <c r="R554" s="201" t="n"/>
      <c r="S554" s="201" t="n"/>
      <c r="T554" s="201" t="n"/>
      <c r="U554" s="201" t="n"/>
      <c r="V554" s="201" t="n"/>
      <c r="W554" s="201" t="n"/>
      <c r="X554" s="201" t="n"/>
      <c r="Y554" s="201" t="n"/>
      <c r="Z554" s="201" t="n"/>
      <c r="AA554" s="201" t="n"/>
      <c r="AB554" s="201" t="n"/>
      <c r="AC554" s="201" t="n"/>
      <c r="AD554" s="201" t="n"/>
      <c r="AE554" s="201" t="n"/>
      <c r="AF554" s="201" t="n"/>
      <c r="AG554" s="201" t="n"/>
    </row>
    <row r="555" ht="12.75" customHeight="1" s="202">
      <c r="A555" s="201" t="n"/>
      <c r="B555" s="201" t="n"/>
      <c r="C555" s="201" t="n"/>
      <c r="D555" s="201" t="n"/>
      <c r="E555" s="201" t="n"/>
      <c r="F555" s="201" t="n"/>
      <c r="G555" s="201" t="n"/>
      <c r="H555" s="201" t="n"/>
      <c r="I555" s="201" t="n"/>
      <c r="J555" s="201" t="n"/>
      <c r="K555" s="201" t="n"/>
      <c r="L555" s="201" t="n"/>
      <c r="M555" s="201" t="n"/>
      <c r="N555" s="201" t="n"/>
      <c r="O555" s="201" t="n"/>
      <c r="P555" s="201" t="n"/>
      <c r="Q555" s="201" t="n"/>
      <c r="R555" s="201" t="n"/>
      <c r="S555" s="201" t="n"/>
      <c r="T555" s="201" t="n"/>
      <c r="U555" s="201" t="n"/>
      <c r="V555" s="201" t="n"/>
      <c r="W555" s="201" t="n"/>
      <c r="X555" s="201" t="n"/>
      <c r="Y555" s="201" t="n"/>
      <c r="Z555" s="201" t="n"/>
      <c r="AA555" s="201" t="n"/>
      <c r="AB555" s="201" t="n"/>
      <c r="AC555" s="201" t="n"/>
      <c r="AD555" s="201" t="n"/>
      <c r="AE555" s="201" t="n"/>
      <c r="AF555" s="201" t="n"/>
      <c r="AG555" s="201" t="n"/>
    </row>
    <row r="556" ht="12.75" customHeight="1" s="202">
      <c r="A556" s="201" t="n"/>
      <c r="B556" s="201" t="n"/>
      <c r="C556" s="201" t="n"/>
      <c r="D556" s="201" t="n"/>
      <c r="E556" s="201" t="n"/>
      <c r="F556" s="201" t="n"/>
      <c r="G556" s="201" t="n"/>
      <c r="H556" s="201" t="n"/>
      <c r="I556" s="201" t="n"/>
      <c r="J556" s="201" t="n"/>
      <c r="K556" s="201" t="n"/>
      <c r="L556" s="201" t="n"/>
      <c r="M556" s="201" t="n"/>
      <c r="N556" s="201" t="n"/>
      <c r="O556" s="201" t="n"/>
      <c r="P556" s="201" t="n"/>
      <c r="Q556" s="201" t="n"/>
      <c r="R556" s="201" t="n"/>
      <c r="S556" s="201" t="n"/>
      <c r="T556" s="201" t="n"/>
      <c r="U556" s="201" t="n"/>
      <c r="V556" s="201" t="n"/>
      <c r="W556" s="201" t="n"/>
      <c r="X556" s="201" t="n"/>
      <c r="Y556" s="201" t="n"/>
      <c r="Z556" s="201" t="n"/>
      <c r="AA556" s="201" t="n"/>
      <c r="AB556" s="201" t="n"/>
      <c r="AC556" s="201" t="n"/>
      <c r="AD556" s="201" t="n"/>
      <c r="AE556" s="201" t="n"/>
      <c r="AF556" s="201" t="n"/>
      <c r="AG556" s="201" t="n"/>
    </row>
    <row r="557" ht="12.75" customHeight="1" s="202">
      <c r="A557" s="201" t="n"/>
      <c r="B557" s="201" t="n"/>
      <c r="C557" s="201" t="n"/>
      <c r="D557" s="201" t="n"/>
      <c r="E557" s="201" t="n"/>
      <c r="F557" s="201" t="n"/>
      <c r="G557" s="201" t="n"/>
      <c r="H557" s="201" t="n"/>
      <c r="I557" s="201" t="n"/>
      <c r="J557" s="201" t="n"/>
      <c r="K557" s="201" t="n"/>
      <c r="L557" s="201" t="n"/>
      <c r="M557" s="201" t="n"/>
      <c r="N557" s="201" t="n"/>
      <c r="O557" s="201" t="n"/>
      <c r="P557" s="201" t="n"/>
      <c r="Q557" s="201" t="n"/>
      <c r="R557" s="201" t="n"/>
      <c r="S557" s="201" t="n"/>
      <c r="T557" s="201" t="n"/>
      <c r="U557" s="201" t="n"/>
      <c r="V557" s="201" t="n"/>
      <c r="W557" s="201" t="n"/>
      <c r="X557" s="201" t="n"/>
      <c r="Y557" s="201" t="n"/>
      <c r="Z557" s="201" t="n"/>
      <c r="AA557" s="201" t="n"/>
      <c r="AB557" s="201" t="n"/>
      <c r="AC557" s="201" t="n"/>
      <c r="AD557" s="201" t="n"/>
      <c r="AE557" s="201" t="n"/>
      <c r="AF557" s="201" t="n"/>
      <c r="AG557" s="201" t="n"/>
    </row>
    <row r="558" ht="12.75" customHeight="1" s="202">
      <c r="A558" s="201" t="n"/>
      <c r="B558" s="201" t="n"/>
      <c r="C558" s="201" t="n"/>
      <c r="D558" s="201" t="n"/>
      <c r="E558" s="201" t="n"/>
      <c r="F558" s="201" t="n"/>
      <c r="G558" s="201" t="n"/>
      <c r="H558" s="201" t="n"/>
      <c r="I558" s="201" t="n"/>
      <c r="J558" s="201" t="n"/>
      <c r="K558" s="201" t="n"/>
      <c r="L558" s="201" t="n"/>
      <c r="M558" s="201" t="n"/>
      <c r="N558" s="201" t="n"/>
      <c r="O558" s="201" t="n"/>
      <c r="P558" s="201" t="n"/>
      <c r="Q558" s="201" t="n"/>
      <c r="R558" s="201" t="n"/>
      <c r="S558" s="201" t="n"/>
      <c r="T558" s="201" t="n"/>
      <c r="U558" s="201" t="n"/>
      <c r="V558" s="201" t="n"/>
      <c r="W558" s="201" t="n"/>
      <c r="X558" s="201" t="n"/>
      <c r="Y558" s="201" t="n"/>
      <c r="Z558" s="201" t="n"/>
      <c r="AA558" s="201" t="n"/>
      <c r="AB558" s="201" t="n"/>
      <c r="AC558" s="201" t="n"/>
      <c r="AD558" s="201" t="n"/>
      <c r="AE558" s="201" t="n"/>
      <c r="AF558" s="201" t="n"/>
      <c r="AG558" s="201" t="n"/>
    </row>
    <row r="559" ht="12.75" customHeight="1" s="202">
      <c r="A559" s="201" t="n"/>
      <c r="B559" s="201" t="n"/>
      <c r="C559" s="201" t="n"/>
      <c r="D559" s="201" t="n"/>
      <c r="E559" s="201" t="n"/>
      <c r="F559" s="201" t="n"/>
      <c r="G559" s="201" t="n"/>
      <c r="H559" s="201" t="n"/>
      <c r="I559" s="201" t="n"/>
      <c r="J559" s="201" t="n"/>
      <c r="K559" s="201" t="n"/>
      <c r="L559" s="201" t="n"/>
      <c r="M559" s="201" t="n"/>
      <c r="N559" s="201" t="n"/>
      <c r="O559" s="201" t="n"/>
      <c r="P559" s="201" t="n"/>
      <c r="Q559" s="201" t="n"/>
      <c r="R559" s="201" t="n"/>
      <c r="S559" s="201" t="n"/>
      <c r="T559" s="201" t="n"/>
      <c r="U559" s="201" t="n"/>
      <c r="V559" s="201" t="n"/>
      <c r="W559" s="201" t="n"/>
      <c r="X559" s="201" t="n"/>
      <c r="Y559" s="201" t="n"/>
      <c r="Z559" s="201" t="n"/>
      <c r="AA559" s="201" t="n"/>
      <c r="AB559" s="201" t="n"/>
      <c r="AC559" s="201" t="n"/>
      <c r="AD559" s="201" t="n"/>
      <c r="AE559" s="201" t="n"/>
      <c r="AF559" s="201" t="n"/>
      <c r="AG559" s="201" t="n"/>
    </row>
    <row r="560" ht="12.75" customHeight="1" s="202">
      <c r="A560" s="201" t="n"/>
      <c r="B560" s="201" t="n"/>
      <c r="C560" s="201" t="n"/>
      <c r="D560" s="201" t="n"/>
      <c r="E560" s="201" t="n"/>
      <c r="F560" s="201" t="n"/>
      <c r="G560" s="201" t="n"/>
      <c r="H560" s="201" t="n"/>
      <c r="I560" s="201" t="n"/>
      <c r="J560" s="201" t="n"/>
      <c r="K560" s="201" t="n"/>
      <c r="L560" s="201" t="n"/>
      <c r="M560" s="201" t="n"/>
      <c r="N560" s="201" t="n"/>
      <c r="O560" s="201" t="n"/>
      <c r="P560" s="201" t="n"/>
      <c r="Q560" s="201" t="n"/>
      <c r="R560" s="201" t="n"/>
      <c r="S560" s="201" t="n"/>
      <c r="T560" s="201" t="n"/>
      <c r="U560" s="201" t="n"/>
      <c r="V560" s="201" t="n"/>
      <c r="W560" s="201" t="n"/>
      <c r="X560" s="201" t="n"/>
      <c r="Y560" s="201" t="n"/>
      <c r="Z560" s="201" t="n"/>
      <c r="AA560" s="201" t="n"/>
      <c r="AB560" s="201" t="n"/>
      <c r="AC560" s="201" t="n"/>
      <c r="AD560" s="201" t="n"/>
      <c r="AE560" s="201" t="n"/>
      <c r="AF560" s="201" t="n"/>
      <c r="AG560" s="201" t="n"/>
    </row>
    <row r="561" ht="12.75" customHeight="1" s="202">
      <c r="A561" s="201" t="n"/>
      <c r="B561" s="201" t="n"/>
      <c r="C561" s="201" t="n"/>
      <c r="D561" s="201" t="n"/>
      <c r="E561" s="201" t="n"/>
      <c r="F561" s="201" t="n"/>
      <c r="G561" s="201" t="n"/>
      <c r="H561" s="201" t="n"/>
      <c r="I561" s="201" t="n"/>
      <c r="J561" s="201" t="n"/>
      <c r="K561" s="201" t="n"/>
      <c r="L561" s="201" t="n"/>
      <c r="M561" s="201" t="n"/>
      <c r="N561" s="201" t="n"/>
      <c r="O561" s="201" t="n"/>
      <c r="P561" s="201" t="n"/>
      <c r="Q561" s="201" t="n"/>
      <c r="R561" s="201" t="n"/>
      <c r="S561" s="201" t="n"/>
      <c r="T561" s="201" t="n"/>
      <c r="U561" s="201" t="n"/>
      <c r="V561" s="201" t="n"/>
      <c r="W561" s="201" t="n"/>
      <c r="X561" s="201" t="n"/>
      <c r="Y561" s="201" t="n"/>
      <c r="Z561" s="201" t="n"/>
      <c r="AA561" s="201" t="n"/>
      <c r="AB561" s="201" t="n"/>
      <c r="AC561" s="201" t="n"/>
      <c r="AD561" s="201" t="n"/>
      <c r="AE561" s="201" t="n"/>
      <c r="AF561" s="201" t="n"/>
      <c r="AG561" s="201" t="n"/>
    </row>
    <row r="562" ht="12.75" customHeight="1" s="202">
      <c r="A562" s="201" t="n"/>
      <c r="B562" s="201" t="n"/>
      <c r="C562" s="201" t="n"/>
      <c r="D562" s="201" t="n"/>
      <c r="E562" s="201" t="n"/>
      <c r="F562" s="201" t="n"/>
      <c r="G562" s="201" t="n"/>
      <c r="H562" s="201" t="n"/>
      <c r="I562" s="201" t="n"/>
      <c r="J562" s="201" t="n"/>
      <c r="K562" s="201" t="n"/>
      <c r="L562" s="201" t="n"/>
      <c r="M562" s="201" t="n"/>
      <c r="N562" s="201" t="n"/>
      <c r="O562" s="201" t="n"/>
      <c r="P562" s="201" t="n"/>
      <c r="Q562" s="201" t="n"/>
      <c r="R562" s="201" t="n"/>
      <c r="S562" s="201" t="n"/>
      <c r="T562" s="201" t="n"/>
      <c r="U562" s="201" t="n"/>
      <c r="V562" s="201" t="n"/>
      <c r="W562" s="201" t="n"/>
      <c r="X562" s="201" t="n"/>
      <c r="Y562" s="201" t="n"/>
      <c r="Z562" s="201" t="n"/>
      <c r="AA562" s="201" t="n"/>
      <c r="AB562" s="201" t="n"/>
      <c r="AC562" s="201" t="n"/>
      <c r="AD562" s="201" t="n"/>
      <c r="AE562" s="201" t="n"/>
      <c r="AF562" s="201" t="n"/>
      <c r="AG562" s="201" t="n"/>
    </row>
    <row r="563" ht="12.75" customHeight="1" s="202">
      <c r="A563" s="201" t="n"/>
      <c r="B563" s="201" t="n"/>
      <c r="C563" s="201" t="n"/>
      <c r="D563" s="201" t="n"/>
      <c r="E563" s="201" t="n"/>
      <c r="F563" s="201" t="n"/>
      <c r="G563" s="201" t="n"/>
      <c r="H563" s="201" t="n"/>
      <c r="I563" s="201" t="n"/>
      <c r="J563" s="201" t="n"/>
      <c r="K563" s="201" t="n"/>
      <c r="L563" s="201" t="n"/>
      <c r="M563" s="201" t="n"/>
      <c r="N563" s="201" t="n"/>
      <c r="O563" s="201" t="n"/>
      <c r="P563" s="201" t="n"/>
      <c r="Q563" s="201" t="n"/>
      <c r="R563" s="201" t="n"/>
      <c r="S563" s="201" t="n"/>
      <c r="T563" s="201" t="n"/>
      <c r="U563" s="201" t="n"/>
      <c r="V563" s="201" t="n"/>
      <c r="W563" s="201" t="n"/>
      <c r="X563" s="201" t="n"/>
      <c r="Y563" s="201" t="n"/>
      <c r="Z563" s="201" t="n"/>
      <c r="AA563" s="201" t="n"/>
      <c r="AB563" s="201" t="n"/>
      <c r="AC563" s="201" t="n"/>
      <c r="AD563" s="201" t="n"/>
      <c r="AE563" s="201" t="n"/>
      <c r="AF563" s="201" t="n"/>
      <c r="AG563" s="201" t="n"/>
    </row>
    <row r="564" ht="12.75" customHeight="1" s="202">
      <c r="A564" s="201" t="n"/>
      <c r="B564" s="201" t="n"/>
      <c r="C564" s="201" t="n"/>
      <c r="D564" s="201" t="n"/>
      <c r="E564" s="201" t="n"/>
      <c r="F564" s="201" t="n"/>
      <c r="G564" s="201" t="n"/>
      <c r="H564" s="201" t="n"/>
      <c r="I564" s="201" t="n"/>
      <c r="J564" s="201" t="n"/>
      <c r="K564" s="201" t="n"/>
      <c r="L564" s="201" t="n"/>
      <c r="M564" s="201" t="n"/>
      <c r="N564" s="201" t="n"/>
      <c r="O564" s="201" t="n"/>
      <c r="P564" s="201" t="n"/>
      <c r="Q564" s="201" t="n"/>
      <c r="R564" s="201" t="n"/>
      <c r="S564" s="201" t="n"/>
      <c r="T564" s="201" t="n"/>
      <c r="U564" s="201" t="n"/>
      <c r="V564" s="201" t="n"/>
      <c r="W564" s="201" t="n"/>
      <c r="X564" s="201" t="n"/>
      <c r="Y564" s="201" t="n"/>
      <c r="Z564" s="201" t="n"/>
      <c r="AA564" s="201" t="n"/>
      <c r="AB564" s="201" t="n"/>
      <c r="AC564" s="201" t="n"/>
      <c r="AD564" s="201" t="n"/>
      <c r="AE564" s="201" t="n"/>
      <c r="AF564" s="201" t="n"/>
      <c r="AG564" s="201" t="n"/>
    </row>
    <row r="565" ht="12.75" customHeight="1" s="202">
      <c r="A565" s="201" t="n"/>
      <c r="B565" s="201" t="n"/>
      <c r="C565" s="201" t="n"/>
      <c r="D565" s="201" t="n"/>
      <c r="E565" s="201" t="n"/>
      <c r="F565" s="201" t="n"/>
      <c r="G565" s="201" t="n"/>
      <c r="H565" s="201" t="n"/>
      <c r="I565" s="201" t="n"/>
      <c r="J565" s="201" t="n"/>
      <c r="K565" s="201" t="n"/>
      <c r="L565" s="201" t="n"/>
      <c r="M565" s="201" t="n"/>
      <c r="N565" s="201" t="n"/>
      <c r="O565" s="201" t="n"/>
      <c r="P565" s="201" t="n"/>
      <c r="Q565" s="201" t="n"/>
      <c r="R565" s="201" t="n"/>
      <c r="S565" s="201" t="n"/>
      <c r="T565" s="201" t="n"/>
      <c r="U565" s="201" t="n"/>
      <c r="V565" s="201" t="n"/>
      <c r="W565" s="201" t="n"/>
      <c r="X565" s="201" t="n"/>
      <c r="Y565" s="201" t="n"/>
      <c r="Z565" s="201" t="n"/>
      <c r="AA565" s="201" t="n"/>
      <c r="AB565" s="201" t="n"/>
      <c r="AC565" s="201" t="n"/>
      <c r="AD565" s="201" t="n"/>
      <c r="AE565" s="201" t="n"/>
      <c r="AF565" s="201" t="n"/>
      <c r="AG565" s="201" t="n"/>
    </row>
    <row r="566" ht="12.75" customHeight="1" s="202">
      <c r="A566" s="201" t="n"/>
      <c r="B566" s="201" t="n"/>
      <c r="C566" s="201" t="n"/>
      <c r="D566" s="201" t="n"/>
      <c r="E566" s="201" t="n"/>
      <c r="F566" s="201" t="n"/>
      <c r="G566" s="201" t="n"/>
      <c r="H566" s="201" t="n"/>
      <c r="I566" s="201" t="n"/>
      <c r="J566" s="201" t="n"/>
      <c r="K566" s="201" t="n"/>
      <c r="L566" s="201" t="n"/>
      <c r="M566" s="201" t="n"/>
      <c r="N566" s="201" t="n"/>
      <c r="O566" s="201" t="n"/>
      <c r="P566" s="201" t="n"/>
      <c r="Q566" s="201" t="n"/>
      <c r="R566" s="201" t="n"/>
      <c r="S566" s="201" t="n"/>
      <c r="T566" s="201" t="n"/>
      <c r="U566" s="201" t="n"/>
      <c r="V566" s="201" t="n"/>
      <c r="W566" s="201" t="n"/>
      <c r="X566" s="201" t="n"/>
      <c r="Y566" s="201" t="n"/>
      <c r="Z566" s="201" t="n"/>
      <c r="AA566" s="201" t="n"/>
      <c r="AB566" s="201" t="n"/>
      <c r="AC566" s="201" t="n"/>
      <c r="AD566" s="201" t="n"/>
      <c r="AE566" s="201" t="n"/>
      <c r="AF566" s="201" t="n"/>
      <c r="AG566" s="201" t="n"/>
    </row>
    <row r="567" ht="12.75" customHeight="1" s="202">
      <c r="A567" s="201" t="n"/>
      <c r="B567" s="201" t="n"/>
      <c r="C567" s="201" t="n"/>
      <c r="D567" s="201" t="n"/>
      <c r="E567" s="201" t="n"/>
      <c r="F567" s="201" t="n"/>
      <c r="G567" s="201" t="n"/>
      <c r="H567" s="201" t="n"/>
      <c r="I567" s="201" t="n"/>
      <c r="J567" s="201" t="n"/>
      <c r="K567" s="201" t="n"/>
      <c r="L567" s="201" t="n"/>
      <c r="M567" s="201" t="n"/>
      <c r="N567" s="201" t="n"/>
      <c r="O567" s="201" t="n"/>
      <c r="P567" s="201" t="n"/>
      <c r="Q567" s="201" t="n"/>
      <c r="R567" s="201" t="n"/>
      <c r="S567" s="201" t="n"/>
      <c r="T567" s="201" t="n"/>
      <c r="U567" s="201" t="n"/>
      <c r="V567" s="201" t="n"/>
      <c r="W567" s="201" t="n"/>
      <c r="X567" s="201" t="n"/>
      <c r="Y567" s="201" t="n"/>
      <c r="Z567" s="201" t="n"/>
      <c r="AA567" s="201" t="n"/>
      <c r="AB567" s="201" t="n"/>
      <c r="AC567" s="201" t="n"/>
      <c r="AD567" s="201" t="n"/>
      <c r="AE567" s="201" t="n"/>
      <c r="AF567" s="201" t="n"/>
      <c r="AG567" s="201" t="n"/>
    </row>
    <row r="568" ht="12.75" customHeight="1" s="202">
      <c r="A568" s="201" t="n"/>
      <c r="B568" s="201" t="n"/>
      <c r="C568" s="201" t="n"/>
      <c r="D568" s="201" t="n"/>
      <c r="E568" s="201" t="n"/>
      <c r="F568" s="201" t="n"/>
      <c r="G568" s="201" t="n"/>
      <c r="H568" s="201" t="n"/>
      <c r="I568" s="201" t="n"/>
      <c r="J568" s="201" t="n"/>
      <c r="K568" s="201" t="n"/>
      <c r="L568" s="201" t="n"/>
      <c r="M568" s="201" t="n"/>
      <c r="N568" s="201" t="n"/>
      <c r="O568" s="201" t="n"/>
      <c r="P568" s="201" t="n"/>
      <c r="Q568" s="201" t="n"/>
      <c r="R568" s="201" t="n"/>
      <c r="S568" s="201" t="n"/>
      <c r="T568" s="201" t="n"/>
      <c r="U568" s="201" t="n"/>
      <c r="V568" s="201" t="n"/>
      <c r="W568" s="201" t="n"/>
      <c r="X568" s="201" t="n"/>
      <c r="Y568" s="201" t="n"/>
      <c r="Z568" s="201" t="n"/>
      <c r="AA568" s="201" t="n"/>
      <c r="AB568" s="201" t="n"/>
      <c r="AC568" s="201" t="n"/>
      <c r="AD568" s="201" t="n"/>
      <c r="AE568" s="201" t="n"/>
      <c r="AF568" s="201" t="n"/>
      <c r="AG568" s="201" t="n"/>
    </row>
    <row r="569" ht="12.75" customHeight="1" s="202">
      <c r="A569" s="201" t="n"/>
      <c r="B569" s="201" t="n"/>
      <c r="C569" s="201" t="n"/>
      <c r="D569" s="201" t="n"/>
      <c r="E569" s="201" t="n"/>
      <c r="F569" s="201" t="n"/>
      <c r="G569" s="201" t="n"/>
      <c r="H569" s="201" t="n"/>
      <c r="I569" s="201" t="n"/>
      <c r="J569" s="201" t="n"/>
      <c r="K569" s="201" t="n"/>
      <c r="L569" s="201" t="n"/>
      <c r="M569" s="201" t="n"/>
      <c r="N569" s="201" t="n"/>
      <c r="O569" s="201" t="n"/>
      <c r="P569" s="201" t="n"/>
      <c r="Q569" s="201" t="n"/>
      <c r="R569" s="201" t="n"/>
      <c r="S569" s="201" t="n"/>
      <c r="T569" s="201" t="n"/>
      <c r="U569" s="201" t="n"/>
      <c r="V569" s="201" t="n"/>
      <c r="W569" s="201" t="n"/>
      <c r="X569" s="201" t="n"/>
      <c r="Y569" s="201" t="n"/>
      <c r="Z569" s="201" t="n"/>
      <c r="AA569" s="201" t="n"/>
      <c r="AB569" s="201" t="n"/>
      <c r="AC569" s="201" t="n"/>
      <c r="AD569" s="201" t="n"/>
      <c r="AE569" s="201" t="n"/>
      <c r="AF569" s="201" t="n"/>
      <c r="AG569" s="201" t="n"/>
    </row>
    <row r="570" ht="12.75" customHeight="1" s="202">
      <c r="A570" s="201" t="n"/>
      <c r="B570" s="201" t="n"/>
      <c r="C570" s="201" t="n"/>
      <c r="D570" s="201" t="n"/>
      <c r="E570" s="201" t="n"/>
      <c r="F570" s="201" t="n"/>
      <c r="G570" s="201" t="n"/>
      <c r="H570" s="201" t="n"/>
      <c r="I570" s="201" t="n"/>
      <c r="J570" s="201" t="n"/>
      <c r="K570" s="201" t="n"/>
      <c r="L570" s="201" t="n"/>
      <c r="M570" s="201" t="n"/>
      <c r="N570" s="201" t="n"/>
      <c r="O570" s="201" t="n"/>
      <c r="P570" s="201" t="n"/>
      <c r="Q570" s="201" t="n"/>
      <c r="R570" s="201" t="n"/>
      <c r="S570" s="201" t="n"/>
      <c r="T570" s="201" t="n"/>
      <c r="U570" s="201" t="n"/>
      <c r="V570" s="201" t="n"/>
      <c r="W570" s="201" t="n"/>
      <c r="X570" s="201" t="n"/>
      <c r="Y570" s="201" t="n"/>
      <c r="Z570" s="201" t="n"/>
      <c r="AA570" s="201" t="n"/>
      <c r="AB570" s="201" t="n"/>
      <c r="AC570" s="201" t="n"/>
      <c r="AD570" s="201" t="n"/>
      <c r="AE570" s="201" t="n"/>
      <c r="AF570" s="201" t="n"/>
      <c r="AG570" s="201" t="n"/>
    </row>
    <row r="571" ht="12.75" customHeight="1" s="202">
      <c r="A571" s="201" t="n"/>
      <c r="B571" s="201" t="n"/>
      <c r="C571" s="201" t="n"/>
      <c r="D571" s="201" t="n"/>
      <c r="E571" s="201" t="n"/>
      <c r="F571" s="201" t="n"/>
      <c r="G571" s="201" t="n"/>
      <c r="H571" s="201" t="n"/>
      <c r="I571" s="201" t="n"/>
      <c r="J571" s="201" t="n"/>
      <c r="K571" s="201" t="n"/>
      <c r="L571" s="201" t="n"/>
      <c r="M571" s="201" t="n"/>
      <c r="N571" s="201" t="n"/>
      <c r="O571" s="201" t="n"/>
      <c r="P571" s="201" t="n"/>
      <c r="Q571" s="201" t="n"/>
      <c r="R571" s="201" t="n"/>
      <c r="S571" s="201" t="n"/>
      <c r="T571" s="201" t="n"/>
      <c r="U571" s="201" t="n"/>
      <c r="V571" s="201" t="n"/>
      <c r="W571" s="201" t="n"/>
      <c r="X571" s="201" t="n"/>
      <c r="Y571" s="201" t="n"/>
      <c r="Z571" s="201" t="n"/>
      <c r="AA571" s="201" t="n"/>
      <c r="AB571" s="201" t="n"/>
      <c r="AC571" s="201" t="n"/>
      <c r="AD571" s="201" t="n"/>
      <c r="AE571" s="201" t="n"/>
      <c r="AF571" s="201" t="n"/>
      <c r="AG571" s="201" t="n"/>
    </row>
    <row r="572" ht="12.75" customHeight="1" s="202">
      <c r="A572" s="201" t="n"/>
      <c r="B572" s="201" t="n"/>
      <c r="C572" s="201" t="n"/>
      <c r="D572" s="201" t="n"/>
      <c r="E572" s="201" t="n"/>
      <c r="F572" s="201" t="n"/>
      <c r="G572" s="201" t="n"/>
      <c r="H572" s="201" t="n"/>
      <c r="I572" s="201" t="n"/>
      <c r="J572" s="201" t="n"/>
      <c r="K572" s="201" t="n"/>
      <c r="L572" s="201" t="n"/>
      <c r="M572" s="201" t="n"/>
      <c r="N572" s="201" t="n"/>
      <c r="O572" s="201" t="n"/>
      <c r="P572" s="201" t="n"/>
      <c r="Q572" s="201" t="n"/>
      <c r="R572" s="201" t="n"/>
      <c r="S572" s="201" t="n"/>
      <c r="T572" s="201" t="n"/>
      <c r="U572" s="201" t="n"/>
      <c r="V572" s="201" t="n"/>
      <c r="W572" s="201" t="n"/>
      <c r="X572" s="201" t="n"/>
      <c r="Y572" s="201" t="n"/>
      <c r="Z572" s="201" t="n"/>
      <c r="AA572" s="201" t="n"/>
      <c r="AB572" s="201" t="n"/>
      <c r="AC572" s="201" t="n"/>
      <c r="AD572" s="201" t="n"/>
      <c r="AE572" s="201" t="n"/>
      <c r="AF572" s="201" t="n"/>
      <c r="AG572" s="201" t="n"/>
    </row>
    <row r="573" ht="12.75" customHeight="1" s="202">
      <c r="A573" s="201" t="n"/>
      <c r="B573" s="201" t="n"/>
      <c r="C573" s="201" t="n"/>
      <c r="D573" s="201" t="n"/>
      <c r="E573" s="201" t="n"/>
      <c r="F573" s="201" t="n"/>
      <c r="G573" s="201" t="n"/>
      <c r="H573" s="201" t="n"/>
      <c r="I573" s="201" t="n"/>
      <c r="J573" s="201" t="n"/>
      <c r="K573" s="201" t="n"/>
      <c r="L573" s="201" t="n"/>
      <c r="M573" s="201" t="n"/>
      <c r="N573" s="201" t="n"/>
      <c r="O573" s="201" t="n"/>
      <c r="P573" s="201" t="n"/>
      <c r="Q573" s="201" t="n"/>
      <c r="R573" s="201" t="n"/>
      <c r="S573" s="201" t="n"/>
      <c r="T573" s="201" t="n"/>
      <c r="U573" s="201" t="n"/>
      <c r="V573" s="201" t="n"/>
      <c r="W573" s="201" t="n"/>
      <c r="X573" s="201" t="n"/>
      <c r="Y573" s="201" t="n"/>
      <c r="Z573" s="201" t="n"/>
      <c r="AA573" s="201" t="n"/>
      <c r="AB573" s="201" t="n"/>
      <c r="AC573" s="201" t="n"/>
      <c r="AD573" s="201" t="n"/>
      <c r="AE573" s="201" t="n"/>
      <c r="AF573" s="201" t="n"/>
      <c r="AG573" s="201" t="n"/>
    </row>
    <row r="574" ht="12.75" customHeight="1" s="202">
      <c r="A574" s="201" t="n"/>
      <c r="B574" s="201" t="n"/>
      <c r="C574" s="201" t="n"/>
      <c r="D574" s="201" t="n"/>
      <c r="E574" s="201" t="n"/>
      <c r="F574" s="201" t="n"/>
      <c r="G574" s="201" t="n"/>
      <c r="H574" s="201" t="n"/>
      <c r="I574" s="201" t="n"/>
      <c r="J574" s="201" t="n"/>
      <c r="K574" s="201" t="n"/>
      <c r="L574" s="201" t="n"/>
      <c r="M574" s="201" t="n"/>
      <c r="N574" s="201" t="n"/>
      <c r="O574" s="201" t="n"/>
      <c r="P574" s="201" t="n"/>
      <c r="Q574" s="201" t="n"/>
      <c r="R574" s="201" t="n"/>
      <c r="S574" s="201" t="n"/>
      <c r="T574" s="201" t="n"/>
      <c r="U574" s="201" t="n"/>
      <c r="V574" s="201" t="n"/>
      <c r="W574" s="201" t="n"/>
      <c r="X574" s="201" t="n"/>
      <c r="Y574" s="201" t="n"/>
      <c r="Z574" s="201" t="n"/>
      <c r="AA574" s="201" t="n"/>
      <c r="AB574" s="201" t="n"/>
      <c r="AC574" s="201" t="n"/>
      <c r="AD574" s="201" t="n"/>
      <c r="AE574" s="201" t="n"/>
      <c r="AF574" s="201" t="n"/>
      <c r="AG574" s="201" t="n"/>
    </row>
    <row r="575" ht="12.75" customHeight="1" s="202">
      <c r="A575" s="201" t="n"/>
      <c r="B575" s="201" t="n"/>
      <c r="C575" s="201" t="n"/>
      <c r="D575" s="201" t="n"/>
      <c r="E575" s="201" t="n"/>
      <c r="F575" s="201" t="n"/>
      <c r="G575" s="201" t="n"/>
      <c r="H575" s="201" t="n"/>
      <c r="I575" s="201" t="n"/>
      <c r="J575" s="201" t="n"/>
      <c r="K575" s="201" t="n"/>
      <c r="L575" s="201" t="n"/>
      <c r="M575" s="201" t="n"/>
      <c r="N575" s="201" t="n"/>
      <c r="O575" s="201" t="n"/>
      <c r="P575" s="201" t="n"/>
      <c r="Q575" s="201" t="n"/>
      <c r="R575" s="201" t="n"/>
      <c r="S575" s="201" t="n"/>
      <c r="T575" s="201" t="n"/>
      <c r="U575" s="201" t="n"/>
      <c r="V575" s="201" t="n"/>
      <c r="W575" s="201" t="n"/>
      <c r="X575" s="201" t="n"/>
      <c r="Y575" s="201" t="n"/>
      <c r="Z575" s="201" t="n"/>
      <c r="AA575" s="201" t="n"/>
      <c r="AB575" s="201" t="n"/>
      <c r="AC575" s="201" t="n"/>
      <c r="AD575" s="201" t="n"/>
      <c r="AE575" s="201" t="n"/>
      <c r="AF575" s="201" t="n"/>
      <c r="AG575" s="201" t="n"/>
    </row>
    <row r="576" ht="12.75" customHeight="1" s="202">
      <c r="A576" s="201" t="n"/>
      <c r="B576" s="201" t="n"/>
      <c r="C576" s="201" t="n"/>
      <c r="D576" s="201" t="n"/>
      <c r="E576" s="201" t="n"/>
      <c r="F576" s="201" t="n"/>
      <c r="G576" s="201" t="n"/>
      <c r="H576" s="201" t="n"/>
      <c r="I576" s="201" t="n"/>
      <c r="J576" s="201" t="n"/>
      <c r="K576" s="201" t="n"/>
      <c r="L576" s="201" t="n"/>
      <c r="M576" s="201" t="n"/>
      <c r="N576" s="201" t="n"/>
      <c r="O576" s="201" t="n"/>
      <c r="P576" s="201" t="n"/>
      <c r="Q576" s="201" t="n"/>
      <c r="R576" s="201" t="n"/>
      <c r="S576" s="201" t="n"/>
      <c r="T576" s="201" t="n"/>
      <c r="U576" s="201" t="n"/>
      <c r="V576" s="201" t="n"/>
      <c r="W576" s="201" t="n"/>
      <c r="X576" s="201" t="n"/>
      <c r="Y576" s="201" t="n"/>
      <c r="Z576" s="201" t="n"/>
      <c r="AA576" s="201" t="n"/>
      <c r="AB576" s="201" t="n"/>
      <c r="AC576" s="201" t="n"/>
      <c r="AD576" s="201" t="n"/>
      <c r="AE576" s="201" t="n"/>
      <c r="AF576" s="201" t="n"/>
      <c r="AG576" s="201" t="n"/>
    </row>
    <row r="577" ht="12.75" customHeight="1" s="202">
      <c r="A577" s="201" t="n"/>
      <c r="B577" s="201" t="n"/>
      <c r="C577" s="201" t="n"/>
      <c r="D577" s="201" t="n"/>
      <c r="E577" s="201" t="n"/>
      <c r="F577" s="201" t="n"/>
      <c r="G577" s="201" t="n"/>
      <c r="H577" s="201" t="n"/>
      <c r="I577" s="201" t="n"/>
      <c r="J577" s="201" t="n"/>
      <c r="K577" s="201" t="n"/>
      <c r="L577" s="201" t="n"/>
      <c r="M577" s="201" t="n"/>
      <c r="N577" s="201" t="n"/>
      <c r="O577" s="201" t="n"/>
      <c r="P577" s="201" t="n"/>
      <c r="Q577" s="201" t="n"/>
      <c r="R577" s="201" t="n"/>
      <c r="S577" s="201" t="n"/>
      <c r="T577" s="201" t="n"/>
      <c r="U577" s="201" t="n"/>
      <c r="V577" s="201" t="n"/>
      <c r="W577" s="201" t="n"/>
      <c r="X577" s="201" t="n"/>
      <c r="Y577" s="201" t="n"/>
      <c r="Z577" s="201" t="n"/>
      <c r="AA577" s="201" t="n"/>
      <c r="AB577" s="201" t="n"/>
      <c r="AC577" s="201" t="n"/>
      <c r="AD577" s="201" t="n"/>
      <c r="AE577" s="201" t="n"/>
      <c r="AF577" s="201" t="n"/>
      <c r="AG577" s="201" t="n"/>
    </row>
    <row r="578" ht="12.75" customHeight="1" s="202">
      <c r="A578" s="201" t="n"/>
      <c r="B578" s="201" t="n"/>
      <c r="C578" s="201" t="n"/>
      <c r="D578" s="201" t="n"/>
      <c r="E578" s="201" t="n"/>
      <c r="F578" s="201" t="n"/>
      <c r="G578" s="201" t="n"/>
      <c r="H578" s="201" t="n"/>
      <c r="I578" s="201" t="n"/>
      <c r="J578" s="201" t="n"/>
      <c r="K578" s="201" t="n"/>
      <c r="L578" s="201" t="n"/>
      <c r="M578" s="201" t="n"/>
      <c r="N578" s="201" t="n"/>
      <c r="O578" s="201" t="n"/>
      <c r="P578" s="201" t="n"/>
      <c r="Q578" s="201" t="n"/>
      <c r="R578" s="201" t="n"/>
      <c r="S578" s="201" t="n"/>
      <c r="T578" s="201" t="n"/>
      <c r="U578" s="201" t="n"/>
      <c r="V578" s="201" t="n"/>
      <c r="W578" s="201" t="n"/>
      <c r="X578" s="201" t="n"/>
      <c r="Y578" s="201" t="n"/>
      <c r="Z578" s="201" t="n"/>
      <c r="AA578" s="201" t="n"/>
      <c r="AB578" s="201" t="n"/>
      <c r="AC578" s="201" t="n"/>
      <c r="AD578" s="201" t="n"/>
      <c r="AE578" s="201" t="n"/>
      <c r="AF578" s="201" t="n"/>
      <c r="AG578" s="201" t="n"/>
    </row>
    <row r="579" ht="12.75" customHeight="1" s="202">
      <c r="A579" s="201" t="n"/>
      <c r="B579" s="201" t="n"/>
      <c r="C579" s="201" t="n"/>
      <c r="D579" s="201" t="n"/>
      <c r="E579" s="201" t="n"/>
      <c r="F579" s="201" t="n"/>
      <c r="G579" s="201" t="n"/>
      <c r="H579" s="201" t="n"/>
      <c r="I579" s="201" t="n"/>
      <c r="J579" s="201" t="n"/>
      <c r="K579" s="201" t="n"/>
      <c r="L579" s="201" t="n"/>
      <c r="M579" s="201" t="n"/>
      <c r="N579" s="201" t="n"/>
      <c r="O579" s="201" t="n"/>
      <c r="P579" s="201" t="n"/>
      <c r="Q579" s="201" t="n"/>
      <c r="R579" s="201" t="n"/>
      <c r="S579" s="201" t="n"/>
      <c r="T579" s="201" t="n"/>
      <c r="U579" s="201" t="n"/>
      <c r="V579" s="201" t="n"/>
      <c r="W579" s="201" t="n"/>
      <c r="X579" s="201" t="n"/>
      <c r="Y579" s="201" t="n"/>
      <c r="Z579" s="201" t="n"/>
      <c r="AA579" s="201" t="n"/>
      <c r="AB579" s="201" t="n"/>
      <c r="AC579" s="201" t="n"/>
      <c r="AD579" s="201" t="n"/>
      <c r="AE579" s="201" t="n"/>
      <c r="AF579" s="201" t="n"/>
      <c r="AG579" s="201" t="n"/>
    </row>
    <row r="580" ht="12.75" customHeight="1" s="202">
      <c r="A580" s="201" t="n"/>
      <c r="B580" s="201" t="n"/>
      <c r="C580" s="201" t="n"/>
      <c r="D580" s="201" t="n"/>
      <c r="E580" s="201" t="n"/>
      <c r="F580" s="201" t="n"/>
      <c r="G580" s="201" t="n"/>
      <c r="H580" s="201" t="n"/>
      <c r="I580" s="201" t="n"/>
      <c r="J580" s="201" t="n"/>
      <c r="K580" s="201" t="n"/>
      <c r="L580" s="201" t="n"/>
      <c r="M580" s="201" t="n"/>
      <c r="N580" s="201" t="n"/>
      <c r="O580" s="201" t="n"/>
      <c r="P580" s="201" t="n"/>
      <c r="Q580" s="201" t="n"/>
      <c r="R580" s="201" t="n"/>
      <c r="S580" s="201" t="n"/>
      <c r="T580" s="201" t="n"/>
      <c r="U580" s="201" t="n"/>
      <c r="V580" s="201" t="n"/>
      <c r="W580" s="201" t="n"/>
      <c r="X580" s="201" t="n"/>
      <c r="Y580" s="201" t="n"/>
      <c r="Z580" s="201" t="n"/>
      <c r="AA580" s="201" t="n"/>
      <c r="AB580" s="201" t="n"/>
      <c r="AC580" s="201" t="n"/>
      <c r="AD580" s="201" t="n"/>
      <c r="AE580" s="201" t="n"/>
      <c r="AF580" s="201" t="n"/>
      <c r="AG580" s="201" t="n"/>
    </row>
    <row r="581" ht="12.75" customHeight="1" s="202">
      <c r="A581" s="201" t="n"/>
      <c r="B581" s="201" t="n"/>
      <c r="C581" s="201" t="n"/>
      <c r="D581" s="201" t="n"/>
      <c r="E581" s="201" t="n"/>
      <c r="F581" s="201" t="n"/>
      <c r="G581" s="201" t="n"/>
      <c r="H581" s="201" t="n"/>
      <c r="I581" s="201" t="n"/>
      <c r="J581" s="201" t="n"/>
      <c r="K581" s="201" t="n"/>
      <c r="L581" s="201" t="n"/>
      <c r="M581" s="201" t="n"/>
      <c r="N581" s="201" t="n"/>
      <c r="O581" s="201" t="n"/>
      <c r="P581" s="201" t="n"/>
      <c r="Q581" s="201" t="n"/>
      <c r="R581" s="201" t="n"/>
      <c r="S581" s="201" t="n"/>
      <c r="T581" s="201" t="n"/>
      <c r="U581" s="201" t="n"/>
      <c r="V581" s="201" t="n"/>
      <c r="W581" s="201" t="n"/>
      <c r="X581" s="201" t="n"/>
      <c r="Y581" s="201" t="n"/>
      <c r="Z581" s="201" t="n"/>
      <c r="AA581" s="201" t="n"/>
      <c r="AB581" s="201" t="n"/>
      <c r="AC581" s="201" t="n"/>
      <c r="AD581" s="201" t="n"/>
      <c r="AE581" s="201" t="n"/>
      <c r="AF581" s="201" t="n"/>
      <c r="AG581" s="201" t="n"/>
    </row>
    <row r="582" ht="12.75" customHeight="1" s="202">
      <c r="A582" s="201" t="n"/>
      <c r="B582" s="201" t="n"/>
      <c r="C582" s="201" t="n"/>
      <c r="D582" s="201" t="n"/>
      <c r="E582" s="201" t="n"/>
      <c r="F582" s="201" t="n"/>
      <c r="G582" s="201" t="n"/>
      <c r="H582" s="201" t="n"/>
      <c r="I582" s="201" t="n"/>
      <c r="J582" s="201" t="n"/>
      <c r="K582" s="201" t="n"/>
      <c r="L582" s="201" t="n"/>
      <c r="M582" s="201" t="n"/>
      <c r="N582" s="201" t="n"/>
      <c r="O582" s="201" t="n"/>
      <c r="P582" s="201" t="n"/>
      <c r="Q582" s="201" t="n"/>
      <c r="R582" s="201" t="n"/>
      <c r="S582" s="201" t="n"/>
      <c r="T582" s="201" t="n"/>
      <c r="U582" s="201" t="n"/>
      <c r="V582" s="201" t="n"/>
      <c r="W582" s="201" t="n"/>
      <c r="X582" s="201" t="n"/>
      <c r="Y582" s="201" t="n"/>
      <c r="Z582" s="201" t="n"/>
      <c r="AA582" s="201" t="n"/>
      <c r="AB582" s="201" t="n"/>
      <c r="AC582" s="201" t="n"/>
      <c r="AD582" s="201" t="n"/>
      <c r="AE582" s="201" t="n"/>
      <c r="AF582" s="201" t="n"/>
      <c r="AG582" s="201" t="n"/>
    </row>
    <row r="583" ht="12.75" customHeight="1" s="202">
      <c r="A583" s="201" t="n"/>
      <c r="B583" s="201" t="n"/>
      <c r="C583" s="201" t="n"/>
      <c r="D583" s="201" t="n"/>
      <c r="E583" s="201" t="n"/>
      <c r="F583" s="201" t="n"/>
      <c r="G583" s="201" t="n"/>
      <c r="H583" s="201" t="n"/>
      <c r="I583" s="201" t="n"/>
      <c r="J583" s="201" t="n"/>
      <c r="K583" s="201" t="n"/>
      <c r="L583" s="201" t="n"/>
      <c r="M583" s="201" t="n"/>
      <c r="N583" s="201" t="n"/>
      <c r="O583" s="201" t="n"/>
      <c r="P583" s="201" t="n"/>
      <c r="Q583" s="201" t="n"/>
      <c r="R583" s="201" t="n"/>
      <c r="S583" s="201" t="n"/>
      <c r="T583" s="201" t="n"/>
      <c r="U583" s="201" t="n"/>
      <c r="V583" s="201" t="n"/>
      <c r="W583" s="201" t="n"/>
      <c r="X583" s="201" t="n"/>
      <c r="Y583" s="201" t="n"/>
      <c r="Z583" s="201" t="n"/>
      <c r="AA583" s="201" t="n"/>
      <c r="AB583" s="201" t="n"/>
      <c r="AC583" s="201" t="n"/>
      <c r="AD583" s="201" t="n"/>
      <c r="AE583" s="201" t="n"/>
      <c r="AF583" s="201" t="n"/>
      <c r="AG583" s="201" t="n"/>
    </row>
    <row r="584" ht="12.75" customHeight="1" s="202">
      <c r="A584" s="201" t="n"/>
      <c r="B584" s="201" t="n"/>
      <c r="C584" s="201" t="n"/>
      <c r="D584" s="201" t="n"/>
      <c r="E584" s="201" t="n"/>
      <c r="F584" s="201" t="n"/>
      <c r="G584" s="201" t="n"/>
      <c r="H584" s="201" t="n"/>
      <c r="I584" s="201" t="n"/>
      <c r="J584" s="201" t="n"/>
      <c r="K584" s="201" t="n"/>
      <c r="L584" s="201" t="n"/>
      <c r="M584" s="201" t="n"/>
      <c r="N584" s="201" t="n"/>
      <c r="O584" s="201" t="n"/>
      <c r="P584" s="201" t="n"/>
      <c r="Q584" s="201" t="n"/>
      <c r="R584" s="201" t="n"/>
      <c r="S584" s="201" t="n"/>
      <c r="T584" s="201" t="n"/>
      <c r="U584" s="201" t="n"/>
      <c r="V584" s="201" t="n"/>
      <c r="W584" s="201" t="n"/>
      <c r="X584" s="201" t="n"/>
      <c r="Y584" s="201" t="n"/>
      <c r="Z584" s="201" t="n"/>
      <c r="AA584" s="201" t="n"/>
      <c r="AB584" s="201" t="n"/>
      <c r="AC584" s="201" t="n"/>
      <c r="AD584" s="201" t="n"/>
      <c r="AE584" s="201" t="n"/>
      <c r="AF584" s="201" t="n"/>
      <c r="AG584" s="201" t="n"/>
    </row>
    <row r="585" ht="12.75" customHeight="1" s="202">
      <c r="A585" s="201" t="n"/>
      <c r="B585" s="201" t="n"/>
      <c r="C585" s="201" t="n"/>
      <c r="D585" s="201" t="n"/>
      <c r="E585" s="201" t="n"/>
      <c r="F585" s="201" t="n"/>
      <c r="G585" s="201" t="n"/>
      <c r="H585" s="201" t="n"/>
      <c r="I585" s="201" t="n"/>
      <c r="J585" s="201" t="n"/>
      <c r="K585" s="201" t="n"/>
      <c r="L585" s="201" t="n"/>
      <c r="M585" s="201" t="n"/>
      <c r="N585" s="201" t="n"/>
      <c r="O585" s="201" t="n"/>
      <c r="P585" s="201" t="n"/>
      <c r="Q585" s="201" t="n"/>
      <c r="R585" s="201" t="n"/>
      <c r="S585" s="201" t="n"/>
      <c r="T585" s="201" t="n"/>
      <c r="U585" s="201" t="n"/>
      <c r="V585" s="201" t="n"/>
      <c r="W585" s="201" t="n"/>
      <c r="X585" s="201" t="n"/>
      <c r="Y585" s="201" t="n"/>
      <c r="Z585" s="201" t="n"/>
      <c r="AA585" s="201" t="n"/>
      <c r="AB585" s="201" t="n"/>
      <c r="AC585" s="201" t="n"/>
      <c r="AD585" s="201" t="n"/>
      <c r="AE585" s="201" t="n"/>
      <c r="AF585" s="201" t="n"/>
      <c r="AG585" s="201" t="n"/>
    </row>
    <row r="586" ht="12.75" customHeight="1" s="202">
      <c r="A586" s="201" t="n"/>
      <c r="B586" s="201" t="n"/>
      <c r="C586" s="201" t="n"/>
      <c r="D586" s="201" t="n"/>
      <c r="E586" s="201" t="n"/>
      <c r="F586" s="201" t="n"/>
      <c r="G586" s="201" t="n"/>
      <c r="H586" s="201" t="n"/>
      <c r="I586" s="201" t="n"/>
      <c r="J586" s="201" t="n"/>
      <c r="K586" s="201" t="n"/>
      <c r="L586" s="201" t="n"/>
      <c r="M586" s="201" t="n"/>
      <c r="N586" s="201" t="n"/>
      <c r="O586" s="201" t="n"/>
      <c r="P586" s="201" t="n"/>
      <c r="Q586" s="201" t="n"/>
      <c r="R586" s="201" t="n"/>
      <c r="S586" s="201" t="n"/>
      <c r="T586" s="201" t="n"/>
      <c r="U586" s="201" t="n"/>
      <c r="V586" s="201" t="n"/>
      <c r="W586" s="201" t="n"/>
      <c r="X586" s="201" t="n"/>
      <c r="Y586" s="201" t="n"/>
      <c r="Z586" s="201" t="n"/>
      <c r="AA586" s="201" t="n"/>
      <c r="AB586" s="201" t="n"/>
      <c r="AC586" s="201" t="n"/>
      <c r="AD586" s="201" t="n"/>
      <c r="AE586" s="201" t="n"/>
      <c r="AF586" s="201" t="n"/>
      <c r="AG586" s="201" t="n"/>
    </row>
    <row r="587" ht="12.75" customHeight="1" s="202">
      <c r="A587" s="201" t="n"/>
      <c r="B587" s="201" t="n"/>
      <c r="C587" s="201" t="n"/>
      <c r="D587" s="201" t="n"/>
      <c r="E587" s="201" t="n"/>
      <c r="F587" s="201" t="n"/>
      <c r="G587" s="201" t="n"/>
      <c r="H587" s="201" t="n"/>
      <c r="I587" s="201" t="n"/>
      <c r="J587" s="201" t="n"/>
      <c r="K587" s="201" t="n"/>
      <c r="L587" s="201" t="n"/>
      <c r="M587" s="201" t="n"/>
      <c r="N587" s="201" t="n"/>
      <c r="O587" s="201" t="n"/>
      <c r="P587" s="201" t="n"/>
      <c r="Q587" s="201" t="n"/>
      <c r="R587" s="201" t="n"/>
      <c r="S587" s="201" t="n"/>
      <c r="T587" s="201" t="n"/>
      <c r="U587" s="201" t="n"/>
      <c r="V587" s="201" t="n"/>
      <c r="W587" s="201" t="n"/>
      <c r="X587" s="201" t="n"/>
      <c r="Y587" s="201" t="n"/>
      <c r="Z587" s="201" t="n"/>
      <c r="AA587" s="201" t="n"/>
      <c r="AB587" s="201" t="n"/>
      <c r="AC587" s="201" t="n"/>
      <c r="AD587" s="201" t="n"/>
      <c r="AE587" s="201" t="n"/>
      <c r="AF587" s="201" t="n"/>
      <c r="AG587" s="201" t="n"/>
    </row>
    <row r="588" ht="12.75" customHeight="1" s="202">
      <c r="A588" s="201" t="n"/>
      <c r="B588" s="201" t="n"/>
      <c r="C588" s="201" t="n"/>
      <c r="D588" s="201" t="n"/>
      <c r="E588" s="201" t="n"/>
      <c r="F588" s="201" t="n"/>
      <c r="G588" s="201" t="n"/>
      <c r="H588" s="201" t="n"/>
      <c r="I588" s="201" t="n"/>
      <c r="J588" s="201" t="n"/>
      <c r="K588" s="201" t="n"/>
      <c r="L588" s="201" t="n"/>
      <c r="M588" s="201" t="n"/>
      <c r="N588" s="201" t="n"/>
      <c r="O588" s="201" t="n"/>
      <c r="P588" s="201" t="n"/>
      <c r="Q588" s="201" t="n"/>
      <c r="R588" s="201" t="n"/>
      <c r="S588" s="201" t="n"/>
      <c r="T588" s="201" t="n"/>
      <c r="U588" s="201" t="n"/>
      <c r="V588" s="201" t="n"/>
      <c r="W588" s="201" t="n"/>
      <c r="X588" s="201" t="n"/>
      <c r="Y588" s="201" t="n"/>
      <c r="Z588" s="201" t="n"/>
      <c r="AA588" s="201" t="n"/>
      <c r="AB588" s="201" t="n"/>
      <c r="AC588" s="201" t="n"/>
      <c r="AD588" s="201" t="n"/>
      <c r="AE588" s="201" t="n"/>
      <c r="AF588" s="201" t="n"/>
      <c r="AG588" s="201" t="n"/>
    </row>
    <row r="589" ht="12.75" customHeight="1" s="202">
      <c r="A589" s="201" t="n"/>
      <c r="B589" s="201" t="n"/>
      <c r="C589" s="201" t="n"/>
      <c r="D589" s="201" t="n"/>
      <c r="E589" s="201" t="n"/>
      <c r="F589" s="201" t="n"/>
      <c r="G589" s="201" t="n"/>
      <c r="H589" s="201" t="n"/>
      <c r="I589" s="201" t="n"/>
      <c r="J589" s="201" t="n"/>
      <c r="K589" s="201" t="n"/>
      <c r="L589" s="201" t="n"/>
      <c r="M589" s="201" t="n"/>
      <c r="N589" s="201" t="n"/>
      <c r="O589" s="201" t="n"/>
      <c r="P589" s="201" t="n"/>
      <c r="Q589" s="201" t="n"/>
      <c r="R589" s="201" t="n"/>
      <c r="S589" s="201" t="n"/>
      <c r="T589" s="201" t="n"/>
      <c r="U589" s="201" t="n"/>
      <c r="V589" s="201" t="n"/>
      <c r="W589" s="201" t="n"/>
      <c r="X589" s="201" t="n"/>
      <c r="Y589" s="201" t="n"/>
      <c r="Z589" s="201" t="n"/>
      <c r="AA589" s="201" t="n"/>
      <c r="AB589" s="201" t="n"/>
      <c r="AC589" s="201" t="n"/>
      <c r="AD589" s="201" t="n"/>
      <c r="AE589" s="201" t="n"/>
      <c r="AF589" s="201" t="n"/>
      <c r="AG589" s="201" t="n"/>
    </row>
    <row r="590" ht="12.75" customHeight="1" s="202">
      <c r="A590" s="201" t="n"/>
      <c r="B590" s="201" t="n"/>
      <c r="C590" s="201" t="n"/>
      <c r="D590" s="201" t="n"/>
      <c r="E590" s="201" t="n"/>
      <c r="F590" s="201" t="n"/>
      <c r="G590" s="201" t="n"/>
      <c r="H590" s="201" t="n"/>
      <c r="I590" s="201" t="n"/>
      <c r="J590" s="201" t="n"/>
      <c r="K590" s="201" t="n"/>
      <c r="L590" s="201" t="n"/>
      <c r="M590" s="201" t="n"/>
      <c r="N590" s="201" t="n"/>
      <c r="O590" s="201" t="n"/>
      <c r="P590" s="201" t="n"/>
      <c r="Q590" s="201" t="n"/>
      <c r="R590" s="201" t="n"/>
      <c r="S590" s="201" t="n"/>
      <c r="T590" s="201" t="n"/>
      <c r="U590" s="201" t="n"/>
      <c r="V590" s="201" t="n"/>
      <c r="W590" s="201" t="n"/>
      <c r="X590" s="201" t="n"/>
      <c r="Y590" s="201" t="n"/>
      <c r="Z590" s="201" t="n"/>
      <c r="AA590" s="201" t="n"/>
      <c r="AB590" s="201" t="n"/>
      <c r="AC590" s="201" t="n"/>
      <c r="AD590" s="201" t="n"/>
      <c r="AE590" s="201" t="n"/>
      <c r="AF590" s="201" t="n"/>
      <c r="AG590" s="201" t="n"/>
    </row>
    <row r="591" ht="12.75" customHeight="1" s="202">
      <c r="A591" s="201" t="n"/>
      <c r="B591" s="201" t="n"/>
      <c r="C591" s="201" t="n"/>
      <c r="D591" s="201" t="n"/>
      <c r="E591" s="201" t="n"/>
      <c r="F591" s="201" t="n"/>
      <c r="G591" s="201" t="n"/>
      <c r="H591" s="201" t="n"/>
      <c r="I591" s="201" t="n"/>
      <c r="J591" s="201" t="n"/>
      <c r="K591" s="201" t="n"/>
      <c r="L591" s="201" t="n"/>
      <c r="M591" s="201" t="n"/>
      <c r="N591" s="201" t="n"/>
      <c r="O591" s="201" t="n"/>
      <c r="P591" s="201" t="n"/>
      <c r="Q591" s="201" t="n"/>
      <c r="R591" s="201" t="n"/>
      <c r="S591" s="201" t="n"/>
      <c r="T591" s="201" t="n"/>
      <c r="U591" s="201" t="n"/>
      <c r="V591" s="201" t="n"/>
      <c r="W591" s="201" t="n"/>
      <c r="X591" s="201" t="n"/>
      <c r="Y591" s="201" t="n"/>
      <c r="Z591" s="201" t="n"/>
      <c r="AA591" s="201" t="n"/>
      <c r="AB591" s="201" t="n"/>
      <c r="AC591" s="201" t="n"/>
      <c r="AD591" s="201" t="n"/>
      <c r="AE591" s="201" t="n"/>
      <c r="AF591" s="201" t="n"/>
      <c r="AG591" s="201" t="n"/>
    </row>
    <row r="592" ht="12.75" customHeight="1" s="202">
      <c r="A592" s="201" t="n"/>
      <c r="B592" s="201" t="n"/>
      <c r="C592" s="201" t="n"/>
      <c r="D592" s="201" t="n"/>
      <c r="E592" s="201" t="n"/>
      <c r="F592" s="201" t="n"/>
      <c r="G592" s="201" t="n"/>
      <c r="H592" s="201" t="n"/>
      <c r="I592" s="201" t="n"/>
      <c r="J592" s="201" t="n"/>
      <c r="K592" s="201" t="n"/>
      <c r="L592" s="201" t="n"/>
      <c r="M592" s="201" t="n"/>
      <c r="N592" s="201" t="n"/>
      <c r="O592" s="201" t="n"/>
      <c r="P592" s="201" t="n"/>
      <c r="Q592" s="201" t="n"/>
      <c r="R592" s="201" t="n"/>
      <c r="S592" s="201" t="n"/>
      <c r="T592" s="201" t="n"/>
      <c r="U592" s="201" t="n"/>
      <c r="V592" s="201" t="n"/>
      <c r="W592" s="201" t="n"/>
      <c r="X592" s="201" t="n"/>
      <c r="Y592" s="201" t="n"/>
      <c r="Z592" s="201" t="n"/>
      <c r="AA592" s="201" t="n"/>
      <c r="AB592" s="201" t="n"/>
      <c r="AC592" s="201" t="n"/>
      <c r="AD592" s="201" t="n"/>
      <c r="AE592" s="201" t="n"/>
      <c r="AF592" s="201" t="n"/>
      <c r="AG592" s="201" t="n"/>
    </row>
    <row r="593" ht="12.75" customHeight="1" s="202">
      <c r="A593" s="201" t="n"/>
      <c r="B593" s="201" t="n"/>
      <c r="C593" s="201" t="n"/>
      <c r="D593" s="201" t="n"/>
      <c r="E593" s="201" t="n"/>
      <c r="F593" s="201" t="n"/>
      <c r="G593" s="201" t="n"/>
      <c r="H593" s="201" t="n"/>
      <c r="I593" s="201" t="n"/>
      <c r="J593" s="201" t="n"/>
      <c r="K593" s="201" t="n"/>
      <c r="L593" s="201" t="n"/>
      <c r="M593" s="201" t="n"/>
      <c r="N593" s="201" t="n"/>
      <c r="O593" s="201" t="n"/>
      <c r="P593" s="201" t="n"/>
      <c r="Q593" s="201" t="n"/>
      <c r="R593" s="201" t="n"/>
      <c r="S593" s="201" t="n"/>
      <c r="T593" s="201" t="n"/>
      <c r="U593" s="201" t="n"/>
      <c r="V593" s="201" t="n"/>
      <c r="W593" s="201" t="n"/>
      <c r="X593" s="201" t="n"/>
      <c r="Y593" s="201" t="n"/>
      <c r="Z593" s="201" t="n"/>
      <c r="AA593" s="201" t="n"/>
      <c r="AB593" s="201" t="n"/>
      <c r="AC593" s="201" t="n"/>
      <c r="AD593" s="201" t="n"/>
      <c r="AE593" s="201" t="n"/>
      <c r="AF593" s="201" t="n"/>
      <c r="AG593" s="201" t="n"/>
    </row>
    <row r="594" ht="12.75" customHeight="1" s="202">
      <c r="A594" s="201" t="n"/>
      <c r="B594" s="201" t="n"/>
      <c r="C594" s="201" t="n"/>
      <c r="D594" s="201" t="n"/>
      <c r="E594" s="201" t="n"/>
      <c r="F594" s="201" t="n"/>
      <c r="G594" s="201" t="n"/>
      <c r="H594" s="201" t="n"/>
      <c r="I594" s="201" t="n"/>
      <c r="J594" s="201" t="n"/>
      <c r="K594" s="201" t="n"/>
      <c r="L594" s="201" t="n"/>
      <c r="M594" s="201" t="n"/>
      <c r="N594" s="201" t="n"/>
      <c r="O594" s="201" t="n"/>
      <c r="P594" s="201" t="n"/>
      <c r="Q594" s="201" t="n"/>
      <c r="R594" s="201" t="n"/>
      <c r="S594" s="201" t="n"/>
      <c r="T594" s="201" t="n"/>
      <c r="U594" s="201" t="n"/>
      <c r="V594" s="201" t="n"/>
      <c r="W594" s="201" t="n"/>
      <c r="X594" s="201" t="n"/>
      <c r="Y594" s="201" t="n"/>
      <c r="Z594" s="201" t="n"/>
      <c r="AA594" s="201" t="n"/>
      <c r="AB594" s="201" t="n"/>
      <c r="AC594" s="201" t="n"/>
      <c r="AD594" s="201" t="n"/>
      <c r="AE594" s="201" t="n"/>
      <c r="AF594" s="201" t="n"/>
      <c r="AG594" s="201" t="n"/>
    </row>
    <row r="595" ht="12.75" customHeight="1" s="202">
      <c r="A595" s="201" t="n"/>
      <c r="B595" s="201" t="n"/>
      <c r="C595" s="201" t="n"/>
      <c r="D595" s="201" t="n"/>
      <c r="E595" s="201" t="n"/>
      <c r="F595" s="201" t="n"/>
      <c r="G595" s="201" t="n"/>
      <c r="H595" s="201" t="n"/>
      <c r="I595" s="201" t="n"/>
      <c r="J595" s="201" t="n"/>
      <c r="K595" s="201" t="n"/>
      <c r="L595" s="201" t="n"/>
      <c r="M595" s="201" t="n"/>
      <c r="N595" s="201" t="n"/>
      <c r="O595" s="201" t="n"/>
      <c r="P595" s="201" t="n"/>
      <c r="Q595" s="201" t="n"/>
      <c r="R595" s="201" t="n"/>
      <c r="S595" s="201" t="n"/>
      <c r="T595" s="201" t="n"/>
      <c r="U595" s="201" t="n"/>
      <c r="V595" s="201" t="n"/>
      <c r="W595" s="201" t="n"/>
      <c r="X595" s="201" t="n"/>
      <c r="Y595" s="201" t="n"/>
      <c r="Z595" s="201" t="n"/>
      <c r="AA595" s="201" t="n"/>
      <c r="AB595" s="201" t="n"/>
      <c r="AC595" s="201" t="n"/>
      <c r="AD595" s="201" t="n"/>
      <c r="AE595" s="201" t="n"/>
      <c r="AF595" s="201" t="n"/>
      <c r="AG595" s="201" t="n"/>
    </row>
    <row r="596" ht="12.75" customHeight="1" s="202">
      <c r="A596" s="201" t="n"/>
      <c r="B596" s="201" t="n"/>
      <c r="C596" s="201" t="n"/>
      <c r="D596" s="201" t="n"/>
      <c r="E596" s="201" t="n"/>
      <c r="F596" s="201" t="n"/>
      <c r="G596" s="201" t="n"/>
      <c r="H596" s="201" t="n"/>
      <c r="I596" s="201" t="n"/>
      <c r="J596" s="201" t="n"/>
      <c r="K596" s="201" t="n"/>
      <c r="L596" s="201" t="n"/>
      <c r="M596" s="201" t="n"/>
      <c r="N596" s="201" t="n"/>
      <c r="O596" s="201" t="n"/>
      <c r="P596" s="201" t="n"/>
      <c r="Q596" s="201" t="n"/>
      <c r="R596" s="201" t="n"/>
      <c r="S596" s="201" t="n"/>
      <c r="T596" s="201" t="n"/>
      <c r="U596" s="201" t="n"/>
      <c r="V596" s="201" t="n"/>
      <c r="W596" s="201" t="n"/>
      <c r="X596" s="201" t="n"/>
      <c r="Y596" s="201" t="n"/>
      <c r="Z596" s="201" t="n"/>
      <c r="AA596" s="201" t="n"/>
      <c r="AB596" s="201" t="n"/>
      <c r="AC596" s="201" t="n"/>
      <c r="AD596" s="201" t="n"/>
      <c r="AE596" s="201" t="n"/>
      <c r="AF596" s="201" t="n"/>
      <c r="AG596" s="201" t="n"/>
    </row>
    <row r="597" ht="12.75" customHeight="1" s="202">
      <c r="A597" s="201" t="n"/>
      <c r="B597" s="201" t="n"/>
      <c r="C597" s="201" t="n"/>
      <c r="D597" s="201" t="n"/>
      <c r="E597" s="201" t="n"/>
      <c r="F597" s="201" t="n"/>
      <c r="G597" s="201" t="n"/>
      <c r="H597" s="201" t="n"/>
      <c r="I597" s="201" t="n"/>
      <c r="J597" s="201" t="n"/>
      <c r="K597" s="201" t="n"/>
      <c r="L597" s="201" t="n"/>
      <c r="M597" s="201" t="n"/>
      <c r="N597" s="201" t="n"/>
      <c r="O597" s="201" t="n"/>
      <c r="P597" s="201" t="n"/>
      <c r="Q597" s="201" t="n"/>
      <c r="R597" s="201" t="n"/>
      <c r="S597" s="201" t="n"/>
      <c r="T597" s="201" t="n"/>
      <c r="U597" s="201" t="n"/>
      <c r="V597" s="201" t="n"/>
      <c r="W597" s="201" t="n"/>
      <c r="X597" s="201" t="n"/>
      <c r="Y597" s="201" t="n"/>
      <c r="Z597" s="201" t="n"/>
      <c r="AA597" s="201" t="n"/>
      <c r="AB597" s="201" t="n"/>
      <c r="AC597" s="201" t="n"/>
      <c r="AD597" s="201" t="n"/>
      <c r="AE597" s="201" t="n"/>
      <c r="AF597" s="201" t="n"/>
      <c r="AG597" s="201" t="n"/>
    </row>
    <row r="598" ht="12.75" customHeight="1" s="202">
      <c r="A598" s="201" t="n"/>
      <c r="B598" s="201" t="n"/>
      <c r="C598" s="201" t="n"/>
      <c r="D598" s="201" t="n"/>
      <c r="E598" s="201" t="n"/>
      <c r="F598" s="201" t="n"/>
      <c r="G598" s="201" t="n"/>
      <c r="H598" s="201" t="n"/>
      <c r="I598" s="201" t="n"/>
      <c r="J598" s="201" t="n"/>
      <c r="K598" s="201" t="n"/>
      <c r="L598" s="201" t="n"/>
      <c r="M598" s="201" t="n"/>
      <c r="N598" s="201" t="n"/>
      <c r="O598" s="201" t="n"/>
      <c r="P598" s="201" t="n"/>
      <c r="Q598" s="201" t="n"/>
      <c r="R598" s="201" t="n"/>
      <c r="S598" s="201" t="n"/>
      <c r="T598" s="201" t="n"/>
      <c r="U598" s="201" t="n"/>
      <c r="V598" s="201" t="n"/>
      <c r="W598" s="201" t="n"/>
      <c r="X598" s="201" t="n"/>
      <c r="Y598" s="201" t="n"/>
      <c r="Z598" s="201" t="n"/>
      <c r="AA598" s="201" t="n"/>
      <c r="AB598" s="201" t="n"/>
      <c r="AC598" s="201" t="n"/>
      <c r="AD598" s="201" t="n"/>
      <c r="AE598" s="201" t="n"/>
      <c r="AF598" s="201" t="n"/>
      <c r="AG598" s="201" t="n"/>
    </row>
    <row r="599" ht="12.75" customHeight="1" s="202">
      <c r="A599" s="201" t="n"/>
      <c r="B599" s="201" t="n"/>
      <c r="C599" s="201" t="n"/>
      <c r="D599" s="201" t="n"/>
      <c r="E599" s="201" t="n"/>
      <c r="F599" s="201" t="n"/>
      <c r="G599" s="201" t="n"/>
      <c r="H599" s="201" t="n"/>
      <c r="I599" s="201" t="n"/>
      <c r="J599" s="201" t="n"/>
      <c r="K599" s="201" t="n"/>
      <c r="L599" s="201" t="n"/>
      <c r="M599" s="201" t="n"/>
      <c r="N599" s="201" t="n"/>
      <c r="O599" s="201" t="n"/>
      <c r="P599" s="201" t="n"/>
      <c r="Q599" s="201" t="n"/>
      <c r="R599" s="201" t="n"/>
      <c r="S599" s="201" t="n"/>
      <c r="T599" s="201" t="n"/>
      <c r="U599" s="201" t="n"/>
      <c r="V599" s="201" t="n"/>
      <c r="W599" s="201" t="n"/>
      <c r="X599" s="201" t="n"/>
      <c r="Y599" s="201" t="n"/>
      <c r="Z599" s="201" t="n"/>
      <c r="AA599" s="201" t="n"/>
      <c r="AB599" s="201" t="n"/>
      <c r="AC599" s="201" t="n"/>
      <c r="AD599" s="201" t="n"/>
      <c r="AE599" s="201" t="n"/>
      <c r="AF599" s="201" t="n"/>
      <c r="AG599" s="201" t="n"/>
    </row>
    <row r="600" ht="12.75" customHeight="1" s="202">
      <c r="A600" s="201" t="n"/>
      <c r="B600" s="201" t="n"/>
      <c r="C600" s="201" t="n"/>
      <c r="D600" s="201" t="n"/>
      <c r="E600" s="201" t="n"/>
      <c r="F600" s="201" t="n"/>
      <c r="G600" s="201" t="n"/>
      <c r="H600" s="201" t="n"/>
      <c r="I600" s="201" t="n"/>
      <c r="J600" s="201" t="n"/>
      <c r="K600" s="201" t="n"/>
      <c r="L600" s="201" t="n"/>
      <c r="M600" s="201" t="n"/>
      <c r="N600" s="201" t="n"/>
      <c r="O600" s="201" t="n"/>
      <c r="P600" s="201" t="n"/>
      <c r="Q600" s="201" t="n"/>
      <c r="R600" s="201" t="n"/>
      <c r="S600" s="201" t="n"/>
      <c r="T600" s="201" t="n"/>
      <c r="U600" s="201" t="n"/>
      <c r="V600" s="201" t="n"/>
      <c r="W600" s="201" t="n"/>
      <c r="X600" s="201" t="n"/>
      <c r="Y600" s="201" t="n"/>
      <c r="Z600" s="201" t="n"/>
      <c r="AA600" s="201" t="n"/>
      <c r="AB600" s="201" t="n"/>
      <c r="AC600" s="201" t="n"/>
      <c r="AD600" s="201" t="n"/>
      <c r="AE600" s="201" t="n"/>
      <c r="AF600" s="201" t="n"/>
      <c r="AG600" s="201" t="n"/>
    </row>
    <row r="601" ht="12.75" customHeight="1" s="202">
      <c r="A601" s="201" t="n"/>
      <c r="B601" s="201" t="n"/>
      <c r="C601" s="201" t="n"/>
      <c r="D601" s="201" t="n"/>
      <c r="E601" s="201" t="n"/>
      <c r="F601" s="201" t="n"/>
      <c r="G601" s="201" t="n"/>
      <c r="H601" s="201" t="n"/>
      <c r="I601" s="201" t="n"/>
      <c r="J601" s="201" t="n"/>
      <c r="K601" s="201" t="n"/>
      <c r="L601" s="201" t="n"/>
      <c r="M601" s="201" t="n"/>
      <c r="N601" s="201" t="n"/>
      <c r="O601" s="201" t="n"/>
      <c r="P601" s="201" t="n"/>
      <c r="Q601" s="201" t="n"/>
      <c r="R601" s="201" t="n"/>
      <c r="S601" s="201" t="n"/>
      <c r="T601" s="201" t="n"/>
      <c r="U601" s="201" t="n"/>
      <c r="V601" s="201" t="n"/>
      <c r="W601" s="201" t="n"/>
      <c r="X601" s="201" t="n"/>
      <c r="Y601" s="201" t="n"/>
      <c r="Z601" s="201" t="n"/>
      <c r="AA601" s="201" t="n"/>
      <c r="AB601" s="201" t="n"/>
      <c r="AC601" s="201" t="n"/>
      <c r="AD601" s="201" t="n"/>
      <c r="AE601" s="201" t="n"/>
      <c r="AF601" s="201" t="n"/>
      <c r="AG601" s="201" t="n"/>
    </row>
    <row r="602" ht="12.75" customHeight="1" s="202">
      <c r="A602" s="201" t="n"/>
      <c r="B602" s="201" t="n"/>
      <c r="C602" s="201" t="n"/>
      <c r="D602" s="201" t="n"/>
      <c r="E602" s="201" t="n"/>
      <c r="F602" s="201" t="n"/>
      <c r="G602" s="201" t="n"/>
      <c r="H602" s="201" t="n"/>
      <c r="I602" s="201" t="n"/>
      <c r="J602" s="201" t="n"/>
      <c r="K602" s="201" t="n"/>
      <c r="L602" s="201" t="n"/>
      <c r="M602" s="201" t="n"/>
      <c r="N602" s="201" t="n"/>
      <c r="O602" s="201" t="n"/>
      <c r="P602" s="201" t="n"/>
      <c r="Q602" s="201" t="n"/>
      <c r="R602" s="201" t="n"/>
      <c r="S602" s="201" t="n"/>
      <c r="T602" s="201" t="n"/>
      <c r="U602" s="201" t="n"/>
      <c r="V602" s="201" t="n"/>
      <c r="W602" s="201" t="n"/>
      <c r="X602" s="201" t="n"/>
      <c r="Y602" s="201" t="n"/>
      <c r="Z602" s="201" t="n"/>
      <c r="AA602" s="201" t="n"/>
      <c r="AB602" s="201" t="n"/>
      <c r="AC602" s="201" t="n"/>
      <c r="AD602" s="201" t="n"/>
      <c r="AE602" s="201" t="n"/>
      <c r="AF602" s="201" t="n"/>
      <c r="AG602" s="201" t="n"/>
    </row>
    <row r="603" ht="12.75" customHeight="1" s="202">
      <c r="A603" s="201" t="n"/>
      <c r="B603" s="201" t="n"/>
      <c r="C603" s="201" t="n"/>
      <c r="D603" s="201" t="n"/>
      <c r="E603" s="201" t="n"/>
      <c r="F603" s="201" t="n"/>
      <c r="G603" s="201" t="n"/>
      <c r="H603" s="201" t="n"/>
      <c r="I603" s="201" t="n"/>
      <c r="J603" s="201" t="n"/>
      <c r="K603" s="201" t="n"/>
      <c r="L603" s="201" t="n"/>
      <c r="M603" s="201" t="n"/>
      <c r="N603" s="201" t="n"/>
      <c r="O603" s="201" t="n"/>
      <c r="P603" s="201" t="n"/>
      <c r="Q603" s="201" t="n"/>
      <c r="R603" s="201" t="n"/>
      <c r="S603" s="201" t="n"/>
      <c r="T603" s="201" t="n"/>
      <c r="U603" s="201" t="n"/>
      <c r="V603" s="201" t="n"/>
      <c r="W603" s="201" t="n"/>
      <c r="X603" s="201" t="n"/>
      <c r="Y603" s="201" t="n"/>
      <c r="Z603" s="201" t="n"/>
      <c r="AA603" s="201" t="n"/>
      <c r="AB603" s="201" t="n"/>
      <c r="AC603" s="201" t="n"/>
      <c r="AD603" s="201" t="n"/>
      <c r="AE603" s="201" t="n"/>
      <c r="AF603" s="201" t="n"/>
      <c r="AG603" s="201" t="n"/>
    </row>
    <row r="604" ht="12.75" customHeight="1" s="202">
      <c r="A604" s="201" t="n"/>
      <c r="B604" s="201" t="n"/>
      <c r="C604" s="201" t="n"/>
      <c r="D604" s="201" t="n"/>
      <c r="E604" s="201" t="n"/>
      <c r="F604" s="201" t="n"/>
      <c r="G604" s="201" t="n"/>
      <c r="H604" s="201" t="n"/>
      <c r="I604" s="201" t="n"/>
      <c r="J604" s="201" t="n"/>
      <c r="K604" s="201" t="n"/>
      <c r="L604" s="201" t="n"/>
      <c r="M604" s="201" t="n"/>
      <c r="N604" s="201" t="n"/>
      <c r="O604" s="201" t="n"/>
      <c r="P604" s="201" t="n"/>
      <c r="Q604" s="201" t="n"/>
      <c r="R604" s="201" t="n"/>
      <c r="S604" s="201" t="n"/>
      <c r="T604" s="201" t="n"/>
      <c r="U604" s="201" t="n"/>
      <c r="V604" s="201" t="n"/>
      <c r="W604" s="201" t="n"/>
      <c r="X604" s="201" t="n"/>
      <c r="Y604" s="201" t="n"/>
      <c r="Z604" s="201" t="n"/>
      <c r="AA604" s="201" t="n"/>
      <c r="AB604" s="201" t="n"/>
      <c r="AC604" s="201" t="n"/>
      <c r="AD604" s="201" t="n"/>
      <c r="AE604" s="201" t="n"/>
      <c r="AF604" s="201" t="n"/>
      <c r="AG604" s="201" t="n"/>
    </row>
    <row r="605" ht="12.75" customHeight="1" s="202">
      <c r="A605" s="201" t="n"/>
      <c r="B605" s="201" t="n"/>
      <c r="C605" s="201" t="n"/>
      <c r="D605" s="201" t="n"/>
      <c r="E605" s="201" t="n"/>
      <c r="F605" s="201" t="n"/>
      <c r="G605" s="201" t="n"/>
      <c r="H605" s="201" t="n"/>
      <c r="I605" s="201" t="n"/>
      <c r="J605" s="201" t="n"/>
      <c r="K605" s="201" t="n"/>
      <c r="L605" s="201" t="n"/>
      <c r="M605" s="201" t="n"/>
      <c r="N605" s="201" t="n"/>
      <c r="O605" s="201" t="n"/>
      <c r="P605" s="201" t="n"/>
      <c r="Q605" s="201" t="n"/>
      <c r="R605" s="201" t="n"/>
      <c r="S605" s="201" t="n"/>
      <c r="T605" s="201" t="n"/>
      <c r="U605" s="201" t="n"/>
      <c r="V605" s="201" t="n"/>
      <c r="W605" s="201" t="n"/>
      <c r="X605" s="201" t="n"/>
      <c r="Y605" s="201" t="n"/>
      <c r="Z605" s="201" t="n"/>
      <c r="AA605" s="201" t="n"/>
      <c r="AB605" s="201" t="n"/>
      <c r="AC605" s="201" t="n"/>
      <c r="AD605" s="201" t="n"/>
      <c r="AE605" s="201" t="n"/>
      <c r="AF605" s="201" t="n"/>
      <c r="AG605" s="201" t="n"/>
    </row>
    <row r="606" ht="12.75" customHeight="1" s="202">
      <c r="A606" s="201" t="n"/>
      <c r="B606" s="201" t="n"/>
      <c r="C606" s="201" t="n"/>
      <c r="D606" s="201" t="n"/>
      <c r="E606" s="201" t="n"/>
      <c r="F606" s="201" t="n"/>
      <c r="G606" s="201" t="n"/>
      <c r="H606" s="201" t="n"/>
      <c r="I606" s="201" t="n"/>
      <c r="J606" s="201" t="n"/>
      <c r="K606" s="201" t="n"/>
      <c r="L606" s="201" t="n"/>
      <c r="M606" s="201" t="n"/>
      <c r="N606" s="201" t="n"/>
      <c r="O606" s="201" t="n"/>
      <c r="P606" s="201" t="n"/>
      <c r="Q606" s="201" t="n"/>
      <c r="R606" s="201" t="n"/>
      <c r="S606" s="201" t="n"/>
      <c r="T606" s="201" t="n"/>
      <c r="U606" s="201" t="n"/>
      <c r="V606" s="201" t="n"/>
      <c r="W606" s="201" t="n"/>
      <c r="X606" s="201" t="n"/>
      <c r="Y606" s="201" t="n"/>
      <c r="Z606" s="201" t="n"/>
      <c r="AA606" s="201" t="n"/>
      <c r="AB606" s="201" t="n"/>
      <c r="AC606" s="201" t="n"/>
      <c r="AD606" s="201" t="n"/>
      <c r="AE606" s="201" t="n"/>
      <c r="AF606" s="201" t="n"/>
      <c r="AG606" s="201" t="n"/>
    </row>
    <row r="607" ht="12.75" customHeight="1" s="202">
      <c r="A607" s="201" t="n"/>
      <c r="B607" s="201" t="n"/>
      <c r="C607" s="201" t="n"/>
      <c r="D607" s="201" t="n"/>
      <c r="E607" s="201" t="n"/>
      <c r="F607" s="201" t="n"/>
      <c r="G607" s="201" t="n"/>
      <c r="H607" s="201" t="n"/>
      <c r="I607" s="201" t="n"/>
      <c r="J607" s="201" t="n"/>
      <c r="K607" s="201" t="n"/>
      <c r="L607" s="201" t="n"/>
      <c r="M607" s="201" t="n"/>
      <c r="N607" s="201" t="n"/>
      <c r="O607" s="201" t="n"/>
      <c r="P607" s="201" t="n"/>
      <c r="Q607" s="201" t="n"/>
      <c r="R607" s="201" t="n"/>
      <c r="S607" s="201" t="n"/>
      <c r="T607" s="201" t="n"/>
      <c r="U607" s="201" t="n"/>
      <c r="V607" s="201" t="n"/>
      <c r="W607" s="201" t="n"/>
      <c r="X607" s="201" t="n"/>
      <c r="Y607" s="201" t="n"/>
      <c r="Z607" s="201" t="n"/>
      <c r="AA607" s="201" t="n"/>
      <c r="AB607" s="201" t="n"/>
      <c r="AC607" s="201" t="n"/>
      <c r="AD607" s="201" t="n"/>
      <c r="AE607" s="201" t="n"/>
      <c r="AF607" s="201" t="n"/>
      <c r="AG607" s="201" t="n"/>
    </row>
    <row r="608" ht="12.75" customHeight="1" s="202">
      <c r="A608" s="201" t="n"/>
      <c r="B608" s="201" t="n"/>
      <c r="C608" s="201" t="n"/>
      <c r="D608" s="201" t="n"/>
      <c r="E608" s="201" t="n"/>
      <c r="F608" s="201" t="n"/>
      <c r="G608" s="201" t="n"/>
      <c r="H608" s="201" t="n"/>
      <c r="I608" s="201" t="n"/>
      <c r="J608" s="201" t="n"/>
      <c r="K608" s="201" t="n"/>
      <c r="L608" s="201" t="n"/>
      <c r="M608" s="201" t="n"/>
      <c r="N608" s="201" t="n"/>
      <c r="O608" s="201" t="n"/>
      <c r="P608" s="201" t="n"/>
      <c r="Q608" s="201" t="n"/>
      <c r="R608" s="201" t="n"/>
      <c r="S608" s="201" t="n"/>
      <c r="T608" s="201" t="n"/>
      <c r="U608" s="201" t="n"/>
      <c r="V608" s="201" t="n"/>
      <c r="W608" s="201" t="n"/>
      <c r="X608" s="201" t="n"/>
      <c r="Y608" s="201" t="n"/>
      <c r="Z608" s="201" t="n"/>
      <c r="AA608" s="201" t="n"/>
      <c r="AB608" s="201" t="n"/>
      <c r="AC608" s="201" t="n"/>
      <c r="AD608" s="201" t="n"/>
      <c r="AE608" s="201" t="n"/>
      <c r="AF608" s="201" t="n"/>
      <c r="AG608" s="201" t="n"/>
    </row>
    <row r="609" ht="12.75" customHeight="1" s="202">
      <c r="A609" s="201" t="n"/>
      <c r="B609" s="201" t="n"/>
      <c r="C609" s="201" t="n"/>
      <c r="D609" s="201" t="n"/>
      <c r="E609" s="201" t="n"/>
      <c r="F609" s="201" t="n"/>
      <c r="G609" s="201" t="n"/>
      <c r="H609" s="201" t="n"/>
      <c r="I609" s="201" t="n"/>
      <c r="J609" s="201" t="n"/>
      <c r="K609" s="201" t="n"/>
      <c r="L609" s="201" t="n"/>
      <c r="M609" s="201" t="n"/>
      <c r="N609" s="201" t="n"/>
      <c r="O609" s="201" t="n"/>
      <c r="P609" s="201" t="n"/>
      <c r="Q609" s="201" t="n"/>
      <c r="R609" s="201" t="n"/>
      <c r="S609" s="201" t="n"/>
      <c r="T609" s="201" t="n"/>
      <c r="U609" s="201" t="n"/>
      <c r="V609" s="201" t="n"/>
      <c r="W609" s="201" t="n"/>
      <c r="X609" s="201" t="n"/>
      <c r="Y609" s="201" t="n"/>
      <c r="Z609" s="201" t="n"/>
      <c r="AA609" s="201" t="n"/>
      <c r="AB609" s="201" t="n"/>
      <c r="AC609" s="201" t="n"/>
      <c r="AD609" s="201" t="n"/>
      <c r="AE609" s="201" t="n"/>
      <c r="AF609" s="201" t="n"/>
      <c r="AG609" s="201" t="n"/>
    </row>
    <row r="610" ht="12.75" customHeight="1" s="202">
      <c r="A610" s="201" t="n"/>
      <c r="B610" s="201" t="n"/>
      <c r="C610" s="201" t="n"/>
      <c r="D610" s="201" t="n"/>
      <c r="E610" s="201" t="n"/>
      <c r="F610" s="201" t="n"/>
      <c r="G610" s="201" t="n"/>
      <c r="H610" s="201" t="n"/>
      <c r="I610" s="201" t="n"/>
      <c r="J610" s="201" t="n"/>
      <c r="K610" s="201" t="n"/>
      <c r="L610" s="201" t="n"/>
      <c r="M610" s="201" t="n"/>
      <c r="N610" s="201" t="n"/>
      <c r="O610" s="201" t="n"/>
      <c r="P610" s="201" t="n"/>
      <c r="Q610" s="201" t="n"/>
      <c r="R610" s="201" t="n"/>
      <c r="S610" s="201" t="n"/>
      <c r="T610" s="201" t="n"/>
      <c r="U610" s="201" t="n"/>
      <c r="V610" s="201" t="n"/>
      <c r="W610" s="201" t="n"/>
      <c r="X610" s="201" t="n"/>
      <c r="Y610" s="201" t="n"/>
      <c r="Z610" s="201" t="n"/>
      <c r="AA610" s="201" t="n"/>
      <c r="AB610" s="201" t="n"/>
      <c r="AC610" s="201" t="n"/>
      <c r="AD610" s="201" t="n"/>
      <c r="AE610" s="201" t="n"/>
      <c r="AF610" s="201" t="n"/>
      <c r="AG610" s="201" t="n"/>
    </row>
    <row r="611" ht="12.75" customHeight="1" s="202">
      <c r="A611" s="201" t="n"/>
      <c r="B611" s="201" t="n"/>
      <c r="C611" s="201" t="n"/>
      <c r="D611" s="201" t="n"/>
      <c r="E611" s="201" t="n"/>
      <c r="F611" s="201" t="n"/>
      <c r="G611" s="201" t="n"/>
      <c r="H611" s="201" t="n"/>
      <c r="I611" s="201" t="n"/>
      <c r="J611" s="201" t="n"/>
      <c r="K611" s="201" t="n"/>
      <c r="L611" s="201" t="n"/>
      <c r="M611" s="201" t="n"/>
      <c r="N611" s="201" t="n"/>
      <c r="O611" s="201" t="n"/>
      <c r="P611" s="201" t="n"/>
      <c r="Q611" s="201" t="n"/>
      <c r="R611" s="201" t="n"/>
      <c r="S611" s="201" t="n"/>
      <c r="T611" s="201" t="n"/>
      <c r="U611" s="201" t="n"/>
      <c r="V611" s="201" t="n"/>
      <c r="W611" s="201" t="n"/>
      <c r="X611" s="201" t="n"/>
      <c r="Y611" s="201" t="n"/>
      <c r="Z611" s="201" t="n"/>
      <c r="AA611" s="201" t="n"/>
      <c r="AB611" s="201" t="n"/>
      <c r="AC611" s="201" t="n"/>
      <c r="AD611" s="201" t="n"/>
      <c r="AE611" s="201" t="n"/>
      <c r="AF611" s="201" t="n"/>
      <c r="AG611" s="201" t="n"/>
    </row>
    <row r="612" ht="12.75" customHeight="1" s="202">
      <c r="A612" s="201" t="n"/>
      <c r="B612" s="201" t="n"/>
      <c r="C612" s="201" t="n"/>
      <c r="D612" s="201" t="n"/>
      <c r="E612" s="201" t="n"/>
      <c r="F612" s="201" t="n"/>
      <c r="G612" s="201" t="n"/>
      <c r="H612" s="201" t="n"/>
      <c r="I612" s="201" t="n"/>
      <c r="J612" s="201" t="n"/>
      <c r="K612" s="201" t="n"/>
      <c r="L612" s="201" t="n"/>
      <c r="M612" s="201" t="n"/>
      <c r="N612" s="201" t="n"/>
      <c r="O612" s="201" t="n"/>
      <c r="P612" s="201" t="n"/>
      <c r="Q612" s="201" t="n"/>
      <c r="R612" s="201" t="n"/>
      <c r="S612" s="201" t="n"/>
      <c r="T612" s="201" t="n"/>
      <c r="U612" s="201" t="n"/>
      <c r="V612" s="201" t="n"/>
      <c r="W612" s="201" t="n"/>
      <c r="X612" s="201" t="n"/>
      <c r="Y612" s="201" t="n"/>
      <c r="Z612" s="201" t="n"/>
      <c r="AA612" s="201" t="n"/>
      <c r="AB612" s="201" t="n"/>
      <c r="AC612" s="201" t="n"/>
      <c r="AD612" s="201" t="n"/>
      <c r="AE612" s="201" t="n"/>
      <c r="AF612" s="201" t="n"/>
      <c r="AG612" s="201" t="n"/>
    </row>
    <row r="613" ht="12.75" customHeight="1" s="202">
      <c r="A613" s="201" t="n"/>
      <c r="B613" s="201" t="n"/>
      <c r="C613" s="201" t="n"/>
      <c r="D613" s="201" t="n"/>
      <c r="E613" s="201" t="n"/>
      <c r="F613" s="201" t="n"/>
      <c r="G613" s="201" t="n"/>
      <c r="H613" s="201" t="n"/>
      <c r="I613" s="201" t="n"/>
      <c r="J613" s="201" t="n"/>
      <c r="K613" s="201" t="n"/>
      <c r="L613" s="201" t="n"/>
      <c r="M613" s="201" t="n"/>
      <c r="N613" s="201" t="n"/>
      <c r="O613" s="201" t="n"/>
      <c r="P613" s="201" t="n"/>
      <c r="Q613" s="201" t="n"/>
      <c r="R613" s="201" t="n"/>
      <c r="S613" s="201" t="n"/>
      <c r="T613" s="201" t="n"/>
      <c r="U613" s="201" t="n"/>
      <c r="V613" s="201" t="n"/>
      <c r="W613" s="201" t="n"/>
      <c r="X613" s="201" t="n"/>
      <c r="Y613" s="201" t="n"/>
      <c r="Z613" s="201" t="n"/>
      <c r="AA613" s="201" t="n"/>
      <c r="AB613" s="201" t="n"/>
      <c r="AC613" s="201" t="n"/>
      <c r="AD613" s="201" t="n"/>
      <c r="AE613" s="201" t="n"/>
      <c r="AF613" s="201" t="n"/>
      <c r="AG613" s="201" t="n"/>
    </row>
    <row r="614" ht="12.75" customHeight="1" s="202">
      <c r="A614" s="201" t="n"/>
      <c r="B614" s="201" t="n"/>
      <c r="C614" s="201" t="n"/>
      <c r="D614" s="201" t="n"/>
      <c r="E614" s="201" t="n"/>
      <c r="F614" s="201" t="n"/>
      <c r="G614" s="201" t="n"/>
      <c r="H614" s="201" t="n"/>
      <c r="I614" s="201" t="n"/>
      <c r="J614" s="201" t="n"/>
      <c r="K614" s="201" t="n"/>
      <c r="L614" s="201" t="n"/>
      <c r="M614" s="201" t="n"/>
      <c r="N614" s="201" t="n"/>
      <c r="O614" s="201" t="n"/>
      <c r="P614" s="201" t="n"/>
      <c r="Q614" s="201" t="n"/>
      <c r="R614" s="201" t="n"/>
      <c r="S614" s="201" t="n"/>
      <c r="T614" s="201" t="n"/>
      <c r="U614" s="201" t="n"/>
      <c r="V614" s="201" t="n"/>
      <c r="W614" s="201" t="n"/>
      <c r="X614" s="201" t="n"/>
      <c r="Y614" s="201" t="n"/>
      <c r="Z614" s="201" t="n"/>
      <c r="AA614" s="201" t="n"/>
      <c r="AB614" s="201" t="n"/>
      <c r="AC614" s="201" t="n"/>
      <c r="AD614" s="201" t="n"/>
      <c r="AE614" s="201" t="n"/>
      <c r="AF614" s="201" t="n"/>
      <c r="AG614" s="201" t="n"/>
    </row>
    <row r="615" ht="12.75" customHeight="1" s="202">
      <c r="A615" s="201" t="n"/>
      <c r="B615" s="201" t="n"/>
      <c r="C615" s="201" t="n"/>
      <c r="D615" s="201" t="n"/>
      <c r="E615" s="201" t="n"/>
      <c r="F615" s="201" t="n"/>
      <c r="G615" s="201" t="n"/>
      <c r="H615" s="201" t="n"/>
      <c r="I615" s="201" t="n"/>
      <c r="J615" s="201" t="n"/>
      <c r="K615" s="201" t="n"/>
      <c r="L615" s="201" t="n"/>
      <c r="M615" s="201" t="n"/>
      <c r="N615" s="201" t="n"/>
      <c r="O615" s="201" t="n"/>
      <c r="P615" s="201" t="n"/>
      <c r="Q615" s="201" t="n"/>
      <c r="R615" s="201" t="n"/>
      <c r="S615" s="201" t="n"/>
      <c r="T615" s="201" t="n"/>
      <c r="U615" s="201" t="n"/>
      <c r="V615" s="201" t="n"/>
      <c r="W615" s="201" t="n"/>
      <c r="X615" s="201" t="n"/>
      <c r="Y615" s="201" t="n"/>
      <c r="Z615" s="201" t="n"/>
      <c r="AA615" s="201" t="n"/>
      <c r="AB615" s="201" t="n"/>
      <c r="AC615" s="201" t="n"/>
      <c r="AD615" s="201" t="n"/>
      <c r="AE615" s="201" t="n"/>
      <c r="AF615" s="201" t="n"/>
      <c r="AG615" s="201" t="n"/>
    </row>
    <row r="616" ht="12.75" customHeight="1" s="202">
      <c r="A616" s="201" t="n"/>
      <c r="B616" s="201" t="n"/>
      <c r="C616" s="201" t="n"/>
      <c r="D616" s="201" t="n"/>
      <c r="E616" s="201" t="n"/>
      <c r="F616" s="201" t="n"/>
      <c r="G616" s="201" t="n"/>
      <c r="H616" s="201" t="n"/>
      <c r="I616" s="201" t="n"/>
      <c r="J616" s="201" t="n"/>
      <c r="K616" s="201" t="n"/>
      <c r="L616" s="201" t="n"/>
      <c r="M616" s="201" t="n"/>
      <c r="N616" s="201" t="n"/>
      <c r="O616" s="201" t="n"/>
      <c r="P616" s="201" t="n"/>
      <c r="Q616" s="201" t="n"/>
      <c r="R616" s="201" t="n"/>
      <c r="S616" s="201" t="n"/>
      <c r="T616" s="201" t="n"/>
      <c r="U616" s="201" t="n"/>
      <c r="V616" s="201" t="n"/>
      <c r="W616" s="201" t="n"/>
      <c r="X616" s="201" t="n"/>
      <c r="Y616" s="201" t="n"/>
      <c r="Z616" s="201" t="n"/>
      <c r="AA616" s="201" t="n"/>
      <c r="AB616" s="201" t="n"/>
      <c r="AC616" s="201" t="n"/>
      <c r="AD616" s="201" t="n"/>
      <c r="AE616" s="201" t="n"/>
      <c r="AF616" s="201" t="n"/>
      <c r="AG616" s="201" t="n"/>
    </row>
    <row r="617" ht="12.75" customHeight="1" s="202">
      <c r="A617" s="201" t="n"/>
      <c r="B617" s="201" t="n"/>
      <c r="C617" s="201" t="n"/>
      <c r="D617" s="201" t="n"/>
      <c r="E617" s="201" t="n"/>
      <c r="F617" s="201" t="n"/>
      <c r="G617" s="201" t="n"/>
      <c r="H617" s="201" t="n"/>
      <c r="I617" s="201" t="n"/>
      <c r="J617" s="201" t="n"/>
      <c r="K617" s="201" t="n"/>
      <c r="L617" s="201" t="n"/>
      <c r="M617" s="201" t="n"/>
      <c r="N617" s="201" t="n"/>
      <c r="O617" s="201" t="n"/>
      <c r="P617" s="201" t="n"/>
      <c r="Q617" s="201" t="n"/>
      <c r="R617" s="201" t="n"/>
      <c r="S617" s="201" t="n"/>
      <c r="T617" s="201" t="n"/>
      <c r="U617" s="201" t="n"/>
      <c r="V617" s="201" t="n"/>
      <c r="W617" s="201" t="n"/>
      <c r="X617" s="201" t="n"/>
      <c r="Y617" s="201" t="n"/>
      <c r="Z617" s="201" t="n"/>
      <c r="AA617" s="201" t="n"/>
      <c r="AB617" s="201" t="n"/>
      <c r="AC617" s="201" t="n"/>
      <c r="AD617" s="201" t="n"/>
      <c r="AE617" s="201" t="n"/>
      <c r="AF617" s="201" t="n"/>
      <c r="AG617" s="201" t="n"/>
    </row>
    <row r="618" ht="12.75" customHeight="1" s="202">
      <c r="A618" s="201" t="n"/>
      <c r="B618" s="201" t="n"/>
      <c r="C618" s="201" t="n"/>
      <c r="D618" s="201" t="n"/>
      <c r="E618" s="201" t="n"/>
      <c r="F618" s="201" t="n"/>
      <c r="G618" s="201" t="n"/>
      <c r="H618" s="201" t="n"/>
      <c r="I618" s="201" t="n"/>
      <c r="J618" s="201" t="n"/>
      <c r="K618" s="201" t="n"/>
      <c r="L618" s="201" t="n"/>
      <c r="M618" s="201" t="n"/>
      <c r="N618" s="201" t="n"/>
      <c r="O618" s="201" t="n"/>
      <c r="P618" s="201" t="n"/>
      <c r="Q618" s="201" t="n"/>
      <c r="R618" s="201" t="n"/>
      <c r="S618" s="201" t="n"/>
      <c r="T618" s="201" t="n"/>
      <c r="U618" s="201" t="n"/>
      <c r="V618" s="201" t="n"/>
      <c r="W618" s="201" t="n"/>
      <c r="X618" s="201" t="n"/>
      <c r="Y618" s="201" t="n"/>
      <c r="Z618" s="201" t="n"/>
      <c r="AA618" s="201" t="n"/>
      <c r="AB618" s="201" t="n"/>
      <c r="AC618" s="201" t="n"/>
      <c r="AD618" s="201" t="n"/>
      <c r="AE618" s="201" t="n"/>
      <c r="AF618" s="201" t="n"/>
      <c r="AG618" s="201" t="n"/>
    </row>
    <row r="619" ht="12.75" customHeight="1" s="202">
      <c r="A619" s="201" t="n"/>
      <c r="B619" s="201" t="n"/>
      <c r="C619" s="201" t="n"/>
      <c r="D619" s="201" t="n"/>
      <c r="E619" s="201" t="n"/>
      <c r="F619" s="201" t="n"/>
      <c r="G619" s="201" t="n"/>
      <c r="H619" s="201" t="n"/>
      <c r="I619" s="201" t="n"/>
      <c r="J619" s="201" t="n"/>
      <c r="K619" s="201" t="n"/>
      <c r="L619" s="201" t="n"/>
      <c r="M619" s="201" t="n"/>
      <c r="N619" s="201" t="n"/>
      <c r="O619" s="201" t="n"/>
      <c r="P619" s="201" t="n"/>
      <c r="Q619" s="201" t="n"/>
      <c r="R619" s="201" t="n"/>
      <c r="S619" s="201" t="n"/>
      <c r="T619" s="201" t="n"/>
      <c r="U619" s="201" t="n"/>
      <c r="V619" s="201" t="n"/>
      <c r="W619" s="201" t="n"/>
      <c r="X619" s="201" t="n"/>
      <c r="Y619" s="201" t="n"/>
      <c r="Z619" s="201" t="n"/>
      <c r="AA619" s="201" t="n"/>
      <c r="AB619" s="201" t="n"/>
      <c r="AC619" s="201" t="n"/>
      <c r="AD619" s="201" t="n"/>
      <c r="AE619" s="201" t="n"/>
      <c r="AF619" s="201" t="n"/>
      <c r="AG619" s="201" t="n"/>
    </row>
    <row r="620" ht="12.75" customHeight="1" s="202">
      <c r="A620" s="201" t="n"/>
      <c r="B620" s="201" t="n"/>
      <c r="C620" s="201" t="n"/>
      <c r="D620" s="201" t="n"/>
      <c r="E620" s="201" t="n"/>
      <c r="F620" s="201" t="n"/>
      <c r="G620" s="201" t="n"/>
      <c r="H620" s="201" t="n"/>
      <c r="I620" s="201" t="n"/>
      <c r="J620" s="201" t="n"/>
      <c r="K620" s="201" t="n"/>
      <c r="L620" s="201" t="n"/>
      <c r="M620" s="201" t="n"/>
      <c r="N620" s="201" t="n"/>
      <c r="O620" s="201" t="n"/>
      <c r="P620" s="201" t="n"/>
      <c r="Q620" s="201" t="n"/>
      <c r="R620" s="201" t="n"/>
      <c r="S620" s="201" t="n"/>
      <c r="T620" s="201" t="n"/>
      <c r="U620" s="201" t="n"/>
      <c r="V620" s="201" t="n"/>
      <c r="W620" s="201" t="n"/>
      <c r="X620" s="201" t="n"/>
      <c r="Y620" s="201" t="n"/>
      <c r="Z620" s="201" t="n"/>
      <c r="AA620" s="201" t="n"/>
      <c r="AB620" s="201" t="n"/>
      <c r="AC620" s="201" t="n"/>
      <c r="AD620" s="201" t="n"/>
      <c r="AE620" s="201" t="n"/>
      <c r="AF620" s="201" t="n"/>
      <c r="AG620" s="201" t="n"/>
    </row>
    <row r="621" ht="12.75" customHeight="1" s="202">
      <c r="A621" s="201" t="n"/>
      <c r="B621" s="201" t="n"/>
      <c r="C621" s="201" t="n"/>
      <c r="D621" s="201" t="n"/>
      <c r="E621" s="201" t="n"/>
      <c r="F621" s="201" t="n"/>
      <c r="G621" s="201" t="n"/>
      <c r="H621" s="201" t="n"/>
      <c r="I621" s="201" t="n"/>
      <c r="J621" s="201" t="n"/>
      <c r="K621" s="201" t="n"/>
      <c r="L621" s="201" t="n"/>
      <c r="M621" s="201" t="n"/>
      <c r="N621" s="201" t="n"/>
      <c r="O621" s="201" t="n"/>
      <c r="P621" s="201" t="n"/>
      <c r="Q621" s="201" t="n"/>
      <c r="R621" s="201" t="n"/>
      <c r="S621" s="201" t="n"/>
      <c r="T621" s="201" t="n"/>
      <c r="U621" s="201" t="n"/>
      <c r="V621" s="201" t="n"/>
      <c r="W621" s="201" t="n"/>
      <c r="X621" s="201" t="n"/>
      <c r="Y621" s="201" t="n"/>
      <c r="Z621" s="201" t="n"/>
      <c r="AA621" s="201" t="n"/>
      <c r="AB621" s="201" t="n"/>
      <c r="AC621" s="201" t="n"/>
      <c r="AD621" s="201" t="n"/>
      <c r="AE621" s="201" t="n"/>
      <c r="AF621" s="201" t="n"/>
      <c r="AG621" s="201" t="n"/>
    </row>
    <row r="622" ht="12.75" customHeight="1" s="202">
      <c r="A622" s="201" t="n"/>
      <c r="B622" s="201" t="n"/>
      <c r="C622" s="201" t="n"/>
      <c r="D622" s="201" t="n"/>
      <c r="E622" s="201" t="n"/>
      <c r="F622" s="201" t="n"/>
      <c r="G622" s="201" t="n"/>
      <c r="H622" s="201" t="n"/>
      <c r="I622" s="201" t="n"/>
      <c r="J622" s="201" t="n"/>
      <c r="K622" s="201" t="n"/>
      <c r="L622" s="201" t="n"/>
      <c r="M622" s="201" t="n"/>
      <c r="N622" s="201" t="n"/>
      <c r="O622" s="201" t="n"/>
      <c r="P622" s="201" t="n"/>
      <c r="Q622" s="201" t="n"/>
      <c r="R622" s="201" t="n"/>
      <c r="S622" s="201" t="n"/>
      <c r="T622" s="201" t="n"/>
      <c r="U622" s="201" t="n"/>
      <c r="V622" s="201" t="n"/>
      <c r="W622" s="201" t="n"/>
      <c r="X622" s="201" t="n"/>
      <c r="Y622" s="201" t="n"/>
      <c r="Z622" s="201" t="n"/>
      <c r="AA622" s="201" t="n"/>
      <c r="AB622" s="201" t="n"/>
      <c r="AC622" s="201" t="n"/>
      <c r="AD622" s="201" t="n"/>
      <c r="AE622" s="201" t="n"/>
      <c r="AF622" s="201" t="n"/>
      <c r="AG622" s="201" t="n"/>
    </row>
    <row r="623" ht="12.75" customHeight="1" s="202">
      <c r="A623" s="201" t="n"/>
      <c r="B623" s="201" t="n"/>
      <c r="C623" s="201" t="n"/>
      <c r="D623" s="201" t="n"/>
      <c r="E623" s="201" t="n"/>
      <c r="F623" s="201" t="n"/>
      <c r="G623" s="201" t="n"/>
      <c r="H623" s="201" t="n"/>
      <c r="I623" s="201" t="n"/>
      <c r="J623" s="201" t="n"/>
      <c r="K623" s="201" t="n"/>
      <c r="L623" s="201" t="n"/>
      <c r="M623" s="201" t="n"/>
      <c r="N623" s="201" t="n"/>
      <c r="O623" s="201" t="n"/>
      <c r="P623" s="201" t="n"/>
      <c r="Q623" s="201" t="n"/>
      <c r="R623" s="201" t="n"/>
      <c r="S623" s="201" t="n"/>
      <c r="T623" s="201" t="n"/>
      <c r="U623" s="201" t="n"/>
      <c r="V623" s="201" t="n"/>
      <c r="W623" s="201" t="n"/>
      <c r="X623" s="201" t="n"/>
      <c r="Y623" s="201" t="n"/>
      <c r="Z623" s="201" t="n"/>
      <c r="AA623" s="201" t="n"/>
      <c r="AB623" s="201" t="n"/>
      <c r="AC623" s="201" t="n"/>
      <c r="AD623" s="201" t="n"/>
      <c r="AE623" s="201" t="n"/>
      <c r="AF623" s="201" t="n"/>
      <c r="AG623" s="201" t="n"/>
    </row>
    <row r="624" ht="12.75" customHeight="1" s="202">
      <c r="A624" s="201" t="n"/>
      <c r="B624" s="201" t="n"/>
      <c r="C624" s="201" t="n"/>
      <c r="D624" s="201" t="n"/>
      <c r="E624" s="201" t="n"/>
      <c r="F624" s="201" t="n"/>
      <c r="G624" s="201" t="n"/>
      <c r="H624" s="201" t="n"/>
      <c r="I624" s="201" t="n"/>
      <c r="J624" s="201" t="n"/>
      <c r="K624" s="201" t="n"/>
      <c r="L624" s="201" t="n"/>
      <c r="M624" s="201" t="n"/>
      <c r="N624" s="201" t="n"/>
      <c r="O624" s="201" t="n"/>
      <c r="P624" s="201" t="n"/>
      <c r="Q624" s="201" t="n"/>
      <c r="R624" s="201" t="n"/>
      <c r="S624" s="201" t="n"/>
      <c r="T624" s="201" t="n"/>
      <c r="U624" s="201" t="n"/>
      <c r="V624" s="201" t="n"/>
      <c r="W624" s="201" t="n"/>
      <c r="X624" s="201" t="n"/>
      <c r="Y624" s="201" t="n"/>
      <c r="Z624" s="201" t="n"/>
      <c r="AA624" s="201" t="n"/>
      <c r="AB624" s="201" t="n"/>
      <c r="AC624" s="201" t="n"/>
      <c r="AD624" s="201" t="n"/>
      <c r="AE624" s="201" t="n"/>
      <c r="AF624" s="201" t="n"/>
      <c r="AG624" s="201" t="n"/>
    </row>
    <row r="625" ht="12.75" customHeight="1" s="202">
      <c r="A625" s="201" t="n"/>
      <c r="B625" s="201" t="n"/>
      <c r="C625" s="201" t="n"/>
      <c r="D625" s="201" t="n"/>
      <c r="E625" s="201" t="n"/>
      <c r="F625" s="201" t="n"/>
      <c r="G625" s="201" t="n"/>
      <c r="H625" s="201" t="n"/>
      <c r="I625" s="201" t="n"/>
      <c r="J625" s="201" t="n"/>
      <c r="K625" s="201" t="n"/>
      <c r="L625" s="201" t="n"/>
      <c r="M625" s="201" t="n"/>
      <c r="N625" s="201" t="n"/>
      <c r="O625" s="201" t="n"/>
      <c r="P625" s="201" t="n"/>
      <c r="Q625" s="201" t="n"/>
      <c r="R625" s="201" t="n"/>
      <c r="S625" s="201" t="n"/>
      <c r="T625" s="201" t="n"/>
      <c r="U625" s="201" t="n"/>
      <c r="V625" s="201" t="n"/>
      <c r="W625" s="201" t="n"/>
      <c r="X625" s="201" t="n"/>
      <c r="Y625" s="201" t="n"/>
      <c r="Z625" s="201" t="n"/>
      <c r="AA625" s="201" t="n"/>
      <c r="AB625" s="201" t="n"/>
      <c r="AC625" s="201" t="n"/>
      <c r="AD625" s="201" t="n"/>
      <c r="AE625" s="201" t="n"/>
      <c r="AF625" s="201" t="n"/>
      <c r="AG625" s="201" t="n"/>
    </row>
    <row r="626" ht="12.75" customHeight="1" s="202">
      <c r="A626" s="201" t="n"/>
      <c r="B626" s="201" t="n"/>
      <c r="C626" s="201" t="n"/>
      <c r="D626" s="201" t="n"/>
      <c r="E626" s="201" t="n"/>
      <c r="F626" s="201" t="n"/>
      <c r="G626" s="201" t="n"/>
      <c r="H626" s="201" t="n"/>
      <c r="I626" s="201" t="n"/>
      <c r="J626" s="201" t="n"/>
      <c r="K626" s="201" t="n"/>
      <c r="L626" s="201" t="n"/>
      <c r="M626" s="201" t="n"/>
      <c r="N626" s="201" t="n"/>
      <c r="O626" s="201" t="n"/>
      <c r="P626" s="201" t="n"/>
      <c r="Q626" s="201" t="n"/>
      <c r="R626" s="201" t="n"/>
      <c r="S626" s="201" t="n"/>
      <c r="T626" s="201" t="n"/>
      <c r="U626" s="201" t="n"/>
      <c r="V626" s="201" t="n"/>
      <c r="W626" s="201" t="n"/>
      <c r="X626" s="201" t="n"/>
      <c r="Y626" s="201" t="n"/>
      <c r="Z626" s="201" t="n"/>
      <c r="AA626" s="201" t="n"/>
      <c r="AB626" s="201" t="n"/>
      <c r="AC626" s="201" t="n"/>
      <c r="AD626" s="201" t="n"/>
      <c r="AE626" s="201" t="n"/>
      <c r="AF626" s="201" t="n"/>
      <c r="AG626" s="201" t="n"/>
    </row>
    <row r="627" ht="12.75" customHeight="1" s="202">
      <c r="A627" s="201" t="n"/>
      <c r="B627" s="201" t="n"/>
      <c r="C627" s="201" t="n"/>
      <c r="D627" s="201" t="n"/>
      <c r="E627" s="201" t="n"/>
      <c r="F627" s="201" t="n"/>
      <c r="G627" s="201" t="n"/>
      <c r="H627" s="201" t="n"/>
      <c r="I627" s="201" t="n"/>
      <c r="J627" s="201" t="n"/>
      <c r="K627" s="201" t="n"/>
      <c r="L627" s="201" t="n"/>
      <c r="M627" s="201" t="n"/>
      <c r="N627" s="201" t="n"/>
      <c r="O627" s="201" t="n"/>
      <c r="P627" s="201" t="n"/>
      <c r="Q627" s="201" t="n"/>
      <c r="R627" s="201" t="n"/>
      <c r="S627" s="201" t="n"/>
      <c r="T627" s="201" t="n"/>
      <c r="U627" s="201" t="n"/>
      <c r="V627" s="201" t="n"/>
      <c r="W627" s="201" t="n"/>
      <c r="X627" s="201" t="n"/>
      <c r="Y627" s="201" t="n"/>
      <c r="Z627" s="201" t="n"/>
      <c r="AA627" s="201" t="n"/>
      <c r="AB627" s="201" t="n"/>
      <c r="AC627" s="201" t="n"/>
      <c r="AD627" s="201" t="n"/>
      <c r="AE627" s="201" t="n"/>
      <c r="AF627" s="201" t="n"/>
      <c r="AG627" s="201" t="n"/>
    </row>
    <row r="628" ht="12.75" customHeight="1" s="202">
      <c r="A628" s="201" t="n"/>
      <c r="B628" s="201" t="n"/>
      <c r="C628" s="201" t="n"/>
      <c r="D628" s="201" t="n"/>
      <c r="E628" s="201" t="n"/>
      <c r="F628" s="201" t="n"/>
      <c r="G628" s="201" t="n"/>
      <c r="H628" s="201" t="n"/>
      <c r="I628" s="201" t="n"/>
      <c r="J628" s="201" t="n"/>
      <c r="K628" s="201" t="n"/>
      <c r="L628" s="201" t="n"/>
      <c r="M628" s="201" t="n"/>
      <c r="N628" s="201" t="n"/>
      <c r="O628" s="201" t="n"/>
      <c r="P628" s="201" t="n"/>
      <c r="Q628" s="201" t="n"/>
      <c r="R628" s="201" t="n"/>
      <c r="S628" s="201" t="n"/>
      <c r="T628" s="201" t="n"/>
      <c r="U628" s="201" t="n"/>
      <c r="V628" s="201" t="n"/>
      <c r="W628" s="201" t="n"/>
      <c r="X628" s="201" t="n"/>
      <c r="Y628" s="201" t="n"/>
      <c r="Z628" s="201" t="n"/>
      <c r="AA628" s="201" t="n"/>
      <c r="AB628" s="201" t="n"/>
      <c r="AC628" s="201" t="n"/>
      <c r="AD628" s="201" t="n"/>
      <c r="AE628" s="201" t="n"/>
      <c r="AF628" s="201" t="n"/>
      <c r="AG628" s="201" t="n"/>
    </row>
    <row r="629" ht="12.75" customHeight="1" s="202">
      <c r="A629" s="201" t="n"/>
      <c r="B629" s="201" t="n"/>
      <c r="C629" s="201" t="n"/>
      <c r="D629" s="201" t="n"/>
      <c r="E629" s="201" t="n"/>
      <c r="F629" s="201" t="n"/>
      <c r="G629" s="201" t="n"/>
      <c r="H629" s="201" t="n"/>
      <c r="I629" s="201" t="n"/>
      <c r="J629" s="201" t="n"/>
      <c r="K629" s="201" t="n"/>
      <c r="L629" s="201" t="n"/>
      <c r="M629" s="201" t="n"/>
      <c r="N629" s="201" t="n"/>
      <c r="O629" s="201" t="n"/>
      <c r="P629" s="201" t="n"/>
      <c r="Q629" s="201" t="n"/>
      <c r="R629" s="201" t="n"/>
      <c r="S629" s="201" t="n"/>
      <c r="T629" s="201" t="n"/>
      <c r="U629" s="201" t="n"/>
      <c r="V629" s="201" t="n"/>
      <c r="W629" s="201" t="n"/>
      <c r="X629" s="201" t="n"/>
      <c r="Y629" s="201" t="n"/>
      <c r="Z629" s="201" t="n"/>
      <c r="AA629" s="201" t="n"/>
      <c r="AB629" s="201" t="n"/>
      <c r="AC629" s="201" t="n"/>
      <c r="AD629" s="201" t="n"/>
      <c r="AE629" s="201" t="n"/>
      <c r="AF629" s="201" t="n"/>
      <c r="AG629" s="201" t="n"/>
    </row>
    <row r="630" ht="12.75" customHeight="1" s="202">
      <c r="A630" s="201" t="n"/>
      <c r="B630" s="201" t="n"/>
      <c r="C630" s="201" t="n"/>
      <c r="D630" s="201" t="n"/>
      <c r="E630" s="201" t="n"/>
      <c r="F630" s="201" t="n"/>
      <c r="G630" s="201" t="n"/>
      <c r="H630" s="201" t="n"/>
      <c r="I630" s="201" t="n"/>
      <c r="J630" s="201" t="n"/>
      <c r="K630" s="201" t="n"/>
      <c r="L630" s="201" t="n"/>
      <c r="M630" s="201" t="n"/>
      <c r="N630" s="201" t="n"/>
      <c r="O630" s="201" t="n"/>
      <c r="P630" s="201" t="n"/>
      <c r="Q630" s="201" t="n"/>
      <c r="R630" s="201" t="n"/>
      <c r="S630" s="201" t="n"/>
      <c r="T630" s="201" t="n"/>
      <c r="U630" s="201" t="n"/>
      <c r="V630" s="201" t="n"/>
      <c r="W630" s="201" t="n"/>
      <c r="X630" s="201" t="n"/>
      <c r="Y630" s="201" t="n"/>
      <c r="Z630" s="201" t="n"/>
      <c r="AA630" s="201" t="n"/>
      <c r="AB630" s="201" t="n"/>
      <c r="AC630" s="201" t="n"/>
      <c r="AD630" s="201" t="n"/>
      <c r="AE630" s="201" t="n"/>
      <c r="AF630" s="201" t="n"/>
      <c r="AG630" s="201" t="n"/>
    </row>
    <row r="631" ht="12.75" customHeight="1" s="202">
      <c r="A631" s="201" t="n"/>
      <c r="B631" s="201" t="n"/>
      <c r="C631" s="201" t="n"/>
      <c r="D631" s="201" t="n"/>
      <c r="E631" s="201" t="n"/>
      <c r="F631" s="201" t="n"/>
      <c r="G631" s="201" t="n"/>
      <c r="H631" s="201" t="n"/>
      <c r="I631" s="201" t="n"/>
      <c r="J631" s="201" t="n"/>
      <c r="K631" s="201" t="n"/>
      <c r="L631" s="201" t="n"/>
      <c r="M631" s="201" t="n"/>
      <c r="N631" s="201" t="n"/>
      <c r="O631" s="201" t="n"/>
      <c r="P631" s="201" t="n"/>
      <c r="Q631" s="201" t="n"/>
      <c r="R631" s="201" t="n"/>
      <c r="S631" s="201" t="n"/>
      <c r="T631" s="201" t="n"/>
      <c r="U631" s="201" t="n"/>
      <c r="V631" s="201" t="n"/>
      <c r="W631" s="201" t="n"/>
      <c r="X631" s="201" t="n"/>
      <c r="Y631" s="201" t="n"/>
      <c r="Z631" s="201" t="n"/>
      <c r="AA631" s="201" t="n"/>
      <c r="AB631" s="201" t="n"/>
      <c r="AC631" s="201" t="n"/>
      <c r="AD631" s="201" t="n"/>
      <c r="AE631" s="201" t="n"/>
      <c r="AF631" s="201" t="n"/>
      <c r="AG631" s="201" t="n"/>
    </row>
    <row r="632" ht="12.75" customHeight="1" s="202">
      <c r="A632" s="201" t="n"/>
      <c r="B632" s="201" t="n"/>
      <c r="C632" s="201" t="n"/>
      <c r="D632" s="201" t="n"/>
      <c r="E632" s="201" t="n"/>
      <c r="F632" s="201" t="n"/>
      <c r="G632" s="201" t="n"/>
      <c r="H632" s="201" t="n"/>
      <c r="I632" s="201" t="n"/>
      <c r="J632" s="201" t="n"/>
      <c r="K632" s="201" t="n"/>
      <c r="L632" s="201" t="n"/>
      <c r="M632" s="201" t="n"/>
      <c r="N632" s="201" t="n"/>
      <c r="O632" s="201" t="n"/>
      <c r="P632" s="201" t="n"/>
      <c r="Q632" s="201" t="n"/>
      <c r="R632" s="201" t="n"/>
      <c r="S632" s="201" t="n"/>
      <c r="T632" s="201" t="n"/>
      <c r="U632" s="201" t="n"/>
      <c r="V632" s="201" t="n"/>
      <c r="W632" s="201" t="n"/>
      <c r="X632" s="201" t="n"/>
      <c r="Y632" s="201" t="n"/>
      <c r="Z632" s="201" t="n"/>
      <c r="AA632" s="201" t="n"/>
      <c r="AB632" s="201" t="n"/>
      <c r="AC632" s="201" t="n"/>
      <c r="AD632" s="201" t="n"/>
      <c r="AE632" s="201" t="n"/>
      <c r="AF632" s="201" t="n"/>
      <c r="AG632" s="201" t="n"/>
    </row>
    <row r="633" ht="12.75" customHeight="1" s="202">
      <c r="A633" s="201" t="n"/>
      <c r="B633" s="201" t="n"/>
      <c r="C633" s="201" t="n"/>
      <c r="D633" s="201" t="n"/>
      <c r="E633" s="201" t="n"/>
      <c r="F633" s="201" t="n"/>
      <c r="G633" s="201" t="n"/>
      <c r="H633" s="201" t="n"/>
      <c r="I633" s="201" t="n"/>
      <c r="J633" s="201" t="n"/>
      <c r="K633" s="201" t="n"/>
      <c r="L633" s="201" t="n"/>
      <c r="M633" s="201" t="n"/>
      <c r="N633" s="201" t="n"/>
      <c r="O633" s="201" t="n"/>
      <c r="P633" s="201" t="n"/>
      <c r="Q633" s="201" t="n"/>
      <c r="R633" s="201" t="n"/>
      <c r="S633" s="201" t="n"/>
      <c r="T633" s="201" t="n"/>
      <c r="U633" s="201" t="n"/>
      <c r="V633" s="201" t="n"/>
      <c r="W633" s="201" t="n"/>
      <c r="X633" s="201" t="n"/>
      <c r="Y633" s="201" t="n"/>
      <c r="Z633" s="201" t="n"/>
      <c r="AA633" s="201" t="n"/>
      <c r="AB633" s="201" t="n"/>
      <c r="AC633" s="201" t="n"/>
      <c r="AD633" s="201" t="n"/>
      <c r="AE633" s="201" t="n"/>
      <c r="AF633" s="201" t="n"/>
      <c r="AG633" s="201" t="n"/>
    </row>
    <row r="634" ht="12.75" customHeight="1" s="202">
      <c r="A634" s="201" t="n"/>
      <c r="B634" s="201" t="n"/>
      <c r="C634" s="201" t="n"/>
      <c r="D634" s="201" t="n"/>
      <c r="E634" s="201" t="n"/>
      <c r="F634" s="201" t="n"/>
      <c r="G634" s="201" t="n"/>
      <c r="H634" s="201" t="n"/>
      <c r="I634" s="201" t="n"/>
      <c r="J634" s="201" t="n"/>
      <c r="K634" s="201" t="n"/>
      <c r="L634" s="201" t="n"/>
      <c r="M634" s="201" t="n"/>
      <c r="N634" s="201" t="n"/>
      <c r="O634" s="201" t="n"/>
      <c r="P634" s="201" t="n"/>
      <c r="Q634" s="201" t="n"/>
      <c r="R634" s="201" t="n"/>
      <c r="S634" s="201" t="n"/>
      <c r="T634" s="201" t="n"/>
      <c r="U634" s="201" t="n"/>
      <c r="V634" s="201" t="n"/>
      <c r="W634" s="201" t="n"/>
      <c r="X634" s="201" t="n"/>
      <c r="Y634" s="201" t="n"/>
      <c r="Z634" s="201" t="n"/>
      <c r="AA634" s="201" t="n"/>
      <c r="AB634" s="201" t="n"/>
      <c r="AC634" s="201" t="n"/>
      <c r="AD634" s="201" t="n"/>
      <c r="AE634" s="201" t="n"/>
      <c r="AF634" s="201" t="n"/>
      <c r="AG634" s="201" t="n"/>
    </row>
    <row r="635" ht="12.75" customHeight="1" s="202">
      <c r="A635" s="201" t="n"/>
      <c r="B635" s="201" t="n"/>
      <c r="C635" s="201" t="n"/>
      <c r="D635" s="201" t="n"/>
      <c r="E635" s="201" t="n"/>
      <c r="F635" s="201" t="n"/>
      <c r="G635" s="201" t="n"/>
      <c r="H635" s="201" t="n"/>
      <c r="I635" s="201" t="n"/>
      <c r="J635" s="201" t="n"/>
      <c r="K635" s="201" t="n"/>
      <c r="L635" s="201" t="n"/>
      <c r="M635" s="201" t="n"/>
      <c r="N635" s="201" t="n"/>
      <c r="O635" s="201" t="n"/>
      <c r="P635" s="201" t="n"/>
      <c r="Q635" s="201" t="n"/>
      <c r="R635" s="201" t="n"/>
      <c r="S635" s="201" t="n"/>
      <c r="T635" s="201" t="n"/>
      <c r="U635" s="201" t="n"/>
      <c r="V635" s="201" t="n"/>
      <c r="W635" s="201" t="n"/>
      <c r="X635" s="201" t="n"/>
      <c r="Y635" s="201" t="n"/>
      <c r="Z635" s="201" t="n"/>
      <c r="AA635" s="201" t="n"/>
      <c r="AB635" s="201" t="n"/>
      <c r="AC635" s="201" t="n"/>
      <c r="AD635" s="201" t="n"/>
      <c r="AE635" s="201" t="n"/>
      <c r="AF635" s="201" t="n"/>
      <c r="AG635" s="201" t="n"/>
    </row>
    <row r="636" ht="12.75" customHeight="1" s="202">
      <c r="A636" s="201" t="n"/>
      <c r="B636" s="201" t="n"/>
      <c r="C636" s="201" t="n"/>
      <c r="D636" s="201" t="n"/>
      <c r="E636" s="201" t="n"/>
      <c r="F636" s="201" t="n"/>
      <c r="G636" s="201" t="n"/>
      <c r="H636" s="201" t="n"/>
      <c r="I636" s="201" t="n"/>
      <c r="J636" s="201" t="n"/>
      <c r="K636" s="201" t="n"/>
      <c r="L636" s="201" t="n"/>
      <c r="M636" s="201" t="n"/>
      <c r="N636" s="201" t="n"/>
      <c r="O636" s="201" t="n"/>
      <c r="P636" s="201" t="n"/>
      <c r="Q636" s="201" t="n"/>
      <c r="R636" s="201" t="n"/>
      <c r="S636" s="201" t="n"/>
      <c r="T636" s="201" t="n"/>
      <c r="U636" s="201" t="n"/>
      <c r="V636" s="201" t="n"/>
      <c r="W636" s="201" t="n"/>
      <c r="X636" s="201" t="n"/>
      <c r="Y636" s="201" t="n"/>
      <c r="Z636" s="201" t="n"/>
      <c r="AA636" s="201" t="n"/>
      <c r="AB636" s="201" t="n"/>
      <c r="AC636" s="201" t="n"/>
      <c r="AD636" s="201" t="n"/>
      <c r="AE636" s="201" t="n"/>
      <c r="AF636" s="201" t="n"/>
      <c r="AG636" s="201" t="n"/>
    </row>
    <row r="637" ht="12.75" customHeight="1" s="202">
      <c r="A637" s="201" t="n"/>
      <c r="B637" s="201" t="n"/>
      <c r="C637" s="201" t="n"/>
      <c r="D637" s="201" t="n"/>
      <c r="E637" s="201" t="n"/>
      <c r="F637" s="201" t="n"/>
      <c r="G637" s="201" t="n"/>
      <c r="H637" s="201" t="n"/>
      <c r="I637" s="201" t="n"/>
      <c r="J637" s="201" t="n"/>
      <c r="K637" s="201" t="n"/>
      <c r="L637" s="201" t="n"/>
      <c r="M637" s="201" t="n"/>
      <c r="N637" s="201" t="n"/>
      <c r="O637" s="201" t="n"/>
      <c r="P637" s="201" t="n"/>
      <c r="Q637" s="201" t="n"/>
      <c r="R637" s="201" t="n"/>
      <c r="S637" s="201" t="n"/>
      <c r="T637" s="201" t="n"/>
      <c r="U637" s="201" t="n"/>
      <c r="V637" s="201" t="n"/>
      <c r="W637" s="201" t="n"/>
      <c r="X637" s="201" t="n"/>
      <c r="Y637" s="201" t="n"/>
      <c r="Z637" s="201" t="n"/>
      <c r="AA637" s="201" t="n"/>
      <c r="AB637" s="201" t="n"/>
      <c r="AC637" s="201" t="n"/>
      <c r="AD637" s="201" t="n"/>
      <c r="AE637" s="201" t="n"/>
      <c r="AF637" s="201" t="n"/>
      <c r="AG637" s="201" t="n"/>
    </row>
    <row r="638" ht="12.75" customHeight="1" s="202">
      <c r="A638" s="201" t="n"/>
      <c r="B638" s="201" t="n"/>
      <c r="C638" s="201" t="n"/>
      <c r="D638" s="201" t="n"/>
      <c r="E638" s="201" t="n"/>
      <c r="F638" s="201" t="n"/>
      <c r="G638" s="201" t="n"/>
      <c r="H638" s="201" t="n"/>
      <c r="I638" s="201" t="n"/>
      <c r="J638" s="201" t="n"/>
      <c r="K638" s="201" t="n"/>
      <c r="L638" s="201" t="n"/>
      <c r="M638" s="201" t="n"/>
      <c r="N638" s="201" t="n"/>
      <c r="O638" s="201" t="n"/>
      <c r="P638" s="201" t="n"/>
      <c r="Q638" s="201" t="n"/>
      <c r="R638" s="201" t="n"/>
      <c r="S638" s="201" t="n"/>
      <c r="T638" s="201" t="n"/>
      <c r="U638" s="201" t="n"/>
      <c r="V638" s="201" t="n"/>
      <c r="W638" s="201" t="n"/>
      <c r="X638" s="201" t="n"/>
      <c r="Y638" s="201" t="n"/>
      <c r="Z638" s="201" t="n"/>
      <c r="AA638" s="201" t="n"/>
      <c r="AB638" s="201" t="n"/>
      <c r="AC638" s="201" t="n"/>
      <c r="AD638" s="201" t="n"/>
      <c r="AE638" s="201" t="n"/>
      <c r="AF638" s="201" t="n"/>
      <c r="AG638" s="201" t="n"/>
    </row>
    <row r="639" ht="12.75" customHeight="1" s="202">
      <c r="A639" s="201" t="n"/>
      <c r="B639" s="201" t="n"/>
      <c r="C639" s="201" t="n"/>
      <c r="D639" s="201" t="n"/>
      <c r="E639" s="201" t="n"/>
      <c r="F639" s="201" t="n"/>
      <c r="G639" s="201" t="n"/>
      <c r="H639" s="201" t="n"/>
      <c r="I639" s="201" t="n"/>
      <c r="J639" s="201" t="n"/>
      <c r="K639" s="201" t="n"/>
      <c r="L639" s="201" t="n"/>
      <c r="M639" s="201" t="n"/>
      <c r="N639" s="201" t="n"/>
      <c r="O639" s="201" t="n"/>
      <c r="P639" s="201" t="n"/>
      <c r="Q639" s="201" t="n"/>
      <c r="R639" s="201" t="n"/>
      <c r="S639" s="201" t="n"/>
      <c r="T639" s="201" t="n"/>
      <c r="U639" s="201" t="n"/>
      <c r="V639" s="201" t="n"/>
      <c r="W639" s="201" t="n"/>
      <c r="X639" s="201" t="n"/>
      <c r="Y639" s="201" t="n"/>
      <c r="Z639" s="201" t="n"/>
      <c r="AA639" s="201" t="n"/>
      <c r="AB639" s="201" t="n"/>
      <c r="AC639" s="201" t="n"/>
      <c r="AD639" s="201" t="n"/>
      <c r="AE639" s="201" t="n"/>
      <c r="AF639" s="201" t="n"/>
      <c r="AG639" s="201" t="n"/>
    </row>
    <row r="640" ht="12.75" customHeight="1" s="202">
      <c r="A640" s="201" t="n"/>
      <c r="B640" s="201" t="n"/>
      <c r="C640" s="201" t="n"/>
      <c r="D640" s="201" t="n"/>
      <c r="E640" s="201" t="n"/>
      <c r="F640" s="201" t="n"/>
      <c r="G640" s="201" t="n"/>
      <c r="H640" s="201" t="n"/>
      <c r="I640" s="201" t="n"/>
      <c r="J640" s="201" t="n"/>
      <c r="K640" s="201" t="n"/>
      <c r="L640" s="201" t="n"/>
      <c r="M640" s="201" t="n"/>
      <c r="N640" s="201" t="n"/>
      <c r="O640" s="201" t="n"/>
      <c r="P640" s="201" t="n"/>
      <c r="Q640" s="201" t="n"/>
      <c r="R640" s="201" t="n"/>
      <c r="S640" s="201" t="n"/>
      <c r="T640" s="201" t="n"/>
      <c r="U640" s="201" t="n"/>
      <c r="V640" s="201" t="n"/>
      <c r="W640" s="201" t="n"/>
      <c r="X640" s="201" t="n"/>
      <c r="Y640" s="201" t="n"/>
      <c r="Z640" s="201" t="n"/>
      <c r="AA640" s="201" t="n"/>
      <c r="AB640" s="201" t="n"/>
      <c r="AC640" s="201" t="n"/>
      <c r="AD640" s="201" t="n"/>
      <c r="AE640" s="201" t="n"/>
      <c r="AF640" s="201" t="n"/>
      <c r="AG640" s="201" t="n"/>
    </row>
    <row r="641" ht="12.75" customHeight="1" s="202">
      <c r="A641" s="201" t="n"/>
      <c r="B641" s="201" t="n"/>
      <c r="C641" s="201" t="n"/>
      <c r="D641" s="201" t="n"/>
      <c r="E641" s="201" t="n"/>
      <c r="F641" s="201" t="n"/>
      <c r="G641" s="201" t="n"/>
      <c r="H641" s="201" t="n"/>
      <c r="I641" s="201" t="n"/>
      <c r="J641" s="201" t="n"/>
      <c r="K641" s="201" t="n"/>
      <c r="L641" s="201" t="n"/>
      <c r="M641" s="201" t="n"/>
      <c r="N641" s="201" t="n"/>
      <c r="O641" s="201" t="n"/>
      <c r="P641" s="201" t="n"/>
      <c r="Q641" s="201" t="n"/>
      <c r="R641" s="201" t="n"/>
      <c r="S641" s="201" t="n"/>
      <c r="T641" s="201" t="n"/>
      <c r="U641" s="201" t="n"/>
      <c r="V641" s="201" t="n"/>
      <c r="W641" s="201" t="n"/>
      <c r="X641" s="201" t="n"/>
      <c r="Y641" s="201" t="n"/>
      <c r="Z641" s="201" t="n"/>
      <c r="AA641" s="201" t="n"/>
      <c r="AB641" s="201" t="n"/>
      <c r="AC641" s="201" t="n"/>
      <c r="AD641" s="201" t="n"/>
      <c r="AE641" s="201" t="n"/>
      <c r="AF641" s="201" t="n"/>
      <c r="AG641" s="201" t="n"/>
    </row>
    <row r="642" ht="12.75" customHeight="1" s="202">
      <c r="A642" s="201" t="n"/>
      <c r="B642" s="201" t="n"/>
      <c r="C642" s="201" t="n"/>
      <c r="D642" s="201" t="n"/>
      <c r="E642" s="201" t="n"/>
      <c r="F642" s="201" t="n"/>
      <c r="G642" s="201" t="n"/>
      <c r="H642" s="201" t="n"/>
      <c r="I642" s="201" t="n"/>
      <c r="J642" s="201" t="n"/>
      <c r="K642" s="201" t="n"/>
      <c r="L642" s="201" t="n"/>
      <c r="M642" s="201" t="n"/>
      <c r="N642" s="201" t="n"/>
      <c r="O642" s="201" t="n"/>
      <c r="P642" s="201" t="n"/>
      <c r="Q642" s="201" t="n"/>
      <c r="R642" s="201" t="n"/>
      <c r="S642" s="201" t="n"/>
      <c r="T642" s="201" t="n"/>
      <c r="U642" s="201" t="n"/>
      <c r="V642" s="201" t="n"/>
      <c r="W642" s="201" t="n"/>
      <c r="X642" s="201" t="n"/>
      <c r="Y642" s="201" t="n"/>
      <c r="Z642" s="201" t="n"/>
      <c r="AA642" s="201" t="n"/>
      <c r="AB642" s="201" t="n"/>
      <c r="AC642" s="201" t="n"/>
      <c r="AD642" s="201" t="n"/>
      <c r="AE642" s="201" t="n"/>
      <c r="AF642" s="201" t="n"/>
      <c r="AG642" s="201" t="n"/>
    </row>
    <row r="643" ht="12.75" customHeight="1" s="202">
      <c r="A643" s="201" t="n"/>
      <c r="B643" s="201" t="n"/>
      <c r="C643" s="201" t="n"/>
      <c r="D643" s="201" t="n"/>
      <c r="E643" s="201" t="n"/>
      <c r="F643" s="201" t="n"/>
      <c r="G643" s="201" t="n"/>
      <c r="H643" s="201" t="n"/>
      <c r="I643" s="201" t="n"/>
      <c r="J643" s="201" t="n"/>
      <c r="K643" s="201" t="n"/>
      <c r="L643" s="201" t="n"/>
      <c r="M643" s="201" t="n"/>
      <c r="N643" s="201" t="n"/>
      <c r="O643" s="201" t="n"/>
      <c r="P643" s="201" t="n"/>
      <c r="Q643" s="201" t="n"/>
      <c r="R643" s="201" t="n"/>
      <c r="S643" s="201" t="n"/>
      <c r="T643" s="201" t="n"/>
      <c r="U643" s="201" t="n"/>
      <c r="V643" s="201" t="n"/>
      <c r="W643" s="201" t="n"/>
      <c r="X643" s="201" t="n"/>
      <c r="Y643" s="201" t="n"/>
      <c r="Z643" s="201" t="n"/>
      <c r="AA643" s="201" t="n"/>
      <c r="AB643" s="201" t="n"/>
      <c r="AC643" s="201" t="n"/>
      <c r="AD643" s="201" t="n"/>
      <c r="AE643" s="201" t="n"/>
      <c r="AF643" s="201" t="n"/>
      <c r="AG643" s="201" t="n"/>
    </row>
    <row r="644" ht="12.75" customHeight="1" s="202">
      <c r="A644" s="201" t="n"/>
      <c r="B644" s="201" t="n"/>
      <c r="C644" s="201" t="n"/>
      <c r="D644" s="201" t="n"/>
      <c r="E644" s="201" t="n"/>
      <c r="F644" s="201" t="n"/>
      <c r="G644" s="201" t="n"/>
      <c r="H644" s="201" t="n"/>
      <c r="I644" s="201" t="n"/>
      <c r="J644" s="201" t="n"/>
      <c r="K644" s="201" t="n"/>
      <c r="L644" s="201" t="n"/>
      <c r="M644" s="201" t="n"/>
      <c r="N644" s="201" t="n"/>
      <c r="O644" s="201" t="n"/>
      <c r="P644" s="201" t="n"/>
      <c r="Q644" s="201" t="n"/>
      <c r="R644" s="201" t="n"/>
      <c r="S644" s="201" t="n"/>
      <c r="T644" s="201" t="n"/>
      <c r="U644" s="201" t="n"/>
      <c r="V644" s="201" t="n"/>
      <c r="W644" s="201" t="n"/>
      <c r="X644" s="201" t="n"/>
      <c r="Y644" s="201" t="n"/>
      <c r="Z644" s="201" t="n"/>
      <c r="AA644" s="201" t="n"/>
      <c r="AB644" s="201" t="n"/>
      <c r="AC644" s="201" t="n"/>
      <c r="AD644" s="201" t="n"/>
      <c r="AE644" s="201" t="n"/>
      <c r="AF644" s="201" t="n"/>
      <c r="AG644" s="201" t="n"/>
    </row>
    <row r="645" ht="12.75" customHeight="1" s="202">
      <c r="A645" s="201" t="n"/>
      <c r="B645" s="201" t="n"/>
      <c r="C645" s="201" t="n"/>
      <c r="D645" s="201" t="n"/>
      <c r="E645" s="201" t="n"/>
      <c r="F645" s="201" t="n"/>
      <c r="G645" s="201" t="n"/>
      <c r="H645" s="201" t="n"/>
      <c r="I645" s="201" t="n"/>
      <c r="J645" s="201" t="n"/>
      <c r="K645" s="201" t="n"/>
      <c r="L645" s="201" t="n"/>
      <c r="M645" s="201" t="n"/>
      <c r="N645" s="201" t="n"/>
      <c r="O645" s="201" t="n"/>
      <c r="P645" s="201" t="n"/>
      <c r="Q645" s="201" t="n"/>
      <c r="R645" s="201" t="n"/>
      <c r="S645" s="201" t="n"/>
      <c r="T645" s="201" t="n"/>
      <c r="U645" s="201" t="n"/>
      <c r="V645" s="201" t="n"/>
      <c r="W645" s="201" t="n"/>
      <c r="X645" s="201" t="n"/>
      <c r="Y645" s="201" t="n"/>
      <c r="Z645" s="201" t="n"/>
      <c r="AA645" s="201" t="n"/>
      <c r="AB645" s="201" t="n"/>
      <c r="AC645" s="201" t="n"/>
      <c r="AD645" s="201" t="n"/>
      <c r="AE645" s="201" t="n"/>
      <c r="AF645" s="201" t="n"/>
      <c r="AG645" s="201" t="n"/>
    </row>
    <row r="646" ht="12.75" customHeight="1" s="202">
      <c r="A646" s="201" t="n"/>
      <c r="B646" s="201" t="n"/>
      <c r="C646" s="201" t="n"/>
      <c r="D646" s="201" t="n"/>
      <c r="E646" s="201" t="n"/>
      <c r="F646" s="201" t="n"/>
      <c r="G646" s="201" t="n"/>
      <c r="H646" s="201" t="n"/>
      <c r="I646" s="201" t="n"/>
      <c r="J646" s="201" t="n"/>
      <c r="K646" s="201" t="n"/>
      <c r="L646" s="201" t="n"/>
      <c r="M646" s="201" t="n"/>
      <c r="N646" s="201" t="n"/>
      <c r="O646" s="201" t="n"/>
      <c r="P646" s="201" t="n"/>
      <c r="Q646" s="201" t="n"/>
      <c r="R646" s="201" t="n"/>
      <c r="S646" s="201" t="n"/>
      <c r="T646" s="201" t="n"/>
      <c r="U646" s="201" t="n"/>
      <c r="V646" s="201" t="n"/>
      <c r="W646" s="201" t="n"/>
      <c r="X646" s="201" t="n"/>
      <c r="Y646" s="201" t="n"/>
      <c r="Z646" s="201" t="n"/>
      <c r="AA646" s="201" t="n"/>
      <c r="AB646" s="201" t="n"/>
      <c r="AC646" s="201" t="n"/>
      <c r="AD646" s="201" t="n"/>
      <c r="AE646" s="201" t="n"/>
      <c r="AF646" s="201" t="n"/>
      <c r="AG646" s="201" t="n"/>
    </row>
    <row r="647" ht="12.75" customHeight="1" s="202">
      <c r="A647" s="201" t="n"/>
      <c r="B647" s="201" t="n"/>
      <c r="C647" s="201" t="n"/>
      <c r="D647" s="201" t="n"/>
      <c r="E647" s="201" t="n"/>
      <c r="F647" s="201" t="n"/>
      <c r="G647" s="201" t="n"/>
      <c r="H647" s="201" t="n"/>
      <c r="I647" s="201" t="n"/>
      <c r="J647" s="201" t="n"/>
      <c r="K647" s="201" t="n"/>
      <c r="L647" s="201" t="n"/>
      <c r="M647" s="201" t="n"/>
      <c r="N647" s="201" t="n"/>
      <c r="O647" s="201" t="n"/>
      <c r="P647" s="201" t="n"/>
      <c r="Q647" s="201" t="n"/>
      <c r="R647" s="201" t="n"/>
      <c r="S647" s="201" t="n"/>
      <c r="T647" s="201" t="n"/>
      <c r="U647" s="201" t="n"/>
      <c r="V647" s="201" t="n"/>
      <c r="W647" s="201" t="n"/>
      <c r="X647" s="201" t="n"/>
      <c r="Y647" s="201" t="n"/>
      <c r="Z647" s="201" t="n"/>
      <c r="AA647" s="201" t="n"/>
      <c r="AB647" s="201" t="n"/>
      <c r="AC647" s="201" t="n"/>
      <c r="AD647" s="201" t="n"/>
      <c r="AE647" s="201" t="n"/>
      <c r="AF647" s="201" t="n"/>
      <c r="AG647" s="201" t="n"/>
    </row>
    <row r="648" ht="12.75" customHeight="1" s="202">
      <c r="A648" s="201" t="n"/>
      <c r="B648" s="201" t="n"/>
      <c r="C648" s="201" t="n"/>
      <c r="D648" s="201" t="n"/>
      <c r="E648" s="201" t="n"/>
      <c r="F648" s="201" t="n"/>
      <c r="G648" s="201" t="n"/>
      <c r="H648" s="201" t="n"/>
      <c r="I648" s="201" t="n"/>
      <c r="J648" s="201" t="n"/>
      <c r="K648" s="201" t="n"/>
      <c r="L648" s="201" t="n"/>
      <c r="M648" s="201" t="n"/>
      <c r="N648" s="201" t="n"/>
      <c r="O648" s="201" t="n"/>
      <c r="P648" s="201" t="n"/>
      <c r="Q648" s="201" t="n"/>
      <c r="R648" s="201" t="n"/>
      <c r="S648" s="201" t="n"/>
      <c r="T648" s="201" t="n"/>
      <c r="U648" s="201" t="n"/>
      <c r="V648" s="201" t="n"/>
      <c r="W648" s="201" t="n"/>
      <c r="X648" s="201" t="n"/>
      <c r="Y648" s="201" t="n"/>
      <c r="Z648" s="201" t="n"/>
      <c r="AA648" s="201" t="n"/>
      <c r="AB648" s="201" t="n"/>
      <c r="AC648" s="201" t="n"/>
      <c r="AD648" s="201" t="n"/>
      <c r="AE648" s="201" t="n"/>
      <c r="AF648" s="201" t="n"/>
      <c r="AG648" s="201" t="n"/>
    </row>
    <row r="649" ht="12.75" customHeight="1" s="202">
      <c r="A649" s="201" t="n"/>
      <c r="B649" s="201" t="n"/>
      <c r="C649" s="201" t="n"/>
      <c r="D649" s="201" t="n"/>
      <c r="E649" s="201" t="n"/>
      <c r="F649" s="201" t="n"/>
      <c r="G649" s="201" t="n"/>
      <c r="H649" s="201" t="n"/>
      <c r="I649" s="201" t="n"/>
      <c r="J649" s="201" t="n"/>
      <c r="K649" s="201" t="n"/>
      <c r="L649" s="201" t="n"/>
      <c r="M649" s="201" t="n"/>
      <c r="N649" s="201" t="n"/>
      <c r="O649" s="201" t="n"/>
      <c r="P649" s="201" t="n"/>
      <c r="Q649" s="201" t="n"/>
      <c r="R649" s="201" t="n"/>
      <c r="S649" s="201" t="n"/>
      <c r="T649" s="201" t="n"/>
      <c r="U649" s="201" t="n"/>
      <c r="V649" s="201" t="n"/>
      <c r="W649" s="201" t="n"/>
      <c r="X649" s="201" t="n"/>
      <c r="Y649" s="201" t="n"/>
      <c r="Z649" s="201" t="n"/>
      <c r="AA649" s="201" t="n"/>
      <c r="AB649" s="201" t="n"/>
      <c r="AC649" s="201" t="n"/>
      <c r="AD649" s="201" t="n"/>
      <c r="AE649" s="201" t="n"/>
      <c r="AF649" s="201" t="n"/>
      <c r="AG649" s="201" t="n"/>
    </row>
    <row r="650" ht="12.75" customHeight="1" s="202">
      <c r="A650" s="201" t="n"/>
      <c r="B650" s="201" t="n"/>
      <c r="C650" s="201" t="n"/>
      <c r="D650" s="201" t="n"/>
      <c r="E650" s="201" t="n"/>
      <c r="F650" s="201" t="n"/>
      <c r="G650" s="201" t="n"/>
      <c r="H650" s="201" t="n"/>
      <c r="I650" s="201" t="n"/>
      <c r="J650" s="201" t="n"/>
      <c r="K650" s="201" t="n"/>
      <c r="L650" s="201" t="n"/>
      <c r="M650" s="201" t="n"/>
      <c r="N650" s="201" t="n"/>
      <c r="O650" s="201" t="n"/>
      <c r="P650" s="201" t="n"/>
      <c r="Q650" s="201" t="n"/>
      <c r="R650" s="201" t="n"/>
      <c r="S650" s="201" t="n"/>
      <c r="T650" s="201" t="n"/>
      <c r="U650" s="201" t="n"/>
      <c r="V650" s="201" t="n"/>
      <c r="W650" s="201" t="n"/>
      <c r="X650" s="201" t="n"/>
      <c r="Y650" s="201" t="n"/>
      <c r="Z650" s="201" t="n"/>
      <c r="AA650" s="201" t="n"/>
      <c r="AB650" s="201" t="n"/>
      <c r="AC650" s="201" t="n"/>
      <c r="AD650" s="201" t="n"/>
      <c r="AE650" s="201" t="n"/>
      <c r="AF650" s="201" t="n"/>
      <c r="AG650" s="201" t="n"/>
    </row>
    <row r="651" ht="12.75" customHeight="1" s="202">
      <c r="A651" s="201" t="n"/>
      <c r="B651" s="201" t="n"/>
      <c r="C651" s="201" t="n"/>
      <c r="D651" s="201" t="n"/>
      <c r="E651" s="201" t="n"/>
      <c r="F651" s="201" t="n"/>
      <c r="G651" s="201" t="n"/>
      <c r="H651" s="201" t="n"/>
      <c r="I651" s="201" t="n"/>
      <c r="J651" s="201" t="n"/>
      <c r="K651" s="201" t="n"/>
      <c r="L651" s="201" t="n"/>
      <c r="M651" s="201" t="n"/>
      <c r="N651" s="201" t="n"/>
      <c r="O651" s="201" t="n"/>
      <c r="P651" s="201" t="n"/>
      <c r="Q651" s="201" t="n"/>
      <c r="R651" s="201" t="n"/>
      <c r="S651" s="201" t="n"/>
      <c r="T651" s="201" t="n"/>
      <c r="U651" s="201" t="n"/>
      <c r="V651" s="201" t="n"/>
      <c r="W651" s="201" t="n"/>
      <c r="X651" s="201" t="n"/>
      <c r="Y651" s="201" t="n"/>
      <c r="Z651" s="201" t="n"/>
      <c r="AA651" s="201" t="n"/>
      <c r="AB651" s="201" t="n"/>
      <c r="AC651" s="201" t="n"/>
      <c r="AD651" s="201" t="n"/>
      <c r="AE651" s="201" t="n"/>
      <c r="AF651" s="201" t="n"/>
      <c r="AG651" s="201" t="n"/>
    </row>
    <row r="652" ht="12.75" customHeight="1" s="202">
      <c r="A652" s="201" t="n"/>
      <c r="B652" s="201" t="n"/>
      <c r="C652" s="201" t="n"/>
      <c r="D652" s="201" t="n"/>
      <c r="E652" s="201" t="n"/>
      <c r="F652" s="201" t="n"/>
      <c r="G652" s="201" t="n"/>
      <c r="H652" s="201" t="n"/>
      <c r="I652" s="201" t="n"/>
      <c r="J652" s="201" t="n"/>
      <c r="K652" s="201" t="n"/>
      <c r="L652" s="201" t="n"/>
      <c r="M652" s="201" t="n"/>
      <c r="N652" s="201" t="n"/>
      <c r="O652" s="201" t="n"/>
      <c r="P652" s="201" t="n"/>
      <c r="Q652" s="201" t="n"/>
      <c r="R652" s="201" t="n"/>
      <c r="S652" s="201" t="n"/>
      <c r="T652" s="201" t="n"/>
      <c r="U652" s="201" t="n"/>
      <c r="V652" s="201" t="n"/>
      <c r="W652" s="201" t="n"/>
      <c r="X652" s="201" t="n"/>
      <c r="Y652" s="201" t="n"/>
      <c r="Z652" s="201" t="n"/>
      <c r="AA652" s="201" t="n"/>
      <c r="AB652" s="201" t="n"/>
      <c r="AC652" s="201" t="n"/>
      <c r="AD652" s="201" t="n"/>
      <c r="AE652" s="201" t="n"/>
      <c r="AF652" s="201" t="n"/>
      <c r="AG652" s="201" t="n"/>
    </row>
    <row r="653" ht="12.75" customHeight="1" s="202">
      <c r="A653" s="201" t="n"/>
      <c r="B653" s="201" t="n"/>
      <c r="C653" s="201" t="n"/>
      <c r="D653" s="201" t="n"/>
      <c r="E653" s="201" t="n"/>
      <c r="F653" s="201" t="n"/>
      <c r="G653" s="201" t="n"/>
      <c r="H653" s="201" t="n"/>
      <c r="I653" s="201" t="n"/>
      <c r="J653" s="201" t="n"/>
      <c r="K653" s="201" t="n"/>
      <c r="L653" s="201" t="n"/>
      <c r="M653" s="201" t="n"/>
      <c r="N653" s="201" t="n"/>
      <c r="O653" s="201" t="n"/>
      <c r="P653" s="201" t="n"/>
      <c r="Q653" s="201" t="n"/>
      <c r="R653" s="201" t="n"/>
      <c r="S653" s="201" t="n"/>
      <c r="T653" s="201" t="n"/>
      <c r="U653" s="201" t="n"/>
      <c r="V653" s="201" t="n"/>
      <c r="W653" s="201" t="n"/>
      <c r="X653" s="201" t="n"/>
      <c r="Y653" s="201" t="n"/>
      <c r="Z653" s="201" t="n"/>
      <c r="AA653" s="201" t="n"/>
      <c r="AB653" s="201" t="n"/>
      <c r="AC653" s="201" t="n"/>
      <c r="AD653" s="201" t="n"/>
      <c r="AE653" s="201" t="n"/>
      <c r="AF653" s="201" t="n"/>
      <c r="AG653" s="201" t="n"/>
    </row>
    <row r="654" ht="12.75" customHeight="1" s="202">
      <c r="A654" s="201" t="n"/>
      <c r="B654" s="201" t="n"/>
      <c r="C654" s="201" t="n"/>
      <c r="D654" s="201" t="n"/>
      <c r="E654" s="201" t="n"/>
      <c r="F654" s="201" t="n"/>
      <c r="G654" s="201" t="n"/>
      <c r="H654" s="201" t="n"/>
      <c r="I654" s="201" t="n"/>
      <c r="J654" s="201" t="n"/>
      <c r="K654" s="201" t="n"/>
      <c r="L654" s="201" t="n"/>
      <c r="M654" s="201" t="n"/>
      <c r="N654" s="201" t="n"/>
      <c r="O654" s="201" t="n"/>
      <c r="P654" s="201" t="n"/>
      <c r="Q654" s="201" t="n"/>
      <c r="R654" s="201" t="n"/>
      <c r="S654" s="201" t="n"/>
      <c r="T654" s="201" t="n"/>
      <c r="U654" s="201" t="n"/>
      <c r="V654" s="201" t="n"/>
      <c r="W654" s="201" t="n"/>
      <c r="X654" s="201" t="n"/>
      <c r="Y654" s="201" t="n"/>
      <c r="Z654" s="201" t="n"/>
      <c r="AA654" s="201" t="n"/>
      <c r="AB654" s="201" t="n"/>
      <c r="AC654" s="201" t="n"/>
      <c r="AD654" s="201" t="n"/>
      <c r="AE654" s="201" t="n"/>
      <c r="AF654" s="201" t="n"/>
      <c r="AG654" s="201" t="n"/>
    </row>
    <row r="655" ht="12.75" customHeight="1" s="202">
      <c r="A655" s="201" t="n"/>
      <c r="B655" s="201" t="n"/>
      <c r="C655" s="201" t="n"/>
      <c r="D655" s="201" t="n"/>
      <c r="E655" s="201" t="n"/>
      <c r="F655" s="201" t="n"/>
      <c r="G655" s="201" t="n"/>
      <c r="H655" s="201" t="n"/>
      <c r="I655" s="201" t="n"/>
      <c r="J655" s="201" t="n"/>
      <c r="K655" s="201" t="n"/>
      <c r="L655" s="201" t="n"/>
      <c r="M655" s="201" t="n"/>
      <c r="N655" s="201" t="n"/>
      <c r="O655" s="201" t="n"/>
      <c r="P655" s="201" t="n"/>
      <c r="Q655" s="201" t="n"/>
      <c r="R655" s="201" t="n"/>
      <c r="S655" s="201" t="n"/>
      <c r="T655" s="201" t="n"/>
      <c r="U655" s="201" t="n"/>
      <c r="V655" s="201" t="n"/>
      <c r="W655" s="201" t="n"/>
      <c r="X655" s="201" t="n"/>
      <c r="Y655" s="201" t="n"/>
      <c r="Z655" s="201" t="n"/>
      <c r="AA655" s="201" t="n"/>
      <c r="AB655" s="201" t="n"/>
      <c r="AC655" s="201" t="n"/>
      <c r="AD655" s="201" t="n"/>
      <c r="AE655" s="201" t="n"/>
      <c r="AF655" s="201" t="n"/>
      <c r="AG655" s="201" t="n"/>
    </row>
    <row r="656" ht="12.75" customHeight="1" s="202">
      <c r="A656" s="201" t="n"/>
      <c r="B656" s="201" t="n"/>
      <c r="C656" s="201" t="n"/>
      <c r="D656" s="201" t="n"/>
      <c r="E656" s="201" t="n"/>
      <c r="F656" s="201" t="n"/>
      <c r="G656" s="201" t="n"/>
      <c r="H656" s="201" t="n"/>
      <c r="I656" s="201" t="n"/>
      <c r="J656" s="201" t="n"/>
      <c r="K656" s="201" t="n"/>
      <c r="L656" s="201" t="n"/>
      <c r="M656" s="201" t="n"/>
      <c r="N656" s="201" t="n"/>
      <c r="O656" s="201" t="n"/>
      <c r="P656" s="201" t="n"/>
      <c r="Q656" s="201" t="n"/>
      <c r="R656" s="201" t="n"/>
      <c r="S656" s="201" t="n"/>
      <c r="T656" s="201" t="n"/>
      <c r="U656" s="201" t="n"/>
      <c r="V656" s="201" t="n"/>
      <c r="W656" s="201" t="n"/>
      <c r="X656" s="201" t="n"/>
      <c r="Y656" s="201" t="n"/>
      <c r="Z656" s="201" t="n"/>
      <c r="AA656" s="201" t="n"/>
      <c r="AB656" s="201" t="n"/>
      <c r="AC656" s="201" t="n"/>
      <c r="AD656" s="201" t="n"/>
      <c r="AE656" s="201" t="n"/>
      <c r="AF656" s="201" t="n"/>
      <c r="AG656" s="201" t="n"/>
    </row>
    <row r="657" ht="12.75" customHeight="1" s="202">
      <c r="A657" s="201" t="n"/>
      <c r="B657" s="201" t="n"/>
      <c r="C657" s="201" t="n"/>
      <c r="D657" s="201" t="n"/>
      <c r="E657" s="201" t="n"/>
      <c r="F657" s="201" t="n"/>
      <c r="G657" s="201" t="n"/>
      <c r="H657" s="201" t="n"/>
      <c r="I657" s="201" t="n"/>
      <c r="J657" s="201" t="n"/>
      <c r="K657" s="201" t="n"/>
      <c r="L657" s="201" t="n"/>
      <c r="M657" s="201" t="n"/>
      <c r="N657" s="201" t="n"/>
      <c r="O657" s="201" t="n"/>
      <c r="P657" s="201" t="n"/>
      <c r="Q657" s="201" t="n"/>
      <c r="R657" s="201" t="n"/>
      <c r="S657" s="201" t="n"/>
      <c r="T657" s="201" t="n"/>
      <c r="U657" s="201" t="n"/>
      <c r="V657" s="201" t="n"/>
      <c r="W657" s="201" t="n"/>
      <c r="X657" s="201" t="n"/>
      <c r="Y657" s="201" t="n"/>
      <c r="Z657" s="201" t="n"/>
      <c r="AA657" s="201" t="n"/>
      <c r="AB657" s="201" t="n"/>
      <c r="AC657" s="201" t="n"/>
      <c r="AD657" s="201" t="n"/>
      <c r="AE657" s="201" t="n"/>
      <c r="AF657" s="201" t="n"/>
      <c r="AG657" s="201" t="n"/>
    </row>
    <row r="658" ht="12.75" customHeight="1" s="202">
      <c r="A658" s="201" t="n"/>
      <c r="B658" s="201" t="n"/>
      <c r="C658" s="201" t="n"/>
      <c r="D658" s="201" t="n"/>
      <c r="E658" s="201" t="n"/>
      <c r="F658" s="201" t="n"/>
      <c r="G658" s="201" t="n"/>
      <c r="H658" s="201" t="n"/>
      <c r="I658" s="201" t="n"/>
      <c r="J658" s="201" t="n"/>
      <c r="K658" s="201" t="n"/>
      <c r="L658" s="201" t="n"/>
      <c r="M658" s="201" t="n"/>
      <c r="N658" s="201" t="n"/>
      <c r="O658" s="201" t="n"/>
      <c r="P658" s="201" t="n"/>
      <c r="Q658" s="201" t="n"/>
      <c r="R658" s="201" t="n"/>
      <c r="S658" s="201" t="n"/>
      <c r="T658" s="201" t="n"/>
      <c r="U658" s="201" t="n"/>
      <c r="V658" s="201" t="n"/>
      <c r="W658" s="201" t="n"/>
      <c r="X658" s="201" t="n"/>
      <c r="Y658" s="201" t="n"/>
      <c r="Z658" s="201" t="n"/>
      <c r="AA658" s="201" t="n"/>
      <c r="AB658" s="201" t="n"/>
      <c r="AC658" s="201" t="n"/>
      <c r="AD658" s="201" t="n"/>
      <c r="AE658" s="201" t="n"/>
      <c r="AF658" s="201" t="n"/>
      <c r="AG658" s="201" t="n"/>
    </row>
    <row r="659" ht="12.75" customHeight="1" s="202">
      <c r="A659" s="201" t="n"/>
      <c r="B659" s="201" t="n"/>
      <c r="C659" s="201" t="n"/>
      <c r="D659" s="201" t="n"/>
      <c r="E659" s="201" t="n"/>
      <c r="F659" s="201" t="n"/>
      <c r="G659" s="201" t="n"/>
      <c r="H659" s="201" t="n"/>
      <c r="I659" s="201" t="n"/>
      <c r="J659" s="201" t="n"/>
      <c r="K659" s="201" t="n"/>
      <c r="L659" s="201" t="n"/>
      <c r="M659" s="201" t="n"/>
      <c r="N659" s="201" t="n"/>
      <c r="O659" s="201" t="n"/>
      <c r="P659" s="201" t="n"/>
      <c r="Q659" s="201" t="n"/>
      <c r="R659" s="201" t="n"/>
      <c r="S659" s="201" t="n"/>
      <c r="T659" s="201" t="n"/>
      <c r="U659" s="201" t="n"/>
      <c r="V659" s="201" t="n"/>
      <c r="W659" s="201" t="n"/>
      <c r="X659" s="201" t="n"/>
      <c r="Y659" s="201" t="n"/>
      <c r="Z659" s="201" t="n"/>
      <c r="AA659" s="201" t="n"/>
      <c r="AB659" s="201" t="n"/>
      <c r="AC659" s="201" t="n"/>
      <c r="AD659" s="201" t="n"/>
      <c r="AE659" s="201" t="n"/>
      <c r="AF659" s="201" t="n"/>
      <c r="AG659" s="201" t="n"/>
    </row>
    <row r="660" ht="12.75" customHeight="1" s="202">
      <c r="A660" s="201" t="n"/>
      <c r="B660" s="201" t="n"/>
      <c r="C660" s="201" t="n"/>
      <c r="D660" s="201" t="n"/>
      <c r="E660" s="201" t="n"/>
      <c r="F660" s="201" t="n"/>
      <c r="G660" s="201" t="n"/>
      <c r="H660" s="201" t="n"/>
      <c r="I660" s="201" t="n"/>
      <c r="J660" s="201" t="n"/>
      <c r="K660" s="201" t="n"/>
      <c r="L660" s="201" t="n"/>
      <c r="M660" s="201" t="n"/>
      <c r="N660" s="201" t="n"/>
      <c r="O660" s="201" t="n"/>
      <c r="P660" s="201" t="n"/>
      <c r="Q660" s="201" t="n"/>
      <c r="R660" s="201" t="n"/>
      <c r="S660" s="201" t="n"/>
      <c r="T660" s="201" t="n"/>
      <c r="U660" s="201" t="n"/>
      <c r="V660" s="201" t="n"/>
      <c r="W660" s="201" t="n"/>
      <c r="X660" s="201" t="n"/>
      <c r="Y660" s="201" t="n"/>
      <c r="Z660" s="201" t="n"/>
      <c r="AA660" s="201" t="n"/>
      <c r="AB660" s="201" t="n"/>
      <c r="AC660" s="201" t="n"/>
      <c r="AD660" s="201" t="n"/>
      <c r="AE660" s="201" t="n"/>
      <c r="AF660" s="201" t="n"/>
      <c r="AG660" s="201" t="n"/>
    </row>
    <row r="661" ht="12.75" customHeight="1" s="202">
      <c r="A661" s="201" t="n"/>
      <c r="B661" s="201" t="n"/>
      <c r="C661" s="201" t="n"/>
      <c r="D661" s="201" t="n"/>
      <c r="E661" s="201" t="n"/>
      <c r="F661" s="201" t="n"/>
      <c r="G661" s="201" t="n"/>
      <c r="H661" s="201" t="n"/>
      <c r="I661" s="201" t="n"/>
      <c r="J661" s="201" t="n"/>
      <c r="K661" s="201" t="n"/>
      <c r="L661" s="201" t="n"/>
      <c r="M661" s="201" t="n"/>
      <c r="N661" s="201" t="n"/>
      <c r="O661" s="201" t="n"/>
      <c r="P661" s="201" t="n"/>
      <c r="Q661" s="201" t="n"/>
      <c r="R661" s="201" t="n"/>
      <c r="S661" s="201" t="n"/>
      <c r="T661" s="201" t="n"/>
      <c r="U661" s="201" t="n"/>
      <c r="V661" s="201" t="n"/>
      <c r="W661" s="201" t="n"/>
      <c r="X661" s="201" t="n"/>
      <c r="Y661" s="201" t="n"/>
      <c r="Z661" s="201" t="n"/>
      <c r="AA661" s="201" t="n"/>
      <c r="AB661" s="201" t="n"/>
      <c r="AC661" s="201" t="n"/>
      <c r="AD661" s="201" t="n"/>
      <c r="AE661" s="201" t="n"/>
      <c r="AF661" s="201" t="n"/>
      <c r="AG661" s="201" t="n"/>
    </row>
    <row r="662" ht="12.75" customHeight="1" s="202">
      <c r="A662" s="201" t="n"/>
      <c r="B662" s="201" t="n"/>
      <c r="C662" s="201" t="n"/>
      <c r="D662" s="201" t="n"/>
      <c r="E662" s="201" t="n"/>
      <c r="F662" s="201" t="n"/>
      <c r="G662" s="201" t="n"/>
      <c r="H662" s="201" t="n"/>
      <c r="I662" s="201" t="n"/>
      <c r="J662" s="201" t="n"/>
      <c r="K662" s="201" t="n"/>
      <c r="L662" s="201" t="n"/>
      <c r="M662" s="201" t="n"/>
      <c r="N662" s="201" t="n"/>
      <c r="O662" s="201" t="n"/>
      <c r="P662" s="201" t="n"/>
      <c r="Q662" s="201" t="n"/>
      <c r="R662" s="201" t="n"/>
      <c r="S662" s="201" t="n"/>
      <c r="T662" s="201" t="n"/>
      <c r="U662" s="201" t="n"/>
      <c r="V662" s="201" t="n"/>
      <c r="W662" s="201" t="n"/>
      <c r="X662" s="201" t="n"/>
      <c r="Y662" s="201" t="n"/>
      <c r="Z662" s="201" t="n"/>
      <c r="AA662" s="201" t="n"/>
      <c r="AB662" s="201" t="n"/>
      <c r="AC662" s="201" t="n"/>
      <c r="AD662" s="201" t="n"/>
      <c r="AE662" s="201" t="n"/>
      <c r="AF662" s="201" t="n"/>
      <c r="AG662" s="201" t="n"/>
    </row>
    <row r="663" ht="12.75" customHeight="1" s="202">
      <c r="A663" s="201" t="n"/>
      <c r="B663" s="201" t="n"/>
      <c r="C663" s="201" t="n"/>
      <c r="D663" s="201" t="n"/>
      <c r="E663" s="201" t="n"/>
      <c r="F663" s="201" t="n"/>
      <c r="G663" s="201" t="n"/>
      <c r="H663" s="201" t="n"/>
      <c r="I663" s="201" t="n"/>
      <c r="J663" s="201" t="n"/>
      <c r="K663" s="201" t="n"/>
      <c r="L663" s="201" t="n"/>
      <c r="M663" s="201" t="n"/>
      <c r="N663" s="201" t="n"/>
      <c r="O663" s="201" t="n"/>
      <c r="P663" s="201" t="n"/>
      <c r="Q663" s="201" t="n"/>
      <c r="R663" s="201" t="n"/>
      <c r="S663" s="201" t="n"/>
      <c r="T663" s="201" t="n"/>
      <c r="U663" s="201" t="n"/>
      <c r="V663" s="201" t="n"/>
      <c r="W663" s="201" t="n"/>
      <c r="X663" s="201" t="n"/>
      <c r="Y663" s="201" t="n"/>
      <c r="Z663" s="201" t="n"/>
      <c r="AA663" s="201" t="n"/>
      <c r="AB663" s="201" t="n"/>
      <c r="AC663" s="201" t="n"/>
      <c r="AD663" s="201" t="n"/>
      <c r="AE663" s="201" t="n"/>
      <c r="AF663" s="201" t="n"/>
      <c r="AG663" s="201" t="n"/>
    </row>
    <row r="664" ht="12.75" customHeight="1" s="202">
      <c r="A664" s="201" t="n"/>
      <c r="B664" s="201" t="n"/>
      <c r="C664" s="201" t="n"/>
      <c r="D664" s="201" t="n"/>
      <c r="E664" s="201" t="n"/>
      <c r="F664" s="201" t="n"/>
      <c r="G664" s="201" t="n"/>
      <c r="H664" s="201" t="n"/>
      <c r="I664" s="201" t="n"/>
      <c r="J664" s="201" t="n"/>
      <c r="K664" s="201" t="n"/>
      <c r="L664" s="201" t="n"/>
      <c r="M664" s="201" t="n"/>
      <c r="N664" s="201" t="n"/>
      <c r="O664" s="201" t="n"/>
      <c r="P664" s="201" t="n"/>
      <c r="Q664" s="201" t="n"/>
      <c r="R664" s="201" t="n"/>
      <c r="S664" s="201" t="n"/>
      <c r="T664" s="201" t="n"/>
      <c r="U664" s="201" t="n"/>
      <c r="V664" s="201" t="n"/>
      <c r="W664" s="201" t="n"/>
      <c r="X664" s="201" t="n"/>
      <c r="Y664" s="201" t="n"/>
      <c r="Z664" s="201" t="n"/>
      <c r="AA664" s="201" t="n"/>
      <c r="AB664" s="201" t="n"/>
      <c r="AC664" s="201" t="n"/>
      <c r="AD664" s="201" t="n"/>
      <c r="AE664" s="201" t="n"/>
      <c r="AF664" s="201" t="n"/>
      <c r="AG664" s="201" t="n"/>
    </row>
    <row r="665" ht="12.75" customHeight="1" s="202">
      <c r="A665" s="201" t="n"/>
      <c r="B665" s="201" t="n"/>
      <c r="C665" s="201" t="n"/>
      <c r="D665" s="201" t="n"/>
      <c r="E665" s="201" t="n"/>
      <c r="F665" s="201" t="n"/>
      <c r="G665" s="201" t="n"/>
      <c r="H665" s="201" t="n"/>
      <c r="I665" s="201" t="n"/>
      <c r="J665" s="201" t="n"/>
      <c r="K665" s="201" t="n"/>
      <c r="L665" s="201" t="n"/>
      <c r="M665" s="201" t="n"/>
      <c r="N665" s="201" t="n"/>
      <c r="O665" s="201" t="n"/>
      <c r="P665" s="201" t="n"/>
      <c r="Q665" s="201" t="n"/>
      <c r="R665" s="201" t="n"/>
      <c r="S665" s="201" t="n"/>
      <c r="T665" s="201" t="n"/>
      <c r="U665" s="201" t="n"/>
      <c r="V665" s="201" t="n"/>
      <c r="W665" s="201" t="n"/>
      <c r="X665" s="201" t="n"/>
      <c r="Y665" s="201" t="n"/>
      <c r="Z665" s="201" t="n"/>
      <c r="AA665" s="201" t="n"/>
      <c r="AB665" s="201" t="n"/>
      <c r="AC665" s="201" t="n"/>
      <c r="AD665" s="201" t="n"/>
      <c r="AE665" s="201" t="n"/>
      <c r="AF665" s="201" t="n"/>
      <c r="AG665" s="201" t="n"/>
    </row>
    <row r="666" ht="12.75" customHeight="1" s="202">
      <c r="A666" s="201" t="n"/>
      <c r="B666" s="201" t="n"/>
      <c r="C666" s="201" t="n"/>
      <c r="D666" s="201" t="n"/>
      <c r="E666" s="201" t="n"/>
      <c r="F666" s="201" t="n"/>
      <c r="G666" s="201" t="n"/>
      <c r="H666" s="201" t="n"/>
      <c r="I666" s="201" t="n"/>
      <c r="J666" s="201" t="n"/>
      <c r="K666" s="201" t="n"/>
      <c r="L666" s="201" t="n"/>
      <c r="M666" s="201" t="n"/>
      <c r="N666" s="201" t="n"/>
      <c r="O666" s="201" t="n"/>
      <c r="P666" s="201" t="n"/>
      <c r="Q666" s="201" t="n"/>
      <c r="R666" s="201" t="n"/>
      <c r="S666" s="201" t="n"/>
      <c r="T666" s="201" t="n"/>
      <c r="U666" s="201" t="n"/>
      <c r="V666" s="201" t="n"/>
      <c r="W666" s="201" t="n"/>
      <c r="X666" s="201" t="n"/>
      <c r="Y666" s="201" t="n"/>
      <c r="Z666" s="201" t="n"/>
      <c r="AA666" s="201" t="n"/>
      <c r="AB666" s="201" t="n"/>
      <c r="AC666" s="201" t="n"/>
      <c r="AD666" s="201" t="n"/>
      <c r="AE666" s="201" t="n"/>
      <c r="AF666" s="201" t="n"/>
      <c r="AG666" s="201" t="n"/>
    </row>
    <row r="667" ht="12.75" customHeight="1" s="202">
      <c r="A667" s="201" t="n"/>
      <c r="B667" s="201" t="n"/>
      <c r="C667" s="201" t="n"/>
      <c r="D667" s="201" t="n"/>
      <c r="E667" s="201" t="n"/>
      <c r="F667" s="201" t="n"/>
      <c r="G667" s="201" t="n"/>
      <c r="H667" s="201" t="n"/>
      <c r="I667" s="201" t="n"/>
      <c r="J667" s="201" t="n"/>
      <c r="K667" s="201" t="n"/>
      <c r="L667" s="201" t="n"/>
      <c r="M667" s="201" t="n"/>
      <c r="N667" s="201" t="n"/>
      <c r="O667" s="201" t="n"/>
      <c r="P667" s="201" t="n"/>
      <c r="Q667" s="201" t="n"/>
      <c r="R667" s="201" t="n"/>
      <c r="S667" s="201" t="n"/>
      <c r="T667" s="201" t="n"/>
      <c r="U667" s="201" t="n"/>
      <c r="V667" s="201" t="n"/>
      <c r="W667" s="201" t="n"/>
      <c r="X667" s="201" t="n"/>
      <c r="Y667" s="201" t="n"/>
      <c r="Z667" s="201" t="n"/>
      <c r="AA667" s="201" t="n"/>
      <c r="AB667" s="201" t="n"/>
      <c r="AC667" s="201" t="n"/>
      <c r="AD667" s="201" t="n"/>
      <c r="AE667" s="201" t="n"/>
      <c r="AF667" s="201" t="n"/>
      <c r="AG667" s="201" t="n"/>
    </row>
    <row r="668" ht="12.75" customHeight="1" s="202">
      <c r="A668" s="201" t="n"/>
      <c r="B668" s="201" t="n"/>
      <c r="C668" s="201" t="n"/>
      <c r="D668" s="201" t="n"/>
      <c r="E668" s="201" t="n"/>
      <c r="F668" s="201" t="n"/>
      <c r="G668" s="201" t="n"/>
      <c r="H668" s="201" t="n"/>
      <c r="I668" s="201" t="n"/>
      <c r="J668" s="201" t="n"/>
      <c r="K668" s="201" t="n"/>
      <c r="L668" s="201" t="n"/>
      <c r="M668" s="201" t="n"/>
      <c r="N668" s="201" t="n"/>
      <c r="O668" s="201" t="n"/>
      <c r="P668" s="201" t="n"/>
      <c r="Q668" s="201" t="n"/>
      <c r="R668" s="201" t="n"/>
      <c r="S668" s="201" t="n"/>
      <c r="T668" s="201" t="n"/>
      <c r="U668" s="201" t="n"/>
      <c r="V668" s="201" t="n"/>
      <c r="W668" s="201" t="n"/>
      <c r="X668" s="201" t="n"/>
      <c r="Y668" s="201" t="n"/>
      <c r="Z668" s="201" t="n"/>
      <c r="AA668" s="201" t="n"/>
      <c r="AB668" s="201" t="n"/>
      <c r="AC668" s="201" t="n"/>
      <c r="AD668" s="201" t="n"/>
      <c r="AE668" s="201" t="n"/>
      <c r="AF668" s="201" t="n"/>
      <c r="AG668" s="201" t="n"/>
    </row>
    <row r="669" ht="12.75" customHeight="1" s="202">
      <c r="A669" s="201" t="n"/>
      <c r="B669" s="201" t="n"/>
      <c r="C669" s="201" t="n"/>
      <c r="D669" s="201" t="n"/>
      <c r="E669" s="201" t="n"/>
      <c r="F669" s="201" t="n"/>
      <c r="G669" s="201" t="n"/>
      <c r="H669" s="201" t="n"/>
      <c r="I669" s="201" t="n"/>
      <c r="J669" s="201" t="n"/>
      <c r="K669" s="201" t="n"/>
      <c r="L669" s="201" t="n"/>
      <c r="M669" s="201" t="n"/>
      <c r="N669" s="201" t="n"/>
      <c r="O669" s="201" t="n"/>
      <c r="P669" s="201" t="n"/>
      <c r="Q669" s="201" t="n"/>
      <c r="R669" s="201" t="n"/>
      <c r="S669" s="201" t="n"/>
      <c r="T669" s="201" t="n"/>
      <c r="U669" s="201" t="n"/>
      <c r="V669" s="201" t="n"/>
      <c r="W669" s="201" t="n"/>
      <c r="X669" s="201" t="n"/>
      <c r="Y669" s="201" t="n"/>
      <c r="Z669" s="201" t="n"/>
      <c r="AA669" s="201" t="n"/>
      <c r="AB669" s="201" t="n"/>
      <c r="AC669" s="201" t="n"/>
      <c r="AD669" s="201" t="n"/>
      <c r="AE669" s="201" t="n"/>
      <c r="AF669" s="201" t="n"/>
      <c r="AG669" s="201" t="n"/>
    </row>
    <row r="670" ht="12.75" customHeight="1" s="202">
      <c r="A670" s="201" t="n"/>
      <c r="B670" s="201" t="n"/>
      <c r="C670" s="201" t="n"/>
      <c r="D670" s="201" t="n"/>
      <c r="E670" s="201" t="n"/>
      <c r="F670" s="201" t="n"/>
      <c r="G670" s="201" t="n"/>
      <c r="H670" s="201" t="n"/>
      <c r="I670" s="201" t="n"/>
      <c r="J670" s="201" t="n"/>
      <c r="K670" s="201" t="n"/>
      <c r="L670" s="201" t="n"/>
      <c r="M670" s="201" t="n"/>
      <c r="N670" s="201" t="n"/>
      <c r="O670" s="201" t="n"/>
      <c r="P670" s="201" t="n"/>
      <c r="Q670" s="201" t="n"/>
      <c r="R670" s="201" t="n"/>
      <c r="S670" s="201" t="n"/>
      <c r="T670" s="201" t="n"/>
      <c r="U670" s="201" t="n"/>
      <c r="V670" s="201" t="n"/>
      <c r="W670" s="201" t="n"/>
      <c r="X670" s="201" t="n"/>
      <c r="Y670" s="201" t="n"/>
      <c r="Z670" s="201" t="n"/>
      <c r="AA670" s="201" t="n"/>
      <c r="AB670" s="201" t="n"/>
      <c r="AC670" s="201" t="n"/>
      <c r="AD670" s="201" t="n"/>
      <c r="AE670" s="201" t="n"/>
      <c r="AF670" s="201" t="n"/>
      <c r="AG670" s="201" t="n"/>
    </row>
    <row r="671" ht="12.75" customHeight="1" s="202">
      <c r="A671" s="201" t="n"/>
      <c r="B671" s="201" t="n"/>
      <c r="C671" s="201" t="n"/>
      <c r="D671" s="201" t="n"/>
      <c r="E671" s="201" t="n"/>
      <c r="F671" s="201" t="n"/>
      <c r="G671" s="201" t="n"/>
      <c r="H671" s="201" t="n"/>
      <c r="I671" s="201" t="n"/>
      <c r="J671" s="201" t="n"/>
      <c r="K671" s="201" t="n"/>
      <c r="L671" s="201" t="n"/>
      <c r="M671" s="201" t="n"/>
      <c r="N671" s="201" t="n"/>
      <c r="O671" s="201" t="n"/>
      <c r="P671" s="201" t="n"/>
      <c r="Q671" s="201" t="n"/>
      <c r="R671" s="201" t="n"/>
      <c r="S671" s="201" t="n"/>
      <c r="T671" s="201" t="n"/>
      <c r="U671" s="201" t="n"/>
      <c r="V671" s="201" t="n"/>
      <c r="W671" s="201" t="n"/>
      <c r="X671" s="201" t="n"/>
      <c r="Y671" s="201" t="n"/>
      <c r="Z671" s="201" t="n"/>
      <c r="AA671" s="201" t="n"/>
      <c r="AB671" s="201" t="n"/>
      <c r="AC671" s="201" t="n"/>
      <c r="AD671" s="201" t="n"/>
      <c r="AE671" s="201" t="n"/>
      <c r="AF671" s="201" t="n"/>
      <c r="AG671" s="201" t="n"/>
    </row>
    <row r="672" ht="12.75" customHeight="1" s="202">
      <c r="A672" s="201" t="n"/>
      <c r="B672" s="201" t="n"/>
      <c r="C672" s="201" t="n"/>
      <c r="D672" s="201" t="n"/>
      <c r="E672" s="201" t="n"/>
      <c r="F672" s="201" t="n"/>
      <c r="G672" s="201" t="n"/>
      <c r="H672" s="201" t="n"/>
      <c r="I672" s="201" t="n"/>
      <c r="J672" s="201" t="n"/>
      <c r="K672" s="201" t="n"/>
      <c r="L672" s="201" t="n"/>
      <c r="M672" s="201" t="n"/>
      <c r="N672" s="201" t="n"/>
      <c r="O672" s="201" t="n"/>
      <c r="P672" s="201" t="n"/>
      <c r="Q672" s="201" t="n"/>
      <c r="R672" s="201" t="n"/>
      <c r="S672" s="201" t="n"/>
      <c r="T672" s="201" t="n"/>
      <c r="U672" s="201" t="n"/>
      <c r="V672" s="201" t="n"/>
      <c r="W672" s="201" t="n"/>
      <c r="X672" s="201" t="n"/>
      <c r="Y672" s="201" t="n"/>
      <c r="Z672" s="201" t="n"/>
      <c r="AA672" s="201" t="n"/>
      <c r="AB672" s="201" t="n"/>
      <c r="AC672" s="201" t="n"/>
      <c r="AD672" s="201" t="n"/>
      <c r="AE672" s="201" t="n"/>
      <c r="AF672" s="201" t="n"/>
      <c r="AG672" s="201" t="n"/>
    </row>
    <row r="673" ht="12.75" customHeight="1" s="202">
      <c r="A673" s="201" t="n"/>
      <c r="B673" s="201" t="n"/>
      <c r="C673" s="201" t="n"/>
      <c r="D673" s="201" t="n"/>
      <c r="E673" s="201" t="n"/>
      <c r="F673" s="201" t="n"/>
      <c r="G673" s="201" t="n"/>
      <c r="H673" s="201" t="n"/>
      <c r="I673" s="201" t="n"/>
      <c r="J673" s="201" t="n"/>
      <c r="K673" s="201" t="n"/>
      <c r="L673" s="201" t="n"/>
      <c r="M673" s="201" t="n"/>
      <c r="N673" s="201" t="n"/>
      <c r="O673" s="201" t="n"/>
      <c r="P673" s="201" t="n"/>
      <c r="Q673" s="201" t="n"/>
      <c r="R673" s="201" t="n"/>
      <c r="S673" s="201" t="n"/>
      <c r="T673" s="201" t="n"/>
      <c r="U673" s="201" t="n"/>
      <c r="V673" s="201" t="n"/>
      <c r="W673" s="201" t="n"/>
      <c r="X673" s="201" t="n"/>
      <c r="Y673" s="201" t="n"/>
      <c r="Z673" s="201" t="n"/>
      <c r="AA673" s="201" t="n"/>
      <c r="AB673" s="201" t="n"/>
      <c r="AC673" s="201" t="n"/>
      <c r="AD673" s="201" t="n"/>
      <c r="AE673" s="201" t="n"/>
      <c r="AF673" s="201" t="n"/>
      <c r="AG673" s="201" t="n"/>
    </row>
    <row r="674" ht="12.75" customHeight="1" s="202">
      <c r="A674" s="201" t="n"/>
      <c r="B674" s="201" t="n"/>
      <c r="C674" s="201" t="n"/>
      <c r="D674" s="201" t="n"/>
      <c r="E674" s="201" t="n"/>
      <c r="F674" s="201" t="n"/>
      <c r="G674" s="201" t="n"/>
      <c r="H674" s="201" t="n"/>
      <c r="I674" s="201" t="n"/>
      <c r="J674" s="201" t="n"/>
      <c r="K674" s="201" t="n"/>
      <c r="L674" s="201" t="n"/>
      <c r="M674" s="201" t="n"/>
      <c r="N674" s="201" t="n"/>
      <c r="O674" s="201" t="n"/>
      <c r="P674" s="201" t="n"/>
      <c r="Q674" s="201" t="n"/>
      <c r="R674" s="201" t="n"/>
      <c r="S674" s="201" t="n"/>
      <c r="T674" s="201" t="n"/>
      <c r="U674" s="201" t="n"/>
      <c r="V674" s="201" t="n"/>
      <c r="W674" s="201" t="n"/>
      <c r="X674" s="201" t="n"/>
      <c r="Y674" s="201" t="n"/>
      <c r="Z674" s="201" t="n"/>
      <c r="AA674" s="201" t="n"/>
      <c r="AB674" s="201" t="n"/>
      <c r="AC674" s="201" t="n"/>
      <c r="AD674" s="201" t="n"/>
      <c r="AE674" s="201" t="n"/>
      <c r="AF674" s="201" t="n"/>
      <c r="AG674" s="201" t="n"/>
    </row>
    <row r="675" ht="12.75" customHeight="1" s="202">
      <c r="A675" s="201" t="n"/>
      <c r="B675" s="201" t="n"/>
      <c r="C675" s="201" t="n"/>
      <c r="D675" s="201" t="n"/>
      <c r="E675" s="201" t="n"/>
      <c r="F675" s="201" t="n"/>
      <c r="G675" s="201" t="n"/>
      <c r="H675" s="201" t="n"/>
      <c r="I675" s="201" t="n"/>
      <c r="J675" s="201" t="n"/>
      <c r="K675" s="201" t="n"/>
      <c r="L675" s="201" t="n"/>
      <c r="M675" s="201" t="n"/>
      <c r="N675" s="201" t="n"/>
      <c r="O675" s="201" t="n"/>
      <c r="P675" s="201" t="n"/>
      <c r="Q675" s="201" t="n"/>
      <c r="R675" s="201" t="n"/>
      <c r="S675" s="201" t="n"/>
      <c r="T675" s="201" t="n"/>
      <c r="U675" s="201" t="n"/>
      <c r="V675" s="201" t="n"/>
      <c r="W675" s="201" t="n"/>
      <c r="X675" s="201" t="n"/>
      <c r="Y675" s="201" t="n"/>
      <c r="Z675" s="201" t="n"/>
      <c r="AA675" s="201" t="n"/>
      <c r="AB675" s="201" t="n"/>
      <c r="AC675" s="201" t="n"/>
      <c r="AD675" s="201" t="n"/>
      <c r="AE675" s="201" t="n"/>
      <c r="AF675" s="201" t="n"/>
      <c r="AG675" s="201" t="n"/>
    </row>
    <row r="676" ht="12.75" customHeight="1" s="202">
      <c r="A676" s="201" t="n"/>
      <c r="B676" s="201" t="n"/>
      <c r="C676" s="201" t="n"/>
      <c r="D676" s="201" t="n"/>
      <c r="E676" s="201" t="n"/>
      <c r="F676" s="201" t="n"/>
      <c r="G676" s="201" t="n"/>
      <c r="H676" s="201" t="n"/>
      <c r="I676" s="201" t="n"/>
      <c r="J676" s="201" t="n"/>
      <c r="K676" s="201" t="n"/>
      <c r="L676" s="201" t="n"/>
      <c r="M676" s="201" t="n"/>
      <c r="N676" s="201" t="n"/>
      <c r="O676" s="201" t="n"/>
      <c r="P676" s="201" t="n"/>
      <c r="Q676" s="201" t="n"/>
      <c r="R676" s="201" t="n"/>
      <c r="S676" s="201" t="n"/>
      <c r="T676" s="201" t="n"/>
      <c r="U676" s="201" t="n"/>
      <c r="V676" s="201" t="n"/>
      <c r="W676" s="201" t="n"/>
      <c r="X676" s="201" t="n"/>
      <c r="Y676" s="201" t="n"/>
      <c r="Z676" s="201" t="n"/>
      <c r="AA676" s="201" t="n"/>
      <c r="AB676" s="201" t="n"/>
      <c r="AC676" s="201" t="n"/>
      <c r="AD676" s="201" t="n"/>
      <c r="AE676" s="201" t="n"/>
      <c r="AF676" s="201" t="n"/>
      <c r="AG676" s="201" t="n"/>
    </row>
    <row r="677" ht="12.75" customHeight="1" s="202">
      <c r="A677" s="201" t="n"/>
      <c r="B677" s="201" t="n"/>
      <c r="C677" s="201" t="n"/>
      <c r="D677" s="201" t="n"/>
      <c r="E677" s="201" t="n"/>
      <c r="F677" s="201" t="n"/>
      <c r="G677" s="201" t="n"/>
      <c r="H677" s="201" t="n"/>
      <c r="I677" s="201" t="n"/>
      <c r="J677" s="201" t="n"/>
      <c r="K677" s="201" t="n"/>
      <c r="L677" s="201" t="n"/>
      <c r="M677" s="201" t="n"/>
      <c r="N677" s="201" t="n"/>
      <c r="O677" s="201" t="n"/>
      <c r="P677" s="201" t="n"/>
      <c r="Q677" s="201" t="n"/>
      <c r="R677" s="201" t="n"/>
      <c r="S677" s="201" t="n"/>
      <c r="T677" s="201" t="n"/>
      <c r="U677" s="201" t="n"/>
      <c r="V677" s="201" t="n"/>
      <c r="W677" s="201" t="n"/>
      <c r="X677" s="201" t="n"/>
      <c r="Y677" s="201" t="n"/>
      <c r="Z677" s="201" t="n"/>
      <c r="AA677" s="201" t="n"/>
      <c r="AB677" s="201" t="n"/>
      <c r="AC677" s="201" t="n"/>
      <c r="AD677" s="201" t="n"/>
      <c r="AE677" s="201" t="n"/>
      <c r="AF677" s="201" t="n"/>
      <c r="AG677" s="201" t="n"/>
    </row>
    <row r="678" ht="12.75" customHeight="1" s="202">
      <c r="A678" s="201" t="n"/>
      <c r="B678" s="201" t="n"/>
      <c r="C678" s="201" t="n"/>
      <c r="D678" s="201" t="n"/>
      <c r="E678" s="201" t="n"/>
      <c r="F678" s="201" t="n"/>
      <c r="G678" s="201" t="n"/>
      <c r="H678" s="201" t="n"/>
      <c r="I678" s="201" t="n"/>
      <c r="J678" s="201" t="n"/>
      <c r="K678" s="201" t="n"/>
      <c r="L678" s="201" t="n"/>
      <c r="M678" s="201" t="n"/>
      <c r="N678" s="201" t="n"/>
      <c r="O678" s="201" t="n"/>
      <c r="P678" s="201" t="n"/>
      <c r="Q678" s="201" t="n"/>
      <c r="R678" s="201" t="n"/>
      <c r="S678" s="201" t="n"/>
      <c r="T678" s="201" t="n"/>
      <c r="U678" s="201" t="n"/>
      <c r="V678" s="201" t="n"/>
      <c r="W678" s="201" t="n"/>
      <c r="X678" s="201" t="n"/>
      <c r="Y678" s="201" t="n"/>
      <c r="Z678" s="201" t="n"/>
      <c r="AA678" s="201" t="n"/>
      <c r="AB678" s="201" t="n"/>
      <c r="AC678" s="201" t="n"/>
      <c r="AD678" s="201" t="n"/>
      <c r="AE678" s="201" t="n"/>
      <c r="AF678" s="201" t="n"/>
      <c r="AG678" s="201" t="n"/>
    </row>
    <row r="679" ht="12.75" customHeight="1" s="202">
      <c r="A679" s="201" t="n"/>
      <c r="B679" s="201" t="n"/>
      <c r="C679" s="201" t="n"/>
      <c r="D679" s="201" t="n"/>
      <c r="E679" s="201" t="n"/>
      <c r="F679" s="201" t="n"/>
      <c r="G679" s="201" t="n"/>
      <c r="H679" s="201" t="n"/>
      <c r="I679" s="201" t="n"/>
      <c r="J679" s="201" t="n"/>
      <c r="K679" s="201" t="n"/>
      <c r="L679" s="201" t="n"/>
      <c r="M679" s="201" t="n"/>
      <c r="N679" s="201" t="n"/>
      <c r="O679" s="201" t="n"/>
      <c r="P679" s="201" t="n"/>
      <c r="Q679" s="201" t="n"/>
      <c r="R679" s="201" t="n"/>
      <c r="S679" s="201" t="n"/>
      <c r="T679" s="201" t="n"/>
      <c r="U679" s="201" t="n"/>
      <c r="V679" s="201" t="n"/>
      <c r="W679" s="201" t="n"/>
      <c r="X679" s="201" t="n"/>
      <c r="Y679" s="201" t="n"/>
      <c r="Z679" s="201" t="n"/>
      <c r="AA679" s="201" t="n"/>
      <c r="AB679" s="201" t="n"/>
      <c r="AC679" s="201" t="n"/>
      <c r="AD679" s="201" t="n"/>
      <c r="AE679" s="201" t="n"/>
      <c r="AF679" s="201" t="n"/>
      <c r="AG679" s="201" t="n"/>
    </row>
    <row r="680" ht="12.75" customHeight="1" s="202">
      <c r="A680" s="201" t="n"/>
      <c r="B680" s="201" t="n"/>
      <c r="C680" s="201" t="n"/>
      <c r="D680" s="201" t="n"/>
      <c r="E680" s="201" t="n"/>
      <c r="F680" s="201" t="n"/>
      <c r="G680" s="201" t="n"/>
      <c r="H680" s="201" t="n"/>
      <c r="I680" s="201" t="n"/>
      <c r="J680" s="201" t="n"/>
      <c r="K680" s="201" t="n"/>
      <c r="L680" s="201" t="n"/>
      <c r="M680" s="201" t="n"/>
      <c r="N680" s="201" t="n"/>
      <c r="O680" s="201" t="n"/>
      <c r="P680" s="201" t="n"/>
      <c r="Q680" s="201" t="n"/>
      <c r="R680" s="201" t="n"/>
      <c r="S680" s="201" t="n"/>
      <c r="T680" s="201" t="n"/>
      <c r="U680" s="201" t="n"/>
      <c r="V680" s="201" t="n"/>
      <c r="W680" s="201" t="n"/>
      <c r="X680" s="201" t="n"/>
      <c r="Y680" s="201" t="n"/>
      <c r="Z680" s="201" t="n"/>
      <c r="AA680" s="201" t="n"/>
      <c r="AB680" s="201" t="n"/>
      <c r="AC680" s="201" t="n"/>
      <c r="AD680" s="201" t="n"/>
      <c r="AE680" s="201" t="n"/>
      <c r="AF680" s="201" t="n"/>
      <c r="AG680" s="201" t="n"/>
    </row>
    <row r="681" ht="12.75" customHeight="1" s="202">
      <c r="A681" s="201" t="n"/>
      <c r="B681" s="201" t="n"/>
      <c r="C681" s="201" t="n"/>
      <c r="D681" s="201" t="n"/>
      <c r="E681" s="201" t="n"/>
      <c r="F681" s="201" t="n"/>
      <c r="G681" s="201" t="n"/>
      <c r="H681" s="201" t="n"/>
      <c r="I681" s="201" t="n"/>
      <c r="J681" s="201" t="n"/>
      <c r="K681" s="201" t="n"/>
      <c r="L681" s="201" t="n"/>
      <c r="M681" s="201" t="n"/>
      <c r="N681" s="201" t="n"/>
      <c r="O681" s="201" t="n"/>
      <c r="P681" s="201" t="n"/>
      <c r="Q681" s="201" t="n"/>
      <c r="R681" s="201" t="n"/>
      <c r="S681" s="201" t="n"/>
      <c r="T681" s="201" t="n"/>
      <c r="U681" s="201" t="n"/>
      <c r="V681" s="201" t="n"/>
      <c r="W681" s="201" t="n"/>
      <c r="X681" s="201" t="n"/>
      <c r="Y681" s="201" t="n"/>
      <c r="Z681" s="201" t="n"/>
      <c r="AA681" s="201" t="n"/>
      <c r="AB681" s="201" t="n"/>
      <c r="AC681" s="201" t="n"/>
      <c r="AD681" s="201" t="n"/>
      <c r="AE681" s="201" t="n"/>
      <c r="AF681" s="201" t="n"/>
      <c r="AG681" s="201" t="n"/>
    </row>
    <row r="682" ht="12.75" customHeight="1" s="202">
      <c r="A682" s="201" t="n"/>
      <c r="B682" s="201" t="n"/>
      <c r="C682" s="201" t="n"/>
      <c r="D682" s="201" t="n"/>
      <c r="E682" s="201" t="n"/>
      <c r="F682" s="201" t="n"/>
      <c r="G682" s="201" t="n"/>
      <c r="H682" s="201" t="n"/>
      <c r="I682" s="201" t="n"/>
      <c r="J682" s="201" t="n"/>
      <c r="K682" s="201" t="n"/>
      <c r="L682" s="201" t="n"/>
      <c r="M682" s="201" t="n"/>
      <c r="N682" s="201" t="n"/>
      <c r="O682" s="201" t="n"/>
      <c r="P682" s="201" t="n"/>
      <c r="Q682" s="201" t="n"/>
      <c r="R682" s="201" t="n"/>
      <c r="S682" s="201" t="n"/>
      <c r="T682" s="201" t="n"/>
      <c r="U682" s="201" t="n"/>
      <c r="V682" s="201" t="n"/>
      <c r="W682" s="201" t="n"/>
      <c r="X682" s="201" t="n"/>
      <c r="Y682" s="201" t="n"/>
      <c r="Z682" s="201" t="n"/>
      <c r="AA682" s="201" t="n"/>
      <c r="AB682" s="201" t="n"/>
      <c r="AC682" s="201" t="n"/>
      <c r="AD682" s="201" t="n"/>
      <c r="AE682" s="201" t="n"/>
      <c r="AF682" s="201" t="n"/>
      <c r="AG682" s="201" t="n"/>
    </row>
    <row r="683" ht="12.75" customHeight="1" s="202">
      <c r="A683" s="201" t="n"/>
      <c r="B683" s="201" t="n"/>
      <c r="C683" s="201" t="n"/>
      <c r="D683" s="201" t="n"/>
      <c r="E683" s="201" t="n"/>
      <c r="F683" s="201" t="n"/>
      <c r="G683" s="201" t="n"/>
      <c r="H683" s="201" t="n"/>
      <c r="I683" s="201" t="n"/>
      <c r="J683" s="201" t="n"/>
      <c r="K683" s="201" t="n"/>
      <c r="L683" s="201" t="n"/>
      <c r="M683" s="201" t="n"/>
      <c r="N683" s="201" t="n"/>
      <c r="O683" s="201" t="n"/>
      <c r="P683" s="201" t="n"/>
      <c r="Q683" s="201" t="n"/>
      <c r="R683" s="201" t="n"/>
      <c r="S683" s="201" t="n"/>
      <c r="T683" s="201" t="n"/>
      <c r="U683" s="201" t="n"/>
      <c r="V683" s="201" t="n"/>
      <c r="W683" s="201" t="n"/>
      <c r="X683" s="201" t="n"/>
      <c r="Y683" s="201" t="n"/>
      <c r="Z683" s="201" t="n"/>
      <c r="AA683" s="201" t="n"/>
      <c r="AB683" s="201" t="n"/>
      <c r="AC683" s="201" t="n"/>
      <c r="AD683" s="201" t="n"/>
      <c r="AE683" s="201" t="n"/>
      <c r="AF683" s="201" t="n"/>
      <c r="AG683" s="201" t="n"/>
    </row>
    <row r="684" ht="12.75" customHeight="1" s="202">
      <c r="A684" s="201" t="n"/>
      <c r="B684" s="201" t="n"/>
      <c r="C684" s="201" t="n"/>
      <c r="D684" s="201" t="n"/>
      <c r="E684" s="201" t="n"/>
      <c r="F684" s="201" t="n"/>
      <c r="G684" s="201" t="n"/>
      <c r="H684" s="201" t="n"/>
      <c r="I684" s="201" t="n"/>
      <c r="J684" s="201" t="n"/>
      <c r="K684" s="201" t="n"/>
      <c r="L684" s="201" t="n"/>
      <c r="M684" s="201" t="n"/>
      <c r="N684" s="201" t="n"/>
      <c r="O684" s="201" t="n"/>
      <c r="P684" s="201" t="n"/>
      <c r="Q684" s="201" t="n"/>
      <c r="R684" s="201" t="n"/>
      <c r="S684" s="201" t="n"/>
      <c r="T684" s="201" t="n"/>
      <c r="U684" s="201" t="n"/>
      <c r="V684" s="201" t="n"/>
      <c r="W684" s="201" t="n"/>
      <c r="X684" s="201" t="n"/>
      <c r="Y684" s="201" t="n"/>
      <c r="Z684" s="201" t="n"/>
      <c r="AA684" s="201" t="n"/>
      <c r="AB684" s="201" t="n"/>
      <c r="AC684" s="201" t="n"/>
      <c r="AD684" s="201" t="n"/>
      <c r="AE684" s="201" t="n"/>
      <c r="AF684" s="201" t="n"/>
      <c r="AG684" s="201" t="n"/>
    </row>
    <row r="685" ht="12.75" customHeight="1" s="202">
      <c r="A685" s="201" t="n"/>
      <c r="B685" s="201" t="n"/>
      <c r="C685" s="201" t="n"/>
      <c r="D685" s="201" t="n"/>
      <c r="E685" s="201" t="n"/>
      <c r="F685" s="201" t="n"/>
      <c r="G685" s="201" t="n"/>
      <c r="H685" s="201" t="n"/>
      <c r="I685" s="201" t="n"/>
      <c r="J685" s="201" t="n"/>
      <c r="K685" s="201" t="n"/>
      <c r="L685" s="201" t="n"/>
      <c r="M685" s="201" t="n"/>
      <c r="N685" s="201" t="n"/>
      <c r="O685" s="201" t="n"/>
      <c r="P685" s="201" t="n"/>
      <c r="Q685" s="201" t="n"/>
      <c r="R685" s="201" t="n"/>
      <c r="S685" s="201" t="n"/>
      <c r="T685" s="201" t="n"/>
      <c r="U685" s="201" t="n"/>
      <c r="V685" s="201" t="n"/>
      <c r="W685" s="201" t="n"/>
      <c r="X685" s="201" t="n"/>
      <c r="Y685" s="201" t="n"/>
      <c r="Z685" s="201" t="n"/>
      <c r="AA685" s="201" t="n"/>
      <c r="AB685" s="201" t="n"/>
      <c r="AC685" s="201" t="n"/>
      <c r="AD685" s="201" t="n"/>
      <c r="AE685" s="201" t="n"/>
      <c r="AF685" s="201" t="n"/>
      <c r="AG685" s="201" t="n"/>
    </row>
    <row r="686" ht="12.75" customHeight="1" s="202">
      <c r="A686" s="201" t="n"/>
      <c r="B686" s="201" t="n"/>
      <c r="C686" s="201" t="n"/>
      <c r="D686" s="201" t="n"/>
      <c r="E686" s="201" t="n"/>
      <c r="F686" s="201" t="n"/>
      <c r="G686" s="201" t="n"/>
      <c r="H686" s="201" t="n"/>
      <c r="I686" s="201" t="n"/>
      <c r="J686" s="201" t="n"/>
      <c r="K686" s="201" t="n"/>
      <c r="L686" s="201" t="n"/>
      <c r="M686" s="201" t="n"/>
      <c r="N686" s="201" t="n"/>
      <c r="O686" s="201" t="n"/>
      <c r="P686" s="201" t="n"/>
      <c r="Q686" s="201" t="n"/>
      <c r="R686" s="201" t="n"/>
      <c r="S686" s="201" t="n"/>
      <c r="T686" s="201" t="n"/>
      <c r="U686" s="201" t="n"/>
      <c r="V686" s="201" t="n"/>
      <c r="W686" s="201" t="n"/>
      <c r="X686" s="201" t="n"/>
      <c r="Y686" s="201" t="n"/>
      <c r="Z686" s="201" t="n"/>
      <c r="AA686" s="201" t="n"/>
      <c r="AB686" s="201" t="n"/>
      <c r="AC686" s="201" t="n"/>
      <c r="AD686" s="201" t="n"/>
      <c r="AE686" s="201" t="n"/>
      <c r="AF686" s="201" t="n"/>
      <c r="AG686" s="201" t="n"/>
    </row>
    <row r="687" ht="12.75" customHeight="1" s="202">
      <c r="A687" s="201" t="n"/>
      <c r="B687" s="201" t="n"/>
      <c r="C687" s="201" t="n"/>
      <c r="D687" s="201" t="n"/>
      <c r="E687" s="201" t="n"/>
      <c r="F687" s="201" t="n"/>
      <c r="G687" s="201" t="n"/>
      <c r="H687" s="201" t="n"/>
      <c r="I687" s="201" t="n"/>
      <c r="J687" s="201" t="n"/>
      <c r="K687" s="201" t="n"/>
      <c r="L687" s="201" t="n"/>
      <c r="M687" s="201" t="n"/>
      <c r="N687" s="201" t="n"/>
      <c r="O687" s="201" t="n"/>
      <c r="P687" s="201" t="n"/>
      <c r="Q687" s="201" t="n"/>
      <c r="R687" s="201" t="n"/>
      <c r="S687" s="201" t="n"/>
      <c r="T687" s="201" t="n"/>
      <c r="U687" s="201" t="n"/>
      <c r="V687" s="201" t="n"/>
      <c r="W687" s="201" t="n"/>
      <c r="X687" s="201" t="n"/>
      <c r="Y687" s="201" t="n"/>
      <c r="Z687" s="201" t="n"/>
      <c r="AA687" s="201" t="n"/>
      <c r="AB687" s="201" t="n"/>
      <c r="AC687" s="201" t="n"/>
      <c r="AD687" s="201" t="n"/>
      <c r="AE687" s="201" t="n"/>
      <c r="AF687" s="201" t="n"/>
      <c r="AG687" s="201" t="n"/>
    </row>
    <row r="688" ht="12.75" customHeight="1" s="202">
      <c r="A688" s="201" t="n"/>
      <c r="B688" s="201" t="n"/>
      <c r="C688" s="201" t="n"/>
      <c r="D688" s="201" t="n"/>
      <c r="E688" s="201" t="n"/>
      <c r="F688" s="201" t="n"/>
      <c r="G688" s="201" t="n"/>
      <c r="H688" s="201" t="n"/>
      <c r="I688" s="201" t="n"/>
      <c r="J688" s="201" t="n"/>
      <c r="K688" s="201" t="n"/>
      <c r="L688" s="201" t="n"/>
      <c r="M688" s="201" t="n"/>
      <c r="N688" s="201" t="n"/>
      <c r="O688" s="201" t="n"/>
      <c r="P688" s="201" t="n"/>
      <c r="Q688" s="201" t="n"/>
      <c r="R688" s="201" t="n"/>
      <c r="S688" s="201" t="n"/>
      <c r="T688" s="201" t="n"/>
      <c r="U688" s="201" t="n"/>
      <c r="V688" s="201" t="n"/>
      <c r="W688" s="201" t="n"/>
      <c r="X688" s="201" t="n"/>
      <c r="Y688" s="201" t="n"/>
      <c r="Z688" s="201" t="n"/>
      <c r="AA688" s="201" t="n"/>
      <c r="AB688" s="201" t="n"/>
      <c r="AC688" s="201" t="n"/>
      <c r="AD688" s="201" t="n"/>
      <c r="AE688" s="201" t="n"/>
      <c r="AF688" s="201" t="n"/>
      <c r="AG688" s="201" t="n"/>
    </row>
    <row r="689" ht="12.75" customHeight="1" s="202">
      <c r="A689" s="201" t="n"/>
      <c r="B689" s="201" t="n"/>
      <c r="C689" s="201" t="n"/>
      <c r="D689" s="201" t="n"/>
      <c r="E689" s="201" t="n"/>
      <c r="F689" s="201" t="n"/>
      <c r="G689" s="201" t="n"/>
      <c r="H689" s="201" t="n"/>
      <c r="I689" s="201" t="n"/>
      <c r="J689" s="201" t="n"/>
      <c r="K689" s="201" t="n"/>
      <c r="L689" s="201" t="n"/>
      <c r="M689" s="201" t="n"/>
      <c r="N689" s="201" t="n"/>
      <c r="O689" s="201" t="n"/>
      <c r="P689" s="201" t="n"/>
      <c r="Q689" s="201" t="n"/>
      <c r="R689" s="201" t="n"/>
      <c r="S689" s="201" t="n"/>
      <c r="T689" s="201" t="n"/>
      <c r="U689" s="201" t="n"/>
      <c r="V689" s="201" t="n"/>
      <c r="W689" s="201" t="n"/>
      <c r="X689" s="201" t="n"/>
      <c r="Y689" s="201" t="n"/>
      <c r="Z689" s="201" t="n"/>
      <c r="AA689" s="201" t="n"/>
      <c r="AB689" s="201" t="n"/>
      <c r="AC689" s="201" t="n"/>
      <c r="AD689" s="201" t="n"/>
      <c r="AE689" s="201" t="n"/>
      <c r="AF689" s="201" t="n"/>
      <c r="AG689" s="201" t="n"/>
    </row>
    <row r="690" ht="12.75" customHeight="1" s="202">
      <c r="A690" s="201" t="n"/>
      <c r="B690" s="201" t="n"/>
      <c r="C690" s="201" t="n"/>
      <c r="D690" s="201" t="n"/>
      <c r="E690" s="201" t="n"/>
      <c r="F690" s="201" t="n"/>
      <c r="G690" s="201" t="n"/>
      <c r="H690" s="201" t="n"/>
      <c r="I690" s="201" t="n"/>
      <c r="J690" s="201" t="n"/>
      <c r="K690" s="201" t="n"/>
      <c r="L690" s="201" t="n"/>
      <c r="M690" s="201" t="n"/>
      <c r="N690" s="201" t="n"/>
      <c r="O690" s="201" t="n"/>
      <c r="P690" s="201" t="n"/>
      <c r="Q690" s="201" t="n"/>
      <c r="R690" s="201" t="n"/>
      <c r="S690" s="201" t="n"/>
      <c r="T690" s="201" t="n"/>
      <c r="U690" s="201" t="n"/>
      <c r="V690" s="201" t="n"/>
      <c r="W690" s="201" t="n"/>
      <c r="X690" s="201" t="n"/>
      <c r="Y690" s="201" t="n"/>
      <c r="Z690" s="201" t="n"/>
      <c r="AA690" s="201" t="n"/>
      <c r="AB690" s="201" t="n"/>
      <c r="AC690" s="201" t="n"/>
      <c r="AD690" s="201" t="n"/>
      <c r="AE690" s="201" t="n"/>
      <c r="AF690" s="201" t="n"/>
      <c r="AG690" s="201" t="n"/>
    </row>
    <row r="691" ht="12.75" customHeight="1" s="202">
      <c r="A691" s="201" t="n"/>
      <c r="B691" s="201" t="n"/>
      <c r="C691" s="201" t="n"/>
      <c r="D691" s="201" t="n"/>
      <c r="E691" s="201" t="n"/>
      <c r="F691" s="201" t="n"/>
      <c r="G691" s="201" t="n"/>
      <c r="H691" s="201" t="n"/>
      <c r="I691" s="201" t="n"/>
      <c r="J691" s="201" t="n"/>
      <c r="K691" s="201" t="n"/>
      <c r="L691" s="201" t="n"/>
      <c r="M691" s="201" t="n"/>
      <c r="N691" s="201" t="n"/>
      <c r="O691" s="201" t="n"/>
      <c r="P691" s="201" t="n"/>
      <c r="Q691" s="201" t="n"/>
      <c r="R691" s="201" t="n"/>
      <c r="S691" s="201" t="n"/>
      <c r="T691" s="201" t="n"/>
      <c r="U691" s="201" t="n"/>
      <c r="V691" s="201" t="n"/>
      <c r="W691" s="201" t="n"/>
      <c r="X691" s="201" t="n"/>
      <c r="Y691" s="201" t="n"/>
      <c r="Z691" s="201" t="n"/>
      <c r="AA691" s="201" t="n"/>
      <c r="AB691" s="201" t="n"/>
      <c r="AC691" s="201" t="n"/>
      <c r="AD691" s="201" t="n"/>
      <c r="AE691" s="201" t="n"/>
      <c r="AF691" s="201" t="n"/>
      <c r="AG691" s="201" t="n"/>
    </row>
    <row r="692" ht="12.75" customHeight="1" s="202">
      <c r="A692" s="201" t="n"/>
      <c r="B692" s="201" t="n"/>
      <c r="C692" s="201" t="n"/>
      <c r="D692" s="201" t="n"/>
      <c r="E692" s="201" t="n"/>
      <c r="F692" s="201" t="n"/>
      <c r="G692" s="201" t="n"/>
      <c r="H692" s="201" t="n"/>
      <c r="I692" s="201" t="n"/>
      <c r="J692" s="201" t="n"/>
      <c r="K692" s="201" t="n"/>
      <c r="L692" s="201" t="n"/>
      <c r="M692" s="201" t="n"/>
      <c r="N692" s="201" t="n"/>
      <c r="O692" s="201" t="n"/>
      <c r="P692" s="201" t="n"/>
      <c r="Q692" s="201" t="n"/>
      <c r="R692" s="201" t="n"/>
      <c r="S692" s="201" t="n"/>
      <c r="T692" s="201" t="n"/>
      <c r="U692" s="201" t="n"/>
      <c r="V692" s="201" t="n"/>
      <c r="W692" s="201" t="n"/>
      <c r="X692" s="201" t="n"/>
      <c r="Y692" s="201" t="n"/>
      <c r="Z692" s="201" t="n"/>
      <c r="AA692" s="201" t="n"/>
      <c r="AB692" s="201" t="n"/>
      <c r="AC692" s="201" t="n"/>
      <c r="AD692" s="201" t="n"/>
      <c r="AE692" s="201" t="n"/>
      <c r="AF692" s="201" t="n"/>
      <c r="AG692" s="201" t="n"/>
    </row>
    <row r="693" ht="12.75" customHeight="1" s="202">
      <c r="A693" s="201" t="n"/>
      <c r="B693" s="201" t="n"/>
      <c r="C693" s="201" t="n"/>
      <c r="D693" s="201" t="n"/>
      <c r="E693" s="201" t="n"/>
      <c r="F693" s="201" t="n"/>
      <c r="G693" s="201" t="n"/>
      <c r="H693" s="201" t="n"/>
      <c r="I693" s="201" t="n"/>
      <c r="J693" s="201" t="n"/>
      <c r="K693" s="201" t="n"/>
      <c r="L693" s="201" t="n"/>
      <c r="M693" s="201" t="n"/>
      <c r="N693" s="201" t="n"/>
      <c r="O693" s="201" t="n"/>
      <c r="P693" s="201" t="n"/>
      <c r="Q693" s="201" t="n"/>
      <c r="R693" s="201" t="n"/>
      <c r="S693" s="201" t="n"/>
      <c r="T693" s="201" t="n"/>
      <c r="U693" s="201" t="n"/>
      <c r="V693" s="201" t="n"/>
      <c r="W693" s="201" t="n"/>
      <c r="X693" s="201" t="n"/>
      <c r="Y693" s="201" t="n"/>
      <c r="Z693" s="201" t="n"/>
      <c r="AA693" s="201" t="n"/>
      <c r="AB693" s="201" t="n"/>
      <c r="AC693" s="201" t="n"/>
      <c r="AD693" s="201" t="n"/>
      <c r="AE693" s="201" t="n"/>
      <c r="AF693" s="201" t="n"/>
      <c r="AG693" s="201" t="n"/>
    </row>
    <row r="694" ht="12.75" customHeight="1" s="202">
      <c r="A694" s="201" t="n"/>
      <c r="B694" s="201" t="n"/>
      <c r="C694" s="201" t="n"/>
      <c r="D694" s="201" t="n"/>
      <c r="E694" s="201" t="n"/>
      <c r="F694" s="201" t="n"/>
      <c r="G694" s="201" t="n"/>
      <c r="H694" s="201" t="n"/>
      <c r="I694" s="201" t="n"/>
      <c r="J694" s="201" t="n"/>
      <c r="K694" s="201" t="n"/>
      <c r="L694" s="201" t="n"/>
      <c r="M694" s="201" t="n"/>
      <c r="N694" s="201" t="n"/>
      <c r="O694" s="201" t="n"/>
      <c r="P694" s="201" t="n"/>
      <c r="Q694" s="201" t="n"/>
      <c r="R694" s="201" t="n"/>
      <c r="S694" s="201" t="n"/>
      <c r="T694" s="201" t="n"/>
      <c r="U694" s="201" t="n"/>
      <c r="V694" s="201" t="n"/>
      <c r="W694" s="201" t="n"/>
      <c r="X694" s="201" t="n"/>
      <c r="Y694" s="201" t="n"/>
      <c r="Z694" s="201" t="n"/>
      <c r="AA694" s="201" t="n"/>
      <c r="AB694" s="201" t="n"/>
      <c r="AC694" s="201" t="n"/>
      <c r="AD694" s="201" t="n"/>
      <c r="AE694" s="201" t="n"/>
      <c r="AF694" s="201" t="n"/>
      <c r="AG694" s="201" t="n"/>
    </row>
    <row r="695" ht="12.75" customHeight="1" s="202">
      <c r="A695" s="201" t="n"/>
      <c r="B695" s="201" t="n"/>
      <c r="C695" s="201" t="n"/>
      <c r="D695" s="201" t="n"/>
      <c r="E695" s="201" t="n"/>
      <c r="F695" s="201" t="n"/>
      <c r="G695" s="201" t="n"/>
      <c r="H695" s="201" t="n"/>
      <c r="I695" s="201" t="n"/>
      <c r="J695" s="201" t="n"/>
      <c r="K695" s="201" t="n"/>
      <c r="L695" s="201" t="n"/>
      <c r="M695" s="201" t="n"/>
      <c r="N695" s="201" t="n"/>
      <c r="O695" s="201" t="n"/>
      <c r="P695" s="201" t="n"/>
      <c r="Q695" s="201" t="n"/>
      <c r="R695" s="201" t="n"/>
      <c r="S695" s="201" t="n"/>
      <c r="T695" s="201" t="n"/>
      <c r="U695" s="201" t="n"/>
      <c r="V695" s="201" t="n"/>
      <c r="W695" s="201" t="n"/>
      <c r="X695" s="201" t="n"/>
      <c r="Y695" s="201" t="n"/>
      <c r="Z695" s="201" t="n"/>
      <c r="AA695" s="201" t="n"/>
      <c r="AB695" s="201" t="n"/>
      <c r="AC695" s="201" t="n"/>
      <c r="AD695" s="201" t="n"/>
      <c r="AE695" s="201" t="n"/>
      <c r="AF695" s="201" t="n"/>
      <c r="AG695" s="201" t="n"/>
    </row>
    <row r="696" ht="12.75" customHeight="1" s="202">
      <c r="A696" s="201" t="n"/>
      <c r="B696" s="201" t="n"/>
      <c r="C696" s="201" t="n"/>
      <c r="D696" s="201" t="n"/>
      <c r="E696" s="201" t="n"/>
      <c r="F696" s="201" t="n"/>
      <c r="G696" s="201" t="n"/>
      <c r="H696" s="201" t="n"/>
      <c r="I696" s="201" t="n"/>
      <c r="J696" s="201" t="n"/>
      <c r="K696" s="201" t="n"/>
      <c r="L696" s="201" t="n"/>
      <c r="M696" s="201" t="n"/>
      <c r="N696" s="201" t="n"/>
      <c r="O696" s="201" t="n"/>
      <c r="P696" s="201" t="n"/>
      <c r="Q696" s="201" t="n"/>
      <c r="R696" s="201" t="n"/>
      <c r="S696" s="201" t="n"/>
      <c r="T696" s="201" t="n"/>
      <c r="U696" s="201" t="n"/>
      <c r="V696" s="201" t="n"/>
      <c r="W696" s="201" t="n"/>
      <c r="X696" s="201" t="n"/>
      <c r="Y696" s="201" t="n"/>
      <c r="Z696" s="201" t="n"/>
      <c r="AA696" s="201" t="n"/>
      <c r="AB696" s="201" t="n"/>
      <c r="AC696" s="201" t="n"/>
      <c r="AD696" s="201" t="n"/>
      <c r="AE696" s="201" t="n"/>
      <c r="AF696" s="201" t="n"/>
      <c r="AG696" s="201" t="n"/>
    </row>
    <row r="697" ht="12.75" customHeight="1" s="202">
      <c r="A697" s="201" t="n"/>
      <c r="B697" s="201" t="n"/>
      <c r="C697" s="201" t="n"/>
      <c r="D697" s="201" t="n"/>
      <c r="E697" s="201" t="n"/>
      <c r="F697" s="201" t="n"/>
      <c r="G697" s="201" t="n"/>
      <c r="H697" s="201" t="n"/>
      <c r="I697" s="201" t="n"/>
      <c r="J697" s="201" t="n"/>
      <c r="K697" s="201" t="n"/>
      <c r="L697" s="201" t="n"/>
      <c r="M697" s="201" t="n"/>
      <c r="N697" s="201" t="n"/>
      <c r="O697" s="201" t="n"/>
      <c r="P697" s="201" t="n"/>
      <c r="Q697" s="201" t="n"/>
      <c r="R697" s="201" t="n"/>
      <c r="S697" s="201" t="n"/>
      <c r="T697" s="201" t="n"/>
      <c r="U697" s="201" t="n"/>
      <c r="V697" s="201" t="n"/>
      <c r="W697" s="201" t="n"/>
      <c r="X697" s="201" t="n"/>
      <c r="Y697" s="201" t="n"/>
      <c r="Z697" s="201" t="n"/>
      <c r="AA697" s="201" t="n"/>
      <c r="AB697" s="201" t="n"/>
      <c r="AC697" s="201" t="n"/>
      <c r="AD697" s="201" t="n"/>
      <c r="AE697" s="201" t="n"/>
      <c r="AF697" s="201" t="n"/>
      <c r="AG697" s="201" t="n"/>
    </row>
    <row r="698" ht="12.75" customHeight="1" s="202">
      <c r="A698" s="201" t="n"/>
      <c r="B698" s="201" t="n"/>
      <c r="C698" s="201" t="n"/>
      <c r="D698" s="201" t="n"/>
      <c r="E698" s="201" t="n"/>
      <c r="F698" s="201" t="n"/>
      <c r="G698" s="201" t="n"/>
      <c r="H698" s="201" t="n"/>
      <c r="I698" s="201" t="n"/>
      <c r="J698" s="201" t="n"/>
      <c r="K698" s="201" t="n"/>
      <c r="L698" s="201" t="n"/>
      <c r="M698" s="201" t="n"/>
      <c r="N698" s="201" t="n"/>
      <c r="O698" s="201" t="n"/>
      <c r="P698" s="201" t="n"/>
      <c r="Q698" s="201" t="n"/>
      <c r="R698" s="201" t="n"/>
      <c r="S698" s="201" t="n"/>
      <c r="T698" s="201" t="n"/>
      <c r="U698" s="201" t="n"/>
      <c r="V698" s="201" t="n"/>
      <c r="W698" s="201" t="n"/>
      <c r="X698" s="201" t="n"/>
      <c r="Y698" s="201" t="n"/>
      <c r="Z698" s="201" t="n"/>
      <c r="AA698" s="201" t="n"/>
      <c r="AB698" s="201" t="n"/>
      <c r="AC698" s="201" t="n"/>
      <c r="AD698" s="201" t="n"/>
      <c r="AE698" s="201" t="n"/>
      <c r="AF698" s="201" t="n"/>
      <c r="AG698" s="201" t="n"/>
    </row>
    <row r="699" ht="12.75" customHeight="1" s="202">
      <c r="A699" s="201" t="n"/>
      <c r="B699" s="201" t="n"/>
      <c r="C699" s="201" t="n"/>
      <c r="D699" s="201" t="n"/>
      <c r="E699" s="201" t="n"/>
      <c r="F699" s="201" t="n"/>
      <c r="G699" s="201" t="n"/>
      <c r="H699" s="201" t="n"/>
      <c r="I699" s="201" t="n"/>
      <c r="J699" s="201" t="n"/>
      <c r="K699" s="201" t="n"/>
      <c r="L699" s="201" t="n"/>
      <c r="M699" s="201" t="n"/>
      <c r="N699" s="201" t="n"/>
      <c r="O699" s="201" t="n"/>
      <c r="P699" s="201" t="n"/>
      <c r="Q699" s="201" t="n"/>
      <c r="R699" s="201" t="n"/>
      <c r="S699" s="201" t="n"/>
      <c r="T699" s="201" t="n"/>
      <c r="U699" s="201" t="n"/>
      <c r="V699" s="201" t="n"/>
      <c r="W699" s="201" t="n"/>
      <c r="X699" s="201" t="n"/>
      <c r="Y699" s="201" t="n"/>
      <c r="Z699" s="201" t="n"/>
      <c r="AA699" s="201" t="n"/>
      <c r="AB699" s="201" t="n"/>
      <c r="AC699" s="201" t="n"/>
      <c r="AD699" s="201" t="n"/>
      <c r="AE699" s="201" t="n"/>
      <c r="AF699" s="201" t="n"/>
      <c r="AG699" s="201" t="n"/>
    </row>
    <row r="700" ht="12.75" customHeight="1" s="202">
      <c r="A700" s="201" t="n"/>
      <c r="B700" s="201" t="n"/>
      <c r="C700" s="201" t="n"/>
      <c r="D700" s="201" t="n"/>
      <c r="E700" s="201" t="n"/>
      <c r="F700" s="201" t="n"/>
      <c r="G700" s="201" t="n"/>
      <c r="H700" s="201" t="n"/>
      <c r="I700" s="201" t="n"/>
      <c r="J700" s="201" t="n"/>
      <c r="K700" s="201" t="n"/>
      <c r="L700" s="201" t="n"/>
      <c r="M700" s="201" t="n"/>
      <c r="N700" s="201" t="n"/>
      <c r="O700" s="201" t="n"/>
      <c r="P700" s="201" t="n"/>
      <c r="Q700" s="201" t="n"/>
      <c r="R700" s="201" t="n"/>
      <c r="S700" s="201" t="n"/>
      <c r="T700" s="201" t="n"/>
      <c r="U700" s="201" t="n"/>
      <c r="V700" s="201" t="n"/>
      <c r="W700" s="201" t="n"/>
      <c r="X700" s="201" t="n"/>
      <c r="Y700" s="201" t="n"/>
      <c r="Z700" s="201" t="n"/>
      <c r="AA700" s="201" t="n"/>
      <c r="AB700" s="201" t="n"/>
      <c r="AC700" s="201" t="n"/>
      <c r="AD700" s="201" t="n"/>
      <c r="AE700" s="201" t="n"/>
      <c r="AF700" s="201" t="n"/>
      <c r="AG700" s="201" t="n"/>
    </row>
    <row r="701" ht="12.75" customHeight="1" s="202">
      <c r="A701" s="201" t="n"/>
      <c r="B701" s="201" t="n"/>
      <c r="C701" s="201" t="n"/>
      <c r="D701" s="201" t="n"/>
      <c r="E701" s="201" t="n"/>
      <c r="F701" s="201" t="n"/>
      <c r="G701" s="201" t="n"/>
      <c r="H701" s="201" t="n"/>
      <c r="I701" s="201" t="n"/>
      <c r="J701" s="201" t="n"/>
      <c r="K701" s="201" t="n"/>
      <c r="L701" s="201" t="n"/>
      <c r="M701" s="201" t="n"/>
      <c r="N701" s="201" t="n"/>
      <c r="O701" s="201" t="n"/>
      <c r="P701" s="201" t="n"/>
      <c r="Q701" s="201" t="n"/>
      <c r="R701" s="201" t="n"/>
      <c r="S701" s="201" t="n"/>
      <c r="T701" s="201" t="n"/>
      <c r="U701" s="201" t="n"/>
      <c r="V701" s="201" t="n"/>
      <c r="W701" s="201" t="n"/>
      <c r="X701" s="201" t="n"/>
      <c r="Y701" s="201" t="n"/>
      <c r="Z701" s="201" t="n"/>
      <c r="AA701" s="201" t="n"/>
      <c r="AB701" s="201" t="n"/>
      <c r="AC701" s="201" t="n"/>
      <c r="AD701" s="201" t="n"/>
      <c r="AE701" s="201" t="n"/>
      <c r="AF701" s="201" t="n"/>
      <c r="AG701" s="201" t="n"/>
    </row>
    <row r="702" ht="12.75" customHeight="1" s="202">
      <c r="A702" s="201" t="n"/>
      <c r="B702" s="201" t="n"/>
      <c r="C702" s="201" t="n"/>
      <c r="D702" s="201" t="n"/>
      <c r="E702" s="201" t="n"/>
      <c r="F702" s="201" t="n"/>
      <c r="G702" s="201" t="n"/>
      <c r="H702" s="201" t="n"/>
      <c r="I702" s="201" t="n"/>
      <c r="J702" s="201" t="n"/>
      <c r="K702" s="201" t="n"/>
      <c r="L702" s="201" t="n"/>
      <c r="M702" s="201" t="n"/>
      <c r="N702" s="201" t="n"/>
      <c r="O702" s="201" t="n"/>
      <c r="P702" s="201" t="n"/>
      <c r="Q702" s="201" t="n"/>
      <c r="R702" s="201" t="n"/>
      <c r="S702" s="201" t="n"/>
      <c r="T702" s="201" t="n"/>
      <c r="U702" s="201" t="n"/>
      <c r="V702" s="201" t="n"/>
      <c r="W702" s="201" t="n"/>
      <c r="X702" s="201" t="n"/>
      <c r="Y702" s="201" t="n"/>
      <c r="Z702" s="201" t="n"/>
      <c r="AA702" s="201" t="n"/>
      <c r="AB702" s="201" t="n"/>
      <c r="AC702" s="201" t="n"/>
      <c r="AD702" s="201" t="n"/>
      <c r="AE702" s="201" t="n"/>
      <c r="AF702" s="201" t="n"/>
      <c r="AG702" s="201" t="n"/>
    </row>
    <row r="703" ht="12.75" customHeight="1" s="202">
      <c r="A703" s="201" t="n"/>
      <c r="B703" s="201" t="n"/>
      <c r="C703" s="201" t="n"/>
      <c r="D703" s="201" t="n"/>
      <c r="E703" s="201" t="n"/>
      <c r="F703" s="201" t="n"/>
      <c r="G703" s="201" t="n"/>
      <c r="H703" s="201" t="n"/>
      <c r="I703" s="201" t="n"/>
      <c r="J703" s="201" t="n"/>
      <c r="K703" s="201" t="n"/>
      <c r="L703" s="201" t="n"/>
      <c r="M703" s="201" t="n"/>
      <c r="N703" s="201" t="n"/>
      <c r="O703" s="201" t="n"/>
      <c r="P703" s="201" t="n"/>
      <c r="Q703" s="201" t="n"/>
      <c r="R703" s="201" t="n"/>
      <c r="S703" s="201" t="n"/>
      <c r="T703" s="201" t="n"/>
      <c r="U703" s="201" t="n"/>
      <c r="V703" s="201" t="n"/>
      <c r="W703" s="201" t="n"/>
      <c r="X703" s="201" t="n"/>
      <c r="Y703" s="201" t="n"/>
      <c r="Z703" s="201" t="n"/>
      <c r="AA703" s="201" t="n"/>
      <c r="AB703" s="201" t="n"/>
      <c r="AC703" s="201" t="n"/>
      <c r="AD703" s="201" t="n"/>
      <c r="AE703" s="201" t="n"/>
      <c r="AF703" s="201" t="n"/>
      <c r="AG703" s="201" t="n"/>
    </row>
    <row r="704" ht="12.75" customHeight="1" s="202">
      <c r="A704" s="201" t="n"/>
      <c r="B704" s="201" t="n"/>
      <c r="C704" s="201" t="n"/>
      <c r="D704" s="201" t="n"/>
      <c r="E704" s="201" t="n"/>
      <c r="F704" s="201" t="n"/>
      <c r="G704" s="201" t="n"/>
      <c r="H704" s="201" t="n"/>
      <c r="I704" s="201" t="n"/>
      <c r="J704" s="201" t="n"/>
      <c r="K704" s="201" t="n"/>
      <c r="L704" s="201" t="n"/>
      <c r="M704" s="201" t="n"/>
      <c r="N704" s="201" t="n"/>
      <c r="O704" s="201" t="n"/>
      <c r="P704" s="201" t="n"/>
      <c r="Q704" s="201" t="n"/>
      <c r="R704" s="201" t="n"/>
      <c r="S704" s="201" t="n"/>
      <c r="T704" s="201" t="n"/>
      <c r="U704" s="201" t="n"/>
      <c r="V704" s="201" t="n"/>
      <c r="W704" s="201" t="n"/>
      <c r="X704" s="201" t="n"/>
      <c r="Y704" s="201" t="n"/>
      <c r="Z704" s="201" t="n"/>
      <c r="AA704" s="201" t="n"/>
      <c r="AB704" s="201" t="n"/>
      <c r="AC704" s="201" t="n"/>
      <c r="AD704" s="201" t="n"/>
      <c r="AE704" s="201" t="n"/>
      <c r="AF704" s="201" t="n"/>
      <c r="AG704" s="201" t="n"/>
    </row>
    <row r="705" ht="12.75" customHeight="1" s="202">
      <c r="A705" s="201" t="n"/>
      <c r="B705" s="201" t="n"/>
      <c r="C705" s="201" t="n"/>
      <c r="D705" s="201" t="n"/>
      <c r="E705" s="201" t="n"/>
      <c r="F705" s="201" t="n"/>
      <c r="G705" s="201" t="n"/>
      <c r="H705" s="201" t="n"/>
      <c r="I705" s="201" t="n"/>
      <c r="J705" s="201" t="n"/>
      <c r="K705" s="201" t="n"/>
      <c r="L705" s="201" t="n"/>
      <c r="M705" s="201" t="n"/>
      <c r="N705" s="201" t="n"/>
      <c r="O705" s="201" t="n"/>
      <c r="P705" s="201" t="n"/>
      <c r="Q705" s="201" t="n"/>
      <c r="R705" s="201" t="n"/>
      <c r="S705" s="201" t="n"/>
      <c r="T705" s="201" t="n"/>
      <c r="U705" s="201" t="n"/>
      <c r="V705" s="201" t="n"/>
      <c r="W705" s="201" t="n"/>
      <c r="X705" s="201" t="n"/>
      <c r="Y705" s="201" t="n"/>
      <c r="Z705" s="201" t="n"/>
      <c r="AA705" s="201" t="n"/>
      <c r="AB705" s="201" t="n"/>
      <c r="AC705" s="201" t="n"/>
      <c r="AD705" s="201" t="n"/>
      <c r="AE705" s="201" t="n"/>
      <c r="AF705" s="201" t="n"/>
      <c r="AG705" s="201" t="n"/>
    </row>
    <row r="706" ht="12.75" customHeight="1" s="202">
      <c r="A706" s="201" t="n"/>
      <c r="B706" s="201" t="n"/>
      <c r="C706" s="201" t="n"/>
      <c r="D706" s="201" t="n"/>
      <c r="E706" s="201" t="n"/>
      <c r="F706" s="201" t="n"/>
      <c r="G706" s="201" t="n"/>
      <c r="H706" s="201" t="n"/>
      <c r="I706" s="201" t="n"/>
      <c r="J706" s="201" t="n"/>
      <c r="K706" s="201" t="n"/>
      <c r="L706" s="201" t="n"/>
      <c r="M706" s="201" t="n"/>
      <c r="N706" s="201" t="n"/>
      <c r="O706" s="201" t="n"/>
      <c r="P706" s="201" t="n"/>
      <c r="Q706" s="201" t="n"/>
      <c r="R706" s="201" t="n"/>
      <c r="S706" s="201" t="n"/>
      <c r="T706" s="201" t="n"/>
      <c r="U706" s="201" t="n"/>
      <c r="V706" s="201" t="n"/>
      <c r="W706" s="201" t="n"/>
      <c r="X706" s="201" t="n"/>
      <c r="Y706" s="201" t="n"/>
      <c r="Z706" s="201" t="n"/>
      <c r="AA706" s="201" t="n"/>
      <c r="AB706" s="201" t="n"/>
      <c r="AC706" s="201" t="n"/>
      <c r="AD706" s="201" t="n"/>
      <c r="AE706" s="201" t="n"/>
      <c r="AF706" s="201" t="n"/>
      <c r="AG706" s="201" t="n"/>
    </row>
    <row r="707" ht="12.75" customHeight="1" s="202">
      <c r="A707" s="201" t="n"/>
      <c r="B707" s="201" t="n"/>
      <c r="C707" s="201" t="n"/>
      <c r="D707" s="201" t="n"/>
      <c r="E707" s="201" t="n"/>
      <c r="F707" s="201" t="n"/>
      <c r="G707" s="201" t="n"/>
      <c r="H707" s="201" t="n"/>
      <c r="I707" s="201" t="n"/>
      <c r="J707" s="201" t="n"/>
      <c r="K707" s="201" t="n"/>
      <c r="L707" s="201" t="n"/>
      <c r="M707" s="201" t="n"/>
      <c r="N707" s="201" t="n"/>
      <c r="O707" s="201" t="n"/>
      <c r="P707" s="201" t="n"/>
      <c r="Q707" s="201" t="n"/>
      <c r="R707" s="201" t="n"/>
      <c r="S707" s="201" t="n"/>
      <c r="T707" s="201" t="n"/>
      <c r="U707" s="201" t="n"/>
      <c r="V707" s="201" t="n"/>
      <c r="W707" s="201" t="n"/>
      <c r="X707" s="201" t="n"/>
      <c r="Y707" s="201" t="n"/>
      <c r="Z707" s="201" t="n"/>
      <c r="AA707" s="201" t="n"/>
      <c r="AB707" s="201" t="n"/>
      <c r="AC707" s="201" t="n"/>
      <c r="AD707" s="201" t="n"/>
      <c r="AE707" s="201" t="n"/>
      <c r="AF707" s="201" t="n"/>
      <c r="AG707" s="201" t="n"/>
    </row>
    <row r="708" ht="12.75" customHeight="1" s="202">
      <c r="A708" s="201" t="n"/>
      <c r="B708" s="201" t="n"/>
      <c r="C708" s="201" t="n"/>
      <c r="D708" s="201" t="n"/>
      <c r="E708" s="201" t="n"/>
      <c r="F708" s="201" t="n"/>
      <c r="G708" s="201" t="n"/>
      <c r="H708" s="201" t="n"/>
      <c r="I708" s="201" t="n"/>
      <c r="J708" s="201" t="n"/>
      <c r="K708" s="201" t="n"/>
      <c r="L708" s="201" t="n"/>
      <c r="M708" s="201" t="n"/>
      <c r="N708" s="201" t="n"/>
      <c r="O708" s="201" t="n"/>
      <c r="P708" s="201" t="n"/>
      <c r="Q708" s="201" t="n"/>
      <c r="R708" s="201" t="n"/>
      <c r="S708" s="201" t="n"/>
      <c r="T708" s="201" t="n"/>
      <c r="U708" s="201" t="n"/>
      <c r="V708" s="201" t="n"/>
      <c r="W708" s="201" t="n"/>
      <c r="X708" s="201" t="n"/>
      <c r="Y708" s="201" t="n"/>
      <c r="Z708" s="201" t="n"/>
      <c r="AA708" s="201" t="n"/>
      <c r="AB708" s="201" t="n"/>
      <c r="AC708" s="201" t="n"/>
      <c r="AD708" s="201" t="n"/>
      <c r="AE708" s="201" t="n"/>
      <c r="AF708" s="201" t="n"/>
      <c r="AG708" s="201" t="n"/>
    </row>
    <row r="709" ht="12.75" customHeight="1" s="202">
      <c r="A709" s="201" t="n"/>
      <c r="B709" s="201" t="n"/>
      <c r="C709" s="201" t="n"/>
      <c r="D709" s="201" t="n"/>
      <c r="E709" s="201" t="n"/>
      <c r="F709" s="201" t="n"/>
      <c r="G709" s="201" t="n"/>
      <c r="H709" s="201" t="n"/>
      <c r="I709" s="201" t="n"/>
      <c r="J709" s="201" t="n"/>
      <c r="K709" s="201" t="n"/>
      <c r="L709" s="201" t="n"/>
      <c r="M709" s="201" t="n"/>
      <c r="N709" s="201" t="n"/>
      <c r="O709" s="201" t="n"/>
      <c r="P709" s="201" t="n"/>
      <c r="Q709" s="201" t="n"/>
      <c r="R709" s="201" t="n"/>
      <c r="S709" s="201" t="n"/>
      <c r="T709" s="201" t="n"/>
      <c r="U709" s="201" t="n"/>
      <c r="V709" s="201" t="n"/>
      <c r="W709" s="201" t="n"/>
      <c r="X709" s="201" t="n"/>
      <c r="Y709" s="201" t="n"/>
      <c r="Z709" s="201" t="n"/>
      <c r="AA709" s="201" t="n"/>
      <c r="AB709" s="201" t="n"/>
      <c r="AC709" s="201" t="n"/>
      <c r="AD709" s="201" t="n"/>
      <c r="AE709" s="201" t="n"/>
      <c r="AF709" s="201" t="n"/>
      <c r="AG709" s="201" t="n"/>
    </row>
    <row r="710" ht="12.75" customHeight="1" s="202">
      <c r="A710" s="201" t="n"/>
      <c r="B710" s="201" t="n"/>
      <c r="C710" s="201" t="n"/>
      <c r="D710" s="201" t="n"/>
      <c r="E710" s="201" t="n"/>
      <c r="F710" s="201" t="n"/>
      <c r="G710" s="201" t="n"/>
      <c r="H710" s="201" t="n"/>
      <c r="I710" s="201" t="n"/>
      <c r="J710" s="201" t="n"/>
      <c r="K710" s="201" t="n"/>
      <c r="L710" s="201" t="n"/>
      <c r="M710" s="201" t="n"/>
      <c r="N710" s="201" t="n"/>
      <c r="O710" s="201" t="n"/>
      <c r="P710" s="201" t="n"/>
      <c r="Q710" s="201" t="n"/>
      <c r="R710" s="201" t="n"/>
      <c r="S710" s="201" t="n"/>
      <c r="T710" s="201" t="n"/>
      <c r="U710" s="201" t="n"/>
      <c r="V710" s="201" t="n"/>
      <c r="W710" s="201" t="n"/>
      <c r="X710" s="201" t="n"/>
      <c r="Y710" s="201" t="n"/>
      <c r="Z710" s="201" t="n"/>
      <c r="AA710" s="201" t="n"/>
      <c r="AB710" s="201" t="n"/>
      <c r="AC710" s="201" t="n"/>
      <c r="AD710" s="201" t="n"/>
      <c r="AE710" s="201" t="n"/>
      <c r="AF710" s="201" t="n"/>
      <c r="AG710" s="201" t="n"/>
    </row>
    <row r="711" ht="12.75" customHeight="1" s="202">
      <c r="A711" s="201" t="n"/>
      <c r="B711" s="201" t="n"/>
      <c r="C711" s="201" t="n"/>
      <c r="D711" s="201" t="n"/>
      <c r="E711" s="201" t="n"/>
      <c r="F711" s="201" t="n"/>
      <c r="G711" s="201" t="n"/>
      <c r="H711" s="201" t="n"/>
      <c r="I711" s="201" t="n"/>
      <c r="J711" s="201" t="n"/>
      <c r="K711" s="201" t="n"/>
      <c r="L711" s="201" t="n"/>
      <c r="M711" s="201" t="n"/>
      <c r="N711" s="201" t="n"/>
      <c r="O711" s="201" t="n"/>
      <c r="P711" s="201" t="n"/>
      <c r="Q711" s="201" t="n"/>
      <c r="R711" s="201" t="n"/>
      <c r="S711" s="201" t="n"/>
      <c r="T711" s="201" t="n"/>
      <c r="U711" s="201" t="n"/>
      <c r="V711" s="201" t="n"/>
      <c r="W711" s="201" t="n"/>
      <c r="X711" s="201" t="n"/>
      <c r="Y711" s="201" t="n"/>
      <c r="Z711" s="201" t="n"/>
      <c r="AA711" s="201" t="n"/>
      <c r="AB711" s="201" t="n"/>
      <c r="AC711" s="201" t="n"/>
      <c r="AD711" s="201" t="n"/>
      <c r="AE711" s="201" t="n"/>
      <c r="AF711" s="201" t="n"/>
      <c r="AG711" s="201" t="n"/>
    </row>
    <row r="712" ht="12.75" customHeight="1" s="202">
      <c r="A712" s="201" t="n"/>
      <c r="B712" s="201" t="n"/>
      <c r="C712" s="201" t="n"/>
      <c r="D712" s="201" t="n"/>
      <c r="E712" s="201" t="n"/>
      <c r="F712" s="201" t="n"/>
      <c r="G712" s="201" t="n"/>
      <c r="H712" s="201" t="n"/>
      <c r="I712" s="201" t="n"/>
      <c r="J712" s="201" t="n"/>
      <c r="K712" s="201" t="n"/>
      <c r="L712" s="201" t="n"/>
      <c r="M712" s="201" t="n"/>
      <c r="N712" s="201" t="n"/>
      <c r="O712" s="201" t="n"/>
      <c r="P712" s="201" t="n"/>
      <c r="Q712" s="201" t="n"/>
      <c r="R712" s="201" t="n"/>
      <c r="S712" s="201" t="n"/>
      <c r="T712" s="201" t="n"/>
      <c r="U712" s="201" t="n"/>
      <c r="V712" s="201" t="n"/>
      <c r="W712" s="201" t="n"/>
      <c r="X712" s="201" t="n"/>
      <c r="Y712" s="201" t="n"/>
      <c r="Z712" s="201" t="n"/>
      <c r="AA712" s="201" t="n"/>
      <c r="AB712" s="201" t="n"/>
      <c r="AC712" s="201" t="n"/>
      <c r="AD712" s="201" t="n"/>
      <c r="AE712" s="201" t="n"/>
      <c r="AF712" s="201" t="n"/>
      <c r="AG712" s="201" t="n"/>
    </row>
    <row r="713" ht="12.75" customHeight="1" s="202">
      <c r="A713" s="201" t="n"/>
      <c r="B713" s="201" t="n"/>
      <c r="C713" s="201" t="n"/>
      <c r="D713" s="201" t="n"/>
      <c r="E713" s="201" t="n"/>
      <c r="F713" s="201" t="n"/>
      <c r="G713" s="201" t="n"/>
      <c r="H713" s="201" t="n"/>
      <c r="I713" s="201" t="n"/>
      <c r="J713" s="201" t="n"/>
      <c r="K713" s="201" t="n"/>
      <c r="L713" s="201" t="n"/>
      <c r="M713" s="201" t="n"/>
      <c r="N713" s="201" t="n"/>
      <c r="O713" s="201" t="n"/>
      <c r="P713" s="201" t="n"/>
      <c r="Q713" s="201" t="n"/>
      <c r="R713" s="201" t="n"/>
      <c r="S713" s="201" t="n"/>
      <c r="T713" s="201" t="n"/>
      <c r="U713" s="201" t="n"/>
      <c r="V713" s="201" t="n"/>
      <c r="W713" s="201" t="n"/>
      <c r="X713" s="201" t="n"/>
      <c r="Y713" s="201" t="n"/>
      <c r="Z713" s="201" t="n"/>
      <c r="AA713" s="201" t="n"/>
      <c r="AB713" s="201" t="n"/>
      <c r="AC713" s="201" t="n"/>
      <c r="AD713" s="201" t="n"/>
      <c r="AE713" s="201" t="n"/>
      <c r="AF713" s="201" t="n"/>
      <c r="AG713" s="201" t="n"/>
    </row>
    <row r="714" ht="12.75" customHeight="1" s="202">
      <c r="A714" s="201" t="n"/>
      <c r="B714" s="201" t="n"/>
      <c r="C714" s="201" t="n"/>
      <c r="D714" s="201" t="n"/>
      <c r="E714" s="201" t="n"/>
      <c r="F714" s="201" t="n"/>
      <c r="G714" s="201" t="n"/>
      <c r="H714" s="201" t="n"/>
      <c r="I714" s="201" t="n"/>
      <c r="J714" s="201" t="n"/>
      <c r="K714" s="201" t="n"/>
      <c r="L714" s="201" t="n"/>
      <c r="M714" s="201" t="n"/>
      <c r="N714" s="201" t="n"/>
      <c r="O714" s="201" t="n"/>
      <c r="P714" s="201" t="n"/>
      <c r="Q714" s="201" t="n"/>
      <c r="R714" s="201" t="n"/>
      <c r="S714" s="201" t="n"/>
      <c r="T714" s="201" t="n"/>
      <c r="U714" s="201" t="n"/>
      <c r="V714" s="201" t="n"/>
      <c r="W714" s="201" t="n"/>
      <c r="X714" s="201" t="n"/>
      <c r="Y714" s="201" t="n"/>
      <c r="Z714" s="201" t="n"/>
      <c r="AA714" s="201" t="n"/>
      <c r="AB714" s="201" t="n"/>
      <c r="AC714" s="201" t="n"/>
      <c r="AD714" s="201" t="n"/>
      <c r="AE714" s="201" t="n"/>
      <c r="AF714" s="201" t="n"/>
      <c r="AG714" s="201" t="n"/>
    </row>
    <row r="715" ht="12.75" customHeight="1" s="202">
      <c r="A715" s="201" t="n"/>
      <c r="B715" s="201" t="n"/>
      <c r="C715" s="201" t="n"/>
      <c r="D715" s="201" t="n"/>
      <c r="E715" s="201" t="n"/>
      <c r="F715" s="201" t="n"/>
      <c r="G715" s="201" t="n"/>
      <c r="H715" s="201" t="n"/>
      <c r="I715" s="201" t="n"/>
      <c r="J715" s="201" t="n"/>
      <c r="K715" s="201" t="n"/>
      <c r="L715" s="201" t="n"/>
      <c r="M715" s="201" t="n"/>
      <c r="N715" s="201" t="n"/>
      <c r="O715" s="201" t="n"/>
      <c r="P715" s="201" t="n"/>
      <c r="Q715" s="201" t="n"/>
      <c r="R715" s="201" t="n"/>
      <c r="S715" s="201" t="n"/>
      <c r="T715" s="201" t="n"/>
      <c r="U715" s="201" t="n"/>
      <c r="V715" s="201" t="n"/>
      <c r="W715" s="201" t="n"/>
      <c r="X715" s="201" t="n"/>
      <c r="Y715" s="201" t="n"/>
      <c r="Z715" s="201" t="n"/>
      <c r="AA715" s="201" t="n"/>
      <c r="AB715" s="201" t="n"/>
      <c r="AC715" s="201" t="n"/>
      <c r="AD715" s="201" t="n"/>
      <c r="AE715" s="201" t="n"/>
      <c r="AF715" s="201" t="n"/>
      <c r="AG715" s="201" t="n"/>
    </row>
    <row r="716" ht="12.75" customHeight="1" s="202">
      <c r="A716" s="201" t="n"/>
      <c r="B716" s="201" t="n"/>
      <c r="C716" s="201" t="n"/>
      <c r="D716" s="201" t="n"/>
      <c r="E716" s="201" t="n"/>
      <c r="F716" s="201" t="n"/>
      <c r="G716" s="201" t="n"/>
      <c r="H716" s="201" t="n"/>
      <c r="I716" s="201" t="n"/>
      <c r="J716" s="201" t="n"/>
      <c r="K716" s="201" t="n"/>
      <c r="L716" s="201" t="n"/>
      <c r="M716" s="201" t="n"/>
      <c r="N716" s="201" t="n"/>
      <c r="O716" s="201" t="n"/>
      <c r="P716" s="201" t="n"/>
      <c r="Q716" s="201" t="n"/>
      <c r="R716" s="201" t="n"/>
      <c r="S716" s="201" t="n"/>
      <c r="T716" s="201" t="n"/>
      <c r="U716" s="201" t="n"/>
      <c r="V716" s="201" t="n"/>
      <c r="W716" s="201" t="n"/>
      <c r="X716" s="201" t="n"/>
      <c r="Y716" s="201" t="n"/>
      <c r="Z716" s="201" t="n"/>
      <c r="AA716" s="201" t="n"/>
      <c r="AB716" s="201" t="n"/>
      <c r="AC716" s="201" t="n"/>
      <c r="AD716" s="201" t="n"/>
      <c r="AE716" s="201" t="n"/>
      <c r="AF716" s="201" t="n"/>
      <c r="AG716" s="201" t="n"/>
    </row>
    <row r="717" ht="12.75" customHeight="1" s="202">
      <c r="A717" s="201" t="n"/>
      <c r="B717" s="201" t="n"/>
      <c r="C717" s="201" t="n"/>
      <c r="D717" s="201" t="n"/>
      <c r="E717" s="201" t="n"/>
      <c r="F717" s="201" t="n"/>
      <c r="G717" s="201" t="n"/>
      <c r="H717" s="201" t="n"/>
      <c r="I717" s="201" t="n"/>
      <c r="J717" s="201" t="n"/>
      <c r="K717" s="201" t="n"/>
      <c r="L717" s="201" t="n"/>
      <c r="M717" s="201" t="n"/>
      <c r="N717" s="201" t="n"/>
      <c r="O717" s="201" t="n"/>
      <c r="P717" s="201" t="n"/>
      <c r="Q717" s="201" t="n"/>
      <c r="R717" s="201" t="n"/>
      <c r="S717" s="201" t="n"/>
      <c r="T717" s="201" t="n"/>
      <c r="U717" s="201" t="n"/>
      <c r="V717" s="201" t="n"/>
      <c r="W717" s="201" t="n"/>
      <c r="X717" s="201" t="n"/>
      <c r="Y717" s="201" t="n"/>
      <c r="Z717" s="201" t="n"/>
      <c r="AA717" s="201" t="n"/>
      <c r="AB717" s="201" t="n"/>
      <c r="AC717" s="201" t="n"/>
      <c r="AD717" s="201" t="n"/>
      <c r="AE717" s="201" t="n"/>
      <c r="AF717" s="201" t="n"/>
      <c r="AG717" s="201" t="n"/>
    </row>
    <row r="718" ht="12.75" customHeight="1" s="202">
      <c r="A718" s="201" t="n"/>
      <c r="B718" s="201" t="n"/>
      <c r="C718" s="201" t="n"/>
      <c r="D718" s="201" t="n"/>
      <c r="E718" s="201" t="n"/>
      <c r="F718" s="201" t="n"/>
      <c r="G718" s="201" t="n"/>
      <c r="H718" s="201" t="n"/>
      <c r="I718" s="201" t="n"/>
      <c r="J718" s="201" t="n"/>
      <c r="K718" s="201" t="n"/>
      <c r="L718" s="201" t="n"/>
      <c r="M718" s="201" t="n"/>
      <c r="N718" s="201" t="n"/>
      <c r="O718" s="201" t="n"/>
      <c r="P718" s="201" t="n"/>
      <c r="Q718" s="201" t="n"/>
      <c r="R718" s="201" t="n"/>
      <c r="S718" s="201" t="n"/>
      <c r="T718" s="201" t="n"/>
      <c r="U718" s="201" t="n"/>
      <c r="V718" s="201" t="n"/>
      <c r="W718" s="201" t="n"/>
      <c r="X718" s="201" t="n"/>
      <c r="Y718" s="201" t="n"/>
      <c r="Z718" s="201" t="n"/>
      <c r="AA718" s="201" t="n"/>
      <c r="AB718" s="201" t="n"/>
      <c r="AC718" s="201" t="n"/>
      <c r="AD718" s="201" t="n"/>
      <c r="AE718" s="201" t="n"/>
      <c r="AF718" s="201" t="n"/>
      <c r="AG718" s="201" t="n"/>
    </row>
    <row r="719" ht="12.75" customHeight="1" s="202">
      <c r="A719" s="201" t="n"/>
      <c r="B719" s="201" t="n"/>
      <c r="C719" s="201" t="n"/>
      <c r="D719" s="201" t="n"/>
      <c r="E719" s="201" t="n"/>
      <c r="F719" s="201" t="n"/>
      <c r="G719" s="201" t="n"/>
      <c r="H719" s="201" t="n"/>
      <c r="I719" s="201" t="n"/>
      <c r="J719" s="201" t="n"/>
      <c r="K719" s="201" t="n"/>
      <c r="L719" s="201" t="n"/>
      <c r="M719" s="201" t="n"/>
      <c r="N719" s="201" t="n"/>
      <c r="O719" s="201" t="n"/>
      <c r="P719" s="201" t="n"/>
      <c r="Q719" s="201" t="n"/>
      <c r="R719" s="201" t="n"/>
      <c r="S719" s="201" t="n"/>
      <c r="T719" s="201" t="n"/>
      <c r="U719" s="201" t="n"/>
      <c r="V719" s="201" t="n"/>
      <c r="W719" s="201" t="n"/>
      <c r="X719" s="201" t="n"/>
      <c r="Y719" s="201" t="n"/>
      <c r="Z719" s="201" t="n"/>
      <c r="AA719" s="201" t="n"/>
      <c r="AB719" s="201" t="n"/>
      <c r="AC719" s="201" t="n"/>
      <c r="AD719" s="201" t="n"/>
      <c r="AE719" s="201" t="n"/>
      <c r="AF719" s="201" t="n"/>
      <c r="AG719" s="201" t="n"/>
    </row>
    <row r="720" ht="12.75" customHeight="1" s="202">
      <c r="A720" s="201" t="n"/>
      <c r="B720" s="201" t="n"/>
      <c r="C720" s="201" t="n"/>
      <c r="D720" s="201" t="n"/>
      <c r="E720" s="201" t="n"/>
      <c r="F720" s="201" t="n"/>
      <c r="G720" s="201" t="n"/>
      <c r="H720" s="201" t="n"/>
      <c r="I720" s="201" t="n"/>
      <c r="J720" s="201" t="n"/>
      <c r="K720" s="201" t="n"/>
      <c r="L720" s="201" t="n"/>
      <c r="M720" s="201" t="n"/>
      <c r="N720" s="201" t="n"/>
      <c r="O720" s="201" t="n"/>
      <c r="P720" s="201" t="n"/>
      <c r="Q720" s="201" t="n"/>
      <c r="R720" s="201" t="n"/>
      <c r="S720" s="201" t="n"/>
      <c r="T720" s="201" t="n"/>
      <c r="U720" s="201" t="n"/>
      <c r="V720" s="201" t="n"/>
      <c r="W720" s="201" t="n"/>
      <c r="X720" s="201" t="n"/>
      <c r="Y720" s="201" t="n"/>
      <c r="Z720" s="201" t="n"/>
      <c r="AA720" s="201" t="n"/>
      <c r="AB720" s="201" t="n"/>
      <c r="AC720" s="201" t="n"/>
      <c r="AD720" s="201" t="n"/>
      <c r="AE720" s="201" t="n"/>
      <c r="AF720" s="201" t="n"/>
      <c r="AG720" s="201" t="n"/>
    </row>
    <row r="721" ht="12.75" customHeight="1" s="202">
      <c r="A721" s="201" t="n"/>
      <c r="B721" s="201" t="n"/>
      <c r="C721" s="201" t="n"/>
      <c r="D721" s="201" t="n"/>
      <c r="E721" s="201" t="n"/>
      <c r="F721" s="201" t="n"/>
      <c r="G721" s="201" t="n"/>
      <c r="H721" s="201" t="n"/>
      <c r="I721" s="201" t="n"/>
      <c r="J721" s="201" t="n"/>
      <c r="K721" s="201" t="n"/>
      <c r="L721" s="201" t="n"/>
      <c r="M721" s="201" t="n"/>
      <c r="N721" s="201" t="n"/>
      <c r="O721" s="201" t="n"/>
      <c r="P721" s="201" t="n"/>
      <c r="Q721" s="201" t="n"/>
      <c r="R721" s="201" t="n"/>
      <c r="S721" s="201" t="n"/>
      <c r="T721" s="201" t="n"/>
      <c r="U721" s="201" t="n"/>
      <c r="V721" s="201" t="n"/>
      <c r="W721" s="201" t="n"/>
      <c r="X721" s="201" t="n"/>
      <c r="Y721" s="201" t="n"/>
      <c r="Z721" s="201" t="n"/>
      <c r="AA721" s="201" t="n"/>
      <c r="AB721" s="201" t="n"/>
      <c r="AC721" s="201" t="n"/>
      <c r="AD721" s="201" t="n"/>
      <c r="AE721" s="201" t="n"/>
      <c r="AF721" s="201" t="n"/>
      <c r="AG721" s="201" t="n"/>
    </row>
    <row r="722" ht="12.75" customHeight="1" s="202">
      <c r="A722" s="201" t="n"/>
      <c r="B722" s="201" t="n"/>
      <c r="C722" s="201" t="n"/>
      <c r="D722" s="201" t="n"/>
      <c r="E722" s="201" t="n"/>
      <c r="F722" s="201" t="n"/>
      <c r="G722" s="201" t="n"/>
      <c r="H722" s="201" t="n"/>
      <c r="I722" s="201" t="n"/>
      <c r="J722" s="201" t="n"/>
      <c r="K722" s="201" t="n"/>
      <c r="L722" s="201" t="n"/>
      <c r="M722" s="201" t="n"/>
      <c r="N722" s="201" t="n"/>
      <c r="O722" s="201" t="n"/>
      <c r="P722" s="201" t="n"/>
      <c r="Q722" s="201" t="n"/>
      <c r="R722" s="201" t="n"/>
      <c r="S722" s="201" t="n"/>
      <c r="T722" s="201" t="n"/>
      <c r="U722" s="201" t="n"/>
      <c r="V722" s="201" t="n"/>
      <c r="W722" s="201" t="n"/>
      <c r="X722" s="201" t="n"/>
      <c r="Y722" s="201" t="n"/>
      <c r="Z722" s="201" t="n"/>
      <c r="AA722" s="201" t="n"/>
      <c r="AB722" s="201" t="n"/>
      <c r="AC722" s="201" t="n"/>
      <c r="AD722" s="201" t="n"/>
      <c r="AE722" s="201" t="n"/>
      <c r="AF722" s="201" t="n"/>
      <c r="AG722" s="201" t="n"/>
    </row>
    <row r="723" ht="12.75" customHeight="1" s="202">
      <c r="A723" s="201" t="n"/>
      <c r="B723" s="201" t="n"/>
      <c r="C723" s="201" t="n"/>
      <c r="D723" s="201" t="n"/>
      <c r="E723" s="201" t="n"/>
      <c r="F723" s="201" t="n"/>
      <c r="G723" s="201" t="n"/>
      <c r="H723" s="201" t="n"/>
      <c r="I723" s="201" t="n"/>
      <c r="J723" s="201" t="n"/>
      <c r="K723" s="201" t="n"/>
      <c r="L723" s="201" t="n"/>
      <c r="M723" s="201" t="n"/>
      <c r="N723" s="201" t="n"/>
      <c r="O723" s="201" t="n"/>
      <c r="P723" s="201" t="n"/>
      <c r="Q723" s="201" t="n"/>
      <c r="R723" s="201" t="n"/>
      <c r="S723" s="201" t="n"/>
      <c r="T723" s="201" t="n"/>
      <c r="U723" s="201" t="n"/>
      <c r="V723" s="201" t="n"/>
      <c r="W723" s="201" t="n"/>
      <c r="X723" s="201" t="n"/>
      <c r="Y723" s="201" t="n"/>
      <c r="Z723" s="201" t="n"/>
      <c r="AA723" s="201" t="n"/>
      <c r="AB723" s="201" t="n"/>
      <c r="AC723" s="201" t="n"/>
      <c r="AD723" s="201" t="n"/>
      <c r="AE723" s="201" t="n"/>
      <c r="AF723" s="201" t="n"/>
      <c r="AG723" s="201" t="n"/>
    </row>
    <row r="724" ht="12.75" customHeight="1" s="202">
      <c r="A724" s="201" t="n"/>
      <c r="B724" s="201" t="n"/>
      <c r="C724" s="201" t="n"/>
      <c r="D724" s="201" t="n"/>
      <c r="E724" s="201" t="n"/>
      <c r="F724" s="201" t="n"/>
      <c r="G724" s="201" t="n"/>
      <c r="H724" s="201" t="n"/>
      <c r="I724" s="201" t="n"/>
      <c r="J724" s="201" t="n"/>
      <c r="K724" s="201" t="n"/>
      <c r="L724" s="201" t="n"/>
      <c r="M724" s="201" t="n"/>
      <c r="N724" s="201" t="n"/>
      <c r="O724" s="201" t="n"/>
      <c r="P724" s="201" t="n"/>
      <c r="Q724" s="201" t="n"/>
      <c r="R724" s="201" t="n"/>
      <c r="S724" s="201" t="n"/>
      <c r="T724" s="201" t="n"/>
      <c r="U724" s="201" t="n"/>
      <c r="V724" s="201" t="n"/>
      <c r="W724" s="201" t="n"/>
      <c r="X724" s="201" t="n"/>
      <c r="Y724" s="201" t="n"/>
      <c r="Z724" s="201" t="n"/>
      <c r="AA724" s="201" t="n"/>
      <c r="AB724" s="201" t="n"/>
      <c r="AC724" s="201" t="n"/>
      <c r="AD724" s="201" t="n"/>
      <c r="AE724" s="201" t="n"/>
      <c r="AF724" s="201" t="n"/>
      <c r="AG724" s="201" t="n"/>
    </row>
    <row r="725" ht="12.75" customHeight="1" s="202">
      <c r="A725" s="201" t="n"/>
      <c r="B725" s="201" t="n"/>
      <c r="C725" s="201" t="n"/>
      <c r="D725" s="201" t="n"/>
      <c r="E725" s="201" t="n"/>
      <c r="F725" s="201" t="n"/>
      <c r="G725" s="201" t="n"/>
      <c r="H725" s="201" t="n"/>
      <c r="I725" s="201" t="n"/>
      <c r="J725" s="201" t="n"/>
      <c r="K725" s="201" t="n"/>
      <c r="L725" s="201" t="n"/>
      <c r="M725" s="201" t="n"/>
      <c r="N725" s="201" t="n"/>
      <c r="O725" s="201" t="n"/>
      <c r="P725" s="201" t="n"/>
      <c r="Q725" s="201" t="n"/>
      <c r="R725" s="201" t="n"/>
      <c r="S725" s="201" t="n"/>
      <c r="T725" s="201" t="n"/>
      <c r="U725" s="201" t="n"/>
      <c r="V725" s="201" t="n"/>
      <c r="W725" s="201" t="n"/>
      <c r="X725" s="201" t="n"/>
      <c r="Y725" s="201" t="n"/>
      <c r="Z725" s="201" t="n"/>
      <c r="AA725" s="201" t="n"/>
      <c r="AB725" s="201" t="n"/>
      <c r="AC725" s="201" t="n"/>
      <c r="AD725" s="201" t="n"/>
      <c r="AE725" s="201" t="n"/>
      <c r="AF725" s="201" t="n"/>
      <c r="AG725" s="201" t="n"/>
    </row>
    <row r="726" ht="12.75" customHeight="1" s="202">
      <c r="A726" s="201" t="n"/>
      <c r="B726" s="201" t="n"/>
      <c r="C726" s="201" t="n"/>
      <c r="D726" s="201" t="n"/>
      <c r="E726" s="201" t="n"/>
      <c r="F726" s="201" t="n"/>
      <c r="G726" s="201" t="n"/>
      <c r="H726" s="201" t="n"/>
      <c r="I726" s="201" t="n"/>
      <c r="J726" s="201" t="n"/>
      <c r="K726" s="201" t="n"/>
      <c r="L726" s="201" t="n"/>
      <c r="M726" s="201" t="n"/>
      <c r="N726" s="201" t="n"/>
      <c r="O726" s="201" t="n"/>
      <c r="P726" s="201" t="n"/>
      <c r="Q726" s="201" t="n"/>
      <c r="R726" s="201" t="n"/>
      <c r="S726" s="201" t="n"/>
      <c r="T726" s="201" t="n"/>
      <c r="U726" s="201" t="n"/>
      <c r="V726" s="201" t="n"/>
      <c r="W726" s="201" t="n"/>
      <c r="X726" s="201" t="n"/>
      <c r="Y726" s="201" t="n"/>
      <c r="Z726" s="201" t="n"/>
      <c r="AA726" s="201" t="n"/>
      <c r="AB726" s="201" t="n"/>
      <c r="AC726" s="201" t="n"/>
      <c r="AD726" s="201" t="n"/>
      <c r="AE726" s="201" t="n"/>
      <c r="AF726" s="201" t="n"/>
      <c r="AG726" s="201" t="n"/>
    </row>
    <row r="727" ht="12.75" customHeight="1" s="202">
      <c r="A727" s="201" t="n"/>
      <c r="B727" s="201" t="n"/>
      <c r="C727" s="201" t="n"/>
      <c r="D727" s="201" t="n"/>
      <c r="E727" s="201" t="n"/>
      <c r="F727" s="201" t="n"/>
      <c r="G727" s="201" t="n"/>
      <c r="H727" s="201" t="n"/>
      <c r="I727" s="201" t="n"/>
      <c r="J727" s="201" t="n"/>
      <c r="K727" s="201" t="n"/>
      <c r="L727" s="201" t="n"/>
      <c r="M727" s="201" t="n"/>
      <c r="N727" s="201" t="n"/>
      <c r="O727" s="201" t="n"/>
      <c r="P727" s="201" t="n"/>
      <c r="Q727" s="201" t="n"/>
      <c r="R727" s="201" t="n"/>
      <c r="S727" s="201" t="n"/>
      <c r="T727" s="201" t="n"/>
      <c r="U727" s="201" t="n"/>
      <c r="V727" s="201" t="n"/>
      <c r="W727" s="201" t="n"/>
      <c r="X727" s="201" t="n"/>
      <c r="Y727" s="201" t="n"/>
      <c r="Z727" s="201" t="n"/>
      <c r="AA727" s="201" t="n"/>
      <c r="AB727" s="201" t="n"/>
      <c r="AC727" s="201" t="n"/>
      <c r="AD727" s="201" t="n"/>
      <c r="AE727" s="201" t="n"/>
      <c r="AF727" s="201" t="n"/>
      <c r="AG727" s="201" t="n"/>
    </row>
    <row r="728" ht="12.75" customHeight="1" s="202">
      <c r="A728" s="201" t="n"/>
      <c r="B728" s="201" t="n"/>
      <c r="C728" s="201" t="n"/>
      <c r="D728" s="201" t="n"/>
      <c r="E728" s="201" t="n"/>
      <c r="F728" s="201" t="n"/>
      <c r="G728" s="201" t="n"/>
      <c r="H728" s="201" t="n"/>
      <c r="I728" s="201" t="n"/>
      <c r="J728" s="201" t="n"/>
      <c r="K728" s="201" t="n"/>
      <c r="L728" s="201" t="n"/>
      <c r="M728" s="201" t="n"/>
      <c r="N728" s="201" t="n"/>
      <c r="O728" s="201" t="n"/>
      <c r="P728" s="201" t="n"/>
      <c r="Q728" s="201" t="n"/>
      <c r="R728" s="201" t="n"/>
      <c r="S728" s="201" t="n"/>
      <c r="T728" s="201" t="n"/>
      <c r="U728" s="201" t="n"/>
      <c r="V728" s="201" t="n"/>
      <c r="W728" s="201" t="n"/>
      <c r="X728" s="201" t="n"/>
      <c r="Y728" s="201" t="n"/>
      <c r="Z728" s="201" t="n"/>
      <c r="AA728" s="201" t="n"/>
      <c r="AB728" s="201" t="n"/>
      <c r="AC728" s="201" t="n"/>
      <c r="AD728" s="201" t="n"/>
      <c r="AE728" s="201" t="n"/>
      <c r="AF728" s="201" t="n"/>
      <c r="AG728" s="201" t="n"/>
    </row>
    <row r="729" ht="12.75" customHeight="1" s="202">
      <c r="A729" s="201" t="n"/>
      <c r="B729" s="201" t="n"/>
      <c r="C729" s="201" t="n"/>
      <c r="D729" s="201" t="n"/>
      <c r="E729" s="201" t="n"/>
      <c r="F729" s="201" t="n"/>
      <c r="G729" s="201" t="n"/>
      <c r="H729" s="201" t="n"/>
      <c r="I729" s="201" t="n"/>
      <c r="J729" s="201" t="n"/>
      <c r="K729" s="201" t="n"/>
      <c r="L729" s="201" t="n"/>
      <c r="M729" s="201" t="n"/>
      <c r="N729" s="201" t="n"/>
      <c r="O729" s="201" t="n"/>
      <c r="P729" s="201" t="n"/>
      <c r="Q729" s="201" t="n"/>
      <c r="R729" s="201" t="n"/>
      <c r="S729" s="201" t="n"/>
      <c r="T729" s="201" t="n"/>
      <c r="U729" s="201" t="n"/>
      <c r="V729" s="201" t="n"/>
      <c r="W729" s="201" t="n"/>
      <c r="X729" s="201" t="n"/>
      <c r="Y729" s="201" t="n"/>
      <c r="Z729" s="201" t="n"/>
      <c r="AA729" s="201" t="n"/>
      <c r="AB729" s="201" t="n"/>
      <c r="AC729" s="201" t="n"/>
      <c r="AD729" s="201" t="n"/>
      <c r="AE729" s="201" t="n"/>
      <c r="AF729" s="201" t="n"/>
      <c r="AG729" s="201" t="n"/>
    </row>
    <row r="730" ht="12.75" customHeight="1" s="202">
      <c r="A730" s="201" t="n"/>
      <c r="B730" s="201" t="n"/>
      <c r="C730" s="201" t="n"/>
      <c r="D730" s="201" t="n"/>
      <c r="E730" s="201" t="n"/>
      <c r="F730" s="201" t="n"/>
      <c r="G730" s="201" t="n"/>
      <c r="H730" s="201" t="n"/>
      <c r="I730" s="201" t="n"/>
      <c r="J730" s="201" t="n"/>
      <c r="K730" s="201" t="n"/>
      <c r="L730" s="201" t="n"/>
      <c r="M730" s="201" t="n"/>
      <c r="N730" s="201" t="n"/>
      <c r="O730" s="201" t="n"/>
      <c r="P730" s="201" t="n"/>
      <c r="Q730" s="201" t="n"/>
      <c r="R730" s="201" t="n"/>
      <c r="S730" s="201" t="n"/>
      <c r="T730" s="201" t="n"/>
      <c r="U730" s="201" t="n"/>
      <c r="V730" s="201" t="n"/>
      <c r="W730" s="201" t="n"/>
      <c r="X730" s="201" t="n"/>
      <c r="Y730" s="201" t="n"/>
      <c r="Z730" s="201" t="n"/>
      <c r="AA730" s="201" t="n"/>
      <c r="AB730" s="201" t="n"/>
      <c r="AC730" s="201" t="n"/>
      <c r="AD730" s="201" t="n"/>
      <c r="AE730" s="201" t="n"/>
      <c r="AF730" s="201" t="n"/>
      <c r="AG730" s="201" t="n"/>
    </row>
    <row r="731" ht="12.75" customHeight="1" s="202">
      <c r="A731" s="201" t="n"/>
      <c r="B731" s="201" t="n"/>
      <c r="C731" s="201" t="n"/>
      <c r="D731" s="201" t="n"/>
      <c r="E731" s="201" t="n"/>
      <c r="F731" s="201" t="n"/>
      <c r="G731" s="201" t="n"/>
      <c r="H731" s="201" t="n"/>
      <c r="I731" s="201" t="n"/>
      <c r="J731" s="201" t="n"/>
      <c r="K731" s="201" t="n"/>
      <c r="L731" s="201" t="n"/>
      <c r="M731" s="201" t="n"/>
      <c r="N731" s="201" t="n"/>
      <c r="O731" s="201" t="n"/>
      <c r="P731" s="201" t="n"/>
      <c r="Q731" s="201" t="n"/>
      <c r="R731" s="201" t="n"/>
      <c r="S731" s="201" t="n"/>
      <c r="T731" s="201" t="n"/>
      <c r="U731" s="201" t="n"/>
      <c r="V731" s="201" t="n"/>
      <c r="W731" s="201" t="n"/>
      <c r="X731" s="201" t="n"/>
      <c r="Y731" s="201" t="n"/>
      <c r="Z731" s="201" t="n"/>
      <c r="AA731" s="201" t="n"/>
      <c r="AB731" s="201" t="n"/>
      <c r="AC731" s="201" t="n"/>
      <c r="AD731" s="201" t="n"/>
      <c r="AE731" s="201" t="n"/>
      <c r="AF731" s="201" t="n"/>
      <c r="AG731" s="201" t="n"/>
    </row>
    <row r="732" ht="12.75" customHeight="1" s="202">
      <c r="A732" s="201" t="n"/>
      <c r="B732" s="201" t="n"/>
      <c r="C732" s="201" t="n"/>
      <c r="D732" s="201" t="n"/>
      <c r="E732" s="201" t="n"/>
      <c r="F732" s="201" t="n"/>
      <c r="G732" s="201" t="n"/>
      <c r="H732" s="201" t="n"/>
      <c r="I732" s="201" t="n"/>
      <c r="J732" s="201" t="n"/>
      <c r="K732" s="201" t="n"/>
      <c r="L732" s="201" t="n"/>
      <c r="M732" s="201" t="n"/>
      <c r="N732" s="201" t="n"/>
      <c r="O732" s="201" t="n"/>
      <c r="P732" s="201" t="n"/>
      <c r="Q732" s="201" t="n"/>
      <c r="R732" s="201" t="n"/>
      <c r="S732" s="201" t="n"/>
      <c r="T732" s="201" t="n"/>
      <c r="U732" s="201" t="n"/>
      <c r="V732" s="201" t="n"/>
      <c r="W732" s="201" t="n"/>
      <c r="X732" s="201" t="n"/>
      <c r="Y732" s="201" t="n"/>
      <c r="Z732" s="201" t="n"/>
      <c r="AA732" s="201" t="n"/>
      <c r="AB732" s="201" t="n"/>
      <c r="AC732" s="201" t="n"/>
      <c r="AD732" s="201" t="n"/>
      <c r="AE732" s="201" t="n"/>
      <c r="AF732" s="201" t="n"/>
      <c r="AG732" s="201" t="n"/>
    </row>
    <row r="733" ht="12.75" customHeight="1" s="202">
      <c r="A733" s="201" t="n"/>
      <c r="B733" s="201" t="n"/>
      <c r="C733" s="201" t="n"/>
      <c r="D733" s="201" t="n"/>
      <c r="E733" s="201" t="n"/>
      <c r="F733" s="201" t="n"/>
      <c r="G733" s="201" t="n"/>
      <c r="H733" s="201" t="n"/>
      <c r="I733" s="201" t="n"/>
      <c r="J733" s="201" t="n"/>
      <c r="K733" s="201" t="n"/>
      <c r="L733" s="201" t="n"/>
      <c r="M733" s="201" t="n"/>
      <c r="N733" s="201" t="n"/>
      <c r="O733" s="201" t="n"/>
      <c r="P733" s="201" t="n"/>
      <c r="Q733" s="201" t="n"/>
      <c r="R733" s="201" t="n"/>
      <c r="S733" s="201" t="n"/>
      <c r="T733" s="201" t="n"/>
      <c r="U733" s="201" t="n"/>
      <c r="V733" s="201" t="n"/>
      <c r="W733" s="201" t="n"/>
      <c r="X733" s="201" t="n"/>
      <c r="Y733" s="201" t="n"/>
      <c r="Z733" s="201" t="n"/>
      <c r="AA733" s="201" t="n"/>
      <c r="AB733" s="201" t="n"/>
      <c r="AC733" s="201" t="n"/>
      <c r="AD733" s="201" t="n"/>
      <c r="AE733" s="201" t="n"/>
      <c r="AF733" s="201" t="n"/>
      <c r="AG733" s="201" t="n"/>
    </row>
    <row r="734" ht="12.75" customHeight="1" s="202">
      <c r="A734" s="201" t="n"/>
      <c r="B734" s="201" t="n"/>
      <c r="C734" s="201" t="n"/>
      <c r="D734" s="201" t="n"/>
      <c r="E734" s="201" t="n"/>
      <c r="F734" s="201" t="n"/>
      <c r="G734" s="201" t="n"/>
      <c r="H734" s="201" t="n"/>
      <c r="I734" s="201" t="n"/>
      <c r="J734" s="201" t="n"/>
      <c r="K734" s="201" t="n"/>
      <c r="L734" s="201" t="n"/>
      <c r="M734" s="201" t="n"/>
      <c r="N734" s="201" t="n"/>
      <c r="O734" s="201" t="n"/>
      <c r="P734" s="201" t="n"/>
      <c r="Q734" s="201" t="n"/>
      <c r="R734" s="201" t="n"/>
      <c r="S734" s="201" t="n"/>
      <c r="T734" s="201" t="n"/>
      <c r="U734" s="201" t="n"/>
      <c r="V734" s="201" t="n"/>
      <c r="W734" s="201" t="n"/>
      <c r="X734" s="201" t="n"/>
      <c r="Y734" s="201" t="n"/>
      <c r="Z734" s="201" t="n"/>
      <c r="AA734" s="201" t="n"/>
      <c r="AB734" s="201" t="n"/>
      <c r="AC734" s="201" t="n"/>
      <c r="AD734" s="201" t="n"/>
      <c r="AE734" s="201" t="n"/>
      <c r="AF734" s="201" t="n"/>
      <c r="AG734" s="201" t="n"/>
    </row>
    <row r="735" ht="12.75" customHeight="1" s="202">
      <c r="A735" s="201" t="n"/>
      <c r="B735" s="201" t="n"/>
      <c r="C735" s="201" t="n"/>
      <c r="D735" s="201" t="n"/>
      <c r="E735" s="201" t="n"/>
      <c r="F735" s="201" t="n"/>
      <c r="G735" s="201" t="n"/>
      <c r="H735" s="201" t="n"/>
      <c r="I735" s="201" t="n"/>
      <c r="J735" s="201" t="n"/>
      <c r="K735" s="201" t="n"/>
      <c r="L735" s="201" t="n"/>
      <c r="M735" s="201" t="n"/>
      <c r="N735" s="201" t="n"/>
      <c r="O735" s="201" t="n"/>
      <c r="P735" s="201" t="n"/>
      <c r="Q735" s="201" t="n"/>
      <c r="R735" s="201" t="n"/>
      <c r="S735" s="201" t="n"/>
      <c r="T735" s="201" t="n"/>
      <c r="U735" s="201" t="n"/>
      <c r="V735" s="201" t="n"/>
      <c r="W735" s="201" t="n"/>
      <c r="X735" s="201" t="n"/>
      <c r="Y735" s="201" t="n"/>
      <c r="Z735" s="201" t="n"/>
      <c r="AA735" s="201" t="n"/>
      <c r="AB735" s="201" t="n"/>
      <c r="AC735" s="201" t="n"/>
      <c r="AD735" s="201" t="n"/>
      <c r="AE735" s="201" t="n"/>
      <c r="AF735" s="201" t="n"/>
      <c r="AG735" s="201" t="n"/>
    </row>
    <row r="736" ht="12.75" customHeight="1" s="202">
      <c r="A736" s="201" t="n"/>
      <c r="B736" s="201" t="n"/>
      <c r="C736" s="201" t="n"/>
      <c r="D736" s="201" t="n"/>
      <c r="E736" s="201" t="n"/>
      <c r="F736" s="201" t="n"/>
      <c r="G736" s="201" t="n"/>
      <c r="H736" s="201" t="n"/>
      <c r="I736" s="201" t="n"/>
      <c r="J736" s="201" t="n"/>
      <c r="K736" s="201" t="n"/>
      <c r="L736" s="201" t="n"/>
      <c r="M736" s="201" t="n"/>
      <c r="N736" s="201" t="n"/>
      <c r="O736" s="201" t="n"/>
      <c r="P736" s="201" t="n"/>
      <c r="Q736" s="201" t="n"/>
      <c r="R736" s="201" t="n"/>
      <c r="S736" s="201" t="n"/>
      <c r="T736" s="201" t="n"/>
      <c r="U736" s="201" t="n"/>
      <c r="V736" s="201" t="n"/>
      <c r="W736" s="201" t="n"/>
      <c r="X736" s="201" t="n"/>
      <c r="Y736" s="201" t="n"/>
      <c r="Z736" s="201" t="n"/>
      <c r="AA736" s="201" t="n"/>
      <c r="AB736" s="201" t="n"/>
      <c r="AC736" s="201" t="n"/>
      <c r="AD736" s="201" t="n"/>
      <c r="AE736" s="201" t="n"/>
      <c r="AF736" s="201" t="n"/>
      <c r="AG736" s="201" t="n"/>
    </row>
    <row r="737" ht="12.75" customHeight="1" s="202">
      <c r="A737" s="201" t="n"/>
      <c r="B737" s="201" t="n"/>
      <c r="C737" s="201" t="n"/>
      <c r="D737" s="201" t="n"/>
      <c r="E737" s="201" t="n"/>
      <c r="F737" s="201" t="n"/>
      <c r="G737" s="201" t="n"/>
      <c r="H737" s="201" t="n"/>
      <c r="I737" s="201" t="n"/>
      <c r="J737" s="201" t="n"/>
      <c r="K737" s="201" t="n"/>
      <c r="L737" s="201" t="n"/>
      <c r="M737" s="201" t="n"/>
      <c r="N737" s="201" t="n"/>
      <c r="O737" s="201" t="n"/>
      <c r="P737" s="201" t="n"/>
      <c r="Q737" s="201" t="n"/>
      <c r="R737" s="201" t="n"/>
      <c r="S737" s="201" t="n"/>
      <c r="T737" s="201" t="n"/>
      <c r="U737" s="201" t="n"/>
      <c r="V737" s="201" t="n"/>
      <c r="W737" s="201" t="n"/>
      <c r="X737" s="201" t="n"/>
      <c r="Y737" s="201" t="n"/>
      <c r="Z737" s="201" t="n"/>
      <c r="AA737" s="201" t="n"/>
      <c r="AB737" s="201" t="n"/>
      <c r="AC737" s="201" t="n"/>
      <c r="AD737" s="201" t="n"/>
      <c r="AE737" s="201" t="n"/>
      <c r="AF737" s="201" t="n"/>
      <c r="AG737" s="201" t="n"/>
    </row>
    <row r="738" ht="12.75" customHeight="1" s="202">
      <c r="A738" s="201" t="n"/>
      <c r="B738" s="201" t="n"/>
      <c r="C738" s="201" t="n"/>
      <c r="D738" s="201" t="n"/>
      <c r="E738" s="201" t="n"/>
      <c r="F738" s="201" t="n"/>
      <c r="G738" s="201" t="n"/>
      <c r="H738" s="201" t="n"/>
      <c r="I738" s="201" t="n"/>
      <c r="J738" s="201" t="n"/>
      <c r="K738" s="201" t="n"/>
      <c r="L738" s="201" t="n"/>
      <c r="M738" s="201" t="n"/>
      <c r="N738" s="201" t="n"/>
      <c r="O738" s="201" t="n"/>
      <c r="P738" s="201" t="n"/>
      <c r="Q738" s="201" t="n"/>
      <c r="R738" s="201" t="n"/>
      <c r="S738" s="201" t="n"/>
      <c r="T738" s="201" t="n"/>
      <c r="U738" s="201" t="n"/>
      <c r="V738" s="201" t="n"/>
      <c r="W738" s="201" t="n"/>
      <c r="X738" s="201" t="n"/>
      <c r="Y738" s="201" t="n"/>
      <c r="Z738" s="201" t="n"/>
      <c r="AA738" s="201" t="n"/>
      <c r="AB738" s="201" t="n"/>
      <c r="AC738" s="201" t="n"/>
      <c r="AD738" s="201" t="n"/>
      <c r="AE738" s="201" t="n"/>
      <c r="AF738" s="201" t="n"/>
      <c r="AG738" s="201" t="n"/>
    </row>
    <row r="739" ht="12.75" customHeight="1" s="202">
      <c r="A739" s="201" t="n"/>
      <c r="B739" s="201" t="n"/>
      <c r="C739" s="201" t="n"/>
      <c r="D739" s="201" t="n"/>
      <c r="E739" s="201" t="n"/>
      <c r="F739" s="201" t="n"/>
      <c r="G739" s="201" t="n"/>
      <c r="H739" s="201" t="n"/>
      <c r="I739" s="201" t="n"/>
      <c r="J739" s="201" t="n"/>
      <c r="K739" s="201" t="n"/>
      <c r="L739" s="201" t="n"/>
      <c r="M739" s="201" t="n"/>
      <c r="N739" s="201" t="n"/>
      <c r="O739" s="201" t="n"/>
      <c r="P739" s="201" t="n"/>
      <c r="Q739" s="201" t="n"/>
      <c r="R739" s="201" t="n"/>
      <c r="S739" s="201" t="n"/>
      <c r="T739" s="201" t="n"/>
      <c r="U739" s="201" t="n"/>
      <c r="V739" s="201" t="n"/>
      <c r="W739" s="201" t="n"/>
      <c r="X739" s="201" t="n"/>
      <c r="Y739" s="201" t="n"/>
      <c r="Z739" s="201" t="n"/>
      <c r="AA739" s="201" t="n"/>
      <c r="AB739" s="201" t="n"/>
      <c r="AC739" s="201" t="n"/>
      <c r="AD739" s="201" t="n"/>
      <c r="AE739" s="201" t="n"/>
      <c r="AF739" s="201" t="n"/>
      <c r="AG739" s="201" t="n"/>
    </row>
    <row r="740" ht="12.75" customHeight="1" s="202">
      <c r="A740" s="201" t="n"/>
      <c r="B740" s="201" t="n"/>
      <c r="C740" s="201" t="n"/>
      <c r="D740" s="201" t="n"/>
      <c r="E740" s="201" t="n"/>
      <c r="F740" s="201" t="n"/>
      <c r="G740" s="201" t="n"/>
      <c r="H740" s="201" t="n"/>
      <c r="I740" s="201" t="n"/>
      <c r="J740" s="201" t="n"/>
      <c r="K740" s="201" t="n"/>
      <c r="L740" s="201" t="n"/>
      <c r="M740" s="201" t="n"/>
      <c r="N740" s="201" t="n"/>
      <c r="O740" s="201" t="n"/>
      <c r="P740" s="201" t="n"/>
      <c r="Q740" s="201" t="n"/>
      <c r="R740" s="201" t="n"/>
      <c r="S740" s="201" t="n"/>
      <c r="T740" s="201" t="n"/>
      <c r="U740" s="201" t="n"/>
      <c r="V740" s="201" t="n"/>
      <c r="W740" s="201" t="n"/>
      <c r="X740" s="201" t="n"/>
      <c r="Y740" s="201" t="n"/>
      <c r="Z740" s="201" t="n"/>
      <c r="AA740" s="201" t="n"/>
      <c r="AB740" s="201" t="n"/>
      <c r="AC740" s="201" t="n"/>
      <c r="AD740" s="201" t="n"/>
      <c r="AE740" s="201" t="n"/>
      <c r="AF740" s="201" t="n"/>
      <c r="AG740" s="201" t="n"/>
    </row>
    <row r="741" ht="12.75" customHeight="1" s="202">
      <c r="A741" s="201" t="n"/>
      <c r="B741" s="201" t="n"/>
      <c r="C741" s="201" t="n"/>
      <c r="D741" s="201" t="n"/>
      <c r="E741" s="201" t="n"/>
      <c r="F741" s="201" t="n"/>
      <c r="G741" s="201" t="n"/>
      <c r="H741" s="201" t="n"/>
      <c r="I741" s="201" t="n"/>
      <c r="J741" s="201" t="n"/>
      <c r="K741" s="201" t="n"/>
      <c r="L741" s="201" t="n"/>
      <c r="M741" s="201" t="n"/>
      <c r="N741" s="201" t="n"/>
      <c r="O741" s="201" t="n"/>
      <c r="P741" s="201" t="n"/>
      <c r="Q741" s="201" t="n"/>
      <c r="R741" s="201" t="n"/>
      <c r="S741" s="201" t="n"/>
      <c r="T741" s="201" t="n"/>
      <c r="U741" s="201" t="n"/>
      <c r="V741" s="201" t="n"/>
      <c r="W741" s="201" t="n"/>
      <c r="X741" s="201" t="n"/>
      <c r="Y741" s="201" t="n"/>
      <c r="Z741" s="201" t="n"/>
      <c r="AA741" s="201" t="n"/>
      <c r="AB741" s="201" t="n"/>
      <c r="AC741" s="201" t="n"/>
      <c r="AD741" s="201" t="n"/>
      <c r="AE741" s="201" t="n"/>
      <c r="AF741" s="201" t="n"/>
      <c r="AG741" s="201" t="n"/>
    </row>
    <row r="742" ht="12.75" customHeight="1" s="202">
      <c r="A742" s="201" t="n"/>
      <c r="B742" s="201" t="n"/>
      <c r="C742" s="201" t="n"/>
      <c r="D742" s="201" t="n"/>
      <c r="E742" s="201" t="n"/>
      <c r="F742" s="201" t="n"/>
      <c r="G742" s="201" t="n"/>
      <c r="H742" s="201" t="n"/>
      <c r="I742" s="201" t="n"/>
      <c r="J742" s="201" t="n"/>
      <c r="K742" s="201" t="n"/>
      <c r="L742" s="201" t="n"/>
      <c r="M742" s="201" t="n"/>
      <c r="N742" s="201" t="n"/>
      <c r="O742" s="201" t="n"/>
      <c r="P742" s="201" t="n"/>
      <c r="Q742" s="201" t="n"/>
      <c r="R742" s="201" t="n"/>
      <c r="S742" s="201" t="n"/>
      <c r="T742" s="201" t="n"/>
      <c r="U742" s="201" t="n"/>
      <c r="V742" s="201" t="n"/>
      <c r="W742" s="201" t="n"/>
      <c r="X742" s="201" t="n"/>
      <c r="Y742" s="201" t="n"/>
      <c r="Z742" s="201" t="n"/>
      <c r="AA742" s="201" t="n"/>
      <c r="AB742" s="201" t="n"/>
      <c r="AC742" s="201" t="n"/>
      <c r="AD742" s="201" t="n"/>
      <c r="AE742" s="201" t="n"/>
      <c r="AF742" s="201" t="n"/>
      <c r="AG742" s="201" t="n"/>
    </row>
    <row r="743" ht="12.75" customHeight="1" s="202">
      <c r="A743" s="201" t="n"/>
      <c r="B743" s="201" t="n"/>
      <c r="C743" s="201" t="n"/>
      <c r="D743" s="201" t="n"/>
      <c r="E743" s="201" t="n"/>
      <c r="F743" s="201" t="n"/>
      <c r="G743" s="201" t="n"/>
      <c r="H743" s="201" t="n"/>
      <c r="I743" s="201" t="n"/>
      <c r="J743" s="201" t="n"/>
      <c r="K743" s="201" t="n"/>
      <c r="L743" s="201" t="n"/>
      <c r="M743" s="201" t="n"/>
      <c r="N743" s="201" t="n"/>
      <c r="O743" s="201" t="n"/>
      <c r="P743" s="201" t="n"/>
      <c r="Q743" s="201" t="n"/>
      <c r="R743" s="201" t="n"/>
      <c r="S743" s="201" t="n"/>
      <c r="T743" s="201" t="n"/>
      <c r="U743" s="201" t="n"/>
      <c r="V743" s="201" t="n"/>
      <c r="W743" s="201" t="n"/>
      <c r="X743" s="201" t="n"/>
      <c r="Y743" s="201" t="n"/>
      <c r="Z743" s="201" t="n"/>
      <c r="AA743" s="201" t="n"/>
      <c r="AB743" s="201" t="n"/>
      <c r="AC743" s="201" t="n"/>
      <c r="AD743" s="201" t="n"/>
      <c r="AE743" s="201" t="n"/>
      <c r="AF743" s="201" t="n"/>
      <c r="AG743" s="201" t="n"/>
    </row>
    <row r="744" ht="12.75" customHeight="1" s="202">
      <c r="A744" s="201" t="n"/>
      <c r="B744" s="201" t="n"/>
      <c r="C744" s="201" t="n"/>
      <c r="D744" s="201" t="n"/>
      <c r="E744" s="201" t="n"/>
      <c r="F744" s="201" t="n"/>
      <c r="G744" s="201" t="n"/>
      <c r="H744" s="201" t="n"/>
      <c r="I744" s="201" t="n"/>
      <c r="J744" s="201" t="n"/>
      <c r="K744" s="201" t="n"/>
      <c r="L744" s="201" t="n"/>
      <c r="M744" s="201" t="n"/>
      <c r="N744" s="201" t="n"/>
      <c r="O744" s="201" t="n"/>
      <c r="P744" s="201" t="n"/>
      <c r="Q744" s="201" t="n"/>
      <c r="R744" s="201" t="n"/>
      <c r="S744" s="201" t="n"/>
      <c r="T744" s="201" t="n"/>
      <c r="U744" s="201" t="n"/>
      <c r="V744" s="201" t="n"/>
      <c r="W744" s="201" t="n"/>
      <c r="X744" s="201" t="n"/>
      <c r="Y744" s="201" t="n"/>
      <c r="Z744" s="201" t="n"/>
      <c r="AA744" s="201" t="n"/>
      <c r="AB744" s="201" t="n"/>
      <c r="AC744" s="201" t="n"/>
      <c r="AD744" s="201" t="n"/>
      <c r="AE744" s="201" t="n"/>
      <c r="AF744" s="201" t="n"/>
      <c r="AG744" s="201" t="n"/>
    </row>
    <row r="745" ht="12.75" customHeight="1" s="202">
      <c r="A745" s="201" t="n"/>
      <c r="B745" s="201" t="n"/>
      <c r="C745" s="201" t="n"/>
      <c r="D745" s="201" t="n"/>
      <c r="E745" s="201" t="n"/>
      <c r="F745" s="201" t="n"/>
      <c r="G745" s="201" t="n"/>
      <c r="H745" s="201" t="n"/>
      <c r="I745" s="201" t="n"/>
      <c r="J745" s="201" t="n"/>
      <c r="K745" s="201" t="n"/>
      <c r="L745" s="201" t="n"/>
      <c r="M745" s="201" t="n"/>
      <c r="N745" s="201" t="n"/>
      <c r="O745" s="201" t="n"/>
      <c r="P745" s="201" t="n"/>
      <c r="Q745" s="201" t="n"/>
      <c r="R745" s="201" t="n"/>
      <c r="S745" s="201" t="n"/>
      <c r="T745" s="201" t="n"/>
      <c r="U745" s="201" t="n"/>
      <c r="V745" s="201" t="n"/>
      <c r="W745" s="201" t="n"/>
      <c r="X745" s="201" t="n"/>
      <c r="Y745" s="201" t="n"/>
      <c r="Z745" s="201" t="n"/>
      <c r="AA745" s="201" t="n"/>
      <c r="AB745" s="201" t="n"/>
      <c r="AC745" s="201" t="n"/>
      <c r="AD745" s="201" t="n"/>
      <c r="AE745" s="201" t="n"/>
      <c r="AF745" s="201" t="n"/>
      <c r="AG745" s="201" t="n"/>
    </row>
    <row r="746" ht="12.75" customHeight="1" s="202">
      <c r="A746" s="201" t="n"/>
      <c r="B746" s="201" t="n"/>
      <c r="C746" s="201" t="n"/>
      <c r="D746" s="201" t="n"/>
      <c r="E746" s="201" t="n"/>
      <c r="F746" s="201" t="n"/>
      <c r="G746" s="201" t="n"/>
      <c r="H746" s="201" t="n"/>
      <c r="I746" s="201" t="n"/>
      <c r="J746" s="201" t="n"/>
      <c r="K746" s="201" t="n"/>
      <c r="L746" s="201" t="n"/>
      <c r="M746" s="201" t="n"/>
      <c r="N746" s="201" t="n"/>
      <c r="O746" s="201" t="n"/>
      <c r="P746" s="201" t="n"/>
      <c r="Q746" s="201" t="n"/>
      <c r="R746" s="201" t="n"/>
      <c r="S746" s="201" t="n"/>
      <c r="T746" s="201" t="n"/>
      <c r="U746" s="201" t="n"/>
      <c r="V746" s="201" t="n"/>
      <c r="W746" s="201" t="n"/>
      <c r="X746" s="201" t="n"/>
      <c r="Y746" s="201" t="n"/>
      <c r="Z746" s="201" t="n"/>
      <c r="AA746" s="201" t="n"/>
      <c r="AB746" s="201" t="n"/>
      <c r="AC746" s="201" t="n"/>
      <c r="AD746" s="201" t="n"/>
      <c r="AE746" s="201" t="n"/>
      <c r="AF746" s="201" t="n"/>
      <c r="AG746" s="201" t="n"/>
    </row>
    <row r="747" ht="12.75" customHeight="1" s="202">
      <c r="A747" s="201" t="n"/>
      <c r="B747" s="201" t="n"/>
      <c r="C747" s="201" t="n"/>
      <c r="D747" s="201" t="n"/>
      <c r="E747" s="201" t="n"/>
      <c r="F747" s="201" t="n"/>
      <c r="G747" s="201" t="n"/>
      <c r="H747" s="201" t="n"/>
      <c r="I747" s="201" t="n"/>
      <c r="J747" s="201" t="n"/>
      <c r="K747" s="201" t="n"/>
      <c r="L747" s="201" t="n"/>
      <c r="M747" s="201" t="n"/>
      <c r="N747" s="201" t="n"/>
      <c r="O747" s="201" t="n"/>
      <c r="P747" s="201" t="n"/>
      <c r="Q747" s="201" t="n"/>
      <c r="R747" s="201" t="n"/>
      <c r="S747" s="201" t="n"/>
      <c r="T747" s="201" t="n"/>
      <c r="U747" s="201" t="n"/>
      <c r="V747" s="201" t="n"/>
      <c r="W747" s="201" t="n"/>
      <c r="X747" s="201" t="n"/>
      <c r="Y747" s="201" t="n"/>
      <c r="Z747" s="201" t="n"/>
      <c r="AA747" s="201" t="n"/>
      <c r="AB747" s="201" t="n"/>
      <c r="AC747" s="201" t="n"/>
      <c r="AD747" s="201" t="n"/>
      <c r="AE747" s="201" t="n"/>
      <c r="AF747" s="201" t="n"/>
      <c r="AG747" s="201" t="n"/>
    </row>
    <row r="748" ht="12.75" customHeight="1" s="202">
      <c r="A748" s="201" t="n"/>
      <c r="B748" s="201" t="n"/>
      <c r="C748" s="201" t="n"/>
      <c r="D748" s="201" t="n"/>
      <c r="E748" s="201" t="n"/>
      <c r="F748" s="201" t="n"/>
      <c r="G748" s="201" t="n"/>
      <c r="H748" s="201" t="n"/>
      <c r="I748" s="201" t="n"/>
      <c r="J748" s="201" t="n"/>
      <c r="K748" s="201" t="n"/>
      <c r="L748" s="201" t="n"/>
      <c r="M748" s="201" t="n"/>
      <c r="N748" s="201" t="n"/>
      <c r="O748" s="201" t="n"/>
      <c r="P748" s="201" t="n"/>
      <c r="Q748" s="201" t="n"/>
      <c r="R748" s="201" t="n"/>
      <c r="S748" s="201" t="n"/>
      <c r="T748" s="201" t="n"/>
      <c r="U748" s="201" t="n"/>
      <c r="V748" s="201" t="n"/>
      <c r="W748" s="201" t="n"/>
      <c r="X748" s="201" t="n"/>
      <c r="Y748" s="201" t="n"/>
      <c r="Z748" s="201" t="n"/>
      <c r="AA748" s="201" t="n"/>
      <c r="AB748" s="201" t="n"/>
      <c r="AC748" s="201" t="n"/>
      <c r="AD748" s="201" t="n"/>
      <c r="AE748" s="201" t="n"/>
      <c r="AF748" s="201" t="n"/>
      <c r="AG748" s="201" t="n"/>
    </row>
    <row r="749" ht="12.75" customHeight="1" s="202">
      <c r="A749" s="201" t="n"/>
      <c r="B749" s="201" t="n"/>
      <c r="C749" s="201" t="n"/>
      <c r="D749" s="201" t="n"/>
      <c r="E749" s="201" t="n"/>
      <c r="F749" s="201" t="n"/>
      <c r="G749" s="201" t="n"/>
      <c r="H749" s="201" t="n"/>
      <c r="I749" s="201" t="n"/>
      <c r="J749" s="201" t="n"/>
      <c r="K749" s="201" t="n"/>
      <c r="L749" s="201" t="n"/>
      <c r="M749" s="201" t="n"/>
      <c r="N749" s="201" t="n"/>
      <c r="O749" s="201" t="n"/>
      <c r="P749" s="201" t="n"/>
      <c r="Q749" s="201" t="n"/>
      <c r="R749" s="201" t="n"/>
      <c r="S749" s="201" t="n"/>
      <c r="T749" s="201" t="n"/>
      <c r="U749" s="201" t="n"/>
      <c r="V749" s="201" t="n"/>
      <c r="W749" s="201" t="n"/>
      <c r="X749" s="201" t="n"/>
      <c r="Y749" s="201" t="n"/>
      <c r="Z749" s="201" t="n"/>
      <c r="AA749" s="201" t="n"/>
      <c r="AB749" s="201" t="n"/>
      <c r="AC749" s="201" t="n"/>
      <c r="AD749" s="201" t="n"/>
      <c r="AE749" s="201" t="n"/>
      <c r="AF749" s="201" t="n"/>
      <c r="AG749" s="201" t="n"/>
    </row>
    <row r="750" ht="12.75" customHeight="1" s="202">
      <c r="A750" s="201" t="n"/>
      <c r="B750" s="201" t="n"/>
      <c r="C750" s="201" t="n"/>
      <c r="D750" s="201" t="n"/>
      <c r="E750" s="201" t="n"/>
      <c r="F750" s="201" t="n"/>
      <c r="G750" s="201" t="n"/>
      <c r="H750" s="201" t="n"/>
      <c r="I750" s="201" t="n"/>
      <c r="J750" s="201" t="n"/>
      <c r="K750" s="201" t="n"/>
      <c r="L750" s="201" t="n"/>
      <c r="M750" s="201" t="n"/>
      <c r="N750" s="201" t="n"/>
      <c r="O750" s="201" t="n"/>
      <c r="P750" s="201" t="n"/>
      <c r="Q750" s="201" t="n"/>
      <c r="R750" s="201" t="n"/>
      <c r="S750" s="201" t="n"/>
      <c r="T750" s="201" t="n"/>
      <c r="U750" s="201" t="n"/>
      <c r="V750" s="201" t="n"/>
      <c r="W750" s="201" t="n"/>
      <c r="X750" s="201" t="n"/>
      <c r="Y750" s="201" t="n"/>
      <c r="Z750" s="201" t="n"/>
      <c r="AA750" s="201" t="n"/>
      <c r="AB750" s="201" t="n"/>
      <c r="AC750" s="201" t="n"/>
      <c r="AD750" s="201" t="n"/>
      <c r="AE750" s="201" t="n"/>
      <c r="AF750" s="201" t="n"/>
      <c r="AG750" s="201" t="n"/>
    </row>
    <row r="751" ht="12.75" customHeight="1" s="202">
      <c r="A751" s="201" t="n"/>
      <c r="B751" s="201" t="n"/>
      <c r="C751" s="201" t="n"/>
      <c r="D751" s="201" t="n"/>
      <c r="E751" s="201" t="n"/>
      <c r="F751" s="201" t="n"/>
      <c r="G751" s="201" t="n"/>
      <c r="H751" s="201" t="n"/>
      <c r="I751" s="201" t="n"/>
      <c r="J751" s="201" t="n"/>
      <c r="K751" s="201" t="n"/>
      <c r="L751" s="201" t="n"/>
      <c r="M751" s="201" t="n"/>
      <c r="N751" s="201" t="n"/>
      <c r="O751" s="201" t="n"/>
      <c r="P751" s="201" t="n"/>
      <c r="Q751" s="201" t="n"/>
      <c r="R751" s="201" t="n"/>
      <c r="S751" s="201" t="n"/>
      <c r="T751" s="201" t="n"/>
      <c r="U751" s="201" t="n"/>
      <c r="V751" s="201" t="n"/>
      <c r="W751" s="201" t="n"/>
      <c r="X751" s="201" t="n"/>
      <c r="Y751" s="201" t="n"/>
      <c r="Z751" s="201" t="n"/>
      <c r="AA751" s="201" t="n"/>
      <c r="AB751" s="201" t="n"/>
      <c r="AC751" s="201" t="n"/>
      <c r="AD751" s="201" t="n"/>
      <c r="AE751" s="201" t="n"/>
      <c r="AF751" s="201" t="n"/>
      <c r="AG751" s="201" t="n"/>
    </row>
    <row r="752" ht="12.75" customHeight="1" s="202">
      <c r="A752" s="201" t="n"/>
      <c r="B752" s="201" t="n"/>
      <c r="C752" s="201" t="n"/>
      <c r="D752" s="201" t="n"/>
      <c r="E752" s="201" t="n"/>
      <c r="F752" s="201" t="n"/>
      <c r="G752" s="201" t="n"/>
      <c r="H752" s="201" t="n"/>
      <c r="I752" s="201" t="n"/>
      <c r="J752" s="201" t="n"/>
      <c r="K752" s="201" t="n"/>
      <c r="L752" s="201" t="n"/>
      <c r="M752" s="201" t="n"/>
      <c r="N752" s="201" t="n"/>
      <c r="O752" s="201" t="n"/>
      <c r="P752" s="201" t="n"/>
      <c r="Q752" s="201" t="n"/>
      <c r="R752" s="201" t="n"/>
      <c r="S752" s="201" t="n"/>
      <c r="T752" s="201" t="n"/>
      <c r="U752" s="201" t="n"/>
      <c r="V752" s="201" t="n"/>
      <c r="W752" s="201" t="n"/>
      <c r="X752" s="201" t="n"/>
      <c r="Y752" s="201" t="n"/>
      <c r="Z752" s="201" t="n"/>
      <c r="AA752" s="201" t="n"/>
      <c r="AB752" s="201" t="n"/>
      <c r="AC752" s="201" t="n"/>
      <c r="AD752" s="201" t="n"/>
      <c r="AE752" s="201" t="n"/>
      <c r="AF752" s="201" t="n"/>
      <c r="AG752" s="201" t="n"/>
    </row>
    <row r="753" ht="12.75" customHeight="1" s="202">
      <c r="A753" s="201" t="n"/>
      <c r="B753" s="201" t="n"/>
      <c r="C753" s="201" t="n"/>
      <c r="D753" s="201" t="n"/>
      <c r="E753" s="201" t="n"/>
      <c r="F753" s="201" t="n"/>
      <c r="G753" s="201" t="n"/>
      <c r="H753" s="201" t="n"/>
      <c r="I753" s="201" t="n"/>
      <c r="J753" s="201" t="n"/>
      <c r="K753" s="201" t="n"/>
      <c r="L753" s="201" t="n"/>
      <c r="M753" s="201" t="n"/>
      <c r="N753" s="201" t="n"/>
      <c r="O753" s="201" t="n"/>
      <c r="P753" s="201" t="n"/>
      <c r="Q753" s="201" t="n"/>
      <c r="R753" s="201" t="n"/>
      <c r="S753" s="201" t="n"/>
      <c r="T753" s="201" t="n"/>
      <c r="U753" s="201" t="n"/>
      <c r="V753" s="201" t="n"/>
      <c r="W753" s="201" t="n"/>
      <c r="X753" s="201" t="n"/>
      <c r="Y753" s="201" t="n"/>
      <c r="Z753" s="201" t="n"/>
      <c r="AA753" s="201" t="n"/>
      <c r="AB753" s="201" t="n"/>
      <c r="AC753" s="201" t="n"/>
      <c r="AD753" s="201" t="n"/>
      <c r="AE753" s="201" t="n"/>
      <c r="AF753" s="201" t="n"/>
      <c r="AG753" s="201" t="n"/>
    </row>
    <row r="754" ht="12.75" customHeight="1" s="202">
      <c r="A754" s="201" t="n"/>
      <c r="B754" s="201" t="n"/>
      <c r="C754" s="201" t="n"/>
      <c r="D754" s="201" t="n"/>
      <c r="E754" s="201" t="n"/>
      <c r="F754" s="201" t="n"/>
      <c r="G754" s="201" t="n"/>
      <c r="H754" s="201" t="n"/>
      <c r="I754" s="201" t="n"/>
      <c r="J754" s="201" t="n"/>
      <c r="K754" s="201" t="n"/>
      <c r="L754" s="201" t="n"/>
      <c r="M754" s="201" t="n"/>
      <c r="N754" s="201" t="n"/>
      <c r="O754" s="201" t="n"/>
      <c r="P754" s="201" t="n"/>
      <c r="Q754" s="201" t="n"/>
      <c r="R754" s="201" t="n"/>
      <c r="S754" s="201" t="n"/>
      <c r="T754" s="201" t="n"/>
      <c r="U754" s="201" t="n"/>
      <c r="V754" s="201" t="n"/>
      <c r="W754" s="201" t="n"/>
      <c r="X754" s="201" t="n"/>
      <c r="Y754" s="201" t="n"/>
      <c r="Z754" s="201" t="n"/>
      <c r="AA754" s="201" t="n"/>
      <c r="AB754" s="201" t="n"/>
      <c r="AC754" s="201" t="n"/>
      <c r="AD754" s="201" t="n"/>
      <c r="AE754" s="201" t="n"/>
      <c r="AF754" s="201" t="n"/>
      <c r="AG754" s="201" t="n"/>
    </row>
    <row r="755" ht="12.75" customHeight="1" s="202">
      <c r="A755" s="201" t="n"/>
      <c r="B755" s="201" t="n"/>
      <c r="C755" s="201" t="n"/>
      <c r="D755" s="201" t="n"/>
      <c r="E755" s="201" t="n"/>
      <c r="F755" s="201" t="n"/>
      <c r="G755" s="201" t="n"/>
      <c r="H755" s="201" t="n"/>
      <c r="I755" s="201" t="n"/>
      <c r="J755" s="201" t="n"/>
      <c r="K755" s="201" t="n"/>
      <c r="L755" s="201" t="n"/>
      <c r="M755" s="201" t="n"/>
      <c r="N755" s="201" t="n"/>
      <c r="O755" s="201" t="n"/>
      <c r="P755" s="201" t="n"/>
      <c r="Q755" s="201" t="n"/>
      <c r="R755" s="201" t="n"/>
      <c r="S755" s="201" t="n"/>
      <c r="T755" s="201" t="n"/>
      <c r="U755" s="201" t="n"/>
      <c r="V755" s="201" t="n"/>
      <c r="W755" s="201" t="n"/>
      <c r="X755" s="201" t="n"/>
      <c r="Y755" s="201" t="n"/>
      <c r="Z755" s="201" t="n"/>
      <c r="AA755" s="201" t="n"/>
      <c r="AB755" s="201" t="n"/>
      <c r="AC755" s="201" t="n"/>
      <c r="AD755" s="201" t="n"/>
      <c r="AE755" s="201" t="n"/>
      <c r="AF755" s="201" t="n"/>
      <c r="AG755" s="201" t="n"/>
    </row>
    <row r="756" ht="12.75" customHeight="1" s="202">
      <c r="A756" s="201" t="n"/>
      <c r="B756" s="201" t="n"/>
      <c r="C756" s="201" t="n"/>
      <c r="D756" s="201" t="n"/>
      <c r="E756" s="201" t="n"/>
      <c r="F756" s="201" t="n"/>
      <c r="G756" s="201" t="n"/>
      <c r="H756" s="201" t="n"/>
      <c r="I756" s="201" t="n"/>
      <c r="J756" s="201" t="n"/>
      <c r="K756" s="201" t="n"/>
      <c r="L756" s="201" t="n"/>
      <c r="M756" s="201" t="n"/>
      <c r="N756" s="201" t="n"/>
      <c r="O756" s="201" t="n"/>
      <c r="P756" s="201" t="n"/>
      <c r="Q756" s="201" t="n"/>
      <c r="R756" s="201" t="n"/>
      <c r="S756" s="201" t="n"/>
      <c r="T756" s="201" t="n"/>
      <c r="U756" s="201" t="n"/>
      <c r="V756" s="201" t="n"/>
      <c r="W756" s="201" t="n"/>
      <c r="X756" s="201" t="n"/>
      <c r="Y756" s="201" t="n"/>
      <c r="Z756" s="201" t="n"/>
      <c r="AA756" s="201" t="n"/>
      <c r="AB756" s="201" t="n"/>
      <c r="AC756" s="201" t="n"/>
      <c r="AD756" s="201" t="n"/>
      <c r="AE756" s="201" t="n"/>
      <c r="AF756" s="201" t="n"/>
      <c r="AG756" s="201" t="n"/>
    </row>
    <row r="757" ht="12.75" customHeight="1" s="202">
      <c r="A757" s="201" t="n"/>
      <c r="B757" s="201" t="n"/>
      <c r="C757" s="201" t="n"/>
      <c r="D757" s="201" t="n"/>
      <c r="E757" s="201" t="n"/>
      <c r="F757" s="201" t="n"/>
      <c r="G757" s="201" t="n"/>
      <c r="H757" s="201" t="n"/>
      <c r="I757" s="201" t="n"/>
      <c r="J757" s="201" t="n"/>
      <c r="K757" s="201" t="n"/>
      <c r="L757" s="201" t="n"/>
      <c r="M757" s="201" t="n"/>
      <c r="N757" s="201" t="n"/>
      <c r="O757" s="201" t="n"/>
      <c r="P757" s="201" t="n"/>
      <c r="Q757" s="201" t="n"/>
      <c r="R757" s="201" t="n"/>
      <c r="S757" s="201" t="n"/>
      <c r="T757" s="201" t="n"/>
      <c r="U757" s="201" t="n"/>
      <c r="V757" s="201" t="n"/>
      <c r="W757" s="201" t="n"/>
      <c r="X757" s="201" t="n"/>
      <c r="Y757" s="201" t="n"/>
      <c r="Z757" s="201" t="n"/>
      <c r="AA757" s="201" t="n"/>
      <c r="AB757" s="201" t="n"/>
      <c r="AC757" s="201" t="n"/>
      <c r="AD757" s="201" t="n"/>
      <c r="AE757" s="201" t="n"/>
      <c r="AF757" s="201" t="n"/>
      <c r="AG757" s="201" t="n"/>
    </row>
    <row r="758" ht="12.75" customHeight="1" s="202">
      <c r="A758" s="201" t="n"/>
      <c r="B758" s="201" t="n"/>
      <c r="C758" s="201" t="n"/>
      <c r="D758" s="201" t="n"/>
      <c r="E758" s="201" t="n"/>
      <c r="F758" s="201" t="n"/>
      <c r="G758" s="201" t="n"/>
      <c r="H758" s="201" t="n"/>
      <c r="I758" s="201" t="n"/>
      <c r="J758" s="201" t="n"/>
      <c r="K758" s="201" t="n"/>
      <c r="L758" s="201" t="n"/>
      <c r="M758" s="201" t="n"/>
      <c r="N758" s="201" t="n"/>
      <c r="O758" s="201" t="n"/>
      <c r="P758" s="201" t="n"/>
      <c r="Q758" s="201" t="n"/>
      <c r="R758" s="201" t="n"/>
      <c r="S758" s="201" t="n"/>
      <c r="T758" s="201" t="n"/>
      <c r="U758" s="201" t="n"/>
      <c r="V758" s="201" t="n"/>
      <c r="W758" s="201" t="n"/>
      <c r="X758" s="201" t="n"/>
      <c r="Y758" s="201" t="n"/>
      <c r="Z758" s="201" t="n"/>
      <c r="AA758" s="201" t="n"/>
      <c r="AB758" s="201" t="n"/>
      <c r="AC758" s="201" t="n"/>
      <c r="AD758" s="201" t="n"/>
      <c r="AE758" s="201" t="n"/>
      <c r="AF758" s="201" t="n"/>
      <c r="AG758" s="201" t="n"/>
    </row>
    <row r="759" ht="12.75" customHeight="1" s="202">
      <c r="A759" s="201" t="n"/>
      <c r="B759" s="201" t="n"/>
      <c r="C759" s="201" t="n"/>
      <c r="D759" s="201" t="n"/>
      <c r="E759" s="201" t="n"/>
      <c r="F759" s="201" t="n"/>
      <c r="G759" s="201" t="n"/>
      <c r="H759" s="201" t="n"/>
      <c r="I759" s="201" t="n"/>
      <c r="J759" s="201" t="n"/>
      <c r="K759" s="201" t="n"/>
      <c r="L759" s="201" t="n"/>
      <c r="M759" s="201" t="n"/>
      <c r="N759" s="201" t="n"/>
      <c r="O759" s="201" t="n"/>
      <c r="P759" s="201" t="n"/>
      <c r="Q759" s="201" t="n"/>
      <c r="R759" s="201" t="n"/>
      <c r="S759" s="201" t="n"/>
      <c r="T759" s="201" t="n"/>
      <c r="U759" s="201" t="n"/>
      <c r="V759" s="201" t="n"/>
      <c r="W759" s="201" t="n"/>
      <c r="X759" s="201" t="n"/>
      <c r="Y759" s="201" t="n"/>
      <c r="Z759" s="201" t="n"/>
      <c r="AA759" s="201" t="n"/>
      <c r="AB759" s="201" t="n"/>
      <c r="AC759" s="201" t="n"/>
      <c r="AD759" s="201" t="n"/>
      <c r="AE759" s="201" t="n"/>
      <c r="AF759" s="201" t="n"/>
      <c r="AG759" s="201" t="n"/>
    </row>
    <row r="760" ht="12.75" customHeight="1" s="202">
      <c r="A760" s="201" t="n"/>
      <c r="B760" s="201" t="n"/>
      <c r="C760" s="201" t="n"/>
      <c r="D760" s="201" t="n"/>
      <c r="E760" s="201" t="n"/>
      <c r="F760" s="201" t="n"/>
      <c r="G760" s="201" t="n"/>
      <c r="H760" s="201" t="n"/>
      <c r="I760" s="201" t="n"/>
      <c r="J760" s="201" t="n"/>
      <c r="K760" s="201" t="n"/>
      <c r="L760" s="201" t="n"/>
      <c r="M760" s="201" t="n"/>
      <c r="N760" s="201" t="n"/>
      <c r="O760" s="201" t="n"/>
      <c r="P760" s="201" t="n"/>
      <c r="Q760" s="201" t="n"/>
      <c r="R760" s="201" t="n"/>
      <c r="S760" s="201" t="n"/>
      <c r="T760" s="201" t="n"/>
      <c r="U760" s="201" t="n"/>
      <c r="V760" s="201" t="n"/>
      <c r="W760" s="201" t="n"/>
      <c r="X760" s="201" t="n"/>
      <c r="Y760" s="201" t="n"/>
      <c r="Z760" s="201" t="n"/>
      <c r="AA760" s="201" t="n"/>
      <c r="AB760" s="201" t="n"/>
      <c r="AC760" s="201" t="n"/>
      <c r="AD760" s="201" t="n"/>
      <c r="AE760" s="201" t="n"/>
      <c r="AF760" s="201" t="n"/>
      <c r="AG760" s="201" t="n"/>
    </row>
    <row r="761" ht="12.75" customHeight="1" s="202">
      <c r="A761" s="201" t="n"/>
      <c r="B761" s="201" t="n"/>
      <c r="C761" s="201" t="n"/>
      <c r="D761" s="201" t="n"/>
      <c r="E761" s="201" t="n"/>
      <c r="F761" s="201" t="n"/>
      <c r="G761" s="201" t="n"/>
      <c r="H761" s="201" t="n"/>
      <c r="I761" s="201" t="n"/>
      <c r="J761" s="201" t="n"/>
      <c r="K761" s="201" t="n"/>
      <c r="L761" s="201" t="n"/>
      <c r="M761" s="201" t="n"/>
      <c r="N761" s="201" t="n"/>
      <c r="O761" s="201" t="n"/>
      <c r="P761" s="201" t="n"/>
      <c r="Q761" s="201" t="n"/>
      <c r="R761" s="201" t="n"/>
      <c r="S761" s="201" t="n"/>
      <c r="T761" s="201" t="n"/>
      <c r="U761" s="201" t="n"/>
      <c r="V761" s="201" t="n"/>
      <c r="W761" s="201" t="n"/>
      <c r="X761" s="201" t="n"/>
      <c r="Y761" s="201" t="n"/>
      <c r="Z761" s="201" t="n"/>
      <c r="AA761" s="201" t="n"/>
      <c r="AB761" s="201" t="n"/>
      <c r="AC761" s="201" t="n"/>
      <c r="AD761" s="201" t="n"/>
      <c r="AE761" s="201" t="n"/>
      <c r="AF761" s="201" t="n"/>
      <c r="AG761" s="201" t="n"/>
    </row>
    <row r="762" ht="12.75" customHeight="1" s="202">
      <c r="A762" s="201" t="n"/>
      <c r="B762" s="201" t="n"/>
      <c r="C762" s="201" t="n"/>
      <c r="D762" s="201" t="n"/>
      <c r="E762" s="201" t="n"/>
      <c r="F762" s="201" t="n"/>
      <c r="G762" s="201" t="n"/>
      <c r="H762" s="201" t="n"/>
      <c r="I762" s="201" t="n"/>
      <c r="J762" s="201" t="n"/>
      <c r="K762" s="201" t="n"/>
      <c r="L762" s="201" t="n"/>
      <c r="M762" s="201" t="n"/>
      <c r="N762" s="201" t="n"/>
      <c r="O762" s="201" t="n"/>
      <c r="P762" s="201" t="n"/>
      <c r="Q762" s="201" t="n"/>
      <c r="R762" s="201" t="n"/>
      <c r="S762" s="201" t="n"/>
      <c r="T762" s="201" t="n"/>
      <c r="U762" s="201" t="n"/>
      <c r="V762" s="201" t="n"/>
      <c r="W762" s="201" t="n"/>
      <c r="X762" s="201" t="n"/>
      <c r="Y762" s="201" t="n"/>
      <c r="Z762" s="201" t="n"/>
      <c r="AA762" s="201" t="n"/>
      <c r="AB762" s="201" t="n"/>
      <c r="AC762" s="201" t="n"/>
      <c r="AD762" s="201" t="n"/>
      <c r="AE762" s="201" t="n"/>
      <c r="AF762" s="201" t="n"/>
      <c r="AG762" s="201" t="n"/>
    </row>
    <row r="763" ht="12.75" customHeight="1" s="202">
      <c r="A763" s="201" t="n"/>
      <c r="B763" s="201" t="n"/>
      <c r="C763" s="201" t="n"/>
      <c r="D763" s="201" t="n"/>
      <c r="E763" s="201" t="n"/>
      <c r="F763" s="201" t="n"/>
      <c r="G763" s="201" t="n"/>
      <c r="H763" s="201" t="n"/>
      <c r="I763" s="201" t="n"/>
      <c r="J763" s="201" t="n"/>
      <c r="K763" s="201" t="n"/>
      <c r="L763" s="201" t="n"/>
      <c r="M763" s="201" t="n"/>
      <c r="N763" s="201" t="n"/>
      <c r="O763" s="201" t="n"/>
      <c r="P763" s="201" t="n"/>
      <c r="Q763" s="201" t="n"/>
      <c r="R763" s="201" t="n"/>
      <c r="S763" s="201" t="n"/>
      <c r="T763" s="201" t="n"/>
      <c r="U763" s="201" t="n"/>
      <c r="V763" s="201" t="n"/>
      <c r="W763" s="201" t="n"/>
      <c r="X763" s="201" t="n"/>
      <c r="Y763" s="201" t="n"/>
      <c r="Z763" s="201" t="n"/>
      <c r="AA763" s="201" t="n"/>
      <c r="AB763" s="201" t="n"/>
      <c r="AC763" s="201" t="n"/>
      <c r="AD763" s="201" t="n"/>
      <c r="AE763" s="201" t="n"/>
      <c r="AF763" s="201" t="n"/>
      <c r="AG763" s="201" t="n"/>
    </row>
    <row r="764" ht="12.75" customHeight="1" s="202">
      <c r="A764" s="201" t="n"/>
      <c r="B764" s="201" t="n"/>
      <c r="C764" s="201" t="n"/>
      <c r="D764" s="201" t="n"/>
      <c r="E764" s="201" t="n"/>
      <c r="F764" s="201" t="n"/>
      <c r="G764" s="201" t="n"/>
      <c r="H764" s="201" t="n"/>
      <c r="I764" s="201" t="n"/>
      <c r="J764" s="201" t="n"/>
      <c r="K764" s="201" t="n"/>
      <c r="L764" s="201" t="n"/>
      <c r="M764" s="201" t="n"/>
      <c r="N764" s="201" t="n"/>
      <c r="O764" s="201" t="n"/>
      <c r="P764" s="201" t="n"/>
      <c r="Q764" s="201" t="n"/>
      <c r="R764" s="201" t="n"/>
      <c r="S764" s="201" t="n"/>
      <c r="T764" s="201" t="n"/>
      <c r="U764" s="201" t="n"/>
      <c r="V764" s="201" t="n"/>
      <c r="W764" s="201" t="n"/>
      <c r="X764" s="201" t="n"/>
      <c r="Y764" s="201" t="n"/>
      <c r="Z764" s="201" t="n"/>
      <c r="AA764" s="201" t="n"/>
      <c r="AB764" s="201" t="n"/>
      <c r="AC764" s="201" t="n"/>
      <c r="AD764" s="201" t="n"/>
      <c r="AE764" s="201" t="n"/>
      <c r="AF764" s="201" t="n"/>
      <c r="AG764" s="201" t="n"/>
    </row>
    <row r="765" ht="12.75" customHeight="1" s="202">
      <c r="A765" s="201" t="n"/>
      <c r="B765" s="201" t="n"/>
      <c r="C765" s="201" t="n"/>
      <c r="D765" s="201" t="n"/>
      <c r="E765" s="201" t="n"/>
      <c r="F765" s="201" t="n"/>
      <c r="G765" s="201" t="n"/>
      <c r="H765" s="201" t="n"/>
      <c r="I765" s="201" t="n"/>
      <c r="J765" s="201" t="n"/>
      <c r="K765" s="201" t="n"/>
      <c r="L765" s="201" t="n"/>
      <c r="M765" s="201" t="n"/>
      <c r="N765" s="201" t="n"/>
      <c r="O765" s="201" t="n"/>
      <c r="P765" s="201" t="n"/>
      <c r="Q765" s="201" t="n"/>
      <c r="R765" s="201" t="n"/>
      <c r="S765" s="201" t="n"/>
      <c r="T765" s="201" t="n"/>
      <c r="U765" s="201" t="n"/>
      <c r="V765" s="201" t="n"/>
      <c r="W765" s="201" t="n"/>
      <c r="X765" s="201" t="n"/>
      <c r="Y765" s="201" t="n"/>
      <c r="Z765" s="201" t="n"/>
      <c r="AA765" s="201" t="n"/>
      <c r="AB765" s="201" t="n"/>
      <c r="AC765" s="201" t="n"/>
      <c r="AD765" s="201" t="n"/>
      <c r="AE765" s="201" t="n"/>
      <c r="AF765" s="201" t="n"/>
      <c r="AG765" s="201" t="n"/>
    </row>
    <row r="766" ht="12.75" customHeight="1" s="202">
      <c r="A766" s="201" t="n"/>
      <c r="B766" s="201" t="n"/>
      <c r="C766" s="201" t="n"/>
      <c r="D766" s="201" t="n"/>
      <c r="E766" s="201" t="n"/>
      <c r="F766" s="201" t="n"/>
      <c r="G766" s="201" t="n"/>
      <c r="H766" s="201" t="n"/>
      <c r="I766" s="201" t="n"/>
      <c r="J766" s="201" t="n"/>
      <c r="K766" s="201" t="n"/>
      <c r="L766" s="201" t="n"/>
      <c r="M766" s="201" t="n"/>
      <c r="N766" s="201" t="n"/>
      <c r="O766" s="201" t="n"/>
      <c r="P766" s="201" t="n"/>
      <c r="Q766" s="201" t="n"/>
      <c r="R766" s="201" t="n"/>
      <c r="S766" s="201" t="n"/>
      <c r="T766" s="201" t="n"/>
      <c r="U766" s="201" t="n"/>
      <c r="V766" s="201" t="n"/>
      <c r="W766" s="201" t="n"/>
      <c r="X766" s="201" t="n"/>
      <c r="Y766" s="201" t="n"/>
      <c r="Z766" s="201" t="n"/>
      <c r="AA766" s="201" t="n"/>
      <c r="AB766" s="201" t="n"/>
      <c r="AC766" s="201" t="n"/>
      <c r="AD766" s="201" t="n"/>
      <c r="AE766" s="201" t="n"/>
      <c r="AF766" s="201" t="n"/>
      <c r="AG766" s="201" t="n"/>
    </row>
    <row r="767" ht="12.75" customHeight="1" s="202">
      <c r="A767" s="201" t="n"/>
      <c r="B767" s="201" t="n"/>
      <c r="C767" s="201" t="n"/>
      <c r="D767" s="201" t="n"/>
      <c r="E767" s="201" t="n"/>
      <c r="F767" s="201" t="n"/>
      <c r="G767" s="201" t="n"/>
      <c r="H767" s="201" t="n"/>
      <c r="I767" s="201" t="n"/>
      <c r="J767" s="201" t="n"/>
      <c r="K767" s="201" t="n"/>
      <c r="L767" s="201" t="n"/>
      <c r="M767" s="201" t="n"/>
      <c r="N767" s="201" t="n"/>
      <c r="O767" s="201" t="n"/>
      <c r="P767" s="201" t="n"/>
      <c r="Q767" s="201" t="n"/>
      <c r="R767" s="201" t="n"/>
      <c r="S767" s="201" t="n"/>
      <c r="T767" s="201" t="n"/>
      <c r="U767" s="201" t="n"/>
      <c r="V767" s="201" t="n"/>
      <c r="W767" s="201" t="n"/>
      <c r="X767" s="201" t="n"/>
      <c r="Y767" s="201" t="n"/>
      <c r="Z767" s="201" t="n"/>
      <c r="AA767" s="201" t="n"/>
      <c r="AB767" s="201" t="n"/>
      <c r="AC767" s="201" t="n"/>
      <c r="AD767" s="201" t="n"/>
      <c r="AE767" s="201" t="n"/>
      <c r="AF767" s="201" t="n"/>
      <c r="AG767" s="201" t="n"/>
    </row>
    <row r="768" ht="12.75" customHeight="1" s="202">
      <c r="A768" s="201" t="n"/>
      <c r="B768" s="201" t="n"/>
      <c r="C768" s="201" t="n"/>
      <c r="D768" s="201" t="n"/>
      <c r="E768" s="201" t="n"/>
      <c r="F768" s="201" t="n"/>
      <c r="G768" s="201" t="n"/>
      <c r="H768" s="201" t="n"/>
      <c r="I768" s="201" t="n"/>
      <c r="J768" s="201" t="n"/>
      <c r="K768" s="201" t="n"/>
      <c r="L768" s="201" t="n"/>
      <c r="M768" s="201" t="n"/>
      <c r="N768" s="201" t="n"/>
      <c r="O768" s="201" t="n"/>
      <c r="P768" s="201" t="n"/>
      <c r="Q768" s="201" t="n"/>
      <c r="R768" s="201" t="n"/>
      <c r="S768" s="201" t="n"/>
      <c r="T768" s="201" t="n"/>
      <c r="U768" s="201" t="n"/>
      <c r="V768" s="201" t="n"/>
      <c r="W768" s="201" t="n"/>
      <c r="X768" s="201" t="n"/>
      <c r="Y768" s="201" t="n"/>
      <c r="Z768" s="201" t="n"/>
      <c r="AA768" s="201" t="n"/>
      <c r="AB768" s="201" t="n"/>
      <c r="AC768" s="201" t="n"/>
      <c r="AD768" s="201" t="n"/>
      <c r="AE768" s="201" t="n"/>
      <c r="AF768" s="201" t="n"/>
      <c r="AG768" s="201" t="n"/>
    </row>
    <row r="769" ht="12.75" customHeight="1" s="202">
      <c r="A769" s="201" t="n"/>
      <c r="B769" s="201" t="n"/>
      <c r="C769" s="201" t="n"/>
      <c r="D769" s="201" t="n"/>
      <c r="E769" s="201" t="n"/>
      <c r="F769" s="201" t="n"/>
      <c r="G769" s="201" t="n"/>
      <c r="H769" s="201" t="n"/>
      <c r="I769" s="201" t="n"/>
      <c r="J769" s="201" t="n"/>
      <c r="K769" s="201" t="n"/>
      <c r="L769" s="201" t="n"/>
      <c r="M769" s="201" t="n"/>
      <c r="N769" s="201" t="n"/>
      <c r="O769" s="201" t="n"/>
      <c r="P769" s="201" t="n"/>
      <c r="Q769" s="201" t="n"/>
      <c r="R769" s="201" t="n"/>
      <c r="S769" s="201" t="n"/>
      <c r="T769" s="201" t="n"/>
      <c r="U769" s="201" t="n"/>
      <c r="V769" s="201" t="n"/>
      <c r="W769" s="201" t="n"/>
      <c r="X769" s="201" t="n"/>
      <c r="Y769" s="201" t="n"/>
      <c r="Z769" s="201" t="n"/>
      <c r="AA769" s="201" t="n"/>
      <c r="AB769" s="201" t="n"/>
      <c r="AC769" s="201" t="n"/>
      <c r="AD769" s="201" t="n"/>
      <c r="AE769" s="201" t="n"/>
      <c r="AF769" s="201" t="n"/>
      <c r="AG769" s="201" t="n"/>
    </row>
    <row r="770" ht="12.75" customHeight="1" s="202">
      <c r="A770" s="201" t="n"/>
      <c r="B770" s="201" t="n"/>
      <c r="C770" s="201" t="n"/>
      <c r="D770" s="201" t="n"/>
      <c r="E770" s="201" t="n"/>
      <c r="F770" s="201" t="n"/>
      <c r="G770" s="201" t="n"/>
      <c r="H770" s="201" t="n"/>
      <c r="I770" s="201" t="n"/>
      <c r="J770" s="201" t="n"/>
      <c r="K770" s="201" t="n"/>
      <c r="L770" s="201" t="n"/>
      <c r="M770" s="201" t="n"/>
      <c r="N770" s="201" t="n"/>
      <c r="O770" s="201" t="n"/>
      <c r="P770" s="201" t="n"/>
      <c r="Q770" s="201" t="n"/>
      <c r="R770" s="201" t="n"/>
      <c r="S770" s="201" t="n"/>
      <c r="T770" s="201" t="n"/>
      <c r="U770" s="201" t="n"/>
      <c r="V770" s="201" t="n"/>
      <c r="W770" s="201" t="n"/>
      <c r="X770" s="201" t="n"/>
      <c r="Y770" s="201" t="n"/>
      <c r="Z770" s="201" t="n"/>
      <c r="AA770" s="201" t="n"/>
      <c r="AB770" s="201" t="n"/>
      <c r="AC770" s="201" t="n"/>
      <c r="AD770" s="201" t="n"/>
      <c r="AE770" s="201" t="n"/>
      <c r="AF770" s="201" t="n"/>
      <c r="AG770" s="201" t="n"/>
    </row>
    <row r="771" ht="12.75" customHeight="1" s="202">
      <c r="A771" s="201" t="n"/>
      <c r="B771" s="201" t="n"/>
      <c r="C771" s="201" t="n"/>
      <c r="D771" s="201" t="n"/>
      <c r="E771" s="201" t="n"/>
      <c r="F771" s="201" t="n"/>
      <c r="G771" s="201" t="n"/>
      <c r="H771" s="201" t="n"/>
      <c r="I771" s="201" t="n"/>
      <c r="J771" s="201" t="n"/>
      <c r="K771" s="201" t="n"/>
      <c r="L771" s="201" t="n"/>
      <c r="M771" s="201" t="n"/>
      <c r="N771" s="201" t="n"/>
      <c r="O771" s="201" t="n"/>
      <c r="P771" s="201" t="n"/>
      <c r="Q771" s="201" t="n"/>
      <c r="R771" s="201" t="n"/>
      <c r="S771" s="201" t="n"/>
      <c r="T771" s="201" t="n"/>
      <c r="U771" s="201" t="n"/>
      <c r="V771" s="201" t="n"/>
      <c r="W771" s="201" t="n"/>
      <c r="X771" s="201" t="n"/>
      <c r="Y771" s="201" t="n"/>
      <c r="Z771" s="201" t="n"/>
      <c r="AA771" s="201" t="n"/>
      <c r="AB771" s="201" t="n"/>
      <c r="AC771" s="201" t="n"/>
      <c r="AD771" s="201" t="n"/>
      <c r="AE771" s="201" t="n"/>
      <c r="AF771" s="201" t="n"/>
      <c r="AG771" s="201" t="n"/>
    </row>
    <row r="772" ht="12.75" customHeight="1" s="202">
      <c r="A772" s="201" t="n"/>
      <c r="B772" s="201" t="n"/>
      <c r="C772" s="201" t="n"/>
      <c r="D772" s="201" t="n"/>
      <c r="E772" s="201" t="n"/>
      <c r="F772" s="201" t="n"/>
      <c r="G772" s="201" t="n"/>
      <c r="H772" s="201" t="n"/>
      <c r="I772" s="201" t="n"/>
      <c r="J772" s="201" t="n"/>
      <c r="K772" s="201" t="n"/>
      <c r="L772" s="201" t="n"/>
      <c r="M772" s="201" t="n"/>
      <c r="N772" s="201" t="n"/>
      <c r="O772" s="201" t="n"/>
      <c r="P772" s="201" t="n"/>
      <c r="Q772" s="201" t="n"/>
      <c r="R772" s="201" t="n"/>
      <c r="S772" s="201" t="n"/>
      <c r="T772" s="201" t="n"/>
      <c r="U772" s="201" t="n"/>
      <c r="V772" s="201" t="n"/>
      <c r="W772" s="201" t="n"/>
      <c r="X772" s="201" t="n"/>
      <c r="Y772" s="201" t="n"/>
      <c r="Z772" s="201" t="n"/>
      <c r="AA772" s="201" t="n"/>
      <c r="AB772" s="201" t="n"/>
      <c r="AC772" s="201" t="n"/>
      <c r="AD772" s="201" t="n"/>
      <c r="AE772" s="201" t="n"/>
      <c r="AF772" s="201" t="n"/>
      <c r="AG772" s="201" t="n"/>
    </row>
    <row r="773" ht="12.75" customHeight="1" s="202">
      <c r="A773" s="201" t="n"/>
      <c r="B773" s="201" t="n"/>
      <c r="C773" s="201" t="n"/>
      <c r="D773" s="201" t="n"/>
      <c r="E773" s="201" t="n"/>
      <c r="F773" s="201" t="n"/>
      <c r="G773" s="201" t="n"/>
      <c r="H773" s="201" t="n"/>
      <c r="I773" s="201" t="n"/>
      <c r="J773" s="201" t="n"/>
      <c r="K773" s="201" t="n"/>
      <c r="L773" s="201" t="n"/>
      <c r="M773" s="201" t="n"/>
      <c r="N773" s="201" t="n"/>
      <c r="O773" s="201" t="n"/>
      <c r="P773" s="201" t="n"/>
      <c r="Q773" s="201" t="n"/>
      <c r="R773" s="201" t="n"/>
      <c r="S773" s="201" t="n"/>
      <c r="T773" s="201" t="n"/>
      <c r="U773" s="201" t="n"/>
      <c r="V773" s="201" t="n"/>
      <c r="W773" s="201" t="n"/>
      <c r="X773" s="201" t="n"/>
      <c r="Y773" s="201" t="n"/>
      <c r="Z773" s="201" t="n"/>
      <c r="AA773" s="201" t="n"/>
      <c r="AB773" s="201" t="n"/>
      <c r="AC773" s="201" t="n"/>
      <c r="AD773" s="201" t="n"/>
      <c r="AE773" s="201" t="n"/>
      <c r="AF773" s="201" t="n"/>
      <c r="AG773" s="201" t="n"/>
    </row>
    <row r="774" ht="12.75" customHeight="1" s="202">
      <c r="A774" s="201" t="n"/>
      <c r="B774" s="201" t="n"/>
      <c r="C774" s="201" t="n"/>
      <c r="D774" s="201" t="n"/>
      <c r="E774" s="201" t="n"/>
      <c r="F774" s="201" t="n"/>
      <c r="G774" s="201" t="n"/>
      <c r="H774" s="201" t="n"/>
      <c r="I774" s="201" t="n"/>
      <c r="J774" s="201" t="n"/>
      <c r="K774" s="201" t="n"/>
      <c r="L774" s="201" t="n"/>
      <c r="M774" s="201" t="n"/>
      <c r="N774" s="201" t="n"/>
      <c r="O774" s="201" t="n"/>
      <c r="P774" s="201" t="n"/>
      <c r="Q774" s="201" t="n"/>
      <c r="R774" s="201" t="n"/>
      <c r="S774" s="201" t="n"/>
      <c r="T774" s="201" t="n"/>
      <c r="U774" s="201" t="n"/>
      <c r="V774" s="201" t="n"/>
      <c r="W774" s="201" t="n"/>
      <c r="X774" s="201" t="n"/>
      <c r="Y774" s="201" t="n"/>
      <c r="Z774" s="201" t="n"/>
      <c r="AA774" s="201" t="n"/>
      <c r="AB774" s="201" t="n"/>
      <c r="AC774" s="201" t="n"/>
      <c r="AD774" s="201" t="n"/>
      <c r="AE774" s="201" t="n"/>
      <c r="AF774" s="201" t="n"/>
      <c r="AG774" s="201" t="n"/>
    </row>
    <row r="775" ht="12.75" customHeight="1" s="202">
      <c r="A775" s="201" t="n"/>
      <c r="B775" s="201" t="n"/>
      <c r="C775" s="201" t="n"/>
      <c r="D775" s="201" t="n"/>
      <c r="E775" s="201" t="n"/>
      <c r="F775" s="201" t="n"/>
      <c r="G775" s="201" t="n"/>
      <c r="H775" s="201" t="n"/>
      <c r="I775" s="201" t="n"/>
      <c r="J775" s="201" t="n"/>
      <c r="K775" s="201" t="n"/>
      <c r="L775" s="201" t="n"/>
      <c r="M775" s="201" t="n"/>
      <c r="N775" s="201" t="n"/>
      <c r="O775" s="201" t="n"/>
      <c r="P775" s="201" t="n"/>
      <c r="Q775" s="201" t="n"/>
      <c r="R775" s="201" t="n"/>
      <c r="S775" s="201" t="n"/>
      <c r="T775" s="201" t="n"/>
      <c r="U775" s="201" t="n"/>
      <c r="V775" s="201" t="n"/>
      <c r="W775" s="201" t="n"/>
      <c r="X775" s="201" t="n"/>
      <c r="Y775" s="201" t="n"/>
      <c r="Z775" s="201" t="n"/>
      <c r="AA775" s="201" t="n"/>
      <c r="AB775" s="201" t="n"/>
      <c r="AC775" s="201" t="n"/>
      <c r="AD775" s="201" t="n"/>
      <c r="AE775" s="201" t="n"/>
      <c r="AF775" s="201" t="n"/>
      <c r="AG775" s="201" t="n"/>
    </row>
    <row r="776" ht="12.75" customHeight="1" s="202">
      <c r="A776" s="201" t="n"/>
      <c r="B776" s="201" t="n"/>
      <c r="C776" s="201" t="n"/>
      <c r="D776" s="201" t="n"/>
      <c r="E776" s="201" t="n"/>
      <c r="F776" s="201" t="n"/>
      <c r="G776" s="201" t="n"/>
      <c r="H776" s="201" t="n"/>
      <c r="I776" s="201" t="n"/>
      <c r="J776" s="201" t="n"/>
      <c r="K776" s="201" t="n"/>
      <c r="L776" s="201" t="n"/>
      <c r="M776" s="201" t="n"/>
      <c r="N776" s="201" t="n"/>
      <c r="O776" s="201" t="n"/>
      <c r="P776" s="201" t="n"/>
      <c r="Q776" s="201" t="n"/>
      <c r="R776" s="201" t="n"/>
      <c r="S776" s="201" t="n"/>
      <c r="T776" s="201" t="n"/>
      <c r="U776" s="201" t="n"/>
      <c r="V776" s="201" t="n"/>
      <c r="W776" s="201" t="n"/>
      <c r="X776" s="201" t="n"/>
      <c r="Y776" s="201" t="n"/>
      <c r="Z776" s="201" t="n"/>
      <c r="AA776" s="201" t="n"/>
      <c r="AB776" s="201" t="n"/>
      <c r="AC776" s="201" t="n"/>
      <c r="AD776" s="201" t="n"/>
      <c r="AE776" s="201" t="n"/>
      <c r="AF776" s="201" t="n"/>
      <c r="AG776" s="201" t="n"/>
    </row>
    <row r="777" ht="12.75" customHeight="1" s="202">
      <c r="A777" s="201" t="n"/>
      <c r="B777" s="201" t="n"/>
      <c r="C777" s="201" t="n"/>
      <c r="D777" s="201" t="n"/>
      <c r="E777" s="201" t="n"/>
      <c r="F777" s="201" t="n"/>
      <c r="G777" s="201" t="n"/>
      <c r="H777" s="201" t="n"/>
      <c r="I777" s="201" t="n"/>
      <c r="J777" s="201" t="n"/>
      <c r="K777" s="201" t="n"/>
      <c r="L777" s="201" t="n"/>
      <c r="M777" s="201" t="n"/>
      <c r="N777" s="201" t="n"/>
      <c r="O777" s="201" t="n"/>
      <c r="P777" s="201" t="n"/>
      <c r="Q777" s="201" t="n"/>
      <c r="R777" s="201" t="n"/>
      <c r="S777" s="201" t="n"/>
      <c r="T777" s="201" t="n"/>
      <c r="U777" s="201" t="n"/>
      <c r="V777" s="201" t="n"/>
      <c r="W777" s="201" t="n"/>
      <c r="X777" s="201" t="n"/>
      <c r="Y777" s="201" t="n"/>
      <c r="Z777" s="201" t="n"/>
      <c r="AA777" s="201" t="n"/>
      <c r="AB777" s="201" t="n"/>
      <c r="AC777" s="201" t="n"/>
      <c r="AD777" s="201" t="n"/>
      <c r="AE777" s="201" t="n"/>
      <c r="AF777" s="201" t="n"/>
      <c r="AG777" s="201" t="n"/>
    </row>
    <row r="778" ht="12.75" customHeight="1" s="202">
      <c r="A778" s="201" t="n"/>
      <c r="B778" s="201" t="n"/>
      <c r="C778" s="201" t="n"/>
      <c r="D778" s="201" t="n"/>
      <c r="E778" s="201" t="n"/>
      <c r="F778" s="201" t="n"/>
      <c r="G778" s="201" t="n"/>
      <c r="H778" s="201" t="n"/>
      <c r="I778" s="201" t="n"/>
      <c r="J778" s="201" t="n"/>
      <c r="K778" s="201" t="n"/>
      <c r="L778" s="201" t="n"/>
      <c r="M778" s="201" t="n"/>
      <c r="N778" s="201" t="n"/>
      <c r="O778" s="201" t="n"/>
      <c r="P778" s="201" t="n"/>
      <c r="Q778" s="201" t="n"/>
      <c r="R778" s="201" t="n"/>
      <c r="S778" s="201" t="n"/>
      <c r="T778" s="201" t="n"/>
      <c r="U778" s="201" t="n"/>
      <c r="V778" s="201" t="n"/>
      <c r="W778" s="201" t="n"/>
      <c r="X778" s="201" t="n"/>
      <c r="Y778" s="201" t="n"/>
      <c r="Z778" s="201" t="n"/>
      <c r="AA778" s="201" t="n"/>
      <c r="AB778" s="201" t="n"/>
      <c r="AC778" s="201" t="n"/>
      <c r="AD778" s="201" t="n"/>
      <c r="AE778" s="201" t="n"/>
      <c r="AF778" s="201" t="n"/>
      <c r="AG778" s="201" t="n"/>
    </row>
    <row r="779" ht="12.75" customHeight="1" s="202">
      <c r="A779" s="201" t="n"/>
      <c r="B779" s="201" t="n"/>
      <c r="C779" s="201" t="n"/>
      <c r="D779" s="201" t="n"/>
      <c r="E779" s="201" t="n"/>
      <c r="F779" s="201" t="n"/>
      <c r="G779" s="201" t="n"/>
      <c r="H779" s="201" t="n"/>
      <c r="I779" s="201" t="n"/>
      <c r="J779" s="201" t="n"/>
      <c r="K779" s="201" t="n"/>
      <c r="L779" s="201" t="n"/>
      <c r="M779" s="201" t="n"/>
      <c r="N779" s="201" t="n"/>
      <c r="O779" s="201" t="n"/>
      <c r="P779" s="201" t="n"/>
      <c r="Q779" s="201" t="n"/>
      <c r="R779" s="201" t="n"/>
      <c r="S779" s="201" t="n"/>
      <c r="T779" s="201" t="n"/>
      <c r="U779" s="201" t="n"/>
      <c r="V779" s="201" t="n"/>
      <c r="W779" s="201" t="n"/>
      <c r="X779" s="201" t="n"/>
      <c r="Y779" s="201" t="n"/>
      <c r="Z779" s="201" t="n"/>
      <c r="AA779" s="201" t="n"/>
      <c r="AB779" s="201" t="n"/>
      <c r="AC779" s="201" t="n"/>
      <c r="AD779" s="201" t="n"/>
      <c r="AE779" s="201" t="n"/>
      <c r="AF779" s="201" t="n"/>
      <c r="AG779" s="201" t="n"/>
    </row>
    <row r="780" ht="12.75" customHeight="1" s="202">
      <c r="A780" s="201" t="n"/>
      <c r="B780" s="201" t="n"/>
      <c r="C780" s="201" t="n"/>
      <c r="D780" s="201" t="n"/>
      <c r="E780" s="201" t="n"/>
      <c r="F780" s="201" t="n"/>
      <c r="G780" s="201" t="n"/>
      <c r="H780" s="201" t="n"/>
      <c r="I780" s="201" t="n"/>
      <c r="J780" s="201" t="n"/>
      <c r="K780" s="201" t="n"/>
      <c r="L780" s="201" t="n"/>
      <c r="M780" s="201" t="n"/>
      <c r="N780" s="201" t="n"/>
      <c r="O780" s="201" t="n"/>
      <c r="P780" s="201" t="n"/>
      <c r="Q780" s="201" t="n"/>
      <c r="R780" s="201" t="n"/>
      <c r="S780" s="201" t="n"/>
      <c r="T780" s="201" t="n"/>
      <c r="U780" s="201" t="n"/>
      <c r="V780" s="201" t="n"/>
      <c r="W780" s="201" t="n"/>
      <c r="X780" s="201" t="n"/>
      <c r="Y780" s="201" t="n"/>
      <c r="Z780" s="201" t="n"/>
      <c r="AA780" s="201" t="n"/>
      <c r="AB780" s="201" t="n"/>
      <c r="AC780" s="201" t="n"/>
      <c r="AD780" s="201" t="n"/>
      <c r="AE780" s="201" t="n"/>
      <c r="AF780" s="201" t="n"/>
      <c r="AG780" s="201" t="n"/>
    </row>
    <row r="781" ht="12.75" customHeight="1" s="202">
      <c r="A781" s="201" t="n"/>
      <c r="B781" s="201" t="n"/>
      <c r="C781" s="201" t="n"/>
      <c r="D781" s="201" t="n"/>
      <c r="E781" s="201" t="n"/>
      <c r="F781" s="201" t="n"/>
      <c r="G781" s="201" t="n"/>
      <c r="H781" s="201" t="n"/>
      <c r="I781" s="201" t="n"/>
      <c r="J781" s="201" t="n"/>
      <c r="K781" s="201" t="n"/>
      <c r="L781" s="201" t="n"/>
      <c r="M781" s="201" t="n"/>
      <c r="N781" s="201" t="n"/>
      <c r="O781" s="201" t="n"/>
      <c r="P781" s="201" t="n"/>
      <c r="Q781" s="201" t="n"/>
      <c r="R781" s="201" t="n"/>
      <c r="S781" s="201" t="n"/>
      <c r="T781" s="201" t="n"/>
      <c r="U781" s="201" t="n"/>
      <c r="V781" s="201" t="n"/>
      <c r="W781" s="201" t="n"/>
      <c r="X781" s="201" t="n"/>
      <c r="Y781" s="201" t="n"/>
      <c r="Z781" s="201" t="n"/>
      <c r="AA781" s="201" t="n"/>
      <c r="AB781" s="201" t="n"/>
      <c r="AC781" s="201" t="n"/>
      <c r="AD781" s="201" t="n"/>
      <c r="AE781" s="201" t="n"/>
      <c r="AF781" s="201" t="n"/>
      <c r="AG781" s="201" t="n"/>
    </row>
    <row r="782" ht="12.75" customHeight="1" s="202">
      <c r="A782" s="201" t="n"/>
      <c r="B782" s="201" t="n"/>
      <c r="C782" s="201" t="n"/>
      <c r="D782" s="201" t="n"/>
      <c r="E782" s="201" t="n"/>
      <c r="F782" s="201" t="n"/>
      <c r="G782" s="201" t="n"/>
      <c r="H782" s="201" t="n"/>
      <c r="I782" s="201" t="n"/>
      <c r="J782" s="201" t="n"/>
      <c r="K782" s="201" t="n"/>
      <c r="L782" s="201" t="n"/>
      <c r="M782" s="201" t="n"/>
      <c r="N782" s="201" t="n"/>
      <c r="O782" s="201" t="n"/>
      <c r="P782" s="201" t="n"/>
      <c r="Q782" s="201" t="n"/>
      <c r="R782" s="201" t="n"/>
      <c r="S782" s="201" t="n"/>
      <c r="T782" s="201" t="n"/>
      <c r="U782" s="201" t="n"/>
      <c r="V782" s="201" t="n"/>
      <c r="W782" s="201" t="n"/>
      <c r="X782" s="201" t="n"/>
      <c r="Y782" s="201" t="n"/>
      <c r="Z782" s="201" t="n"/>
      <c r="AA782" s="201" t="n"/>
      <c r="AB782" s="201" t="n"/>
      <c r="AC782" s="201" t="n"/>
      <c r="AD782" s="201" t="n"/>
      <c r="AE782" s="201" t="n"/>
      <c r="AF782" s="201" t="n"/>
      <c r="AG782" s="201" t="n"/>
    </row>
    <row r="783" ht="12.75" customHeight="1" s="202">
      <c r="A783" s="201" t="n"/>
      <c r="B783" s="201" t="n"/>
      <c r="C783" s="201" t="n"/>
      <c r="D783" s="201" t="n"/>
      <c r="E783" s="201" t="n"/>
      <c r="F783" s="201" t="n"/>
      <c r="G783" s="201" t="n"/>
      <c r="H783" s="201" t="n"/>
      <c r="I783" s="201" t="n"/>
      <c r="J783" s="201" t="n"/>
      <c r="K783" s="201" t="n"/>
      <c r="L783" s="201" t="n"/>
      <c r="M783" s="201" t="n"/>
      <c r="N783" s="201" t="n"/>
      <c r="O783" s="201" t="n"/>
      <c r="P783" s="201" t="n"/>
      <c r="Q783" s="201" t="n"/>
      <c r="R783" s="201" t="n"/>
      <c r="S783" s="201" t="n"/>
      <c r="T783" s="201" t="n"/>
      <c r="U783" s="201" t="n"/>
      <c r="V783" s="201" t="n"/>
      <c r="W783" s="201" t="n"/>
      <c r="X783" s="201" t="n"/>
      <c r="Y783" s="201" t="n"/>
      <c r="Z783" s="201" t="n"/>
      <c r="AA783" s="201" t="n"/>
      <c r="AB783" s="201" t="n"/>
      <c r="AC783" s="201" t="n"/>
      <c r="AD783" s="201" t="n"/>
      <c r="AE783" s="201" t="n"/>
      <c r="AF783" s="201" t="n"/>
      <c r="AG783" s="201" t="n"/>
    </row>
    <row r="784" ht="12.75" customHeight="1" s="202">
      <c r="A784" s="201" t="n"/>
      <c r="B784" s="201" t="n"/>
      <c r="C784" s="201" t="n"/>
      <c r="D784" s="201" t="n"/>
      <c r="E784" s="201" t="n"/>
      <c r="F784" s="201" t="n"/>
      <c r="G784" s="201" t="n"/>
      <c r="H784" s="201" t="n"/>
      <c r="I784" s="201" t="n"/>
      <c r="J784" s="201" t="n"/>
      <c r="K784" s="201" t="n"/>
      <c r="L784" s="201" t="n"/>
      <c r="M784" s="201" t="n"/>
      <c r="N784" s="201" t="n"/>
      <c r="O784" s="201" t="n"/>
      <c r="P784" s="201" t="n"/>
      <c r="Q784" s="201" t="n"/>
      <c r="R784" s="201" t="n"/>
      <c r="S784" s="201" t="n"/>
      <c r="T784" s="201" t="n"/>
      <c r="U784" s="201" t="n"/>
      <c r="V784" s="201" t="n"/>
      <c r="W784" s="201" t="n"/>
      <c r="X784" s="201" t="n"/>
      <c r="Y784" s="201" t="n"/>
      <c r="Z784" s="201" t="n"/>
      <c r="AA784" s="201" t="n"/>
      <c r="AB784" s="201" t="n"/>
      <c r="AC784" s="201" t="n"/>
      <c r="AD784" s="201" t="n"/>
      <c r="AE784" s="201" t="n"/>
      <c r="AF784" s="201" t="n"/>
      <c r="AG784" s="201" t="n"/>
    </row>
    <row r="785" ht="12.75" customHeight="1" s="202">
      <c r="A785" s="201" t="n"/>
      <c r="B785" s="201" t="n"/>
      <c r="C785" s="201" t="n"/>
      <c r="D785" s="201" t="n"/>
      <c r="E785" s="201" t="n"/>
      <c r="F785" s="201" t="n"/>
      <c r="G785" s="201" t="n"/>
      <c r="H785" s="201" t="n"/>
      <c r="I785" s="201" t="n"/>
      <c r="J785" s="201" t="n"/>
      <c r="K785" s="201" t="n"/>
      <c r="L785" s="201" t="n"/>
      <c r="M785" s="201" t="n"/>
      <c r="N785" s="201" t="n"/>
      <c r="O785" s="201" t="n"/>
      <c r="P785" s="201" t="n"/>
      <c r="Q785" s="201" t="n"/>
      <c r="R785" s="201" t="n"/>
      <c r="S785" s="201" t="n"/>
      <c r="T785" s="201" t="n"/>
      <c r="U785" s="201" t="n"/>
      <c r="V785" s="201" t="n"/>
      <c r="W785" s="201" t="n"/>
      <c r="X785" s="201" t="n"/>
      <c r="Y785" s="201" t="n"/>
      <c r="Z785" s="201" t="n"/>
      <c r="AA785" s="201" t="n"/>
      <c r="AB785" s="201" t="n"/>
      <c r="AC785" s="201" t="n"/>
      <c r="AD785" s="201" t="n"/>
      <c r="AE785" s="201" t="n"/>
      <c r="AF785" s="201" t="n"/>
      <c r="AG785" s="201" t="n"/>
    </row>
    <row r="786" ht="12.75" customHeight="1" s="202">
      <c r="A786" s="201" t="n"/>
      <c r="B786" s="201" t="n"/>
      <c r="C786" s="201" t="n"/>
      <c r="D786" s="201" t="n"/>
      <c r="E786" s="201" t="n"/>
      <c r="F786" s="201" t="n"/>
      <c r="G786" s="201" t="n"/>
      <c r="H786" s="201" t="n"/>
      <c r="I786" s="201" t="n"/>
      <c r="J786" s="201" t="n"/>
      <c r="K786" s="201" t="n"/>
      <c r="L786" s="201" t="n"/>
      <c r="M786" s="201" t="n"/>
      <c r="N786" s="201" t="n"/>
      <c r="O786" s="201" t="n"/>
      <c r="P786" s="201" t="n"/>
      <c r="Q786" s="201" t="n"/>
      <c r="R786" s="201" t="n"/>
      <c r="S786" s="201" t="n"/>
      <c r="T786" s="201" t="n"/>
      <c r="U786" s="201" t="n"/>
      <c r="V786" s="201" t="n"/>
      <c r="W786" s="201" t="n"/>
      <c r="X786" s="201" t="n"/>
      <c r="Y786" s="201" t="n"/>
      <c r="Z786" s="201" t="n"/>
      <c r="AA786" s="201" t="n"/>
      <c r="AB786" s="201" t="n"/>
      <c r="AC786" s="201" t="n"/>
      <c r="AD786" s="201" t="n"/>
      <c r="AE786" s="201" t="n"/>
      <c r="AF786" s="201" t="n"/>
      <c r="AG786" s="201" t="n"/>
    </row>
    <row r="787" ht="12.75" customHeight="1" s="202">
      <c r="A787" s="201" t="n"/>
      <c r="B787" s="201" t="n"/>
      <c r="C787" s="201" t="n"/>
      <c r="D787" s="201" t="n"/>
      <c r="E787" s="201" t="n"/>
      <c r="F787" s="201" t="n"/>
      <c r="G787" s="201" t="n"/>
      <c r="H787" s="201" t="n"/>
      <c r="I787" s="201" t="n"/>
      <c r="J787" s="201" t="n"/>
      <c r="K787" s="201" t="n"/>
      <c r="L787" s="201" t="n"/>
      <c r="M787" s="201" t="n"/>
      <c r="N787" s="201" t="n"/>
      <c r="O787" s="201" t="n"/>
      <c r="P787" s="201" t="n"/>
      <c r="Q787" s="201" t="n"/>
      <c r="R787" s="201" t="n"/>
      <c r="S787" s="201" t="n"/>
      <c r="T787" s="201" t="n"/>
      <c r="U787" s="201" t="n"/>
      <c r="V787" s="201" t="n"/>
      <c r="W787" s="201" t="n"/>
      <c r="X787" s="201" t="n"/>
      <c r="Y787" s="201" t="n"/>
      <c r="Z787" s="201" t="n"/>
      <c r="AA787" s="201" t="n"/>
      <c r="AB787" s="201" t="n"/>
      <c r="AC787" s="201" t="n"/>
      <c r="AD787" s="201" t="n"/>
      <c r="AE787" s="201" t="n"/>
      <c r="AF787" s="201" t="n"/>
      <c r="AG787" s="201" t="n"/>
    </row>
    <row r="788" ht="12.75" customHeight="1" s="202">
      <c r="A788" s="201" t="n"/>
      <c r="B788" s="201" t="n"/>
      <c r="C788" s="201" t="n"/>
      <c r="D788" s="201" t="n"/>
      <c r="E788" s="201" t="n"/>
      <c r="F788" s="201" t="n"/>
      <c r="G788" s="201" t="n"/>
      <c r="H788" s="201" t="n"/>
      <c r="I788" s="201" t="n"/>
      <c r="J788" s="201" t="n"/>
      <c r="K788" s="201" t="n"/>
      <c r="L788" s="201" t="n"/>
      <c r="M788" s="201" t="n"/>
      <c r="N788" s="201" t="n"/>
      <c r="O788" s="201" t="n"/>
      <c r="P788" s="201" t="n"/>
      <c r="Q788" s="201" t="n"/>
      <c r="R788" s="201" t="n"/>
      <c r="S788" s="201" t="n"/>
      <c r="T788" s="201" t="n"/>
      <c r="U788" s="201" t="n"/>
      <c r="V788" s="201" t="n"/>
      <c r="W788" s="201" t="n"/>
      <c r="X788" s="201" t="n"/>
      <c r="Y788" s="201" t="n"/>
      <c r="Z788" s="201" t="n"/>
      <c r="AA788" s="201" t="n"/>
      <c r="AB788" s="201" t="n"/>
      <c r="AC788" s="201" t="n"/>
      <c r="AD788" s="201" t="n"/>
      <c r="AE788" s="201" t="n"/>
      <c r="AF788" s="201" t="n"/>
      <c r="AG788" s="201" t="n"/>
    </row>
    <row r="789" ht="12.75" customHeight="1" s="202">
      <c r="A789" s="201" t="n"/>
      <c r="B789" s="201" t="n"/>
      <c r="C789" s="201" t="n"/>
      <c r="D789" s="201" t="n"/>
      <c r="E789" s="201" t="n"/>
      <c r="F789" s="201" t="n"/>
      <c r="G789" s="201" t="n"/>
      <c r="H789" s="201" t="n"/>
      <c r="I789" s="201" t="n"/>
      <c r="J789" s="201" t="n"/>
      <c r="K789" s="201" t="n"/>
      <c r="L789" s="201" t="n"/>
      <c r="M789" s="201" t="n"/>
      <c r="N789" s="201" t="n"/>
      <c r="O789" s="201" t="n"/>
      <c r="P789" s="201" t="n"/>
      <c r="Q789" s="201" t="n"/>
      <c r="R789" s="201" t="n"/>
      <c r="S789" s="201" t="n"/>
      <c r="T789" s="201" t="n"/>
      <c r="U789" s="201" t="n"/>
      <c r="V789" s="201" t="n"/>
      <c r="W789" s="201" t="n"/>
      <c r="X789" s="201" t="n"/>
      <c r="Y789" s="201" t="n"/>
      <c r="Z789" s="201" t="n"/>
      <c r="AA789" s="201" t="n"/>
      <c r="AB789" s="201" t="n"/>
      <c r="AC789" s="201" t="n"/>
      <c r="AD789" s="201" t="n"/>
      <c r="AE789" s="201" t="n"/>
      <c r="AF789" s="201" t="n"/>
      <c r="AG789" s="201" t="n"/>
    </row>
    <row r="790" ht="12.75" customHeight="1" s="202">
      <c r="A790" s="201" t="n"/>
      <c r="B790" s="201" t="n"/>
      <c r="C790" s="201" t="n"/>
      <c r="D790" s="201" t="n"/>
      <c r="E790" s="201" t="n"/>
      <c r="F790" s="201" t="n"/>
      <c r="G790" s="201" t="n"/>
      <c r="H790" s="201" t="n"/>
      <c r="I790" s="201" t="n"/>
      <c r="J790" s="201" t="n"/>
      <c r="K790" s="201" t="n"/>
      <c r="L790" s="201" t="n"/>
      <c r="M790" s="201" t="n"/>
      <c r="N790" s="201" t="n"/>
      <c r="O790" s="201" t="n"/>
      <c r="P790" s="201" t="n"/>
      <c r="Q790" s="201" t="n"/>
      <c r="R790" s="201" t="n"/>
      <c r="S790" s="201" t="n"/>
      <c r="T790" s="201" t="n"/>
      <c r="U790" s="201" t="n"/>
      <c r="V790" s="201" t="n"/>
      <c r="W790" s="201" t="n"/>
      <c r="X790" s="201" t="n"/>
      <c r="Y790" s="201" t="n"/>
      <c r="Z790" s="201" t="n"/>
      <c r="AA790" s="201" t="n"/>
      <c r="AB790" s="201" t="n"/>
      <c r="AC790" s="201" t="n"/>
      <c r="AD790" s="201" t="n"/>
      <c r="AE790" s="201" t="n"/>
      <c r="AF790" s="201" t="n"/>
      <c r="AG790" s="201" t="n"/>
    </row>
    <row r="791" ht="12.75" customHeight="1" s="202">
      <c r="A791" s="201" t="n"/>
      <c r="B791" s="201" t="n"/>
      <c r="C791" s="201" t="n"/>
      <c r="D791" s="201" t="n"/>
      <c r="E791" s="201" t="n"/>
      <c r="F791" s="201" t="n"/>
      <c r="G791" s="201" t="n"/>
      <c r="H791" s="201" t="n"/>
      <c r="I791" s="201" t="n"/>
      <c r="J791" s="201" t="n"/>
      <c r="K791" s="201" t="n"/>
      <c r="L791" s="201" t="n"/>
      <c r="M791" s="201" t="n"/>
      <c r="N791" s="201" t="n"/>
      <c r="O791" s="201" t="n"/>
      <c r="P791" s="201" t="n"/>
      <c r="Q791" s="201" t="n"/>
      <c r="R791" s="201" t="n"/>
      <c r="S791" s="201" t="n"/>
      <c r="T791" s="201" t="n"/>
      <c r="U791" s="201" t="n"/>
      <c r="V791" s="201" t="n"/>
      <c r="W791" s="201" t="n"/>
      <c r="X791" s="201" t="n"/>
      <c r="Y791" s="201" t="n"/>
      <c r="Z791" s="201" t="n"/>
      <c r="AA791" s="201" t="n"/>
      <c r="AB791" s="201" t="n"/>
      <c r="AC791" s="201" t="n"/>
      <c r="AD791" s="201" t="n"/>
      <c r="AE791" s="201" t="n"/>
      <c r="AF791" s="201" t="n"/>
      <c r="AG791" s="201" t="n"/>
    </row>
    <row r="792" ht="12.75" customHeight="1" s="202">
      <c r="A792" s="201" t="n"/>
      <c r="B792" s="201" t="n"/>
      <c r="C792" s="201" t="n"/>
      <c r="D792" s="201" t="n"/>
      <c r="E792" s="201" t="n"/>
      <c r="F792" s="201" t="n"/>
      <c r="G792" s="201" t="n"/>
      <c r="H792" s="201" t="n"/>
      <c r="I792" s="201" t="n"/>
      <c r="J792" s="201" t="n"/>
      <c r="K792" s="201" t="n"/>
      <c r="L792" s="201" t="n"/>
      <c r="M792" s="201" t="n"/>
      <c r="N792" s="201" t="n"/>
      <c r="O792" s="201" t="n"/>
      <c r="P792" s="201" t="n"/>
      <c r="Q792" s="201" t="n"/>
      <c r="R792" s="201" t="n"/>
      <c r="S792" s="201" t="n"/>
      <c r="T792" s="201" t="n"/>
      <c r="U792" s="201" t="n"/>
      <c r="V792" s="201" t="n"/>
      <c r="W792" s="201" t="n"/>
      <c r="X792" s="201" t="n"/>
      <c r="Y792" s="201" t="n"/>
      <c r="Z792" s="201" t="n"/>
      <c r="AA792" s="201" t="n"/>
      <c r="AB792" s="201" t="n"/>
      <c r="AC792" s="201" t="n"/>
      <c r="AD792" s="201" t="n"/>
      <c r="AE792" s="201" t="n"/>
      <c r="AF792" s="201" t="n"/>
      <c r="AG792" s="201" t="n"/>
    </row>
    <row r="793" ht="12.75" customHeight="1" s="202">
      <c r="A793" s="201" t="n"/>
      <c r="B793" s="201" t="n"/>
      <c r="C793" s="201" t="n"/>
      <c r="D793" s="201" t="n"/>
      <c r="E793" s="201" t="n"/>
      <c r="F793" s="201" t="n"/>
      <c r="G793" s="201" t="n"/>
      <c r="H793" s="201" t="n"/>
      <c r="I793" s="201" t="n"/>
      <c r="J793" s="201" t="n"/>
      <c r="K793" s="201" t="n"/>
      <c r="L793" s="201" t="n"/>
      <c r="M793" s="201" t="n"/>
      <c r="N793" s="201" t="n"/>
      <c r="O793" s="201" t="n"/>
      <c r="P793" s="201" t="n"/>
      <c r="Q793" s="201" t="n"/>
      <c r="R793" s="201" t="n"/>
      <c r="S793" s="201" t="n"/>
      <c r="T793" s="201" t="n"/>
      <c r="U793" s="201" t="n"/>
      <c r="V793" s="201" t="n"/>
      <c r="W793" s="201" t="n"/>
      <c r="X793" s="201" t="n"/>
      <c r="Y793" s="201" t="n"/>
      <c r="Z793" s="201" t="n"/>
      <c r="AA793" s="201" t="n"/>
      <c r="AB793" s="201" t="n"/>
      <c r="AC793" s="201" t="n"/>
      <c r="AD793" s="201" t="n"/>
      <c r="AE793" s="201" t="n"/>
      <c r="AF793" s="201" t="n"/>
      <c r="AG793" s="201" t="n"/>
    </row>
    <row r="794" ht="12.75" customHeight="1" s="202">
      <c r="A794" s="201" t="n"/>
      <c r="B794" s="201" t="n"/>
      <c r="C794" s="201" t="n"/>
      <c r="D794" s="201" t="n"/>
      <c r="E794" s="201" t="n"/>
      <c r="F794" s="201" t="n"/>
      <c r="G794" s="201" t="n"/>
      <c r="H794" s="201" t="n"/>
      <c r="I794" s="201" t="n"/>
      <c r="J794" s="201" t="n"/>
      <c r="K794" s="201" t="n"/>
      <c r="L794" s="201" t="n"/>
      <c r="M794" s="201" t="n"/>
      <c r="N794" s="201" t="n"/>
      <c r="O794" s="201" t="n"/>
      <c r="P794" s="201" t="n"/>
      <c r="Q794" s="201" t="n"/>
      <c r="R794" s="201" t="n"/>
      <c r="S794" s="201" t="n"/>
      <c r="T794" s="201" t="n"/>
      <c r="U794" s="201" t="n"/>
      <c r="V794" s="201" t="n"/>
      <c r="W794" s="201" t="n"/>
      <c r="X794" s="201" t="n"/>
      <c r="Y794" s="201" t="n"/>
      <c r="Z794" s="201" t="n"/>
      <c r="AA794" s="201" t="n"/>
      <c r="AB794" s="201" t="n"/>
      <c r="AC794" s="201" t="n"/>
      <c r="AD794" s="201" t="n"/>
      <c r="AE794" s="201" t="n"/>
      <c r="AF794" s="201" t="n"/>
      <c r="AG794" s="201" t="n"/>
    </row>
    <row r="795" ht="12.75" customHeight="1" s="202">
      <c r="A795" s="201" t="n"/>
      <c r="B795" s="201" t="n"/>
      <c r="C795" s="201" t="n"/>
      <c r="D795" s="201" t="n"/>
      <c r="E795" s="201" t="n"/>
      <c r="F795" s="201" t="n"/>
      <c r="G795" s="201" t="n"/>
      <c r="H795" s="201" t="n"/>
      <c r="I795" s="201" t="n"/>
      <c r="J795" s="201" t="n"/>
      <c r="K795" s="201" t="n"/>
      <c r="L795" s="201" t="n"/>
      <c r="M795" s="201" t="n"/>
      <c r="N795" s="201" t="n"/>
      <c r="O795" s="201" t="n"/>
      <c r="P795" s="201" t="n"/>
      <c r="Q795" s="201" t="n"/>
      <c r="R795" s="201" t="n"/>
      <c r="S795" s="201" t="n"/>
      <c r="T795" s="201" t="n"/>
      <c r="U795" s="201" t="n"/>
      <c r="V795" s="201" t="n"/>
      <c r="W795" s="201" t="n"/>
      <c r="X795" s="201" t="n"/>
      <c r="Y795" s="201" t="n"/>
      <c r="Z795" s="201" t="n"/>
      <c r="AA795" s="201" t="n"/>
      <c r="AB795" s="201" t="n"/>
      <c r="AC795" s="201" t="n"/>
      <c r="AD795" s="201" t="n"/>
      <c r="AE795" s="201" t="n"/>
      <c r="AF795" s="201" t="n"/>
      <c r="AG795" s="201" t="n"/>
    </row>
    <row r="796" ht="12.75" customHeight="1" s="202">
      <c r="A796" s="201" t="n"/>
      <c r="B796" s="201" t="n"/>
      <c r="C796" s="201" t="n"/>
      <c r="D796" s="201" t="n"/>
      <c r="E796" s="201" t="n"/>
      <c r="F796" s="201" t="n"/>
      <c r="G796" s="201" t="n"/>
      <c r="H796" s="201" t="n"/>
      <c r="I796" s="201" t="n"/>
      <c r="J796" s="201" t="n"/>
      <c r="K796" s="201" t="n"/>
      <c r="L796" s="201" t="n"/>
      <c r="M796" s="201" t="n"/>
      <c r="N796" s="201" t="n"/>
      <c r="O796" s="201" t="n"/>
      <c r="P796" s="201" t="n"/>
      <c r="Q796" s="201" t="n"/>
      <c r="R796" s="201" t="n"/>
      <c r="S796" s="201" t="n"/>
      <c r="T796" s="201" t="n"/>
      <c r="U796" s="201" t="n"/>
      <c r="V796" s="201" t="n"/>
      <c r="W796" s="201" t="n"/>
      <c r="X796" s="201" t="n"/>
      <c r="Y796" s="201" t="n"/>
      <c r="Z796" s="201" t="n"/>
      <c r="AA796" s="201" t="n"/>
      <c r="AB796" s="201" t="n"/>
      <c r="AC796" s="201" t="n"/>
      <c r="AD796" s="201" t="n"/>
      <c r="AE796" s="201" t="n"/>
      <c r="AF796" s="201" t="n"/>
      <c r="AG796" s="201" t="n"/>
    </row>
    <row r="797" ht="12.75" customHeight="1" s="202">
      <c r="A797" s="201" t="n"/>
      <c r="B797" s="201" t="n"/>
      <c r="C797" s="201" t="n"/>
      <c r="D797" s="201" t="n"/>
      <c r="E797" s="201" t="n"/>
      <c r="F797" s="201" t="n"/>
      <c r="G797" s="201" t="n"/>
      <c r="H797" s="201" t="n"/>
      <c r="I797" s="201" t="n"/>
      <c r="J797" s="201" t="n"/>
      <c r="K797" s="201" t="n"/>
      <c r="L797" s="201" t="n"/>
      <c r="M797" s="201" t="n"/>
      <c r="N797" s="201" t="n"/>
      <c r="O797" s="201" t="n"/>
      <c r="P797" s="201" t="n"/>
      <c r="Q797" s="201" t="n"/>
      <c r="R797" s="201" t="n"/>
      <c r="S797" s="201" t="n"/>
      <c r="T797" s="201" t="n"/>
      <c r="U797" s="201" t="n"/>
      <c r="V797" s="201" t="n"/>
      <c r="W797" s="201" t="n"/>
      <c r="X797" s="201" t="n"/>
      <c r="Y797" s="201" t="n"/>
      <c r="Z797" s="201" t="n"/>
      <c r="AA797" s="201" t="n"/>
      <c r="AB797" s="201" t="n"/>
      <c r="AC797" s="201" t="n"/>
      <c r="AD797" s="201" t="n"/>
      <c r="AE797" s="201" t="n"/>
      <c r="AF797" s="201" t="n"/>
      <c r="AG797" s="201" t="n"/>
    </row>
    <row r="798" ht="12.75" customHeight="1" s="202">
      <c r="A798" s="201" t="n"/>
      <c r="B798" s="201" t="n"/>
      <c r="C798" s="201" t="n"/>
      <c r="D798" s="201" t="n"/>
      <c r="E798" s="201" t="n"/>
      <c r="F798" s="201" t="n"/>
      <c r="G798" s="201" t="n"/>
      <c r="H798" s="201" t="n"/>
      <c r="I798" s="201" t="n"/>
      <c r="J798" s="201" t="n"/>
      <c r="K798" s="201" t="n"/>
      <c r="L798" s="201" t="n"/>
      <c r="M798" s="201" t="n"/>
      <c r="N798" s="201" t="n"/>
      <c r="O798" s="201" t="n"/>
      <c r="P798" s="201" t="n"/>
      <c r="Q798" s="201" t="n"/>
      <c r="R798" s="201" t="n"/>
      <c r="S798" s="201" t="n"/>
      <c r="T798" s="201" t="n"/>
      <c r="U798" s="201" t="n"/>
      <c r="V798" s="201" t="n"/>
      <c r="W798" s="201" t="n"/>
      <c r="X798" s="201" t="n"/>
      <c r="Y798" s="201" t="n"/>
      <c r="Z798" s="201" t="n"/>
      <c r="AA798" s="201" t="n"/>
      <c r="AB798" s="201" t="n"/>
      <c r="AC798" s="201" t="n"/>
      <c r="AD798" s="201" t="n"/>
      <c r="AE798" s="201" t="n"/>
      <c r="AF798" s="201" t="n"/>
      <c r="AG798" s="201" t="n"/>
    </row>
    <row r="799" ht="12.75" customHeight="1" s="202">
      <c r="A799" s="201" t="n"/>
      <c r="B799" s="201" t="n"/>
      <c r="C799" s="201" t="n"/>
      <c r="D799" s="201" t="n"/>
      <c r="E799" s="201" t="n"/>
      <c r="F799" s="201" t="n"/>
      <c r="G799" s="201" t="n"/>
      <c r="H799" s="201" t="n"/>
      <c r="I799" s="201" t="n"/>
      <c r="J799" s="201" t="n"/>
      <c r="K799" s="201" t="n"/>
      <c r="L799" s="201" t="n"/>
      <c r="M799" s="201" t="n"/>
      <c r="N799" s="201" t="n"/>
      <c r="O799" s="201" t="n"/>
      <c r="P799" s="201" t="n"/>
      <c r="Q799" s="201" t="n"/>
      <c r="R799" s="201" t="n"/>
      <c r="S799" s="201" t="n"/>
      <c r="T799" s="201" t="n"/>
      <c r="U799" s="201" t="n"/>
      <c r="V799" s="201" t="n"/>
      <c r="W799" s="201" t="n"/>
      <c r="X799" s="201" t="n"/>
      <c r="Y799" s="201" t="n"/>
      <c r="Z799" s="201" t="n"/>
      <c r="AA799" s="201" t="n"/>
      <c r="AB799" s="201" t="n"/>
      <c r="AC799" s="201" t="n"/>
      <c r="AD799" s="201" t="n"/>
      <c r="AE799" s="201" t="n"/>
      <c r="AF799" s="201" t="n"/>
      <c r="AG799" s="201" t="n"/>
    </row>
    <row r="800" ht="12.75" customHeight="1" s="202">
      <c r="A800" s="201" t="n"/>
      <c r="B800" s="201" t="n"/>
      <c r="C800" s="201" t="n"/>
      <c r="D800" s="201" t="n"/>
      <c r="E800" s="201" t="n"/>
      <c r="F800" s="201" t="n"/>
      <c r="G800" s="201" t="n"/>
      <c r="H800" s="201" t="n"/>
      <c r="I800" s="201" t="n"/>
      <c r="J800" s="201" t="n"/>
      <c r="K800" s="201" t="n"/>
      <c r="L800" s="201" t="n"/>
      <c r="M800" s="201" t="n"/>
      <c r="N800" s="201" t="n"/>
      <c r="O800" s="201" t="n"/>
      <c r="P800" s="201" t="n"/>
      <c r="Q800" s="201" t="n"/>
      <c r="R800" s="201" t="n"/>
      <c r="S800" s="201" t="n"/>
      <c r="T800" s="201" t="n"/>
      <c r="U800" s="201" t="n"/>
      <c r="V800" s="201" t="n"/>
      <c r="W800" s="201" t="n"/>
      <c r="X800" s="201" t="n"/>
      <c r="Y800" s="201" t="n"/>
      <c r="Z800" s="201" t="n"/>
      <c r="AA800" s="201" t="n"/>
      <c r="AB800" s="201" t="n"/>
      <c r="AC800" s="201" t="n"/>
      <c r="AD800" s="201" t="n"/>
      <c r="AE800" s="201" t="n"/>
      <c r="AF800" s="201" t="n"/>
      <c r="AG800" s="201" t="n"/>
    </row>
    <row r="801" ht="12.75" customHeight="1" s="202">
      <c r="A801" s="201" t="n"/>
      <c r="B801" s="201" t="n"/>
      <c r="C801" s="201" t="n"/>
      <c r="D801" s="201" t="n"/>
      <c r="E801" s="201" t="n"/>
      <c r="F801" s="201" t="n"/>
      <c r="G801" s="201" t="n"/>
      <c r="H801" s="201" t="n"/>
      <c r="I801" s="201" t="n"/>
      <c r="J801" s="201" t="n"/>
      <c r="K801" s="201" t="n"/>
      <c r="L801" s="201" t="n"/>
      <c r="M801" s="201" t="n"/>
      <c r="N801" s="201" t="n"/>
      <c r="O801" s="201" t="n"/>
      <c r="P801" s="201" t="n"/>
      <c r="Q801" s="201" t="n"/>
      <c r="R801" s="201" t="n"/>
      <c r="S801" s="201" t="n"/>
      <c r="T801" s="201" t="n"/>
      <c r="U801" s="201" t="n"/>
      <c r="V801" s="201" t="n"/>
      <c r="W801" s="201" t="n"/>
      <c r="X801" s="201" t="n"/>
      <c r="Y801" s="201" t="n"/>
      <c r="Z801" s="201" t="n"/>
      <c r="AA801" s="201" t="n"/>
      <c r="AB801" s="201" t="n"/>
      <c r="AC801" s="201" t="n"/>
      <c r="AD801" s="201" t="n"/>
      <c r="AE801" s="201" t="n"/>
      <c r="AF801" s="201" t="n"/>
      <c r="AG801" s="201" t="n"/>
    </row>
    <row r="802" ht="12.75" customHeight="1" s="202">
      <c r="A802" s="201" t="n"/>
      <c r="B802" s="201" t="n"/>
      <c r="C802" s="201" t="n"/>
      <c r="D802" s="201" t="n"/>
      <c r="E802" s="201" t="n"/>
      <c r="F802" s="201" t="n"/>
      <c r="G802" s="201" t="n"/>
      <c r="H802" s="201" t="n"/>
      <c r="I802" s="201" t="n"/>
      <c r="J802" s="201" t="n"/>
      <c r="K802" s="201" t="n"/>
      <c r="L802" s="201" t="n"/>
      <c r="M802" s="201" t="n"/>
      <c r="N802" s="201" t="n"/>
      <c r="O802" s="201" t="n"/>
      <c r="P802" s="201" t="n"/>
      <c r="Q802" s="201" t="n"/>
      <c r="R802" s="201" t="n"/>
      <c r="S802" s="201" t="n"/>
      <c r="T802" s="201" t="n"/>
      <c r="U802" s="201" t="n"/>
      <c r="V802" s="201" t="n"/>
      <c r="W802" s="201" t="n"/>
      <c r="X802" s="201" t="n"/>
      <c r="Y802" s="201" t="n"/>
      <c r="Z802" s="201" t="n"/>
      <c r="AA802" s="201" t="n"/>
      <c r="AB802" s="201" t="n"/>
      <c r="AC802" s="201" t="n"/>
      <c r="AD802" s="201" t="n"/>
      <c r="AE802" s="201" t="n"/>
      <c r="AF802" s="201" t="n"/>
      <c r="AG802" s="201" t="n"/>
    </row>
    <row r="803" ht="12.75" customHeight="1" s="202">
      <c r="A803" s="201" t="n"/>
      <c r="B803" s="201" t="n"/>
      <c r="C803" s="201" t="n"/>
      <c r="D803" s="201" t="n"/>
      <c r="E803" s="201" t="n"/>
      <c r="F803" s="201" t="n"/>
      <c r="G803" s="201" t="n"/>
      <c r="H803" s="201" t="n"/>
      <c r="I803" s="201" t="n"/>
      <c r="J803" s="201" t="n"/>
      <c r="K803" s="201" t="n"/>
      <c r="L803" s="201" t="n"/>
      <c r="M803" s="201" t="n"/>
      <c r="N803" s="201" t="n"/>
      <c r="O803" s="201" t="n"/>
      <c r="P803" s="201" t="n"/>
      <c r="Q803" s="201" t="n"/>
      <c r="R803" s="201" t="n"/>
      <c r="S803" s="201" t="n"/>
      <c r="T803" s="201" t="n"/>
      <c r="U803" s="201" t="n"/>
      <c r="V803" s="201" t="n"/>
      <c r="W803" s="201" t="n"/>
      <c r="X803" s="201" t="n"/>
      <c r="Y803" s="201" t="n"/>
      <c r="Z803" s="201" t="n"/>
      <c r="AA803" s="201" t="n"/>
      <c r="AB803" s="201" t="n"/>
      <c r="AC803" s="201" t="n"/>
      <c r="AD803" s="201" t="n"/>
      <c r="AE803" s="201" t="n"/>
      <c r="AF803" s="201" t="n"/>
      <c r="AG803" s="201" t="n"/>
    </row>
    <row r="804" ht="12.75" customHeight="1" s="202">
      <c r="A804" s="201" t="n"/>
      <c r="B804" s="201" t="n"/>
      <c r="C804" s="201" t="n"/>
      <c r="D804" s="201" t="n"/>
      <c r="E804" s="201" t="n"/>
      <c r="F804" s="201" t="n"/>
      <c r="G804" s="201" t="n"/>
      <c r="H804" s="201" t="n"/>
      <c r="I804" s="201" t="n"/>
      <c r="J804" s="201" t="n"/>
      <c r="K804" s="201" t="n"/>
      <c r="L804" s="201" t="n"/>
      <c r="M804" s="201" t="n"/>
      <c r="N804" s="201" t="n"/>
      <c r="O804" s="201" t="n"/>
      <c r="P804" s="201" t="n"/>
      <c r="Q804" s="201" t="n"/>
      <c r="R804" s="201" t="n"/>
      <c r="S804" s="201" t="n"/>
      <c r="T804" s="201" t="n"/>
      <c r="U804" s="201" t="n"/>
      <c r="V804" s="201" t="n"/>
      <c r="W804" s="201" t="n"/>
      <c r="X804" s="201" t="n"/>
      <c r="Y804" s="201" t="n"/>
      <c r="Z804" s="201" t="n"/>
      <c r="AA804" s="201" t="n"/>
      <c r="AB804" s="201" t="n"/>
      <c r="AC804" s="201" t="n"/>
      <c r="AD804" s="201" t="n"/>
      <c r="AE804" s="201" t="n"/>
      <c r="AF804" s="201" t="n"/>
      <c r="AG804" s="201" t="n"/>
    </row>
    <row r="805" ht="12.75" customHeight="1" s="202">
      <c r="A805" s="201" t="n"/>
      <c r="B805" s="201" t="n"/>
      <c r="C805" s="201" t="n"/>
      <c r="D805" s="201" t="n"/>
      <c r="E805" s="201" t="n"/>
      <c r="F805" s="201" t="n"/>
      <c r="G805" s="201" t="n"/>
      <c r="H805" s="201" t="n"/>
      <c r="I805" s="201" t="n"/>
      <c r="J805" s="201" t="n"/>
      <c r="K805" s="201" t="n"/>
      <c r="L805" s="201" t="n"/>
      <c r="M805" s="201" t="n"/>
      <c r="N805" s="201" t="n"/>
      <c r="O805" s="201" t="n"/>
      <c r="P805" s="201" t="n"/>
      <c r="Q805" s="201" t="n"/>
      <c r="R805" s="201" t="n"/>
      <c r="S805" s="201" t="n"/>
      <c r="T805" s="201" t="n"/>
      <c r="U805" s="201" t="n"/>
      <c r="V805" s="201" t="n"/>
      <c r="W805" s="201" t="n"/>
      <c r="X805" s="201" t="n"/>
      <c r="Y805" s="201" t="n"/>
      <c r="Z805" s="201" t="n"/>
      <c r="AA805" s="201" t="n"/>
      <c r="AB805" s="201" t="n"/>
      <c r="AC805" s="201" t="n"/>
      <c r="AD805" s="201" t="n"/>
      <c r="AE805" s="201" t="n"/>
      <c r="AF805" s="201" t="n"/>
      <c r="AG805" s="201" t="n"/>
    </row>
    <row r="806" ht="12.75" customHeight="1" s="202">
      <c r="A806" s="201" t="n"/>
      <c r="B806" s="201" t="n"/>
      <c r="C806" s="201" t="n"/>
      <c r="D806" s="201" t="n"/>
      <c r="E806" s="201" t="n"/>
      <c r="F806" s="201" t="n"/>
      <c r="G806" s="201" t="n"/>
      <c r="H806" s="201" t="n"/>
      <c r="I806" s="201" t="n"/>
      <c r="J806" s="201" t="n"/>
      <c r="K806" s="201" t="n"/>
      <c r="L806" s="201" t="n"/>
      <c r="M806" s="201" t="n"/>
      <c r="N806" s="201" t="n"/>
      <c r="O806" s="201" t="n"/>
      <c r="P806" s="201" t="n"/>
      <c r="Q806" s="201" t="n"/>
      <c r="R806" s="201" t="n"/>
      <c r="S806" s="201" t="n"/>
      <c r="T806" s="201" t="n"/>
      <c r="U806" s="201" t="n"/>
      <c r="V806" s="201" t="n"/>
      <c r="W806" s="201" t="n"/>
      <c r="X806" s="201" t="n"/>
      <c r="Y806" s="201" t="n"/>
      <c r="Z806" s="201" t="n"/>
      <c r="AA806" s="201" t="n"/>
      <c r="AB806" s="201" t="n"/>
      <c r="AC806" s="201" t="n"/>
      <c r="AD806" s="201" t="n"/>
      <c r="AE806" s="201" t="n"/>
      <c r="AF806" s="201" t="n"/>
      <c r="AG806" s="201" t="n"/>
    </row>
    <row r="807" ht="12.75" customHeight="1" s="202">
      <c r="A807" s="201" t="n"/>
      <c r="B807" s="201" t="n"/>
      <c r="C807" s="201" t="n"/>
      <c r="D807" s="201" t="n"/>
      <c r="E807" s="201" t="n"/>
      <c r="F807" s="201" t="n"/>
      <c r="G807" s="201" t="n"/>
      <c r="H807" s="201" t="n"/>
      <c r="I807" s="201" t="n"/>
      <c r="J807" s="201" t="n"/>
      <c r="K807" s="201" t="n"/>
      <c r="L807" s="201" t="n"/>
      <c r="M807" s="201" t="n"/>
      <c r="N807" s="201" t="n"/>
      <c r="O807" s="201" t="n"/>
      <c r="P807" s="201" t="n"/>
      <c r="Q807" s="201" t="n"/>
      <c r="R807" s="201" t="n"/>
      <c r="S807" s="201" t="n"/>
      <c r="T807" s="201" t="n"/>
      <c r="U807" s="201" t="n"/>
      <c r="V807" s="201" t="n"/>
      <c r="W807" s="201" t="n"/>
      <c r="X807" s="201" t="n"/>
      <c r="Y807" s="201" t="n"/>
      <c r="Z807" s="201" t="n"/>
      <c r="AA807" s="201" t="n"/>
      <c r="AB807" s="201" t="n"/>
      <c r="AC807" s="201" t="n"/>
      <c r="AD807" s="201" t="n"/>
      <c r="AE807" s="201" t="n"/>
      <c r="AF807" s="201" t="n"/>
      <c r="AG807" s="201" t="n"/>
    </row>
    <row r="808" ht="12.75" customHeight="1" s="202">
      <c r="A808" s="201" t="n"/>
      <c r="B808" s="201" t="n"/>
      <c r="C808" s="201" t="n"/>
      <c r="D808" s="201" t="n"/>
      <c r="E808" s="201" t="n"/>
      <c r="F808" s="201" t="n"/>
      <c r="G808" s="201" t="n"/>
      <c r="H808" s="201" t="n"/>
      <c r="I808" s="201" t="n"/>
      <c r="J808" s="201" t="n"/>
      <c r="K808" s="201" t="n"/>
      <c r="L808" s="201" t="n"/>
      <c r="M808" s="201" t="n"/>
      <c r="N808" s="201" t="n"/>
      <c r="O808" s="201" t="n"/>
      <c r="P808" s="201" t="n"/>
      <c r="Q808" s="201" t="n"/>
      <c r="R808" s="201" t="n"/>
      <c r="S808" s="201" t="n"/>
      <c r="T808" s="201" t="n"/>
      <c r="U808" s="201" t="n"/>
      <c r="V808" s="201" t="n"/>
      <c r="W808" s="201" t="n"/>
      <c r="X808" s="201" t="n"/>
      <c r="Y808" s="201" t="n"/>
      <c r="Z808" s="201" t="n"/>
      <c r="AA808" s="201" t="n"/>
      <c r="AB808" s="201" t="n"/>
      <c r="AC808" s="201" t="n"/>
      <c r="AD808" s="201" t="n"/>
      <c r="AE808" s="201" t="n"/>
      <c r="AF808" s="201" t="n"/>
      <c r="AG808" s="201" t="n"/>
    </row>
    <row r="809" ht="12.75" customHeight="1" s="202">
      <c r="A809" s="201" t="n"/>
      <c r="B809" s="201" t="n"/>
      <c r="C809" s="201" t="n"/>
      <c r="D809" s="201" t="n"/>
      <c r="E809" s="201" t="n"/>
      <c r="F809" s="201" t="n"/>
      <c r="G809" s="201" t="n"/>
      <c r="H809" s="201" t="n"/>
      <c r="I809" s="201" t="n"/>
      <c r="J809" s="201" t="n"/>
      <c r="K809" s="201" t="n"/>
      <c r="L809" s="201" t="n"/>
      <c r="M809" s="201" t="n"/>
      <c r="N809" s="201" t="n"/>
      <c r="O809" s="201" t="n"/>
      <c r="P809" s="201" t="n"/>
      <c r="Q809" s="201" t="n"/>
      <c r="R809" s="201" t="n"/>
      <c r="S809" s="201" t="n"/>
      <c r="T809" s="201" t="n"/>
      <c r="U809" s="201" t="n"/>
      <c r="V809" s="201" t="n"/>
      <c r="W809" s="201" t="n"/>
      <c r="X809" s="201" t="n"/>
      <c r="Y809" s="201" t="n"/>
      <c r="Z809" s="201" t="n"/>
      <c r="AA809" s="201" t="n"/>
      <c r="AB809" s="201" t="n"/>
      <c r="AC809" s="201" t="n"/>
      <c r="AD809" s="201" t="n"/>
      <c r="AE809" s="201" t="n"/>
      <c r="AF809" s="201" t="n"/>
      <c r="AG809" s="201" t="n"/>
    </row>
    <row r="810" ht="12.75" customHeight="1" s="202">
      <c r="A810" s="201" t="n"/>
      <c r="B810" s="201" t="n"/>
      <c r="C810" s="201" t="n"/>
      <c r="D810" s="201" t="n"/>
      <c r="E810" s="201" t="n"/>
      <c r="F810" s="201" t="n"/>
      <c r="G810" s="201" t="n"/>
      <c r="H810" s="201" t="n"/>
      <c r="I810" s="201" t="n"/>
      <c r="J810" s="201" t="n"/>
      <c r="K810" s="201" t="n"/>
      <c r="L810" s="201" t="n"/>
      <c r="M810" s="201" t="n"/>
      <c r="N810" s="201" t="n"/>
      <c r="O810" s="201" t="n"/>
      <c r="P810" s="201" t="n"/>
      <c r="Q810" s="201" t="n"/>
      <c r="R810" s="201" t="n"/>
      <c r="S810" s="201" t="n"/>
      <c r="T810" s="201" t="n"/>
      <c r="U810" s="201" t="n"/>
      <c r="V810" s="201" t="n"/>
      <c r="W810" s="201" t="n"/>
      <c r="X810" s="201" t="n"/>
      <c r="Y810" s="201" t="n"/>
      <c r="Z810" s="201" t="n"/>
      <c r="AA810" s="201" t="n"/>
      <c r="AB810" s="201" t="n"/>
      <c r="AC810" s="201" t="n"/>
      <c r="AD810" s="201" t="n"/>
      <c r="AE810" s="201" t="n"/>
      <c r="AF810" s="201" t="n"/>
      <c r="AG810" s="201" t="n"/>
    </row>
    <row r="811" ht="12.75" customHeight="1" s="202">
      <c r="A811" s="201" t="n"/>
      <c r="B811" s="201" t="n"/>
      <c r="C811" s="201" t="n"/>
      <c r="D811" s="201" t="n"/>
      <c r="E811" s="201" t="n"/>
      <c r="F811" s="201" t="n"/>
      <c r="G811" s="201" t="n"/>
      <c r="H811" s="201" t="n"/>
      <c r="I811" s="201" t="n"/>
      <c r="J811" s="201" t="n"/>
      <c r="K811" s="201" t="n"/>
      <c r="L811" s="201" t="n"/>
      <c r="M811" s="201" t="n"/>
      <c r="N811" s="201" t="n"/>
      <c r="O811" s="201" t="n"/>
      <c r="P811" s="201" t="n"/>
      <c r="Q811" s="201" t="n"/>
      <c r="R811" s="201" t="n"/>
      <c r="S811" s="201" t="n"/>
      <c r="T811" s="201" t="n"/>
      <c r="U811" s="201" t="n"/>
      <c r="V811" s="201" t="n"/>
      <c r="W811" s="201" t="n"/>
      <c r="X811" s="201" t="n"/>
      <c r="Y811" s="201" t="n"/>
      <c r="Z811" s="201" t="n"/>
      <c r="AA811" s="201" t="n"/>
      <c r="AB811" s="201" t="n"/>
      <c r="AC811" s="201" t="n"/>
      <c r="AD811" s="201" t="n"/>
      <c r="AE811" s="201" t="n"/>
      <c r="AF811" s="201" t="n"/>
      <c r="AG811" s="201" t="n"/>
    </row>
    <row r="812" ht="12.75" customHeight="1" s="202">
      <c r="A812" s="201" t="n"/>
      <c r="B812" s="201" t="n"/>
      <c r="C812" s="201" t="n"/>
      <c r="D812" s="201" t="n"/>
      <c r="E812" s="201" t="n"/>
      <c r="F812" s="201" t="n"/>
      <c r="G812" s="201" t="n"/>
      <c r="H812" s="201" t="n"/>
      <c r="I812" s="201" t="n"/>
      <c r="J812" s="201" t="n"/>
      <c r="K812" s="201" t="n"/>
      <c r="L812" s="201" t="n"/>
      <c r="M812" s="201" t="n"/>
      <c r="N812" s="201" t="n"/>
      <c r="O812" s="201" t="n"/>
      <c r="P812" s="201" t="n"/>
      <c r="Q812" s="201" t="n"/>
      <c r="R812" s="201" t="n"/>
      <c r="S812" s="201" t="n"/>
      <c r="T812" s="201" t="n"/>
      <c r="U812" s="201" t="n"/>
      <c r="V812" s="201" t="n"/>
      <c r="W812" s="201" t="n"/>
      <c r="X812" s="201" t="n"/>
      <c r="Y812" s="201" t="n"/>
      <c r="Z812" s="201" t="n"/>
      <c r="AA812" s="201" t="n"/>
      <c r="AB812" s="201" t="n"/>
      <c r="AC812" s="201" t="n"/>
      <c r="AD812" s="201" t="n"/>
      <c r="AE812" s="201" t="n"/>
      <c r="AF812" s="201" t="n"/>
      <c r="AG812" s="201" t="n"/>
    </row>
    <row r="813" ht="12.75" customHeight="1" s="202">
      <c r="A813" s="201" t="n"/>
      <c r="B813" s="201" t="n"/>
      <c r="C813" s="201" t="n"/>
      <c r="D813" s="201" t="n"/>
      <c r="E813" s="201" t="n"/>
      <c r="F813" s="201" t="n"/>
      <c r="G813" s="201" t="n"/>
      <c r="H813" s="201" t="n"/>
      <c r="I813" s="201" t="n"/>
      <c r="J813" s="201" t="n"/>
      <c r="K813" s="201" t="n"/>
      <c r="L813" s="201" t="n"/>
      <c r="M813" s="201" t="n"/>
      <c r="N813" s="201" t="n"/>
      <c r="O813" s="201" t="n"/>
      <c r="P813" s="201" t="n"/>
      <c r="Q813" s="201" t="n"/>
      <c r="R813" s="201" t="n"/>
      <c r="S813" s="201" t="n"/>
      <c r="T813" s="201" t="n"/>
      <c r="U813" s="201" t="n"/>
      <c r="V813" s="201" t="n"/>
      <c r="W813" s="201" t="n"/>
      <c r="X813" s="201" t="n"/>
      <c r="Y813" s="201" t="n"/>
      <c r="Z813" s="201" t="n"/>
      <c r="AA813" s="201" t="n"/>
      <c r="AB813" s="201" t="n"/>
      <c r="AC813" s="201" t="n"/>
      <c r="AD813" s="201" t="n"/>
      <c r="AE813" s="201" t="n"/>
      <c r="AF813" s="201" t="n"/>
      <c r="AG813" s="201" t="n"/>
    </row>
    <row r="814" ht="12.75" customHeight="1" s="202">
      <c r="A814" s="201" t="n"/>
      <c r="B814" s="201" t="n"/>
      <c r="C814" s="201" t="n"/>
      <c r="D814" s="201" t="n"/>
      <c r="E814" s="201" t="n"/>
      <c r="F814" s="201" t="n"/>
      <c r="G814" s="201" t="n"/>
      <c r="H814" s="201" t="n"/>
      <c r="I814" s="201" t="n"/>
      <c r="J814" s="201" t="n"/>
      <c r="K814" s="201" t="n"/>
      <c r="L814" s="201" t="n"/>
      <c r="M814" s="201" t="n"/>
      <c r="N814" s="201" t="n"/>
      <c r="O814" s="201" t="n"/>
      <c r="P814" s="201" t="n"/>
      <c r="Q814" s="201" t="n"/>
      <c r="R814" s="201" t="n"/>
      <c r="S814" s="201" t="n"/>
      <c r="T814" s="201" t="n"/>
      <c r="U814" s="201" t="n"/>
      <c r="V814" s="201" t="n"/>
      <c r="W814" s="201" t="n"/>
      <c r="X814" s="201" t="n"/>
      <c r="Y814" s="201" t="n"/>
      <c r="Z814" s="201" t="n"/>
      <c r="AA814" s="201" t="n"/>
      <c r="AB814" s="201" t="n"/>
      <c r="AC814" s="201" t="n"/>
      <c r="AD814" s="201" t="n"/>
      <c r="AE814" s="201" t="n"/>
      <c r="AF814" s="201" t="n"/>
      <c r="AG814" s="201" t="n"/>
    </row>
    <row r="815" ht="12.75" customHeight="1" s="202">
      <c r="A815" s="201" t="n"/>
      <c r="B815" s="201" t="n"/>
      <c r="C815" s="201" t="n"/>
      <c r="D815" s="201" t="n"/>
      <c r="E815" s="201" t="n"/>
      <c r="F815" s="201" t="n"/>
      <c r="G815" s="201" t="n"/>
      <c r="H815" s="201" t="n"/>
      <c r="I815" s="201" t="n"/>
      <c r="J815" s="201" t="n"/>
      <c r="K815" s="201" t="n"/>
      <c r="L815" s="201" t="n"/>
      <c r="M815" s="201" t="n"/>
      <c r="N815" s="201" t="n"/>
      <c r="O815" s="201" t="n"/>
      <c r="P815" s="201" t="n"/>
      <c r="Q815" s="201" t="n"/>
      <c r="R815" s="201" t="n"/>
      <c r="S815" s="201" t="n"/>
      <c r="T815" s="201" t="n"/>
      <c r="U815" s="201" t="n"/>
      <c r="V815" s="201" t="n"/>
      <c r="W815" s="201" t="n"/>
      <c r="X815" s="201" t="n"/>
      <c r="Y815" s="201" t="n"/>
      <c r="Z815" s="201" t="n"/>
      <c r="AA815" s="201" t="n"/>
      <c r="AB815" s="201" t="n"/>
      <c r="AC815" s="201" t="n"/>
      <c r="AD815" s="201" t="n"/>
      <c r="AE815" s="201" t="n"/>
      <c r="AF815" s="201" t="n"/>
      <c r="AG815" s="201" t="n"/>
    </row>
    <row r="816" ht="12.75" customHeight="1" s="202">
      <c r="A816" s="201" t="n"/>
      <c r="B816" s="201" t="n"/>
      <c r="C816" s="201" t="n"/>
      <c r="D816" s="201" t="n"/>
      <c r="E816" s="201" t="n"/>
      <c r="F816" s="201" t="n"/>
      <c r="G816" s="201" t="n"/>
      <c r="H816" s="201" t="n"/>
      <c r="I816" s="201" t="n"/>
      <c r="J816" s="201" t="n"/>
      <c r="K816" s="201" t="n"/>
      <c r="L816" s="201" t="n"/>
      <c r="M816" s="201" t="n"/>
      <c r="N816" s="201" t="n"/>
      <c r="O816" s="201" t="n"/>
      <c r="P816" s="201" t="n"/>
      <c r="Q816" s="201" t="n"/>
      <c r="R816" s="201" t="n"/>
      <c r="S816" s="201" t="n"/>
      <c r="T816" s="201" t="n"/>
      <c r="U816" s="201" t="n"/>
      <c r="V816" s="201" t="n"/>
      <c r="W816" s="201" t="n"/>
      <c r="X816" s="201" t="n"/>
      <c r="Y816" s="201" t="n"/>
      <c r="Z816" s="201" t="n"/>
      <c r="AA816" s="201" t="n"/>
      <c r="AB816" s="201" t="n"/>
      <c r="AC816" s="201" t="n"/>
      <c r="AD816" s="201" t="n"/>
      <c r="AE816" s="201" t="n"/>
      <c r="AF816" s="201" t="n"/>
      <c r="AG816" s="201" t="n"/>
    </row>
    <row r="817" ht="12.75" customHeight="1" s="202">
      <c r="A817" s="201" t="n"/>
      <c r="B817" s="201" t="n"/>
      <c r="C817" s="201" t="n"/>
      <c r="D817" s="201" t="n"/>
      <c r="E817" s="201" t="n"/>
      <c r="F817" s="201" t="n"/>
      <c r="G817" s="201" t="n"/>
      <c r="H817" s="201" t="n"/>
      <c r="I817" s="201" t="n"/>
      <c r="J817" s="201" t="n"/>
      <c r="K817" s="201" t="n"/>
      <c r="L817" s="201" t="n"/>
      <c r="M817" s="201" t="n"/>
      <c r="N817" s="201" t="n"/>
      <c r="O817" s="201" t="n"/>
      <c r="P817" s="201" t="n"/>
      <c r="Q817" s="201" t="n"/>
      <c r="R817" s="201" t="n"/>
      <c r="S817" s="201" t="n"/>
      <c r="T817" s="201" t="n"/>
      <c r="U817" s="201" t="n"/>
      <c r="V817" s="201" t="n"/>
      <c r="W817" s="201" t="n"/>
      <c r="X817" s="201" t="n"/>
      <c r="Y817" s="201" t="n"/>
      <c r="Z817" s="201" t="n"/>
      <c r="AA817" s="201" t="n"/>
      <c r="AB817" s="201" t="n"/>
      <c r="AC817" s="201" t="n"/>
      <c r="AD817" s="201" t="n"/>
      <c r="AE817" s="201" t="n"/>
      <c r="AF817" s="201" t="n"/>
      <c r="AG817" s="201" t="n"/>
    </row>
    <row r="818" ht="12.75" customHeight="1" s="202">
      <c r="A818" s="201" t="n"/>
      <c r="B818" s="201" t="n"/>
      <c r="C818" s="201" t="n"/>
      <c r="D818" s="201" t="n"/>
      <c r="E818" s="201" t="n"/>
      <c r="F818" s="201" t="n"/>
      <c r="G818" s="201" t="n"/>
      <c r="H818" s="201" t="n"/>
      <c r="I818" s="201" t="n"/>
      <c r="J818" s="201" t="n"/>
      <c r="K818" s="201" t="n"/>
      <c r="L818" s="201" t="n"/>
      <c r="M818" s="201" t="n"/>
      <c r="N818" s="201" t="n"/>
      <c r="O818" s="201" t="n"/>
      <c r="P818" s="201" t="n"/>
      <c r="Q818" s="201" t="n"/>
      <c r="R818" s="201" t="n"/>
      <c r="S818" s="201" t="n"/>
      <c r="T818" s="201" t="n"/>
      <c r="U818" s="201" t="n"/>
      <c r="V818" s="201" t="n"/>
      <c r="W818" s="201" t="n"/>
      <c r="X818" s="201" t="n"/>
      <c r="Y818" s="201" t="n"/>
      <c r="Z818" s="201" t="n"/>
      <c r="AA818" s="201" t="n"/>
      <c r="AB818" s="201" t="n"/>
      <c r="AC818" s="201" t="n"/>
      <c r="AD818" s="201" t="n"/>
      <c r="AE818" s="201" t="n"/>
      <c r="AF818" s="201" t="n"/>
      <c r="AG818" s="201" t="n"/>
    </row>
    <row r="819" ht="12.75" customHeight="1" s="202">
      <c r="A819" s="201" t="n"/>
      <c r="B819" s="201" t="n"/>
      <c r="C819" s="201" t="n"/>
      <c r="D819" s="201" t="n"/>
      <c r="E819" s="201" t="n"/>
      <c r="F819" s="201" t="n"/>
      <c r="G819" s="201" t="n"/>
      <c r="H819" s="201" t="n"/>
      <c r="I819" s="201" t="n"/>
      <c r="J819" s="201" t="n"/>
      <c r="K819" s="201" t="n"/>
      <c r="L819" s="201" t="n"/>
      <c r="M819" s="201" t="n"/>
      <c r="N819" s="201" t="n"/>
      <c r="O819" s="201" t="n"/>
      <c r="P819" s="201" t="n"/>
      <c r="Q819" s="201" t="n"/>
      <c r="R819" s="201" t="n"/>
      <c r="S819" s="201" t="n"/>
      <c r="T819" s="201" t="n"/>
      <c r="U819" s="201" t="n"/>
      <c r="V819" s="201" t="n"/>
      <c r="W819" s="201" t="n"/>
      <c r="X819" s="201" t="n"/>
      <c r="Y819" s="201" t="n"/>
      <c r="Z819" s="201" t="n"/>
      <c r="AA819" s="201" t="n"/>
      <c r="AB819" s="201" t="n"/>
      <c r="AC819" s="201" t="n"/>
      <c r="AD819" s="201" t="n"/>
      <c r="AE819" s="201" t="n"/>
      <c r="AF819" s="201" t="n"/>
      <c r="AG819" s="201" t="n"/>
    </row>
    <row r="820" ht="12.75" customHeight="1" s="202">
      <c r="A820" s="201" t="n"/>
      <c r="B820" s="201" t="n"/>
      <c r="C820" s="201" t="n"/>
      <c r="D820" s="201" t="n"/>
      <c r="E820" s="201" t="n"/>
      <c r="F820" s="201" t="n"/>
      <c r="G820" s="201" t="n"/>
      <c r="H820" s="201" t="n"/>
      <c r="I820" s="201" t="n"/>
      <c r="J820" s="201" t="n"/>
      <c r="K820" s="201" t="n"/>
      <c r="L820" s="201" t="n"/>
      <c r="M820" s="201" t="n"/>
      <c r="N820" s="201" t="n"/>
      <c r="O820" s="201" t="n"/>
      <c r="P820" s="201" t="n"/>
      <c r="Q820" s="201" t="n"/>
      <c r="R820" s="201" t="n"/>
      <c r="S820" s="201" t="n"/>
      <c r="T820" s="201" t="n"/>
      <c r="U820" s="201" t="n"/>
      <c r="V820" s="201" t="n"/>
      <c r="W820" s="201" t="n"/>
      <c r="X820" s="201" t="n"/>
      <c r="Y820" s="201" t="n"/>
      <c r="Z820" s="201" t="n"/>
      <c r="AA820" s="201" t="n"/>
      <c r="AB820" s="201" t="n"/>
      <c r="AC820" s="201" t="n"/>
      <c r="AD820" s="201" t="n"/>
      <c r="AE820" s="201" t="n"/>
      <c r="AF820" s="201" t="n"/>
      <c r="AG820" s="201" t="n"/>
    </row>
    <row r="821" ht="12.75" customHeight="1" s="202">
      <c r="A821" s="201" t="n"/>
      <c r="B821" s="201" t="n"/>
      <c r="C821" s="201" t="n"/>
      <c r="D821" s="201" t="n"/>
      <c r="E821" s="201" t="n"/>
      <c r="F821" s="201" t="n"/>
      <c r="G821" s="201" t="n"/>
      <c r="H821" s="201" t="n"/>
      <c r="I821" s="201" t="n"/>
      <c r="J821" s="201" t="n"/>
      <c r="K821" s="201" t="n"/>
      <c r="L821" s="201" t="n"/>
      <c r="M821" s="201" t="n"/>
      <c r="N821" s="201" t="n"/>
      <c r="O821" s="201" t="n"/>
      <c r="P821" s="201" t="n"/>
      <c r="Q821" s="201" t="n"/>
      <c r="R821" s="201" t="n"/>
      <c r="S821" s="201" t="n"/>
      <c r="T821" s="201" t="n"/>
      <c r="U821" s="201" t="n"/>
      <c r="V821" s="201" t="n"/>
      <c r="W821" s="201" t="n"/>
      <c r="X821" s="201" t="n"/>
      <c r="Y821" s="201" t="n"/>
      <c r="Z821" s="201" t="n"/>
      <c r="AA821" s="201" t="n"/>
      <c r="AB821" s="201" t="n"/>
      <c r="AC821" s="201" t="n"/>
      <c r="AD821" s="201" t="n"/>
      <c r="AE821" s="201" t="n"/>
      <c r="AF821" s="201" t="n"/>
      <c r="AG821" s="201" t="n"/>
    </row>
    <row r="822" ht="12.75" customHeight="1" s="202">
      <c r="A822" s="201" t="n"/>
      <c r="B822" s="201" t="n"/>
      <c r="C822" s="201" t="n"/>
      <c r="D822" s="201" t="n"/>
      <c r="E822" s="201" t="n"/>
      <c r="F822" s="201" t="n"/>
      <c r="G822" s="201" t="n"/>
      <c r="H822" s="201" t="n"/>
      <c r="I822" s="201" t="n"/>
      <c r="J822" s="201" t="n"/>
      <c r="K822" s="201" t="n"/>
      <c r="L822" s="201" t="n"/>
      <c r="M822" s="201" t="n"/>
      <c r="N822" s="201" t="n"/>
      <c r="O822" s="201" t="n"/>
      <c r="P822" s="201" t="n"/>
      <c r="Q822" s="201" t="n"/>
      <c r="R822" s="201" t="n"/>
      <c r="S822" s="201" t="n"/>
      <c r="T822" s="201" t="n"/>
      <c r="U822" s="201" t="n"/>
      <c r="V822" s="201" t="n"/>
      <c r="W822" s="201" t="n"/>
      <c r="X822" s="201" t="n"/>
      <c r="Y822" s="201" t="n"/>
      <c r="Z822" s="201" t="n"/>
      <c r="AA822" s="201" t="n"/>
      <c r="AB822" s="201" t="n"/>
      <c r="AC822" s="201" t="n"/>
      <c r="AD822" s="201" t="n"/>
      <c r="AE822" s="201" t="n"/>
      <c r="AF822" s="201" t="n"/>
      <c r="AG822" s="201" t="n"/>
    </row>
    <row r="823" ht="12.75" customHeight="1" s="202">
      <c r="A823" s="201" t="n"/>
      <c r="B823" s="201" t="n"/>
      <c r="C823" s="201" t="n"/>
      <c r="D823" s="201" t="n"/>
      <c r="E823" s="201" t="n"/>
      <c r="F823" s="201" t="n"/>
      <c r="G823" s="201" t="n"/>
      <c r="H823" s="201" t="n"/>
      <c r="I823" s="201" t="n"/>
      <c r="J823" s="201" t="n"/>
      <c r="K823" s="201" t="n"/>
      <c r="L823" s="201" t="n"/>
      <c r="M823" s="201" t="n"/>
      <c r="N823" s="201" t="n"/>
      <c r="O823" s="201" t="n"/>
      <c r="P823" s="201" t="n"/>
      <c r="Q823" s="201" t="n"/>
      <c r="R823" s="201" t="n"/>
      <c r="S823" s="201" t="n"/>
      <c r="T823" s="201" t="n"/>
      <c r="U823" s="201" t="n"/>
      <c r="V823" s="201" t="n"/>
      <c r="W823" s="201" t="n"/>
      <c r="X823" s="201" t="n"/>
      <c r="Y823" s="201" t="n"/>
      <c r="Z823" s="201" t="n"/>
      <c r="AA823" s="201" t="n"/>
      <c r="AB823" s="201" t="n"/>
      <c r="AC823" s="201" t="n"/>
      <c r="AD823" s="201" t="n"/>
      <c r="AE823" s="201" t="n"/>
      <c r="AF823" s="201" t="n"/>
      <c r="AG823" s="201" t="n"/>
    </row>
    <row r="824" ht="12.75" customHeight="1" s="202">
      <c r="A824" s="201" t="n"/>
      <c r="B824" s="201" t="n"/>
      <c r="C824" s="201" t="n"/>
      <c r="D824" s="201" t="n"/>
      <c r="E824" s="201" t="n"/>
      <c r="F824" s="201" t="n"/>
      <c r="G824" s="201" t="n"/>
      <c r="H824" s="201" t="n"/>
      <c r="I824" s="201" t="n"/>
      <c r="J824" s="201" t="n"/>
      <c r="K824" s="201" t="n"/>
      <c r="L824" s="201" t="n"/>
      <c r="M824" s="201" t="n"/>
      <c r="N824" s="201" t="n"/>
      <c r="O824" s="201" t="n"/>
      <c r="P824" s="201" t="n"/>
      <c r="Q824" s="201" t="n"/>
      <c r="R824" s="201" t="n"/>
      <c r="S824" s="201" t="n"/>
      <c r="T824" s="201" t="n"/>
      <c r="U824" s="201" t="n"/>
      <c r="V824" s="201" t="n"/>
      <c r="W824" s="201" t="n"/>
      <c r="X824" s="201" t="n"/>
      <c r="Y824" s="201" t="n"/>
      <c r="Z824" s="201" t="n"/>
      <c r="AA824" s="201" t="n"/>
      <c r="AB824" s="201" t="n"/>
      <c r="AC824" s="201" t="n"/>
      <c r="AD824" s="201" t="n"/>
      <c r="AE824" s="201" t="n"/>
      <c r="AF824" s="201" t="n"/>
      <c r="AG824" s="201" t="n"/>
    </row>
    <row r="825" ht="12.75" customHeight="1" s="202">
      <c r="A825" s="201" t="n"/>
      <c r="B825" s="201" t="n"/>
      <c r="C825" s="201" t="n"/>
      <c r="D825" s="201" t="n"/>
      <c r="E825" s="201" t="n"/>
      <c r="F825" s="201" t="n"/>
      <c r="G825" s="201" t="n"/>
      <c r="H825" s="201" t="n"/>
      <c r="I825" s="201" t="n"/>
      <c r="J825" s="201" t="n"/>
      <c r="K825" s="201" t="n"/>
      <c r="L825" s="201" t="n"/>
      <c r="M825" s="201" t="n"/>
      <c r="N825" s="201" t="n"/>
      <c r="O825" s="201" t="n"/>
      <c r="P825" s="201" t="n"/>
      <c r="Q825" s="201" t="n"/>
      <c r="R825" s="201" t="n"/>
      <c r="S825" s="201" t="n"/>
      <c r="T825" s="201" t="n"/>
      <c r="U825" s="201" t="n"/>
      <c r="V825" s="201" t="n"/>
      <c r="W825" s="201" t="n"/>
      <c r="X825" s="201" t="n"/>
      <c r="Y825" s="201" t="n"/>
      <c r="Z825" s="201" t="n"/>
      <c r="AA825" s="201" t="n"/>
      <c r="AB825" s="201" t="n"/>
      <c r="AC825" s="201" t="n"/>
      <c r="AD825" s="201" t="n"/>
      <c r="AE825" s="201" t="n"/>
      <c r="AF825" s="201" t="n"/>
      <c r="AG825" s="201" t="n"/>
    </row>
    <row r="826" ht="12.75" customHeight="1" s="202">
      <c r="A826" s="201" t="n"/>
      <c r="B826" s="201" t="n"/>
      <c r="C826" s="201" t="n"/>
      <c r="D826" s="201" t="n"/>
      <c r="E826" s="201" t="n"/>
      <c r="F826" s="201" t="n"/>
      <c r="G826" s="201" t="n"/>
      <c r="H826" s="201" t="n"/>
      <c r="I826" s="201" t="n"/>
      <c r="J826" s="201" t="n"/>
      <c r="K826" s="201" t="n"/>
      <c r="L826" s="201" t="n"/>
      <c r="M826" s="201" t="n"/>
      <c r="N826" s="201" t="n"/>
      <c r="O826" s="201" t="n"/>
      <c r="P826" s="201" t="n"/>
      <c r="Q826" s="201" t="n"/>
      <c r="R826" s="201" t="n"/>
      <c r="S826" s="201" t="n"/>
      <c r="T826" s="201" t="n"/>
      <c r="U826" s="201" t="n"/>
      <c r="V826" s="201" t="n"/>
      <c r="W826" s="201" t="n"/>
      <c r="X826" s="201" t="n"/>
      <c r="Y826" s="201" t="n"/>
      <c r="Z826" s="201" t="n"/>
      <c r="AA826" s="201" t="n"/>
      <c r="AB826" s="201" t="n"/>
      <c r="AC826" s="201" t="n"/>
      <c r="AD826" s="201" t="n"/>
      <c r="AE826" s="201" t="n"/>
      <c r="AF826" s="201" t="n"/>
      <c r="AG826" s="201" t="n"/>
    </row>
    <row r="827" ht="12.75" customHeight="1" s="202">
      <c r="A827" s="201" t="n"/>
      <c r="B827" s="201" t="n"/>
      <c r="C827" s="201" t="n"/>
      <c r="D827" s="201" t="n"/>
      <c r="E827" s="201" t="n"/>
      <c r="F827" s="201" t="n"/>
      <c r="G827" s="201" t="n"/>
      <c r="H827" s="201" t="n"/>
      <c r="I827" s="201" t="n"/>
      <c r="J827" s="201" t="n"/>
      <c r="K827" s="201" t="n"/>
      <c r="L827" s="201" t="n"/>
      <c r="M827" s="201" t="n"/>
      <c r="N827" s="201" t="n"/>
      <c r="O827" s="201" t="n"/>
      <c r="P827" s="201" t="n"/>
      <c r="Q827" s="201" t="n"/>
      <c r="R827" s="201" t="n"/>
      <c r="S827" s="201" t="n"/>
      <c r="T827" s="201" t="n"/>
      <c r="U827" s="201" t="n"/>
      <c r="V827" s="201" t="n"/>
      <c r="W827" s="201" t="n"/>
      <c r="X827" s="201" t="n"/>
      <c r="Y827" s="201" t="n"/>
      <c r="Z827" s="201" t="n"/>
      <c r="AA827" s="201" t="n"/>
      <c r="AB827" s="201" t="n"/>
      <c r="AC827" s="201" t="n"/>
      <c r="AD827" s="201" t="n"/>
      <c r="AE827" s="201" t="n"/>
      <c r="AF827" s="201" t="n"/>
      <c r="AG827" s="201" t="n"/>
    </row>
    <row r="828" ht="12.75" customHeight="1" s="202">
      <c r="A828" s="201" t="n"/>
      <c r="B828" s="201" t="n"/>
      <c r="C828" s="201" t="n"/>
      <c r="D828" s="201" t="n"/>
      <c r="E828" s="201" t="n"/>
      <c r="F828" s="201" t="n"/>
      <c r="G828" s="201" t="n"/>
      <c r="H828" s="201" t="n"/>
      <c r="I828" s="201" t="n"/>
      <c r="J828" s="201" t="n"/>
      <c r="K828" s="201" t="n"/>
      <c r="L828" s="201" t="n"/>
      <c r="M828" s="201" t="n"/>
      <c r="N828" s="201" t="n"/>
      <c r="O828" s="201" t="n"/>
      <c r="P828" s="201" t="n"/>
      <c r="Q828" s="201" t="n"/>
      <c r="R828" s="201" t="n"/>
      <c r="S828" s="201" t="n"/>
      <c r="T828" s="201" t="n"/>
      <c r="U828" s="201" t="n"/>
      <c r="V828" s="201" t="n"/>
      <c r="W828" s="201" t="n"/>
      <c r="X828" s="201" t="n"/>
      <c r="Y828" s="201" t="n"/>
      <c r="Z828" s="201" t="n"/>
      <c r="AA828" s="201" t="n"/>
      <c r="AB828" s="201" t="n"/>
      <c r="AC828" s="201" t="n"/>
      <c r="AD828" s="201" t="n"/>
      <c r="AE828" s="201" t="n"/>
      <c r="AF828" s="201" t="n"/>
      <c r="AG828" s="201" t="n"/>
    </row>
    <row r="829" ht="12.75" customHeight="1" s="202">
      <c r="A829" s="201" t="n"/>
      <c r="B829" s="201" t="n"/>
      <c r="C829" s="201" t="n"/>
      <c r="D829" s="201" t="n"/>
      <c r="E829" s="201" t="n"/>
      <c r="F829" s="201" t="n"/>
      <c r="G829" s="201" t="n"/>
      <c r="H829" s="201" t="n"/>
      <c r="I829" s="201" t="n"/>
      <c r="J829" s="201" t="n"/>
      <c r="K829" s="201" t="n"/>
      <c r="L829" s="201" t="n"/>
      <c r="M829" s="201" t="n"/>
      <c r="N829" s="201" t="n"/>
      <c r="O829" s="201" t="n"/>
      <c r="P829" s="201" t="n"/>
      <c r="Q829" s="201" t="n"/>
      <c r="R829" s="201" t="n"/>
      <c r="S829" s="201" t="n"/>
      <c r="T829" s="201" t="n"/>
      <c r="U829" s="201" t="n"/>
      <c r="V829" s="201" t="n"/>
      <c r="W829" s="201" t="n"/>
      <c r="X829" s="201" t="n"/>
      <c r="Y829" s="201" t="n"/>
      <c r="Z829" s="201" t="n"/>
      <c r="AA829" s="201" t="n"/>
      <c r="AB829" s="201" t="n"/>
      <c r="AC829" s="201" t="n"/>
      <c r="AD829" s="201" t="n"/>
      <c r="AE829" s="201" t="n"/>
      <c r="AF829" s="201" t="n"/>
      <c r="AG829" s="201" t="n"/>
    </row>
    <row r="830" ht="12.75" customHeight="1" s="202">
      <c r="A830" s="201" t="n"/>
      <c r="B830" s="201" t="n"/>
      <c r="C830" s="201" t="n"/>
      <c r="D830" s="201" t="n"/>
      <c r="E830" s="201" t="n"/>
      <c r="F830" s="201" t="n"/>
      <c r="G830" s="201" t="n"/>
      <c r="H830" s="201" t="n"/>
      <c r="I830" s="201" t="n"/>
      <c r="J830" s="201" t="n"/>
      <c r="K830" s="201" t="n"/>
      <c r="L830" s="201" t="n"/>
      <c r="M830" s="201" t="n"/>
      <c r="N830" s="201" t="n"/>
      <c r="O830" s="201" t="n"/>
      <c r="P830" s="201" t="n"/>
      <c r="Q830" s="201" t="n"/>
      <c r="R830" s="201" t="n"/>
      <c r="S830" s="201" t="n"/>
      <c r="T830" s="201" t="n"/>
      <c r="U830" s="201" t="n"/>
      <c r="V830" s="201" t="n"/>
      <c r="W830" s="201" t="n"/>
      <c r="X830" s="201" t="n"/>
      <c r="Y830" s="201" t="n"/>
      <c r="Z830" s="201" t="n"/>
      <c r="AA830" s="201" t="n"/>
      <c r="AB830" s="201" t="n"/>
      <c r="AC830" s="201" t="n"/>
      <c r="AD830" s="201" t="n"/>
      <c r="AE830" s="201" t="n"/>
      <c r="AF830" s="201" t="n"/>
      <c r="AG830" s="201" t="n"/>
    </row>
    <row r="831" ht="12.75" customHeight="1" s="202">
      <c r="A831" s="201" t="n"/>
      <c r="B831" s="201" t="n"/>
      <c r="C831" s="201" t="n"/>
      <c r="D831" s="201" t="n"/>
      <c r="E831" s="201" t="n"/>
      <c r="F831" s="201" t="n"/>
      <c r="G831" s="201" t="n"/>
      <c r="H831" s="201" t="n"/>
      <c r="I831" s="201" t="n"/>
      <c r="J831" s="201" t="n"/>
      <c r="K831" s="201" t="n"/>
      <c r="L831" s="201" t="n"/>
      <c r="M831" s="201" t="n"/>
      <c r="N831" s="201" t="n"/>
      <c r="O831" s="201" t="n"/>
      <c r="P831" s="201" t="n"/>
      <c r="Q831" s="201" t="n"/>
      <c r="R831" s="201" t="n"/>
      <c r="S831" s="201" t="n"/>
      <c r="T831" s="201" t="n"/>
      <c r="U831" s="201" t="n"/>
      <c r="V831" s="201" t="n"/>
      <c r="W831" s="201" t="n"/>
      <c r="X831" s="201" t="n"/>
      <c r="Y831" s="201" t="n"/>
      <c r="Z831" s="201" t="n"/>
      <c r="AA831" s="201" t="n"/>
      <c r="AB831" s="201" t="n"/>
      <c r="AC831" s="201" t="n"/>
      <c r="AD831" s="201" t="n"/>
      <c r="AE831" s="201" t="n"/>
      <c r="AF831" s="201" t="n"/>
      <c r="AG831" s="201" t="n"/>
    </row>
    <row r="832" ht="12.75" customHeight="1" s="202">
      <c r="A832" s="201" t="n"/>
      <c r="B832" s="201" t="n"/>
      <c r="C832" s="201" t="n"/>
      <c r="D832" s="201" t="n"/>
      <c r="E832" s="201" t="n"/>
      <c r="F832" s="201" t="n"/>
      <c r="G832" s="201" t="n"/>
      <c r="H832" s="201" t="n"/>
      <c r="I832" s="201" t="n"/>
      <c r="J832" s="201" t="n"/>
      <c r="K832" s="201" t="n"/>
      <c r="L832" s="201" t="n"/>
      <c r="M832" s="201" t="n"/>
      <c r="N832" s="201" t="n"/>
      <c r="O832" s="201" t="n"/>
      <c r="P832" s="201" t="n"/>
      <c r="Q832" s="201" t="n"/>
      <c r="R832" s="201" t="n"/>
      <c r="S832" s="201" t="n"/>
      <c r="T832" s="201" t="n"/>
      <c r="U832" s="201" t="n"/>
      <c r="V832" s="201" t="n"/>
      <c r="W832" s="201" t="n"/>
      <c r="X832" s="201" t="n"/>
      <c r="Y832" s="201" t="n"/>
      <c r="Z832" s="201" t="n"/>
      <c r="AA832" s="201" t="n"/>
      <c r="AB832" s="201" t="n"/>
      <c r="AC832" s="201" t="n"/>
      <c r="AD832" s="201" t="n"/>
      <c r="AE832" s="201" t="n"/>
      <c r="AF832" s="201" t="n"/>
      <c r="AG832" s="201" t="n"/>
    </row>
    <row r="833" ht="12.75" customHeight="1" s="202">
      <c r="A833" s="201" t="n"/>
      <c r="B833" s="201" t="n"/>
      <c r="C833" s="201" t="n"/>
      <c r="D833" s="201" t="n"/>
      <c r="E833" s="201" t="n"/>
      <c r="F833" s="201" t="n"/>
      <c r="G833" s="201" t="n"/>
      <c r="H833" s="201" t="n"/>
      <c r="I833" s="201" t="n"/>
      <c r="J833" s="201" t="n"/>
      <c r="K833" s="201" t="n"/>
      <c r="L833" s="201" t="n"/>
      <c r="M833" s="201" t="n"/>
      <c r="N833" s="201" t="n"/>
      <c r="O833" s="201" t="n"/>
      <c r="P833" s="201" t="n"/>
      <c r="Q833" s="201" t="n"/>
      <c r="R833" s="201" t="n"/>
      <c r="S833" s="201" t="n"/>
      <c r="T833" s="201" t="n"/>
      <c r="U833" s="201" t="n"/>
      <c r="V833" s="201" t="n"/>
      <c r="W833" s="201" t="n"/>
      <c r="X833" s="201" t="n"/>
      <c r="Y833" s="201" t="n"/>
      <c r="Z833" s="201" t="n"/>
      <c r="AA833" s="201" t="n"/>
      <c r="AB833" s="201" t="n"/>
      <c r="AC833" s="201" t="n"/>
      <c r="AD833" s="201" t="n"/>
      <c r="AE833" s="201" t="n"/>
      <c r="AF833" s="201" t="n"/>
      <c r="AG833" s="201" t="n"/>
    </row>
    <row r="834" ht="12.75" customHeight="1" s="202">
      <c r="A834" s="201" t="n"/>
      <c r="B834" s="201" t="n"/>
      <c r="C834" s="201" t="n"/>
      <c r="D834" s="201" t="n"/>
      <c r="E834" s="201" t="n"/>
      <c r="F834" s="201" t="n"/>
      <c r="G834" s="201" t="n"/>
      <c r="H834" s="201" t="n"/>
      <c r="I834" s="201" t="n"/>
      <c r="J834" s="201" t="n"/>
      <c r="K834" s="201" t="n"/>
      <c r="L834" s="201" t="n"/>
      <c r="M834" s="201" t="n"/>
      <c r="N834" s="201" t="n"/>
      <c r="O834" s="201" t="n"/>
      <c r="P834" s="201" t="n"/>
      <c r="Q834" s="201" t="n"/>
      <c r="R834" s="201" t="n"/>
      <c r="S834" s="201" t="n"/>
      <c r="T834" s="201" t="n"/>
      <c r="U834" s="201" t="n"/>
      <c r="V834" s="201" t="n"/>
      <c r="W834" s="201" t="n"/>
      <c r="X834" s="201" t="n"/>
      <c r="Y834" s="201" t="n"/>
      <c r="Z834" s="201" t="n"/>
      <c r="AA834" s="201" t="n"/>
      <c r="AB834" s="201" t="n"/>
      <c r="AC834" s="201" t="n"/>
      <c r="AD834" s="201" t="n"/>
      <c r="AE834" s="201" t="n"/>
      <c r="AF834" s="201" t="n"/>
      <c r="AG834" s="201" t="n"/>
    </row>
    <row r="835" ht="12.75" customHeight="1" s="202">
      <c r="A835" s="201" t="n"/>
      <c r="B835" s="201" t="n"/>
      <c r="C835" s="201" t="n"/>
      <c r="D835" s="201" t="n"/>
      <c r="E835" s="201" t="n"/>
      <c r="F835" s="201" t="n"/>
      <c r="G835" s="201" t="n"/>
      <c r="H835" s="201" t="n"/>
      <c r="I835" s="201" t="n"/>
      <c r="J835" s="201" t="n"/>
      <c r="K835" s="201" t="n"/>
      <c r="L835" s="201" t="n"/>
      <c r="M835" s="201" t="n"/>
      <c r="N835" s="201" t="n"/>
      <c r="O835" s="201" t="n"/>
      <c r="P835" s="201" t="n"/>
      <c r="Q835" s="201" t="n"/>
      <c r="R835" s="201" t="n"/>
      <c r="S835" s="201" t="n"/>
      <c r="T835" s="201" t="n"/>
      <c r="U835" s="201" t="n"/>
      <c r="V835" s="201" t="n"/>
      <c r="W835" s="201" t="n"/>
      <c r="X835" s="201" t="n"/>
      <c r="Y835" s="201" t="n"/>
      <c r="Z835" s="201" t="n"/>
      <c r="AA835" s="201" t="n"/>
      <c r="AB835" s="201" t="n"/>
      <c r="AC835" s="201" t="n"/>
      <c r="AD835" s="201" t="n"/>
      <c r="AE835" s="201" t="n"/>
      <c r="AF835" s="201" t="n"/>
      <c r="AG835" s="201" t="n"/>
    </row>
    <row r="836" ht="12.75" customHeight="1" s="202">
      <c r="A836" s="201" t="n"/>
      <c r="B836" s="201" t="n"/>
      <c r="C836" s="201" t="n"/>
      <c r="D836" s="201" t="n"/>
      <c r="E836" s="201" t="n"/>
      <c r="F836" s="201" t="n"/>
      <c r="G836" s="201" t="n"/>
      <c r="H836" s="201" t="n"/>
      <c r="I836" s="201" t="n"/>
      <c r="J836" s="201" t="n"/>
      <c r="K836" s="201" t="n"/>
      <c r="L836" s="201" t="n"/>
      <c r="M836" s="201" t="n"/>
      <c r="N836" s="201" t="n"/>
      <c r="O836" s="201" t="n"/>
      <c r="P836" s="201" t="n"/>
      <c r="Q836" s="201" t="n"/>
      <c r="R836" s="201" t="n"/>
      <c r="S836" s="201" t="n"/>
      <c r="T836" s="201" t="n"/>
      <c r="U836" s="201" t="n"/>
      <c r="V836" s="201" t="n"/>
      <c r="W836" s="201" t="n"/>
      <c r="X836" s="201" t="n"/>
      <c r="Y836" s="201" t="n"/>
      <c r="Z836" s="201" t="n"/>
      <c r="AA836" s="201" t="n"/>
      <c r="AB836" s="201" t="n"/>
      <c r="AC836" s="201" t="n"/>
      <c r="AD836" s="201" t="n"/>
      <c r="AE836" s="201" t="n"/>
      <c r="AF836" s="201" t="n"/>
      <c r="AG836" s="201" t="n"/>
    </row>
    <row r="837" ht="12.75" customHeight="1" s="202">
      <c r="A837" s="201" t="n"/>
      <c r="B837" s="201" t="n"/>
      <c r="C837" s="201" t="n"/>
      <c r="D837" s="201" t="n"/>
      <c r="E837" s="201" t="n"/>
      <c r="F837" s="201" t="n"/>
      <c r="G837" s="201" t="n"/>
      <c r="H837" s="201" t="n"/>
      <c r="I837" s="201" t="n"/>
      <c r="J837" s="201" t="n"/>
      <c r="K837" s="201" t="n"/>
      <c r="L837" s="201" t="n"/>
      <c r="M837" s="201" t="n"/>
      <c r="N837" s="201" t="n"/>
      <c r="O837" s="201" t="n"/>
      <c r="P837" s="201" t="n"/>
      <c r="Q837" s="201" t="n"/>
      <c r="R837" s="201" t="n"/>
      <c r="S837" s="201" t="n"/>
      <c r="T837" s="201" t="n"/>
      <c r="U837" s="201" t="n"/>
      <c r="V837" s="201" t="n"/>
      <c r="W837" s="201" t="n"/>
      <c r="X837" s="201" t="n"/>
      <c r="Y837" s="201" t="n"/>
      <c r="Z837" s="201" t="n"/>
      <c r="AA837" s="201" t="n"/>
      <c r="AB837" s="201" t="n"/>
      <c r="AC837" s="201" t="n"/>
      <c r="AD837" s="201" t="n"/>
      <c r="AE837" s="201" t="n"/>
      <c r="AF837" s="201" t="n"/>
      <c r="AG837" s="201" t="n"/>
    </row>
    <row r="838" ht="12.75" customHeight="1" s="202">
      <c r="A838" s="201" t="n"/>
      <c r="B838" s="201" t="n"/>
      <c r="C838" s="201" t="n"/>
      <c r="D838" s="201" t="n"/>
      <c r="E838" s="201" t="n"/>
      <c r="F838" s="201" t="n"/>
      <c r="G838" s="201" t="n"/>
      <c r="H838" s="201" t="n"/>
      <c r="I838" s="201" t="n"/>
      <c r="J838" s="201" t="n"/>
      <c r="K838" s="201" t="n"/>
      <c r="L838" s="201" t="n"/>
      <c r="M838" s="201" t="n"/>
      <c r="N838" s="201" t="n"/>
      <c r="O838" s="201" t="n"/>
      <c r="P838" s="201" t="n"/>
      <c r="Q838" s="201" t="n"/>
      <c r="R838" s="201" t="n"/>
      <c r="S838" s="201" t="n"/>
      <c r="T838" s="201" t="n"/>
      <c r="U838" s="201" t="n"/>
      <c r="V838" s="201" t="n"/>
      <c r="W838" s="201" t="n"/>
      <c r="X838" s="201" t="n"/>
      <c r="Y838" s="201" t="n"/>
      <c r="Z838" s="201" t="n"/>
      <c r="AA838" s="201" t="n"/>
      <c r="AB838" s="201" t="n"/>
      <c r="AC838" s="201" t="n"/>
      <c r="AD838" s="201" t="n"/>
      <c r="AE838" s="201" t="n"/>
      <c r="AF838" s="201" t="n"/>
      <c r="AG838" s="201" t="n"/>
    </row>
    <row r="839" ht="12.75" customHeight="1" s="202">
      <c r="A839" s="201" t="n"/>
      <c r="B839" s="201" t="n"/>
      <c r="C839" s="201" t="n"/>
      <c r="D839" s="201" t="n"/>
      <c r="E839" s="201" t="n"/>
      <c r="F839" s="201" t="n"/>
      <c r="G839" s="201" t="n"/>
      <c r="H839" s="201" t="n"/>
      <c r="I839" s="201" t="n"/>
      <c r="J839" s="201" t="n"/>
      <c r="K839" s="201" t="n"/>
      <c r="L839" s="201" t="n"/>
      <c r="M839" s="201" t="n"/>
      <c r="N839" s="201" t="n"/>
      <c r="O839" s="201" t="n"/>
      <c r="P839" s="201" t="n"/>
      <c r="Q839" s="201" t="n"/>
      <c r="R839" s="201" t="n"/>
      <c r="S839" s="201" t="n"/>
      <c r="T839" s="201" t="n"/>
      <c r="U839" s="201" t="n"/>
      <c r="V839" s="201" t="n"/>
      <c r="W839" s="201" t="n"/>
      <c r="X839" s="201" t="n"/>
      <c r="Y839" s="201" t="n"/>
      <c r="Z839" s="201" t="n"/>
      <c r="AA839" s="201" t="n"/>
      <c r="AB839" s="201" t="n"/>
      <c r="AC839" s="201" t="n"/>
      <c r="AD839" s="201" t="n"/>
      <c r="AE839" s="201" t="n"/>
      <c r="AF839" s="201" t="n"/>
      <c r="AG839" s="201" t="n"/>
    </row>
    <row r="840" ht="12.75" customHeight="1" s="202">
      <c r="A840" s="201" t="n"/>
      <c r="B840" s="201" t="n"/>
      <c r="C840" s="201" t="n"/>
      <c r="D840" s="201" t="n"/>
      <c r="E840" s="201" t="n"/>
      <c r="F840" s="201" t="n"/>
      <c r="G840" s="201" t="n"/>
      <c r="H840" s="201" t="n"/>
      <c r="I840" s="201" t="n"/>
      <c r="J840" s="201" t="n"/>
      <c r="K840" s="201" t="n"/>
      <c r="L840" s="201" t="n"/>
      <c r="M840" s="201" t="n"/>
      <c r="N840" s="201" t="n"/>
      <c r="O840" s="201" t="n"/>
      <c r="P840" s="201" t="n"/>
      <c r="Q840" s="201" t="n"/>
      <c r="R840" s="201" t="n"/>
      <c r="S840" s="201" t="n"/>
      <c r="T840" s="201" t="n"/>
      <c r="U840" s="201" t="n"/>
      <c r="V840" s="201" t="n"/>
      <c r="W840" s="201" t="n"/>
      <c r="X840" s="201" t="n"/>
      <c r="Y840" s="201" t="n"/>
      <c r="Z840" s="201" t="n"/>
      <c r="AA840" s="201" t="n"/>
      <c r="AB840" s="201" t="n"/>
      <c r="AC840" s="201" t="n"/>
      <c r="AD840" s="201" t="n"/>
      <c r="AE840" s="201" t="n"/>
      <c r="AF840" s="201" t="n"/>
      <c r="AG840" s="201" t="n"/>
    </row>
    <row r="841" ht="12.75" customHeight="1" s="202">
      <c r="A841" s="201" t="n"/>
      <c r="B841" s="201" t="n"/>
      <c r="C841" s="201" t="n"/>
      <c r="D841" s="201" t="n"/>
      <c r="E841" s="201" t="n"/>
      <c r="F841" s="201" t="n"/>
      <c r="G841" s="201" t="n"/>
      <c r="H841" s="201" t="n"/>
      <c r="I841" s="201" t="n"/>
      <c r="J841" s="201" t="n"/>
      <c r="K841" s="201" t="n"/>
      <c r="L841" s="201" t="n"/>
      <c r="M841" s="201" t="n"/>
      <c r="N841" s="201" t="n"/>
      <c r="O841" s="201" t="n"/>
      <c r="P841" s="201" t="n"/>
      <c r="Q841" s="201" t="n"/>
      <c r="R841" s="201" t="n"/>
      <c r="S841" s="201" t="n"/>
      <c r="T841" s="201" t="n"/>
      <c r="U841" s="201" t="n"/>
      <c r="V841" s="201" t="n"/>
      <c r="W841" s="201" t="n"/>
      <c r="X841" s="201" t="n"/>
      <c r="Y841" s="201" t="n"/>
      <c r="Z841" s="201" t="n"/>
      <c r="AA841" s="201" t="n"/>
      <c r="AB841" s="201" t="n"/>
      <c r="AC841" s="201" t="n"/>
      <c r="AD841" s="201" t="n"/>
      <c r="AE841" s="201" t="n"/>
      <c r="AF841" s="201" t="n"/>
      <c r="AG841" s="201" t="n"/>
    </row>
    <row r="842" ht="12.75" customHeight="1" s="202">
      <c r="A842" s="201" t="n"/>
      <c r="B842" s="201" t="n"/>
      <c r="C842" s="201" t="n"/>
      <c r="D842" s="201" t="n"/>
      <c r="E842" s="201" t="n"/>
      <c r="F842" s="201" t="n"/>
      <c r="G842" s="201" t="n"/>
      <c r="H842" s="201" t="n"/>
      <c r="I842" s="201" t="n"/>
      <c r="J842" s="201" t="n"/>
      <c r="K842" s="201" t="n"/>
      <c r="L842" s="201" t="n"/>
      <c r="M842" s="201" t="n"/>
      <c r="N842" s="201" t="n"/>
      <c r="O842" s="201" t="n"/>
      <c r="P842" s="201" t="n"/>
      <c r="Q842" s="201" t="n"/>
      <c r="R842" s="201" t="n"/>
      <c r="S842" s="201" t="n"/>
      <c r="T842" s="201" t="n"/>
      <c r="U842" s="201" t="n"/>
      <c r="V842" s="201" t="n"/>
      <c r="W842" s="201" t="n"/>
      <c r="X842" s="201" t="n"/>
      <c r="Y842" s="201" t="n"/>
      <c r="Z842" s="201" t="n"/>
      <c r="AA842" s="201" t="n"/>
      <c r="AB842" s="201" t="n"/>
      <c r="AC842" s="201" t="n"/>
      <c r="AD842" s="201" t="n"/>
      <c r="AE842" s="201" t="n"/>
      <c r="AF842" s="201" t="n"/>
      <c r="AG842" s="201" t="n"/>
    </row>
    <row r="843" ht="12.75" customHeight="1" s="202">
      <c r="A843" s="201" t="n"/>
      <c r="B843" s="201" t="n"/>
      <c r="C843" s="201" t="n"/>
      <c r="D843" s="201" t="n"/>
      <c r="E843" s="201" t="n"/>
      <c r="F843" s="201" t="n"/>
      <c r="G843" s="201" t="n"/>
      <c r="H843" s="201" t="n"/>
      <c r="I843" s="201" t="n"/>
      <c r="J843" s="201" t="n"/>
      <c r="K843" s="201" t="n"/>
      <c r="L843" s="201" t="n"/>
      <c r="M843" s="201" t="n"/>
      <c r="N843" s="201" t="n"/>
      <c r="O843" s="201" t="n"/>
      <c r="P843" s="201" t="n"/>
      <c r="Q843" s="201" t="n"/>
      <c r="R843" s="201" t="n"/>
      <c r="S843" s="201" t="n"/>
      <c r="T843" s="201" t="n"/>
      <c r="U843" s="201" t="n"/>
      <c r="V843" s="201" t="n"/>
      <c r="W843" s="201" t="n"/>
      <c r="X843" s="201" t="n"/>
      <c r="Y843" s="201" t="n"/>
      <c r="Z843" s="201" t="n"/>
      <c r="AA843" s="201" t="n"/>
      <c r="AB843" s="201" t="n"/>
      <c r="AC843" s="201" t="n"/>
      <c r="AD843" s="201" t="n"/>
      <c r="AE843" s="201" t="n"/>
      <c r="AF843" s="201" t="n"/>
      <c r="AG843" s="201" t="n"/>
    </row>
    <row r="844" ht="12.75" customHeight="1" s="202">
      <c r="A844" s="201" t="n"/>
      <c r="B844" s="201" t="n"/>
      <c r="C844" s="201" t="n"/>
      <c r="D844" s="201" t="n"/>
      <c r="E844" s="201" t="n"/>
      <c r="F844" s="201" t="n"/>
      <c r="G844" s="201" t="n"/>
      <c r="H844" s="201" t="n"/>
      <c r="I844" s="201" t="n"/>
      <c r="J844" s="201" t="n"/>
      <c r="K844" s="201" t="n"/>
      <c r="L844" s="201" t="n"/>
      <c r="M844" s="201" t="n"/>
      <c r="N844" s="201" t="n"/>
      <c r="O844" s="201" t="n"/>
      <c r="P844" s="201" t="n"/>
      <c r="Q844" s="201" t="n"/>
      <c r="R844" s="201" t="n"/>
      <c r="S844" s="201" t="n"/>
      <c r="T844" s="201" t="n"/>
      <c r="U844" s="201" t="n"/>
      <c r="V844" s="201" t="n"/>
      <c r="W844" s="201" t="n"/>
      <c r="X844" s="201" t="n"/>
      <c r="Y844" s="201" t="n"/>
      <c r="Z844" s="201" t="n"/>
      <c r="AA844" s="201" t="n"/>
      <c r="AB844" s="201" t="n"/>
      <c r="AC844" s="201" t="n"/>
      <c r="AD844" s="201" t="n"/>
      <c r="AE844" s="201" t="n"/>
      <c r="AF844" s="201" t="n"/>
      <c r="AG844" s="201" t="n"/>
    </row>
    <row r="845" ht="12.75" customHeight="1" s="202">
      <c r="A845" s="201" t="n"/>
      <c r="B845" s="201" t="n"/>
      <c r="C845" s="201" t="n"/>
      <c r="D845" s="201" t="n"/>
      <c r="E845" s="201" t="n"/>
      <c r="F845" s="201" t="n"/>
      <c r="G845" s="201" t="n"/>
      <c r="H845" s="201" t="n"/>
      <c r="I845" s="201" t="n"/>
      <c r="J845" s="201" t="n"/>
      <c r="K845" s="201" t="n"/>
      <c r="L845" s="201" t="n"/>
      <c r="M845" s="201" t="n"/>
      <c r="N845" s="201" t="n"/>
      <c r="O845" s="201" t="n"/>
      <c r="P845" s="201" t="n"/>
      <c r="Q845" s="201" t="n"/>
      <c r="R845" s="201" t="n"/>
      <c r="S845" s="201" t="n"/>
      <c r="T845" s="201" t="n"/>
      <c r="U845" s="201" t="n"/>
      <c r="V845" s="201" t="n"/>
      <c r="W845" s="201" t="n"/>
      <c r="X845" s="201" t="n"/>
      <c r="Y845" s="201" t="n"/>
      <c r="Z845" s="201" t="n"/>
      <c r="AA845" s="201" t="n"/>
      <c r="AB845" s="201" t="n"/>
      <c r="AC845" s="201" t="n"/>
      <c r="AD845" s="201" t="n"/>
      <c r="AE845" s="201" t="n"/>
      <c r="AF845" s="201" t="n"/>
      <c r="AG845" s="201" t="n"/>
    </row>
    <row r="846" ht="12.75" customHeight="1" s="202">
      <c r="A846" s="201" t="n"/>
      <c r="B846" s="201" t="n"/>
      <c r="C846" s="201" t="n"/>
      <c r="D846" s="201" t="n"/>
      <c r="E846" s="201" t="n"/>
      <c r="F846" s="201" t="n"/>
      <c r="G846" s="201" t="n"/>
      <c r="H846" s="201" t="n"/>
      <c r="I846" s="201" t="n"/>
      <c r="J846" s="201" t="n"/>
      <c r="K846" s="201" t="n"/>
      <c r="L846" s="201" t="n"/>
      <c r="M846" s="201" t="n"/>
      <c r="N846" s="201" t="n"/>
      <c r="O846" s="201" t="n"/>
      <c r="P846" s="201" t="n"/>
      <c r="Q846" s="201" t="n"/>
      <c r="R846" s="201" t="n"/>
      <c r="S846" s="201" t="n"/>
      <c r="T846" s="201" t="n"/>
      <c r="U846" s="201" t="n"/>
      <c r="V846" s="201" t="n"/>
      <c r="W846" s="201" t="n"/>
      <c r="X846" s="201" t="n"/>
      <c r="Y846" s="201" t="n"/>
      <c r="Z846" s="201" t="n"/>
      <c r="AA846" s="201" t="n"/>
      <c r="AB846" s="201" t="n"/>
      <c r="AC846" s="201" t="n"/>
      <c r="AD846" s="201" t="n"/>
      <c r="AE846" s="201" t="n"/>
      <c r="AF846" s="201" t="n"/>
      <c r="AG846" s="201" t="n"/>
    </row>
    <row r="847" ht="12.75" customHeight="1" s="202">
      <c r="A847" s="201" t="n"/>
      <c r="B847" s="201" t="n"/>
      <c r="C847" s="201" t="n"/>
      <c r="D847" s="201" t="n"/>
      <c r="E847" s="201" t="n"/>
      <c r="F847" s="201" t="n"/>
      <c r="G847" s="201" t="n"/>
      <c r="H847" s="201" t="n"/>
      <c r="I847" s="201" t="n"/>
      <c r="J847" s="201" t="n"/>
      <c r="K847" s="201" t="n"/>
      <c r="L847" s="201" t="n"/>
      <c r="M847" s="201" t="n"/>
      <c r="N847" s="201" t="n"/>
      <c r="O847" s="201" t="n"/>
      <c r="P847" s="201" t="n"/>
      <c r="Q847" s="201" t="n"/>
      <c r="R847" s="201" t="n"/>
      <c r="S847" s="201" t="n"/>
      <c r="T847" s="201" t="n"/>
      <c r="U847" s="201" t="n"/>
      <c r="V847" s="201" t="n"/>
      <c r="W847" s="201" t="n"/>
      <c r="X847" s="201" t="n"/>
      <c r="Y847" s="201" t="n"/>
      <c r="Z847" s="201" t="n"/>
      <c r="AA847" s="201" t="n"/>
      <c r="AB847" s="201" t="n"/>
      <c r="AC847" s="201" t="n"/>
      <c r="AD847" s="201" t="n"/>
      <c r="AE847" s="201" t="n"/>
      <c r="AF847" s="201" t="n"/>
      <c r="AG847" s="201" t="n"/>
    </row>
    <row r="848" ht="12.75" customHeight="1" s="202">
      <c r="A848" s="201" t="n"/>
      <c r="B848" s="201" t="n"/>
      <c r="C848" s="201" t="n"/>
      <c r="D848" s="201" t="n"/>
      <c r="E848" s="201" t="n"/>
      <c r="F848" s="201" t="n"/>
      <c r="G848" s="201" t="n"/>
      <c r="H848" s="201" t="n"/>
      <c r="I848" s="201" t="n"/>
      <c r="J848" s="201" t="n"/>
      <c r="K848" s="201" t="n"/>
      <c r="L848" s="201" t="n"/>
      <c r="M848" s="201" t="n"/>
      <c r="N848" s="201" t="n"/>
      <c r="O848" s="201" t="n"/>
      <c r="P848" s="201" t="n"/>
      <c r="Q848" s="201" t="n"/>
      <c r="R848" s="201" t="n"/>
      <c r="S848" s="201" t="n"/>
      <c r="T848" s="201" t="n"/>
      <c r="U848" s="201" t="n"/>
      <c r="V848" s="201" t="n"/>
      <c r="W848" s="201" t="n"/>
      <c r="X848" s="201" t="n"/>
      <c r="Y848" s="201" t="n"/>
      <c r="Z848" s="201" t="n"/>
      <c r="AA848" s="201" t="n"/>
      <c r="AB848" s="201" t="n"/>
      <c r="AC848" s="201" t="n"/>
      <c r="AD848" s="201" t="n"/>
      <c r="AE848" s="201" t="n"/>
      <c r="AF848" s="201" t="n"/>
      <c r="AG848" s="201" t="n"/>
    </row>
    <row r="849" ht="12.75" customHeight="1" s="202">
      <c r="A849" s="201" t="n"/>
      <c r="B849" s="201" t="n"/>
      <c r="C849" s="201" t="n"/>
      <c r="D849" s="201" t="n"/>
      <c r="E849" s="201" t="n"/>
      <c r="F849" s="201" t="n"/>
      <c r="G849" s="201" t="n"/>
      <c r="H849" s="201" t="n"/>
      <c r="I849" s="201" t="n"/>
      <c r="J849" s="201" t="n"/>
      <c r="K849" s="201" t="n"/>
      <c r="L849" s="201" t="n"/>
      <c r="M849" s="201" t="n"/>
      <c r="N849" s="201" t="n"/>
      <c r="O849" s="201" t="n"/>
      <c r="P849" s="201" t="n"/>
      <c r="Q849" s="201" t="n"/>
      <c r="R849" s="201" t="n"/>
      <c r="S849" s="201" t="n"/>
      <c r="T849" s="201" t="n"/>
      <c r="U849" s="201" t="n"/>
      <c r="V849" s="201" t="n"/>
      <c r="W849" s="201" t="n"/>
      <c r="X849" s="201" t="n"/>
      <c r="Y849" s="201" t="n"/>
      <c r="Z849" s="201" t="n"/>
      <c r="AA849" s="201" t="n"/>
      <c r="AB849" s="201" t="n"/>
      <c r="AC849" s="201" t="n"/>
      <c r="AD849" s="201" t="n"/>
      <c r="AE849" s="201" t="n"/>
      <c r="AF849" s="201" t="n"/>
      <c r="AG849" s="201" t="n"/>
    </row>
    <row r="850" ht="12.75" customHeight="1" s="202">
      <c r="A850" s="201" t="n"/>
      <c r="B850" s="201" t="n"/>
      <c r="C850" s="201" t="n"/>
      <c r="D850" s="201" t="n"/>
      <c r="E850" s="201" t="n"/>
      <c r="F850" s="201" t="n"/>
      <c r="G850" s="201" t="n"/>
      <c r="H850" s="201" t="n"/>
      <c r="I850" s="201" t="n"/>
      <c r="J850" s="201" t="n"/>
      <c r="K850" s="201" t="n"/>
      <c r="L850" s="201" t="n"/>
      <c r="M850" s="201" t="n"/>
      <c r="N850" s="201" t="n"/>
      <c r="O850" s="201" t="n"/>
      <c r="P850" s="201" t="n"/>
      <c r="Q850" s="201" t="n"/>
      <c r="R850" s="201" t="n"/>
      <c r="S850" s="201" t="n"/>
      <c r="T850" s="201" t="n"/>
      <c r="U850" s="201" t="n"/>
      <c r="V850" s="201" t="n"/>
      <c r="W850" s="201" t="n"/>
      <c r="X850" s="201" t="n"/>
      <c r="Y850" s="201" t="n"/>
      <c r="Z850" s="201" t="n"/>
      <c r="AA850" s="201" t="n"/>
      <c r="AB850" s="201" t="n"/>
      <c r="AC850" s="201" t="n"/>
      <c r="AD850" s="201" t="n"/>
      <c r="AE850" s="201" t="n"/>
      <c r="AF850" s="201" t="n"/>
      <c r="AG850" s="201" t="n"/>
    </row>
    <row r="851" ht="12.75" customHeight="1" s="202">
      <c r="A851" s="201" t="n"/>
      <c r="B851" s="201" t="n"/>
      <c r="C851" s="201" t="n"/>
      <c r="D851" s="201" t="n"/>
      <c r="E851" s="201" t="n"/>
      <c r="F851" s="201" t="n"/>
      <c r="G851" s="201" t="n"/>
      <c r="H851" s="201" t="n"/>
      <c r="I851" s="201" t="n"/>
      <c r="J851" s="201" t="n"/>
      <c r="K851" s="201" t="n"/>
      <c r="L851" s="201" t="n"/>
      <c r="M851" s="201" t="n"/>
      <c r="N851" s="201" t="n"/>
      <c r="O851" s="201" t="n"/>
      <c r="P851" s="201" t="n"/>
      <c r="Q851" s="201" t="n"/>
      <c r="R851" s="201" t="n"/>
      <c r="S851" s="201" t="n"/>
      <c r="T851" s="201" t="n"/>
      <c r="U851" s="201" t="n"/>
      <c r="V851" s="201" t="n"/>
      <c r="W851" s="201" t="n"/>
      <c r="X851" s="201" t="n"/>
      <c r="Y851" s="201" t="n"/>
      <c r="Z851" s="201" t="n"/>
      <c r="AA851" s="201" t="n"/>
      <c r="AB851" s="201" t="n"/>
      <c r="AC851" s="201" t="n"/>
      <c r="AD851" s="201" t="n"/>
      <c r="AE851" s="201" t="n"/>
      <c r="AF851" s="201" t="n"/>
      <c r="AG851" s="201" t="n"/>
    </row>
    <row r="852" ht="12.75" customHeight="1" s="202">
      <c r="A852" s="201" t="n"/>
      <c r="B852" s="201" t="n"/>
      <c r="C852" s="201" t="n"/>
      <c r="D852" s="201" t="n"/>
      <c r="E852" s="201" t="n"/>
      <c r="F852" s="201" t="n"/>
      <c r="G852" s="201" t="n"/>
      <c r="H852" s="201" t="n"/>
      <c r="I852" s="201" t="n"/>
      <c r="J852" s="201" t="n"/>
      <c r="K852" s="201" t="n"/>
      <c r="L852" s="201" t="n"/>
      <c r="M852" s="201" t="n"/>
      <c r="N852" s="201" t="n"/>
      <c r="O852" s="201" t="n"/>
      <c r="P852" s="201" t="n"/>
      <c r="Q852" s="201" t="n"/>
      <c r="R852" s="201" t="n"/>
      <c r="S852" s="201" t="n"/>
      <c r="T852" s="201" t="n"/>
      <c r="U852" s="201" t="n"/>
      <c r="V852" s="201" t="n"/>
      <c r="W852" s="201" t="n"/>
      <c r="X852" s="201" t="n"/>
      <c r="Y852" s="201" t="n"/>
      <c r="Z852" s="201" t="n"/>
      <c r="AA852" s="201" t="n"/>
      <c r="AB852" s="201" t="n"/>
      <c r="AC852" s="201" t="n"/>
      <c r="AD852" s="201" t="n"/>
      <c r="AE852" s="201" t="n"/>
      <c r="AF852" s="201" t="n"/>
      <c r="AG852" s="201" t="n"/>
    </row>
    <row r="853" ht="12.75" customHeight="1" s="202">
      <c r="A853" s="201" t="n"/>
      <c r="B853" s="201" t="n"/>
      <c r="C853" s="201" t="n"/>
      <c r="D853" s="201" t="n"/>
      <c r="E853" s="201" t="n"/>
      <c r="F853" s="201" t="n"/>
      <c r="G853" s="201" t="n"/>
      <c r="H853" s="201" t="n"/>
      <c r="I853" s="201" t="n"/>
      <c r="J853" s="201" t="n"/>
      <c r="K853" s="201" t="n"/>
      <c r="L853" s="201" t="n"/>
      <c r="M853" s="201" t="n"/>
      <c r="N853" s="201" t="n"/>
      <c r="O853" s="201" t="n"/>
      <c r="P853" s="201" t="n"/>
      <c r="Q853" s="201" t="n"/>
      <c r="R853" s="201" t="n"/>
      <c r="S853" s="201" t="n"/>
      <c r="T853" s="201" t="n"/>
      <c r="U853" s="201" t="n"/>
      <c r="V853" s="201" t="n"/>
      <c r="W853" s="201" t="n"/>
      <c r="X853" s="201" t="n"/>
      <c r="Y853" s="201" t="n"/>
      <c r="Z853" s="201" t="n"/>
      <c r="AA853" s="201" t="n"/>
      <c r="AB853" s="201" t="n"/>
      <c r="AC853" s="201" t="n"/>
      <c r="AD853" s="201" t="n"/>
      <c r="AE853" s="201" t="n"/>
      <c r="AF853" s="201" t="n"/>
      <c r="AG853" s="201" t="n"/>
    </row>
    <row r="854" ht="12.75" customHeight="1" s="202">
      <c r="A854" s="201" t="n"/>
      <c r="B854" s="201" t="n"/>
      <c r="C854" s="201" t="n"/>
      <c r="D854" s="201" t="n"/>
      <c r="E854" s="201" t="n"/>
      <c r="F854" s="201" t="n"/>
      <c r="G854" s="201" t="n"/>
      <c r="H854" s="201" t="n"/>
      <c r="I854" s="201" t="n"/>
      <c r="J854" s="201" t="n"/>
      <c r="K854" s="201" t="n"/>
      <c r="L854" s="201" t="n"/>
      <c r="M854" s="201" t="n"/>
      <c r="N854" s="201" t="n"/>
      <c r="O854" s="201" t="n"/>
      <c r="P854" s="201" t="n"/>
      <c r="Q854" s="201" t="n"/>
      <c r="R854" s="201" t="n"/>
      <c r="S854" s="201" t="n"/>
      <c r="T854" s="201" t="n"/>
      <c r="U854" s="201" t="n"/>
      <c r="V854" s="201" t="n"/>
      <c r="W854" s="201" t="n"/>
      <c r="X854" s="201" t="n"/>
      <c r="Y854" s="201" t="n"/>
      <c r="Z854" s="201" t="n"/>
      <c r="AA854" s="201" t="n"/>
      <c r="AB854" s="201" t="n"/>
      <c r="AC854" s="201" t="n"/>
      <c r="AD854" s="201" t="n"/>
      <c r="AE854" s="201" t="n"/>
      <c r="AF854" s="201" t="n"/>
      <c r="AG854" s="201" t="n"/>
    </row>
    <row r="855" ht="12.75" customHeight="1" s="202">
      <c r="A855" s="201" t="n"/>
      <c r="B855" s="201" t="n"/>
      <c r="C855" s="201" t="n"/>
      <c r="D855" s="201" t="n"/>
      <c r="E855" s="201" t="n"/>
      <c r="F855" s="201" t="n"/>
      <c r="G855" s="201" t="n"/>
      <c r="H855" s="201" t="n"/>
      <c r="I855" s="201" t="n"/>
      <c r="J855" s="201" t="n"/>
      <c r="K855" s="201" t="n"/>
      <c r="L855" s="201" t="n"/>
      <c r="M855" s="201" t="n"/>
      <c r="N855" s="201" t="n"/>
      <c r="O855" s="201" t="n"/>
      <c r="P855" s="201" t="n"/>
      <c r="Q855" s="201" t="n"/>
      <c r="R855" s="201" t="n"/>
      <c r="S855" s="201" t="n"/>
      <c r="T855" s="201" t="n"/>
      <c r="U855" s="201" t="n"/>
      <c r="V855" s="201" t="n"/>
      <c r="W855" s="201" t="n"/>
      <c r="X855" s="201" t="n"/>
      <c r="Y855" s="201" t="n"/>
      <c r="Z855" s="201" t="n"/>
      <c r="AA855" s="201" t="n"/>
      <c r="AB855" s="201" t="n"/>
      <c r="AC855" s="201" t="n"/>
      <c r="AD855" s="201" t="n"/>
      <c r="AE855" s="201" t="n"/>
      <c r="AF855" s="201" t="n"/>
      <c r="AG855" s="201" t="n"/>
    </row>
    <row r="856" ht="12.75" customHeight="1" s="202">
      <c r="A856" s="201" t="n"/>
      <c r="B856" s="201" t="n"/>
      <c r="C856" s="201" t="n"/>
      <c r="D856" s="201" t="n"/>
      <c r="E856" s="201" t="n"/>
      <c r="F856" s="201" t="n"/>
      <c r="G856" s="201" t="n"/>
      <c r="H856" s="201" t="n"/>
      <c r="I856" s="201" t="n"/>
      <c r="J856" s="201" t="n"/>
      <c r="K856" s="201" t="n"/>
      <c r="L856" s="201" t="n"/>
      <c r="M856" s="201" t="n"/>
      <c r="N856" s="201" t="n"/>
      <c r="O856" s="201" t="n"/>
      <c r="P856" s="201" t="n"/>
      <c r="Q856" s="201" t="n"/>
      <c r="R856" s="201" t="n"/>
      <c r="S856" s="201" t="n"/>
      <c r="T856" s="201" t="n"/>
      <c r="U856" s="201" t="n"/>
      <c r="V856" s="201" t="n"/>
      <c r="W856" s="201" t="n"/>
      <c r="X856" s="201" t="n"/>
      <c r="Y856" s="201" t="n"/>
      <c r="Z856" s="201" t="n"/>
      <c r="AA856" s="201" t="n"/>
      <c r="AB856" s="201" t="n"/>
      <c r="AC856" s="201" t="n"/>
      <c r="AD856" s="201" t="n"/>
      <c r="AE856" s="201" t="n"/>
      <c r="AF856" s="201" t="n"/>
      <c r="AG856" s="201" t="n"/>
    </row>
    <row r="857" ht="12.75" customHeight="1" s="202">
      <c r="A857" s="201" t="n"/>
      <c r="B857" s="201" t="n"/>
      <c r="C857" s="201" t="n"/>
      <c r="D857" s="201" t="n"/>
      <c r="E857" s="201" t="n"/>
      <c r="F857" s="201" t="n"/>
      <c r="G857" s="201" t="n"/>
      <c r="H857" s="201" t="n"/>
      <c r="I857" s="201" t="n"/>
      <c r="J857" s="201" t="n"/>
      <c r="K857" s="201" t="n"/>
      <c r="L857" s="201" t="n"/>
      <c r="M857" s="201" t="n"/>
      <c r="N857" s="201" t="n"/>
      <c r="O857" s="201" t="n"/>
      <c r="P857" s="201" t="n"/>
      <c r="Q857" s="201" t="n"/>
      <c r="R857" s="201" t="n"/>
      <c r="S857" s="201" t="n"/>
      <c r="T857" s="201" t="n"/>
      <c r="U857" s="201" t="n"/>
      <c r="V857" s="201" t="n"/>
      <c r="W857" s="201" t="n"/>
      <c r="X857" s="201" t="n"/>
      <c r="Y857" s="201" t="n"/>
      <c r="Z857" s="201" t="n"/>
      <c r="AA857" s="201" t="n"/>
      <c r="AB857" s="201" t="n"/>
      <c r="AC857" s="201" t="n"/>
      <c r="AD857" s="201" t="n"/>
      <c r="AE857" s="201" t="n"/>
      <c r="AF857" s="201" t="n"/>
      <c r="AG857" s="201" t="n"/>
    </row>
    <row r="858" ht="12.75" customHeight="1" s="202">
      <c r="A858" s="201" t="n"/>
      <c r="B858" s="201" t="n"/>
      <c r="C858" s="201" t="n"/>
      <c r="D858" s="201" t="n"/>
      <c r="E858" s="201" t="n"/>
      <c r="F858" s="201" t="n"/>
      <c r="G858" s="201" t="n"/>
      <c r="H858" s="201" t="n"/>
      <c r="I858" s="201" t="n"/>
      <c r="J858" s="201" t="n"/>
      <c r="K858" s="201" t="n"/>
      <c r="L858" s="201" t="n"/>
      <c r="M858" s="201" t="n"/>
      <c r="N858" s="201" t="n"/>
      <c r="O858" s="201" t="n"/>
      <c r="P858" s="201" t="n"/>
      <c r="Q858" s="201" t="n"/>
      <c r="R858" s="201" t="n"/>
      <c r="S858" s="201" t="n"/>
      <c r="T858" s="201" t="n"/>
      <c r="U858" s="201" t="n"/>
      <c r="V858" s="201" t="n"/>
      <c r="W858" s="201" t="n"/>
      <c r="X858" s="201" t="n"/>
      <c r="Y858" s="201" t="n"/>
      <c r="Z858" s="201" t="n"/>
      <c r="AA858" s="201" t="n"/>
      <c r="AB858" s="201" t="n"/>
      <c r="AC858" s="201" t="n"/>
      <c r="AD858" s="201" t="n"/>
      <c r="AE858" s="201" t="n"/>
      <c r="AF858" s="201" t="n"/>
      <c r="AG858" s="201" t="n"/>
    </row>
    <row r="859" ht="12.75" customHeight="1" s="202">
      <c r="A859" s="201" t="n"/>
      <c r="B859" s="201" t="n"/>
      <c r="C859" s="201" t="n"/>
      <c r="D859" s="201" t="n"/>
      <c r="E859" s="201" t="n"/>
      <c r="F859" s="201" t="n"/>
      <c r="G859" s="201" t="n"/>
      <c r="H859" s="201" t="n"/>
      <c r="I859" s="201" t="n"/>
      <c r="J859" s="201" t="n"/>
      <c r="K859" s="201" t="n"/>
      <c r="L859" s="201" t="n"/>
      <c r="M859" s="201" t="n"/>
      <c r="N859" s="201" t="n"/>
      <c r="O859" s="201" t="n"/>
      <c r="P859" s="201" t="n"/>
      <c r="Q859" s="201" t="n"/>
      <c r="R859" s="201" t="n"/>
      <c r="S859" s="201" t="n"/>
      <c r="T859" s="201" t="n"/>
      <c r="U859" s="201" t="n"/>
      <c r="V859" s="201" t="n"/>
      <c r="W859" s="201" t="n"/>
      <c r="X859" s="201" t="n"/>
      <c r="Y859" s="201" t="n"/>
      <c r="Z859" s="201" t="n"/>
      <c r="AA859" s="201" t="n"/>
      <c r="AB859" s="201" t="n"/>
      <c r="AC859" s="201" t="n"/>
      <c r="AD859" s="201" t="n"/>
      <c r="AE859" s="201" t="n"/>
      <c r="AF859" s="201" t="n"/>
      <c r="AG859" s="201" t="n"/>
    </row>
    <row r="860" ht="12.75" customHeight="1" s="202">
      <c r="A860" s="201" t="n"/>
      <c r="B860" s="201" t="n"/>
      <c r="C860" s="201" t="n"/>
      <c r="D860" s="201" t="n"/>
      <c r="E860" s="201" t="n"/>
      <c r="F860" s="201" t="n"/>
      <c r="G860" s="201" t="n"/>
      <c r="H860" s="201" t="n"/>
      <c r="I860" s="201" t="n"/>
      <c r="J860" s="201" t="n"/>
      <c r="K860" s="201" t="n"/>
      <c r="L860" s="201" t="n"/>
      <c r="M860" s="201" t="n"/>
      <c r="N860" s="201" t="n"/>
      <c r="O860" s="201" t="n"/>
      <c r="P860" s="201" t="n"/>
      <c r="Q860" s="201" t="n"/>
      <c r="R860" s="201" t="n"/>
      <c r="S860" s="201" t="n"/>
      <c r="T860" s="201" t="n"/>
      <c r="U860" s="201" t="n"/>
      <c r="V860" s="201" t="n"/>
      <c r="W860" s="201" t="n"/>
      <c r="X860" s="201" t="n"/>
      <c r="Y860" s="201" t="n"/>
      <c r="Z860" s="201" t="n"/>
      <c r="AA860" s="201" t="n"/>
      <c r="AB860" s="201" t="n"/>
      <c r="AC860" s="201" t="n"/>
      <c r="AD860" s="201" t="n"/>
      <c r="AE860" s="201" t="n"/>
      <c r="AF860" s="201" t="n"/>
      <c r="AG860" s="201" t="n"/>
    </row>
    <row r="861" ht="12.75" customHeight="1" s="202">
      <c r="A861" s="201" t="n"/>
      <c r="B861" s="201" t="n"/>
      <c r="C861" s="201" t="n"/>
      <c r="D861" s="201" t="n"/>
      <c r="E861" s="201" t="n"/>
      <c r="F861" s="201" t="n"/>
      <c r="G861" s="201" t="n"/>
      <c r="H861" s="201" t="n"/>
      <c r="I861" s="201" t="n"/>
      <c r="J861" s="201" t="n"/>
      <c r="K861" s="201" t="n"/>
      <c r="L861" s="201" t="n"/>
      <c r="M861" s="201" t="n"/>
      <c r="N861" s="201" t="n"/>
      <c r="O861" s="201" t="n"/>
      <c r="P861" s="201" t="n"/>
      <c r="Q861" s="201" t="n"/>
      <c r="R861" s="201" t="n"/>
      <c r="S861" s="201" t="n"/>
      <c r="T861" s="201" t="n"/>
      <c r="U861" s="201" t="n"/>
      <c r="V861" s="201" t="n"/>
      <c r="W861" s="201" t="n"/>
      <c r="X861" s="201" t="n"/>
      <c r="Y861" s="201" t="n"/>
      <c r="Z861" s="201" t="n"/>
      <c r="AA861" s="201" t="n"/>
      <c r="AB861" s="201" t="n"/>
      <c r="AC861" s="201" t="n"/>
      <c r="AD861" s="201" t="n"/>
      <c r="AE861" s="201" t="n"/>
      <c r="AF861" s="201" t="n"/>
      <c r="AG861" s="201" t="n"/>
    </row>
    <row r="862" ht="12.75" customHeight="1" s="202">
      <c r="A862" s="201" t="n"/>
      <c r="B862" s="201" t="n"/>
      <c r="C862" s="201" t="n"/>
      <c r="D862" s="201" t="n"/>
      <c r="E862" s="201" t="n"/>
      <c r="F862" s="201" t="n"/>
      <c r="G862" s="201" t="n"/>
      <c r="H862" s="201" t="n"/>
      <c r="I862" s="201" t="n"/>
      <c r="J862" s="201" t="n"/>
      <c r="K862" s="201" t="n"/>
      <c r="L862" s="201" t="n"/>
      <c r="M862" s="201" t="n"/>
      <c r="N862" s="201" t="n"/>
      <c r="O862" s="201" t="n"/>
      <c r="P862" s="201" t="n"/>
      <c r="Q862" s="201" t="n"/>
      <c r="R862" s="201" t="n"/>
      <c r="S862" s="201" t="n"/>
      <c r="T862" s="201" t="n"/>
      <c r="U862" s="201" t="n"/>
      <c r="V862" s="201" t="n"/>
      <c r="W862" s="201" t="n"/>
      <c r="X862" s="201" t="n"/>
      <c r="Y862" s="201" t="n"/>
      <c r="Z862" s="201" t="n"/>
      <c r="AA862" s="201" t="n"/>
      <c r="AB862" s="201" t="n"/>
      <c r="AC862" s="201" t="n"/>
      <c r="AD862" s="201" t="n"/>
      <c r="AE862" s="201" t="n"/>
      <c r="AF862" s="201" t="n"/>
      <c r="AG862" s="201" t="n"/>
    </row>
    <row r="863" ht="12.75" customHeight="1" s="202">
      <c r="A863" s="201" t="n"/>
      <c r="B863" s="201" t="n"/>
      <c r="C863" s="201" t="n"/>
      <c r="D863" s="201" t="n"/>
      <c r="E863" s="201" t="n"/>
      <c r="F863" s="201" t="n"/>
      <c r="G863" s="201" t="n"/>
      <c r="H863" s="201" t="n"/>
      <c r="I863" s="201" t="n"/>
      <c r="J863" s="201" t="n"/>
      <c r="K863" s="201" t="n"/>
      <c r="L863" s="201" t="n"/>
      <c r="M863" s="201" t="n"/>
      <c r="N863" s="201" t="n"/>
      <c r="O863" s="201" t="n"/>
      <c r="P863" s="201" t="n"/>
      <c r="Q863" s="201" t="n"/>
      <c r="R863" s="201" t="n"/>
      <c r="S863" s="201" t="n"/>
      <c r="T863" s="201" t="n"/>
      <c r="U863" s="201" t="n"/>
      <c r="V863" s="201" t="n"/>
      <c r="W863" s="201" t="n"/>
      <c r="X863" s="201" t="n"/>
      <c r="Y863" s="201" t="n"/>
      <c r="Z863" s="201" t="n"/>
      <c r="AA863" s="201" t="n"/>
      <c r="AB863" s="201" t="n"/>
      <c r="AC863" s="201" t="n"/>
      <c r="AD863" s="201" t="n"/>
      <c r="AE863" s="201" t="n"/>
      <c r="AF863" s="201" t="n"/>
      <c r="AG863" s="201" t="n"/>
    </row>
    <row r="864" ht="12.75" customHeight="1" s="202">
      <c r="A864" s="201" t="n"/>
      <c r="B864" s="201" t="n"/>
      <c r="C864" s="201" t="n"/>
      <c r="D864" s="201" t="n"/>
      <c r="E864" s="201" t="n"/>
      <c r="F864" s="201" t="n"/>
      <c r="G864" s="201" t="n"/>
      <c r="H864" s="201" t="n"/>
      <c r="I864" s="201" t="n"/>
      <c r="J864" s="201" t="n"/>
      <c r="K864" s="201" t="n"/>
      <c r="L864" s="201" t="n"/>
      <c r="M864" s="201" t="n"/>
      <c r="N864" s="201" t="n"/>
      <c r="O864" s="201" t="n"/>
      <c r="P864" s="201" t="n"/>
      <c r="Q864" s="201" t="n"/>
      <c r="R864" s="201" t="n"/>
      <c r="S864" s="201" t="n"/>
      <c r="T864" s="201" t="n"/>
      <c r="U864" s="201" t="n"/>
      <c r="V864" s="201" t="n"/>
      <c r="W864" s="201" t="n"/>
      <c r="X864" s="201" t="n"/>
      <c r="Y864" s="201" t="n"/>
      <c r="Z864" s="201" t="n"/>
      <c r="AA864" s="201" t="n"/>
      <c r="AB864" s="201" t="n"/>
      <c r="AC864" s="201" t="n"/>
      <c r="AD864" s="201" t="n"/>
      <c r="AE864" s="201" t="n"/>
      <c r="AF864" s="201" t="n"/>
      <c r="AG864" s="201" t="n"/>
    </row>
    <row r="865" ht="12.75" customHeight="1" s="202">
      <c r="A865" s="201" t="n"/>
      <c r="B865" s="201" t="n"/>
      <c r="C865" s="201" t="n"/>
      <c r="D865" s="201" t="n"/>
      <c r="E865" s="201" t="n"/>
      <c r="F865" s="201" t="n"/>
      <c r="G865" s="201" t="n"/>
      <c r="H865" s="201" t="n"/>
      <c r="I865" s="201" t="n"/>
      <c r="J865" s="201" t="n"/>
      <c r="K865" s="201" t="n"/>
      <c r="L865" s="201" t="n"/>
      <c r="M865" s="201" t="n"/>
      <c r="N865" s="201" t="n"/>
      <c r="O865" s="201" t="n"/>
      <c r="P865" s="201" t="n"/>
      <c r="Q865" s="201" t="n"/>
      <c r="R865" s="201" t="n"/>
      <c r="S865" s="201" t="n"/>
      <c r="T865" s="201" t="n"/>
      <c r="U865" s="201" t="n"/>
      <c r="V865" s="201" t="n"/>
      <c r="W865" s="201" t="n"/>
      <c r="X865" s="201" t="n"/>
      <c r="Y865" s="201" t="n"/>
      <c r="Z865" s="201" t="n"/>
      <c r="AA865" s="201" t="n"/>
      <c r="AB865" s="201" t="n"/>
      <c r="AC865" s="201" t="n"/>
      <c r="AD865" s="201" t="n"/>
      <c r="AE865" s="201" t="n"/>
      <c r="AF865" s="201" t="n"/>
      <c r="AG865" s="201" t="n"/>
    </row>
    <row r="866" ht="12.75" customHeight="1" s="202">
      <c r="A866" s="201" t="n"/>
      <c r="B866" s="201" t="n"/>
      <c r="C866" s="201" t="n"/>
      <c r="D866" s="201" t="n"/>
      <c r="E866" s="201" t="n"/>
      <c r="F866" s="201" t="n"/>
      <c r="G866" s="201" t="n"/>
      <c r="H866" s="201" t="n"/>
      <c r="I866" s="201" t="n"/>
      <c r="J866" s="201" t="n"/>
      <c r="K866" s="201" t="n"/>
      <c r="L866" s="201" t="n"/>
      <c r="M866" s="201" t="n"/>
      <c r="N866" s="201" t="n"/>
      <c r="O866" s="201" t="n"/>
      <c r="P866" s="201" t="n"/>
      <c r="Q866" s="201" t="n"/>
      <c r="R866" s="201" t="n"/>
      <c r="S866" s="201" t="n"/>
      <c r="T866" s="201" t="n"/>
      <c r="U866" s="201" t="n"/>
      <c r="V866" s="201" t="n"/>
      <c r="W866" s="201" t="n"/>
      <c r="X866" s="201" t="n"/>
      <c r="Y866" s="201" t="n"/>
      <c r="Z866" s="201" t="n"/>
      <c r="AA866" s="201" t="n"/>
      <c r="AB866" s="201" t="n"/>
      <c r="AC866" s="201" t="n"/>
      <c r="AD866" s="201" t="n"/>
      <c r="AE866" s="201" t="n"/>
      <c r="AF866" s="201" t="n"/>
      <c r="AG866" s="201" t="n"/>
    </row>
    <row r="867" ht="12.75" customHeight="1" s="202">
      <c r="A867" s="201" t="n"/>
      <c r="B867" s="201" t="n"/>
      <c r="C867" s="201" t="n"/>
      <c r="D867" s="201" t="n"/>
      <c r="E867" s="201" t="n"/>
      <c r="F867" s="201" t="n"/>
      <c r="G867" s="201" t="n"/>
      <c r="H867" s="201" t="n"/>
      <c r="I867" s="201" t="n"/>
      <c r="J867" s="201" t="n"/>
      <c r="K867" s="201" t="n"/>
      <c r="L867" s="201" t="n"/>
      <c r="M867" s="201" t="n"/>
      <c r="N867" s="201" t="n"/>
      <c r="O867" s="201" t="n"/>
      <c r="P867" s="201" t="n"/>
      <c r="Q867" s="201" t="n"/>
      <c r="R867" s="201" t="n"/>
      <c r="S867" s="201" t="n"/>
      <c r="T867" s="201" t="n"/>
      <c r="U867" s="201" t="n"/>
      <c r="V867" s="201" t="n"/>
      <c r="W867" s="201" t="n"/>
      <c r="X867" s="201" t="n"/>
      <c r="Y867" s="201" t="n"/>
      <c r="Z867" s="201" t="n"/>
      <c r="AA867" s="201" t="n"/>
      <c r="AB867" s="201" t="n"/>
      <c r="AC867" s="201" t="n"/>
      <c r="AD867" s="201" t="n"/>
      <c r="AE867" s="201" t="n"/>
      <c r="AF867" s="201" t="n"/>
      <c r="AG867" s="201" t="n"/>
    </row>
    <row r="868" ht="12.75" customHeight="1" s="202">
      <c r="A868" s="201" t="n"/>
      <c r="B868" s="201" t="n"/>
      <c r="C868" s="201" t="n"/>
      <c r="D868" s="201" t="n"/>
      <c r="E868" s="201" t="n"/>
      <c r="F868" s="201" t="n"/>
      <c r="G868" s="201" t="n"/>
      <c r="H868" s="201" t="n"/>
      <c r="I868" s="201" t="n"/>
      <c r="J868" s="201" t="n"/>
      <c r="K868" s="201" t="n"/>
      <c r="L868" s="201" t="n"/>
      <c r="M868" s="201" t="n"/>
      <c r="N868" s="201" t="n"/>
      <c r="O868" s="201" t="n"/>
      <c r="P868" s="201" t="n"/>
      <c r="Q868" s="201" t="n"/>
      <c r="R868" s="201" t="n"/>
      <c r="S868" s="201" t="n"/>
      <c r="T868" s="201" t="n"/>
      <c r="U868" s="201" t="n"/>
      <c r="V868" s="201" t="n"/>
      <c r="W868" s="201" t="n"/>
      <c r="X868" s="201" t="n"/>
      <c r="Y868" s="201" t="n"/>
      <c r="Z868" s="201" t="n"/>
      <c r="AA868" s="201" t="n"/>
      <c r="AB868" s="201" t="n"/>
      <c r="AC868" s="201" t="n"/>
      <c r="AD868" s="201" t="n"/>
      <c r="AE868" s="201" t="n"/>
      <c r="AF868" s="201" t="n"/>
      <c r="AG868" s="201" t="n"/>
    </row>
    <row r="869" ht="12.75" customHeight="1" s="202">
      <c r="A869" s="201" t="n"/>
      <c r="B869" s="201" t="n"/>
      <c r="C869" s="201" t="n"/>
      <c r="D869" s="201" t="n"/>
      <c r="E869" s="201" t="n"/>
      <c r="F869" s="201" t="n"/>
      <c r="G869" s="201" t="n"/>
      <c r="H869" s="201" t="n"/>
      <c r="I869" s="201" t="n"/>
      <c r="J869" s="201" t="n"/>
      <c r="K869" s="201" t="n"/>
      <c r="L869" s="201" t="n"/>
      <c r="M869" s="201" t="n"/>
      <c r="N869" s="201" t="n"/>
      <c r="O869" s="201" t="n"/>
      <c r="P869" s="201" t="n"/>
      <c r="Q869" s="201" t="n"/>
      <c r="R869" s="201" t="n"/>
      <c r="S869" s="201" t="n"/>
      <c r="T869" s="201" t="n"/>
      <c r="U869" s="201" t="n"/>
      <c r="V869" s="201" t="n"/>
      <c r="W869" s="201" t="n"/>
      <c r="X869" s="201" t="n"/>
      <c r="Y869" s="201" t="n"/>
      <c r="Z869" s="201" t="n"/>
      <c r="AA869" s="201" t="n"/>
      <c r="AB869" s="201" t="n"/>
      <c r="AC869" s="201" t="n"/>
      <c r="AD869" s="201" t="n"/>
      <c r="AE869" s="201" t="n"/>
      <c r="AF869" s="201" t="n"/>
      <c r="AG869" s="201" t="n"/>
    </row>
    <row r="870" ht="12.75" customHeight="1" s="202">
      <c r="A870" s="201" t="n"/>
      <c r="B870" s="201" t="n"/>
      <c r="C870" s="201" t="n"/>
      <c r="D870" s="201" t="n"/>
      <c r="E870" s="201" t="n"/>
      <c r="F870" s="201" t="n"/>
      <c r="G870" s="201" t="n"/>
      <c r="H870" s="201" t="n"/>
      <c r="I870" s="201" t="n"/>
      <c r="J870" s="201" t="n"/>
      <c r="K870" s="201" t="n"/>
      <c r="L870" s="201" t="n"/>
      <c r="M870" s="201" t="n"/>
      <c r="N870" s="201" t="n"/>
      <c r="O870" s="201" t="n"/>
      <c r="P870" s="201" t="n"/>
      <c r="Q870" s="201" t="n"/>
      <c r="R870" s="201" t="n"/>
      <c r="S870" s="201" t="n"/>
      <c r="T870" s="201" t="n"/>
      <c r="U870" s="201" t="n"/>
      <c r="V870" s="201" t="n"/>
      <c r="W870" s="201" t="n"/>
      <c r="X870" s="201" t="n"/>
      <c r="Y870" s="201" t="n"/>
      <c r="Z870" s="201" t="n"/>
      <c r="AA870" s="201" t="n"/>
      <c r="AB870" s="201" t="n"/>
      <c r="AC870" s="201" t="n"/>
      <c r="AD870" s="201" t="n"/>
      <c r="AE870" s="201" t="n"/>
      <c r="AF870" s="201" t="n"/>
      <c r="AG870" s="201" t="n"/>
    </row>
    <row r="871" ht="12.75" customHeight="1" s="202">
      <c r="A871" s="201" t="n"/>
      <c r="B871" s="201" t="n"/>
      <c r="C871" s="201" t="n"/>
      <c r="D871" s="201" t="n"/>
      <c r="E871" s="201" t="n"/>
      <c r="F871" s="201" t="n"/>
      <c r="G871" s="201" t="n"/>
      <c r="H871" s="201" t="n"/>
      <c r="I871" s="201" t="n"/>
      <c r="J871" s="201" t="n"/>
      <c r="K871" s="201" t="n"/>
      <c r="L871" s="201" t="n"/>
      <c r="M871" s="201" t="n"/>
      <c r="N871" s="201" t="n"/>
      <c r="O871" s="201" t="n"/>
      <c r="P871" s="201" t="n"/>
      <c r="Q871" s="201" t="n"/>
      <c r="R871" s="201" t="n"/>
      <c r="S871" s="201" t="n"/>
      <c r="T871" s="201" t="n"/>
      <c r="U871" s="201" t="n"/>
      <c r="V871" s="201" t="n"/>
      <c r="W871" s="201" t="n"/>
      <c r="X871" s="201" t="n"/>
      <c r="Y871" s="201" t="n"/>
      <c r="Z871" s="201" t="n"/>
      <c r="AA871" s="201" t="n"/>
      <c r="AB871" s="201" t="n"/>
      <c r="AC871" s="201" t="n"/>
      <c r="AD871" s="201" t="n"/>
      <c r="AE871" s="201" t="n"/>
      <c r="AF871" s="201" t="n"/>
      <c r="AG871" s="201" t="n"/>
    </row>
    <row r="872" ht="12.75" customHeight="1" s="202">
      <c r="A872" s="201" t="n"/>
      <c r="B872" s="201" t="n"/>
      <c r="C872" s="201" t="n"/>
      <c r="D872" s="201" t="n"/>
      <c r="E872" s="201" t="n"/>
      <c r="F872" s="201" t="n"/>
      <c r="G872" s="201" t="n"/>
      <c r="H872" s="201" t="n"/>
      <c r="I872" s="201" t="n"/>
      <c r="J872" s="201" t="n"/>
      <c r="K872" s="201" t="n"/>
      <c r="L872" s="201" t="n"/>
      <c r="M872" s="201" t="n"/>
      <c r="N872" s="201" t="n"/>
      <c r="O872" s="201" t="n"/>
      <c r="P872" s="201" t="n"/>
      <c r="Q872" s="201" t="n"/>
      <c r="R872" s="201" t="n"/>
      <c r="S872" s="201" t="n"/>
      <c r="T872" s="201" t="n"/>
      <c r="U872" s="201" t="n"/>
      <c r="V872" s="201" t="n"/>
      <c r="W872" s="201" t="n"/>
      <c r="X872" s="201" t="n"/>
      <c r="Y872" s="201" t="n"/>
      <c r="Z872" s="201" t="n"/>
      <c r="AA872" s="201" t="n"/>
      <c r="AB872" s="201" t="n"/>
      <c r="AC872" s="201" t="n"/>
      <c r="AD872" s="201" t="n"/>
      <c r="AE872" s="201" t="n"/>
      <c r="AF872" s="201" t="n"/>
      <c r="AG872" s="201" t="n"/>
    </row>
    <row r="873" ht="12.75" customHeight="1" s="202">
      <c r="A873" s="201" t="n"/>
      <c r="B873" s="201" t="n"/>
      <c r="C873" s="201" t="n"/>
      <c r="D873" s="201" t="n"/>
      <c r="E873" s="201" t="n"/>
      <c r="F873" s="201" t="n"/>
      <c r="G873" s="201" t="n"/>
      <c r="H873" s="201" t="n"/>
      <c r="I873" s="201" t="n"/>
      <c r="J873" s="201" t="n"/>
      <c r="K873" s="201" t="n"/>
      <c r="L873" s="201" t="n"/>
      <c r="M873" s="201" t="n"/>
      <c r="N873" s="201" t="n"/>
      <c r="O873" s="201" t="n"/>
      <c r="P873" s="201" t="n"/>
      <c r="Q873" s="201" t="n"/>
      <c r="R873" s="201" t="n"/>
      <c r="S873" s="201" t="n"/>
      <c r="T873" s="201" t="n"/>
      <c r="U873" s="201" t="n"/>
      <c r="V873" s="201" t="n"/>
      <c r="W873" s="201" t="n"/>
      <c r="X873" s="201" t="n"/>
      <c r="Y873" s="201" t="n"/>
      <c r="Z873" s="201" t="n"/>
      <c r="AA873" s="201" t="n"/>
      <c r="AB873" s="201" t="n"/>
      <c r="AC873" s="201" t="n"/>
      <c r="AD873" s="201" t="n"/>
      <c r="AE873" s="201" t="n"/>
      <c r="AF873" s="201" t="n"/>
      <c r="AG873" s="201" t="n"/>
    </row>
    <row r="874" ht="12.75" customHeight="1" s="202">
      <c r="A874" s="201" t="n"/>
      <c r="B874" s="201" t="n"/>
      <c r="C874" s="201" t="n"/>
      <c r="D874" s="201" t="n"/>
      <c r="E874" s="201" t="n"/>
      <c r="F874" s="201" t="n"/>
      <c r="G874" s="201" t="n"/>
      <c r="H874" s="201" t="n"/>
      <c r="I874" s="201" t="n"/>
      <c r="J874" s="201" t="n"/>
      <c r="K874" s="201" t="n"/>
      <c r="L874" s="201" t="n"/>
      <c r="M874" s="201" t="n"/>
      <c r="N874" s="201" t="n"/>
      <c r="O874" s="201" t="n"/>
      <c r="P874" s="201" t="n"/>
      <c r="Q874" s="201" t="n"/>
      <c r="R874" s="201" t="n"/>
      <c r="S874" s="201" t="n"/>
      <c r="T874" s="201" t="n"/>
      <c r="U874" s="201" t="n"/>
      <c r="V874" s="201" t="n"/>
      <c r="W874" s="201" t="n"/>
      <c r="X874" s="201" t="n"/>
      <c r="Y874" s="201" t="n"/>
      <c r="Z874" s="201" t="n"/>
      <c r="AA874" s="201" t="n"/>
      <c r="AB874" s="201" t="n"/>
      <c r="AC874" s="201" t="n"/>
      <c r="AD874" s="201" t="n"/>
      <c r="AE874" s="201" t="n"/>
      <c r="AF874" s="201" t="n"/>
      <c r="AG874" s="201" t="n"/>
    </row>
    <row r="875" ht="12.75" customHeight="1" s="202">
      <c r="A875" s="201" t="n"/>
      <c r="B875" s="201" t="n"/>
      <c r="C875" s="201" t="n"/>
      <c r="D875" s="201" t="n"/>
      <c r="E875" s="201" t="n"/>
      <c r="F875" s="201" t="n"/>
      <c r="G875" s="201" t="n"/>
      <c r="H875" s="201" t="n"/>
      <c r="I875" s="201" t="n"/>
      <c r="J875" s="201" t="n"/>
      <c r="K875" s="201" t="n"/>
      <c r="L875" s="201" t="n"/>
      <c r="M875" s="201" t="n"/>
      <c r="N875" s="201" t="n"/>
      <c r="O875" s="201" t="n"/>
      <c r="P875" s="201" t="n"/>
      <c r="Q875" s="201" t="n"/>
      <c r="R875" s="201" t="n"/>
      <c r="S875" s="201" t="n"/>
      <c r="T875" s="201" t="n"/>
      <c r="U875" s="201" t="n"/>
      <c r="V875" s="201" t="n"/>
      <c r="W875" s="201" t="n"/>
      <c r="X875" s="201" t="n"/>
      <c r="Y875" s="201" t="n"/>
      <c r="Z875" s="201" t="n"/>
      <c r="AA875" s="201" t="n"/>
      <c r="AB875" s="201" t="n"/>
      <c r="AC875" s="201" t="n"/>
      <c r="AD875" s="201" t="n"/>
      <c r="AE875" s="201" t="n"/>
      <c r="AF875" s="201" t="n"/>
      <c r="AG875" s="201" t="n"/>
    </row>
    <row r="876" ht="12.75" customHeight="1" s="202">
      <c r="A876" s="201" t="n"/>
      <c r="B876" s="201" t="n"/>
      <c r="C876" s="201" t="n"/>
      <c r="D876" s="201" t="n"/>
      <c r="E876" s="201" t="n"/>
      <c r="F876" s="201" t="n"/>
      <c r="G876" s="201" t="n"/>
      <c r="H876" s="201" t="n"/>
      <c r="I876" s="201" t="n"/>
      <c r="J876" s="201" t="n"/>
      <c r="K876" s="201" t="n"/>
      <c r="L876" s="201" t="n"/>
      <c r="M876" s="201" t="n"/>
      <c r="N876" s="201" t="n"/>
      <c r="O876" s="201" t="n"/>
      <c r="P876" s="201" t="n"/>
      <c r="Q876" s="201" t="n"/>
      <c r="R876" s="201" t="n"/>
      <c r="S876" s="201" t="n"/>
      <c r="T876" s="201" t="n"/>
      <c r="U876" s="201" t="n"/>
      <c r="V876" s="201" t="n"/>
      <c r="W876" s="201" t="n"/>
      <c r="X876" s="201" t="n"/>
      <c r="Y876" s="201" t="n"/>
      <c r="Z876" s="201" t="n"/>
      <c r="AA876" s="201" t="n"/>
      <c r="AB876" s="201" t="n"/>
      <c r="AC876" s="201" t="n"/>
      <c r="AD876" s="201" t="n"/>
      <c r="AE876" s="201" t="n"/>
      <c r="AF876" s="201" t="n"/>
      <c r="AG876" s="201" t="n"/>
    </row>
    <row r="877" ht="12.75" customHeight="1" s="202">
      <c r="A877" s="201" t="n"/>
      <c r="B877" s="201" t="n"/>
      <c r="C877" s="201" t="n"/>
      <c r="D877" s="201" t="n"/>
      <c r="E877" s="201" t="n"/>
      <c r="F877" s="201" t="n"/>
      <c r="G877" s="201" t="n"/>
      <c r="H877" s="201" t="n"/>
      <c r="I877" s="201" t="n"/>
      <c r="J877" s="201" t="n"/>
      <c r="K877" s="201" t="n"/>
      <c r="L877" s="201" t="n"/>
      <c r="M877" s="201" t="n"/>
      <c r="N877" s="201" t="n"/>
      <c r="O877" s="201" t="n"/>
      <c r="P877" s="201" t="n"/>
      <c r="Q877" s="201" t="n"/>
      <c r="R877" s="201" t="n"/>
      <c r="S877" s="201" t="n"/>
      <c r="T877" s="201" t="n"/>
      <c r="U877" s="201" t="n"/>
      <c r="V877" s="201" t="n"/>
      <c r="W877" s="201" t="n"/>
      <c r="X877" s="201" t="n"/>
      <c r="Y877" s="201" t="n"/>
      <c r="Z877" s="201" t="n"/>
      <c r="AA877" s="201" t="n"/>
      <c r="AB877" s="201" t="n"/>
      <c r="AC877" s="201" t="n"/>
      <c r="AD877" s="201" t="n"/>
      <c r="AE877" s="201" t="n"/>
      <c r="AF877" s="201" t="n"/>
      <c r="AG877" s="201" t="n"/>
    </row>
    <row r="878" ht="12.75" customHeight="1" s="202">
      <c r="A878" s="201" t="n"/>
      <c r="B878" s="201" t="n"/>
      <c r="C878" s="201" t="n"/>
      <c r="D878" s="201" t="n"/>
      <c r="E878" s="201" t="n"/>
      <c r="F878" s="201" t="n"/>
      <c r="G878" s="201" t="n"/>
      <c r="H878" s="201" t="n"/>
      <c r="I878" s="201" t="n"/>
      <c r="J878" s="201" t="n"/>
      <c r="K878" s="201" t="n"/>
      <c r="L878" s="201" t="n"/>
      <c r="M878" s="201" t="n"/>
      <c r="N878" s="201" t="n"/>
      <c r="O878" s="201" t="n"/>
      <c r="P878" s="201" t="n"/>
      <c r="Q878" s="201" t="n"/>
      <c r="R878" s="201" t="n"/>
      <c r="S878" s="201" t="n"/>
      <c r="T878" s="201" t="n"/>
      <c r="U878" s="201" t="n"/>
      <c r="V878" s="201" t="n"/>
      <c r="W878" s="201" t="n"/>
      <c r="X878" s="201" t="n"/>
      <c r="Y878" s="201" t="n"/>
      <c r="Z878" s="201" t="n"/>
      <c r="AA878" s="201" t="n"/>
      <c r="AB878" s="201" t="n"/>
      <c r="AC878" s="201" t="n"/>
      <c r="AD878" s="201" t="n"/>
      <c r="AE878" s="201" t="n"/>
      <c r="AF878" s="201" t="n"/>
      <c r="AG878" s="201" t="n"/>
    </row>
    <row r="879" ht="12.75" customHeight="1" s="202">
      <c r="A879" s="201" t="n"/>
      <c r="B879" s="201" t="n"/>
      <c r="C879" s="201" t="n"/>
      <c r="D879" s="201" t="n"/>
      <c r="E879" s="201" t="n"/>
      <c r="F879" s="201" t="n"/>
      <c r="G879" s="201" t="n"/>
      <c r="H879" s="201" t="n"/>
      <c r="I879" s="201" t="n"/>
      <c r="J879" s="201" t="n"/>
      <c r="K879" s="201" t="n"/>
      <c r="L879" s="201" t="n"/>
      <c r="M879" s="201" t="n"/>
      <c r="N879" s="201" t="n"/>
      <c r="O879" s="201" t="n"/>
      <c r="P879" s="201" t="n"/>
      <c r="Q879" s="201" t="n"/>
      <c r="R879" s="201" t="n"/>
      <c r="S879" s="201" t="n"/>
      <c r="T879" s="201" t="n"/>
      <c r="U879" s="201" t="n"/>
      <c r="V879" s="201" t="n"/>
      <c r="W879" s="201" t="n"/>
      <c r="X879" s="201" t="n"/>
      <c r="Y879" s="201" t="n"/>
      <c r="Z879" s="201" t="n"/>
      <c r="AA879" s="201" t="n"/>
      <c r="AB879" s="201" t="n"/>
      <c r="AC879" s="201" t="n"/>
      <c r="AD879" s="201" t="n"/>
      <c r="AE879" s="201" t="n"/>
      <c r="AF879" s="201" t="n"/>
      <c r="AG879" s="201" t="n"/>
    </row>
    <row r="880" ht="12.75" customHeight="1" s="202">
      <c r="A880" s="201" t="n"/>
      <c r="B880" s="201" t="n"/>
      <c r="C880" s="201" t="n"/>
      <c r="D880" s="201" t="n"/>
      <c r="E880" s="201" t="n"/>
      <c r="F880" s="201" t="n"/>
      <c r="G880" s="201" t="n"/>
      <c r="H880" s="201" t="n"/>
      <c r="I880" s="201" t="n"/>
      <c r="J880" s="201" t="n"/>
      <c r="K880" s="201" t="n"/>
      <c r="L880" s="201" t="n"/>
      <c r="M880" s="201" t="n"/>
      <c r="N880" s="201" t="n"/>
      <c r="O880" s="201" t="n"/>
      <c r="P880" s="201" t="n"/>
      <c r="Q880" s="201" t="n"/>
      <c r="R880" s="201" t="n"/>
      <c r="S880" s="201" t="n"/>
      <c r="T880" s="201" t="n"/>
      <c r="U880" s="201" t="n"/>
      <c r="V880" s="201" t="n"/>
      <c r="W880" s="201" t="n"/>
      <c r="X880" s="201" t="n"/>
      <c r="Y880" s="201" t="n"/>
      <c r="Z880" s="201" t="n"/>
      <c r="AA880" s="201" t="n"/>
      <c r="AB880" s="201" t="n"/>
      <c r="AC880" s="201" t="n"/>
      <c r="AD880" s="201" t="n"/>
      <c r="AE880" s="201" t="n"/>
      <c r="AF880" s="201" t="n"/>
      <c r="AG880" s="201" t="n"/>
    </row>
    <row r="881" ht="12.75" customHeight="1" s="202">
      <c r="A881" s="201" t="n"/>
      <c r="B881" s="201" t="n"/>
      <c r="C881" s="201" t="n"/>
      <c r="D881" s="201" t="n"/>
      <c r="E881" s="201" t="n"/>
      <c r="F881" s="201" t="n"/>
      <c r="G881" s="201" t="n"/>
      <c r="H881" s="201" t="n"/>
      <c r="I881" s="201" t="n"/>
      <c r="J881" s="201" t="n"/>
      <c r="K881" s="201" t="n"/>
      <c r="L881" s="201" t="n"/>
      <c r="M881" s="201" t="n"/>
      <c r="N881" s="201" t="n"/>
      <c r="O881" s="201" t="n"/>
      <c r="P881" s="201" t="n"/>
      <c r="Q881" s="201" t="n"/>
      <c r="R881" s="201" t="n"/>
      <c r="S881" s="201" t="n"/>
      <c r="T881" s="201" t="n"/>
      <c r="U881" s="201" t="n"/>
      <c r="V881" s="201" t="n"/>
      <c r="W881" s="201" t="n"/>
      <c r="X881" s="201" t="n"/>
      <c r="Y881" s="201" t="n"/>
      <c r="Z881" s="201" t="n"/>
      <c r="AA881" s="201" t="n"/>
      <c r="AB881" s="201" t="n"/>
      <c r="AC881" s="201" t="n"/>
      <c r="AD881" s="201" t="n"/>
      <c r="AE881" s="201" t="n"/>
      <c r="AF881" s="201" t="n"/>
      <c r="AG881" s="201" t="n"/>
    </row>
    <row r="882" ht="12.75" customHeight="1" s="202">
      <c r="A882" s="201" t="n"/>
      <c r="B882" s="201" t="n"/>
      <c r="C882" s="201" t="n"/>
      <c r="D882" s="201" t="n"/>
      <c r="E882" s="201" t="n"/>
      <c r="F882" s="201" t="n"/>
      <c r="G882" s="201" t="n"/>
      <c r="H882" s="201" t="n"/>
      <c r="I882" s="201" t="n"/>
      <c r="J882" s="201" t="n"/>
      <c r="K882" s="201" t="n"/>
      <c r="L882" s="201" t="n"/>
      <c r="M882" s="201" t="n"/>
      <c r="N882" s="201" t="n"/>
      <c r="O882" s="201" t="n"/>
      <c r="P882" s="201" t="n"/>
      <c r="Q882" s="201" t="n"/>
      <c r="R882" s="201" t="n"/>
      <c r="S882" s="201" t="n"/>
      <c r="T882" s="201" t="n"/>
      <c r="U882" s="201" t="n"/>
      <c r="V882" s="201" t="n"/>
      <c r="W882" s="201" t="n"/>
      <c r="X882" s="201" t="n"/>
      <c r="Y882" s="201" t="n"/>
      <c r="Z882" s="201" t="n"/>
      <c r="AA882" s="201" t="n"/>
      <c r="AB882" s="201" t="n"/>
      <c r="AC882" s="201" t="n"/>
      <c r="AD882" s="201" t="n"/>
      <c r="AE882" s="201" t="n"/>
      <c r="AF882" s="201" t="n"/>
      <c r="AG882" s="201" t="n"/>
    </row>
    <row r="883" ht="12.75" customHeight="1" s="202">
      <c r="A883" s="201" t="n"/>
      <c r="B883" s="201" t="n"/>
      <c r="C883" s="201" t="n"/>
      <c r="D883" s="201" t="n"/>
      <c r="E883" s="201" t="n"/>
      <c r="F883" s="201" t="n"/>
      <c r="G883" s="201" t="n"/>
      <c r="H883" s="201" t="n"/>
      <c r="I883" s="201" t="n"/>
      <c r="J883" s="201" t="n"/>
      <c r="K883" s="201" t="n"/>
      <c r="L883" s="201" t="n"/>
      <c r="M883" s="201" t="n"/>
      <c r="N883" s="201" t="n"/>
      <c r="O883" s="201" t="n"/>
      <c r="P883" s="201" t="n"/>
      <c r="Q883" s="201" t="n"/>
      <c r="R883" s="201" t="n"/>
      <c r="S883" s="201" t="n"/>
      <c r="T883" s="201" t="n"/>
      <c r="U883" s="201" t="n"/>
      <c r="V883" s="201" t="n"/>
      <c r="W883" s="201" t="n"/>
      <c r="X883" s="201" t="n"/>
      <c r="Y883" s="201" t="n"/>
      <c r="Z883" s="201" t="n"/>
      <c r="AA883" s="201" t="n"/>
      <c r="AB883" s="201" t="n"/>
      <c r="AC883" s="201" t="n"/>
      <c r="AD883" s="201" t="n"/>
      <c r="AE883" s="201" t="n"/>
      <c r="AF883" s="201" t="n"/>
      <c r="AG883" s="201" t="n"/>
    </row>
    <row r="884" ht="12.75" customHeight="1" s="202">
      <c r="A884" s="201" t="n"/>
      <c r="B884" s="201" t="n"/>
      <c r="C884" s="201" t="n"/>
      <c r="D884" s="201" t="n"/>
      <c r="E884" s="201" t="n"/>
      <c r="F884" s="201" t="n"/>
      <c r="G884" s="201" t="n"/>
      <c r="H884" s="201" t="n"/>
      <c r="I884" s="201" t="n"/>
      <c r="J884" s="201" t="n"/>
      <c r="K884" s="201" t="n"/>
      <c r="L884" s="201" t="n"/>
      <c r="M884" s="201" t="n"/>
      <c r="N884" s="201" t="n"/>
      <c r="O884" s="201" t="n"/>
      <c r="P884" s="201" t="n"/>
      <c r="Q884" s="201" t="n"/>
      <c r="R884" s="201" t="n"/>
      <c r="S884" s="201" t="n"/>
      <c r="T884" s="201" t="n"/>
      <c r="U884" s="201" t="n"/>
      <c r="V884" s="201" t="n"/>
      <c r="W884" s="201" t="n"/>
      <c r="X884" s="201" t="n"/>
      <c r="Y884" s="201" t="n"/>
      <c r="Z884" s="201" t="n"/>
      <c r="AA884" s="201" t="n"/>
      <c r="AB884" s="201" t="n"/>
      <c r="AC884" s="201" t="n"/>
      <c r="AD884" s="201" t="n"/>
      <c r="AE884" s="201" t="n"/>
      <c r="AF884" s="201" t="n"/>
      <c r="AG884" s="201" t="n"/>
    </row>
    <row r="885" ht="12.75" customHeight="1" s="202">
      <c r="A885" s="201" t="n"/>
      <c r="B885" s="201" t="n"/>
      <c r="C885" s="201" t="n"/>
      <c r="D885" s="201" t="n"/>
      <c r="E885" s="201" t="n"/>
      <c r="F885" s="201" t="n"/>
      <c r="G885" s="201" t="n"/>
      <c r="H885" s="201" t="n"/>
      <c r="I885" s="201" t="n"/>
      <c r="J885" s="201" t="n"/>
      <c r="K885" s="201" t="n"/>
      <c r="L885" s="201" t="n"/>
      <c r="M885" s="201" t="n"/>
      <c r="N885" s="201" t="n"/>
      <c r="O885" s="201" t="n"/>
      <c r="P885" s="201" t="n"/>
      <c r="Q885" s="201" t="n"/>
      <c r="R885" s="201" t="n"/>
      <c r="S885" s="201" t="n"/>
      <c r="T885" s="201" t="n"/>
      <c r="U885" s="201" t="n"/>
      <c r="V885" s="201" t="n"/>
      <c r="W885" s="201" t="n"/>
      <c r="X885" s="201" t="n"/>
      <c r="Y885" s="201" t="n"/>
      <c r="Z885" s="201" t="n"/>
      <c r="AA885" s="201" t="n"/>
      <c r="AB885" s="201" t="n"/>
      <c r="AC885" s="201" t="n"/>
      <c r="AD885" s="201" t="n"/>
      <c r="AE885" s="201" t="n"/>
      <c r="AF885" s="201" t="n"/>
      <c r="AG885" s="201" t="n"/>
    </row>
    <row r="886" ht="12.75" customHeight="1" s="202">
      <c r="A886" s="201" t="n"/>
      <c r="B886" s="201" t="n"/>
      <c r="C886" s="201" t="n"/>
      <c r="D886" s="201" t="n"/>
      <c r="E886" s="201" t="n"/>
      <c r="F886" s="201" t="n"/>
      <c r="G886" s="201" t="n"/>
      <c r="H886" s="201" t="n"/>
      <c r="I886" s="201" t="n"/>
      <c r="J886" s="201" t="n"/>
      <c r="K886" s="201" t="n"/>
      <c r="L886" s="201" t="n"/>
      <c r="M886" s="201" t="n"/>
      <c r="N886" s="201" t="n"/>
      <c r="O886" s="201" t="n"/>
      <c r="P886" s="201" t="n"/>
      <c r="Q886" s="201" t="n"/>
      <c r="R886" s="201" t="n"/>
      <c r="S886" s="201" t="n"/>
      <c r="T886" s="201" t="n"/>
      <c r="U886" s="201" t="n"/>
      <c r="V886" s="201" t="n"/>
      <c r="W886" s="201" t="n"/>
      <c r="X886" s="201" t="n"/>
      <c r="Y886" s="201" t="n"/>
      <c r="Z886" s="201" t="n"/>
      <c r="AA886" s="201" t="n"/>
      <c r="AB886" s="201" t="n"/>
      <c r="AC886" s="201" t="n"/>
      <c r="AD886" s="201" t="n"/>
      <c r="AE886" s="201" t="n"/>
      <c r="AF886" s="201" t="n"/>
      <c r="AG886" s="201" t="n"/>
    </row>
    <row r="887" ht="12.75" customHeight="1" s="202">
      <c r="A887" s="201" t="n"/>
      <c r="B887" s="201" t="n"/>
      <c r="C887" s="201" t="n"/>
      <c r="D887" s="201" t="n"/>
      <c r="E887" s="201" t="n"/>
      <c r="F887" s="201" t="n"/>
      <c r="G887" s="201" t="n"/>
      <c r="H887" s="201" t="n"/>
      <c r="I887" s="201" t="n"/>
      <c r="J887" s="201" t="n"/>
      <c r="K887" s="201" t="n"/>
      <c r="L887" s="201" t="n"/>
      <c r="M887" s="201" t="n"/>
      <c r="N887" s="201" t="n"/>
      <c r="O887" s="201" t="n"/>
      <c r="P887" s="201" t="n"/>
      <c r="Q887" s="201" t="n"/>
      <c r="R887" s="201" t="n"/>
      <c r="S887" s="201" t="n"/>
      <c r="T887" s="201" t="n"/>
      <c r="U887" s="201" t="n"/>
      <c r="V887" s="201" t="n"/>
      <c r="W887" s="201" t="n"/>
      <c r="X887" s="201" t="n"/>
      <c r="Y887" s="201" t="n"/>
      <c r="Z887" s="201" t="n"/>
      <c r="AA887" s="201" t="n"/>
      <c r="AB887" s="201" t="n"/>
      <c r="AC887" s="201" t="n"/>
      <c r="AD887" s="201" t="n"/>
      <c r="AE887" s="201" t="n"/>
      <c r="AF887" s="201" t="n"/>
      <c r="AG887" s="201" t="n"/>
    </row>
    <row r="888" ht="12.75" customHeight="1" s="202">
      <c r="A888" s="201" t="n"/>
      <c r="B888" s="201" t="n"/>
      <c r="C888" s="201" t="n"/>
      <c r="D888" s="201" t="n"/>
      <c r="E888" s="201" t="n"/>
      <c r="F888" s="201" t="n"/>
      <c r="G888" s="201" t="n"/>
      <c r="H888" s="201" t="n"/>
      <c r="I888" s="201" t="n"/>
      <c r="J888" s="201" t="n"/>
      <c r="K888" s="201" t="n"/>
      <c r="L888" s="201" t="n"/>
      <c r="M888" s="201" t="n"/>
      <c r="N888" s="201" t="n"/>
      <c r="O888" s="201" t="n"/>
      <c r="P888" s="201" t="n"/>
      <c r="Q888" s="201" t="n"/>
      <c r="R888" s="201" t="n"/>
      <c r="S888" s="201" t="n"/>
      <c r="T888" s="201" t="n"/>
      <c r="U888" s="201" t="n"/>
      <c r="V888" s="201" t="n"/>
      <c r="W888" s="201" t="n"/>
      <c r="X888" s="201" t="n"/>
      <c r="Y888" s="201" t="n"/>
      <c r="Z888" s="201" t="n"/>
      <c r="AA888" s="201" t="n"/>
      <c r="AB888" s="201" t="n"/>
      <c r="AC888" s="201" t="n"/>
      <c r="AD888" s="201" t="n"/>
      <c r="AE888" s="201" t="n"/>
      <c r="AF888" s="201" t="n"/>
      <c r="AG888" s="201" t="n"/>
    </row>
    <row r="889" ht="12.75" customHeight="1" s="202">
      <c r="A889" s="201" t="n"/>
      <c r="B889" s="201" t="n"/>
      <c r="C889" s="201" t="n"/>
      <c r="D889" s="201" t="n"/>
      <c r="E889" s="201" t="n"/>
      <c r="F889" s="201" t="n"/>
      <c r="G889" s="201" t="n"/>
      <c r="H889" s="201" t="n"/>
      <c r="I889" s="201" t="n"/>
      <c r="J889" s="201" t="n"/>
      <c r="K889" s="201" t="n"/>
      <c r="L889" s="201" t="n"/>
      <c r="M889" s="201" t="n"/>
      <c r="N889" s="201" t="n"/>
      <c r="O889" s="201" t="n"/>
      <c r="P889" s="201" t="n"/>
      <c r="Q889" s="201" t="n"/>
      <c r="R889" s="201" t="n"/>
      <c r="S889" s="201" t="n"/>
      <c r="T889" s="201" t="n"/>
      <c r="U889" s="201" t="n"/>
      <c r="V889" s="201" t="n"/>
      <c r="W889" s="201" t="n"/>
      <c r="X889" s="201" t="n"/>
      <c r="Y889" s="201" t="n"/>
      <c r="Z889" s="201" t="n"/>
      <c r="AA889" s="201" t="n"/>
      <c r="AB889" s="201" t="n"/>
      <c r="AC889" s="201" t="n"/>
      <c r="AD889" s="201" t="n"/>
      <c r="AE889" s="201" t="n"/>
      <c r="AF889" s="201" t="n"/>
      <c r="AG889" s="201" t="n"/>
    </row>
    <row r="890" ht="12.75" customHeight="1" s="202">
      <c r="A890" s="201" t="n"/>
      <c r="B890" s="201" t="n"/>
      <c r="C890" s="201" t="n"/>
      <c r="D890" s="201" t="n"/>
      <c r="E890" s="201" t="n"/>
      <c r="F890" s="201" t="n"/>
      <c r="G890" s="201" t="n"/>
      <c r="H890" s="201" t="n"/>
      <c r="I890" s="201" t="n"/>
      <c r="J890" s="201" t="n"/>
      <c r="K890" s="201" t="n"/>
      <c r="L890" s="201" t="n"/>
      <c r="M890" s="201" t="n"/>
      <c r="N890" s="201" t="n"/>
      <c r="O890" s="201" t="n"/>
      <c r="P890" s="201" t="n"/>
      <c r="Q890" s="201" t="n"/>
      <c r="R890" s="201" t="n"/>
      <c r="S890" s="201" t="n"/>
      <c r="T890" s="201" t="n"/>
      <c r="U890" s="201" t="n"/>
      <c r="V890" s="201" t="n"/>
      <c r="W890" s="201" t="n"/>
      <c r="X890" s="201" t="n"/>
      <c r="Y890" s="201" t="n"/>
      <c r="Z890" s="201" t="n"/>
      <c r="AA890" s="201" t="n"/>
      <c r="AB890" s="201" t="n"/>
      <c r="AC890" s="201" t="n"/>
      <c r="AD890" s="201" t="n"/>
      <c r="AE890" s="201" t="n"/>
      <c r="AF890" s="201" t="n"/>
      <c r="AG890" s="201" t="n"/>
    </row>
    <row r="891" ht="12.75" customHeight="1" s="202">
      <c r="A891" s="201" t="n"/>
      <c r="B891" s="201" t="n"/>
      <c r="C891" s="201" t="n"/>
      <c r="D891" s="201" t="n"/>
      <c r="E891" s="201" t="n"/>
      <c r="F891" s="201" t="n"/>
      <c r="G891" s="201" t="n"/>
      <c r="H891" s="201" t="n"/>
      <c r="I891" s="201" t="n"/>
      <c r="J891" s="201" t="n"/>
      <c r="K891" s="201" t="n"/>
      <c r="L891" s="201" t="n"/>
      <c r="M891" s="201" t="n"/>
      <c r="N891" s="201" t="n"/>
      <c r="O891" s="201" t="n"/>
      <c r="P891" s="201" t="n"/>
      <c r="Q891" s="201" t="n"/>
      <c r="R891" s="201" t="n"/>
      <c r="S891" s="201" t="n"/>
      <c r="T891" s="201" t="n"/>
      <c r="U891" s="201" t="n"/>
      <c r="V891" s="201" t="n"/>
      <c r="W891" s="201" t="n"/>
      <c r="X891" s="201" t="n"/>
      <c r="Y891" s="201" t="n"/>
      <c r="Z891" s="201" t="n"/>
      <c r="AA891" s="201" t="n"/>
      <c r="AB891" s="201" t="n"/>
      <c r="AC891" s="201" t="n"/>
      <c r="AD891" s="201" t="n"/>
      <c r="AE891" s="201" t="n"/>
      <c r="AF891" s="201" t="n"/>
      <c r="AG891" s="201" t="n"/>
    </row>
    <row r="892" ht="12.75" customHeight="1" s="202">
      <c r="A892" s="201" t="n"/>
      <c r="B892" s="201" t="n"/>
      <c r="C892" s="201" t="n"/>
      <c r="D892" s="201" t="n"/>
      <c r="E892" s="201" t="n"/>
      <c r="F892" s="201" t="n"/>
      <c r="G892" s="201" t="n"/>
      <c r="H892" s="201" t="n"/>
      <c r="I892" s="201" t="n"/>
      <c r="J892" s="201" t="n"/>
      <c r="K892" s="201" t="n"/>
      <c r="L892" s="201" t="n"/>
      <c r="M892" s="201" t="n"/>
      <c r="N892" s="201" t="n"/>
      <c r="O892" s="201" t="n"/>
      <c r="P892" s="201" t="n"/>
      <c r="Q892" s="201" t="n"/>
      <c r="R892" s="201" t="n"/>
      <c r="S892" s="201" t="n"/>
      <c r="T892" s="201" t="n"/>
      <c r="U892" s="201" t="n"/>
      <c r="V892" s="201" t="n"/>
      <c r="W892" s="201" t="n"/>
      <c r="X892" s="201" t="n"/>
      <c r="Y892" s="201" t="n"/>
      <c r="Z892" s="201" t="n"/>
      <c r="AA892" s="201" t="n"/>
      <c r="AB892" s="201" t="n"/>
      <c r="AC892" s="201" t="n"/>
      <c r="AD892" s="201" t="n"/>
      <c r="AE892" s="201" t="n"/>
      <c r="AF892" s="201" t="n"/>
      <c r="AG892" s="201" t="n"/>
    </row>
    <row r="893" ht="12.75" customHeight="1" s="202">
      <c r="A893" s="201" t="n"/>
      <c r="B893" s="201" t="n"/>
      <c r="C893" s="201" t="n"/>
      <c r="D893" s="201" t="n"/>
      <c r="E893" s="201" t="n"/>
      <c r="F893" s="201" t="n"/>
      <c r="G893" s="201" t="n"/>
      <c r="H893" s="201" t="n"/>
      <c r="I893" s="201" t="n"/>
      <c r="J893" s="201" t="n"/>
      <c r="K893" s="201" t="n"/>
      <c r="L893" s="201" t="n"/>
      <c r="M893" s="201" t="n"/>
      <c r="N893" s="201" t="n"/>
      <c r="O893" s="201" t="n"/>
      <c r="P893" s="201" t="n"/>
      <c r="Q893" s="201" t="n"/>
      <c r="R893" s="201" t="n"/>
      <c r="S893" s="201" t="n"/>
      <c r="T893" s="201" t="n"/>
      <c r="U893" s="201" t="n"/>
      <c r="V893" s="201" t="n"/>
      <c r="W893" s="201" t="n"/>
      <c r="X893" s="201" t="n"/>
      <c r="Y893" s="201" t="n"/>
      <c r="Z893" s="201" t="n"/>
      <c r="AA893" s="201" t="n"/>
      <c r="AB893" s="201" t="n"/>
      <c r="AC893" s="201" t="n"/>
      <c r="AD893" s="201" t="n"/>
      <c r="AE893" s="201" t="n"/>
      <c r="AF893" s="201" t="n"/>
      <c r="AG893" s="201" t="n"/>
    </row>
    <row r="894" ht="12.75" customHeight="1" s="202">
      <c r="A894" s="201" t="n"/>
      <c r="B894" s="201" t="n"/>
      <c r="C894" s="201" t="n"/>
      <c r="D894" s="201" t="n"/>
      <c r="E894" s="201" t="n"/>
      <c r="F894" s="201" t="n"/>
      <c r="G894" s="201" t="n"/>
      <c r="H894" s="201" t="n"/>
      <c r="I894" s="201" t="n"/>
      <c r="J894" s="201" t="n"/>
      <c r="K894" s="201" t="n"/>
      <c r="L894" s="201" t="n"/>
      <c r="M894" s="201" t="n"/>
      <c r="N894" s="201" t="n"/>
      <c r="O894" s="201" t="n"/>
      <c r="P894" s="201" t="n"/>
      <c r="Q894" s="201" t="n"/>
      <c r="R894" s="201" t="n"/>
      <c r="S894" s="201" t="n"/>
      <c r="T894" s="201" t="n"/>
      <c r="U894" s="201" t="n"/>
      <c r="V894" s="201" t="n"/>
      <c r="W894" s="201" t="n"/>
      <c r="X894" s="201" t="n"/>
      <c r="Y894" s="201" t="n"/>
      <c r="Z894" s="201" t="n"/>
      <c r="AA894" s="201" t="n"/>
      <c r="AB894" s="201" t="n"/>
      <c r="AC894" s="201" t="n"/>
      <c r="AD894" s="201" t="n"/>
      <c r="AE894" s="201" t="n"/>
      <c r="AF894" s="201" t="n"/>
      <c r="AG894" s="201" t="n"/>
    </row>
    <row r="895" ht="12.75" customHeight="1" s="202">
      <c r="A895" s="201" t="n"/>
      <c r="B895" s="201" t="n"/>
      <c r="C895" s="201" t="n"/>
      <c r="D895" s="201" t="n"/>
      <c r="E895" s="201" t="n"/>
      <c r="F895" s="201" t="n"/>
      <c r="G895" s="201" t="n"/>
      <c r="H895" s="201" t="n"/>
      <c r="I895" s="201" t="n"/>
      <c r="J895" s="201" t="n"/>
      <c r="K895" s="201" t="n"/>
      <c r="L895" s="201" t="n"/>
      <c r="M895" s="201" t="n"/>
      <c r="N895" s="201" t="n"/>
      <c r="O895" s="201" t="n"/>
      <c r="P895" s="201" t="n"/>
      <c r="Q895" s="201" t="n"/>
      <c r="R895" s="201" t="n"/>
      <c r="S895" s="201" t="n"/>
      <c r="T895" s="201" t="n"/>
      <c r="U895" s="201" t="n"/>
      <c r="V895" s="201" t="n"/>
      <c r="W895" s="201" t="n"/>
      <c r="X895" s="201" t="n"/>
      <c r="Y895" s="201" t="n"/>
      <c r="Z895" s="201" t="n"/>
      <c r="AA895" s="201" t="n"/>
      <c r="AB895" s="201" t="n"/>
      <c r="AC895" s="201" t="n"/>
      <c r="AD895" s="201" t="n"/>
      <c r="AE895" s="201" t="n"/>
      <c r="AF895" s="201" t="n"/>
      <c r="AG895" s="201" t="n"/>
    </row>
    <row r="896" ht="12.75" customHeight="1" s="202">
      <c r="A896" s="201" t="n"/>
      <c r="B896" s="201" t="n"/>
      <c r="C896" s="201" t="n"/>
      <c r="D896" s="201" t="n"/>
      <c r="E896" s="201" t="n"/>
      <c r="F896" s="201" t="n"/>
      <c r="G896" s="201" t="n"/>
      <c r="H896" s="201" t="n"/>
      <c r="I896" s="201" t="n"/>
      <c r="J896" s="201" t="n"/>
      <c r="K896" s="201" t="n"/>
      <c r="L896" s="201" t="n"/>
      <c r="M896" s="201" t="n"/>
      <c r="N896" s="201" t="n"/>
      <c r="O896" s="201" t="n"/>
      <c r="P896" s="201" t="n"/>
      <c r="Q896" s="201" t="n"/>
      <c r="R896" s="201" t="n"/>
      <c r="S896" s="201" t="n"/>
      <c r="T896" s="201" t="n"/>
      <c r="U896" s="201" t="n"/>
      <c r="V896" s="201" t="n"/>
      <c r="W896" s="201" t="n"/>
      <c r="X896" s="201" t="n"/>
      <c r="Y896" s="201" t="n"/>
      <c r="Z896" s="201" t="n"/>
      <c r="AA896" s="201" t="n"/>
      <c r="AB896" s="201" t="n"/>
      <c r="AC896" s="201" t="n"/>
      <c r="AD896" s="201" t="n"/>
      <c r="AE896" s="201" t="n"/>
      <c r="AF896" s="201" t="n"/>
      <c r="AG896" s="201" t="n"/>
    </row>
    <row r="897" ht="12.75" customHeight="1" s="202">
      <c r="A897" s="201" t="n"/>
      <c r="B897" s="201" t="n"/>
      <c r="C897" s="201" t="n"/>
      <c r="D897" s="201" t="n"/>
      <c r="E897" s="201" t="n"/>
      <c r="F897" s="201" t="n"/>
      <c r="G897" s="201" t="n"/>
      <c r="H897" s="201" t="n"/>
      <c r="I897" s="201" t="n"/>
      <c r="J897" s="201" t="n"/>
      <c r="K897" s="201" t="n"/>
      <c r="L897" s="201" t="n"/>
      <c r="M897" s="201" t="n"/>
      <c r="N897" s="201" t="n"/>
      <c r="O897" s="201" t="n"/>
      <c r="P897" s="201" t="n"/>
      <c r="Q897" s="201" t="n"/>
      <c r="R897" s="201" t="n"/>
      <c r="S897" s="201" t="n"/>
      <c r="T897" s="201" t="n"/>
      <c r="U897" s="201" t="n"/>
      <c r="V897" s="201" t="n"/>
      <c r="W897" s="201" t="n"/>
      <c r="X897" s="201" t="n"/>
      <c r="Y897" s="201" t="n"/>
      <c r="Z897" s="201" t="n"/>
      <c r="AA897" s="201" t="n"/>
      <c r="AB897" s="201" t="n"/>
      <c r="AC897" s="201" t="n"/>
      <c r="AD897" s="201" t="n"/>
      <c r="AE897" s="201" t="n"/>
      <c r="AF897" s="201" t="n"/>
      <c r="AG897" s="201" t="n"/>
    </row>
    <row r="898" ht="12.75" customHeight="1" s="202">
      <c r="A898" s="201" t="n"/>
      <c r="B898" s="201" t="n"/>
      <c r="C898" s="201" t="n"/>
      <c r="D898" s="201" t="n"/>
      <c r="E898" s="201" t="n"/>
      <c r="F898" s="201" t="n"/>
      <c r="G898" s="201" t="n"/>
      <c r="H898" s="201" t="n"/>
      <c r="I898" s="201" t="n"/>
      <c r="J898" s="201" t="n"/>
      <c r="K898" s="201" t="n"/>
      <c r="L898" s="201" t="n"/>
      <c r="M898" s="201" t="n"/>
      <c r="N898" s="201" t="n"/>
      <c r="O898" s="201" t="n"/>
      <c r="P898" s="201" t="n"/>
      <c r="Q898" s="201" t="n"/>
      <c r="R898" s="201" t="n"/>
      <c r="S898" s="201" t="n"/>
      <c r="T898" s="201" t="n"/>
      <c r="U898" s="201" t="n"/>
      <c r="V898" s="201" t="n"/>
      <c r="W898" s="201" t="n"/>
      <c r="X898" s="201" t="n"/>
      <c r="Y898" s="201" t="n"/>
      <c r="Z898" s="201" t="n"/>
      <c r="AA898" s="201" t="n"/>
      <c r="AB898" s="201" t="n"/>
      <c r="AC898" s="201" t="n"/>
      <c r="AD898" s="201" t="n"/>
      <c r="AE898" s="201" t="n"/>
      <c r="AF898" s="201" t="n"/>
      <c r="AG898" s="201" t="n"/>
    </row>
    <row r="899" ht="12.75" customHeight="1" s="202">
      <c r="A899" s="201" t="n"/>
      <c r="B899" s="201" t="n"/>
      <c r="C899" s="201" t="n"/>
      <c r="D899" s="201" t="n"/>
      <c r="E899" s="201" t="n"/>
      <c r="F899" s="201" t="n"/>
      <c r="G899" s="201" t="n"/>
      <c r="H899" s="201" t="n"/>
      <c r="I899" s="201" t="n"/>
      <c r="J899" s="201" t="n"/>
      <c r="K899" s="201" t="n"/>
      <c r="L899" s="201" t="n"/>
      <c r="M899" s="201" t="n"/>
      <c r="N899" s="201" t="n"/>
      <c r="O899" s="201" t="n"/>
      <c r="P899" s="201" t="n"/>
      <c r="Q899" s="201" t="n"/>
      <c r="R899" s="201" t="n"/>
      <c r="S899" s="201" t="n"/>
      <c r="T899" s="201" t="n"/>
      <c r="U899" s="201" t="n"/>
      <c r="V899" s="201" t="n"/>
      <c r="W899" s="201" t="n"/>
      <c r="X899" s="201" t="n"/>
      <c r="Y899" s="201" t="n"/>
      <c r="Z899" s="201" t="n"/>
      <c r="AA899" s="201" t="n"/>
      <c r="AB899" s="201" t="n"/>
      <c r="AC899" s="201" t="n"/>
      <c r="AD899" s="201" t="n"/>
      <c r="AE899" s="201" t="n"/>
      <c r="AF899" s="201" t="n"/>
      <c r="AG899" s="201" t="n"/>
    </row>
    <row r="900" ht="12.75" customHeight="1" s="202">
      <c r="A900" s="201" t="n"/>
      <c r="B900" s="201" t="n"/>
      <c r="C900" s="201" t="n"/>
      <c r="D900" s="201" t="n"/>
      <c r="E900" s="201" t="n"/>
      <c r="F900" s="201" t="n"/>
      <c r="G900" s="201" t="n"/>
      <c r="H900" s="201" t="n"/>
      <c r="I900" s="201" t="n"/>
      <c r="J900" s="201" t="n"/>
      <c r="K900" s="201" t="n"/>
      <c r="L900" s="201" t="n"/>
      <c r="M900" s="201" t="n"/>
      <c r="N900" s="201" t="n"/>
      <c r="O900" s="201" t="n"/>
      <c r="P900" s="201" t="n"/>
      <c r="Q900" s="201" t="n"/>
      <c r="R900" s="201" t="n"/>
      <c r="S900" s="201" t="n"/>
      <c r="T900" s="201" t="n"/>
      <c r="U900" s="201" t="n"/>
      <c r="V900" s="201" t="n"/>
      <c r="W900" s="201" t="n"/>
      <c r="X900" s="201" t="n"/>
      <c r="Y900" s="201" t="n"/>
      <c r="Z900" s="201" t="n"/>
      <c r="AA900" s="201" t="n"/>
      <c r="AB900" s="201" t="n"/>
      <c r="AC900" s="201" t="n"/>
      <c r="AD900" s="201" t="n"/>
      <c r="AE900" s="201" t="n"/>
      <c r="AF900" s="201" t="n"/>
      <c r="AG900" s="201" t="n"/>
    </row>
    <row r="901" ht="12.75" customHeight="1" s="202">
      <c r="A901" s="201" t="n"/>
      <c r="B901" s="201" t="n"/>
      <c r="C901" s="201" t="n"/>
      <c r="D901" s="201" t="n"/>
      <c r="E901" s="201" t="n"/>
      <c r="F901" s="201" t="n"/>
      <c r="G901" s="201" t="n"/>
      <c r="H901" s="201" t="n"/>
      <c r="I901" s="201" t="n"/>
      <c r="J901" s="201" t="n"/>
      <c r="K901" s="201" t="n"/>
      <c r="L901" s="201" t="n"/>
      <c r="M901" s="201" t="n"/>
      <c r="N901" s="201" t="n"/>
      <c r="O901" s="201" t="n"/>
      <c r="P901" s="201" t="n"/>
      <c r="Q901" s="201" t="n"/>
      <c r="R901" s="201" t="n"/>
      <c r="S901" s="201" t="n"/>
      <c r="T901" s="201" t="n"/>
      <c r="U901" s="201" t="n"/>
      <c r="V901" s="201" t="n"/>
      <c r="W901" s="201" t="n"/>
      <c r="X901" s="201" t="n"/>
      <c r="Y901" s="201" t="n"/>
      <c r="Z901" s="201" t="n"/>
      <c r="AA901" s="201" t="n"/>
      <c r="AB901" s="201" t="n"/>
      <c r="AC901" s="201" t="n"/>
      <c r="AD901" s="201" t="n"/>
      <c r="AE901" s="201" t="n"/>
      <c r="AF901" s="201" t="n"/>
      <c r="AG901" s="201" t="n"/>
    </row>
    <row r="902" ht="12.75" customHeight="1" s="202">
      <c r="A902" s="201" t="n"/>
      <c r="B902" s="201" t="n"/>
      <c r="C902" s="201" t="n"/>
      <c r="D902" s="201" t="n"/>
      <c r="E902" s="201" t="n"/>
      <c r="F902" s="201" t="n"/>
      <c r="G902" s="201" t="n"/>
      <c r="H902" s="201" t="n"/>
      <c r="I902" s="201" t="n"/>
      <c r="J902" s="201" t="n"/>
      <c r="K902" s="201" t="n"/>
      <c r="L902" s="201" t="n"/>
      <c r="M902" s="201" t="n"/>
      <c r="N902" s="201" t="n"/>
      <c r="O902" s="201" t="n"/>
      <c r="P902" s="201" t="n"/>
      <c r="Q902" s="201" t="n"/>
      <c r="R902" s="201" t="n"/>
      <c r="S902" s="201" t="n"/>
      <c r="T902" s="201" t="n"/>
      <c r="U902" s="201" t="n"/>
      <c r="V902" s="201" t="n"/>
      <c r="W902" s="201" t="n"/>
      <c r="X902" s="201" t="n"/>
      <c r="Y902" s="201" t="n"/>
      <c r="Z902" s="201" t="n"/>
      <c r="AA902" s="201" t="n"/>
      <c r="AB902" s="201" t="n"/>
      <c r="AC902" s="201" t="n"/>
      <c r="AD902" s="201" t="n"/>
      <c r="AE902" s="201" t="n"/>
      <c r="AF902" s="201" t="n"/>
      <c r="AG902" s="201" t="n"/>
    </row>
    <row r="903" ht="12.75" customHeight="1" s="202">
      <c r="A903" s="201" t="n"/>
      <c r="B903" s="201" t="n"/>
      <c r="C903" s="201" t="n"/>
      <c r="D903" s="201" t="n"/>
      <c r="E903" s="201" t="n"/>
      <c r="F903" s="201" t="n"/>
      <c r="G903" s="201" t="n"/>
      <c r="H903" s="201" t="n"/>
      <c r="I903" s="201" t="n"/>
      <c r="J903" s="201" t="n"/>
      <c r="K903" s="201" t="n"/>
      <c r="L903" s="201" t="n"/>
      <c r="M903" s="201" t="n"/>
      <c r="N903" s="201" t="n"/>
      <c r="O903" s="201" t="n"/>
      <c r="P903" s="201" t="n"/>
      <c r="Q903" s="201" t="n"/>
      <c r="R903" s="201" t="n"/>
      <c r="S903" s="201" t="n"/>
      <c r="T903" s="201" t="n"/>
      <c r="U903" s="201" t="n"/>
      <c r="V903" s="201" t="n"/>
      <c r="W903" s="201" t="n"/>
      <c r="X903" s="201" t="n"/>
      <c r="Y903" s="201" t="n"/>
      <c r="Z903" s="201" t="n"/>
      <c r="AA903" s="201" t="n"/>
      <c r="AB903" s="201" t="n"/>
      <c r="AC903" s="201" t="n"/>
      <c r="AD903" s="201" t="n"/>
      <c r="AE903" s="201" t="n"/>
      <c r="AF903" s="201" t="n"/>
      <c r="AG903" s="201" t="n"/>
    </row>
    <row r="904" ht="12.75" customHeight="1" s="202">
      <c r="A904" s="201" t="n"/>
      <c r="B904" s="201" t="n"/>
      <c r="C904" s="201" t="n"/>
      <c r="D904" s="201" t="n"/>
      <c r="E904" s="201" t="n"/>
      <c r="F904" s="201" t="n"/>
      <c r="G904" s="201" t="n"/>
      <c r="H904" s="201" t="n"/>
      <c r="I904" s="201" t="n"/>
      <c r="J904" s="201" t="n"/>
      <c r="K904" s="201" t="n"/>
      <c r="L904" s="201" t="n"/>
      <c r="M904" s="201" t="n"/>
      <c r="N904" s="201" t="n"/>
      <c r="O904" s="201" t="n"/>
      <c r="P904" s="201" t="n"/>
      <c r="Q904" s="201" t="n"/>
      <c r="R904" s="201" t="n"/>
      <c r="S904" s="201" t="n"/>
      <c r="T904" s="201" t="n"/>
      <c r="U904" s="201" t="n"/>
      <c r="V904" s="201" t="n"/>
      <c r="W904" s="201" t="n"/>
      <c r="X904" s="201" t="n"/>
      <c r="Y904" s="201" t="n"/>
      <c r="Z904" s="201" t="n"/>
      <c r="AA904" s="201" t="n"/>
      <c r="AB904" s="201" t="n"/>
      <c r="AC904" s="201" t="n"/>
      <c r="AD904" s="201" t="n"/>
      <c r="AE904" s="201" t="n"/>
      <c r="AF904" s="201" t="n"/>
      <c r="AG904" s="201" t="n"/>
    </row>
    <row r="905" ht="12.75" customHeight="1" s="202">
      <c r="A905" s="201" t="n"/>
      <c r="B905" s="201" t="n"/>
      <c r="C905" s="201" t="n"/>
      <c r="D905" s="201" t="n"/>
      <c r="E905" s="201" t="n"/>
      <c r="F905" s="201" t="n"/>
      <c r="G905" s="201" t="n"/>
      <c r="H905" s="201" t="n"/>
      <c r="I905" s="201" t="n"/>
      <c r="J905" s="201" t="n"/>
      <c r="K905" s="201" t="n"/>
      <c r="L905" s="201" t="n"/>
      <c r="M905" s="201" t="n"/>
      <c r="N905" s="201" t="n"/>
      <c r="O905" s="201" t="n"/>
      <c r="P905" s="201" t="n"/>
      <c r="Q905" s="201" t="n"/>
      <c r="R905" s="201" t="n"/>
      <c r="S905" s="201" t="n"/>
      <c r="T905" s="201" t="n"/>
      <c r="U905" s="201" t="n"/>
      <c r="V905" s="201" t="n"/>
      <c r="W905" s="201" t="n"/>
      <c r="X905" s="201" t="n"/>
      <c r="Y905" s="201" t="n"/>
      <c r="Z905" s="201" t="n"/>
      <c r="AA905" s="201" t="n"/>
      <c r="AB905" s="201" t="n"/>
      <c r="AC905" s="201" t="n"/>
      <c r="AD905" s="201" t="n"/>
      <c r="AE905" s="201" t="n"/>
      <c r="AF905" s="201" t="n"/>
      <c r="AG905" s="201" t="n"/>
    </row>
    <row r="906" ht="12.75" customHeight="1" s="202">
      <c r="A906" s="201" t="n"/>
      <c r="B906" s="201" t="n"/>
      <c r="C906" s="201" t="n"/>
      <c r="D906" s="201" t="n"/>
      <c r="E906" s="201" t="n"/>
      <c r="F906" s="201" t="n"/>
      <c r="G906" s="201" t="n"/>
      <c r="H906" s="201" t="n"/>
      <c r="I906" s="201" t="n"/>
      <c r="J906" s="201" t="n"/>
      <c r="K906" s="201" t="n"/>
      <c r="L906" s="201" t="n"/>
      <c r="M906" s="201" t="n"/>
      <c r="N906" s="201" t="n"/>
      <c r="O906" s="201" t="n"/>
      <c r="P906" s="201" t="n"/>
      <c r="Q906" s="201" t="n"/>
      <c r="R906" s="201" t="n"/>
      <c r="S906" s="201" t="n"/>
      <c r="T906" s="201" t="n"/>
      <c r="U906" s="201" t="n"/>
      <c r="V906" s="201" t="n"/>
      <c r="W906" s="201" t="n"/>
      <c r="X906" s="201" t="n"/>
      <c r="Y906" s="201" t="n"/>
      <c r="Z906" s="201" t="n"/>
      <c r="AA906" s="201" t="n"/>
      <c r="AB906" s="201" t="n"/>
      <c r="AC906" s="201" t="n"/>
      <c r="AD906" s="201" t="n"/>
      <c r="AE906" s="201" t="n"/>
      <c r="AF906" s="201" t="n"/>
      <c r="AG906" s="201" t="n"/>
    </row>
    <row r="907" ht="12.75" customHeight="1" s="202">
      <c r="A907" s="201" t="n"/>
      <c r="B907" s="201" t="n"/>
      <c r="C907" s="201" t="n"/>
      <c r="D907" s="201" t="n"/>
      <c r="E907" s="201" t="n"/>
      <c r="F907" s="201" t="n"/>
      <c r="G907" s="201" t="n"/>
      <c r="H907" s="201" t="n"/>
      <c r="I907" s="201" t="n"/>
      <c r="J907" s="201" t="n"/>
      <c r="K907" s="201" t="n"/>
      <c r="L907" s="201" t="n"/>
      <c r="M907" s="201" t="n"/>
      <c r="N907" s="201" t="n"/>
      <c r="O907" s="201" t="n"/>
      <c r="P907" s="201" t="n"/>
      <c r="Q907" s="201" t="n"/>
      <c r="R907" s="201" t="n"/>
      <c r="S907" s="201" t="n"/>
      <c r="T907" s="201" t="n"/>
      <c r="U907" s="201" t="n"/>
      <c r="V907" s="201" t="n"/>
      <c r="W907" s="201" t="n"/>
      <c r="X907" s="201" t="n"/>
      <c r="Y907" s="201" t="n"/>
      <c r="Z907" s="201" t="n"/>
      <c r="AA907" s="201" t="n"/>
      <c r="AB907" s="201" t="n"/>
      <c r="AC907" s="201" t="n"/>
      <c r="AD907" s="201" t="n"/>
      <c r="AE907" s="201" t="n"/>
      <c r="AF907" s="201" t="n"/>
      <c r="AG907" s="201" t="n"/>
    </row>
    <row r="908" ht="12.75" customHeight="1" s="202">
      <c r="A908" s="201" t="n"/>
      <c r="B908" s="201" t="n"/>
      <c r="C908" s="201" t="n"/>
      <c r="D908" s="201" t="n"/>
      <c r="E908" s="201" t="n"/>
      <c r="F908" s="201" t="n"/>
      <c r="G908" s="201" t="n"/>
      <c r="H908" s="201" t="n"/>
      <c r="I908" s="201" t="n"/>
      <c r="J908" s="201" t="n"/>
      <c r="K908" s="201" t="n"/>
      <c r="L908" s="201" t="n"/>
      <c r="M908" s="201" t="n"/>
      <c r="N908" s="201" t="n"/>
      <c r="O908" s="201" t="n"/>
      <c r="P908" s="201" t="n"/>
      <c r="Q908" s="201" t="n"/>
      <c r="R908" s="201" t="n"/>
      <c r="S908" s="201" t="n"/>
      <c r="T908" s="201" t="n"/>
      <c r="U908" s="201" t="n"/>
      <c r="V908" s="201" t="n"/>
      <c r="W908" s="201" t="n"/>
      <c r="X908" s="201" t="n"/>
      <c r="Y908" s="201" t="n"/>
      <c r="Z908" s="201" t="n"/>
      <c r="AA908" s="201" t="n"/>
      <c r="AB908" s="201" t="n"/>
      <c r="AC908" s="201" t="n"/>
      <c r="AD908" s="201" t="n"/>
      <c r="AE908" s="201" t="n"/>
      <c r="AF908" s="201" t="n"/>
      <c r="AG908" s="201" t="n"/>
    </row>
    <row r="909" ht="12.75" customHeight="1" s="202">
      <c r="A909" s="201" t="n"/>
      <c r="B909" s="201" t="n"/>
      <c r="C909" s="201" t="n"/>
      <c r="D909" s="201" t="n"/>
      <c r="E909" s="201" t="n"/>
      <c r="F909" s="201" t="n"/>
      <c r="G909" s="201" t="n"/>
      <c r="H909" s="201" t="n"/>
      <c r="I909" s="201" t="n"/>
      <c r="J909" s="201" t="n"/>
      <c r="K909" s="201" t="n"/>
      <c r="L909" s="201" t="n"/>
      <c r="M909" s="201" t="n"/>
      <c r="N909" s="201" t="n"/>
      <c r="O909" s="201" t="n"/>
      <c r="P909" s="201" t="n"/>
      <c r="Q909" s="201" t="n"/>
      <c r="R909" s="201" t="n"/>
      <c r="S909" s="201" t="n"/>
      <c r="T909" s="201" t="n"/>
      <c r="U909" s="201" t="n"/>
      <c r="V909" s="201" t="n"/>
      <c r="W909" s="201" t="n"/>
      <c r="X909" s="201" t="n"/>
      <c r="Y909" s="201" t="n"/>
      <c r="Z909" s="201" t="n"/>
      <c r="AA909" s="201" t="n"/>
      <c r="AB909" s="201" t="n"/>
      <c r="AC909" s="201" t="n"/>
      <c r="AD909" s="201" t="n"/>
      <c r="AE909" s="201" t="n"/>
      <c r="AF909" s="201" t="n"/>
      <c r="AG909" s="201" t="n"/>
    </row>
    <row r="910" ht="12.75" customHeight="1" s="202">
      <c r="A910" s="201" t="n"/>
      <c r="B910" s="201" t="n"/>
      <c r="C910" s="201" t="n"/>
      <c r="D910" s="201" t="n"/>
      <c r="E910" s="201" t="n"/>
      <c r="F910" s="201" t="n"/>
      <c r="G910" s="201" t="n"/>
      <c r="H910" s="201" t="n"/>
      <c r="I910" s="201" t="n"/>
      <c r="J910" s="201" t="n"/>
      <c r="K910" s="201" t="n"/>
      <c r="L910" s="201" t="n"/>
      <c r="M910" s="201" t="n"/>
      <c r="N910" s="201" t="n"/>
      <c r="O910" s="201" t="n"/>
      <c r="P910" s="201" t="n"/>
      <c r="Q910" s="201" t="n"/>
      <c r="R910" s="201" t="n"/>
      <c r="S910" s="201" t="n"/>
      <c r="T910" s="201" t="n"/>
      <c r="U910" s="201" t="n"/>
      <c r="V910" s="201" t="n"/>
      <c r="W910" s="201" t="n"/>
      <c r="X910" s="201" t="n"/>
      <c r="Y910" s="201" t="n"/>
      <c r="Z910" s="201" t="n"/>
      <c r="AA910" s="201" t="n"/>
      <c r="AB910" s="201" t="n"/>
      <c r="AC910" s="201" t="n"/>
      <c r="AD910" s="201" t="n"/>
      <c r="AE910" s="201" t="n"/>
      <c r="AF910" s="201" t="n"/>
      <c r="AG910" s="201" t="n"/>
    </row>
    <row r="911" ht="12.75" customHeight="1" s="202">
      <c r="A911" s="201" t="n"/>
      <c r="B911" s="201" t="n"/>
      <c r="C911" s="201" t="n"/>
      <c r="D911" s="201" t="n"/>
      <c r="E911" s="201" t="n"/>
      <c r="F911" s="201" t="n"/>
      <c r="G911" s="201" t="n"/>
      <c r="H911" s="201" t="n"/>
      <c r="I911" s="201" t="n"/>
      <c r="J911" s="201" t="n"/>
      <c r="K911" s="201" t="n"/>
      <c r="L911" s="201" t="n"/>
      <c r="M911" s="201" t="n"/>
      <c r="N911" s="201" t="n"/>
      <c r="O911" s="201" t="n"/>
      <c r="P911" s="201" t="n"/>
      <c r="Q911" s="201" t="n"/>
      <c r="R911" s="201" t="n"/>
      <c r="S911" s="201" t="n"/>
      <c r="T911" s="201" t="n"/>
      <c r="U911" s="201" t="n"/>
      <c r="V911" s="201" t="n"/>
      <c r="W911" s="201" t="n"/>
      <c r="X911" s="201" t="n"/>
      <c r="Y911" s="201" t="n"/>
      <c r="Z911" s="201" t="n"/>
      <c r="AA911" s="201" t="n"/>
      <c r="AB911" s="201" t="n"/>
      <c r="AC911" s="201" t="n"/>
      <c r="AD911" s="201" t="n"/>
      <c r="AE911" s="201" t="n"/>
      <c r="AF911" s="201" t="n"/>
      <c r="AG911" s="201" t="n"/>
    </row>
    <row r="912" ht="12.75" customHeight="1" s="202">
      <c r="A912" s="201" t="n"/>
      <c r="B912" s="201" t="n"/>
      <c r="C912" s="201" t="n"/>
      <c r="D912" s="201" t="n"/>
      <c r="E912" s="201" t="n"/>
      <c r="F912" s="201" t="n"/>
      <c r="G912" s="201" t="n"/>
      <c r="H912" s="201" t="n"/>
      <c r="I912" s="201" t="n"/>
      <c r="J912" s="201" t="n"/>
      <c r="K912" s="201" t="n"/>
      <c r="L912" s="201" t="n"/>
      <c r="M912" s="201" t="n"/>
      <c r="N912" s="201" t="n"/>
      <c r="O912" s="201" t="n"/>
      <c r="P912" s="201" t="n"/>
      <c r="Q912" s="201" t="n"/>
      <c r="R912" s="201" t="n"/>
      <c r="S912" s="201" t="n"/>
      <c r="T912" s="201" t="n"/>
      <c r="U912" s="201" t="n"/>
      <c r="V912" s="201" t="n"/>
      <c r="W912" s="201" t="n"/>
      <c r="X912" s="201" t="n"/>
      <c r="Y912" s="201" t="n"/>
      <c r="Z912" s="201" t="n"/>
      <c r="AA912" s="201" t="n"/>
      <c r="AB912" s="201" t="n"/>
      <c r="AC912" s="201" t="n"/>
      <c r="AD912" s="201" t="n"/>
      <c r="AE912" s="201" t="n"/>
      <c r="AF912" s="201" t="n"/>
      <c r="AG912" s="201" t="n"/>
    </row>
    <row r="913" ht="12.75" customHeight="1" s="202">
      <c r="A913" s="201" t="n"/>
      <c r="B913" s="201" t="n"/>
      <c r="C913" s="201" t="n"/>
      <c r="D913" s="201" t="n"/>
      <c r="E913" s="201" t="n"/>
      <c r="F913" s="201" t="n"/>
      <c r="G913" s="201" t="n"/>
      <c r="H913" s="201" t="n"/>
      <c r="I913" s="201" t="n"/>
      <c r="J913" s="201" t="n"/>
      <c r="K913" s="201" t="n"/>
      <c r="L913" s="201" t="n"/>
      <c r="M913" s="201" t="n"/>
      <c r="N913" s="201" t="n"/>
      <c r="O913" s="201" t="n"/>
      <c r="P913" s="201" t="n"/>
      <c r="Q913" s="201" t="n"/>
      <c r="R913" s="201" t="n"/>
      <c r="S913" s="201" t="n"/>
      <c r="T913" s="201" t="n"/>
      <c r="U913" s="201" t="n"/>
      <c r="V913" s="201" t="n"/>
      <c r="W913" s="201" t="n"/>
      <c r="X913" s="201" t="n"/>
      <c r="Y913" s="201" t="n"/>
      <c r="Z913" s="201" t="n"/>
      <c r="AA913" s="201" t="n"/>
      <c r="AB913" s="201" t="n"/>
      <c r="AC913" s="201" t="n"/>
      <c r="AD913" s="201" t="n"/>
      <c r="AE913" s="201" t="n"/>
      <c r="AF913" s="201" t="n"/>
      <c r="AG913" s="201" t="n"/>
    </row>
    <row r="914" ht="12.75" customHeight="1" s="202">
      <c r="A914" s="201" t="n"/>
      <c r="B914" s="201" t="n"/>
      <c r="C914" s="201" t="n"/>
      <c r="D914" s="201" t="n"/>
      <c r="E914" s="201" t="n"/>
      <c r="F914" s="201" t="n"/>
      <c r="G914" s="201" t="n"/>
      <c r="H914" s="201" t="n"/>
      <c r="I914" s="201" t="n"/>
      <c r="J914" s="201" t="n"/>
      <c r="K914" s="201" t="n"/>
      <c r="L914" s="201" t="n"/>
      <c r="M914" s="201" t="n"/>
      <c r="N914" s="201" t="n"/>
      <c r="O914" s="201" t="n"/>
      <c r="P914" s="201" t="n"/>
      <c r="Q914" s="201" t="n"/>
      <c r="R914" s="201" t="n"/>
      <c r="S914" s="201" t="n"/>
      <c r="T914" s="201" t="n"/>
      <c r="U914" s="201" t="n"/>
      <c r="V914" s="201" t="n"/>
      <c r="W914" s="201" t="n"/>
      <c r="X914" s="201" t="n"/>
      <c r="Y914" s="201" t="n"/>
      <c r="Z914" s="201" t="n"/>
      <c r="AA914" s="201" t="n"/>
      <c r="AB914" s="201" t="n"/>
      <c r="AC914" s="201" t="n"/>
      <c r="AD914" s="201" t="n"/>
      <c r="AE914" s="201" t="n"/>
      <c r="AF914" s="201" t="n"/>
      <c r="AG914" s="201" t="n"/>
    </row>
    <row r="915" ht="12.75" customHeight="1" s="202">
      <c r="A915" s="201" t="n"/>
      <c r="B915" s="201" t="n"/>
      <c r="C915" s="201" t="n"/>
      <c r="D915" s="201" t="n"/>
      <c r="E915" s="201" t="n"/>
      <c r="F915" s="201" t="n"/>
      <c r="G915" s="201" t="n"/>
      <c r="H915" s="201" t="n"/>
      <c r="I915" s="201" t="n"/>
      <c r="J915" s="201" t="n"/>
      <c r="K915" s="201" t="n"/>
      <c r="L915" s="201" t="n"/>
      <c r="M915" s="201" t="n"/>
      <c r="N915" s="201" t="n"/>
      <c r="O915" s="201" t="n"/>
      <c r="P915" s="201" t="n"/>
      <c r="Q915" s="201" t="n"/>
      <c r="R915" s="201" t="n"/>
      <c r="S915" s="201" t="n"/>
      <c r="T915" s="201" t="n"/>
      <c r="U915" s="201" t="n"/>
      <c r="V915" s="201" t="n"/>
      <c r="W915" s="201" t="n"/>
      <c r="X915" s="201" t="n"/>
      <c r="Y915" s="201" t="n"/>
      <c r="Z915" s="201" t="n"/>
      <c r="AA915" s="201" t="n"/>
      <c r="AB915" s="201" t="n"/>
      <c r="AC915" s="201" t="n"/>
      <c r="AD915" s="201" t="n"/>
      <c r="AE915" s="201" t="n"/>
      <c r="AF915" s="201" t="n"/>
      <c r="AG915" s="201" t="n"/>
    </row>
    <row r="916" ht="12.75" customHeight="1" s="202">
      <c r="A916" s="201" t="n"/>
      <c r="B916" s="201" t="n"/>
      <c r="C916" s="201" t="n"/>
      <c r="D916" s="201" t="n"/>
      <c r="E916" s="201" t="n"/>
      <c r="F916" s="201" t="n"/>
      <c r="G916" s="201" t="n"/>
      <c r="H916" s="201" t="n"/>
      <c r="I916" s="201" t="n"/>
      <c r="J916" s="201" t="n"/>
      <c r="K916" s="201" t="n"/>
      <c r="L916" s="201" t="n"/>
      <c r="M916" s="201" t="n"/>
      <c r="N916" s="201" t="n"/>
      <c r="O916" s="201" t="n"/>
      <c r="P916" s="201" t="n"/>
      <c r="Q916" s="201" t="n"/>
      <c r="R916" s="201" t="n"/>
      <c r="S916" s="201" t="n"/>
      <c r="T916" s="201" t="n"/>
      <c r="U916" s="201" t="n"/>
      <c r="V916" s="201" t="n"/>
      <c r="W916" s="201" t="n"/>
      <c r="X916" s="201" t="n"/>
      <c r="Y916" s="201" t="n"/>
      <c r="Z916" s="201" t="n"/>
      <c r="AA916" s="201" t="n"/>
      <c r="AB916" s="201" t="n"/>
      <c r="AC916" s="201" t="n"/>
      <c r="AD916" s="201" t="n"/>
      <c r="AE916" s="201" t="n"/>
      <c r="AF916" s="201" t="n"/>
      <c r="AG916" s="201" t="n"/>
    </row>
    <row r="917" ht="12.75" customHeight="1" s="202">
      <c r="A917" s="201" t="n"/>
      <c r="B917" s="201" t="n"/>
      <c r="C917" s="201" t="n"/>
      <c r="D917" s="201" t="n"/>
      <c r="E917" s="201" t="n"/>
      <c r="F917" s="201" t="n"/>
      <c r="G917" s="201" t="n"/>
      <c r="H917" s="201" t="n"/>
      <c r="I917" s="201" t="n"/>
      <c r="J917" s="201" t="n"/>
      <c r="K917" s="201" t="n"/>
      <c r="L917" s="201" t="n"/>
      <c r="M917" s="201" t="n"/>
      <c r="N917" s="201" t="n"/>
      <c r="O917" s="201" t="n"/>
      <c r="P917" s="201" t="n"/>
      <c r="Q917" s="201" t="n"/>
      <c r="R917" s="201" t="n"/>
      <c r="S917" s="201" t="n"/>
      <c r="T917" s="201" t="n"/>
      <c r="U917" s="201" t="n"/>
      <c r="V917" s="201" t="n"/>
      <c r="W917" s="201" t="n"/>
      <c r="X917" s="201" t="n"/>
      <c r="Y917" s="201" t="n"/>
      <c r="Z917" s="201" t="n"/>
      <c r="AA917" s="201" t="n"/>
      <c r="AB917" s="201" t="n"/>
      <c r="AC917" s="201" t="n"/>
      <c r="AD917" s="201" t="n"/>
      <c r="AE917" s="201" t="n"/>
      <c r="AF917" s="201" t="n"/>
      <c r="AG917" s="201" t="n"/>
    </row>
    <row r="918" ht="12.75" customHeight="1" s="202">
      <c r="A918" s="201" t="n"/>
      <c r="B918" s="201" t="n"/>
      <c r="C918" s="201" t="n"/>
      <c r="D918" s="201" t="n"/>
      <c r="E918" s="201" t="n"/>
      <c r="F918" s="201" t="n"/>
      <c r="G918" s="201" t="n"/>
      <c r="H918" s="201" t="n"/>
      <c r="I918" s="201" t="n"/>
      <c r="J918" s="201" t="n"/>
      <c r="K918" s="201" t="n"/>
      <c r="L918" s="201" t="n"/>
      <c r="M918" s="201" t="n"/>
      <c r="N918" s="201" t="n"/>
      <c r="O918" s="201" t="n"/>
      <c r="P918" s="201" t="n"/>
      <c r="Q918" s="201" t="n"/>
      <c r="R918" s="201" t="n"/>
      <c r="S918" s="201" t="n"/>
      <c r="T918" s="201" t="n"/>
      <c r="U918" s="201" t="n"/>
      <c r="V918" s="201" t="n"/>
      <c r="W918" s="201" t="n"/>
      <c r="X918" s="201" t="n"/>
      <c r="Y918" s="201" t="n"/>
      <c r="Z918" s="201" t="n"/>
      <c r="AA918" s="201" t="n"/>
      <c r="AB918" s="201" t="n"/>
      <c r="AC918" s="201" t="n"/>
      <c r="AD918" s="201" t="n"/>
      <c r="AE918" s="201" t="n"/>
      <c r="AF918" s="201" t="n"/>
      <c r="AG918" s="201" t="n"/>
    </row>
    <row r="919" ht="12.75" customHeight="1" s="202">
      <c r="A919" s="201" t="n"/>
      <c r="B919" s="201" t="n"/>
      <c r="C919" s="201" t="n"/>
      <c r="D919" s="201" t="n"/>
      <c r="E919" s="201" t="n"/>
      <c r="F919" s="201" t="n"/>
      <c r="G919" s="201" t="n"/>
      <c r="H919" s="201" t="n"/>
      <c r="I919" s="201" t="n"/>
      <c r="J919" s="201" t="n"/>
      <c r="K919" s="201" t="n"/>
      <c r="L919" s="201" t="n"/>
      <c r="M919" s="201" t="n"/>
      <c r="N919" s="201" t="n"/>
      <c r="O919" s="201" t="n"/>
      <c r="P919" s="201" t="n"/>
      <c r="Q919" s="201" t="n"/>
      <c r="R919" s="201" t="n"/>
      <c r="S919" s="201" t="n"/>
      <c r="T919" s="201" t="n"/>
      <c r="U919" s="201" t="n"/>
      <c r="V919" s="201" t="n"/>
      <c r="W919" s="201" t="n"/>
      <c r="X919" s="201" t="n"/>
      <c r="Y919" s="201" t="n"/>
      <c r="Z919" s="201" t="n"/>
      <c r="AA919" s="201" t="n"/>
      <c r="AB919" s="201" t="n"/>
      <c r="AC919" s="201" t="n"/>
      <c r="AD919" s="201" t="n"/>
      <c r="AE919" s="201" t="n"/>
      <c r="AF919" s="201" t="n"/>
      <c r="AG919" s="201" t="n"/>
    </row>
    <row r="920" ht="12.75" customHeight="1" s="202">
      <c r="A920" s="201" t="n"/>
      <c r="B920" s="201" t="n"/>
      <c r="C920" s="201" t="n"/>
      <c r="D920" s="201" t="n"/>
      <c r="E920" s="201" t="n"/>
      <c r="F920" s="201" t="n"/>
      <c r="G920" s="201" t="n"/>
      <c r="H920" s="201" t="n"/>
      <c r="I920" s="201" t="n"/>
      <c r="J920" s="201" t="n"/>
      <c r="K920" s="201" t="n"/>
      <c r="L920" s="201" t="n"/>
      <c r="M920" s="201" t="n"/>
      <c r="N920" s="201" t="n"/>
      <c r="O920" s="201" t="n"/>
      <c r="P920" s="201" t="n"/>
      <c r="Q920" s="201" t="n"/>
      <c r="R920" s="201" t="n"/>
      <c r="S920" s="201" t="n"/>
      <c r="T920" s="201" t="n"/>
      <c r="U920" s="201" t="n"/>
      <c r="V920" s="201" t="n"/>
      <c r="W920" s="201" t="n"/>
      <c r="X920" s="201" t="n"/>
      <c r="Y920" s="201" t="n"/>
      <c r="Z920" s="201" t="n"/>
      <c r="AA920" s="201" t="n"/>
      <c r="AB920" s="201" t="n"/>
      <c r="AC920" s="201" t="n"/>
      <c r="AD920" s="201" t="n"/>
      <c r="AE920" s="201" t="n"/>
      <c r="AF920" s="201" t="n"/>
      <c r="AG920" s="201" t="n"/>
    </row>
    <row r="921" ht="12.75" customHeight="1" s="202">
      <c r="A921" s="201" t="n"/>
      <c r="B921" s="201" t="n"/>
      <c r="C921" s="201" t="n"/>
      <c r="D921" s="201" t="n"/>
      <c r="E921" s="201" t="n"/>
      <c r="F921" s="201" t="n"/>
      <c r="G921" s="201" t="n"/>
      <c r="H921" s="201" t="n"/>
      <c r="I921" s="201" t="n"/>
      <c r="J921" s="201" t="n"/>
      <c r="K921" s="201" t="n"/>
      <c r="L921" s="201" t="n"/>
      <c r="M921" s="201" t="n"/>
      <c r="N921" s="201" t="n"/>
      <c r="O921" s="201" t="n"/>
      <c r="P921" s="201" t="n"/>
      <c r="Q921" s="201" t="n"/>
      <c r="R921" s="201" t="n"/>
      <c r="S921" s="201" t="n"/>
      <c r="T921" s="201" t="n"/>
      <c r="U921" s="201" t="n"/>
      <c r="V921" s="201" t="n"/>
      <c r="W921" s="201" t="n"/>
      <c r="X921" s="201" t="n"/>
      <c r="Y921" s="201" t="n"/>
      <c r="Z921" s="201" t="n"/>
      <c r="AA921" s="201" t="n"/>
      <c r="AB921" s="201" t="n"/>
      <c r="AC921" s="201" t="n"/>
      <c r="AD921" s="201" t="n"/>
      <c r="AE921" s="201" t="n"/>
      <c r="AF921" s="201" t="n"/>
      <c r="AG921" s="201" t="n"/>
    </row>
    <row r="922" ht="12.75" customHeight="1" s="202">
      <c r="A922" s="201" t="n"/>
      <c r="B922" s="201" t="n"/>
      <c r="C922" s="201" t="n"/>
      <c r="D922" s="201" t="n"/>
      <c r="E922" s="201" t="n"/>
      <c r="F922" s="201" t="n"/>
      <c r="G922" s="201" t="n"/>
      <c r="H922" s="201" t="n"/>
      <c r="I922" s="201" t="n"/>
      <c r="J922" s="201" t="n"/>
      <c r="K922" s="201" t="n"/>
      <c r="L922" s="201" t="n"/>
      <c r="M922" s="201" t="n"/>
      <c r="N922" s="201" t="n"/>
      <c r="O922" s="201" t="n"/>
      <c r="P922" s="201" t="n"/>
      <c r="Q922" s="201" t="n"/>
      <c r="R922" s="201" t="n"/>
      <c r="S922" s="201" t="n"/>
      <c r="T922" s="201" t="n"/>
      <c r="U922" s="201" t="n"/>
      <c r="V922" s="201" t="n"/>
      <c r="W922" s="201" t="n"/>
      <c r="X922" s="201" t="n"/>
      <c r="Y922" s="201" t="n"/>
      <c r="Z922" s="201" t="n"/>
      <c r="AA922" s="201" t="n"/>
      <c r="AB922" s="201" t="n"/>
      <c r="AC922" s="201" t="n"/>
      <c r="AD922" s="201" t="n"/>
      <c r="AE922" s="201" t="n"/>
      <c r="AF922" s="201" t="n"/>
      <c r="AG922" s="201" t="n"/>
    </row>
    <row r="923" ht="12.75" customHeight="1" s="202">
      <c r="A923" s="201" t="n"/>
      <c r="B923" s="201" t="n"/>
      <c r="C923" s="201" t="n"/>
      <c r="D923" s="201" t="n"/>
      <c r="E923" s="201" t="n"/>
      <c r="F923" s="201" t="n"/>
      <c r="G923" s="201" t="n"/>
      <c r="H923" s="201" t="n"/>
      <c r="I923" s="201" t="n"/>
      <c r="J923" s="201" t="n"/>
      <c r="K923" s="201" t="n"/>
      <c r="L923" s="201" t="n"/>
      <c r="M923" s="201" t="n"/>
      <c r="N923" s="201" t="n"/>
      <c r="O923" s="201" t="n"/>
      <c r="P923" s="201" t="n"/>
      <c r="Q923" s="201" t="n"/>
      <c r="R923" s="201" t="n"/>
      <c r="S923" s="201" t="n"/>
      <c r="T923" s="201" t="n"/>
      <c r="U923" s="201" t="n"/>
      <c r="V923" s="201" t="n"/>
      <c r="W923" s="201" t="n"/>
      <c r="X923" s="201" t="n"/>
      <c r="Y923" s="201" t="n"/>
      <c r="Z923" s="201" t="n"/>
      <c r="AA923" s="201" t="n"/>
      <c r="AB923" s="201" t="n"/>
      <c r="AC923" s="201" t="n"/>
      <c r="AD923" s="201" t="n"/>
      <c r="AE923" s="201" t="n"/>
      <c r="AF923" s="201" t="n"/>
      <c r="AG923" s="201" t="n"/>
    </row>
    <row r="924" ht="12.75" customHeight="1" s="202">
      <c r="A924" s="201" t="n"/>
      <c r="B924" s="201" t="n"/>
      <c r="C924" s="201" t="n"/>
      <c r="D924" s="201" t="n"/>
      <c r="E924" s="201" t="n"/>
      <c r="F924" s="201" t="n"/>
      <c r="G924" s="201" t="n"/>
      <c r="H924" s="201" t="n"/>
      <c r="I924" s="201" t="n"/>
      <c r="J924" s="201" t="n"/>
      <c r="K924" s="201" t="n"/>
      <c r="L924" s="201" t="n"/>
      <c r="M924" s="201" t="n"/>
      <c r="N924" s="201" t="n"/>
      <c r="O924" s="201" t="n"/>
      <c r="P924" s="201" t="n"/>
      <c r="Q924" s="201" t="n"/>
      <c r="R924" s="201" t="n"/>
      <c r="S924" s="201" t="n"/>
      <c r="T924" s="201" t="n"/>
      <c r="U924" s="201" t="n"/>
      <c r="V924" s="201" t="n"/>
      <c r="W924" s="201" t="n"/>
      <c r="X924" s="201" t="n"/>
      <c r="Y924" s="201" t="n"/>
      <c r="Z924" s="201" t="n"/>
      <c r="AA924" s="201" t="n"/>
      <c r="AB924" s="201" t="n"/>
      <c r="AC924" s="201" t="n"/>
      <c r="AD924" s="201" t="n"/>
      <c r="AE924" s="201" t="n"/>
      <c r="AF924" s="201" t="n"/>
      <c r="AG924" s="201" t="n"/>
    </row>
    <row r="925" ht="12.75" customHeight="1" s="202">
      <c r="A925" s="201" t="n"/>
      <c r="B925" s="201" t="n"/>
      <c r="C925" s="201" t="n"/>
      <c r="D925" s="201" t="n"/>
      <c r="E925" s="201" t="n"/>
      <c r="F925" s="201" t="n"/>
      <c r="G925" s="201" t="n"/>
      <c r="H925" s="201" t="n"/>
      <c r="I925" s="201" t="n"/>
      <c r="J925" s="201" t="n"/>
      <c r="K925" s="201" t="n"/>
      <c r="L925" s="201" t="n"/>
      <c r="M925" s="201" t="n"/>
      <c r="N925" s="201" t="n"/>
      <c r="O925" s="201" t="n"/>
      <c r="P925" s="201" t="n"/>
      <c r="Q925" s="201" t="n"/>
      <c r="R925" s="201" t="n"/>
      <c r="S925" s="201" t="n"/>
      <c r="T925" s="201" t="n"/>
      <c r="U925" s="201" t="n"/>
      <c r="V925" s="201" t="n"/>
      <c r="W925" s="201" t="n"/>
      <c r="X925" s="201" t="n"/>
      <c r="Y925" s="201" t="n"/>
      <c r="Z925" s="201" t="n"/>
      <c r="AA925" s="201" t="n"/>
      <c r="AB925" s="201" t="n"/>
      <c r="AC925" s="201" t="n"/>
      <c r="AD925" s="201" t="n"/>
      <c r="AE925" s="201" t="n"/>
      <c r="AF925" s="201" t="n"/>
      <c r="AG925" s="201" t="n"/>
    </row>
    <row r="926" ht="12.75" customHeight="1" s="202">
      <c r="A926" s="201" t="n"/>
      <c r="B926" s="201" t="n"/>
      <c r="C926" s="201" t="n"/>
      <c r="D926" s="201" t="n"/>
      <c r="E926" s="201" t="n"/>
      <c r="F926" s="201" t="n"/>
      <c r="G926" s="201" t="n"/>
      <c r="H926" s="201" t="n"/>
      <c r="I926" s="201" t="n"/>
      <c r="J926" s="201" t="n"/>
      <c r="K926" s="201" t="n"/>
      <c r="L926" s="201" t="n"/>
      <c r="M926" s="201" t="n"/>
      <c r="N926" s="201" t="n"/>
      <c r="O926" s="201" t="n"/>
      <c r="P926" s="201" t="n"/>
      <c r="Q926" s="201" t="n"/>
      <c r="R926" s="201" t="n"/>
      <c r="S926" s="201" t="n"/>
      <c r="T926" s="201" t="n"/>
      <c r="U926" s="201" t="n"/>
      <c r="V926" s="201" t="n"/>
      <c r="W926" s="201" t="n"/>
      <c r="X926" s="201" t="n"/>
      <c r="Y926" s="201" t="n"/>
      <c r="Z926" s="201" t="n"/>
      <c r="AA926" s="201" t="n"/>
      <c r="AB926" s="201" t="n"/>
      <c r="AC926" s="201" t="n"/>
      <c r="AD926" s="201" t="n"/>
      <c r="AE926" s="201" t="n"/>
      <c r="AF926" s="201" t="n"/>
      <c r="AG926" s="201" t="n"/>
    </row>
    <row r="927" ht="12.75" customHeight="1" s="202">
      <c r="A927" s="201" t="n"/>
      <c r="B927" s="201" t="n"/>
      <c r="C927" s="201" t="n"/>
      <c r="D927" s="201" t="n"/>
      <c r="E927" s="201" t="n"/>
      <c r="F927" s="201" t="n"/>
      <c r="G927" s="201" t="n"/>
      <c r="H927" s="201" t="n"/>
      <c r="I927" s="201" t="n"/>
      <c r="J927" s="201" t="n"/>
      <c r="K927" s="201" t="n"/>
      <c r="L927" s="201" t="n"/>
      <c r="M927" s="201" t="n"/>
      <c r="N927" s="201" t="n"/>
      <c r="O927" s="201" t="n"/>
      <c r="P927" s="201" t="n"/>
      <c r="Q927" s="201" t="n"/>
      <c r="R927" s="201" t="n"/>
      <c r="S927" s="201" t="n"/>
      <c r="T927" s="201" t="n"/>
      <c r="U927" s="201" t="n"/>
      <c r="V927" s="201" t="n"/>
      <c r="W927" s="201" t="n"/>
      <c r="X927" s="201" t="n"/>
      <c r="Y927" s="201" t="n"/>
      <c r="Z927" s="201" t="n"/>
      <c r="AA927" s="201" t="n"/>
      <c r="AB927" s="201" t="n"/>
      <c r="AC927" s="201" t="n"/>
      <c r="AD927" s="201" t="n"/>
      <c r="AE927" s="201" t="n"/>
      <c r="AF927" s="201" t="n"/>
      <c r="AG927" s="201" t="n"/>
    </row>
    <row r="928" ht="12.75" customHeight="1" s="202">
      <c r="A928" s="201" t="n"/>
      <c r="B928" s="201" t="n"/>
      <c r="C928" s="201" t="n"/>
      <c r="D928" s="201" t="n"/>
      <c r="E928" s="201" t="n"/>
      <c r="F928" s="201" t="n"/>
      <c r="G928" s="201" t="n"/>
      <c r="H928" s="201" t="n"/>
      <c r="I928" s="201" t="n"/>
      <c r="J928" s="201" t="n"/>
      <c r="K928" s="201" t="n"/>
      <c r="L928" s="201" t="n"/>
      <c r="M928" s="201" t="n"/>
      <c r="N928" s="201" t="n"/>
      <c r="O928" s="201" t="n"/>
      <c r="P928" s="201" t="n"/>
      <c r="Q928" s="201" t="n"/>
      <c r="R928" s="201" t="n"/>
      <c r="S928" s="201" t="n"/>
      <c r="T928" s="201" t="n"/>
      <c r="U928" s="201" t="n"/>
      <c r="V928" s="201" t="n"/>
      <c r="W928" s="201" t="n"/>
      <c r="X928" s="201" t="n"/>
      <c r="Y928" s="201" t="n"/>
      <c r="Z928" s="201" t="n"/>
      <c r="AA928" s="201" t="n"/>
      <c r="AB928" s="201" t="n"/>
      <c r="AC928" s="201" t="n"/>
      <c r="AD928" s="201" t="n"/>
      <c r="AE928" s="201" t="n"/>
      <c r="AF928" s="201" t="n"/>
      <c r="AG928" s="201" t="n"/>
    </row>
    <row r="929" ht="12.75" customHeight="1" s="202">
      <c r="A929" s="201" t="n"/>
      <c r="B929" s="201" t="n"/>
      <c r="C929" s="201" t="n"/>
      <c r="D929" s="201" t="n"/>
      <c r="E929" s="201" t="n"/>
      <c r="F929" s="201" t="n"/>
      <c r="G929" s="201" t="n"/>
      <c r="H929" s="201" t="n"/>
      <c r="I929" s="201" t="n"/>
      <c r="J929" s="201" t="n"/>
      <c r="K929" s="201" t="n"/>
      <c r="L929" s="201" t="n"/>
      <c r="M929" s="201" t="n"/>
      <c r="N929" s="201" t="n"/>
      <c r="O929" s="201" t="n"/>
      <c r="P929" s="201" t="n"/>
      <c r="Q929" s="201" t="n"/>
      <c r="R929" s="201" t="n"/>
      <c r="S929" s="201" t="n"/>
      <c r="T929" s="201" t="n"/>
      <c r="U929" s="201" t="n"/>
      <c r="V929" s="201" t="n"/>
      <c r="W929" s="201" t="n"/>
      <c r="X929" s="201" t="n"/>
      <c r="Y929" s="201" t="n"/>
      <c r="Z929" s="201" t="n"/>
      <c r="AA929" s="201" t="n"/>
      <c r="AB929" s="201" t="n"/>
      <c r="AC929" s="201" t="n"/>
      <c r="AD929" s="201" t="n"/>
      <c r="AE929" s="201" t="n"/>
      <c r="AF929" s="201" t="n"/>
      <c r="AG929" s="201" t="n"/>
    </row>
    <row r="930" ht="12.75" customHeight="1" s="202">
      <c r="A930" s="201" t="n"/>
      <c r="B930" s="201" t="n"/>
      <c r="C930" s="201" t="n"/>
      <c r="D930" s="201" t="n"/>
      <c r="E930" s="201" t="n"/>
      <c r="F930" s="201" t="n"/>
      <c r="G930" s="201" t="n"/>
      <c r="H930" s="201" t="n"/>
      <c r="I930" s="201" t="n"/>
      <c r="J930" s="201" t="n"/>
      <c r="K930" s="201" t="n"/>
      <c r="L930" s="201" t="n"/>
      <c r="M930" s="201" t="n"/>
      <c r="N930" s="201" t="n"/>
      <c r="O930" s="201" t="n"/>
      <c r="P930" s="201" t="n"/>
      <c r="Q930" s="201" t="n"/>
      <c r="R930" s="201" t="n"/>
      <c r="S930" s="201" t="n"/>
      <c r="T930" s="201" t="n"/>
      <c r="U930" s="201" t="n"/>
      <c r="V930" s="201" t="n"/>
      <c r="W930" s="201" t="n"/>
      <c r="X930" s="201" t="n"/>
      <c r="Y930" s="201" t="n"/>
      <c r="Z930" s="201" t="n"/>
      <c r="AA930" s="201" t="n"/>
      <c r="AB930" s="201" t="n"/>
      <c r="AC930" s="201" t="n"/>
      <c r="AD930" s="201" t="n"/>
      <c r="AE930" s="201" t="n"/>
      <c r="AF930" s="201" t="n"/>
      <c r="AG930" s="201" t="n"/>
    </row>
    <row r="931" ht="12.75" customHeight="1" s="202">
      <c r="A931" s="201" t="n"/>
      <c r="B931" s="201" t="n"/>
      <c r="C931" s="201" t="n"/>
      <c r="D931" s="201" t="n"/>
      <c r="E931" s="201" t="n"/>
      <c r="F931" s="201" t="n"/>
      <c r="G931" s="201" t="n"/>
      <c r="H931" s="201" t="n"/>
      <c r="I931" s="201" t="n"/>
      <c r="J931" s="201" t="n"/>
      <c r="K931" s="201" t="n"/>
      <c r="L931" s="201" t="n"/>
      <c r="M931" s="201" t="n"/>
      <c r="N931" s="201" t="n"/>
      <c r="O931" s="201" t="n"/>
      <c r="P931" s="201" t="n"/>
      <c r="Q931" s="201" t="n"/>
      <c r="R931" s="201" t="n"/>
      <c r="S931" s="201" t="n"/>
      <c r="T931" s="201" t="n"/>
      <c r="U931" s="201" t="n"/>
      <c r="V931" s="201" t="n"/>
      <c r="W931" s="201" t="n"/>
      <c r="X931" s="201" t="n"/>
      <c r="Y931" s="201" t="n"/>
      <c r="Z931" s="201" t="n"/>
      <c r="AA931" s="201" t="n"/>
      <c r="AB931" s="201" t="n"/>
      <c r="AC931" s="201" t="n"/>
      <c r="AD931" s="201" t="n"/>
      <c r="AE931" s="201" t="n"/>
      <c r="AF931" s="201" t="n"/>
      <c r="AG931" s="201" t="n"/>
    </row>
    <row r="932" ht="12.75" customHeight="1" s="202">
      <c r="A932" s="201" t="n"/>
      <c r="B932" s="201" t="n"/>
      <c r="C932" s="201" t="n"/>
      <c r="D932" s="201" t="n"/>
      <c r="E932" s="201" t="n"/>
      <c r="F932" s="201" t="n"/>
      <c r="G932" s="201" t="n"/>
      <c r="H932" s="201" t="n"/>
      <c r="I932" s="201" t="n"/>
      <c r="J932" s="201" t="n"/>
      <c r="K932" s="201" t="n"/>
      <c r="L932" s="201" t="n"/>
      <c r="M932" s="201" t="n"/>
      <c r="N932" s="201" t="n"/>
      <c r="O932" s="201" t="n"/>
      <c r="P932" s="201" t="n"/>
      <c r="Q932" s="201" t="n"/>
      <c r="R932" s="201" t="n"/>
      <c r="S932" s="201" t="n"/>
      <c r="T932" s="201" t="n"/>
      <c r="U932" s="201" t="n"/>
      <c r="V932" s="201" t="n"/>
      <c r="W932" s="201" t="n"/>
      <c r="X932" s="201" t="n"/>
      <c r="Y932" s="201" t="n"/>
      <c r="Z932" s="201" t="n"/>
      <c r="AA932" s="201" t="n"/>
      <c r="AB932" s="201" t="n"/>
      <c r="AC932" s="201" t="n"/>
      <c r="AD932" s="201" t="n"/>
      <c r="AE932" s="201" t="n"/>
      <c r="AF932" s="201" t="n"/>
      <c r="AG932" s="20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1:M998"/>
  <sheetViews>
    <sheetView showGridLines="0" workbookViewId="0">
      <selection activeCell="A1" sqref="A1"/>
    </sheetView>
  </sheetViews>
  <sheetFormatPr baseColWidth="8" defaultColWidth="12.59765625" defaultRowHeight="15.75" customHeight="1"/>
  <cols>
    <col width="6.46484375" customWidth="1" style="202" min="3" max="5"/>
    <col width="13.1328125" customWidth="1" style="202" min="6" max="6"/>
    <col width="22.59765625" customWidth="1" style="202" min="7" max="7"/>
    <col width="18.3984375" customWidth="1" style="202" min="8" max="9"/>
  </cols>
  <sheetData>
    <row r="1" ht="12.75" customHeight="1" s="202"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</row>
    <row r="2" ht="15.75" customHeight="1" s="202">
      <c r="B2" s="201" t="n"/>
      <c r="C2" s="47" t="n"/>
      <c r="D2" s="47" t="n"/>
      <c r="E2" s="47" t="n"/>
      <c r="F2" s="47" t="n"/>
      <c r="G2" s="47" t="n"/>
      <c r="H2" s="47" t="n"/>
      <c r="I2" s="47" t="n"/>
      <c r="J2" s="47" t="n"/>
      <c r="K2" s="1" t="n"/>
      <c r="L2" s="1" t="n"/>
      <c r="M2" s="2" t="inlineStr">
        <is>
          <t>Copyright .2025. 서대리. All rights reserved</t>
        </is>
      </c>
    </row>
    <row r="3" ht="12.75" customHeight="1" s="202">
      <c r="B3" s="48" t="n"/>
      <c r="C3" s="48" t="n"/>
      <c r="D3" s="48" t="n"/>
      <c r="E3" s="48" t="n"/>
      <c r="F3" s="48" t="n"/>
      <c r="G3" s="48" t="n"/>
      <c r="H3" s="47" t="n"/>
      <c r="I3" s="48" t="n"/>
      <c r="J3" s="47" t="n"/>
      <c r="K3" s="47" t="n"/>
      <c r="L3" s="47" t="n"/>
      <c r="M3" s="47" t="n"/>
    </row>
    <row r="4" ht="13.15" customHeight="1" s="202">
      <c r="B4" s="54" t="inlineStr">
        <is>
          <t>일자</t>
        </is>
      </c>
      <c r="C4" s="55" t="inlineStr">
        <is>
          <t>연도</t>
        </is>
      </c>
      <c r="D4" s="55" t="inlineStr">
        <is>
          <t>월</t>
        </is>
      </c>
      <c r="E4" s="56" t="inlineStr">
        <is>
          <t>일</t>
        </is>
      </c>
      <c r="F4" s="55" t="inlineStr">
        <is>
          <t>종목코드</t>
        </is>
      </c>
      <c r="G4" s="56" t="inlineStr">
        <is>
          <t>종목명</t>
        </is>
      </c>
      <c r="H4" s="55" t="inlineStr">
        <is>
          <t>거래수량</t>
        </is>
      </c>
      <c r="I4" s="56" t="inlineStr">
        <is>
          <t>단가</t>
        </is>
      </c>
      <c r="J4" s="47" t="n"/>
      <c r="K4" s="47" t="n"/>
      <c r="L4" s="47" t="n"/>
      <c r="M4" s="47" t="n"/>
    </row>
    <row r="5" ht="13.15" customHeight="1" s="202">
      <c r="B5" s="60" t="n"/>
      <c r="C5" s="61" t="n"/>
      <c r="D5" s="61" t="n"/>
      <c r="E5" s="62" t="n"/>
      <c r="F5" s="61" t="n"/>
      <c r="G5" s="258" t="n"/>
      <c r="H5" s="61" t="n"/>
      <c r="I5" s="62" t="n"/>
      <c r="J5" s="47" t="n"/>
      <c r="K5" s="47" t="n"/>
      <c r="L5" s="47" t="n"/>
      <c r="M5" s="47" t="n"/>
    </row>
    <row r="6" ht="12.75" customHeight="1" s="202">
      <c r="B6" s="259" t="n"/>
      <c r="C6" s="50">
        <f>IF(B6=0,"",YEAR(B6))</f>
        <v/>
      </c>
      <c r="D6" s="50">
        <f>IF(B6=0,"",MONTH(B6)&amp;"월")</f>
        <v/>
      </c>
      <c r="E6" s="51">
        <f>IF(B6=0,"",DAY(B6)&amp;"일")</f>
        <v/>
      </c>
      <c r="F6" s="260" t="n"/>
      <c r="G6" s="261" t="n"/>
      <c r="H6" s="65" t="n">
        <v>1</v>
      </c>
      <c r="I6" s="262" t="n">
        <v>11</v>
      </c>
      <c r="J6" s="47" t="n"/>
      <c r="K6" s="47" t="n"/>
      <c r="L6" s="47" t="n"/>
      <c r="M6" s="47" t="n"/>
    </row>
    <row r="7" ht="12.75" customHeight="1" s="202">
      <c r="B7" s="259" t="n"/>
      <c r="C7" s="50">
        <f>IF(B7=0,"",YEAR(B7))</f>
        <v/>
      </c>
      <c r="D7" s="50">
        <f>IF(B7=0,"",MONTH(B7)&amp;"월")</f>
        <v/>
      </c>
      <c r="E7" s="51">
        <f>IF(B7=0,"",DAY(B7)&amp;"일")</f>
        <v/>
      </c>
      <c r="F7" s="260" t="n"/>
      <c r="G7" s="261" t="n"/>
      <c r="H7" s="263" t="n"/>
      <c r="I7" s="264" t="n"/>
      <c r="J7" s="47" t="n"/>
      <c r="K7" s="47" t="n"/>
      <c r="L7" s="47" t="n"/>
      <c r="M7" s="47" t="n"/>
    </row>
    <row r="8" ht="12.75" customHeight="1" s="202">
      <c r="B8" s="265" t="n"/>
      <c r="C8" s="50">
        <f>IF(B8=0,"",YEAR(B8))</f>
        <v/>
      </c>
      <c r="D8" s="50">
        <f>IF(B8=0,"",MONTH(B8)&amp;"월")</f>
        <v/>
      </c>
      <c r="E8" s="51">
        <f>IF(B8=0,"",DAY(B8)&amp;"일")</f>
        <v/>
      </c>
      <c r="F8" s="260" t="n"/>
      <c r="G8" s="261" t="n"/>
      <c r="H8" s="263" t="n"/>
      <c r="I8" s="264" t="n"/>
      <c r="J8" s="47" t="n"/>
      <c r="K8" s="47" t="n"/>
      <c r="L8" s="47" t="n"/>
      <c r="M8" s="47" t="n"/>
    </row>
    <row r="9" ht="12.75" customHeight="1" s="202">
      <c r="B9" s="265" t="n"/>
      <c r="C9" s="50">
        <f>IF(B9=0,"",YEAR(B9))</f>
        <v/>
      </c>
      <c r="D9" s="50">
        <f>IF(B9=0,"",MONTH(B9)&amp;"월")</f>
        <v/>
      </c>
      <c r="E9" s="51">
        <f>IF(B9=0,"",DAY(B9)&amp;"일")</f>
        <v/>
      </c>
      <c r="F9" s="260" t="n"/>
      <c r="G9" s="261" t="n"/>
      <c r="H9" s="263" t="n"/>
      <c r="I9" s="264" t="n"/>
      <c r="J9" s="47" t="n"/>
      <c r="K9" s="47" t="n"/>
      <c r="L9" s="47" t="n"/>
      <c r="M9" s="47" t="n"/>
    </row>
    <row r="10" ht="12.75" customHeight="1" s="202">
      <c r="B10" s="265" t="n"/>
      <c r="C10" s="50">
        <f>IF(B10=0,"",YEAR(B10))</f>
        <v/>
      </c>
      <c r="D10" s="50">
        <f>IF(B10=0,"",MONTH(B10)&amp;"월")</f>
        <v/>
      </c>
      <c r="E10" s="51">
        <f>IF(B10=0,"",DAY(B10)&amp;"일")</f>
        <v/>
      </c>
      <c r="F10" s="260" t="n"/>
      <c r="G10" s="261" t="n"/>
      <c r="H10" s="263" t="n"/>
      <c r="I10" s="264" t="n"/>
      <c r="J10" s="47" t="n"/>
      <c r="K10" s="47" t="n"/>
      <c r="L10" s="47" t="n"/>
      <c r="M10" s="47" t="n"/>
    </row>
    <row r="11" ht="12.75" customHeight="1" s="202">
      <c r="B11" s="266" t="n"/>
      <c r="C11" s="50">
        <f>IF(B11=0,"",YEAR(B11))</f>
        <v/>
      </c>
      <c r="D11" s="50">
        <f>IF(B11=0,"",MONTH(B11)&amp;"월")</f>
        <v/>
      </c>
      <c r="E11" s="51">
        <f>IF(B11=0,"",DAY(B11)&amp;"일")</f>
        <v/>
      </c>
      <c r="F11" s="260" t="n"/>
      <c r="G11" s="261" t="n"/>
      <c r="H11" s="263" t="n"/>
      <c r="I11" s="264" t="n"/>
      <c r="J11" s="47" t="n"/>
      <c r="K11" s="47" t="n"/>
      <c r="L11" s="47" t="n"/>
      <c r="M11" s="47" t="n"/>
    </row>
    <row r="12" ht="12.75" customHeight="1" s="202">
      <c r="B12" s="266" t="n"/>
      <c r="C12" s="50">
        <f>IF(B12=0,"",YEAR(B12))</f>
        <v/>
      </c>
      <c r="D12" s="50">
        <f>IF(B12=0,"",MONTH(B12)&amp;"월")</f>
        <v/>
      </c>
      <c r="E12" s="51">
        <f>IF(B12=0,"",DAY(B12)&amp;"일")</f>
        <v/>
      </c>
      <c r="F12" s="260" t="n"/>
      <c r="G12" s="261" t="n"/>
      <c r="H12" s="263" t="n"/>
      <c r="I12" s="264" t="n"/>
      <c r="J12" s="47" t="n"/>
      <c r="K12" s="47" t="n"/>
      <c r="L12" s="47" t="n"/>
      <c r="M12" s="47" t="n"/>
    </row>
    <row r="13" ht="12.75" customHeight="1" s="202">
      <c r="B13" s="266" t="n"/>
      <c r="C13" s="50">
        <f>IF(B13=0,"",YEAR(B13))</f>
        <v/>
      </c>
      <c r="D13" s="50">
        <f>IF(B13=0,"",MONTH(B13)&amp;"월")</f>
        <v/>
      </c>
      <c r="E13" s="51">
        <f>IF(B13=0,"",DAY(B13)&amp;"일")</f>
        <v/>
      </c>
      <c r="F13" s="260" t="n"/>
      <c r="G13" s="261" t="n"/>
      <c r="H13" s="263" t="n"/>
      <c r="I13" s="264" t="n"/>
      <c r="J13" s="47" t="n"/>
      <c r="K13" s="47" t="n"/>
      <c r="L13" s="47" t="n"/>
      <c r="M13" s="47" t="n"/>
    </row>
    <row r="14" ht="12.75" customHeight="1" s="202">
      <c r="B14" s="266" t="n"/>
      <c r="C14" s="50">
        <f>IF(B14=0,"",YEAR(B14))</f>
        <v/>
      </c>
      <c r="D14" s="50">
        <f>IF(B14=0,"",MONTH(B14)&amp;"월")</f>
        <v/>
      </c>
      <c r="E14" s="51">
        <f>IF(B14=0,"",DAY(B14)&amp;"일")</f>
        <v/>
      </c>
      <c r="F14" s="260" t="n"/>
      <c r="G14" s="261" t="n"/>
      <c r="H14" s="263" t="n"/>
      <c r="I14" s="264" t="n"/>
      <c r="J14" s="47" t="n"/>
      <c r="K14" s="47" t="n"/>
      <c r="L14" s="47" t="n"/>
      <c r="M14" s="47" t="n"/>
    </row>
    <row r="15" ht="12.75" customHeight="1" s="202">
      <c r="B15" s="266" t="n"/>
      <c r="C15" s="50">
        <f>IF(B15=0,"",YEAR(B15))</f>
        <v/>
      </c>
      <c r="D15" s="50">
        <f>IF(B15=0,"",MONTH(B15)&amp;"월")</f>
        <v/>
      </c>
      <c r="E15" s="51">
        <f>IF(B15=0,"",DAY(B15)&amp;"일")</f>
        <v/>
      </c>
      <c r="F15" s="260" t="n"/>
      <c r="G15" s="261" t="n"/>
      <c r="H15" s="263" t="n"/>
      <c r="I15" s="264" t="n"/>
      <c r="J15" s="47" t="n"/>
      <c r="K15" s="47" t="n"/>
      <c r="L15" s="47" t="n"/>
      <c r="M15" s="47" t="n"/>
    </row>
    <row r="16" ht="12.75" customHeight="1" s="202">
      <c r="B16" s="266" t="n"/>
      <c r="C16" s="50">
        <f>IF(B16=0,"",YEAR(B16))</f>
        <v/>
      </c>
      <c r="D16" s="50">
        <f>IF(B16=0,"",MONTH(B16)&amp;"월")</f>
        <v/>
      </c>
      <c r="E16" s="51">
        <f>IF(B16=0,"",DAY(B16)&amp;"일")</f>
        <v/>
      </c>
      <c r="F16" s="260" t="n"/>
      <c r="G16" s="261" t="n"/>
      <c r="H16" s="263" t="n"/>
      <c r="I16" s="264" t="n"/>
      <c r="J16" s="47" t="n"/>
      <c r="K16" s="47" t="n"/>
      <c r="L16" s="47" t="n"/>
      <c r="M16" s="47" t="n"/>
    </row>
    <row r="17" ht="12.75" customHeight="1" s="202">
      <c r="B17" s="266" t="n"/>
      <c r="C17" s="50">
        <f>IF(B17=0,"",YEAR(B17))</f>
        <v/>
      </c>
      <c r="D17" s="50">
        <f>IF(B17=0,"",MONTH(B17)&amp;"월")</f>
        <v/>
      </c>
      <c r="E17" s="51">
        <f>IF(B17=0,"",DAY(B17)&amp;"일")</f>
        <v/>
      </c>
      <c r="F17" s="260" t="n"/>
      <c r="G17" s="261" t="n"/>
      <c r="H17" s="263" t="n"/>
      <c r="I17" s="264" t="n"/>
      <c r="J17" s="47" t="n"/>
      <c r="K17" s="47" t="n"/>
      <c r="L17" s="47" t="n"/>
      <c r="M17" s="47" t="n"/>
    </row>
    <row r="18" ht="12.75" customHeight="1" s="202">
      <c r="B18" s="266" t="n"/>
      <c r="C18" s="50">
        <f>IF(B18=0,"",YEAR(B18))</f>
        <v/>
      </c>
      <c r="D18" s="50">
        <f>IF(B18=0,"",MONTH(B18)&amp;"월")</f>
        <v/>
      </c>
      <c r="E18" s="51">
        <f>IF(B18=0,"",DAY(B18)&amp;"일")</f>
        <v/>
      </c>
      <c r="F18" s="260" t="n"/>
      <c r="G18" s="261" t="n"/>
      <c r="H18" s="263" t="n"/>
      <c r="I18" s="264" t="n"/>
      <c r="J18" s="47" t="n"/>
      <c r="K18" s="47" t="n"/>
      <c r="L18" s="47" t="n"/>
      <c r="M18" s="47" t="n"/>
    </row>
    <row r="19" ht="12.75" customHeight="1" s="202">
      <c r="B19" s="266" t="n"/>
      <c r="C19" s="50">
        <f>IF(B19=0,"",YEAR(B19))</f>
        <v/>
      </c>
      <c r="D19" s="50">
        <f>IF(B19=0,"",MONTH(B19)&amp;"월")</f>
        <v/>
      </c>
      <c r="E19" s="51">
        <f>IF(B19=0,"",DAY(B19)&amp;"일")</f>
        <v/>
      </c>
      <c r="F19" s="260" t="n"/>
      <c r="G19" s="261" t="n"/>
      <c r="H19" s="263" t="n"/>
      <c r="I19" s="264" t="n"/>
      <c r="J19" s="47" t="n"/>
      <c r="K19" s="47" t="n"/>
      <c r="L19" s="47" t="n"/>
      <c r="M19" s="47" t="n"/>
    </row>
    <row r="20" ht="12.75" customHeight="1" s="202">
      <c r="B20" s="266" t="n"/>
      <c r="C20" s="50">
        <f>IF(B20=0,"",YEAR(B20))</f>
        <v/>
      </c>
      <c r="D20" s="50">
        <f>IF(B20=0,"",MONTH(B20)&amp;"월")</f>
        <v/>
      </c>
      <c r="E20" s="51">
        <f>IF(B20=0,"",DAY(B20)&amp;"일")</f>
        <v/>
      </c>
      <c r="F20" s="260" t="n"/>
      <c r="G20" s="261" t="n"/>
      <c r="H20" s="263" t="n"/>
      <c r="I20" s="264" t="n"/>
      <c r="J20" s="47" t="n"/>
      <c r="K20" s="47" t="n"/>
      <c r="L20" s="47" t="n"/>
      <c r="M20" s="47" t="n"/>
    </row>
    <row r="21" ht="12.75" customHeight="1" s="202">
      <c r="B21" s="266" t="n"/>
      <c r="C21" s="50">
        <f>IF(B21=0,"",YEAR(B21))</f>
        <v/>
      </c>
      <c r="D21" s="50">
        <f>IF(B21=0,"",MONTH(B21)&amp;"월")</f>
        <v/>
      </c>
      <c r="E21" s="51">
        <f>IF(B21=0,"",DAY(B21)&amp;"일")</f>
        <v/>
      </c>
      <c r="F21" s="260" t="n"/>
      <c r="G21" s="261" t="n"/>
      <c r="H21" s="263" t="n"/>
      <c r="I21" s="264" t="n"/>
      <c r="J21" s="47" t="n"/>
      <c r="K21" s="47" t="n"/>
      <c r="L21" s="47" t="n"/>
      <c r="M21" s="47" t="n"/>
    </row>
    <row r="22" ht="12.75" customHeight="1" s="202">
      <c r="B22" s="266" t="n"/>
      <c r="C22" s="50">
        <f>IF(B22=0,"",YEAR(B22))</f>
        <v/>
      </c>
      <c r="D22" s="50">
        <f>IF(B22=0,"",MONTH(B22)&amp;"월")</f>
        <v/>
      </c>
      <c r="E22" s="51">
        <f>IF(B22=0,"",DAY(B22)&amp;"일")</f>
        <v/>
      </c>
      <c r="F22" s="260" t="n"/>
      <c r="G22" s="261" t="n"/>
      <c r="H22" s="263" t="n"/>
      <c r="I22" s="264" t="n"/>
      <c r="J22" s="47" t="n"/>
      <c r="K22" s="47" t="n"/>
      <c r="L22" s="47" t="n"/>
      <c r="M22" s="47" t="n"/>
    </row>
    <row r="23" ht="12.75" customHeight="1" s="202">
      <c r="B23" s="266" t="n"/>
      <c r="C23" s="50">
        <f>IF(B23=0,"",YEAR(B23))</f>
        <v/>
      </c>
      <c r="D23" s="50">
        <f>IF(B23=0,"",MONTH(B23)&amp;"월")</f>
        <v/>
      </c>
      <c r="E23" s="51">
        <f>IF(B23=0,"",DAY(B23)&amp;"일")</f>
        <v/>
      </c>
      <c r="F23" s="260" t="n"/>
      <c r="G23" s="261" t="n"/>
      <c r="H23" s="263" t="n"/>
      <c r="I23" s="264" t="n"/>
      <c r="J23" s="47" t="n"/>
      <c r="K23" s="47" t="n"/>
      <c r="L23" s="47" t="n"/>
      <c r="M23" s="47" t="n"/>
    </row>
    <row r="24" ht="12.75" customHeight="1" s="202">
      <c r="B24" s="266" t="n"/>
      <c r="C24" s="50">
        <f>IF(B24=0,"",YEAR(B24))</f>
        <v/>
      </c>
      <c r="D24" s="50">
        <f>IF(B24=0,"",MONTH(B24)&amp;"월")</f>
        <v/>
      </c>
      <c r="E24" s="51">
        <f>IF(B24=0,"",DAY(B24)&amp;"일")</f>
        <v/>
      </c>
      <c r="F24" s="260" t="n"/>
      <c r="G24" s="261" t="n"/>
      <c r="H24" s="263" t="n"/>
      <c r="I24" s="264" t="n"/>
      <c r="J24" s="47" t="n"/>
      <c r="K24" s="47" t="n"/>
      <c r="L24" s="47" t="n"/>
      <c r="M24" s="47" t="n"/>
    </row>
    <row r="25" ht="12.75" customHeight="1" s="202">
      <c r="B25" s="266" t="n"/>
      <c r="C25" s="50">
        <f>IF(B25=0,"",YEAR(B25))</f>
        <v/>
      </c>
      <c r="D25" s="50">
        <f>IF(B25=0,"",MONTH(B25)&amp;"월")</f>
        <v/>
      </c>
      <c r="E25" s="51">
        <f>IF(B25=0,"",DAY(B25)&amp;"일")</f>
        <v/>
      </c>
      <c r="F25" s="260" t="n"/>
      <c r="G25" s="261" t="n"/>
      <c r="H25" s="263" t="n"/>
      <c r="I25" s="264" t="n"/>
      <c r="J25" s="47" t="n"/>
      <c r="K25" s="47" t="n"/>
      <c r="L25" s="47" t="n"/>
      <c r="M25" s="47" t="n"/>
    </row>
    <row r="26" ht="12.75" customHeight="1" s="202">
      <c r="B26" s="266" t="n"/>
      <c r="C26" s="50">
        <f>IF(B26=0,"",YEAR(B26))</f>
        <v/>
      </c>
      <c r="D26" s="50">
        <f>IF(B26=0,"",MONTH(B26)&amp;"월")</f>
        <v/>
      </c>
      <c r="E26" s="51">
        <f>IF(B26=0,"",DAY(B26)&amp;"일")</f>
        <v/>
      </c>
      <c r="F26" s="260" t="n"/>
      <c r="G26" s="261" t="n"/>
      <c r="H26" s="263" t="n"/>
      <c r="I26" s="264" t="n"/>
      <c r="J26" s="47" t="n"/>
      <c r="K26" s="47" t="n"/>
      <c r="L26" s="47" t="n"/>
      <c r="M26" s="47" t="n"/>
    </row>
    <row r="27" ht="12.75" customHeight="1" s="202">
      <c r="B27" s="266" t="n"/>
      <c r="C27" s="50">
        <f>IF(B27=0,"",YEAR(B27))</f>
        <v/>
      </c>
      <c r="D27" s="50">
        <f>IF(B27=0,"",MONTH(B27)&amp;"월")</f>
        <v/>
      </c>
      <c r="E27" s="51">
        <f>IF(B27=0,"",DAY(B27)&amp;"일")</f>
        <v/>
      </c>
      <c r="F27" s="260" t="n"/>
      <c r="G27" s="261" t="n"/>
      <c r="H27" s="263" t="n"/>
      <c r="I27" s="264" t="n"/>
      <c r="J27" s="47" t="n"/>
      <c r="K27" s="47" t="n"/>
      <c r="L27" s="47" t="n"/>
      <c r="M27" s="47" t="n"/>
    </row>
    <row r="28" ht="12.75" customHeight="1" s="202">
      <c r="B28" s="266" t="n"/>
      <c r="C28" s="50">
        <f>IF(B28=0,"",YEAR(B28))</f>
        <v/>
      </c>
      <c r="D28" s="50">
        <f>IF(B28=0,"",MONTH(B28)&amp;"월")</f>
        <v/>
      </c>
      <c r="E28" s="51">
        <f>IF(B28=0,"",DAY(B28)&amp;"일")</f>
        <v/>
      </c>
      <c r="F28" s="260" t="n"/>
      <c r="G28" s="261" t="n"/>
      <c r="H28" s="263" t="n"/>
      <c r="I28" s="264" t="n"/>
      <c r="J28" s="47" t="n"/>
      <c r="K28" s="47" t="n"/>
      <c r="L28" s="47" t="n"/>
      <c r="M28" s="47" t="n"/>
    </row>
    <row r="29" ht="12.75" customHeight="1" s="202">
      <c r="B29" s="266" t="n"/>
      <c r="C29" s="50">
        <f>IF(B29=0,"",YEAR(B29))</f>
        <v/>
      </c>
      <c r="D29" s="50">
        <f>IF(B29=0,"",MONTH(B29)&amp;"월")</f>
        <v/>
      </c>
      <c r="E29" s="51">
        <f>IF(B29=0,"",DAY(B29)&amp;"일")</f>
        <v/>
      </c>
      <c r="F29" s="260" t="n"/>
      <c r="G29" s="261" t="n"/>
      <c r="H29" s="263" t="n"/>
      <c r="I29" s="264" t="n"/>
      <c r="J29" s="47" t="n"/>
      <c r="K29" s="47" t="n"/>
      <c r="L29" s="47" t="n"/>
      <c r="M29" s="47" t="n"/>
    </row>
    <row r="30" ht="12.75" customHeight="1" s="202">
      <c r="B30" s="266" t="n"/>
      <c r="C30" s="50">
        <f>IF(B30=0,"",YEAR(B30))</f>
        <v/>
      </c>
      <c r="D30" s="50">
        <f>IF(B30=0,"",MONTH(B30)&amp;"월")</f>
        <v/>
      </c>
      <c r="E30" s="51">
        <f>IF(B30=0,"",DAY(B30)&amp;"일")</f>
        <v/>
      </c>
      <c r="F30" s="260" t="n"/>
      <c r="G30" s="261" t="n"/>
      <c r="H30" s="263" t="n"/>
      <c r="I30" s="264" t="n"/>
      <c r="J30" s="47" t="n"/>
      <c r="K30" s="47" t="n"/>
      <c r="L30" s="47" t="n"/>
      <c r="M30" s="47" t="n"/>
    </row>
    <row r="31" ht="12.75" customHeight="1" s="202">
      <c r="B31" s="266" t="n"/>
      <c r="C31" s="50">
        <f>IF(B31=0,"",YEAR(B31))</f>
        <v/>
      </c>
      <c r="D31" s="50">
        <f>IF(B31=0,"",MONTH(B31)&amp;"월")</f>
        <v/>
      </c>
      <c r="E31" s="51">
        <f>IF(B31=0,"",DAY(B31)&amp;"일")</f>
        <v/>
      </c>
      <c r="F31" s="260" t="n"/>
      <c r="G31" s="261" t="n"/>
      <c r="H31" s="263" t="n"/>
      <c r="I31" s="264" t="n"/>
      <c r="J31" s="47" t="n"/>
      <c r="K31" s="47" t="n"/>
      <c r="L31" s="47" t="n"/>
      <c r="M31" s="47" t="n"/>
    </row>
    <row r="32" ht="12.75" customHeight="1" s="202">
      <c r="B32" s="266" t="n"/>
      <c r="C32" s="50">
        <f>IF(B32=0,"",YEAR(B32))</f>
        <v/>
      </c>
      <c r="D32" s="50">
        <f>IF(B32=0,"",MONTH(B32)&amp;"월")</f>
        <v/>
      </c>
      <c r="E32" s="51">
        <f>IF(B32=0,"",DAY(B32)&amp;"일")</f>
        <v/>
      </c>
      <c r="F32" s="260" t="n"/>
      <c r="G32" s="261" t="n"/>
      <c r="H32" s="263" t="n"/>
      <c r="I32" s="264" t="n"/>
      <c r="J32" s="47" t="n"/>
      <c r="K32" s="47" t="n"/>
      <c r="L32" s="47" t="n"/>
      <c r="M32" s="47" t="n"/>
    </row>
    <row r="33" ht="12.75" customHeight="1" s="202">
      <c r="B33" s="266" t="n"/>
      <c r="C33" s="50">
        <f>IF(B33=0,"",YEAR(B33))</f>
        <v/>
      </c>
      <c r="D33" s="50">
        <f>IF(B33=0,"",MONTH(B33)&amp;"월")</f>
        <v/>
      </c>
      <c r="E33" s="51">
        <f>IF(B33=0,"",DAY(B33)&amp;"일")</f>
        <v/>
      </c>
      <c r="F33" s="260" t="n"/>
      <c r="G33" s="261" t="n"/>
      <c r="H33" s="263" t="n"/>
      <c r="I33" s="264" t="n"/>
      <c r="J33" s="47" t="n"/>
      <c r="K33" s="47" t="n"/>
      <c r="L33" s="47" t="n"/>
      <c r="M33" s="47" t="n"/>
    </row>
    <row r="34" ht="12.75" customHeight="1" s="202">
      <c r="B34" s="266" t="n"/>
      <c r="C34" s="50">
        <f>IF(B34=0,"",YEAR(B34))</f>
        <v/>
      </c>
      <c r="D34" s="50">
        <f>IF(B34=0,"",MONTH(B34)&amp;"월")</f>
        <v/>
      </c>
      <c r="E34" s="51">
        <f>IF(B34=0,"",DAY(B34)&amp;"일")</f>
        <v/>
      </c>
      <c r="F34" s="260" t="n"/>
      <c r="G34" s="261" t="n"/>
      <c r="H34" s="263" t="n"/>
      <c r="I34" s="264" t="n"/>
      <c r="J34" s="47" t="n"/>
      <c r="K34" s="47" t="n"/>
      <c r="L34" s="47" t="n"/>
      <c r="M34" s="47" t="n"/>
    </row>
    <row r="35" ht="12.75" customHeight="1" s="202">
      <c r="B35" s="266" t="n"/>
      <c r="C35" s="50">
        <f>IF(B35=0,"",YEAR(B35))</f>
        <v/>
      </c>
      <c r="D35" s="50">
        <f>IF(B35=0,"",MONTH(B35)&amp;"월")</f>
        <v/>
      </c>
      <c r="E35" s="51">
        <f>IF(B35=0,"",DAY(B35)&amp;"일")</f>
        <v/>
      </c>
      <c r="F35" s="260" t="n"/>
      <c r="G35" s="261" t="n"/>
      <c r="H35" s="263" t="n"/>
      <c r="I35" s="264" t="n"/>
      <c r="J35" s="47" t="n"/>
      <c r="K35" s="47" t="n"/>
      <c r="L35" s="47" t="n"/>
      <c r="M35" s="47" t="n"/>
    </row>
    <row r="36" ht="12.75" customHeight="1" s="202">
      <c r="B36" s="266" t="n"/>
      <c r="C36" s="50">
        <f>IF(B36=0,"",YEAR(B36))</f>
        <v/>
      </c>
      <c r="D36" s="50">
        <f>IF(B36=0,"",MONTH(B36)&amp;"월")</f>
        <v/>
      </c>
      <c r="E36" s="51">
        <f>IF(B36=0,"",DAY(B36)&amp;"일")</f>
        <v/>
      </c>
      <c r="F36" s="260" t="n"/>
      <c r="G36" s="261" t="n"/>
      <c r="H36" s="263" t="n"/>
      <c r="I36" s="264" t="n"/>
      <c r="J36" s="47" t="n"/>
      <c r="K36" s="47" t="n"/>
      <c r="L36" s="47" t="n"/>
      <c r="M36" s="47" t="n"/>
    </row>
    <row r="37" ht="12.75" customHeight="1" s="202">
      <c r="B37" s="266" t="n"/>
      <c r="C37" s="50">
        <f>IF(B37=0,"",YEAR(B37))</f>
        <v/>
      </c>
      <c r="D37" s="50">
        <f>IF(B37=0,"",MONTH(B37)&amp;"월")</f>
        <v/>
      </c>
      <c r="E37" s="51">
        <f>IF(B37=0,"",DAY(B37)&amp;"일")</f>
        <v/>
      </c>
      <c r="F37" s="260" t="n"/>
      <c r="G37" s="261" t="n"/>
      <c r="H37" s="263" t="n"/>
      <c r="I37" s="264" t="n"/>
      <c r="J37" s="47" t="n"/>
      <c r="K37" s="47" t="n"/>
      <c r="L37" s="47" t="n"/>
      <c r="M37" s="47" t="n"/>
    </row>
    <row r="38" ht="12.75" customHeight="1" s="202">
      <c r="B38" s="266" t="n"/>
      <c r="C38" s="50">
        <f>IF(B38=0,"",YEAR(B38))</f>
        <v/>
      </c>
      <c r="D38" s="50">
        <f>IF(B38=0,"",MONTH(B38)&amp;"월")</f>
        <v/>
      </c>
      <c r="E38" s="51">
        <f>IF(B38=0,"",DAY(B38)&amp;"일")</f>
        <v/>
      </c>
      <c r="F38" s="260" t="n"/>
      <c r="G38" s="261" t="n"/>
      <c r="H38" s="263" t="n"/>
      <c r="I38" s="264" t="n"/>
      <c r="J38" s="47" t="n"/>
      <c r="K38" s="47" t="n"/>
      <c r="L38" s="47" t="n"/>
      <c r="M38" s="47" t="n"/>
    </row>
    <row r="39" ht="12.75" customHeight="1" s="202">
      <c r="B39" s="266" t="n"/>
      <c r="C39" s="50">
        <f>IF(B39=0,"",YEAR(B39))</f>
        <v/>
      </c>
      <c r="D39" s="50">
        <f>IF(B39=0,"",MONTH(B39)&amp;"월")</f>
        <v/>
      </c>
      <c r="E39" s="51">
        <f>IF(B39=0,"",DAY(B39)&amp;"일")</f>
        <v/>
      </c>
      <c r="F39" s="260" t="n"/>
      <c r="G39" s="261" t="n"/>
      <c r="H39" s="263" t="n"/>
      <c r="I39" s="264" t="n"/>
      <c r="J39" s="47" t="n"/>
      <c r="K39" s="47" t="n"/>
      <c r="L39" s="47" t="n"/>
      <c r="M39" s="47" t="n"/>
    </row>
    <row r="40" ht="12.75" customHeight="1" s="202">
      <c r="B40" s="266" t="n"/>
      <c r="C40" s="50">
        <f>IF(B40=0,"",YEAR(B40))</f>
        <v/>
      </c>
      <c r="D40" s="50">
        <f>IF(B40=0,"",MONTH(B40)&amp;"월")</f>
        <v/>
      </c>
      <c r="E40" s="51">
        <f>IF(B40=0,"",DAY(B40)&amp;"일")</f>
        <v/>
      </c>
      <c r="F40" s="260" t="n"/>
      <c r="G40" s="261" t="n"/>
      <c r="H40" s="263" t="n"/>
      <c r="I40" s="264" t="n"/>
      <c r="J40" s="47" t="n"/>
      <c r="K40" s="47" t="n"/>
      <c r="L40" s="47" t="n"/>
      <c r="M40" s="47" t="n"/>
    </row>
    <row r="41" ht="12.75" customHeight="1" s="202">
      <c r="B41" s="266" t="n"/>
      <c r="C41" s="50">
        <f>IF(B41=0,"",YEAR(B41))</f>
        <v/>
      </c>
      <c r="D41" s="50">
        <f>IF(B41=0,"",MONTH(B41)&amp;"월")</f>
        <v/>
      </c>
      <c r="E41" s="51">
        <f>IF(B41=0,"",DAY(B41)&amp;"일")</f>
        <v/>
      </c>
      <c r="F41" s="260" t="n"/>
      <c r="G41" s="261" t="n"/>
      <c r="H41" s="263" t="n"/>
      <c r="I41" s="264" t="n"/>
      <c r="J41" s="47" t="n"/>
      <c r="K41" s="47" t="n"/>
      <c r="L41" s="47" t="n"/>
      <c r="M41" s="47" t="n"/>
    </row>
    <row r="42" ht="12.75" customHeight="1" s="202">
      <c r="B42" s="266" t="n"/>
      <c r="C42" s="50">
        <f>IF(B42=0,"",YEAR(B42))</f>
        <v/>
      </c>
      <c r="D42" s="50">
        <f>IF(B42=0,"",MONTH(B42)&amp;"월")</f>
        <v/>
      </c>
      <c r="E42" s="51">
        <f>IF(B42=0,"",DAY(B42)&amp;"일")</f>
        <v/>
      </c>
      <c r="F42" s="260" t="n"/>
      <c r="G42" s="261" t="n"/>
      <c r="H42" s="263" t="n"/>
      <c r="I42" s="264" t="n"/>
      <c r="J42" s="47" t="n"/>
      <c r="K42" s="47" t="n"/>
      <c r="L42" s="47" t="n"/>
      <c r="M42" s="47" t="n"/>
    </row>
    <row r="43" ht="12.75" customHeight="1" s="202">
      <c r="B43" s="266" t="n"/>
      <c r="C43" s="50">
        <f>IF(B43=0,"",YEAR(B43))</f>
        <v/>
      </c>
      <c r="D43" s="50">
        <f>IF(B43=0,"",MONTH(B43)&amp;"월")</f>
        <v/>
      </c>
      <c r="E43" s="51">
        <f>IF(B43=0,"",DAY(B43)&amp;"일")</f>
        <v/>
      </c>
      <c r="F43" s="260" t="n"/>
      <c r="G43" s="261" t="n"/>
      <c r="H43" s="263" t="n"/>
      <c r="I43" s="264" t="n"/>
      <c r="J43" s="47" t="n"/>
      <c r="K43" s="47" t="n"/>
      <c r="L43" s="47" t="n"/>
      <c r="M43" s="47" t="n"/>
    </row>
    <row r="44" ht="12.75" customHeight="1" s="202">
      <c r="B44" s="266" t="n"/>
      <c r="C44" s="50">
        <f>IF(B44=0,"",YEAR(B44))</f>
        <v/>
      </c>
      <c r="D44" s="50">
        <f>IF(B44=0,"",MONTH(B44)&amp;"월")</f>
        <v/>
      </c>
      <c r="E44" s="51">
        <f>IF(B44=0,"",DAY(B44)&amp;"일")</f>
        <v/>
      </c>
      <c r="F44" s="260" t="n"/>
      <c r="G44" s="261" t="n"/>
      <c r="H44" s="263" t="n"/>
      <c r="I44" s="264" t="n"/>
      <c r="J44" s="47" t="n"/>
      <c r="K44" s="47" t="n"/>
      <c r="L44" s="47" t="n"/>
      <c r="M44" s="47" t="n"/>
    </row>
    <row r="45" ht="12.75" customHeight="1" s="202">
      <c r="B45" s="266" t="n"/>
      <c r="C45" s="50">
        <f>IF(B45=0,"",YEAR(B45))</f>
        <v/>
      </c>
      <c r="D45" s="50">
        <f>IF(B45=0,"",MONTH(B45)&amp;"월")</f>
        <v/>
      </c>
      <c r="E45" s="51">
        <f>IF(B45=0,"",DAY(B45)&amp;"일")</f>
        <v/>
      </c>
      <c r="F45" s="260" t="n"/>
      <c r="G45" s="261" t="n"/>
      <c r="H45" s="263" t="n"/>
      <c r="I45" s="264" t="n"/>
      <c r="J45" s="47" t="n"/>
      <c r="K45" s="47" t="n"/>
      <c r="L45" s="47" t="n"/>
      <c r="M45" s="47" t="n"/>
    </row>
    <row r="46" ht="12.75" customHeight="1" s="202">
      <c r="B46" s="266" t="n"/>
      <c r="C46" s="50">
        <f>IF(B46=0,"",YEAR(B46))</f>
        <v/>
      </c>
      <c r="D46" s="50">
        <f>IF(B46=0,"",MONTH(B46)&amp;"월")</f>
        <v/>
      </c>
      <c r="E46" s="51">
        <f>IF(B46=0,"",DAY(B46)&amp;"일")</f>
        <v/>
      </c>
      <c r="F46" s="260" t="n"/>
      <c r="G46" s="261" t="n"/>
      <c r="H46" s="263" t="n"/>
      <c r="I46" s="264" t="n"/>
      <c r="J46" s="47" t="n"/>
      <c r="K46" s="47" t="n"/>
      <c r="L46" s="47" t="n"/>
      <c r="M46" s="47" t="n"/>
    </row>
    <row r="47" ht="12.75" customHeight="1" s="202">
      <c r="B47" s="266" t="n"/>
      <c r="C47" s="50">
        <f>IF(B47=0,"",YEAR(B47))</f>
        <v/>
      </c>
      <c r="D47" s="50">
        <f>IF(B47=0,"",MONTH(B47)&amp;"월")</f>
        <v/>
      </c>
      <c r="E47" s="51">
        <f>IF(B47=0,"",DAY(B47)&amp;"일")</f>
        <v/>
      </c>
      <c r="F47" s="260" t="n"/>
      <c r="G47" s="261" t="n"/>
      <c r="H47" s="263" t="n"/>
      <c r="I47" s="264" t="n"/>
      <c r="J47" s="47" t="n"/>
      <c r="K47" s="47" t="n"/>
      <c r="L47" s="47" t="n"/>
      <c r="M47" s="47" t="n"/>
    </row>
    <row r="48" ht="12.75" customHeight="1" s="202">
      <c r="B48" s="266" t="n"/>
      <c r="C48" s="50">
        <f>IF(B48=0,"",YEAR(B48))</f>
        <v/>
      </c>
      <c r="D48" s="50">
        <f>IF(B48=0,"",MONTH(B48)&amp;"월")</f>
        <v/>
      </c>
      <c r="E48" s="51">
        <f>IF(B48=0,"",DAY(B48)&amp;"일")</f>
        <v/>
      </c>
      <c r="F48" s="260" t="n"/>
      <c r="G48" s="261" t="n"/>
      <c r="H48" s="263" t="n"/>
      <c r="I48" s="264" t="n"/>
      <c r="J48" s="47" t="n"/>
      <c r="K48" s="47" t="n"/>
      <c r="L48" s="47" t="n"/>
      <c r="M48" s="47" t="n"/>
    </row>
    <row r="49" ht="12.75" customHeight="1" s="202">
      <c r="B49" s="266" t="n"/>
      <c r="C49" s="50">
        <f>IF(B49=0,"",YEAR(B49))</f>
        <v/>
      </c>
      <c r="D49" s="50">
        <f>IF(B49=0,"",MONTH(B49)&amp;"월")</f>
        <v/>
      </c>
      <c r="E49" s="51">
        <f>IF(B49=0,"",DAY(B49)&amp;"일")</f>
        <v/>
      </c>
      <c r="F49" s="260" t="n"/>
      <c r="G49" s="261" t="n"/>
      <c r="H49" s="263" t="n"/>
      <c r="I49" s="264" t="n"/>
      <c r="J49" s="47" t="n"/>
      <c r="K49" s="47" t="n"/>
      <c r="L49" s="47" t="n"/>
      <c r="M49" s="47" t="n"/>
    </row>
    <row r="50" ht="12.75" customHeight="1" s="202">
      <c r="B50" s="266" t="n"/>
      <c r="C50" s="50">
        <f>IF(B50=0,"",YEAR(B50))</f>
        <v/>
      </c>
      <c r="D50" s="50">
        <f>IF(B50=0,"",MONTH(B50)&amp;"월")</f>
        <v/>
      </c>
      <c r="E50" s="51">
        <f>IF(B50=0,"",DAY(B50)&amp;"일")</f>
        <v/>
      </c>
      <c r="F50" s="260" t="n"/>
      <c r="G50" s="261" t="n"/>
      <c r="H50" s="263" t="n"/>
      <c r="I50" s="264" t="n"/>
      <c r="J50" s="47" t="n"/>
      <c r="K50" s="47" t="n"/>
      <c r="L50" s="47" t="n"/>
      <c r="M50" s="47" t="n"/>
    </row>
    <row r="51" ht="12.75" customHeight="1" s="202">
      <c r="B51" s="266" t="n"/>
      <c r="C51" s="50">
        <f>IF(B51=0,"",YEAR(B51))</f>
        <v/>
      </c>
      <c r="D51" s="50">
        <f>IF(B51=0,"",MONTH(B51)&amp;"월")</f>
        <v/>
      </c>
      <c r="E51" s="51">
        <f>IF(B51=0,"",DAY(B51)&amp;"일")</f>
        <v/>
      </c>
      <c r="F51" s="260" t="n"/>
      <c r="G51" s="261" t="n"/>
      <c r="H51" s="263" t="n"/>
      <c r="I51" s="264" t="n"/>
      <c r="J51" s="47" t="n"/>
      <c r="K51" s="47" t="n"/>
      <c r="L51" s="47" t="n"/>
      <c r="M51" s="47" t="n"/>
    </row>
    <row r="52" ht="12.75" customHeight="1" s="202">
      <c r="B52" s="266" t="n"/>
      <c r="C52" s="50">
        <f>IF(B52=0,"",YEAR(B52))</f>
        <v/>
      </c>
      <c r="D52" s="50">
        <f>IF(B52=0,"",MONTH(B52)&amp;"월")</f>
        <v/>
      </c>
      <c r="E52" s="51">
        <f>IF(B52=0,"",DAY(B52)&amp;"일")</f>
        <v/>
      </c>
      <c r="F52" s="260" t="n"/>
      <c r="G52" s="261" t="n"/>
      <c r="H52" s="263" t="n"/>
      <c r="I52" s="264" t="n"/>
      <c r="J52" s="47" t="n"/>
      <c r="K52" s="47" t="n"/>
      <c r="L52" s="47" t="n"/>
      <c r="M52" s="47" t="n"/>
    </row>
    <row r="53" ht="12.75" customHeight="1" s="202">
      <c r="B53" s="266" t="n"/>
      <c r="C53" s="50">
        <f>IF(B53=0,"",YEAR(B53))</f>
        <v/>
      </c>
      <c r="D53" s="50">
        <f>IF(B53=0,"",MONTH(B53)&amp;"월")</f>
        <v/>
      </c>
      <c r="E53" s="51">
        <f>IF(B53=0,"",DAY(B53)&amp;"일")</f>
        <v/>
      </c>
      <c r="F53" s="260" t="n"/>
      <c r="G53" s="261" t="n"/>
      <c r="H53" s="263" t="n"/>
      <c r="I53" s="264" t="n"/>
      <c r="J53" s="47" t="n"/>
      <c r="K53" s="47" t="n"/>
      <c r="L53" s="47" t="n"/>
      <c r="M53" s="47" t="n"/>
    </row>
    <row r="54" ht="12.75" customHeight="1" s="202">
      <c r="B54" s="266" t="n"/>
      <c r="C54" s="50">
        <f>IF(B54=0,"",YEAR(B54))</f>
        <v/>
      </c>
      <c r="D54" s="50">
        <f>IF(B54=0,"",MONTH(B54)&amp;"월")</f>
        <v/>
      </c>
      <c r="E54" s="51">
        <f>IF(B54=0,"",DAY(B54)&amp;"일")</f>
        <v/>
      </c>
      <c r="F54" s="260" t="n"/>
      <c r="G54" s="261" t="n"/>
      <c r="H54" s="263" t="n"/>
      <c r="I54" s="264" t="n"/>
      <c r="J54" s="47" t="n"/>
      <c r="K54" s="47" t="n"/>
      <c r="L54" s="47" t="n"/>
      <c r="M54" s="47" t="n"/>
    </row>
    <row r="55" ht="12.75" customHeight="1" s="202">
      <c r="B55" s="266" t="n"/>
      <c r="C55" s="50">
        <f>IF(B55=0,"",YEAR(B55))</f>
        <v/>
      </c>
      <c r="D55" s="50">
        <f>IF(B55=0,"",MONTH(B55)&amp;"월")</f>
        <v/>
      </c>
      <c r="E55" s="51">
        <f>IF(B55=0,"",DAY(B55)&amp;"일")</f>
        <v/>
      </c>
      <c r="F55" s="260" t="n"/>
      <c r="G55" s="261" t="n"/>
      <c r="H55" s="263" t="n"/>
      <c r="I55" s="264" t="n"/>
      <c r="J55" s="47" t="n"/>
      <c r="K55" s="47" t="n"/>
      <c r="L55" s="47" t="n"/>
      <c r="M55" s="47" t="n"/>
    </row>
    <row r="56" ht="12.75" customHeight="1" s="202">
      <c r="B56" s="266" t="n"/>
      <c r="C56" s="50">
        <f>IF(B56=0,"",YEAR(B56))</f>
        <v/>
      </c>
      <c r="D56" s="50">
        <f>IF(B56=0,"",MONTH(B56)&amp;"월")</f>
        <v/>
      </c>
      <c r="E56" s="51">
        <f>IF(B56=0,"",DAY(B56)&amp;"일")</f>
        <v/>
      </c>
      <c r="F56" s="260" t="n"/>
      <c r="G56" s="261" t="n"/>
      <c r="H56" s="263" t="n"/>
      <c r="I56" s="264" t="n"/>
      <c r="J56" s="47" t="n"/>
      <c r="K56" s="47" t="n"/>
      <c r="L56" s="47" t="n"/>
      <c r="M56" s="47" t="n"/>
    </row>
    <row r="57" ht="12.75" customHeight="1" s="202">
      <c r="B57" s="266" t="n"/>
      <c r="C57" s="50">
        <f>IF(B57=0,"",YEAR(B57))</f>
        <v/>
      </c>
      <c r="D57" s="50">
        <f>IF(B57=0,"",MONTH(B57)&amp;"월")</f>
        <v/>
      </c>
      <c r="E57" s="51">
        <f>IF(B57=0,"",DAY(B57)&amp;"일")</f>
        <v/>
      </c>
      <c r="F57" s="260" t="n"/>
      <c r="G57" s="261" t="n"/>
      <c r="H57" s="263" t="n"/>
      <c r="I57" s="264" t="n"/>
      <c r="J57" s="47" t="n"/>
      <c r="K57" s="47" t="n"/>
      <c r="L57" s="47" t="n"/>
      <c r="M57" s="47" t="n"/>
    </row>
    <row r="58" ht="12.75" customHeight="1" s="202">
      <c r="B58" s="266" t="n"/>
      <c r="C58" s="50">
        <f>IF(B58=0,"",YEAR(B58))</f>
        <v/>
      </c>
      <c r="D58" s="50">
        <f>IF(B58=0,"",MONTH(B58)&amp;"월")</f>
        <v/>
      </c>
      <c r="E58" s="51">
        <f>IF(B58=0,"",DAY(B58)&amp;"일")</f>
        <v/>
      </c>
      <c r="F58" s="260" t="n"/>
      <c r="G58" s="261" t="n"/>
      <c r="H58" s="263" t="n"/>
      <c r="I58" s="264" t="n"/>
      <c r="J58" s="47" t="n"/>
      <c r="K58" s="47" t="n"/>
      <c r="L58" s="47" t="n"/>
      <c r="M58" s="47" t="n"/>
    </row>
    <row r="59" ht="12.75" customHeight="1" s="202">
      <c r="B59" s="266" t="n"/>
      <c r="C59" s="50">
        <f>IF(B59=0,"",YEAR(B59))</f>
        <v/>
      </c>
      <c r="D59" s="50">
        <f>IF(B59=0,"",MONTH(B59)&amp;"월")</f>
        <v/>
      </c>
      <c r="E59" s="51">
        <f>IF(B59=0,"",DAY(B59)&amp;"일")</f>
        <v/>
      </c>
      <c r="F59" s="260" t="n"/>
      <c r="G59" s="261" t="n"/>
      <c r="H59" s="263" t="n"/>
      <c r="I59" s="264" t="n"/>
      <c r="J59" s="47" t="n"/>
      <c r="K59" s="47" t="n"/>
      <c r="L59" s="47" t="n"/>
      <c r="M59" s="47" t="n"/>
    </row>
    <row r="60" ht="12.75" customHeight="1" s="202">
      <c r="B60" s="266" t="n"/>
      <c r="C60" s="50">
        <f>IF(B60=0,"",YEAR(B60))</f>
        <v/>
      </c>
      <c r="D60" s="50">
        <f>IF(B60=0,"",MONTH(B60)&amp;"월")</f>
        <v/>
      </c>
      <c r="E60" s="51">
        <f>IF(B60=0,"",DAY(B60)&amp;"일")</f>
        <v/>
      </c>
      <c r="F60" s="260" t="n"/>
      <c r="G60" s="261" t="n"/>
      <c r="H60" s="263" t="n"/>
      <c r="I60" s="264" t="n"/>
      <c r="J60" s="47" t="n"/>
      <c r="K60" s="47" t="n"/>
      <c r="L60" s="47" t="n"/>
      <c r="M60" s="47" t="n"/>
    </row>
    <row r="61" ht="12.75" customHeight="1" s="202">
      <c r="B61" s="266" t="n"/>
      <c r="C61" s="50">
        <f>IF(B61=0,"",YEAR(B61))</f>
        <v/>
      </c>
      <c r="D61" s="50">
        <f>IF(B61=0,"",MONTH(B61)&amp;"월")</f>
        <v/>
      </c>
      <c r="E61" s="51">
        <f>IF(B61=0,"",DAY(B61)&amp;"일")</f>
        <v/>
      </c>
      <c r="F61" s="260" t="n"/>
      <c r="G61" s="261" t="n"/>
      <c r="H61" s="263" t="n"/>
      <c r="I61" s="264" t="n"/>
      <c r="J61" s="47" t="n"/>
      <c r="K61" s="47" t="n"/>
      <c r="L61" s="47" t="n"/>
      <c r="M61" s="47" t="n"/>
    </row>
    <row r="62" ht="12.75" customHeight="1" s="202">
      <c r="B62" s="266" t="n"/>
      <c r="C62" s="50">
        <f>IF(B62=0,"",YEAR(B62))</f>
        <v/>
      </c>
      <c r="D62" s="50">
        <f>IF(B62=0,"",MONTH(B62)&amp;"월")</f>
        <v/>
      </c>
      <c r="E62" s="51">
        <f>IF(B62=0,"",DAY(B62)&amp;"일")</f>
        <v/>
      </c>
      <c r="F62" s="260" t="n"/>
      <c r="G62" s="261" t="n"/>
      <c r="H62" s="263" t="n"/>
      <c r="I62" s="264" t="n"/>
      <c r="J62" s="47" t="n"/>
      <c r="K62" s="47" t="n"/>
      <c r="L62" s="47" t="n"/>
      <c r="M62" s="47" t="n"/>
    </row>
    <row r="63" ht="12.75" customHeight="1" s="202">
      <c r="B63" s="266" t="n"/>
      <c r="C63" s="50">
        <f>IF(B63=0,"",YEAR(B63))</f>
        <v/>
      </c>
      <c r="D63" s="50">
        <f>IF(B63=0,"",MONTH(B63)&amp;"월")</f>
        <v/>
      </c>
      <c r="E63" s="51">
        <f>IF(B63=0,"",DAY(B63)&amp;"일")</f>
        <v/>
      </c>
      <c r="F63" s="260" t="n"/>
      <c r="G63" s="261" t="n"/>
      <c r="H63" s="263" t="n"/>
      <c r="I63" s="264" t="n"/>
      <c r="J63" s="47" t="n"/>
      <c r="K63" s="47" t="n"/>
      <c r="L63" s="47" t="n"/>
      <c r="M63" s="47" t="n"/>
    </row>
    <row r="64" ht="12.75" customHeight="1" s="202">
      <c r="B64" s="266" t="n"/>
      <c r="C64" s="50">
        <f>IF(B64=0,"",YEAR(B64))</f>
        <v/>
      </c>
      <c r="D64" s="50">
        <f>IF(B64=0,"",MONTH(B64)&amp;"월")</f>
        <v/>
      </c>
      <c r="E64" s="51">
        <f>IF(B64=0,"",DAY(B64)&amp;"일")</f>
        <v/>
      </c>
      <c r="F64" s="260" t="n"/>
      <c r="G64" s="261" t="n"/>
      <c r="H64" s="263" t="n"/>
      <c r="I64" s="264" t="n"/>
      <c r="J64" s="47" t="n"/>
      <c r="K64" s="47" t="n"/>
      <c r="L64" s="47" t="n"/>
      <c r="M64" s="47" t="n"/>
    </row>
    <row r="65" ht="12.75" customHeight="1" s="202">
      <c r="B65" s="266" t="n"/>
      <c r="C65" s="50">
        <f>IF(B65=0,"",YEAR(B65))</f>
        <v/>
      </c>
      <c r="D65" s="50">
        <f>IF(B65=0,"",MONTH(B65)&amp;"월")</f>
        <v/>
      </c>
      <c r="E65" s="51">
        <f>IF(B65=0,"",DAY(B65)&amp;"일")</f>
        <v/>
      </c>
      <c r="F65" s="260" t="n"/>
      <c r="G65" s="261" t="n"/>
      <c r="H65" s="263" t="n"/>
      <c r="I65" s="264" t="n"/>
      <c r="J65" s="47" t="n"/>
      <c r="K65" s="47" t="n"/>
      <c r="L65" s="47" t="n"/>
      <c r="M65" s="47" t="n"/>
    </row>
    <row r="66" ht="12.75" customHeight="1" s="202">
      <c r="B66" s="266" t="n"/>
      <c r="C66" s="50">
        <f>IF(B66=0,"",YEAR(B66))</f>
        <v/>
      </c>
      <c r="D66" s="50">
        <f>IF(B66=0,"",MONTH(B66)&amp;"월")</f>
        <v/>
      </c>
      <c r="E66" s="51">
        <f>IF(B66=0,"",DAY(B66)&amp;"일")</f>
        <v/>
      </c>
      <c r="F66" s="260" t="n"/>
      <c r="G66" s="261" t="n"/>
      <c r="H66" s="263" t="n"/>
      <c r="I66" s="264" t="n"/>
      <c r="J66" s="47" t="n"/>
      <c r="K66" s="47" t="n"/>
      <c r="L66" s="47" t="n"/>
      <c r="M66" s="47" t="n"/>
    </row>
    <row r="67" ht="12.75" customHeight="1" s="202">
      <c r="B67" s="266" t="n"/>
      <c r="C67" s="50">
        <f>IF(B67=0,"",YEAR(B67))</f>
        <v/>
      </c>
      <c r="D67" s="50">
        <f>IF(B67=0,"",MONTH(B67)&amp;"월")</f>
        <v/>
      </c>
      <c r="E67" s="51">
        <f>IF(B67=0,"",DAY(B67)&amp;"일")</f>
        <v/>
      </c>
      <c r="F67" s="260" t="n"/>
      <c r="G67" s="261" t="n"/>
      <c r="H67" s="263" t="n"/>
      <c r="I67" s="264" t="n"/>
      <c r="J67" s="47" t="n"/>
      <c r="K67" s="47" t="n"/>
      <c r="L67" s="47" t="n"/>
      <c r="M67" s="47" t="n"/>
    </row>
    <row r="68" ht="12.75" customHeight="1" s="202">
      <c r="B68" s="266" t="n"/>
      <c r="C68" s="50">
        <f>IF(B68=0,"",YEAR(B68))</f>
        <v/>
      </c>
      <c r="D68" s="50">
        <f>IF(B68=0,"",MONTH(B68)&amp;"월")</f>
        <v/>
      </c>
      <c r="E68" s="51">
        <f>IF(B68=0,"",DAY(B68)&amp;"일")</f>
        <v/>
      </c>
      <c r="F68" s="260" t="n"/>
      <c r="G68" s="261" t="n"/>
      <c r="H68" s="263" t="n"/>
      <c r="I68" s="264" t="n"/>
      <c r="J68" s="47" t="n"/>
      <c r="K68" s="47" t="n"/>
      <c r="L68" s="47" t="n"/>
      <c r="M68" s="47" t="n"/>
    </row>
    <row r="69" ht="12.75" customHeight="1" s="202">
      <c r="B69" s="266" t="n"/>
      <c r="C69" s="50">
        <f>IF(B69=0,"",YEAR(B69))</f>
        <v/>
      </c>
      <c r="D69" s="50">
        <f>IF(B69=0,"",MONTH(B69)&amp;"월")</f>
        <v/>
      </c>
      <c r="E69" s="51">
        <f>IF(B69=0,"",DAY(B69)&amp;"일")</f>
        <v/>
      </c>
      <c r="F69" s="260" t="n"/>
      <c r="G69" s="261" t="n"/>
      <c r="H69" s="263" t="n"/>
      <c r="I69" s="264" t="n"/>
      <c r="J69" s="47" t="n"/>
      <c r="K69" s="47" t="n"/>
      <c r="L69" s="47" t="n"/>
      <c r="M69" s="47" t="n"/>
    </row>
    <row r="70" ht="12.75" customHeight="1" s="202">
      <c r="B70" s="266" t="n"/>
      <c r="C70" s="50">
        <f>IF(B70=0,"",YEAR(B70))</f>
        <v/>
      </c>
      <c r="D70" s="50">
        <f>IF(B70=0,"",MONTH(B70)&amp;"월")</f>
        <v/>
      </c>
      <c r="E70" s="51">
        <f>IF(B70=0,"",DAY(B70)&amp;"일")</f>
        <v/>
      </c>
      <c r="F70" s="260" t="n"/>
      <c r="G70" s="261" t="n"/>
      <c r="H70" s="263" t="n"/>
      <c r="I70" s="264" t="n"/>
      <c r="J70" s="47" t="n"/>
      <c r="K70" s="47" t="n"/>
      <c r="L70" s="47" t="n"/>
      <c r="M70" s="47" t="n"/>
    </row>
    <row r="71" ht="12.75" customHeight="1" s="202">
      <c r="B71" s="266" t="n"/>
      <c r="C71" s="50">
        <f>IF(B71=0,"",YEAR(B71))</f>
        <v/>
      </c>
      <c r="D71" s="50">
        <f>IF(B71=0,"",MONTH(B71)&amp;"월")</f>
        <v/>
      </c>
      <c r="E71" s="51">
        <f>IF(B71=0,"",DAY(B71)&amp;"일")</f>
        <v/>
      </c>
      <c r="F71" s="260" t="n"/>
      <c r="G71" s="261" t="n"/>
      <c r="H71" s="263" t="n"/>
      <c r="I71" s="264" t="n"/>
      <c r="J71" s="47" t="n"/>
      <c r="K71" s="47" t="n"/>
      <c r="L71" s="47" t="n"/>
      <c r="M71" s="47" t="n"/>
    </row>
    <row r="72" ht="12.75" customHeight="1" s="202">
      <c r="B72" s="266" t="n"/>
      <c r="C72" s="50">
        <f>IF(B72=0,"",YEAR(B72))</f>
        <v/>
      </c>
      <c r="D72" s="50">
        <f>IF(B72=0,"",MONTH(B72)&amp;"월")</f>
        <v/>
      </c>
      <c r="E72" s="51">
        <f>IF(B72=0,"",DAY(B72)&amp;"일")</f>
        <v/>
      </c>
      <c r="F72" s="260" t="n"/>
      <c r="G72" s="261" t="n"/>
      <c r="H72" s="263" t="n"/>
      <c r="I72" s="264" t="n"/>
      <c r="J72" s="47" t="n"/>
      <c r="K72" s="47" t="n"/>
      <c r="L72" s="47" t="n"/>
      <c r="M72" s="47" t="n"/>
    </row>
    <row r="73" ht="12.75" customHeight="1" s="202">
      <c r="B73" s="266" t="n"/>
      <c r="C73" s="50">
        <f>IF(B73=0,"",YEAR(B73))</f>
        <v/>
      </c>
      <c r="D73" s="50">
        <f>IF(B73=0,"",MONTH(B73)&amp;"월")</f>
        <v/>
      </c>
      <c r="E73" s="51">
        <f>IF(B73=0,"",DAY(B73)&amp;"일")</f>
        <v/>
      </c>
      <c r="F73" s="260" t="n"/>
      <c r="G73" s="261" t="n"/>
      <c r="H73" s="263" t="n"/>
      <c r="I73" s="264" t="n"/>
      <c r="J73" s="47" t="n"/>
      <c r="K73" s="47" t="n"/>
      <c r="L73" s="47" t="n"/>
      <c r="M73" s="47" t="n"/>
    </row>
    <row r="74" ht="12.75" customHeight="1" s="202">
      <c r="B74" s="266" t="n"/>
      <c r="C74" s="50">
        <f>IF(B74=0,"",YEAR(B74))</f>
        <v/>
      </c>
      <c r="D74" s="50">
        <f>IF(B74=0,"",MONTH(B74)&amp;"월")</f>
        <v/>
      </c>
      <c r="E74" s="51">
        <f>IF(B74=0,"",DAY(B74)&amp;"일")</f>
        <v/>
      </c>
      <c r="F74" s="260" t="n"/>
      <c r="G74" s="261" t="n"/>
      <c r="H74" s="263" t="n"/>
      <c r="I74" s="264" t="n"/>
      <c r="J74" s="47" t="n"/>
      <c r="K74" s="47" t="n"/>
      <c r="L74" s="47" t="n"/>
      <c r="M74" s="47" t="n"/>
    </row>
    <row r="75" ht="12.75" customHeight="1" s="202">
      <c r="B75" s="266" t="n"/>
      <c r="C75" s="50">
        <f>IF(B75=0,"",YEAR(B75))</f>
        <v/>
      </c>
      <c r="D75" s="50">
        <f>IF(B75=0,"",MONTH(B75)&amp;"월")</f>
        <v/>
      </c>
      <c r="E75" s="51">
        <f>IF(B75=0,"",DAY(B75)&amp;"일")</f>
        <v/>
      </c>
      <c r="F75" s="260" t="n"/>
      <c r="G75" s="261" t="n"/>
      <c r="H75" s="263" t="n"/>
      <c r="I75" s="264" t="n"/>
      <c r="J75" s="47" t="n"/>
      <c r="K75" s="47" t="n"/>
      <c r="L75" s="47" t="n"/>
      <c r="M75" s="47" t="n"/>
    </row>
    <row r="76" ht="12.75" customHeight="1" s="202">
      <c r="B76" s="266" t="n"/>
      <c r="C76" s="50">
        <f>IF(B76=0,"",YEAR(B76))</f>
        <v/>
      </c>
      <c r="D76" s="50">
        <f>IF(B76=0,"",MONTH(B76)&amp;"월")</f>
        <v/>
      </c>
      <c r="E76" s="51">
        <f>IF(B76=0,"",DAY(B76)&amp;"일")</f>
        <v/>
      </c>
      <c r="F76" s="260" t="n"/>
      <c r="G76" s="261" t="n"/>
      <c r="H76" s="263" t="n"/>
      <c r="I76" s="264" t="n"/>
      <c r="J76" s="47" t="n"/>
      <c r="K76" s="47" t="n"/>
      <c r="L76" s="47" t="n"/>
      <c r="M76" s="47" t="n"/>
    </row>
    <row r="77" ht="12.75" customHeight="1" s="202">
      <c r="B77" s="266" t="n"/>
      <c r="C77" s="50">
        <f>IF(B77=0,"",YEAR(B77))</f>
        <v/>
      </c>
      <c r="D77" s="50">
        <f>IF(B77=0,"",MONTH(B77)&amp;"월")</f>
        <v/>
      </c>
      <c r="E77" s="51">
        <f>IF(B77=0,"",DAY(B77)&amp;"일")</f>
        <v/>
      </c>
      <c r="F77" s="260" t="n"/>
      <c r="G77" s="261" t="n"/>
      <c r="H77" s="263" t="n"/>
      <c r="I77" s="264" t="n"/>
      <c r="J77" s="47" t="n"/>
      <c r="K77" s="47" t="n"/>
      <c r="L77" s="47" t="n"/>
      <c r="M77" s="47" t="n"/>
    </row>
    <row r="78" ht="12.75" customHeight="1" s="202">
      <c r="B78" s="266" t="n"/>
      <c r="C78" s="50">
        <f>IF(B78=0,"",YEAR(B78))</f>
        <v/>
      </c>
      <c r="D78" s="50">
        <f>IF(B78=0,"",MONTH(B78)&amp;"월")</f>
        <v/>
      </c>
      <c r="E78" s="51">
        <f>IF(B78=0,"",DAY(B78)&amp;"일")</f>
        <v/>
      </c>
      <c r="F78" s="260" t="n"/>
      <c r="G78" s="261" t="n"/>
      <c r="H78" s="263" t="n"/>
      <c r="I78" s="264" t="n"/>
      <c r="J78" s="47" t="n"/>
      <c r="K78" s="47" t="n"/>
      <c r="L78" s="47" t="n"/>
      <c r="M78" s="47" t="n"/>
    </row>
    <row r="79" ht="12.75" customHeight="1" s="202">
      <c r="B79" s="266" t="n"/>
      <c r="C79" s="50">
        <f>IF(B79=0,"",YEAR(B79))</f>
        <v/>
      </c>
      <c r="D79" s="50">
        <f>IF(B79=0,"",MONTH(B79)&amp;"월")</f>
        <v/>
      </c>
      <c r="E79" s="51">
        <f>IF(B79=0,"",DAY(B79)&amp;"일")</f>
        <v/>
      </c>
      <c r="F79" s="260" t="n"/>
      <c r="G79" s="261" t="n"/>
      <c r="H79" s="263" t="n"/>
      <c r="I79" s="264" t="n"/>
      <c r="J79" s="47" t="n"/>
      <c r="K79" s="47" t="n"/>
      <c r="L79" s="47" t="n"/>
      <c r="M79" s="47" t="n"/>
    </row>
    <row r="80" ht="12.75" customHeight="1" s="202">
      <c r="B80" s="266" t="n"/>
      <c r="C80" s="50">
        <f>IF(B80=0,"",YEAR(B80))</f>
        <v/>
      </c>
      <c r="D80" s="50">
        <f>IF(B80=0,"",MONTH(B80)&amp;"월")</f>
        <v/>
      </c>
      <c r="E80" s="51">
        <f>IF(B80=0,"",DAY(B80)&amp;"일")</f>
        <v/>
      </c>
      <c r="F80" s="260" t="n"/>
      <c r="G80" s="261" t="n"/>
      <c r="H80" s="263" t="n"/>
      <c r="I80" s="264" t="n"/>
      <c r="J80" s="47" t="n"/>
      <c r="K80" s="47" t="n"/>
      <c r="L80" s="47" t="n"/>
      <c r="M80" s="47" t="n"/>
    </row>
    <row r="81" ht="12.75" customHeight="1" s="202">
      <c r="B81" s="266" t="n"/>
      <c r="C81" s="50">
        <f>IF(B81=0,"",YEAR(B81))</f>
        <v/>
      </c>
      <c r="D81" s="50">
        <f>IF(B81=0,"",MONTH(B81)&amp;"월")</f>
        <v/>
      </c>
      <c r="E81" s="51">
        <f>IF(B81=0,"",DAY(B81)&amp;"일")</f>
        <v/>
      </c>
      <c r="F81" s="260" t="n"/>
      <c r="G81" s="261" t="n"/>
      <c r="H81" s="263" t="n"/>
      <c r="I81" s="264" t="n"/>
      <c r="J81" s="47" t="n"/>
      <c r="K81" s="47" t="n"/>
      <c r="L81" s="47" t="n"/>
      <c r="M81" s="47" t="n"/>
    </row>
    <row r="82" ht="12.75" customHeight="1" s="202">
      <c r="B82" s="266" t="n"/>
      <c r="C82" s="50">
        <f>IF(B82=0,"",YEAR(B82))</f>
        <v/>
      </c>
      <c r="D82" s="50">
        <f>IF(B82=0,"",MONTH(B82)&amp;"월")</f>
        <v/>
      </c>
      <c r="E82" s="51">
        <f>IF(B82=0,"",DAY(B82)&amp;"일")</f>
        <v/>
      </c>
      <c r="F82" s="260" t="n"/>
      <c r="G82" s="261" t="n"/>
      <c r="H82" s="263" t="n"/>
      <c r="I82" s="264" t="n"/>
      <c r="J82" s="47" t="n"/>
      <c r="K82" s="47" t="n"/>
      <c r="L82" s="47" t="n"/>
      <c r="M82" s="47" t="n"/>
    </row>
    <row r="83" ht="12.75" customHeight="1" s="202">
      <c r="B83" s="266" t="n"/>
      <c r="C83" s="50">
        <f>IF(B83=0,"",YEAR(B83))</f>
        <v/>
      </c>
      <c r="D83" s="50">
        <f>IF(B83=0,"",MONTH(B83)&amp;"월")</f>
        <v/>
      </c>
      <c r="E83" s="51">
        <f>IF(B83=0,"",DAY(B83)&amp;"일")</f>
        <v/>
      </c>
      <c r="F83" s="260" t="n"/>
      <c r="G83" s="261" t="n"/>
      <c r="H83" s="263" t="n"/>
      <c r="I83" s="264" t="n"/>
      <c r="J83" s="47" t="n"/>
      <c r="K83" s="47" t="n"/>
      <c r="L83" s="47" t="n"/>
      <c r="M83" s="47" t="n"/>
    </row>
    <row r="84" ht="12.75" customHeight="1" s="202">
      <c r="B84" s="266" t="n"/>
      <c r="C84" s="50">
        <f>IF(B84=0,"",YEAR(B84))</f>
        <v/>
      </c>
      <c r="D84" s="50">
        <f>IF(B84=0,"",MONTH(B84)&amp;"월")</f>
        <v/>
      </c>
      <c r="E84" s="51">
        <f>IF(B84=0,"",DAY(B84)&amp;"일")</f>
        <v/>
      </c>
      <c r="F84" s="260" t="n"/>
      <c r="G84" s="261" t="n"/>
      <c r="H84" s="263" t="n"/>
      <c r="I84" s="264" t="n"/>
      <c r="J84" s="47" t="n"/>
      <c r="K84" s="47" t="n"/>
      <c r="L84" s="47" t="n"/>
      <c r="M84" s="47" t="n"/>
    </row>
    <row r="85" ht="12.75" customHeight="1" s="202">
      <c r="B85" s="266" t="n"/>
      <c r="C85" s="50">
        <f>IF(B85=0,"",YEAR(B85))</f>
        <v/>
      </c>
      <c r="D85" s="50">
        <f>IF(B85=0,"",MONTH(B85)&amp;"월")</f>
        <v/>
      </c>
      <c r="E85" s="51">
        <f>IF(B85=0,"",DAY(B85)&amp;"일")</f>
        <v/>
      </c>
      <c r="F85" s="260" t="n"/>
      <c r="G85" s="261" t="n"/>
      <c r="H85" s="263" t="n"/>
      <c r="I85" s="264" t="n"/>
      <c r="J85" s="47" t="n"/>
      <c r="K85" s="47" t="n"/>
      <c r="L85" s="47" t="n"/>
      <c r="M85" s="47" t="n"/>
    </row>
    <row r="86" ht="12.75" customHeight="1" s="202">
      <c r="B86" s="266" t="n"/>
      <c r="C86" s="50">
        <f>IF(B86=0,"",YEAR(B86))</f>
        <v/>
      </c>
      <c r="D86" s="50">
        <f>IF(B86=0,"",MONTH(B86)&amp;"월")</f>
        <v/>
      </c>
      <c r="E86" s="51">
        <f>IF(B86=0,"",DAY(B86)&amp;"일")</f>
        <v/>
      </c>
      <c r="F86" s="260" t="n"/>
      <c r="G86" s="261" t="n"/>
      <c r="H86" s="263" t="n"/>
      <c r="I86" s="264" t="n"/>
      <c r="J86" s="47" t="n"/>
      <c r="K86" s="47" t="n"/>
      <c r="L86" s="47" t="n"/>
      <c r="M86" s="47" t="n"/>
    </row>
    <row r="87" ht="12.75" customHeight="1" s="202">
      <c r="B87" s="266" t="n"/>
      <c r="C87" s="50">
        <f>IF(B87=0,"",YEAR(B87))</f>
        <v/>
      </c>
      <c r="D87" s="50">
        <f>IF(B87=0,"",MONTH(B87)&amp;"월")</f>
        <v/>
      </c>
      <c r="E87" s="51">
        <f>IF(B87=0,"",DAY(B87)&amp;"일")</f>
        <v/>
      </c>
      <c r="F87" s="260" t="n"/>
      <c r="G87" s="261" t="n"/>
      <c r="H87" s="263" t="n"/>
      <c r="I87" s="264" t="n"/>
      <c r="J87" s="47" t="n"/>
      <c r="K87" s="47" t="n"/>
      <c r="L87" s="47" t="n"/>
      <c r="M87" s="47" t="n"/>
    </row>
    <row r="88" ht="12.75" customHeight="1" s="202">
      <c r="B88" s="266" t="n"/>
      <c r="C88" s="50">
        <f>IF(B88=0,"",YEAR(B88))</f>
        <v/>
      </c>
      <c r="D88" s="50">
        <f>IF(B88=0,"",MONTH(B88)&amp;"월")</f>
        <v/>
      </c>
      <c r="E88" s="51">
        <f>IF(B88=0,"",DAY(B88)&amp;"일")</f>
        <v/>
      </c>
      <c r="F88" s="260" t="n"/>
      <c r="G88" s="261" t="n"/>
      <c r="H88" s="263" t="n"/>
      <c r="I88" s="264" t="n"/>
      <c r="J88" s="47" t="n"/>
      <c r="K88" s="47" t="n"/>
      <c r="L88" s="47" t="n"/>
      <c r="M88" s="47" t="n"/>
    </row>
    <row r="89" ht="12.75" customHeight="1" s="202">
      <c r="B89" s="266" t="n"/>
      <c r="C89" s="50">
        <f>IF(B89=0,"",YEAR(B89))</f>
        <v/>
      </c>
      <c r="D89" s="50">
        <f>IF(B89=0,"",MONTH(B89)&amp;"월")</f>
        <v/>
      </c>
      <c r="E89" s="51">
        <f>IF(B89=0,"",DAY(B89)&amp;"일")</f>
        <v/>
      </c>
      <c r="F89" s="260" t="n"/>
      <c r="G89" s="261" t="n"/>
      <c r="H89" s="263" t="n"/>
      <c r="I89" s="264" t="n"/>
      <c r="J89" s="47" t="n"/>
      <c r="K89" s="47" t="n"/>
      <c r="L89" s="47" t="n"/>
      <c r="M89" s="47" t="n"/>
    </row>
    <row r="90" ht="12.75" customHeight="1" s="202">
      <c r="B90" s="266" t="n"/>
      <c r="C90" s="50">
        <f>IF(B90=0,"",YEAR(B90))</f>
        <v/>
      </c>
      <c r="D90" s="50">
        <f>IF(B90=0,"",MONTH(B90)&amp;"월")</f>
        <v/>
      </c>
      <c r="E90" s="51">
        <f>IF(B90=0,"",DAY(B90)&amp;"일")</f>
        <v/>
      </c>
      <c r="F90" s="260" t="n"/>
      <c r="G90" s="261" t="n"/>
      <c r="H90" s="263" t="n"/>
      <c r="I90" s="264" t="n"/>
      <c r="J90" s="47" t="n"/>
      <c r="K90" s="47" t="n"/>
      <c r="L90" s="47" t="n"/>
      <c r="M90" s="47" t="n"/>
    </row>
    <row r="91" ht="12.75" customHeight="1" s="202">
      <c r="B91" s="266" t="n"/>
      <c r="C91" s="50">
        <f>IF(B91=0,"",YEAR(B91))</f>
        <v/>
      </c>
      <c r="D91" s="50">
        <f>IF(B91=0,"",MONTH(B91)&amp;"월")</f>
        <v/>
      </c>
      <c r="E91" s="51">
        <f>IF(B91=0,"",DAY(B91)&amp;"일")</f>
        <v/>
      </c>
      <c r="F91" s="260" t="n"/>
      <c r="G91" s="261" t="n"/>
      <c r="H91" s="263" t="n"/>
      <c r="I91" s="264" t="n"/>
      <c r="J91" s="47" t="n"/>
      <c r="K91" s="47" t="n"/>
      <c r="L91" s="47" t="n"/>
      <c r="M91" s="47" t="n"/>
    </row>
    <row r="92" ht="12.75" customHeight="1" s="202">
      <c r="B92" s="266" t="n"/>
      <c r="C92" s="50">
        <f>IF(B92=0,"",YEAR(B92))</f>
        <v/>
      </c>
      <c r="D92" s="50">
        <f>IF(B92=0,"",MONTH(B92)&amp;"월")</f>
        <v/>
      </c>
      <c r="E92" s="51">
        <f>IF(B92=0,"",DAY(B92)&amp;"일")</f>
        <v/>
      </c>
      <c r="F92" s="260" t="n"/>
      <c r="G92" s="261" t="n"/>
      <c r="H92" s="263" t="n"/>
      <c r="I92" s="264" t="n"/>
      <c r="J92" s="47" t="n"/>
      <c r="K92" s="47" t="n"/>
      <c r="L92" s="47" t="n"/>
      <c r="M92" s="47" t="n"/>
    </row>
    <row r="93" ht="12.75" customHeight="1" s="202">
      <c r="B93" s="266" t="n"/>
      <c r="C93" s="50">
        <f>IF(B93=0,"",YEAR(B93))</f>
        <v/>
      </c>
      <c r="D93" s="50">
        <f>IF(B93=0,"",MONTH(B93)&amp;"월")</f>
        <v/>
      </c>
      <c r="E93" s="51">
        <f>IF(B93=0,"",DAY(B93)&amp;"일")</f>
        <v/>
      </c>
      <c r="F93" s="260" t="n"/>
      <c r="G93" s="261" t="n"/>
      <c r="H93" s="263" t="n"/>
      <c r="I93" s="264" t="n"/>
      <c r="J93" s="47" t="n"/>
      <c r="K93" s="47" t="n"/>
      <c r="L93" s="47" t="n"/>
      <c r="M93" s="47" t="n"/>
    </row>
    <row r="94" ht="12.75" customHeight="1" s="202">
      <c r="B94" s="266" t="n"/>
      <c r="C94" s="50">
        <f>IF(B94=0,"",YEAR(B94))</f>
        <v/>
      </c>
      <c r="D94" s="50">
        <f>IF(B94=0,"",MONTH(B94)&amp;"월")</f>
        <v/>
      </c>
      <c r="E94" s="51">
        <f>IF(B94=0,"",DAY(B94)&amp;"일")</f>
        <v/>
      </c>
      <c r="F94" s="260" t="n"/>
      <c r="G94" s="261" t="n"/>
      <c r="H94" s="263" t="n"/>
      <c r="I94" s="264" t="n"/>
      <c r="J94" s="47" t="n"/>
      <c r="K94" s="47" t="n"/>
      <c r="L94" s="47" t="n"/>
      <c r="M94" s="47" t="n"/>
    </row>
    <row r="95" ht="12.75" customHeight="1" s="202">
      <c r="B95" s="266" t="n"/>
      <c r="C95" s="50">
        <f>IF(B95=0,"",YEAR(B95))</f>
        <v/>
      </c>
      <c r="D95" s="50">
        <f>IF(B95=0,"",MONTH(B95)&amp;"월")</f>
        <v/>
      </c>
      <c r="E95" s="51">
        <f>IF(B95=0,"",DAY(B95)&amp;"일")</f>
        <v/>
      </c>
      <c r="F95" s="260" t="n"/>
      <c r="G95" s="261" t="n"/>
      <c r="H95" s="263" t="n"/>
      <c r="I95" s="264" t="n"/>
      <c r="J95" s="47" t="n"/>
      <c r="K95" s="47" t="n"/>
      <c r="L95" s="47" t="n"/>
      <c r="M95" s="47" t="n"/>
    </row>
    <row r="96" ht="12.75" customHeight="1" s="202">
      <c r="B96" s="266" t="n"/>
      <c r="C96" s="50">
        <f>IF(B96=0,"",YEAR(B96))</f>
        <v/>
      </c>
      <c r="D96" s="50">
        <f>IF(B96=0,"",MONTH(B96)&amp;"월")</f>
        <v/>
      </c>
      <c r="E96" s="51">
        <f>IF(B96=0,"",DAY(B96)&amp;"일")</f>
        <v/>
      </c>
      <c r="F96" s="260" t="n"/>
      <c r="G96" s="261" t="n"/>
      <c r="H96" s="263" t="n"/>
      <c r="I96" s="264" t="n"/>
      <c r="J96" s="47" t="n"/>
      <c r="K96" s="47" t="n"/>
      <c r="L96" s="47" t="n"/>
      <c r="M96" s="47" t="n"/>
    </row>
    <row r="97" ht="12.75" customHeight="1" s="202">
      <c r="B97" s="266" t="n"/>
      <c r="C97" s="50">
        <f>IF(B97=0,"",YEAR(B97))</f>
        <v/>
      </c>
      <c r="D97" s="50">
        <f>IF(B97=0,"",MONTH(B97)&amp;"월")</f>
        <v/>
      </c>
      <c r="E97" s="51">
        <f>IF(B97=0,"",DAY(B97)&amp;"일")</f>
        <v/>
      </c>
      <c r="F97" s="260" t="n"/>
      <c r="G97" s="261" t="n"/>
      <c r="H97" s="263" t="n"/>
      <c r="I97" s="264" t="n"/>
      <c r="J97" s="47" t="n"/>
      <c r="K97" s="47" t="n"/>
      <c r="L97" s="47" t="n"/>
      <c r="M97" s="47" t="n"/>
    </row>
    <row r="98" ht="12.75" customHeight="1" s="202">
      <c r="B98" s="266" t="n"/>
      <c r="C98" s="50">
        <f>IF(B98=0,"",YEAR(B98))</f>
        <v/>
      </c>
      <c r="D98" s="50">
        <f>IF(B98=0,"",MONTH(B98)&amp;"월")</f>
        <v/>
      </c>
      <c r="E98" s="51">
        <f>IF(B98=0,"",DAY(B98)&amp;"일")</f>
        <v/>
      </c>
      <c r="F98" s="260" t="n"/>
      <c r="G98" s="261" t="n"/>
      <c r="H98" s="263" t="n"/>
      <c r="I98" s="264" t="n"/>
      <c r="J98" s="47" t="n"/>
      <c r="K98" s="47" t="n"/>
      <c r="L98" s="47" t="n"/>
      <c r="M98" s="47" t="n"/>
    </row>
    <row r="99" ht="12.75" customHeight="1" s="202">
      <c r="B99" s="266" t="n"/>
      <c r="C99" s="50">
        <f>IF(B99=0,"",YEAR(B99))</f>
        <v/>
      </c>
      <c r="D99" s="50">
        <f>IF(B99=0,"",MONTH(B99)&amp;"월")</f>
        <v/>
      </c>
      <c r="E99" s="51">
        <f>IF(B99=0,"",DAY(B99)&amp;"일")</f>
        <v/>
      </c>
      <c r="F99" s="260" t="n"/>
      <c r="G99" s="261" t="n"/>
      <c r="H99" s="263" t="n"/>
      <c r="I99" s="264" t="n"/>
      <c r="J99" s="47" t="n"/>
      <c r="K99" s="47" t="n"/>
      <c r="L99" s="47" t="n"/>
      <c r="M99" s="47" t="n"/>
    </row>
    <row r="100" ht="12.75" customHeight="1" s="202">
      <c r="B100" s="266" t="n"/>
      <c r="C100" s="50">
        <f>IF(B100=0,"",YEAR(B100))</f>
        <v/>
      </c>
      <c r="D100" s="50">
        <f>IF(B100=0,"",MONTH(B100)&amp;"월")</f>
        <v/>
      </c>
      <c r="E100" s="51">
        <f>IF(B100=0,"",DAY(B100)&amp;"일")</f>
        <v/>
      </c>
      <c r="F100" s="260" t="n"/>
      <c r="G100" s="261" t="n"/>
      <c r="H100" s="263" t="n"/>
      <c r="I100" s="264" t="n"/>
      <c r="J100" s="47" t="n"/>
      <c r="K100" s="47" t="n"/>
      <c r="L100" s="47" t="n"/>
      <c r="M100" s="47" t="n"/>
    </row>
    <row r="101" ht="12.75" customHeight="1" s="202">
      <c r="B101" s="266" t="n"/>
      <c r="C101" s="50">
        <f>IF(B101=0,"",YEAR(B101))</f>
        <v/>
      </c>
      <c r="D101" s="50">
        <f>IF(B101=0,"",MONTH(B101)&amp;"월")</f>
        <v/>
      </c>
      <c r="E101" s="51">
        <f>IF(B101=0,"",DAY(B101)&amp;"일")</f>
        <v/>
      </c>
      <c r="F101" s="260" t="n"/>
      <c r="G101" s="261" t="n"/>
      <c r="H101" s="263" t="n"/>
      <c r="I101" s="264" t="n"/>
      <c r="J101" s="47" t="n"/>
      <c r="K101" s="47" t="n"/>
      <c r="L101" s="47" t="n"/>
      <c r="M101" s="47" t="n"/>
    </row>
    <row r="102" ht="12.75" customHeight="1" s="202">
      <c r="B102" s="266" t="n"/>
      <c r="C102" s="50">
        <f>IF(B102=0,"",YEAR(B102))</f>
        <v/>
      </c>
      <c r="D102" s="50">
        <f>IF(B102=0,"",MONTH(B102)&amp;"월")</f>
        <v/>
      </c>
      <c r="E102" s="51">
        <f>IF(B102=0,"",DAY(B102)&amp;"일")</f>
        <v/>
      </c>
      <c r="F102" s="260" t="n"/>
      <c r="G102" s="261" t="n"/>
      <c r="H102" s="263" t="n"/>
      <c r="I102" s="264" t="n"/>
      <c r="J102" s="47" t="n"/>
      <c r="K102" s="47" t="n"/>
      <c r="L102" s="47" t="n"/>
      <c r="M102" s="47" t="n"/>
    </row>
    <row r="103" ht="12.75" customHeight="1" s="202">
      <c r="B103" s="266" t="n"/>
      <c r="C103" s="50">
        <f>IF(B103=0,"",YEAR(B103))</f>
        <v/>
      </c>
      <c r="D103" s="50">
        <f>IF(B103=0,"",MONTH(B103)&amp;"월")</f>
        <v/>
      </c>
      <c r="E103" s="51">
        <f>IF(B103=0,"",DAY(B103)&amp;"일")</f>
        <v/>
      </c>
      <c r="F103" s="260" t="n"/>
      <c r="G103" s="261" t="n"/>
      <c r="H103" s="263" t="n"/>
      <c r="I103" s="264" t="n"/>
      <c r="J103" s="47" t="n"/>
      <c r="K103" s="47" t="n"/>
      <c r="L103" s="47" t="n"/>
      <c r="M103" s="47" t="n"/>
    </row>
    <row r="104" ht="12.75" customHeight="1" s="202">
      <c r="B104" s="266" t="n"/>
      <c r="C104" s="50">
        <f>IF(B104=0,"",YEAR(B104))</f>
        <v/>
      </c>
      <c r="D104" s="50">
        <f>IF(B104=0,"",MONTH(B104)&amp;"월")</f>
        <v/>
      </c>
      <c r="E104" s="51">
        <f>IF(B104=0,"",DAY(B104)&amp;"일")</f>
        <v/>
      </c>
      <c r="F104" s="260" t="n"/>
      <c r="G104" s="261" t="n"/>
      <c r="H104" s="263" t="n"/>
      <c r="I104" s="264" t="n"/>
      <c r="J104" s="47" t="n"/>
      <c r="K104" s="47" t="n"/>
      <c r="L104" s="47" t="n"/>
      <c r="M104" s="47" t="n"/>
    </row>
    <row r="105" ht="12.75" customHeight="1" s="202">
      <c r="B105" s="266" t="n"/>
      <c r="C105" s="50">
        <f>IF(B105=0,"",YEAR(B105))</f>
        <v/>
      </c>
      <c r="D105" s="50">
        <f>IF(B105=0,"",MONTH(B105)&amp;"월")</f>
        <v/>
      </c>
      <c r="E105" s="51">
        <f>IF(B105=0,"",DAY(B105)&amp;"일")</f>
        <v/>
      </c>
      <c r="F105" s="260" t="n"/>
      <c r="G105" s="261" t="n"/>
      <c r="H105" s="263" t="n"/>
      <c r="I105" s="264" t="n"/>
      <c r="J105" s="47" t="n"/>
      <c r="K105" s="47" t="n"/>
      <c r="L105" s="47" t="n"/>
      <c r="M105" s="47" t="n"/>
    </row>
    <row r="106" ht="12.75" customHeight="1" s="202">
      <c r="B106" s="266" t="n"/>
      <c r="C106" s="50">
        <f>IF(B106=0,"",YEAR(B106))</f>
        <v/>
      </c>
      <c r="D106" s="50">
        <f>IF(B106=0,"",MONTH(B106)&amp;"월")</f>
        <v/>
      </c>
      <c r="E106" s="51">
        <f>IF(B106=0,"",DAY(B106)&amp;"일")</f>
        <v/>
      </c>
      <c r="F106" s="260" t="n"/>
      <c r="G106" s="261" t="n"/>
      <c r="H106" s="263" t="n"/>
      <c r="I106" s="264" t="n"/>
      <c r="J106" s="47" t="n"/>
      <c r="K106" s="47" t="n"/>
      <c r="L106" s="47" t="n"/>
      <c r="M106" s="47" t="n"/>
    </row>
    <row r="107" ht="12.75" customHeight="1" s="202">
      <c r="B107" s="266" t="n"/>
      <c r="C107" s="50">
        <f>IF(B107=0,"",YEAR(B107))</f>
        <v/>
      </c>
      <c r="D107" s="50">
        <f>IF(B107=0,"",MONTH(B107)&amp;"월")</f>
        <v/>
      </c>
      <c r="E107" s="51">
        <f>IF(B107=0,"",DAY(B107)&amp;"일")</f>
        <v/>
      </c>
      <c r="F107" s="260" t="n"/>
      <c r="G107" s="261" t="n"/>
      <c r="H107" s="263" t="n"/>
      <c r="I107" s="264" t="n"/>
      <c r="J107" s="47" t="n"/>
      <c r="K107" s="47" t="n"/>
      <c r="L107" s="47" t="n"/>
      <c r="M107" s="47" t="n"/>
    </row>
    <row r="108" ht="12.75" customHeight="1" s="202">
      <c r="B108" s="266" t="n"/>
      <c r="C108" s="50">
        <f>IF(B108=0,"",YEAR(B108))</f>
        <v/>
      </c>
      <c r="D108" s="50">
        <f>IF(B108=0,"",MONTH(B108)&amp;"월")</f>
        <v/>
      </c>
      <c r="E108" s="51">
        <f>IF(B108=0,"",DAY(B108)&amp;"일")</f>
        <v/>
      </c>
      <c r="F108" s="260" t="n"/>
      <c r="G108" s="261" t="n"/>
      <c r="H108" s="263" t="n"/>
      <c r="I108" s="264" t="n"/>
      <c r="J108" s="47" t="n"/>
      <c r="K108" s="47" t="n"/>
      <c r="L108" s="47" t="n"/>
      <c r="M108" s="47" t="n"/>
    </row>
    <row r="109" ht="12.75" customHeight="1" s="202">
      <c r="B109" s="266" t="n"/>
      <c r="C109" s="50">
        <f>IF(B109=0,"",YEAR(B109))</f>
        <v/>
      </c>
      <c r="D109" s="50">
        <f>IF(B109=0,"",MONTH(B109)&amp;"월")</f>
        <v/>
      </c>
      <c r="E109" s="51">
        <f>IF(B109=0,"",DAY(B109)&amp;"일")</f>
        <v/>
      </c>
      <c r="F109" s="260" t="n"/>
      <c r="G109" s="261" t="n"/>
      <c r="H109" s="263" t="n"/>
      <c r="I109" s="264" t="n"/>
      <c r="J109" s="47" t="n"/>
      <c r="K109" s="47" t="n"/>
      <c r="L109" s="47" t="n"/>
      <c r="M109" s="47" t="n"/>
    </row>
    <row r="110" ht="12.75" customHeight="1" s="202">
      <c r="B110" s="266" t="n"/>
      <c r="C110" s="50">
        <f>IF(B110=0,"",YEAR(B110))</f>
        <v/>
      </c>
      <c r="D110" s="50">
        <f>IF(B110=0,"",MONTH(B110)&amp;"월")</f>
        <v/>
      </c>
      <c r="E110" s="51">
        <f>IF(B110=0,"",DAY(B110)&amp;"일")</f>
        <v/>
      </c>
      <c r="F110" s="260" t="n"/>
      <c r="G110" s="261" t="n"/>
      <c r="H110" s="263" t="n"/>
      <c r="I110" s="264" t="n"/>
      <c r="J110" s="47" t="n"/>
      <c r="K110" s="47" t="n"/>
      <c r="L110" s="47" t="n"/>
      <c r="M110" s="47" t="n"/>
    </row>
    <row r="111" ht="12.75" customHeight="1" s="202">
      <c r="B111" s="266" t="n"/>
      <c r="C111" s="50">
        <f>IF(B111=0,"",YEAR(B111))</f>
        <v/>
      </c>
      <c r="D111" s="50">
        <f>IF(B111=0,"",MONTH(B111)&amp;"월")</f>
        <v/>
      </c>
      <c r="E111" s="51">
        <f>IF(B111=0,"",DAY(B111)&amp;"일")</f>
        <v/>
      </c>
      <c r="F111" s="260" t="n"/>
      <c r="G111" s="261" t="n"/>
      <c r="H111" s="263" t="n"/>
      <c r="I111" s="264" t="n"/>
      <c r="J111" s="47" t="n"/>
      <c r="K111" s="47" t="n"/>
      <c r="L111" s="47" t="n"/>
      <c r="M111" s="47" t="n"/>
    </row>
    <row r="112" ht="12.75" customHeight="1" s="202">
      <c r="B112" s="266" t="n"/>
      <c r="C112" s="50">
        <f>IF(B112=0,"",YEAR(B112))</f>
        <v/>
      </c>
      <c r="D112" s="50">
        <f>IF(B112=0,"",MONTH(B112)&amp;"월")</f>
        <v/>
      </c>
      <c r="E112" s="51">
        <f>IF(B112=0,"",DAY(B112)&amp;"일")</f>
        <v/>
      </c>
      <c r="F112" s="260" t="n"/>
      <c r="G112" s="261" t="n"/>
      <c r="H112" s="263" t="n"/>
      <c r="I112" s="264" t="n"/>
      <c r="J112" s="47" t="n"/>
      <c r="K112" s="47" t="n"/>
      <c r="L112" s="47" t="n"/>
      <c r="M112" s="47" t="n"/>
    </row>
    <row r="113" ht="12.75" customHeight="1" s="202">
      <c r="B113" s="266" t="n"/>
      <c r="C113" s="50">
        <f>IF(B113=0,"",YEAR(B113))</f>
        <v/>
      </c>
      <c r="D113" s="50">
        <f>IF(B113=0,"",MONTH(B113)&amp;"월")</f>
        <v/>
      </c>
      <c r="E113" s="51">
        <f>IF(B113=0,"",DAY(B113)&amp;"일")</f>
        <v/>
      </c>
      <c r="F113" s="260" t="n"/>
      <c r="G113" s="261" t="n"/>
      <c r="H113" s="263" t="n"/>
      <c r="I113" s="264" t="n"/>
      <c r="J113" s="47" t="n"/>
      <c r="K113" s="47" t="n"/>
      <c r="L113" s="47" t="n"/>
      <c r="M113" s="47" t="n"/>
    </row>
    <row r="114" ht="12.75" customHeight="1" s="202">
      <c r="B114" s="266" t="n"/>
      <c r="C114" s="50">
        <f>IF(B114=0,"",YEAR(B114))</f>
        <v/>
      </c>
      <c r="D114" s="50">
        <f>IF(B114=0,"",MONTH(B114)&amp;"월")</f>
        <v/>
      </c>
      <c r="E114" s="51">
        <f>IF(B114=0,"",DAY(B114)&amp;"일")</f>
        <v/>
      </c>
      <c r="F114" s="260" t="n"/>
      <c r="G114" s="261" t="n"/>
      <c r="H114" s="263" t="n"/>
      <c r="I114" s="264" t="n"/>
      <c r="J114" s="47" t="n"/>
      <c r="K114" s="47" t="n"/>
      <c r="L114" s="47" t="n"/>
      <c r="M114" s="47" t="n"/>
    </row>
    <row r="115" ht="12.75" customHeight="1" s="202">
      <c r="B115" s="266" t="n"/>
      <c r="C115" s="50">
        <f>IF(B115=0,"",YEAR(B115))</f>
        <v/>
      </c>
      <c r="D115" s="50">
        <f>IF(B115=0,"",MONTH(B115)&amp;"월")</f>
        <v/>
      </c>
      <c r="E115" s="51">
        <f>IF(B115=0,"",DAY(B115)&amp;"일")</f>
        <v/>
      </c>
      <c r="F115" s="260" t="n"/>
      <c r="G115" s="261" t="n"/>
      <c r="H115" s="263" t="n"/>
      <c r="I115" s="264" t="n"/>
      <c r="J115" s="47" t="n"/>
      <c r="K115" s="47" t="n"/>
      <c r="L115" s="47" t="n"/>
      <c r="M115" s="47" t="n"/>
    </row>
    <row r="116" ht="12.75" customHeight="1" s="202">
      <c r="B116" s="266" t="n"/>
      <c r="C116" s="50">
        <f>IF(B116=0,"",YEAR(B116))</f>
        <v/>
      </c>
      <c r="D116" s="50">
        <f>IF(B116=0,"",MONTH(B116)&amp;"월")</f>
        <v/>
      </c>
      <c r="E116" s="51">
        <f>IF(B116=0,"",DAY(B116)&amp;"일")</f>
        <v/>
      </c>
      <c r="F116" s="260" t="n"/>
      <c r="G116" s="261" t="n"/>
      <c r="H116" s="263" t="n"/>
      <c r="I116" s="264" t="n"/>
      <c r="J116" s="47" t="n"/>
      <c r="K116" s="47" t="n"/>
      <c r="L116" s="47" t="n"/>
      <c r="M116" s="47" t="n"/>
    </row>
    <row r="117" ht="12.75" customHeight="1" s="202">
      <c r="B117" s="266" t="n"/>
      <c r="C117" s="50">
        <f>IF(B117=0,"",YEAR(B117))</f>
        <v/>
      </c>
      <c r="D117" s="50">
        <f>IF(B117=0,"",MONTH(B117)&amp;"월")</f>
        <v/>
      </c>
      <c r="E117" s="51">
        <f>IF(B117=0,"",DAY(B117)&amp;"일")</f>
        <v/>
      </c>
      <c r="F117" s="260" t="n"/>
      <c r="G117" s="261" t="n"/>
      <c r="H117" s="263" t="n"/>
      <c r="I117" s="264" t="n"/>
      <c r="J117" s="47" t="n"/>
      <c r="K117" s="47" t="n"/>
      <c r="L117" s="47" t="n"/>
      <c r="M117" s="47" t="n"/>
    </row>
    <row r="118" ht="12.75" customHeight="1" s="202">
      <c r="B118" s="266" t="n"/>
      <c r="C118" s="50">
        <f>IF(B118=0,"",YEAR(B118))</f>
        <v/>
      </c>
      <c r="D118" s="50">
        <f>IF(B118=0,"",MONTH(B118)&amp;"월")</f>
        <v/>
      </c>
      <c r="E118" s="51">
        <f>IF(B118=0,"",DAY(B118)&amp;"일")</f>
        <v/>
      </c>
      <c r="F118" s="260" t="n"/>
      <c r="G118" s="261" t="n"/>
      <c r="H118" s="263" t="n"/>
      <c r="I118" s="264" t="n"/>
      <c r="J118" s="47" t="n"/>
      <c r="K118" s="47" t="n"/>
      <c r="L118" s="47" t="n"/>
      <c r="M118" s="47" t="n"/>
    </row>
    <row r="119" ht="12.75" customHeight="1" s="202">
      <c r="B119" s="266" t="n"/>
      <c r="C119" s="50">
        <f>IF(B119=0,"",YEAR(B119))</f>
        <v/>
      </c>
      <c r="D119" s="50">
        <f>IF(B119=0,"",MONTH(B119)&amp;"월")</f>
        <v/>
      </c>
      <c r="E119" s="51">
        <f>IF(B119=0,"",DAY(B119)&amp;"일")</f>
        <v/>
      </c>
      <c r="F119" s="260" t="n"/>
      <c r="G119" s="261" t="n"/>
      <c r="H119" s="263" t="n"/>
      <c r="I119" s="264" t="n"/>
      <c r="J119" s="47" t="n"/>
      <c r="K119" s="47" t="n"/>
      <c r="L119" s="47" t="n"/>
      <c r="M119" s="47" t="n"/>
    </row>
    <row r="120" ht="12.75" customHeight="1" s="202">
      <c r="B120" s="266" t="n"/>
      <c r="C120" s="50">
        <f>IF(B120=0,"",YEAR(B120))</f>
        <v/>
      </c>
      <c r="D120" s="50">
        <f>IF(B120=0,"",MONTH(B120)&amp;"월")</f>
        <v/>
      </c>
      <c r="E120" s="51">
        <f>IF(B120=0,"",DAY(B120)&amp;"일")</f>
        <v/>
      </c>
      <c r="F120" s="260" t="n"/>
      <c r="G120" s="261" t="n"/>
      <c r="H120" s="263" t="n"/>
      <c r="I120" s="264" t="n"/>
      <c r="J120" s="47" t="n"/>
      <c r="K120" s="47" t="n"/>
      <c r="L120" s="47" t="n"/>
      <c r="M120" s="47" t="n"/>
    </row>
    <row r="121" ht="12.75" customHeight="1" s="202">
      <c r="B121" s="266" t="n"/>
      <c r="C121" s="50">
        <f>IF(B121=0,"",YEAR(B121))</f>
        <v/>
      </c>
      <c r="D121" s="50">
        <f>IF(B121=0,"",MONTH(B121)&amp;"월")</f>
        <v/>
      </c>
      <c r="E121" s="51">
        <f>IF(B121=0,"",DAY(B121)&amp;"일")</f>
        <v/>
      </c>
      <c r="F121" s="260" t="n"/>
      <c r="G121" s="261" t="n"/>
      <c r="H121" s="263" t="n"/>
      <c r="I121" s="264" t="n"/>
      <c r="J121" s="47" t="n"/>
      <c r="K121" s="47" t="n"/>
      <c r="L121" s="47" t="n"/>
      <c r="M121" s="47" t="n"/>
    </row>
    <row r="122" ht="12.75" customHeight="1" s="202">
      <c r="B122" s="266" t="n"/>
      <c r="C122" s="50">
        <f>IF(B122=0,"",YEAR(B122))</f>
        <v/>
      </c>
      <c r="D122" s="50">
        <f>IF(B122=0,"",MONTH(B122)&amp;"월")</f>
        <v/>
      </c>
      <c r="E122" s="51">
        <f>IF(B122=0,"",DAY(B122)&amp;"일")</f>
        <v/>
      </c>
      <c r="F122" s="260" t="n"/>
      <c r="G122" s="261" t="n"/>
      <c r="H122" s="263" t="n"/>
      <c r="I122" s="264" t="n"/>
      <c r="J122" s="47" t="n"/>
      <c r="K122" s="47" t="n"/>
      <c r="L122" s="47" t="n"/>
      <c r="M122" s="47" t="n"/>
    </row>
    <row r="123" ht="12.75" customHeight="1" s="202">
      <c r="B123" s="266" t="n"/>
      <c r="C123" s="50">
        <f>IF(B123=0,"",YEAR(B123))</f>
        <v/>
      </c>
      <c r="D123" s="50">
        <f>IF(B123=0,"",MONTH(B123)&amp;"월")</f>
        <v/>
      </c>
      <c r="E123" s="51">
        <f>IF(B123=0,"",DAY(B123)&amp;"일")</f>
        <v/>
      </c>
      <c r="F123" s="260" t="n"/>
      <c r="G123" s="261" t="n"/>
      <c r="H123" s="263" t="n"/>
      <c r="I123" s="264" t="n"/>
      <c r="J123" s="47" t="n"/>
      <c r="K123" s="47" t="n"/>
      <c r="L123" s="47" t="n"/>
      <c r="M123" s="47" t="n"/>
    </row>
    <row r="124" ht="12.75" customHeight="1" s="202">
      <c r="B124" s="266" t="n"/>
      <c r="C124" s="50">
        <f>IF(B124=0,"",YEAR(B124))</f>
        <v/>
      </c>
      <c r="D124" s="50">
        <f>IF(B124=0,"",MONTH(B124)&amp;"월")</f>
        <v/>
      </c>
      <c r="E124" s="51">
        <f>IF(B124=0,"",DAY(B124)&amp;"일")</f>
        <v/>
      </c>
      <c r="F124" s="260" t="n"/>
      <c r="G124" s="261" t="n"/>
      <c r="H124" s="263" t="n"/>
      <c r="I124" s="264" t="n"/>
      <c r="J124" s="47" t="n"/>
      <c r="K124" s="47" t="n"/>
      <c r="L124" s="47" t="n"/>
      <c r="M124" s="47" t="n"/>
    </row>
    <row r="125" ht="12.75" customHeight="1" s="202">
      <c r="B125" s="266" t="n"/>
      <c r="C125" s="50">
        <f>IF(B125=0,"",YEAR(B125))</f>
        <v/>
      </c>
      <c r="D125" s="50">
        <f>IF(B125=0,"",MONTH(B125)&amp;"월")</f>
        <v/>
      </c>
      <c r="E125" s="51">
        <f>IF(B125=0,"",DAY(B125)&amp;"일")</f>
        <v/>
      </c>
      <c r="F125" s="260" t="n"/>
      <c r="G125" s="261" t="n"/>
      <c r="H125" s="263" t="n"/>
      <c r="I125" s="264" t="n"/>
      <c r="J125" s="47" t="n"/>
      <c r="K125" s="47" t="n"/>
      <c r="L125" s="47" t="n"/>
      <c r="M125" s="47" t="n"/>
    </row>
    <row r="126" ht="12.75" customHeight="1" s="202">
      <c r="B126" s="266" t="n"/>
      <c r="C126" s="50">
        <f>IF(B126=0,"",YEAR(B126))</f>
        <v/>
      </c>
      <c r="D126" s="50">
        <f>IF(B126=0,"",MONTH(B126)&amp;"월")</f>
        <v/>
      </c>
      <c r="E126" s="51">
        <f>IF(B126=0,"",DAY(B126)&amp;"일")</f>
        <v/>
      </c>
      <c r="F126" s="260" t="n"/>
      <c r="G126" s="261" t="n"/>
      <c r="H126" s="263" t="n"/>
      <c r="I126" s="264" t="n"/>
      <c r="J126" s="47" t="n"/>
      <c r="K126" s="47" t="n"/>
      <c r="L126" s="47" t="n"/>
      <c r="M126" s="47" t="n"/>
    </row>
    <row r="127" ht="12.75" customHeight="1" s="202">
      <c r="B127" s="266" t="n"/>
      <c r="C127" s="50">
        <f>IF(B127=0,"",YEAR(B127))</f>
        <v/>
      </c>
      <c r="D127" s="50">
        <f>IF(B127=0,"",MONTH(B127)&amp;"월")</f>
        <v/>
      </c>
      <c r="E127" s="51">
        <f>IF(B127=0,"",DAY(B127)&amp;"일")</f>
        <v/>
      </c>
      <c r="F127" s="260" t="n"/>
      <c r="G127" s="261" t="n"/>
      <c r="H127" s="263" t="n"/>
      <c r="I127" s="264" t="n"/>
      <c r="J127" s="47" t="n"/>
      <c r="K127" s="47" t="n"/>
      <c r="L127" s="47" t="n"/>
      <c r="M127" s="47" t="n"/>
    </row>
    <row r="128" ht="12.75" customHeight="1" s="202">
      <c r="B128" s="266" t="n"/>
      <c r="C128" s="50">
        <f>IF(B128=0,"",YEAR(B128))</f>
        <v/>
      </c>
      <c r="D128" s="50">
        <f>IF(B128=0,"",MONTH(B128)&amp;"월")</f>
        <v/>
      </c>
      <c r="E128" s="51">
        <f>IF(B128=0,"",DAY(B128)&amp;"일")</f>
        <v/>
      </c>
      <c r="F128" s="260" t="n"/>
      <c r="G128" s="261" t="n"/>
      <c r="H128" s="263" t="n"/>
      <c r="I128" s="264" t="n"/>
      <c r="J128" s="47" t="n"/>
      <c r="K128" s="47" t="n"/>
      <c r="L128" s="47" t="n"/>
      <c r="M128" s="47" t="n"/>
    </row>
    <row r="129" ht="12.75" customHeight="1" s="202">
      <c r="B129" s="266" t="n"/>
      <c r="C129" s="50">
        <f>IF(B129=0,"",YEAR(B129))</f>
        <v/>
      </c>
      <c r="D129" s="50">
        <f>IF(B129=0,"",MONTH(B129)&amp;"월")</f>
        <v/>
      </c>
      <c r="E129" s="51">
        <f>IF(B129=0,"",DAY(B129)&amp;"일")</f>
        <v/>
      </c>
      <c r="F129" s="260" t="n"/>
      <c r="G129" s="261" t="n"/>
      <c r="H129" s="263" t="n"/>
      <c r="I129" s="264" t="n"/>
      <c r="J129" s="47" t="n"/>
      <c r="K129" s="47" t="n"/>
      <c r="L129" s="47" t="n"/>
      <c r="M129" s="47" t="n"/>
    </row>
    <row r="130" ht="12.75" customHeight="1" s="202">
      <c r="B130" s="266" t="n"/>
      <c r="C130" s="50">
        <f>IF(B130=0,"",YEAR(B130))</f>
        <v/>
      </c>
      <c r="D130" s="50">
        <f>IF(B130=0,"",MONTH(B130)&amp;"월")</f>
        <v/>
      </c>
      <c r="E130" s="51">
        <f>IF(B130=0,"",DAY(B130)&amp;"일")</f>
        <v/>
      </c>
      <c r="F130" s="260" t="n"/>
      <c r="G130" s="261" t="n"/>
      <c r="H130" s="263" t="n"/>
      <c r="I130" s="264" t="n"/>
      <c r="J130" s="47" t="n"/>
      <c r="K130" s="47" t="n"/>
      <c r="L130" s="47" t="n"/>
      <c r="M130" s="47" t="n"/>
    </row>
    <row r="131" ht="12.75" customHeight="1" s="202">
      <c r="B131" s="266" t="n"/>
      <c r="C131" s="50">
        <f>IF(B131=0,"",YEAR(B131))</f>
        <v/>
      </c>
      <c r="D131" s="50">
        <f>IF(B131=0,"",MONTH(B131)&amp;"월")</f>
        <v/>
      </c>
      <c r="E131" s="51">
        <f>IF(B131=0,"",DAY(B131)&amp;"일")</f>
        <v/>
      </c>
      <c r="F131" s="260" t="n"/>
      <c r="G131" s="261" t="n"/>
      <c r="H131" s="263" t="n"/>
      <c r="I131" s="264" t="n"/>
      <c r="J131" s="47" t="n"/>
      <c r="K131" s="47" t="n"/>
      <c r="L131" s="47" t="n"/>
      <c r="M131" s="47" t="n"/>
    </row>
    <row r="132" ht="12.75" customHeight="1" s="202">
      <c r="B132" s="266" t="n"/>
      <c r="C132" s="50">
        <f>IF(B132=0,"",YEAR(B132))</f>
        <v/>
      </c>
      <c r="D132" s="50">
        <f>IF(B132=0,"",MONTH(B132)&amp;"월")</f>
        <v/>
      </c>
      <c r="E132" s="51">
        <f>IF(B132=0,"",DAY(B132)&amp;"일")</f>
        <v/>
      </c>
      <c r="F132" s="260" t="n"/>
      <c r="G132" s="261" t="n"/>
      <c r="H132" s="263" t="n"/>
      <c r="I132" s="264" t="n"/>
      <c r="J132" s="47" t="n"/>
      <c r="K132" s="47" t="n"/>
      <c r="L132" s="47" t="n"/>
      <c r="M132" s="47" t="n"/>
    </row>
    <row r="133" ht="12.75" customHeight="1" s="202">
      <c r="B133" s="266" t="n"/>
      <c r="C133" s="50">
        <f>IF(B133=0,"",YEAR(B133))</f>
        <v/>
      </c>
      <c r="D133" s="50">
        <f>IF(B133=0,"",MONTH(B133)&amp;"월")</f>
        <v/>
      </c>
      <c r="E133" s="51">
        <f>IF(B133=0,"",DAY(B133)&amp;"일")</f>
        <v/>
      </c>
      <c r="F133" s="260" t="n"/>
      <c r="G133" s="261" t="n"/>
      <c r="H133" s="263" t="n"/>
      <c r="I133" s="264" t="n"/>
      <c r="J133" s="47" t="n"/>
      <c r="K133" s="47" t="n"/>
      <c r="L133" s="47" t="n"/>
      <c r="M133" s="47" t="n"/>
    </row>
    <row r="134" ht="12.75" customHeight="1" s="202">
      <c r="B134" s="266" t="n"/>
      <c r="C134" s="50">
        <f>IF(B134=0,"",YEAR(B134))</f>
        <v/>
      </c>
      <c r="D134" s="50">
        <f>IF(B134=0,"",MONTH(B134)&amp;"월")</f>
        <v/>
      </c>
      <c r="E134" s="51">
        <f>IF(B134=0,"",DAY(B134)&amp;"일")</f>
        <v/>
      </c>
      <c r="F134" s="260" t="n"/>
      <c r="G134" s="261" t="n"/>
      <c r="H134" s="263" t="n"/>
      <c r="I134" s="264" t="n"/>
      <c r="J134" s="47" t="n"/>
      <c r="K134" s="47" t="n"/>
      <c r="L134" s="47" t="n"/>
      <c r="M134" s="47" t="n"/>
    </row>
    <row r="135" ht="12.75" customHeight="1" s="202">
      <c r="B135" s="266" t="n"/>
      <c r="C135" s="50">
        <f>IF(B135=0,"",YEAR(B135))</f>
        <v/>
      </c>
      <c r="D135" s="50">
        <f>IF(B135=0,"",MONTH(B135)&amp;"월")</f>
        <v/>
      </c>
      <c r="E135" s="51">
        <f>IF(B135=0,"",DAY(B135)&amp;"일")</f>
        <v/>
      </c>
      <c r="F135" s="260" t="n"/>
      <c r="G135" s="261" t="n"/>
      <c r="H135" s="263" t="n"/>
      <c r="I135" s="264" t="n"/>
      <c r="J135" s="47" t="n"/>
      <c r="K135" s="47" t="n"/>
      <c r="L135" s="47" t="n"/>
      <c r="M135" s="47" t="n"/>
    </row>
    <row r="136" ht="12.75" customHeight="1" s="202">
      <c r="B136" s="266" t="n"/>
      <c r="C136" s="50">
        <f>IF(B136=0,"",YEAR(B136))</f>
        <v/>
      </c>
      <c r="D136" s="50">
        <f>IF(B136=0,"",MONTH(B136)&amp;"월")</f>
        <v/>
      </c>
      <c r="E136" s="51">
        <f>IF(B136=0,"",DAY(B136)&amp;"일")</f>
        <v/>
      </c>
      <c r="F136" s="260" t="n"/>
      <c r="G136" s="261" t="n"/>
      <c r="H136" s="263" t="n"/>
      <c r="I136" s="264" t="n"/>
      <c r="J136" s="47" t="n"/>
      <c r="K136" s="47" t="n"/>
      <c r="L136" s="47" t="n"/>
      <c r="M136" s="47" t="n"/>
    </row>
    <row r="137" ht="12.75" customHeight="1" s="202">
      <c r="B137" s="266" t="n"/>
      <c r="C137" s="50">
        <f>IF(B137=0,"",YEAR(B137))</f>
        <v/>
      </c>
      <c r="D137" s="50">
        <f>IF(B137=0,"",MONTH(B137)&amp;"월")</f>
        <v/>
      </c>
      <c r="E137" s="51">
        <f>IF(B137=0,"",DAY(B137)&amp;"일")</f>
        <v/>
      </c>
      <c r="F137" s="260" t="n"/>
      <c r="G137" s="261" t="n"/>
      <c r="H137" s="263" t="n"/>
      <c r="I137" s="264" t="n"/>
      <c r="J137" s="47" t="n"/>
      <c r="K137" s="47" t="n"/>
      <c r="L137" s="47" t="n"/>
      <c r="M137" s="47" t="n"/>
    </row>
    <row r="138" ht="12.75" customHeight="1" s="202">
      <c r="B138" s="266" t="n"/>
      <c r="C138" s="50">
        <f>IF(B138=0,"",YEAR(B138))</f>
        <v/>
      </c>
      <c r="D138" s="50">
        <f>IF(B138=0,"",MONTH(B138)&amp;"월")</f>
        <v/>
      </c>
      <c r="E138" s="51">
        <f>IF(B138=0,"",DAY(B138)&amp;"일")</f>
        <v/>
      </c>
      <c r="F138" s="260" t="n"/>
      <c r="G138" s="261" t="n"/>
      <c r="H138" s="263" t="n"/>
      <c r="I138" s="264" t="n"/>
      <c r="J138" s="47" t="n"/>
      <c r="K138" s="47" t="n"/>
      <c r="L138" s="47" t="n"/>
      <c r="M138" s="47" t="n"/>
    </row>
    <row r="139" ht="12.75" customHeight="1" s="202">
      <c r="B139" s="266" t="n"/>
      <c r="C139" s="50">
        <f>IF(B139=0,"",YEAR(B139))</f>
        <v/>
      </c>
      <c r="D139" s="50">
        <f>IF(B139=0,"",MONTH(B139)&amp;"월")</f>
        <v/>
      </c>
      <c r="E139" s="51">
        <f>IF(B139=0,"",DAY(B139)&amp;"일")</f>
        <v/>
      </c>
      <c r="F139" s="260" t="n"/>
      <c r="G139" s="261" t="n"/>
      <c r="H139" s="263" t="n"/>
      <c r="I139" s="264" t="n"/>
      <c r="J139" s="47" t="n"/>
      <c r="K139" s="47" t="n"/>
      <c r="L139" s="47" t="n"/>
      <c r="M139" s="47" t="n"/>
    </row>
    <row r="140" ht="12.75" customHeight="1" s="202">
      <c r="B140" s="266" t="n"/>
      <c r="C140" s="50">
        <f>IF(B140=0,"",YEAR(B140))</f>
        <v/>
      </c>
      <c r="D140" s="50">
        <f>IF(B140=0,"",MONTH(B140)&amp;"월")</f>
        <v/>
      </c>
      <c r="E140" s="51">
        <f>IF(B140=0,"",DAY(B140)&amp;"일")</f>
        <v/>
      </c>
      <c r="F140" s="260" t="n"/>
      <c r="G140" s="261" t="n"/>
      <c r="H140" s="263" t="n"/>
      <c r="I140" s="264" t="n"/>
      <c r="J140" s="47" t="n"/>
      <c r="K140" s="47" t="n"/>
      <c r="L140" s="47" t="n"/>
      <c r="M140" s="47" t="n"/>
    </row>
    <row r="141" ht="12.75" customHeight="1" s="202">
      <c r="B141" s="266" t="n"/>
      <c r="C141" s="50">
        <f>IF(B141=0,"",YEAR(B141))</f>
        <v/>
      </c>
      <c r="D141" s="50">
        <f>IF(B141=0,"",MONTH(B141)&amp;"월")</f>
        <v/>
      </c>
      <c r="E141" s="51">
        <f>IF(B141=0,"",DAY(B141)&amp;"일")</f>
        <v/>
      </c>
      <c r="F141" s="260" t="n"/>
      <c r="G141" s="261" t="n"/>
      <c r="H141" s="263" t="n"/>
      <c r="I141" s="264" t="n"/>
      <c r="J141" s="47" t="n"/>
      <c r="K141" s="47" t="n"/>
      <c r="L141" s="47" t="n"/>
      <c r="M141" s="47" t="n"/>
    </row>
    <row r="142" ht="12.75" customHeight="1" s="202">
      <c r="B142" s="266" t="n"/>
      <c r="C142" s="50">
        <f>IF(B142=0,"",YEAR(B142))</f>
        <v/>
      </c>
      <c r="D142" s="50">
        <f>IF(B142=0,"",MONTH(B142)&amp;"월")</f>
        <v/>
      </c>
      <c r="E142" s="51">
        <f>IF(B142=0,"",DAY(B142)&amp;"일")</f>
        <v/>
      </c>
      <c r="F142" s="260" t="n"/>
      <c r="G142" s="261" t="n"/>
      <c r="H142" s="263" t="n"/>
      <c r="I142" s="264" t="n"/>
      <c r="J142" s="47" t="n"/>
      <c r="K142" s="47" t="n"/>
      <c r="L142" s="47" t="n"/>
      <c r="M142" s="47" t="n"/>
    </row>
    <row r="143" ht="12.75" customHeight="1" s="202">
      <c r="B143" s="266" t="n"/>
      <c r="C143" s="50">
        <f>IF(B143=0,"",YEAR(B143))</f>
        <v/>
      </c>
      <c r="D143" s="50">
        <f>IF(B143=0,"",MONTH(B143)&amp;"월")</f>
        <v/>
      </c>
      <c r="E143" s="51">
        <f>IF(B143=0,"",DAY(B143)&amp;"일")</f>
        <v/>
      </c>
      <c r="F143" s="260" t="n"/>
      <c r="G143" s="261" t="n"/>
      <c r="H143" s="263" t="n"/>
      <c r="I143" s="264" t="n"/>
      <c r="J143" s="47" t="n"/>
      <c r="K143" s="47" t="n"/>
      <c r="L143" s="47" t="n"/>
      <c r="M143" s="47" t="n"/>
    </row>
    <row r="144" ht="12.75" customHeight="1" s="202">
      <c r="B144" s="266" t="n"/>
      <c r="C144" s="50">
        <f>IF(B144=0,"",YEAR(B144))</f>
        <v/>
      </c>
      <c r="D144" s="50">
        <f>IF(B144=0,"",MONTH(B144)&amp;"월")</f>
        <v/>
      </c>
      <c r="E144" s="51">
        <f>IF(B144=0,"",DAY(B144)&amp;"일")</f>
        <v/>
      </c>
      <c r="F144" s="260" t="n"/>
      <c r="G144" s="261" t="n"/>
      <c r="H144" s="263" t="n"/>
      <c r="I144" s="264" t="n"/>
      <c r="J144" s="47" t="n"/>
      <c r="K144" s="47" t="n"/>
      <c r="L144" s="47" t="n"/>
      <c r="M144" s="47" t="n"/>
    </row>
    <row r="145" ht="12.75" customHeight="1" s="202">
      <c r="B145" s="266" t="n"/>
      <c r="C145" s="50">
        <f>IF(B145=0,"",YEAR(B145))</f>
        <v/>
      </c>
      <c r="D145" s="50">
        <f>IF(B145=0,"",MONTH(B145)&amp;"월")</f>
        <v/>
      </c>
      <c r="E145" s="51">
        <f>IF(B145=0,"",DAY(B145)&amp;"일")</f>
        <v/>
      </c>
      <c r="F145" s="260" t="n"/>
      <c r="G145" s="261" t="n"/>
      <c r="H145" s="263" t="n"/>
      <c r="I145" s="264" t="n"/>
      <c r="J145" s="47" t="n"/>
      <c r="K145" s="47" t="n"/>
      <c r="L145" s="47" t="n"/>
      <c r="M145" s="47" t="n"/>
    </row>
    <row r="146" ht="12.75" customHeight="1" s="202">
      <c r="B146" s="266" t="n"/>
      <c r="C146" s="50">
        <f>IF(B146=0,"",YEAR(B146))</f>
        <v/>
      </c>
      <c r="D146" s="50">
        <f>IF(B146=0,"",MONTH(B146)&amp;"월")</f>
        <v/>
      </c>
      <c r="E146" s="51">
        <f>IF(B146=0,"",DAY(B146)&amp;"일")</f>
        <v/>
      </c>
      <c r="F146" s="260" t="n"/>
      <c r="G146" s="261" t="n"/>
      <c r="H146" s="263" t="n"/>
      <c r="I146" s="264" t="n"/>
      <c r="J146" s="47" t="n"/>
      <c r="K146" s="47" t="n"/>
      <c r="L146" s="47" t="n"/>
      <c r="M146" s="47" t="n"/>
    </row>
    <row r="147" ht="12.75" customHeight="1" s="202">
      <c r="B147" s="266" t="n"/>
      <c r="C147" s="50">
        <f>IF(B147=0,"",YEAR(B147))</f>
        <v/>
      </c>
      <c r="D147" s="50">
        <f>IF(B147=0,"",MONTH(B147)&amp;"월")</f>
        <v/>
      </c>
      <c r="E147" s="51">
        <f>IF(B147=0,"",DAY(B147)&amp;"일")</f>
        <v/>
      </c>
      <c r="F147" s="260" t="n"/>
      <c r="G147" s="261" t="n"/>
      <c r="H147" s="263" t="n"/>
      <c r="I147" s="264" t="n"/>
      <c r="J147" s="47" t="n"/>
      <c r="K147" s="47" t="n"/>
      <c r="L147" s="47" t="n"/>
      <c r="M147" s="47" t="n"/>
    </row>
    <row r="148" ht="12.75" customHeight="1" s="202">
      <c r="B148" s="266" t="n"/>
      <c r="C148" s="50">
        <f>IF(B148=0,"",YEAR(B148))</f>
        <v/>
      </c>
      <c r="D148" s="50">
        <f>IF(B148=0,"",MONTH(B148)&amp;"월")</f>
        <v/>
      </c>
      <c r="E148" s="51">
        <f>IF(B148=0,"",DAY(B148)&amp;"일")</f>
        <v/>
      </c>
      <c r="F148" s="260" t="n"/>
      <c r="G148" s="261" t="n"/>
      <c r="H148" s="263" t="n"/>
      <c r="I148" s="264" t="n"/>
      <c r="J148" s="47" t="n"/>
      <c r="K148" s="47" t="n"/>
      <c r="L148" s="47" t="n"/>
      <c r="M148" s="47" t="n"/>
    </row>
    <row r="149" ht="12.75" customHeight="1" s="202">
      <c r="B149" s="266" t="n"/>
      <c r="C149" s="50">
        <f>IF(B149=0,"",YEAR(B149))</f>
        <v/>
      </c>
      <c r="D149" s="50">
        <f>IF(B149=0,"",MONTH(B149)&amp;"월")</f>
        <v/>
      </c>
      <c r="E149" s="51">
        <f>IF(B149=0,"",DAY(B149)&amp;"일")</f>
        <v/>
      </c>
      <c r="F149" s="260" t="n"/>
      <c r="G149" s="261" t="n"/>
      <c r="H149" s="263" t="n"/>
      <c r="I149" s="264" t="n"/>
      <c r="J149" s="47" t="n"/>
      <c r="K149" s="47" t="n"/>
      <c r="L149" s="47" t="n"/>
      <c r="M149" s="47" t="n"/>
    </row>
    <row r="150" ht="12.75" customHeight="1" s="202">
      <c r="B150" s="266" t="n"/>
      <c r="C150" s="50">
        <f>IF(B150=0,"",YEAR(B150))</f>
        <v/>
      </c>
      <c r="D150" s="50">
        <f>IF(B150=0,"",MONTH(B150)&amp;"월")</f>
        <v/>
      </c>
      <c r="E150" s="51">
        <f>IF(B150=0,"",DAY(B150)&amp;"일")</f>
        <v/>
      </c>
      <c r="F150" s="260" t="n"/>
      <c r="G150" s="261" t="n"/>
      <c r="H150" s="263" t="n"/>
      <c r="I150" s="264" t="n"/>
      <c r="J150" s="47" t="n"/>
      <c r="K150" s="47" t="n"/>
      <c r="L150" s="47" t="n"/>
      <c r="M150" s="47" t="n"/>
    </row>
    <row r="151" ht="12.75" customHeight="1" s="202">
      <c r="B151" s="266" t="n"/>
      <c r="C151" s="50">
        <f>IF(B151=0,"",YEAR(B151))</f>
        <v/>
      </c>
      <c r="D151" s="50">
        <f>IF(B151=0,"",MONTH(B151)&amp;"월")</f>
        <v/>
      </c>
      <c r="E151" s="51">
        <f>IF(B151=0,"",DAY(B151)&amp;"일")</f>
        <v/>
      </c>
      <c r="F151" s="260" t="n"/>
      <c r="G151" s="261" t="n"/>
      <c r="H151" s="263" t="n"/>
      <c r="I151" s="264" t="n"/>
      <c r="J151" s="47" t="n"/>
      <c r="K151" s="47" t="n"/>
      <c r="L151" s="47" t="n"/>
      <c r="M151" s="47" t="n"/>
    </row>
    <row r="152" ht="12.75" customHeight="1" s="202">
      <c r="B152" s="266" t="n"/>
      <c r="C152" s="50">
        <f>IF(B152=0,"",YEAR(B152))</f>
        <v/>
      </c>
      <c r="D152" s="50">
        <f>IF(B152=0,"",MONTH(B152)&amp;"월")</f>
        <v/>
      </c>
      <c r="E152" s="51">
        <f>IF(B152=0,"",DAY(B152)&amp;"일")</f>
        <v/>
      </c>
      <c r="F152" s="260" t="n"/>
      <c r="G152" s="261" t="n"/>
      <c r="H152" s="263" t="n"/>
      <c r="I152" s="264" t="n"/>
      <c r="J152" s="47" t="n"/>
      <c r="K152" s="47" t="n"/>
      <c r="L152" s="47" t="n"/>
      <c r="M152" s="47" t="n"/>
    </row>
    <row r="153" ht="12.75" customHeight="1" s="202">
      <c r="B153" s="266" t="n"/>
      <c r="C153" s="50">
        <f>IF(B153=0,"",YEAR(B153))</f>
        <v/>
      </c>
      <c r="D153" s="50">
        <f>IF(B153=0,"",MONTH(B153)&amp;"월")</f>
        <v/>
      </c>
      <c r="E153" s="51">
        <f>IF(B153=0,"",DAY(B153)&amp;"일")</f>
        <v/>
      </c>
      <c r="F153" s="260" t="n"/>
      <c r="G153" s="261" t="n"/>
      <c r="H153" s="263" t="n"/>
      <c r="I153" s="264" t="n"/>
      <c r="J153" s="47" t="n"/>
      <c r="K153" s="47" t="n"/>
      <c r="L153" s="47" t="n"/>
      <c r="M153" s="47" t="n"/>
    </row>
    <row r="154" ht="12.75" customHeight="1" s="202">
      <c r="B154" s="266" t="n"/>
      <c r="C154" s="50">
        <f>IF(B154=0,"",YEAR(B154))</f>
        <v/>
      </c>
      <c r="D154" s="50">
        <f>IF(B154=0,"",MONTH(B154)&amp;"월")</f>
        <v/>
      </c>
      <c r="E154" s="51">
        <f>IF(B154=0,"",DAY(B154)&amp;"일")</f>
        <v/>
      </c>
      <c r="F154" s="260" t="n"/>
      <c r="G154" s="261" t="n"/>
      <c r="H154" s="263" t="n"/>
      <c r="I154" s="264" t="n"/>
      <c r="J154" s="47" t="n"/>
      <c r="K154" s="47" t="n"/>
      <c r="L154" s="47" t="n"/>
      <c r="M154" s="47" t="n"/>
    </row>
    <row r="155" ht="12.75" customHeight="1" s="202">
      <c r="B155" s="266" t="n"/>
      <c r="C155" s="50">
        <f>IF(B155=0,"",YEAR(B155))</f>
        <v/>
      </c>
      <c r="D155" s="50">
        <f>IF(B155=0,"",MONTH(B155)&amp;"월")</f>
        <v/>
      </c>
      <c r="E155" s="51">
        <f>IF(B155=0,"",DAY(B155)&amp;"일")</f>
        <v/>
      </c>
      <c r="F155" s="260" t="n"/>
      <c r="G155" s="261" t="n"/>
      <c r="H155" s="263" t="n"/>
      <c r="I155" s="264" t="n"/>
      <c r="J155" s="47" t="n"/>
      <c r="K155" s="47" t="n"/>
      <c r="L155" s="47" t="n"/>
      <c r="M155" s="47" t="n"/>
    </row>
    <row r="156" ht="12.75" customHeight="1" s="202">
      <c r="B156" s="266" t="n"/>
      <c r="C156" s="50">
        <f>IF(B156=0,"",YEAR(B156))</f>
        <v/>
      </c>
      <c r="D156" s="50">
        <f>IF(B156=0,"",MONTH(B156)&amp;"월")</f>
        <v/>
      </c>
      <c r="E156" s="51">
        <f>IF(B156=0,"",DAY(B156)&amp;"일")</f>
        <v/>
      </c>
      <c r="F156" s="260" t="n"/>
      <c r="G156" s="261" t="n"/>
      <c r="H156" s="263" t="n"/>
      <c r="I156" s="264" t="n"/>
      <c r="J156" s="47" t="n"/>
      <c r="K156" s="47" t="n"/>
      <c r="L156" s="47" t="n"/>
      <c r="M156" s="47" t="n"/>
    </row>
    <row r="157" ht="12.75" customHeight="1" s="202">
      <c r="B157" s="266" t="n"/>
      <c r="C157" s="50">
        <f>IF(B157=0,"",YEAR(B157))</f>
        <v/>
      </c>
      <c r="D157" s="50">
        <f>IF(B157=0,"",MONTH(B157)&amp;"월")</f>
        <v/>
      </c>
      <c r="E157" s="51">
        <f>IF(B157=0,"",DAY(B157)&amp;"일")</f>
        <v/>
      </c>
      <c r="F157" s="260" t="n"/>
      <c r="G157" s="261" t="n"/>
      <c r="H157" s="263" t="n"/>
      <c r="I157" s="264" t="n"/>
      <c r="J157" s="47" t="n"/>
      <c r="K157" s="47" t="n"/>
      <c r="L157" s="47" t="n"/>
      <c r="M157" s="47" t="n"/>
    </row>
    <row r="158" ht="12.75" customHeight="1" s="202">
      <c r="B158" s="266" t="n"/>
      <c r="C158" s="50">
        <f>IF(B158=0,"",YEAR(B158))</f>
        <v/>
      </c>
      <c r="D158" s="50">
        <f>IF(B158=0,"",MONTH(B158)&amp;"월")</f>
        <v/>
      </c>
      <c r="E158" s="51">
        <f>IF(B158=0,"",DAY(B158)&amp;"일")</f>
        <v/>
      </c>
      <c r="F158" s="260" t="n"/>
      <c r="G158" s="261" t="n"/>
      <c r="H158" s="263" t="n"/>
      <c r="I158" s="264" t="n"/>
      <c r="J158" s="47" t="n"/>
      <c r="K158" s="47" t="n"/>
      <c r="L158" s="47" t="n"/>
      <c r="M158" s="47" t="n"/>
    </row>
    <row r="159" ht="12.75" customHeight="1" s="202">
      <c r="B159" s="266" t="n"/>
      <c r="C159" s="50">
        <f>IF(B159=0,"",YEAR(B159))</f>
        <v/>
      </c>
      <c r="D159" s="50">
        <f>IF(B159=0,"",MONTH(B159)&amp;"월")</f>
        <v/>
      </c>
      <c r="E159" s="51">
        <f>IF(B159=0,"",DAY(B159)&amp;"일")</f>
        <v/>
      </c>
      <c r="F159" s="260" t="n"/>
      <c r="G159" s="261" t="n"/>
      <c r="H159" s="263" t="n"/>
      <c r="I159" s="264" t="n"/>
      <c r="J159" s="47" t="n"/>
      <c r="K159" s="47" t="n"/>
      <c r="L159" s="47" t="n"/>
      <c r="M159" s="47" t="n"/>
    </row>
    <row r="160" ht="12.75" customHeight="1" s="202">
      <c r="B160" s="266" t="n"/>
      <c r="C160" s="50">
        <f>IF(B160=0,"",YEAR(B160))</f>
        <v/>
      </c>
      <c r="D160" s="50">
        <f>IF(B160=0,"",MONTH(B160)&amp;"월")</f>
        <v/>
      </c>
      <c r="E160" s="51">
        <f>IF(B160=0,"",DAY(B160)&amp;"일")</f>
        <v/>
      </c>
      <c r="F160" s="260" t="n"/>
      <c r="G160" s="261" t="n"/>
      <c r="H160" s="263" t="n"/>
      <c r="I160" s="264" t="n"/>
      <c r="J160" s="47" t="n"/>
      <c r="K160" s="47" t="n"/>
      <c r="L160" s="47" t="n"/>
      <c r="M160" s="47" t="n"/>
    </row>
    <row r="161" ht="12.75" customHeight="1" s="202">
      <c r="B161" s="266" t="n"/>
      <c r="C161" s="50">
        <f>IF(B161=0,"",YEAR(B161))</f>
        <v/>
      </c>
      <c r="D161" s="50">
        <f>IF(B161=0,"",MONTH(B161)&amp;"월")</f>
        <v/>
      </c>
      <c r="E161" s="51">
        <f>IF(B161=0,"",DAY(B161)&amp;"일")</f>
        <v/>
      </c>
      <c r="F161" s="260" t="n"/>
      <c r="G161" s="261" t="n"/>
      <c r="H161" s="263" t="n"/>
      <c r="I161" s="264" t="n"/>
      <c r="J161" s="47" t="n"/>
      <c r="K161" s="47" t="n"/>
      <c r="L161" s="47" t="n"/>
      <c r="M161" s="47" t="n"/>
    </row>
    <row r="162" ht="12.75" customHeight="1" s="202">
      <c r="B162" s="266" t="n"/>
      <c r="C162" s="50">
        <f>IF(B162=0,"",YEAR(B162))</f>
        <v/>
      </c>
      <c r="D162" s="50">
        <f>IF(B162=0,"",MONTH(B162)&amp;"월")</f>
        <v/>
      </c>
      <c r="E162" s="51">
        <f>IF(B162=0,"",DAY(B162)&amp;"일")</f>
        <v/>
      </c>
      <c r="F162" s="260" t="n"/>
      <c r="G162" s="261" t="n"/>
      <c r="H162" s="263" t="n"/>
      <c r="I162" s="264" t="n"/>
      <c r="J162" s="47" t="n"/>
      <c r="K162" s="47" t="n"/>
      <c r="L162" s="47" t="n"/>
      <c r="M162" s="47" t="n"/>
    </row>
    <row r="163" ht="12.75" customHeight="1" s="202">
      <c r="B163" s="266" t="n"/>
      <c r="C163" s="50">
        <f>IF(B163=0,"",YEAR(B163))</f>
        <v/>
      </c>
      <c r="D163" s="50">
        <f>IF(B163=0,"",MONTH(B163)&amp;"월")</f>
        <v/>
      </c>
      <c r="E163" s="51">
        <f>IF(B163=0,"",DAY(B163)&amp;"일")</f>
        <v/>
      </c>
      <c r="F163" s="260" t="n"/>
      <c r="G163" s="261" t="n"/>
      <c r="H163" s="263" t="n"/>
      <c r="I163" s="264" t="n"/>
      <c r="J163" s="47" t="n"/>
      <c r="K163" s="47" t="n"/>
      <c r="L163" s="47" t="n"/>
      <c r="M163" s="47" t="n"/>
    </row>
    <row r="164" ht="12.75" customHeight="1" s="202">
      <c r="B164" s="266" t="n"/>
      <c r="C164" s="50">
        <f>IF(B164=0,"",YEAR(B164))</f>
        <v/>
      </c>
      <c r="D164" s="50">
        <f>IF(B164=0,"",MONTH(B164)&amp;"월")</f>
        <v/>
      </c>
      <c r="E164" s="51">
        <f>IF(B164=0,"",DAY(B164)&amp;"일")</f>
        <v/>
      </c>
      <c r="F164" s="260" t="n"/>
      <c r="G164" s="261" t="n"/>
      <c r="H164" s="263" t="n"/>
      <c r="I164" s="264" t="n"/>
      <c r="J164" s="47" t="n"/>
      <c r="K164" s="47" t="n"/>
      <c r="L164" s="47" t="n"/>
      <c r="M164" s="47" t="n"/>
    </row>
    <row r="165" ht="12.75" customHeight="1" s="202">
      <c r="B165" s="266" t="n"/>
      <c r="C165" s="50">
        <f>IF(B165=0,"",YEAR(B165))</f>
        <v/>
      </c>
      <c r="D165" s="50">
        <f>IF(B165=0,"",MONTH(B165)&amp;"월")</f>
        <v/>
      </c>
      <c r="E165" s="51">
        <f>IF(B165=0,"",DAY(B165)&amp;"일")</f>
        <v/>
      </c>
      <c r="F165" s="260" t="n"/>
      <c r="G165" s="261" t="n"/>
      <c r="H165" s="263" t="n"/>
      <c r="I165" s="264" t="n"/>
      <c r="J165" s="47" t="n"/>
      <c r="K165" s="47" t="n"/>
      <c r="L165" s="47" t="n"/>
      <c r="M165" s="47" t="n"/>
    </row>
    <row r="166" ht="12.75" customHeight="1" s="202">
      <c r="B166" s="266" t="n"/>
      <c r="C166" s="50">
        <f>IF(B166=0,"",YEAR(B166))</f>
        <v/>
      </c>
      <c r="D166" s="50">
        <f>IF(B166=0,"",MONTH(B166)&amp;"월")</f>
        <v/>
      </c>
      <c r="E166" s="51">
        <f>IF(B166=0,"",DAY(B166)&amp;"일")</f>
        <v/>
      </c>
      <c r="F166" s="260" t="n"/>
      <c r="G166" s="261" t="n"/>
      <c r="H166" s="263" t="n"/>
      <c r="I166" s="264" t="n"/>
      <c r="J166" s="47" t="n"/>
      <c r="K166" s="47" t="n"/>
      <c r="L166" s="47" t="n"/>
      <c r="M166" s="47" t="n"/>
    </row>
    <row r="167" ht="12.75" customHeight="1" s="202">
      <c r="B167" s="266" t="n"/>
      <c r="C167" s="50">
        <f>IF(B167=0,"",YEAR(B167))</f>
        <v/>
      </c>
      <c r="D167" s="50">
        <f>IF(B167=0,"",MONTH(B167)&amp;"월")</f>
        <v/>
      </c>
      <c r="E167" s="51">
        <f>IF(B167=0,"",DAY(B167)&amp;"일")</f>
        <v/>
      </c>
      <c r="F167" s="260" t="n"/>
      <c r="G167" s="261" t="n"/>
      <c r="H167" s="263" t="n"/>
      <c r="I167" s="264" t="n"/>
      <c r="J167" s="47" t="n"/>
      <c r="K167" s="47" t="n"/>
      <c r="L167" s="47" t="n"/>
      <c r="M167" s="47" t="n"/>
    </row>
    <row r="168" ht="12.75" customHeight="1" s="202">
      <c r="B168" s="266" t="n"/>
      <c r="C168" s="50">
        <f>IF(B168=0,"",YEAR(B168))</f>
        <v/>
      </c>
      <c r="D168" s="50">
        <f>IF(B168=0,"",MONTH(B168)&amp;"월")</f>
        <v/>
      </c>
      <c r="E168" s="51">
        <f>IF(B168=0,"",DAY(B168)&amp;"일")</f>
        <v/>
      </c>
      <c r="F168" s="260" t="n"/>
      <c r="G168" s="261" t="n"/>
      <c r="H168" s="263" t="n"/>
      <c r="I168" s="264" t="n"/>
      <c r="J168" s="47" t="n"/>
      <c r="K168" s="47" t="n"/>
      <c r="L168" s="47" t="n"/>
      <c r="M168" s="47" t="n"/>
    </row>
    <row r="169" ht="12.75" customHeight="1" s="202">
      <c r="B169" s="266" t="n"/>
      <c r="C169" s="50">
        <f>IF(B169=0,"",YEAR(B169))</f>
        <v/>
      </c>
      <c r="D169" s="50">
        <f>IF(B169=0,"",MONTH(B169)&amp;"월")</f>
        <v/>
      </c>
      <c r="E169" s="51">
        <f>IF(B169=0,"",DAY(B169)&amp;"일")</f>
        <v/>
      </c>
      <c r="F169" s="260" t="n"/>
      <c r="G169" s="261" t="n"/>
      <c r="H169" s="263" t="n"/>
      <c r="I169" s="264" t="n"/>
      <c r="J169" s="47" t="n"/>
      <c r="K169" s="47" t="n"/>
      <c r="L169" s="47" t="n"/>
      <c r="M169" s="47" t="n"/>
    </row>
    <row r="170" ht="12.75" customHeight="1" s="202">
      <c r="B170" s="266" t="n"/>
      <c r="C170" s="50">
        <f>IF(B170=0,"",YEAR(B170))</f>
        <v/>
      </c>
      <c r="D170" s="50">
        <f>IF(B170=0,"",MONTH(B170)&amp;"월")</f>
        <v/>
      </c>
      <c r="E170" s="51">
        <f>IF(B170=0,"",DAY(B170)&amp;"일")</f>
        <v/>
      </c>
      <c r="F170" s="260" t="n"/>
      <c r="G170" s="261" t="n"/>
      <c r="H170" s="263" t="n"/>
      <c r="I170" s="264" t="n"/>
      <c r="J170" s="47" t="n"/>
      <c r="K170" s="47" t="n"/>
      <c r="L170" s="47" t="n"/>
      <c r="M170" s="47" t="n"/>
    </row>
    <row r="171" ht="12.75" customHeight="1" s="202">
      <c r="B171" s="266" t="n"/>
      <c r="C171" s="50">
        <f>IF(B171=0,"",YEAR(B171))</f>
        <v/>
      </c>
      <c r="D171" s="50">
        <f>IF(B171=0,"",MONTH(B171)&amp;"월")</f>
        <v/>
      </c>
      <c r="E171" s="51">
        <f>IF(B171=0,"",DAY(B171)&amp;"일")</f>
        <v/>
      </c>
      <c r="F171" s="260" t="n"/>
      <c r="G171" s="261" t="n"/>
      <c r="H171" s="263" t="n"/>
      <c r="I171" s="264" t="n"/>
      <c r="J171" s="47" t="n"/>
      <c r="K171" s="47" t="n"/>
      <c r="L171" s="47" t="n"/>
      <c r="M171" s="47" t="n"/>
    </row>
    <row r="172" ht="12.75" customHeight="1" s="202">
      <c r="B172" s="266" t="n"/>
      <c r="C172" s="50">
        <f>IF(B172=0,"",YEAR(B172))</f>
        <v/>
      </c>
      <c r="D172" s="50">
        <f>IF(B172=0,"",MONTH(B172)&amp;"월")</f>
        <v/>
      </c>
      <c r="E172" s="51">
        <f>IF(B172=0,"",DAY(B172)&amp;"일")</f>
        <v/>
      </c>
      <c r="F172" s="260" t="n"/>
      <c r="G172" s="261" t="n"/>
      <c r="H172" s="263" t="n"/>
      <c r="I172" s="264" t="n"/>
      <c r="J172" s="47" t="n"/>
      <c r="K172" s="47" t="n"/>
      <c r="L172" s="47" t="n"/>
      <c r="M172" s="47" t="n"/>
    </row>
    <row r="173" ht="12.75" customHeight="1" s="202">
      <c r="B173" s="266" t="n"/>
      <c r="C173" s="50">
        <f>IF(B173=0,"",YEAR(B173))</f>
        <v/>
      </c>
      <c r="D173" s="50">
        <f>IF(B173=0,"",MONTH(B173)&amp;"월")</f>
        <v/>
      </c>
      <c r="E173" s="51">
        <f>IF(B173=0,"",DAY(B173)&amp;"일")</f>
        <v/>
      </c>
      <c r="F173" s="260" t="n"/>
      <c r="G173" s="261" t="n"/>
      <c r="H173" s="263" t="n"/>
      <c r="I173" s="264" t="n"/>
      <c r="J173" s="47" t="n"/>
      <c r="K173" s="47" t="n"/>
      <c r="L173" s="47" t="n"/>
      <c r="M173" s="47" t="n"/>
    </row>
    <row r="174" ht="12.75" customHeight="1" s="202">
      <c r="B174" s="266" t="n"/>
      <c r="C174" s="50">
        <f>IF(B174=0,"",YEAR(B174))</f>
        <v/>
      </c>
      <c r="D174" s="50">
        <f>IF(B174=0,"",MONTH(B174)&amp;"월")</f>
        <v/>
      </c>
      <c r="E174" s="51">
        <f>IF(B174=0,"",DAY(B174)&amp;"일")</f>
        <v/>
      </c>
      <c r="F174" s="260" t="n"/>
      <c r="G174" s="261" t="n"/>
      <c r="H174" s="263" t="n"/>
      <c r="I174" s="264" t="n"/>
      <c r="J174" s="47" t="n"/>
      <c r="K174" s="47" t="n"/>
      <c r="L174" s="47" t="n"/>
      <c r="M174" s="47" t="n"/>
    </row>
    <row r="175" ht="12.75" customHeight="1" s="202">
      <c r="B175" s="266" t="n"/>
      <c r="C175" s="50">
        <f>IF(B175=0,"",YEAR(B175))</f>
        <v/>
      </c>
      <c r="D175" s="50">
        <f>IF(B175=0,"",MONTH(B175)&amp;"월")</f>
        <v/>
      </c>
      <c r="E175" s="51">
        <f>IF(B175=0,"",DAY(B175)&amp;"일")</f>
        <v/>
      </c>
      <c r="F175" s="260" t="n"/>
      <c r="G175" s="261" t="n"/>
      <c r="H175" s="263" t="n"/>
      <c r="I175" s="264" t="n"/>
      <c r="J175" s="47" t="n"/>
      <c r="K175" s="47" t="n"/>
      <c r="L175" s="47" t="n"/>
      <c r="M175" s="47" t="n"/>
    </row>
    <row r="176" ht="12.75" customHeight="1" s="202">
      <c r="B176" s="266" t="n"/>
      <c r="C176" s="50">
        <f>IF(B176=0,"",YEAR(B176))</f>
        <v/>
      </c>
      <c r="D176" s="50">
        <f>IF(B176=0,"",MONTH(B176)&amp;"월")</f>
        <v/>
      </c>
      <c r="E176" s="51">
        <f>IF(B176=0,"",DAY(B176)&amp;"일")</f>
        <v/>
      </c>
      <c r="F176" s="260" t="n"/>
      <c r="G176" s="261" t="n"/>
      <c r="H176" s="263" t="n"/>
      <c r="I176" s="264" t="n"/>
      <c r="J176" s="47" t="n"/>
      <c r="K176" s="47" t="n"/>
      <c r="L176" s="47" t="n"/>
      <c r="M176" s="47" t="n"/>
    </row>
    <row r="177" ht="12.75" customHeight="1" s="202">
      <c r="B177" s="266" t="n"/>
      <c r="C177" s="50">
        <f>IF(B177=0,"",YEAR(B177))</f>
        <v/>
      </c>
      <c r="D177" s="50">
        <f>IF(B177=0,"",MONTH(B177)&amp;"월")</f>
        <v/>
      </c>
      <c r="E177" s="51">
        <f>IF(B177=0,"",DAY(B177)&amp;"일")</f>
        <v/>
      </c>
      <c r="F177" s="260" t="n"/>
      <c r="G177" s="261" t="n"/>
      <c r="H177" s="263" t="n"/>
      <c r="I177" s="264" t="n"/>
      <c r="J177" s="47" t="n"/>
      <c r="K177" s="47" t="n"/>
      <c r="L177" s="47" t="n"/>
      <c r="M177" s="47" t="n"/>
    </row>
    <row r="178" ht="12.75" customHeight="1" s="202">
      <c r="B178" s="266" t="n"/>
      <c r="C178" s="50">
        <f>IF(B178=0,"",YEAR(B178))</f>
        <v/>
      </c>
      <c r="D178" s="50">
        <f>IF(B178=0,"",MONTH(B178)&amp;"월")</f>
        <v/>
      </c>
      <c r="E178" s="51">
        <f>IF(B178=0,"",DAY(B178)&amp;"일")</f>
        <v/>
      </c>
      <c r="F178" s="260" t="n"/>
      <c r="G178" s="261" t="n"/>
      <c r="H178" s="263" t="n"/>
      <c r="I178" s="264" t="n"/>
      <c r="J178" s="47" t="n"/>
      <c r="K178" s="47" t="n"/>
      <c r="L178" s="47" t="n"/>
      <c r="M178" s="47" t="n"/>
    </row>
    <row r="179" ht="12.75" customHeight="1" s="202">
      <c r="B179" s="266" t="n"/>
      <c r="C179" s="50">
        <f>IF(B179=0,"",YEAR(B179))</f>
        <v/>
      </c>
      <c r="D179" s="50">
        <f>IF(B179=0,"",MONTH(B179)&amp;"월")</f>
        <v/>
      </c>
      <c r="E179" s="51">
        <f>IF(B179=0,"",DAY(B179)&amp;"일")</f>
        <v/>
      </c>
      <c r="F179" s="260" t="n"/>
      <c r="G179" s="261" t="n"/>
      <c r="H179" s="263" t="n"/>
      <c r="I179" s="264" t="n"/>
      <c r="J179" s="47" t="n"/>
      <c r="K179" s="47" t="n"/>
      <c r="L179" s="47" t="n"/>
      <c r="M179" s="47" t="n"/>
    </row>
    <row r="180" ht="12.75" customHeight="1" s="202">
      <c r="B180" s="266" t="n"/>
      <c r="C180" s="50">
        <f>IF(B180=0,"",YEAR(B180))</f>
        <v/>
      </c>
      <c r="D180" s="50">
        <f>IF(B180=0,"",MONTH(B180)&amp;"월")</f>
        <v/>
      </c>
      <c r="E180" s="51">
        <f>IF(B180=0,"",DAY(B180)&amp;"일")</f>
        <v/>
      </c>
      <c r="F180" s="260" t="n"/>
      <c r="G180" s="261" t="n"/>
      <c r="H180" s="263" t="n"/>
      <c r="I180" s="264" t="n"/>
      <c r="J180" s="47" t="n"/>
      <c r="K180" s="47" t="n"/>
      <c r="L180" s="47" t="n"/>
      <c r="M180" s="47" t="n"/>
    </row>
    <row r="181" ht="12.75" customHeight="1" s="202">
      <c r="B181" s="266" t="n"/>
      <c r="C181" s="50">
        <f>IF(B181=0,"",YEAR(B181))</f>
        <v/>
      </c>
      <c r="D181" s="50">
        <f>IF(B181=0,"",MONTH(B181)&amp;"월")</f>
        <v/>
      </c>
      <c r="E181" s="51">
        <f>IF(B181=0,"",DAY(B181)&amp;"일")</f>
        <v/>
      </c>
      <c r="F181" s="260" t="n"/>
      <c r="G181" s="261" t="n"/>
      <c r="H181" s="263" t="n"/>
      <c r="I181" s="264" t="n"/>
      <c r="J181" s="47" t="n"/>
      <c r="K181" s="47" t="n"/>
      <c r="L181" s="47" t="n"/>
      <c r="M181" s="47" t="n"/>
    </row>
    <row r="182" ht="12.75" customHeight="1" s="202">
      <c r="B182" s="266" t="n"/>
      <c r="C182" s="50">
        <f>IF(B182=0,"",YEAR(B182))</f>
        <v/>
      </c>
      <c r="D182" s="50">
        <f>IF(B182=0,"",MONTH(B182)&amp;"월")</f>
        <v/>
      </c>
      <c r="E182" s="51">
        <f>IF(B182=0,"",DAY(B182)&amp;"일")</f>
        <v/>
      </c>
      <c r="F182" s="260" t="n"/>
      <c r="G182" s="261" t="n"/>
      <c r="H182" s="263" t="n"/>
      <c r="I182" s="264" t="n"/>
      <c r="J182" s="47" t="n"/>
      <c r="K182" s="47" t="n"/>
      <c r="L182" s="47" t="n"/>
      <c r="M182" s="47" t="n"/>
    </row>
    <row r="183" ht="12.75" customHeight="1" s="202">
      <c r="B183" s="266" t="n"/>
      <c r="C183" s="50">
        <f>IF(B183=0,"",YEAR(B183))</f>
        <v/>
      </c>
      <c r="D183" s="50">
        <f>IF(B183=0,"",MONTH(B183)&amp;"월")</f>
        <v/>
      </c>
      <c r="E183" s="51">
        <f>IF(B183=0,"",DAY(B183)&amp;"일")</f>
        <v/>
      </c>
      <c r="F183" s="260" t="n"/>
      <c r="G183" s="261" t="n"/>
      <c r="H183" s="263" t="n"/>
      <c r="I183" s="264" t="n"/>
      <c r="J183" s="47" t="n"/>
      <c r="K183" s="47" t="n"/>
      <c r="L183" s="47" t="n"/>
      <c r="M183" s="47" t="n"/>
    </row>
    <row r="184" ht="12.75" customHeight="1" s="202">
      <c r="B184" s="266" t="n"/>
      <c r="C184" s="50">
        <f>IF(B184=0,"",YEAR(B184))</f>
        <v/>
      </c>
      <c r="D184" s="50">
        <f>IF(B184=0,"",MONTH(B184)&amp;"월")</f>
        <v/>
      </c>
      <c r="E184" s="51">
        <f>IF(B184=0,"",DAY(B184)&amp;"일")</f>
        <v/>
      </c>
      <c r="F184" s="260" t="n"/>
      <c r="G184" s="261" t="n"/>
      <c r="H184" s="263" t="n"/>
      <c r="I184" s="264" t="n"/>
      <c r="J184" s="47" t="n"/>
      <c r="K184" s="47" t="n"/>
      <c r="L184" s="47" t="n"/>
      <c r="M184" s="47" t="n"/>
    </row>
    <row r="185" ht="12.75" customHeight="1" s="202">
      <c r="B185" s="266" t="n"/>
      <c r="C185" s="50">
        <f>IF(B185=0,"",YEAR(B185))</f>
        <v/>
      </c>
      <c r="D185" s="50">
        <f>IF(B185=0,"",MONTH(B185)&amp;"월")</f>
        <v/>
      </c>
      <c r="E185" s="51">
        <f>IF(B185=0,"",DAY(B185)&amp;"일")</f>
        <v/>
      </c>
      <c r="F185" s="260" t="n"/>
      <c r="G185" s="261" t="n"/>
      <c r="H185" s="263" t="n"/>
      <c r="I185" s="264" t="n"/>
      <c r="J185" s="47" t="n"/>
      <c r="K185" s="47" t="n"/>
      <c r="L185" s="47" t="n"/>
      <c r="M185" s="47" t="n"/>
    </row>
    <row r="186" ht="12.75" customHeight="1" s="202">
      <c r="B186" s="266" t="n"/>
      <c r="C186" s="50">
        <f>IF(B186=0,"",YEAR(B186))</f>
        <v/>
      </c>
      <c r="D186" s="50">
        <f>IF(B186=0,"",MONTH(B186)&amp;"월")</f>
        <v/>
      </c>
      <c r="E186" s="51">
        <f>IF(B186=0,"",DAY(B186)&amp;"일")</f>
        <v/>
      </c>
      <c r="F186" s="260" t="n"/>
      <c r="G186" s="261" t="n"/>
      <c r="H186" s="263" t="n"/>
      <c r="I186" s="264" t="n"/>
      <c r="J186" s="47" t="n"/>
      <c r="K186" s="47" t="n"/>
      <c r="L186" s="47" t="n"/>
      <c r="M186" s="47" t="n"/>
    </row>
    <row r="187" ht="12.75" customHeight="1" s="202">
      <c r="B187" s="266" t="n"/>
      <c r="C187" s="50">
        <f>IF(B187=0,"",YEAR(B187))</f>
        <v/>
      </c>
      <c r="D187" s="50">
        <f>IF(B187=0,"",MONTH(B187)&amp;"월")</f>
        <v/>
      </c>
      <c r="E187" s="51">
        <f>IF(B187=0,"",DAY(B187)&amp;"일")</f>
        <v/>
      </c>
      <c r="F187" s="260" t="n"/>
      <c r="G187" s="261" t="n"/>
      <c r="H187" s="263" t="n"/>
      <c r="I187" s="264" t="n"/>
      <c r="J187" s="47" t="n"/>
      <c r="K187" s="47" t="n"/>
      <c r="L187" s="47" t="n"/>
      <c r="M187" s="47" t="n"/>
    </row>
    <row r="188" ht="12.75" customHeight="1" s="202">
      <c r="B188" s="266" t="n"/>
      <c r="C188" s="50">
        <f>IF(B188=0,"",YEAR(B188))</f>
        <v/>
      </c>
      <c r="D188" s="50">
        <f>IF(B188=0,"",MONTH(B188)&amp;"월")</f>
        <v/>
      </c>
      <c r="E188" s="51">
        <f>IF(B188=0,"",DAY(B188)&amp;"일")</f>
        <v/>
      </c>
      <c r="F188" s="260" t="n"/>
      <c r="G188" s="261" t="n"/>
      <c r="H188" s="263" t="n"/>
      <c r="I188" s="264" t="n"/>
      <c r="J188" s="47" t="n"/>
      <c r="K188" s="47" t="n"/>
      <c r="L188" s="47" t="n"/>
      <c r="M188" s="47" t="n"/>
    </row>
    <row r="189" ht="12.75" customHeight="1" s="202">
      <c r="B189" s="266" t="n"/>
      <c r="C189" s="50">
        <f>IF(B189=0,"",YEAR(B189))</f>
        <v/>
      </c>
      <c r="D189" s="50">
        <f>IF(B189=0,"",MONTH(B189)&amp;"월")</f>
        <v/>
      </c>
      <c r="E189" s="51">
        <f>IF(B189=0,"",DAY(B189)&amp;"일")</f>
        <v/>
      </c>
      <c r="F189" s="260" t="n"/>
      <c r="G189" s="261" t="n"/>
      <c r="H189" s="263" t="n"/>
      <c r="I189" s="264" t="n"/>
      <c r="J189" s="47" t="n"/>
      <c r="K189" s="47" t="n"/>
      <c r="L189" s="47" t="n"/>
      <c r="M189" s="47" t="n"/>
    </row>
    <row r="190" ht="12.75" customHeight="1" s="202">
      <c r="B190" s="266" t="n"/>
      <c r="C190" s="50">
        <f>IF(B190=0,"",YEAR(B190))</f>
        <v/>
      </c>
      <c r="D190" s="50">
        <f>IF(B190=0,"",MONTH(B190)&amp;"월")</f>
        <v/>
      </c>
      <c r="E190" s="51">
        <f>IF(B190=0,"",DAY(B190)&amp;"일")</f>
        <v/>
      </c>
      <c r="F190" s="260" t="n"/>
      <c r="G190" s="261" t="n"/>
      <c r="H190" s="263" t="n"/>
      <c r="I190" s="264" t="n"/>
      <c r="J190" s="47" t="n"/>
      <c r="K190" s="47" t="n"/>
      <c r="L190" s="47" t="n"/>
      <c r="M190" s="47" t="n"/>
    </row>
    <row r="191" ht="12.75" customHeight="1" s="202">
      <c r="B191" s="266" t="n"/>
      <c r="C191" s="50">
        <f>IF(B191=0,"",YEAR(B191))</f>
        <v/>
      </c>
      <c r="D191" s="50">
        <f>IF(B191=0,"",MONTH(B191)&amp;"월")</f>
        <v/>
      </c>
      <c r="E191" s="51">
        <f>IF(B191=0,"",DAY(B191)&amp;"일")</f>
        <v/>
      </c>
      <c r="F191" s="260" t="n"/>
      <c r="G191" s="261" t="n"/>
      <c r="H191" s="263" t="n"/>
      <c r="I191" s="264" t="n"/>
      <c r="J191" s="47" t="n"/>
      <c r="K191" s="47" t="n"/>
      <c r="L191" s="47" t="n"/>
      <c r="M191" s="47" t="n"/>
    </row>
    <row r="192" ht="12.75" customHeight="1" s="202">
      <c r="B192" s="266" t="n"/>
      <c r="C192" s="50">
        <f>IF(B192=0,"",YEAR(B192))</f>
        <v/>
      </c>
      <c r="D192" s="50">
        <f>IF(B192=0,"",MONTH(B192)&amp;"월")</f>
        <v/>
      </c>
      <c r="E192" s="51">
        <f>IF(B192=0,"",DAY(B192)&amp;"일")</f>
        <v/>
      </c>
      <c r="F192" s="260" t="n"/>
      <c r="G192" s="261" t="n"/>
      <c r="H192" s="263" t="n"/>
      <c r="I192" s="264" t="n"/>
      <c r="J192" s="47" t="n"/>
      <c r="K192" s="47" t="n"/>
      <c r="L192" s="47" t="n"/>
      <c r="M192" s="47" t="n"/>
    </row>
    <row r="193" ht="12.75" customHeight="1" s="202">
      <c r="B193" s="266" t="n"/>
      <c r="C193" s="50">
        <f>IF(B193=0,"",YEAR(B193))</f>
        <v/>
      </c>
      <c r="D193" s="50">
        <f>IF(B193=0,"",MONTH(B193)&amp;"월")</f>
        <v/>
      </c>
      <c r="E193" s="51">
        <f>IF(B193=0,"",DAY(B193)&amp;"일")</f>
        <v/>
      </c>
      <c r="F193" s="260" t="n"/>
      <c r="G193" s="261" t="n"/>
      <c r="H193" s="263" t="n"/>
      <c r="I193" s="264" t="n"/>
      <c r="J193" s="47" t="n"/>
      <c r="K193" s="47" t="n"/>
      <c r="L193" s="47" t="n"/>
      <c r="M193" s="47" t="n"/>
    </row>
    <row r="194" ht="12.75" customHeight="1" s="202">
      <c r="B194" s="266" t="n"/>
      <c r="C194" s="50">
        <f>IF(B194=0,"",YEAR(B194))</f>
        <v/>
      </c>
      <c r="D194" s="50">
        <f>IF(B194=0,"",MONTH(B194)&amp;"월")</f>
        <v/>
      </c>
      <c r="E194" s="51">
        <f>IF(B194=0,"",DAY(B194)&amp;"일")</f>
        <v/>
      </c>
      <c r="F194" s="260" t="n"/>
      <c r="G194" s="261" t="n"/>
      <c r="H194" s="263" t="n"/>
      <c r="I194" s="264" t="n"/>
      <c r="J194" s="47" t="n"/>
      <c r="K194" s="47" t="n"/>
      <c r="L194" s="47" t="n"/>
      <c r="M194" s="47" t="n"/>
    </row>
    <row r="195" ht="12.75" customHeight="1" s="202">
      <c r="B195" s="266" t="n"/>
      <c r="C195" s="50">
        <f>IF(B195=0,"",YEAR(B195))</f>
        <v/>
      </c>
      <c r="D195" s="50">
        <f>IF(B195=0,"",MONTH(B195)&amp;"월")</f>
        <v/>
      </c>
      <c r="E195" s="51">
        <f>IF(B195=0,"",DAY(B195)&amp;"일")</f>
        <v/>
      </c>
      <c r="F195" s="260" t="n"/>
      <c r="G195" s="261" t="n"/>
      <c r="H195" s="263" t="n"/>
      <c r="I195" s="264" t="n"/>
      <c r="J195" s="47" t="n"/>
      <c r="K195" s="47" t="n"/>
      <c r="L195" s="47" t="n"/>
      <c r="M195" s="47" t="n"/>
    </row>
    <row r="196" ht="12.75" customHeight="1" s="202">
      <c r="B196" s="266" t="n"/>
      <c r="C196" s="50">
        <f>IF(B196=0,"",YEAR(B196))</f>
        <v/>
      </c>
      <c r="D196" s="50">
        <f>IF(B196=0,"",MONTH(B196)&amp;"월")</f>
        <v/>
      </c>
      <c r="E196" s="51">
        <f>IF(B196=0,"",DAY(B196)&amp;"일")</f>
        <v/>
      </c>
      <c r="F196" s="260" t="n"/>
      <c r="G196" s="261" t="n"/>
      <c r="H196" s="263" t="n"/>
      <c r="I196" s="264" t="n"/>
      <c r="J196" s="47" t="n"/>
      <c r="K196" s="47" t="n"/>
      <c r="L196" s="47" t="n"/>
      <c r="M196" s="47" t="n"/>
    </row>
    <row r="197" ht="12.75" customHeight="1" s="202">
      <c r="B197" s="266" t="n"/>
      <c r="C197" s="50">
        <f>IF(B197=0,"",YEAR(B197))</f>
        <v/>
      </c>
      <c r="D197" s="50">
        <f>IF(B197=0,"",MONTH(B197)&amp;"월")</f>
        <v/>
      </c>
      <c r="E197" s="51">
        <f>IF(B197=0,"",DAY(B197)&amp;"일")</f>
        <v/>
      </c>
      <c r="F197" s="260" t="n"/>
      <c r="G197" s="261" t="n"/>
      <c r="H197" s="263" t="n"/>
      <c r="I197" s="264" t="n"/>
      <c r="J197" s="47" t="n"/>
      <c r="K197" s="47" t="n"/>
      <c r="L197" s="47" t="n"/>
      <c r="M197" s="47" t="n"/>
    </row>
    <row r="198" ht="12.75" customHeight="1" s="202">
      <c r="B198" s="266" t="n"/>
      <c r="C198" s="50">
        <f>IF(B198=0,"",YEAR(B198))</f>
        <v/>
      </c>
      <c r="D198" s="50">
        <f>IF(B198=0,"",MONTH(B198)&amp;"월")</f>
        <v/>
      </c>
      <c r="E198" s="51">
        <f>IF(B198=0,"",DAY(B198)&amp;"일")</f>
        <v/>
      </c>
      <c r="F198" s="260" t="n"/>
      <c r="G198" s="261" t="n"/>
      <c r="H198" s="263" t="n"/>
      <c r="I198" s="264" t="n"/>
      <c r="J198" s="47" t="n"/>
      <c r="K198" s="47" t="n"/>
      <c r="L198" s="47" t="n"/>
      <c r="M198" s="47" t="n"/>
    </row>
    <row r="199" ht="12.75" customHeight="1" s="202">
      <c r="B199" s="266" t="n"/>
      <c r="C199" s="50">
        <f>IF(B199=0,"",YEAR(B199))</f>
        <v/>
      </c>
      <c r="D199" s="50">
        <f>IF(B199=0,"",MONTH(B199)&amp;"월")</f>
        <v/>
      </c>
      <c r="E199" s="51">
        <f>IF(B199=0,"",DAY(B199)&amp;"일")</f>
        <v/>
      </c>
      <c r="F199" s="260" t="n"/>
      <c r="G199" s="261" t="n"/>
      <c r="H199" s="263" t="n"/>
      <c r="I199" s="264" t="n"/>
      <c r="J199" s="47" t="n"/>
      <c r="K199" s="47" t="n"/>
      <c r="L199" s="47" t="n"/>
      <c r="M199" s="47" t="n"/>
    </row>
    <row r="200" ht="12.75" customHeight="1" s="202">
      <c r="B200" s="266" t="n"/>
      <c r="C200" s="50">
        <f>IF(B200=0,"",YEAR(B200))</f>
        <v/>
      </c>
      <c r="D200" s="50">
        <f>IF(B200=0,"",MONTH(B200)&amp;"월")</f>
        <v/>
      </c>
      <c r="E200" s="51">
        <f>IF(B200=0,"",DAY(B200)&amp;"일")</f>
        <v/>
      </c>
      <c r="F200" s="260" t="n"/>
      <c r="G200" s="261" t="n"/>
      <c r="H200" s="263" t="n"/>
      <c r="I200" s="264" t="n"/>
      <c r="J200" s="47" t="n"/>
      <c r="K200" s="47" t="n"/>
      <c r="L200" s="47" t="n"/>
      <c r="M200" s="47" t="n"/>
    </row>
    <row r="201" ht="12.75" customHeight="1" s="202">
      <c r="B201" s="266" t="n"/>
      <c r="C201" s="50">
        <f>IF(B201=0,"",YEAR(B201))</f>
        <v/>
      </c>
      <c r="D201" s="50">
        <f>IF(B201=0,"",MONTH(B201)&amp;"월")</f>
        <v/>
      </c>
      <c r="E201" s="51">
        <f>IF(B201=0,"",DAY(B201)&amp;"일")</f>
        <v/>
      </c>
      <c r="F201" s="260" t="n"/>
      <c r="G201" s="261" t="n"/>
      <c r="H201" s="263" t="n"/>
      <c r="I201" s="264" t="n"/>
      <c r="J201" s="47" t="n"/>
      <c r="K201" s="47" t="n"/>
      <c r="L201" s="47" t="n"/>
      <c r="M201" s="47" t="n"/>
    </row>
    <row r="202" ht="12.75" customHeight="1" s="202">
      <c r="B202" s="266" t="n"/>
      <c r="C202" s="50">
        <f>IF(B202=0,"",YEAR(B202))</f>
        <v/>
      </c>
      <c r="D202" s="50">
        <f>IF(B202=0,"",MONTH(B202)&amp;"월")</f>
        <v/>
      </c>
      <c r="E202" s="51">
        <f>IF(B202=0,"",DAY(B202)&amp;"일")</f>
        <v/>
      </c>
      <c r="F202" s="260" t="n"/>
      <c r="G202" s="261" t="n"/>
      <c r="H202" s="263" t="n"/>
      <c r="I202" s="264" t="n"/>
      <c r="J202" s="47" t="n"/>
      <c r="K202" s="47" t="n"/>
      <c r="L202" s="47" t="n"/>
      <c r="M202" s="47" t="n"/>
    </row>
    <row r="203" ht="12.75" customHeight="1" s="202">
      <c r="B203" s="266" t="n"/>
      <c r="C203" s="50">
        <f>IF(B203=0,"",YEAR(B203))</f>
        <v/>
      </c>
      <c r="D203" s="50">
        <f>IF(B203=0,"",MONTH(B203)&amp;"월")</f>
        <v/>
      </c>
      <c r="E203" s="51">
        <f>IF(B203=0,"",DAY(B203)&amp;"일")</f>
        <v/>
      </c>
      <c r="F203" s="260" t="n"/>
      <c r="G203" s="261" t="n"/>
      <c r="H203" s="263" t="n"/>
      <c r="I203" s="264" t="n"/>
      <c r="J203" s="47" t="n"/>
      <c r="K203" s="47" t="n"/>
      <c r="L203" s="47" t="n"/>
      <c r="M203" s="47" t="n"/>
    </row>
    <row r="204" ht="12.75" customHeight="1" s="202">
      <c r="B204" s="266" t="n"/>
      <c r="C204" s="50">
        <f>IF(B204=0,"",YEAR(B204))</f>
        <v/>
      </c>
      <c r="D204" s="50">
        <f>IF(B204=0,"",MONTH(B204)&amp;"월")</f>
        <v/>
      </c>
      <c r="E204" s="51">
        <f>IF(B204=0,"",DAY(B204)&amp;"일")</f>
        <v/>
      </c>
      <c r="F204" s="260" t="n"/>
      <c r="G204" s="261" t="n"/>
      <c r="H204" s="263" t="n"/>
      <c r="I204" s="264" t="n"/>
      <c r="J204" s="47" t="n"/>
      <c r="K204" s="47" t="n"/>
      <c r="L204" s="47" t="n"/>
      <c r="M204" s="47" t="n"/>
    </row>
    <row r="205" ht="12.75" customHeight="1" s="202">
      <c r="B205" s="266" t="n"/>
      <c r="C205" s="50">
        <f>IF(B205=0,"",YEAR(B205))</f>
        <v/>
      </c>
      <c r="D205" s="50">
        <f>IF(B205=0,"",MONTH(B205)&amp;"월")</f>
        <v/>
      </c>
      <c r="E205" s="51">
        <f>IF(B205=0,"",DAY(B205)&amp;"일")</f>
        <v/>
      </c>
      <c r="F205" s="260" t="n"/>
      <c r="G205" s="261" t="n"/>
      <c r="H205" s="263" t="n"/>
      <c r="I205" s="264" t="n"/>
      <c r="J205" s="47" t="n"/>
      <c r="K205" s="47" t="n"/>
      <c r="L205" s="47" t="n"/>
      <c r="M205" s="47" t="n"/>
    </row>
    <row r="206" ht="12.75" customHeight="1" s="202">
      <c r="B206" s="266" t="n"/>
      <c r="C206" s="50">
        <f>IF(B206=0,"",YEAR(B206))</f>
        <v/>
      </c>
      <c r="D206" s="50">
        <f>IF(B206=0,"",MONTH(B206)&amp;"월")</f>
        <v/>
      </c>
      <c r="E206" s="51">
        <f>IF(B206=0,"",DAY(B206)&amp;"일")</f>
        <v/>
      </c>
      <c r="F206" s="260" t="n"/>
      <c r="G206" s="261" t="n"/>
      <c r="H206" s="263" t="n"/>
      <c r="I206" s="264" t="n"/>
      <c r="J206" s="47" t="n"/>
      <c r="K206" s="47" t="n"/>
      <c r="L206" s="47" t="n"/>
      <c r="M206" s="47" t="n"/>
    </row>
    <row r="207" ht="12.75" customHeight="1" s="202">
      <c r="B207" s="266" t="n"/>
      <c r="C207" s="50">
        <f>IF(B207=0,"",YEAR(B207))</f>
        <v/>
      </c>
      <c r="D207" s="50">
        <f>IF(B207=0,"",MONTH(B207)&amp;"월")</f>
        <v/>
      </c>
      <c r="E207" s="51">
        <f>IF(B207=0,"",DAY(B207)&amp;"일")</f>
        <v/>
      </c>
      <c r="F207" s="260" t="n"/>
      <c r="G207" s="261" t="n"/>
      <c r="H207" s="263" t="n"/>
      <c r="I207" s="264" t="n"/>
      <c r="J207" s="47" t="n"/>
      <c r="K207" s="47" t="n"/>
      <c r="L207" s="47" t="n"/>
      <c r="M207" s="47" t="n"/>
    </row>
    <row r="208" ht="12.75" customHeight="1" s="202">
      <c r="B208" s="266" t="n"/>
      <c r="C208" s="50">
        <f>IF(B208=0,"",YEAR(B208))</f>
        <v/>
      </c>
      <c r="D208" s="50">
        <f>IF(B208=0,"",MONTH(B208)&amp;"월")</f>
        <v/>
      </c>
      <c r="E208" s="51">
        <f>IF(B208=0,"",DAY(B208)&amp;"일")</f>
        <v/>
      </c>
      <c r="F208" s="260" t="n"/>
      <c r="G208" s="261" t="n"/>
      <c r="H208" s="263" t="n"/>
      <c r="I208" s="264" t="n"/>
      <c r="J208" s="47" t="n"/>
      <c r="K208" s="47" t="n"/>
      <c r="L208" s="47" t="n"/>
      <c r="M208" s="47" t="n"/>
    </row>
    <row r="209" ht="12.75" customHeight="1" s="202">
      <c r="B209" s="266" t="n"/>
      <c r="C209" s="50">
        <f>IF(B209=0,"",YEAR(B209))</f>
        <v/>
      </c>
      <c r="D209" s="50">
        <f>IF(B209=0,"",MONTH(B209)&amp;"월")</f>
        <v/>
      </c>
      <c r="E209" s="51">
        <f>IF(B209=0,"",DAY(B209)&amp;"일")</f>
        <v/>
      </c>
      <c r="F209" s="260" t="n"/>
      <c r="G209" s="261" t="n"/>
      <c r="H209" s="263" t="n"/>
      <c r="I209" s="264" t="n"/>
      <c r="J209" s="47" t="n"/>
      <c r="K209" s="47" t="n"/>
      <c r="L209" s="47" t="n"/>
      <c r="M209" s="47" t="n"/>
    </row>
    <row r="210" ht="12.75" customHeight="1" s="202">
      <c r="B210" s="266" t="n"/>
      <c r="C210" s="50">
        <f>IF(B210=0,"",YEAR(B210))</f>
        <v/>
      </c>
      <c r="D210" s="50">
        <f>IF(B210=0,"",MONTH(B210)&amp;"월")</f>
        <v/>
      </c>
      <c r="E210" s="51">
        <f>IF(B210=0,"",DAY(B210)&amp;"일")</f>
        <v/>
      </c>
      <c r="F210" s="260" t="n"/>
      <c r="G210" s="261" t="n"/>
      <c r="H210" s="263" t="n"/>
      <c r="I210" s="264" t="n"/>
      <c r="J210" s="47" t="n"/>
      <c r="K210" s="47" t="n"/>
      <c r="L210" s="47" t="n"/>
      <c r="M210" s="47" t="n"/>
    </row>
    <row r="211" ht="12.75" customHeight="1" s="202">
      <c r="B211" s="266" t="n"/>
      <c r="C211" s="50">
        <f>IF(B211=0,"",YEAR(B211))</f>
        <v/>
      </c>
      <c r="D211" s="50">
        <f>IF(B211=0,"",MONTH(B211)&amp;"월")</f>
        <v/>
      </c>
      <c r="E211" s="51">
        <f>IF(B211=0,"",DAY(B211)&amp;"일")</f>
        <v/>
      </c>
      <c r="F211" s="260" t="n"/>
      <c r="G211" s="261" t="n"/>
      <c r="H211" s="263" t="n"/>
      <c r="I211" s="264" t="n"/>
      <c r="J211" s="47" t="n"/>
      <c r="K211" s="47" t="n"/>
      <c r="L211" s="47" t="n"/>
      <c r="M211" s="47" t="n"/>
    </row>
    <row r="212" ht="12.75" customHeight="1" s="202">
      <c r="B212" s="266" t="n"/>
      <c r="C212" s="50">
        <f>IF(B212=0,"",YEAR(B212))</f>
        <v/>
      </c>
      <c r="D212" s="50">
        <f>IF(B212=0,"",MONTH(B212)&amp;"월")</f>
        <v/>
      </c>
      <c r="E212" s="51">
        <f>IF(B212=0,"",DAY(B212)&amp;"일")</f>
        <v/>
      </c>
      <c r="F212" s="260" t="n"/>
      <c r="G212" s="261" t="n"/>
      <c r="H212" s="263" t="n"/>
      <c r="I212" s="264" t="n"/>
      <c r="J212" s="47" t="n"/>
      <c r="K212" s="47" t="n"/>
      <c r="L212" s="47" t="n"/>
      <c r="M212" s="47" t="n"/>
    </row>
    <row r="213" ht="12.75" customHeight="1" s="202">
      <c r="B213" s="266" t="n"/>
      <c r="C213" s="50">
        <f>IF(B213=0,"",YEAR(B213))</f>
        <v/>
      </c>
      <c r="D213" s="50">
        <f>IF(B213=0,"",MONTH(B213)&amp;"월")</f>
        <v/>
      </c>
      <c r="E213" s="51">
        <f>IF(B213=0,"",DAY(B213)&amp;"일")</f>
        <v/>
      </c>
      <c r="F213" s="260" t="n"/>
      <c r="G213" s="261" t="n"/>
      <c r="H213" s="263" t="n"/>
      <c r="I213" s="264" t="n"/>
      <c r="J213" s="47" t="n"/>
      <c r="K213" s="47" t="n"/>
      <c r="L213" s="47" t="n"/>
      <c r="M213" s="47" t="n"/>
    </row>
    <row r="214" ht="12.75" customHeight="1" s="202">
      <c r="B214" s="266" t="n"/>
      <c r="C214" s="50">
        <f>IF(B214=0,"",YEAR(B214))</f>
        <v/>
      </c>
      <c r="D214" s="50">
        <f>IF(B214=0,"",MONTH(B214)&amp;"월")</f>
        <v/>
      </c>
      <c r="E214" s="51">
        <f>IF(B214=0,"",DAY(B214)&amp;"일")</f>
        <v/>
      </c>
      <c r="F214" s="260" t="n"/>
      <c r="G214" s="261" t="n"/>
      <c r="H214" s="263" t="n"/>
      <c r="I214" s="264" t="n"/>
      <c r="J214" s="47" t="n"/>
      <c r="K214" s="47" t="n"/>
      <c r="L214" s="47" t="n"/>
      <c r="M214" s="47" t="n"/>
    </row>
    <row r="215" ht="12.75" customHeight="1" s="202">
      <c r="B215" s="266" t="n"/>
      <c r="C215" s="50">
        <f>IF(B215=0,"",YEAR(B215))</f>
        <v/>
      </c>
      <c r="D215" s="50">
        <f>IF(B215=0,"",MONTH(B215)&amp;"월")</f>
        <v/>
      </c>
      <c r="E215" s="51">
        <f>IF(B215=0,"",DAY(B215)&amp;"일")</f>
        <v/>
      </c>
      <c r="F215" s="260" t="n"/>
      <c r="G215" s="261" t="n"/>
      <c r="H215" s="263" t="n"/>
      <c r="I215" s="264" t="n"/>
      <c r="J215" s="47" t="n"/>
      <c r="K215" s="47" t="n"/>
      <c r="L215" s="47" t="n"/>
      <c r="M215" s="47" t="n"/>
    </row>
    <row r="216" ht="12.75" customHeight="1" s="202">
      <c r="B216" s="266" t="n"/>
      <c r="C216" s="50">
        <f>IF(B216=0,"",YEAR(B216))</f>
        <v/>
      </c>
      <c r="D216" s="50">
        <f>IF(B216=0,"",MONTH(B216)&amp;"월")</f>
        <v/>
      </c>
      <c r="E216" s="51">
        <f>IF(B216=0,"",DAY(B216)&amp;"일")</f>
        <v/>
      </c>
      <c r="F216" s="260" t="n"/>
      <c r="G216" s="261" t="n"/>
      <c r="H216" s="263" t="n"/>
      <c r="I216" s="264" t="n"/>
      <c r="J216" s="47" t="n"/>
      <c r="K216" s="47" t="n"/>
      <c r="L216" s="47" t="n"/>
      <c r="M216" s="47" t="n"/>
    </row>
    <row r="217" ht="12.75" customHeight="1" s="202">
      <c r="B217" s="266" t="n"/>
      <c r="C217" s="50">
        <f>IF(B217=0,"",YEAR(B217))</f>
        <v/>
      </c>
      <c r="D217" s="50">
        <f>IF(B217=0,"",MONTH(B217)&amp;"월")</f>
        <v/>
      </c>
      <c r="E217" s="51">
        <f>IF(B217=0,"",DAY(B217)&amp;"일")</f>
        <v/>
      </c>
      <c r="F217" s="260" t="n"/>
      <c r="G217" s="261" t="n"/>
      <c r="H217" s="263" t="n"/>
      <c r="I217" s="264" t="n"/>
      <c r="J217" s="47" t="n"/>
      <c r="K217" s="47" t="n"/>
      <c r="L217" s="47" t="n"/>
      <c r="M217" s="47" t="n"/>
    </row>
    <row r="218" ht="12.75" customHeight="1" s="202">
      <c r="B218" s="266" t="n"/>
      <c r="C218" s="50">
        <f>IF(B218=0,"",YEAR(B218))</f>
        <v/>
      </c>
      <c r="D218" s="50">
        <f>IF(B218=0,"",MONTH(B218)&amp;"월")</f>
        <v/>
      </c>
      <c r="E218" s="51">
        <f>IF(B218=0,"",DAY(B218)&amp;"일")</f>
        <v/>
      </c>
      <c r="F218" s="260" t="n"/>
      <c r="G218" s="261" t="n"/>
      <c r="H218" s="263" t="n"/>
      <c r="I218" s="264" t="n"/>
      <c r="J218" s="47" t="n"/>
      <c r="K218" s="47" t="n"/>
      <c r="L218" s="47" t="n"/>
      <c r="M218" s="47" t="n"/>
    </row>
    <row r="219" ht="12.75" customHeight="1" s="202">
      <c r="B219" s="266" t="n"/>
      <c r="C219" s="50">
        <f>IF(B219=0,"",YEAR(B219))</f>
        <v/>
      </c>
      <c r="D219" s="50">
        <f>IF(B219=0,"",MONTH(B219)&amp;"월")</f>
        <v/>
      </c>
      <c r="E219" s="51">
        <f>IF(B219=0,"",DAY(B219)&amp;"일")</f>
        <v/>
      </c>
      <c r="F219" s="260" t="n"/>
      <c r="G219" s="261" t="n"/>
      <c r="H219" s="263" t="n"/>
      <c r="I219" s="264" t="n"/>
      <c r="J219" s="47" t="n"/>
      <c r="K219" s="47" t="n"/>
      <c r="L219" s="47" t="n"/>
      <c r="M219" s="47" t="n"/>
    </row>
    <row r="220" ht="12.75" customHeight="1" s="202">
      <c r="B220" s="266" t="n"/>
      <c r="C220" s="50">
        <f>IF(B220=0,"",YEAR(B220))</f>
        <v/>
      </c>
      <c r="D220" s="50">
        <f>IF(B220=0,"",MONTH(B220)&amp;"월")</f>
        <v/>
      </c>
      <c r="E220" s="51">
        <f>IF(B220=0,"",DAY(B220)&amp;"일")</f>
        <v/>
      </c>
      <c r="F220" s="260" t="n"/>
      <c r="G220" s="261" t="n"/>
      <c r="H220" s="263" t="n"/>
      <c r="I220" s="264" t="n"/>
      <c r="J220" s="47" t="n"/>
      <c r="K220" s="47" t="n"/>
      <c r="L220" s="47" t="n"/>
      <c r="M220" s="47" t="n"/>
    </row>
    <row r="221" ht="12.75" customHeight="1" s="202">
      <c r="B221" s="266" t="n"/>
      <c r="C221" s="50">
        <f>IF(B221=0,"",YEAR(B221))</f>
        <v/>
      </c>
      <c r="D221" s="50">
        <f>IF(B221=0,"",MONTH(B221)&amp;"월")</f>
        <v/>
      </c>
      <c r="E221" s="51">
        <f>IF(B221=0,"",DAY(B221)&amp;"일")</f>
        <v/>
      </c>
      <c r="F221" s="260" t="n"/>
      <c r="G221" s="261" t="n"/>
      <c r="H221" s="263" t="n"/>
      <c r="I221" s="264" t="n"/>
      <c r="J221" s="47" t="n"/>
      <c r="K221" s="47" t="n"/>
      <c r="L221" s="47" t="n"/>
      <c r="M221" s="47" t="n"/>
    </row>
    <row r="222" ht="12.75" customHeight="1" s="202">
      <c r="B222" s="266" t="n"/>
      <c r="C222" s="50">
        <f>IF(B222=0,"",YEAR(B222))</f>
        <v/>
      </c>
      <c r="D222" s="50">
        <f>IF(B222=0,"",MONTH(B222)&amp;"월")</f>
        <v/>
      </c>
      <c r="E222" s="51">
        <f>IF(B222=0,"",DAY(B222)&amp;"일")</f>
        <v/>
      </c>
      <c r="F222" s="260" t="n"/>
      <c r="G222" s="261" t="n"/>
      <c r="H222" s="263" t="n"/>
      <c r="I222" s="264" t="n"/>
      <c r="J222" s="47" t="n"/>
      <c r="K222" s="47" t="n"/>
      <c r="L222" s="47" t="n"/>
      <c r="M222" s="47" t="n"/>
    </row>
    <row r="223" ht="12.75" customHeight="1" s="202">
      <c r="B223" s="266" t="n"/>
      <c r="C223" s="50">
        <f>IF(B223=0,"",YEAR(B223))</f>
        <v/>
      </c>
      <c r="D223" s="50">
        <f>IF(B223=0,"",MONTH(B223)&amp;"월")</f>
        <v/>
      </c>
      <c r="E223" s="51">
        <f>IF(B223=0,"",DAY(B223)&amp;"일")</f>
        <v/>
      </c>
      <c r="F223" s="260" t="n"/>
      <c r="G223" s="261" t="n"/>
      <c r="H223" s="263" t="n"/>
      <c r="I223" s="264" t="n"/>
      <c r="J223" s="47" t="n"/>
      <c r="K223" s="47" t="n"/>
      <c r="L223" s="47" t="n"/>
      <c r="M223" s="47" t="n"/>
    </row>
    <row r="224" ht="12.75" customHeight="1" s="202">
      <c r="B224" s="266" t="n"/>
      <c r="C224" s="50">
        <f>IF(B224=0,"",YEAR(B224))</f>
        <v/>
      </c>
      <c r="D224" s="50">
        <f>IF(B224=0,"",MONTH(B224)&amp;"월")</f>
        <v/>
      </c>
      <c r="E224" s="51">
        <f>IF(B224=0,"",DAY(B224)&amp;"일")</f>
        <v/>
      </c>
      <c r="F224" s="260" t="n"/>
      <c r="G224" s="261" t="n"/>
      <c r="H224" s="263" t="n"/>
      <c r="I224" s="264" t="n"/>
      <c r="J224" s="47" t="n"/>
      <c r="K224" s="47" t="n"/>
      <c r="L224" s="47" t="n"/>
      <c r="M224" s="47" t="n"/>
    </row>
    <row r="225" ht="12.75" customHeight="1" s="202">
      <c r="B225" s="266" t="n"/>
      <c r="C225" s="50">
        <f>IF(B225=0,"",YEAR(B225))</f>
        <v/>
      </c>
      <c r="D225" s="50">
        <f>IF(B225=0,"",MONTH(B225)&amp;"월")</f>
        <v/>
      </c>
      <c r="E225" s="51">
        <f>IF(B225=0,"",DAY(B225)&amp;"일")</f>
        <v/>
      </c>
      <c r="F225" s="260" t="n"/>
      <c r="G225" s="261" t="n"/>
      <c r="H225" s="263" t="n"/>
      <c r="I225" s="264" t="n"/>
      <c r="J225" s="47" t="n"/>
      <c r="K225" s="47" t="n"/>
      <c r="L225" s="47" t="n"/>
      <c r="M225" s="47" t="n"/>
    </row>
    <row r="226" ht="12.75" customHeight="1" s="202">
      <c r="B226" s="266" t="n"/>
      <c r="C226" s="50">
        <f>IF(B226=0,"",YEAR(B226))</f>
        <v/>
      </c>
      <c r="D226" s="50">
        <f>IF(B226=0,"",MONTH(B226)&amp;"월")</f>
        <v/>
      </c>
      <c r="E226" s="51">
        <f>IF(B226=0,"",DAY(B226)&amp;"일")</f>
        <v/>
      </c>
      <c r="F226" s="260" t="n"/>
      <c r="G226" s="261" t="n"/>
      <c r="H226" s="263" t="n"/>
      <c r="I226" s="264" t="n"/>
      <c r="J226" s="47" t="n"/>
      <c r="K226" s="47" t="n"/>
      <c r="L226" s="47" t="n"/>
      <c r="M226" s="47" t="n"/>
    </row>
    <row r="227" ht="12.75" customHeight="1" s="202">
      <c r="B227" s="266" t="n"/>
      <c r="C227" s="50">
        <f>IF(B227=0,"",YEAR(B227))</f>
        <v/>
      </c>
      <c r="D227" s="50">
        <f>IF(B227=0,"",MONTH(B227)&amp;"월")</f>
        <v/>
      </c>
      <c r="E227" s="51">
        <f>IF(B227=0,"",DAY(B227)&amp;"일")</f>
        <v/>
      </c>
      <c r="F227" s="260" t="n"/>
      <c r="G227" s="261" t="n"/>
      <c r="H227" s="263" t="n"/>
      <c r="I227" s="264" t="n"/>
      <c r="J227" s="47" t="n"/>
      <c r="K227" s="47" t="n"/>
      <c r="L227" s="47" t="n"/>
      <c r="M227" s="47" t="n"/>
    </row>
    <row r="228" ht="12.75" customHeight="1" s="202">
      <c r="B228" s="266" t="n"/>
      <c r="C228" s="50">
        <f>IF(B228=0,"",YEAR(B228))</f>
        <v/>
      </c>
      <c r="D228" s="50">
        <f>IF(B228=0,"",MONTH(B228)&amp;"월")</f>
        <v/>
      </c>
      <c r="E228" s="51">
        <f>IF(B228=0,"",DAY(B228)&amp;"일")</f>
        <v/>
      </c>
      <c r="F228" s="260" t="n"/>
      <c r="G228" s="261" t="n"/>
      <c r="H228" s="263" t="n"/>
      <c r="I228" s="264" t="n"/>
      <c r="J228" s="47" t="n"/>
      <c r="K228" s="47" t="n"/>
      <c r="L228" s="47" t="n"/>
      <c r="M228" s="47" t="n"/>
    </row>
    <row r="229" ht="12.75" customHeight="1" s="202">
      <c r="B229" s="266" t="n"/>
      <c r="C229" s="50">
        <f>IF(B229=0,"",YEAR(B229))</f>
        <v/>
      </c>
      <c r="D229" s="50">
        <f>IF(B229=0,"",MONTH(B229)&amp;"월")</f>
        <v/>
      </c>
      <c r="E229" s="51">
        <f>IF(B229=0,"",DAY(B229)&amp;"일")</f>
        <v/>
      </c>
      <c r="F229" s="260" t="n"/>
      <c r="G229" s="261" t="n"/>
      <c r="H229" s="263" t="n"/>
      <c r="I229" s="264" t="n"/>
      <c r="J229" s="47" t="n"/>
      <c r="K229" s="47" t="n"/>
      <c r="L229" s="47" t="n"/>
      <c r="M229" s="47" t="n"/>
    </row>
    <row r="230" ht="12.75" customHeight="1" s="202">
      <c r="B230" s="266" t="n"/>
      <c r="C230" s="50">
        <f>IF(B230=0,"",YEAR(B230))</f>
        <v/>
      </c>
      <c r="D230" s="50">
        <f>IF(B230=0,"",MONTH(B230)&amp;"월")</f>
        <v/>
      </c>
      <c r="E230" s="51">
        <f>IF(B230=0,"",DAY(B230)&amp;"일")</f>
        <v/>
      </c>
      <c r="F230" s="260" t="n"/>
      <c r="G230" s="261" t="n"/>
      <c r="H230" s="263" t="n"/>
      <c r="I230" s="264" t="n"/>
      <c r="J230" s="47" t="n"/>
      <c r="K230" s="47" t="n"/>
      <c r="L230" s="47" t="n"/>
      <c r="M230" s="47" t="n"/>
    </row>
    <row r="231" ht="12.75" customHeight="1" s="202">
      <c r="B231" s="266" t="n"/>
      <c r="C231" s="50">
        <f>IF(B231=0,"",YEAR(B231))</f>
        <v/>
      </c>
      <c r="D231" s="50">
        <f>IF(B231=0,"",MONTH(B231)&amp;"월")</f>
        <v/>
      </c>
      <c r="E231" s="51">
        <f>IF(B231=0,"",DAY(B231)&amp;"일")</f>
        <v/>
      </c>
      <c r="F231" s="260" t="n"/>
      <c r="G231" s="261" t="n"/>
      <c r="H231" s="263" t="n"/>
      <c r="I231" s="264" t="n"/>
      <c r="J231" s="47" t="n"/>
      <c r="K231" s="47" t="n"/>
      <c r="L231" s="47" t="n"/>
      <c r="M231" s="47" t="n"/>
    </row>
    <row r="232" ht="12.75" customHeight="1" s="202">
      <c r="B232" s="266" t="n"/>
      <c r="C232" s="50">
        <f>IF(B232=0,"",YEAR(B232))</f>
        <v/>
      </c>
      <c r="D232" s="50">
        <f>IF(B232=0,"",MONTH(B232)&amp;"월")</f>
        <v/>
      </c>
      <c r="E232" s="51">
        <f>IF(B232=0,"",DAY(B232)&amp;"일")</f>
        <v/>
      </c>
      <c r="F232" s="260" t="n"/>
      <c r="G232" s="261" t="n"/>
      <c r="H232" s="263" t="n"/>
      <c r="I232" s="264" t="n"/>
      <c r="J232" s="47" t="n"/>
      <c r="K232" s="47" t="n"/>
      <c r="L232" s="47" t="n"/>
      <c r="M232" s="47" t="n"/>
    </row>
    <row r="233" ht="12.75" customHeight="1" s="202">
      <c r="B233" s="266" t="n"/>
      <c r="C233" s="50">
        <f>IF(B233=0,"",YEAR(B233))</f>
        <v/>
      </c>
      <c r="D233" s="50">
        <f>IF(B233=0,"",MONTH(B233)&amp;"월")</f>
        <v/>
      </c>
      <c r="E233" s="51">
        <f>IF(B233=0,"",DAY(B233)&amp;"일")</f>
        <v/>
      </c>
      <c r="F233" s="260" t="n"/>
      <c r="G233" s="261" t="n"/>
      <c r="H233" s="263" t="n"/>
      <c r="I233" s="264" t="n"/>
      <c r="J233" s="47" t="n"/>
      <c r="K233" s="47" t="n"/>
      <c r="L233" s="47" t="n"/>
      <c r="M233" s="47" t="n"/>
    </row>
    <row r="234" ht="12.75" customHeight="1" s="202">
      <c r="B234" s="266" t="n"/>
      <c r="C234" s="50">
        <f>IF(B234=0,"",YEAR(B234))</f>
        <v/>
      </c>
      <c r="D234" s="50">
        <f>IF(B234=0,"",MONTH(B234)&amp;"월")</f>
        <v/>
      </c>
      <c r="E234" s="51">
        <f>IF(B234=0,"",DAY(B234)&amp;"일")</f>
        <v/>
      </c>
      <c r="F234" s="260" t="n"/>
      <c r="G234" s="261" t="n"/>
      <c r="H234" s="263" t="n"/>
      <c r="I234" s="264" t="n"/>
      <c r="J234" s="47" t="n"/>
      <c r="K234" s="47" t="n"/>
      <c r="L234" s="47" t="n"/>
      <c r="M234" s="47" t="n"/>
    </row>
    <row r="235" ht="12.75" customHeight="1" s="202">
      <c r="B235" s="266" t="n"/>
      <c r="C235" s="50">
        <f>IF(B235=0,"",YEAR(B235))</f>
        <v/>
      </c>
      <c r="D235" s="50">
        <f>IF(B235=0,"",MONTH(B235)&amp;"월")</f>
        <v/>
      </c>
      <c r="E235" s="51">
        <f>IF(B235=0,"",DAY(B235)&amp;"일")</f>
        <v/>
      </c>
      <c r="F235" s="260" t="n"/>
      <c r="G235" s="261" t="n"/>
      <c r="H235" s="263" t="n"/>
      <c r="I235" s="264" t="n"/>
      <c r="J235" s="47" t="n"/>
      <c r="K235" s="47" t="n"/>
      <c r="L235" s="47" t="n"/>
      <c r="M235" s="47" t="n"/>
    </row>
    <row r="236" ht="12.75" customHeight="1" s="202">
      <c r="B236" s="266" t="n"/>
      <c r="C236" s="50">
        <f>IF(B236=0,"",YEAR(B236))</f>
        <v/>
      </c>
      <c r="D236" s="50">
        <f>IF(B236=0,"",MONTH(B236)&amp;"월")</f>
        <v/>
      </c>
      <c r="E236" s="51">
        <f>IF(B236=0,"",DAY(B236)&amp;"일")</f>
        <v/>
      </c>
      <c r="F236" s="260" t="n"/>
      <c r="G236" s="261" t="n"/>
      <c r="H236" s="263" t="n"/>
      <c r="I236" s="264" t="n"/>
      <c r="J236" s="47" t="n"/>
      <c r="K236" s="47" t="n"/>
      <c r="L236" s="47" t="n"/>
      <c r="M236" s="47" t="n"/>
    </row>
    <row r="237" ht="12.75" customHeight="1" s="202">
      <c r="B237" s="266" t="n"/>
      <c r="C237" s="50">
        <f>IF(B237=0,"",YEAR(B237))</f>
        <v/>
      </c>
      <c r="D237" s="50">
        <f>IF(B237=0,"",MONTH(B237)&amp;"월")</f>
        <v/>
      </c>
      <c r="E237" s="51">
        <f>IF(B237=0,"",DAY(B237)&amp;"일")</f>
        <v/>
      </c>
      <c r="F237" s="260" t="n"/>
      <c r="G237" s="261" t="n"/>
      <c r="H237" s="263" t="n"/>
      <c r="I237" s="264" t="n"/>
      <c r="J237" s="47" t="n"/>
      <c r="K237" s="47" t="n"/>
      <c r="L237" s="47" t="n"/>
      <c r="M237" s="47" t="n"/>
    </row>
    <row r="238" ht="12.75" customHeight="1" s="202">
      <c r="B238" s="266" t="n"/>
      <c r="C238" s="50">
        <f>IF(B238=0,"",YEAR(B238))</f>
        <v/>
      </c>
      <c r="D238" s="50">
        <f>IF(B238=0,"",MONTH(B238)&amp;"월")</f>
        <v/>
      </c>
      <c r="E238" s="51">
        <f>IF(B238=0,"",DAY(B238)&amp;"일")</f>
        <v/>
      </c>
      <c r="F238" s="260" t="n"/>
      <c r="G238" s="261" t="n"/>
      <c r="H238" s="263" t="n"/>
      <c r="I238" s="264" t="n"/>
      <c r="J238" s="47" t="n"/>
      <c r="K238" s="47" t="n"/>
      <c r="L238" s="47" t="n"/>
      <c r="M238" s="47" t="n"/>
    </row>
    <row r="239" ht="12.75" customHeight="1" s="202">
      <c r="B239" s="266" t="n"/>
      <c r="C239" s="50">
        <f>IF(B239=0,"",YEAR(B239))</f>
        <v/>
      </c>
      <c r="D239" s="50">
        <f>IF(B239=0,"",MONTH(B239)&amp;"월")</f>
        <v/>
      </c>
      <c r="E239" s="51">
        <f>IF(B239=0,"",DAY(B239)&amp;"일")</f>
        <v/>
      </c>
      <c r="F239" s="260" t="n"/>
      <c r="G239" s="261" t="n"/>
      <c r="H239" s="263" t="n"/>
      <c r="I239" s="264" t="n"/>
      <c r="J239" s="47" t="n"/>
      <c r="K239" s="47" t="n"/>
      <c r="L239" s="47" t="n"/>
      <c r="M239" s="47" t="n"/>
    </row>
    <row r="240" ht="12.75" customHeight="1" s="202">
      <c r="B240" s="266" t="n"/>
      <c r="C240" s="50">
        <f>IF(B240=0,"",YEAR(B240))</f>
        <v/>
      </c>
      <c r="D240" s="50">
        <f>IF(B240=0,"",MONTH(B240)&amp;"월")</f>
        <v/>
      </c>
      <c r="E240" s="51">
        <f>IF(B240=0,"",DAY(B240)&amp;"일")</f>
        <v/>
      </c>
      <c r="F240" s="260" t="n"/>
      <c r="G240" s="261" t="n"/>
      <c r="H240" s="263" t="n"/>
      <c r="I240" s="264" t="n"/>
      <c r="J240" s="47" t="n"/>
      <c r="K240" s="47" t="n"/>
      <c r="L240" s="47" t="n"/>
      <c r="M240" s="47" t="n"/>
    </row>
    <row r="241" ht="12.75" customHeight="1" s="202">
      <c r="B241" s="266" t="n"/>
      <c r="C241" s="50">
        <f>IF(B241=0,"",YEAR(B241))</f>
        <v/>
      </c>
      <c r="D241" s="50">
        <f>IF(B241=0,"",MONTH(B241)&amp;"월")</f>
        <v/>
      </c>
      <c r="E241" s="51">
        <f>IF(B241=0,"",DAY(B241)&amp;"일")</f>
        <v/>
      </c>
      <c r="F241" s="260" t="n"/>
      <c r="G241" s="261" t="n"/>
      <c r="H241" s="263" t="n"/>
      <c r="I241" s="264" t="n"/>
      <c r="J241" s="47" t="n"/>
      <c r="K241" s="47" t="n"/>
      <c r="L241" s="47" t="n"/>
      <c r="M241" s="47" t="n"/>
    </row>
    <row r="242" ht="12.75" customHeight="1" s="202">
      <c r="B242" s="266" t="n"/>
      <c r="C242" s="50">
        <f>IF(B242=0,"",YEAR(B242))</f>
        <v/>
      </c>
      <c r="D242" s="50">
        <f>IF(B242=0,"",MONTH(B242)&amp;"월")</f>
        <v/>
      </c>
      <c r="E242" s="51">
        <f>IF(B242=0,"",DAY(B242)&amp;"일")</f>
        <v/>
      </c>
      <c r="F242" s="260" t="n"/>
      <c r="G242" s="261" t="n"/>
      <c r="H242" s="263" t="n"/>
      <c r="I242" s="264" t="n"/>
      <c r="J242" s="47" t="n"/>
      <c r="K242" s="47" t="n"/>
      <c r="L242" s="47" t="n"/>
      <c r="M242" s="47" t="n"/>
    </row>
    <row r="243" ht="12.75" customHeight="1" s="202">
      <c r="B243" s="266" t="n"/>
      <c r="C243" s="50">
        <f>IF(B243=0,"",YEAR(B243))</f>
        <v/>
      </c>
      <c r="D243" s="50">
        <f>IF(B243=0,"",MONTH(B243)&amp;"월")</f>
        <v/>
      </c>
      <c r="E243" s="51">
        <f>IF(B243=0,"",DAY(B243)&amp;"일")</f>
        <v/>
      </c>
      <c r="F243" s="260" t="n"/>
      <c r="G243" s="261" t="n"/>
      <c r="H243" s="263" t="n"/>
      <c r="I243" s="264" t="n"/>
      <c r="J243" s="47" t="n"/>
      <c r="K243" s="47" t="n"/>
      <c r="L243" s="47" t="n"/>
      <c r="M243" s="47" t="n"/>
    </row>
    <row r="244" ht="12.75" customHeight="1" s="202">
      <c r="B244" s="266" t="n"/>
      <c r="C244" s="50">
        <f>IF(B244=0,"",YEAR(B244))</f>
        <v/>
      </c>
      <c r="D244" s="50">
        <f>IF(B244=0,"",MONTH(B244)&amp;"월")</f>
        <v/>
      </c>
      <c r="E244" s="51">
        <f>IF(B244=0,"",DAY(B244)&amp;"일")</f>
        <v/>
      </c>
      <c r="F244" s="260" t="n"/>
      <c r="G244" s="261" t="n"/>
      <c r="H244" s="263" t="n"/>
      <c r="I244" s="264" t="n"/>
      <c r="J244" s="47" t="n"/>
      <c r="K244" s="47" t="n"/>
      <c r="L244" s="47" t="n"/>
      <c r="M244" s="47" t="n"/>
    </row>
    <row r="245" ht="12.75" customHeight="1" s="202">
      <c r="B245" s="266" t="n"/>
      <c r="C245" s="50">
        <f>IF(B245=0,"",YEAR(B245))</f>
        <v/>
      </c>
      <c r="D245" s="50">
        <f>IF(B245=0,"",MONTH(B245)&amp;"월")</f>
        <v/>
      </c>
      <c r="E245" s="51">
        <f>IF(B245=0,"",DAY(B245)&amp;"일")</f>
        <v/>
      </c>
      <c r="F245" s="260" t="n"/>
      <c r="G245" s="261" t="n"/>
      <c r="H245" s="263" t="n"/>
      <c r="I245" s="264" t="n"/>
      <c r="J245" s="47" t="n"/>
      <c r="K245" s="47" t="n"/>
      <c r="L245" s="47" t="n"/>
      <c r="M245" s="47" t="n"/>
    </row>
    <row r="246" ht="12.75" customHeight="1" s="202">
      <c r="B246" s="266" t="n"/>
      <c r="C246" s="50">
        <f>IF(B246=0,"",YEAR(B246))</f>
        <v/>
      </c>
      <c r="D246" s="50">
        <f>IF(B246=0,"",MONTH(B246)&amp;"월")</f>
        <v/>
      </c>
      <c r="E246" s="51">
        <f>IF(B246=0,"",DAY(B246)&amp;"일")</f>
        <v/>
      </c>
      <c r="F246" s="260" t="n"/>
      <c r="G246" s="261" t="n"/>
      <c r="H246" s="263" t="n"/>
      <c r="I246" s="264" t="n"/>
      <c r="J246" s="47" t="n"/>
      <c r="K246" s="47" t="n"/>
      <c r="L246" s="47" t="n"/>
      <c r="M246" s="47" t="n"/>
    </row>
    <row r="247" ht="12.75" customHeight="1" s="202">
      <c r="B247" s="266" t="n"/>
      <c r="C247" s="50">
        <f>IF(B247=0,"",YEAR(B247))</f>
        <v/>
      </c>
      <c r="D247" s="50">
        <f>IF(B247=0,"",MONTH(B247)&amp;"월")</f>
        <v/>
      </c>
      <c r="E247" s="51">
        <f>IF(B247=0,"",DAY(B247)&amp;"일")</f>
        <v/>
      </c>
      <c r="F247" s="260" t="n"/>
      <c r="G247" s="261" t="n"/>
      <c r="H247" s="263" t="n"/>
      <c r="I247" s="264" t="n"/>
      <c r="J247" s="47" t="n"/>
      <c r="K247" s="47" t="n"/>
      <c r="L247" s="47" t="n"/>
      <c r="M247" s="47" t="n"/>
    </row>
    <row r="248" ht="12.75" customHeight="1" s="202">
      <c r="B248" s="266" t="n"/>
      <c r="C248" s="50">
        <f>IF(B248=0,"",YEAR(B248))</f>
        <v/>
      </c>
      <c r="D248" s="50">
        <f>IF(B248=0,"",MONTH(B248)&amp;"월")</f>
        <v/>
      </c>
      <c r="E248" s="51">
        <f>IF(B248=0,"",DAY(B248)&amp;"일")</f>
        <v/>
      </c>
      <c r="F248" s="260" t="n"/>
      <c r="G248" s="261" t="n"/>
      <c r="H248" s="263" t="n"/>
      <c r="I248" s="264" t="n"/>
      <c r="J248" s="47" t="n"/>
      <c r="K248" s="47" t="n"/>
      <c r="L248" s="47" t="n"/>
      <c r="M248" s="47" t="n"/>
    </row>
    <row r="249" ht="12.75" customHeight="1" s="202">
      <c r="B249" s="266" t="n"/>
      <c r="C249" s="50">
        <f>IF(B249=0,"",YEAR(B249))</f>
        <v/>
      </c>
      <c r="D249" s="50">
        <f>IF(B249=0,"",MONTH(B249)&amp;"월")</f>
        <v/>
      </c>
      <c r="E249" s="51">
        <f>IF(B249=0,"",DAY(B249)&amp;"일")</f>
        <v/>
      </c>
      <c r="F249" s="260" t="n"/>
      <c r="G249" s="261" t="n"/>
      <c r="H249" s="263" t="n"/>
      <c r="I249" s="264" t="n"/>
      <c r="J249" s="47" t="n"/>
      <c r="K249" s="47" t="n"/>
      <c r="L249" s="47" t="n"/>
      <c r="M249" s="47" t="n"/>
    </row>
    <row r="250" ht="12.75" customHeight="1" s="202">
      <c r="B250" s="266" t="n"/>
      <c r="C250" s="50">
        <f>IF(B250=0,"",YEAR(B250))</f>
        <v/>
      </c>
      <c r="D250" s="50">
        <f>IF(B250=0,"",MONTH(B250)&amp;"월")</f>
        <v/>
      </c>
      <c r="E250" s="51">
        <f>IF(B250=0,"",DAY(B250)&amp;"일")</f>
        <v/>
      </c>
      <c r="F250" s="260" t="n"/>
      <c r="G250" s="261" t="n"/>
      <c r="H250" s="263" t="n"/>
      <c r="I250" s="264" t="n"/>
      <c r="J250" s="47" t="n"/>
      <c r="K250" s="47" t="n"/>
      <c r="L250" s="47" t="n"/>
      <c r="M250" s="47" t="n"/>
    </row>
    <row r="251" ht="12.75" customHeight="1" s="202">
      <c r="B251" s="266" t="n"/>
      <c r="C251" s="50">
        <f>IF(B251=0,"",YEAR(B251))</f>
        <v/>
      </c>
      <c r="D251" s="50">
        <f>IF(B251=0,"",MONTH(B251)&amp;"월")</f>
        <v/>
      </c>
      <c r="E251" s="51">
        <f>IF(B251=0,"",DAY(B251)&amp;"일")</f>
        <v/>
      </c>
      <c r="F251" s="260" t="n"/>
      <c r="G251" s="261" t="n"/>
      <c r="H251" s="263" t="n"/>
      <c r="I251" s="264" t="n"/>
      <c r="J251" s="47" t="n"/>
      <c r="K251" s="47" t="n"/>
      <c r="L251" s="47" t="n"/>
      <c r="M251" s="47" t="n"/>
    </row>
    <row r="252" ht="12.75" customHeight="1" s="202">
      <c r="B252" s="266" t="n"/>
      <c r="C252" s="50">
        <f>IF(B252=0,"",YEAR(B252))</f>
        <v/>
      </c>
      <c r="D252" s="50">
        <f>IF(B252=0,"",MONTH(B252)&amp;"월")</f>
        <v/>
      </c>
      <c r="E252" s="51">
        <f>IF(B252=0,"",DAY(B252)&amp;"일")</f>
        <v/>
      </c>
      <c r="F252" s="260" t="n"/>
      <c r="G252" s="261" t="n"/>
      <c r="H252" s="263" t="n"/>
      <c r="I252" s="264" t="n"/>
      <c r="J252" s="47" t="n"/>
      <c r="K252" s="47" t="n"/>
      <c r="L252" s="47" t="n"/>
      <c r="M252" s="47" t="n"/>
    </row>
    <row r="253" ht="12.75" customHeight="1" s="202">
      <c r="B253" s="266" t="n"/>
      <c r="C253" s="50">
        <f>IF(B253=0,"",YEAR(B253))</f>
        <v/>
      </c>
      <c r="D253" s="50">
        <f>IF(B253=0,"",MONTH(B253)&amp;"월")</f>
        <v/>
      </c>
      <c r="E253" s="51">
        <f>IF(B253=0,"",DAY(B253)&amp;"일")</f>
        <v/>
      </c>
      <c r="F253" s="260" t="n"/>
      <c r="G253" s="261" t="n"/>
      <c r="H253" s="263" t="n"/>
      <c r="I253" s="264" t="n"/>
      <c r="J253" s="47" t="n"/>
      <c r="K253" s="47" t="n"/>
      <c r="L253" s="47" t="n"/>
      <c r="M253" s="47" t="n"/>
    </row>
    <row r="254" ht="12.75" customHeight="1" s="202">
      <c r="B254" s="266" t="n"/>
      <c r="C254" s="50">
        <f>IF(B254=0,"",YEAR(B254))</f>
        <v/>
      </c>
      <c r="D254" s="50">
        <f>IF(B254=0,"",MONTH(B254)&amp;"월")</f>
        <v/>
      </c>
      <c r="E254" s="51">
        <f>IF(B254=0,"",DAY(B254)&amp;"일")</f>
        <v/>
      </c>
      <c r="F254" s="260" t="n"/>
      <c r="G254" s="261" t="n"/>
      <c r="H254" s="263" t="n"/>
      <c r="I254" s="264" t="n"/>
      <c r="J254" s="47" t="n"/>
      <c r="K254" s="47" t="n"/>
      <c r="L254" s="47" t="n"/>
      <c r="M254" s="47" t="n"/>
    </row>
    <row r="255" ht="12.75" customHeight="1" s="202">
      <c r="B255" s="266" t="n"/>
      <c r="C255" s="50">
        <f>IF(B255=0,"",YEAR(B255))</f>
        <v/>
      </c>
      <c r="D255" s="50">
        <f>IF(B255=0,"",MONTH(B255)&amp;"월")</f>
        <v/>
      </c>
      <c r="E255" s="51">
        <f>IF(B255=0,"",DAY(B255)&amp;"일")</f>
        <v/>
      </c>
      <c r="F255" s="260" t="n"/>
      <c r="G255" s="261" t="n"/>
      <c r="H255" s="263" t="n"/>
      <c r="I255" s="264" t="n"/>
      <c r="J255" s="47" t="n"/>
      <c r="K255" s="47" t="n"/>
      <c r="L255" s="47" t="n"/>
      <c r="M255" s="47" t="n"/>
    </row>
    <row r="256" ht="12.75" customHeight="1" s="202">
      <c r="B256" s="266" t="n"/>
      <c r="C256" s="50">
        <f>IF(B256=0,"",YEAR(B256))</f>
        <v/>
      </c>
      <c r="D256" s="50">
        <f>IF(B256=0,"",MONTH(B256)&amp;"월")</f>
        <v/>
      </c>
      <c r="E256" s="51">
        <f>IF(B256=0,"",DAY(B256)&amp;"일")</f>
        <v/>
      </c>
      <c r="F256" s="260" t="n"/>
      <c r="G256" s="261" t="n"/>
      <c r="H256" s="263" t="n"/>
      <c r="I256" s="264" t="n"/>
      <c r="J256" s="47" t="n"/>
      <c r="K256" s="47" t="n"/>
      <c r="L256" s="47" t="n"/>
      <c r="M256" s="47" t="n"/>
    </row>
    <row r="257" ht="12.75" customHeight="1" s="202">
      <c r="B257" s="266" t="n"/>
      <c r="C257" s="50">
        <f>IF(B257=0,"",YEAR(B257))</f>
        <v/>
      </c>
      <c r="D257" s="50">
        <f>IF(B257=0,"",MONTH(B257)&amp;"월")</f>
        <v/>
      </c>
      <c r="E257" s="51">
        <f>IF(B257=0,"",DAY(B257)&amp;"일")</f>
        <v/>
      </c>
      <c r="F257" s="260" t="n"/>
      <c r="G257" s="261" t="n"/>
      <c r="H257" s="263" t="n"/>
      <c r="I257" s="264" t="n"/>
      <c r="J257" s="47" t="n"/>
      <c r="K257" s="47" t="n"/>
      <c r="L257" s="47" t="n"/>
      <c r="M257" s="47" t="n"/>
    </row>
    <row r="258" ht="12.75" customHeight="1" s="202">
      <c r="B258" s="266" t="n"/>
      <c r="C258" s="50">
        <f>IF(B258=0,"",YEAR(B258))</f>
        <v/>
      </c>
      <c r="D258" s="50">
        <f>IF(B258=0,"",MONTH(B258)&amp;"월")</f>
        <v/>
      </c>
      <c r="E258" s="51">
        <f>IF(B258=0,"",DAY(B258)&amp;"일")</f>
        <v/>
      </c>
      <c r="F258" s="260" t="n"/>
      <c r="G258" s="261" t="n"/>
      <c r="H258" s="263" t="n"/>
      <c r="I258" s="264" t="n"/>
      <c r="J258" s="47" t="n"/>
      <c r="K258" s="47" t="n"/>
      <c r="L258" s="47" t="n"/>
      <c r="M258" s="47" t="n"/>
    </row>
    <row r="259" ht="12.75" customHeight="1" s="202">
      <c r="B259" s="266" t="n"/>
      <c r="C259" s="50">
        <f>IF(B259=0,"",YEAR(B259))</f>
        <v/>
      </c>
      <c r="D259" s="50">
        <f>IF(B259=0,"",MONTH(B259)&amp;"월")</f>
        <v/>
      </c>
      <c r="E259" s="51">
        <f>IF(B259=0,"",DAY(B259)&amp;"일")</f>
        <v/>
      </c>
      <c r="F259" s="260" t="n"/>
      <c r="G259" s="261" t="n"/>
      <c r="H259" s="263" t="n"/>
      <c r="I259" s="264" t="n"/>
      <c r="J259" s="47" t="n"/>
      <c r="K259" s="47" t="n"/>
      <c r="L259" s="47" t="n"/>
      <c r="M259" s="47" t="n"/>
    </row>
    <row r="260" ht="12.75" customHeight="1" s="202">
      <c r="B260" s="266" t="n"/>
      <c r="C260" s="50">
        <f>IF(B260=0,"",YEAR(B260))</f>
        <v/>
      </c>
      <c r="D260" s="50">
        <f>IF(B260=0,"",MONTH(B260)&amp;"월")</f>
        <v/>
      </c>
      <c r="E260" s="51">
        <f>IF(B260=0,"",DAY(B260)&amp;"일")</f>
        <v/>
      </c>
      <c r="F260" s="260" t="n"/>
      <c r="G260" s="261" t="n"/>
      <c r="H260" s="263" t="n"/>
      <c r="I260" s="264" t="n"/>
      <c r="J260" s="47" t="n"/>
      <c r="K260" s="47" t="n"/>
      <c r="L260" s="47" t="n"/>
      <c r="M260" s="47" t="n"/>
    </row>
    <row r="261" ht="12.75" customHeight="1" s="202">
      <c r="B261" s="266" t="n"/>
      <c r="C261" s="50">
        <f>IF(B261=0,"",YEAR(B261))</f>
        <v/>
      </c>
      <c r="D261" s="50">
        <f>IF(B261=0,"",MONTH(B261)&amp;"월")</f>
        <v/>
      </c>
      <c r="E261" s="51">
        <f>IF(B261=0,"",DAY(B261)&amp;"일")</f>
        <v/>
      </c>
      <c r="F261" s="260" t="n"/>
      <c r="G261" s="261" t="n"/>
      <c r="H261" s="263" t="n"/>
      <c r="I261" s="264" t="n"/>
      <c r="J261" s="47" t="n"/>
      <c r="K261" s="47" t="n"/>
      <c r="L261" s="47" t="n"/>
      <c r="M261" s="47" t="n"/>
    </row>
    <row r="262" ht="12.75" customHeight="1" s="202">
      <c r="B262" s="266" t="n"/>
      <c r="C262" s="50">
        <f>IF(B262=0,"",YEAR(B262))</f>
        <v/>
      </c>
      <c r="D262" s="50">
        <f>IF(B262=0,"",MONTH(B262)&amp;"월")</f>
        <v/>
      </c>
      <c r="E262" s="51">
        <f>IF(B262=0,"",DAY(B262)&amp;"일")</f>
        <v/>
      </c>
      <c r="F262" s="260" t="n"/>
      <c r="G262" s="261" t="n"/>
      <c r="H262" s="263" t="n"/>
      <c r="I262" s="264" t="n"/>
      <c r="J262" s="47" t="n"/>
      <c r="K262" s="47" t="n"/>
      <c r="L262" s="47" t="n"/>
      <c r="M262" s="47" t="n"/>
    </row>
    <row r="263" ht="12.75" customHeight="1" s="202">
      <c r="B263" s="266" t="n"/>
      <c r="C263" s="50">
        <f>IF(B263=0,"",YEAR(B263))</f>
        <v/>
      </c>
      <c r="D263" s="50">
        <f>IF(B263=0,"",MONTH(B263)&amp;"월")</f>
        <v/>
      </c>
      <c r="E263" s="51">
        <f>IF(B263=0,"",DAY(B263)&amp;"일")</f>
        <v/>
      </c>
      <c r="F263" s="260" t="n"/>
      <c r="G263" s="261" t="n"/>
      <c r="H263" s="263" t="n"/>
      <c r="I263" s="264" t="n"/>
      <c r="J263" s="47" t="n"/>
      <c r="K263" s="47" t="n"/>
      <c r="L263" s="47" t="n"/>
      <c r="M263" s="47" t="n"/>
    </row>
    <row r="264" ht="12.75" customHeight="1" s="202">
      <c r="B264" s="266" t="n"/>
      <c r="C264" s="50">
        <f>IF(B264=0,"",YEAR(B264))</f>
        <v/>
      </c>
      <c r="D264" s="50">
        <f>IF(B264=0,"",MONTH(B264)&amp;"월")</f>
        <v/>
      </c>
      <c r="E264" s="51">
        <f>IF(B264=0,"",DAY(B264)&amp;"일")</f>
        <v/>
      </c>
      <c r="F264" s="260" t="n"/>
      <c r="G264" s="261" t="n"/>
      <c r="H264" s="263" t="n"/>
      <c r="I264" s="264" t="n"/>
      <c r="J264" s="47" t="n"/>
      <c r="K264" s="47" t="n"/>
      <c r="L264" s="47" t="n"/>
      <c r="M264" s="47" t="n"/>
    </row>
    <row r="265" ht="12.75" customHeight="1" s="202">
      <c r="B265" s="266" t="n"/>
      <c r="C265" s="50">
        <f>IF(B265=0,"",YEAR(B265))</f>
        <v/>
      </c>
      <c r="D265" s="50">
        <f>IF(B265=0,"",MONTH(B265)&amp;"월")</f>
        <v/>
      </c>
      <c r="E265" s="51">
        <f>IF(B265=0,"",DAY(B265)&amp;"일")</f>
        <v/>
      </c>
      <c r="F265" s="260" t="n"/>
      <c r="G265" s="261" t="n"/>
      <c r="H265" s="263" t="n"/>
      <c r="I265" s="264" t="n"/>
      <c r="J265" s="47" t="n"/>
      <c r="K265" s="47" t="n"/>
      <c r="L265" s="47" t="n"/>
      <c r="M265" s="47" t="n"/>
    </row>
    <row r="266" ht="12.75" customHeight="1" s="202">
      <c r="B266" s="266" t="n"/>
      <c r="C266" s="50">
        <f>IF(B266=0,"",YEAR(B266))</f>
        <v/>
      </c>
      <c r="D266" s="50">
        <f>IF(B266=0,"",MONTH(B266)&amp;"월")</f>
        <v/>
      </c>
      <c r="E266" s="51">
        <f>IF(B266=0,"",DAY(B266)&amp;"일")</f>
        <v/>
      </c>
      <c r="F266" s="260" t="n"/>
      <c r="G266" s="261" t="n"/>
      <c r="H266" s="263" t="n"/>
      <c r="I266" s="264" t="n"/>
      <c r="J266" s="47" t="n"/>
      <c r="K266" s="47" t="n"/>
      <c r="L266" s="47" t="n"/>
      <c r="M266" s="47" t="n"/>
    </row>
    <row r="267" ht="12.75" customHeight="1" s="202">
      <c r="B267" s="266" t="n"/>
      <c r="C267" s="50">
        <f>IF(B267=0,"",YEAR(B267))</f>
        <v/>
      </c>
      <c r="D267" s="50">
        <f>IF(B267=0,"",MONTH(B267)&amp;"월")</f>
        <v/>
      </c>
      <c r="E267" s="51">
        <f>IF(B267=0,"",DAY(B267)&amp;"일")</f>
        <v/>
      </c>
      <c r="F267" s="260" t="n"/>
      <c r="G267" s="261" t="n"/>
      <c r="H267" s="263" t="n"/>
      <c r="I267" s="264" t="n"/>
      <c r="J267" s="47" t="n"/>
      <c r="K267" s="47" t="n"/>
      <c r="L267" s="47" t="n"/>
      <c r="M267" s="47" t="n"/>
    </row>
    <row r="268" ht="12.75" customHeight="1" s="202">
      <c r="B268" s="266" t="n"/>
      <c r="C268" s="50">
        <f>IF(B268=0,"",YEAR(B268))</f>
        <v/>
      </c>
      <c r="D268" s="50">
        <f>IF(B268=0,"",MONTH(B268)&amp;"월")</f>
        <v/>
      </c>
      <c r="E268" s="51">
        <f>IF(B268=0,"",DAY(B268)&amp;"일")</f>
        <v/>
      </c>
      <c r="F268" s="260" t="n"/>
      <c r="G268" s="261" t="n"/>
      <c r="H268" s="263" t="n"/>
      <c r="I268" s="264" t="n"/>
      <c r="J268" s="47" t="n"/>
      <c r="K268" s="47" t="n"/>
      <c r="L268" s="47" t="n"/>
      <c r="M268" s="47" t="n"/>
    </row>
    <row r="269" ht="12.75" customHeight="1" s="202">
      <c r="B269" s="266" t="n"/>
      <c r="C269" s="50">
        <f>IF(B269=0,"",YEAR(B269))</f>
        <v/>
      </c>
      <c r="D269" s="50">
        <f>IF(B269=0,"",MONTH(B269)&amp;"월")</f>
        <v/>
      </c>
      <c r="E269" s="51">
        <f>IF(B269=0,"",DAY(B269)&amp;"일")</f>
        <v/>
      </c>
      <c r="F269" s="260" t="n"/>
      <c r="G269" s="261" t="n"/>
      <c r="H269" s="263" t="n"/>
      <c r="I269" s="264" t="n"/>
      <c r="J269" s="47" t="n"/>
      <c r="K269" s="47" t="n"/>
      <c r="L269" s="47" t="n"/>
      <c r="M269" s="47" t="n"/>
    </row>
    <row r="270" ht="12.75" customHeight="1" s="202">
      <c r="B270" s="266" t="n"/>
      <c r="C270" s="50">
        <f>IF(B270=0,"",YEAR(B270))</f>
        <v/>
      </c>
      <c r="D270" s="50">
        <f>IF(B270=0,"",MONTH(B270)&amp;"월")</f>
        <v/>
      </c>
      <c r="E270" s="51">
        <f>IF(B270=0,"",DAY(B270)&amp;"일")</f>
        <v/>
      </c>
      <c r="F270" s="260" t="n"/>
      <c r="G270" s="261" t="n"/>
      <c r="H270" s="263" t="n"/>
      <c r="I270" s="264" t="n"/>
      <c r="J270" s="47" t="n"/>
      <c r="K270" s="47" t="n"/>
      <c r="L270" s="47" t="n"/>
      <c r="M270" s="47" t="n"/>
    </row>
    <row r="271" ht="12.75" customHeight="1" s="202">
      <c r="B271" s="266" t="n"/>
      <c r="C271" s="50">
        <f>IF(B271=0,"",YEAR(B271))</f>
        <v/>
      </c>
      <c r="D271" s="50">
        <f>IF(B271=0,"",MONTH(B271)&amp;"월")</f>
        <v/>
      </c>
      <c r="E271" s="51">
        <f>IF(B271=0,"",DAY(B271)&amp;"일")</f>
        <v/>
      </c>
      <c r="F271" s="260" t="n"/>
      <c r="G271" s="261" t="n"/>
      <c r="H271" s="263" t="n"/>
      <c r="I271" s="264" t="n"/>
      <c r="J271" s="47" t="n"/>
      <c r="K271" s="47" t="n"/>
      <c r="L271" s="47" t="n"/>
      <c r="M271" s="47" t="n"/>
    </row>
    <row r="272" ht="12.75" customHeight="1" s="202">
      <c r="B272" s="266" t="n"/>
      <c r="C272" s="50">
        <f>IF(B272=0,"",YEAR(B272))</f>
        <v/>
      </c>
      <c r="D272" s="50">
        <f>IF(B272=0,"",MONTH(B272)&amp;"월")</f>
        <v/>
      </c>
      <c r="E272" s="51">
        <f>IF(B272=0,"",DAY(B272)&amp;"일")</f>
        <v/>
      </c>
      <c r="F272" s="260" t="n"/>
      <c r="G272" s="261" t="n"/>
      <c r="H272" s="263" t="n"/>
      <c r="I272" s="264" t="n"/>
      <c r="J272" s="47" t="n"/>
      <c r="K272" s="47" t="n"/>
      <c r="L272" s="47" t="n"/>
      <c r="M272" s="47" t="n"/>
    </row>
    <row r="273" ht="12.75" customHeight="1" s="202">
      <c r="B273" s="266" t="n"/>
      <c r="C273" s="50">
        <f>IF(B273=0,"",YEAR(B273))</f>
        <v/>
      </c>
      <c r="D273" s="50">
        <f>IF(B273=0,"",MONTH(B273)&amp;"월")</f>
        <v/>
      </c>
      <c r="E273" s="51">
        <f>IF(B273=0,"",DAY(B273)&amp;"일")</f>
        <v/>
      </c>
      <c r="F273" s="260" t="n"/>
      <c r="G273" s="261" t="n"/>
      <c r="H273" s="263" t="n"/>
      <c r="I273" s="264" t="n"/>
      <c r="J273" s="47" t="n"/>
      <c r="K273" s="47" t="n"/>
      <c r="L273" s="47" t="n"/>
      <c r="M273" s="47" t="n"/>
    </row>
    <row r="274" ht="12.75" customHeight="1" s="202">
      <c r="B274" s="266" t="n"/>
      <c r="C274" s="50">
        <f>IF(B274=0,"",YEAR(B274))</f>
        <v/>
      </c>
      <c r="D274" s="50">
        <f>IF(B274=0,"",MONTH(B274)&amp;"월")</f>
        <v/>
      </c>
      <c r="E274" s="51">
        <f>IF(B274=0,"",DAY(B274)&amp;"일")</f>
        <v/>
      </c>
      <c r="F274" s="260" t="n"/>
      <c r="G274" s="261" t="n"/>
      <c r="H274" s="263" t="n"/>
      <c r="I274" s="264" t="n"/>
      <c r="J274" s="47" t="n"/>
      <c r="K274" s="47" t="n"/>
      <c r="L274" s="47" t="n"/>
      <c r="M274" s="47" t="n"/>
    </row>
    <row r="275" ht="12.75" customHeight="1" s="202">
      <c r="B275" s="266" t="n"/>
      <c r="C275" s="50">
        <f>IF(B275=0,"",YEAR(B275))</f>
        <v/>
      </c>
      <c r="D275" s="50">
        <f>IF(B275=0,"",MONTH(B275)&amp;"월")</f>
        <v/>
      </c>
      <c r="E275" s="51">
        <f>IF(B275=0,"",DAY(B275)&amp;"일")</f>
        <v/>
      </c>
      <c r="F275" s="260" t="n"/>
      <c r="G275" s="261" t="n"/>
      <c r="H275" s="263" t="n"/>
      <c r="I275" s="264" t="n"/>
      <c r="J275" s="47" t="n"/>
      <c r="K275" s="47" t="n"/>
      <c r="L275" s="47" t="n"/>
      <c r="M275" s="47" t="n"/>
    </row>
    <row r="276" ht="12.75" customHeight="1" s="202">
      <c r="B276" s="266" t="n"/>
      <c r="C276" s="50">
        <f>IF(B276=0,"",YEAR(B276))</f>
        <v/>
      </c>
      <c r="D276" s="50">
        <f>IF(B276=0,"",MONTH(B276)&amp;"월")</f>
        <v/>
      </c>
      <c r="E276" s="51">
        <f>IF(B276=0,"",DAY(B276)&amp;"일")</f>
        <v/>
      </c>
      <c r="F276" s="260" t="n"/>
      <c r="G276" s="261" t="n"/>
      <c r="H276" s="263" t="n"/>
      <c r="I276" s="264" t="n"/>
      <c r="J276" s="47" t="n"/>
      <c r="K276" s="47" t="n"/>
      <c r="L276" s="47" t="n"/>
      <c r="M276" s="47" t="n"/>
    </row>
    <row r="277" ht="12.75" customHeight="1" s="202">
      <c r="B277" s="266" t="n"/>
      <c r="C277" s="50">
        <f>IF(B277=0,"",YEAR(B277))</f>
        <v/>
      </c>
      <c r="D277" s="50">
        <f>IF(B277=0,"",MONTH(B277)&amp;"월")</f>
        <v/>
      </c>
      <c r="E277" s="51">
        <f>IF(B277=0,"",DAY(B277)&amp;"일")</f>
        <v/>
      </c>
      <c r="F277" s="260" t="n"/>
      <c r="G277" s="261" t="n"/>
      <c r="H277" s="263" t="n"/>
      <c r="I277" s="264" t="n"/>
      <c r="J277" s="47" t="n"/>
      <c r="K277" s="47" t="n"/>
      <c r="L277" s="47" t="n"/>
      <c r="M277" s="47" t="n"/>
    </row>
    <row r="278" ht="12.75" customHeight="1" s="202">
      <c r="B278" s="266" t="n"/>
      <c r="C278" s="50">
        <f>IF(B278=0,"",YEAR(B278))</f>
        <v/>
      </c>
      <c r="D278" s="50">
        <f>IF(B278=0,"",MONTH(B278)&amp;"월")</f>
        <v/>
      </c>
      <c r="E278" s="51">
        <f>IF(B278=0,"",DAY(B278)&amp;"일")</f>
        <v/>
      </c>
      <c r="F278" s="260" t="n"/>
      <c r="G278" s="261" t="n"/>
      <c r="H278" s="263" t="n"/>
      <c r="I278" s="264" t="n"/>
      <c r="J278" s="47" t="n"/>
      <c r="K278" s="47" t="n"/>
      <c r="L278" s="47" t="n"/>
      <c r="M278" s="47" t="n"/>
    </row>
    <row r="279" ht="12.75" customHeight="1" s="202">
      <c r="B279" s="266" t="n"/>
      <c r="C279" s="50">
        <f>IF(B279=0,"",YEAR(B279))</f>
        <v/>
      </c>
      <c r="D279" s="50">
        <f>IF(B279=0,"",MONTH(B279)&amp;"월")</f>
        <v/>
      </c>
      <c r="E279" s="51">
        <f>IF(B279=0,"",DAY(B279)&amp;"일")</f>
        <v/>
      </c>
      <c r="F279" s="260" t="n"/>
      <c r="G279" s="261" t="n"/>
      <c r="H279" s="263" t="n"/>
      <c r="I279" s="264" t="n"/>
      <c r="J279" s="47" t="n"/>
      <c r="K279" s="47" t="n"/>
      <c r="L279" s="47" t="n"/>
      <c r="M279" s="47" t="n"/>
    </row>
    <row r="280" ht="12.75" customHeight="1" s="202">
      <c r="B280" s="266" t="n"/>
      <c r="C280" s="50">
        <f>IF(B280=0,"",YEAR(B280))</f>
        <v/>
      </c>
      <c r="D280" s="50">
        <f>IF(B280=0,"",MONTH(B280)&amp;"월")</f>
        <v/>
      </c>
      <c r="E280" s="51">
        <f>IF(B280=0,"",DAY(B280)&amp;"일")</f>
        <v/>
      </c>
      <c r="F280" s="260" t="n"/>
      <c r="G280" s="261" t="n"/>
      <c r="H280" s="263" t="n"/>
      <c r="I280" s="264" t="n"/>
      <c r="J280" s="47" t="n"/>
      <c r="K280" s="47" t="n"/>
      <c r="L280" s="47" t="n"/>
      <c r="M280" s="47" t="n"/>
    </row>
    <row r="281" ht="12.75" customHeight="1" s="202">
      <c r="B281" s="266" t="n"/>
      <c r="C281" s="50">
        <f>IF(B281=0,"",YEAR(B281))</f>
        <v/>
      </c>
      <c r="D281" s="50">
        <f>IF(B281=0,"",MONTH(B281)&amp;"월")</f>
        <v/>
      </c>
      <c r="E281" s="51">
        <f>IF(B281=0,"",DAY(B281)&amp;"일")</f>
        <v/>
      </c>
      <c r="F281" s="260" t="n"/>
      <c r="G281" s="261" t="n"/>
      <c r="H281" s="263" t="n"/>
      <c r="I281" s="264" t="n"/>
      <c r="J281" s="47" t="n"/>
      <c r="K281" s="47" t="n"/>
      <c r="L281" s="47" t="n"/>
      <c r="M281" s="47" t="n"/>
    </row>
    <row r="282" ht="12.75" customHeight="1" s="202">
      <c r="B282" s="266" t="n"/>
      <c r="C282" s="50">
        <f>IF(B282=0,"",YEAR(B282))</f>
        <v/>
      </c>
      <c r="D282" s="50">
        <f>IF(B282=0,"",MONTH(B282)&amp;"월")</f>
        <v/>
      </c>
      <c r="E282" s="51">
        <f>IF(B282=0,"",DAY(B282)&amp;"일")</f>
        <v/>
      </c>
      <c r="F282" s="260" t="n"/>
      <c r="G282" s="261" t="n"/>
      <c r="H282" s="263" t="n"/>
      <c r="I282" s="264" t="n"/>
      <c r="J282" s="47" t="n"/>
      <c r="K282" s="47" t="n"/>
      <c r="L282" s="47" t="n"/>
      <c r="M282" s="47" t="n"/>
    </row>
    <row r="283" ht="12.75" customHeight="1" s="202">
      <c r="B283" s="266" t="n"/>
      <c r="C283" s="50">
        <f>IF(B283=0,"",YEAR(B283))</f>
        <v/>
      </c>
      <c r="D283" s="50">
        <f>IF(B283=0,"",MONTH(B283)&amp;"월")</f>
        <v/>
      </c>
      <c r="E283" s="51">
        <f>IF(B283=0,"",DAY(B283)&amp;"일")</f>
        <v/>
      </c>
      <c r="F283" s="260" t="n"/>
      <c r="G283" s="261" t="n"/>
      <c r="H283" s="263" t="n"/>
      <c r="I283" s="264" t="n"/>
      <c r="J283" s="47" t="n"/>
      <c r="K283" s="47" t="n"/>
      <c r="L283" s="47" t="n"/>
      <c r="M283" s="47" t="n"/>
    </row>
    <row r="284" ht="12.75" customHeight="1" s="202">
      <c r="B284" s="266" t="n"/>
      <c r="C284" s="50">
        <f>IF(B284=0,"",YEAR(B284))</f>
        <v/>
      </c>
      <c r="D284" s="50">
        <f>IF(B284=0,"",MONTH(B284)&amp;"월")</f>
        <v/>
      </c>
      <c r="E284" s="51">
        <f>IF(B284=0,"",DAY(B284)&amp;"일")</f>
        <v/>
      </c>
      <c r="F284" s="260" t="n"/>
      <c r="G284" s="261" t="n"/>
      <c r="H284" s="263" t="n"/>
      <c r="I284" s="264" t="n"/>
      <c r="J284" s="47" t="n"/>
      <c r="K284" s="47" t="n"/>
      <c r="L284" s="47" t="n"/>
      <c r="M284" s="47" t="n"/>
    </row>
    <row r="285" ht="12.75" customHeight="1" s="202">
      <c r="B285" s="266" t="n"/>
      <c r="C285" s="50">
        <f>IF(B285=0,"",YEAR(B285))</f>
        <v/>
      </c>
      <c r="D285" s="50">
        <f>IF(B285=0,"",MONTH(B285)&amp;"월")</f>
        <v/>
      </c>
      <c r="E285" s="51">
        <f>IF(B285=0,"",DAY(B285)&amp;"일")</f>
        <v/>
      </c>
      <c r="F285" s="260" t="n"/>
      <c r="G285" s="261" t="n"/>
      <c r="H285" s="263" t="n"/>
      <c r="I285" s="264" t="n"/>
      <c r="J285" s="47" t="n"/>
      <c r="K285" s="47" t="n"/>
      <c r="L285" s="47" t="n"/>
      <c r="M285" s="47" t="n"/>
    </row>
    <row r="286" ht="12.75" customHeight="1" s="202">
      <c r="B286" s="266" t="n"/>
      <c r="C286" s="50">
        <f>IF(B286=0,"",YEAR(B286))</f>
        <v/>
      </c>
      <c r="D286" s="50">
        <f>IF(B286=0,"",MONTH(B286)&amp;"월")</f>
        <v/>
      </c>
      <c r="E286" s="51">
        <f>IF(B286=0,"",DAY(B286)&amp;"일")</f>
        <v/>
      </c>
      <c r="F286" s="260" t="n"/>
      <c r="G286" s="261" t="n"/>
      <c r="H286" s="263" t="n"/>
      <c r="I286" s="264" t="n"/>
      <c r="J286" s="47" t="n"/>
      <c r="K286" s="47" t="n"/>
      <c r="L286" s="47" t="n"/>
      <c r="M286" s="47" t="n"/>
    </row>
    <row r="287" ht="12.75" customHeight="1" s="202">
      <c r="B287" s="266" t="n"/>
      <c r="C287" s="50">
        <f>IF(B287=0,"",YEAR(B287))</f>
        <v/>
      </c>
      <c r="D287" s="50">
        <f>IF(B287=0,"",MONTH(B287)&amp;"월")</f>
        <v/>
      </c>
      <c r="E287" s="51">
        <f>IF(B287=0,"",DAY(B287)&amp;"일")</f>
        <v/>
      </c>
      <c r="F287" s="260" t="n"/>
      <c r="G287" s="261" t="n"/>
      <c r="H287" s="263" t="n"/>
      <c r="I287" s="264" t="n"/>
      <c r="J287" s="47" t="n"/>
      <c r="K287" s="47" t="n"/>
      <c r="L287" s="47" t="n"/>
      <c r="M287" s="47" t="n"/>
    </row>
    <row r="288" ht="12.75" customHeight="1" s="202">
      <c r="B288" s="266" t="n"/>
      <c r="C288" s="50">
        <f>IF(B288=0,"",YEAR(B288))</f>
        <v/>
      </c>
      <c r="D288" s="50">
        <f>IF(B288=0,"",MONTH(B288)&amp;"월")</f>
        <v/>
      </c>
      <c r="E288" s="51">
        <f>IF(B288=0,"",DAY(B288)&amp;"일")</f>
        <v/>
      </c>
      <c r="F288" s="260" t="n"/>
      <c r="G288" s="261" t="n"/>
      <c r="H288" s="263" t="n"/>
      <c r="I288" s="264" t="n"/>
      <c r="J288" s="47" t="n"/>
      <c r="K288" s="47" t="n"/>
      <c r="L288" s="47" t="n"/>
      <c r="M288" s="47" t="n"/>
    </row>
    <row r="289" ht="12.75" customHeight="1" s="202">
      <c r="B289" s="266" t="n"/>
      <c r="C289" s="50">
        <f>IF(B289=0,"",YEAR(B289))</f>
        <v/>
      </c>
      <c r="D289" s="50">
        <f>IF(B289=0,"",MONTH(B289)&amp;"월")</f>
        <v/>
      </c>
      <c r="E289" s="51">
        <f>IF(B289=0,"",DAY(B289)&amp;"일")</f>
        <v/>
      </c>
      <c r="F289" s="260" t="n"/>
      <c r="G289" s="261" t="n"/>
      <c r="H289" s="263" t="n"/>
      <c r="I289" s="264" t="n"/>
      <c r="J289" s="47" t="n"/>
      <c r="K289" s="47" t="n"/>
      <c r="L289" s="47" t="n"/>
      <c r="M289" s="47" t="n"/>
    </row>
    <row r="290" ht="12.75" customHeight="1" s="202">
      <c r="B290" s="266" t="n"/>
      <c r="C290" s="50">
        <f>IF(B290=0,"",YEAR(B290))</f>
        <v/>
      </c>
      <c r="D290" s="50">
        <f>IF(B290=0,"",MONTH(B290)&amp;"월")</f>
        <v/>
      </c>
      <c r="E290" s="51">
        <f>IF(B290=0,"",DAY(B290)&amp;"일")</f>
        <v/>
      </c>
      <c r="F290" s="260" t="n"/>
      <c r="G290" s="261" t="n"/>
      <c r="H290" s="263" t="n"/>
      <c r="I290" s="264" t="n"/>
      <c r="J290" s="47" t="n"/>
      <c r="K290" s="47" t="n"/>
      <c r="L290" s="47" t="n"/>
      <c r="M290" s="47" t="n"/>
    </row>
    <row r="291" ht="12.75" customHeight="1" s="202">
      <c r="B291" s="266" t="n"/>
      <c r="C291" s="50">
        <f>IF(B291=0,"",YEAR(B291))</f>
        <v/>
      </c>
      <c r="D291" s="50">
        <f>IF(B291=0,"",MONTH(B291)&amp;"월")</f>
        <v/>
      </c>
      <c r="E291" s="51">
        <f>IF(B291=0,"",DAY(B291)&amp;"일")</f>
        <v/>
      </c>
      <c r="F291" s="260" t="n"/>
      <c r="G291" s="261" t="n"/>
      <c r="H291" s="263" t="n"/>
      <c r="I291" s="264" t="n"/>
      <c r="J291" s="47" t="n"/>
      <c r="K291" s="47" t="n"/>
      <c r="L291" s="47" t="n"/>
      <c r="M291" s="47" t="n"/>
    </row>
    <row r="292" ht="12.75" customHeight="1" s="202">
      <c r="B292" s="266" t="n"/>
      <c r="C292" s="50">
        <f>IF(B292=0,"",YEAR(B292))</f>
        <v/>
      </c>
      <c r="D292" s="50">
        <f>IF(B292=0,"",MONTH(B292)&amp;"월")</f>
        <v/>
      </c>
      <c r="E292" s="51">
        <f>IF(B292=0,"",DAY(B292)&amp;"일")</f>
        <v/>
      </c>
      <c r="F292" s="260" t="n"/>
      <c r="G292" s="261" t="n"/>
      <c r="H292" s="263" t="n"/>
      <c r="I292" s="264" t="n"/>
      <c r="J292" s="47" t="n"/>
      <c r="K292" s="47" t="n"/>
      <c r="L292" s="47" t="n"/>
      <c r="M292" s="47" t="n"/>
    </row>
    <row r="293" ht="12.75" customHeight="1" s="202">
      <c r="B293" s="266" t="n"/>
      <c r="C293" s="50">
        <f>IF(B293=0,"",YEAR(B293))</f>
        <v/>
      </c>
      <c r="D293" s="50">
        <f>IF(B293=0,"",MONTH(B293)&amp;"월")</f>
        <v/>
      </c>
      <c r="E293" s="51">
        <f>IF(B293=0,"",DAY(B293)&amp;"일")</f>
        <v/>
      </c>
      <c r="F293" s="260" t="n"/>
      <c r="G293" s="261" t="n"/>
      <c r="H293" s="263" t="n"/>
      <c r="I293" s="264" t="n"/>
      <c r="J293" s="47" t="n"/>
      <c r="K293" s="47" t="n"/>
      <c r="L293" s="47" t="n"/>
      <c r="M293" s="47" t="n"/>
    </row>
    <row r="294" ht="12.75" customHeight="1" s="202">
      <c r="B294" s="266" t="n"/>
      <c r="C294" s="50">
        <f>IF(B294=0,"",YEAR(B294))</f>
        <v/>
      </c>
      <c r="D294" s="50">
        <f>IF(B294=0,"",MONTH(B294)&amp;"월")</f>
        <v/>
      </c>
      <c r="E294" s="51">
        <f>IF(B294=0,"",DAY(B294)&amp;"일")</f>
        <v/>
      </c>
      <c r="F294" s="260" t="n"/>
      <c r="G294" s="261" t="n"/>
      <c r="H294" s="263" t="n"/>
      <c r="I294" s="264" t="n"/>
      <c r="J294" s="47" t="n"/>
      <c r="K294" s="47" t="n"/>
      <c r="L294" s="47" t="n"/>
      <c r="M294" s="47" t="n"/>
    </row>
    <row r="295" ht="12.75" customHeight="1" s="202">
      <c r="B295" s="266" t="n"/>
      <c r="C295" s="50">
        <f>IF(B295=0,"",YEAR(B295))</f>
        <v/>
      </c>
      <c r="D295" s="50">
        <f>IF(B295=0,"",MONTH(B295)&amp;"월")</f>
        <v/>
      </c>
      <c r="E295" s="51">
        <f>IF(B295=0,"",DAY(B295)&amp;"일")</f>
        <v/>
      </c>
      <c r="F295" s="260" t="n"/>
      <c r="G295" s="261" t="n"/>
      <c r="H295" s="263" t="n"/>
      <c r="I295" s="264" t="n"/>
      <c r="J295" s="47" t="n"/>
      <c r="K295" s="47" t="n"/>
      <c r="L295" s="47" t="n"/>
      <c r="M295" s="47" t="n"/>
    </row>
    <row r="296" ht="12.75" customHeight="1" s="202">
      <c r="B296" s="266" t="n"/>
      <c r="C296" s="50">
        <f>IF(B296=0,"",YEAR(B296))</f>
        <v/>
      </c>
      <c r="D296" s="50">
        <f>IF(B296=0,"",MONTH(B296)&amp;"월")</f>
        <v/>
      </c>
      <c r="E296" s="51">
        <f>IF(B296=0,"",DAY(B296)&amp;"일")</f>
        <v/>
      </c>
      <c r="F296" s="260" t="n"/>
      <c r="G296" s="261" t="n"/>
      <c r="H296" s="263" t="n"/>
      <c r="I296" s="264" t="n"/>
      <c r="J296" s="47" t="n"/>
      <c r="K296" s="47" t="n"/>
      <c r="L296" s="47" t="n"/>
      <c r="M296" s="47" t="n"/>
    </row>
    <row r="297" ht="12.75" customHeight="1" s="202">
      <c r="B297" s="266" t="n"/>
      <c r="C297" s="50">
        <f>IF(B297=0,"",YEAR(B297))</f>
        <v/>
      </c>
      <c r="D297" s="50">
        <f>IF(B297=0,"",MONTH(B297)&amp;"월")</f>
        <v/>
      </c>
      <c r="E297" s="51">
        <f>IF(B297=0,"",DAY(B297)&amp;"일")</f>
        <v/>
      </c>
      <c r="F297" s="260" t="n"/>
      <c r="G297" s="261" t="n"/>
      <c r="H297" s="263" t="n"/>
      <c r="I297" s="264" t="n"/>
      <c r="J297" s="47" t="n"/>
      <c r="K297" s="47" t="n"/>
      <c r="L297" s="47" t="n"/>
      <c r="M297" s="47" t="n"/>
    </row>
    <row r="298" ht="12.75" customHeight="1" s="202">
      <c r="B298" s="266" t="n"/>
      <c r="C298" s="50">
        <f>IF(B298=0,"",YEAR(B298))</f>
        <v/>
      </c>
      <c r="D298" s="50">
        <f>IF(B298=0,"",MONTH(B298)&amp;"월")</f>
        <v/>
      </c>
      <c r="E298" s="51">
        <f>IF(B298=0,"",DAY(B298)&amp;"일")</f>
        <v/>
      </c>
      <c r="F298" s="260" t="n"/>
      <c r="G298" s="261" t="n"/>
      <c r="H298" s="263" t="n"/>
      <c r="I298" s="264" t="n"/>
      <c r="J298" s="47" t="n"/>
      <c r="K298" s="47" t="n"/>
      <c r="L298" s="47" t="n"/>
      <c r="M298" s="47" t="n"/>
    </row>
    <row r="299" ht="12.75" customHeight="1" s="202">
      <c r="B299" s="266" t="n"/>
      <c r="C299" s="50">
        <f>IF(B299=0,"",YEAR(B299))</f>
        <v/>
      </c>
      <c r="D299" s="50">
        <f>IF(B299=0,"",MONTH(B299)&amp;"월")</f>
        <v/>
      </c>
      <c r="E299" s="51">
        <f>IF(B299=0,"",DAY(B299)&amp;"일")</f>
        <v/>
      </c>
      <c r="F299" s="260" t="n"/>
      <c r="G299" s="261" t="n"/>
      <c r="H299" s="263" t="n"/>
      <c r="I299" s="264" t="n"/>
      <c r="J299" s="47" t="n"/>
      <c r="K299" s="47" t="n"/>
      <c r="L299" s="47" t="n"/>
      <c r="M299" s="47" t="n"/>
    </row>
    <row r="300" ht="12.75" customHeight="1" s="202">
      <c r="B300" s="266" t="n"/>
      <c r="C300" s="50">
        <f>IF(B300=0,"",YEAR(B300))</f>
        <v/>
      </c>
      <c r="D300" s="50">
        <f>IF(B300=0,"",MONTH(B300)&amp;"월")</f>
        <v/>
      </c>
      <c r="E300" s="51">
        <f>IF(B300=0,"",DAY(B300)&amp;"일")</f>
        <v/>
      </c>
      <c r="F300" s="260" t="n"/>
      <c r="G300" s="261" t="n"/>
      <c r="H300" s="263" t="n"/>
      <c r="I300" s="264" t="n"/>
      <c r="J300" s="47" t="n"/>
      <c r="K300" s="47" t="n"/>
      <c r="L300" s="47" t="n"/>
      <c r="M300" s="47" t="n"/>
    </row>
    <row r="301" ht="12.75" customHeight="1" s="202">
      <c r="B301" s="266" t="n"/>
      <c r="C301" s="50">
        <f>IF(B301=0,"",YEAR(B301))</f>
        <v/>
      </c>
      <c r="D301" s="50">
        <f>IF(B301=0,"",MONTH(B301)&amp;"월")</f>
        <v/>
      </c>
      <c r="E301" s="51">
        <f>IF(B301=0,"",DAY(B301)&amp;"일")</f>
        <v/>
      </c>
      <c r="F301" s="260" t="n"/>
      <c r="G301" s="261" t="n"/>
      <c r="H301" s="263" t="n"/>
      <c r="I301" s="264" t="n"/>
      <c r="J301" s="47" t="n"/>
      <c r="K301" s="47" t="n"/>
      <c r="L301" s="47" t="n"/>
      <c r="M301" s="47" t="n"/>
    </row>
    <row r="302" ht="12.75" customHeight="1" s="202">
      <c r="B302" s="266" t="n"/>
      <c r="C302" s="50">
        <f>IF(B302=0,"",YEAR(B302))</f>
        <v/>
      </c>
      <c r="D302" s="50">
        <f>IF(B302=0,"",MONTH(B302)&amp;"월")</f>
        <v/>
      </c>
      <c r="E302" s="51">
        <f>IF(B302=0,"",DAY(B302)&amp;"일")</f>
        <v/>
      </c>
      <c r="F302" s="260" t="n"/>
      <c r="G302" s="261" t="n"/>
      <c r="H302" s="263" t="n"/>
      <c r="I302" s="264" t="n"/>
      <c r="J302" s="47" t="n"/>
      <c r="K302" s="47" t="n"/>
      <c r="L302" s="47" t="n"/>
      <c r="M302" s="47" t="n"/>
    </row>
    <row r="303" ht="12.75" customHeight="1" s="202">
      <c r="B303" s="266" t="n"/>
      <c r="C303" s="50">
        <f>IF(B303=0,"",YEAR(B303))</f>
        <v/>
      </c>
      <c r="D303" s="50">
        <f>IF(B303=0,"",MONTH(B303)&amp;"월")</f>
        <v/>
      </c>
      <c r="E303" s="51">
        <f>IF(B303=0,"",DAY(B303)&amp;"일")</f>
        <v/>
      </c>
      <c r="F303" s="260" t="n"/>
      <c r="G303" s="261" t="n"/>
      <c r="H303" s="263" t="n"/>
      <c r="I303" s="264" t="n"/>
      <c r="J303" s="47" t="n"/>
      <c r="K303" s="47" t="n"/>
      <c r="L303" s="47" t="n"/>
      <c r="M303" s="47" t="n"/>
    </row>
    <row r="304" ht="12.75" customHeight="1" s="202">
      <c r="B304" s="266" t="n"/>
      <c r="C304" s="50">
        <f>IF(B304=0,"",YEAR(B304))</f>
        <v/>
      </c>
      <c r="D304" s="50">
        <f>IF(B304=0,"",MONTH(B304)&amp;"월")</f>
        <v/>
      </c>
      <c r="E304" s="51">
        <f>IF(B304=0,"",DAY(B304)&amp;"일")</f>
        <v/>
      </c>
      <c r="F304" s="260" t="n"/>
      <c r="G304" s="261" t="n"/>
      <c r="H304" s="263" t="n"/>
      <c r="I304" s="264" t="n"/>
      <c r="J304" s="47" t="n"/>
      <c r="K304" s="47" t="n"/>
      <c r="L304" s="47" t="n"/>
      <c r="M304" s="47" t="n"/>
    </row>
    <row r="305" ht="12.75" customHeight="1" s="202">
      <c r="B305" s="266" t="n"/>
      <c r="C305" s="50">
        <f>IF(B305=0,"",YEAR(B305))</f>
        <v/>
      </c>
      <c r="D305" s="50">
        <f>IF(B305=0,"",MONTH(B305)&amp;"월")</f>
        <v/>
      </c>
      <c r="E305" s="51">
        <f>IF(B305=0,"",DAY(B305)&amp;"일")</f>
        <v/>
      </c>
      <c r="F305" s="260" t="n"/>
      <c r="G305" s="261" t="n"/>
      <c r="H305" s="263" t="n"/>
      <c r="I305" s="264" t="n"/>
      <c r="J305" s="47" t="n"/>
      <c r="K305" s="47" t="n"/>
      <c r="L305" s="47" t="n"/>
      <c r="M305" s="47" t="n"/>
    </row>
    <row r="306" ht="12.75" customHeight="1" s="202">
      <c r="B306" s="266" t="n"/>
      <c r="C306" s="50">
        <f>IF(B306=0,"",YEAR(B306))</f>
        <v/>
      </c>
      <c r="D306" s="50">
        <f>IF(B306=0,"",MONTH(B306)&amp;"월")</f>
        <v/>
      </c>
      <c r="E306" s="51">
        <f>IF(B306=0,"",DAY(B306)&amp;"일")</f>
        <v/>
      </c>
      <c r="F306" s="260" t="n"/>
      <c r="G306" s="261" t="n"/>
      <c r="H306" s="263" t="n"/>
      <c r="I306" s="264" t="n"/>
      <c r="J306" s="47" t="n"/>
      <c r="K306" s="47" t="n"/>
      <c r="L306" s="47" t="n"/>
      <c r="M306" s="47" t="n"/>
    </row>
    <row r="307" ht="12.75" customHeight="1" s="202">
      <c r="B307" s="266" t="n"/>
      <c r="C307" s="50">
        <f>IF(B307=0,"",YEAR(B307))</f>
        <v/>
      </c>
      <c r="D307" s="50">
        <f>IF(B307=0,"",MONTH(B307)&amp;"월")</f>
        <v/>
      </c>
      <c r="E307" s="51">
        <f>IF(B307=0,"",DAY(B307)&amp;"일")</f>
        <v/>
      </c>
      <c r="F307" s="260" t="n"/>
      <c r="G307" s="261" t="n"/>
      <c r="H307" s="263" t="n"/>
      <c r="I307" s="264" t="n"/>
      <c r="J307" s="47" t="n"/>
      <c r="K307" s="47" t="n"/>
      <c r="L307" s="47" t="n"/>
      <c r="M307" s="47" t="n"/>
    </row>
    <row r="308" ht="12.75" customHeight="1" s="202">
      <c r="B308" s="266" t="n"/>
      <c r="C308" s="50">
        <f>IF(B308=0,"",YEAR(B308))</f>
        <v/>
      </c>
      <c r="D308" s="50">
        <f>IF(B308=0,"",MONTH(B308)&amp;"월")</f>
        <v/>
      </c>
      <c r="E308" s="51">
        <f>IF(B308=0,"",DAY(B308)&amp;"일")</f>
        <v/>
      </c>
      <c r="F308" s="260" t="n"/>
      <c r="G308" s="261" t="n"/>
      <c r="H308" s="263" t="n"/>
      <c r="I308" s="264" t="n"/>
      <c r="J308" s="47" t="n"/>
      <c r="K308" s="47" t="n"/>
      <c r="L308" s="47" t="n"/>
      <c r="M308" s="47" t="n"/>
    </row>
    <row r="309" ht="12.75" customHeight="1" s="202">
      <c r="B309" s="266" t="n"/>
      <c r="C309" s="50">
        <f>IF(B309=0,"",YEAR(B309))</f>
        <v/>
      </c>
      <c r="D309" s="50">
        <f>IF(B309=0,"",MONTH(B309)&amp;"월")</f>
        <v/>
      </c>
      <c r="E309" s="51">
        <f>IF(B309=0,"",DAY(B309)&amp;"일")</f>
        <v/>
      </c>
      <c r="F309" s="260" t="n"/>
      <c r="G309" s="261" t="n"/>
      <c r="H309" s="263" t="n"/>
      <c r="I309" s="264" t="n"/>
      <c r="J309" s="47" t="n"/>
      <c r="K309" s="47" t="n"/>
      <c r="L309" s="47" t="n"/>
      <c r="M309" s="47" t="n"/>
    </row>
    <row r="310" ht="12.75" customHeight="1" s="202">
      <c r="B310" s="266" t="n"/>
      <c r="C310" s="50">
        <f>IF(B310=0,"",YEAR(B310))</f>
        <v/>
      </c>
      <c r="D310" s="50">
        <f>IF(B310=0,"",MONTH(B310)&amp;"월")</f>
        <v/>
      </c>
      <c r="E310" s="51">
        <f>IF(B310=0,"",DAY(B310)&amp;"일")</f>
        <v/>
      </c>
      <c r="F310" s="260" t="n"/>
      <c r="G310" s="261" t="n"/>
      <c r="H310" s="263" t="n"/>
      <c r="I310" s="264" t="n"/>
      <c r="J310" s="47" t="n"/>
      <c r="K310" s="47" t="n"/>
      <c r="L310" s="47" t="n"/>
      <c r="M310" s="47" t="n"/>
    </row>
    <row r="311" ht="12.75" customHeight="1" s="202">
      <c r="B311" s="266" t="n"/>
      <c r="C311" s="50">
        <f>IF(B311=0,"",YEAR(B311))</f>
        <v/>
      </c>
      <c r="D311" s="50">
        <f>IF(B311=0,"",MONTH(B311)&amp;"월")</f>
        <v/>
      </c>
      <c r="E311" s="51">
        <f>IF(B311=0,"",DAY(B311)&amp;"일")</f>
        <v/>
      </c>
      <c r="F311" s="260" t="n"/>
      <c r="G311" s="261" t="n"/>
      <c r="H311" s="263" t="n"/>
      <c r="I311" s="264" t="n"/>
      <c r="J311" s="47" t="n"/>
      <c r="K311" s="47" t="n"/>
      <c r="L311" s="47" t="n"/>
      <c r="M311" s="47" t="n"/>
    </row>
    <row r="312" ht="12.75" customHeight="1" s="202">
      <c r="B312" s="266" t="n"/>
      <c r="C312" s="50">
        <f>IF(B312=0,"",YEAR(B312))</f>
        <v/>
      </c>
      <c r="D312" s="50">
        <f>IF(B312=0,"",MONTH(B312)&amp;"월")</f>
        <v/>
      </c>
      <c r="E312" s="51">
        <f>IF(B312=0,"",DAY(B312)&amp;"일")</f>
        <v/>
      </c>
      <c r="F312" s="260" t="n"/>
      <c r="G312" s="261" t="n"/>
      <c r="H312" s="263" t="n"/>
      <c r="I312" s="264" t="n"/>
      <c r="J312" s="47" t="n"/>
      <c r="K312" s="47" t="n"/>
      <c r="L312" s="47" t="n"/>
      <c r="M312" s="47" t="n"/>
    </row>
    <row r="313" ht="12.75" customHeight="1" s="202">
      <c r="B313" s="266" t="n"/>
      <c r="C313" s="50">
        <f>IF(B313=0,"",YEAR(B313))</f>
        <v/>
      </c>
      <c r="D313" s="50">
        <f>IF(B313=0,"",MONTH(B313)&amp;"월")</f>
        <v/>
      </c>
      <c r="E313" s="51">
        <f>IF(B313=0,"",DAY(B313)&amp;"일")</f>
        <v/>
      </c>
      <c r="F313" s="260" t="n"/>
      <c r="G313" s="261" t="n"/>
      <c r="H313" s="263" t="n"/>
      <c r="I313" s="264" t="n"/>
      <c r="J313" s="47" t="n"/>
      <c r="K313" s="47" t="n"/>
      <c r="L313" s="47" t="n"/>
      <c r="M313" s="47" t="n"/>
    </row>
    <row r="314" ht="12.75" customHeight="1" s="202">
      <c r="B314" s="266" t="n"/>
      <c r="C314" s="50">
        <f>IF(B314=0,"",YEAR(B314))</f>
        <v/>
      </c>
      <c r="D314" s="50">
        <f>IF(B314=0,"",MONTH(B314)&amp;"월")</f>
        <v/>
      </c>
      <c r="E314" s="51">
        <f>IF(B314=0,"",DAY(B314)&amp;"일")</f>
        <v/>
      </c>
      <c r="F314" s="260" t="n"/>
      <c r="G314" s="261" t="n"/>
      <c r="H314" s="263" t="n"/>
      <c r="I314" s="264" t="n"/>
      <c r="J314" s="47" t="n"/>
      <c r="K314" s="47" t="n"/>
      <c r="L314" s="47" t="n"/>
      <c r="M314" s="47" t="n"/>
    </row>
    <row r="315" ht="12.75" customHeight="1" s="202">
      <c r="B315" s="266" t="n"/>
      <c r="C315" s="50">
        <f>IF(B315=0,"",YEAR(B315))</f>
        <v/>
      </c>
      <c r="D315" s="50">
        <f>IF(B315=0,"",MONTH(B315)&amp;"월")</f>
        <v/>
      </c>
      <c r="E315" s="51">
        <f>IF(B315=0,"",DAY(B315)&amp;"일")</f>
        <v/>
      </c>
      <c r="F315" s="260" t="n"/>
      <c r="G315" s="261" t="n"/>
      <c r="H315" s="263" t="n"/>
      <c r="I315" s="264" t="n"/>
      <c r="J315" s="47" t="n"/>
      <c r="K315" s="47" t="n"/>
      <c r="L315" s="47" t="n"/>
      <c r="M315" s="47" t="n"/>
    </row>
    <row r="316" ht="12.75" customHeight="1" s="202">
      <c r="B316" s="266" t="n"/>
      <c r="C316" s="50">
        <f>IF(B316=0,"",YEAR(B316))</f>
        <v/>
      </c>
      <c r="D316" s="50">
        <f>IF(B316=0,"",MONTH(B316)&amp;"월")</f>
        <v/>
      </c>
      <c r="E316" s="51">
        <f>IF(B316=0,"",DAY(B316)&amp;"일")</f>
        <v/>
      </c>
      <c r="F316" s="260" t="n"/>
      <c r="G316" s="261" t="n"/>
      <c r="H316" s="263" t="n"/>
      <c r="I316" s="264" t="n"/>
      <c r="J316" s="47" t="n"/>
      <c r="K316" s="47" t="n"/>
      <c r="L316" s="47" t="n"/>
      <c r="M316" s="47" t="n"/>
    </row>
    <row r="317" ht="12.75" customHeight="1" s="202">
      <c r="B317" s="266" t="n"/>
      <c r="C317" s="50">
        <f>IF(B317=0,"",YEAR(B317))</f>
        <v/>
      </c>
      <c r="D317" s="50">
        <f>IF(B317=0,"",MONTH(B317)&amp;"월")</f>
        <v/>
      </c>
      <c r="E317" s="51">
        <f>IF(B317=0,"",DAY(B317)&amp;"일")</f>
        <v/>
      </c>
      <c r="F317" s="260" t="n"/>
      <c r="G317" s="261" t="n"/>
      <c r="H317" s="263" t="n"/>
      <c r="I317" s="264" t="n"/>
      <c r="J317" s="47" t="n"/>
      <c r="K317" s="47" t="n"/>
      <c r="L317" s="47" t="n"/>
      <c r="M317" s="47" t="n"/>
    </row>
    <row r="318" ht="12.75" customHeight="1" s="202">
      <c r="B318" s="266" t="n"/>
      <c r="C318" s="50">
        <f>IF(B318=0,"",YEAR(B318))</f>
        <v/>
      </c>
      <c r="D318" s="50">
        <f>IF(B318=0,"",MONTH(B318)&amp;"월")</f>
        <v/>
      </c>
      <c r="E318" s="51">
        <f>IF(B318=0,"",DAY(B318)&amp;"일")</f>
        <v/>
      </c>
      <c r="F318" s="260" t="n"/>
      <c r="G318" s="261" t="n"/>
      <c r="H318" s="263" t="n"/>
      <c r="I318" s="264" t="n"/>
      <c r="J318" s="47" t="n"/>
      <c r="K318" s="47" t="n"/>
      <c r="L318" s="47" t="n"/>
      <c r="M318" s="47" t="n"/>
    </row>
    <row r="319" ht="12.75" customHeight="1" s="202">
      <c r="B319" s="266" t="n"/>
      <c r="C319" s="50">
        <f>IF(B319=0,"",YEAR(B319))</f>
        <v/>
      </c>
      <c r="D319" s="50">
        <f>IF(B319=0,"",MONTH(B319)&amp;"월")</f>
        <v/>
      </c>
      <c r="E319" s="51">
        <f>IF(B319=0,"",DAY(B319)&amp;"일")</f>
        <v/>
      </c>
      <c r="F319" s="260" t="n"/>
      <c r="G319" s="261" t="n"/>
      <c r="H319" s="263" t="n"/>
      <c r="I319" s="264" t="n"/>
      <c r="J319" s="47" t="n"/>
      <c r="K319" s="47" t="n"/>
      <c r="L319" s="47" t="n"/>
      <c r="M319" s="47" t="n"/>
    </row>
    <row r="320" ht="12.75" customHeight="1" s="202">
      <c r="B320" s="266" t="n"/>
      <c r="C320" s="50">
        <f>IF(B320=0,"",YEAR(B320))</f>
        <v/>
      </c>
      <c r="D320" s="50">
        <f>IF(B320=0,"",MONTH(B320)&amp;"월")</f>
        <v/>
      </c>
      <c r="E320" s="51">
        <f>IF(B320=0,"",DAY(B320)&amp;"일")</f>
        <v/>
      </c>
      <c r="F320" s="260" t="n"/>
      <c r="G320" s="261" t="n"/>
      <c r="H320" s="263" t="n"/>
      <c r="I320" s="264" t="n"/>
      <c r="J320" s="47" t="n"/>
      <c r="K320" s="47" t="n"/>
      <c r="L320" s="47" t="n"/>
      <c r="M320" s="47" t="n"/>
    </row>
    <row r="321" ht="12.75" customHeight="1" s="202">
      <c r="B321" s="266" t="n"/>
      <c r="C321" s="50">
        <f>IF(B321=0,"",YEAR(B321))</f>
        <v/>
      </c>
      <c r="D321" s="50">
        <f>IF(B321=0,"",MONTH(B321)&amp;"월")</f>
        <v/>
      </c>
      <c r="E321" s="51">
        <f>IF(B321=0,"",DAY(B321)&amp;"일")</f>
        <v/>
      </c>
      <c r="F321" s="260" t="n"/>
      <c r="G321" s="261" t="n"/>
      <c r="H321" s="263" t="n"/>
      <c r="I321" s="264" t="n"/>
      <c r="J321" s="47" t="n"/>
      <c r="K321" s="47" t="n"/>
      <c r="L321" s="47" t="n"/>
      <c r="M321" s="47" t="n"/>
    </row>
    <row r="322" ht="12.75" customHeight="1" s="202">
      <c r="B322" s="266" t="n"/>
      <c r="C322" s="50">
        <f>IF(B322=0,"",YEAR(B322))</f>
        <v/>
      </c>
      <c r="D322" s="50">
        <f>IF(B322=0,"",MONTH(B322)&amp;"월")</f>
        <v/>
      </c>
      <c r="E322" s="51">
        <f>IF(B322=0,"",DAY(B322)&amp;"일")</f>
        <v/>
      </c>
      <c r="F322" s="260" t="n"/>
      <c r="G322" s="261" t="n"/>
      <c r="H322" s="263" t="n"/>
      <c r="I322" s="264" t="n"/>
      <c r="J322" s="47" t="n"/>
      <c r="K322" s="47" t="n"/>
      <c r="L322" s="47" t="n"/>
      <c r="M322" s="47" t="n"/>
    </row>
    <row r="323" ht="12.75" customHeight="1" s="202">
      <c r="B323" s="266" t="n"/>
      <c r="C323" s="50">
        <f>IF(B323=0,"",YEAR(B323))</f>
        <v/>
      </c>
      <c r="D323" s="50">
        <f>IF(B323=0,"",MONTH(B323)&amp;"월")</f>
        <v/>
      </c>
      <c r="E323" s="51">
        <f>IF(B323=0,"",DAY(B323)&amp;"일")</f>
        <v/>
      </c>
      <c r="F323" s="260" t="n"/>
      <c r="G323" s="261" t="n"/>
      <c r="H323" s="263" t="n"/>
      <c r="I323" s="264" t="n"/>
      <c r="J323" s="47" t="n"/>
      <c r="K323" s="47" t="n"/>
      <c r="L323" s="47" t="n"/>
      <c r="M323" s="47" t="n"/>
    </row>
    <row r="324" ht="12.75" customHeight="1" s="202">
      <c r="B324" s="266" t="n"/>
      <c r="C324" s="50">
        <f>IF(B324=0,"",YEAR(B324))</f>
        <v/>
      </c>
      <c r="D324" s="50">
        <f>IF(B324=0,"",MONTH(B324)&amp;"월")</f>
        <v/>
      </c>
      <c r="E324" s="51">
        <f>IF(B324=0,"",DAY(B324)&amp;"일")</f>
        <v/>
      </c>
      <c r="F324" s="260" t="n"/>
      <c r="G324" s="261" t="n"/>
      <c r="H324" s="263" t="n"/>
      <c r="I324" s="264" t="n"/>
      <c r="J324" s="47" t="n"/>
      <c r="K324" s="47" t="n"/>
      <c r="L324" s="47" t="n"/>
      <c r="M324" s="47" t="n"/>
    </row>
    <row r="325" ht="12.75" customHeight="1" s="202">
      <c r="B325" s="266" t="n"/>
      <c r="C325" s="50">
        <f>IF(B325=0,"",YEAR(B325))</f>
        <v/>
      </c>
      <c r="D325" s="50">
        <f>IF(B325=0,"",MONTH(B325)&amp;"월")</f>
        <v/>
      </c>
      <c r="E325" s="51">
        <f>IF(B325=0,"",DAY(B325)&amp;"일")</f>
        <v/>
      </c>
      <c r="F325" s="260" t="n"/>
      <c r="G325" s="261" t="n"/>
      <c r="H325" s="263" t="n"/>
      <c r="I325" s="264" t="n"/>
      <c r="J325" s="47" t="n"/>
      <c r="K325" s="47" t="n"/>
      <c r="L325" s="47" t="n"/>
      <c r="M325" s="47" t="n"/>
    </row>
    <row r="326" ht="12.75" customHeight="1" s="202">
      <c r="B326" s="266" t="n"/>
      <c r="C326" s="50">
        <f>IF(B326=0,"",YEAR(B326))</f>
        <v/>
      </c>
      <c r="D326" s="50">
        <f>IF(B326=0,"",MONTH(B326)&amp;"월")</f>
        <v/>
      </c>
      <c r="E326" s="51">
        <f>IF(B326=0,"",DAY(B326)&amp;"일")</f>
        <v/>
      </c>
      <c r="F326" s="260" t="n"/>
      <c r="G326" s="261" t="n"/>
      <c r="H326" s="263" t="n"/>
      <c r="I326" s="264" t="n"/>
      <c r="J326" s="47" t="n"/>
      <c r="K326" s="47" t="n"/>
      <c r="L326" s="47" t="n"/>
      <c r="M326" s="47" t="n"/>
    </row>
    <row r="327" ht="12.75" customHeight="1" s="202">
      <c r="B327" s="266" t="n"/>
      <c r="C327" s="50">
        <f>IF(B327=0,"",YEAR(B327))</f>
        <v/>
      </c>
      <c r="D327" s="50">
        <f>IF(B327=0,"",MONTH(B327)&amp;"월")</f>
        <v/>
      </c>
      <c r="E327" s="51">
        <f>IF(B327=0,"",DAY(B327)&amp;"일")</f>
        <v/>
      </c>
      <c r="F327" s="260" t="n"/>
      <c r="G327" s="261" t="n"/>
      <c r="H327" s="263" t="n"/>
      <c r="I327" s="264" t="n"/>
      <c r="J327" s="47" t="n"/>
      <c r="K327" s="47" t="n"/>
      <c r="L327" s="47" t="n"/>
      <c r="M327" s="47" t="n"/>
    </row>
    <row r="328" ht="12.75" customHeight="1" s="202">
      <c r="B328" s="266" t="n"/>
      <c r="C328" s="50">
        <f>IF(B328=0,"",YEAR(B328))</f>
        <v/>
      </c>
      <c r="D328" s="50">
        <f>IF(B328=0,"",MONTH(B328)&amp;"월")</f>
        <v/>
      </c>
      <c r="E328" s="51">
        <f>IF(B328=0,"",DAY(B328)&amp;"일")</f>
        <v/>
      </c>
      <c r="F328" s="260" t="n"/>
      <c r="G328" s="261" t="n"/>
      <c r="H328" s="263" t="n"/>
      <c r="I328" s="264" t="n"/>
      <c r="J328" s="47" t="n"/>
      <c r="K328" s="47" t="n"/>
      <c r="L328" s="47" t="n"/>
      <c r="M328" s="47" t="n"/>
    </row>
    <row r="329" ht="12.75" customHeight="1" s="202">
      <c r="B329" s="266" t="n"/>
      <c r="C329" s="50">
        <f>IF(B329=0,"",YEAR(B329))</f>
        <v/>
      </c>
      <c r="D329" s="50">
        <f>IF(B329=0,"",MONTH(B329)&amp;"월")</f>
        <v/>
      </c>
      <c r="E329" s="51">
        <f>IF(B329=0,"",DAY(B329)&amp;"일")</f>
        <v/>
      </c>
      <c r="F329" s="260" t="n"/>
      <c r="G329" s="261" t="n"/>
      <c r="H329" s="263" t="n"/>
      <c r="I329" s="264" t="n"/>
      <c r="J329" s="47" t="n"/>
      <c r="K329" s="47" t="n"/>
      <c r="L329" s="47" t="n"/>
      <c r="M329" s="47" t="n"/>
    </row>
    <row r="330" ht="12.75" customHeight="1" s="202">
      <c r="B330" s="266" t="n"/>
      <c r="C330" s="50">
        <f>IF(B330=0,"",YEAR(B330))</f>
        <v/>
      </c>
      <c r="D330" s="50">
        <f>IF(B330=0,"",MONTH(B330)&amp;"월")</f>
        <v/>
      </c>
      <c r="E330" s="51">
        <f>IF(B330=0,"",DAY(B330)&amp;"일")</f>
        <v/>
      </c>
      <c r="F330" s="260" t="n"/>
      <c r="G330" s="261" t="n"/>
      <c r="H330" s="263" t="n"/>
      <c r="I330" s="264" t="n"/>
      <c r="J330" s="47" t="n"/>
      <c r="K330" s="47" t="n"/>
      <c r="L330" s="47" t="n"/>
      <c r="M330" s="47" t="n"/>
    </row>
    <row r="331" ht="12.75" customHeight="1" s="202">
      <c r="B331" s="266" t="n"/>
      <c r="C331" s="50">
        <f>IF(B331=0,"",YEAR(B331))</f>
        <v/>
      </c>
      <c r="D331" s="50">
        <f>IF(B331=0,"",MONTH(B331)&amp;"월")</f>
        <v/>
      </c>
      <c r="E331" s="51">
        <f>IF(B331=0,"",DAY(B331)&amp;"일")</f>
        <v/>
      </c>
      <c r="F331" s="260" t="n"/>
      <c r="G331" s="261" t="n"/>
      <c r="H331" s="263" t="n"/>
      <c r="I331" s="264" t="n"/>
      <c r="J331" s="47" t="n"/>
      <c r="K331" s="47" t="n"/>
      <c r="L331" s="47" t="n"/>
      <c r="M331" s="47" t="n"/>
    </row>
    <row r="332" ht="12.75" customHeight="1" s="202">
      <c r="B332" s="266" t="n"/>
      <c r="C332" s="50">
        <f>IF(B332=0,"",YEAR(B332))</f>
        <v/>
      </c>
      <c r="D332" s="50">
        <f>IF(B332=0,"",MONTH(B332)&amp;"월")</f>
        <v/>
      </c>
      <c r="E332" s="51">
        <f>IF(B332=0,"",DAY(B332)&amp;"일")</f>
        <v/>
      </c>
      <c r="F332" s="260" t="n"/>
      <c r="G332" s="261" t="n"/>
      <c r="H332" s="263" t="n"/>
      <c r="I332" s="264" t="n"/>
      <c r="J332" s="47" t="n"/>
      <c r="K332" s="47" t="n"/>
      <c r="L332" s="47" t="n"/>
      <c r="M332" s="47" t="n"/>
    </row>
    <row r="333" ht="12.75" customHeight="1" s="202">
      <c r="B333" s="266" t="n"/>
      <c r="C333" s="50">
        <f>IF(B333=0,"",YEAR(B333))</f>
        <v/>
      </c>
      <c r="D333" s="50">
        <f>IF(B333=0,"",MONTH(B333)&amp;"월")</f>
        <v/>
      </c>
      <c r="E333" s="51">
        <f>IF(B333=0,"",DAY(B333)&amp;"일")</f>
        <v/>
      </c>
      <c r="F333" s="260" t="n"/>
      <c r="G333" s="261" t="n"/>
      <c r="H333" s="263" t="n"/>
      <c r="I333" s="264" t="n"/>
      <c r="J333" s="47" t="n"/>
      <c r="K333" s="47" t="n"/>
      <c r="L333" s="47" t="n"/>
      <c r="M333" s="47" t="n"/>
    </row>
    <row r="334" ht="12.75" customHeight="1" s="202">
      <c r="B334" s="266" t="n"/>
      <c r="C334" s="50">
        <f>IF(B334=0,"",YEAR(B334))</f>
        <v/>
      </c>
      <c r="D334" s="50">
        <f>IF(B334=0,"",MONTH(B334)&amp;"월")</f>
        <v/>
      </c>
      <c r="E334" s="51">
        <f>IF(B334=0,"",DAY(B334)&amp;"일")</f>
        <v/>
      </c>
      <c r="F334" s="260" t="n"/>
      <c r="G334" s="261" t="n"/>
      <c r="H334" s="263" t="n"/>
      <c r="I334" s="264" t="n"/>
      <c r="J334" s="47" t="n"/>
      <c r="K334" s="47" t="n"/>
      <c r="L334" s="47" t="n"/>
      <c r="M334" s="47" t="n"/>
    </row>
    <row r="335" ht="12.75" customHeight="1" s="202">
      <c r="B335" s="266" t="n"/>
      <c r="C335" s="50">
        <f>IF(B335=0,"",YEAR(B335))</f>
        <v/>
      </c>
      <c r="D335" s="50">
        <f>IF(B335=0,"",MONTH(B335)&amp;"월")</f>
        <v/>
      </c>
      <c r="E335" s="51">
        <f>IF(B335=0,"",DAY(B335)&amp;"일")</f>
        <v/>
      </c>
      <c r="F335" s="260" t="n"/>
      <c r="G335" s="261" t="n"/>
      <c r="H335" s="263" t="n"/>
      <c r="I335" s="264" t="n"/>
      <c r="J335" s="47" t="n"/>
      <c r="K335" s="47" t="n"/>
      <c r="L335" s="47" t="n"/>
      <c r="M335" s="47" t="n"/>
    </row>
    <row r="336" ht="12.75" customHeight="1" s="202">
      <c r="B336" s="266" t="n"/>
      <c r="C336" s="50">
        <f>IF(B336=0,"",YEAR(B336))</f>
        <v/>
      </c>
      <c r="D336" s="50">
        <f>IF(B336=0,"",MONTH(B336)&amp;"월")</f>
        <v/>
      </c>
      <c r="E336" s="51">
        <f>IF(B336=0,"",DAY(B336)&amp;"일")</f>
        <v/>
      </c>
      <c r="F336" s="260" t="n"/>
      <c r="G336" s="261" t="n"/>
      <c r="H336" s="263" t="n"/>
      <c r="I336" s="264" t="n"/>
      <c r="J336" s="47" t="n"/>
      <c r="K336" s="47" t="n"/>
      <c r="L336" s="47" t="n"/>
      <c r="M336" s="47" t="n"/>
    </row>
    <row r="337" ht="12.75" customHeight="1" s="202">
      <c r="B337" s="266" t="n"/>
      <c r="C337" s="50">
        <f>IF(B337=0,"",YEAR(B337))</f>
        <v/>
      </c>
      <c r="D337" s="50">
        <f>IF(B337=0,"",MONTH(B337)&amp;"월")</f>
        <v/>
      </c>
      <c r="E337" s="51">
        <f>IF(B337=0,"",DAY(B337)&amp;"일")</f>
        <v/>
      </c>
      <c r="F337" s="260" t="n"/>
      <c r="G337" s="261" t="n"/>
      <c r="H337" s="263" t="n"/>
      <c r="I337" s="264" t="n"/>
      <c r="J337" s="47" t="n"/>
      <c r="K337" s="47" t="n"/>
      <c r="L337" s="47" t="n"/>
      <c r="M337" s="47" t="n"/>
    </row>
    <row r="338" ht="12.75" customHeight="1" s="202">
      <c r="B338" s="266" t="n"/>
      <c r="C338" s="50">
        <f>IF(B338=0,"",YEAR(B338))</f>
        <v/>
      </c>
      <c r="D338" s="50">
        <f>IF(B338=0,"",MONTH(B338)&amp;"월")</f>
        <v/>
      </c>
      <c r="E338" s="51">
        <f>IF(B338=0,"",DAY(B338)&amp;"일")</f>
        <v/>
      </c>
      <c r="F338" s="260" t="n"/>
      <c r="G338" s="261" t="n"/>
      <c r="H338" s="263" t="n"/>
      <c r="I338" s="264" t="n"/>
      <c r="J338" s="47" t="n"/>
      <c r="K338" s="47" t="n"/>
      <c r="L338" s="47" t="n"/>
      <c r="M338" s="47" t="n"/>
    </row>
    <row r="339" ht="12.75" customHeight="1" s="202">
      <c r="B339" s="266" t="n"/>
      <c r="C339" s="50">
        <f>IF(B339=0,"",YEAR(B339))</f>
        <v/>
      </c>
      <c r="D339" s="50">
        <f>IF(B339=0,"",MONTH(B339)&amp;"월")</f>
        <v/>
      </c>
      <c r="E339" s="51">
        <f>IF(B339=0,"",DAY(B339)&amp;"일")</f>
        <v/>
      </c>
      <c r="F339" s="260" t="n"/>
      <c r="G339" s="261" t="n"/>
      <c r="H339" s="263" t="n"/>
      <c r="I339" s="264" t="n"/>
      <c r="J339" s="47" t="n"/>
      <c r="K339" s="47" t="n"/>
      <c r="L339" s="47" t="n"/>
      <c r="M339" s="47" t="n"/>
    </row>
    <row r="340" ht="12.75" customHeight="1" s="202">
      <c r="B340" s="266" t="n"/>
      <c r="C340" s="50">
        <f>IF(B340=0,"",YEAR(B340))</f>
        <v/>
      </c>
      <c r="D340" s="50">
        <f>IF(B340=0,"",MONTH(B340)&amp;"월")</f>
        <v/>
      </c>
      <c r="E340" s="51">
        <f>IF(B340=0,"",DAY(B340)&amp;"일")</f>
        <v/>
      </c>
      <c r="F340" s="260" t="n"/>
      <c r="G340" s="261" t="n"/>
      <c r="H340" s="263" t="n"/>
      <c r="I340" s="264" t="n"/>
      <c r="J340" s="47" t="n"/>
      <c r="K340" s="47" t="n"/>
      <c r="L340" s="47" t="n"/>
      <c r="M340" s="47" t="n"/>
    </row>
    <row r="341" ht="12.75" customHeight="1" s="202">
      <c r="B341" s="266" t="n"/>
      <c r="C341" s="50">
        <f>IF(B341=0,"",YEAR(B341))</f>
        <v/>
      </c>
      <c r="D341" s="50">
        <f>IF(B341=0,"",MONTH(B341)&amp;"월")</f>
        <v/>
      </c>
      <c r="E341" s="51">
        <f>IF(B341=0,"",DAY(B341)&amp;"일")</f>
        <v/>
      </c>
      <c r="F341" s="260" t="n"/>
      <c r="G341" s="261" t="n"/>
      <c r="H341" s="263" t="n"/>
      <c r="I341" s="264" t="n"/>
      <c r="J341" s="47" t="n"/>
      <c r="K341" s="47" t="n"/>
      <c r="L341" s="47" t="n"/>
      <c r="M341" s="47" t="n"/>
    </row>
    <row r="342" ht="12.75" customHeight="1" s="202">
      <c r="B342" s="266" t="n"/>
      <c r="C342" s="50">
        <f>IF(B342=0,"",YEAR(B342))</f>
        <v/>
      </c>
      <c r="D342" s="50">
        <f>IF(B342=0,"",MONTH(B342)&amp;"월")</f>
        <v/>
      </c>
      <c r="E342" s="51">
        <f>IF(B342=0,"",DAY(B342)&amp;"일")</f>
        <v/>
      </c>
      <c r="F342" s="260" t="n"/>
      <c r="G342" s="261" t="n"/>
      <c r="H342" s="263" t="n"/>
      <c r="I342" s="264" t="n"/>
      <c r="J342" s="47" t="n"/>
      <c r="K342" s="47" t="n"/>
      <c r="L342" s="47" t="n"/>
      <c r="M342" s="47" t="n"/>
    </row>
    <row r="343" ht="12.75" customHeight="1" s="202">
      <c r="B343" s="266" t="n"/>
      <c r="C343" s="50">
        <f>IF(B343=0,"",YEAR(B343))</f>
        <v/>
      </c>
      <c r="D343" s="50">
        <f>IF(B343=0,"",MONTH(B343)&amp;"월")</f>
        <v/>
      </c>
      <c r="E343" s="51">
        <f>IF(B343=0,"",DAY(B343)&amp;"일")</f>
        <v/>
      </c>
      <c r="F343" s="260" t="n"/>
      <c r="G343" s="261" t="n"/>
      <c r="H343" s="263" t="n"/>
      <c r="I343" s="264" t="n"/>
      <c r="J343" s="47" t="n"/>
      <c r="K343" s="47" t="n"/>
      <c r="L343" s="47" t="n"/>
      <c r="M343" s="47" t="n"/>
    </row>
    <row r="344" ht="12.75" customHeight="1" s="202">
      <c r="B344" s="266" t="n"/>
      <c r="C344" s="50">
        <f>IF(B344=0,"",YEAR(B344))</f>
        <v/>
      </c>
      <c r="D344" s="50">
        <f>IF(B344=0,"",MONTH(B344)&amp;"월")</f>
        <v/>
      </c>
      <c r="E344" s="51">
        <f>IF(B344=0,"",DAY(B344)&amp;"일")</f>
        <v/>
      </c>
      <c r="F344" s="260" t="n"/>
      <c r="G344" s="261" t="n"/>
      <c r="H344" s="263" t="n"/>
      <c r="I344" s="264" t="n"/>
      <c r="J344" s="47" t="n"/>
      <c r="K344" s="47" t="n"/>
      <c r="L344" s="47" t="n"/>
      <c r="M344" s="47" t="n"/>
    </row>
    <row r="345" ht="12.75" customHeight="1" s="202">
      <c r="B345" s="266" t="n"/>
      <c r="C345" s="50">
        <f>IF(B345=0,"",YEAR(B345))</f>
        <v/>
      </c>
      <c r="D345" s="50">
        <f>IF(B345=0,"",MONTH(B345)&amp;"월")</f>
        <v/>
      </c>
      <c r="E345" s="51">
        <f>IF(B345=0,"",DAY(B345)&amp;"일")</f>
        <v/>
      </c>
      <c r="F345" s="260" t="n"/>
      <c r="G345" s="261" t="n"/>
      <c r="H345" s="263" t="n"/>
      <c r="I345" s="264" t="n"/>
      <c r="J345" s="47" t="n"/>
      <c r="K345" s="47" t="n"/>
      <c r="L345" s="47" t="n"/>
      <c r="M345" s="47" t="n"/>
    </row>
    <row r="346" ht="12.75" customHeight="1" s="202">
      <c r="B346" s="266" t="n"/>
      <c r="C346" s="50">
        <f>IF(B346=0,"",YEAR(B346))</f>
        <v/>
      </c>
      <c r="D346" s="50">
        <f>IF(B346=0,"",MONTH(B346)&amp;"월")</f>
        <v/>
      </c>
      <c r="E346" s="51">
        <f>IF(B346=0,"",DAY(B346)&amp;"일")</f>
        <v/>
      </c>
      <c r="F346" s="260" t="n"/>
      <c r="G346" s="261" t="n"/>
      <c r="H346" s="263" t="n"/>
      <c r="I346" s="264" t="n"/>
      <c r="J346" s="47" t="n"/>
      <c r="K346" s="47" t="n"/>
      <c r="L346" s="47" t="n"/>
      <c r="M346" s="47" t="n"/>
    </row>
    <row r="347" ht="12.75" customHeight="1" s="202">
      <c r="B347" s="266" t="n"/>
      <c r="C347" s="50">
        <f>IF(B347=0,"",YEAR(B347))</f>
        <v/>
      </c>
      <c r="D347" s="50">
        <f>IF(B347=0,"",MONTH(B347)&amp;"월")</f>
        <v/>
      </c>
      <c r="E347" s="51">
        <f>IF(B347=0,"",DAY(B347)&amp;"일")</f>
        <v/>
      </c>
      <c r="F347" s="260" t="n"/>
      <c r="G347" s="261" t="n"/>
      <c r="H347" s="263" t="n"/>
      <c r="I347" s="264" t="n"/>
      <c r="J347" s="47" t="n"/>
      <c r="K347" s="47" t="n"/>
      <c r="L347" s="47" t="n"/>
      <c r="M347" s="47" t="n"/>
    </row>
    <row r="348" ht="12.75" customHeight="1" s="202">
      <c r="B348" s="266" t="n"/>
      <c r="C348" s="50">
        <f>IF(B348=0,"",YEAR(B348))</f>
        <v/>
      </c>
      <c r="D348" s="50">
        <f>IF(B348=0,"",MONTH(B348)&amp;"월")</f>
        <v/>
      </c>
      <c r="E348" s="51">
        <f>IF(B348=0,"",DAY(B348)&amp;"일")</f>
        <v/>
      </c>
      <c r="F348" s="260" t="n"/>
      <c r="G348" s="261" t="n"/>
      <c r="H348" s="263" t="n"/>
      <c r="I348" s="264" t="n"/>
      <c r="J348" s="47" t="n"/>
      <c r="K348" s="47" t="n"/>
      <c r="L348" s="47" t="n"/>
      <c r="M348" s="47" t="n"/>
    </row>
    <row r="349" ht="12.75" customHeight="1" s="202">
      <c r="B349" s="266" t="n"/>
      <c r="C349" s="50">
        <f>IF(B349=0,"",YEAR(B349))</f>
        <v/>
      </c>
      <c r="D349" s="50">
        <f>IF(B349=0,"",MONTH(B349)&amp;"월")</f>
        <v/>
      </c>
      <c r="E349" s="51">
        <f>IF(B349=0,"",DAY(B349)&amp;"일")</f>
        <v/>
      </c>
      <c r="F349" s="260" t="n"/>
      <c r="G349" s="261" t="n"/>
      <c r="H349" s="263" t="n"/>
      <c r="I349" s="264" t="n"/>
      <c r="J349" s="47" t="n"/>
      <c r="K349" s="47" t="n"/>
      <c r="L349" s="47" t="n"/>
      <c r="M349" s="47" t="n"/>
    </row>
    <row r="350" ht="12.75" customHeight="1" s="202">
      <c r="B350" s="266" t="n"/>
      <c r="C350" s="50">
        <f>IF(B350=0,"",YEAR(B350))</f>
        <v/>
      </c>
      <c r="D350" s="50">
        <f>IF(B350=0,"",MONTH(B350)&amp;"월")</f>
        <v/>
      </c>
      <c r="E350" s="51">
        <f>IF(B350=0,"",DAY(B350)&amp;"일")</f>
        <v/>
      </c>
      <c r="F350" s="260" t="n"/>
      <c r="G350" s="261" t="n"/>
      <c r="H350" s="263" t="n"/>
      <c r="I350" s="264" t="n"/>
      <c r="J350" s="47" t="n"/>
      <c r="K350" s="47" t="n"/>
      <c r="L350" s="47" t="n"/>
      <c r="M350" s="47" t="n"/>
    </row>
    <row r="351" ht="12.75" customHeight="1" s="202">
      <c r="B351" s="266" t="n"/>
      <c r="C351" s="50">
        <f>IF(B351=0,"",YEAR(B351))</f>
        <v/>
      </c>
      <c r="D351" s="50">
        <f>IF(B351=0,"",MONTH(B351)&amp;"월")</f>
        <v/>
      </c>
      <c r="E351" s="51">
        <f>IF(B351=0,"",DAY(B351)&amp;"일")</f>
        <v/>
      </c>
      <c r="F351" s="260" t="n"/>
      <c r="G351" s="261" t="n"/>
      <c r="H351" s="263" t="n"/>
      <c r="I351" s="264" t="n"/>
      <c r="J351" s="47" t="n"/>
      <c r="K351" s="47" t="n"/>
      <c r="L351" s="47" t="n"/>
      <c r="M351" s="47" t="n"/>
    </row>
    <row r="352" ht="12.75" customHeight="1" s="202">
      <c r="B352" s="266" t="n"/>
      <c r="C352" s="50">
        <f>IF(B352=0,"",YEAR(B352))</f>
        <v/>
      </c>
      <c r="D352" s="50">
        <f>IF(B352=0,"",MONTH(B352)&amp;"월")</f>
        <v/>
      </c>
      <c r="E352" s="51">
        <f>IF(B352=0,"",DAY(B352)&amp;"일")</f>
        <v/>
      </c>
      <c r="F352" s="260" t="n"/>
      <c r="G352" s="261" t="n"/>
      <c r="H352" s="263" t="n"/>
      <c r="I352" s="264" t="n"/>
      <c r="J352" s="47" t="n"/>
      <c r="K352" s="47" t="n"/>
      <c r="L352" s="47" t="n"/>
      <c r="M352" s="47" t="n"/>
    </row>
    <row r="353" ht="12.75" customHeight="1" s="202">
      <c r="B353" s="266" t="n"/>
      <c r="C353" s="50">
        <f>IF(B353=0,"",YEAR(B353))</f>
        <v/>
      </c>
      <c r="D353" s="50">
        <f>IF(B353=0,"",MONTH(B353)&amp;"월")</f>
        <v/>
      </c>
      <c r="E353" s="51">
        <f>IF(B353=0,"",DAY(B353)&amp;"일")</f>
        <v/>
      </c>
      <c r="F353" s="260" t="n"/>
      <c r="G353" s="261" t="n"/>
      <c r="H353" s="263" t="n"/>
      <c r="I353" s="264" t="n"/>
      <c r="J353" s="47" t="n"/>
      <c r="K353" s="47" t="n"/>
      <c r="L353" s="47" t="n"/>
      <c r="M353" s="47" t="n"/>
    </row>
    <row r="354" ht="12.75" customHeight="1" s="202">
      <c r="B354" s="266" t="n"/>
      <c r="C354" s="50">
        <f>IF(B354=0,"",YEAR(B354))</f>
        <v/>
      </c>
      <c r="D354" s="50">
        <f>IF(B354=0,"",MONTH(B354)&amp;"월")</f>
        <v/>
      </c>
      <c r="E354" s="51">
        <f>IF(B354=0,"",DAY(B354)&amp;"일")</f>
        <v/>
      </c>
      <c r="F354" s="260" t="n"/>
      <c r="G354" s="261" t="n"/>
      <c r="H354" s="263" t="n"/>
      <c r="I354" s="264" t="n"/>
      <c r="J354" s="47" t="n"/>
      <c r="K354" s="47" t="n"/>
      <c r="L354" s="47" t="n"/>
      <c r="M354" s="47" t="n"/>
    </row>
    <row r="355" ht="12.75" customHeight="1" s="202">
      <c r="B355" s="266" t="n"/>
      <c r="C355" s="50">
        <f>IF(B355=0,"",YEAR(B355))</f>
        <v/>
      </c>
      <c r="D355" s="50">
        <f>IF(B355=0,"",MONTH(B355)&amp;"월")</f>
        <v/>
      </c>
      <c r="E355" s="51">
        <f>IF(B355=0,"",DAY(B355)&amp;"일")</f>
        <v/>
      </c>
      <c r="F355" s="260" t="n"/>
      <c r="G355" s="261" t="n"/>
      <c r="H355" s="263" t="n"/>
      <c r="I355" s="264" t="n"/>
      <c r="J355" s="47" t="n"/>
      <c r="K355" s="47" t="n"/>
      <c r="L355" s="47" t="n"/>
      <c r="M355" s="47" t="n"/>
    </row>
    <row r="356" ht="12.75" customHeight="1" s="202">
      <c r="B356" s="266" t="n"/>
      <c r="C356" s="50">
        <f>IF(B356=0,"",YEAR(B356))</f>
        <v/>
      </c>
      <c r="D356" s="50">
        <f>IF(B356=0,"",MONTH(B356)&amp;"월")</f>
        <v/>
      </c>
      <c r="E356" s="51">
        <f>IF(B356=0,"",DAY(B356)&amp;"일")</f>
        <v/>
      </c>
      <c r="F356" s="260" t="n"/>
      <c r="G356" s="261" t="n"/>
      <c r="H356" s="263" t="n"/>
      <c r="I356" s="264" t="n"/>
      <c r="J356" s="47" t="n"/>
      <c r="K356" s="47" t="n"/>
      <c r="L356" s="47" t="n"/>
      <c r="M356" s="47" t="n"/>
    </row>
    <row r="357" ht="12.75" customHeight="1" s="202">
      <c r="B357" s="266" t="n"/>
      <c r="C357" s="50">
        <f>IF(B357=0,"",YEAR(B357))</f>
        <v/>
      </c>
      <c r="D357" s="50">
        <f>IF(B357=0,"",MONTH(B357)&amp;"월")</f>
        <v/>
      </c>
      <c r="E357" s="51">
        <f>IF(B357=0,"",DAY(B357)&amp;"일")</f>
        <v/>
      </c>
      <c r="F357" s="260" t="n"/>
      <c r="G357" s="261" t="n"/>
      <c r="H357" s="263" t="n"/>
      <c r="I357" s="264" t="n"/>
      <c r="J357" s="47" t="n"/>
      <c r="K357" s="47" t="n"/>
      <c r="L357" s="47" t="n"/>
      <c r="M357" s="47" t="n"/>
    </row>
    <row r="358" ht="12.75" customHeight="1" s="202">
      <c r="B358" s="266" t="n"/>
      <c r="C358" s="50">
        <f>IF(B358=0,"",YEAR(B358))</f>
        <v/>
      </c>
      <c r="D358" s="50">
        <f>IF(B358=0,"",MONTH(B358)&amp;"월")</f>
        <v/>
      </c>
      <c r="E358" s="51">
        <f>IF(B358=0,"",DAY(B358)&amp;"일")</f>
        <v/>
      </c>
      <c r="F358" s="260" t="n"/>
      <c r="G358" s="261" t="n"/>
      <c r="H358" s="263" t="n"/>
      <c r="I358" s="264" t="n"/>
      <c r="J358" s="47" t="n"/>
      <c r="K358" s="47" t="n"/>
      <c r="L358" s="47" t="n"/>
      <c r="M358" s="47" t="n"/>
    </row>
    <row r="359" ht="12.75" customHeight="1" s="202">
      <c r="B359" s="266" t="n"/>
      <c r="C359" s="50">
        <f>IF(B359=0,"",YEAR(B359))</f>
        <v/>
      </c>
      <c r="D359" s="50">
        <f>IF(B359=0,"",MONTH(B359)&amp;"월")</f>
        <v/>
      </c>
      <c r="E359" s="51">
        <f>IF(B359=0,"",DAY(B359)&amp;"일")</f>
        <v/>
      </c>
      <c r="F359" s="260" t="n"/>
      <c r="G359" s="261" t="n"/>
      <c r="H359" s="263" t="n"/>
      <c r="I359" s="264" t="n"/>
      <c r="J359" s="47" t="n"/>
      <c r="K359" s="47" t="n"/>
      <c r="L359" s="47" t="n"/>
      <c r="M359" s="47" t="n"/>
    </row>
    <row r="360" ht="12.75" customHeight="1" s="202">
      <c r="B360" s="266" t="n"/>
      <c r="C360" s="50">
        <f>IF(B360=0,"",YEAR(B360))</f>
        <v/>
      </c>
      <c r="D360" s="50">
        <f>IF(B360=0,"",MONTH(B360)&amp;"월")</f>
        <v/>
      </c>
      <c r="E360" s="51">
        <f>IF(B360=0,"",DAY(B360)&amp;"일")</f>
        <v/>
      </c>
      <c r="F360" s="260" t="n"/>
      <c r="G360" s="261" t="n"/>
      <c r="H360" s="263" t="n"/>
      <c r="I360" s="264" t="n"/>
      <c r="J360" s="47" t="n"/>
      <c r="K360" s="47" t="n"/>
      <c r="L360" s="47" t="n"/>
      <c r="M360" s="47" t="n"/>
    </row>
    <row r="361" ht="12.75" customHeight="1" s="202">
      <c r="B361" s="266" t="n"/>
      <c r="C361" s="50">
        <f>IF(B361=0,"",YEAR(B361))</f>
        <v/>
      </c>
      <c r="D361" s="50">
        <f>IF(B361=0,"",MONTH(B361)&amp;"월")</f>
        <v/>
      </c>
      <c r="E361" s="51">
        <f>IF(B361=0,"",DAY(B361)&amp;"일")</f>
        <v/>
      </c>
      <c r="F361" s="260" t="n"/>
      <c r="G361" s="261" t="n"/>
      <c r="H361" s="263" t="n"/>
      <c r="I361" s="264" t="n"/>
      <c r="J361" s="47" t="n"/>
      <c r="K361" s="47" t="n"/>
      <c r="L361" s="47" t="n"/>
      <c r="M361" s="47" t="n"/>
    </row>
    <row r="362" ht="12.75" customHeight="1" s="202">
      <c r="B362" s="266" t="n"/>
      <c r="C362" s="50">
        <f>IF(B362=0,"",YEAR(B362))</f>
        <v/>
      </c>
      <c r="D362" s="50">
        <f>IF(B362=0,"",MONTH(B362)&amp;"월")</f>
        <v/>
      </c>
      <c r="E362" s="51">
        <f>IF(B362=0,"",DAY(B362)&amp;"일")</f>
        <v/>
      </c>
      <c r="F362" s="260" t="n"/>
      <c r="G362" s="261" t="n"/>
      <c r="H362" s="263" t="n"/>
      <c r="I362" s="264" t="n"/>
      <c r="J362" s="47" t="n"/>
      <c r="K362" s="47" t="n"/>
      <c r="L362" s="47" t="n"/>
      <c r="M362" s="47" t="n"/>
    </row>
    <row r="363" ht="12.75" customHeight="1" s="202">
      <c r="B363" s="266" t="n"/>
      <c r="C363" s="50">
        <f>IF(B363=0,"",YEAR(B363))</f>
        <v/>
      </c>
      <c r="D363" s="50">
        <f>IF(B363=0,"",MONTH(B363)&amp;"월")</f>
        <v/>
      </c>
      <c r="E363" s="51">
        <f>IF(B363=0,"",DAY(B363)&amp;"일")</f>
        <v/>
      </c>
      <c r="F363" s="260" t="n"/>
      <c r="G363" s="261" t="n"/>
      <c r="H363" s="263" t="n"/>
      <c r="I363" s="264" t="n"/>
      <c r="J363" s="47" t="n"/>
      <c r="K363" s="47" t="n"/>
      <c r="L363" s="47" t="n"/>
      <c r="M363" s="47" t="n"/>
    </row>
    <row r="364" ht="12.75" customHeight="1" s="202">
      <c r="B364" s="266" t="n"/>
      <c r="C364" s="50">
        <f>IF(B364=0,"",YEAR(B364))</f>
        <v/>
      </c>
      <c r="D364" s="50">
        <f>IF(B364=0,"",MONTH(B364)&amp;"월")</f>
        <v/>
      </c>
      <c r="E364" s="51">
        <f>IF(B364=0,"",DAY(B364)&amp;"일")</f>
        <v/>
      </c>
      <c r="F364" s="260" t="n"/>
      <c r="G364" s="261" t="n"/>
      <c r="H364" s="263" t="n"/>
      <c r="I364" s="264" t="n"/>
      <c r="J364" s="47" t="n"/>
      <c r="K364" s="47" t="n"/>
      <c r="L364" s="47" t="n"/>
      <c r="M364" s="47" t="n"/>
    </row>
    <row r="365" ht="12.75" customHeight="1" s="202">
      <c r="B365" s="266" t="n"/>
      <c r="C365" s="50">
        <f>IF(B365=0,"",YEAR(B365))</f>
        <v/>
      </c>
      <c r="D365" s="50">
        <f>IF(B365=0,"",MONTH(B365)&amp;"월")</f>
        <v/>
      </c>
      <c r="E365" s="51">
        <f>IF(B365=0,"",DAY(B365)&amp;"일")</f>
        <v/>
      </c>
      <c r="F365" s="260" t="n"/>
      <c r="G365" s="261" t="n"/>
      <c r="H365" s="263" t="n"/>
      <c r="I365" s="264" t="n"/>
      <c r="J365" s="47" t="n"/>
      <c r="K365" s="47" t="n"/>
      <c r="L365" s="47" t="n"/>
      <c r="M365" s="47" t="n"/>
    </row>
    <row r="366" ht="12.75" customHeight="1" s="202">
      <c r="B366" s="266" t="n"/>
      <c r="C366" s="50">
        <f>IF(B366=0,"",YEAR(B366))</f>
        <v/>
      </c>
      <c r="D366" s="50">
        <f>IF(B366=0,"",MONTH(B366)&amp;"월")</f>
        <v/>
      </c>
      <c r="E366" s="51">
        <f>IF(B366=0,"",DAY(B366)&amp;"일")</f>
        <v/>
      </c>
      <c r="F366" s="260" t="n"/>
      <c r="G366" s="261" t="n"/>
      <c r="H366" s="263" t="n"/>
      <c r="I366" s="264" t="n"/>
      <c r="J366" s="47" t="n"/>
      <c r="K366" s="47" t="n"/>
      <c r="L366" s="47" t="n"/>
      <c r="M366" s="47" t="n"/>
    </row>
    <row r="367" ht="12.75" customHeight="1" s="202">
      <c r="B367" s="266" t="n"/>
      <c r="C367" s="50">
        <f>IF(B367=0,"",YEAR(B367))</f>
        <v/>
      </c>
      <c r="D367" s="50">
        <f>IF(B367=0,"",MONTH(B367)&amp;"월")</f>
        <v/>
      </c>
      <c r="E367" s="51">
        <f>IF(B367=0,"",DAY(B367)&amp;"일")</f>
        <v/>
      </c>
      <c r="F367" s="260" t="n"/>
      <c r="G367" s="261" t="n"/>
      <c r="H367" s="263" t="n"/>
      <c r="I367" s="264" t="n"/>
      <c r="J367" s="47" t="n"/>
      <c r="K367" s="47" t="n"/>
      <c r="L367" s="47" t="n"/>
      <c r="M367" s="47" t="n"/>
    </row>
    <row r="368" ht="12.75" customHeight="1" s="202">
      <c r="B368" s="266" t="n"/>
      <c r="C368" s="50">
        <f>IF(B368=0,"",YEAR(B368))</f>
        <v/>
      </c>
      <c r="D368" s="50">
        <f>IF(B368=0,"",MONTH(B368)&amp;"월")</f>
        <v/>
      </c>
      <c r="E368" s="51">
        <f>IF(B368=0,"",DAY(B368)&amp;"일")</f>
        <v/>
      </c>
      <c r="F368" s="260" t="n"/>
      <c r="G368" s="261" t="n"/>
      <c r="H368" s="263" t="n"/>
      <c r="I368" s="264" t="n"/>
      <c r="J368" s="47" t="n"/>
      <c r="K368" s="47" t="n"/>
      <c r="L368" s="47" t="n"/>
      <c r="M368" s="47" t="n"/>
    </row>
    <row r="369" ht="12.75" customHeight="1" s="202">
      <c r="B369" s="266" t="n"/>
      <c r="C369" s="50">
        <f>IF(B369=0,"",YEAR(B369))</f>
        <v/>
      </c>
      <c r="D369" s="50">
        <f>IF(B369=0,"",MONTH(B369)&amp;"월")</f>
        <v/>
      </c>
      <c r="E369" s="51">
        <f>IF(B369=0,"",DAY(B369)&amp;"일")</f>
        <v/>
      </c>
      <c r="F369" s="260" t="n"/>
      <c r="G369" s="261" t="n"/>
      <c r="H369" s="263" t="n"/>
      <c r="I369" s="264" t="n"/>
      <c r="J369" s="47" t="n"/>
      <c r="K369" s="47" t="n"/>
      <c r="L369" s="47" t="n"/>
      <c r="M369" s="47" t="n"/>
    </row>
    <row r="370" ht="12.75" customHeight="1" s="202">
      <c r="B370" s="266" t="n"/>
      <c r="C370" s="50">
        <f>IF(B370=0,"",YEAR(B370))</f>
        <v/>
      </c>
      <c r="D370" s="50">
        <f>IF(B370=0,"",MONTH(B370)&amp;"월")</f>
        <v/>
      </c>
      <c r="E370" s="51">
        <f>IF(B370=0,"",DAY(B370)&amp;"일")</f>
        <v/>
      </c>
      <c r="F370" s="260" t="n"/>
      <c r="G370" s="261" t="n"/>
      <c r="H370" s="263" t="n"/>
      <c r="I370" s="264" t="n"/>
      <c r="J370" s="47" t="n"/>
      <c r="K370" s="47" t="n"/>
      <c r="L370" s="47" t="n"/>
      <c r="M370" s="47" t="n"/>
    </row>
    <row r="371" ht="12.75" customHeight="1" s="202">
      <c r="B371" s="266" t="n"/>
      <c r="C371" s="50">
        <f>IF(B371=0,"",YEAR(B371))</f>
        <v/>
      </c>
      <c r="D371" s="50">
        <f>IF(B371=0,"",MONTH(B371)&amp;"월")</f>
        <v/>
      </c>
      <c r="E371" s="51">
        <f>IF(B371=0,"",DAY(B371)&amp;"일")</f>
        <v/>
      </c>
      <c r="F371" s="260" t="n"/>
      <c r="G371" s="261" t="n"/>
      <c r="H371" s="263" t="n"/>
      <c r="I371" s="264" t="n"/>
      <c r="J371" s="47" t="n"/>
      <c r="K371" s="47" t="n"/>
      <c r="L371" s="47" t="n"/>
      <c r="M371" s="47" t="n"/>
    </row>
    <row r="372" ht="12.75" customHeight="1" s="202">
      <c r="B372" s="266" t="n"/>
      <c r="C372" s="50">
        <f>IF(B372=0,"",YEAR(B372))</f>
        <v/>
      </c>
      <c r="D372" s="50">
        <f>IF(B372=0,"",MONTH(B372)&amp;"월")</f>
        <v/>
      </c>
      <c r="E372" s="51">
        <f>IF(B372=0,"",DAY(B372)&amp;"일")</f>
        <v/>
      </c>
      <c r="F372" s="260" t="n"/>
      <c r="G372" s="261" t="n"/>
      <c r="H372" s="263" t="n"/>
      <c r="I372" s="264" t="n"/>
      <c r="J372" s="47" t="n"/>
      <c r="K372" s="47" t="n"/>
      <c r="L372" s="47" t="n"/>
      <c r="M372" s="47" t="n"/>
    </row>
    <row r="373" ht="12.75" customHeight="1" s="202">
      <c r="B373" s="266" t="n"/>
      <c r="C373" s="50">
        <f>IF(B373=0,"",YEAR(B373))</f>
        <v/>
      </c>
      <c r="D373" s="50">
        <f>IF(B373=0,"",MONTH(B373)&amp;"월")</f>
        <v/>
      </c>
      <c r="E373" s="51">
        <f>IF(B373=0,"",DAY(B373)&amp;"일")</f>
        <v/>
      </c>
      <c r="F373" s="260" t="n"/>
      <c r="G373" s="261" t="n"/>
      <c r="H373" s="263" t="n"/>
      <c r="I373" s="264" t="n"/>
      <c r="J373" s="47" t="n"/>
      <c r="K373" s="47" t="n"/>
      <c r="L373" s="47" t="n"/>
      <c r="M373" s="47" t="n"/>
    </row>
    <row r="374" ht="12.75" customHeight="1" s="202">
      <c r="B374" s="266" t="n"/>
      <c r="C374" s="50">
        <f>IF(B374=0,"",YEAR(B374))</f>
        <v/>
      </c>
      <c r="D374" s="50">
        <f>IF(B374=0,"",MONTH(B374)&amp;"월")</f>
        <v/>
      </c>
      <c r="E374" s="51">
        <f>IF(B374=0,"",DAY(B374)&amp;"일")</f>
        <v/>
      </c>
      <c r="F374" s="260" t="n"/>
      <c r="G374" s="261" t="n"/>
      <c r="H374" s="263" t="n"/>
      <c r="I374" s="264" t="n"/>
      <c r="J374" s="47" t="n"/>
      <c r="K374" s="47" t="n"/>
      <c r="L374" s="47" t="n"/>
      <c r="M374" s="47" t="n"/>
    </row>
    <row r="375" ht="12.75" customHeight="1" s="202">
      <c r="B375" s="266" t="n"/>
      <c r="C375" s="50">
        <f>IF(B375=0,"",YEAR(B375))</f>
        <v/>
      </c>
      <c r="D375" s="50">
        <f>IF(B375=0,"",MONTH(B375)&amp;"월")</f>
        <v/>
      </c>
      <c r="E375" s="51">
        <f>IF(B375=0,"",DAY(B375)&amp;"일")</f>
        <v/>
      </c>
      <c r="F375" s="260" t="n"/>
      <c r="G375" s="261" t="n"/>
      <c r="H375" s="263" t="n"/>
      <c r="I375" s="264" t="n"/>
      <c r="J375" s="47" t="n"/>
      <c r="K375" s="47" t="n"/>
      <c r="L375" s="47" t="n"/>
      <c r="M375" s="47" t="n"/>
    </row>
    <row r="376" ht="12.75" customHeight="1" s="202">
      <c r="B376" s="266" t="n"/>
      <c r="C376" s="50">
        <f>IF(B376=0,"",YEAR(B376))</f>
        <v/>
      </c>
      <c r="D376" s="50">
        <f>IF(B376=0,"",MONTH(B376)&amp;"월")</f>
        <v/>
      </c>
      <c r="E376" s="51">
        <f>IF(B376=0,"",DAY(B376)&amp;"일")</f>
        <v/>
      </c>
      <c r="F376" s="260" t="n"/>
      <c r="G376" s="261" t="n"/>
      <c r="H376" s="263" t="n"/>
      <c r="I376" s="264" t="n"/>
      <c r="J376" s="47" t="n"/>
      <c r="K376" s="47" t="n"/>
      <c r="L376" s="47" t="n"/>
      <c r="M376" s="47" t="n"/>
    </row>
    <row r="377" ht="12.75" customHeight="1" s="202">
      <c r="B377" s="266" t="n"/>
      <c r="C377" s="50">
        <f>IF(B377=0,"",YEAR(B377))</f>
        <v/>
      </c>
      <c r="D377" s="50">
        <f>IF(B377=0,"",MONTH(B377)&amp;"월")</f>
        <v/>
      </c>
      <c r="E377" s="51">
        <f>IF(B377=0,"",DAY(B377)&amp;"일")</f>
        <v/>
      </c>
      <c r="F377" s="260" t="n"/>
      <c r="G377" s="261" t="n"/>
      <c r="H377" s="263" t="n"/>
      <c r="I377" s="264" t="n"/>
      <c r="J377" s="47" t="n"/>
      <c r="K377" s="47" t="n"/>
      <c r="L377" s="47" t="n"/>
      <c r="M377" s="47" t="n"/>
    </row>
    <row r="378" ht="12.75" customHeight="1" s="202">
      <c r="B378" s="266" t="n"/>
      <c r="C378" s="50">
        <f>IF(B378=0,"",YEAR(B378))</f>
        <v/>
      </c>
      <c r="D378" s="50">
        <f>IF(B378=0,"",MONTH(B378)&amp;"월")</f>
        <v/>
      </c>
      <c r="E378" s="51">
        <f>IF(B378=0,"",DAY(B378)&amp;"일")</f>
        <v/>
      </c>
      <c r="F378" s="260" t="n"/>
      <c r="G378" s="261" t="n"/>
      <c r="H378" s="263" t="n"/>
      <c r="I378" s="264" t="n"/>
      <c r="J378" s="47" t="n"/>
      <c r="K378" s="47" t="n"/>
      <c r="L378" s="47" t="n"/>
      <c r="M378" s="47" t="n"/>
    </row>
    <row r="379" ht="12.75" customHeight="1" s="202">
      <c r="B379" s="266" t="n"/>
      <c r="C379" s="50">
        <f>IF(B379=0,"",YEAR(B379))</f>
        <v/>
      </c>
      <c r="D379" s="50">
        <f>IF(B379=0,"",MONTH(B379)&amp;"월")</f>
        <v/>
      </c>
      <c r="E379" s="51">
        <f>IF(B379=0,"",DAY(B379)&amp;"일")</f>
        <v/>
      </c>
      <c r="F379" s="260" t="n"/>
      <c r="G379" s="261" t="n"/>
      <c r="H379" s="263" t="n"/>
      <c r="I379" s="264" t="n"/>
      <c r="J379" s="47" t="n"/>
      <c r="K379" s="47" t="n"/>
      <c r="L379" s="47" t="n"/>
      <c r="M379" s="47" t="n"/>
    </row>
    <row r="380" ht="12.75" customHeight="1" s="202">
      <c r="B380" s="266" t="n"/>
      <c r="C380" s="50">
        <f>IF(B380=0,"",YEAR(B380))</f>
        <v/>
      </c>
      <c r="D380" s="50">
        <f>IF(B380=0,"",MONTH(B380)&amp;"월")</f>
        <v/>
      </c>
      <c r="E380" s="51">
        <f>IF(B380=0,"",DAY(B380)&amp;"일")</f>
        <v/>
      </c>
      <c r="F380" s="260" t="n"/>
      <c r="G380" s="261" t="n"/>
      <c r="H380" s="263" t="n"/>
      <c r="I380" s="264" t="n"/>
      <c r="J380" s="47" t="n"/>
      <c r="K380" s="47" t="n"/>
      <c r="L380" s="47" t="n"/>
      <c r="M380" s="47" t="n"/>
    </row>
    <row r="381" ht="12.75" customHeight="1" s="202">
      <c r="B381" s="266" t="n"/>
      <c r="C381" s="50">
        <f>IF(B381=0,"",YEAR(B381))</f>
        <v/>
      </c>
      <c r="D381" s="50">
        <f>IF(B381=0,"",MONTH(B381)&amp;"월")</f>
        <v/>
      </c>
      <c r="E381" s="51">
        <f>IF(B381=0,"",DAY(B381)&amp;"일")</f>
        <v/>
      </c>
      <c r="F381" s="260" t="n"/>
      <c r="G381" s="261" t="n"/>
      <c r="H381" s="263" t="n"/>
      <c r="I381" s="264" t="n"/>
      <c r="J381" s="47" t="n"/>
      <c r="K381" s="47" t="n"/>
      <c r="L381" s="47" t="n"/>
      <c r="M381" s="47" t="n"/>
    </row>
    <row r="382" ht="12.75" customHeight="1" s="202">
      <c r="B382" s="266" t="n"/>
      <c r="C382" s="50">
        <f>IF(B382=0,"",YEAR(B382))</f>
        <v/>
      </c>
      <c r="D382" s="50">
        <f>IF(B382=0,"",MONTH(B382)&amp;"월")</f>
        <v/>
      </c>
      <c r="E382" s="51">
        <f>IF(B382=0,"",DAY(B382)&amp;"일")</f>
        <v/>
      </c>
      <c r="F382" s="260" t="n"/>
      <c r="G382" s="261" t="n"/>
      <c r="H382" s="263" t="n"/>
      <c r="I382" s="264" t="n"/>
      <c r="J382" s="47" t="n"/>
      <c r="K382" s="47" t="n"/>
      <c r="L382" s="47" t="n"/>
      <c r="M382" s="47" t="n"/>
    </row>
    <row r="383" ht="12.75" customHeight="1" s="202">
      <c r="B383" s="266" t="n"/>
      <c r="C383" s="50">
        <f>IF(B383=0,"",YEAR(B383))</f>
        <v/>
      </c>
      <c r="D383" s="50">
        <f>IF(B383=0,"",MONTH(B383)&amp;"월")</f>
        <v/>
      </c>
      <c r="E383" s="51">
        <f>IF(B383=0,"",DAY(B383)&amp;"일")</f>
        <v/>
      </c>
      <c r="F383" s="260" t="n"/>
      <c r="G383" s="261" t="n"/>
      <c r="H383" s="263" t="n"/>
      <c r="I383" s="264" t="n"/>
      <c r="J383" s="47" t="n"/>
      <c r="K383" s="47" t="n"/>
      <c r="L383" s="47" t="n"/>
      <c r="M383" s="47" t="n"/>
    </row>
    <row r="384" ht="12.75" customHeight="1" s="202">
      <c r="B384" s="266" t="n"/>
      <c r="C384" s="50">
        <f>IF(B384=0,"",YEAR(B384))</f>
        <v/>
      </c>
      <c r="D384" s="50">
        <f>IF(B384=0,"",MONTH(B384)&amp;"월")</f>
        <v/>
      </c>
      <c r="E384" s="51">
        <f>IF(B384=0,"",DAY(B384)&amp;"일")</f>
        <v/>
      </c>
      <c r="F384" s="260" t="n"/>
      <c r="G384" s="261" t="n"/>
      <c r="H384" s="263" t="n"/>
      <c r="I384" s="264" t="n"/>
      <c r="J384" s="47" t="n"/>
      <c r="K384" s="47" t="n"/>
      <c r="L384" s="47" t="n"/>
      <c r="M384" s="47" t="n"/>
    </row>
    <row r="385" ht="12.75" customHeight="1" s="202">
      <c r="B385" s="266" t="n"/>
      <c r="C385" s="50">
        <f>IF(B385=0,"",YEAR(B385))</f>
        <v/>
      </c>
      <c r="D385" s="50">
        <f>IF(B385=0,"",MONTH(B385)&amp;"월")</f>
        <v/>
      </c>
      <c r="E385" s="51">
        <f>IF(B385=0,"",DAY(B385)&amp;"일")</f>
        <v/>
      </c>
      <c r="F385" s="260" t="n"/>
      <c r="G385" s="261" t="n"/>
      <c r="H385" s="263" t="n"/>
      <c r="I385" s="264" t="n"/>
      <c r="J385" s="47" t="n"/>
      <c r="K385" s="47" t="n"/>
      <c r="L385" s="47" t="n"/>
      <c r="M385" s="47" t="n"/>
    </row>
    <row r="386" ht="12.75" customHeight="1" s="202">
      <c r="B386" s="266" t="n"/>
      <c r="C386" s="50">
        <f>IF(B386=0,"",YEAR(B386))</f>
        <v/>
      </c>
      <c r="D386" s="50">
        <f>IF(B386=0,"",MONTH(B386)&amp;"월")</f>
        <v/>
      </c>
      <c r="E386" s="51">
        <f>IF(B386=0,"",DAY(B386)&amp;"일")</f>
        <v/>
      </c>
      <c r="F386" s="260" t="n"/>
      <c r="G386" s="261" t="n"/>
      <c r="H386" s="263" t="n"/>
      <c r="I386" s="264" t="n"/>
      <c r="J386" s="47" t="n"/>
      <c r="K386" s="47" t="n"/>
      <c r="L386" s="47" t="n"/>
      <c r="M386" s="47" t="n"/>
    </row>
    <row r="387" ht="12.75" customHeight="1" s="202">
      <c r="B387" s="266" t="n"/>
      <c r="C387" s="50">
        <f>IF(B387=0,"",YEAR(B387))</f>
        <v/>
      </c>
      <c r="D387" s="50">
        <f>IF(B387=0,"",MONTH(B387)&amp;"월")</f>
        <v/>
      </c>
      <c r="E387" s="51">
        <f>IF(B387=0,"",DAY(B387)&amp;"일")</f>
        <v/>
      </c>
      <c r="F387" s="260" t="n"/>
      <c r="G387" s="261" t="n"/>
      <c r="H387" s="263" t="n"/>
      <c r="I387" s="264" t="n"/>
      <c r="J387" s="47" t="n"/>
      <c r="K387" s="47" t="n"/>
      <c r="L387" s="47" t="n"/>
      <c r="M387" s="47" t="n"/>
    </row>
    <row r="388" ht="12.75" customHeight="1" s="202">
      <c r="B388" s="266" t="n"/>
      <c r="C388" s="50">
        <f>IF(B388=0,"",YEAR(B388))</f>
        <v/>
      </c>
      <c r="D388" s="50">
        <f>IF(B388=0,"",MONTH(B388)&amp;"월")</f>
        <v/>
      </c>
      <c r="E388" s="51">
        <f>IF(B388=0,"",DAY(B388)&amp;"일")</f>
        <v/>
      </c>
      <c r="F388" s="260" t="n"/>
      <c r="G388" s="261" t="n"/>
      <c r="H388" s="263" t="n"/>
      <c r="I388" s="264" t="n"/>
      <c r="J388" s="47" t="n"/>
      <c r="K388" s="47" t="n"/>
      <c r="L388" s="47" t="n"/>
      <c r="M388" s="47" t="n"/>
    </row>
    <row r="389" ht="12.75" customHeight="1" s="202">
      <c r="B389" s="266" t="n"/>
      <c r="C389" s="50">
        <f>IF(B389=0,"",YEAR(B389))</f>
        <v/>
      </c>
      <c r="D389" s="50">
        <f>IF(B389=0,"",MONTH(B389)&amp;"월")</f>
        <v/>
      </c>
      <c r="E389" s="51">
        <f>IF(B389=0,"",DAY(B389)&amp;"일")</f>
        <v/>
      </c>
      <c r="F389" s="260" t="n"/>
      <c r="G389" s="261" t="n"/>
      <c r="H389" s="263" t="n"/>
      <c r="I389" s="264" t="n"/>
      <c r="J389" s="47" t="n"/>
      <c r="K389" s="47" t="n"/>
      <c r="L389" s="47" t="n"/>
      <c r="M389" s="47" t="n"/>
    </row>
    <row r="390" ht="12.75" customHeight="1" s="202">
      <c r="B390" s="266" t="n"/>
      <c r="C390" s="50">
        <f>IF(B390=0,"",YEAR(B390))</f>
        <v/>
      </c>
      <c r="D390" s="50">
        <f>IF(B390=0,"",MONTH(B390)&amp;"월")</f>
        <v/>
      </c>
      <c r="E390" s="51">
        <f>IF(B390=0,"",DAY(B390)&amp;"일")</f>
        <v/>
      </c>
      <c r="F390" s="260" t="n"/>
      <c r="G390" s="261" t="n"/>
      <c r="H390" s="263" t="n"/>
      <c r="I390" s="264" t="n"/>
      <c r="J390" s="47" t="n"/>
      <c r="K390" s="47" t="n"/>
      <c r="L390" s="47" t="n"/>
      <c r="M390" s="47" t="n"/>
    </row>
    <row r="391" ht="12.75" customHeight="1" s="202">
      <c r="B391" s="266" t="n"/>
      <c r="C391" s="50">
        <f>IF(B391=0,"",YEAR(B391))</f>
        <v/>
      </c>
      <c r="D391" s="50">
        <f>IF(B391=0,"",MONTH(B391)&amp;"월")</f>
        <v/>
      </c>
      <c r="E391" s="51">
        <f>IF(B391=0,"",DAY(B391)&amp;"일")</f>
        <v/>
      </c>
      <c r="F391" s="260" t="n"/>
      <c r="G391" s="261" t="n"/>
      <c r="H391" s="263" t="n"/>
      <c r="I391" s="264" t="n"/>
      <c r="J391" s="47" t="n"/>
      <c r="K391" s="47" t="n"/>
      <c r="L391" s="47" t="n"/>
      <c r="M391" s="47" t="n"/>
    </row>
    <row r="392" ht="12.75" customHeight="1" s="202">
      <c r="B392" s="266" t="n"/>
      <c r="C392" s="50">
        <f>IF(B392=0,"",YEAR(B392))</f>
        <v/>
      </c>
      <c r="D392" s="50">
        <f>IF(B392=0,"",MONTH(B392)&amp;"월")</f>
        <v/>
      </c>
      <c r="E392" s="51">
        <f>IF(B392=0,"",DAY(B392)&amp;"일")</f>
        <v/>
      </c>
      <c r="F392" s="260" t="n"/>
      <c r="G392" s="261" t="n"/>
      <c r="H392" s="263" t="n"/>
      <c r="I392" s="264" t="n"/>
      <c r="J392" s="47" t="n"/>
      <c r="K392" s="47" t="n"/>
      <c r="L392" s="47" t="n"/>
      <c r="M392" s="47" t="n"/>
    </row>
    <row r="393" ht="12.75" customHeight="1" s="202">
      <c r="B393" s="266" t="n"/>
      <c r="C393" s="50">
        <f>IF(B393=0,"",YEAR(B393))</f>
        <v/>
      </c>
      <c r="D393" s="50">
        <f>IF(B393=0,"",MONTH(B393)&amp;"월")</f>
        <v/>
      </c>
      <c r="E393" s="51">
        <f>IF(B393=0,"",DAY(B393)&amp;"일")</f>
        <v/>
      </c>
      <c r="F393" s="260" t="n"/>
      <c r="G393" s="261" t="n"/>
      <c r="H393" s="263" t="n"/>
      <c r="I393" s="264" t="n"/>
      <c r="J393" s="47" t="n"/>
      <c r="K393" s="47" t="n"/>
      <c r="L393" s="47" t="n"/>
      <c r="M393" s="47" t="n"/>
    </row>
    <row r="394" ht="12.75" customHeight="1" s="202">
      <c r="B394" s="266" t="n"/>
      <c r="C394" s="50">
        <f>IF(B394=0,"",YEAR(B394))</f>
        <v/>
      </c>
      <c r="D394" s="50">
        <f>IF(B394=0,"",MONTH(B394)&amp;"월")</f>
        <v/>
      </c>
      <c r="E394" s="51">
        <f>IF(B394=0,"",DAY(B394)&amp;"일")</f>
        <v/>
      </c>
      <c r="F394" s="260" t="n"/>
      <c r="G394" s="261" t="n"/>
      <c r="H394" s="263" t="n"/>
      <c r="I394" s="264" t="n"/>
      <c r="J394" s="47" t="n"/>
      <c r="K394" s="47" t="n"/>
      <c r="L394" s="47" t="n"/>
      <c r="M394" s="47" t="n"/>
    </row>
    <row r="395" ht="12.75" customHeight="1" s="202">
      <c r="B395" s="266" t="n"/>
      <c r="C395" s="50">
        <f>IF(B395=0,"",YEAR(B395))</f>
        <v/>
      </c>
      <c r="D395" s="50">
        <f>IF(B395=0,"",MONTH(B395)&amp;"월")</f>
        <v/>
      </c>
      <c r="E395" s="51">
        <f>IF(B395=0,"",DAY(B395)&amp;"일")</f>
        <v/>
      </c>
      <c r="F395" s="260" t="n"/>
      <c r="G395" s="261" t="n"/>
      <c r="H395" s="263" t="n"/>
      <c r="I395" s="264" t="n"/>
      <c r="J395" s="47" t="n"/>
      <c r="K395" s="47" t="n"/>
      <c r="L395" s="47" t="n"/>
      <c r="M395" s="47" t="n"/>
    </row>
    <row r="396" ht="12.75" customHeight="1" s="202">
      <c r="B396" s="266" t="n"/>
      <c r="C396" s="50">
        <f>IF(B396=0,"",YEAR(B396))</f>
        <v/>
      </c>
      <c r="D396" s="50">
        <f>IF(B396=0,"",MONTH(B396)&amp;"월")</f>
        <v/>
      </c>
      <c r="E396" s="51">
        <f>IF(B396=0,"",DAY(B396)&amp;"일")</f>
        <v/>
      </c>
      <c r="F396" s="260" t="n"/>
      <c r="G396" s="261" t="n"/>
      <c r="H396" s="263" t="n"/>
      <c r="I396" s="264" t="n"/>
      <c r="J396" s="47" t="n"/>
      <c r="K396" s="47" t="n"/>
      <c r="L396" s="47" t="n"/>
      <c r="M396" s="47" t="n"/>
    </row>
    <row r="397" ht="12.75" customHeight="1" s="202">
      <c r="B397" s="266" t="n"/>
      <c r="C397" s="50">
        <f>IF(B397=0,"",YEAR(B397))</f>
        <v/>
      </c>
      <c r="D397" s="50">
        <f>IF(B397=0,"",MONTH(B397)&amp;"월")</f>
        <v/>
      </c>
      <c r="E397" s="51">
        <f>IF(B397=0,"",DAY(B397)&amp;"일")</f>
        <v/>
      </c>
      <c r="F397" s="260" t="n"/>
      <c r="G397" s="261" t="n"/>
      <c r="H397" s="263" t="n"/>
      <c r="I397" s="264" t="n"/>
      <c r="J397" s="47" t="n"/>
      <c r="K397" s="47" t="n"/>
      <c r="L397" s="47" t="n"/>
      <c r="M397" s="47" t="n"/>
    </row>
    <row r="398" ht="12.75" customHeight="1" s="202">
      <c r="B398" s="266" t="n"/>
      <c r="C398" s="50">
        <f>IF(B398=0,"",YEAR(B398))</f>
        <v/>
      </c>
      <c r="D398" s="50">
        <f>IF(B398=0,"",MONTH(B398)&amp;"월")</f>
        <v/>
      </c>
      <c r="E398" s="51">
        <f>IF(B398=0,"",DAY(B398)&amp;"일")</f>
        <v/>
      </c>
      <c r="F398" s="260" t="n"/>
      <c r="G398" s="261" t="n"/>
      <c r="H398" s="263" t="n"/>
      <c r="I398" s="264" t="n"/>
      <c r="J398" s="47" t="n"/>
      <c r="K398" s="47" t="n"/>
      <c r="L398" s="47" t="n"/>
      <c r="M398" s="47" t="n"/>
    </row>
    <row r="399" ht="12.75" customHeight="1" s="202">
      <c r="B399" s="266" t="n"/>
      <c r="C399" s="50">
        <f>IF(B399=0,"",YEAR(B399))</f>
        <v/>
      </c>
      <c r="D399" s="50">
        <f>IF(B399=0,"",MONTH(B399)&amp;"월")</f>
        <v/>
      </c>
      <c r="E399" s="51">
        <f>IF(B399=0,"",DAY(B399)&amp;"일")</f>
        <v/>
      </c>
      <c r="F399" s="260" t="n"/>
      <c r="G399" s="261" t="n"/>
      <c r="H399" s="263" t="n"/>
      <c r="I399" s="264" t="n"/>
      <c r="J399" s="47" t="n"/>
      <c r="K399" s="47" t="n"/>
      <c r="L399" s="47" t="n"/>
      <c r="M399" s="47" t="n"/>
    </row>
    <row r="400" ht="12.75" customHeight="1" s="202">
      <c r="B400" s="266" t="n"/>
      <c r="C400" s="50">
        <f>IF(B400=0,"",YEAR(B400))</f>
        <v/>
      </c>
      <c r="D400" s="50">
        <f>IF(B400=0,"",MONTH(B400)&amp;"월")</f>
        <v/>
      </c>
      <c r="E400" s="51">
        <f>IF(B400=0,"",DAY(B400)&amp;"일")</f>
        <v/>
      </c>
      <c r="F400" s="260" t="n"/>
      <c r="G400" s="261" t="n"/>
      <c r="H400" s="263" t="n"/>
      <c r="I400" s="264" t="n"/>
      <c r="J400" s="47" t="n"/>
      <c r="K400" s="47" t="n"/>
      <c r="L400" s="47" t="n"/>
      <c r="M400" s="47" t="n"/>
    </row>
    <row r="401" ht="12.75" customHeight="1" s="202">
      <c r="B401" s="266" t="n"/>
      <c r="C401" s="50">
        <f>IF(B401=0,"",YEAR(B401))</f>
        <v/>
      </c>
      <c r="D401" s="50">
        <f>IF(B401=0,"",MONTH(B401)&amp;"월")</f>
        <v/>
      </c>
      <c r="E401" s="51">
        <f>IF(B401=0,"",DAY(B401)&amp;"일")</f>
        <v/>
      </c>
      <c r="F401" s="260" t="n"/>
      <c r="G401" s="261" t="n"/>
      <c r="H401" s="263" t="n"/>
      <c r="I401" s="264" t="n"/>
      <c r="J401" s="47" t="n"/>
      <c r="K401" s="47" t="n"/>
      <c r="L401" s="47" t="n"/>
      <c r="M401" s="47" t="n"/>
    </row>
    <row r="402" ht="12.75" customHeight="1" s="202">
      <c r="B402" s="266" t="n"/>
      <c r="C402" s="50">
        <f>IF(B402=0,"",YEAR(B402))</f>
        <v/>
      </c>
      <c r="D402" s="50">
        <f>IF(B402=0,"",MONTH(B402)&amp;"월")</f>
        <v/>
      </c>
      <c r="E402" s="51">
        <f>IF(B402=0,"",DAY(B402)&amp;"일")</f>
        <v/>
      </c>
      <c r="F402" s="260" t="n"/>
      <c r="G402" s="261" t="n"/>
      <c r="H402" s="263" t="n"/>
      <c r="I402" s="264" t="n"/>
      <c r="J402" s="47" t="n"/>
      <c r="K402" s="47" t="n"/>
      <c r="L402" s="47" t="n"/>
      <c r="M402" s="47" t="n"/>
    </row>
    <row r="403" ht="12.75" customHeight="1" s="202">
      <c r="B403" s="266" t="n"/>
      <c r="C403" s="50">
        <f>IF(B403=0,"",YEAR(B403))</f>
        <v/>
      </c>
      <c r="D403" s="50">
        <f>IF(B403=0,"",MONTH(B403)&amp;"월")</f>
        <v/>
      </c>
      <c r="E403" s="51">
        <f>IF(B403=0,"",DAY(B403)&amp;"일")</f>
        <v/>
      </c>
      <c r="F403" s="260" t="n"/>
      <c r="G403" s="261" t="n"/>
      <c r="H403" s="263" t="n"/>
      <c r="I403" s="264" t="n"/>
      <c r="J403" s="47" t="n"/>
      <c r="K403" s="47" t="n"/>
      <c r="L403" s="47" t="n"/>
      <c r="M403" s="47" t="n"/>
    </row>
    <row r="404" ht="12.75" customHeight="1" s="202">
      <c r="B404" s="266" t="n"/>
      <c r="C404" s="50">
        <f>IF(B404=0,"",YEAR(B404))</f>
        <v/>
      </c>
      <c r="D404" s="50">
        <f>IF(B404=0,"",MONTH(B404)&amp;"월")</f>
        <v/>
      </c>
      <c r="E404" s="51">
        <f>IF(B404=0,"",DAY(B404)&amp;"일")</f>
        <v/>
      </c>
      <c r="F404" s="260" t="n"/>
      <c r="G404" s="261" t="n"/>
      <c r="H404" s="263" t="n"/>
      <c r="I404" s="264" t="n"/>
      <c r="J404" s="47" t="n"/>
      <c r="K404" s="47" t="n"/>
      <c r="L404" s="47" t="n"/>
      <c r="M404" s="47" t="n"/>
    </row>
    <row r="405" ht="12.75" customHeight="1" s="202">
      <c r="B405" s="266" t="n"/>
      <c r="C405" s="50">
        <f>IF(B405=0,"",YEAR(B405))</f>
        <v/>
      </c>
      <c r="D405" s="50">
        <f>IF(B405=0,"",MONTH(B405)&amp;"월")</f>
        <v/>
      </c>
      <c r="E405" s="51">
        <f>IF(B405=0,"",DAY(B405)&amp;"일")</f>
        <v/>
      </c>
      <c r="F405" s="260" t="n"/>
      <c r="G405" s="261" t="n"/>
      <c r="H405" s="263" t="n"/>
      <c r="I405" s="264" t="n"/>
      <c r="J405" s="47" t="n"/>
      <c r="K405" s="47" t="n"/>
      <c r="L405" s="47" t="n"/>
      <c r="M405" s="47" t="n"/>
    </row>
    <row r="406" ht="12.75" customHeight="1" s="202">
      <c r="B406" s="266" t="n"/>
      <c r="C406" s="50">
        <f>IF(B406=0,"",YEAR(B406))</f>
        <v/>
      </c>
      <c r="D406" s="50">
        <f>IF(B406=0,"",MONTH(B406)&amp;"월")</f>
        <v/>
      </c>
      <c r="E406" s="51">
        <f>IF(B406=0,"",DAY(B406)&amp;"일")</f>
        <v/>
      </c>
      <c r="F406" s="260" t="n"/>
      <c r="G406" s="261" t="n"/>
      <c r="H406" s="263" t="n"/>
      <c r="I406" s="264" t="n"/>
      <c r="J406" s="47" t="n"/>
      <c r="K406" s="47" t="n"/>
      <c r="L406" s="47" t="n"/>
      <c r="M406" s="47" t="n"/>
    </row>
    <row r="407" ht="12.75" customHeight="1" s="202">
      <c r="B407" s="266" t="n"/>
      <c r="C407" s="50">
        <f>IF(B407=0,"",YEAR(B407))</f>
        <v/>
      </c>
      <c r="D407" s="50">
        <f>IF(B407=0,"",MONTH(B407)&amp;"월")</f>
        <v/>
      </c>
      <c r="E407" s="51">
        <f>IF(B407=0,"",DAY(B407)&amp;"일")</f>
        <v/>
      </c>
      <c r="F407" s="260" t="n"/>
      <c r="G407" s="261" t="n"/>
      <c r="H407" s="263" t="n"/>
      <c r="I407" s="264" t="n"/>
      <c r="J407" s="47" t="n"/>
      <c r="K407" s="47" t="n"/>
      <c r="L407" s="47" t="n"/>
      <c r="M407" s="47" t="n"/>
    </row>
    <row r="408" ht="12.75" customHeight="1" s="202">
      <c r="B408" s="266" t="n"/>
      <c r="C408" s="50">
        <f>IF(B408=0,"",YEAR(B408))</f>
        <v/>
      </c>
      <c r="D408" s="50">
        <f>IF(B408=0,"",MONTH(B408)&amp;"월")</f>
        <v/>
      </c>
      <c r="E408" s="51">
        <f>IF(B408=0,"",DAY(B408)&amp;"일")</f>
        <v/>
      </c>
      <c r="F408" s="260" t="n"/>
      <c r="G408" s="261" t="n"/>
      <c r="H408" s="263" t="n"/>
      <c r="I408" s="264" t="n"/>
      <c r="J408" s="47" t="n"/>
      <c r="K408" s="47" t="n"/>
      <c r="L408" s="47" t="n"/>
      <c r="M408" s="47" t="n"/>
    </row>
    <row r="409" ht="12.75" customHeight="1" s="202">
      <c r="B409" s="266" t="n"/>
      <c r="C409" s="50">
        <f>IF(B409=0,"",YEAR(B409))</f>
        <v/>
      </c>
      <c r="D409" s="50">
        <f>IF(B409=0,"",MONTH(B409)&amp;"월")</f>
        <v/>
      </c>
      <c r="E409" s="51">
        <f>IF(B409=0,"",DAY(B409)&amp;"일")</f>
        <v/>
      </c>
      <c r="F409" s="260" t="n"/>
      <c r="G409" s="261" t="n"/>
      <c r="H409" s="263" t="n"/>
      <c r="I409" s="264" t="n"/>
      <c r="J409" s="47" t="n"/>
      <c r="K409" s="47" t="n"/>
      <c r="L409" s="47" t="n"/>
      <c r="M409" s="47" t="n"/>
    </row>
    <row r="410" ht="12.75" customHeight="1" s="202">
      <c r="B410" s="266" t="n"/>
      <c r="C410" s="50">
        <f>IF(B410=0,"",YEAR(B410))</f>
        <v/>
      </c>
      <c r="D410" s="50">
        <f>IF(B410=0,"",MONTH(B410)&amp;"월")</f>
        <v/>
      </c>
      <c r="E410" s="51">
        <f>IF(B410=0,"",DAY(B410)&amp;"일")</f>
        <v/>
      </c>
      <c r="F410" s="260" t="n"/>
      <c r="G410" s="261" t="n"/>
      <c r="H410" s="263" t="n"/>
      <c r="I410" s="264" t="n"/>
      <c r="J410" s="47" t="n"/>
      <c r="K410" s="47" t="n"/>
      <c r="L410" s="47" t="n"/>
      <c r="M410" s="47" t="n"/>
    </row>
    <row r="411" ht="12.75" customHeight="1" s="202">
      <c r="B411" s="266" t="n"/>
      <c r="C411" s="50">
        <f>IF(B411=0,"",YEAR(B411))</f>
        <v/>
      </c>
      <c r="D411" s="50">
        <f>IF(B411=0,"",MONTH(B411)&amp;"월")</f>
        <v/>
      </c>
      <c r="E411" s="51">
        <f>IF(B411=0,"",DAY(B411)&amp;"일")</f>
        <v/>
      </c>
      <c r="F411" s="260" t="n"/>
      <c r="G411" s="261" t="n"/>
      <c r="H411" s="263" t="n"/>
      <c r="I411" s="264" t="n"/>
      <c r="J411" s="47" t="n"/>
      <c r="K411" s="47" t="n"/>
      <c r="L411" s="47" t="n"/>
      <c r="M411" s="47" t="n"/>
    </row>
    <row r="412" ht="12.75" customHeight="1" s="202">
      <c r="B412" s="266" t="n"/>
      <c r="C412" s="50">
        <f>IF(B412=0,"",YEAR(B412))</f>
        <v/>
      </c>
      <c r="D412" s="50">
        <f>IF(B412=0,"",MONTH(B412)&amp;"월")</f>
        <v/>
      </c>
      <c r="E412" s="51">
        <f>IF(B412=0,"",DAY(B412)&amp;"일")</f>
        <v/>
      </c>
      <c r="F412" s="260" t="n"/>
      <c r="G412" s="261" t="n"/>
      <c r="H412" s="263" t="n"/>
      <c r="I412" s="264" t="n"/>
      <c r="J412" s="47" t="n"/>
      <c r="K412" s="47" t="n"/>
      <c r="L412" s="47" t="n"/>
      <c r="M412" s="47" t="n"/>
    </row>
    <row r="413" ht="12.75" customHeight="1" s="202">
      <c r="B413" s="266" t="n"/>
      <c r="C413" s="50">
        <f>IF(B413=0,"",YEAR(B413))</f>
        <v/>
      </c>
      <c r="D413" s="50">
        <f>IF(B413=0,"",MONTH(B413)&amp;"월")</f>
        <v/>
      </c>
      <c r="E413" s="51">
        <f>IF(B413=0,"",DAY(B413)&amp;"일")</f>
        <v/>
      </c>
      <c r="F413" s="260" t="n"/>
      <c r="G413" s="261" t="n"/>
      <c r="H413" s="263" t="n"/>
      <c r="I413" s="264" t="n"/>
      <c r="J413" s="47" t="n"/>
      <c r="K413" s="47" t="n"/>
      <c r="L413" s="47" t="n"/>
      <c r="M413" s="47" t="n"/>
    </row>
    <row r="414" ht="12.75" customHeight="1" s="202">
      <c r="B414" s="266" t="n"/>
      <c r="C414" s="50">
        <f>IF(B414=0,"",YEAR(B414))</f>
        <v/>
      </c>
      <c r="D414" s="50">
        <f>IF(B414=0,"",MONTH(B414)&amp;"월")</f>
        <v/>
      </c>
      <c r="E414" s="51">
        <f>IF(B414=0,"",DAY(B414)&amp;"일")</f>
        <v/>
      </c>
      <c r="F414" s="260" t="n"/>
      <c r="G414" s="261" t="n"/>
      <c r="H414" s="263" t="n"/>
      <c r="I414" s="264" t="n"/>
      <c r="J414" s="47" t="n"/>
      <c r="K414" s="47" t="n"/>
      <c r="L414" s="47" t="n"/>
      <c r="M414" s="47" t="n"/>
    </row>
    <row r="415" ht="12.75" customHeight="1" s="202">
      <c r="B415" s="266" t="n"/>
      <c r="C415" s="50">
        <f>IF(B415=0,"",YEAR(B415))</f>
        <v/>
      </c>
      <c r="D415" s="50">
        <f>IF(B415=0,"",MONTH(B415)&amp;"월")</f>
        <v/>
      </c>
      <c r="E415" s="51">
        <f>IF(B415=0,"",DAY(B415)&amp;"일")</f>
        <v/>
      </c>
      <c r="F415" s="260" t="n"/>
      <c r="G415" s="261" t="n"/>
      <c r="H415" s="263" t="n"/>
      <c r="I415" s="264" t="n"/>
      <c r="J415" s="47" t="n"/>
      <c r="K415" s="47" t="n"/>
      <c r="L415" s="47" t="n"/>
      <c r="M415" s="47" t="n"/>
    </row>
    <row r="416" ht="12.75" customHeight="1" s="202">
      <c r="B416" s="266" t="n"/>
      <c r="C416" s="50">
        <f>IF(B416=0,"",YEAR(B416))</f>
        <v/>
      </c>
      <c r="D416" s="50">
        <f>IF(B416=0,"",MONTH(B416)&amp;"월")</f>
        <v/>
      </c>
      <c r="E416" s="51">
        <f>IF(B416=0,"",DAY(B416)&amp;"일")</f>
        <v/>
      </c>
      <c r="F416" s="260" t="n"/>
      <c r="G416" s="261" t="n"/>
      <c r="H416" s="263" t="n"/>
      <c r="I416" s="264" t="n"/>
      <c r="J416" s="47" t="n"/>
      <c r="K416" s="47" t="n"/>
      <c r="L416" s="47" t="n"/>
      <c r="M416" s="47" t="n"/>
    </row>
    <row r="417" ht="12.75" customHeight="1" s="202">
      <c r="B417" s="266" t="n"/>
      <c r="C417" s="50">
        <f>IF(B417=0,"",YEAR(B417))</f>
        <v/>
      </c>
      <c r="D417" s="50">
        <f>IF(B417=0,"",MONTH(B417)&amp;"월")</f>
        <v/>
      </c>
      <c r="E417" s="51">
        <f>IF(B417=0,"",DAY(B417)&amp;"일")</f>
        <v/>
      </c>
      <c r="F417" s="260" t="n"/>
      <c r="G417" s="261" t="n"/>
      <c r="H417" s="263" t="n"/>
      <c r="I417" s="264" t="n"/>
      <c r="J417" s="47" t="n"/>
      <c r="K417" s="47" t="n"/>
      <c r="L417" s="47" t="n"/>
      <c r="M417" s="47" t="n"/>
    </row>
    <row r="418" ht="12.75" customHeight="1" s="202">
      <c r="B418" s="266" t="n"/>
      <c r="C418" s="50">
        <f>IF(B418=0,"",YEAR(B418))</f>
        <v/>
      </c>
      <c r="D418" s="50">
        <f>IF(B418=0,"",MONTH(B418)&amp;"월")</f>
        <v/>
      </c>
      <c r="E418" s="51">
        <f>IF(B418=0,"",DAY(B418)&amp;"일")</f>
        <v/>
      </c>
      <c r="F418" s="260" t="n"/>
      <c r="G418" s="261" t="n"/>
      <c r="H418" s="263" t="n"/>
      <c r="I418" s="264" t="n"/>
      <c r="J418" s="47" t="n"/>
      <c r="K418" s="47" t="n"/>
      <c r="L418" s="47" t="n"/>
      <c r="M418" s="47" t="n"/>
    </row>
    <row r="419" ht="12.75" customHeight="1" s="202">
      <c r="B419" s="266" t="n"/>
      <c r="C419" s="50">
        <f>IF(B419=0,"",YEAR(B419))</f>
        <v/>
      </c>
      <c r="D419" s="50">
        <f>IF(B419=0,"",MONTH(B419)&amp;"월")</f>
        <v/>
      </c>
      <c r="E419" s="51">
        <f>IF(B419=0,"",DAY(B419)&amp;"일")</f>
        <v/>
      </c>
      <c r="F419" s="260" t="n"/>
      <c r="G419" s="261" t="n"/>
      <c r="H419" s="263" t="n"/>
      <c r="I419" s="264" t="n"/>
      <c r="J419" s="47" t="n"/>
      <c r="K419" s="47" t="n"/>
      <c r="L419" s="47" t="n"/>
      <c r="M419" s="47" t="n"/>
    </row>
    <row r="420" ht="12.75" customHeight="1" s="202">
      <c r="B420" s="266" t="n"/>
      <c r="C420" s="50">
        <f>IF(B420=0,"",YEAR(B420))</f>
        <v/>
      </c>
      <c r="D420" s="50">
        <f>IF(B420=0,"",MONTH(B420)&amp;"월")</f>
        <v/>
      </c>
      <c r="E420" s="51">
        <f>IF(B420=0,"",DAY(B420)&amp;"일")</f>
        <v/>
      </c>
      <c r="F420" s="260" t="n"/>
      <c r="G420" s="261" t="n"/>
      <c r="H420" s="263" t="n"/>
      <c r="I420" s="264" t="n"/>
      <c r="J420" s="47" t="n"/>
      <c r="K420" s="47" t="n"/>
      <c r="L420" s="47" t="n"/>
      <c r="M420" s="47" t="n"/>
    </row>
    <row r="421" ht="12.75" customHeight="1" s="202">
      <c r="B421" s="266" t="n"/>
      <c r="C421" s="50">
        <f>IF(B421=0,"",YEAR(B421))</f>
        <v/>
      </c>
      <c r="D421" s="50">
        <f>IF(B421=0,"",MONTH(B421)&amp;"월")</f>
        <v/>
      </c>
      <c r="E421" s="51">
        <f>IF(B421=0,"",DAY(B421)&amp;"일")</f>
        <v/>
      </c>
      <c r="F421" s="260" t="n"/>
      <c r="G421" s="261" t="n"/>
      <c r="H421" s="263" t="n"/>
      <c r="I421" s="264" t="n"/>
      <c r="J421" s="47" t="n"/>
      <c r="K421" s="47" t="n"/>
      <c r="L421" s="47" t="n"/>
      <c r="M421" s="47" t="n"/>
    </row>
    <row r="422" ht="12.75" customHeight="1" s="202">
      <c r="B422" s="266" t="n"/>
      <c r="C422" s="50">
        <f>IF(B422=0,"",YEAR(B422))</f>
        <v/>
      </c>
      <c r="D422" s="50">
        <f>IF(B422=0,"",MONTH(B422)&amp;"월")</f>
        <v/>
      </c>
      <c r="E422" s="51">
        <f>IF(B422=0,"",DAY(B422)&amp;"일")</f>
        <v/>
      </c>
      <c r="F422" s="260" t="n"/>
      <c r="G422" s="261" t="n"/>
      <c r="H422" s="263" t="n"/>
      <c r="I422" s="264" t="n"/>
      <c r="J422" s="47" t="n"/>
      <c r="K422" s="47" t="n"/>
      <c r="L422" s="47" t="n"/>
      <c r="M422" s="47" t="n"/>
    </row>
    <row r="423" ht="12.75" customHeight="1" s="202">
      <c r="B423" s="266" t="n"/>
      <c r="C423" s="50">
        <f>IF(B423=0,"",YEAR(B423))</f>
        <v/>
      </c>
      <c r="D423" s="50">
        <f>IF(B423=0,"",MONTH(B423)&amp;"월")</f>
        <v/>
      </c>
      <c r="E423" s="51">
        <f>IF(B423=0,"",DAY(B423)&amp;"일")</f>
        <v/>
      </c>
      <c r="F423" s="260" t="n"/>
      <c r="G423" s="261" t="n"/>
      <c r="H423" s="263" t="n"/>
      <c r="I423" s="264" t="n"/>
      <c r="J423" s="47" t="n"/>
      <c r="K423" s="47" t="n"/>
      <c r="L423" s="47" t="n"/>
      <c r="M423" s="47" t="n"/>
    </row>
    <row r="424" ht="12.75" customHeight="1" s="202">
      <c r="B424" s="266" t="n"/>
      <c r="C424" s="50">
        <f>IF(B424=0,"",YEAR(B424))</f>
        <v/>
      </c>
      <c r="D424" s="50">
        <f>IF(B424=0,"",MONTH(B424)&amp;"월")</f>
        <v/>
      </c>
      <c r="E424" s="51">
        <f>IF(B424=0,"",DAY(B424)&amp;"일")</f>
        <v/>
      </c>
      <c r="F424" s="260" t="n"/>
      <c r="G424" s="261" t="n"/>
      <c r="H424" s="263" t="n"/>
      <c r="I424" s="264" t="n"/>
      <c r="J424" s="47" t="n"/>
      <c r="K424" s="47" t="n"/>
      <c r="L424" s="47" t="n"/>
      <c r="M424" s="47" t="n"/>
    </row>
    <row r="425" ht="12.75" customHeight="1" s="202">
      <c r="B425" s="266" t="n"/>
      <c r="C425" s="50">
        <f>IF(B425=0,"",YEAR(B425))</f>
        <v/>
      </c>
      <c r="D425" s="50">
        <f>IF(B425=0,"",MONTH(B425)&amp;"월")</f>
        <v/>
      </c>
      <c r="E425" s="51">
        <f>IF(B425=0,"",DAY(B425)&amp;"일")</f>
        <v/>
      </c>
      <c r="F425" s="260" t="n"/>
      <c r="G425" s="261" t="n"/>
      <c r="H425" s="263" t="n"/>
      <c r="I425" s="264" t="n"/>
      <c r="J425" s="47" t="n"/>
      <c r="K425" s="47" t="n"/>
      <c r="L425" s="47" t="n"/>
      <c r="M425" s="47" t="n"/>
    </row>
    <row r="426" ht="12.75" customHeight="1" s="202">
      <c r="B426" s="266" t="n"/>
      <c r="C426" s="50">
        <f>IF(B426=0,"",YEAR(B426))</f>
        <v/>
      </c>
      <c r="D426" s="50">
        <f>IF(B426=0,"",MONTH(B426)&amp;"월")</f>
        <v/>
      </c>
      <c r="E426" s="51">
        <f>IF(B426=0,"",DAY(B426)&amp;"일")</f>
        <v/>
      </c>
      <c r="F426" s="260" t="n"/>
      <c r="G426" s="261" t="n"/>
      <c r="H426" s="263" t="n"/>
      <c r="I426" s="264" t="n"/>
      <c r="J426" s="47" t="n"/>
      <c r="K426" s="47" t="n"/>
      <c r="L426" s="47" t="n"/>
      <c r="M426" s="47" t="n"/>
    </row>
    <row r="427" ht="12.75" customHeight="1" s="202">
      <c r="B427" s="266" t="n"/>
      <c r="C427" s="50">
        <f>IF(B427=0,"",YEAR(B427))</f>
        <v/>
      </c>
      <c r="D427" s="50">
        <f>IF(B427=0,"",MONTH(B427)&amp;"월")</f>
        <v/>
      </c>
      <c r="E427" s="51">
        <f>IF(B427=0,"",DAY(B427)&amp;"일")</f>
        <v/>
      </c>
      <c r="F427" s="260" t="n"/>
      <c r="G427" s="261" t="n"/>
      <c r="H427" s="263" t="n"/>
      <c r="I427" s="264" t="n"/>
      <c r="J427" s="47" t="n"/>
      <c r="K427" s="47" t="n"/>
      <c r="L427" s="47" t="n"/>
      <c r="M427" s="47" t="n"/>
    </row>
    <row r="428" ht="12.75" customHeight="1" s="202">
      <c r="B428" s="266" t="n"/>
      <c r="C428" s="50">
        <f>IF(B428=0,"",YEAR(B428))</f>
        <v/>
      </c>
      <c r="D428" s="50">
        <f>IF(B428=0,"",MONTH(B428)&amp;"월")</f>
        <v/>
      </c>
      <c r="E428" s="51">
        <f>IF(B428=0,"",DAY(B428)&amp;"일")</f>
        <v/>
      </c>
      <c r="F428" s="260" t="n"/>
      <c r="G428" s="261" t="n"/>
      <c r="H428" s="263" t="n"/>
      <c r="I428" s="264" t="n"/>
      <c r="J428" s="47" t="n"/>
      <c r="K428" s="47" t="n"/>
      <c r="L428" s="47" t="n"/>
      <c r="M428" s="47" t="n"/>
    </row>
    <row r="429" ht="12.75" customHeight="1" s="202">
      <c r="B429" s="266" t="n"/>
      <c r="C429" s="50">
        <f>IF(B429=0,"",YEAR(B429))</f>
        <v/>
      </c>
      <c r="D429" s="50">
        <f>IF(B429=0,"",MONTH(B429)&amp;"월")</f>
        <v/>
      </c>
      <c r="E429" s="51">
        <f>IF(B429=0,"",DAY(B429)&amp;"일")</f>
        <v/>
      </c>
      <c r="F429" s="260" t="n"/>
      <c r="G429" s="261" t="n"/>
      <c r="H429" s="263" t="n"/>
      <c r="I429" s="264" t="n"/>
      <c r="J429" s="47" t="n"/>
      <c r="K429" s="47" t="n"/>
      <c r="L429" s="47" t="n"/>
      <c r="M429" s="47" t="n"/>
    </row>
    <row r="430" ht="12.75" customHeight="1" s="202">
      <c r="B430" s="266" t="n"/>
      <c r="C430" s="50">
        <f>IF(B430=0,"",YEAR(B430))</f>
        <v/>
      </c>
      <c r="D430" s="50">
        <f>IF(B430=0,"",MONTH(B430)&amp;"월")</f>
        <v/>
      </c>
      <c r="E430" s="51">
        <f>IF(B430=0,"",DAY(B430)&amp;"일")</f>
        <v/>
      </c>
      <c r="F430" s="260" t="n"/>
      <c r="G430" s="261" t="n"/>
      <c r="H430" s="263" t="n"/>
      <c r="I430" s="264" t="n"/>
      <c r="J430" s="47" t="n"/>
      <c r="K430" s="47" t="n"/>
      <c r="L430" s="47" t="n"/>
      <c r="M430" s="47" t="n"/>
    </row>
    <row r="431" ht="12.75" customHeight="1" s="202">
      <c r="B431" s="266" t="n"/>
      <c r="C431" s="50">
        <f>IF(B431=0,"",YEAR(B431))</f>
        <v/>
      </c>
      <c r="D431" s="50">
        <f>IF(B431=0,"",MONTH(B431)&amp;"월")</f>
        <v/>
      </c>
      <c r="E431" s="51">
        <f>IF(B431=0,"",DAY(B431)&amp;"일")</f>
        <v/>
      </c>
      <c r="F431" s="260" t="n"/>
      <c r="G431" s="261" t="n"/>
      <c r="H431" s="263" t="n"/>
      <c r="I431" s="264" t="n"/>
      <c r="J431" s="47" t="n"/>
      <c r="K431" s="47" t="n"/>
      <c r="L431" s="47" t="n"/>
      <c r="M431" s="47" t="n"/>
    </row>
    <row r="432" ht="12.75" customHeight="1" s="202">
      <c r="B432" s="266" t="n"/>
      <c r="C432" s="50">
        <f>IF(B432=0,"",YEAR(B432))</f>
        <v/>
      </c>
      <c r="D432" s="50">
        <f>IF(B432=0,"",MONTH(B432)&amp;"월")</f>
        <v/>
      </c>
      <c r="E432" s="51">
        <f>IF(B432=0,"",DAY(B432)&amp;"일")</f>
        <v/>
      </c>
      <c r="F432" s="260" t="n"/>
      <c r="G432" s="261" t="n"/>
      <c r="H432" s="263" t="n"/>
      <c r="I432" s="264" t="n"/>
      <c r="J432" s="47" t="n"/>
      <c r="K432" s="47" t="n"/>
      <c r="L432" s="47" t="n"/>
      <c r="M432" s="47" t="n"/>
    </row>
    <row r="433" ht="12.75" customHeight="1" s="202">
      <c r="B433" s="266" t="n"/>
      <c r="C433" s="50">
        <f>IF(B433=0,"",YEAR(B433))</f>
        <v/>
      </c>
      <c r="D433" s="50">
        <f>IF(B433=0,"",MONTH(B433)&amp;"월")</f>
        <v/>
      </c>
      <c r="E433" s="51">
        <f>IF(B433=0,"",DAY(B433)&amp;"일")</f>
        <v/>
      </c>
      <c r="F433" s="260" t="n"/>
      <c r="G433" s="261" t="n"/>
      <c r="H433" s="263" t="n"/>
      <c r="I433" s="264" t="n"/>
      <c r="J433" s="47" t="n"/>
      <c r="K433" s="47" t="n"/>
      <c r="L433" s="47" t="n"/>
      <c r="M433" s="47" t="n"/>
    </row>
    <row r="434" ht="12.75" customHeight="1" s="202">
      <c r="B434" s="266" t="n"/>
      <c r="C434" s="50">
        <f>IF(B434=0,"",YEAR(B434))</f>
        <v/>
      </c>
      <c r="D434" s="50">
        <f>IF(B434=0,"",MONTH(B434)&amp;"월")</f>
        <v/>
      </c>
      <c r="E434" s="51">
        <f>IF(B434=0,"",DAY(B434)&amp;"일")</f>
        <v/>
      </c>
      <c r="F434" s="260" t="n"/>
      <c r="G434" s="261" t="n"/>
      <c r="H434" s="263" t="n"/>
      <c r="I434" s="264" t="n"/>
      <c r="J434" s="47" t="n"/>
      <c r="K434" s="47" t="n"/>
      <c r="L434" s="47" t="n"/>
      <c r="M434" s="47" t="n"/>
    </row>
    <row r="435" ht="12.75" customHeight="1" s="202">
      <c r="B435" s="266" t="n"/>
      <c r="C435" s="50">
        <f>IF(B435=0,"",YEAR(B435))</f>
        <v/>
      </c>
      <c r="D435" s="50">
        <f>IF(B435=0,"",MONTH(B435)&amp;"월")</f>
        <v/>
      </c>
      <c r="E435" s="51">
        <f>IF(B435=0,"",DAY(B435)&amp;"일")</f>
        <v/>
      </c>
      <c r="F435" s="260" t="n"/>
      <c r="G435" s="261" t="n"/>
      <c r="H435" s="263" t="n"/>
      <c r="I435" s="264" t="n"/>
      <c r="J435" s="47" t="n"/>
      <c r="K435" s="47" t="n"/>
      <c r="L435" s="47" t="n"/>
      <c r="M435" s="47" t="n"/>
    </row>
    <row r="436" ht="12.75" customHeight="1" s="202">
      <c r="B436" s="266" t="n"/>
      <c r="C436" s="50">
        <f>IF(B436=0,"",YEAR(B436))</f>
        <v/>
      </c>
      <c r="D436" s="50">
        <f>IF(B436=0,"",MONTH(B436)&amp;"월")</f>
        <v/>
      </c>
      <c r="E436" s="51">
        <f>IF(B436=0,"",DAY(B436)&amp;"일")</f>
        <v/>
      </c>
      <c r="F436" s="260" t="n"/>
      <c r="G436" s="261" t="n"/>
      <c r="H436" s="263" t="n"/>
      <c r="I436" s="264" t="n"/>
      <c r="J436" s="47" t="n"/>
      <c r="K436" s="47" t="n"/>
      <c r="L436" s="47" t="n"/>
      <c r="M436" s="47" t="n"/>
    </row>
    <row r="437" ht="12.75" customHeight="1" s="202">
      <c r="B437" s="266" t="n"/>
      <c r="C437" s="50">
        <f>IF(B437=0,"",YEAR(B437))</f>
        <v/>
      </c>
      <c r="D437" s="50">
        <f>IF(B437=0,"",MONTH(B437)&amp;"월")</f>
        <v/>
      </c>
      <c r="E437" s="51">
        <f>IF(B437=0,"",DAY(B437)&amp;"일")</f>
        <v/>
      </c>
      <c r="F437" s="260" t="n"/>
      <c r="G437" s="261" t="n"/>
      <c r="H437" s="263" t="n"/>
      <c r="I437" s="264" t="n"/>
      <c r="J437" s="47" t="n"/>
      <c r="K437" s="47" t="n"/>
      <c r="L437" s="47" t="n"/>
      <c r="M437" s="47" t="n"/>
    </row>
    <row r="438" ht="12.75" customHeight="1" s="202">
      <c r="B438" s="266" t="n"/>
      <c r="C438" s="50">
        <f>IF(B438=0,"",YEAR(B438))</f>
        <v/>
      </c>
      <c r="D438" s="50">
        <f>IF(B438=0,"",MONTH(B438)&amp;"월")</f>
        <v/>
      </c>
      <c r="E438" s="51">
        <f>IF(B438=0,"",DAY(B438)&amp;"일")</f>
        <v/>
      </c>
      <c r="F438" s="260" t="n"/>
      <c r="G438" s="261" t="n"/>
      <c r="H438" s="263" t="n"/>
      <c r="I438" s="264" t="n"/>
      <c r="J438" s="47" t="n"/>
      <c r="K438" s="47" t="n"/>
      <c r="L438" s="47" t="n"/>
      <c r="M438" s="47" t="n"/>
    </row>
    <row r="439" ht="12.75" customHeight="1" s="202">
      <c r="B439" s="266" t="n"/>
      <c r="C439" s="50">
        <f>IF(B439=0,"",YEAR(B439))</f>
        <v/>
      </c>
      <c r="D439" s="50">
        <f>IF(B439=0,"",MONTH(B439)&amp;"월")</f>
        <v/>
      </c>
      <c r="E439" s="51">
        <f>IF(B439=0,"",DAY(B439)&amp;"일")</f>
        <v/>
      </c>
      <c r="F439" s="260" t="n"/>
      <c r="G439" s="261" t="n"/>
      <c r="H439" s="263" t="n"/>
      <c r="I439" s="264" t="n"/>
      <c r="J439" s="47" t="n"/>
      <c r="K439" s="47" t="n"/>
      <c r="L439" s="47" t="n"/>
      <c r="M439" s="47" t="n"/>
    </row>
    <row r="440" ht="12.75" customHeight="1" s="202">
      <c r="B440" s="266" t="n"/>
      <c r="C440" s="50">
        <f>IF(B440=0,"",YEAR(B440))</f>
        <v/>
      </c>
      <c r="D440" s="50">
        <f>IF(B440=0,"",MONTH(B440)&amp;"월")</f>
        <v/>
      </c>
      <c r="E440" s="51">
        <f>IF(B440=0,"",DAY(B440)&amp;"일")</f>
        <v/>
      </c>
      <c r="F440" s="260" t="n"/>
      <c r="G440" s="261" t="n"/>
      <c r="H440" s="263" t="n"/>
      <c r="I440" s="264" t="n"/>
      <c r="J440" s="47" t="n"/>
      <c r="K440" s="47" t="n"/>
      <c r="L440" s="47" t="n"/>
      <c r="M440" s="47" t="n"/>
    </row>
    <row r="441" ht="12.75" customHeight="1" s="202">
      <c r="B441" s="266" t="n"/>
      <c r="C441" s="50">
        <f>IF(B441=0,"",YEAR(B441))</f>
        <v/>
      </c>
      <c r="D441" s="50">
        <f>IF(B441=0,"",MONTH(B441)&amp;"월")</f>
        <v/>
      </c>
      <c r="E441" s="51">
        <f>IF(B441=0,"",DAY(B441)&amp;"일")</f>
        <v/>
      </c>
      <c r="F441" s="260" t="n"/>
      <c r="G441" s="261" t="n"/>
      <c r="H441" s="263" t="n"/>
      <c r="I441" s="264" t="n"/>
      <c r="J441" s="47" t="n"/>
      <c r="K441" s="47" t="n"/>
      <c r="L441" s="47" t="n"/>
      <c r="M441" s="47" t="n"/>
    </row>
    <row r="442" ht="12.75" customHeight="1" s="202">
      <c r="B442" s="266" t="n"/>
      <c r="C442" s="50">
        <f>IF(B442=0,"",YEAR(B442))</f>
        <v/>
      </c>
      <c r="D442" s="50">
        <f>IF(B442=0,"",MONTH(B442)&amp;"월")</f>
        <v/>
      </c>
      <c r="E442" s="51">
        <f>IF(B442=0,"",DAY(B442)&amp;"일")</f>
        <v/>
      </c>
      <c r="F442" s="260" t="n"/>
      <c r="G442" s="261" t="n"/>
      <c r="H442" s="263" t="n"/>
      <c r="I442" s="264" t="n"/>
      <c r="J442" s="47" t="n"/>
      <c r="K442" s="47" t="n"/>
      <c r="L442" s="47" t="n"/>
      <c r="M442" s="47" t="n"/>
    </row>
    <row r="443" ht="12.75" customHeight="1" s="202">
      <c r="B443" s="266" t="n"/>
      <c r="C443" s="50">
        <f>IF(B443=0,"",YEAR(B443))</f>
        <v/>
      </c>
      <c r="D443" s="50">
        <f>IF(B443=0,"",MONTH(B443)&amp;"월")</f>
        <v/>
      </c>
      <c r="E443" s="51">
        <f>IF(B443=0,"",DAY(B443)&amp;"일")</f>
        <v/>
      </c>
      <c r="F443" s="260" t="n"/>
      <c r="G443" s="261" t="n"/>
      <c r="H443" s="263" t="n"/>
      <c r="I443" s="264" t="n"/>
      <c r="J443" s="47" t="n"/>
      <c r="K443" s="47" t="n"/>
      <c r="L443" s="47" t="n"/>
      <c r="M443" s="47" t="n"/>
    </row>
    <row r="444" ht="12.75" customHeight="1" s="202">
      <c r="B444" s="266" t="n"/>
      <c r="C444" s="50">
        <f>IF(B444=0,"",YEAR(B444))</f>
        <v/>
      </c>
      <c r="D444" s="50">
        <f>IF(B444=0,"",MONTH(B444)&amp;"월")</f>
        <v/>
      </c>
      <c r="E444" s="51">
        <f>IF(B444=0,"",DAY(B444)&amp;"일")</f>
        <v/>
      </c>
      <c r="F444" s="260" t="n"/>
      <c r="G444" s="261" t="n"/>
      <c r="H444" s="263" t="n"/>
      <c r="I444" s="264" t="n"/>
      <c r="J444" s="47" t="n"/>
      <c r="K444" s="47" t="n"/>
      <c r="L444" s="47" t="n"/>
      <c r="M444" s="47" t="n"/>
    </row>
    <row r="445" ht="12.75" customHeight="1" s="202">
      <c r="B445" s="266" t="n"/>
      <c r="C445" s="50">
        <f>IF(B445=0,"",YEAR(B445))</f>
        <v/>
      </c>
      <c r="D445" s="50">
        <f>IF(B445=0,"",MONTH(B445)&amp;"월")</f>
        <v/>
      </c>
      <c r="E445" s="51">
        <f>IF(B445=0,"",DAY(B445)&amp;"일")</f>
        <v/>
      </c>
      <c r="F445" s="260" t="n"/>
      <c r="G445" s="261" t="n"/>
      <c r="H445" s="263" t="n"/>
      <c r="I445" s="264" t="n"/>
      <c r="J445" s="47" t="n"/>
      <c r="K445" s="47" t="n"/>
      <c r="L445" s="47" t="n"/>
      <c r="M445" s="47" t="n"/>
    </row>
    <row r="446" ht="12.75" customHeight="1" s="202">
      <c r="B446" s="266" t="n"/>
      <c r="C446" s="50">
        <f>IF(B446=0,"",YEAR(B446))</f>
        <v/>
      </c>
      <c r="D446" s="50">
        <f>IF(B446=0,"",MONTH(B446)&amp;"월")</f>
        <v/>
      </c>
      <c r="E446" s="51">
        <f>IF(B446=0,"",DAY(B446)&amp;"일")</f>
        <v/>
      </c>
      <c r="F446" s="260" t="n"/>
      <c r="G446" s="261" t="n"/>
      <c r="H446" s="263" t="n"/>
      <c r="I446" s="264" t="n"/>
      <c r="J446" s="47" t="n"/>
      <c r="K446" s="47" t="n"/>
      <c r="L446" s="47" t="n"/>
      <c r="M446" s="47" t="n"/>
    </row>
    <row r="447" ht="12.75" customHeight="1" s="202">
      <c r="B447" s="266" t="n"/>
      <c r="C447" s="50">
        <f>IF(B447=0,"",YEAR(B447))</f>
        <v/>
      </c>
      <c r="D447" s="50">
        <f>IF(B447=0,"",MONTH(B447)&amp;"월")</f>
        <v/>
      </c>
      <c r="E447" s="51">
        <f>IF(B447=0,"",DAY(B447)&amp;"일")</f>
        <v/>
      </c>
      <c r="F447" s="260" t="n"/>
      <c r="G447" s="261" t="n"/>
      <c r="H447" s="263" t="n"/>
      <c r="I447" s="264" t="n"/>
      <c r="J447" s="47" t="n"/>
      <c r="K447" s="47" t="n"/>
      <c r="L447" s="47" t="n"/>
      <c r="M447" s="47" t="n"/>
    </row>
    <row r="448" ht="12.75" customHeight="1" s="202">
      <c r="B448" s="266" t="n"/>
      <c r="C448" s="50">
        <f>IF(B448=0,"",YEAR(B448))</f>
        <v/>
      </c>
      <c r="D448" s="50">
        <f>IF(B448=0,"",MONTH(B448)&amp;"월")</f>
        <v/>
      </c>
      <c r="E448" s="51">
        <f>IF(B448=0,"",DAY(B448)&amp;"일")</f>
        <v/>
      </c>
      <c r="F448" s="260" t="n"/>
      <c r="G448" s="261" t="n"/>
      <c r="H448" s="263" t="n"/>
      <c r="I448" s="264" t="n"/>
      <c r="J448" s="47" t="n"/>
      <c r="K448" s="47" t="n"/>
      <c r="L448" s="47" t="n"/>
      <c r="M448" s="47" t="n"/>
    </row>
    <row r="449" ht="12.75" customHeight="1" s="202">
      <c r="B449" s="266" t="n"/>
      <c r="C449" s="50">
        <f>IF(B449=0,"",YEAR(B449))</f>
        <v/>
      </c>
      <c r="D449" s="50">
        <f>IF(B449=0,"",MONTH(B449)&amp;"월")</f>
        <v/>
      </c>
      <c r="E449" s="51">
        <f>IF(B449=0,"",DAY(B449)&amp;"일")</f>
        <v/>
      </c>
      <c r="F449" s="260" t="n"/>
      <c r="G449" s="261" t="n"/>
      <c r="H449" s="263" t="n"/>
      <c r="I449" s="264" t="n"/>
      <c r="J449" s="47" t="n"/>
      <c r="K449" s="47" t="n"/>
      <c r="L449" s="47" t="n"/>
      <c r="M449" s="47" t="n"/>
    </row>
    <row r="450" ht="12.75" customHeight="1" s="202"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</row>
    <row r="451" ht="12.75" customHeight="1" s="202"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</row>
    <row r="452" ht="12.75" customHeight="1" s="202"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</row>
    <row r="453" ht="12.75" customHeight="1" s="202"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</row>
    <row r="454" ht="12.75" customHeight="1" s="202"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</row>
    <row r="455" ht="12.75" customHeight="1" s="202"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</row>
    <row r="456" ht="12.75" customHeight="1" s="202"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</row>
    <row r="457" ht="12.75" customHeight="1" s="202"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</row>
    <row r="458" ht="12.75" customHeight="1" s="202"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</row>
    <row r="459" ht="12.75" customHeight="1" s="202"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</row>
    <row r="460" ht="12.75" customHeight="1" s="202"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</row>
    <row r="461" ht="12.75" customHeight="1" s="202"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</row>
    <row r="462" ht="12.75" customHeight="1" s="202"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</row>
    <row r="463" ht="12.75" customHeight="1" s="202"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</row>
    <row r="464" ht="12.75" customHeight="1" s="202"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</row>
    <row r="465" ht="12.75" customHeight="1" s="202"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</row>
    <row r="466" ht="12.75" customHeight="1" s="202"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</row>
    <row r="467" ht="12.75" customHeight="1" s="202"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</row>
    <row r="468" ht="12.75" customHeight="1" s="202"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</row>
    <row r="469" ht="12.75" customHeight="1" s="202"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</row>
    <row r="470" ht="12.75" customHeight="1" s="202"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</row>
    <row r="471" ht="12.75" customHeight="1" s="202"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</row>
    <row r="472" ht="12.75" customHeight="1" s="202"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</row>
    <row r="473" ht="12.75" customHeight="1" s="202"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</row>
    <row r="474" ht="12.75" customHeight="1" s="202"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</row>
    <row r="475" ht="12.75" customHeight="1" s="202"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</row>
    <row r="476" ht="12.75" customHeight="1" s="202"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</row>
    <row r="477" ht="12.75" customHeight="1" s="202"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</row>
    <row r="478" ht="12.75" customHeight="1" s="202"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</row>
    <row r="479" ht="12.75" customHeight="1" s="202"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</row>
    <row r="480" ht="12.75" customHeight="1" s="202"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</row>
    <row r="481" ht="12.75" customHeight="1" s="202"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</row>
    <row r="482" ht="12.75" customHeight="1" s="202"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</row>
    <row r="483" ht="12.75" customHeight="1" s="202"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</row>
    <row r="484" ht="12.75" customHeight="1" s="202"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</row>
    <row r="485" ht="12.75" customHeight="1" s="202"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</row>
    <row r="486" ht="12.75" customHeight="1" s="202"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</row>
    <row r="487" ht="12.75" customHeight="1" s="202"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</row>
    <row r="488" ht="12.75" customHeight="1" s="202"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</row>
    <row r="489" ht="12.75" customHeight="1" s="202"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</row>
    <row r="490" ht="12.75" customHeight="1" s="202"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</row>
    <row r="491" ht="12.75" customHeight="1" s="202"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</row>
    <row r="492" ht="12.75" customHeight="1" s="202"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</row>
    <row r="493" ht="12.75" customHeight="1" s="202"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</row>
    <row r="494" ht="12.75" customHeight="1" s="202"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</row>
    <row r="495" ht="12.75" customHeight="1" s="202"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</row>
    <row r="496" ht="12.75" customHeight="1" s="202"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</row>
    <row r="497" ht="12.75" customHeight="1" s="202"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</row>
    <row r="498" ht="12.75" customHeight="1" s="202"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</row>
    <row r="499" ht="12.75" customHeight="1" s="202"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</row>
    <row r="500" ht="12.75" customHeight="1" s="202"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</row>
    <row r="501" ht="12.75" customHeight="1" s="202"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</row>
    <row r="502" ht="12.75" customHeight="1" s="202"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</row>
    <row r="503" ht="12.75" customHeight="1" s="202"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</row>
    <row r="504" ht="12.75" customHeight="1" s="202"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</row>
    <row r="505" ht="12.75" customHeight="1" s="202"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</row>
    <row r="506" ht="12.75" customHeight="1" s="202"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</row>
    <row r="507" ht="12.75" customHeight="1" s="202"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</row>
    <row r="508" ht="12.75" customHeight="1" s="202"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</row>
    <row r="509" ht="12.75" customHeight="1" s="202"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</row>
    <row r="510" ht="12.75" customHeight="1" s="202"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</row>
    <row r="511" ht="12.75" customHeight="1" s="202"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</row>
    <row r="512" ht="12.75" customHeight="1" s="202"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</row>
    <row r="513" ht="12.75" customHeight="1" s="202"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</row>
    <row r="514" ht="12.75" customHeight="1" s="202"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</row>
    <row r="515" ht="12.75" customHeight="1" s="202"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</row>
    <row r="516" ht="12.75" customHeight="1" s="202"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</row>
    <row r="517" ht="12.75" customHeight="1" s="202"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</row>
    <row r="518" ht="12.75" customHeight="1" s="202"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</row>
    <row r="519" ht="12.75" customHeight="1" s="202"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</row>
    <row r="520" ht="12.75" customHeight="1" s="202"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</row>
    <row r="521" ht="12.75" customHeight="1" s="202"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</row>
    <row r="522" ht="12.75" customHeight="1" s="202"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</row>
    <row r="523" ht="12.75" customHeight="1" s="202"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</row>
    <row r="524" ht="12.75" customHeight="1" s="202"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</row>
    <row r="525" ht="12.75" customHeight="1" s="202"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</row>
    <row r="526" ht="12.75" customHeight="1" s="202"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</row>
    <row r="527" ht="12.75" customHeight="1" s="202"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</row>
    <row r="528" ht="12.75" customHeight="1" s="202"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</row>
    <row r="529" ht="12.75" customHeight="1" s="202"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</row>
    <row r="530" ht="12.75" customHeight="1" s="202"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</row>
    <row r="531" ht="12.75" customHeight="1" s="202"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</row>
    <row r="532" ht="12.75" customHeight="1" s="202"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</row>
    <row r="533" ht="12.75" customHeight="1" s="202"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</row>
    <row r="534" ht="12.75" customHeight="1" s="202"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</row>
    <row r="535" ht="12.75" customHeight="1" s="202"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</row>
    <row r="536" ht="12.75" customHeight="1" s="202"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</row>
    <row r="537" ht="12.75" customHeight="1" s="202"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</row>
    <row r="538" ht="12.75" customHeight="1" s="202"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</row>
    <row r="539" ht="12.75" customHeight="1" s="202"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</row>
    <row r="540" ht="12.75" customHeight="1" s="202"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</row>
    <row r="541" ht="12.75" customHeight="1" s="202"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</row>
    <row r="542" ht="12.75" customHeight="1" s="202"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</row>
    <row r="543" ht="12.75" customHeight="1" s="202"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</row>
    <row r="544" ht="12.75" customHeight="1" s="202"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</row>
    <row r="545" ht="12.75" customHeight="1" s="202"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</row>
    <row r="546" ht="12.75" customHeight="1" s="202"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</row>
    <row r="547" ht="12.75" customHeight="1" s="202"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</row>
    <row r="548" ht="12.75" customHeight="1" s="202"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</row>
    <row r="549" ht="12.75" customHeight="1" s="202"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</row>
    <row r="550" ht="12.75" customHeight="1" s="202"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</row>
    <row r="551" ht="12.75" customHeight="1" s="202"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</row>
    <row r="552" ht="12.75" customHeight="1" s="202"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</row>
    <row r="553" ht="12.75" customHeight="1" s="202"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</row>
    <row r="554" ht="12.75" customHeight="1" s="202"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</row>
    <row r="555" ht="12.75" customHeight="1" s="202"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</row>
    <row r="556" ht="12.75" customHeight="1" s="202"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</row>
    <row r="557" ht="12.75" customHeight="1" s="202"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</row>
    <row r="558" ht="12.75" customHeight="1" s="202"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</row>
    <row r="559" ht="12.75" customHeight="1" s="202"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</row>
    <row r="560" ht="12.75" customHeight="1" s="202"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</row>
    <row r="561" ht="12.75" customHeight="1" s="202"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</row>
    <row r="562" ht="12.75" customHeight="1" s="202"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</row>
    <row r="563" ht="12.75" customHeight="1" s="202"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</row>
    <row r="564" ht="12.75" customHeight="1" s="202"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</row>
    <row r="565" ht="12.75" customHeight="1" s="202"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</row>
    <row r="566" ht="12.75" customHeight="1" s="202"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</row>
    <row r="567" ht="12.75" customHeight="1" s="202"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</row>
    <row r="568" ht="12.75" customHeight="1" s="202"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</row>
    <row r="569" ht="12.75" customHeight="1" s="202"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</row>
    <row r="570" ht="12.75" customHeight="1" s="202"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</row>
    <row r="571" ht="12.75" customHeight="1" s="202"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</row>
    <row r="572" ht="12.75" customHeight="1" s="202"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</row>
    <row r="573" ht="12.75" customHeight="1" s="202"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</row>
    <row r="574" ht="12.75" customHeight="1" s="202"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</row>
    <row r="575" ht="12.75" customHeight="1" s="202"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</row>
    <row r="576" ht="12.75" customHeight="1" s="202"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</row>
    <row r="577" ht="12.75" customHeight="1" s="202"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</row>
    <row r="578" ht="12.75" customHeight="1" s="202"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</row>
    <row r="579" ht="12.75" customHeight="1" s="202"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</row>
    <row r="580" ht="12.75" customHeight="1" s="202"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</row>
    <row r="581" ht="12.75" customHeight="1" s="202"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</row>
    <row r="582" ht="12.75" customHeight="1" s="202"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</row>
    <row r="583" ht="12.75" customHeight="1" s="202"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</row>
    <row r="584" ht="12.75" customHeight="1" s="202"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</row>
    <row r="585" ht="12.75" customHeight="1" s="202"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</row>
    <row r="586" ht="12.75" customHeight="1" s="202"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</row>
    <row r="587" ht="12.75" customHeight="1" s="202"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</row>
    <row r="588" ht="12.75" customHeight="1" s="202"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</row>
    <row r="589" ht="12.75" customHeight="1" s="202"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</row>
    <row r="590" ht="12.75" customHeight="1" s="202"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</row>
    <row r="591" ht="12.75" customHeight="1" s="202"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</row>
    <row r="592" ht="12.75" customHeight="1" s="202"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</row>
    <row r="593" ht="12.75" customHeight="1" s="202"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</row>
    <row r="594" ht="12.75" customHeight="1" s="202"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</row>
    <row r="595" ht="12.75" customHeight="1" s="202"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</row>
    <row r="596" ht="12.75" customHeight="1" s="202"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</row>
    <row r="597" ht="12.75" customHeight="1" s="202"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</row>
    <row r="598" ht="12.75" customHeight="1" s="202"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</row>
    <row r="599" ht="12.75" customHeight="1" s="202"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</row>
    <row r="600" ht="12.75" customHeight="1" s="202"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</row>
    <row r="601" ht="12.75" customHeight="1" s="202"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</row>
    <row r="602" ht="12.75" customHeight="1" s="202"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</row>
    <row r="603" ht="12.75" customHeight="1" s="202"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</row>
    <row r="604" ht="12.75" customHeight="1" s="202"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</row>
    <row r="605" ht="12.75" customHeight="1" s="202"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</row>
    <row r="606" ht="12.75" customHeight="1" s="202"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</row>
    <row r="607" ht="12.75" customHeight="1" s="202"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</row>
    <row r="608" ht="12.75" customHeight="1" s="202"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</row>
    <row r="609" ht="12.75" customHeight="1" s="202"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</row>
    <row r="610" ht="12.75" customHeight="1" s="202"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</row>
    <row r="611" ht="12.75" customHeight="1" s="202"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</row>
    <row r="612" ht="12.75" customHeight="1" s="202"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</row>
    <row r="613" ht="12.75" customHeight="1" s="202"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</row>
    <row r="614" ht="12.75" customHeight="1" s="202"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</row>
    <row r="615" ht="12.75" customHeight="1" s="202"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</row>
    <row r="616" ht="12.75" customHeight="1" s="202"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</row>
    <row r="617" ht="12.75" customHeight="1" s="202"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</row>
    <row r="618" ht="12.75" customHeight="1" s="202"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</row>
    <row r="619" ht="12.75" customHeight="1" s="202"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</row>
    <row r="620" ht="12.75" customHeight="1" s="202"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</row>
    <row r="621" ht="12.75" customHeight="1" s="202"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</row>
    <row r="622" ht="12.75" customHeight="1" s="202"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</row>
    <row r="623" ht="12.75" customHeight="1" s="202"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</row>
    <row r="624" ht="12.75" customHeight="1" s="202"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</row>
    <row r="625" ht="12.75" customHeight="1" s="202"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</row>
    <row r="626" ht="12.75" customHeight="1" s="202"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</row>
    <row r="627" ht="12.75" customHeight="1" s="202"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</row>
    <row r="628" ht="12.75" customHeight="1" s="202"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</row>
    <row r="629" ht="12.75" customHeight="1" s="202"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</row>
    <row r="630" ht="12.75" customHeight="1" s="202"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</row>
    <row r="631" ht="12.75" customHeight="1" s="202"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</row>
    <row r="632" ht="12.75" customHeight="1" s="202"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</row>
    <row r="633" ht="12.75" customHeight="1" s="202"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</row>
    <row r="634" ht="12.75" customHeight="1" s="202"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</row>
    <row r="635" ht="12.75" customHeight="1" s="202"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</row>
    <row r="636" ht="12.75" customHeight="1" s="202"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</row>
    <row r="637" ht="12.75" customHeight="1" s="202"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</row>
    <row r="638" ht="12.75" customHeight="1" s="202"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</row>
    <row r="639" ht="12.75" customHeight="1" s="202"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</row>
    <row r="640" ht="12.75" customHeight="1" s="202"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</row>
    <row r="641" ht="12.75" customHeight="1" s="202"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</row>
    <row r="642" ht="12.75" customHeight="1" s="202"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</row>
    <row r="643" ht="12.75" customHeight="1" s="202"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</row>
    <row r="644" ht="12.75" customHeight="1" s="202"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</row>
    <row r="645" ht="12.75" customHeight="1" s="202"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</row>
    <row r="646" ht="12.75" customHeight="1" s="202"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</row>
    <row r="647" ht="12.75" customHeight="1" s="202"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</row>
    <row r="648" ht="12.75" customHeight="1" s="202"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</row>
    <row r="649" ht="12.75" customHeight="1" s="202"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</row>
    <row r="650" ht="12.75" customHeight="1" s="202"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</row>
    <row r="651" ht="12.75" customHeight="1" s="202"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</row>
    <row r="652" ht="12.75" customHeight="1" s="202"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</row>
    <row r="653" ht="12.75" customHeight="1" s="202"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</row>
    <row r="654" ht="12.75" customHeight="1" s="202"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</row>
    <row r="655" ht="12.75" customHeight="1" s="202"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</row>
    <row r="656" ht="12.75" customHeight="1" s="202"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</row>
    <row r="657" ht="12.75" customHeight="1" s="202"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</row>
    <row r="658" ht="12.75" customHeight="1" s="202"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</row>
    <row r="659" ht="12.75" customHeight="1" s="202"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</row>
    <row r="660" ht="12.75" customHeight="1" s="202"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</row>
    <row r="661" ht="12.75" customHeight="1" s="202"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</row>
    <row r="662" ht="12.75" customHeight="1" s="202"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</row>
    <row r="663" ht="12.75" customHeight="1" s="202"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</row>
    <row r="664" ht="12.75" customHeight="1" s="202"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</row>
    <row r="665" ht="12.75" customHeight="1" s="202"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</row>
    <row r="666" ht="12.75" customHeight="1" s="202"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</row>
    <row r="667" ht="12.75" customHeight="1" s="202"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</row>
    <row r="668" ht="12.75" customHeight="1" s="202"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</row>
    <row r="669" ht="12.75" customHeight="1" s="202"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</row>
    <row r="670" ht="12.75" customHeight="1" s="202"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</row>
    <row r="671" ht="12.75" customHeight="1" s="202"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</row>
    <row r="672" ht="12.75" customHeight="1" s="202"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</row>
    <row r="673" ht="12.75" customHeight="1" s="202"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</row>
    <row r="674" ht="12.75" customHeight="1" s="202"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</row>
    <row r="675" ht="12.75" customHeight="1" s="202"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</row>
    <row r="676" ht="12.75" customHeight="1" s="202"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</row>
    <row r="677" ht="12.75" customHeight="1" s="202"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</row>
    <row r="678" ht="12.75" customHeight="1" s="202"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</row>
    <row r="679" ht="12.75" customHeight="1" s="202"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</row>
    <row r="680" ht="12.75" customHeight="1" s="202"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</row>
    <row r="681" ht="12.75" customHeight="1" s="202"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</row>
    <row r="682" ht="12.75" customHeight="1" s="202"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</row>
    <row r="683" ht="12.75" customHeight="1" s="202"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</row>
    <row r="684" ht="12.75" customHeight="1" s="202"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</row>
    <row r="685" ht="12.75" customHeight="1" s="202"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</row>
    <row r="686" ht="12.75" customHeight="1" s="202"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</row>
    <row r="687" ht="12.75" customHeight="1" s="202"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</row>
    <row r="688" ht="12.75" customHeight="1" s="202"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</row>
    <row r="689" ht="12.75" customHeight="1" s="202"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</row>
    <row r="690" ht="12.75" customHeight="1" s="202"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</row>
    <row r="691" ht="12.75" customHeight="1" s="202"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</row>
    <row r="692" ht="12.75" customHeight="1" s="202"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</row>
    <row r="693" ht="12.75" customHeight="1" s="202"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</row>
    <row r="694" ht="12.75" customHeight="1" s="202"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</row>
    <row r="695" ht="12.75" customHeight="1" s="202"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</row>
    <row r="696" ht="12.75" customHeight="1" s="202"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</row>
    <row r="697" ht="12.75" customHeight="1" s="202"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</row>
    <row r="698" ht="12.75" customHeight="1" s="202"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</row>
    <row r="699" ht="12.75" customHeight="1" s="202"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</row>
    <row r="700" ht="12.75" customHeight="1" s="202"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</row>
    <row r="701" ht="12.75" customHeight="1" s="202"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</row>
    <row r="702" ht="12.75" customHeight="1" s="202"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</row>
    <row r="703" ht="12.75" customHeight="1" s="202"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</row>
    <row r="704" ht="12.75" customHeight="1" s="202"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</row>
    <row r="705" ht="12.75" customHeight="1" s="202"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</row>
    <row r="706" ht="12.75" customHeight="1" s="202"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</row>
    <row r="707" ht="12.75" customHeight="1" s="202"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</row>
    <row r="708" ht="12.75" customHeight="1" s="202"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</row>
    <row r="709" ht="12.75" customHeight="1" s="202"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</row>
    <row r="710" ht="12.75" customHeight="1" s="202"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</row>
    <row r="711" ht="12.75" customHeight="1" s="202"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</row>
    <row r="712" ht="12.75" customHeight="1" s="202"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</row>
    <row r="713" ht="12.75" customHeight="1" s="202"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</row>
    <row r="714" ht="12.75" customHeight="1" s="202"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</row>
    <row r="715" ht="12.75" customHeight="1" s="202"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</row>
    <row r="716" ht="12.75" customHeight="1" s="202"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</row>
    <row r="717" ht="12.75" customHeight="1" s="202"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</row>
    <row r="718" ht="12.75" customHeight="1" s="202"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</row>
    <row r="719" ht="12.75" customHeight="1" s="202"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</row>
    <row r="720" ht="12.75" customHeight="1" s="202"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</row>
    <row r="721" ht="12.75" customHeight="1" s="202"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</row>
    <row r="722" ht="12.75" customHeight="1" s="202"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</row>
    <row r="723" ht="12.75" customHeight="1" s="202"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</row>
    <row r="724" ht="12.75" customHeight="1" s="202"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</row>
    <row r="725" ht="12.75" customHeight="1" s="202"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</row>
    <row r="726" ht="12.75" customHeight="1" s="202"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</row>
    <row r="727" ht="12.75" customHeight="1" s="202"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</row>
    <row r="728" ht="12.75" customHeight="1" s="202"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</row>
    <row r="729" ht="12.75" customHeight="1" s="202"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</row>
    <row r="730" ht="12.75" customHeight="1" s="202"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</row>
    <row r="731" ht="12.75" customHeight="1" s="202"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</row>
    <row r="732" ht="12.75" customHeight="1" s="202"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</row>
    <row r="733" ht="12.75" customHeight="1" s="202"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</row>
    <row r="734" ht="12.75" customHeight="1" s="202"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</row>
    <row r="735" ht="12.75" customHeight="1" s="202"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</row>
    <row r="736" ht="12.75" customHeight="1" s="202"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</row>
    <row r="737" ht="12.75" customHeight="1" s="202"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</row>
    <row r="738" ht="12.75" customHeight="1" s="202"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</row>
    <row r="739" ht="12.75" customHeight="1" s="202"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</row>
    <row r="740" ht="12.75" customHeight="1" s="202"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</row>
    <row r="741" ht="12.75" customHeight="1" s="202"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</row>
    <row r="742" ht="12.75" customHeight="1" s="202"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</row>
    <row r="743" ht="12.75" customHeight="1" s="202"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</row>
    <row r="744" ht="12.75" customHeight="1" s="202"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</row>
    <row r="745" ht="12.75" customHeight="1" s="202"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</row>
    <row r="746" ht="12.75" customHeight="1" s="202"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</row>
    <row r="747" ht="12.75" customHeight="1" s="202"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</row>
    <row r="748" ht="12.75" customHeight="1" s="202"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</row>
    <row r="749" ht="12.75" customHeight="1" s="202"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</row>
    <row r="750" ht="12.75" customHeight="1" s="202"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</row>
    <row r="751" ht="12.75" customHeight="1" s="202"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</row>
    <row r="752" ht="12.75" customHeight="1" s="202"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</row>
    <row r="753" ht="12.75" customHeight="1" s="202"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</row>
    <row r="754" ht="12.75" customHeight="1" s="202"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</row>
    <row r="755" ht="12.75" customHeight="1" s="202"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</row>
    <row r="756" ht="12.75" customHeight="1" s="202"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</row>
    <row r="757" ht="12.75" customHeight="1" s="202"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</row>
    <row r="758" ht="12.75" customHeight="1" s="202"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</row>
    <row r="759" ht="12.75" customHeight="1" s="202"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</row>
    <row r="760" ht="12.75" customHeight="1" s="202"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</row>
    <row r="761" ht="12.75" customHeight="1" s="202"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</row>
    <row r="762" ht="12.75" customHeight="1" s="202"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</row>
    <row r="763" ht="12.75" customHeight="1" s="202"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</row>
    <row r="764" ht="12.75" customHeight="1" s="202"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</row>
    <row r="765" ht="12.75" customHeight="1" s="202"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</row>
    <row r="766" ht="12.75" customHeight="1" s="202"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</row>
    <row r="767" ht="12.75" customHeight="1" s="202"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</row>
    <row r="768" ht="12.75" customHeight="1" s="202"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</row>
    <row r="769" ht="12.75" customHeight="1" s="202"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</row>
    <row r="770" ht="12.75" customHeight="1" s="202"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</row>
    <row r="771" ht="12.75" customHeight="1" s="202"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</row>
    <row r="772" ht="12.75" customHeight="1" s="202"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</row>
    <row r="773" ht="12.75" customHeight="1" s="202"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</row>
    <row r="774" ht="12.75" customHeight="1" s="202"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</row>
    <row r="775" ht="12.75" customHeight="1" s="202"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</row>
    <row r="776" ht="12.75" customHeight="1" s="202"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</row>
    <row r="777" ht="12.75" customHeight="1" s="202"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</row>
    <row r="778" ht="12.75" customHeight="1" s="202"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</row>
    <row r="779" ht="12.75" customHeight="1" s="202"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</row>
    <row r="780" ht="12.75" customHeight="1" s="202"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</row>
    <row r="781" ht="12.75" customHeight="1" s="202"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</row>
    <row r="782" ht="12.75" customHeight="1" s="202"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</row>
    <row r="783" ht="12.75" customHeight="1" s="202"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</row>
    <row r="784" ht="12.75" customHeight="1" s="202"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</row>
    <row r="785" ht="12.75" customHeight="1" s="202"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</row>
    <row r="786" ht="12.75" customHeight="1" s="202"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</row>
    <row r="787" ht="12.75" customHeight="1" s="202"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</row>
    <row r="788" ht="12.75" customHeight="1" s="202"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</row>
    <row r="789" ht="12.75" customHeight="1" s="202"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</row>
    <row r="790" ht="12.75" customHeight="1" s="202"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</row>
    <row r="791" ht="12.75" customHeight="1" s="202"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</row>
    <row r="792" ht="12.75" customHeight="1" s="202"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</row>
    <row r="793" ht="12.75" customHeight="1" s="202"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</row>
    <row r="794" ht="12.75" customHeight="1" s="202"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</row>
    <row r="795" ht="12.75" customHeight="1" s="202"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</row>
    <row r="796" ht="12.75" customHeight="1" s="202"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</row>
    <row r="797" ht="12.75" customHeight="1" s="202"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</row>
    <row r="798" ht="12.75" customHeight="1" s="202"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</row>
    <row r="799" ht="12.75" customHeight="1" s="202"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</row>
    <row r="800" ht="12.75" customHeight="1" s="202"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</row>
    <row r="801" ht="12.75" customHeight="1" s="202"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</row>
    <row r="802" ht="12.75" customHeight="1" s="202"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</row>
    <row r="803" ht="12.75" customHeight="1" s="202"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</row>
    <row r="804" ht="12.75" customHeight="1" s="202"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</row>
    <row r="805" ht="12.75" customHeight="1" s="202"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</row>
    <row r="806" ht="12.75" customHeight="1" s="202"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</row>
    <row r="807" ht="12.75" customHeight="1" s="202"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</row>
    <row r="808" ht="12.75" customHeight="1" s="202"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</row>
    <row r="809" ht="12.75" customHeight="1" s="202"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</row>
    <row r="810" ht="12.75" customHeight="1" s="202"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</row>
    <row r="811" ht="12.75" customHeight="1" s="202"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</row>
    <row r="812" ht="12.75" customHeight="1" s="202"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</row>
    <row r="813" ht="12.75" customHeight="1" s="202"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</row>
    <row r="814" ht="12.75" customHeight="1" s="202"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</row>
    <row r="815" ht="12.75" customHeight="1" s="202"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</row>
    <row r="816" ht="12.75" customHeight="1" s="202"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</row>
    <row r="817" ht="12.75" customHeight="1" s="202"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</row>
    <row r="818" ht="12.75" customHeight="1" s="202"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</row>
    <row r="819" ht="12.75" customHeight="1" s="202"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</row>
    <row r="820" ht="12.75" customHeight="1" s="202"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</row>
    <row r="821" ht="12.75" customHeight="1" s="202"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</row>
    <row r="822" ht="12.75" customHeight="1" s="202"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</row>
    <row r="823" ht="12.75" customHeight="1" s="202"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</row>
    <row r="824" ht="12.75" customHeight="1" s="202"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</row>
    <row r="825" ht="12.75" customHeight="1" s="202"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</row>
    <row r="826" ht="12.75" customHeight="1" s="202"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</row>
    <row r="827" ht="12.75" customHeight="1" s="202"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</row>
    <row r="828" ht="12.75" customHeight="1" s="202"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</row>
    <row r="829" ht="12.75" customHeight="1" s="202"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</row>
    <row r="830" ht="12.75" customHeight="1" s="202"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</row>
    <row r="831" ht="12.75" customHeight="1" s="202"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</row>
    <row r="832" ht="12.75" customHeight="1" s="202"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</row>
    <row r="833" ht="12.75" customHeight="1" s="202"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</row>
    <row r="834" ht="12.75" customHeight="1" s="202"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</row>
    <row r="835" ht="12.75" customHeight="1" s="202"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</row>
    <row r="836" ht="12.75" customHeight="1" s="202"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</row>
    <row r="837" ht="12.75" customHeight="1" s="202"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</row>
    <row r="838" ht="12.75" customHeight="1" s="202"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</row>
    <row r="839" ht="12.75" customHeight="1" s="202"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</row>
    <row r="840" ht="12.75" customHeight="1" s="202"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</row>
    <row r="841" ht="12.75" customHeight="1" s="202"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</row>
    <row r="842" ht="12.75" customHeight="1" s="202"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</row>
    <row r="843" ht="12.75" customHeight="1" s="202"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</row>
    <row r="844" ht="12.75" customHeight="1" s="202"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</row>
    <row r="845" ht="12.75" customHeight="1" s="202"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</row>
    <row r="846" ht="12.75" customHeight="1" s="202"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</row>
    <row r="847" ht="12.75" customHeight="1" s="202"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</row>
    <row r="848" ht="12.75" customHeight="1" s="202"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</row>
    <row r="849" ht="12.75" customHeight="1" s="202"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</row>
    <row r="850" ht="12.75" customHeight="1" s="202"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</row>
    <row r="851" ht="12.75" customHeight="1" s="202"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</row>
    <row r="852" ht="12.75" customHeight="1" s="202"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</row>
    <row r="853" ht="12.75" customHeight="1" s="202"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</row>
    <row r="854" ht="12.75" customHeight="1" s="202"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</row>
    <row r="855" ht="12.75" customHeight="1" s="202"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</row>
    <row r="856" ht="12.75" customHeight="1" s="202"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</row>
    <row r="857" ht="12.75" customHeight="1" s="202"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</row>
    <row r="858" ht="12.75" customHeight="1" s="202"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</row>
    <row r="859" ht="12.75" customHeight="1" s="202"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</row>
    <row r="860" ht="12.75" customHeight="1" s="202"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</row>
    <row r="861" ht="12.75" customHeight="1" s="202"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</row>
    <row r="862" ht="12.75" customHeight="1" s="202"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</row>
    <row r="863" ht="12.75" customHeight="1" s="202"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</row>
    <row r="864" ht="12.75" customHeight="1" s="202"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</row>
    <row r="865" ht="12.75" customHeight="1" s="202"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</row>
    <row r="866" ht="12.75" customHeight="1" s="202"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</row>
    <row r="867" ht="12.75" customHeight="1" s="202"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</row>
    <row r="868" ht="12.75" customHeight="1" s="202"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</row>
    <row r="869" ht="12.75" customHeight="1" s="202"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</row>
    <row r="870" ht="12.75" customHeight="1" s="202"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</row>
    <row r="871" ht="12.75" customHeight="1" s="202"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</row>
    <row r="872" ht="12.75" customHeight="1" s="202"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</row>
    <row r="873" ht="12.75" customHeight="1" s="202"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</row>
    <row r="874" ht="12.75" customHeight="1" s="202"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</row>
    <row r="875" ht="12.75" customHeight="1" s="202"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</row>
    <row r="876" ht="12.75" customHeight="1" s="202"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</row>
    <row r="877" ht="12.75" customHeight="1" s="202"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</row>
    <row r="878" ht="12.75" customHeight="1" s="202"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</row>
    <row r="879" ht="12.75" customHeight="1" s="202"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</row>
    <row r="880" ht="12.75" customHeight="1" s="202"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</row>
    <row r="881" ht="12.75" customHeight="1" s="202"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</row>
    <row r="882" ht="12.75" customHeight="1" s="202"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</row>
    <row r="883" ht="12.75" customHeight="1" s="202"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</row>
    <row r="884" ht="12.75" customHeight="1" s="202"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</row>
    <row r="885" ht="12.75" customHeight="1" s="202"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</row>
    <row r="886" ht="12.75" customHeight="1" s="202"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</row>
    <row r="887" ht="12.75" customHeight="1" s="202"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</row>
    <row r="888" ht="12.75" customHeight="1" s="202"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</row>
    <row r="889" ht="12.75" customHeight="1" s="202"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</row>
    <row r="890" ht="12.75" customHeight="1" s="202"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</row>
    <row r="891" ht="12.75" customHeight="1" s="202"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</row>
    <row r="892" ht="12.75" customHeight="1" s="202"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</row>
    <row r="893" ht="12.75" customHeight="1" s="202"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</row>
    <row r="894" ht="12.75" customHeight="1" s="202"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</row>
    <row r="895" ht="12.75" customHeight="1" s="202"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</row>
    <row r="896" ht="12.75" customHeight="1" s="202"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</row>
    <row r="897" ht="12.75" customHeight="1" s="202"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</row>
    <row r="898" ht="12.75" customHeight="1" s="202"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</row>
    <row r="899" ht="12.75" customHeight="1" s="202"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</row>
    <row r="900" ht="12.75" customHeight="1" s="202"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</row>
    <row r="901" ht="12.75" customHeight="1" s="202"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</row>
    <row r="902" ht="12.75" customHeight="1" s="202"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</row>
    <row r="903" ht="12.75" customHeight="1" s="202"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</row>
    <row r="904" ht="12.75" customHeight="1" s="202"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</row>
    <row r="905" ht="12.75" customHeight="1" s="202"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</row>
    <row r="906" ht="12.75" customHeight="1" s="202"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</row>
    <row r="907" ht="12.75" customHeight="1" s="202"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</row>
    <row r="908" ht="12.75" customHeight="1" s="202"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</row>
    <row r="909" ht="12.75" customHeight="1" s="202"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</row>
    <row r="910" ht="12.75" customHeight="1" s="202"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</row>
    <row r="911" ht="12.75" customHeight="1" s="202"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</row>
    <row r="912" ht="12.75" customHeight="1" s="202"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</row>
    <row r="913" ht="12.75" customHeight="1" s="202"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</row>
    <row r="914" ht="12.75" customHeight="1" s="202"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</row>
    <row r="915" ht="12.75" customHeight="1" s="202"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</row>
    <row r="916" ht="12.75" customHeight="1" s="202"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</row>
    <row r="917" ht="12.75" customHeight="1" s="202"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</row>
    <row r="918" ht="12.75" customHeight="1" s="202"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</row>
    <row r="919" ht="12.75" customHeight="1" s="202"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</row>
    <row r="920" ht="12.75" customHeight="1" s="202"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</row>
    <row r="921" ht="12.75" customHeight="1" s="202"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</row>
    <row r="922" ht="12.75" customHeight="1" s="202"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</row>
    <row r="923" ht="12.75" customHeight="1" s="202"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</row>
    <row r="924" ht="12.75" customHeight="1" s="202"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</row>
    <row r="925" ht="12.75" customHeight="1" s="202"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</row>
    <row r="926" ht="12.75" customHeight="1" s="202"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</row>
    <row r="927" ht="12.75" customHeight="1" s="202"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</row>
    <row r="928" ht="12.75" customHeight="1" s="202"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</row>
    <row r="929" ht="12.75" customHeight="1" s="202"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</row>
    <row r="930" ht="12.75" customHeight="1" s="202"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</row>
    <row r="931" ht="12.75" customHeight="1" s="202"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</row>
    <row r="932" ht="12.75" customHeight="1" s="202"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</row>
    <row r="933" ht="12.75" customHeight="1" s="202"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</row>
    <row r="934" ht="12.75" customHeight="1" s="202"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</row>
    <row r="935" ht="12.75" customHeight="1" s="202"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</row>
    <row r="936" ht="12.75" customHeight="1" s="202"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</row>
    <row r="937" ht="12.75" customHeight="1" s="202"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</row>
    <row r="938" ht="12.75" customHeight="1" s="202"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</row>
    <row r="939" ht="12.75" customHeight="1" s="202"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</row>
    <row r="940" ht="12.75" customHeight="1" s="202"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</row>
    <row r="941" ht="12.75" customHeight="1" s="202"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</row>
    <row r="942" ht="12.75" customHeight="1" s="202"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</row>
    <row r="943" ht="12.75" customHeight="1" s="202"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</row>
    <row r="944" ht="12.75" customHeight="1" s="202"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</row>
    <row r="945" ht="12.75" customHeight="1" s="202"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</row>
    <row r="946" ht="12.75" customHeight="1" s="202"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</row>
    <row r="947" ht="12.75" customHeight="1" s="202"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</row>
    <row r="948" ht="12.75" customHeight="1" s="202"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</row>
    <row r="949" ht="12.75" customHeight="1" s="202"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</row>
    <row r="950" ht="12.75" customHeight="1" s="202"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</row>
    <row r="951" ht="12.75" customHeight="1" s="202"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</row>
    <row r="952" ht="12.75" customHeight="1" s="202"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</row>
    <row r="953" ht="12.75" customHeight="1" s="202"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</row>
    <row r="954" ht="12.75" customHeight="1" s="202"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</row>
    <row r="955" ht="12.75" customHeight="1" s="202"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</row>
    <row r="956" ht="12.75" customHeight="1" s="202"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</row>
    <row r="957" ht="12.75" customHeight="1" s="202"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</row>
    <row r="958" ht="12.75" customHeight="1" s="202"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</row>
    <row r="959" ht="12.75" customHeight="1" s="202"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</row>
    <row r="960" ht="12.75" customHeight="1" s="202"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</row>
    <row r="961" ht="12.75" customHeight="1" s="202"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</row>
    <row r="962" ht="12.75" customHeight="1" s="202"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</row>
    <row r="963" ht="12.75" customHeight="1" s="202"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</row>
    <row r="964" ht="12.75" customHeight="1" s="202"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</row>
    <row r="965" ht="12.75" customHeight="1" s="202"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</row>
    <row r="966" ht="12.75" customHeight="1" s="202"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</row>
    <row r="967" ht="12.75" customHeight="1" s="202"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</row>
    <row r="968" ht="12.75" customHeight="1" s="202"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</row>
    <row r="969" ht="12.75" customHeight="1" s="202"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</row>
    <row r="970" ht="12.75" customHeight="1" s="202"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</row>
    <row r="971" ht="12.75" customHeight="1" s="202"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</row>
    <row r="972" ht="12.75" customHeight="1" s="202"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</row>
    <row r="973" ht="12.75" customHeight="1" s="202"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</row>
    <row r="974" ht="12.75" customHeight="1" s="202"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</row>
    <row r="975" ht="12.75" customHeight="1" s="202"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</row>
    <row r="976" ht="12.75" customHeight="1" s="202"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</row>
    <row r="977" ht="12.75" customHeight="1" s="202"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</row>
    <row r="978" ht="12.75" customHeight="1" s="202"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</row>
    <row r="979" ht="12.75" customHeight="1" s="202"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</row>
    <row r="980" ht="12.75" customHeight="1" s="202"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</row>
    <row r="981" ht="12.75" customHeight="1" s="202"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</row>
    <row r="982" ht="12.75" customHeight="1" s="202"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</row>
    <row r="983" ht="12.75" customHeight="1" s="202"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</row>
    <row r="984" ht="12.75" customHeight="1" s="202"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</row>
    <row r="985" ht="12.75" customHeight="1" s="202"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</row>
    <row r="986" ht="12.75" customHeight="1" s="202"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</row>
    <row r="987" ht="12.75" customHeight="1" s="202"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</row>
    <row r="988" ht="12.75" customHeight="1" s="202"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</row>
    <row r="989" ht="12.75" customHeight="1" s="202"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</row>
    <row r="990" ht="12.75" customHeight="1" s="202"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</row>
    <row r="991" ht="12.75" customHeight="1" s="202"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</row>
    <row r="992" ht="12.75" customHeight="1" s="202"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</row>
    <row r="993" ht="12.75" customHeight="1" s="202"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</row>
    <row r="994" ht="12.75" customHeight="1" s="202"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</row>
    <row r="995" ht="12.75" customHeight="1" s="202"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</row>
    <row r="996" ht="12.75" customHeight="1" s="202"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</row>
    <row r="997" ht="12.75" customHeight="1" s="202"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</row>
    <row r="998" ht="12.75" customHeight="1" s="202"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9:D20"/>
  <sheetViews>
    <sheetView workbookViewId="0">
      <selection activeCell="A1" sqref="A1"/>
    </sheetView>
  </sheetViews>
  <sheetFormatPr baseColWidth="8" defaultColWidth="12.59765625" defaultRowHeight="15.75" customHeight="1"/>
  <sheetData>
    <row r="9">
      <c r="A9" s="201" t="inlineStr">
        <is>
          <t>1월</t>
        </is>
      </c>
      <c r="B9" s="6" t="inlineStr">
        <is>
          <t>01</t>
        </is>
      </c>
      <c r="C9" s="201" t="inlineStr">
        <is>
          <t>1월</t>
        </is>
      </c>
      <c r="D9" s="6" t="n">
        <v>2</v>
      </c>
    </row>
    <row r="10">
      <c r="A10" s="201" t="inlineStr">
        <is>
          <t>2월</t>
        </is>
      </c>
      <c r="B10" s="6" t="inlineStr">
        <is>
          <t>02</t>
        </is>
      </c>
      <c r="C10" s="201" t="inlineStr">
        <is>
          <t>2월</t>
        </is>
      </c>
      <c r="D10" s="6" t="n">
        <v>3</v>
      </c>
    </row>
    <row r="11">
      <c r="A11" s="201" t="inlineStr">
        <is>
          <t>3월</t>
        </is>
      </c>
      <c r="B11" s="6" t="inlineStr">
        <is>
          <t>03</t>
        </is>
      </c>
      <c r="C11" s="201" t="inlineStr">
        <is>
          <t>3월</t>
        </is>
      </c>
      <c r="D11" s="6" t="n">
        <v>4</v>
      </c>
    </row>
    <row r="12">
      <c r="A12" s="201" t="inlineStr">
        <is>
          <t>4월</t>
        </is>
      </c>
      <c r="B12" s="6" t="inlineStr">
        <is>
          <t>04</t>
        </is>
      </c>
      <c r="C12" s="201" t="inlineStr">
        <is>
          <t>4월</t>
        </is>
      </c>
      <c r="D12" s="6" t="n">
        <v>5</v>
      </c>
    </row>
    <row r="13">
      <c r="A13" s="201" t="inlineStr">
        <is>
          <t>5월</t>
        </is>
      </c>
      <c r="B13" s="6" t="inlineStr">
        <is>
          <t>05</t>
        </is>
      </c>
      <c r="C13" s="201" t="inlineStr">
        <is>
          <t>5월</t>
        </is>
      </c>
      <c r="D13" s="6" t="n">
        <v>6</v>
      </c>
    </row>
    <row r="14">
      <c r="A14" s="201" t="inlineStr">
        <is>
          <t>6월</t>
        </is>
      </c>
      <c r="B14" s="6" t="inlineStr">
        <is>
          <t>06</t>
        </is>
      </c>
      <c r="C14" s="201" t="inlineStr">
        <is>
          <t>6월</t>
        </is>
      </c>
      <c r="D14" s="6" t="n">
        <v>7</v>
      </c>
    </row>
    <row r="15">
      <c r="A15" s="201" t="inlineStr">
        <is>
          <t>7월</t>
        </is>
      </c>
      <c r="B15" s="6" t="inlineStr">
        <is>
          <t>07</t>
        </is>
      </c>
      <c r="C15" s="201" t="inlineStr">
        <is>
          <t>7월</t>
        </is>
      </c>
      <c r="D15" s="6" t="n">
        <v>8</v>
      </c>
    </row>
    <row r="16">
      <c r="A16" s="201" t="inlineStr">
        <is>
          <t>8월</t>
        </is>
      </c>
      <c r="B16" s="6" t="inlineStr">
        <is>
          <t>08</t>
        </is>
      </c>
      <c r="C16" s="201" t="inlineStr">
        <is>
          <t>8월</t>
        </is>
      </c>
      <c r="D16" s="6" t="n">
        <v>9</v>
      </c>
    </row>
    <row r="17">
      <c r="A17" s="201" t="inlineStr">
        <is>
          <t>9월</t>
        </is>
      </c>
      <c r="B17" s="6" t="inlineStr">
        <is>
          <t>09</t>
        </is>
      </c>
      <c r="C17" s="201" t="inlineStr">
        <is>
          <t>9월</t>
        </is>
      </c>
      <c r="D17" s="6" t="n">
        <v>10</v>
      </c>
    </row>
    <row r="18">
      <c r="A18" s="201" t="inlineStr">
        <is>
          <t>10월</t>
        </is>
      </c>
      <c r="B18" s="6" t="inlineStr">
        <is>
          <t>10</t>
        </is>
      </c>
      <c r="C18" s="201" t="inlineStr">
        <is>
          <t>10월</t>
        </is>
      </c>
      <c r="D18" s="6" t="n">
        <v>11</v>
      </c>
    </row>
    <row r="19">
      <c r="A19" s="201" t="inlineStr">
        <is>
          <t>11월</t>
        </is>
      </c>
      <c r="B19" s="6" t="inlineStr">
        <is>
          <t>11</t>
        </is>
      </c>
      <c r="C19" s="201" t="inlineStr">
        <is>
          <t>11월</t>
        </is>
      </c>
      <c r="D19" s="6" t="n">
        <v>12</v>
      </c>
    </row>
    <row r="20">
      <c r="A20" s="201" t="inlineStr">
        <is>
          <t>12월</t>
        </is>
      </c>
      <c r="B20" s="6" t="inlineStr">
        <is>
          <t>12</t>
        </is>
      </c>
      <c r="C20" s="201" t="inlineStr">
        <is>
          <t>12월</t>
        </is>
      </c>
      <c r="D20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AU3182"/>
  <sheetViews>
    <sheetView workbookViewId="0">
      <selection activeCell="A1" sqref="A1"/>
    </sheetView>
  </sheetViews>
  <sheetFormatPr baseColWidth="8" defaultColWidth="12.59765625" defaultRowHeight="15.75" customHeight="1"/>
  <sheetData>
    <row r="2">
      <c r="D2" s="6" t="inlineStr">
        <is>
          <t>시작</t>
        </is>
      </c>
      <c r="E2" s="67" t="n">
        <v>43098</v>
      </c>
      <c r="AT2" s="6" t="n">
        <v>31.1035</v>
      </c>
    </row>
    <row r="3">
      <c r="D3" s="6" t="inlineStr">
        <is>
          <t>종료</t>
        </is>
      </c>
      <c r="E3" s="67">
        <f>TODAY()</f>
        <v/>
      </c>
      <c r="AU3" s="6">
        <f>COUNTA(AT7:AT3591)</f>
        <v/>
      </c>
    </row>
    <row r="4">
      <c r="H4" s="6" t="n">
        <v>3230.78</v>
      </c>
      <c r="AU4" s="6">
        <f t="array" ref="AU4">INDEX(AT7:AT3591,AU3,1)</f>
        <v/>
      </c>
    </row>
    <row r="5">
      <c r="E5" s="6" t="inlineStr">
        <is>
          <t>S&amp;P500</t>
        </is>
      </c>
      <c r="H5" s="6" t="n">
        <v>3830.6</v>
      </c>
      <c r="M5" s="6" t="inlineStr">
        <is>
          <t>나스닥</t>
        </is>
      </c>
      <c r="U5" s="6" t="inlineStr">
        <is>
          <t>코스피</t>
        </is>
      </c>
      <c r="AC5" s="6" t="inlineStr">
        <is>
          <t>달러환율</t>
        </is>
      </c>
      <c r="AK5" s="6" t="inlineStr">
        <is>
          <t>비트코인-원화</t>
        </is>
      </c>
      <c r="AS5" s="6" t="inlineStr">
        <is>
          <t>금선물</t>
        </is>
      </c>
    </row>
    <row r="6">
      <c r="E6" s="6">
        <f>IFERROR(__xludf.DUMMYFUNCTION("GOOGLEFINANCE(""INDEXSP:.INX"",""price"",$E$2,$E$3,""daily"")"),"Date")</f>
        <v/>
      </c>
      <c r="F6" s="6">
        <f>IFERROR(__xludf.DUMMYFUNCTION("""COMPUTED_VALUE"""),"Close")</f>
        <v/>
      </c>
      <c r="M6" s="6">
        <f>IFERROR(__xludf.DUMMYFUNCTION("GOOGLEFINANCE(""INDEXNASDAQ:.IXIC"",""price"",$E$2,$E$3,""daily"")"),"Date")</f>
        <v/>
      </c>
      <c r="N6" s="6">
        <f>IFERROR(__xludf.DUMMYFUNCTION("""COMPUTED_VALUE"""),"Close")</f>
        <v/>
      </c>
      <c r="U6" s="6">
        <f>IFERROR(__xludf.DUMMYFUNCTION("GOOGLEFINANCE(""kospi"",""price"",$E$2-1,$E$3,""daily"")"),"Date")</f>
        <v/>
      </c>
      <c r="V6" s="6">
        <f>IFERROR(__xludf.DUMMYFUNCTION("""COMPUTED_VALUE"""),"Close")</f>
        <v/>
      </c>
      <c r="AC6" s="6">
        <f>IFERROR(__xludf.DUMMYFUNCTION("GOOGLEFINANCE(""USDKRW"",""price"",$E$2,$E$3,""daily"")"),"Date")</f>
        <v/>
      </c>
      <c r="AD6" s="6">
        <f>IFERROR(__xludf.DUMMYFUNCTION("""COMPUTED_VALUE"""),"Close")</f>
        <v/>
      </c>
      <c r="AK6" s="6">
        <f>IFERROR(__xludf.DUMMYFUNCTION("GOOGLEFINANCE(""BTCusd"",""price"",$E$2,$E$3,""daily"")"),"Date")</f>
        <v/>
      </c>
      <c r="AL6" s="6">
        <f>IFERROR(__xludf.DUMMYFUNCTION("""COMPUTED_VALUE"""),"Close")</f>
        <v/>
      </c>
      <c r="AS6" s="6">
        <f>IFERROR(__xludf.DUMMYFUNCTION("GOOGLEFINANCE(""GCW00"",""price"",$E$2,$E$3,""daily"")"),"Date")</f>
        <v/>
      </c>
      <c r="AT6" s="6">
        <f>IFERROR(__xludf.DUMMYFUNCTION("""COMPUTED_VALUE"""),"Close")</f>
        <v/>
      </c>
    </row>
    <row r="7">
      <c r="B7" s="6">
        <f>C7&amp;D7</f>
        <v/>
      </c>
      <c r="C7" s="6">
        <f>YEAR(E7)</f>
        <v/>
      </c>
      <c r="D7" s="6">
        <f>MONTH(E7)</f>
        <v/>
      </c>
      <c r="E7" s="267">
        <f>IFERROR(__xludf.DUMMYFUNCTION("""COMPUTED_VALUE"""),43098.6666666666)</f>
        <v/>
      </c>
      <c r="F7" s="6">
        <f>IFERROR(__xludf.DUMMYFUNCTION("""COMPUTED_VALUE"""),2673.61)</f>
        <v/>
      </c>
      <c r="J7" s="6">
        <f>K7&amp;L7</f>
        <v/>
      </c>
      <c r="K7" s="6">
        <f>YEAR(M7)</f>
        <v/>
      </c>
      <c r="L7" s="6">
        <f>MONTH(M7)</f>
        <v/>
      </c>
      <c r="M7" s="267">
        <f>IFERROR(__xludf.DUMMYFUNCTION("""COMPUTED_VALUE"""),43098.6666666666)</f>
        <v/>
      </c>
      <c r="N7" s="6">
        <f>IFERROR(__xludf.DUMMYFUNCTION("""COMPUTED_VALUE"""),6903.39)</f>
        <v/>
      </c>
      <c r="R7" s="6">
        <f>S7&amp;T7</f>
        <v/>
      </c>
      <c r="S7" s="6">
        <f>YEAR(U7)</f>
        <v/>
      </c>
      <c r="T7" s="6">
        <f>MONTH(U7)</f>
        <v/>
      </c>
      <c r="U7" s="267">
        <f>IFERROR(__xludf.DUMMYFUNCTION("""COMPUTED_VALUE"""),43097.6458333333)</f>
        <v/>
      </c>
      <c r="V7" s="6">
        <f>IFERROR(__xludf.DUMMYFUNCTION("""COMPUTED_VALUE"""),2467.49)</f>
        <v/>
      </c>
      <c r="Z7" s="6">
        <f>AA7&amp;AB7</f>
        <v/>
      </c>
      <c r="AA7" s="6">
        <f>YEAR(AC7)</f>
        <v/>
      </c>
      <c r="AB7" s="6">
        <f>MONTH(AC7)</f>
        <v/>
      </c>
      <c r="AC7" s="267">
        <f>IFERROR(__xludf.DUMMYFUNCTION("""COMPUTED_VALUE"""),43098.9986111111)</f>
        <v/>
      </c>
      <c r="AD7" s="6">
        <f>IFERROR(__xludf.DUMMYFUNCTION("""COMPUTED_VALUE"""),1065.38)</f>
        <v/>
      </c>
      <c r="AH7" s="6">
        <f>AI7&amp;AJ7</f>
        <v/>
      </c>
      <c r="AI7" s="6">
        <f>YEAR(AK7)</f>
        <v/>
      </c>
      <c r="AJ7" s="6">
        <f>MONTH(AK7)</f>
        <v/>
      </c>
      <c r="AK7" s="267">
        <f>IFERROR(__xludf.DUMMYFUNCTION("""COMPUTED_VALUE"""),43098.9986111111)</f>
        <v/>
      </c>
      <c r="AL7" s="6">
        <f>IFERROR(__xludf.DUMMYFUNCTION("""COMPUTED_VALUE"""),14492.85)</f>
        <v/>
      </c>
      <c r="AP7" s="6">
        <f>AQ7&amp;AR7</f>
        <v/>
      </c>
      <c r="AQ7" s="6">
        <f>YEAR(AS7)</f>
        <v/>
      </c>
      <c r="AR7" s="6">
        <f>MONTH(AS7)</f>
        <v/>
      </c>
      <c r="AS7" s="267">
        <f>IFERROR(__xludf.DUMMYFUNCTION("""COMPUTED_VALUE"""),43098.9986111111)</f>
        <v/>
      </c>
      <c r="AT7" s="6">
        <f>IFERROR(__xludf.DUMMYFUNCTION("""COMPUTED_VALUE"""),1309.3)</f>
        <v/>
      </c>
    </row>
    <row r="8">
      <c r="B8" s="6">
        <f>C8&amp;D8</f>
        <v/>
      </c>
      <c r="C8" s="6">
        <f>YEAR(E8)</f>
        <v/>
      </c>
      <c r="D8" s="6">
        <f>MONTH(E8)</f>
        <v/>
      </c>
      <c r="E8" s="267">
        <f>IFERROR(__xludf.DUMMYFUNCTION("""COMPUTED_VALUE"""),43102.6666666666)</f>
        <v/>
      </c>
      <c r="F8" s="6">
        <f>IFERROR(__xludf.DUMMYFUNCTION("""COMPUTED_VALUE"""),2695.81)</f>
        <v/>
      </c>
      <c r="H8" s="69">
        <f>H5/H4-1</f>
        <v/>
      </c>
      <c r="J8" s="6">
        <f>K8&amp;L8</f>
        <v/>
      </c>
      <c r="K8" s="6">
        <f>YEAR(M8)</f>
        <v/>
      </c>
      <c r="L8" s="6">
        <f>MONTH(M8)</f>
        <v/>
      </c>
      <c r="M8" s="267">
        <f>IFERROR(__xludf.DUMMYFUNCTION("""COMPUTED_VALUE"""),43102.6666666666)</f>
        <v/>
      </c>
      <c r="N8" s="6">
        <f>IFERROR(__xludf.DUMMYFUNCTION("""COMPUTED_VALUE"""),7006.9)</f>
        <v/>
      </c>
      <c r="R8" s="6">
        <f>S8&amp;T8</f>
        <v/>
      </c>
      <c r="S8" s="6">
        <f>YEAR(U8)</f>
        <v/>
      </c>
      <c r="T8" s="6">
        <f>MONTH(U8)</f>
        <v/>
      </c>
      <c r="U8" s="267">
        <f>IFERROR(__xludf.DUMMYFUNCTION("""COMPUTED_VALUE"""),43102.6458333333)</f>
        <v/>
      </c>
      <c r="V8" s="6">
        <f>IFERROR(__xludf.DUMMYFUNCTION("""COMPUTED_VALUE"""),2479.65)</f>
        <v/>
      </c>
      <c r="Z8" s="6">
        <f>AA8&amp;AB8</f>
        <v/>
      </c>
      <c r="AA8" s="6">
        <f>YEAR(AC8)</f>
        <v/>
      </c>
      <c r="AB8" s="6">
        <f>MONTH(AC8)</f>
        <v/>
      </c>
      <c r="AC8" s="267">
        <f>IFERROR(__xludf.DUMMYFUNCTION("""COMPUTED_VALUE"""),43099.9986111111)</f>
        <v/>
      </c>
      <c r="AD8" s="6">
        <f>IFERROR(__xludf.DUMMYFUNCTION("""COMPUTED_VALUE"""),1066.38)</f>
        <v/>
      </c>
      <c r="AH8" s="6">
        <f>AI8&amp;AJ8</f>
        <v/>
      </c>
      <c r="AI8" s="6">
        <f>YEAR(AK8)</f>
        <v/>
      </c>
      <c r="AJ8" s="6">
        <f>MONTH(AK8)</f>
        <v/>
      </c>
      <c r="AK8" s="267">
        <f>IFERROR(__xludf.DUMMYFUNCTION("""COMPUTED_VALUE"""),43099.9986111111)</f>
        <v/>
      </c>
      <c r="AL8" s="6">
        <f>IFERROR(__xludf.DUMMYFUNCTION("""COMPUTED_VALUE"""),13012.22)</f>
        <v/>
      </c>
      <c r="AP8" s="6">
        <f>AQ8&amp;AR8</f>
        <v/>
      </c>
      <c r="AQ8" s="6">
        <f>YEAR(AS8)</f>
        <v/>
      </c>
      <c r="AR8" s="6">
        <f>MONTH(AS8)</f>
        <v/>
      </c>
      <c r="AS8" s="267">
        <f>IFERROR(__xludf.DUMMYFUNCTION("""COMPUTED_VALUE"""),43102.9986111111)</f>
        <v/>
      </c>
      <c r="AT8" s="6">
        <f>IFERROR(__xludf.DUMMYFUNCTION("""COMPUTED_VALUE"""),1316.1)</f>
        <v/>
      </c>
    </row>
    <row r="9">
      <c r="B9" s="6">
        <f>C9&amp;D9</f>
        <v/>
      </c>
      <c r="C9" s="6">
        <f>YEAR(E9)</f>
        <v/>
      </c>
      <c r="D9" s="6">
        <f>MONTH(E9)</f>
        <v/>
      </c>
      <c r="E9" s="267">
        <f>IFERROR(__xludf.DUMMYFUNCTION("""COMPUTED_VALUE"""),43103.6666666666)</f>
        <v/>
      </c>
      <c r="F9" s="6">
        <f>IFERROR(__xludf.DUMMYFUNCTION("""COMPUTED_VALUE"""),2713.06)</f>
        <v/>
      </c>
      <c r="H9" s="268">
        <f>RATE(4,0,-H4,H5,0)</f>
        <v/>
      </c>
      <c r="J9" s="6">
        <f>K9&amp;L9</f>
        <v/>
      </c>
      <c r="K9" s="6">
        <f>YEAR(M9)</f>
        <v/>
      </c>
      <c r="L9" s="6">
        <f>MONTH(M9)</f>
        <v/>
      </c>
      <c r="M9" s="267">
        <f>IFERROR(__xludf.DUMMYFUNCTION("""COMPUTED_VALUE"""),43103.6666666666)</f>
        <v/>
      </c>
      <c r="N9" s="6">
        <f>IFERROR(__xludf.DUMMYFUNCTION("""COMPUTED_VALUE"""),7065.53)</f>
        <v/>
      </c>
      <c r="R9" s="6">
        <f>S9&amp;T9</f>
        <v/>
      </c>
      <c r="S9" s="6">
        <f>YEAR(U9)</f>
        <v/>
      </c>
      <c r="T9" s="6">
        <f>MONTH(U9)</f>
        <v/>
      </c>
      <c r="U9" s="267">
        <f>IFERROR(__xludf.DUMMYFUNCTION("""COMPUTED_VALUE"""),43103.6458333333)</f>
        <v/>
      </c>
      <c r="V9" s="6">
        <f>IFERROR(__xludf.DUMMYFUNCTION("""COMPUTED_VALUE"""),2486.35)</f>
        <v/>
      </c>
      <c r="Z9" s="6">
        <f>AA9&amp;AB9</f>
        <v/>
      </c>
      <c r="AA9" s="6">
        <f>YEAR(AC9)</f>
        <v/>
      </c>
      <c r="AB9" s="6">
        <f>MONTH(AC9)</f>
        <v/>
      </c>
      <c r="AC9" s="267">
        <f>IFERROR(__xludf.DUMMYFUNCTION("""COMPUTED_VALUE"""),43100.9986111111)</f>
        <v/>
      </c>
      <c r="AD9" s="6">
        <f>IFERROR(__xludf.DUMMYFUNCTION("""COMPUTED_VALUE"""),1066.07)</f>
        <v/>
      </c>
      <c r="AH9" s="6">
        <f>AI9&amp;AJ9</f>
        <v/>
      </c>
      <c r="AI9" s="6">
        <f>YEAR(AK9)</f>
        <v/>
      </c>
      <c r="AJ9" s="6">
        <f>MONTH(AK9)</f>
        <v/>
      </c>
      <c r="AK9" s="267">
        <f>IFERROR(__xludf.DUMMYFUNCTION("""COMPUTED_VALUE"""),43100.9986111111)</f>
        <v/>
      </c>
      <c r="AL9" s="6">
        <f>IFERROR(__xludf.DUMMYFUNCTION("""COMPUTED_VALUE"""),13880.99)</f>
        <v/>
      </c>
      <c r="AP9" s="6">
        <f>AQ9&amp;AR9</f>
        <v/>
      </c>
      <c r="AQ9" s="6">
        <f>YEAR(AS9)</f>
        <v/>
      </c>
      <c r="AR9" s="6">
        <f>MONTH(AS9)</f>
        <v/>
      </c>
      <c r="AS9" s="267">
        <f>IFERROR(__xludf.DUMMYFUNCTION("""COMPUTED_VALUE"""),43103.9986111111)</f>
        <v/>
      </c>
      <c r="AT9" s="6">
        <f>IFERROR(__xludf.DUMMYFUNCTION("""COMPUTED_VALUE"""),1318.5)</f>
        <v/>
      </c>
    </row>
    <row r="10">
      <c r="B10" s="6">
        <f>C10&amp;D10</f>
        <v/>
      </c>
      <c r="C10" s="6">
        <f>YEAR(E10)</f>
        <v/>
      </c>
      <c r="D10" s="6">
        <f>MONTH(E10)</f>
        <v/>
      </c>
      <c r="E10" s="267">
        <f>IFERROR(__xludf.DUMMYFUNCTION("""COMPUTED_VALUE"""),43104.6666666666)</f>
        <v/>
      </c>
      <c r="F10" s="6">
        <f>IFERROR(__xludf.DUMMYFUNCTION("""COMPUTED_VALUE"""),2723.99)</f>
        <v/>
      </c>
      <c r="J10" s="6">
        <f>K10&amp;L10</f>
        <v/>
      </c>
      <c r="K10" s="6">
        <f>YEAR(M10)</f>
        <v/>
      </c>
      <c r="L10" s="6">
        <f>MONTH(M10)</f>
        <v/>
      </c>
      <c r="M10" s="267">
        <f>IFERROR(__xludf.DUMMYFUNCTION("""COMPUTED_VALUE"""),43104.6666666666)</f>
        <v/>
      </c>
      <c r="N10" s="6">
        <f>IFERROR(__xludf.DUMMYFUNCTION("""COMPUTED_VALUE"""),7077.92)</f>
        <v/>
      </c>
      <c r="R10" s="6">
        <f>S10&amp;T10</f>
        <v/>
      </c>
      <c r="S10" s="6">
        <f>YEAR(U10)</f>
        <v/>
      </c>
      <c r="T10" s="6">
        <f>MONTH(U10)</f>
        <v/>
      </c>
      <c r="U10" s="267">
        <f>IFERROR(__xludf.DUMMYFUNCTION("""COMPUTED_VALUE"""),43104.6458333333)</f>
        <v/>
      </c>
      <c r="V10" s="6">
        <f>IFERROR(__xludf.DUMMYFUNCTION("""COMPUTED_VALUE"""),2466.46)</f>
        <v/>
      </c>
      <c r="Z10" s="6">
        <f>AA10&amp;AB10</f>
        <v/>
      </c>
      <c r="AA10" s="6">
        <f>YEAR(AC10)</f>
        <v/>
      </c>
      <c r="AB10" s="6">
        <f>MONTH(AC10)</f>
        <v/>
      </c>
      <c r="AC10" s="267">
        <f>IFERROR(__xludf.DUMMYFUNCTION("""COMPUTED_VALUE"""),43101.9986111111)</f>
        <v/>
      </c>
      <c r="AD10" s="6">
        <f>IFERROR(__xludf.DUMMYFUNCTION("""COMPUTED_VALUE"""),1065.22)</f>
        <v/>
      </c>
      <c r="AH10" s="6">
        <f>AI10&amp;AJ10</f>
        <v/>
      </c>
      <c r="AI10" s="6">
        <f>YEAR(AK10)</f>
        <v/>
      </c>
      <c r="AJ10" s="6">
        <f>MONTH(AK10)</f>
        <v/>
      </c>
      <c r="AK10" s="267">
        <f>IFERROR(__xludf.DUMMYFUNCTION("""COMPUTED_VALUE"""),43101.9986111111)</f>
        <v/>
      </c>
      <c r="AL10" s="6">
        <f>IFERROR(__xludf.DUMMYFUNCTION("""COMPUTED_VALUE"""),13584.14)</f>
        <v/>
      </c>
      <c r="AP10" s="6">
        <f>AQ10&amp;AR10</f>
        <v/>
      </c>
      <c r="AQ10" s="6">
        <f>YEAR(AS10)</f>
        <v/>
      </c>
      <c r="AR10" s="6">
        <f>MONTH(AS10)</f>
        <v/>
      </c>
      <c r="AS10" s="267">
        <f>IFERROR(__xludf.DUMMYFUNCTION("""COMPUTED_VALUE"""),43104.9986111111)</f>
        <v/>
      </c>
      <c r="AT10" s="6">
        <f>IFERROR(__xludf.DUMMYFUNCTION("""COMPUTED_VALUE"""),1321.6)</f>
        <v/>
      </c>
    </row>
    <row r="11">
      <c r="B11" s="6">
        <f>C11&amp;D11</f>
        <v/>
      </c>
      <c r="C11" s="6">
        <f>YEAR(E11)</f>
        <v/>
      </c>
      <c r="D11" s="6">
        <f>MONTH(E11)</f>
        <v/>
      </c>
      <c r="E11" s="267">
        <f>IFERROR(__xludf.DUMMYFUNCTION("""COMPUTED_VALUE"""),43105.6666666666)</f>
        <v/>
      </c>
      <c r="F11" s="6">
        <f>IFERROR(__xludf.DUMMYFUNCTION("""COMPUTED_VALUE"""),2743.15)</f>
        <v/>
      </c>
      <c r="J11" s="6">
        <f>K11&amp;L11</f>
        <v/>
      </c>
      <c r="K11" s="6">
        <f>YEAR(M11)</f>
        <v/>
      </c>
      <c r="L11" s="6">
        <f>MONTH(M11)</f>
        <v/>
      </c>
      <c r="M11" s="267">
        <f>IFERROR(__xludf.DUMMYFUNCTION("""COMPUTED_VALUE"""),43105.6666666666)</f>
        <v/>
      </c>
      <c r="N11" s="6">
        <f>IFERROR(__xludf.DUMMYFUNCTION("""COMPUTED_VALUE"""),7136.56)</f>
        <v/>
      </c>
      <c r="R11" s="6">
        <f>S11&amp;T11</f>
        <v/>
      </c>
      <c r="S11" s="6">
        <f>YEAR(U11)</f>
        <v/>
      </c>
      <c r="T11" s="6">
        <f>MONTH(U11)</f>
        <v/>
      </c>
      <c r="U11" s="267">
        <f>IFERROR(__xludf.DUMMYFUNCTION("""COMPUTED_VALUE"""),43105.6458333333)</f>
        <v/>
      </c>
      <c r="V11" s="6">
        <f>IFERROR(__xludf.DUMMYFUNCTION("""COMPUTED_VALUE"""),2497.52)</f>
        <v/>
      </c>
      <c r="Z11" s="6">
        <f>AA11&amp;AB11</f>
        <v/>
      </c>
      <c r="AA11" s="6">
        <f>YEAR(AC11)</f>
        <v/>
      </c>
      <c r="AB11" s="6">
        <f>MONTH(AC11)</f>
        <v/>
      </c>
      <c r="AC11" s="267">
        <f>IFERROR(__xludf.DUMMYFUNCTION("""COMPUTED_VALUE"""),43102.9986111111)</f>
        <v/>
      </c>
      <c r="AD11" s="6">
        <f>IFERROR(__xludf.DUMMYFUNCTION("""COMPUTED_VALUE"""),1062.54)</f>
        <v/>
      </c>
      <c r="AH11" s="6">
        <f>AI11&amp;AJ11</f>
        <v/>
      </c>
      <c r="AI11" s="6">
        <f>YEAR(AK11)</f>
        <v/>
      </c>
      <c r="AJ11" s="6">
        <f>MONTH(AK11)</f>
        <v/>
      </c>
      <c r="AK11" s="267">
        <f>IFERROR(__xludf.DUMMYFUNCTION("""COMPUTED_VALUE"""),43102.9986111111)</f>
        <v/>
      </c>
      <c r="AL11" s="6">
        <f>IFERROR(__xludf.DUMMYFUNCTION("""COMPUTED_VALUE"""),14756.63)</f>
        <v/>
      </c>
      <c r="AP11" s="6">
        <f>AQ11&amp;AR11</f>
        <v/>
      </c>
      <c r="AQ11" s="6">
        <f>YEAR(AS11)</f>
        <v/>
      </c>
      <c r="AR11" s="6">
        <f>MONTH(AS11)</f>
        <v/>
      </c>
      <c r="AS11" s="267">
        <f>IFERROR(__xludf.DUMMYFUNCTION("""COMPUTED_VALUE"""),43105.9986111111)</f>
        <v/>
      </c>
      <c r="AT11" s="6">
        <f>IFERROR(__xludf.DUMMYFUNCTION("""COMPUTED_VALUE"""),1322.3)</f>
        <v/>
      </c>
    </row>
    <row r="12">
      <c r="B12" s="6">
        <f>C12&amp;D12</f>
        <v/>
      </c>
      <c r="C12" s="6">
        <f>YEAR(E12)</f>
        <v/>
      </c>
      <c r="D12" s="6">
        <f>MONTH(E12)</f>
        <v/>
      </c>
      <c r="E12" s="267">
        <f>IFERROR(__xludf.DUMMYFUNCTION("""COMPUTED_VALUE"""),43108.6666666666)</f>
        <v/>
      </c>
      <c r="F12" s="6">
        <f>IFERROR(__xludf.DUMMYFUNCTION("""COMPUTED_VALUE"""),2747.71)</f>
        <v/>
      </c>
      <c r="J12" s="6">
        <f>K12&amp;L12</f>
        <v/>
      </c>
      <c r="K12" s="6">
        <f>YEAR(M12)</f>
        <v/>
      </c>
      <c r="L12" s="6">
        <f>MONTH(M12)</f>
        <v/>
      </c>
      <c r="M12" s="267">
        <f>IFERROR(__xludf.DUMMYFUNCTION("""COMPUTED_VALUE"""),43108.6666666666)</f>
        <v/>
      </c>
      <c r="N12" s="6">
        <f>IFERROR(__xludf.DUMMYFUNCTION("""COMPUTED_VALUE"""),7157.39)</f>
        <v/>
      </c>
      <c r="R12" s="6">
        <f>S12&amp;T12</f>
        <v/>
      </c>
      <c r="S12" s="6">
        <f>YEAR(U12)</f>
        <v/>
      </c>
      <c r="T12" s="6">
        <f>MONTH(U12)</f>
        <v/>
      </c>
      <c r="U12" s="267">
        <f>IFERROR(__xludf.DUMMYFUNCTION("""COMPUTED_VALUE"""),43108.6458333333)</f>
        <v/>
      </c>
      <c r="V12" s="6">
        <f>IFERROR(__xludf.DUMMYFUNCTION("""COMPUTED_VALUE"""),2513.28)</f>
        <v/>
      </c>
      <c r="Z12" s="6">
        <f>AA12&amp;AB12</f>
        <v/>
      </c>
      <c r="AA12" s="6">
        <f>YEAR(AC12)</f>
        <v/>
      </c>
      <c r="AB12" s="6">
        <f>MONTH(AC12)</f>
        <v/>
      </c>
      <c r="AC12" s="267">
        <f>IFERROR(__xludf.DUMMYFUNCTION("""COMPUTED_VALUE"""),43103.9986111111)</f>
        <v/>
      </c>
      <c r="AD12" s="6">
        <f>IFERROR(__xludf.DUMMYFUNCTION("""COMPUTED_VALUE"""),1063.94)</f>
        <v/>
      </c>
      <c r="AH12" s="6">
        <f>AI12&amp;AJ12</f>
        <v/>
      </c>
      <c r="AI12" s="6">
        <f>YEAR(AK12)</f>
        <v/>
      </c>
      <c r="AJ12" s="6">
        <f>MONTH(AK12)</f>
        <v/>
      </c>
      <c r="AK12" s="267">
        <f>IFERROR(__xludf.DUMMYFUNCTION("""COMPUTED_VALUE"""),43103.9986111111)</f>
        <v/>
      </c>
      <c r="AL12" s="6">
        <f>IFERROR(__xludf.DUMMYFUNCTION("""COMPUTED_VALUE"""),15082.82)</f>
        <v/>
      </c>
      <c r="AP12" s="6">
        <f>AQ12&amp;AR12</f>
        <v/>
      </c>
      <c r="AQ12" s="6">
        <f>YEAR(AS12)</f>
        <v/>
      </c>
      <c r="AR12" s="6">
        <f>MONTH(AS12)</f>
        <v/>
      </c>
      <c r="AS12" s="267">
        <f>IFERROR(__xludf.DUMMYFUNCTION("""COMPUTED_VALUE"""),43108.9986111111)</f>
        <v/>
      </c>
      <c r="AT12" s="6">
        <f>IFERROR(__xludf.DUMMYFUNCTION("""COMPUTED_VALUE"""),1320.4)</f>
        <v/>
      </c>
    </row>
    <row r="13">
      <c r="B13" s="6">
        <f>C13&amp;D13</f>
        <v/>
      </c>
      <c r="C13" s="6">
        <f>YEAR(E13)</f>
        <v/>
      </c>
      <c r="D13" s="6">
        <f>MONTH(E13)</f>
        <v/>
      </c>
      <c r="E13" s="267">
        <f>IFERROR(__xludf.DUMMYFUNCTION("""COMPUTED_VALUE"""),43109.6666666666)</f>
        <v/>
      </c>
      <c r="F13" s="6">
        <f>IFERROR(__xludf.DUMMYFUNCTION("""COMPUTED_VALUE"""),2751.29)</f>
        <v/>
      </c>
      <c r="J13" s="6">
        <f>K13&amp;L13</f>
        <v/>
      </c>
      <c r="K13" s="6">
        <f>YEAR(M13)</f>
        <v/>
      </c>
      <c r="L13" s="6">
        <f>MONTH(M13)</f>
        <v/>
      </c>
      <c r="M13" s="267">
        <f>IFERROR(__xludf.DUMMYFUNCTION("""COMPUTED_VALUE"""),43109.6666666666)</f>
        <v/>
      </c>
      <c r="N13" s="6">
        <f>IFERROR(__xludf.DUMMYFUNCTION("""COMPUTED_VALUE"""),7163.58)</f>
        <v/>
      </c>
      <c r="R13" s="6">
        <f>S13&amp;T13</f>
        <v/>
      </c>
      <c r="S13" s="6">
        <f>YEAR(U13)</f>
        <v/>
      </c>
      <c r="T13" s="6">
        <f>MONTH(U13)</f>
        <v/>
      </c>
      <c r="U13" s="267">
        <f>IFERROR(__xludf.DUMMYFUNCTION("""COMPUTED_VALUE"""),43109.6458333333)</f>
        <v/>
      </c>
      <c r="V13" s="6">
        <f>IFERROR(__xludf.DUMMYFUNCTION("""COMPUTED_VALUE"""),2510.23)</f>
        <v/>
      </c>
      <c r="Z13" s="6">
        <f>AA13&amp;AB13</f>
        <v/>
      </c>
      <c r="AA13" s="6">
        <f>YEAR(AC13)</f>
        <v/>
      </c>
      <c r="AB13" s="6">
        <f>MONTH(AC13)</f>
        <v/>
      </c>
      <c r="AC13" s="267">
        <f>IFERROR(__xludf.DUMMYFUNCTION("""COMPUTED_VALUE"""),43104.9986111111)</f>
        <v/>
      </c>
      <c r="AD13" s="6">
        <f>IFERROR(__xludf.DUMMYFUNCTION("""COMPUTED_VALUE"""),1061.08)</f>
        <v/>
      </c>
      <c r="AH13" s="6">
        <f>AI13&amp;AJ13</f>
        <v/>
      </c>
      <c r="AI13" s="6">
        <f>YEAR(AK13)</f>
        <v/>
      </c>
      <c r="AJ13" s="6">
        <f>MONTH(AK13)</f>
        <v/>
      </c>
      <c r="AK13" s="267">
        <f>IFERROR(__xludf.DUMMYFUNCTION("""COMPUTED_VALUE"""),43104.9986111111)</f>
        <v/>
      </c>
      <c r="AL13" s="6">
        <f>IFERROR(__xludf.DUMMYFUNCTION("""COMPUTED_VALUE"""),14922.65)</f>
        <v/>
      </c>
      <c r="AP13" s="6">
        <f>AQ13&amp;AR13</f>
        <v/>
      </c>
      <c r="AQ13" s="6">
        <f>YEAR(AS13)</f>
        <v/>
      </c>
      <c r="AR13" s="6">
        <f>MONTH(AS13)</f>
        <v/>
      </c>
      <c r="AS13" s="267">
        <f>IFERROR(__xludf.DUMMYFUNCTION("""COMPUTED_VALUE"""),43109.9986111111)</f>
        <v/>
      </c>
      <c r="AT13" s="6">
        <f>IFERROR(__xludf.DUMMYFUNCTION("""COMPUTED_VALUE"""),1313.7)</f>
        <v/>
      </c>
    </row>
    <row r="14">
      <c r="B14" s="6">
        <f>C14&amp;D14</f>
        <v/>
      </c>
      <c r="C14" s="6">
        <f>YEAR(E14)</f>
        <v/>
      </c>
      <c r="D14" s="6">
        <f>MONTH(E14)</f>
        <v/>
      </c>
      <c r="E14" s="267">
        <f>IFERROR(__xludf.DUMMYFUNCTION("""COMPUTED_VALUE"""),43110.6666666666)</f>
        <v/>
      </c>
      <c r="F14" s="6">
        <f>IFERROR(__xludf.DUMMYFUNCTION("""COMPUTED_VALUE"""),2748.23)</f>
        <v/>
      </c>
      <c r="J14" s="6">
        <f>K14&amp;L14</f>
        <v/>
      </c>
      <c r="K14" s="6">
        <f>YEAR(M14)</f>
        <v/>
      </c>
      <c r="L14" s="6">
        <f>MONTH(M14)</f>
        <v/>
      </c>
      <c r="M14" s="267">
        <f>IFERROR(__xludf.DUMMYFUNCTION("""COMPUTED_VALUE"""),43110.6666666666)</f>
        <v/>
      </c>
      <c r="N14" s="6">
        <f>IFERROR(__xludf.DUMMYFUNCTION("""COMPUTED_VALUE"""),7153.57)</f>
        <v/>
      </c>
      <c r="R14" s="6">
        <f>S14&amp;T14</f>
        <v/>
      </c>
      <c r="S14" s="6">
        <f>YEAR(U14)</f>
        <v/>
      </c>
      <c r="T14" s="6">
        <f>MONTH(U14)</f>
        <v/>
      </c>
      <c r="U14" s="267">
        <f>IFERROR(__xludf.DUMMYFUNCTION("""COMPUTED_VALUE"""),43110.6458333333)</f>
        <v/>
      </c>
      <c r="V14" s="6">
        <f>IFERROR(__xludf.DUMMYFUNCTION("""COMPUTED_VALUE"""),2499.75)</f>
        <v/>
      </c>
      <c r="Z14" s="6">
        <f>AA14&amp;AB14</f>
        <v/>
      </c>
      <c r="AA14" s="6">
        <f>YEAR(AC14)</f>
        <v/>
      </c>
      <c r="AB14" s="6">
        <f>MONTH(AC14)</f>
        <v/>
      </c>
      <c r="AC14" s="267">
        <f>IFERROR(__xludf.DUMMYFUNCTION("""COMPUTED_VALUE"""),43105.9986111111)</f>
        <v/>
      </c>
      <c r="AD14" s="6">
        <f>IFERROR(__xludf.DUMMYFUNCTION("""COMPUTED_VALUE"""),1060.09)</f>
        <v/>
      </c>
      <c r="AH14" s="6">
        <f>AI14&amp;AJ14</f>
        <v/>
      </c>
      <c r="AI14" s="6">
        <f>YEAR(AK14)</f>
        <v/>
      </c>
      <c r="AJ14" s="6">
        <f>MONTH(AK14)</f>
        <v/>
      </c>
      <c r="AK14" s="267">
        <f>IFERROR(__xludf.DUMMYFUNCTION("""COMPUTED_VALUE"""),43105.9986111111)</f>
        <v/>
      </c>
      <c r="AL14" s="6">
        <f>IFERROR(__xludf.DUMMYFUNCTION("""COMPUTED_VALUE"""),16951.88)</f>
        <v/>
      </c>
      <c r="AP14" s="6">
        <f>AQ14&amp;AR14</f>
        <v/>
      </c>
      <c r="AQ14" s="6">
        <f>YEAR(AS14)</f>
        <v/>
      </c>
      <c r="AR14" s="6">
        <f>MONTH(AS14)</f>
        <v/>
      </c>
      <c r="AS14" s="267">
        <f>IFERROR(__xludf.DUMMYFUNCTION("""COMPUTED_VALUE"""),43110.9986111111)</f>
        <v/>
      </c>
      <c r="AT14" s="6">
        <f>IFERROR(__xludf.DUMMYFUNCTION("""COMPUTED_VALUE"""),1319.3)</f>
        <v/>
      </c>
    </row>
    <row r="15">
      <c r="B15" s="6">
        <f>C15&amp;D15</f>
        <v/>
      </c>
      <c r="C15" s="6">
        <f>YEAR(E15)</f>
        <v/>
      </c>
      <c r="D15" s="6">
        <f>MONTH(E15)</f>
        <v/>
      </c>
      <c r="E15" s="267">
        <f>IFERROR(__xludf.DUMMYFUNCTION("""COMPUTED_VALUE"""),43111.6666666666)</f>
        <v/>
      </c>
      <c r="F15" s="6">
        <f>IFERROR(__xludf.DUMMYFUNCTION("""COMPUTED_VALUE"""),2767.56)</f>
        <v/>
      </c>
      <c r="J15" s="6">
        <f>K15&amp;L15</f>
        <v/>
      </c>
      <c r="K15" s="6">
        <f>YEAR(M15)</f>
        <v/>
      </c>
      <c r="L15" s="6">
        <f>MONTH(M15)</f>
        <v/>
      </c>
      <c r="M15" s="267">
        <f>IFERROR(__xludf.DUMMYFUNCTION("""COMPUTED_VALUE"""),43111.6666666666)</f>
        <v/>
      </c>
      <c r="N15" s="6">
        <f>IFERROR(__xludf.DUMMYFUNCTION("""COMPUTED_VALUE"""),7211.78)</f>
        <v/>
      </c>
      <c r="R15" s="6">
        <f>S15&amp;T15</f>
        <v/>
      </c>
      <c r="S15" s="6">
        <f>YEAR(U15)</f>
        <v/>
      </c>
      <c r="T15" s="6">
        <f>MONTH(U15)</f>
        <v/>
      </c>
      <c r="U15" s="267">
        <f>IFERROR(__xludf.DUMMYFUNCTION("""COMPUTED_VALUE"""),43111.6458333333)</f>
        <v/>
      </c>
      <c r="V15" s="6">
        <f>IFERROR(__xludf.DUMMYFUNCTION("""COMPUTED_VALUE"""),2487.91)</f>
        <v/>
      </c>
      <c r="Z15" s="6">
        <f>AA15&amp;AB15</f>
        <v/>
      </c>
      <c r="AA15" s="6">
        <f>YEAR(AC15)</f>
        <v/>
      </c>
      <c r="AB15" s="6">
        <f>MONTH(AC15)</f>
        <v/>
      </c>
      <c r="AC15" s="267">
        <f>IFERROR(__xludf.DUMMYFUNCTION("""COMPUTED_VALUE"""),43107.9986111111)</f>
        <v/>
      </c>
      <c r="AD15" s="6">
        <f>IFERROR(__xludf.DUMMYFUNCTION("""COMPUTED_VALUE"""),1060.5)</f>
        <v/>
      </c>
      <c r="AH15" s="6">
        <f>AI15&amp;AJ15</f>
        <v/>
      </c>
      <c r="AI15" s="6">
        <f>YEAR(AK15)</f>
        <v/>
      </c>
      <c r="AJ15" s="6">
        <f>MONTH(AK15)</f>
        <v/>
      </c>
      <c r="AK15" s="267">
        <f>IFERROR(__xludf.DUMMYFUNCTION("""COMPUTED_VALUE"""),43106.9986111111)</f>
        <v/>
      </c>
      <c r="AL15" s="6">
        <f>IFERROR(__xludf.DUMMYFUNCTION("""COMPUTED_VALUE"""),17003.21)</f>
        <v/>
      </c>
      <c r="AP15" s="6">
        <f>AQ15&amp;AR15</f>
        <v/>
      </c>
      <c r="AQ15" s="6">
        <f>YEAR(AS15)</f>
        <v/>
      </c>
      <c r="AR15" s="6">
        <f>MONTH(AS15)</f>
        <v/>
      </c>
      <c r="AS15" s="267">
        <f>IFERROR(__xludf.DUMMYFUNCTION("""COMPUTED_VALUE"""),43111.9986111111)</f>
        <v/>
      </c>
      <c r="AT15" s="6">
        <f>IFERROR(__xludf.DUMMYFUNCTION("""COMPUTED_VALUE"""),1322.5)</f>
        <v/>
      </c>
    </row>
    <row r="16">
      <c r="B16" s="6">
        <f>C16&amp;D16</f>
        <v/>
      </c>
      <c r="C16" s="6">
        <f>YEAR(E16)</f>
        <v/>
      </c>
      <c r="D16" s="6">
        <f>MONTH(E16)</f>
        <v/>
      </c>
      <c r="E16" s="267">
        <f>IFERROR(__xludf.DUMMYFUNCTION("""COMPUTED_VALUE"""),43112.6666666666)</f>
        <v/>
      </c>
      <c r="F16" s="6">
        <f>IFERROR(__xludf.DUMMYFUNCTION("""COMPUTED_VALUE"""),2786.24)</f>
        <v/>
      </c>
      <c r="J16" s="6">
        <f>K16&amp;L16</f>
        <v/>
      </c>
      <c r="K16" s="6">
        <f>YEAR(M16)</f>
        <v/>
      </c>
      <c r="L16" s="6">
        <f>MONTH(M16)</f>
        <v/>
      </c>
      <c r="M16" s="267">
        <f>IFERROR(__xludf.DUMMYFUNCTION("""COMPUTED_VALUE"""),43112.6666666666)</f>
        <v/>
      </c>
      <c r="N16" s="6">
        <f>IFERROR(__xludf.DUMMYFUNCTION("""COMPUTED_VALUE"""),7261.06)</f>
        <v/>
      </c>
      <c r="R16" s="6">
        <f>S16&amp;T16</f>
        <v/>
      </c>
      <c r="S16" s="6">
        <f>YEAR(U16)</f>
        <v/>
      </c>
      <c r="T16" s="6">
        <f>MONTH(U16)</f>
        <v/>
      </c>
      <c r="U16" s="267">
        <f>IFERROR(__xludf.DUMMYFUNCTION("""COMPUTED_VALUE"""),43112.6458333333)</f>
        <v/>
      </c>
      <c r="V16" s="6">
        <f>IFERROR(__xludf.DUMMYFUNCTION("""COMPUTED_VALUE"""),2496.42)</f>
        <v/>
      </c>
      <c r="Z16" s="6">
        <f>AA16&amp;AB16</f>
        <v/>
      </c>
      <c r="AA16" s="6">
        <f>YEAR(AC16)</f>
        <v/>
      </c>
      <c r="AB16" s="6">
        <f>MONTH(AC16)</f>
        <v/>
      </c>
      <c r="AC16" s="267">
        <f>IFERROR(__xludf.DUMMYFUNCTION("""COMPUTED_VALUE"""),43108.9986111111)</f>
        <v/>
      </c>
      <c r="AD16" s="6">
        <f>IFERROR(__xludf.DUMMYFUNCTION("""COMPUTED_VALUE"""),1067.69)</f>
        <v/>
      </c>
      <c r="AH16" s="6">
        <f>AI16&amp;AJ16</f>
        <v/>
      </c>
      <c r="AI16" s="6">
        <f>YEAR(AK16)</f>
        <v/>
      </c>
      <c r="AJ16" s="6">
        <f>MONTH(AK16)</f>
        <v/>
      </c>
      <c r="AK16" s="267">
        <f>IFERROR(__xludf.DUMMYFUNCTION("""COMPUTED_VALUE"""),43107.9986111111)</f>
        <v/>
      </c>
      <c r="AL16" s="6">
        <f>IFERROR(__xludf.DUMMYFUNCTION("""COMPUTED_VALUE"""),16035.62)</f>
        <v/>
      </c>
      <c r="AP16" s="6">
        <f>AQ16&amp;AR16</f>
        <v/>
      </c>
      <c r="AQ16" s="6">
        <f>YEAR(AS16)</f>
        <v/>
      </c>
      <c r="AR16" s="6">
        <f>MONTH(AS16)</f>
        <v/>
      </c>
      <c r="AS16" s="267">
        <f>IFERROR(__xludf.DUMMYFUNCTION("""COMPUTED_VALUE"""),43112.9986111111)</f>
        <v/>
      </c>
      <c r="AT16" s="6">
        <f>IFERROR(__xludf.DUMMYFUNCTION("""COMPUTED_VALUE"""),1334.9)</f>
        <v/>
      </c>
    </row>
    <row r="17">
      <c r="B17" s="6">
        <f>C17&amp;D17</f>
        <v/>
      </c>
      <c r="C17" s="6">
        <f>YEAR(E17)</f>
        <v/>
      </c>
      <c r="D17" s="6">
        <f>MONTH(E17)</f>
        <v/>
      </c>
      <c r="E17" s="267">
        <f>IFERROR(__xludf.DUMMYFUNCTION("""COMPUTED_VALUE"""),43116.6666666666)</f>
        <v/>
      </c>
      <c r="F17" s="6">
        <f>IFERROR(__xludf.DUMMYFUNCTION("""COMPUTED_VALUE"""),2776.42)</f>
        <v/>
      </c>
      <c r="J17" s="6">
        <f>K17&amp;L17</f>
        <v/>
      </c>
      <c r="K17" s="6">
        <f>YEAR(M17)</f>
        <v/>
      </c>
      <c r="L17" s="6">
        <f>MONTH(M17)</f>
        <v/>
      </c>
      <c r="M17" s="267">
        <f>IFERROR(__xludf.DUMMYFUNCTION("""COMPUTED_VALUE"""),43116.6666666666)</f>
        <v/>
      </c>
      <c r="N17" s="6">
        <f>IFERROR(__xludf.DUMMYFUNCTION("""COMPUTED_VALUE"""),7223.69)</f>
        <v/>
      </c>
      <c r="R17" s="6">
        <f>S17&amp;T17</f>
        <v/>
      </c>
      <c r="S17" s="6">
        <f>YEAR(U17)</f>
        <v/>
      </c>
      <c r="T17" s="6">
        <f>MONTH(U17)</f>
        <v/>
      </c>
      <c r="U17" s="267">
        <f>IFERROR(__xludf.DUMMYFUNCTION("""COMPUTED_VALUE"""),43115.6458333333)</f>
        <v/>
      </c>
      <c r="V17" s="6">
        <f>IFERROR(__xludf.DUMMYFUNCTION("""COMPUTED_VALUE"""),2503.73)</f>
        <v/>
      </c>
      <c r="Z17" s="6">
        <f>AA17&amp;AB17</f>
        <v/>
      </c>
      <c r="AA17" s="6">
        <f>YEAR(AC17)</f>
        <v/>
      </c>
      <c r="AB17" s="6">
        <f>MONTH(AC17)</f>
        <v/>
      </c>
      <c r="AC17" s="267">
        <f>IFERROR(__xludf.DUMMYFUNCTION("""COMPUTED_VALUE"""),43109.9986111111)</f>
        <v/>
      </c>
      <c r="AD17" s="6">
        <f>IFERROR(__xludf.DUMMYFUNCTION("""COMPUTED_VALUE"""),1071.74)</f>
        <v/>
      </c>
      <c r="AH17" s="6">
        <f>AI17&amp;AJ17</f>
        <v/>
      </c>
      <c r="AI17" s="6">
        <f>YEAR(AK17)</f>
        <v/>
      </c>
      <c r="AJ17" s="6">
        <f>MONTH(AK17)</f>
        <v/>
      </c>
      <c r="AK17" s="267">
        <f>IFERROR(__xludf.DUMMYFUNCTION("""COMPUTED_VALUE"""),43108.9986111111)</f>
        <v/>
      </c>
      <c r="AL17" s="6">
        <f>IFERROR(__xludf.DUMMYFUNCTION("""COMPUTED_VALUE"""),14918.6)</f>
        <v/>
      </c>
      <c r="AP17" s="6">
        <f>AQ17&amp;AR17</f>
        <v/>
      </c>
      <c r="AQ17" s="6">
        <f>YEAR(AS17)</f>
        <v/>
      </c>
      <c r="AR17" s="6">
        <f>MONTH(AS17)</f>
        <v/>
      </c>
      <c r="AS17" s="267">
        <f>IFERROR(__xludf.DUMMYFUNCTION("""COMPUTED_VALUE"""),43116.9986111111)</f>
        <v/>
      </c>
      <c r="AT17" s="6">
        <f>IFERROR(__xludf.DUMMYFUNCTION("""COMPUTED_VALUE"""),1337.1)</f>
        <v/>
      </c>
    </row>
    <row r="18">
      <c r="B18" s="6">
        <f>C18&amp;D18</f>
        <v/>
      </c>
      <c r="C18" s="6">
        <f>YEAR(E18)</f>
        <v/>
      </c>
      <c r="D18" s="6">
        <f>MONTH(E18)</f>
        <v/>
      </c>
      <c r="E18" s="267">
        <f>IFERROR(__xludf.DUMMYFUNCTION("""COMPUTED_VALUE"""),43117.6666666666)</f>
        <v/>
      </c>
      <c r="F18" s="6">
        <f>IFERROR(__xludf.DUMMYFUNCTION("""COMPUTED_VALUE"""),2802.56)</f>
        <v/>
      </c>
      <c r="J18" s="6">
        <f>K18&amp;L18</f>
        <v/>
      </c>
      <c r="K18" s="6">
        <f>YEAR(M18)</f>
        <v/>
      </c>
      <c r="L18" s="6">
        <f>MONTH(M18)</f>
        <v/>
      </c>
      <c r="M18" s="267">
        <f>IFERROR(__xludf.DUMMYFUNCTION("""COMPUTED_VALUE"""),43117.6666666666)</f>
        <v/>
      </c>
      <c r="N18" s="6">
        <f>IFERROR(__xludf.DUMMYFUNCTION("""COMPUTED_VALUE"""),7298.28)</f>
        <v/>
      </c>
      <c r="R18" s="6">
        <f>S18&amp;T18</f>
        <v/>
      </c>
      <c r="S18" s="6">
        <f>YEAR(U18)</f>
        <v/>
      </c>
      <c r="T18" s="6">
        <f>MONTH(U18)</f>
        <v/>
      </c>
      <c r="U18" s="267">
        <f>IFERROR(__xludf.DUMMYFUNCTION("""COMPUTED_VALUE"""),43116.6458333333)</f>
        <v/>
      </c>
      <c r="V18" s="6">
        <f>IFERROR(__xludf.DUMMYFUNCTION("""COMPUTED_VALUE"""),2521.74)</f>
        <v/>
      </c>
      <c r="Z18" s="6">
        <f>AA18&amp;AB18</f>
        <v/>
      </c>
      <c r="AA18" s="6">
        <f>YEAR(AC18)</f>
        <v/>
      </c>
      <c r="AB18" s="6">
        <f>MONTH(AC18)</f>
        <v/>
      </c>
      <c r="AC18" s="267">
        <f>IFERROR(__xludf.DUMMYFUNCTION("""COMPUTED_VALUE"""),43110.9986111111)</f>
        <v/>
      </c>
      <c r="AD18" s="6">
        <f>IFERROR(__xludf.DUMMYFUNCTION("""COMPUTED_VALUE"""),1069.67)</f>
        <v/>
      </c>
      <c r="AH18" s="6">
        <f>AI18&amp;AJ18</f>
        <v/>
      </c>
      <c r="AI18" s="6">
        <f>YEAR(AK18)</f>
        <v/>
      </c>
      <c r="AJ18" s="6">
        <f>MONTH(AK18)</f>
        <v/>
      </c>
      <c r="AK18" s="267">
        <f>IFERROR(__xludf.DUMMYFUNCTION("""COMPUTED_VALUE"""),43109.9986111111)</f>
        <v/>
      </c>
      <c r="AL18" s="6">
        <f>IFERROR(__xludf.DUMMYFUNCTION("""COMPUTED_VALUE"""),14542.96)</f>
        <v/>
      </c>
      <c r="AP18" s="6">
        <f>AQ18&amp;AR18</f>
        <v/>
      </c>
      <c r="AQ18" s="6">
        <f>YEAR(AS18)</f>
        <v/>
      </c>
      <c r="AR18" s="6">
        <f>MONTH(AS18)</f>
        <v/>
      </c>
      <c r="AS18" s="267">
        <f>IFERROR(__xludf.DUMMYFUNCTION("""COMPUTED_VALUE"""),43117.9986111111)</f>
        <v/>
      </c>
      <c r="AT18" s="6">
        <f>IFERROR(__xludf.DUMMYFUNCTION("""COMPUTED_VALUE"""),1339.2)</f>
        <v/>
      </c>
    </row>
    <row r="19">
      <c r="B19" s="6">
        <f>C19&amp;D19</f>
        <v/>
      </c>
      <c r="C19" s="6">
        <f>YEAR(E19)</f>
        <v/>
      </c>
      <c r="D19" s="6">
        <f>MONTH(E19)</f>
        <v/>
      </c>
      <c r="E19" s="267">
        <f>IFERROR(__xludf.DUMMYFUNCTION("""COMPUTED_VALUE"""),43118.6666666666)</f>
        <v/>
      </c>
      <c r="F19" s="6">
        <f>IFERROR(__xludf.DUMMYFUNCTION("""COMPUTED_VALUE"""),2798.03)</f>
        <v/>
      </c>
      <c r="J19" s="6">
        <f>K19&amp;L19</f>
        <v/>
      </c>
      <c r="K19" s="6">
        <f>YEAR(M19)</f>
        <v/>
      </c>
      <c r="L19" s="6">
        <f>MONTH(M19)</f>
        <v/>
      </c>
      <c r="M19" s="267">
        <f>IFERROR(__xludf.DUMMYFUNCTION("""COMPUTED_VALUE"""),43118.6666666666)</f>
        <v/>
      </c>
      <c r="N19" s="6">
        <f>IFERROR(__xludf.DUMMYFUNCTION("""COMPUTED_VALUE"""),7296.05)</f>
        <v/>
      </c>
      <c r="R19" s="6">
        <f>S19&amp;T19</f>
        <v/>
      </c>
      <c r="S19" s="6">
        <f>YEAR(U19)</f>
        <v/>
      </c>
      <c r="T19" s="6">
        <f>MONTH(U19)</f>
        <v/>
      </c>
      <c r="U19" s="267">
        <f>IFERROR(__xludf.DUMMYFUNCTION("""COMPUTED_VALUE"""),43117.6458333333)</f>
        <v/>
      </c>
      <c r="V19" s="6">
        <f>IFERROR(__xludf.DUMMYFUNCTION("""COMPUTED_VALUE"""),2515.43)</f>
        <v/>
      </c>
      <c r="Z19" s="6">
        <f>AA19&amp;AB19</f>
        <v/>
      </c>
      <c r="AA19" s="6">
        <f>YEAR(AC19)</f>
        <v/>
      </c>
      <c r="AB19" s="6">
        <f>MONTH(AC19)</f>
        <v/>
      </c>
      <c r="AC19" s="267">
        <f>IFERROR(__xludf.DUMMYFUNCTION("""COMPUTED_VALUE"""),43111.9986111111)</f>
        <v/>
      </c>
      <c r="AD19" s="6">
        <f>IFERROR(__xludf.DUMMYFUNCTION("""COMPUTED_VALUE"""),1065.14)</f>
        <v/>
      </c>
      <c r="AH19" s="6">
        <f>AI19&amp;AJ19</f>
        <v/>
      </c>
      <c r="AI19" s="6">
        <f>YEAR(AK19)</f>
        <v/>
      </c>
      <c r="AJ19" s="6">
        <f>MONTH(AK19)</f>
        <v/>
      </c>
      <c r="AK19" s="267">
        <f>IFERROR(__xludf.DUMMYFUNCTION("""COMPUTED_VALUE"""),43110.9986111111)</f>
        <v/>
      </c>
      <c r="AL19" s="6">
        <f>IFERROR(__xludf.DUMMYFUNCTION("""COMPUTED_VALUE"""),14493.9)</f>
        <v/>
      </c>
      <c r="AP19" s="6">
        <f>AQ19&amp;AR19</f>
        <v/>
      </c>
      <c r="AQ19" s="6">
        <f>YEAR(AS19)</f>
        <v/>
      </c>
      <c r="AR19" s="6">
        <f>MONTH(AS19)</f>
        <v/>
      </c>
      <c r="AS19" s="267">
        <f>IFERROR(__xludf.DUMMYFUNCTION("""COMPUTED_VALUE"""),43118.9986111111)</f>
        <v/>
      </c>
      <c r="AT19" s="6">
        <f>IFERROR(__xludf.DUMMYFUNCTION("""COMPUTED_VALUE"""),1327.2)</f>
        <v/>
      </c>
    </row>
    <row r="20">
      <c r="B20" s="6">
        <f>C20&amp;D20</f>
        <v/>
      </c>
      <c r="C20" s="6">
        <f>YEAR(E20)</f>
        <v/>
      </c>
      <c r="D20" s="6">
        <f>MONTH(E20)</f>
        <v/>
      </c>
      <c r="E20" s="267">
        <f>IFERROR(__xludf.DUMMYFUNCTION("""COMPUTED_VALUE"""),43119.6666666666)</f>
        <v/>
      </c>
      <c r="F20" s="6">
        <f>IFERROR(__xludf.DUMMYFUNCTION("""COMPUTED_VALUE"""),2810.3)</f>
        <v/>
      </c>
      <c r="J20" s="6">
        <f>K20&amp;L20</f>
        <v/>
      </c>
      <c r="K20" s="6">
        <f>YEAR(M20)</f>
        <v/>
      </c>
      <c r="L20" s="6">
        <f>MONTH(M20)</f>
        <v/>
      </c>
      <c r="M20" s="267">
        <f>IFERROR(__xludf.DUMMYFUNCTION("""COMPUTED_VALUE"""),43119.6666666666)</f>
        <v/>
      </c>
      <c r="N20" s="6">
        <f>IFERROR(__xludf.DUMMYFUNCTION("""COMPUTED_VALUE"""),7336.38)</f>
        <v/>
      </c>
      <c r="R20" s="6">
        <f>S20&amp;T20</f>
        <v/>
      </c>
      <c r="S20" s="6">
        <f>YEAR(U20)</f>
        <v/>
      </c>
      <c r="T20" s="6">
        <f>MONTH(U20)</f>
        <v/>
      </c>
      <c r="U20" s="267">
        <f>IFERROR(__xludf.DUMMYFUNCTION("""COMPUTED_VALUE"""),43118.6458333333)</f>
        <v/>
      </c>
      <c r="V20" s="6">
        <f>IFERROR(__xludf.DUMMYFUNCTION("""COMPUTED_VALUE"""),2515.81)</f>
        <v/>
      </c>
      <c r="Z20" s="6">
        <f>AA20&amp;AB20</f>
        <v/>
      </c>
      <c r="AA20" s="6">
        <f>YEAR(AC20)</f>
        <v/>
      </c>
      <c r="AB20" s="6">
        <f>MONTH(AC20)</f>
        <v/>
      </c>
      <c r="AC20" s="267">
        <f>IFERROR(__xludf.DUMMYFUNCTION("""COMPUTED_VALUE"""),43112.9986111111)</f>
        <v/>
      </c>
      <c r="AD20" s="6">
        <f>IFERROR(__xludf.DUMMYFUNCTION("""COMPUTED_VALUE"""),1058)</f>
        <v/>
      </c>
      <c r="AH20" s="6">
        <f>AI20&amp;AJ20</f>
        <v/>
      </c>
      <c r="AI20" s="6">
        <f>YEAR(AK20)</f>
        <v/>
      </c>
      <c r="AJ20" s="6">
        <f>MONTH(AK20)</f>
        <v/>
      </c>
      <c r="AK20" s="267">
        <f>IFERROR(__xludf.DUMMYFUNCTION("""COMPUTED_VALUE"""),43111.9986111111)</f>
        <v/>
      </c>
      <c r="AL20" s="6">
        <f>IFERROR(__xludf.DUMMYFUNCTION("""COMPUTED_VALUE"""),13472.77)</f>
        <v/>
      </c>
      <c r="AP20" s="6">
        <f>AQ20&amp;AR20</f>
        <v/>
      </c>
      <c r="AQ20" s="6">
        <f>YEAR(AS20)</f>
        <v/>
      </c>
      <c r="AR20" s="6">
        <f>MONTH(AS20)</f>
        <v/>
      </c>
      <c r="AS20" s="267">
        <f>IFERROR(__xludf.DUMMYFUNCTION("""COMPUTED_VALUE"""),43119.9986111111)</f>
        <v/>
      </c>
      <c r="AT20" s="6">
        <f>IFERROR(__xludf.DUMMYFUNCTION("""COMPUTED_VALUE"""),1331.1)</f>
        <v/>
      </c>
    </row>
    <row r="21">
      <c r="B21" s="6">
        <f>C21&amp;D21</f>
        <v/>
      </c>
      <c r="C21" s="6">
        <f>YEAR(E21)</f>
        <v/>
      </c>
      <c r="D21" s="6">
        <f>MONTH(E21)</f>
        <v/>
      </c>
      <c r="E21" s="267">
        <f>IFERROR(__xludf.DUMMYFUNCTION("""COMPUTED_VALUE"""),43122.6666666666)</f>
        <v/>
      </c>
      <c r="F21" s="6">
        <f>IFERROR(__xludf.DUMMYFUNCTION("""COMPUTED_VALUE"""),2832.97)</f>
        <v/>
      </c>
      <c r="J21" s="6">
        <f>K21&amp;L21</f>
        <v/>
      </c>
      <c r="K21" s="6">
        <f>YEAR(M21)</f>
        <v/>
      </c>
      <c r="L21" s="6">
        <f>MONTH(M21)</f>
        <v/>
      </c>
      <c r="M21" s="267">
        <f>IFERROR(__xludf.DUMMYFUNCTION("""COMPUTED_VALUE"""),43122.6666666666)</f>
        <v/>
      </c>
      <c r="N21" s="6">
        <f>IFERROR(__xludf.DUMMYFUNCTION("""COMPUTED_VALUE"""),7408.03)</f>
        <v/>
      </c>
      <c r="R21" s="6">
        <f>S21&amp;T21</f>
        <v/>
      </c>
      <c r="S21" s="6">
        <f>YEAR(U21)</f>
        <v/>
      </c>
      <c r="T21" s="6">
        <f>MONTH(U21)</f>
        <v/>
      </c>
      <c r="U21" s="267">
        <f>IFERROR(__xludf.DUMMYFUNCTION("""COMPUTED_VALUE"""),43119.6458333333)</f>
        <v/>
      </c>
      <c r="V21" s="6">
        <f>IFERROR(__xludf.DUMMYFUNCTION("""COMPUTED_VALUE"""),2520.26)</f>
        <v/>
      </c>
      <c r="Z21" s="6">
        <f>AA21&amp;AB21</f>
        <v/>
      </c>
      <c r="AA21" s="6">
        <f>YEAR(AC21)</f>
        <v/>
      </c>
      <c r="AB21" s="6">
        <f>MONTH(AC21)</f>
        <v/>
      </c>
      <c r="AC21" s="267">
        <f>IFERROR(__xludf.DUMMYFUNCTION("""COMPUTED_VALUE"""),43113.9986111111)</f>
        <v/>
      </c>
      <c r="AD21" s="6">
        <f>IFERROR(__xludf.DUMMYFUNCTION("""COMPUTED_VALUE"""),1057.6)</f>
        <v/>
      </c>
      <c r="AH21" s="6">
        <f>AI21&amp;AJ21</f>
        <v/>
      </c>
      <c r="AI21" s="6">
        <f>YEAR(AK21)</f>
        <v/>
      </c>
      <c r="AJ21" s="6">
        <f>MONTH(AK21)</f>
        <v/>
      </c>
      <c r="AK21" s="267">
        <f>IFERROR(__xludf.DUMMYFUNCTION("""COMPUTED_VALUE"""),43112.9986111111)</f>
        <v/>
      </c>
      <c r="AL21" s="6">
        <f>IFERROR(__xludf.DUMMYFUNCTION("""COMPUTED_VALUE"""),13723.09)</f>
        <v/>
      </c>
      <c r="AP21" s="6">
        <f>AQ21&amp;AR21</f>
        <v/>
      </c>
      <c r="AQ21" s="6">
        <f>YEAR(AS21)</f>
        <v/>
      </c>
      <c r="AR21" s="6">
        <f>MONTH(AS21)</f>
        <v/>
      </c>
      <c r="AS21" s="267">
        <f>IFERROR(__xludf.DUMMYFUNCTION("""COMPUTED_VALUE"""),43122.9986111111)</f>
        <v/>
      </c>
      <c r="AT21" s="6">
        <f>IFERROR(__xludf.DUMMYFUNCTION("""COMPUTED_VALUE"""),1331.9)</f>
        <v/>
      </c>
    </row>
    <row r="22">
      <c r="B22" s="6">
        <f>C22&amp;D22</f>
        <v/>
      </c>
      <c r="C22" s="6">
        <f>YEAR(E22)</f>
        <v/>
      </c>
      <c r="D22" s="6">
        <f>MONTH(E22)</f>
        <v/>
      </c>
      <c r="E22" s="267">
        <f>IFERROR(__xludf.DUMMYFUNCTION("""COMPUTED_VALUE"""),43123.6666666666)</f>
        <v/>
      </c>
      <c r="F22" s="6">
        <f>IFERROR(__xludf.DUMMYFUNCTION("""COMPUTED_VALUE"""),2839.13)</f>
        <v/>
      </c>
      <c r="J22" s="6">
        <f>K22&amp;L22</f>
        <v/>
      </c>
      <c r="K22" s="6">
        <f>YEAR(M22)</f>
        <v/>
      </c>
      <c r="L22" s="6">
        <f>MONTH(M22)</f>
        <v/>
      </c>
      <c r="M22" s="267">
        <f>IFERROR(__xludf.DUMMYFUNCTION("""COMPUTED_VALUE"""),43123.6666666666)</f>
        <v/>
      </c>
      <c r="N22" s="6">
        <f>IFERROR(__xludf.DUMMYFUNCTION("""COMPUTED_VALUE"""),7460.29)</f>
        <v/>
      </c>
      <c r="R22" s="6">
        <f>S22&amp;T22</f>
        <v/>
      </c>
      <c r="S22" s="6">
        <f>YEAR(U22)</f>
        <v/>
      </c>
      <c r="T22" s="6">
        <f>MONTH(U22)</f>
        <v/>
      </c>
      <c r="U22" s="267">
        <f>IFERROR(__xludf.DUMMYFUNCTION("""COMPUTED_VALUE"""),43122.6458333333)</f>
        <v/>
      </c>
      <c r="V22" s="6">
        <f>IFERROR(__xludf.DUMMYFUNCTION("""COMPUTED_VALUE"""),2502.11)</f>
        <v/>
      </c>
      <c r="Z22" s="6">
        <f>AA22&amp;AB22</f>
        <v/>
      </c>
      <c r="AA22" s="6">
        <f>YEAR(AC22)</f>
        <v/>
      </c>
      <c r="AB22" s="6">
        <f>MONTH(AC22)</f>
        <v/>
      </c>
      <c r="AC22" s="267">
        <f>IFERROR(__xludf.DUMMYFUNCTION("""COMPUTED_VALUE"""),43114.9986111111)</f>
        <v/>
      </c>
      <c r="AD22" s="6">
        <f>IFERROR(__xludf.DUMMYFUNCTION("""COMPUTED_VALUE"""),1055.8)</f>
        <v/>
      </c>
      <c r="AH22" s="6">
        <f>AI22&amp;AJ22</f>
        <v/>
      </c>
      <c r="AI22" s="6">
        <f>YEAR(AK22)</f>
        <v/>
      </c>
      <c r="AJ22" s="6">
        <f>MONTH(AK22)</f>
        <v/>
      </c>
      <c r="AK22" s="267">
        <f>IFERROR(__xludf.DUMMYFUNCTION("""COMPUTED_VALUE"""),43113.9986111111)</f>
        <v/>
      </c>
      <c r="AL22" s="6">
        <f>IFERROR(__xludf.DUMMYFUNCTION("""COMPUTED_VALUE"""),14264.42)</f>
        <v/>
      </c>
      <c r="AP22" s="6">
        <f>AQ22&amp;AR22</f>
        <v/>
      </c>
      <c r="AQ22" s="6">
        <f>YEAR(AS22)</f>
        <v/>
      </c>
      <c r="AR22" s="6">
        <f>MONTH(AS22)</f>
        <v/>
      </c>
      <c r="AS22" s="267">
        <f>IFERROR(__xludf.DUMMYFUNCTION("""COMPUTED_VALUE"""),43123.9986111111)</f>
        <v/>
      </c>
      <c r="AT22" s="6">
        <f>IFERROR(__xludf.DUMMYFUNCTION("""COMPUTED_VALUE"""),1336.7)</f>
        <v/>
      </c>
    </row>
    <row r="23">
      <c r="B23" s="6">
        <f>C23&amp;D23</f>
        <v/>
      </c>
      <c r="C23" s="6">
        <f>YEAR(E23)</f>
        <v/>
      </c>
      <c r="D23" s="6">
        <f>MONTH(E23)</f>
        <v/>
      </c>
      <c r="E23" s="267">
        <f>IFERROR(__xludf.DUMMYFUNCTION("""COMPUTED_VALUE"""),43124.6666666666)</f>
        <v/>
      </c>
      <c r="F23" s="6">
        <f>IFERROR(__xludf.DUMMYFUNCTION("""COMPUTED_VALUE"""),2837.54)</f>
        <v/>
      </c>
      <c r="J23" s="6">
        <f>K23&amp;L23</f>
        <v/>
      </c>
      <c r="K23" s="6">
        <f>YEAR(M23)</f>
        <v/>
      </c>
      <c r="L23" s="6">
        <f>MONTH(M23)</f>
        <v/>
      </c>
      <c r="M23" s="267">
        <f>IFERROR(__xludf.DUMMYFUNCTION("""COMPUTED_VALUE"""),43124.6666666666)</f>
        <v/>
      </c>
      <c r="N23" s="6">
        <f>IFERROR(__xludf.DUMMYFUNCTION("""COMPUTED_VALUE"""),7415.06)</f>
        <v/>
      </c>
      <c r="R23" s="6">
        <f>S23&amp;T23</f>
        <v/>
      </c>
      <c r="S23" s="6">
        <f>YEAR(U23)</f>
        <v/>
      </c>
      <c r="T23" s="6">
        <f>MONTH(U23)</f>
        <v/>
      </c>
      <c r="U23" s="267">
        <f>IFERROR(__xludf.DUMMYFUNCTION("""COMPUTED_VALUE"""),43123.6458333333)</f>
        <v/>
      </c>
      <c r="V23" s="6">
        <f>IFERROR(__xludf.DUMMYFUNCTION("""COMPUTED_VALUE"""),2536.6)</f>
        <v/>
      </c>
      <c r="Z23" s="6">
        <f>AA23&amp;AB23</f>
        <v/>
      </c>
      <c r="AA23" s="6">
        <f>YEAR(AC23)</f>
        <v/>
      </c>
      <c r="AB23" s="6">
        <f>MONTH(AC23)</f>
        <v/>
      </c>
      <c r="AC23" s="267">
        <f>IFERROR(__xludf.DUMMYFUNCTION("""COMPUTED_VALUE"""),43115.9986111111)</f>
        <v/>
      </c>
      <c r="AD23" s="6">
        <f>IFERROR(__xludf.DUMMYFUNCTION("""COMPUTED_VALUE"""),1061.82)</f>
        <v/>
      </c>
      <c r="AH23" s="6">
        <f>AI23&amp;AJ23</f>
        <v/>
      </c>
      <c r="AI23" s="6">
        <f>YEAR(AK23)</f>
        <v/>
      </c>
      <c r="AJ23" s="6">
        <f>MONTH(AK23)</f>
        <v/>
      </c>
      <c r="AK23" s="267">
        <f>IFERROR(__xludf.DUMMYFUNCTION("""COMPUTED_VALUE"""),43114.9986111111)</f>
        <v/>
      </c>
      <c r="AL23" s="6">
        <f>IFERROR(__xludf.DUMMYFUNCTION("""COMPUTED_VALUE"""),13719.8)</f>
        <v/>
      </c>
      <c r="AP23" s="6">
        <f>AQ23&amp;AR23</f>
        <v/>
      </c>
      <c r="AQ23" s="6">
        <f>YEAR(AS23)</f>
        <v/>
      </c>
      <c r="AR23" s="6">
        <f>MONTH(AS23)</f>
        <v/>
      </c>
      <c r="AS23" s="267">
        <f>IFERROR(__xludf.DUMMYFUNCTION("""COMPUTED_VALUE"""),43124.9986111111)</f>
        <v/>
      </c>
      <c r="AT23" s="6">
        <f>IFERROR(__xludf.DUMMYFUNCTION("""COMPUTED_VALUE"""),1361.4)</f>
        <v/>
      </c>
    </row>
    <row r="24">
      <c r="B24" s="6">
        <f>C24&amp;D24</f>
        <v/>
      </c>
      <c r="C24" s="6">
        <f>YEAR(E24)</f>
        <v/>
      </c>
      <c r="D24" s="6">
        <f>MONTH(E24)</f>
        <v/>
      </c>
      <c r="E24" s="267">
        <f>IFERROR(__xludf.DUMMYFUNCTION("""COMPUTED_VALUE"""),43125.6666666666)</f>
        <v/>
      </c>
      <c r="F24" s="6">
        <f>IFERROR(__xludf.DUMMYFUNCTION("""COMPUTED_VALUE"""),2839.25)</f>
        <v/>
      </c>
      <c r="J24" s="6">
        <f>K24&amp;L24</f>
        <v/>
      </c>
      <c r="K24" s="6">
        <f>YEAR(M24)</f>
        <v/>
      </c>
      <c r="L24" s="6">
        <f>MONTH(M24)</f>
        <v/>
      </c>
      <c r="M24" s="267">
        <f>IFERROR(__xludf.DUMMYFUNCTION("""COMPUTED_VALUE"""),43125.6666666666)</f>
        <v/>
      </c>
      <c r="N24" s="6">
        <f>IFERROR(__xludf.DUMMYFUNCTION("""COMPUTED_VALUE"""),7411.16)</f>
        <v/>
      </c>
      <c r="R24" s="6">
        <f>S24&amp;T24</f>
        <v/>
      </c>
      <c r="S24" s="6">
        <f>YEAR(U24)</f>
        <v/>
      </c>
      <c r="T24" s="6">
        <f>MONTH(U24)</f>
        <v/>
      </c>
      <c r="U24" s="267">
        <f>IFERROR(__xludf.DUMMYFUNCTION("""COMPUTED_VALUE"""),43124.6458333333)</f>
        <v/>
      </c>
      <c r="V24" s="6">
        <f>IFERROR(__xludf.DUMMYFUNCTION("""COMPUTED_VALUE"""),2538)</f>
        <v/>
      </c>
      <c r="Z24" s="6">
        <f>AA24&amp;AB24</f>
        <v/>
      </c>
      <c r="AA24" s="6">
        <f>YEAR(AC24)</f>
        <v/>
      </c>
      <c r="AB24" s="6">
        <f>MONTH(AC24)</f>
        <v/>
      </c>
      <c r="AC24" s="267">
        <f>IFERROR(__xludf.DUMMYFUNCTION("""COMPUTED_VALUE"""),43116.9986111111)</f>
        <v/>
      </c>
      <c r="AD24" s="6">
        <f>IFERROR(__xludf.DUMMYFUNCTION("""COMPUTED_VALUE"""),1062.46)</f>
        <v/>
      </c>
      <c r="AH24" s="6">
        <f>AI24&amp;AJ24</f>
        <v/>
      </c>
      <c r="AI24" s="6">
        <f>YEAR(AK24)</f>
        <v/>
      </c>
      <c r="AJ24" s="6">
        <f>MONTH(AK24)</f>
        <v/>
      </c>
      <c r="AK24" s="267">
        <f>IFERROR(__xludf.DUMMYFUNCTION("""COMPUTED_VALUE"""),43115.9986111111)</f>
        <v/>
      </c>
      <c r="AL24" s="6">
        <f>IFERROR(__xludf.DUMMYFUNCTION("""COMPUTED_VALUE"""),13907.34)</f>
        <v/>
      </c>
      <c r="AP24" s="6">
        <f>AQ24&amp;AR24</f>
        <v/>
      </c>
      <c r="AQ24" s="6">
        <f>YEAR(AS24)</f>
        <v/>
      </c>
      <c r="AR24" s="6">
        <f>MONTH(AS24)</f>
        <v/>
      </c>
      <c r="AS24" s="267">
        <f>IFERROR(__xludf.DUMMYFUNCTION("""COMPUTED_VALUE"""),43125.9986111111)</f>
        <v/>
      </c>
      <c r="AT24" s="6">
        <f>IFERROR(__xludf.DUMMYFUNCTION("""COMPUTED_VALUE"""),1368)</f>
        <v/>
      </c>
    </row>
    <row r="25">
      <c r="B25" s="6">
        <f>C25&amp;D25</f>
        <v/>
      </c>
      <c r="C25" s="6">
        <f>YEAR(E25)</f>
        <v/>
      </c>
      <c r="D25" s="6">
        <f>MONTH(E25)</f>
        <v/>
      </c>
      <c r="E25" s="267">
        <f>IFERROR(__xludf.DUMMYFUNCTION("""COMPUTED_VALUE"""),43126.6666666666)</f>
        <v/>
      </c>
      <c r="F25" s="6">
        <f>IFERROR(__xludf.DUMMYFUNCTION("""COMPUTED_VALUE"""),2872.87)</f>
        <v/>
      </c>
      <c r="J25" s="6">
        <f>K25&amp;L25</f>
        <v/>
      </c>
      <c r="K25" s="6">
        <f>YEAR(M25)</f>
        <v/>
      </c>
      <c r="L25" s="6">
        <f>MONTH(M25)</f>
        <v/>
      </c>
      <c r="M25" s="267">
        <f>IFERROR(__xludf.DUMMYFUNCTION("""COMPUTED_VALUE"""),43126.6666666666)</f>
        <v/>
      </c>
      <c r="N25" s="6">
        <f>IFERROR(__xludf.DUMMYFUNCTION("""COMPUTED_VALUE"""),7505.77)</f>
        <v/>
      </c>
      <c r="R25" s="6">
        <f>S25&amp;T25</f>
        <v/>
      </c>
      <c r="S25" s="6">
        <f>YEAR(U25)</f>
        <v/>
      </c>
      <c r="T25" s="6">
        <f>MONTH(U25)</f>
        <v/>
      </c>
      <c r="U25" s="267">
        <f>IFERROR(__xludf.DUMMYFUNCTION("""COMPUTED_VALUE"""),43125.6458333333)</f>
        <v/>
      </c>
      <c r="V25" s="6">
        <f>IFERROR(__xludf.DUMMYFUNCTION("""COMPUTED_VALUE"""),2562.23)</f>
        <v/>
      </c>
      <c r="Z25" s="6">
        <f>AA25&amp;AB25</f>
        <v/>
      </c>
      <c r="AA25" s="6">
        <f>YEAR(AC25)</f>
        <v/>
      </c>
      <c r="AB25" s="6">
        <f>MONTH(AC25)</f>
        <v/>
      </c>
      <c r="AC25" s="267">
        <f>IFERROR(__xludf.DUMMYFUNCTION("""COMPUTED_VALUE"""),43117.9986111111)</f>
        <v/>
      </c>
      <c r="AD25" s="6">
        <f>IFERROR(__xludf.DUMMYFUNCTION("""COMPUTED_VALUE"""),1066.56)</f>
        <v/>
      </c>
      <c r="AH25" s="6">
        <f>AI25&amp;AJ25</f>
        <v/>
      </c>
      <c r="AI25" s="6">
        <f>YEAR(AK25)</f>
        <v/>
      </c>
      <c r="AJ25" s="6">
        <f>MONTH(AK25)</f>
        <v/>
      </c>
      <c r="AK25" s="267">
        <f>IFERROR(__xludf.DUMMYFUNCTION("""COMPUTED_VALUE"""),43116.9986111111)</f>
        <v/>
      </c>
      <c r="AL25" s="6">
        <f>IFERROR(__xludf.DUMMYFUNCTION("""COMPUTED_VALUE"""),10635.83)</f>
        <v/>
      </c>
      <c r="AP25" s="6">
        <f>AQ25&amp;AR25</f>
        <v/>
      </c>
      <c r="AQ25" s="6">
        <f>YEAR(AS25)</f>
        <v/>
      </c>
      <c r="AR25" s="6">
        <f>MONTH(AS25)</f>
        <v/>
      </c>
      <c r="AS25" s="267">
        <f>IFERROR(__xludf.DUMMYFUNCTION("""COMPUTED_VALUE"""),43126.9986111111)</f>
        <v/>
      </c>
      <c r="AT25" s="6">
        <f>IFERROR(__xludf.DUMMYFUNCTION("""COMPUTED_VALUE"""),1357.2)</f>
        <v/>
      </c>
    </row>
    <row r="26">
      <c r="B26" s="6">
        <f>C26&amp;D26</f>
        <v/>
      </c>
      <c r="C26" s="6">
        <f>YEAR(E26)</f>
        <v/>
      </c>
      <c r="D26" s="6">
        <f>MONTH(E26)</f>
        <v/>
      </c>
      <c r="E26" s="267">
        <f>IFERROR(__xludf.DUMMYFUNCTION("""COMPUTED_VALUE"""),43129.6666666666)</f>
        <v/>
      </c>
      <c r="F26" s="6">
        <f>IFERROR(__xludf.DUMMYFUNCTION("""COMPUTED_VALUE"""),2853.53)</f>
        <v/>
      </c>
      <c r="J26" s="6">
        <f>K26&amp;L26</f>
        <v/>
      </c>
      <c r="K26" s="6">
        <f>YEAR(M26)</f>
        <v/>
      </c>
      <c r="L26" s="6">
        <f>MONTH(M26)</f>
        <v/>
      </c>
      <c r="M26" s="267">
        <f>IFERROR(__xludf.DUMMYFUNCTION("""COMPUTED_VALUE"""),43129.6666666666)</f>
        <v/>
      </c>
      <c r="N26" s="6">
        <f>IFERROR(__xludf.DUMMYFUNCTION("""COMPUTED_VALUE"""),7466.51)</f>
        <v/>
      </c>
      <c r="R26" s="6">
        <f>S26&amp;T26</f>
        <v/>
      </c>
      <c r="S26" s="6">
        <f>YEAR(U26)</f>
        <v/>
      </c>
      <c r="T26" s="6">
        <f>MONTH(U26)</f>
        <v/>
      </c>
      <c r="U26" s="267">
        <f>IFERROR(__xludf.DUMMYFUNCTION("""COMPUTED_VALUE"""),43126.6458333333)</f>
        <v/>
      </c>
      <c r="V26" s="6">
        <f>IFERROR(__xludf.DUMMYFUNCTION("""COMPUTED_VALUE"""),2574.76)</f>
        <v/>
      </c>
      <c r="Z26" s="6">
        <f>AA26&amp;AB26</f>
        <v/>
      </c>
      <c r="AA26" s="6">
        <f>YEAR(AC26)</f>
        <v/>
      </c>
      <c r="AB26" s="6">
        <f>MONTH(AC26)</f>
        <v/>
      </c>
      <c r="AC26" s="267">
        <f>IFERROR(__xludf.DUMMYFUNCTION("""COMPUTED_VALUE"""),43118.9986111111)</f>
        <v/>
      </c>
      <c r="AD26" s="6">
        <f>IFERROR(__xludf.DUMMYFUNCTION("""COMPUTED_VALUE"""),1069.69)</f>
        <v/>
      </c>
      <c r="AH26" s="6">
        <f>AI26&amp;AJ26</f>
        <v/>
      </c>
      <c r="AI26" s="6">
        <f>YEAR(AK26)</f>
        <v/>
      </c>
      <c r="AJ26" s="6">
        <f>MONTH(AK26)</f>
        <v/>
      </c>
      <c r="AK26" s="267">
        <f>IFERROR(__xludf.DUMMYFUNCTION("""COMPUTED_VALUE"""),43117.9986111111)</f>
        <v/>
      </c>
      <c r="AL26" s="6">
        <f>IFERROR(__xludf.DUMMYFUNCTION("""COMPUTED_VALUE"""),11361.94)</f>
        <v/>
      </c>
      <c r="AP26" s="6">
        <f>AQ26&amp;AR26</f>
        <v/>
      </c>
      <c r="AQ26" s="6">
        <f>YEAR(AS26)</f>
        <v/>
      </c>
      <c r="AR26" s="6">
        <f>MONTH(AS26)</f>
        <v/>
      </c>
      <c r="AS26" s="267">
        <f>IFERROR(__xludf.DUMMYFUNCTION("""COMPUTED_VALUE"""),43129.9986111111)</f>
        <v/>
      </c>
      <c r="AT26" s="6">
        <f>IFERROR(__xludf.DUMMYFUNCTION("""COMPUTED_VALUE"""),1345.1)</f>
        <v/>
      </c>
    </row>
    <row r="27">
      <c r="B27" s="6">
        <f>C27&amp;D27</f>
        <v/>
      </c>
      <c r="C27" s="6">
        <f>YEAR(E27)</f>
        <v/>
      </c>
      <c r="D27" s="6">
        <f>MONTH(E27)</f>
        <v/>
      </c>
      <c r="E27" s="267">
        <f>IFERROR(__xludf.DUMMYFUNCTION("""COMPUTED_VALUE"""),43130.6666666666)</f>
        <v/>
      </c>
      <c r="F27" s="6">
        <f>IFERROR(__xludf.DUMMYFUNCTION("""COMPUTED_VALUE"""),2822.43)</f>
        <v/>
      </c>
      <c r="J27" s="6">
        <f>K27&amp;L27</f>
        <v/>
      </c>
      <c r="K27" s="6">
        <f>YEAR(M27)</f>
        <v/>
      </c>
      <c r="L27" s="6">
        <f>MONTH(M27)</f>
        <v/>
      </c>
      <c r="M27" s="267">
        <f>IFERROR(__xludf.DUMMYFUNCTION("""COMPUTED_VALUE"""),43130.6666666666)</f>
        <v/>
      </c>
      <c r="N27" s="6">
        <f>IFERROR(__xludf.DUMMYFUNCTION("""COMPUTED_VALUE"""),7402.48)</f>
        <v/>
      </c>
      <c r="R27" s="6">
        <f>S27&amp;T27</f>
        <v/>
      </c>
      <c r="S27" s="6">
        <f>YEAR(U27)</f>
        <v/>
      </c>
      <c r="T27" s="6">
        <f>MONTH(U27)</f>
        <v/>
      </c>
      <c r="U27" s="267">
        <f>IFERROR(__xludf.DUMMYFUNCTION("""COMPUTED_VALUE"""),43129.6458333333)</f>
        <v/>
      </c>
      <c r="V27" s="6">
        <f>IFERROR(__xludf.DUMMYFUNCTION("""COMPUTED_VALUE"""),2598.19)</f>
        <v/>
      </c>
      <c r="Z27" s="6">
        <f>AA27&amp;AB27</f>
        <v/>
      </c>
      <c r="AA27" s="6">
        <f>YEAR(AC27)</f>
        <v/>
      </c>
      <c r="AB27" s="6">
        <f>MONTH(AC27)</f>
        <v/>
      </c>
      <c r="AC27" s="267">
        <f>IFERROR(__xludf.DUMMYFUNCTION("""COMPUTED_VALUE"""),43119.9986111111)</f>
        <v/>
      </c>
      <c r="AD27" s="6">
        <f>IFERROR(__xludf.DUMMYFUNCTION("""COMPUTED_VALUE"""),1065.67)</f>
        <v/>
      </c>
      <c r="AH27" s="6">
        <f>AI27&amp;AJ27</f>
        <v/>
      </c>
      <c r="AI27" s="6">
        <f>YEAR(AK27)</f>
        <v/>
      </c>
      <c r="AJ27" s="6">
        <f>MONTH(AK27)</f>
        <v/>
      </c>
      <c r="AK27" s="267">
        <f>IFERROR(__xludf.DUMMYFUNCTION("""COMPUTED_VALUE"""),43118.9986111111)</f>
        <v/>
      </c>
      <c r="AL27" s="6">
        <f>IFERROR(__xludf.DUMMYFUNCTION("""COMPUTED_VALUE"""),11503.82)</f>
        <v/>
      </c>
      <c r="AP27" s="6">
        <f>AQ27&amp;AR27</f>
        <v/>
      </c>
      <c r="AQ27" s="6">
        <f>YEAR(AS27)</f>
        <v/>
      </c>
      <c r="AR27" s="6">
        <f>MONTH(AS27)</f>
        <v/>
      </c>
      <c r="AS27" s="267">
        <f>IFERROR(__xludf.DUMMYFUNCTION("""COMPUTED_VALUE"""),43130.9986111111)</f>
        <v/>
      </c>
      <c r="AT27" s="6">
        <f>IFERROR(__xludf.DUMMYFUNCTION("""COMPUTED_VALUE"""),1340)</f>
        <v/>
      </c>
    </row>
    <row r="28">
      <c r="B28" s="6">
        <f>C28&amp;D28</f>
        <v/>
      </c>
      <c r="C28" s="6">
        <f>YEAR(E28)</f>
        <v/>
      </c>
      <c r="D28" s="6">
        <f>MONTH(E28)</f>
        <v/>
      </c>
      <c r="E28" s="267">
        <f>IFERROR(__xludf.DUMMYFUNCTION("""COMPUTED_VALUE"""),43131.6666666666)</f>
        <v/>
      </c>
      <c r="F28" s="6">
        <f>IFERROR(__xludf.DUMMYFUNCTION("""COMPUTED_VALUE"""),2823.81)</f>
        <v/>
      </c>
      <c r="J28" s="6">
        <f>K28&amp;L28</f>
        <v/>
      </c>
      <c r="K28" s="6">
        <f>YEAR(M28)</f>
        <v/>
      </c>
      <c r="L28" s="6">
        <f>MONTH(M28)</f>
        <v/>
      </c>
      <c r="M28" s="267">
        <f>IFERROR(__xludf.DUMMYFUNCTION("""COMPUTED_VALUE"""),43131.6666666666)</f>
        <v/>
      </c>
      <c r="N28" s="6">
        <f>IFERROR(__xludf.DUMMYFUNCTION("""COMPUTED_VALUE"""),7411.48)</f>
        <v/>
      </c>
      <c r="R28" s="6">
        <f>S28&amp;T28</f>
        <v/>
      </c>
      <c r="S28" s="6">
        <f>YEAR(U28)</f>
        <v/>
      </c>
      <c r="T28" s="6">
        <f>MONTH(U28)</f>
        <v/>
      </c>
      <c r="U28" s="267">
        <f>IFERROR(__xludf.DUMMYFUNCTION("""COMPUTED_VALUE"""),43130.6458333333)</f>
        <v/>
      </c>
      <c r="V28" s="6">
        <f>IFERROR(__xludf.DUMMYFUNCTION("""COMPUTED_VALUE"""),2567.74)</f>
        <v/>
      </c>
      <c r="Z28" s="6">
        <f>AA28&amp;AB28</f>
        <v/>
      </c>
      <c r="AA28" s="6">
        <f>YEAR(AC28)</f>
        <v/>
      </c>
      <c r="AB28" s="6">
        <f>MONTH(AC28)</f>
        <v/>
      </c>
      <c r="AC28" s="267">
        <f>IFERROR(__xludf.DUMMYFUNCTION("""COMPUTED_VALUE"""),43120.9986111111)</f>
        <v/>
      </c>
      <c r="AD28" s="6">
        <f>IFERROR(__xludf.DUMMYFUNCTION("""COMPUTED_VALUE"""),1065.67)</f>
        <v/>
      </c>
      <c r="AH28" s="6">
        <f>AI28&amp;AJ28</f>
        <v/>
      </c>
      <c r="AI28" s="6">
        <f>YEAR(AK28)</f>
        <v/>
      </c>
      <c r="AJ28" s="6">
        <f>MONTH(AK28)</f>
        <v/>
      </c>
      <c r="AK28" s="267">
        <f>IFERROR(__xludf.DUMMYFUNCTION("""COMPUTED_VALUE"""),43119.9986111111)</f>
        <v/>
      </c>
      <c r="AL28" s="6">
        <f>IFERROR(__xludf.DUMMYFUNCTION("""COMPUTED_VALUE"""),11326.22)</f>
        <v/>
      </c>
      <c r="AP28" s="6">
        <f>AQ28&amp;AR28</f>
        <v/>
      </c>
      <c r="AQ28" s="6">
        <f>YEAR(AS28)</f>
        <v/>
      </c>
      <c r="AR28" s="6">
        <f>MONTH(AS28)</f>
        <v/>
      </c>
      <c r="AS28" s="267">
        <f>IFERROR(__xludf.DUMMYFUNCTION("""COMPUTED_VALUE"""),43131.9986111111)</f>
        <v/>
      </c>
      <c r="AT28" s="6">
        <f>IFERROR(__xludf.DUMMYFUNCTION("""COMPUTED_VALUE"""),1343.1)</f>
        <v/>
      </c>
    </row>
    <row r="29">
      <c r="B29" s="6">
        <f>C29&amp;D29</f>
        <v/>
      </c>
      <c r="C29" s="6">
        <f>YEAR(E29)</f>
        <v/>
      </c>
      <c r="D29" s="6">
        <f>MONTH(E29)</f>
        <v/>
      </c>
      <c r="E29" s="267">
        <f>IFERROR(__xludf.DUMMYFUNCTION("""COMPUTED_VALUE"""),43132.6666666666)</f>
        <v/>
      </c>
      <c r="F29" s="6">
        <f>IFERROR(__xludf.DUMMYFUNCTION("""COMPUTED_VALUE"""),2821.98)</f>
        <v/>
      </c>
      <c r="J29" s="6">
        <f>K29&amp;L29</f>
        <v/>
      </c>
      <c r="K29" s="6">
        <f>YEAR(M29)</f>
        <v/>
      </c>
      <c r="L29" s="6">
        <f>MONTH(M29)</f>
        <v/>
      </c>
      <c r="M29" s="267">
        <f>IFERROR(__xludf.DUMMYFUNCTION("""COMPUTED_VALUE"""),43132.6666666666)</f>
        <v/>
      </c>
      <c r="N29" s="6">
        <f>IFERROR(__xludf.DUMMYFUNCTION("""COMPUTED_VALUE"""),7385.86)</f>
        <v/>
      </c>
      <c r="R29" s="6">
        <f>S29&amp;T29</f>
        <v/>
      </c>
      <c r="S29" s="6">
        <f>YEAR(U29)</f>
        <v/>
      </c>
      <c r="T29" s="6">
        <f>MONTH(U29)</f>
        <v/>
      </c>
      <c r="U29" s="267">
        <f>IFERROR(__xludf.DUMMYFUNCTION("""COMPUTED_VALUE"""),43131.6458333333)</f>
        <v/>
      </c>
      <c r="V29" s="6">
        <f>IFERROR(__xludf.DUMMYFUNCTION("""COMPUTED_VALUE"""),2566.46)</f>
        <v/>
      </c>
      <c r="Z29" s="6">
        <f>AA29&amp;AB29</f>
        <v/>
      </c>
      <c r="AA29" s="6">
        <f>YEAR(AC29)</f>
        <v/>
      </c>
      <c r="AB29" s="6">
        <f>MONTH(AC29)</f>
        <v/>
      </c>
      <c r="AC29" s="267">
        <f>IFERROR(__xludf.DUMMYFUNCTION("""COMPUTED_VALUE"""),43121.9986111111)</f>
        <v/>
      </c>
      <c r="AD29" s="6">
        <f>IFERROR(__xludf.DUMMYFUNCTION("""COMPUTED_VALUE"""),1066.36)</f>
        <v/>
      </c>
      <c r="AH29" s="6">
        <f>AI29&amp;AJ29</f>
        <v/>
      </c>
      <c r="AI29" s="6">
        <f>YEAR(AK29)</f>
        <v/>
      </c>
      <c r="AJ29" s="6">
        <f>MONTH(AK29)</f>
        <v/>
      </c>
      <c r="AK29" s="267">
        <f>IFERROR(__xludf.DUMMYFUNCTION("""COMPUTED_VALUE"""),43120.9986111111)</f>
        <v/>
      </c>
      <c r="AL29" s="6">
        <f>IFERROR(__xludf.DUMMYFUNCTION("""COMPUTED_VALUE"""),12359.81)</f>
        <v/>
      </c>
      <c r="AP29" s="6">
        <f>AQ29&amp;AR29</f>
        <v/>
      </c>
      <c r="AQ29" s="6">
        <f>YEAR(AS29)</f>
        <v/>
      </c>
      <c r="AR29" s="6">
        <f>MONTH(AS29)</f>
        <v/>
      </c>
      <c r="AS29" s="267">
        <f>IFERROR(__xludf.DUMMYFUNCTION("""COMPUTED_VALUE"""),43132.9986111111)</f>
        <v/>
      </c>
      <c r="AT29" s="6">
        <f>IFERROR(__xludf.DUMMYFUNCTION("""COMPUTED_VALUE"""),1347.9)</f>
        <v/>
      </c>
    </row>
    <row r="30">
      <c r="B30" s="6">
        <f>C30&amp;D30</f>
        <v/>
      </c>
      <c r="C30" s="6">
        <f>YEAR(E30)</f>
        <v/>
      </c>
      <c r="D30" s="6">
        <f>MONTH(E30)</f>
        <v/>
      </c>
      <c r="E30" s="267">
        <f>IFERROR(__xludf.DUMMYFUNCTION("""COMPUTED_VALUE"""),43133.6666666666)</f>
        <v/>
      </c>
      <c r="F30" s="6">
        <f>IFERROR(__xludf.DUMMYFUNCTION("""COMPUTED_VALUE"""),2762.13)</f>
        <v/>
      </c>
      <c r="J30" s="6">
        <f>K30&amp;L30</f>
        <v/>
      </c>
      <c r="K30" s="6">
        <f>YEAR(M30)</f>
        <v/>
      </c>
      <c r="L30" s="6">
        <f>MONTH(M30)</f>
        <v/>
      </c>
      <c r="M30" s="267">
        <f>IFERROR(__xludf.DUMMYFUNCTION("""COMPUTED_VALUE"""),43133.6666666666)</f>
        <v/>
      </c>
      <c r="N30" s="6">
        <f>IFERROR(__xludf.DUMMYFUNCTION("""COMPUTED_VALUE"""),7240.95)</f>
        <v/>
      </c>
      <c r="R30" s="6">
        <f>S30&amp;T30</f>
        <v/>
      </c>
      <c r="S30" s="6">
        <f>YEAR(U30)</f>
        <v/>
      </c>
      <c r="T30" s="6">
        <f>MONTH(U30)</f>
        <v/>
      </c>
      <c r="U30" s="267">
        <f>IFERROR(__xludf.DUMMYFUNCTION("""COMPUTED_VALUE"""),43132.6458333333)</f>
        <v/>
      </c>
      <c r="V30" s="6">
        <f>IFERROR(__xludf.DUMMYFUNCTION("""COMPUTED_VALUE"""),2568.54)</f>
        <v/>
      </c>
      <c r="Z30" s="6">
        <f>AA30&amp;AB30</f>
        <v/>
      </c>
      <c r="AA30" s="6">
        <f>YEAR(AC30)</f>
        <v/>
      </c>
      <c r="AB30" s="6">
        <f>MONTH(AC30)</f>
        <v/>
      </c>
      <c r="AC30" s="267">
        <f>IFERROR(__xludf.DUMMYFUNCTION("""COMPUTED_VALUE"""),43122.9986111111)</f>
        <v/>
      </c>
      <c r="AD30" s="6">
        <f>IFERROR(__xludf.DUMMYFUNCTION("""COMPUTED_VALUE"""),1068.81)</f>
        <v/>
      </c>
      <c r="AH30" s="6">
        <f>AI30&amp;AJ30</f>
        <v/>
      </c>
      <c r="AI30" s="6">
        <f>YEAR(AK30)</f>
        <v/>
      </c>
      <c r="AJ30" s="6">
        <f>MONTH(AK30)</f>
        <v/>
      </c>
      <c r="AK30" s="267">
        <f>IFERROR(__xludf.DUMMYFUNCTION("""COMPUTED_VALUE"""),43121.9986111111)</f>
        <v/>
      </c>
      <c r="AL30" s="6">
        <f>IFERROR(__xludf.DUMMYFUNCTION("""COMPUTED_VALUE"""),11701.95)</f>
        <v/>
      </c>
      <c r="AP30" s="6">
        <f>AQ30&amp;AR30</f>
        <v/>
      </c>
      <c r="AQ30" s="6">
        <f>YEAR(AS30)</f>
        <v/>
      </c>
      <c r="AR30" s="6">
        <f>MONTH(AS30)</f>
        <v/>
      </c>
      <c r="AS30" s="267">
        <f>IFERROR(__xludf.DUMMYFUNCTION("""COMPUTED_VALUE"""),43133.9986111111)</f>
        <v/>
      </c>
      <c r="AT30" s="6">
        <f>IFERROR(__xludf.DUMMYFUNCTION("""COMPUTED_VALUE"""),1337.3)</f>
        <v/>
      </c>
    </row>
    <row r="31">
      <c r="B31" s="6">
        <f>C31&amp;D31</f>
        <v/>
      </c>
      <c r="C31" s="6">
        <f>YEAR(E31)</f>
        <v/>
      </c>
      <c r="D31" s="6">
        <f>MONTH(E31)</f>
        <v/>
      </c>
      <c r="E31" s="267">
        <f>IFERROR(__xludf.DUMMYFUNCTION("""COMPUTED_VALUE"""),43136.6666666666)</f>
        <v/>
      </c>
      <c r="F31" s="6">
        <f>IFERROR(__xludf.DUMMYFUNCTION("""COMPUTED_VALUE"""),2648.94)</f>
        <v/>
      </c>
      <c r="J31" s="6">
        <f>K31&amp;L31</f>
        <v/>
      </c>
      <c r="K31" s="6">
        <f>YEAR(M31)</f>
        <v/>
      </c>
      <c r="L31" s="6">
        <f>MONTH(M31)</f>
        <v/>
      </c>
      <c r="M31" s="267">
        <f>IFERROR(__xludf.DUMMYFUNCTION("""COMPUTED_VALUE"""),43136.6666666666)</f>
        <v/>
      </c>
      <c r="N31" s="6">
        <f>IFERROR(__xludf.DUMMYFUNCTION("""COMPUTED_VALUE"""),6967.53)</f>
        <v/>
      </c>
      <c r="R31" s="6">
        <f>S31&amp;T31</f>
        <v/>
      </c>
      <c r="S31" s="6">
        <f>YEAR(U31)</f>
        <v/>
      </c>
      <c r="T31" s="6">
        <f>MONTH(U31)</f>
        <v/>
      </c>
      <c r="U31" s="267">
        <f>IFERROR(__xludf.DUMMYFUNCTION("""COMPUTED_VALUE"""),43133.6458333333)</f>
        <v/>
      </c>
      <c r="V31" s="6">
        <f>IFERROR(__xludf.DUMMYFUNCTION("""COMPUTED_VALUE"""),2525.39)</f>
        <v/>
      </c>
      <c r="Z31" s="6">
        <f>AA31&amp;AB31</f>
        <v/>
      </c>
      <c r="AA31" s="6">
        <f>YEAR(AC31)</f>
        <v/>
      </c>
      <c r="AB31" s="6">
        <f>MONTH(AC31)</f>
        <v/>
      </c>
      <c r="AC31" s="267">
        <f>IFERROR(__xludf.DUMMYFUNCTION("""COMPUTED_VALUE"""),43123.9986111111)</f>
        <v/>
      </c>
      <c r="AD31" s="6">
        <f>IFERROR(__xludf.DUMMYFUNCTION("""COMPUTED_VALUE"""),1072.76)</f>
        <v/>
      </c>
      <c r="AH31" s="6">
        <f>AI31&amp;AJ31</f>
        <v/>
      </c>
      <c r="AI31" s="6">
        <f>YEAR(AK31)</f>
        <v/>
      </c>
      <c r="AJ31" s="6">
        <f>MONTH(AK31)</f>
        <v/>
      </c>
      <c r="AK31" s="267">
        <f>IFERROR(__xludf.DUMMYFUNCTION("""COMPUTED_VALUE"""),43122.9986111111)</f>
        <v/>
      </c>
      <c r="AL31" s="6">
        <f>IFERROR(__xludf.DUMMYFUNCTION("""COMPUTED_VALUE"""),10337.14)</f>
        <v/>
      </c>
      <c r="AP31" s="6">
        <f>AQ31&amp;AR31</f>
        <v/>
      </c>
      <c r="AQ31" s="6">
        <f>YEAR(AS31)</f>
        <v/>
      </c>
      <c r="AR31" s="6">
        <f>MONTH(AS31)</f>
        <v/>
      </c>
      <c r="AS31" s="267">
        <f>IFERROR(__xludf.DUMMYFUNCTION("""COMPUTED_VALUE"""),43136.9986111111)</f>
        <v/>
      </c>
      <c r="AT31" s="6">
        <f>IFERROR(__xludf.DUMMYFUNCTION("""COMPUTED_VALUE"""),1336.5)</f>
        <v/>
      </c>
    </row>
    <row r="32">
      <c r="B32" s="6">
        <f>C32&amp;D32</f>
        <v/>
      </c>
      <c r="C32" s="6">
        <f>YEAR(E32)</f>
        <v/>
      </c>
      <c r="D32" s="6">
        <f>MONTH(E32)</f>
        <v/>
      </c>
      <c r="E32" s="267">
        <f>IFERROR(__xludf.DUMMYFUNCTION("""COMPUTED_VALUE"""),43137.6666666666)</f>
        <v/>
      </c>
      <c r="F32" s="6">
        <f>IFERROR(__xludf.DUMMYFUNCTION("""COMPUTED_VALUE"""),2695.14)</f>
        <v/>
      </c>
      <c r="J32" s="6">
        <f>K32&amp;L32</f>
        <v/>
      </c>
      <c r="K32" s="6">
        <f>YEAR(M32)</f>
        <v/>
      </c>
      <c r="L32" s="6">
        <f>MONTH(M32)</f>
        <v/>
      </c>
      <c r="M32" s="267">
        <f>IFERROR(__xludf.DUMMYFUNCTION("""COMPUTED_VALUE"""),43137.6666666666)</f>
        <v/>
      </c>
      <c r="N32" s="6">
        <f>IFERROR(__xludf.DUMMYFUNCTION("""COMPUTED_VALUE"""),7115.88)</f>
        <v/>
      </c>
      <c r="R32" s="6">
        <f>S32&amp;T32</f>
        <v/>
      </c>
      <c r="S32" s="6">
        <f>YEAR(U32)</f>
        <v/>
      </c>
      <c r="T32" s="6">
        <f>MONTH(U32)</f>
        <v/>
      </c>
      <c r="U32" s="267">
        <f>IFERROR(__xludf.DUMMYFUNCTION("""COMPUTED_VALUE"""),43136.6458333333)</f>
        <v/>
      </c>
      <c r="V32" s="6">
        <f>IFERROR(__xludf.DUMMYFUNCTION("""COMPUTED_VALUE"""),2491.75)</f>
        <v/>
      </c>
      <c r="Z32" s="6">
        <f>AA32&amp;AB32</f>
        <v/>
      </c>
      <c r="AA32" s="6">
        <f>YEAR(AC32)</f>
        <v/>
      </c>
      <c r="AB32" s="6">
        <f>MONTH(AC32)</f>
        <v/>
      </c>
      <c r="AC32" s="267">
        <f>IFERROR(__xludf.DUMMYFUNCTION("""COMPUTED_VALUE"""),43124.9986111111)</f>
        <v/>
      </c>
      <c r="AD32" s="6">
        <f>IFERROR(__xludf.DUMMYFUNCTION("""COMPUTED_VALUE"""),1064.4)</f>
        <v/>
      </c>
      <c r="AH32" s="6">
        <f>AI32&amp;AJ32</f>
        <v/>
      </c>
      <c r="AI32" s="6">
        <f>YEAR(AK32)</f>
        <v/>
      </c>
      <c r="AJ32" s="6">
        <f>MONTH(AK32)</f>
        <v/>
      </c>
      <c r="AK32" s="267">
        <f>IFERROR(__xludf.DUMMYFUNCTION("""COMPUTED_VALUE"""),43123.9986111111)</f>
        <v/>
      </c>
      <c r="AL32" s="6">
        <f>IFERROR(__xludf.DUMMYFUNCTION("""COMPUTED_VALUE"""),10996.54)</f>
        <v/>
      </c>
      <c r="AP32" s="6">
        <f>AQ32&amp;AR32</f>
        <v/>
      </c>
      <c r="AQ32" s="6">
        <f>YEAR(AS32)</f>
        <v/>
      </c>
      <c r="AR32" s="6">
        <f>MONTH(AS32)</f>
        <v/>
      </c>
      <c r="AS32" s="267">
        <f>IFERROR(__xludf.DUMMYFUNCTION("""COMPUTED_VALUE"""),43137.9986111111)</f>
        <v/>
      </c>
      <c r="AT32" s="6">
        <f>IFERROR(__xludf.DUMMYFUNCTION("""COMPUTED_VALUE"""),1329.5)</f>
        <v/>
      </c>
    </row>
    <row r="33">
      <c r="B33" s="6">
        <f>C33&amp;D33</f>
        <v/>
      </c>
      <c r="C33" s="6">
        <f>YEAR(E33)</f>
        <v/>
      </c>
      <c r="D33" s="6">
        <f>MONTH(E33)</f>
        <v/>
      </c>
      <c r="E33" s="267">
        <f>IFERROR(__xludf.DUMMYFUNCTION("""COMPUTED_VALUE"""),43138.6666666666)</f>
        <v/>
      </c>
      <c r="F33" s="6">
        <f>IFERROR(__xludf.DUMMYFUNCTION("""COMPUTED_VALUE"""),2681.66)</f>
        <v/>
      </c>
      <c r="J33" s="6">
        <f>K33&amp;L33</f>
        <v/>
      </c>
      <c r="K33" s="6">
        <f>YEAR(M33)</f>
        <v/>
      </c>
      <c r="L33" s="6">
        <f>MONTH(M33)</f>
        <v/>
      </c>
      <c r="M33" s="267">
        <f>IFERROR(__xludf.DUMMYFUNCTION("""COMPUTED_VALUE"""),43138.6666666666)</f>
        <v/>
      </c>
      <c r="N33" s="6">
        <f>IFERROR(__xludf.DUMMYFUNCTION("""COMPUTED_VALUE"""),7051.98)</f>
        <v/>
      </c>
      <c r="R33" s="6">
        <f>S33&amp;T33</f>
        <v/>
      </c>
      <c r="S33" s="6">
        <f>YEAR(U33)</f>
        <v/>
      </c>
      <c r="T33" s="6">
        <f>MONTH(U33)</f>
        <v/>
      </c>
      <c r="U33" s="267">
        <f>IFERROR(__xludf.DUMMYFUNCTION("""COMPUTED_VALUE"""),43137.6458333333)</f>
        <v/>
      </c>
      <c r="V33" s="6">
        <f>IFERROR(__xludf.DUMMYFUNCTION("""COMPUTED_VALUE"""),2453.31)</f>
        <v/>
      </c>
      <c r="Z33" s="6">
        <f>AA33&amp;AB33</f>
        <v/>
      </c>
      <c r="AA33" s="6">
        <f>YEAR(AC33)</f>
        <v/>
      </c>
      <c r="AB33" s="6">
        <f>MONTH(AC33)</f>
        <v/>
      </c>
      <c r="AC33" s="267">
        <f>IFERROR(__xludf.DUMMYFUNCTION("""COMPUTED_VALUE"""),43125.9986111111)</f>
        <v/>
      </c>
      <c r="AD33" s="6">
        <f>IFERROR(__xludf.DUMMYFUNCTION("""COMPUTED_VALUE"""),1064.89)</f>
        <v/>
      </c>
      <c r="AH33" s="6">
        <f>AI33&amp;AJ33</f>
        <v/>
      </c>
      <c r="AI33" s="6">
        <f>YEAR(AK33)</f>
        <v/>
      </c>
      <c r="AJ33" s="6">
        <f>MONTH(AK33)</f>
        <v/>
      </c>
      <c r="AK33" s="267">
        <f>IFERROR(__xludf.DUMMYFUNCTION("""COMPUTED_VALUE"""),43124.9986111111)</f>
        <v/>
      </c>
      <c r="AL33" s="6">
        <f>IFERROR(__xludf.DUMMYFUNCTION("""COMPUTED_VALUE"""),11219.58)</f>
        <v/>
      </c>
      <c r="AP33" s="6">
        <f>AQ33&amp;AR33</f>
        <v/>
      </c>
      <c r="AQ33" s="6">
        <f>YEAR(AS33)</f>
        <v/>
      </c>
      <c r="AR33" s="6">
        <f>MONTH(AS33)</f>
        <v/>
      </c>
      <c r="AS33" s="267">
        <f>IFERROR(__xludf.DUMMYFUNCTION("""COMPUTED_VALUE"""),43138.9986111111)</f>
        <v/>
      </c>
      <c r="AT33" s="6">
        <f>IFERROR(__xludf.DUMMYFUNCTION("""COMPUTED_VALUE"""),1314.6)</f>
        <v/>
      </c>
    </row>
    <row r="34">
      <c r="B34" s="6">
        <f>C34&amp;D34</f>
        <v/>
      </c>
      <c r="C34" s="6">
        <f>YEAR(E34)</f>
        <v/>
      </c>
      <c r="D34" s="6">
        <f>MONTH(E34)</f>
        <v/>
      </c>
      <c r="E34" s="267">
        <f>IFERROR(__xludf.DUMMYFUNCTION("""COMPUTED_VALUE"""),43139.6666666666)</f>
        <v/>
      </c>
      <c r="F34" s="6">
        <f>IFERROR(__xludf.DUMMYFUNCTION("""COMPUTED_VALUE"""),2581)</f>
        <v/>
      </c>
      <c r="J34" s="6">
        <f>K34&amp;L34</f>
        <v/>
      </c>
      <c r="K34" s="6">
        <f>YEAR(M34)</f>
        <v/>
      </c>
      <c r="L34" s="6">
        <f>MONTH(M34)</f>
        <v/>
      </c>
      <c r="M34" s="267">
        <f>IFERROR(__xludf.DUMMYFUNCTION("""COMPUTED_VALUE"""),43139.6666666666)</f>
        <v/>
      </c>
      <c r="N34" s="6">
        <f>IFERROR(__xludf.DUMMYFUNCTION("""COMPUTED_VALUE"""),6777.16)</f>
        <v/>
      </c>
      <c r="R34" s="6">
        <f>S34&amp;T34</f>
        <v/>
      </c>
      <c r="S34" s="6">
        <f>YEAR(U34)</f>
        <v/>
      </c>
      <c r="T34" s="6">
        <f>MONTH(U34)</f>
        <v/>
      </c>
      <c r="U34" s="267">
        <f>IFERROR(__xludf.DUMMYFUNCTION("""COMPUTED_VALUE"""),43138.6458333333)</f>
        <v/>
      </c>
      <c r="V34" s="6">
        <f>IFERROR(__xludf.DUMMYFUNCTION("""COMPUTED_VALUE"""),2396.56)</f>
        <v/>
      </c>
      <c r="Z34" s="6">
        <f>AA34&amp;AB34</f>
        <v/>
      </c>
      <c r="AA34" s="6">
        <f>YEAR(AC34)</f>
        <v/>
      </c>
      <c r="AB34" s="6">
        <f>MONTH(AC34)</f>
        <v/>
      </c>
      <c r="AC34" s="267">
        <f>IFERROR(__xludf.DUMMYFUNCTION("""COMPUTED_VALUE"""),43126.9986111111)</f>
        <v/>
      </c>
      <c r="AD34" s="6">
        <f>IFERROR(__xludf.DUMMYFUNCTION("""COMPUTED_VALUE"""),1063.5)</f>
        <v/>
      </c>
      <c r="AH34" s="6">
        <f>AI34&amp;AJ34</f>
        <v/>
      </c>
      <c r="AI34" s="6">
        <f>YEAR(AK34)</f>
        <v/>
      </c>
      <c r="AJ34" s="6">
        <f>MONTH(AK34)</f>
        <v/>
      </c>
      <c r="AK34" s="267">
        <f>IFERROR(__xludf.DUMMYFUNCTION("""COMPUTED_VALUE"""),43125.9986111111)</f>
        <v/>
      </c>
      <c r="AL34" s="6">
        <f>IFERROR(__xludf.DUMMYFUNCTION("""COMPUTED_VALUE"""),11249.85)</f>
        <v/>
      </c>
      <c r="AP34" s="6">
        <f>AQ34&amp;AR34</f>
        <v/>
      </c>
      <c r="AQ34" s="6">
        <f>YEAR(AS34)</f>
        <v/>
      </c>
      <c r="AR34" s="6">
        <f>MONTH(AS34)</f>
        <v/>
      </c>
      <c r="AS34" s="267">
        <f>IFERROR(__xludf.DUMMYFUNCTION("""COMPUTED_VALUE"""),43139.9986111111)</f>
        <v/>
      </c>
      <c r="AT34" s="6">
        <f>IFERROR(__xludf.DUMMYFUNCTION("""COMPUTED_VALUE"""),1319)</f>
        <v/>
      </c>
    </row>
    <row r="35">
      <c r="B35" s="6">
        <f>C35&amp;D35</f>
        <v/>
      </c>
      <c r="C35" s="6">
        <f>YEAR(E35)</f>
        <v/>
      </c>
      <c r="D35" s="6">
        <f>MONTH(E35)</f>
        <v/>
      </c>
      <c r="E35" s="267">
        <f>IFERROR(__xludf.DUMMYFUNCTION("""COMPUTED_VALUE"""),43140.6666666666)</f>
        <v/>
      </c>
      <c r="F35" s="6">
        <f>IFERROR(__xludf.DUMMYFUNCTION("""COMPUTED_VALUE"""),2619.55)</f>
        <v/>
      </c>
      <c r="J35" s="6">
        <f>K35&amp;L35</f>
        <v/>
      </c>
      <c r="K35" s="6">
        <f>YEAR(M35)</f>
        <v/>
      </c>
      <c r="L35" s="6">
        <f>MONTH(M35)</f>
        <v/>
      </c>
      <c r="M35" s="267">
        <f>IFERROR(__xludf.DUMMYFUNCTION("""COMPUTED_VALUE"""),43140.6666666666)</f>
        <v/>
      </c>
      <c r="N35" s="6">
        <f>IFERROR(__xludf.DUMMYFUNCTION("""COMPUTED_VALUE"""),6874.49)</f>
        <v/>
      </c>
      <c r="R35" s="6">
        <f>S35&amp;T35</f>
        <v/>
      </c>
      <c r="S35" s="6">
        <f>YEAR(U35)</f>
        <v/>
      </c>
      <c r="T35" s="6">
        <f>MONTH(U35)</f>
        <v/>
      </c>
      <c r="U35" s="267">
        <f>IFERROR(__xludf.DUMMYFUNCTION("""COMPUTED_VALUE"""),43139.6458333333)</f>
        <v/>
      </c>
      <c r="V35" s="6">
        <f>IFERROR(__xludf.DUMMYFUNCTION("""COMPUTED_VALUE"""),2407.62)</f>
        <v/>
      </c>
      <c r="Z35" s="6">
        <f>AA35&amp;AB35</f>
        <v/>
      </c>
      <c r="AA35" s="6">
        <f>YEAR(AC35)</f>
        <v/>
      </c>
      <c r="AB35" s="6">
        <f>MONTH(AC35)</f>
        <v/>
      </c>
      <c r="AC35" s="267">
        <f>IFERROR(__xludf.DUMMYFUNCTION("""COMPUTED_VALUE"""),43128.9986111111)</f>
        <v/>
      </c>
      <c r="AD35" s="6">
        <f>IFERROR(__xludf.DUMMYFUNCTION("""COMPUTED_VALUE"""),1063.13)</f>
        <v/>
      </c>
      <c r="AH35" s="6">
        <f>AI35&amp;AJ35</f>
        <v/>
      </c>
      <c r="AI35" s="6">
        <f>YEAR(AK35)</f>
        <v/>
      </c>
      <c r="AJ35" s="6">
        <f>MONTH(AK35)</f>
        <v/>
      </c>
      <c r="AK35" s="267">
        <f>IFERROR(__xludf.DUMMYFUNCTION("""COMPUTED_VALUE"""),43126.9986111111)</f>
        <v/>
      </c>
      <c r="AL35" s="6">
        <f>IFERROR(__xludf.DUMMYFUNCTION("""COMPUTED_VALUE"""),10880.7)</f>
        <v/>
      </c>
      <c r="AP35" s="6">
        <f>AQ35&amp;AR35</f>
        <v/>
      </c>
      <c r="AQ35" s="6">
        <f>YEAR(AS35)</f>
        <v/>
      </c>
      <c r="AR35" s="6">
        <f>MONTH(AS35)</f>
        <v/>
      </c>
      <c r="AS35" s="267">
        <f>IFERROR(__xludf.DUMMYFUNCTION("""COMPUTED_VALUE"""),43140.9986111111)</f>
        <v/>
      </c>
      <c r="AT35" s="6">
        <f>IFERROR(__xludf.DUMMYFUNCTION("""COMPUTED_VALUE"""),1315.7)</f>
        <v/>
      </c>
    </row>
    <row r="36">
      <c r="B36" s="6">
        <f>C36&amp;D36</f>
        <v/>
      </c>
      <c r="C36" s="6">
        <f>YEAR(E36)</f>
        <v/>
      </c>
      <c r="D36" s="6">
        <f>MONTH(E36)</f>
        <v/>
      </c>
      <c r="E36" s="267">
        <f>IFERROR(__xludf.DUMMYFUNCTION("""COMPUTED_VALUE"""),43143.6666666666)</f>
        <v/>
      </c>
      <c r="F36" s="6">
        <f>IFERROR(__xludf.DUMMYFUNCTION("""COMPUTED_VALUE"""),2656)</f>
        <v/>
      </c>
      <c r="J36" s="6">
        <f>K36&amp;L36</f>
        <v/>
      </c>
      <c r="K36" s="6">
        <f>YEAR(M36)</f>
        <v/>
      </c>
      <c r="L36" s="6">
        <f>MONTH(M36)</f>
        <v/>
      </c>
      <c r="M36" s="267">
        <f>IFERROR(__xludf.DUMMYFUNCTION("""COMPUTED_VALUE"""),43143.6666666666)</f>
        <v/>
      </c>
      <c r="N36" s="6">
        <f>IFERROR(__xludf.DUMMYFUNCTION("""COMPUTED_VALUE"""),6981.96)</f>
        <v/>
      </c>
      <c r="R36" s="6">
        <f>S36&amp;T36</f>
        <v/>
      </c>
      <c r="S36" s="6">
        <f>YEAR(U36)</f>
        <v/>
      </c>
      <c r="T36" s="6">
        <f>MONTH(U36)</f>
        <v/>
      </c>
      <c r="U36" s="267">
        <f>IFERROR(__xludf.DUMMYFUNCTION("""COMPUTED_VALUE"""),43140.6458333333)</f>
        <v/>
      </c>
      <c r="V36" s="6">
        <f>IFERROR(__xludf.DUMMYFUNCTION("""COMPUTED_VALUE"""),2363.77)</f>
        <v/>
      </c>
      <c r="Z36" s="6">
        <f>AA36&amp;AB36</f>
        <v/>
      </c>
      <c r="AA36" s="6">
        <f>YEAR(AC36)</f>
        <v/>
      </c>
      <c r="AB36" s="6">
        <f>MONTH(AC36)</f>
        <v/>
      </c>
      <c r="AC36" s="267">
        <f>IFERROR(__xludf.DUMMYFUNCTION("""COMPUTED_VALUE"""),43129.9986111111)</f>
        <v/>
      </c>
      <c r="AD36" s="6">
        <f>IFERROR(__xludf.DUMMYFUNCTION("""COMPUTED_VALUE"""),1069.79)</f>
        <v/>
      </c>
      <c r="AH36" s="6">
        <f>AI36&amp;AJ36</f>
        <v/>
      </c>
      <c r="AI36" s="6">
        <f>YEAR(AK36)</f>
        <v/>
      </c>
      <c r="AJ36" s="6">
        <f>MONTH(AK36)</f>
        <v/>
      </c>
      <c r="AK36" s="267">
        <f>IFERROR(__xludf.DUMMYFUNCTION("""COMPUTED_VALUE"""),43127.9986111111)</f>
        <v/>
      </c>
      <c r="AL36" s="6">
        <f>IFERROR(__xludf.DUMMYFUNCTION("""COMPUTED_VALUE"""),11470.12)</f>
        <v/>
      </c>
      <c r="AP36" s="6">
        <f>AQ36&amp;AR36</f>
        <v/>
      </c>
      <c r="AQ36" s="6">
        <f>YEAR(AS36)</f>
        <v/>
      </c>
      <c r="AR36" s="6">
        <f>MONTH(AS36)</f>
        <v/>
      </c>
      <c r="AS36" s="267">
        <f>IFERROR(__xludf.DUMMYFUNCTION("""COMPUTED_VALUE"""),43143.9986111111)</f>
        <v/>
      </c>
      <c r="AT36" s="6">
        <f>IFERROR(__xludf.DUMMYFUNCTION("""COMPUTED_VALUE"""),1326.4)</f>
        <v/>
      </c>
    </row>
    <row r="37">
      <c r="B37" s="6">
        <f>C37&amp;D37</f>
        <v/>
      </c>
      <c r="C37" s="6">
        <f>YEAR(E37)</f>
        <v/>
      </c>
      <c r="D37" s="6">
        <f>MONTH(E37)</f>
        <v/>
      </c>
      <c r="E37" s="267">
        <f>IFERROR(__xludf.DUMMYFUNCTION("""COMPUTED_VALUE"""),43144.6666666666)</f>
        <v/>
      </c>
      <c r="F37" s="6">
        <f>IFERROR(__xludf.DUMMYFUNCTION("""COMPUTED_VALUE"""),2662.94)</f>
        <v/>
      </c>
      <c r="J37" s="6">
        <f>K37&amp;L37</f>
        <v/>
      </c>
      <c r="K37" s="6">
        <f>YEAR(M37)</f>
        <v/>
      </c>
      <c r="L37" s="6">
        <f>MONTH(M37)</f>
        <v/>
      </c>
      <c r="M37" s="267">
        <f>IFERROR(__xludf.DUMMYFUNCTION("""COMPUTED_VALUE"""),43144.6666666666)</f>
        <v/>
      </c>
      <c r="N37" s="6">
        <f>IFERROR(__xludf.DUMMYFUNCTION("""COMPUTED_VALUE"""),7013.51)</f>
        <v/>
      </c>
      <c r="R37" s="6">
        <f>S37&amp;T37</f>
        <v/>
      </c>
      <c r="S37" s="6">
        <f>YEAR(U37)</f>
        <v/>
      </c>
      <c r="T37" s="6">
        <f>MONTH(U37)</f>
        <v/>
      </c>
      <c r="U37" s="267">
        <f>IFERROR(__xludf.DUMMYFUNCTION("""COMPUTED_VALUE"""),43143.6458333333)</f>
        <v/>
      </c>
      <c r="V37" s="6">
        <f>IFERROR(__xludf.DUMMYFUNCTION("""COMPUTED_VALUE"""),2385.38)</f>
        <v/>
      </c>
      <c r="Z37" s="6">
        <f>AA37&amp;AB37</f>
        <v/>
      </c>
      <c r="AA37" s="6">
        <f>YEAR(AC37)</f>
        <v/>
      </c>
      <c r="AB37" s="6">
        <f>MONTH(AC37)</f>
        <v/>
      </c>
      <c r="AC37" s="267">
        <f>IFERROR(__xludf.DUMMYFUNCTION("""COMPUTED_VALUE"""),43130.9986111111)</f>
        <v/>
      </c>
      <c r="AD37" s="6">
        <f>IFERROR(__xludf.DUMMYFUNCTION("""COMPUTED_VALUE"""),1072.54)</f>
        <v/>
      </c>
      <c r="AH37" s="6">
        <f>AI37&amp;AJ37</f>
        <v/>
      </c>
      <c r="AI37" s="6">
        <f>YEAR(AK37)</f>
        <v/>
      </c>
      <c r="AJ37" s="6">
        <f>MONTH(AK37)</f>
        <v/>
      </c>
      <c r="AK37" s="267">
        <f>IFERROR(__xludf.DUMMYFUNCTION("""COMPUTED_VALUE"""),43128.9986111111)</f>
        <v/>
      </c>
      <c r="AL37" s="6">
        <f>IFERROR(__xludf.DUMMYFUNCTION("""COMPUTED_VALUE"""),11755.98)</f>
        <v/>
      </c>
      <c r="AP37" s="6">
        <f>AQ37&amp;AR37</f>
        <v/>
      </c>
      <c r="AQ37" s="6">
        <f>YEAR(AS37)</f>
        <v/>
      </c>
      <c r="AR37" s="6">
        <f>MONTH(AS37)</f>
        <v/>
      </c>
      <c r="AS37" s="267">
        <f>IFERROR(__xludf.DUMMYFUNCTION("""COMPUTED_VALUE"""),43144.9986111111)</f>
        <v/>
      </c>
      <c r="AT37" s="6">
        <f>IFERROR(__xludf.DUMMYFUNCTION("""COMPUTED_VALUE"""),1330.4)</f>
        <v/>
      </c>
    </row>
    <row r="38">
      <c r="B38" s="6">
        <f>C38&amp;D38</f>
        <v/>
      </c>
      <c r="C38" s="6">
        <f>YEAR(E38)</f>
        <v/>
      </c>
      <c r="D38" s="6">
        <f>MONTH(E38)</f>
        <v/>
      </c>
      <c r="E38" s="267">
        <f>IFERROR(__xludf.DUMMYFUNCTION("""COMPUTED_VALUE"""),43145.6666666666)</f>
        <v/>
      </c>
      <c r="F38" s="6">
        <f>IFERROR(__xludf.DUMMYFUNCTION("""COMPUTED_VALUE"""),2698.63)</f>
        <v/>
      </c>
      <c r="J38" s="6">
        <f>K38&amp;L38</f>
        <v/>
      </c>
      <c r="K38" s="6">
        <f>YEAR(M38)</f>
        <v/>
      </c>
      <c r="L38" s="6">
        <f>MONTH(M38)</f>
        <v/>
      </c>
      <c r="M38" s="267">
        <f>IFERROR(__xludf.DUMMYFUNCTION("""COMPUTED_VALUE"""),43145.6666666666)</f>
        <v/>
      </c>
      <c r="N38" s="6">
        <f>IFERROR(__xludf.DUMMYFUNCTION("""COMPUTED_VALUE"""),7143.62)</f>
        <v/>
      </c>
      <c r="R38" s="6">
        <f>S38&amp;T38</f>
        <v/>
      </c>
      <c r="S38" s="6">
        <f>YEAR(U38)</f>
        <v/>
      </c>
      <c r="T38" s="6">
        <f>MONTH(U38)</f>
        <v/>
      </c>
      <c r="U38" s="267">
        <f>IFERROR(__xludf.DUMMYFUNCTION("""COMPUTED_VALUE"""),43144.6458333333)</f>
        <v/>
      </c>
      <c r="V38" s="6">
        <f>IFERROR(__xludf.DUMMYFUNCTION("""COMPUTED_VALUE"""),2395.19)</f>
        <v/>
      </c>
      <c r="Z38" s="6">
        <f>AA38&amp;AB38</f>
        <v/>
      </c>
      <c r="AA38" s="6">
        <f>YEAR(AC38)</f>
        <v/>
      </c>
      <c r="AB38" s="6">
        <f>MONTH(AC38)</f>
        <v/>
      </c>
      <c r="AC38" s="267">
        <f>IFERROR(__xludf.DUMMYFUNCTION("""COMPUTED_VALUE"""),43131.9986111111)</f>
        <v/>
      </c>
      <c r="AD38" s="6">
        <f>IFERROR(__xludf.DUMMYFUNCTION("""COMPUTED_VALUE"""),1069.02)</f>
        <v/>
      </c>
      <c r="AH38" s="6">
        <f>AI38&amp;AJ38</f>
        <v/>
      </c>
      <c r="AI38" s="6">
        <f>YEAR(AK38)</f>
        <v/>
      </c>
      <c r="AJ38" s="6">
        <f>MONTH(AK38)</f>
        <v/>
      </c>
      <c r="AK38" s="267">
        <f>IFERROR(__xludf.DUMMYFUNCTION("""COMPUTED_VALUE"""),43129.9986111111)</f>
        <v/>
      </c>
      <c r="AL38" s="6">
        <f>IFERROR(__xludf.DUMMYFUNCTION("""COMPUTED_VALUE"""),11261.01)</f>
        <v/>
      </c>
      <c r="AP38" s="6">
        <f>AQ38&amp;AR38</f>
        <v/>
      </c>
      <c r="AQ38" s="6">
        <f>YEAR(AS38)</f>
        <v/>
      </c>
      <c r="AR38" s="6">
        <f>MONTH(AS38)</f>
        <v/>
      </c>
      <c r="AS38" s="267">
        <f>IFERROR(__xludf.DUMMYFUNCTION("""COMPUTED_VALUE"""),43145.9986111111)</f>
        <v/>
      </c>
      <c r="AT38" s="6">
        <f>IFERROR(__xludf.DUMMYFUNCTION("""COMPUTED_VALUE"""),1358)</f>
        <v/>
      </c>
    </row>
    <row r="39">
      <c r="B39" s="6">
        <f>C39&amp;D39</f>
        <v/>
      </c>
      <c r="C39" s="6">
        <f>YEAR(E39)</f>
        <v/>
      </c>
      <c r="D39" s="6">
        <f>MONTH(E39)</f>
        <v/>
      </c>
      <c r="E39" s="267">
        <f>IFERROR(__xludf.DUMMYFUNCTION("""COMPUTED_VALUE"""),43146.6666666666)</f>
        <v/>
      </c>
      <c r="F39" s="6">
        <f>IFERROR(__xludf.DUMMYFUNCTION("""COMPUTED_VALUE"""),2731.2)</f>
        <v/>
      </c>
      <c r="J39" s="6">
        <f>K39&amp;L39</f>
        <v/>
      </c>
      <c r="K39" s="6">
        <f>YEAR(M39)</f>
        <v/>
      </c>
      <c r="L39" s="6">
        <f>MONTH(M39)</f>
        <v/>
      </c>
      <c r="M39" s="267">
        <f>IFERROR(__xludf.DUMMYFUNCTION("""COMPUTED_VALUE"""),43146.6666666666)</f>
        <v/>
      </c>
      <c r="N39" s="6">
        <f>IFERROR(__xludf.DUMMYFUNCTION("""COMPUTED_VALUE"""),7256.43)</f>
        <v/>
      </c>
      <c r="R39" s="6">
        <f>S39&amp;T39</f>
        <v/>
      </c>
      <c r="S39" s="6">
        <f>YEAR(U39)</f>
        <v/>
      </c>
      <c r="T39" s="6">
        <f>MONTH(U39)</f>
        <v/>
      </c>
      <c r="U39" s="267">
        <f>IFERROR(__xludf.DUMMYFUNCTION("""COMPUTED_VALUE"""),43145.6458333333)</f>
        <v/>
      </c>
      <c r="V39" s="6">
        <f>IFERROR(__xludf.DUMMYFUNCTION("""COMPUTED_VALUE"""),2421.83)</f>
        <v/>
      </c>
      <c r="Z39" s="6">
        <f>AA39&amp;AB39</f>
        <v/>
      </c>
      <c r="AA39" s="6">
        <f>YEAR(AC39)</f>
        <v/>
      </c>
      <c r="AB39" s="6">
        <f>MONTH(AC39)</f>
        <v/>
      </c>
      <c r="AC39" s="267">
        <f>IFERROR(__xludf.DUMMYFUNCTION("""COMPUTED_VALUE"""),43132.9986111111)</f>
        <v/>
      </c>
      <c r="AD39" s="6">
        <f>IFERROR(__xludf.DUMMYFUNCTION("""COMPUTED_VALUE"""),1071.18)</f>
        <v/>
      </c>
      <c r="AH39" s="6">
        <f>AI39&amp;AJ39</f>
        <v/>
      </c>
      <c r="AI39" s="6">
        <f>YEAR(AK39)</f>
        <v/>
      </c>
      <c r="AJ39" s="6">
        <f>MONTH(AK39)</f>
        <v/>
      </c>
      <c r="AK39" s="267">
        <f>IFERROR(__xludf.DUMMYFUNCTION("""COMPUTED_VALUE"""),43130.9986111111)</f>
        <v/>
      </c>
      <c r="AL39" s="6">
        <f>IFERROR(__xludf.DUMMYFUNCTION("""COMPUTED_VALUE"""),10161.86)</f>
        <v/>
      </c>
      <c r="AP39" s="6">
        <f>AQ39&amp;AR39</f>
        <v/>
      </c>
      <c r="AQ39" s="6">
        <f>YEAR(AS39)</f>
        <v/>
      </c>
      <c r="AR39" s="6">
        <f>MONTH(AS39)</f>
        <v/>
      </c>
      <c r="AS39" s="267">
        <f>IFERROR(__xludf.DUMMYFUNCTION("""COMPUTED_VALUE"""),43146.9986111111)</f>
        <v/>
      </c>
      <c r="AT39" s="6">
        <f>IFERROR(__xludf.DUMMYFUNCTION("""COMPUTED_VALUE"""),1355.3)</f>
        <v/>
      </c>
    </row>
    <row r="40">
      <c r="B40" s="6">
        <f>C40&amp;D40</f>
        <v/>
      </c>
      <c r="C40" s="6">
        <f>YEAR(E40)</f>
        <v/>
      </c>
      <c r="D40" s="6">
        <f>MONTH(E40)</f>
        <v/>
      </c>
      <c r="E40" s="267">
        <f>IFERROR(__xludf.DUMMYFUNCTION("""COMPUTED_VALUE"""),43147.6666666666)</f>
        <v/>
      </c>
      <c r="F40" s="6">
        <f>IFERROR(__xludf.DUMMYFUNCTION("""COMPUTED_VALUE"""),2732.22)</f>
        <v/>
      </c>
      <c r="J40" s="6">
        <f>K40&amp;L40</f>
        <v/>
      </c>
      <c r="K40" s="6">
        <f>YEAR(M40)</f>
        <v/>
      </c>
      <c r="L40" s="6">
        <f>MONTH(M40)</f>
        <v/>
      </c>
      <c r="M40" s="267">
        <f>IFERROR(__xludf.DUMMYFUNCTION("""COMPUTED_VALUE"""),43147.6666666666)</f>
        <v/>
      </c>
      <c r="N40" s="6">
        <f>IFERROR(__xludf.DUMMYFUNCTION("""COMPUTED_VALUE"""),7239.47)</f>
        <v/>
      </c>
      <c r="R40" s="6">
        <f>S40&amp;T40</f>
        <v/>
      </c>
      <c r="S40" s="6">
        <f>YEAR(U40)</f>
        <v/>
      </c>
      <c r="T40" s="6">
        <f>MONTH(U40)</f>
        <v/>
      </c>
      <c r="U40" s="267">
        <f>IFERROR(__xludf.DUMMYFUNCTION("""COMPUTED_VALUE"""),43150.6458333333)</f>
        <v/>
      </c>
      <c r="V40" s="6">
        <f>IFERROR(__xludf.DUMMYFUNCTION("""COMPUTED_VALUE"""),2442.82)</f>
        <v/>
      </c>
      <c r="Z40" s="6">
        <f>AA40&amp;AB40</f>
        <v/>
      </c>
      <c r="AA40" s="6">
        <f>YEAR(AC40)</f>
        <v/>
      </c>
      <c r="AB40" s="6">
        <f>MONTH(AC40)</f>
        <v/>
      </c>
      <c r="AC40" s="267">
        <f>IFERROR(__xludf.DUMMYFUNCTION("""COMPUTED_VALUE"""),43133.9986111111)</f>
        <v/>
      </c>
      <c r="AD40" s="6">
        <f>IFERROR(__xludf.DUMMYFUNCTION("""COMPUTED_VALUE"""),1089)</f>
        <v/>
      </c>
      <c r="AH40" s="6">
        <f>AI40&amp;AJ40</f>
        <v/>
      </c>
      <c r="AI40" s="6">
        <f>YEAR(AK40)</f>
        <v/>
      </c>
      <c r="AJ40" s="6">
        <f>MONTH(AK40)</f>
        <v/>
      </c>
      <c r="AK40" s="267">
        <f>IFERROR(__xludf.DUMMYFUNCTION("""COMPUTED_VALUE"""),43131.9986111111)</f>
        <v/>
      </c>
      <c r="AL40" s="6">
        <f>IFERROR(__xludf.DUMMYFUNCTION("""COMPUTED_VALUE"""),10022.51)</f>
        <v/>
      </c>
      <c r="AP40" s="6">
        <f>AQ40&amp;AR40</f>
        <v/>
      </c>
      <c r="AQ40" s="6">
        <f>YEAR(AS40)</f>
        <v/>
      </c>
      <c r="AR40" s="6">
        <f>MONTH(AS40)</f>
        <v/>
      </c>
      <c r="AS40" s="267">
        <f>IFERROR(__xludf.DUMMYFUNCTION("""COMPUTED_VALUE"""),43147.9986111111)</f>
        <v/>
      </c>
      <c r="AT40" s="6">
        <f>IFERROR(__xludf.DUMMYFUNCTION("""COMPUTED_VALUE"""),1356.2)</f>
        <v/>
      </c>
    </row>
    <row r="41">
      <c r="B41" s="6">
        <f>C41&amp;D41</f>
        <v/>
      </c>
      <c r="C41" s="6">
        <f>YEAR(E41)</f>
        <v/>
      </c>
      <c r="D41" s="6">
        <f>MONTH(E41)</f>
        <v/>
      </c>
      <c r="E41" s="267">
        <f>IFERROR(__xludf.DUMMYFUNCTION("""COMPUTED_VALUE"""),43151.6666666666)</f>
        <v/>
      </c>
      <c r="F41" s="6">
        <f>IFERROR(__xludf.DUMMYFUNCTION("""COMPUTED_VALUE"""),2716.26)</f>
        <v/>
      </c>
      <c r="J41" s="6">
        <f>K41&amp;L41</f>
        <v/>
      </c>
      <c r="K41" s="6">
        <f>YEAR(M41)</f>
        <v/>
      </c>
      <c r="L41" s="6">
        <f>MONTH(M41)</f>
        <v/>
      </c>
      <c r="M41" s="267">
        <f>IFERROR(__xludf.DUMMYFUNCTION("""COMPUTED_VALUE"""),43151.6666666666)</f>
        <v/>
      </c>
      <c r="N41" s="6">
        <f>IFERROR(__xludf.DUMMYFUNCTION("""COMPUTED_VALUE"""),7234.31)</f>
        <v/>
      </c>
      <c r="R41" s="6">
        <f>S41&amp;T41</f>
        <v/>
      </c>
      <c r="S41" s="6">
        <f>YEAR(U41)</f>
        <v/>
      </c>
      <c r="T41" s="6">
        <f>MONTH(U41)</f>
        <v/>
      </c>
      <c r="U41" s="267">
        <f>IFERROR(__xludf.DUMMYFUNCTION("""COMPUTED_VALUE"""),43151.6458333333)</f>
        <v/>
      </c>
      <c r="V41" s="6">
        <f>IFERROR(__xludf.DUMMYFUNCTION("""COMPUTED_VALUE"""),2415.12)</f>
        <v/>
      </c>
      <c r="Z41" s="6">
        <f>AA41&amp;AB41</f>
        <v/>
      </c>
      <c r="AA41" s="6">
        <f>YEAR(AC41)</f>
        <v/>
      </c>
      <c r="AB41" s="6">
        <f>MONTH(AC41)</f>
        <v/>
      </c>
      <c r="AC41" s="267">
        <f>IFERROR(__xludf.DUMMYFUNCTION("""COMPUTED_VALUE"""),43134.9986111111)</f>
        <v/>
      </c>
      <c r="AD41" s="6">
        <f>IFERROR(__xludf.DUMMYFUNCTION("""COMPUTED_VALUE"""),1089)</f>
        <v/>
      </c>
      <c r="AH41" s="6">
        <f>AI41&amp;AJ41</f>
        <v/>
      </c>
      <c r="AI41" s="6">
        <f>YEAR(AK41)</f>
        <v/>
      </c>
      <c r="AJ41" s="6">
        <f>MONTH(AK41)</f>
        <v/>
      </c>
      <c r="AK41" s="267">
        <f>IFERROR(__xludf.DUMMYFUNCTION("""COMPUTED_VALUE"""),43132.9986111111)</f>
        <v/>
      </c>
      <c r="AL41" s="6">
        <f>IFERROR(__xludf.DUMMYFUNCTION("""COMPUTED_VALUE"""),9192.56)</f>
        <v/>
      </c>
      <c r="AP41" s="6">
        <f>AQ41&amp;AR41</f>
        <v/>
      </c>
      <c r="AQ41" s="6">
        <f>YEAR(AS41)</f>
        <v/>
      </c>
      <c r="AR41" s="6">
        <f>MONTH(AS41)</f>
        <v/>
      </c>
      <c r="AS41" s="267">
        <f>IFERROR(__xludf.DUMMYFUNCTION("""COMPUTED_VALUE"""),43151.9986111111)</f>
        <v/>
      </c>
      <c r="AT41" s="6">
        <f>IFERROR(__xludf.DUMMYFUNCTION("""COMPUTED_VALUE"""),1331.2)</f>
        <v/>
      </c>
    </row>
    <row r="42">
      <c r="B42" s="6">
        <f>C42&amp;D42</f>
        <v/>
      </c>
      <c r="C42" s="6">
        <f>YEAR(E42)</f>
        <v/>
      </c>
      <c r="D42" s="6">
        <f>MONTH(E42)</f>
        <v/>
      </c>
      <c r="E42" s="267">
        <f>IFERROR(__xludf.DUMMYFUNCTION("""COMPUTED_VALUE"""),43152.6666666666)</f>
        <v/>
      </c>
      <c r="F42" s="6">
        <f>IFERROR(__xludf.DUMMYFUNCTION("""COMPUTED_VALUE"""),2701.33)</f>
        <v/>
      </c>
      <c r="J42" s="6">
        <f>K42&amp;L42</f>
        <v/>
      </c>
      <c r="K42" s="6">
        <f>YEAR(M42)</f>
        <v/>
      </c>
      <c r="L42" s="6">
        <f>MONTH(M42)</f>
        <v/>
      </c>
      <c r="M42" s="267">
        <f>IFERROR(__xludf.DUMMYFUNCTION("""COMPUTED_VALUE"""),43152.6666666666)</f>
        <v/>
      </c>
      <c r="N42" s="6">
        <f>IFERROR(__xludf.DUMMYFUNCTION("""COMPUTED_VALUE"""),7218.23)</f>
        <v/>
      </c>
      <c r="R42" s="6">
        <f>S42&amp;T42</f>
        <v/>
      </c>
      <c r="S42" s="6">
        <f>YEAR(U42)</f>
        <v/>
      </c>
      <c r="T42" s="6">
        <f>MONTH(U42)</f>
        <v/>
      </c>
      <c r="U42" s="267">
        <f>IFERROR(__xludf.DUMMYFUNCTION("""COMPUTED_VALUE"""),43152.6458333333)</f>
        <v/>
      </c>
      <c r="V42" s="6">
        <f>IFERROR(__xludf.DUMMYFUNCTION("""COMPUTED_VALUE"""),2429.65)</f>
        <v/>
      </c>
      <c r="Z42" s="6">
        <f>AA42&amp;AB42</f>
        <v/>
      </c>
      <c r="AA42" s="6">
        <f>YEAR(AC42)</f>
        <v/>
      </c>
      <c r="AB42" s="6">
        <f>MONTH(AC42)</f>
        <v/>
      </c>
      <c r="AC42" s="267">
        <f>IFERROR(__xludf.DUMMYFUNCTION("""COMPUTED_VALUE"""),43135.9986111111)</f>
        <v/>
      </c>
      <c r="AD42" s="6">
        <f>IFERROR(__xludf.DUMMYFUNCTION("""COMPUTED_VALUE"""),1090.01)</f>
        <v/>
      </c>
      <c r="AH42" s="6">
        <f>AI42&amp;AJ42</f>
        <v/>
      </c>
      <c r="AI42" s="6">
        <f>YEAR(AK42)</f>
        <v/>
      </c>
      <c r="AJ42" s="6">
        <f>MONTH(AK42)</f>
        <v/>
      </c>
      <c r="AK42" s="267">
        <f>IFERROR(__xludf.DUMMYFUNCTION("""COMPUTED_VALUE"""),43133.9986111111)</f>
        <v/>
      </c>
      <c r="AL42" s="6">
        <f>IFERROR(__xludf.DUMMYFUNCTION("""COMPUTED_VALUE"""),8595.03)</f>
        <v/>
      </c>
      <c r="AP42" s="6">
        <f>AQ42&amp;AR42</f>
        <v/>
      </c>
      <c r="AQ42" s="6">
        <f>YEAR(AS42)</f>
        <v/>
      </c>
      <c r="AR42" s="6">
        <f>MONTH(AS42)</f>
        <v/>
      </c>
      <c r="AS42" s="267">
        <f>IFERROR(__xludf.DUMMYFUNCTION("""COMPUTED_VALUE"""),43152.9986111111)</f>
        <v/>
      </c>
      <c r="AT42" s="6">
        <f>IFERROR(__xludf.DUMMYFUNCTION("""COMPUTED_VALUE"""),1332.1)</f>
        <v/>
      </c>
    </row>
    <row r="43">
      <c r="B43" s="6">
        <f>C43&amp;D43</f>
        <v/>
      </c>
      <c r="C43" s="6">
        <f>YEAR(E43)</f>
        <v/>
      </c>
      <c r="D43" s="6">
        <f>MONTH(E43)</f>
        <v/>
      </c>
      <c r="E43" s="267">
        <f>IFERROR(__xludf.DUMMYFUNCTION("""COMPUTED_VALUE"""),43153.6666666666)</f>
        <v/>
      </c>
      <c r="F43" s="6">
        <f>IFERROR(__xludf.DUMMYFUNCTION("""COMPUTED_VALUE"""),2703.96)</f>
        <v/>
      </c>
      <c r="J43" s="6">
        <f>K43&amp;L43</f>
        <v/>
      </c>
      <c r="K43" s="6">
        <f>YEAR(M43)</f>
        <v/>
      </c>
      <c r="L43" s="6">
        <f>MONTH(M43)</f>
        <v/>
      </c>
      <c r="M43" s="267">
        <f>IFERROR(__xludf.DUMMYFUNCTION("""COMPUTED_VALUE"""),43153.6666666666)</f>
        <v/>
      </c>
      <c r="N43" s="6">
        <f>IFERROR(__xludf.DUMMYFUNCTION("""COMPUTED_VALUE"""),7210.09)</f>
        <v/>
      </c>
      <c r="R43" s="6">
        <f>S43&amp;T43</f>
        <v/>
      </c>
      <c r="S43" s="6">
        <f>YEAR(U43)</f>
        <v/>
      </c>
      <c r="T43" s="6">
        <f>MONTH(U43)</f>
        <v/>
      </c>
      <c r="U43" s="267">
        <f>IFERROR(__xludf.DUMMYFUNCTION("""COMPUTED_VALUE"""),43153.6458333333)</f>
        <v/>
      </c>
      <c r="V43" s="6">
        <f>IFERROR(__xludf.DUMMYFUNCTION("""COMPUTED_VALUE"""),2414.28)</f>
        <v/>
      </c>
      <c r="Z43" s="6">
        <f>AA43&amp;AB43</f>
        <v/>
      </c>
      <c r="AA43" s="6">
        <f>YEAR(AC43)</f>
        <v/>
      </c>
      <c r="AB43" s="6">
        <f>MONTH(AC43)</f>
        <v/>
      </c>
      <c r="AC43" s="267">
        <f>IFERROR(__xludf.DUMMYFUNCTION("""COMPUTED_VALUE"""),43136.9986111111)</f>
        <v/>
      </c>
      <c r="AD43" s="6">
        <f>IFERROR(__xludf.DUMMYFUNCTION("""COMPUTED_VALUE"""),1093.3)</f>
        <v/>
      </c>
      <c r="AH43" s="6">
        <f>AI43&amp;AJ43</f>
        <v/>
      </c>
      <c r="AI43" s="6">
        <f>YEAR(AK43)</f>
        <v/>
      </c>
      <c r="AJ43" s="6">
        <f>MONTH(AK43)</f>
        <v/>
      </c>
      <c r="AK43" s="267">
        <f>IFERROR(__xludf.DUMMYFUNCTION("""COMPUTED_VALUE"""),43134.9986111111)</f>
        <v/>
      </c>
      <c r="AL43" s="6">
        <f>IFERROR(__xludf.DUMMYFUNCTION("""COMPUTED_VALUE"""),9085.82)</f>
        <v/>
      </c>
      <c r="AP43" s="6">
        <f>AQ43&amp;AR43</f>
        <v/>
      </c>
      <c r="AQ43" s="6">
        <f>YEAR(AS43)</f>
        <v/>
      </c>
      <c r="AR43" s="6">
        <f>MONTH(AS43)</f>
        <v/>
      </c>
      <c r="AS43" s="267">
        <f>IFERROR(__xludf.DUMMYFUNCTION("""COMPUTED_VALUE"""),43153.9986111111)</f>
        <v/>
      </c>
      <c r="AT43" s="6">
        <f>IFERROR(__xludf.DUMMYFUNCTION("""COMPUTED_VALUE"""),1332.7)</f>
        <v/>
      </c>
    </row>
    <row r="44">
      <c r="B44" s="6">
        <f>C44&amp;D44</f>
        <v/>
      </c>
      <c r="C44" s="6">
        <f>YEAR(E44)</f>
        <v/>
      </c>
      <c r="D44" s="6">
        <f>MONTH(E44)</f>
        <v/>
      </c>
      <c r="E44" s="267">
        <f>IFERROR(__xludf.DUMMYFUNCTION("""COMPUTED_VALUE"""),43154.6666666666)</f>
        <v/>
      </c>
      <c r="F44" s="6">
        <f>IFERROR(__xludf.DUMMYFUNCTION("""COMPUTED_VALUE"""),2747.3)</f>
        <v/>
      </c>
      <c r="J44" s="6">
        <f>K44&amp;L44</f>
        <v/>
      </c>
      <c r="K44" s="6">
        <f>YEAR(M44)</f>
        <v/>
      </c>
      <c r="L44" s="6">
        <f>MONTH(M44)</f>
        <v/>
      </c>
      <c r="M44" s="267">
        <f>IFERROR(__xludf.DUMMYFUNCTION("""COMPUTED_VALUE"""),43154.6666666666)</f>
        <v/>
      </c>
      <c r="N44" s="6">
        <f>IFERROR(__xludf.DUMMYFUNCTION("""COMPUTED_VALUE"""),7337.39)</f>
        <v/>
      </c>
      <c r="R44" s="6">
        <f>S44&amp;T44</f>
        <v/>
      </c>
      <c r="S44" s="6">
        <f>YEAR(U44)</f>
        <v/>
      </c>
      <c r="T44" s="6">
        <f>MONTH(U44)</f>
        <v/>
      </c>
      <c r="U44" s="267">
        <f>IFERROR(__xludf.DUMMYFUNCTION("""COMPUTED_VALUE"""),43154.6458333333)</f>
        <v/>
      </c>
      <c r="V44" s="6">
        <f>IFERROR(__xludf.DUMMYFUNCTION("""COMPUTED_VALUE"""),2451.52)</f>
        <v/>
      </c>
      <c r="Z44" s="6">
        <f>AA44&amp;AB44</f>
        <v/>
      </c>
      <c r="AA44" s="6">
        <f>YEAR(AC44)</f>
        <v/>
      </c>
      <c r="AB44" s="6">
        <f>MONTH(AC44)</f>
        <v/>
      </c>
      <c r="AC44" s="267">
        <f>IFERROR(__xludf.DUMMYFUNCTION("""COMPUTED_VALUE"""),43137.9986111111)</f>
        <v/>
      </c>
      <c r="AD44" s="6">
        <f>IFERROR(__xludf.DUMMYFUNCTION("""COMPUTED_VALUE"""),1079.26)</f>
        <v/>
      </c>
      <c r="AH44" s="6">
        <f>AI44&amp;AJ44</f>
        <v/>
      </c>
      <c r="AI44" s="6">
        <f>YEAR(AK44)</f>
        <v/>
      </c>
      <c r="AJ44" s="6">
        <f>MONTH(AK44)</f>
        <v/>
      </c>
      <c r="AK44" s="267">
        <f>IFERROR(__xludf.DUMMYFUNCTION("""COMPUTED_VALUE"""),43135.9986111111)</f>
        <v/>
      </c>
      <c r="AL44" s="6">
        <f>IFERROR(__xludf.DUMMYFUNCTION("""COMPUTED_VALUE"""),8250.71)</f>
        <v/>
      </c>
      <c r="AP44" s="6">
        <f>AQ44&amp;AR44</f>
        <v/>
      </c>
      <c r="AQ44" s="6">
        <f>YEAR(AS44)</f>
        <v/>
      </c>
      <c r="AR44" s="6">
        <f>MONTH(AS44)</f>
        <v/>
      </c>
      <c r="AS44" s="267">
        <f>IFERROR(__xludf.DUMMYFUNCTION("""COMPUTED_VALUE"""),43154.9986111111)</f>
        <v/>
      </c>
      <c r="AT44" s="6">
        <f>IFERROR(__xludf.DUMMYFUNCTION("""COMPUTED_VALUE"""),1330.3)</f>
        <v/>
      </c>
    </row>
    <row r="45">
      <c r="B45" s="6">
        <f>C45&amp;D45</f>
        <v/>
      </c>
      <c r="C45" s="6">
        <f>YEAR(E45)</f>
        <v/>
      </c>
      <c r="D45" s="6">
        <f>MONTH(E45)</f>
        <v/>
      </c>
      <c r="E45" s="267">
        <f>IFERROR(__xludf.DUMMYFUNCTION("""COMPUTED_VALUE"""),43157.6666666666)</f>
        <v/>
      </c>
      <c r="F45" s="6">
        <f>IFERROR(__xludf.DUMMYFUNCTION("""COMPUTED_VALUE"""),2779.6)</f>
        <v/>
      </c>
      <c r="J45" s="6">
        <f>K45&amp;L45</f>
        <v/>
      </c>
      <c r="K45" s="6">
        <f>YEAR(M45)</f>
        <v/>
      </c>
      <c r="L45" s="6">
        <f>MONTH(M45)</f>
        <v/>
      </c>
      <c r="M45" s="267">
        <f>IFERROR(__xludf.DUMMYFUNCTION("""COMPUTED_VALUE"""),43157.6666666666)</f>
        <v/>
      </c>
      <c r="N45" s="6">
        <f>IFERROR(__xludf.DUMMYFUNCTION("""COMPUTED_VALUE"""),7421.46)</f>
        <v/>
      </c>
      <c r="R45" s="6">
        <f>S45&amp;T45</f>
        <v/>
      </c>
      <c r="S45" s="6">
        <f>YEAR(U45)</f>
        <v/>
      </c>
      <c r="T45" s="6">
        <f>MONTH(U45)</f>
        <v/>
      </c>
      <c r="U45" s="267">
        <f>IFERROR(__xludf.DUMMYFUNCTION("""COMPUTED_VALUE"""),43157.6458333333)</f>
        <v/>
      </c>
      <c r="V45" s="6">
        <f>IFERROR(__xludf.DUMMYFUNCTION("""COMPUTED_VALUE"""),2457.65)</f>
        <v/>
      </c>
      <c r="Z45" s="6">
        <f>AA45&amp;AB45</f>
        <v/>
      </c>
      <c r="AA45" s="6">
        <f>YEAR(AC45)</f>
        <v/>
      </c>
      <c r="AB45" s="6">
        <f>MONTH(AC45)</f>
        <v/>
      </c>
      <c r="AC45" s="267">
        <f>IFERROR(__xludf.DUMMYFUNCTION("""COMPUTED_VALUE"""),43138.9986111111)</f>
        <v/>
      </c>
      <c r="AD45" s="6">
        <f>IFERROR(__xludf.DUMMYFUNCTION("""COMPUTED_VALUE"""),1089.42)</f>
        <v/>
      </c>
      <c r="AH45" s="6">
        <f>AI45&amp;AJ45</f>
        <v/>
      </c>
      <c r="AI45" s="6">
        <f>YEAR(AK45)</f>
        <v/>
      </c>
      <c r="AJ45" s="6">
        <f>MONTH(AK45)</f>
        <v/>
      </c>
      <c r="AK45" s="267">
        <f>IFERROR(__xludf.DUMMYFUNCTION("""COMPUTED_VALUE"""),43136.9986111111)</f>
        <v/>
      </c>
      <c r="AL45" s="6">
        <f>IFERROR(__xludf.DUMMYFUNCTION("""COMPUTED_VALUE"""),7164.72)</f>
        <v/>
      </c>
      <c r="AP45" s="6">
        <f>AQ45&amp;AR45</f>
        <v/>
      </c>
      <c r="AQ45" s="6">
        <f>YEAR(AS45)</f>
        <v/>
      </c>
      <c r="AR45" s="6">
        <f>MONTH(AS45)</f>
        <v/>
      </c>
      <c r="AS45" s="267">
        <f>IFERROR(__xludf.DUMMYFUNCTION("""COMPUTED_VALUE"""),43157.9986111111)</f>
        <v/>
      </c>
      <c r="AT45" s="6">
        <f>IFERROR(__xludf.DUMMYFUNCTION("""COMPUTED_VALUE"""),1332.8)</f>
        <v/>
      </c>
    </row>
    <row r="46">
      <c r="B46" s="6">
        <f>C46&amp;D46</f>
        <v/>
      </c>
      <c r="C46" s="6">
        <f>YEAR(E46)</f>
        <v/>
      </c>
      <c r="D46" s="6">
        <f>MONTH(E46)</f>
        <v/>
      </c>
      <c r="E46" s="267">
        <f>IFERROR(__xludf.DUMMYFUNCTION("""COMPUTED_VALUE"""),43158.6666666666)</f>
        <v/>
      </c>
      <c r="F46" s="6">
        <f>IFERROR(__xludf.DUMMYFUNCTION("""COMPUTED_VALUE"""),2744.28)</f>
        <v/>
      </c>
      <c r="J46" s="6">
        <f>K46&amp;L46</f>
        <v/>
      </c>
      <c r="K46" s="6">
        <f>YEAR(M46)</f>
        <v/>
      </c>
      <c r="L46" s="6">
        <f>MONTH(M46)</f>
        <v/>
      </c>
      <c r="M46" s="267">
        <f>IFERROR(__xludf.DUMMYFUNCTION("""COMPUTED_VALUE"""),43158.6666666666)</f>
        <v/>
      </c>
      <c r="N46" s="6">
        <f>IFERROR(__xludf.DUMMYFUNCTION("""COMPUTED_VALUE"""),7330.35)</f>
        <v/>
      </c>
      <c r="R46" s="6">
        <f>S46&amp;T46</f>
        <v/>
      </c>
      <c r="S46" s="6">
        <f>YEAR(U46)</f>
        <v/>
      </c>
      <c r="T46" s="6">
        <f>MONTH(U46)</f>
        <v/>
      </c>
      <c r="U46" s="267">
        <f>IFERROR(__xludf.DUMMYFUNCTION("""COMPUTED_VALUE"""),43158.6458333333)</f>
        <v/>
      </c>
      <c r="V46" s="6">
        <f>IFERROR(__xludf.DUMMYFUNCTION("""COMPUTED_VALUE"""),2456.14)</f>
        <v/>
      </c>
      <c r="Z46" s="6">
        <f>AA46&amp;AB46</f>
        <v/>
      </c>
      <c r="AA46" s="6">
        <f>YEAR(AC46)</f>
        <v/>
      </c>
      <c r="AB46" s="6">
        <f>MONTH(AC46)</f>
        <v/>
      </c>
      <c r="AC46" s="267">
        <f>IFERROR(__xludf.DUMMYFUNCTION("""COMPUTED_VALUE"""),43139.9986111111)</f>
        <v/>
      </c>
      <c r="AD46" s="6">
        <f>IFERROR(__xludf.DUMMYFUNCTION("""COMPUTED_VALUE"""),1095.86)</f>
        <v/>
      </c>
      <c r="AH46" s="6">
        <f>AI46&amp;AJ46</f>
        <v/>
      </c>
      <c r="AI46" s="6">
        <f>YEAR(AK46)</f>
        <v/>
      </c>
      <c r="AJ46" s="6">
        <f>MONTH(AK46)</f>
        <v/>
      </c>
      <c r="AK46" s="267">
        <f>IFERROR(__xludf.DUMMYFUNCTION("""COMPUTED_VALUE"""),43137.9986111111)</f>
        <v/>
      </c>
      <c r="AL46" s="6">
        <f>IFERROR(__xludf.DUMMYFUNCTION("""COMPUTED_VALUE"""),7773.81)</f>
        <v/>
      </c>
      <c r="AP46" s="6">
        <f>AQ46&amp;AR46</f>
        <v/>
      </c>
      <c r="AQ46" s="6">
        <f>YEAR(AS46)</f>
        <v/>
      </c>
      <c r="AR46" s="6">
        <f>MONTH(AS46)</f>
        <v/>
      </c>
      <c r="AS46" s="267">
        <f>IFERROR(__xludf.DUMMYFUNCTION("""COMPUTED_VALUE"""),43158.9986111111)</f>
        <v/>
      </c>
      <c r="AT46" s="6">
        <f>IFERROR(__xludf.DUMMYFUNCTION("""COMPUTED_VALUE"""),1318.6)</f>
        <v/>
      </c>
    </row>
    <row r="47">
      <c r="B47" s="6">
        <f>C47&amp;D47</f>
        <v/>
      </c>
      <c r="C47" s="6">
        <f>YEAR(E47)</f>
        <v/>
      </c>
      <c r="D47" s="6">
        <f>MONTH(E47)</f>
        <v/>
      </c>
      <c r="E47" s="267">
        <f>IFERROR(__xludf.DUMMYFUNCTION("""COMPUTED_VALUE"""),43159.6666666666)</f>
        <v/>
      </c>
      <c r="F47" s="6">
        <f>IFERROR(__xludf.DUMMYFUNCTION("""COMPUTED_VALUE"""),2713.83)</f>
        <v/>
      </c>
      <c r="J47" s="6">
        <f>K47&amp;L47</f>
        <v/>
      </c>
      <c r="K47" s="6">
        <f>YEAR(M47)</f>
        <v/>
      </c>
      <c r="L47" s="6">
        <f>MONTH(M47)</f>
        <v/>
      </c>
      <c r="M47" s="267">
        <f>IFERROR(__xludf.DUMMYFUNCTION("""COMPUTED_VALUE"""),43159.6666666666)</f>
        <v/>
      </c>
      <c r="N47" s="6">
        <f>IFERROR(__xludf.DUMMYFUNCTION("""COMPUTED_VALUE"""),7273.01)</f>
        <v/>
      </c>
      <c r="R47" s="6">
        <f>S47&amp;T47</f>
        <v/>
      </c>
      <c r="S47" s="6">
        <f>YEAR(U47)</f>
        <v/>
      </c>
      <c r="T47" s="6">
        <f>MONTH(U47)</f>
        <v/>
      </c>
      <c r="U47" s="267">
        <f>IFERROR(__xludf.DUMMYFUNCTION("""COMPUTED_VALUE"""),43159.6458333333)</f>
        <v/>
      </c>
      <c r="V47" s="6">
        <f>IFERROR(__xludf.DUMMYFUNCTION("""COMPUTED_VALUE"""),2427.36)</f>
        <v/>
      </c>
      <c r="Z47" s="6">
        <f>AA47&amp;AB47</f>
        <v/>
      </c>
      <c r="AA47" s="6">
        <f>YEAR(AC47)</f>
        <v/>
      </c>
      <c r="AB47" s="6">
        <f>MONTH(AC47)</f>
        <v/>
      </c>
      <c r="AC47" s="267">
        <f>IFERROR(__xludf.DUMMYFUNCTION("""COMPUTED_VALUE"""),43140.9986111111)</f>
        <v/>
      </c>
      <c r="AD47" s="6">
        <f>IFERROR(__xludf.DUMMYFUNCTION("""COMPUTED_VALUE"""),1083.25)</f>
        <v/>
      </c>
      <c r="AH47" s="6">
        <f>AI47&amp;AJ47</f>
        <v/>
      </c>
      <c r="AI47" s="6">
        <f>YEAR(AK47)</f>
        <v/>
      </c>
      <c r="AJ47" s="6">
        <f>MONTH(AK47)</f>
        <v/>
      </c>
      <c r="AK47" s="267">
        <f>IFERROR(__xludf.DUMMYFUNCTION("""COMPUTED_VALUE"""),43138.9986111111)</f>
        <v/>
      </c>
      <c r="AL47" s="6">
        <f>IFERROR(__xludf.DUMMYFUNCTION("""COMPUTED_VALUE"""),8093.58)</f>
        <v/>
      </c>
      <c r="AP47" s="6">
        <f>AQ47&amp;AR47</f>
        <v/>
      </c>
      <c r="AQ47" s="6">
        <f>YEAR(AS47)</f>
        <v/>
      </c>
      <c r="AR47" s="6">
        <f>MONTH(AS47)</f>
        <v/>
      </c>
      <c r="AS47" s="267">
        <f>IFERROR(__xludf.DUMMYFUNCTION("""COMPUTED_VALUE"""),43159.9986111111)</f>
        <v/>
      </c>
      <c r="AT47" s="6">
        <f>IFERROR(__xludf.DUMMYFUNCTION("""COMPUTED_VALUE"""),1317.9)</f>
        <v/>
      </c>
    </row>
    <row r="48">
      <c r="B48" s="6">
        <f>C48&amp;D48</f>
        <v/>
      </c>
      <c r="C48" s="6">
        <f>YEAR(E48)</f>
        <v/>
      </c>
      <c r="D48" s="6">
        <f>MONTH(E48)</f>
        <v/>
      </c>
      <c r="E48" s="267">
        <f>IFERROR(__xludf.DUMMYFUNCTION("""COMPUTED_VALUE"""),43160.6666666666)</f>
        <v/>
      </c>
      <c r="F48" s="6">
        <f>IFERROR(__xludf.DUMMYFUNCTION("""COMPUTED_VALUE"""),2677.67)</f>
        <v/>
      </c>
      <c r="J48" s="6">
        <f>K48&amp;L48</f>
        <v/>
      </c>
      <c r="K48" s="6">
        <f>YEAR(M48)</f>
        <v/>
      </c>
      <c r="L48" s="6">
        <f>MONTH(M48)</f>
        <v/>
      </c>
      <c r="M48" s="267">
        <f>IFERROR(__xludf.DUMMYFUNCTION("""COMPUTED_VALUE"""),43160.6666666666)</f>
        <v/>
      </c>
      <c r="N48" s="6">
        <f>IFERROR(__xludf.DUMMYFUNCTION("""COMPUTED_VALUE"""),7180.56)</f>
        <v/>
      </c>
      <c r="R48" s="6">
        <f>S48&amp;T48</f>
        <v/>
      </c>
      <c r="S48" s="6">
        <f>YEAR(U48)</f>
        <v/>
      </c>
      <c r="T48" s="6">
        <f>MONTH(U48)</f>
        <v/>
      </c>
      <c r="U48" s="267">
        <f>IFERROR(__xludf.DUMMYFUNCTION("""COMPUTED_VALUE"""),43161.6458333333)</f>
        <v/>
      </c>
      <c r="V48" s="6">
        <f>IFERROR(__xludf.DUMMYFUNCTION("""COMPUTED_VALUE"""),2402.16)</f>
        <v/>
      </c>
      <c r="Z48" s="6">
        <f>AA48&amp;AB48</f>
        <v/>
      </c>
      <c r="AA48" s="6">
        <f>YEAR(AC48)</f>
        <v/>
      </c>
      <c r="AB48" s="6">
        <f>MONTH(AC48)</f>
        <v/>
      </c>
      <c r="AC48" s="267">
        <f>IFERROR(__xludf.DUMMYFUNCTION("""COMPUTED_VALUE"""),43141.9986111111)</f>
        <v/>
      </c>
      <c r="AD48" s="6">
        <f>IFERROR(__xludf.DUMMYFUNCTION("""COMPUTED_VALUE"""),1083.25)</f>
        <v/>
      </c>
      <c r="AH48" s="6">
        <f>AI48&amp;AJ48</f>
        <v/>
      </c>
      <c r="AI48" s="6">
        <f>YEAR(AK48)</f>
        <v/>
      </c>
      <c r="AJ48" s="6">
        <f>MONTH(AK48)</f>
        <v/>
      </c>
      <c r="AK48" s="267">
        <f>IFERROR(__xludf.DUMMYFUNCTION("""COMPUTED_VALUE"""),43139.9986111111)</f>
        <v/>
      </c>
      <c r="AL48" s="6">
        <f>IFERROR(__xludf.DUMMYFUNCTION("""COMPUTED_VALUE"""),8188)</f>
        <v/>
      </c>
      <c r="AP48" s="6">
        <f>AQ48&amp;AR48</f>
        <v/>
      </c>
      <c r="AQ48" s="6">
        <f>YEAR(AS48)</f>
        <v/>
      </c>
      <c r="AR48" s="6">
        <f>MONTH(AS48)</f>
        <v/>
      </c>
      <c r="AS48" s="267">
        <f>IFERROR(__xludf.DUMMYFUNCTION("""COMPUTED_VALUE"""),43160.9986111111)</f>
        <v/>
      </c>
      <c r="AT48" s="6">
        <f>IFERROR(__xludf.DUMMYFUNCTION("""COMPUTED_VALUE"""),1305.2)</f>
        <v/>
      </c>
    </row>
    <row r="49">
      <c r="B49" s="6">
        <f>C49&amp;D49</f>
        <v/>
      </c>
      <c r="C49" s="6">
        <f>YEAR(E49)</f>
        <v/>
      </c>
      <c r="D49" s="6">
        <f>MONTH(E49)</f>
        <v/>
      </c>
      <c r="E49" s="267">
        <f>IFERROR(__xludf.DUMMYFUNCTION("""COMPUTED_VALUE"""),43161.6666666666)</f>
        <v/>
      </c>
      <c r="F49" s="6">
        <f>IFERROR(__xludf.DUMMYFUNCTION("""COMPUTED_VALUE"""),2691.25)</f>
        <v/>
      </c>
      <c r="J49" s="6">
        <f>K49&amp;L49</f>
        <v/>
      </c>
      <c r="K49" s="6">
        <f>YEAR(M49)</f>
        <v/>
      </c>
      <c r="L49" s="6">
        <f>MONTH(M49)</f>
        <v/>
      </c>
      <c r="M49" s="267">
        <f>IFERROR(__xludf.DUMMYFUNCTION("""COMPUTED_VALUE"""),43161.6666666666)</f>
        <v/>
      </c>
      <c r="N49" s="6">
        <f>IFERROR(__xludf.DUMMYFUNCTION("""COMPUTED_VALUE"""),7257.87)</f>
        <v/>
      </c>
      <c r="R49" s="6">
        <f>S49&amp;T49</f>
        <v/>
      </c>
      <c r="S49" s="6">
        <f>YEAR(U49)</f>
        <v/>
      </c>
      <c r="T49" s="6">
        <f>MONTH(U49)</f>
        <v/>
      </c>
      <c r="U49" s="267">
        <f>IFERROR(__xludf.DUMMYFUNCTION("""COMPUTED_VALUE"""),43164.6458333333)</f>
        <v/>
      </c>
      <c r="V49" s="6">
        <f>IFERROR(__xludf.DUMMYFUNCTION("""COMPUTED_VALUE"""),2375.06)</f>
        <v/>
      </c>
      <c r="Z49" s="6">
        <f>AA49&amp;AB49</f>
        <v/>
      </c>
      <c r="AA49" s="6">
        <f>YEAR(AC49)</f>
        <v/>
      </c>
      <c r="AB49" s="6">
        <f>MONTH(AC49)</f>
        <v/>
      </c>
      <c r="AC49" s="267">
        <f>IFERROR(__xludf.DUMMYFUNCTION("""COMPUTED_VALUE"""),43142.9986111111)</f>
        <v/>
      </c>
      <c r="AD49" s="6">
        <f>IFERROR(__xludf.DUMMYFUNCTION("""COMPUTED_VALUE"""),1083.17)</f>
        <v/>
      </c>
      <c r="AH49" s="6">
        <f>AI49&amp;AJ49</f>
        <v/>
      </c>
      <c r="AI49" s="6">
        <f>YEAR(AK49)</f>
        <v/>
      </c>
      <c r="AJ49" s="6">
        <f>MONTH(AK49)</f>
        <v/>
      </c>
      <c r="AK49" s="267">
        <f>IFERROR(__xludf.DUMMYFUNCTION("""COMPUTED_VALUE"""),43140.9986111111)</f>
        <v/>
      </c>
      <c r="AL49" s="6">
        <f>IFERROR(__xludf.DUMMYFUNCTION("""COMPUTED_VALUE"""),8549.94)</f>
        <v/>
      </c>
      <c r="AP49" s="6">
        <f>AQ49&amp;AR49</f>
        <v/>
      </c>
      <c r="AQ49" s="6">
        <f>YEAR(AS49)</f>
        <v/>
      </c>
      <c r="AR49" s="6">
        <f>MONTH(AS49)</f>
        <v/>
      </c>
      <c r="AS49" s="267">
        <f>IFERROR(__xludf.DUMMYFUNCTION("""COMPUTED_VALUE"""),43161.9986111111)</f>
        <v/>
      </c>
      <c r="AT49" s="6">
        <f>IFERROR(__xludf.DUMMYFUNCTION("""COMPUTED_VALUE"""),1323.4)</f>
        <v/>
      </c>
    </row>
    <row r="50">
      <c r="B50" s="6">
        <f>C50&amp;D50</f>
        <v/>
      </c>
      <c r="C50" s="6">
        <f>YEAR(E50)</f>
        <v/>
      </c>
      <c r="D50" s="6">
        <f>MONTH(E50)</f>
        <v/>
      </c>
      <c r="E50" s="267">
        <f>IFERROR(__xludf.DUMMYFUNCTION("""COMPUTED_VALUE"""),43164.6666666666)</f>
        <v/>
      </c>
      <c r="F50" s="6">
        <f>IFERROR(__xludf.DUMMYFUNCTION("""COMPUTED_VALUE"""),2720.94)</f>
        <v/>
      </c>
      <c r="J50" s="6">
        <f>K50&amp;L50</f>
        <v/>
      </c>
      <c r="K50" s="6">
        <f>YEAR(M50)</f>
        <v/>
      </c>
      <c r="L50" s="6">
        <f>MONTH(M50)</f>
        <v/>
      </c>
      <c r="M50" s="267">
        <f>IFERROR(__xludf.DUMMYFUNCTION("""COMPUTED_VALUE"""),43164.6666666666)</f>
        <v/>
      </c>
      <c r="N50" s="6">
        <f>IFERROR(__xludf.DUMMYFUNCTION("""COMPUTED_VALUE"""),7330.71)</f>
        <v/>
      </c>
      <c r="R50" s="6">
        <f>S50&amp;T50</f>
        <v/>
      </c>
      <c r="S50" s="6">
        <f>YEAR(U50)</f>
        <v/>
      </c>
      <c r="T50" s="6">
        <f>MONTH(U50)</f>
        <v/>
      </c>
      <c r="U50" s="267">
        <f>IFERROR(__xludf.DUMMYFUNCTION("""COMPUTED_VALUE"""),43165.6458333333)</f>
        <v/>
      </c>
      <c r="V50" s="6">
        <f>IFERROR(__xludf.DUMMYFUNCTION("""COMPUTED_VALUE"""),2411.41)</f>
        <v/>
      </c>
      <c r="Z50" s="6">
        <f>AA50&amp;AB50</f>
        <v/>
      </c>
      <c r="AA50" s="6">
        <f>YEAR(AC50)</f>
        <v/>
      </c>
      <c r="AB50" s="6">
        <f>MONTH(AC50)</f>
        <v/>
      </c>
      <c r="AC50" s="267">
        <f>IFERROR(__xludf.DUMMYFUNCTION("""COMPUTED_VALUE"""),43143.9986111111)</f>
        <v/>
      </c>
      <c r="AD50" s="6">
        <f>IFERROR(__xludf.DUMMYFUNCTION("""COMPUTED_VALUE"""),1082.61)</f>
        <v/>
      </c>
      <c r="AH50" s="6">
        <f>AI50&amp;AJ50</f>
        <v/>
      </c>
      <c r="AI50" s="6">
        <f>YEAR(AK50)</f>
        <v/>
      </c>
      <c r="AJ50" s="6">
        <f>MONTH(AK50)</f>
        <v/>
      </c>
      <c r="AK50" s="267">
        <f>IFERROR(__xludf.DUMMYFUNCTION("""COMPUTED_VALUE"""),43141.9986111111)</f>
        <v/>
      </c>
      <c r="AL50" s="6">
        <f>IFERROR(__xludf.DUMMYFUNCTION("""COMPUTED_VALUE"""),8410.13)</f>
        <v/>
      </c>
      <c r="AP50" s="6">
        <f>AQ50&amp;AR50</f>
        <v/>
      </c>
      <c r="AQ50" s="6">
        <f>YEAR(AS50)</f>
        <v/>
      </c>
      <c r="AR50" s="6">
        <f>MONTH(AS50)</f>
        <v/>
      </c>
      <c r="AS50" s="267">
        <f>IFERROR(__xludf.DUMMYFUNCTION("""COMPUTED_VALUE"""),43164.9986111111)</f>
        <v/>
      </c>
      <c r="AT50" s="6">
        <f>IFERROR(__xludf.DUMMYFUNCTION("""COMPUTED_VALUE"""),1319.9)</f>
        <v/>
      </c>
    </row>
    <row r="51">
      <c r="B51" s="6">
        <f>C51&amp;D51</f>
        <v/>
      </c>
      <c r="C51" s="6">
        <f>YEAR(E51)</f>
        <v/>
      </c>
      <c r="D51" s="6">
        <f>MONTH(E51)</f>
        <v/>
      </c>
      <c r="E51" s="267">
        <f>IFERROR(__xludf.DUMMYFUNCTION("""COMPUTED_VALUE"""),43165.6666666666)</f>
        <v/>
      </c>
      <c r="F51" s="6">
        <f>IFERROR(__xludf.DUMMYFUNCTION("""COMPUTED_VALUE"""),2728.12)</f>
        <v/>
      </c>
      <c r="J51" s="6">
        <f>K51&amp;L51</f>
        <v/>
      </c>
      <c r="K51" s="6">
        <f>YEAR(M51)</f>
        <v/>
      </c>
      <c r="L51" s="6">
        <f>MONTH(M51)</f>
        <v/>
      </c>
      <c r="M51" s="267">
        <f>IFERROR(__xludf.DUMMYFUNCTION("""COMPUTED_VALUE"""),43165.6666666666)</f>
        <v/>
      </c>
      <c r="N51" s="6">
        <f>IFERROR(__xludf.DUMMYFUNCTION("""COMPUTED_VALUE"""),7372.01)</f>
        <v/>
      </c>
      <c r="R51" s="6">
        <f>S51&amp;T51</f>
        <v/>
      </c>
      <c r="S51" s="6">
        <f>YEAR(U51)</f>
        <v/>
      </c>
      <c r="T51" s="6">
        <f>MONTH(U51)</f>
        <v/>
      </c>
      <c r="U51" s="267">
        <f>IFERROR(__xludf.DUMMYFUNCTION("""COMPUTED_VALUE"""),43167.6458333333)</f>
        <v/>
      </c>
      <c r="V51" s="6">
        <f>IFERROR(__xludf.DUMMYFUNCTION("""COMPUTED_VALUE"""),2433.08)</f>
        <v/>
      </c>
      <c r="Z51" s="6">
        <f>AA51&amp;AB51</f>
        <v/>
      </c>
      <c r="AA51" s="6">
        <f>YEAR(AC51)</f>
        <v/>
      </c>
      <c r="AB51" s="6">
        <f>MONTH(AC51)</f>
        <v/>
      </c>
      <c r="AC51" s="267">
        <f>IFERROR(__xludf.DUMMYFUNCTION("""COMPUTED_VALUE"""),43144.9986111111)</f>
        <v/>
      </c>
      <c r="AD51" s="6">
        <f>IFERROR(__xludf.DUMMYFUNCTION("""COMPUTED_VALUE"""),1083.77)</f>
        <v/>
      </c>
      <c r="AH51" s="6">
        <f>AI51&amp;AJ51</f>
        <v/>
      </c>
      <c r="AI51" s="6">
        <f>YEAR(AK51)</f>
        <v/>
      </c>
      <c r="AJ51" s="6">
        <f>MONTH(AK51)</f>
        <v/>
      </c>
      <c r="AK51" s="267">
        <f>IFERROR(__xludf.DUMMYFUNCTION("""COMPUTED_VALUE"""),43142.9986111111)</f>
        <v/>
      </c>
      <c r="AL51" s="6">
        <f>IFERROR(__xludf.DUMMYFUNCTION("""COMPUTED_VALUE"""),8224.54)</f>
        <v/>
      </c>
      <c r="AP51" s="6">
        <f>AQ51&amp;AR51</f>
        <v/>
      </c>
      <c r="AQ51" s="6">
        <f>YEAR(AS51)</f>
        <v/>
      </c>
      <c r="AR51" s="6">
        <f>MONTH(AS51)</f>
        <v/>
      </c>
      <c r="AS51" s="267">
        <f>IFERROR(__xludf.DUMMYFUNCTION("""COMPUTED_VALUE"""),43165.9986111111)</f>
        <v/>
      </c>
      <c r="AT51" s="6">
        <f>IFERROR(__xludf.DUMMYFUNCTION("""COMPUTED_VALUE"""),1335.2)</f>
        <v/>
      </c>
    </row>
    <row r="52">
      <c r="B52" s="6">
        <f>C52&amp;D52</f>
        <v/>
      </c>
      <c r="C52" s="6">
        <f>YEAR(E52)</f>
        <v/>
      </c>
      <c r="D52" s="6">
        <f>MONTH(E52)</f>
        <v/>
      </c>
      <c r="E52" s="267">
        <f>IFERROR(__xludf.DUMMYFUNCTION("""COMPUTED_VALUE"""),43166.6666666666)</f>
        <v/>
      </c>
      <c r="F52" s="6">
        <f>IFERROR(__xludf.DUMMYFUNCTION("""COMPUTED_VALUE"""),2726.8)</f>
        <v/>
      </c>
      <c r="J52" s="6">
        <f>K52&amp;L52</f>
        <v/>
      </c>
      <c r="K52" s="6">
        <f>YEAR(M52)</f>
        <v/>
      </c>
      <c r="L52" s="6">
        <f>MONTH(M52)</f>
        <v/>
      </c>
      <c r="M52" s="267">
        <f>IFERROR(__xludf.DUMMYFUNCTION("""COMPUTED_VALUE"""),43166.6666666666)</f>
        <v/>
      </c>
      <c r="N52" s="6">
        <f>IFERROR(__xludf.DUMMYFUNCTION("""COMPUTED_VALUE"""),7396.65)</f>
        <v/>
      </c>
      <c r="R52" s="6">
        <f>S52&amp;T52</f>
        <v/>
      </c>
      <c r="S52" s="6">
        <f>YEAR(U52)</f>
        <v/>
      </c>
      <c r="T52" s="6">
        <f>MONTH(U52)</f>
        <v/>
      </c>
      <c r="U52" s="267">
        <f>IFERROR(__xludf.DUMMYFUNCTION("""COMPUTED_VALUE"""),43168.6458333333)</f>
        <v/>
      </c>
      <c r="V52" s="6">
        <f>IFERROR(__xludf.DUMMYFUNCTION("""COMPUTED_VALUE"""),2459.45)</f>
        <v/>
      </c>
      <c r="Z52" s="6">
        <f>AA52&amp;AB52</f>
        <v/>
      </c>
      <c r="AA52" s="6">
        <f>YEAR(AC52)</f>
        <v/>
      </c>
      <c r="AB52" s="6">
        <f>MONTH(AC52)</f>
        <v/>
      </c>
      <c r="AC52" s="267">
        <f>IFERROR(__xludf.DUMMYFUNCTION("""COMPUTED_VALUE"""),43145.9986111111)</f>
        <v/>
      </c>
      <c r="AD52" s="6">
        <f>IFERROR(__xludf.DUMMYFUNCTION("""COMPUTED_VALUE"""),1070.01)</f>
        <v/>
      </c>
      <c r="AH52" s="6">
        <f>AI52&amp;AJ52</f>
        <v/>
      </c>
      <c r="AI52" s="6">
        <f>YEAR(AK52)</f>
        <v/>
      </c>
      <c r="AJ52" s="6">
        <f>MONTH(AK52)</f>
        <v/>
      </c>
      <c r="AK52" s="267">
        <f>IFERROR(__xludf.DUMMYFUNCTION("""COMPUTED_VALUE"""),43143.9986111111)</f>
        <v/>
      </c>
      <c r="AL52" s="6">
        <f>IFERROR(__xludf.DUMMYFUNCTION("""COMPUTED_VALUE"""),8835.65)</f>
        <v/>
      </c>
      <c r="AP52" s="6">
        <f>AQ52&amp;AR52</f>
        <v/>
      </c>
      <c r="AQ52" s="6">
        <f>YEAR(AS52)</f>
        <v/>
      </c>
      <c r="AR52" s="6">
        <f>MONTH(AS52)</f>
        <v/>
      </c>
      <c r="AS52" s="267">
        <f>IFERROR(__xludf.DUMMYFUNCTION("""COMPUTED_VALUE"""),43166.9986111111)</f>
        <v/>
      </c>
      <c r="AT52" s="6">
        <f>IFERROR(__xludf.DUMMYFUNCTION("""COMPUTED_VALUE"""),1327.6)</f>
        <v/>
      </c>
    </row>
    <row r="53">
      <c r="B53" s="6">
        <f>C53&amp;D53</f>
        <v/>
      </c>
      <c r="C53" s="6">
        <f>YEAR(E53)</f>
        <v/>
      </c>
      <c r="D53" s="6">
        <f>MONTH(E53)</f>
        <v/>
      </c>
      <c r="E53" s="267">
        <f>IFERROR(__xludf.DUMMYFUNCTION("""COMPUTED_VALUE"""),43167.6666666666)</f>
        <v/>
      </c>
      <c r="F53" s="6">
        <f>IFERROR(__xludf.DUMMYFUNCTION("""COMPUTED_VALUE"""),2738.97)</f>
        <v/>
      </c>
      <c r="J53" s="6">
        <f>K53&amp;L53</f>
        <v/>
      </c>
      <c r="K53" s="6">
        <f>YEAR(M53)</f>
        <v/>
      </c>
      <c r="L53" s="6">
        <f>MONTH(M53)</f>
        <v/>
      </c>
      <c r="M53" s="267">
        <f>IFERROR(__xludf.DUMMYFUNCTION("""COMPUTED_VALUE"""),43167.6666666666)</f>
        <v/>
      </c>
      <c r="N53" s="6">
        <f>IFERROR(__xludf.DUMMYFUNCTION("""COMPUTED_VALUE"""),7427.95)</f>
        <v/>
      </c>
      <c r="R53" s="6">
        <f>S53&amp;T53</f>
        <v/>
      </c>
      <c r="S53" s="6">
        <f>YEAR(U53)</f>
        <v/>
      </c>
      <c r="T53" s="6">
        <f>MONTH(U53)</f>
        <v/>
      </c>
      <c r="U53" s="267">
        <f>IFERROR(__xludf.DUMMYFUNCTION("""COMPUTED_VALUE"""),43171.6458333333)</f>
        <v/>
      </c>
      <c r="V53" s="6">
        <f>IFERROR(__xludf.DUMMYFUNCTION("""COMPUTED_VALUE"""),2484.12)</f>
        <v/>
      </c>
      <c r="Z53" s="6">
        <f>AA53&amp;AB53</f>
        <v/>
      </c>
      <c r="AA53" s="6">
        <f>YEAR(AC53)</f>
        <v/>
      </c>
      <c r="AB53" s="6">
        <f>MONTH(AC53)</f>
        <v/>
      </c>
      <c r="AC53" s="267">
        <f>IFERROR(__xludf.DUMMYFUNCTION("""COMPUTED_VALUE"""),43146.9986111111)</f>
        <v/>
      </c>
      <c r="AD53" s="6">
        <f>IFERROR(__xludf.DUMMYFUNCTION("""COMPUTED_VALUE"""),1063.07)</f>
        <v/>
      </c>
      <c r="AH53" s="6">
        <f>AI53&amp;AJ53</f>
        <v/>
      </c>
      <c r="AI53" s="6">
        <f>YEAR(AK53)</f>
        <v/>
      </c>
      <c r="AJ53" s="6">
        <f>MONTH(AK53)</f>
        <v/>
      </c>
      <c r="AK53" s="267">
        <f>IFERROR(__xludf.DUMMYFUNCTION("""COMPUTED_VALUE"""),43144.9986111111)</f>
        <v/>
      </c>
      <c r="AL53" s="6">
        <f>IFERROR(__xludf.DUMMYFUNCTION("""COMPUTED_VALUE"""),8557.84)</f>
        <v/>
      </c>
      <c r="AP53" s="6">
        <f>AQ53&amp;AR53</f>
        <v/>
      </c>
      <c r="AQ53" s="6">
        <f>YEAR(AS53)</f>
        <v/>
      </c>
      <c r="AR53" s="6">
        <f>MONTH(AS53)</f>
        <v/>
      </c>
      <c r="AS53" s="267">
        <f>IFERROR(__xludf.DUMMYFUNCTION("""COMPUTED_VALUE"""),43167.9986111111)</f>
        <v/>
      </c>
      <c r="AT53" s="6">
        <f>IFERROR(__xludf.DUMMYFUNCTION("""COMPUTED_VALUE"""),1321.7)</f>
        <v/>
      </c>
    </row>
    <row r="54">
      <c r="B54" s="6">
        <f>C54&amp;D54</f>
        <v/>
      </c>
      <c r="C54" s="6">
        <f>YEAR(E54)</f>
        <v/>
      </c>
      <c r="D54" s="6">
        <f>MONTH(E54)</f>
        <v/>
      </c>
      <c r="E54" s="267">
        <f>IFERROR(__xludf.DUMMYFUNCTION("""COMPUTED_VALUE"""),43168.6666666666)</f>
        <v/>
      </c>
      <c r="F54" s="6">
        <f>IFERROR(__xludf.DUMMYFUNCTION("""COMPUTED_VALUE"""),2786.57)</f>
        <v/>
      </c>
      <c r="J54" s="6">
        <f>K54&amp;L54</f>
        <v/>
      </c>
      <c r="K54" s="6">
        <f>YEAR(M54)</f>
        <v/>
      </c>
      <c r="L54" s="6">
        <f>MONTH(M54)</f>
        <v/>
      </c>
      <c r="M54" s="267">
        <f>IFERROR(__xludf.DUMMYFUNCTION("""COMPUTED_VALUE"""),43168.6666666666)</f>
        <v/>
      </c>
      <c r="N54" s="6">
        <f>IFERROR(__xludf.DUMMYFUNCTION("""COMPUTED_VALUE"""),7560.81)</f>
        <v/>
      </c>
      <c r="R54" s="6">
        <f>S54&amp;T54</f>
        <v/>
      </c>
      <c r="S54" s="6">
        <f>YEAR(U54)</f>
        <v/>
      </c>
      <c r="T54" s="6">
        <f>MONTH(U54)</f>
        <v/>
      </c>
      <c r="U54" s="267">
        <f>IFERROR(__xludf.DUMMYFUNCTION("""COMPUTED_VALUE"""),43172.6458333333)</f>
        <v/>
      </c>
      <c r="V54" s="6">
        <f>IFERROR(__xludf.DUMMYFUNCTION("""COMPUTED_VALUE"""),2494.49)</f>
        <v/>
      </c>
      <c r="Z54" s="6">
        <f>AA54&amp;AB54</f>
        <v/>
      </c>
      <c r="AA54" s="6">
        <f>YEAR(AC54)</f>
        <v/>
      </c>
      <c r="AB54" s="6">
        <f>MONTH(AC54)</f>
        <v/>
      </c>
      <c r="AC54" s="267">
        <f>IFERROR(__xludf.DUMMYFUNCTION("""COMPUTED_VALUE"""),43147.9986111111)</f>
        <v/>
      </c>
      <c r="AD54" s="6">
        <f>IFERROR(__xludf.DUMMYFUNCTION("""COMPUTED_VALUE"""),1065.6)</f>
        <v/>
      </c>
      <c r="AH54" s="6">
        <f>AI54&amp;AJ54</f>
        <v/>
      </c>
      <c r="AI54" s="6">
        <f>YEAR(AK54)</f>
        <v/>
      </c>
      <c r="AJ54" s="6">
        <f>MONTH(AK54)</f>
        <v/>
      </c>
      <c r="AK54" s="267">
        <f>IFERROR(__xludf.DUMMYFUNCTION("""COMPUTED_VALUE"""),43145.9986111111)</f>
        <v/>
      </c>
      <c r="AL54" s="6">
        <f>IFERROR(__xludf.DUMMYFUNCTION("""COMPUTED_VALUE"""),9285.3)</f>
        <v/>
      </c>
      <c r="AP54" s="6">
        <f>AQ54&amp;AR54</f>
        <v/>
      </c>
      <c r="AQ54" s="6">
        <f>YEAR(AS54)</f>
        <v/>
      </c>
      <c r="AR54" s="6">
        <f>MONTH(AS54)</f>
        <v/>
      </c>
      <c r="AS54" s="267">
        <f>IFERROR(__xludf.DUMMYFUNCTION("""COMPUTED_VALUE"""),43168.9986111111)</f>
        <v/>
      </c>
      <c r="AT54" s="6">
        <f>IFERROR(__xludf.DUMMYFUNCTION("""COMPUTED_VALUE"""),1324)</f>
        <v/>
      </c>
    </row>
    <row r="55">
      <c r="B55" s="6">
        <f>C55&amp;D55</f>
        <v/>
      </c>
      <c r="C55" s="6">
        <f>YEAR(E55)</f>
        <v/>
      </c>
      <c r="D55" s="6">
        <f>MONTH(E55)</f>
        <v/>
      </c>
      <c r="E55" s="267">
        <f>IFERROR(__xludf.DUMMYFUNCTION("""COMPUTED_VALUE"""),43171.6666666666)</f>
        <v/>
      </c>
      <c r="F55" s="6">
        <f>IFERROR(__xludf.DUMMYFUNCTION("""COMPUTED_VALUE"""),2783.02)</f>
        <v/>
      </c>
      <c r="J55" s="6">
        <f>K55&amp;L55</f>
        <v/>
      </c>
      <c r="K55" s="6">
        <f>YEAR(M55)</f>
        <v/>
      </c>
      <c r="L55" s="6">
        <f>MONTH(M55)</f>
        <v/>
      </c>
      <c r="M55" s="267">
        <f>IFERROR(__xludf.DUMMYFUNCTION("""COMPUTED_VALUE"""),43171.6666666666)</f>
        <v/>
      </c>
      <c r="N55" s="6">
        <f>IFERROR(__xludf.DUMMYFUNCTION("""COMPUTED_VALUE"""),7588.33)</f>
        <v/>
      </c>
      <c r="R55" s="6">
        <f>S55&amp;T55</f>
        <v/>
      </c>
      <c r="S55" s="6">
        <f>YEAR(U55)</f>
        <v/>
      </c>
      <c r="T55" s="6">
        <f>MONTH(U55)</f>
        <v/>
      </c>
      <c r="U55" s="267">
        <f>IFERROR(__xludf.DUMMYFUNCTION("""COMPUTED_VALUE"""),43173.6458333333)</f>
        <v/>
      </c>
      <c r="V55" s="6">
        <f>IFERROR(__xludf.DUMMYFUNCTION("""COMPUTED_VALUE"""),2486.08)</f>
        <v/>
      </c>
      <c r="Z55" s="6">
        <f>AA55&amp;AB55</f>
        <v/>
      </c>
      <c r="AA55" s="6">
        <f>YEAR(AC55)</f>
        <v/>
      </c>
      <c r="AB55" s="6">
        <f>MONTH(AC55)</f>
        <v/>
      </c>
      <c r="AC55" s="267">
        <f>IFERROR(__xludf.DUMMYFUNCTION("""COMPUTED_VALUE"""),43148.9986111111)</f>
        <v/>
      </c>
      <c r="AD55" s="6">
        <f>IFERROR(__xludf.DUMMYFUNCTION("""COMPUTED_VALUE"""),1065.6)</f>
        <v/>
      </c>
      <c r="AH55" s="6">
        <f>AI55&amp;AJ55</f>
        <v/>
      </c>
      <c r="AI55" s="6">
        <f>YEAR(AK55)</f>
        <v/>
      </c>
      <c r="AJ55" s="6">
        <f>MONTH(AK55)</f>
        <v/>
      </c>
      <c r="AK55" s="267">
        <f>IFERROR(__xludf.DUMMYFUNCTION("""COMPUTED_VALUE"""),43146.9986111111)</f>
        <v/>
      </c>
      <c r="AL55" s="6">
        <f>IFERROR(__xludf.DUMMYFUNCTION("""COMPUTED_VALUE"""),9875.07)</f>
        <v/>
      </c>
      <c r="AP55" s="6">
        <f>AQ55&amp;AR55</f>
        <v/>
      </c>
      <c r="AQ55" s="6">
        <f>YEAR(AS55)</f>
        <v/>
      </c>
      <c r="AR55" s="6">
        <f>MONTH(AS55)</f>
        <v/>
      </c>
      <c r="AS55" s="267">
        <f>IFERROR(__xludf.DUMMYFUNCTION("""COMPUTED_VALUE"""),43171.9986111111)</f>
        <v/>
      </c>
      <c r="AT55" s="6">
        <f>IFERROR(__xludf.DUMMYFUNCTION("""COMPUTED_VALUE"""),1320.8)</f>
        <v/>
      </c>
    </row>
    <row r="56">
      <c r="B56" s="6">
        <f>C56&amp;D56</f>
        <v/>
      </c>
      <c r="C56" s="6">
        <f>YEAR(E56)</f>
        <v/>
      </c>
      <c r="D56" s="6">
        <f>MONTH(E56)</f>
        <v/>
      </c>
      <c r="E56" s="267">
        <f>IFERROR(__xludf.DUMMYFUNCTION("""COMPUTED_VALUE"""),43172.6666666666)</f>
        <v/>
      </c>
      <c r="F56" s="6">
        <f>IFERROR(__xludf.DUMMYFUNCTION("""COMPUTED_VALUE"""),2765.31)</f>
        <v/>
      </c>
      <c r="J56" s="6">
        <f>K56&amp;L56</f>
        <v/>
      </c>
      <c r="K56" s="6">
        <f>YEAR(M56)</f>
        <v/>
      </c>
      <c r="L56" s="6">
        <f>MONTH(M56)</f>
        <v/>
      </c>
      <c r="M56" s="267">
        <f>IFERROR(__xludf.DUMMYFUNCTION("""COMPUTED_VALUE"""),43172.6666666666)</f>
        <v/>
      </c>
      <c r="N56" s="6">
        <f>IFERROR(__xludf.DUMMYFUNCTION("""COMPUTED_VALUE"""),7511.01)</f>
        <v/>
      </c>
      <c r="R56" s="6">
        <f>S56&amp;T56</f>
        <v/>
      </c>
      <c r="S56" s="6">
        <f>YEAR(U56)</f>
        <v/>
      </c>
      <c r="T56" s="6">
        <f>MONTH(U56)</f>
        <v/>
      </c>
      <c r="U56" s="267">
        <f>IFERROR(__xludf.DUMMYFUNCTION("""COMPUTED_VALUE"""),43174.6458333333)</f>
        <v/>
      </c>
      <c r="V56" s="6">
        <f>IFERROR(__xludf.DUMMYFUNCTION("""COMPUTED_VALUE"""),2492.38)</f>
        <v/>
      </c>
      <c r="Z56" s="6">
        <f>AA56&amp;AB56</f>
        <v/>
      </c>
      <c r="AA56" s="6">
        <f>YEAR(AC56)</f>
        <v/>
      </c>
      <c r="AB56" s="6">
        <f>MONTH(AC56)</f>
        <v/>
      </c>
      <c r="AC56" s="267">
        <f>IFERROR(__xludf.DUMMYFUNCTION("""COMPUTED_VALUE"""),43149.9986111111)</f>
        <v/>
      </c>
      <c r="AD56" s="6">
        <f>IFERROR(__xludf.DUMMYFUNCTION("""COMPUTED_VALUE"""),1065.63)</f>
        <v/>
      </c>
      <c r="AH56" s="6">
        <f>AI56&amp;AJ56</f>
        <v/>
      </c>
      <c r="AI56" s="6">
        <f>YEAR(AK56)</f>
        <v/>
      </c>
      <c r="AJ56" s="6">
        <f>MONTH(AK56)</f>
        <v/>
      </c>
      <c r="AK56" s="267">
        <f>IFERROR(__xludf.DUMMYFUNCTION("""COMPUTED_VALUE"""),43147.9986111111)</f>
        <v/>
      </c>
      <c r="AL56" s="6">
        <f>IFERROR(__xludf.DUMMYFUNCTION("""COMPUTED_VALUE"""),10081.91)</f>
        <v/>
      </c>
      <c r="AP56" s="6">
        <f>AQ56&amp;AR56</f>
        <v/>
      </c>
      <c r="AQ56" s="6">
        <f>YEAR(AS56)</f>
        <v/>
      </c>
      <c r="AR56" s="6">
        <f>MONTH(AS56)</f>
        <v/>
      </c>
      <c r="AS56" s="267">
        <f>IFERROR(__xludf.DUMMYFUNCTION("""COMPUTED_VALUE"""),43172.9986111111)</f>
        <v/>
      </c>
      <c r="AT56" s="6">
        <f>IFERROR(__xludf.DUMMYFUNCTION("""COMPUTED_VALUE"""),1327.1)</f>
        <v/>
      </c>
    </row>
    <row r="57">
      <c r="B57" s="6">
        <f>C57&amp;D57</f>
        <v/>
      </c>
      <c r="C57" s="6">
        <f>YEAR(E57)</f>
        <v/>
      </c>
      <c r="D57" s="6">
        <f>MONTH(E57)</f>
        <v/>
      </c>
      <c r="E57" s="267">
        <f>IFERROR(__xludf.DUMMYFUNCTION("""COMPUTED_VALUE"""),43173.6666666666)</f>
        <v/>
      </c>
      <c r="F57" s="6">
        <f>IFERROR(__xludf.DUMMYFUNCTION("""COMPUTED_VALUE"""),2749.48)</f>
        <v/>
      </c>
      <c r="J57" s="6">
        <f>K57&amp;L57</f>
        <v/>
      </c>
      <c r="K57" s="6">
        <f>YEAR(M57)</f>
        <v/>
      </c>
      <c r="L57" s="6">
        <f>MONTH(M57)</f>
        <v/>
      </c>
      <c r="M57" s="267">
        <f>IFERROR(__xludf.DUMMYFUNCTION("""COMPUTED_VALUE"""),43173.6666666666)</f>
        <v/>
      </c>
      <c r="N57" s="6">
        <f>IFERROR(__xludf.DUMMYFUNCTION("""COMPUTED_VALUE"""),7496.81)</f>
        <v/>
      </c>
      <c r="R57" s="6">
        <f>S57&amp;T57</f>
        <v/>
      </c>
      <c r="S57" s="6">
        <f>YEAR(U57)</f>
        <v/>
      </c>
      <c r="T57" s="6">
        <f>MONTH(U57)</f>
        <v/>
      </c>
      <c r="U57" s="267">
        <f>IFERROR(__xludf.DUMMYFUNCTION("""COMPUTED_VALUE"""),43175.6458333333)</f>
        <v/>
      </c>
      <c r="V57" s="6">
        <f>IFERROR(__xludf.DUMMYFUNCTION("""COMPUTED_VALUE"""),2493.97)</f>
        <v/>
      </c>
      <c r="Z57" s="6">
        <f>AA57&amp;AB57</f>
        <v/>
      </c>
      <c r="AA57" s="6">
        <f>YEAR(AC57)</f>
        <v/>
      </c>
      <c r="AB57" s="6">
        <f>MONTH(AC57)</f>
        <v/>
      </c>
      <c r="AC57" s="267">
        <f>IFERROR(__xludf.DUMMYFUNCTION("""COMPUTED_VALUE"""),43150.9986111111)</f>
        <v/>
      </c>
      <c r="AD57" s="6">
        <f>IFERROR(__xludf.DUMMYFUNCTION("""COMPUTED_VALUE"""),1066.71)</f>
        <v/>
      </c>
      <c r="AH57" s="6">
        <f>AI57&amp;AJ57</f>
        <v/>
      </c>
      <c r="AI57" s="6">
        <f>YEAR(AK57)</f>
        <v/>
      </c>
      <c r="AJ57" s="6">
        <f>MONTH(AK57)</f>
        <v/>
      </c>
      <c r="AK57" s="267">
        <f>IFERROR(__xludf.DUMMYFUNCTION("""COMPUTED_VALUE"""),43148.9986111111)</f>
        <v/>
      </c>
      <c r="AL57" s="6">
        <f>IFERROR(__xludf.DUMMYFUNCTION("""COMPUTED_VALUE"""),11128.61)</f>
        <v/>
      </c>
      <c r="AP57" s="6">
        <f>AQ57&amp;AR57</f>
        <v/>
      </c>
      <c r="AQ57" s="6">
        <f>YEAR(AS57)</f>
        <v/>
      </c>
      <c r="AR57" s="6">
        <f>MONTH(AS57)</f>
        <v/>
      </c>
      <c r="AS57" s="267">
        <f>IFERROR(__xludf.DUMMYFUNCTION("""COMPUTED_VALUE"""),43173.9986111111)</f>
        <v/>
      </c>
      <c r="AT57" s="6">
        <f>IFERROR(__xludf.DUMMYFUNCTION("""COMPUTED_VALUE"""),1325.6)</f>
        <v/>
      </c>
    </row>
    <row r="58">
      <c r="B58" s="6">
        <f>C58&amp;D58</f>
        <v/>
      </c>
      <c r="C58" s="6">
        <f>YEAR(E58)</f>
        <v/>
      </c>
      <c r="D58" s="6">
        <f>MONTH(E58)</f>
        <v/>
      </c>
      <c r="E58" s="267">
        <f>IFERROR(__xludf.DUMMYFUNCTION("""COMPUTED_VALUE"""),43174.6666666666)</f>
        <v/>
      </c>
      <c r="F58" s="6">
        <f>IFERROR(__xludf.DUMMYFUNCTION("""COMPUTED_VALUE"""),2747.33)</f>
        <v/>
      </c>
      <c r="J58" s="6">
        <f>K58&amp;L58</f>
        <v/>
      </c>
      <c r="K58" s="6">
        <f>YEAR(M58)</f>
        <v/>
      </c>
      <c r="L58" s="6">
        <f>MONTH(M58)</f>
        <v/>
      </c>
      <c r="M58" s="267">
        <f>IFERROR(__xludf.DUMMYFUNCTION("""COMPUTED_VALUE"""),43174.6666666666)</f>
        <v/>
      </c>
      <c r="N58" s="6">
        <f>IFERROR(__xludf.DUMMYFUNCTION("""COMPUTED_VALUE"""),7481.74)</f>
        <v/>
      </c>
      <c r="R58" s="6">
        <f>S58&amp;T58</f>
        <v/>
      </c>
      <c r="S58" s="6">
        <f>YEAR(U58)</f>
        <v/>
      </c>
      <c r="T58" s="6">
        <f>MONTH(U58)</f>
        <v/>
      </c>
      <c r="U58" s="267">
        <f>IFERROR(__xludf.DUMMYFUNCTION("""COMPUTED_VALUE"""),43178.6458333333)</f>
        <v/>
      </c>
      <c r="V58" s="6">
        <f>IFERROR(__xludf.DUMMYFUNCTION("""COMPUTED_VALUE"""),2475.03)</f>
        <v/>
      </c>
      <c r="Z58" s="6">
        <f>AA58&amp;AB58</f>
        <v/>
      </c>
      <c r="AA58" s="6">
        <f>YEAR(AC58)</f>
        <v/>
      </c>
      <c r="AB58" s="6">
        <f>MONTH(AC58)</f>
        <v/>
      </c>
      <c r="AC58" s="267">
        <f>IFERROR(__xludf.DUMMYFUNCTION("""COMPUTED_VALUE"""),43151.9986111111)</f>
        <v/>
      </c>
      <c r="AD58" s="6">
        <f>IFERROR(__xludf.DUMMYFUNCTION("""COMPUTED_VALUE"""),1072.54)</f>
        <v/>
      </c>
      <c r="AH58" s="6">
        <f>AI58&amp;AJ58</f>
        <v/>
      </c>
      <c r="AI58" s="6">
        <f>YEAR(AK58)</f>
        <v/>
      </c>
      <c r="AJ58" s="6">
        <f>MONTH(AK58)</f>
        <v/>
      </c>
      <c r="AK58" s="267">
        <f>IFERROR(__xludf.DUMMYFUNCTION("""COMPUTED_VALUE"""),43149.9986111111)</f>
        <v/>
      </c>
      <c r="AL58" s="6">
        <f>IFERROR(__xludf.DUMMYFUNCTION("""COMPUTED_VALUE"""),10445.96)</f>
        <v/>
      </c>
      <c r="AP58" s="6">
        <f>AQ58&amp;AR58</f>
        <v/>
      </c>
      <c r="AQ58" s="6">
        <f>YEAR(AS58)</f>
        <v/>
      </c>
      <c r="AR58" s="6">
        <f>MONTH(AS58)</f>
        <v/>
      </c>
      <c r="AS58" s="267">
        <f>IFERROR(__xludf.DUMMYFUNCTION("""COMPUTED_VALUE"""),43174.9986111111)</f>
        <v/>
      </c>
      <c r="AT58" s="6">
        <f>IFERROR(__xludf.DUMMYFUNCTION("""COMPUTED_VALUE"""),1317.8)</f>
        <v/>
      </c>
    </row>
    <row r="59">
      <c r="B59" s="6">
        <f>C59&amp;D59</f>
        <v/>
      </c>
      <c r="C59" s="6">
        <f>YEAR(E59)</f>
        <v/>
      </c>
      <c r="D59" s="6">
        <f>MONTH(E59)</f>
        <v/>
      </c>
      <c r="E59" s="267">
        <f>IFERROR(__xludf.DUMMYFUNCTION("""COMPUTED_VALUE"""),43175.6666666666)</f>
        <v/>
      </c>
      <c r="F59" s="6">
        <f>IFERROR(__xludf.DUMMYFUNCTION("""COMPUTED_VALUE"""),2752.01)</f>
        <v/>
      </c>
      <c r="J59" s="6">
        <f>K59&amp;L59</f>
        <v/>
      </c>
      <c r="K59" s="6">
        <f>YEAR(M59)</f>
        <v/>
      </c>
      <c r="L59" s="6">
        <f>MONTH(M59)</f>
        <v/>
      </c>
      <c r="M59" s="267">
        <f>IFERROR(__xludf.DUMMYFUNCTION("""COMPUTED_VALUE"""),43175.6666666666)</f>
        <v/>
      </c>
      <c r="N59" s="6">
        <f>IFERROR(__xludf.DUMMYFUNCTION("""COMPUTED_VALUE"""),7481.99)</f>
        <v/>
      </c>
      <c r="R59" s="6">
        <f>S59&amp;T59</f>
        <v/>
      </c>
      <c r="S59" s="6">
        <f>YEAR(U59)</f>
        <v/>
      </c>
      <c r="T59" s="6">
        <f>MONTH(U59)</f>
        <v/>
      </c>
      <c r="U59" s="267">
        <f>IFERROR(__xludf.DUMMYFUNCTION("""COMPUTED_VALUE"""),43179.6458333333)</f>
        <v/>
      </c>
      <c r="V59" s="6">
        <f>IFERROR(__xludf.DUMMYFUNCTION("""COMPUTED_VALUE"""),2485.52)</f>
        <v/>
      </c>
      <c r="Z59" s="6">
        <f>AA59&amp;AB59</f>
        <v/>
      </c>
      <c r="AA59" s="6">
        <f>YEAR(AC59)</f>
        <v/>
      </c>
      <c r="AB59" s="6">
        <f>MONTH(AC59)</f>
        <v/>
      </c>
      <c r="AC59" s="267">
        <f>IFERROR(__xludf.DUMMYFUNCTION("""COMPUTED_VALUE"""),43152.9986111111)</f>
        <v/>
      </c>
      <c r="AD59" s="6">
        <f>IFERROR(__xludf.DUMMYFUNCTION("""COMPUTED_VALUE"""),1074.86)</f>
        <v/>
      </c>
      <c r="AH59" s="6">
        <f>AI59&amp;AJ59</f>
        <v/>
      </c>
      <c r="AI59" s="6">
        <f>YEAR(AK59)</f>
        <v/>
      </c>
      <c r="AJ59" s="6">
        <f>MONTH(AK59)</f>
        <v/>
      </c>
      <c r="AK59" s="267">
        <f>IFERROR(__xludf.DUMMYFUNCTION("""COMPUTED_VALUE"""),43150.9986111111)</f>
        <v/>
      </c>
      <c r="AL59" s="6">
        <f>IFERROR(__xludf.DUMMYFUNCTION("""COMPUTED_VALUE"""),11432.59)</f>
        <v/>
      </c>
      <c r="AP59" s="6">
        <f>AQ59&amp;AR59</f>
        <v/>
      </c>
      <c r="AQ59" s="6">
        <f>YEAR(AS59)</f>
        <v/>
      </c>
      <c r="AR59" s="6">
        <f>MONTH(AS59)</f>
        <v/>
      </c>
      <c r="AS59" s="267">
        <f>IFERROR(__xludf.DUMMYFUNCTION("""COMPUTED_VALUE"""),43175.9986111111)</f>
        <v/>
      </c>
      <c r="AT59" s="6">
        <f>IFERROR(__xludf.DUMMYFUNCTION("""COMPUTED_VALUE"""),1312.3)</f>
        <v/>
      </c>
    </row>
    <row r="60">
      <c r="B60" s="6">
        <f>C60&amp;D60</f>
        <v/>
      </c>
      <c r="C60" s="6">
        <f>YEAR(E60)</f>
        <v/>
      </c>
      <c r="D60" s="6">
        <f>MONTH(E60)</f>
        <v/>
      </c>
      <c r="E60" s="267">
        <f>IFERROR(__xludf.DUMMYFUNCTION("""COMPUTED_VALUE"""),43178.6666666666)</f>
        <v/>
      </c>
      <c r="F60" s="6">
        <f>IFERROR(__xludf.DUMMYFUNCTION("""COMPUTED_VALUE"""),2712.92)</f>
        <v/>
      </c>
      <c r="J60" s="6">
        <f>K60&amp;L60</f>
        <v/>
      </c>
      <c r="K60" s="6">
        <f>YEAR(M60)</f>
        <v/>
      </c>
      <c r="L60" s="6">
        <f>MONTH(M60)</f>
        <v/>
      </c>
      <c r="M60" s="267">
        <f>IFERROR(__xludf.DUMMYFUNCTION("""COMPUTED_VALUE"""),43178.6666666666)</f>
        <v/>
      </c>
      <c r="N60" s="6">
        <f>IFERROR(__xludf.DUMMYFUNCTION("""COMPUTED_VALUE"""),7344.24)</f>
        <v/>
      </c>
      <c r="R60" s="6">
        <f>S60&amp;T60</f>
        <v/>
      </c>
      <c r="S60" s="6">
        <f>YEAR(U60)</f>
        <v/>
      </c>
      <c r="T60" s="6">
        <f>MONTH(U60)</f>
        <v/>
      </c>
      <c r="U60" s="267">
        <f>IFERROR(__xludf.DUMMYFUNCTION("""COMPUTED_VALUE"""),43180.6458333333)</f>
        <v/>
      </c>
      <c r="V60" s="6">
        <f>IFERROR(__xludf.DUMMYFUNCTION("""COMPUTED_VALUE"""),2484.97)</f>
        <v/>
      </c>
      <c r="Z60" s="6">
        <f>AA60&amp;AB60</f>
        <v/>
      </c>
      <c r="AA60" s="6">
        <f>YEAR(AC60)</f>
        <v/>
      </c>
      <c r="AB60" s="6">
        <f>MONTH(AC60)</f>
        <v/>
      </c>
      <c r="AC60" s="267">
        <f>IFERROR(__xludf.DUMMYFUNCTION("""COMPUTED_VALUE"""),43153.9986111111)</f>
        <v/>
      </c>
      <c r="AD60" s="6">
        <f>IFERROR(__xludf.DUMMYFUNCTION("""COMPUTED_VALUE"""),1080.08)</f>
        <v/>
      </c>
      <c r="AH60" s="6">
        <f>AI60&amp;AJ60</f>
        <v/>
      </c>
      <c r="AI60" s="6">
        <f>YEAR(AK60)</f>
        <v/>
      </c>
      <c r="AJ60" s="6">
        <f>MONTH(AK60)</f>
        <v/>
      </c>
      <c r="AK60" s="267">
        <f>IFERROR(__xludf.DUMMYFUNCTION("""COMPUTED_VALUE"""),43151.9986111111)</f>
        <v/>
      </c>
      <c r="AL60" s="6">
        <f>IFERROR(__xludf.DUMMYFUNCTION("""COMPUTED_VALUE"""),11698.86)</f>
        <v/>
      </c>
      <c r="AP60" s="6">
        <f>AQ60&amp;AR60</f>
        <v/>
      </c>
      <c r="AQ60" s="6">
        <f>YEAR(AS60)</f>
        <v/>
      </c>
      <c r="AR60" s="6">
        <f>MONTH(AS60)</f>
        <v/>
      </c>
      <c r="AS60" s="267">
        <f>IFERROR(__xludf.DUMMYFUNCTION("""COMPUTED_VALUE"""),43178.9986111111)</f>
        <v/>
      </c>
      <c r="AT60" s="6">
        <f>IFERROR(__xludf.DUMMYFUNCTION("""COMPUTED_VALUE"""),1317.8)</f>
        <v/>
      </c>
    </row>
    <row r="61">
      <c r="B61" s="6">
        <f>C61&amp;D61</f>
        <v/>
      </c>
      <c r="C61" s="6">
        <f>YEAR(E61)</f>
        <v/>
      </c>
      <c r="D61" s="6">
        <f>MONTH(E61)</f>
        <v/>
      </c>
      <c r="E61" s="267">
        <f>IFERROR(__xludf.DUMMYFUNCTION("""COMPUTED_VALUE"""),43179.6666666666)</f>
        <v/>
      </c>
      <c r="F61" s="6">
        <f>IFERROR(__xludf.DUMMYFUNCTION("""COMPUTED_VALUE"""),2716.94)</f>
        <v/>
      </c>
      <c r="J61" s="6">
        <f>K61&amp;L61</f>
        <v/>
      </c>
      <c r="K61" s="6">
        <f>YEAR(M61)</f>
        <v/>
      </c>
      <c r="L61" s="6">
        <f>MONTH(M61)</f>
        <v/>
      </c>
      <c r="M61" s="267">
        <f>IFERROR(__xludf.DUMMYFUNCTION("""COMPUTED_VALUE"""),43179.6666666666)</f>
        <v/>
      </c>
      <c r="N61" s="6">
        <f>IFERROR(__xludf.DUMMYFUNCTION("""COMPUTED_VALUE"""),7364.3)</f>
        <v/>
      </c>
      <c r="R61" s="6">
        <f>S61&amp;T61</f>
        <v/>
      </c>
      <c r="S61" s="6">
        <f>YEAR(U61)</f>
        <v/>
      </c>
      <c r="T61" s="6">
        <f>MONTH(U61)</f>
        <v/>
      </c>
      <c r="U61" s="267">
        <f>IFERROR(__xludf.DUMMYFUNCTION("""COMPUTED_VALUE"""),43181.6458333333)</f>
        <v/>
      </c>
      <c r="V61" s="6">
        <f>IFERROR(__xludf.DUMMYFUNCTION("""COMPUTED_VALUE"""),2496.02)</f>
        <v/>
      </c>
      <c r="Z61" s="6">
        <f>AA61&amp;AB61</f>
        <v/>
      </c>
      <c r="AA61" s="6">
        <f>YEAR(AC61)</f>
        <v/>
      </c>
      <c r="AB61" s="6">
        <f>MONTH(AC61)</f>
        <v/>
      </c>
      <c r="AC61" s="267">
        <f>IFERROR(__xludf.DUMMYFUNCTION("""COMPUTED_VALUE"""),43154.9986111111)</f>
        <v/>
      </c>
      <c r="AD61" s="6">
        <f>IFERROR(__xludf.DUMMYFUNCTION("""COMPUTED_VALUE"""),1075.85)</f>
        <v/>
      </c>
      <c r="AH61" s="6">
        <f>AI61&amp;AJ61</f>
        <v/>
      </c>
      <c r="AI61" s="6">
        <f>YEAR(AK61)</f>
        <v/>
      </c>
      <c r="AJ61" s="6">
        <f>MONTH(AK61)</f>
        <v/>
      </c>
      <c r="AK61" s="267">
        <f>IFERROR(__xludf.DUMMYFUNCTION("""COMPUTED_VALUE"""),43152.9986111111)</f>
        <v/>
      </c>
      <c r="AL61" s="6">
        <f>IFERROR(__xludf.DUMMYFUNCTION("""COMPUTED_VALUE"""),10281.63)</f>
        <v/>
      </c>
      <c r="AP61" s="6">
        <f>AQ61&amp;AR61</f>
        <v/>
      </c>
      <c r="AQ61" s="6">
        <f>YEAR(AS61)</f>
        <v/>
      </c>
      <c r="AR61" s="6">
        <f>MONTH(AS61)</f>
        <v/>
      </c>
      <c r="AS61" s="267">
        <f>IFERROR(__xludf.DUMMYFUNCTION("""COMPUTED_VALUE"""),43179.9986111111)</f>
        <v/>
      </c>
      <c r="AT61" s="6">
        <f>IFERROR(__xludf.DUMMYFUNCTION("""COMPUTED_VALUE"""),1311.9)</f>
        <v/>
      </c>
    </row>
    <row r="62">
      <c r="B62" s="6">
        <f>C62&amp;D62</f>
        <v/>
      </c>
      <c r="C62" s="6">
        <f>YEAR(E62)</f>
        <v/>
      </c>
      <c r="D62" s="6">
        <f>MONTH(E62)</f>
        <v/>
      </c>
      <c r="E62" s="267">
        <f>IFERROR(__xludf.DUMMYFUNCTION("""COMPUTED_VALUE"""),43180.6666666666)</f>
        <v/>
      </c>
      <c r="F62" s="6">
        <f>IFERROR(__xludf.DUMMYFUNCTION("""COMPUTED_VALUE"""),2711.93)</f>
        <v/>
      </c>
      <c r="J62" s="6">
        <f>K62&amp;L62</f>
        <v/>
      </c>
      <c r="K62" s="6">
        <f>YEAR(M62)</f>
        <v/>
      </c>
      <c r="L62" s="6">
        <f>MONTH(M62)</f>
        <v/>
      </c>
      <c r="M62" s="267">
        <f>IFERROR(__xludf.DUMMYFUNCTION("""COMPUTED_VALUE"""),43180.6666666666)</f>
        <v/>
      </c>
      <c r="N62" s="6">
        <f>IFERROR(__xludf.DUMMYFUNCTION("""COMPUTED_VALUE"""),7345.29)</f>
        <v/>
      </c>
      <c r="R62" s="6">
        <f>S62&amp;T62</f>
        <v/>
      </c>
      <c r="S62" s="6">
        <f>YEAR(U62)</f>
        <v/>
      </c>
      <c r="T62" s="6">
        <f>MONTH(U62)</f>
        <v/>
      </c>
      <c r="U62" s="267">
        <f>IFERROR(__xludf.DUMMYFUNCTION("""COMPUTED_VALUE"""),43182.6458333333)</f>
        <v/>
      </c>
      <c r="V62" s="6">
        <f>IFERROR(__xludf.DUMMYFUNCTION("""COMPUTED_VALUE"""),2416.76)</f>
        <v/>
      </c>
      <c r="Z62" s="6">
        <f>AA62&amp;AB62</f>
        <v/>
      </c>
      <c r="AA62" s="6">
        <f>YEAR(AC62)</f>
        <v/>
      </c>
      <c r="AB62" s="6">
        <f>MONTH(AC62)</f>
        <v/>
      </c>
      <c r="AC62" s="267">
        <f>IFERROR(__xludf.DUMMYFUNCTION("""COMPUTED_VALUE"""),43155.9986111111)</f>
        <v/>
      </c>
      <c r="AD62" s="6">
        <f>IFERROR(__xludf.DUMMYFUNCTION("""COMPUTED_VALUE"""),1075)</f>
        <v/>
      </c>
      <c r="AH62" s="6">
        <f>AI62&amp;AJ62</f>
        <v/>
      </c>
      <c r="AI62" s="6">
        <f>YEAR(AK62)</f>
        <v/>
      </c>
      <c r="AJ62" s="6">
        <f>MONTH(AK62)</f>
        <v/>
      </c>
      <c r="AK62" s="267">
        <f>IFERROR(__xludf.DUMMYFUNCTION("""COMPUTED_VALUE"""),43153.9986111111)</f>
        <v/>
      </c>
      <c r="AL62" s="6">
        <f>IFERROR(__xludf.DUMMYFUNCTION("""COMPUTED_VALUE"""),9909.06)</f>
        <v/>
      </c>
      <c r="AP62" s="6">
        <f>AQ62&amp;AR62</f>
        <v/>
      </c>
      <c r="AQ62" s="6">
        <f>YEAR(AS62)</f>
        <v/>
      </c>
      <c r="AR62" s="6">
        <f>MONTH(AS62)</f>
        <v/>
      </c>
      <c r="AS62" s="267">
        <f>IFERROR(__xludf.DUMMYFUNCTION("""COMPUTED_VALUE"""),43180.9986111111)</f>
        <v/>
      </c>
      <c r="AT62" s="6">
        <f>IFERROR(__xludf.DUMMYFUNCTION("""COMPUTED_VALUE"""),1321.5)</f>
        <v/>
      </c>
    </row>
    <row r="63">
      <c r="B63" s="6">
        <f>C63&amp;D63</f>
        <v/>
      </c>
      <c r="C63" s="6">
        <f>YEAR(E63)</f>
        <v/>
      </c>
      <c r="D63" s="6">
        <f>MONTH(E63)</f>
        <v/>
      </c>
      <c r="E63" s="267">
        <f>IFERROR(__xludf.DUMMYFUNCTION("""COMPUTED_VALUE"""),43181.6666666666)</f>
        <v/>
      </c>
      <c r="F63" s="6">
        <f>IFERROR(__xludf.DUMMYFUNCTION("""COMPUTED_VALUE"""),2643.69)</f>
        <v/>
      </c>
      <c r="J63" s="6">
        <f>K63&amp;L63</f>
        <v/>
      </c>
      <c r="K63" s="6">
        <f>YEAR(M63)</f>
        <v/>
      </c>
      <c r="L63" s="6">
        <f>MONTH(M63)</f>
        <v/>
      </c>
      <c r="M63" s="267">
        <f>IFERROR(__xludf.DUMMYFUNCTION("""COMPUTED_VALUE"""),43181.6666666666)</f>
        <v/>
      </c>
      <c r="N63" s="6">
        <f>IFERROR(__xludf.DUMMYFUNCTION("""COMPUTED_VALUE"""),7166.68)</f>
        <v/>
      </c>
      <c r="R63" s="6">
        <f>S63&amp;T63</f>
        <v/>
      </c>
      <c r="S63" s="6">
        <f>YEAR(U63)</f>
        <v/>
      </c>
      <c r="T63" s="6">
        <f>MONTH(U63)</f>
        <v/>
      </c>
      <c r="U63" s="267">
        <f>IFERROR(__xludf.DUMMYFUNCTION("""COMPUTED_VALUE"""),43185.6458333333)</f>
        <v/>
      </c>
      <c r="V63" s="6">
        <f>IFERROR(__xludf.DUMMYFUNCTION("""COMPUTED_VALUE"""),2437.08)</f>
        <v/>
      </c>
      <c r="Z63" s="6">
        <f>AA63&amp;AB63</f>
        <v/>
      </c>
      <c r="AA63" s="6">
        <f>YEAR(AC63)</f>
        <v/>
      </c>
      <c r="AB63" s="6">
        <f>MONTH(AC63)</f>
        <v/>
      </c>
      <c r="AC63" s="267">
        <f>IFERROR(__xludf.DUMMYFUNCTION("""COMPUTED_VALUE"""),43156.9986111111)</f>
        <v/>
      </c>
      <c r="AD63" s="6">
        <f>IFERROR(__xludf.DUMMYFUNCTION("""COMPUTED_VALUE"""),1075)</f>
        <v/>
      </c>
      <c r="AH63" s="6">
        <f>AI63&amp;AJ63</f>
        <v/>
      </c>
      <c r="AI63" s="6">
        <f>YEAR(AK63)</f>
        <v/>
      </c>
      <c r="AJ63" s="6">
        <f>MONTH(AK63)</f>
        <v/>
      </c>
      <c r="AK63" s="267">
        <f>IFERROR(__xludf.DUMMYFUNCTION("""COMPUTED_VALUE"""),43154.9986111111)</f>
        <v/>
      </c>
      <c r="AL63" s="6">
        <f>IFERROR(__xludf.DUMMYFUNCTION("""COMPUTED_VALUE"""),10046.8)</f>
        <v/>
      </c>
      <c r="AP63" s="6">
        <f>AQ63&amp;AR63</f>
        <v/>
      </c>
      <c r="AQ63" s="6">
        <f>YEAR(AS63)</f>
        <v/>
      </c>
      <c r="AR63" s="6">
        <f>MONTH(AS63)</f>
        <v/>
      </c>
      <c r="AS63" s="267">
        <f>IFERROR(__xludf.DUMMYFUNCTION("""COMPUTED_VALUE"""),43181.9986111111)</f>
        <v/>
      </c>
      <c r="AT63" s="6">
        <f>IFERROR(__xludf.DUMMYFUNCTION("""COMPUTED_VALUE"""),1333.2)</f>
        <v/>
      </c>
    </row>
    <row r="64">
      <c r="B64" s="6">
        <f>C64&amp;D64</f>
        <v/>
      </c>
      <c r="C64" s="6">
        <f>YEAR(E64)</f>
        <v/>
      </c>
      <c r="D64" s="6">
        <f>MONTH(E64)</f>
        <v/>
      </c>
      <c r="E64" s="267">
        <f>IFERROR(__xludf.DUMMYFUNCTION("""COMPUTED_VALUE"""),43182.6666666666)</f>
        <v/>
      </c>
      <c r="F64" s="6">
        <f>IFERROR(__xludf.DUMMYFUNCTION("""COMPUTED_VALUE"""),2588.26)</f>
        <v/>
      </c>
      <c r="J64" s="6">
        <f>K64&amp;L64</f>
        <v/>
      </c>
      <c r="K64" s="6">
        <f>YEAR(M64)</f>
        <v/>
      </c>
      <c r="L64" s="6">
        <f>MONTH(M64)</f>
        <v/>
      </c>
      <c r="M64" s="267">
        <f>IFERROR(__xludf.DUMMYFUNCTION("""COMPUTED_VALUE"""),43182.6666666666)</f>
        <v/>
      </c>
      <c r="N64" s="6">
        <f>IFERROR(__xludf.DUMMYFUNCTION("""COMPUTED_VALUE"""),6992.67)</f>
        <v/>
      </c>
      <c r="R64" s="6">
        <f>S64&amp;T64</f>
        <v/>
      </c>
      <c r="S64" s="6">
        <f>YEAR(U64)</f>
        <v/>
      </c>
      <c r="T64" s="6">
        <f>MONTH(U64)</f>
        <v/>
      </c>
      <c r="U64" s="267">
        <f>IFERROR(__xludf.DUMMYFUNCTION("""COMPUTED_VALUE"""),43186.6458333333)</f>
        <v/>
      </c>
      <c r="V64" s="6">
        <f>IFERROR(__xludf.DUMMYFUNCTION("""COMPUTED_VALUE"""),2452.06)</f>
        <v/>
      </c>
      <c r="Z64" s="6">
        <f>AA64&amp;AB64</f>
        <v/>
      </c>
      <c r="AA64" s="6">
        <f>YEAR(AC64)</f>
        <v/>
      </c>
      <c r="AB64" s="6">
        <f>MONTH(AC64)</f>
        <v/>
      </c>
      <c r="AC64" s="267">
        <f>IFERROR(__xludf.DUMMYFUNCTION("""COMPUTED_VALUE"""),43157.9986111111)</f>
        <v/>
      </c>
      <c r="AD64" s="6">
        <f>IFERROR(__xludf.DUMMYFUNCTION("""COMPUTED_VALUE"""),1069.7)</f>
        <v/>
      </c>
      <c r="AH64" s="6">
        <f>AI64&amp;AJ64</f>
        <v/>
      </c>
      <c r="AI64" s="6">
        <f>YEAR(AK64)</f>
        <v/>
      </c>
      <c r="AJ64" s="6">
        <f>MONTH(AK64)</f>
        <v/>
      </c>
      <c r="AK64" s="267">
        <f>IFERROR(__xludf.DUMMYFUNCTION("""COMPUTED_VALUE"""),43155.9986111111)</f>
        <v/>
      </c>
      <c r="AL64" s="6">
        <f>IFERROR(__xludf.DUMMYFUNCTION("""COMPUTED_VALUE"""),9971.015)</f>
        <v/>
      </c>
      <c r="AP64" s="6">
        <f>AQ64&amp;AR64</f>
        <v/>
      </c>
      <c r="AQ64" s="6">
        <f>YEAR(AS64)</f>
        <v/>
      </c>
      <c r="AR64" s="6">
        <f>MONTH(AS64)</f>
        <v/>
      </c>
      <c r="AS64" s="267">
        <f>IFERROR(__xludf.DUMMYFUNCTION("""COMPUTED_VALUE"""),43182.9986111111)</f>
        <v/>
      </c>
      <c r="AT64" s="6">
        <f>IFERROR(__xludf.DUMMYFUNCTION("""COMPUTED_VALUE"""),1355.7)</f>
        <v/>
      </c>
    </row>
    <row r="65">
      <c r="B65" s="6">
        <f>C65&amp;D65</f>
        <v/>
      </c>
      <c r="C65" s="6">
        <f>YEAR(E65)</f>
        <v/>
      </c>
      <c r="D65" s="6">
        <f>MONTH(E65)</f>
        <v/>
      </c>
      <c r="E65" s="267">
        <f>IFERROR(__xludf.DUMMYFUNCTION("""COMPUTED_VALUE"""),43185.6666666666)</f>
        <v/>
      </c>
      <c r="F65" s="6">
        <f>IFERROR(__xludf.DUMMYFUNCTION("""COMPUTED_VALUE"""),2658.55)</f>
        <v/>
      </c>
      <c r="J65" s="6">
        <f>K65&amp;L65</f>
        <v/>
      </c>
      <c r="K65" s="6">
        <f>YEAR(M65)</f>
        <v/>
      </c>
      <c r="L65" s="6">
        <f>MONTH(M65)</f>
        <v/>
      </c>
      <c r="M65" s="267">
        <f>IFERROR(__xludf.DUMMYFUNCTION("""COMPUTED_VALUE"""),43185.6666666666)</f>
        <v/>
      </c>
      <c r="N65" s="6">
        <f>IFERROR(__xludf.DUMMYFUNCTION("""COMPUTED_VALUE"""),7220.54)</f>
        <v/>
      </c>
      <c r="R65" s="6">
        <f>S65&amp;T65</f>
        <v/>
      </c>
      <c r="S65" s="6">
        <f>YEAR(U65)</f>
        <v/>
      </c>
      <c r="T65" s="6">
        <f>MONTH(U65)</f>
        <v/>
      </c>
      <c r="U65" s="267">
        <f>IFERROR(__xludf.DUMMYFUNCTION("""COMPUTED_VALUE"""),43187.6458333333)</f>
        <v/>
      </c>
      <c r="V65" s="6">
        <f>IFERROR(__xludf.DUMMYFUNCTION("""COMPUTED_VALUE"""),2419.29)</f>
        <v/>
      </c>
      <c r="Z65" s="6">
        <f>AA65&amp;AB65</f>
        <v/>
      </c>
      <c r="AA65" s="6">
        <f>YEAR(AC65)</f>
        <v/>
      </c>
      <c r="AB65" s="6">
        <f>MONTH(AC65)</f>
        <v/>
      </c>
      <c r="AC65" s="267">
        <f>IFERROR(__xludf.DUMMYFUNCTION("""COMPUTED_VALUE"""),43158.9986111111)</f>
        <v/>
      </c>
      <c r="AD65" s="6">
        <f>IFERROR(__xludf.DUMMYFUNCTION("""COMPUTED_VALUE"""),1079.39)</f>
        <v/>
      </c>
      <c r="AH65" s="6">
        <f>AI65&amp;AJ65</f>
        <v/>
      </c>
      <c r="AI65" s="6">
        <f>YEAR(AK65)</f>
        <v/>
      </c>
      <c r="AJ65" s="6">
        <f>MONTH(AK65)</f>
        <v/>
      </c>
      <c r="AK65" s="267">
        <f>IFERROR(__xludf.DUMMYFUNCTION("""COMPUTED_VALUE"""),43156.9986111111)</f>
        <v/>
      </c>
      <c r="AL65" s="6">
        <f>IFERROR(__xludf.DUMMYFUNCTION("""COMPUTED_VALUE"""),9585.58)</f>
        <v/>
      </c>
      <c r="AP65" s="6">
        <f>AQ65&amp;AR65</f>
        <v/>
      </c>
      <c r="AQ65" s="6">
        <f>YEAR(AS65)</f>
        <v/>
      </c>
      <c r="AR65" s="6">
        <f>MONTH(AS65)</f>
        <v/>
      </c>
      <c r="AS65" s="267">
        <f>IFERROR(__xludf.DUMMYFUNCTION("""COMPUTED_VALUE"""),43185.9986111111)</f>
        <v/>
      </c>
      <c r="AT65" s="6">
        <f>IFERROR(__xludf.DUMMYFUNCTION("""COMPUTED_VALUE"""),1360.9)</f>
        <v/>
      </c>
    </row>
    <row r="66">
      <c r="B66" s="6">
        <f>C66&amp;D66</f>
        <v/>
      </c>
      <c r="C66" s="6">
        <f>YEAR(E66)</f>
        <v/>
      </c>
      <c r="D66" s="6">
        <f>MONTH(E66)</f>
        <v/>
      </c>
      <c r="E66" s="267">
        <f>IFERROR(__xludf.DUMMYFUNCTION("""COMPUTED_VALUE"""),43186.6666666666)</f>
        <v/>
      </c>
      <c r="F66" s="6">
        <f>IFERROR(__xludf.DUMMYFUNCTION("""COMPUTED_VALUE"""),2612.62)</f>
        <v/>
      </c>
      <c r="J66" s="6">
        <f>K66&amp;L66</f>
        <v/>
      </c>
      <c r="K66" s="6">
        <f>YEAR(M66)</f>
        <v/>
      </c>
      <c r="L66" s="6">
        <f>MONTH(M66)</f>
        <v/>
      </c>
      <c r="M66" s="267">
        <f>IFERROR(__xludf.DUMMYFUNCTION("""COMPUTED_VALUE"""),43186.6666666666)</f>
        <v/>
      </c>
      <c r="N66" s="6">
        <f>IFERROR(__xludf.DUMMYFUNCTION("""COMPUTED_VALUE"""),7008.81)</f>
        <v/>
      </c>
      <c r="R66" s="6">
        <f>S66&amp;T66</f>
        <v/>
      </c>
      <c r="S66" s="6">
        <f>YEAR(U66)</f>
        <v/>
      </c>
      <c r="T66" s="6">
        <f>MONTH(U66)</f>
        <v/>
      </c>
      <c r="U66" s="267">
        <f>IFERROR(__xludf.DUMMYFUNCTION("""COMPUTED_VALUE"""),43188.6458333333)</f>
        <v/>
      </c>
      <c r="V66" s="6">
        <f>IFERROR(__xludf.DUMMYFUNCTION("""COMPUTED_VALUE"""),2436.37)</f>
        <v/>
      </c>
      <c r="Z66" s="6">
        <f>AA66&amp;AB66</f>
        <v/>
      </c>
      <c r="AA66" s="6">
        <f>YEAR(AC66)</f>
        <v/>
      </c>
      <c r="AB66" s="6">
        <f>MONTH(AC66)</f>
        <v/>
      </c>
      <c r="AC66" s="267">
        <f>IFERROR(__xludf.DUMMYFUNCTION("""COMPUTED_VALUE"""),43159.9986111111)</f>
        <v/>
      </c>
      <c r="AD66" s="6">
        <f>IFERROR(__xludf.DUMMYFUNCTION("""COMPUTED_VALUE"""),1085.35)</f>
        <v/>
      </c>
      <c r="AH66" s="6">
        <f>AI66&amp;AJ66</f>
        <v/>
      </c>
      <c r="AI66" s="6">
        <f>YEAR(AK66)</f>
        <v/>
      </c>
      <c r="AJ66" s="6">
        <f>MONTH(AK66)</f>
        <v/>
      </c>
      <c r="AK66" s="267">
        <f>IFERROR(__xludf.DUMMYFUNCTION("""COMPUTED_VALUE"""),43157.9986111111)</f>
        <v/>
      </c>
      <c r="AL66" s="6">
        <f>IFERROR(__xludf.DUMMYFUNCTION("""COMPUTED_VALUE"""),10380.65)</f>
        <v/>
      </c>
      <c r="AP66" s="6">
        <f>AQ66&amp;AR66</f>
        <v/>
      </c>
      <c r="AQ66" s="6">
        <f>YEAR(AS66)</f>
        <v/>
      </c>
      <c r="AR66" s="6">
        <f>MONTH(AS66)</f>
        <v/>
      </c>
      <c r="AS66" s="267">
        <f>IFERROR(__xludf.DUMMYFUNCTION("""COMPUTED_VALUE"""),43186.9986111111)</f>
        <v/>
      </c>
      <c r="AT66" s="6">
        <f>IFERROR(__xludf.DUMMYFUNCTION("""COMPUTED_VALUE"""),1347.9)</f>
        <v/>
      </c>
    </row>
    <row r="67">
      <c r="B67" s="6">
        <f>C67&amp;D67</f>
        <v/>
      </c>
      <c r="C67" s="6">
        <f>YEAR(E67)</f>
        <v/>
      </c>
      <c r="D67" s="6">
        <f>MONTH(E67)</f>
        <v/>
      </c>
      <c r="E67" s="267">
        <f>IFERROR(__xludf.DUMMYFUNCTION("""COMPUTED_VALUE"""),43187.6666666666)</f>
        <v/>
      </c>
      <c r="F67" s="6">
        <f>IFERROR(__xludf.DUMMYFUNCTION("""COMPUTED_VALUE"""),2605)</f>
        <v/>
      </c>
      <c r="J67" s="6">
        <f>K67&amp;L67</f>
        <v/>
      </c>
      <c r="K67" s="6">
        <f>YEAR(M67)</f>
        <v/>
      </c>
      <c r="L67" s="6">
        <f>MONTH(M67)</f>
        <v/>
      </c>
      <c r="M67" s="267">
        <f>IFERROR(__xludf.DUMMYFUNCTION("""COMPUTED_VALUE"""),43187.6666666666)</f>
        <v/>
      </c>
      <c r="N67" s="6">
        <f>IFERROR(__xludf.DUMMYFUNCTION("""COMPUTED_VALUE"""),6949.23)</f>
        <v/>
      </c>
      <c r="R67" s="6">
        <f>S67&amp;T67</f>
        <v/>
      </c>
      <c r="S67" s="6">
        <f>YEAR(U67)</f>
        <v/>
      </c>
      <c r="T67" s="6">
        <f>MONTH(U67)</f>
        <v/>
      </c>
      <c r="U67" s="267">
        <f>IFERROR(__xludf.DUMMYFUNCTION("""COMPUTED_VALUE"""),43189.6458333333)</f>
        <v/>
      </c>
      <c r="V67" s="6">
        <f>IFERROR(__xludf.DUMMYFUNCTION("""COMPUTED_VALUE"""),2445.85)</f>
        <v/>
      </c>
      <c r="Z67" s="6">
        <f>AA67&amp;AB67</f>
        <v/>
      </c>
      <c r="AA67" s="6">
        <f>YEAR(AC67)</f>
        <v/>
      </c>
      <c r="AB67" s="6">
        <f>MONTH(AC67)</f>
        <v/>
      </c>
      <c r="AC67" s="267">
        <f>IFERROR(__xludf.DUMMYFUNCTION("""COMPUTED_VALUE"""),43160.9986111111)</f>
        <v/>
      </c>
      <c r="AD67" s="6">
        <f>IFERROR(__xludf.DUMMYFUNCTION("""COMPUTED_VALUE"""),1081.95)</f>
        <v/>
      </c>
      <c r="AH67" s="6">
        <f>AI67&amp;AJ67</f>
        <v/>
      </c>
      <c r="AI67" s="6">
        <f>YEAR(AK67)</f>
        <v/>
      </c>
      <c r="AJ67" s="6">
        <f>MONTH(AK67)</f>
        <v/>
      </c>
      <c r="AK67" s="267">
        <f>IFERROR(__xludf.DUMMYFUNCTION("""COMPUTED_VALUE"""),43158.9986111111)</f>
        <v/>
      </c>
      <c r="AL67" s="6">
        <f>IFERROR(__xludf.DUMMYFUNCTION("""COMPUTED_VALUE"""),10763.49)</f>
        <v/>
      </c>
      <c r="AP67" s="6">
        <f>AQ67&amp;AR67</f>
        <v/>
      </c>
      <c r="AQ67" s="6">
        <f>YEAR(AS67)</f>
        <v/>
      </c>
      <c r="AR67" s="6">
        <f>MONTH(AS67)</f>
        <v/>
      </c>
      <c r="AS67" s="267">
        <f>IFERROR(__xludf.DUMMYFUNCTION("""COMPUTED_VALUE"""),43187.9986111111)</f>
        <v/>
      </c>
      <c r="AT67" s="6">
        <f>IFERROR(__xludf.DUMMYFUNCTION("""COMPUTED_VALUE"""),1330)</f>
        <v/>
      </c>
    </row>
    <row r="68">
      <c r="B68" s="6">
        <f>C68&amp;D68</f>
        <v/>
      </c>
      <c r="C68" s="6">
        <f>YEAR(E68)</f>
        <v/>
      </c>
      <c r="D68" s="6">
        <f>MONTH(E68)</f>
        <v/>
      </c>
      <c r="E68" s="267">
        <f>IFERROR(__xludf.DUMMYFUNCTION("""COMPUTED_VALUE"""),43188.6666666666)</f>
        <v/>
      </c>
      <c r="F68" s="6">
        <f>IFERROR(__xludf.DUMMYFUNCTION("""COMPUTED_VALUE"""),2640.87)</f>
        <v/>
      </c>
      <c r="J68" s="6">
        <f>K68&amp;L68</f>
        <v/>
      </c>
      <c r="K68" s="6">
        <f>YEAR(M68)</f>
        <v/>
      </c>
      <c r="L68" s="6">
        <f>MONTH(M68)</f>
        <v/>
      </c>
      <c r="M68" s="267">
        <f>IFERROR(__xludf.DUMMYFUNCTION("""COMPUTED_VALUE"""),43188.6666666666)</f>
        <v/>
      </c>
      <c r="N68" s="6">
        <f>IFERROR(__xludf.DUMMYFUNCTION("""COMPUTED_VALUE"""),7063.45)</f>
        <v/>
      </c>
      <c r="R68" s="6">
        <f>S68&amp;T68</f>
        <v/>
      </c>
      <c r="S68" s="6">
        <f>YEAR(U68)</f>
        <v/>
      </c>
      <c r="T68" s="6">
        <f>MONTH(U68)</f>
        <v/>
      </c>
      <c r="U68" s="267">
        <f>IFERROR(__xludf.DUMMYFUNCTION("""COMPUTED_VALUE"""),43192.6458333333)</f>
        <v/>
      </c>
      <c r="V68" s="6">
        <f>IFERROR(__xludf.DUMMYFUNCTION("""COMPUTED_VALUE"""),2444.16)</f>
        <v/>
      </c>
      <c r="Z68" s="6">
        <f>AA68&amp;AB68</f>
        <v/>
      </c>
      <c r="AA68" s="6">
        <f>YEAR(AC68)</f>
        <v/>
      </c>
      <c r="AB68" s="6">
        <f>MONTH(AC68)</f>
        <v/>
      </c>
      <c r="AC68" s="267">
        <f>IFERROR(__xludf.DUMMYFUNCTION("""COMPUTED_VALUE"""),43161.9986111111)</f>
        <v/>
      </c>
      <c r="AD68" s="6">
        <f>IFERROR(__xludf.DUMMYFUNCTION("""COMPUTED_VALUE"""),1078.43)</f>
        <v/>
      </c>
      <c r="AH68" s="6">
        <f>AI68&amp;AJ68</f>
        <v/>
      </c>
      <c r="AI68" s="6">
        <f>YEAR(AK68)</f>
        <v/>
      </c>
      <c r="AJ68" s="6">
        <f>MONTH(AK68)</f>
        <v/>
      </c>
      <c r="AK68" s="267">
        <f>IFERROR(__xludf.DUMMYFUNCTION("""COMPUTED_VALUE"""),43159.9986111111)</f>
        <v/>
      </c>
      <c r="AL68" s="6">
        <f>IFERROR(__xludf.DUMMYFUNCTION("""COMPUTED_VALUE"""),10542.55)</f>
        <v/>
      </c>
      <c r="AP68" s="6">
        <f>AQ68&amp;AR68</f>
        <v/>
      </c>
      <c r="AQ68" s="6">
        <f>YEAR(AS68)</f>
        <v/>
      </c>
      <c r="AR68" s="6">
        <f>MONTH(AS68)</f>
        <v/>
      </c>
      <c r="AS68" s="267">
        <f>IFERROR(__xludf.DUMMYFUNCTION("""COMPUTED_VALUE"""),43188.9986111111)</f>
        <v/>
      </c>
      <c r="AT68" s="6">
        <f>IFERROR(__xludf.DUMMYFUNCTION("""COMPUTED_VALUE"""),1327.3)</f>
        <v/>
      </c>
    </row>
    <row r="69">
      <c r="B69" s="6">
        <f>C69&amp;D69</f>
        <v/>
      </c>
      <c r="C69" s="6">
        <f>YEAR(E69)</f>
        <v/>
      </c>
      <c r="D69" s="6">
        <f>MONTH(E69)</f>
        <v/>
      </c>
      <c r="E69" s="267">
        <f>IFERROR(__xludf.DUMMYFUNCTION("""COMPUTED_VALUE"""),43192.6666666666)</f>
        <v/>
      </c>
      <c r="F69" s="6">
        <f>IFERROR(__xludf.DUMMYFUNCTION("""COMPUTED_VALUE"""),2581.88)</f>
        <v/>
      </c>
      <c r="J69" s="6">
        <f>K69&amp;L69</f>
        <v/>
      </c>
      <c r="K69" s="6">
        <f>YEAR(M69)</f>
        <v/>
      </c>
      <c r="L69" s="6">
        <f>MONTH(M69)</f>
        <v/>
      </c>
      <c r="M69" s="267">
        <f>IFERROR(__xludf.DUMMYFUNCTION("""COMPUTED_VALUE"""),43192.6666666666)</f>
        <v/>
      </c>
      <c r="N69" s="6">
        <f>IFERROR(__xludf.DUMMYFUNCTION("""COMPUTED_VALUE"""),6870.12)</f>
        <v/>
      </c>
      <c r="R69" s="6">
        <f>S69&amp;T69</f>
        <v/>
      </c>
      <c r="S69" s="6">
        <f>YEAR(U69)</f>
        <v/>
      </c>
      <c r="T69" s="6">
        <f>MONTH(U69)</f>
        <v/>
      </c>
      <c r="U69" s="267">
        <f>IFERROR(__xludf.DUMMYFUNCTION("""COMPUTED_VALUE"""),43193.6458333333)</f>
        <v/>
      </c>
      <c r="V69" s="6">
        <f>IFERROR(__xludf.DUMMYFUNCTION("""COMPUTED_VALUE"""),2442.43)</f>
        <v/>
      </c>
      <c r="Z69" s="6">
        <f>AA69&amp;AB69</f>
        <v/>
      </c>
      <c r="AA69" s="6">
        <f>YEAR(AC69)</f>
        <v/>
      </c>
      <c r="AB69" s="6">
        <f>MONTH(AC69)</f>
        <v/>
      </c>
      <c r="AC69" s="267">
        <f>IFERROR(__xludf.DUMMYFUNCTION("""COMPUTED_VALUE"""),43162.9986111111)</f>
        <v/>
      </c>
      <c r="AD69" s="6">
        <f>IFERROR(__xludf.DUMMYFUNCTION("""COMPUTED_VALUE"""),1078.43)</f>
        <v/>
      </c>
      <c r="AH69" s="6">
        <f>AI69&amp;AJ69</f>
        <v/>
      </c>
      <c r="AI69" s="6">
        <f>YEAR(AK69)</f>
        <v/>
      </c>
      <c r="AJ69" s="6">
        <f>MONTH(AK69)</f>
        <v/>
      </c>
      <c r="AK69" s="267">
        <f>IFERROR(__xludf.DUMMYFUNCTION("""COMPUTED_VALUE"""),43160.9986111111)</f>
        <v/>
      </c>
      <c r="AL69" s="6">
        <f>IFERROR(__xludf.DUMMYFUNCTION("""COMPUTED_VALUE"""),10940.69)</f>
        <v/>
      </c>
      <c r="AP69" s="6">
        <f>AQ69&amp;AR69</f>
        <v/>
      </c>
      <c r="AQ69" s="6">
        <f>YEAR(AS69)</f>
        <v/>
      </c>
      <c r="AR69" s="6">
        <f>MONTH(AS69)</f>
        <v/>
      </c>
      <c r="AS69" s="267">
        <f>IFERROR(__xludf.DUMMYFUNCTION("""COMPUTED_VALUE"""),43192.9986111111)</f>
        <v/>
      </c>
      <c r="AT69" s="6">
        <f>IFERROR(__xludf.DUMMYFUNCTION("""COMPUTED_VALUE"""),1346.9)</f>
        <v/>
      </c>
    </row>
    <row r="70">
      <c r="B70" s="6">
        <f>C70&amp;D70</f>
        <v/>
      </c>
      <c r="C70" s="6">
        <f>YEAR(E70)</f>
        <v/>
      </c>
      <c r="D70" s="6">
        <f>MONTH(E70)</f>
        <v/>
      </c>
      <c r="E70" s="267">
        <f>IFERROR(__xludf.DUMMYFUNCTION("""COMPUTED_VALUE"""),43193.6666666666)</f>
        <v/>
      </c>
      <c r="F70" s="6">
        <f>IFERROR(__xludf.DUMMYFUNCTION("""COMPUTED_VALUE"""),2614.45)</f>
        <v/>
      </c>
      <c r="J70" s="6">
        <f>K70&amp;L70</f>
        <v/>
      </c>
      <c r="K70" s="6">
        <f>YEAR(M70)</f>
        <v/>
      </c>
      <c r="L70" s="6">
        <f>MONTH(M70)</f>
        <v/>
      </c>
      <c r="M70" s="267">
        <f>IFERROR(__xludf.DUMMYFUNCTION("""COMPUTED_VALUE"""),43193.6666666666)</f>
        <v/>
      </c>
      <c r="N70" s="6">
        <f>IFERROR(__xludf.DUMMYFUNCTION("""COMPUTED_VALUE"""),6941.28)</f>
        <v/>
      </c>
      <c r="R70" s="6">
        <f>S70&amp;T70</f>
        <v/>
      </c>
      <c r="S70" s="6">
        <f>YEAR(U70)</f>
        <v/>
      </c>
      <c r="T70" s="6">
        <f>MONTH(U70)</f>
        <v/>
      </c>
      <c r="U70" s="267">
        <f>IFERROR(__xludf.DUMMYFUNCTION("""COMPUTED_VALUE"""),43194.6458333333)</f>
        <v/>
      </c>
      <c r="V70" s="6">
        <f>IFERROR(__xludf.DUMMYFUNCTION("""COMPUTED_VALUE"""),2408.06)</f>
        <v/>
      </c>
      <c r="Z70" s="6">
        <f>AA70&amp;AB70</f>
        <v/>
      </c>
      <c r="AA70" s="6">
        <f>YEAR(AC70)</f>
        <v/>
      </c>
      <c r="AB70" s="6">
        <f>MONTH(AC70)</f>
        <v/>
      </c>
      <c r="AC70" s="267">
        <f>IFERROR(__xludf.DUMMYFUNCTION("""COMPUTED_VALUE"""),43163.9986111111)</f>
        <v/>
      </c>
      <c r="AD70" s="6">
        <f>IFERROR(__xludf.DUMMYFUNCTION("""COMPUTED_VALUE"""),1079.21)</f>
        <v/>
      </c>
      <c r="AH70" s="6">
        <f>AI70&amp;AJ70</f>
        <v/>
      </c>
      <c r="AI70" s="6">
        <f>YEAR(AK70)</f>
        <v/>
      </c>
      <c r="AJ70" s="6">
        <f>MONTH(AK70)</f>
        <v/>
      </c>
      <c r="AK70" s="267">
        <f>IFERROR(__xludf.DUMMYFUNCTION("""COMPUTED_VALUE"""),43161.9986111111)</f>
        <v/>
      </c>
      <c r="AL70" s="6">
        <f>IFERROR(__xludf.DUMMYFUNCTION("""COMPUTED_VALUE"""),11038.1)</f>
        <v/>
      </c>
      <c r="AP70" s="6">
        <f>AQ70&amp;AR70</f>
        <v/>
      </c>
      <c r="AQ70" s="6">
        <f>YEAR(AS70)</f>
        <v/>
      </c>
      <c r="AR70" s="6">
        <f>MONTH(AS70)</f>
        <v/>
      </c>
      <c r="AS70" s="267">
        <f>IFERROR(__xludf.DUMMYFUNCTION("""COMPUTED_VALUE"""),43193.9986111111)</f>
        <v/>
      </c>
      <c r="AT70" s="6">
        <f>IFERROR(__xludf.DUMMYFUNCTION("""COMPUTED_VALUE"""),1337.3)</f>
        <v/>
      </c>
    </row>
    <row r="71">
      <c r="B71" s="6">
        <f>C71&amp;D71</f>
        <v/>
      </c>
      <c r="C71" s="6">
        <f>YEAR(E71)</f>
        <v/>
      </c>
      <c r="D71" s="6">
        <f>MONTH(E71)</f>
        <v/>
      </c>
      <c r="E71" s="267">
        <f>IFERROR(__xludf.DUMMYFUNCTION("""COMPUTED_VALUE"""),43194.6666666666)</f>
        <v/>
      </c>
      <c r="F71" s="6">
        <f>IFERROR(__xludf.DUMMYFUNCTION("""COMPUTED_VALUE"""),2644.69)</f>
        <v/>
      </c>
      <c r="J71" s="6">
        <f>K71&amp;L71</f>
        <v/>
      </c>
      <c r="K71" s="6">
        <f>YEAR(M71)</f>
        <v/>
      </c>
      <c r="L71" s="6">
        <f>MONTH(M71)</f>
        <v/>
      </c>
      <c r="M71" s="267">
        <f>IFERROR(__xludf.DUMMYFUNCTION("""COMPUTED_VALUE"""),43194.6666666666)</f>
        <v/>
      </c>
      <c r="N71" s="6">
        <f>IFERROR(__xludf.DUMMYFUNCTION("""COMPUTED_VALUE"""),7042.11)</f>
        <v/>
      </c>
      <c r="R71" s="6">
        <f>S71&amp;T71</f>
        <v/>
      </c>
      <c r="S71" s="6">
        <f>YEAR(U71)</f>
        <v/>
      </c>
      <c r="T71" s="6">
        <f>MONTH(U71)</f>
        <v/>
      </c>
      <c r="U71" s="267">
        <f>IFERROR(__xludf.DUMMYFUNCTION("""COMPUTED_VALUE"""),43195.6458333333)</f>
        <v/>
      </c>
      <c r="V71" s="6">
        <f>IFERROR(__xludf.DUMMYFUNCTION("""COMPUTED_VALUE"""),2437.52)</f>
        <v/>
      </c>
      <c r="Z71" s="6">
        <f>AA71&amp;AB71</f>
        <v/>
      </c>
      <c r="AA71" s="6">
        <f>YEAR(AC71)</f>
        <v/>
      </c>
      <c r="AB71" s="6">
        <f>MONTH(AC71)</f>
        <v/>
      </c>
      <c r="AC71" s="267">
        <f>IFERROR(__xludf.DUMMYFUNCTION("""COMPUTED_VALUE"""),43164.9986111111)</f>
        <v/>
      </c>
      <c r="AD71" s="6">
        <f>IFERROR(__xludf.DUMMYFUNCTION("""COMPUTED_VALUE"""),1076.66)</f>
        <v/>
      </c>
      <c r="AH71" s="6">
        <f>AI71&amp;AJ71</f>
        <v/>
      </c>
      <c r="AI71" s="6">
        <f>YEAR(AK71)</f>
        <v/>
      </c>
      <c r="AJ71" s="6">
        <f>MONTH(AK71)</f>
        <v/>
      </c>
      <c r="AK71" s="267">
        <f>IFERROR(__xludf.DUMMYFUNCTION("""COMPUTED_VALUE"""),43162.9986111111)</f>
        <v/>
      </c>
      <c r="AL71" s="6">
        <f>IFERROR(__xludf.DUMMYFUNCTION("""COMPUTED_VALUE"""),11360.78)</f>
        <v/>
      </c>
      <c r="AP71" s="6">
        <f>AQ71&amp;AR71</f>
        <v/>
      </c>
      <c r="AQ71" s="6">
        <f>YEAR(AS71)</f>
        <v/>
      </c>
      <c r="AR71" s="6">
        <f>MONTH(AS71)</f>
        <v/>
      </c>
      <c r="AS71" s="267">
        <f>IFERROR(__xludf.DUMMYFUNCTION("""COMPUTED_VALUE"""),43194.9986111111)</f>
        <v/>
      </c>
      <c r="AT71" s="6">
        <f>IFERROR(__xludf.DUMMYFUNCTION("""COMPUTED_VALUE"""),1340.2)</f>
        <v/>
      </c>
    </row>
    <row r="72">
      <c r="B72" s="6">
        <f>C72&amp;D72</f>
        <v/>
      </c>
      <c r="C72" s="6">
        <f>YEAR(E72)</f>
        <v/>
      </c>
      <c r="D72" s="6">
        <f>MONTH(E72)</f>
        <v/>
      </c>
      <c r="E72" s="267">
        <f>IFERROR(__xludf.DUMMYFUNCTION("""COMPUTED_VALUE"""),43195.6666666666)</f>
        <v/>
      </c>
      <c r="F72" s="6">
        <f>IFERROR(__xludf.DUMMYFUNCTION("""COMPUTED_VALUE"""),2662.84)</f>
        <v/>
      </c>
      <c r="J72" s="6">
        <f>K72&amp;L72</f>
        <v/>
      </c>
      <c r="K72" s="6">
        <f>YEAR(M72)</f>
        <v/>
      </c>
      <c r="L72" s="6">
        <f>MONTH(M72)</f>
        <v/>
      </c>
      <c r="M72" s="267">
        <f>IFERROR(__xludf.DUMMYFUNCTION("""COMPUTED_VALUE"""),43195.6666666666)</f>
        <v/>
      </c>
      <c r="N72" s="6">
        <f>IFERROR(__xludf.DUMMYFUNCTION("""COMPUTED_VALUE"""),7076.55)</f>
        <v/>
      </c>
      <c r="R72" s="6">
        <f>S72&amp;T72</f>
        <v/>
      </c>
      <c r="S72" s="6">
        <f>YEAR(U72)</f>
        <v/>
      </c>
      <c r="T72" s="6">
        <f>MONTH(U72)</f>
        <v/>
      </c>
      <c r="U72" s="267">
        <f>IFERROR(__xludf.DUMMYFUNCTION("""COMPUTED_VALUE"""),43196.6458333333)</f>
        <v/>
      </c>
      <c r="V72" s="6">
        <f>IFERROR(__xludf.DUMMYFUNCTION("""COMPUTED_VALUE"""),2429.58)</f>
        <v/>
      </c>
      <c r="Z72" s="6">
        <f>AA72&amp;AB72</f>
        <v/>
      </c>
      <c r="AA72" s="6">
        <f>YEAR(AC72)</f>
        <v/>
      </c>
      <c r="AB72" s="6">
        <f>MONTH(AC72)</f>
        <v/>
      </c>
      <c r="AC72" s="267">
        <f>IFERROR(__xludf.DUMMYFUNCTION("""COMPUTED_VALUE"""),43165.9986111111)</f>
        <v/>
      </c>
      <c r="AD72" s="6">
        <f>IFERROR(__xludf.DUMMYFUNCTION("""COMPUTED_VALUE"""),1063.16)</f>
        <v/>
      </c>
      <c r="AH72" s="6">
        <f>AI72&amp;AJ72</f>
        <v/>
      </c>
      <c r="AI72" s="6">
        <f>YEAR(AK72)</f>
        <v/>
      </c>
      <c r="AJ72" s="6">
        <f>MONTH(AK72)</f>
        <v/>
      </c>
      <c r="AK72" s="267">
        <f>IFERROR(__xludf.DUMMYFUNCTION("""COMPUTED_VALUE"""),43163.9986111111)</f>
        <v/>
      </c>
      <c r="AL72" s="6">
        <f>IFERROR(__xludf.DUMMYFUNCTION("""COMPUTED_VALUE"""),11470.49)</f>
        <v/>
      </c>
      <c r="AP72" s="6">
        <f>AQ72&amp;AR72</f>
        <v/>
      </c>
      <c r="AQ72" s="6">
        <f>YEAR(AS72)</f>
        <v/>
      </c>
      <c r="AR72" s="6">
        <f>MONTH(AS72)</f>
        <v/>
      </c>
      <c r="AS72" s="267">
        <f>IFERROR(__xludf.DUMMYFUNCTION("""COMPUTED_VALUE"""),43195.9986111111)</f>
        <v/>
      </c>
      <c r="AT72" s="6">
        <f>IFERROR(__xludf.DUMMYFUNCTION("""COMPUTED_VALUE"""),1328.5)</f>
        <v/>
      </c>
    </row>
    <row r="73">
      <c r="B73" s="6">
        <f>C73&amp;D73</f>
        <v/>
      </c>
      <c r="C73" s="6">
        <f>YEAR(E73)</f>
        <v/>
      </c>
      <c r="D73" s="6">
        <f>MONTH(E73)</f>
        <v/>
      </c>
      <c r="E73" s="267">
        <f>IFERROR(__xludf.DUMMYFUNCTION("""COMPUTED_VALUE"""),43196.6666666666)</f>
        <v/>
      </c>
      <c r="F73" s="6">
        <f>IFERROR(__xludf.DUMMYFUNCTION("""COMPUTED_VALUE"""),2604.47)</f>
        <v/>
      </c>
      <c r="J73" s="6">
        <f>K73&amp;L73</f>
        <v/>
      </c>
      <c r="K73" s="6">
        <f>YEAR(M73)</f>
        <v/>
      </c>
      <c r="L73" s="6">
        <f>MONTH(M73)</f>
        <v/>
      </c>
      <c r="M73" s="267">
        <f>IFERROR(__xludf.DUMMYFUNCTION("""COMPUTED_VALUE"""),43196.6666666666)</f>
        <v/>
      </c>
      <c r="N73" s="6">
        <f>IFERROR(__xludf.DUMMYFUNCTION("""COMPUTED_VALUE"""),6915.11)</f>
        <v/>
      </c>
      <c r="R73" s="6">
        <f>S73&amp;T73</f>
        <v/>
      </c>
      <c r="S73" s="6">
        <f>YEAR(U73)</f>
        <v/>
      </c>
      <c r="T73" s="6">
        <f>MONTH(U73)</f>
        <v/>
      </c>
      <c r="U73" s="267">
        <f>IFERROR(__xludf.DUMMYFUNCTION("""COMPUTED_VALUE"""),43199.6458333333)</f>
        <v/>
      </c>
      <c r="V73" s="6">
        <f>IFERROR(__xludf.DUMMYFUNCTION("""COMPUTED_VALUE"""),2444.08)</f>
        <v/>
      </c>
      <c r="Z73" s="6">
        <f>AA73&amp;AB73</f>
        <v/>
      </c>
      <c r="AA73" s="6">
        <f>YEAR(AC73)</f>
        <v/>
      </c>
      <c r="AB73" s="6">
        <f>MONTH(AC73)</f>
        <v/>
      </c>
      <c r="AC73" s="267">
        <f>IFERROR(__xludf.DUMMYFUNCTION("""COMPUTED_VALUE"""),43166.9986111111)</f>
        <v/>
      </c>
      <c r="AD73" s="6">
        <f>IFERROR(__xludf.DUMMYFUNCTION("""COMPUTED_VALUE"""),1066.15)</f>
        <v/>
      </c>
      <c r="AH73" s="6">
        <f>AI73&amp;AJ73</f>
        <v/>
      </c>
      <c r="AI73" s="6">
        <f>YEAR(AK73)</f>
        <v/>
      </c>
      <c r="AJ73" s="6">
        <f>MONTH(AK73)</f>
        <v/>
      </c>
      <c r="AK73" s="267">
        <f>IFERROR(__xludf.DUMMYFUNCTION("""COMPUTED_VALUE"""),43164.9986111111)</f>
        <v/>
      </c>
      <c r="AL73" s="6">
        <f>IFERROR(__xludf.DUMMYFUNCTION("""COMPUTED_VALUE"""),11569.98)</f>
        <v/>
      </c>
      <c r="AP73" s="6">
        <f>AQ73&amp;AR73</f>
        <v/>
      </c>
      <c r="AQ73" s="6">
        <f>YEAR(AS73)</f>
        <v/>
      </c>
      <c r="AR73" s="6">
        <f>MONTH(AS73)</f>
        <v/>
      </c>
      <c r="AS73" s="267">
        <f>IFERROR(__xludf.DUMMYFUNCTION("""COMPUTED_VALUE"""),43196.9986111111)</f>
        <v/>
      </c>
      <c r="AT73" s="6">
        <f>IFERROR(__xludf.DUMMYFUNCTION("""COMPUTED_VALUE"""),1336.1)</f>
        <v/>
      </c>
    </row>
    <row r="74">
      <c r="B74" s="6">
        <f>C74&amp;D74</f>
        <v/>
      </c>
      <c r="C74" s="6">
        <f>YEAR(E74)</f>
        <v/>
      </c>
      <c r="D74" s="6">
        <f>MONTH(E74)</f>
        <v/>
      </c>
      <c r="E74" s="267">
        <f>IFERROR(__xludf.DUMMYFUNCTION("""COMPUTED_VALUE"""),43199.6666666666)</f>
        <v/>
      </c>
      <c r="F74" s="6">
        <f>IFERROR(__xludf.DUMMYFUNCTION("""COMPUTED_VALUE"""),2613.16)</f>
        <v/>
      </c>
      <c r="J74" s="6">
        <f>K74&amp;L74</f>
        <v/>
      </c>
      <c r="K74" s="6">
        <f>YEAR(M74)</f>
        <v/>
      </c>
      <c r="L74" s="6">
        <f>MONTH(M74)</f>
        <v/>
      </c>
      <c r="M74" s="267">
        <f>IFERROR(__xludf.DUMMYFUNCTION("""COMPUTED_VALUE"""),43199.6666666666)</f>
        <v/>
      </c>
      <c r="N74" s="6">
        <f>IFERROR(__xludf.DUMMYFUNCTION("""COMPUTED_VALUE"""),6950.34)</f>
        <v/>
      </c>
      <c r="R74" s="6">
        <f>S74&amp;T74</f>
        <v/>
      </c>
      <c r="S74" s="6">
        <f>YEAR(U74)</f>
        <v/>
      </c>
      <c r="T74" s="6">
        <f>MONTH(U74)</f>
        <v/>
      </c>
      <c r="U74" s="267">
        <f>IFERROR(__xludf.DUMMYFUNCTION("""COMPUTED_VALUE"""),43200.6458333333)</f>
        <v/>
      </c>
      <c r="V74" s="6">
        <f>IFERROR(__xludf.DUMMYFUNCTION("""COMPUTED_VALUE"""),2450.74)</f>
        <v/>
      </c>
      <c r="Z74" s="6">
        <f>AA74&amp;AB74</f>
        <v/>
      </c>
      <c r="AA74" s="6">
        <f>YEAR(AC74)</f>
        <v/>
      </c>
      <c r="AB74" s="6">
        <f>MONTH(AC74)</f>
        <v/>
      </c>
      <c r="AC74" s="267">
        <f>IFERROR(__xludf.DUMMYFUNCTION("""COMPUTED_VALUE"""),43167.9986111111)</f>
        <v/>
      </c>
      <c r="AD74" s="6">
        <f>IFERROR(__xludf.DUMMYFUNCTION("""COMPUTED_VALUE"""),1073.46)</f>
        <v/>
      </c>
      <c r="AH74" s="6">
        <f>AI74&amp;AJ74</f>
        <v/>
      </c>
      <c r="AI74" s="6">
        <f>YEAR(AK74)</f>
        <v/>
      </c>
      <c r="AJ74" s="6">
        <f>MONTH(AK74)</f>
        <v/>
      </c>
      <c r="AK74" s="267">
        <f>IFERROR(__xludf.DUMMYFUNCTION("""COMPUTED_VALUE"""),43165.9986111111)</f>
        <v/>
      </c>
      <c r="AL74" s="6">
        <f>IFERROR(__xludf.DUMMYFUNCTION("""COMPUTED_VALUE"""),10787.04)</f>
        <v/>
      </c>
      <c r="AP74" s="6">
        <f>AQ74&amp;AR74</f>
        <v/>
      </c>
      <c r="AQ74" s="6">
        <f>YEAR(AS74)</f>
        <v/>
      </c>
      <c r="AR74" s="6">
        <f>MONTH(AS74)</f>
        <v/>
      </c>
      <c r="AS74" s="267">
        <f>IFERROR(__xludf.DUMMYFUNCTION("""COMPUTED_VALUE"""),43199.9986111111)</f>
        <v/>
      </c>
      <c r="AT74" s="6">
        <f>IFERROR(__xludf.DUMMYFUNCTION("""COMPUTED_VALUE"""),1340.1)</f>
        <v/>
      </c>
    </row>
    <row r="75">
      <c r="B75" s="6">
        <f>C75&amp;D75</f>
        <v/>
      </c>
      <c r="C75" s="6">
        <f>YEAR(E75)</f>
        <v/>
      </c>
      <c r="D75" s="6">
        <f>MONTH(E75)</f>
        <v/>
      </c>
      <c r="E75" s="267">
        <f>IFERROR(__xludf.DUMMYFUNCTION("""COMPUTED_VALUE"""),43200.6666666666)</f>
        <v/>
      </c>
      <c r="F75" s="6">
        <f>IFERROR(__xludf.DUMMYFUNCTION("""COMPUTED_VALUE"""),2656.87)</f>
        <v/>
      </c>
      <c r="J75" s="6">
        <f>K75&amp;L75</f>
        <v/>
      </c>
      <c r="K75" s="6">
        <f>YEAR(M75)</f>
        <v/>
      </c>
      <c r="L75" s="6">
        <f>MONTH(M75)</f>
        <v/>
      </c>
      <c r="M75" s="267">
        <f>IFERROR(__xludf.DUMMYFUNCTION("""COMPUTED_VALUE"""),43200.6666666666)</f>
        <v/>
      </c>
      <c r="N75" s="6">
        <f>IFERROR(__xludf.DUMMYFUNCTION("""COMPUTED_VALUE"""),7094.3)</f>
        <v/>
      </c>
      <c r="R75" s="6">
        <f>S75&amp;T75</f>
        <v/>
      </c>
      <c r="S75" s="6">
        <f>YEAR(U75)</f>
        <v/>
      </c>
      <c r="T75" s="6">
        <f>MONTH(U75)</f>
        <v/>
      </c>
      <c r="U75" s="267">
        <f>IFERROR(__xludf.DUMMYFUNCTION("""COMPUTED_VALUE"""),43201.6458333333)</f>
        <v/>
      </c>
      <c r="V75" s="6">
        <f>IFERROR(__xludf.DUMMYFUNCTION("""COMPUTED_VALUE"""),2444.22)</f>
        <v/>
      </c>
      <c r="Z75" s="6">
        <f>AA75&amp;AB75</f>
        <v/>
      </c>
      <c r="AA75" s="6">
        <f>YEAR(AC75)</f>
        <v/>
      </c>
      <c r="AB75" s="6">
        <f>MONTH(AC75)</f>
        <v/>
      </c>
      <c r="AC75" s="267">
        <f>IFERROR(__xludf.DUMMYFUNCTION("""COMPUTED_VALUE"""),43168.9986111111)</f>
        <v/>
      </c>
      <c r="AD75" s="6">
        <f>IFERROR(__xludf.DUMMYFUNCTION("""COMPUTED_VALUE"""),1064)</f>
        <v/>
      </c>
      <c r="AH75" s="6">
        <f>AI75&amp;AJ75</f>
        <v/>
      </c>
      <c r="AI75" s="6">
        <f>YEAR(AK75)</f>
        <v/>
      </c>
      <c r="AJ75" s="6">
        <f>MONTH(AK75)</f>
        <v/>
      </c>
      <c r="AK75" s="267">
        <f>IFERROR(__xludf.DUMMYFUNCTION("""COMPUTED_VALUE"""),43166.9986111111)</f>
        <v/>
      </c>
      <c r="AL75" s="6">
        <f>IFERROR(__xludf.DUMMYFUNCTION("""COMPUTED_VALUE"""),9946.18)</f>
        <v/>
      </c>
      <c r="AP75" s="6">
        <f>AQ75&amp;AR75</f>
        <v/>
      </c>
      <c r="AQ75" s="6">
        <f>YEAR(AS75)</f>
        <v/>
      </c>
      <c r="AR75" s="6">
        <f>MONTH(AS75)</f>
        <v/>
      </c>
      <c r="AS75" s="267">
        <f>IFERROR(__xludf.DUMMYFUNCTION("""COMPUTED_VALUE"""),43200.9986111111)</f>
        <v/>
      </c>
      <c r="AT75" s="6">
        <f>IFERROR(__xludf.DUMMYFUNCTION("""COMPUTED_VALUE"""),1345.9)</f>
        <v/>
      </c>
    </row>
    <row r="76">
      <c r="B76" s="6">
        <f>C76&amp;D76</f>
        <v/>
      </c>
      <c r="C76" s="6">
        <f>YEAR(E76)</f>
        <v/>
      </c>
      <c r="D76" s="6">
        <f>MONTH(E76)</f>
        <v/>
      </c>
      <c r="E76" s="267">
        <f>IFERROR(__xludf.DUMMYFUNCTION("""COMPUTED_VALUE"""),43201.6666666666)</f>
        <v/>
      </c>
      <c r="F76" s="6">
        <f>IFERROR(__xludf.DUMMYFUNCTION("""COMPUTED_VALUE"""),2642.19)</f>
        <v/>
      </c>
      <c r="J76" s="6">
        <f>K76&amp;L76</f>
        <v/>
      </c>
      <c r="K76" s="6">
        <f>YEAR(M76)</f>
        <v/>
      </c>
      <c r="L76" s="6">
        <f>MONTH(M76)</f>
        <v/>
      </c>
      <c r="M76" s="267">
        <f>IFERROR(__xludf.DUMMYFUNCTION("""COMPUTED_VALUE"""),43201.6666666666)</f>
        <v/>
      </c>
      <c r="N76" s="6">
        <f>IFERROR(__xludf.DUMMYFUNCTION("""COMPUTED_VALUE"""),7069.03)</f>
        <v/>
      </c>
      <c r="R76" s="6">
        <f>S76&amp;T76</f>
        <v/>
      </c>
      <c r="S76" s="6">
        <f>YEAR(U76)</f>
        <v/>
      </c>
      <c r="T76" s="6">
        <f>MONTH(U76)</f>
        <v/>
      </c>
      <c r="U76" s="267">
        <f>IFERROR(__xludf.DUMMYFUNCTION("""COMPUTED_VALUE"""),43202.6458333333)</f>
        <v/>
      </c>
      <c r="V76" s="6">
        <f>IFERROR(__xludf.DUMMYFUNCTION("""COMPUTED_VALUE"""),2442.71)</f>
        <v/>
      </c>
      <c r="Z76" s="6">
        <f>AA76&amp;AB76</f>
        <v/>
      </c>
      <c r="AA76" s="6">
        <f>YEAR(AC76)</f>
        <v/>
      </c>
      <c r="AB76" s="6">
        <f>MONTH(AC76)</f>
        <v/>
      </c>
      <c r="AC76" s="267">
        <f>IFERROR(__xludf.DUMMYFUNCTION("""COMPUTED_VALUE"""),43170.9986111111)</f>
        <v/>
      </c>
      <c r="AD76" s="6">
        <f>IFERROR(__xludf.DUMMYFUNCTION("""COMPUTED_VALUE"""),1064.05)</f>
        <v/>
      </c>
      <c r="AH76" s="6">
        <f>AI76&amp;AJ76</f>
        <v/>
      </c>
      <c r="AI76" s="6">
        <f>YEAR(AK76)</f>
        <v/>
      </c>
      <c r="AJ76" s="6">
        <f>MONTH(AK76)</f>
        <v/>
      </c>
      <c r="AK76" s="267">
        <f>IFERROR(__xludf.DUMMYFUNCTION("""COMPUTED_VALUE"""),43167.9986111111)</f>
        <v/>
      </c>
      <c r="AL76" s="6">
        <f>IFERROR(__xludf.DUMMYFUNCTION("""COMPUTED_VALUE"""),9333.84)</f>
        <v/>
      </c>
      <c r="AP76" s="6">
        <f>AQ76&amp;AR76</f>
        <v/>
      </c>
      <c r="AQ76" s="6">
        <f>YEAR(AS76)</f>
        <v/>
      </c>
      <c r="AR76" s="6">
        <f>MONTH(AS76)</f>
        <v/>
      </c>
      <c r="AS76" s="267">
        <f>IFERROR(__xludf.DUMMYFUNCTION("""COMPUTED_VALUE"""),43201.9986111111)</f>
        <v/>
      </c>
      <c r="AT76" s="6">
        <f>IFERROR(__xludf.DUMMYFUNCTION("""COMPUTED_VALUE"""),1360)</f>
        <v/>
      </c>
    </row>
    <row r="77">
      <c r="B77" s="6">
        <f>C77&amp;D77</f>
        <v/>
      </c>
      <c r="C77" s="6">
        <f>YEAR(E77)</f>
        <v/>
      </c>
      <c r="D77" s="6">
        <f>MONTH(E77)</f>
        <v/>
      </c>
      <c r="E77" s="267">
        <f>IFERROR(__xludf.DUMMYFUNCTION("""COMPUTED_VALUE"""),43202.6666666666)</f>
        <v/>
      </c>
      <c r="F77" s="6">
        <f>IFERROR(__xludf.DUMMYFUNCTION("""COMPUTED_VALUE"""),2663.99)</f>
        <v/>
      </c>
      <c r="J77" s="6">
        <f>K77&amp;L77</f>
        <v/>
      </c>
      <c r="K77" s="6">
        <f>YEAR(M77)</f>
        <v/>
      </c>
      <c r="L77" s="6">
        <f>MONTH(M77)</f>
        <v/>
      </c>
      <c r="M77" s="267">
        <f>IFERROR(__xludf.DUMMYFUNCTION("""COMPUTED_VALUE"""),43202.6666666666)</f>
        <v/>
      </c>
      <c r="N77" s="6">
        <f>IFERROR(__xludf.DUMMYFUNCTION("""COMPUTED_VALUE"""),7140.25)</f>
        <v/>
      </c>
      <c r="R77" s="6">
        <f>S77&amp;T77</f>
        <v/>
      </c>
      <c r="S77" s="6">
        <f>YEAR(U77)</f>
        <v/>
      </c>
      <c r="T77" s="6">
        <f>MONTH(U77)</f>
        <v/>
      </c>
      <c r="U77" s="267">
        <f>IFERROR(__xludf.DUMMYFUNCTION("""COMPUTED_VALUE"""),43203.6458333333)</f>
        <v/>
      </c>
      <c r="V77" s="6">
        <f>IFERROR(__xludf.DUMMYFUNCTION("""COMPUTED_VALUE"""),2455.07)</f>
        <v/>
      </c>
      <c r="Z77" s="6">
        <f>AA77&amp;AB77</f>
        <v/>
      </c>
      <c r="AA77" s="6">
        <f>YEAR(AC77)</f>
        <v/>
      </c>
      <c r="AB77" s="6">
        <f>MONTH(AC77)</f>
        <v/>
      </c>
      <c r="AC77" s="267">
        <f>IFERROR(__xludf.DUMMYFUNCTION("""COMPUTED_VALUE"""),43171.9986111111)</f>
        <v/>
      </c>
      <c r="AD77" s="6">
        <f>IFERROR(__xludf.DUMMYFUNCTION("""COMPUTED_VALUE"""),1063.86)</f>
        <v/>
      </c>
      <c r="AH77" s="6">
        <f>AI77&amp;AJ77</f>
        <v/>
      </c>
      <c r="AI77" s="6">
        <f>YEAR(AK77)</f>
        <v/>
      </c>
      <c r="AJ77" s="6">
        <f>MONTH(AK77)</f>
        <v/>
      </c>
      <c r="AK77" s="267">
        <f>IFERROR(__xludf.DUMMYFUNCTION("""COMPUTED_VALUE"""),43168.9986111111)</f>
        <v/>
      </c>
      <c r="AL77" s="6">
        <f>IFERROR(__xludf.DUMMYFUNCTION("""COMPUTED_VALUE"""),9006.66)</f>
        <v/>
      </c>
      <c r="AP77" s="6">
        <f>AQ77&amp;AR77</f>
        <v/>
      </c>
      <c r="AQ77" s="6">
        <f>YEAR(AS77)</f>
        <v/>
      </c>
      <c r="AR77" s="6">
        <f>MONTH(AS77)</f>
        <v/>
      </c>
      <c r="AS77" s="267">
        <f>IFERROR(__xludf.DUMMYFUNCTION("""COMPUTED_VALUE"""),43202.9986111111)</f>
        <v/>
      </c>
      <c r="AT77" s="6">
        <f>IFERROR(__xludf.DUMMYFUNCTION("""COMPUTED_VALUE"""),1341.9)</f>
        <v/>
      </c>
    </row>
    <row r="78">
      <c r="B78" s="6">
        <f>C78&amp;D78</f>
        <v/>
      </c>
      <c r="C78" s="6">
        <f>YEAR(E78)</f>
        <v/>
      </c>
      <c r="D78" s="6">
        <f>MONTH(E78)</f>
        <v/>
      </c>
      <c r="E78" s="267">
        <f>IFERROR(__xludf.DUMMYFUNCTION("""COMPUTED_VALUE"""),43203.6666666666)</f>
        <v/>
      </c>
      <c r="F78" s="6">
        <f>IFERROR(__xludf.DUMMYFUNCTION("""COMPUTED_VALUE"""),2656.3)</f>
        <v/>
      </c>
      <c r="J78" s="6">
        <f>K78&amp;L78</f>
        <v/>
      </c>
      <c r="K78" s="6">
        <f>YEAR(M78)</f>
        <v/>
      </c>
      <c r="L78" s="6">
        <f>MONTH(M78)</f>
        <v/>
      </c>
      <c r="M78" s="267">
        <f>IFERROR(__xludf.DUMMYFUNCTION("""COMPUTED_VALUE"""),43203.6666666666)</f>
        <v/>
      </c>
      <c r="N78" s="6">
        <f>IFERROR(__xludf.DUMMYFUNCTION("""COMPUTED_VALUE"""),7106.65)</f>
        <v/>
      </c>
      <c r="R78" s="6">
        <f>S78&amp;T78</f>
        <v/>
      </c>
      <c r="S78" s="6">
        <f>YEAR(U78)</f>
        <v/>
      </c>
      <c r="T78" s="6">
        <f>MONTH(U78)</f>
        <v/>
      </c>
      <c r="U78" s="267">
        <f>IFERROR(__xludf.DUMMYFUNCTION("""COMPUTED_VALUE"""),43206.6458333333)</f>
        <v/>
      </c>
      <c r="V78" s="6">
        <f>IFERROR(__xludf.DUMMYFUNCTION("""COMPUTED_VALUE"""),2457.49)</f>
        <v/>
      </c>
      <c r="Z78" s="6">
        <f>AA78&amp;AB78</f>
        <v/>
      </c>
      <c r="AA78" s="6">
        <f>YEAR(AC78)</f>
        <v/>
      </c>
      <c r="AB78" s="6">
        <f>MONTH(AC78)</f>
        <v/>
      </c>
      <c r="AC78" s="267">
        <f>IFERROR(__xludf.DUMMYFUNCTION("""COMPUTED_VALUE"""),43172.9986111111)</f>
        <v/>
      </c>
      <c r="AD78" s="6">
        <f>IFERROR(__xludf.DUMMYFUNCTION("""COMPUTED_VALUE"""),1066.4)</f>
        <v/>
      </c>
      <c r="AH78" s="6">
        <f>AI78&amp;AJ78</f>
        <v/>
      </c>
      <c r="AI78" s="6">
        <f>YEAR(AK78)</f>
        <v/>
      </c>
      <c r="AJ78" s="6">
        <f>MONTH(AK78)</f>
        <v/>
      </c>
      <c r="AK78" s="267">
        <f>IFERROR(__xludf.DUMMYFUNCTION("""COMPUTED_VALUE"""),43169.9986111111)</f>
        <v/>
      </c>
      <c r="AL78" s="6">
        <f>IFERROR(__xludf.DUMMYFUNCTION("""COMPUTED_VALUE"""),8515.73)</f>
        <v/>
      </c>
      <c r="AP78" s="6">
        <f>AQ78&amp;AR78</f>
        <v/>
      </c>
      <c r="AQ78" s="6">
        <f>YEAR(AS78)</f>
        <v/>
      </c>
      <c r="AR78" s="6">
        <f>MONTH(AS78)</f>
        <v/>
      </c>
      <c r="AS78" s="267">
        <f>IFERROR(__xludf.DUMMYFUNCTION("""COMPUTED_VALUE"""),43203.9986111111)</f>
        <v/>
      </c>
      <c r="AT78" s="6">
        <f>IFERROR(__xludf.DUMMYFUNCTION("""COMPUTED_VALUE"""),1347.9)</f>
        <v/>
      </c>
    </row>
    <row r="79">
      <c r="B79" s="6">
        <f>C79&amp;D79</f>
        <v/>
      </c>
      <c r="C79" s="6">
        <f>YEAR(E79)</f>
        <v/>
      </c>
      <c r="D79" s="6">
        <f>MONTH(E79)</f>
        <v/>
      </c>
      <c r="E79" s="267">
        <f>IFERROR(__xludf.DUMMYFUNCTION("""COMPUTED_VALUE"""),43206.6666666666)</f>
        <v/>
      </c>
      <c r="F79" s="6">
        <f>IFERROR(__xludf.DUMMYFUNCTION("""COMPUTED_VALUE"""),2677.84)</f>
        <v/>
      </c>
      <c r="J79" s="6">
        <f>K79&amp;L79</f>
        <v/>
      </c>
      <c r="K79" s="6">
        <f>YEAR(M79)</f>
        <v/>
      </c>
      <c r="L79" s="6">
        <f>MONTH(M79)</f>
        <v/>
      </c>
      <c r="M79" s="267">
        <f>IFERROR(__xludf.DUMMYFUNCTION("""COMPUTED_VALUE"""),43206.6666666666)</f>
        <v/>
      </c>
      <c r="N79" s="6">
        <f>IFERROR(__xludf.DUMMYFUNCTION("""COMPUTED_VALUE"""),7156.29)</f>
        <v/>
      </c>
      <c r="R79" s="6">
        <f>S79&amp;T79</f>
        <v/>
      </c>
      <c r="S79" s="6">
        <f>YEAR(U79)</f>
        <v/>
      </c>
      <c r="T79" s="6">
        <f>MONTH(U79)</f>
        <v/>
      </c>
      <c r="U79" s="267">
        <f>IFERROR(__xludf.DUMMYFUNCTION("""COMPUTED_VALUE"""),43207.6458333333)</f>
        <v/>
      </c>
      <c r="V79" s="6">
        <f>IFERROR(__xludf.DUMMYFUNCTION("""COMPUTED_VALUE"""),2453.77)</f>
        <v/>
      </c>
      <c r="Z79" s="6">
        <f>AA79&amp;AB79</f>
        <v/>
      </c>
      <c r="AA79" s="6">
        <f>YEAR(AC79)</f>
        <v/>
      </c>
      <c r="AB79" s="6">
        <f>MONTH(AC79)</f>
        <v/>
      </c>
      <c r="AC79" s="267">
        <f>IFERROR(__xludf.DUMMYFUNCTION("""COMPUTED_VALUE"""),43173.9986111111)</f>
        <v/>
      </c>
      <c r="AD79" s="6">
        <f>IFERROR(__xludf.DUMMYFUNCTION("""COMPUTED_VALUE"""),1062.55)</f>
        <v/>
      </c>
      <c r="AH79" s="6">
        <f>AI79&amp;AJ79</f>
        <v/>
      </c>
      <c r="AI79" s="6">
        <f>YEAR(AK79)</f>
        <v/>
      </c>
      <c r="AJ79" s="6">
        <f>MONTH(AK79)</f>
        <v/>
      </c>
      <c r="AK79" s="267">
        <f>IFERROR(__xludf.DUMMYFUNCTION("""COMPUTED_VALUE"""),43170.9986111111)</f>
        <v/>
      </c>
      <c r="AL79" s="6">
        <f>IFERROR(__xludf.DUMMYFUNCTION("""COMPUTED_VALUE"""),9519.76)</f>
        <v/>
      </c>
      <c r="AP79" s="6">
        <f>AQ79&amp;AR79</f>
        <v/>
      </c>
      <c r="AQ79" s="6">
        <f>YEAR(AS79)</f>
        <v/>
      </c>
      <c r="AR79" s="6">
        <f>MONTH(AS79)</f>
        <v/>
      </c>
      <c r="AS79" s="267">
        <f>IFERROR(__xludf.DUMMYFUNCTION("""COMPUTED_VALUE"""),43206.9986111111)</f>
        <v/>
      </c>
      <c r="AT79" s="6">
        <f>IFERROR(__xludf.DUMMYFUNCTION("""COMPUTED_VALUE"""),1350.7)</f>
        <v/>
      </c>
    </row>
    <row r="80">
      <c r="B80" s="6">
        <f>C80&amp;D80</f>
        <v/>
      </c>
      <c r="C80" s="6">
        <f>YEAR(E80)</f>
        <v/>
      </c>
      <c r="D80" s="6">
        <f>MONTH(E80)</f>
        <v/>
      </c>
      <c r="E80" s="267">
        <f>IFERROR(__xludf.DUMMYFUNCTION("""COMPUTED_VALUE"""),43207.6666666666)</f>
        <v/>
      </c>
      <c r="F80" s="6">
        <f>IFERROR(__xludf.DUMMYFUNCTION("""COMPUTED_VALUE"""),2706.39)</f>
        <v/>
      </c>
      <c r="J80" s="6">
        <f>K80&amp;L80</f>
        <v/>
      </c>
      <c r="K80" s="6">
        <f>YEAR(M80)</f>
        <v/>
      </c>
      <c r="L80" s="6">
        <f>MONTH(M80)</f>
        <v/>
      </c>
      <c r="M80" s="267">
        <f>IFERROR(__xludf.DUMMYFUNCTION("""COMPUTED_VALUE"""),43207.6666666666)</f>
        <v/>
      </c>
      <c r="N80" s="6">
        <f>IFERROR(__xludf.DUMMYFUNCTION("""COMPUTED_VALUE"""),7281.1)</f>
        <v/>
      </c>
      <c r="R80" s="6">
        <f>S80&amp;T80</f>
        <v/>
      </c>
      <c r="S80" s="6">
        <f>YEAR(U80)</f>
        <v/>
      </c>
      <c r="T80" s="6">
        <f>MONTH(U80)</f>
        <v/>
      </c>
      <c r="U80" s="267">
        <f>IFERROR(__xludf.DUMMYFUNCTION("""COMPUTED_VALUE"""),43208.6458333333)</f>
        <v/>
      </c>
      <c r="V80" s="6">
        <f>IFERROR(__xludf.DUMMYFUNCTION("""COMPUTED_VALUE"""),2479.98)</f>
        <v/>
      </c>
      <c r="Z80" s="6">
        <f>AA80&amp;AB80</f>
        <v/>
      </c>
      <c r="AA80" s="6">
        <f>YEAR(AC80)</f>
        <v/>
      </c>
      <c r="AB80" s="6">
        <f>MONTH(AC80)</f>
        <v/>
      </c>
      <c r="AC80" s="267">
        <f>IFERROR(__xludf.DUMMYFUNCTION("""COMPUTED_VALUE"""),43174.9986111111)</f>
        <v/>
      </c>
      <c r="AD80" s="6">
        <f>IFERROR(__xludf.DUMMYFUNCTION("""COMPUTED_VALUE"""),1068.75)</f>
        <v/>
      </c>
      <c r="AH80" s="6">
        <f>AI80&amp;AJ80</f>
        <v/>
      </c>
      <c r="AI80" s="6">
        <f>YEAR(AK80)</f>
        <v/>
      </c>
      <c r="AJ80" s="6">
        <f>MONTH(AK80)</f>
        <v/>
      </c>
      <c r="AK80" s="267">
        <f>IFERROR(__xludf.DUMMYFUNCTION("""COMPUTED_VALUE"""),43171.9986111111)</f>
        <v/>
      </c>
      <c r="AL80" s="6">
        <f>IFERROR(__xludf.DUMMYFUNCTION("""COMPUTED_VALUE"""),9009.62)</f>
        <v/>
      </c>
      <c r="AP80" s="6">
        <f>AQ80&amp;AR80</f>
        <v/>
      </c>
      <c r="AQ80" s="6">
        <f>YEAR(AS80)</f>
        <v/>
      </c>
      <c r="AR80" s="6">
        <f>MONTH(AS80)</f>
        <v/>
      </c>
      <c r="AS80" s="267">
        <f>IFERROR(__xludf.DUMMYFUNCTION("""COMPUTED_VALUE"""),43207.9986111111)</f>
        <v/>
      </c>
      <c r="AT80" s="6">
        <f>IFERROR(__xludf.DUMMYFUNCTION("""COMPUTED_VALUE"""),1349.5)</f>
        <v/>
      </c>
    </row>
    <row r="81">
      <c r="B81" s="6">
        <f>C81&amp;D81</f>
        <v/>
      </c>
      <c r="C81" s="6">
        <f>YEAR(E81)</f>
        <v/>
      </c>
      <c r="D81" s="6">
        <f>MONTH(E81)</f>
        <v/>
      </c>
      <c r="E81" s="267">
        <f>IFERROR(__xludf.DUMMYFUNCTION("""COMPUTED_VALUE"""),43208.6666666666)</f>
        <v/>
      </c>
      <c r="F81" s="6">
        <f>IFERROR(__xludf.DUMMYFUNCTION("""COMPUTED_VALUE"""),2708.64)</f>
        <v/>
      </c>
      <c r="J81" s="6">
        <f>K81&amp;L81</f>
        <v/>
      </c>
      <c r="K81" s="6">
        <f>YEAR(M81)</f>
        <v/>
      </c>
      <c r="L81" s="6">
        <f>MONTH(M81)</f>
        <v/>
      </c>
      <c r="M81" s="267">
        <f>IFERROR(__xludf.DUMMYFUNCTION("""COMPUTED_VALUE"""),43208.6666666666)</f>
        <v/>
      </c>
      <c r="N81" s="6">
        <f>IFERROR(__xludf.DUMMYFUNCTION("""COMPUTED_VALUE"""),7295.24)</f>
        <v/>
      </c>
      <c r="R81" s="6">
        <f>S81&amp;T81</f>
        <v/>
      </c>
      <c r="S81" s="6">
        <f>YEAR(U81)</f>
        <v/>
      </c>
      <c r="T81" s="6">
        <f>MONTH(U81)</f>
        <v/>
      </c>
      <c r="U81" s="267">
        <f>IFERROR(__xludf.DUMMYFUNCTION("""COMPUTED_VALUE"""),43209.6458333333)</f>
        <v/>
      </c>
      <c r="V81" s="6">
        <f>IFERROR(__xludf.DUMMYFUNCTION("""COMPUTED_VALUE"""),2486.1)</f>
        <v/>
      </c>
      <c r="Z81" s="6">
        <f>AA81&amp;AB81</f>
        <v/>
      </c>
      <c r="AA81" s="6">
        <f>YEAR(AC81)</f>
        <v/>
      </c>
      <c r="AB81" s="6">
        <f>MONTH(AC81)</f>
        <v/>
      </c>
      <c r="AC81" s="267">
        <f>IFERROR(__xludf.DUMMYFUNCTION("""COMPUTED_VALUE"""),43175.9986111111)</f>
        <v/>
      </c>
      <c r="AD81" s="6">
        <f>IFERROR(__xludf.DUMMYFUNCTION("""COMPUTED_VALUE"""),1068.9)</f>
        <v/>
      </c>
      <c r="AH81" s="6">
        <f>AI81&amp;AJ81</f>
        <v/>
      </c>
      <c r="AI81" s="6">
        <f>YEAR(AK81)</f>
        <v/>
      </c>
      <c r="AJ81" s="6">
        <f>MONTH(AK81)</f>
        <v/>
      </c>
      <c r="AK81" s="267">
        <f>IFERROR(__xludf.DUMMYFUNCTION("""COMPUTED_VALUE"""),43172.9986111111)</f>
        <v/>
      </c>
      <c r="AL81" s="6">
        <f>IFERROR(__xludf.DUMMYFUNCTION("""COMPUTED_VALUE"""),9059.03)</f>
        <v/>
      </c>
      <c r="AP81" s="6">
        <f>AQ81&amp;AR81</f>
        <v/>
      </c>
      <c r="AQ81" s="6">
        <f>YEAR(AS81)</f>
        <v/>
      </c>
      <c r="AR81" s="6">
        <f>MONTH(AS81)</f>
        <v/>
      </c>
      <c r="AS81" s="267">
        <f>IFERROR(__xludf.DUMMYFUNCTION("""COMPUTED_VALUE"""),43208.9986111111)</f>
        <v/>
      </c>
      <c r="AT81" s="6">
        <f>IFERROR(__xludf.DUMMYFUNCTION("""COMPUTED_VALUE"""),1353.5)</f>
        <v/>
      </c>
    </row>
    <row r="82">
      <c r="B82" s="6">
        <f>C82&amp;D82</f>
        <v/>
      </c>
      <c r="C82" s="6">
        <f>YEAR(E82)</f>
        <v/>
      </c>
      <c r="D82" s="6">
        <f>MONTH(E82)</f>
        <v/>
      </c>
      <c r="E82" s="267">
        <f>IFERROR(__xludf.DUMMYFUNCTION("""COMPUTED_VALUE"""),43209.6666666666)</f>
        <v/>
      </c>
      <c r="F82" s="6">
        <f>IFERROR(__xludf.DUMMYFUNCTION("""COMPUTED_VALUE"""),2693.13)</f>
        <v/>
      </c>
      <c r="J82" s="6">
        <f>K82&amp;L82</f>
        <v/>
      </c>
      <c r="K82" s="6">
        <f>YEAR(M82)</f>
        <v/>
      </c>
      <c r="L82" s="6">
        <f>MONTH(M82)</f>
        <v/>
      </c>
      <c r="M82" s="267">
        <f>IFERROR(__xludf.DUMMYFUNCTION("""COMPUTED_VALUE"""),43209.6666666666)</f>
        <v/>
      </c>
      <c r="N82" s="6">
        <f>IFERROR(__xludf.DUMMYFUNCTION("""COMPUTED_VALUE"""),7238.06)</f>
        <v/>
      </c>
      <c r="R82" s="6">
        <f>S82&amp;T82</f>
        <v/>
      </c>
      <c r="S82" s="6">
        <f>YEAR(U82)</f>
        <v/>
      </c>
      <c r="T82" s="6">
        <f>MONTH(U82)</f>
        <v/>
      </c>
      <c r="U82" s="267">
        <f>IFERROR(__xludf.DUMMYFUNCTION("""COMPUTED_VALUE"""),43210.6458333333)</f>
        <v/>
      </c>
      <c r="V82" s="6">
        <f>IFERROR(__xludf.DUMMYFUNCTION("""COMPUTED_VALUE"""),2476.33)</f>
        <v/>
      </c>
      <c r="Z82" s="6">
        <f>AA82&amp;AB82</f>
        <v/>
      </c>
      <c r="AA82" s="6">
        <f>YEAR(AC82)</f>
        <v/>
      </c>
      <c r="AB82" s="6">
        <f>MONTH(AC82)</f>
        <v/>
      </c>
      <c r="AC82" s="267">
        <f>IFERROR(__xludf.DUMMYFUNCTION("""COMPUTED_VALUE"""),43177.9986111111)</f>
        <v/>
      </c>
      <c r="AD82" s="6">
        <f>IFERROR(__xludf.DUMMYFUNCTION("""COMPUTED_VALUE"""),1070.21)</f>
        <v/>
      </c>
      <c r="AH82" s="6">
        <f>AI82&amp;AJ82</f>
        <v/>
      </c>
      <c r="AI82" s="6">
        <f>YEAR(AK82)</f>
        <v/>
      </c>
      <c r="AJ82" s="6">
        <f>MONTH(AK82)</f>
        <v/>
      </c>
      <c r="AK82" s="267">
        <f>IFERROR(__xludf.DUMMYFUNCTION("""COMPUTED_VALUE"""),43173.9986111111)</f>
        <v/>
      </c>
      <c r="AL82" s="6">
        <f>IFERROR(__xludf.DUMMYFUNCTION("""COMPUTED_VALUE"""),8299.89)</f>
        <v/>
      </c>
      <c r="AP82" s="6">
        <f>AQ82&amp;AR82</f>
        <v/>
      </c>
      <c r="AQ82" s="6">
        <f>YEAR(AS82)</f>
        <v/>
      </c>
      <c r="AR82" s="6">
        <f>MONTH(AS82)</f>
        <v/>
      </c>
      <c r="AS82" s="267">
        <f>IFERROR(__xludf.DUMMYFUNCTION("""COMPUTED_VALUE"""),43209.9986111111)</f>
        <v/>
      </c>
      <c r="AT82" s="6">
        <f>IFERROR(__xludf.DUMMYFUNCTION("""COMPUTED_VALUE"""),1348.8)</f>
        <v/>
      </c>
    </row>
    <row r="83">
      <c r="B83" s="6">
        <f>C83&amp;D83</f>
        <v/>
      </c>
      <c r="C83" s="6">
        <f>YEAR(E83)</f>
        <v/>
      </c>
      <c r="D83" s="6">
        <f>MONTH(E83)</f>
        <v/>
      </c>
      <c r="E83" s="267">
        <f>IFERROR(__xludf.DUMMYFUNCTION("""COMPUTED_VALUE"""),43210.6666666666)</f>
        <v/>
      </c>
      <c r="F83" s="6">
        <f>IFERROR(__xludf.DUMMYFUNCTION("""COMPUTED_VALUE"""),2670.14)</f>
        <v/>
      </c>
      <c r="J83" s="6">
        <f>K83&amp;L83</f>
        <v/>
      </c>
      <c r="K83" s="6">
        <f>YEAR(M83)</f>
        <v/>
      </c>
      <c r="L83" s="6">
        <f>MONTH(M83)</f>
        <v/>
      </c>
      <c r="M83" s="267">
        <f>IFERROR(__xludf.DUMMYFUNCTION("""COMPUTED_VALUE"""),43210.6666666666)</f>
        <v/>
      </c>
      <c r="N83" s="6">
        <f>IFERROR(__xludf.DUMMYFUNCTION("""COMPUTED_VALUE"""),7146.13)</f>
        <v/>
      </c>
      <c r="R83" s="6">
        <f>S83&amp;T83</f>
        <v/>
      </c>
      <c r="S83" s="6">
        <f>YEAR(U83)</f>
        <v/>
      </c>
      <c r="T83" s="6">
        <f>MONTH(U83)</f>
        <v/>
      </c>
      <c r="U83" s="267">
        <f>IFERROR(__xludf.DUMMYFUNCTION("""COMPUTED_VALUE"""),43213.6458333333)</f>
        <v/>
      </c>
      <c r="V83" s="6">
        <f>IFERROR(__xludf.DUMMYFUNCTION("""COMPUTED_VALUE"""),2474.11)</f>
        <v/>
      </c>
      <c r="Z83" s="6">
        <f>AA83&amp;AB83</f>
        <v/>
      </c>
      <c r="AA83" s="6">
        <f>YEAR(AC83)</f>
        <v/>
      </c>
      <c r="AB83" s="6">
        <f>MONTH(AC83)</f>
        <v/>
      </c>
      <c r="AC83" s="267">
        <f>IFERROR(__xludf.DUMMYFUNCTION("""COMPUTED_VALUE"""),43178.9986111111)</f>
        <v/>
      </c>
      <c r="AD83" s="6">
        <f>IFERROR(__xludf.DUMMYFUNCTION("""COMPUTED_VALUE"""),1072.16)</f>
        <v/>
      </c>
      <c r="AH83" s="6">
        <f>AI83&amp;AJ83</f>
        <v/>
      </c>
      <c r="AI83" s="6">
        <f>YEAR(AK83)</f>
        <v/>
      </c>
      <c r="AJ83" s="6">
        <f>MONTH(AK83)</f>
        <v/>
      </c>
      <c r="AK83" s="267">
        <f>IFERROR(__xludf.DUMMYFUNCTION("""COMPUTED_VALUE"""),43174.9986111111)</f>
        <v/>
      </c>
      <c r="AL83" s="6">
        <f>IFERROR(__xludf.DUMMYFUNCTION("""COMPUTED_VALUE"""),8263.65)</f>
        <v/>
      </c>
      <c r="AP83" s="6">
        <f>AQ83&amp;AR83</f>
        <v/>
      </c>
      <c r="AQ83" s="6">
        <f>YEAR(AS83)</f>
        <v/>
      </c>
      <c r="AR83" s="6">
        <f>MONTH(AS83)</f>
        <v/>
      </c>
      <c r="AS83" s="267">
        <f>IFERROR(__xludf.DUMMYFUNCTION("""COMPUTED_VALUE"""),43210.9986111111)</f>
        <v/>
      </c>
      <c r="AT83" s="6">
        <f>IFERROR(__xludf.DUMMYFUNCTION("""COMPUTED_VALUE"""),1338.3)</f>
        <v/>
      </c>
    </row>
    <row r="84">
      <c r="B84" s="6">
        <f>C84&amp;D84</f>
        <v/>
      </c>
      <c r="C84" s="6">
        <f>YEAR(E84)</f>
        <v/>
      </c>
      <c r="D84" s="6">
        <f>MONTH(E84)</f>
        <v/>
      </c>
      <c r="E84" s="267">
        <f>IFERROR(__xludf.DUMMYFUNCTION("""COMPUTED_VALUE"""),43213.6666666666)</f>
        <v/>
      </c>
      <c r="F84" s="6">
        <f>IFERROR(__xludf.DUMMYFUNCTION("""COMPUTED_VALUE"""),2670.29)</f>
        <v/>
      </c>
      <c r="J84" s="6">
        <f>K84&amp;L84</f>
        <v/>
      </c>
      <c r="K84" s="6">
        <f>YEAR(M84)</f>
        <v/>
      </c>
      <c r="L84" s="6">
        <f>MONTH(M84)</f>
        <v/>
      </c>
      <c r="M84" s="267">
        <f>IFERROR(__xludf.DUMMYFUNCTION("""COMPUTED_VALUE"""),43213.6666666666)</f>
        <v/>
      </c>
      <c r="N84" s="6">
        <f>IFERROR(__xludf.DUMMYFUNCTION("""COMPUTED_VALUE"""),7128.6)</f>
        <v/>
      </c>
      <c r="R84" s="6">
        <f>S84&amp;T84</f>
        <v/>
      </c>
      <c r="S84" s="6">
        <f>YEAR(U84)</f>
        <v/>
      </c>
      <c r="T84" s="6">
        <f>MONTH(U84)</f>
        <v/>
      </c>
      <c r="U84" s="267">
        <f>IFERROR(__xludf.DUMMYFUNCTION("""COMPUTED_VALUE"""),43214.6458333333)</f>
        <v/>
      </c>
      <c r="V84" s="6">
        <f>IFERROR(__xludf.DUMMYFUNCTION("""COMPUTED_VALUE"""),2464.14)</f>
        <v/>
      </c>
      <c r="Z84" s="6">
        <f>AA84&amp;AB84</f>
        <v/>
      </c>
      <c r="AA84" s="6">
        <f>YEAR(AC84)</f>
        <v/>
      </c>
      <c r="AB84" s="6">
        <f>MONTH(AC84)</f>
        <v/>
      </c>
      <c r="AC84" s="267">
        <f>IFERROR(__xludf.DUMMYFUNCTION("""COMPUTED_VALUE"""),43179.9986111111)</f>
        <v/>
      </c>
      <c r="AD84" s="6">
        <f>IFERROR(__xludf.DUMMYFUNCTION("""COMPUTED_VALUE"""),1070.55)</f>
        <v/>
      </c>
      <c r="AH84" s="6">
        <f>AI84&amp;AJ84</f>
        <v/>
      </c>
      <c r="AI84" s="6">
        <f>YEAR(AK84)</f>
        <v/>
      </c>
      <c r="AJ84" s="6">
        <f>MONTH(AK84)</f>
        <v/>
      </c>
      <c r="AK84" s="267">
        <f>IFERROR(__xludf.DUMMYFUNCTION("""COMPUTED_VALUE"""),43175.9986111111)</f>
        <v/>
      </c>
      <c r="AL84" s="6">
        <f>IFERROR(__xludf.DUMMYFUNCTION("""COMPUTED_VALUE"""),8526.98)</f>
        <v/>
      </c>
      <c r="AP84" s="6">
        <f>AQ84&amp;AR84</f>
        <v/>
      </c>
      <c r="AQ84" s="6">
        <f>YEAR(AS84)</f>
        <v/>
      </c>
      <c r="AR84" s="6">
        <f>MONTH(AS84)</f>
        <v/>
      </c>
      <c r="AS84" s="267">
        <f>IFERROR(__xludf.DUMMYFUNCTION("""COMPUTED_VALUE"""),43213.9986111111)</f>
        <v/>
      </c>
      <c r="AT84" s="6">
        <f>IFERROR(__xludf.DUMMYFUNCTION("""COMPUTED_VALUE"""),1324)</f>
        <v/>
      </c>
    </row>
    <row r="85">
      <c r="B85" s="6">
        <f>C85&amp;D85</f>
        <v/>
      </c>
      <c r="C85" s="6">
        <f>YEAR(E85)</f>
        <v/>
      </c>
      <c r="D85" s="6">
        <f>MONTH(E85)</f>
        <v/>
      </c>
      <c r="E85" s="267">
        <f>IFERROR(__xludf.DUMMYFUNCTION("""COMPUTED_VALUE"""),43214.6666666666)</f>
        <v/>
      </c>
      <c r="F85" s="6">
        <f>IFERROR(__xludf.DUMMYFUNCTION("""COMPUTED_VALUE"""),2634.56)</f>
        <v/>
      </c>
      <c r="J85" s="6">
        <f>K85&amp;L85</f>
        <v/>
      </c>
      <c r="K85" s="6">
        <f>YEAR(M85)</f>
        <v/>
      </c>
      <c r="L85" s="6">
        <f>MONTH(M85)</f>
        <v/>
      </c>
      <c r="M85" s="267">
        <f>IFERROR(__xludf.DUMMYFUNCTION("""COMPUTED_VALUE"""),43214.6666666666)</f>
        <v/>
      </c>
      <c r="N85" s="6">
        <f>IFERROR(__xludf.DUMMYFUNCTION("""COMPUTED_VALUE"""),7007.35)</f>
        <v/>
      </c>
      <c r="R85" s="6">
        <f>S85&amp;T85</f>
        <v/>
      </c>
      <c r="S85" s="6">
        <f>YEAR(U85)</f>
        <v/>
      </c>
      <c r="T85" s="6">
        <f>MONTH(U85)</f>
        <v/>
      </c>
      <c r="U85" s="267">
        <f>IFERROR(__xludf.DUMMYFUNCTION("""COMPUTED_VALUE"""),43215.6458333333)</f>
        <v/>
      </c>
      <c r="V85" s="6">
        <f>IFERROR(__xludf.DUMMYFUNCTION("""COMPUTED_VALUE"""),2448.81)</f>
        <v/>
      </c>
      <c r="Z85" s="6">
        <f>AA85&amp;AB85</f>
        <v/>
      </c>
      <c r="AA85" s="6">
        <f>YEAR(AC85)</f>
        <v/>
      </c>
      <c r="AB85" s="6">
        <f>MONTH(AC85)</f>
        <v/>
      </c>
      <c r="AC85" s="267">
        <f>IFERROR(__xludf.DUMMYFUNCTION("""COMPUTED_VALUE"""),43180.9986111111)</f>
        <v/>
      </c>
      <c r="AD85" s="6">
        <f>IFERROR(__xludf.DUMMYFUNCTION("""COMPUTED_VALUE"""),1063.96)</f>
        <v/>
      </c>
      <c r="AH85" s="6">
        <f>AI85&amp;AJ85</f>
        <v/>
      </c>
      <c r="AI85" s="6">
        <f>YEAR(AK85)</f>
        <v/>
      </c>
      <c r="AJ85" s="6">
        <f>MONTH(AK85)</f>
        <v/>
      </c>
      <c r="AK85" s="267">
        <f>IFERROR(__xludf.DUMMYFUNCTION("""COMPUTED_VALUE"""),43176.9986111111)</f>
        <v/>
      </c>
      <c r="AL85" s="6">
        <f>IFERROR(__xludf.DUMMYFUNCTION("""COMPUTED_VALUE"""),7880.77)</f>
        <v/>
      </c>
      <c r="AP85" s="6">
        <f>AQ85&amp;AR85</f>
        <v/>
      </c>
      <c r="AQ85" s="6">
        <f>YEAR(AS85)</f>
        <v/>
      </c>
      <c r="AR85" s="6">
        <f>MONTH(AS85)</f>
        <v/>
      </c>
      <c r="AS85" s="267">
        <f>IFERROR(__xludf.DUMMYFUNCTION("""COMPUTED_VALUE"""),43214.9986111111)</f>
        <v/>
      </c>
      <c r="AT85" s="6">
        <f>IFERROR(__xludf.DUMMYFUNCTION("""COMPUTED_VALUE"""),1333)</f>
        <v/>
      </c>
    </row>
    <row r="86">
      <c r="B86" s="6">
        <f>C86&amp;D86</f>
        <v/>
      </c>
      <c r="C86" s="6">
        <f>YEAR(E86)</f>
        <v/>
      </c>
      <c r="D86" s="6">
        <f>MONTH(E86)</f>
        <v/>
      </c>
      <c r="E86" s="267">
        <f>IFERROR(__xludf.DUMMYFUNCTION("""COMPUTED_VALUE"""),43215.6666666666)</f>
        <v/>
      </c>
      <c r="F86" s="6">
        <f>IFERROR(__xludf.DUMMYFUNCTION("""COMPUTED_VALUE"""),2639.4)</f>
        <v/>
      </c>
      <c r="J86" s="6">
        <f>K86&amp;L86</f>
        <v/>
      </c>
      <c r="K86" s="6">
        <f>YEAR(M86)</f>
        <v/>
      </c>
      <c r="L86" s="6">
        <f>MONTH(M86)</f>
        <v/>
      </c>
      <c r="M86" s="267">
        <f>IFERROR(__xludf.DUMMYFUNCTION("""COMPUTED_VALUE"""),43215.6666666666)</f>
        <v/>
      </c>
      <c r="N86" s="6">
        <f>IFERROR(__xludf.DUMMYFUNCTION("""COMPUTED_VALUE"""),7003.74)</f>
        <v/>
      </c>
      <c r="R86" s="6">
        <f>S86&amp;T86</f>
        <v/>
      </c>
      <c r="S86" s="6">
        <f>YEAR(U86)</f>
        <v/>
      </c>
      <c r="T86" s="6">
        <f>MONTH(U86)</f>
        <v/>
      </c>
      <c r="U86" s="267">
        <f>IFERROR(__xludf.DUMMYFUNCTION("""COMPUTED_VALUE"""),43216.6458333333)</f>
        <v/>
      </c>
      <c r="V86" s="6">
        <f>IFERROR(__xludf.DUMMYFUNCTION("""COMPUTED_VALUE"""),2475.64)</f>
        <v/>
      </c>
      <c r="Z86" s="6">
        <f>AA86&amp;AB86</f>
        <v/>
      </c>
      <c r="AA86" s="6">
        <f>YEAR(AC86)</f>
        <v/>
      </c>
      <c r="AB86" s="6">
        <f>MONTH(AC86)</f>
        <v/>
      </c>
      <c r="AC86" s="267">
        <f>IFERROR(__xludf.DUMMYFUNCTION("""COMPUTED_VALUE"""),43181.9986111111)</f>
        <v/>
      </c>
      <c r="AD86" s="6">
        <f>IFERROR(__xludf.DUMMYFUNCTION("""COMPUTED_VALUE"""),1079.9)</f>
        <v/>
      </c>
      <c r="AH86" s="6">
        <f>AI86&amp;AJ86</f>
        <v/>
      </c>
      <c r="AI86" s="6">
        <f>YEAR(AK86)</f>
        <v/>
      </c>
      <c r="AJ86" s="6">
        <f>MONTH(AK86)</f>
        <v/>
      </c>
      <c r="AK86" s="267">
        <f>IFERROR(__xludf.DUMMYFUNCTION("""COMPUTED_VALUE"""),43177.9986111111)</f>
        <v/>
      </c>
      <c r="AL86" s="6">
        <f>IFERROR(__xludf.DUMMYFUNCTION("""COMPUTED_VALUE"""),8206.42)</f>
        <v/>
      </c>
      <c r="AP86" s="6">
        <f>AQ86&amp;AR86</f>
        <v/>
      </c>
      <c r="AQ86" s="6">
        <f>YEAR(AS86)</f>
        <v/>
      </c>
      <c r="AR86" s="6">
        <f>MONTH(AS86)</f>
        <v/>
      </c>
      <c r="AS86" s="267">
        <f>IFERROR(__xludf.DUMMYFUNCTION("""COMPUTED_VALUE"""),43215.9986111111)</f>
        <v/>
      </c>
      <c r="AT86" s="6">
        <f>IFERROR(__xludf.DUMMYFUNCTION("""COMPUTED_VALUE"""),1322.8)</f>
        <v/>
      </c>
    </row>
    <row r="87">
      <c r="B87" s="6">
        <f>C87&amp;D87</f>
        <v/>
      </c>
      <c r="C87" s="6">
        <f>YEAR(E87)</f>
        <v/>
      </c>
      <c r="D87" s="6">
        <f>MONTH(E87)</f>
        <v/>
      </c>
      <c r="E87" s="267">
        <f>IFERROR(__xludf.DUMMYFUNCTION("""COMPUTED_VALUE"""),43216.6666666666)</f>
        <v/>
      </c>
      <c r="F87" s="6">
        <f>IFERROR(__xludf.DUMMYFUNCTION("""COMPUTED_VALUE"""),2666.94)</f>
        <v/>
      </c>
      <c r="J87" s="6">
        <f>K87&amp;L87</f>
        <v/>
      </c>
      <c r="K87" s="6">
        <f>YEAR(M87)</f>
        <v/>
      </c>
      <c r="L87" s="6">
        <f>MONTH(M87)</f>
        <v/>
      </c>
      <c r="M87" s="267">
        <f>IFERROR(__xludf.DUMMYFUNCTION("""COMPUTED_VALUE"""),43216.6666666666)</f>
        <v/>
      </c>
      <c r="N87" s="6">
        <f>IFERROR(__xludf.DUMMYFUNCTION("""COMPUTED_VALUE"""),7118.68)</f>
        <v/>
      </c>
      <c r="R87" s="6">
        <f>S87&amp;T87</f>
        <v/>
      </c>
      <c r="S87" s="6">
        <f>YEAR(U87)</f>
        <v/>
      </c>
      <c r="T87" s="6">
        <f>MONTH(U87)</f>
        <v/>
      </c>
      <c r="U87" s="267">
        <f>IFERROR(__xludf.DUMMYFUNCTION("""COMPUTED_VALUE"""),43217.6458333333)</f>
        <v/>
      </c>
      <c r="V87" s="6">
        <f>IFERROR(__xludf.DUMMYFUNCTION("""COMPUTED_VALUE"""),2492.4)</f>
        <v/>
      </c>
      <c r="Z87" s="6">
        <f>AA87&amp;AB87</f>
        <v/>
      </c>
      <c r="AA87" s="6">
        <f>YEAR(AC87)</f>
        <v/>
      </c>
      <c r="AB87" s="6">
        <f>MONTH(AC87)</f>
        <v/>
      </c>
      <c r="AC87" s="267">
        <f>IFERROR(__xludf.DUMMYFUNCTION("""COMPUTED_VALUE"""),43182.9986111111)</f>
        <v/>
      </c>
      <c r="AD87" s="6">
        <f>IFERROR(__xludf.DUMMYFUNCTION("""COMPUTED_VALUE"""),1082.5)</f>
        <v/>
      </c>
      <c r="AH87" s="6">
        <f>AI87&amp;AJ87</f>
        <v/>
      </c>
      <c r="AI87" s="6">
        <f>YEAR(AK87)</f>
        <v/>
      </c>
      <c r="AJ87" s="6">
        <f>MONTH(AK87)</f>
        <v/>
      </c>
      <c r="AK87" s="267">
        <f>IFERROR(__xludf.DUMMYFUNCTION("""COMPUTED_VALUE"""),43178.9986111111)</f>
        <v/>
      </c>
      <c r="AL87" s="6">
        <f>IFERROR(__xludf.DUMMYFUNCTION("""COMPUTED_VALUE"""),8422.27)</f>
        <v/>
      </c>
      <c r="AP87" s="6">
        <f>AQ87&amp;AR87</f>
        <v/>
      </c>
      <c r="AQ87" s="6">
        <f>YEAR(AS87)</f>
        <v/>
      </c>
      <c r="AR87" s="6">
        <f>MONTH(AS87)</f>
        <v/>
      </c>
      <c r="AS87" s="267">
        <f>IFERROR(__xludf.DUMMYFUNCTION("""COMPUTED_VALUE"""),43216.9986111111)</f>
        <v/>
      </c>
      <c r="AT87" s="6">
        <f>IFERROR(__xludf.DUMMYFUNCTION("""COMPUTED_VALUE"""),1317.9)</f>
        <v/>
      </c>
    </row>
    <row r="88">
      <c r="B88" s="6">
        <f>C88&amp;D88</f>
        <v/>
      </c>
      <c r="C88" s="6">
        <f>YEAR(E88)</f>
        <v/>
      </c>
      <c r="D88" s="6">
        <f>MONTH(E88)</f>
        <v/>
      </c>
      <c r="E88" s="267">
        <f>IFERROR(__xludf.DUMMYFUNCTION("""COMPUTED_VALUE"""),43217.6666666666)</f>
        <v/>
      </c>
      <c r="F88" s="6">
        <f>IFERROR(__xludf.DUMMYFUNCTION("""COMPUTED_VALUE"""),2669.91)</f>
        <v/>
      </c>
      <c r="J88" s="6">
        <f>K88&amp;L88</f>
        <v/>
      </c>
      <c r="K88" s="6">
        <f>YEAR(M88)</f>
        <v/>
      </c>
      <c r="L88" s="6">
        <f>MONTH(M88)</f>
        <v/>
      </c>
      <c r="M88" s="267">
        <f>IFERROR(__xludf.DUMMYFUNCTION("""COMPUTED_VALUE"""),43217.6666666666)</f>
        <v/>
      </c>
      <c r="N88" s="6">
        <f>IFERROR(__xludf.DUMMYFUNCTION("""COMPUTED_VALUE"""),7119.8)</f>
        <v/>
      </c>
      <c r="R88" s="6">
        <f>S88&amp;T88</f>
        <v/>
      </c>
      <c r="S88" s="6">
        <f>YEAR(U88)</f>
        <v/>
      </c>
      <c r="T88" s="6">
        <f>MONTH(U88)</f>
        <v/>
      </c>
      <c r="U88" s="267">
        <f>IFERROR(__xludf.DUMMYFUNCTION("""COMPUTED_VALUE"""),43220.6458333333)</f>
        <v/>
      </c>
      <c r="V88" s="6">
        <f>IFERROR(__xludf.DUMMYFUNCTION("""COMPUTED_VALUE"""),2515.38)</f>
        <v/>
      </c>
      <c r="Z88" s="6">
        <f>AA88&amp;AB88</f>
        <v/>
      </c>
      <c r="AA88" s="6">
        <f>YEAR(AC88)</f>
        <v/>
      </c>
      <c r="AB88" s="6">
        <f>MONTH(AC88)</f>
        <v/>
      </c>
      <c r="AC88" s="267">
        <f>IFERROR(__xludf.DUMMYFUNCTION("""COMPUTED_VALUE"""),43183.9986111111)</f>
        <v/>
      </c>
      <c r="AD88" s="6">
        <f>IFERROR(__xludf.DUMMYFUNCTION("""COMPUTED_VALUE"""),1082.5)</f>
        <v/>
      </c>
      <c r="AH88" s="6">
        <f>AI88&amp;AJ88</f>
        <v/>
      </c>
      <c r="AI88" s="6">
        <f>YEAR(AK88)</f>
        <v/>
      </c>
      <c r="AJ88" s="6">
        <f>MONTH(AK88)</f>
        <v/>
      </c>
      <c r="AK88" s="267">
        <f>IFERROR(__xludf.DUMMYFUNCTION("""COMPUTED_VALUE"""),43179.9986111111)</f>
        <v/>
      </c>
      <c r="AL88" s="6">
        <f>IFERROR(__xludf.DUMMYFUNCTION("""COMPUTED_VALUE"""),8917.49)</f>
        <v/>
      </c>
      <c r="AP88" s="6">
        <f>AQ88&amp;AR88</f>
        <v/>
      </c>
      <c r="AQ88" s="6">
        <f>YEAR(AS88)</f>
        <v/>
      </c>
      <c r="AR88" s="6">
        <f>MONTH(AS88)</f>
        <v/>
      </c>
      <c r="AS88" s="267">
        <f>IFERROR(__xludf.DUMMYFUNCTION("""COMPUTED_VALUE"""),43217.9986111111)</f>
        <v/>
      </c>
      <c r="AT88" s="6">
        <f>IFERROR(__xludf.DUMMYFUNCTION("""COMPUTED_VALUE"""),1323.4)</f>
        <v/>
      </c>
    </row>
    <row r="89">
      <c r="B89" s="6">
        <f>C89&amp;D89</f>
        <v/>
      </c>
      <c r="C89" s="6">
        <f>YEAR(E89)</f>
        <v/>
      </c>
      <c r="D89" s="6">
        <f>MONTH(E89)</f>
        <v/>
      </c>
      <c r="E89" s="267">
        <f>IFERROR(__xludf.DUMMYFUNCTION("""COMPUTED_VALUE"""),43220.6666666666)</f>
        <v/>
      </c>
      <c r="F89" s="6">
        <f>IFERROR(__xludf.DUMMYFUNCTION("""COMPUTED_VALUE"""),2648.05)</f>
        <v/>
      </c>
      <c r="J89" s="6">
        <f>K89&amp;L89</f>
        <v/>
      </c>
      <c r="K89" s="6">
        <f>YEAR(M89)</f>
        <v/>
      </c>
      <c r="L89" s="6">
        <f>MONTH(M89)</f>
        <v/>
      </c>
      <c r="M89" s="267">
        <f>IFERROR(__xludf.DUMMYFUNCTION("""COMPUTED_VALUE"""),43220.6666666666)</f>
        <v/>
      </c>
      <c r="N89" s="6">
        <f>IFERROR(__xludf.DUMMYFUNCTION("""COMPUTED_VALUE"""),7066.27)</f>
        <v/>
      </c>
      <c r="R89" s="6">
        <f>S89&amp;T89</f>
        <v/>
      </c>
      <c r="S89" s="6">
        <f>YEAR(U89)</f>
        <v/>
      </c>
      <c r="T89" s="6">
        <f>MONTH(U89)</f>
        <v/>
      </c>
      <c r="U89" s="267">
        <f>IFERROR(__xludf.DUMMYFUNCTION("""COMPUTED_VALUE"""),43222.6458333333)</f>
        <v/>
      </c>
      <c r="V89" s="6">
        <f>IFERROR(__xludf.DUMMYFUNCTION("""COMPUTED_VALUE"""),2505.61)</f>
        <v/>
      </c>
      <c r="Z89" s="6">
        <f>AA89&amp;AB89</f>
        <v/>
      </c>
      <c r="AA89" s="6">
        <f>YEAR(AC89)</f>
        <v/>
      </c>
      <c r="AB89" s="6">
        <f>MONTH(AC89)</f>
        <v/>
      </c>
      <c r="AC89" s="267">
        <f>IFERROR(__xludf.DUMMYFUNCTION("""COMPUTED_VALUE"""),43184.9986111111)</f>
        <v/>
      </c>
      <c r="AD89" s="6">
        <f>IFERROR(__xludf.DUMMYFUNCTION("""COMPUTED_VALUE"""),1082.53)</f>
        <v/>
      </c>
      <c r="AH89" s="6">
        <f>AI89&amp;AJ89</f>
        <v/>
      </c>
      <c r="AI89" s="6">
        <f>YEAR(AK89)</f>
        <v/>
      </c>
      <c r="AJ89" s="6">
        <f>MONTH(AK89)</f>
        <v/>
      </c>
      <c r="AK89" s="267">
        <f>IFERROR(__xludf.DUMMYFUNCTION("""COMPUTED_VALUE"""),43180.9986111111)</f>
        <v/>
      </c>
      <c r="AL89" s="6">
        <f>IFERROR(__xludf.DUMMYFUNCTION("""COMPUTED_VALUE"""),8885.57)</f>
        <v/>
      </c>
      <c r="AP89" s="6">
        <f>AQ89&amp;AR89</f>
        <v/>
      </c>
      <c r="AQ89" s="6">
        <f>YEAR(AS89)</f>
        <v/>
      </c>
      <c r="AR89" s="6">
        <f>MONTH(AS89)</f>
        <v/>
      </c>
      <c r="AS89" s="267">
        <f>IFERROR(__xludf.DUMMYFUNCTION("""COMPUTED_VALUE"""),43220.9986111111)</f>
        <v/>
      </c>
      <c r="AT89" s="6">
        <f>IFERROR(__xludf.DUMMYFUNCTION("""COMPUTED_VALUE"""),1319.2)</f>
        <v/>
      </c>
    </row>
    <row r="90">
      <c r="B90" s="6">
        <f>C90&amp;D90</f>
        <v/>
      </c>
      <c r="C90" s="6">
        <f>YEAR(E90)</f>
        <v/>
      </c>
      <c r="D90" s="6">
        <f>MONTH(E90)</f>
        <v/>
      </c>
      <c r="E90" s="267">
        <f>IFERROR(__xludf.DUMMYFUNCTION("""COMPUTED_VALUE"""),43221.6666666666)</f>
        <v/>
      </c>
      <c r="F90" s="6">
        <f>IFERROR(__xludf.DUMMYFUNCTION("""COMPUTED_VALUE"""),2654.8)</f>
        <v/>
      </c>
      <c r="J90" s="6">
        <f>K90&amp;L90</f>
        <v/>
      </c>
      <c r="K90" s="6">
        <f>YEAR(M90)</f>
        <v/>
      </c>
      <c r="L90" s="6">
        <f>MONTH(M90)</f>
        <v/>
      </c>
      <c r="M90" s="267">
        <f>IFERROR(__xludf.DUMMYFUNCTION("""COMPUTED_VALUE"""),43221.6666666666)</f>
        <v/>
      </c>
      <c r="N90" s="6">
        <f>IFERROR(__xludf.DUMMYFUNCTION("""COMPUTED_VALUE"""),7130.7)</f>
        <v/>
      </c>
      <c r="R90" s="6">
        <f>S90&amp;T90</f>
        <v/>
      </c>
      <c r="S90" s="6">
        <f>YEAR(U90)</f>
        <v/>
      </c>
      <c r="T90" s="6">
        <f>MONTH(U90)</f>
        <v/>
      </c>
      <c r="U90" s="267">
        <f>IFERROR(__xludf.DUMMYFUNCTION("""COMPUTED_VALUE"""),43223.6458333333)</f>
        <v/>
      </c>
      <c r="V90" s="6">
        <f>IFERROR(__xludf.DUMMYFUNCTION("""COMPUTED_VALUE"""),2487.25)</f>
        <v/>
      </c>
      <c r="Z90" s="6">
        <f>AA90&amp;AB90</f>
        <v/>
      </c>
      <c r="AA90" s="6">
        <f>YEAR(AC90)</f>
        <v/>
      </c>
      <c r="AB90" s="6">
        <f>MONTH(AC90)</f>
        <v/>
      </c>
      <c r="AC90" s="267">
        <f>IFERROR(__xludf.DUMMYFUNCTION("""COMPUTED_VALUE"""),43185.9986111111)</f>
        <v/>
      </c>
      <c r="AD90" s="6">
        <f>IFERROR(__xludf.DUMMYFUNCTION("""COMPUTED_VALUE"""),1074.3)</f>
        <v/>
      </c>
      <c r="AH90" s="6">
        <f>AI90&amp;AJ90</f>
        <v/>
      </c>
      <c r="AI90" s="6">
        <f>YEAR(AK90)</f>
        <v/>
      </c>
      <c r="AJ90" s="6">
        <f>MONTH(AK90)</f>
        <v/>
      </c>
      <c r="AK90" s="267">
        <f>IFERROR(__xludf.DUMMYFUNCTION("""COMPUTED_VALUE"""),43181.9986111111)</f>
        <v/>
      </c>
      <c r="AL90" s="6">
        <f>IFERROR(__xludf.DUMMYFUNCTION("""COMPUTED_VALUE"""),8599.33)</f>
        <v/>
      </c>
      <c r="AP90" s="6">
        <f>AQ90&amp;AR90</f>
        <v/>
      </c>
      <c r="AQ90" s="6">
        <f>YEAR(AS90)</f>
        <v/>
      </c>
      <c r="AR90" s="6">
        <f>MONTH(AS90)</f>
        <v/>
      </c>
      <c r="AS90" s="267">
        <f>IFERROR(__xludf.DUMMYFUNCTION("""COMPUTED_VALUE"""),43221.9986111111)</f>
        <v/>
      </c>
      <c r="AT90" s="6">
        <f>IFERROR(__xludf.DUMMYFUNCTION("""COMPUTED_VALUE"""),1306.8)</f>
        <v/>
      </c>
    </row>
    <row r="91">
      <c r="B91" s="6">
        <f>C91&amp;D91</f>
        <v/>
      </c>
      <c r="C91" s="6">
        <f>YEAR(E91)</f>
        <v/>
      </c>
      <c r="D91" s="6">
        <f>MONTH(E91)</f>
        <v/>
      </c>
      <c r="E91" s="267">
        <f>IFERROR(__xludf.DUMMYFUNCTION("""COMPUTED_VALUE"""),43222.6666666666)</f>
        <v/>
      </c>
      <c r="F91" s="6">
        <f>IFERROR(__xludf.DUMMYFUNCTION("""COMPUTED_VALUE"""),2635.67)</f>
        <v/>
      </c>
      <c r="J91" s="6">
        <f>K91&amp;L91</f>
        <v/>
      </c>
      <c r="K91" s="6">
        <f>YEAR(M91)</f>
        <v/>
      </c>
      <c r="L91" s="6">
        <f>MONTH(M91)</f>
        <v/>
      </c>
      <c r="M91" s="267">
        <f>IFERROR(__xludf.DUMMYFUNCTION("""COMPUTED_VALUE"""),43222.6666666666)</f>
        <v/>
      </c>
      <c r="N91" s="6">
        <f>IFERROR(__xludf.DUMMYFUNCTION("""COMPUTED_VALUE"""),7100.9)</f>
        <v/>
      </c>
      <c r="R91" s="6">
        <f>S91&amp;T91</f>
        <v/>
      </c>
      <c r="S91" s="6">
        <f>YEAR(U91)</f>
        <v/>
      </c>
      <c r="T91" s="6">
        <f>MONTH(U91)</f>
        <v/>
      </c>
      <c r="U91" s="267">
        <f>IFERROR(__xludf.DUMMYFUNCTION("""COMPUTED_VALUE"""),43224.6458333333)</f>
        <v/>
      </c>
      <c r="V91" s="6">
        <f>IFERROR(__xludf.DUMMYFUNCTION("""COMPUTED_VALUE"""),2461.38)</f>
        <v/>
      </c>
      <c r="Z91" s="6">
        <f>AA91&amp;AB91</f>
        <v/>
      </c>
      <c r="AA91" s="6">
        <f>YEAR(AC91)</f>
        <v/>
      </c>
      <c r="AB91" s="6">
        <f>MONTH(AC91)</f>
        <v/>
      </c>
      <c r="AC91" s="267">
        <f>IFERROR(__xludf.DUMMYFUNCTION("""COMPUTED_VALUE"""),43186.9986111111)</f>
        <v/>
      </c>
      <c r="AD91" s="6">
        <f>IFERROR(__xludf.DUMMYFUNCTION("""COMPUTED_VALUE"""),1074.12)</f>
        <v/>
      </c>
      <c r="AH91" s="6">
        <f>AI91&amp;AJ91</f>
        <v/>
      </c>
      <c r="AI91" s="6">
        <f>YEAR(AK91)</f>
        <v/>
      </c>
      <c r="AJ91" s="6">
        <f>MONTH(AK91)</f>
        <v/>
      </c>
      <c r="AK91" s="267">
        <f>IFERROR(__xludf.DUMMYFUNCTION("""COMPUTED_VALUE"""),43182.9986111111)</f>
        <v/>
      </c>
      <c r="AL91" s="6">
        <f>IFERROR(__xludf.DUMMYFUNCTION("""COMPUTED_VALUE"""),8618.66)</f>
        <v/>
      </c>
      <c r="AP91" s="6">
        <f>AQ91&amp;AR91</f>
        <v/>
      </c>
      <c r="AQ91" s="6">
        <f>YEAR(AS91)</f>
        <v/>
      </c>
      <c r="AR91" s="6">
        <f>MONTH(AS91)</f>
        <v/>
      </c>
      <c r="AS91" s="267">
        <f>IFERROR(__xludf.DUMMYFUNCTION("""COMPUTED_VALUE"""),43222.9986111111)</f>
        <v/>
      </c>
      <c r="AT91" s="6">
        <f>IFERROR(__xludf.DUMMYFUNCTION("""COMPUTED_VALUE"""),1305.6)</f>
        <v/>
      </c>
    </row>
    <row r="92">
      <c r="B92" s="6">
        <f>C92&amp;D92</f>
        <v/>
      </c>
      <c r="C92" s="6">
        <f>YEAR(E92)</f>
        <v/>
      </c>
      <c r="D92" s="6">
        <f>MONTH(E92)</f>
        <v/>
      </c>
      <c r="E92" s="267">
        <f>IFERROR(__xludf.DUMMYFUNCTION("""COMPUTED_VALUE"""),43223.6666666666)</f>
        <v/>
      </c>
      <c r="F92" s="6">
        <f>IFERROR(__xludf.DUMMYFUNCTION("""COMPUTED_VALUE"""),2629.73)</f>
        <v/>
      </c>
      <c r="J92" s="6">
        <f>K92&amp;L92</f>
        <v/>
      </c>
      <c r="K92" s="6">
        <f>YEAR(M92)</f>
        <v/>
      </c>
      <c r="L92" s="6">
        <f>MONTH(M92)</f>
        <v/>
      </c>
      <c r="M92" s="267">
        <f>IFERROR(__xludf.DUMMYFUNCTION("""COMPUTED_VALUE"""),43223.6666666666)</f>
        <v/>
      </c>
      <c r="N92" s="6">
        <f>IFERROR(__xludf.DUMMYFUNCTION("""COMPUTED_VALUE"""),7088.15)</f>
        <v/>
      </c>
      <c r="R92" s="6">
        <f>S92&amp;T92</f>
        <v/>
      </c>
      <c r="S92" s="6">
        <f>YEAR(U92)</f>
        <v/>
      </c>
      <c r="T92" s="6">
        <f>MONTH(U92)</f>
        <v/>
      </c>
      <c r="U92" s="267">
        <f>IFERROR(__xludf.DUMMYFUNCTION("""COMPUTED_VALUE"""),43228.6458333333)</f>
        <v/>
      </c>
      <c r="V92" s="6">
        <f>IFERROR(__xludf.DUMMYFUNCTION("""COMPUTED_VALUE"""),2449.81)</f>
        <v/>
      </c>
      <c r="Z92" s="6">
        <f>AA92&amp;AB92</f>
        <v/>
      </c>
      <c r="AA92" s="6">
        <f>YEAR(AC92)</f>
        <v/>
      </c>
      <c r="AB92" s="6">
        <f>MONTH(AC92)</f>
        <v/>
      </c>
      <c r="AC92" s="267">
        <f>IFERROR(__xludf.DUMMYFUNCTION("""COMPUTED_VALUE"""),43187.9986111111)</f>
        <v/>
      </c>
      <c r="AD92" s="6">
        <f>IFERROR(__xludf.DUMMYFUNCTION("""COMPUTED_VALUE"""),1063.41)</f>
        <v/>
      </c>
      <c r="AH92" s="6">
        <f>AI92&amp;AJ92</f>
        <v/>
      </c>
      <c r="AI92" s="6">
        <f>YEAR(AK92)</f>
        <v/>
      </c>
      <c r="AJ92" s="6">
        <f>MONTH(AK92)</f>
        <v/>
      </c>
      <c r="AK92" s="267">
        <f>IFERROR(__xludf.DUMMYFUNCTION("""COMPUTED_VALUE"""),43183.9986111111)</f>
        <v/>
      </c>
      <c r="AL92" s="6">
        <f>IFERROR(__xludf.DUMMYFUNCTION("""COMPUTED_VALUE"""),8524.72)</f>
        <v/>
      </c>
      <c r="AP92" s="6">
        <f>AQ92&amp;AR92</f>
        <v/>
      </c>
      <c r="AQ92" s="6">
        <f>YEAR(AS92)</f>
        <v/>
      </c>
      <c r="AR92" s="6">
        <f>MONTH(AS92)</f>
        <v/>
      </c>
      <c r="AS92" s="267">
        <f>IFERROR(__xludf.DUMMYFUNCTION("""COMPUTED_VALUE"""),43223.9986111111)</f>
        <v/>
      </c>
      <c r="AT92" s="6">
        <f>IFERROR(__xludf.DUMMYFUNCTION("""COMPUTED_VALUE"""),1312.7)</f>
        <v/>
      </c>
    </row>
    <row r="93">
      <c r="B93" s="6">
        <f>C93&amp;D93</f>
        <v/>
      </c>
      <c r="C93" s="6">
        <f>YEAR(E93)</f>
        <v/>
      </c>
      <c r="D93" s="6">
        <f>MONTH(E93)</f>
        <v/>
      </c>
      <c r="E93" s="267">
        <f>IFERROR(__xludf.DUMMYFUNCTION("""COMPUTED_VALUE"""),43224.6666666666)</f>
        <v/>
      </c>
      <c r="F93" s="6">
        <f>IFERROR(__xludf.DUMMYFUNCTION("""COMPUTED_VALUE"""),2663.42)</f>
        <v/>
      </c>
      <c r="J93" s="6">
        <f>K93&amp;L93</f>
        <v/>
      </c>
      <c r="K93" s="6">
        <f>YEAR(M93)</f>
        <v/>
      </c>
      <c r="L93" s="6">
        <f>MONTH(M93)</f>
        <v/>
      </c>
      <c r="M93" s="267">
        <f>IFERROR(__xludf.DUMMYFUNCTION("""COMPUTED_VALUE"""),43224.6666666666)</f>
        <v/>
      </c>
      <c r="N93" s="6">
        <f>IFERROR(__xludf.DUMMYFUNCTION("""COMPUTED_VALUE"""),7209.62)</f>
        <v/>
      </c>
      <c r="R93" s="6">
        <f>S93&amp;T93</f>
        <v/>
      </c>
      <c r="S93" s="6">
        <f>YEAR(U93)</f>
        <v/>
      </c>
      <c r="T93" s="6">
        <f>MONTH(U93)</f>
        <v/>
      </c>
      <c r="U93" s="267">
        <f>IFERROR(__xludf.DUMMYFUNCTION("""COMPUTED_VALUE"""),43229.6458333333)</f>
        <v/>
      </c>
      <c r="V93" s="6">
        <f>IFERROR(__xludf.DUMMYFUNCTION("""COMPUTED_VALUE"""),2443.98)</f>
        <v/>
      </c>
      <c r="Z93" s="6">
        <f>AA93&amp;AB93</f>
        <v/>
      </c>
      <c r="AA93" s="6">
        <f>YEAR(AC93)</f>
        <v/>
      </c>
      <c r="AB93" s="6">
        <f>MONTH(AC93)</f>
        <v/>
      </c>
      <c r="AC93" s="267">
        <f>IFERROR(__xludf.DUMMYFUNCTION("""COMPUTED_VALUE"""),43188.9986111111)</f>
        <v/>
      </c>
      <c r="AD93" s="6">
        <f>IFERROR(__xludf.DUMMYFUNCTION("""COMPUTED_VALUE"""),1062)</f>
        <v/>
      </c>
      <c r="AH93" s="6">
        <f>AI93&amp;AJ93</f>
        <v/>
      </c>
      <c r="AI93" s="6">
        <f>YEAR(AK93)</f>
        <v/>
      </c>
      <c r="AJ93" s="6">
        <f>MONTH(AK93)</f>
        <v/>
      </c>
      <c r="AK93" s="267">
        <f>IFERROR(__xludf.DUMMYFUNCTION("""COMPUTED_VALUE"""),43184.9986111111)</f>
        <v/>
      </c>
      <c r="AL93" s="6">
        <f>IFERROR(__xludf.DUMMYFUNCTION("""COMPUTED_VALUE"""),8454.28)</f>
        <v/>
      </c>
      <c r="AP93" s="6">
        <f>AQ93&amp;AR93</f>
        <v/>
      </c>
      <c r="AQ93" s="6">
        <f>YEAR(AS93)</f>
        <v/>
      </c>
      <c r="AR93" s="6">
        <f>MONTH(AS93)</f>
        <v/>
      </c>
      <c r="AS93" s="267">
        <f>IFERROR(__xludf.DUMMYFUNCTION("""COMPUTED_VALUE"""),43224.9986111111)</f>
        <v/>
      </c>
      <c r="AT93" s="6">
        <f>IFERROR(__xludf.DUMMYFUNCTION("""COMPUTED_VALUE"""),1314.7)</f>
        <v/>
      </c>
    </row>
    <row r="94">
      <c r="B94" s="6">
        <f>C94&amp;D94</f>
        <v/>
      </c>
      <c r="C94" s="6">
        <f>YEAR(E94)</f>
        <v/>
      </c>
      <c r="D94" s="6">
        <f>MONTH(E94)</f>
        <v/>
      </c>
      <c r="E94" s="267">
        <f>IFERROR(__xludf.DUMMYFUNCTION("""COMPUTED_VALUE"""),43227.6666666666)</f>
        <v/>
      </c>
      <c r="F94" s="6">
        <f>IFERROR(__xludf.DUMMYFUNCTION("""COMPUTED_VALUE"""),2672.63)</f>
        <v/>
      </c>
      <c r="J94" s="6">
        <f>K94&amp;L94</f>
        <v/>
      </c>
      <c r="K94" s="6">
        <f>YEAR(M94)</f>
        <v/>
      </c>
      <c r="L94" s="6">
        <f>MONTH(M94)</f>
        <v/>
      </c>
      <c r="M94" s="267">
        <f>IFERROR(__xludf.DUMMYFUNCTION("""COMPUTED_VALUE"""),43227.6666666666)</f>
        <v/>
      </c>
      <c r="N94" s="6">
        <f>IFERROR(__xludf.DUMMYFUNCTION("""COMPUTED_VALUE"""),7265.21)</f>
        <v/>
      </c>
      <c r="R94" s="6">
        <f>S94&amp;T94</f>
        <v/>
      </c>
      <c r="S94" s="6">
        <f>YEAR(U94)</f>
        <v/>
      </c>
      <c r="T94" s="6">
        <f>MONTH(U94)</f>
        <v/>
      </c>
      <c r="U94" s="267">
        <f>IFERROR(__xludf.DUMMYFUNCTION("""COMPUTED_VALUE"""),43230.6458333333)</f>
        <v/>
      </c>
      <c r="V94" s="6">
        <f>IFERROR(__xludf.DUMMYFUNCTION("""COMPUTED_VALUE"""),2464.16)</f>
        <v/>
      </c>
      <c r="Z94" s="6">
        <f>AA94&amp;AB94</f>
        <v/>
      </c>
      <c r="AA94" s="6">
        <f>YEAR(AC94)</f>
        <v/>
      </c>
      <c r="AB94" s="6">
        <f>MONTH(AC94)</f>
        <v/>
      </c>
      <c r="AC94" s="267">
        <f>IFERROR(__xludf.DUMMYFUNCTION("""COMPUTED_VALUE"""),43189.9986111111)</f>
        <v/>
      </c>
      <c r="AD94" s="6">
        <f>IFERROR(__xludf.DUMMYFUNCTION("""COMPUTED_VALUE"""),1059.9)</f>
        <v/>
      </c>
      <c r="AH94" s="6">
        <f>AI94&amp;AJ94</f>
        <v/>
      </c>
      <c r="AI94" s="6">
        <f>YEAR(AK94)</f>
        <v/>
      </c>
      <c r="AJ94" s="6">
        <f>MONTH(AK94)</f>
        <v/>
      </c>
      <c r="AK94" s="267">
        <f>IFERROR(__xludf.DUMMYFUNCTION("""COMPUTED_VALUE"""),43185.9986111111)</f>
        <v/>
      </c>
      <c r="AL94" s="6">
        <f>IFERROR(__xludf.DUMMYFUNCTION("""COMPUTED_VALUE"""),7897.76)</f>
        <v/>
      </c>
      <c r="AP94" s="6">
        <f>AQ94&amp;AR94</f>
        <v/>
      </c>
      <c r="AQ94" s="6">
        <f>YEAR(AS94)</f>
        <v/>
      </c>
      <c r="AR94" s="6">
        <f>MONTH(AS94)</f>
        <v/>
      </c>
      <c r="AS94" s="267">
        <f>IFERROR(__xludf.DUMMYFUNCTION("""COMPUTED_VALUE"""),43227.9986111111)</f>
        <v/>
      </c>
      <c r="AT94" s="6">
        <f>IFERROR(__xludf.DUMMYFUNCTION("""COMPUTED_VALUE"""),1314.1)</f>
        <v/>
      </c>
    </row>
    <row r="95">
      <c r="B95" s="6">
        <f>C95&amp;D95</f>
        <v/>
      </c>
      <c r="C95" s="6">
        <f>YEAR(E95)</f>
        <v/>
      </c>
      <c r="D95" s="6">
        <f>MONTH(E95)</f>
        <v/>
      </c>
      <c r="E95" s="267">
        <f>IFERROR(__xludf.DUMMYFUNCTION("""COMPUTED_VALUE"""),43228.6666666666)</f>
        <v/>
      </c>
      <c r="F95" s="6">
        <f>IFERROR(__xludf.DUMMYFUNCTION("""COMPUTED_VALUE"""),2671.92)</f>
        <v/>
      </c>
      <c r="J95" s="6">
        <f>K95&amp;L95</f>
        <v/>
      </c>
      <c r="K95" s="6">
        <f>YEAR(M95)</f>
        <v/>
      </c>
      <c r="L95" s="6">
        <f>MONTH(M95)</f>
        <v/>
      </c>
      <c r="M95" s="267">
        <f>IFERROR(__xludf.DUMMYFUNCTION("""COMPUTED_VALUE"""),43228.6666666666)</f>
        <v/>
      </c>
      <c r="N95" s="6">
        <f>IFERROR(__xludf.DUMMYFUNCTION("""COMPUTED_VALUE"""),7266.9)</f>
        <v/>
      </c>
      <c r="R95" s="6">
        <f>S95&amp;T95</f>
        <v/>
      </c>
      <c r="S95" s="6">
        <f>YEAR(U95)</f>
        <v/>
      </c>
      <c r="T95" s="6">
        <f>MONTH(U95)</f>
        <v/>
      </c>
      <c r="U95" s="267">
        <f>IFERROR(__xludf.DUMMYFUNCTION("""COMPUTED_VALUE"""),43231.6458333333)</f>
        <v/>
      </c>
      <c r="V95" s="6">
        <f>IFERROR(__xludf.DUMMYFUNCTION("""COMPUTED_VALUE"""),2477.71)</f>
        <v/>
      </c>
      <c r="Z95" s="6">
        <f>AA95&amp;AB95</f>
        <v/>
      </c>
      <c r="AA95" s="6">
        <f>YEAR(AC95)</f>
        <v/>
      </c>
      <c r="AB95" s="6">
        <f>MONTH(AC95)</f>
        <v/>
      </c>
      <c r="AC95" s="267">
        <f>IFERROR(__xludf.DUMMYFUNCTION("""COMPUTED_VALUE"""),43190.9986111111)</f>
        <v/>
      </c>
      <c r="AD95" s="6">
        <f>IFERROR(__xludf.DUMMYFUNCTION("""COMPUTED_VALUE"""),1059.55)</f>
        <v/>
      </c>
      <c r="AH95" s="6">
        <f>AI95&amp;AJ95</f>
        <v/>
      </c>
      <c r="AI95" s="6">
        <f>YEAR(AK95)</f>
        <v/>
      </c>
      <c r="AJ95" s="6">
        <f>MONTH(AK95)</f>
        <v/>
      </c>
      <c r="AK95" s="267">
        <f>IFERROR(__xludf.DUMMYFUNCTION("""COMPUTED_VALUE"""),43186.9986111111)</f>
        <v/>
      </c>
      <c r="AL95" s="6">
        <f>IFERROR(__xludf.DUMMYFUNCTION("""COMPUTED_VALUE"""),7994.12)</f>
        <v/>
      </c>
      <c r="AP95" s="6">
        <f>AQ95&amp;AR95</f>
        <v/>
      </c>
      <c r="AQ95" s="6">
        <f>YEAR(AS95)</f>
        <v/>
      </c>
      <c r="AR95" s="6">
        <f>MONTH(AS95)</f>
        <v/>
      </c>
      <c r="AS95" s="267">
        <f>IFERROR(__xludf.DUMMYFUNCTION("""COMPUTED_VALUE"""),43228.9986111111)</f>
        <v/>
      </c>
      <c r="AT95" s="6">
        <f>IFERROR(__xludf.DUMMYFUNCTION("""COMPUTED_VALUE"""),1313.7)</f>
        <v/>
      </c>
    </row>
    <row r="96">
      <c r="B96" s="6">
        <f>C96&amp;D96</f>
        <v/>
      </c>
      <c r="C96" s="6">
        <f>YEAR(E96)</f>
        <v/>
      </c>
      <c r="D96" s="6">
        <f>MONTH(E96)</f>
        <v/>
      </c>
      <c r="E96" s="267">
        <f>IFERROR(__xludf.DUMMYFUNCTION("""COMPUTED_VALUE"""),43229.6666666666)</f>
        <v/>
      </c>
      <c r="F96" s="6">
        <f>IFERROR(__xludf.DUMMYFUNCTION("""COMPUTED_VALUE"""),2697.79)</f>
        <v/>
      </c>
      <c r="J96" s="6">
        <f>K96&amp;L96</f>
        <v/>
      </c>
      <c r="K96" s="6">
        <f>YEAR(M96)</f>
        <v/>
      </c>
      <c r="L96" s="6">
        <f>MONTH(M96)</f>
        <v/>
      </c>
      <c r="M96" s="267">
        <f>IFERROR(__xludf.DUMMYFUNCTION("""COMPUTED_VALUE"""),43229.6666666666)</f>
        <v/>
      </c>
      <c r="N96" s="6">
        <f>IFERROR(__xludf.DUMMYFUNCTION("""COMPUTED_VALUE"""),7339.91)</f>
        <v/>
      </c>
      <c r="R96" s="6">
        <f>S96&amp;T96</f>
        <v/>
      </c>
      <c r="S96" s="6">
        <f>YEAR(U96)</f>
        <v/>
      </c>
      <c r="T96" s="6">
        <f>MONTH(U96)</f>
        <v/>
      </c>
      <c r="U96" s="267">
        <f>IFERROR(__xludf.DUMMYFUNCTION("""COMPUTED_VALUE"""),43234.6458333333)</f>
        <v/>
      </c>
      <c r="V96" s="6">
        <f>IFERROR(__xludf.DUMMYFUNCTION("""COMPUTED_VALUE"""),2476.11)</f>
        <v/>
      </c>
      <c r="Z96" s="6">
        <f>AA96&amp;AB96</f>
        <v/>
      </c>
      <c r="AA96" s="6">
        <f>YEAR(AC96)</f>
        <v/>
      </c>
      <c r="AB96" s="6">
        <f>MONTH(AC96)</f>
        <v/>
      </c>
      <c r="AC96" s="267">
        <f>IFERROR(__xludf.DUMMYFUNCTION("""COMPUTED_VALUE"""),43191.9986111111)</f>
        <v/>
      </c>
      <c r="AD96" s="6">
        <f>IFERROR(__xludf.DUMMYFUNCTION("""COMPUTED_VALUE"""),1060.99)</f>
        <v/>
      </c>
      <c r="AH96" s="6">
        <f>AI96&amp;AJ96</f>
        <v/>
      </c>
      <c r="AI96" s="6">
        <f>YEAR(AK96)</f>
        <v/>
      </c>
      <c r="AJ96" s="6">
        <f>MONTH(AK96)</f>
        <v/>
      </c>
      <c r="AK96" s="267">
        <f>IFERROR(__xludf.DUMMYFUNCTION("""COMPUTED_VALUE"""),43187.9986111111)</f>
        <v/>
      </c>
      <c r="AL96" s="6">
        <f>IFERROR(__xludf.DUMMYFUNCTION("""COMPUTED_VALUE"""),7908.79)</f>
        <v/>
      </c>
      <c r="AP96" s="6">
        <f>AQ96&amp;AR96</f>
        <v/>
      </c>
      <c r="AQ96" s="6">
        <f>YEAR(AS96)</f>
        <v/>
      </c>
      <c r="AR96" s="6">
        <f>MONTH(AS96)</f>
        <v/>
      </c>
      <c r="AS96" s="267">
        <f>IFERROR(__xludf.DUMMYFUNCTION("""COMPUTED_VALUE"""),43229.9986111111)</f>
        <v/>
      </c>
      <c r="AT96" s="6">
        <f>IFERROR(__xludf.DUMMYFUNCTION("""COMPUTED_VALUE"""),1313)</f>
        <v/>
      </c>
    </row>
    <row r="97">
      <c r="B97" s="6">
        <f>C97&amp;D97</f>
        <v/>
      </c>
      <c r="C97" s="6">
        <f>YEAR(E97)</f>
        <v/>
      </c>
      <c r="D97" s="6">
        <f>MONTH(E97)</f>
        <v/>
      </c>
      <c r="E97" s="267">
        <f>IFERROR(__xludf.DUMMYFUNCTION("""COMPUTED_VALUE"""),43230.6666666666)</f>
        <v/>
      </c>
      <c r="F97" s="6">
        <f>IFERROR(__xludf.DUMMYFUNCTION("""COMPUTED_VALUE"""),2723.07)</f>
        <v/>
      </c>
      <c r="J97" s="6">
        <f>K97&amp;L97</f>
        <v/>
      </c>
      <c r="K97" s="6">
        <f>YEAR(M97)</f>
        <v/>
      </c>
      <c r="L97" s="6">
        <f>MONTH(M97)</f>
        <v/>
      </c>
      <c r="M97" s="267">
        <f>IFERROR(__xludf.DUMMYFUNCTION("""COMPUTED_VALUE"""),43230.6666666666)</f>
        <v/>
      </c>
      <c r="N97" s="6">
        <f>IFERROR(__xludf.DUMMYFUNCTION("""COMPUTED_VALUE"""),7404.98)</f>
        <v/>
      </c>
      <c r="R97" s="6">
        <f>S97&amp;T97</f>
        <v/>
      </c>
      <c r="S97" s="6">
        <f>YEAR(U97)</f>
        <v/>
      </c>
      <c r="T97" s="6">
        <f>MONTH(U97)</f>
        <v/>
      </c>
      <c r="U97" s="267">
        <f>IFERROR(__xludf.DUMMYFUNCTION("""COMPUTED_VALUE"""),43235.6458333333)</f>
        <v/>
      </c>
      <c r="V97" s="6">
        <f>IFERROR(__xludf.DUMMYFUNCTION("""COMPUTED_VALUE"""),2458.54)</f>
        <v/>
      </c>
      <c r="Z97" s="6">
        <f>AA97&amp;AB97</f>
        <v/>
      </c>
      <c r="AA97" s="6">
        <f>YEAR(AC97)</f>
        <v/>
      </c>
      <c r="AB97" s="6">
        <f>MONTH(AC97)</f>
        <v/>
      </c>
      <c r="AC97" s="267">
        <f>IFERROR(__xludf.DUMMYFUNCTION("""COMPUTED_VALUE"""),43192.9986111111)</f>
        <v/>
      </c>
      <c r="AD97" s="6">
        <f>IFERROR(__xludf.DUMMYFUNCTION("""COMPUTED_VALUE"""),1056.16)</f>
        <v/>
      </c>
      <c r="AH97" s="6">
        <f>AI97&amp;AJ97</f>
        <v/>
      </c>
      <c r="AI97" s="6">
        <f>YEAR(AK97)</f>
        <v/>
      </c>
      <c r="AJ97" s="6">
        <f>MONTH(AK97)</f>
        <v/>
      </c>
      <c r="AK97" s="267">
        <f>IFERROR(__xludf.DUMMYFUNCTION("""COMPUTED_VALUE"""),43188.9986111111)</f>
        <v/>
      </c>
      <c r="AL97" s="6">
        <f>IFERROR(__xludf.DUMMYFUNCTION("""COMPUTED_VALUE"""),7130.79)</f>
        <v/>
      </c>
      <c r="AP97" s="6">
        <f>AQ97&amp;AR97</f>
        <v/>
      </c>
      <c r="AQ97" s="6">
        <f>YEAR(AS97)</f>
        <v/>
      </c>
      <c r="AR97" s="6">
        <f>MONTH(AS97)</f>
        <v/>
      </c>
      <c r="AS97" s="267">
        <f>IFERROR(__xludf.DUMMYFUNCTION("""COMPUTED_VALUE"""),43230.9986111111)</f>
        <v/>
      </c>
      <c r="AT97" s="6">
        <f>IFERROR(__xludf.DUMMYFUNCTION("""COMPUTED_VALUE"""),1322.3)</f>
        <v/>
      </c>
    </row>
    <row r="98">
      <c r="B98" s="6">
        <f>C98&amp;D98</f>
        <v/>
      </c>
      <c r="C98" s="6">
        <f>YEAR(E98)</f>
        <v/>
      </c>
      <c r="D98" s="6">
        <f>MONTH(E98)</f>
        <v/>
      </c>
      <c r="E98" s="267">
        <f>IFERROR(__xludf.DUMMYFUNCTION("""COMPUTED_VALUE"""),43231.6666666666)</f>
        <v/>
      </c>
      <c r="F98" s="6">
        <f>IFERROR(__xludf.DUMMYFUNCTION("""COMPUTED_VALUE"""),2727.72)</f>
        <v/>
      </c>
      <c r="J98" s="6">
        <f>K98&amp;L98</f>
        <v/>
      </c>
      <c r="K98" s="6">
        <f>YEAR(M98)</f>
        <v/>
      </c>
      <c r="L98" s="6">
        <f>MONTH(M98)</f>
        <v/>
      </c>
      <c r="M98" s="267">
        <f>IFERROR(__xludf.DUMMYFUNCTION("""COMPUTED_VALUE"""),43231.6666666666)</f>
        <v/>
      </c>
      <c r="N98" s="6">
        <f>IFERROR(__xludf.DUMMYFUNCTION("""COMPUTED_VALUE"""),7402.88)</f>
        <v/>
      </c>
      <c r="R98" s="6">
        <f>S98&amp;T98</f>
        <v/>
      </c>
      <c r="S98" s="6">
        <f>YEAR(U98)</f>
        <v/>
      </c>
      <c r="T98" s="6">
        <f>MONTH(U98)</f>
        <v/>
      </c>
      <c r="U98" s="267">
        <f>IFERROR(__xludf.DUMMYFUNCTION("""COMPUTED_VALUE"""),43236.6458333333)</f>
        <v/>
      </c>
      <c r="V98" s="6">
        <f>IFERROR(__xludf.DUMMYFUNCTION("""COMPUTED_VALUE"""),2459.82)</f>
        <v/>
      </c>
      <c r="Z98" s="6">
        <f>AA98&amp;AB98</f>
        <v/>
      </c>
      <c r="AA98" s="6">
        <f>YEAR(AC98)</f>
        <v/>
      </c>
      <c r="AB98" s="6">
        <f>MONTH(AC98)</f>
        <v/>
      </c>
      <c r="AC98" s="267">
        <f>IFERROR(__xludf.DUMMYFUNCTION("""COMPUTED_VALUE"""),43193.9986111111)</f>
        <v/>
      </c>
      <c r="AD98" s="6">
        <f>IFERROR(__xludf.DUMMYFUNCTION("""COMPUTED_VALUE"""),1053.73)</f>
        <v/>
      </c>
      <c r="AH98" s="6">
        <f>AI98&amp;AJ98</f>
        <v/>
      </c>
      <c r="AI98" s="6">
        <f>YEAR(AK98)</f>
        <v/>
      </c>
      <c r="AJ98" s="6">
        <f>MONTH(AK98)</f>
        <v/>
      </c>
      <c r="AK98" s="267">
        <f>IFERROR(__xludf.DUMMYFUNCTION("""COMPUTED_VALUE"""),43189.9986111111)</f>
        <v/>
      </c>
      <c r="AL98" s="6">
        <f>IFERROR(__xludf.DUMMYFUNCTION("""COMPUTED_VALUE"""),6854)</f>
        <v/>
      </c>
      <c r="AP98" s="6">
        <f>AQ98&amp;AR98</f>
        <v/>
      </c>
      <c r="AQ98" s="6">
        <f>YEAR(AS98)</f>
        <v/>
      </c>
      <c r="AR98" s="6">
        <f>MONTH(AS98)</f>
        <v/>
      </c>
      <c r="AS98" s="267">
        <f>IFERROR(__xludf.DUMMYFUNCTION("""COMPUTED_VALUE"""),43231.9986111111)</f>
        <v/>
      </c>
      <c r="AT98" s="6">
        <f>IFERROR(__xludf.DUMMYFUNCTION("""COMPUTED_VALUE"""),1320.7)</f>
        <v/>
      </c>
    </row>
    <row r="99">
      <c r="B99" s="6">
        <f>C99&amp;D99</f>
        <v/>
      </c>
      <c r="C99" s="6">
        <f>YEAR(E99)</f>
        <v/>
      </c>
      <c r="D99" s="6">
        <f>MONTH(E99)</f>
        <v/>
      </c>
      <c r="E99" s="267">
        <f>IFERROR(__xludf.DUMMYFUNCTION("""COMPUTED_VALUE"""),43234.6666666666)</f>
        <v/>
      </c>
      <c r="F99" s="6">
        <f>IFERROR(__xludf.DUMMYFUNCTION("""COMPUTED_VALUE"""),2730.13)</f>
        <v/>
      </c>
      <c r="J99" s="6">
        <f>K99&amp;L99</f>
        <v/>
      </c>
      <c r="K99" s="6">
        <f>YEAR(M99)</f>
        <v/>
      </c>
      <c r="L99" s="6">
        <f>MONTH(M99)</f>
        <v/>
      </c>
      <c r="M99" s="267">
        <f>IFERROR(__xludf.DUMMYFUNCTION("""COMPUTED_VALUE"""),43234.6666666666)</f>
        <v/>
      </c>
      <c r="N99" s="6">
        <f>IFERROR(__xludf.DUMMYFUNCTION("""COMPUTED_VALUE"""),7411.32)</f>
        <v/>
      </c>
      <c r="R99" s="6">
        <f>S99&amp;T99</f>
        <v/>
      </c>
      <c r="S99" s="6">
        <f>YEAR(U99)</f>
        <v/>
      </c>
      <c r="T99" s="6">
        <f>MONTH(U99)</f>
        <v/>
      </c>
      <c r="U99" s="267">
        <f>IFERROR(__xludf.DUMMYFUNCTION("""COMPUTED_VALUE"""),43237.6458333333)</f>
        <v/>
      </c>
      <c r="V99" s="6">
        <f>IFERROR(__xludf.DUMMYFUNCTION("""COMPUTED_VALUE"""),2448.45)</f>
        <v/>
      </c>
      <c r="Z99" s="6">
        <f>AA99&amp;AB99</f>
        <v/>
      </c>
      <c r="AA99" s="6">
        <f>YEAR(AC99)</f>
        <v/>
      </c>
      <c r="AB99" s="6">
        <f>MONTH(AC99)</f>
        <v/>
      </c>
      <c r="AC99" s="267">
        <f>IFERROR(__xludf.DUMMYFUNCTION("""COMPUTED_VALUE"""),43194.9986111111)</f>
        <v/>
      </c>
      <c r="AD99" s="6">
        <f>IFERROR(__xludf.DUMMYFUNCTION("""COMPUTED_VALUE"""),1057.43)</f>
        <v/>
      </c>
      <c r="AH99" s="6">
        <f>AI99&amp;AJ99</f>
        <v/>
      </c>
      <c r="AI99" s="6">
        <f>YEAR(AK99)</f>
        <v/>
      </c>
      <c r="AJ99" s="6">
        <f>MONTH(AK99)</f>
        <v/>
      </c>
      <c r="AK99" s="267">
        <f>IFERROR(__xludf.DUMMYFUNCTION("""COMPUTED_VALUE"""),43190.9986111111)</f>
        <v/>
      </c>
      <c r="AL99" s="6">
        <f>IFERROR(__xludf.DUMMYFUNCTION("""COMPUTED_VALUE"""),6927.08)</f>
        <v/>
      </c>
      <c r="AP99" s="6">
        <f>AQ99&amp;AR99</f>
        <v/>
      </c>
      <c r="AQ99" s="6">
        <f>YEAR(AS99)</f>
        <v/>
      </c>
      <c r="AR99" s="6">
        <f>MONTH(AS99)</f>
        <v/>
      </c>
      <c r="AS99" s="267">
        <f>IFERROR(__xludf.DUMMYFUNCTION("""COMPUTED_VALUE"""),43234.9986111111)</f>
        <v/>
      </c>
      <c r="AT99" s="6">
        <f>IFERROR(__xludf.DUMMYFUNCTION("""COMPUTED_VALUE"""),1318.2)</f>
        <v/>
      </c>
    </row>
    <row r="100">
      <c r="B100" s="6">
        <f>C100&amp;D100</f>
        <v/>
      </c>
      <c r="C100" s="6">
        <f>YEAR(E100)</f>
        <v/>
      </c>
      <c r="D100" s="6">
        <f>MONTH(E100)</f>
        <v/>
      </c>
      <c r="E100" s="267">
        <f>IFERROR(__xludf.DUMMYFUNCTION("""COMPUTED_VALUE"""),43235.6666666666)</f>
        <v/>
      </c>
      <c r="F100" s="6">
        <f>IFERROR(__xludf.DUMMYFUNCTION("""COMPUTED_VALUE"""),2711.45)</f>
        <v/>
      </c>
      <c r="J100" s="6">
        <f>K100&amp;L100</f>
        <v/>
      </c>
      <c r="K100" s="6">
        <f>YEAR(M100)</f>
        <v/>
      </c>
      <c r="L100" s="6">
        <f>MONTH(M100)</f>
        <v/>
      </c>
      <c r="M100" s="267">
        <f>IFERROR(__xludf.DUMMYFUNCTION("""COMPUTED_VALUE"""),43235.6666666666)</f>
        <v/>
      </c>
      <c r="N100" s="6">
        <f>IFERROR(__xludf.DUMMYFUNCTION("""COMPUTED_VALUE"""),7351.63)</f>
        <v/>
      </c>
      <c r="R100" s="6">
        <f>S100&amp;T100</f>
        <v/>
      </c>
      <c r="S100" s="6">
        <f>YEAR(U100)</f>
        <v/>
      </c>
      <c r="T100" s="6">
        <f>MONTH(U100)</f>
        <v/>
      </c>
      <c r="U100" s="267">
        <f>IFERROR(__xludf.DUMMYFUNCTION("""COMPUTED_VALUE"""),43238.6458333333)</f>
        <v/>
      </c>
      <c r="V100" s="6">
        <f>IFERROR(__xludf.DUMMYFUNCTION("""COMPUTED_VALUE"""),2460.65)</f>
        <v/>
      </c>
      <c r="Z100" s="6">
        <f>AA100&amp;AB100</f>
        <v/>
      </c>
      <c r="AA100" s="6">
        <f>YEAR(AC100)</f>
        <v/>
      </c>
      <c r="AB100" s="6">
        <f>MONTH(AC100)</f>
        <v/>
      </c>
      <c r="AC100" s="267">
        <f>IFERROR(__xludf.DUMMYFUNCTION("""COMPUTED_VALUE"""),43195.9986111111)</f>
        <v/>
      </c>
      <c r="AD100" s="6">
        <f>IFERROR(__xludf.DUMMYFUNCTION("""COMPUTED_VALUE"""),1061.64)</f>
        <v/>
      </c>
      <c r="AH100" s="6">
        <f>AI100&amp;AJ100</f>
        <v/>
      </c>
      <c r="AI100" s="6">
        <f>YEAR(AK100)</f>
        <v/>
      </c>
      <c r="AJ100" s="6">
        <f>MONTH(AK100)</f>
        <v/>
      </c>
      <c r="AK100" s="267">
        <f>IFERROR(__xludf.DUMMYFUNCTION("""COMPUTED_VALUE"""),43191.9986111111)</f>
        <v/>
      </c>
      <c r="AL100" s="6">
        <f>IFERROR(__xludf.DUMMYFUNCTION("""COMPUTED_VALUE"""),6940.61)</f>
        <v/>
      </c>
      <c r="AP100" s="6">
        <f>AQ100&amp;AR100</f>
        <v/>
      </c>
      <c r="AQ100" s="6">
        <f>YEAR(AS100)</f>
        <v/>
      </c>
      <c r="AR100" s="6">
        <f>MONTH(AS100)</f>
        <v/>
      </c>
      <c r="AS100" s="267">
        <f>IFERROR(__xludf.DUMMYFUNCTION("""COMPUTED_VALUE"""),43235.9986111111)</f>
        <v/>
      </c>
      <c r="AT100" s="6">
        <f>IFERROR(__xludf.DUMMYFUNCTION("""COMPUTED_VALUE"""),1290.3)</f>
        <v/>
      </c>
    </row>
    <row r="101">
      <c r="B101" s="6">
        <f>C101&amp;D101</f>
        <v/>
      </c>
      <c r="C101" s="6">
        <f>YEAR(E101)</f>
        <v/>
      </c>
      <c r="D101" s="6">
        <f>MONTH(E101)</f>
        <v/>
      </c>
      <c r="E101" s="267">
        <f>IFERROR(__xludf.DUMMYFUNCTION("""COMPUTED_VALUE"""),43236.6666666666)</f>
        <v/>
      </c>
      <c r="F101" s="6">
        <f>IFERROR(__xludf.DUMMYFUNCTION("""COMPUTED_VALUE"""),2722.46)</f>
        <v/>
      </c>
      <c r="J101" s="6">
        <f>K101&amp;L101</f>
        <v/>
      </c>
      <c r="K101" s="6">
        <f>YEAR(M101)</f>
        <v/>
      </c>
      <c r="L101" s="6">
        <f>MONTH(M101)</f>
        <v/>
      </c>
      <c r="M101" s="267">
        <f>IFERROR(__xludf.DUMMYFUNCTION("""COMPUTED_VALUE"""),43236.6666666666)</f>
        <v/>
      </c>
      <c r="N101" s="6">
        <f>IFERROR(__xludf.DUMMYFUNCTION("""COMPUTED_VALUE"""),7398.3)</f>
        <v/>
      </c>
      <c r="R101" s="6">
        <f>S101&amp;T101</f>
        <v/>
      </c>
      <c r="S101" s="6">
        <f>YEAR(U101)</f>
        <v/>
      </c>
      <c r="T101" s="6">
        <f>MONTH(U101)</f>
        <v/>
      </c>
      <c r="U101" s="267">
        <f>IFERROR(__xludf.DUMMYFUNCTION("""COMPUTED_VALUE"""),43241.6458333333)</f>
        <v/>
      </c>
      <c r="V101" s="6">
        <f>IFERROR(__xludf.DUMMYFUNCTION("""COMPUTED_VALUE"""),2465.57)</f>
        <v/>
      </c>
      <c r="Z101" s="6">
        <f>AA101&amp;AB101</f>
        <v/>
      </c>
      <c r="AA101" s="6">
        <f>YEAR(AC101)</f>
        <v/>
      </c>
      <c r="AB101" s="6">
        <f>MONTH(AC101)</f>
        <v/>
      </c>
      <c r="AC101" s="267">
        <f>IFERROR(__xludf.DUMMYFUNCTION("""COMPUTED_VALUE"""),43196.9986111111)</f>
        <v/>
      </c>
      <c r="AD101" s="6">
        <f>IFERROR(__xludf.DUMMYFUNCTION("""COMPUTED_VALUE"""),1069.72)</f>
        <v/>
      </c>
      <c r="AH101" s="6">
        <f>AI101&amp;AJ101</f>
        <v/>
      </c>
      <c r="AI101" s="6">
        <f>YEAR(AK101)</f>
        <v/>
      </c>
      <c r="AJ101" s="6">
        <f>MONTH(AK101)</f>
        <v/>
      </c>
      <c r="AK101" s="267">
        <f>IFERROR(__xludf.DUMMYFUNCTION("""COMPUTED_VALUE"""),43192.9986111111)</f>
        <v/>
      </c>
      <c r="AL101" s="6">
        <f>IFERROR(__xludf.DUMMYFUNCTION("""COMPUTED_VALUE"""),6933.58)</f>
        <v/>
      </c>
      <c r="AP101" s="6">
        <f>AQ101&amp;AR101</f>
        <v/>
      </c>
      <c r="AQ101" s="6">
        <f>YEAR(AS101)</f>
        <v/>
      </c>
      <c r="AR101" s="6">
        <f>MONTH(AS101)</f>
        <v/>
      </c>
      <c r="AS101" s="267">
        <f>IFERROR(__xludf.DUMMYFUNCTION("""COMPUTED_VALUE"""),43236.9986111111)</f>
        <v/>
      </c>
      <c r="AT101" s="6">
        <f>IFERROR(__xludf.DUMMYFUNCTION("""COMPUTED_VALUE"""),1291.5)</f>
        <v/>
      </c>
    </row>
    <row r="102">
      <c r="B102" s="6">
        <f>C102&amp;D102</f>
        <v/>
      </c>
      <c r="C102" s="6">
        <f>YEAR(E102)</f>
        <v/>
      </c>
      <c r="D102" s="6">
        <f>MONTH(E102)</f>
        <v/>
      </c>
      <c r="E102" s="267">
        <f>IFERROR(__xludf.DUMMYFUNCTION("""COMPUTED_VALUE"""),43237.6666666666)</f>
        <v/>
      </c>
      <c r="F102" s="6">
        <f>IFERROR(__xludf.DUMMYFUNCTION("""COMPUTED_VALUE"""),2720.13)</f>
        <v/>
      </c>
      <c r="J102" s="6">
        <f>K102&amp;L102</f>
        <v/>
      </c>
      <c r="K102" s="6">
        <f>YEAR(M102)</f>
        <v/>
      </c>
      <c r="L102" s="6">
        <f>MONTH(M102)</f>
        <v/>
      </c>
      <c r="M102" s="267">
        <f>IFERROR(__xludf.DUMMYFUNCTION("""COMPUTED_VALUE"""),43237.6666666666)</f>
        <v/>
      </c>
      <c r="N102" s="6">
        <f>IFERROR(__xludf.DUMMYFUNCTION("""COMPUTED_VALUE"""),7382.47)</f>
        <v/>
      </c>
      <c r="R102" s="6">
        <f>S102&amp;T102</f>
        <v/>
      </c>
      <c r="S102" s="6">
        <f>YEAR(U102)</f>
        <v/>
      </c>
      <c r="T102" s="6">
        <f>MONTH(U102)</f>
        <v/>
      </c>
      <c r="U102" s="267">
        <f>IFERROR(__xludf.DUMMYFUNCTION("""COMPUTED_VALUE"""),43243.6458333333)</f>
        <v/>
      </c>
      <c r="V102" s="6">
        <f>IFERROR(__xludf.DUMMYFUNCTION("""COMPUTED_VALUE"""),2471.91)</f>
        <v/>
      </c>
      <c r="Z102" s="6">
        <f>AA102&amp;AB102</f>
        <v/>
      </c>
      <c r="AA102" s="6">
        <f>YEAR(AC102)</f>
        <v/>
      </c>
      <c r="AB102" s="6">
        <f>MONTH(AC102)</f>
        <v/>
      </c>
      <c r="AC102" s="267">
        <f>IFERROR(__xludf.DUMMYFUNCTION("""COMPUTED_VALUE"""),43197.9986111111)</f>
        <v/>
      </c>
      <c r="AD102" s="6">
        <f>IFERROR(__xludf.DUMMYFUNCTION("""COMPUTED_VALUE"""),1069.72)</f>
        <v/>
      </c>
      <c r="AH102" s="6">
        <f>AI102&amp;AJ102</f>
        <v/>
      </c>
      <c r="AI102" s="6">
        <f>YEAR(AK102)</f>
        <v/>
      </c>
      <c r="AJ102" s="6">
        <f>MONTH(AK102)</f>
        <v/>
      </c>
      <c r="AK102" s="267">
        <f>IFERROR(__xludf.DUMMYFUNCTION("""COMPUTED_VALUE"""),43193.9986111111)</f>
        <v/>
      </c>
      <c r="AL102" s="6">
        <f>IFERROR(__xludf.DUMMYFUNCTION("""COMPUTED_VALUE"""),7409.52)</f>
        <v/>
      </c>
      <c r="AP102" s="6">
        <f>AQ102&amp;AR102</f>
        <v/>
      </c>
      <c r="AQ102" s="6">
        <f>YEAR(AS102)</f>
        <v/>
      </c>
      <c r="AR102" s="6">
        <f>MONTH(AS102)</f>
        <v/>
      </c>
      <c r="AS102" s="267">
        <f>IFERROR(__xludf.DUMMYFUNCTION("""COMPUTED_VALUE"""),43237.9986111111)</f>
        <v/>
      </c>
      <c r="AT102" s="6">
        <f>IFERROR(__xludf.DUMMYFUNCTION("""COMPUTED_VALUE"""),1289.4)</f>
        <v/>
      </c>
    </row>
    <row r="103">
      <c r="B103" s="6">
        <f>C103&amp;D103</f>
        <v/>
      </c>
      <c r="C103" s="6">
        <f>YEAR(E103)</f>
        <v/>
      </c>
      <c r="D103" s="6">
        <f>MONTH(E103)</f>
        <v/>
      </c>
      <c r="E103" s="267">
        <f>IFERROR(__xludf.DUMMYFUNCTION("""COMPUTED_VALUE"""),43238.6666666666)</f>
        <v/>
      </c>
      <c r="F103" s="6">
        <f>IFERROR(__xludf.DUMMYFUNCTION("""COMPUTED_VALUE"""),2712.97)</f>
        <v/>
      </c>
      <c r="J103" s="6">
        <f>K103&amp;L103</f>
        <v/>
      </c>
      <c r="K103" s="6">
        <f>YEAR(M103)</f>
        <v/>
      </c>
      <c r="L103" s="6">
        <f>MONTH(M103)</f>
        <v/>
      </c>
      <c r="M103" s="267">
        <f>IFERROR(__xludf.DUMMYFUNCTION("""COMPUTED_VALUE"""),43238.6666666666)</f>
        <v/>
      </c>
      <c r="N103" s="6">
        <f>IFERROR(__xludf.DUMMYFUNCTION("""COMPUTED_VALUE"""),7354.34)</f>
        <v/>
      </c>
      <c r="R103" s="6">
        <f>S103&amp;T103</f>
        <v/>
      </c>
      <c r="S103" s="6">
        <f>YEAR(U103)</f>
        <v/>
      </c>
      <c r="T103" s="6">
        <f>MONTH(U103)</f>
        <v/>
      </c>
      <c r="U103" s="267">
        <f>IFERROR(__xludf.DUMMYFUNCTION("""COMPUTED_VALUE"""),43244.6458333333)</f>
        <v/>
      </c>
      <c r="V103" s="6">
        <f>IFERROR(__xludf.DUMMYFUNCTION("""COMPUTED_VALUE"""),2466.01)</f>
        <v/>
      </c>
      <c r="Z103" s="6">
        <f>AA103&amp;AB103</f>
        <v/>
      </c>
      <c r="AA103" s="6">
        <f>YEAR(AC103)</f>
        <v/>
      </c>
      <c r="AB103" s="6">
        <f>MONTH(AC103)</f>
        <v/>
      </c>
      <c r="AC103" s="267">
        <f>IFERROR(__xludf.DUMMYFUNCTION("""COMPUTED_VALUE"""),43198.9986111111)</f>
        <v/>
      </c>
      <c r="AD103" s="6">
        <f>IFERROR(__xludf.DUMMYFUNCTION("""COMPUTED_VALUE"""),1070.46)</f>
        <v/>
      </c>
      <c r="AH103" s="6">
        <f>AI103&amp;AJ103</f>
        <v/>
      </c>
      <c r="AI103" s="6">
        <f>YEAR(AK103)</f>
        <v/>
      </c>
      <c r="AJ103" s="6">
        <f>MONTH(AK103)</f>
        <v/>
      </c>
      <c r="AK103" s="267">
        <f>IFERROR(__xludf.DUMMYFUNCTION("""COMPUTED_VALUE"""),43194.9986111111)</f>
        <v/>
      </c>
      <c r="AL103" s="6">
        <f>IFERROR(__xludf.DUMMYFUNCTION("""COMPUTED_VALUE"""),6836.74)</f>
        <v/>
      </c>
      <c r="AP103" s="6">
        <f>AQ103&amp;AR103</f>
        <v/>
      </c>
      <c r="AQ103" s="6">
        <f>YEAR(AS103)</f>
        <v/>
      </c>
      <c r="AR103" s="6">
        <f>MONTH(AS103)</f>
        <v/>
      </c>
      <c r="AS103" s="267">
        <f>IFERROR(__xludf.DUMMYFUNCTION("""COMPUTED_VALUE"""),43238.9986111111)</f>
        <v/>
      </c>
      <c r="AT103" s="6">
        <f>IFERROR(__xludf.DUMMYFUNCTION("""COMPUTED_VALUE"""),1291.3)</f>
        <v/>
      </c>
    </row>
    <row r="104">
      <c r="B104" s="6">
        <f>C104&amp;D104</f>
        <v/>
      </c>
      <c r="C104" s="6">
        <f>YEAR(E104)</f>
        <v/>
      </c>
      <c r="D104" s="6">
        <f>MONTH(E104)</f>
        <v/>
      </c>
      <c r="E104" s="267">
        <f>IFERROR(__xludf.DUMMYFUNCTION("""COMPUTED_VALUE"""),43241.6666666666)</f>
        <v/>
      </c>
      <c r="F104" s="6">
        <f>IFERROR(__xludf.DUMMYFUNCTION("""COMPUTED_VALUE"""),2733.01)</f>
        <v/>
      </c>
      <c r="J104" s="6">
        <f>K104&amp;L104</f>
        <v/>
      </c>
      <c r="K104" s="6">
        <f>YEAR(M104)</f>
        <v/>
      </c>
      <c r="L104" s="6">
        <f>MONTH(M104)</f>
        <v/>
      </c>
      <c r="M104" s="267">
        <f>IFERROR(__xludf.DUMMYFUNCTION("""COMPUTED_VALUE"""),43241.6666666666)</f>
        <v/>
      </c>
      <c r="N104" s="6">
        <f>IFERROR(__xludf.DUMMYFUNCTION("""COMPUTED_VALUE"""),7394.04)</f>
        <v/>
      </c>
      <c r="R104" s="6">
        <f>S104&amp;T104</f>
        <v/>
      </c>
      <c r="S104" s="6">
        <f>YEAR(U104)</f>
        <v/>
      </c>
      <c r="T104" s="6">
        <f>MONTH(U104)</f>
        <v/>
      </c>
      <c r="U104" s="267">
        <f>IFERROR(__xludf.DUMMYFUNCTION("""COMPUTED_VALUE"""),43245.6458333333)</f>
        <v/>
      </c>
      <c r="V104" s="6">
        <f>IFERROR(__xludf.DUMMYFUNCTION("""COMPUTED_VALUE"""),2460.8)</f>
        <v/>
      </c>
      <c r="Z104" s="6">
        <f>AA104&amp;AB104</f>
        <v/>
      </c>
      <c r="AA104" s="6">
        <f>YEAR(AC104)</f>
        <v/>
      </c>
      <c r="AB104" s="6">
        <f>MONTH(AC104)</f>
        <v/>
      </c>
      <c r="AC104" s="267">
        <f>IFERROR(__xludf.DUMMYFUNCTION("""COMPUTED_VALUE"""),43199.9986111111)</f>
        <v/>
      </c>
      <c r="AD104" s="6">
        <f>IFERROR(__xludf.DUMMYFUNCTION("""COMPUTED_VALUE"""),1068.77)</f>
        <v/>
      </c>
      <c r="AH104" s="6">
        <f>AI104&amp;AJ104</f>
        <v/>
      </c>
      <c r="AI104" s="6">
        <f>YEAR(AK104)</f>
        <v/>
      </c>
      <c r="AJ104" s="6">
        <f>MONTH(AK104)</f>
        <v/>
      </c>
      <c r="AK104" s="267">
        <f>IFERROR(__xludf.DUMMYFUNCTION("""COMPUTED_VALUE"""),43195.9986111111)</f>
        <v/>
      </c>
      <c r="AL104" s="6">
        <f>IFERROR(__xludf.DUMMYFUNCTION("""COMPUTED_VALUE"""),6818.54)</f>
        <v/>
      </c>
      <c r="AP104" s="6">
        <f>AQ104&amp;AR104</f>
        <v/>
      </c>
      <c r="AQ104" s="6">
        <f>YEAR(AS104)</f>
        <v/>
      </c>
      <c r="AR104" s="6">
        <f>MONTH(AS104)</f>
        <v/>
      </c>
      <c r="AS104" s="267">
        <f>IFERROR(__xludf.DUMMYFUNCTION("""COMPUTED_VALUE"""),43241.9986111111)</f>
        <v/>
      </c>
      <c r="AT104" s="6">
        <f>IFERROR(__xludf.DUMMYFUNCTION("""COMPUTED_VALUE"""),1290.9)</f>
        <v/>
      </c>
    </row>
    <row r="105">
      <c r="B105" s="6">
        <f>C105&amp;D105</f>
        <v/>
      </c>
      <c r="C105" s="6">
        <f>YEAR(E105)</f>
        <v/>
      </c>
      <c r="D105" s="6">
        <f>MONTH(E105)</f>
        <v/>
      </c>
      <c r="E105" s="267">
        <f>IFERROR(__xludf.DUMMYFUNCTION("""COMPUTED_VALUE"""),43242.6666666666)</f>
        <v/>
      </c>
      <c r="F105" s="6">
        <f>IFERROR(__xludf.DUMMYFUNCTION("""COMPUTED_VALUE"""),2724.44)</f>
        <v/>
      </c>
      <c r="J105" s="6">
        <f>K105&amp;L105</f>
        <v/>
      </c>
      <c r="K105" s="6">
        <f>YEAR(M105)</f>
        <v/>
      </c>
      <c r="L105" s="6">
        <f>MONTH(M105)</f>
        <v/>
      </c>
      <c r="M105" s="267">
        <f>IFERROR(__xludf.DUMMYFUNCTION("""COMPUTED_VALUE"""),43242.6666666666)</f>
        <v/>
      </c>
      <c r="N105" s="6">
        <f>IFERROR(__xludf.DUMMYFUNCTION("""COMPUTED_VALUE"""),7378.46)</f>
        <v/>
      </c>
      <c r="R105" s="6">
        <f>S105&amp;T105</f>
        <v/>
      </c>
      <c r="S105" s="6">
        <f>YEAR(U105)</f>
        <v/>
      </c>
      <c r="T105" s="6">
        <f>MONTH(U105)</f>
        <v/>
      </c>
      <c r="U105" s="267">
        <f>IFERROR(__xludf.DUMMYFUNCTION("""COMPUTED_VALUE"""),43248.6458333333)</f>
        <v/>
      </c>
      <c r="V105" s="6">
        <f>IFERROR(__xludf.DUMMYFUNCTION("""COMPUTED_VALUE"""),2478.96)</f>
        <v/>
      </c>
      <c r="Z105" s="6">
        <f>AA105&amp;AB105</f>
        <v/>
      </c>
      <c r="AA105" s="6">
        <f>YEAR(AC105)</f>
        <v/>
      </c>
      <c r="AB105" s="6">
        <f>MONTH(AC105)</f>
        <v/>
      </c>
      <c r="AC105" s="267">
        <f>IFERROR(__xludf.DUMMYFUNCTION("""COMPUTED_VALUE"""),43200.9986111111)</f>
        <v/>
      </c>
      <c r="AD105" s="6">
        <f>IFERROR(__xludf.DUMMYFUNCTION("""COMPUTED_VALUE"""),1063.38)</f>
        <v/>
      </c>
      <c r="AH105" s="6">
        <f>AI105&amp;AJ105</f>
        <v/>
      </c>
      <c r="AI105" s="6">
        <f>YEAR(AK105)</f>
        <v/>
      </c>
      <c r="AJ105" s="6">
        <f>MONTH(AK105)</f>
        <v/>
      </c>
      <c r="AK105" s="267">
        <f>IFERROR(__xludf.DUMMYFUNCTION("""COMPUTED_VALUE"""),43196.9986111111)</f>
        <v/>
      </c>
      <c r="AL105" s="6">
        <f>IFERROR(__xludf.DUMMYFUNCTION("""COMPUTED_VALUE"""),6613.62)</f>
        <v/>
      </c>
      <c r="AP105" s="6">
        <f>AQ105&amp;AR105</f>
        <v/>
      </c>
      <c r="AQ105" s="6">
        <f>YEAR(AS105)</f>
        <v/>
      </c>
      <c r="AR105" s="6">
        <f>MONTH(AS105)</f>
        <v/>
      </c>
      <c r="AS105" s="267">
        <f>IFERROR(__xludf.DUMMYFUNCTION("""COMPUTED_VALUE"""),43242.9986111111)</f>
        <v/>
      </c>
      <c r="AT105" s="6">
        <f>IFERROR(__xludf.DUMMYFUNCTION("""COMPUTED_VALUE"""),1297.4)</f>
        <v/>
      </c>
    </row>
    <row r="106">
      <c r="B106" s="6">
        <f>C106&amp;D106</f>
        <v/>
      </c>
      <c r="C106" s="6">
        <f>YEAR(E106)</f>
        <v/>
      </c>
      <c r="D106" s="6">
        <f>MONTH(E106)</f>
        <v/>
      </c>
      <c r="E106" s="267">
        <f>IFERROR(__xludf.DUMMYFUNCTION("""COMPUTED_VALUE"""),43243.6666666666)</f>
        <v/>
      </c>
      <c r="F106" s="6">
        <f>IFERROR(__xludf.DUMMYFUNCTION("""COMPUTED_VALUE"""),2733.29)</f>
        <v/>
      </c>
      <c r="J106" s="6">
        <f>K106&amp;L106</f>
        <v/>
      </c>
      <c r="K106" s="6">
        <f>YEAR(M106)</f>
        <v/>
      </c>
      <c r="L106" s="6">
        <f>MONTH(M106)</f>
        <v/>
      </c>
      <c r="M106" s="267">
        <f>IFERROR(__xludf.DUMMYFUNCTION("""COMPUTED_VALUE"""),43243.6666666666)</f>
        <v/>
      </c>
      <c r="N106" s="6">
        <f>IFERROR(__xludf.DUMMYFUNCTION("""COMPUTED_VALUE"""),7425.96)</f>
        <v/>
      </c>
      <c r="R106" s="6">
        <f>S106&amp;T106</f>
        <v/>
      </c>
      <c r="S106" s="6">
        <f>YEAR(U106)</f>
        <v/>
      </c>
      <c r="T106" s="6">
        <f>MONTH(U106)</f>
        <v/>
      </c>
      <c r="U106" s="267">
        <f>IFERROR(__xludf.DUMMYFUNCTION("""COMPUTED_VALUE"""),43249.6458333333)</f>
        <v/>
      </c>
      <c r="V106" s="6">
        <f>IFERROR(__xludf.DUMMYFUNCTION("""COMPUTED_VALUE"""),2457.25)</f>
        <v/>
      </c>
      <c r="Z106" s="6">
        <f>AA106&amp;AB106</f>
        <v/>
      </c>
      <c r="AA106" s="6">
        <f>YEAR(AC106)</f>
        <v/>
      </c>
      <c r="AB106" s="6">
        <f>MONTH(AC106)</f>
        <v/>
      </c>
      <c r="AC106" s="267">
        <f>IFERROR(__xludf.DUMMYFUNCTION("""COMPUTED_VALUE"""),43201.9986111111)</f>
        <v/>
      </c>
      <c r="AD106" s="6">
        <f>IFERROR(__xludf.DUMMYFUNCTION("""COMPUTED_VALUE"""),1065.75)</f>
        <v/>
      </c>
      <c r="AH106" s="6">
        <f>AI106&amp;AJ106</f>
        <v/>
      </c>
      <c r="AI106" s="6">
        <f>YEAR(AK106)</f>
        <v/>
      </c>
      <c r="AJ106" s="6">
        <f>MONTH(AK106)</f>
        <v/>
      </c>
      <c r="AK106" s="267">
        <f>IFERROR(__xludf.DUMMYFUNCTION("""COMPUTED_VALUE"""),43197.9986111111)</f>
        <v/>
      </c>
      <c r="AL106" s="6">
        <f>IFERROR(__xludf.DUMMYFUNCTION("""COMPUTED_VALUE"""),6895.41)</f>
        <v/>
      </c>
      <c r="AP106" s="6">
        <f>AQ106&amp;AR106</f>
        <v/>
      </c>
      <c r="AQ106" s="6">
        <f>YEAR(AS106)</f>
        <v/>
      </c>
      <c r="AR106" s="6">
        <f>MONTH(AS106)</f>
        <v/>
      </c>
      <c r="AS106" s="267">
        <f>IFERROR(__xludf.DUMMYFUNCTION("""COMPUTED_VALUE"""),43243.9986111111)</f>
        <v/>
      </c>
      <c r="AT106" s="6">
        <f>IFERROR(__xludf.DUMMYFUNCTION("""COMPUTED_VALUE"""),1294.8)</f>
        <v/>
      </c>
    </row>
    <row r="107">
      <c r="B107" s="6">
        <f>C107&amp;D107</f>
        <v/>
      </c>
      <c r="C107" s="6">
        <f>YEAR(E107)</f>
        <v/>
      </c>
      <c r="D107" s="6">
        <f>MONTH(E107)</f>
        <v/>
      </c>
      <c r="E107" s="267">
        <f>IFERROR(__xludf.DUMMYFUNCTION("""COMPUTED_VALUE"""),43244.6666666666)</f>
        <v/>
      </c>
      <c r="F107" s="6">
        <f>IFERROR(__xludf.DUMMYFUNCTION("""COMPUTED_VALUE"""),2727.76)</f>
        <v/>
      </c>
      <c r="J107" s="6">
        <f>K107&amp;L107</f>
        <v/>
      </c>
      <c r="K107" s="6">
        <f>YEAR(M107)</f>
        <v/>
      </c>
      <c r="L107" s="6">
        <f>MONTH(M107)</f>
        <v/>
      </c>
      <c r="M107" s="267">
        <f>IFERROR(__xludf.DUMMYFUNCTION("""COMPUTED_VALUE"""),43244.6666666666)</f>
        <v/>
      </c>
      <c r="N107" s="6">
        <f>IFERROR(__xludf.DUMMYFUNCTION("""COMPUTED_VALUE"""),7424.43)</f>
        <v/>
      </c>
      <c r="R107" s="6">
        <f>S107&amp;T107</f>
        <v/>
      </c>
      <c r="S107" s="6">
        <f>YEAR(U107)</f>
        <v/>
      </c>
      <c r="T107" s="6">
        <f>MONTH(U107)</f>
        <v/>
      </c>
      <c r="U107" s="267">
        <f>IFERROR(__xludf.DUMMYFUNCTION("""COMPUTED_VALUE"""),43250.6458333333)</f>
        <v/>
      </c>
      <c r="V107" s="6">
        <f>IFERROR(__xludf.DUMMYFUNCTION("""COMPUTED_VALUE"""),2409.03)</f>
        <v/>
      </c>
      <c r="Z107" s="6">
        <f>AA107&amp;AB107</f>
        <v/>
      </c>
      <c r="AA107" s="6">
        <f>YEAR(AC107)</f>
        <v/>
      </c>
      <c r="AB107" s="6">
        <f>MONTH(AC107)</f>
        <v/>
      </c>
      <c r="AC107" s="267">
        <f>IFERROR(__xludf.DUMMYFUNCTION("""COMPUTED_VALUE"""),43202.9986111111)</f>
        <v/>
      </c>
      <c r="AD107" s="6">
        <f>IFERROR(__xludf.DUMMYFUNCTION("""COMPUTED_VALUE"""),1069.98)</f>
        <v/>
      </c>
      <c r="AH107" s="6">
        <f>AI107&amp;AJ107</f>
        <v/>
      </c>
      <c r="AI107" s="6">
        <f>YEAR(AK107)</f>
        <v/>
      </c>
      <c r="AJ107" s="6">
        <f>MONTH(AK107)</f>
        <v/>
      </c>
      <c r="AK107" s="267">
        <f>IFERROR(__xludf.DUMMYFUNCTION("""COMPUTED_VALUE"""),43198.9986111111)</f>
        <v/>
      </c>
      <c r="AL107" s="6">
        <f>IFERROR(__xludf.DUMMYFUNCTION("""COMPUTED_VALUE"""),7025.52)</f>
        <v/>
      </c>
      <c r="AP107" s="6">
        <f>AQ107&amp;AR107</f>
        <v/>
      </c>
      <c r="AQ107" s="6">
        <f>YEAR(AS107)</f>
        <v/>
      </c>
      <c r="AR107" s="6">
        <f>MONTH(AS107)</f>
        <v/>
      </c>
      <c r="AS107" s="267">
        <f>IFERROR(__xludf.DUMMYFUNCTION("""COMPUTED_VALUE"""),43244.9986111111)</f>
        <v/>
      </c>
      <c r="AT107" s="6">
        <f>IFERROR(__xludf.DUMMYFUNCTION("""COMPUTED_VALUE"""),1309.8)</f>
        <v/>
      </c>
    </row>
    <row r="108">
      <c r="B108" s="6">
        <f>C108&amp;D108</f>
        <v/>
      </c>
      <c r="C108" s="6">
        <f>YEAR(E108)</f>
        <v/>
      </c>
      <c r="D108" s="6">
        <f>MONTH(E108)</f>
        <v/>
      </c>
      <c r="E108" s="267">
        <f>IFERROR(__xludf.DUMMYFUNCTION("""COMPUTED_VALUE"""),43245.6666666666)</f>
        <v/>
      </c>
      <c r="F108" s="6">
        <f>IFERROR(__xludf.DUMMYFUNCTION("""COMPUTED_VALUE"""),2721.33)</f>
        <v/>
      </c>
      <c r="J108" s="6">
        <f>K108&amp;L108</f>
        <v/>
      </c>
      <c r="K108" s="6">
        <f>YEAR(M108)</f>
        <v/>
      </c>
      <c r="L108" s="6">
        <f>MONTH(M108)</f>
        <v/>
      </c>
      <c r="M108" s="267">
        <f>IFERROR(__xludf.DUMMYFUNCTION("""COMPUTED_VALUE"""),43245.6666666666)</f>
        <v/>
      </c>
      <c r="N108" s="6">
        <f>IFERROR(__xludf.DUMMYFUNCTION("""COMPUTED_VALUE"""),7433.85)</f>
        <v/>
      </c>
      <c r="R108" s="6">
        <f>S108&amp;T108</f>
        <v/>
      </c>
      <c r="S108" s="6">
        <f>YEAR(U108)</f>
        <v/>
      </c>
      <c r="T108" s="6">
        <f>MONTH(U108)</f>
        <v/>
      </c>
      <c r="U108" s="267">
        <f>IFERROR(__xludf.DUMMYFUNCTION("""COMPUTED_VALUE"""),43251.6458333333)</f>
        <v/>
      </c>
      <c r="V108" s="6">
        <f>IFERROR(__xludf.DUMMYFUNCTION("""COMPUTED_VALUE"""),2423.01)</f>
        <v/>
      </c>
      <c r="Z108" s="6">
        <f>AA108&amp;AB108</f>
        <v/>
      </c>
      <c r="AA108" s="6">
        <f>YEAR(AC108)</f>
        <v/>
      </c>
      <c r="AB108" s="6">
        <f>MONTH(AC108)</f>
        <v/>
      </c>
      <c r="AC108" s="267">
        <f>IFERROR(__xludf.DUMMYFUNCTION("""COMPUTED_VALUE"""),43203.9986111111)</f>
        <v/>
      </c>
      <c r="AD108" s="6">
        <f>IFERROR(__xludf.DUMMYFUNCTION("""COMPUTED_VALUE"""),1070.5)</f>
        <v/>
      </c>
      <c r="AH108" s="6">
        <f>AI108&amp;AJ108</f>
        <v/>
      </c>
      <c r="AI108" s="6">
        <f>YEAR(AK108)</f>
        <v/>
      </c>
      <c r="AJ108" s="6">
        <f>MONTH(AK108)</f>
        <v/>
      </c>
      <c r="AK108" s="267">
        <f>IFERROR(__xludf.DUMMYFUNCTION("""COMPUTED_VALUE"""),43199.9986111111)</f>
        <v/>
      </c>
      <c r="AL108" s="6">
        <f>IFERROR(__xludf.DUMMYFUNCTION("""COMPUTED_VALUE"""),6775.13)</f>
        <v/>
      </c>
      <c r="AP108" s="6">
        <f>AQ108&amp;AR108</f>
        <v/>
      </c>
      <c r="AQ108" s="6">
        <f>YEAR(AS108)</f>
        <v/>
      </c>
      <c r="AR108" s="6">
        <f>MONTH(AS108)</f>
        <v/>
      </c>
      <c r="AS108" s="267">
        <f>IFERROR(__xludf.DUMMYFUNCTION("""COMPUTED_VALUE"""),43245.9986111111)</f>
        <v/>
      </c>
      <c r="AT108" s="6">
        <f>IFERROR(__xludf.DUMMYFUNCTION("""COMPUTED_VALUE"""),1309)</f>
        <v/>
      </c>
    </row>
    <row r="109">
      <c r="B109" s="6">
        <f>C109&amp;D109</f>
        <v/>
      </c>
      <c r="C109" s="6">
        <f>YEAR(E109)</f>
        <v/>
      </c>
      <c r="D109" s="6">
        <f>MONTH(E109)</f>
        <v/>
      </c>
      <c r="E109" s="267">
        <f>IFERROR(__xludf.DUMMYFUNCTION("""COMPUTED_VALUE"""),43249.6666666666)</f>
        <v/>
      </c>
      <c r="F109" s="6">
        <f>IFERROR(__xludf.DUMMYFUNCTION("""COMPUTED_VALUE"""),2689.86)</f>
        <v/>
      </c>
      <c r="J109" s="6">
        <f>K109&amp;L109</f>
        <v/>
      </c>
      <c r="K109" s="6">
        <f>YEAR(M109)</f>
        <v/>
      </c>
      <c r="L109" s="6">
        <f>MONTH(M109)</f>
        <v/>
      </c>
      <c r="M109" s="267">
        <f>IFERROR(__xludf.DUMMYFUNCTION("""COMPUTED_VALUE"""),43249.6666666666)</f>
        <v/>
      </c>
      <c r="N109" s="6">
        <f>IFERROR(__xludf.DUMMYFUNCTION("""COMPUTED_VALUE"""),7396.59)</f>
        <v/>
      </c>
      <c r="R109" s="6">
        <f>S109&amp;T109</f>
        <v/>
      </c>
      <c r="S109" s="6">
        <f>YEAR(U109)</f>
        <v/>
      </c>
      <c r="T109" s="6">
        <f>MONTH(U109)</f>
        <v/>
      </c>
      <c r="U109" s="267">
        <f>IFERROR(__xludf.DUMMYFUNCTION("""COMPUTED_VALUE"""),43252.6458333333)</f>
        <v/>
      </c>
      <c r="V109" s="6">
        <f>IFERROR(__xludf.DUMMYFUNCTION("""COMPUTED_VALUE"""),2438.96)</f>
        <v/>
      </c>
      <c r="Z109" s="6">
        <f>AA109&amp;AB109</f>
        <v/>
      </c>
      <c r="AA109" s="6">
        <f>YEAR(AC109)</f>
        <v/>
      </c>
      <c r="AB109" s="6">
        <f>MONTH(AC109)</f>
        <v/>
      </c>
      <c r="AC109" s="267">
        <f>IFERROR(__xludf.DUMMYFUNCTION("""COMPUTED_VALUE"""),43205.9986111111)</f>
        <v/>
      </c>
      <c r="AD109" s="6">
        <f>IFERROR(__xludf.DUMMYFUNCTION("""COMPUTED_VALUE"""),1070.66)</f>
        <v/>
      </c>
      <c r="AH109" s="6">
        <f>AI109&amp;AJ109</f>
        <v/>
      </c>
      <c r="AI109" s="6">
        <f>YEAR(AK109)</f>
        <v/>
      </c>
      <c r="AJ109" s="6">
        <f>MONTH(AK109)</f>
        <v/>
      </c>
      <c r="AK109" s="267">
        <f>IFERROR(__xludf.DUMMYFUNCTION("""COMPUTED_VALUE"""),43200.9986111111)</f>
        <v/>
      </c>
      <c r="AL109" s="6">
        <f>IFERROR(__xludf.DUMMYFUNCTION("""COMPUTED_VALUE"""),6839.91)</f>
        <v/>
      </c>
      <c r="AP109" s="6">
        <f>AQ109&amp;AR109</f>
        <v/>
      </c>
      <c r="AQ109" s="6">
        <f>YEAR(AS109)</f>
        <v/>
      </c>
      <c r="AR109" s="6">
        <f>MONTH(AS109)</f>
        <v/>
      </c>
      <c r="AS109" s="267">
        <f>IFERROR(__xludf.DUMMYFUNCTION("""COMPUTED_VALUE"""),43249.9986111111)</f>
        <v/>
      </c>
      <c r="AT109" s="6">
        <f>IFERROR(__xludf.DUMMYFUNCTION("""COMPUTED_VALUE"""),1304.1)</f>
        <v/>
      </c>
    </row>
    <row r="110">
      <c r="B110" s="6">
        <f>C110&amp;D110</f>
        <v/>
      </c>
      <c r="C110" s="6">
        <f>YEAR(E110)</f>
        <v/>
      </c>
      <c r="D110" s="6">
        <f>MONTH(E110)</f>
        <v/>
      </c>
      <c r="E110" s="267">
        <f>IFERROR(__xludf.DUMMYFUNCTION("""COMPUTED_VALUE"""),43250.6666666666)</f>
        <v/>
      </c>
      <c r="F110" s="6">
        <f>IFERROR(__xludf.DUMMYFUNCTION("""COMPUTED_VALUE"""),2724.01)</f>
        <v/>
      </c>
      <c r="J110" s="6">
        <f>K110&amp;L110</f>
        <v/>
      </c>
      <c r="K110" s="6">
        <f>YEAR(M110)</f>
        <v/>
      </c>
      <c r="L110" s="6">
        <f>MONTH(M110)</f>
        <v/>
      </c>
      <c r="M110" s="267">
        <f>IFERROR(__xludf.DUMMYFUNCTION("""COMPUTED_VALUE"""),43250.6666666666)</f>
        <v/>
      </c>
      <c r="N110" s="6">
        <f>IFERROR(__xludf.DUMMYFUNCTION("""COMPUTED_VALUE"""),7462.45)</f>
        <v/>
      </c>
      <c r="R110" s="6">
        <f>S110&amp;T110</f>
        <v/>
      </c>
      <c r="S110" s="6">
        <f>YEAR(U110)</f>
        <v/>
      </c>
      <c r="T110" s="6">
        <f>MONTH(U110)</f>
        <v/>
      </c>
      <c r="U110" s="267">
        <f>IFERROR(__xludf.DUMMYFUNCTION("""COMPUTED_VALUE"""),43255.6458333333)</f>
        <v/>
      </c>
      <c r="V110" s="6">
        <f>IFERROR(__xludf.DUMMYFUNCTION("""COMPUTED_VALUE"""),2447.76)</f>
        <v/>
      </c>
      <c r="Z110" s="6">
        <f>AA110&amp;AB110</f>
        <v/>
      </c>
      <c r="AA110" s="6">
        <f>YEAR(AC110)</f>
        <v/>
      </c>
      <c r="AB110" s="6">
        <f>MONTH(AC110)</f>
        <v/>
      </c>
      <c r="AC110" s="267">
        <f>IFERROR(__xludf.DUMMYFUNCTION("""COMPUTED_VALUE"""),43206.9986111111)</f>
        <v/>
      </c>
      <c r="AD110" s="6">
        <f>IFERROR(__xludf.DUMMYFUNCTION("""COMPUTED_VALUE"""),1069.52)</f>
        <v/>
      </c>
      <c r="AH110" s="6">
        <f>AI110&amp;AJ110</f>
        <v/>
      </c>
      <c r="AI110" s="6">
        <f>YEAR(AK110)</f>
        <v/>
      </c>
      <c r="AJ110" s="6">
        <f>MONTH(AK110)</f>
        <v/>
      </c>
      <c r="AK110" s="267">
        <f>IFERROR(__xludf.DUMMYFUNCTION("""COMPUTED_VALUE"""),43201.9986111111)</f>
        <v/>
      </c>
      <c r="AL110" s="6">
        <f>IFERROR(__xludf.DUMMYFUNCTION("""COMPUTED_VALUE"""),6943.74)</f>
        <v/>
      </c>
      <c r="AP110" s="6">
        <f>AQ110&amp;AR110</f>
        <v/>
      </c>
      <c r="AQ110" s="6">
        <f>YEAR(AS110)</f>
        <v/>
      </c>
      <c r="AR110" s="6">
        <f>MONTH(AS110)</f>
        <v/>
      </c>
      <c r="AS110" s="267">
        <f>IFERROR(__xludf.DUMMYFUNCTION("""COMPUTED_VALUE"""),43250.9986111111)</f>
        <v/>
      </c>
      <c r="AT110" s="6">
        <f>IFERROR(__xludf.DUMMYFUNCTION("""COMPUTED_VALUE"""),1306.5)</f>
        <v/>
      </c>
    </row>
    <row r="111">
      <c r="B111" s="6">
        <f>C111&amp;D111</f>
        <v/>
      </c>
      <c r="C111" s="6">
        <f>YEAR(E111)</f>
        <v/>
      </c>
      <c r="D111" s="6">
        <f>MONTH(E111)</f>
        <v/>
      </c>
      <c r="E111" s="267">
        <f>IFERROR(__xludf.DUMMYFUNCTION("""COMPUTED_VALUE"""),43251.6666666666)</f>
        <v/>
      </c>
      <c r="F111" s="6">
        <f>IFERROR(__xludf.DUMMYFUNCTION("""COMPUTED_VALUE"""),2705.27)</f>
        <v/>
      </c>
      <c r="J111" s="6">
        <f>K111&amp;L111</f>
        <v/>
      </c>
      <c r="K111" s="6">
        <f>YEAR(M111)</f>
        <v/>
      </c>
      <c r="L111" s="6">
        <f>MONTH(M111)</f>
        <v/>
      </c>
      <c r="M111" s="267">
        <f>IFERROR(__xludf.DUMMYFUNCTION("""COMPUTED_VALUE"""),43251.6666666666)</f>
        <v/>
      </c>
      <c r="N111" s="6">
        <f>IFERROR(__xludf.DUMMYFUNCTION("""COMPUTED_VALUE"""),7442.12)</f>
        <v/>
      </c>
      <c r="R111" s="6">
        <f>S111&amp;T111</f>
        <v/>
      </c>
      <c r="S111" s="6">
        <f>YEAR(U111)</f>
        <v/>
      </c>
      <c r="T111" s="6">
        <f>MONTH(U111)</f>
        <v/>
      </c>
      <c r="U111" s="267">
        <f>IFERROR(__xludf.DUMMYFUNCTION("""COMPUTED_VALUE"""),43256.6458333333)</f>
        <v/>
      </c>
      <c r="V111" s="6">
        <f>IFERROR(__xludf.DUMMYFUNCTION("""COMPUTED_VALUE"""),2453.76)</f>
        <v/>
      </c>
      <c r="Z111" s="6">
        <f>AA111&amp;AB111</f>
        <v/>
      </c>
      <c r="AA111" s="6">
        <f>YEAR(AC111)</f>
        <v/>
      </c>
      <c r="AB111" s="6">
        <f>MONTH(AC111)</f>
        <v/>
      </c>
      <c r="AC111" s="267">
        <f>IFERROR(__xludf.DUMMYFUNCTION("""COMPUTED_VALUE"""),43207.9986111111)</f>
        <v/>
      </c>
      <c r="AD111" s="6">
        <f>IFERROR(__xludf.DUMMYFUNCTION("""COMPUTED_VALUE"""),1066.09)</f>
        <v/>
      </c>
      <c r="AH111" s="6">
        <f>AI111&amp;AJ111</f>
        <v/>
      </c>
      <c r="AI111" s="6">
        <f>YEAR(AK111)</f>
        <v/>
      </c>
      <c r="AJ111" s="6">
        <f>MONTH(AK111)</f>
        <v/>
      </c>
      <c r="AK111" s="267">
        <f>IFERROR(__xludf.DUMMYFUNCTION("""COMPUTED_VALUE"""),43202.9986111111)</f>
        <v/>
      </c>
      <c r="AL111" s="6">
        <f>IFERROR(__xludf.DUMMYFUNCTION("""COMPUTED_VALUE"""),7916.86)</f>
        <v/>
      </c>
      <c r="AP111" s="6">
        <f>AQ111&amp;AR111</f>
        <v/>
      </c>
      <c r="AQ111" s="6">
        <f>YEAR(AS111)</f>
        <v/>
      </c>
      <c r="AR111" s="6">
        <f>MONTH(AS111)</f>
        <v/>
      </c>
      <c r="AS111" s="267">
        <f>IFERROR(__xludf.DUMMYFUNCTION("""COMPUTED_VALUE"""),43251.9986111111)</f>
        <v/>
      </c>
      <c r="AT111" s="6">
        <f>IFERROR(__xludf.DUMMYFUNCTION("""COMPUTED_VALUE"""),1304.7)</f>
        <v/>
      </c>
    </row>
    <row r="112">
      <c r="B112" s="6">
        <f>C112&amp;D112</f>
        <v/>
      </c>
      <c r="C112" s="6">
        <f>YEAR(E112)</f>
        <v/>
      </c>
      <c r="D112" s="6">
        <f>MONTH(E112)</f>
        <v/>
      </c>
      <c r="E112" s="267">
        <f>IFERROR(__xludf.DUMMYFUNCTION("""COMPUTED_VALUE"""),43252.6666666666)</f>
        <v/>
      </c>
      <c r="F112" s="6">
        <f>IFERROR(__xludf.DUMMYFUNCTION("""COMPUTED_VALUE"""),2734.62)</f>
        <v/>
      </c>
      <c r="J112" s="6">
        <f>K112&amp;L112</f>
        <v/>
      </c>
      <c r="K112" s="6">
        <f>YEAR(M112)</f>
        <v/>
      </c>
      <c r="L112" s="6">
        <f>MONTH(M112)</f>
        <v/>
      </c>
      <c r="M112" s="267">
        <f>IFERROR(__xludf.DUMMYFUNCTION("""COMPUTED_VALUE"""),43252.6666666666)</f>
        <v/>
      </c>
      <c r="N112" s="6">
        <f>IFERROR(__xludf.DUMMYFUNCTION("""COMPUTED_VALUE"""),7554.33)</f>
        <v/>
      </c>
      <c r="R112" s="6">
        <f>S112&amp;T112</f>
        <v/>
      </c>
      <c r="S112" s="6">
        <f>YEAR(U112)</f>
        <v/>
      </c>
      <c r="T112" s="6">
        <f>MONTH(U112)</f>
        <v/>
      </c>
      <c r="U112" s="267">
        <f>IFERROR(__xludf.DUMMYFUNCTION("""COMPUTED_VALUE"""),43259.6458333333)</f>
        <v/>
      </c>
      <c r="V112" s="6">
        <f>IFERROR(__xludf.DUMMYFUNCTION("""COMPUTED_VALUE"""),2451.58)</f>
        <v/>
      </c>
      <c r="Z112" s="6">
        <f>AA112&amp;AB112</f>
        <v/>
      </c>
      <c r="AA112" s="6">
        <f>YEAR(AC112)</f>
        <v/>
      </c>
      <c r="AB112" s="6">
        <f>MONTH(AC112)</f>
        <v/>
      </c>
      <c r="AC112" s="267">
        <f>IFERROR(__xludf.DUMMYFUNCTION("""COMPUTED_VALUE"""),43208.9986111111)</f>
        <v/>
      </c>
      <c r="AD112" s="6">
        <f>IFERROR(__xludf.DUMMYFUNCTION("""COMPUTED_VALUE"""),1064.07)</f>
        <v/>
      </c>
      <c r="AH112" s="6">
        <f>AI112&amp;AJ112</f>
        <v/>
      </c>
      <c r="AI112" s="6">
        <f>YEAR(AK112)</f>
        <v/>
      </c>
      <c r="AJ112" s="6">
        <f>MONTH(AK112)</f>
        <v/>
      </c>
      <c r="AK112" s="267">
        <f>IFERROR(__xludf.DUMMYFUNCTION("""COMPUTED_VALUE"""),43203.9986111111)</f>
        <v/>
      </c>
      <c r="AL112" s="6">
        <f>IFERROR(__xludf.DUMMYFUNCTION("""COMPUTED_VALUE"""),7881.24)</f>
        <v/>
      </c>
      <c r="AP112" s="6">
        <f>AQ112&amp;AR112</f>
        <v/>
      </c>
      <c r="AQ112" s="6">
        <f>YEAR(AS112)</f>
        <v/>
      </c>
      <c r="AR112" s="6">
        <f>MONTH(AS112)</f>
        <v/>
      </c>
      <c r="AS112" s="267">
        <f>IFERROR(__xludf.DUMMYFUNCTION("""COMPUTED_VALUE"""),43252.9986111111)</f>
        <v/>
      </c>
      <c r="AT112" s="6">
        <f>IFERROR(__xludf.DUMMYFUNCTION("""COMPUTED_VALUE"""),1299.3)</f>
        <v/>
      </c>
    </row>
    <row r="113">
      <c r="B113" s="6">
        <f>C113&amp;D113</f>
        <v/>
      </c>
      <c r="C113" s="6">
        <f>YEAR(E113)</f>
        <v/>
      </c>
      <c r="D113" s="6">
        <f>MONTH(E113)</f>
        <v/>
      </c>
      <c r="E113" s="267">
        <f>IFERROR(__xludf.DUMMYFUNCTION("""COMPUTED_VALUE"""),43255.6666666666)</f>
        <v/>
      </c>
      <c r="F113" s="6">
        <f>IFERROR(__xludf.DUMMYFUNCTION("""COMPUTED_VALUE"""),2746.87)</f>
        <v/>
      </c>
      <c r="J113" s="6">
        <f>K113&amp;L113</f>
        <v/>
      </c>
      <c r="K113" s="6">
        <f>YEAR(M113)</f>
        <v/>
      </c>
      <c r="L113" s="6">
        <f>MONTH(M113)</f>
        <v/>
      </c>
      <c r="M113" s="267">
        <f>IFERROR(__xludf.DUMMYFUNCTION("""COMPUTED_VALUE"""),43255.6666666666)</f>
        <v/>
      </c>
      <c r="N113" s="6">
        <f>IFERROR(__xludf.DUMMYFUNCTION("""COMPUTED_VALUE"""),7606.46)</f>
        <v/>
      </c>
      <c r="R113" s="6">
        <f>S113&amp;T113</f>
        <v/>
      </c>
      <c r="S113" s="6">
        <f>YEAR(U113)</f>
        <v/>
      </c>
      <c r="T113" s="6">
        <f>MONTH(U113)</f>
        <v/>
      </c>
      <c r="U113" s="267">
        <f>IFERROR(__xludf.DUMMYFUNCTION("""COMPUTED_VALUE"""),43262.6458333333)</f>
        <v/>
      </c>
      <c r="V113" s="6">
        <f>IFERROR(__xludf.DUMMYFUNCTION("""COMPUTED_VALUE"""),2470.15)</f>
        <v/>
      </c>
      <c r="Z113" s="6">
        <f>AA113&amp;AB113</f>
        <v/>
      </c>
      <c r="AA113" s="6">
        <f>YEAR(AC113)</f>
        <v/>
      </c>
      <c r="AB113" s="6">
        <f>MONTH(AC113)</f>
        <v/>
      </c>
      <c r="AC113" s="267">
        <f>IFERROR(__xludf.DUMMYFUNCTION("""COMPUTED_VALUE"""),43209.9986111111)</f>
        <v/>
      </c>
      <c r="AD113" s="6">
        <f>IFERROR(__xludf.DUMMYFUNCTION("""COMPUTED_VALUE"""),1066.24)</f>
        <v/>
      </c>
      <c r="AH113" s="6">
        <f>AI113&amp;AJ113</f>
        <v/>
      </c>
      <c r="AI113" s="6">
        <f>YEAR(AK113)</f>
        <v/>
      </c>
      <c r="AJ113" s="6">
        <f>MONTH(AK113)</f>
        <v/>
      </c>
      <c r="AK113" s="267">
        <f>IFERROR(__xludf.DUMMYFUNCTION("""COMPUTED_VALUE"""),43204.9986111111)</f>
        <v/>
      </c>
      <c r="AL113" s="6">
        <f>IFERROR(__xludf.DUMMYFUNCTION("""COMPUTED_VALUE"""),8001.8)</f>
        <v/>
      </c>
      <c r="AP113" s="6">
        <f>AQ113&amp;AR113</f>
        <v/>
      </c>
      <c r="AQ113" s="6">
        <f>YEAR(AS113)</f>
        <v/>
      </c>
      <c r="AR113" s="6">
        <f>MONTH(AS113)</f>
        <v/>
      </c>
      <c r="AS113" s="267">
        <f>IFERROR(__xludf.DUMMYFUNCTION("""COMPUTED_VALUE"""),43256.9986111111)</f>
        <v/>
      </c>
      <c r="AT113" s="6">
        <f>IFERROR(__xludf.DUMMYFUNCTION("""COMPUTED_VALUE"""),1302.2)</f>
        <v/>
      </c>
    </row>
    <row r="114">
      <c r="B114" s="6">
        <f>C114&amp;D114</f>
        <v/>
      </c>
      <c r="C114" s="6">
        <f>YEAR(E114)</f>
        <v/>
      </c>
      <c r="D114" s="6">
        <f>MONTH(E114)</f>
        <v/>
      </c>
      <c r="E114" s="267">
        <f>IFERROR(__xludf.DUMMYFUNCTION("""COMPUTED_VALUE"""),43256.6666666666)</f>
        <v/>
      </c>
      <c r="F114" s="6">
        <f>IFERROR(__xludf.DUMMYFUNCTION("""COMPUTED_VALUE"""),2748.8)</f>
        <v/>
      </c>
      <c r="J114" s="6">
        <f>K114&amp;L114</f>
        <v/>
      </c>
      <c r="K114" s="6">
        <f>YEAR(M114)</f>
        <v/>
      </c>
      <c r="L114" s="6">
        <f>MONTH(M114)</f>
        <v/>
      </c>
      <c r="M114" s="267">
        <f>IFERROR(__xludf.DUMMYFUNCTION("""COMPUTED_VALUE"""),43256.6666666666)</f>
        <v/>
      </c>
      <c r="N114" s="6">
        <f>IFERROR(__xludf.DUMMYFUNCTION("""COMPUTED_VALUE"""),7637.86)</f>
        <v/>
      </c>
      <c r="R114" s="6">
        <f>S114&amp;T114</f>
        <v/>
      </c>
      <c r="S114" s="6">
        <f>YEAR(U114)</f>
        <v/>
      </c>
      <c r="T114" s="6">
        <f>MONTH(U114)</f>
        <v/>
      </c>
      <c r="U114" s="267">
        <f>IFERROR(__xludf.DUMMYFUNCTION("""COMPUTED_VALUE"""),43263.6458333333)</f>
        <v/>
      </c>
      <c r="V114" s="6">
        <f>IFERROR(__xludf.DUMMYFUNCTION("""COMPUTED_VALUE"""),2468.83)</f>
        <v/>
      </c>
      <c r="Z114" s="6">
        <f>AA114&amp;AB114</f>
        <v/>
      </c>
      <c r="AA114" s="6">
        <f>YEAR(AC114)</f>
        <v/>
      </c>
      <c r="AB114" s="6">
        <f>MONTH(AC114)</f>
        <v/>
      </c>
      <c r="AC114" s="267">
        <f>IFERROR(__xludf.DUMMYFUNCTION("""COMPUTED_VALUE"""),43210.9986111111)</f>
        <v/>
      </c>
      <c r="AD114" s="6">
        <f>IFERROR(__xludf.DUMMYFUNCTION("""COMPUTED_VALUE"""),1070.09)</f>
        <v/>
      </c>
      <c r="AH114" s="6">
        <f>AI114&amp;AJ114</f>
        <v/>
      </c>
      <c r="AI114" s="6">
        <f>YEAR(AK114)</f>
        <v/>
      </c>
      <c r="AJ114" s="6">
        <f>MONTH(AK114)</f>
        <v/>
      </c>
      <c r="AK114" s="267">
        <f>IFERROR(__xludf.DUMMYFUNCTION("""COMPUTED_VALUE"""),43205.9986111111)</f>
        <v/>
      </c>
      <c r="AL114" s="6">
        <f>IFERROR(__xludf.DUMMYFUNCTION("""COMPUTED_VALUE"""),8355.6)</f>
        <v/>
      </c>
      <c r="AP114" s="6">
        <f>AQ114&amp;AR114</f>
        <v/>
      </c>
      <c r="AQ114" s="6">
        <f>YEAR(AS114)</f>
        <v/>
      </c>
      <c r="AR114" s="6">
        <f>MONTH(AS114)</f>
        <v/>
      </c>
      <c r="AS114" s="267">
        <f>IFERROR(__xludf.DUMMYFUNCTION("""COMPUTED_VALUE"""),43257.9986111111)</f>
        <v/>
      </c>
      <c r="AT114" s="6">
        <f>IFERROR(__xludf.DUMMYFUNCTION("""COMPUTED_VALUE"""),1301.4)</f>
        <v/>
      </c>
    </row>
    <row r="115">
      <c r="B115" s="6">
        <f>C115&amp;D115</f>
        <v/>
      </c>
      <c r="C115" s="6">
        <f>YEAR(E115)</f>
        <v/>
      </c>
      <c r="D115" s="6">
        <f>MONTH(E115)</f>
        <v/>
      </c>
      <c r="E115" s="267">
        <f>IFERROR(__xludf.DUMMYFUNCTION("""COMPUTED_VALUE"""),43257.6666666666)</f>
        <v/>
      </c>
      <c r="F115" s="6">
        <f>IFERROR(__xludf.DUMMYFUNCTION("""COMPUTED_VALUE"""),2772.35)</f>
        <v/>
      </c>
      <c r="J115" s="6">
        <f>K115&amp;L115</f>
        <v/>
      </c>
      <c r="K115" s="6">
        <f>YEAR(M115)</f>
        <v/>
      </c>
      <c r="L115" s="6">
        <f>MONTH(M115)</f>
        <v/>
      </c>
      <c r="M115" s="267">
        <f>IFERROR(__xludf.DUMMYFUNCTION("""COMPUTED_VALUE"""),43257.6666666666)</f>
        <v/>
      </c>
      <c r="N115" s="6">
        <f>IFERROR(__xludf.DUMMYFUNCTION("""COMPUTED_VALUE"""),7689.24)</f>
        <v/>
      </c>
      <c r="R115" s="6">
        <f>S115&amp;T115</f>
        <v/>
      </c>
      <c r="S115" s="6">
        <f>YEAR(U115)</f>
        <v/>
      </c>
      <c r="T115" s="6">
        <f>MONTH(U115)</f>
        <v/>
      </c>
      <c r="U115" s="267">
        <f>IFERROR(__xludf.DUMMYFUNCTION("""COMPUTED_VALUE"""),43266.6458333333)</f>
        <v/>
      </c>
      <c r="V115" s="6">
        <f>IFERROR(__xludf.DUMMYFUNCTION("""COMPUTED_VALUE"""),2404.04)</f>
        <v/>
      </c>
      <c r="Z115" s="6">
        <f>AA115&amp;AB115</f>
        <v/>
      </c>
      <c r="AA115" s="6">
        <f>YEAR(AC115)</f>
        <v/>
      </c>
      <c r="AB115" s="6">
        <f>MONTH(AC115)</f>
        <v/>
      </c>
      <c r="AC115" s="267">
        <f>IFERROR(__xludf.DUMMYFUNCTION("""COMPUTED_VALUE"""),43211.9986111111)</f>
        <v/>
      </c>
      <c r="AD115" s="6">
        <f>IFERROR(__xludf.DUMMYFUNCTION("""COMPUTED_VALUE"""),1069.02)</f>
        <v/>
      </c>
      <c r="AH115" s="6">
        <f>AI115&amp;AJ115</f>
        <v/>
      </c>
      <c r="AI115" s="6">
        <f>YEAR(AK115)</f>
        <v/>
      </c>
      <c r="AJ115" s="6">
        <f>MONTH(AK115)</f>
        <v/>
      </c>
      <c r="AK115" s="267">
        <f>IFERROR(__xludf.DUMMYFUNCTION("""COMPUTED_VALUE"""),43206.9986111111)</f>
        <v/>
      </c>
      <c r="AL115" s="6">
        <f>IFERROR(__xludf.DUMMYFUNCTION("""COMPUTED_VALUE"""),8055.49)</f>
        <v/>
      </c>
      <c r="AP115" s="6">
        <f>AQ115&amp;AR115</f>
        <v/>
      </c>
      <c r="AQ115" s="6">
        <f>YEAR(AS115)</f>
        <v/>
      </c>
      <c r="AR115" s="6">
        <f>MONTH(AS115)</f>
        <v/>
      </c>
      <c r="AS115" s="267">
        <f>IFERROR(__xludf.DUMMYFUNCTION("""COMPUTED_VALUE"""),43258.9986111111)</f>
        <v/>
      </c>
      <c r="AT115" s="6">
        <f>IFERROR(__xludf.DUMMYFUNCTION("""COMPUTED_VALUE"""),1303)</f>
        <v/>
      </c>
    </row>
    <row r="116">
      <c r="B116" s="6">
        <f>C116&amp;D116</f>
        <v/>
      </c>
      <c r="C116" s="6">
        <f>YEAR(E116)</f>
        <v/>
      </c>
      <c r="D116" s="6">
        <f>MONTH(E116)</f>
        <v/>
      </c>
      <c r="E116" s="267">
        <f>IFERROR(__xludf.DUMMYFUNCTION("""COMPUTED_VALUE"""),43258.6666666666)</f>
        <v/>
      </c>
      <c r="F116" s="6">
        <f>IFERROR(__xludf.DUMMYFUNCTION("""COMPUTED_VALUE"""),2770.37)</f>
        <v/>
      </c>
      <c r="J116" s="6">
        <f>K116&amp;L116</f>
        <v/>
      </c>
      <c r="K116" s="6">
        <f>YEAR(M116)</f>
        <v/>
      </c>
      <c r="L116" s="6">
        <f>MONTH(M116)</f>
        <v/>
      </c>
      <c r="M116" s="267">
        <f>IFERROR(__xludf.DUMMYFUNCTION("""COMPUTED_VALUE"""),43258.6666666666)</f>
        <v/>
      </c>
      <c r="N116" s="6">
        <f>IFERROR(__xludf.DUMMYFUNCTION("""COMPUTED_VALUE"""),7635.07)</f>
        <v/>
      </c>
      <c r="R116" s="6">
        <f>S116&amp;T116</f>
        <v/>
      </c>
      <c r="S116" s="6">
        <f>YEAR(U116)</f>
        <v/>
      </c>
      <c r="T116" s="6">
        <f>MONTH(U116)</f>
        <v/>
      </c>
      <c r="U116" s="267">
        <f>IFERROR(__xludf.DUMMYFUNCTION("""COMPUTED_VALUE"""),43269.6458333333)</f>
        <v/>
      </c>
      <c r="V116" s="6">
        <f>IFERROR(__xludf.DUMMYFUNCTION("""COMPUTED_VALUE"""),2376.24)</f>
        <v/>
      </c>
      <c r="Z116" s="6">
        <f>AA116&amp;AB116</f>
        <v/>
      </c>
      <c r="AA116" s="6">
        <f>YEAR(AC116)</f>
        <v/>
      </c>
      <c r="AB116" s="6">
        <f>MONTH(AC116)</f>
        <v/>
      </c>
      <c r="AC116" s="267">
        <f>IFERROR(__xludf.DUMMYFUNCTION("""COMPUTED_VALUE"""),43212.9986111111)</f>
        <v/>
      </c>
      <c r="AD116" s="6">
        <f>IFERROR(__xludf.DUMMYFUNCTION("""COMPUTED_VALUE"""),1071.41)</f>
        <v/>
      </c>
      <c r="AH116" s="6">
        <f>AI116&amp;AJ116</f>
        <v/>
      </c>
      <c r="AI116" s="6">
        <f>YEAR(AK116)</f>
        <v/>
      </c>
      <c r="AJ116" s="6">
        <f>MONTH(AK116)</f>
        <v/>
      </c>
      <c r="AK116" s="267">
        <f>IFERROR(__xludf.DUMMYFUNCTION("""COMPUTED_VALUE"""),43207.9986111111)</f>
        <v/>
      </c>
      <c r="AL116" s="6">
        <f>IFERROR(__xludf.DUMMYFUNCTION("""COMPUTED_VALUE"""),7891.81)</f>
        <v/>
      </c>
      <c r="AP116" s="6">
        <f>AQ116&amp;AR116</f>
        <v/>
      </c>
      <c r="AQ116" s="6">
        <f>YEAR(AS116)</f>
        <v/>
      </c>
      <c r="AR116" s="6">
        <f>MONTH(AS116)</f>
        <v/>
      </c>
      <c r="AS116" s="267">
        <f>IFERROR(__xludf.DUMMYFUNCTION("""COMPUTED_VALUE"""),43259.9986111111)</f>
        <v/>
      </c>
      <c r="AT116" s="6">
        <f>IFERROR(__xludf.DUMMYFUNCTION("""COMPUTED_VALUE"""),1302.7)</f>
        <v/>
      </c>
    </row>
    <row r="117">
      <c r="B117" s="6">
        <f>C117&amp;D117</f>
        <v/>
      </c>
      <c r="C117" s="6">
        <f>YEAR(E117)</f>
        <v/>
      </c>
      <c r="D117" s="6">
        <f>MONTH(E117)</f>
        <v/>
      </c>
      <c r="E117" s="267">
        <f>IFERROR(__xludf.DUMMYFUNCTION("""COMPUTED_VALUE"""),43259.6666666666)</f>
        <v/>
      </c>
      <c r="F117" s="6">
        <f>IFERROR(__xludf.DUMMYFUNCTION("""COMPUTED_VALUE"""),2779.03)</f>
        <v/>
      </c>
      <c r="J117" s="6">
        <f>K117&amp;L117</f>
        <v/>
      </c>
      <c r="K117" s="6">
        <f>YEAR(M117)</f>
        <v/>
      </c>
      <c r="L117" s="6">
        <f>MONTH(M117)</f>
        <v/>
      </c>
      <c r="M117" s="267">
        <f>IFERROR(__xludf.DUMMYFUNCTION("""COMPUTED_VALUE"""),43259.6666666666)</f>
        <v/>
      </c>
      <c r="N117" s="6">
        <f>IFERROR(__xludf.DUMMYFUNCTION("""COMPUTED_VALUE"""),7645.51)</f>
        <v/>
      </c>
      <c r="R117" s="6">
        <f>S117&amp;T117</f>
        <v/>
      </c>
      <c r="S117" s="6">
        <f>YEAR(U117)</f>
        <v/>
      </c>
      <c r="T117" s="6">
        <f>MONTH(U117)</f>
        <v/>
      </c>
      <c r="U117" s="267">
        <f>IFERROR(__xludf.DUMMYFUNCTION("""COMPUTED_VALUE"""),43270.6458333333)</f>
        <v/>
      </c>
      <c r="V117" s="6">
        <f>IFERROR(__xludf.DUMMYFUNCTION("""COMPUTED_VALUE"""),2340.11)</f>
        <v/>
      </c>
      <c r="Z117" s="6">
        <f>AA117&amp;AB117</f>
        <v/>
      </c>
      <c r="AA117" s="6">
        <f>YEAR(AC117)</f>
        <v/>
      </c>
      <c r="AB117" s="6">
        <f>MONTH(AC117)</f>
        <v/>
      </c>
      <c r="AC117" s="267">
        <f>IFERROR(__xludf.DUMMYFUNCTION("""COMPUTED_VALUE"""),43213.9986111111)</f>
        <v/>
      </c>
      <c r="AD117" s="6">
        <f>IFERROR(__xludf.DUMMYFUNCTION("""COMPUTED_VALUE"""),1080.18)</f>
        <v/>
      </c>
      <c r="AH117" s="6">
        <f>AI117&amp;AJ117</f>
        <v/>
      </c>
      <c r="AI117" s="6">
        <f>YEAR(AK117)</f>
        <v/>
      </c>
      <c r="AJ117" s="6">
        <f>MONTH(AK117)</f>
        <v/>
      </c>
      <c r="AK117" s="267">
        <f>IFERROR(__xludf.DUMMYFUNCTION("""COMPUTED_VALUE"""),43208.9986111111)</f>
        <v/>
      </c>
      <c r="AL117" s="6">
        <f>IFERROR(__xludf.DUMMYFUNCTION("""COMPUTED_VALUE"""),8165.8)</f>
        <v/>
      </c>
      <c r="AP117" s="6">
        <f>AQ117&amp;AR117</f>
        <v/>
      </c>
      <c r="AQ117" s="6">
        <f>YEAR(AS117)</f>
        <v/>
      </c>
      <c r="AR117" s="6">
        <f>MONTH(AS117)</f>
        <v/>
      </c>
      <c r="AS117" s="267">
        <f>IFERROR(__xludf.DUMMYFUNCTION("""COMPUTED_VALUE"""),43262.9986111111)</f>
        <v/>
      </c>
      <c r="AT117" s="6">
        <f>IFERROR(__xludf.DUMMYFUNCTION("""COMPUTED_VALUE"""),1303.2)</f>
        <v/>
      </c>
    </row>
    <row r="118">
      <c r="B118" s="6">
        <f>C118&amp;D118</f>
        <v/>
      </c>
      <c r="C118" s="6">
        <f>YEAR(E118)</f>
        <v/>
      </c>
      <c r="D118" s="6">
        <f>MONTH(E118)</f>
        <v/>
      </c>
      <c r="E118" s="267">
        <f>IFERROR(__xludf.DUMMYFUNCTION("""COMPUTED_VALUE"""),43262.6666666666)</f>
        <v/>
      </c>
      <c r="F118" s="6">
        <f>IFERROR(__xludf.DUMMYFUNCTION("""COMPUTED_VALUE"""),2782)</f>
        <v/>
      </c>
      <c r="J118" s="6">
        <f>K118&amp;L118</f>
        <v/>
      </c>
      <c r="K118" s="6">
        <f>YEAR(M118)</f>
        <v/>
      </c>
      <c r="L118" s="6">
        <f>MONTH(M118)</f>
        <v/>
      </c>
      <c r="M118" s="267">
        <f>IFERROR(__xludf.DUMMYFUNCTION("""COMPUTED_VALUE"""),43262.6666666666)</f>
        <v/>
      </c>
      <c r="N118" s="6">
        <f>IFERROR(__xludf.DUMMYFUNCTION("""COMPUTED_VALUE"""),7659.93)</f>
        <v/>
      </c>
      <c r="R118" s="6">
        <f>S118&amp;T118</f>
        <v/>
      </c>
      <c r="S118" s="6">
        <f>YEAR(U118)</f>
        <v/>
      </c>
      <c r="T118" s="6">
        <f>MONTH(U118)</f>
        <v/>
      </c>
      <c r="U118" s="267">
        <f>IFERROR(__xludf.DUMMYFUNCTION("""COMPUTED_VALUE"""),43271.6458333333)</f>
        <v/>
      </c>
      <c r="V118" s="6">
        <f>IFERROR(__xludf.DUMMYFUNCTION("""COMPUTED_VALUE"""),2363.91)</f>
        <v/>
      </c>
      <c r="Z118" s="6">
        <f>AA118&amp;AB118</f>
        <v/>
      </c>
      <c r="AA118" s="6">
        <f>YEAR(AC118)</f>
        <v/>
      </c>
      <c r="AB118" s="6">
        <f>MONTH(AC118)</f>
        <v/>
      </c>
      <c r="AC118" s="267">
        <f>IFERROR(__xludf.DUMMYFUNCTION("""COMPUTED_VALUE"""),43214.9986111111)</f>
        <v/>
      </c>
      <c r="AD118" s="6">
        <f>IFERROR(__xludf.DUMMYFUNCTION("""COMPUTED_VALUE"""),1076.75)</f>
        <v/>
      </c>
      <c r="AH118" s="6">
        <f>AI118&amp;AJ118</f>
        <v/>
      </c>
      <c r="AI118" s="6">
        <f>YEAR(AK118)</f>
        <v/>
      </c>
      <c r="AJ118" s="6">
        <f>MONTH(AK118)</f>
        <v/>
      </c>
      <c r="AK118" s="267">
        <f>IFERROR(__xludf.DUMMYFUNCTION("""COMPUTED_VALUE"""),43209.9986111111)</f>
        <v/>
      </c>
      <c r="AL118" s="6">
        <f>IFERROR(__xludf.DUMMYFUNCTION("""COMPUTED_VALUE"""),8273.97)</f>
        <v/>
      </c>
      <c r="AP118" s="6">
        <f>AQ118&amp;AR118</f>
        <v/>
      </c>
      <c r="AQ118" s="6">
        <f>YEAR(AS118)</f>
        <v/>
      </c>
      <c r="AR118" s="6">
        <f>MONTH(AS118)</f>
        <v/>
      </c>
      <c r="AS118" s="267">
        <f>IFERROR(__xludf.DUMMYFUNCTION("""COMPUTED_VALUE"""),43263.9986111111)</f>
        <v/>
      </c>
      <c r="AT118" s="6">
        <f>IFERROR(__xludf.DUMMYFUNCTION("""COMPUTED_VALUE"""),1299.4)</f>
        <v/>
      </c>
    </row>
    <row r="119">
      <c r="B119" s="6">
        <f>C119&amp;D119</f>
        <v/>
      </c>
      <c r="C119" s="6">
        <f>YEAR(E119)</f>
        <v/>
      </c>
      <c r="D119" s="6">
        <f>MONTH(E119)</f>
        <v/>
      </c>
      <c r="E119" s="267">
        <f>IFERROR(__xludf.DUMMYFUNCTION("""COMPUTED_VALUE"""),43263.6666666666)</f>
        <v/>
      </c>
      <c r="F119" s="6">
        <f>IFERROR(__xludf.DUMMYFUNCTION("""COMPUTED_VALUE"""),2786.85)</f>
        <v/>
      </c>
      <c r="J119" s="6">
        <f>K119&amp;L119</f>
        <v/>
      </c>
      <c r="K119" s="6">
        <f>YEAR(M119)</f>
        <v/>
      </c>
      <c r="L119" s="6">
        <f>MONTH(M119)</f>
        <v/>
      </c>
      <c r="M119" s="267">
        <f>IFERROR(__xludf.DUMMYFUNCTION("""COMPUTED_VALUE"""),43263.6666666666)</f>
        <v/>
      </c>
      <c r="N119" s="6">
        <f>IFERROR(__xludf.DUMMYFUNCTION("""COMPUTED_VALUE"""),7703.79)</f>
        <v/>
      </c>
      <c r="R119" s="6">
        <f>S119&amp;T119</f>
        <v/>
      </c>
      <c r="S119" s="6">
        <f>YEAR(U119)</f>
        <v/>
      </c>
      <c r="T119" s="6">
        <f>MONTH(U119)</f>
        <v/>
      </c>
      <c r="U119" s="267">
        <f>IFERROR(__xludf.DUMMYFUNCTION("""COMPUTED_VALUE"""),43272.6458333333)</f>
        <v/>
      </c>
      <c r="V119" s="6">
        <f>IFERROR(__xludf.DUMMYFUNCTION("""COMPUTED_VALUE"""),2337.83)</f>
        <v/>
      </c>
      <c r="Z119" s="6">
        <f>AA119&amp;AB119</f>
        <v/>
      </c>
      <c r="AA119" s="6">
        <f>YEAR(AC119)</f>
        <v/>
      </c>
      <c r="AB119" s="6">
        <f>MONTH(AC119)</f>
        <v/>
      </c>
      <c r="AC119" s="267">
        <f>IFERROR(__xludf.DUMMYFUNCTION("""COMPUTED_VALUE"""),43215.9986111111)</f>
        <v/>
      </c>
      <c r="AD119" s="6">
        <f>IFERROR(__xludf.DUMMYFUNCTION("""COMPUTED_VALUE"""),1081.17)</f>
        <v/>
      </c>
      <c r="AH119" s="6">
        <f>AI119&amp;AJ119</f>
        <v/>
      </c>
      <c r="AI119" s="6">
        <f>YEAR(AK119)</f>
        <v/>
      </c>
      <c r="AJ119" s="6">
        <f>MONTH(AK119)</f>
        <v/>
      </c>
      <c r="AK119" s="267">
        <f>IFERROR(__xludf.DUMMYFUNCTION("""COMPUTED_VALUE"""),43210.9986111111)</f>
        <v/>
      </c>
      <c r="AL119" s="6">
        <f>IFERROR(__xludf.DUMMYFUNCTION("""COMPUTED_VALUE"""),8866.23)</f>
        <v/>
      </c>
      <c r="AP119" s="6">
        <f>AQ119&amp;AR119</f>
        <v/>
      </c>
      <c r="AQ119" s="6">
        <f>YEAR(AS119)</f>
        <v/>
      </c>
      <c r="AR119" s="6">
        <f>MONTH(AS119)</f>
        <v/>
      </c>
      <c r="AS119" s="267">
        <f>IFERROR(__xludf.DUMMYFUNCTION("""COMPUTED_VALUE"""),43264.9986111111)</f>
        <v/>
      </c>
      <c r="AT119" s="6">
        <f>IFERROR(__xludf.DUMMYFUNCTION("""COMPUTED_VALUE"""),1301.3)</f>
        <v/>
      </c>
    </row>
    <row r="120">
      <c r="B120" s="6">
        <f>C120&amp;D120</f>
        <v/>
      </c>
      <c r="C120" s="6">
        <f>YEAR(E120)</f>
        <v/>
      </c>
      <c r="D120" s="6">
        <f>MONTH(E120)</f>
        <v/>
      </c>
      <c r="E120" s="267">
        <f>IFERROR(__xludf.DUMMYFUNCTION("""COMPUTED_VALUE"""),43264.6666666666)</f>
        <v/>
      </c>
      <c r="F120" s="6">
        <f>IFERROR(__xludf.DUMMYFUNCTION("""COMPUTED_VALUE"""),2775.63)</f>
        <v/>
      </c>
      <c r="J120" s="6">
        <f>K120&amp;L120</f>
        <v/>
      </c>
      <c r="K120" s="6">
        <f>YEAR(M120)</f>
        <v/>
      </c>
      <c r="L120" s="6">
        <f>MONTH(M120)</f>
        <v/>
      </c>
      <c r="M120" s="267">
        <f>IFERROR(__xludf.DUMMYFUNCTION("""COMPUTED_VALUE"""),43264.6666666666)</f>
        <v/>
      </c>
      <c r="N120" s="6">
        <f>IFERROR(__xludf.DUMMYFUNCTION("""COMPUTED_VALUE"""),7695.7)</f>
        <v/>
      </c>
      <c r="R120" s="6">
        <f>S120&amp;T120</f>
        <v/>
      </c>
      <c r="S120" s="6">
        <f>YEAR(U120)</f>
        <v/>
      </c>
      <c r="T120" s="6">
        <f>MONTH(U120)</f>
        <v/>
      </c>
      <c r="U120" s="267">
        <f>IFERROR(__xludf.DUMMYFUNCTION("""COMPUTED_VALUE"""),43273.6458333333)</f>
        <v/>
      </c>
      <c r="V120" s="6">
        <f>IFERROR(__xludf.DUMMYFUNCTION("""COMPUTED_VALUE"""),2357.22)</f>
        <v/>
      </c>
      <c r="Z120" s="6">
        <f>AA120&amp;AB120</f>
        <v/>
      </c>
      <c r="AA120" s="6">
        <f>YEAR(AC120)</f>
        <v/>
      </c>
      <c r="AB120" s="6">
        <f>MONTH(AC120)</f>
        <v/>
      </c>
      <c r="AC120" s="267">
        <f>IFERROR(__xludf.DUMMYFUNCTION("""COMPUTED_VALUE"""),43216.9986111111)</f>
        <v/>
      </c>
      <c r="AD120" s="6">
        <f>IFERROR(__xludf.DUMMYFUNCTION("""COMPUTED_VALUE"""),1076.79)</f>
        <v/>
      </c>
      <c r="AH120" s="6">
        <f>AI120&amp;AJ120</f>
        <v/>
      </c>
      <c r="AI120" s="6">
        <f>YEAR(AK120)</f>
        <v/>
      </c>
      <c r="AJ120" s="6">
        <f>MONTH(AK120)</f>
        <v/>
      </c>
      <c r="AK120" s="267">
        <f>IFERROR(__xludf.DUMMYFUNCTION("""COMPUTED_VALUE"""),43211.9986111111)</f>
        <v/>
      </c>
      <c r="AL120" s="6">
        <f>IFERROR(__xludf.DUMMYFUNCTION("""COMPUTED_VALUE"""),8914.97)</f>
        <v/>
      </c>
      <c r="AP120" s="6">
        <f>AQ120&amp;AR120</f>
        <v/>
      </c>
      <c r="AQ120" s="6">
        <f>YEAR(AS120)</f>
        <v/>
      </c>
      <c r="AR120" s="6">
        <f>MONTH(AS120)</f>
        <v/>
      </c>
      <c r="AS120" s="267">
        <f>IFERROR(__xludf.DUMMYFUNCTION("""COMPUTED_VALUE"""),43265.9986111111)</f>
        <v/>
      </c>
      <c r="AT120" s="6">
        <f>IFERROR(__xludf.DUMMYFUNCTION("""COMPUTED_VALUE"""),1308.3)</f>
        <v/>
      </c>
    </row>
    <row r="121">
      <c r="B121" s="6">
        <f>C121&amp;D121</f>
        <v/>
      </c>
      <c r="C121" s="6">
        <f>YEAR(E121)</f>
        <v/>
      </c>
      <c r="D121" s="6">
        <f>MONTH(E121)</f>
        <v/>
      </c>
      <c r="E121" s="267">
        <f>IFERROR(__xludf.DUMMYFUNCTION("""COMPUTED_VALUE"""),43265.6666666666)</f>
        <v/>
      </c>
      <c r="F121" s="6">
        <f>IFERROR(__xludf.DUMMYFUNCTION("""COMPUTED_VALUE"""),2782.49)</f>
        <v/>
      </c>
      <c r="J121" s="6">
        <f>K121&amp;L121</f>
        <v/>
      </c>
      <c r="K121" s="6">
        <f>YEAR(M121)</f>
        <v/>
      </c>
      <c r="L121" s="6">
        <f>MONTH(M121)</f>
        <v/>
      </c>
      <c r="M121" s="267">
        <f>IFERROR(__xludf.DUMMYFUNCTION("""COMPUTED_VALUE"""),43265.6666666666)</f>
        <v/>
      </c>
      <c r="N121" s="6">
        <f>IFERROR(__xludf.DUMMYFUNCTION("""COMPUTED_VALUE"""),7761.04)</f>
        <v/>
      </c>
      <c r="R121" s="6">
        <f>S121&amp;T121</f>
        <v/>
      </c>
      <c r="S121" s="6">
        <f>YEAR(U121)</f>
        <v/>
      </c>
      <c r="T121" s="6">
        <f>MONTH(U121)</f>
        <v/>
      </c>
      <c r="U121" s="267">
        <f>IFERROR(__xludf.DUMMYFUNCTION("""COMPUTED_VALUE"""),43276.6458333333)</f>
        <v/>
      </c>
      <c r="V121" s="6">
        <f>IFERROR(__xludf.DUMMYFUNCTION("""COMPUTED_VALUE"""),2357.88)</f>
        <v/>
      </c>
      <c r="Z121" s="6">
        <f>AA121&amp;AB121</f>
        <v/>
      </c>
      <c r="AA121" s="6">
        <f>YEAR(AC121)</f>
        <v/>
      </c>
      <c r="AB121" s="6">
        <f>MONTH(AC121)</f>
        <v/>
      </c>
      <c r="AC121" s="267">
        <f>IFERROR(__xludf.DUMMYFUNCTION("""COMPUTED_VALUE"""),43217.9986111111)</f>
        <v/>
      </c>
      <c r="AD121" s="6">
        <f>IFERROR(__xludf.DUMMYFUNCTION("""COMPUTED_VALUE"""),1066.93)</f>
        <v/>
      </c>
      <c r="AH121" s="6">
        <f>AI121&amp;AJ121</f>
        <v/>
      </c>
      <c r="AI121" s="6">
        <f>YEAR(AK121)</f>
        <v/>
      </c>
      <c r="AJ121" s="6">
        <f>MONTH(AK121)</f>
        <v/>
      </c>
      <c r="AK121" s="267">
        <f>IFERROR(__xludf.DUMMYFUNCTION("""COMPUTED_VALUE"""),43212.9986111111)</f>
        <v/>
      </c>
      <c r="AL121" s="6">
        <f>IFERROR(__xludf.DUMMYFUNCTION("""COMPUTED_VALUE"""),8797.15)</f>
        <v/>
      </c>
      <c r="AP121" s="6">
        <f>AQ121&amp;AR121</f>
        <v/>
      </c>
      <c r="AQ121" s="6">
        <f>YEAR(AS121)</f>
        <v/>
      </c>
      <c r="AR121" s="6">
        <f>MONTH(AS121)</f>
        <v/>
      </c>
      <c r="AS121" s="267">
        <f>IFERROR(__xludf.DUMMYFUNCTION("""COMPUTED_VALUE"""),43266.9986111111)</f>
        <v/>
      </c>
      <c r="AT121" s="6">
        <f>IFERROR(__xludf.DUMMYFUNCTION("""COMPUTED_VALUE"""),1278.5)</f>
        <v/>
      </c>
    </row>
    <row r="122">
      <c r="B122" s="6">
        <f>C122&amp;D122</f>
        <v/>
      </c>
      <c r="C122" s="6">
        <f>YEAR(E122)</f>
        <v/>
      </c>
      <c r="D122" s="6">
        <f>MONTH(E122)</f>
        <v/>
      </c>
      <c r="E122" s="267">
        <f>IFERROR(__xludf.DUMMYFUNCTION("""COMPUTED_VALUE"""),43266.6666666666)</f>
        <v/>
      </c>
      <c r="F122" s="6">
        <f>IFERROR(__xludf.DUMMYFUNCTION("""COMPUTED_VALUE"""),2779.66)</f>
        <v/>
      </c>
      <c r="J122" s="6">
        <f>K122&amp;L122</f>
        <v/>
      </c>
      <c r="K122" s="6">
        <f>YEAR(M122)</f>
        <v/>
      </c>
      <c r="L122" s="6">
        <f>MONTH(M122)</f>
        <v/>
      </c>
      <c r="M122" s="267">
        <f>IFERROR(__xludf.DUMMYFUNCTION("""COMPUTED_VALUE"""),43266.6666666666)</f>
        <v/>
      </c>
      <c r="N122" s="6">
        <f>IFERROR(__xludf.DUMMYFUNCTION("""COMPUTED_VALUE"""),7746.38)</f>
        <v/>
      </c>
      <c r="R122" s="6">
        <f>S122&amp;T122</f>
        <v/>
      </c>
      <c r="S122" s="6">
        <f>YEAR(U122)</f>
        <v/>
      </c>
      <c r="T122" s="6">
        <f>MONTH(U122)</f>
        <v/>
      </c>
      <c r="U122" s="267">
        <f>IFERROR(__xludf.DUMMYFUNCTION("""COMPUTED_VALUE"""),43277.6458333333)</f>
        <v/>
      </c>
      <c r="V122" s="6">
        <f>IFERROR(__xludf.DUMMYFUNCTION("""COMPUTED_VALUE"""),2350.92)</f>
        <v/>
      </c>
      <c r="Z122" s="6">
        <f>AA122&amp;AB122</f>
        <v/>
      </c>
      <c r="AA122" s="6">
        <f>YEAR(AC122)</f>
        <v/>
      </c>
      <c r="AB122" s="6">
        <f>MONTH(AC122)</f>
        <v/>
      </c>
      <c r="AC122" s="267">
        <f>IFERROR(__xludf.DUMMYFUNCTION("""COMPUTED_VALUE"""),43219.9986111111)</f>
        <v/>
      </c>
      <c r="AD122" s="6">
        <f>IFERROR(__xludf.DUMMYFUNCTION("""COMPUTED_VALUE"""),1067.6)</f>
        <v/>
      </c>
      <c r="AH122" s="6">
        <f>AI122&amp;AJ122</f>
        <v/>
      </c>
      <c r="AI122" s="6">
        <f>YEAR(AK122)</f>
        <v/>
      </c>
      <c r="AJ122" s="6">
        <f>MONTH(AK122)</f>
        <v/>
      </c>
      <c r="AK122" s="267">
        <f>IFERROR(__xludf.DUMMYFUNCTION("""COMPUTED_VALUE"""),43213.9986111111)</f>
        <v/>
      </c>
      <c r="AL122" s="6">
        <f>IFERROR(__xludf.DUMMYFUNCTION("""COMPUTED_VALUE"""),8942.15)</f>
        <v/>
      </c>
      <c r="AP122" s="6">
        <f>AQ122&amp;AR122</f>
        <v/>
      </c>
      <c r="AQ122" s="6">
        <f>YEAR(AS122)</f>
        <v/>
      </c>
      <c r="AR122" s="6">
        <f>MONTH(AS122)</f>
        <v/>
      </c>
      <c r="AS122" s="267">
        <f>IFERROR(__xludf.DUMMYFUNCTION("""COMPUTED_VALUE"""),43269.9986111111)</f>
        <v/>
      </c>
      <c r="AT122" s="6">
        <f>IFERROR(__xludf.DUMMYFUNCTION("""COMPUTED_VALUE"""),1280.1)</f>
        <v/>
      </c>
    </row>
    <row r="123">
      <c r="B123" s="6">
        <f>C123&amp;D123</f>
        <v/>
      </c>
      <c r="C123" s="6">
        <f>YEAR(E123)</f>
        <v/>
      </c>
      <c r="D123" s="6">
        <f>MONTH(E123)</f>
        <v/>
      </c>
      <c r="E123" s="267">
        <f>IFERROR(__xludf.DUMMYFUNCTION("""COMPUTED_VALUE"""),43269.6666666666)</f>
        <v/>
      </c>
      <c r="F123" s="6">
        <f>IFERROR(__xludf.DUMMYFUNCTION("""COMPUTED_VALUE"""),2773.75)</f>
        <v/>
      </c>
      <c r="J123" s="6">
        <f>K123&amp;L123</f>
        <v/>
      </c>
      <c r="K123" s="6">
        <f>YEAR(M123)</f>
        <v/>
      </c>
      <c r="L123" s="6">
        <f>MONTH(M123)</f>
        <v/>
      </c>
      <c r="M123" s="267">
        <f>IFERROR(__xludf.DUMMYFUNCTION("""COMPUTED_VALUE"""),43269.6666666666)</f>
        <v/>
      </c>
      <c r="N123" s="6">
        <f>IFERROR(__xludf.DUMMYFUNCTION("""COMPUTED_VALUE"""),7747.03)</f>
        <v/>
      </c>
      <c r="R123" s="6">
        <f>S123&amp;T123</f>
        <v/>
      </c>
      <c r="S123" s="6">
        <f>YEAR(U123)</f>
        <v/>
      </c>
      <c r="T123" s="6">
        <f>MONTH(U123)</f>
        <v/>
      </c>
      <c r="U123" s="267">
        <f>IFERROR(__xludf.DUMMYFUNCTION("""COMPUTED_VALUE"""),43278.6458333333)</f>
        <v/>
      </c>
      <c r="V123" s="6">
        <f>IFERROR(__xludf.DUMMYFUNCTION("""COMPUTED_VALUE"""),2342.03)</f>
        <v/>
      </c>
      <c r="Z123" s="6">
        <f>AA123&amp;AB123</f>
        <v/>
      </c>
      <c r="AA123" s="6">
        <f>YEAR(AC123)</f>
        <v/>
      </c>
      <c r="AB123" s="6">
        <f>MONTH(AC123)</f>
        <v/>
      </c>
      <c r="AC123" s="267">
        <f>IFERROR(__xludf.DUMMYFUNCTION("""COMPUTED_VALUE"""),43220.9986111111)</f>
        <v/>
      </c>
      <c r="AD123" s="6">
        <f>IFERROR(__xludf.DUMMYFUNCTION("""COMPUTED_VALUE"""),1069.45)</f>
        <v/>
      </c>
      <c r="AH123" s="6">
        <f>AI123&amp;AJ123</f>
        <v/>
      </c>
      <c r="AI123" s="6">
        <f>YEAR(AK123)</f>
        <v/>
      </c>
      <c r="AJ123" s="6">
        <f>MONTH(AK123)</f>
        <v/>
      </c>
      <c r="AK123" s="267">
        <f>IFERROR(__xludf.DUMMYFUNCTION("""COMPUTED_VALUE"""),43214.9986111111)</f>
        <v/>
      </c>
      <c r="AL123" s="6">
        <f>IFERROR(__xludf.DUMMYFUNCTION("""COMPUTED_VALUE"""),9648.33)</f>
        <v/>
      </c>
      <c r="AP123" s="6">
        <f>AQ123&amp;AR123</f>
        <v/>
      </c>
      <c r="AQ123" s="6">
        <f>YEAR(AS123)</f>
        <v/>
      </c>
      <c r="AR123" s="6">
        <f>MONTH(AS123)</f>
        <v/>
      </c>
      <c r="AS123" s="267">
        <f>IFERROR(__xludf.DUMMYFUNCTION("""COMPUTED_VALUE"""),43270.9986111111)</f>
        <v/>
      </c>
      <c r="AT123" s="6">
        <f>IFERROR(__xludf.DUMMYFUNCTION("""COMPUTED_VALUE"""),1278.6)</f>
        <v/>
      </c>
    </row>
    <row r="124">
      <c r="B124" s="6">
        <f>C124&amp;D124</f>
        <v/>
      </c>
      <c r="C124" s="6">
        <f>YEAR(E124)</f>
        <v/>
      </c>
      <c r="D124" s="6">
        <f>MONTH(E124)</f>
        <v/>
      </c>
      <c r="E124" s="267">
        <f>IFERROR(__xludf.DUMMYFUNCTION("""COMPUTED_VALUE"""),43270.6666666666)</f>
        <v/>
      </c>
      <c r="F124" s="6">
        <f>IFERROR(__xludf.DUMMYFUNCTION("""COMPUTED_VALUE"""),2762.59)</f>
        <v/>
      </c>
      <c r="J124" s="6">
        <f>K124&amp;L124</f>
        <v/>
      </c>
      <c r="K124" s="6">
        <f>YEAR(M124)</f>
        <v/>
      </c>
      <c r="L124" s="6">
        <f>MONTH(M124)</f>
        <v/>
      </c>
      <c r="M124" s="267">
        <f>IFERROR(__xludf.DUMMYFUNCTION("""COMPUTED_VALUE"""),43270.6666666666)</f>
        <v/>
      </c>
      <c r="N124" s="6">
        <f>IFERROR(__xludf.DUMMYFUNCTION("""COMPUTED_VALUE"""),7725.59)</f>
        <v/>
      </c>
      <c r="R124" s="6">
        <f>S124&amp;T124</f>
        <v/>
      </c>
      <c r="S124" s="6">
        <f>YEAR(U124)</f>
        <v/>
      </c>
      <c r="T124" s="6">
        <f>MONTH(U124)</f>
        <v/>
      </c>
      <c r="U124" s="267">
        <f>IFERROR(__xludf.DUMMYFUNCTION("""COMPUTED_VALUE"""),43279.6458333333)</f>
        <v/>
      </c>
      <c r="V124" s="6">
        <f>IFERROR(__xludf.DUMMYFUNCTION("""COMPUTED_VALUE"""),2314.24)</f>
        <v/>
      </c>
      <c r="Z124" s="6">
        <f>AA124&amp;AB124</f>
        <v/>
      </c>
      <c r="AA124" s="6">
        <f>YEAR(AC124)</f>
        <v/>
      </c>
      <c r="AB124" s="6">
        <f>MONTH(AC124)</f>
        <v/>
      </c>
      <c r="AC124" s="267">
        <f>IFERROR(__xludf.DUMMYFUNCTION("""COMPUTED_VALUE"""),43221.9986111111)</f>
        <v/>
      </c>
      <c r="AD124" s="6">
        <f>IFERROR(__xludf.DUMMYFUNCTION("""COMPUTED_VALUE"""),1072.52)</f>
        <v/>
      </c>
      <c r="AH124" s="6">
        <f>AI124&amp;AJ124</f>
        <v/>
      </c>
      <c r="AI124" s="6">
        <f>YEAR(AK124)</f>
        <v/>
      </c>
      <c r="AJ124" s="6">
        <f>MONTH(AK124)</f>
        <v/>
      </c>
      <c r="AK124" s="267">
        <f>IFERROR(__xludf.DUMMYFUNCTION("""COMPUTED_VALUE"""),43215.9986111111)</f>
        <v/>
      </c>
      <c r="AL124" s="6">
        <f>IFERROR(__xludf.DUMMYFUNCTION("""COMPUTED_VALUE"""),8838.23)</f>
        <v/>
      </c>
      <c r="AP124" s="6">
        <f>AQ124&amp;AR124</f>
        <v/>
      </c>
      <c r="AQ124" s="6">
        <f>YEAR(AS124)</f>
        <v/>
      </c>
      <c r="AR124" s="6">
        <f>MONTH(AS124)</f>
        <v/>
      </c>
      <c r="AS124" s="267">
        <f>IFERROR(__xludf.DUMMYFUNCTION("""COMPUTED_VALUE"""),43271.9986111111)</f>
        <v/>
      </c>
      <c r="AT124" s="6">
        <f>IFERROR(__xludf.DUMMYFUNCTION("""COMPUTED_VALUE"""),1274.5)</f>
        <v/>
      </c>
    </row>
    <row r="125">
      <c r="B125" s="6">
        <f>C125&amp;D125</f>
        <v/>
      </c>
      <c r="C125" s="6">
        <f>YEAR(E125)</f>
        <v/>
      </c>
      <c r="D125" s="6">
        <f>MONTH(E125)</f>
        <v/>
      </c>
      <c r="E125" s="267">
        <f>IFERROR(__xludf.DUMMYFUNCTION("""COMPUTED_VALUE"""),43271.6666666666)</f>
        <v/>
      </c>
      <c r="F125" s="6">
        <f>IFERROR(__xludf.DUMMYFUNCTION("""COMPUTED_VALUE"""),2767.32)</f>
        <v/>
      </c>
      <c r="J125" s="6">
        <f>K125&amp;L125</f>
        <v/>
      </c>
      <c r="K125" s="6">
        <f>YEAR(M125)</f>
        <v/>
      </c>
      <c r="L125" s="6">
        <f>MONTH(M125)</f>
        <v/>
      </c>
      <c r="M125" s="267">
        <f>IFERROR(__xludf.DUMMYFUNCTION("""COMPUTED_VALUE"""),43271.6666666666)</f>
        <v/>
      </c>
      <c r="N125" s="6">
        <f>IFERROR(__xludf.DUMMYFUNCTION("""COMPUTED_VALUE"""),7781.52)</f>
        <v/>
      </c>
      <c r="R125" s="6">
        <f>S125&amp;T125</f>
        <v/>
      </c>
      <c r="S125" s="6">
        <f>YEAR(U125)</f>
        <v/>
      </c>
      <c r="T125" s="6">
        <f>MONTH(U125)</f>
        <v/>
      </c>
      <c r="U125" s="267">
        <f>IFERROR(__xludf.DUMMYFUNCTION("""COMPUTED_VALUE"""),43280.6458333333)</f>
        <v/>
      </c>
      <c r="V125" s="6">
        <f>IFERROR(__xludf.DUMMYFUNCTION("""COMPUTED_VALUE"""),2326.13)</f>
        <v/>
      </c>
      <c r="Z125" s="6">
        <f>AA125&amp;AB125</f>
        <v/>
      </c>
      <c r="AA125" s="6">
        <f>YEAR(AC125)</f>
        <v/>
      </c>
      <c r="AB125" s="6">
        <f>MONTH(AC125)</f>
        <v/>
      </c>
      <c r="AC125" s="267">
        <f>IFERROR(__xludf.DUMMYFUNCTION("""COMPUTED_VALUE"""),43222.9986111111)</f>
        <v/>
      </c>
      <c r="AD125" s="6">
        <f>IFERROR(__xludf.DUMMYFUNCTION("""COMPUTED_VALUE"""),1078.81)</f>
        <v/>
      </c>
      <c r="AH125" s="6">
        <f>AI125&amp;AJ125</f>
        <v/>
      </c>
      <c r="AI125" s="6">
        <f>YEAR(AK125)</f>
        <v/>
      </c>
      <c r="AJ125" s="6">
        <f>MONTH(AK125)</f>
        <v/>
      </c>
      <c r="AK125" s="267">
        <f>IFERROR(__xludf.DUMMYFUNCTION("""COMPUTED_VALUE"""),43216.9986111111)</f>
        <v/>
      </c>
      <c r="AL125" s="6">
        <f>IFERROR(__xludf.DUMMYFUNCTION("""COMPUTED_VALUE"""),9288.43)</f>
        <v/>
      </c>
      <c r="AP125" s="6">
        <f>AQ125&amp;AR125</f>
        <v/>
      </c>
      <c r="AQ125" s="6">
        <f>YEAR(AS125)</f>
        <v/>
      </c>
      <c r="AR125" s="6">
        <f>MONTH(AS125)</f>
        <v/>
      </c>
      <c r="AS125" s="267">
        <f>IFERROR(__xludf.DUMMYFUNCTION("""COMPUTED_VALUE"""),43272.9986111111)</f>
        <v/>
      </c>
      <c r="AT125" s="6">
        <f>IFERROR(__xludf.DUMMYFUNCTION("""COMPUTED_VALUE"""),1270.5)</f>
        <v/>
      </c>
    </row>
    <row r="126">
      <c r="B126" s="6">
        <f>C126&amp;D126</f>
        <v/>
      </c>
      <c r="C126" s="6">
        <f>YEAR(E126)</f>
        <v/>
      </c>
      <c r="D126" s="6">
        <f>MONTH(E126)</f>
        <v/>
      </c>
      <c r="E126" s="267">
        <f>IFERROR(__xludf.DUMMYFUNCTION("""COMPUTED_VALUE"""),43272.6666666666)</f>
        <v/>
      </c>
      <c r="F126" s="6">
        <f>IFERROR(__xludf.DUMMYFUNCTION("""COMPUTED_VALUE"""),2749.76)</f>
        <v/>
      </c>
      <c r="J126" s="6">
        <f>K126&amp;L126</f>
        <v/>
      </c>
      <c r="K126" s="6">
        <f>YEAR(M126)</f>
        <v/>
      </c>
      <c r="L126" s="6">
        <f>MONTH(M126)</f>
        <v/>
      </c>
      <c r="M126" s="267">
        <f>IFERROR(__xludf.DUMMYFUNCTION("""COMPUTED_VALUE"""),43272.6666666666)</f>
        <v/>
      </c>
      <c r="N126" s="6">
        <f>IFERROR(__xludf.DUMMYFUNCTION("""COMPUTED_VALUE"""),7712.95)</f>
        <v/>
      </c>
      <c r="R126" s="6">
        <f>S126&amp;T126</f>
        <v/>
      </c>
      <c r="S126" s="6">
        <f>YEAR(U126)</f>
        <v/>
      </c>
      <c r="T126" s="6">
        <f>MONTH(U126)</f>
        <v/>
      </c>
      <c r="U126" s="267">
        <f>IFERROR(__xludf.DUMMYFUNCTION("""COMPUTED_VALUE"""),43283.6458333333)</f>
        <v/>
      </c>
      <c r="V126" s="6">
        <f>IFERROR(__xludf.DUMMYFUNCTION("""COMPUTED_VALUE"""),2271.54)</f>
        <v/>
      </c>
      <c r="Z126" s="6">
        <f>AA126&amp;AB126</f>
        <v/>
      </c>
      <c r="AA126" s="6">
        <f>YEAR(AC126)</f>
        <v/>
      </c>
      <c r="AB126" s="6">
        <f>MONTH(AC126)</f>
        <v/>
      </c>
      <c r="AC126" s="267">
        <f>IFERROR(__xludf.DUMMYFUNCTION("""COMPUTED_VALUE"""),43223.9986111111)</f>
        <v/>
      </c>
      <c r="AD126" s="6">
        <f>IFERROR(__xludf.DUMMYFUNCTION("""COMPUTED_VALUE"""),1074.12)</f>
        <v/>
      </c>
      <c r="AH126" s="6">
        <f>AI126&amp;AJ126</f>
        <v/>
      </c>
      <c r="AI126" s="6">
        <f>YEAR(AK126)</f>
        <v/>
      </c>
      <c r="AJ126" s="6">
        <f>MONTH(AK126)</f>
        <v/>
      </c>
      <c r="AK126" s="267">
        <f>IFERROR(__xludf.DUMMYFUNCTION("""COMPUTED_VALUE"""),43217.9986111111)</f>
        <v/>
      </c>
      <c r="AL126" s="6">
        <f>IFERROR(__xludf.DUMMYFUNCTION("""COMPUTED_VALUE"""),8924.75)</f>
        <v/>
      </c>
      <c r="AP126" s="6">
        <f>AQ126&amp;AR126</f>
        <v/>
      </c>
      <c r="AQ126" s="6">
        <f>YEAR(AS126)</f>
        <v/>
      </c>
      <c r="AR126" s="6">
        <f>MONTH(AS126)</f>
        <v/>
      </c>
      <c r="AS126" s="267">
        <f>IFERROR(__xludf.DUMMYFUNCTION("""COMPUTED_VALUE"""),43273.9986111111)</f>
        <v/>
      </c>
      <c r="AT126" s="6">
        <f>IFERROR(__xludf.DUMMYFUNCTION("""COMPUTED_VALUE"""),1270.7)</f>
        <v/>
      </c>
    </row>
    <row r="127">
      <c r="B127" s="6">
        <f>C127&amp;D127</f>
        <v/>
      </c>
      <c r="C127" s="6">
        <f>YEAR(E127)</f>
        <v/>
      </c>
      <c r="D127" s="6">
        <f>MONTH(E127)</f>
        <v/>
      </c>
      <c r="E127" s="267">
        <f>IFERROR(__xludf.DUMMYFUNCTION("""COMPUTED_VALUE"""),43273.6666666666)</f>
        <v/>
      </c>
      <c r="F127" s="6">
        <f>IFERROR(__xludf.DUMMYFUNCTION("""COMPUTED_VALUE"""),2754.88)</f>
        <v/>
      </c>
      <c r="J127" s="6">
        <f>K127&amp;L127</f>
        <v/>
      </c>
      <c r="K127" s="6">
        <f>YEAR(M127)</f>
        <v/>
      </c>
      <c r="L127" s="6">
        <f>MONTH(M127)</f>
        <v/>
      </c>
      <c r="M127" s="267">
        <f>IFERROR(__xludf.DUMMYFUNCTION("""COMPUTED_VALUE"""),43273.6666666666)</f>
        <v/>
      </c>
      <c r="N127" s="6">
        <f>IFERROR(__xludf.DUMMYFUNCTION("""COMPUTED_VALUE"""),7692.82)</f>
        <v/>
      </c>
      <c r="R127" s="6">
        <f>S127&amp;T127</f>
        <v/>
      </c>
      <c r="S127" s="6">
        <f>YEAR(U127)</f>
        <v/>
      </c>
      <c r="T127" s="6">
        <f>MONTH(U127)</f>
        <v/>
      </c>
      <c r="U127" s="267">
        <f>IFERROR(__xludf.DUMMYFUNCTION("""COMPUTED_VALUE"""),43284.6458333333)</f>
        <v/>
      </c>
      <c r="V127" s="6">
        <f>IFERROR(__xludf.DUMMYFUNCTION("""COMPUTED_VALUE"""),2272.76)</f>
        <v/>
      </c>
      <c r="Z127" s="6">
        <f>AA127&amp;AB127</f>
        <v/>
      </c>
      <c r="AA127" s="6">
        <f>YEAR(AC127)</f>
        <v/>
      </c>
      <c r="AB127" s="6">
        <f>MONTH(AC127)</f>
        <v/>
      </c>
      <c r="AC127" s="267">
        <f>IFERROR(__xludf.DUMMYFUNCTION("""COMPUTED_VALUE"""),43224.9986111111)</f>
        <v/>
      </c>
      <c r="AD127" s="6">
        <f>IFERROR(__xludf.DUMMYFUNCTION("""COMPUTED_VALUE"""),1073.21)</f>
        <v/>
      </c>
      <c r="AH127" s="6">
        <f>AI127&amp;AJ127</f>
        <v/>
      </c>
      <c r="AI127" s="6">
        <f>YEAR(AK127)</f>
        <v/>
      </c>
      <c r="AJ127" s="6">
        <f>MONTH(AK127)</f>
        <v/>
      </c>
      <c r="AK127" s="267">
        <f>IFERROR(__xludf.DUMMYFUNCTION("""COMPUTED_VALUE"""),43218.9986111111)</f>
        <v/>
      </c>
      <c r="AL127" s="6">
        <f>IFERROR(__xludf.DUMMYFUNCTION("""COMPUTED_VALUE"""),9339.01)</f>
        <v/>
      </c>
      <c r="AP127" s="6">
        <f>AQ127&amp;AR127</f>
        <v/>
      </c>
      <c r="AQ127" s="6">
        <f>YEAR(AS127)</f>
        <v/>
      </c>
      <c r="AR127" s="6">
        <f>MONTH(AS127)</f>
        <v/>
      </c>
      <c r="AS127" s="267">
        <f>IFERROR(__xludf.DUMMYFUNCTION("""COMPUTED_VALUE"""),43276.9986111111)</f>
        <v/>
      </c>
      <c r="AT127" s="6">
        <f>IFERROR(__xludf.DUMMYFUNCTION("""COMPUTED_VALUE"""),1268.9)</f>
        <v/>
      </c>
    </row>
    <row r="128">
      <c r="B128" s="6">
        <f>C128&amp;D128</f>
        <v/>
      </c>
      <c r="C128" s="6">
        <f>YEAR(E128)</f>
        <v/>
      </c>
      <c r="D128" s="6">
        <f>MONTH(E128)</f>
        <v/>
      </c>
      <c r="E128" s="267">
        <f>IFERROR(__xludf.DUMMYFUNCTION("""COMPUTED_VALUE"""),43276.6666666666)</f>
        <v/>
      </c>
      <c r="F128" s="6">
        <f>IFERROR(__xludf.DUMMYFUNCTION("""COMPUTED_VALUE"""),2717.07)</f>
        <v/>
      </c>
      <c r="J128" s="6">
        <f>K128&amp;L128</f>
        <v/>
      </c>
      <c r="K128" s="6">
        <f>YEAR(M128)</f>
        <v/>
      </c>
      <c r="L128" s="6">
        <f>MONTH(M128)</f>
        <v/>
      </c>
      <c r="M128" s="267">
        <f>IFERROR(__xludf.DUMMYFUNCTION("""COMPUTED_VALUE"""),43276.6666666666)</f>
        <v/>
      </c>
      <c r="N128" s="6">
        <f>IFERROR(__xludf.DUMMYFUNCTION("""COMPUTED_VALUE"""),7532.01)</f>
        <v/>
      </c>
      <c r="R128" s="6">
        <f>S128&amp;T128</f>
        <v/>
      </c>
      <c r="S128" s="6">
        <f>YEAR(U128)</f>
        <v/>
      </c>
      <c r="T128" s="6">
        <f>MONTH(U128)</f>
        <v/>
      </c>
      <c r="U128" s="267">
        <f>IFERROR(__xludf.DUMMYFUNCTION("""COMPUTED_VALUE"""),43285.6458333333)</f>
        <v/>
      </c>
      <c r="V128" s="6">
        <f>IFERROR(__xludf.DUMMYFUNCTION("""COMPUTED_VALUE"""),2265.46)</f>
        <v/>
      </c>
      <c r="Z128" s="6">
        <f>AA128&amp;AB128</f>
        <v/>
      </c>
      <c r="AA128" s="6">
        <f>YEAR(AC128)</f>
        <v/>
      </c>
      <c r="AB128" s="6">
        <f>MONTH(AC128)</f>
        <v/>
      </c>
      <c r="AC128" s="267">
        <f>IFERROR(__xludf.DUMMYFUNCTION("""COMPUTED_VALUE"""),43225.9986111111)</f>
        <v/>
      </c>
      <c r="AD128" s="6">
        <f>IFERROR(__xludf.DUMMYFUNCTION("""COMPUTED_VALUE"""),1072.17)</f>
        <v/>
      </c>
      <c r="AH128" s="6">
        <f>AI128&amp;AJ128</f>
        <v/>
      </c>
      <c r="AI128" s="6">
        <f>YEAR(AK128)</f>
        <v/>
      </c>
      <c r="AJ128" s="6">
        <f>MONTH(AK128)</f>
        <v/>
      </c>
      <c r="AK128" s="267">
        <f>IFERROR(__xludf.DUMMYFUNCTION("""COMPUTED_VALUE"""),43219.9986111111)</f>
        <v/>
      </c>
      <c r="AL128" s="6">
        <f>IFERROR(__xludf.DUMMYFUNCTION("""COMPUTED_VALUE"""),9398.09)</f>
        <v/>
      </c>
      <c r="AP128" s="6">
        <f>AQ128&amp;AR128</f>
        <v/>
      </c>
      <c r="AQ128" s="6">
        <f>YEAR(AS128)</f>
        <v/>
      </c>
      <c r="AR128" s="6">
        <f>MONTH(AS128)</f>
        <v/>
      </c>
      <c r="AS128" s="267">
        <f>IFERROR(__xludf.DUMMYFUNCTION("""COMPUTED_VALUE"""),43277.9986111111)</f>
        <v/>
      </c>
      <c r="AT128" s="6">
        <f>IFERROR(__xludf.DUMMYFUNCTION("""COMPUTED_VALUE"""),1259.9)</f>
        <v/>
      </c>
    </row>
    <row r="129">
      <c r="B129" s="6">
        <f>C129&amp;D129</f>
        <v/>
      </c>
      <c r="C129" s="6">
        <f>YEAR(E129)</f>
        <v/>
      </c>
      <c r="D129" s="6">
        <f>MONTH(E129)</f>
        <v/>
      </c>
      <c r="E129" s="267">
        <f>IFERROR(__xludf.DUMMYFUNCTION("""COMPUTED_VALUE"""),43277.6666666666)</f>
        <v/>
      </c>
      <c r="F129" s="6">
        <f>IFERROR(__xludf.DUMMYFUNCTION("""COMPUTED_VALUE"""),2723.06)</f>
        <v/>
      </c>
      <c r="J129" s="6">
        <f>K129&amp;L129</f>
        <v/>
      </c>
      <c r="K129" s="6">
        <f>YEAR(M129)</f>
        <v/>
      </c>
      <c r="L129" s="6">
        <f>MONTH(M129)</f>
        <v/>
      </c>
      <c r="M129" s="267">
        <f>IFERROR(__xludf.DUMMYFUNCTION("""COMPUTED_VALUE"""),43277.6666666666)</f>
        <v/>
      </c>
      <c r="N129" s="6">
        <f>IFERROR(__xludf.DUMMYFUNCTION("""COMPUTED_VALUE"""),7561.63)</f>
        <v/>
      </c>
      <c r="R129" s="6">
        <f>S129&amp;T129</f>
        <v/>
      </c>
      <c r="S129" s="6">
        <f>YEAR(U129)</f>
        <v/>
      </c>
      <c r="T129" s="6">
        <f>MONTH(U129)</f>
        <v/>
      </c>
      <c r="U129" s="267">
        <f>IFERROR(__xludf.DUMMYFUNCTION("""COMPUTED_VALUE"""),43286.6458333333)</f>
        <v/>
      </c>
      <c r="V129" s="6">
        <f>IFERROR(__xludf.DUMMYFUNCTION("""COMPUTED_VALUE"""),2257.55)</f>
        <v/>
      </c>
      <c r="Z129" s="6">
        <f>AA129&amp;AB129</f>
        <v/>
      </c>
      <c r="AA129" s="6">
        <f>YEAR(AC129)</f>
        <v/>
      </c>
      <c r="AB129" s="6">
        <f>MONTH(AC129)</f>
        <v/>
      </c>
      <c r="AC129" s="267">
        <f>IFERROR(__xludf.DUMMYFUNCTION("""COMPUTED_VALUE"""),43226.9986111111)</f>
        <v/>
      </c>
      <c r="AD129" s="6">
        <f>IFERROR(__xludf.DUMMYFUNCTION("""COMPUTED_VALUE"""),1073.33)</f>
        <v/>
      </c>
      <c r="AH129" s="6">
        <f>AI129&amp;AJ129</f>
        <v/>
      </c>
      <c r="AI129" s="6">
        <f>YEAR(AK129)</f>
        <v/>
      </c>
      <c r="AJ129" s="6">
        <f>MONTH(AK129)</f>
        <v/>
      </c>
      <c r="AK129" s="267">
        <f>IFERROR(__xludf.DUMMYFUNCTION("""COMPUTED_VALUE"""),43220.9986111111)</f>
        <v/>
      </c>
      <c r="AL129" s="6">
        <f>IFERROR(__xludf.DUMMYFUNCTION("""COMPUTED_VALUE"""),9231.28)</f>
        <v/>
      </c>
      <c r="AP129" s="6">
        <f>AQ129&amp;AR129</f>
        <v/>
      </c>
      <c r="AQ129" s="6">
        <f>YEAR(AS129)</f>
        <v/>
      </c>
      <c r="AR129" s="6">
        <f>MONTH(AS129)</f>
        <v/>
      </c>
      <c r="AS129" s="267">
        <f>IFERROR(__xludf.DUMMYFUNCTION("""COMPUTED_VALUE"""),43278.9986111111)</f>
        <v/>
      </c>
      <c r="AT129" s="6">
        <f>IFERROR(__xludf.DUMMYFUNCTION("""COMPUTED_VALUE"""),1256.1)</f>
        <v/>
      </c>
    </row>
    <row r="130">
      <c r="B130" s="6">
        <f>C130&amp;D130</f>
        <v/>
      </c>
      <c r="C130" s="6">
        <f>YEAR(E130)</f>
        <v/>
      </c>
      <c r="D130" s="6">
        <f>MONTH(E130)</f>
        <v/>
      </c>
      <c r="E130" s="267">
        <f>IFERROR(__xludf.DUMMYFUNCTION("""COMPUTED_VALUE"""),43278.6666666666)</f>
        <v/>
      </c>
      <c r="F130" s="6">
        <f>IFERROR(__xludf.DUMMYFUNCTION("""COMPUTED_VALUE"""),2699.63)</f>
        <v/>
      </c>
      <c r="J130" s="6">
        <f>K130&amp;L130</f>
        <v/>
      </c>
      <c r="K130" s="6">
        <f>YEAR(M130)</f>
        <v/>
      </c>
      <c r="L130" s="6">
        <f>MONTH(M130)</f>
        <v/>
      </c>
      <c r="M130" s="267">
        <f>IFERROR(__xludf.DUMMYFUNCTION("""COMPUTED_VALUE"""),43278.6666666666)</f>
        <v/>
      </c>
      <c r="N130" s="6">
        <f>IFERROR(__xludf.DUMMYFUNCTION("""COMPUTED_VALUE"""),7445.09)</f>
        <v/>
      </c>
      <c r="R130" s="6">
        <f>S130&amp;T130</f>
        <v/>
      </c>
      <c r="S130" s="6">
        <f>YEAR(U130)</f>
        <v/>
      </c>
      <c r="T130" s="6">
        <f>MONTH(U130)</f>
        <v/>
      </c>
      <c r="U130" s="267">
        <f>IFERROR(__xludf.DUMMYFUNCTION("""COMPUTED_VALUE"""),43287.6458333333)</f>
        <v/>
      </c>
      <c r="V130" s="6">
        <f>IFERROR(__xludf.DUMMYFUNCTION("""COMPUTED_VALUE"""),2272.87)</f>
        <v/>
      </c>
      <c r="Z130" s="6">
        <f>AA130&amp;AB130</f>
        <v/>
      </c>
      <c r="AA130" s="6">
        <f>YEAR(AC130)</f>
        <v/>
      </c>
      <c r="AB130" s="6">
        <f>MONTH(AC130)</f>
        <v/>
      </c>
      <c r="AC130" s="267">
        <f>IFERROR(__xludf.DUMMYFUNCTION("""COMPUTED_VALUE"""),43227.9986111111)</f>
        <v/>
      </c>
      <c r="AD130" s="6">
        <f>IFERROR(__xludf.DUMMYFUNCTION("""COMPUTED_VALUE"""),1078.39)</f>
        <v/>
      </c>
      <c r="AH130" s="6">
        <f>AI130&amp;AJ130</f>
        <v/>
      </c>
      <c r="AI130" s="6">
        <f>YEAR(AK130)</f>
        <v/>
      </c>
      <c r="AJ130" s="6">
        <f>MONTH(AK130)</f>
        <v/>
      </c>
      <c r="AK130" s="267">
        <f>IFERROR(__xludf.DUMMYFUNCTION("""COMPUTED_VALUE"""),43221.9986111111)</f>
        <v/>
      </c>
      <c r="AL130" s="6">
        <f>IFERROR(__xludf.DUMMYFUNCTION("""COMPUTED_VALUE"""),9077.25)</f>
        <v/>
      </c>
      <c r="AP130" s="6">
        <f>AQ130&amp;AR130</f>
        <v/>
      </c>
      <c r="AQ130" s="6">
        <f>YEAR(AS130)</f>
        <v/>
      </c>
      <c r="AR130" s="6">
        <f>MONTH(AS130)</f>
        <v/>
      </c>
      <c r="AS130" s="267">
        <f>IFERROR(__xludf.DUMMYFUNCTION("""COMPUTED_VALUE"""),43279.9986111111)</f>
        <v/>
      </c>
      <c r="AT130" s="6">
        <f>IFERROR(__xludf.DUMMYFUNCTION("""COMPUTED_VALUE"""),1251)</f>
        <v/>
      </c>
    </row>
    <row r="131">
      <c r="B131" s="6">
        <f>C131&amp;D131</f>
        <v/>
      </c>
      <c r="C131" s="6">
        <f>YEAR(E131)</f>
        <v/>
      </c>
      <c r="D131" s="6">
        <f>MONTH(E131)</f>
        <v/>
      </c>
      <c r="E131" s="267">
        <f>IFERROR(__xludf.DUMMYFUNCTION("""COMPUTED_VALUE"""),43279.6666666666)</f>
        <v/>
      </c>
      <c r="F131" s="6">
        <f>IFERROR(__xludf.DUMMYFUNCTION("""COMPUTED_VALUE"""),2716.31)</f>
        <v/>
      </c>
      <c r="J131" s="6">
        <f>K131&amp;L131</f>
        <v/>
      </c>
      <c r="K131" s="6">
        <f>YEAR(M131)</f>
        <v/>
      </c>
      <c r="L131" s="6">
        <f>MONTH(M131)</f>
        <v/>
      </c>
      <c r="M131" s="267">
        <f>IFERROR(__xludf.DUMMYFUNCTION("""COMPUTED_VALUE"""),43279.6666666666)</f>
        <v/>
      </c>
      <c r="N131" s="6">
        <f>IFERROR(__xludf.DUMMYFUNCTION("""COMPUTED_VALUE"""),7503.68)</f>
        <v/>
      </c>
      <c r="R131" s="6">
        <f>S131&amp;T131</f>
        <v/>
      </c>
      <c r="S131" s="6">
        <f>YEAR(U131)</f>
        <v/>
      </c>
      <c r="T131" s="6">
        <f>MONTH(U131)</f>
        <v/>
      </c>
      <c r="U131" s="267">
        <f>IFERROR(__xludf.DUMMYFUNCTION("""COMPUTED_VALUE"""),43290.6458333333)</f>
        <v/>
      </c>
      <c r="V131" s="6">
        <f>IFERROR(__xludf.DUMMYFUNCTION("""COMPUTED_VALUE"""),2285.8)</f>
        <v/>
      </c>
      <c r="Z131" s="6">
        <f>AA131&amp;AB131</f>
        <v/>
      </c>
      <c r="AA131" s="6">
        <f>YEAR(AC131)</f>
        <v/>
      </c>
      <c r="AB131" s="6">
        <f>MONTH(AC131)</f>
        <v/>
      </c>
      <c r="AC131" s="267">
        <f>IFERROR(__xludf.DUMMYFUNCTION("""COMPUTED_VALUE"""),43228.9986111111)</f>
        <v/>
      </c>
      <c r="AD131" s="6">
        <f>IFERROR(__xludf.DUMMYFUNCTION("""COMPUTED_VALUE"""),1077.56)</f>
        <v/>
      </c>
      <c r="AH131" s="6">
        <f>AI131&amp;AJ131</f>
        <v/>
      </c>
      <c r="AI131" s="6">
        <f>YEAR(AK131)</f>
        <v/>
      </c>
      <c r="AJ131" s="6">
        <f>MONTH(AK131)</f>
        <v/>
      </c>
      <c r="AK131" s="267">
        <f>IFERROR(__xludf.DUMMYFUNCTION("""COMPUTED_VALUE"""),43222.9986111111)</f>
        <v/>
      </c>
      <c r="AL131" s="6">
        <f>IFERROR(__xludf.DUMMYFUNCTION("""COMPUTED_VALUE"""),9219.47)</f>
        <v/>
      </c>
      <c r="AP131" s="6">
        <f>AQ131&amp;AR131</f>
        <v/>
      </c>
      <c r="AQ131" s="6">
        <f>YEAR(AS131)</f>
        <v/>
      </c>
      <c r="AR131" s="6">
        <f>MONTH(AS131)</f>
        <v/>
      </c>
      <c r="AS131" s="267">
        <f>IFERROR(__xludf.DUMMYFUNCTION("""COMPUTED_VALUE"""),43280.9986111111)</f>
        <v/>
      </c>
      <c r="AT131" s="6">
        <f>IFERROR(__xludf.DUMMYFUNCTION("""COMPUTED_VALUE"""),1254.5)</f>
        <v/>
      </c>
    </row>
    <row r="132">
      <c r="B132" s="6">
        <f>C132&amp;D132</f>
        <v/>
      </c>
      <c r="C132" s="6">
        <f>YEAR(E132)</f>
        <v/>
      </c>
      <c r="D132" s="6">
        <f>MONTH(E132)</f>
        <v/>
      </c>
      <c r="E132" s="267">
        <f>IFERROR(__xludf.DUMMYFUNCTION("""COMPUTED_VALUE"""),43280.6666666666)</f>
        <v/>
      </c>
      <c r="F132" s="6">
        <f>IFERROR(__xludf.DUMMYFUNCTION("""COMPUTED_VALUE"""),2718.37)</f>
        <v/>
      </c>
      <c r="J132" s="6">
        <f>K132&amp;L132</f>
        <v/>
      </c>
      <c r="K132" s="6">
        <f>YEAR(M132)</f>
        <v/>
      </c>
      <c r="L132" s="6">
        <f>MONTH(M132)</f>
        <v/>
      </c>
      <c r="M132" s="267">
        <f>IFERROR(__xludf.DUMMYFUNCTION("""COMPUTED_VALUE"""),43280.6666666666)</f>
        <v/>
      </c>
      <c r="N132" s="6">
        <f>IFERROR(__xludf.DUMMYFUNCTION("""COMPUTED_VALUE"""),7510.3)</f>
        <v/>
      </c>
      <c r="R132" s="6">
        <f>S132&amp;T132</f>
        <v/>
      </c>
      <c r="S132" s="6">
        <f>YEAR(U132)</f>
        <v/>
      </c>
      <c r="T132" s="6">
        <f>MONTH(U132)</f>
        <v/>
      </c>
      <c r="U132" s="267">
        <f>IFERROR(__xludf.DUMMYFUNCTION("""COMPUTED_VALUE"""),43291.6458333333)</f>
        <v/>
      </c>
      <c r="V132" s="6">
        <f>IFERROR(__xludf.DUMMYFUNCTION("""COMPUTED_VALUE"""),2294.16)</f>
        <v/>
      </c>
      <c r="Z132" s="6">
        <f>AA132&amp;AB132</f>
        <v/>
      </c>
      <c r="AA132" s="6">
        <f>YEAR(AC132)</f>
        <v/>
      </c>
      <c r="AB132" s="6">
        <f>MONTH(AC132)</f>
        <v/>
      </c>
      <c r="AC132" s="267">
        <f>IFERROR(__xludf.DUMMYFUNCTION("""COMPUTED_VALUE"""),43229.9986111111)</f>
        <v/>
      </c>
      <c r="AD132" s="6">
        <f>IFERROR(__xludf.DUMMYFUNCTION("""COMPUTED_VALUE"""),1077.98)</f>
        <v/>
      </c>
      <c r="AH132" s="6">
        <f>AI132&amp;AJ132</f>
        <v/>
      </c>
      <c r="AI132" s="6">
        <f>YEAR(AK132)</f>
        <v/>
      </c>
      <c r="AJ132" s="6">
        <f>MONTH(AK132)</f>
        <v/>
      </c>
      <c r="AK132" s="267">
        <f>IFERROR(__xludf.DUMMYFUNCTION("""COMPUTED_VALUE"""),43223.9986111111)</f>
        <v/>
      </c>
      <c r="AL132" s="6">
        <f>IFERROR(__xludf.DUMMYFUNCTION("""COMPUTED_VALUE"""),9745.23)</f>
        <v/>
      </c>
      <c r="AP132" s="6">
        <f>AQ132&amp;AR132</f>
        <v/>
      </c>
      <c r="AQ132" s="6">
        <f>YEAR(AS132)</f>
        <v/>
      </c>
      <c r="AR132" s="6">
        <f>MONTH(AS132)</f>
        <v/>
      </c>
      <c r="AS132" s="267">
        <f>IFERROR(__xludf.DUMMYFUNCTION("""COMPUTED_VALUE"""),43283.9986111111)</f>
        <v/>
      </c>
      <c r="AT132" s="6">
        <f>IFERROR(__xludf.DUMMYFUNCTION("""COMPUTED_VALUE"""),1241.7)</f>
        <v/>
      </c>
    </row>
    <row r="133">
      <c r="B133" s="6">
        <f>C133&amp;D133</f>
        <v/>
      </c>
      <c r="C133" s="6">
        <f>YEAR(E133)</f>
        <v/>
      </c>
      <c r="D133" s="6">
        <f>MONTH(E133)</f>
        <v/>
      </c>
      <c r="E133" s="267">
        <f>IFERROR(__xludf.DUMMYFUNCTION("""COMPUTED_VALUE"""),43283.6666666666)</f>
        <v/>
      </c>
      <c r="F133" s="6">
        <f>IFERROR(__xludf.DUMMYFUNCTION("""COMPUTED_VALUE"""),2726.71)</f>
        <v/>
      </c>
      <c r="J133" s="6">
        <f>K133&amp;L133</f>
        <v/>
      </c>
      <c r="K133" s="6">
        <f>YEAR(M133)</f>
        <v/>
      </c>
      <c r="L133" s="6">
        <f>MONTH(M133)</f>
        <v/>
      </c>
      <c r="M133" s="267">
        <f>IFERROR(__xludf.DUMMYFUNCTION("""COMPUTED_VALUE"""),43283.6666666666)</f>
        <v/>
      </c>
      <c r="N133" s="6">
        <f>IFERROR(__xludf.DUMMYFUNCTION("""COMPUTED_VALUE"""),7567.69)</f>
        <v/>
      </c>
      <c r="R133" s="6">
        <f>S133&amp;T133</f>
        <v/>
      </c>
      <c r="S133" s="6">
        <f>YEAR(U133)</f>
        <v/>
      </c>
      <c r="T133" s="6">
        <f>MONTH(U133)</f>
        <v/>
      </c>
      <c r="U133" s="267">
        <f>IFERROR(__xludf.DUMMYFUNCTION("""COMPUTED_VALUE"""),43292.6458333333)</f>
        <v/>
      </c>
      <c r="V133" s="6">
        <f>IFERROR(__xludf.DUMMYFUNCTION("""COMPUTED_VALUE"""),2280.62)</f>
        <v/>
      </c>
      <c r="Z133" s="6">
        <f>AA133&amp;AB133</f>
        <v/>
      </c>
      <c r="AA133" s="6">
        <f>YEAR(AC133)</f>
        <v/>
      </c>
      <c r="AB133" s="6">
        <f>MONTH(AC133)</f>
        <v/>
      </c>
      <c r="AC133" s="267">
        <f>IFERROR(__xludf.DUMMYFUNCTION("""COMPUTED_VALUE"""),43230.9986111111)</f>
        <v/>
      </c>
      <c r="AD133" s="6">
        <f>IFERROR(__xludf.DUMMYFUNCTION("""COMPUTED_VALUE"""),1064.37)</f>
        <v/>
      </c>
      <c r="AH133" s="6">
        <f>AI133&amp;AJ133</f>
        <v/>
      </c>
      <c r="AI133" s="6">
        <f>YEAR(AK133)</f>
        <v/>
      </c>
      <c r="AJ133" s="6">
        <f>MONTH(AK133)</f>
        <v/>
      </c>
      <c r="AK133" s="267">
        <f>IFERROR(__xludf.DUMMYFUNCTION("""COMPUTED_VALUE"""),43224.9986111111)</f>
        <v/>
      </c>
      <c r="AL133" s="6">
        <f>IFERROR(__xludf.DUMMYFUNCTION("""COMPUTED_VALUE"""),9696.43)</f>
        <v/>
      </c>
      <c r="AP133" s="6">
        <f>AQ133&amp;AR133</f>
        <v/>
      </c>
      <c r="AQ133" s="6">
        <f>YEAR(AS133)</f>
        <v/>
      </c>
      <c r="AR133" s="6">
        <f>MONTH(AS133)</f>
        <v/>
      </c>
      <c r="AS133" s="267">
        <f>IFERROR(__xludf.DUMMYFUNCTION("""COMPUTED_VALUE"""),43284.5416666666)</f>
        <v/>
      </c>
      <c r="AT133" s="6">
        <f>IFERROR(__xludf.DUMMYFUNCTION("""COMPUTED_VALUE"""),1253.5)</f>
        <v/>
      </c>
    </row>
    <row r="134">
      <c r="B134" s="6">
        <f>C134&amp;D134</f>
        <v/>
      </c>
      <c r="C134" s="6">
        <f>YEAR(E134)</f>
        <v/>
      </c>
      <c r="D134" s="6">
        <f>MONTH(E134)</f>
        <v/>
      </c>
      <c r="E134" s="267">
        <f>IFERROR(__xludf.DUMMYFUNCTION("""COMPUTED_VALUE"""),43284.5416666666)</f>
        <v/>
      </c>
      <c r="F134" s="6">
        <f>IFERROR(__xludf.DUMMYFUNCTION("""COMPUTED_VALUE"""),2713.22)</f>
        <v/>
      </c>
      <c r="J134" s="6">
        <f>K134&amp;L134</f>
        <v/>
      </c>
      <c r="K134" s="6">
        <f>YEAR(M134)</f>
        <v/>
      </c>
      <c r="L134" s="6">
        <f>MONTH(M134)</f>
        <v/>
      </c>
      <c r="M134" s="267">
        <f>IFERROR(__xludf.DUMMYFUNCTION("""COMPUTED_VALUE"""),43284.5416666666)</f>
        <v/>
      </c>
      <c r="N134" s="6">
        <f>IFERROR(__xludf.DUMMYFUNCTION("""COMPUTED_VALUE"""),7502.67)</f>
        <v/>
      </c>
      <c r="R134" s="6">
        <f>S134&amp;T134</f>
        <v/>
      </c>
      <c r="S134" s="6">
        <f>YEAR(U134)</f>
        <v/>
      </c>
      <c r="T134" s="6">
        <f>MONTH(U134)</f>
        <v/>
      </c>
      <c r="U134" s="267">
        <f>IFERROR(__xludf.DUMMYFUNCTION("""COMPUTED_VALUE"""),43293.6458333333)</f>
        <v/>
      </c>
      <c r="V134" s="6">
        <f>IFERROR(__xludf.DUMMYFUNCTION("""COMPUTED_VALUE"""),2285.06)</f>
        <v/>
      </c>
      <c r="Z134" s="6">
        <f>AA134&amp;AB134</f>
        <v/>
      </c>
      <c r="AA134" s="6">
        <f>YEAR(AC134)</f>
        <v/>
      </c>
      <c r="AB134" s="6">
        <f>MONTH(AC134)</f>
        <v/>
      </c>
      <c r="AC134" s="267">
        <f>IFERROR(__xludf.DUMMYFUNCTION("""COMPUTED_VALUE"""),43231.9986111111)</f>
        <v/>
      </c>
      <c r="AD134" s="6">
        <f>IFERROR(__xludf.DUMMYFUNCTION("""COMPUTED_VALUE"""),1066.88)</f>
        <v/>
      </c>
      <c r="AH134" s="6">
        <f>AI134&amp;AJ134</f>
        <v/>
      </c>
      <c r="AI134" s="6">
        <f>YEAR(AK134)</f>
        <v/>
      </c>
      <c r="AJ134" s="6">
        <f>MONTH(AK134)</f>
        <v/>
      </c>
      <c r="AK134" s="267">
        <f>IFERROR(__xludf.DUMMYFUNCTION("""COMPUTED_VALUE"""),43225.9986111111)</f>
        <v/>
      </c>
      <c r="AL134" s="6">
        <f>IFERROR(__xludf.DUMMYFUNCTION("""COMPUTED_VALUE"""),9818.85)</f>
        <v/>
      </c>
      <c r="AP134" s="6">
        <f>AQ134&amp;AR134</f>
        <v/>
      </c>
      <c r="AQ134" s="6">
        <f>YEAR(AS134)</f>
        <v/>
      </c>
      <c r="AR134" s="6">
        <f>MONTH(AS134)</f>
        <v/>
      </c>
      <c r="AS134" s="267">
        <f>IFERROR(__xludf.DUMMYFUNCTION("""COMPUTED_VALUE"""),43286.9986111111)</f>
        <v/>
      </c>
      <c r="AT134" s="6">
        <f>IFERROR(__xludf.DUMMYFUNCTION("""COMPUTED_VALUE"""),1258.8)</f>
        <v/>
      </c>
    </row>
    <row r="135">
      <c r="B135" s="6">
        <f>C135&amp;D135</f>
        <v/>
      </c>
      <c r="C135" s="6">
        <f>YEAR(E135)</f>
        <v/>
      </c>
      <c r="D135" s="6">
        <f>MONTH(E135)</f>
        <v/>
      </c>
      <c r="E135" s="267">
        <f>IFERROR(__xludf.DUMMYFUNCTION("""COMPUTED_VALUE"""),43286.6666666666)</f>
        <v/>
      </c>
      <c r="F135" s="6">
        <f>IFERROR(__xludf.DUMMYFUNCTION("""COMPUTED_VALUE"""),2736.61)</f>
        <v/>
      </c>
      <c r="J135" s="6">
        <f>K135&amp;L135</f>
        <v/>
      </c>
      <c r="K135" s="6">
        <f>YEAR(M135)</f>
        <v/>
      </c>
      <c r="L135" s="6">
        <f>MONTH(M135)</f>
        <v/>
      </c>
      <c r="M135" s="267">
        <f>IFERROR(__xludf.DUMMYFUNCTION("""COMPUTED_VALUE"""),43286.6666666666)</f>
        <v/>
      </c>
      <c r="N135" s="6">
        <f>IFERROR(__xludf.DUMMYFUNCTION("""COMPUTED_VALUE"""),7586.43)</f>
        <v/>
      </c>
      <c r="R135" s="6">
        <f>S135&amp;T135</f>
        <v/>
      </c>
      <c r="S135" s="6">
        <f>YEAR(U135)</f>
        <v/>
      </c>
      <c r="T135" s="6">
        <f>MONTH(U135)</f>
        <v/>
      </c>
      <c r="U135" s="267">
        <f>IFERROR(__xludf.DUMMYFUNCTION("""COMPUTED_VALUE"""),43294.6458333333)</f>
        <v/>
      </c>
      <c r="V135" s="6">
        <f>IFERROR(__xludf.DUMMYFUNCTION("""COMPUTED_VALUE"""),2310.9)</f>
        <v/>
      </c>
      <c r="Z135" s="6">
        <f>AA135&amp;AB135</f>
        <v/>
      </c>
      <c r="AA135" s="6">
        <f>YEAR(AC135)</f>
        <v/>
      </c>
      <c r="AB135" s="6">
        <f>MONTH(AC135)</f>
        <v/>
      </c>
      <c r="AC135" s="267">
        <f>IFERROR(__xludf.DUMMYFUNCTION("""COMPUTED_VALUE"""),43232.9986111111)</f>
        <v/>
      </c>
      <c r="AD135" s="6">
        <f>IFERROR(__xludf.DUMMYFUNCTION("""COMPUTED_VALUE"""),1067)</f>
        <v/>
      </c>
      <c r="AH135" s="6">
        <f>AI135&amp;AJ135</f>
        <v/>
      </c>
      <c r="AI135" s="6">
        <f>YEAR(AK135)</f>
        <v/>
      </c>
      <c r="AJ135" s="6">
        <f>MONTH(AK135)</f>
        <v/>
      </c>
      <c r="AK135" s="267">
        <f>IFERROR(__xludf.DUMMYFUNCTION("""COMPUTED_VALUE"""),43226.9986111111)</f>
        <v/>
      </c>
      <c r="AL135" s="6">
        <f>IFERROR(__xludf.DUMMYFUNCTION("""COMPUTED_VALUE"""),9634.63)</f>
        <v/>
      </c>
      <c r="AP135" s="6">
        <f>AQ135&amp;AR135</f>
        <v/>
      </c>
      <c r="AQ135" s="6">
        <f>YEAR(AS135)</f>
        <v/>
      </c>
      <c r="AR135" s="6">
        <f>MONTH(AS135)</f>
        <v/>
      </c>
      <c r="AS135" s="267">
        <f>IFERROR(__xludf.DUMMYFUNCTION("""COMPUTED_VALUE"""),43287.9986111111)</f>
        <v/>
      </c>
      <c r="AT135" s="6">
        <f>IFERROR(__xludf.DUMMYFUNCTION("""COMPUTED_VALUE"""),1255.8)</f>
        <v/>
      </c>
    </row>
    <row r="136">
      <c r="B136" s="6">
        <f>C136&amp;D136</f>
        <v/>
      </c>
      <c r="C136" s="6">
        <f>YEAR(E136)</f>
        <v/>
      </c>
      <c r="D136" s="6">
        <f>MONTH(E136)</f>
        <v/>
      </c>
      <c r="E136" s="267">
        <f>IFERROR(__xludf.DUMMYFUNCTION("""COMPUTED_VALUE"""),43287.6666666666)</f>
        <v/>
      </c>
      <c r="F136" s="6">
        <f>IFERROR(__xludf.DUMMYFUNCTION("""COMPUTED_VALUE"""),2759.82)</f>
        <v/>
      </c>
      <c r="J136" s="6">
        <f>K136&amp;L136</f>
        <v/>
      </c>
      <c r="K136" s="6">
        <f>YEAR(M136)</f>
        <v/>
      </c>
      <c r="L136" s="6">
        <f>MONTH(M136)</f>
        <v/>
      </c>
      <c r="M136" s="267">
        <f>IFERROR(__xludf.DUMMYFUNCTION("""COMPUTED_VALUE"""),43287.6666666666)</f>
        <v/>
      </c>
      <c r="N136" s="6">
        <f>IFERROR(__xludf.DUMMYFUNCTION("""COMPUTED_VALUE"""),7688.39)</f>
        <v/>
      </c>
      <c r="R136" s="6">
        <f>S136&amp;T136</f>
        <v/>
      </c>
      <c r="S136" s="6">
        <f>YEAR(U136)</f>
        <v/>
      </c>
      <c r="T136" s="6">
        <f>MONTH(U136)</f>
        <v/>
      </c>
      <c r="U136" s="267">
        <f>IFERROR(__xludf.DUMMYFUNCTION("""COMPUTED_VALUE"""),43297.6458333333)</f>
        <v/>
      </c>
      <c r="V136" s="6">
        <f>IFERROR(__xludf.DUMMYFUNCTION("""COMPUTED_VALUE"""),2301.99)</f>
        <v/>
      </c>
      <c r="Z136" s="6">
        <f>AA136&amp;AB136</f>
        <v/>
      </c>
      <c r="AA136" s="6">
        <f>YEAR(AC136)</f>
        <v/>
      </c>
      <c r="AB136" s="6">
        <f>MONTH(AC136)</f>
        <v/>
      </c>
      <c r="AC136" s="267">
        <f>IFERROR(__xludf.DUMMYFUNCTION("""COMPUTED_VALUE"""),43233.9986111111)</f>
        <v/>
      </c>
      <c r="AD136" s="6">
        <f>IFERROR(__xludf.DUMMYFUNCTION("""COMPUTED_VALUE"""),1065.95)</f>
        <v/>
      </c>
      <c r="AH136" s="6">
        <f>AI136&amp;AJ136</f>
        <v/>
      </c>
      <c r="AI136" s="6">
        <f>YEAR(AK136)</f>
        <v/>
      </c>
      <c r="AJ136" s="6">
        <f>MONTH(AK136)</f>
        <v/>
      </c>
      <c r="AK136" s="267">
        <f>IFERROR(__xludf.DUMMYFUNCTION("""COMPUTED_VALUE"""),43227.9986111111)</f>
        <v/>
      </c>
      <c r="AL136" s="6">
        <f>IFERROR(__xludf.DUMMYFUNCTION("""COMPUTED_VALUE"""),9366.63)</f>
        <v/>
      </c>
      <c r="AP136" s="6">
        <f>AQ136&amp;AR136</f>
        <v/>
      </c>
      <c r="AQ136" s="6">
        <f>YEAR(AS136)</f>
        <v/>
      </c>
      <c r="AR136" s="6">
        <f>MONTH(AS136)</f>
        <v/>
      </c>
      <c r="AS136" s="267">
        <f>IFERROR(__xludf.DUMMYFUNCTION("""COMPUTED_VALUE"""),43290.9986111111)</f>
        <v/>
      </c>
      <c r="AT136" s="6">
        <f>IFERROR(__xludf.DUMMYFUNCTION("""COMPUTED_VALUE"""),1259.6)</f>
        <v/>
      </c>
    </row>
    <row r="137">
      <c r="B137" s="6">
        <f>C137&amp;D137</f>
        <v/>
      </c>
      <c r="C137" s="6">
        <f>YEAR(E137)</f>
        <v/>
      </c>
      <c r="D137" s="6">
        <f>MONTH(E137)</f>
        <v/>
      </c>
      <c r="E137" s="267">
        <f>IFERROR(__xludf.DUMMYFUNCTION("""COMPUTED_VALUE"""),43290.6666666666)</f>
        <v/>
      </c>
      <c r="F137" s="6">
        <f>IFERROR(__xludf.DUMMYFUNCTION("""COMPUTED_VALUE"""),2784.17)</f>
        <v/>
      </c>
      <c r="J137" s="6">
        <f>K137&amp;L137</f>
        <v/>
      </c>
      <c r="K137" s="6">
        <f>YEAR(M137)</f>
        <v/>
      </c>
      <c r="L137" s="6">
        <f>MONTH(M137)</f>
        <v/>
      </c>
      <c r="M137" s="267">
        <f>IFERROR(__xludf.DUMMYFUNCTION("""COMPUTED_VALUE"""),43290.6666666666)</f>
        <v/>
      </c>
      <c r="N137" s="6">
        <f>IFERROR(__xludf.DUMMYFUNCTION("""COMPUTED_VALUE"""),7756.2)</f>
        <v/>
      </c>
      <c r="R137" s="6">
        <f>S137&amp;T137</f>
        <v/>
      </c>
      <c r="S137" s="6">
        <f>YEAR(U137)</f>
        <v/>
      </c>
      <c r="T137" s="6">
        <f>MONTH(U137)</f>
        <v/>
      </c>
      <c r="U137" s="267">
        <f>IFERROR(__xludf.DUMMYFUNCTION("""COMPUTED_VALUE"""),43298.6458333333)</f>
        <v/>
      </c>
      <c r="V137" s="6">
        <f>IFERROR(__xludf.DUMMYFUNCTION("""COMPUTED_VALUE"""),2297.92)</f>
        <v/>
      </c>
      <c r="Z137" s="6">
        <f>AA137&amp;AB137</f>
        <v/>
      </c>
      <c r="AA137" s="6">
        <f>YEAR(AC137)</f>
        <v/>
      </c>
      <c r="AB137" s="6">
        <f>MONTH(AC137)</f>
        <v/>
      </c>
      <c r="AC137" s="267">
        <f>IFERROR(__xludf.DUMMYFUNCTION("""COMPUTED_VALUE"""),43234.9986111111)</f>
        <v/>
      </c>
      <c r="AD137" s="6">
        <f>IFERROR(__xludf.DUMMYFUNCTION("""COMPUTED_VALUE"""),1069.16)</f>
        <v/>
      </c>
      <c r="AH137" s="6">
        <f>AI137&amp;AJ137</f>
        <v/>
      </c>
      <c r="AI137" s="6">
        <f>YEAR(AK137)</f>
        <v/>
      </c>
      <c r="AJ137" s="6">
        <f>MONTH(AK137)</f>
        <v/>
      </c>
      <c r="AK137" s="267">
        <f>IFERROR(__xludf.DUMMYFUNCTION("""COMPUTED_VALUE"""),43228.9986111111)</f>
        <v/>
      </c>
      <c r="AL137" s="6">
        <f>IFERROR(__xludf.DUMMYFUNCTION("""COMPUTED_VALUE"""),9185.23)</f>
        <v/>
      </c>
      <c r="AP137" s="6">
        <f>AQ137&amp;AR137</f>
        <v/>
      </c>
      <c r="AQ137" s="6">
        <f>YEAR(AS137)</f>
        <v/>
      </c>
      <c r="AR137" s="6">
        <f>MONTH(AS137)</f>
        <v/>
      </c>
      <c r="AS137" s="267">
        <f>IFERROR(__xludf.DUMMYFUNCTION("""COMPUTED_VALUE"""),43291.9986111111)</f>
        <v/>
      </c>
      <c r="AT137" s="6">
        <f>IFERROR(__xludf.DUMMYFUNCTION("""COMPUTED_VALUE"""),1255.4)</f>
        <v/>
      </c>
    </row>
    <row r="138">
      <c r="B138" s="6">
        <f>C138&amp;D138</f>
        <v/>
      </c>
      <c r="C138" s="6">
        <f>YEAR(E138)</f>
        <v/>
      </c>
      <c r="D138" s="6">
        <f>MONTH(E138)</f>
        <v/>
      </c>
      <c r="E138" s="267">
        <f>IFERROR(__xludf.DUMMYFUNCTION("""COMPUTED_VALUE"""),43291.6666666666)</f>
        <v/>
      </c>
      <c r="F138" s="6">
        <f>IFERROR(__xludf.DUMMYFUNCTION("""COMPUTED_VALUE"""),2793.84)</f>
        <v/>
      </c>
      <c r="J138" s="6">
        <f>K138&amp;L138</f>
        <v/>
      </c>
      <c r="K138" s="6">
        <f>YEAR(M138)</f>
        <v/>
      </c>
      <c r="L138" s="6">
        <f>MONTH(M138)</f>
        <v/>
      </c>
      <c r="M138" s="267">
        <f>IFERROR(__xludf.DUMMYFUNCTION("""COMPUTED_VALUE"""),43291.6666666666)</f>
        <v/>
      </c>
      <c r="N138" s="6">
        <f>IFERROR(__xludf.DUMMYFUNCTION("""COMPUTED_VALUE"""),7759.2)</f>
        <v/>
      </c>
      <c r="R138" s="6">
        <f>S138&amp;T138</f>
        <v/>
      </c>
      <c r="S138" s="6">
        <f>YEAR(U138)</f>
        <v/>
      </c>
      <c r="T138" s="6">
        <f>MONTH(U138)</f>
        <v/>
      </c>
      <c r="U138" s="267">
        <f>IFERROR(__xludf.DUMMYFUNCTION("""COMPUTED_VALUE"""),43299.6458333333)</f>
        <v/>
      </c>
      <c r="V138" s="6">
        <f>IFERROR(__xludf.DUMMYFUNCTION("""COMPUTED_VALUE"""),2290.11)</f>
        <v/>
      </c>
      <c r="Z138" s="6">
        <f>AA138&amp;AB138</f>
        <v/>
      </c>
      <c r="AA138" s="6">
        <f>YEAR(AC138)</f>
        <v/>
      </c>
      <c r="AB138" s="6">
        <f>MONTH(AC138)</f>
        <v/>
      </c>
      <c r="AC138" s="267">
        <f>IFERROR(__xludf.DUMMYFUNCTION("""COMPUTED_VALUE"""),43235.9986111111)</f>
        <v/>
      </c>
      <c r="AD138" s="6">
        <f>IFERROR(__xludf.DUMMYFUNCTION("""COMPUTED_VALUE"""),1078.86)</f>
        <v/>
      </c>
      <c r="AH138" s="6">
        <f>AI138&amp;AJ138</f>
        <v/>
      </c>
      <c r="AI138" s="6">
        <f>YEAR(AK138)</f>
        <v/>
      </c>
      <c r="AJ138" s="6">
        <f>MONTH(AK138)</f>
        <v/>
      </c>
      <c r="AK138" s="267">
        <f>IFERROR(__xludf.DUMMYFUNCTION("""COMPUTED_VALUE"""),43229.9986111111)</f>
        <v/>
      </c>
      <c r="AL138" s="6">
        <f>IFERROR(__xludf.DUMMYFUNCTION("""COMPUTED_VALUE"""),9308.04)</f>
        <v/>
      </c>
      <c r="AP138" s="6">
        <f>AQ138&amp;AR138</f>
        <v/>
      </c>
      <c r="AQ138" s="6">
        <f>YEAR(AS138)</f>
        <v/>
      </c>
      <c r="AR138" s="6">
        <f>MONTH(AS138)</f>
        <v/>
      </c>
      <c r="AS138" s="267">
        <f>IFERROR(__xludf.DUMMYFUNCTION("""COMPUTED_VALUE"""),43292.9986111111)</f>
        <v/>
      </c>
      <c r="AT138" s="6">
        <f>IFERROR(__xludf.DUMMYFUNCTION("""COMPUTED_VALUE"""),1244.4)</f>
        <v/>
      </c>
    </row>
    <row r="139">
      <c r="B139" s="6">
        <f>C139&amp;D139</f>
        <v/>
      </c>
      <c r="C139" s="6">
        <f>YEAR(E139)</f>
        <v/>
      </c>
      <c r="D139" s="6">
        <f>MONTH(E139)</f>
        <v/>
      </c>
      <c r="E139" s="267">
        <f>IFERROR(__xludf.DUMMYFUNCTION("""COMPUTED_VALUE"""),43292.6666666666)</f>
        <v/>
      </c>
      <c r="F139" s="6">
        <f>IFERROR(__xludf.DUMMYFUNCTION("""COMPUTED_VALUE"""),2774.02)</f>
        <v/>
      </c>
      <c r="J139" s="6">
        <f>K139&amp;L139</f>
        <v/>
      </c>
      <c r="K139" s="6">
        <f>YEAR(M139)</f>
        <v/>
      </c>
      <c r="L139" s="6">
        <f>MONTH(M139)</f>
        <v/>
      </c>
      <c r="M139" s="267">
        <f>IFERROR(__xludf.DUMMYFUNCTION("""COMPUTED_VALUE"""),43292.6666666666)</f>
        <v/>
      </c>
      <c r="N139" s="6">
        <f>IFERROR(__xludf.DUMMYFUNCTION("""COMPUTED_VALUE"""),7716.61)</f>
        <v/>
      </c>
      <c r="R139" s="6">
        <f>S139&amp;T139</f>
        <v/>
      </c>
      <c r="S139" s="6">
        <f>YEAR(U139)</f>
        <v/>
      </c>
      <c r="T139" s="6">
        <f>MONTH(U139)</f>
        <v/>
      </c>
      <c r="U139" s="267">
        <f>IFERROR(__xludf.DUMMYFUNCTION("""COMPUTED_VALUE"""),43300.6458333333)</f>
        <v/>
      </c>
      <c r="V139" s="6">
        <f>IFERROR(__xludf.DUMMYFUNCTION("""COMPUTED_VALUE"""),2282.29)</f>
        <v/>
      </c>
      <c r="Z139" s="6">
        <f>AA139&amp;AB139</f>
        <v/>
      </c>
      <c r="AA139" s="6">
        <f>YEAR(AC139)</f>
        <v/>
      </c>
      <c r="AB139" s="6">
        <f>MONTH(AC139)</f>
        <v/>
      </c>
      <c r="AC139" s="267">
        <f>IFERROR(__xludf.DUMMYFUNCTION("""COMPUTED_VALUE"""),43236.9986111111)</f>
        <v/>
      </c>
      <c r="AD139" s="6">
        <f>IFERROR(__xludf.DUMMYFUNCTION("""COMPUTED_VALUE"""),1076.49)</f>
        <v/>
      </c>
      <c r="AH139" s="6">
        <f>AI139&amp;AJ139</f>
        <v/>
      </c>
      <c r="AI139" s="6">
        <f>YEAR(AK139)</f>
        <v/>
      </c>
      <c r="AJ139" s="6">
        <f>MONTH(AK139)</f>
        <v/>
      </c>
      <c r="AK139" s="267">
        <f>IFERROR(__xludf.DUMMYFUNCTION("""COMPUTED_VALUE"""),43230.9986111111)</f>
        <v/>
      </c>
      <c r="AL139" s="6">
        <f>IFERROR(__xludf.DUMMYFUNCTION("""COMPUTED_VALUE"""),9017.48)</f>
        <v/>
      </c>
      <c r="AP139" s="6">
        <f>AQ139&amp;AR139</f>
        <v/>
      </c>
      <c r="AQ139" s="6">
        <f>YEAR(AS139)</f>
        <v/>
      </c>
      <c r="AR139" s="6">
        <f>MONTH(AS139)</f>
        <v/>
      </c>
      <c r="AS139" s="267">
        <f>IFERROR(__xludf.DUMMYFUNCTION("""COMPUTED_VALUE"""),43293.9986111111)</f>
        <v/>
      </c>
      <c r="AT139" s="6">
        <f>IFERROR(__xludf.DUMMYFUNCTION("""COMPUTED_VALUE"""),1246.6)</f>
        <v/>
      </c>
    </row>
    <row r="140">
      <c r="B140" s="6">
        <f>C140&amp;D140</f>
        <v/>
      </c>
      <c r="C140" s="6">
        <f>YEAR(E140)</f>
        <v/>
      </c>
      <c r="D140" s="6">
        <f>MONTH(E140)</f>
        <v/>
      </c>
      <c r="E140" s="267">
        <f>IFERROR(__xludf.DUMMYFUNCTION("""COMPUTED_VALUE"""),43293.6666666666)</f>
        <v/>
      </c>
      <c r="F140" s="6">
        <f>IFERROR(__xludf.DUMMYFUNCTION("""COMPUTED_VALUE"""),2798.29)</f>
        <v/>
      </c>
      <c r="J140" s="6">
        <f>K140&amp;L140</f>
        <v/>
      </c>
      <c r="K140" s="6">
        <f>YEAR(M140)</f>
        <v/>
      </c>
      <c r="L140" s="6">
        <f>MONTH(M140)</f>
        <v/>
      </c>
      <c r="M140" s="267">
        <f>IFERROR(__xludf.DUMMYFUNCTION("""COMPUTED_VALUE"""),43293.6666666666)</f>
        <v/>
      </c>
      <c r="N140" s="6">
        <f>IFERROR(__xludf.DUMMYFUNCTION("""COMPUTED_VALUE"""),7823.92)</f>
        <v/>
      </c>
      <c r="R140" s="6">
        <f>S140&amp;T140</f>
        <v/>
      </c>
      <c r="S140" s="6">
        <f>YEAR(U140)</f>
        <v/>
      </c>
      <c r="T140" s="6">
        <f>MONTH(U140)</f>
        <v/>
      </c>
      <c r="U140" s="267">
        <f>IFERROR(__xludf.DUMMYFUNCTION("""COMPUTED_VALUE"""),43301.6458333333)</f>
        <v/>
      </c>
      <c r="V140" s="6">
        <f>IFERROR(__xludf.DUMMYFUNCTION("""COMPUTED_VALUE"""),2289.19)</f>
        <v/>
      </c>
      <c r="Z140" s="6">
        <f>AA140&amp;AB140</f>
        <v/>
      </c>
      <c r="AA140" s="6">
        <f>YEAR(AC140)</f>
        <v/>
      </c>
      <c r="AB140" s="6">
        <f>MONTH(AC140)</f>
        <v/>
      </c>
      <c r="AC140" s="267">
        <f>IFERROR(__xludf.DUMMYFUNCTION("""COMPUTED_VALUE"""),43237.9986111111)</f>
        <v/>
      </c>
      <c r="AD140" s="6">
        <f>IFERROR(__xludf.DUMMYFUNCTION("""COMPUTED_VALUE"""),1080.91)</f>
        <v/>
      </c>
      <c r="AH140" s="6">
        <f>AI140&amp;AJ140</f>
        <v/>
      </c>
      <c r="AI140" s="6">
        <f>YEAR(AK140)</f>
        <v/>
      </c>
      <c r="AJ140" s="6">
        <f>MONTH(AK140)</f>
        <v/>
      </c>
      <c r="AK140" s="267">
        <f>IFERROR(__xludf.DUMMYFUNCTION("""COMPUTED_VALUE"""),43231.9986111111)</f>
        <v/>
      </c>
      <c r="AL140" s="6">
        <f>IFERROR(__xludf.DUMMYFUNCTION("""COMPUTED_VALUE"""),8406.04)</f>
        <v/>
      </c>
      <c r="AP140" s="6">
        <f>AQ140&amp;AR140</f>
        <v/>
      </c>
      <c r="AQ140" s="6">
        <f>YEAR(AS140)</f>
        <v/>
      </c>
      <c r="AR140" s="6">
        <f>MONTH(AS140)</f>
        <v/>
      </c>
      <c r="AS140" s="267">
        <f>IFERROR(__xludf.DUMMYFUNCTION("""COMPUTED_VALUE"""),43294.9986111111)</f>
        <v/>
      </c>
      <c r="AT140" s="6">
        <f>IFERROR(__xludf.DUMMYFUNCTION("""COMPUTED_VALUE"""),1241.2)</f>
        <v/>
      </c>
    </row>
    <row r="141">
      <c r="B141" s="6">
        <f>C141&amp;D141</f>
        <v/>
      </c>
      <c r="C141" s="6">
        <f>YEAR(E141)</f>
        <v/>
      </c>
      <c r="D141" s="6">
        <f>MONTH(E141)</f>
        <v/>
      </c>
      <c r="E141" s="267">
        <f>IFERROR(__xludf.DUMMYFUNCTION("""COMPUTED_VALUE"""),43294.6666666666)</f>
        <v/>
      </c>
      <c r="F141" s="6">
        <f>IFERROR(__xludf.DUMMYFUNCTION("""COMPUTED_VALUE"""),2801.31)</f>
        <v/>
      </c>
      <c r="J141" s="6">
        <f>K141&amp;L141</f>
        <v/>
      </c>
      <c r="K141" s="6">
        <f>YEAR(M141)</f>
        <v/>
      </c>
      <c r="L141" s="6">
        <f>MONTH(M141)</f>
        <v/>
      </c>
      <c r="M141" s="267">
        <f>IFERROR(__xludf.DUMMYFUNCTION("""COMPUTED_VALUE"""),43294.6666666666)</f>
        <v/>
      </c>
      <c r="N141" s="6">
        <f>IFERROR(__xludf.DUMMYFUNCTION("""COMPUTED_VALUE"""),7825.98)</f>
        <v/>
      </c>
      <c r="R141" s="6">
        <f>S141&amp;T141</f>
        <v/>
      </c>
      <c r="S141" s="6">
        <f>YEAR(U141)</f>
        <v/>
      </c>
      <c r="T141" s="6">
        <f>MONTH(U141)</f>
        <v/>
      </c>
      <c r="U141" s="267">
        <f>IFERROR(__xludf.DUMMYFUNCTION("""COMPUTED_VALUE"""),43304.6458333333)</f>
        <v/>
      </c>
      <c r="V141" s="6">
        <f>IFERROR(__xludf.DUMMYFUNCTION("""COMPUTED_VALUE"""),2269.31)</f>
        <v/>
      </c>
      <c r="Z141" s="6">
        <f>AA141&amp;AB141</f>
        <v/>
      </c>
      <c r="AA141" s="6">
        <f>YEAR(AC141)</f>
        <v/>
      </c>
      <c r="AB141" s="6">
        <f>MONTH(AC141)</f>
        <v/>
      </c>
      <c r="AC141" s="267">
        <f>IFERROR(__xludf.DUMMYFUNCTION("""COMPUTED_VALUE"""),43238.9986111111)</f>
        <v/>
      </c>
      <c r="AD141" s="6">
        <f>IFERROR(__xludf.DUMMYFUNCTION("""COMPUTED_VALUE"""),1080.37)</f>
        <v/>
      </c>
      <c r="AH141" s="6">
        <f>AI141&amp;AJ141</f>
        <v/>
      </c>
      <c r="AI141" s="6">
        <f>YEAR(AK141)</f>
        <v/>
      </c>
      <c r="AJ141" s="6">
        <f>MONTH(AK141)</f>
        <v/>
      </c>
      <c r="AK141" s="267">
        <f>IFERROR(__xludf.DUMMYFUNCTION("""COMPUTED_VALUE"""),43232.9986111111)</f>
        <v/>
      </c>
      <c r="AL141" s="6">
        <f>IFERROR(__xludf.DUMMYFUNCTION("""COMPUTED_VALUE"""),8467.44)</f>
        <v/>
      </c>
      <c r="AP141" s="6">
        <f>AQ141&amp;AR141</f>
        <v/>
      </c>
      <c r="AQ141" s="6">
        <f>YEAR(AS141)</f>
        <v/>
      </c>
      <c r="AR141" s="6">
        <f>MONTH(AS141)</f>
        <v/>
      </c>
      <c r="AS141" s="267">
        <f>IFERROR(__xludf.DUMMYFUNCTION("""COMPUTED_VALUE"""),43297.9986111111)</f>
        <v/>
      </c>
      <c r="AT141" s="6">
        <f>IFERROR(__xludf.DUMMYFUNCTION("""COMPUTED_VALUE"""),1239.7)</f>
        <v/>
      </c>
    </row>
    <row r="142">
      <c r="B142" s="6">
        <f>C142&amp;D142</f>
        <v/>
      </c>
      <c r="C142" s="6">
        <f>YEAR(E142)</f>
        <v/>
      </c>
      <c r="D142" s="6">
        <f>MONTH(E142)</f>
        <v/>
      </c>
      <c r="E142" s="267">
        <f>IFERROR(__xludf.DUMMYFUNCTION("""COMPUTED_VALUE"""),43297.6666666666)</f>
        <v/>
      </c>
      <c r="F142" s="6">
        <f>IFERROR(__xludf.DUMMYFUNCTION("""COMPUTED_VALUE"""),2798.43)</f>
        <v/>
      </c>
      <c r="J142" s="6">
        <f>K142&amp;L142</f>
        <v/>
      </c>
      <c r="K142" s="6">
        <f>YEAR(M142)</f>
        <v/>
      </c>
      <c r="L142" s="6">
        <f>MONTH(M142)</f>
        <v/>
      </c>
      <c r="M142" s="267">
        <f>IFERROR(__xludf.DUMMYFUNCTION("""COMPUTED_VALUE"""),43297.6666666666)</f>
        <v/>
      </c>
      <c r="N142" s="6">
        <f>IFERROR(__xludf.DUMMYFUNCTION("""COMPUTED_VALUE"""),7805.72)</f>
        <v/>
      </c>
      <c r="R142" s="6">
        <f>S142&amp;T142</f>
        <v/>
      </c>
      <c r="S142" s="6">
        <f>YEAR(U142)</f>
        <v/>
      </c>
      <c r="T142" s="6">
        <f>MONTH(U142)</f>
        <v/>
      </c>
      <c r="U142" s="267">
        <f>IFERROR(__xludf.DUMMYFUNCTION("""COMPUTED_VALUE"""),43305.6458333333)</f>
        <v/>
      </c>
      <c r="V142" s="6">
        <f>IFERROR(__xludf.DUMMYFUNCTION("""COMPUTED_VALUE"""),2280.2)</f>
        <v/>
      </c>
      <c r="Z142" s="6">
        <f>AA142&amp;AB142</f>
        <v/>
      </c>
      <c r="AA142" s="6">
        <f>YEAR(AC142)</f>
        <v/>
      </c>
      <c r="AB142" s="6">
        <f>MONTH(AC142)</f>
        <v/>
      </c>
      <c r="AC142" s="267">
        <f>IFERROR(__xludf.DUMMYFUNCTION("""COMPUTED_VALUE"""),43239.9986111111)</f>
        <v/>
      </c>
      <c r="AD142" s="6">
        <f>IFERROR(__xludf.DUMMYFUNCTION("""COMPUTED_VALUE"""),1080.37)</f>
        <v/>
      </c>
      <c r="AH142" s="6">
        <f>AI142&amp;AJ142</f>
        <v/>
      </c>
      <c r="AI142" s="6">
        <f>YEAR(AK142)</f>
        <v/>
      </c>
      <c r="AJ142" s="6">
        <f>MONTH(AK142)</f>
        <v/>
      </c>
      <c r="AK142" s="267">
        <f>IFERROR(__xludf.DUMMYFUNCTION("""COMPUTED_VALUE"""),43233.9986111111)</f>
        <v/>
      </c>
      <c r="AL142" s="6">
        <f>IFERROR(__xludf.DUMMYFUNCTION("""COMPUTED_VALUE"""),8687.51)</f>
        <v/>
      </c>
      <c r="AP142" s="6">
        <f>AQ142&amp;AR142</f>
        <v/>
      </c>
      <c r="AQ142" s="6">
        <f>YEAR(AS142)</f>
        <v/>
      </c>
      <c r="AR142" s="6">
        <f>MONTH(AS142)</f>
        <v/>
      </c>
      <c r="AS142" s="267">
        <f>IFERROR(__xludf.DUMMYFUNCTION("""COMPUTED_VALUE"""),43298.9986111111)</f>
        <v/>
      </c>
      <c r="AT142" s="6">
        <f>IFERROR(__xludf.DUMMYFUNCTION("""COMPUTED_VALUE"""),1227.3)</f>
        <v/>
      </c>
    </row>
    <row r="143">
      <c r="B143" s="6">
        <f>C143&amp;D143</f>
        <v/>
      </c>
      <c r="C143" s="6">
        <f>YEAR(E143)</f>
        <v/>
      </c>
      <c r="D143" s="6">
        <f>MONTH(E143)</f>
        <v/>
      </c>
      <c r="E143" s="267">
        <f>IFERROR(__xludf.DUMMYFUNCTION("""COMPUTED_VALUE"""),43298.6666666666)</f>
        <v/>
      </c>
      <c r="F143" s="6">
        <f>IFERROR(__xludf.DUMMYFUNCTION("""COMPUTED_VALUE"""),2809.55)</f>
        <v/>
      </c>
      <c r="J143" s="6">
        <f>K143&amp;L143</f>
        <v/>
      </c>
      <c r="K143" s="6">
        <f>YEAR(M143)</f>
        <v/>
      </c>
      <c r="L143" s="6">
        <f>MONTH(M143)</f>
        <v/>
      </c>
      <c r="M143" s="267">
        <f>IFERROR(__xludf.DUMMYFUNCTION("""COMPUTED_VALUE"""),43298.6666666666)</f>
        <v/>
      </c>
      <c r="N143" s="6">
        <f>IFERROR(__xludf.DUMMYFUNCTION("""COMPUTED_VALUE"""),7855.12)</f>
        <v/>
      </c>
      <c r="R143" s="6">
        <f>S143&amp;T143</f>
        <v/>
      </c>
      <c r="S143" s="6">
        <f>YEAR(U143)</f>
        <v/>
      </c>
      <c r="T143" s="6">
        <f>MONTH(U143)</f>
        <v/>
      </c>
      <c r="U143" s="267">
        <f>IFERROR(__xludf.DUMMYFUNCTION("""COMPUTED_VALUE"""),43306.6458333333)</f>
        <v/>
      </c>
      <c r="V143" s="6">
        <f>IFERROR(__xludf.DUMMYFUNCTION("""COMPUTED_VALUE"""),2273.03)</f>
        <v/>
      </c>
      <c r="Z143" s="6">
        <f>AA143&amp;AB143</f>
        <v/>
      </c>
      <c r="AA143" s="6">
        <f>YEAR(AC143)</f>
        <v/>
      </c>
      <c r="AB143" s="6">
        <f>MONTH(AC143)</f>
        <v/>
      </c>
      <c r="AC143" s="267">
        <f>IFERROR(__xludf.DUMMYFUNCTION("""COMPUTED_VALUE"""),43240.9986111111)</f>
        <v/>
      </c>
      <c r="AD143" s="6">
        <f>IFERROR(__xludf.DUMMYFUNCTION("""COMPUTED_VALUE"""),1080.51)</f>
        <v/>
      </c>
      <c r="AH143" s="6">
        <f>AI143&amp;AJ143</f>
        <v/>
      </c>
      <c r="AI143" s="6">
        <f>YEAR(AK143)</f>
        <v/>
      </c>
      <c r="AJ143" s="6">
        <f>MONTH(AK143)</f>
        <v/>
      </c>
      <c r="AK143" s="267">
        <f>IFERROR(__xludf.DUMMYFUNCTION("""COMPUTED_VALUE"""),43234.9986111111)</f>
        <v/>
      </c>
      <c r="AL143" s="6">
        <f>IFERROR(__xludf.DUMMYFUNCTION("""COMPUTED_VALUE"""),8671.69)</f>
        <v/>
      </c>
      <c r="AP143" s="6">
        <f>AQ143&amp;AR143</f>
        <v/>
      </c>
      <c r="AQ143" s="6">
        <f>YEAR(AS143)</f>
        <v/>
      </c>
      <c r="AR143" s="6">
        <f>MONTH(AS143)</f>
        <v/>
      </c>
      <c r="AS143" s="267">
        <f>IFERROR(__xludf.DUMMYFUNCTION("""COMPUTED_VALUE"""),43299.9986111111)</f>
        <v/>
      </c>
      <c r="AT143" s="6">
        <f>IFERROR(__xludf.DUMMYFUNCTION("""COMPUTED_VALUE"""),1227.9)</f>
        <v/>
      </c>
    </row>
    <row r="144">
      <c r="B144" s="6">
        <f>C144&amp;D144</f>
        <v/>
      </c>
      <c r="C144" s="6">
        <f>YEAR(E144)</f>
        <v/>
      </c>
      <c r="D144" s="6">
        <f>MONTH(E144)</f>
        <v/>
      </c>
      <c r="E144" s="267">
        <f>IFERROR(__xludf.DUMMYFUNCTION("""COMPUTED_VALUE"""),43299.6666666666)</f>
        <v/>
      </c>
      <c r="F144" s="6">
        <f>IFERROR(__xludf.DUMMYFUNCTION("""COMPUTED_VALUE"""),2815.62)</f>
        <v/>
      </c>
      <c r="J144" s="6">
        <f>K144&amp;L144</f>
        <v/>
      </c>
      <c r="K144" s="6">
        <f>YEAR(M144)</f>
        <v/>
      </c>
      <c r="L144" s="6">
        <f>MONTH(M144)</f>
        <v/>
      </c>
      <c r="M144" s="267">
        <f>IFERROR(__xludf.DUMMYFUNCTION("""COMPUTED_VALUE"""),43299.6666666666)</f>
        <v/>
      </c>
      <c r="N144" s="6">
        <f>IFERROR(__xludf.DUMMYFUNCTION("""COMPUTED_VALUE"""),7854.44)</f>
        <v/>
      </c>
      <c r="R144" s="6">
        <f>S144&amp;T144</f>
        <v/>
      </c>
      <c r="S144" s="6">
        <f>YEAR(U144)</f>
        <v/>
      </c>
      <c r="T144" s="6">
        <f>MONTH(U144)</f>
        <v/>
      </c>
      <c r="U144" s="267">
        <f>IFERROR(__xludf.DUMMYFUNCTION("""COMPUTED_VALUE"""),43307.6458333333)</f>
        <v/>
      </c>
      <c r="V144" s="6">
        <f>IFERROR(__xludf.DUMMYFUNCTION("""COMPUTED_VALUE"""),2289.06)</f>
        <v/>
      </c>
      <c r="Z144" s="6">
        <f>AA144&amp;AB144</f>
        <v/>
      </c>
      <c r="AA144" s="6">
        <f>YEAR(AC144)</f>
        <v/>
      </c>
      <c r="AB144" s="6">
        <f>MONTH(AC144)</f>
        <v/>
      </c>
      <c r="AC144" s="267">
        <f>IFERROR(__xludf.DUMMYFUNCTION("""COMPUTED_VALUE"""),43241.9986111111)</f>
        <v/>
      </c>
      <c r="AD144" s="6">
        <f>IFERROR(__xludf.DUMMYFUNCTION("""COMPUTED_VALUE"""),1076.51)</f>
        <v/>
      </c>
      <c r="AH144" s="6">
        <f>AI144&amp;AJ144</f>
        <v/>
      </c>
      <c r="AI144" s="6">
        <f>YEAR(AK144)</f>
        <v/>
      </c>
      <c r="AJ144" s="6">
        <f>MONTH(AK144)</f>
        <v/>
      </c>
      <c r="AK144" s="267">
        <f>IFERROR(__xludf.DUMMYFUNCTION("""COMPUTED_VALUE"""),43235.9986111111)</f>
        <v/>
      </c>
      <c r="AL144" s="6">
        <f>IFERROR(__xludf.DUMMYFUNCTION("""COMPUTED_VALUE"""),8474.59)</f>
        <v/>
      </c>
      <c r="AP144" s="6">
        <f>AQ144&amp;AR144</f>
        <v/>
      </c>
      <c r="AQ144" s="6">
        <f>YEAR(AS144)</f>
        <v/>
      </c>
      <c r="AR144" s="6">
        <f>MONTH(AS144)</f>
        <v/>
      </c>
      <c r="AS144" s="267">
        <f>IFERROR(__xludf.DUMMYFUNCTION("""COMPUTED_VALUE"""),43300.9986111111)</f>
        <v/>
      </c>
      <c r="AT144" s="6">
        <f>IFERROR(__xludf.DUMMYFUNCTION("""COMPUTED_VALUE"""),1224)</f>
        <v/>
      </c>
    </row>
    <row r="145">
      <c r="B145" s="6">
        <f>C145&amp;D145</f>
        <v/>
      </c>
      <c r="C145" s="6">
        <f>YEAR(E145)</f>
        <v/>
      </c>
      <c r="D145" s="6">
        <f>MONTH(E145)</f>
        <v/>
      </c>
      <c r="E145" s="267">
        <f>IFERROR(__xludf.DUMMYFUNCTION("""COMPUTED_VALUE"""),43300.6666666666)</f>
        <v/>
      </c>
      <c r="F145" s="6">
        <f>IFERROR(__xludf.DUMMYFUNCTION("""COMPUTED_VALUE"""),2804.49)</f>
        <v/>
      </c>
      <c r="J145" s="6">
        <f>K145&amp;L145</f>
        <v/>
      </c>
      <c r="K145" s="6">
        <f>YEAR(M145)</f>
        <v/>
      </c>
      <c r="L145" s="6">
        <f>MONTH(M145)</f>
        <v/>
      </c>
      <c r="M145" s="267">
        <f>IFERROR(__xludf.DUMMYFUNCTION("""COMPUTED_VALUE"""),43300.6666666666)</f>
        <v/>
      </c>
      <c r="N145" s="6">
        <f>IFERROR(__xludf.DUMMYFUNCTION("""COMPUTED_VALUE"""),7825.3)</f>
        <v/>
      </c>
      <c r="R145" s="6">
        <f>S145&amp;T145</f>
        <v/>
      </c>
      <c r="S145" s="6">
        <f>YEAR(U145)</f>
        <v/>
      </c>
      <c r="T145" s="6">
        <f>MONTH(U145)</f>
        <v/>
      </c>
      <c r="U145" s="267">
        <f>IFERROR(__xludf.DUMMYFUNCTION("""COMPUTED_VALUE"""),43308.6458333333)</f>
        <v/>
      </c>
      <c r="V145" s="6">
        <f>IFERROR(__xludf.DUMMYFUNCTION("""COMPUTED_VALUE"""),2294.99)</f>
        <v/>
      </c>
      <c r="Z145" s="6">
        <f>AA145&amp;AB145</f>
        <v/>
      </c>
      <c r="AA145" s="6">
        <f>YEAR(AC145)</f>
        <v/>
      </c>
      <c r="AB145" s="6">
        <f>MONTH(AC145)</f>
        <v/>
      </c>
      <c r="AC145" s="267">
        <f>IFERROR(__xludf.DUMMYFUNCTION("""COMPUTED_VALUE"""),43242.9986111111)</f>
        <v/>
      </c>
      <c r="AD145" s="6">
        <f>IFERROR(__xludf.DUMMYFUNCTION("""COMPUTED_VALUE"""),1074.2)</f>
        <v/>
      </c>
      <c r="AH145" s="6">
        <f>AI145&amp;AJ145</f>
        <v/>
      </c>
      <c r="AI145" s="6">
        <f>YEAR(AK145)</f>
        <v/>
      </c>
      <c r="AJ145" s="6">
        <f>MONTH(AK145)</f>
        <v/>
      </c>
      <c r="AK145" s="267">
        <f>IFERROR(__xludf.DUMMYFUNCTION("""COMPUTED_VALUE"""),43236.9986111111)</f>
        <v/>
      </c>
      <c r="AL145" s="6">
        <f>IFERROR(__xludf.DUMMYFUNCTION("""COMPUTED_VALUE"""),8337.6)</f>
        <v/>
      </c>
      <c r="AP145" s="6">
        <f>AQ145&amp;AR145</f>
        <v/>
      </c>
      <c r="AQ145" s="6">
        <f>YEAR(AS145)</f>
        <v/>
      </c>
      <c r="AR145" s="6">
        <f>MONTH(AS145)</f>
        <v/>
      </c>
      <c r="AS145" s="267">
        <f>IFERROR(__xludf.DUMMYFUNCTION("""COMPUTED_VALUE"""),43301.9986111111)</f>
        <v/>
      </c>
      <c r="AT145" s="6">
        <f>IFERROR(__xludf.DUMMYFUNCTION("""COMPUTED_VALUE"""),1231.1)</f>
        <v/>
      </c>
    </row>
    <row r="146">
      <c r="B146" s="6">
        <f>C146&amp;D146</f>
        <v/>
      </c>
      <c r="C146" s="6">
        <f>YEAR(E146)</f>
        <v/>
      </c>
      <c r="D146" s="6">
        <f>MONTH(E146)</f>
        <v/>
      </c>
      <c r="E146" s="267">
        <f>IFERROR(__xludf.DUMMYFUNCTION("""COMPUTED_VALUE"""),43301.6666666666)</f>
        <v/>
      </c>
      <c r="F146" s="6">
        <f>IFERROR(__xludf.DUMMYFUNCTION("""COMPUTED_VALUE"""),2801.83)</f>
        <v/>
      </c>
      <c r="J146" s="6">
        <f>K146&amp;L146</f>
        <v/>
      </c>
      <c r="K146" s="6">
        <f>YEAR(M146)</f>
        <v/>
      </c>
      <c r="L146" s="6">
        <f>MONTH(M146)</f>
        <v/>
      </c>
      <c r="M146" s="267">
        <f>IFERROR(__xludf.DUMMYFUNCTION("""COMPUTED_VALUE"""),43301.6666666666)</f>
        <v/>
      </c>
      <c r="N146" s="6">
        <f>IFERROR(__xludf.DUMMYFUNCTION("""COMPUTED_VALUE"""),7820.2)</f>
        <v/>
      </c>
      <c r="R146" s="6">
        <f>S146&amp;T146</f>
        <v/>
      </c>
      <c r="S146" s="6">
        <f>YEAR(U146)</f>
        <v/>
      </c>
      <c r="T146" s="6">
        <f>MONTH(U146)</f>
        <v/>
      </c>
      <c r="U146" s="267">
        <f>IFERROR(__xludf.DUMMYFUNCTION("""COMPUTED_VALUE"""),43311.6458333333)</f>
        <v/>
      </c>
      <c r="V146" s="6">
        <f>IFERROR(__xludf.DUMMYFUNCTION("""COMPUTED_VALUE"""),2293.51)</f>
        <v/>
      </c>
      <c r="Z146" s="6">
        <f>AA146&amp;AB146</f>
        <v/>
      </c>
      <c r="AA146" s="6">
        <f>YEAR(AC146)</f>
        <v/>
      </c>
      <c r="AB146" s="6">
        <f>MONTH(AC146)</f>
        <v/>
      </c>
      <c r="AC146" s="267">
        <f>IFERROR(__xludf.DUMMYFUNCTION("""COMPUTED_VALUE"""),43243.9986111111)</f>
        <v/>
      </c>
      <c r="AD146" s="6">
        <f>IFERROR(__xludf.DUMMYFUNCTION("""COMPUTED_VALUE"""),1074.79)</f>
        <v/>
      </c>
      <c r="AH146" s="6">
        <f>AI146&amp;AJ146</f>
        <v/>
      </c>
      <c r="AI146" s="6">
        <f>YEAR(AK146)</f>
        <v/>
      </c>
      <c r="AJ146" s="6">
        <f>MONTH(AK146)</f>
        <v/>
      </c>
      <c r="AK146" s="267">
        <f>IFERROR(__xludf.DUMMYFUNCTION("""COMPUTED_VALUE"""),43237.9986111111)</f>
        <v/>
      </c>
      <c r="AL146" s="6">
        <f>IFERROR(__xludf.DUMMYFUNCTION("""COMPUTED_VALUE"""),8045.84)</f>
        <v/>
      </c>
      <c r="AP146" s="6">
        <f>AQ146&amp;AR146</f>
        <v/>
      </c>
      <c r="AQ146" s="6">
        <f>YEAR(AS146)</f>
        <v/>
      </c>
      <c r="AR146" s="6">
        <f>MONTH(AS146)</f>
        <v/>
      </c>
      <c r="AS146" s="267">
        <f>IFERROR(__xludf.DUMMYFUNCTION("""COMPUTED_VALUE"""),43304.9986111111)</f>
        <v/>
      </c>
      <c r="AT146" s="6">
        <f>IFERROR(__xludf.DUMMYFUNCTION("""COMPUTED_VALUE"""),1234.4)</f>
        <v/>
      </c>
    </row>
    <row r="147">
      <c r="B147" s="6">
        <f>C147&amp;D147</f>
        <v/>
      </c>
      <c r="C147" s="6">
        <f>YEAR(E147)</f>
        <v/>
      </c>
      <c r="D147" s="6">
        <f>MONTH(E147)</f>
        <v/>
      </c>
      <c r="E147" s="267">
        <f>IFERROR(__xludf.DUMMYFUNCTION("""COMPUTED_VALUE"""),43304.6666666666)</f>
        <v/>
      </c>
      <c r="F147" s="6">
        <f>IFERROR(__xludf.DUMMYFUNCTION("""COMPUTED_VALUE"""),2806.98)</f>
        <v/>
      </c>
      <c r="J147" s="6">
        <f>K147&amp;L147</f>
        <v/>
      </c>
      <c r="K147" s="6">
        <f>YEAR(M147)</f>
        <v/>
      </c>
      <c r="L147" s="6">
        <f>MONTH(M147)</f>
        <v/>
      </c>
      <c r="M147" s="267">
        <f>IFERROR(__xludf.DUMMYFUNCTION("""COMPUTED_VALUE"""),43304.6666666666)</f>
        <v/>
      </c>
      <c r="N147" s="6">
        <f>IFERROR(__xludf.DUMMYFUNCTION("""COMPUTED_VALUE"""),7841.87)</f>
        <v/>
      </c>
      <c r="R147" s="6">
        <f>S147&amp;T147</f>
        <v/>
      </c>
      <c r="S147" s="6">
        <f>YEAR(U147)</f>
        <v/>
      </c>
      <c r="T147" s="6">
        <f>MONTH(U147)</f>
        <v/>
      </c>
      <c r="U147" s="267">
        <f>IFERROR(__xludf.DUMMYFUNCTION("""COMPUTED_VALUE"""),43312.6458333333)</f>
        <v/>
      </c>
      <c r="V147" s="6">
        <f>IFERROR(__xludf.DUMMYFUNCTION("""COMPUTED_VALUE"""),2295.26)</f>
        <v/>
      </c>
      <c r="Z147" s="6">
        <f>AA147&amp;AB147</f>
        <v/>
      </c>
      <c r="AA147" s="6">
        <f>YEAR(AC147)</f>
        <v/>
      </c>
      <c r="AB147" s="6">
        <f>MONTH(AC147)</f>
        <v/>
      </c>
      <c r="AC147" s="267">
        <f>IFERROR(__xludf.DUMMYFUNCTION("""COMPUTED_VALUE"""),43244.9986111111)</f>
        <v/>
      </c>
      <c r="AD147" s="6">
        <f>IFERROR(__xludf.DUMMYFUNCTION("""COMPUTED_VALUE"""),1079.23)</f>
        <v/>
      </c>
      <c r="AH147" s="6">
        <f>AI147&amp;AJ147</f>
        <v/>
      </c>
      <c r="AI147" s="6">
        <f>YEAR(AK147)</f>
        <v/>
      </c>
      <c r="AJ147" s="6">
        <f>MONTH(AK147)</f>
        <v/>
      </c>
      <c r="AK147" s="267">
        <f>IFERROR(__xludf.DUMMYFUNCTION("""COMPUTED_VALUE"""),43238.9986111111)</f>
        <v/>
      </c>
      <c r="AL147" s="6">
        <f>IFERROR(__xludf.DUMMYFUNCTION("""COMPUTED_VALUE"""),8237.08)</f>
        <v/>
      </c>
      <c r="AP147" s="6">
        <f>AQ147&amp;AR147</f>
        <v/>
      </c>
      <c r="AQ147" s="6">
        <f>YEAR(AS147)</f>
        <v/>
      </c>
      <c r="AR147" s="6">
        <f>MONTH(AS147)</f>
        <v/>
      </c>
      <c r="AS147" s="267">
        <f>IFERROR(__xludf.DUMMYFUNCTION("""COMPUTED_VALUE"""),43305.9986111111)</f>
        <v/>
      </c>
      <c r="AT147" s="6">
        <f>IFERROR(__xludf.DUMMYFUNCTION("""COMPUTED_VALUE"""),1234.6)</f>
        <v/>
      </c>
    </row>
    <row r="148">
      <c r="B148" s="6">
        <f>C148&amp;D148</f>
        <v/>
      </c>
      <c r="C148" s="6">
        <f>YEAR(E148)</f>
        <v/>
      </c>
      <c r="D148" s="6">
        <f>MONTH(E148)</f>
        <v/>
      </c>
      <c r="E148" s="267">
        <f>IFERROR(__xludf.DUMMYFUNCTION("""COMPUTED_VALUE"""),43305.6666666666)</f>
        <v/>
      </c>
      <c r="F148" s="6">
        <f>IFERROR(__xludf.DUMMYFUNCTION("""COMPUTED_VALUE"""),2820.4)</f>
        <v/>
      </c>
      <c r="J148" s="6">
        <f>K148&amp;L148</f>
        <v/>
      </c>
      <c r="K148" s="6">
        <f>YEAR(M148)</f>
        <v/>
      </c>
      <c r="L148" s="6">
        <f>MONTH(M148)</f>
        <v/>
      </c>
      <c r="M148" s="267">
        <f>IFERROR(__xludf.DUMMYFUNCTION("""COMPUTED_VALUE"""),43305.6666666666)</f>
        <v/>
      </c>
      <c r="N148" s="6">
        <f>IFERROR(__xludf.DUMMYFUNCTION("""COMPUTED_VALUE"""),7840.77)</f>
        <v/>
      </c>
      <c r="R148" s="6">
        <f>S148&amp;T148</f>
        <v/>
      </c>
      <c r="S148" s="6">
        <f>YEAR(U148)</f>
        <v/>
      </c>
      <c r="T148" s="6">
        <f>MONTH(U148)</f>
        <v/>
      </c>
      <c r="U148" s="267">
        <f>IFERROR(__xludf.DUMMYFUNCTION("""COMPUTED_VALUE"""),43313.6458333333)</f>
        <v/>
      </c>
      <c r="V148" s="6">
        <f>IFERROR(__xludf.DUMMYFUNCTION("""COMPUTED_VALUE"""),2307.07)</f>
        <v/>
      </c>
      <c r="Z148" s="6">
        <f>AA148&amp;AB148</f>
        <v/>
      </c>
      <c r="AA148" s="6">
        <f>YEAR(AC148)</f>
        <v/>
      </c>
      <c r="AB148" s="6">
        <f>MONTH(AC148)</f>
        <v/>
      </c>
      <c r="AC148" s="267">
        <f>IFERROR(__xludf.DUMMYFUNCTION("""COMPUTED_VALUE"""),43245.9986111111)</f>
        <v/>
      </c>
      <c r="AD148" s="6">
        <f>IFERROR(__xludf.DUMMYFUNCTION("""COMPUTED_VALUE"""),1076.75)</f>
        <v/>
      </c>
      <c r="AH148" s="6">
        <f>AI148&amp;AJ148</f>
        <v/>
      </c>
      <c r="AI148" s="6">
        <f>YEAR(AK148)</f>
        <v/>
      </c>
      <c r="AJ148" s="6">
        <f>MONTH(AK148)</f>
        <v/>
      </c>
      <c r="AK148" s="267">
        <f>IFERROR(__xludf.DUMMYFUNCTION("""COMPUTED_VALUE"""),43240.9986111111)</f>
        <v/>
      </c>
      <c r="AL148" s="6">
        <f>IFERROR(__xludf.DUMMYFUNCTION("""COMPUTED_VALUE"""),8516.83)</f>
        <v/>
      </c>
      <c r="AP148" s="6">
        <f>AQ148&amp;AR148</f>
        <v/>
      </c>
      <c r="AQ148" s="6">
        <f>YEAR(AS148)</f>
        <v/>
      </c>
      <c r="AR148" s="6">
        <f>MONTH(AS148)</f>
        <v/>
      </c>
      <c r="AS148" s="267">
        <f>IFERROR(__xludf.DUMMYFUNCTION("""COMPUTED_VALUE"""),43306.9986111111)</f>
        <v/>
      </c>
      <c r="AT148" s="6">
        <f>IFERROR(__xludf.DUMMYFUNCTION("""COMPUTED_VALUE"""),1241)</f>
        <v/>
      </c>
    </row>
    <row r="149">
      <c r="B149" s="6">
        <f>C149&amp;D149</f>
        <v/>
      </c>
      <c r="C149" s="6">
        <f>YEAR(E149)</f>
        <v/>
      </c>
      <c r="D149" s="6">
        <f>MONTH(E149)</f>
        <v/>
      </c>
      <c r="E149" s="267">
        <f>IFERROR(__xludf.DUMMYFUNCTION("""COMPUTED_VALUE"""),43306.6666666666)</f>
        <v/>
      </c>
      <c r="F149" s="6">
        <f>IFERROR(__xludf.DUMMYFUNCTION("""COMPUTED_VALUE"""),2846.07)</f>
        <v/>
      </c>
      <c r="J149" s="6">
        <f>K149&amp;L149</f>
        <v/>
      </c>
      <c r="K149" s="6">
        <f>YEAR(M149)</f>
        <v/>
      </c>
      <c r="L149" s="6">
        <f>MONTH(M149)</f>
        <v/>
      </c>
      <c r="M149" s="267">
        <f>IFERROR(__xludf.DUMMYFUNCTION("""COMPUTED_VALUE"""),43306.6666666666)</f>
        <v/>
      </c>
      <c r="N149" s="6">
        <f>IFERROR(__xludf.DUMMYFUNCTION("""COMPUTED_VALUE"""),7932.24)</f>
        <v/>
      </c>
      <c r="R149" s="6">
        <f>S149&amp;T149</f>
        <v/>
      </c>
      <c r="S149" s="6">
        <f>YEAR(U149)</f>
        <v/>
      </c>
      <c r="T149" s="6">
        <f>MONTH(U149)</f>
        <v/>
      </c>
      <c r="U149" s="267">
        <f>IFERROR(__xludf.DUMMYFUNCTION("""COMPUTED_VALUE"""),43314.6458333333)</f>
        <v/>
      </c>
      <c r="V149" s="6">
        <f>IFERROR(__xludf.DUMMYFUNCTION("""COMPUTED_VALUE"""),2270.2)</f>
        <v/>
      </c>
      <c r="Z149" s="6">
        <f>AA149&amp;AB149</f>
        <v/>
      </c>
      <c r="AA149" s="6">
        <f>YEAR(AC149)</f>
        <v/>
      </c>
      <c r="AB149" s="6">
        <f>MONTH(AC149)</f>
        <v/>
      </c>
      <c r="AC149" s="267">
        <f>IFERROR(__xludf.DUMMYFUNCTION("""COMPUTED_VALUE"""),43246.9986111111)</f>
        <v/>
      </c>
      <c r="AD149" s="6">
        <f>IFERROR(__xludf.DUMMYFUNCTION("""COMPUTED_VALUE"""),1076.75)</f>
        <v/>
      </c>
      <c r="AH149" s="6">
        <f>AI149&amp;AJ149</f>
        <v/>
      </c>
      <c r="AI149" s="6">
        <f>YEAR(AK149)</f>
        <v/>
      </c>
      <c r="AJ149" s="6">
        <f>MONTH(AK149)</f>
        <v/>
      </c>
      <c r="AK149" s="267">
        <f>IFERROR(__xludf.DUMMYFUNCTION("""COMPUTED_VALUE"""),43241.9986111111)</f>
        <v/>
      </c>
      <c r="AL149" s="6">
        <f>IFERROR(__xludf.DUMMYFUNCTION("""COMPUTED_VALUE"""),8396.5)</f>
        <v/>
      </c>
      <c r="AP149" s="6">
        <f>AQ149&amp;AR149</f>
        <v/>
      </c>
      <c r="AQ149" s="6">
        <f>YEAR(AS149)</f>
        <v/>
      </c>
      <c r="AR149" s="6">
        <f>MONTH(AS149)</f>
        <v/>
      </c>
      <c r="AS149" s="267">
        <f>IFERROR(__xludf.DUMMYFUNCTION("""COMPUTED_VALUE"""),43307.9986111111)</f>
        <v/>
      </c>
      <c r="AT149" s="6">
        <f>IFERROR(__xludf.DUMMYFUNCTION("""COMPUTED_VALUE"""),1235.3)</f>
        <v/>
      </c>
    </row>
    <row r="150">
      <c r="B150" s="6">
        <f>C150&amp;D150</f>
        <v/>
      </c>
      <c r="C150" s="6">
        <f>YEAR(E150)</f>
        <v/>
      </c>
      <c r="D150" s="6">
        <f>MONTH(E150)</f>
        <v/>
      </c>
      <c r="E150" s="267">
        <f>IFERROR(__xludf.DUMMYFUNCTION("""COMPUTED_VALUE"""),43307.6666666666)</f>
        <v/>
      </c>
      <c r="F150" s="6">
        <f>IFERROR(__xludf.DUMMYFUNCTION("""COMPUTED_VALUE"""),2837.44)</f>
        <v/>
      </c>
      <c r="J150" s="6">
        <f>K150&amp;L150</f>
        <v/>
      </c>
      <c r="K150" s="6">
        <f>YEAR(M150)</f>
        <v/>
      </c>
      <c r="L150" s="6">
        <f>MONTH(M150)</f>
        <v/>
      </c>
      <c r="M150" s="267">
        <f>IFERROR(__xludf.DUMMYFUNCTION("""COMPUTED_VALUE"""),43307.6666666666)</f>
        <v/>
      </c>
      <c r="N150" s="6">
        <f>IFERROR(__xludf.DUMMYFUNCTION("""COMPUTED_VALUE"""),7852.19)</f>
        <v/>
      </c>
      <c r="R150" s="6">
        <f>S150&amp;T150</f>
        <v/>
      </c>
      <c r="S150" s="6">
        <f>YEAR(U150)</f>
        <v/>
      </c>
      <c r="T150" s="6">
        <f>MONTH(U150)</f>
        <v/>
      </c>
      <c r="U150" s="267">
        <f>IFERROR(__xludf.DUMMYFUNCTION("""COMPUTED_VALUE"""),43315.6458333333)</f>
        <v/>
      </c>
      <c r="V150" s="6">
        <f>IFERROR(__xludf.DUMMYFUNCTION("""COMPUTED_VALUE"""),2287.68)</f>
        <v/>
      </c>
      <c r="Z150" s="6">
        <f>AA150&amp;AB150</f>
        <v/>
      </c>
      <c r="AA150" s="6">
        <f>YEAR(AC150)</f>
        <v/>
      </c>
      <c r="AB150" s="6">
        <f>MONTH(AC150)</f>
        <v/>
      </c>
      <c r="AC150" s="267">
        <f>IFERROR(__xludf.DUMMYFUNCTION("""COMPUTED_VALUE"""),43247.9986111111)</f>
        <v/>
      </c>
      <c r="AD150" s="6">
        <f>IFERROR(__xludf.DUMMYFUNCTION("""COMPUTED_VALUE"""),1073.65)</f>
        <v/>
      </c>
      <c r="AH150" s="6">
        <f>AI150&amp;AJ150</f>
        <v/>
      </c>
      <c r="AI150" s="6">
        <f>YEAR(AK150)</f>
        <v/>
      </c>
      <c r="AJ150" s="6">
        <f>MONTH(AK150)</f>
        <v/>
      </c>
      <c r="AK150" s="267">
        <f>IFERROR(__xludf.DUMMYFUNCTION("""COMPUTED_VALUE"""),43242.9986111111)</f>
        <v/>
      </c>
      <c r="AL150" s="6">
        <f>IFERROR(__xludf.DUMMYFUNCTION("""COMPUTED_VALUE"""),7996.57)</f>
        <v/>
      </c>
      <c r="AP150" s="6">
        <f>AQ150&amp;AR150</f>
        <v/>
      </c>
      <c r="AQ150" s="6">
        <f>YEAR(AS150)</f>
        <v/>
      </c>
      <c r="AR150" s="6">
        <f>MONTH(AS150)</f>
        <v/>
      </c>
      <c r="AS150" s="267">
        <f>IFERROR(__xludf.DUMMYFUNCTION("""COMPUTED_VALUE"""),43308.9986111111)</f>
        <v/>
      </c>
      <c r="AT150" s="6">
        <f>IFERROR(__xludf.DUMMYFUNCTION("""COMPUTED_VALUE"""),1232.7)</f>
        <v/>
      </c>
    </row>
    <row r="151">
      <c r="B151" s="6">
        <f>C151&amp;D151</f>
        <v/>
      </c>
      <c r="C151" s="6">
        <f>YEAR(E151)</f>
        <v/>
      </c>
      <c r="D151" s="6">
        <f>MONTH(E151)</f>
        <v/>
      </c>
      <c r="E151" s="267">
        <f>IFERROR(__xludf.DUMMYFUNCTION("""COMPUTED_VALUE"""),43308.6666666666)</f>
        <v/>
      </c>
      <c r="F151" s="6">
        <f>IFERROR(__xludf.DUMMYFUNCTION("""COMPUTED_VALUE"""),2818.82)</f>
        <v/>
      </c>
      <c r="J151" s="6">
        <f>K151&amp;L151</f>
        <v/>
      </c>
      <c r="K151" s="6">
        <f>YEAR(M151)</f>
        <v/>
      </c>
      <c r="L151" s="6">
        <f>MONTH(M151)</f>
        <v/>
      </c>
      <c r="M151" s="267">
        <f>IFERROR(__xludf.DUMMYFUNCTION("""COMPUTED_VALUE"""),43308.6666666666)</f>
        <v/>
      </c>
      <c r="N151" s="6">
        <f>IFERROR(__xludf.DUMMYFUNCTION("""COMPUTED_VALUE"""),7737.42)</f>
        <v/>
      </c>
      <c r="R151" s="6">
        <f>S151&amp;T151</f>
        <v/>
      </c>
      <c r="S151" s="6">
        <f>YEAR(U151)</f>
        <v/>
      </c>
      <c r="T151" s="6">
        <f>MONTH(U151)</f>
        <v/>
      </c>
      <c r="U151" s="267">
        <f>IFERROR(__xludf.DUMMYFUNCTION("""COMPUTED_VALUE"""),43318.6458333333)</f>
        <v/>
      </c>
      <c r="V151" s="6">
        <f>IFERROR(__xludf.DUMMYFUNCTION("""COMPUTED_VALUE"""),2286.5)</f>
        <v/>
      </c>
      <c r="Z151" s="6">
        <f>AA151&amp;AB151</f>
        <v/>
      </c>
      <c r="AA151" s="6">
        <f>YEAR(AC151)</f>
        <v/>
      </c>
      <c r="AB151" s="6">
        <f>MONTH(AC151)</f>
        <v/>
      </c>
      <c r="AC151" s="267">
        <f>IFERROR(__xludf.DUMMYFUNCTION("""COMPUTED_VALUE"""),43248.9986111111)</f>
        <v/>
      </c>
      <c r="AD151" s="6">
        <f>IFERROR(__xludf.DUMMYFUNCTION("""COMPUTED_VALUE"""),1073.17)</f>
        <v/>
      </c>
      <c r="AH151" s="6">
        <f>AI151&amp;AJ151</f>
        <v/>
      </c>
      <c r="AI151" s="6">
        <f>YEAR(AK151)</f>
        <v/>
      </c>
      <c r="AJ151" s="6">
        <f>MONTH(AK151)</f>
        <v/>
      </c>
      <c r="AK151" s="267">
        <f>IFERROR(__xludf.DUMMYFUNCTION("""COMPUTED_VALUE"""),43243.9986111111)</f>
        <v/>
      </c>
      <c r="AL151" s="6">
        <f>IFERROR(__xludf.DUMMYFUNCTION("""COMPUTED_VALUE"""),7503.63)</f>
        <v/>
      </c>
      <c r="AP151" s="6">
        <f>AQ151&amp;AR151</f>
        <v/>
      </c>
      <c r="AQ151" s="6">
        <f>YEAR(AS151)</f>
        <v/>
      </c>
      <c r="AR151" s="6">
        <f>MONTH(AS151)</f>
        <v/>
      </c>
      <c r="AS151" s="267">
        <f>IFERROR(__xludf.DUMMYFUNCTION("""COMPUTED_VALUE"""),43311.9986111111)</f>
        <v/>
      </c>
      <c r="AT151" s="6">
        <f>IFERROR(__xludf.DUMMYFUNCTION("""COMPUTED_VALUE"""),1231.5)</f>
        <v/>
      </c>
    </row>
    <row r="152">
      <c r="B152" s="6">
        <f>C152&amp;D152</f>
        <v/>
      </c>
      <c r="C152" s="6">
        <f>YEAR(E152)</f>
        <v/>
      </c>
      <c r="D152" s="6">
        <f>MONTH(E152)</f>
        <v/>
      </c>
      <c r="E152" s="267">
        <f>IFERROR(__xludf.DUMMYFUNCTION("""COMPUTED_VALUE"""),43311.6666666666)</f>
        <v/>
      </c>
      <c r="F152" s="6">
        <f>IFERROR(__xludf.DUMMYFUNCTION("""COMPUTED_VALUE"""),2802.6)</f>
        <v/>
      </c>
      <c r="J152" s="6">
        <f>K152&amp;L152</f>
        <v/>
      </c>
      <c r="K152" s="6">
        <f>YEAR(M152)</f>
        <v/>
      </c>
      <c r="L152" s="6">
        <f>MONTH(M152)</f>
        <v/>
      </c>
      <c r="M152" s="267">
        <f>IFERROR(__xludf.DUMMYFUNCTION("""COMPUTED_VALUE"""),43311.6666666666)</f>
        <v/>
      </c>
      <c r="N152" s="6">
        <f>IFERROR(__xludf.DUMMYFUNCTION("""COMPUTED_VALUE"""),7630)</f>
        <v/>
      </c>
      <c r="R152" s="6">
        <f>S152&amp;T152</f>
        <v/>
      </c>
      <c r="S152" s="6">
        <f>YEAR(U152)</f>
        <v/>
      </c>
      <c r="T152" s="6">
        <f>MONTH(U152)</f>
        <v/>
      </c>
      <c r="U152" s="267">
        <f>IFERROR(__xludf.DUMMYFUNCTION("""COMPUTED_VALUE"""),43320.6458333333)</f>
        <v/>
      </c>
      <c r="V152" s="6">
        <f>IFERROR(__xludf.DUMMYFUNCTION("""COMPUTED_VALUE"""),2301.45)</f>
        <v/>
      </c>
      <c r="Z152" s="6">
        <f>AA152&amp;AB152</f>
        <v/>
      </c>
      <c r="AA152" s="6">
        <f>YEAR(AC152)</f>
        <v/>
      </c>
      <c r="AB152" s="6">
        <f>MONTH(AC152)</f>
        <v/>
      </c>
      <c r="AC152" s="267">
        <f>IFERROR(__xludf.DUMMYFUNCTION("""COMPUTED_VALUE"""),43249.9986111111)</f>
        <v/>
      </c>
      <c r="AD152" s="6">
        <f>IFERROR(__xludf.DUMMYFUNCTION("""COMPUTED_VALUE"""),1083.93)</f>
        <v/>
      </c>
      <c r="AH152" s="6">
        <f>AI152&amp;AJ152</f>
        <v/>
      </c>
      <c r="AI152" s="6">
        <f>YEAR(AK152)</f>
        <v/>
      </c>
      <c r="AJ152" s="6">
        <f>MONTH(AK152)</f>
        <v/>
      </c>
      <c r="AK152" s="267">
        <f>IFERROR(__xludf.DUMMYFUNCTION("""COMPUTED_VALUE"""),43244.9986111111)</f>
        <v/>
      </c>
      <c r="AL152" s="6">
        <f>IFERROR(__xludf.DUMMYFUNCTION("""COMPUTED_VALUE"""),7574.36)</f>
        <v/>
      </c>
      <c r="AP152" s="6">
        <f>AQ152&amp;AR152</f>
        <v/>
      </c>
      <c r="AQ152" s="6">
        <f>YEAR(AS152)</f>
        <v/>
      </c>
      <c r="AR152" s="6">
        <f>MONTH(AS152)</f>
        <v/>
      </c>
      <c r="AS152" s="267">
        <f>IFERROR(__xludf.DUMMYFUNCTION("""COMPUTED_VALUE"""),43312.9986111111)</f>
        <v/>
      </c>
      <c r="AT152" s="6">
        <f>IFERROR(__xludf.DUMMYFUNCTION("""COMPUTED_VALUE"""),1233.6)</f>
        <v/>
      </c>
    </row>
    <row r="153">
      <c r="B153" s="6">
        <f>C153&amp;D153</f>
        <v/>
      </c>
      <c r="C153" s="6">
        <f>YEAR(E153)</f>
        <v/>
      </c>
      <c r="D153" s="6">
        <f>MONTH(E153)</f>
        <v/>
      </c>
      <c r="E153" s="267">
        <f>IFERROR(__xludf.DUMMYFUNCTION("""COMPUTED_VALUE"""),43312.6666666666)</f>
        <v/>
      </c>
      <c r="F153" s="6">
        <f>IFERROR(__xludf.DUMMYFUNCTION("""COMPUTED_VALUE"""),2816.29)</f>
        <v/>
      </c>
      <c r="J153" s="6">
        <f>K153&amp;L153</f>
        <v/>
      </c>
      <c r="K153" s="6">
        <f>YEAR(M153)</f>
        <v/>
      </c>
      <c r="L153" s="6">
        <f>MONTH(M153)</f>
        <v/>
      </c>
      <c r="M153" s="267">
        <f>IFERROR(__xludf.DUMMYFUNCTION("""COMPUTED_VALUE"""),43312.6666666666)</f>
        <v/>
      </c>
      <c r="N153" s="6">
        <f>IFERROR(__xludf.DUMMYFUNCTION("""COMPUTED_VALUE"""),7671.79)</f>
        <v/>
      </c>
      <c r="R153" s="6">
        <f>S153&amp;T153</f>
        <v/>
      </c>
      <c r="S153" s="6">
        <f>YEAR(U153)</f>
        <v/>
      </c>
      <c r="T153" s="6">
        <f>MONTH(U153)</f>
        <v/>
      </c>
      <c r="U153" s="267">
        <f>IFERROR(__xludf.DUMMYFUNCTION("""COMPUTED_VALUE"""),43321.6458333333)</f>
        <v/>
      </c>
      <c r="V153" s="6">
        <f>IFERROR(__xludf.DUMMYFUNCTION("""COMPUTED_VALUE"""),2303.71)</f>
        <v/>
      </c>
      <c r="Z153" s="6">
        <f>AA153&amp;AB153</f>
        <v/>
      </c>
      <c r="AA153" s="6">
        <f>YEAR(AC153)</f>
        <v/>
      </c>
      <c r="AB153" s="6">
        <f>MONTH(AC153)</f>
        <v/>
      </c>
      <c r="AC153" s="267">
        <f>IFERROR(__xludf.DUMMYFUNCTION("""COMPUTED_VALUE"""),43250.9986111111)</f>
        <v/>
      </c>
      <c r="AD153" s="6">
        <f>IFERROR(__xludf.DUMMYFUNCTION("""COMPUTED_VALUE"""),1075.03)</f>
        <v/>
      </c>
      <c r="AH153" s="6">
        <f>AI153&amp;AJ153</f>
        <v/>
      </c>
      <c r="AI153" s="6">
        <f>YEAR(AK153)</f>
        <v/>
      </c>
      <c r="AJ153" s="6">
        <f>MONTH(AK153)</f>
        <v/>
      </c>
      <c r="AK153" s="267">
        <f>IFERROR(__xludf.DUMMYFUNCTION("""COMPUTED_VALUE"""),43245.9986111111)</f>
        <v/>
      </c>
      <c r="AL153" s="6">
        <f>IFERROR(__xludf.DUMMYFUNCTION("""COMPUTED_VALUE"""),7467.57)</f>
        <v/>
      </c>
      <c r="AP153" s="6">
        <f>AQ153&amp;AR153</f>
        <v/>
      </c>
      <c r="AQ153" s="6">
        <f>YEAR(AS153)</f>
        <v/>
      </c>
      <c r="AR153" s="6">
        <f>MONTH(AS153)</f>
        <v/>
      </c>
      <c r="AS153" s="267">
        <f>IFERROR(__xludf.DUMMYFUNCTION("""COMPUTED_VALUE"""),43313.9986111111)</f>
        <v/>
      </c>
      <c r="AT153" s="6">
        <f>IFERROR(__xludf.DUMMYFUNCTION("""COMPUTED_VALUE"""),1227.6)</f>
        <v/>
      </c>
    </row>
    <row r="154">
      <c r="B154" s="6">
        <f>C154&amp;D154</f>
        <v/>
      </c>
      <c r="C154" s="6">
        <f>YEAR(E154)</f>
        <v/>
      </c>
      <c r="D154" s="6">
        <f>MONTH(E154)</f>
        <v/>
      </c>
      <c r="E154" s="267">
        <f>IFERROR(__xludf.DUMMYFUNCTION("""COMPUTED_VALUE"""),43313.6666666666)</f>
        <v/>
      </c>
      <c r="F154" s="6">
        <f>IFERROR(__xludf.DUMMYFUNCTION("""COMPUTED_VALUE"""),2813.36)</f>
        <v/>
      </c>
      <c r="J154" s="6">
        <f>K154&amp;L154</f>
        <v/>
      </c>
      <c r="K154" s="6">
        <f>YEAR(M154)</f>
        <v/>
      </c>
      <c r="L154" s="6">
        <f>MONTH(M154)</f>
        <v/>
      </c>
      <c r="M154" s="267">
        <f>IFERROR(__xludf.DUMMYFUNCTION("""COMPUTED_VALUE"""),43313.6666666666)</f>
        <v/>
      </c>
      <c r="N154" s="6">
        <f>IFERROR(__xludf.DUMMYFUNCTION("""COMPUTED_VALUE"""),7707.29)</f>
        <v/>
      </c>
      <c r="R154" s="6">
        <f>S154&amp;T154</f>
        <v/>
      </c>
      <c r="S154" s="6">
        <f>YEAR(U154)</f>
        <v/>
      </c>
      <c r="T154" s="6">
        <f>MONTH(U154)</f>
        <v/>
      </c>
      <c r="U154" s="267">
        <f>IFERROR(__xludf.DUMMYFUNCTION("""COMPUTED_VALUE"""),43322.6458333333)</f>
        <v/>
      </c>
      <c r="V154" s="6">
        <f>IFERROR(__xludf.DUMMYFUNCTION("""COMPUTED_VALUE"""),2282.79)</f>
        <v/>
      </c>
      <c r="Z154" s="6">
        <f>AA154&amp;AB154</f>
        <v/>
      </c>
      <c r="AA154" s="6">
        <f>YEAR(AC154)</f>
        <v/>
      </c>
      <c r="AB154" s="6">
        <f>MONTH(AC154)</f>
        <v/>
      </c>
      <c r="AC154" s="267">
        <f>IFERROR(__xludf.DUMMYFUNCTION("""COMPUTED_VALUE"""),43251.9986111111)</f>
        <v/>
      </c>
      <c r="AD154" s="6">
        <f>IFERROR(__xludf.DUMMYFUNCTION("""COMPUTED_VALUE"""),1079.95)</f>
        <v/>
      </c>
      <c r="AH154" s="6">
        <f>AI154&amp;AJ154</f>
        <v/>
      </c>
      <c r="AI154" s="6">
        <f>YEAR(AK154)</f>
        <v/>
      </c>
      <c r="AJ154" s="6">
        <f>MONTH(AK154)</f>
        <v/>
      </c>
      <c r="AK154" s="267">
        <f>IFERROR(__xludf.DUMMYFUNCTION("""COMPUTED_VALUE"""),43246.9986111111)</f>
        <v/>
      </c>
      <c r="AL154" s="6">
        <f>IFERROR(__xludf.DUMMYFUNCTION("""COMPUTED_VALUE"""),7335.78)</f>
        <v/>
      </c>
      <c r="AP154" s="6">
        <f>AQ154&amp;AR154</f>
        <v/>
      </c>
      <c r="AQ154" s="6">
        <f>YEAR(AS154)</f>
        <v/>
      </c>
      <c r="AR154" s="6">
        <f>MONTH(AS154)</f>
        <v/>
      </c>
      <c r="AS154" s="267">
        <f>IFERROR(__xludf.DUMMYFUNCTION("""COMPUTED_VALUE"""),43314.9986111111)</f>
        <v/>
      </c>
      <c r="AT154" s="6">
        <f>IFERROR(__xludf.DUMMYFUNCTION("""COMPUTED_VALUE"""),1220.1)</f>
        <v/>
      </c>
    </row>
    <row r="155">
      <c r="B155" s="6">
        <f>C155&amp;D155</f>
        <v/>
      </c>
      <c r="C155" s="6">
        <f>YEAR(E155)</f>
        <v/>
      </c>
      <c r="D155" s="6">
        <f>MONTH(E155)</f>
        <v/>
      </c>
      <c r="E155" s="267">
        <f>IFERROR(__xludf.DUMMYFUNCTION("""COMPUTED_VALUE"""),43314.6666666666)</f>
        <v/>
      </c>
      <c r="F155" s="6">
        <f>IFERROR(__xludf.DUMMYFUNCTION("""COMPUTED_VALUE"""),2827.22)</f>
        <v/>
      </c>
      <c r="J155" s="6">
        <f>K155&amp;L155</f>
        <v/>
      </c>
      <c r="K155" s="6">
        <f>YEAR(M155)</f>
        <v/>
      </c>
      <c r="L155" s="6">
        <f>MONTH(M155)</f>
        <v/>
      </c>
      <c r="M155" s="267">
        <f>IFERROR(__xludf.DUMMYFUNCTION("""COMPUTED_VALUE"""),43314.6666666666)</f>
        <v/>
      </c>
      <c r="N155" s="6">
        <f>IFERROR(__xludf.DUMMYFUNCTION("""COMPUTED_VALUE"""),7802.69)</f>
        <v/>
      </c>
      <c r="R155" s="6">
        <f>S155&amp;T155</f>
        <v/>
      </c>
      <c r="S155" s="6">
        <f>YEAR(U155)</f>
        <v/>
      </c>
      <c r="T155" s="6">
        <f>MONTH(U155)</f>
        <v/>
      </c>
      <c r="U155" s="267">
        <f>IFERROR(__xludf.DUMMYFUNCTION("""COMPUTED_VALUE"""),43325.6458333333)</f>
        <v/>
      </c>
      <c r="V155" s="6">
        <f>IFERROR(__xludf.DUMMYFUNCTION("""COMPUTED_VALUE"""),2248.45)</f>
        <v/>
      </c>
      <c r="Z155" s="6">
        <f>AA155&amp;AB155</f>
        <v/>
      </c>
      <c r="AA155" s="6">
        <f>YEAR(AC155)</f>
        <v/>
      </c>
      <c r="AB155" s="6">
        <f>MONTH(AC155)</f>
        <v/>
      </c>
      <c r="AC155" s="267">
        <f>IFERROR(__xludf.DUMMYFUNCTION("""COMPUTED_VALUE"""),43252.9986111111)</f>
        <v/>
      </c>
      <c r="AD155" s="6">
        <f>IFERROR(__xludf.DUMMYFUNCTION("""COMPUTED_VALUE"""),1070.68)</f>
        <v/>
      </c>
      <c r="AH155" s="6">
        <f>AI155&amp;AJ155</f>
        <v/>
      </c>
      <c r="AI155" s="6">
        <f>YEAR(AK155)</f>
        <v/>
      </c>
      <c r="AJ155" s="6">
        <f>MONTH(AK155)</f>
        <v/>
      </c>
      <c r="AK155" s="267">
        <f>IFERROR(__xludf.DUMMYFUNCTION("""COMPUTED_VALUE"""),43247.9986111111)</f>
        <v/>
      </c>
      <c r="AL155" s="6">
        <f>IFERROR(__xludf.DUMMYFUNCTION("""COMPUTED_VALUE"""),7353.38)</f>
        <v/>
      </c>
      <c r="AP155" s="6">
        <f>AQ155&amp;AR155</f>
        <v/>
      </c>
      <c r="AQ155" s="6">
        <f>YEAR(AS155)</f>
        <v/>
      </c>
      <c r="AR155" s="6">
        <f>MONTH(AS155)</f>
        <v/>
      </c>
      <c r="AS155" s="267">
        <f>IFERROR(__xludf.DUMMYFUNCTION("""COMPUTED_VALUE"""),43315.9986111111)</f>
        <v/>
      </c>
      <c r="AT155" s="6">
        <f>IFERROR(__xludf.DUMMYFUNCTION("""COMPUTED_VALUE"""),1223.2)</f>
        <v/>
      </c>
    </row>
    <row r="156">
      <c r="B156" s="6">
        <f>C156&amp;D156</f>
        <v/>
      </c>
      <c r="C156" s="6">
        <f>YEAR(E156)</f>
        <v/>
      </c>
      <c r="D156" s="6">
        <f>MONTH(E156)</f>
        <v/>
      </c>
      <c r="E156" s="267">
        <f>IFERROR(__xludf.DUMMYFUNCTION("""COMPUTED_VALUE"""),43315.6666666666)</f>
        <v/>
      </c>
      <c r="F156" s="6">
        <f>IFERROR(__xludf.DUMMYFUNCTION("""COMPUTED_VALUE"""),2840.35)</f>
        <v/>
      </c>
      <c r="J156" s="6">
        <f>K156&amp;L156</f>
        <v/>
      </c>
      <c r="K156" s="6">
        <f>YEAR(M156)</f>
        <v/>
      </c>
      <c r="L156" s="6">
        <f>MONTH(M156)</f>
        <v/>
      </c>
      <c r="M156" s="267">
        <f>IFERROR(__xludf.DUMMYFUNCTION("""COMPUTED_VALUE"""),43315.6666666666)</f>
        <v/>
      </c>
      <c r="N156" s="6">
        <f>IFERROR(__xludf.DUMMYFUNCTION("""COMPUTED_VALUE"""),7812.02)</f>
        <v/>
      </c>
      <c r="R156" s="6">
        <f>S156&amp;T156</f>
        <v/>
      </c>
      <c r="S156" s="6">
        <f>YEAR(U156)</f>
        <v/>
      </c>
      <c r="T156" s="6">
        <f>MONTH(U156)</f>
        <v/>
      </c>
      <c r="U156" s="267">
        <f>IFERROR(__xludf.DUMMYFUNCTION("""COMPUTED_VALUE"""),43326.6458333333)</f>
        <v/>
      </c>
      <c r="V156" s="6">
        <f>IFERROR(__xludf.DUMMYFUNCTION("""COMPUTED_VALUE"""),2258.91)</f>
        <v/>
      </c>
      <c r="Z156" s="6">
        <f>AA156&amp;AB156</f>
        <v/>
      </c>
      <c r="AA156" s="6">
        <f>YEAR(AC156)</f>
        <v/>
      </c>
      <c r="AB156" s="6">
        <f>MONTH(AC156)</f>
        <v/>
      </c>
      <c r="AC156" s="267">
        <f>IFERROR(__xludf.DUMMYFUNCTION("""COMPUTED_VALUE"""),43253.9986111111)</f>
        <v/>
      </c>
      <c r="AD156" s="6">
        <f>IFERROR(__xludf.DUMMYFUNCTION("""COMPUTED_VALUE"""),1069.89)</f>
        <v/>
      </c>
      <c r="AH156" s="6">
        <f>AI156&amp;AJ156</f>
        <v/>
      </c>
      <c r="AI156" s="6">
        <f>YEAR(AK156)</f>
        <v/>
      </c>
      <c r="AJ156" s="6">
        <f>MONTH(AK156)</f>
        <v/>
      </c>
      <c r="AK156" s="267">
        <f>IFERROR(__xludf.DUMMYFUNCTION("""COMPUTED_VALUE"""),43248.9986111111)</f>
        <v/>
      </c>
      <c r="AL156" s="6">
        <f>IFERROR(__xludf.DUMMYFUNCTION("""COMPUTED_VALUE"""),7102.26)</f>
        <v/>
      </c>
      <c r="AP156" s="6">
        <f>AQ156&amp;AR156</f>
        <v/>
      </c>
      <c r="AQ156" s="6">
        <f>YEAR(AS156)</f>
        <v/>
      </c>
      <c r="AR156" s="6">
        <f>MONTH(AS156)</f>
        <v/>
      </c>
      <c r="AS156" s="267">
        <f>IFERROR(__xludf.DUMMYFUNCTION("""COMPUTED_VALUE"""),43318.9986111111)</f>
        <v/>
      </c>
      <c r="AT156" s="6">
        <f>IFERROR(__xludf.DUMMYFUNCTION("""COMPUTED_VALUE"""),1217.7)</f>
        <v/>
      </c>
    </row>
    <row r="157">
      <c r="B157" s="6">
        <f>C157&amp;D157</f>
        <v/>
      </c>
      <c r="C157" s="6">
        <f>YEAR(E157)</f>
        <v/>
      </c>
      <c r="D157" s="6">
        <f>MONTH(E157)</f>
        <v/>
      </c>
      <c r="E157" s="267">
        <f>IFERROR(__xludf.DUMMYFUNCTION("""COMPUTED_VALUE"""),43318.6666666666)</f>
        <v/>
      </c>
      <c r="F157" s="6">
        <f>IFERROR(__xludf.DUMMYFUNCTION("""COMPUTED_VALUE"""),2850.4)</f>
        <v/>
      </c>
      <c r="J157" s="6">
        <f>K157&amp;L157</f>
        <v/>
      </c>
      <c r="K157" s="6">
        <f>YEAR(M157)</f>
        <v/>
      </c>
      <c r="L157" s="6">
        <f>MONTH(M157)</f>
        <v/>
      </c>
      <c r="M157" s="267">
        <f>IFERROR(__xludf.DUMMYFUNCTION("""COMPUTED_VALUE"""),43318.6666666666)</f>
        <v/>
      </c>
      <c r="N157" s="6">
        <f>IFERROR(__xludf.DUMMYFUNCTION("""COMPUTED_VALUE"""),7859.68)</f>
        <v/>
      </c>
      <c r="R157" s="6">
        <f>S157&amp;T157</f>
        <v/>
      </c>
      <c r="S157" s="6">
        <f>YEAR(U157)</f>
        <v/>
      </c>
      <c r="T157" s="6">
        <f>MONTH(U157)</f>
        <v/>
      </c>
      <c r="U157" s="267">
        <f>IFERROR(__xludf.DUMMYFUNCTION("""COMPUTED_VALUE"""),43328.6458333333)</f>
        <v/>
      </c>
      <c r="V157" s="6">
        <f>IFERROR(__xludf.DUMMYFUNCTION("""COMPUTED_VALUE"""),2240.8)</f>
        <v/>
      </c>
      <c r="Z157" s="6">
        <f>AA157&amp;AB157</f>
        <v/>
      </c>
      <c r="AA157" s="6">
        <f>YEAR(AC157)</f>
        <v/>
      </c>
      <c r="AB157" s="6">
        <f>MONTH(AC157)</f>
        <v/>
      </c>
      <c r="AC157" s="267">
        <f>IFERROR(__xludf.DUMMYFUNCTION("""COMPUTED_VALUE"""),43254.9986111111)</f>
        <v/>
      </c>
      <c r="AD157" s="6">
        <f>IFERROR(__xludf.DUMMYFUNCTION("""COMPUTED_VALUE"""),1070.36)</f>
        <v/>
      </c>
      <c r="AH157" s="6">
        <f>AI157&amp;AJ157</f>
        <v/>
      </c>
      <c r="AI157" s="6">
        <f>YEAR(AK157)</f>
        <v/>
      </c>
      <c r="AJ157" s="6">
        <f>MONTH(AK157)</f>
        <v/>
      </c>
      <c r="AK157" s="267">
        <f>IFERROR(__xludf.DUMMYFUNCTION("""COMPUTED_VALUE"""),43249.9986111111)</f>
        <v/>
      </c>
      <c r="AL157" s="6">
        <f>IFERROR(__xludf.DUMMYFUNCTION("""COMPUTED_VALUE"""),7454.05)</f>
        <v/>
      </c>
      <c r="AP157" s="6">
        <f>AQ157&amp;AR157</f>
        <v/>
      </c>
      <c r="AQ157" s="6">
        <f>YEAR(AS157)</f>
        <v/>
      </c>
      <c r="AR157" s="6">
        <f>MONTH(AS157)</f>
        <v/>
      </c>
      <c r="AS157" s="267">
        <f>IFERROR(__xludf.DUMMYFUNCTION("""COMPUTED_VALUE"""),43319.9986111111)</f>
        <v/>
      </c>
      <c r="AT157" s="6">
        <f>IFERROR(__xludf.DUMMYFUNCTION("""COMPUTED_VALUE"""),1218.3)</f>
        <v/>
      </c>
    </row>
    <row r="158">
      <c r="B158" s="6">
        <f>C158&amp;D158</f>
        <v/>
      </c>
      <c r="C158" s="6">
        <f>YEAR(E158)</f>
        <v/>
      </c>
      <c r="D158" s="6">
        <f>MONTH(E158)</f>
        <v/>
      </c>
      <c r="E158" s="267">
        <f>IFERROR(__xludf.DUMMYFUNCTION("""COMPUTED_VALUE"""),43319.6666666666)</f>
        <v/>
      </c>
      <c r="F158" s="6">
        <f>IFERROR(__xludf.DUMMYFUNCTION("""COMPUTED_VALUE"""),2858.45)</f>
        <v/>
      </c>
      <c r="J158" s="6">
        <f>K158&amp;L158</f>
        <v/>
      </c>
      <c r="K158" s="6">
        <f>YEAR(M158)</f>
        <v/>
      </c>
      <c r="L158" s="6">
        <f>MONTH(M158)</f>
        <v/>
      </c>
      <c r="M158" s="267">
        <f>IFERROR(__xludf.DUMMYFUNCTION("""COMPUTED_VALUE"""),43319.6666666666)</f>
        <v/>
      </c>
      <c r="N158" s="6">
        <f>IFERROR(__xludf.DUMMYFUNCTION("""COMPUTED_VALUE"""),7883.66)</f>
        <v/>
      </c>
      <c r="R158" s="6">
        <f>S158&amp;T158</f>
        <v/>
      </c>
      <c r="S158" s="6">
        <f>YEAR(U158)</f>
        <v/>
      </c>
      <c r="T158" s="6">
        <f>MONTH(U158)</f>
        <v/>
      </c>
      <c r="U158" s="267">
        <f>IFERROR(__xludf.DUMMYFUNCTION("""COMPUTED_VALUE"""),43329.6458333333)</f>
        <v/>
      </c>
      <c r="V158" s="6">
        <f>IFERROR(__xludf.DUMMYFUNCTION("""COMPUTED_VALUE"""),2247.05)</f>
        <v/>
      </c>
      <c r="Z158" s="6">
        <f>AA158&amp;AB158</f>
        <v/>
      </c>
      <c r="AA158" s="6">
        <f>YEAR(AC158)</f>
        <v/>
      </c>
      <c r="AB158" s="6">
        <f>MONTH(AC158)</f>
        <v/>
      </c>
      <c r="AC158" s="267">
        <f>IFERROR(__xludf.DUMMYFUNCTION("""COMPUTED_VALUE"""),43255.9986111111)</f>
        <v/>
      </c>
      <c r="AD158" s="6">
        <f>IFERROR(__xludf.DUMMYFUNCTION("""COMPUTED_VALUE"""),1070.53)</f>
        <v/>
      </c>
      <c r="AH158" s="6">
        <f>AI158&amp;AJ158</f>
        <v/>
      </c>
      <c r="AI158" s="6">
        <f>YEAR(AK158)</f>
        <v/>
      </c>
      <c r="AJ158" s="6">
        <f>MONTH(AK158)</f>
        <v/>
      </c>
      <c r="AK158" s="267">
        <f>IFERROR(__xludf.DUMMYFUNCTION("""COMPUTED_VALUE"""),43250.9986111111)</f>
        <v/>
      </c>
      <c r="AL158" s="6">
        <f>IFERROR(__xludf.DUMMYFUNCTION("""COMPUTED_VALUE"""),7374.4)</f>
        <v/>
      </c>
      <c r="AP158" s="6">
        <f>AQ158&amp;AR158</f>
        <v/>
      </c>
      <c r="AQ158" s="6">
        <f>YEAR(AS158)</f>
        <v/>
      </c>
      <c r="AR158" s="6">
        <f>MONTH(AS158)</f>
        <v/>
      </c>
      <c r="AS158" s="267">
        <f>IFERROR(__xludf.DUMMYFUNCTION("""COMPUTED_VALUE"""),43320.9986111111)</f>
        <v/>
      </c>
      <c r="AT158" s="6">
        <f>IFERROR(__xludf.DUMMYFUNCTION("""COMPUTED_VALUE"""),1221)</f>
        <v/>
      </c>
    </row>
    <row r="159">
      <c r="B159" s="6">
        <f>C159&amp;D159</f>
        <v/>
      </c>
      <c r="C159" s="6">
        <f>YEAR(E159)</f>
        <v/>
      </c>
      <c r="D159" s="6">
        <f>MONTH(E159)</f>
        <v/>
      </c>
      <c r="E159" s="267">
        <f>IFERROR(__xludf.DUMMYFUNCTION("""COMPUTED_VALUE"""),43320.6666666666)</f>
        <v/>
      </c>
      <c r="F159" s="6">
        <f>IFERROR(__xludf.DUMMYFUNCTION("""COMPUTED_VALUE"""),2857.7)</f>
        <v/>
      </c>
      <c r="J159" s="6">
        <f>K159&amp;L159</f>
        <v/>
      </c>
      <c r="K159" s="6">
        <f>YEAR(M159)</f>
        <v/>
      </c>
      <c r="L159" s="6">
        <f>MONTH(M159)</f>
        <v/>
      </c>
      <c r="M159" s="267">
        <f>IFERROR(__xludf.DUMMYFUNCTION("""COMPUTED_VALUE"""),43320.6666666666)</f>
        <v/>
      </c>
      <c r="N159" s="6">
        <f>IFERROR(__xludf.DUMMYFUNCTION("""COMPUTED_VALUE"""),7888.33)</f>
        <v/>
      </c>
      <c r="R159" s="6">
        <f>S159&amp;T159</f>
        <v/>
      </c>
      <c r="S159" s="6">
        <f>YEAR(U159)</f>
        <v/>
      </c>
      <c r="T159" s="6">
        <f>MONTH(U159)</f>
        <v/>
      </c>
      <c r="U159" s="267">
        <f>IFERROR(__xludf.DUMMYFUNCTION("""COMPUTED_VALUE"""),43332.6458333333)</f>
        <v/>
      </c>
      <c r="V159" s="6">
        <f>IFERROR(__xludf.DUMMYFUNCTION("""COMPUTED_VALUE"""),2247.88)</f>
        <v/>
      </c>
      <c r="Z159" s="6">
        <f>AA159&amp;AB159</f>
        <v/>
      </c>
      <c r="AA159" s="6">
        <f>YEAR(AC159)</f>
        <v/>
      </c>
      <c r="AB159" s="6">
        <f>MONTH(AC159)</f>
        <v/>
      </c>
      <c r="AC159" s="267">
        <f>IFERROR(__xludf.DUMMYFUNCTION("""COMPUTED_VALUE"""),43256.9986111111)</f>
        <v/>
      </c>
      <c r="AD159" s="6">
        <f>IFERROR(__xludf.DUMMYFUNCTION("""COMPUTED_VALUE"""),1070.29)</f>
        <v/>
      </c>
      <c r="AH159" s="6">
        <f>AI159&amp;AJ159</f>
        <v/>
      </c>
      <c r="AI159" s="6">
        <f>YEAR(AK159)</f>
        <v/>
      </c>
      <c r="AJ159" s="6">
        <f>MONTH(AK159)</f>
        <v/>
      </c>
      <c r="AK159" s="267">
        <f>IFERROR(__xludf.DUMMYFUNCTION("""COMPUTED_VALUE"""),43251.9986111111)</f>
        <v/>
      </c>
      <c r="AL159" s="6">
        <f>IFERROR(__xludf.DUMMYFUNCTION("""COMPUTED_VALUE"""),7318.37)</f>
        <v/>
      </c>
      <c r="AP159" s="6">
        <f>AQ159&amp;AR159</f>
        <v/>
      </c>
      <c r="AQ159" s="6">
        <f>YEAR(AS159)</f>
        <v/>
      </c>
      <c r="AR159" s="6">
        <f>MONTH(AS159)</f>
        <v/>
      </c>
      <c r="AS159" s="267">
        <f>IFERROR(__xludf.DUMMYFUNCTION("""COMPUTED_VALUE"""),43321.9986111111)</f>
        <v/>
      </c>
      <c r="AT159" s="6">
        <f>IFERROR(__xludf.DUMMYFUNCTION("""COMPUTED_VALUE"""),1219.9)</f>
        <v/>
      </c>
    </row>
    <row r="160">
      <c r="B160" s="6">
        <f>C160&amp;D160</f>
        <v/>
      </c>
      <c r="C160" s="6">
        <f>YEAR(E160)</f>
        <v/>
      </c>
      <c r="D160" s="6">
        <f>MONTH(E160)</f>
        <v/>
      </c>
      <c r="E160" s="267">
        <f>IFERROR(__xludf.DUMMYFUNCTION("""COMPUTED_VALUE"""),43321.6666666666)</f>
        <v/>
      </c>
      <c r="F160" s="6">
        <f>IFERROR(__xludf.DUMMYFUNCTION("""COMPUTED_VALUE"""),2853.58)</f>
        <v/>
      </c>
      <c r="J160" s="6">
        <f>K160&amp;L160</f>
        <v/>
      </c>
      <c r="K160" s="6">
        <f>YEAR(M160)</f>
        <v/>
      </c>
      <c r="L160" s="6">
        <f>MONTH(M160)</f>
        <v/>
      </c>
      <c r="M160" s="267">
        <f>IFERROR(__xludf.DUMMYFUNCTION("""COMPUTED_VALUE"""),43321.6666666666)</f>
        <v/>
      </c>
      <c r="N160" s="6">
        <f>IFERROR(__xludf.DUMMYFUNCTION("""COMPUTED_VALUE"""),7891.78)</f>
        <v/>
      </c>
      <c r="R160" s="6">
        <f>S160&amp;T160</f>
        <v/>
      </c>
      <c r="S160" s="6">
        <f>YEAR(U160)</f>
        <v/>
      </c>
      <c r="T160" s="6">
        <f>MONTH(U160)</f>
        <v/>
      </c>
      <c r="U160" s="267">
        <f>IFERROR(__xludf.DUMMYFUNCTION("""COMPUTED_VALUE"""),43333.6458333333)</f>
        <v/>
      </c>
      <c r="V160" s="6">
        <f>IFERROR(__xludf.DUMMYFUNCTION("""COMPUTED_VALUE"""),2270.06)</f>
        <v/>
      </c>
      <c r="Z160" s="6">
        <f>AA160&amp;AB160</f>
        <v/>
      </c>
      <c r="AA160" s="6">
        <f>YEAR(AC160)</f>
        <v/>
      </c>
      <c r="AB160" s="6">
        <f>MONTH(AC160)</f>
        <v/>
      </c>
      <c r="AC160" s="267">
        <f>IFERROR(__xludf.DUMMYFUNCTION("""COMPUTED_VALUE"""),43257.9986111111)</f>
        <v/>
      </c>
      <c r="AD160" s="6">
        <f>IFERROR(__xludf.DUMMYFUNCTION("""COMPUTED_VALUE"""),1065.15)</f>
        <v/>
      </c>
      <c r="AH160" s="6">
        <f>AI160&amp;AJ160</f>
        <v/>
      </c>
      <c r="AI160" s="6">
        <f>YEAR(AK160)</f>
        <v/>
      </c>
      <c r="AJ160" s="6">
        <f>MONTH(AK160)</f>
        <v/>
      </c>
      <c r="AK160" s="267">
        <f>IFERROR(__xludf.DUMMYFUNCTION("""COMPUTED_VALUE"""),43252.9986111111)</f>
        <v/>
      </c>
      <c r="AL160" s="6">
        <f>IFERROR(__xludf.DUMMYFUNCTION("""COMPUTED_VALUE"""),7520.2)</f>
        <v/>
      </c>
      <c r="AP160" s="6">
        <f>AQ160&amp;AR160</f>
        <v/>
      </c>
      <c r="AQ160" s="6">
        <f>YEAR(AS160)</f>
        <v/>
      </c>
      <c r="AR160" s="6">
        <f>MONTH(AS160)</f>
        <v/>
      </c>
      <c r="AS160" s="267">
        <f>IFERROR(__xludf.DUMMYFUNCTION("""COMPUTED_VALUE"""),43322.9986111111)</f>
        <v/>
      </c>
      <c r="AT160" s="6">
        <f>IFERROR(__xludf.DUMMYFUNCTION("""COMPUTED_VALUE"""),1219)</f>
        <v/>
      </c>
    </row>
    <row r="161">
      <c r="B161" s="6">
        <f>C161&amp;D161</f>
        <v/>
      </c>
      <c r="C161" s="6">
        <f>YEAR(E161)</f>
        <v/>
      </c>
      <c r="D161" s="6">
        <f>MONTH(E161)</f>
        <v/>
      </c>
      <c r="E161" s="267">
        <f>IFERROR(__xludf.DUMMYFUNCTION("""COMPUTED_VALUE"""),43322.6666666666)</f>
        <v/>
      </c>
      <c r="F161" s="6">
        <f>IFERROR(__xludf.DUMMYFUNCTION("""COMPUTED_VALUE"""),2833.28)</f>
        <v/>
      </c>
      <c r="J161" s="6">
        <f>K161&amp;L161</f>
        <v/>
      </c>
      <c r="K161" s="6">
        <f>YEAR(M161)</f>
        <v/>
      </c>
      <c r="L161" s="6">
        <f>MONTH(M161)</f>
        <v/>
      </c>
      <c r="M161" s="267">
        <f>IFERROR(__xludf.DUMMYFUNCTION("""COMPUTED_VALUE"""),43322.6666666666)</f>
        <v/>
      </c>
      <c r="N161" s="6">
        <f>IFERROR(__xludf.DUMMYFUNCTION("""COMPUTED_VALUE"""),7839.11)</f>
        <v/>
      </c>
      <c r="R161" s="6">
        <f>S161&amp;T161</f>
        <v/>
      </c>
      <c r="S161" s="6">
        <f>YEAR(U161)</f>
        <v/>
      </c>
      <c r="T161" s="6">
        <f>MONTH(U161)</f>
        <v/>
      </c>
      <c r="U161" s="267">
        <f>IFERROR(__xludf.DUMMYFUNCTION("""COMPUTED_VALUE"""),43334.6458333333)</f>
        <v/>
      </c>
      <c r="V161" s="6">
        <f>IFERROR(__xludf.DUMMYFUNCTION("""COMPUTED_VALUE"""),2273.33)</f>
        <v/>
      </c>
      <c r="Z161" s="6">
        <f>AA161&amp;AB161</f>
        <v/>
      </c>
      <c r="AA161" s="6">
        <f>YEAR(AC161)</f>
        <v/>
      </c>
      <c r="AB161" s="6">
        <f>MONTH(AC161)</f>
        <v/>
      </c>
      <c r="AC161" s="267">
        <f>IFERROR(__xludf.DUMMYFUNCTION("""COMPUTED_VALUE"""),43258.9986111111)</f>
        <v/>
      </c>
      <c r="AD161" s="6">
        <f>IFERROR(__xludf.DUMMYFUNCTION("""COMPUTED_VALUE"""),1071.33)</f>
        <v/>
      </c>
      <c r="AH161" s="6">
        <f>AI161&amp;AJ161</f>
        <v/>
      </c>
      <c r="AI161" s="6">
        <f>YEAR(AK161)</f>
        <v/>
      </c>
      <c r="AJ161" s="6">
        <f>MONTH(AK161)</f>
        <v/>
      </c>
      <c r="AK161" s="267">
        <f>IFERROR(__xludf.DUMMYFUNCTION("""COMPUTED_VALUE"""),43253.9986111111)</f>
        <v/>
      </c>
      <c r="AL161" s="6">
        <f>IFERROR(__xludf.DUMMYFUNCTION("""COMPUTED_VALUE"""),7634.31)</f>
        <v/>
      </c>
      <c r="AP161" s="6">
        <f>AQ161&amp;AR161</f>
        <v/>
      </c>
      <c r="AQ161" s="6">
        <f>YEAR(AS161)</f>
        <v/>
      </c>
      <c r="AR161" s="6">
        <f>MONTH(AS161)</f>
        <v/>
      </c>
      <c r="AS161" s="267">
        <f>IFERROR(__xludf.DUMMYFUNCTION("""COMPUTED_VALUE"""),43325.9986111111)</f>
        <v/>
      </c>
      <c r="AT161" s="6">
        <f>IFERROR(__xludf.DUMMYFUNCTION("""COMPUTED_VALUE"""),1198.9)</f>
        <v/>
      </c>
    </row>
    <row r="162">
      <c r="B162" s="6">
        <f>C162&amp;D162</f>
        <v/>
      </c>
      <c r="C162" s="6">
        <f>YEAR(E162)</f>
        <v/>
      </c>
      <c r="D162" s="6">
        <f>MONTH(E162)</f>
        <v/>
      </c>
      <c r="E162" s="267">
        <f>IFERROR(__xludf.DUMMYFUNCTION("""COMPUTED_VALUE"""),43325.6666666666)</f>
        <v/>
      </c>
      <c r="F162" s="6">
        <f>IFERROR(__xludf.DUMMYFUNCTION("""COMPUTED_VALUE"""),2821.93)</f>
        <v/>
      </c>
      <c r="J162" s="6">
        <f>K162&amp;L162</f>
        <v/>
      </c>
      <c r="K162" s="6">
        <f>YEAR(M162)</f>
        <v/>
      </c>
      <c r="L162" s="6">
        <f>MONTH(M162)</f>
        <v/>
      </c>
      <c r="M162" s="267">
        <f>IFERROR(__xludf.DUMMYFUNCTION("""COMPUTED_VALUE"""),43325.6666666666)</f>
        <v/>
      </c>
      <c r="N162" s="6">
        <f>IFERROR(__xludf.DUMMYFUNCTION("""COMPUTED_VALUE"""),7819.71)</f>
        <v/>
      </c>
      <c r="R162" s="6">
        <f>S162&amp;T162</f>
        <v/>
      </c>
      <c r="S162" s="6">
        <f>YEAR(U162)</f>
        <v/>
      </c>
      <c r="T162" s="6">
        <f>MONTH(U162)</f>
        <v/>
      </c>
      <c r="U162" s="267">
        <f>IFERROR(__xludf.DUMMYFUNCTION("""COMPUTED_VALUE"""),43335.6458333333)</f>
        <v/>
      </c>
      <c r="V162" s="6">
        <f>IFERROR(__xludf.DUMMYFUNCTION("""COMPUTED_VALUE"""),2282.6)</f>
        <v/>
      </c>
      <c r="Z162" s="6">
        <f>AA162&amp;AB162</f>
        <v/>
      </c>
      <c r="AA162" s="6">
        <f>YEAR(AC162)</f>
        <v/>
      </c>
      <c r="AB162" s="6">
        <f>MONTH(AC162)</f>
        <v/>
      </c>
      <c r="AC162" s="267">
        <f>IFERROR(__xludf.DUMMYFUNCTION("""COMPUTED_VALUE"""),43259.9986111111)</f>
        <v/>
      </c>
      <c r="AD162" s="6">
        <f>IFERROR(__xludf.DUMMYFUNCTION("""COMPUTED_VALUE"""),1073.36)</f>
        <v/>
      </c>
      <c r="AH162" s="6">
        <f>AI162&amp;AJ162</f>
        <v/>
      </c>
      <c r="AI162" s="6">
        <f>YEAR(AK162)</f>
        <v/>
      </c>
      <c r="AJ162" s="6">
        <f>MONTH(AK162)</f>
        <v/>
      </c>
      <c r="AK162" s="267">
        <f>IFERROR(__xludf.DUMMYFUNCTION("""COMPUTED_VALUE"""),43254.9986111111)</f>
        <v/>
      </c>
      <c r="AL162" s="6">
        <f>IFERROR(__xludf.DUMMYFUNCTION("""COMPUTED_VALUE"""),7713.28)</f>
        <v/>
      </c>
      <c r="AP162" s="6">
        <f>AQ162&amp;AR162</f>
        <v/>
      </c>
      <c r="AQ162" s="6">
        <f>YEAR(AS162)</f>
        <v/>
      </c>
      <c r="AR162" s="6">
        <f>MONTH(AS162)</f>
        <v/>
      </c>
      <c r="AS162" s="267">
        <f>IFERROR(__xludf.DUMMYFUNCTION("""COMPUTED_VALUE"""),43326.9986111111)</f>
        <v/>
      </c>
      <c r="AT162" s="6">
        <f>IFERROR(__xludf.DUMMYFUNCTION("""COMPUTED_VALUE"""),1200.7)</f>
        <v/>
      </c>
    </row>
    <row r="163">
      <c r="B163" s="6">
        <f>C163&amp;D163</f>
        <v/>
      </c>
      <c r="C163" s="6">
        <f>YEAR(E163)</f>
        <v/>
      </c>
      <c r="D163" s="6">
        <f>MONTH(E163)</f>
        <v/>
      </c>
      <c r="E163" s="267">
        <f>IFERROR(__xludf.DUMMYFUNCTION("""COMPUTED_VALUE"""),43326.6666666666)</f>
        <v/>
      </c>
      <c r="F163" s="6">
        <f>IFERROR(__xludf.DUMMYFUNCTION("""COMPUTED_VALUE"""),2839.96)</f>
        <v/>
      </c>
      <c r="J163" s="6">
        <f>K163&amp;L163</f>
        <v/>
      </c>
      <c r="K163" s="6">
        <f>YEAR(M163)</f>
        <v/>
      </c>
      <c r="L163" s="6">
        <f>MONTH(M163)</f>
        <v/>
      </c>
      <c r="M163" s="267">
        <f>IFERROR(__xludf.DUMMYFUNCTION("""COMPUTED_VALUE"""),43326.6666666666)</f>
        <v/>
      </c>
      <c r="N163" s="6">
        <f>IFERROR(__xludf.DUMMYFUNCTION("""COMPUTED_VALUE"""),7870.89)</f>
        <v/>
      </c>
      <c r="R163" s="6">
        <f>S163&amp;T163</f>
        <v/>
      </c>
      <c r="S163" s="6">
        <f>YEAR(U163)</f>
        <v/>
      </c>
      <c r="T163" s="6">
        <f>MONTH(U163)</f>
        <v/>
      </c>
      <c r="U163" s="267">
        <f>IFERROR(__xludf.DUMMYFUNCTION("""COMPUTED_VALUE"""),43336.6458333333)</f>
        <v/>
      </c>
      <c r="V163" s="6">
        <f>IFERROR(__xludf.DUMMYFUNCTION("""COMPUTED_VALUE"""),2293.21)</f>
        <v/>
      </c>
      <c r="Z163" s="6">
        <f>AA163&amp;AB163</f>
        <v/>
      </c>
      <c r="AA163" s="6">
        <f>YEAR(AC163)</f>
        <v/>
      </c>
      <c r="AB163" s="6">
        <f>MONTH(AC163)</f>
        <v/>
      </c>
      <c r="AC163" s="267">
        <f>IFERROR(__xludf.DUMMYFUNCTION("""COMPUTED_VALUE"""),43260.9986111111)</f>
        <v/>
      </c>
      <c r="AD163" s="6">
        <f>IFERROR(__xludf.DUMMYFUNCTION("""COMPUTED_VALUE"""),1072.9)</f>
        <v/>
      </c>
      <c r="AH163" s="6">
        <f>AI163&amp;AJ163</f>
        <v/>
      </c>
      <c r="AI163" s="6">
        <f>YEAR(AK163)</f>
        <v/>
      </c>
      <c r="AJ163" s="6">
        <f>MONTH(AK163)</f>
        <v/>
      </c>
      <c r="AK163" s="267">
        <f>IFERROR(__xludf.DUMMYFUNCTION("""COMPUTED_VALUE"""),43255.9986111111)</f>
        <v/>
      </c>
      <c r="AL163" s="6">
        <f>IFERROR(__xludf.DUMMYFUNCTION("""COMPUTED_VALUE"""),7491.05)</f>
        <v/>
      </c>
      <c r="AP163" s="6">
        <f>AQ163&amp;AR163</f>
        <v/>
      </c>
      <c r="AQ163" s="6">
        <f>YEAR(AS163)</f>
        <v/>
      </c>
      <c r="AR163" s="6">
        <f>MONTH(AS163)</f>
        <v/>
      </c>
      <c r="AS163" s="267">
        <f>IFERROR(__xludf.DUMMYFUNCTION("""COMPUTED_VALUE"""),43327.9986111111)</f>
        <v/>
      </c>
      <c r="AT163" s="6">
        <f>IFERROR(__xludf.DUMMYFUNCTION("""COMPUTED_VALUE"""),1185)</f>
        <v/>
      </c>
    </row>
    <row r="164">
      <c r="B164" s="6">
        <f>C164&amp;D164</f>
        <v/>
      </c>
      <c r="C164" s="6">
        <f>YEAR(E164)</f>
        <v/>
      </c>
      <c r="D164" s="6">
        <f>MONTH(E164)</f>
        <v/>
      </c>
      <c r="E164" s="267">
        <f>IFERROR(__xludf.DUMMYFUNCTION("""COMPUTED_VALUE"""),43327.6666666666)</f>
        <v/>
      </c>
      <c r="F164" s="6">
        <f>IFERROR(__xludf.DUMMYFUNCTION("""COMPUTED_VALUE"""),2818.37)</f>
        <v/>
      </c>
      <c r="J164" s="6">
        <f>K164&amp;L164</f>
        <v/>
      </c>
      <c r="K164" s="6">
        <f>YEAR(M164)</f>
        <v/>
      </c>
      <c r="L164" s="6">
        <f>MONTH(M164)</f>
        <v/>
      </c>
      <c r="M164" s="267">
        <f>IFERROR(__xludf.DUMMYFUNCTION("""COMPUTED_VALUE"""),43327.6666666666)</f>
        <v/>
      </c>
      <c r="N164" s="6">
        <f>IFERROR(__xludf.DUMMYFUNCTION("""COMPUTED_VALUE"""),7774.12)</f>
        <v/>
      </c>
      <c r="R164" s="6">
        <f>S164&amp;T164</f>
        <v/>
      </c>
      <c r="S164" s="6">
        <f>YEAR(U164)</f>
        <v/>
      </c>
      <c r="T164" s="6">
        <f>MONTH(U164)</f>
        <v/>
      </c>
      <c r="U164" s="267">
        <f>IFERROR(__xludf.DUMMYFUNCTION("""COMPUTED_VALUE"""),43339.6458333333)</f>
        <v/>
      </c>
      <c r="V164" s="6">
        <f>IFERROR(__xludf.DUMMYFUNCTION("""COMPUTED_VALUE"""),2299.3)</f>
        <v/>
      </c>
      <c r="Z164" s="6">
        <f>AA164&amp;AB164</f>
        <v/>
      </c>
      <c r="AA164" s="6">
        <f>YEAR(AC164)</f>
        <v/>
      </c>
      <c r="AB164" s="6">
        <f>MONTH(AC164)</f>
        <v/>
      </c>
      <c r="AC164" s="267">
        <f>IFERROR(__xludf.DUMMYFUNCTION("""COMPUTED_VALUE"""),43261.9986111111)</f>
        <v/>
      </c>
      <c r="AD164" s="6">
        <f>IFERROR(__xludf.DUMMYFUNCTION("""COMPUTED_VALUE"""),1072.65)</f>
        <v/>
      </c>
      <c r="AH164" s="6">
        <f>AI164&amp;AJ164</f>
        <v/>
      </c>
      <c r="AI164" s="6">
        <f>YEAR(AK164)</f>
        <v/>
      </c>
      <c r="AJ164" s="6">
        <f>MONTH(AK164)</f>
        <v/>
      </c>
      <c r="AK164" s="267">
        <f>IFERROR(__xludf.DUMMYFUNCTION("""COMPUTED_VALUE"""),43256.9986111111)</f>
        <v/>
      </c>
      <c r="AL164" s="6">
        <f>IFERROR(__xludf.DUMMYFUNCTION("""COMPUTED_VALUE"""),7619.61)</f>
        <v/>
      </c>
      <c r="AP164" s="6">
        <f>AQ164&amp;AR164</f>
        <v/>
      </c>
      <c r="AQ164" s="6">
        <f>YEAR(AS164)</f>
        <v/>
      </c>
      <c r="AR164" s="6">
        <f>MONTH(AS164)</f>
        <v/>
      </c>
      <c r="AS164" s="267">
        <f>IFERROR(__xludf.DUMMYFUNCTION("""COMPUTED_VALUE"""),43328.9986111111)</f>
        <v/>
      </c>
      <c r="AT164" s="6">
        <f>IFERROR(__xludf.DUMMYFUNCTION("""COMPUTED_VALUE"""),1184)</f>
        <v/>
      </c>
    </row>
    <row r="165">
      <c r="B165" s="6">
        <f>C165&amp;D165</f>
        <v/>
      </c>
      <c r="C165" s="6">
        <f>YEAR(E165)</f>
        <v/>
      </c>
      <c r="D165" s="6">
        <f>MONTH(E165)</f>
        <v/>
      </c>
      <c r="E165" s="267">
        <f>IFERROR(__xludf.DUMMYFUNCTION("""COMPUTED_VALUE"""),43328.6666666666)</f>
        <v/>
      </c>
      <c r="F165" s="6">
        <f>IFERROR(__xludf.DUMMYFUNCTION("""COMPUTED_VALUE"""),2840.69)</f>
        <v/>
      </c>
      <c r="J165" s="6">
        <f>K165&amp;L165</f>
        <v/>
      </c>
      <c r="K165" s="6">
        <f>YEAR(M165)</f>
        <v/>
      </c>
      <c r="L165" s="6">
        <f>MONTH(M165)</f>
        <v/>
      </c>
      <c r="M165" s="267">
        <f>IFERROR(__xludf.DUMMYFUNCTION("""COMPUTED_VALUE"""),43328.6666666666)</f>
        <v/>
      </c>
      <c r="N165" s="6">
        <f>IFERROR(__xludf.DUMMYFUNCTION("""COMPUTED_VALUE"""),7806.52)</f>
        <v/>
      </c>
      <c r="R165" s="6">
        <f>S165&amp;T165</f>
        <v/>
      </c>
      <c r="S165" s="6">
        <f>YEAR(U165)</f>
        <v/>
      </c>
      <c r="T165" s="6">
        <f>MONTH(U165)</f>
        <v/>
      </c>
      <c r="U165" s="267">
        <f>IFERROR(__xludf.DUMMYFUNCTION("""COMPUTED_VALUE"""),43340.6458333333)</f>
        <v/>
      </c>
      <c r="V165" s="6">
        <f>IFERROR(__xludf.DUMMYFUNCTION("""COMPUTED_VALUE"""),2303.12)</f>
        <v/>
      </c>
      <c r="Z165" s="6">
        <f>AA165&amp;AB165</f>
        <v/>
      </c>
      <c r="AA165" s="6">
        <f>YEAR(AC165)</f>
        <v/>
      </c>
      <c r="AB165" s="6">
        <f>MONTH(AC165)</f>
        <v/>
      </c>
      <c r="AC165" s="267">
        <f>IFERROR(__xludf.DUMMYFUNCTION("""COMPUTED_VALUE"""),43262.9986111111)</f>
        <v/>
      </c>
      <c r="AD165" s="6">
        <f>IFERROR(__xludf.DUMMYFUNCTION("""COMPUTED_VALUE"""),1076.38)</f>
        <v/>
      </c>
      <c r="AH165" s="6">
        <f>AI165&amp;AJ165</f>
        <v/>
      </c>
      <c r="AI165" s="6">
        <f>YEAR(AK165)</f>
        <v/>
      </c>
      <c r="AJ165" s="6">
        <f>MONTH(AK165)</f>
        <v/>
      </c>
      <c r="AK165" s="267">
        <f>IFERROR(__xludf.DUMMYFUNCTION("""COMPUTED_VALUE"""),43257.9986111111)</f>
        <v/>
      </c>
      <c r="AL165" s="6">
        <f>IFERROR(__xludf.DUMMYFUNCTION("""COMPUTED_VALUE"""),7654.93)</f>
        <v/>
      </c>
      <c r="AP165" s="6">
        <f>AQ165&amp;AR165</f>
        <v/>
      </c>
      <c r="AQ165" s="6">
        <f>YEAR(AS165)</f>
        <v/>
      </c>
      <c r="AR165" s="6">
        <f>MONTH(AS165)</f>
        <v/>
      </c>
      <c r="AS165" s="267">
        <f>IFERROR(__xludf.DUMMYFUNCTION("""COMPUTED_VALUE"""),43329.9986111111)</f>
        <v/>
      </c>
      <c r="AT165" s="6">
        <f>IFERROR(__xludf.DUMMYFUNCTION("""COMPUTED_VALUE"""),1184.2)</f>
        <v/>
      </c>
    </row>
    <row r="166">
      <c r="B166" s="6">
        <f>C166&amp;D166</f>
        <v/>
      </c>
      <c r="C166" s="6">
        <f>YEAR(E166)</f>
        <v/>
      </c>
      <c r="D166" s="6">
        <f>MONTH(E166)</f>
        <v/>
      </c>
      <c r="E166" s="267">
        <f>IFERROR(__xludf.DUMMYFUNCTION("""COMPUTED_VALUE"""),43329.6666666666)</f>
        <v/>
      </c>
      <c r="F166" s="6">
        <f>IFERROR(__xludf.DUMMYFUNCTION("""COMPUTED_VALUE"""),2850.13)</f>
        <v/>
      </c>
      <c r="J166" s="6">
        <f>K166&amp;L166</f>
        <v/>
      </c>
      <c r="K166" s="6">
        <f>YEAR(M166)</f>
        <v/>
      </c>
      <c r="L166" s="6">
        <f>MONTH(M166)</f>
        <v/>
      </c>
      <c r="M166" s="267">
        <f>IFERROR(__xludf.DUMMYFUNCTION("""COMPUTED_VALUE"""),43329.6666666666)</f>
        <v/>
      </c>
      <c r="N166" s="6">
        <f>IFERROR(__xludf.DUMMYFUNCTION("""COMPUTED_VALUE"""),7816.33)</f>
        <v/>
      </c>
      <c r="R166" s="6">
        <f>S166&amp;T166</f>
        <v/>
      </c>
      <c r="S166" s="6">
        <f>YEAR(U166)</f>
        <v/>
      </c>
      <c r="T166" s="6">
        <f>MONTH(U166)</f>
        <v/>
      </c>
      <c r="U166" s="267">
        <f>IFERROR(__xludf.DUMMYFUNCTION("""COMPUTED_VALUE"""),43341.6458333333)</f>
        <v/>
      </c>
      <c r="V166" s="6">
        <f>IFERROR(__xludf.DUMMYFUNCTION("""COMPUTED_VALUE"""),2309.03)</f>
        <v/>
      </c>
      <c r="Z166" s="6">
        <f>AA166&amp;AB166</f>
        <v/>
      </c>
      <c r="AA166" s="6">
        <f>YEAR(AC166)</f>
        <v/>
      </c>
      <c r="AB166" s="6">
        <f>MONTH(AC166)</f>
        <v/>
      </c>
      <c r="AC166" s="267">
        <f>IFERROR(__xludf.DUMMYFUNCTION("""COMPUTED_VALUE"""),43263.9986111111)</f>
        <v/>
      </c>
      <c r="AD166" s="6">
        <f>IFERROR(__xludf.DUMMYFUNCTION("""COMPUTED_VALUE"""),1079.25)</f>
        <v/>
      </c>
      <c r="AH166" s="6">
        <f>AI166&amp;AJ166</f>
        <v/>
      </c>
      <c r="AI166" s="6">
        <f>YEAR(AK166)</f>
        <v/>
      </c>
      <c r="AJ166" s="6">
        <f>MONTH(AK166)</f>
        <v/>
      </c>
      <c r="AK166" s="267">
        <f>IFERROR(__xludf.DUMMYFUNCTION("""COMPUTED_VALUE"""),43258.9986111111)</f>
        <v/>
      </c>
      <c r="AL166" s="6">
        <f>IFERROR(__xludf.DUMMYFUNCTION("""COMPUTED_VALUE"""),7687.9)</f>
        <v/>
      </c>
      <c r="AP166" s="6">
        <f>AQ166&amp;AR166</f>
        <v/>
      </c>
      <c r="AQ166" s="6">
        <f>YEAR(AS166)</f>
        <v/>
      </c>
      <c r="AR166" s="6">
        <f>MONTH(AS166)</f>
        <v/>
      </c>
      <c r="AS166" s="267">
        <f>IFERROR(__xludf.DUMMYFUNCTION("""COMPUTED_VALUE"""),43332.9986111111)</f>
        <v/>
      </c>
      <c r="AT166" s="6">
        <f>IFERROR(__xludf.DUMMYFUNCTION("""COMPUTED_VALUE"""),1194.6)</f>
        <v/>
      </c>
    </row>
    <row r="167">
      <c r="B167" s="6">
        <f>C167&amp;D167</f>
        <v/>
      </c>
      <c r="C167" s="6">
        <f>YEAR(E167)</f>
        <v/>
      </c>
      <c r="D167" s="6">
        <f>MONTH(E167)</f>
        <v/>
      </c>
      <c r="E167" s="267">
        <f>IFERROR(__xludf.DUMMYFUNCTION("""COMPUTED_VALUE"""),43332.6666666666)</f>
        <v/>
      </c>
      <c r="F167" s="6">
        <f>IFERROR(__xludf.DUMMYFUNCTION("""COMPUTED_VALUE"""),2857.05)</f>
        <v/>
      </c>
      <c r="J167" s="6">
        <f>K167&amp;L167</f>
        <v/>
      </c>
      <c r="K167" s="6">
        <f>YEAR(M167)</f>
        <v/>
      </c>
      <c r="L167" s="6">
        <f>MONTH(M167)</f>
        <v/>
      </c>
      <c r="M167" s="267">
        <f>IFERROR(__xludf.DUMMYFUNCTION("""COMPUTED_VALUE"""),43332.6666666666)</f>
        <v/>
      </c>
      <c r="N167" s="6">
        <f>IFERROR(__xludf.DUMMYFUNCTION("""COMPUTED_VALUE"""),7821.01)</f>
        <v/>
      </c>
      <c r="R167" s="6">
        <f>S167&amp;T167</f>
        <v/>
      </c>
      <c r="S167" s="6">
        <f>YEAR(U167)</f>
        <v/>
      </c>
      <c r="T167" s="6">
        <f>MONTH(U167)</f>
        <v/>
      </c>
      <c r="U167" s="267">
        <f>IFERROR(__xludf.DUMMYFUNCTION("""COMPUTED_VALUE"""),43343.6458333333)</f>
        <v/>
      </c>
      <c r="V167" s="6">
        <f>IFERROR(__xludf.DUMMYFUNCTION("""COMPUTED_VALUE"""),2322.88)</f>
        <v/>
      </c>
      <c r="Z167" s="6">
        <f>AA167&amp;AB167</f>
        <v/>
      </c>
      <c r="AA167" s="6">
        <f>YEAR(AC167)</f>
        <v/>
      </c>
      <c r="AB167" s="6">
        <f>MONTH(AC167)</f>
        <v/>
      </c>
      <c r="AC167" s="267">
        <f>IFERROR(__xludf.DUMMYFUNCTION("""COMPUTED_VALUE"""),43264.9986111111)</f>
        <v/>
      </c>
      <c r="AD167" s="6">
        <f>IFERROR(__xludf.DUMMYFUNCTION("""COMPUTED_VALUE"""),1084.7)</f>
        <v/>
      </c>
      <c r="AH167" s="6">
        <f>AI167&amp;AJ167</f>
        <v/>
      </c>
      <c r="AI167" s="6">
        <f>YEAR(AK167)</f>
        <v/>
      </c>
      <c r="AJ167" s="6">
        <f>MONTH(AK167)</f>
        <v/>
      </c>
      <c r="AK167" s="267">
        <f>IFERROR(__xludf.DUMMYFUNCTION("""COMPUTED_VALUE"""),43259.9986111111)</f>
        <v/>
      </c>
      <c r="AL167" s="6">
        <f>IFERROR(__xludf.DUMMYFUNCTION("""COMPUTED_VALUE"""),7617.21)</f>
        <v/>
      </c>
      <c r="AP167" s="6">
        <f>AQ167&amp;AR167</f>
        <v/>
      </c>
      <c r="AQ167" s="6">
        <f>YEAR(AS167)</f>
        <v/>
      </c>
      <c r="AR167" s="6">
        <f>MONTH(AS167)</f>
        <v/>
      </c>
      <c r="AS167" s="267">
        <f>IFERROR(__xludf.DUMMYFUNCTION("""COMPUTED_VALUE"""),43333.9986111111)</f>
        <v/>
      </c>
      <c r="AT167" s="6">
        <f>IFERROR(__xludf.DUMMYFUNCTION("""COMPUTED_VALUE"""),1200)</f>
        <v/>
      </c>
    </row>
    <row r="168">
      <c r="B168" s="6">
        <f>C168&amp;D168</f>
        <v/>
      </c>
      <c r="C168" s="6">
        <f>YEAR(E168)</f>
        <v/>
      </c>
      <c r="D168" s="6">
        <f>MONTH(E168)</f>
        <v/>
      </c>
      <c r="E168" s="267">
        <f>IFERROR(__xludf.DUMMYFUNCTION("""COMPUTED_VALUE"""),43333.6666666666)</f>
        <v/>
      </c>
      <c r="F168" s="6">
        <f>IFERROR(__xludf.DUMMYFUNCTION("""COMPUTED_VALUE"""),2862.96)</f>
        <v/>
      </c>
      <c r="J168" s="6">
        <f>K168&amp;L168</f>
        <v/>
      </c>
      <c r="K168" s="6">
        <f>YEAR(M168)</f>
        <v/>
      </c>
      <c r="L168" s="6">
        <f>MONTH(M168)</f>
        <v/>
      </c>
      <c r="M168" s="267">
        <f>IFERROR(__xludf.DUMMYFUNCTION("""COMPUTED_VALUE"""),43333.6666666666)</f>
        <v/>
      </c>
      <c r="N168" s="6">
        <f>IFERROR(__xludf.DUMMYFUNCTION("""COMPUTED_VALUE"""),7859.17)</f>
        <v/>
      </c>
      <c r="R168" s="6">
        <f>S168&amp;T168</f>
        <v/>
      </c>
      <c r="S168" s="6">
        <f>YEAR(U168)</f>
        <v/>
      </c>
      <c r="T168" s="6">
        <f>MONTH(U168)</f>
        <v/>
      </c>
      <c r="U168" s="267">
        <f>IFERROR(__xludf.DUMMYFUNCTION("""COMPUTED_VALUE"""),43346.6458333333)</f>
        <v/>
      </c>
      <c r="V168" s="6">
        <f>IFERROR(__xludf.DUMMYFUNCTION("""COMPUTED_VALUE"""),2307.03)</f>
        <v/>
      </c>
      <c r="Z168" s="6">
        <f>AA168&amp;AB168</f>
        <v/>
      </c>
      <c r="AA168" s="6">
        <f>YEAR(AC168)</f>
        <v/>
      </c>
      <c r="AB168" s="6">
        <f>MONTH(AC168)</f>
        <v/>
      </c>
      <c r="AC168" s="267">
        <f>IFERROR(__xludf.DUMMYFUNCTION("""COMPUTED_VALUE"""),43265.9986111111)</f>
        <v/>
      </c>
      <c r="AD168" s="6">
        <f>IFERROR(__xludf.DUMMYFUNCTION("""COMPUTED_VALUE"""),1090.77)</f>
        <v/>
      </c>
      <c r="AH168" s="6">
        <f>AI168&amp;AJ168</f>
        <v/>
      </c>
      <c r="AI168" s="6">
        <f>YEAR(AK168)</f>
        <v/>
      </c>
      <c r="AJ168" s="6">
        <f>MONTH(AK168)</f>
        <v/>
      </c>
      <c r="AK168" s="267">
        <f>IFERROR(__xludf.DUMMYFUNCTION("""COMPUTED_VALUE"""),43260.9986111111)</f>
        <v/>
      </c>
      <c r="AL168" s="6">
        <f>IFERROR(__xludf.DUMMYFUNCTION("""COMPUTED_VALUE"""),7493.39)</f>
        <v/>
      </c>
      <c r="AP168" s="6">
        <f>AQ168&amp;AR168</f>
        <v/>
      </c>
      <c r="AQ168" s="6">
        <f>YEAR(AS168)</f>
        <v/>
      </c>
      <c r="AR168" s="6">
        <f>MONTH(AS168)</f>
        <v/>
      </c>
      <c r="AS168" s="267">
        <f>IFERROR(__xludf.DUMMYFUNCTION("""COMPUTED_VALUE"""),43334.9986111111)</f>
        <v/>
      </c>
      <c r="AT168" s="6">
        <f>IFERROR(__xludf.DUMMYFUNCTION("""COMPUTED_VALUE"""),1203.3)</f>
        <v/>
      </c>
    </row>
    <row r="169">
      <c r="B169" s="6">
        <f>C169&amp;D169</f>
        <v/>
      </c>
      <c r="C169" s="6">
        <f>YEAR(E169)</f>
        <v/>
      </c>
      <c r="D169" s="6">
        <f>MONTH(E169)</f>
        <v/>
      </c>
      <c r="E169" s="267">
        <f>IFERROR(__xludf.DUMMYFUNCTION("""COMPUTED_VALUE"""),43334.6666666666)</f>
        <v/>
      </c>
      <c r="F169" s="6">
        <f>IFERROR(__xludf.DUMMYFUNCTION("""COMPUTED_VALUE"""),2861.82)</f>
        <v/>
      </c>
      <c r="J169" s="6">
        <f>K169&amp;L169</f>
        <v/>
      </c>
      <c r="K169" s="6">
        <f>YEAR(M169)</f>
        <v/>
      </c>
      <c r="L169" s="6">
        <f>MONTH(M169)</f>
        <v/>
      </c>
      <c r="M169" s="267">
        <f>IFERROR(__xludf.DUMMYFUNCTION("""COMPUTED_VALUE"""),43334.6666666666)</f>
        <v/>
      </c>
      <c r="N169" s="6">
        <f>IFERROR(__xludf.DUMMYFUNCTION("""COMPUTED_VALUE"""),7889.1)</f>
        <v/>
      </c>
      <c r="R169" s="6">
        <f>S169&amp;T169</f>
        <v/>
      </c>
      <c r="S169" s="6">
        <f>YEAR(U169)</f>
        <v/>
      </c>
      <c r="T169" s="6">
        <f>MONTH(U169)</f>
        <v/>
      </c>
      <c r="U169" s="267">
        <f>IFERROR(__xludf.DUMMYFUNCTION("""COMPUTED_VALUE"""),43347.6458333333)</f>
        <v/>
      </c>
      <c r="V169" s="6">
        <f>IFERROR(__xludf.DUMMYFUNCTION("""COMPUTED_VALUE"""),2315.72)</f>
        <v/>
      </c>
      <c r="Z169" s="6">
        <f>AA169&amp;AB169</f>
        <v/>
      </c>
      <c r="AA169" s="6">
        <f>YEAR(AC169)</f>
        <v/>
      </c>
      <c r="AB169" s="6">
        <f>MONTH(AC169)</f>
        <v/>
      </c>
      <c r="AC169" s="267">
        <f>IFERROR(__xludf.DUMMYFUNCTION("""COMPUTED_VALUE"""),43266.9986111111)</f>
        <v/>
      </c>
      <c r="AD169" s="6">
        <f>IFERROR(__xludf.DUMMYFUNCTION("""COMPUTED_VALUE"""),1101.17)</f>
        <v/>
      </c>
      <c r="AH169" s="6">
        <f>AI169&amp;AJ169</f>
        <v/>
      </c>
      <c r="AI169" s="6">
        <f>YEAR(AK169)</f>
        <v/>
      </c>
      <c r="AJ169" s="6">
        <f>MONTH(AK169)</f>
        <v/>
      </c>
      <c r="AK169" s="267">
        <f>IFERROR(__xludf.DUMMYFUNCTION("""COMPUTED_VALUE"""),43261.9986111111)</f>
        <v/>
      </c>
      <c r="AL169" s="6">
        <f>IFERROR(__xludf.DUMMYFUNCTION("""COMPUTED_VALUE"""),6754.26)</f>
        <v/>
      </c>
      <c r="AP169" s="6">
        <f>AQ169&amp;AR169</f>
        <v/>
      </c>
      <c r="AQ169" s="6">
        <f>YEAR(AS169)</f>
        <v/>
      </c>
      <c r="AR169" s="6">
        <f>MONTH(AS169)</f>
        <v/>
      </c>
      <c r="AS169" s="267">
        <f>IFERROR(__xludf.DUMMYFUNCTION("""COMPUTED_VALUE"""),43335.9986111111)</f>
        <v/>
      </c>
      <c r="AT169" s="6">
        <f>IFERROR(__xludf.DUMMYFUNCTION("""COMPUTED_VALUE"""),1194)</f>
        <v/>
      </c>
    </row>
    <row r="170">
      <c r="B170" s="6">
        <f>C170&amp;D170</f>
        <v/>
      </c>
      <c r="C170" s="6">
        <f>YEAR(E170)</f>
        <v/>
      </c>
      <c r="D170" s="6">
        <f>MONTH(E170)</f>
        <v/>
      </c>
      <c r="E170" s="267">
        <f>IFERROR(__xludf.DUMMYFUNCTION("""COMPUTED_VALUE"""),43335.6666666666)</f>
        <v/>
      </c>
      <c r="F170" s="6">
        <f>IFERROR(__xludf.DUMMYFUNCTION("""COMPUTED_VALUE"""),2856.98)</f>
        <v/>
      </c>
      <c r="J170" s="6">
        <f>K170&amp;L170</f>
        <v/>
      </c>
      <c r="K170" s="6">
        <f>YEAR(M170)</f>
        <v/>
      </c>
      <c r="L170" s="6">
        <f>MONTH(M170)</f>
        <v/>
      </c>
      <c r="M170" s="267">
        <f>IFERROR(__xludf.DUMMYFUNCTION("""COMPUTED_VALUE"""),43335.6666666666)</f>
        <v/>
      </c>
      <c r="N170" s="6">
        <f>IFERROR(__xludf.DUMMYFUNCTION("""COMPUTED_VALUE"""),7878.46)</f>
        <v/>
      </c>
      <c r="R170" s="6">
        <f>S170&amp;T170</f>
        <v/>
      </c>
      <c r="S170" s="6">
        <f>YEAR(U170)</f>
        <v/>
      </c>
      <c r="T170" s="6">
        <f>MONTH(U170)</f>
        <v/>
      </c>
      <c r="U170" s="267">
        <f>IFERROR(__xludf.DUMMYFUNCTION("""COMPUTED_VALUE"""),43348.6458333333)</f>
        <v/>
      </c>
      <c r="V170" s="6">
        <f>IFERROR(__xludf.DUMMYFUNCTION("""COMPUTED_VALUE"""),2291.77)</f>
        <v/>
      </c>
      <c r="Z170" s="6">
        <f>AA170&amp;AB170</f>
        <v/>
      </c>
      <c r="AA170" s="6">
        <f>YEAR(AC170)</f>
        <v/>
      </c>
      <c r="AB170" s="6">
        <f>MONTH(AC170)</f>
        <v/>
      </c>
      <c r="AC170" s="267">
        <f>IFERROR(__xludf.DUMMYFUNCTION("""COMPUTED_VALUE"""),43268.9986111111)</f>
        <v/>
      </c>
      <c r="AD170" s="6">
        <f>IFERROR(__xludf.DUMMYFUNCTION("""COMPUTED_VALUE"""),1103.82)</f>
        <v/>
      </c>
      <c r="AH170" s="6">
        <f>AI170&amp;AJ170</f>
        <v/>
      </c>
      <c r="AI170" s="6">
        <f>YEAR(AK170)</f>
        <v/>
      </c>
      <c r="AJ170" s="6">
        <f>MONTH(AK170)</f>
        <v/>
      </c>
      <c r="AK170" s="267">
        <f>IFERROR(__xludf.DUMMYFUNCTION("""COMPUTED_VALUE"""),43262.9986111111)</f>
        <v/>
      </c>
      <c r="AL170" s="6">
        <f>IFERROR(__xludf.DUMMYFUNCTION("""COMPUTED_VALUE"""),6883.47)</f>
        <v/>
      </c>
      <c r="AP170" s="6">
        <f>AQ170&amp;AR170</f>
        <v/>
      </c>
      <c r="AQ170" s="6">
        <f>YEAR(AS170)</f>
        <v/>
      </c>
      <c r="AR170" s="6">
        <f>MONTH(AS170)</f>
        <v/>
      </c>
      <c r="AS170" s="267">
        <f>IFERROR(__xludf.DUMMYFUNCTION("""COMPUTED_VALUE"""),43336.9986111111)</f>
        <v/>
      </c>
      <c r="AT170" s="6">
        <f>IFERROR(__xludf.DUMMYFUNCTION("""COMPUTED_VALUE"""),1213.3)</f>
        <v/>
      </c>
    </row>
    <row r="171">
      <c r="B171" s="6">
        <f>C171&amp;D171</f>
        <v/>
      </c>
      <c r="C171" s="6">
        <f>YEAR(E171)</f>
        <v/>
      </c>
      <c r="D171" s="6">
        <f>MONTH(E171)</f>
        <v/>
      </c>
      <c r="E171" s="267">
        <f>IFERROR(__xludf.DUMMYFUNCTION("""COMPUTED_VALUE"""),43336.6666666666)</f>
        <v/>
      </c>
      <c r="F171" s="6">
        <f>IFERROR(__xludf.DUMMYFUNCTION("""COMPUTED_VALUE"""),2874.69)</f>
        <v/>
      </c>
      <c r="J171" s="6">
        <f>K171&amp;L171</f>
        <v/>
      </c>
      <c r="K171" s="6">
        <f>YEAR(M171)</f>
        <v/>
      </c>
      <c r="L171" s="6">
        <f>MONTH(M171)</f>
        <v/>
      </c>
      <c r="M171" s="267">
        <f>IFERROR(__xludf.DUMMYFUNCTION("""COMPUTED_VALUE"""),43336.6666666666)</f>
        <v/>
      </c>
      <c r="N171" s="6">
        <f>IFERROR(__xludf.DUMMYFUNCTION("""COMPUTED_VALUE"""),7945.98)</f>
        <v/>
      </c>
      <c r="R171" s="6">
        <f>S171&amp;T171</f>
        <v/>
      </c>
      <c r="S171" s="6">
        <f>YEAR(U171)</f>
        <v/>
      </c>
      <c r="T171" s="6">
        <f>MONTH(U171)</f>
        <v/>
      </c>
      <c r="U171" s="267">
        <f>IFERROR(__xludf.DUMMYFUNCTION("""COMPUTED_VALUE"""),43349.6458333333)</f>
        <v/>
      </c>
      <c r="V171" s="6">
        <f>IFERROR(__xludf.DUMMYFUNCTION("""COMPUTED_VALUE"""),2287.61)</f>
        <v/>
      </c>
      <c r="Z171" s="6">
        <f>AA171&amp;AB171</f>
        <v/>
      </c>
      <c r="AA171" s="6">
        <f>YEAR(AC171)</f>
        <v/>
      </c>
      <c r="AB171" s="6">
        <f>MONTH(AC171)</f>
        <v/>
      </c>
      <c r="AC171" s="267">
        <f>IFERROR(__xludf.DUMMYFUNCTION("""COMPUTED_VALUE"""),43269.9986111111)</f>
        <v/>
      </c>
      <c r="AD171" s="6">
        <f>IFERROR(__xludf.DUMMYFUNCTION("""COMPUTED_VALUE"""),1104.16)</f>
        <v/>
      </c>
      <c r="AH171" s="6">
        <f>AI171&amp;AJ171</f>
        <v/>
      </c>
      <c r="AI171" s="6">
        <f>YEAR(AK171)</f>
        <v/>
      </c>
      <c r="AJ171" s="6">
        <f>MONTH(AK171)</f>
        <v/>
      </c>
      <c r="AK171" s="267">
        <f>IFERROR(__xludf.DUMMYFUNCTION("""COMPUTED_VALUE"""),43263.9986111111)</f>
        <v/>
      </c>
      <c r="AL171" s="6">
        <f>IFERROR(__xludf.DUMMYFUNCTION("""COMPUTED_VALUE"""),6555.48)</f>
        <v/>
      </c>
      <c r="AP171" s="6">
        <f>AQ171&amp;AR171</f>
        <v/>
      </c>
      <c r="AQ171" s="6">
        <f>YEAR(AS171)</f>
        <v/>
      </c>
      <c r="AR171" s="6">
        <f>MONTH(AS171)</f>
        <v/>
      </c>
      <c r="AS171" s="267">
        <f>IFERROR(__xludf.DUMMYFUNCTION("""COMPUTED_VALUE"""),43339.9986111111)</f>
        <v/>
      </c>
      <c r="AT171" s="6">
        <f>IFERROR(__xludf.DUMMYFUNCTION("""COMPUTED_VALUE"""),1216)</f>
        <v/>
      </c>
    </row>
    <row r="172">
      <c r="B172" s="6">
        <f>C172&amp;D172</f>
        <v/>
      </c>
      <c r="C172" s="6">
        <f>YEAR(E172)</f>
        <v/>
      </c>
      <c r="D172" s="6">
        <f>MONTH(E172)</f>
        <v/>
      </c>
      <c r="E172" s="267">
        <f>IFERROR(__xludf.DUMMYFUNCTION("""COMPUTED_VALUE"""),43339.6666666666)</f>
        <v/>
      </c>
      <c r="F172" s="6">
        <f>IFERROR(__xludf.DUMMYFUNCTION("""COMPUTED_VALUE"""),2896.74)</f>
        <v/>
      </c>
      <c r="J172" s="6">
        <f>K172&amp;L172</f>
        <v/>
      </c>
      <c r="K172" s="6">
        <f>YEAR(M172)</f>
        <v/>
      </c>
      <c r="L172" s="6">
        <f>MONTH(M172)</f>
        <v/>
      </c>
      <c r="M172" s="267">
        <f>IFERROR(__xludf.DUMMYFUNCTION("""COMPUTED_VALUE"""),43339.6666666666)</f>
        <v/>
      </c>
      <c r="N172" s="6">
        <f>IFERROR(__xludf.DUMMYFUNCTION("""COMPUTED_VALUE"""),8017.9)</f>
        <v/>
      </c>
      <c r="R172" s="6">
        <f>S172&amp;T172</f>
        <v/>
      </c>
      <c r="S172" s="6">
        <f>YEAR(U172)</f>
        <v/>
      </c>
      <c r="T172" s="6">
        <f>MONTH(U172)</f>
        <v/>
      </c>
      <c r="U172" s="267">
        <f>IFERROR(__xludf.DUMMYFUNCTION("""COMPUTED_VALUE"""),43350.6458333333)</f>
        <v/>
      </c>
      <c r="V172" s="6">
        <f>IFERROR(__xludf.DUMMYFUNCTION("""COMPUTED_VALUE"""),2281.58)</f>
        <v/>
      </c>
      <c r="Z172" s="6">
        <f>AA172&amp;AB172</f>
        <v/>
      </c>
      <c r="AA172" s="6">
        <f>YEAR(AC172)</f>
        <v/>
      </c>
      <c r="AB172" s="6">
        <f>MONTH(AC172)</f>
        <v/>
      </c>
      <c r="AC172" s="267">
        <f>IFERROR(__xludf.DUMMYFUNCTION("""COMPUTED_VALUE"""),43270.9986111111)</f>
        <v/>
      </c>
      <c r="AD172" s="6">
        <f>IFERROR(__xludf.DUMMYFUNCTION("""COMPUTED_VALUE"""),1111.12)</f>
        <v/>
      </c>
      <c r="AH172" s="6">
        <f>AI172&amp;AJ172</f>
        <v/>
      </c>
      <c r="AI172" s="6">
        <f>YEAR(AK172)</f>
        <v/>
      </c>
      <c r="AJ172" s="6">
        <f>MONTH(AK172)</f>
        <v/>
      </c>
      <c r="AK172" s="267">
        <f>IFERROR(__xludf.DUMMYFUNCTION("""COMPUTED_VALUE"""),43264.9986111111)</f>
        <v/>
      </c>
      <c r="AL172" s="6">
        <f>IFERROR(__xludf.DUMMYFUNCTION("""COMPUTED_VALUE"""),6300.96)</f>
        <v/>
      </c>
      <c r="AP172" s="6">
        <f>AQ172&amp;AR172</f>
        <v/>
      </c>
      <c r="AQ172" s="6">
        <f>YEAR(AS172)</f>
        <v/>
      </c>
      <c r="AR172" s="6">
        <f>MONTH(AS172)</f>
        <v/>
      </c>
      <c r="AS172" s="267">
        <f>IFERROR(__xludf.DUMMYFUNCTION("""COMPUTED_VALUE"""),43340.9986111111)</f>
        <v/>
      </c>
      <c r="AT172" s="6">
        <f>IFERROR(__xludf.DUMMYFUNCTION("""COMPUTED_VALUE"""),1214.4)</f>
        <v/>
      </c>
    </row>
    <row r="173">
      <c r="B173" s="6">
        <f>C173&amp;D173</f>
        <v/>
      </c>
      <c r="C173" s="6">
        <f>YEAR(E173)</f>
        <v/>
      </c>
      <c r="D173" s="6">
        <f>MONTH(E173)</f>
        <v/>
      </c>
      <c r="E173" s="267">
        <f>IFERROR(__xludf.DUMMYFUNCTION("""COMPUTED_VALUE"""),43340.6666666666)</f>
        <v/>
      </c>
      <c r="F173" s="6">
        <f>IFERROR(__xludf.DUMMYFUNCTION("""COMPUTED_VALUE"""),2897.52)</f>
        <v/>
      </c>
      <c r="J173" s="6">
        <f>K173&amp;L173</f>
        <v/>
      </c>
      <c r="K173" s="6">
        <f>YEAR(M173)</f>
        <v/>
      </c>
      <c r="L173" s="6">
        <f>MONTH(M173)</f>
        <v/>
      </c>
      <c r="M173" s="267">
        <f>IFERROR(__xludf.DUMMYFUNCTION("""COMPUTED_VALUE"""),43340.6666666666)</f>
        <v/>
      </c>
      <c r="N173" s="6">
        <f>IFERROR(__xludf.DUMMYFUNCTION("""COMPUTED_VALUE"""),8030.04)</f>
        <v/>
      </c>
      <c r="R173" s="6">
        <f>S173&amp;T173</f>
        <v/>
      </c>
      <c r="S173" s="6">
        <f>YEAR(U173)</f>
        <v/>
      </c>
      <c r="T173" s="6">
        <f>MONTH(U173)</f>
        <v/>
      </c>
      <c r="U173" s="267">
        <f>IFERROR(__xludf.DUMMYFUNCTION("""COMPUTED_VALUE"""),43353.6458333333)</f>
        <v/>
      </c>
      <c r="V173" s="6">
        <f>IFERROR(__xludf.DUMMYFUNCTION("""COMPUTED_VALUE"""),2288.66)</f>
        <v/>
      </c>
      <c r="Z173" s="6">
        <f>AA173&amp;AB173</f>
        <v/>
      </c>
      <c r="AA173" s="6">
        <f>YEAR(AC173)</f>
        <v/>
      </c>
      <c r="AB173" s="6">
        <f>MONTH(AC173)</f>
        <v/>
      </c>
      <c r="AC173" s="267">
        <f>IFERROR(__xludf.DUMMYFUNCTION("""COMPUTED_VALUE"""),43271.9986111111)</f>
        <v/>
      </c>
      <c r="AD173" s="6">
        <f>IFERROR(__xludf.DUMMYFUNCTION("""COMPUTED_VALUE"""),1107.72)</f>
        <v/>
      </c>
      <c r="AH173" s="6">
        <f>AI173&amp;AJ173</f>
        <v/>
      </c>
      <c r="AI173" s="6">
        <f>YEAR(AK173)</f>
        <v/>
      </c>
      <c r="AJ173" s="6">
        <f>MONTH(AK173)</f>
        <v/>
      </c>
      <c r="AK173" s="267">
        <f>IFERROR(__xludf.DUMMYFUNCTION("""COMPUTED_VALUE"""),43265.9986111111)</f>
        <v/>
      </c>
      <c r="AL173" s="6">
        <f>IFERROR(__xludf.DUMMYFUNCTION("""COMPUTED_VALUE"""),6636.37)</f>
        <v/>
      </c>
      <c r="AP173" s="6">
        <f>AQ173&amp;AR173</f>
        <v/>
      </c>
      <c r="AQ173" s="6">
        <f>YEAR(AS173)</f>
        <v/>
      </c>
      <c r="AR173" s="6">
        <f>MONTH(AS173)</f>
        <v/>
      </c>
      <c r="AS173" s="267">
        <f>IFERROR(__xludf.DUMMYFUNCTION("""COMPUTED_VALUE"""),43341.9986111111)</f>
        <v/>
      </c>
      <c r="AT173" s="6">
        <f>IFERROR(__xludf.DUMMYFUNCTION("""COMPUTED_VALUE"""),1211.5)</f>
        <v/>
      </c>
    </row>
    <row r="174">
      <c r="B174" s="6">
        <f>C174&amp;D174</f>
        <v/>
      </c>
      <c r="C174" s="6">
        <f>YEAR(E174)</f>
        <v/>
      </c>
      <c r="D174" s="6">
        <f>MONTH(E174)</f>
        <v/>
      </c>
      <c r="E174" s="267">
        <f>IFERROR(__xludf.DUMMYFUNCTION("""COMPUTED_VALUE"""),43341.6666666666)</f>
        <v/>
      </c>
      <c r="F174" s="6">
        <f>IFERROR(__xludf.DUMMYFUNCTION("""COMPUTED_VALUE"""),2914.04)</f>
        <v/>
      </c>
      <c r="J174" s="6">
        <f>K174&amp;L174</f>
        <v/>
      </c>
      <c r="K174" s="6">
        <f>YEAR(M174)</f>
        <v/>
      </c>
      <c r="L174" s="6">
        <f>MONTH(M174)</f>
        <v/>
      </c>
      <c r="M174" s="267">
        <f>IFERROR(__xludf.DUMMYFUNCTION("""COMPUTED_VALUE"""),43341.6666666666)</f>
        <v/>
      </c>
      <c r="N174" s="6">
        <f>IFERROR(__xludf.DUMMYFUNCTION("""COMPUTED_VALUE"""),8109.69)</f>
        <v/>
      </c>
      <c r="R174" s="6">
        <f>S174&amp;T174</f>
        <v/>
      </c>
      <c r="S174" s="6">
        <f>YEAR(U174)</f>
        <v/>
      </c>
      <c r="T174" s="6">
        <f>MONTH(U174)</f>
        <v/>
      </c>
      <c r="U174" s="267">
        <f>IFERROR(__xludf.DUMMYFUNCTION("""COMPUTED_VALUE"""),43354.6458333333)</f>
        <v/>
      </c>
      <c r="V174" s="6">
        <f>IFERROR(__xludf.DUMMYFUNCTION("""COMPUTED_VALUE"""),2283.2)</f>
        <v/>
      </c>
      <c r="Z174" s="6">
        <f>AA174&amp;AB174</f>
        <v/>
      </c>
      <c r="AA174" s="6">
        <f>YEAR(AC174)</f>
        <v/>
      </c>
      <c r="AB174" s="6">
        <f>MONTH(AC174)</f>
        <v/>
      </c>
      <c r="AC174" s="267">
        <f>IFERROR(__xludf.DUMMYFUNCTION("""COMPUTED_VALUE"""),43272.9986111111)</f>
        <v/>
      </c>
      <c r="AD174" s="6">
        <f>IFERROR(__xludf.DUMMYFUNCTION("""COMPUTED_VALUE"""),1109.63)</f>
        <v/>
      </c>
      <c r="AH174" s="6">
        <f>AI174&amp;AJ174</f>
        <v/>
      </c>
      <c r="AI174" s="6">
        <f>YEAR(AK174)</f>
        <v/>
      </c>
      <c r="AJ174" s="6">
        <f>MONTH(AK174)</f>
        <v/>
      </c>
      <c r="AK174" s="267">
        <f>IFERROR(__xludf.DUMMYFUNCTION("""COMPUTED_VALUE"""),43266.9986111111)</f>
        <v/>
      </c>
      <c r="AL174" s="6">
        <f>IFERROR(__xludf.DUMMYFUNCTION("""COMPUTED_VALUE"""),6392.43)</f>
        <v/>
      </c>
      <c r="AP174" s="6">
        <f>AQ174&amp;AR174</f>
        <v/>
      </c>
      <c r="AQ174" s="6">
        <f>YEAR(AS174)</f>
        <v/>
      </c>
      <c r="AR174" s="6">
        <f>MONTH(AS174)</f>
        <v/>
      </c>
      <c r="AS174" s="267">
        <f>IFERROR(__xludf.DUMMYFUNCTION("""COMPUTED_VALUE"""),43342.9986111111)</f>
        <v/>
      </c>
      <c r="AT174" s="6">
        <f>IFERROR(__xludf.DUMMYFUNCTION("""COMPUTED_VALUE"""),1205)</f>
        <v/>
      </c>
    </row>
    <row r="175">
      <c r="B175" s="6">
        <f>C175&amp;D175</f>
        <v/>
      </c>
      <c r="C175" s="6">
        <f>YEAR(E175)</f>
        <v/>
      </c>
      <c r="D175" s="6">
        <f>MONTH(E175)</f>
        <v/>
      </c>
      <c r="E175" s="267">
        <f>IFERROR(__xludf.DUMMYFUNCTION("""COMPUTED_VALUE"""),43342.6666666666)</f>
        <v/>
      </c>
      <c r="F175" s="6">
        <f>IFERROR(__xludf.DUMMYFUNCTION("""COMPUTED_VALUE"""),2901.13)</f>
        <v/>
      </c>
      <c r="J175" s="6">
        <f>K175&amp;L175</f>
        <v/>
      </c>
      <c r="K175" s="6">
        <f>YEAR(M175)</f>
        <v/>
      </c>
      <c r="L175" s="6">
        <f>MONTH(M175)</f>
        <v/>
      </c>
      <c r="M175" s="267">
        <f>IFERROR(__xludf.DUMMYFUNCTION("""COMPUTED_VALUE"""),43342.6666666666)</f>
        <v/>
      </c>
      <c r="N175" s="6">
        <f>IFERROR(__xludf.DUMMYFUNCTION("""COMPUTED_VALUE"""),8088.36)</f>
        <v/>
      </c>
      <c r="R175" s="6">
        <f>S175&amp;T175</f>
        <v/>
      </c>
      <c r="S175" s="6">
        <f>YEAR(U175)</f>
        <v/>
      </c>
      <c r="T175" s="6">
        <f>MONTH(U175)</f>
        <v/>
      </c>
      <c r="U175" s="267">
        <f>IFERROR(__xludf.DUMMYFUNCTION("""COMPUTED_VALUE"""),43355.6458333333)</f>
        <v/>
      </c>
      <c r="V175" s="6">
        <f>IFERROR(__xludf.DUMMYFUNCTION("""COMPUTED_VALUE"""),2282.92)</f>
        <v/>
      </c>
      <c r="Z175" s="6">
        <f>AA175&amp;AB175</f>
        <v/>
      </c>
      <c r="AA175" s="6">
        <f>YEAR(AC175)</f>
        <v/>
      </c>
      <c r="AB175" s="6">
        <f>MONTH(AC175)</f>
        <v/>
      </c>
      <c r="AC175" s="267">
        <f>IFERROR(__xludf.DUMMYFUNCTION("""COMPUTED_VALUE"""),43273.9986111111)</f>
        <v/>
      </c>
      <c r="AD175" s="6">
        <f>IFERROR(__xludf.DUMMYFUNCTION("""COMPUTED_VALUE"""),1111.05)</f>
        <v/>
      </c>
      <c r="AH175" s="6">
        <f>AI175&amp;AJ175</f>
        <v/>
      </c>
      <c r="AI175" s="6">
        <f>YEAR(AK175)</f>
        <v/>
      </c>
      <c r="AJ175" s="6">
        <f>MONTH(AK175)</f>
        <v/>
      </c>
      <c r="AK175" s="267">
        <f>IFERROR(__xludf.DUMMYFUNCTION("""COMPUTED_VALUE"""),43267.9986111111)</f>
        <v/>
      </c>
      <c r="AL175" s="6">
        <f>IFERROR(__xludf.DUMMYFUNCTION("""COMPUTED_VALUE"""),6491.74)</f>
        <v/>
      </c>
      <c r="AP175" s="6">
        <f>AQ175&amp;AR175</f>
        <v/>
      </c>
      <c r="AQ175" s="6">
        <f>YEAR(AS175)</f>
        <v/>
      </c>
      <c r="AR175" s="6">
        <f>MONTH(AS175)</f>
        <v/>
      </c>
      <c r="AS175" s="267">
        <f>IFERROR(__xludf.DUMMYFUNCTION("""COMPUTED_VALUE"""),43343.9986111111)</f>
        <v/>
      </c>
      <c r="AT175" s="6">
        <f>IFERROR(__xludf.DUMMYFUNCTION("""COMPUTED_VALUE"""),1206.7)</f>
        <v/>
      </c>
    </row>
    <row r="176">
      <c r="B176" s="6">
        <f>C176&amp;D176</f>
        <v/>
      </c>
      <c r="C176" s="6">
        <f>YEAR(E176)</f>
        <v/>
      </c>
      <c r="D176" s="6">
        <f>MONTH(E176)</f>
        <v/>
      </c>
      <c r="E176" s="267">
        <f>IFERROR(__xludf.DUMMYFUNCTION("""COMPUTED_VALUE"""),43343.6666666666)</f>
        <v/>
      </c>
      <c r="F176" s="6">
        <f>IFERROR(__xludf.DUMMYFUNCTION("""COMPUTED_VALUE"""),2901.52)</f>
        <v/>
      </c>
      <c r="J176" s="6">
        <f>K176&amp;L176</f>
        <v/>
      </c>
      <c r="K176" s="6">
        <f>YEAR(M176)</f>
        <v/>
      </c>
      <c r="L176" s="6">
        <f>MONTH(M176)</f>
        <v/>
      </c>
      <c r="M176" s="267">
        <f>IFERROR(__xludf.DUMMYFUNCTION("""COMPUTED_VALUE"""),43343.6666666666)</f>
        <v/>
      </c>
      <c r="N176" s="6">
        <f>IFERROR(__xludf.DUMMYFUNCTION("""COMPUTED_VALUE"""),8109.54)</f>
        <v/>
      </c>
      <c r="R176" s="6">
        <f>S176&amp;T176</f>
        <v/>
      </c>
      <c r="S176" s="6">
        <f>YEAR(U176)</f>
        <v/>
      </c>
      <c r="T176" s="6">
        <f>MONTH(U176)</f>
        <v/>
      </c>
      <c r="U176" s="267">
        <f>IFERROR(__xludf.DUMMYFUNCTION("""COMPUTED_VALUE"""),43356.6458333333)</f>
        <v/>
      </c>
      <c r="V176" s="6">
        <f>IFERROR(__xludf.DUMMYFUNCTION("""COMPUTED_VALUE"""),2286.23)</f>
        <v/>
      </c>
      <c r="Z176" s="6">
        <f>AA176&amp;AB176</f>
        <v/>
      </c>
      <c r="AA176" s="6">
        <f>YEAR(AC176)</f>
        <v/>
      </c>
      <c r="AB176" s="6">
        <f>MONTH(AC176)</f>
        <v/>
      </c>
      <c r="AC176" s="267">
        <f>IFERROR(__xludf.DUMMYFUNCTION("""COMPUTED_VALUE"""),43275.9986111111)</f>
        <v/>
      </c>
      <c r="AD176" s="6">
        <f>IFERROR(__xludf.DUMMYFUNCTION("""COMPUTED_VALUE"""),1110.53)</f>
        <v/>
      </c>
      <c r="AH176" s="6">
        <f>AI176&amp;AJ176</f>
        <v/>
      </c>
      <c r="AI176" s="6">
        <f>YEAR(AK176)</f>
        <v/>
      </c>
      <c r="AJ176" s="6">
        <f>MONTH(AK176)</f>
        <v/>
      </c>
      <c r="AK176" s="267">
        <f>IFERROR(__xludf.DUMMYFUNCTION("""COMPUTED_VALUE"""),43268.9986111111)</f>
        <v/>
      </c>
      <c r="AL176" s="6">
        <f>IFERROR(__xludf.DUMMYFUNCTION("""COMPUTED_VALUE"""),6460.24)</f>
        <v/>
      </c>
      <c r="AP176" s="6">
        <f>AQ176&amp;AR176</f>
        <v/>
      </c>
      <c r="AQ176" s="6">
        <f>YEAR(AS176)</f>
        <v/>
      </c>
      <c r="AR176" s="6">
        <f>MONTH(AS176)</f>
        <v/>
      </c>
      <c r="AS176" s="267">
        <f>IFERROR(__xludf.DUMMYFUNCTION("""COMPUTED_VALUE"""),43347.9986111111)</f>
        <v/>
      </c>
      <c r="AT176" s="6">
        <f>IFERROR(__xludf.DUMMYFUNCTION("""COMPUTED_VALUE"""),1199.1)</f>
        <v/>
      </c>
    </row>
    <row r="177">
      <c r="B177" s="6">
        <f>C177&amp;D177</f>
        <v/>
      </c>
      <c r="C177" s="6">
        <f>YEAR(E177)</f>
        <v/>
      </c>
      <c r="D177" s="6">
        <f>MONTH(E177)</f>
        <v/>
      </c>
      <c r="E177" s="267">
        <f>IFERROR(__xludf.DUMMYFUNCTION("""COMPUTED_VALUE"""),43347.6666666666)</f>
        <v/>
      </c>
      <c r="F177" s="6">
        <f>IFERROR(__xludf.DUMMYFUNCTION("""COMPUTED_VALUE"""),2896.72)</f>
        <v/>
      </c>
      <c r="J177" s="6">
        <f>K177&amp;L177</f>
        <v/>
      </c>
      <c r="K177" s="6">
        <f>YEAR(M177)</f>
        <v/>
      </c>
      <c r="L177" s="6">
        <f>MONTH(M177)</f>
        <v/>
      </c>
      <c r="M177" s="267">
        <f>IFERROR(__xludf.DUMMYFUNCTION("""COMPUTED_VALUE"""),43347.6666666666)</f>
        <v/>
      </c>
      <c r="N177" s="6">
        <f>IFERROR(__xludf.DUMMYFUNCTION("""COMPUTED_VALUE"""),8091.25)</f>
        <v/>
      </c>
      <c r="R177" s="6">
        <f>S177&amp;T177</f>
        <v/>
      </c>
      <c r="S177" s="6">
        <f>YEAR(U177)</f>
        <v/>
      </c>
      <c r="T177" s="6">
        <f>MONTH(U177)</f>
        <v/>
      </c>
      <c r="U177" s="267">
        <f>IFERROR(__xludf.DUMMYFUNCTION("""COMPUTED_VALUE"""),43357.6458333333)</f>
        <v/>
      </c>
      <c r="V177" s="6">
        <f>IFERROR(__xludf.DUMMYFUNCTION("""COMPUTED_VALUE"""),2318.25)</f>
        <v/>
      </c>
      <c r="Z177" s="6">
        <f>AA177&amp;AB177</f>
        <v/>
      </c>
      <c r="AA177" s="6">
        <f>YEAR(AC177)</f>
        <v/>
      </c>
      <c r="AB177" s="6">
        <f>MONTH(AC177)</f>
        <v/>
      </c>
      <c r="AC177" s="267">
        <f>IFERROR(__xludf.DUMMYFUNCTION("""COMPUTED_VALUE"""),43276.9986111111)</f>
        <v/>
      </c>
      <c r="AD177" s="6">
        <f>IFERROR(__xludf.DUMMYFUNCTION("""COMPUTED_VALUE"""),1114.03)</f>
        <v/>
      </c>
      <c r="AH177" s="6">
        <f>AI177&amp;AJ177</f>
        <v/>
      </c>
      <c r="AI177" s="6">
        <f>YEAR(AK177)</f>
        <v/>
      </c>
      <c r="AJ177" s="6">
        <f>MONTH(AK177)</f>
        <v/>
      </c>
      <c r="AK177" s="267">
        <f>IFERROR(__xludf.DUMMYFUNCTION("""COMPUTED_VALUE"""),43269.9986111111)</f>
        <v/>
      </c>
      <c r="AL177" s="6">
        <f>IFERROR(__xludf.DUMMYFUNCTION("""COMPUTED_VALUE"""),6711.79)</f>
        <v/>
      </c>
      <c r="AP177" s="6">
        <f>AQ177&amp;AR177</f>
        <v/>
      </c>
      <c r="AQ177" s="6">
        <f>YEAR(AS177)</f>
        <v/>
      </c>
      <c r="AR177" s="6">
        <f>MONTH(AS177)</f>
        <v/>
      </c>
      <c r="AS177" s="267">
        <f>IFERROR(__xludf.DUMMYFUNCTION("""COMPUTED_VALUE"""),43348.9986111111)</f>
        <v/>
      </c>
      <c r="AT177" s="6">
        <f>IFERROR(__xludf.DUMMYFUNCTION("""COMPUTED_VALUE"""),1201.3)</f>
        <v/>
      </c>
    </row>
    <row r="178">
      <c r="B178" s="6">
        <f>C178&amp;D178</f>
        <v/>
      </c>
      <c r="C178" s="6">
        <f>YEAR(E178)</f>
        <v/>
      </c>
      <c r="D178" s="6">
        <f>MONTH(E178)</f>
        <v/>
      </c>
      <c r="E178" s="267">
        <f>IFERROR(__xludf.DUMMYFUNCTION("""COMPUTED_VALUE"""),43348.6666666666)</f>
        <v/>
      </c>
      <c r="F178" s="6">
        <f>IFERROR(__xludf.DUMMYFUNCTION("""COMPUTED_VALUE"""),2888.6)</f>
        <v/>
      </c>
      <c r="J178" s="6">
        <f>K178&amp;L178</f>
        <v/>
      </c>
      <c r="K178" s="6">
        <f>YEAR(M178)</f>
        <v/>
      </c>
      <c r="L178" s="6">
        <f>MONTH(M178)</f>
        <v/>
      </c>
      <c r="M178" s="267">
        <f>IFERROR(__xludf.DUMMYFUNCTION("""COMPUTED_VALUE"""),43348.6666666666)</f>
        <v/>
      </c>
      <c r="N178" s="6">
        <f>IFERROR(__xludf.DUMMYFUNCTION("""COMPUTED_VALUE"""),7995.17)</f>
        <v/>
      </c>
      <c r="R178" s="6">
        <f>S178&amp;T178</f>
        <v/>
      </c>
      <c r="S178" s="6">
        <f>YEAR(U178)</f>
        <v/>
      </c>
      <c r="T178" s="6">
        <f>MONTH(U178)</f>
        <v/>
      </c>
      <c r="U178" s="267">
        <f>IFERROR(__xludf.DUMMYFUNCTION("""COMPUTED_VALUE"""),43360.6458333333)</f>
        <v/>
      </c>
      <c r="V178" s="6">
        <f>IFERROR(__xludf.DUMMYFUNCTION("""COMPUTED_VALUE"""),2303.01)</f>
        <v/>
      </c>
      <c r="Z178" s="6">
        <f>AA178&amp;AB178</f>
        <v/>
      </c>
      <c r="AA178" s="6">
        <f>YEAR(AC178)</f>
        <v/>
      </c>
      <c r="AB178" s="6">
        <f>MONTH(AC178)</f>
        <v/>
      </c>
      <c r="AC178" s="267">
        <f>IFERROR(__xludf.DUMMYFUNCTION("""COMPUTED_VALUE"""),43277.9986111111)</f>
        <v/>
      </c>
      <c r="AD178" s="6">
        <f>IFERROR(__xludf.DUMMYFUNCTION("""COMPUTED_VALUE"""),1117.6)</f>
        <v/>
      </c>
      <c r="AH178" s="6">
        <f>AI178&amp;AJ178</f>
        <v/>
      </c>
      <c r="AI178" s="6">
        <f>YEAR(AK178)</f>
        <v/>
      </c>
      <c r="AJ178" s="6">
        <f>MONTH(AK178)</f>
        <v/>
      </c>
      <c r="AK178" s="267">
        <f>IFERROR(__xludf.DUMMYFUNCTION("""COMPUTED_VALUE"""),43270.9986111111)</f>
        <v/>
      </c>
      <c r="AL178" s="6">
        <f>IFERROR(__xludf.DUMMYFUNCTION("""COMPUTED_VALUE"""),6735.74)</f>
        <v/>
      </c>
      <c r="AP178" s="6">
        <f>AQ178&amp;AR178</f>
        <v/>
      </c>
      <c r="AQ178" s="6">
        <f>YEAR(AS178)</f>
        <v/>
      </c>
      <c r="AR178" s="6">
        <f>MONTH(AS178)</f>
        <v/>
      </c>
      <c r="AS178" s="267">
        <f>IFERROR(__xludf.DUMMYFUNCTION("""COMPUTED_VALUE"""),43349.9986111111)</f>
        <v/>
      </c>
      <c r="AT178" s="6">
        <f>IFERROR(__xludf.DUMMYFUNCTION("""COMPUTED_VALUE"""),1204.3)</f>
        <v/>
      </c>
    </row>
    <row r="179">
      <c r="B179" s="6">
        <f>C179&amp;D179</f>
        <v/>
      </c>
      <c r="C179" s="6">
        <f>YEAR(E179)</f>
        <v/>
      </c>
      <c r="D179" s="6">
        <f>MONTH(E179)</f>
        <v/>
      </c>
      <c r="E179" s="267">
        <f>IFERROR(__xludf.DUMMYFUNCTION("""COMPUTED_VALUE"""),43349.6666666666)</f>
        <v/>
      </c>
      <c r="F179" s="6">
        <f>IFERROR(__xludf.DUMMYFUNCTION("""COMPUTED_VALUE"""),2878.05)</f>
        <v/>
      </c>
      <c r="J179" s="6">
        <f>K179&amp;L179</f>
        <v/>
      </c>
      <c r="K179" s="6">
        <f>YEAR(M179)</f>
        <v/>
      </c>
      <c r="L179" s="6">
        <f>MONTH(M179)</f>
        <v/>
      </c>
      <c r="M179" s="267">
        <f>IFERROR(__xludf.DUMMYFUNCTION("""COMPUTED_VALUE"""),43349.6666666666)</f>
        <v/>
      </c>
      <c r="N179" s="6">
        <f>IFERROR(__xludf.DUMMYFUNCTION("""COMPUTED_VALUE"""),7922.73)</f>
        <v/>
      </c>
      <c r="R179" s="6">
        <f>S179&amp;T179</f>
        <v/>
      </c>
      <c r="S179" s="6">
        <f>YEAR(U179)</f>
        <v/>
      </c>
      <c r="T179" s="6">
        <f>MONTH(U179)</f>
        <v/>
      </c>
      <c r="U179" s="267">
        <f>IFERROR(__xludf.DUMMYFUNCTION("""COMPUTED_VALUE"""),43361.6458333333)</f>
        <v/>
      </c>
      <c r="V179" s="6">
        <f>IFERROR(__xludf.DUMMYFUNCTION("""COMPUTED_VALUE"""),2308.98)</f>
        <v/>
      </c>
      <c r="Z179" s="6">
        <f>AA179&amp;AB179</f>
        <v/>
      </c>
      <c r="AA179" s="6">
        <f>YEAR(AC179)</f>
        <v/>
      </c>
      <c r="AB179" s="6">
        <f>MONTH(AC179)</f>
        <v/>
      </c>
      <c r="AC179" s="267">
        <f>IFERROR(__xludf.DUMMYFUNCTION("""COMPUTED_VALUE"""),43278.9986111111)</f>
        <v/>
      </c>
      <c r="AD179" s="6">
        <f>IFERROR(__xludf.DUMMYFUNCTION("""COMPUTED_VALUE"""),1122.78)</f>
        <v/>
      </c>
      <c r="AH179" s="6">
        <f>AI179&amp;AJ179</f>
        <v/>
      </c>
      <c r="AI179" s="6">
        <f>YEAR(AK179)</f>
        <v/>
      </c>
      <c r="AJ179" s="6">
        <f>MONTH(AK179)</f>
        <v/>
      </c>
      <c r="AK179" s="267">
        <f>IFERROR(__xludf.DUMMYFUNCTION("""COMPUTED_VALUE"""),43271.9986111111)</f>
        <v/>
      </c>
      <c r="AL179" s="6">
        <f>IFERROR(__xludf.DUMMYFUNCTION("""COMPUTED_VALUE"""),6759.87)</f>
        <v/>
      </c>
      <c r="AP179" s="6">
        <f>AQ179&amp;AR179</f>
        <v/>
      </c>
      <c r="AQ179" s="6">
        <f>YEAR(AS179)</f>
        <v/>
      </c>
      <c r="AR179" s="6">
        <f>MONTH(AS179)</f>
        <v/>
      </c>
      <c r="AS179" s="267">
        <f>IFERROR(__xludf.DUMMYFUNCTION("""COMPUTED_VALUE"""),43350.9986111111)</f>
        <v/>
      </c>
      <c r="AT179" s="6">
        <f>IFERROR(__xludf.DUMMYFUNCTION("""COMPUTED_VALUE"""),1200.4)</f>
        <v/>
      </c>
    </row>
    <row r="180">
      <c r="B180" s="6">
        <f>C180&amp;D180</f>
        <v/>
      </c>
      <c r="C180" s="6">
        <f>YEAR(E180)</f>
        <v/>
      </c>
      <c r="D180" s="6">
        <f>MONTH(E180)</f>
        <v/>
      </c>
      <c r="E180" s="267">
        <f>IFERROR(__xludf.DUMMYFUNCTION("""COMPUTED_VALUE"""),43350.6666666666)</f>
        <v/>
      </c>
      <c r="F180" s="6">
        <f>IFERROR(__xludf.DUMMYFUNCTION("""COMPUTED_VALUE"""),2871.68)</f>
        <v/>
      </c>
      <c r="J180" s="6">
        <f>K180&amp;L180</f>
        <v/>
      </c>
      <c r="K180" s="6">
        <f>YEAR(M180)</f>
        <v/>
      </c>
      <c r="L180" s="6">
        <f>MONTH(M180)</f>
        <v/>
      </c>
      <c r="M180" s="267">
        <f>IFERROR(__xludf.DUMMYFUNCTION("""COMPUTED_VALUE"""),43350.6666666666)</f>
        <v/>
      </c>
      <c r="N180" s="6">
        <f>IFERROR(__xludf.DUMMYFUNCTION("""COMPUTED_VALUE"""),7902.54)</f>
        <v/>
      </c>
      <c r="R180" s="6">
        <f>S180&amp;T180</f>
        <v/>
      </c>
      <c r="S180" s="6">
        <f>YEAR(U180)</f>
        <v/>
      </c>
      <c r="T180" s="6">
        <f>MONTH(U180)</f>
        <v/>
      </c>
      <c r="U180" s="267">
        <f>IFERROR(__xludf.DUMMYFUNCTION("""COMPUTED_VALUE"""),43362.6458333333)</f>
        <v/>
      </c>
      <c r="V180" s="6">
        <f>IFERROR(__xludf.DUMMYFUNCTION("""COMPUTED_VALUE"""),2308.46)</f>
        <v/>
      </c>
      <c r="Z180" s="6">
        <f>AA180&amp;AB180</f>
        <v/>
      </c>
      <c r="AA180" s="6">
        <f>YEAR(AC180)</f>
        <v/>
      </c>
      <c r="AB180" s="6">
        <f>MONTH(AC180)</f>
        <v/>
      </c>
      <c r="AC180" s="267">
        <f>IFERROR(__xludf.DUMMYFUNCTION("""COMPUTED_VALUE"""),43279.9986111111)</f>
        <v/>
      </c>
      <c r="AD180" s="6">
        <f>IFERROR(__xludf.DUMMYFUNCTION("""COMPUTED_VALUE"""),1120.54)</f>
        <v/>
      </c>
      <c r="AH180" s="6">
        <f>AI180&amp;AJ180</f>
        <v/>
      </c>
      <c r="AI180" s="6">
        <f>YEAR(AK180)</f>
        <v/>
      </c>
      <c r="AJ180" s="6">
        <f>MONTH(AK180)</f>
        <v/>
      </c>
      <c r="AK180" s="267">
        <f>IFERROR(__xludf.DUMMYFUNCTION("""COMPUTED_VALUE"""),43272.9986111111)</f>
        <v/>
      </c>
      <c r="AL180" s="6">
        <f>IFERROR(__xludf.DUMMYFUNCTION("""COMPUTED_VALUE"""),6720.37)</f>
        <v/>
      </c>
      <c r="AP180" s="6">
        <f>AQ180&amp;AR180</f>
        <v/>
      </c>
      <c r="AQ180" s="6">
        <f>YEAR(AS180)</f>
        <v/>
      </c>
      <c r="AR180" s="6">
        <f>MONTH(AS180)</f>
        <v/>
      </c>
      <c r="AS180" s="267">
        <f>IFERROR(__xludf.DUMMYFUNCTION("""COMPUTED_VALUE"""),43353.9986111111)</f>
        <v/>
      </c>
      <c r="AT180" s="6">
        <f>IFERROR(__xludf.DUMMYFUNCTION("""COMPUTED_VALUE"""),1199.8)</f>
        <v/>
      </c>
    </row>
    <row r="181">
      <c r="B181" s="6">
        <f>C181&amp;D181</f>
        <v/>
      </c>
      <c r="C181" s="6">
        <f>YEAR(E181)</f>
        <v/>
      </c>
      <c r="D181" s="6">
        <f>MONTH(E181)</f>
        <v/>
      </c>
      <c r="E181" s="267">
        <f>IFERROR(__xludf.DUMMYFUNCTION("""COMPUTED_VALUE"""),43353.6666666666)</f>
        <v/>
      </c>
      <c r="F181" s="6">
        <f>IFERROR(__xludf.DUMMYFUNCTION("""COMPUTED_VALUE"""),2877.13)</f>
        <v/>
      </c>
      <c r="J181" s="6">
        <f>K181&amp;L181</f>
        <v/>
      </c>
      <c r="K181" s="6">
        <f>YEAR(M181)</f>
        <v/>
      </c>
      <c r="L181" s="6">
        <f>MONTH(M181)</f>
        <v/>
      </c>
      <c r="M181" s="267">
        <f>IFERROR(__xludf.DUMMYFUNCTION("""COMPUTED_VALUE"""),43353.6666666666)</f>
        <v/>
      </c>
      <c r="N181" s="6">
        <f>IFERROR(__xludf.DUMMYFUNCTION("""COMPUTED_VALUE"""),7924.16)</f>
        <v/>
      </c>
      <c r="R181" s="6">
        <f>S181&amp;T181</f>
        <v/>
      </c>
      <c r="S181" s="6">
        <f>YEAR(U181)</f>
        <v/>
      </c>
      <c r="T181" s="6">
        <f>MONTH(U181)</f>
        <v/>
      </c>
      <c r="U181" s="267">
        <f>IFERROR(__xludf.DUMMYFUNCTION("""COMPUTED_VALUE"""),43363.6458333333)</f>
        <v/>
      </c>
      <c r="V181" s="6">
        <f>IFERROR(__xludf.DUMMYFUNCTION("""COMPUTED_VALUE"""),2323.45)</f>
        <v/>
      </c>
      <c r="Z181" s="6">
        <f>AA181&amp;AB181</f>
        <v/>
      </c>
      <c r="AA181" s="6">
        <f>YEAR(AC181)</f>
        <v/>
      </c>
      <c r="AB181" s="6">
        <f>MONTH(AC181)</f>
        <v/>
      </c>
      <c r="AC181" s="267">
        <f>IFERROR(__xludf.DUMMYFUNCTION("""COMPUTED_VALUE"""),43280.9986111111)</f>
        <v/>
      </c>
      <c r="AD181" s="6">
        <f>IFERROR(__xludf.DUMMYFUNCTION("""COMPUTED_VALUE"""),1113.98)</f>
        <v/>
      </c>
      <c r="AH181" s="6">
        <f>AI181&amp;AJ181</f>
        <v/>
      </c>
      <c r="AI181" s="6">
        <f>YEAR(AK181)</f>
        <v/>
      </c>
      <c r="AJ181" s="6">
        <f>MONTH(AK181)</f>
        <v/>
      </c>
      <c r="AK181" s="267">
        <f>IFERROR(__xludf.DUMMYFUNCTION("""COMPUTED_VALUE"""),43273.9986111111)</f>
        <v/>
      </c>
      <c r="AL181" s="6">
        <f>IFERROR(__xludf.DUMMYFUNCTION("""COMPUTED_VALUE"""),6044.73)</f>
        <v/>
      </c>
      <c r="AP181" s="6">
        <f>AQ181&amp;AR181</f>
        <v/>
      </c>
      <c r="AQ181" s="6">
        <f>YEAR(AS181)</f>
        <v/>
      </c>
      <c r="AR181" s="6">
        <f>MONTH(AS181)</f>
        <v/>
      </c>
      <c r="AS181" s="267">
        <f>IFERROR(__xludf.DUMMYFUNCTION("""COMPUTED_VALUE"""),43354.9986111111)</f>
        <v/>
      </c>
      <c r="AT181" s="6">
        <f>IFERROR(__xludf.DUMMYFUNCTION("""COMPUTED_VALUE"""),1202.2)</f>
        <v/>
      </c>
    </row>
    <row r="182">
      <c r="B182" s="6">
        <f>C182&amp;D182</f>
        <v/>
      </c>
      <c r="C182" s="6">
        <f>YEAR(E182)</f>
        <v/>
      </c>
      <c r="D182" s="6">
        <f>MONTH(E182)</f>
        <v/>
      </c>
      <c r="E182" s="267">
        <f>IFERROR(__xludf.DUMMYFUNCTION("""COMPUTED_VALUE"""),43354.6666666666)</f>
        <v/>
      </c>
      <c r="F182" s="6">
        <f>IFERROR(__xludf.DUMMYFUNCTION("""COMPUTED_VALUE"""),2887.89)</f>
        <v/>
      </c>
      <c r="J182" s="6">
        <f>K182&amp;L182</f>
        <v/>
      </c>
      <c r="K182" s="6">
        <f>YEAR(M182)</f>
        <v/>
      </c>
      <c r="L182" s="6">
        <f>MONTH(M182)</f>
        <v/>
      </c>
      <c r="M182" s="267">
        <f>IFERROR(__xludf.DUMMYFUNCTION("""COMPUTED_VALUE"""),43354.6666666666)</f>
        <v/>
      </c>
      <c r="N182" s="6">
        <f>IFERROR(__xludf.DUMMYFUNCTION("""COMPUTED_VALUE"""),7972.47)</f>
        <v/>
      </c>
      <c r="R182" s="6">
        <f>S182&amp;T182</f>
        <v/>
      </c>
      <c r="S182" s="6">
        <f>YEAR(U182)</f>
        <v/>
      </c>
      <c r="T182" s="6">
        <f>MONTH(U182)</f>
        <v/>
      </c>
      <c r="U182" s="267">
        <f>IFERROR(__xludf.DUMMYFUNCTION("""COMPUTED_VALUE"""),43364.6458333333)</f>
        <v/>
      </c>
      <c r="V182" s="6">
        <f>IFERROR(__xludf.DUMMYFUNCTION("""COMPUTED_VALUE"""),2339.17)</f>
        <v/>
      </c>
      <c r="Z182" s="6">
        <f>AA182&amp;AB182</f>
        <v/>
      </c>
      <c r="AA182" s="6">
        <f>YEAR(AC182)</f>
        <v/>
      </c>
      <c r="AB182" s="6">
        <f>MONTH(AC182)</f>
        <v/>
      </c>
      <c r="AC182" s="267">
        <f>IFERROR(__xludf.DUMMYFUNCTION("""COMPUTED_VALUE"""),43281.9986111111)</f>
        <v/>
      </c>
      <c r="AD182" s="6">
        <f>IFERROR(__xludf.DUMMYFUNCTION("""COMPUTED_VALUE"""),1113.92)</f>
        <v/>
      </c>
      <c r="AH182" s="6">
        <f>AI182&amp;AJ182</f>
        <v/>
      </c>
      <c r="AI182" s="6">
        <f>YEAR(AK182)</f>
        <v/>
      </c>
      <c r="AJ182" s="6">
        <f>MONTH(AK182)</f>
        <v/>
      </c>
      <c r="AK182" s="267">
        <f>IFERROR(__xludf.DUMMYFUNCTION("""COMPUTED_VALUE"""),43274.9986111111)</f>
        <v/>
      </c>
      <c r="AL182" s="6">
        <f>IFERROR(__xludf.DUMMYFUNCTION("""COMPUTED_VALUE"""),6177.48)</f>
        <v/>
      </c>
      <c r="AP182" s="6">
        <f>AQ182&amp;AR182</f>
        <v/>
      </c>
      <c r="AQ182" s="6">
        <f>YEAR(AS182)</f>
        <v/>
      </c>
      <c r="AR182" s="6">
        <f>MONTH(AS182)</f>
        <v/>
      </c>
      <c r="AS182" s="267">
        <f>IFERROR(__xludf.DUMMYFUNCTION("""COMPUTED_VALUE"""),43355.9986111111)</f>
        <v/>
      </c>
      <c r="AT182" s="6">
        <f>IFERROR(__xludf.DUMMYFUNCTION("""COMPUTED_VALUE"""),1210.9)</f>
        <v/>
      </c>
    </row>
    <row r="183">
      <c r="B183" s="6">
        <f>C183&amp;D183</f>
        <v/>
      </c>
      <c r="C183" s="6">
        <f>YEAR(E183)</f>
        <v/>
      </c>
      <c r="D183" s="6">
        <f>MONTH(E183)</f>
        <v/>
      </c>
      <c r="E183" s="267">
        <f>IFERROR(__xludf.DUMMYFUNCTION("""COMPUTED_VALUE"""),43355.6666666666)</f>
        <v/>
      </c>
      <c r="F183" s="6">
        <f>IFERROR(__xludf.DUMMYFUNCTION("""COMPUTED_VALUE"""),2888.92)</f>
        <v/>
      </c>
      <c r="J183" s="6">
        <f>K183&amp;L183</f>
        <v/>
      </c>
      <c r="K183" s="6">
        <f>YEAR(M183)</f>
        <v/>
      </c>
      <c r="L183" s="6">
        <f>MONTH(M183)</f>
        <v/>
      </c>
      <c r="M183" s="267">
        <f>IFERROR(__xludf.DUMMYFUNCTION("""COMPUTED_VALUE"""),43355.6666666666)</f>
        <v/>
      </c>
      <c r="N183" s="6">
        <f>IFERROR(__xludf.DUMMYFUNCTION("""COMPUTED_VALUE"""),7954.23)</f>
        <v/>
      </c>
      <c r="R183" s="6">
        <f>S183&amp;T183</f>
        <v/>
      </c>
      <c r="S183" s="6">
        <f>YEAR(U183)</f>
        <v/>
      </c>
      <c r="T183" s="6">
        <f>MONTH(U183)</f>
        <v/>
      </c>
      <c r="U183" s="267">
        <f>IFERROR(__xludf.DUMMYFUNCTION("""COMPUTED_VALUE"""),43370.6458333333)</f>
        <v/>
      </c>
      <c r="V183" s="6">
        <f>IFERROR(__xludf.DUMMYFUNCTION("""COMPUTED_VALUE"""),2355.43)</f>
        <v/>
      </c>
      <c r="Z183" s="6">
        <f>AA183&amp;AB183</f>
        <v/>
      </c>
      <c r="AA183" s="6">
        <f>YEAR(AC183)</f>
        <v/>
      </c>
      <c r="AB183" s="6">
        <f>MONTH(AC183)</f>
        <v/>
      </c>
      <c r="AC183" s="267">
        <f>IFERROR(__xludf.DUMMYFUNCTION("""COMPUTED_VALUE"""),43282.9986111111)</f>
        <v/>
      </c>
      <c r="AD183" s="6">
        <f>IFERROR(__xludf.DUMMYFUNCTION("""COMPUTED_VALUE"""),1114.51)</f>
        <v/>
      </c>
      <c r="AH183" s="6">
        <f>AI183&amp;AJ183</f>
        <v/>
      </c>
      <c r="AI183" s="6">
        <f>YEAR(AK183)</f>
        <v/>
      </c>
      <c r="AJ183" s="6">
        <f>MONTH(AK183)</f>
        <v/>
      </c>
      <c r="AK183" s="267">
        <f>IFERROR(__xludf.DUMMYFUNCTION("""COMPUTED_VALUE"""),43275.9986111111)</f>
        <v/>
      </c>
      <c r="AL183" s="6">
        <f>IFERROR(__xludf.DUMMYFUNCTION("""COMPUTED_VALUE"""),6148.53)</f>
        <v/>
      </c>
      <c r="AP183" s="6">
        <f>AQ183&amp;AR183</f>
        <v/>
      </c>
      <c r="AQ183" s="6">
        <f>YEAR(AS183)</f>
        <v/>
      </c>
      <c r="AR183" s="6">
        <f>MONTH(AS183)</f>
        <v/>
      </c>
      <c r="AS183" s="267">
        <f>IFERROR(__xludf.DUMMYFUNCTION("""COMPUTED_VALUE"""),43356.9986111111)</f>
        <v/>
      </c>
      <c r="AT183" s="6">
        <f>IFERROR(__xludf.DUMMYFUNCTION("""COMPUTED_VALUE"""),1208.2)</f>
        <v/>
      </c>
    </row>
    <row r="184">
      <c r="B184" s="6">
        <f>C184&amp;D184</f>
        <v/>
      </c>
      <c r="C184" s="6">
        <f>YEAR(E184)</f>
        <v/>
      </c>
      <c r="D184" s="6">
        <f>MONTH(E184)</f>
        <v/>
      </c>
      <c r="E184" s="267">
        <f>IFERROR(__xludf.DUMMYFUNCTION("""COMPUTED_VALUE"""),43356.6666666666)</f>
        <v/>
      </c>
      <c r="F184" s="6">
        <f>IFERROR(__xludf.DUMMYFUNCTION("""COMPUTED_VALUE"""),2904.18)</f>
        <v/>
      </c>
      <c r="J184" s="6">
        <f>K184&amp;L184</f>
        <v/>
      </c>
      <c r="K184" s="6">
        <f>YEAR(M184)</f>
        <v/>
      </c>
      <c r="L184" s="6">
        <f>MONTH(M184)</f>
        <v/>
      </c>
      <c r="M184" s="267">
        <f>IFERROR(__xludf.DUMMYFUNCTION("""COMPUTED_VALUE"""),43356.6666666666)</f>
        <v/>
      </c>
      <c r="N184" s="6">
        <f>IFERROR(__xludf.DUMMYFUNCTION("""COMPUTED_VALUE"""),8013.71)</f>
        <v/>
      </c>
      <c r="R184" s="6">
        <f>S184&amp;T184</f>
        <v/>
      </c>
      <c r="S184" s="6">
        <f>YEAR(U184)</f>
        <v/>
      </c>
      <c r="T184" s="6">
        <f>MONTH(U184)</f>
        <v/>
      </c>
      <c r="U184" s="267">
        <f>IFERROR(__xludf.DUMMYFUNCTION("""COMPUTED_VALUE"""),43371.6458333333)</f>
        <v/>
      </c>
      <c r="V184" s="6">
        <f>IFERROR(__xludf.DUMMYFUNCTION("""COMPUTED_VALUE"""),2343.07)</f>
        <v/>
      </c>
      <c r="Z184" s="6">
        <f>AA184&amp;AB184</f>
        <v/>
      </c>
      <c r="AA184" s="6">
        <f>YEAR(AC184)</f>
        <v/>
      </c>
      <c r="AB184" s="6">
        <f>MONTH(AC184)</f>
        <v/>
      </c>
      <c r="AC184" s="267">
        <f>IFERROR(__xludf.DUMMYFUNCTION("""COMPUTED_VALUE"""),43283.9986111111)</f>
        <v/>
      </c>
      <c r="AD184" s="6">
        <f>IFERROR(__xludf.DUMMYFUNCTION("""COMPUTED_VALUE"""),1118.17)</f>
        <v/>
      </c>
      <c r="AH184" s="6">
        <f>AI184&amp;AJ184</f>
        <v/>
      </c>
      <c r="AI184" s="6">
        <f>YEAR(AK184)</f>
        <v/>
      </c>
      <c r="AJ184" s="6">
        <f>MONTH(AK184)</f>
        <v/>
      </c>
      <c r="AK184" s="267">
        <f>IFERROR(__xludf.DUMMYFUNCTION("""COMPUTED_VALUE"""),43276.9986111111)</f>
        <v/>
      </c>
      <c r="AL184" s="6">
        <f>IFERROR(__xludf.DUMMYFUNCTION("""COMPUTED_VALUE"""),6248.35)</f>
        <v/>
      </c>
      <c r="AP184" s="6">
        <f>AQ184&amp;AR184</f>
        <v/>
      </c>
      <c r="AQ184" s="6">
        <f>YEAR(AS184)</f>
        <v/>
      </c>
      <c r="AR184" s="6">
        <f>MONTH(AS184)</f>
        <v/>
      </c>
      <c r="AS184" s="267">
        <f>IFERROR(__xludf.DUMMYFUNCTION("""COMPUTED_VALUE"""),43357.9986111111)</f>
        <v/>
      </c>
      <c r="AT184" s="6">
        <f>IFERROR(__xludf.DUMMYFUNCTION("""COMPUTED_VALUE"""),1201.1)</f>
        <v/>
      </c>
    </row>
    <row r="185">
      <c r="B185" s="6">
        <f>C185&amp;D185</f>
        <v/>
      </c>
      <c r="C185" s="6">
        <f>YEAR(E185)</f>
        <v/>
      </c>
      <c r="D185" s="6">
        <f>MONTH(E185)</f>
        <v/>
      </c>
      <c r="E185" s="267">
        <f>IFERROR(__xludf.DUMMYFUNCTION("""COMPUTED_VALUE"""),43357.6666666666)</f>
        <v/>
      </c>
      <c r="F185" s="6">
        <f>IFERROR(__xludf.DUMMYFUNCTION("""COMPUTED_VALUE"""),2904.98)</f>
        <v/>
      </c>
      <c r="J185" s="6">
        <f>K185&amp;L185</f>
        <v/>
      </c>
      <c r="K185" s="6">
        <f>YEAR(M185)</f>
        <v/>
      </c>
      <c r="L185" s="6">
        <f>MONTH(M185)</f>
        <v/>
      </c>
      <c r="M185" s="267">
        <f>IFERROR(__xludf.DUMMYFUNCTION("""COMPUTED_VALUE"""),43357.6666666666)</f>
        <v/>
      </c>
      <c r="N185" s="6">
        <f>IFERROR(__xludf.DUMMYFUNCTION("""COMPUTED_VALUE"""),8010.04)</f>
        <v/>
      </c>
      <c r="R185" s="6">
        <f>S185&amp;T185</f>
        <v/>
      </c>
      <c r="S185" s="6">
        <f>YEAR(U185)</f>
        <v/>
      </c>
      <c r="T185" s="6">
        <f>MONTH(U185)</f>
        <v/>
      </c>
      <c r="U185" s="267">
        <f>IFERROR(__xludf.DUMMYFUNCTION("""COMPUTED_VALUE"""),43374.6458333333)</f>
        <v/>
      </c>
      <c r="V185" s="6">
        <f>IFERROR(__xludf.DUMMYFUNCTION("""COMPUTED_VALUE"""),2338.88)</f>
        <v/>
      </c>
      <c r="Z185" s="6">
        <f>AA185&amp;AB185</f>
        <v/>
      </c>
      <c r="AA185" s="6">
        <f>YEAR(AC185)</f>
        <v/>
      </c>
      <c r="AB185" s="6">
        <f>MONTH(AC185)</f>
        <v/>
      </c>
      <c r="AC185" s="267">
        <f>IFERROR(__xludf.DUMMYFUNCTION("""COMPUTED_VALUE"""),43284.9986111111)</f>
        <v/>
      </c>
      <c r="AD185" s="6">
        <f>IFERROR(__xludf.DUMMYFUNCTION("""COMPUTED_VALUE"""),1113.34)</f>
        <v/>
      </c>
      <c r="AH185" s="6">
        <f>AI185&amp;AJ185</f>
        <v/>
      </c>
      <c r="AI185" s="6">
        <f>YEAR(AK185)</f>
        <v/>
      </c>
      <c r="AJ185" s="6">
        <f>MONTH(AK185)</f>
        <v/>
      </c>
      <c r="AK185" s="267">
        <f>IFERROR(__xludf.DUMMYFUNCTION("""COMPUTED_VALUE"""),43277.9986111111)</f>
        <v/>
      </c>
      <c r="AL185" s="6">
        <f>IFERROR(__xludf.DUMMYFUNCTION("""COMPUTED_VALUE"""),6082.66)</f>
        <v/>
      </c>
      <c r="AP185" s="6">
        <f>AQ185&amp;AR185</f>
        <v/>
      </c>
      <c r="AQ185" s="6">
        <f>YEAR(AS185)</f>
        <v/>
      </c>
      <c r="AR185" s="6">
        <f>MONTH(AS185)</f>
        <v/>
      </c>
      <c r="AS185" s="267">
        <f>IFERROR(__xludf.DUMMYFUNCTION("""COMPUTED_VALUE"""),43360.9986111111)</f>
        <v/>
      </c>
      <c r="AT185" s="6">
        <f>IFERROR(__xludf.DUMMYFUNCTION("""COMPUTED_VALUE"""),1205.8)</f>
        <v/>
      </c>
    </row>
    <row r="186">
      <c r="B186" s="6">
        <f>C186&amp;D186</f>
        <v/>
      </c>
      <c r="C186" s="6">
        <f>YEAR(E186)</f>
        <v/>
      </c>
      <c r="D186" s="6">
        <f>MONTH(E186)</f>
        <v/>
      </c>
      <c r="E186" s="267">
        <f>IFERROR(__xludf.DUMMYFUNCTION("""COMPUTED_VALUE"""),43360.6666666666)</f>
        <v/>
      </c>
      <c r="F186" s="6">
        <f>IFERROR(__xludf.DUMMYFUNCTION("""COMPUTED_VALUE"""),2888.8)</f>
        <v/>
      </c>
      <c r="J186" s="6">
        <f>K186&amp;L186</f>
        <v/>
      </c>
      <c r="K186" s="6">
        <f>YEAR(M186)</f>
        <v/>
      </c>
      <c r="L186" s="6">
        <f>MONTH(M186)</f>
        <v/>
      </c>
      <c r="M186" s="267">
        <f>IFERROR(__xludf.DUMMYFUNCTION("""COMPUTED_VALUE"""),43360.6666666666)</f>
        <v/>
      </c>
      <c r="N186" s="6">
        <f>IFERROR(__xludf.DUMMYFUNCTION("""COMPUTED_VALUE"""),7895.79)</f>
        <v/>
      </c>
      <c r="R186" s="6">
        <f>S186&amp;T186</f>
        <v/>
      </c>
      <c r="S186" s="6">
        <f>YEAR(U186)</f>
        <v/>
      </c>
      <c r="T186" s="6">
        <f>MONTH(U186)</f>
        <v/>
      </c>
      <c r="U186" s="267">
        <f>IFERROR(__xludf.DUMMYFUNCTION("""COMPUTED_VALUE"""),43375.6458333333)</f>
        <v/>
      </c>
      <c r="V186" s="6">
        <f>IFERROR(__xludf.DUMMYFUNCTION("""COMPUTED_VALUE"""),2309.57)</f>
        <v/>
      </c>
      <c r="Z186" s="6">
        <f>AA186&amp;AB186</f>
        <v/>
      </c>
      <c r="AA186" s="6">
        <f>YEAR(AC186)</f>
        <v/>
      </c>
      <c r="AB186" s="6">
        <f>MONTH(AC186)</f>
        <v/>
      </c>
      <c r="AC186" s="267">
        <f>IFERROR(__xludf.DUMMYFUNCTION("""COMPUTED_VALUE"""),43285.9986111111)</f>
        <v/>
      </c>
      <c r="AD186" s="6">
        <f>IFERROR(__xludf.DUMMYFUNCTION("""COMPUTED_VALUE"""),1114.31)</f>
        <v/>
      </c>
      <c r="AH186" s="6">
        <f>AI186&amp;AJ186</f>
        <v/>
      </c>
      <c r="AI186" s="6">
        <f>YEAR(AK186)</f>
        <v/>
      </c>
      <c r="AJ186" s="6">
        <f>MONTH(AK186)</f>
        <v/>
      </c>
      <c r="AK186" s="267">
        <f>IFERROR(__xludf.DUMMYFUNCTION("""COMPUTED_VALUE"""),43278.9986111111)</f>
        <v/>
      </c>
      <c r="AL186" s="6">
        <f>IFERROR(__xludf.DUMMYFUNCTION("""COMPUTED_VALUE"""),6131.76)</f>
        <v/>
      </c>
      <c r="AP186" s="6">
        <f>AQ186&amp;AR186</f>
        <v/>
      </c>
      <c r="AQ186" s="6">
        <f>YEAR(AS186)</f>
        <v/>
      </c>
      <c r="AR186" s="6">
        <f>MONTH(AS186)</f>
        <v/>
      </c>
      <c r="AS186" s="267">
        <f>IFERROR(__xludf.DUMMYFUNCTION("""COMPUTED_VALUE"""),43361.9986111111)</f>
        <v/>
      </c>
      <c r="AT186" s="6">
        <f>IFERROR(__xludf.DUMMYFUNCTION("""COMPUTED_VALUE"""),1202.9)</f>
        <v/>
      </c>
    </row>
    <row r="187">
      <c r="B187" s="6">
        <f>C187&amp;D187</f>
        <v/>
      </c>
      <c r="C187" s="6">
        <f>YEAR(E187)</f>
        <v/>
      </c>
      <c r="D187" s="6">
        <f>MONTH(E187)</f>
        <v/>
      </c>
      <c r="E187" s="267">
        <f>IFERROR(__xludf.DUMMYFUNCTION("""COMPUTED_VALUE"""),43361.6666666666)</f>
        <v/>
      </c>
      <c r="F187" s="6">
        <f>IFERROR(__xludf.DUMMYFUNCTION("""COMPUTED_VALUE"""),2904.31)</f>
        <v/>
      </c>
      <c r="J187" s="6">
        <f>K187&amp;L187</f>
        <v/>
      </c>
      <c r="K187" s="6">
        <f>YEAR(M187)</f>
        <v/>
      </c>
      <c r="L187" s="6">
        <f>MONTH(M187)</f>
        <v/>
      </c>
      <c r="M187" s="267">
        <f>IFERROR(__xludf.DUMMYFUNCTION("""COMPUTED_VALUE"""),43361.6666666666)</f>
        <v/>
      </c>
      <c r="N187" s="6">
        <f>IFERROR(__xludf.DUMMYFUNCTION("""COMPUTED_VALUE"""),7956.11)</f>
        <v/>
      </c>
      <c r="R187" s="6">
        <f>S187&amp;T187</f>
        <v/>
      </c>
      <c r="S187" s="6">
        <f>YEAR(U187)</f>
        <v/>
      </c>
      <c r="T187" s="6">
        <f>MONTH(U187)</f>
        <v/>
      </c>
      <c r="U187" s="267">
        <f>IFERROR(__xludf.DUMMYFUNCTION("""COMPUTED_VALUE"""),43377.6458333333)</f>
        <v/>
      </c>
      <c r="V187" s="6">
        <f>IFERROR(__xludf.DUMMYFUNCTION("""COMPUTED_VALUE"""),2274.49)</f>
        <v/>
      </c>
      <c r="Z187" s="6">
        <f>AA187&amp;AB187</f>
        <v/>
      </c>
      <c r="AA187" s="6">
        <f>YEAR(AC187)</f>
        <v/>
      </c>
      <c r="AB187" s="6">
        <f>MONTH(AC187)</f>
        <v/>
      </c>
      <c r="AC187" s="267">
        <f>IFERROR(__xludf.DUMMYFUNCTION("""COMPUTED_VALUE"""),43286.9986111111)</f>
        <v/>
      </c>
      <c r="AD187" s="6">
        <f>IFERROR(__xludf.DUMMYFUNCTION("""COMPUTED_VALUE"""),1117.76)</f>
        <v/>
      </c>
      <c r="AH187" s="6">
        <f>AI187&amp;AJ187</f>
        <v/>
      </c>
      <c r="AI187" s="6">
        <f>YEAR(AK187)</f>
        <v/>
      </c>
      <c r="AJ187" s="6">
        <f>MONTH(AK187)</f>
        <v/>
      </c>
      <c r="AK187" s="267">
        <f>IFERROR(__xludf.DUMMYFUNCTION("""COMPUTED_VALUE"""),43279.9986111111)</f>
        <v/>
      </c>
      <c r="AL187" s="6">
        <f>IFERROR(__xludf.DUMMYFUNCTION("""COMPUTED_VALUE"""),5883.21)</f>
        <v/>
      </c>
      <c r="AP187" s="6">
        <f>AQ187&amp;AR187</f>
        <v/>
      </c>
      <c r="AQ187" s="6">
        <f>YEAR(AS187)</f>
        <v/>
      </c>
      <c r="AR187" s="6">
        <f>MONTH(AS187)</f>
        <v/>
      </c>
      <c r="AS187" s="267">
        <f>IFERROR(__xludf.DUMMYFUNCTION("""COMPUTED_VALUE"""),43362.9986111111)</f>
        <v/>
      </c>
      <c r="AT187" s="6">
        <f>IFERROR(__xludf.DUMMYFUNCTION("""COMPUTED_VALUE"""),1208.3)</f>
        <v/>
      </c>
    </row>
    <row r="188">
      <c r="B188" s="6">
        <f>C188&amp;D188</f>
        <v/>
      </c>
      <c r="C188" s="6">
        <f>YEAR(E188)</f>
        <v/>
      </c>
      <c r="D188" s="6">
        <f>MONTH(E188)</f>
        <v/>
      </c>
      <c r="E188" s="267">
        <f>IFERROR(__xludf.DUMMYFUNCTION("""COMPUTED_VALUE"""),43362.6666666666)</f>
        <v/>
      </c>
      <c r="F188" s="6">
        <f>IFERROR(__xludf.DUMMYFUNCTION("""COMPUTED_VALUE"""),2907.95)</f>
        <v/>
      </c>
      <c r="J188" s="6">
        <f>K188&amp;L188</f>
        <v/>
      </c>
      <c r="K188" s="6">
        <f>YEAR(M188)</f>
        <v/>
      </c>
      <c r="L188" s="6">
        <f>MONTH(M188)</f>
        <v/>
      </c>
      <c r="M188" s="267">
        <f>IFERROR(__xludf.DUMMYFUNCTION("""COMPUTED_VALUE"""),43362.6666666666)</f>
        <v/>
      </c>
      <c r="N188" s="6">
        <f>IFERROR(__xludf.DUMMYFUNCTION("""COMPUTED_VALUE"""),7950.04)</f>
        <v/>
      </c>
      <c r="R188" s="6">
        <f>S188&amp;T188</f>
        <v/>
      </c>
      <c r="S188" s="6">
        <f>YEAR(U188)</f>
        <v/>
      </c>
      <c r="T188" s="6">
        <f>MONTH(U188)</f>
        <v/>
      </c>
      <c r="U188" s="267">
        <f>IFERROR(__xludf.DUMMYFUNCTION("""COMPUTED_VALUE"""),43378.6458333333)</f>
        <v/>
      </c>
      <c r="V188" s="6">
        <f>IFERROR(__xludf.DUMMYFUNCTION("""COMPUTED_VALUE"""),2267.52)</f>
        <v/>
      </c>
      <c r="Z188" s="6">
        <f>AA188&amp;AB188</f>
        <v/>
      </c>
      <c r="AA188" s="6">
        <f>YEAR(AC188)</f>
        <v/>
      </c>
      <c r="AB188" s="6">
        <f>MONTH(AC188)</f>
        <v/>
      </c>
      <c r="AC188" s="267">
        <f>IFERROR(__xludf.DUMMYFUNCTION("""COMPUTED_VALUE"""),43287.9986111111)</f>
        <v/>
      </c>
      <c r="AD188" s="6">
        <f>IFERROR(__xludf.DUMMYFUNCTION("""COMPUTED_VALUE"""),1114.55)</f>
        <v/>
      </c>
      <c r="AH188" s="6">
        <f>AI188&amp;AJ188</f>
        <v/>
      </c>
      <c r="AI188" s="6">
        <f>YEAR(AK188)</f>
        <v/>
      </c>
      <c r="AJ188" s="6">
        <f>MONTH(AK188)</f>
        <v/>
      </c>
      <c r="AK188" s="267">
        <f>IFERROR(__xludf.DUMMYFUNCTION("""COMPUTED_VALUE"""),43280.9986111111)</f>
        <v/>
      </c>
      <c r="AL188" s="6">
        <f>IFERROR(__xludf.DUMMYFUNCTION("""COMPUTED_VALUE"""),6208.42)</f>
        <v/>
      </c>
      <c r="AP188" s="6">
        <f>AQ188&amp;AR188</f>
        <v/>
      </c>
      <c r="AQ188" s="6">
        <f>YEAR(AS188)</f>
        <v/>
      </c>
      <c r="AR188" s="6">
        <f>MONTH(AS188)</f>
        <v/>
      </c>
      <c r="AS188" s="267">
        <f>IFERROR(__xludf.DUMMYFUNCTION("""COMPUTED_VALUE"""),43363.9986111111)</f>
        <v/>
      </c>
      <c r="AT188" s="6">
        <f>IFERROR(__xludf.DUMMYFUNCTION("""COMPUTED_VALUE"""),1211.3)</f>
        <v/>
      </c>
    </row>
    <row r="189">
      <c r="B189" s="6">
        <f>C189&amp;D189</f>
        <v/>
      </c>
      <c r="C189" s="6">
        <f>YEAR(E189)</f>
        <v/>
      </c>
      <c r="D189" s="6">
        <f>MONTH(E189)</f>
        <v/>
      </c>
      <c r="E189" s="267">
        <f>IFERROR(__xludf.DUMMYFUNCTION("""COMPUTED_VALUE"""),43363.6666666666)</f>
        <v/>
      </c>
      <c r="F189" s="6">
        <f>IFERROR(__xludf.DUMMYFUNCTION("""COMPUTED_VALUE"""),2930.75)</f>
        <v/>
      </c>
      <c r="J189" s="6">
        <f>K189&amp;L189</f>
        <v/>
      </c>
      <c r="K189" s="6">
        <f>YEAR(M189)</f>
        <v/>
      </c>
      <c r="L189" s="6">
        <f>MONTH(M189)</f>
        <v/>
      </c>
      <c r="M189" s="267">
        <f>IFERROR(__xludf.DUMMYFUNCTION("""COMPUTED_VALUE"""),43363.6666666666)</f>
        <v/>
      </c>
      <c r="N189" s="6">
        <f>IFERROR(__xludf.DUMMYFUNCTION("""COMPUTED_VALUE"""),8028.23)</f>
        <v/>
      </c>
      <c r="R189" s="6">
        <f>S189&amp;T189</f>
        <v/>
      </c>
      <c r="S189" s="6">
        <f>YEAR(U189)</f>
        <v/>
      </c>
      <c r="T189" s="6">
        <f>MONTH(U189)</f>
        <v/>
      </c>
      <c r="U189" s="267">
        <f>IFERROR(__xludf.DUMMYFUNCTION("""COMPUTED_VALUE"""),43381.6458333333)</f>
        <v/>
      </c>
      <c r="V189" s="6">
        <f>IFERROR(__xludf.DUMMYFUNCTION("""COMPUTED_VALUE"""),2253.83)</f>
        <v/>
      </c>
      <c r="Z189" s="6">
        <f>AA189&amp;AB189</f>
        <v/>
      </c>
      <c r="AA189" s="6">
        <f>YEAR(AC189)</f>
        <v/>
      </c>
      <c r="AB189" s="6">
        <f>MONTH(AC189)</f>
        <v/>
      </c>
      <c r="AC189" s="267">
        <f>IFERROR(__xludf.DUMMYFUNCTION("""COMPUTED_VALUE"""),43288.9986111111)</f>
        <v/>
      </c>
      <c r="AD189" s="6">
        <f>IFERROR(__xludf.DUMMYFUNCTION("""COMPUTED_VALUE"""),1114.58)</f>
        <v/>
      </c>
      <c r="AH189" s="6">
        <f>AI189&amp;AJ189</f>
        <v/>
      </c>
      <c r="AI189" s="6">
        <f>YEAR(AK189)</f>
        <v/>
      </c>
      <c r="AJ189" s="6">
        <f>MONTH(AK189)</f>
        <v/>
      </c>
      <c r="AK189" s="267">
        <f>IFERROR(__xludf.DUMMYFUNCTION("""COMPUTED_VALUE"""),43281.9986111111)</f>
        <v/>
      </c>
      <c r="AL189" s="6">
        <f>IFERROR(__xludf.DUMMYFUNCTION("""COMPUTED_VALUE"""),6387.27)</f>
        <v/>
      </c>
      <c r="AP189" s="6">
        <f>AQ189&amp;AR189</f>
        <v/>
      </c>
      <c r="AQ189" s="6">
        <f>YEAR(AS189)</f>
        <v/>
      </c>
      <c r="AR189" s="6">
        <f>MONTH(AS189)</f>
        <v/>
      </c>
      <c r="AS189" s="267">
        <f>IFERROR(__xludf.DUMMYFUNCTION("""COMPUTED_VALUE"""),43364.9986111111)</f>
        <v/>
      </c>
      <c r="AT189" s="6">
        <f>IFERROR(__xludf.DUMMYFUNCTION("""COMPUTED_VALUE"""),1201.3)</f>
        <v/>
      </c>
    </row>
    <row r="190">
      <c r="B190" s="6">
        <f>C190&amp;D190</f>
        <v/>
      </c>
      <c r="C190" s="6">
        <f>YEAR(E190)</f>
        <v/>
      </c>
      <c r="D190" s="6">
        <f>MONTH(E190)</f>
        <v/>
      </c>
      <c r="E190" s="267">
        <f>IFERROR(__xludf.DUMMYFUNCTION("""COMPUTED_VALUE"""),43364.6666666666)</f>
        <v/>
      </c>
      <c r="F190" s="6">
        <f>IFERROR(__xludf.DUMMYFUNCTION("""COMPUTED_VALUE"""),2929.67)</f>
        <v/>
      </c>
      <c r="J190" s="6">
        <f>K190&amp;L190</f>
        <v/>
      </c>
      <c r="K190" s="6">
        <f>YEAR(M190)</f>
        <v/>
      </c>
      <c r="L190" s="6">
        <f>MONTH(M190)</f>
        <v/>
      </c>
      <c r="M190" s="267">
        <f>IFERROR(__xludf.DUMMYFUNCTION("""COMPUTED_VALUE"""),43364.6666666666)</f>
        <v/>
      </c>
      <c r="N190" s="6">
        <f>IFERROR(__xludf.DUMMYFUNCTION("""COMPUTED_VALUE"""),7986.96)</f>
        <v/>
      </c>
      <c r="R190" s="6">
        <f>S190&amp;T190</f>
        <v/>
      </c>
      <c r="S190" s="6">
        <f>YEAR(U190)</f>
        <v/>
      </c>
      <c r="T190" s="6">
        <f>MONTH(U190)</f>
        <v/>
      </c>
      <c r="U190" s="267">
        <f>IFERROR(__xludf.DUMMYFUNCTION("""COMPUTED_VALUE"""),43383.6458333333)</f>
        <v/>
      </c>
      <c r="V190" s="6">
        <f>IFERROR(__xludf.DUMMYFUNCTION("""COMPUTED_VALUE"""),2228.61)</f>
        <v/>
      </c>
      <c r="Z190" s="6">
        <f>AA190&amp;AB190</f>
        <v/>
      </c>
      <c r="AA190" s="6">
        <f>YEAR(AC190)</f>
        <v/>
      </c>
      <c r="AB190" s="6">
        <f>MONTH(AC190)</f>
        <v/>
      </c>
      <c r="AC190" s="267">
        <f>IFERROR(__xludf.DUMMYFUNCTION("""COMPUTED_VALUE"""),43289.9986111111)</f>
        <v/>
      </c>
      <c r="AD190" s="6">
        <f>IFERROR(__xludf.DUMMYFUNCTION("""COMPUTED_VALUE"""),1113.65)</f>
        <v/>
      </c>
      <c r="AH190" s="6">
        <f>AI190&amp;AJ190</f>
        <v/>
      </c>
      <c r="AI190" s="6">
        <f>YEAR(AK190)</f>
        <v/>
      </c>
      <c r="AJ190" s="6">
        <f>MONTH(AK190)</f>
        <v/>
      </c>
      <c r="AK190" s="267">
        <f>IFERROR(__xludf.DUMMYFUNCTION("""COMPUTED_VALUE"""),43282.9986111111)</f>
        <v/>
      </c>
      <c r="AL190" s="6">
        <f>IFERROR(__xludf.DUMMYFUNCTION("""COMPUTED_VALUE"""),6347.94)</f>
        <v/>
      </c>
      <c r="AP190" s="6">
        <f>AQ190&amp;AR190</f>
        <v/>
      </c>
      <c r="AQ190" s="6">
        <f>YEAR(AS190)</f>
        <v/>
      </c>
      <c r="AR190" s="6">
        <f>MONTH(AS190)</f>
        <v/>
      </c>
      <c r="AS190" s="267">
        <f>IFERROR(__xludf.DUMMYFUNCTION("""COMPUTED_VALUE"""),43367.9986111111)</f>
        <v/>
      </c>
      <c r="AT190" s="6">
        <f>IFERROR(__xludf.DUMMYFUNCTION("""COMPUTED_VALUE"""),1204.4)</f>
        <v/>
      </c>
    </row>
    <row r="191">
      <c r="B191" s="6">
        <f>C191&amp;D191</f>
        <v/>
      </c>
      <c r="C191" s="6">
        <f>YEAR(E191)</f>
        <v/>
      </c>
      <c r="D191" s="6">
        <f>MONTH(E191)</f>
        <v/>
      </c>
      <c r="E191" s="267">
        <f>IFERROR(__xludf.DUMMYFUNCTION("""COMPUTED_VALUE"""),43367.6666666666)</f>
        <v/>
      </c>
      <c r="F191" s="6">
        <f>IFERROR(__xludf.DUMMYFUNCTION("""COMPUTED_VALUE"""),2919.37)</f>
        <v/>
      </c>
      <c r="J191" s="6">
        <f>K191&amp;L191</f>
        <v/>
      </c>
      <c r="K191" s="6">
        <f>YEAR(M191)</f>
        <v/>
      </c>
      <c r="L191" s="6">
        <f>MONTH(M191)</f>
        <v/>
      </c>
      <c r="M191" s="267">
        <f>IFERROR(__xludf.DUMMYFUNCTION("""COMPUTED_VALUE"""),43367.6666666666)</f>
        <v/>
      </c>
      <c r="N191" s="6">
        <f>IFERROR(__xludf.DUMMYFUNCTION("""COMPUTED_VALUE"""),7993.25)</f>
        <v/>
      </c>
      <c r="R191" s="6">
        <f>S191&amp;T191</f>
        <v/>
      </c>
      <c r="S191" s="6">
        <f>YEAR(U191)</f>
        <v/>
      </c>
      <c r="T191" s="6">
        <f>MONTH(U191)</f>
        <v/>
      </c>
      <c r="U191" s="267">
        <f>IFERROR(__xludf.DUMMYFUNCTION("""COMPUTED_VALUE"""),43384.6458333333)</f>
        <v/>
      </c>
      <c r="V191" s="6">
        <f>IFERROR(__xludf.DUMMYFUNCTION("""COMPUTED_VALUE"""),2129.67)</f>
        <v/>
      </c>
      <c r="Z191" s="6">
        <f>AA191&amp;AB191</f>
        <v/>
      </c>
      <c r="AA191" s="6">
        <f>YEAR(AC191)</f>
        <v/>
      </c>
      <c r="AB191" s="6">
        <f>MONTH(AC191)</f>
        <v/>
      </c>
      <c r="AC191" s="267">
        <f>IFERROR(__xludf.DUMMYFUNCTION("""COMPUTED_VALUE"""),43290.9986111111)</f>
        <v/>
      </c>
      <c r="AD191" s="6">
        <f>IFERROR(__xludf.DUMMYFUNCTION("""COMPUTED_VALUE"""),1112.48)</f>
        <v/>
      </c>
      <c r="AH191" s="6">
        <f>AI191&amp;AJ191</f>
        <v/>
      </c>
      <c r="AI191" s="6">
        <f>YEAR(AK191)</f>
        <v/>
      </c>
      <c r="AJ191" s="6">
        <f>MONTH(AK191)</f>
        <v/>
      </c>
      <c r="AK191" s="267">
        <f>IFERROR(__xludf.DUMMYFUNCTION("""COMPUTED_VALUE"""),43283.9986111111)</f>
        <v/>
      </c>
      <c r="AL191" s="6">
        <f>IFERROR(__xludf.DUMMYFUNCTION("""COMPUTED_VALUE"""),6621.06)</f>
        <v/>
      </c>
      <c r="AP191" s="6">
        <f>AQ191&amp;AR191</f>
        <v/>
      </c>
      <c r="AQ191" s="6">
        <f>YEAR(AS191)</f>
        <v/>
      </c>
      <c r="AR191" s="6">
        <f>MONTH(AS191)</f>
        <v/>
      </c>
      <c r="AS191" s="267">
        <f>IFERROR(__xludf.DUMMYFUNCTION("""COMPUTED_VALUE"""),43368.9986111111)</f>
        <v/>
      </c>
      <c r="AT191" s="6">
        <f>IFERROR(__xludf.DUMMYFUNCTION("""COMPUTED_VALUE"""),1205.1)</f>
        <v/>
      </c>
    </row>
    <row r="192">
      <c r="B192" s="6">
        <f>C192&amp;D192</f>
        <v/>
      </c>
      <c r="C192" s="6">
        <f>YEAR(E192)</f>
        <v/>
      </c>
      <c r="D192" s="6">
        <f>MONTH(E192)</f>
        <v/>
      </c>
      <c r="E192" s="267">
        <f>IFERROR(__xludf.DUMMYFUNCTION("""COMPUTED_VALUE"""),43368.6666666666)</f>
        <v/>
      </c>
      <c r="F192" s="6">
        <f>IFERROR(__xludf.DUMMYFUNCTION("""COMPUTED_VALUE"""),2915.56)</f>
        <v/>
      </c>
      <c r="J192" s="6">
        <f>K192&amp;L192</f>
        <v/>
      </c>
      <c r="K192" s="6">
        <f>YEAR(M192)</f>
        <v/>
      </c>
      <c r="L192" s="6">
        <f>MONTH(M192)</f>
        <v/>
      </c>
      <c r="M192" s="267">
        <f>IFERROR(__xludf.DUMMYFUNCTION("""COMPUTED_VALUE"""),43368.6666666666)</f>
        <v/>
      </c>
      <c r="N192" s="6">
        <f>IFERROR(__xludf.DUMMYFUNCTION("""COMPUTED_VALUE"""),8007.47)</f>
        <v/>
      </c>
      <c r="R192" s="6">
        <f>S192&amp;T192</f>
        <v/>
      </c>
      <c r="S192" s="6">
        <f>YEAR(U192)</f>
        <v/>
      </c>
      <c r="T192" s="6">
        <f>MONTH(U192)</f>
        <v/>
      </c>
      <c r="U192" s="267">
        <f>IFERROR(__xludf.DUMMYFUNCTION("""COMPUTED_VALUE"""),43385.6458333333)</f>
        <v/>
      </c>
      <c r="V192" s="6">
        <f>IFERROR(__xludf.DUMMYFUNCTION("""COMPUTED_VALUE"""),2161.85)</f>
        <v/>
      </c>
      <c r="Z192" s="6">
        <f>AA192&amp;AB192</f>
        <v/>
      </c>
      <c r="AA192" s="6">
        <f>YEAR(AC192)</f>
        <v/>
      </c>
      <c r="AB192" s="6">
        <f>MONTH(AC192)</f>
        <v/>
      </c>
      <c r="AC192" s="267">
        <f>IFERROR(__xludf.DUMMYFUNCTION("""COMPUTED_VALUE"""),43291.9986111111)</f>
        <v/>
      </c>
      <c r="AD192" s="6">
        <f>IFERROR(__xludf.DUMMYFUNCTION("""COMPUTED_VALUE"""),1112.56)</f>
        <v/>
      </c>
      <c r="AH192" s="6">
        <f>AI192&amp;AJ192</f>
        <v/>
      </c>
      <c r="AI192" s="6">
        <f>YEAR(AK192)</f>
        <v/>
      </c>
      <c r="AJ192" s="6">
        <f>MONTH(AK192)</f>
        <v/>
      </c>
      <c r="AK192" s="267">
        <f>IFERROR(__xludf.DUMMYFUNCTION("""COMPUTED_VALUE"""),43284.9986111111)</f>
        <v/>
      </c>
      <c r="AL192" s="6">
        <f>IFERROR(__xludf.DUMMYFUNCTION("""COMPUTED_VALUE"""),6505.57)</f>
        <v/>
      </c>
      <c r="AP192" s="6">
        <f>AQ192&amp;AR192</f>
        <v/>
      </c>
      <c r="AQ192" s="6">
        <f>YEAR(AS192)</f>
        <v/>
      </c>
      <c r="AR192" s="6">
        <f>MONTH(AS192)</f>
        <v/>
      </c>
      <c r="AS192" s="267">
        <f>IFERROR(__xludf.DUMMYFUNCTION("""COMPUTED_VALUE"""),43369.9986111111)</f>
        <v/>
      </c>
      <c r="AT192" s="6">
        <f>IFERROR(__xludf.DUMMYFUNCTION("""COMPUTED_VALUE"""),1199.1)</f>
        <v/>
      </c>
    </row>
    <row r="193">
      <c r="B193" s="6">
        <f>C193&amp;D193</f>
        <v/>
      </c>
      <c r="C193" s="6">
        <f>YEAR(E193)</f>
        <v/>
      </c>
      <c r="D193" s="6">
        <f>MONTH(E193)</f>
        <v/>
      </c>
      <c r="E193" s="267">
        <f>IFERROR(__xludf.DUMMYFUNCTION("""COMPUTED_VALUE"""),43369.6666666666)</f>
        <v/>
      </c>
      <c r="F193" s="6">
        <f>IFERROR(__xludf.DUMMYFUNCTION("""COMPUTED_VALUE"""),2905.97)</f>
        <v/>
      </c>
      <c r="J193" s="6">
        <f>K193&amp;L193</f>
        <v/>
      </c>
      <c r="K193" s="6">
        <f>YEAR(M193)</f>
        <v/>
      </c>
      <c r="L193" s="6">
        <f>MONTH(M193)</f>
        <v/>
      </c>
      <c r="M193" s="267">
        <f>IFERROR(__xludf.DUMMYFUNCTION("""COMPUTED_VALUE"""),43369.6666666666)</f>
        <v/>
      </c>
      <c r="N193" s="6">
        <f>IFERROR(__xludf.DUMMYFUNCTION("""COMPUTED_VALUE"""),7990.37)</f>
        <v/>
      </c>
      <c r="R193" s="6">
        <f>S193&amp;T193</f>
        <v/>
      </c>
      <c r="S193" s="6">
        <f>YEAR(U193)</f>
        <v/>
      </c>
      <c r="T193" s="6">
        <f>MONTH(U193)</f>
        <v/>
      </c>
      <c r="U193" s="267">
        <f>IFERROR(__xludf.DUMMYFUNCTION("""COMPUTED_VALUE"""),43388.6458333333)</f>
        <v/>
      </c>
      <c r="V193" s="6">
        <f>IFERROR(__xludf.DUMMYFUNCTION("""COMPUTED_VALUE"""),2145.12)</f>
        <v/>
      </c>
      <c r="Z193" s="6">
        <f>AA193&amp;AB193</f>
        <v/>
      </c>
      <c r="AA193" s="6">
        <f>YEAR(AC193)</f>
        <v/>
      </c>
      <c r="AB193" s="6">
        <f>MONTH(AC193)</f>
        <v/>
      </c>
      <c r="AC193" s="267">
        <f>IFERROR(__xludf.DUMMYFUNCTION("""COMPUTED_VALUE"""),43292.9986111111)</f>
        <v/>
      </c>
      <c r="AD193" s="6">
        <f>IFERROR(__xludf.DUMMYFUNCTION("""COMPUTED_VALUE"""),1127.17)</f>
        <v/>
      </c>
      <c r="AH193" s="6">
        <f>AI193&amp;AJ193</f>
        <v/>
      </c>
      <c r="AI193" s="6">
        <f>YEAR(AK193)</f>
        <v/>
      </c>
      <c r="AJ193" s="6">
        <f>MONTH(AK193)</f>
        <v/>
      </c>
      <c r="AK193" s="267">
        <f>IFERROR(__xludf.DUMMYFUNCTION("""COMPUTED_VALUE"""),43285.9986111111)</f>
        <v/>
      </c>
      <c r="AL193" s="6">
        <f>IFERROR(__xludf.DUMMYFUNCTION("""COMPUTED_VALUE"""),6592.63)</f>
        <v/>
      </c>
      <c r="AP193" s="6">
        <f>AQ193&amp;AR193</f>
        <v/>
      </c>
      <c r="AQ193" s="6">
        <f>YEAR(AS193)</f>
        <v/>
      </c>
      <c r="AR193" s="6">
        <f>MONTH(AS193)</f>
        <v/>
      </c>
      <c r="AS193" s="267">
        <f>IFERROR(__xludf.DUMMYFUNCTION("""COMPUTED_VALUE"""),43370.9986111111)</f>
        <v/>
      </c>
      <c r="AT193" s="6">
        <f>IFERROR(__xludf.DUMMYFUNCTION("""COMPUTED_VALUE"""),1187.4)</f>
        <v/>
      </c>
    </row>
    <row r="194">
      <c r="B194" s="6">
        <f>C194&amp;D194</f>
        <v/>
      </c>
      <c r="C194" s="6">
        <f>YEAR(E194)</f>
        <v/>
      </c>
      <c r="D194" s="6">
        <f>MONTH(E194)</f>
        <v/>
      </c>
      <c r="E194" s="267">
        <f>IFERROR(__xludf.DUMMYFUNCTION("""COMPUTED_VALUE"""),43370.6666666666)</f>
        <v/>
      </c>
      <c r="F194" s="6">
        <f>IFERROR(__xludf.DUMMYFUNCTION("""COMPUTED_VALUE"""),2914)</f>
        <v/>
      </c>
      <c r="J194" s="6">
        <f>K194&amp;L194</f>
        <v/>
      </c>
      <c r="K194" s="6">
        <f>YEAR(M194)</f>
        <v/>
      </c>
      <c r="L194" s="6">
        <f>MONTH(M194)</f>
        <v/>
      </c>
      <c r="M194" s="267">
        <f>IFERROR(__xludf.DUMMYFUNCTION("""COMPUTED_VALUE"""),43370.6666666666)</f>
        <v/>
      </c>
      <c r="N194" s="6">
        <f>IFERROR(__xludf.DUMMYFUNCTION("""COMPUTED_VALUE"""),8041.97)</f>
        <v/>
      </c>
      <c r="R194" s="6">
        <f>S194&amp;T194</f>
        <v/>
      </c>
      <c r="S194" s="6">
        <f>YEAR(U194)</f>
        <v/>
      </c>
      <c r="T194" s="6">
        <f>MONTH(U194)</f>
        <v/>
      </c>
      <c r="U194" s="267">
        <f>IFERROR(__xludf.DUMMYFUNCTION("""COMPUTED_VALUE"""),43389.6458333333)</f>
        <v/>
      </c>
      <c r="V194" s="6">
        <f>IFERROR(__xludf.DUMMYFUNCTION("""COMPUTED_VALUE"""),2145.12)</f>
        <v/>
      </c>
      <c r="Z194" s="6">
        <f>AA194&amp;AB194</f>
        <v/>
      </c>
      <c r="AA194" s="6">
        <f>YEAR(AC194)</f>
        <v/>
      </c>
      <c r="AB194" s="6">
        <f>MONTH(AC194)</f>
        <v/>
      </c>
      <c r="AC194" s="267">
        <f>IFERROR(__xludf.DUMMYFUNCTION("""COMPUTED_VALUE"""),43293.9986111111)</f>
        <v/>
      </c>
      <c r="AD194" s="6">
        <f>IFERROR(__xludf.DUMMYFUNCTION("""COMPUTED_VALUE"""),1122.65)</f>
        <v/>
      </c>
      <c r="AH194" s="6">
        <f>AI194&amp;AJ194</f>
        <v/>
      </c>
      <c r="AI194" s="6">
        <f>YEAR(AK194)</f>
        <v/>
      </c>
      <c r="AJ194" s="6">
        <f>MONTH(AK194)</f>
        <v/>
      </c>
      <c r="AK194" s="267">
        <f>IFERROR(__xludf.DUMMYFUNCTION("""COMPUTED_VALUE"""),43286.9986111111)</f>
        <v/>
      </c>
      <c r="AL194" s="6">
        <f>IFERROR(__xludf.DUMMYFUNCTION("""COMPUTED_VALUE"""),6536.4)</f>
        <v/>
      </c>
      <c r="AP194" s="6">
        <f>AQ194&amp;AR194</f>
        <v/>
      </c>
      <c r="AQ194" s="6">
        <f>YEAR(AS194)</f>
        <v/>
      </c>
      <c r="AR194" s="6">
        <f>MONTH(AS194)</f>
        <v/>
      </c>
      <c r="AS194" s="267">
        <f>IFERROR(__xludf.DUMMYFUNCTION("""COMPUTED_VALUE"""),43371.9986111111)</f>
        <v/>
      </c>
      <c r="AT194" s="6">
        <f>IFERROR(__xludf.DUMMYFUNCTION("""COMPUTED_VALUE"""),1196.2)</f>
        <v/>
      </c>
    </row>
    <row r="195">
      <c r="B195" s="6">
        <f>C195&amp;D195</f>
        <v/>
      </c>
      <c r="C195" s="6">
        <f>YEAR(E195)</f>
        <v/>
      </c>
      <c r="D195" s="6">
        <f>MONTH(E195)</f>
        <v/>
      </c>
      <c r="E195" s="267">
        <f>IFERROR(__xludf.DUMMYFUNCTION("""COMPUTED_VALUE"""),43371.6666666666)</f>
        <v/>
      </c>
      <c r="F195" s="6">
        <f>IFERROR(__xludf.DUMMYFUNCTION("""COMPUTED_VALUE"""),2913.98)</f>
        <v/>
      </c>
      <c r="J195" s="6">
        <f>K195&amp;L195</f>
        <v/>
      </c>
      <c r="K195" s="6">
        <f>YEAR(M195)</f>
        <v/>
      </c>
      <c r="L195" s="6">
        <f>MONTH(M195)</f>
        <v/>
      </c>
      <c r="M195" s="267">
        <f>IFERROR(__xludf.DUMMYFUNCTION("""COMPUTED_VALUE"""),43371.6666666666)</f>
        <v/>
      </c>
      <c r="N195" s="6">
        <f>IFERROR(__xludf.DUMMYFUNCTION("""COMPUTED_VALUE"""),8046.35)</f>
        <v/>
      </c>
      <c r="R195" s="6">
        <f>S195&amp;T195</f>
        <v/>
      </c>
      <c r="S195" s="6">
        <f>YEAR(U195)</f>
        <v/>
      </c>
      <c r="T195" s="6">
        <f>MONTH(U195)</f>
        <v/>
      </c>
      <c r="U195" s="267">
        <f>IFERROR(__xludf.DUMMYFUNCTION("""COMPUTED_VALUE"""),43390.6458333333)</f>
        <v/>
      </c>
      <c r="V195" s="6">
        <f>IFERROR(__xludf.DUMMYFUNCTION("""COMPUTED_VALUE"""),2167.51)</f>
        <v/>
      </c>
      <c r="Z195" s="6">
        <f>AA195&amp;AB195</f>
        <v/>
      </c>
      <c r="AA195" s="6">
        <f>YEAR(AC195)</f>
        <v/>
      </c>
      <c r="AB195" s="6">
        <f>MONTH(AC195)</f>
        <v/>
      </c>
      <c r="AC195" s="267">
        <f>IFERROR(__xludf.DUMMYFUNCTION("""COMPUTED_VALUE"""),43294.9986111111)</f>
        <v/>
      </c>
      <c r="AD195" s="6">
        <f>IFERROR(__xludf.DUMMYFUNCTION("""COMPUTED_VALUE"""),1129.21)</f>
        <v/>
      </c>
      <c r="AH195" s="6">
        <f>AI195&amp;AJ195</f>
        <v/>
      </c>
      <c r="AI195" s="6">
        <f>YEAR(AK195)</f>
        <v/>
      </c>
      <c r="AJ195" s="6">
        <f>MONTH(AK195)</f>
        <v/>
      </c>
      <c r="AK195" s="267">
        <f>IFERROR(__xludf.DUMMYFUNCTION("""COMPUTED_VALUE"""),43287.9986111111)</f>
        <v/>
      </c>
      <c r="AL195" s="6">
        <f>IFERROR(__xludf.DUMMYFUNCTION("""COMPUTED_VALUE"""),6617.18)</f>
        <v/>
      </c>
      <c r="AP195" s="6">
        <f>AQ195&amp;AR195</f>
        <v/>
      </c>
      <c r="AQ195" s="6">
        <f>YEAR(AS195)</f>
        <v/>
      </c>
      <c r="AR195" s="6">
        <f>MONTH(AS195)</f>
        <v/>
      </c>
      <c r="AS195" s="267">
        <f>IFERROR(__xludf.DUMMYFUNCTION("""COMPUTED_VALUE"""),43374.9986111111)</f>
        <v/>
      </c>
      <c r="AT195" s="6">
        <f>IFERROR(__xludf.DUMMYFUNCTION("""COMPUTED_VALUE"""),1191.7)</f>
        <v/>
      </c>
    </row>
    <row r="196">
      <c r="B196" s="6">
        <f>C196&amp;D196</f>
        <v/>
      </c>
      <c r="C196" s="6">
        <f>YEAR(E196)</f>
        <v/>
      </c>
      <c r="D196" s="6">
        <f>MONTH(E196)</f>
        <v/>
      </c>
      <c r="E196" s="267">
        <f>IFERROR(__xludf.DUMMYFUNCTION("""COMPUTED_VALUE"""),43374.6666666666)</f>
        <v/>
      </c>
      <c r="F196" s="6">
        <f>IFERROR(__xludf.DUMMYFUNCTION("""COMPUTED_VALUE"""),2924.59)</f>
        <v/>
      </c>
      <c r="J196" s="6">
        <f>K196&amp;L196</f>
        <v/>
      </c>
      <c r="K196" s="6">
        <f>YEAR(M196)</f>
        <v/>
      </c>
      <c r="L196" s="6">
        <f>MONTH(M196)</f>
        <v/>
      </c>
      <c r="M196" s="267">
        <f>IFERROR(__xludf.DUMMYFUNCTION("""COMPUTED_VALUE"""),43374.6666666666)</f>
        <v/>
      </c>
      <c r="N196" s="6">
        <f>IFERROR(__xludf.DUMMYFUNCTION("""COMPUTED_VALUE"""),8037.3)</f>
        <v/>
      </c>
      <c r="R196" s="6">
        <f>S196&amp;T196</f>
        <v/>
      </c>
      <c r="S196" s="6">
        <f>YEAR(U196)</f>
        <v/>
      </c>
      <c r="T196" s="6">
        <f>MONTH(U196)</f>
        <v/>
      </c>
      <c r="U196" s="267">
        <f>IFERROR(__xludf.DUMMYFUNCTION("""COMPUTED_VALUE"""),43391.6458333333)</f>
        <v/>
      </c>
      <c r="V196" s="6">
        <f>IFERROR(__xludf.DUMMYFUNCTION("""COMPUTED_VALUE"""),2148.31)</f>
        <v/>
      </c>
      <c r="Z196" s="6">
        <f>AA196&amp;AB196</f>
        <v/>
      </c>
      <c r="AA196" s="6">
        <f>YEAR(AC196)</f>
        <v/>
      </c>
      <c r="AB196" s="6">
        <f>MONTH(AC196)</f>
        <v/>
      </c>
      <c r="AC196" s="267">
        <f>IFERROR(__xludf.DUMMYFUNCTION("""COMPUTED_VALUE"""),43295.9986111111)</f>
        <v/>
      </c>
      <c r="AD196" s="6">
        <f>IFERROR(__xludf.DUMMYFUNCTION("""COMPUTED_VALUE"""),1129.21)</f>
        <v/>
      </c>
      <c r="AH196" s="6">
        <f>AI196&amp;AJ196</f>
        <v/>
      </c>
      <c r="AI196" s="6">
        <f>YEAR(AK196)</f>
        <v/>
      </c>
      <c r="AJ196" s="6">
        <f>MONTH(AK196)</f>
        <v/>
      </c>
      <c r="AK196" s="267">
        <f>IFERROR(__xludf.DUMMYFUNCTION("""COMPUTED_VALUE"""),43288.9986111111)</f>
        <v/>
      </c>
      <c r="AL196" s="6">
        <f>IFERROR(__xludf.DUMMYFUNCTION("""COMPUTED_VALUE"""),6773.66)</f>
        <v/>
      </c>
      <c r="AP196" s="6">
        <f>AQ196&amp;AR196</f>
        <v/>
      </c>
      <c r="AQ196" s="6">
        <f>YEAR(AS196)</f>
        <v/>
      </c>
      <c r="AR196" s="6">
        <f>MONTH(AS196)</f>
        <v/>
      </c>
      <c r="AS196" s="267">
        <f>IFERROR(__xludf.DUMMYFUNCTION("""COMPUTED_VALUE"""),43375.9986111111)</f>
        <v/>
      </c>
      <c r="AT196" s="6">
        <f>IFERROR(__xludf.DUMMYFUNCTION("""COMPUTED_VALUE"""),1207)</f>
        <v/>
      </c>
    </row>
    <row r="197">
      <c r="B197" s="6">
        <f>C197&amp;D197</f>
        <v/>
      </c>
      <c r="C197" s="6">
        <f>YEAR(E197)</f>
        <v/>
      </c>
      <c r="D197" s="6">
        <f>MONTH(E197)</f>
        <v/>
      </c>
      <c r="E197" s="267">
        <f>IFERROR(__xludf.DUMMYFUNCTION("""COMPUTED_VALUE"""),43375.6666666666)</f>
        <v/>
      </c>
      <c r="F197" s="6">
        <f>IFERROR(__xludf.DUMMYFUNCTION("""COMPUTED_VALUE"""),2923.43)</f>
        <v/>
      </c>
      <c r="J197" s="6">
        <f>K197&amp;L197</f>
        <v/>
      </c>
      <c r="K197" s="6">
        <f>YEAR(M197)</f>
        <v/>
      </c>
      <c r="L197" s="6">
        <f>MONTH(M197)</f>
        <v/>
      </c>
      <c r="M197" s="267">
        <f>IFERROR(__xludf.DUMMYFUNCTION("""COMPUTED_VALUE"""),43375.6666666666)</f>
        <v/>
      </c>
      <c r="N197" s="6">
        <f>IFERROR(__xludf.DUMMYFUNCTION("""COMPUTED_VALUE"""),7999.55)</f>
        <v/>
      </c>
      <c r="R197" s="6">
        <f>S197&amp;T197</f>
        <v/>
      </c>
      <c r="S197" s="6">
        <f>YEAR(U197)</f>
        <v/>
      </c>
      <c r="T197" s="6">
        <f>MONTH(U197)</f>
        <v/>
      </c>
      <c r="U197" s="267">
        <f>IFERROR(__xludf.DUMMYFUNCTION("""COMPUTED_VALUE"""),43392.6458333333)</f>
        <v/>
      </c>
      <c r="V197" s="6">
        <f>IFERROR(__xludf.DUMMYFUNCTION("""COMPUTED_VALUE"""),2156.26)</f>
        <v/>
      </c>
      <c r="Z197" s="6">
        <f>AA197&amp;AB197</f>
        <v/>
      </c>
      <c r="AA197" s="6">
        <f>YEAR(AC197)</f>
        <v/>
      </c>
      <c r="AB197" s="6">
        <f>MONTH(AC197)</f>
        <v/>
      </c>
      <c r="AC197" s="267">
        <f>IFERROR(__xludf.DUMMYFUNCTION("""COMPUTED_VALUE"""),43296.9986111111)</f>
        <v/>
      </c>
      <c r="AD197" s="6">
        <f>IFERROR(__xludf.DUMMYFUNCTION("""COMPUTED_VALUE"""),1129.85)</f>
        <v/>
      </c>
      <c r="AH197" s="6">
        <f>AI197&amp;AJ197</f>
        <v/>
      </c>
      <c r="AI197" s="6">
        <f>YEAR(AK197)</f>
        <v/>
      </c>
      <c r="AJ197" s="6">
        <f>MONTH(AK197)</f>
        <v/>
      </c>
      <c r="AK197" s="267">
        <f>IFERROR(__xludf.DUMMYFUNCTION("""COMPUTED_VALUE"""),43289.9986111111)</f>
        <v/>
      </c>
      <c r="AL197" s="6">
        <f>IFERROR(__xludf.DUMMYFUNCTION("""COMPUTED_VALUE"""),6708.97)</f>
        <v/>
      </c>
      <c r="AP197" s="6">
        <f>AQ197&amp;AR197</f>
        <v/>
      </c>
      <c r="AQ197" s="6">
        <f>YEAR(AS197)</f>
        <v/>
      </c>
      <c r="AR197" s="6">
        <f>MONTH(AS197)</f>
        <v/>
      </c>
      <c r="AS197" s="267">
        <f>IFERROR(__xludf.DUMMYFUNCTION("""COMPUTED_VALUE"""),43376.9986111111)</f>
        <v/>
      </c>
      <c r="AT197" s="6">
        <f>IFERROR(__xludf.DUMMYFUNCTION("""COMPUTED_VALUE"""),1202.9)</f>
        <v/>
      </c>
    </row>
    <row r="198">
      <c r="B198" s="6">
        <f>C198&amp;D198</f>
        <v/>
      </c>
      <c r="C198" s="6">
        <f>YEAR(E198)</f>
        <v/>
      </c>
      <c r="D198" s="6">
        <f>MONTH(E198)</f>
        <v/>
      </c>
      <c r="E198" s="267">
        <f>IFERROR(__xludf.DUMMYFUNCTION("""COMPUTED_VALUE"""),43376.6666666666)</f>
        <v/>
      </c>
      <c r="F198" s="6">
        <f>IFERROR(__xludf.DUMMYFUNCTION("""COMPUTED_VALUE"""),2925.51)</f>
        <v/>
      </c>
      <c r="J198" s="6">
        <f>K198&amp;L198</f>
        <v/>
      </c>
      <c r="K198" s="6">
        <f>YEAR(M198)</f>
        <v/>
      </c>
      <c r="L198" s="6">
        <f>MONTH(M198)</f>
        <v/>
      </c>
      <c r="M198" s="267">
        <f>IFERROR(__xludf.DUMMYFUNCTION("""COMPUTED_VALUE"""),43376.6666666666)</f>
        <v/>
      </c>
      <c r="N198" s="6">
        <f>IFERROR(__xludf.DUMMYFUNCTION("""COMPUTED_VALUE"""),8025.09)</f>
        <v/>
      </c>
      <c r="R198" s="6">
        <f>S198&amp;T198</f>
        <v/>
      </c>
      <c r="S198" s="6">
        <f>YEAR(U198)</f>
        <v/>
      </c>
      <c r="T198" s="6">
        <f>MONTH(U198)</f>
        <v/>
      </c>
      <c r="U198" s="267">
        <f>IFERROR(__xludf.DUMMYFUNCTION("""COMPUTED_VALUE"""),43395.6458333333)</f>
        <v/>
      </c>
      <c r="V198" s="6">
        <f>IFERROR(__xludf.DUMMYFUNCTION("""COMPUTED_VALUE"""),2161.71)</f>
        <v/>
      </c>
      <c r="Z198" s="6">
        <f>AA198&amp;AB198</f>
        <v/>
      </c>
      <c r="AA198" s="6">
        <f>YEAR(AC198)</f>
        <v/>
      </c>
      <c r="AB198" s="6">
        <f>MONTH(AC198)</f>
        <v/>
      </c>
      <c r="AC198" s="267">
        <f>IFERROR(__xludf.DUMMYFUNCTION("""COMPUTED_VALUE"""),43297.9986111111)</f>
        <v/>
      </c>
      <c r="AD198" s="6">
        <f>IFERROR(__xludf.DUMMYFUNCTION("""COMPUTED_VALUE"""),1126.9)</f>
        <v/>
      </c>
      <c r="AH198" s="6">
        <f>AI198&amp;AJ198</f>
        <v/>
      </c>
      <c r="AI198" s="6">
        <f>YEAR(AK198)</f>
        <v/>
      </c>
      <c r="AJ198" s="6">
        <f>MONTH(AK198)</f>
        <v/>
      </c>
      <c r="AK198" s="267">
        <f>IFERROR(__xludf.DUMMYFUNCTION("""COMPUTED_VALUE"""),43290.9986111111)</f>
        <v/>
      </c>
      <c r="AL198" s="6">
        <f>IFERROR(__xludf.DUMMYFUNCTION("""COMPUTED_VALUE"""),6663.56)</f>
        <v/>
      </c>
      <c r="AP198" s="6">
        <f>AQ198&amp;AR198</f>
        <v/>
      </c>
      <c r="AQ198" s="6">
        <f>YEAR(AS198)</f>
        <v/>
      </c>
      <c r="AR198" s="6">
        <f>MONTH(AS198)</f>
        <v/>
      </c>
      <c r="AS198" s="267">
        <f>IFERROR(__xludf.DUMMYFUNCTION("""COMPUTED_VALUE"""),43377.9986111111)</f>
        <v/>
      </c>
      <c r="AT198" s="6">
        <f>IFERROR(__xludf.DUMMYFUNCTION("""COMPUTED_VALUE"""),1201.6)</f>
        <v/>
      </c>
    </row>
    <row r="199">
      <c r="B199" s="6">
        <f>C199&amp;D199</f>
        <v/>
      </c>
      <c r="C199" s="6">
        <f>YEAR(E199)</f>
        <v/>
      </c>
      <c r="D199" s="6">
        <f>MONTH(E199)</f>
        <v/>
      </c>
      <c r="E199" s="267">
        <f>IFERROR(__xludf.DUMMYFUNCTION("""COMPUTED_VALUE"""),43377.6666666666)</f>
        <v/>
      </c>
      <c r="F199" s="6">
        <f>IFERROR(__xludf.DUMMYFUNCTION("""COMPUTED_VALUE"""),2901.61)</f>
        <v/>
      </c>
      <c r="J199" s="6">
        <f>K199&amp;L199</f>
        <v/>
      </c>
      <c r="K199" s="6">
        <f>YEAR(M199)</f>
        <v/>
      </c>
      <c r="L199" s="6">
        <f>MONTH(M199)</f>
        <v/>
      </c>
      <c r="M199" s="267">
        <f>IFERROR(__xludf.DUMMYFUNCTION("""COMPUTED_VALUE"""),43377.6666666666)</f>
        <v/>
      </c>
      <c r="N199" s="6">
        <f>IFERROR(__xludf.DUMMYFUNCTION("""COMPUTED_VALUE"""),7879.51)</f>
        <v/>
      </c>
      <c r="R199" s="6">
        <f>S199&amp;T199</f>
        <v/>
      </c>
      <c r="S199" s="6">
        <f>YEAR(U199)</f>
        <v/>
      </c>
      <c r="T199" s="6">
        <f>MONTH(U199)</f>
        <v/>
      </c>
      <c r="U199" s="267">
        <f>IFERROR(__xludf.DUMMYFUNCTION("""COMPUTED_VALUE"""),43396.6458333333)</f>
        <v/>
      </c>
      <c r="V199" s="6">
        <f>IFERROR(__xludf.DUMMYFUNCTION("""COMPUTED_VALUE"""),2106.1)</f>
        <v/>
      </c>
      <c r="Z199" s="6">
        <f>AA199&amp;AB199</f>
        <v/>
      </c>
      <c r="AA199" s="6">
        <f>YEAR(AC199)</f>
        <v/>
      </c>
      <c r="AB199" s="6">
        <f>MONTH(AC199)</f>
        <v/>
      </c>
      <c r="AC199" s="267">
        <f>IFERROR(__xludf.DUMMYFUNCTION("""COMPUTED_VALUE"""),43298.9986111111)</f>
        <v/>
      </c>
      <c r="AD199" s="6">
        <f>IFERROR(__xludf.DUMMYFUNCTION("""COMPUTED_VALUE"""),1125.55)</f>
        <v/>
      </c>
      <c r="AH199" s="6">
        <f>AI199&amp;AJ199</f>
        <v/>
      </c>
      <c r="AI199" s="6">
        <f>YEAR(AK199)</f>
        <v/>
      </c>
      <c r="AJ199" s="6">
        <f>MONTH(AK199)</f>
        <v/>
      </c>
      <c r="AK199" s="267">
        <f>IFERROR(__xludf.DUMMYFUNCTION("""COMPUTED_VALUE"""),43291.9986111111)</f>
        <v/>
      </c>
      <c r="AL199" s="6">
        <f>IFERROR(__xludf.DUMMYFUNCTION("""COMPUTED_VALUE"""),6304.15)</f>
        <v/>
      </c>
      <c r="AP199" s="6">
        <f>AQ199&amp;AR199</f>
        <v/>
      </c>
      <c r="AQ199" s="6">
        <f>YEAR(AS199)</f>
        <v/>
      </c>
      <c r="AR199" s="6">
        <f>MONTH(AS199)</f>
        <v/>
      </c>
      <c r="AS199" s="267">
        <f>IFERROR(__xludf.DUMMYFUNCTION("""COMPUTED_VALUE"""),43378.9986111111)</f>
        <v/>
      </c>
      <c r="AT199" s="6">
        <f>IFERROR(__xludf.DUMMYFUNCTION("""COMPUTED_VALUE"""),1205.6)</f>
        <v/>
      </c>
    </row>
    <row r="200">
      <c r="B200" s="6">
        <f>C200&amp;D200</f>
        <v/>
      </c>
      <c r="C200" s="6">
        <f>YEAR(E200)</f>
        <v/>
      </c>
      <c r="D200" s="6">
        <f>MONTH(E200)</f>
        <v/>
      </c>
      <c r="E200" s="267">
        <f>IFERROR(__xludf.DUMMYFUNCTION("""COMPUTED_VALUE"""),43378.6666666666)</f>
        <v/>
      </c>
      <c r="F200" s="6">
        <f>IFERROR(__xludf.DUMMYFUNCTION("""COMPUTED_VALUE"""),2885.57)</f>
        <v/>
      </c>
      <c r="J200" s="6">
        <f>K200&amp;L200</f>
        <v/>
      </c>
      <c r="K200" s="6">
        <f>YEAR(M200)</f>
        <v/>
      </c>
      <c r="L200" s="6">
        <f>MONTH(M200)</f>
        <v/>
      </c>
      <c r="M200" s="267">
        <f>IFERROR(__xludf.DUMMYFUNCTION("""COMPUTED_VALUE"""),43378.6666666666)</f>
        <v/>
      </c>
      <c r="N200" s="6">
        <f>IFERROR(__xludf.DUMMYFUNCTION("""COMPUTED_VALUE"""),7788.45)</f>
        <v/>
      </c>
      <c r="R200" s="6">
        <f>S200&amp;T200</f>
        <v/>
      </c>
      <c r="S200" s="6">
        <f>YEAR(U200)</f>
        <v/>
      </c>
      <c r="T200" s="6">
        <f>MONTH(U200)</f>
        <v/>
      </c>
      <c r="U200" s="267">
        <f>IFERROR(__xludf.DUMMYFUNCTION("""COMPUTED_VALUE"""),43397.6458333333)</f>
        <v/>
      </c>
      <c r="V200" s="6">
        <f>IFERROR(__xludf.DUMMYFUNCTION("""COMPUTED_VALUE"""),2097.58)</f>
        <v/>
      </c>
      <c r="Z200" s="6">
        <f>AA200&amp;AB200</f>
        <v/>
      </c>
      <c r="AA200" s="6">
        <f>YEAR(AC200)</f>
        <v/>
      </c>
      <c r="AB200" s="6">
        <f>MONTH(AC200)</f>
        <v/>
      </c>
      <c r="AC200" s="267">
        <f>IFERROR(__xludf.DUMMYFUNCTION("""COMPUTED_VALUE"""),43299.9986111111)</f>
        <v/>
      </c>
      <c r="AD200" s="6">
        <f>IFERROR(__xludf.DUMMYFUNCTION("""COMPUTED_VALUE"""),1131.09)</f>
        <v/>
      </c>
      <c r="AH200" s="6">
        <f>AI200&amp;AJ200</f>
        <v/>
      </c>
      <c r="AI200" s="6">
        <f>YEAR(AK200)</f>
        <v/>
      </c>
      <c r="AJ200" s="6">
        <f>MONTH(AK200)</f>
        <v/>
      </c>
      <c r="AK200" s="267">
        <f>IFERROR(__xludf.DUMMYFUNCTION("""COMPUTED_VALUE"""),43292.9986111111)</f>
        <v/>
      </c>
      <c r="AL200" s="6">
        <f>IFERROR(__xludf.DUMMYFUNCTION("""COMPUTED_VALUE"""),6389.39)</f>
        <v/>
      </c>
      <c r="AP200" s="6">
        <f>AQ200&amp;AR200</f>
        <v/>
      </c>
      <c r="AQ200" s="6">
        <f>YEAR(AS200)</f>
        <v/>
      </c>
      <c r="AR200" s="6">
        <f>MONTH(AS200)</f>
        <v/>
      </c>
      <c r="AS200" s="267">
        <f>IFERROR(__xludf.DUMMYFUNCTION("""COMPUTED_VALUE"""),43382.9986111111)</f>
        <v/>
      </c>
      <c r="AT200" s="6">
        <f>IFERROR(__xludf.DUMMYFUNCTION("""COMPUTED_VALUE"""),1191.5)</f>
        <v/>
      </c>
    </row>
    <row r="201">
      <c r="B201" s="6">
        <f>C201&amp;D201</f>
        <v/>
      </c>
      <c r="C201" s="6">
        <f>YEAR(E201)</f>
        <v/>
      </c>
      <c r="D201" s="6">
        <f>MONTH(E201)</f>
        <v/>
      </c>
      <c r="E201" s="267">
        <f>IFERROR(__xludf.DUMMYFUNCTION("""COMPUTED_VALUE"""),43381.6666666666)</f>
        <v/>
      </c>
      <c r="F201" s="6">
        <f>IFERROR(__xludf.DUMMYFUNCTION("""COMPUTED_VALUE"""),2884.43)</f>
        <v/>
      </c>
      <c r="J201" s="6">
        <f>K201&amp;L201</f>
        <v/>
      </c>
      <c r="K201" s="6">
        <f>YEAR(M201)</f>
        <v/>
      </c>
      <c r="L201" s="6">
        <f>MONTH(M201)</f>
        <v/>
      </c>
      <c r="M201" s="267">
        <f>IFERROR(__xludf.DUMMYFUNCTION("""COMPUTED_VALUE"""),43381.6666666666)</f>
        <v/>
      </c>
      <c r="N201" s="6">
        <f>IFERROR(__xludf.DUMMYFUNCTION("""COMPUTED_VALUE"""),7735.95)</f>
        <v/>
      </c>
      <c r="R201" s="6">
        <f>S201&amp;T201</f>
        <v/>
      </c>
      <c r="S201" s="6">
        <f>YEAR(U201)</f>
        <v/>
      </c>
      <c r="T201" s="6">
        <f>MONTH(U201)</f>
        <v/>
      </c>
      <c r="U201" s="267">
        <f>IFERROR(__xludf.DUMMYFUNCTION("""COMPUTED_VALUE"""),43398.6458333333)</f>
        <v/>
      </c>
      <c r="V201" s="6">
        <f>IFERROR(__xludf.DUMMYFUNCTION("""COMPUTED_VALUE"""),2063.3)</f>
        <v/>
      </c>
      <c r="Z201" s="6">
        <f>AA201&amp;AB201</f>
        <v/>
      </c>
      <c r="AA201" s="6">
        <f>YEAR(AC201)</f>
        <v/>
      </c>
      <c r="AB201" s="6">
        <f>MONTH(AC201)</f>
        <v/>
      </c>
      <c r="AC201" s="267">
        <f>IFERROR(__xludf.DUMMYFUNCTION("""COMPUTED_VALUE"""),43300.9986111111)</f>
        <v/>
      </c>
      <c r="AD201" s="6">
        <f>IFERROR(__xludf.DUMMYFUNCTION("""COMPUTED_VALUE"""),1134.48)</f>
        <v/>
      </c>
      <c r="AH201" s="6">
        <f>AI201&amp;AJ201</f>
        <v/>
      </c>
      <c r="AI201" s="6">
        <f>YEAR(AK201)</f>
        <v/>
      </c>
      <c r="AJ201" s="6">
        <f>MONTH(AK201)</f>
        <v/>
      </c>
      <c r="AK201" s="267">
        <f>IFERROR(__xludf.DUMMYFUNCTION("""COMPUTED_VALUE"""),43293.9986111111)</f>
        <v/>
      </c>
      <c r="AL201" s="6">
        <f>IFERROR(__xludf.DUMMYFUNCTION("""COMPUTED_VALUE"""),6238.72)</f>
        <v/>
      </c>
      <c r="AP201" s="6">
        <f>AQ201&amp;AR201</f>
        <v/>
      </c>
      <c r="AQ201" s="6">
        <f>YEAR(AS201)</f>
        <v/>
      </c>
      <c r="AR201" s="6">
        <f>MONTH(AS201)</f>
        <v/>
      </c>
      <c r="AS201" s="267">
        <f>IFERROR(__xludf.DUMMYFUNCTION("""COMPUTED_VALUE"""),43383.9986111111)</f>
        <v/>
      </c>
      <c r="AT201" s="6">
        <f>IFERROR(__xludf.DUMMYFUNCTION("""COMPUTED_VALUE"""),1193.4)</f>
        <v/>
      </c>
    </row>
    <row r="202">
      <c r="B202" s="6">
        <f>C202&amp;D202</f>
        <v/>
      </c>
      <c r="C202" s="6">
        <f>YEAR(E202)</f>
        <v/>
      </c>
      <c r="D202" s="6">
        <f>MONTH(E202)</f>
        <v/>
      </c>
      <c r="E202" s="267">
        <f>IFERROR(__xludf.DUMMYFUNCTION("""COMPUTED_VALUE"""),43382.6666666666)</f>
        <v/>
      </c>
      <c r="F202" s="6">
        <f>IFERROR(__xludf.DUMMYFUNCTION("""COMPUTED_VALUE"""),2880.34)</f>
        <v/>
      </c>
      <c r="J202" s="6">
        <f>K202&amp;L202</f>
        <v/>
      </c>
      <c r="K202" s="6">
        <f>YEAR(M202)</f>
        <v/>
      </c>
      <c r="L202" s="6">
        <f>MONTH(M202)</f>
        <v/>
      </c>
      <c r="M202" s="267">
        <f>IFERROR(__xludf.DUMMYFUNCTION("""COMPUTED_VALUE"""),43382.6666666666)</f>
        <v/>
      </c>
      <c r="N202" s="6">
        <f>IFERROR(__xludf.DUMMYFUNCTION("""COMPUTED_VALUE"""),7738.02)</f>
        <v/>
      </c>
      <c r="R202" s="6">
        <f>S202&amp;T202</f>
        <v/>
      </c>
      <c r="S202" s="6">
        <f>YEAR(U202)</f>
        <v/>
      </c>
      <c r="T202" s="6">
        <f>MONTH(U202)</f>
        <v/>
      </c>
      <c r="U202" s="267">
        <f>IFERROR(__xludf.DUMMYFUNCTION("""COMPUTED_VALUE"""),43399.6458333333)</f>
        <v/>
      </c>
      <c r="V202" s="6">
        <f>IFERROR(__xludf.DUMMYFUNCTION("""COMPUTED_VALUE"""),2027.15)</f>
        <v/>
      </c>
      <c r="Z202" s="6">
        <f>AA202&amp;AB202</f>
        <v/>
      </c>
      <c r="AA202" s="6">
        <f>YEAR(AC202)</f>
        <v/>
      </c>
      <c r="AB202" s="6">
        <f>MONTH(AC202)</f>
        <v/>
      </c>
      <c r="AC202" s="267">
        <f>IFERROR(__xludf.DUMMYFUNCTION("""COMPUTED_VALUE"""),43301.9986111111)</f>
        <v/>
      </c>
      <c r="AD202" s="6">
        <f>IFERROR(__xludf.DUMMYFUNCTION("""COMPUTED_VALUE"""),1126.61)</f>
        <v/>
      </c>
      <c r="AH202" s="6">
        <f>AI202&amp;AJ202</f>
        <v/>
      </c>
      <c r="AI202" s="6">
        <f>YEAR(AK202)</f>
        <v/>
      </c>
      <c r="AJ202" s="6">
        <f>MONTH(AK202)</f>
        <v/>
      </c>
      <c r="AK202" s="267">
        <f>IFERROR(__xludf.DUMMYFUNCTION("""COMPUTED_VALUE"""),43294.9986111111)</f>
        <v/>
      </c>
      <c r="AL202" s="6">
        <f>IFERROR(__xludf.DUMMYFUNCTION("""COMPUTED_VALUE"""),6219.4)</f>
        <v/>
      </c>
      <c r="AP202" s="6">
        <f>AQ202&amp;AR202</f>
        <v/>
      </c>
      <c r="AQ202" s="6">
        <f>YEAR(AS202)</f>
        <v/>
      </c>
      <c r="AR202" s="6">
        <f>MONTH(AS202)</f>
        <v/>
      </c>
      <c r="AS202" s="267">
        <f>IFERROR(__xludf.DUMMYFUNCTION("""COMPUTED_VALUE"""),43384.9986111111)</f>
        <v/>
      </c>
      <c r="AT202" s="6">
        <f>IFERROR(__xludf.DUMMYFUNCTION("""COMPUTED_VALUE"""),1227.6)</f>
        <v/>
      </c>
    </row>
    <row r="203">
      <c r="B203" s="6">
        <f>C203&amp;D203</f>
        <v/>
      </c>
      <c r="C203" s="6">
        <f>YEAR(E203)</f>
        <v/>
      </c>
      <c r="D203" s="6">
        <f>MONTH(E203)</f>
        <v/>
      </c>
      <c r="E203" s="267">
        <f>IFERROR(__xludf.DUMMYFUNCTION("""COMPUTED_VALUE"""),43383.6666666666)</f>
        <v/>
      </c>
      <c r="F203" s="6">
        <f>IFERROR(__xludf.DUMMYFUNCTION("""COMPUTED_VALUE"""),2785.68)</f>
        <v/>
      </c>
      <c r="J203" s="6">
        <f>K203&amp;L203</f>
        <v/>
      </c>
      <c r="K203" s="6">
        <f>YEAR(M203)</f>
        <v/>
      </c>
      <c r="L203" s="6">
        <f>MONTH(M203)</f>
        <v/>
      </c>
      <c r="M203" s="267">
        <f>IFERROR(__xludf.DUMMYFUNCTION("""COMPUTED_VALUE"""),43383.6666666666)</f>
        <v/>
      </c>
      <c r="N203" s="6">
        <f>IFERROR(__xludf.DUMMYFUNCTION("""COMPUTED_VALUE"""),7422.05)</f>
        <v/>
      </c>
      <c r="R203" s="6">
        <f>S203&amp;T203</f>
        <v/>
      </c>
      <c r="S203" s="6">
        <f>YEAR(U203)</f>
        <v/>
      </c>
      <c r="T203" s="6">
        <f>MONTH(U203)</f>
        <v/>
      </c>
      <c r="U203" s="267">
        <f>IFERROR(__xludf.DUMMYFUNCTION("""COMPUTED_VALUE"""),43403.6458333333)</f>
        <v/>
      </c>
      <c r="V203" s="6">
        <f>IFERROR(__xludf.DUMMYFUNCTION("""COMPUTED_VALUE"""),2014.69)</f>
        <v/>
      </c>
      <c r="Z203" s="6">
        <f>AA203&amp;AB203</f>
        <v/>
      </c>
      <c r="AA203" s="6">
        <f>YEAR(AC203)</f>
        <v/>
      </c>
      <c r="AB203" s="6">
        <f>MONTH(AC203)</f>
        <v/>
      </c>
      <c r="AC203" s="267">
        <f>IFERROR(__xludf.DUMMYFUNCTION("""COMPUTED_VALUE"""),43302.9986111111)</f>
        <v/>
      </c>
      <c r="AD203" s="6">
        <f>IFERROR(__xludf.DUMMYFUNCTION("""COMPUTED_VALUE"""),1126)</f>
        <v/>
      </c>
      <c r="AH203" s="6">
        <f>AI203&amp;AJ203</f>
        <v/>
      </c>
      <c r="AI203" s="6">
        <f>YEAR(AK203)</f>
        <v/>
      </c>
      <c r="AJ203" s="6">
        <f>MONTH(AK203)</f>
        <v/>
      </c>
      <c r="AK203" s="267">
        <f>IFERROR(__xludf.DUMMYFUNCTION("""COMPUTED_VALUE"""),43295.9986111111)</f>
        <v/>
      </c>
      <c r="AL203" s="6">
        <f>IFERROR(__xludf.DUMMYFUNCTION("""COMPUTED_VALUE"""),6249.97)</f>
        <v/>
      </c>
      <c r="AP203" s="6">
        <f>AQ203&amp;AR203</f>
        <v/>
      </c>
      <c r="AQ203" s="6">
        <f>YEAR(AS203)</f>
        <v/>
      </c>
      <c r="AR203" s="6">
        <f>MONTH(AS203)</f>
        <v/>
      </c>
      <c r="AS203" s="267">
        <f>IFERROR(__xludf.DUMMYFUNCTION("""COMPUTED_VALUE"""),43385.9986111111)</f>
        <v/>
      </c>
      <c r="AT203" s="6">
        <f>IFERROR(__xludf.DUMMYFUNCTION("""COMPUTED_VALUE"""),1222)</f>
        <v/>
      </c>
    </row>
    <row r="204">
      <c r="B204" s="6">
        <f>C204&amp;D204</f>
        <v/>
      </c>
      <c r="C204" s="6">
        <f>YEAR(E204)</f>
        <v/>
      </c>
      <c r="D204" s="6">
        <f>MONTH(E204)</f>
        <v/>
      </c>
      <c r="E204" s="267">
        <f>IFERROR(__xludf.DUMMYFUNCTION("""COMPUTED_VALUE"""),43384.6666666666)</f>
        <v/>
      </c>
      <c r="F204" s="6">
        <f>IFERROR(__xludf.DUMMYFUNCTION("""COMPUTED_VALUE"""),2728.37)</f>
        <v/>
      </c>
      <c r="J204" s="6">
        <f>K204&amp;L204</f>
        <v/>
      </c>
      <c r="K204" s="6">
        <f>YEAR(M204)</f>
        <v/>
      </c>
      <c r="L204" s="6">
        <f>MONTH(M204)</f>
        <v/>
      </c>
      <c r="M204" s="267">
        <f>IFERROR(__xludf.DUMMYFUNCTION("""COMPUTED_VALUE"""),43384.6666666666)</f>
        <v/>
      </c>
      <c r="N204" s="6">
        <f>IFERROR(__xludf.DUMMYFUNCTION("""COMPUTED_VALUE"""),7329.06)</f>
        <v/>
      </c>
      <c r="R204" s="6">
        <f>S204&amp;T204</f>
        <v/>
      </c>
      <c r="S204" s="6">
        <f>YEAR(U204)</f>
        <v/>
      </c>
      <c r="T204" s="6">
        <f>MONTH(U204)</f>
        <v/>
      </c>
      <c r="U204" s="267">
        <f>IFERROR(__xludf.DUMMYFUNCTION("""COMPUTED_VALUE"""),43404.6458333333)</f>
        <v/>
      </c>
      <c r="V204" s="6">
        <f>IFERROR(__xludf.DUMMYFUNCTION("""COMPUTED_VALUE"""),2029.69)</f>
        <v/>
      </c>
      <c r="Z204" s="6">
        <f>AA204&amp;AB204</f>
        <v/>
      </c>
      <c r="AA204" s="6">
        <f>YEAR(AC204)</f>
        <v/>
      </c>
      <c r="AB204" s="6">
        <f>MONTH(AC204)</f>
        <v/>
      </c>
      <c r="AC204" s="267">
        <f>IFERROR(__xludf.DUMMYFUNCTION("""COMPUTED_VALUE"""),43303.9986111111)</f>
        <v/>
      </c>
      <c r="AD204" s="6">
        <f>IFERROR(__xludf.DUMMYFUNCTION("""COMPUTED_VALUE"""),1127.16)</f>
        <v/>
      </c>
      <c r="AH204" s="6">
        <f>AI204&amp;AJ204</f>
        <v/>
      </c>
      <c r="AI204" s="6">
        <f>YEAR(AK204)</f>
        <v/>
      </c>
      <c r="AJ204" s="6">
        <f>MONTH(AK204)</f>
        <v/>
      </c>
      <c r="AK204" s="267">
        <f>IFERROR(__xludf.DUMMYFUNCTION("""COMPUTED_VALUE"""),43296.9986111111)</f>
        <v/>
      </c>
      <c r="AL204" s="6">
        <f>IFERROR(__xludf.DUMMYFUNCTION("""COMPUTED_VALUE"""),6348.79)</f>
        <v/>
      </c>
      <c r="AP204" s="6">
        <f>AQ204&amp;AR204</f>
        <v/>
      </c>
      <c r="AQ204" s="6">
        <f>YEAR(AS204)</f>
        <v/>
      </c>
      <c r="AR204" s="6">
        <f>MONTH(AS204)</f>
        <v/>
      </c>
      <c r="AS204" s="267">
        <f>IFERROR(__xludf.DUMMYFUNCTION("""COMPUTED_VALUE"""),43388.9986111111)</f>
        <v/>
      </c>
      <c r="AT204" s="6">
        <f>IFERROR(__xludf.DUMMYFUNCTION("""COMPUTED_VALUE"""),1230.3)</f>
        <v/>
      </c>
    </row>
    <row r="205">
      <c r="B205" s="6">
        <f>C205&amp;D205</f>
        <v/>
      </c>
      <c r="C205" s="6">
        <f>YEAR(E205)</f>
        <v/>
      </c>
      <c r="D205" s="6">
        <f>MONTH(E205)</f>
        <v/>
      </c>
      <c r="E205" s="267">
        <f>IFERROR(__xludf.DUMMYFUNCTION("""COMPUTED_VALUE"""),43385.6666666666)</f>
        <v/>
      </c>
      <c r="F205" s="6">
        <f>IFERROR(__xludf.DUMMYFUNCTION("""COMPUTED_VALUE"""),2767.13)</f>
        <v/>
      </c>
      <c r="J205" s="6">
        <f>K205&amp;L205</f>
        <v/>
      </c>
      <c r="K205" s="6">
        <f>YEAR(M205)</f>
        <v/>
      </c>
      <c r="L205" s="6">
        <f>MONTH(M205)</f>
        <v/>
      </c>
      <c r="M205" s="267">
        <f>IFERROR(__xludf.DUMMYFUNCTION("""COMPUTED_VALUE"""),43385.6666666666)</f>
        <v/>
      </c>
      <c r="N205" s="6">
        <f>IFERROR(__xludf.DUMMYFUNCTION("""COMPUTED_VALUE"""),7496.89)</f>
        <v/>
      </c>
      <c r="R205" s="6">
        <f>S205&amp;T205</f>
        <v/>
      </c>
      <c r="S205" s="6">
        <f>YEAR(U205)</f>
        <v/>
      </c>
      <c r="T205" s="6">
        <f>MONTH(U205)</f>
        <v/>
      </c>
      <c r="U205" s="267">
        <f>IFERROR(__xludf.DUMMYFUNCTION("""COMPUTED_VALUE"""),43405.6458333333)</f>
        <v/>
      </c>
      <c r="V205" s="6">
        <f>IFERROR(__xludf.DUMMYFUNCTION("""COMPUTED_VALUE"""),2024.46)</f>
        <v/>
      </c>
      <c r="Z205" s="6">
        <f>AA205&amp;AB205</f>
        <v/>
      </c>
      <c r="AA205" s="6">
        <f>YEAR(AC205)</f>
        <v/>
      </c>
      <c r="AB205" s="6">
        <f>MONTH(AC205)</f>
        <v/>
      </c>
      <c r="AC205" s="267">
        <f>IFERROR(__xludf.DUMMYFUNCTION("""COMPUTED_VALUE"""),43304.9986111111)</f>
        <v/>
      </c>
      <c r="AD205" s="6">
        <f>IFERROR(__xludf.DUMMYFUNCTION("""COMPUTED_VALUE"""),1132.45)</f>
        <v/>
      </c>
      <c r="AH205" s="6">
        <f>AI205&amp;AJ205</f>
        <v/>
      </c>
      <c r="AI205" s="6">
        <f>YEAR(AK205)</f>
        <v/>
      </c>
      <c r="AJ205" s="6">
        <f>MONTH(AK205)</f>
        <v/>
      </c>
      <c r="AK205" s="267">
        <f>IFERROR(__xludf.DUMMYFUNCTION("""COMPUTED_VALUE"""),43297.9986111111)</f>
        <v/>
      </c>
      <c r="AL205" s="6">
        <f>IFERROR(__xludf.DUMMYFUNCTION("""COMPUTED_VALUE"""),6714.31)</f>
        <v/>
      </c>
      <c r="AP205" s="6">
        <f>AQ205&amp;AR205</f>
        <v/>
      </c>
      <c r="AQ205" s="6">
        <f>YEAR(AS205)</f>
        <v/>
      </c>
      <c r="AR205" s="6">
        <f>MONTH(AS205)</f>
        <v/>
      </c>
      <c r="AS205" s="267">
        <f>IFERROR(__xludf.DUMMYFUNCTION("""COMPUTED_VALUE"""),43389.9986111111)</f>
        <v/>
      </c>
      <c r="AT205" s="6">
        <f>IFERROR(__xludf.DUMMYFUNCTION("""COMPUTED_VALUE"""),1231)</f>
        <v/>
      </c>
    </row>
    <row r="206">
      <c r="B206" s="6">
        <f>C206&amp;D206</f>
        <v/>
      </c>
      <c r="C206" s="6">
        <f>YEAR(E206)</f>
        <v/>
      </c>
      <c r="D206" s="6">
        <f>MONTH(E206)</f>
        <v/>
      </c>
      <c r="E206" s="267">
        <f>IFERROR(__xludf.DUMMYFUNCTION("""COMPUTED_VALUE"""),43388.6666666666)</f>
        <v/>
      </c>
      <c r="F206" s="6">
        <f>IFERROR(__xludf.DUMMYFUNCTION("""COMPUTED_VALUE"""),2750.79)</f>
        <v/>
      </c>
      <c r="J206" s="6">
        <f>K206&amp;L206</f>
        <v/>
      </c>
      <c r="K206" s="6">
        <f>YEAR(M206)</f>
        <v/>
      </c>
      <c r="L206" s="6">
        <f>MONTH(M206)</f>
        <v/>
      </c>
      <c r="M206" s="267">
        <f>IFERROR(__xludf.DUMMYFUNCTION("""COMPUTED_VALUE"""),43388.6666666666)</f>
        <v/>
      </c>
      <c r="N206" s="6">
        <f>IFERROR(__xludf.DUMMYFUNCTION("""COMPUTED_VALUE"""),7430.74)</f>
        <v/>
      </c>
      <c r="R206" s="6">
        <f>S206&amp;T206</f>
        <v/>
      </c>
      <c r="S206" s="6">
        <f>YEAR(U206)</f>
        <v/>
      </c>
      <c r="T206" s="6">
        <f>MONTH(U206)</f>
        <v/>
      </c>
      <c r="U206" s="267">
        <f>IFERROR(__xludf.DUMMYFUNCTION("""COMPUTED_VALUE"""),43406.6458333333)</f>
        <v/>
      </c>
      <c r="V206" s="6">
        <f>IFERROR(__xludf.DUMMYFUNCTION("""COMPUTED_VALUE"""),2096)</f>
        <v/>
      </c>
      <c r="Z206" s="6">
        <f>AA206&amp;AB206</f>
        <v/>
      </c>
      <c r="AA206" s="6">
        <f>YEAR(AC206)</f>
        <v/>
      </c>
      <c r="AB206" s="6">
        <f>MONTH(AC206)</f>
        <v/>
      </c>
      <c r="AC206" s="267">
        <f>IFERROR(__xludf.DUMMYFUNCTION("""COMPUTED_VALUE"""),43305.9986111111)</f>
        <v/>
      </c>
      <c r="AD206" s="6">
        <f>IFERROR(__xludf.DUMMYFUNCTION("""COMPUTED_VALUE"""),1127.98)</f>
        <v/>
      </c>
      <c r="AH206" s="6">
        <f>AI206&amp;AJ206</f>
        <v/>
      </c>
      <c r="AI206" s="6">
        <f>YEAR(AK206)</f>
        <v/>
      </c>
      <c r="AJ206" s="6">
        <f>MONTH(AK206)</f>
        <v/>
      </c>
      <c r="AK206" s="267">
        <f>IFERROR(__xludf.DUMMYFUNCTION("""COMPUTED_VALUE"""),43298.9986111111)</f>
        <v/>
      </c>
      <c r="AL206" s="6">
        <f>IFERROR(__xludf.DUMMYFUNCTION("""COMPUTED_VALUE"""),7317.27)</f>
        <v/>
      </c>
      <c r="AP206" s="6">
        <f>AQ206&amp;AR206</f>
        <v/>
      </c>
      <c r="AQ206" s="6">
        <f>YEAR(AS206)</f>
        <v/>
      </c>
      <c r="AR206" s="6">
        <f>MONTH(AS206)</f>
        <v/>
      </c>
      <c r="AS206" s="267">
        <f>IFERROR(__xludf.DUMMYFUNCTION("""COMPUTED_VALUE"""),43390.9986111111)</f>
        <v/>
      </c>
      <c r="AT206" s="6">
        <f>IFERROR(__xludf.DUMMYFUNCTION("""COMPUTED_VALUE"""),1227.4)</f>
        <v/>
      </c>
    </row>
    <row r="207">
      <c r="B207" s="6">
        <f>C207&amp;D207</f>
        <v/>
      </c>
      <c r="C207" s="6">
        <f>YEAR(E207)</f>
        <v/>
      </c>
      <c r="D207" s="6">
        <f>MONTH(E207)</f>
        <v/>
      </c>
      <c r="E207" s="267">
        <f>IFERROR(__xludf.DUMMYFUNCTION("""COMPUTED_VALUE"""),43389.6666666666)</f>
        <v/>
      </c>
      <c r="F207" s="6">
        <f>IFERROR(__xludf.DUMMYFUNCTION("""COMPUTED_VALUE"""),2809.92)</f>
        <v/>
      </c>
      <c r="J207" s="6">
        <f>K207&amp;L207</f>
        <v/>
      </c>
      <c r="K207" s="6">
        <f>YEAR(M207)</f>
        <v/>
      </c>
      <c r="L207" s="6">
        <f>MONTH(M207)</f>
        <v/>
      </c>
      <c r="M207" s="267">
        <f>IFERROR(__xludf.DUMMYFUNCTION("""COMPUTED_VALUE"""),43389.6666666666)</f>
        <v/>
      </c>
      <c r="N207" s="6">
        <f>IFERROR(__xludf.DUMMYFUNCTION("""COMPUTED_VALUE"""),7645.49)</f>
        <v/>
      </c>
      <c r="R207" s="6">
        <f>S207&amp;T207</f>
        <v/>
      </c>
      <c r="S207" s="6">
        <f>YEAR(U207)</f>
        <v/>
      </c>
      <c r="T207" s="6">
        <f>MONTH(U207)</f>
        <v/>
      </c>
      <c r="U207" s="267">
        <f>IFERROR(__xludf.DUMMYFUNCTION("""COMPUTED_VALUE"""),43409.6458333333)</f>
        <v/>
      </c>
      <c r="V207" s="6">
        <f>IFERROR(__xludf.DUMMYFUNCTION("""COMPUTED_VALUE"""),2076.92)</f>
        <v/>
      </c>
      <c r="Z207" s="6">
        <f>AA207&amp;AB207</f>
        <v/>
      </c>
      <c r="AA207" s="6">
        <f>YEAR(AC207)</f>
        <v/>
      </c>
      <c r="AB207" s="6">
        <f>MONTH(AC207)</f>
        <v/>
      </c>
      <c r="AC207" s="267">
        <f>IFERROR(__xludf.DUMMYFUNCTION("""COMPUTED_VALUE"""),43306.9986111111)</f>
        <v/>
      </c>
      <c r="AD207" s="6">
        <f>IFERROR(__xludf.DUMMYFUNCTION("""COMPUTED_VALUE"""),1115.75)</f>
        <v/>
      </c>
      <c r="AH207" s="6">
        <f>AI207&amp;AJ207</f>
        <v/>
      </c>
      <c r="AI207" s="6">
        <f>YEAR(AK207)</f>
        <v/>
      </c>
      <c r="AJ207" s="6">
        <f>MONTH(AK207)</f>
        <v/>
      </c>
      <c r="AK207" s="267">
        <f>IFERROR(__xludf.DUMMYFUNCTION("""COMPUTED_VALUE"""),43299.9986111111)</f>
        <v/>
      </c>
      <c r="AL207" s="6">
        <f>IFERROR(__xludf.DUMMYFUNCTION("""COMPUTED_VALUE"""),7378.37)</f>
        <v/>
      </c>
      <c r="AP207" s="6">
        <f>AQ207&amp;AR207</f>
        <v/>
      </c>
      <c r="AQ207" s="6">
        <f>YEAR(AS207)</f>
        <v/>
      </c>
      <c r="AR207" s="6">
        <f>MONTH(AS207)</f>
        <v/>
      </c>
      <c r="AS207" s="267">
        <f>IFERROR(__xludf.DUMMYFUNCTION("""COMPUTED_VALUE"""),43391.9986111111)</f>
        <v/>
      </c>
      <c r="AT207" s="6">
        <f>IFERROR(__xludf.DUMMYFUNCTION("""COMPUTED_VALUE"""),1230.1)</f>
        <v/>
      </c>
    </row>
    <row r="208">
      <c r="B208" s="6">
        <f>C208&amp;D208</f>
        <v/>
      </c>
      <c r="C208" s="6">
        <f>YEAR(E208)</f>
        <v/>
      </c>
      <c r="D208" s="6">
        <f>MONTH(E208)</f>
        <v/>
      </c>
      <c r="E208" s="267">
        <f>IFERROR(__xludf.DUMMYFUNCTION("""COMPUTED_VALUE"""),43390.6666666666)</f>
        <v/>
      </c>
      <c r="F208" s="6">
        <f>IFERROR(__xludf.DUMMYFUNCTION("""COMPUTED_VALUE"""),2809.21)</f>
        <v/>
      </c>
      <c r="J208" s="6">
        <f>K208&amp;L208</f>
        <v/>
      </c>
      <c r="K208" s="6">
        <f>YEAR(M208)</f>
        <v/>
      </c>
      <c r="L208" s="6">
        <f>MONTH(M208)</f>
        <v/>
      </c>
      <c r="M208" s="267">
        <f>IFERROR(__xludf.DUMMYFUNCTION("""COMPUTED_VALUE"""),43390.6666666666)</f>
        <v/>
      </c>
      <c r="N208" s="6">
        <f>IFERROR(__xludf.DUMMYFUNCTION("""COMPUTED_VALUE"""),7642.7)</f>
        <v/>
      </c>
      <c r="R208" s="6">
        <f>S208&amp;T208</f>
        <v/>
      </c>
      <c r="S208" s="6">
        <f>YEAR(U208)</f>
        <v/>
      </c>
      <c r="T208" s="6">
        <f>MONTH(U208)</f>
        <v/>
      </c>
      <c r="U208" s="267">
        <f>IFERROR(__xludf.DUMMYFUNCTION("""COMPUTED_VALUE"""),43410.6458333333)</f>
        <v/>
      </c>
      <c r="V208" s="6">
        <f>IFERROR(__xludf.DUMMYFUNCTION("""COMPUTED_VALUE"""),2089.62)</f>
        <v/>
      </c>
      <c r="Z208" s="6">
        <f>AA208&amp;AB208</f>
        <v/>
      </c>
      <c r="AA208" s="6">
        <f>YEAR(AC208)</f>
        <v/>
      </c>
      <c r="AB208" s="6">
        <f>MONTH(AC208)</f>
        <v/>
      </c>
      <c r="AC208" s="267">
        <f>IFERROR(__xludf.DUMMYFUNCTION("""COMPUTED_VALUE"""),43307.9986111111)</f>
        <v/>
      </c>
      <c r="AD208" s="6">
        <f>IFERROR(__xludf.DUMMYFUNCTION("""COMPUTED_VALUE"""),1123.15)</f>
        <v/>
      </c>
      <c r="AH208" s="6">
        <f>AI208&amp;AJ208</f>
        <v/>
      </c>
      <c r="AI208" s="6">
        <f>YEAR(AK208)</f>
        <v/>
      </c>
      <c r="AJ208" s="6">
        <f>MONTH(AK208)</f>
        <v/>
      </c>
      <c r="AK208" s="267">
        <f>IFERROR(__xludf.DUMMYFUNCTION("""COMPUTED_VALUE"""),43300.9986111111)</f>
        <v/>
      </c>
      <c r="AL208" s="6">
        <f>IFERROR(__xludf.DUMMYFUNCTION("""COMPUTED_VALUE"""),7472.81)</f>
        <v/>
      </c>
      <c r="AP208" s="6">
        <f>AQ208&amp;AR208</f>
        <v/>
      </c>
      <c r="AQ208" s="6">
        <f>YEAR(AS208)</f>
        <v/>
      </c>
      <c r="AR208" s="6">
        <f>MONTH(AS208)</f>
        <v/>
      </c>
      <c r="AS208" s="267">
        <f>IFERROR(__xludf.DUMMYFUNCTION("""COMPUTED_VALUE"""),43392.9986111111)</f>
        <v/>
      </c>
      <c r="AT208" s="6">
        <f>IFERROR(__xludf.DUMMYFUNCTION("""COMPUTED_VALUE"""),1228.7)</f>
        <v/>
      </c>
    </row>
    <row r="209">
      <c r="B209" s="6">
        <f>C209&amp;D209</f>
        <v/>
      </c>
      <c r="C209" s="6">
        <f>YEAR(E209)</f>
        <v/>
      </c>
      <c r="D209" s="6">
        <f>MONTH(E209)</f>
        <v/>
      </c>
      <c r="E209" s="267">
        <f>IFERROR(__xludf.DUMMYFUNCTION("""COMPUTED_VALUE"""),43391.6666666666)</f>
        <v/>
      </c>
      <c r="F209" s="6">
        <f>IFERROR(__xludf.DUMMYFUNCTION("""COMPUTED_VALUE"""),2768.78)</f>
        <v/>
      </c>
      <c r="J209" s="6">
        <f>K209&amp;L209</f>
        <v/>
      </c>
      <c r="K209" s="6">
        <f>YEAR(M209)</f>
        <v/>
      </c>
      <c r="L209" s="6">
        <f>MONTH(M209)</f>
        <v/>
      </c>
      <c r="M209" s="267">
        <f>IFERROR(__xludf.DUMMYFUNCTION("""COMPUTED_VALUE"""),43391.6666666666)</f>
        <v/>
      </c>
      <c r="N209" s="6">
        <f>IFERROR(__xludf.DUMMYFUNCTION("""COMPUTED_VALUE"""),7485.14)</f>
        <v/>
      </c>
      <c r="R209" s="6">
        <f>S209&amp;T209</f>
        <v/>
      </c>
      <c r="S209" s="6">
        <f>YEAR(U209)</f>
        <v/>
      </c>
      <c r="T209" s="6">
        <f>MONTH(U209)</f>
        <v/>
      </c>
      <c r="U209" s="267">
        <f>IFERROR(__xludf.DUMMYFUNCTION("""COMPUTED_VALUE"""),43411.6458333333)</f>
        <v/>
      </c>
      <c r="V209" s="6">
        <f>IFERROR(__xludf.DUMMYFUNCTION("""COMPUTED_VALUE"""),2078.69)</f>
        <v/>
      </c>
      <c r="Z209" s="6">
        <f>AA209&amp;AB209</f>
        <v/>
      </c>
      <c r="AA209" s="6">
        <f>YEAR(AC209)</f>
        <v/>
      </c>
      <c r="AB209" s="6">
        <f>MONTH(AC209)</f>
        <v/>
      </c>
      <c r="AC209" s="267">
        <f>IFERROR(__xludf.DUMMYFUNCTION("""COMPUTED_VALUE"""),43308.9986111111)</f>
        <v/>
      </c>
      <c r="AD209" s="6">
        <f>IFERROR(__xludf.DUMMYFUNCTION("""COMPUTED_VALUE"""),1114.88)</f>
        <v/>
      </c>
      <c r="AH209" s="6">
        <f>AI209&amp;AJ209</f>
        <v/>
      </c>
      <c r="AI209" s="6">
        <f>YEAR(AK209)</f>
        <v/>
      </c>
      <c r="AJ209" s="6">
        <f>MONTH(AK209)</f>
        <v/>
      </c>
      <c r="AK209" s="267">
        <f>IFERROR(__xludf.DUMMYFUNCTION("""COMPUTED_VALUE"""),43301.9986111111)</f>
        <v/>
      </c>
      <c r="AL209" s="6">
        <f>IFERROR(__xludf.DUMMYFUNCTION("""COMPUTED_VALUE"""),7334.62)</f>
        <v/>
      </c>
      <c r="AP209" s="6">
        <f>AQ209&amp;AR209</f>
        <v/>
      </c>
      <c r="AQ209" s="6">
        <f>YEAR(AS209)</f>
        <v/>
      </c>
      <c r="AR209" s="6">
        <f>MONTH(AS209)</f>
        <v/>
      </c>
      <c r="AS209" s="267">
        <f>IFERROR(__xludf.DUMMYFUNCTION("""COMPUTED_VALUE"""),43395.9986111111)</f>
        <v/>
      </c>
      <c r="AT209" s="6">
        <f>IFERROR(__xludf.DUMMYFUNCTION("""COMPUTED_VALUE"""),1224.6)</f>
        <v/>
      </c>
    </row>
    <row r="210">
      <c r="B210" s="6">
        <f>C210&amp;D210</f>
        <v/>
      </c>
      <c r="C210" s="6">
        <f>YEAR(E210)</f>
        <v/>
      </c>
      <c r="D210" s="6">
        <f>MONTH(E210)</f>
        <v/>
      </c>
      <c r="E210" s="267">
        <f>IFERROR(__xludf.DUMMYFUNCTION("""COMPUTED_VALUE"""),43392.6666666666)</f>
        <v/>
      </c>
      <c r="F210" s="6">
        <f>IFERROR(__xludf.DUMMYFUNCTION("""COMPUTED_VALUE"""),2767.78)</f>
        <v/>
      </c>
      <c r="J210" s="6">
        <f>K210&amp;L210</f>
        <v/>
      </c>
      <c r="K210" s="6">
        <f>YEAR(M210)</f>
        <v/>
      </c>
      <c r="L210" s="6">
        <f>MONTH(M210)</f>
        <v/>
      </c>
      <c r="M210" s="267">
        <f>IFERROR(__xludf.DUMMYFUNCTION("""COMPUTED_VALUE"""),43392.6666666666)</f>
        <v/>
      </c>
      <c r="N210" s="6">
        <f>IFERROR(__xludf.DUMMYFUNCTION("""COMPUTED_VALUE"""),7449.03)</f>
        <v/>
      </c>
      <c r="R210" s="6">
        <f>S210&amp;T210</f>
        <v/>
      </c>
      <c r="S210" s="6">
        <f>YEAR(U210)</f>
        <v/>
      </c>
      <c r="T210" s="6">
        <f>MONTH(U210)</f>
        <v/>
      </c>
      <c r="U210" s="267">
        <f>IFERROR(__xludf.DUMMYFUNCTION("""COMPUTED_VALUE"""),43412.6458333333)</f>
        <v/>
      </c>
      <c r="V210" s="6">
        <f>IFERROR(__xludf.DUMMYFUNCTION("""COMPUTED_VALUE"""),2092.63)</f>
        <v/>
      </c>
      <c r="Z210" s="6">
        <f>AA210&amp;AB210</f>
        <v/>
      </c>
      <c r="AA210" s="6">
        <f>YEAR(AC210)</f>
        <v/>
      </c>
      <c r="AB210" s="6">
        <f>MONTH(AC210)</f>
        <v/>
      </c>
      <c r="AC210" s="267">
        <f>IFERROR(__xludf.DUMMYFUNCTION("""COMPUTED_VALUE"""),43310.9986111111)</f>
        <v/>
      </c>
      <c r="AD210" s="6">
        <f>IFERROR(__xludf.DUMMYFUNCTION("""COMPUTED_VALUE"""),1114.6)</f>
        <v/>
      </c>
      <c r="AH210" s="6">
        <f>AI210&amp;AJ210</f>
        <v/>
      </c>
      <c r="AI210" s="6">
        <f>YEAR(AK210)</f>
        <v/>
      </c>
      <c r="AJ210" s="6">
        <f>MONTH(AK210)</f>
        <v/>
      </c>
      <c r="AK210" s="267">
        <f>IFERROR(__xludf.DUMMYFUNCTION("""COMPUTED_VALUE"""),43302.9986111111)</f>
        <v/>
      </c>
      <c r="AL210" s="6">
        <f>IFERROR(__xludf.DUMMYFUNCTION("""COMPUTED_VALUE"""),7423.37)</f>
        <v/>
      </c>
      <c r="AP210" s="6">
        <f>AQ210&amp;AR210</f>
        <v/>
      </c>
      <c r="AQ210" s="6">
        <f>YEAR(AS210)</f>
        <v/>
      </c>
      <c r="AR210" s="6">
        <f>MONTH(AS210)</f>
        <v/>
      </c>
      <c r="AS210" s="267">
        <f>IFERROR(__xludf.DUMMYFUNCTION("""COMPUTED_VALUE"""),43396.9986111111)</f>
        <v/>
      </c>
      <c r="AT210" s="6">
        <f>IFERROR(__xludf.DUMMYFUNCTION("""COMPUTED_VALUE"""),1236.8)</f>
        <v/>
      </c>
    </row>
    <row r="211">
      <c r="B211" s="6">
        <f>C211&amp;D211</f>
        <v/>
      </c>
      <c r="C211" s="6">
        <f>YEAR(E211)</f>
        <v/>
      </c>
      <c r="D211" s="6">
        <f>MONTH(E211)</f>
        <v/>
      </c>
      <c r="E211" s="267">
        <f>IFERROR(__xludf.DUMMYFUNCTION("""COMPUTED_VALUE"""),43395.6666666666)</f>
        <v/>
      </c>
      <c r="F211" s="6">
        <f>IFERROR(__xludf.DUMMYFUNCTION("""COMPUTED_VALUE"""),2755.88)</f>
        <v/>
      </c>
      <c r="J211" s="6">
        <f>K211&amp;L211</f>
        <v/>
      </c>
      <c r="K211" s="6">
        <f>YEAR(M211)</f>
        <v/>
      </c>
      <c r="L211" s="6">
        <f>MONTH(M211)</f>
        <v/>
      </c>
      <c r="M211" s="267">
        <f>IFERROR(__xludf.DUMMYFUNCTION("""COMPUTED_VALUE"""),43395.6666666666)</f>
        <v/>
      </c>
      <c r="N211" s="6">
        <f>IFERROR(__xludf.DUMMYFUNCTION("""COMPUTED_VALUE"""),7468.63)</f>
        <v/>
      </c>
      <c r="R211" s="6">
        <f>S211&amp;T211</f>
        <v/>
      </c>
      <c r="S211" s="6">
        <f>YEAR(U211)</f>
        <v/>
      </c>
      <c r="T211" s="6">
        <f>MONTH(U211)</f>
        <v/>
      </c>
      <c r="U211" s="267">
        <f>IFERROR(__xludf.DUMMYFUNCTION("""COMPUTED_VALUE"""),43413.6458333333)</f>
        <v/>
      </c>
      <c r="V211" s="6">
        <f>IFERROR(__xludf.DUMMYFUNCTION("""COMPUTED_VALUE"""),2086.09)</f>
        <v/>
      </c>
      <c r="Z211" s="6">
        <f>AA211&amp;AB211</f>
        <v/>
      </c>
      <c r="AA211" s="6">
        <f>YEAR(AC211)</f>
        <v/>
      </c>
      <c r="AB211" s="6">
        <f>MONTH(AC211)</f>
        <v/>
      </c>
      <c r="AC211" s="267">
        <f>IFERROR(__xludf.DUMMYFUNCTION("""COMPUTED_VALUE"""),43311.9986111111)</f>
        <v/>
      </c>
      <c r="AD211" s="6">
        <f>IFERROR(__xludf.DUMMYFUNCTION("""COMPUTED_VALUE"""),1116.67)</f>
        <v/>
      </c>
      <c r="AH211" s="6">
        <f>AI211&amp;AJ211</f>
        <v/>
      </c>
      <c r="AI211" s="6">
        <f>YEAR(AK211)</f>
        <v/>
      </c>
      <c r="AJ211" s="6">
        <f>MONTH(AK211)</f>
        <v/>
      </c>
      <c r="AK211" s="267">
        <f>IFERROR(__xludf.DUMMYFUNCTION("""COMPUTED_VALUE"""),43303.9986111111)</f>
        <v/>
      </c>
      <c r="AL211" s="6">
        <f>IFERROR(__xludf.DUMMYFUNCTION("""COMPUTED_VALUE"""),7398.44)</f>
        <v/>
      </c>
      <c r="AP211" s="6">
        <f>AQ211&amp;AR211</f>
        <v/>
      </c>
      <c r="AQ211" s="6">
        <f>YEAR(AS211)</f>
        <v/>
      </c>
      <c r="AR211" s="6">
        <f>MONTH(AS211)</f>
        <v/>
      </c>
      <c r="AS211" s="267">
        <f>IFERROR(__xludf.DUMMYFUNCTION("""COMPUTED_VALUE"""),43397.9986111111)</f>
        <v/>
      </c>
      <c r="AT211" s="6">
        <f>IFERROR(__xludf.DUMMYFUNCTION("""COMPUTED_VALUE"""),1231.1)</f>
        <v/>
      </c>
    </row>
    <row r="212">
      <c r="B212" s="6">
        <f>C212&amp;D212</f>
        <v/>
      </c>
      <c r="C212" s="6">
        <f>YEAR(E212)</f>
        <v/>
      </c>
      <c r="D212" s="6">
        <f>MONTH(E212)</f>
        <v/>
      </c>
      <c r="E212" s="267">
        <f>IFERROR(__xludf.DUMMYFUNCTION("""COMPUTED_VALUE"""),43396.6666666666)</f>
        <v/>
      </c>
      <c r="F212" s="6">
        <f>IFERROR(__xludf.DUMMYFUNCTION("""COMPUTED_VALUE"""),2740.69)</f>
        <v/>
      </c>
      <c r="J212" s="6">
        <f>K212&amp;L212</f>
        <v/>
      </c>
      <c r="K212" s="6">
        <f>YEAR(M212)</f>
        <v/>
      </c>
      <c r="L212" s="6">
        <f>MONTH(M212)</f>
        <v/>
      </c>
      <c r="M212" s="267">
        <f>IFERROR(__xludf.DUMMYFUNCTION("""COMPUTED_VALUE"""),43396.6666666666)</f>
        <v/>
      </c>
      <c r="N212" s="6">
        <f>IFERROR(__xludf.DUMMYFUNCTION("""COMPUTED_VALUE"""),7437.54)</f>
        <v/>
      </c>
      <c r="R212" s="6">
        <f>S212&amp;T212</f>
        <v/>
      </c>
      <c r="S212" s="6">
        <f>YEAR(U212)</f>
        <v/>
      </c>
      <c r="T212" s="6">
        <f>MONTH(U212)</f>
        <v/>
      </c>
      <c r="U212" s="267">
        <f>IFERROR(__xludf.DUMMYFUNCTION("""COMPUTED_VALUE"""),43416.6458333333)</f>
        <v/>
      </c>
      <c r="V212" s="6">
        <f>IFERROR(__xludf.DUMMYFUNCTION("""COMPUTED_VALUE"""),2080.44)</f>
        <v/>
      </c>
      <c r="Z212" s="6">
        <f>AA212&amp;AB212</f>
        <v/>
      </c>
      <c r="AA212" s="6">
        <f>YEAR(AC212)</f>
        <v/>
      </c>
      <c r="AB212" s="6">
        <f>MONTH(AC212)</f>
        <v/>
      </c>
      <c r="AC212" s="267">
        <f>IFERROR(__xludf.DUMMYFUNCTION("""COMPUTED_VALUE"""),43312.9986111111)</f>
        <v/>
      </c>
      <c r="AD212" s="6">
        <f>IFERROR(__xludf.DUMMYFUNCTION("""COMPUTED_VALUE"""),1112.2)</f>
        <v/>
      </c>
      <c r="AH212" s="6">
        <f>AI212&amp;AJ212</f>
        <v/>
      </c>
      <c r="AI212" s="6">
        <f>YEAR(AK212)</f>
        <v/>
      </c>
      <c r="AJ212" s="6">
        <f>MONTH(AK212)</f>
        <v/>
      </c>
      <c r="AK212" s="267">
        <f>IFERROR(__xludf.DUMMYFUNCTION("""COMPUTED_VALUE"""),43304.9986111111)</f>
        <v/>
      </c>
      <c r="AL212" s="6">
        <f>IFERROR(__xludf.DUMMYFUNCTION("""COMPUTED_VALUE"""),7717.55)</f>
        <v/>
      </c>
      <c r="AP212" s="6">
        <f>AQ212&amp;AR212</f>
        <v/>
      </c>
      <c r="AQ212" s="6">
        <f>YEAR(AS212)</f>
        <v/>
      </c>
      <c r="AR212" s="6">
        <f>MONTH(AS212)</f>
        <v/>
      </c>
      <c r="AS212" s="267">
        <f>IFERROR(__xludf.DUMMYFUNCTION("""COMPUTED_VALUE"""),43398.9986111111)</f>
        <v/>
      </c>
      <c r="AT212" s="6">
        <f>IFERROR(__xludf.DUMMYFUNCTION("""COMPUTED_VALUE"""),1232.4)</f>
        <v/>
      </c>
    </row>
    <row r="213">
      <c r="B213" s="6">
        <f>C213&amp;D213</f>
        <v/>
      </c>
      <c r="C213" s="6">
        <f>YEAR(E213)</f>
        <v/>
      </c>
      <c r="D213" s="6">
        <f>MONTH(E213)</f>
        <v/>
      </c>
      <c r="E213" s="267">
        <f>IFERROR(__xludf.DUMMYFUNCTION("""COMPUTED_VALUE"""),43397.6666666666)</f>
        <v/>
      </c>
      <c r="F213" s="6">
        <f>IFERROR(__xludf.DUMMYFUNCTION("""COMPUTED_VALUE"""),2656.1)</f>
        <v/>
      </c>
      <c r="J213" s="6">
        <f>K213&amp;L213</f>
        <v/>
      </c>
      <c r="K213" s="6">
        <f>YEAR(M213)</f>
        <v/>
      </c>
      <c r="L213" s="6">
        <f>MONTH(M213)</f>
        <v/>
      </c>
      <c r="M213" s="267">
        <f>IFERROR(__xludf.DUMMYFUNCTION("""COMPUTED_VALUE"""),43397.6666666666)</f>
        <v/>
      </c>
      <c r="N213" s="6">
        <f>IFERROR(__xludf.DUMMYFUNCTION("""COMPUTED_VALUE"""),7108.4)</f>
        <v/>
      </c>
      <c r="R213" s="6">
        <f>S213&amp;T213</f>
        <v/>
      </c>
      <c r="S213" s="6">
        <f>YEAR(U213)</f>
        <v/>
      </c>
      <c r="T213" s="6">
        <f>MONTH(U213)</f>
        <v/>
      </c>
      <c r="U213" s="267">
        <f>IFERROR(__xludf.DUMMYFUNCTION("""COMPUTED_VALUE"""),43417.6458333333)</f>
        <v/>
      </c>
      <c r="V213" s="6">
        <f>IFERROR(__xludf.DUMMYFUNCTION("""COMPUTED_VALUE"""),2071.23)</f>
        <v/>
      </c>
      <c r="Z213" s="6">
        <f>AA213&amp;AB213</f>
        <v/>
      </c>
      <c r="AA213" s="6">
        <f>YEAR(AC213)</f>
        <v/>
      </c>
      <c r="AB213" s="6">
        <f>MONTH(AC213)</f>
        <v/>
      </c>
      <c r="AC213" s="267">
        <f>IFERROR(__xludf.DUMMYFUNCTION("""COMPUTED_VALUE"""),43313.9986111111)</f>
        <v/>
      </c>
      <c r="AD213" s="6">
        <f>IFERROR(__xludf.DUMMYFUNCTION("""COMPUTED_VALUE"""),1118.6)</f>
        <v/>
      </c>
      <c r="AH213" s="6">
        <f>AI213&amp;AJ213</f>
        <v/>
      </c>
      <c r="AI213" s="6">
        <f>YEAR(AK213)</f>
        <v/>
      </c>
      <c r="AJ213" s="6">
        <f>MONTH(AK213)</f>
        <v/>
      </c>
      <c r="AK213" s="267">
        <f>IFERROR(__xludf.DUMMYFUNCTION("""COMPUTED_VALUE"""),43305.9986111111)</f>
        <v/>
      </c>
      <c r="AL213" s="6">
        <f>IFERROR(__xludf.DUMMYFUNCTION("""COMPUTED_VALUE"""),8429.42)</f>
        <v/>
      </c>
      <c r="AP213" s="6">
        <f>AQ213&amp;AR213</f>
        <v/>
      </c>
      <c r="AQ213" s="6">
        <f>YEAR(AS213)</f>
        <v/>
      </c>
      <c r="AR213" s="6">
        <f>MONTH(AS213)</f>
        <v/>
      </c>
      <c r="AS213" s="267">
        <f>IFERROR(__xludf.DUMMYFUNCTION("""COMPUTED_VALUE"""),43399.9986111111)</f>
        <v/>
      </c>
      <c r="AT213" s="6">
        <f>IFERROR(__xludf.DUMMYFUNCTION("""COMPUTED_VALUE"""),1235.8)</f>
        <v/>
      </c>
    </row>
    <row r="214">
      <c r="B214" s="6">
        <f>C214&amp;D214</f>
        <v/>
      </c>
      <c r="C214" s="6">
        <f>YEAR(E214)</f>
        <v/>
      </c>
      <c r="D214" s="6">
        <f>MONTH(E214)</f>
        <v/>
      </c>
      <c r="E214" s="267">
        <f>IFERROR(__xludf.DUMMYFUNCTION("""COMPUTED_VALUE"""),43398.6666666666)</f>
        <v/>
      </c>
      <c r="F214" s="6">
        <f>IFERROR(__xludf.DUMMYFUNCTION("""COMPUTED_VALUE"""),2705.57)</f>
        <v/>
      </c>
      <c r="J214" s="6">
        <f>K214&amp;L214</f>
        <v/>
      </c>
      <c r="K214" s="6">
        <f>YEAR(M214)</f>
        <v/>
      </c>
      <c r="L214" s="6">
        <f>MONTH(M214)</f>
        <v/>
      </c>
      <c r="M214" s="267">
        <f>IFERROR(__xludf.DUMMYFUNCTION("""COMPUTED_VALUE"""),43398.6666666666)</f>
        <v/>
      </c>
      <c r="N214" s="6">
        <f>IFERROR(__xludf.DUMMYFUNCTION("""COMPUTED_VALUE"""),7318.34)</f>
        <v/>
      </c>
      <c r="R214" s="6">
        <f>S214&amp;T214</f>
        <v/>
      </c>
      <c r="S214" s="6">
        <f>YEAR(U214)</f>
        <v/>
      </c>
      <c r="T214" s="6">
        <f>MONTH(U214)</f>
        <v/>
      </c>
      <c r="U214" s="267">
        <f>IFERROR(__xludf.DUMMYFUNCTION("""COMPUTED_VALUE"""),43418.6458333333)</f>
        <v/>
      </c>
      <c r="V214" s="6">
        <f>IFERROR(__xludf.DUMMYFUNCTION("""COMPUTED_VALUE"""),2068.05)</f>
        <v/>
      </c>
      <c r="Z214" s="6">
        <f>AA214&amp;AB214</f>
        <v/>
      </c>
      <c r="AA214" s="6">
        <f>YEAR(AC214)</f>
        <v/>
      </c>
      <c r="AB214" s="6">
        <f>MONTH(AC214)</f>
        <v/>
      </c>
      <c r="AC214" s="267">
        <f>IFERROR(__xludf.DUMMYFUNCTION("""COMPUTED_VALUE"""),43314.9986111111)</f>
        <v/>
      </c>
      <c r="AD214" s="6">
        <f>IFERROR(__xludf.DUMMYFUNCTION("""COMPUTED_VALUE"""),1128.15)</f>
        <v/>
      </c>
      <c r="AH214" s="6">
        <f>AI214&amp;AJ214</f>
        <v/>
      </c>
      <c r="AI214" s="6">
        <f>YEAR(AK214)</f>
        <v/>
      </c>
      <c r="AJ214" s="6">
        <f>MONTH(AK214)</f>
        <v/>
      </c>
      <c r="AK214" s="267">
        <f>IFERROR(__xludf.DUMMYFUNCTION("""COMPUTED_VALUE"""),43306.9986111111)</f>
        <v/>
      </c>
      <c r="AL214" s="6">
        <f>IFERROR(__xludf.DUMMYFUNCTION("""COMPUTED_VALUE"""),8176.57)</f>
        <v/>
      </c>
      <c r="AP214" s="6">
        <f>AQ214&amp;AR214</f>
        <v/>
      </c>
      <c r="AQ214" s="6">
        <f>YEAR(AS214)</f>
        <v/>
      </c>
      <c r="AR214" s="6">
        <f>MONTH(AS214)</f>
        <v/>
      </c>
      <c r="AS214" s="267">
        <f>IFERROR(__xludf.DUMMYFUNCTION("""COMPUTED_VALUE"""),43402.9986111111)</f>
        <v/>
      </c>
      <c r="AT214" s="6">
        <f>IFERROR(__xludf.DUMMYFUNCTION("""COMPUTED_VALUE"""),1227.6)</f>
        <v/>
      </c>
    </row>
    <row r="215">
      <c r="B215" s="6">
        <f>C215&amp;D215</f>
        <v/>
      </c>
      <c r="C215" s="6">
        <f>YEAR(E215)</f>
        <v/>
      </c>
      <c r="D215" s="6">
        <f>MONTH(E215)</f>
        <v/>
      </c>
      <c r="E215" s="267">
        <f>IFERROR(__xludf.DUMMYFUNCTION("""COMPUTED_VALUE"""),43399.6666666666)</f>
        <v/>
      </c>
      <c r="F215" s="6">
        <f>IFERROR(__xludf.DUMMYFUNCTION("""COMPUTED_VALUE"""),2658.69)</f>
        <v/>
      </c>
      <c r="J215" s="6">
        <f>K215&amp;L215</f>
        <v/>
      </c>
      <c r="K215" s="6">
        <f>YEAR(M215)</f>
        <v/>
      </c>
      <c r="L215" s="6">
        <f>MONTH(M215)</f>
        <v/>
      </c>
      <c r="M215" s="267">
        <f>IFERROR(__xludf.DUMMYFUNCTION("""COMPUTED_VALUE"""),43399.6666666666)</f>
        <v/>
      </c>
      <c r="N215" s="6">
        <f>IFERROR(__xludf.DUMMYFUNCTION("""COMPUTED_VALUE"""),7167.21)</f>
        <v/>
      </c>
      <c r="R215" s="6">
        <f>S215&amp;T215</f>
        <v/>
      </c>
      <c r="S215" s="6">
        <f>YEAR(U215)</f>
        <v/>
      </c>
      <c r="T215" s="6">
        <f>MONTH(U215)</f>
        <v/>
      </c>
      <c r="U215" s="267">
        <f>IFERROR(__xludf.DUMMYFUNCTION("""COMPUTED_VALUE"""),43419.6875)</f>
        <v/>
      </c>
      <c r="V215" s="6">
        <f>IFERROR(__xludf.DUMMYFUNCTION("""COMPUTED_VALUE"""),2088.06)</f>
        <v/>
      </c>
      <c r="Z215" s="6">
        <f>AA215&amp;AB215</f>
        <v/>
      </c>
      <c r="AA215" s="6">
        <f>YEAR(AC215)</f>
        <v/>
      </c>
      <c r="AB215" s="6">
        <f>MONTH(AC215)</f>
        <v/>
      </c>
      <c r="AC215" s="267">
        <f>IFERROR(__xludf.DUMMYFUNCTION("""COMPUTED_VALUE"""),43315.9986111111)</f>
        <v/>
      </c>
      <c r="AD215" s="6">
        <f>IFERROR(__xludf.DUMMYFUNCTION("""COMPUTED_VALUE"""),1121.87)</f>
        <v/>
      </c>
      <c r="AH215" s="6">
        <f>AI215&amp;AJ215</f>
        <v/>
      </c>
      <c r="AI215" s="6">
        <f>YEAR(AK215)</f>
        <v/>
      </c>
      <c r="AJ215" s="6">
        <f>MONTH(AK215)</f>
        <v/>
      </c>
      <c r="AK215" s="267">
        <f>IFERROR(__xludf.DUMMYFUNCTION("""COMPUTED_VALUE"""),43307.9986111111)</f>
        <v/>
      </c>
      <c r="AL215" s="6">
        <f>IFERROR(__xludf.DUMMYFUNCTION("""COMPUTED_VALUE"""),7935.84)</f>
        <v/>
      </c>
      <c r="AP215" s="6">
        <f>AQ215&amp;AR215</f>
        <v/>
      </c>
      <c r="AQ215" s="6">
        <f>YEAR(AS215)</f>
        <v/>
      </c>
      <c r="AR215" s="6">
        <f>MONTH(AS215)</f>
        <v/>
      </c>
      <c r="AS215" s="267">
        <f>IFERROR(__xludf.DUMMYFUNCTION("""COMPUTED_VALUE"""),43403.9986111111)</f>
        <v/>
      </c>
      <c r="AT215" s="6">
        <f>IFERROR(__xludf.DUMMYFUNCTION("""COMPUTED_VALUE"""),1225.3)</f>
        <v/>
      </c>
    </row>
    <row r="216">
      <c r="B216" s="6">
        <f>C216&amp;D216</f>
        <v/>
      </c>
      <c r="C216" s="6">
        <f>YEAR(E216)</f>
        <v/>
      </c>
      <c r="D216" s="6">
        <f>MONTH(E216)</f>
        <v/>
      </c>
      <c r="E216" s="267">
        <f>IFERROR(__xludf.DUMMYFUNCTION("""COMPUTED_VALUE"""),43402.6666666666)</f>
        <v/>
      </c>
      <c r="F216" s="6">
        <f>IFERROR(__xludf.DUMMYFUNCTION("""COMPUTED_VALUE"""),2641.25)</f>
        <v/>
      </c>
      <c r="J216" s="6">
        <f>K216&amp;L216</f>
        <v/>
      </c>
      <c r="K216" s="6">
        <f>YEAR(M216)</f>
        <v/>
      </c>
      <c r="L216" s="6">
        <f>MONTH(M216)</f>
        <v/>
      </c>
      <c r="M216" s="267">
        <f>IFERROR(__xludf.DUMMYFUNCTION("""COMPUTED_VALUE"""),43402.6666666666)</f>
        <v/>
      </c>
      <c r="N216" s="6">
        <f>IFERROR(__xludf.DUMMYFUNCTION("""COMPUTED_VALUE"""),7050.29)</f>
        <v/>
      </c>
      <c r="R216" s="6">
        <f>S216&amp;T216</f>
        <v/>
      </c>
      <c r="S216" s="6">
        <f>YEAR(U216)</f>
        <v/>
      </c>
      <c r="T216" s="6">
        <f>MONTH(U216)</f>
        <v/>
      </c>
      <c r="U216" s="267">
        <f>IFERROR(__xludf.DUMMYFUNCTION("""COMPUTED_VALUE"""),43420.6458333333)</f>
        <v/>
      </c>
      <c r="V216" s="6">
        <f>IFERROR(__xludf.DUMMYFUNCTION("""COMPUTED_VALUE"""),2092.4)</f>
        <v/>
      </c>
      <c r="Z216" s="6">
        <f>AA216&amp;AB216</f>
        <v/>
      </c>
      <c r="AA216" s="6">
        <f>YEAR(AC216)</f>
        <v/>
      </c>
      <c r="AB216" s="6">
        <f>MONTH(AC216)</f>
        <v/>
      </c>
      <c r="AC216" s="267">
        <f>IFERROR(__xludf.DUMMYFUNCTION("""COMPUTED_VALUE"""),43317.9986111111)</f>
        <v/>
      </c>
      <c r="AD216" s="6">
        <f>IFERROR(__xludf.DUMMYFUNCTION("""COMPUTED_VALUE"""),1122.9)</f>
        <v/>
      </c>
      <c r="AH216" s="6">
        <f>AI216&amp;AJ216</f>
        <v/>
      </c>
      <c r="AI216" s="6">
        <f>YEAR(AK216)</f>
        <v/>
      </c>
      <c r="AJ216" s="6">
        <f>MONTH(AK216)</f>
        <v/>
      </c>
      <c r="AK216" s="267">
        <f>IFERROR(__xludf.DUMMYFUNCTION("""COMPUTED_VALUE"""),43308.9986111111)</f>
        <v/>
      </c>
      <c r="AL216" s="6">
        <f>IFERROR(__xludf.DUMMYFUNCTION("""COMPUTED_VALUE"""),8167.82)</f>
        <v/>
      </c>
      <c r="AP216" s="6">
        <f>AQ216&amp;AR216</f>
        <v/>
      </c>
      <c r="AQ216" s="6">
        <f>YEAR(AS216)</f>
        <v/>
      </c>
      <c r="AR216" s="6">
        <f>MONTH(AS216)</f>
        <v/>
      </c>
      <c r="AS216" s="267">
        <f>IFERROR(__xludf.DUMMYFUNCTION("""COMPUTED_VALUE"""),43404.9986111111)</f>
        <v/>
      </c>
      <c r="AT216" s="6">
        <f>IFERROR(__xludf.DUMMYFUNCTION("""COMPUTED_VALUE"""),1215)</f>
        <v/>
      </c>
    </row>
    <row r="217">
      <c r="B217" s="6">
        <f>C217&amp;D217</f>
        <v/>
      </c>
      <c r="C217" s="6">
        <f>YEAR(E217)</f>
        <v/>
      </c>
      <c r="D217" s="6">
        <f>MONTH(E217)</f>
        <v/>
      </c>
      <c r="E217" s="267">
        <f>IFERROR(__xludf.DUMMYFUNCTION("""COMPUTED_VALUE"""),43403.6666666666)</f>
        <v/>
      </c>
      <c r="F217" s="6">
        <f>IFERROR(__xludf.DUMMYFUNCTION("""COMPUTED_VALUE"""),2682.63)</f>
        <v/>
      </c>
      <c r="J217" s="6">
        <f>K217&amp;L217</f>
        <v/>
      </c>
      <c r="K217" s="6">
        <f>YEAR(M217)</f>
        <v/>
      </c>
      <c r="L217" s="6">
        <f>MONTH(M217)</f>
        <v/>
      </c>
      <c r="M217" s="267">
        <f>IFERROR(__xludf.DUMMYFUNCTION("""COMPUTED_VALUE"""),43403.6666666666)</f>
        <v/>
      </c>
      <c r="N217" s="6">
        <f>IFERROR(__xludf.DUMMYFUNCTION("""COMPUTED_VALUE"""),7161.65)</f>
        <v/>
      </c>
      <c r="R217" s="6">
        <f>S217&amp;T217</f>
        <v/>
      </c>
      <c r="S217" s="6">
        <f>YEAR(U217)</f>
        <v/>
      </c>
      <c r="T217" s="6">
        <f>MONTH(U217)</f>
        <v/>
      </c>
      <c r="U217" s="267">
        <f>IFERROR(__xludf.DUMMYFUNCTION("""COMPUTED_VALUE"""),43423.6458333333)</f>
        <v/>
      </c>
      <c r="V217" s="6">
        <f>IFERROR(__xludf.DUMMYFUNCTION("""COMPUTED_VALUE"""),2100.56)</f>
        <v/>
      </c>
      <c r="Z217" s="6">
        <f>AA217&amp;AB217</f>
        <v/>
      </c>
      <c r="AA217" s="6">
        <f>YEAR(AC217)</f>
        <v/>
      </c>
      <c r="AB217" s="6">
        <f>MONTH(AC217)</f>
        <v/>
      </c>
      <c r="AC217" s="267">
        <f>IFERROR(__xludf.DUMMYFUNCTION("""COMPUTED_VALUE"""),43318.9986111111)</f>
        <v/>
      </c>
      <c r="AD217" s="6">
        <f>IFERROR(__xludf.DUMMYFUNCTION("""COMPUTED_VALUE"""),1125.4)</f>
        <v/>
      </c>
      <c r="AH217" s="6">
        <f>AI217&amp;AJ217</f>
        <v/>
      </c>
      <c r="AI217" s="6">
        <f>YEAR(AK217)</f>
        <v/>
      </c>
      <c r="AJ217" s="6">
        <f>MONTH(AK217)</f>
        <v/>
      </c>
      <c r="AK217" s="267">
        <f>IFERROR(__xludf.DUMMYFUNCTION("""COMPUTED_VALUE"""),43309.9986111111)</f>
        <v/>
      </c>
      <c r="AL217" s="6">
        <f>IFERROR(__xludf.DUMMYFUNCTION("""COMPUTED_VALUE"""),8211.04)</f>
        <v/>
      </c>
      <c r="AP217" s="6">
        <f>AQ217&amp;AR217</f>
        <v/>
      </c>
      <c r="AQ217" s="6">
        <f>YEAR(AS217)</f>
        <v/>
      </c>
      <c r="AR217" s="6">
        <f>MONTH(AS217)</f>
        <v/>
      </c>
      <c r="AS217" s="267">
        <f>IFERROR(__xludf.DUMMYFUNCTION("""COMPUTED_VALUE"""),43405.9986111111)</f>
        <v/>
      </c>
      <c r="AT217" s="6">
        <f>IFERROR(__xludf.DUMMYFUNCTION("""COMPUTED_VALUE"""),1238.6)</f>
        <v/>
      </c>
    </row>
    <row r="218">
      <c r="B218" s="6">
        <f>C218&amp;D218</f>
        <v/>
      </c>
      <c r="C218" s="6">
        <f>YEAR(E218)</f>
        <v/>
      </c>
      <c r="D218" s="6">
        <f>MONTH(E218)</f>
        <v/>
      </c>
      <c r="E218" s="267">
        <f>IFERROR(__xludf.DUMMYFUNCTION("""COMPUTED_VALUE"""),43404.6666666666)</f>
        <v/>
      </c>
      <c r="F218" s="6">
        <f>IFERROR(__xludf.DUMMYFUNCTION("""COMPUTED_VALUE"""),2711.74)</f>
        <v/>
      </c>
      <c r="J218" s="6">
        <f>K218&amp;L218</f>
        <v/>
      </c>
      <c r="K218" s="6">
        <f>YEAR(M218)</f>
        <v/>
      </c>
      <c r="L218" s="6">
        <f>MONTH(M218)</f>
        <v/>
      </c>
      <c r="M218" s="267">
        <f>IFERROR(__xludf.DUMMYFUNCTION("""COMPUTED_VALUE"""),43404.6666666666)</f>
        <v/>
      </c>
      <c r="N218" s="6">
        <f>IFERROR(__xludf.DUMMYFUNCTION("""COMPUTED_VALUE"""),7305.9)</f>
        <v/>
      </c>
      <c r="R218" s="6">
        <f>S218&amp;T218</f>
        <v/>
      </c>
      <c r="S218" s="6">
        <f>YEAR(U218)</f>
        <v/>
      </c>
      <c r="T218" s="6">
        <f>MONTH(U218)</f>
        <v/>
      </c>
      <c r="U218" s="267">
        <f>IFERROR(__xludf.DUMMYFUNCTION("""COMPUTED_VALUE"""),43424.6458333333)</f>
        <v/>
      </c>
      <c r="V218" s="6">
        <f>IFERROR(__xludf.DUMMYFUNCTION("""COMPUTED_VALUE"""),2082.58)</f>
        <v/>
      </c>
      <c r="Z218" s="6">
        <f>AA218&amp;AB218</f>
        <v/>
      </c>
      <c r="AA218" s="6">
        <f>YEAR(AC218)</f>
        <v/>
      </c>
      <c r="AB218" s="6">
        <f>MONTH(AC218)</f>
        <v/>
      </c>
      <c r="AC218" s="267">
        <f>IFERROR(__xludf.DUMMYFUNCTION("""COMPUTED_VALUE"""),43319.9986111111)</f>
        <v/>
      </c>
      <c r="AD218" s="6">
        <f>IFERROR(__xludf.DUMMYFUNCTION("""COMPUTED_VALUE"""),1116.25)</f>
        <v/>
      </c>
      <c r="AH218" s="6">
        <f>AI218&amp;AJ218</f>
        <v/>
      </c>
      <c r="AI218" s="6">
        <f>YEAR(AK218)</f>
        <v/>
      </c>
      <c r="AJ218" s="6">
        <f>MONTH(AK218)</f>
        <v/>
      </c>
      <c r="AK218" s="267">
        <f>IFERROR(__xludf.DUMMYFUNCTION("""COMPUTED_VALUE"""),43310.9986111111)</f>
        <v/>
      </c>
      <c r="AL218" s="6">
        <f>IFERROR(__xludf.DUMMYFUNCTION("""COMPUTED_VALUE"""),8222.52)</f>
        <v/>
      </c>
      <c r="AP218" s="6">
        <f>AQ218&amp;AR218</f>
        <v/>
      </c>
      <c r="AQ218" s="6">
        <f>YEAR(AS218)</f>
        <v/>
      </c>
      <c r="AR218" s="6">
        <f>MONTH(AS218)</f>
        <v/>
      </c>
      <c r="AS218" s="267">
        <f>IFERROR(__xludf.DUMMYFUNCTION("""COMPUTED_VALUE"""),43406.9986111111)</f>
        <v/>
      </c>
      <c r="AT218" s="6">
        <f>IFERROR(__xludf.DUMMYFUNCTION("""COMPUTED_VALUE"""),1233.3)</f>
        <v/>
      </c>
    </row>
    <row r="219">
      <c r="B219" s="6">
        <f>C219&amp;D219</f>
        <v/>
      </c>
      <c r="C219" s="6">
        <f>YEAR(E219)</f>
        <v/>
      </c>
      <c r="D219" s="6">
        <f>MONTH(E219)</f>
        <v/>
      </c>
      <c r="E219" s="267">
        <f>IFERROR(__xludf.DUMMYFUNCTION("""COMPUTED_VALUE"""),43405.6666666666)</f>
        <v/>
      </c>
      <c r="F219" s="6">
        <f>IFERROR(__xludf.DUMMYFUNCTION("""COMPUTED_VALUE"""),2740.37)</f>
        <v/>
      </c>
      <c r="J219" s="6">
        <f>K219&amp;L219</f>
        <v/>
      </c>
      <c r="K219" s="6">
        <f>YEAR(M219)</f>
        <v/>
      </c>
      <c r="L219" s="6">
        <f>MONTH(M219)</f>
        <v/>
      </c>
      <c r="M219" s="267">
        <f>IFERROR(__xludf.DUMMYFUNCTION("""COMPUTED_VALUE"""),43405.6666666666)</f>
        <v/>
      </c>
      <c r="N219" s="6">
        <f>IFERROR(__xludf.DUMMYFUNCTION("""COMPUTED_VALUE"""),7434.06)</f>
        <v/>
      </c>
      <c r="R219" s="6">
        <f>S219&amp;T219</f>
        <v/>
      </c>
      <c r="S219" s="6">
        <f>YEAR(U219)</f>
        <v/>
      </c>
      <c r="T219" s="6">
        <f>MONTH(U219)</f>
        <v/>
      </c>
      <c r="U219" s="267">
        <f>IFERROR(__xludf.DUMMYFUNCTION("""COMPUTED_VALUE"""),43425.6458333333)</f>
        <v/>
      </c>
      <c r="V219" s="6">
        <f>IFERROR(__xludf.DUMMYFUNCTION("""COMPUTED_VALUE"""),2076.55)</f>
        <v/>
      </c>
      <c r="Z219" s="6">
        <f>AA219&amp;AB219</f>
        <v/>
      </c>
      <c r="AA219" s="6">
        <f>YEAR(AC219)</f>
        <v/>
      </c>
      <c r="AB219" s="6">
        <f>MONTH(AC219)</f>
        <v/>
      </c>
      <c r="AC219" s="267">
        <f>IFERROR(__xludf.DUMMYFUNCTION("""COMPUTED_VALUE"""),43320.9986111111)</f>
        <v/>
      </c>
      <c r="AD219" s="6">
        <f>IFERROR(__xludf.DUMMYFUNCTION("""COMPUTED_VALUE"""),1115.95)</f>
        <v/>
      </c>
      <c r="AH219" s="6">
        <f>AI219&amp;AJ219</f>
        <v/>
      </c>
      <c r="AI219" s="6">
        <f>YEAR(AK219)</f>
        <v/>
      </c>
      <c r="AJ219" s="6">
        <f>MONTH(AK219)</f>
        <v/>
      </c>
      <c r="AK219" s="267">
        <f>IFERROR(__xludf.DUMMYFUNCTION("""COMPUTED_VALUE"""),43311.9986111111)</f>
        <v/>
      </c>
      <c r="AL219" s="6">
        <f>IFERROR(__xludf.DUMMYFUNCTION("""COMPUTED_VALUE"""),8173.89)</f>
        <v/>
      </c>
      <c r="AP219" s="6">
        <f>AQ219&amp;AR219</f>
        <v/>
      </c>
      <c r="AQ219" s="6">
        <f>YEAR(AS219)</f>
        <v/>
      </c>
      <c r="AR219" s="6">
        <f>MONTH(AS219)</f>
        <v/>
      </c>
      <c r="AS219" s="267">
        <f>IFERROR(__xludf.DUMMYFUNCTION("""COMPUTED_VALUE"""),43409.9986111111)</f>
        <v/>
      </c>
      <c r="AT219" s="6">
        <f>IFERROR(__xludf.DUMMYFUNCTION("""COMPUTED_VALUE"""),1232.3)</f>
        <v/>
      </c>
    </row>
    <row r="220">
      <c r="B220" s="6">
        <f>C220&amp;D220</f>
        <v/>
      </c>
      <c r="C220" s="6">
        <f>YEAR(E220)</f>
        <v/>
      </c>
      <c r="D220" s="6">
        <f>MONTH(E220)</f>
        <v/>
      </c>
      <c r="E220" s="267">
        <f>IFERROR(__xludf.DUMMYFUNCTION("""COMPUTED_VALUE"""),43406.6666666666)</f>
        <v/>
      </c>
      <c r="F220" s="6">
        <f>IFERROR(__xludf.DUMMYFUNCTION("""COMPUTED_VALUE"""),2723.06)</f>
        <v/>
      </c>
      <c r="J220" s="6">
        <f>K220&amp;L220</f>
        <v/>
      </c>
      <c r="K220" s="6">
        <f>YEAR(M220)</f>
        <v/>
      </c>
      <c r="L220" s="6">
        <f>MONTH(M220)</f>
        <v/>
      </c>
      <c r="M220" s="267">
        <f>IFERROR(__xludf.DUMMYFUNCTION("""COMPUTED_VALUE"""),43406.6666666666)</f>
        <v/>
      </c>
      <c r="N220" s="6">
        <f>IFERROR(__xludf.DUMMYFUNCTION("""COMPUTED_VALUE"""),7356.99)</f>
        <v/>
      </c>
      <c r="R220" s="6">
        <f>S220&amp;T220</f>
        <v/>
      </c>
      <c r="S220" s="6">
        <f>YEAR(U220)</f>
        <v/>
      </c>
      <c r="T220" s="6">
        <f>MONTH(U220)</f>
        <v/>
      </c>
      <c r="U220" s="267">
        <f>IFERROR(__xludf.DUMMYFUNCTION("""COMPUTED_VALUE"""),43426.6458333333)</f>
        <v/>
      </c>
      <c r="V220" s="6">
        <f>IFERROR(__xludf.DUMMYFUNCTION("""COMPUTED_VALUE"""),2069.95)</f>
        <v/>
      </c>
      <c r="Z220" s="6">
        <f>AA220&amp;AB220</f>
        <v/>
      </c>
      <c r="AA220" s="6">
        <f>YEAR(AC220)</f>
        <v/>
      </c>
      <c r="AB220" s="6">
        <f>MONTH(AC220)</f>
        <v/>
      </c>
      <c r="AC220" s="267">
        <f>IFERROR(__xludf.DUMMYFUNCTION("""COMPUTED_VALUE"""),43321.9986111111)</f>
        <v/>
      </c>
      <c r="AD220" s="6">
        <f>IFERROR(__xludf.DUMMYFUNCTION("""COMPUTED_VALUE"""),1121.89)</f>
        <v/>
      </c>
      <c r="AH220" s="6">
        <f>AI220&amp;AJ220</f>
        <v/>
      </c>
      <c r="AI220" s="6">
        <f>YEAR(AK220)</f>
        <v/>
      </c>
      <c r="AJ220" s="6">
        <f>MONTH(AK220)</f>
        <v/>
      </c>
      <c r="AK220" s="267">
        <f>IFERROR(__xludf.DUMMYFUNCTION("""COMPUTED_VALUE"""),43312.9986111111)</f>
        <v/>
      </c>
      <c r="AL220" s="6">
        <f>IFERROR(__xludf.DUMMYFUNCTION("""COMPUTED_VALUE"""),7736.32)</f>
        <v/>
      </c>
      <c r="AP220" s="6">
        <f>AQ220&amp;AR220</f>
        <v/>
      </c>
      <c r="AQ220" s="6">
        <f>YEAR(AS220)</f>
        <v/>
      </c>
      <c r="AR220" s="6">
        <f>MONTH(AS220)</f>
        <v/>
      </c>
      <c r="AS220" s="267">
        <f>IFERROR(__xludf.DUMMYFUNCTION("""COMPUTED_VALUE"""),43410.9986111111)</f>
        <v/>
      </c>
      <c r="AT220" s="6">
        <f>IFERROR(__xludf.DUMMYFUNCTION("""COMPUTED_VALUE"""),1226.3)</f>
        <v/>
      </c>
    </row>
    <row r="221">
      <c r="B221" s="6">
        <f>C221&amp;D221</f>
        <v/>
      </c>
      <c r="C221" s="6">
        <f>YEAR(E221)</f>
        <v/>
      </c>
      <c r="D221" s="6">
        <f>MONTH(E221)</f>
        <v/>
      </c>
      <c r="E221" s="267">
        <f>IFERROR(__xludf.DUMMYFUNCTION("""COMPUTED_VALUE"""),43409.6666666666)</f>
        <v/>
      </c>
      <c r="F221" s="6">
        <f>IFERROR(__xludf.DUMMYFUNCTION("""COMPUTED_VALUE"""),2738.31)</f>
        <v/>
      </c>
      <c r="J221" s="6">
        <f>K221&amp;L221</f>
        <v/>
      </c>
      <c r="K221" s="6">
        <f>YEAR(M221)</f>
        <v/>
      </c>
      <c r="L221" s="6">
        <f>MONTH(M221)</f>
        <v/>
      </c>
      <c r="M221" s="267">
        <f>IFERROR(__xludf.DUMMYFUNCTION("""COMPUTED_VALUE"""),43409.6666666666)</f>
        <v/>
      </c>
      <c r="N221" s="6">
        <f>IFERROR(__xludf.DUMMYFUNCTION("""COMPUTED_VALUE"""),7328.85)</f>
        <v/>
      </c>
      <c r="R221" s="6">
        <f>S221&amp;T221</f>
        <v/>
      </c>
      <c r="S221" s="6">
        <f>YEAR(U221)</f>
        <v/>
      </c>
      <c r="T221" s="6">
        <f>MONTH(U221)</f>
        <v/>
      </c>
      <c r="U221" s="267">
        <f>IFERROR(__xludf.DUMMYFUNCTION("""COMPUTED_VALUE"""),43427.6458333333)</f>
        <v/>
      </c>
      <c r="V221" s="6">
        <f>IFERROR(__xludf.DUMMYFUNCTION("""COMPUTED_VALUE"""),2057.48)</f>
        <v/>
      </c>
      <c r="Z221" s="6">
        <f>AA221&amp;AB221</f>
        <v/>
      </c>
      <c r="AA221" s="6">
        <f>YEAR(AC221)</f>
        <v/>
      </c>
      <c r="AB221" s="6">
        <f>MONTH(AC221)</f>
        <v/>
      </c>
      <c r="AC221" s="267">
        <f>IFERROR(__xludf.DUMMYFUNCTION("""COMPUTED_VALUE"""),43322.9986111111)</f>
        <v/>
      </c>
      <c r="AD221" s="6">
        <f>IFERROR(__xludf.DUMMYFUNCTION("""COMPUTED_VALUE"""),1129.43)</f>
        <v/>
      </c>
      <c r="AH221" s="6">
        <f>AI221&amp;AJ221</f>
        <v/>
      </c>
      <c r="AI221" s="6">
        <f>YEAR(AK221)</f>
        <v/>
      </c>
      <c r="AJ221" s="6">
        <f>MONTH(AK221)</f>
        <v/>
      </c>
      <c r="AK221" s="267">
        <f>IFERROR(__xludf.DUMMYFUNCTION("""COMPUTED_VALUE"""),43313.9986111111)</f>
        <v/>
      </c>
      <c r="AL221" s="6">
        <f>IFERROR(__xludf.DUMMYFUNCTION("""COMPUTED_VALUE"""),7602.59)</f>
        <v/>
      </c>
      <c r="AP221" s="6">
        <f>AQ221&amp;AR221</f>
        <v/>
      </c>
      <c r="AQ221" s="6">
        <f>YEAR(AS221)</f>
        <v/>
      </c>
      <c r="AR221" s="6">
        <f>MONTH(AS221)</f>
        <v/>
      </c>
      <c r="AS221" s="267">
        <f>IFERROR(__xludf.DUMMYFUNCTION("""COMPUTED_VALUE"""),43411.9986111111)</f>
        <v/>
      </c>
      <c r="AT221" s="6">
        <f>IFERROR(__xludf.DUMMYFUNCTION("""COMPUTED_VALUE"""),1228.7)</f>
        <v/>
      </c>
    </row>
    <row r="222">
      <c r="B222" s="6">
        <f>C222&amp;D222</f>
        <v/>
      </c>
      <c r="C222" s="6">
        <f>YEAR(E222)</f>
        <v/>
      </c>
      <c r="D222" s="6">
        <f>MONTH(E222)</f>
        <v/>
      </c>
      <c r="E222" s="267">
        <f>IFERROR(__xludf.DUMMYFUNCTION("""COMPUTED_VALUE"""),43410.6666666666)</f>
        <v/>
      </c>
      <c r="F222" s="6">
        <f>IFERROR(__xludf.DUMMYFUNCTION("""COMPUTED_VALUE"""),2755.45)</f>
        <v/>
      </c>
      <c r="J222" s="6">
        <f>K222&amp;L222</f>
        <v/>
      </c>
      <c r="K222" s="6">
        <f>YEAR(M222)</f>
        <v/>
      </c>
      <c r="L222" s="6">
        <f>MONTH(M222)</f>
        <v/>
      </c>
      <c r="M222" s="267">
        <f>IFERROR(__xludf.DUMMYFUNCTION("""COMPUTED_VALUE"""),43410.6666666666)</f>
        <v/>
      </c>
      <c r="N222" s="6">
        <f>IFERROR(__xludf.DUMMYFUNCTION("""COMPUTED_VALUE"""),7375.96)</f>
        <v/>
      </c>
      <c r="R222" s="6">
        <f>S222&amp;T222</f>
        <v/>
      </c>
      <c r="S222" s="6">
        <f>YEAR(U222)</f>
        <v/>
      </c>
      <c r="T222" s="6">
        <f>MONTH(U222)</f>
        <v/>
      </c>
      <c r="U222" s="267">
        <f>IFERROR(__xludf.DUMMYFUNCTION("""COMPUTED_VALUE"""),43430.6458333333)</f>
        <v/>
      </c>
      <c r="V222" s="6">
        <f>IFERROR(__xludf.DUMMYFUNCTION("""COMPUTED_VALUE"""),2083.02)</f>
        <v/>
      </c>
      <c r="Z222" s="6">
        <f>AA222&amp;AB222</f>
        <v/>
      </c>
      <c r="AA222" s="6">
        <f>YEAR(AC222)</f>
        <v/>
      </c>
      <c r="AB222" s="6">
        <f>MONTH(AC222)</f>
        <v/>
      </c>
      <c r="AC222" s="267">
        <f>IFERROR(__xludf.DUMMYFUNCTION("""COMPUTED_VALUE"""),43324.9986111111)</f>
        <v/>
      </c>
      <c r="AD222" s="6">
        <f>IFERROR(__xludf.DUMMYFUNCTION("""COMPUTED_VALUE"""),1130.9)</f>
        <v/>
      </c>
      <c r="AH222" s="6">
        <f>AI222&amp;AJ222</f>
        <v/>
      </c>
      <c r="AI222" s="6">
        <f>YEAR(AK222)</f>
        <v/>
      </c>
      <c r="AJ222" s="6">
        <f>MONTH(AK222)</f>
        <v/>
      </c>
      <c r="AK222" s="267">
        <f>IFERROR(__xludf.DUMMYFUNCTION("""COMPUTED_VALUE"""),43314.9986111111)</f>
        <v/>
      </c>
      <c r="AL222" s="6">
        <f>IFERROR(__xludf.DUMMYFUNCTION("""COMPUTED_VALUE"""),7534.76)</f>
        <v/>
      </c>
      <c r="AP222" s="6">
        <f>AQ222&amp;AR222</f>
        <v/>
      </c>
      <c r="AQ222" s="6">
        <f>YEAR(AS222)</f>
        <v/>
      </c>
      <c r="AR222" s="6">
        <f>MONTH(AS222)</f>
        <v/>
      </c>
      <c r="AS222" s="267">
        <f>IFERROR(__xludf.DUMMYFUNCTION("""COMPUTED_VALUE"""),43412.9986111111)</f>
        <v/>
      </c>
      <c r="AT222" s="6">
        <f>IFERROR(__xludf.DUMMYFUNCTION("""COMPUTED_VALUE"""),1225.1)</f>
        <v/>
      </c>
    </row>
    <row r="223">
      <c r="B223" s="6">
        <f>C223&amp;D223</f>
        <v/>
      </c>
      <c r="C223" s="6">
        <f>YEAR(E223)</f>
        <v/>
      </c>
      <c r="D223" s="6">
        <f>MONTH(E223)</f>
        <v/>
      </c>
      <c r="E223" s="267">
        <f>IFERROR(__xludf.DUMMYFUNCTION("""COMPUTED_VALUE"""),43411.6666666666)</f>
        <v/>
      </c>
      <c r="F223" s="6">
        <f>IFERROR(__xludf.DUMMYFUNCTION("""COMPUTED_VALUE"""),2813.89)</f>
        <v/>
      </c>
      <c r="J223" s="6">
        <f>K223&amp;L223</f>
        <v/>
      </c>
      <c r="K223" s="6">
        <f>YEAR(M223)</f>
        <v/>
      </c>
      <c r="L223" s="6">
        <f>MONTH(M223)</f>
        <v/>
      </c>
      <c r="M223" s="267">
        <f>IFERROR(__xludf.DUMMYFUNCTION("""COMPUTED_VALUE"""),43411.6666666666)</f>
        <v/>
      </c>
      <c r="N223" s="6">
        <f>IFERROR(__xludf.DUMMYFUNCTION("""COMPUTED_VALUE"""),7570.75)</f>
        <v/>
      </c>
      <c r="R223" s="6">
        <f>S223&amp;T223</f>
        <v/>
      </c>
      <c r="S223" s="6">
        <f>YEAR(U223)</f>
        <v/>
      </c>
      <c r="T223" s="6">
        <f>MONTH(U223)</f>
        <v/>
      </c>
      <c r="U223" s="267">
        <f>IFERROR(__xludf.DUMMYFUNCTION("""COMPUTED_VALUE"""),43431.6458333333)</f>
        <v/>
      </c>
      <c r="V223" s="6">
        <f>IFERROR(__xludf.DUMMYFUNCTION("""COMPUTED_VALUE"""),2099.42)</f>
        <v/>
      </c>
      <c r="Z223" s="6">
        <f>AA223&amp;AB223</f>
        <v/>
      </c>
      <c r="AA223" s="6">
        <f>YEAR(AC223)</f>
        <v/>
      </c>
      <c r="AB223" s="6">
        <f>MONTH(AC223)</f>
        <v/>
      </c>
      <c r="AC223" s="267">
        <f>IFERROR(__xludf.DUMMYFUNCTION("""COMPUTED_VALUE"""),43325.9986111111)</f>
        <v/>
      </c>
      <c r="AD223" s="6">
        <f>IFERROR(__xludf.DUMMYFUNCTION("""COMPUTED_VALUE"""),1135.97)</f>
        <v/>
      </c>
      <c r="AH223" s="6">
        <f>AI223&amp;AJ223</f>
        <v/>
      </c>
      <c r="AI223" s="6">
        <f>YEAR(AK223)</f>
        <v/>
      </c>
      <c r="AJ223" s="6">
        <f>MONTH(AK223)</f>
        <v/>
      </c>
      <c r="AK223" s="267">
        <f>IFERROR(__xludf.DUMMYFUNCTION("""COMPUTED_VALUE"""),43315.9986111111)</f>
        <v/>
      </c>
      <c r="AL223" s="6">
        <f>IFERROR(__xludf.DUMMYFUNCTION("""COMPUTED_VALUE"""),7416.9)</f>
        <v/>
      </c>
      <c r="AP223" s="6">
        <f>AQ223&amp;AR223</f>
        <v/>
      </c>
      <c r="AQ223" s="6">
        <f>YEAR(AS223)</f>
        <v/>
      </c>
      <c r="AR223" s="6">
        <f>MONTH(AS223)</f>
        <v/>
      </c>
      <c r="AS223" s="267">
        <f>IFERROR(__xludf.DUMMYFUNCTION("""COMPUTED_VALUE"""),43413.9986111111)</f>
        <v/>
      </c>
      <c r="AT223" s="6">
        <f>IFERROR(__xludf.DUMMYFUNCTION("""COMPUTED_VALUE"""),1208.6)</f>
        <v/>
      </c>
    </row>
    <row r="224">
      <c r="B224" s="6">
        <f>C224&amp;D224</f>
        <v/>
      </c>
      <c r="C224" s="6">
        <f>YEAR(E224)</f>
        <v/>
      </c>
      <c r="D224" s="6">
        <f>MONTH(E224)</f>
        <v/>
      </c>
      <c r="E224" s="267">
        <f>IFERROR(__xludf.DUMMYFUNCTION("""COMPUTED_VALUE"""),43412.6666666666)</f>
        <v/>
      </c>
      <c r="F224" s="6">
        <f>IFERROR(__xludf.DUMMYFUNCTION("""COMPUTED_VALUE"""),2806.83)</f>
        <v/>
      </c>
      <c r="J224" s="6">
        <f>K224&amp;L224</f>
        <v/>
      </c>
      <c r="K224" s="6">
        <f>YEAR(M224)</f>
        <v/>
      </c>
      <c r="L224" s="6">
        <f>MONTH(M224)</f>
        <v/>
      </c>
      <c r="M224" s="267">
        <f>IFERROR(__xludf.DUMMYFUNCTION("""COMPUTED_VALUE"""),43412.6666666666)</f>
        <v/>
      </c>
      <c r="N224" s="6">
        <f>IFERROR(__xludf.DUMMYFUNCTION("""COMPUTED_VALUE"""),7530.89)</f>
        <v/>
      </c>
      <c r="R224" s="6">
        <f>S224&amp;T224</f>
        <v/>
      </c>
      <c r="S224" s="6">
        <f>YEAR(U224)</f>
        <v/>
      </c>
      <c r="T224" s="6">
        <f>MONTH(U224)</f>
        <v/>
      </c>
      <c r="U224" s="267">
        <f>IFERROR(__xludf.DUMMYFUNCTION("""COMPUTED_VALUE"""),43432.6458333333)</f>
        <v/>
      </c>
      <c r="V224" s="6">
        <f>IFERROR(__xludf.DUMMYFUNCTION("""COMPUTED_VALUE"""),2108.22)</f>
        <v/>
      </c>
      <c r="Z224" s="6">
        <f>AA224&amp;AB224</f>
        <v/>
      </c>
      <c r="AA224" s="6">
        <f>YEAR(AC224)</f>
        <v/>
      </c>
      <c r="AB224" s="6">
        <f>MONTH(AC224)</f>
        <v/>
      </c>
      <c r="AC224" s="267">
        <f>IFERROR(__xludf.DUMMYFUNCTION("""COMPUTED_VALUE"""),43326.9986111111)</f>
        <v/>
      </c>
      <c r="AD224" s="6">
        <f>IFERROR(__xludf.DUMMYFUNCTION("""COMPUTED_VALUE"""),1126.75)</f>
        <v/>
      </c>
      <c r="AH224" s="6">
        <f>AI224&amp;AJ224</f>
        <v/>
      </c>
      <c r="AI224" s="6">
        <f>YEAR(AK224)</f>
        <v/>
      </c>
      <c r="AJ224" s="6">
        <f>MONTH(AK224)</f>
        <v/>
      </c>
      <c r="AK224" s="267">
        <f>IFERROR(__xludf.DUMMYFUNCTION("""COMPUTED_VALUE"""),43316.9986111111)</f>
        <v/>
      </c>
      <c r="AL224" s="6">
        <f>IFERROR(__xludf.DUMMYFUNCTION("""COMPUTED_VALUE"""),7010.97)</f>
        <v/>
      </c>
      <c r="AP224" s="6">
        <f>AQ224&amp;AR224</f>
        <v/>
      </c>
      <c r="AQ224" s="6">
        <f>YEAR(AS224)</f>
        <v/>
      </c>
      <c r="AR224" s="6">
        <f>MONTH(AS224)</f>
        <v/>
      </c>
      <c r="AS224" s="267">
        <f>IFERROR(__xludf.DUMMYFUNCTION("""COMPUTED_VALUE"""),43417.9986111111)</f>
        <v/>
      </c>
      <c r="AT224" s="6">
        <f>IFERROR(__xludf.DUMMYFUNCTION("""COMPUTED_VALUE"""),1201.4)</f>
        <v/>
      </c>
    </row>
    <row r="225">
      <c r="B225" s="6">
        <f>C225&amp;D225</f>
        <v/>
      </c>
      <c r="C225" s="6">
        <f>YEAR(E225)</f>
        <v/>
      </c>
      <c r="D225" s="6">
        <f>MONTH(E225)</f>
        <v/>
      </c>
      <c r="E225" s="267">
        <f>IFERROR(__xludf.DUMMYFUNCTION("""COMPUTED_VALUE"""),43413.6666666666)</f>
        <v/>
      </c>
      <c r="F225" s="6">
        <f>IFERROR(__xludf.DUMMYFUNCTION("""COMPUTED_VALUE"""),2781.01)</f>
        <v/>
      </c>
      <c r="J225" s="6">
        <f>K225&amp;L225</f>
        <v/>
      </c>
      <c r="K225" s="6">
        <f>YEAR(M225)</f>
        <v/>
      </c>
      <c r="L225" s="6">
        <f>MONTH(M225)</f>
        <v/>
      </c>
      <c r="M225" s="267">
        <f>IFERROR(__xludf.DUMMYFUNCTION("""COMPUTED_VALUE"""),43413.6666666666)</f>
        <v/>
      </c>
      <c r="N225" s="6">
        <f>IFERROR(__xludf.DUMMYFUNCTION("""COMPUTED_VALUE"""),7406.9)</f>
        <v/>
      </c>
      <c r="R225" s="6">
        <f>S225&amp;T225</f>
        <v/>
      </c>
      <c r="S225" s="6">
        <f>YEAR(U225)</f>
        <v/>
      </c>
      <c r="T225" s="6">
        <f>MONTH(U225)</f>
        <v/>
      </c>
      <c r="U225" s="267">
        <f>IFERROR(__xludf.DUMMYFUNCTION("""COMPUTED_VALUE"""),43433.6458333333)</f>
        <v/>
      </c>
      <c r="V225" s="6">
        <f>IFERROR(__xludf.DUMMYFUNCTION("""COMPUTED_VALUE"""),2114.1)</f>
        <v/>
      </c>
      <c r="Z225" s="6">
        <f>AA225&amp;AB225</f>
        <v/>
      </c>
      <c r="AA225" s="6">
        <f>YEAR(AC225)</f>
        <v/>
      </c>
      <c r="AB225" s="6">
        <f>MONTH(AC225)</f>
        <v/>
      </c>
      <c r="AC225" s="267">
        <f>IFERROR(__xludf.DUMMYFUNCTION("""COMPUTED_VALUE"""),43327.9986111111)</f>
        <v/>
      </c>
      <c r="AD225" s="6">
        <f>IFERROR(__xludf.DUMMYFUNCTION("""COMPUTED_VALUE"""),1136.38)</f>
        <v/>
      </c>
      <c r="AH225" s="6">
        <f>AI225&amp;AJ225</f>
        <v/>
      </c>
      <c r="AI225" s="6">
        <f>YEAR(AK225)</f>
        <v/>
      </c>
      <c r="AJ225" s="6">
        <f>MONTH(AK225)</f>
        <v/>
      </c>
      <c r="AK225" s="267">
        <f>IFERROR(__xludf.DUMMYFUNCTION("""COMPUTED_VALUE"""),43317.9986111111)</f>
        <v/>
      </c>
      <c r="AL225" s="6">
        <f>IFERROR(__xludf.DUMMYFUNCTION("""COMPUTED_VALUE"""),7027.62)</f>
        <v/>
      </c>
      <c r="AP225" s="6">
        <f>AQ225&amp;AR225</f>
        <v/>
      </c>
      <c r="AQ225" s="6">
        <f>YEAR(AS225)</f>
        <v/>
      </c>
      <c r="AR225" s="6">
        <f>MONTH(AS225)</f>
        <v/>
      </c>
      <c r="AS225" s="267">
        <f>IFERROR(__xludf.DUMMYFUNCTION("""COMPUTED_VALUE"""),43418.9986111111)</f>
        <v/>
      </c>
      <c r="AT225" s="6">
        <f>IFERROR(__xludf.DUMMYFUNCTION("""COMPUTED_VALUE"""),1210.1)</f>
        <v/>
      </c>
    </row>
    <row r="226">
      <c r="B226" s="6">
        <f>C226&amp;D226</f>
        <v/>
      </c>
      <c r="C226" s="6">
        <f>YEAR(E226)</f>
        <v/>
      </c>
      <c r="D226" s="6">
        <f>MONTH(E226)</f>
        <v/>
      </c>
      <c r="E226" s="267">
        <f>IFERROR(__xludf.DUMMYFUNCTION("""COMPUTED_VALUE"""),43416.6666666666)</f>
        <v/>
      </c>
      <c r="F226" s="6">
        <f>IFERROR(__xludf.DUMMYFUNCTION("""COMPUTED_VALUE"""),2726.22)</f>
        <v/>
      </c>
      <c r="J226" s="6">
        <f>K226&amp;L226</f>
        <v/>
      </c>
      <c r="K226" s="6">
        <f>YEAR(M226)</f>
        <v/>
      </c>
      <c r="L226" s="6">
        <f>MONTH(M226)</f>
        <v/>
      </c>
      <c r="M226" s="267">
        <f>IFERROR(__xludf.DUMMYFUNCTION("""COMPUTED_VALUE"""),43416.6666666666)</f>
        <v/>
      </c>
      <c r="N226" s="6">
        <f>IFERROR(__xludf.DUMMYFUNCTION("""COMPUTED_VALUE"""),7200.87)</f>
        <v/>
      </c>
      <c r="R226" s="6">
        <f>S226&amp;T226</f>
        <v/>
      </c>
      <c r="S226" s="6">
        <f>YEAR(U226)</f>
        <v/>
      </c>
      <c r="T226" s="6">
        <f>MONTH(U226)</f>
        <v/>
      </c>
      <c r="U226" s="267">
        <f>IFERROR(__xludf.DUMMYFUNCTION("""COMPUTED_VALUE"""),43434.6458333333)</f>
        <v/>
      </c>
      <c r="V226" s="6">
        <f>IFERROR(__xludf.DUMMYFUNCTION("""COMPUTED_VALUE"""),2096.86)</f>
        <v/>
      </c>
      <c r="Z226" s="6">
        <f>AA226&amp;AB226</f>
        <v/>
      </c>
      <c r="AA226" s="6">
        <f>YEAR(AC226)</f>
        <v/>
      </c>
      <c r="AB226" s="6">
        <f>MONTH(AC226)</f>
        <v/>
      </c>
      <c r="AC226" s="267">
        <f>IFERROR(__xludf.DUMMYFUNCTION("""COMPUTED_VALUE"""),43328.9986111111)</f>
        <v/>
      </c>
      <c r="AD226" s="6">
        <f>IFERROR(__xludf.DUMMYFUNCTION("""COMPUTED_VALUE"""),1126.24)</f>
        <v/>
      </c>
      <c r="AH226" s="6">
        <f>AI226&amp;AJ226</f>
        <v/>
      </c>
      <c r="AI226" s="6">
        <f>YEAR(AK226)</f>
        <v/>
      </c>
      <c r="AJ226" s="6">
        <f>MONTH(AK226)</f>
        <v/>
      </c>
      <c r="AK226" s="267">
        <f>IFERROR(__xludf.DUMMYFUNCTION("""COMPUTED_VALUE"""),43318.9986111111)</f>
        <v/>
      </c>
      <c r="AL226" s="6">
        <f>IFERROR(__xludf.DUMMYFUNCTION("""COMPUTED_VALUE"""),6932.7)</f>
        <v/>
      </c>
      <c r="AP226" s="6">
        <f>AQ226&amp;AR226</f>
        <v/>
      </c>
      <c r="AQ226" s="6">
        <f>YEAR(AS226)</f>
        <v/>
      </c>
      <c r="AR226" s="6">
        <f>MONTH(AS226)</f>
        <v/>
      </c>
      <c r="AS226" s="267">
        <f>IFERROR(__xludf.DUMMYFUNCTION("""COMPUTED_VALUE"""),43419.9986111111)</f>
        <v/>
      </c>
      <c r="AT226" s="6">
        <f>IFERROR(__xludf.DUMMYFUNCTION("""COMPUTED_VALUE"""),1215)</f>
        <v/>
      </c>
    </row>
    <row r="227">
      <c r="B227" s="6">
        <f>C227&amp;D227</f>
        <v/>
      </c>
      <c r="C227" s="6">
        <f>YEAR(E227)</f>
        <v/>
      </c>
      <c r="D227" s="6">
        <f>MONTH(E227)</f>
        <v/>
      </c>
      <c r="E227" s="267">
        <f>IFERROR(__xludf.DUMMYFUNCTION("""COMPUTED_VALUE"""),43417.6666666666)</f>
        <v/>
      </c>
      <c r="F227" s="6">
        <f>IFERROR(__xludf.DUMMYFUNCTION("""COMPUTED_VALUE"""),2722.18)</f>
        <v/>
      </c>
      <c r="J227" s="6">
        <f>K227&amp;L227</f>
        <v/>
      </c>
      <c r="K227" s="6">
        <f>YEAR(M227)</f>
        <v/>
      </c>
      <c r="L227" s="6">
        <f>MONTH(M227)</f>
        <v/>
      </c>
      <c r="M227" s="267">
        <f>IFERROR(__xludf.DUMMYFUNCTION("""COMPUTED_VALUE"""),43417.6666666666)</f>
        <v/>
      </c>
      <c r="N227" s="6">
        <f>IFERROR(__xludf.DUMMYFUNCTION("""COMPUTED_VALUE"""),7200.88)</f>
        <v/>
      </c>
      <c r="R227" s="6">
        <f>S227&amp;T227</f>
        <v/>
      </c>
      <c r="S227" s="6">
        <f>YEAR(U227)</f>
        <v/>
      </c>
      <c r="T227" s="6">
        <f>MONTH(U227)</f>
        <v/>
      </c>
      <c r="U227" s="267">
        <f>IFERROR(__xludf.DUMMYFUNCTION("""COMPUTED_VALUE"""),43437.6458333333)</f>
        <v/>
      </c>
      <c r="V227" s="6">
        <f>IFERROR(__xludf.DUMMYFUNCTION("""COMPUTED_VALUE"""),2131.93)</f>
        <v/>
      </c>
      <c r="Z227" s="6">
        <f>AA227&amp;AB227</f>
        <v/>
      </c>
      <c r="AA227" s="6">
        <f>YEAR(AC227)</f>
        <v/>
      </c>
      <c r="AB227" s="6">
        <f>MONTH(AC227)</f>
        <v/>
      </c>
      <c r="AC227" s="267">
        <f>IFERROR(__xludf.DUMMYFUNCTION("""COMPUTED_VALUE"""),43329.9986111111)</f>
        <v/>
      </c>
      <c r="AD227" s="6">
        <f>IFERROR(__xludf.DUMMYFUNCTION("""COMPUTED_VALUE"""),1118.7)</f>
        <v/>
      </c>
      <c r="AH227" s="6">
        <f>AI227&amp;AJ227</f>
        <v/>
      </c>
      <c r="AI227" s="6">
        <f>YEAR(AK227)</f>
        <v/>
      </c>
      <c r="AJ227" s="6">
        <f>MONTH(AK227)</f>
        <v/>
      </c>
      <c r="AK227" s="267">
        <f>IFERROR(__xludf.DUMMYFUNCTION("""COMPUTED_VALUE"""),43319.9986111111)</f>
        <v/>
      </c>
      <c r="AL227" s="6">
        <f>IFERROR(__xludf.DUMMYFUNCTION("""COMPUTED_VALUE"""),6717.17)</f>
        <v/>
      </c>
      <c r="AP227" s="6">
        <f>AQ227&amp;AR227</f>
        <v/>
      </c>
      <c r="AQ227" s="6">
        <f>YEAR(AS227)</f>
        <v/>
      </c>
      <c r="AR227" s="6">
        <f>MONTH(AS227)</f>
        <v/>
      </c>
      <c r="AS227" s="267">
        <f>IFERROR(__xludf.DUMMYFUNCTION("""COMPUTED_VALUE"""),43420.9986111111)</f>
        <v/>
      </c>
      <c r="AT227" s="6">
        <f>IFERROR(__xludf.DUMMYFUNCTION("""COMPUTED_VALUE"""),1223)</f>
        <v/>
      </c>
    </row>
    <row r="228">
      <c r="B228" s="6">
        <f>C228&amp;D228</f>
        <v/>
      </c>
      <c r="C228" s="6">
        <f>YEAR(E228)</f>
        <v/>
      </c>
      <c r="D228" s="6">
        <f>MONTH(E228)</f>
        <v/>
      </c>
      <c r="E228" s="267">
        <f>IFERROR(__xludf.DUMMYFUNCTION("""COMPUTED_VALUE"""),43418.6666666666)</f>
        <v/>
      </c>
      <c r="F228" s="6">
        <f>IFERROR(__xludf.DUMMYFUNCTION("""COMPUTED_VALUE"""),2701.58)</f>
        <v/>
      </c>
      <c r="J228" s="6">
        <f>K228&amp;L228</f>
        <v/>
      </c>
      <c r="K228" s="6">
        <f>YEAR(M228)</f>
        <v/>
      </c>
      <c r="L228" s="6">
        <f>MONTH(M228)</f>
        <v/>
      </c>
      <c r="M228" s="267">
        <f>IFERROR(__xludf.DUMMYFUNCTION("""COMPUTED_VALUE"""),43418.6666666666)</f>
        <v/>
      </c>
      <c r="N228" s="6">
        <f>IFERROR(__xludf.DUMMYFUNCTION("""COMPUTED_VALUE"""),7136.39)</f>
        <v/>
      </c>
      <c r="R228" s="6">
        <f>S228&amp;T228</f>
        <v/>
      </c>
      <c r="S228" s="6">
        <f>YEAR(U228)</f>
        <v/>
      </c>
      <c r="T228" s="6">
        <f>MONTH(U228)</f>
        <v/>
      </c>
      <c r="U228" s="267">
        <f>IFERROR(__xludf.DUMMYFUNCTION("""COMPUTED_VALUE"""),43438.6458333333)</f>
        <v/>
      </c>
      <c r="V228" s="6">
        <f>IFERROR(__xludf.DUMMYFUNCTION("""COMPUTED_VALUE"""),2114.35)</f>
        <v/>
      </c>
      <c r="Z228" s="6">
        <f>AA228&amp;AB228</f>
        <v/>
      </c>
      <c r="AA228" s="6">
        <f>YEAR(AC228)</f>
        <v/>
      </c>
      <c r="AB228" s="6">
        <f>MONTH(AC228)</f>
        <v/>
      </c>
      <c r="AC228" s="267">
        <f>IFERROR(__xludf.DUMMYFUNCTION("""COMPUTED_VALUE"""),43331.9986111111)</f>
        <v/>
      </c>
      <c r="AD228" s="6">
        <f>IFERROR(__xludf.DUMMYFUNCTION("""COMPUTED_VALUE"""),1118.5)</f>
        <v/>
      </c>
      <c r="AH228" s="6">
        <f>AI228&amp;AJ228</f>
        <v/>
      </c>
      <c r="AI228" s="6">
        <f>YEAR(AK228)</f>
        <v/>
      </c>
      <c r="AJ228" s="6">
        <f>MONTH(AK228)</f>
        <v/>
      </c>
      <c r="AK228" s="267">
        <f>IFERROR(__xludf.DUMMYFUNCTION("""COMPUTED_VALUE"""),43320.9986111111)</f>
        <v/>
      </c>
      <c r="AL228" s="6">
        <f>IFERROR(__xludf.DUMMYFUNCTION("""COMPUTED_VALUE"""),6278.07)</f>
        <v/>
      </c>
      <c r="AP228" s="6">
        <f>AQ228&amp;AR228</f>
        <v/>
      </c>
      <c r="AQ228" s="6">
        <f>YEAR(AS228)</f>
        <v/>
      </c>
      <c r="AR228" s="6">
        <f>MONTH(AS228)</f>
        <v/>
      </c>
      <c r="AS228" s="267">
        <f>IFERROR(__xludf.DUMMYFUNCTION("""COMPUTED_VALUE"""),43423.9986111111)</f>
        <v/>
      </c>
      <c r="AT228" s="6">
        <f>IFERROR(__xludf.DUMMYFUNCTION("""COMPUTED_VALUE"""),1225.3)</f>
        <v/>
      </c>
    </row>
    <row r="229">
      <c r="B229" s="6">
        <f>C229&amp;D229</f>
        <v/>
      </c>
      <c r="C229" s="6">
        <f>YEAR(E229)</f>
        <v/>
      </c>
      <c r="D229" s="6">
        <f>MONTH(E229)</f>
        <v/>
      </c>
      <c r="E229" s="267">
        <f>IFERROR(__xludf.DUMMYFUNCTION("""COMPUTED_VALUE"""),43419.6666666666)</f>
        <v/>
      </c>
      <c r="F229" s="6">
        <f>IFERROR(__xludf.DUMMYFUNCTION("""COMPUTED_VALUE"""),2730.2)</f>
        <v/>
      </c>
      <c r="J229" s="6">
        <f>K229&amp;L229</f>
        <v/>
      </c>
      <c r="K229" s="6">
        <f>YEAR(M229)</f>
        <v/>
      </c>
      <c r="L229" s="6">
        <f>MONTH(M229)</f>
        <v/>
      </c>
      <c r="M229" s="267">
        <f>IFERROR(__xludf.DUMMYFUNCTION("""COMPUTED_VALUE"""),43419.6666666666)</f>
        <v/>
      </c>
      <c r="N229" s="6">
        <f>IFERROR(__xludf.DUMMYFUNCTION("""COMPUTED_VALUE"""),7259.03)</f>
        <v/>
      </c>
      <c r="R229" s="6">
        <f>S229&amp;T229</f>
        <v/>
      </c>
      <c r="S229" s="6">
        <f>YEAR(U229)</f>
        <v/>
      </c>
      <c r="T229" s="6">
        <f>MONTH(U229)</f>
        <v/>
      </c>
      <c r="U229" s="267">
        <f>IFERROR(__xludf.DUMMYFUNCTION("""COMPUTED_VALUE"""),43439.6458333333)</f>
        <v/>
      </c>
      <c r="V229" s="6">
        <f>IFERROR(__xludf.DUMMYFUNCTION("""COMPUTED_VALUE"""),2101.31)</f>
        <v/>
      </c>
      <c r="Z229" s="6">
        <f>AA229&amp;AB229</f>
        <v/>
      </c>
      <c r="AA229" s="6">
        <f>YEAR(AC229)</f>
        <v/>
      </c>
      <c r="AB229" s="6">
        <f>MONTH(AC229)</f>
        <v/>
      </c>
      <c r="AC229" s="267">
        <f>IFERROR(__xludf.DUMMYFUNCTION("""COMPUTED_VALUE"""),43332.9986111111)</f>
        <v/>
      </c>
      <c r="AD229" s="6">
        <f>IFERROR(__xludf.DUMMYFUNCTION("""COMPUTED_VALUE"""),1116.88)</f>
        <v/>
      </c>
      <c r="AH229" s="6">
        <f>AI229&amp;AJ229</f>
        <v/>
      </c>
      <c r="AI229" s="6">
        <f>YEAR(AK229)</f>
        <v/>
      </c>
      <c r="AJ229" s="6">
        <f>MONTH(AK229)</f>
        <v/>
      </c>
      <c r="AK229" s="267">
        <f>IFERROR(__xludf.DUMMYFUNCTION("""COMPUTED_VALUE"""),43321.9986111111)</f>
        <v/>
      </c>
      <c r="AL229" s="6">
        <f>IFERROR(__xludf.DUMMYFUNCTION("""COMPUTED_VALUE"""),6533.15)</f>
        <v/>
      </c>
      <c r="AP229" s="6">
        <f>AQ229&amp;AR229</f>
        <v/>
      </c>
      <c r="AQ229" s="6">
        <f>YEAR(AS229)</f>
        <v/>
      </c>
      <c r="AR229" s="6">
        <f>MONTH(AS229)</f>
        <v/>
      </c>
      <c r="AS229" s="267">
        <f>IFERROR(__xludf.DUMMYFUNCTION("""COMPUTED_VALUE"""),43424.9986111111)</f>
        <v/>
      </c>
      <c r="AT229" s="6">
        <f>IFERROR(__xludf.DUMMYFUNCTION("""COMPUTED_VALUE"""),1221.2)</f>
        <v/>
      </c>
    </row>
    <row r="230">
      <c r="B230" s="6">
        <f>C230&amp;D230</f>
        <v/>
      </c>
      <c r="C230" s="6">
        <f>YEAR(E230)</f>
        <v/>
      </c>
      <c r="D230" s="6">
        <f>MONTH(E230)</f>
        <v/>
      </c>
      <c r="E230" s="267">
        <f>IFERROR(__xludf.DUMMYFUNCTION("""COMPUTED_VALUE"""),43420.6666666666)</f>
        <v/>
      </c>
      <c r="F230" s="6">
        <f>IFERROR(__xludf.DUMMYFUNCTION("""COMPUTED_VALUE"""),2736.27)</f>
        <v/>
      </c>
      <c r="J230" s="6">
        <f>K230&amp;L230</f>
        <v/>
      </c>
      <c r="K230" s="6">
        <f>YEAR(M230)</f>
        <v/>
      </c>
      <c r="L230" s="6">
        <f>MONTH(M230)</f>
        <v/>
      </c>
      <c r="M230" s="267">
        <f>IFERROR(__xludf.DUMMYFUNCTION("""COMPUTED_VALUE"""),43420.6666666666)</f>
        <v/>
      </c>
      <c r="N230" s="6">
        <f>IFERROR(__xludf.DUMMYFUNCTION("""COMPUTED_VALUE"""),7247.87)</f>
        <v/>
      </c>
      <c r="R230" s="6">
        <f>S230&amp;T230</f>
        <v/>
      </c>
      <c r="S230" s="6">
        <f>YEAR(U230)</f>
        <v/>
      </c>
      <c r="T230" s="6">
        <f>MONTH(U230)</f>
        <v/>
      </c>
      <c r="U230" s="267">
        <f>IFERROR(__xludf.DUMMYFUNCTION("""COMPUTED_VALUE"""),43440.6458333333)</f>
        <v/>
      </c>
      <c r="V230" s="6">
        <f>IFERROR(__xludf.DUMMYFUNCTION("""COMPUTED_VALUE"""),2068.69)</f>
        <v/>
      </c>
      <c r="Z230" s="6">
        <f>AA230&amp;AB230</f>
        <v/>
      </c>
      <c r="AA230" s="6">
        <f>YEAR(AC230)</f>
        <v/>
      </c>
      <c r="AB230" s="6">
        <f>MONTH(AC230)</f>
        <v/>
      </c>
      <c r="AC230" s="267">
        <f>IFERROR(__xludf.DUMMYFUNCTION("""COMPUTED_VALUE"""),43333.9986111111)</f>
        <v/>
      </c>
      <c r="AD230" s="6">
        <f>IFERROR(__xludf.DUMMYFUNCTION("""COMPUTED_VALUE"""),1116.1)</f>
        <v/>
      </c>
      <c r="AH230" s="6">
        <f>AI230&amp;AJ230</f>
        <v/>
      </c>
      <c r="AI230" s="6">
        <f>YEAR(AK230)</f>
        <v/>
      </c>
      <c r="AJ230" s="6">
        <f>MONTH(AK230)</f>
        <v/>
      </c>
      <c r="AK230" s="267">
        <f>IFERROR(__xludf.DUMMYFUNCTION("""COMPUTED_VALUE"""),43322.9986111111)</f>
        <v/>
      </c>
      <c r="AL230" s="6">
        <f>IFERROR(__xludf.DUMMYFUNCTION("""COMPUTED_VALUE"""),6141.43)</f>
        <v/>
      </c>
      <c r="AP230" s="6">
        <f>AQ230&amp;AR230</f>
        <v/>
      </c>
      <c r="AQ230" s="6">
        <f>YEAR(AS230)</f>
        <v/>
      </c>
      <c r="AR230" s="6">
        <f>MONTH(AS230)</f>
        <v/>
      </c>
      <c r="AS230" s="267">
        <f>IFERROR(__xludf.DUMMYFUNCTION("""COMPUTED_VALUE"""),43425.9986111111)</f>
        <v/>
      </c>
      <c r="AT230" s="6">
        <f>IFERROR(__xludf.DUMMYFUNCTION("""COMPUTED_VALUE"""),1228)</f>
        <v/>
      </c>
    </row>
    <row r="231">
      <c r="B231" s="6">
        <f>C231&amp;D231</f>
        <v/>
      </c>
      <c r="C231" s="6">
        <f>YEAR(E231)</f>
        <v/>
      </c>
      <c r="D231" s="6">
        <f>MONTH(E231)</f>
        <v/>
      </c>
      <c r="E231" s="267">
        <f>IFERROR(__xludf.DUMMYFUNCTION("""COMPUTED_VALUE"""),43423.6666666666)</f>
        <v/>
      </c>
      <c r="F231" s="6">
        <f>IFERROR(__xludf.DUMMYFUNCTION("""COMPUTED_VALUE"""),2690.73)</f>
        <v/>
      </c>
      <c r="J231" s="6">
        <f>K231&amp;L231</f>
        <v/>
      </c>
      <c r="K231" s="6">
        <f>YEAR(M231)</f>
        <v/>
      </c>
      <c r="L231" s="6">
        <f>MONTH(M231)</f>
        <v/>
      </c>
      <c r="M231" s="267">
        <f>IFERROR(__xludf.DUMMYFUNCTION("""COMPUTED_VALUE"""),43423.6666666666)</f>
        <v/>
      </c>
      <c r="N231" s="6">
        <f>IFERROR(__xludf.DUMMYFUNCTION("""COMPUTED_VALUE"""),7028.48)</f>
        <v/>
      </c>
      <c r="R231" s="6">
        <f>S231&amp;T231</f>
        <v/>
      </c>
      <c r="S231" s="6">
        <f>YEAR(U231)</f>
        <v/>
      </c>
      <c r="T231" s="6">
        <f>MONTH(U231)</f>
        <v/>
      </c>
      <c r="U231" s="267">
        <f>IFERROR(__xludf.DUMMYFUNCTION("""COMPUTED_VALUE"""),43441.6458333333)</f>
        <v/>
      </c>
      <c r="V231" s="6">
        <f>IFERROR(__xludf.DUMMYFUNCTION("""COMPUTED_VALUE"""),2075.76)</f>
        <v/>
      </c>
      <c r="Z231" s="6">
        <f>AA231&amp;AB231</f>
        <v/>
      </c>
      <c r="AA231" s="6">
        <f>YEAR(AC231)</f>
        <v/>
      </c>
      <c r="AB231" s="6">
        <f>MONTH(AC231)</f>
        <v/>
      </c>
      <c r="AC231" s="267">
        <f>IFERROR(__xludf.DUMMYFUNCTION("""COMPUTED_VALUE"""),43334.9986111111)</f>
        <v/>
      </c>
      <c r="AD231" s="6">
        <f>IFERROR(__xludf.DUMMYFUNCTION("""COMPUTED_VALUE"""),1117.5)</f>
        <v/>
      </c>
      <c r="AH231" s="6">
        <f>AI231&amp;AJ231</f>
        <v/>
      </c>
      <c r="AI231" s="6">
        <f>YEAR(AK231)</f>
        <v/>
      </c>
      <c r="AJ231" s="6">
        <f>MONTH(AK231)</f>
        <v/>
      </c>
      <c r="AK231" s="267">
        <f>IFERROR(__xludf.DUMMYFUNCTION("""COMPUTED_VALUE"""),43323.9986111111)</f>
        <v/>
      </c>
      <c r="AL231" s="6">
        <f>IFERROR(__xludf.DUMMYFUNCTION("""COMPUTED_VALUE"""),6227.78)</f>
        <v/>
      </c>
      <c r="AP231" s="6">
        <f>AQ231&amp;AR231</f>
        <v/>
      </c>
      <c r="AQ231" s="6">
        <f>YEAR(AS231)</f>
        <v/>
      </c>
      <c r="AR231" s="6">
        <f>MONTH(AS231)</f>
        <v/>
      </c>
      <c r="AS231" s="267">
        <f>IFERROR(__xludf.DUMMYFUNCTION("""COMPUTED_VALUE"""),43427.5416666666)</f>
        <v/>
      </c>
      <c r="AT231" s="6">
        <f>IFERROR(__xludf.DUMMYFUNCTION("""COMPUTED_VALUE"""),1223.2)</f>
        <v/>
      </c>
    </row>
    <row r="232">
      <c r="B232" s="6">
        <f>C232&amp;D232</f>
        <v/>
      </c>
      <c r="C232" s="6">
        <f>YEAR(E232)</f>
        <v/>
      </c>
      <c r="D232" s="6">
        <f>MONTH(E232)</f>
        <v/>
      </c>
      <c r="E232" s="267">
        <f>IFERROR(__xludf.DUMMYFUNCTION("""COMPUTED_VALUE"""),43424.6666666666)</f>
        <v/>
      </c>
      <c r="F232" s="6">
        <f>IFERROR(__xludf.DUMMYFUNCTION("""COMPUTED_VALUE"""),2641.89)</f>
        <v/>
      </c>
      <c r="J232" s="6">
        <f>K232&amp;L232</f>
        <v/>
      </c>
      <c r="K232" s="6">
        <f>YEAR(M232)</f>
        <v/>
      </c>
      <c r="L232" s="6">
        <f>MONTH(M232)</f>
        <v/>
      </c>
      <c r="M232" s="267">
        <f>IFERROR(__xludf.DUMMYFUNCTION("""COMPUTED_VALUE"""),43424.6666666666)</f>
        <v/>
      </c>
      <c r="N232" s="6">
        <f>IFERROR(__xludf.DUMMYFUNCTION("""COMPUTED_VALUE"""),6908.82)</f>
        <v/>
      </c>
      <c r="R232" s="6">
        <f>S232&amp;T232</f>
        <v/>
      </c>
      <c r="S232" s="6">
        <f>YEAR(U232)</f>
        <v/>
      </c>
      <c r="T232" s="6">
        <f>MONTH(U232)</f>
        <v/>
      </c>
      <c r="U232" s="267">
        <f>IFERROR(__xludf.DUMMYFUNCTION("""COMPUTED_VALUE"""),43444.6458333333)</f>
        <v/>
      </c>
      <c r="V232" s="6">
        <f>IFERROR(__xludf.DUMMYFUNCTION("""COMPUTED_VALUE"""),2053.79)</f>
        <v/>
      </c>
      <c r="Z232" s="6">
        <f>AA232&amp;AB232</f>
        <v/>
      </c>
      <c r="AA232" s="6">
        <f>YEAR(AC232)</f>
        <v/>
      </c>
      <c r="AB232" s="6">
        <f>MONTH(AC232)</f>
        <v/>
      </c>
      <c r="AC232" s="267">
        <f>IFERROR(__xludf.DUMMYFUNCTION("""COMPUTED_VALUE"""),43335.9986111111)</f>
        <v/>
      </c>
      <c r="AD232" s="6">
        <f>IFERROR(__xludf.DUMMYFUNCTION("""COMPUTED_VALUE"""),1126.15)</f>
        <v/>
      </c>
      <c r="AH232" s="6">
        <f>AI232&amp;AJ232</f>
        <v/>
      </c>
      <c r="AI232" s="6">
        <f>YEAR(AK232)</f>
        <v/>
      </c>
      <c r="AJ232" s="6">
        <f>MONTH(AK232)</f>
        <v/>
      </c>
      <c r="AK232" s="267">
        <f>IFERROR(__xludf.DUMMYFUNCTION("""COMPUTED_VALUE"""),43324.9986111111)</f>
        <v/>
      </c>
      <c r="AL232" s="6">
        <f>IFERROR(__xludf.DUMMYFUNCTION("""COMPUTED_VALUE"""),6311.92)</f>
        <v/>
      </c>
      <c r="AP232" s="6">
        <f>AQ232&amp;AR232</f>
        <v/>
      </c>
      <c r="AQ232" s="6">
        <f>YEAR(AS232)</f>
        <v/>
      </c>
      <c r="AR232" s="6">
        <f>MONTH(AS232)</f>
        <v/>
      </c>
      <c r="AS232" s="267">
        <f>IFERROR(__xludf.DUMMYFUNCTION("""COMPUTED_VALUE"""),43430.9986111111)</f>
        <v/>
      </c>
      <c r="AT232" s="6">
        <f>IFERROR(__xludf.DUMMYFUNCTION("""COMPUTED_VALUE"""),1222.4)</f>
        <v/>
      </c>
    </row>
    <row r="233">
      <c r="B233" s="6">
        <f>C233&amp;D233</f>
        <v/>
      </c>
      <c r="C233" s="6">
        <f>YEAR(E233)</f>
        <v/>
      </c>
      <c r="D233" s="6">
        <f>MONTH(E233)</f>
        <v/>
      </c>
      <c r="E233" s="267">
        <f>IFERROR(__xludf.DUMMYFUNCTION("""COMPUTED_VALUE"""),43425.6666666666)</f>
        <v/>
      </c>
      <c r="F233" s="6">
        <f>IFERROR(__xludf.DUMMYFUNCTION("""COMPUTED_VALUE"""),2649.93)</f>
        <v/>
      </c>
      <c r="J233" s="6">
        <f>K233&amp;L233</f>
        <v/>
      </c>
      <c r="K233" s="6">
        <f>YEAR(M233)</f>
        <v/>
      </c>
      <c r="L233" s="6">
        <f>MONTH(M233)</f>
        <v/>
      </c>
      <c r="M233" s="267">
        <f>IFERROR(__xludf.DUMMYFUNCTION("""COMPUTED_VALUE"""),43425.6666666666)</f>
        <v/>
      </c>
      <c r="N233" s="6">
        <f>IFERROR(__xludf.DUMMYFUNCTION("""COMPUTED_VALUE"""),6972.25)</f>
        <v/>
      </c>
      <c r="R233" s="6">
        <f>S233&amp;T233</f>
        <v/>
      </c>
      <c r="S233" s="6">
        <f>YEAR(U233)</f>
        <v/>
      </c>
      <c r="T233" s="6">
        <f>MONTH(U233)</f>
        <v/>
      </c>
      <c r="U233" s="267">
        <f>IFERROR(__xludf.DUMMYFUNCTION("""COMPUTED_VALUE"""),43445.6458333333)</f>
        <v/>
      </c>
      <c r="V233" s="6">
        <f>IFERROR(__xludf.DUMMYFUNCTION("""COMPUTED_VALUE"""),2052.97)</f>
        <v/>
      </c>
      <c r="Z233" s="6">
        <f>AA233&amp;AB233</f>
        <v/>
      </c>
      <c r="AA233" s="6">
        <f>YEAR(AC233)</f>
        <v/>
      </c>
      <c r="AB233" s="6">
        <f>MONTH(AC233)</f>
        <v/>
      </c>
      <c r="AC233" s="267">
        <f>IFERROR(__xludf.DUMMYFUNCTION("""COMPUTED_VALUE"""),43336.9986111111)</f>
        <v/>
      </c>
      <c r="AD233" s="6">
        <f>IFERROR(__xludf.DUMMYFUNCTION("""COMPUTED_VALUE"""),1113)</f>
        <v/>
      </c>
      <c r="AH233" s="6">
        <f>AI233&amp;AJ233</f>
        <v/>
      </c>
      <c r="AI233" s="6">
        <f>YEAR(AK233)</f>
        <v/>
      </c>
      <c r="AJ233" s="6">
        <f>MONTH(AK233)</f>
        <v/>
      </c>
      <c r="AK233" s="267">
        <f>IFERROR(__xludf.DUMMYFUNCTION("""COMPUTED_VALUE"""),43325.9986111111)</f>
        <v/>
      </c>
      <c r="AL233" s="6">
        <f>IFERROR(__xludf.DUMMYFUNCTION("""COMPUTED_VALUE"""),6251.54)</f>
        <v/>
      </c>
      <c r="AP233" s="6">
        <f>AQ233&amp;AR233</f>
        <v/>
      </c>
      <c r="AQ233" s="6">
        <f>YEAR(AS233)</f>
        <v/>
      </c>
      <c r="AR233" s="6">
        <f>MONTH(AS233)</f>
        <v/>
      </c>
      <c r="AS233" s="267">
        <f>IFERROR(__xludf.DUMMYFUNCTION("""COMPUTED_VALUE"""),43431.9986111111)</f>
        <v/>
      </c>
      <c r="AT233" s="6">
        <f>IFERROR(__xludf.DUMMYFUNCTION("""COMPUTED_VALUE"""),1219.9)</f>
        <v/>
      </c>
    </row>
    <row r="234">
      <c r="B234" s="6">
        <f>C234&amp;D234</f>
        <v/>
      </c>
      <c r="C234" s="6">
        <f>YEAR(E234)</f>
        <v/>
      </c>
      <c r="D234" s="6">
        <f>MONTH(E234)</f>
        <v/>
      </c>
      <c r="E234" s="267">
        <f>IFERROR(__xludf.DUMMYFUNCTION("""COMPUTED_VALUE"""),43427.5416666666)</f>
        <v/>
      </c>
      <c r="F234" s="6">
        <f>IFERROR(__xludf.DUMMYFUNCTION("""COMPUTED_VALUE"""),2632.56)</f>
        <v/>
      </c>
      <c r="J234" s="6">
        <f>K234&amp;L234</f>
        <v/>
      </c>
      <c r="K234" s="6">
        <f>YEAR(M234)</f>
        <v/>
      </c>
      <c r="L234" s="6">
        <f>MONTH(M234)</f>
        <v/>
      </c>
      <c r="M234" s="267">
        <f>IFERROR(__xludf.DUMMYFUNCTION("""COMPUTED_VALUE"""),43427.5416666666)</f>
        <v/>
      </c>
      <c r="N234" s="6">
        <f>IFERROR(__xludf.DUMMYFUNCTION("""COMPUTED_VALUE"""),6938.98)</f>
        <v/>
      </c>
      <c r="R234" s="6">
        <f>S234&amp;T234</f>
        <v/>
      </c>
      <c r="S234" s="6">
        <f>YEAR(U234)</f>
        <v/>
      </c>
      <c r="T234" s="6">
        <f>MONTH(U234)</f>
        <v/>
      </c>
      <c r="U234" s="267">
        <f>IFERROR(__xludf.DUMMYFUNCTION("""COMPUTED_VALUE"""),43446.6458333333)</f>
        <v/>
      </c>
      <c r="V234" s="6">
        <f>IFERROR(__xludf.DUMMYFUNCTION("""COMPUTED_VALUE"""),2082.57)</f>
        <v/>
      </c>
      <c r="Z234" s="6">
        <f>AA234&amp;AB234</f>
        <v/>
      </c>
      <c r="AA234" s="6">
        <f>YEAR(AC234)</f>
        <v/>
      </c>
      <c r="AB234" s="6">
        <f>MONTH(AC234)</f>
        <v/>
      </c>
      <c r="AC234" s="267">
        <f>IFERROR(__xludf.DUMMYFUNCTION("""COMPUTED_VALUE"""),43338.9986111111)</f>
        <v/>
      </c>
      <c r="AD234" s="6">
        <f>IFERROR(__xludf.DUMMYFUNCTION("""COMPUTED_VALUE"""),1111.17)</f>
        <v/>
      </c>
      <c r="AH234" s="6">
        <f>AI234&amp;AJ234</f>
        <v/>
      </c>
      <c r="AI234" s="6">
        <f>YEAR(AK234)</f>
        <v/>
      </c>
      <c r="AJ234" s="6">
        <f>MONTH(AK234)</f>
        <v/>
      </c>
      <c r="AK234" s="267">
        <f>IFERROR(__xludf.DUMMYFUNCTION("""COMPUTED_VALUE"""),43326.9986111111)</f>
        <v/>
      </c>
      <c r="AL234" s="6">
        <f>IFERROR(__xludf.DUMMYFUNCTION("""COMPUTED_VALUE"""),6183.14)</f>
        <v/>
      </c>
      <c r="AP234" s="6">
        <f>AQ234&amp;AR234</f>
        <v/>
      </c>
      <c r="AQ234" s="6">
        <f>YEAR(AS234)</f>
        <v/>
      </c>
      <c r="AR234" s="6">
        <f>MONTH(AS234)</f>
        <v/>
      </c>
      <c r="AS234" s="267">
        <f>IFERROR(__xludf.DUMMYFUNCTION("""COMPUTED_VALUE"""),43432.9986111111)</f>
        <v/>
      </c>
      <c r="AT234" s="6">
        <f>IFERROR(__xludf.DUMMYFUNCTION("""COMPUTED_VALUE"""),1229.8)</f>
        <v/>
      </c>
    </row>
    <row r="235">
      <c r="B235" s="6">
        <f>C235&amp;D235</f>
        <v/>
      </c>
      <c r="C235" s="6">
        <f>YEAR(E235)</f>
        <v/>
      </c>
      <c r="D235" s="6">
        <f>MONTH(E235)</f>
        <v/>
      </c>
      <c r="E235" s="267">
        <f>IFERROR(__xludf.DUMMYFUNCTION("""COMPUTED_VALUE"""),43430.6666666666)</f>
        <v/>
      </c>
      <c r="F235" s="6">
        <f>IFERROR(__xludf.DUMMYFUNCTION("""COMPUTED_VALUE"""),2673.45)</f>
        <v/>
      </c>
      <c r="J235" s="6">
        <f>K235&amp;L235</f>
        <v/>
      </c>
      <c r="K235" s="6">
        <f>YEAR(M235)</f>
        <v/>
      </c>
      <c r="L235" s="6">
        <f>MONTH(M235)</f>
        <v/>
      </c>
      <c r="M235" s="267">
        <f>IFERROR(__xludf.DUMMYFUNCTION("""COMPUTED_VALUE"""),43430.6666666666)</f>
        <v/>
      </c>
      <c r="N235" s="6">
        <f>IFERROR(__xludf.DUMMYFUNCTION("""COMPUTED_VALUE"""),7081.85)</f>
        <v/>
      </c>
      <c r="R235" s="6">
        <f>S235&amp;T235</f>
        <v/>
      </c>
      <c r="S235" s="6">
        <f>YEAR(U235)</f>
        <v/>
      </c>
      <c r="T235" s="6">
        <f>MONTH(U235)</f>
        <v/>
      </c>
      <c r="U235" s="267">
        <f>IFERROR(__xludf.DUMMYFUNCTION("""COMPUTED_VALUE"""),43447.6458333333)</f>
        <v/>
      </c>
      <c r="V235" s="6">
        <f>IFERROR(__xludf.DUMMYFUNCTION("""COMPUTED_VALUE"""),2095.55)</f>
        <v/>
      </c>
      <c r="Z235" s="6">
        <f>AA235&amp;AB235</f>
        <v/>
      </c>
      <c r="AA235" s="6">
        <f>YEAR(AC235)</f>
        <v/>
      </c>
      <c r="AB235" s="6">
        <f>MONTH(AC235)</f>
        <v/>
      </c>
      <c r="AC235" s="267">
        <f>IFERROR(__xludf.DUMMYFUNCTION("""COMPUTED_VALUE"""),43339.9986111111)</f>
        <v/>
      </c>
      <c r="AD235" s="6">
        <f>IFERROR(__xludf.DUMMYFUNCTION("""COMPUTED_VALUE"""),1108.23)</f>
        <v/>
      </c>
      <c r="AH235" s="6">
        <f>AI235&amp;AJ235</f>
        <v/>
      </c>
      <c r="AI235" s="6">
        <f>YEAR(AK235)</f>
        <v/>
      </c>
      <c r="AJ235" s="6">
        <f>MONTH(AK235)</f>
        <v/>
      </c>
      <c r="AK235" s="267">
        <f>IFERROR(__xludf.DUMMYFUNCTION("""COMPUTED_VALUE"""),43327.9986111111)</f>
        <v/>
      </c>
      <c r="AL235" s="6">
        <f>IFERROR(__xludf.DUMMYFUNCTION("""COMPUTED_VALUE"""),6269.88)</f>
        <v/>
      </c>
      <c r="AP235" s="6">
        <f>AQ235&amp;AR235</f>
        <v/>
      </c>
      <c r="AQ235" s="6">
        <f>YEAR(AS235)</f>
        <v/>
      </c>
      <c r="AR235" s="6">
        <f>MONTH(AS235)</f>
        <v/>
      </c>
      <c r="AS235" s="267">
        <f>IFERROR(__xludf.DUMMYFUNCTION("""COMPUTED_VALUE"""),43433.9986111111)</f>
        <v/>
      </c>
      <c r="AT235" s="6">
        <f>IFERROR(__xludf.DUMMYFUNCTION("""COMPUTED_VALUE"""),1230.4)</f>
        <v/>
      </c>
    </row>
    <row r="236">
      <c r="B236" s="6">
        <f>C236&amp;D236</f>
        <v/>
      </c>
      <c r="C236" s="6">
        <f>YEAR(E236)</f>
        <v/>
      </c>
      <c r="D236" s="6">
        <f>MONTH(E236)</f>
        <v/>
      </c>
      <c r="E236" s="267">
        <f>IFERROR(__xludf.DUMMYFUNCTION("""COMPUTED_VALUE"""),43431.6666666666)</f>
        <v/>
      </c>
      <c r="F236" s="6">
        <f>IFERROR(__xludf.DUMMYFUNCTION("""COMPUTED_VALUE"""),2682.17)</f>
        <v/>
      </c>
      <c r="J236" s="6">
        <f>K236&amp;L236</f>
        <v/>
      </c>
      <c r="K236" s="6">
        <f>YEAR(M236)</f>
        <v/>
      </c>
      <c r="L236" s="6">
        <f>MONTH(M236)</f>
        <v/>
      </c>
      <c r="M236" s="267">
        <f>IFERROR(__xludf.DUMMYFUNCTION("""COMPUTED_VALUE"""),43431.6666666666)</f>
        <v/>
      </c>
      <c r="N236" s="6">
        <f>IFERROR(__xludf.DUMMYFUNCTION("""COMPUTED_VALUE"""),7082.7)</f>
        <v/>
      </c>
      <c r="R236" s="6">
        <f>S236&amp;T236</f>
        <v/>
      </c>
      <c r="S236" s="6">
        <f>YEAR(U236)</f>
        <v/>
      </c>
      <c r="T236" s="6">
        <f>MONTH(U236)</f>
        <v/>
      </c>
      <c r="U236" s="267">
        <f>IFERROR(__xludf.DUMMYFUNCTION("""COMPUTED_VALUE"""),43448.6458333333)</f>
        <v/>
      </c>
      <c r="V236" s="6">
        <f>IFERROR(__xludf.DUMMYFUNCTION("""COMPUTED_VALUE"""),2069.38)</f>
        <v/>
      </c>
      <c r="Z236" s="6">
        <f>AA236&amp;AB236</f>
        <v/>
      </c>
      <c r="AA236" s="6">
        <f>YEAR(AC236)</f>
        <v/>
      </c>
      <c r="AB236" s="6">
        <f>MONTH(AC236)</f>
        <v/>
      </c>
      <c r="AC236" s="267">
        <f>IFERROR(__xludf.DUMMYFUNCTION("""COMPUTED_VALUE"""),43340.9986111111)</f>
        <v/>
      </c>
      <c r="AD236" s="6">
        <f>IFERROR(__xludf.DUMMYFUNCTION("""COMPUTED_VALUE"""),1106.88)</f>
        <v/>
      </c>
      <c r="AH236" s="6">
        <f>AI236&amp;AJ236</f>
        <v/>
      </c>
      <c r="AI236" s="6">
        <f>YEAR(AK236)</f>
        <v/>
      </c>
      <c r="AJ236" s="6">
        <f>MONTH(AK236)</f>
        <v/>
      </c>
      <c r="AK236" s="267">
        <f>IFERROR(__xludf.DUMMYFUNCTION("""COMPUTED_VALUE"""),43328.9986111111)</f>
        <v/>
      </c>
      <c r="AL236" s="6">
        <f>IFERROR(__xludf.DUMMYFUNCTION("""COMPUTED_VALUE"""),6312.28)</f>
        <v/>
      </c>
      <c r="AP236" s="6">
        <f>AQ236&amp;AR236</f>
        <v/>
      </c>
      <c r="AQ236" s="6">
        <f>YEAR(AS236)</f>
        <v/>
      </c>
      <c r="AR236" s="6">
        <f>MONTH(AS236)</f>
        <v/>
      </c>
      <c r="AS236" s="267">
        <f>IFERROR(__xludf.DUMMYFUNCTION("""COMPUTED_VALUE"""),43434.9986111111)</f>
        <v/>
      </c>
      <c r="AT236" s="6">
        <f>IFERROR(__xludf.DUMMYFUNCTION("""COMPUTED_VALUE"""),1226)</f>
        <v/>
      </c>
    </row>
    <row r="237">
      <c r="B237" s="6">
        <f>C237&amp;D237</f>
        <v/>
      </c>
      <c r="C237" s="6">
        <f>YEAR(E237)</f>
        <v/>
      </c>
      <c r="D237" s="6">
        <f>MONTH(E237)</f>
        <v/>
      </c>
      <c r="E237" s="267">
        <f>IFERROR(__xludf.DUMMYFUNCTION("""COMPUTED_VALUE"""),43432.6666666666)</f>
        <v/>
      </c>
      <c r="F237" s="6">
        <f>IFERROR(__xludf.DUMMYFUNCTION("""COMPUTED_VALUE"""),2743.79)</f>
        <v/>
      </c>
      <c r="J237" s="6">
        <f>K237&amp;L237</f>
        <v/>
      </c>
      <c r="K237" s="6">
        <f>YEAR(M237)</f>
        <v/>
      </c>
      <c r="L237" s="6">
        <f>MONTH(M237)</f>
        <v/>
      </c>
      <c r="M237" s="267">
        <f>IFERROR(__xludf.DUMMYFUNCTION("""COMPUTED_VALUE"""),43432.6666666666)</f>
        <v/>
      </c>
      <c r="N237" s="6">
        <f>IFERROR(__xludf.DUMMYFUNCTION("""COMPUTED_VALUE"""),7291.59)</f>
        <v/>
      </c>
      <c r="R237" s="6">
        <f>S237&amp;T237</f>
        <v/>
      </c>
      <c r="S237" s="6">
        <f>YEAR(U237)</f>
        <v/>
      </c>
      <c r="T237" s="6">
        <f>MONTH(U237)</f>
        <v/>
      </c>
      <c r="U237" s="267">
        <f>IFERROR(__xludf.DUMMYFUNCTION("""COMPUTED_VALUE"""),43451.6458333333)</f>
        <v/>
      </c>
      <c r="V237" s="6">
        <f>IFERROR(__xludf.DUMMYFUNCTION("""COMPUTED_VALUE"""),2071.09)</f>
        <v/>
      </c>
      <c r="Z237" s="6">
        <f>AA237&amp;AB237</f>
        <v/>
      </c>
      <c r="AA237" s="6">
        <f>YEAR(AC237)</f>
        <v/>
      </c>
      <c r="AB237" s="6">
        <f>MONTH(AC237)</f>
        <v/>
      </c>
      <c r="AC237" s="267">
        <f>IFERROR(__xludf.DUMMYFUNCTION("""COMPUTED_VALUE"""),43341.9986111111)</f>
        <v/>
      </c>
      <c r="AD237" s="6">
        <f>IFERROR(__xludf.DUMMYFUNCTION("""COMPUTED_VALUE"""),1108.45)</f>
        <v/>
      </c>
      <c r="AH237" s="6">
        <f>AI237&amp;AJ237</f>
        <v/>
      </c>
      <c r="AI237" s="6">
        <f>YEAR(AK237)</f>
        <v/>
      </c>
      <c r="AJ237" s="6">
        <f>MONTH(AK237)</f>
        <v/>
      </c>
      <c r="AK237" s="267">
        <f>IFERROR(__xludf.DUMMYFUNCTION("""COMPUTED_VALUE"""),43329.9986111111)</f>
        <v/>
      </c>
      <c r="AL237" s="6">
        <f>IFERROR(__xludf.DUMMYFUNCTION("""COMPUTED_VALUE"""),6567.87)</f>
        <v/>
      </c>
      <c r="AP237" s="6">
        <f>AQ237&amp;AR237</f>
        <v/>
      </c>
      <c r="AQ237" s="6">
        <f>YEAR(AS237)</f>
        <v/>
      </c>
      <c r="AR237" s="6">
        <f>MONTH(AS237)</f>
        <v/>
      </c>
      <c r="AS237" s="267">
        <f>IFERROR(__xludf.DUMMYFUNCTION("""COMPUTED_VALUE"""),43437.9986111111)</f>
        <v/>
      </c>
      <c r="AT237" s="6">
        <f>IFERROR(__xludf.DUMMYFUNCTION("""COMPUTED_VALUE"""),1239.6)</f>
        <v/>
      </c>
    </row>
    <row r="238">
      <c r="B238" s="6">
        <f>C238&amp;D238</f>
        <v/>
      </c>
      <c r="C238" s="6">
        <f>YEAR(E238)</f>
        <v/>
      </c>
      <c r="D238" s="6">
        <f>MONTH(E238)</f>
        <v/>
      </c>
      <c r="E238" s="267">
        <f>IFERROR(__xludf.DUMMYFUNCTION("""COMPUTED_VALUE"""),43433.6666666666)</f>
        <v/>
      </c>
      <c r="F238" s="6">
        <f>IFERROR(__xludf.DUMMYFUNCTION("""COMPUTED_VALUE"""),2737.76)</f>
        <v/>
      </c>
      <c r="J238" s="6">
        <f>K238&amp;L238</f>
        <v/>
      </c>
      <c r="K238" s="6">
        <f>YEAR(M238)</f>
        <v/>
      </c>
      <c r="L238" s="6">
        <f>MONTH(M238)</f>
        <v/>
      </c>
      <c r="M238" s="267">
        <f>IFERROR(__xludf.DUMMYFUNCTION("""COMPUTED_VALUE"""),43433.6666666666)</f>
        <v/>
      </c>
      <c r="N238" s="6">
        <f>IFERROR(__xludf.DUMMYFUNCTION("""COMPUTED_VALUE"""),7273.08)</f>
        <v/>
      </c>
      <c r="R238" s="6">
        <f>S238&amp;T238</f>
        <v/>
      </c>
      <c r="S238" s="6">
        <f>YEAR(U238)</f>
        <v/>
      </c>
      <c r="T238" s="6">
        <f>MONTH(U238)</f>
        <v/>
      </c>
      <c r="U238" s="267">
        <f>IFERROR(__xludf.DUMMYFUNCTION("""COMPUTED_VALUE"""),43452.6458333333)</f>
        <v/>
      </c>
      <c r="V238" s="6">
        <f>IFERROR(__xludf.DUMMYFUNCTION("""COMPUTED_VALUE"""),2062.11)</f>
        <v/>
      </c>
      <c r="Z238" s="6">
        <f>AA238&amp;AB238</f>
        <v/>
      </c>
      <c r="AA238" s="6">
        <f>YEAR(AC238)</f>
        <v/>
      </c>
      <c r="AB238" s="6">
        <f>MONTH(AC238)</f>
        <v/>
      </c>
      <c r="AC238" s="267">
        <f>IFERROR(__xludf.DUMMYFUNCTION("""COMPUTED_VALUE"""),43342.9986111111)</f>
        <v/>
      </c>
      <c r="AD238" s="6">
        <f>IFERROR(__xludf.DUMMYFUNCTION("""COMPUTED_VALUE"""),1115.45)</f>
        <v/>
      </c>
      <c r="AH238" s="6">
        <f>AI238&amp;AJ238</f>
        <v/>
      </c>
      <c r="AI238" s="6">
        <f>YEAR(AK238)</f>
        <v/>
      </c>
      <c r="AJ238" s="6">
        <f>MONTH(AK238)</f>
        <v/>
      </c>
      <c r="AK238" s="267">
        <f>IFERROR(__xludf.DUMMYFUNCTION("""COMPUTED_VALUE"""),43330.9986111111)</f>
        <v/>
      </c>
      <c r="AL238" s="6">
        <f>IFERROR(__xludf.DUMMYFUNCTION("""COMPUTED_VALUE"""),6392.53)</f>
        <v/>
      </c>
      <c r="AP238" s="6">
        <f>AQ238&amp;AR238</f>
        <v/>
      </c>
      <c r="AQ238" s="6">
        <f>YEAR(AS238)</f>
        <v/>
      </c>
      <c r="AR238" s="6">
        <f>MONTH(AS238)</f>
        <v/>
      </c>
      <c r="AS238" s="267">
        <f>IFERROR(__xludf.DUMMYFUNCTION("""COMPUTED_VALUE"""),43438.9986111111)</f>
        <v/>
      </c>
      <c r="AT238" s="6">
        <f>IFERROR(__xludf.DUMMYFUNCTION("""COMPUTED_VALUE"""),1246.6)</f>
        <v/>
      </c>
    </row>
    <row r="239">
      <c r="B239" s="6">
        <f>C239&amp;D239</f>
        <v/>
      </c>
      <c r="C239" s="6">
        <f>YEAR(E239)</f>
        <v/>
      </c>
      <c r="D239" s="6">
        <f>MONTH(E239)</f>
        <v/>
      </c>
      <c r="E239" s="267">
        <f>IFERROR(__xludf.DUMMYFUNCTION("""COMPUTED_VALUE"""),43434.6666666666)</f>
        <v/>
      </c>
      <c r="F239" s="6">
        <f>IFERROR(__xludf.DUMMYFUNCTION("""COMPUTED_VALUE"""),2760.17)</f>
        <v/>
      </c>
      <c r="J239" s="6">
        <f>K239&amp;L239</f>
        <v/>
      </c>
      <c r="K239" s="6">
        <f>YEAR(M239)</f>
        <v/>
      </c>
      <c r="L239" s="6">
        <f>MONTH(M239)</f>
        <v/>
      </c>
      <c r="M239" s="267">
        <f>IFERROR(__xludf.DUMMYFUNCTION("""COMPUTED_VALUE"""),43434.6666666666)</f>
        <v/>
      </c>
      <c r="N239" s="6">
        <f>IFERROR(__xludf.DUMMYFUNCTION("""COMPUTED_VALUE"""),7330.54)</f>
        <v/>
      </c>
      <c r="R239" s="6">
        <f>S239&amp;T239</f>
        <v/>
      </c>
      <c r="S239" s="6">
        <f>YEAR(U239)</f>
        <v/>
      </c>
      <c r="T239" s="6">
        <f>MONTH(U239)</f>
        <v/>
      </c>
      <c r="U239" s="267">
        <f>IFERROR(__xludf.DUMMYFUNCTION("""COMPUTED_VALUE"""),43453.6458333333)</f>
        <v/>
      </c>
      <c r="V239" s="6">
        <f>IFERROR(__xludf.DUMMYFUNCTION("""COMPUTED_VALUE"""),2078.84)</f>
        <v/>
      </c>
      <c r="Z239" s="6">
        <f>AA239&amp;AB239</f>
        <v/>
      </c>
      <c r="AA239" s="6">
        <f>YEAR(AC239)</f>
        <v/>
      </c>
      <c r="AB239" s="6">
        <f>MONTH(AC239)</f>
        <v/>
      </c>
      <c r="AC239" s="267">
        <f>IFERROR(__xludf.DUMMYFUNCTION("""COMPUTED_VALUE"""),43343.9986111111)</f>
        <v/>
      </c>
      <c r="AD239" s="6">
        <f>IFERROR(__xludf.DUMMYFUNCTION("""COMPUTED_VALUE"""),1114.64)</f>
        <v/>
      </c>
      <c r="AH239" s="6">
        <f>AI239&amp;AJ239</f>
        <v/>
      </c>
      <c r="AI239" s="6">
        <f>YEAR(AK239)</f>
        <v/>
      </c>
      <c r="AJ239" s="6">
        <f>MONTH(AK239)</f>
        <v/>
      </c>
      <c r="AK239" s="267">
        <f>IFERROR(__xludf.DUMMYFUNCTION("""COMPUTED_VALUE"""),43331.9986111111)</f>
        <v/>
      </c>
      <c r="AL239" s="6">
        <f>IFERROR(__xludf.DUMMYFUNCTION("""COMPUTED_VALUE"""),6487.48)</f>
        <v/>
      </c>
      <c r="AP239" s="6">
        <f>AQ239&amp;AR239</f>
        <v/>
      </c>
      <c r="AQ239" s="6">
        <f>YEAR(AS239)</f>
        <v/>
      </c>
      <c r="AR239" s="6">
        <f>MONTH(AS239)</f>
        <v/>
      </c>
      <c r="AS239" s="267">
        <f>IFERROR(__xludf.DUMMYFUNCTION("""COMPUTED_VALUE"""),43440.9986111111)</f>
        <v/>
      </c>
      <c r="AT239" s="6">
        <f>IFERROR(__xludf.DUMMYFUNCTION("""COMPUTED_VALUE"""),1243.6)</f>
        <v/>
      </c>
    </row>
    <row r="240">
      <c r="B240" s="6">
        <f>C240&amp;D240</f>
        <v/>
      </c>
      <c r="C240" s="6">
        <f>YEAR(E240)</f>
        <v/>
      </c>
      <c r="D240" s="6">
        <f>MONTH(E240)</f>
        <v/>
      </c>
      <c r="E240" s="267">
        <f>IFERROR(__xludf.DUMMYFUNCTION("""COMPUTED_VALUE"""),43437.6666666666)</f>
        <v/>
      </c>
      <c r="F240" s="6">
        <f>IFERROR(__xludf.DUMMYFUNCTION("""COMPUTED_VALUE"""),2790.37)</f>
        <v/>
      </c>
      <c r="J240" s="6">
        <f>K240&amp;L240</f>
        <v/>
      </c>
      <c r="K240" s="6">
        <f>YEAR(M240)</f>
        <v/>
      </c>
      <c r="L240" s="6">
        <f>MONTH(M240)</f>
        <v/>
      </c>
      <c r="M240" s="267">
        <f>IFERROR(__xludf.DUMMYFUNCTION("""COMPUTED_VALUE"""),43437.6666666666)</f>
        <v/>
      </c>
      <c r="N240" s="6">
        <f>IFERROR(__xludf.DUMMYFUNCTION("""COMPUTED_VALUE"""),7441.51)</f>
        <v/>
      </c>
      <c r="R240" s="6">
        <f>S240&amp;T240</f>
        <v/>
      </c>
      <c r="S240" s="6">
        <f>YEAR(U240)</f>
        <v/>
      </c>
      <c r="T240" s="6">
        <f>MONTH(U240)</f>
        <v/>
      </c>
      <c r="U240" s="267">
        <f>IFERROR(__xludf.DUMMYFUNCTION("""COMPUTED_VALUE"""),43454.6458333333)</f>
        <v/>
      </c>
      <c r="V240" s="6">
        <f>IFERROR(__xludf.DUMMYFUNCTION("""COMPUTED_VALUE"""),2060.12)</f>
        <v/>
      </c>
      <c r="Z240" s="6">
        <f>AA240&amp;AB240</f>
        <v/>
      </c>
      <c r="AA240" s="6">
        <f>YEAR(AC240)</f>
        <v/>
      </c>
      <c r="AB240" s="6">
        <f>MONTH(AC240)</f>
        <v/>
      </c>
      <c r="AC240" s="267">
        <f>IFERROR(__xludf.DUMMYFUNCTION("""COMPUTED_VALUE"""),43344.9986111111)</f>
        <v/>
      </c>
      <c r="AD240" s="6">
        <f>IFERROR(__xludf.DUMMYFUNCTION("""COMPUTED_VALUE"""),1114.64)</f>
        <v/>
      </c>
      <c r="AH240" s="6">
        <f>AI240&amp;AJ240</f>
        <v/>
      </c>
      <c r="AI240" s="6">
        <f>YEAR(AK240)</f>
        <v/>
      </c>
      <c r="AJ240" s="6">
        <f>MONTH(AK240)</f>
        <v/>
      </c>
      <c r="AK240" s="267">
        <f>IFERROR(__xludf.DUMMYFUNCTION("""COMPUTED_VALUE"""),43332.9986111111)</f>
        <v/>
      </c>
      <c r="AL240" s="6">
        <f>IFERROR(__xludf.DUMMYFUNCTION("""COMPUTED_VALUE"""),6264.64)</f>
        <v/>
      </c>
      <c r="AP240" s="6">
        <f>AQ240&amp;AR240</f>
        <v/>
      </c>
      <c r="AQ240" s="6">
        <f>YEAR(AS240)</f>
        <v/>
      </c>
      <c r="AR240" s="6">
        <f>MONTH(AS240)</f>
        <v/>
      </c>
      <c r="AS240" s="267">
        <f>IFERROR(__xludf.DUMMYFUNCTION("""COMPUTED_VALUE"""),43441.9986111111)</f>
        <v/>
      </c>
      <c r="AT240" s="6">
        <f>IFERROR(__xludf.DUMMYFUNCTION("""COMPUTED_VALUE"""),1252.6)</f>
        <v/>
      </c>
    </row>
    <row r="241">
      <c r="B241" s="6">
        <f>C241&amp;D241</f>
        <v/>
      </c>
      <c r="C241" s="6">
        <f>YEAR(E241)</f>
        <v/>
      </c>
      <c r="D241" s="6">
        <f>MONTH(E241)</f>
        <v/>
      </c>
      <c r="E241" s="267">
        <f>IFERROR(__xludf.DUMMYFUNCTION("""COMPUTED_VALUE"""),43438.6666666666)</f>
        <v/>
      </c>
      <c r="F241" s="6">
        <f>IFERROR(__xludf.DUMMYFUNCTION("""COMPUTED_VALUE"""),2700.06)</f>
        <v/>
      </c>
      <c r="J241" s="6">
        <f>K241&amp;L241</f>
        <v/>
      </c>
      <c r="K241" s="6">
        <f>YEAR(M241)</f>
        <v/>
      </c>
      <c r="L241" s="6">
        <f>MONTH(M241)</f>
        <v/>
      </c>
      <c r="M241" s="267">
        <f>IFERROR(__xludf.DUMMYFUNCTION("""COMPUTED_VALUE"""),43438.6666666666)</f>
        <v/>
      </c>
      <c r="N241" s="6">
        <f>IFERROR(__xludf.DUMMYFUNCTION("""COMPUTED_VALUE"""),7158.43)</f>
        <v/>
      </c>
      <c r="R241" s="6">
        <f>S241&amp;T241</f>
        <v/>
      </c>
      <c r="S241" s="6">
        <f>YEAR(U241)</f>
        <v/>
      </c>
      <c r="T241" s="6">
        <f>MONTH(U241)</f>
        <v/>
      </c>
      <c r="U241" s="267">
        <f>IFERROR(__xludf.DUMMYFUNCTION("""COMPUTED_VALUE"""),43455.6458333333)</f>
        <v/>
      </c>
      <c r="V241" s="6">
        <f>IFERROR(__xludf.DUMMYFUNCTION("""COMPUTED_VALUE"""),2061.49)</f>
        <v/>
      </c>
      <c r="Z241" s="6">
        <f>AA241&amp;AB241</f>
        <v/>
      </c>
      <c r="AA241" s="6">
        <f>YEAR(AC241)</f>
        <v/>
      </c>
      <c r="AB241" s="6">
        <f>MONTH(AC241)</f>
        <v/>
      </c>
      <c r="AC241" s="267">
        <f>IFERROR(__xludf.DUMMYFUNCTION("""COMPUTED_VALUE"""),43345.9986111111)</f>
        <v/>
      </c>
      <c r="AD241" s="6">
        <f>IFERROR(__xludf.DUMMYFUNCTION("""COMPUTED_VALUE"""),1114.81)</f>
        <v/>
      </c>
      <c r="AH241" s="6">
        <f>AI241&amp;AJ241</f>
        <v/>
      </c>
      <c r="AI241" s="6">
        <f>YEAR(AK241)</f>
        <v/>
      </c>
      <c r="AJ241" s="6">
        <f>MONTH(AK241)</f>
        <v/>
      </c>
      <c r="AK241" s="267">
        <f>IFERROR(__xludf.DUMMYFUNCTION("""COMPUTED_VALUE"""),43333.9986111111)</f>
        <v/>
      </c>
      <c r="AL241" s="6">
        <f>IFERROR(__xludf.DUMMYFUNCTION("""COMPUTED_VALUE"""),6475.94)</f>
        <v/>
      </c>
      <c r="AP241" s="6">
        <f>AQ241&amp;AR241</f>
        <v/>
      </c>
      <c r="AQ241" s="6">
        <f>YEAR(AS241)</f>
        <v/>
      </c>
      <c r="AR241" s="6">
        <f>MONTH(AS241)</f>
        <v/>
      </c>
      <c r="AS241" s="267">
        <f>IFERROR(__xludf.DUMMYFUNCTION("""COMPUTED_VALUE"""),43444.9986111111)</f>
        <v/>
      </c>
      <c r="AT241" s="6">
        <f>IFERROR(__xludf.DUMMYFUNCTION("""COMPUTED_VALUE"""),1249.4)</f>
        <v/>
      </c>
    </row>
    <row r="242">
      <c r="B242" s="6">
        <f>C242&amp;D242</f>
        <v/>
      </c>
      <c r="C242" s="6">
        <f>YEAR(E242)</f>
        <v/>
      </c>
      <c r="D242" s="6">
        <f>MONTH(E242)</f>
        <v/>
      </c>
      <c r="E242" s="267">
        <f>IFERROR(__xludf.DUMMYFUNCTION("""COMPUTED_VALUE"""),43440.6666666666)</f>
        <v/>
      </c>
      <c r="F242" s="6">
        <f>IFERROR(__xludf.DUMMYFUNCTION("""COMPUTED_VALUE"""),2695.95)</f>
        <v/>
      </c>
      <c r="J242" s="6">
        <f>K242&amp;L242</f>
        <v/>
      </c>
      <c r="K242" s="6">
        <f>YEAR(M242)</f>
        <v/>
      </c>
      <c r="L242" s="6">
        <f>MONTH(M242)</f>
        <v/>
      </c>
      <c r="M242" s="267">
        <f>IFERROR(__xludf.DUMMYFUNCTION("""COMPUTED_VALUE"""),43440.6666666666)</f>
        <v/>
      </c>
      <c r="N242" s="6">
        <f>IFERROR(__xludf.DUMMYFUNCTION("""COMPUTED_VALUE"""),7188.26)</f>
        <v/>
      </c>
      <c r="R242" s="6">
        <f>S242&amp;T242</f>
        <v/>
      </c>
      <c r="S242" s="6">
        <f>YEAR(U242)</f>
        <v/>
      </c>
      <c r="T242" s="6">
        <f>MONTH(U242)</f>
        <v/>
      </c>
      <c r="U242" s="267">
        <f>IFERROR(__xludf.DUMMYFUNCTION("""COMPUTED_VALUE"""),43458.6458333333)</f>
        <v/>
      </c>
      <c r="V242" s="6">
        <f>IFERROR(__xludf.DUMMYFUNCTION("""COMPUTED_VALUE"""),2055.01)</f>
        <v/>
      </c>
      <c r="Z242" s="6">
        <f>AA242&amp;AB242</f>
        <v/>
      </c>
      <c r="AA242" s="6">
        <f>YEAR(AC242)</f>
        <v/>
      </c>
      <c r="AB242" s="6">
        <f>MONTH(AC242)</f>
        <v/>
      </c>
      <c r="AC242" s="267">
        <f>IFERROR(__xludf.DUMMYFUNCTION("""COMPUTED_VALUE"""),43346.9986111111)</f>
        <v/>
      </c>
      <c r="AD242" s="6">
        <f>IFERROR(__xludf.DUMMYFUNCTION("""COMPUTED_VALUE"""),1113.5)</f>
        <v/>
      </c>
      <c r="AH242" s="6">
        <f>AI242&amp;AJ242</f>
        <v/>
      </c>
      <c r="AI242" s="6">
        <f>YEAR(AK242)</f>
        <v/>
      </c>
      <c r="AJ242" s="6">
        <f>MONTH(AK242)</f>
        <v/>
      </c>
      <c r="AK242" s="267">
        <f>IFERROR(__xludf.DUMMYFUNCTION("""COMPUTED_VALUE"""),43334.9986111111)</f>
        <v/>
      </c>
      <c r="AL242" s="6">
        <f>IFERROR(__xludf.DUMMYFUNCTION("""COMPUTED_VALUE"""),6350.39)</f>
        <v/>
      </c>
      <c r="AP242" s="6">
        <f>AQ242&amp;AR242</f>
        <v/>
      </c>
      <c r="AQ242" s="6">
        <f>YEAR(AS242)</f>
        <v/>
      </c>
      <c r="AR242" s="6">
        <f>MONTH(AS242)</f>
        <v/>
      </c>
      <c r="AS242" s="267">
        <f>IFERROR(__xludf.DUMMYFUNCTION("""COMPUTED_VALUE"""),43445.9986111111)</f>
        <v/>
      </c>
      <c r="AT242" s="6">
        <f>IFERROR(__xludf.DUMMYFUNCTION("""COMPUTED_VALUE"""),1247.2)</f>
        <v/>
      </c>
    </row>
    <row r="243">
      <c r="B243" s="6">
        <f>C243&amp;D243</f>
        <v/>
      </c>
      <c r="C243" s="6">
        <f>YEAR(E243)</f>
        <v/>
      </c>
      <c r="D243" s="6">
        <f>MONTH(E243)</f>
        <v/>
      </c>
      <c r="E243" s="267">
        <f>IFERROR(__xludf.DUMMYFUNCTION("""COMPUTED_VALUE"""),43441.6666666666)</f>
        <v/>
      </c>
      <c r="F243" s="6">
        <f>IFERROR(__xludf.DUMMYFUNCTION("""COMPUTED_VALUE"""),2633.08)</f>
        <v/>
      </c>
      <c r="J243" s="6">
        <f>K243&amp;L243</f>
        <v/>
      </c>
      <c r="K243" s="6">
        <f>YEAR(M243)</f>
        <v/>
      </c>
      <c r="L243" s="6">
        <f>MONTH(M243)</f>
        <v/>
      </c>
      <c r="M243" s="267">
        <f>IFERROR(__xludf.DUMMYFUNCTION("""COMPUTED_VALUE"""),43441.6666666666)</f>
        <v/>
      </c>
      <c r="N243" s="6">
        <f>IFERROR(__xludf.DUMMYFUNCTION("""COMPUTED_VALUE"""),6969.25)</f>
        <v/>
      </c>
      <c r="R243" s="6">
        <f>S243&amp;T243</f>
        <v/>
      </c>
      <c r="S243" s="6">
        <f>YEAR(U243)</f>
        <v/>
      </c>
      <c r="T243" s="6">
        <f>MONTH(U243)</f>
        <v/>
      </c>
      <c r="U243" s="267">
        <f>IFERROR(__xludf.DUMMYFUNCTION("""COMPUTED_VALUE"""),43460.6458333333)</f>
        <v/>
      </c>
      <c r="V243" s="6">
        <f>IFERROR(__xludf.DUMMYFUNCTION("""COMPUTED_VALUE"""),2028.01)</f>
        <v/>
      </c>
      <c r="Z243" s="6">
        <f>AA243&amp;AB243</f>
        <v/>
      </c>
      <c r="AA243" s="6">
        <f>YEAR(AC243)</f>
        <v/>
      </c>
      <c r="AB243" s="6">
        <f>MONTH(AC243)</f>
        <v/>
      </c>
      <c r="AC243" s="267">
        <f>IFERROR(__xludf.DUMMYFUNCTION("""COMPUTED_VALUE"""),43347.9986111111)</f>
        <v/>
      </c>
      <c r="AD243" s="6">
        <f>IFERROR(__xludf.DUMMYFUNCTION("""COMPUTED_VALUE"""),1121.3)</f>
        <v/>
      </c>
      <c r="AH243" s="6">
        <f>AI243&amp;AJ243</f>
        <v/>
      </c>
      <c r="AI243" s="6">
        <f>YEAR(AK243)</f>
        <v/>
      </c>
      <c r="AJ243" s="6">
        <f>MONTH(AK243)</f>
        <v/>
      </c>
      <c r="AK243" s="267">
        <f>IFERROR(__xludf.DUMMYFUNCTION("""COMPUTED_VALUE"""),43335.9986111111)</f>
        <v/>
      </c>
      <c r="AL243" s="6">
        <f>IFERROR(__xludf.DUMMYFUNCTION("""COMPUTED_VALUE"""),6515.25)</f>
        <v/>
      </c>
      <c r="AP243" s="6">
        <f>AQ243&amp;AR243</f>
        <v/>
      </c>
      <c r="AQ243" s="6">
        <f>YEAR(AS243)</f>
        <v/>
      </c>
      <c r="AR243" s="6">
        <f>MONTH(AS243)</f>
        <v/>
      </c>
      <c r="AS243" s="267">
        <f>IFERROR(__xludf.DUMMYFUNCTION("""COMPUTED_VALUE"""),43446.9986111111)</f>
        <v/>
      </c>
      <c r="AT243" s="6">
        <f>IFERROR(__xludf.DUMMYFUNCTION("""COMPUTED_VALUE"""),1250)</f>
        <v/>
      </c>
    </row>
    <row r="244">
      <c r="B244" s="6">
        <f>C244&amp;D244</f>
        <v/>
      </c>
      <c r="C244" s="6">
        <f>YEAR(E244)</f>
        <v/>
      </c>
      <c r="D244" s="6">
        <f>MONTH(E244)</f>
        <v/>
      </c>
      <c r="E244" s="267">
        <f>IFERROR(__xludf.DUMMYFUNCTION("""COMPUTED_VALUE"""),43444.6666666666)</f>
        <v/>
      </c>
      <c r="F244" s="6">
        <f>IFERROR(__xludf.DUMMYFUNCTION("""COMPUTED_VALUE"""),2637.72)</f>
        <v/>
      </c>
      <c r="J244" s="6">
        <f>K244&amp;L244</f>
        <v/>
      </c>
      <c r="K244" s="6">
        <f>YEAR(M244)</f>
        <v/>
      </c>
      <c r="L244" s="6">
        <f>MONTH(M244)</f>
        <v/>
      </c>
      <c r="M244" s="267">
        <f>IFERROR(__xludf.DUMMYFUNCTION("""COMPUTED_VALUE"""),43444.6666666666)</f>
        <v/>
      </c>
      <c r="N244" s="6">
        <f>IFERROR(__xludf.DUMMYFUNCTION("""COMPUTED_VALUE"""),7020.52)</f>
        <v/>
      </c>
      <c r="R244" s="6">
        <f>S244&amp;T244</f>
        <v/>
      </c>
      <c r="S244" s="6">
        <f>YEAR(U244)</f>
        <v/>
      </c>
      <c r="T244" s="6">
        <f>MONTH(U244)</f>
        <v/>
      </c>
      <c r="U244" s="267">
        <f>IFERROR(__xludf.DUMMYFUNCTION("""COMPUTED_VALUE"""),43461.6458333333)</f>
        <v/>
      </c>
      <c r="V244" s="6">
        <f>IFERROR(__xludf.DUMMYFUNCTION("""COMPUTED_VALUE"""),2028.44)</f>
        <v/>
      </c>
      <c r="Z244" s="6">
        <f>AA244&amp;AB244</f>
        <v/>
      </c>
      <c r="AA244" s="6">
        <f>YEAR(AC244)</f>
        <v/>
      </c>
      <c r="AB244" s="6">
        <f>MONTH(AC244)</f>
        <v/>
      </c>
      <c r="AC244" s="267">
        <f>IFERROR(__xludf.DUMMYFUNCTION("""COMPUTED_VALUE"""),43348.9986111111)</f>
        <v/>
      </c>
      <c r="AD244" s="6">
        <f>IFERROR(__xludf.DUMMYFUNCTION("""COMPUTED_VALUE"""),1118.1)</f>
        <v/>
      </c>
      <c r="AH244" s="6">
        <f>AI244&amp;AJ244</f>
        <v/>
      </c>
      <c r="AI244" s="6">
        <f>YEAR(AK244)</f>
        <v/>
      </c>
      <c r="AJ244" s="6">
        <f>MONTH(AK244)</f>
        <v/>
      </c>
      <c r="AK244" s="267">
        <f>IFERROR(__xludf.DUMMYFUNCTION("""COMPUTED_VALUE"""),43336.9986111111)</f>
        <v/>
      </c>
      <c r="AL244" s="6">
        <f>IFERROR(__xludf.DUMMYFUNCTION("""COMPUTED_VALUE"""),6692.49)</f>
        <v/>
      </c>
      <c r="AP244" s="6">
        <f>AQ244&amp;AR244</f>
        <v/>
      </c>
      <c r="AQ244" s="6">
        <f>YEAR(AS244)</f>
        <v/>
      </c>
      <c r="AR244" s="6">
        <f>MONTH(AS244)</f>
        <v/>
      </c>
      <c r="AS244" s="267">
        <f>IFERROR(__xludf.DUMMYFUNCTION("""COMPUTED_VALUE"""),43447.9986111111)</f>
        <v/>
      </c>
      <c r="AT244" s="6">
        <f>IFERROR(__xludf.DUMMYFUNCTION("""COMPUTED_VALUE"""),1247.4)</f>
        <v/>
      </c>
    </row>
    <row r="245">
      <c r="B245" s="6">
        <f>C245&amp;D245</f>
        <v/>
      </c>
      <c r="C245" s="6">
        <f>YEAR(E245)</f>
        <v/>
      </c>
      <c r="D245" s="6">
        <f>MONTH(E245)</f>
        <v/>
      </c>
      <c r="E245" s="267">
        <f>IFERROR(__xludf.DUMMYFUNCTION("""COMPUTED_VALUE"""),43445.6666666666)</f>
        <v/>
      </c>
      <c r="F245" s="6">
        <f>IFERROR(__xludf.DUMMYFUNCTION("""COMPUTED_VALUE"""),2636.78)</f>
        <v/>
      </c>
      <c r="J245" s="6">
        <f>K245&amp;L245</f>
        <v/>
      </c>
      <c r="K245" s="6">
        <f>YEAR(M245)</f>
        <v/>
      </c>
      <c r="L245" s="6">
        <f>MONTH(M245)</f>
        <v/>
      </c>
      <c r="M245" s="267">
        <f>IFERROR(__xludf.DUMMYFUNCTION("""COMPUTED_VALUE"""),43445.6666666666)</f>
        <v/>
      </c>
      <c r="N245" s="6">
        <f>IFERROR(__xludf.DUMMYFUNCTION("""COMPUTED_VALUE"""),7031.83)</f>
        <v/>
      </c>
      <c r="R245" s="6">
        <f>S245&amp;T245</f>
        <v/>
      </c>
      <c r="S245" s="6">
        <f>YEAR(U245)</f>
        <v/>
      </c>
      <c r="T245" s="6">
        <f>MONTH(U245)</f>
        <v/>
      </c>
      <c r="U245" s="267">
        <f>IFERROR(__xludf.DUMMYFUNCTION("""COMPUTED_VALUE"""),43462.6458333333)</f>
        <v/>
      </c>
      <c r="V245" s="6">
        <f>IFERROR(__xludf.DUMMYFUNCTION("""COMPUTED_VALUE"""),2041.04)</f>
        <v/>
      </c>
      <c r="Z245" s="6">
        <f>AA245&amp;AB245</f>
        <v/>
      </c>
      <c r="AA245" s="6">
        <f>YEAR(AC245)</f>
        <v/>
      </c>
      <c r="AB245" s="6">
        <f>MONTH(AC245)</f>
        <v/>
      </c>
      <c r="AC245" s="267">
        <f>IFERROR(__xludf.DUMMYFUNCTION("""COMPUTED_VALUE"""),43349.9986111111)</f>
        <v/>
      </c>
      <c r="AD245" s="6">
        <f>IFERROR(__xludf.DUMMYFUNCTION("""COMPUTED_VALUE"""),1124.7)</f>
        <v/>
      </c>
      <c r="AH245" s="6">
        <f>AI245&amp;AJ245</f>
        <v/>
      </c>
      <c r="AI245" s="6">
        <f>YEAR(AK245)</f>
        <v/>
      </c>
      <c r="AJ245" s="6">
        <f>MONTH(AK245)</f>
        <v/>
      </c>
      <c r="AK245" s="267">
        <f>IFERROR(__xludf.DUMMYFUNCTION("""COMPUTED_VALUE"""),43337.9986111111)</f>
        <v/>
      </c>
      <c r="AL245" s="6">
        <f>IFERROR(__xludf.DUMMYFUNCTION("""COMPUTED_VALUE"""),6715.17)</f>
        <v/>
      </c>
      <c r="AP245" s="6">
        <f>AQ245&amp;AR245</f>
        <v/>
      </c>
      <c r="AQ245" s="6">
        <f>YEAR(AS245)</f>
        <v/>
      </c>
      <c r="AR245" s="6">
        <f>MONTH(AS245)</f>
        <v/>
      </c>
      <c r="AS245" s="267">
        <f>IFERROR(__xludf.DUMMYFUNCTION("""COMPUTED_VALUE"""),43448.9986111111)</f>
        <v/>
      </c>
      <c r="AT245" s="6">
        <f>IFERROR(__xludf.DUMMYFUNCTION("""COMPUTED_VALUE"""),1241.4)</f>
        <v/>
      </c>
    </row>
    <row r="246">
      <c r="B246" s="6">
        <f>C246&amp;D246</f>
        <v/>
      </c>
      <c r="C246" s="6">
        <f>YEAR(E246)</f>
        <v/>
      </c>
      <c r="D246" s="6">
        <f>MONTH(E246)</f>
        <v/>
      </c>
      <c r="E246" s="267">
        <f>IFERROR(__xludf.DUMMYFUNCTION("""COMPUTED_VALUE"""),43446.6666666666)</f>
        <v/>
      </c>
      <c r="F246" s="6">
        <f>IFERROR(__xludf.DUMMYFUNCTION("""COMPUTED_VALUE"""),2651.07)</f>
        <v/>
      </c>
      <c r="J246" s="6">
        <f>K246&amp;L246</f>
        <v/>
      </c>
      <c r="K246" s="6">
        <f>YEAR(M246)</f>
        <v/>
      </c>
      <c r="L246" s="6">
        <f>MONTH(M246)</f>
        <v/>
      </c>
      <c r="M246" s="267">
        <f>IFERROR(__xludf.DUMMYFUNCTION("""COMPUTED_VALUE"""),43446.6666666666)</f>
        <v/>
      </c>
      <c r="N246" s="6">
        <f>IFERROR(__xludf.DUMMYFUNCTION("""COMPUTED_VALUE"""),7098.31)</f>
        <v/>
      </c>
      <c r="R246" s="6">
        <f>S246&amp;T246</f>
        <v/>
      </c>
      <c r="S246" s="6">
        <f>YEAR(U246)</f>
        <v/>
      </c>
      <c r="T246" s="6">
        <f>MONTH(U246)</f>
        <v/>
      </c>
      <c r="U246" s="267">
        <f>IFERROR(__xludf.DUMMYFUNCTION("""COMPUTED_VALUE"""),43467.6458333333)</f>
        <v/>
      </c>
      <c r="V246" s="6">
        <f>IFERROR(__xludf.DUMMYFUNCTION("""COMPUTED_VALUE"""),2010)</f>
        <v/>
      </c>
      <c r="Z246" s="6">
        <f>AA246&amp;AB246</f>
        <v/>
      </c>
      <c r="AA246" s="6">
        <f>YEAR(AC246)</f>
        <v/>
      </c>
      <c r="AB246" s="6">
        <f>MONTH(AC246)</f>
        <v/>
      </c>
      <c r="AC246" s="267">
        <f>IFERROR(__xludf.DUMMYFUNCTION("""COMPUTED_VALUE"""),43350.9986111111)</f>
        <v/>
      </c>
      <c r="AD246" s="6">
        <f>IFERROR(__xludf.DUMMYFUNCTION("""COMPUTED_VALUE"""),1127.55)</f>
        <v/>
      </c>
      <c r="AH246" s="6">
        <f>AI246&amp;AJ246</f>
        <v/>
      </c>
      <c r="AI246" s="6">
        <f>YEAR(AK246)</f>
        <v/>
      </c>
      <c r="AJ246" s="6">
        <f>MONTH(AK246)</f>
        <v/>
      </c>
      <c r="AK246" s="267">
        <f>IFERROR(__xludf.DUMMYFUNCTION("""COMPUTED_VALUE"""),43338.9986111111)</f>
        <v/>
      </c>
      <c r="AL246" s="6">
        <f>IFERROR(__xludf.DUMMYFUNCTION("""COMPUTED_VALUE"""),6699.59)</f>
        <v/>
      </c>
      <c r="AP246" s="6">
        <f>AQ246&amp;AR246</f>
        <v/>
      </c>
      <c r="AQ246" s="6">
        <f>YEAR(AS246)</f>
        <v/>
      </c>
      <c r="AR246" s="6">
        <f>MONTH(AS246)</f>
        <v/>
      </c>
      <c r="AS246" s="267">
        <f>IFERROR(__xludf.DUMMYFUNCTION("""COMPUTED_VALUE"""),43451.9986111111)</f>
        <v/>
      </c>
      <c r="AT246" s="6">
        <f>IFERROR(__xludf.DUMMYFUNCTION("""COMPUTED_VALUE"""),1251.8)</f>
        <v/>
      </c>
    </row>
    <row r="247">
      <c r="B247" s="6">
        <f>C247&amp;D247</f>
        <v/>
      </c>
      <c r="C247" s="6">
        <f>YEAR(E247)</f>
        <v/>
      </c>
      <c r="D247" s="6">
        <f>MONTH(E247)</f>
        <v/>
      </c>
      <c r="E247" s="267">
        <f>IFERROR(__xludf.DUMMYFUNCTION("""COMPUTED_VALUE"""),43447.6666666666)</f>
        <v/>
      </c>
      <c r="F247" s="6">
        <f>IFERROR(__xludf.DUMMYFUNCTION("""COMPUTED_VALUE"""),2650.54)</f>
        <v/>
      </c>
      <c r="J247" s="6">
        <f>K247&amp;L247</f>
        <v/>
      </c>
      <c r="K247" s="6">
        <f>YEAR(M247)</f>
        <v/>
      </c>
      <c r="L247" s="6">
        <f>MONTH(M247)</f>
        <v/>
      </c>
      <c r="M247" s="267">
        <f>IFERROR(__xludf.DUMMYFUNCTION("""COMPUTED_VALUE"""),43447.6666666666)</f>
        <v/>
      </c>
      <c r="N247" s="6">
        <f>IFERROR(__xludf.DUMMYFUNCTION("""COMPUTED_VALUE"""),7070.33)</f>
        <v/>
      </c>
      <c r="R247" s="6">
        <f>S247&amp;T247</f>
        <v/>
      </c>
      <c r="S247" s="6">
        <f>YEAR(U247)</f>
        <v/>
      </c>
      <c r="T247" s="6">
        <f>MONTH(U247)</f>
        <v/>
      </c>
      <c r="U247" s="267">
        <f>IFERROR(__xludf.DUMMYFUNCTION("""COMPUTED_VALUE"""),43468.6458333333)</f>
        <v/>
      </c>
      <c r="V247" s="6">
        <f>IFERROR(__xludf.DUMMYFUNCTION("""COMPUTED_VALUE"""),1993.7)</f>
        <v/>
      </c>
      <c r="Z247" s="6">
        <f>AA247&amp;AB247</f>
        <v/>
      </c>
      <c r="AA247" s="6">
        <f>YEAR(AC247)</f>
        <v/>
      </c>
      <c r="AB247" s="6">
        <f>MONTH(AC247)</f>
        <v/>
      </c>
      <c r="AC247" s="267">
        <f>IFERROR(__xludf.DUMMYFUNCTION("""COMPUTED_VALUE"""),43351.9986111111)</f>
        <v/>
      </c>
      <c r="AD247" s="6">
        <f>IFERROR(__xludf.DUMMYFUNCTION("""COMPUTED_VALUE"""),1127.55)</f>
        <v/>
      </c>
      <c r="AH247" s="6">
        <f>AI247&amp;AJ247</f>
        <v/>
      </c>
      <c r="AI247" s="6">
        <f>YEAR(AK247)</f>
        <v/>
      </c>
      <c r="AJ247" s="6">
        <f>MONTH(AK247)</f>
        <v/>
      </c>
      <c r="AK247" s="267">
        <f>IFERROR(__xludf.DUMMYFUNCTION("""COMPUTED_VALUE"""),43339.9986111111)</f>
        <v/>
      </c>
      <c r="AL247" s="6">
        <f>IFERROR(__xludf.DUMMYFUNCTION("""COMPUTED_VALUE"""),6906.46)</f>
        <v/>
      </c>
      <c r="AP247" s="6">
        <f>AQ247&amp;AR247</f>
        <v/>
      </c>
      <c r="AQ247" s="6">
        <f>YEAR(AS247)</f>
        <v/>
      </c>
      <c r="AR247" s="6">
        <f>MONTH(AS247)</f>
        <v/>
      </c>
      <c r="AS247" s="267">
        <f>IFERROR(__xludf.DUMMYFUNCTION("""COMPUTED_VALUE"""),43452.9986111111)</f>
        <v/>
      </c>
      <c r="AT247" s="6">
        <f>IFERROR(__xludf.DUMMYFUNCTION("""COMPUTED_VALUE"""),1253.6)</f>
        <v/>
      </c>
    </row>
    <row r="248">
      <c r="B248" s="6">
        <f>C248&amp;D248</f>
        <v/>
      </c>
      <c r="C248" s="6">
        <f>YEAR(E248)</f>
        <v/>
      </c>
      <c r="D248" s="6">
        <f>MONTH(E248)</f>
        <v/>
      </c>
      <c r="E248" s="267">
        <f>IFERROR(__xludf.DUMMYFUNCTION("""COMPUTED_VALUE"""),43448.6666666666)</f>
        <v/>
      </c>
      <c r="F248" s="6">
        <f>IFERROR(__xludf.DUMMYFUNCTION("""COMPUTED_VALUE"""),2599.95)</f>
        <v/>
      </c>
      <c r="J248" s="6">
        <f>K248&amp;L248</f>
        <v/>
      </c>
      <c r="K248" s="6">
        <f>YEAR(M248)</f>
        <v/>
      </c>
      <c r="L248" s="6">
        <f>MONTH(M248)</f>
        <v/>
      </c>
      <c r="M248" s="267">
        <f>IFERROR(__xludf.DUMMYFUNCTION("""COMPUTED_VALUE"""),43448.6666666666)</f>
        <v/>
      </c>
      <c r="N248" s="6">
        <f>IFERROR(__xludf.DUMMYFUNCTION("""COMPUTED_VALUE"""),6910.67)</f>
        <v/>
      </c>
      <c r="R248" s="6">
        <f>S248&amp;T248</f>
        <v/>
      </c>
      <c r="S248" s="6">
        <f>YEAR(U248)</f>
        <v/>
      </c>
      <c r="T248" s="6">
        <f>MONTH(U248)</f>
        <v/>
      </c>
      <c r="U248" s="267">
        <f>IFERROR(__xludf.DUMMYFUNCTION("""COMPUTED_VALUE"""),43469.6458333333)</f>
        <v/>
      </c>
      <c r="V248" s="6">
        <f>IFERROR(__xludf.DUMMYFUNCTION("""COMPUTED_VALUE"""),2010.25)</f>
        <v/>
      </c>
      <c r="Z248" s="6">
        <f>AA248&amp;AB248</f>
        <v/>
      </c>
      <c r="AA248" s="6">
        <f>YEAR(AC248)</f>
        <v/>
      </c>
      <c r="AB248" s="6">
        <f>MONTH(AC248)</f>
        <v/>
      </c>
      <c r="AC248" s="267">
        <f>IFERROR(__xludf.DUMMYFUNCTION("""COMPUTED_VALUE"""),43352.9986111111)</f>
        <v/>
      </c>
      <c r="AD248" s="6">
        <f>IFERROR(__xludf.DUMMYFUNCTION("""COMPUTED_VALUE"""),1126.85)</f>
        <v/>
      </c>
      <c r="AH248" s="6">
        <f>AI248&amp;AJ248</f>
        <v/>
      </c>
      <c r="AI248" s="6">
        <f>YEAR(AK248)</f>
        <v/>
      </c>
      <c r="AJ248" s="6">
        <f>MONTH(AK248)</f>
        <v/>
      </c>
      <c r="AK248" s="267">
        <f>IFERROR(__xludf.DUMMYFUNCTION("""COMPUTED_VALUE"""),43340.9986111111)</f>
        <v/>
      </c>
      <c r="AL248" s="6">
        <f>IFERROR(__xludf.DUMMYFUNCTION("""COMPUTED_VALUE"""),7075.57)</f>
        <v/>
      </c>
      <c r="AP248" s="6">
        <f>AQ248&amp;AR248</f>
        <v/>
      </c>
      <c r="AQ248" s="6">
        <f>YEAR(AS248)</f>
        <v/>
      </c>
      <c r="AR248" s="6">
        <f>MONTH(AS248)</f>
        <v/>
      </c>
      <c r="AS248" s="267">
        <f>IFERROR(__xludf.DUMMYFUNCTION("""COMPUTED_VALUE"""),43453.9986111111)</f>
        <v/>
      </c>
      <c r="AT248" s="6">
        <f>IFERROR(__xludf.DUMMYFUNCTION("""COMPUTED_VALUE"""),1256.4)</f>
        <v/>
      </c>
    </row>
    <row r="249">
      <c r="B249" s="6">
        <f>C249&amp;D249</f>
        <v/>
      </c>
      <c r="C249" s="6">
        <f>YEAR(E249)</f>
        <v/>
      </c>
      <c r="D249" s="6">
        <f>MONTH(E249)</f>
        <v/>
      </c>
      <c r="E249" s="267">
        <f>IFERROR(__xludf.DUMMYFUNCTION("""COMPUTED_VALUE"""),43451.6666666666)</f>
        <v/>
      </c>
      <c r="F249" s="6">
        <f>IFERROR(__xludf.DUMMYFUNCTION("""COMPUTED_VALUE"""),2545.94)</f>
        <v/>
      </c>
      <c r="J249" s="6">
        <f>K249&amp;L249</f>
        <v/>
      </c>
      <c r="K249" s="6">
        <f>YEAR(M249)</f>
        <v/>
      </c>
      <c r="L249" s="6">
        <f>MONTH(M249)</f>
        <v/>
      </c>
      <c r="M249" s="267">
        <f>IFERROR(__xludf.DUMMYFUNCTION("""COMPUTED_VALUE"""),43451.6666666666)</f>
        <v/>
      </c>
      <c r="N249" s="6">
        <f>IFERROR(__xludf.DUMMYFUNCTION("""COMPUTED_VALUE"""),6753.73)</f>
        <v/>
      </c>
      <c r="R249" s="6">
        <f>S249&amp;T249</f>
        <v/>
      </c>
      <c r="S249" s="6">
        <f>YEAR(U249)</f>
        <v/>
      </c>
      <c r="T249" s="6">
        <f>MONTH(U249)</f>
        <v/>
      </c>
      <c r="U249" s="267">
        <f>IFERROR(__xludf.DUMMYFUNCTION("""COMPUTED_VALUE"""),43472.6458333333)</f>
        <v/>
      </c>
      <c r="V249" s="6">
        <f>IFERROR(__xludf.DUMMYFUNCTION("""COMPUTED_VALUE"""),2037.1)</f>
        <v/>
      </c>
      <c r="Z249" s="6">
        <f>AA249&amp;AB249</f>
        <v/>
      </c>
      <c r="AA249" s="6">
        <f>YEAR(AC249)</f>
        <v/>
      </c>
      <c r="AB249" s="6">
        <f>MONTH(AC249)</f>
        <v/>
      </c>
      <c r="AC249" s="267">
        <f>IFERROR(__xludf.DUMMYFUNCTION("""COMPUTED_VALUE"""),43353.9986111111)</f>
        <v/>
      </c>
      <c r="AD249" s="6">
        <f>IFERROR(__xludf.DUMMYFUNCTION("""COMPUTED_VALUE"""),1136.77)</f>
        <v/>
      </c>
      <c r="AH249" s="6">
        <f>AI249&amp;AJ249</f>
        <v/>
      </c>
      <c r="AI249" s="6">
        <f>YEAR(AK249)</f>
        <v/>
      </c>
      <c r="AJ249" s="6">
        <f>MONTH(AK249)</f>
        <v/>
      </c>
      <c r="AK249" s="267">
        <f>IFERROR(__xludf.DUMMYFUNCTION("""COMPUTED_VALUE"""),43341.9986111111)</f>
        <v/>
      </c>
      <c r="AL249" s="6">
        <f>IFERROR(__xludf.DUMMYFUNCTION("""COMPUTED_VALUE"""),7036)</f>
        <v/>
      </c>
      <c r="AP249" s="6">
        <f>AQ249&amp;AR249</f>
        <v/>
      </c>
      <c r="AQ249" s="6">
        <f>YEAR(AS249)</f>
        <v/>
      </c>
      <c r="AR249" s="6">
        <f>MONTH(AS249)</f>
        <v/>
      </c>
      <c r="AS249" s="267">
        <f>IFERROR(__xludf.DUMMYFUNCTION("""COMPUTED_VALUE"""),43454.9986111111)</f>
        <v/>
      </c>
      <c r="AT249" s="6">
        <f>IFERROR(__xludf.DUMMYFUNCTION("""COMPUTED_VALUE"""),1267.9)</f>
        <v/>
      </c>
    </row>
    <row r="250">
      <c r="B250" s="6">
        <f>C250&amp;D250</f>
        <v/>
      </c>
      <c r="C250" s="6">
        <f>YEAR(E250)</f>
        <v/>
      </c>
      <c r="D250" s="6">
        <f>MONTH(E250)</f>
        <v/>
      </c>
      <c r="E250" s="267">
        <f>IFERROR(__xludf.DUMMYFUNCTION("""COMPUTED_VALUE"""),43452.6666666666)</f>
        <v/>
      </c>
      <c r="F250" s="6">
        <f>IFERROR(__xludf.DUMMYFUNCTION("""COMPUTED_VALUE"""),2546.16)</f>
        <v/>
      </c>
      <c r="J250" s="6">
        <f>K250&amp;L250</f>
        <v/>
      </c>
      <c r="K250" s="6">
        <f>YEAR(M250)</f>
        <v/>
      </c>
      <c r="L250" s="6">
        <f>MONTH(M250)</f>
        <v/>
      </c>
      <c r="M250" s="267">
        <f>IFERROR(__xludf.DUMMYFUNCTION("""COMPUTED_VALUE"""),43452.6666666666)</f>
        <v/>
      </c>
      <c r="N250" s="6">
        <f>IFERROR(__xludf.DUMMYFUNCTION("""COMPUTED_VALUE"""),6783.91)</f>
        <v/>
      </c>
      <c r="R250" s="6">
        <f>S250&amp;T250</f>
        <v/>
      </c>
      <c r="S250" s="6">
        <f>YEAR(U250)</f>
        <v/>
      </c>
      <c r="T250" s="6">
        <f>MONTH(U250)</f>
        <v/>
      </c>
      <c r="U250" s="267">
        <f>IFERROR(__xludf.DUMMYFUNCTION("""COMPUTED_VALUE"""),43473.6458333333)</f>
        <v/>
      </c>
      <c r="V250" s="6">
        <f>IFERROR(__xludf.DUMMYFUNCTION("""COMPUTED_VALUE"""),2025.27)</f>
        <v/>
      </c>
      <c r="Z250" s="6">
        <f>AA250&amp;AB250</f>
        <v/>
      </c>
      <c r="AA250" s="6">
        <f>YEAR(AC250)</f>
        <v/>
      </c>
      <c r="AB250" s="6">
        <f>MONTH(AC250)</f>
        <v/>
      </c>
      <c r="AC250" s="267">
        <f>IFERROR(__xludf.DUMMYFUNCTION("""COMPUTED_VALUE"""),43354.9986111111)</f>
        <v/>
      </c>
      <c r="AD250" s="6">
        <f>IFERROR(__xludf.DUMMYFUNCTION("""COMPUTED_VALUE"""),1125.3)</f>
        <v/>
      </c>
      <c r="AH250" s="6">
        <f>AI250&amp;AJ250</f>
        <v/>
      </c>
      <c r="AI250" s="6">
        <f>YEAR(AK250)</f>
        <v/>
      </c>
      <c r="AJ250" s="6">
        <f>MONTH(AK250)</f>
        <v/>
      </c>
      <c r="AK250" s="267">
        <f>IFERROR(__xludf.DUMMYFUNCTION("""COMPUTED_VALUE"""),43342.9986111111)</f>
        <v/>
      </c>
      <c r="AL250" s="6">
        <f>IFERROR(__xludf.DUMMYFUNCTION("""COMPUTED_VALUE"""),6985.56)</f>
        <v/>
      </c>
      <c r="AP250" s="6">
        <f>AQ250&amp;AR250</f>
        <v/>
      </c>
      <c r="AQ250" s="6">
        <f>YEAR(AS250)</f>
        <v/>
      </c>
      <c r="AR250" s="6">
        <f>MONTH(AS250)</f>
        <v/>
      </c>
      <c r="AS250" s="267">
        <f>IFERROR(__xludf.DUMMYFUNCTION("""COMPUTED_VALUE"""),43455.9986111111)</f>
        <v/>
      </c>
      <c r="AT250" s="6">
        <f>IFERROR(__xludf.DUMMYFUNCTION("""COMPUTED_VALUE"""),1258.1)</f>
        <v/>
      </c>
    </row>
    <row r="251">
      <c r="B251" s="6">
        <f>C251&amp;D251</f>
        <v/>
      </c>
      <c r="C251" s="6">
        <f>YEAR(E251)</f>
        <v/>
      </c>
      <c r="D251" s="6">
        <f>MONTH(E251)</f>
        <v/>
      </c>
      <c r="E251" s="267">
        <f>IFERROR(__xludf.DUMMYFUNCTION("""COMPUTED_VALUE"""),43453.6666666666)</f>
        <v/>
      </c>
      <c r="F251" s="6">
        <f>IFERROR(__xludf.DUMMYFUNCTION("""COMPUTED_VALUE"""),2506.96)</f>
        <v/>
      </c>
      <c r="J251" s="6">
        <f>K251&amp;L251</f>
        <v/>
      </c>
      <c r="K251" s="6">
        <f>YEAR(M251)</f>
        <v/>
      </c>
      <c r="L251" s="6">
        <f>MONTH(M251)</f>
        <v/>
      </c>
      <c r="M251" s="267">
        <f>IFERROR(__xludf.DUMMYFUNCTION("""COMPUTED_VALUE"""),43453.6666666666)</f>
        <v/>
      </c>
      <c r="N251" s="6">
        <f>IFERROR(__xludf.DUMMYFUNCTION("""COMPUTED_VALUE"""),6636.83)</f>
        <v/>
      </c>
      <c r="R251" s="6">
        <f>S251&amp;T251</f>
        <v/>
      </c>
      <c r="S251" s="6">
        <f>YEAR(U251)</f>
        <v/>
      </c>
      <c r="T251" s="6">
        <f>MONTH(U251)</f>
        <v/>
      </c>
      <c r="U251" s="267">
        <f>IFERROR(__xludf.DUMMYFUNCTION("""COMPUTED_VALUE"""),43474.6458333333)</f>
        <v/>
      </c>
      <c r="V251" s="6">
        <f>IFERROR(__xludf.DUMMYFUNCTION("""COMPUTED_VALUE"""),2064.71)</f>
        <v/>
      </c>
      <c r="Z251" s="6">
        <f>AA251&amp;AB251</f>
        <v/>
      </c>
      <c r="AA251" s="6">
        <f>YEAR(AC251)</f>
        <v/>
      </c>
      <c r="AB251" s="6">
        <f>MONTH(AC251)</f>
        <v/>
      </c>
      <c r="AC251" s="267">
        <f>IFERROR(__xludf.DUMMYFUNCTION("""COMPUTED_VALUE"""),43355.9986111111)</f>
        <v/>
      </c>
      <c r="AD251" s="6">
        <f>IFERROR(__xludf.DUMMYFUNCTION("""COMPUTED_VALUE"""),1125.75)</f>
        <v/>
      </c>
      <c r="AH251" s="6">
        <f>AI251&amp;AJ251</f>
        <v/>
      </c>
      <c r="AI251" s="6">
        <f>YEAR(AK251)</f>
        <v/>
      </c>
      <c r="AJ251" s="6">
        <f>MONTH(AK251)</f>
        <v/>
      </c>
      <c r="AK251" s="267">
        <f>IFERROR(__xludf.DUMMYFUNCTION("""COMPUTED_VALUE"""),43343.9986111111)</f>
        <v/>
      </c>
      <c r="AL251" s="6">
        <f>IFERROR(__xludf.DUMMYFUNCTION("""COMPUTED_VALUE"""),7012.26)</f>
        <v/>
      </c>
      <c r="AP251" s="6">
        <f>AQ251&amp;AR251</f>
        <v/>
      </c>
      <c r="AQ251" s="6">
        <f>YEAR(AS251)</f>
        <v/>
      </c>
      <c r="AR251" s="6">
        <f>MONTH(AS251)</f>
        <v/>
      </c>
      <c r="AS251" s="267">
        <f>IFERROR(__xludf.DUMMYFUNCTION("""COMPUTED_VALUE"""),43458.5416666666)</f>
        <v/>
      </c>
      <c r="AT251" s="6">
        <f>IFERROR(__xludf.DUMMYFUNCTION("""COMPUTED_VALUE"""),1271.8)</f>
        <v/>
      </c>
    </row>
    <row r="252">
      <c r="B252" s="6">
        <f>C252&amp;D252</f>
        <v/>
      </c>
      <c r="C252" s="6">
        <f>YEAR(E252)</f>
        <v/>
      </c>
      <c r="D252" s="6">
        <f>MONTH(E252)</f>
        <v/>
      </c>
      <c r="E252" s="267">
        <f>IFERROR(__xludf.DUMMYFUNCTION("""COMPUTED_VALUE"""),43454.6666666666)</f>
        <v/>
      </c>
      <c r="F252" s="6">
        <f>IFERROR(__xludf.DUMMYFUNCTION("""COMPUTED_VALUE"""),2467.42)</f>
        <v/>
      </c>
      <c r="J252" s="6">
        <f>K252&amp;L252</f>
        <v/>
      </c>
      <c r="K252" s="6">
        <f>YEAR(M252)</f>
        <v/>
      </c>
      <c r="L252" s="6">
        <f>MONTH(M252)</f>
        <v/>
      </c>
      <c r="M252" s="267">
        <f>IFERROR(__xludf.DUMMYFUNCTION("""COMPUTED_VALUE"""),43454.6666666666)</f>
        <v/>
      </c>
      <c r="N252" s="6">
        <f>IFERROR(__xludf.DUMMYFUNCTION("""COMPUTED_VALUE"""),6528.41)</f>
        <v/>
      </c>
      <c r="R252" s="6">
        <f>S252&amp;T252</f>
        <v/>
      </c>
      <c r="S252" s="6">
        <f>YEAR(U252)</f>
        <v/>
      </c>
      <c r="T252" s="6">
        <f>MONTH(U252)</f>
        <v/>
      </c>
      <c r="U252" s="267">
        <f>IFERROR(__xludf.DUMMYFUNCTION("""COMPUTED_VALUE"""),43475.6458333333)</f>
        <v/>
      </c>
      <c r="V252" s="6">
        <f>IFERROR(__xludf.DUMMYFUNCTION("""COMPUTED_VALUE"""),2063.28)</f>
        <v/>
      </c>
      <c r="Z252" s="6">
        <f>AA252&amp;AB252</f>
        <v/>
      </c>
      <c r="AA252" s="6">
        <f>YEAR(AC252)</f>
        <v/>
      </c>
      <c r="AB252" s="6">
        <f>MONTH(AC252)</f>
        <v/>
      </c>
      <c r="AC252" s="267">
        <f>IFERROR(__xludf.DUMMYFUNCTION("""COMPUTED_VALUE"""),43356.9986111111)</f>
        <v/>
      </c>
      <c r="AD252" s="6">
        <f>IFERROR(__xludf.DUMMYFUNCTION("""COMPUTED_VALUE"""),1120.55)</f>
        <v/>
      </c>
      <c r="AH252" s="6">
        <f>AI252&amp;AJ252</f>
        <v/>
      </c>
      <c r="AI252" s="6">
        <f>YEAR(AK252)</f>
        <v/>
      </c>
      <c r="AJ252" s="6">
        <f>MONTH(AK252)</f>
        <v/>
      </c>
      <c r="AK252" s="267">
        <f>IFERROR(__xludf.DUMMYFUNCTION("""COMPUTED_VALUE"""),43344.9986111111)</f>
        <v/>
      </c>
      <c r="AL252" s="6">
        <f>IFERROR(__xludf.DUMMYFUNCTION("""COMPUTED_VALUE"""),7193.82)</f>
        <v/>
      </c>
      <c r="AP252" s="6">
        <f>AQ252&amp;AR252</f>
        <v/>
      </c>
      <c r="AQ252" s="6">
        <f>YEAR(AS252)</f>
        <v/>
      </c>
      <c r="AR252" s="6">
        <f>MONTH(AS252)</f>
        <v/>
      </c>
      <c r="AS252" s="267">
        <f>IFERROR(__xludf.DUMMYFUNCTION("""COMPUTED_VALUE"""),43460.9986111111)</f>
        <v/>
      </c>
      <c r="AT252" s="6">
        <f>IFERROR(__xludf.DUMMYFUNCTION("""COMPUTED_VALUE"""),1273)</f>
        <v/>
      </c>
    </row>
    <row r="253">
      <c r="B253" s="6">
        <f>C253&amp;D253</f>
        <v/>
      </c>
      <c r="C253" s="6">
        <f>YEAR(E253)</f>
        <v/>
      </c>
      <c r="D253" s="6">
        <f>MONTH(E253)</f>
        <v/>
      </c>
      <c r="E253" s="267">
        <f>IFERROR(__xludf.DUMMYFUNCTION("""COMPUTED_VALUE"""),43455.6666666666)</f>
        <v/>
      </c>
      <c r="F253" s="6">
        <f>IFERROR(__xludf.DUMMYFUNCTION("""COMPUTED_VALUE"""),2416.62)</f>
        <v/>
      </c>
      <c r="J253" s="6">
        <f>K253&amp;L253</f>
        <v/>
      </c>
      <c r="K253" s="6">
        <f>YEAR(M253)</f>
        <v/>
      </c>
      <c r="L253" s="6">
        <f>MONTH(M253)</f>
        <v/>
      </c>
      <c r="M253" s="267">
        <f>IFERROR(__xludf.DUMMYFUNCTION("""COMPUTED_VALUE"""),43455.6666666666)</f>
        <v/>
      </c>
      <c r="N253" s="6">
        <f>IFERROR(__xludf.DUMMYFUNCTION("""COMPUTED_VALUE"""),6332.99)</f>
        <v/>
      </c>
      <c r="R253" s="6">
        <f>S253&amp;T253</f>
        <v/>
      </c>
      <c r="S253" s="6">
        <f>YEAR(U253)</f>
        <v/>
      </c>
      <c r="T253" s="6">
        <f>MONTH(U253)</f>
        <v/>
      </c>
      <c r="U253" s="267">
        <f>IFERROR(__xludf.DUMMYFUNCTION("""COMPUTED_VALUE"""),43476.6458333333)</f>
        <v/>
      </c>
      <c r="V253" s="6">
        <f>IFERROR(__xludf.DUMMYFUNCTION("""COMPUTED_VALUE"""),2075.57)</f>
        <v/>
      </c>
      <c r="Z253" s="6">
        <f>AA253&amp;AB253</f>
        <v/>
      </c>
      <c r="AA253" s="6">
        <f>YEAR(AC253)</f>
        <v/>
      </c>
      <c r="AB253" s="6">
        <f>MONTH(AC253)</f>
        <v/>
      </c>
      <c r="AC253" s="267">
        <f>IFERROR(__xludf.DUMMYFUNCTION("""COMPUTED_VALUE"""),43357.9986111111)</f>
        <v/>
      </c>
      <c r="AD253" s="6">
        <f>IFERROR(__xludf.DUMMYFUNCTION("""COMPUTED_VALUE"""),1120.43)</f>
        <v/>
      </c>
      <c r="AH253" s="6">
        <f>AI253&amp;AJ253</f>
        <v/>
      </c>
      <c r="AI253" s="6">
        <f>YEAR(AK253)</f>
        <v/>
      </c>
      <c r="AJ253" s="6">
        <f>MONTH(AK253)</f>
        <v/>
      </c>
      <c r="AK253" s="267">
        <f>IFERROR(__xludf.DUMMYFUNCTION("""COMPUTED_VALUE"""),43345.9986111111)</f>
        <v/>
      </c>
      <c r="AL253" s="6">
        <f>IFERROR(__xludf.DUMMYFUNCTION("""COMPUTED_VALUE"""),7297.35)</f>
        <v/>
      </c>
      <c r="AP253" s="6">
        <f>AQ253&amp;AR253</f>
        <v/>
      </c>
      <c r="AQ253" s="6">
        <f>YEAR(AS253)</f>
        <v/>
      </c>
      <c r="AR253" s="6">
        <f>MONTH(AS253)</f>
        <v/>
      </c>
      <c r="AS253" s="267">
        <f>IFERROR(__xludf.DUMMYFUNCTION("""COMPUTED_VALUE"""),43461.9986111111)</f>
        <v/>
      </c>
      <c r="AT253" s="6">
        <f>IFERROR(__xludf.DUMMYFUNCTION("""COMPUTED_VALUE"""),1281.1)</f>
        <v/>
      </c>
    </row>
    <row r="254">
      <c r="B254" s="6">
        <f>C254&amp;D254</f>
        <v/>
      </c>
      <c r="C254" s="6">
        <f>YEAR(E254)</f>
        <v/>
      </c>
      <c r="D254" s="6">
        <f>MONTH(E254)</f>
        <v/>
      </c>
      <c r="E254" s="267">
        <f>IFERROR(__xludf.DUMMYFUNCTION("""COMPUTED_VALUE"""),43458.5416666666)</f>
        <v/>
      </c>
      <c r="F254" s="6">
        <f>IFERROR(__xludf.DUMMYFUNCTION("""COMPUTED_VALUE"""),2351.1)</f>
        <v/>
      </c>
      <c r="J254" s="6">
        <f>K254&amp;L254</f>
        <v/>
      </c>
      <c r="K254" s="6">
        <f>YEAR(M254)</f>
        <v/>
      </c>
      <c r="L254" s="6">
        <f>MONTH(M254)</f>
        <v/>
      </c>
      <c r="M254" s="267">
        <f>IFERROR(__xludf.DUMMYFUNCTION("""COMPUTED_VALUE"""),43458.5416666666)</f>
        <v/>
      </c>
      <c r="N254" s="6">
        <f>IFERROR(__xludf.DUMMYFUNCTION("""COMPUTED_VALUE"""),6192.92)</f>
        <v/>
      </c>
      <c r="R254" s="6">
        <f>S254&amp;T254</f>
        <v/>
      </c>
      <c r="S254" s="6">
        <f>YEAR(U254)</f>
        <v/>
      </c>
      <c r="T254" s="6">
        <f>MONTH(U254)</f>
        <v/>
      </c>
      <c r="U254" s="267">
        <f>IFERROR(__xludf.DUMMYFUNCTION("""COMPUTED_VALUE"""),43479.6458333333)</f>
        <v/>
      </c>
      <c r="V254" s="6">
        <f>IFERROR(__xludf.DUMMYFUNCTION("""COMPUTED_VALUE"""),2064.52)</f>
        <v/>
      </c>
      <c r="Z254" s="6">
        <f>AA254&amp;AB254</f>
        <v/>
      </c>
      <c r="AA254" s="6">
        <f>YEAR(AC254)</f>
        <v/>
      </c>
      <c r="AB254" s="6">
        <f>MONTH(AC254)</f>
        <v/>
      </c>
      <c r="AC254" s="267">
        <f>IFERROR(__xludf.DUMMYFUNCTION("""COMPUTED_VALUE"""),43359.9986111111)</f>
        <v/>
      </c>
      <c r="AD254" s="6">
        <f>IFERROR(__xludf.DUMMYFUNCTION("""COMPUTED_VALUE"""),1120.9)</f>
        <v/>
      </c>
      <c r="AH254" s="6">
        <f>AI254&amp;AJ254</f>
        <v/>
      </c>
      <c r="AI254" s="6">
        <f>YEAR(AK254)</f>
        <v/>
      </c>
      <c r="AJ254" s="6">
        <f>MONTH(AK254)</f>
        <v/>
      </c>
      <c r="AK254" s="267">
        <f>IFERROR(__xludf.DUMMYFUNCTION("""COMPUTED_VALUE"""),43346.9986111111)</f>
        <v/>
      </c>
      <c r="AL254" s="6">
        <f>IFERROR(__xludf.DUMMYFUNCTION("""COMPUTED_VALUE"""),7262.03)</f>
        <v/>
      </c>
      <c r="AP254" s="6">
        <f>AQ254&amp;AR254</f>
        <v/>
      </c>
      <c r="AQ254" s="6">
        <f>YEAR(AS254)</f>
        <v/>
      </c>
      <c r="AR254" s="6">
        <f>MONTH(AS254)</f>
        <v/>
      </c>
      <c r="AS254" s="267">
        <f>IFERROR(__xludf.DUMMYFUNCTION("""COMPUTED_VALUE"""),43462.9986111111)</f>
        <v/>
      </c>
      <c r="AT254" s="6">
        <f>IFERROR(__xludf.DUMMYFUNCTION("""COMPUTED_VALUE"""),1283)</f>
        <v/>
      </c>
    </row>
    <row r="255">
      <c r="B255" s="6">
        <f>C255&amp;D255</f>
        <v/>
      </c>
      <c r="C255" s="6">
        <f>YEAR(E255)</f>
        <v/>
      </c>
      <c r="D255" s="6">
        <f>MONTH(E255)</f>
        <v/>
      </c>
      <c r="E255" s="267">
        <f>IFERROR(__xludf.DUMMYFUNCTION("""COMPUTED_VALUE"""),43460.6666666666)</f>
        <v/>
      </c>
      <c r="F255" s="6">
        <f>IFERROR(__xludf.DUMMYFUNCTION("""COMPUTED_VALUE"""),2467.7)</f>
        <v/>
      </c>
      <c r="J255" s="6">
        <f>K255&amp;L255</f>
        <v/>
      </c>
      <c r="K255" s="6">
        <f>YEAR(M255)</f>
        <v/>
      </c>
      <c r="L255" s="6">
        <f>MONTH(M255)</f>
        <v/>
      </c>
      <c r="M255" s="267">
        <f>IFERROR(__xludf.DUMMYFUNCTION("""COMPUTED_VALUE"""),43460.6666666666)</f>
        <v/>
      </c>
      <c r="N255" s="6">
        <f>IFERROR(__xludf.DUMMYFUNCTION("""COMPUTED_VALUE"""),6554.36)</f>
        <v/>
      </c>
      <c r="R255" s="6">
        <f>S255&amp;T255</f>
        <v/>
      </c>
      <c r="S255" s="6">
        <f>YEAR(U255)</f>
        <v/>
      </c>
      <c r="T255" s="6">
        <f>MONTH(U255)</f>
        <v/>
      </c>
      <c r="U255" s="267">
        <f>IFERROR(__xludf.DUMMYFUNCTION("""COMPUTED_VALUE"""),43480.6458333333)</f>
        <v/>
      </c>
      <c r="V255" s="6">
        <f>IFERROR(__xludf.DUMMYFUNCTION("""COMPUTED_VALUE"""),2097.18)</f>
        <v/>
      </c>
      <c r="Z255" s="6">
        <f>AA255&amp;AB255</f>
        <v/>
      </c>
      <c r="AA255" s="6">
        <f>YEAR(AC255)</f>
        <v/>
      </c>
      <c r="AB255" s="6">
        <f>MONTH(AC255)</f>
        <v/>
      </c>
      <c r="AC255" s="267">
        <f>IFERROR(__xludf.DUMMYFUNCTION("""COMPUTED_VALUE"""),43360.9986111111)</f>
        <v/>
      </c>
      <c r="AD255" s="6">
        <f>IFERROR(__xludf.DUMMYFUNCTION("""COMPUTED_VALUE"""),1125.62)</f>
        <v/>
      </c>
      <c r="AH255" s="6">
        <f>AI255&amp;AJ255</f>
        <v/>
      </c>
      <c r="AI255" s="6">
        <f>YEAR(AK255)</f>
        <v/>
      </c>
      <c r="AJ255" s="6">
        <f>MONTH(AK255)</f>
        <v/>
      </c>
      <c r="AK255" s="267">
        <f>IFERROR(__xludf.DUMMYFUNCTION("""COMPUTED_VALUE"""),43347.9986111111)</f>
        <v/>
      </c>
      <c r="AL255" s="6">
        <f>IFERROR(__xludf.DUMMYFUNCTION("""COMPUTED_VALUE"""),7358.54)</f>
        <v/>
      </c>
      <c r="AP255" s="6">
        <f>AQ255&amp;AR255</f>
        <v/>
      </c>
      <c r="AQ255" s="6">
        <f>YEAR(AS255)</f>
        <v/>
      </c>
      <c r="AR255" s="6">
        <f>MONTH(AS255)</f>
        <v/>
      </c>
      <c r="AS255" s="267">
        <f>IFERROR(__xludf.DUMMYFUNCTION("""COMPUTED_VALUE"""),43465.9986111111)</f>
        <v/>
      </c>
      <c r="AT255" s="6">
        <f>IFERROR(__xludf.DUMMYFUNCTION("""COMPUTED_VALUE"""),1281.3)</f>
        <v/>
      </c>
    </row>
    <row r="256">
      <c r="B256" s="6">
        <f>C256&amp;D256</f>
        <v/>
      </c>
      <c r="C256" s="6">
        <f>YEAR(E256)</f>
        <v/>
      </c>
      <c r="D256" s="6">
        <f>MONTH(E256)</f>
        <v/>
      </c>
      <c r="E256" s="267">
        <f>IFERROR(__xludf.DUMMYFUNCTION("""COMPUTED_VALUE"""),43461.6666666666)</f>
        <v/>
      </c>
      <c r="F256" s="6">
        <f>IFERROR(__xludf.DUMMYFUNCTION("""COMPUTED_VALUE"""),2488.83)</f>
        <v/>
      </c>
      <c r="J256" s="6">
        <f>K256&amp;L256</f>
        <v/>
      </c>
      <c r="K256" s="6">
        <f>YEAR(M256)</f>
        <v/>
      </c>
      <c r="L256" s="6">
        <f>MONTH(M256)</f>
        <v/>
      </c>
      <c r="M256" s="267">
        <f>IFERROR(__xludf.DUMMYFUNCTION("""COMPUTED_VALUE"""),43461.6666666666)</f>
        <v/>
      </c>
      <c r="N256" s="6">
        <f>IFERROR(__xludf.DUMMYFUNCTION("""COMPUTED_VALUE"""),6579.49)</f>
        <v/>
      </c>
      <c r="R256" s="6">
        <f>S256&amp;T256</f>
        <v/>
      </c>
      <c r="S256" s="6">
        <f>YEAR(U256)</f>
        <v/>
      </c>
      <c r="T256" s="6">
        <f>MONTH(U256)</f>
        <v/>
      </c>
      <c r="U256" s="267">
        <f>IFERROR(__xludf.DUMMYFUNCTION("""COMPUTED_VALUE"""),43481.6458333333)</f>
        <v/>
      </c>
      <c r="V256" s="6">
        <f>IFERROR(__xludf.DUMMYFUNCTION("""COMPUTED_VALUE"""),2106.1)</f>
        <v/>
      </c>
      <c r="Z256" s="6">
        <f>AA256&amp;AB256</f>
        <v/>
      </c>
      <c r="AA256" s="6">
        <f>YEAR(AC256)</f>
        <v/>
      </c>
      <c r="AB256" s="6">
        <f>MONTH(AC256)</f>
        <v/>
      </c>
      <c r="AC256" s="267">
        <f>IFERROR(__xludf.DUMMYFUNCTION("""COMPUTED_VALUE"""),43361.9986111111)</f>
        <v/>
      </c>
      <c r="AD256" s="6">
        <f>IFERROR(__xludf.DUMMYFUNCTION("""COMPUTED_VALUE"""),1120.8)</f>
        <v/>
      </c>
      <c r="AH256" s="6">
        <f>AI256&amp;AJ256</f>
        <v/>
      </c>
      <c r="AI256" s="6">
        <f>YEAR(AK256)</f>
        <v/>
      </c>
      <c r="AJ256" s="6">
        <f>MONTH(AK256)</f>
        <v/>
      </c>
      <c r="AK256" s="267">
        <f>IFERROR(__xludf.DUMMYFUNCTION("""COMPUTED_VALUE"""),43348.9986111111)</f>
        <v/>
      </c>
      <c r="AL256" s="6">
        <f>IFERROR(__xludf.DUMMYFUNCTION("""COMPUTED_VALUE"""),6723.36)</f>
        <v/>
      </c>
      <c r="AP256" s="6">
        <f>AQ256&amp;AR256</f>
        <v/>
      </c>
      <c r="AQ256" s="6">
        <f>YEAR(AS256)</f>
        <v/>
      </c>
      <c r="AR256" s="6">
        <f>MONTH(AS256)</f>
        <v/>
      </c>
      <c r="AS256" s="267">
        <f>IFERROR(__xludf.DUMMYFUNCTION("""COMPUTED_VALUE"""),43467.9986111111)</f>
        <v/>
      </c>
      <c r="AT256" s="6">
        <f>IFERROR(__xludf.DUMMYFUNCTION("""COMPUTED_VALUE"""),1284.1)</f>
        <v/>
      </c>
    </row>
    <row r="257">
      <c r="B257" s="6">
        <f>C257&amp;D257</f>
        <v/>
      </c>
      <c r="C257" s="6">
        <f>YEAR(E257)</f>
        <v/>
      </c>
      <c r="D257" s="6">
        <f>MONTH(E257)</f>
        <v/>
      </c>
      <c r="E257" s="267">
        <f>IFERROR(__xludf.DUMMYFUNCTION("""COMPUTED_VALUE"""),43462.6666666666)</f>
        <v/>
      </c>
      <c r="F257" s="6">
        <f>IFERROR(__xludf.DUMMYFUNCTION("""COMPUTED_VALUE"""),2485.74)</f>
        <v/>
      </c>
      <c r="J257" s="6">
        <f>K257&amp;L257</f>
        <v/>
      </c>
      <c r="K257" s="6">
        <f>YEAR(M257)</f>
        <v/>
      </c>
      <c r="L257" s="6">
        <f>MONTH(M257)</f>
        <v/>
      </c>
      <c r="M257" s="267">
        <f>IFERROR(__xludf.DUMMYFUNCTION("""COMPUTED_VALUE"""),43462.6666666666)</f>
        <v/>
      </c>
      <c r="N257" s="6">
        <f>IFERROR(__xludf.DUMMYFUNCTION("""COMPUTED_VALUE"""),6584.52)</f>
        <v/>
      </c>
      <c r="R257" s="6">
        <f>S257&amp;T257</f>
        <v/>
      </c>
      <c r="S257" s="6">
        <f>YEAR(U257)</f>
        <v/>
      </c>
      <c r="T257" s="6">
        <f>MONTH(U257)</f>
        <v/>
      </c>
      <c r="U257" s="267">
        <f>IFERROR(__xludf.DUMMYFUNCTION("""COMPUTED_VALUE"""),43482.6458333333)</f>
        <v/>
      </c>
      <c r="V257" s="6">
        <f>IFERROR(__xludf.DUMMYFUNCTION("""COMPUTED_VALUE"""),2107.06)</f>
        <v/>
      </c>
      <c r="Z257" s="6">
        <f>AA257&amp;AB257</f>
        <v/>
      </c>
      <c r="AA257" s="6">
        <f>YEAR(AC257)</f>
        <v/>
      </c>
      <c r="AB257" s="6">
        <f>MONTH(AC257)</f>
        <v/>
      </c>
      <c r="AC257" s="267">
        <f>IFERROR(__xludf.DUMMYFUNCTION("""COMPUTED_VALUE"""),43362.9986111111)</f>
        <v/>
      </c>
      <c r="AD257" s="6">
        <f>IFERROR(__xludf.DUMMYFUNCTION("""COMPUTED_VALUE"""),1122.25)</f>
        <v/>
      </c>
      <c r="AH257" s="6">
        <f>AI257&amp;AJ257</f>
        <v/>
      </c>
      <c r="AI257" s="6">
        <f>YEAR(AK257)</f>
        <v/>
      </c>
      <c r="AJ257" s="6">
        <f>MONTH(AK257)</f>
        <v/>
      </c>
      <c r="AK257" s="267">
        <f>IFERROR(__xludf.DUMMYFUNCTION("""COMPUTED_VALUE"""),43349.9986111111)</f>
        <v/>
      </c>
      <c r="AL257" s="6">
        <f>IFERROR(__xludf.DUMMYFUNCTION("""COMPUTED_VALUE"""),6493.98)</f>
        <v/>
      </c>
      <c r="AP257" s="6">
        <f>AQ257&amp;AR257</f>
        <v/>
      </c>
      <c r="AQ257" s="6">
        <f>YEAR(AS257)</f>
        <v/>
      </c>
      <c r="AR257" s="6">
        <f>MONTH(AS257)</f>
        <v/>
      </c>
      <c r="AS257" s="267">
        <f>IFERROR(__xludf.DUMMYFUNCTION("""COMPUTED_VALUE"""),43468.9986111111)</f>
        <v/>
      </c>
      <c r="AT257" s="6">
        <f>IFERROR(__xludf.DUMMYFUNCTION("""COMPUTED_VALUE"""),1294.8)</f>
        <v/>
      </c>
    </row>
    <row r="258">
      <c r="B258" s="6">
        <f>C258&amp;D258</f>
        <v/>
      </c>
      <c r="C258" s="6">
        <f>YEAR(E258)</f>
        <v/>
      </c>
      <c r="D258" s="6">
        <f>MONTH(E258)</f>
        <v/>
      </c>
      <c r="E258" s="267">
        <f>IFERROR(__xludf.DUMMYFUNCTION("""COMPUTED_VALUE"""),43465.6666666666)</f>
        <v/>
      </c>
      <c r="F258" s="6">
        <f>IFERROR(__xludf.DUMMYFUNCTION("""COMPUTED_VALUE"""),2506.85)</f>
        <v/>
      </c>
      <c r="J258" s="6">
        <f>K258&amp;L258</f>
        <v/>
      </c>
      <c r="K258" s="6">
        <f>YEAR(M258)</f>
        <v/>
      </c>
      <c r="L258" s="6">
        <f>MONTH(M258)</f>
        <v/>
      </c>
      <c r="M258" s="267">
        <f>IFERROR(__xludf.DUMMYFUNCTION("""COMPUTED_VALUE"""),43465.6666666666)</f>
        <v/>
      </c>
      <c r="N258" s="6">
        <f>IFERROR(__xludf.DUMMYFUNCTION("""COMPUTED_VALUE"""),6635.28)</f>
        <v/>
      </c>
      <c r="R258" s="6">
        <f>S258&amp;T258</f>
        <v/>
      </c>
      <c r="S258" s="6">
        <f>YEAR(U258)</f>
        <v/>
      </c>
      <c r="T258" s="6">
        <f>MONTH(U258)</f>
        <v/>
      </c>
      <c r="U258" s="267">
        <f>IFERROR(__xludf.DUMMYFUNCTION("""COMPUTED_VALUE"""),43483.6458333333)</f>
        <v/>
      </c>
      <c r="V258" s="6">
        <f>IFERROR(__xludf.DUMMYFUNCTION("""COMPUTED_VALUE"""),2124.28)</f>
        <v/>
      </c>
      <c r="Z258" s="6">
        <f>AA258&amp;AB258</f>
        <v/>
      </c>
      <c r="AA258" s="6">
        <f>YEAR(AC258)</f>
        <v/>
      </c>
      <c r="AB258" s="6">
        <f>MONTH(AC258)</f>
        <v/>
      </c>
      <c r="AC258" s="267">
        <f>IFERROR(__xludf.DUMMYFUNCTION("""COMPUTED_VALUE"""),43363.9986111111)</f>
        <v/>
      </c>
      <c r="AD258" s="6">
        <f>IFERROR(__xludf.DUMMYFUNCTION("""COMPUTED_VALUE"""),1116.4)</f>
        <v/>
      </c>
      <c r="AH258" s="6">
        <f>AI258&amp;AJ258</f>
        <v/>
      </c>
      <c r="AI258" s="6">
        <f>YEAR(AK258)</f>
        <v/>
      </c>
      <c r="AJ258" s="6">
        <f>MONTH(AK258)</f>
        <v/>
      </c>
      <c r="AK258" s="267">
        <f>IFERROR(__xludf.DUMMYFUNCTION("""COMPUTED_VALUE"""),43350.9986111111)</f>
        <v/>
      </c>
      <c r="AL258" s="6">
        <f>IFERROR(__xludf.DUMMYFUNCTION("""COMPUTED_VALUE"""),6414.06)</f>
        <v/>
      </c>
      <c r="AP258" s="6">
        <f>AQ258&amp;AR258</f>
        <v/>
      </c>
      <c r="AQ258" s="6">
        <f>YEAR(AS258)</f>
        <v/>
      </c>
      <c r="AR258" s="6">
        <f>MONTH(AS258)</f>
        <v/>
      </c>
      <c r="AS258" s="267">
        <f>IFERROR(__xludf.DUMMYFUNCTION("""COMPUTED_VALUE"""),43469.9986111111)</f>
        <v/>
      </c>
      <c r="AT258" s="6">
        <f>IFERROR(__xludf.DUMMYFUNCTION("""COMPUTED_VALUE"""),1285.8)</f>
        <v/>
      </c>
    </row>
    <row r="259">
      <c r="B259" s="6">
        <f>C259&amp;D259</f>
        <v/>
      </c>
      <c r="C259" s="6">
        <f>YEAR(E259)</f>
        <v/>
      </c>
      <c r="D259" s="6">
        <f>MONTH(E259)</f>
        <v/>
      </c>
      <c r="E259" s="267">
        <f>IFERROR(__xludf.DUMMYFUNCTION("""COMPUTED_VALUE"""),43467.6666666666)</f>
        <v/>
      </c>
      <c r="F259" s="6">
        <f>IFERROR(__xludf.DUMMYFUNCTION("""COMPUTED_VALUE"""),2510.03)</f>
        <v/>
      </c>
      <c r="J259" s="6">
        <f>K259&amp;L259</f>
        <v/>
      </c>
      <c r="K259" s="6">
        <f>YEAR(M259)</f>
        <v/>
      </c>
      <c r="L259" s="6">
        <f>MONTH(M259)</f>
        <v/>
      </c>
      <c r="M259" s="267">
        <f>IFERROR(__xludf.DUMMYFUNCTION("""COMPUTED_VALUE"""),43467.6666666666)</f>
        <v/>
      </c>
      <c r="N259" s="6">
        <f>IFERROR(__xludf.DUMMYFUNCTION("""COMPUTED_VALUE"""),6665.94)</f>
        <v/>
      </c>
      <c r="R259" s="6">
        <f>S259&amp;T259</f>
        <v/>
      </c>
      <c r="S259" s="6">
        <f>YEAR(U259)</f>
        <v/>
      </c>
      <c r="T259" s="6">
        <f>MONTH(U259)</f>
        <v/>
      </c>
      <c r="U259" s="267">
        <f>IFERROR(__xludf.DUMMYFUNCTION("""COMPUTED_VALUE"""),43486.6458333333)</f>
        <v/>
      </c>
      <c r="V259" s="6">
        <f>IFERROR(__xludf.DUMMYFUNCTION("""COMPUTED_VALUE"""),2124.61)</f>
        <v/>
      </c>
      <c r="Z259" s="6">
        <f>AA259&amp;AB259</f>
        <v/>
      </c>
      <c r="AA259" s="6">
        <f>YEAR(AC259)</f>
        <v/>
      </c>
      <c r="AB259" s="6">
        <f>MONTH(AC259)</f>
        <v/>
      </c>
      <c r="AC259" s="267">
        <f>IFERROR(__xludf.DUMMYFUNCTION("""COMPUTED_VALUE"""),43364.9986111111)</f>
        <v/>
      </c>
      <c r="AD259" s="6">
        <f>IFERROR(__xludf.DUMMYFUNCTION("""COMPUTED_VALUE"""),1113.9)</f>
        <v/>
      </c>
      <c r="AH259" s="6">
        <f>AI259&amp;AJ259</f>
        <v/>
      </c>
      <c r="AI259" s="6">
        <f>YEAR(AK259)</f>
        <v/>
      </c>
      <c r="AJ259" s="6">
        <f>MONTH(AK259)</f>
        <v/>
      </c>
      <c r="AK259" s="267">
        <f>IFERROR(__xludf.DUMMYFUNCTION("""COMPUTED_VALUE"""),43351.9986111111)</f>
        <v/>
      </c>
      <c r="AL259" s="6">
        <f>IFERROR(__xludf.DUMMYFUNCTION("""COMPUTED_VALUE"""),6184.05)</f>
        <v/>
      </c>
      <c r="AP259" s="6">
        <f>AQ259&amp;AR259</f>
        <v/>
      </c>
      <c r="AQ259" s="6">
        <f>YEAR(AS259)</f>
        <v/>
      </c>
      <c r="AR259" s="6">
        <f>MONTH(AS259)</f>
        <v/>
      </c>
      <c r="AS259" s="267">
        <f>IFERROR(__xludf.DUMMYFUNCTION("""COMPUTED_VALUE"""),43472.9986111111)</f>
        <v/>
      </c>
      <c r="AT259" s="6">
        <f>IFERROR(__xludf.DUMMYFUNCTION("""COMPUTED_VALUE"""),1289.9)</f>
        <v/>
      </c>
    </row>
    <row r="260">
      <c r="B260" s="6">
        <f>C260&amp;D260</f>
        <v/>
      </c>
      <c r="C260" s="6">
        <f>YEAR(E260)</f>
        <v/>
      </c>
      <c r="D260" s="6">
        <f>MONTH(E260)</f>
        <v/>
      </c>
      <c r="E260" s="267">
        <f>IFERROR(__xludf.DUMMYFUNCTION("""COMPUTED_VALUE"""),43468.6666666666)</f>
        <v/>
      </c>
      <c r="F260" s="6">
        <f>IFERROR(__xludf.DUMMYFUNCTION("""COMPUTED_VALUE"""),2447.89)</f>
        <v/>
      </c>
      <c r="J260" s="6">
        <f>K260&amp;L260</f>
        <v/>
      </c>
      <c r="K260" s="6">
        <f>YEAR(M260)</f>
        <v/>
      </c>
      <c r="L260" s="6">
        <f>MONTH(M260)</f>
        <v/>
      </c>
      <c r="M260" s="267">
        <f>IFERROR(__xludf.DUMMYFUNCTION("""COMPUTED_VALUE"""),43468.6666666666)</f>
        <v/>
      </c>
      <c r="N260" s="6">
        <f>IFERROR(__xludf.DUMMYFUNCTION("""COMPUTED_VALUE"""),6463.5)</f>
        <v/>
      </c>
      <c r="R260" s="6">
        <f>S260&amp;T260</f>
        <v/>
      </c>
      <c r="S260" s="6">
        <f>YEAR(U260)</f>
        <v/>
      </c>
      <c r="T260" s="6">
        <f>MONTH(U260)</f>
        <v/>
      </c>
      <c r="U260" s="267">
        <f>IFERROR(__xludf.DUMMYFUNCTION("""COMPUTED_VALUE"""),43487.6458333333)</f>
        <v/>
      </c>
      <c r="V260" s="6">
        <f>IFERROR(__xludf.DUMMYFUNCTION("""COMPUTED_VALUE"""),2117.77)</f>
        <v/>
      </c>
      <c r="Z260" s="6">
        <f>AA260&amp;AB260</f>
        <v/>
      </c>
      <c r="AA260" s="6">
        <f>YEAR(AC260)</f>
        <v/>
      </c>
      <c r="AB260" s="6">
        <f>MONTH(AC260)</f>
        <v/>
      </c>
      <c r="AC260" s="267">
        <f>IFERROR(__xludf.DUMMYFUNCTION("""COMPUTED_VALUE"""),43365.9986111111)</f>
        <v/>
      </c>
      <c r="AD260" s="6">
        <f>IFERROR(__xludf.DUMMYFUNCTION("""COMPUTED_VALUE"""),1113.9)</f>
        <v/>
      </c>
      <c r="AH260" s="6">
        <f>AI260&amp;AJ260</f>
        <v/>
      </c>
      <c r="AI260" s="6">
        <f>YEAR(AK260)</f>
        <v/>
      </c>
      <c r="AJ260" s="6">
        <f>MONTH(AK260)</f>
        <v/>
      </c>
      <c r="AK260" s="267">
        <f>IFERROR(__xludf.DUMMYFUNCTION("""COMPUTED_VALUE"""),43352.9986111111)</f>
        <v/>
      </c>
      <c r="AL260" s="6">
        <f>IFERROR(__xludf.DUMMYFUNCTION("""COMPUTED_VALUE"""),6239.63)</f>
        <v/>
      </c>
      <c r="AP260" s="6">
        <f>AQ260&amp;AR260</f>
        <v/>
      </c>
      <c r="AQ260" s="6">
        <f>YEAR(AS260)</f>
        <v/>
      </c>
      <c r="AR260" s="6">
        <f>MONTH(AS260)</f>
        <v/>
      </c>
      <c r="AS260" s="267">
        <f>IFERROR(__xludf.DUMMYFUNCTION("""COMPUTED_VALUE"""),43473.9986111111)</f>
        <v/>
      </c>
      <c r="AT260" s="6">
        <f>IFERROR(__xludf.DUMMYFUNCTION("""COMPUTED_VALUE"""),1285.9)</f>
        <v/>
      </c>
    </row>
    <row r="261">
      <c r="B261" s="6">
        <f>C261&amp;D261</f>
        <v/>
      </c>
      <c r="C261" s="6">
        <f>YEAR(E261)</f>
        <v/>
      </c>
      <c r="D261" s="6">
        <f>MONTH(E261)</f>
        <v/>
      </c>
      <c r="E261" s="267">
        <f>IFERROR(__xludf.DUMMYFUNCTION("""COMPUTED_VALUE"""),43469.6666666666)</f>
        <v/>
      </c>
      <c r="F261" s="6">
        <f>IFERROR(__xludf.DUMMYFUNCTION("""COMPUTED_VALUE"""),2531.94)</f>
        <v/>
      </c>
      <c r="J261" s="6">
        <f>K261&amp;L261</f>
        <v/>
      </c>
      <c r="K261" s="6">
        <f>YEAR(M261)</f>
        <v/>
      </c>
      <c r="L261" s="6">
        <f>MONTH(M261)</f>
        <v/>
      </c>
      <c r="M261" s="267">
        <f>IFERROR(__xludf.DUMMYFUNCTION("""COMPUTED_VALUE"""),43469.6666666666)</f>
        <v/>
      </c>
      <c r="N261" s="6">
        <f>IFERROR(__xludf.DUMMYFUNCTION("""COMPUTED_VALUE"""),6738.86)</f>
        <v/>
      </c>
      <c r="R261" s="6">
        <f>S261&amp;T261</f>
        <v/>
      </c>
      <c r="S261" s="6">
        <f>YEAR(U261)</f>
        <v/>
      </c>
      <c r="T261" s="6">
        <f>MONTH(U261)</f>
        <v/>
      </c>
      <c r="U261" s="267">
        <f>IFERROR(__xludf.DUMMYFUNCTION("""COMPUTED_VALUE"""),43488.6458333333)</f>
        <v/>
      </c>
      <c r="V261" s="6">
        <f>IFERROR(__xludf.DUMMYFUNCTION("""COMPUTED_VALUE"""),2127.78)</f>
        <v/>
      </c>
      <c r="Z261" s="6">
        <f>AA261&amp;AB261</f>
        <v/>
      </c>
      <c r="AA261" s="6">
        <f>YEAR(AC261)</f>
        <v/>
      </c>
      <c r="AB261" s="6">
        <f>MONTH(AC261)</f>
        <v/>
      </c>
      <c r="AC261" s="267">
        <f>IFERROR(__xludf.DUMMYFUNCTION("""COMPUTED_VALUE"""),43366.9986111111)</f>
        <v/>
      </c>
      <c r="AD261" s="6">
        <f>IFERROR(__xludf.DUMMYFUNCTION("""COMPUTED_VALUE"""),1114.1)</f>
        <v/>
      </c>
      <c r="AH261" s="6">
        <f>AI261&amp;AJ261</f>
        <v/>
      </c>
      <c r="AI261" s="6">
        <f>YEAR(AK261)</f>
        <v/>
      </c>
      <c r="AJ261" s="6">
        <f>MONTH(AK261)</f>
        <v/>
      </c>
      <c r="AK261" s="267">
        <f>IFERROR(__xludf.DUMMYFUNCTION("""COMPUTED_VALUE"""),43353.9986111111)</f>
        <v/>
      </c>
      <c r="AL261" s="6">
        <f>IFERROR(__xludf.DUMMYFUNCTION("""COMPUTED_VALUE"""),6309.37)</f>
        <v/>
      </c>
      <c r="AP261" s="6">
        <f>AQ261&amp;AR261</f>
        <v/>
      </c>
      <c r="AQ261" s="6">
        <f>YEAR(AS261)</f>
        <v/>
      </c>
      <c r="AR261" s="6">
        <f>MONTH(AS261)</f>
        <v/>
      </c>
      <c r="AS261" s="267">
        <f>IFERROR(__xludf.DUMMYFUNCTION("""COMPUTED_VALUE"""),43474.9986111111)</f>
        <v/>
      </c>
      <c r="AT261" s="6">
        <f>IFERROR(__xludf.DUMMYFUNCTION("""COMPUTED_VALUE"""),1292)</f>
        <v/>
      </c>
    </row>
    <row r="262">
      <c r="B262" s="6">
        <f>C262&amp;D262</f>
        <v/>
      </c>
      <c r="C262" s="6">
        <f>YEAR(E262)</f>
        <v/>
      </c>
      <c r="D262" s="6">
        <f>MONTH(E262)</f>
        <v/>
      </c>
      <c r="E262" s="267">
        <f>IFERROR(__xludf.DUMMYFUNCTION("""COMPUTED_VALUE"""),43472.6666666666)</f>
        <v/>
      </c>
      <c r="F262" s="6">
        <f>IFERROR(__xludf.DUMMYFUNCTION("""COMPUTED_VALUE"""),2549.69)</f>
        <v/>
      </c>
      <c r="J262" s="6">
        <f>K262&amp;L262</f>
        <v/>
      </c>
      <c r="K262" s="6">
        <f>YEAR(M262)</f>
        <v/>
      </c>
      <c r="L262" s="6">
        <f>MONTH(M262)</f>
        <v/>
      </c>
      <c r="M262" s="267">
        <f>IFERROR(__xludf.DUMMYFUNCTION("""COMPUTED_VALUE"""),43472.6666666666)</f>
        <v/>
      </c>
      <c r="N262" s="6">
        <f>IFERROR(__xludf.DUMMYFUNCTION("""COMPUTED_VALUE"""),6823.47)</f>
        <v/>
      </c>
      <c r="R262" s="6">
        <f>S262&amp;T262</f>
        <v/>
      </c>
      <c r="S262" s="6">
        <f>YEAR(U262)</f>
        <v/>
      </c>
      <c r="T262" s="6">
        <f>MONTH(U262)</f>
        <v/>
      </c>
      <c r="U262" s="267">
        <f>IFERROR(__xludf.DUMMYFUNCTION("""COMPUTED_VALUE"""),43489.6458333333)</f>
        <v/>
      </c>
      <c r="V262" s="6">
        <f>IFERROR(__xludf.DUMMYFUNCTION("""COMPUTED_VALUE"""),2145.03)</f>
        <v/>
      </c>
      <c r="Z262" s="6">
        <f>AA262&amp;AB262</f>
        <v/>
      </c>
      <c r="AA262" s="6">
        <f>YEAR(AC262)</f>
        <v/>
      </c>
      <c r="AB262" s="6">
        <f>MONTH(AC262)</f>
        <v/>
      </c>
      <c r="AC262" s="267">
        <f>IFERROR(__xludf.DUMMYFUNCTION("""COMPUTED_VALUE"""),43367.9986111111)</f>
        <v/>
      </c>
      <c r="AD262" s="6">
        <f>IFERROR(__xludf.DUMMYFUNCTION("""COMPUTED_VALUE"""),1117.85)</f>
        <v/>
      </c>
      <c r="AH262" s="6">
        <f>AI262&amp;AJ262</f>
        <v/>
      </c>
      <c r="AI262" s="6">
        <f>YEAR(AK262)</f>
        <v/>
      </c>
      <c r="AJ262" s="6">
        <f>MONTH(AK262)</f>
        <v/>
      </c>
      <c r="AK262" s="267">
        <f>IFERROR(__xludf.DUMMYFUNCTION("""COMPUTED_VALUE"""),43354.9986111111)</f>
        <v/>
      </c>
      <c r="AL262" s="6">
        <f>IFERROR(__xludf.DUMMYFUNCTION("""COMPUTED_VALUE"""),6290.01)</f>
        <v/>
      </c>
      <c r="AP262" s="6">
        <f>AQ262&amp;AR262</f>
        <v/>
      </c>
      <c r="AQ262" s="6">
        <f>YEAR(AS262)</f>
        <v/>
      </c>
      <c r="AR262" s="6">
        <f>MONTH(AS262)</f>
        <v/>
      </c>
      <c r="AS262" s="267">
        <f>IFERROR(__xludf.DUMMYFUNCTION("""COMPUTED_VALUE"""),43475.9986111111)</f>
        <v/>
      </c>
      <c r="AT262" s="6">
        <f>IFERROR(__xludf.DUMMYFUNCTION("""COMPUTED_VALUE"""),1287.4)</f>
        <v/>
      </c>
    </row>
    <row r="263">
      <c r="B263" s="6">
        <f>C263&amp;D263</f>
        <v/>
      </c>
      <c r="C263" s="6">
        <f>YEAR(E263)</f>
        <v/>
      </c>
      <c r="D263" s="6">
        <f>MONTH(E263)</f>
        <v/>
      </c>
      <c r="E263" s="267">
        <f>IFERROR(__xludf.DUMMYFUNCTION("""COMPUTED_VALUE"""),43473.6666666666)</f>
        <v/>
      </c>
      <c r="F263" s="6">
        <f>IFERROR(__xludf.DUMMYFUNCTION("""COMPUTED_VALUE"""),2574.41)</f>
        <v/>
      </c>
      <c r="J263" s="6">
        <f>K263&amp;L263</f>
        <v/>
      </c>
      <c r="K263" s="6">
        <f>YEAR(M263)</f>
        <v/>
      </c>
      <c r="L263" s="6">
        <f>MONTH(M263)</f>
        <v/>
      </c>
      <c r="M263" s="267">
        <f>IFERROR(__xludf.DUMMYFUNCTION("""COMPUTED_VALUE"""),43473.6666666666)</f>
        <v/>
      </c>
      <c r="N263" s="6">
        <f>IFERROR(__xludf.DUMMYFUNCTION("""COMPUTED_VALUE"""),6897)</f>
        <v/>
      </c>
      <c r="R263" s="6">
        <f>S263&amp;T263</f>
        <v/>
      </c>
      <c r="S263" s="6">
        <f>YEAR(U263)</f>
        <v/>
      </c>
      <c r="T263" s="6">
        <f>MONTH(U263)</f>
        <v/>
      </c>
      <c r="U263" s="267">
        <f>IFERROR(__xludf.DUMMYFUNCTION("""COMPUTED_VALUE"""),43490.6458333333)</f>
        <v/>
      </c>
      <c r="V263" s="6">
        <f>IFERROR(__xludf.DUMMYFUNCTION("""COMPUTED_VALUE"""),2177.73)</f>
        <v/>
      </c>
      <c r="Z263" s="6">
        <f>AA263&amp;AB263</f>
        <v/>
      </c>
      <c r="AA263" s="6">
        <f>YEAR(AC263)</f>
        <v/>
      </c>
      <c r="AB263" s="6">
        <f>MONTH(AC263)</f>
        <v/>
      </c>
      <c r="AC263" s="267">
        <f>IFERROR(__xludf.DUMMYFUNCTION("""COMPUTED_VALUE"""),43368.9986111111)</f>
        <v/>
      </c>
      <c r="AD263" s="6">
        <f>IFERROR(__xludf.DUMMYFUNCTION("""COMPUTED_VALUE"""),1115.83)</f>
        <v/>
      </c>
      <c r="AH263" s="6">
        <f>AI263&amp;AJ263</f>
        <v/>
      </c>
      <c r="AI263" s="6">
        <f>YEAR(AK263)</f>
        <v/>
      </c>
      <c r="AJ263" s="6">
        <f>MONTH(AK263)</f>
        <v/>
      </c>
      <c r="AK263" s="267">
        <f>IFERROR(__xludf.DUMMYFUNCTION("""COMPUTED_VALUE"""),43355.9986111111)</f>
        <v/>
      </c>
      <c r="AL263" s="6">
        <f>IFERROR(__xludf.DUMMYFUNCTION("""COMPUTED_VALUE"""),6330.41)</f>
        <v/>
      </c>
      <c r="AP263" s="6">
        <f>AQ263&amp;AR263</f>
        <v/>
      </c>
      <c r="AQ263" s="6">
        <f>YEAR(AS263)</f>
        <v/>
      </c>
      <c r="AR263" s="6">
        <f>MONTH(AS263)</f>
        <v/>
      </c>
      <c r="AS263" s="267">
        <f>IFERROR(__xludf.DUMMYFUNCTION("""COMPUTED_VALUE"""),43476.9986111111)</f>
        <v/>
      </c>
      <c r="AT263" s="6">
        <f>IFERROR(__xludf.DUMMYFUNCTION("""COMPUTED_VALUE"""),1289.5)</f>
        <v/>
      </c>
    </row>
    <row r="264">
      <c r="B264" s="6">
        <f>C264&amp;D264</f>
        <v/>
      </c>
      <c r="C264" s="6">
        <f>YEAR(E264)</f>
        <v/>
      </c>
      <c r="D264" s="6">
        <f>MONTH(E264)</f>
        <v/>
      </c>
      <c r="E264" s="267">
        <f>IFERROR(__xludf.DUMMYFUNCTION("""COMPUTED_VALUE"""),43474.6666666666)</f>
        <v/>
      </c>
      <c r="F264" s="6">
        <f>IFERROR(__xludf.DUMMYFUNCTION("""COMPUTED_VALUE"""),2584.96)</f>
        <v/>
      </c>
      <c r="J264" s="6">
        <f>K264&amp;L264</f>
        <v/>
      </c>
      <c r="K264" s="6">
        <f>YEAR(M264)</f>
        <v/>
      </c>
      <c r="L264" s="6">
        <f>MONTH(M264)</f>
        <v/>
      </c>
      <c r="M264" s="267">
        <f>IFERROR(__xludf.DUMMYFUNCTION("""COMPUTED_VALUE"""),43474.6666666666)</f>
        <v/>
      </c>
      <c r="N264" s="6">
        <f>IFERROR(__xludf.DUMMYFUNCTION("""COMPUTED_VALUE"""),6957.08)</f>
        <v/>
      </c>
      <c r="R264" s="6">
        <f>S264&amp;T264</f>
        <v/>
      </c>
      <c r="S264" s="6">
        <f>YEAR(U264)</f>
        <v/>
      </c>
      <c r="T264" s="6">
        <f>MONTH(U264)</f>
        <v/>
      </c>
      <c r="U264" s="267">
        <f>IFERROR(__xludf.DUMMYFUNCTION("""COMPUTED_VALUE"""),43493.6458333333)</f>
        <v/>
      </c>
      <c r="V264" s="6">
        <f>IFERROR(__xludf.DUMMYFUNCTION("""COMPUTED_VALUE"""),2177.3)</f>
        <v/>
      </c>
      <c r="Z264" s="6">
        <f>AA264&amp;AB264</f>
        <v/>
      </c>
      <c r="AA264" s="6">
        <f>YEAR(AC264)</f>
        <v/>
      </c>
      <c r="AB264" s="6">
        <f>MONTH(AC264)</f>
        <v/>
      </c>
      <c r="AC264" s="267">
        <f>IFERROR(__xludf.DUMMYFUNCTION("""COMPUTED_VALUE"""),43369.9986111111)</f>
        <v/>
      </c>
      <c r="AD264" s="6">
        <f>IFERROR(__xludf.DUMMYFUNCTION("""COMPUTED_VALUE"""),1114.17)</f>
        <v/>
      </c>
      <c r="AH264" s="6">
        <f>AI264&amp;AJ264</f>
        <v/>
      </c>
      <c r="AI264" s="6">
        <f>YEAR(AK264)</f>
        <v/>
      </c>
      <c r="AJ264" s="6">
        <f>MONTH(AK264)</f>
        <v/>
      </c>
      <c r="AK264" s="267">
        <f>IFERROR(__xludf.DUMMYFUNCTION("""COMPUTED_VALUE"""),43356.9986111111)</f>
        <v/>
      </c>
      <c r="AL264" s="6">
        <f>IFERROR(__xludf.DUMMYFUNCTION("""COMPUTED_VALUE"""),6484.96)</f>
        <v/>
      </c>
      <c r="AP264" s="6">
        <f>AQ264&amp;AR264</f>
        <v/>
      </c>
      <c r="AQ264" s="6">
        <f>YEAR(AS264)</f>
        <v/>
      </c>
      <c r="AR264" s="6">
        <f>MONTH(AS264)</f>
        <v/>
      </c>
      <c r="AS264" s="267">
        <f>IFERROR(__xludf.DUMMYFUNCTION("""COMPUTED_VALUE"""),43479.9986111111)</f>
        <v/>
      </c>
      <c r="AT264" s="6">
        <f>IFERROR(__xludf.DUMMYFUNCTION("""COMPUTED_VALUE"""),1291.3)</f>
        <v/>
      </c>
    </row>
    <row r="265">
      <c r="B265" s="6">
        <f>C265&amp;D265</f>
        <v/>
      </c>
      <c r="C265" s="6">
        <f>YEAR(E265)</f>
        <v/>
      </c>
      <c r="D265" s="6">
        <f>MONTH(E265)</f>
        <v/>
      </c>
      <c r="E265" s="267">
        <f>IFERROR(__xludf.DUMMYFUNCTION("""COMPUTED_VALUE"""),43475.6666666666)</f>
        <v/>
      </c>
      <c r="F265" s="6">
        <f>IFERROR(__xludf.DUMMYFUNCTION("""COMPUTED_VALUE"""),2596.64)</f>
        <v/>
      </c>
      <c r="J265" s="6">
        <f>K265&amp;L265</f>
        <v/>
      </c>
      <c r="K265" s="6">
        <f>YEAR(M265)</f>
        <v/>
      </c>
      <c r="L265" s="6">
        <f>MONTH(M265)</f>
        <v/>
      </c>
      <c r="M265" s="267">
        <f>IFERROR(__xludf.DUMMYFUNCTION("""COMPUTED_VALUE"""),43475.6666666666)</f>
        <v/>
      </c>
      <c r="N265" s="6">
        <f>IFERROR(__xludf.DUMMYFUNCTION("""COMPUTED_VALUE"""),6986.07)</f>
        <v/>
      </c>
      <c r="R265" s="6">
        <f>S265&amp;T265</f>
        <v/>
      </c>
      <c r="S265" s="6">
        <f>YEAR(U265)</f>
        <v/>
      </c>
      <c r="T265" s="6">
        <f>MONTH(U265)</f>
        <v/>
      </c>
      <c r="U265" s="267">
        <f>IFERROR(__xludf.DUMMYFUNCTION("""COMPUTED_VALUE"""),43494.6458333333)</f>
        <v/>
      </c>
      <c r="V265" s="6">
        <f>IFERROR(__xludf.DUMMYFUNCTION("""COMPUTED_VALUE"""),2183.36)</f>
        <v/>
      </c>
      <c r="Z265" s="6">
        <f>AA265&amp;AB265</f>
        <v/>
      </c>
      <c r="AA265" s="6">
        <f>YEAR(AC265)</f>
        <v/>
      </c>
      <c r="AB265" s="6">
        <f>MONTH(AC265)</f>
        <v/>
      </c>
      <c r="AC265" s="267">
        <f>IFERROR(__xludf.DUMMYFUNCTION("""COMPUTED_VALUE"""),43370.9986111111)</f>
        <v/>
      </c>
      <c r="AD265" s="6">
        <f>IFERROR(__xludf.DUMMYFUNCTION("""COMPUTED_VALUE"""),1112.31)</f>
        <v/>
      </c>
      <c r="AH265" s="6">
        <f>AI265&amp;AJ265</f>
        <v/>
      </c>
      <c r="AI265" s="6">
        <f>YEAR(AK265)</f>
        <v/>
      </c>
      <c r="AJ265" s="6">
        <f>MONTH(AK265)</f>
        <v/>
      </c>
      <c r="AK265" s="267">
        <f>IFERROR(__xludf.DUMMYFUNCTION("""COMPUTED_VALUE"""),43357.9986111111)</f>
        <v/>
      </c>
      <c r="AL265" s="6">
        <f>IFERROR(__xludf.DUMMYFUNCTION("""COMPUTED_VALUE"""),6488.08)</f>
        <v/>
      </c>
      <c r="AP265" s="6">
        <f>AQ265&amp;AR265</f>
        <v/>
      </c>
      <c r="AQ265" s="6">
        <f>YEAR(AS265)</f>
        <v/>
      </c>
      <c r="AR265" s="6">
        <f>MONTH(AS265)</f>
        <v/>
      </c>
      <c r="AS265" s="267">
        <f>IFERROR(__xludf.DUMMYFUNCTION("""COMPUTED_VALUE"""),43480.9986111111)</f>
        <v/>
      </c>
      <c r="AT265" s="6">
        <f>IFERROR(__xludf.DUMMYFUNCTION("""COMPUTED_VALUE"""),1288.4)</f>
        <v/>
      </c>
    </row>
    <row r="266">
      <c r="B266" s="6">
        <f>C266&amp;D266</f>
        <v/>
      </c>
      <c r="C266" s="6">
        <f>YEAR(E266)</f>
        <v/>
      </c>
      <c r="D266" s="6">
        <f>MONTH(E266)</f>
        <v/>
      </c>
      <c r="E266" s="267">
        <f>IFERROR(__xludf.DUMMYFUNCTION("""COMPUTED_VALUE"""),43476.6666666666)</f>
        <v/>
      </c>
      <c r="F266" s="6">
        <f>IFERROR(__xludf.DUMMYFUNCTION("""COMPUTED_VALUE"""),2596.26)</f>
        <v/>
      </c>
      <c r="J266" s="6">
        <f>K266&amp;L266</f>
        <v/>
      </c>
      <c r="K266" s="6">
        <f>YEAR(M266)</f>
        <v/>
      </c>
      <c r="L266" s="6">
        <f>MONTH(M266)</f>
        <v/>
      </c>
      <c r="M266" s="267">
        <f>IFERROR(__xludf.DUMMYFUNCTION("""COMPUTED_VALUE"""),43476.6666666666)</f>
        <v/>
      </c>
      <c r="N266" s="6">
        <f>IFERROR(__xludf.DUMMYFUNCTION("""COMPUTED_VALUE"""),6971.48)</f>
        <v/>
      </c>
      <c r="R266" s="6">
        <f>S266&amp;T266</f>
        <v/>
      </c>
      <c r="S266" s="6">
        <f>YEAR(U266)</f>
        <v/>
      </c>
      <c r="T266" s="6">
        <f>MONTH(U266)</f>
        <v/>
      </c>
      <c r="U266" s="267">
        <f>IFERROR(__xludf.DUMMYFUNCTION("""COMPUTED_VALUE"""),43495.6458333333)</f>
        <v/>
      </c>
      <c r="V266" s="6">
        <f>IFERROR(__xludf.DUMMYFUNCTION("""COMPUTED_VALUE"""),2206.2)</f>
        <v/>
      </c>
      <c r="Z266" s="6">
        <f>AA266&amp;AB266</f>
        <v/>
      </c>
      <c r="AA266" s="6">
        <f>YEAR(AC266)</f>
        <v/>
      </c>
      <c r="AB266" s="6">
        <f>MONTH(AC266)</f>
        <v/>
      </c>
      <c r="AC266" s="267">
        <f>IFERROR(__xludf.DUMMYFUNCTION("""COMPUTED_VALUE"""),43371.9986111111)</f>
        <v/>
      </c>
      <c r="AD266" s="6">
        <f>IFERROR(__xludf.DUMMYFUNCTION("""COMPUTED_VALUE"""),1109.16)</f>
        <v/>
      </c>
      <c r="AH266" s="6">
        <f>AI266&amp;AJ266</f>
        <v/>
      </c>
      <c r="AI266" s="6">
        <f>YEAR(AK266)</f>
        <v/>
      </c>
      <c r="AJ266" s="6">
        <f>MONTH(AK266)</f>
        <v/>
      </c>
      <c r="AK266" s="267">
        <f>IFERROR(__xludf.DUMMYFUNCTION("""COMPUTED_VALUE"""),43358.9986111111)</f>
        <v/>
      </c>
      <c r="AL266" s="6">
        <f>IFERROR(__xludf.DUMMYFUNCTION("""COMPUTED_VALUE"""),6519.52)</f>
        <v/>
      </c>
      <c r="AP266" s="6">
        <f>AQ266&amp;AR266</f>
        <v/>
      </c>
      <c r="AQ266" s="6">
        <f>YEAR(AS266)</f>
        <v/>
      </c>
      <c r="AR266" s="6">
        <f>MONTH(AS266)</f>
        <v/>
      </c>
      <c r="AS266" s="267">
        <f>IFERROR(__xludf.DUMMYFUNCTION("""COMPUTED_VALUE"""),43481.9986111111)</f>
        <v/>
      </c>
      <c r="AT266" s="6">
        <f>IFERROR(__xludf.DUMMYFUNCTION("""COMPUTED_VALUE"""),1293.8)</f>
        <v/>
      </c>
    </row>
    <row r="267">
      <c r="B267" s="6">
        <f>C267&amp;D267</f>
        <v/>
      </c>
      <c r="C267" s="6">
        <f>YEAR(E267)</f>
        <v/>
      </c>
      <c r="D267" s="6">
        <f>MONTH(E267)</f>
        <v/>
      </c>
      <c r="E267" s="267">
        <f>IFERROR(__xludf.DUMMYFUNCTION("""COMPUTED_VALUE"""),43479.6666666666)</f>
        <v/>
      </c>
      <c r="F267" s="6">
        <f>IFERROR(__xludf.DUMMYFUNCTION("""COMPUTED_VALUE"""),2582.61)</f>
        <v/>
      </c>
      <c r="J267" s="6">
        <f>K267&amp;L267</f>
        <v/>
      </c>
      <c r="K267" s="6">
        <f>YEAR(M267)</f>
        <v/>
      </c>
      <c r="L267" s="6">
        <f>MONTH(M267)</f>
        <v/>
      </c>
      <c r="M267" s="267">
        <f>IFERROR(__xludf.DUMMYFUNCTION("""COMPUTED_VALUE"""),43479.6666666666)</f>
        <v/>
      </c>
      <c r="N267" s="6">
        <f>IFERROR(__xludf.DUMMYFUNCTION("""COMPUTED_VALUE"""),6905.92)</f>
        <v/>
      </c>
      <c r="R267" s="6">
        <f>S267&amp;T267</f>
        <v/>
      </c>
      <c r="S267" s="6">
        <f>YEAR(U267)</f>
        <v/>
      </c>
      <c r="T267" s="6">
        <f>MONTH(U267)</f>
        <v/>
      </c>
      <c r="U267" s="267">
        <f>IFERROR(__xludf.DUMMYFUNCTION("""COMPUTED_VALUE"""),43496.6458333333)</f>
        <v/>
      </c>
      <c r="V267" s="6">
        <f>IFERROR(__xludf.DUMMYFUNCTION("""COMPUTED_VALUE"""),2204.85)</f>
        <v/>
      </c>
      <c r="Z267" s="6">
        <f>AA267&amp;AB267</f>
        <v/>
      </c>
      <c r="AA267" s="6">
        <f>YEAR(AC267)</f>
        <v/>
      </c>
      <c r="AB267" s="6">
        <f>MONTH(AC267)</f>
        <v/>
      </c>
      <c r="AC267" s="267">
        <f>IFERROR(__xludf.DUMMYFUNCTION("""COMPUTED_VALUE"""),43373.9986111111)</f>
        <v/>
      </c>
      <c r="AD267" s="6">
        <f>IFERROR(__xludf.DUMMYFUNCTION("""COMPUTED_VALUE"""),1109.01)</f>
        <v/>
      </c>
      <c r="AH267" s="6">
        <f>AI267&amp;AJ267</f>
        <v/>
      </c>
      <c r="AI267" s="6">
        <f>YEAR(AK267)</f>
        <v/>
      </c>
      <c r="AJ267" s="6">
        <f>MONTH(AK267)</f>
        <v/>
      </c>
      <c r="AK267" s="267">
        <f>IFERROR(__xludf.DUMMYFUNCTION("""COMPUTED_VALUE"""),43359.9986111111)</f>
        <v/>
      </c>
      <c r="AL267" s="6">
        <f>IFERROR(__xludf.DUMMYFUNCTION("""COMPUTED_VALUE"""),6501.13)</f>
        <v/>
      </c>
      <c r="AP267" s="6">
        <f>AQ267&amp;AR267</f>
        <v/>
      </c>
      <c r="AQ267" s="6">
        <f>YEAR(AS267)</f>
        <v/>
      </c>
      <c r="AR267" s="6">
        <f>MONTH(AS267)</f>
        <v/>
      </c>
      <c r="AS267" s="267">
        <f>IFERROR(__xludf.DUMMYFUNCTION("""COMPUTED_VALUE"""),43482.9986111111)</f>
        <v/>
      </c>
      <c r="AT267" s="6">
        <f>IFERROR(__xludf.DUMMYFUNCTION("""COMPUTED_VALUE"""),1292.3)</f>
        <v/>
      </c>
    </row>
    <row r="268">
      <c r="B268" s="6">
        <f>C268&amp;D268</f>
        <v/>
      </c>
      <c r="C268" s="6">
        <f>YEAR(E268)</f>
        <v/>
      </c>
      <c r="D268" s="6">
        <f>MONTH(E268)</f>
        <v/>
      </c>
      <c r="E268" s="267">
        <f>IFERROR(__xludf.DUMMYFUNCTION("""COMPUTED_VALUE"""),43480.6666666666)</f>
        <v/>
      </c>
      <c r="F268" s="6">
        <f>IFERROR(__xludf.DUMMYFUNCTION("""COMPUTED_VALUE"""),2610.3)</f>
        <v/>
      </c>
      <c r="J268" s="6">
        <f>K268&amp;L268</f>
        <v/>
      </c>
      <c r="K268" s="6">
        <f>YEAR(M268)</f>
        <v/>
      </c>
      <c r="L268" s="6">
        <f>MONTH(M268)</f>
        <v/>
      </c>
      <c r="M268" s="267">
        <f>IFERROR(__xludf.DUMMYFUNCTION("""COMPUTED_VALUE"""),43480.6666666666)</f>
        <v/>
      </c>
      <c r="N268" s="6">
        <f>IFERROR(__xludf.DUMMYFUNCTION("""COMPUTED_VALUE"""),7023.83)</f>
        <v/>
      </c>
      <c r="R268" s="6">
        <f>S268&amp;T268</f>
        <v/>
      </c>
      <c r="S268" s="6">
        <f>YEAR(U268)</f>
        <v/>
      </c>
      <c r="T268" s="6">
        <f>MONTH(U268)</f>
        <v/>
      </c>
      <c r="U268" s="267">
        <f>IFERROR(__xludf.DUMMYFUNCTION("""COMPUTED_VALUE"""),43497.6458333333)</f>
        <v/>
      </c>
      <c r="V268" s="6">
        <f>IFERROR(__xludf.DUMMYFUNCTION("""COMPUTED_VALUE"""),2203.46)</f>
        <v/>
      </c>
      <c r="Z268" s="6">
        <f>AA268&amp;AB268</f>
        <v/>
      </c>
      <c r="AA268" s="6">
        <f>YEAR(AC268)</f>
        <v/>
      </c>
      <c r="AB268" s="6">
        <f>MONTH(AC268)</f>
        <v/>
      </c>
      <c r="AC268" s="267">
        <f>IFERROR(__xludf.DUMMYFUNCTION("""COMPUTED_VALUE"""),43374.9986111111)</f>
        <v/>
      </c>
      <c r="AD268" s="6">
        <f>IFERROR(__xludf.DUMMYFUNCTION("""COMPUTED_VALUE"""),1112.25)</f>
        <v/>
      </c>
      <c r="AH268" s="6">
        <f>AI268&amp;AJ268</f>
        <v/>
      </c>
      <c r="AI268" s="6">
        <f>YEAR(AK268)</f>
        <v/>
      </c>
      <c r="AJ268" s="6">
        <f>MONTH(AK268)</f>
        <v/>
      </c>
      <c r="AK268" s="267">
        <f>IFERROR(__xludf.DUMMYFUNCTION("""COMPUTED_VALUE"""),43360.9986111111)</f>
        <v/>
      </c>
      <c r="AL268" s="6">
        <f>IFERROR(__xludf.DUMMYFUNCTION("""COMPUTED_VALUE"""),6252.05)</f>
        <v/>
      </c>
      <c r="AP268" s="6">
        <f>AQ268&amp;AR268</f>
        <v/>
      </c>
      <c r="AQ268" s="6">
        <f>YEAR(AS268)</f>
        <v/>
      </c>
      <c r="AR268" s="6">
        <f>MONTH(AS268)</f>
        <v/>
      </c>
      <c r="AS268" s="267">
        <f>IFERROR(__xludf.DUMMYFUNCTION("""COMPUTED_VALUE"""),43483.9986111111)</f>
        <v/>
      </c>
      <c r="AT268" s="6">
        <f>IFERROR(__xludf.DUMMYFUNCTION("""COMPUTED_VALUE"""),1282.6)</f>
        <v/>
      </c>
    </row>
    <row r="269">
      <c r="B269" s="6">
        <f>C269&amp;D269</f>
        <v/>
      </c>
      <c r="C269" s="6">
        <f>YEAR(E269)</f>
        <v/>
      </c>
      <c r="D269" s="6">
        <f>MONTH(E269)</f>
        <v/>
      </c>
      <c r="E269" s="267">
        <f>IFERROR(__xludf.DUMMYFUNCTION("""COMPUTED_VALUE"""),43481.6666666666)</f>
        <v/>
      </c>
      <c r="F269" s="6">
        <f>IFERROR(__xludf.DUMMYFUNCTION("""COMPUTED_VALUE"""),2616.1)</f>
        <v/>
      </c>
      <c r="J269" s="6">
        <f>K269&amp;L269</f>
        <v/>
      </c>
      <c r="K269" s="6">
        <f>YEAR(M269)</f>
        <v/>
      </c>
      <c r="L269" s="6">
        <f>MONTH(M269)</f>
        <v/>
      </c>
      <c r="M269" s="267">
        <f>IFERROR(__xludf.DUMMYFUNCTION("""COMPUTED_VALUE"""),43481.6666666666)</f>
        <v/>
      </c>
      <c r="N269" s="6">
        <f>IFERROR(__xludf.DUMMYFUNCTION("""COMPUTED_VALUE"""),7034.69)</f>
        <v/>
      </c>
      <c r="R269" s="6">
        <f>S269&amp;T269</f>
        <v/>
      </c>
      <c r="S269" s="6">
        <f>YEAR(U269)</f>
        <v/>
      </c>
      <c r="T269" s="6">
        <f>MONTH(U269)</f>
        <v/>
      </c>
      <c r="U269" s="267">
        <f>IFERROR(__xludf.DUMMYFUNCTION("""COMPUTED_VALUE"""),43503.6458333333)</f>
        <v/>
      </c>
      <c r="V269" s="6">
        <f>IFERROR(__xludf.DUMMYFUNCTION("""COMPUTED_VALUE"""),2203.42)</f>
        <v/>
      </c>
      <c r="Z269" s="6">
        <f>AA269&amp;AB269</f>
        <v/>
      </c>
      <c r="AA269" s="6">
        <f>YEAR(AC269)</f>
        <v/>
      </c>
      <c r="AB269" s="6">
        <f>MONTH(AC269)</f>
        <v/>
      </c>
      <c r="AC269" s="267">
        <f>IFERROR(__xludf.DUMMYFUNCTION("""COMPUTED_VALUE"""),43375.9986111111)</f>
        <v/>
      </c>
      <c r="AD269" s="6">
        <f>IFERROR(__xludf.DUMMYFUNCTION("""COMPUTED_VALUE"""),1117.5)</f>
        <v/>
      </c>
      <c r="AH269" s="6">
        <f>AI269&amp;AJ269</f>
        <v/>
      </c>
      <c r="AI269" s="6">
        <f>YEAR(AK269)</f>
        <v/>
      </c>
      <c r="AJ269" s="6">
        <f>MONTH(AK269)</f>
        <v/>
      </c>
      <c r="AK269" s="267">
        <f>IFERROR(__xludf.DUMMYFUNCTION("""COMPUTED_VALUE"""),43361.9986111111)</f>
        <v/>
      </c>
      <c r="AL269" s="6">
        <f>IFERROR(__xludf.DUMMYFUNCTION("""COMPUTED_VALUE"""),6351.71)</f>
        <v/>
      </c>
      <c r="AP269" s="6">
        <f>AQ269&amp;AR269</f>
        <v/>
      </c>
      <c r="AQ269" s="6">
        <f>YEAR(AS269)</f>
        <v/>
      </c>
      <c r="AR269" s="6">
        <f>MONTH(AS269)</f>
        <v/>
      </c>
      <c r="AS269" s="267">
        <f>IFERROR(__xludf.DUMMYFUNCTION("""COMPUTED_VALUE"""),43487.9986111111)</f>
        <v/>
      </c>
      <c r="AT269" s="6">
        <f>IFERROR(__xludf.DUMMYFUNCTION("""COMPUTED_VALUE"""),1283.4)</f>
        <v/>
      </c>
    </row>
    <row r="270">
      <c r="B270" s="6">
        <f>C270&amp;D270</f>
        <v/>
      </c>
      <c r="C270" s="6">
        <f>YEAR(E270)</f>
        <v/>
      </c>
      <c r="D270" s="6">
        <f>MONTH(E270)</f>
        <v/>
      </c>
      <c r="E270" s="267">
        <f>IFERROR(__xludf.DUMMYFUNCTION("""COMPUTED_VALUE"""),43482.6666666666)</f>
        <v/>
      </c>
      <c r="F270" s="6">
        <f>IFERROR(__xludf.DUMMYFUNCTION("""COMPUTED_VALUE"""),2635.96)</f>
        <v/>
      </c>
      <c r="J270" s="6">
        <f>K270&amp;L270</f>
        <v/>
      </c>
      <c r="K270" s="6">
        <f>YEAR(M270)</f>
        <v/>
      </c>
      <c r="L270" s="6">
        <f>MONTH(M270)</f>
        <v/>
      </c>
      <c r="M270" s="267">
        <f>IFERROR(__xludf.DUMMYFUNCTION("""COMPUTED_VALUE"""),43482.6666666666)</f>
        <v/>
      </c>
      <c r="N270" s="6">
        <f>IFERROR(__xludf.DUMMYFUNCTION("""COMPUTED_VALUE"""),7084.46)</f>
        <v/>
      </c>
      <c r="R270" s="6">
        <f>S270&amp;T270</f>
        <v/>
      </c>
      <c r="S270" s="6">
        <f>YEAR(U270)</f>
        <v/>
      </c>
      <c r="T270" s="6">
        <f>MONTH(U270)</f>
        <v/>
      </c>
      <c r="U270" s="267">
        <f>IFERROR(__xludf.DUMMYFUNCTION("""COMPUTED_VALUE"""),43504.6458333333)</f>
        <v/>
      </c>
      <c r="V270" s="6">
        <f>IFERROR(__xludf.DUMMYFUNCTION("""COMPUTED_VALUE"""),2177.05)</f>
        <v/>
      </c>
      <c r="Z270" s="6">
        <f>AA270&amp;AB270</f>
        <v/>
      </c>
      <c r="AA270" s="6">
        <f>YEAR(AC270)</f>
        <v/>
      </c>
      <c r="AB270" s="6">
        <f>MONTH(AC270)</f>
        <v/>
      </c>
      <c r="AC270" s="267">
        <f>IFERROR(__xludf.DUMMYFUNCTION("""COMPUTED_VALUE"""),43376.9986111111)</f>
        <v/>
      </c>
      <c r="AD270" s="6">
        <f>IFERROR(__xludf.DUMMYFUNCTION("""COMPUTED_VALUE"""),1125.42)</f>
        <v/>
      </c>
      <c r="AH270" s="6">
        <f>AI270&amp;AJ270</f>
        <v/>
      </c>
      <c r="AI270" s="6">
        <f>YEAR(AK270)</f>
        <v/>
      </c>
      <c r="AJ270" s="6">
        <f>MONTH(AK270)</f>
        <v/>
      </c>
      <c r="AK270" s="267">
        <f>IFERROR(__xludf.DUMMYFUNCTION("""COMPUTED_VALUE"""),43362.9986111111)</f>
        <v/>
      </c>
      <c r="AL270" s="6">
        <f>IFERROR(__xludf.DUMMYFUNCTION("""COMPUTED_VALUE"""),6390.73)</f>
        <v/>
      </c>
      <c r="AP270" s="6">
        <f>AQ270&amp;AR270</f>
        <v/>
      </c>
      <c r="AQ270" s="6">
        <f>YEAR(AS270)</f>
        <v/>
      </c>
      <c r="AR270" s="6">
        <f>MONTH(AS270)</f>
        <v/>
      </c>
      <c r="AS270" s="267">
        <f>IFERROR(__xludf.DUMMYFUNCTION("""COMPUTED_VALUE"""),43488.9986111111)</f>
        <v/>
      </c>
      <c r="AT270" s="6">
        <f>IFERROR(__xludf.DUMMYFUNCTION("""COMPUTED_VALUE"""),1284)</f>
        <v/>
      </c>
    </row>
    <row r="271">
      <c r="B271" s="6">
        <f>C271&amp;D271</f>
        <v/>
      </c>
      <c r="C271" s="6">
        <f>YEAR(E271)</f>
        <v/>
      </c>
      <c r="D271" s="6">
        <f>MONTH(E271)</f>
        <v/>
      </c>
      <c r="E271" s="267">
        <f>IFERROR(__xludf.DUMMYFUNCTION("""COMPUTED_VALUE"""),43483.6666666666)</f>
        <v/>
      </c>
      <c r="F271" s="6">
        <f>IFERROR(__xludf.DUMMYFUNCTION("""COMPUTED_VALUE"""),2670.71)</f>
        <v/>
      </c>
      <c r="J271" s="6">
        <f>K271&amp;L271</f>
        <v/>
      </c>
      <c r="K271" s="6">
        <f>YEAR(M271)</f>
        <v/>
      </c>
      <c r="L271" s="6">
        <f>MONTH(M271)</f>
        <v/>
      </c>
      <c r="M271" s="267">
        <f>IFERROR(__xludf.DUMMYFUNCTION("""COMPUTED_VALUE"""),43483.6666666666)</f>
        <v/>
      </c>
      <c r="N271" s="6">
        <f>IFERROR(__xludf.DUMMYFUNCTION("""COMPUTED_VALUE"""),7157.23)</f>
        <v/>
      </c>
      <c r="R271" s="6">
        <f>S271&amp;T271</f>
        <v/>
      </c>
      <c r="S271" s="6">
        <f>YEAR(U271)</f>
        <v/>
      </c>
      <c r="T271" s="6">
        <f>MONTH(U271)</f>
        <v/>
      </c>
      <c r="U271" s="267">
        <f>IFERROR(__xludf.DUMMYFUNCTION("""COMPUTED_VALUE"""),43507.6458333333)</f>
        <v/>
      </c>
      <c r="V271" s="6">
        <f>IFERROR(__xludf.DUMMYFUNCTION("""COMPUTED_VALUE"""),2180.73)</f>
        <v/>
      </c>
      <c r="Z271" s="6">
        <f>AA271&amp;AB271</f>
        <v/>
      </c>
      <c r="AA271" s="6">
        <f>YEAR(AC271)</f>
        <v/>
      </c>
      <c r="AB271" s="6">
        <f>MONTH(AC271)</f>
        <v/>
      </c>
      <c r="AC271" s="267">
        <f>IFERROR(__xludf.DUMMYFUNCTION("""COMPUTED_VALUE"""),43377.9986111111)</f>
        <v/>
      </c>
      <c r="AD271" s="6">
        <f>IFERROR(__xludf.DUMMYFUNCTION("""COMPUTED_VALUE"""),1132.9)</f>
        <v/>
      </c>
      <c r="AH271" s="6">
        <f>AI271&amp;AJ271</f>
        <v/>
      </c>
      <c r="AI271" s="6">
        <f>YEAR(AK271)</f>
        <v/>
      </c>
      <c r="AJ271" s="6">
        <f>MONTH(AK271)</f>
        <v/>
      </c>
      <c r="AK271" s="267">
        <f>IFERROR(__xludf.DUMMYFUNCTION("""COMPUTED_VALUE"""),43363.9986111111)</f>
        <v/>
      </c>
      <c r="AL271" s="6">
        <f>IFERROR(__xludf.DUMMYFUNCTION("""COMPUTED_VALUE"""),6494.14)</f>
        <v/>
      </c>
      <c r="AP271" s="6">
        <f>AQ271&amp;AR271</f>
        <v/>
      </c>
      <c r="AQ271" s="6">
        <f>YEAR(AS271)</f>
        <v/>
      </c>
      <c r="AR271" s="6">
        <f>MONTH(AS271)</f>
        <v/>
      </c>
      <c r="AS271" s="267">
        <f>IFERROR(__xludf.DUMMYFUNCTION("""COMPUTED_VALUE"""),43489.9986111111)</f>
        <v/>
      </c>
      <c r="AT271" s="6">
        <f>IFERROR(__xludf.DUMMYFUNCTION("""COMPUTED_VALUE"""),1285.9)</f>
        <v/>
      </c>
    </row>
    <row r="272">
      <c r="B272" s="6">
        <f>C272&amp;D272</f>
        <v/>
      </c>
      <c r="C272" s="6">
        <f>YEAR(E272)</f>
        <v/>
      </c>
      <c r="D272" s="6">
        <f>MONTH(E272)</f>
        <v/>
      </c>
      <c r="E272" s="267">
        <f>IFERROR(__xludf.DUMMYFUNCTION("""COMPUTED_VALUE"""),43487.6666666666)</f>
        <v/>
      </c>
      <c r="F272" s="6">
        <f>IFERROR(__xludf.DUMMYFUNCTION("""COMPUTED_VALUE"""),2632.9)</f>
        <v/>
      </c>
      <c r="J272" s="6">
        <f>K272&amp;L272</f>
        <v/>
      </c>
      <c r="K272" s="6">
        <f>YEAR(M272)</f>
        <v/>
      </c>
      <c r="L272" s="6">
        <f>MONTH(M272)</f>
        <v/>
      </c>
      <c r="M272" s="267">
        <f>IFERROR(__xludf.DUMMYFUNCTION("""COMPUTED_VALUE"""),43487.6666666666)</f>
        <v/>
      </c>
      <c r="N272" s="6">
        <f>IFERROR(__xludf.DUMMYFUNCTION("""COMPUTED_VALUE"""),7020.36)</f>
        <v/>
      </c>
      <c r="R272" s="6">
        <f>S272&amp;T272</f>
        <v/>
      </c>
      <c r="S272" s="6">
        <f>YEAR(U272)</f>
        <v/>
      </c>
      <c r="T272" s="6">
        <f>MONTH(U272)</f>
        <v/>
      </c>
      <c r="U272" s="267">
        <f>IFERROR(__xludf.DUMMYFUNCTION("""COMPUTED_VALUE"""),43508.6458333333)</f>
        <v/>
      </c>
      <c r="V272" s="6">
        <f>IFERROR(__xludf.DUMMYFUNCTION("""COMPUTED_VALUE"""),2190.47)</f>
        <v/>
      </c>
      <c r="Z272" s="6">
        <f>AA272&amp;AB272</f>
        <v/>
      </c>
      <c r="AA272" s="6">
        <f>YEAR(AC272)</f>
        <v/>
      </c>
      <c r="AB272" s="6">
        <f>MONTH(AC272)</f>
        <v/>
      </c>
      <c r="AC272" s="267">
        <f>IFERROR(__xludf.DUMMYFUNCTION("""COMPUTED_VALUE"""),43378.9986111111)</f>
        <v/>
      </c>
      <c r="AD272" s="6">
        <f>IFERROR(__xludf.DUMMYFUNCTION("""COMPUTED_VALUE"""),1131)</f>
        <v/>
      </c>
      <c r="AH272" s="6">
        <f>AI272&amp;AJ272</f>
        <v/>
      </c>
      <c r="AI272" s="6">
        <f>YEAR(AK272)</f>
        <v/>
      </c>
      <c r="AJ272" s="6">
        <f>MONTH(AK272)</f>
        <v/>
      </c>
      <c r="AK272" s="267">
        <f>IFERROR(__xludf.DUMMYFUNCTION("""COMPUTED_VALUE"""),43364.9986111111)</f>
        <v/>
      </c>
      <c r="AL272" s="6">
        <f>IFERROR(__xludf.DUMMYFUNCTION("""COMPUTED_VALUE"""),6755.04)</f>
        <v/>
      </c>
      <c r="AP272" s="6">
        <f>AQ272&amp;AR272</f>
        <v/>
      </c>
      <c r="AQ272" s="6">
        <f>YEAR(AS272)</f>
        <v/>
      </c>
      <c r="AR272" s="6">
        <f>MONTH(AS272)</f>
        <v/>
      </c>
      <c r="AS272" s="267">
        <f>IFERROR(__xludf.DUMMYFUNCTION("""COMPUTED_VALUE"""),43490.9986111111)</f>
        <v/>
      </c>
      <c r="AT272" s="6">
        <f>IFERROR(__xludf.DUMMYFUNCTION("""COMPUTED_VALUE"""),1304.2)</f>
        <v/>
      </c>
    </row>
    <row r="273">
      <c r="B273" s="6">
        <f>C273&amp;D273</f>
        <v/>
      </c>
      <c r="C273" s="6">
        <f>YEAR(E273)</f>
        <v/>
      </c>
      <c r="D273" s="6">
        <f>MONTH(E273)</f>
        <v/>
      </c>
      <c r="E273" s="267">
        <f>IFERROR(__xludf.DUMMYFUNCTION("""COMPUTED_VALUE"""),43488.6666666666)</f>
        <v/>
      </c>
      <c r="F273" s="6">
        <f>IFERROR(__xludf.DUMMYFUNCTION("""COMPUTED_VALUE"""),2638.7)</f>
        <v/>
      </c>
      <c r="J273" s="6">
        <f>K273&amp;L273</f>
        <v/>
      </c>
      <c r="K273" s="6">
        <f>YEAR(M273)</f>
        <v/>
      </c>
      <c r="L273" s="6">
        <f>MONTH(M273)</f>
        <v/>
      </c>
      <c r="M273" s="267">
        <f>IFERROR(__xludf.DUMMYFUNCTION("""COMPUTED_VALUE"""),43488.6666666666)</f>
        <v/>
      </c>
      <c r="N273" s="6">
        <f>IFERROR(__xludf.DUMMYFUNCTION("""COMPUTED_VALUE"""),7025.77)</f>
        <v/>
      </c>
      <c r="R273" s="6">
        <f>S273&amp;T273</f>
        <v/>
      </c>
      <c r="S273" s="6">
        <f>YEAR(U273)</f>
        <v/>
      </c>
      <c r="T273" s="6">
        <f>MONTH(U273)</f>
        <v/>
      </c>
      <c r="U273" s="267">
        <f>IFERROR(__xludf.DUMMYFUNCTION("""COMPUTED_VALUE"""),43509.6458333333)</f>
        <v/>
      </c>
      <c r="V273" s="6">
        <f>IFERROR(__xludf.DUMMYFUNCTION("""COMPUTED_VALUE"""),2201.48)</f>
        <v/>
      </c>
      <c r="Z273" s="6">
        <f>AA273&amp;AB273</f>
        <v/>
      </c>
      <c r="AA273" s="6">
        <f>YEAR(AC273)</f>
        <v/>
      </c>
      <c r="AB273" s="6">
        <f>MONTH(AC273)</f>
        <v/>
      </c>
      <c r="AC273" s="267">
        <f>IFERROR(__xludf.DUMMYFUNCTION("""COMPUTED_VALUE"""),43379.9986111111)</f>
        <v/>
      </c>
      <c r="AD273" s="6">
        <f>IFERROR(__xludf.DUMMYFUNCTION("""COMPUTED_VALUE"""),1130.1)</f>
        <v/>
      </c>
      <c r="AH273" s="6">
        <f>AI273&amp;AJ273</f>
        <v/>
      </c>
      <c r="AI273" s="6">
        <f>YEAR(AK273)</f>
        <v/>
      </c>
      <c r="AJ273" s="6">
        <f>MONTH(AK273)</f>
        <v/>
      </c>
      <c r="AK273" s="267">
        <f>IFERROR(__xludf.DUMMYFUNCTION("""COMPUTED_VALUE"""),43365.9986111111)</f>
        <v/>
      </c>
      <c r="AL273" s="6">
        <f>IFERROR(__xludf.DUMMYFUNCTION("""COMPUTED_VALUE"""),6717.5)</f>
        <v/>
      </c>
      <c r="AP273" s="6">
        <f>AQ273&amp;AR273</f>
        <v/>
      </c>
      <c r="AQ273" s="6">
        <f>YEAR(AS273)</f>
        <v/>
      </c>
      <c r="AR273" s="6">
        <f>MONTH(AS273)</f>
        <v/>
      </c>
      <c r="AS273" s="267">
        <f>IFERROR(__xludf.DUMMYFUNCTION("""COMPUTED_VALUE"""),43493.9986111111)</f>
        <v/>
      </c>
      <c r="AT273" s="6">
        <f>IFERROR(__xludf.DUMMYFUNCTION("""COMPUTED_VALUE"""),1309.3)</f>
        <v/>
      </c>
    </row>
    <row r="274">
      <c r="B274" s="6">
        <f>C274&amp;D274</f>
        <v/>
      </c>
      <c r="C274" s="6">
        <f>YEAR(E274)</f>
        <v/>
      </c>
      <c r="D274" s="6">
        <f>MONTH(E274)</f>
        <v/>
      </c>
      <c r="E274" s="267">
        <f>IFERROR(__xludf.DUMMYFUNCTION("""COMPUTED_VALUE"""),43489.6666666666)</f>
        <v/>
      </c>
      <c r="F274" s="6">
        <f>IFERROR(__xludf.DUMMYFUNCTION("""COMPUTED_VALUE"""),2642.33)</f>
        <v/>
      </c>
      <c r="J274" s="6">
        <f>K274&amp;L274</f>
        <v/>
      </c>
      <c r="K274" s="6">
        <f>YEAR(M274)</f>
        <v/>
      </c>
      <c r="L274" s="6">
        <f>MONTH(M274)</f>
        <v/>
      </c>
      <c r="M274" s="267">
        <f>IFERROR(__xludf.DUMMYFUNCTION("""COMPUTED_VALUE"""),43489.6666666666)</f>
        <v/>
      </c>
      <c r="N274" s="6">
        <f>IFERROR(__xludf.DUMMYFUNCTION("""COMPUTED_VALUE"""),7073.46)</f>
        <v/>
      </c>
      <c r="R274" s="6">
        <f>S274&amp;T274</f>
        <v/>
      </c>
      <c r="S274" s="6">
        <f>YEAR(U274)</f>
        <v/>
      </c>
      <c r="T274" s="6">
        <f>MONTH(U274)</f>
        <v/>
      </c>
      <c r="U274" s="267">
        <f>IFERROR(__xludf.DUMMYFUNCTION("""COMPUTED_VALUE"""),43510.6458333333)</f>
        <v/>
      </c>
      <c r="V274" s="6">
        <f>IFERROR(__xludf.DUMMYFUNCTION("""COMPUTED_VALUE"""),2225.85)</f>
        <v/>
      </c>
      <c r="Z274" s="6">
        <f>AA274&amp;AB274</f>
        <v/>
      </c>
      <c r="AA274" s="6">
        <f>YEAR(AC274)</f>
        <v/>
      </c>
      <c r="AB274" s="6">
        <f>MONTH(AC274)</f>
        <v/>
      </c>
      <c r="AC274" s="267">
        <f>IFERROR(__xludf.DUMMYFUNCTION("""COMPUTED_VALUE"""),43380.9986111111)</f>
        <v/>
      </c>
      <c r="AD274" s="6">
        <f>IFERROR(__xludf.DUMMYFUNCTION("""COMPUTED_VALUE"""),1131.1)</f>
        <v/>
      </c>
      <c r="AH274" s="6">
        <f>AI274&amp;AJ274</f>
        <v/>
      </c>
      <c r="AI274" s="6">
        <f>YEAR(AK274)</f>
        <v/>
      </c>
      <c r="AJ274" s="6">
        <f>MONTH(AK274)</f>
        <v/>
      </c>
      <c r="AK274" s="267">
        <f>IFERROR(__xludf.DUMMYFUNCTION("""COMPUTED_VALUE"""),43366.9986111111)</f>
        <v/>
      </c>
      <c r="AL274" s="6">
        <f>IFERROR(__xludf.DUMMYFUNCTION("""COMPUTED_VALUE"""),6703.87)</f>
        <v/>
      </c>
      <c r="AP274" s="6">
        <f>AQ274&amp;AR274</f>
        <v/>
      </c>
      <c r="AQ274" s="6">
        <f>YEAR(AS274)</f>
        <v/>
      </c>
      <c r="AR274" s="6">
        <f>MONTH(AS274)</f>
        <v/>
      </c>
      <c r="AS274" s="267">
        <f>IFERROR(__xludf.DUMMYFUNCTION("""COMPUTED_VALUE"""),43494.9986111111)</f>
        <v/>
      </c>
      <c r="AT274" s="6">
        <f>IFERROR(__xludf.DUMMYFUNCTION("""COMPUTED_VALUE"""),1315.2)</f>
        <v/>
      </c>
    </row>
    <row r="275">
      <c r="B275" s="6">
        <f>C275&amp;D275</f>
        <v/>
      </c>
      <c r="C275" s="6">
        <f>YEAR(E275)</f>
        <v/>
      </c>
      <c r="D275" s="6">
        <f>MONTH(E275)</f>
        <v/>
      </c>
      <c r="E275" s="267">
        <f>IFERROR(__xludf.DUMMYFUNCTION("""COMPUTED_VALUE"""),43490.6666666666)</f>
        <v/>
      </c>
      <c r="F275" s="6">
        <f>IFERROR(__xludf.DUMMYFUNCTION("""COMPUTED_VALUE"""),2664.76)</f>
        <v/>
      </c>
      <c r="J275" s="6">
        <f>K275&amp;L275</f>
        <v/>
      </c>
      <c r="K275" s="6">
        <f>YEAR(M275)</f>
        <v/>
      </c>
      <c r="L275" s="6">
        <f>MONTH(M275)</f>
        <v/>
      </c>
      <c r="M275" s="267">
        <f>IFERROR(__xludf.DUMMYFUNCTION("""COMPUTED_VALUE"""),43490.6666666666)</f>
        <v/>
      </c>
      <c r="N275" s="6">
        <f>IFERROR(__xludf.DUMMYFUNCTION("""COMPUTED_VALUE"""),7164.86)</f>
        <v/>
      </c>
      <c r="R275" s="6">
        <f>S275&amp;T275</f>
        <v/>
      </c>
      <c r="S275" s="6">
        <f>YEAR(U275)</f>
        <v/>
      </c>
      <c r="T275" s="6">
        <f>MONTH(U275)</f>
        <v/>
      </c>
      <c r="U275" s="267">
        <f>IFERROR(__xludf.DUMMYFUNCTION("""COMPUTED_VALUE"""),43511.6458333333)</f>
        <v/>
      </c>
      <c r="V275" s="6">
        <f>IFERROR(__xludf.DUMMYFUNCTION("""COMPUTED_VALUE"""),2196.09)</f>
        <v/>
      </c>
      <c r="Z275" s="6">
        <f>AA275&amp;AB275</f>
        <v/>
      </c>
      <c r="AA275" s="6">
        <f>YEAR(AC275)</f>
        <v/>
      </c>
      <c r="AB275" s="6">
        <f>MONTH(AC275)</f>
        <v/>
      </c>
      <c r="AC275" s="267">
        <f>IFERROR(__xludf.DUMMYFUNCTION("""COMPUTED_VALUE"""),43381.9986111111)</f>
        <v/>
      </c>
      <c r="AD275" s="6">
        <f>IFERROR(__xludf.DUMMYFUNCTION("""COMPUTED_VALUE"""),1133.2)</f>
        <v/>
      </c>
      <c r="AH275" s="6">
        <f>AI275&amp;AJ275</f>
        <v/>
      </c>
      <c r="AI275" s="6">
        <f>YEAR(AK275)</f>
        <v/>
      </c>
      <c r="AJ275" s="6">
        <f>MONTH(AK275)</f>
        <v/>
      </c>
      <c r="AK275" s="267">
        <f>IFERROR(__xludf.DUMMYFUNCTION("""COMPUTED_VALUE"""),43367.9986111111)</f>
        <v/>
      </c>
      <c r="AL275" s="6">
        <f>IFERROR(__xludf.DUMMYFUNCTION("""COMPUTED_VALUE"""),6574.98)</f>
        <v/>
      </c>
      <c r="AP275" s="6">
        <f>AQ275&amp;AR275</f>
        <v/>
      </c>
      <c r="AQ275" s="6">
        <f>YEAR(AS275)</f>
        <v/>
      </c>
      <c r="AR275" s="6">
        <f>MONTH(AS275)</f>
        <v/>
      </c>
      <c r="AS275" s="267">
        <f>IFERROR(__xludf.DUMMYFUNCTION("""COMPUTED_VALUE"""),43495.9986111111)</f>
        <v/>
      </c>
      <c r="AT275" s="6">
        <f>IFERROR(__xludf.DUMMYFUNCTION("""COMPUTED_VALUE"""),1315.5)</f>
        <v/>
      </c>
    </row>
    <row r="276">
      <c r="B276" s="6">
        <f>C276&amp;D276</f>
        <v/>
      </c>
      <c r="C276" s="6">
        <f>YEAR(E276)</f>
        <v/>
      </c>
      <c r="D276" s="6">
        <f>MONTH(E276)</f>
        <v/>
      </c>
      <c r="E276" s="267">
        <f>IFERROR(__xludf.DUMMYFUNCTION("""COMPUTED_VALUE"""),43493.6666666666)</f>
        <v/>
      </c>
      <c r="F276" s="6">
        <f>IFERROR(__xludf.DUMMYFUNCTION("""COMPUTED_VALUE"""),2643.85)</f>
        <v/>
      </c>
      <c r="J276" s="6">
        <f>K276&amp;L276</f>
        <v/>
      </c>
      <c r="K276" s="6">
        <f>YEAR(M276)</f>
        <v/>
      </c>
      <c r="L276" s="6">
        <f>MONTH(M276)</f>
        <v/>
      </c>
      <c r="M276" s="267">
        <f>IFERROR(__xludf.DUMMYFUNCTION("""COMPUTED_VALUE"""),43493.6666666666)</f>
        <v/>
      </c>
      <c r="N276" s="6">
        <f>IFERROR(__xludf.DUMMYFUNCTION("""COMPUTED_VALUE"""),7085.69)</f>
        <v/>
      </c>
      <c r="R276" s="6">
        <f>S276&amp;T276</f>
        <v/>
      </c>
      <c r="S276" s="6">
        <f>YEAR(U276)</f>
        <v/>
      </c>
      <c r="T276" s="6">
        <f>MONTH(U276)</f>
        <v/>
      </c>
      <c r="U276" s="267">
        <f>IFERROR(__xludf.DUMMYFUNCTION("""COMPUTED_VALUE"""),43515.6458333333)</f>
        <v/>
      </c>
      <c r="V276" s="6">
        <f>IFERROR(__xludf.DUMMYFUNCTION("""COMPUTED_VALUE"""),2205.63)</f>
        <v/>
      </c>
      <c r="Z276" s="6">
        <f>AA276&amp;AB276</f>
        <v/>
      </c>
      <c r="AA276" s="6">
        <f>YEAR(AC276)</f>
        <v/>
      </c>
      <c r="AB276" s="6">
        <f>MONTH(AC276)</f>
        <v/>
      </c>
      <c r="AC276" s="267">
        <f>IFERROR(__xludf.DUMMYFUNCTION("""COMPUTED_VALUE"""),43382.9986111111)</f>
        <v/>
      </c>
      <c r="AD276" s="6">
        <f>IFERROR(__xludf.DUMMYFUNCTION("""COMPUTED_VALUE"""),1132.4)</f>
        <v/>
      </c>
      <c r="AH276" s="6">
        <f>AI276&amp;AJ276</f>
        <v/>
      </c>
      <c r="AI276" s="6">
        <f>YEAR(AK276)</f>
        <v/>
      </c>
      <c r="AJ276" s="6">
        <f>MONTH(AK276)</f>
        <v/>
      </c>
      <c r="AK276" s="267">
        <f>IFERROR(__xludf.DUMMYFUNCTION("""COMPUTED_VALUE"""),43368.9986111111)</f>
        <v/>
      </c>
      <c r="AL276" s="6">
        <f>IFERROR(__xludf.DUMMYFUNCTION("""COMPUTED_VALUE"""),6436.6)</f>
        <v/>
      </c>
      <c r="AP276" s="6">
        <f>AQ276&amp;AR276</f>
        <v/>
      </c>
      <c r="AQ276" s="6">
        <f>YEAR(AS276)</f>
        <v/>
      </c>
      <c r="AR276" s="6">
        <f>MONTH(AS276)</f>
        <v/>
      </c>
      <c r="AS276" s="267">
        <f>IFERROR(__xludf.DUMMYFUNCTION("""COMPUTED_VALUE"""),43496.9986111111)</f>
        <v/>
      </c>
      <c r="AT276" s="6">
        <f>IFERROR(__xludf.DUMMYFUNCTION("""COMPUTED_VALUE"""),1325.2)</f>
        <v/>
      </c>
    </row>
    <row r="277">
      <c r="B277" s="6">
        <f>C277&amp;D277</f>
        <v/>
      </c>
      <c r="C277" s="6">
        <f>YEAR(E277)</f>
        <v/>
      </c>
      <c r="D277" s="6">
        <f>MONTH(E277)</f>
        <v/>
      </c>
      <c r="E277" s="267">
        <f>IFERROR(__xludf.DUMMYFUNCTION("""COMPUTED_VALUE"""),43494.6666666666)</f>
        <v/>
      </c>
      <c r="F277" s="6">
        <f>IFERROR(__xludf.DUMMYFUNCTION("""COMPUTED_VALUE"""),2640)</f>
        <v/>
      </c>
      <c r="J277" s="6">
        <f>K277&amp;L277</f>
        <v/>
      </c>
      <c r="K277" s="6">
        <f>YEAR(M277)</f>
        <v/>
      </c>
      <c r="L277" s="6">
        <f>MONTH(M277)</f>
        <v/>
      </c>
      <c r="M277" s="267">
        <f>IFERROR(__xludf.DUMMYFUNCTION("""COMPUTED_VALUE"""),43494.6666666666)</f>
        <v/>
      </c>
      <c r="N277" s="6">
        <f>IFERROR(__xludf.DUMMYFUNCTION("""COMPUTED_VALUE"""),7028.29)</f>
        <v/>
      </c>
      <c r="R277" s="6">
        <f>S277&amp;T277</f>
        <v/>
      </c>
      <c r="S277" s="6">
        <f>YEAR(U277)</f>
        <v/>
      </c>
      <c r="T277" s="6">
        <f>MONTH(U277)</f>
        <v/>
      </c>
      <c r="U277" s="267">
        <f>IFERROR(__xludf.DUMMYFUNCTION("""COMPUTED_VALUE"""),43516.6458333333)</f>
        <v/>
      </c>
      <c r="V277" s="6">
        <f>IFERROR(__xludf.DUMMYFUNCTION("""COMPUTED_VALUE"""),2229.76)</f>
        <v/>
      </c>
      <c r="Z277" s="6">
        <f>AA277&amp;AB277</f>
        <v/>
      </c>
      <c r="AA277" s="6">
        <f>YEAR(AC277)</f>
        <v/>
      </c>
      <c r="AB277" s="6">
        <f>MONTH(AC277)</f>
        <v/>
      </c>
      <c r="AC277" s="267">
        <f>IFERROR(__xludf.DUMMYFUNCTION("""COMPUTED_VALUE"""),43383.9986111111)</f>
        <v/>
      </c>
      <c r="AD277" s="6">
        <f>IFERROR(__xludf.DUMMYFUNCTION("""COMPUTED_VALUE"""),1142.85)</f>
        <v/>
      </c>
      <c r="AH277" s="6">
        <f>AI277&amp;AJ277</f>
        <v/>
      </c>
      <c r="AI277" s="6">
        <f>YEAR(AK277)</f>
        <v/>
      </c>
      <c r="AJ277" s="6">
        <f>MONTH(AK277)</f>
        <v/>
      </c>
      <c r="AK277" s="267">
        <f>IFERROR(__xludf.DUMMYFUNCTION("""COMPUTED_VALUE"""),43369.9986111111)</f>
        <v/>
      </c>
      <c r="AL277" s="6">
        <f>IFERROR(__xludf.DUMMYFUNCTION("""COMPUTED_VALUE"""),6460.57)</f>
        <v/>
      </c>
      <c r="AP277" s="6">
        <f>AQ277&amp;AR277</f>
        <v/>
      </c>
      <c r="AQ277" s="6">
        <f>YEAR(AS277)</f>
        <v/>
      </c>
      <c r="AR277" s="6">
        <f>MONTH(AS277)</f>
        <v/>
      </c>
      <c r="AS277" s="267">
        <f>IFERROR(__xludf.DUMMYFUNCTION("""COMPUTED_VALUE"""),43497.9986111111)</f>
        <v/>
      </c>
      <c r="AT277" s="6">
        <f>IFERROR(__xludf.DUMMYFUNCTION("""COMPUTED_VALUE"""),1322.1)</f>
        <v/>
      </c>
    </row>
    <row r="278">
      <c r="B278" s="6">
        <f>C278&amp;D278</f>
        <v/>
      </c>
      <c r="C278" s="6">
        <f>YEAR(E278)</f>
        <v/>
      </c>
      <c r="D278" s="6">
        <f>MONTH(E278)</f>
        <v/>
      </c>
      <c r="E278" s="267">
        <f>IFERROR(__xludf.DUMMYFUNCTION("""COMPUTED_VALUE"""),43495.6666666666)</f>
        <v/>
      </c>
      <c r="F278" s="6">
        <f>IFERROR(__xludf.DUMMYFUNCTION("""COMPUTED_VALUE"""),2681.05)</f>
        <v/>
      </c>
      <c r="J278" s="6">
        <f>K278&amp;L278</f>
        <v/>
      </c>
      <c r="K278" s="6">
        <f>YEAR(M278)</f>
        <v/>
      </c>
      <c r="L278" s="6">
        <f>MONTH(M278)</f>
        <v/>
      </c>
      <c r="M278" s="267">
        <f>IFERROR(__xludf.DUMMYFUNCTION("""COMPUTED_VALUE"""),43495.6666666666)</f>
        <v/>
      </c>
      <c r="N278" s="6">
        <f>IFERROR(__xludf.DUMMYFUNCTION("""COMPUTED_VALUE"""),7183.08)</f>
        <v/>
      </c>
      <c r="R278" s="6">
        <f>S278&amp;T278</f>
        <v/>
      </c>
      <c r="S278" s="6">
        <f>YEAR(U278)</f>
        <v/>
      </c>
      <c r="T278" s="6">
        <f>MONTH(U278)</f>
        <v/>
      </c>
      <c r="U278" s="267">
        <f>IFERROR(__xludf.DUMMYFUNCTION("""COMPUTED_VALUE"""),43517.6458333333)</f>
        <v/>
      </c>
      <c r="V278" s="6">
        <f>IFERROR(__xludf.DUMMYFUNCTION("""COMPUTED_VALUE"""),2228.66)</f>
        <v/>
      </c>
      <c r="Z278" s="6">
        <f>AA278&amp;AB278</f>
        <v/>
      </c>
      <c r="AA278" s="6">
        <f>YEAR(AC278)</f>
        <v/>
      </c>
      <c r="AB278" s="6">
        <f>MONTH(AC278)</f>
        <v/>
      </c>
      <c r="AC278" s="267">
        <f>IFERROR(__xludf.DUMMYFUNCTION("""COMPUTED_VALUE"""),43384.9986111111)</f>
        <v/>
      </c>
      <c r="AD278" s="6">
        <f>IFERROR(__xludf.DUMMYFUNCTION("""COMPUTED_VALUE"""),1134.3)</f>
        <v/>
      </c>
      <c r="AH278" s="6">
        <f>AI278&amp;AJ278</f>
        <v/>
      </c>
      <c r="AI278" s="6">
        <f>YEAR(AK278)</f>
        <v/>
      </c>
      <c r="AJ278" s="6">
        <f>MONTH(AK278)</f>
        <v/>
      </c>
      <c r="AK278" s="267">
        <f>IFERROR(__xludf.DUMMYFUNCTION("""COMPUTED_VALUE"""),43370.9986111111)</f>
        <v/>
      </c>
      <c r="AL278" s="6">
        <f>IFERROR(__xludf.DUMMYFUNCTION("""COMPUTED_VALUE"""),6688.11)</f>
        <v/>
      </c>
      <c r="AP278" s="6">
        <f>AQ278&amp;AR278</f>
        <v/>
      </c>
      <c r="AQ278" s="6">
        <f>YEAR(AS278)</f>
        <v/>
      </c>
      <c r="AR278" s="6">
        <f>MONTH(AS278)</f>
        <v/>
      </c>
      <c r="AS278" s="267">
        <f>IFERROR(__xludf.DUMMYFUNCTION("""COMPUTED_VALUE"""),43500.9986111111)</f>
        <v/>
      </c>
      <c r="AT278" s="6">
        <f>IFERROR(__xludf.DUMMYFUNCTION("""COMPUTED_VALUE"""),1319.3)</f>
        <v/>
      </c>
    </row>
    <row r="279">
      <c r="B279" s="6">
        <f>C279&amp;D279</f>
        <v/>
      </c>
      <c r="C279" s="6">
        <f>YEAR(E279)</f>
        <v/>
      </c>
      <c r="D279" s="6">
        <f>MONTH(E279)</f>
        <v/>
      </c>
      <c r="E279" s="267">
        <f>IFERROR(__xludf.DUMMYFUNCTION("""COMPUTED_VALUE"""),43496.6666666666)</f>
        <v/>
      </c>
      <c r="F279" s="6">
        <f>IFERROR(__xludf.DUMMYFUNCTION("""COMPUTED_VALUE"""),2704.1)</f>
        <v/>
      </c>
      <c r="J279" s="6">
        <f>K279&amp;L279</f>
        <v/>
      </c>
      <c r="K279" s="6">
        <f>YEAR(M279)</f>
        <v/>
      </c>
      <c r="L279" s="6">
        <f>MONTH(M279)</f>
        <v/>
      </c>
      <c r="M279" s="267">
        <f>IFERROR(__xludf.DUMMYFUNCTION("""COMPUTED_VALUE"""),43496.6666666666)</f>
        <v/>
      </c>
      <c r="N279" s="6">
        <f>IFERROR(__xludf.DUMMYFUNCTION("""COMPUTED_VALUE"""),7281.74)</f>
        <v/>
      </c>
      <c r="R279" s="6">
        <f>S279&amp;T279</f>
        <v/>
      </c>
      <c r="S279" s="6">
        <f>YEAR(U279)</f>
        <v/>
      </c>
      <c r="T279" s="6">
        <f>MONTH(U279)</f>
        <v/>
      </c>
      <c r="U279" s="267">
        <f>IFERROR(__xludf.DUMMYFUNCTION("""COMPUTED_VALUE"""),43518.6458333333)</f>
        <v/>
      </c>
      <c r="V279" s="6">
        <f>IFERROR(__xludf.DUMMYFUNCTION("""COMPUTED_VALUE"""),2230.5)</f>
        <v/>
      </c>
      <c r="Z279" s="6">
        <f>AA279&amp;AB279</f>
        <v/>
      </c>
      <c r="AA279" s="6">
        <f>YEAR(AC279)</f>
        <v/>
      </c>
      <c r="AB279" s="6">
        <f>MONTH(AC279)</f>
        <v/>
      </c>
      <c r="AC279" s="267">
        <f>IFERROR(__xludf.DUMMYFUNCTION("""COMPUTED_VALUE"""),43385.9986111111)</f>
        <v/>
      </c>
      <c r="AD279" s="6">
        <f>IFERROR(__xludf.DUMMYFUNCTION("""COMPUTED_VALUE"""),1130.35)</f>
        <v/>
      </c>
      <c r="AH279" s="6">
        <f>AI279&amp;AJ279</f>
        <v/>
      </c>
      <c r="AI279" s="6">
        <f>YEAR(AK279)</f>
        <v/>
      </c>
      <c r="AJ279" s="6">
        <f>MONTH(AK279)</f>
        <v/>
      </c>
      <c r="AK279" s="267">
        <f>IFERROR(__xludf.DUMMYFUNCTION("""COMPUTED_VALUE"""),43371.9986111111)</f>
        <v/>
      </c>
      <c r="AL279" s="6">
        <f>IFERROR(__xludf.DUMMYFUNCTION("""COMPUTED_VALUE"""),6629.4)</f>
        <v/>
      </c>
      <c r="AP279" s="6">
        <f>AQ279&amp;AR279</f>
        <v/>
      </c>
      <c r="AQ279" s="6">
        <f>YEAR(AS279)</f>
        <v/>
      </c>
      <c r="AR279" s="6">
        <f>MONTH(AS279)</f>
        <v/>
      </c>
      <c r="AS279" s="267">
        <f>IFERROR(__xludf.DUMMYFUNCTION("""COMPUTED_VALUE"""),43501.9986111111)</f>
        <v/>
      </c>
      <c r="AT279" s="6">
        <f>IFERROR(__xludf.DUMMYFUNCTION("""COMPUTED_VALUE"""),1319.2)</f>
        <v/>
      </c>
    </row>
    <row r="280">
      <c r="B280" s="6">
        <f>C280&amp;D280</f>
        <v/>
      </c>
      <c r="C280" s="6">
        <f>YEAR(E280)</f>
        <v/>
      </c>
      <c r="D280" s="6">
        <f>MONTH(E280)</f>
        <v/>
      </c>
      <c r="E280" s="267">
        <f>IFERROR(__xludf.DUMMYFUNCTION("""COMPUTED_VALUE"""),43497.6666666666)</f>
        <v/>
      </c>
      <c r="F280" s="6">
        <f>IFERROR(__xludf.DUMMYFUNCTION("""COMPUTED_VALUE"""),2706.53)</f>
        <v/>
      </c>
      <c r="J280" s="6">
        <f>K280&amp;L280</f>
        <v/>
      </c>
      <c r="K280" s="6">
        <f>YEAR(M280)</f>
        <v/>
      </c>
      <c r="L280" s="6">
        <f>MONTH(M280)</f>
        <v/>
      </c>
      <c r="M280" s="267">
        <f>IFERROR(__xludf.DUMMYFUNCTION("""COMPUTED_VALUE"""),43497.6666666666)</f>
        <v/>
      </c>
      <c r="N280" s="6">
        <f>IFERROR(__xludf.DUMMYFUNCTION("""COMPUTED_VALUE"""),7263.87)</f>
        <v/>
      </c>
      <c r="R280" s="6">
        <f>S280&amp;T280</f>
        <v/>
      </c>
      <c r="S280" s="6">
        <f>YEAR(U280)</f>
        <v/>
      </c>
      <c r="T280" s="6">
        <f>MONTH(U280)</f>
        <v/>
      </c>
      <c r="U280" s="267">
        <f>IFERROR(__xludf.DUMMYFUNCTION("""COMPUTED_VALUE"""),43521.6458333333)</f>
        <v/>
      </c>
      <c r="V280" s="6">
        <f>IFERROR(__xludf.DUMMYFUNCTION("""COMPUTED_VALUE"""),2232.56)</f>
        <v/>
      </c>
      <c r="Z280" s="6">
        <f>AA280&amp;AB280</f>
        <v/>
      </c>
      <c r="AA280" s="6">
        <f>YEAR(AC280)</f>
        <v/>
      </c>
      <c r="AB280" s="6">
        <f>MONTH(AC280)</f>
        <v/>
      </c>
      <c r="AC280" s="267">
        <f>IFERROR(__xludf.DUMMYFUNCTION("""COMPUTED_VALUE"""),43387.9986111111)</f>
        <v/>
      </c>
      <c r="AD280" s="6">
        <f>IFERROR(__xludf.DUMMYFUNCTION("""COMPUTED_VALUE"""),1131.19)</f>
        <v/>
      </c>
      <c r="AH280" s="6">
        <f>AI280&amp;AJ280</f>
        <v/>
      </c>
      <c r="AI280" s="6">
        <f>YEAR(AK280)</f>
        <v/>
      </c>
      <c r="AJ280" s="6">
        <f>MONTH(AK280)</f>
        <v/>
      </c>
      <c r="AK280" s="267">
        <f>IFERROR(__xludf.DUMMYFUNCTION("""COMPUTED_VALUE"""),43372.9986111111)</f>
        <v/>
      </c>
      <c r="AL280" s="6">
        <f>IFERROR(__xludf.DUMMYFUNCTION("""COMPUTED_VALUE"""),6593.03)</f>
        <v/>
      </c>
      <c r="AP280" s="6">
        <f>AQ280&amp;AR280</f>
        <v/>
      </c>
      <c r="AQ280" s="6">
        <f>YEAR(AS280)</f>
        <v/>
      </c>
      <c r="AR280" s="6">
        <f>MONTH(AS280)</f>
        <v/>
      </c>
      <c r="AS280" s="267">
        <f>IFERROR(__xludf.DUMMYFUNCTION("""COMPUTED_VALUE"""),43502.9986111111)</f>
        <v/>
      </c>
      <c r="AT280" s="6">
        <f>IFERROR(__xludf.DUMMYFUNCTION("""COMPUTED_VALUE"""),1314.4)</f>
        <v/>
      </c>
    </row>
    <row r="281">
      <c r="B281" s="6">
        <f>C281&amp;D281</f>
        <v/>
      </c>
      <c r="C281" s="6">
        <f>YEAR(E281)</f>
        <v/>
      </c>
      <c r="D281" s="6">
        <f>MONTH(E281)</f>
        <v/>
      </c>
      <c r="E281" s="267">
        <f>IFERROR(__xludf.DUMMYFUNCTION("""COMPUTED_VALUE"""),43500.6666666666)</f>
        <v/>
      </c>
      <c r="F281" s="6">
        <f>IFERROR(__xludf.DUMMYFUNCTION("""COMPUTED_VALUE"""),2724.87)</f>
        <v/>
      </c>
      <c r="J281" s="6">
        <f>K281&amp;L281</f>
        <v/>
      </c>
      <c r="K281" s="6">
        <f>YEAR(M281)</f>
        <v/>
      </c>
      <c r="L281" s="6">
        <f>MONTH(M281)</f>
        <v/>
      </c>
      <c r="M281" s="267">
        <f>IFERROR(__xludf.DUMMYFUNCTION("""COMPUTED_VALUE"""),43500.6666666666)</f>
        <v/>
      </c>
      <c r="N281" s="6">
        <f>IFERROR(__xludf.DUMMYFUNCTION("""COMPUTED_VALUE"""),7347.54)</f>
        <v/>
      </c>
      <c r="R281" s="6">
        <f>S281&amp;T281</f>
        <v/>
      </c>
      <c r="S281" s="6">
        <f>YEAR(U281)</f>
        <v/>
      </c>
      <c r="T281" s="6">
        <f>MONTH(U281)</f>
        <v/>
      </c>
      <c r="U281" s="267">
        <f>IFERROR(__xludf.DUMMYFUNCTION("""COMPUTED_VALUE"""),43522.6458333333)</f>
        <v/>
      </c>
      <c r="V281" s="6">
        <f>IFERROR(__xludf.DUMMYFUNCTION("""COMPUTED_VALUE"""),2226.6)</f>
        <v/>
      </c>
      <c r="Z281" s="6">
        <f>AA281&amp;AB281</f>
        <v/>
      </c>
      <c r="AA281" s="6">
        <f>YEAR(AC281)</f>
        <v/>
      </c>
      <c r="AB281" s="6">
        <f>MONTH(AC281)</f>
        <v/>
      </c>
      <c r="AC281" s="267">
        <f>IFERROR(__xludf.DUMMYFUNCTION("""COMPUTED_VALUE"""),43388.9986111111)</f>
        <v/>
      </c>
      <c r="AD281" s="6">
        <f>IFERROR(__xludf.DUMMYFUNCTION("""COMPUTED_VALUE"""),1135.17)</f>
        <v/>
      </c>
      <c r="AH281" s="6">
        <f>AI281&amp;AJ281</f>
        <v/>
      </c>
      <c r="AI281" s="6">
        <f>YEAR(AK281)</f>
        <v/>
      </c>
      <c r="AJ281" s="6">
        <f>MONTH(AK281)</f>
        <v/>
      </c>
      <c r="AK281" s="267">
        <f>IFERROR(__xludf.DUMMYFUNCTION("""COMPUTED_VALUE"""),43373.9986111111)</f>
        <v/>
      </c>
      <c r="AL281" s="6">
        <f>IFERROR(__xludf.DUMMYFUNCTION("""COMPUTED_VALUE"""),6618.76)</f>
        <v/>
      </c>
      <c r="AP281" s="6">
        <f>AQ281&amp;AR281</f>
        <v/>
      </c>
      <c r="AQ281" s="6">
        <f>YEAR(AS281)</f>
        <v/>
      </c>
      <c r="AR281" s="6">
        <f>MONTH(AS281)</f>
        <v/>
      </c>
      <c r="AS281" s="267">
        <f>IFERROR(__xludf.DUMMYFUNCTION("""COMPUTED_VALUE"""),43503.9986111111)</f>
        <v/>
      </c>
      <c r="AT281" s="6">
        <f>IFERROR(__xludf.DUMMYFUNCTION("""COMPUTED_VALUE"""),1314.2)</f>
        <v/>
      </c>
    </row>
    <row r="282">
      <c r="B282" s="6">
        <f>C282&amp;D282</f>
        <v/>
      </c>
      <c r="C282" s="6">
        <f>YEAR(E282)</f>
        <v/>
      </c>
      <c r="D282" s="6">
        <f>MONTH(E282)</f>
        <v/>
      </c>
      <c r="E282" s="267">
        <f>IFERROR(__xludf.DUMMYFUNCTION("""COMPUTED_VALUE"""),43501.6666666666)</f>
        <v/>
      </c>
      <c r="F282" s="6">
        <f>IFERROR(__xludf.DUMMYFUNCTION("""COMPUTED_VALUE"""),2737.7)</f>
        <v/>
      </c>
      <c r="J282" s="6">
        <f>K282&amp;L282</f>
        <v/>
      </c>
      <c r="K282" s="6">
        <f>YEAR(M282)</f>
        <v/>
      </c>
      <c r="L282" s="6">
        <f>MONTH(M282)</f>
        <v/>
      </c>
      <c r="M282" s="267">
        <f>IFERROR(__xludf.DUMMYFUNCTION("""COMPUTED_VALUE"""),43501.6666666666)</f>
        <v/>
      </c>
      <c r="N282" s="6">
        <f>IFERROR(__xludf.DUMMYFUNCTION("""COMPUTED_VALUE"""),7402.08)</f>
        <v/>
      </c>
      <c r="R282" s="6">
        <f>S282&amp;T282</f>
        <v/>
      </c>
      <c r="S282" s="6">
        <f>YEAR(U282)</f>
        <v/>
      </c>
      <c r="T282" s="6">
        <f>MONTH(U282)</f>
        <v/>
      </c>
      <c r="U282" s="267">
        <f>IFERROR(__xludf.DUMMYFUNCTION("""COMPUTED_VALUE"""),43523.6458333333)</f>
        <v/>
      </c>
      <c r="V282" s="6">
        <f>IFERROR(__xludf.DUMMYFUNCTION("""COMPUTED_VALUE"""),2234.79)</f>
        <v/>
      </c>
      <c r="Z282" s="6">
        <f>AA282&amp;AB282</f>
        <v/>
      </c>
      <c r="AA282" s="6">
        <f>YEAR(AC282)</f>
        <v/>
      </c>
      <c r="AB282" s="6">
        <f>MONTH(AC282)</f>
        <v/>
      </c>
      <c r="AC282" s="267">
        <f>IFERROR(__xludf.DUMMYFUNCTION("""COMPUTED_VALUE"""),43389.9986111111)</f>
        <v/>
      </c>
      <c r="AD282" s="6">
        <f>IFERROR(__xludf.DUMMYFUNCTION("""COMPUTED_VALUE"""),1122.15)</f>
        <v/>
      </c>
      <c r="AH282" s="6">
        <f>AI282&amp;AJ282</f>
        <v/>
      </c>
      <c r="AI282" s="6">
        <f>YEAR(AK282)</f>
        <v/>
      </c>
      <c r="AJ282" s="6">
        <f>MONTH(AK282)</f>
        <v/>
      </c>
      <c r="AK282" s="267">
        <f>IFERROR(__xludf.DUMMYFUNCTION("""COMPUTED_VALUE"""),43374.9986111111)</f>
        <v/>
      </c>
      <c r="AL282" s="6">
        <f>IFERROR(__xludf.DUMMYFUNCTION("""COMPUTED_VALUE"""),6591.01)</f>
        <v/>
      </c>
      <c r="AP282" s="6">
        <f>AQ282&amp;AR282</f>
        <v/>
      </c>
      <c r="AQ282" s="6">
        <f>YEAR(AS282)</f>
        <v/>
      </c>
      <c r="AR282" s="6">
        <f>MONTH(AS282)</f>
        <v/>
      </c>
      <c r="AS282" s="267">
        <f>IFERROR(__xludf.DUMMYFUNCTION("""COMPUTED_VALUE"""),43504.9986111111)</f>
        <v/>
      </c>
      <c r="AT282" s="6">
        <f>IFERROR(__xludf.DUMMYFUNCTION("""COMPUTED_VALUE"""),1318.5)</f>
        <v/>
      </c>
    </row>
    <row r="283">
      <c r="B283" s="6">
        <f>C283&amp;D283</f>
        <v/>
      </c>
      <c r="C283" s="6">
        <f>YEAR(E283)</f>
        <v/>
      </c>
      <c r="D283" s="6">
        <f>MONTH(E283)</f>
        <v/>
      </c>
      <c r="E283" s="267">
        <f>IFERROR(__xludf.DUMMYFUNCTION("""COMPUTED_VALUE"""),43502.6666666666)</f>
        <v/>
      </c>
      <c r="F283" s="6">
        <f>IFERROR(__xludf.DUMMYFUNCTION("""COMPUTED_VALUE"""),2731.61)</f>
        <v/>
      </c>
      <c r="J283" s="6">
        <f>K283&amp;L283</f>
        <v/>
      </c>
      <c r="K283" s="6">
        <f>YEAR(M283)</f>
        <v/>
      </c>
      <c r="L283" s="6">
        <f>MONTH(M283)</f>
        <v/>
      </c>
      <c r="M283" s="267">
        <f>IFERROR(__xludf.DUMMYFUNCTION("""COMPUTED_VALUE"""),43502.6666666666)</f>
        <v/>
      </c>
      <c r="N283" s="6">
        <f>IFERROR(__xludf.DUMMYFUNCTION("""COMPUTED_VALUE"""),7375.28)</f>
        <v/>
      </c>
      <c r="R283" s="6">
        <f>S283&amp;T283</f>
        <v/>
      </c>
      <c r="S283" s="6">
        <f>YEAR(U283)</f>
        <v/>
      </c>
      <c r="T283" s="6">
        <f>MONTH(U283)</f>
        <v/>
      </c>
      <c r="U283" s="267">
        <f>IFERROR(__xludf.DUMMYFUNCTION("""COMPUTED_VALUE"""),43524.6458333333)</f>
        <v/>
      </c>
      <c r="V283" s="6">
        <f>IFERROR(__xludf.DUMMYFUNCTION("""COMPUTED_VALUE"""),2195.44)</f>
        <v/>
      </c>
      <c r="Z283" s="6">
        <f>AA283&amp;AB283</f>
        <v/>
      </c>
      <c r="AA283" s="6">
        <f>YEAR(AC283)</f>
        <v/>
      </c>
      <c r="AB283" s="6">
        <f>MONTH(AC283)</f>
        <v/>
      </c>
      <c r="AC283" s="267">
        <f>IFERROR(__xludf.DUMMYFUNCTION("""COMPUTED_VALUE"""),43390.9986111111)</f>
        <v/>
      </c>
      <c r="AD283" s="6">
        <f>IFERROR(__xludf.DUMMYFUNCTION("""COMPUTED_VALUE"""),1127.1)</f>
        <v/>
      </c>
      <c r="AH283" s="6">
        <f>AI283&amp;AJ283</f>
        <v/>
      </c>
      <c r="AI283" s="6">
        <f>YEAR(AK283)</f>
        <v/>
      </c>
      <c r="AJ283" s="6">
        <f>MONTH(AK283)</f>
        <v/>
      </c>
      <c r="AK283" s="267">
        <f>IFERROR(__xludf.DUMMYFUNCTION("""COMPUTED_VALUE"""),43375.9986111111)</f>
        <v/>
      </c>
      <c r="AL283" s="6">
        <f>IFERROR(__xludf.DUMMYFUNCTION("""COMPUTED_VALUE"""),6518.96)</f>
        <v/>
      </c>
      <c r="AP283" s="6">
        <f>AQ283&amp;AR283</f>
        <v/>
      </c>
      <c r="AQ283" s="6">
        <f>YEAR(AS283)</f>
        <v/>
      </c>
      <c r="AR283" s="6">
        <f>MONTH(AS283)</f>
        <v/>
      </c>
      <c r="AS283" s="267">
        <f>IFERROR(__xludf.DUMMYFUNCTION("""COMPUTED_VALUE"""),43507.9986111111)</f>
        <v/>
      </c>
      <c r="AT283" s="6">
        <f>IFERROR(__xludf.DUMMYFUNCTION("""COMPUTED_VALUE"""),1311.9)</f>
        <v/>
      </c>
    </row>
    <row r="284">
      <c r="B284" s="6">
        <f>C284&amp;D284</f>
        <v/>
      </c>
      <c r="C284" s="6">
        <f>YEAR(E284)</f>
        <v/>
      </c>
      <c r="D284" s="6">
        <f>MONTH(E284)</f>
        <v/>
      </c>
      <c r="E284" s="267">
        <f>IFERROR(__xludf.DUMMYFUNCTION("""COMPUTED_VALUE"""),43503.6666666666)</f>
        <v/>
      </c>
      <c r="F284" s="6">
        <f>IFERROR(__xludf.DUMMYFUNCTION("""COMPUTED_VALUE"""),2706.05)</f>
        <v/>
      </c>
      <c r="J284" s="6">
        <f>K284&amp;L284</f>
        <v/>
      </c>
      <c r="K284" s="6">
        <f>YEAR(M284)</f>
        <v/>
      </c>
      <c r="L284" s="6">
        <f>MONTH(M284)</f>
        <v/>
      </c>
      <c r="M284" s="267">
        <f>IFERROR(__xludf.DUMMYFUNCTION("""COMPUTED_VALUE"""),43503.6666666666)</f>
        <v/>
      </c>
      <c r="N284" s="6">
        <f>IFERROR(__xludf.DUMMYFUNCTION("""COMPUTED_VALUE"""),7288.35)</f>
        <v/>
      </c>
      <c r="R284" s="6">
        <f>S284&amp;T284</f>
        <v/>
      </c>
      <c r="S284" s="6">
        <f>YEAR(U284)</f>
        <v/>
      </c>
      <c r="T284" s="6">
        <f>MONTH(U284)</f>
        <v/>
      </c>
      <c r="U284" s="267">
        <f>IFERROR(__xludf.DUMMYFUNCTION("""COMPUTED_VALUE"""),43528.6458333333)</f>
        <v/>
      </c>
      <c r="V284" s="6">
        <f>IFERROR(__xludf.DUMMYFUNCTION("""COMPUTED_VALUE"""),2190.66)</f>
        <v/>
      </c>
      <c r="Z284" s="6">
        <f>AA284&amp;AB284</f>
        <v/>
      </c>
      <c r="AA284" s="6">
        <f>YEAR(AC284)</f>
        <v/>
      </c>
      <c r="AB284" s="6">
        <f>MONTH(AC284)</f>
        <v/>
      </c>
      <c r="AC284" s="267">
        <f>IFERROR(__xludf.DUMMYFUNCTION("""COMPUTED_VALUE"""),43391.9986111111)</f>
        <v/>
      </c>
      <c r="AD284" s="6">
        <f>IFERROR(__xludf.DUMMYFUNCTION("""COMPUTED_VALUE"""),1136.6)</f>
        <v/>
      </c>
      <c r="AH284" s="6">
        <f>AI284&amp;AJ284</f>
        <v/>
      </c>
      <c r="AI284" s="6">
        <f>YEAR(AK284)</f>
        <v/>
      </c>
      <c r="AJ284" s="6">
        <f>MONTH(AK284)</f>
        <v/>
      </c>
      <c r="AK284" s="267">
        <f>IFERROR(__xludf.DUMMYFUNCTION("""COMPUTED_VALUE"""),43376.9986111111)</f>
        <v/>
      </c>
      <c r="AL284" s="6">
        <f>IFERROR(__xludf.DUMMYFUNCTION("""COMPUTED_VALUE"""),6484.92)</f>
        <v/>
      </c>
      <c r="AP284" s="6">
        <f>AQ284&amp;AR284</f>
        <v/>
      </c>
      <c r="AQ284" s="6">
        <f>YEAR(AS284)</f>
        <v/>
      </c>
      <c r="AR284" s="6">
        <f>MONTH(AS284)</f>
        <v/>
      </c>
      <c r="AS284" s="267">
        <f>IFERROR(__xludf.DUMMYFUNCTION("""COMPUTED_VALUE"""),43508.9986111111)</f>
        <v/>
      </c>
      <c r="AT284" s="6">
        <f>IFERROR(__xludf.DUMMYFUNCTION("""COMPUTED_VALUE"""),1314)</f>
        <v/>
      </c>
    </row>
    <row r="285">
      <c r="B285" s="6">
        <f>C285&amp;D285</f>
        <v/>
      </c>
      <c r="C285" s="6">
        <f>YEAR(E285)</f>
        <v/>
      </c>
      <c r="D285" s="6">
        <f>MONTH(E285)</f>
        <v/>
      </c>
      <c r="E285" s="267">
        <f>IFERROR(__xludf.DUMMYFUNCTION("""COMPUTED_VALUE"""),43504.6666666666)</f>
        <v/>
      </c>
      <c r="F285" s="6">
        <f>IFERROR(__xludf.DUMMYFUNCTION("""COMPUTED_VALUE"""),2707.88)</f>
        <v/>
      </c>
      <c r="J285" s="6">
        <f>K285&amp;L285</f>
        <v/>
      </c>
      <c r="K285" s="6">
        <f>YEAR(M285)</f>
        <v/>
      </c>
      <c r="L285" s="6">
        <f>MONTH(M285)</f>
        <v/>
      </c>
      <c r="M285" s="267">
        <f>IFERROR(__xludf.DUMMYFUNCTION("""COMPUTED_VALUE"""),43504.6666666666)</f>
        <v/>
      </c>
      <c r="N285" s="6">
        <f>IFERROR(__xludf.DUMMYFUNCTION("""COMPUTED_VALUE"""),7298.2)</f>
        <v/>
      </c>
      <c r="R285" s="6">
        <f>S285&amp;T285</f>
        <v/>
      </c>
      <c r="S285" s="6">
        <f>YEAR(U285)</f>
        <v/>
      </c>
      <c r="T285" s="6">
        <f>MONTH(U285)</f>
        <v/>
      </c>
      <c r="U285" s="267">
        <f>IFERROR(__xludf.DUMMYFUNCTION("""COMPUTED_VALUE"""),43529.6458333333)</f>
        <v/>
      </c>
      <c r="V285" s="6">
        <f>IFERROR(__xludf.DUMMYFUNCTION("""COMPUTED_VALUE"""),2179.23)</f>
        <v/>
      </c>
      <c r="Z285" s="6">
        <f>AA285&amp;AB285</f>
        <v/>
      </c>
      <c r="AA285" s="6">
        <f>YEAR(AC285)</f>
        <v/>
      </c>
      <c r="AB285" s="6">
        <f>MONTH(AC285)</f>
        <v/>
      </c>
      <c r="AC285" s="267">
        <f>IFERROR(__xludf.DUMMYFUNCTION("""COMPUTED_VALUE"""),43392.9986111111)</f>
        <v/>
      </c>
      <c r="AD285" s="6">
        <f>IFERROR(__xludf.DUMMYFUNCTION("""COMPUTED_VALUE"""),1131.12)</f>
        <v/>
      </c>
      <c r="AH285" s="6">
        <f>AI285&amp;AJ285</f>
        <v/>
      </c>
      <c r="AI285" s="6">
        <f>YEAR(AK285)</f>
        <v/>
      </c>
      <c r="AJ285" s="6">
        <f>MONTH(AK285)</f>
        <v/>
      </c>
      <c r="AK285" s="267">
        <f>IFERROR(__xludf.DUMMYFUNCTION("""COMPUTED_VALUE"""),43377.9986111111)</f>
        <v/>
      </c>
      <c r="AL285" s="6">
        <f>IFERROR(__xludf.DUMMYFUNCTION("""COMPUTED_VALUE"""),6576.6)</f>
        <v/>
      </c>
      <c r="AP285" s="6">
        <f>AQ285&amp;AR285</f>
        <v/>
      </c>
      <c r="AQ285" s="6">
        <f>YEAR(AS285)</f>
        <v/>
      </c>
      <c r="AR285" s="6">
        <f>MONTH(AS285)</f>
        <v/>
      </c>
      <c r="AS285" s="267">
        <f>IFERROR(__xludf.DUMMYFUNCTION("""COMPUTED_VALUE"""),43509.9986111111)</f>
        <v/>
      </c>
      <c r="AT285" s="6">
        <f>IFERROR(__xludf.DUMMYFUNCTION("""COMPUTED_VALUE"""),1315.1)</f>
        <v/>
      </c>
    </row>
    <row r="286">
      <c r="B286" s="6">
        <f>C286&amp;D286</f>
        <v/>
      </c>
      <c r="C286" s="6">
        <f>YEAR(E286)</f>
        <v/>
      </c>
      <c r="D286" s="6">
        <f>MONTH(E286)</f>
        <v/>
      </c>
      <c r="E286" s="267">
        <f>IFERROR(__xludf.DUMMYFUNCTION("""COMPUTED_VALUE"""),43507.6666666666)</f>
        <v/>
      </c>
      <c r="F286" s="6">
        <f>IFERROR(__xludf.DUMMYFUNCTION("""COMPUTED_VALUE"""),2709.8)</f>
        <v/>
      </c>
      <c r="J286" s="6">
        <f>K286&amp;L286</f>
        <v/>
      </c>
      <c r="K286" s="6">
        <f>YEAR(M286)</f>
        <v/>
      </c>
      <c r="L286" s="6">
        <f>MONTH(M286)</f>
        <v/>
      </c>
      <c r="M286" s="267">
        <f>IFERROR(__xludf.DUMMYFUNCTION("""COMPUTED_VALUE"""),43507.6666666666)</f>
        <v/>
      </c>
      <c r="N286" s="6">
        <f>IFERROR(__xludf.DUMMYFUNCTION("""COMPUTED_VALUE"""),7307.91)</f>
        <v/>
      </c>
      <c r="R286" s="6">
        <f>S286&amp;T286</f>
        <v/>
      </c>
      <c r="S286" s="6">
        <f>YEAR(U286)</f>
        <v/>
      </c>
      <c r="T286" s="6">
        <f>MONTH(U286)</f>
        <v/>
      </c>
      <c r="U286" s="267">
        <f>IFERROR(__xludf.DUMMYFUNCTION("""COMPUTED_VALUE"""),43530.6458333333)</f>
        <v/>
      </c>
      <c r="V286" s="6">
        <f>IFERROR(__xludf.DUMMYFUNCTION("""COMPUTED_VALUE"""),2175.6)</f>
        <v/>
      </c>
      <c r="Z286" s="6">
        <f>AA286&amp;AB286</f>
        <v/>
      </c>
      <c r="AA286" s="6">
        <f>YEAR(AC286)</f>
        <v/>
      </c>
      <c r="AB286" s="6">
        <f>MONTH(AC286)</f>
        <v/>
      </c>
      <c r="AC286" s="267">
        <f>IFERROR(__xludf.DUMMYFUNCTION("""COMPUTED_VALUE"""),43394.9986111111)</f>
        <v/>
      </c>
      <c r="AD286" s="6">
        <f>IFERROR(__xludf.DUMMYFUNCTION("""COMPUTED_VALUE"""),1131.6)</f>
        <v/>
      </c>
      <c r="AH286" s="6">
        <f>AI286&amp;AJ286</f>
        <v/>
      </c>
      <c r="AI286" s="6">
        <f>YEAR(AK286)</f>
        <v/>
      </c>
      <c r="AJ286" s="6">
        <f>MONTH(AK286)</f>
        <v/>
      </c>
      <c r="AK286" s="267">
        <f>IFERROR(__xludf.DUMMYFUNCTION("""COMPUTED_VALUE"""),43378.9986111111)</f>
        <v/>
      </c>
      <c r="AL286" s="6">
        <f>IFERROR(__xludf.DUMMYFUNCTION("""COMPUTED_VALUE"""),6614.16)</f>
        <v/>
      </c>
      <c r="AP286" s="6">
        <f>AQ286&amp;AR286</f>
        <v/>
      </c>
      <c r="AQ286" s="6">
        <f>YEAR(AS286)</f>
        <v/>
      </c>
      <c r="AR286" s="6">
        <f>MONTH(AS286)</f>
        <v/>
      </c>
      <c r="AS286" s="267">
        <f>IFERROR(__xludf.DUMMYFUNCTION("""COMPUTED_VALUE"""),43510.9986111111)</f>
        <v/>
      </c>
      <c r="AT286" s="6">
        <f>IFERROR(__xludf.DUMMYFUNCTION("""COMPUTED_VALUE"""),1313.9)</f>
        <v/>
      </c>
    </row>
    <row r="287">
      <c r="B287" s="6">
        <f>C287&amp;D287</f>
        <v/>
      </c>
      <c r="C287" s="6">
        <f>YEAR(E287)</f>
        <v/>
      </c>
      <c r="D287" s="6">
        <f>MONTH(E287)</f>
        <v/>
      </c>
      <c r="E287" s="267">
        <f>IFERROR(__xludf.DUMMYFUNCTION("""COMPUTED_VALUE"""),43508.6666666666)</f>
        <v/>
      </c>
      <c r="F287" s="6">
        <f>IFERROR(__xludf.DUMMYFUNCTION("""COMPUTED_VALUE"""),2744.73)</f>
        <v/>
      </c>
      <c r="J287" s="6">
        <f>K287&amp;L287</f>
        <v/>
      </c>
      <c r="K287" s="6">
        <f>YEAR(M287)</f>
        <v/>
      </c>
      <c r="L287" s="6">
        <f>MONTH(M287)</f>
        <v/>
      </c>
      <c r="M287" s="267">
        <f>IFERROR(__xludf.DUMMYFUNCTION("""COMPUTED_VALUE"""),43508.6666666666)</f>
        <v/>
      </c>
      <c r="N287" s="6">
        <f>IFERROR(__xludf.DUMMYFUNCTION("""COMPUTED_VALUE"""),7414.62)</f>
        <v/>
      </c>
      <c r="R287" s="6">
        <f>S287&amp;T287</f>
        <v/>
      </c>
      <c r="S287" s="6">
        <f>YEAR(U287)</f>
        <v/>
      </c>
      <c r="T287" s="6">
        <f>MONTH(U287)</f>
        <v/>
      </c>
      <c r="U287" s="267">
        <f>IFERROR(__xludf.DUMMYFUNCTION("""COMPUTED_VALUE"""),43531.6458333333)</f>
        <v/>
      </c>
      <c r="V287" s="6">
        <f>IFERROR(__xludf.DUMMYFUNCTION("""COMPUTED_VALUE"""),2165.79)</f>
        <v/>
      </c>
      <c r="Z287" s="6">
        <f>AA287&amp;AB287</f>
        <v/>
      </c>
      <c r="AA287" s="6">
        <f>YEAR(AC287)</f>
        <v/>
      </c>
      <c r="AB287" s="6">
        <f>MONTH(AC287)</f>
        <v/>
      </c>
      <c r="AC287" s="267">
        <f>IFERROR(__xludf.DUMMYFUNCTION("""COMPUTED_VALUE"""),43395.9986111111)</f>
        <v/>
      </c>
      <c r="AD287" s="6">
        <f>IFERROR(__xludf.DUMMYFUNCTION("""COMPUTED_VALUE"""),1131.25)</f>
        <v/>
      </c>
      <c r="AH287" s="6">
        <f>AI287&amp;AJ287</f>
        <v/>
      </c>
      <c r="AI287" s="6">
        <f>YEAR(AK287)</f>
        <v/>
      </c>
      <c r="AJ287" s="6">
        <f>MONTH(AK287)</f>
        <v/>
      </c>
      <c r="AK287" s="267">
        <f>IFERROR(__xludf.DUMMYFUNCTION("""COMPUTED_VALUE"""),43379.9986111111)</f>
        <v/>
      </c>
      <c r="AL287" s="6">
        <f>IFERROR(__xludf.DUMMYFUNCTION("""COMPUTED_VALUE"""),6580.74)</f>
        <v/>
      </c>
      <c r="AP287" s="6">
        <f>AQ287&amp;AR287</f>
        <v/>
      </c>
      <c r="AQ287" s="6">
        <f>YEAR(AS287)</f>
        <v/>
      </c>
      <c r="AR287" s="6">
        <f>MONTH(AS287)</f>
        <v/>
      </c>
      <c r="AS287" s="267">
        <f>IFERROR(__xludf.DUMMYFUNCTION("""COMPUTED_VALUE"""),43515.9986111111)</f>
        <v/>
      </c>
      <c r="AT287" s="6">
        <f>IFERROR(__xludf.DUMMYFUNCTION("""COMPUTED_VALUE"""),1344.8)</f>
        <v/>
      </c>
    </row>
    <row r="288">
      <c r="B288" s="6">
        <f>C288&amp;D288</f>
        <v/>
      </c>
      <c r="C288" s="6">
        <f>YEAR(E288)</f>
        <v/>
      </c>
      <c r="D288" s="6">
        <f>MONTH(E288)</f>
        <v/>
      </c>
      <c r="E288" s="267">
        <f>IFERROR(__xludf.DUMMYFUNCTION("""COMPUTED_VALUE"""),43509.6666666666)</f>
        <v/>
      </c>
      <c r="F288" s="6">
        <f>IFERROR(__xludf.DUMMYFUNCTION("""COMPUTED_VALUE"""),2753.03)</f>
        <v/>
      </c>
      <c r="J288" s="6">
        <f>K288&amp;L288</f>
        <v/>
      </c>
      <c r="K288" s="6">
        <f>YEAR(M288)</f>
        <v/>
      </c>
      <c r="L288" s="6">
        <f>MONTH(M288)</f>
        <v/>
      </c>
      <c r="M288" s="267">
        <f>IFERROR(__xludf.DUMMYFUNCTION("""COMPUTED_VALUE"""),43509.6666666666)</f>
        <v/>
      </c>
      <c r="N288" s="6">
        <f>IFERROR(__xludf.DUMMYFUNCTION("""COMPUTED_VALUE"""),7420.38)</f>
        <v/>
      </c>
      <c r="R288" s="6">
        <f>S288&amp;T288</f>
        <v/>
      </c>
      <c r="S288" s="6">
        <f>YEAR(U288)</f>
        <v/>
      </c>
      <c r="T288" s="6">
        <f>MONTH(U288)</f>
        <v/>
      </c>
      <c r="U288" s="267">
        <f>IFERROR(__xludf.DUMMYFUNCTION("""COMPUTED_VALUE"""),43532.6458333333)</f>
        <v/>
      </c>
      <c r="V288" s="6">
        <f>IFERROR(__xludf.DUMMYFUNCTION("""COMPUTED_VALUE"""),2137.44)</f>
        <v/>
      </c>
      <c r="Z288" s="6">
        <f>AA288&amp;AB288</f>
        <v/>
      </c>
      <c r="AA288" s="6">
        <f>YEAR(AC288)</f>
        <v/>
      </c>
      <c r="AB288" s="6">
        <f>MONTH(AC288)</f>
        <v/>
      </c>
      <c r="AC288" s="267">
        <f>IFERROR(__xludf.DUMMYFUNCTION("""COMPUTED_VALUE"""),43396.9986111111)</f>
        <v/>
      </c>
      <c r="AD288" s="6">
        <f>IFERROR(__xludf.DUMMYFUNCTION("""COMPUTED_VALUE"""),1136.64)</f>
        <v/>
      </c>
      <c r="AH288" s="6">
        <f>AI288&amp;AJ288</f>
        <v/>
      </c>
      <c r="AI288" s="6">
        <f>YEAR(AK288)</f>
        <v/>
      </c>
      <c r="AJ288" s="6">
        <f>MONTH(AK288)</f>
        <v/>
      </c>
      <c r="AK288" s="267">
        <f>IFERROR(__xludf.DUMMYFUNCTION("""COMPUTED_VALUE"""),43380.9986111111)</f>
        <v/>
      </c>
      <c r="AL288" s="6">
        <f>IFERROR(__xludf.DUMMYFUNCTION("""COMPUTED_VALUE"""),6587.88)</f>
        <v/>
      </c>
      <c r="AP288" s="6">
        <f>AQ288&amp;AR288</f>
        <v/>
      </c>
      <c r="AQ288" s="6">
        <f>YEAR(AS288)</f>
        <v/>
      </c>
      <c r="AR288" s="6">
        <f>MONTH(AS288)</f>
        <v/>
      </c>
      <c r="AS288" s="267">
        <f>IFERROR(__xludf.DUMMYFUNCTION("""COMPUTED_VALUE"""),43516.9986111111)</f>
        <v/>
      </c>
      <c r="AT288" s="6">
        <f>IFERROR(__xludf.DUMMYFUNCTION("""COMPUTED_VALUE"""),1347.9)</f>
        <v/>
      </c>
    </row>
    <row r="289">
      <c r="B289" s="6">
        <f>C289&amp;D289</f>
        <v/>
      </c>
      <c r="C289" s="6">
        <f>YEAR(E289)</f>
        <v/>
      </c>
      <c r="D289" s="6">
        <f>MONTH(E289)</f>
        <v/>
      </c>
      <c r="E289" s="267">
        <f>IFERROR(__xludf.DUMMYFUNCTION("""COMPUTED_VALUE"""),43510.6666666666)</f>
        <v/>
      </c>
      <c r="F289" s="6">
        <f>IFERROR(__xludf.DUMMYFUNCTION("""COMPUTED_VALUE"""),2745.73)</f>
        <v/>
      </c>
      <c r="J289" s="6">
        <f>K289&amp;L289</f>
        <v/>
      </c>
      <c r="K289" s="6">
        <f>YEAR(M289)</f>
        <v/>
      </c>
      <c r="L289" s="6">
        <f>MONTH(M289)</f>
        <v/>
      </c>
      <c r="M289" s="267">
        <f>IFERROR(__xludf.DUMMYFUNCTION("""COMPUTED_VALUE"""),43510.6666666666)</f>
        <v/>
      </c>
      <c r="N289" s="6">
        <f>IFERROR(__xludf.DUMMYFUNCTION("""COMPUTED_VALUE"""),7426.96)</f>
        <v/>
      </c>
      <c r="R289" s="6">
        <f>S289&amp;T289</f>
        <v/>
      </c>
      <c r="S289" s="6">
        <f>YEAR(U289)</f>
        <v/>
      </c>
      <c r="T289" s="6">
        <f>MONTH(U289)</f>
        <v/>
      </c>
      <c r="U289" s="267">
        <f>IFERROR(__xludf.DUMMYFUNCTION("""COMPUTED_VALUE"""),43535.6458333333)</f>
        <v/>
      </c>
      <c r="V289" s="6">
        <f>IFERROR(__xludf.DUMMYFUNCTION("""COMPUTED_VALUE"""),2138.1)</f>
        <v/>
      </c>
      <c r="Z289" s="6">
        <f>AA289&amp;AB289</f>
        <v/>
      </c>
      <c r="AA289" s="6">
        <f>YEAR(AC289)</f>
        <v/>
      </c>
      <c r="AB289" s="6">
        <f>MONTH(AC289)</f>
        <v/>
      </c>
      <c r="AC289" s="267">
        <f>IFERROR(__xludf.DUMMYFUNCTION("""COMPUTED_VALUE"""),43397.9986111111)</f>
        <v/>
      </c>
      <c r="AD289" s="6">
        <f>IFERROR(__xludf.DUMMYFUNCTION("""COMPUTED_VALUE"""),1137.56)</f>
        <v/>
      </c>
      <c r="AH289" s="6">
        <f>AI289&amp;AJ289</f>
        <v/>
      </c>
      <c r="AI289" s="6">
        <f>YEAR(AK289)</f>
        <v/>
      </c>
      <c r="AJ289" s="6">
        <f>MONTH(AK289)</f>
        <v/>
      </c>
      <c r="AK289" s="267">
        <f>IFERROR(__xludf.DUMMYFUNCTION("""COMPUTED_VALUE"""),43381.9986111111)</f>
        <v/>
      </c>
      <c r="AL289" s="6">
        <f>IFERROR(__xludf.DUMMYFUNCTION("""COMPUTED_VALUE"""),6648.31)</f>
        <v/>
      </c>
      <c r="AP289" s="6">
        <f>AQ289&amp;AR289</f>
        <v/>
      </c>
      <c r="AQ289" s="6">
        <f>YEAR(AS289)</f>
        <v/>
      </c>
      <c r="AR289" s="6">
        <f>MONTH(AS289)</f>
        <v/>
      </c>
      <c r="AS289" s="267">
        <f>IFERROR(__xludf.DUMMYFUNCTION("""COMPUTED_VALUE"""),43517.9986111111)</f>
        <v/>
      </c>
      <c r="AT289" s="6">
        <f>IFERROR(__xludf.DUMMYFUNCTION("""COMPUTED_VALUE"""),1327.8)</f>
        <v/>
      </c>
    </row>
    <row r="290">
      <c r="B290" s="6">
        <f>C290&amp;D290</f>
        <v/>
      </c>
      <c r="C290" s="6">
        <f>YEAR(E290)</f>
        <v/>
      </c>
      <c r="D290" s="6">
        <f>MONTH(E290)</f>
        <v/>
      </c>
      <c r="E290" s="267">
        <f>IFERROR(__xludf.DUMMYFUNCTION("""COMPUTED_VALUE"""),43511.6666666666)</f>
        <v/>
      </c>
      <c r="F290" s="6">
        <f>IFERROR(__xludf.DUMMYFUNCTION("""COMPUTED_VALUE"""),2775.6)</f>
        <v/>
      </c>
      <c r="J290" s="6">
        <f>K290&amp;L290</f>
        <v/>
      </c>
      <c r="K290" s="6">
        <f>YEAR(M290)</f>
        <v/>
      </c>
      <c r="L290" s="6">
        <f>MONTH(M290)</f>
        <v/>
      </c>
      <c r="M290" s="267">
        <f>IFERROR(__xludf.DUMMYFUNCTION("""COMPUTED_VALUE"""),43511.6666666666)</f>
        <v/>
      </c>
      <c r="N290" s="6">
        <f>IFERROR(__xludf.DUMMYFUNCTION("""COMPUTED_VALUE"""),7472.41)</f>
        <v/>
      </c>
      <c r="R290" s="6">
        <f>S290&amp;T290</f>
        <v/>
      </c>
      <c r="S290" s="6">
        <f>YEAR(U290)</f>
        <v/>
      </c>
      <c r="T290" s="6">
        <f>MONTH(U290)</f>
        <v/>
      </c>
      <c r="U290" s="267">
        <f>IFERROR(__xludf.DUMMYFUNCTION("""COMPUTED_VALUE"""),43536.6458333333)</f>
        <v/>
      </c>
      <c r="V290" s="6">
        <f>IFERROR(__xludf.DUMMYFUNCTION("""COMPUTED_VALUE"""),2157.18)</f>
        <v/>
      </c>
      <c r="Z290" s="6">
        <f>AA290&amp;AB290</f>
        <v/>
      </c>
      <c r="AA290" s="6">
        <f>YEAR(AC290)</f>
        <v/>
      </c>
      <c r="AB290" s="6">
        <f>MONTH(AC290)</f>
        <v/>
      </c>
      <c r="AC290" s="267">
        <f>IFERROR(__xludf.DUMMYFUNCTION("""COMPUTED_VALUE"""),43398.9986111111)</f>
        <v/>
      </c>
      <c r="AD290" s="6">
        <f>IFERROR(__xludf.DUMMYFUNCTION("""COMPUTED_VALUE"""),1135.23)</f>
        <v/>
      </c>
      <c r="AH290" s="6">
        <f>AI290&amp;AJ290</f>
        <v/>
      </c>
      <c r="AI290" s="6">
        <f>YEAR(AK290)</f>
        <v/>
      </c>
      <c r="AJ290" s="6">
        <f>MONTH(AK290)</f>
        <v/>
      </c>
      <c r="AK290" s="267">
        <f>IFERROR(__xludf.DUMMYFUNCTION("""COMPUTED_VALUE"""),43382.9986111111)</f>
        <v/>
      </c>
      <c r="AL290" s="6">
        <f>IFERROR(__xludf.DUMMYFUNCTION("""COMPUTED_VALUE"""),6632.57)</f>
        <v/>
      </c>
      <c r="AP290" s="6">
        <f>AQ290&amp;AR290</f>
        <v/>
      </c>
      <c r="AQ290" s="6">
        <f>YEAR(AS290)</f>
        <v/>
      </c>
      <c r="AR290" s="6">
        <f>MONTH(AS290)</f>
        <v/>
      </c>
      <c r="AS290" s="267">
        <f>IFERROR(__xludf.DUMMYFUNCTION("""COMPUTED_VALUE"""),43518.9986111111)</f>
        <v/>
      </c>
      <c r="AT290" s="6">
        <f>IFERROR(__xludf.DUMMYFUNCTION("""COMPUTED_VALUE"""),1332.8)</f>
        <v/>
      </c>
    </row>
    <row r="291">
      <c r="B291" s="6">
        <f>C291&amp;D291</f>
        <v/>
      </c>
      <c r="C291" s="6">
        <f>YEAR(E291)</f>
        <v/>
      </c>
      <c r="D291" s="6">
        <f>MONTH(E291)</f>
        <v/>
      </c>
      <c r="E291" s="267">
        <f>IFERROR(__xludf.DUMMYFUNCTION("""COMPUTED_VALUE"""),43515.6666666666)</f>
        <v/>
      </c>
      <c r="F291" s="6">
        <f>IFERROR(__xludf.DUMMYFUNCTION("""COMPUTED_VALUE"""),2779.76)</f>
        <v/>
      </c>
      <c r="J291" s="6">
        <f>K291&amp;L291</f>
        <v/>
      </c>
      <c r="K291" s="6">
        <f>YEAR(M291)</f>
        <v/>
      </c>
      <c r="L291" s="6">
        <f>MONTH(M291)</f>
        <v/>
      </c>
      <c r="M291" s="267">
        <f>IFERROR(__xludf.DUMMYFUNCTION("""COMPUTED_VALUE"""),43515.6666666666)</f>
        <v/>
      </c>
      <c r="N291" s="6">
        <f>IFERROR(__xludf.DUMMYFUNCTION("""COMPUTED_VALUE"""),7486.77)</f>
        <v/>
      </c>
      <c r="R291" s="6">
        <f>S291&amp;T291</f>
        <v/>
      </c>
      <c r="S291" s="6">
        <f>YEAR(U291)</f>
        <v/>
      </c>
      <c r="T291" s="6">
        <f>MONTH(U291)</f>
        <v/>
      </c>
      <c r="U291" s="267">
        <f>IFERROR(__xludf.DUMMYFUNCTION("""COMPUTED_VALUE"""),43537.6458333333)</f>
        <v/>
      </c>
      <c r="V291" s="6">
        <f>IFERROR(__xludf.DUMMYFUNCTION("""COMPUTED_VALUE"""),2148.41)</f>
        <v/>
      </c>
      <c r="Z291" s="6">
        <f>AA291&amp;AB291</f>
        <v/>
      </c>
      <c r="AA291" s="6">
        <f>YEAR(AC291)</f>
        <v/>
      </c>
      <c r="AB291" s="6">
        <f>MONTH(AC291)</f>
        <v/>
      </c>
      <c r="AC291" s="267">
        <f>IFERROR(__xludf.DUMMYFUNCTION("""COMPUTED_VALUE"""),43399.9986111111)</f>
        <v/>
      </c>
      <c r="AD291" s="6">
        <f>IFERROR(__xludf.DUMMYFUNCTION("""COMPUTED_VALUE"""),1139.35)</f>
        <v/>
      </c>
      <c r="AH291" s="6">
        <f>AI291&amp;AJ291</f>
        <v/>
      </c>
      <c r="AI291" s="6">
        <f>YEAR(AK291)</f>
        <v/>
      </c>
      <c r="AJ291" s="6">
        <f>MONTH(AK291)</f>
        <v/>
      </c>
      <c r="AK291" s="267">
        <f>IFERROR(__xludf.DUMMYFUNCTION("""COMPUTED_VALUE"""),43383.9986111111)</f>
        <v/>
      </c>
      <c r="AL291" s="6">
        <f>IFERROR(__xludf.DUMMYFUNCTION("""COMPUTED_VALUE"""),6555.78)</f>
        <v/>
      </c>
      <c r="AP291" s="6">
        <f>AQ291&amp;AR291</f>
        <v/>
      </c>
      <c r="AQ291" s="6">
        <f>YEAR(AS291)</f>
        <v/>
      </c>
      <c r="AR291" s="6">
        <f>MONTH(AS291)</f>
        <v/>
      </c>
      <c r="AS291" s="267">
        <f>IFERROR(__xludf.DUMMYFUNCTION("""COMPUTED_VALUE"""),43521.9986111111)</f>
        <v/>
      </c>
      <c r="AT291" s="6">
        <f>IFERROR(__xludf.DUMMYFUNCTION("""COMPUTED_VALUE"""),1329.5)</f>
        <v/>
      </c>
    </row>
    <row r="292">
      <c r="B292" s="6">
        <f>C292&amp;D292</f>
        <v/>
      </c>
      <c r="C292" s="6">
        <f>YEAR(E292)</f>
        <v/>
      </c>
      <c r="D292" s="6">
        <f>MONTH(E292)</f>
        <v/>
      </c>
      <c r="E292" s="267">
        <f>IFERROR(__xludf.DUMMYFUNCTION("""COMPUTED_VALUE"""),43516.6666666666)</f>
        <v/>
      </c>
      <c r="F292" s="6">
        <f>IFERROR(__xludf.DUMMYFUNCTION("""COMPUTED_VALUE"""),2784.7)</f>
        <v/>
      </c>
      <c r="J292" s="6">
        <f>K292&amp;L292</f>
        <v/>
      </c>
      <c r="K292" s="6">
        <f>YEAR(M292)</f>
        <v/>
      </c>
      <c r="L292" s="6">
        <f>MONTH(M292)</f>
        <v/>
      </c>
      <c r="M292" s="267">
        <f>IFERROR(__xludf.DUMMYFUNCTION("""COMPUTED_VALUE"""),43516.6666666666)</f>
        <v/>
      </c>
      <c r="N292" s="6">
        <f>IFERROR(__xludf.DUMMYFUNCTION("""COMPUTED_VALUE"""),7489.07)</f>
        <v/>
      </c>
      <c r="R292" s="6">
        <f>S292&amp;T292</f>
        <v/>
      </c>
      <c r="S292" s="6">
        <f>YEAR(U292)</f>
        <v/>
      </c>
      <c r="T292" s="6">
        <f>MONTH(U292)</f>
        <v/>
      </c>
      <c r="U292" s="267">
        <f>IFERROR(__xludf.DUMMYFUNCTION("""COMPUTED_VALUE"""),43538.6458333333)</f>
        <v/>
      </c>
      <c r="V292" s="6">
        <f>IFERROR(__xludf.DUMMYFUNCTION("""COMPUTED_VALUE"""),2155.68)</f>
        <v/>
      </c>
      <c r="Z292" s="6">
        <f>AA292&amp;AB292</f>
        <v/>
      </c>
      <c r="AA292" s="6">
        <f>YEAR(AC292)</f>
        <v/>
      </c>
      <c r="AB292" s="6">
        <f>MONTH(AC292)</f>
        <v/>
      </c>
      <c r="AC292" s="267">
        <f>IFERROR(__xludf.DUMMYFUNCTION("""COMPUTED_VALUE"""),43400.9986111111)</f>
        <v/>
      </c>
      <c r="AD292" s="6">
        <f>IFERROR(__xludf.DUMMYFUNCTION("""COMPUTED_VALUE"""),1139.35)</f>
        <v/>
      </c>
      <c r="AH292" s="6">
        <f>AI292&amp;AJ292</f>
        <v/>
      </c>
      <c r="AI292" s="6">
        <f>YEAR(AK292)</f>
        <v/>
      </c>
      <c r="AJ292" s="6">
        <f>MONTH(AK292)</f>
        <v/>
      </c>
      <c r="AK292" s="267">
        <f>IFERROR(__xludf.DUMMYFUNCTION("""COMPUTED_VALUE"""),43384.9986111111)</f>
        <v/>
      </c>
      <c r="AL292" s="6">
        <f>IFERROR(__xludf.DUMMYFUNCTION("""COMPUTED_VALUE"""),6210.11)</f>
        <v/>
      </c>
      <c r="AP292" s="6">
        <f>AQ292&amp;AR292</f>
        <v/>
      </c>
      <c r="AQ292" s="6">
        <f>YEAR(AS292)</f>
        <v/>
      </c>
      <c r="AR292" s="6">
        <f>MONTH(AS292)</f>
        <v/>
      </c>
      <c r="AS292" s="267">
        <f>IFERROR(__xludf.DUMMYFUNCTION("""COMPUTED_VALUE"""),43522.9986111111)</f>
        <v/>
      </c>
      <c r="AT292" s="6">
        <f>IFERROR(__xludf.DUMMYFUNCTION("""COMPUTED_VALUE"""),1328.5)</f>
        <v/>
      </c>
    </row>
    <row r="293">
      <c r="B293" s="6">
        <f>C293&amp;D293</f>
        <v/>
      </c>
      <c r="C293" s="6">
        <f>YEAR(E293)</f>
        <v/>
      </c>
      <c r="D293" s="6">
        <f>MONTH(E293)</f>
        <v/>
      </c>
      <c r="E293" s="267">
        <f>IFERROR(__xludf.DUMMYFUNCTION("""COMPUTED_VALUE"""),43517.6666666666)</f>
        <v/>
      </c>
      <c r="F293" s="6">
        <f>IFERROR(__xludf.DUMMYFUNCTION("""COMPUTED_VALUE"""),2774.88)</f>
        <v/>
      </c>
      <c r="J293" s="6">
        <f>K293&amp;L293</f>
        <v/>
      </c>
      <c r="K293" s="6">
        <f>YEAR(M293)</f>
        <v/>
      </c>
      <c r="L293" s="6">
        <f>MONTH(M293)</f>
        <v/>
      </c>
      <c r="M293" s="267">
        <f>IFERROR(__xludf.DUMMYFUNCTION("""COMPUTED_VALUE"""),43517.6666666666)</f>
        <v/>
      </c>
      <c r="N293" s="6">
        <f>IFERROR(__xludf.DUMMYFUNCTION("""COMPUTED_VALUE"""),7459.71)</f>
        <v/>
      </c>
      <c r="R293" s="6">
        <f>S293&amp;T293</f>
        <v/>
      </c>
      <c r="S293" s="6">
        <f>YEAR(U293)</f>
        <v/>
      </c>
      <c r="T293" s="6">
        <f>MONTH(U293)</f>
        <v/>
      </c>
      <c r="U293" s="267">
        <f>IFERROR(__xludf.DUMMYFUNCTION("""COMPUTED_VALUE"""),43539.6458333333)</f>
        <v/>
      </c>
      <c r="V293" s="6">
        <f>IFERROR(__xludf.DUMMYFUNCTION("""COMPUTED_VALUE"""),2176.11)</f>
        <v/>
      </c>
      <c r="Z293" s="6">
        <f>AA293&amp;AB293</f>
        <v/>
      </c>
      <c r="AA293" s="6">
        <f>YEAR(AC293)</f>
        <v/>
      </c>
      <c r="AB293" s="6">
        <f>MONTH(AC293)</f>
        <v/>
      </c>
      <c r="AC293" s="267">
        <f>IFERROR(__xludf.DUMMYFUNCTION("""COMPUTED_VALUE"""),43401.9986111111)</f>
        <v/>
      </c>
      <c r="AD293" s="6">
        <f>IFERROR(__xludf.DUMMYFUNCTION("""COMPUTED_VALUE"""),1139.5)</f>
        <v/>
      </c>
      <c r="AH293" s="6">
        <f>AI293&amp;AJ293</f>
        <v/>
      </c>
      <c r="AI293" s="6">
        <f>YEAR(AK293)</f>
        <v/>
      </c>
      <c r="AJ293" s="6">
        <f>MONTH(AK293)</f>
        <v/>
      </c>
      <c r="AK293" s="267">
        <f>IFERROR(__xludf.DUMMYFUNCTION("""COMPUTED_VALUE"""),43385.9986111111)</f>
        <v/>
      </c>
      <c r="AL293" s="6">
        <f>IFERROR(__xludf.DUMMYFUNCTION("""COMPUTED_VALUE"""),6214.35)</f>
        <v/>
      </c>
      <c r="AP293" s="6">
        <f>AQ293&amp;AR293</f>
        <v/>
      </c>
      <c r="AQ293" s="6">
        <f>YEAR(AS293)</f>
        <v/>
      </c>
      <c r="AR293" s="6">
        <f>MONTH(AS293)</f>
        <v/>
      </c>
      <c r="AS293" s="267">
        <f>IFERROR(__xludf.DUMMYFUNCTION("""COMPUTED_VALUE"""),43523.9986111111)</f>
        <v/>
      </c>
      <c r="AT293" s="6">
        <f>IFERROR(__xludf.DUMMYFUNCTION("""COMPUTED_VALUE"""),1321.2)</f>
        <v/>
      </c>
    </row>
    <row r="294">
      <c r="B294" s="6">
        <f>C294&amp;D294</f>
        <v/>
      </c>
      <c r="C294" s="6">
        <f>YEAR(E294)</f>
        <v/>
      </c>
      <c r="D294" s="6">
        <f>MONTH(E294)</f>
        <v/>
      </c>
      <c r="E294" s="267">
        <f>IFERROR(__xludf.DUMMYFUNCTION("""COMPUTED_VALUE"""),43518.6666666666)</f>
        <v/>
      </c>
      <c r="F294" s="6">
        <f>IFERROR(__xludf.DUMMYFUNCTION("""COMPUTED_VALUE"""),2792.67)</f>
        <v/>
      </c>
      <c r="J294" s="6">
        <f>K294&amp;L294</f>
        <v/>
      </c>
      <c r="K294" s="6">
        <f>YEAR(M294)</f>
        <v/>
      </c>
      <c r="L294" s="6">
        <f>MONTH(M294)</f>
        <v/>
      </c>
      <c r="M294" s="267">
        <f>IFERROR(__xludf.DUMMYFUNCTION("""COMPUTED_VALUE"""),43518.6666666666)</f>
        <v/>
      </c>
      <c r="N294" s="6">
        <f>IFERROR(__xludf.DUMMYFUNCTION("""COMPUTED_VALUE"""),7527.55)</f>
        <v/>
      </c>
      <c r="R294" s="6">
        <f>S294&amp;T294</f>
        <v/>
      </c>
      <c r="S294" s="6">
        <f>YEAR(U294)</f>
        <v/>
      </c>
      <c r="T294" s="6">
        <f>MONTH(U294)</f>
        <v/>
      </c>
      <c r="U294" s="267">
        <f>IFERROR(__xludf.DUMMYFUNCTION("""COMPUTED_VALUE"""),43542.6458333333)</f>
        <v/>
      </c>
      <c r="V294" s="6">
        <f>IFERROR(__xludf.DUMMYFUNCTION("""COMPUTED_VALUE"""),2179.49)</f>
        <v/>
      </c>
      <c r="Z294" s="6">
        <f>AA294&amp;AB294</f>
        <v/>
      </c>
      <c r="AA294" s="6">
        <f>YEAR(AC294)</f>
        <v/>
      </c>
      <c r="AB294" s="6">
        <f>MONTH(AC294)</f>
        <v/>
      </c>
      <c r="AC294" s="267">
        <f>IFERROR(__xludf.DUMMYFUNCTION("""COMPUTED_VALUE"""),43402.9986111111)</f>
        <v/>
      </c>
      <c r="AD294" s="6">
        <f>IFERROR(__xludf.DUMMYFUNCTION("""COMPUTED_VALUE"""),1142.08)</f>
        <v/>
      </c>
      <c r="AH294" s="6">
        <f>AI294&amp;AJ294</f>
        <v/>
      </c>
      <c r="AI294" s="6">
        <f>YEAR(AK294)</f>
        <v/>
      </c>
      <c r="AJ294" s="6">
        <f>MONTH(AK294)</f>
        <v/>
      </c>
      <c r="AK294" s="267">
        <f>IFERROR(__xludf.DUMMYFUNCTION("""COMPUTED_VALUE"""),43386.9986111111)</f>
        <v/>
      </c>
      <c r="AL294" s="6">
        <f>IFERROR(__xludf.DUMMYFUNCTION("""COMPUTED_VALUE"""),6288.44)</f>
        <v/>
      </c>
      <c r="AP294" s="6">
        <f>AQ294&amp;AR294</f>
        <v/>
      </c>
      <c r="AQ294" s="6">
        <f>YEAR(AS294)</f>
        <v/>
      </c>
      <c r="AR294" s="6">
        <f>MONTH(AS294)</f>
        <v/>
      </c>
      <c r="AS294" s="267">
        <f>IFERROR(__xludf.DUMMYFUNCTION("""COMPUTED_VALUE"""),43524.9986111111)</f>
        <v/>
      </c>
      <c r="AT294" s="6">
        <f>IFERROR(__xludf.DUMMYFUNCTION("""COMPUTED_VALUE"""),1316.1)</f>
        <v/>
      </c>
    </row>
    <row r="295">
      <c r="B295" s="6">
        <f>C295&amp;D295</f>
        <v/>
      </c>
      <c r="C295" s="6">
        <f>YEAR(E295)</f>
        <v/>
      </c>
      <c r="D295" s="6">
        <f>MONTH(E295)</f>
        <v/>
      </c>
      <c r="E295" s="267">
        <f>IFERROR(__xludf.DUMMYFUNCTION("""COMPUTED_VALUE"""),43521.6666666666)</f>
        <v/>
      </c>
      <c r="F295" s="6">
        <f>IFERROR(__xludf.DUMMYFUNCTION("""COMPUTED_VALUE"""),2796.11)</f>
        <v/>
      </c>
      <c r="J295" s="6">
        <f>K295&amp;L295</f>
        <v/>
      </c>
      <c r="K295" s="6">
        <f>YEAR(M295)</f>
        <v/>
      </c>
      <c r="L295" s="6">
        <f>MONTH(M295)</f>
        <v/>
      </c>
      <c r="M295" s="267">
        <f>IFERROR(__xludf.DUMMYFUNCTION("""COMPUTED_VALUE"""),43521.6666666666)</f>
        <v/>
      </c>
      <c r="N295" s="6">
        <f>IFERROR(__xludf.DUMMYFUNCTION("""COMPUTED_VALUE"""),7554.46)</f>
        <v/>
      </c>
      <c r="R295" s="6">
        <f>S295&amp;T295</f>
        <v/>
      </c>
      <c r="S295" s="6">
        <f>YEAR(U295)</f>
        <v/>
      </c>
      <c r="T295" s="6">
        <f>MONTH(U295)</f>
        <v/>
      </c>
      <c r="U295" s="267">
        <f>IFERROR(__xludf.DUMMYFUNCTION("""COMPUTED_VALUE"""),43543.6458333333)</f>
        <v/>
      </c>
      <c r="V295" s="6">
        <f>IFERROR(__xludf.DUMMYFUNCTION("""COMPUTED_VALUE"""),2177.62)</f>
        <v/>
      </c>
      <c r="Z295" s="6">
        <f>AA295&amp;AB295</f>
        <v/>
      </c>
      <c r="AA295" s="6">
        <f>YEAR(AC295)</f>
        <v/>
      </c>
      <c r="AB295" s="6">
        <f>MONTH(AC295)</f>
        <v/>
      </c>
      <c r="AC295" s="267">
        <f>IFERROR(__xludf.DUMMYFUNCTION("""COMPUTED_VALUE"""),43403.9986111111)</f>
        <v/>
      </c>
      <c r="AD295" s="6">
        <f>IFERROR(__xludf.DUMMYFUNCTION("""COMPUTED_VALUE"""),1137.7)</f>
        <v/>
      </c>
      <c r="AH295" s="6">
        <f>AI295&amp;AJ295</f>
        <v/>
      </c>
      <c r="AI295" s="6">
        <f>YEAR(AK295)</f>
        <v/>
      </c>
      <c r="AJ295" s="6">
        <f>MONTH(AK295)</f>
        <v/>
      </c>
      <c r="AK295" s="267">
        <f>IFERROR(__xludf.DUMMYFUNCTION("""COMPUTED_VALUE"""),43387.9986111111)</f>
        <v/>
      </c>
      <c r="AL295" s="6">
        <f>IFERROR(__xludf.DUMMYFUNCTION("""COMPUTED_VALUE"""),6267.51)</f>
        <v/>
      </c>
      <c r="AP295" s="6">
        <f>AQ295&amp;AR295</f>
        <v/>
      </c>
      <c r="AQ295" s="6">
        <f>YEAR(AS295)</f>
        <v/>
      </c>
      <c r="AR295" s="6">
        <f>MONTH(AS295)</f>
        <v/>
      </c>
      <c r="AS295" s="267">
        <f>IFERROR(__xludf.DUMMYFUNCTION("""COMPUTED_VALUE"""),43525.9986111111)</f>
        <v/>
      </c>
      <c r="AT295" s="6">
        <f>IFERROR(__xludf.DUMMYFUNCTION("""COMPUTED_VALUE"""),1299.2)</f>
        <v/>
      </c>
    </row>
    <row r="296">
      <c r="B296" s="6">
        <f>C296&amp;D296</f>
        <v/>
      </c>
      <c r="C296" s="6">
        <f>YEAR(E296)</f>
        <v/>
      </c>
      <c r="D296" s="6">
        <f>MONTH(E296)</f>
        <v/>
      </c>
      <c r="E296" s="267">
        <f>IFERROR(__xludf.DUMMYFUNCTION("""COMPUTED_VALUE"""),43522.6666666666)</f>
        <v/>
      </c>
      <c r="F296" s="6">
        <f>IFERROR(__xludf.DUMMYFUNCTION("""COMPUTED_VALUE"""),2793.9)</f>
        <v/>
      </c>
      <c r="J296" s="6">
        <f>K296&amp;L296</f>
        <v/>
      </c>
      <c r="K296" s="6">
        <f>YEAR(M296)</f>
        <v/>
      </c>
      <c r="L296" s="6">
        <f>MONTH(M296)</f>
        <v/>
      </c>
      <c r="M296" s="267">
        <f>IFERROR(__xludf.DUMMYFUNCTION("""COMPUTED_VALUE"""),43522.6666666666)</f>
        <v/>
      </c>
      <c r="N296" s="6">
        <f>IFERROR(__xludf.DUMMYFUNCTION("""COMPUTED_VALUE"""),7549.3)</f>
        <v/>
      </c>
      <c r="R296" s="6">
        <f>S296&amp;T296</f>
        <v/>
      </c>
      <c r="S296" s="6">
        <f>YEAR(U296)</f>
        <v/>
      </c>
      <c r="T296" s="6">
        <f>MONTH(U296)</f>
        <v/>
      </c>
      <c r="U296" s="267">
        <f>IFERROR(__xludf.DUMMYFUNCTION("""COMPUTED_VALUE"""),43544.6458333333)</f>
        <v/>
      </c>
      <c r="V296" s="6">
        <f>IFERROR(__xludf.DUMMYFUNCTION("""COMPUTED_VALUE"""),2177.1)</f>
        <v/>
      </c>
      <c r="Z296" s="6">
        <f>AA296&amp;AB296</f>
        <v/>
      </c>
      <c r="AA296" s="6">
        <f>YEAR(AC296)</f>
        <v/>
      </c>
      <c r="AB296" s="6">
        <f>MONTH(AC296)</f>
        <v/>
      </c>
      <c r="AC296" s="267">
        <f>IFERROR(__xludf.DUMMYFUNCTION("""COMPUTED_VALUE"""),43404.9986111111)</f>
        <v/>
      </c>
      <c r="AD296" s="6">
        <f>IFERROR(__xludf.DUMMYFUNCTION("""COMPUTED_VALUE"""),1140.97)</f>
        <v/>
      </c>
      <c r="AH296" s="6">
        <f>AI296&amp;AJ296</f>
        <v/>
      </c>
      <c r="AI296" s="6">
        <f>YEAR(AK296)</f>
        <v/>
      </c>
      <c r="AJ296" s="6">
        <f>MONTH(AK296)</f>
        <v/>
      </c>
      <c r="AK296" s="267">
        <f>IFERROR(__xludf.DUMMYFUNCTION("""COMPUTED_VALUE"""),43388.9986111111)</f>
        <v/>
      </c>
      <c r="AL296" s="6">
        <f>IFERROR(__xludf.DUMMYFUNCTION("""COMPUTED_VALUE"""),6508.55)</f>
        <v/>
      </c>
      <c r="AP296" s="6">
        <f>AQ296&amp;AR296</f>
        <v/>
      </c>
      <c r="AQ296" s="6">
        <f>YEAR(AS296)</f>
        <v/>
      </c>
      <c r="AR296" s="6">
        <f>MONTH(AS296)</f>
        <v/>
      </c>
      <c r="AS296" s="267">
        <f>IFERROR(__xludf.DUMMYFUNCTION("""COMPUTED_VALUE"""),43528.9986111111)</f>
        <v/>
      </c>
      <c r="AT296" s="6">
        <f>IFERROR(__xludf.DUMMYFUNCTION("""COMPUTED_VALUE"""),1287.5)</f>
        <v/>
      </c>
    </row>
    <row r="297">
      <c r="B297" s="6">
        <f>C297&amp;D297</f>
        <v/>
      </c>
      <c r="C297" s="6">
        <f>YEAR(E297)</f>
        <v/>
      </c>
      <c r="D297" s="6">
        <f>MONTH(E297)</f>
        <v/>
      </c>
      <c r="E297" s="267">
        <f>IFERROR(__xludf.DUMMYFUNCTION("""COMPUTED_VALUE"""),43523.6666666666)</f>
        <v/>
      </c>
      <c r="F297" s="6">
        <f>IFERROR(__xludf.DUMMYFUNCTION("""COMPUTED_VALUE"""),2792.38)</f>
        <v/>
      </c>
      <c r="J297" s="6">
        <f>K297&amp;L297</f>
        <v/>
      </c>
      <c r="K297" s="6">
        <f>YEAR(M297)</f>
        <v/>
      </c>
      <c r="L297" s="6">
        <f>MONTH(M297)</f>
        <v/>
      </c>
      <c r="M297" s="267">
        <f>IFERROR(__xludf.DUMMYFUNCTION("""COMPUTED_VALUE"""),43523.6666666666)</f>
        <v/>
      </c>
      <c r="N297" s="6">
        <f>IFERROR(__xludf.DUMMYFUNCTION("""COMPUTED_VALUE"""),7554.51)</f>
        <v/>
      </c>
      <c r="R297" s="6">
        <f>S297&amp;T297</f>
        <v/>
      </c>
      <c r="S297" s="6">
        <f>YEAR(U297)</f>
        <v/>
      </c>
      <c r="T297" s="6">
        <f>MONTH(U297)</f>
        <v/>
      </c>
      <c r="U297" s="267">
        <f>IFERROR(__xludf.DUMMYFUNCTION("""COMPUTED_VALUE"""),43545.6458333333)</f>
        <v/>
      </c>
      <c r="V297" s="6">
        <f>IFERROR(__xludf.DUMMYFUNCTION("""COMPUTED_VALUE"""),2184.88)</f>
        <v/>
      </c>
      <c r="Z297" s="6">
        <f>AA297&amp;AB297</f>
        <v/>
      </c>
      <c r="AA297" s="6">
        <f>YEAR(AC297)</f>
        <v/>
      </c>
      <c r="AB297" s="6">
        <f>MONTH(AC297)</f>
        <v/>
      </c>
      <c r="AC297" s="267">
        <f>IFERROR(__xludf.DUMMYFUNCTION("""COMPUTED_VALUE"""),43405.9986111111)</f>
        <v/>
      </c>
      <c r="AD297" s="6">
        <f>IFERROR(__xludf.DUMMYFUNCTION("""COMPUTED_VALUE"""),1129.05)</f>
        <v/>
      </c>
      <c r="AH297" s="6">
        <f>AI297&amp;AJ297</f>
        <v/>
      </c>
      <c r="AI297" s="6">
        <f>YEAR(AK297)</f>
        <v/>
      </c>
      <c r="AJ297" s="6">
        <f>MONTH(AK297)</f>
        <v/>
      </c>
      <c r="AK297" s="267">
        <f>IFERROR(__xludf.DUMMYFUNCTION("""COMPUTED_VALUE"""),43389.9986111111)</f>
        <v/>
      </c>
      <c r="AL297" s="6">
        <f>IFERROR(__xludf.DUMMYFUNCTION("""COMPUTED_VALUE"""),6512.89)</f>
        <v/>
      </c>
      <c r="AP297" s="6">
        <f>AQ297&amp;AR297</f>
        <v/>
      </c>
      <c r="AQ297" s="6">
        <f>YEAR(AS297)</f>
        <v/>
      </c>
      <c r="AR297" s="6">
        <f>MONTH(AS297)</f>
        <v/>
      </c>
      <c r="AS297" s="267">
        <f>IFERROR(__xludf.DUMMYFUNCTION("""COMPUTED_VALUE"""),43529.9986111111)</f>
        <v/>
      </c>
      <c r="AT297" s="6">
        <f>IFERROR(__xludf.DUMMYFUNCTION("""COMPUTED_VALUE"""),1284.7)</f>
        <v/>
      </c>
    </row>
    <row r="298">
      <c r="B298" s="6">
        <f>C298&amp;D298</f>
        <v/>
      </c>
      <c r="C298" s="6">
        <f>YEAR(E298)</f>
        <v/>
      </c>
      <c r="D298" s="6">
        <f>MONTH(E298)</f>
        <v/>
      </c>
      <c r="E298" s="267">
        <f>IFERROR(__xludf.DUMMYFUNCTION("""COMPUTED_VALUE"""),43524.6666666666)</f>
        <v/>
      </c>
      <c r="F298" s="6">
        <f>IFERROR(__xludf.DUMMYFUNCTION("""COMPUTED_VALUE"""),2784.49)</f>
        <v/>
      </c>
      <c r="J298" s="6">
        <f>K298&amp;L298</f>
        <v/>
      </c>
      <c r="K298" s="6">
        <f>YEAR(M298)</f>
        <v/>
      </c>
      <c r="L298" s="6">
        <f>MONTH(M298)</f>
        <v/>
      </c>
      <c r="M298" s="267">
        <f>IFERROR(__xludf.DUMMYFUNCTION("""COMPUTED_VALUE"""),43524.6666666666)</f>
        <v/>
      </c>
      <c r="N298" s="6">
        <f>IFERROR(__xludf.DUMMYFUNCTION("""COMPUTED_VALUE"""),7532.53)</f>
        <v/>
      </c>
      <c r="R298" s="6">
        <f>S298&amp;T298</f>
        <v/>
      </c>
      <c r="S298" s="6">
        <f>YEAR(U298)</f>
        <v/>
      </c>
      <c r="T298" s="6">
        <f>MONTH(U298)</f>
        <v/>
      </c>
      <c r="U298" s="267">
        <f>IFERROR(__xludf.DUMMYFUNCTION("""COMPUTED_VALUE"""),43546.6458333333)</f>
        <v/>
      </c>
      <c r="V298" s="6">
        <f>IFERROR(__xludf.DUMMYFUNCTION("""COMPUTED_VALUE"""),2186.95)</f>
        <v/>
      </c>
      <c r="Z298" s="6">
        <f>AA298&amp;AB298</f>
        <v/>
      </c>
      <c r="AA298" s="6">
        <f>YEAR(AC298)</f>
        <v/>
      </c>
      <c r="AB298" s="6">
        <f>MONTH(AC298)</f>
        <v/>
      </c>
      <c r="AC298" s="267">
        <f>IFERROR(__xludf.DUMMYFUNCTION("""COMPUTED_VALUE"""),43406.9986111111)</f>
        <v/>
      </c>
      <c r="AD298" s="6">
        <f>IFERROR(__xludf.DUMMYFUNCTION("""COMPUTED_VALUE"""),1117)</f>
        <v/>
      </c>
      <c r="AH298" s="6">
        <f>AI298&amp;AJ298</f>
        <v/>
      </c>
      <c r="AI298" s="6">
        <f>YEAR(AK298)</f>
        <v/>
      </c>
      <c r="AJ298" s="6">
        <f>MONTH(AK298)</f>
        <v/>
      </c>
      <c r="AK298" s="267">
        <f>IFERROR(__xludf.DUMMYFUNCTION("""COMPUTED_VALUE"""),43390.9986111111)</f>
        <v/>
      </c>
      <c r="AL298" s="6">
        <f>IFERROR(__xludf.DUMMYFUNCTION("""COMPUTED_VALUE"""),6524.91)</f>
        <v/>
      </c>
      <c r="AP298" s="6">
        <f>AQ298&amp;AR298</f>
        <v/>
      </c>
      <c r="AQ298" s="6">
        <f>YEAR(AS298)</f>
        <v/>
      </c>
      <c r="AR298" s="6">
        <f>MONTH(AS298)</f>
        <v/>
      </c>
      <c r="AS298" s="267">
        <f>IFERROR(__xludf.DUMMYFUNCTION("""COMPUTED_VALUE"""),43530.9986111111)</f>
        <v/>
      </c>
      <c r="AT298" s="6">
        <f>IFERROR(__xludf.DUMMYFUNCTION("""COMPUTED_VALUE"""),1287.6)</f>
        <v/>
      </c>
    </row>
    <row r="299">
      <c r="B299" s="6">
        <f>C299&amp;D299</f>
        <v/>
      </c>
      <c r="C299" s="6">
        <f>YEAR(E299)</f>
        <v/>
      </c>
      <c r="D299" s="6">
        <f>MONTH(E299)</f>
        <v/>
      </c>
      <c r="E299" s="267">
        <f>IFERROR(__xludf.DUMMYFUNCTION("""COMPUTED_VALUE"""),43525.6666666666)</f>
        <v/>
      </c>
      <c r="F299" s="6">
        <f>IFERROR(__xludf.DUMMYFUNCTION("""COMPUTED_VALUE"""),2803.69)</f>
        <v/>
      </c>
      <c r="J299" s="6">
        <f>K299&amp;L299</f>
        <v/>
      </c>
      <c r="K299" s="6">
        <f>YEAR(M299)</f>
        <v/>
      </c>
      <c r="L299" s="6">
        <f>MONTH(M299)</f>
        <v/>
      </c>
      <c r="M299" s="267">
        <f>IFERROR(__xludf.DUMMYFUNCTION("""COMPUTED_VALUE"""),43525.6666666666)</f>
        <v/>
      </c>
      <c r="N299" s="6">
        <f>IFERROR(__xludf.DUMMYFUNCTION("""COMPUTED_VALUE"""),7595.35)</f>
        <v/>
      </c>
      <c r="R299" s="6">
        <f>S299&amp;T299</f>
        <v/>
      </c>
      <c r="S299" s="6">
        <f>YEAR(U299)</f>
        <v/>
      </c>
      <c r="T299" s="6">
        <f>MONTH(U299)</f>
        <v/>
      </c>
      <c r="U299" s="267">
        <f>IFERROR(__xludf.DUMMYFUNCTION("""COMPUTED_VALUE"""),43549.6458333333)</f>
        <v/>
      </c>
      <c r="V299" s="6">
        <f>IFERROR(__xludf.DUMMYFUNCTION("""COMPUTED_VALUE"""),2144.86)</f>
        <v/>
      </c>
      <c r="Z299" s="6">
        <f>AA299&amp;AB299</f>
        <v/>
      </c>
      <c r="AA299" s="6">
        <f>YEAR(AC299)</f>
        <v/>
      </c>
      <c r="AB299" s="6">
        <f>MONTH(AC299)</f>
        <v/>
      </c>
      <c r="AC299" s="267">
        <f>IFERROR(__xludf.DUMMYFUNCTION("""COMPUTED_VALUE"""),43408.9986111111)</f>
        <v/>
      </c>
      <c r="AD299" s="6">
        <f>IFERROR(__xludf.DUMMYFUNCTION("""COMPUTED_VALUE"""),1116.1)</f>
        <v/>
      </c>
      <c r="AH299" s="6">
        <f>AI299&amp;AJ299</f>
        <v/>
      </c>
      <c r="AI299" s="6">
        <f>YEAR(AK299)</f>
        <v/>
      </c>
      <c r="AJ299" s="6">
        <f>MONTH(AK299)</f>
        <v/>
      </c>
      <c r="AK299" s="267">
        <f>IFERROR(__xludf.DUMMYFUNCTION("""COMPUTED_VALUE"""),43391.9986111111)</f>
        <v/>
      </c>
      <c r="AL299" s="6">
        <f>IFERROR(__xludf.DUMMYFUNCTION("""COMPUTED_VALUE"""),6462.59)</f>
        <v/>
      </c>
      <c r="AP299" s="6">
        <f>AQ299&amp;AR299</f>
        <v/>
      </c>
      <c r="AQ299" s="6">
        <f>YEAR(AS299)</f>
        <v/>
      </c>
      <c r="AR299" s="6">
        <f>MONTH(AS299)</f>
        <v/>
      </c>
      <c r="AS299" s="267">
        <f>IFERROR(__xludf.DUMMYFUNCTION("""COMPUTED_VALUE"""),43531.9986111111)</f>
        <v/>
      </c>
      <c r="AT299" s="6">
        <f>IFERROR(__xludf.DUMMYFUNCTION("""COMPUTED_VALUE"""),1286.1)</f>
        <v/>
      </c>
    </row>
    <row r="300">
      <c r="B300" s="6">
        <f>C300&amp;D300</f>
        <v/>
      </c>
      <c r="C300" s="6">
        <f>YEAR(E300)</f>
        <v/>
      </c>
      <c r="D300" s="6">
        <f>MONTH(E300)</f>
        <v/>
      </c>
      <c r="E300" s="267">
        <f>IFERROR(__xludf.DUMMYFUNCTION("""COMPUTED_VALUE"""),43528.6666666666)</f>
        <v/>
      </c>
      <c r="F300" s="6">
        <f>IFERROR(__xludf.DUMMYFUNCTION("""COMPUTED_VALUE"""),2792.81)</f>
        <v/>
      </c>
      <c r="J300" s="6">
        <f>K300&amp;L300</f>
        <v/>
      </c>
      <c r="K300" s="6">
        <f>YEAR(M300)</f>
        <v/>
      </c>
      <c r="L300" s="6">
        <f>MONTH(M300)</f>
        <v/>
      </c>
      <c r="M300" s="267">
        <f>IFERROR(__xludf.DUMMYFUNCTION("""COMPUTED_VALUE"""),43528.6666666666)</f>
        <v/>
      </c>
      <c r="N300" s="6">
        <f>IFERROR(__xludf.DUMMYFUNCTION("""COMPUTED_VALUE"""),7577.57)</f>
        <v/>
      </c>
      <c r="R300" s="6">
        <f>S300&amp;T300</f>
        <v/>
      </c>
      <c r="S300" s="6">
        <f>YEAR(U300)</f>
        <v/>
      </c>
      <c r="T300" s="6">
        <f>MONTH(U300)</f>
        <v/>
      </c>
      <c r="U300" s="267">
        <f>IFERROR(__xludf.DUMMYFUNCTION("""COMPUTED_VALUE"""),43550.6458333333)</f>
        <v/>
      </c>
      <c r="V300" s="6">
        <f>IFERROR(__xludf.DUMMYFUNCTION("""COMPUTED_VALUE"""),2148.8)</f>
        <v/>
      </c>
      <c r="Z300" s="6">
        <f>AA300&amp;AB300</f>
        <v/>
      </c>
      <c r="AA300" s="6">
        <f>YEAR(AC300)</f>
        <v/>
      </c>
      <c r="AB300" s="6">
        <f>MONTH(AC300)</f>
        <v/>
      </c>
      <c r="AC300" s="267">
        <f>IFERROR(__xludf.DUMMYFUNCTION("""COMPUTED_VALUE"""),43409.9986111111)</f>
        <v/>
      </c>
      <c r="AD300" s="6">
        <f>IFERROR(__xludf.DUMMYFUNCTION("""COMPUTED_VALUE"""),1121.56)</f>
        <v/>
      </c>
      <c r="AH300" s="6">
        <f>AI300&amp;AJ300</f>
        <v/>
      </c>
      <c r="AI300" s="6">
        <f>YEAR(AK300)</f>
        <v/>
      </c>
      <c r="AJ300" s="6">
        <f>MONTH(AK300)</f>
        <v/>
      </c>
      <c r="AK300" s="267">
        <f>IFERROR(__xludf.DUMMYFUNCTION("""COMPUTED_VALUE"""),43392.9986111111)</f>
        <v/>
      </c>
      <c r="AL300" s="6">
        <f>IFERROR(__xludf.DUMMYFUNCTION("""COMPUTED_VALUE"""),6462.98)</f>
        <v/>
      </c>
      <c r="AP300" s="6">
        <f>AQ300&amp;AR300</f>
        <v/>
      </c>
      <c r="AQ300" s="6">
        <f>YEAR(AS300)</f>
        <v/>
      </c>
      <c r="AR300" s="6">
        <f>MONTH(AS300)</f>
        <v/>
      </c>
      <c r="AS300" s="267">
        <f>IFERROR(__xludf.DUMMYFUNCTION("""COMPUTED_VALUE"""),43532.9986111111)</f>
        <v/>
      </c>
      <c r="AT300" s="6">
        <f>IFERROR(__xludf.DUMMYFUNCTION("""COMPUTED_VALUE"""),1299.3)</f>
        <v/>
      </c>
    </row>
    <row r="301">
      <c r="B301" s="6">
        <f>C301&amp;D301</f>
        <v/>
      </c>
      <c r="C301" s="6">
        <f>YEAR(E301)</f>
        <v/>
      </c>
      <c r="D301" s="6">
        <f>MONTH(E301)</f>
        <v/>
      </c>
      <c r="E301" s="267">
        <f>IFERROR(__xludf.DUMMYFUNCTION("""COMPUTED_VALUE"""),43529.6666666666)</f>
        <v/>
      </c>
      <c r="F301" s="6">
        <f>IFERROR(__xludf.DUMMYFUNCTION("""COMPUTED_VALUE"""),2789.65)</f>
        <v/>
      </c>
      <c r="J301" s="6">
        <f>K301&amp;L301</f>
        <v/>
      </c>
      <c r="K301" s="6">
        <f>YEAR(M301)</f>
        <v/>
      </c>
      <c r="L301" s="6">
        <f>MONTH(M301)</f>
        <v/>
      </c>
      <c r="M301" s="267">
        <f>IFERROR(__xludf.DUMMYFUNCTION("""COMPUTED_VALUE"""),43529.6666666666)</f>
        <v/>
      </c>
      <c r="N301" s="6">
        <f>IFERROR(__xludf.DUMMYFUNCTION("""COMPUTED_VALUE"""),7576.36)</f>
        <v/>
      </c>
      <c r="R301" s="6">
        <f>S301&amp;T301</f>
        <v/>
      </c>
      <c r="S301" s="6">
        <f>YEAR(U301)</f>
        <v/>
      </c>
      <c r="T301" s="6">
        <f>MONTH(U301)</f>
        <v/>
      </c>
      <c r="U301" s="267">
        <f>IFERROR(__xludf.DUMMYFUNCTION("""COMPUTED_VALUE"""),43551.6458333333)</f>
        <v/>
      </c>
      <c r="V301" s="6">
        <f>IFERROR(__xludf.DUMMYFUNCTION("""COMPUTED_VALUE"""),2145.62)</f>
        <v/>
      </c>
      <c r="Z301" s="6">
        <f>AA301&amp;AB301</f>
        <v/>
      </c>
      <c r="AA301" s="6">
        <f>YEAR(AC301)</f>
        <v/>
      </c>
      <c r="AB301" s="6">
        <f>MONTH(AC301)</f>
        <v/>
      </c>
      <c r="AC301" s="267">
        <f>IFERROR(__xludf.DUMMYFUNCTION("""COMPUTED_VALUE"""),43410.9986111111)</f>
        <v/>
      </c>
      <c r="AD301" s="6">
        <f>IFERROR(__xludf.DUMMYFUNCTION("""COMPUTED_VALUE"""),1119.95)</f>
        <v/>
      </c>
      <c r="AH301" s="6">
        <f>AI301&amp;AJ301</f>
        <v/>
      </c>
      <c r="AI301" s="6">
        <f>YEAR(AK301)</f>
        <v/>
      </c>
      <c r="AJ301" s="6">
        <f>MONTH(AK301)</f>
        <v/>
      </c>
      <c r="AK301" s="267">
        <f>IFERROR(__xludf.DUMMYFUNCTION("""COMPUTED_VALUE"""),43393.9986111111)</f>
        <v/>
      </c>
      <c r="AL301" s="6">
        <f>IFERROR(__xludf.DUMMYFUNCTION("""COMPUTED_VALUE"""),6427.48)</f>
        <v/>
      </c>
      <c r="AP301" s="6">
        <f>AQ301&amp;AR301</f>
        <v/>
      </c>
      <c r="AQ301" s="6">
        <f>YEAR(AS301)</f>
        <v/>
      </c>
      <c r="AR301" s="6">
        <f>MONTH(AS301)</f>
        <v/>
      </c>
      <c r="AS301" s="267">
        <f>IFERROR(__xludf.DUMMYFUNCTION("""COMPUTED_VALUE"""),43535.9986111111)</f>
        <v/>
      </c>
      <c r="AT301" s="6">
        <f>IFERROR(__xludf.DUMMYFUNCTION("""COMPUTED_VALUE"""),1291.1)</f>
        <v/>
      </c>
    </row>
    <row r="302">
      <c r="B302" s="6">
        <f>C302&amp;D302</f>
        <v/>
      </c>
      <c r="C302" s="6">
        <f>YEAR(E302)</f>
        <v/>
      </c>
      <c r="D302" s="6">
        <f>MONTH(E302)</f>
        <v/>
      </c>
      <c r="E302" s="267">
        <f>IFERROR(__xludf.DUMMYFUNCTION("""COMPUTED_VALUE"""),43530.6666666666)</f>
        <v/>
      </c>
      <c r="F302" s="6">
        <f>IFERROR(__xludf.DUMMYFUNCTION("""COMPUTED_VALUE"""),2771.45)</f>
        <v/>
      </c>
      <c r="J302" s="6">
        <f>K302&amp;L302</f>
        <v/>
      </c>
      <c r="K302" s="6">
        <f>YEAR(M302)</f>
        <v/>
      </c>
      <c r="L302" s="6">
        <f>MONTH(M302)</f>
        <v/>
      </c>
      <c r="M302" s="267">
        <f>IFERROR(__xludf.DUMMYFUNCTION("""COMPUTED_VALUE"""),43530.6666666666)</f>
        <v/>
      </c>
      <c r="N302" s="6">
        <f>IFERROR(__xludf.DUMMYFUNCTION("""COMPUTED_VALUE"""),7505.92)</f>
        <v/>
      </c>
      <c r="R302" s="6">
        <f>S302&amp;T302</f>
        <v/>
      </c>
      <c r="S302" s="6">
        <f>YEAR(U302)</f>
        <v/>
      </c>
      <c r="T302" s="6">
        <f>MONTH(U302)</f>
        <v/>
      </c>
      <c r="U302" s="267">
        <f>IFERROR(__xludf.DUMMYFUNCTION("""COMPUTED_VALUE"""),43552.6458333333)</f>
        <v/>
      </c>
      <c r="V302" s="6">
        <f>IFERROR(__xludf.DUMMYFUNCTION("""COMPUTED_VALUE"""),2128.1)</f>
        <v/>
      </c>
      <c r="Z302" s="6">
        <f>AA302&amp;AB302</f>
        <v/>
      </c>
      <c r="AA302" s="6">
        <f>YEAR(AC302)</f>
        <v/>
      </c>
      <c r="AB302" s="6">
        <f>MONTH(AC302)</f>
        <v/>
      </c>
      <c r="AC302" s="267">
        <f>IFERROR(__xludf.DUMMYFUNCTION("""COMPUTED_VALUE"""),43411.9986111111)</f>
        <v/>
      </c>
      <c r="AD302" s="6">
        <f>IFERROR(__xludf.DUMMYFUNCTION("""COMPUTED_VALUE"""),1115.37)</f>
        <v/>
      </c>
      <c r="AH302" s="6">
        <f>AI302&amp;AJ302</f>
        <v/>
      </c>
      <c r="AI302" s="6">
        <f>YEAR(AK302)</f>
        <v/>
      </c>
      <c r="AJ302" s="6">
        <f>MONTH(AK302)</f>
        <v/>
      </c>
      <c r="AK302" s="267">
        <f>IFERROR(__xludf.DUMMYFUNCTION("""COMPUTED_VALUE"""),43394.9986111111)</f>
        <v/>
      </c>
      <c r="AL302" s="6">
        <f>IFERROR(__xludf.DUMMYFUNCTION("""COMPUTED_VALUE"""),6452.49)</f>
        <v/>
      </c>
      <c r="AP302" s="6">
        <f>AQ302&amp;AR302</f>
        <v/>
      </c>
      <c r="AQ302" s="6">
        <f>YEAR(AS302)</f>
        <v/>
      </c>
      <c r="AR302" s="6">
        <f>MONTH(AS302)</f>
        <v/>
      </c>
      <c r="AS302" s="267">
        <f>IFERROR(__xludf.DUMMYFUNCTION("""COMPUTED_VALUE"""),43536.9986111111)</f>
        <v/>
      </c>
      <c r="AT302" s="6">
        <f>IFERROR(__xludf.DUMMYFUNCTION("""COMPUTED_VALUE"""),1298.1)</f>
        <v/>
      </c>
    </row>
    <row r="303">
      <c r="B303" s="6">
        <f>C303&amp;D303</f>
        <v/>
      </c>
      <c r="C303" s="6">
        <f>YEAR(E303)</f>
        <v/>
      </c>
      <c r="D303" s="6">
        <f>MONTH(E303)</f>
        <v/>
      </c>
      <c r="E303" s="267">
        <f>IFERROR(__xludf.DUMMYFUNCTION("""COMPUTED_VALUE"""),43531.6666666666)</f>
        <v/>
      </c>
      <c r="F303" s="6">
        <f>IFERROR(__xludf.DUMMYFUNCTION("""COMPUTED_VALUE"""),2748.93)</f>
        <v/>
      </c>
      <c r="J303" s="6">
        <f>K303&amp;L303</f>
        <v/>
      </c>
      <c r="K303" s="6">
        <f>YEAR(M303)</f>
        <v/>
      </c>
      <c r="L303" s="6">
        <f>MONTH(M303)</f>
        <v/>
      </c>
      <c r="M303" s="267">
        <f>IFERROR(__xludf.DUMMYFUNCTION("""COMPUTED_VALUE"""),43531.6666666666)</f>
        <v/>
      </c>
      <c r="N303" s="6">
        <f>IFERROR(__xludf.DUMMYFUNCTION("""COMPUTED_VALUE"""),7421.46)</f>
        <v/>
      </c>
      <c r="R303" s="6">
        <f>S303&amp;T303</f>
        <v/>
      </c>
      <c r="S303" s="6">
        <f>YEAR(U303)</f>
        <v/>
      </c>
      <c r="T303" s="6">
        <f>MONTH(U303)</f>
        <v/>
      </c>
      <c r="U303" s="267">
        <f>IFERROR(__xludf.DUMMYFUNCTION("""COMPUTED_VALUE"""),43553.6458333333)</f>
        <v/>
      </c>
      <c r="V303" s="6">
        <f>IFERROR(__xludf.DUMMYFUNCTION("""COMPUTED_VALUE"""),2140.67)</f>
        <v/>
      </c>
      <c r="Z303" s="6">
        <f>AA303&amp;AB303</f>
        <v/>
      </c>
      <c r="AA303" s="6">
        <f>YEAR(AC303)</f>
        <v/>
      </c>
      <c r="AB303" s="6">
        <f>MONTH(AC303)</f>
        <v/>
      </c>
      <c r="AC303" s="267">
        <f>IFERROR(__xludf.DUMMYFUNCTION("""COMPUTED_VALUE"""),43412.9986111111)</f>
        <v/>
      </c>
      <c r="AD303" s="6">
        <f>IFERROR(__xludf.DUMMYFUNCTION("""COMPUTED_VALUE"""),1119.57)</f>
        <v/>
      </c>
      <c r="AH303" s="6">
        <f>AI303&amp;AJ303</f>
        <v/>
      </c>
      <c r="AI303" s="6">
        <f>YEAR(AK303)</f>
        <v/>
      </c>
      <c r="AJ303" s="6">
        <f>MONTH(AK303)</f>
        <v/>
      </c>
      <c r="AK303" s="267">
        <f>IFERROR(__xludf.DUMMYFUNCTION("""COMPUTED_VALUE"""),43395.9986111111)</f>
        <v/>
      </c>
      <c r="AL303" s="6">
        <f>IFERROR(__xludf.DUMMYFUNCTION("""COMPUTED_VALUE"""),6438.33)</f>
        <v/>
      </c>
      <c r="AP303" s="6">
        <f>AQ303&amp;AR303</f>
        <v/>
      </c>
      <c r="AQ303" s="6">
        <f>YEAR(AS303)</f>
        <v/>
      </c>
      <c r="AR303" s="6">
        <f>MONTH(AS303)</f>
        <v/>
      </c>
      <c r="AS303" s="267">
        <f>IFERROR(__xludf.DUMMYFUNCTION("""COMPUTED_VALUE"""),43537.9986111111)</f>
        <v/>
      </c>
      <c r="AT303" s="6">
        <f>IFERROR(__xludf.DUMMYFUNCTION("""COMPUTED_VALUE"""),1309.3)</f>
        <v/>
      </c>
    </row>
    <row r="304">
      <c r="B304" s="6">
        <f>C304&amp;D304</f>
        <v/>
      </c>
      <c r="C304" s="6">
        <f>YEAR(E304)</f>
        <v/>
      </c>
      <c r="D304" s="6">
        <f>MONTH(E304)</f>
        <v/>
      </c>
      <c r="E304" s="267">
        <f>IFERROR(__xludf.DUMMYFUNCTION("""COMPUTED_VALUE"""),43532.6666666666)</f>
        <v/>
      </c>
      <c r="F304" s="6">
        <f>IFERROR(__xludf.DUMMYFUNCTION("""COMPUTED_VALUE"""),2743.07)</f>
        <v/>
      </c>
      <c r="J304" s="6">
        <f>K304&amp;L304</f>
        <v/>
      </c>
      <c r="K304" s="6">
        <f>YEAR(M304)</f>
        <v/>
      </c>
      <c r="L304" s="6">
        <f>MONTH(M304)</f>
        <v/>
      </c>
      <c r="M304" s="267">
        <f>IFERROR(__xludf.DUMMYFUNCTION("""COMPUTED_VALUE"""),43532.6666666666)</f>
        <v/>
      </c>
      <c r="N304" s="6">
        <f>IFERROR(__xludf.DUMMYFUNCTION("""COMPUTED_VALUE"""),7408.14)</f>
        <v/>
      </c>
      <c r="R304" s="6">
        <f>S304&amp;T304</f>
        <v/>
      </c>
      <c r="S304" s="6">
        <f>YEAR(U304)</f>
        <v/>
      </c>
      <c r="T304" s="6">
        <f>MONTH(U304)</f>
        <v/>
      </c>
      <c r="U304" s="267">
        <f>IFERROR(__xludf.DUMMYFUNCTION("""COMPUTED_VALUE"""),43556.6458333333)</f>
        <v/>
      </c>
      <c r="V304" s="6">
        <f>IFERROR(__xludf.DUMMYFUNCTION("""COMPUTED_VALUE"""),2168.28)</f>
        <v/>
      </c>
      <c r="Z304" s="6">
        <f>AA304&amp;AB304</f>
        <v/>
      </c>
      <c r="AA304" s="6">
        <f>YEAR(AC304)</f>
        <v/>
      </c>
      <c r="AB304" s="6">
        <f>MONTH(AC304)</f>
        <v/>
      </c>
      <c r="AC304" s="267">
        <f>IFERROR(__xludf.DUMMYFUNCTION("""COMPUTED_VALUE"""),43413.9986111111)</f>
        <v/>
      </c>
      <c r="AD304" s="6">
        <f>IFERROR(__xludf.DUMMYFUNCTION("""COMPUTED_VALUE"""),1129.64)</f>
        <v/>
      </c>
      <c r="AH304" s="6">
        <f>AI304&amp;AJ304</f>
        <v/>
      </c>
      <c r="AI304" s="6">
        <f>YEAR(AK304)</f>
        <v/>
      </c>
      <c r="AJ304" s="6">
        <f>MONTH(AK304)</f>
        <v/>
      </c>
      <c r="AK304" s="267">
        <f>IFERROR(__xludf.DUMMYFUNCTION("""COMPUTED_VALUE"""),43396.9986111111)</f>
        <v/>
      </c>
      <c r="AL304" s="6">
        <f>IFERROR(__xludf.DUMMYFUNCTION("""COMPUTED_VALUE"""),6500.33)</f>
        <v/>
      </c>
      <c r="AP304" s="6">
        <f>AQ304&amp;AR304</f>
        <v/>
      </c>
      <c r="AQ304" s="6">
        <f>YEAR(AS304)</f>
        <v/>
      </c>
      <c r="AR304" s="6">
        <f>MONTH(AS304)</f>
        <v/>
      </c>
      <c r="AS304" s="267">
        <f>IFERROR(__xludf.DUMMYFUNCTION("""COMPUTED_VALUE"""),43538.9986111111)</f>
        <v/>
      </c>
      <c r="AT304" s="6">
        <f>IFERROR(__xludf.DUMMYFUNCTION("""COMPUTED_VALUE"""),1295.1)</f>
        <v/>
      </c>
    </row>
    <row r="305">
      <c r="B305" s="6">
        <f>C305&amp;D305</f>
        <v/>
      </c>
      <c r="C305" s="6">
        <f>YEAR(E305)</f>
        <v/>
      </c>
      <c r="D305" s="6">
        <f>MONTH(E305)</f>
        <v/>
      </c>
      <c r="E305" s="267">
        <f>IFERROR(__xludf.DUMMYFUNCTION("""COMPUTED_VALUE"""),43535.6666666666)</f>
        <v/>
      </c>
      <c r="F305" s="6">
        <f>IFERROR(__xludf.DUMMYFUNCTION("""COMPUTED_VALUE"""),2783.3)</f>
        <v/>
      </c>
      <c r="J305" s="6">
        <f>K305&amp;L305</f>
        <v/>
      </c>
      <c r="K305" s="6">
        <f>YEAR(M305)</f>
        <v/>
      </c>
      <c r="L305" s="6">
        <f>MONTH(M305)</f>
        <v/>
      </c>
      <c r="M305" s="267">
        <f>IFERROR(__xludf.DUMMYFUNCTION("""COMPUTED_VALUE"""),43535.6666666666)</f>
        <v/>
      </c>
      <c r="N305" s="6">
        <f>IFERROR(__xludf.DUMMYFUNCTION("""COMPUTED_VALUE"""),7558.06)</f>
        <v/>
      </c>
      <c r="R305" s="6">
        <f>S305&amp;T305</f>
        <v/>
      </c>
      <c r="S305" s="6">
        <f>YEAR(U305)</f>
        <v/>
      </c>
      <c r="T305" s="6">
        <f>MONTH(U305)</f>
        <v/>
      </c>
      <c r="U305" s="267">
        <f>IFERROR(__xludf.DUMMYFUNCTION("""COMPUTED_VALUE"""),43557.6458333333)</f>
        <v/>
      </c>
      <c r="V305" s="6">
        <f>IFERROR(__xludf.DUMMYFUNCTION("""COMPUTED_VALUE"""),2177.18)</f>
        <v/>
      </c>
      <c r="Z305" s="6">
        <f>AA305&amp;AB305</f>
        <v/>
      </c>
      <c r="AA305" s="6">
        <f>YEAR(AC305)</f>
        <v/>
      </c>
      <c r="AB305" s="6">
        <f>MONTH(AC305)</f>
        <v/>
      </c>
      <c r="AC305" s="267">
        <f>IFERROR(__xludf.DUMMYFUNCTION("""COMPUTED_VALUE"""),43414.9986111111)</f>
        <v/>
      </c>
      <c r="AD305" s="6">
        <f>IFERROR(__xludf.DUMMYFUNCTION("""COMPUTED_VALUE"""),1129.62)</f>
        <v/>
      </c>
      <c r="AH305" s="6">
        <f>AI305&amp;AJ305</f>
        <v/>
      </c>
      <c r="AI305" s="6">
        <f>YEAR(AK305)</f>
        <v/>
      </c>
      <c r="AJ305" s="6">
        <f>MONTH(AK305)</f>
        <v/>
      </c>
      <c r="AK305" s="267">
        <f>IFERROR(__xludf.DUMMYFUNCTION("""COMPUTED_VALUE"""),43397.9986111111)</f>
        <v/>
      </c>
      <c r="AL305" s="6">
        <f>IFERROR(__xludf.DUMMYFUNCTION("""COMPUTED_VALUE"""),6501.4)</f>
        <v/>
      </c>
      <c r="AP305" s="6">
        <f>AQ305&amp;AR305</f>
        <v/>
      </c>
      <c r="AQ305" s="6">
        <f>YEAR(AS305)</f>
        <v/>
      </c>
      <c r="AR305" s="6">
        <f>MONTH(AS305)</f>
        <v/>
      </c>
      <c r="AS305" s="267">
        <f>IFERROR(__xludf.DUMMYFUNCTION("""COMPUTED_VALUE"""),43539.9986111111)</f>
        <v/>
      </c>
      <c r="AT305" s="6">
        <f>IFERROR(__xludf.DUMMYFUNCTION("""COMPUTED_VALUE"""),1302.9)</f>
        <v/>
      </c>
    </row>
    <row r="306">
      <c r="B306" s="6">
        <f>C306&amp;D306</f>
        <v/>
      </c>
      <c r="C306" s="6">
        <f>YEAR(E306)</f>
        <v/>
      </c>
      <c r="D306" s="6">
        <f>MONTH(E306)</f>
        <v/>
      </c>
      <c r="E306" s="267">
        <f>IFERROR(__xludf.DUMMYFUNCTION("""COMPUTED_VALUE"""),43536.6666666666)</f>
        <v/>
      </c>
      <c r="F306" s="6">
        <f>IFERROR(__xludf.DUMMYFUNCTION("""COMPUTED_VALUE"""),2791.52)</f>
        <v/>
      </c>
      <c r="J306" s="6">
        <f>K306&amp;L306</f>
        <v/>
      </c>
      <c r="K306" s="6">
        <f>YEAR(M306)</f>
        <v/>
      </c>
      <c r="L306" s="6">
        <f>MONTH(M306)</f>
        <v/>
      </c>
      <c r="M306" s="267">
        <f>IFERROR(__xludf.DUMMYFUNCTION("""COMPUTED_VALUE"""),43536.6666666666)</f>
        <v/>
      </c>
      <c r="N306" s="6">
        <f>IFERROR(__xludf.DUMMYFUNCTION("""COMPUTED_VALUE"""),7591.03)</f>
        <v/>
      </c>
      <c r="R306" s="6">
        <f>S306&amp;T306</f>
        <v/>
      </c>
      <c r="S306" s="6">
        <f>YEAR(U306)</f>
        <v/>
      </c>
      <c r="T306" s="6">
        <f>MONTH(U306)</f>
        <v/>
      </c>
      <c r="U306" s="267">
        <f>IFERROR(__xludf.DUMMYFUNCTION("""COMPUTED_VALUE"""),43558.6458333333)</f>
        <v/>
      </c>
      <c r="V306" s="6">
        <f>IFERROR(__xludf.DUMMYFUNCTION("""COMPUTED_VALUE"""),2203.27)</f>
        <v/>
      </c>
      <c r="Z306" s="6">
        <f>AA306&amp;AB306</f>
        <v/>
      </c>
      <c r="AA306" s="6">
        <f>YEAR(AC306)</f>
        <v/>
      </c>
      <c r="AB306" s="6">
        <f>MONTH(AC306)</f>
        <v/>
      </c>
      <c r="AC306" s="267">
        <f>IFERROR(__xludf.DUMMYFUNCTION("""COMPUTED_VALUE"""),43415.9986111111)</f>
        <v/>
      </c>
      <c r="AD306" s="6">
        <f>IFERROR(__xludf.DUMMYFUNCTION("""COMPUTED_VALUE"""),1130.95)</f>
        <v/>
      </c>
      <c r="AH306" s="6">
        <f>AI306&amp;AJ306</f>
        <v/>
      </c>
      <c r="AI306" s="6">
        <f>YEAR(AK306)</f>
        <v/>
      </c>
      <c r="AJ306" s="6">
        <f>MONTH(AK306)</f>
        <v/>
      </c>
      <c r="AK306" s="267">
        <f>IFERROR(__xludf.DUMMYFUNCTION("""COMPUTED_VALUE"""),43398.9986111111)</f>
        <v/>
      </c>
      <c r="AL306" s="6">
        <f>IFERROR(__xludf.DUMMYFUNCTION("""COMPUTED_VALUE"""),6478.63)</f>
        <v/>
      </c>
      <c r="AP306" s="6">
        <f>AQ306&amp;AR306</f>
        <v/>
      </c>
      <c r="AQ306" s="6">
        <f>YEAR(AS306)</f>
        <v/>
      </c>
      <c r="AR306" s="6">
        <f>MONTH(AS306)</f>
        <v/>
      </c>
      <c r="AS306" s="267">
        <f>IFERROR(__xludf.DUMMYFUNCTION("""COMPUTED_VALUE"""),43542.9986111111)</f>
        <v/>
      </c>
      <c r="AT306" s="6">
        <f>IFERROR(__xludf.DUMMYFUNCTION("""COMPUTED_VALUE"""),1301.5)</f>
        <v/>
      </c>
    </row>
    <row r="307">
      <c r="B307" s="6">
        <f>C307&amp;D307</f>
        <v/>
      </c>
      <c r="C307" s="6">
        <f>YEAR(E307)</f>
        <v/>
      </c>
      <c r="D307" s="6">
        <f>MONTH(E307)</f>
        <v/>
      </c>
      <c r="E307" s="267">
        <f>IFERROR(__xludf.DUMMYFUNCTION("""COMPUTED_VALUE"""),43537.6666666666)</f>
        <v/>
      </c>
      <c r="F307" s="6">
        <f>IFERROR(__xludf.DUMMYFUNCTION("""COMPUTED_VALUE"""),2810.92)</f>
        <v/>
      </c>
      <c r="J307" s="6">
        <f>K307&amp;L307</f>
        <v/>
      </c>
      <c r="K307" s="6">
        <f>YEAR(M307)</f>
        <v/>
      </c>
      <c r="L307" s="6">
        <f>MONTH(M307)</f>
        <v/>
      </c>
      <c r="M307" s="267">
        <f>IFERROR(__xludf.DUMMYFUNCTION("""COMPUTED_VALUE"""),43537.6666666666)</f>
        <v/>
      </c>
      <c r="N307" s="6">
        <f>IFERROR(__xludf.DUMMYFUNCTION("""COMPUTED_VALUE"""),7643.41)</f>
        <v/>
      </c>
      <c r="R307" s="6">
        <f>S307&amp;T307</f>
        <v/>
      </c>
      <c r="S307" s="6">
        <f>YEAR(U307)</f>
        <v/>
      </c>
      <c r="T307" s="6">
        <f>MONTH(U307)</f>
        <v/>
      </c>
      <c r="U307" s="267">
        <f>IFERROR(__xludf.DUMMYFUNCTION("""COMPUTED_VALUE"""),43559.6458333333)</f>
        <v/>
      </c>
      <c r="V307" s="6">
        <f>IFERROR(__xludf.DUMMYFUNCTION("""COMPUTED_VALUE"""),2206.53)</f>
        <v/>
      </c>
      <c r="Z307" s="6">
        <f>AA307&amp;AB307</f>
        <v/>
      </c>
      <c r="AA307" s="6">
        <f>YEAR(AC307)</f>
        <v/>
      </c>
      <c r="AB307" s="6">
        <f>MONTH(AC307)</f>
        <v/>
      </c>
      <c r="AC307" s="267">
        <f>IFERROR(__xludf.DUMMYFUNCTION("""COMPUTED_VALUE"""),43416.9986111111)</f>
        <v/>
      </c>
      <c r="AD307" s="6">
        <f>IFERROR(__xludf.DUMMYFUNCTION("""COMPUTED_VALUE"""),1137.46)</f>
        <v/>
      </c>
      <c r="AH307" s="6">
        <f>AI307&amp;AJ307</f>
        <v/>
      </c>
      <c r="AI307" s="6">
        <f>YEAR(AK307)</f>
        <v/>
      </c>
      <c r="AJ307" s="6">
        <f>MONTH(AK307)</f>
        <v/>
      </c>
      <c r="AK307" s="267">
        <f>IFERROR(__xludf.DUMMYFUNCTION("""COMPUTED_VALUE"""),43399.9986111111)</f>
        <v/>
      </c>
      <c r="AL307" s="6">
        <f>IFERROR(__xludf.DUMMYFUNCTION("""COMPUTED_VALUE"""),6475.54)</f>
        <v/>
      </c>
      <c r="AP307" s="6">
        <f>AQ307&amp;AR307</f>
        <v/>
      </c>
      <c r="AQ307" s="6">
        <f>YEAR(AS307)</f>
        <v/>
      </c>
      <c r="AR307" s="6">
        <f>MONTH(AS307)</f>
        <v/>
      </c>
      <c r="AS307" s="267">
        <f>IFERROR(__xludf.DUMMYFUNCTION("""COMPUTED_VALUE"""),43543.9986111111)</f>
        <v/>
      </c>
      <c r="AT307" s="6">
        <f>IFERROR(__xludf.DUMMYFUNCTION("""COMPUTED_VALUE"""),1306.5)</f>
        <v/>
      </c>
    </row>
    <row r="308">
      <c r="B308" s="6">
        <f>C308&amp;D308</f>
        <v/>
      </c>
      <c r="C308" s="6">
        <f>YEAR(E308)</f>
        <v/>
      </c>
      <c r="D308" s="6">
        <f>MONTH(E308)</f>
        <v/>
      </c>
      <c r="E308" s="267">
        <f>IFERROR(__xludf.DUMMYFUNCTION("""COMPUTED_VALUE"""),43538.6666666666)</f>
        <v/>
      </c>
      <c r="F308" s="6">
        <f>IFERROR(__xludf.DUMMYFUNCTION("""COMPUTED_VALUE"""),2808.48)</f>
        <v/>
      </c>
      <c r="J308" s="6">
        <f>K308&amp;L308</f>
        <v/>
      </c>
      <c r="K308" s="6">
        <f>YEAR(M308)</f>
        <v/>
      </c>
      <c r="L308" s="6">
        <f>MONTH(M308)</f>
        <v/>
      </c>
      <c r="M308" s="267">
        <f>IFERROR(__xludf.DUMMYFUNCTION("""COMPUTED_VALUE"""),43538.6666666666)</f>
        <v/>
      </c>
      <c r="N308" s="6">
        <f>IFERROR(__xludf.DUMMYFUNCTION("""COMPUTED_VALUE"""),7630.91)</f>
        <v/>
      </c>
      <c r="R308" s="6">
        <f>S308&amp;T308</f>
        <v/>
      </c>
      <c r="S308" s="6">
        <f>YEAR(U308)</f>
        <v/>
      </c>
      <c r="T308" s="6">
        <f>MONTH(U308)</f>
        <v/>
      </c>
      <c r="U308" s="267">
        <f>IFERROR(__xludf.DUMMYFUNCTION("""COMPUTED_VALUE"""),43560.6458333333)</f>
        <v/>
      </c>
      <c r="V308" s="6">
        <f>IFERROR(__xludf.DUMMYFUNCTION("""COMPUTED_VALUE"""),2209.61)</f>
        <v/>
      </c>
      <c r="Z308" s="6">
        <f>AA308&amp;AB308</f>
        <v/>
      </c>
      <c r="AA308" s="6">
        <f>YEAR(AC308)</f>
        <v/>
      </c>
      <c r="AB308" s="6">
        <f>MONTH(AC308)</f>
        <v/>
      </c>
      <c r="AC308" s="267">
        <f>IFERROR(__xludf.DUMMYFUNCTION("""COMPUTED_VALUE"""),43417.9986111111)</f>
        <v/>
      </c>
      <c r="AD308" s="6">
        <f>IFERROR(__xludf.DUMMYFUNCTION("""COMPUTED_VALUE"""),1131.13)</f>
        <v/>
      </c>
      <c r="AH308" s="6">
        <f>AI308&amp;AJ308</f>
        <v/>
      </c>
      <c r="AI308" s="6">
        <f>YEAR(AK308)</f>
        <v/>
      </c>
      <c r="AJ308" s="6">
        <f>MONTH(AK308)</f>
        <v/>
      </c>
      <c r="AK308" s="267">
        <f>IFERROR(__xludf.DUMMYFUNCTION("""COMPUTED_VALUE"""),43400.9986111111)</f>
        <v/>
      </c>
      <c r="AL308" s="6">
        <f>IFERROR(__xludf.DUMMYFUNCTION("""COMPUTED_VALUE"""),6479.03)</f>
        <v/>
      </c>
      <c r="AP308" s="6">
        <f>AQ308&amp;AR308</f>
        <v/>
      </c>
      <c r="AQ308" s="6">
        <f>YEAR(AS308)</f>
        <v/>
      </c>
      <c r="AR308" s="6">
        <f>MONTH(AS308)</f>
        <v/>
      </c>
      <c r="AS308" s="267">
        <f>IFERROR(__xludf.DUMMYFUNCTION("""COMPUTED_VALUE"""),43544.9986111111)</f>
        <v/>
      </c>
      <c r="AT308" s="6">
        <f>IFERROR(__xludf.DUMMYFUNCTION("""COMPUTED_VALUE"""),1301.7)</f>
        <v/>
      </c>
    </row>
    <row r="309">
      <c r="B309" s="6">
        <f>C309&amp;D309</f>
        <v/>
      </c>
      <c r="C309" s="6">
        <f>YEAR(E309)</f>
        <v/>
      </c>
      <c r="D309" s="6">
        <f>MONTH(E309)</f>
        <v/>
      </c>
      <c r="E309" s="267">
        <f>IFERROR(__xludf.DUMMYFUNCTION("""COMPUTED_VALUE"""),43539.6666666666)</f>
        <v/>
      </c>
      <c r="F309" s="6">
        <f>IFERROR(__xludf.DUMMYFUNCTION("""COMPUTED_VALUE"""),2822.48)</f>
        <v/>
      </c>
      <c r="J309" s="6">
        <f>K309&amp;L309</f>
        <v/>
      </c>
      <c r="K309" s="6">
        <f>YEAR(M309)</f>
        <v/>
      </c>
      <c r="L309" s="6">
        <f>MONTH(M309)</f>
        <v/>
      </c>
      <c r="M309" s="267">
        <f>IFERROR(__xludf.DUMMYFUNCTION("""COMPUTED_VALUE"""),43539.6666666666)</f>
        <v/>
      </c>
      <c r="N309" s="6">
        <f>IFERROR(__xludf.DUMMYFUNCTION("""COMPUTED_VALUE"""),7688.53)</f>
        <v/>
      </c>
      <c r="R309" s="6">
        <f>S309&amp;T309</f>
        <v/>
      </c>
      <c r="S309" s="6">
        <f>YEAR(U309)</f>
        <v/>
      </c>
      <c r="T309" s="6">
        <f>MONTH(U309)</f>
        <v/>
      </c>
      <c r="U309" s="267">
        <f>IFERROR(__xludf.DUMMYFUNCTION("""COMPUTED_VALUE"""),43563.6458333333)</f>
        <v/>
      </c>
      <c r="V309" s="6">
        <f>IFERROR(__xludf.DUMMYFUNCTION("""COMPUTED_VALUE"""),2210.6)</f>
        <v/>
      </c>
      <c r="Z309" s="6">
        <f>AA309&amp;AB309</f>
        <v/>
      </c>
      <c r="AA309" s="6">
        <f>YEAR(AC309)</f>
        <v/>
      </c>
      <c r="AB309" s="6">
        <f>MONTH(AC309)</f>
        <v/>
      </c>
      <c r="AC309" s="267">
        <f>IFERROR(__xludf.DUMMYFUNCTION("""COMPUTED_VALUE"""),43418.9986111111)</f>
        <v/>
      </c>
      <c r="AD309" s="6">
        <f>IFERROR(__xludf.DUMMYFUNCTION("""COMPUTED_VALUE"""),1131.2)</f>
        <v/>
      </c>
      <c r="AH309" s="6">
        <f>AI309&amp;AJ309</f>
        <v/>
      </c>
      <c r="AI309" s="6">
        <f>YEAR(AK309)</f>
        <v/>
      </c>
      <c r="AJ309" s="6">
        <f>MONTH(AK309)</f>
        <v/>
      </c>
      <c r="AK309" s="267">
        <f>IFERROR(__xludf.DUMMYFUNCTION("""COMPUTED_VALUE"""),43401.9986111111)</f>
        <v/>
      </c>
      <c r="AL309" s="6">
        <f>IFERROR(__xludf.DUMMYFUNCTION("""COMPUTED_VALUE"""),6476.76)</f>
        <v/>
      </c>
      <c r="AP309" s="6">
        <f>AQ309&amp;AR309</f>
        <v/>
      </c>
      <c r="AQ309" s="6">
        <f>YEAR(AS309)</f>
        <v/>
      </c>
      <c r="AR309" s="6">
        <f>MONTH(AS309)</f>
        <v/>
      </c>
      <c r="AS309" s="267">
        <f>IFERROR(__xludf.DUMMYFUNCTION("""COMPUTED_VALUE"""),43545.9986111111)</f>
        <v/>
      </c>
      <c r="AT309" s="6">
        <f>IFERROR(__xludf.DUMMYFUNCTION("""COMPUTED_VALUE"""),1313.6)</f>
        <v/>
      </c>
    </row>
    <row r="310">
      <c r="B310" s="6">
        <f>C310&amp;D310</f>
        <v/>
      </c>
      <c r="C310" s="6">
        <f>YEAR(E310)</f>
        <v/>
      </c>
      <c r="D310" s="6">
        <f>MONTH(E310)</f>
        <v/>
      </c>
      <c r="E310" s="267">
        <f>IFERROR(__xludf.DUMMYFUNCTION("""COMPUTED_VALUE"""),43542.6666666666)</f>
        <v/>
      </c>
      <c r="F310" s="6">
        <f>IFERROR(__xludf.DUMMYFUNCTION("""COMPUTED_VALUE"""),2832.94)</f>
        <v/>
      </c>
      <c r="J310" s="6">
        <f>K310&amp;L310</f>
        <v/>
      </c>
      <c r="K310" s="6">
        <f>YEAR(M310)</f>
        <v/>
      </c>
      <c r="L310" s="6">
        <f>MONTH(M310)</f>
        <v/>
      </c>
      <c r="M310" s="267">
        <f>IFERROR(__xludf.DUMMYFUNCTION("""COMPUTED_VALUE"""),43542.6666666666)</f>
        <v/>
      </c>
      <c r="N310" s="6">
        <f>IFERROR(__xludf.DUMMYFUNCTION("""COMPUTED_VALUE"""),7714.48)</f>
        <v/>
      </c>
      <c r="R310" s="6">
        <f>S310&amp;T310</f>
        <v/>
      </c>
      <c r="S310" s="6">
        <f>YEAR(U310)</f>
        <v/>
      </c>
      <c r="T310" s="6">
        <f>MONTH(U310)</f>
        <v/>
      </c>
      <c r="U310" s="267">
        <f>IFERROR(__xludf.DUMMYFUNCTION("""COMPUTED_VALUE"""),43564.6458333333)</f>
        <v/>
      </c>
      <c r="V310" s="6">
        <f>IFERROR(__xludf.DUMMYFUNCTION("""COMPUTED_VALUE"""),2213.56)</f>
        <v/>
      </c>
      <c r="Z310" s="6">
        <f>AA310&amp;AB310</f>
        <v/>
      </c>
      <c r="AA310" s="6">
        <f>YEAR(AC310)</f>
        <v/>
      </c>
      <c r="AB310" s="6">
        <f>MONTH(AC310)</f>
        <v/>
      </c>
      <c r="AC310" s="267">
        <f>IFERROR(__xludf.DUMMYFUNCTION("""COMPUTED_VALUE"""),43419.9986111111)</f>
        <v/>
      </c>
      <c r="AD310" s="6">
        <f>IFERROR(__xludf.DUMMYFUNCTION("""COMPUTED_VALUE"""),1127)</f>
        <v/>
      </c>
      <c r="AH310" s="6">
        <f>AI310&amp;AJ310</f>
        <v/>
      </c>
      <c r="AI310" s="6">
        <f>YEAR(AK310)</f>
        <v/>
      </c>
      <c r="AJ310" s="6">
        <f>MONTH(AK310)</f>
        <v/>
      </c>
      <c r="AK310" s="267">
        <f>IFERROR(__xludf.DUMMYFUNCTION("""COMPUTED_VALUE"""),43402.9986111111)</f>
        <v/>
      </c>
      <c r="AL310" s="6">
        <f>IFERROR(__xludf.DUMMYFUNCTION("""COMPUTED_VALUE"""),6313.7)</f>
        <v/>
      </c>
      <c r="AP310" s="6">
        <f>AQ310&amp;AR310</f>
        <v/>
      </c>
      <c r="AQ310" s="6">
        <f>YEAR(AS310)</f>
        <v/>
      </c>
      <c r="AR310" s="6">
        <f>MONTH(AS310)</f>
        <v/>
      </c>
      <c r="AS310" s="267">
        <f>IFERROR(__xludf.DUMMYFUNCTION("""COMPUTED_VALUE"""),43546.9986111111)</f>
        <v/>
      </c>
      <c r="AT310" s="6">
        <f>IFERROR(__xludf.DUMMYFUNCTION("""COMPUTED_VALUE"""),1318.7)</f>
        <v/>
      </c>
    </row>
    <row r="311">
      <c r="B311" s="6">
        <f>C311&amp;D311</f>
        <v/>
      </c>
      <c r="C311" s="6">
        <f>YEAR(E311)</f>
        <v/>
      </c>
      <c r="D311" s="6">
        <f>MONTH(E311)</f>
        <v/>
      </c>
      <c r="E311" s="267">
        <f>IFERROR(__xludf.DUMMYFUNCTION("""COMPUTED_VALUE"""),43543.6666666666)</f>
        <v/>
      </c>
      <c r="F311" s="6">
        <f>IFERROR(__xludf.DUMMYFUNCTION("""COMPUTED_VALUE"""),2832.57)</f>
        <v/>
      </c>
      <c r="J311" s="6">
        <f>K311&amp;L311</f>
        <v/>
      </c>
      <c r="K311" s="6">
        <f>YEAR(M311)</f>
        <v/>
      </c>
      <c r="L311" s="6">
        <f>MONTH(M311)</f>
        <v/>
      </c>
      <c r="M311" s="267">
        <f>IFERROR(__xludf.DUMMYFUNCTION("""COMPUTED_VALUE"""),43543.6666666666)</f>
        <v/>
      </c>
      <c r="N311" s="6">
        <f>IFERROR(__xludf.DUMMYFUNCTION("""COMPUTED_VALUE"""),7723.95)</f>
        <v/>
      </c>
      <c r="R311" s="6">
        <f>S311&amp;T311</f>
        <v/>
      </c>
      <c r="S311" s="6">
        <f>YEAR(U311)</f>
        <v/>
      </c>
      <c r="T311" s="6">
        <f>MONTH(U311)</f>
        <v/>
      </c>
      <c r="U311" s="267">
        <f>IFERROR(__xludf.DUMMYFUNCTION("""COMPUTED_VALUE"""),43565.6458333333)</f>
        <v/>
      </c>
      <c r="V311" s="6">
        <f>IFERROR(__xludf.DUMMYFUNCTION("""COMPUTED_VALUE"""),2224.39)</f>
        <v/>
      </c>
      <c r="Z311" s="6">
        <f>AA311&amp;AB311</f>
        <v/>
      </c>
      <c r="AA311" s="6">
        <f>YEAR(AC311)</f>
        <v/>
      </c>
      <c r="AB311" s="6">
        <f>MONTH(AC311)</f>
        <v/>
      </c>
      <c r="AC311" s="267">
        <f>IFERROR(__xludf.DUMMYFUNCTION("""COMPUTED_VALUE"""),43420.9986111111)</f>
        <v/>
      </c>
      <c r="AD311" s="6">
        <f>IFERROR(__xludf.DUMMYFUNCTION("""COMPUTED_VALUE"""),1120.5)</f>
        <v/>
      </c>
      <c r="AH311" s="6">
        <f>AI311&amp;AJ311</f>
        <v/>
      </c>
      <c r="AI311" s="6">
        <f>YEAR(AK311)</f>
        <v/>
      </c>
      <c r="AJ311" s="6">
        <f>MONTH(AK311)</f>
        <v/>
      </c>
      <c r="AK311" s="267">
        <f>IFERROR(__xludf.DUMMYFUNCTION("""COMPUTED_VALUE"""),43403.9986111111)</f>
        <v/>
      </c>
      <c r="AL311" s="6">
        <f>IFERROR(__xludf.DUMMYFUNCTION("""COMPUTED_VALUE"""),6309.67)</f>
        <v/>
      </c>
      <c r="AP311" s="6">
        <f>AQ311&amp;AR311</f>
        <v/>
      </c>
      <c r="AQ311" s="6">
        <f>YEAR(AS311)</f>
        <v/>
      </c>
      <c r="AR311" s="6">
        <f>MONTH(AS311)</f>
        <v/>
      </c>
      <c r="AS311" s="267">
        <f>IFERROR(__xludf.DUMMYFUNCTION("""COMPUTED_VALUE"""),43549.9986111111)</f>
        <v/>
      </c>
      <c r="AT311" s="6">
        <f>IFERROR(__xludf.DUMMYFUNCTION("""COMPUTED_VALUE"""),1329)</f>
        <v/>
      </c>
    </row>
    <row r="312">
      <c r="B312" s="6">
        <f>C312&amp;D312</f>
        <v/>
      </c>
      <c r="C312" s="6">
        <f>YEAR(E312)</f>
        <v/>
      </c>
      <c r="D312" s="6">
        <f>MONTH(E312)</f>
        <v/>
      </c>
      <c r="E312" s="267">
        <f>IFERROR(__xludf.DUMMYFUNCTION("""COMPUTED_VALUE"""),43544.6666666666)</f>
        <v/>
      </c>
      <c r="F312" s="6">
        <f>IFERROR(__xludf.DUMMYFUNCTION("""COMPUTED_VALUE"""),2824.23)</f>
        <v/>
      </c>
      <c r="J312" s="6">
        <f>K312&amp;L312</f>
        <v/>
      </c>
      <c r="K312" s="6">
        <f>YEAR(M312)</f>
        <v/>
      </c>
      <c r="L312" s="6">
        <f>MONTH(M312)</f>
        <v/>
      </c>
      <c r="M312" s="267">
        <f>IFERROR(__xludf.DUMMYFUNCTION("""COMPUTED_VALUE"""),43544.6666666666)</f>
        <v/>
      </c>
      <c r="N312" s="6">
        <f>IFERROR(__xludf.DUMMYFUNCTION("""COMPUTED_VALUE"""),7728.97)</f>
        <v/>
      </c>
      <c r="R312" s="6">
        <f>S312&amp;T312</f>
        <v/>
      </c>
      <c r="S312" s="6">
        <f>YEAR(U312)</f>
        <v/>
      </c>
      <c r="T312" s="6">
        <f>MONTH(U312)</f>
        <v/>
      </c>
      <c r="U312" s="267">
        <f>IFERROR(__xludf.DUMMYFUNCTION("""COMPUTED_VALUE"""),43566.6458333333)</f>
        <v/>
      </c>
      <c r="V312" s="6">
        <f>IFERROR(__xludf.DUMMYFUNCTION("""COMPUTED_VALUE"""),2224.44)</f>
        <v/>
      </c>
      <c r="Z312" s="6">
        <f>AA312&amp;AB312</f>
        <v/>
      </c>
      <c r="AA312" s="6">
        <f>YEAR(AC312)</f>
        <v/>
      </c>
      <c r="AB312" s="6">
        <f>MONTH(AC312)</f>
        <v/>
      </c>
      <c r="AC312" s="267">
        <f>IFERROR(__xludf.DUMMYFUNCTION("""COMPUTED_VALUE"""),43421.9986111111)</f>
        <v/>
      </c>
      <c r="AD312" s="6">
        <f>IFERROR(__xludf.DUMMYFUNCTION("""COMPUTED_VALUE"""),1119.4)</f>
        <v/>
      </c>
      <c r="AH312" s="6">
        <f>AI312&amp;AJ312</f>
        <v/>
      </c>
      <c r="AI312" s="6">
        <f>YEAR(AK312)</f>
        <v/>
      </c>
      <c r="AJ312" s="6">
        <f>MONTH(AK312)</f>
        <v/>
      </c>
      <c r="AK312" s="267">
        <f>IFERROR(__xludf.DUMMYFUNCTION("""COMPUTED_VALUE"""),43404.9986111111)</f>
        <v/>
      </c>
      <c r="AL312" s="6">
        <f>IFERROR(__xludf.DUMMYFUNCTION("""COMPUTED_VALUE"""),6340.38)</f>
        <v/>
      </c>
      <c r="AP312" s="6">
        <f>AQ312&amp;AR312</f>
        <v/>
      </c>
      <c r="AQ312" s="6">
        <f>YEAR(AS312)</f>
        <v/>
      </c>
      <c r="AR312" s="6">
        <f>MONTH(AS312)</f>
        <v/>
      </c>
      <c r="AS312" s="267">
        <f>IFERROR(__xludf.DUMMYFUNCTION("""COMPUTED_VALUE"""),43550.9986111111)</f>
        <v/>
      </c>
      <c r="AT312" s="6">
        <f>IFERROR(__xludf.DUMMYFUNCTION("""COMPUTED_VALUE"""),1321.4)</f>
        <v/>
      </c>
    </row>
    <row r="313">
      <c r="B313" s="6">
        <f>C313&amp;D313</f>
        <v/>
      </c>
      <c r="C313" s="6">
        <f>YEAR(E313)</f>
        <v/>
      </c>
      <c r="D313" s="6">
        <f>MONTH(E313)</f>
        <v/>
      </c>
      <c r="E313" s="267">
        <f>IFERROR(__xludf.DUMMYFUNCTION("""COMPUTED_VALUE"""),43545.6666666666)</f>
        <v/>
      </c>
      <c r="F313" s="6">
        <f>IFERROR(__xludf.DUMMYFUNCTION("""COMPUTED_VALUE"""),2854.88)</f>
        <v/>
      </c>
      <c r="J313" s="6">
        <f>K313&amp;L313</f>
        <v/>
      </c>
      <c r="K313" s="6">
        <f>YEAR(M313)</f>
        <v/>
      </c>
      <c r="L313" s="6">
        <f>MONTH(M313)</f>
        <v/>
      </c>
      <c r="M313" s="267">
        <f>IFERROR(__xludf.DUMMYFUNCTION("""COMPUTED_VALUE"""),43545.6666666666)</f>
        <v/>
      </c>
      <c r="N313" s="6">
        <f>IFERROR(__xludf.DUMMYFUNCTION("""COMPUTED_VALUE"""),7838.96)</f>
        <v/>
      </c>
      <c r="R313" s="6">
        <f>S313&amp;T313</f>
        <v/>
      </c>
      <c r="S313" s="6">
        <f>YEAR(U313)</f>
        <v/>
      </c>
      <c r="T313" s="6">
        <f>MONTH(U313)</f>
        <v/>
      </c>
      <c r="U313" s="267">
        <f>IFERROR(__xludf.DUMMYFUNCTION("""COMPUTED_VALUE"""),43567.6458333333)</f>
        <v/>
      </c>
      <c r="V313" s="6">
        <f>IFERROR(__xludf.DUMMYFUNCTION("""COMPUTED_VALUE"""),2233.45)</f>
        <v/>
      </c>
      <c r="Z313" s="6">
        <f>AA313&amp;AB313</f>
        <v/>
      </c>
      <c r="AA313" s="6">
        <f>YEAR(AC313)</f>
        <v/>
      </c>
      <c r="AB313" s="6">
        <f>MONTH(AC313)</f>
        <v/>
      </c>
      <c r="AC313" s="267">
        <f>IFERROR(__xludf.DUMMYFUNCTION("""COMPUTED_VALUE"""),43422.9986111111)</f>
        <v/>
      </c>
      <c r="AD313" s="6">
        <f>IFERROR(__xludf.DUMMYFUNCTION("""COMPUTED_VALUE"""),1120.4)</f>
        <v/>
      </c>
      <c r="AH313" s="6">
        <f>AI313&amp;AJ313</f>
        <v/>
      </c>
      <c r="AI313" s="6">
        <f>YEAR(AK313)</f>
        <v/>
      </c>
      <c r="AJ313" s="6">
        <f>MONTH(AK313)</f>
        <v/>
      </c>
      <c r="AK313" s="267">
        <f>IFERROR(__xludf.DUMMYFUNCTION("""COMPUTED_VALUE"""),43405.9986111111)</f>
        <v/>
      </c>
      <c r="AL313" s="6">
        <f>IFERROR(__xludf.DUMMYFUNCTION("""COMPUTED_VALUE"""),6385.378)</f>
        <v/>
      </c>
      <c r="AP313" s="6">
        <f>AQ313&amp;AR313</f>
        <v/>
      </c>
      <c r="AQ313" s="6">
        <f>YEAR(AS313)</f>
        <v/>
      </c>
      <c r="AR313" s="6">
        <f>MONTH(AS313)</f>
        <v/>
      </c>
      <c r="AS313" s="267">
        <f>IFERROR(__xludf.DUMMYFUNCTION("""COMPUTED_VALUE"""),43551.9986111111)</f>
        <v/>
      </c>
      <c r="AT313" s="6">
        <f>IFERROR(__xludf.DUMMYFUNCTION("""COMPUTED_VALUE"""),1316.9)</f>
        <v/>
      </c>
    </row>
    <row r="314">
      <c r="B314" s="6">
        <f>C314&amp;D314</f>
        <v/>
      </c>
      <c r="C314" s="6">
        <f>YEAR(E314)</f>
        <v/>
      </c>
      <c r="D314" s="6">
        <f>MONTH(E314)</f>
        <v/>
      </c>
      <c r="E314" s="267">
        <f>IFERROR(__xludf.DUMMYFUNCTION("""COMPUTED_VALUE"""),43546.6666666666)</f>
        <v/>
      </c>
      <c r="F314" s="6">
        <f>IFERROR(__xludf.DUMMYFUNCTION("""COMPUTED_VALUE"""),2800.71)</f>
        <v/>
      </c>
      <c r="J314" s="6">
        <f>K314&amp;L314</f>
        <v/>
      </c>
      <c r="K314" s="6">
        <f>YEAR(M314)</f>
        <v/>
      </c>
      <c r="L314" s="6">
        <f>MONTH(M314)</f>
        <v/>
      </c>
      <c r="M314" s="267">
        <f>IFERROR(__xludf.DUMMYFUNCTION("""COMPUTED_VALUE"""),43546.6666666666)</f>
        <v/>
      </c>
      <c r="N314" s="6">
        <f>IFERROR(__xludf.DUMMYFUNCTION("""COMPUTED_VALUE"""),7642.67)</f>
        <v/>
      </c>
      <c r="R314" s="6">
        <f>S314&amp;T314</f>
        <v/>
      </c>
      <c r="S314" s="6">
        <f>YEAR(U314)</f>
        <v/>
      </c>
      <c r="T314" s="6">
        <f>MONTH(U314)</f>
        <v/>
      </c>
      <c r="U314" s="267">
        <f>IFERROR(__xludf.DUMMYFUNCTION("""COMPUTED_VALUE"""),43570.6458333333)</f>
        <v/>
      </c>
      <c r="V314" s="6">
        <f>IFERROR(__xludf.DUMMYFUNCTION("""COMPUTED_VALUE"""),2242.88)</f>
        <v/>
      </c>
      <c r="Z314" s="6">
        <f>AA314&amp;AB314</f>
        <v/>
      </c>
      <c r="AA314" s="6">
        <f>YEAR(AC314)</f>
        <v/>
      </c>
      <c r="AB314" s="6">
        <f>MONTH(AC314)</f>
        <v/>
      </c>
      <c r="AC314" s="267">
        <f>IFERROR(__xludf.DUMMYFUNCTION("""COMPUTED_VALUE"""),43423.9986111111)</f>
        <v/>
      </c>
      <c r="AD314" s="6">
        <f>IFERROR(__xludf.DUMMYFUNCTION("""COMPUTED_VALUE"""),1126.19)</f>
        <v/>
      </c>
      <c r="AH314" s="6">
        <f>AI314&amp;AJ314</f>
        <v/>
      </c>
      <c r="AI314" s="6">
        <f>YEAR(AK314)</f>
        <v/>
      </c>
      <c r="AJ314" s="6">
        <f>MONTH(AK314)</f>
        <v/>
      </c>
      <c r="AK314" s="267">
        <f>IFERROR(__xludf.DUMMYFUNCTION("""COMPUTED_VALUE"""),43406.9986111111)</f>
        <v/>
      </c>
      <c r="AL314" s="6">
        <f>IFERROR(__xludf.DUMMYFUNCTION("""COMPUTED_VALUE"""),6397.465)</f>
        <v/>
      </c>
      <c r="AP314" s="6">
        <f>AQ314&amp;AR314</f>
        <v/>
      </c>
      <c r="AQ314" s="6">
        <f>YEAR(AS314)</f>
        <v/>
      </c>
      <c r="AR314" s="6">
        <f>MONTH(AS314)</f>
        <v/>
      </c>
      <c r="AS314" s="267">
        <f>IFERROR(__xludf.DUMMYFUNCTION("""COMPUTED_VALUE"""),43552.9986111111)</f>
        <v/>
      </c>
      <c r="AT314" s="6">
        <f>IFERROR(__xludf.DUMMYFUNCTION("""COMPUTED_VALUE"""),1295.3)</f>
        <v/>
      </c>
    </row>
    <row r="315">
      <c r="B315" s="6">
        <f>C315&amp;D315</f>
        <v/>
      </c>
      <c r="C315" s="6">
        <f>YEAR(E315)</f>
        <v/>
      </c>
      <c r="D315" s="6">
        <f>MONTH(E315)</f>
        <v/>
      </c>
      <c r="E315" s="267">
        <f>IFERROR(__xludf.DUMMYFUNCTION("""COMPUTED_VALUE"""),43549.6666666666)</f>
        <v/>
      </c>
      <c r="F315" s="6">
        <f>IFERROR(__xludf.DUMMYFUNCTION("""COMPUTED_VALUE"""),2798.36)</f>
        <v/>
      </c>
      <c r="J315" s="6">
        <f>K315&amp;L315</f>
        <v/>
      </c>
      <c r="K315" s="6">
        <f>YEAR(M315)</f>
        <v/>
      </c>
      <c r="L315" s="6">
        <f>MONTH(M315)</f>
        <v/>
      </c>
      <c r="M315" s="267">
        <f>IFERROR(__xludf.DUMMYFUNCTION("""COMPUTED_VALUE"""),43549.6666666666)</f>
        <v/>
      </c>
      <c r="N315" s="6">
        <f>IFERROR(__xludf.DUMMYFUNCTION("""COMPUTED_VALUE"""),7637.54)</f>
        <v/>
      </c>
      <c r="R315" s="6">
        <f>S315&amp;T315</f>
        <v/>
      </c>
      <c r="S315" s="6">
        <f>YEAR(U315)</f>
        <v/>
      </c>
      <c r="T315" s="6">
        <f>MONTH(U315)</f>
        <v/>
      </c>
      <c r="U315" s="267">
        <f>IFERROR(__xludf.DUMMYFUNCTION("""COMPUTED_VALUE"""),43571.6458333333)</f>
        <v/>
      </c>
      <c r="V315" s="6">
        <f>IFERROR(__xludf.DUMMYFUNCTION("""COMPUTED_VALUE"""),2248.63)</f>
        <v/>
      </c>
      <c r="Z315" s="6">
        <f>AA315&amp;AB315</f>
        <v/>
      </c>
      <c r="AA315" s="6">
        <f>YEAR(AC315)</f>
        <v/>
      </c>
      <c r="AB315" s="6">
        <f>MONTH(AC315)</f>
        <v/>
      </c>
      <c r="AC315" s="267">
        <f>IFERROR(__xludf.DUMMYFUNCTION("""COMPUTED_VALUE"""),43424.9986111111)</f>
        <v/>
      </c>
      <c r="AD315" s="6">
        <f>IFERROR(__xludf.DUMMYFUNCTION("""COMPUTED_VALUE"""),1128.4)</f>
        <v/>
      </c>
      <c r="AH315" s="6">
        <f>AI315&amp;AJ315</f>
        <v/>
      </c>
      <c r="AI315" s="6">
        <f>YEAR(AK315)</f>
        <v/>
      </c>
      <c r="AJ315" s="6">
        <f>MONTH(AK315)</f>
        <v/>
      </c>
      <c r="AK315" s="267">
        <f>IFERROR(__xludf.DUMMYFUNCTION("""COMPUTED_VALUE"""),43407.9986111111)</f>
        <v/>
      </c>
      <c r="AL315" s="6">
        <f>IFERROR(__xludf.DUMMYFUNCTION("""COMPUTED_VALUE"""),6371.697)</f>
        <v/>
      </c>
      <c r="AP315" s="6">
        <f>AQ315&amp;AR315</f>
        <v/>
      </c>
      <c r="AQ315" s="6">
        <f>YEAR(AS315)</f>
        <v/>
      </c>
      <c r="AR315" s="6">
        <f>MONTH(AS315)</f>
        <v/>
      </c>
      <c r="AS315" s="267">
        <f>IFERROR(__xludf.DUMMYFUNCTION("""COMPUTED_VALUE"""),43553.9986111111)</f>
        <v/>
      </c>
      <c r="AT315" s="6">
        <f>IFERROR(__xludf.DUMMYFUNCTION("""COMPUTED_VALUE"""),1298.5)</f>
        <v/>
      </c>
    </row>
    <row r="316">
      <c r="B316" s="6">
        <f>C316&amp;D316</f>
        <v/>
      </c>
      <c r="C316" s="6">
        <f>YEAR(E316)</f>
        <v/>
      </c>
      <c r="D316" s="6">
        <f>MONTH(E316)</f>
        <v/>
      </c>
      <c r="E316" s="267">
        <f>IFERROR(__xludf.DUMMYFUNCTION("""COMPUTED_VALUE"""),43550.6666666666)</f>
        <v/>
      </c>
      <c r="F316" s="6">
        <f>IFERROR(__xludf.DUMMYFUNCTION("""COMPUTED_VALUE"""),2818.46)</f>
        <v/>
      </c>
      <c r="J316" s="6">
        <f>K316&amp;L316</f>
        <v/>
      </c>
      <c r="K316" s="6">
        <f>YEAR(M316)</f>
        <v/>
      </c>
      <c r="L316" s="6">
        <f>MONTH(M316)</f>
        <v/>
      </c>
      <c r="M316" s="267">
        <f>IFERROR(__xludf.DUMMYFUNCTION("""COMPUTED_VALUE"""),43550.6666666666)</f>
        <v/>
      </c>
      <c r="N316" s="6">
        <f>IFERROR(__xludf.DUMMYFUNCTION("""COMPUTED_VALUE"""),7691.52)</f>
        <v/>
      </c>
      <c r="R316" s="6">
        <f>S316&amp;T316</f>
        <v/>
      </c>
      <c r="S316" s="6">
        <f>YEAR(U316)</f>
        <v/>
      </c>
      <c r="T316" s="6">
        <f>MONTH(U316)</f>
        <v/>
      </c>
      <c r="U316" s="267">
        <f>IFERROR(__xludf.DUMMYFUNCTION("""COMPUTED_VALUE"""),43572.6458333333)</f>
        <v/>
      </c>
      <c r="V316" s="6">
        <f>IFERROR(__xludf.DUMMYFUNCTION("""COMPUTED_VALUE"""),2245.89)</f>
        <v/>
      </c>
      <c r="Z316" s="6">
        <f>AA316&amp;AB316</f>
        <v/>
      </c>
      <c r="AA316" s="6">
        <f>YEAR(AC316)</f>
        <v/>
      </c>
      <c r="AB316" s="6">
        <f>MONTH(AC316)</f>
        <v/>
      </c>
      <c r="AC316" s="267">
        <f>IFERROR(__xludf.DUMMYFUNCTION("""COMPUTED_VALUE"""),43425.9986111111)</f>
        <v/>
      </c>
      <c r="AD316" s="6">
        <f>IFERROR(__xludf.DUMMYFUNCTION("""COMPUTED_VALUE"""),1137.31)</f>
        <v/>
      </c>
      <c r="AH316" s="6">
        <f>AI316&amp;AJ316</f>
        <v/>
      </c>
      <c r="AI316" s="6">
        <f>YEAR(AK316)</f>
        <v/>
      </c>
      <c r="AJ316" s="6">
        <f>MONTH(AK316)</f>
        <v/>
      </c>
      <c r="AK316" s="267">
        <f>IFERROR(__xludf.DUMMYFUNCTION("""COMPUTED_VALUE"""),43408.9986111111)</f>
        <v/>
      </c>
      <c r="AL316" s="6">
        <f>IFERROR(__xludf.DUMMYFUNCTION("""COMPUTED_VALUE"""),6449.641)</f>
        <v/>
      </c>
      <c r="AP316" s="6">
        <f>AQ316&amp;AR316</f>
        <v/>
      </c>
      <c r="AQ316" s="6">
        <f>YEAR(AS316)</f>
        <v/>
      </c>
      <c r="AR316" s="6">
        <f>MONTH(AS316)</f>
        <v/>
      </c>
      <c r="AS316" s="267">
        <f>IFERROR(__xludf.DUMMYFUNCTION("""COMPUTED_VALUE"""),43556.9986111111)</f>
        <v/>
      </c>
      <c r="AT316" s="6">
        <f>IFERROR(__xludf.DUMMYFUNCTION("""COMPUTED_VALUE"""),1294.2)</f>
        <v/>
      </c>
    </row>
    <row r="317">
      <c r="B317" s="6">
        <f>C317&amp;D317</f>
        <v/>
      </c>
      <c r="C317" s="6">
        <f>YEAR(E317)</f>
        <v/>
      </c>
      <c r="D317" s="6">
        <f>MONTH(E317)</f>
        <v/>
      </c>
      <c r="E317" s="267">
        <f>IFERROR(__xludf.DUMMYFUNCTION("""COMPUTED_VALUE"""),43551.6666666666)</f>
        <v/>
      </c>
      <c r="F317" s="6">
        <f>IFERROR(__xludf.DUMMYFUNCTION("""COMPUTED_VALUE"""),2805.37)</f>
        <v/>
      </c>
      <c r="J317" s="6">
        <f>K317&amp;L317</f>
        <v/>
      </c>
      <c r="K317" s="6">
        <f>YEAR(M317)</f>
        <v/>
      </c>
      <c r="L317" s="6">
        <f>MONTH(M317)</f>
        <v/>
      </c>
      <c r="M317" s="267">
        <f>IFERROR(__xludf.DUMMYFUNCTION("""COMPUTED_VALUE"""),43551.6666666666)</f>
        <v/>
      </c>
      <c r="N317" s="6">
        <f>IFERROR(__xludf.DUMMYFUNCTION("""COMPUTED_VALUE"""),7643.38)</f>
        <v/>
      </c>
      <c r="R317" s="6">
        <f>S317&amp;T317</f>
        <v/>
      </c>
      <c r="S317" s="6">
        <f>YEAR(U317)</f>
        <v/>
      </c>
      <c r="T317" s="6">
        <f>MONTH(U317)</f>
        <v/>
      </c>
      <c r="U317" s="267">
        <f>IFERROR(__xludf.DUMMYFUNCTION("""COMPUTED_VALUE"""),43573.6458333333)</f>
        <v/>
      </c>
      <c r="V317" s="6">
        <f>IFERROR(__xludf.DUMMYFUNCTION("""COMPUTED_VALUE"""),2213.77)</f>
        <v/>
      </c>
      <c r="Z317" s="6">
        <f>AA317&amp;AB317</f>
        <v/>
      </c>
      <c r="AA317" s="6">
        <f>YEAR(AC317)</f>
        <v/>
      </c>
      <c r="AB317" s="6">
        <f>MONTH(AC317)</f>
        <v/>
      </c>
      <c r="AC317" s="267">
        <f>IFERROR(__xludf.DUMMYFUNCTION("""COMPUTED_VALUE"""),43426.9986111111)</f>
        <v/>
      </c>
      <c r="AD317" s="6">
        <f>IFERROR(__xludf.DUMMYFUNCTION("""COMPUTED_VALUE"""),1135.5)</f>
        <v/>
      </c>
      <c r="AH317" s="6">
        <f>AI317&amp;AJ317</f>
        <v/>
      </c>
      <c r="AI317" s="6">
        <f>YEAR(AK317)</f>
        <v/>
      </c>
      <c r="AJ317" s="6">
        <f>MONTH(AK317)</f>
        <v/>
      </c>
      <c r="AK317" s="267">
        <f>IFERROR(__xludf.DUMMYFUNCTION("""COMPUTED_VALUE"""),43409.9986111111)</f>
        <v/>
      </c>
      <c r="AL317" s="6">
        <f>IFERROR(__xludf.DUMMYFUNCTION("""COMPUTED_VALUE"""),6427.679)</f>
        <v/>
      </c>
      <c r="AP317" s="6">
        <f>AQ317&amp;AR317</f>
        <v/>
      </c>
      <c r="AQ317" s="6">
        <f>YEAR(AS317)</f>
        <v/>
      </c>
      <c r="AR317" s="6">
        <f>MONTH(AS317)</f>
        <v/>
      </c>
      <c r="AS317" s="267">
        <f>IFERROR(__xludf.DUMMYFUNCTION("""COMPUTED_VALUE"""),43557.9986111111)</f>
        <v/>
      </c>
      <c r="AT317" s="6">
        <f>IFERROR(__xludf.DUMMYFUNCTION("""COMPUTED_VALUE"""),1295.4)</f>
        <v/>
      </c>
    </row>
    <row r="318">
      <c r="B318" s="6">
        <f>C318&amp;D318</f>
        <v/>
      </c>
      <c r="C318" s="6">
        <f>YEAR(E318)</f>
        <v/>
      </c>
      <c r="D318" s="6">
        <f>MONTH(E318)</f>
        <v/>
      </c>
      <c r="E318" s="267">
        <f>IFERROR(__xludf.DUMMYFUNCTION("""COMPUTED_VALUE"""),43552.6666666666)</f>
        <v/>
      </c>
      <c r="F318" s="6">
        <f>IFERROR(__xludf.DUMMYFUNCTION("""COMPUTED_VALUE"""),2815.44)</f>
        <v/>
      </c>
      <c r="J318" s="6">
        <f>K318&amp;L318</f>
        <v/>
      </c>
      <c r="K318" s="6">
        <f>YEAR(M318)</f>
        <v/>
      </c>
      <c r="L318" s="6">
        <f>MONTH(M318)</f>
        <v/>
      </c>
      <c r="M318" s="267">
        <f>IFERROR(__xludf.DUMMYFUNCTION("""COMPUTED_VALUE"""),43552.6666666666)</f>
        <v/>
      </c>
      <c r="N318" s="6">
        <f>IFERROR(__xludf.DUMMYFUNCTION("""COMPUTED_VALUE"""),7669.17)</f>
        <v/>
      </c>
      <c r="R318" s="6">
        <f>S318&amp;T318</f>
        <v/>
      </c>
      <c r="S318" s="6">
        <f>YEAR(U318)</f>
        <v/>
      </c>
      <c r="T318" s="6">
        <f>MONTH(U318)</f>
        <v/>
      </c>
      <c r="U318" s="267">
        <f>IFERROR(__xludf.DUMMYFUNCTION("""COMPUTED_VALUE"""),43574.6458333333)</f>
        <v/>
      </c>
      <c r="V318" s="6">
        <f>IFERROR(__xludf.DUMMYFUNCTION("""COMPUTED_VALUE"""),2216.15)</f>
        <v/>
      </c>
      <c r="Z318" s="6">
        <f>AA318&amp;AB318</f>
        <v/>
      </c>
      <c r="AA318" s="6">
        <f>YEAR(AC318)</f>
        <v/>
      </c>
      <c r="AB318" s="6">
        <f>MONTH(AC318)</f>
        <v/>
      </c>
      <c r="AC318" s="267">
        <f>IFERROR(__xludf.DUMMYFUNCTION("""COMPUTED_VALUE"""),43427.9986111111)</f>
        <v/>
      </c>
      <c r="AD318" s="6">
        <f>IFERROR(__xludf.DUMMYFUNCTION("""COMPUTED_VALUE"""),1132.9)</f>
        <v/>
      </c>
      <c r="AH318" s="6">
        <f>AI318&amp;AJ318</f>
        <v/>
      </c>
      <c r="AI318" s="6">
        <f>YEAR(AK318)</f>
        <v/>
      </c>
      <c r="AJ318" s="6">
        <f>MONTH(AK318)</f>
        <v/>
      </c>
      <c r="AK318" s="267">
        <f>IFERROR(__xludf.DUMMYFUNCTION("""COMPUTED_VALUE"""),43410.9986111111)</f>
        <v/>
      </c>
      <c r="AL318" s="6">
        <f>IFERROR(__xludf.DUMMYFUNCTION("""COMPUTED_VALUE"""),6465.923)</f>
        <v/>
      </c>
      <c r="AP318" s="6">
        <f>AQ318&amp;AR318</f>
        <v/>
      </c>
      <c r="AQ318" s="6">
        <f>YEAR(AS318)</f>
        <v/>
      </c>
      <c r="AR318" s="6">
        <f>MONTH(AS318)</f>
        <v/>
      </c>
      <c r="AS318" s="267">
        <f>IFERROR(__xludf.DUMMYFUNCTION("""COMPUTED_VALUE"""),43558.9986111111)</f>
        <v/>
      </c>
      <c r="AT318" s="6">
        <f>IFERROR(__xludf.DUMMYFUNCTION("""COMPUTED_VALUE"""),1295.3)</f>
        <v/>
      </c>
    </row>
    <row r="319">
      <c r="B319" s="6">
        <f>C319&amp;D319</f>
        <v/>
      </c>
      <c r="C319" s="6">
        <f>YEAR(E319)</f>
        <v/>
      </c>
      <c r="D319" s="6">
        <f>MONTH(E319)</f>
        <v/>
      </c>
      <c r="E319" s="267">
        <f>IFERROR(__xludf.DUMMYFUNCTION("""COMPUTED_VALUE"""),43553.6666666666)</f>
        <v/>
      </c>
      <c r="F319" s="6">
        <f>IFERROR(__xludf.DUMMYFUNCTION("""COMPUTED_VALUE"""),2834.4)</f>
        <v/>
      </c>
      <c r="J319" s="6">
        <f>K319&amp;L319</f>
        <v/>
      </c>
      <c r="K319" s="6">
        <f>YEAR(M319)</f>
        <v/>
      </c>
      <c r="L319" s="6">
        <f>MONTH(M319)</f>
        <v/>
      </c>
      <c r="M319" s="267">
        <f>IFERROR(__xludf.DUMMYFUNCTION("""COMPUTED_VALUE"""),43553.6666666666)</f>
        <v/>
      </c>
      <c r="N319" s="6">
        <f>IFERROR(__xludf.DUMMYFUNCTION("""COMPUTED_VALUE"""),7729.32)</f>
        <v/>
      </c>
      <c r="R319" s="6">
        <f>S319&amp;T319</f>
        <v/>
      </c>
      <c r="S319" s="6">
        <f>YEAR(U319)</f>
        <v/>
      </c>
      <c r="T319" s="6">
        <f>MONTH(U319)</f>
        <v/>
      </c>
      <c r="U319" s="267">
        <f>IFERROR(__xludf.DUMMYFUNCTION("""COMPUTED_VALUE"""),43577.6458333333)</f>
        <v/>
      </c>
      <c r="V319" s="6">
        <f>IFERROR(__xludf.DUMMYFUNCTION("""COMPUTED_VALUE"""),2216.65)</f>
        <v/>
      </c>
      <c r="Z319" s="6">
        <f>AA319&amp;AB319</f>
        <v/>
      </c>
      <c r="AA319" s="6">
        <f>YEAR(AC319)</f>
        <v/>
      </c>
      <c r="AB319" s="6">
        <f>MONTH(AC319)</f>
        <v/>
      </c>
      <c r="AC319" s="267">
        <f>IFERROR(__xludf.DUMMYFUNCTION("""COMPUTED_VALUE"""),43428.9986111111)</f>
        <v/>
      </c>
      <c r="AD319" s="6">
        <f>IFERROR(__xludf.DUMMYFUNCTION("""COMPUTED_VALUE"""),1131.5)</f>
        <v/>
      </c>
      <c r="AH319" s="6">
        <f>AI319&amp;AJ319</f>
        <v/>
      </c>
      <c r="AI319" s="6">
        <f>YEAR(AK319)</f>
        <v/>
      </c>
      <c r="AJ319" s="6">
        <f>MONTH(AK319)</f>
        <v/>
      </c>
      <c r="AK319" s="267">
        <f>IFERROR(__xludf.DUMMYFUNCTION("""COMPUTED_VALUE"""),43411.9986111111)</f>
        <v/>
      </c>
      <c r="AL319" s="6">
        <f>IFERROR(__xludf.DUMMYFUNCTION("""COMPUTED_VALUE"""),6541.703)</f>
        <v/>
      </c>
      <c r="AP319" s="6">
        <f>AQ319&amp;AR319</f>
        <v/>
      </c>
      <c r="AQ319" s="6">
        <f>YEAR(AS319)</f>
        <v/>
      </c>
      <c r="AR319" s="6">
        <f>MONTH(AS319)</f>
        <v/>
      </c>
      <c r="AS319" s="267">
        <f>IFERROR(__xludf.DUMMYFUNCTION("""COMPUTED_VALUE"""),43559.9986111111)</f>
        <v/>
      </c>
      <c r="AT319" s="6">
        <f>IFERROR(__xludf.DUMMYFUNCTION("""COMPUTED_VALUE"""),1294.3)</f>
        <v/>
      </c>
    </row>
    <row r="320">
      <c r="B320" s="6">
        <f>C320&amp;D320</f>
        <v/>
      </c>
      <c r="C320" s="6">
        <f>YEAR(E320)</f>
        <v/>
      </c>
      <c r="D320" s="6">
        <f>MONTH(E320)</f>
        <v/>
      </c>
      <c r="E320" s="267">
        <f>IFERROR(__xludf.DUMMYFUNCTION("""COMPUTED_VALUE"""),43556.6666666666)</f>
        <v/>
      </c>
      <c r="F320" s="6">
        <f>IFERROR(__xludf.DUMMYFUNCTION("""COMPUTED_VALUE"""),2867.19)</f>
        <v/>
      </c>
      <c r="J320" s="6">
        <f>K320&amp;L320</f>
        <v/>
      </c>
      <c r="K320" s="6">
        <f>YEAR(M320)</f>
        <v/>
      </c>
      <c r="L320" s="6">
        <f>MONTH(M320)</f>
        <v/>
      </c>
      <c r="M320" s="267">
        <f>IFERROR(__xludf.DUMMYFUNCTION("""COMPUTED_VALUE"""),43556.6666666666)</f>
        <v/>
      </c>
      <c r="N320" s="6">
        <f>IFERROR(__xludf.DUMMYFUNCTION("""COMPUTED_VALUE"""),7828.91)</f>
        <v/>
      </c>
      <c r="R320" s="6">
        <f>S320&amp;T320</f>
        <v/>
      </c>
      <c r="S320" s="6">
        <f>YEAR(U320)</f>
        <v/>
      </c>
      <c r="T320" s="6">
        <f>MONTH(U320)</f>
        <v/>
      </c>
      <c r="U320" s="267">
        <f>IFERROR(__xludf.DUMMYFUNCTION("""COMPUTED_VALUE"""),43578.6458333333)</f>
        <v/>
      </c>
      <c r="V320" s="6">
        <f>IFERROR(__xludf.DUMMYFUNCTION("""COMPUTED_VALUE"""),2220.51)</f>
        <v/>
      </c>
      <c r="Z320" s="6">
        <f>AA320&amp;AB320</f>
        <v/>
      </c>
      <c r="AA320" s="6">
        <f>YEAR(AC320)</f>
        <v/>
      </c>
      <c r="AB320" s="6">
        <f>MONTH(AC320)</f>
        <v/>
      </c>
      <c r="AC320" s="267">
        <f>IFERROR(__xludf.DUMMYFUNCTION("""COMPUTED_VALUE"""),43429.9986111111)</f>
        <v/>
      </c>
      <c r="AD320" s="6">
        <f>IFERROR(__xludf.DUMMYFUNCTION("""COMPUTED_VALUE"""),1133.5)</f>
        <v/>
      </c>
      <c r="AH320" s="6">
        <f>AI320&amp;AJ320</f>
        <v/>
      </c>
      <c r="AI320" s="6">
        <f>YEAR(AK320)</f>
        <v/>
      </c>
      <c r="AJ320" s="6">
        <f>MONTH(AK320)</f>
        <v/>
      </c>
      <c r="AK320" s="267">
        <f>IFERROR(__xludf.DUMMYFUNCTION("""COMPUTED_VALUE"""),43412.9986111111)</f>
        <v/>
      </c>
      <c r="AL320" s="6">
        <f>IFERROR(__xludf.DUMMYFUNCTION("""COMPUTED_VALUE"""),6444.971)</f>
        <v/>
      </c>
      <c r="AP320" s="6">
        <f>AQ320&amp;AR320</f>
        <v/>
      </c>
      <c r="AQ320" s="6">
        <f>YEAR(AS320)</f>
        <v/>
      </c>
      <c r="AR320" s="6">
        <f>MONTH(AS320)</f>
        <v/>
      </c>
      <c r="AS320" s="267">
        <f>IFERROR(__xludf.DUMMYFUNCTION("""COMPUTED_VALUE"""),43560.9986111111)</f>
        <v/>
      </c>
      <c r="AT320" s="6">
        <f>IFERROR(__xludf.DUMMYFUNCTION("""COMPUTED_VALUE"""),1295.6)</f>
        <v/>
      </c>
    </row>
    <row r="321">
      <c r="B321" s="6">
        <f>C321&amp;D321</f>
        <v/>
      </c>
      <c r="C321" s="6">
        <f>YEAR(E321)</f>
        <v/>
      </c>
      <c r="D321" s="6">
        <f>MONTH(E321)</f>
        <v/>
      </c>
      <c r="E321" s="267">
        <f>IFERROR(__xludf.DUMMYFUNCTION("""COMPUTED_VALUE"""),43557.6666666666)</f>
        <v/>
      </c>
      <c r="F321" s="6">
        <f>IFERROR(__xludf.DUMMYFUNCTION("""COMPUTED_VALUE"""),2867.24)</f>
        <v/>
      </c>
      <c r="J321" s="6">
        <f>K321&amp;L321</f>
        <v/>
      </c>
      <c r="K321" s="6">
        <f>YEAR(M321)</f>
        <v/>
      </c>
      <c r="L321" s="6">
        <f>MONTH(M321)</f>
        <v/>
      </c>
      <c r="M321" s="267">
        <f>IFERROR(__xludf.DUMMYFUNCTION("""COMPUTED_VALUE"""),43557.6666666666)</f>
        <v/>
      </c>
      <c r="N321" s="6">
        <f>IFERROR(__xludf.DUMMYFUNCTION("""COMPUTED_VALUE"""),7848.69)</f>
        <v/>
      </c>
      <c r="R321" s="6">
        <f>S321&amp;T321</f>
        <v/>
      </c>
      <c r="S321" s="6">
        <f>YEAR(U321)</f>
        <v/>
      </c>
      <c r="T321" s="6">
        <f>MONTH(U321)</f>
        <v/>
      </c>
      <c r="U321" s="267">
        <f>IFERROR(__xludf.DUMMYFUNCTION("""COMPUTED_VALUE"""),43579.6458333333)</f>
        <v/>
      </c>
      <c r="V321" s="6">
        <f>IFERROR(__xludf.DUMMYFUNCTION("""COMPUTED_VALUE"""),2201.03)</f>
        <v/>
      </c>
      <c r="Z321" s="6">
        <f>AA321&amp;AB321</f>
        <v/>
      </c>
      <c r="AA321" s="6">
        <f>YEAR(AC321)</f>
        <v/>
      </c>
      <c r="AB321" s="6">
        <f>MONTH(AC321)</f>
        <v/>
      </c>
      <c r="AC321" s="267">
        <f>IFERROR(__xludf.DUMMYFUNCTION("""COMPUTED_VALUE"""),43430.9986111111)</f>
        <v/>
      </c>
      <c r="AD321" s="6">
        <f>IFERROR(__xludf.DUMMYFUNCTION("""COMPUTED_VALUE"""),1129.03)</f>
        <v/>
      </c>
      <c r="AH321" s="6">
        <f>AI321&amp;AJ321</f>
        <v/>
      </c>
      <c r="AI321" s="6">
        <f>YEAR(AK321)</f>
        <v/>
      </c>
      <c r="AJ321" s="6">
        <f>MONTH(AK321)</f>
        <v/>
      </c>
      <c r="AK321" s="267">
        <f>IFERROR(__xludf.DUMMYFUNCTION("""COMPUTED_VALUE"""),43413.9986111111)</f>
        <v/>
      </c>
      <c r="AL321" s="6">
        <f>IFERROR(__xludf.DUMMYFUNCTION("""COMPUTED_VALUE"""),6386.765)</f>
        <v/>
      </c>
      <c r="AP321" s="6">
        <f>AQ321&amp;AR321</f>
        <v/>
      </c>
      <c r="AQ321" s="6">
        <f>YEAR(AS321)</f>
        <v/>
      </c>
      <c r="AR321" s="6">
        <f>MONTH(AS321)</f>
        <v/>
      </c>
      <c r="AS321" s="267">
        <f>IFERROR(__xludf.DUMMYFUNCTION("""COMPUTED_VALUE"""),43563.9986111111)</f>
        <v/>
      </c>
      <c r="AT321" s="6">
        <f>IFERROR(__xludf.DUMMYFUNCTION("""COMPUTED_VALUE"""),1301.9)</f>
        <v/>
      </c>
    </row>
    <row r="322">
      <c r="B322" s="6">
        <f>C322&amp;D322</f>
        <v/>
      </c>
      <c r="C322" s="6">
        <f>YEAR(E322)</f>
        <v/>
      </c>
      <c r="D322" s="6">
        <f>MONTH(E322)</f>
        <v/>
      </c>
      <c r="E322" s="267">
        <f>IFERROR(__xludf.DUMMYFUNCTION("""COMPUTED_VALUE"""),43558.6666666666)</f>
        <v/>
      </c>
      <c r="F322" s="6">
        <f>IFERROR(__xludf.DUMMYFUNCTION("""COMPUTED_VALUE"""),2873.4)</f>
        <v/>
      </c>
      <c r="J322" s="6">
        <f>K322&amp;L322</f>
        <v/>
      </c>
      <c r="K322" s="6">
        <f>YEAR(M322)</f>
        <v/>
      </c>
      <c r="L322" s="6">
        <f>MONTH(M322)</f>
        <v/>
      </c>
      <c r="M322" s="267">
        <f>IFERROR(__xludf.DUMMYFUNCTION("""COMPUTED_VALUE"""),43558.6666666666)</f>
        <v/>
      </c>
      <c r="N322" s="6">
        <f>IFERROR(__xludf.DUMMYFUNCTION("""COMPUTED_VALUE"""),7895.55)</f>
        <v/>
      </c>
      <c r="R322" s="6">
        <f>S322&amp;T322</f>
        <v/>
      </c>
      <c r="S322" s="6">
        <f>YEAR(U322)</f>
        <v/>
      </c>
      <c r="T322" s="6">
        <f>MONTH(U322)</f>
        <v/>
      </c>
      <c r="U322" s="267">
        <f>IFERROR(__xludf.DUMMYFUNCTION("""COMPUTED_VALUE"""),43580.6458333333)</f>
        <v/>
      </c>
      <c r="V322" s="6">
        <f>IFERROR(__xludf.DUMMYFUNCTION("""COMPUTED_VALUE"""),2190.5)</f>
        <v/>
      </c>
      <c r="Z322" s="6">
        <f>AA322&amp;AB322</f>
        <v/>
      </c>
      <c r="AA322" s="6">
        <f>YEAR(AC322)</f>
        <v/>
      </c>
      <c r="AB322" s="6">
        <f>MONTH(AC322)</f>
        <v/>
      </c>
      <c r="AC322" s="267">
        <f>IFERROR(__xludf.DUMMYFUNCTION("""COMPUTED_VALUE"""),43431.9986111111)</f>
        <v/>
      </c>
      <c r="AD322" s="6">
        <f>IFERROR(__xludf.DUMMYFUNCTION("""COMPUTED_VALUE"""),1130.37)</f>
        <v/>
      </c>
      <c r="AH322" s="6">
        <f>AI322&amp;AJ322</f>
        <v/>
      </c>
      <c r="AI322" s="6">
        <f>YEAR(AK322)</f>
        <v/>
      </c>
      <c r="AJ322" s="6">
        <f>MONTH(AK322)</f>
        <v/>
      </c>
      <c r="AK322" s="267">
        <f>IFERROR(__xludf.DUMMYFUNCTION("""COMPUTED_VALUE"""),43414.9986111111)</f>
        <v/>
      </c>
      <c r="AL322" s="6">
        <f>IFERROR(__xludf.DUMMYFUNCTION("""COMPUTED_VALUE"""),6399.844)</f>
        <v/>
      </c>
      <c r="AP322" s="6">
        <f>AQ322&amp;AR322</f>
        <v/>
      </c>
      <c r="AQ322" s="6">
        <f>YEAR(AS322)</f>
        <v/>
      </c>
      <c r="AR322" s="6">
        <f>MONTH(AS322)</f>
        <v/>
      </c>
      <c r="AS322" s="267">
        <f>IFERROR(__xludf.DUMMYFUNCTION("""COMPUTED_VALUE"""),43564.9986111111)</f>
        <v/>
      </c>
      <c r="AT322" s="6">
        <f>IFERROR(__xludf.DUMMYFUNCTION("""COMPUTED_VALUE"""),1308.3)</f>
        <v/>
      </c>
    </row>
    <row r="323">
      <c r="B323" s="6">
        <f>C323&amp;D323</f>
        <v/>
      </c>
      <c r="C323" s="6">
        <f>YEAR(E323)</f>
        <v/>
      </c>
      <c r="D323" s="6">
        <f>MONTH(E323)</f>
        <v/>
      </c>
      <c r="E323" s="267">
        <f>IFERROR(__xludf.DUMMYFUNCTION("""COMPUTED_VALUE"""),43559.6666666666)</f>
        <v/>
      </c>
      <c r="F323" s="6">
        <f>IFERROR(__xludf.DUMMYFUNCTION("""COMPUTED_VALUE"""),2879.39)</f>
        <v/>
      </c>
      <c r="J323" s="6">
        <f>K323&amp;L323</f>
        <v/>
      </c>
      <c r="K323" s="6">
        <f>YEAR(M323)</f>
        <v/>
      </c>
      <c r="L323" s="6">
        <f>MONTH(M323)</f>
        <v/>
      </c>
      <c r="M323" s="267">
        <f>IFERROR(__xludf.DUMMYFUNCTION("""COMPUTED_VALUE"""),43559.6666666666)</f>
        <v/>
      </c>
      <c r="N323" s="6">
        <f>IFERROR(__xludf.DUMMYFUNCTION("""COMPUTED_VALUE"""),7891.78)</f>
        <v/>
      </c>
      <c r="R323" s="6">
        <f>S323&amp;T323</f>
        <v/>
      </c>
      <c r="S323" s="6">
        <f>YEAR(U323)</f>
        <v/>
      </c>
      <c r="T323" s="6">
        <f>MONTH(U323)</f>
        <v/>
      </c>
      <c r="U323" s="267">
        <f>IFERROR(__xludf.DUMMYFUNCTION("""COMPUTED_VALUE"""),43581.6458333333)</f>
        <v/>
      </c>
      <c r="V323" s="6">
        <f>IFERROR(__xludf.DUMMYFUNCTION("""COMPUTED_VALUE"""),2179.31)</f>
        <v/>
      </c>
      <c r="Z323" s="6">
        <f>AA323&amp;AB323</f>
        <v/>
      </c>
      <c r="AA323" s="6">
        <f>YEAR(AC323)</f>
        <v/>
      </c>
      <c r="AB323" s="6">
        <f>MONTH(AC323)</f>
        <v/>
      </c>
      <c r="AC323" s="267">
        <f>IFERROR(__xludf.DUMMYFUNCTION("""COMPUTED_VALUE"""),43432.9986111111)</f>
        <v/>
      </c>
      <c r="AD323" s="6">
        <f>IFERROR(__xludf.DUMMYFUNCTION("""COMPUTED_VALUE"""),1121.12)</f>
        <v/>
      </c>
      <c r="AH323" s="6">
        <f>AI323&amp;AJ323</f>
        <v/>
      </c>
      <c r="AI323" s="6">
        <f>YEAR(AK323)</f>
        <v/>
      </c>
      <c r="AJ323" s="6">
        <f>MONTH(AK323)</f>
        <v/>
      </c>
      <c r="AK323" s="267">
        <f>IFERROR(__xludf.DUMMYFUNCTION("""COMPUTED_VALUE"""),43415.9986111111)</f>
        <v/>
      </c>
      <c r="AL323" s="6">
        <f>IFERROR(__xludf.DUMMYFUNCTION("""COMPUTED_VALUE"""),6409.501)</f>
        <v/>
      </c>
      <c r="AP323" s="6">
        <f>AQ323&amp;AR323</f>
        <v/>
      </c>
      <c r="AQ323" s="6">
        <f>YEAR(AS323)</f>
        <v/>
      </c>
      <c r="AR323" s="6">
        <f>MONTH(AS323)</f>
        <v/>
      </c>
      <c r="AS323" s="267">
        <f>IFERROR(__xludf.DUMMYFUNCTION("""COMPUTED_VALUE"""),43565.9986111111)</f>
        <v/>
      </c>
      <c r="AT323" s="6">
        <f>IFERROR(__xludf.DUMMYFUNCTION("""COMPUTED_VALUE"""),1313.9)</f>
        <v/>
      </c>
    </row>
    <row r="324">
      <c r="B324" s="6">
        <f>C324&amp;D324</f>
        <v/>
      </c>
      <c r="C324" s="6">
        <f>YEAR(E324)</f>
        <v/>
      </c>
      <c r="D324" s="6">
        <f>MONTH(E324)</f>
        <v/>
      </c>
      <c r="E324" s="267">
        <f>IFERROR(__xludf.DUMMYFUNCTION("""COMPUTED_VALUE"""),43560.6666666666)</f>
        <v/>
      </c>
      <c r="F324" s="6">
        <f>IFERROR(__xludf.DUMMYFUNCTION("""COMPUTED_VALUE"""),2892.74)</f>
        <v/>
      </c>
      <c r="J324" s="6">
        <f>K324&amp;L324</f>
        <v/>
      </c>
      <c r="K324" s="6">
        <f>YEAR(M324)</f>
        <v/>
      </c>
      <c r="L324" s="6">
        <f>MONTH(M324)</f>
        <v/>
      </c>
      <c r="M324" s="267">
        <f>IFERROR(__xludf.DUMMYFUNCTION("""COMPUTED_VALUE"""),43560.6666666666)</f>
        <v/>
      </c>
      <c r="N324" s="6">
        <f>IFERROR(__xludf.DUMMYFUNCTION("""COMPUTED_VALUE"""),7938.69)</f>
        <v/>
      </c>
      <c r="R324" s="6">
        <f>S324&amp;T324</f>
        <v/>
      </c>
      <c r="S324" s="6">
        <f>YEAR(U324)</f>
        <v/>
      </c>
      <c r="T324" s="6">
        <f>MONTH(U324)</f>
        <v/>
      </c>
      <c r="U324" s="267">
        <f>IFERROR(__xludf.DUMMYFUNCTION("""COMPUTED_VALUE"""),43584.6458333333)</f>
        <v/>
      </c>
      <c r="V324" s="6">
        <f>IFERROR(__xludf.DUMMYFUNCTION("""COMPUTED_VALUE"""),2216.43)</f>
        <v/>
      </c>
      <c r="Z324" s="6">
        <f>AA324&amp;AB324</f>
        <v/>
      </c>
      <c r="AA324" s="6">
        <f>YEAR(AC324)</f>
        <v/>
      </c>
      <c r="AB324" s="6">
        <f>MONTH(AC324)</f>
        <v/>
      </c>
      <c r="AC324" s="267">
        <f>IFERROR(__xludf.DUMMYFUNCTION("""COMPUTED_VALUE"""),43433.9986111111)</f>
        <v/>
      </c>
      <c r="AD324" s="6">
        <f>IFERROR(__xludf.DUMMYFUNCTION("""COMPUTED_VALUE"""),1117.02)</f>
        <v/>
      </c>
      <c r="AH324" s="6">
        <f>AI324&amp;AJ324</f>
        <v/>
      </c>
      <c r="AI324" s="6">
        <f>YEAR(AK324)</f>
        <v/>
      </c>
      <c r="AJ324" s="6">
        <f>MONTH(AK324)</f>
        <v/>
      </c>
      <c r="AK324" s="267">
        <f>IFERROR(__xludf.DUMMYFUNCTION("""COMPUTED_VALUE"""),43416.9986111111)</f>
        <v/>
      </c>
      <c r="AL324" s="6">
        <f>IFERROR(__xludf.DUMMYFUNCTION("""COMPUTED_VALUE"""),6388.272)</f>
        <v/>
      </c>
      <c r="AP324" s="6">
        <f>AQ324&amp;AR324</f>
        <v/>
      </c>
      <c r="AQ324" s="6">
        <f>YEAR(AS324)</f>
        <v/>
      </c>
      <c r="AR324" s="6">
        <f>MONTH(AS324)</f>
        <v/>
      </c>
      <c r="AS324" s="267">
        <f>IFERROR(__xludf.DUMMYFUNCTION("""COMPUTED_VALUE"""),43566.9986111111)</f>
        <v/>
      </c>
      <c r="AT324" s="6">
        <f>IFERROR(__xludf.DUMMYFUNCTION("""COMPUTED_VALUE"""),1293.3)</f>
        <v/>
      </c>
    </row>
    <row r="325">
      <c r="B325" s="6">
        <f>C325&amp;D325</f>
        <v/>
      </c>
      <c r="C325" s="6">
        <f>YEAR(E325)</f>
        <v/>
      </c>
      <c r="D325" s="6">
        <f>MONTH(E325)</f>
        <v/>
      </c>
      <c r="E325" s="267">
        <f>IFERROR(__xludf.DUMMYFUNCTION("""COMPUTED_VALUE"""),43563.6666666666)</f>
        <v/>
      </c>
      <c r="F325" s="6">
        <f>IFERROR(__xludf.DUMMYFUNCTION("""COMPUTED_VALUE"""),2895.77)</f>
        <v/>
      </c>
      <c r="J325" s="6">
        <f>K325&amp;L325</f>
        <v/>
      </c>
      <c r="K325" s="6">
        <f>YEAR(M325)</f>
        <v/>
      </c>
      <c r="L325" s="6">
        <f>MONTH(M325)</f>
        <v/>
      </c>
      <c r="M325" s="267">
        <f>IFERROR(__xludf.DUMMYFUNCTION("""COMPUTED_VALUE"""),43563.6666666666)</f>
        <v/>
      </c>
      <c r="N325" s="6">
        <f>IFERROR(__xludf.DUMMYFUNCTION("""COMPUTED_VALUE"""),7953.88)</f>
        <v/>
      </c>
      <c r="R325" s="6">
        <f>S325&amp;T325</f>
        <v/>
      </c>
      <c r="S325" s="6">
        <f>YEAR(U325)</f>
        <v/>
      </c>
      <c r="T325" s="6">
        <f>MONTH(U325)</f>
        <v/>
      </c>
      <c r="U325" s="267">
        <f>IFERROR(__xludf.DUMMYFUNCTION("""COMPUTED_VALUE"""),43585.6458333333)</f>
        <v/>
      </c>
      <c r="V325" s="6">
        <f>IFERROR(__xludf.DUMMYFUNCTION("""COMPUTED_VALUE"""),2203.59)</f>
        <v/>
      </c>
      <c r="Z325" s="6">
        <f>AA325&amp;AB325</f>
        <v/>
      </c>
      <c r="AA325" s="6">
        <f>YEAR(AC325)</f>
        <v/>
      </c>
      <c r="AB325" s="6">
        <f>MONTH(AC325)</f>
        <v/>
      </c>
      <c r="AC325" s="267">
        <f>IFERROR(__xludf.DUMMYFUNCTION("""COMPUTED_VALUE"""),43434.9986111111)</f>
        <v/>
      </c>
      <c r="AD325" s="6">
        <f>IFERROR(__xludf.DUMMYFUNCTION("""COMPUTED_VALUE"""),1119.53)</f>
        <v/>
      </c>
      <c r="AH325" s="6">
        <f>AI325&amp;AJ325</f>
        <v/>
      </c>
      <c r="AI325" s="6">
        <f>YEAR(AK325)</f>
        <v/>
      </c>
      <c r="AJ325" s="6">
        <f>MONTH(AK325)</f>
        <v/>
      </c>
      <c r="AK325" s="267">
        <f>IFERROR(__xludf.DUMMYFUNCTION("""COMPUTED_VALUE"""),43417.9986111111)</f>
        <v/>
      </c>
      <c r="AL325" s="6">
        <f>IFERROR(__xludf.DUMMYFUNCTION("""COMPUTED_VALUE"""),6323.938)</f>
        <v/>
      </c>
      <c r="AP325" s="6">
        <f>AQ325&amp;AR325</f>
        <v/>
      </c>
      <c r="AQ325" s="6">
        <f>YEAR(AS325)</f>
        <v/>
      </c>
      <c r="AR325" s="6">
        <f>MONTH(AS325)</f>
        <v/>
      </c>
      <c r="AS325" s="267">
        <f>IFERROR(__xludf.DUMMYFUNCTION("""COMPUTED_VALUE"""),43567.9986111111)</f>
        <v/>
      </c>
      <c r="AT325" s="6">
        <f>IFERROR(__xludf.DUMMYFUNCTION("""COMPUTED_VALUE"""),1295.2)</f>
        <v/>
      </c>
    </row>
    <row r="326">
      <c r="B326" s="6">
        <f>C326&amp;D326</f>
        <v/>
      </c>
      <c r="C326" s="6">
        <f>YEAR(E326)</f>
        <v/>
      </c>
      <c r="D326" s="6">
        <f>MONTH(E326)</f>
        <v/>
      </c>
      <c r="E326" s="267">
        <f>IFERROR(__xludf.DUMMYFUNCTION("""COMPUTED_VALUE"""),43564.6666666666)</f>
        <v/>
      </c>
      <c r="F326" s="6">
        <f>IFERROR(__xludf.DUMMYFUNCTION("""COMPUTED_VALUE"""),2878.2)</f>
        <v/>
      </c>
      <c r="J326" s="6">
        <f>K326&amp;L326</f>
        <v/>
      </c>
      <c r="K326" s="6">
        <f>YEAR(M326)</f>
        <v/>
      </c>
      <c r="L326" s="6">
        <f>MONTH(M326)</f>
        <v/>
      </c>
      <c r="M326" s="267">
        <f>IFERROR(__xludf.DUMMYFUNCTION("""COMPUTED_VALUE"""),43564.6666666666)</f>
        <v/>
      </c>
      <c r="N326" s="6">
        <f>IFERROR(__xludf.DUMMYFUNCTION("""COMPUTED_VALUE"""),7909.28)</f>
        <v/>
      </c>
      <c r="R326" s="6">
        <f>S326&amp;T326</f>
        <v/>
      </c>
      <c r="S326" s="6">
        <f>YEAR(U326)</f>
        <v/>
      </c>
      <c r="T326" s="6">
        <f>MONTH(U326)</f>
        <v/>
      </c>
      <c r="U326" s="267">
        <f>IFERROR(__xludf.DUMMYFUNCTION("""COMPUTED_VALUE"""),43587.6458333333)</f>
        <v/>
      </c>
      <c r="V326" s="6">
        <f>IFERROR(__xludf.DUMMYFUNCTION("""COMPUTED_VALUE"""),2212.75)</f>
        <v/>
      </c>
      <c r="Z326" s="6">
        <f>AA326&amp;AB326</f>
        <v/>
      </c>
      <c r="AA326" s="6">
        <f>YEAR(AC326)</f>
        <v/>
      </c>
      <c r="AB326" s="6">
        <f>MONTH(AC326)</f>
        <v/>
      </c>
      <c r="AC326" s="267">
        <f>IFERROR(__xludf.DUMMYFUNCTION("""COMPUTED_VALUE"""),43435.9986111111)</f>
        <v/>
      </c>
      <c r="AD326" s="6">
        <f>IFERROR(__xludf.DUMMYFUNCTION("""COMPUTED_VALUE"""),1118.5)</f>
        <v/>
      </c>
      <c r="AH326" s="6">
        <f>AI326&amp;AJ326</f>
        <v/>
      </c>
      <c r="AI326" s="6">
        <f>YEAR(AK326)</f>
        <v/>
      </c>
      <c r="AJ326" s="6">
        <f>MONTH(AK326)</f>
        <v/>
      </c>
      <c r="AK326" s="267">
        <f>IFERROR(__xludf.DUMMYFUNCTION("""COMPUTED_VALUE"""),43418.9986111111)</f>
        <v/>
      </c>
      <c r="AL326" s="6">
        <f>IFERROR(__xludf.DUMMYFUNCTION("""COMPUTED_VALUE"""),5788.644)</f>
        <v/>
      </c>
      <c r="AP326" s="6">
        <f>AQ326&amp;AR326</f>
        <v/>
      </c>
      <c r="AQ326" s="6">
        <f>YEAR(AS326)</f>
        <v/>
      </c>
      <c r="AR326" s="6">
        <f>MONTH(AS326)</f>
        <v/>
      </c>
      <c r="AS326" s="267">
        <f>IFERROR(__xludf.DUMMYFUNCTION("""COMPUTED_VALUE"""),43570.9986111111)</f>
        <v/>
      </c>
      <c r="AT326" s="6">
        <f>IFERROR(__xludf.DUMMYFUNCTION("""COMPUTED_VALUE"""),1291.3)</f>
        <v/>
      </c>
    </row>
    <row r="327">
      <c r="B327" s="6">
        <f>C327&amp;D327</f>
        <v/>
      </c>
      <c r="C327" s="6">
        <f>YEAR(E327)</f>
        <v/>
      </c>
      <c r="D327" s="6">
        <f>MONTH(E327)</f>
        <v/>
      </c>
      <c r="E327" s="267">
        <f>IFERROR(__xludf.DUMMYFUNCTION("""COMPUTED_VALUE"""),43565.6666666666)</f>
        <v/>
      </c>
      <c r="F327" s="6">
        <f>IFERROR(__xludf.DUMMYFUNCTION("""COMPUTED_VALUE"""),2888.21)</f>
        <v/>
      </c>
      <c r="J327" s="6">
        <f>K327&amp;L327</f>
        <v/>
      </c>
      <c r="K327" s="6">
        <f>YEAR(M327)</f>
        <v/>
      </c>
      <c r="L327" s="6">
        <f>MONTH(M327)</f>
        <v/>
      </c>
      <c r="M327" s="267">
        <f>IFERROR(__xludf.DUMMYFUNCTION("""COMPUTED_VALUE"""),43565.6666666666)</f>
        <v/>
      </c>
      <c r="N327" s="6">
        <f>IFERROR(__xludf.DUMMYFUNCTION("""COMPUTED_VALUE"""),7964.24)</f>
        <v/>
      </c>
      <c r="R327" s="6">
        <f>S327&amp;T327</f>
        <v/>
      </c>
      <c r="S327" s="6">
        <f>YEAR(U327)</f>
        <v/>
      </c>
      <c r="T327" s="6">
        <f>MONTH(U327)</f>
        <v/>
      </c>
      <c r="U327" s="267">
        <f>IFERROR(__xludf.DUMMYFUNCTION("""COMPUTED_VALUE"""),43588.6458333333)</f>
        <v/>
      </c>
      <c r="V327" s="6">
        <f>IFERROR(__xludf.DUMMYFUNCTION("""COMPUTED_VALUE"""),2196.32)</f>
        <v/>
      </c>
      <c r="Z327" s="6">
        <f>AA327&amp;AB327</f>
        <v/>
      </c>
      <c r="AA327" s="6">
        <f>YEAR(AC327)</f>
        <v/>
      </c>
      <c r="AB327" s="6">
        <f>MONTH(AC327)</f>
        <v/>
      </c>
      <c r="AC327" s="267">
        <f>IFERROR(__xludf.DUMMYFUNCTION("""COMPUTED_VALUE"""),43436.9986111111)</f>
        <v/>
      </c>
      <c r="AD327" s="6">
        <f>IFERROR(__xludf.DUMMYFUNCTION("""COMPUTED_VALUE"""),1117.15)</f>
        <v/>
      </c>
      <c r="AH327" s="6">
        <f>AI327&amp;AJ327</f>
        <v/>
      </c>
      <c r="AI327" s="6">
        <f>YEAR(AK327)</f>
        <v/>
      </c>
      <c r="AJ327" s="6">
        <f>MONTH(AK327)</f>
        <v/>
      </c>
      <c r="AK327" s="267">
        <f>IFERROR(__xludf.DUMMYFUNCTION("""COMPUTED_VALUE"""),43419.9986111111)</f>
        <v/>
      </c>
      <c r="AL327" s="6">
        <f>IFERROR(__xludf.DUMMYFUNCTION("""COMPUTED_VALUE"""),5673.032)</f>
        <v/>
      </c>
      <c r="AP327" s="6">
        <f>AQ327&amp;AR327</f>
        <v/>
      </c>
      <c r="AQ327" s="6">
        <f>YEAR(AS327)</f>
        <v/>
      </c>
      <c r="AR327" s="6">
        <f>MONTH(AS327)</f>
        <v/>
      </c>
      <c r="AS327" s="267">
        <f>IFERROR(__xludf.DUMMYFUNCTION("""COMPUTED_VALUE"""),43571.9986111111)</f>
        <v/>
      </c>
      <c r="AT327" s="6">
        <f>IFERROR(__xludf.DUMMYFUNCTION("""COMPUTED_VALUE"""),1277.2)</f>
        <v/>
      </c>
    </row>
    <row r="328">
      <c r="B328" s="6">
        <f>C328&amp;D328</f>
        <v/>
      </c>
      <c r="C328" s="6">
        <f>YEAR(E328)</f>
        <v/>
      </c>
      <c r="D328" s="6">
        <f>MONTH(E328)</f>
        <v/>
      </c>
      <c r="E328" s="267">
        <f>IFERROR(__xludf.DUMMYFUNCTION("""COMPUTED_VALUE"""),43566.6666666666)</f>
        <v/>
      </c>
      <c r="F328" s="6">
        <f>IFERROR(__xludf.DUMMYFUNCTION("""COMPUTED_VALUE"""),2888.32)</f>
        <v/>
      </c>
      <c r="J328" s="6">
        <f>K328&amp;L328</f>
        <v/>
      </c>
      <c r="K328" s="6">
        <f>YEAR(M328)</f>
        <v/>
      </c>
      <c r="L328" s="6">
        <f>MONTH(M328)</f>
        <v/>
      </c>
      <c r="M328" s="267">
        <f>IFERROR(__xludf.DUMMYFUNCTION("""COMPUTED_VALUE"""),43566.6666666666)</f>
        <v/>
      </c>
      <c r="N328" s="6">
        <f>IFERROR(__xludf.DUMMYFUNCTION("""COMPUTED_VALUE"""),7947.36)</f>
        <v/>
      </c>
      <c r="R328" s="6">
        <f>S328&amp;T328</f>
        <v/>
      </c>
      <c r="S328" s="6">
        <f>YEAR(U328)</f>
        <v/>
      </c>
      <c r="T328" s="6">
        <f>MONTH(U328)</f>
        <v/>
      </c>
      <c r="U328" s="267">
        <f>IFERROR(__xludf.DUMMYFUNCTION("""COMPUTED_VALUE"""),43592.6458333333)</f>
        <v/>
      </c>
      <c r="V328" s="6">
        <f>IFERROR(__xludf.DUMMYFUNCTION("""COMPUTED_VALUE"""),2176.99)</f>
        <v/>
      </c>
      <c r="Z328" s="6">
        <f>AA328&amp;AB328</f>
        <v/>
      </c>
      <c r="AA328" s="6">
        <f>YEAR(AC328)</f>
        <v/>
      </c>
      <c r="AB328" s="6">
        <f>MONTH(AC328)</f>
        <v/>
      </c>
      <c r="AC328" s="267">
        <f>IFERROR(__xludf.DUMMYFUNCTION("""COMPUTED_VALUE"""),43437.9986111111)</f>
        <v/>
      </c>
      <c r="AD328" s="6">
        <f>IFERROR(__xludf.DUMMYFUNCTION("""COMPUTED_VALUE"""),1108.3)</f>
        <v/>
      </c>
      <c r="AH328" s="6">
        <f>AI328&amp;AJ328</f>
        <v/>
      </c>
      <c r="AI328" s="6">
        <f>YEAR(AK328)</f>
        <v/>
      </c>
      <c r="AJ328" s="6">
        <f>MONTH(AK328)</f>
        <v/>
      </c>
      <c r="AK328" s="267">
        <f>IFERROR(__xludf.DUMMYFUNCTION("""COMPUTED_VALUE"""),43420.9986111111)</f>
        <v/>
      </c>
      <c r="AL328" s="6">
        <f>IFERROR(__xludf.DUMMYFUNCTION("""COMPUTED_VALUE"""),5617.132)</f>
        <v/>
      </c>
      <c r="AP328" s="6">
        <f>AQ328&amp;AR328</f>
        <v/>
      </c>
      <c r="AQ328" s="6">
        <f>YEAR(AS328)</f>
        <v/>
      </c>
      <c r="AR328" s="6">
        <f>MONTH(AS328)</f>
        <v/>
      </c>
      <c r="AS328" s="267">
        <f>IFERROR(__xludf.DUMMYFUNCTION("""COMPUTED_VALUE"""),43572.9986111111)</f>
        <v/>
      </c>
      <c r="AT328" s="6">
        <f>IFERROR(__xludf.DUMMYFUNCTION("""COMPUTED_VALUE"""),1276.8)</f>
        <v/>
      </c>
    </row>
    <row r="329">
      <c r="B329" s="6">
        <f>C329&amp;D329</f>
        <v/>
      </c>
      <c r="C329" s="6">
        <f>YEAR(E329)</f>
        <v/>
      </c>
      <c r="D329" s="6">
        <f>MONTH(E329)</f>
        <v/>
      </c>
      <c r="E329" s="267">
        <f>IFERROR(__xludf.DUMMYFUNCTION("""COMPUTED_VALUE"""),43567.6666666666)</f>
        <v/>
      </c>
      <c r="F329" s="6">
        <f>IFERROR(__xludf.DUMMYFUNCTION("""COMPUTED_VALUE"""),2907.41)</f>
        <v/>
      </c>
      <c r="J329" s="6">
        <f>K329&amp;L329</f>
        <v/>
      </c>
      <c r="K329" s="6">
        <f>YEAR(M329)</f>
        <v/>
      </c>
      <c r="L329" s="6">
        <f>MONTH(M329)</f>
        <v/>
      </c>
      <c r="M329" s="267">
        <f>IFERROR(__xludf.DUMMYFUNCTION("""COMPUTED_VALUE"""),43567.6666666666)</f>
        <v/>
      </c>
      <c r="N329" s="6">
        <f>IFERROR(__xludf.DUMMYFUNCTION("""COMPUTED_VALUE"""),7984.16)</f>
        <v/>
      </c>
      <c r="R329" s="6">
        <f>S329&amp;T329</f>
        <v/>
      </c>
      <c r="S329" s="6">
        <f>YEAR(U329)</f>
        <v/>
      </c>
      <c r="T329" s="6">
        <f>MONTH(U329)</f>
        <v/>
      </c>
      <c r="U329" s="267">
        <f>IFERROR(__xludf.DUMMYFUNCTION("""COMPUTED_VALUE"""),43593.6458333333)</f>
        <v/>
      </c>
      <c r="V329" s="6">
        <f>IFERROR(__xludf.DUMMYFUNCTION("""COMPUTED_VALUE"""),2168.01)</f>
        <v/>
      </c>
      <c r="Z329" s="6">
        <f>AA329&amp;AB329</f>
        <v/>
      </c>
      <c r="AA329" s="6">
        <f>YEAR(AC329)</f>
        <v/>
      </c>
      <c r="AB329" s="6">
        <f>MONTH(AC329)</f>
        <v/>
      </c>
      <c r="AC329" s="267">
        <f>IFERROR(__xludf.DUMMYFUNCTION("""COMPUTED_VALUE"""),43438.9986111111)</f>
        <v/>
      </c>
      <c r="AD329" s="6">
        <f>IFERROR(__xludf.DUMMYFUNCTION("""COMPUTED_VALUE"""),1110.63)</f>
        <v/>
      </c>
      <c r="AH329" s="6">
        <f>AI329&amp;AJ329</f>
        <v/>
      </c>
      <c r="AI329" s="6">
        <f>YEAR(AK329)</f>
        <v/>
      </c>
      <c r="AJ329" s="6">
        <f>MONTH(AK329)</f>
        <v/>
      </c>
      <c r="AK329" s="267">
        <f>IFERROR(__xludf.DUMMYFUNCTION("""COMPUTED_VALUE"""),43421.9986111111)</f>
        <v/>
      </c>
      <c r="AL329" s="6">
        <f>IFERROR(__xludf.DUMMYFUNCTION("""COMPUTED_VALUE"""),5592.834)</f>
        <v/>
      </c>
      <c r="AP329" s="6">
        <f>AQ329&amp;AR329</f>
        <v/>
      </c>
      <c r="AQ329" s="6">
        <f>YEAR(AS329)</f>
        <v/>
      </c>
      <c r="AR329" s="6">
        <f>MONTH(AS329)</f>
        <v/>
      </c>
      <c r="AS329" s="267">
        <f>IFERROR(__xludf.DUMMYFUNCTION("""COMPUTED_VALUE"""),43577.9986111111)</f>
        <v/>
      </c>
      <c r="AT329" s="6">
        <f>IFERROR(__xludf.DUMMYFUNCTION("""COMPUTED_VALUE"""),1277.6)</f>
        <v/>
      </c>
    </row>
    <row r="330">
      <c r="B330" s="6">
        <f>C330&amp;D330</f>
        <v/>
      </c>
      <c r="C330" s="6">
        <f>YEAR(E330)</f>
        <v/>
      </c>
      <c r="D330" s="6">
        <f>MONTH(E330)</f>
        <v/>
      </c>
      <c r="E330" s="267">
        <f>IFERROR(__xludf.DUMMYFUNCTION("""COMPUTED_VALUE"""),43570.6666666666)</f>
        <v/>
      </c>
      <c r="F330" s="6">
        <f>IFERROR(__xludf.DUMMYFUNCTION("""COMPUTED_VALUE"""),2905.58)</f>
        <v/>
      </c>
      <c r="J330" s="6">
        <f>K330&amp;L330</f>
        <v/>
      </c>
      <c r="K330" s="6">
        <f>YEAR(M330)</f>
        <v/>
      </c>
      <c r="L330" s="6">
        <f>MONTH(M330)</f>
        <v/>
      </c>
      <c r="M330" s="267">
        <f>IFERROR(__xludf.DUMMYFUNCTION("""COMPUTED_VALUE"""),43570.6666666666)</f>
        <v/>
      </c>
      <c r="N330" s="6">
        <f>IFERROR(__xludf.DUMMYFUNCTION("""COMPUTED_VALUE"""),7976.01)</f>
        <v/>
      </c>
      <c r="R330" s="6">
        <f>S330&amp;T330</f>
        <v/>
      </c>
      <c r="S330" s="6">
        <f>YEAR(U330)</f>
        <v/>
      </c>
      <c r="T330" s="6">
        <f>MONTH(U330)</f>
        <v/>
      </c>
      <c r="U330" s="267">
        <f>IFERROR(__xludf.DUMMYFUNCTION("""COMPUTED_VALUE"""),43594.6458333333)</f>
        <v/>
      </c>
      <c r="V330" s="6">
        <f>IFERROR(__xludf.DUMMYFUNCTION("""COMPUTED_VALUE"""),2102.01)</f>
        <v/>
      </c>
      <c r="Z330" s="6">
        <f>AA330&amp;AB330</f>
        <v/>
      </c>
      <c r="AA330" s="6">
        <f>YEAR(AC330)</f>
        <v/>
      </c>
      <c r="AB330" s="6">
        <f>MONTH(AC330)</f>
        <v/>
      </c>
      <c r="AC330" s="267">
        <f>IFERROR(__xludf.DUMMYFUNCTION("""COMPUTED_VALUE"""),43439.9986111111)</f>
        <v/>
      </c>
      <c r="AD330" s="6">
        <f>IFERROR(__xludf.DUMMYFUNCTION("""COMPUTED_VALUE"""),1111.66)</f>
        <v/>
      </c>
      <c r="AH330" s="6">
        <f>AI330&amp;AJ330</f>
        <v/>
      </c>
      <c r="AI330" s="6">
        <f>YEAR(AK330)</f>
        <v/>
      </c>
      <c r="AJ330" s="6">
        <f>MONTH(AK330)</f>
        <v/>
      </c>
      <c r="AK330" s="267">
        <f>IFERROR(__xludf.DUMMYFUNCTION("""COMPUTED_VALUE"""),43422.9986111111)</f>
        <v/>
      </c>
      <c r="AL330" s="6">
        <f>IFERROR(__xludf.DUMMYFUNCTION("""COMPUTED_VALUE"""),5639.368)</f>
        <v/>
      </c>
      <c r="AP330" s="6">
        <f>AQ330&amp;AR330</f>
        <v/>
      </c>
      <c r="AQ330" s="6">
        <f>YEAR(AS330)</f>
        <v/>
      </c>
      <c r="AR330" s="6">
        <f>MONTH(AS330)</f>
        <v/>
      </c>
      <c r="AS330" s="267">
        <f>IFERROR(__xludf.DUMMYFUNCTION("""COMPUTED_VALUE"""),43578.9986111111)</f>
        <v/>
      </c>
      <c r="AT330" s="6">
        <f>IFERROR(__xludf.DUMMYFUNCTION("""COMPUTED_VALUE"""),1273.2)</f>
        <v/>
      </c>
    </row>
    <row r="331">
      <c r="B331" s="6">
        <f>C331&amp;D331</f>
        <v/>
      </c>
      <c r="C331" s="6">
        <f>YEAR(E331)</f>
        <v/>
      </c>
      <c r="D331" s="6">
        <f>MONTH(E331)</f>
        <v/>
      </c>
      <c r="E331" s="267">
        <f>IFERROR(__xludf.DUMMYFUNCTION("""COMPUTED_VALUE"""),43571.6666666666)</f>
        <v/>
      </c>
      <c r="F331" s="6">
        <f>IFERROR(__xludf.DUMMYFUNCTION("""COMPUTED_VALUE"""),2907.06)</f>
        <v/>
      </c>
      <c r="J331" s="6">
        <f>K331&amp;L331</f>
        <v/>
      </c>
      <c r="K331" s="6">
        <f>YEAR(M331)</f>
        <v/>
      </c>
      <c r="L331" s="6">
        <f>MONTH(M331)</f>
        <v/>
      </c>
      <c r="M331" s="267">
        <f>IFERROR(__xludf.DUMMYFUNCTION("""COMPUTED_VALUE"""),43571.6666666666)</f>
        <v/>
      </c>
      <c r="N331" s="6">
        <f>IFERROR(__xludf.DUMMYFUNCTION("""COMPUTED_VALUE"""),8000.23)</f>
        <v/>
      </c>
      <c r="R331" s="6">
        <f>S331&amp;T331</f>
        <v/>
      </c>
      <c r="S331" s="6">
        <f>YEAR(U331)</f>
        <v/>
      </c>
      <c r="T331" s="6">
        <f>MONTH(U331)</f>
        <v/>
      </c>
      <c r="U331" s="267">
        <f>IFERROR(__xludf.DUMMYFUNCTION("""COMPUTED_VALUE"""),43595.6458333333)</f>
        <v/>
      </c>
      <c r="V331" s="6">
        <f>IFERROR(__xludf.DUMMYFUNCTION("""COMPUTED_VALUE"""),2108.04)</f>
        <v/>
      </c>
      <c r="Z331" s="6">
        <f>AA331&amp;AB331</f>
        <v/>
      </c>
      <c r="AA331" s="6">
        <f>YEAR(AC331)</f>
        <v/>
      </c>
      <c r="AB331" s="6">
        <f>MONTH(AC331)</f>
        <v/>
      </c>
      <c r="AC331" s="267">
        <f>IFERROR(__xludf.DUMMYFUNCTION("""COMPUTED_VALUE"""),43440.9986111111)</f>
        <v/>
      </c>
      <c r="AD331" s="6">
        <f>IFERROR(__xludf.DUMMYFUNCTION("""COMPUTED_VALUE"""),1119.6)</f>
        <v/>
      </c>
      <c r="AH331" s="6">
        <f>AI331&amp;AJ331</f>
        <v/>
      </c>
      <c r="AI331" s="6">
        <f>YEAR(AK331)</f>
        <v/>
      </c>
      <c r="AJ331" s="6">
        <f>MONTH(AK331)</f>
        <v/>
      </c>
      <c r="AK331" s="267">
        <f>IFERROR(__xludf.DUMMYFUNCTION("""COMPUTED_VALUE"""),43423.9986111111)</f>
        <v/>
      </c>
      <c r="AL331" s="6">
        <f>IFERROR(__xludf.DUMMYFUNCTION("""COMPUTED_VALUE"""),4833.181)</f>
        <v/>
      </c>
      <c r="AP331" s="6">
        <f>AQ331&amp;AR331</f>
        <v/>
      </c>
      <c r="AQ331" s="6">
        <f>YEAR(AS331)</f>
        <v/>
      </c>
      <c r="AR331" s="6">
        <f>MONTH(AS331)</f>
        <v/>
      </c>
      <c r="AS331" s="267">
        <f>IFERROR(__xludf.DUMMYFUNCTION("""COMPUTED_VALUE"""),43579.9986111111)</f>
        <v/>
      </c>
      <c r="AT331" s="6">
        <f>IFERROR(__xludf.DUMMYFUNCTION("""COMPUTED_VALUE"""),1279.4)</f>
        <v/>
      </c>
    </row>
    <row r="332">
      <c r="B332" s="6">
        <f>C332&amp;D332</f>
        <v/>
      </c>
      <c r="C332" s="6">
        <f>YEAR(E332)</f>
        <v/>
      </c>
      <c r="D332" s="6">
        <f>MONTH(E332)</f>
        <v/>
      </c>
      <c r="E332" s="267">
        <f>IFERROR(__xludf.DUMMYFUNCTION("""COMPUTED_VALUE"""),43572.6666666666)</f>
        <v/>
      </c>
      <c r="F332" s="6">
        <f>IFERROR(__xludf.DUMMYFUNCTION("""COMPUTED_VALUE"""),2900.45)</f>
        <v/>
      </c>
      <c r="J332" s="6">
        <f>K332&amp;L332</f>
        <v/>
      </c>
      <c r="K332" s="6">
        <f>YEAR(M332)</f>
        <v/>
      </c>
      <c r="L332" s="6">
        <f>MONTH(M332)</f>
        <v/>
      </c>
      <c r="M332" s="267">
        <f>IFERROR(__xludf.DUMMYFUNCTION("""COMPUTED_VALUE"""),43572.6666666666)</f>
        <v/>
      </c>
      <c r="N332" s="6">
        <f>IFERROR(__xludf.DUMMYFUNCTION("""COMPUTED_VALUE"""),7996.08)</f>
        <v/>
      </c>
      <c r="R332" s="6">
        <f>S332&amp;T332</f>
        <v/>
      </c>
      <c r="S332" s="6">
        <f>YEAR(U332)</f>
        <v/>
      </c>
      <c r="T332" s="6">
        <f>MONTH(U332)</f>
        <v/>
      </c>
      <c r="U332" s="267">
        <f>IFERROR(__xludf.DUMMYFUNCTION("""COMPUTED_VALUE"""),43598.6458333333)</f>
        <v/>
      </c>
      <c r="V332" s="6">
        <f>IFERROR(__xludf.DUMMYFUNCTION("""COMPUTED_VALUE"""),2079.01)</f>
        <v/>
      </c>
      <c r="Z332" s="6">
        <f>AA332&amp;AB332</f>
        <v/>
      </c>
      <c r="AA332" s="6">
        <f>YEAR(AC332)</f>
        <v/>
      </c>
      <c r="AB332" s="6">
        <f>MONTH(AC332)</f>
        <v/>
      </c>
      <c r="AC332" s="267">
        <f>IFERROR(__xludf.DUMMYFUNCTION("""COMPUTED_VALUE"""),43441.9986111111)</f>
        <v/>
      </c>
      <c r="AD332" s="6">
        <f>IFERROR(__xludf.DUMMYFUNCTION("""COMPUTED_VALUE"""),1123.93)</f>
        <v/>
      </c>
      <c r="AH332" s="6">
        <f>AI332&amp;AJ332</f>
        <v/>
      </c>
      <c r="AI332" s="6">
        <f>YEAR(AK332)</f>
        <v/>
      </c>
      <c r="AJ332" s="6">
        <f>MONTH(AK332)</f>
        <v/>
      </c>
      <c r="AK332" s="267">
        <f>IFERROR(__xludf.DUMMYFUNCTION("""COMPUTED_VALUE"""),43424.9986111111)</f>
        <v/>
      </c>
      <c r="AL332" s="6">
        <f>IFERROR(__xludf.DUMMYFUNCTION("""COMPUTED_VALUE"""),4480.384)</f>
        <v/>
      </c>
      <c r="AP332" s="6">
        <f>AQ332&amp;AR332</f>
        <v/>
      </c>
      <c r="AQ332" s="6">
        <f>YEAR(AS332)</f>
        <v/>
      </c>
      <c r="AR332" s="6">
        <f>MONTH(AS332)</f>
        <v/>
      </c>
      <c r="AS332" s="267">
        <f>IFERROR(__xludf.DUMMYFUNCTION("""COMPUTED_VALUE"""),43580.9986111111)</f>
        <v/>
      </c>
      <c r="AT332" s="6">
        <f>IFERROR(__xludf.DUMMYFUNCTION("""COMPUTED_VALUE"""),1279.7)</f>
        <v/>
      </c>
    </row>
    <row r="333">
      <c r="B333" s="6">
        <f>C333&amp;D333</f>
        <v/>
      </c>
      <c r="C333" s="6">
        <f>YEAR(E333)</f>
        <v/>
      </c>
      <c r="D333" s="6">
        <f>MONTH(E333)</f>
        <v/>
      </c>
      <c r="E333" s="267">
        <f>IFERROR(__xludf.DUMMYFUNCTION("""COMPUTED_VALUE"""),43573.6666666666)</f>
        <v/>
      </c>
      <c r="F333" s="6">
        <f>IFERROR(__xludf.DUMMYFUNCTION("""COMPUTED_VALUE"""),2905.03)</f>
        <v/>
      </c>
      <c r="J333" s="6">
        <f>K333&amp;L333</f>
        <v/>
      </c>
      <c r="K333" s="6">
        <f>YEAR(M333)</f>
        <v/>
      </c>
      <c r="L333" s="6">
        <f>MONTH(M333)</f>
        <v/>
      </c>
      <c r="M333" s="267">
        <f>IFERROR(__xludf.DUMMYFUNCTION("""COMPUTED_VALUE"""),43573.6666666666)</f>
        <v/>
      </c>
      <c r="N333" s="6">
        <f>IFERROR(__xludf.DUMMYFUNCTION("""COMPUTED_VALUE"""),7998.06)</f>
        <v/>
      </c>
      <c r="R333" s="6">
        <f>S333&amp;T333</f>
        <v/>
      </c>
      <c r="S333" s="6">
        <f>YEAR(U333)</f>
        <v/>
      </c>
      <c r="T333" s="6">
        <f>MONTH(U333)</f>
        <v/>
      </c>
      <c r="U333" s="267">
        <f>IFERROR(__xludf.DUMMYFUNCTION("""COMPUTED_VALUE"""),43599.6458333333)</f>
        <v/>
      </c>
      <c r="V333" s="6">
        <f>IFERROR(__xludf.DUMMYFUNCTION("""COMPUTED_VALUE"""),2081.84)</f>
        <v/>
      </c>
      <c r="Z333" s="6">
        <f>AA333&amp;AB333</f>
        <v/>
      </c>
      <c r="AA333" s="6">
        <f>YEAR(AC333)</f>
        <v/>
      </c>
      <c r="AB333" s="6">
        <f>MONTH(AC333)</f>
        <v/>
      </c>
      <c r="AC333" s="267">
        <f>IFERROR(__xludf.DUMMYFUNCTION("""COMPUTED_VALUE"""),43443.9986111111)</f>
        <v/>
      </c>
      <c r="AD333" s="6">
        <f>IFERROR(__xludf.DUMMYFUNCTION("""COMPUTED_VALUE"""),1122.7)</f>
        <v/>
      </c>
      <c r="AH333" s="6">
        <f>AI333&amp;AJ333</f>
        <v/>
      </c>
      <c r="AI333" s="6">
        <f>YEAR(AK333)</f>
        <v/>
      </c>
      <c r="AJ333" s="6">
        <f>MONTH(AK333)</f>
        <v/>
      </c>
      <c r="AK333" s="267">
        <f>IFERROR(__xludf.DUMMYFUNCTION("""COMPUTED_VALUE"""),43425.9986111111)</f>
        <v/>
      </c>
      <c r="AL333" s="6">
        <f>IFERROR(__xludf.DUMMYFUNCTION("""COMPUTED_VALUE"""),4614.355)</f>
        <v/>
      </c>
      <c r="AP333" s="6">
        <f>AQ333&amp;AR333</f>
        <v/>
      </c>
      <c r="AQ333" s="6">
        <f>YEAR(AS333)</f>
        <v/>
      </c>
      <c r="AR333" s="6">
        <f>MONTH(AS333)</f>
        <v/>
      </c>
      <c r="AS333" s="267">
        <f>IFERROR(__xludf.DUMMYFUNCTION("""COMPUTED_VALUE"""),43581.9986111111)</f>
        <v/>
      </c>
      <c r="AT333" s="6">
        <f>IFERROR(__xludf.DUMMYFUNCTION("""COMPUTED_VALUE"""),1288.8)</f>
        <v/>
      </c>
    </row>
    <row r="334">
      <c r="B334" s="6">
        <f>C334&amp;D334</f>
        <v/>
      </c>
      <c r="C334" s="6">
        <f>YEAR(E334)</f>
        <v/>
      </c>
      <c r="D334" s="6">
        <f>MONTH(E334)</f>
        <v/>
      </c>
      <c r="E334" s="267">
        <f>IFERROR(__xludf.DUMMYFUNCTION("""COMPUTED_VALUE"""),43577.6666666666)</f>
        <v/>
      </c>
      <c r="F334" s="6">
        <f>IFERROR(__xludf.DUMMYFUNCTION("""COMPUTED_VALUE"""),2907.97)</f>
        <v/>
      </c>
      <c r="J334" s="6">
        <f>K334&amp;L334</f>
        <v/>
      </c>
      <c r="K334" s="6">
        <f>YEAR(M334)</f>
        <v/>
      </c>
      <c r="L334" s="6">
        <f>MONTH(M334)</f>
        <v/>
      </c>
      <c r="M334" s="267">
        <f>IFERROR(__xludf.DUMMYFUNCTION("""COMPUTED_VALUE"""),43577.6666666666)</f>
        <v/>
      </c>
      <c r="N334" s="6">
        <f>IFERROR(__xludf.DUMMYFUNCTION("""COMPUTED_VALUE"""),8015.27)</f>
        <v/>
      </c>
      <c r="R334" s="6">
        <f>S334&amp;T334</f>
        <v/>
      </c>
      <c r="S334" s="6">
        <f>YEAR(U334)</f>
        <v/>
      </c>
      <c r="T334" s="6">
        <f>MONTH(U334)</f>
        <v/>
      </c>
      <c r="U334" s="267">
        <f>IFERROR(__xludf.DUMMYFUNCTION("""COMPUTED_VALUE"""),43600.6458333333)</f>
        <v/>
      </c>
      <c r="V334" s="6">
        <f>IFERROR(__xludf.DUMMYFUNCTION("""COMPUTED_VALUE"""),2092.78)</f>
        <v/>
      </c>
      <c r="Z334" s="6">
        <f>AA334&amp;AB334</f>
        <v/>
      </c>
      <c r="AA334" s="6">
        <f>YEAR(AC334)</f>
        <v/>
      </c>
      <c r="AB334" s="6">
        <f>MONTH(AC334)</f>
        <v/>
      </c>
      <c r="AC334" s="267">
        <f>IFERROR(__xludf.DUMMYFUNCTION("""COMPUTED_VALUE"""),43444.9986111111)</f>
        <v/>
      </c>
      <c r="AD334" s="6">
        <f>IFERROR(__xludf.DUMMYFUNCTION("""COMPUTED_VALUE"""),1131.5)</f>
        <v/>
      </c>
      <c r="AH334" s="6">
        <f>AI334&amp;AJ334</f>
        <v/>
      </c>
      <c r="AI334" s="6">
        <f>YEAR(AK334)</f>
        <v/>
      </c>
      <c r="AJ334" s="6">
        <f>MONTH(AK334)</f>
        <v/>
      </c>
      <c r="AK334" s="267">
        <f>IFERROR(__xludf.DUMMYFUNCTION("""COMPUTED_VALUE"""),43426.9986111111)</f>
        <v/>
      </c>
      <c r="AL334" s="6">
        <f>IFERROR(__xludf.DUMMYFUNCTION("""COMPUTED_VALUE"""),4323.035)</f>
        <v/>
      </c>
      <c r="AP334" s="6">
        <f>AQ334&amp;AR334</f>
        <v/>
      </c>
      <c r="AQ334" s="6">
        <f>YEAR(AS334)</f>
        <v/>
      </c>
      <c r="AR334" s="6">
        <f>MONTH(AS334)</f>
        <v/>
      </c>
      <c r="AS334" s="267">
        <f>IFERROR(__xludf.DUMMYFUNCTION("""COMPUTED_VALUE"""),43584.9986111111)</f>
        <v/>
      </c>
      <c r="AT334" s="6">
        <f>IFERROR(__xludf.DUMMYFUNCTION("""COMPUTED_VALUE"""),1281.5)</f>
        <v/>
      </c>
    </row>
    <row r="335">
      <c r="B335" s="6">
        <f>C335&amp;D335</f>
        <v/>
      </c>
      <c r="C335" s="6">
        <f>YEAR(E335)</f>
        <v/>
      </c>
      <c r="D335" s="6">
        <f>MONTH(E335)</f>
        <v/>
      </c>
      <c r="E335" s="267">
        <f>IFERROR(__xludf.DUMMYFUNCTION("""COMPUTED_VALUE"""),43578.6666666666)</f>
        <v/>
      </c>
      <c r="F335" s="6">
        <f>IFERROR(__xludf.DUMMYFUNCTION("""COMPUTED_VALUE"""),2933.68)</f>
        <v/>
      </c>
      <c r="J335" s="6">
        <f>K335&amp;L335</f>
        <v/>
      </c>
      <c r="K335" s="6">
        <f>YEAR(M335)</f>
        <v/>
      </c>
      <c r="L335" s="6">
        <f>MONTH(M335)</f>
        <v/>
      </c>
      <c r="M335" s="267">
        <f>IFERROR(__xludf.DUMMYFUNCTION("""COMPUTED_VALUE"""),43578.6666666666)</f>
        <v/>
      </c>
      <c r="N335" s="6">
        <f>IFERROR(__xludf.DUMMYFUNCTION("""COMPUTED_VALUE"""),8120.82)</f>
        <v/>
      </c>
      <c r="R335" s="6">
        <f>S335&amp;T335</f>
        <v/>
      </c>
      <c r="S335" s="6">
        <f>YEAR(U335)</f>
        <v/>
      </c>
      <c r="T335" s="6">
        <f>MONTH(U335)</f>
        <v/>
      </c>
      <c r="U335" s="267">
        <f>IFERROR(__xludf.DUMMYFUNCTION("""COMPUTED_VALUE"""),43601.6458333333)</f>
        <v/>
      </c>
      <c r="V335" s="6">
        <f>IFERROR(__xludf.DUMMYFUNCTION("""COMPUTED_VALUE"""),2067.69)</f>
        <v/>
      </c>
      <c r="Z335" s="6">
        <f>AA335&amp;AB335</f>
        <v/>
      </c>
      <c r="AA335" s="6">
        <f>YEAR(AC335)</f>
        <v/>
      </c>
      <c r="AB335" s="6">
        <f>MONTH(AC335)</f>
        <v/>
      </c>
      <c r="AC335" s="267">
        <f>IFERROR(__xludf.DUMMYFUNCTION("""COMPUTED_VALUE"""),43445.9986111111)</f>
        <v/>
      </c>
      <c r="AD335" s="6">
        <f>IFERROR(__xludf.DUMMYFUNCTION("""COMPUTED_VALUE"""),1127.62)</f>
        <v/>
      </c>
      <c r="AH335" s="6">
        <f>AI335&amp;AJ335</f>
        <v/>
      </c>
      <c r="AI335" s="6">
        <f>YEAR(AK335)</f>
        <v/>
      </c>
      <c r="AJ335" s="6">
        <f>MONTH(AK335)</f>
        <v/>
      </c>
      <c r="AK335" s="267">
        <f>IFERROR(__xludf.DUMMYFUNCTION("""COMPUTED_VALUE"""),43427.9986111111)</f>
        <v/>
      </c>
      <c r="AL335" s="6">
        <f>IFERROR(__xludf.DUMMYFUNCTION("""COMPUTED_VALUE"""),4337.543)</f>
        <v/>
      </c>
      <c r="AP335" s="6">
        <f>AQ335&amp;AR335</f>
        <v/>
      </c>
      <c r="AQ335" s="6">
        <f>YEAR(AS335)</f>
        <v/>
      </c>
      <c r="AR335" s="6">
        <f>MONTH(AS335)</f>
        <v/>
      </c>
      <c r="AS335" s="267">
        <f>IFERROR(__xludf.DUMMYFUNCTION("""COMPUTED_VALUE"""),43585.9986111111)</f>
        <v/>
      </c>
      <c r="AT335" s="6">
        <f>IFERROR(__xludf.DUMMYFUNCTION("""COMPUTED_VALUE"""),1285.7)</f>
        <v/>
      </c>
    </row>
    <row r="336">
      <c r="B336" s="6">
        <f>C336&amp;D336</f>
        <v/>
      </c>
      <c r="C336" s="6">
        <f>YEAR(E336)</f>
        <v/>
      </c>
      <c r="D336" s="6">
        <f>MONTH(E336)</f>
        <v/>
      </c>
      <c r="E336" s="267">
        <f>IFERROR(__xludf.DUMMYFUNCTION("""COMPUTED_VALUE"""),43579.6666666666)</f>
        <v/>
      </c>
      <c r="F336" s="6">
        <f>IFERROR(__xludf.DUMMYFUNCTION("""COMPUTED_VALUE"""),2927.25)</f>
        <v/>
      </c>
      <c r="J336" s="6">
        <f>K336&amp;L336</f>
        <v/>
      </c>
      <c r="K336" s="6">
        <f>YEAR(M336)</f>
        <v/>
      </c>
      <c r="L336" s="6">
        <f>MONTH(M336)</f>
        <v/>
      </c>
      <c r="M336" s="267">
        <f>IFERROR(__xludf.DUMMYFUNCTION("""COMPUTED_VALUE"""),43579.6666666666)</f>
        <v/>
      </c>
      <c r="N336" s="6">
        <f>IFERROR(__xludf.DUMMYFUNCTION("""COMPUTED_VALUE"""),8102.02)</f>
        <v/>
      </c>
      <c r="R336" s="6">
        <f>S336&amp;T336</f>
        <v/>
      </c>
      <c r="S336" s="6">
        <f>YEAR(U336)</f>
        <v/>
      </c>
      <c r="T336" s="6">
        <f>MONTH(U336)</f>
        <v/>
      </c>
      <c r="U336" s="267">
        <f>IFERROR(__xludf.DUMMYFUNCTION("""COMPUTED_VALUE"""),43602.6458333333)</f>
        <v/>
      </c>
      <c r="V336" s="6">
        <f>IFERROR(__xludf.DUMMYFUNCTION("""COMPUTED_VALUE"""),2055.8)</f>
        <v/>
      </c>
      <c r="Z336" s="6">
        <f>AA336&amp;AB336</f>
        <v/>
      </c>
      <c r="AA336" s="6">
        <f>YEAR(AC336)</f>
        <v/>
      </c>
      <c r="AB336" s="6">
        <f>MONTH(AC336)</f>
        <v/>
      </c>
      <c r="AC336" s="267">
        <f>IFERROR(__xludf.DUMMYFUNCTION("""COMPUTED_VALUE"""),43446.9986111111)</f>
        <v/>
      </c>
      <c r="AD336" s="6">
        <f>IFERROR(__xludf.DUMMYFUNCTION("""COMPUTED_VALUE"""),1123.85)</f>
        <v/>
      </c>
      <c r="AH336" s="6">
        <f>AI336&amp;AJ336</f>
        <v/>
      </c>
      <c r="AI336" s="6">
        <f>YEAR(AK336)</f>
        <v/>
      </c>
      <c r="AJ336" s="6">
        <f>MONTH(AK336)</f>
        <v/>
      </c>
      <c r="AK336" s="267">
        <f>IFERROR(__xludf.DUMMYFUNCTION("""COMPUTED_VALUE"""),43428.9986111111)</f>
        <v/>
      </c>
      <c r="AL336" s="6">
        <f>IFERROR(__xludf.DUMMYFUNCTION("""COMPUTED_VALUE"""),3899.059)</f>
        <v/>
      </c>
      <c r="AP336" s="6">
        <f>AQ336&amp;AR336</f>
        <v/>
      </c>
      <c r="AQ336" s="6">
        <f>YEAR(AS336)</f>
        <v/>
      </c>
      <c r="AR336" s="6">
        <f>MONTH(AS336)</f>
        <v/>
      </c>
      <c r="AS336" s="267">
        <f>IFERROR(__xludf.DUMMYFUNCTION("""COMPUTED_VALUE"""),43586.9986111111)</f>
        <v/>
      </c>
      <c r="AT336" s="6">
        <f>IFERROR(__xludf.DUMMYFUNCTION("""COMPUTED_VALUE"""),1284.2)</f>
        <v/>
      </c>
    </row>
    <row r="337">
      <c r="B337" s="6">
        <f>C337&amp;D337</f>
        <v/>
      </c>
      <c r="C337" s="6">
        <f>YEAR(E337)</f>
        <v/>
      </c>
      <c r="D337" s="6">
        <f>MONTH(E337)</f>
        <v/>
      </c>
      <c r="E337" s="267">
        <f>IFERROR(__xludf.DUMMYFUNCTION("""COMPUTED_VALUE"""),43580.6666666666)</f>
        <v/>
      </c>
      <c r="F337" s="6">
        <f>IFERROR(__xludf.DUMMYFUNCTION("""COMPUTED_VALUE"""),2926.17)</f>
        <v/>
      </c>
      <c r="J337" s="6">
        <f>K337&amp;L337</f>
        <v/>
      </c>
      <c r="K337" s="6">
        <f>YEAR(M337)</f>
        <v/>
      </c>
      <c r="L337" s="6">
        <f>MONTH(M337)</f>
        <v/>
      </c>
      <c r="M337" s="267">
        <f>IFERROR(__xludf.DUMMYFUNCTION("""COMPUTED_VALUE"""),43580.6666666666)</f>
        <v/>
      </c>
      <c r="N337" s="6">
        <f>IFERROR(__xludf.DUMMYFUNCTION("""COMPUTED_VALUE"""),8118.68)</f>
        <v/>
      </c>
      <c r="R337" s="6">
        <f>S337&amp;T337</f>
        <v/>
      </c>
      <c r="S337" s="6">
        <f>YEAR(U337)</f>
        <v/>
      </c>
      <c r="T337" s="6">
        <f>MONTH(U337)</f>
        <v/>
      </c>
      <c r="U337" s="267">
        <f>IFERROR(__xludf.DUMMYFUNCTION("""COMPUTED_VALUE"""),43605.6458333333)</f>
        <v/>
      </c>
      <c r="V337" s="6">
        <f>IFERROR(__xludf.DUMMYFUNCTION("""COMPUTED_VALUE"""),2055.71)</f>
        <v/>
      </c>
      <c r="Z337" s="6">
        <f>AA337&amp;AB337</f>
        <v/>
      </c>
      <c r="AA337" s="6">
        <f>YEAR(AC337)</f>
        <v/>
      </c>
      <c r="AB337" s="6">
        <f>MONTH(AC337)</f>
        <v/>
      </c>
      <c r="AC337" s="267">
        <f>IFERROR(__xludf.DUMMYFUNCTION("""COMPUTED_VALUE"""),43447.9986111111)</f>
        <v/>
      </c>
      <c r="AD337" s="6">
        <f>IFERROR(__xludf.DUMMYFUNCTION("""COMPUTED_VALUE"""),1127.02)</f>
        <v/>
      </c>
      <c r="AH337" s="6">
        <f>AI337&amp;AJ337</f>
        <v/>
      </c>
      <c r="AI337" s="6">
        <f>YEAR(AK337)</f>
        <v/>
      </c>
      <c r="AJ337" s="6">
        <f>MONTH(AK337)</f>
        <v/>
      </c>
      <c r="AK337" s="267">
        <f>IFERROR(__xludf.DUMMYFUNCTION("""COMPUTED_VALUE"""),43429.9986111111)</f>
        <v/>
      </c>
      <c r="AL337" s="6">
        <f>IFERROR(__xludf.DUMMYFUNCTION("""COMPUTED_VALUE"""),4028.184)</f>
        <v/>
      </c>
      <c r="AP337" s="6">
        <f>AQ337&amp;AR337</f>
        <v/>
      </c>
      <c r="AQ337" s="6">
        <f>YEAR(AS337)</f>
        <v/>
      </c>
      <c r="AR337" s="6">
        <f>MONTH(AS337)</f>
        <v/>
      </c>
      <c r="AS337" s="267">
        <f>IFERROR(__xludf.DUMMYFUNCTION("""COMPUTED_VALUE"""),43587.9986111111)</f>
        <v/>
      </c>
      <c r="AT337" s="6">
        <f>IFERROR(__xludf.DUMMYFUNCTION("""COMPUTED_VALUE"""),1272)</f>
        <v/>
      </c>
    </row>
    <row r="338">
      <c r="B338" s="6">
        <f>C338&amp;D338</f>
        <v/>
      </c>
      <c r="C338" s="6">
        <f>YEAR(E338)</f>
        <v/>
      </c>
      <c r="D338" s="6">
        <f>MONTH(E338)</f>
        <v/>
      </c>
      <c r="E338" s="267">
        <f>IFERROR(__xludf.DUMMYFUNCTION("""COMPUTED_VALUE"""),43581.6666666666)</f>
        <v/>
      </c>
      <c r="F338" s="6">
        <f>IFERROR(__xludf.DUMMYFUNCTION("""COMPUTED_VALUE"""),2939.88)</f>
        <v/>
      </c>
      <c r="J338" s="6">
        <f>K338&amp;L338</f>
        <v/>
      </c>
      <c r="K338" s="6">
        <f>YEAR(M338)</f>
        <v/>
      </c>
      <c r="L338" s="6">
        <f>MONTH(M338)</f>
        <v/>
      </c>
      <c r="M338" s="267">
        <f>IFERROR(__xludf.DUMMYFUNCTION("""COMPUTED_VALUE"""),43581.6666666666)</f>
        <v/>
      </c>
      <c r="N338" s="6">
        <f>IFERROR(__xludf.DUMMYFUNCTION("""COMPUTED_VALUE"""),8146.4)</f>
        <v/>
      </c>
      <c r="R338" s="6">
        <f>S338&amp;T338</f>
        <v/>
      </c>
      <c r="S338" s="6">
        <f>YEAR(U338)</f>
        <v/>
      </c>
      <c r="T338" s="6">
        <f>MONTH(U338)</f>
        <v/>
      </c>
      <c r="U338" s="267">
        <f>IFERROR(__xludf.DUMMYFUNCTION("""COMPUTED_VALUE"""),43606.6458333333)</f>
        <v/>
      </c>
      <c r="V338" s="6">
        <f>IFERROR(__xludf.DUMMYFUNCTION("""COMPUTED_VALUE"""),2061.25)</f>
        <v/>
      </c>
      <c r="Z338" s="6">
        <f>AA338&amp;AB338</f>
        <v/>
      </c>
      <c r="AA338" s="6">
        <f>YEAR(AC338)</f>
        <v/>
      </c>
      <c r="AB338" s="6">
        <f>MONTH(AC338)</f>
        <v/>
      </c>
      <c r="AC338" s="267">
        <f>IFERROR(__xludf.DUMMYFUNCTION("""COMPUTED_VALUE"""),43448.9986111111)</f>
        <v/>
      </c>
      <c r="AD338" s="6">
        <f>IFERROR(__xludf.DUMMYFUNCTION("""COMPUTED_VALUE"""),1131.69)</f>
        <v/>
      </c>
      <c r="AH338" s="6">
        <f>AI338&amp;AJ338</f>
        <v/>
      </c>
      <c r="AI338" s="6">
        <f>YEAR(AK338)</f>
        <v/>
      </c>
      <c r="AJ338" s="6">
        <f>MONTH(AK338)</f>
        <v/>
      </c>
      <c r="AK338" s="267">
        <f>IFERROR(__xludf.DUMMYFUNCTION("""COMPUTED_VALUE"""),43430.9986111111)</f>
        <v/>
      </c>
      <c r="AL338" s="6">
        <f>IFERROR(__xludf.DUMMYFUNCTION("""COMPUTED_VALUE"""),3777.838)</f>
        <v/>
      </c>
      <c r="AP338" s="6">
        <f>AQ338&amp;AR338</f>
        <v/>
      </c>
      <c r="AQ338" s="6">
        <f>YEAR(AS338)</f>
        <v/>
      </c>
      <c r="AR338" s="6">
        <f>MONTH(AS338)</f>
        <v/>
      </c>
      <c r="AS338" s="267">
        <f>IFERROR(__xludf.DUMMYFUNCTION("""COMPUTED_VALUE"""),43588.9986111111)</f>
        <v/>
      </c>
      <c r="AT338" s="6">
        <f>IFERROR(__xludf.DUMMYFUNCTION("""COMPUTED_VALUE"""),1281.3)</f>
        <v/>
      </c>
    </row>
    <row r="339">
      <c r="B339" s="6">
        <f>C339&amp;D339</f>
        <v/>
      </c>
      <c r="C339" s="6">
        <f>YEAR(E339)</f>
        <v/>
      </c>
      <c r="D339" s="6">
        <f>MONTH(E339)</f>
        <v/>
      </c>
      <c r="E339" s="267">
        <f>IFERROR(__xludf.DUMMYFUNCTION("""COMPUTED_VALUE"""),43584.6666666666)</f>
        <v/>
      </c>
      <c r="F339" s="6">
        <f>IFERROR(__xludf.DUMMYFUNCTION("""COMPUTED_VALUE"""),2943.03)</f>
        <v/>
      </c>
      <c r="J339" s="6">
        <f>K339&amp;L339</f>
        <v/>
      </c>
      <c r="K339" s="6">
        <f>YEAR(M339)</f>
        <v/>
      </c>
      <c r="L339" s="6">
        <f>MONTH(M339)</f>
        <v/>
      </c>
      <c r="M339" s="267">
        <f>IFERROR(__xludf.DUMMYFUNCTION("""COMPUTED_VALUE"""),43584.6666666666)</f>
        <v/>
      </c>
      <c r="N339" s="6">
        <f>IFERROR(__xludf.DUMMYFUNCTION("""COMPUTED_VALUE"""),8161.85)</f>
        <v/>
      </c>
      <c r="R339" s="6">
        <f>S339&amp;T339</f>
        <v/>
      </c>
      <c r="S339" s="6">
        <f>YEAR(U339)</f>
        <v/>
      </c>
      <c r="T339" s="6">
        <f>MONTH(U339)</f>
        <v/>
      </c>
      <c r="U339" s="267">
        <f>IFERROR(__xludf.DUMMYFUNCTION("""COMPUTED_VALUE"""),43607.6458333333)</f>
        <v/>
      </c>
      <c r="V339" s="6">
        <f>IFERROR(__xludf.DUMMYFUNCTION("""COMPUTED_VALUE"""),2064.86)</f>
        <v/>
      </c>
      <c r="Z339" s="6">
        <f>AA339&amp;AB339</f>
        <v/>
      </c>
      <c r="AA339" s="6">
        <f>YEAR(AC339)</f>
        <v/>
      </c>
      <c r="AB339" s="6">
        <f>MONTH(AC339)</f>
        <v/>
      </c>
      <c r="AC339" s="267">
        <f>IFERROR(__xludf.DUMMYFUNCTION("""COMPUTED_VALUE"""),43450.9986111111)</f>
        <v/>
      </c>
      <c r="AD339" s="6">
        <f>IFERROR(__xludf.DUMMYFUNCTION("""COMPUTED_VALUE"""),1131.65)</f>
        <v/>
      </c>
      <c r="AH339" s="6">
        <f>AI339&amp;AJ339</f>
        <v/>
      </c>
      <c r="AI339" s="6">
        <f>YEAR(AK339)</f>
        <v/>
      </c>
      <c r="AJ339" s="6">
        <f>MONTH(AK339)</f>
        <v/>
      </c>
      <c r="AK339" s="267">
        <f>IFERROR(__xludf.DUMMYFUNCTION("""COMPUTED_VALUE"""),43431.9986111111)</f>
        <v/>
      </c>
      <c r="AL339" s="6">
        <f>IFERROR(__xludf.DUMMYFUNCTION("""COMPUTED_VALUE"""),3843.184)</f>
        <v/>
      </c>
      <c r="AP339" s="6">
        <f>AQ339&amp;AR339</f>
        <v/>
      </c>
      <c r="AQ339" s="6">
        <f>YEAR(AS339)</f>
        <v/>
      </c>
      <c r="AR339" s="6">
        <f>MONTH(AS339)</f>
        <v/>
      </c>
      <c r="AS339" s="267">
        <f>IFERROR(__xludf.DUMMYFUNCTION("""COMPUTED_VALUE"""),43591.9986111111)</f>
        <v/>
      </c>
      <c r="AT339" s="6">
        <f>IFERROR(__xludf.DUMMYFUNCTION("""COMPUTED_VALUE"""),1283.8)</f>
        <v/>
      </c>
    </row>
    <row r="340">
      <c r="B340" s="6">
        <f>C340&amp;D340</f>
        <v/>
      </c>
      <c r="C340" s="6">
        <f>YEAR(E340)</f>
        <v/>
      </c>
      <c r="D340" s="6">
        <f>MONTH(E340)</f>
        <v/>
      </c>
      <c r="E340" s="267">
        <f>IFERROR(__xludf.DUMMYFUNCTION("""COMPUTED_VALUE"""),43585.6666666666)</f>
        <v/>
      </c>
      <c r="F340" s="6">
        <f>IFERROR(__xludf.DUMMYFUNCTION("""COMPUTED_VALUE"""),2945.83)</f>
        <v/>
      </c>
      <c r="J340" s="6">
        <f>K340&amp;L340</f>
        <v/>
      </c>
      <c r="K340" s="6">
        <f>YEAR(M340)</f>
        <v/>
      </c>
      <c r="L340" s="6">
        <f>MONTH(M340)</f>
        <v/>
      </c>
      <c r="M340" s="267">
        <f>IFERROR(__xludf.DUMMYFUNCTION("""COMPUTED_VALUE"""),43585.6666666666)</f>
        <v/>
      </c>
      <c r="N340" s="6">
        <f>IFERROR(__xludf.DUMMYFUNCTION("""COMPUTED_VALUE"""),8095.39)</f>
        <v/>
      </c>
      <c r="R340" s="6">
        <f>S340&amp;T340</f>
        <v/>
      </c>
      <c r="S340" s="6">
        <f>YEAR(U340)</f>
        <v/>
      </c>
      <c r="T340" s="6">
        <f>MONTH(U340)</f>
        <v/>
      </c>
      <c r="U340" s="267">
        <f>IFERROR(__xludf.DUMMYFUNCTION("""COMPUTED_VALUE"""),43608.6458333333)</f>
        <v/>
      </c>
      <c r="V340" s="6">
        <f>IFERROR(__xludf.DUMMYFUNCTION("""COMPUTED_VALUE"""),2059.59)</f>
        <v/>
      </c>
      <c r="Z340" s="6">
        <f>AA340&amp;AB340</f>
        <v/>
      </c>
      <c r="AA340" s="6">
        <f>YEAR(AC340)</f>
        <v/>
      </c>
      <c r="AB340" s="6">
        <f>MONTH(AC340)</f>
        <v/>
      </c>
      <c r="AC340" s="267">
        <f>IFERROR(__xludf.DUMMYFUNCTION("""COMPUTED_VALUE"""),43451.9986111111)</f>
        <v/>
      </c>
      <c r="AD340" s="6">
        <f>IFERROR(__xludf.DUMMYFUNCTION("""COMPUTED_VALUE"""),1128.15)</f>
        <v/>
      </c>
      <c r="AH340" s="6">
        <f>AI340&amp;AJ340</f>
        <v/>
      </c>
      <c r="AI340" s="6">
        <f>YEAR(AK340)</f>
        <v/>
      </c>
      <c r="AJ340" s="6">
        <f>MONTH(AK340)</f>
        <v/>
      </c>
      <c r="AK340" s="267">
        <f>IFERROR(__xludf.DUMMYFUNCTION("""COMPUTED_VALUE"""),43432.9986111111)</f>
        <v/>
      </c>
      <c r="AL340" s="6">
        <f>IFERROR(__xludf.DUMMYFUNCTION("""COMPUTED_VALUE"""),4252.598)</f>
        <v/>
      </c>
      <c r="AP340" s="6">
        <f>AQ340&amp;AR340</f>
        <v/>
      </c>
      <c r="AQ340" s="6">
        <f>YEAR(AS340)</f>
        <v/>
      </c>
      <c r="AR340" s="6">
        <f>MONTH(AS340)</f>
        <v/>
      </c>
      <c r="AS340" s="267">
        <f>IFERROR(__xludf.DUMMYFUNCTION("""COMPUTED_VALUE"""),43592.9986111111)</f>
        <v/>
      </c>
      <c r="AT340" s="6">
        <f>IFERROR(__xludf.DUMMYFUNCTION("""COMPUTED_VALUE"""),1285.6)</f>
        <v/>
      </c>
    </row>
    <row r="341">
      <c r="B341" s="6">
        <f>C341&amp;D341</f>
        <v/>
      </c>
      <c r="C341" s="6">
        <f>YEAR(E341)</f>
        <v/>
      </c>
      <c r="D341" s="6">
        <f>MONTH(E341)</f>
        <v/>
      </c>
      <c r="E341" s="267">
        <f>IFERROR(__xludf.DUMMYFUNCTION("""COMPUTED_VALUE"""),43586.6666666666)</f>
        <v/>
      </c>
      <c r="F341" s="6">
        <f>IFERROR(__xludf.DUMMYFUNCTION("""COMPUTED_VALUE"""),2923.73)</f>
        <v/>
      </c>
      <c r="J341" s="6">
        <f>K341&amp;L341</f>
        <v/>
      </c>
      <c r="K341" s="6">
        <f>YEAR(M341)</f>
        <v/>
      </c>
      <c r="L341" s="6">
        <f>MONTH(M341)</f>
        <v/>
      </c>
      <c r="M341" s="267">
        <f>IFERROR(__xludf.DUMMYFUNCTION("""COMPUTED_VALUE"""),43586.6666666666)</f>
        <v/>
      </c>
      <c r="N341" s="6">
        <f>IFERROR(__xludf.DUMMYFUNCTION("""COMPUTED_VALUE"""),8049.64)</f>
        <v/>
      </c>
      <c r="R341" s="6">
        <f>S341&amp;T341</f>
        <v/>
      </c>
      <c r="S341" s="6">
        <f>YEAR(U341)</f>
        <v/>
      </c>
      <c r="T341" s="6">
        <f>MONTH(U341)</f>
        <v/>
      </c>
      <c r="U341" s="267">
        <f>IFERROR(__xludf.DUMMYFUNCTION("""COMPUTED_VALUE"""),43609.6458333333)</f>
        <v/>
      </c>
      <c r="V341" s="6">
        <f>IFERROR(__xludf.DUMMYFUNCTION("""COMPUTED_VALUE"""),2045.31)</f>
        <v/>
      </c>
      <c r="Z341" s="6">
        <f>AA341&amp;AB341</f>
        <v/>
      </c>
      <c r="AA341" s="6">
        <f>YEAR(AC341)</f>
        <v/>
      </c>
      <c r="AB341" s="6">
        <f>MONTH(AC341)</f>
        <v/>
      </c>
      <c r="AC341" s="267">
        <f>IFERROR(__xludf.DUMMYFUNCTION("""COMPUTED_VALUE"""),43452.9986111111)</f>
        <v/>
      </c>
      <c r="AD341" s="6">
        <f>IFERROR(__xludf.DUMMYFUNCTION("""COMPUTED_VALUE"""),1125.07)</f>
        <v/>
      </c>
      <c r="AH341" s="6">
        <f>AI341&amp;AJ341</f>
        <v/>
      </c>
      <c r="AI341" s="6">
        <f>YEAR(AK341)</f>
        <v/>
      </c>
      <c r="AJ341" s="6">
        <f>MONTH(AK341)</f>
        <v/>
      </c>
      <c r="AK341" s="267">
        <f>IFERROR(__xludf.DUMMYFUNCTION("""COMPUTED_VALUE"""),43433.9986111111)</f>
        <v/>
      </c>
      <c r="AL341" s="6">
        <f>IFERROR(__xludf.DUMMYFUNCTION("""COMPUTED_VALUE"""),4285.418)</f>
        <v/>
      </c>
      <c r="AP341" s="6">
        <f>AQ341&amp;AR341</f>
        <v/>
      </c>
      <c r="AQ341" s="6">
        <f>YEAR(AS341)</f>
        <v/>
      </c>
      <c r="AR341" s="6">
        <f>MONTH(AS341)</f>
        <v/>
      </c>
      <c r="AS341" s="267">
        <f>IFERROR(__xludf.DUMMYFUNCTION("""COMPUTED_VALUE"""),43593.9986111111)</f>
        <v/>
      </c>
      <c r="AT341" s="6">
        <f>IFERROR(__xludf.DUMMYFUNCTION("""COMPUTED_VALUE"""),1281.4)</f>
        <v/>
      </c>
    </row>
    <row r="342">
      <c r="B342" s="6">
        <f>C342&amp;D342</f>
        <v/>
      </c>
      <c r="C342" s="6">
        <f>YEAR(E342)</f>
        <v/>
      </c>
      <c r="D342" s="6">
        <f>MONTH(E342)</f>
        <v/>
      </c>
      <c r="E342" s="267">
        <f>IFERROR(__xludf.DUMMYFUNCTION("""COMPUTED_VALUE"""),43587.6666666666)</f>
        <v/>
      </c>
      <c r="F342" s="6">
        <f>IFERROR(__xludf.DUMMYFUNCTION("""COMPUTED_VALUE"""),2917.52)</f>
        <v/>
      </c>
      <c r="J342" s="6">
        <f>K342&amp;L342</f>
        <v/>
      </c>
      <c r="K342" s="6">
        <f>YEAR(M342)</f>
        <v/>
      </c>
      <c r="L342" s="6">
        <f>MONTH(M342)</f>
        <v/>
      </c>
      <c r="M342" s="267">
        <f>IFERROR(__xludf.DUMMYFUNCTION("""COMPUTED_VALUE"""),43587.6666666666)</f>
        <v/>
      </c>
      <c r="N342" s="6">
        <f>IFERROR(__xludf.DUMMYFUNCTION("""COMPUTED_VALUE"""),8036.77)</f>
        <v/>
      </c>
      <c r="R342" s="6">
        <f>S342&amp;T342</f>
        <v/>
      </c>
      <c r="S342" s="6">
        <f>YEAR(U342)</f>
        <v/>
      </c>
      <c r="T342" s="6">
        <f>MONTH(U342)</f>
        <v/>
      </c>
      <c r="U342" s="267">
        <f>IFERROR(__xludf.DUMMYFUNCTION("""COMPUTED_VALUE"""),43612.6458333333)</f>
        <v/>
      </c>
      <c r="V342" s="6">
        <f>IFERROR(__xludf.DUMMYFUNCTION("""COMPUTED_VALUE"""),2044.21)</f>
        <v/>
      </c>
      <c r="Z342" s="6">
        <f>AA342&amp;AB342</f>
        <v/>
      </c>
      <c r="AA342" s="6">
        <f>YEAR(AC342)</f>
        <v/>
      </c>
      <c r="AB342" s="6">
        <f>MONTH(AC342)</f>
        <v/>
      </c>
      <c r="AC342" s="267">
        <f>IFERROR(__xludf.DUMMYFUNCTION("""COMPUTED_VALUE"""),43453.9986111111)</f>
        <v/>
      </c>
      <c r="AD342" s="6">
        <f>IFERROR(__xludf.DUMMYFUNCTION("""COMPUTED_VALUE"""),1128.13)</f>
        <v/>
      </c>
      <c r="AH342" s="6">
        <f>AI342&amp;AJ342</f>
        <v/>
      </c>
      <c r="AI342" s="6">
        <f>YEAR(AK342)</f>
        <v/>
      </c>
      <c r="AJ342" s="6">
        <f>MONTH(AK342)</f>
        <v/>
      </c>
      <c r="AK342" s="267">
        <f>IFERROR(__xludf.DUMMYFUNCTION("""COMPUTED_VALUE"""),43434.9986111111)</f>
        <v/>
      </c>
      <c r="AL342" s="6">
        <f>IFERROR(__xludf.DUMMYFUNCTION("""COMPUTED_VALUE"""),4021.237)</f>
        <v/>
      </c>
      <c r="AP342" s="6">
        <f>AQ342&amp;AR342</f>
        <v/>
      </c>
      <c r="AQ342" s="6">
        <f>YEAR(AS342)</f>
        <v/>
      </c>
      <c r="AR342" s="6">
        <f>MONTH(AS342)</f>
        <v/>
      </c>
      <c r="AS342" s="267">
        <f>IFERROR(__xludf.DUMMYFUNCTION("""COMPUTED_VALUE"""),43594.9986111111)</f>
        <v/>
      </c>
      <c r="AT342" s="6">
        <f>IFERROR(__xludf.DUMMYFUNCTION("""COMPUTED_VALUE"""),1285.2)</f>
        <v/>
      </c>
    </row>
    <row r="343">
      <c r="B343" s="6">
        <f>C343&amp;D343</f>
        <v/>
      </c>
      <c r="C343" s="6">
        <f>YEAR(E343)</f>
        <v/>
      </c>
      <c r="D343" s="6">
        <f>MONTH(E343)</f>
        <v/>
      </c>
      <c r="E343" s="267">
        <f>IFERROR(__xludf.DUMMYFUNCTION("""COMPUTED_VALUE"""),43588.6666666666)</f>
        <v/>
      </c>
      <c r="F343" s="6">
        <f>IFERROR(__xludf.DUMMYFUNCTION("""COMPUTED_VALUE"""),2945.64)</f>
        <v/>
      </c>
      <c r="J343" s="6">
        <f>K343&amp;L343</f>
        <v/>
      </c>
      <c r="K343" s="6">
        <f>YEAR(M343)</f>
        <v/>
      </c>
      <c r="L343" s="6">
        <f>MONTH(M343)</f>
        <v/>
      </c>
      <c r="M343" s="267">
        <f>IFERROR(__xludf.DUMMYFUNCTION("""COMPUTED_VALUE"""),43588.6666666666)</f>
        <v/>
      </c>
      <c r="N343" s="6">
        <f>IFERROR(__xludf.DUMMYFUNCTION("""COMPUTED_VALUE"""),8164)</f>
        <v/>
      </c>
      <c r="R343" s="6">
        <f>S343&amp;T343</f>
        <v/>
      </c>
      <c r="S343" s="6">
        <f>YEAR(U343)</f>
        <v/>
      </c>
      <c r="T343" s="6">
        <f>MONTH(U343)</f>
        <v/>
      </c>
      <c r="U343" s="267">
        <f>IFERROR(__xludf.DUMMYFUNCTION("""COMPUTED_VALUE"""),43613.6458333333)</f>
        <v/>
      </c>
      <c r="V343" s="6">
        <f>IFERROR(__xludf.DUMMYFUNCTION("""COMPUTED_VALUE"""),2048.83)</f>
        <v/>
      </c>
      <c r="Z343" s="6">
        <f>AA343&amp;AB343</f>
        <v/>
      </c>
      <c r="AA343" s="6">
        <f>YEAR(AC343)</f>
        <v/>
      </c>
      <c r="AB343" s="6">
        <f>MONTH(AC343)</f>
        <v/>
      </c>
      <c r="AC343" s="267">
        <f>IFERROR(__xludf.DUMMYFUNCTION("""COMPUTED_VALUE"""),43454.9986111111)</f>
        <v/>
      </c>
      <c r="AD343" s="6">
        <f>IFERROR(__xludf.DUMMYFUNCTION("""COMPUTED_VALUE"""),1120.03)</f>
        <v/>
      </c>
      <c r="AH343" s="6">
        <f>AI343&amp;AJ343</f>
        <v/>
      </c>
      <c r="AI343" s="6">
        <f>YEAR(AK343)</f>
        <v/>
      </c>
      <c r="AJ343" s="6">
        <f>MONTH(AK343)</f>
        <v/>
      </c>
      <c r="AK343" s="267">
        <f>IFERROR(__xludf.DUMMYFUNCTION("""COMPUTED_VALUE"""),43435.9986111111)</f>
        <v/>
      </c>
      <c r="AL343" s="6">
        <f>IFERROR(__xludf.DUMMYFUNCTION("""COMPUTED_VALUE"""),4211.155)</f>
        <v/>
      </c>
      <c r="AP343" s="6">
        <f>AQ343&amp;AR343</f>
        <v/>
      </c>
      <c r="AQ343" s="6">
        <f>YEAR(AS343)</f>
        <v/>
      </c>
      <c r="AR343" s="6">
        <f>MONTH(AS343)</f>
        <v/>
      </c>
      <c r="AS343" s="267">
        <f>IFERROR(__xludf.DUMMYFUNCTION("""COMPUTED_VALUE"""),43595.9986111111)</f>
        <v/>
      </c>
      <c r="AT343" s="6">
        <f>IFERROR(__xludf.DUMMYFUNCTION("""COMPUTED_VALUE"""),1287.4)</f>
        <v/>
      </c>
    </row>
    <row r="344">
      <c r="B344" s="6">
        <f>C344&amp;D344</f>
        <v/>
      </c>
      <c r="C344" s="6">
        <f>YEAR(E344)</f>
        <v/>
      </c>
      <c r="D344" s="6">
        <f>MONTH(E344)</f>
        <v/>
      </c>
      <c r="E344" s="267">
        <f>IFERROR(__xludf.DUMMYFUNCTION("""COMPUTED_VALUE"""),43591.6666666666)</f>
        <v/>
      </c>
      <c r="F344" s="6">
        <f>IFERROR(__xludf.DUMMYFUNCTION("""COMPUTED_VALUE"""),2932.47)</f>
        <v/>
      </c>
      <c r="J344" s="6">
        <f>K344&amp;L344</f>
        <v/>
      </c>
      <c r="K344" s="6">
        <f>YEAR(M344)</f>
        <v/>
      </c>
      <c r="L344" s="6">
        <f>MONTH(M344)</f>
        <v/>
      </c>
      <c r="M344" s="267">
        <f>IFERROR(__xludf.DUMMYFUNCTION("""COMPUTED_VALUE"""),43591.6666666666)</f>
        <v/>
      </c>
      <c r="N344" s="6">
        <f>IFERROR(__xludf.DUMMYFUNCTION("""COMPUTED_VALUE"""),8123.29)</f>
        <v/>
      </c>
      <c r="R344" s="6">
        <f>S344&amp;T344</f>
        <v/>
      </c>
      <c r="S344" s="6">
        <f>YEAR(U344)</f>
        <v/>
      </c>
      <c r="T344" s="6">
        <f>MONTH(U344)</f>
        <v/>
      </c>
      <c r="U344" s="267">
        <f>IFERROR(__xludf.DUMMYFUNCTION("""COMPUTED_VALUE"""),43614.6458333333)</f>
        <v/>
      </c>
      <c r="V344" s="6">
        <f>IFERROR(__xludf.DUMMYFUNCTION("""COMPUTED_VALUE"""),2023.32)</f>
        <v/>
      </c>
      <c r="Z344" s="6">
        <f>AA344&amp;AB344</f>
        <v/>
      </c>
      <c r="AA344" s="6">
        <f>YEAR(AC344)</f>
        <v/>
      </c>
      <c r="AB344" s="6">
        <f>MONTH(AC344)</f>
        <v/>
      </c>
      <c r="AC344" s="267">
        <f>IFERROR(__xludf.DUMMYFUNCTION("""COMPUTED_VALUE"""),43455.9986111111)</f>
        <v/>
      </c>
      <c r="AD344" s="6">
        <f>IFERROR(__xludf.DUMMYFUNCTION("""COMPUTED_VALUE"""),1128.02)</f>
        <v/>
      </c>
      <c r="AH344" s="6">
        <f>AI344&amp;AJ344</f>
        <v/>
      </c>
      <c r="AI344" s="6">
        <f>YEAR(AK344)</f>
        <v/>
      </c>
      <c r="AJ344" s="6">
        <f>MONTH(AK344)</f>
        <v/>
      </c>
      <c r="AK344" s="267">
        <f>IFERROR(__xludf.DUMMYFUNCTION("""COMPUTED_VALUE"""),43436.9986111111)</f>
        <v/>
      </c>
      <c r="AL344" s="6">
        <f>IFERROR(__xludf.DUMMYFUNCTION("""COMPUTED_VALUE"""),4134.864)</f>
        <v/>
      </c>
      <c r="AP344" s="6">
        <f>AQ344&amp;AR344</f>
        <v/>
      </c>
      <c r="AQ344" s="6">
        <f>YEAR(AS344)</f>
        <v/>
      </c>
      <c r="AR344" s="6">
        <f>MONTH(AS344)</f>
        <v/>
      </c>
      <c r="AS344" s="267">
        <f>IFERROR(__xludf.DUMMYFUNCTION("""COMPUTED_VALUE"""),43598.9986111111)</f>
        <v/>
      </c>
      <c r="AT344" s="6">
        <f>IFERROR(__xludf.DUMMYFUNCTION("""COMPUTED_VALUE"""),1301.8)</f>
        <v/>
      </c>
    </row>
    <row r="345">
      <c r="B345" s="6">
        <f>C345&amp;D345</f>
        <v/>
      </c>
      <c r="C345" s="6">
        <f>YEAR(E345)</f>
        <v/>
      </c>
      <c r="D345" s="6">
        <f>MONTH(E345)</f>
        <v/>
      </c>
      <c r="E345" s="267">
        <f>IFERROR(__xludf.DUMMYFUNCTION("""COMPUTED_VALUE"""),43592.6666666666)</f>
        <v/>
      </c>
      <c r="F345" s="6">
        <f>IFERROR(__xludf.DUMMYFUNCTION("""COMPUTED_VALUE"""),2884.05)</f>
        <v/>
      </c>
      <c r="J345" s="6">
        <f>K345&amp;L345</f>
        <v/>
      </c>
      <c r="K345" s="6">
        <f>YEAR(M345)</f>
        <v/>
      </c>
      <c r="L345" s="6">
        <f>MONTH(M345)</f>
        <v/>
      </c>
      <c r="M345" s="267">
        <f>IFERROR(__xludf.DUMMYFUNCTION("""COMPUTED_VALUE"""),43592.6666666666)</f>
        <v/>
      </c>
      <c r="N345" s="6">
        <f>IFERROR(__xludf.DUMMYFUNCTION("""COMPUTED_VALUE"""),7963.76)</f>
        <v/>
      </c>
      <c r="R345" s="6">
        <f>S345&amp;T345</f>
        <v/>
      </c>
      <c r="S345" s="6">
        <f>YEAR(U345)</f>
        <v/>
      </c>
      <c r="T345" s="6">
        <f>MONTH(U345)</f>
        <v/>
      </c>
      <c r="U345" s="267">
        <f>IFERROR(__xludf.DUMMYFUNCTION("""COMPUTED_VALUE"""),43615.6458333333)</f>
        <v/>
      </c>
      <c r="V345" s="6">
        <f>IFERROR(__xludf.DUMMYFUNCTION("""COMPUTED_VALUE"""),2038.8)</f>
        <v/>
      </c>
      <c r="Z345" s="6">
        <f>AA345&amp;AB345</f>
        <v/>
      </c>
      <c r="AA345" s="6">
        <f>YEAR(AC345)</f>
        <v/>
      </c>
      <c r="AB345" s="6">
        <f>MONTH(AC345)</f>
        <v/>
      </c>
      <c r="AC345" s="267">
        <f>IFERROR(__xludf.DUMMYFUNCTION("""COMPUTED_VALUE"""),43456.9986111111)</f>
        <v/>
      </c>
      <c r="AD345" s="6">
        <f>IFERROR(__xludf.DUMMYFUNCTION("""COMPUTED_VALUE"""),1128.02)</f>
        <v/>
      </c>
      <c r="AH345" s="6">
        <f>AI345&amp;AJ345</f>
        <v/>
      </c>
      <c r="AI345" s="6">
        <f>YEAR(AK345)</f>
        <v/>
      </c>
      <c r="AJ345" s="6">
        <f>MONTH(AK345)</f>
        <v/>
      </c>
      <c r="AK345" s="267">
        <f>IFERROR(__xludf.DUMMYFUNCTION("""COMPUTED_VALUE"""),43437.9986111111)</f>
        <v/>
      </c>
      <c r="AL345" s="6">
        <f>IFERROR(__xludf.DUMMYFUNCTION("""COMPUTED_VALUE"""),3883.534)</f>
        <v/>
      </c>
      <c r="AP345" s="6">
        <f>AQ345&amp;AR345</f>
        <v/>
      </c>
      <c r="AQ345" s="6">
        <f>YEAR(AS345)</f>
        <v/>
      </c>
      <c r="AR345" s="6">
        <f>MONTH(AS345)</f>
        <v/>
      </c>
      <c r="AS345" s="267">
        <f>IFERROR(__xludf.DUMMYFUNCTION("""COMPUTED_VALUE"""),43599.9986111111)</f>
        <v/>
      </c>
      <c r="AT345" s="6">
        <f>IFERROR(__xludf.DUMMYFUNCTION("""COMPUTED_VALUE"""),1296.3)</f>
        <v/>
      </c>
    </row>
    <row r="346">
      <c r="B346" s="6">
        <f>C346&amp;D346</f>
        <v/>
      </c>
      <c r="C346" s="6">
        <f>YEAR(E346)</f>
        <v/>
      </c>
      <c r="D346" s="6">
        <f>MONTH(E346)</f>
        <v/>
      </c>
      <c r="E346" s="267">
        <f>IFERROR(__xludf.DUMMYFUNCTION("""COMPUTED_VALUE"""),43593.6666666666)</f>
        <v/>
      </c>
      <c r="F346" s="6">
        <f>IFERROR(__xludf.DUMMYFUNCTION("""COMPUTED_VALUE"""),2879.42)</f>
        <v/>
      </c>
      <c r="J346" s="6">
        <f>K346&amp;L346</f>
        <v/>
      </c>
      <c r="K346" s="6">
        <f>YEAR(M346)</f>
        <v/>
      </c>
      <c r="L346" s="6">
        <f>MONTH(M346)</f>
        <v/>
      </c>
      <c r="M346" s="267">
        <f>IFERROR(__xludf.DUMMYFUNCTION("""COMPUTED_VALUE"""),43593.6666666666)</f>
        <v/>
      </c>
      <c r="N346" s="6">
        <f>IFERROR(__xludf.DUMMYFUNCTION("""COMPUTED_VALUE"""),7943.32)</f>
        <v/>
      </c>
      <c r="R346" s="6">
        <f>S346&amp;T346</f>
        <v/>
      </c>
      <c r="S346" s="6">
        <f>YEAR(U346)</f>
        <v/>
      </c>
      <c r="T346" s="6">
        <f>MONTH(U346)</f>
        <v/>
      </c>
      <c r="U346" s="267">
        <f>IFERROR(__xludf.DUMMYFUNCTION("""COMPUTED_VALUE"""),43616.6458333333)</f>
        <v/>
      </c>
      <c r="V346" s="6">
        <f>IFERROR(__xludf.DUMMYFUNCTION("""COMPUTED_VALUE"""),2041.74)</f>
        <v/>
      </c>
      <c r="Z346" s="6">
        <f>AA346&amp;AB346</f>
        <v/>
      </c>
      <c r="AA346" s="6">
        <f>YEAR(AC346)</f>
        <v/>
      </c>
      <c r="AB346" s="6">
        <f>MONTH(AC346)</f>
        <v/>
      </c>
      <c r="AC346" s="267">
        <f>IFERROR(__xludf.DUMMYFUNCTION("""COMPUTED_VALUE"""),43457.9986111111)</f>
        <v/>
      </c>
      <c r="AD346" s="6">
        <f>IFERROR(__xludf.DUMMYFUNCTION("""COMPUTED_VALUE"""),1127.5)</f>
        <v/>
      </c>
      <c r="AH346" s="6">
        <f>AI346&amp;AJ346</f>
        <v/>
      </c>
      <c r="AI346" s="6">
        <f>YEAR(AK346)</f>
        <v/>
      </c>
      <c r="AJ346" s="6">
        <f>MONTH(AK346)</f>
        <v/>
      </c>
      <c r="AK346" s="267">
        <f>IFERROR(__xludf.DUMMYFUNCTION("""COMPUTED_VALUE"""),43438.9986111111)</f>
        <v/>
      </c>
      <c r="AL346" s="6">
        <f>IFERROR(__xludf.DUMMYFUNCTION("""COMPUTED_VALUE"""),3932.983)</f>
        <v/>
      </c>
      <c r="AP346" s="6">
        <f>AQ346&amp;AR346</f>
        <v/>
      </c>
      <c r="AQ346" s="6">
        <f>YEAR(AS346)</f>
        <v/>
      </c>
      <c r="AR346" s="6">
        <f>MONTH(AS346)</f>
        <v/>
      </c>
      <c r="AS346" s="267">
        <f>IFERROR(__xludf.DUMMYFUNCTION("""COMPUTED_VALUE"""),43600.9986111111)</f>
        <v/>
      </c>
      <c r="AT346" s="6">
        <f>IFERROR(__xludf.DUMMYFUNCTION("""COMPUTED_VALUE"""),1297.8)</f>
        <v/>
      </c>
    </row>
    <row r="347">
      <c r="B347" s="6">
        <f>C347&amp;D347</f>
        <v/>
      </c>
      <c r="C347" s="6">
        <f>YEAR(E347)</f>
        <v/>
      </c>
      <c r="D347" s="6">
        <f>MONTH(E347)</f>
        <v/>
      </c>
      <c r="E347" s="267">
        <f>IFERROR(__xludf.DUMMYFUNCTION("""COMPUTED_VALUE"""),43594.6666666666)</f>
        <v/>
      </c>
      <c r="F347" s="6">
        <f>IFERROR(__xludf.DUMMYFUNCTION("""COMPUTED_VALUE"""),2870.72)</f>
        <v/>
      </c>
      <c r="J347" s="6">
        <f>K347&amp;L347</f>
        <v/>
      </c>
      <c r="K347" s="6">
        <f>YEAR(M347)</f>
        <v/>
      </c>
      <c r="L347" s="6">
        <f>MONTH(M347)</f>
        <v/>
      </c>
      <c r="M347" s="267">
        <f>IFERROR(__xludf.DUMMYFUNCTION("""COMPUTED_VALUE"""),43594.6666666666)</f>
        <v/>
      </c>
      <c r="N347" s="6">
        <f>IFERROR(__xludf.DUMMYFUNCTION("""COMPUTED_VALUE"""),7910.59)</f>
        <v/>
      </c>
      <c r="R347" s="6">
        <f>S347&amp;T347</f>
        <v/>
      </c>
      <c r="S347" s="6">
        <f>YEAR(U347)</f>
        <v/>
      </c>
      <c r="T347" s="6">
        <f>MONTH(U347)</f>
        <v/>
      </c>
      <c r="U347" s="267">
        <f>IFERROR(__xludf.DUMMYFUNCTION("""COMPUTED_VALUE"""),43619.6458333333)</f>
        <v/>
      </c>
      <c r="V347" s="6">
        <f>IFERROR(__xludf.DUMMYFUNCTION("""COMPUTED_VALUE"""),2067.85)</f>
        <v/>
      </c>
      <c r="Z347" s="6">
        <f>AA347&amp;AB347</f>
        <v/>
      </c>
      <c r="AA347" s="6">
        <f>YEAR(AC347)</f>
        <v/>
      </c>
      <c r="AB347" s="6">
        <f>MONTH(AC347)</f>
        <v/>
      </c>
      <c r="AC347" s="267">
        <f>IFERROR(__xludf.DUMMYFUNCTION("""COMPUTED_VALUE"""),43458.9986111111)</f>
        <v/>
      </c>
      <c r="AD347" s="6">
        <f>IFERROR(__xludf.DUMMYFUNCTION("""COMPUTED_VALUE"""),1123.23)</f>
        <v/>
      </c>
      <c r="AH347" s="6">
        <f>AI347&amp;AJ347</f>
        <v/>
      </c>
      <c r="AI347" s="6">
        <f>YEAR(AK347)</f>
        <v/>
      </c>
      <c r="AJ347" s="6">
        <f>MONTH(AK347)</f>
        <v/>
      </c>
      <c r="AK347" s="267">
        <f>IFERROR(__xludf.DUMMYFUNCTION("""COMPUTED_VALUE"""),43439.9986111111)</f>
        <v/>
      </c>
      <c r="AL347" s="6">
        <f>IFERROR(__xludf.DUMMYFUNCTION("""COMPUTED_VALUE"""),3754.666)</f>
        <v/>
      </c>
      <c r="AP347" s="6">
        <f>AQ347&amp;AR347</f>
        <v/>
      </c>
      <c r="AQ347" s="6">
        <f>YEAR(AS347)</f>
        <v/>
      </c>
      <c r="AR347" s="6">
        <f>MONTH(AS347)</f>
        <v/>
      </c>
      <c r="AS347" s="267">
        <f>IFERROR(__xludf.DUMMYFUNCTION("""COMPUTED_VALUE"""),43601.9986111111)</f>
        <v/>
      </c>
      <c r="AT347" s="6">
        <f>IFERROR(__xludf.DUMMYFUNCTION("""COMPUTED_VALUE"""),1286.2)</f>
        <v/>
      </c>
    </row>
    <row r="348">
      <c r="B348" s="6">
        <f>C348&amp;D348</f>
        <v/>
      </c>
      <c r="C348" s="6">
        <f>YEAR(E348)</f>
        <v/>
      </c>
      <c r="D348" s="6">
        <f>MONTH(E348)</f>
        <v/>
      </c>
      <c r="E348" s="267">
        <f>IFERROR(__xludf.DUMMYFUNCTION("""COMPUTED_VALUE"""),43595.6666666666)</f>
        <v/>
      </c>
      <c r="F348" s="6">
        <f>IFERROR(__xludf.DUMMYFUNCTION("""COMPUTED_VALUE"""),2881.4)</f>
        <v/>
      </c>
      <c r="J348" s="6">
        <f>K348&amp;L348</f>
        <v/>
      </c>
      <c r="K348" s="6">
        <f>YEAR(M348)</f>
        <v/>
      </c>
      <c r="L348" s="6">
        <f>MONTH(M348)</f>
        <v/>
      </c>
      <c r="M348" s="267">
        <f>IFERROR(__xludf.DUMMYFUNCTION("""COMPUTED_VALUE"""),43595.6666666666)</f>
        <v/>
      </c>
      <c r="N348" s="6">
        <f>IFERROR(__xludf.DUMMYFUNCTION("""COMPUTED_VALUE"""),7916.94)</f>
        <v/>
      </c>
      <c r="R348" s="6">
        <f>S348&amp;T348</f>
        <v/>
      </c>
      <c r="S348" s="6">
        <f>YEAR(U348)</f>
        <v/>
      </c>
      <c r="T348" s="6">
        <f>MONTH(U348)</f>
        <v/>
      </c>
      <c r="U348" s="267">
        <f>IFERROR(__xludf.DUMMYFUNCTION("""COMPUTED_VALUE"""),43620.6458333333)</f>
        <v/>
      </c>
      <c r="V348" s="6">
        <f>IFERROR(__xludf.DUMMYFUNCTION("""COMPUTED_VALUE"""),2066.97)</f>
        <v/>
      </c>
      <c r="Z348" s="6">
        <f>AA348&amp;AB348</f>
        <v/>
      </c>
      <c r="AA348" s="6">
        <f>YEAR(AC348)</f>
        <v/>
      </c>
      <c r="AB348" s="6">
        <f>MONTH(AC348)</f>
        <v/>
      </c>
      <c r="AC348" s="267">
        <f>IFERROR(__xludf.DUMMYFUNCTION("""COMPUTED_VALUE"""),43459.9986111111)</f>
        <v/>
      </c>
      <c r="AD348" s="6">
        <f>IFERROR(__xludf.DUMMYFUNCTION("""COMPUTED_VALUE"""),1122.63)</f>
        <v/>
      </c>
      <c r="AH348" s="6">
        <f>AI348&amp;AJ348</f>
        <v/>
      </c>
      <c r="AI348" s="6">
        <f>YEAR(AK348)</f>
        <v/>
      </c>
      <c r="AJ348" s="6">
        <f>MONTH(AK348)</f>
        <v/>
      </c>
      <c r="AK348" s="267">
        <f>IFERROR(__xludf.DUMMYFUNCTION("""COMPUTED_VALUE"""),43440.9986111111)</f>
        <v/>
      </c>
      <c r="AL348" s="6">
        <f>IFERROR(__xludf.DUMMYFUNCTION("""COMPUTED_VALUE"""),3506.049)</f>
        <v/>
      </c>
      <c r="AP348" s="6">
        <f>AQ348&amp;AR348</f>
        <v/>
      </c>
      <c r="AQ348" s="6">
        <f>YEAR(AS348)</f>
        <v/>
      </c>
      <c r="AR348" s="6">
        <f>MONTH(AS348)</f>
        <v/>
      </c>
      <c r="AS348" s="267">
        <f>IFERROR(__xludf.DUMMYFUNCTION("""COMPUTED_VALUE"""),43602.9986111111)</f>
        <v/>
      </c>
      <c r="AT348" s="6">
        <f>IFERROR(__xludf.DUMMYFUNCTION("""COMPUTED_VALUE"""),1275.7)</f>
        <v/>
      </c>
    </row>
    <row r="349">
      <c r="B349" s="6">
        <f>C349&amp;D349</f>
        <v/>
      </c>
      <c r="C349" s="6">
        <f>YEAR(E349)</f>
        <v/>
      </c>
      <c r="D349" s="6">
        <f>MONTH(E349)</f>
        <v/>
      </c>
      <c r="E349" s="267">
        <f>IFERROR(__xludf.DUMMYFUNCTION("""COMPUTED_VALUE"""),43598.6666666666)</f>
        <v/>
      </c>
      <c r="F349" s="6">
        <f>IFERROR(__xludf.DUMMYFUNCTION("""COMPUTED_VALUE"""),2811.87)</f>
        <v/>
      </c>
      <c r="J349" s="6">
        <f>K349&amp;L349</f>
        <v/>
      </c>
      <c r="K349" s="6">
        <f>YEAR(M349)</f>
        <v/>
      </c>
      <c r="L349" s="6">
        <f>MONTH(M349)</f>
        <v/>
      </c>
      <c r="M349" s="267">
        <f>IFERROR(__xludf.DUMMYFUNCTION("""COMPUTED_VALUE"""),43598.6666666666)</f>
        <v/>
      </c>
      <c r="N349" s="6">
        <f>IFERROR(__xludf.DUMMYFUNCTION("""COMPUTED_VALUE"""),7647.02)</f>
        <v/>
      </c>
      <c r="R349" s="6">
        <f>S349&amp;T349</f>
        <v/>
      </c>
      <c r="S349" s="6">
        <f>YEAR(U349)</f>
        <v/>
      </c>
      <c r="T349" s="6">
        <f>MONTH(U349)</f>
        <v/>
      </c>
      <c r="U349" s="267">
        <f>IFERROR(__xludf.DUMMYFUNCTION("""COMPUTED_VALUE"""),43621.6458333333)</f>
        <v/>
      </c>
      <c r="V349" s="6">
        <f>IFERROR(__xludf.DUMMYFUNCTION("""COMPUTED_VALUE"""),2069.11)</f>
        <v/>
      </c>
      <c r="Z349" s="6">
        <f>AA349&amp;AB349</f>
        <v/>
      </c>
      <c r="AA349" s="6">
        <f>YEAR(AC349)</f>
        <v/>
      </c>
      <c r="AB349" s="6">
        <f>MONTH(AC349)</f>
        <v/>
      </c>
      <c r="AC349" s="267">
        <f>IFERROR(__xludf.DUMMYFUNCTION("""COMPUTED_VALUE"""),43460.9986111111)</f>
        <v/>
      </c>
      <c r="AD349" s="6">
        <f>IFERROR(__xludf.DUMMYFUNCTION("""COMPUTED_VALUE"""),1123.52)</f>
        <v/>
      </c>
      <c r="AH349" s="6">
        <f>AI349&amp;AJ349</f>
        <v/>
      </c>
      <c r="AI349" s="6">
        <f>YEAR(AK349)</f>
        <v/>
      </c>
      <c r="AJ349" s="6">
        <f>MONTH(AK349)</f>
        <v/>
      </c>
      <c r="AK349" s="267">
        <f>IFERROR(__xludf.DUMMYFUNCTION("""COMPUTED_VALUE"""),43441.9986111111)</f>
        <v/>
      </c>
      <c r="AL349" s="6">
        <f>IFERROR(__xludf.DUMMYFUNCTION("""COMPUTED_VALUE"""),3404.299)</f>
        <v/>
      </c>
      <c r="AP349" s="6">
        <f>AQ349&amp;AR349</f>
        <v/>
      </c>
      <c r="AQ349" s="6">
        <f>YEAR(AS349)</f>
        <v/>
      </c>
      <c r="AR349" s="6">
        <f>MONTH(AS349)</f>
        <v/>
      </c>
      <c r="AS349" s="267">
        <f>IFERROR(__xludf.DUMMYFUNCTION("""COMPUTED_VALUE"""),43605.9986111111)</f>
        <v/>
      </c>
      <c r="AT349" s="6">
        <f>IFERROR(__xludf.DUMMYFUNCTION("""COMPUTED_VALUE"""),1277.3)</f>
        <v/>
      </c>
    </row>
    <row r="350">
      <c r="B350" s="6">
        <f>C350&amp;D350</f>
        <v/>
      </c>
      <c r="C350" s="6">
        <f>YEAR(E350)</f>
        <v/>
      </c>
      <c r="D350" s="6">
        <f>MONTH(E350)</f>
        <v/>
      </c>
      <c r="E350" s="267">
        <f>IFERROR(__xludf.DUMMYFUNCTION("""COMPUTED_VALUE"""),43599.6666666666)</f>
        <v/>
      </c>
      <c r="F350" s="6">
        <f>IFERROR(__xludf.DUMMYFUNCTION("""COMPUTED_VALUE"""),2834.41)</f>
        <v/>
      </c>
      <c r="J350" s="6">
        <f>K350&amp;L350</f>
        <v/>
      </c>
      <c r="K350" s="6">
        <f>YEAR(M350)</f>
        <v/>
      </c>
      <c r="L350" s="6">
        <f>MONTH(M350)</f>
        <v/>
      </c>
      <c r="M350" s="267">
        <f>IFERROR(__xludf.DUMMYFUNCTION("""COMPUTED_VALUE"""),43599.6666666666)</f>
        <v/>
      </c>
      <c r="N350" s="6">
        <f>IFERROR(__xludf.DUMMYFUNCTION("""COMPUTED_VALUE"""),7734.49)</f>
        <v/>
      </c>
      <c r="R350" s="6">
        <f>S350&amp;T350</f>
        <v/>
      </c>
      <c r="S350" s="6">
        <f>YEAR(U350)</f>
        <v/>
      </c>
      <c r="T350" s="6">
        <f>MONTH(U350)</f>
        <v/>
      </c>
      <c r="U350" s="267">
        <f>IFERROR(__xludf.DUMMYFUNCTION("""COMPUTED_VALUE"""),43623.6458333333)</f>
        <v/>
      </c>
      <c r="V350" s="6">
        <f>IFERROR(__xludf.DUMMYFUNCTION("""COMPUTED_VALUE"""),2072.33)</f>
        <v/>
      </c>
      <c r="Z350" s="6">
        <f>AA350&amp;AB350</f>
        <v/>
      </c>
      <c r="AA350" s="6">
        <f>YEAR(AC350)</f>
        <v/>
      </c>
      <c r="AB350" s="6">
        <f>MONTH(AC350)</f>
        <v/>
      </c>
      <c r="AC350" s="267">
        <f>IFERROR(__xludf.DUMMYFUNCTION("""COMPUTED_VALUE"""),43461.9986111111)</f>
        <v/>
      </c>
      <c r="AD350" s="6">
        <f>IFERROR(__xludf.DUMMYFUNCTION("""COMPUTED_VALUE"""),1119.6)</f>
        <v/>
      </c>
      <c r="AH350" s="6">
        <f>AI350&amp;AJ350</f>
        <v/>
      </c>
      <c r="AI350" s="6">
        <f>YEAR(AK350)</f>
        <v/>
      </c>
      <c r="AJ350" s="6">
        <f>MONTH(AK350)</f>
        <v/>
      </c>
      <c r="AK350" s="267">
        <f>IFERROR(__xludf.DUMMYFUNCTION("""COMPUTED_VALUE"""),43442.9986111111)</f>
        <v/>
      </c>
      <c r="AL350" s="6">
        <f>IFERROR(__xludf.DUMMYFUNCTION("""COMPUTED_VALUE"""),3458.882)</f>
        <v/>
      </c>
      <c r="AP350" s="6">
        <f>AQ350&amp;AR350</f>
        <v/>
      </c>
      <c r="AQ350" s="6">
        <f>YEAR(AS350)</f>
        <v/>
      </c>
      <c r="AR350" s="6">
        <f>MONTH(AS350)</f>
        <v/>
      </c>
      <c r="AS350" s="267">
        <f>IFERROR(__xludf.DUMMYFUNCTION("""COMPUTED_VALUE"""),43606.9986111111)</f>
        <v/>
      </c>
      <c r="AT350" s="6">
        <f>IFERROR(__xludf.DUMMYFUNCTION("""COMPUTED_VALUE"""),1273.2)</f>
        <v/>
      </c>
    </row>
    <row r="351">
      <c r="B351" s="6">
        <f>C351&amp;D351</f>
        <v/>
      </c>
      <c r="C351" s="6">
        <f>YEAR(E351)</f>
        <v/>
      </c>
      <c r="D351" s="6">
        <f>MONTH(E351)</f>
        <v/>
      </c>
      <c r="E351" s="267">
        <f>IFERROR(__xludf.DUMMYFUNCTION("""COMPUTED_VALUE"""),43600.6666666666)</f>
        <v/>
      </c>
      <c r="F351" s="6">
        <f>IFERROR(__xludf.DUMMYFUNCTION("""COMPUTED_VALUE"""),2850.96)</f>
        <v/>
      </c>
      <c r="J351" s="6">
        <f>K351&amp;L351</f>
        <v/>
      </c>
      <c r="K351" s="6">
        <f>YEAR(M351)</f>
        <v/>
      </c>
      <c r="L351" s="6">
        <f>MONTH(M351)</f>
        <v/>
      </c>
      <c r="M351" s="267">
        <f>IFERROR(__xludf.DUMMYFUNCTION("""COMPUTED_VALUE"""),43600.6666666666)</f>
        <v/>
      </c>
      <c r="N351" s="6">
        <f>IFERROR(__xludf.DUMMYFUNCTION("""COMPUTED_VALUE"""),7822.15)</f>
        <v/>
      </c>
      <c r="R351" s="6">
        <f>S351&amp;T351</f>
        <v/>
      </c>
      <c r="S351" s="6">
        <f>YEAR(U351)</f>
        <v/>
      </c>
      <c r="T351" s="6">
        <f>MONTH(U351)</f>
        <v/>
      </c>
      <c r="U351" s="267">
        <f>IFERROR(__xludf.DUMMYFUNCTION("""COMPUTED_VALUE"""),43626.6458333333)</f>
        <v/>
      </c>
      <c r="V351" s="6">
        <f>IFERROR(__xludf.DUMMYFUNCTION("""COMPUTED_VALUE"""),2099.49)</f>
        <v/>
      </c>
      <c r="Z351" s="6">
        <f>AA351&amp;AB351</f>
        <v/>
      </c>
      <c r="AA351" s="6">
        <f>YEAR(AC351)</f>
        <v/>
      </c>
      <c r="AB351" s="6">
        <f>MONTH(AC351)</f>
        <v/>
      </c>
      <c r="AC351" s="267">
        <f>IFERROR(__xludf.DUMMYFUNCTION("""COMPUTED_VALUE"""),43462.9986111111)</f>
        <v/>
      </c>
      <c r="AD351" s="6">
        <f>IFERROR(__xludf.DUMMYFUNCTION("""COMPUTED_VALUE"""),1116.05)</f>
        <v/>
      </c>
      <c r="AH351" s="6">
        <f>AI351&amp;AJ351</f>
        <v/>
      </c>
      <c r="AI351" s="6">
        <f>YEAR(AK351)</f>
        <v/>
      </c>
      <c r="AJ351" s="6">
        <f>MONTH(AK351)</f>
        <v/>
      </c>
      <c r="AK351" s="267">
        <f>IFERROR(__xludf.DUMMYFUNCTION("""COMPUTED_VALUE"""),43443.9986111111)</f>
        <v/>
      </c>
      <c r="AL351" s="6">
        <f>IFERROR(__xludf.DUMMYFUNCTION("""COMPUTED_VALUE"""),3585.145)</f>
        <v/>
      </c>
      <c r="AP351" s="6">
        <f>AQ351&amp;AR351</f>
        <v/>
      </c>
      <c r="AQ351" s="6">
        <f>YEAR(AS351)</f>
        <v/>
      </c>
      <c r="AR351" s="6">
        <f>MONTH(AS351)</f>
        <v/>
      </c>
      <c r="AS351" s="267">
        <f>IFERROR(__xludf.DUMMYFUNCTION("""COMPUTED_VALUE"""),43607.9986111111)</f>
        <v/>
      </c>
      <c r="AT351" s="6">
        <f>IFERROR(__xludf.DUMMYFUNCTION("""COMPUTED_VALUE"""),1274.2)</f>
        <v/>
      </c>
    </row>
    <row r="352">
      <c r="B352" s="6">
        <f>C352&amp;D352</f>
        <v/>
      </c>
      <c r="C352" s="6">
        <f>YEAR(E352)</f>
        <v/>
      </c>
      <c r="D352" s="6">
        <f>MONTH(E352)</f>
        <v/>
      </c>
      <c r="E352" s="267">
        <f>IFERROR(__xludf.DUMMYFUNCTION("""COMPUTED_VALUE"""),43601.6666666666)</f>
        <v/>
      </c>
      <c r="F352" s="6">
        <f>IFERROR(__xludf.DUMMYFUNCTION("""COMPUTED_VALUE"""),2876.32)</f>
        <v/>
      </c>
      <c r="J352" s="6">
        <f>K352&amp;L352</f>
        <v/>
      </c>
      <c r="K352" s="6">
        <f>YEAR(M352)</f>
        <v/>
      </c>
      <c r="L352" s="6">
        <f>MONTH(M352)</f>
        <v/>
      </c>
      <c r="M352" s="267">
        <f>IFERROR(__xludf.DUMMYFUNCTION("""COMPUTED_VALUE"""),43601.6666666666)</f>
        <v/>
      </c>
      <c r="N352" s="6">
        <f>IFERROR(__xludf.DUMMYFUNCTION("""COMPUTED_VALUE"""),7898.05)</f>
        <v/>
      </c>
      <c r="R352" s="6">
        <f>S352&amp;T352</f>
        <v/>
      </c>
      <c r="S352" s="6">
        <f>YEAR(U352)</f>
        <v/>
      </c>
      <c r="T352" s="6">
        <f>MONTH(U352)</f>
        <v/>
      </c>
      <c r="U352" s="267">
        <f>IFERROR(__xludf.DUMMYFUNCTION("""COMPUTED_VALUE"""),43627.6458333333)</f>
        <v/>
      </c>
      <c r="V352" s="6">
        <f>IFERROR(__xludf.DUMMYFUNCTION("""COMPUTED_VALUE"""),2111.81)</f>
        <v/>
      </c>
      <c r="Z352" s="6">
        <f>AA352&amp;AB352</f>
        <v/>
      </c>
      <c r="AA352" s="6">
        <f>YEAR(AC352)</f>
        <v/>
      </c>
      <c r="AB352" s="6">
        <f>MONTH(AC352)</f>
        <v/>
      </c>
      <c r="AC352" s="267">
        <f>IFERROR(__xludf.DUMMYFUNCTION("""COMPUTED_VALUE"""),43464.9986111111)</f>
        <v/>
      </c>
      <c r="AD352" s="6">
        <f>IFERROR(__xludf.DUMMYFUNCTION("""COMPUTED_VALUE"""),1116.3)</f>
        <v/>
      </c>
      <c r="AH352" s="6">
        <f>AI352&amp;AJ352</f>
        <v/>
      </c>
      <c r="AI352" s="6">
        <f>YEAR(AK352)</f>
        <v/>
      </c>
      <c r="AJ352" s="6">
        <f>MONTH(AK352)</f>
        <v/>
      </c>
      <c r="AK352" s="267">
        <f>IFERROR(__xludf.DUMMYFUNCTION("""COMPUTED_VALUE"""),43444.9986111111)</f>
        <v/>
      </c>
      <c r="AL352" s="6">
        <f>IFERROR(__xludf.DUMMYFUNCTION("""COMPUTED_VALUE"""),3434.177)</f>
        <v/>
      </c>
      <c r="AP352" s="6">
        <f>AQ352&amp;AR352</f>
        <v/>
      </c>
      <c r="AQ352" s="6">
        <f>YEAR(AS352)</f>
        <v/>
      </c>
      <c r="AR352" s="6">
        <f>MONTH(AS352)</f>
        <v/>
      </c>
      <c r="AS352" s="267">
        <f>IFERROR(__xludf.DUMMYFUNCTION("""COMPUTED_VALUE"""),43608.9986111111)</f>
        <v/>
      </c>
      <c r="AT352" s="6">
        <f>IFERROR(__xludf.DUMMYFUNCTION("""COMPUTED_VALUE"""),1285.4)</f>
        <v/>
      </c>
    </row>
    <row r="353">
      <c r="B353" s="6">
        <f>C353&amp;D353</f>
        <v/>
      </c>
      <c r="C353" s="6">
        <f>YEAR(E353)</f>
        <v/>
      </c>
      <c r="D353" s="6">
        <f>MONTH(E353)</f>
        <v/>
      </c>
      <c r="E353" s="267">
        <f>IFERROR(__xludf.DUMMYFUNCTION("""COMPUTED_VALUE"""),43602.6666666666)</f>
        <v/>
      </c>
      <c r="F353" s="6">
        <f>IFERROR(__xludf.DUMMYFUNCTION("""COMPUTED_VALUE"""),2859.53)</f>
        <v/>
      </c>
      <c r="J353" s="6">
        <f>K353&amp;L353</f>
        <v/>
      </c>
      <c r="K353" s="6">
        <f>YEAR(M353)</f>
        <v/>
      </c>
      <c r="L353" s="6">
        <f>MONTH(M353)</f>
        <v/>
      </c>
      <c r="M353" s="267">
        <f>IFERROR(__xludf.DUMMYFUNCTION("""COMPUTED_VALUE"""),43602.6666666666)</f>
        <v/>
      </c>
      <c r="N353" s="6">
        <f>IFERROR(__xludf.DUMMYFUNCTION("""COMPUTED_VALUE"""),7816.29)</f>
        <v/>
      </c>
      <c r="R353" s="6">
        <f>S353&amp;T353</f>
        <v/>
      </c>
      <c r="S353" s="6">
        <f>YEAR(U353)</f>
        <v/>
      </c>
      <c r="T353" s="6">
        <f>MONTH(U353)</f>
        <v/>
      </c>
      <c r="U353" s="267">
        <f>IFERROR(__xludf.DUMMYFUNCTION("""COMPUTED_VALUE"""),43628.6458333333)</f>
        <v/>
      </c>
      <c r="V353" s="6">
        <f>IFERROR(__xludf.DUMMYFUNCTION("""COMPUTED_VALUE"""),2108.75)</f>
        <v/>
      </c>
      <c r="Z353" s="6">
        <f>AA353&amp;AB353</f>
        <v/>
      </c>
      <c r="AA353" s="6">
        <f>YEAR(AC353)</f>
        <v/>
      </c>
      <c r="AB353" s="6">
        <f>MONTH(AC353)</f>
        <v/>
      </c>
      <c r="AC353" s="267">
        <f>IFERROR(__xludf.DUMMYFUNCTION("""COMPUTED_VALUE"""),43465.9986111111)</f>
        <v/>
      </c>
      <c r="AD353" s="6">
        <f>IFERROR(__xludf.DUMMYFUNCTION("""COMPUTED_VALUE"""),1112.5)</f>
        <v/>
      </c>
      <c r="AH353" s="6">
        <f>AI353&amp;AJ353</f>
        <v/>
      </c>
      <c r="AI353" s="6">
        <f>YEAR(AK353)</f>
        <v/>
      </c>
      <c r="AJ353" s="6">
        <f>MONTH(AK353)</f>
        <v/>
      </c>
      <c r="AK353" s="267">
        <f>IFERROR(__xludf.DUMMYFUNCTION("""COMPUTED_VALUE"""),43445.9986111111)</f>
        <v/>
      </c>
      <c r="AL353" s="6">
        <f>IFERROR(__xludf.DUMMYFUNCTION("""COMPUTED_VALUE"""),3404.865)</f>
        <v/>
      </c>
      <c r="AP353" s="6">
        <f>AQ353&amp;AR353</f>
        <v/>
      </c>
      <c r="AQ353" s="6">
        <f>YEAR(AS353)</f>
        <v/>
      </c>
      <c r="AR353" s="6">
        <f>MONTH(AS353)</f>
        <v/>
      </c>
      <c r="AS353" s="267">
        <f>IFERROR(__xludf.DUMMYFUNCTION("""COMPUTED_VALUE"""),43613.9986111111)</f>
        <v/>
      </c>
      <c r="AT353" s="6">
        <f>IFERROR(__xludf.DUMMYFUNCTION("""COMPUTED_VALUE"""),1282.5)</f>
        <v/>
      </c>
    </row>
    <row r="354">
      <c r="B354" s="6">
        <f>C354&amp;D354</f>
        <v/>
      </c>
      <c r="C354" s="6">
        <f>YEAR(E354)</f>
        <v/>
      </c>
      <c r="D354" s="6">
        <f>MONTH(E354)</f>
        <v/>
      </c>
      <c r="E354" s="267">
        <f>IFERROR(__xludf.DUMMYFUNCTION("""COMPUTED_VALUE"""),43605.6666666666)</f>
        <v/>
      </c>
      <c r="F354" s="6">
        <f>IFERROR(__xludf.DUMMYFUNCTION("""COMPUTED_VALUE"""),2840.23)</f>
        <v/>
      </c>
      <c r="J354" s="6">
        <f>K354&amp;L354</f>
        <v/>
      </c>
      <c r="K354" s="6">
        <f>YEAR(M354)</f>
        <v/>
      </c>
      <c r="L354" s="6">
        <f>MONTH(M354)</f>
        <v/>
      </c>
      <c r="M354" s="267">
        <f>IFERROR(__xludf.DUMMYFUNCTION("""COMPUTED_VALUE"""),43605.6666666666)</f>
        <v/>
      </c>
      <c r="N354" s="6">
        <f>IFERROR(__xludf.DUMMYFUNCTION("""COMPUTED_VALUE"""),7702.38)</f>
        <v/>
      </c>
      <c r="R354" s="6">
        <f>S354&amp;T354</f>
        <v/>
      </c>
      <c r="S354" s="6">
        <f>YEAR(U354)</f>
        <v/>
      </c>
      <c r="T354" s="6">
        <f>MONTH(U354)</f>
        <v/>
      </c>
      <c r="U354" s="267">
        <f>IFERROR(__xludf.DUMMYFUNCTION("""COMPUTED_VALUE"""),43629.6458333333)</f>
        <v/>
      </c>
      <c r="V354" s="6">
        <f>IFERROR(__xludf.DUMMYFUNCTION("""COMPUTED_VALUE"""),2103.15)</f>
        <v/>
      </c>
      <c r="Z354" s="6">
        <f>AA354&amp;AB354</f>
        <v/>
      </c>
      <c r="AA354" s="6">
        <f>YEAR(AC354)</f>
        <v/>
      </c>
      <c r="AB354" s="6">
        <f>MONTH(AC354)</f>
        <v/>
      </c>
      <c r="AC354" s="267">
        <f>IFERROR(__xludf.DUMMYFUNCTION("""COMPUTED_VALUE"""),43466.9986111111)</f>
        <v/>
      </c>
      <c r="AD354" s="6">
        <f>IFERROR(__xludf.DUMMYFUNCTION("""COMPUTED_VALUE"""),1113.8)</f>
        <v/>
      </c>
      <c r="AH354" s="6">
        <f>AI354&amp;AJ354</f>
        <v/>
      </c>
      <c r="AI354" s="6">
        <f>YEAR(AK354)</f>
        <v/>
      </c>
      <c r="AJ354" s="6">
        <f>MONTH(AK354)</f>
        <v/>
      </c>
      <c r="AK354" s="267">
        <f>IFERROR(__xludf.DUMMYFUNCTION("""COMPUTED_VALUE"""),43446.9986111111)</f>
        <v/>
      </c>
      <c r="AL354" s="6">
        <f>IFERROR(__xludf.DUMMYFUNCTION("""COMPUTED_VALUE"""),3472.654)</f>
        <v/>
      </c>
      <c r="AP354" s="6">
        <f>AQ354&amp;AR354</f>
        <v/>
      </c>
      <c r="AQ354" s="6">
        <f>YEAR(AS354)</f>
        <v/>
      </c>
      <c r="AR354" s="6">
        <f>MONTH(AS354)</f>
        <v/>
      </c>
      <c r="AS354" s="267">
        <f>IFERROR(__xludf.DUMMYFUNCTION("""COMPUTED_VALUE"""),43614.9986111111)</f>
        <v/>
      </c>
      <c r="AT354" s="6">
        <f>IFERROR(__xludf.DUMMYFUNCTION("""COMPUTED_VALUE"""),1286.3)</f>
        <v/>
      </c>
    </row>
    <row r="355">
      <c r="B355" s="6">
        <f>C355&amp;D355</f>
        <v/>
      </c>
      <c r="C355" s="6">
        <f>YEAR(E355)</f>
        <v/>
      </c>
      <c r="D355" s="6">
        <f>MONTH(E355)</f>
        <v/>
      </c>
      <c r="E355" s="267">
        <f>IFERROR(__xludf.DUMMYFUNCTION("""COMPUTED_VALUE"""),43606.6666666666)</f>
        <v/>
      </c>
      <c r="F355" s="6">
        <f>IFERROR(__xludf.DUMMYFUNCTION("""COMPUTED_VALUE"""),2864.36)</f>
        <v/>
      </c>
      <c r="J355" s="6">
        <f>K355&amp;L355</f>
        <v/>
      </c>
      <c r="K355" s="6">
        <f>YEAR(M355)</f>
        <v/>
      </c>
      <c r="L355" s="6">
        <f>MONTH(M355)</f>
        <v/>
      </c>
      <c r="M355" s="267">
        <f>IFERROR(__xludf.DUMMYFUNCTION("""COMPUTED_VALUE"""),43606.6666666666)</f>
        <v/>
      </c>
      <c r="N355" s="6">
        <f>IFERROR(__xludf.DUMMYFUNCTION("""COMPUTED_VALUE"""),7785.72)</f>
        <v/>
      </c>
      <c r="R355" s="6">
        <f>S355&amp;T355</f>
        <v/>
      </c>
      <c r="S355" s="6">
        <f>YEAR(U355)</f>
        <v/>
      </c>
      <c r="T355" s="6">
        <f>MONTH(U355)</f>
        <v/>
      </c>
      <c r="U355" s="267">
        <f>IFERROR(__xludf.DUMMYFUNCTION("""COMPUTED_VALUE"""),43630.6458333333)</f>
        <v/>
      </c>
      <c r="V355" s="6">
        <f>IFERROR(__xludf.DUMMYFUNCTION("""COMPUTED_VALUE"""),2095.41)</f>
        <v/>
      </c>
      <c r="Z355" s="6">
        <f>AA355&amp;AB355</f>
        <v/>
      </c>
      <c r="AA355" s="6">
        <f>YEAR(AC355)</f>
        <v/>
      </c>
      <c r="AB355" s="6">
        <f>MONTH(AC355)</f>
        <v/>
      </c>
      <c r="AC355" s="267">
        <f>IFERROR(__xludf.DUMMYFUNCTION("""COMPUTED_VALUE"""),43467.9986111111)</f>
        <v/>
      </c>
      <c r="AD355" s="6">
        <f>IFERROR(__xludf.DUMMYFUNCTION("""COMPUTED_VALUE"""),1122.18)</f>
        <v/>
      </c>
      <c r="AH355" s="6">
        <f>AI355&amp;AJ355</f>
        <v/>
      </c>
      <c r="AI355" s="6">
        <f>YEAR(AK355)</f>
        <v/>
      </c>
      <c r="AJ355" s="6">
        <f>MONTH(AK355)</f>
        <v/>
      </c>
      <c r="AK355" s="267">
        <f>IFERROR(__xludf.DUMMYFUNCTION("""COMPUTED_VALUE"""),43447.9986111111)</f>
        <v/>
      </c>
      <c r="AL355" s="6">
        <f>IFERROR(__xludf.DUMMYFUNCTION("""COMPUTED_VALUE"""),3313.618)</f>
        <v/>
      </c>
      <c r="AP355" s="6">
        <f>AQ355&amp;AR355</f>
        <v/>
      </c>
      <c r="AQ355" s="6">
        <f>YEAR(AS355)</f>
        <v/>
      </c>
      <c r="AR355" s="6">
        <f>MONTH(AS355)</f>
        <v/>
      </c>
      <c r="AS355" s="267">
        <f>IFERROR(__xludf.DUMMYFUNCTION("""COMPUTED_VALUE"""),43615.9986111111)</f>
        <v/>
      </c>
      <c r="AT355" s="6">
        <f>IFERROR(__xludf.DUMMYFUNCTION("""COMPUTED_VALUE"""),1292.4)</f>
        <v/>
      </c>
    </row>
    <row r="356">
      <c r="B356" s="6">
        <f>C356&amp;D356</f>
        <v/>
      </c>
      <c r="C356" s="6">
        <f>YEAR(E356)</f>
        <v/>
      </c>
      <c r="D356" s="6">
        <f>MONTH(E356)</f>
        <v/>
      </c>
      <c r="E356" s="267">
        <f>IFERROR(__xludf.DUMMYFUNCTION("""COMPUTED_VALUE"""),43607.6666666666)</f>
        <v/>
      </c>
      <c r="F356" s="6">
        <f>IFERROR(__xludf.DUMMYFUNCTION("""COMPUTED_VALUE"""),2856.27)</f>
        <v/>
      </c>
      <c r="J356" s="6">
        <f>K356&amp;L356</f>
        <v/>
      </c>
      <c r="K356" s="6">
        <f>YEAR(M356)</f>
        <v/>
      </c>
      <c r="L356" s="6">
        <f>MONTH(M356)</f>
        <v/>
      </c>
      <c r="M356" s="267">
        <f>IFERROR(__xludf.DUMMYFUNCTION("""COMPUTED_VALUE"""),43607.6666666666)</f>
        <v/>
      </c>
      <c r="N356" s="6">
        <f>IFERROR(__xludf.DUMMYFUNCTION("""COMPUTED_VALUE"""),7750.84)</f>
        <v/>
      </c>
      <c r="R356" s="6">
        <f>S356&amp;T356</f>
        <v/>
      </c>
      <c r="S356" s="6">
        <f>YEAR(U356)</f>
        <v/>
      </c>
      <c r="T356" s="6">
        <f>MONTH(U356)</f>
        <v/>
      </c>
      <c r="U356" s="267">
        <f>IFERROR(__xludf.DUMMYFUNCTION("""COMPUTED_VALUE"""),43633.6458333333)</f>
        <v/>
      </c>
      <c r="V356" s="6">
        <f>IFERROR(__xludf.DUMMYFUNCTION("""COMPUTED_VALUE"""),2090.73)</f>
        <v/>
      </c>
      <c r="Z356" s="6">
        <f>AA356&amp;AB356</f>
        <v/>
      </c>
      <c r="AA356" s="6">
        <f>YEAR(AC356)</f>
        <v/>
      </c>
      <c r="AB356" s="6">
        <f>MONTH(AC356)</f>
        <v/>
      </c>
      <c r="AC356" s="267">
        <f>IFERROR(__xludf.DUMMYFUNCTION("""COMPUTED_VALUE"""),43468.9986111111)</f>
        <v/>
      </c>
      <c r="AD356" s="6">
        <f>IFERROR(__xludf.DUMMYFUNCTION("""COMPUTED_VALUE"""),1124.12)</f>
        <v/>
      </c>
      <c r="AH356" s="6">
        <f>AI356&amp;AJ356</f>
        <v/>
      </c>
      <c r="AI356" s="6">
        <f>YEAR(AK356)</f>
        <v/>
      </c>
      <c r="AJ356" s="6">
        <f>MONTH(AK356)</f>
        <v/>
      </c>
      <c r="AK356" s="267">
        <f>IFERROR(__xludf.DUMMYFUNCTION("""COMPUTED_VALUE"""),43448.9986111111)</f>
        <v/>
      </c>
      <c r="AL356" s="6">
        <f>IFERROR(__xludf.DUMMYFUNCTION("""COMPUTED_VALUE"""),3253.172)</f>
        <v/>
      </c>
      <c r="AP356" s="6">
        <f>AQ356&amp;AR356</f>
        <v/>
      </c>
      <c r="AQ356" s="6">
        <f>YEAR(AS356)</f>
        <v/>
      </c>
      <c r="AR356" s="6">
        <f>MONTH(AS356)</f>
        <v/>
      </c>
      <c r="AS356" s="267">
        <f>IFERROR(__xludf.DUMMYFUNCTION("""COMPUTED_VALUE"""),43616.9986111111)</f>
        <v/>
      </c>
      <c r="AT356" s="6">
        <f>IFERROR(__xludf.DUMMYFUNCTION("""COMPUTED_VALUE"""),1311.1)</f>
        <v/>
      </c>
    </row>
    <row r="357">
      <c r="B357" s="6">
        <f>C357&amp;D357</f>
        <v/>
      </c>
      <c r="C357" s="6">
        <f>YEAR(E357)</f>
        <v/>
      </c>
      <c r="D357" s="6">
        <f>MONTH(E357)</f>
        <v/>
      </c>
      <c r="E357" s="267">
        <f>IFERROR(__xludf.DUMMYFUNCTION("""COMPUTED_VALUE"""),43608.6666666666)</f>
        <v/>
      </c>
      <c r="F357" s="6">
        <f>IFERROR(__xludf.DUMMYFUNCTION("""COMPUTED_VALUE"""),2822.24)</f>
        <v/>
      </c>
      <c r="J357" s="6">
        <f>K357&amp;L357</f>
        <v/>
      </c>
      <c r="K357" s="6">
        <f>YEAR(M357)</f>
        <v/>
      </c>
      <c r="L357" s="6">
        <f>MONTH(M357)</f>
        <v/>
      </c>
      <c r="M357" s="267">
        <f>IFERROR(__xludf.DUMMYFUNCTION("""COMPUTED_VALUE"""),43608.6666666666)</f>
        <v/>
      </c>
      <c r="N357" s="6">
        <f>IFERROR(__xludf.DUMMYFUNCTION("""COMPUTED_VALUE"""),7628.28)</f>
        <v/>
      </c>
      <c r="R357" s="6">
        <f>S357&amp;T357</f>
        <v/>
      </c>
      <c r="S357" s="6">
        <f>YEAR(U357)</f>
        <v/>
      </c>
      <c r="T357" s="6">
        <f>MONTH(U357)</f>
        <v/>
      </c>
      <c r="U357" s="267">
        <f>IFERROR(__xludf.DUMMYFUNCTION("""COMPUTED_VALUE"""),43634.6458333333)</f>
        <v/>
      </c>
      <c r="V357" s="6">
        <f>IFERROR(__xludf.DUMMYFUNCTION("""COMPUTED_VALUE"""),2098.71)</f>
        <v/>
      </c>
      <c r="Z357" s="6">
        <f>AA357&amp;AB357</f>
        <v/>
      </c>
      <c r="AA357" s="6">
        <f>YEAR(AC357)</f>
        <v/>
      </c>
      <c r="AB357" s="6">
        <f>MONTH(AC357)</f>
        <v/>
      </c>
      <c r="AC357" s="267">
        <f>IFERROR(__xludf.DUMMYFUNCTION("""COMPUTED_VALUE"""),43469.9986111111)</f>
        <v/>
      </c>
      <c r="AD357" s="6">
        <f>IFERROR(__xludf.DUMMYFUNCTION("""COMPUTED_VALUE"""),1116.42)</f>
        <v/>
      </c>
      <c r="AH357" s="6">
        <f>AI357&amp;AJ357</f>
        <v/>
      </c>
      <c r="AI357" s="6">
        <f>YEAR(AK357)</f>
        <v/>
      </c>
      <c r="AJ357" s="6">
        <f>MONTH(AK357)</f>
        <v/>
      </c>
      <c r="AK357" s="267">
        <f>IFERROR(__xludf.DUMMYFUNCTION("""COMPUTED_VALUE"""),43449.9986111111)</f>
        <v/>
      </c>
      <c r="AL357" s="6">
        <f>IFERROR(__xludf.DUMMYFUNCTION("""COMPUTED_VALUE"""),3223.352)</f>
        <v/>
      </c>
      <c r="AP357" s="6">
        <f>AQ357&amp;AR357</f>
        <v/>
      </c>
      <c r="AQ357" s="6">
        <f>YEAR(AS357)</f>
        <v/>
      </c>
      <c r="AR357" s="6">
        <f>MONTH(AS357)</f>
        <v/>
      </c>
      <c r="AS357" s="267">
        <f>IFERROR(__xludf.DUMMYFUNCTION("""COMPUTED_VALUE"""),43619.9986111111)</f>
        <v/>
      </c>
      <c r="AT357" s="6">
        <f>IFERROR(__xludf.DUMMYFUNCTION("""COMPUTED_VALUE"""),1327.9)</f>
        <v/>
      </c>
    </row>
    <row r="358">
      <c r="B358" s="6">
        <f>C358&amp;D358</f>
        <v/>
      </c>
      <c r="C358" s="6">
        <f>YEAR(E358)</f>
        <v/>
      </c>
      <c r="D358" s="6">
        <f>MONTH(E358)</f>
        <v/>
      </c>
      <c r="E358" s="267">
        <f>IFERROR(__xludf.DUMMYFUNCTION("""COMPUTED_VALUE"""),43609.6666666666)</f>
        <v/>
      </c>
      <c r="F358" s="6">
        <f>IFERROR(__xludf.DUMMYFUNCTION("""COMPUTED_VALUE"""),2826.06)</f>
        <v/>
      </c>
      <c r="J358" s="6">
        <f>K358&amp;L358</f>
        <v/>
      </c>
      <c r="K358" s="6">
        <f>YEAR(M358)</f>
        <v/>
      </c>
      <c r="L358" s="6">
        <f>MONTH(M358)</f>
        <v/>
      </c>
      <c r="M358" s="267">
        <f>IFERROR(__xludf.DUMMYFUNCTION("""COMPUTED_VALUE"""),43609.6666666666)</f>
        <v/>
      </c>
      <c r="N358" s="6">
        <f>IFERROR(__xludf.DUMMYFUNCTION("""COMPUTED_VALUE"""),7637.01)</f>
        <v/>
      </c>
      <c r="R358" s="6">
        <f>S358&amp;T358</f>
        <v/>
      </c>
      <c r="S358" s="6">
        <f>YEAR(U358)</f>
        <v/>
      </c>
      <c r="T358" s="6">
        <f>MONTH(U358)</f>
        <v/>
      </c>
      <c r="U358" s="267">
        <f>IFERROR(__xludf.DUMMYFUNCTION("""COMPUTED_VALUE"""),43635.6458333333)</f>
        <v/>
      </c>
      <c r="V358" s="6">
        <f>IFERROR(__xludf.DUMMYFUNCTION("""COMPUTED_VALUE"""),2124.78)</f>
        <v/>
      </c>
      <c r="Z358" s="6">
        <f>AA358&amp;AB358</f>
        <v/>
      </c>
      <c r="AA358" s="6">
        <f>YEAR(AC358)</f>
        <v/>
      </c>
      <c r="AB358" s="6">
        <f>MONTH(AC358)</f>
        <v/>
      </c>
      <c r="AC358" s="267">
        <f>IFERROR(__xludf.DUMMYFUNCTION("""COMPUTED_VALUE"""),43470.9986111111)</f>
        <v/>
      </c>
      <c r="AD358" s="6">
        <f>IFERROR(__xludf.DUMMYFUNCTION("""COMPUTED_VALUE"""),1115.85)</f>
        <v/>
      </c>
      <c r="AH358" s="6">
        <f>AI358&amp;AJ358</f>
        <v/>
      </c>
      <c r="AI358" s="6">
        <f>YEAR(AK358)</f>
        <v/>
      </c>
      <c r="AJ358" s="6">
        <f>MONTH(AK358)</f>
        <v/>
      </c>
      <c r="AK358" s="267">
        <f>IFERROR(__xludf.DUMMYFUNCTION("""COMPUTED_VALUE"""),43450.9986111111)</f>
        <v/>
      </c>
      <c r="AL358" s="6">
        <f>IFERROR(__xludf.DUMMYFUNCTION("""COMPUTED_VALUE"""),3225.617)</f>
        <v/>
      </c>
      <c r="AP358" s="6">
        <f>AQ358&amp;AR358</f>
        <v/>
      </c>
      <c r="AQ358" s="6">
        <f>YEAR(AS358)</f>
        <v/>
      </c>
      <c r="AR358" s="6">
        <f>MONTH(AS358)</f>
        <v/>
      </c>
      <c r="AS358" s="267">
        <f>IFERROR(__xludf.DUMMYFUNCTION("""COMPUTED_VALUE"""),43620.9986111111)</f>
        <v/>
      </c>
      <c r="AT358" s="6">
        <f>IFERROR(__xludf.DUMMYFUNCTION("""COMPUTED_VALUE"""),1328.7)</f>
        <v/>
      </c>
    </row>
    <row r="359">
      <c r="B359" s="6">
        <f>C359&amp;D359</f>
        <v/>
      </c>
      <c r="C359" s="6">
        <f>YEAR(E359)</f>
        <v/>
      </c>
      <c r="D359" s="6">
        <f>MONTH(E359)</f>
        <v/>
      </c>
      <c r="E359" s="267">
        <f>IFERROR(__xludf.DUMMYFUNCTION("""COMPUTED_VALUE"""),43613.6666666666)</f>
        <v/>
      </c>
      <c r="F359" s="6">
        <f>IFERROR(__xludf.DUMMYFUNCTION("""COMPUTED_VALUE"""),2802.39)</f>
        <v/>
      </c>
      <c r="J359" s="6">
        <f>K359&amp;L359</f>
        <v/>
      </c>
      <c r="K359" s="6">
        <f>YEAR(M359)</f>
        <v/>
      </c>
      <c r="L359" s="6">
        <f>MONTH(M359)</f>
        <v/>
      </c>
      <c r="M359" s="267">
        <f>IFERROR(__xludf.DUMMYFUNCTION("""COMPUTED_VALUE"""),43613.6666666666)</f>
        <v/>
      </c>
      <c r="N359" s="6">
        <f>IFERROR(__xludf.DUMMYFUNCTION("""COMPUTED_VALUE"""),7607.35)</f>
        <v/>
      </c>
      <c r="R359" s="6">
        <f>S359&amp;T359</f>
        <v/>
      </c>
      <c r="S359" s="6">
        <f>YEAR(U359)</f>
        <v/>
      </c>
      <c r="T359" s="6">
        <f>MONTH(U359)</f>
        <v/>
      </c>
      <c r="U359" s="267">
        <f>IFERROR(__xludf.DUMMYFUNCTION("""COMPUTED_VALUE"""),43636.6458333333)</f>
        <v/>
      </c>
      <c r="V359" s="6">
        <f>IFERROR(__xludf.DUMMYFUNCTION("""COMPUTED_VALUE"""),2131.29)</f>
        <v/>
      </c>
      <c r="Z359" s="6">
        <f>AA359&amp;AB359</f>
        <v/>
      </c>
      <c r="AA359" s="6">
        <f>YEAR(AC359)</f>
        <v/>
      </c>
      <c r="AB359" s="6">
        <f>MONTH(AC359)</f>
        <v/>
      </c>
      <c r="AC359" s="267">
        <f>IFERROR(__xludf.DUMMYFUNCTION("""COMPUTED_VALUE"""),43471.9986111111)</f>
        <v/>
      </c>
      <c r="AD359" s="6">
        <f>IFERROR(__xludf.DUMMYFUNCTION("""COMPUTED_VALUE"""),1114.4)</f>
        <v/>
      </c>
      <c r="AH359" s="6">
        <f>AI359&amp;AJ359</f>
        <v/>
      </c>
      <c r="AI359" s="6">
        <f>YEAR(AK359)</f>
        <v/>
      </c>
      <c r="AJ359" s="6">
        <f>MONTH(AK359)</f>
        <v/>
      </c>
      <c r="AK359" s="267">
        <f>IFERROR(__xludf.DUMMYFUNCTION("""COMPUTED_VALUE"""),43451.9986111111)</f>
        <v/>
      </c>
      <c r="AL359" s="6">
        <f>IFERROR(__xludf.DUMMYFUNCTION("""COMPUTED_VALUE"""),3534.36)</f>
        <v/>
      </c>
      <c r="AP359" s="6">
        <f>AQ359&amp;AR359</f>
        <v/>
      </c>
      <c r="AQ359" s="6">
        <f>YEAR(AS359)</f>
        <v/>
      </c>
      <c r="AR359" s="6">
        <f>MONTH(AS359)</f>
        <v/>
      </c>
      <c r="AS359" s="267">
        <f>IFERROR(__xludf.DUMMYFUNCTION("""COMPUTED_VALUE"""),43621.9986111111)</f>
        <v/>
      </c>
      <c r="AT359" s="6">
        <f>IFERROR(__xludf.DUMMYFUNCTION("""COMPUTED_VALUE"""),1333.6)</f>
        <v/>
      </c>
    </row>
    <row r="360">
      <c r="B360" s="6">
        <f>C360&amp;D360</f>
        <v/>
      </c>
      <c r="C360" s="6">
        <f>YEAR(E360)</f>
        <v/>
      </c>
      <c r="D360" s="6">
        <f>MONTH(E360)</f>
        <v/>
      </c>
      <c r="E360" s="267">
        <f>IFERROR(__xludf.DUMMYFUNCTION("""COMPUTED_VALUE"""),43614.6666666666)</f>
        <v/>
      </c>
      <c r="F360" s="6">
        <f>IFERROR(__xludf.DUMMYFUNCTION("""COMPUTED_VALUE"""),2783.02)</f>
        <v/>
      </c>
      <c r="J360" s="6">
        <f>K360&amp;L360</f>
        <v/>
      </c>
      <c r="K360" s="6">
        <f>YEAR(M360)</f>
        <v/>
      </c>
      <c r="L360" s="6">
        <f>MONTH(M360)</f>
        <v/>
      </c>
      <c r="M360" s="267">
        <f>IFERROR(__xludf.DUMMYFUNCTION("""COMPUTED_VALUE"""),43614.6666666666)</f>
        <v/>
      </c>
      <c r="N360" s="6">
        <f>IFERROR(__xludf.DUMMYFUNCTION("""COMPUTED_VALUE"""),7547.31)</f>
        <v/>
      </c>
      <c r="R360" s="6">
        <f>S360&amp;T360</f>
        <v/>
      </c>
      <c r="S360" s="6">
        <f>YEAR(U360)</f>
        <v/>
      </c>
      <c r="T360" s="6">
        <f>MONTH(U360)</f>
        <v/>
      </c>
      <c r="U360" s="267">
        <f>IFERROR(__xludf.DUMMYFUNCTION("""COMPUTED_VALUE"""),43637.6458333333)</f>
        <v/>
      </c>
      <c r="V360" s="6">
        <f>IFERROR(__xludf.DUMMYFUNCTION("""COMPUTED_VALUE"""),2125.62)</f>
        <v/>
      </c>
      <c r="Z360" s="6">
        <f>AA360&amp;AB360</f>
        <v/>
      </c>
      <c r="AA360" s="6">
        <f>YEAR(AC360)</f>
        <v/>
      </c>
      <c r="AB360" s="6">
        <f>MONTH(AC360)</f>
        <v/>
      </c>
      <c r="AC360" s="267">
        <f>IFERROR(__xludf.DUMMYFUNCTION("""COMPUTED_VALUE"""),43472.9986111111)</f>
        <v/>
      </c>
      <c r="AD360" s="6">
        <f>IFERROR(__xludf.DUMMYFUNCTION("""COMPUTED_VALUE"""),1116.4)</f>
        <v/>
      </c>
      <c r="AH360" s="6">
        <f>AI360&amp;AJ360</f>
        <v/>
      </c>
      <c r="AI360" s="6">
        <f>YEAR(AK360)</f>
        <v/>
      </c>
      <c r="AJ360" s="6">
        <f>MONTH(AK360)</f>
        <v/>
      </c>
      <c r="AK360" s="267">
        <f>IFERROR(__xludf.DUMMYFUNCTION("""COMPUTED_VALUE"""),43452.9986111111)</f>
        <v/>
      </c>
      <c r="AL360" s="6">
        <f>IFERROR(__xludf.DUMMYFUNCTION("""COMPUTED_VALUE"""),3690.134)</f>
        <v/>
      </c>
      <c r="AP360" s="6">
        <f>AQ360&amp;AR360</f>
        <v/>
      </c>
      <c r="AQ360" s="6">
        <f>YEAR(AS360)</f>
        <v/>
      </c>
      <c r="AR360" s="6">
        <f>MONTH(AS360)</f>
        <v/>
      </c>
      <c r="AS360" s="267">
        <f>IFERROR(__xludf.DUMMYFUNCTION("""COMPUTED_VALUE"""),43622.9986111111)</f>
        <v/>
      </c>
      <c r="AT360" s="6">
        <f>IFERROR(__xludf.DUMMYFUNCTION("""COMPUTED_VALUE"""),1342.7)</f>
        <v/>
      </c>
    </row>
    <row r="361">
      <c r="B361" s="6">
        <f>C361&amp;D361</f>
        <v/>
      </c>
      <c r="C361" s="6">
        <f>YEAR(E361)</f>
        <v/>
      </c>
      <c r="D361" s="6">
        <f>MONTH(E361)</f>
        <v/>
      </c>
      <c r="E361" s="267">
        <f>IFERROR(__xludf.DUMMYFUNCTION("""COMPUTED_VALUE"""),43615.6666666666)</f>
        <v/>
      </c>
      <c r="F361" s="6">
        <f>IFERROR(__xludf.DUMMYFUNCTION("""COMPUTED_VALUE"""),2788.86)</f>
        <v/>
      </c>
      <c r="J361" s="6">
        <f>K361&amp;L361</f>
        <v/>
      </c>
      <c r="K361" s="6">
        <f>YEAR(M361)</f>
        <v/>
      </c>
      <c r="L361" s="6">
        <f>MONTH(M361)</f>
        <v/>
      </c>
      <c r="M361" s="267">
        <f>IFERROR(__xludf.DUMMYFUNCTION("""COMPUTED_VALUE"""),43615.6666666666)</f>
        <v/>
      </c>
      <c r="N361" s="6">
        <f>IFERROR(__xludf.DUMMYFUNCTION("""COMPUTED_VALUE"""),7567.72)</f>
        <v/>
      </c>
      <c r="R361" s="6">
        <f>S361&amp;T361</f>
        <v/>
      </c>
      <c r="S361" s="6">
        <f>YEAR(U361)</f>
        <v/>
      </c>
      <c r="T361" s="6">
        <f>MONTH(U361)</f>
        <v/>
      </c>
      <c r="U361" s="267">
        <f>IFERROR(__xludf.DUMMYFUNCTION("""COMPUTED_VALUE"""),43640.6458333333)</f>
        <v/>
      </c>
      <c r="V361" s="6">
        <f>IFERROR(__xludf.DUMMYFUNCTION("""COMPUTED_VALUE"""),2126.33)</f>
        <v/>
      </c>
      <c r="Z361" s="6">
        <f>AA361&amp;AB361</f>
        <v/>
      </c>
      <c r="AA361" s="6">
        <f>YEAR(AC361)</f>
        <v/>
      </c>
      <c r="AB361" s="6">
        <f>MONTH(AC361)</f>
        <v/>
      </c>
      <c r="AC361" s="267">
        <f>IFERROR(__xludf.DUMMYFUNCTION("""COMPUTED_VALUE"""),43473.9986111111)</f>
        <v/>
      </c>
      <c r="AD361" s="6">
        <f>IFERROR(__xludf.DUMMYFUNCTION("""COMPUTED_VALUE"""),1121.05)</f>
        <v/>
      </c>
      <c r="AH361" s="6">
        <f>AI361&amp;AJ361</f>
        <v/>
      </c>
      <c r="AI361" s="6">
        <f>YEAR(AK361)</f>
        <v/>
      </c>
      <c r="AJ361" s="6">
        <f>MONTH(AK361)</f>
        <v/>
      </c>
      <c r="AK361" s="267">
        <f>IFERROR(__xludf.DUMMYFUNCTION("""COMPUTED_VALUE"""),43453.9986111111)</f>
        <v/>
      </c>
      <c r="AL361" s="6">
        <f>IFERROR(__xludf.DUMMYFUNCTION("""COMPUTED_VALUE"""),3723.869)</f>
        <v/>
      </c>
      <c r="AP361" s="6">
        <f>AQ361&amp;AR361</f>
        <v/>
      </c>
      <c r="AQ361" s="6">
        <f>YEAR(AS361)</f>
        <v/>
      </c>
      <c r="AR361" s="6">
        <f>MONTH(AS361)</f>
        <v/>
      </c>
      <c r="AS361" s="267">
        <f>IFERROR(__xludf.DUMMYFUNCTION("""COMPUTED_VALUE"""),43623.9986111111)</f>
        <v/>
      </c>
      <c r="AT361" s="6">
        <f>IFERROR(__xludf.DUMMYFUNCTION("""COMPUTED_VALUE"""),1346.1)</f>
        <v/>
      </c>
    </row>
    <row r="362">
      <c r="B362" s="6">
        <f>C362&amp;D362</f>
        <v/>
      </c>
      <c r="C362" s="6">
        <f>YEAR(E362)</f>
        <v/>
      </c>
      <c r="D362" s="6">
        <f>MONTH(E362)</f>
        <v/>
      </c>
      <c r="E362" s="267">
        <f>IFERROR(__xludf.DUMMYFUNCTION("""COMPUTED_VALUE"""),43616.6666666666)</f>
        <v/>
      </c>
      <c r="F362" s="6">
        <f>IFERROR(__xludf.DUMMYFUNCTION("""COMPUTED_VALUE"""),2752.06)</f>
        <v/>
      </c>
      <c r="J362" s="6">
        <f>K362&amp;L362</f>
        <v/>
      </c>
      <c r="K362" s="6">
        <f>YEAR(M362)</f>
        <v/>
      </c>
      <c r="L362" s="6">
        <f>MONTH(M362)</f>
        <v/>
      </c>
      <c r="M362" s="267">
        <f>IFERROR(__xludf.DUMMYFUNCTION("""COMPUTED_VALUE"""),43616.6666666666)</f>
        <v/>
      </c>
      <c r="N362" s="6">
        <f>IFERROR(__xludf.DUMMYFUNCTION("""COMPUTED_VALUE"""),7453.15)</f>
        <v/>
      </c>
      <c r="R362" s="6">
        <f>S362&amp;T362</f>
        <v/>
      </c>
      <c r="S362" s="6">
        <f>YEAR(U362)</f>
        <v/>
      </c>
      <c r="T362" s="6">
        <f>MONTH(U362)</f>
        <v/>
      </c>
      <c r="U362" s="267">
        <f>IFERROR(__xludf.DUMMYFUNCTION("""COMPUTED_VALUE"""),43641.6458333333)</f>
        <v/>
      </c>
      <c r="V362" s="6">
        <f>IFERROR(__xludf.DUMMYFUNCTION("""COMPUTED_VALUE"""),2121.64)</f>
        <v/>
      </c>
      <c r="Z362" s="6">
        <f>AA362&amp;AB362</f>
        <v/>
      </c>
      <c r="AA362" s="6">
        <f>YEAR(AC362)</f>
        <v/>
      </c>
      <c r="AB362" s="6">
        <f>MONTH(AC362)</f>
        <v/>
      </c>
      <c r="AC362" s="267">
        <f>IFERROR(__xludf.DUMMYFUNCTION("""COMPUTED_VALUE"""),43474.9986111111)</f>
        <v/>
      </c>
      <c r="AD362" s="6">
        <f>IFERROR(__xludf.DUMMYFUNCTION("""COMPUTED_VALUE"""),1118.67)</f>
        <v/>
      </c>
      <c r="AH362" s="6">
        <f>AI362&amp;AJ362</f>
        <v/>
      </c>
      <c r="AI362" s="6">
        <f>YEAR(AK362)</f>
        <v/>
      </c>
      <c r="AJ362" s="6">
        <f>MONTH(AK362)</f>
        <v/>
      </c>
      <c r="AK362" s="267">
        <f>IFERROR(__xludf.DUMMYFUNCTION("""COMPUTED_VALUE"""),43454.9986111111)</f>
        <v/>
      </c>
      <c r="AL362" s="6">
        <f>IFERROR(__xludf.DUMMYFUNCTION("""COMPUTED_VALUE"""),4117.111)</f>
        <v/>
      </c>
      <c r="AP362" s="6">
        <f>AQ362&amp;AR362</f>
        <v/>
      </c>
      <c r="AQ362" s="6">
        <f>YEAR(AS362)</f>
        <v/>
      </c>
      <c r="AR362" s="6">
        <f>MONTH(AS362)</f>
        <v/>
      </c>
      <c r="AS362" s="267">
        <f>IFERROR(__xludf.DUMMYFUNCTION("""COMPUTED_VALUE"""),43626.9986111111)</f>
        <v/>
      </c>
      <c r="AT362" s="6">
        <f>IFERROR(__xludf.DUMMYFUNCTION("""COMPUTED_VALUE"""),1329.3)</f>
        <v/>
      </c>
    </row>
    <row r="363">
      <c r="B363" s="6">
        <f>C363&amp;D363</f>
        <v/>
      </c>
      <c r="C363" s="6">
        <f>YEAR(E363)</f>
        <v/>
      </c>
      <c r="D363" s="6">
        <f>MONTH(E363)</f>
        <v/>
      </c>
      <c r="E363" s="267">
        <f>IFERROR(__xludf.DUMMYFUNCTION("""COMPUTED_VALUE"""),43619.6666666666)</f>
        <v/>
      </c>
      <c r="F363" s="6">
        <f>IFERROR(__xludf.DUMMYFUNCTION("""COMPUTED_VALUE"""),2744.45)</f>
        <v/>
      </c>
      <c r="J363" s="6">
        <f>K363&amp;L363</f>
        <v/>
      </c>
      <c r="K363" s="6">
        <f>YEAR(M363)</f>
        <v/>
      </c>
      <c r="L363" s="6">
        <f>MONTH(M363)</f>
        <v/>
      </c>
      <c r="M363" s="267">
        <f>IFERROR(__xludf.DUMMYFUNCTION("""COMPUTED_VALUE"""),43619.6666666666)</f>
        <v/>
      </c>
      <c r="N363" s="6">
        <f>IFERROR(__xludf.DUMMYFUNCTION("""COMPUTED_VALUE"""),7333.02)</f>
        <v/>
      </c>
      <c r="R363" s="6">
        <f>S363&amp;T363</f>
        <v/>
      </c>
      <c r="S363" s="6">
        <f>YEAR(U363)</f>
        <v/>
      </c>
      <c r="T363" s="6">
        <f>MONTH(U363)</f>
        <v/>
      </c>
      <c r="U363" s="267">
        <f>IFERROR(__xludf.DUMMYFUNCTION("""COMPUTED_VALUE"""),43642.6458333333)</f>
        <v/>
      </c>
      <c r="V363" s="6">
        <f>IFERROR(__xludf.DUMMYFUNCTION("""COMPUTED_VALUE"""),2121.85)</f>
        <v/>
      </c>
      <c r="Z363" s="6">
        <f>AA363&amp;AB363</f>
        <v/>
      </c>
      <c r="AA363" s="6">
        <f>YEAR(AC363)</f>
        <v/>
      </c>
      <c r="AB363" s="6">
        <f>MONTH(AC363)</f>
        <v/>
      </c>
      <c r="AC363" s="267">
        <f>IFERROR(__xludf.DUMMYFUNCTION("""COMPUTED_VALUE"""),43475.9986111111)</f>
        <v/>
      </c>
      <c r="AD363" s="6">
        <f>IFERROR(__xludf.DUMMYFUNCTION("""COMPUTED_VALUE"""),1116.55)</f>
        <v/>
      </c>
      <c r="AH363" s="6">
        <f>AI363&amp;AJ363</f>
        <v/>
      </c>
      <c r="AI363" s="6">
        <f>YEAR(AK363)</f>
        <v/>
      </c>
      <c r="AJ363" s="6">
        <f>MONTH(AK363)</f>
        <v/>
      </c>
      <c r="AK363" s="267">
        <f>IFERROR(__xludf.DUMMYFUNCTION("""COMPUTED_VALUE"""),43455.9986111111)</f>
        <v/>
      </c>
      <c r="AL363" s="6">
        <f>IFERROR(__xludf.DUMMYFUNCTION("""COMPUTED_VALUE"""),3878.206)</f>
        <v/>
      </c>
      <c r="AP363" s="6">
        <f>AQ363&amp;AR363</f>
        <v/>
      </c>
      <c r="AQ363" s="6">
        <f>YEAR(AS363)</f>
        <v/>
      </c>
      <c r="AR363" s="6">
        <f>MONTH(AS363)</f>
        <v/>
      </c>
      <c r="AS363" s="267">
        <f>IFERROR(__xludf.DUMMYFUNCTION("""COMPUTED_VALUE"""),43627.9986111111)</f>
        <v/>
      </c>
      <c r="AT363" s="6">
        <f>IFERROR(__xludf.DUMMYFUNCTION("""COMPUTED_VALUE"""),1331.2)</f>
        <v/>
      </c>
    </row>
    <row r="364">
      <c r="B364" s="6">
        <f>C364&amp;D364</f>
        <v/>
      </c>
      <c r="C364" s="6">
        <f>YEAR(E364)</f>
        <v/>
      </c>
      <c r="D364" s="6">
        <f>MONTH(E364)</f>
        <v/>
      </c>
      <c r="E364" s="267">
        <f>IFERROR(__xludf.DUMMYFUNCTION("""COMPUTED_VALUE"""),43620.6666666666)</f>
        <v/>
      </c>
      <c r="F364" s="6">
        <f>IFERROR(__xludf.DUMMYFUNCTION("""COMPUTED_VALUE"""),2803.27)</f>
        <v/>
      </c>
      <c r="J364" s="6">
        <f>K364&amp;L364</f>
        <v/>
      </c>
      <c r="K364" s="6">
        <f>YEAR(M364)</f>
        <v/>
      </c>
      <c r="L364" s="6">
        <f>MONTH(M364)</f>
        <v/>
      </c>
      <c r="M364" s="267">
        <f>IFERROR(__xludf.DUMMYFUNCTION("""COMPUTED_VALUE"""),43620.6666666666)</f>
        <v/>
      </c>
      <c r="N364" s="6">
        <f>IFERROR(__xludf.DUMMYFUNCTION("""COMPUTED_VALUE"""),7527.12)</f>
        <v/>
      </c>
      <c r="R364" s="6">
        <f>S364&amp;T364</f>
        <v/>
      </c>
      <c r="S364" s="6">
        <f>YEAR(U364)</f>
        <v/>
      </c>
      <c r="T364" s="6">
        <f>MONTH(U364)</f>
        <v/>
      </c>
      <c r="U364" s="267">
        <f>IFERROR(__xludf.DUMMYFUNCTION("""COMPUTED_VALUE"""),43643.6458333333)</f>
        <v/>
      </c>
      <c r="V364" s="6">
        <f>IFERROR(__xludf.DUMMYFUNCTION("""COMPUTED_VALUE"""),2134.32)</f>
        <v/>
      </c>
      <c r="Z364" s="6">
        <f>AA364&amp;AB364</f>
        <v/>
      </c>
      <c r="AA364" s="6">
        <f>YEAR(AC364)</f>
        <v/>
      </c>
      <c r="AB364" s="6">
        <f>MONTH(AC364)</f>
        <v/>
      </c>
      <c r="AC364" s="267">
        <f>IFERROR(__xludf.DUMMYFUNCTION("""COMPUTED_VALUE"""),43476.9986111111)</f>
        <v/>
      </c>
      <c r="AD364" s="6">
        <f>IFERROR(__xludf.DUMMYFUNCTION("""COMPUTED_VALUE"""),1117.46)</f>
        <v/>
      </c>
      <c r="AH364" s="6">
        <f>AI364&amp;AJ364</f>
        <v/>
      </c>
      <c r="AI364" s="6">
        <f>YEAR(AK364)</f>
        <v/>
      </c>
      <c r="AJ364" s="6">
        <f>MONTH(AK364)</f>
        <v/>
      </c>
      <c r="AK364" s="267">
        <f>IFERROR(__xludf.DUMMYFUNCTION("""COMPUTED_VALUE"""),43456.9986111111)</f>
        <v/>
      </c>
      <c r="AL364" s="6">
        <f>IFERROR(__xludf.DUMMYFUNCTION("""COMPUTED_VALUE"""),4013.565)</f>
        <v/>
      </c>
      <c r="AP364" s="6">
        <f>AQ364&amp;AR364</f>
        <v/>
      </c>
      <c r="AQ364" s="6">
        <f>YEAR(AS364)</f>
        <v/>
      </c>
      <c r="AR364" s="6">
        <f>MONTH(AS364)</f>
        <v/>
      </c>
      <c r="AS364" s="267">
        <f>IFERROR(__xludf.DUMMYFUNCTION("""COMPUTED_VALUE"""),43628.9986111111)</f>
        <v/>
      </c>
      <c r="AT364" s="6">
        <f>IFERROR(__xludf.DUMMYFUNCTION("""COMPUTED_VALUE"""),1336.8)</f>
        <v/>
      </c>
    </row>
    <row r="365">
      <c r="B365" s="6">
        <f>C365&amp;D365</f>
        <v/>
      </c>
      <c r="C365" s="6">
        <f>YEAR(E365)</f>
        <v/>
      </c>
      <c r="D365" s="6">
        <f>MONTH(E365)</f>
        <v/>
      </c>
      <c r="E365" s="267">
        <f>IFERROR(__xludf.DUMMYFUNCTION("""COMPUTED_VALUE"""),43621.6666666666)</f>
        <v/>
      </c>
      <c r="F365" s="6">
        <f>IFERROR(__xludf.DUMMYFUNCTION("""COMPUTED_VALUE"""),2826.15)</f>
        <v/>
      </c>
      <c r="J365" s="6">
        <f>K365&amp;L365</f>
        <v/>
      </c>
      <c r="K365" s="6">
        <f>YEAR(M365)</f>
        <v/>
      </c>
      <c r="L365" s="6">
        <f>MONTH(M365)</f>
        <v/>
      </c>
      <c r="M365" s="267">
        <f>IFERROR(__xludf.DUMMYFUNCTION("""COMPUTED_VALUE"""),43621.6666666666)</f>
        <v/>
      </c>
      <c r="N365" s="6">
        <f>IFERROR(__xludf.DUMMYFUNCTION("""COMPUTED_VALUE"""),7575.48)</f>
        <v/>
      </c>
      <c r="R365" s="6">
        <f>S365&amp;T365</f>
        <v/>
      </c>
      <c r="S365" s="6">
        <f>YEAR(U365)</f>
        <v/>
      </c>
      <c r="T365" s="6">
        <f>MONTH(U365)</f>
        <v/>
      </c>
      <c r="U365" s="267">
        <f>IFERROR(__xludf.DUMMYFUNCTION("""COMPUTED_VALUE"""),43644.6458333333)</f>
        <v/>
      </c>
      <c r="V365" s="6">
        <f>IFERROR(__xludf.DUMMYFUNCTION("""COMPUTED_VALUE"""),2130.62)</f>
        <v/>
      </c>
      <c r="Z365" s="6">
        <f>AA365&amp;AB365</f>
        <v/>
      </c>
      <c r="AA365" s="6">
        <f>YEAR(AC365)</f>
        <v/>
      </c>
      <c r="AB365" s="6">
        <f>MONTH(AC365)</f>
        <v/>
      </c>
      <c r="AC365" s="267">
        <f>IFERROR(__xludf.DUMMYFUNCTION("""COMPUTED_VALUE"""),43477.9986111111)</f>
        <v/>
      </c>
      <c r="AD365" s="6">
        <f>IFERROR(__xludf.DUMMYFUNCTION("""COMPUTED_VALUE"""),1117.46)</f>
        <v/>
      </c>
      <c r="AH365" s="6">
        <f>AI365&amp;AJ365</f>
        <v/>
      </c>
      <c r="AI365" s="6">
        <f>YEAR(AK365)</f>
        <v/>
      </c>
      <c r="AJ365" s="6">
        <f>MONTH(AK365)</f>
        <v/>
      </c>
      <c r="AK365" s="267">
        <f>IFERROR(__xludf.DUMMYFUNCTION("""COMPUTED_VALUE"""),43457.9986111111)</f>
        <v/>
      </c>
      <c r="AL365" s="6">
        <f>IFERROR(__xludf.DUMMYFUNCTION("""COMPUTED_VALUE"""),3986.246)</f>
        <v/>
      </c>
      <c r="AP365" s="6">
        <f>AQ365&amp;AR365</f>
        <v/>
      </c>
      <c r="AQ365" s="6">
        <f>YEAR(AS365)</f>
        <v/>
      </c>
      <c r="AR365" s="6">
        <f>MONTH(AS365)</f>
        <v/>
      </c>
      <c r="AS365" s="267">
        <f>IFERROR(__xludf.DUMMYFUNCTION("""COMPUTED_VALUE"""),43629.9986111111)</f>
        <v/>
      </c>
      <c r="AT365" s="6">
        <f>IFERROR(__xludf.DUMMYFUNCTION("""COMPUTED_VALUE"""),1343.7)</f>
        <v/>
      </c>
    </row>
    <row r="366">
      <c r="B366" s="6">
        <f>C366&amp;D366</f>
        <v/>
      </c>
      <c r="C366" s="6">
        <f>YEAR(E366)</f>
        <v/>
      </c>
      <c r="D366" s="6">
        <f>MONTH(E366)</f>
        <v/>
      </c>
      <c r="E366" s="267">
        <f>IFERROR(__xludf.DUMMYFUNCTION("""COMPUTED_VALUE"""),43622.6666666666)</f>
        <v/>
      </c>
      <c r="F366" s="6">
        <f>IFERROR(__xludf.DUMMYFUNCTION("""COMPUTED_VALUE"""),2843.49)</f>
        <v/>
      </c>
      <c r="J366" s="6">
        <f>K366&amp;L366</f>
        <v/>
      </c>
      <c r="K366" s="6">
        <f>YEAR(M366)</f>
        <v/>
      </c>
      <c r="L366" s="6">
        <f>MONTH(M366)</f>
        <v/>
      </c>
      <c r="M366" s="267">
        <f>IFERROR(__xludf.DUMMYFUNCTION("""COMPUTED_VALUE"""),43622.6666666666)</f>
        <v/>
      </c>
      <c r="N366" s="6">
        <f>IFERROR(__xludf.DUMMYFUNCTION("""COMPUTED_VALUE"""),7615.55)</f>
        <v/>
      </c>
      <c r="R366" s="6">
        <f>S366&amp;T366</f>
        <v/>
      </c>
      <c r="S366" s="6">
        <f>YEAR(U366)</f>
        <v/>
      </c>
      <c r="T366" s="6">
        <f>MONTH(U366)</f>
        <v/>
      </c>
      <c r="U366" s="267">
        <f>IFERROR(__xludf.DUMMYFUNCTION("""COMPUTED_VALUE"""),43647.6458333333)</f>
        <v/>
      </c>
      <c r="V366" s="6">
        <f>IFERROR(__xludf.DUMMYFUNCTION("""COMPUTED_VALUE"""),2129.74)</f>
        <v/>
      </c>
      <c r="Z366" s="6">
        <f>AA366&amp;AB366</f>
        <v/>
      </c>
      <c r="AA366" s="6">
        <f>YEAR(AC366)</f>
        <v/>
      </c>
      <c r="AB366" s="6">
        <f>MONTH(AC366)</f>
        <v/>
      </c>
      <c r="AC366" s="267">
        <f>IFERROR(__xludf.DUMMYFUNCTION("""COMPUTED_VALUE"""),43478.9986111111)</f>
        <v/>
      </c>
      <c r="AD366" s="6">
        <f>IFERROR(__xludf.DUMMYFUNCTION("""COMPUTED_VALUE"""),1118.6)</f>
        <v/>
      </c>
      <c r="AH366" s="6">
        <f>AI366&amp;AJ366</f>
        <v/>
      </c>
      <c r="AI366" s="6">
        <f>YEAR(AK366)</f>
        <v/>
      </c>
      <c r="AJ366" s="6">
        <f>MONTH(AK366)</f>
        <v/>
      </c>
      <c r="AK366" s="267">
        <f>IFERROR(__xludf.DUMMYFUNCTION("""COMPUTED_VALUE"""),43458.9986111111)</f>
        <v/>
      </c>
      <c r="AL366" s="6">
        <f>IFERROR(__xludf.DUMMYFUNCTION("""COMPUTED_VALUE"""),4052.492)</f>
        <v/>
      </c>
      <c r="AP366" s="6">
        <f>AQ366&amp;AR366</f>
        <v/>
      </c>
      <c r="AQ366" s="6">
        <f>YEAR(AS366)</f>
        <v/>
      </c>
      <c r="AR366" s="6">
        <f>MONTH(AS366)</f>
        <v/>
      </c>
      <c r="AS366" s="267">
        <f>IFERROR(__xludf.DUMMYFUNCTION("""COMPUTED_VALUE"""),43630.9986111111)</f>
        <v/>
      </c>
      <c r="AT366" s="6">
        <f>IFERROR(__xludf.DUMMYFUNCTION("""COMPUTED_VALUE"""),1344.5)</f>
        <v/>
      </c>
    </row>
    <row r="367">
      <c r="B367" s="6">
        <f>C367&amp;D367</f>
        <v/>
      </c>
      <c r="C367" s="6">
        <f>YEAR(E367)</f>
        <v/>
      </c>
      <c r="D367" s="6">
        <f>MONTH(E367)</f>
        <v/>
      </c>
      <c r="E367" s="267">
        <f>IFERROR(__xludf.DUMMYFUNCTION("""COMPUTED_VALUE"""),43623.6666666666)</f>
        <v/>
      </c>
      <c r="F367" s="6">
        <f>IFERROR(__xludf.DUMMYFUNCTION("""COMPUTED_VALUE"""),2873.34)</f>
        <v/>
      </c>
      <c r="J367" s="6">
        <f>K367&amp;L367</f>
        <v/>
      </c>
      <c r="K367" s="6">
        <f>YEAR(M367)</f>
        <v/>
      </c>
      <c r="L367" s="6">
        <f>MONTH(M367)</f>
        <v/>
      </c>
      <c r="M367" s="267">
        <f>IFERROR(__xludf.DUMMYFUNCTION("""COMPUTED_VALUE"""),43623.6666666666)</f>
        <v/>
      </c>
      <c r="N367" s="6">
        <f>IFERROR(__xludf.DUMMYFUNCTION("""COMPUTED_VALUE"""),7742.1)</f>
        <v/>
      </c>
      <c r="R367" s="6">
        <f>S367&amp;T367</f>
        <v/>
      </c>
      <c r="S367" s="6">
        <f>YEAR(U367)</f>
        <v/>
      </c>
      <c r="T367" s="6">
        <f>MONTH(U367)</f>
        <v/>
      </c>
      <c r="U367" s="267">
        <f>IFERROR(__xludf.DUMMYFUNCTION("""COMPUTED_VALUE"""),43648.6458333333)</f>
        <v/>
      </c>
      <c r="V367" s="6">
        <f>IFERROR(__xludf.DUMMYFUNCTION("""COMPUTED_VALUE"""),2122.02)</f>
        <v/>
      </c>
      <c r="Z367" s="6">
        <f>AA367&amp;AB367</f>
        <v/>
      </c>
      <c r="AA367" s="6">
        <f>YEAR(AC367)</f>
        <v/>
      </c>
      <c r="AB367" s="6">
        <f>MONTH(AC367)</f>
        <v/>
      </c>
      <c r="AC367" s="267">
        <f>IFERROR(__xludf.DUMMYFUNCTION("""COMPUTED_VALUE"""),43479.9986111111)</f>
        <v/>
      </c>
      <c r="AD367" s="6">
        <f>IFERROR(__xludf.DUMMYFUNCTION("""COMPUTED_VALUE"""),1122)</f>
        <v/>
      </c>
      <c r="AH367" s="6">
        <f>AI367&amp;AJ367</f>
        <v/>
      </c>
      <c r="AI367" s="6">
        <f>YEAR(AK367)</f>
        <v/>
      </c>
      <c r="AJ367" s="6">
        <f>MONTH(AK367)</f>
        <v/>
      </c>
      <c r="AK367" s="267">
        <f>IFERROR(__xludf.DUMMYFUNCTION("""COMPUTED_VALUE"""),43459.9986111111)</f>
        <v/>
      </c>
      <c r="AL367" s="6">
        <f>IFERROR(__xludf.DUMMYFUNCTION("""COMPUTED_VALUE"""),3798.141)</f>
        <v/>
      </c>
      <c r="AP367" s="6">
        <f>AQ367&amp;AR367</f>
        <v/>
      </c>
      <c r="AQ367" s="6">
        <f>YEAR(AS367)</f>
        <v/>
      </c>
      <c r="AR367" s="6">
        <f>MONTH(AS367)</f>
        <v/>
      </c>
      <c r="AS367" s="267">
        <f>IFERROR(__xludf.DUMMYFUNCTION("""COMPUTED_VALUE"""),43633.9986111111)</f>
        <v/>
      </c>
      <c r="AT367" s="6">
        <f>IFERROR(__xludf.DUMMYFUNCTION("""COMPUTED_VALUE"""),1342.9)</f>
        <v/>
      </c>
    </row>
    <row r="368">
      <c r="B368" s="6">
        <f>C368&amp;D368</f>
        <v/>
      </c>
      <c r="C368" s="6">
        <f>YEAR(E368)</f>
        <v/>
      </c>
      <c r="D368" s="6">
        <f>MONTH(E368)</f>
        <v/>
      </c>
      <c r="E368" s="267">
        <f>IFERROR(__xludf.DUMMYFUNCTION("""COMPUTED_VALUE"""),43626.6666666666)</f>
        <v/>
      </c>
      <c r="F368" s="6">
        <f>IFERROR(__xludf.DUMMYFUNCTION("""COMPUTED_VALUE"""),2886.73)</f>
        <v/>
      </c>
      <c r="J368" s="6">
        <f>K368&amp;L368</f>
        <v/>
      </c>
      <c r="K368" s="6">
        <f>YEAR(M368)</f>
        <v/>
      </c>
      <c r="L368" s="6">
        <f>MONTH(M368)</f>
        <v/>
      </c>
      <c r="M368" s="267">
        <f>IFERROR(__xludf.DUMMYFUNCTION("""COMPUTED_VALUE"""),43626.6666666666)</f>
        <v/>
      </c>
      <c r="N368" s="6">
        <f>IFERROR(__xludf.DUMMYFUNCTION("""COMPUTED_VALUE"""),7823.17)</f>
        <v/>
      </c>
      <c r="R368" s="6">
        <f>S368&amp;T368</f>
        <v/>
      </c>
      <c r="S368" s="6">
        <f>YEAR(U368)</f>
        <v/>
      </c>
      <c r="T368" s="6">
        <f>MONTH(U368)</f>
        <v/>
      </c>
      <c r="U368" s="267">
        <f>IFERROR(__xludf.DUMMYFUNCTION("""COMPUTED_VALUE"""),43649.6458333333)</f>
        <v/>
      </c>
      <c r="V368" s="6">
        <f>IFERROR(__xludf.DUMMYFUNCTION("""COMPUTED_VALUE"""),2096.02)</f>
        <v/>
      </c>
      <c r="Z368" s="6">
        <f>AA368&amp;AB368</f>
        <v/>
      </c>
      <c r="AA368" s="6">
        <f>YEAR(AC368)</f>
        <v/>
      </c>
      <c r="AB368" s="6">
        <f>MONTH(AC368)</f>
        <v/>
      </c>
      <c r="AC368" s="267">
        <f>IFERROR(__xludf.DUMMYFUNCTION("""COMPUTED_VALUE"""),43480.9986111111)</f>
        <v/>
      </c>
      <c r="AD368" s="6">
        <f>IFERROR(__xludf.DUMMYFUNCTION("""COMPUTED_VALUE"""),1122.4)</f>
        <v/>
      </c>
      <c r="AH368" s="6">
        <f>AI368&amp;AJ368</f>
        <v/>
      </c>
      <c r="AI368" s="6">
        <f>YEAR(AK368)</f>
        <v/>
      </c>
      <c r="AJ368" s="6">
        <f>MONTH(AK368)</f>
        <v/>
      </c>
      <c r="AK368" s="267">
        <f>IFERROR(__xludf.DUMMYFUNCTION("""COMPUTED_VALUE"""),43460.9986111111)</f>
        <v/>
      </c>
      <c r="AL368" s="6">
        <f>IFERROR(__xludf.DUMMYFUNCTION("""COMPUTED_VALUE"""),3824.445)</f>
        <v/>
      </c>
      <c r="AP368" s="6">
        <f>AQ368&amp;AR368</f>
        <v/>
      </c>
      <c r="AQ368" s="6">
        <f>YEAR(AS368)</f>
        <v/>
      </c>
      <c r="AR368" s="6">
        <f>MONTH(AS368)</f>
        <v/>
      </c>
      <c r="AS368" s="267">
        <f>IFERROR(__xludf.DUMMYFUNCTION("""COMPUTED_VALUE"""),43634.9986111111)</f>
        <v/>
      </c>
      <c r="AT368" s="6">
        <f>IFERROR(__xludf.DUMMYFUNCTION("""COMPUTED_VALUE"""),1350.7)</f>
        <v/>
      </c>
    </row>
    <row r="369">
      <c r="B369" s="6">
        <f>C369&amp;D369</f>
        <v/>
      </c>
      <c r="C369" s="6">
        <f>YEAR(E369)</f>
        <v/>
      </c>
      <c r="D369" s="6">
        <f>MONTH(E369)</f>
        <v/>
      </c>
      <c r="E369" s="267">
        <f>IFERROR(__xludf.DUMMYFUNCTION("""COMPUTED_VALUE"""),43627.6666666666)</f>
        <v/>
      </c>
      <c r="F369" s="6">
        <f>IFERROR(__xludf.DUMMYFUNCTION("""COMPUTED_VALUE"""),2885.72)</f>
        <v/>
      </c>
      <c r="J369" s="6">
        <f>K369&amp;L369</f>
        <v/>
      </c>
      <c r="K369" s="6">
        <f>YEAR(M369)</f>
        <v/>
      </c>
      <c r="L369" s="6">
        <f>MONTH(M369)</f>
        <v/>
      </c>
      <c r="M369" s="267">
        <f>IFERROR(__xludf.DUMMYFUNCTION("""COMPUTED_VALUE"""),43627.6666666666)</f>
        <v/>
      </c>
      <c r="N369" s="6">
        <f>IFERROR(__xludf.DUMMYFUNCTION("""COMPUTED_VALUE"""),7822.57)</f>
        <v/>
      </c>
      <c r="R369" s="6">
        <f>S369&amp;T369</f>
        <v/>
      </c>
      <c r="S369" s="6">
        <f>YEAR(U369)</f>
        <v/>
      </c>
      <c r="T369" s="6">
        <f>MONTH(U369)</f>
        <v/>
      </c>
      <c r="U369" s="267">
        <f>IFERROR(__xludf.DUMMYFUNCTION("""COMPUTED_VALUE"""),43650.6458333333)</f>
        <v/>
      </c>
      <c r="V369" s="6">
        <f>IFERROR(__xludf.DUMMYFUNCTION("""COMPUTED_VALUE"""),2108.73)</f>
        <v/>
      </c>
      <c r="Z369" s="6">
        <f>AA369&amp;AB369</f>
        <v/>
      </c>
      <c r="AA369" s="6">
        <f>YEAR(AC369)</f>
        <v/>
      </c>
      <c r="AB369" s="6">
        <f>MONTH(AC369)</f>
        <v/>
      </c>
      <c r="AC369" s="267">
        <f>IFERROR(__xludf.DUMMYFUNCTION("""COMPUTED_VALUE"""),43481.9986111111)</f>
        <v/>
      </c>
      <c r="AD369" s="6">
        <f>IFERROR(__xludf.DUMMYFUNCTION("""COMPUTED_VALUE"""),1118.77)</f>
        <v/>
      </c>
      <c r="AH369" s="6">
        <f>AI369&amp;AJ369</f>
        <v/>
      </c>
      <c r="AI369" s="6">
        <f>YEAR(AK369)</f>
        <v/>
      </c>
      <c r="AJ369" s="6">
        <f>MONTH(AK369)</f>
        <v/>
      </c>
      <c r="AK369" s="267">
        <f>IFERROR(__xludf.DUMMYFUNCTION("""COMPUTED_VALUE"""),43461.9986111111)</f>
        <v/>
      </c>
      <c r="AL369" s="6">
        <f>IFERROR(__xludf.DUMMYFUNCTION("""COMPUTED_VALUE"""),3618.055)</f>
        <v/>
      </c>
      <c r="AP369" s="6">
        <f>AQ369&amp;AR369</f>
        <v/>
      </c>
      <c r="AQ369" s="6">
        <f>YEAR(AS369)</f>
        <v/>
      </c>
      <c r="AR369" s="6">
        <f>MONTH(AS369)</f>
        <v/>
      </c>
      <c r="AS369" s="267">
        <f>IFERROR(__xludf.DUMMYFUNCTION("""COMPUTED_VALUE"""),43635.9986111111)</f>
        <v/>
      </c>
      <c r="AT369" s="6">
        <f>IFERROR(__xludf.DUMMYFUNCTION("""COMPUTED_VALUE"""),1348.8)</f>
        <v/>
      </c>
    </row>
    <row r="370">
      <c r="B370" s="6">
        <f>C370&amp;D370</f>
        <v/>
      </c>
      <c r="C370" s="6">
        <f>YEAR(E370)</f>
        <v/>
      </c>
      <c r="D370" s="6">
        <f>MONTH(E370)</f>
        <v/>
      </c>
      <c r="E370" s="267">
        <f>IFERROR(__xludf.DUMMYFUNCTION("""COMPUTED_VALUE"""),43628.6666666666)</f>
        <v/>
      </c>
      <c r="F370" s="6">
        <f>IFERROR(__xludf.DUMMYFUNCTION("""COMPUTED_VALUE"""),2879.84)</f>
        <v/>
      </c>
      <c r="J370" s="6">
        <f>K370&amp;L370</f>
        <v/>
      </c>
      <c r="K370" s="6">
        <f>YEAR(M370)</f>
        <v/>
      </c>
      <c r="L370" s="6">
        <f>MONTH(M370)</f>
        <v/>
      </c>
      <c r="M370" s="267">
        <f>IFERROR(__xludf.DUMMYFUNCTION("""COMPUTED_VALUE"""),43628.6666666666)</f>
        <v/>
      </c>
      <c r="N370" s="6">
        <f>IFERROR(__xludf.DUMMYFUNCTION("""COMPUTED_VALUE"""),7792.72)</f>
        <v/>
      </c>
      <c r="R370" s="6">
        <f>S370&amp;T370</f>
        <v/>
      </c>
      <c r="S370" s="6">
        <f>YEAR(U370)</f>
        <v/>
      </c>
      <c r="T370" s="6">
        <f>MONTH(U370)</f>
        <v/>
      </c>
      <c r="U370" s="267">
        <f>IFERROR(__xludf.DUMMYFUNCTION("""COMPUTED_VALUE"""),43651.6458333333)</f>
        <v/>
      </c>
      <c r="V370" s="6">
        <f>IFERROR(__xludf.DUMMYFUNCTION("""COMPUTED_VALUE"""),2110.59)</f>
        <v/>
      </c>
      <c r="Z370" s="6">
        <f>AA370&amp;AB370</f>
        <v/>
      </c>
      <c r="AA370" s="6">
        <f>YEAR(AC370)</f>
        <v/>
      </c>
      <c r="AB370" s="6">
        <f>MONTH(AC370)</f>
        <v/>
      </c>
      <c r="AC370" s="267">
        <f>IFERROR(__xludf.DUMMYFUNCTION("""COMPUTED_VALUE"""),43482.9986111111)</f>
        <v/>
      </c>
      <c r="AD370" s="6">
        <f>IFERROR(__xludf.DUMMYFUNCTION("""COMPUTED_VALUE"""),1120.55)</f>
        <v/>
      </c>
      <c r="AH370" s="6">
        <f>AI370&amp;AJ370</f>
        <v/>
      </c>
      <c r="AI370" s="6">
        <f>YEAR(AK370)</f>
        <v/>
      </c>
      <c r="AJ370" s="6">
        <f>MONTH(AK370)</f>
        <v/>
      </c>
      <c r="AK370" s="267">
        <f>IFERROR(__xludf.DUMMYFUNCTION("""COMPUTED_VALUE"""),43462.9986111111)</f>
        <v/>
      </c>
      <c r="AL370" s="6">
        <f>IFERROR(__xludf.DUMMYFUNCTION("""COMPUTED_VALUE"""),3888.177)</f>
        <v/>
      </c>
      <c r="AP370" s="6">
        <f>AQ370&amp;AR370</f>
        <v/>
      </c>
      <c r="AQ370" s="6">
        <f>YEAR(AS370)</f>
        <v/>
      </c>
      <c r="AR370" s="6">
        <f>MONTH(AS370)</f>
        <v/>
      </c>
      <c r="AS370" s="267">
        <f>IFERROR(__xludf.DUMMYFUNCTION("""COMPUTED_VALUE"""),43636.9986111111)</f>
        <v/>
      </c>
      <c r="AT370" s="6">
        <f>IFERROR(__xludf.DUMMYFUNCTION("""COMPUTED_VALUE"""),1396.9)</f>
        <v/>
      </c>
    </row>
    <row r="371">
      <c r="B371" s="6">
        <f>C371&amp;D371</f>
        <v/>
      </c>
      <c r="C371" s="6">
        <f>YEAR(E371)</f>
        <v/>
      </c>
      <c r="D371" s="6">
        <f>MONTH(E371)</f>
        <v/>
      </c>
      <c r="E371" s="267">
        <f>IFERROR(__xludf.DUMMYFUNCTION("""COMPUTED_VALUE"""),43629.6666666666)</f>
        <v/>
      </c>
      <c r="F371" s="6">
        <f>IFERROR(__xludf.DUMMYFUNCTION("""COMPUTED_VALUE"""),2891.64)</f>
        <v/>
      </c>
      <c r="J371" s="6">
        <f>K371&amp;L371</f>
        <v/>
      </c>
      <c r="K371" s="6">
        <f>YEAR(M371)</f>
        <v/>
      </c>
      <c r="L371" s="6">
        <f>MONTH(M371)</f>
        <v/>
      </c>
      <c r="M371" s="267">
        <f>IFERROR(__xludf.DUMMYFUNCTION("""COMPUTED_VALUE"""),43629.6666666666)</f>
        <v/>
      </c>
      <c r="N371" s="6">
        <f>IFERROR(__xludf.DUMMYFUNCTION("""COMPUTED_VALUE"""),7837.13)</f>
        <v/>
      </c>
      <c r="R371" s="6">
        <f>S371&amp;T371</f>
        <v/>
      </c>
      <c r="S371" s="6">
        <f>YEAR(U371)</f>
        <v/>
      </c>
      <c r="T371" s="6">
        <f>MONTH(U371)</f>
        <v/>
      </c>
      <c r="U371" s="267">
        <f>IFERROR(__xludf.DUMMYFUNCTION("""COMPUTED_VALUE"""),43654.6458333333)</f>
        <v/>
      </c>
      <c r="V371" s="6">
        <f>IFERROR(__xludf.DUMMYFUNCTION("""COMPUTED_VALUE"""),2064.17)</f>
        <v/>
      </c>
      <c r="Z371" s="6">
        <f>AA371&amp;AB371</f>
        <v/>
      </c>
      <c r="AA371" s="6">
        <f>YEAR(AC371)</f>
        <v/>
      </c>
      <c r="AB371" s="6">
        <f>MONTH(AC371)</f>
        <v/>
      </c>
      <c r="AC371" s="267">
        <f>IFERROR(__xludf.DUMMYFUNCTION("""COMPUTED_VALUE"""),43483.9986111111)</f>
        <v/>
      </c>
      <c r="AD371" s="6">
        <f>IFERROR(__xludf.DUMMYFUNCTION("""COMPUTED_VALUE"""),1124.8)</f>
        <v/>
      </c>
      <c r="AH371" s="6">
        <f>AI371&amp;AJ371</f>
        <v/>
      </c>
      <c r="AI371" s="6">
        <f>YEAR(AK371)</f>
        <v/>
      </c>
      <c r="AJ371" s="6">
        <f>MONTH(AK371)</f>
        <v/>
      </c>
      <c r="AK371" s="267">
        <f>IFERROR(__xludf.DUMMYFUNCTION("""COMPUTED_VALUE"""),43463.9986111111)</f>
        <v/>
      </c>
      <c r="AL371" s="6">
        <f>IFERROR(__xludf.DUMMYFUNCTION("""COMPUTED_VALUE"""),3730.59)</f>
        <v/>
      </c>
      <c r="AP371" s="6">
        <f>AQ371&amp;AR371</f>
        <v/>
      </c>
      <c r="AQ371" s="6">
        <f>YEAR(AS371)</f>
        <v/>
      </c>
      <c r="AR371" s="6">
        <f>MONTH(AS371)</f>
        <v/>
      </c>
      <c r="AS371" s="267">
        <f>IFERROR(__xludf.DUMMYFUNCTION("""COMPUTED_VALUE"""),43637.9986111111)</f>
        <v/>
      </c>
      <c r="AT371" s="6">
        <f>IFERROR(__xludf.DUMMYFUNCTION("""COMPUTED_VALUE"""),1400.1)</f>
        <v/>
      </c>
    </row>
    <row r="372">
      <c r="B372" s="6">
        <f>C372&amp;D372</f>
        <v/>
      </c>
      <c r="C372" s="6">
        <f>YEAR(E372)</f>
        <v/>
      </c>
      <c r="D372" s="6">
        <f>MONTH(E372)</f>
        <v/>
      </c>
      <c r="E372" s="267">
        <f>IFERROR(__xludf.DUMMYFUNCTION("""COMPUTED_VALUE"""),43630.6666666666)</f>
        <v/>
      </c>
      <c r="F372" s="6">
        <f>IFERROR(__xludf.DUMMYFUNCTION("""COMPUTED_VALUE"""),2886.98)</f>
        <v/>
      </c>
      <c r="J372" s="6">
        <f>K372&amp;L372</f>
        <v/>
      </c>
      <c r="K372" s="6">
        <f>YEAR(M372)</f>
        <v/>
      </c>
      <c r="L372" s="6">
        <f>MONTH(M372)</f>
        <v/>
      </c>
      <c r="M372" s="267">
        <f>IFERROR(__xludf.DUMMYFUNCTION("""COMPUTED_VALUE"""),43630.6666666666)</f>
        <v/>
      </c>
      <c r="N372" s="6">
        <f>IFERROR(__xludf.DUMMYFUNCTION("""COMPUTED_VALUE"""),7796.66)</f>
        <v/>
      </c>
      <c r="R372" s="6">
        <f>S372&amp;T372</f>
        <v/>
      </c>
      <c r="S372" s="6">
        <f>YEAR(U372)</f>
        <v/>
      </c>
      <c r="T372" s="6">
        <f>MONTH(U372)</f>
        <v/>
      </c>
      <c r="U372" s="267">
        <f>IFERROR(__xludf.DUMMYFUNCTION("""COMPUTED_VALUE"""),43655.6458333333)</f>
        <v/>
      </c>
      <c r="V372" s="6">
        <f>IFERROR(__xludf.DUMMYFUNCTION("""COMPUTED_VALUE"""),2052.03)</f>
        <v/>
      </c>
      <c r="Z372" s="6">
        <f>AA372&amp;AB372</f>
        <v/>
      </c>
      <c r="AA372" s="6">
        <f>YEAR(AC372)</f>
        <v/>
      </c>
      <c r="AB372" s="6">
        <f>MONTH(AC372)</f>
        <v/>
      </c>
      <c r="AC372" s="267">
        <f>IFERROR(__xludf.DUMMYFUNCTION("""COMPUTED_VALUE"""),43485.9986111111)</f>
        <v/>
      </c>
      <c r="AD372" s="6">
        <f>IFERROR(__xludf.DUMMYFUNCTION("""COMPUTED_VALUE"""),1125.79)</f>
        <v/>
      </c>
      <c r="AH372" s="6">
        <f>AI372&amp;AJ372</f>
        <v/>
      </c>
      <c r="AI372" s="6">
        <f>YEAR(AK372)</f>
        <v/>
      </c>
      <c r="AJ372" s="6">
        <f>MONTH(AK372)</f>
        <v/>
      </c>
      <c r="AK372" s="267">
        <f>IFERROR(__xludf.DUMMYFUNCTION("""COMPUTED_VALUE"""),43464.9986111111)</f>
        <v/>
      </c>
      <c r="AL372" s="6">
        <f>IFERROR(__xludf.DUMMYFUNCTION("""COMPUTED_VALUE"""),3831.982)</f>
        <v/>
      </c>
      <c r="AP372" s="6">
        <f>AQ372&amp;AR372</f>
        <v/>
      </c>
      <c r="AQ372" s="6">
        <f>YEAR(AS372)</f>
        <v/>
      </c>
      <c r="AR372" s="6">
        <f>MONTH(AS372)</f>
        <v/>
      </c>
      <c r="AS372" s="267">
        <f>IFERROR(__xludf.DUMMYFUNCTION("""COMPUTED_VALUE"""),43640.9986111111)</f>
        <v/>
      </c>
      <c r="AT372" s="6">
        <f>IFERROR(__xludf.DUMMYFUNCTION("""COMPUTED_VALUE"""),1418.2)</f>
        <v/>
      </c>
    </row>
    <row r="373">
      <c r="B373" s="6">
        <f>C373&amp;D373</f>
        <v/>
      </c>
      <c r="C373" s="6">
        <f>YEAR(E373)</f>
        <v/>
      </c>
      <c r="D373" s="6">
        <f>MONTH(E373)</f>
        <v/>
      </c>
      <c r="E373" s="267">
        <f>IFERROR(__xludf.DUMMYFUNCTION("""COMPUTED_VALUE"""),43633.6666666666)</f>
        <v/>
      </c>
      <c r="F373" s="6">
        <f>IFERROR(__xludf.DUMMYFUNCTION("""COMPUTED_VALUE"""),2889.67)</f>
        <v/>
      </c>
      <c r="J373" s="6">
        <f>K373&amp;L373</f>
        <v/>
      </c>
      <c r="K373" s="6">
        <f>YEAR(M373)</f>
        <v/>
      </c>
      <c r="L373" s="6">
        <f>MONTH(M373)</f>
        <v/>
      </c>
      <c r="M373" s="267">
        <f>IFERROR(__xludf.DUMMYFUNCTION("""COMPUTED_VALUE"""),43633.6666666666)</f>
        <v/>
      </c>
      <c r="N373" s="6">
        <f>IFERROR(__xludf.DUMMYFUNCTION("""COMPUTED_VALUE"""),7845.02)</f>
        <v/>
      </c>
      <c r="R373" s="6">
        <f>S373&amp;T373</f>
        <v/>
      </c>
      <c r="S373" s="6">
        <f>YEAR(U373)</f>
        <v/>
      </c>
      <c r="T373" s="6">
        <f>MONTH(U373)</f>
        <v/>
      </c>
      <c r="U373" s="267">
        <f>IFERROR(__xludf.DUMMYFUNCTION("""COMPUTED_VALUE"""),43656.6458333333)</f>
        <v/>
      </c>
      <c r="V373" s="6">
        <f>IFERROR(__xludf.DUMMYFUNCTION("""COMPUTED_VALUE"""),2058.78)</f>
        <v/>
      </c>
      <c r="Z373" s="6">
        <f>AA373&amp;AB373</f>
        <v/>
      </c>
      <c r="AA373" s="6">
        <f>YEAR(AC373)</f>
        <v/>
      </c>
      <c r="AB373" s="6">
        <f>MONTH(AC373)</f>
        <v/>
      </c>
      <c r="AC373" s="267">
        <f>IFERROR(__xludf.DUMMYFUNCTION("""COMPUTED_VALUE"""),43486.9986111111)</f>
        <v/>
      </c>
      <c r="AD373" s="6">
        <f>IFERROR(__xludf.DUMMYFUNCTION("""COMPUTED_VALUE"""),1132.37)</f>
        <v/>
      </c>
      <c r="AH373" s="6">
        <f>AI373&amp;AJ373</f>
        <v/>
      </c>
      <c r="AI373" s="6">
        <f>YEAR(AK373)</f>
        <v/>
      </c>
      <c r="AJ373" s="6">
        <f>MONTH(AK373)</f>
        <v/>
      </c>
      <c r="AK373" s="267">
        <f>IFERROR(__xludf.DUMMYFUNCTION("""COMPUTED_VALUE"""),43465.9986111111)</f>
        <v/>
      </c>
      <c r="AL373" s="6">
        <f>IFERROR(__xludf.DUMMYFUNCTION("""COMPUTED_VALUE"""),3711.907)</f>
        <v/>
      </c>
      <c r="AP373" s="6">
        <f>AQ373&amp;AR373</f>
        <v/>
      </c>
      <c r="AQ373" s="6">
        <f>YEAR(AS373)</f>
        <v/>
      </c>
      <c r="AR373" s="6">
        <f>MONTH(AS373)</f>
        <v/>
      </c>
      <c r="AS373" s="267">
        <f>IFERROR(__xludf.DUMMYFUNCTION("""COMPUTED_VALUE"""),43641.9986111111)</f>
        <v/>
      </c>
      <c r="AT373" s="6">
        <f>IFERROR(__xludf.DUMMYFUNCTION("""COMPUTED_VALUE"""),1418.7)</f>
        <v/>
      </c>
    </row>
    <row r="374">
      <c r="B374" s="6">
        <f>C374&amp;D374</f>
        <v/>
      </c>
      <c r="C374" s="6">
        <f>YEAR(E374)</f>
        <v/>
      </c>
      <c r="D374" s="6">
        <f>MONTH(E374)</f>
        <v/>
      </c>
      <c r="E374" s="267">
        <f>IFERROR(__xludf.DUMMYFUNCTION("""COMPUTED_VALUE"""),43634.6666666666)</f>
        <v/>
      </c>
      <c r="F374" s="6">
        <f>IFERROR(__xludf.DUMMYFUNCTION("""COMPUTED_VALUE"""),2917.75)</f>
        <v/>
      </c>
      <c r="J374" s="6">
        <f>K374&amp;L374</f>
        <v/>
      </c>
      <c r="K374" s="6">
        <f>YEAR(M374)</f>
        <v/>
      </c>
      <c r="L374" s="6">
        <f>MONTH(M374)</f>
        <v/>
      </c>
      <c r="M374" s="267">
        <f>IFERROR(__xludf.DUMMYFUNCTION("""COMPUTED_VALUE"""),43634.6666666666)</f>
        <v/>
      </c>
      <c r="N374" s="6">
        <f>IFERROR(__xludf.DUMMYFUNCTION("""COMPUTED_VALUE"""),7953.88)</f>
        <v/>
      </c>
      <c r="R374" s="6">
        <f>S374&amp;T374</f>
        <v/>
      </c>
      <c r="S374" s="6">
        <f>YEAR(U374)</f>
        <v/>
      </c>
      <c r="T374" s="6">
        <f>MONTH(U374)</f>
        <v/>
      </c>
      <c r="U374" s="267">
        <f>IFERROR(__xludf.DUMMYFUNCTION("""COMPUTED_VALUE"""),43657.6458333333)</f>
        <v/>
      </c>
      <c r="V374" s="6">
        <f>IFERROR(__xludf.DUMMYFUNCTION("""COMPUTED_VALUE"""),2080.58)</f>
        <v/>
      </c>
      <c r="Z374" s="6">
        <f>AA374&amp;AB374</f>
        <v/>
      </c>
      <c r="AA374" s="6">
        <f>YEAR(AC374)</f>
        <v/>
      </c>
      <c r="AB374" s="6">
        <f>MONTH(AC374)</f>
        <v/>
      </c>
      <c r="AC374" s="267">
        <f>IFERROR(__xludf.DUMMYFUNCTION("""COMPUTED_VALUE"""),43487.9986111111)</f>
        <v/>
      </c>
      <c r="AD374" s="6">
        <f>IFERROR(__xludf.DUMMYFUNCTION("""COMPUTED_VALUE"""),1130.15)</f>
        <v/>
      </c>
      <c r="AH374" s="6">
        <f>AI374&amp;AJ374</f>
        <v/>
      </c>
      <c r="AI374" s="6">
        <f>YEAR(AK374)</f>
        <v/>
      </c>
      <c r="AJ374" s="6">
        <f>MONTH(AK374)</f>
        <v/>
      </c>
      <c r="AK374" s="267">
        <f>IFERROR(__xludf.DUMMYFUNCTION("""COMPUTED_VALUE"""),43466.9986111111)</f>
        <v/>
      </c>
      <c r="AL374" s="6">
        <f>IFERROR(__xludf.DUMMYFUNCTION("""COMPUTED_VALUE"""),3827.963)</f>
        <v/>
      </c>
      <c r="AP374" s="6">
        <f>AQ374&amp;AR374</f>
        <v/>
      </c>
      <c r="AQ374" s="6">
        <f>YEAR(AS374)</f>
        <v/>
      </c>
      <c r="AR374" s="6">
        <f>MONTH(AS374)</f>
        <v/>
      </c>
      <c r="AS374" s="267">
        <f>IFERROR(__xludf.DUMMYFUNCTION("""COMPUTED_VALUE"""),43642.9986111111)</f>
        <v/>
      </c>
      <c r="AT374" s="6">
        <f>IFERROR(__xludf.DUMMYFUNCTION("""COMPUTED_VALUE"""),1415.4)</f>
        <v/>
      </c>
    </row>
    <row r="375">
      <c r="B375" s="6">
        <f>C375&amp;D375</f>
        <v/>
      </c>
      <c r="C375" s="6">
        <f>YEAR(E375)</f>
        <v/>
      </c>
      <c r="D375" s="6">
        <f>MONTH(E375)</f>
        <v/>
      </c>
      <c r="E375" s="267">
        <f>IFERROR(__xludf.DUMMYFUNCTION("""COMPUTED_VALUE"""),43635.6666666666)</f>
        <v/>
      </c>
      <c r="F375" s="6">
        <f>IFERROR(__xludf.DUMMYFUNCTION("""COMPUTED_VALUE"""),2926.46)</f>
        <v/>
      </c>
      <c r="J375" s="6">
        <f>K375&amp;L375</f>
        <v/>
      </c>
      <c r="K375" s="6">
        <f>YEAR(M375)</f>
        <v/>
      </c>
      <c r="L375" s="6">
        <f>MONTH(M375)</f>
        <v/>
      </c>
      <c r="M375" s="267">
        <f>IFERROR(__xludf.DUMMYFUNCTION("""COMPUTED_VALUE"""),43635.6666666666)</f>
        <v/>
      </c>
      <c r="N375" s="6">
        <f>IFERROR(__xludf.DUMMYFUNCTION("""COMPUTED_VALUE"""),7987.32)</f>
        <v/>
      </c>
      <c r="R375" s="6">
        <f>S375&amp;T375</f>
        <v/>
      </c>
      <c r="S375" s="6">
        <f>YEAR(U375)</f>
        <v/>
      </c>
      <c r="T375" s="6">
        <f>MONTH(U375)</f>
        <v/>
      </c>
      <c r="U375" s="267">
        <f>IFERROR(__xludf.DUMMYFUNCTION("""COMPUTED_VALUE"""),43658.6458333333)</f>
        <v/>
      </c>
      <c r="V375" s="6">
        <f>IFERROR(__xludf.DUMMYFUNCTION("""COMPUTED_VALUE"""),2086.66)</f>
        <v/>
      </c>
      <c r="Z375" s="6">
        <f>AA375&amp;AB375</f>
        <v/>
      </c>
      <c r="AA375" s="6">
        <f>YEAR(AC375)</f>
        <v/>
      </c>
      <c r="AB375" s="6">
        <f>MONTH(AC375)</f>
        <v/>
      </c>
      <c r="AC375" s="267">
        <f>IFERROR(__xludf.DUMMYFUNCTION("""COMPUTED_VALUE"""),43488.9986111111)</f>
        <v/>
      </c>
      <c r="AD375" s="6">
        <f>IFERROR(__xludf.DUMMYFUNCTION("""COMPUTED_VALUE"""),1125.33)</f>
        <v/>
      </c>
      <c r="AH375" s="6">
        <f>AI375&amp;AJ375</f>
        <v/>
      </c>
      <c r="AI375" s="6">
        <f>YEAR(AK375)</f>
        <v/>
      </c>
      <c r="AJ375" s="6">
        <f>MONTH(AK375)</f>
        <v/>
      </c>
      <c r="AK375" s="267">
        <f>IFERROR(__xludf.DUMMYFUNCTION("""COMPUTED_VALUE"""),43467.9986111111)</f>
        <v/>
      </c>
      <c r="AL375" s="6">
        <f>IFERROR(__xludf.DUMMYFUNCTION("""COMPUTED_VALUE"""),3914.791)</f>
        <v/>
      </c>
      <c r="AP375" s="6">
        <f>AQ375&amp;AR375</f>
        <v/>
      </c>
      <c r="AQ375" s="6">
        <f>YEAR(AS375)</f>
        <v/>
      </c>
      <c r="AR375" s="6">
        <f>MONTH(AS375)</f>
        <v/>
      </c>
      <c r="AS375" s="267">
        <f>IFERROR(__xludf.DUMMYFUNCTION("""COMPUTED_VALUE"""),43643.9986111111)</f>
        <v/>
      </c>
      <c r="AT375" s="6">
        <f>IFERROR(__xludf.DUMMYFUNCTION("""COMPUTED_VALUE"""),1412)</f>
        <v/>
      </c>
    </row>
    <row r="376">
      <c r="B376" s="6">
        <f>C376&amp;D376</f>
        <v/>
      </c>
      <c r="C376" s="6">
        <f>YEAR(E376)</f>
        <v/>
      </c>
      <c r="D376" s="6">
        <f>MONTH(E376)</f>
        <v/>
      </c>
      <c r="E376" s="267">
        <f>IFERROR(__xludf.DUMMYFUNCTION("""COMPUTED_VALUE"""),43636.6666666666)</f>
        <v/>
      </c>
      <c r="F376" s="6">
        <f>IFERROR(__xludf.DUMMYFUNCTION("""COMPUTED_VALUE"""),2954.18)</f>
        <v/>
      </c>
      <c r="J376" s="6">
        <f>K376&amp;L376</f>
        <v/>
      </c>
      <c r="K376" s="6">
        <f>YEAR(M376)</f>
        <v/>
      </c>
      <c r="L376" s="6">
        <f>MONTH(M376)</f>
        <v/>
      </c>
      <c r="M376" s="267">
        <f>IFERROR(__xludf.DUMMYFUNCTION("""COMPUTED_VALUE"""),43636.6666666666)</f>
        <v/>
      </c>
      <c r="N376" s="6">
        <f>IFERROR(__xludf.DUMMYFUNCTION("""COMPUTED_VALUE"""),8051.34)</f>
        <v/>
      </c>
      <c r="R376" s="6">
        <f>S376&amp;T376</f>
        <v/>
      </c>
      <c r="S376" s="6">
        <f>YEAR(U376)</f>
        <v/>
      </c>
      <c r="T376" s="6">
        <f>MONTH(U376)</f>
        <v/>
      </c>
      <c r="U376" s="267">
        <f>IFERROR(__xludf.DUMMYFUNCTION("""COMPUTED_VALUE"""),43661.6458333333)</f>
        <v/>
      </c>
      <c r="V376" s="6">
        <f>IFERROR(__xludf.DUMMYFUNCTION("""COMPUTED_VALUE"""),2082.48)</f>
        <v/>
      </c>
      <c r="Z376" s="6">
        <f>AA376&amp;AB376</f>
        <v/>
      </c>
      <c r="AA376" s="6">
        <f>YEAR(AC376)</f>
        <v/>
      </c>
      <c r="AB376" s="6">
        <f>MONTH(AC376)</f>
        <v/>
      </c>
      <c r="AC376" s="267">
        <f>IFERROR(__xludf.DUMMYFUNCTION("""COMPUTED_VALUE"""),43489.9986111111)</f>
        <v/>
      </c>
      <c r="AD376" s="6">
        <f>IFERROR(__xludf.DUMMYFUNCTION("""COMPUTED_VALUE"""),1126.75)</f>
        <v/>
      </c>
      <c r="AH376" s="6">
        <f>AI376&amp;AJ376</f>
        <v/>
      </c>
      <c r="AI376" s="6">
        <f>YEAR(AK376)</f>
        <v/>
      </c>
      <c r="AJ376" s="6">
        <f>MONTH(AK376)</f>
        <v/>
      </c>
      <c r="AK376" s="267">
        <f>IFERROR(__xludf.DUMMYFUNCTION("""COMPUTED_VALUE"""),43468.9986111111)</f>
        <v/>
      </c>
      <c r="AL376" s="6">
        <f>IFERROR(__xludf.DUMMYFUNCTION("""COMPUTED_VALUE"""),3792.064)</f>
        <v/>
      </c>
      <c r="AP376" s="6">
        <f>AQ376&amp;AR376</f>
        <v/>
      </c>
      <c r="AQ376" s="6">
        <f>YEAR(AS376)</f>
        <v/>
      </c>
      <c r="AR376" s="6">
        <f>MONTH(AS376)</f>
        <v/>
      </c>
      <c r="AS376" s="267">
        <f>IFERROR(__xludf.DUMMYFUNCTION("""COMPUTED_VALUE"""),43644.9986111111)</f>
        <v/>
      </c>
      <c r="AT376" s="6">
        <f>IFERROR(__xludf.DUMMYFUNCTION("""COMPUTED_VALUE"""),1413.7)</f>
        <v/>
      </c>
    </row>
    <row r="377">
      <c r="B377" s="6">
        <f>C377&amp;D377</f>
        <v/>
      </c>
      <c r="C377" s="6">
        <f>YEAR(E377)</f>
        <v/>
      </c>
      <c r="D377" s="6">
        <f>MONTH(E377)</f>
        <v/>
      </c>
      <c r="E377" s="267">
        <f>IFERROR(__xludf.DUMMYFUNCTION("""COMPUTED_VALUE"""),43637.6666666666)</f>
        <v/>
      </c>
      <c r="F377" s="6">
        <f>IFERROR(__xludf.DUMMYFUNCTION("""COMPUTED_VALUE"""),2950.46)</f>
        <v/>
      </c>
      <c r="J377" s="6">
        <f>K377&amp;L377</f>
        <v/>
      </c>
      <c r="K377" s="6">
        <f>YEAR(M377)</f>
        <v/>
      </c>
      <c r="L377" s="6">
        <f>MONTH(M377)</f>
        <v/>
      </c>
      <c r="M377" s="267">
        <f>IFERROR(__xludf.DUMMYFUNCTION("""COMPUTED_VALUE"""),43637.6666666666)</f>
        <v/>
      </c>
      <c r="N377" s="6">
        <f>IFERROR(__xludf.DUMMYFUNCTION("""COMPUTED_VALUE"""),8031.71)</f>
        <v/>
      </c>
      <c r="R377" s="6">
        <f>S377&amp;T377</f>
        <v/>
      </c>
      <c r="S377" s="6">
        <f>YEAR(U377)</f>
        <v/>
      </c>
      <c r="T377" s="6">
        <f>MONTH(U377)</f>
        <v/>
      </c>
      <c r="U377" s="267">
        <f>IFERROR(__xludf.DUMMYFUNCTION("""COMPUTED_VALUE"""),43662.6458333333)</f>
        <v/>
      </c>
      <c r="V377" s="6">
        <f>IFERROR(__xludf.DUMMYFUNCTION("""COMPUTED_VALUE"""),2091.87)</f>
        <v/>
      </c>
      <c r="Z377" s="6">
        <f>AA377&amp;AB377</f>
        <v/>
      </c>
      <c r="AA377" s="6">
        <f>YEAR(AC377)</f>
        <v/>
      </c>
      <c r="AB377" s="6">
        <f>MONTH(AC377)</f>
        <v/>
      </c>
      <c r="AC377" s="267">
        <f>IFERROR(__xludf.DUMMYFUNCTION("""COMPUTED_VALUE"""),43490.9986111111)</f>
        <v/>
      </c>
      <c r="AD377" s="6">
        <f>IFERROR(__xludf.DUMMYFUNCTION("""COMPUTED_VALUE"""),1117.32)</f>
        <v/>
      </c>
      <c r="AH377" s="6">
        <f>AI377&amp;AJ377</f>
        <v/>
      </c>
      <c r="AI377" s="6">
        <f>YEAR(AK377)</f>
        <v/>
      </c>
      <c r="AJ377" s="6">
        <f>MONTH(AK377)</f>
        <v/>
      </c>
      <c r="AK377" s="267">
        <f>IFERROR(__xludf.DUMMYFUNCTION("""COMPUTED_VALUE"""),43469.9986111111)</f>
        <v/>
      </c>
      <c r="AL377" s="6">
        <f>IFERROR(__xludf.DUMMYFUNCTION("""COMPUTED_VALUE"""),3831.475)</f>
        <v/>
      </c>
      <c r="AP377" s="6">
        <f>AQ377&amp;AR377</f>
        <v/>
      </c>
      <c r="AQ377" s="6">
        <f>YEAR(AS377)</f>
        <v/>
      </c>
      <c r="AR377" s="6">
        <f>MONTH(AS377)</f>
        <v/>
      </c>
      <c r="AS377" s="267">
        <f>IFERROR(__xludf.DUMMYFUNCTION("""COMPUTED_VALUE"""),43647.9986111111)</f>
        <v/>
      </c>
      <c r="AT377" s="6">
        <f>IFERROR(__xludf.DUMMYFUNCTION("""COMPUTED_VALUE"""),1389.3)</f>
        <v/>
      </c>
    </row>
    <row r="378">
      <c r="B378" s="6">
        <f>C378&amp;D378</f>
        <v/>
      </c>
      <c r="C378" s="6">
        <f>YEAR(E378)</f>
        <v/>
      </c>
      <c r="D378" s="6">
        <f>MONTH(E378)</f>
        <v/>
      </c>
      <c r="E378" s="267">
        <f>IFERROR(__xludf.DUMMYFUNCTION("""COMPUTED_VALUE"""),43640.6666666666)</f>
        <v/>
      </c>
      <c r="F378" s="6">
        <f>IFERROR(__xludf.DUMMYFUNCTION("""COMPUTED_VALUE"""),2945.35)</f>
        <v/>
      </c>
      <c r="J378" s="6">
        <f>K378&amp;L378</f>
        <v/>
      </c>
      <c r="K378" s="6">
        <f>YEAR(M378)</f>
        <v/>
      </c>
      <c r="L378" s="6">
        <f>MONTH(M378)</f>
        <v/>
      </c>
      <c r="M378" s="267">
        <f>IFERROR(__xludf.DUMMYFUNCTION("""COMPUTED_VALUE"""),43640.6666666666)</f>
        <v/>
      </c>
      <c r="N378" s="6">
        <f>IFERROR(__xludf.DUMMYFUNCTION("""COMPUTED_VALUE"""),8005.7)</f>
        <v/>
      </c>
      <c r="R378" s="6">
        <f>S378&amp;T378</f>
        <v/>
      </c>
      <c r="S378" s="6">
        <f>YEAR(U378)</f>
        <v/>
      </c>
      <c r="T378" s="6">
        <f>MONTH(U378)</f>
        <v/>
      </c>
      <c r="U378" s="267">
        <f>IFERROR(__xludf.DUMMYFUNCTION("""COMPUTED_VALUE"""),43663.6458333333)</f>
        <v/>
      </c>
      <c r="V378" s="6">
        <f>IFERROR(__xludf.DUMMYFUNCTION("""COMPUTED_VALUE"""),2072.92)</f>
        <v/>
      </c>
      <c r="Z378" s="6">
        <f>AA378&amp;AB378</f>
        <v/>
      </c>
      <c r="AA378" s="6">
        <f>YEAR(AC378)</f>
        <v/>
      </c>
      <c r="AB378" s="6">
        <f>MONTH(AC378)</f>
        <v/>
      </c>
      <c r="AC378" s="267">
        <f>IFERROR(__xludf.DUMMYFUNCTION("""COMPUTED_VALUE"""),43491.9986111111)</f>
        <v/>
      </c>
      <c r="AD378" s="6">
        <f>IFERROR(__xludf.DUMMYFUNCTION("""COMPUTED_VALUE"""),1117)</f>
        <v/>
      </c>
      <c r="AH378" s="6">
        <f>AI378&amp;AJ378</f>
        <v/>
      </c>
      <c r="AI378" s="6">
        <f>YEAR(AK378)</f>
        <v/>
      </c>
      <c r="AJ378" s="6">
        <f>MONTH(AK378)</f>
        <v/>
      </c>
      <c r="AK378" s="267">
        <f>IFERROR(__xludf.DUMMYFUNCTION("""COMPUTED_VALUE"""),43470.9986111111)</f>
        <v/>
      </c>
      <c r="AL378" s="6">
        <f>IFERROR(__xludf.DUMMYFUNCTION("""COMPUTED_VALUE"""),3802.392)</f>
        <v/>
      </c>
      <c r="AP378" s="6">
        <f>AQ378&amp;AR378</f>
        <v/>
      </c>
      <c r="AQ378" s="6">
        <f>YEAR(AS378)</f>
        <v/>
      </c>
      <c r="AR378" s="6">
        <f>MONTH(AS378)</f>
        <v/>
      </c>
      <c r="AS378" s="267">
        <f>IFERROR(__xludf.DUMMYFUNCTION("""COMPUTED_VALUE"""),43648.9986111111)</f>
        <v/>
      </c>
      <c r="AT378" s="6">
        <f>IFERROR(__xludf.DUMMYFUNCTION("""COMPUTED_VALUE"""),1408)</f>
        <v/>
      </c>
    </row>
    <row r="379">
      <c r="B379" s="6">
        <f>C379&amp;D379</f>
        <v/>
      </c>
      <c r="C379" s="6">
        <f>YEAR(E379)</f>
        <v/>
      </c>
      <c r="D379" s="6">
        <f>MONTH(E379)</f>
        <v/>
      </c>
      <c r="E379" s="267">
        <f>IFERROR(__xludf.DUMMYFUNCTION("""COMPUTED_VALUE"""),43641.6666666666)</f>
        <v/>
      </c>
      <c r="F379" s="6">
        <f>IFERROR(__xludf.DUMMYFUNCTION("""COMPUTED_VALUE"""),2917.38)</f>
        <v/>
      </c>
      <c r="J379" s="6">
        <f>K379&amp;L379</f>
        <v/>
      </c>
      <c r="K379" s="6">
        <f>YEAR(M379)</f>
        <v/>
      </c>
      <c r="L379" s="6">
        <f>MONTH(M379)</f>
        <v/>
      </c>
      <c r="M379" s="267">
        <f>IFERROR(__xludf.DUMMYFUNCTION("""COMPUTED_VALUE"""),43641.6666666666)</f>
        <v/>
      </c>
      <c r="N379" s="6">
        <f>IFERROR(__xludf.DUMMYFUNCTION("""COMPUTED_VALUE"""),7884.72)</f>
        <v/>
      </c>
      <c r="R379" s="6">
        <f>S379&amp;T379</f>
        <v/>
      </c>
      <c r="S379" s="6">
        <f>YEAR(U379)</f>
        <v/>
      </c>
      <c r="T379" s="6">
        <f>MONTH(U379)</f>
        <v/>
      </c>
      <c r="U379" s="267">
        <f>IFERROR(__xludf.DUMMYFUNCTION("""COMPUTED_VALUE"""),43664.6458333333)</f>
        <v/>
      </c>
      <c r="V379" s="6">
        <f>IFERROR(__xludf.DUMMYFUNCTION("""COMPUTED_VALUE"""),2066.55)</f>
        <v/>
      </c>
      <c r="Z379" s="6">
        <f>AA379&amp;AB379</f>
        <v/>
      </c>
      <c r="AA379" s="6">
        <f>YEAR(AC379)</f>
        <v/>
      </c>
      <c r="AB379" s="6">
        <f>MONTH(AC379)</f>
        <v/>
      </c>
      <c r="AC379" s="267">
        <f>IFERROR(__xludf.DUMMYFUNCTION("""COMPUTED_VALUE"""),43492.9986111111)</f>
        <v/>
      </c>
      <c r="AD379" s="6">
        <f>IFERROR(__xludf.DUMMYFUNCTION("""COMPUTED_VALUE"""),1118.01)</f>
        <v/>
      </c>
      <c r="AH379" s="6">
        <f>AI379&amp;AJ379</f>
        <v/>
      </c>
      <c r="AI379" s="6">
        <f>YEAR(AK379)</f>
        <v/>
      </c>
      <c r="AJ379" s="6">
        <f>MONTH(AK379)</f>
        <v/>
      </c>
      <c r="AK379" s="267">
        <f>IFERROR(__xludf.DUMMYFUNCTION("""COMPUTED_VALUE"""),43471.9986111111)</f>
        <v/>
      </c>
      <c r="AL379" s="6">
        <f>IFERROR(__xludf.DUMMYFUNCTION("""COMPUTED_VALUE"""),4053.686)</f>
        <v/>
      </c>
      <c r="AP379" s="6">
        <f>AQ379&amp;AR379</f>
        <v/>
      </c>
      <c r="AQ379" s="6">
        <f>YEAR(AS379)</f>
        <v/>
      </c>
      <c r="AR379" s="6">
        <f>MONTH(AS379)</f>
        <v/>
      </c>
      <c r="AS379" s="267">
        <f>IFERROR(__xludf.DUMMYFUNCTION("""COMPUTED_VALUE"""),43651.9986111111)</f>
        <v/>
      </c>
      <c r="AT379" s="6">
        <f>IFERROR(__xludf.DUMMYFUNCTION("""COMPUTED_VALUE"""),1400.1)</f>
        <v/>
      </c>
    </row>
    <row r="380">
      <c r="B380" s="6">
        <f>C380&amp;D380</f>
        <v/>
      </c>
      <c r="C380" s="6">
        <f>YEAR(E380)</f>
        <v/>
      </c>
      <c r="D380" s="6">
        <f>MONTH(E380)</f>
        <v/>
      </c>
      <c r="E380" s="267">
        <f>IFERROR(__xludf.DUMMYFUNCTION("""COMPUTED_VALUE"""),43642.6666666666)</f>
        <v/>
      </c>
      <c r="F380" s="6">
        <f>IFERROR(__xludf.DUMMYFUNCTION("""COMPUTED_VALUE"""),2913.78)</f>
        <v/>
      </c>
      <c r="J380" s="6">
        <f>K380&amp;L380</f>
        <v/>
      </c>
      <c r="K380" s="6">
        <f>YEAR(M380)</f>
        <v/>
      </c>
      <c r="L380" s="6">
        <f>MONTH(M380)</f>
        <v/>
      </c>
      <c r="M380" s="267">
        <f>IFERROR(__xludf.DUMMYFUNCTION("""COMPUTED_VALUE"""),43642.6666666666)</f>
        <v/>
      </c>
      <c r="N380" s="6">
        <f>IFERROR(__xludf.DUMMYFUNCTION("""COMPUTED_VALUE"""),7909.97)</f>
        <v/>
      </c>
      <c r="R380" s="6">
        <f>S380&amp;T380</f>
        <v/>
      </c>
      <c r="S380" s="6">
        <f>YEAR(U380)</f>
        <v/>
      </c>
      <c r="T380" s="6">
        <f>MONTH(U380)</f>
        <v/>
      </c>
      <c r="U380" s="267">
        <f>IFERROR(__xludf.DUMMYFUNCTION("""COMPUTED_VALUE"""),43665.6458333333)</f>
        <v/>
      </c>
      <c r="V380" s="6">
        <f>IFERROR(__xludf.DUMMYFUNCTION("""COMPUTED_VALUE"""),2094.36)</f>
        <v/>
      </c>
      <c r="Z380" s="6">
        <f>AA380&amp;AB380</f>
        <v/>
      </c>
      <c r="AA380" s="6">
        <f>YEAR(AC380)</f>
        <v/>
      </c>
      <c r="AB380" s="6">
        <f>MONTH(AC380)</f>
        <v/>
      </c>
      <c r="AC380" s="267">
        <f>IFERROR(__xludf.DUMMYFUNCTION("""COMPUTED_VALUE"""),43493.9986111111)</f>
        <v/>
      </c>
      <c r="AD380" s="6">
        <f>IFERROR(__xludf.DUMMYFUNCTION("""COMPUTED_VALUE"""),1119.7)</f>
        <v/>
      </c>
      <c r="AH380" s="6">
        <f>AI380&amp;AJ380</f>
        <v/>
      </c>
      <c r="AI380" s="6">
        <f>YEAR(AK380)</f>
        <v/>
      </c>
      <c r="AJ380" s="6">
        <f>MONTH(AK380)</f>
        <v/>
      </c>
      <c r="AK380" s="267">
        <f>IFERROR(__xludf.DUMMYFUNCTION("""COMPUTED_VALUE"""),43472.9986111111)</f>
        <v/>
      </c>
      <c r="AL380" s="6">
        <f>IFERROR(__xludf.DUMMYFUNCTION("""COMPUTED_VALUE"""),4014.808)</f>
        <v/>
      </c>
      <c r="AP380" s="6">
        <f>AQ380&amp;AR380</f>
        <v/>
      </c>
      <c r="AQ380" s="6">
        <f>YEAR(AS380)</f>
        <v/>
      </c>
      <c r="AR380" s="6">
        <f>MONTH(AS380)</f>
        <v/>
      </c>
      <c r="AS380" s="267">
        <f>IFERROR(__xludf.DUMMYFUNCTION("""COMPUTED_VALUE"""),43654.9986111111)</f>
        <v/>
      </c>
      <c r="AT380" s="6">
        <f>IFERROR(__xludf.DUMMYFUNCTION("""COMPUTED_VALUE"""),1400)</f>
        <v/>
      </c>
    </row>
    <row r="381">
      <c r="B381" s="6">
        <f>C381&amp;D381</f>
        <v/>
      </c>
      <c r="C381" s="6">
        <f>YEAR(E381)</f>
        <v/>
      </c>
      <c r="D381" s="6">
        <f>MONTH(E381)</f>
        <v/>
      </c>
      <c r="E381" s="267">
        <f>IFERROR(__xludf.DUMMYFUNCTION("""COMPUTED_VALUE"""),43643.6666666666)</f>
        <v/>
      </c>
      <c r="F381" s="6">
        <f>IFERROR(__xludf.DUMMYFUNCTION("""COMPUTED_VALUE"""),2924.92)</f>
        <v/>
      </c>
      <c r="J381" s="6">
        <f>K381&amp;L381</f>
        <v/>
      </c>
      <c r="K381" s="6">
        <f>YEAR(M381)</f>
        <v/>
      </c>
      <c r="L381" s="6">
        <f>MONTH(M381)</f>
        <v/>
      </c>
      <c r="M381" s="267">
        <f>IFERROR(__xludf.DUMMYFUNCTION("""COMPUTED_VALUE"""),43643.6666666666)</f>
        <v/>
      </c>
      <c r="N381" s="6">
        <f>IFERROR(__xludf.DUMMYFUNCTION("""COMPUTED_VALUE"""),7967.76)</f>
        <v/>
      </c>
      <c r="R381" s="6">
        <f>S381&amp;T381</f>
        <v/>
      </c>
      <c r="S381" s="6">
        <f>YEAR(U381)</f>
        <v/>
      </c>
      <c r="T381" s="6">
        <f>MONTH(U381)</f>
        <v/>
      </c>
      <c r="U381" s="267">
        <f>IFERROR(__xludf.DUMMYFUNCTION("""COMPUTED_VALUE"""),43668.6458333333)</f>
        <v/>
      </c>
      <c r="V381" s="6">
        <f>IFERROR(__xludf.DUMMYFUNCTION("""COMPUTED_VALUE"""),2093.34)</f>
        <v/>
      </c>
      <c r="Z381" s="6">
        <f>AA381&amp;AB381</f>
        <v/>
      </c>
      <c r="AA381" s="6">
        <f>YEAR(AC381)</f>
        <v/>
      </c>
      <c r="AB381" s="6">
        <f>MONTH(AC381)</f>
        <v/>
      </c>
      <c r="AC381" s="267">
        <f>IFERROR(__xludf.DUMMYFUNCTION("""COMPUTED_VALUE"""),43494.9986111111)</f>
        <v/>
      </c>
      <c r="AD381" s="6">
        <f>IFERROR(__xludf.DUMMYFUNCTION("""COMPUTED_VALUE"""),1117.87)</f>
        <v/>
      </c>
      <c r="AH381" s="6">
        <f>AI381&amp;AJ381</f>
        <v/>
      </c>
      <c r="AI381" s="6">
        <f>YEAR(AK381)</f>
        <v/>
      </c>
      <c r="AJ381" s="6">
        <f>MONTH(AK381)</f>
        <v/>
      </c>
      <c r="AK381" s="267">
        <f>IFERROR(__xludf.DUMMYFUNCTION("""COMPUTED_VALUE"""),43473.9986111111)</f>
        <v/>
      </c>
      <c r="AL381" s="6">
        <f>IFERROR(__xludf.DUMMYFUNCTION("""COMPUTED_VALUE"""),3997.441)</f>
        <v/>
      </c>
      <c r="AP381" s="6">
        <f>AQ381&amp;AR381</f>
        <v/>
      </c>
      <c r="AQ381" s="6">
        <f>YEAR(AS381)</f>
        <v/>
      </c>
      <c r="AR381" s="6">
        <f>MONTH(AS381)</f>
        <v/>
      </c>
      <c r="AS381" s="267">
        <f>IFERROR(__xludf.DUMMYFUNCTION("""COMPUTED_VALUE"""),43655.9986111111)</f>
        <v/>
      </c>
      <c r="AT381" s="6">
        <f>IFERROR(__xludf.DUMMYFUNCTION("""COMPUTED_VALUE"""),1400.5)</f>
        <v/>
      </c>
    </row>
    <row r="382">
      <c r="B382" s="6">
        <f>C382&amp;D382</f>
        <v/>
      </c>
      <c r="C382" s="6">
        <f>YEAR(E382)</f>
        <v/>
      </c>
      <c r="D382" s="6">
        <f>MONTH(E382)</f>
        <v/>
      </c>
      <c r="E382" s="267">
        <f>IFERROR(__xludf.DUMMYFUNCTION("""COMPUTED_VALUE"""),43644.6666666666)</f>
        <v/>
      </c>
      <c r="F382" s="6">
        <f>IFERROR(__xludf.DUMMYFUNCTION("""COMPUTED_VALUE"""),2941.76)</f>
        <v/>
      </c>
      <c r="J382" s="6">
        <f>K382&amp;L382</f>
        <v/>
      </c>
      <c r="K382" s="6">
        <f>YEAR(M382)</f>
        <v/>
      </c>
      <c r="L382" s="6">
        <f>MONTH(M382)</f>
        <v/>
      </c>
      <c r="M382" s="267">
        <f>IFERROR(__xludf.DUMMYFUNCTION("""COMPUTED_VALUE"""),43644.6666666666)</f>
        <v/>
      </c>
      <c r="N382" s="6">
        <f>IFERROR(__xludf.DUMMYFUNCTION("""COMPUTED_VALUE"""),8006.24)</f>
        <v/>
      </c>
      <c r="R382" s="6">
        <f>S382&amp;T382</f>
        <v/>
      </c>
      <c r="S382" s="6">
        <f>YEAR(U382)</f>
        <v/>
      </c>
      <c r="T382" s="6">
        <f>MONTH(U382)</f>
        <v/>
      </c>
      <c r="U382" s="267">
        <f>IFERROR(__xludf.DUMMYFUNCTION("""COMPUTED_VALUE"""),43669.6458333333)</f>
        <v/>
      </c>
      <c r="V382" s="6">
        <f>IFERROR(__xludf.DUMMYFUNCTION("""COMPUTED_VALUE"""),2101.45)</f>
        <v/>
      </c>
      <c r="Z382" s="6">
        <f>AA382&amp;AB382</f>
        <v/>
      </c>
      <c r="AA382" s="6">
        <f>YEAR(AC382)</f>
        <v/>
      </c>
      <c r="AB382" s="6">
        <f>MONTH(AC382)</f>
        <v/>
      </c>
      <c r="AC382" s="267">
        <f>IFERROR(__xludf.DUMMYFUNCTION("""COMPUTED_VALUE"""),43495.9986111111)</f>
        <v/>
      </c>
      <c r="AD382" s="6">
        <f>IFERROR(__xludf.DUMMYFUNCTION("""COMPUTED_VALUE"""),1109)</f>
        <v/>
      </c>
      <c r="AH382" s="6">
        <f>AI382&amp;AJ382</f>
        <v/>
      </c>
      <c r="AI382" s="6">
        <f>YEAR(AK382)</f>
        <v/>
      </c>
      <c r="AJ382" s="6">
        <f>MONTH(AK382)</f>
        <v/>
      </c>
      <c r="AK382" s="267">
        <f>IFERROR(__xludf.DUMMYFUNCTION("""COMPUTED_VALUE"""),43474.9986111111)</f>
        <v/>
      </c>
      <c r="AL382" s="6">
        <f>IFERROR(__xludf.DUMMYFUNCTION("""COMPUTED_VALUE"""),4018.623)</f>
        <v/>
      </c>
      <c r="AP382" s="6">
        <f>AQ382&amp;AR382</f>
        <v/>
      </c>
      <c r="AQ382" s="6">
        <f>YEAR(AS382)</f>
        <v/>
      </c>
      <c r="AR382" s="6">
        <f>MONTH(AS382)</f>
        <v/>
      </c>
      <c r="AS382" s="267">
        <f>IFERROR(__xludf.DUMMYFUNCTION("""COMPUTED_VALUE"""),43656.9986111111)</f>
        <v/>
      </c>
      <c r="AT382" s="6">
        <f>IFERROR(__xludf.DUMMYFUNCTION("""COMPUTED_VALUE"""),1412.5)</f>
        <v/>
      </c>
    </row>
    <row r="383">
      <c r="B383" s="6">
        <f>C383&amp;D383</f>
        <v/>
      </c>
      <c r="C383" s="6">
        <f>YEAR(E383)</f>
        <v/>
      </c>
      <c r="D383" s="6">
        <f>MONTH(E383)</f>
        <v/>
      </c>
      <c r="E383" s="267">
        <f>IFERROR(__xludf.DUMMYFUNCTION("""COMPUTED_VALUE"""),43647.6666666666)</f>
        <v/>
      </c>
      <c r="F383" s="6">
        <f>IFERROR(__xludf.DUMMYFUNCTION("""COMPUTED_VALUE"""),2964.33)</f>
        <v/>
      </c>
      <c r="J383" s="6">
        <f>K383&amp;L383</f>
        <v/>
      </c>
      <c r="K383" s="6">
        <f>YEAR(M383)</f>
        <v/>
      </c>
      <c r="L383" s="6">
        <f>MONTH(M383)</f>
        <v/>
      </c>
      <c r="M383" s="267">
        <f>IFERROR(__xludf.DUMMYFUNCTION("""COMPUTED_VALUE"""),43647.6666666666)</f>
        <v/>
      </c>
      <c r="N383" s="6">
        <f>IFERROR(__xludf.DUMMYFUNCTION("""COMPUTED_VALUE"""),8091.16)</f>
        <v/>
      </c>
      <c r="R383" s="6">
        <f>S383&amp;T383</f>
        <v/>
      </c>
      <c r="S383" s="6">
        <f>YEAR(U383)</f>
        <v/>
      </c>
      <c r="T383" s="6">
        <f>MONTH(U383)</f>
        <v/>
      </c>
      <c r="U383" s="267">
        <f>IFERROR(__xludf.DUMMYFUNCTION("""COMPUTED_VALUE"""),43670.6458333333)</f>
        <v/>
      </c>
      <c r="V383" s="6">
        <f>IFERROR(__xludf.DUMMYFUNCTION("""COMPUTED_VALUE"""),2082.3)</f>
        <v/>
      </c>
      <c r="Z383" s="6">
        <f>AA383&amp;AB383</f>
        <v/>
      </c>
      <c r="AA383" s="6">
        <f>YEAR(AC383)</f>
        <v/>
      </c>
      <c r="AB383" s="6">
        <f>MONTH(AC383)</f>
        <v/>
      </c>
      <c r="AC383" s="267">
        <f>IFERROR(__xludf.DUMMYFUNCTION("""COMPUTED_VALUE"""),43496.9986111111)</f>
        <v/>
      </c>
      <c r="AD383" s="6">
        <f>IFERROR(__xludf.DUMMYFUNCTION("""COMPUTED_VALUE"""),1111.55)</f>
        <v/>
      </c>
      <c r="AH383" s="6">
        <f>AI383&amp;AJ383</f>
        <v/>
      </c>
      <c r="AI383" s="6">
        <f>YEAR(AK383)</f>
        <v/>
      </c>
      <c r="AJ383" s="6">
        <f>MONTH(AK383)</f>
        <v/>
      </c>
      <c r="AK383" s="267">
        <f>IFERROR(__xludf.DUMMYFUNCTION("""COMPUTED_VALUE"""),43475.9986111111)</f>
        <v/>
      </c>
      <c r="AL383" s="6">
        <f>IFERROR(__xludf.DUMMYFUNCTION("""COMPUTED_VALUE"""),3624.146)</f>
        <v/>
      </c>
      <c r="AP383" s="6">
        <f>AQ383&amp;AR383</f>
        <v/>
      </c>
      <c r="AQ383" s="6">
        <f>YEAR(AS383)</f>
        <v/>
      </c>
      <c r="AR383" s="6">
        <f>MONTH(AS383)</f>
        <v/>
      </c>
      <c r="AS383" s="267">
        <f>IFERROR(__xludf.DUMMYFUNCTION("""COMPUTED_VALUE"""),43657.9986111111)</f>
        <v/>
      </c>
      <c r="AT383" s="6">
        <f>IFERROR(__xludf.DUMMYFUNCTION("""COMPUTED_VALUE"""),1406.7)</f>
        <v/>
      </c>
    </row>
    <row r="384">
      <c r="B384" s="6">
        <f>C384&amp;D384</f>
        <v/>
      </c>
      <c r="C384" s="6">
        <f>YEAR(E384)</f>
        <v/>
      </c>
      <c r="D384" s="6">
        <f>MONTH(E384)</f>
        <v/>
      </c>
      <c r="E384" s="267">
        <f>IFERROR(__xludf.DUMMYFUNCTION("""COMPUTED_VALUE"""),43648.6666666666)</f>
        <v/>
      </c>
      <c r="F384" s="6">
        <f>IFERROR(__xludf.DUMMYFUNCTION("""COMPUTED_VALUE"""),2973.01)</f>
        <v/>
      </c>
      <c r="J384" s="6">
        <f>K384&amp;L384</f>
        <v/>
      </c>
      <c r="K384" s="6">
        <f>YEAR(M384)</f>
        <v/>
      </c>
      <c r="L384" s="6">
        <f>MONTH(M384)</f>
        <v/>
      </c>
      <c r="M384" s="267">
        <f>IFERROR(__xludf.DUMMYFUNCTION("""COMPUTED_VALUE"""),43648.6666666666)</f>
        <v/>
      </c>
      <c r="N384" s="6">
        <f>IFERROR(__xludf.DUMMYFUNCTION("""COMPUTED_VALUE"""),8109.09)</f>
        <v/>
      </c>
      <c r="R384" s="6">
        <f>S384&amp;T384</f>
        <v/>
      </c>
      <c r="S384" s="6">
        <f>YEAR(U384)</f>
        <v/>
      </c>
      <c r="T384" s="6">
        <f>MONTH(U384)</f>
        <v/>
      </c>
      <c r="U384" s="267">
        <f>IFERROR(__xludf.DUMMYFUNCTION("""COMPUTED_VALUE"""),43671.6458333333)</f>
        <v/>
      </c>
      <c r="V384" s="6">
        <f>IFERROR(__xludf.DUMMYFUNCTION("""COMPUTED_VALUE"""),2074.48)</f>
        <v/>
      </c>
      <c r="Z384" s="6">
        <f>AA384&amp;AB384</f>
        <v/>
      </c>
      <c r="AA384" s="6">
        <f>YEAR(AC384)</f>
        <v/>
      </c>
      <c r="AB384" s="6">
        <f>MONTH(AC384)</f>
        <v/>
      </c>
      <c r="AC384" s="267">
        <f>IFERROR(__xludf.DUMMYFUNCTION("""COMPUTED_VALUE"""),43497.9986111111)</f>
        <v/>
      </c>
      <c r="AD384" s="6">
        <f>IFERROR(__xludf.DUMMYFUNCTION("""COMPUTED_VALUE"""),1118)</f>
        <v/>
      </c>
      <c r="AH384" s="6">
        <f>AI384&amp;AJ384</f>
        <v/>
      </c>
      <c r="AI384" s="6">
        <f>YEAR(AK384)</f>
        <v/>
      </c>
      <c r="AJ384" s="6">
        <f>MONTH(AK384)</f>
        <v/>
      </c>
      <c r="AK384" s="267">
        <f>IFERROR(__xludf.DUMMYFUNCTION("""COMPUTED_VALUE"""),43476.9986111111)</f>
        <v/>
      </c>
      <c r="AL384" s="6">
        <f>IFERROR(__xludf.DUMMYFUNCTION("""COMPUTED_VALUE"""),3640.597)</f>
        <v/>
      </c>
      <c r="AP384" s="6">
        <f>AQ384&amp;AR384</f>
        <v/>
      </c>
      <c r="AQ384" s="6">
        <f>YEAR(AS384)</f>
        <v/>
      </c>
      <c r="AR384" s="6">
        <f>MONTH(AS384)</f>
        <v/>
      </c>
      <c r="AS384" s="267">
        <f>IFERROR(__xludf.DUMMYFUNCTION("""COMPUTED_VALUE"""),43658.9986111111)</f>
        <v/>
      </c>
      <c r="AT384" s="6">
        <f>IFERROR(__xludf.DUMMYFUNCTION("""COMPUTED_VALUE"""),1412.2)</f>
        <v/>
      </c>
    </row>
    <row r="385">
      <c r="B385" s="6">
        <f>C385&amp;D385</f>
        <v/>
      </c>
      <c r="C385" s="6">
        <f>YEAR(E385)</f>
        <v/>
      </c>
      <c r="D385" s="6">
        <f>MONTH(E385)</f>
        <v/>
      </c>
      <c r="E385" s="267">
        <f>IFERROR(__xludf.DUMMYFUNCTION("""COMPUTED_VALUE"""),43649.5416666666)</f>
        <v/>
      </c>
      <c r="F385" s="6">
        <f>IFERROR(__xludf.DUMMYFUNCTION("""COMPUTED_VALUE"""),2995.82)</f>
        <v/>
      </c>
      <c r="J385" s="6">
        <f>K385&amp;L385</f>
        <v/>
      </c>
      <c r="K385" s="6">
        <f>YEAR(M385)</f>
        <v/>
      </c>
      <c r="L385" s="6">
        <f>MONTH(M385)</f>
        <v/>
      </c>
      <c r="M385" s="267">
        <f>IFERROR(__xludf.DUMMYFUNCTION("""COMPUTED_VALUE"""),43649.5416666666)</f>
        <v/>
      </c>
      <c r="N385" s="6">
        <f>IFERROR(__xludf.DUMMYFUNCTION("""COMPUTED_VALUE"""),8170.23)</f>
        <v/>
      </c>
      <c r="R385" s="6">
        <f>S385&amp;T385</f>
        <v/>
      </c>
      <c r="S385" s="6">
        <f>YEAR(U385)</f>
        <v/>
      </c>
      <c r="T385" s="6">
        <f>MONTH(U385)</f>
        <v/>
      </c>
      <c r="U385" s="267">
        <f>IFERROR(__xludf.DUMMYFUNCTION("""COMPUTED_VALUE"""),43672.6458333333)</f>
        <v/>
      </c>
      <c r="V385" s="6">
        <f>IFERROR(__xludf.DUMMYFUNCTION("""COMPUTED_VALUE"""),2066.26)</f>
        <v/>
      </c>
      <c r="Z385" s="6">
        <f>AA385&amp;AB385</f>
        <v/>
      </c>
      <c r="AA385" s="6">
        <f>YEAR(AC385)</f>
        <v/>
      </c>
      <c r="AB385" s="6">
        <f>MONTH(AC385)</f>
        <v/>
      </c>
      <c r="AC385" s="267">
        <f>IFERROR(__xludf.DUMMYFUNCTION("""COMPUTED_VALUE"""),43499.9986111111)</f>
        <v/>
      </c>
      <c r="AD385" s="6">
        <f>IFERROR(__xludf.DUMMYFUNCTION("""COMPUTED_VALUE"""),1118.3)</f>
        <v/>
      </c>
      <c r="AH385" s="6">
        <f>AI385&amp;AJ385</f>
        <v/>
      </c>
      <c r="AI385" s="6">
        <f>YEAR(AK385)</f>
        <v/>
      </c>
      <c r="AJ385" s="6">
        <f>MONTH(AK385)</f>
        <v/>
      </c>
      <c r="AK385" s="267">
        <f>IFERROR(__xludf.DUMMYFUNCTION("""COMPUTED_VALUE"""),43477.9986111111)</f>
        <v/>
      </c>
      <c r="AL385" s="6">
        <f>IFERROR(__xludf.DUMMYFUNCTION("""COMPUTED_VALUE"""),3624.767)</f>
        <v/>
      </c>
      <c r="AP385" s="6">
        <f>AQ385&amp;AR385</f>
        <v/>
      </c>
      <c r="AQ385" s="6">
        <f>YEAR(AS385)</f>
        <v/>
      </c>
      <c r="AR385" s="6">
        <f>MONTH(AS385)</f>
        <v/>
      </c>
      <c r="AS385" s="267">
        <f>IFERROR(__xludf.DUMMYFUNCTION("""COMPUTED_VALUE"""),43661.9986111111)</f>
        <v/>
      </c>
      <c r="AT385" s="6">
        <f>IFERROR(__xludf.DUMMYFUNCTION("""COMPUTED_VALUE"""),1413.5)</f>
        <v/>
      </c>
    </row>
    <row r="386">
      <c r="B386" s="6">
        <f>C386&amp;D386</f>
        <v/>
      </c>
      <c r="C386" s="6">
        <f>YEAR(E386)</f>
        <v/>
      </c>
      <c r="D386" s="6">
        <f>MONTH(E386)</f>
        <v/>
      </c>
      <c r="E386" s="267">
        <f>IFERROR(__xludf.DUMMYFUNCTION("""COMPUTED_VALUE"""),43651.6666666666)</f>
        <v/>
      </c>
      <c r="F386" s="6">
        <f>IFERROR(__xludf.DUMMYFUNCTION("""COMPUTED_VALUE"""),2990.41)</f>
        <v/>
      </c>
      <c r="J386" s="6">
        <f>K386&amp;L386</f>
        <v/>
      </c>
      <c r="K386" s="6">
        <f>YEAR(M386)</f>
        <v/>
      </c>
      <c r="L386" s="6">
        <f>MONTH(M386)</f>
        <v/>
      </c>
      <c r="M386" s="267">
        <f>IFERROR(__xludf.DUMMYFUNCTION("""COMPUTED_VALUE"""),43651.6666666666)</f>
        <v/>
      </c>
      <c r="N386" s="6">
        <f>IFERROR(__xludf.DUMMYFUNCTION("""COMPUTED_VALUE"""),8161.79)</f>
        <v/>
      </c>
      <c r="R386" s="6">
        <f>S386&amp;T386</f>
        <v/>
      </c>
      <c r="S386" s="6">
        <f>YEAR(U386)</f>
        <v/>
      </c>
      <c r="T386" s="6">
        <f>MONTH(U386)</f>
        <v/>
      </c>
      <c r="U386" s="267">
        <f>IFERROR(__xludf.DUMMYFUNCTION("""COMPUTED_VALUE"""),43675.6458333333)</f>
        <v/>
      </c>
      <c r="V386" s="6">
        <f>IFERROR(__xludf.DUMMYFUNCTION("""COMPUTED_VALUE"""),2029.48)</f>
        <v/>
      </c>
      <c r="Z386" s="6">
        <f>AA386&amp;AB386</f>
        <v/>
      </c>
      <c r="AA386" s="6">
        <f>YEAR(AC386)</f>
        <v/>
      </c>
      <c r="AB386" s="6">
        <f>MONTH(AC386)</f>
        <v/>
      </c>
      <c r="AC386" s="267">
        <f>IFERROR(__xludf.DUMMYFUNCTION("""COMPUTED_VALUE"""),43500.9986111111)</f>
        <v/>
      </c>
      <c r="AD386" s="6">
        <f>IFERROR(__xludf.DUMMYFUNCTION("""COMPUTED_VALUE"""),1121.1)</f>
        <v/>
      </c>
      <c r="AH386" s="6">
        <f>AI386&amp;AJ386</f>
        <v/>
      </c>
      <c r="AI386" s="6">
        <f>YEAR(AK386)</f>
        <v/>
      </c>
      <c r="AJ386" s="6">
        <f>MONTH(AK386)</f>
        <v/>
      </c>
      <c r="AK386" s="267">
        <f>IFERROR(__xludf.DUMMYFUNCTION("""COMPUTED_VALUE"""),43478.9986111111)</f>
        <v/>
      </c>
      <c r="AL386" s="6">
        <f>IFERROR(__xludf.DUMMYFUNCTION("""COMPUTED_VALUE"""),3511.743)</f>
        <v/>
      </c>
      <c r="AP386" s="6">
        <f>AQ386&amp;AR386</f>
        <v/>
      </c>
      <c r="AQ386" s="6">
        <f>YEAR(AS386)</f>
        <v/>
      </c>
      <c r="AR386" s="6">
        <f>MONTH(AS386)</f>
        <v/>
      </c>
      <c r="AS386" s="267">
        <f>IFERROR(__xludf.DUMMYFUNCTION("""COMPUTED_VALUE"""),43662.9986111111)</f>
        <v/>
      </c>
      <c r="AT386" s="6">
        <f>IFERROR(__xludf.DUMMYFUNCTION("""COMPUTED_VALUE"""),1411.2)</f>
        <v/>
      </c>
    </row>
    <row r="387">
      <c r="B387" s="6">
        <f>C387&amp;D387</f>
        <v/>
      </c>
      <c r="C387" s="6">
        <f>YEAR(E387)</f>
        <v/>
      </c>
      <c r="D387" s="6">
        <f>MONTH(E387)</f>
        <v/>
      </c>
      <c r="E387" s="267">
        <f>IFERROR(__xludf.DUMMYFUNCTION("""COMPUTED_VALUE"""),43654.6666666666)</f>
        <v/>
      </c>
      <c r="F387" s="6">
        <f>IFERROR(__xludf.DUMMYFUNCTION("""COMPUTED_VALUE"""),2975.95)</f>
        <v/>
      </c>
      <c r="J387" s="6">
        <f>K387&amp;L387</f>
        <v/>
      </c>
      <c r="K387" s="6">
        <f>YEAR(M387)</f>
        <v/>
      </c>
      <c r="L387" s="6">
        <f>MONTH(M387)</f>
        <v/>
      </c>
      <c r="M387" s="267">
        <f>IFERROR(__xludf.DUMMYFUNCTION("""COMPUTED_VALUE"""),43654.6666666666)</f>
        <v/>
      </c>
      <c r="N387" s="6">
        <f>IFERROR(__xludf.DUMMYFUNCTION("""COMPUTED_VALUE"""),8098.38)</f>
        <v/>
      </c>
      <c r="R387" s="6">
        <f>S387&amp;T387</f>
        <v/>
      </c>
      <c r="S387" s="6">
        <f>YEAR(U387)</f>
        <v/>
      </c>
      <c r="T387" s="6">
        <f>MONTH(U387)</f>
        <v/>
      </c>
      <c r="U387" s="267">
        <f>IFERROR(__xludf.DUMMYFUNCTION("""COMPUTED_VALUE"""),43676.6458333333)</f>
        <v/>
      </c>
      <c r="V387" s="6">
        <f>IFERROR(__xludf.DUMMYFUNCTION("""COMPUTED_VALUE"""),2038.68)</f>
        <v/>
      </c>
      <c r="Z387" s="6">
        <f>AA387&amp;AB387</f>
        <v/>
      </c>
      <c r="AA387" s="6">
        <f>YEAR(AC387)</f>
        <v/>
      </c>
      <c r="AB387" s="6">
        <f>MONTH(AC387)</f>
        <v/>
      </c>
      <c r="AC387" s="267">
        <f>IFERROR(__xludf.DUMMYFUNCTION("""COMPUTED_VALUE"""),43501.9986111111)</f>
        <v/>
      </c>
      <c r="AD387" s="6">
        <f>IFERROR(__xludf.DUMMYFUNCTION("""COMPUTED_VALUE"""),1118.7)</f>
        <v/>
      </c>
      <c r="AH387" s="6">
        <f>AI387&amp;AJ387</f>
        <v/>
      </c>
      <c r="AI387" s="6">
        <f>YEAR(AK387)</f>
        <v/>
      </c>
      <c r="AJ387" s="6">
        <f>MONTH(AK387)</f>
        <v/>
      </c>
      <c r="AK387" s="267">
        <f>IFERROR(__xludf.DUMMYFUNCTION("""COMPUTED_VALUE"""),43479.9986111111)</f>
        <v/>
      </c>
      <c r="AL387" s="6">
        <f>IFERROR(__xludf.DUMMYFUNCTION("""COMPUTED_VALUE"""),3670.165)</f>
        <v/>
      </c>
      <c r="AP387" s="6">
        <f>AQ387&amp;AR387</f>
        <v/>
      </c>
      <c r="AQ387" s="6">
        <f>YEAR(AS387)</f>
        <v/>
      </c>
      <c r="AR387" s="6">
        <f>MONTH(AS387)</f>
        <v/>
      </c>
      <c r="AS387" s="267">
        <f>IFERROR(__xludf.DUMMYFUNCTION("""COMPUTED_VALUE"""),43663.9986111111)</f>
        <v/>
      </c>
      <c r="AT387" s="6">
        <f>IFERROR(__xludf.DUMMYFUNCTION("""COMPUTED_VALUE"""),1423.3)</f>
        <v/>
      </c>
    </row>
    <row r="388">
      <c r="B388" s="6">
        <f>C388&amp;D388</f>
        <v/>
      </c>
      <c r="C388" s="6">
        <f>YEAR(E388)</f>
        <v/>
      </c>
      <c r="D388" s="6">
        <f>MONTH(E388)</f>
        <v/>
      </c>
      <c r="E388" s="267">
        <f>IFERROR(__xludf.DUMMYFUNCTION("""COMPUTED_VALUE"""),43655.6666666666)</f>
        <v/>
      </c>
      <c r="F388" s="6">
        <f>IFERROR(__xludf.DUMMYFUNCTION("""COMPUTED_VALUE"""),2979.63)</f>
        <v/>
      </c>
      <c r="J388" s="6">
        <f>K388&amp;L388</f>
        <v/>
      </c>
      <c r="K388" s="6">
        <f>YEAR(M388)</f>
        <v/>
      </c>
      <c r="L388" s="6">
        <f>MONTH(M388)</f>
        <v/>
      </c>
      <c r="M388" s="267">
        <f>IFERROR(__xludf.DUMMYFUNCTION("""COMPUTED_VALUE"""),43655.6666666666)</f>
        <v/>
      </c>
      <c r="N388" s="6">
        <f>IFERROR(__xludf.DUMMYFUNCTION("""COMPUTED_VALUE"""),8141.73)</f>
        <v/>
      </c>
      <c r="R388" s="6">
        <f>S388&amp;T388</f>
        <v/>
      </c>
      <c r="S388" s="6">
        <f>YEAR(U388)</f>
        <v/>
      </c>
      <c r="T388" s="6">
        <f>MONTH(U388)</f>
        <v/>
      </c>
      <c r="U388" s="267">
        <f>IFERROR(__xludf.DUMMYFUNCTION("""COMPUTED_VALUE"""),43677.6458333333)</f>
        <v/>
      </c>
      <c r="V388" s="6">
        <f>IFERROR(__xludf.DUMMYFUNCTION("""COMPUTED_VALUE"""),2024.55)</f>
        <v/>
      </c>
      <c r="Z388" s="6">
        <f>AA388&amp;AB388</f>
        <v/>
      </c>
      <c r="AA388" s="6">
        <f>YEAR(AC388)</f>
        <v/>
      </c>
      <c r="AB388" s="6">
        <f>MONTH(AC388)</f>
        <v/>
      </c>
      <c r="AC388" s="267">
        <f>IFERROR(__xludf.DUMMYFUNCTION("""COMPUTED_VALUE"""),43502.9986111111)</f>
        <v/>
      </c>
      <c r="AD388" s="6">
        <f>IFERROR(__xludf.DUMMYFUNCTION("""COMPUTED_VALUE"""),1121.63)</f>
        <v/>
      </c>
      <c r="AH388" s="6">
        <f>AI388&amp;AJ388</f>
        <v/>
      </c>
      <c r="AI388" s="6">
        <f>YEAR(AK388)</f>
        <v/>
      </c>
      <c r="AJ388" s="6">
        <f>MONTH(AK388)</f>
        <v/>
      </c>
      <c r="AK388" s="267">
        <f>IFERROR(__xludf.DUMMYFUNCTION("""COMPUTED_VALUE"""),43480.9986111111)</f>
        <v/>
      </c>
      <c r="AL388" s="6">
        <f>IFERROR(__xludf.DUMMYFUNCTION("""COMPUTED_VALUE"""),3604.193)</f>
        <v/>
      </c>
      <c r="AP388" s="6">
        <f>AQ388&amp;AR388</f>
        <v/>
      </c>
      <c r="AQ388" s="6">
        <f>YEAR(AS388)</f>
        <v/>
      </c>
      <c r="AR388" s="6">
        <f>MONTH(AS388)</f>
        <v/>
      </c>
      <c r="AS388" s="267">
        <f>IFERROR(__xludf.DUMMYFUNCTION("""COMPUTED_VALUE"""),43664.9986111111)</f>
        <v/>
      </c>
      <c r="AT388" s="6">
        <f>IFERROR(__xludf.DUMMYFUNCTION("""COMPUTED_VALUE"""),1428.1)</f>
        <v/>
      </c>
    </row>
    <row r="389">
      <c r="B389" s="6">
        <f>C389&amp;D389</f>
        <v/>
      </c>
      <c r="C389" s="6">
        <f>YEAR(E389)</f>
        <v/>
      </c>
      <c r="D389" s="6">
        <f>MONTH(E389)</f>
        <v/>
      </c>
      <c r="E389" s="267">
        <f>IFERROR(__xludf.DUMMYFUNCTION("""COMPUTED_VALUE"""),43656.6666666666)</f>
        <v/>
      </c>
      <c r="F389" s="6">
        <f>IFERROR(__xludf.DUMMYFUNCTION("""COMPUTED_VALUE"""),2993.07)</f>
        <v/>
      </c>
      <c r="J389" s="6">
        <f>K389&amp;L389</f>
        <v/>
      </c>
      <c r="K389" s="6">
        <f>YEAR(M389)</f>
        <v/>
      </c>
      <c r="L389" s="6">
        <f>MONTH(M389)</f>
        <v/>
      </c>
      <c r="M389" s="267">
        <f>IFERROR(__xludf.DUMMYFUNCTION("""COMPUTED_VALUE"""),43656.6666666666)</f>
        <v/>
      </c>
      <c r="N389" s="6">
        <f>IFERROR(__xludf.DUMMYFUNCTION("""COMPUTED_VALUE"""),8202.53)</f>
        <v/>
      </c>
      <c r="R389" s="6">
        <f>S389&amp;T389</f>
        <v/>
      </c>
      <c r="S389" s="6">
        <f>YEAR(U389)</f>
        <v/>
      </c>
      <c r="T389" s="6">
        <f>MONTH(U389)</f>
        <v/>
      </c>
      <c r="U389" s="267">
        <f>IFERROR(__xludf.DUMMYFUNCTION("""COMPUTED_VALUE"""),43678.6458333333)</f>
        <v/>
      </c>
      <c r="V389" s="6">
        <f>IFERROR(__xludf.DUMMYFUNCTION("""COMPUTED_VALUE"""),2017.34)</f>
        <v/>
      </c>
      <c r="Z389" s="6">
        <f>AA389&amp;AB389</f>
        <v/>
      </c>
      <c r="AA389" s="6">
        <f>YEAR(AC389)</f>
        <v/>
      </c>
      <c r="AB389" s="6">
        <f>MONTH(AC389)</f>
        <v/>
      </c>
      <c r="AC389" s="267">
        <f>IFERROR(__xludf.DUMMYFUNCTION("""COMPUTED_VALUE"""),43503.9986111111)</f>
        <v/>
      </c>
      <c r="AD389" s="6">
        <f>IFERROR(__xludf.DUMMYFUNCTION("""COMPUTED_VALUE"""),1123.75)</f>
        <v/>
      </c>
      <c r="AH389" s="6">
        <f>AI389&amp;AJ389</f>
        <v/>
      </c>
      <c r="AI389" s="6">
        <f>YEAR(AK389)</f>
        <v/>
      </c>
      <c r="AJ389" s="6">
        <f>MONTH(AK389)</f>
        <v/>
      </c>
      <c r="AK389" s="267">
        <f>IFERROR(__xludf.DUMMYFUNCTION("""COMPUTED_VALUE"""),43481.9986111111)</f>
        <v/>
      </c>
      <c r="AL389" s="6">
        <f>IFERROR(__xludf.DUMMYFUNCTION("""COMPUTED_VALUE"""),3604.278)</f>
        <v/>
      </c>
      <c r="AP389" s="6">
        <f>AQ389&amp;AR389</f>
        <v/>
      </c>
      <c r="AQ389" s="6">
        <f>YEAR(AS389)</f>
        <v/>
      </c>
      <c r="AR389" s="6">
        <f>MONTH(AS389)</f>
        <v/>
      </c>
      <c r="AS389" s="267">
        <f>IFERROR(__xludf.DUMMYFUNCTION("""COMPUTED_VALUE"""),43665.9986111111)</f>
        <v/>
      </c>
      <c r="AT389" s="6">
        <f>IFERROR(__xludf.DUMMYFUNCTION("""COMPUTED_VALUE"""),1426.7)</f>
        <v/>
      </c>
    </row>
    <row r="390">
      <c r="B390" s="6">
        <f>C390&amp;D390</f>
        <v/>
      </c>
      <c r="C390" s="6">
        <f>YEAR(E390)</f>
        <v/>
      </c>
      <c r="D390" s="6">
        <f>MONTH(E390)</f>
        <v/>
      </c>
      <c r="E390" s="267">
        <f>IFERROR(__xludf.DUMMYFUNCTION("""COMPUTED_VALUE"""),43657.6666666666)</f>
        <v/>
      </c>
      <c r="F390" s="6">
        <f>IFERROR(__xludf.DUMMYFUNCTION("""COMPUTED_VALUE"""),2999.91)</f>
        <v/>
      </c>
      <c r="J390" s="6">
        <f>K390&amp;L390</f>
        <v/>
      </c>
      <c r="K390" s="6">
        <f>YEAR(M390)</f>
        <v/>
      </c>
      <c r="L390" s="6">
        <f>MONTH(M390)</f>
        <v/>
      </c>
      <c r="M390" s="267">
        <f>IFERROR(__xludf.DUMMYFUNCTION("""COMPUTED_VALUE"""),43657.6666666666)</f>
        <v/>
      </c>
      <c r="N390" s="6">
        <f>IFERROR(__xludf.DUMMYFUNCTION("""COMPUTED_VALUE"""),8196.04)</f>
        <v/>
      </c>
      <c r="R390" s="6">
        <f>S390&amp;T390</f>
        <v/>
      </c>
      <c r="S390" s="6">
        <f>YEAR(U390)</f>
        <v/>
      </c>
      <c r="T390" s="6">
        <f>MONTH(U390)</f>
        <v/>
      </c>
      <c r="U390" s="267">
        <f>IFERROR(__xludf.DUMMYFUNCTION("""COMPUTED_VALUE"""),43679.6458333333)</f>
        <v/>
      </c>
      <c r="V390" s="6">
        <f>IFERROR(__xludf.DUMMYFUNCTION("""COMPUTED_VALUE"""),1998.13)</f>
        <v/>
      </c>
      <c r="Z390" s="6">
        <f>AA390&amp;AB390</f>
        <v/>
      </c>
      <c r="AA390" s="6">
        <f>YEAR(AC390)</f>
        <v/>
      </c>
      <c r="AB390" s="6">
        <f>MONTH(AC390)</f>
        <v/>
      </c>
      <c r="AC390" s="267">
        <f>IFERROR(__xludf.DUMMYFUNCTION("""COMPUTED_VALUE"""),43504.9986111111)</f>
        <v/>
      </c>
      <c r="AD390" s="6">
        <f>IFERROR(__xludf.DUMMYFUNCTION("""COMPUTED_VALUE"""),1122.79)</f>
        <v/>
      </c>
      <c r="AH390" s="6">
        <f>AI390&amp;AJ390</f>
        <v/>
      </c>
      <c r="AI390" s="6">
        <f>YEAR(AK390)</f>
        <v/>
      </c>
      <c r="AJ390" s="6">
        <f>MONTH(AK390)</f>
        <v/>
      </c>
      <c r="AK390" s="267">
        <f>IFERROR(__xludf.DUMMYFUNCTION("""COMPUTED_VALUE"""),43482.9986111111)</f>
        <v/>
      </c>
      <c r="AL390" s="6">
        <f>IFERROR(__xludf.DUMMYFUNCTION("""COMPUTED_VALUE"""),3650.267)</f>
        <v/>
      </c>
      <c r="AP390" s="6">
        <f>AQ390&amp;AR390</f>
        <v/>
      </c>
      <c r="AQ390" s="6">
        <f>YEAR(AS390)</f>
        <v/>
      </c>
      <c r="AR390" s="6">
        <f>MONTH(AS390)</f>
        <v/>
      </c>
      <c r="AS390" s="267">
        <f>IFERROR(__xludf.DUMMYFUNCTION("""COMPUTED_VALUE"""),43668.9986111111)</f>
        <v/>
      </c>
      <c r="AT390" s="6">
        <f>IFERROR(__xludf.DUMMYFUNCTION("""COMPUTED_VALUE"""),1426.9)</f>
        <v/>
      </c>
    </row>
    <row r="391">
      <c r="B391" s="6">
        <f>C391&amp;D391</f>
        <v/>
      </c>
      <c r="C391" s="6">
        <f>YEAR(E391)</f>
        <v/>
      </c>
      <c r="D391" s="6">
        <f>MONTH(E391)</f>
        <v/>
      </c>
      <c r="E391" s="267">
        <f>IFERROR(__xludf.DUMMYFUNCTION("""COMPUTED_VALUE"""),43658.6666666666)</f>
        <v/>
      </c>
      <c r="F391" s="6">
        <f>IFERROR(__xludf.DUMMYFUNCTION("""COMPUTED_VALUE"""),3013.77)</f>
        <v/>
      </c>
      <c r="J391" s="6">
        <f>K391&amp;L391</f>
        <v/>
      </c>
      <c r="K391" s="6">
        <f>YEAR(M391)</f>
        <v/>
      </c>
      <c r="L391" s="6">
        <f>MONTH(M391)</f>
        <v/>
      </c>
      <c r="M391" s="267">
        <f>IFERROR(__xludf.DUMMYFUNCTION("""COMPUTED_VALUE"""),43658.6666666666)</f>
        <v/>
      </c>
      <c r="N391" s="6">
        <f>IFERROR(__xludf.DUMMYFUNCTION("""COMPUTED_VALUE"""),8244.14)</f>
        <v/>
      </c>
      <c r="R391" s="6">
        <f>S391&amp;T391</f>
        <v/>
      </c>
      <c r="S391" s="6">
        <f>YEAR(U391)</f>
        <v/>
      </c>
      <c r="T391" s="6">
        <f>MONTH(U391)</f>
        <v/>
      </c>
      <c r="U391" s="267">
        <f>IFERROR(__xludf.DUMMYFUNCTION("""COMPUTED_VALUE"""),43682.6458333333)</f>
        <v/>
      </c>
      <c r="V391" s="6">
        <f>IFERROR(__xludf.DUMMYFUNCTION("""COMPUTED_VALUE"""),1946.98)</f>
        <v/>
      </c>
      <c r="Z391" s="6">
        <f>AA391&amp;AB391</f>
        <v/>
      </c>
      <c r="AA391" s="6">
        <f>YEAR(AC391)</f>
        <v/>
      </c>
      <c r="AB391" s="6">
        <f>MONTH(AC391)</f>
        <v/>
      </c>
      <c r="AC391" s="267">
        <f>IFERROR(__xludf.DUMMYFUNCTION("""COMPUTED_VALUE"""),43505.9986111111)</f>
        <v/>
      </c>
      <c r="AD391" s="6">
        <f>IFERROR(__xludf.DUMMYFUNCTION("""COMPUTED_VALUE"""),1122.5)</f>
        <v/>
      </c>
      <c r="AH391" s="6">
        <f>AI391&amp;AJ391</f>
        <v/>
      </c>
      <c r="AI391" s="6">
        <f>YEAR(AK391)</f>
        <v/>
      </c>
      <c r="AJ391" s="6">
        <f>MONTH(AK391)</f>
        <v/>
      </c>
      <c r="AK391" s="267">
        <f>IFERROR(__xludf.DUMMYFUNCTION("""COMPUTED_VALUE"""),43483.9986111111)</f>
        <v/>
      </c>
      <c r="AL391" s="6">
        <f>IFERROR(__xludf.DUMMYFUNCTION("""COMPUTED_VALUE"""),3613.682)</f>
        <v/>
      </c>
      <c r="AP391" s="6">
        <f>AQ391&amp;AR391</f>
        <v/>
      </c>
      <c r="AQ391" s="6">
        <f>YEAR(AS391)</f>
        <v/>
      </c>
      <c r="AR391" s="6">
        <f>MONTH(AS391)</f>
        <v/>
      </c>
      <c r="AS391" s="267">
        <f>IFERROR(__xludf.DUMMYFUNCTION("""COMPUTED_VALUE"""),43669.9986111111)</f>
        <v/>
      </c>
      <c r="AT391" s="6">
        <f>IFERROR(__xludf.DUMMYFUNCTION("""COMPUTED_VALUE"""),1421.7)</f>
        <v/>
      </c>
    </row>
    <row r="392">
      <c r="B392" s="6">
        <f>C392&amp;D392</f>
        <v/>
      </c>
      <c r="C392" s="6">
        <f>YEAR(E392)</f>
        <v/>
      </c>
      <c r="D392" s="6">
        <f>MONTH(E392)</f>
        <v/>
      </c>
      <c r="E392" s="267">
        <f>IFERROR(__xludf.DUMMYFUNCTION("""COMPUTED_VALUE"""),43661.6666666666)</f>
        <v/>
      </c>
      <c r="F392" s="6">
        <f>IFERROR(__xludf.DUMMYFUNCTION("""COMPUTED_VALUE"""),3014.3)</f>
        <v/>
      </c>
      <c r="J392" s="6">
        <f>K392&amp;L392</f>
        <v/>
      </c>
      <c r="K392" s="6">
        <f>YEAR(M392)</f>
        <v/>
      </c>
      <c r="L392" s="6">
        <f>MONTH(M392)</f>
        <v/>
      </c>
      <c r="M392" s="267">
        <f>IFERROR(__xludf.DUMMYFUNCTION("""COMPUTED_VALUE"""),43661.6666666666)</f>
        <v/>
      </c>
      <c r="N392" s="6">
        <f>IFERROR(__xludf.DUMMYFUNCTION("""COMPUTED_VALUE"""),8258.19)</f>
        <v/>
      </c>
      <c r="R392" s="6">
        <f>S392&amp;T392</f>
        <v/>
      </c>
      <c r="S392" s="6">
        <f>YEAR(U392)</f>
        <v/>
      </c>
      <c r="T392" s="6">
        <f>MONTH(U392)</f>
        <v/>
      </c>
      <c r="U392" s="267">
        <f>IFERROR(__xludf.DUMMYFUNCTION("""COMPUTED_VALUE"""),43683.6458333333)</f>
        <v/>
      </c>
      <c r="V392" s="6">
        <f>IFERROR(__xludf.DUMMYFUNCTION("""COMPUTED_VALUE"""),1917.5)</f>
        <v/>
      </c>
      <c r="Z392" s="6">
        <f>AA392&amp;AB392</f>
        <v/>
      </c>
      <c r="AA392" s="6">
        <f>YEAR(AC392)</f>
        <v/>
      </c>
      <c r="AB392" s="6">
        <f>MONTH(AC392)</f>
        <v/>
      </c>
      <c r="AC392" s="267">
        <f>IFERROR(__xludf.DUMMYFUNCTION("""COMPUTED_VALUE"""),43506.9986111111)</f>
        <v/>
      </c>
      <c r="AD392" s="6">
        <f>IFERROR(__xludf.DUMMYFUNCTION("""COMPUTED_VALUE"""),1122.88)</f>
        <v/>
      </c>
      <c r="AH392" s="6">
        <f>AI392&amp;AJ392</f>
        <v/>
      </c>
      <c r="AI392" s="6">
        <f>YEAR(AK392)</f>
        <v/>
      </c>
      <c r="AJ392" s="6">
        <f>MONTH(AK392)</f>
        <v/>
      </c>
      <c r="AK392" s="267">
        <f>IFERROR(__xludf.DUMMYFUNCTION("""COMPUTED_VALUE"""),43484.9986111111)</f>
        <v/>
      </c>
      <c r="AL392" s="6">
        <f>IFERROR(__xludf.DUMMYFUNCTION("""COMPUTED_VALUE"""),3704.358)</f>
        <v/>
      </c>
      <c r="AP392" s="6">
        <f>AQ392&amp;AR392</f>
        <v/>
      </c>
      <c r="AQ392" s="6">
        <f>YEAR(AS392)</f>
        <v/>
      </c>
      <c r="AR392" s="6">
        <f>MONTH(AS392)</f>
        <v/>
      </c>
      <c r="AS392" s="267">
        <f>IFERROR(__xludf.DUMMYFUNCTION("""COMPUTED_VALUE"""),43670.9986111111)</f>
        <v/>
      </c>
      <c r="AT392" s="6">
        <f>IFERROR(__xludf.DUMMYFUNCTION("""COMPUTED_VALUE"""),1436.5)</f>
        <v/>
      </c>
    </row>
    <row r="393">
      <c r="B393" s="6">
        <f>C393&amp;D393</f>
        <v/>
      </c>
      <c r="C393" s="6">
        <f>YEAR(E393)</f>
        <v/>
      </c>
      <c r="D393" s="6">
        <f>MONTH(E393)</f>
        <v/>
      </c>
      <c r="E393" s="267">
        <f>IFERROR(__xludf.DUMMYFUNCTION("""COMPUTED_VALUE"""),43662.6666666666)</f>
        <v/>
      </c>
      <c r="F393" s="6">
        <f>IFERROR(__xludf.DUMMYFUNCTION("""COMPUTED_VALUE"""),3004.04)</f>
        <v/>
      </c>
      <c r="J393" s="6">
        <f>K393&amp;L393</f>
        <v/>
      </c>
      <c r="K393" s="6">
        <f>YEAR(M393)</f>
        <v/>
      </c>
      <c r="L393" s="6">
        <f>MONTH(M393)</f>
        <v/>
      </c>
      <c r="M393" s="267">
        <f>IFERROR(__xludf.DUMMYFUNCTION("""COMPUTED_VALUE"""),43662.6666666666)</f>
        <v/>
      </c>
      <c r="N393" s="6">
        <f>IFERROR(__xludf.DUMMYFUNCTION("""COMPUTED_VALUE"""),8222.8)</f>
        <v/>
      </c>
      <c r="R393" s="6">
        <f>S393&amp;T393</f>
        <v/>
      </c>
      <c r="S393" s="6">
        <f>YEAR(U393)</f>
        <v/>
      </c>
      <c r="T393" s="6">
        <f>MONTH(U393)</f>
        <v/>
      </c>
      <c r="U393" s="267">
        <f>IFERROR(__xludf.DUMMYFUNCTION("""COMPUTED_VALUE"""),43684.6458333333)</f>
        <v/>
      </c>
      <c r="V393" s="6">
        <f>IFERROR(__xludf.DUMMYFUNCTION("""COMPUTED_VALUE"""),1909.71)</f>
        <v/>
      </c>
      <c r="Z393" s="6">
        <f>AA393&amp;AB393</f>
        <v/>
      </c>
      <c r="AA393" s="6">
        <f>YEAR(AC393)</f>
        <v/>
      </c>
      <c r="AB393" s="6">
        <f>MONTH(AC393)</f>
        <v/>
      </c>
      <c r="AC393" s="267">
        <f>IFERROR(__xludf.DUMMYFUNCTION("""COMPUTED_VALUE"""),43507.9986111111)</f>
        <v/>
      </c>
      <c r="AD393" s="6">
        <f>IFERROR(__xludf.DUMMYFUNCTION("""COMPUTED_VALUE"""),1125.02)</f>
        <v/>
      </c>
      <c r="AH393" s="6">
        <f>AI393&amp;AJ393</f>
        <v/>
      </c>
      <c r="AI393" s="6">
        <f>YEAR(AK393)</f>
        <v/>
      </c>
      <c r="AJ393" s="6">
        <f>MONTH(AK393)</f>
        <v/>
      </c>
      <c r="AK393" s="267">
        <f>IFERROR(__xludf.DUMMYFUNCTION("""COMPUTED_VALUE"""),43485.9986111111)</f>
        <v/>
      </c>
      <c r="AL393" s="6">
        <f>IFERROR(__xludf.DUMMYFUNCTION("""COMPUTED_VALUE"""),3546.262)</f>
        <v/>
      </c>
      <c r="AP393" s="6">
        <f>AQ393&amp;AR393</f>
        <v/>
      </c>
      <c r="AQ393" s="6">
        <f>YEAR(AS393)</f>
        <v/>
      </c>
      <c r="AR393" s="6">
        <f>MONTH(AS393)</f>
        <v/>
      </c>
      <c r="AS393" s="267">
        <f>IFERROR(__xludf.DUMMYFUNCTION("""COMPUTED_VALUE"""),43671.9986111111)</f>
        <v/>
      </c>
      <c r="AT393" s="6">
        <f>IFERROR(__xludf.DUMMYFUNCTION("""COMPUTED_VALUE"""),1427.5)</f>
        <v/>
      </c>
    </row>
    <row r="394">
      <c r="B394" s="6">
        <f>C394&amp;D394</f>
        <v/>
      </c>
      <c r="C394" s="6">
        <f>YEAR(E394)</f>
        <v/>
      </c>
      <c r="D394" s="6">
        <f>MONTH(E394)</f>
        <v/>
      </c>
      <c r="E394" s="267">
        <f>IFERROR(__xludf.DUMMYFUNCTION("""COMPUTED_VALUE"""),43663.6666666666)</f>
        <v/>
      </c>
      <c r="F394" s="6">
        <f>IFERROR(__xludf.DUMMYFUNCTION("""COMPUTED_VALUE"""),2984.42)</f>
        <v/>
      </c>
      <c r="J394" s="6">
        <f>K394&amp;L394</f>
        <v/>
      </c>
      <c r="K394" s="6">
        <f>YEAR(M394)</f>
        <v/>
      </c>
      <c r="L394" s="6">
        <f>MONTH(M394)</f>
        <v/>
      </c>
      <c r="M394" s="267">
        <f>IFERROR(__xludf.DUMMYFUNCTION("""COMPUTED_VALUE"""),43663.6666666666)</f>
        <v/>
      </c>
      <c r="N394" s="6">
        <f>IFERROR(__xludf.DUMMYFUNCTION("""COMPUTED_VALUE"""),8185.21)</f>
        <v/>
      </c>
      <c r="R394" s="6">
        <f>S394&amp;T394</f>
        <v/>
      </c>
      <c r="S394" s="6">
        <f>YEAR(U394)</f>
        <v/>
      </c>
      <c r="T394" s="6">
        <f>MONTH(U394)</f>
        <v/>
      </c>
      <c r="U394" s="267">
        <f>IFERROR(__xludf.DUMMYFUNCTION("""COMPUTED_VALUE"""),43685.6458333333)</f>
        <v/>
      </c>
      <c r="V394" s="6">
        <f>IFERROR(__xludf.DUMMYFUNCTION("""COMPUTED_VALUE"""),1920.61)</f>
        <v/>
      </c>
      <c r="Z394" s="6">
        <f>AA394&amp;AB394</f>
        <v/>
      </c>
      <c r="AA394" s="6">
        <f>YEAR(AC394)</f>
        <v/>
      </c>
      <c r="AB394" s="6">
        <f>MONTH(AC394)</f>
        <v/>
      </c>
      <c r="AC394" s="267">
        <f>IFERROR(__xludf.DUMMYFUNCTION("""COMPUTED_VALUE"""),43508.9986111111)</f>
        <v/>
      </c>
      <c r="AD394" s="6">
        <f>IFERROR(__xludf.DUMMYFUNCTION("""COMPUTED_VALUE"""),1120.3)</f>
        <v/>
      </c>
      <c r="AH394" s="6">
        <f>AI394&amp;AJ394</f>
        <v/>
      </c>
      <c r="AI394" s="6">
        <f>YEAR(AK394)</f>
        <v/>
      </c>
      <c r="AJ394" s="6">
        <f>MONTH(AK394)</f>
        <v/>
      </c>
      <c r="AK394" s="267">
        <f>IFERROR(__xludf.DUMMYFUNCTION("""COMPUTED_VALUE"""),43486.9986111111)</f>
        <v/>
      </c>
      <c r="AL394" s="6">
        <f>IFERROR(__xludf.DUMMYFUNCTION("""COMPUTED_VALUE"""),3535.121)</f>
        <v/>
      </c>
      <c r="AP394" s="6">
        <f>AQ394&amp;AR394</f>
        <v/>
      </c>
      <c r="AQ394" s="6">
        <f>YEAR(AS394)</f>
        <v/>
      </c>
      <c r="AR394" s="6">
        <f>MONTH(AS394)</f>
        <v/>
      </c>
      <c r="AS394" s="267">
        <f>IFERROR(__xludf.DUMMYFUNCTION("""COMPUTED_VALUE"""),43672.9986111111)</f>
        <v/>
      </c>
      <c r="AT394" s="6">
        <f>IFERROR(__xludf.DUMMYFUNCTION("""COMPUTED_VALUE"""),1432.2)</f>
        <v/>
      </c>
    </row>
    <row r="395">
      <c r="B395" s="6">
        <f>C395&amp;D395</f>
        <v/>
      </c>
      <c r="C395" s="6">
        <f>YEAR(E395)</f>
        <v/>
      </c>
      <c r="D395" s="6">
        <f>MONTH(E395)</f>
        <v/>
      </c>
      <c r="E395" s="267">
        <f>IFERROR(__xludf.DUMMYFUNCTION("""COMPUTED_VALUE"""),43664.6666666666)</f>
        <v/>
      </c>
      <c r="F395" s="6">
        <f>IFERROR(__xludf.DUMMYFUNCTION("""COMPUTED_VALUE"""),2995.11)</f>
        <v/>
      </c>
      <c r="J395" s="6">
        <f>K395&amp;L395</f>
        <v/>
      </c>
      <c r="K395" s="6">
        <f>YEAR(M395)</f>
        <v/>
      </c>
      <c r="L395" s="6">
        <f>MONTH(M395)</f>
        <v/>
      </c>
      <c r="M395" s="267">
        <f>IFERROR(__xludf.DUMMYFUNCTION("""COMPUTED_VALUE"""),43664.6666666666)</f>
        <v/>
      </c>
      <c r="N395" s="6">
        <f>IFERROR(__xludf.DUMMYFUNCTION("""COMPUTED_VALUE"""),8207.24)</f>
        <v/>
      </c>
      <c r="R395" s="6">
        <f>S395&amp;T395</f>
        <v/>
      </c>
      <c r="S395" s="6">
        <f>YEAR(U395)</f>
        <v/>
      </c>
      <c r="T395" s="6">
        <f>MONTH(U395)</f>
        <v/>
      </c>
      <c r="U395" s="267">
        <f>IFERROR(__xludf.DUMMYFUNCTION("""COMPUTED_VALUE"""),43686.6458333333)</f>
        <v/>
      </c>
      <c r="V395" s="6">
        <f>IFERROR(__xludf.DUMMYFUNCTION("""COMPUTED_VALUE"""),1937.75)</f>
        <v/>
      </c>
      <c r="Z395" s="6">
        <f>AA395&amp;AB395</f>
        <v/>
      </c>
      <c r="AA395" s="6">
        <f>YEAR(AC395)</f>
        <v/>
      </c>
      <c r="AB395" s="6">
        <f>MONTH(AC395)</f>
        <v/>
      </c>
      <c r="AC395" s="267">
        <f>IFERROR(__xludf.DUMMYFUNCTION("""COMPUTED_VALUE"""),43509.9986111111)</f>
        <v/>
      </c>
      <c r="AD395" s="6">
        <f>IFERROR(__xludf.DUMMYFUNCTION("""COMPUTED_VALUE"""),1123.72)</f>
        <v/>
      </c>
      <c r="AH395" s="6">
        <f>AI395&amp;AJ395</f>
        <v/>
      </c>
      <c r="AI395" s="6">
        <f>YEAR(AK395)</f>
        <v/>
      </c>
      <c r="AJ395" s="6">
        <f>MONTH(AK395)</f>
        <v/>
      </c>
      <c r="AK395" s="267">
        <f>IFERROR(__xludf.DUMMYFUNCTION("""COMPUTED_VALUE"""),43487.9986111111)</f>
        <v/>
      </c>
      <c r="AL395" s="6">
        <f>IFERROR(__xludf.DUMMYFUNCTION("""COMPUTED_VALUE"""),3580.058)</f>
        <v/>
      </c>
      <c r="AP395" s="6">
        <f>AQ395&amp;AR395</f>
        <v/>
      </c>
      <c r="AQ395" s="6">
        <f>YEAR(AS395)</f>
        <v/>
      </c>
      <c r="AR395" s="6">
        <f>MONTH(AS395)</f>
        <v/>
      </c>
      <c r="AS395" s="267">
        <f>IFERROR(__xludf.DUMMYFUNCTION("""COMPUTED_VALUE"""),43675.9986111111)</f>
        <v/>
      </c>
      <c r="AT395" s="6">
        <f>IFERROR(__xludf.DUMMYFUNCTION("""COMPUTED_VALUE"""),1433.3)</f>
        <v/>
      </c>
    </row>
    <row r="396">
      <c r="B396" s="6">
        <f>C396&amp;D396</f>
        <v/>
      </c>
      <c r="C396" s="6">
        <f>YEAR(E396)</f>
        <v/>
      </c>
      <c r="D396" s="6">
        <f>MONTH(E396)</f>
        <v/>
      </c>
      <c r="E396" s="267">
        <f>IFERROR(__xludf.DUMMYFUNCTION("""COMPUTED_VALUE"""),43665.6666666666)</f>
        <v/>
      </c>
      <c r="F396" s="6">
        <f>IFERROR(__xludf.DUMMYFUNCTION("""COMPUTED_VALUE"""),2976.61)</f>
        <v/>
      </c>
      <c r="J396" s="6">
        <f>K396&amp;L396</f>
        <v/>
      </c>
      <c r="K396" s="6">
        <f>YEAR(M396)</f>
        <v/>
      </c>
      <c r="L396" s="6">
        <f>MONTH(M396)</f>
        <v/>
      </c>
      <c r="M396" s="267">
        <f>IFERROR(__xludf.DUMMYFUNCTION("""COMPUTED_VALUE"""),43665.6666666666)</f>
        <v/>
      </c>
      <c r="N396" s="6">
        <f>IFERROR(__xludf.DUMMYFUNCTION("""COMPUTED_VALUE"""),8146.49)</f>
        <v/>
      </c>
      <c r="R396" s="6">
        <f>S396&amp;T396</f>
        <v/>
      </c>
      <c r="S396" s="6">
        <f>YEAR(U396)</f>
        <v/>
      </c>
      <c r="T396" s="6">
        <f>MONTH(U396)</f>
        <v/>
      </c>
      <c r="U396" s="267">
        <f>IFERROR(__xludf.DUMMYFUNCTION("""COMPUTED_VALUE"""),43689.6458333333)</f>
        <v/>
      </c>
      <c r="V396" s="6">
        <f>IFERROR(__xludf.DUMMYFUNCTION("""COMPUTED_VALUE"""),1942.29)</f>
        <v/>
      </c>
      <c r="Z396" s="6">
        <f>AA396&amp;AB396</f>
        <v/>
      </c>
      <c r="AA396" s="6">
        <f>YEAR(AC396)</f>
        <v/>
      </c>
      <c r="AB396" s="6">
        <f>MONTH(AC396)</f>
        <v/>
      </c>
      <c r="AC396" s="267">
        <f>IFERROR(__xludf.DUMMYFUNCTION("""COMPUTED_VALUE"""),43510.9986111111)</f>
        <v/>
      </c>
      <c r="AD396" s="6">
        <f>IFERROR(__xludf.DUMMYFUNCTION("""COMPUTED_VALUE"""),1128.3)</f>
        <v/>
      </c>
      <c r="AH396" s="6">
        <f>AI396&amp;AJ396</f>
        <v/>
      </c>
      <c r="AI396" s="6">
        <f>YEAR(AK396)</f>
        <v/>
      </c>
      <c r="AJ396" s="6">
        <f>MONTH(AK396)</f>
        <v/>
      </c>
      <c r="AK396" s="267">
        <f>IFERROR(__xludf.DUMMYFUNCTION("""COMPUTED_VALUE"""),43488.9986111111)</f>
        <v/>
      </c>
      <c r="AL396" s="6">
        <f>IFERROR(__xludf.DUMMYFUNCTION("""COMPUTED_VALUE"""),3562.129)</f>
        <v/>
      </c>
      <c r="AP396" s="6">
        <f>AQ396&amp;AR396</f>
        <v/>
      </c>
      <c r="AQ396" s="6">
        <f>YEAR(AS396)</f>
        <v/>
      </c>
      <c r="AR396" s="6">
        <f>MONTH(AS396)</f>
        <v/>
      </c>
      <c r="AS396" s="267">
        <f>IFERROR(__xludf.DUMMYFUNCTION("""COMPUTED_VALUE"""),43676.9986111111)</f>
        <v/>
      </c>
      <c r="AT396" s="6">
        <f>IFERROR(__xludf.DUMMYFUNCTION("""COMPUTED_VALUE"""),1441.8)</f>
        <v/>
      </c>
    </row>
    <row r="397">
      <c r="B397" s="6">
        <f>C397&amp;D397</f>
        <v/>
      </c>
      <c r="C397" s="6">
        <f>YEAR(E397)</f>
        <v/>
      </c>
      <c r="D397" s="6">
        <f>MONTH(E397)</f>
        <v/>
      </c>
      <c r="E397" s="267">
        <f>IFERROR(__xludf.DUMMYFUNCTION("""COMPUTED_VALUE"""),43668.6666666666)</f>
        <v/>
      </c>
      <c r="F397" s="6">
        <f>IFERROR(__xludf.DUMMYFUNCTION("""COMPUTED_VALUE"""),2985.03)</f>
        <v/>
      </c>
      <c r="J397" s="6">
        <f>K397&amp;L397</f>
        <v/>
      </c>
      <c r="K397" s="6">
        <f>YEAR(M397)</f>
        <v/>
      </c>
      <c r="L397" s="6">
        <f>MONTH(M397)</f>
        <v/>
      </c>
      <c r="M397" s="267">
        <f>IFERROR(__xludf.DUMMYFUNCTION("""COMPUTED_VALUE"""),43668.6666666666)</f>
        <v/>
      </c>
      <c r="N397" s="6">
        <f>IFERROR(__xludf.DUMMYFUNCTION("""COMPUTED_VALUE"""),8204.14)</f>
        <v/>
      </c>
      <c r="R397" s="6">
        <f>S397&amp;T397</f>
        <v/>
      </c>
      <c r="S397" s="6">
        <f>YEAR(U397)</f>
        <v/>
      </c>
      <c r="T397" s="6">
        <f>MONTH(U397)</f>
        <v/>
      </c>
      <c r="U397" s="267">
        <f>IFERROR(__xludf.DUMMYFUNCTION("""COMPUTED_VALUE"""),43690.6458333333)</f>
        <v/>
      </c>
      <c r="V397" s="6">
        <f>IFERROR(__xludf.DUMMYFUNCTION("""COMPUTED_VALUE"""),1925.83)</f>
        <v/>
      </c>
      <c r="Z397" s="6">
        <f>AA397&amp;AB397</f>
        <v/>
      </c>
      <c r="AA397" s="6">
        <f>YEAR(AC397)</f>
        <v/>
      </c>
      <c r="AB397" s="6">
        <f>MONTH(AC397)</f>
        <v/>
      </c>
      <c r="AC397" s="267">
        <f>IFERROR(__xludf.DUMMYFUNCTION("""COMPUTED_VALUE"""),43511.9986111111)</f>
        <v/>
      </c>
      <c r="AD397" s="6">
        <f>IFERROR(__xludf.DUMMYFUNCTION("""COMPUTED_VALUE"""),1125.34)</f>
        <v/>
      </c>
      <c r="AH397" s="6">
        <f>AI397&amp;AJ397</f>
        <v/>
      </c>
      <c r="AI397" s="6">
        <f>YEAR(AK397)</f>
        <v/>
      </c>
      <c r="AJ397" s="6">
        <f>MONTH(AK397)</f>
        <v/>
      </c>
      <c r="AK397" s="267">
        <f>IFERROR(__xludf.DUMMYFUNCTION("""COMPUTED_VALUE"""),43489.9986111111)</f>
        <v/>
      </c>
      <c r="AL397" s="6">
        <f>IFERROR(__xludf.DUMMYFUNCTION("""COMPUTED_VALUE"""),3581.396)</f>
        <v/>
      </c>
      <c r="AP397" s="6">
        <f>AQ397&amp;AR397</f>
        <v/>
      </c>
      <c r="AQ397" s="6">
        <f>YEAR(AS397)</f>
        <v/>
      </c>
      <c r="AR397" s="6">
        <f>MONTH(AS397)</f>
        <v/>
      </c>
      <c r="AS397" s="267">
        <f>IFERROR(__xludf.DUMMYFUNCTION("""COMPUTED_VALUE"""),43677.9986111111)</f>
        <v/>
      </c>
      <c r="AT397" s="6">
        <f>IFERROR(__xludf.DUMMYFUNCTION("""COMPUTED_VALUE"""),1437.8)</f>
        <v/>
      </c>
    </row>
    <row r="398">
      <c r="B398" s="6">
        <f>C398&amp;D398</f>
        <v/>
      </c>
      <c r="C398" s="6">
        <f>YEAR(E398)</f>
        <v/>
      </c>
      <c r="D398" s="6">
        <f>MONTH(E398)</f>
        <v/>
      </c>
      <c r="E398" s="267">
        <f>IFERROR(__xludf.DUMMYFUNCTION("""COMPUTED_VALUE"""),43669.6666666666)</f>
        <v/>
      </c>
      <c r="F398" s="6">
        <f>IFERROR(__xludf.DUMMYFUNCTION("""COMPUTED_VALUE"""),3005.47)</f>
        <v/>
      </c>
      <c r="J398" s="6">
        <f>K398&amp;L398</f>
        <v/>
      </c>
      <c r="K398" s="6">
        <f>YEAR(M398)</f>
        <v/>
      </c>
      <c r="L398" s="6">
        <f>MONTH(M398)</f>
        <v/>
      </c>
      <c r="M398" s="267">
        <f>IFERROR(__xludf.DUMMYFUNCTION("""COMPUTED_VALUE"""),43669.6666666666)</f>
        <v/>
      </c>
      <c r="N398" s="6">
        <f>IFERROR(__xludf.DUMMYFUNCTION("""COMPUTED_VALUE"""),8251.4)</f>
        <v/>
      </c>
      <c r="R398" s="6">
        <f>S398&amp;T398</f>
        <v/>
      </c>
      <c r="S398" s="6">
        <f>YEAR(U398)</f>
        <v/>
      </c>
      <c r="T398" s="6">
        <f>MONTH(U398)</f>
        <v/>
      </c>
      <c r="U398" s="267">
        <f>IFERROR(__xludf.DUMMYFUNCTION("""COMPUTED_VALUE"""),43691.6458333333)</f>
        <v/>
      </c>
      <c r="V398" s="6">
        <f>IFERROR(__xludf.DUMMYFUNCTION("""COMPUTED_VALUE"""),1938.37)</f>
        <v/>
      </c>
      <c r="Z398" s="6">
        <f>AA398&amp;AB398</f>
        <v/>
      </c>
      <c r="AA398" s="6">
        <f>YEAR(AC398)</f>
        <v/>
      </c>
      <c r="AB398" s="6">
        <f>MONTH(AC398)</f>
        <v/>
      </c>
      <c r="AC398" s="267">
        <f>IFERROR(__xludf.DUMMYFUNCTION("""COMPUTED_VALUE"""),43512.9986111111)</f>
        <v/>
      </c>
      <c r="AD398" s="6">
        <f>IFERROR(__xludf.DUMMYFUNCTION("""COMPUTED_VALUE"""),1125.34)</f>
        <v/>
      </c>
      <c r="AH398" s="6">
        <f>AI398&amp;AJ398</f>
        <v/>
      </c>
      <c r="AI398" s="6">
        <f>YEAR(AK398)</f>
        <v/>
      </c>
      <c r="AJ398" s="6">
        <f>MONTH(AK398)</f>
        <v/>
      </c>
      <c r="AK398" s="267">
        <f>IFERROR(__xludf.DUMMYFUNCTION("""COMPUTED_VALUE"""),43490.9986111111)</f>
        <v/>
      </c>
      <c r="AL398" s="6">
        <f>IFERROR(__xludf.DUMMYFUNCTION("""COMPUTED_VALUE"""),3572.515)</f>
        <v/>
      </c>
      <c r="AP398" s="6">
        <f>AQ398&amp;AR398</f>
        <v/>
      </c>
      <c r="AQ398" s="6">
        <f>YEAR(AS398)</f>
        <v/>
      </c>
      <c r="AR398" s="6">
        <f>MONTH(AS398)</f>
        <v/>
      </c>
      <c r="AS398" s="267">
        <f>IFERROR(__xludf.DUMMYFUNCTION("""COMPUTED_VALUE"""),43678.9986111111)</f>
        <v/>
      </c>
      <c r="AT398" s="6">
        <f>IFERROR(__xludf.DUMMYFUNCTION("""COMPUTED_VALUE"""),1432.4)</f>
        <v/>
      </c>
    </row>
    <row r="399">
      <c r="B399" s="6">
        <f>C399&amp;D399</f>
        <v/>
      </c>
      <c r="C399" s="6">
        <f>YEAR(E399)</f>
        <v/>
      </c>
      <c r="D399" s="6">
        <f>MONTH(E399)</f>
        <v/>
      </c>
      <c r="E399" s="267">
        <f>IFERROR(__xludf.DUMMYFUNCTION("""COMPUTED_VALUE"""),43670.6666666666)</f>
        <v/>
      </c>
      <c r="F399" s="6">
        <f>IFERROR(__xludf.DUMMYFUNCTION("""COMPUTED_VALUE"""),3019.56)</f>
        <v/>
      </c>
      <c r="J399" s="6">
        <f>K399&amp;L399</f>
        <v/>
      </c>
      <c r="K399" s="6">
        <f>YEAR(M399)</f>
        <v/>
      </c>
      <c r="L399" s="6">
        <f>MONTH(M399)</f>
        <v/>
      </c>
      <c r="M399" s="267">
        <f>IFERROR(__xludf.DUMMYFUNCTION("""COMPUTED_VALUE"""),43670.6666666666)</f>
        <v/>
      </c>
      <c r="N399" s="6">
        <f>IFERROR(__xludf.DUMMYFUNCTION("""COMPUTED_VALUE"""),8321.5)</f>
        <v/>
      </c>
      <c r="R399" s="6">
        <f>S399&amp;T399</f>
        <v/>
      </c>
      <c r="S399" s="6">
        <f>YEAR(U399)</f>
        <v/>
      </c>
      <c r="T399" s="6">
        <f>MONTH(U399)</f>
        <v/>
      </c>
      <c r="U399" s="267">
        <f>IFERROR(__xludf.DUMMYFUNCTION("""COMPUTED_VALUE"""),43693.6458333333)</f>
        <v/>
      </c>
      <c r="V399" s="6">
        <f>IFERROR(__xludf.DUMMYFUNCTION("""COMPUTED_VALUE"""),1927.17)</f>
        <v/>
      </c>
      <c r="Z399" s="6">
        <f>AA399&amp;AB399</f>
        <v/>
      </c>
      <c r="AA399" s="6">
        <f>YEAR(AC399)</f>
        <v/>
      </c>
      <c r="AB399" s="6">
        <f>MONTH(AC399)</f>
        <v/>
      </c>
      <c r="AC399" s="267">
        <f>IFERROR(__xludf.DUMMYFUNCTION("""COMPUTED_VALUE"""),43513.9986111111)</f>
        <v/>
      </c>
      <c r="AD399" s="6">
        <f>IFERROR(__xludf.DUMMYFUNCTION("""COMPUTED_VALUE"""),1125.31)</f>
        <v/>
      </c>
      <c r="AH399" s="6">
        <f>AI399&amp;AJ399</f>
        <v/>
      </c>
      <c r="AI399" s="6">
        <f>YEAR(AK399)</f>
        <v/>
      </c>
      <c r="AJ399" s="6">
        <f>MONTH(AK399)</f>
        <v/>
      </c>
      <c r="AK399" s="267">
        <f>IFERROR(__xludf.DUMMYFUNCTION("""COMPUTED_VALUE"""),43491.9986111111)</f>
        <v/>
      </c>
      <c r="AL399" s="6">
        <f>IFERROR(__xludf.DUMMYFUNCTION("""COMPUTED_VALUE"""),3573.374)</f>
        <v/>
      </c>
      <c r="AP399" s="6">
        <f>AQ399&amp;AR399</f>
        <v/>
      </c>
      <c r="AQ399" s="6">
        <f>YEAR(AS399)</f>
        <v/>
      </c>
      <c r="AR399" s="6">
        <f>MONTH(AS399)</f>
        <v/>
      </c>
      <c r="AS399" s="267">
        <f>IFERROR(__xludf.DUMMYFUNCTION("""COMPUTED_VALUE"""),43679.9986111111)</f>
        <v/>
      </c>
      <c r="AT399" s="6">
        <f>IFERROR(__xludf.DUMMYFUNCTION("""COMPUTED_VALUE"""),1457.5)</f>
        <v/>
      </c>
    </row>
    <row r="400">
      <c r="B400" s="6">
        <f>C400&amp;D400</f>
        <v/>
      </c>
      <c r="C400" s="6">
        <f>YEAR(E400)</f>
        <v/>
      </c>
      <c r="D400" s="6">
        <f>MONTH(E400)</f>
        <v/>
      </c>
      <c r="E400" s="267">
        <f>IFERROR(__xludf.DUMMYFUNCTION("""COMPUTED_VALUE"""),43671.6666666666)</f>
        <v/>
      </c>
      <c r="F400" s="6">
        <f>IFERROR(__xludf.DUMMYFUNCTION("""COMPUTED_VALUE"""),3003.67)</f>
        <v/>
      </c>
      <c r="J400" s="6">
        <f>K400&amp;L400</f>
        <v/>
      </c>
      <c r="K400" s="6">
        <f>YEAR(M400)</f>
        <v/>
      </c>
      <c r="L400" s="6">
        <f>MONTH(M400)</f>
        <v/>
      </c>
      <c r="M400" s="267">
        <f>IFERROR(__xludf.DUMMYFUNCTION("""COMPUTED_VALUE"""),43671.6666666666)</f>
        <v/>
      </c>
      <c r="N400" s="6">
        <f>IFERROR(__xludf.DUMMYFUNCTION("""COMPUTED_VALUE"""),8238.54)</f>
        <v/>
      </c>
      <c r="R400" s="6">
        <f>S400&amp;T400</f>
        <v/>
      </c>
      <c r="S400" s="6">
        <f>YEAR(U400)</f>
        <v/>
      </c>
      <c r="T400" s="6">
        <f>MONTH(U400)</f>
        <v/>
      </c>
      <c r="U400" s="267">
        <f>IFERROR(__xludf.DUMMYFUNCTION("""COMPUTED_VALUE"""),43696.6458333333)</f>
        <v/>
      </c>
      <c r="V400" s="6">
        <f>IFERROR(__xludf.DUMMYFUNCTION("""COMPUTED_VALUE"""),1939.9)</f>
        <v/>
      </c>
      <c r="Z400" s="6">
        <f>AA400&amp;AB400</f>
        <v/>
      </c>
      <c r="AA400" s="6">
        <f>YEAR(AC400)</f>
        <v/>
      </c>
      <c r="AB400" s="6">
        <f>MONTH(AC400)</f>
        <v/>
      </c>
      <c r="AC400" s="267">
        <f>IFERROR(__xludf.DUMMYFUNCTION("""COMPUTED_VALUE"""),43515.9986111111)</f>
        <v/>
      </c>
      <c r="AD400" s="6">
        <f>IFERROR(__xludf.DUMMYFUNCTION("""COMPUTED_VALUE"""),1121.42)</f>
        <v/>
      </c>
      <c r="AH400" s="6">
        <f>AI400&amp;AJ400</f>
        <v/>
      </c>
      <c r="AI400" s="6">
        <f>YEAR(AK400)</f>
        <v/>
      </c>
      <c r="AJ400" s="6">
        <f>MONTH(AK400)</f>
        <v/>
      </c>
      <c r="AK400" s="267">
        <f>IFERROR(__xludf.DUMMYFUNCTION("""COMPUTED_VALUE"""),43492.9986111111)</f>
        <v/>
      </c>
      <c r="AL400" s="6">
        <f>IFERROR(__xludf.DUMMYFUNCTION("""COMPUTED_VALUE"""),3563.02)</f>
        <v/>
      </c>
      <c r="AP400" s="6">
        <f>AQ400&amp;AR400</f>
        <v/>
      </c>
      <c r="AQ400" s="6">
        <f>YEAR(AS400)</f>
        <v/>
      </c>
      <c r="AR400" s="6">
        <f>MONTH(AS400)</f>
        <v/>
      </c>
      <c r="AS400" s="267">
        <f>IFERROR(__xludf.DUMMYFUNCTION("""COMPUTED_VALUE"""),43682.9986111111)</f>
        <v/>
      </c>
      <c r="AT400" s="6">
        <f>IFERROR(__xludf.DUMMYFUNCTION("""COMPUTED_VALUE"""),1476.5)</f>
        <v/>
      </c>
    </row>
    <row r="401">
      <c r="B401" s="6">
        <f>C401&amp;D401</f>
        <v/>
      </c>
      <c r="C401" s="6">
        <f>YEAR(E401)</f>
        <v/>
      </c>
      <c r="D401" s="6">
        <f>MONTH(E401)</f>
        <v/>
      </c>
      <c r="E401" s="267">
        <f>IFERROR(__xludf.DUMMYFUNCTION("""COMPUTED_VALUE"""),43672.6666666666)</f>
        <v/>
      </c>
      <c r="F401" s="6">
        <f>IFERROR(__xludf.DUMMYFUNCTION("""COMPUTED_VALUE"""),3025.86)</f>
        <v/>
      </c>
      <c r="J401" s="6">
        <f>K401&amp;L401</f>
        <v/>
      </c>
      <c r="K401" s="6">
        <f>YEAR(M401)</f>
        <v/>
      </c>
      <c r="L401" s="6">
        <f>MONTH(M401)</f>
        <v/>
      </c>
      <c r="M401" s="267">
        <f>IFERROR(__xludf.DUMMYFUNCTION("""COMPUTED_VALUE"""),43672.6666666666)</f>
        <v/>
      </c>
      <c r="N401" s="6">
        <f>IFERROR(__xludf.DUMMYFUNCTION("""COMPUTED_VALUE"""),8330.21)</f>
        <v/>
      </c>
      <c r="R401" s="6">
        <f>S401&amp;T401</f>
        <v/>
      </c>
      <c r="S401" s="6">
        <f>YEAR(U401)</f>
        <v/>
      </c>
      <c r="T401" s="6">
        <f>MONTH(U401)</f>
        <v/>
      </c>
      <c r="U401" s="267">
        <f>IFERROR(__xludf.DUMMYFUNCTION("""COMPUTED_VALUE"""),43697.6458333333)</f>
        <v/>
      </c>
      <c r="V401" s="6">
        <f>IFERROR(__xludf.DUMMYFUNCTION("""COMPUTED_VALUE"""),1960.25)</f>
        <v/>
      </c>
      <c r="Z401" s="6">
        <f>AA401&amp;AB401</f>
        <v/>
      </c>
      <c r="AA401" s="6">
        <f>YEAR(AC401)</f>
        <v/>
      </c>
      <c r="AB401" s="6">
        <f>MONTH(AC401)</f>
        <v/>
      </c>
      <c r="AC401" s="267">
        <f>IFERROR(__xludf.DUMMYFUNCTION("""COMPUTED_VALUE"""),43516.9986111111)</f>
        <v/>
      </c>
      <c r="AD401" s="6">
        <f>IFERROR(__xludf.DUMMYFUNCTION("""COMPUTED_VALUE"""),1121.72)</f>
        <v/>
      </c>
      <c r="AH401" s="6">
        <f>AI401&amp;AJ401</f>
        <v/>
      </c>
      <c r="AI401" s="6">
        <f>YEAR(AK401)</f>
        <v/>
      </c>
      <c r="AJ401" s="6">
        <f>MONTH(AK401)</f>
        <v/>
      </c>
      <c r="AK401" s="267">
        <f>IFERROR(__xludf.DUMMYFUNCTION("""COMPUTED_VALUE"""),43493.9986111111)</f>
        <v/>
      </c>
      <c r="AL401" s="6">
        <f>IFERROR(__xludf.DUMMYFUNCTION("""COMPUTED_VALUE"""),3440.252)</f>
        <v/>
      </c>
      <c r="AP401" s="6">
        <f>AQ401&amp;AR401</f>
        <v/>
      </c>
      <c r="AQ401" s="6">
        <f>YEAR(AS401)</f>
        <v/>
      </c>
      <c r="AR401" s="6">
        <f>MONTH(AS401)</f>
        <v/>
      </c>
      <c r="AS401" s="267">
        <f>IFERROR(__xludf.DUMMYFUNCTION("""COMPUTED_VALUE"""),43683.9986111111)</f>
        <v/>
      </c>
      <c r="AT401" s="6">
        <f>IFERROR(__xludf.DUMMYFUNCTION("""COMPUTED_VALUE"""),1484.2)</f>
        <v/>
      </c>
    </row>
    <row r="402">
      <c r="B402" s="6">
        <f>C402&amp;D402</f>
        <v/>
      </c>
      <c r="C402" s="6">
        <f>YEAR(E402)</f>
        <v/>
      </c>
      <c r="D402" s="6">
        <f>MONTH(E402)</f>
        <v/>
      </c>
      <c r="E402" s="267">
        <f>IFERROR(__xludf.DUMMYFUNCTION("""COMPUTED_VALUE"""),43675.6666666666)</f>
        <v/>
      </c>
      <c r="F402" s="6">
        <f>IFERROR(__xludf.DUMMYFUNCTION("""COMPUTED_VALUE"""),3020.97)</f>
        <v/>
      </c>
      <c r="J402" s="6">
        <f>K402&amp;L402</f>
        <v/>
      </c>
      <c r="K402" s="6">
        <f>YEAR(M402)</f>
        <v/>
      </c>
      <c r="L402" s="6">
        <f>MONTH(M402)</f>
        <v/>
      </c>
      <c r="M402" s="267">
        <f>IFERROR(__xludf.DUMMYFUNCTION("""COMPUTED_VALUE"""),43675.6666666666)</f>
        <v/>
      </c>
      <c r="N402" s="6">
        <f>IFERROR(__xludf.DUMMYFUNCTION("""COMPUTED_VALUE"""),8293.33)</f>
        <v/>
      </c>
      <c r="R402" s="6">
        <f>S402&amp;T402</f>
        <v/>
      </c>
      <c r="S402" s="6">
        <f>YEAR(U402)</f>
        <v/>
      </c>
      <c r="T402" s="6">
        <f>MONTH(U402)</f>
        <v/>
      </c>
      <c r="U402" s="267">
        <f>IFERROR(__xludf.DUMMYFUNCTION("""COMPUTED_VALUE"""),43698.6458333333)</f>
        <v/>
      </c>
      <c r="V402" s="6">
        <f>IFERROR(__xludf.DUMMYFUNCTION("""COMPUTED_VALUE"""),1964.65)</f>
        <v/>
      </c>
      <c r="Z402" s="6">
        <f>AA402&amp;AB402</f>
        <v/>
      </c>
      <c r="AA402" s="6">
        <f>YEAR(AC402)</f>
        <v/>
      </c>
      <c r="AB402" s="6">
        <f>MONTH(AC402)</f>
        <v/>
      </c>
      <c r="AC402" s="267">
        <f>IFERROR(__xludf.DUMMYFUNCTION("""COMPUTED_VALUE"""),43517.9986111111)</f>
        <v/>
      </c>
      <c r="AD402" s="6">
        <f>IFERROR(__xludf.DUMMYFUNCTION("""COMPUTED_VALUE"""),1124.15)</f>
        <v/>
      </c>
      <c r="AH402" s="6">
        <f>AI402&amp;AJ402</f>
        <v/>
      </c>
      <c r="AI402" s="6">
        <f>YEAR(AK402)</f>
        <v/>
      </c>
      <c r="AJ402" s="6">
        <f>MONTH(AK402)</f>
        <v/>
      </c>
      <c r="AK402" s="267">
        <f>IFERROR(__xludf.DUMMYFUNCTION("""COMPUTED_VALUE"""),43494.9986111111)</f>
        <v/>
      </c>
      <c r="AL402" s="6">
        <f>IFERROR(__xludf.DUMMYFUNCTION("""COMPUTED_VALUE"""),3404.484)</f>
        <v/>
      </c>
      <c r="AP402" s="6">
        <f>AQ402&amp;AR402</f>
        <v/>
      </c>
      <c r="AQ402" s="6">
        <f>YEAR(AS402)</f>
        <v/>
      </c>
      <c r="AR402" s="6">
        <f>MONTH(AS402)</f>
        <v/>
      </c>
      <c r="AS402" s="267">
        <f>IFERROR(__xludf.DUMMYFUNCTION("""COMPUTED_VALUE"""),43684.9986111111)</f>
        <v/>
      </c>
      <c r="AT402" s="6">
        <f>IFERROR(__xludf.DUMMYFUNCTION("""COMPUTED_VALUE"""),1519.6)</f>
        <v/>
      </c>
    </row>
    <row r="403">
      <c r="B403" s="6">
        <f>C403&amp;D403</f>
        <v/>
      </c>
      <c r="C403" s="6">
        <f>YEAR(E403)</f>
        <v/>
      </c>
      <c r="D403" s="6">
        <f>MONTH(E403)</f>
        <v/>
      </c>
      <c r="E403" s="267">
        <f>IFERROR(__xludf.DUMMYFUNCTION("""COMPUTED_VALUE"""),43676.6666666666)</f>
        <v/>
      </c>
      <c r="F403" s="6">
        <f>IFERROR(__xludf.DUMMYFUNCTION("""COMPUTED_VALUE"""),3013.18)</f>
        <v/>
      </c>
      <c r="J403" s="6">
        <f>K403&amp;L403</f>
        <v/>
      </c>
      <c r="K403" s="6">
        <f>YEAR(M403)</f>
        <v/>
      </c>
      <c r="L403" s="6">
        <f>MONTH(M403)</f>
        <v/>
      </c>
      <c r="M403" s="267">
        <f>IFERROR(__xludf.DUMMYFUNCTION("""COMPUTED_VALUE"""),43676.6666666666)</f>
        <v/>
      </c>
      <c r="N403" s="6">
        <f>IFERROR(__xludf.DUMMYFUNCTION("""COMPUTED_VALUE"""),8273.61)</f>
        <v/>
      </c>
      <c r="R403" s="6">
        <f>S403&amp;T403</f>
        <v/>
      </c>
      <c r="S403" s="6">
        <f>YEAR(U403)</f>
        <v/>
      </c>
      <c r="T403" s="6">
        <f>MONTH(U403)</f>
        <v/>
      </c>
      <c r="U403" s="267">
        <f>IFERROR(__xludf.DUMMYFUNCTION("""COMPUTED_VALUE"""),43699.6458333333)</f>
        <v/>
      </c>
      <c r="V403" s="6">
        <f>IFERROR(__xludf.DUMMYFUNCTION("""COMPUTED_VALUE"""),1951.01)</f>
        <v/>
      </c>
      <c r="Z403" s="6">
        <f>AA403&amp;AB403</f>
        <v/>
      </c>
      <c r="AA403" s="6">
        <f>YEAR(AC403)</f>
        <v/>
      </c>
      <c r="AB403" s="6">
        <f>MONTH(AC403)</f>
        <v/>
      </c>
      <c r="AC403" s="267">
        <f>IFERROR(__xludf.DUMMYFUNCTION("""COMPUTED_VALUE"""),43518.9986111111)</f>
        <v/>
      </c>
      <c r="AD403" s="6">
        <f>IFERROR(__xludf.DUMMYFUNCTION("""COMPUTED_VALUE"""),1121.99)</f>
        <v/>
      </c>
      <c r="AH403" s="6">
        <f>AI403&amp;AJ403</f>
        <v/>
      </c>
      <c r="AI403" s="6">
        <f>YEAR(AK403)</f>
        <v/>
      </c>
      <c r="AJ403" s="6">
        <f>MONTH(AK403)</f>
        <v/>
      </c>
      <c r="AK403" s="267">
        <f>IFERROR(__xludf.DUMMYFUNCTION("""COMPUTED_VALUE"""),43495.9986111111)</f>
        <v/>
      </c>
      <c r="AL403" s="6">
        <f>IFERROR(__xludf.DUMMYFUNCTION("""COMPUTED_VALUE"""),3458.88)</f>
        <v/>
      </c>
      <c r="AP403" s="6">
        <f>AQ403&amp;AR403</f>
        <v/>
      </c>
      <c r="AQ403" s="6">
        <f>YEAR(AS403)</f>
        <v/>
      </c>
      <c r="AR403" s="6">
        <f>MONTH(AS403)</f>
        <v/>
      </c>
      <c r="AS403" s="267">
        <f>IFERROR(__xludf.DUMMYFUNCTION("""COMPUTED_VALUE"""),43685.9986111111)</f>
        <v/>
      </c>
      <c r="AT403" s="6">
        <f>IFERROR(__xludf.DUMMYFUNCTION("""COMPUTED_VALUE"""),1509.5)</f>
        <v/>
      </c>
    </row>
    <row r="404">
      <c r="B404" s="6">
        <f>C404&amp;D404</f>
        <v/>
      </c>
      <c r="C404" s="6">
        <f>YEAR(E404)</f>
        <v/>
      </c>
      <c r="D404" s="6">
        <f>MONTH(E404)</f>
        <v/>
      </c>
      <c r="E404" s="267">
        <f>IFERROR(__xludf.DUMMYFUNCTION("""COMPUTED_VALUE"""),43677.6666666666)</f>
        <v/>
      </c>
      <c r="F404" s="6">
        <f>IFERROR(__xludf.DUMMYFUNCTION("""COMPUTED_VALUE"""),2980.38)</f>
        <v/>
      </c>
      <c r="J404" s="6">
        <f>K404&amp;L404</f>
        <v/>
      </c>
      <c r="K404" s="6">
        <f>YEAR(M404)</f>
        <v/>
      </c>
      <c r="L404" s="6">
        <f>MONTH(M404)</f>
        <v/>
      </c>
      <c r="M404" s="267">
        <f>IFERROR(__xludf.DUMMYFUNCTION("""COMPUTED_VALUE"""),43677.6666666666)</f>
        <v/>
      </c>
      <c r="N404" s="6">
        <f>IFERROR(__xludf.DUMMYFUNCTION("""COMPUTED_VALUE"""),8175.42)</f>
        <v/>
      </c>
      <c r="R404" s="6">
        <f>S404&amp;T404</f>
        <v/>
      </c>
      <c r="S404" s="6">
        <f>YEAR(U404)</f>
        <v/>
      </c>
      <c r="T404" s="6">
        <f>MONTH(U404)</f>
        <v/>
      </c>
      <c r="U404" s="267">
        <f>IFERROR(__xludf.DUMMYFUNCTION("""COMPUTED_VALUE"""),43700.6458333333)</f>
        <v/>
      </c>
      <c r="V404" s="6">
        <f>IFERROR(__xludf.DUMMYFUNCTION("""COMPUTED_VALUE"""),1948.3)</f>
        <v/>
      </c>
      <c r="Z404" s="6">
        <f>AA404&amp;AB404</f>
        <v/>
      </c>
      <c r="AA404" s="6">
        <f>YEAR(AC404)</f>
        <v/>
      </c>
      <c r="AB404" s="6">
        <f>MONTH(AC404)</f>
        <v/>
      </c>
      <c r="AC404" s="267">
        <f>IFERROR(__xludf.DUMMYFUNCTION("""COMPUTED_VALUE"""),43519.9986111111)</f>
        <v/>
      </c>
      <c r="AD404" s="6">
        <f>IFERROR(__xludf.DUMMYFUNCTION("""COMPUTED_VALUE"""),1120.9)</f>
        <v/>
      </c>
      <c r="AH404" s="6">
        <f>AI404&amp;AJ404</f>
        <v/>
      </c>
      <c r="AI404" s="6">
        <f>YEAR(AK404)</f>
        <v/>
      </c>
      <c r="AJ404" s="6">
        <f>MONTH(AK404)</f>
        <v/>
      </c>
      <c r="AK404" s="267">
        <f>IFERROR(__xludf.DUMMYFUNCTION("""COMPUTED_VALUE"""),43496.9986111111)</f>
        <v/>
      </c>
      <c r="AL404" s="6">
        <f>IFERROR(__xludf.DUMMYFUNCTION("""COMPUTED_VALUE"""),3419.343)</f>
        <v/>
      </c>
      <c r="AP404" s="6">
        <f>AQ404&amp;AR404</f>
        <v/>
      </c>
      <c r="AQ404" s="6">
        <f>YEAR(AS404)</f>
        <v/>
      </c>
      <c r="AR404" s="6">
        <f>MONTH(AS404)</f>
        <v/>
      </c>
      <c r="AS404" s="267">
        <f>IFERROR(__xludf.DUMMYFUNCTION("""COMPUTED_VALUE"""),43686.9986111111)</f>
        <v/>
      </c>
      <c r="AT404" s="6">
        <f>IFERROR(__xludf.DUMMYFUNCTION("""COMPUTED_VALUE"""),1508.5)</f>
        <v/>
      </c>
    </row>
    <row r="405">
      <c r="B405" s="6">
        <f>C405&amp;D405</f>
        <v/>
      </c>
      <c r="C405" s="6">
        <f>YEAR(E405)</f>
        <v/>
      </c>
      <c r="D405" s="6">
        <f>MONTH(E405)</f>
        <v/>
      </c>
      <c r="E405" s="267">
        <f>IFERROR(__xludf.DUMMYFUNCTION("""COMPUTED_VALUE"""),43678.6666666666)</f>
        <v/>
      </c>
      <c r="F405" s="6">
        <f>IFERROR(__xludf.DUMMYFUNCTION("""COMPUTED_VALUE"""),2953.56)</f>
        <v/>
      </c>
      <c r="J405" s="6">
        <f>K405&amp;L405</f>
        <v/>
      </c>
      <c r="K405" s="6">
        <f>YEAR(M405)</f>
        <v/>
      </c>
      <c r="L405" s="6">
        <f>MONTH(M405)</f>
        <v/>
      </c>
      <c r="M405" s="267">
        <f>IFERROR(__xludf.DUMMYFUNCTION("""COMPUTED_VALUE"""),43678.6666666666)</f>
        <v/>
      </c>
      <c r="N405" s="6">
        <f>IFERROR(__xludf.DUMMYFUNCTION("""COMPUTED_VALUE"""),8111.12)</f>
        <v/>
      </c>
      <c r="R405" s="6">
        <f>S405&amp;T405</f>
        <v/>
      </c>
      <c r="S405" s="6">
        <f>YEAR(U405)</f>
        <v/>
      </c>
      <c r="T405" s="6">
        <f>MONTH(U405)</f>
        <v/>
      </c>
      <c r="U405" s="267">
        <f>IFERROR(__xludf.DUMMYFUNCTION("""COMPUTED_VALUE"""),43703.6458333333)</f>
        <v/>
      </c>
      <c r="V405" s="6">
        <f>IFERROR(__xludf.DUMMYFUNCTION("""COMPUTED_VALUE"""),1916.31)</f>
        <v/>
      </c>
      <c r="Z405" s="6">
        <f>AA405&amp;AB405</f>
        <v/>
      </c>
      <c r="AA405" s="6">
        <f>YEAR(AC405)</f>
        <v/>
      </c>
      <c r="AB405" s="6">
        <f>MONTH(AC405)</f>
        <v/>
      </c>
      <c r="AC405" s="267">
        <f>IFERROR(__xludf.DUMMYFUNCTION("""COMPUTED_VALUE"""),43520.9986111111)</f>
        <v/>
      </c>
      <c r="AD405" s="6">
        <f>IFERROR(__xludf.DUMMYFUNCTION("""COMPUTED_VALUE"""),1122.31)</f>
        <v/>
      </c>
      <c r="AH405" s="6">
        <f>AI405&amp;AJ405</f>
        <v/>
      </c>
      <c r="AI405" s="6">
        <f>YEAR(AK405)</f>
        <v/>
      </c>
      <c r="AJ405" s="6">
        <f>MONTH(AK405)</f>
        <v/>
      </c>
      <c r="AK405" s="267">
        <f>IFERROR(__xludf.DUMMYFUNCTION("""COMPUTED_VALUE"""),43497.9986111111)</f>
        <v/>
      </c>
      <c r="AL405" s="6">
        <f>IFERROR(__xludf.DUMMYFUNCTION("""COMPUTED_VALUE"""),3450.264)</f>
        <v/>
      </c>
      <c r="AP405" s="6">
        <f>AQ405&amp;AR405</f>
        <v/>
      </c>
      <c r="AQ405" s="6">
        <f>YEAR(AS405)</f>
        <v/>
      </c>
      <c r="AR405" s="6">
        <f>MONTH(AS405)</f>
        <v/>
      </c>
      <c r="AS405" s="267">
        <f>IFERROR(__xludf.DUMMYFUNCTION("""COMPUTED_VALUE"""),43689.9986111111)</f>
        <v/>
      </c>
      <c r="AT405" s="6">
        <f>IFERROR(__xludf.DUMMYFUNCTION("""COMPUTED_VALUE"""),1517.2)</f>
        <v/>
      </c>
    </row>
    <row r="406">
      <c r="B406" s="6">
        <f>C406&amp;D406</f>
        <v/>
      </c>
      <c r="C406" s="6">
        <f>YEAR(E406)</f>
        <v/>
      </c>
      <c r="D406" s="6">
        <f>MONTH(E406)</f>
        <v/>
      </c>
      <c r="E406" s="267">
        <f>IFERROR(__xludf.DUMMYFUNCTION("""COMPUTED_VALUE"""),43679.6666666666)</f>
        <v/>
      </c>
      <c r="F406" s="6">
        <f>IFERROR(__xludf.DUMMYFUNCTION("""COMPUTED_VALUE"""),2932.05)</f>
        <v/>
      </c>
      <c r="J406" s="6">
        <f>K406&amp;L406</f>
        <v/>
      </c>
      <c r="K406" s="6">
        <f>YEAR(M406)</f>
        <v/>
      </c>
      <c r="L406" s="6">
        <f>MONTH(M406)</f>
        <v/>
      </c>
      <c r="M406" s="267">
        <f>IFERROR(__xludf.DUMMYFUNCTION("""COMPUTED_VALUE"""),43679.6666666666)</f>
        <v/>
      </c>
      <c r="N406" s="6">
        <f>IFERROR(__xludf.DUMMYFUNCTION("""COMPUTED_VALUE"""),8004.07)</f>
        <v/>
      </c>
      <c r="R406" s="6">
        <f>S406&amp;T406</f>
        <v/>
      </c>
      <c r="S406" s="6">
        <f>YEAR(U406)</f>
        <v/>
      </c>
      <c r="T406" s="6">
        <f>MONTH(U406)</f>
        <v/>
      </c>
      <c r="U406" s="267">
        <f>IFERROR(__xludf.DUMMYFUNCTION("""COMPUTED_VALUE"""),43704.6458333333)</f>
        <v/>
      </c>
      <c r="V406" s="6">
        <f>IFERROR(__xludf.DUMMYFUNCTION("""COMPUTED_VALUE"""),1924.6)</f>
        <v/>
      </c>
      <c r="Z406" s="6">
        <f>AA406&amp;AB406</f>
        <v/>
      </c>
      <c r="AA406" s="6">
        <f>YEAR(AC406)</f>
        <v/>
      </c>
      <c r="AB406" s="6">
        <f>MONTH(AC406)</f>
        <v/>
      </c>
      <c r="AC406" s="267">
        <f>IFERROR(__xludf.DUMMYFUNCTION("""COMPUTED_VALUE"""),43521.9986111111)</f>
        <v/>
      </c>
      <c r="AD406" s="6">
        <f>IFERROR(__xludf.DUMMYFUNCTION("""COMPUTED_VALUE"""),1117.2)</f>
        <v/>
      </c>
      <c r="AH406" s="6">
        <f>AI406&amp;AJ406</f>
        <v/>
      </c>
      <c r="AI406" s="6">
        <f>YEAR(AK406)</f>
        <v/>
      </c>
      <c r="AJ406" s="6">
        <f>MONTH(AK406)</f>
        <v/>
      </c>
      <c r="AK406" s="267">
        <f>IFERROR(__xludf.DUMMYFUNCTION("""COMPUTED_VALUE"""),43498.9986111111)</f>
        <v/>
      </c>
      <c r="AL406" s="6">
        <f>IFERROR(__xludf.DUMMYFUNCTION("""COMPUTED_VALUE"""),3493.482)</f>
        <v/>
      </c>
      <c r="AP406" s="6">
        <f>AQ406&amp;AR406</f>
        <v/>
      </c>
      <c r="AQ406" s="6">
        <f>YEAR(AS406)</f>
        <v/>
      </c>
      <c r="AR406" s="6">
        <f>MONTH(AS406)</f>
        <v/>
      </c>
      <c r="AS406" s="267">
        <f>IFERROR(__xludf.DUMMYFUNCTION("""COMPUTED_VALUE"""),43690.9986111111)</f>
        <v/>
      </c>
      <c r="AT406" s="6">
        <f>IFERROR(__xludf.DUMMYFUNCTION("""COMPUTED_VALUE"""),1514.1)</f>
        <v/>
      </c>
    </row>
    <row r="407">
      <c r="B407" s="6">
        <f>C407&amp;D407</f>
        <v/>
      </c>
      <c r="C407" s="6">
        <f>YEAR(E407)</f>
        <v/>
      </c>
      <c r="D407" s="6">
        <f>MONTH(E407)</f>
        <v/>
      </c>
      <c r="E407" s="267">
        <f>IFERROR(__xludf.DUMMYFUNCTION("""COMPUTED_VALUE"""),43682.6666666666)</f>
        <v/>
      </c>
      <c r="F407" s="6">
        <f>IFERROR(__xludf.DUMMYFUNCTION("""COMPUTED_VALUE"""),2844.74)</f>
        <v/>
      </c>
      <c r="J407" s="6">
        <f>K407&amp;L407</f>
        <v/>
      </c>
      <c r="K407" s="6">
        <f>YEAR(M407)</f>
        <v/>
      </c>
      <c r="L407" s="6">
        <f>MONTH(M407)</f>
        <v/>
      </c>
      <c r="M407" s="267">
        <f>IFERROR(__xludf.DUMMYFUNCTION("""COMPUTED_VALUE"""),43682.6666666666)</f>
        <v/>
      </c>
      <c r="N407" s="6">
        <f>IFERROR(__xludf.DUMMYFUNCTION("""COMPUTED_VALUE"""),7726.04)</f>
        <v/>
      </c>
      <c r="R407" s="6">
        <f>S407&amp;T407</f>
        <v/>
      </c>
      <c r="S407" s="6">
        <f>YEAR(U407)</f>
        <v/>
      </c>
      <c r="T407" s="6">
        <f>MONTH(U407)</f>
        <v/>
      </c>
      <c r="U407" s="267">
        <f>IFERROR(__xludf.DUMMYFUNCTION("""COMPUTED_VALUE"""),43705.6458333333)</f>
        <v/>
      </c>
      <c r="V407" s="6">
        <f>IFERROR(__xludf.DUMMYFUNCTION("""COMPUTED_VALUE"""),1941.09)</f>
        <v/>
      </c>
      <c r="Z407" s="6">
        <f>AA407&amp;AB407</f>
        <v/>
      </c>
      <c r="AA407" s="6">
        <f>YEAR(AC407)</f>
        <v/>
      </c>
      <c r="AB407" s="6">
        <f>MONTH(AC407)</f>
        <v/>
      </c>
      <c r="AC407" s="267">
        <f>IFERROR(__xludf.DUMMYFUNCTION("""COMPUTED_VALUE"""),43522.9986111111)</f>
        <v/>
      </c>
      <c r="AD407" s="6">
        <f>IFERROR(__xludf.DUMMYFUNCTION("""COMPUTED_VALUE"""),1114.3)</f>
        <v/>
      </c>
      <c r="AH407" s="6">
        <f>AI407&amp;AJ407</f>
        <v/>
      </c>
      <c r="AI407" s="6">
        <f>YEAR(AK407)</f>
        <v/>
      </c>
      <c r="AJ407" s="6">
        <f>MONTH(AK407)</f>
        <v/>
      </c>
      <c r="AK407" s="267">
        <f>IFERROR(__xludf.DUMMYFUNCTION("""COMPUTED_VALUE"""),43499.9986111111)</f>
        <v/>
      </c>
      <c r="AL407" s="6">
        <f>IFERROR(__xludf.DUMMYFUNCTION("""COMPUTED_VALUE"""),3426.086)</f>
        <v/>
      </c>
      <c r="AP407" s="6">
        <f>AQ407&amp;AR407</f>
        <v/>
      </c>
      <c r="AQ407" s="6">
        <f>YEAR(AS407)</f>
        <v/>
      </c>
      <c r="AR407" s="6">
        <f>MONTH(AS407)</f>
        <v/>
      </c>
      <c r="AS407" s="267">
        <f>IFERROR(__xludf.DUMMYFUNCTION("""COMPUTED_VALUE"""),43691.9986111111)</f>
        <v/>
      </c>
      <c r="AT407" s="6">
        <f>IFERROR(__xludf.DUMMYFUNCTION("""COMPUTED_VALUE"""),1527.8)</f>
        <v/>
      </c>
    </row>
    <row r="408">
      <c r="B408" s="6">
        <f>C408&amp;D408</f>
        <v/>
      </c>
      <c r="C408" s="6">
        <f>YEAR(E408)</f>
        <v/>
      </c>
      <c r="D408" s="6">
        <f>MONTH(E408)</f>
        <v/>
      </c>
      <c r="E408" s="267">
        <f>IFERROR(__xludf.DUMMYFUNCTION("""COMPUTED_VALUE"""),43683.6666666666)</f>
        <v/>
      </c>
      <c r="F408" s="6">
        <f>IFERROR(__xludf.DUMMYFUNCTION("""COMPUTED_VALUE"""),2881.77)</f>
        <v/>
      </c>
      <c r="J408" s="6">
        <f>K408&amp;L408</f>
        <v/>
      </c>
      <c r="K408" s="6">
        <f>YEAR(M408)</f>
        <v/>
      </c>
      <c r="L408" s="6">
        <f>MONTH(M408)</f>
        <v/>
      </c>
      <c r="M408" s="267">
        <f>IFERROR(__xludf.DUMMYFUNCTION("""COMPUTED_VALUE"""),43683.6666666666)</f>
        <v/>
      </c>
      <c r="N408" s="6">
        <f>IFERROR(__xludf.DUMMYFUNCTION("""COMPUTED_VALUE"""),7833.27)</f>
        <v/>
      </c>
      <c r="R408" s="6">
        <f>S408&amp;T408</f>
        <v/>
      </c>
      <c r="S408" s="6">
        <f>YEAR(U408)</f>
        <v/>
      </c>
      <c r="T408" s="6">
        <f>MONTH(U408)</f>
        <v/>
      </c>
      <c r="U408" s="267">
        <f>IFERROR(__xludf.DUMMYFUNCTION("""COMPUTED_VALUE"""),43706.6458333333)</f>
        <v/>
      </c>
      <c r="V408" s="6">
        <f>IFERROR(__xludf.DUMMYFUNCTION("""COMPUTED_VALUE"""),1933.41)</f>
        <v/>
      </c>
      <c r="Z408" s="6">
        <f>AA408&amp;AB408</f>
        <v/>
      </c>
      <c r="AA408" s="6">
        <f>YEAR(AC408)</f>
        <v/>
      </c>
      <c r="AB408" s="6">
        <f>MONTH(AC408)</f>
        <v/>
      </c>
      <c r="AC408" s="267">
        <f>IFERROR(__xludf.DUMMYFUNCTION("""COMPUTED_VALUE"""),43523.9986111111)</f>
        <v/>
      </c>
      <c r="AD408" s="6">
        <f>IFERROR(__xludf.DUMMYFUNCTION("""COMPUTED_VALUE"""),1115.1)</f>
        <v/>
      </c>
      <c r="AH408" s="6">
        <f>AI408&amp;AJ408</f>
        <v/>
      </c>
      <c r="AI408" s="6">
        <f>YEAR(AK408)</f>
        <v/>
      </c>
      <c r="AJ408" s="6">
        <f>MONTH(AK408)</f>
        <v/>
      </c>
      <c r="AK408" s="267">
        <f>IFERROR(__xludf.DUMMYFUNCTION("""COMPUTED_VALUE"""),43500.9986111111)</f>
        <v/>
      </c>
      <c r="AL408" s="6">
        <f>IFERROR(__xludf.DUMMYFUNCTION("""COMPUTED_VALUE"""),3418.105)</f>
        <v/>
      </c>
      <c r="AP408" s="6">
        <f>AQ408&amp;AR408</f>
        <v/>
      </c>
      <c r="AQ408" s="6">
        <f>YEAR(AS408)</f>
        <v/>
      </c>
      <c r="AR408" s="6">
        <f>MONTH(AS408)</f>
        <v/>
      </c>
      <c r="AS408" s="267">
        <f>IFERROR(__xludf.DUMMYFUNCTION("""COMPUTED_VALUE"""),43692.9986111111)</f>
        <v/>
      </c>
      <c r="AT408" s="6">
        <f>IFERROR(__xludf.DUMMYFUNCTION("""COMPUTED_VALUE"""),1531.2)</f>
        <v/>
      </c>
    </row>
    <row r="409">
      <c r="B409" s="6">
        <f>C409&amp;D409</f>
        <v/>
      </c>
      <c r="C409" s="6">
        <f>YEAR(E409)</f>
        <v/>
      </c>
      <c r="D409" s="6">
        <f>MONTH(E409)</f>
        <v/>
      </c>
      <c r="E409" s="267">
        <f>IFERROR(__xludf.DUMMYFUNCTION("""COMPUTED_VALUE"""),43684.6666666666)</f>
        <v/>
      </c>
      <c r="F409" s="6">
        <f>IFERROR(__xludf.DUMMYFUNCTION("""COMPUTED_VALUE"""),2883.98)</f>
        <v/>
      </c>
      <c r="J409" s="6">
        <f>K409&amp;L409</f>
        <v/>
      </c>
      <c r="K409" s="6">
        <f>YEAR(M409)</f>
        <v/>
      </c>
      <c r="L409" s="6">
        <f>MONTH(M409)</f>
        <v/>
      </c>
      <c r="M409" s="267">
        <f>IFERROR(__xludf.DUMMYFUNCTION("""COMPUTED_VALUE"""),43684.6666666666)</f>
        <v/>
      </c>
      <c r="N409" s="6">
        <f>IFERROR(__xludf.DUMMYFUNCTION("""COMPUTED_VALUE"""),7862.83)</f>
        <v/>
      </c>
      <c r="R409" s="6">
        <f>S409&amp;T409</f>
        <v/>
      </c>
      <c r="S409" s="6">
        <f>YEAR(U409)</f>
        <v/>
      </c>
      <c r="T409" s="6">
        <f>MONTH(U409)</f>
        <v/>
      </c>
      <c r="U409" s="267">
        <f>IFERROR(__xludf.DUMMYFUNCTION("""COMPUTED_VALUE"""),43707.6458333333)</f>
        <v/>
      </c>
      <c r="V409" s="6">
        <f>IFERROR(__xludf.DUMMYFUNCTION("""COMPUTED_VALUE"""),1967.79)</f>
        <v/>
      </c>
      <c r="Z409" s="6">
        <f>AA409&amp;AB409</f>
        <v/>
      </c>
      <c r="AA409" s="6">
        <f>YEAR(AC409)</f>
        <v/>
      </c>
      <c r="AB409" s="6">
        <f>MONTH(AC409)</f>
        <v/>
      </c>
      <c r="AC409" s="267">
        <f>IFERROR(__xludf.DUMMYFUNCTION("""COMPUTED_VALUE"""),43524.9986111111)</f>
        <v/>
      </c>
      <c r="AD409" s="6">
        <f>IFERROR(__xludf.DUMMYFUNCTION("""COMPUTED_VALUE"""),1124.22)</f>
        <v/>
      </c>
      <c r="AH409" s="6">
        <f>AI409&amp;AJ409</f>
        <v/>
      </c>
      <c r="AI409" s="6">
        <f>YEAR(AK409)</f>
        <v/>
      </c>
      <c r="AJ409" s="6">
        <f>MONTH(AK409)</f>
        <v/>
      </c>
      <c r="AK409" s="267">
        <f>IFERROR(__xludf.DUMMYFUNCTION("""COMPUTED_VALUE"""),43501.9986111111)</f>
        <v/>
      </c>
      <c r="AL409" s="6">
        <f>IFERROR(__xludf.DUMMYFUNCTION("""COMPUTED_VALUE"""),3447.196)</f>
        <v/>
      </c>
      <c r="AP409" s="6">
        <f>AQ409&amp;AR409</f>
        <v/>
      </c>
      <c r="AQ409" s="6">
        <f>YEAR(AS409)</f>
        <v/>
      </c>
      <c r="AR409" s="6">
        <f>MONTH(AS409)</f>
        <v/>
      </c>
      <c r="AS409" s="267">
        <f>IFERROR(__xludf.DUMMYFUNCTION("""COMPUTED_VALUE"""),43693.9986111111)</f>
        <v/>
      </c>
      <c r="AT409" s="6">
        <f>IFERROR(__xludf.DUMMYFUNCTION("""COMPUTED_VALUE"""),1523.6)</f>
        <v/>
      </c>
    </row>
    <row r="410">
      <c r="B410" s="6">
        <f>C410&amp;D410</f>
        <v/>
      </c>
      <c r="C410" s="6">
        <f>YEAR(E410)</f>
        <v/>
      </c>
      <c r="D410" s="6">
        <f>MONTH(E410)</f>
        <v/>
      </c>
      <c r="E410" s="267">
        <f>IFERROR(__xludf.DUMMYFUNCTION("""COMPUTED_VALUE"""),43685.6666666666)</f>
        <v/>
      </c>
      <c r="F410" s="6">
        <f>IFERROR(__xludf.DUMMYFUNCTION("""COMPUTED_VALUE"""),2938.09)</f>
        <v/>
      </c>
      <c r="J410" s="6">
        <f>K410&amp;L410</f>
        <v/>
      </c>
      <c r="K410" s="6">
        <f>YEAR(M410)</f>
        <v/>
      </c>
      <c r="L410" s="6">
        <f>MONTH(M410)</f>
        <v/>
      </c>
      <c r="M410" s="267">
        <f>IFERROR(__xludf.DUMMYFUNCTION("""COMPUTED_VALUE"""),43685.6666666666)</f>
        <v/>
      </c>
      <c r="N410" s="6">
        <f>IFERROR(__xludf.DUMMYFUNCTION("""COMPUTED_VALUE"""),8039.16)</f>
        <v/>
      </c>
      <c r="R410" s="6">
        <f>S410&amp;T410</f>
        <v/>
      </c>
      <c r="S410" s="6">
        <f>YEAR(U410)</f>
        <v/>
      </c>
      <c r="T410" s="6">
        <f>MONTH(U410)</f>
        <v/>
      </c>
      <c r="U410" s="267">
        <f>IFERROR(__xludf.DUMMYFUNCTION("""COMPUTED_VALUE"""),43710.6458333333)</f>
        <v/>
      </c>
      <c r="V410" s="6">
        <f>IFERROR(__xludf.DUMMYFUNCTION("""COMPUTED_VALUE"""),1969.19)</f>
        <v/>
      </c>
      <c r="Z410" s="6">
        <f>AA410&amp;AB410</f>
        <v/>
      </c>
      <c r="AA410" s="6">
        <f>YEAR(AC410)</f>
        <v/>
      </c>
      <c r="AB410" s="6">
        <f>MONTH(AC410)</f>
        <v/>
      </c>
      <c r="AC410" s="267">
        <f>IFERROR(__xludf.DUMMYFUNCTION("""COMPUTED_VALUE"""),43525.9986111111)</f>
        <v/>
      </c>
      <c r="AD410" s="6">
        <f>IFERROR(__xludf.DUMMYFUNCTION("""COMPUTED_VALUE"""),1126.66)</f>
        <v/>
      </c>
      <c r="AH410" s="6">
        <f>AI410&amp;AJ410</f>
        <v/>
      </c>
      <c r="AI410" s="6">
        <f>YEAR(AK410)</f>
        <v/>
      </c>
      <c r="AJ410" s="6">
        <f>MONTH(AK410)</f>
        <v/>
      </c>
      <c r="AK410" s="267">
        <f>IFERROR(__xludf.DUMMYFUNCTION("""COMPUTED_VALUE"""),43502.9986111111)</f>
        <v/>
      </c>
      <c r="AL410" s="6">
        <f>IFERROR(__xludf.DUMMYFUNCTION("""COMPUTED_VALUE"""),3380.267)</f>
        <v/>
      </c>
      <c r="AP410" s="6">
        <f>AQ410&amp;AR410</f>
        <v/>
      </c>
      <c r="AQ410" s="6">
        <f>YEAR(AS410)</f>
        <v/>
      </c>
      <c r="AR410" s="6">
        <f>MONTH(AS410)</f>
        <v/>
      </c>
      <c r="AS410" s="267">
        <f>IFERROR(__xludf.DUMMYFUNCTION("""COMPUTED_VALUE"""),43696.9986111111)</f>
        <v/>
      </c>
      <c r="AT410" s="6">
        <f>IFERROR(__xludf.DUMMYFUNCTION("""COMPUTED_VALUE"""),1511.6)</f>
        <v/>
      </c>
    </row>
    <row r="411">
      <c r="B411" s="6">
        <f>C411&amp;D411</f>
        <v/>
      </c>
      <c r="C411" s="6">
        <f>YEAR(E411)</f>
        <v/>
      </c>
      <c r="D411" s="6">
        <f>MONTH(E411)</f>
        <v/>
      </c>
      <c r="E411" s="267">
        <f>IFERROR(__xludf.DUMMYFUNCTION("""COMPUTED_VALUE"""),43686.6666666666)</f>
        <v/>
      </c>
      <c r="F411" s="6">
        <f>IFERROR(__xludf.DUMMYFUNCTION("""COMPUTED_VALUE"""),2918.65)</f>
        <v/>
      </c>
      <c r="J411" s="6">
        <f>K411&amp;L411</f>
        <v/>
      </c>
      <c r="K411" s="6">
        <f>YEAR(M411)</f>
        <v/>
      </c>
      <c r="L411" s="6">
        <f>MONTH(M411)</f>
        <v/>
      </c>
      <c r="M411" s="267">
        <f>IFERROR(__xludf.DUMMYFUNCTION("""COMPUTED_VALUE"""),43686.6666666666)</f>
        <v/>
      </c>
      <c r="N411" s="6">
        <f>IFERROR(__xludf.DUMMYFUNCTION("""COMPUTED_VALUE"""),7959.14)</f>
        <v/>
      </c>
      <c r="R411" s="6">
        <f>S411&amp;T411</f>
        <v/>
      </c>
      <c r="S411" s="6">
        <f>YEAR(U411)</f>
        <v/>
      </c>
      <c r="T411" s="6">
        <f>MONTH(U411)</f>
        <v/>
      </c>
      <c r="U411" s="267">
        <f>IFERROR(__xludf.DUMMYFUNCTION("""COMPUTED_VALUE"""),43711.6458333333)</f>
        <v/>
      </c>
      <c r="V411" s="6">
        <f>IFERROR(__xludf.DUMMYFUNCTION("""COMPUTED_VALUE"""),1965.69)</f>
        <v/>
      </c>
      <c r="Z411" s="6">
        <f>AA411&amp;AB411</f>
        <v/>
      </c>
      <c r="AA411" s="6">
        <f>YEAR(AC411)</f>
        <v/>
      </c>
      <c r="AB411" s="6">
        <f>MONTH(AC411)</f>
        <v/>
      </c>
      <c r="AC411" s="267">
        <f>IFERROR(__xludf.DUMMYFUNCTION("""COMPUTED_VALUE"""),43527.9986111111)</f>
        <v/>
      </c>
      <c r="AD411" s="6">
        <f>IFERROR(__xludf.DUMMYFUNCTION("""COMPUTED_VALUE"""),1126.81)</f>
        <v/>
      </c>
      <c r="AH411" s="6">
        <f>AI411&amp;AJ411</f>
        <v/>
      </c>
      <c r="AI411" s="6">
        <f>YEAR(AK411)</f>
        <v/>
      </c>
      <c r="AJ411" s="6">
        <f>MONTH(AK411)</f>
        <v/>
      </c>
      <c r="AK411" s="267">
        <f>IFERROR(__xludf.DUMMYFUNCTION("""COMPUTED_VALUE"""),43503.9986111111)</f>
        <v/>
      </c>
      <c r="AL411" s="6">
        <f>IFERROR(__xludf.DUMMYFUNCTION("""COMPUTED_VALUE"""),3367.105)</f>
        <v/>
      </c>
      <c r="AP411" s="6">
        <f>AQ411&amp;AR411</f>
        <v/>
      </c>
      <c r="AQ411" s="6">
        <f>YEAR(AS411)</f>
        <v/>
      </c>
      <c r="AR411" s="6">
        <f>MONTH(AS411)</f>
        <v/>
      </c>
      <c r="AS411" s="267">
        <f>IFERROR(__xludf.DUMMYFUNCTION("""COMPUTED_VALUE"""),43697.9986111111)</f>
        <v/>
      </c>
      <c r="AT411" s="6">
        <f>IFERROR(__xludf.DUMMYFUNCTION("""COMPUTED_VALUE"""),1515.7)</f>
        <v/>
      </c>
    </row>
    <row r="412">
      <c r="B412" s="6">
        <f>C412&amp;D412</f>
        <v/>
      </c>
      <c r="C412" s="6">
        <f>YEAR(E412)</f>
        <v/>
      </c>
      <c r="D412" s="6">
        <f>MONTH(E412)</f>
        <v/>
      </c>
      <c r="E412" s="267">
        <f>IFERROR(__xludf.DUMMYFUNCTION("""COMPUTED_VALUE"""),43689.6666666666)</f>
        <v/>
      </c>
      <c r="F412" s="6">
        <f>IFERROR(__xludf.DUMMYFUNCTION("""COMPUTED_VALUE"""),2883.09)</f>
        <v/>
      </c>
      <c r="J412" s="6">
        <f>K412&amp;L412</f>
        <v/>
      </c>
      <c r="K412" s="6">
        <f>YEAR(M412)</f>
        <v/>
      </c>
      <c r="L412" s="6">
        <f>MONTH(M412)</f>
        <v/>
      </c>
      <c r="M412" s="267">
        <f>IFERROR(__xludf.DUMMYFUNCTION("""COMPUTED_VALUE"""),43689.6666666666)</f>
        <v/>
      </c>
      <c r="N412" s="6">
        <f>IFERROR(__xludf.DUMMYFUNCTION("""COMPUTED_VALUE"""),7863.41)</f>
        <v/>
      </c>
      <c r="R412" s="6">
        <f>S412&amp;T412</f>
        <v/>
      </c>
      <c r="S412" s="6">
        <f>YEAR(U412)</f>
        <v/>
      </c>
      <c r="T412" s="6">
        <f>MONTH(U412)</f>
        <v/>
      </c>
      <c r="U412" s="267">
        <f>IFERROR(__xludf.DUMMYFUNCTION("""COMPUTED_VALUE"""),43712.6458333333)</f>
        <v/>
      </c>
      <c r="V412" s="6">
        <f>IFERROR(__xludf.DUMMYFUNCTION("""COMPUTED_VALUE"""),1988.53)</f>
        <v/>
      </c>
      <c r="Z412" s="6">
        <f>AA412&amp;AB412</f>
        <v/>
      </c>
      <c r="AA412" s="6">
        <f>YEAR(AC412)</f>
        <v/>
      </c>
      <c r="AB412" s="6">
        <f>MONTH(AC412)</f>
        <v/>
      </c>
      <c r="AC412" s="267">
        <f>IFERROR(__xludf.DUMMYFUNCTION("""COMPUTED_VALUE"""),43528.9986111111)</f>
        <v/>
      </c>
      <c r="AD412" s="6">
        <f>IFERROR(__xludf.DUMMYFUNCTION("""COMPUTED_VALUE"""),1128.15)</f>
        <v/>
      </c>
      <c r="AH412" s="6">
        <f>AI412&amp;AJ412</f>
        <v/>
      </c>
      <c r="AI412" s="6">
        <f>YEAR(AK412)</f>
        <v/>
      </c>
      <c r="AJ412" s="6">
        <f>MONTH(AK412)</f>
        <v/>
      </c>
      <c r="AK412" s="267">
        <f>IFERROR(__xludf.DUMMYFUNCTION("""COMPUTED_VALUE"""),43504.9986111111)</f>
        <v/>
      </c>
      <c r="AL412" s="6">
        <f>IFERROR(__xludf.DUMMYFUNCTION("""COMPUTED_VALUE"""),3644.61)</f>
        <v/>
      </c>
      <c r="AP412" s="6">
        <f>AQ412&amp;AR412</f>
        <v/>
      </c>
      <c r="AQ412" s="6">
        <f>YEAR(AS412)</f>
        <v/>
      </c>
      <c r="AR412" s="6">
        <f>MONTH(AS412)</f>
        <v/>
      </c>
      <c r="AS412" s="267">
        <f>IFERROR(__xludf.DUMMYFUNCTION("""COMPUTED_VALUE"""),43698.9986111111)</f>
        <v/>
      </c>
      <c r="AT412" s="6">
        <f>IFERROR(__xludf.DUMMYFUNCTION("""COMPUTED_VALUE"""),1515.7)</f>
        <v/>
      </c>
    </row>
    <row r="413">
      <c r="B413" s="6">
        <f>C413&amp;D413</f>
        <v/>
      </c>
      <c r="C413" s="6">
        <f>YEAR(E413)</f>
        <v/>
      </c>
      <c r="D413" s="6">
        <f>MONTH(E413)</f>
        <v/>
      </c>
      <c r="E413" s="267">
        <f>IFERROR(__xludf.DUMMYFUNCTION("""COMPUTED_VALUE"""),43690.6666666666)</f>
        <v/>
      </c>
      <c r="F413" s="6">
        <f>IFERROR(__xludf.DUMMYFUNCTION("""COMPUTED_VALUE"""),2926.32)</f>
        <v/>
      </c>
      <c r="J413" s="6">
        <f>K413&amp;L413</f>
        <v/>
      </c>
      <c r="K413" s="6">
        <f>YEAR(M413)</f>
        <v/>
      </c>
      <c r="L413" s="6">
        <f>MONTH(M413)</f>
        <v/>
      </c>
      <c r="M413" s="267">
        <f>IFERROR(__xludf.DUMMYFUNCTION("""COMPUTED_VALUE"""),43690.6666666666)</f>
        <v/>
      </c>
      <c r="N413" s="6">
        <f>IFERROR(__xludf.DUMMYFUNCTION("""COMPUTED_VALUE"""),8016.36)</f>
        <v/>
      </c>
      <c r="R413" s="6">
        <f>S413&amp;T413</f>
        <v/>
      </c>
      <c r="S413" s="6">
        <f>YEAR(U413)</f>
        <v/>
      </c>
      <c r="T413" s="6">
        <f>MONTH(U413)</f>
        <v/>
      </c>
      <c r="U413" s="267">
        <f>IFERROR(__xludf.DUMMYFUNCTION("""COMPUTED_VALUE"""),43713.6458333333)</f>
        <v/>
      </c>
      <c r="V413" s="6">
        <f>IFERROR(__xludf.DUMMYFUNCTION("""COMPUTED_VALUE"""),2004.75)</f>
        <v/>
      </c>
      <c r="Z413" s="6">
        <f>AA413&amp;AB413</f>
        <v/>
      </c>
      <c r="AA413" s="6">
        <f>YEAR(AC413)</f>
        <v/>
      </c>
      <c r="AB413" s="6">
        <f>MONTH(AC413)</f>
        <v/>
      </c>
      <c r="AC413" s="267">
        <f>IFERROR(__xludf.DUMMYFUNCTION("""COMPUTED_VALUE"""),43529.9986111111)</f>
        <v/>
      </c>
      <c r="AD413" s="6">
        <f>IFERROR(__xludf.DUMMYFUNCTION("""COMPUTED_VALUE"""),1126.2)</f>
        <v/>
      </c>
      <c r="AH413" s="6">
        <f>AI413&amp;AJ413</f>
        <v/>
      </c>
      <c r="AI413" s="6">
        <f>YEAR(AK413)</f>
        <v/>
      </c>
      <c r="AJ413" s="6">
        <f>MONTH(AK413)</f>
        <v/>
      </c>
      <c r="AK413" s="267">
        <f>IFERROR(__xludf.DUMMYFUNCTION("""COMPUTED_VALUE"""),43505.9986111111)</f>
        <v/>
      </c>
      <c r="AL413" s="6">
        <f>IFERROR(__xludf.DUMMYFUNCTION("""COMPUTED_VALUE"""),3638.609)</f>
        <v/>
      </c>
      <c r="AP413" s="6">
        <f>AQ413&amp;AR413</f>
        <v/>
      </c>
      <c r="AQ413" s="6">
        <f>YEAR(AS413)</f>
        <v/>
      </c>
      <c r="AR413" s="6">
        <f>MONTH(AS413)</f>
        <v/>
      </c>
      <c r="AS413" s="267">
        <f>IFERROR(__xludf.DUMMYFUNCTION("""COMPUTED_VALUE"""),43699.9986111111)</f>
        <v/>
      </c>
      <c r="AT413" s="6">
        <f>IFERROR(__xludf.DUMMYFUNCTION("""COMPUTED_VALUE"""),1508.5)</f>
        <v/>
      </c>
    </row>
    <row r="414">
      <c r="B414" s="6">
        <f>C414&amp;D414</f>
        <v/>
      </c>
      <c r="C414" s="6">
        <f>YEAR(E414)</f>
        <v/>
      </c>
      <c r="D414" s="6">
        <f>MONTH(E414)</f>
        <v/>
      </c>
      <c r="E414" s="267">
        <f>IFERROR(__xludf.DUMMYFUNCTION("""COMPUTED_VALUE"""),43691.6666666666)</f>
        <v/>
      </c>
      <c r="F414" s="6">
        <f>IFERROR(__xludf.DUMMYFUNCTION("""COMPUTED_VALUE"""),2840.6)</f>
        <v/>
      </c>
      <c r="J414" s="6">
        <f>K414&amp;L414</f>
        <v/>
      </c>
      <c r="K414" s="6">
        <f>YEAR(M414)</f>
        <v/>
      </c>
      <c r="L414" s="6">
        <f>MONTH(M414)</f>
        <v/>
      </c>
      <c r="M414" s="267">
        <f>IFERROR(__xludf.DUMMYFUNCTION("""COMPUTED_VALUE"""),43691.6666666666)</f>
        <v/>
      </c>
      <c r="N414" s="6">
        <f>IFERROR(__xludf.DUMMYFUNCTION("""COMPUTED_VALUE"""),7773.94)</f>
        <v/>
      </c>
      <c r="R414" s="6">
        <f>S414&amp;T414</f>
        <v/>
      </c>
      <c r="S414" s="6">
        <f>YEAR(U414)</f>
        <v/>
      </c>
      <c r="T414" s="6">
        <f>MONTH(U414)</f>
        <v/>
      </c>
      <c r="U414" s="267">
        <f>IFERROR(__xludf.DUMMYFUNCTION("""COMPUTED_VALUE"""),43714.6458333333)</f>
        <v/>
      </c>
      <c r="V414" s="6">
        <f>IFERROR(__xludf.DUMMYFUNCTION("""COMPUTED_VALUE"""),2009.13)</f>
        <v/>
      </c>
      <c r="Z414" s="6">
        <f>AA414&amp;AB414</f>
        <v/>
      </c>
      <c r="AA414" s="6">
        <f>YEAR(AC414)</f>
        <v/>
      </c>
      <c r="AB414" s="6">
        <f>MONTH(AC414)</f>
        <v/>
      </c>
      <c r="AC414" s="267">
        <f>IFERROR(__xludf.DUMMYFUNCTION("""COMPUTED_VALUE"""),43530.9986111111)</f>
        <v/>
      </c>
      <c r="AD414" s="6">
        <f>IFERROR(__xludf.DUMMYFUNCTION("""COMPUTED_VALUE"""),1127)</f>
        <v/>
      </c>
      <c r="AH414" s="6">
        <f>AI414&amp;AJ414</f>
        <v/>
      </c>
      <c r="AI414" s="6">
        <f>YEAR(AK414)</f>
        <v/>
      </c>
      <c r="AJ414" s="6">
        <f>MONTH(AK414)</f>
        <v/>
      </c>
      <c r="AK414" s="267">
        <f>IFERROR(__xludf.DUMMYFUNCTION("""COMPUTED_VALUE"""),43506.9986111111)</f>
        <v/>
      </c>
      <c r="AL414" s="6">
        <f>IFERROR(__xludf.DUMMYFUNCTION("""COMPUTED_VALUE"""),3653.442)</f>
        <v/>
      </c>
      <c r="AP414" s="6">
        <f>AQ414&amp;AR414</f>
        <v/>
      </c>
      <c r="AQ414" s="6">
        <f>YEAR(AS414)</f>
        <v/>
      </c>
      <c r="AR414" s="6">
        <f>MONTH(AS414)</f>
        <v/>
      </c>
      <c r="AS414" s="267">
        <f>IFERROR(__xludf.DUMMYFUNCTION("""COMPUTED_VALUE"""),43700.9986111111)</f>
        <v/>
      </c>
      <c r="AT414" s="6">
        <f>IFERROR(__xludf.DUMMYFUNCTION("""COMPUTED_VALUE"""),1537.6)</f>
        <v/>
      </c>
    </row>
    <row r="415">
      <c r="B415" s="6">
        <f>C415&amp;D415</f>
        <v/>
      </c>
      <c r="C415" s="6">
        <f>YEAR(E415)</f>
        <v/>
      </c>
      <c r="D415" s="6">
        <f>MONTH(E415)</f>
        <v/>
      </c>
      <c r="E415" s="267">
        <f>IFERROR(__xludf.DUMMYFUNCTION("""COMPUTED_VALUE"""),43692.6666666666)</f>
        <v/>
      </c>
      <c r="F415" s="6">
        <f>IFERROR(__xludf.DUMMYFUNCTION("""COMPUTED_VALUE"""),2847.6)</f>
        <v/>
      </c>
      <c r="J415" s="6">
        <f>K415&amp;L415</f>
        <v/>
      </c>
      <c r="K415" s="6">
        <f>YEAR(M415)</f>
        <v/>
      </c>
      <c r="L415" s="6">
        <f>MONTH(M415)</f>
        <v/>
      </c>
      <c r="M415" s="267">
        <f>IFERROR(__xludf.DUMMYFUNCTION("""COMPUTED_VALUE"""),43692.6666666666)</f>
        <v/>
      </c>
      <c r="N415" s="6">
        <f>IFERROR(__xludf.DUMMYFUNCTION("""COMPUTED_VALUE"""),7766.62)</f>
        <v/>
      </c>
      <c r="R415" s="6">
        <f>S415&amp;T415</f>
        <v/>
      </c>
      <c r="S415" s="6">
        <f>YEAR(U415)</f>
        <v/>
      </c>
      <c r="T415" s="6">
        <f>MONTH(U415)</f>
        <v/>
      </c>
      <c r="U415" s="267">
        <f>IFERROR(__xludf.DUMMYFUNCTION("""COMPUTED_VALUE"""),43717.6458333333)</f>
        <v/>
      </c>
      <c r="V415" s="6">
        <f>IFERROR(__xludf.DUMMYFUNCTION("""COMPUTED_VALUE"""),2019.55)</f>
        <v/>
      </c>
      <c r="Z415" s="6">
        <f>AA415&amp;AB415</f>
        <v/>
      </c>
      <c r="AA415" s="6">
        <f>YEAR(AC415)</f>
        <v/>
      </c>
      <c r="AB415" s="6">
        <f>MONTH(AC415)</f>
        <v/>
      </c>
      <c r="AC415" s="267">
        <f>IFERROR(__xludf.DUMMYFUNCTION("""COMPUTED_VALUE"""),43531.9986111111)</f>
        <v/>
      </c>
      <c r="AD415" s="6">
        <f>IFERROR(__xludf.DUMMYFUNCTION("""COMPUTED_VALUE"""),1133.07)</f>
        <v/>
      </c>
      <c r="AH415" s="6">
        <f>AI415&amp;AJ415</f>
        <v/>
      </c>
      <c r="AI415" s="6">
        <f>YEAR(AK415)</f>
        <v/>
      </c>
      <c r="AJ415" s="6">
        <f>MONTH(AK415)</f>
        <v/>
      </c>
      <c r="AK415" s="267">
        <f>IFERROR(__xludf.DUMMYFUNCTION("""COMPUTED_VALUE"""),43507.9986111111)</f>
        <v/>
      </c>
      <c r="AL415" s="6">
        <f>IFERROR(__xludf.DUMMYFUNCTION("""COMPUTED_VALUE"""),3616.495)</f>
        <v/>
      </c>
      <c r="AP415" s="6">
        <f>AQ415&amp;AR415</f>
        <v/>
      </c>
      <c r="AQ415" s="6">
        <f>YEAR(AS415)</f>
        <v/>
      </c>
      <c r="AR415" s="6">
        <f>MONTH(AS415)</f>
        <v/>
      </c>
      <c r="AS415" s="267">
        <f>IFERROR(__xludf.DUMMYFUNCTION("""COMPUTED_VALUE"""),43703.9986111111)</f>
        <v/>
      </c>
      <c r="AT415" s="6">
        <f>IFERROR(__xludf.DUMMYFUNCTION("""COMPUTED_VALUE"""),1537.2)</f>
        <v/>
      </c>
    </row>
    <row r="416">
      <c r="B416" s="6">
        <f>C416&amp;D416</f>
        <v/>
      </c>
      <c r="C416" s="6">
        <f>YEAR(E416)</f>
        <v/>
      </c>
      <c r="D416" s="6">
        <f>MONTH(E416)</f>
        <v/>
      </c>
      <c r="E416" s="267">
        <f>IFERROR(__xludf.DUMMYFUNCTION("""COMPUTED_VALUE"""),43693.6666666666)</f>
        <v/>
      </c>
      <c r="F416" s="6">
        <f>IFERROR(__xludf.DUMMYFUNCTION("""COMPUTED_VALUE"""),2888.68)</f>
        <v/>
      </c>
      <c r="J416" s="6">
        <f>K416&amp;L416</f>
        <v/>
      </c>
      <c r="K416" s="6">
        <f>YEAR(M416)</f>
        <v/>
      </c>
      <c r="L416" s="6">
        <f>MONTH(M416)</f>
        <v/>
      </c>
      <c r="M416" s="267">
        <f>IFERROR(__xludf.DUMMYFUNCTION("""COMPUTED_VALUE"""),43693.6666666666)</f>
        <v/>
      </c>
      <c r="N416" s="6">
        <f>IFERROR(__xludf.DUMMYFUNCTION("""COMPUTED_VALUE"""),7895.99)</f>
        <v/>
      </c>
      <c r="R416" s="6">
        <f>S416&amp;T416</f>
        <v/>
      </c>
      <c r="S416" s="6">
        <f>YEAR(U416)</f>
        <v/>
      </c>
      <c r="T416" s="6">
        <f>MONTH(U416)</f>
        <v/>
      </c>
      <c r="U416" s="267">
        <f>IFERROR(__xludf.DUMMYFUNCTION("""COMPUTED_VALUE"""),43718.6458333333)</f>
        <v/>
      </c>
      <c r="V416" s="6">
        <f>IFERROR(__xludf.DUMMYFUNCTION("""COMPUTED_VALUE"""),2032.08)</f>
        <v/>
      </c>
      <c r="Z416" s="6">
        <f>AA416&amp;AB416</f>
        <v/>
      </c>
      <c r="AA416" s="6">
        <f>YEAR(AC416)</f>
        <v/>
      </c>
      <c r="AB416" s="6">
        <f>MONTH(AC416)</f>
        <v/>
      </c>
      <c r="AC416" s="267">
        <f>IFERROR(__xludf.DUMMYFUNCTION("""COMPUTED_VALUE"""),43532.9986111111)</f>
        <v/>
      </c>
      <c r="AD416" s="6">
        <f>IFERROR(__xludf.DUMMYFUNCTION("""COMPUTED_VALUE"""),1132.88)</f>
        <v/>
      </c>
      <c r="AH416" s="6">
        <f>AI416&amp;AJ416</f>
        <v/>
      </c>
      <c r="AI416" s="6">
        <f>YEAR(AK416)</f>
        <v/>
      </c>
      <c r="AJ416" s="6">
        <f>MONTH(AK416)</f>
        <v/>
      </c>
      <c r="AK416" s="267">
        <f>IFERROR(__xludf.DUMMYFUNCTION("""COMPUTED_VALUE"""),43508.9986111111)</f>
        <v/>
      </c>
      <c r="AL416" s="6">
        <f>IFERROR(__xludf.DUMMYFUNCTION("""COMPUTED_VALUE"""),3611.743)</f>
        <v/>
      </c>
      <c r="AP416" s="6">
        <f>AQ416&amp;AR416</f>
        <v/>
      </c>
      <c r="AQ416" s="6">
        <f>YEAR(AS416)</f>
        <v/>
      </c>
      <c r="AR416" s="6">
        <f>MONTH(AS416)</f>
        <v/>
      </c>
      <c r="AS416" s="267">
        <f>IFERROR(__xludf.DUMMYFUNCTION("""COMPUTED_VALUE"""),43704.9986111111)</f>
        <v/>
      </c>
      <c r="AT416" s="6">
        <f>IFERROR(__xludf.DUMMYFUNCTION("""COMPUTED_VALUE"""),1551.8)</f>
        <v/>
      </c>
    </row>
    <row r="417">
      <c r="B417" s="6">
        <f>C417&amp;D417</f>
        <v/>
      </c>
      <c r="C417" s="6">
        <f>YEAR(E417)</f>
        <v/>
      </c>
      <c r="D417" s="6">
        <f>MONTH(E417)</f>
        <v/>
      </c>
      <c r="E417" s="267">
        <f>IFERROR(__xludf.DUMMYFUNCTION("""COMPUTED_VALUE"""),43696.6666666666)</f>
        <v/>
      </c>
      <c r="F417" s="6">
        <f>IFERROR(__xludf.DUMMYFUNCTION("""COMPUTED_VALUE"""),2923.65)</f>
        <v/>
      </c>
      <c r="J417" s="6">
        <f>K417&amp;L417</f>
        <v/>
      </c>
      <c r="K417" s="6">
        <f>YEAR(M417)</f>
        <v/>
      </c>
      <c r="L417" s="6">
        <f>MONTH(M417)</f>
        <v/>
      </c>
      <c r="M417" s="267">
        <f>IFERROR(__xludf.DUMMYFUNCTION("""COMPUTED_VALUE"""),43696.6666666666)</f>
        <v/>
      </c>
      <c r="N417" s="6">
        <f>IFERROR(__xludf.DUMMYFUNCTION("""COMPUTED_VALUE"""),8002.81)</f>
        <v/>
      </c>
      <c r="R417" s="6">
        <f>S417&amp;T417</f>
        <v/>
      </c>
      <c r="S417" s="6">
        <f>YEAR(U417)</f>
        <v/>
      </c>
      <c r="T417" s="6">
        <f>MONTH(U417)</f>
        <v/>
      </c>
      <c r="U417" s="267">
        <f>IFERROR(__xludf.DUMMYFUNCTION("""COMPUTED_VALUE"""),43719.6458333333)</f>
        <v/>
      </c>
      <c r="V417" s="6">
        <f>IFERROR(__xludf.DUMMYFUNCTION("""COMPUTED_VALUE"""),2049.2)</f>
        <v/>
      </c>
      <c r="Z417" s="6">
        <f>AA417&amp;AB417</f>
        <v/>
      </c>
      <c r="AA417" s="6">
        <f>YEAR(AC417)</f>
        <v/>
      </c>
      <c r="AB417" s="6">
        <f>MONTH(AC417)</f>
        <v/>
      </c>
      <c r="AC417" s="267">
        <f>IFERROR(__xludf.DUMMYFUNCTION("""COMPUTED_VALUE"""),43533.9986111111)</f>
        <v/>
      </c>
      <c r="AD417" s="6">
        <f>IFERROR(__xludf.DUMMYFUNCTION("""COMPUTED_VALUE"""),1132.88)</f>
        <v/>
      </c>
      <c r="AH417" s="6">
        <f>AI417&amp;AJ417</f>
        <v/>
      </c>
      <c r="AI417" s="6">
        <f>YEAR(AK417)</f>
        <v/>
      </c>
      <c r="AJ417" s="6">
        <f>MONTH(AK417)</f>
        <v/>
      </c>
      <c r="AK417" s="267">
        <f>IFERROR(__xludf.DUMMYFUNCTION("""COMPUTED_VALUE"""),43509.9986111111)</f>
        <v/>
      </c>
      <c r="AL417" s="6">
        <f>IFERROR(__xludf.DUMMYFUNCTION("""COMPUTED_VALUE"""),3585.572)</f>
        <v/>
      </c>
      <c r="AP417" s="6">
        <f>AQ417&amp;AR417</f>
        <v/>
      </c>
      <c r="AQ417" s="6">
        <f>YEAR(AS417)</f>
        <v/>
      </c>
      <c r="AR417" s="6">
        <f>MONTH(AS417)</f>
        <v/>
      </c>
      <c r="AS417" s="267">
        <f>IFERROR(__xludf.DUMMYFUNCTION("""COMPUTED_VALUE"""),43705.9986111111)</f>
        <v/>
      </c>
      <c r="AT417" s="6">
        <f>IFERROR(__xludf.DUMMYFUNCTION("""COMPUTED_VALUE"""),1549.1)</f>
        <v/>
      </c>
    </row>
    <row r="418">
      <c r="B418" s="6">
        <f>C418&amp;D418</f>
        <v/>
      </c>
      <c r="C418" s="6">
        <f>YEAR(E418)</f>
        <v/>
      </c>
      <c r="D418" s="6">
        <f>MONTH(E418)</f>
        <v/>
      </c>
      <c r="E418" s="267">
        <f>IFERROR(__xludf.DUMMYFUNCTION("""COMPUTED_VALUE"""),43697.6666666666)</f>
        <v/>
      </c>
      <c r="F418" s="6">
        <f>IFERROR(__xludf.DUMMYFUNCTION("""COMPUTED_VALUE"""),2900.51)</f>
        <v/>
      </c>
      <c r="J418" s="6">
        <f>K418&amp;L418</f>
        <v/>
      </c>
      <c r="K418" s="6">
        <f>YEAR(M418)</f>
        <v/>
      </c>
      <c r="L418" s="6">
        <f>MONTH(M418)</f>
        <v/>
      </c>
      <c r="M418" s="267">
        <f>IFERROR(__xludf.DUMMYFUNCTION("""COMPUTED_VALUE"""),43697.6666666666)</f>
        <v/>
      </c>
      <c r="N418" s="6">
        <f>IFERROR(__xludf.DUMMYFUNCTION("""COMPUTED_VALUE"""),7948.56)</f>
        <v/>
      </c>
      <c r="R418" s="6">
        <f>S418&amp;T418</f>
        <v/>
      </c>
      <c r="S418" s="6">
        <f>YEAR(U418)</f>
        <v/>
      </c>
      <c r="T418" s="6">
        <f>MONTH(U418)</f>
        <v/>
      </c>
      <c r="U418" s="267">
        <f>IFERROR(__xludf.DUMMYFUNCTION("""COMPUTED_VALUE"""),43724.6458333333)</f>
        <v/>
      </c>
      <c r="V418" s="6">
        <f>IFERROR(__xludf.DUMMYFUNCTION("""COMPUTED_VALUE"""),2062.22)</f>
        <v/>
      </c>
      <c r="Z418" s="6">
        <f>AA418&amp;AB418</f>
        <v/>
      </c>
      <c r="AA418" s="6">
        <f>YEAR(AC418)</f>
        <v/>
      </c>
      <c r="AB418" s="6">
        <f>MONTH(AC418)</f>
        <v/>
      </c>
      <c r="AC418" s="267">
        <f>IFERROR(__xludf.DUMMYFUNCTION("""COMPUTED_VALUE"""),43534.9986111111)</f>
        <v/>
      </c>
      <c r="AD418" s="6">
        <f>IFERROR(__xludf.DUMMYFUNCTION("""COMPUTED_VALUE"""),1134.06)</f>
        <v/>
      </c>
      <c r="AH418" s="6">
        <f>AI418&amp;AJ418</f>
        <v/>
      </c>
      <c r="AI418" s="6">
        <f>YEAR(AK418)</f>
        <v/>
      </c>
      <c r="AJ418" s="6">
        <f>MONTH(AK418)</f>
        <v/>
      </c>
      <c r="AK418" s="267">
        <f>IFERROR(__xludf.DUMMYFUNCTION("""COMPUTED_VALUE"""),43510.9986111111)</f>
        <v/>
      </c>
      <c r="AL418" s="6">
        <f>IFERROR(__xludf.DUMMYFUNCTION("""COMPUTED_VALUE"""),3568.421)</f>
        <v/>
      </c>
      <c r="AP418" s="6">
        <f>AQ418&amp;AR418</f>
        <v/>
      </c>
      <c r="AQ418" s="6">
        <f>YEAR(AS418)</f>
        <v/>
      </c>
      <c r="AR418" s="6">
        <f>MONTH(AS418)</f>
        <v/>
      </c>
      <c r="AS418" s="267">
        <f>IFERROR(__xludf.DUMMYFUNCTION("""COMPUTED_VALUE"""),43706.9986111111)</f>
        <v/>
      </c>
      <c r="AT418" s="6">
        <f>IFERROR(__xludf.DUMMYFUNCTION("""COMPUTED_VALUE"""),1536.9)</f>
        <v/>
      </c>
    </row>
    <row r="419">
      <c r="B419" s="6">
        <f>C419&amp;D419</f>
        <v/>
      </c>
      <c r="C419" s="6">
        <f>YEAR(E419)</f>
        <v/>
      </c>
      <c r="D419" s="6">
        <f>MONTH(E419)</f>
        <v/>
      </c>
      <c r="E419" s="267">
        <f>IFERROR(__xludf.DUMMYFUNCTION("""COMPUTED_VALUE"""),43698.6666666666)</f>
        <v/>
      </c>
      <c r="F419" s="6">
        <f>IFERROR(__xludf.DUMMYFUNCTION("""COMPUTED_VALUE"""),2924.43)</f>
        <v/>
      </c>
      <c r="J419" s="6">
        <f>K419&amp;L419</f>
        <v/>
      </c>
      <c r="K419" s="6">
        <f>YEAR(M419)</f>
        <v/>
      </c>
      <c r="L419" s="6">
        <f>MONTH(M419)</f>
        <v/>
      </c>
      <c r="M419" s="267">
        <f>IFERROR(__xludf.DUMMYFUNCTION("""COMPUTED_VALUE"""),43698.6666666666)</f>
        <v/>
      </c>
      <c r="N419" s="6">
        <f>IFERROR(__xludf.DUMMYFUNCTION("""COMPUTED_VALUE"""),8020.21)</f>
        <v/>
      </c>
      <c r="R419" s="6">
        <f>S419&amp;T419</f>
        <v/>
      </c>
      <c r="S419" s="6">
        <f>YEAR(U419)</f>
        <v/>
      </c>
      <c r="T419" s="6">
        <f>MONTH(U419)</f>
        <v/>
      </c>
      <c r="U419" s="267">
        <f>IFERROR(__xludf.DUMMYFUNCTION("""COMPUTED_VALUE"""),43725.6458333333)</f>
        <v/>
      </c>
      <c r="V419" s="6">
        <f>IFERROR(__xludf.DUMMYFUNCTION("""COMPUTED_VALUE"""),2062.33)</f>
        <v/>
      </c>
      <c r="Z419" s="6">
        <f>AA419&amp;AB419</f>
        <v/>
      </c>
      <c r="AA419" s="6">
        <f>YEAR(AC419)</f>
        <v/>
      </c>
      <c r="AB419" s="6">
        <f>MONTH(AC419)</f>
        <v/>
      </c>
      <c r="AC419" s="267">
        <f>IFERROR(__xludf.DUMMYFUNCTION("""COMPUTED_VALUE"""),43535.9986111111)</f>
        <v/>
      </c>
      <c r="AD419" s="6">
        <f>IFERROR(__xludf.DUMMYFUNCTION("""COMPUTED_VALUE"""),1130.77)</f>
        <v/>
      </c>
      <c r="AH419" s="6">
        <f>AI419&amp;AJ419</f>
        <v/>
      </c>
      <c r="AI419" s="6">
        <f>YEAR(AK419)</f>
        <v/>
      </c>
      <c r="AJ419" s="6">
        <f>MONTH(AK419)</f>
        <v/>
      </c>
      <c r="AK419" s="267">
        <f>IFERROR(__xludf.DUMMYFUNCTION("""COMPUTED_VALUE"""),43511.9986111111)</f>
        <v/>
      </c>
      <c r="AL419" s="6">
        <f>IFERROR(__xludf.DUMMYFUNCTION("""COMPUTED_VALUE"""),3576.929)</f>
        <v/>
      </c>
      <c r="AP419" s="6">
        <f>AQ419&amp;AR419</f>
        <v/>
      </c>
      <c r="AQ419" s="6">
        <f>YEAR(AS419)</f>
        <v/>
      </c>
      <c r="AR419" s="6">
        <f>MONTH(AS419)</f>
        <v/>
      </c>
      <c r="AS419" s="267">
        <f>IFERROR(__xludf.DUMMYFUNCTION("""COMPUTED_VALUE"""),43711.9986111111)</f>
        <v/>
      </c>
      <c r="AT419" s="6">
        <f>IFERROR(__xludf.DUMMYFUNCTION("""COMPUTED_VALUE"""),1555.9)</f>
        <v/>
      </c>
    </row>
    <row r="420">
      <c r="B420" s="6">
        <f>C420&amp;D420</f>
        <v/>
      </c>
      <c r="C420" s="6">
        <f>YEAR(E420)</f>
        <v/>
      </c>
      <c r="D420" s="6">
        <f>MONTH(E420)</f>
        <v/>
      </c>
      <c r="E420" s="267">
        <f>IFERROR(__xludf.DUMMYFUNCTION("""COMPUTED_VALUE"""),43699.6666666666)</f>
        <v/>
      </c>
      <c r="F420" s="6">
        <f>IFERROR(__xludf.DUMMYFUNCTION("""COMPUTED_VALUE"""),2922.95)</f>
        <v/>
      </c>
      <c r="J420" s="6">
        <f>K420&amp;L420</f>
        <v/>
      </c>
      <c r="K420" s="6">
        <f>YEAR(M420)</f>
        <v/>
      </c>
      <c r="L420" s="6">
        <f>MONTH(M420)</f>
        <v/>
      </c>
      <c r="M420" s="267">
        <f>IFERROR(__xludf.DUMMYFUNCTION("""COMPUTED_VALUE"""),43699.6666666666)</f>
        <v/>
      </c>
      <c r="N420" s="6">
        <f>IFERROR(__xludf.DUMMYFUNCTION("""COMPUTED_VALUE"""),7991.39)</f>
        <v/>
      </c>
      <c r="R420" s="6">
        <f>S420&amp;T420</f>
        <v/>
      </c>
      <c r="S420" s="6">
        <f>YEAR(U420)</f>
        <v/>
      </c>
      <c r="T420" s="6">
        <f>MONTH(U420)</f>
        <v/>
      </c>
      <c r="U420" s="267">
        <f>IFERROR(__xludf.DUMMYFUNCTION("""COMPUTED_VALUE"""),43726.6458333333)</f>
        <v/>
      </c>
      <c r="V420" s="6">
        <f>IFERROR(__xludf.DUMMYFUNCTION("""COMPUTED_VALUE"""),2070.73)</f>
        <v/>
      </c>
      <c r="Z420" s="6">
        <f>AA420&amp;AB420</f>
        <v/>
      </c>
      <c r="AA420" s="6">
        <f>YEAR(AC420)</f>
        <v/>
      </c>
      <c r="AB420" s="6">
        <f>MONTH(AC420)</f>
        <v/>
      </c>
      <c r="AC420" s="267">
        <f>IFERROR(__xludf.DUMMYFUNCTION("""COMPUTED_VALUE"""),43536.9986111111)</f>
        <v/>
      </c>
      <c r="AD420" s="6">
        <f>IFERROR(__xludf.DUMMYFUNCTION("""COMPUTED_VALUE"""),1127.27)</f>
        <v/>
      </c>
      <c r="AH420" s="6">
        <f>AI420&amp;AJ420</f>
        <v/>
      </c>
      <c r="AI420" s="6">
        <f>YEAR(AK420)</f>
        <v/>
      </c>
      <c r="AJ420" s="6">
        <f>MONTH(AK420)</f>
        <v/>
      </c>
      <c r="AK420" s="267">
        <f>IFERROR(__xludf.DUMMYFUNCTION("""COMPUTED_VALUE"""),43512.9986111111)</f>
        <v/>
      </c>
      <c r="AL420" s="6">
        <f>IFERROR(__xludf.DUMMYFUNCTION("""COMPUTED_VALUE"""),3602.563)</f>
        <v/>
      </c>
      <c r="AP420" s="6">
        <f>AQ420&amp;AR420</f>
        <v/>
      </c>
      <c r="AQ420" s="6">
        <f>YEAR(AS420)</f>
        <v/>
      </c>
      <c r="AR420" s="6">
        <f>MONTH(AS420)</f>
        <v/>
      </c>
      <c r="AS420" s="267">
        <f>IFERROR(__xludf.DUMMYFUNCTION("""COMPUTED_VALUE"""),43712.9986111111)</f>
        <v/>
      </c>
      <c r="AT420" s="6">
        <f>IFERROR(__xludf.DUMMYFUNCTION("""COMPUTED_VALUE"""),1560.4)</f>
        <v/>
      </c>
    </row>
    <row r="421">
      <c r="B421" s="6">
        <f>C421&amp;D421</f>
        <v/>
      </c>
      <c r="C421" s="6">
        <f>YEAR(E421)</f>
        <v/>
      </c>
      <c r="D421" s="6">
        <f>MONTH(E421)</f>
        <v/>
      </c>
      <c r="E421" s="267">
        <f>IFERROR(__xludf.DUMMYFUNCTION("""COMPUTED_VALUE"""),43700.6666666666)</f>
        <v/>
      </c>
      <c r="F421" s="6">
        <f>IFERROR(__xludf.DUMMYFUNCTION("""COMPUTED_VALUE"""),2847.11)</f>
        <v/>
      </c>
      <c r="J421" s="6">
        <f>K421&amp;L421</f>
        <v/>
      </c>
      <c r="K421" s="6">
        <f>YEAR(M421)</f>
        <v/>
      </c>
      <c r="L421" s="6">
        <f>MONTH(M421)</f>
        <v/>
      </c>
      <c r="M421" s="267">
        <f>IFERROR(__xludf.DUMMYFUNCTION("""COMPUTED_VALUE"""),43700.6666666666)</f>
        <v/>
      </c>
      <c r="N421" s="6">
        <f>IFERROR(__xludf.DUMMYFUNCTION("""COMPUTED_VALUE"""),7751.77)</f>
        <v/>
      </c>
      <c r="R421" s="6">
        <f>S421&amp;T421</f>
        <v/>
      </c>
      <c r="S421" s="6">
        <f>YEAR(U421)</f>
        <v/>
      </c>
      <c r="T421" s="6">
        <f>MONTH(U421)</f>
        <v/>
      </c>
      <c r="U421" s="267">
        <f>IFERROR(__xludf.DUMMYFUNCTION("""COMPUTED_VALUE"""),43727.6458333333)</f>
        <v/>
      </c>
      <c r="V421" s="6">
        <f>IFERROR(__xludf.DUMMYFUNCTION("""COMPUTED_VALUE"""),2080.35)</f>
        <v/>
      </c>
      <c r="Z421" s="6">
        <f>AA421&amp;AB421</f>
        <v/>
      </c>
      <c r="AA421" s="6">
        <f>YEAR(AC421)</f>
        <v/>
      </c>
      <c r="AB421" s="6">
        <f>MONTH(AC421)</f>
        <v/>
      </c>
      <c r="AC421" s="267">
        <f>IFERROR(__xludf.DUMMYFUNCTION("""COMPUTED_VALUE"""),43537.9986111111)</f>
        <v/>
      </c>
      <c r="AD421" s="6">
        <f>IFERROR(__xludf.DUMMYFUNCTION("""COMPUTED_VALUE"""),1129.59)</f>
        <v/>
      </c>
      <c r="AH421" s="6">
        <f>AI421&amp;AJ421</f>
        <v/>
      </c>
      <c r="AI421" s="6">
        <f>YEAR(AK421)</f>
        <v/>
      </c>
      <c r="AJ421" s="6">
        <f>MONTH(AK421)</f>
        <v/>
      </c>
      <c r="AK421" s="267">
        <f>IFERROR(__xludf.DUMMYFUNCTION("""COMPUTED_VALUE"""),43513.9986111111)</f>
        <v/>
      </c>
      <c r="AL421" s="6">
        <f>IFERROR(__xludf.DUMMYFUNCTION("""COMPUTED_VALUE"""),3638.836)</f>
        <v/>
      </c>
      <c r="AP421" s="6">
        <f>AQ421&amp;AR421</f>
        <v/>
      </c>
      <c r="AQ421" s="6">
        <f>YEAR(AS421)</f>
        <v/>
      </c>
      <c r="AR421" s="6">
        <f>MONTH(AS421)</f>
        <v/>
      </c>
      <c r="AS421" s="267">
        <f>IFERROR(__xludf.DUMMYFUNCTION("""COMPUTED_VALUE"""),43713.9986111111)</f>
        <v/>
      </c>
      <c r="AT421" s="6">
        <f>IFERROR(__xludf.DUMMYFUNCTION("""COMPUTED_VALUE"""),1525.5)</f>
        <v/>
      </c>
    </row>
    <row r="422">
      <c r="B422" s="6">
        <f>C422&amp;D422</f>
        <v/>
      </c>
      <c r="C422" s="6">
        <f>YEAR(E422)</f>
        <v/>
      </c>
      <c r="D422" s="6">
        <f>MONTH(E422)</f>
        <v/>
      </c>
      <c r="E422" s="267">
        <f>IFERROR(__xludf.DUMMYFUNCTION("""COMPUTED_VALUE"""),43703.6666666666)</f>
        <v/>
      </c>
      <c r="F422" s="6">
        <f>IFERROR(__xludf.DUMMYFUNCTION("""COMPUTED_VALUE"""),2878.38)</f>
        <v/>
      </c>
      <c r="J422" s="6">
        <f>K422&amp;L422</f>
        <v/>
      </c>
      <c r="K422" s="6">
        <f>YEAR(M422)</f>
        <v/>
      </c>
      <c r="L422" s="6">
        <f>MONTH(M422)</f>
        <v/>
      </c>
      <c r="M422" s="267">
        <f>IFERROR(__xludf.DUMMYFUNCTION("""COMPUTED_VALUE"""),43703.6666666666)</f>
        <v/>
      </c>
      <c r="N422" s="6">
        <f>IFERROR(__xludf.DUMMYFUNCTION("""COMPUTED_VALUE"""),7853.74)</f>
        <v/>
      </c>
      <c r="R422" s="6">
        <f>S422&amp;T422</f>
        <v/>
      </c>
      <c r="S422" s="6">
        <f>YEAR(U422)</f>
        <v/>
      </c>
      <c r="T422" s="6">
        <f>MONTH(U422)</f>
        <v/>
      </c>
      <c r="U422" s="267">
        <f>IFERROR(__xludf.DUMMYFUNCTION("""COMPUTED_VALUE"""),43728.6458333333)</f>
        <v/>
      </c>
      <c r="V422" s="6">
        <f>IFERROR(__xludf.DUMMYFUNCTION("""COMPUTED_VALUE"""),2091.52)</f>
        <v/>
      </c>
      <c r="Z422" s="6">
        <f>AA422&amp;AB422</f>
        <v/>
      </c>
      <c r="AA422" s="6">
        <f>YEAR(AC422)</f>
        <v/>
      </c>
      <c r="AB422" s="6">
        <f>MONTH(AC422)</f>
        <v/>
      </c>
      <c r="AC422" s="267">
        <f>IFERROR(__xludf.DUMMYFUNCTION("""COMPUTED_VALUE"""),43538.9986111111)</f>
        <v/>
      </c>
      <c r="AD422" s="6">
        <f>IFERROR(__xludf.DUMMYFUNCTION("""COMPUTED_VALUE"""),1135.42)</f>
        <v/>
      </c>
      <c r="AH422" s="6">
        <f>AI422&amp;AJ422</f>
        <v/>
      </c>
      <c r="AI422" s="6">
        <f>YEAR(AK422)</f>
        <v/>
      </c>
      <c r="AJ422" s="6">
        <f>MONTH(AK422)</f>
        <v/>
      </c>
      <c r="AK422" s="267">
        <f>IFERROR(__xludf.DUMMYFUNCTION("""COMPUTED_VALUE"""),43514.9986111111)</f>
        <v/>
      </c>
      <c r="AL422" s="6">
        <f>IFERROR(__xludf.DUMMYFUNCTION("""COMPUTED_VALUE"""),3896.901)</f>
        <v/>
      </c>
      <c r="AP422" s="6">
        <f>AQ422&amp;AR422</f>
        <v/>
      </c>
      <c r="AQ422" s="6">
        <f>YEAR(AS422)</f>
        <v/>
      </c>
      <c r="AR422" s="6">
        <f>MONTH(AS422)</f>
        <v/>
      </c>
      <c r="AS422" s="267">
        <f>IFERROR(__xludf.DUMMYFUNCTION("""COMPUTED_VALUE"""),43714.9986111111)</f>
        <v/>
      </c>
      <c r="AT422" s="6">
        <f>IFERROR(__xludf.DUMMYFUNCTION("""COMPUTED_VALUE"""),1515.5)</f>
        <v/>
      </c>
    </row>
    <row r="423">
      <c r="B423" s="6">
        <f>C423&amp;D423</f>
        <v/>
      </c>
      <c r="C423" s="6">
        <f>YEAR(E423)</f>
        <v/>
      </c>
      <c r="D423" s="6">
        <f>MONTH(E423)</f>
        <v/>
      </c>
      <c r="E423" s="267">
        <f>IFERROR(__xludf.DUMMYFUNCTION("""COMPUTED_VALUE"""),43704.6666666666)</f>
        <v/>
      </c>
      <c r="F423" s="6">
        <f>IFERROR(__xludf.DUMMYFUNCTION("""COMPUTED_VALUE"""),2869.16)</f>
        <v/>
      </c>
      <c r="J423" s="6">
        <f>K423&amp;L423</f>
        <v/>
      </c>
      <c r="K423" s="6">
        <f>YEAR(M423)</f>
        <v/>
      </c>
      <c r="L423" s="6">
        <f>MONTH(M423)</f>
        <v/>
      </c>
      <c r="M423" s="267">
        <f>IFERROR(__xludf.DUMMYFUNCTION("""COMPUTED_VALUE"""),43704.6666666666)</f>
        <v/>
      </c>
      <c r="N423" s="6">
        <f>IFERROR(__xludf.DUMMYFUNCTION("""COMPUTED_VALUE"""),7826.95)</f>
        <v/>
      </c>
      <c r="R423" s="6">
        <f>S423&amp;T423</f>
        <v/>
      </c>
      <c r="S423" s="6">
        <f>YEAR(U423)</f>
        <v/>
      </c>
      <c r="T423" s="6">
        <f>MONTH(U423)</f>
        <v/>
      </c>
      <c r="U423" s="267">
        <f>IFERROR(__xludf.DUMMYFUNCTION("""COMPUTED_VALUE"""),43731.6458333333)</f>
        <v/>
      </c>
      <c r="V423" s="6">
        <f>IFERROR(__xludf.DUMMYFUNCTION("""COMPUTED_VALUE"""),2091.7)</f>
        <v/>
      </c>
      <c r="Z423" s="6">
        <f>AA423&amp;AB423</f>
        <v/>
      </c>
      <c r="AA423" s="6">
        <f>YEAR(AC423)</f>
        <v/>
      </c>
      <c r="AB423" s="6">
        <f>MONTH(AC423)</f>
        <v/>
      </c>
      <c r="AC423" s="267">
        <f>IFERROR(__xludf.DUMMYFUNCTION("""COMPUTED_VALUE"""),43539.9986111111)</f>
        <v/>
      </c>
      <c r="AD423" s="6">
        <f>IFERROR(__xludf.DUMMYFUNCTION("""COMPUTED_VALUE"""),1133.1)</f>
        <v/>
      </c>
      <c r="AH423" s="6">
        <f>AI423&amp;AJ423</f>
        <v/>
      </c>
      <c r="AI423" s="6">
        <f>YEAR(AK423)</f>
        <v/>
      </c>
      <c r="AJ423" s="6">
        <f>MONTH(AK423)</f>
        <v/>
      </c>
      <c r="AK423" s="267">
        <f>IFERROR(__xludf.DUMMYFUNCTION("""COMPUTED_VALUE"""),43515.9986111111)</f>
        <v/>
      </c>
      <c r="AL423" s="6">
        <f>IFERROR(__xludf.DUMMYFUNCTION("""COMPUTED_VALUE"""),3925.876)</f>
        <v/>
      </c>
      <c r="AP423" s="6">
        <f>AQ423&amp;AR423</f>
        <v/>
      </c>
      <c r="AQ423" s="6">
        <f>YEAR(AS423)</f>
        <v/>
      </c>
      <c r="AR423" s="6">
        <f>MONTH(AS423)</f>
        <v/>
      </c>
      <c r="AS423" s="267">
        <f>IFERROR(__xludf.DUMMYFUNCTION("""COMPUTED_VALUE"""),43717.9986111111)</f>
        <v/>
      </c>
      <c r="AT423" s="6">
        <f>IFERROR(__xludf.DUMMYFUNCTION("""COMPUTED_VALUE"""),1511.1)</f>
        <v/>
      </c>
    </row>
    <row r="424">
      <c r="B424" s="6">
        <f>C424&amp;D424</f>
        <v/>
      </c>
      <c r="C424" s="6">
        <f>YEAR(E424)</f>
        <v/>
      </c>
      <c r="D424" s="6">
        <f>MONTH(E424)</f>
        <v/>
      </c>
      <c r="E424" s="267">
        <f>IFERROR(__xludf.DUMMYFUNCTION("""COMPUTED_VALUE"""),43705.6666666666)</f>
        <v/>
      </c>
      <c r="F424" s="6">
        <f>IFERROR(__xludf.DUMMYFUNCTION("""COMPUTED_VALUE"""),2887.94)</f>
        <v/>
      </c>
      <c r="J424" s="6">
        <f>K424&amp;L424</f>
        <v/>
      </c>
      <c r="K424" s="6">
        <f>YEAR(M424)</f>
        <v/>
      </c>
      <c r="L424" s="6">
        <f>MONTH(M424)</f>
        <v/>
      </c>
      <c r="M424" s="267">
        <f>IFERROR(__xludf.DUMMYFUNCTION("""COMPUTED_VALUE"""),43705.6666666666)</f>
        <v/>
      </c>
      <c r="N424" s="6">
        <f>IFERROR(__xludf.DUMMYFUNCTION("""COMPUTED_VALUE"""),7856.88)</f>
        <v/>
      </c>
      <c r="R424" s="6">
        <f>S424&amp;T424</f>
        <v/>
      </c>
      <c r="S424" s="6">
        <f>YEAR(U424)</f>
        <v/>
      </c>
      <c r="T424" s="6">
        <f>MONTH(U424)</f>
        <v/>
      </c>
      <c r="U424" s="267">
        <f>IFERROR(__xludf.DUMMYFUNCTION("""COMPUTED_VALUE"""),43732.6458333333)</f>
        <v/>
      </c>
      <c r="V424" s="6">
        <f>IFERROR(__xludf.DUMMYFUNCTION("""COMPUTED_VALUE"""),2101.04)</f>
        <v/>
      </c>
      <c r="Z424" s="6">
        <f>AA424&amp;AB424</f>
        <v/>
      </c>
      <c r="AA424" s="6">
        <f>YEAR(AC424)</f>
        <v/>
      </c>
      <c r="AB424" s="6">
        <f>MONTH(AC424)</f>
        <v/>
      </c>
      <c r="AC424" s="267">
        <f>IFERROR(__xludf.DUMMYFUNCTION("""COMPUTED_VALUE"""),43541.9986111111)</f>
        <v/>
      </c>
      <c r="AD424" s="6">
        <f>IFERROR(__xludf.DUMMYFUNCTION("""COMPUTED_VALUE"""),1132.73)</f>
        <v/>
      </c>
      <c r="AH424" s="6">
        <f>AI424&amp;AJ424</f>
        <v/>
      </c>
      <c r="AI424" s="6">
        <f>YEAR(AK424)</f>
        <v/>
      </c>
      <c r="AJ424" s="6">
        <f>MONTH(AK424)</f>
        <v/>
      </c>
      <c r="AK424" s="267">
        <f>IFERROR(__xludf.DUMMYFUNCTION("""COMPUTED_VALUE"""),43516.9986111111)</f>
        <v/>
      </c>
      <c r="AL424" s="6">
        <f>IFERROR(__xludf.DUMMYFUNCTION("""COMPUTED_VALUE"""),3952.553)</f>
        <v/>
      </c>
      <c r="AP424" s="6">
        <f>AQ424&amp;AR424</f>
        <v/>
      </c>
      <c r="AQ424" s="6">
        <f>YEAR(AS424)</f>
        <v/>
      </c>
      <c r="AR424" s="6">
        <f>MONTH(AS424)</f>
        <v/>
      </c>
      <c r="AS424" s="267">
        <f>IFERROR(__xludf.DUMMYFUNCTION("""COMPUTED_VALUE"""),43718.9986111111)</f>
        <v/>
      </c>
      <c r="AT424" s="6">
        <f>IFERROR(__xludf.DUMMYFUNCTION("""COMPUTED_VALUE"""),1499.2)</f>
        <v/>
      </c>
    </row>
    <row r="425">
      <c r="B425" s="6">
        <f>C425&amp;D425</f>
        <v/>
      </c>
      <c r="C425" s="6">
        <f>YEAR(E425)</f>
        <v/>
      </c>
      <c r="D425" s="6">
        <f>MONTH(E425)</f>
        <v/>
      </c>
      <c r="E425" s="267">
        <f>IFERROR(__xludf.DUMMYFUNCTION("""COMPUTED_VALUE"""),43706.6666666666)</f>
        <v/>
      </c>
      <c r="F425" s="6">
        <f>IFERROR(__xludf.DUMMYFUNCTION("""COMPUTED_VALUE"""),2924.58)</f>
        <v/>
      </c>
      <c r="J425" s="6">
        <f>K425&amp;L425</f>
        <v/>
      </c>
      <c r="K425" s="6">
        <f>YEAR(M425)</f>
        <v/>
      </c>
      <c r="L425" s="6">
        <f>MONTH(M425)</f>
        <v/>
      </c>
      <c r="M425" s="267">
        <f>IFERROR(__xludf.DUMMYFUNCTION("""COMPUTED_VALUE"""),43706.6666666666)</f>
        <v/>
      </c>
      <c r="N425" s="6">
        <f>IFERROR(__xludf.DUMMYFUNCTION("""COMPUTED_VALUE"""),7973.39)</f>
        <v/>
      </c>
      <c r="R425" s="6">
        <f>S425&amp;T425</f>
        <v/>
      </c>
      <c r="S425" s="6">
        <f>YEAR(U425)</f>
        <v/>
      </c>
      <c r="T425" s="6">
        <f>MONTH(U425)</f>
        <v/>
      </c>
      <c r="U425" s="267">
        <f>IFERROR(__xludf.DUMMYFUNCTION("""COMPUTED_VALUE"""),43733.6458333333)</f>
        <v/>
      </c>
      <c r="V425" s="6">
        <f>IFERROR(__xludf.DUMMYFUNCTION("""COMPUTED_VALUE"""),2073.39)</f>
        <v/>
      </c>
      <c r="Z425" s="6">
        <f>AA425&amp;AB425</f>
        <v/>
      </c>
      <c r="AA425" s="6">
        <f>YEAR(AC425)</f>
        <v/>
      </c>
      <c r="AB425" s="6">
        <f>MONTH(AC425)</f>
        <v/>
      </c>
      <c r="AC425" s="267">
        <f>IFERROR(__xludf.DUMMYFUNCTION("""COMPUTED_VALUE"""),43542.9986111111)</f>
        <v/>
      </c>
      <c r="AD425" s="6">
        <f>IFERROR(__xludf.DUMMYFUNCTION("""COMPUTED_VALUE"""),1131.2)</f>
        <v/>
      </c>
      <c r="AH425" s="6">
        <f>AI425&amp;AJ425</f>
        <v/>
      </c>
      <c r="AI425" s="6">
        <f>YEAR(AK425)</f>
        <v/>
      </c>
      <c r="AJ425" s="6">
        <f>MONTH(AK425)</f>
        <v/>
      </c>
      <c r="AK425" s="267">
        <f>IFERROR(__xludf.DUMMYFUNCTION("""COMPUTED_VALUE"""),43517.9986111111)</f>
        <v/>
      </c>
      <c r="AL425" s="6">
        <f>IFERROR(__xludf.DUMMYFUNCTION("""COMPUTED_VALUE"""),3915.29)</f>
        <v/>
      </c>
      <c r="AP425" s="6">
        <f>AQ425&amp;AR425</f>
        <v/>
      </c>
      <c r="AQ425" s="6">
        <f>YEAR(AS425)</f>
        <v/>
      </c>
      <c r="AR425" s="6">
        <f>MONTH(AS425)</f>
        <v/>
      </c>
      <c r="AS425" s="267">
        <f>IFERROR(__xludf.DUMMYFUNCTION("""COMPUTED_VALUE"""),43719.9986111111)</f>
        <v/>
      </c>
      <c r="AT425" s="6">
        <f>IFERROR(__xludf.DUMMYFUNCTION("""COMPUTED_VALUE"""),1503.2)</f>
        <v/>
      </c>
    </row>
    <row r="426">
      <c r="B426" s="6">
        <f>C426&amp;D426</f>
        <v/>
      </c>
      <c r="C426" s="6">
        <f>YEAR(E426)</f>
        <v/>
      </c>
      <c r="D426" s="6">
        <f>MONTH(E426)</f>
        <v/>
      </c>
      <c r="E426" s="267">
        <f>IFERROR(__xludf.DUMMYFUNCTION("""COMPUTED_VALUE"""),43707.6666666666)</f>
        <v/>
      </c>
      <c r="F426" s="6">
        <f>IFERROR(__xludf.DUMMYFUNCTION("""COMPUTED_VALUE"""),2926.46)</f>
        <v/>
      </c>
      <c r="J426" s="6">
        <f>K426&amp;L426</f>
        <v/>
      </c>
      <c r="K426" s="6">
        <f>YEAR(M426)</f>
        <v/>
      </c>
      <c r="L426" s="6">
        <f>MONTH(M426)</f>
        <v/>
      </c>
      <c r="M426" s="267">
        <f>IFERROR(__xludf.DUMMYFUNCTION("""COMPUTED_VALUE"""),43707.6666666666)</f>
        <v/>
      </c>
      <c r="N426" s="6">
        <f>IFERROR(__xludf.DUMMYFUNCTION("""COMPUTED_VALUE"""),7962.88)</f>
        <v/>
      </c>
      <c r="R426" s="6">
        <f>S426&amp;T426</f>
        <v/>
      </c>
      <c r="S426" s="6">
        <f>YEAR(U426)</f>
        <v/>
      </c>
      <c r="T426" s="6">
        <f>MONTH(U426)</f>
        <v/>
      </c>
      <c r="U426" s="267">
        <f>IFERROR(__xludf.DUMMYFUNCTION("""COMPUTED_VALUE"""),43734.6458333333)</f>
        <v/>
      </c>
      <c r="V426" s="6">
        <f>IFERROR(__xludf.DUMMYFUNCTION("""COMPUTED_VALUE"""),2074.52)</f>
        <v/>
      </c>
      <c r="Z426" s="6">
        <f>AA426&amp;AB426</f>
        <v/>
      </c>
      <c r="AA426" s="6">
        <f>YEAR(AC426)</f>
        <v/>
      </c>
      <c r="AB426" s="6">
        <f>MONTH(AC426)</f>
        <v/>
      </c>
      <c r="AC426" s="267">
        <f>IFERROR(__xludf.DUMMYFUNCTION("""COMPUTED_VALUE"""),43543.9986111111)</f>
        <v/>
      </c>
      <c r="AD426" s="6">
        <f>IFERROR(__xludf.DUMMYFUNCTION("""COMPUTED_VALUE"""),1129.72)</f>
        <v/>
      </c>
      <c r="AH426" s="6">
        <f>AI426&amp;AJ426</f>
        <v/>
      </c>
      <c r="AI426" s="6">
        <f>YEAR(AK426)</f>
        <v/>
      </c>
      <c r="AJ426" s="6">
        <f>MONTH(AK426)</f>
        <v/>
      </c>
      <c r="AK426" s="267">
        <f>IFERROR(__xludf.DUMMYFUNCTION("""COMPUTED_VALUE"""),43518.9986111111)</f>
        <v/>
      </c>
      <c r="AL426" s="6">
        <f>IFERROR(__xludf.DUMMYFUNCTION("""COMPUTED_VALUE"""),3956.056)</f>
        <v/>
      </c>
      <c r="AP426" s="6">
        <f>AQ426&amp;AR426</f>
        <v/>
      </c>
      <c r="AQ426" s="6">
        <f>YEAR(AS426)</f>
        <v/>
      </c>
      <c r="AR426" s="6">
        <f>MONTH(AS426)</f>
        <v/>
      </c>
      <c r="AS426" s="267">
        <f>IFERROR(__xludf.DUMMYFUNCTION("""COMPUTED_VALUE"""),43720.9986111111)</f>
        <v/>
      </c>
      <c r="AT426" s="6">
        <f>IFERROR(__xludf.DUMMYFUNCTION("""COMPUTED_VALUE"""),1507.4)</f>
        <v/>
      </c>
    </row>
    <row r="427">
      <c r="B427" s="6">
        <f>C427&amp;D427</f>
        <v/>
      </c>
      <c r="C427" s="6">
        <f>YEAR(E427)</f>
        <v/>
      </c>
      <c r="D427" s="6">
        <f>MONTH(E427)</f>
        <v/>
      </c>
      <c r="E427" s="267">
        <f>IFERROR(__xludf.DUMMYFUNCTION("""COMPUTED_VALUE"""),43711.6666666666)</f>
        <v/>
      </c>
      <c r="F427" s="6">
        <f>IFERROR(__xludf.DUMMYFUNCTION("""COMPUTED_VALUE"""),2906.27)</f>
        <v/>
      </c>
      <c r="J427" s="6">
        <f>K427&amp;L427</f>
        <v/>
      </c>
      <c r="K427" s="6">
        <f>YEAR(M427)</f>
        <v/>
      </c>
      <c r="L427" s="6">
        <f>MONTH(M427)</f>
        <v/>
      </c>
      <c r="M427" s="267">
        <f>IFERROR(__xludf.DUMMYFUNCTION("""COMPUTED_VALUE"""),43711.6666666666)</f>
        <v/>
      </c>
      <c r="N427" s="6">
        <f>IFERROR(__xludf.DUMMYFUNCTION("""COMPUTED_VALUE"""),7874.16)</f>
        <v/>
      </c>
      <c r="R427" s="6">
        <f>S427&amp;T427</f>
        <v/>
      </c>
      <c r="S427" s="6">
        <f>YEAR(U427)</f>
        <v/>
      </c>
      <c r="T427" s="6">
        <f>MONTH(U427)</f>
        <v/>
      </c>
      <c r="U427" s="267">
        <f>IFERROR(__xludf.DUMMYFUNCTION("""COMPUTED_VALUE"""),43735.6458333333)</f>
        <v/>
      </c>
      <c r="V427" s="6">
        <f>IFERROR(__xludf.DUMMYFUNCTION("""COMPUTED_VALUE"""),2049.93)</f>
        <v/>
      </c>
      <c r="Z427" s="6">
        <f>AA427&amp;AB427</f>
        <v/>
      </c>
      <c r="AA427" s="6">
        <f>YEAR(AC427)</f>
        <v/>
      </c>
      <c r="AB427" s="6">
        <f>MONTH(AC427)</f>
        <v/>
      </c>
      <c r="AC427" s="267">
        <f>IFERROR(__xludf.DUMMYFUNCTION("""COMPUTED_VALUE"""),43544.9986111111)</f>
        <v/>
      </c>
      <c r="AD427" s="6">
        <f>IFERROR(__xludf.DUMMYFUNCTION("""COMPUTED_VALUE"""),1125)</f>
        <v/>
      </c>
      <c r="AH427" s="6">
        <f>AI427&amp;AJ427</f>
        <v/>
      </c>
      <c r="AI427" s="6">
        <f>YEAR(AK427)</f>
        <v/>
      </c>
      <c r="AJ427" s="6">
        <f>MONTH(AK427)</f>
        <v/>
      </c>
      <c r="AK427" s="267">
        <f>IFERROR(__xludf.DUMMYFUNCTION("""COMPUTED_VALUE"""),43519.9986111111)</f>
        <v/>
      </c>
      <c r="AL427" s="6">
        <f>IFERROR(__xludf.DUMMYFUNCTION("""COMPUTED_VALUE"""),4119.816)</f>
        <v/>
      </c>
      <c r="AP427" s="6">
        <f>AQ427&amp;AR427</f>
        <v/>
      </c>
      <c r="AQ427" s="6">
        <f>YEAR(AS427)</f>
        <v/>
      </c>
      <c r="AR427" s="6">
        <f>MONTH(AS427)</f>
        <v/>
      </c>
      <c r="AS427" s="267">
        <f>IFERROR(__xludf.DUMMYFUNCTION("""COMPUTED_VALUE"""),43721.9986111111)</f>
        <v/>
      </c>
      <c r="AT427" s="6">
        <f>IFERROR(__xludf.DUMMYFUNCTION("""COMPUTED_VALUE"""),1499.5)</f>
        <v/>
      </c>
    </row>
    <row r="428">
      <c r="B428" s="6">
        <f>C428&amp;D428</f>
        <v/>
      </c>
      <c r="C428" s="6">
        <f>YEAR(E428)</f>
        <v/>
      </c>
      <c r="D428" s="6">
        <f>MONTH(E428)</f>
        <v/>
      </c>
      <c r="E428" s="267">
        <f>IFERROR(__xludf.DUMMYFUNCTION("""COMPUTED_VALUE"""),43712.6666666666)</f>
        <v/>
      </c>
      <c r="F428" s="6">
        <f>IFERROR(__xludf.DUMMYFUNCTION("""COMPUTED_VALUE"""),2937.78)</f>
        <v/>
      </c>
      <c r="J428" s="6">
        <f>K428&amp;L428</f>
        <v/>
      </c>
      <c r="K428" s="6">
        <f>YEAR(M428)</f>
        <v/>
      </c>
      <c r="L428" s="6">
        <f>MONTH(M428)</f>
        <v/>
      </c>
      <c r="M428" s="267">
        <f>IFERROR(__xludf.DUMMYFUNCTION("""COMPUTED_VALUE"""),43712.6666666666)</f>
        <v/>
      </c>
      <c r="N428" s="6">
        <f>IFERROR(__xludf.DUMMYFUNCTION("""COMPUTED_VALUE"""),7976.88)</f>
        <v/>
      </c>
      <c r="R428" s="6">
        <f>S428&amp;T428</f>
        <v/>
      </c>
      <c r="S428" s="6">
        <f>YEAR(U428)</f>
        <v/>
      </c>
      <c r="T428" s="6">
        <f>MONTH(U428)</f>
        <v/>
      </c>
      <c r="U428" s="267">
        <f>IFERROR(__xludf.DUMMYFUNCTION("""COMPUTED_VALUE"""),43738.6458333333)</f>
        <v/>
      </c>
      <c r="V428" s="6">
        <f>IFERROR(__xludf.DUMMYFUNCTION("""COMPUTED_VALUE"""),2063.05)</f>
        <v/>
      </c>
      <c r="Z428" s="6">
        <f>AA428&amp;AB428</f>
        <v/>
      </c>
      <c r="AA428" s="6">
        <f>YEAR(AC428)</f>
        <v/>
      </c>
      <c r="AB428" s="6">
        <f>MONTH(AC428)</f>
        <v/>
      </c>
      <c r="AC428" s="267">
        <f>IFERROR(__xludf.DUMMYFUNCTION("""COMPUTED_VALUE"""),43545.9986111111)</f>
        <v/>
      </c>
      <c r="AD428" s="6">
        <f>IFERROR(__xludf.DUMMYFUNCTION("""COMPUTED_VALUE"""),1127.77)</f>
        <v/>
      </c>
      <c r="AH428" s="6">
        <f>AI428&amp;AJ428</f>
        <v/>
      </c>
      <c r="AI428" s="6">
        <f>YEAR(AK428)</f>
        <v/>
      </c>
      <c r="AJ428" s="6">
        <f>MONTH(AK428)</f>
        <v/>
      </c>
      <c r="AK428" s="267">
        <f>IFERROR(__xludf.DUMMYFUNCTION("""COMPUTED_VALUE"""),43520.9986111111)</f>
        <v/>
      </c>
      <c r="AL428" s="6">
        <f>IFERROR(__xludf.DUMMYFUNCTION("""COMPUTED_VALUE"""),3749.949)</f>
        <v/>
      </c>
      <c r="AP428" s="6">
        <f>AQ428&amp;AR428</f>
        <v/>
      </c>
      <c r="AQ428" s="6">
        <f>YEAR(AS428)</f>
        <v/>
      </c>
      <c r="AR428" s="6">
        <f>MONTH(AS428)</f>
        <v/>
      </c>
      <c r="AS428" s="267">
        <f>IFERROR(__xludf.DUMMYFUNCTION("""COMPUTED_VALUE"""),43724.9986111111)</f>
        <v/>
      </c>
      <c r="AT428" s="6">
        <f>IFERROR(__xludf.DUMMYFUNCTION("""COMPUTED_VALUE"""),1511.5)</f>
        <v/>
      </c>
    </row>
    <row r="429">
      <c r="B429" s="6">
        <f>C429&amp;D429</f>
        <v/>
      </c>
      <c r="C429" s="6">
        <f>YEAR(E429)</f>
        <v/>
      </c>
      <c r="D429" s="6">
        <f>MONTH(E429)</f>
        <v/>
      </c>
      <c r="E429" s="267">
        <f>IFERROR(__xludf.DUMMYFUNCTION("""COMPUTED_VALUE"""),43713.6666666666)</f>
        <v/>
      </c>
      <c r="F429" s="6">
        <f>IFERROR(__xludf.DUMMYFUNCTION("""COMPUTED_VALUE"""),2976)</f>
        <v/>
      </c>
      <c r="J429" s="6">
        <f>K429&amp;L429</f>
        <v/>
      </c>
      <c r="K429" s="6">
        <f>YEAR(M429)</f>
        <v/>
      </c>
      <c r="L429" s="6">
        <f>MONTH(M429)</f>
        <v/>
      </c>
      <c r="M429" s="267">
        <f>IFERROR(__xludf.DUMMYFUNCTION("""COMPUTED_VALUE"""),43713.6666666666)</f>
        <v/>
      </c>
      <c r="N429" s="6">
        <f>IFERROR(__xludf.DUMMYFUNCTION("""COMPUTED_VALUE"""),8116.83)</f>
        <v/>
      </c>
      <c r="R429" s="6">
        <f>S429&amp;T429</f>
        <v/>
      </c>
      <c r="S429" s="6">
        <f>YEAR(U429)</f>
        <v/>
      </c>
      <c r="T429" s="6">
        <f>MONTH(U429)</f>
        <v/>
      </c>
      <c r="U429" s="267">
        <f>IFERROR(__xludf.DUMMYFUNCTION("""COMPUTED_VALUE"""),43739.6458333333)</f>
        <v/>
      </c>
      <c r="V429" s="6">
        <f>IFERROR(__xludf.DUMMYFUNCTION("""COMPUTED_VALUE"""),2072.42)</f>
        <v/>
      </c>
      <c r="Z429" s="6">
        <f>AA429&amp;AB429</f>
        <v/>
      </c>
      <c r="AA429" s="6">
        <f>YEAR(AC429)</f>
        <v/>
      </c>
      <c r="AB429" s="6">
        <f>MONTH(AC429)</f>
        <v/>
      </c>
      <c r="AC429" s="267">
        <f>IFERROR(__xludf.DUMMYFUNCTION("""COMPUTED_VALUE"""),43546.9986111111)</f>
        <v/>
      </c>
      <c r="AD429" s="6">
        <f>IFERROR(__xludf.DUMMYFUNCTION("""COMPUTED_VALUE"""),1134.55)</f>
        <v/>
      </c>
      <c r="AH429" s="6">
        <f>AI429&amp;AJ429</f>
        <v/>
      </c>
      <c r="AI429" s="6">
        <f>YEAR(AK429)</f>
        <v/>
      </c>
      <c r="AJ429" s="6">
        <f>MONTH(AK429)</f>
        <v/>
      </c>
      <c r="AK429" s="267">
        <f>IFERROR(__xludf.DUMMYFUNCTION("""COMPUTED_VALUE"""),43521.9986111111)</f>
        <v/>
      </c>
      <c r="AL429" s="6">
        <f>IFERROR(__xludf.DUMMYFUNCTION("""COMPUTED_VALUE"""),3826.169)</f>
        <v/>
      </c>
      <c r="AP429" s="6">
        <f>AQ429&amp;AR429</f>
        <v/>
      </c>
      <c r="AQ429" s="6">
        <f>YEAR(AS429)</f>
        <v/>
      </c>
      <c r="AR429" s="6">
        <f>MONTH(AS429)</f>
        <v/>
      </c>
      <c r="AS429" s="267">
        <f>IFERROR(__xludf.DUMMYFUNCTION("""COMPUTED_VALUE"""),43725.9986111111)</f>
        <v/>
      </c>
      <c r="AT429" s="6">
        <f>IFERROR(__xludf.DUMMYFUNCTION("""COMPUTED_VALUE"""),1513.4)</f>
        <v/>
      </c>
    </row>
    <row r="430">
      <c r="B430" s="6">
        <f>C430&amp;D430</f>
        <v/>
      </c>
      <c r="C430" s="6">
        <f>YEAR(E430)</f>
        <v/>
      </c>
      <c r="D430" s="6">
        <f>MONTH(E430)</f>
        <v/>
      </c>
      <c r="E430" s="267">
        <f>IFERROR(__xludf.DUMMYFUNCTION("""COMPUTED_VALUE"""),43714.6666666666)</f>
        <v/>
      </c>
      <c r="F430" s="6">
        <f>IFERROR(__xludf.DUMMYFUNCTION("""COMPUTED_VALUE"""),2978.71)</f>
        <v/>
      </c>
      <c r="J430" s="6">
        <f>K430&amp;L430</f>
        <v/>
      </c>
      <c r="K430" s="6">
        <f>YEAR(M430)</f>
        <v/>
      </c>
      <c r="L430" s="6">
        <f>MONTH(M430)</f>
        <v/>
      </c>
      <c r="M430" s="267">
        <f>IFERROR(__xludf.DUMMYFUNCTION("""COMPUTED_VALUE"""),43714.6666666666)</f>
        <v/>
      </c>
      <c r="N430" s="6">
        <f>IFERROR(__xludf.DUMMYFUNCTION("""COMPUTED_VALUE"""),8103.07)</f>
        <v/>
      </c>
      <c r="R430" s="6">
        <f>S430&amp;T430</f>
        <v/>
      </c>
      <c r="S430" s="6">
        <f>YEAR(U430)</f>
        <v/>
      </c>
      <c r="T430" s="6">
        <f>MONTH(U430)</f>
        <v/>
      </c>
      <c r="U430" s="267">
        <f>IFERROR(__xludf.DUMMYFUNCTION("""COMPUTED_VALUE"""),43740.6458333333)</f>
        <v/>
      </c>
      <c r="V430" s="6">
        <f>IFERROR(__xludf.DUMMYFUNCTION("""COMPUTED_VALUE"""),2031.91)</f>
        <v/>
      </c>
      <c r="Z430" s="6">
        <f>AA430&amp;AB430</f>
        <v/>
      </c>
      <c r="AA430" s="6">
        <f>YEAR(AC430)</f>
        <v/>
      </c>
      <c r="AB430" s="6">
        <f>MONTH(AC430)</f>
        <v/>
      </c>
      <c r="AC430" s="267">
        <f>IFERROR(__xludf.DUMMYFUNCTION("""COMPUTED_VALUE"""),43547.9986111111)</f>
        <v/>
      </c>
      <c r="AD430" s="6">
        <f>IFERROR(__xludf.DUMMYFUNCTION("""COMPUTED_VALUE"""),1134.1)</f>
        <v/>
      </c>
      <c r="AH430" s="6">
        <f>AI430&amp;AJ430</f>
        <v/>
      </c>
      <c r="AI430" s="6">
        <f>YEAR(AK430)</f>
        <v/>
      </c>
      <c r="AJ430" s="6">
        <f>MONTH(AK430)</f>
        <v/>
      </c>
      <c r="AK430" s="267">
        <f>IFERROR(__xludf.DUMMYFUNCTION("""COMPUTED_VALUE"""),43522.9986111111)</f>
        <v/>
      </c>
      <c r="AL430" s="6">
        <f>IFERROR(__xludf.DUMMYFUNCTION("""COMPUTED_VALUE"""),3802.665)</f>
        <v/>
      </c>
      <c r="AP430" s="6">
        <f>AQ430&amp;AR430</f>
        <v/>
      </c>
      <c r="AQ430" s="6">
        <f>YEAR(AS430)</f>
        <v/>
      </c>
      <c r="AR430" s="6">
        <f>MONTH(AS430)</f>
        <v/>
      </c>
      <c r="AS430" s="267">
        <f>IFERROR(__xludf.DUMMYFUNCTION("""COMPUTED_VALUE"""),43726.9986111111)</f>
        <v/>
      </c>
      <c r="AT430" s="6">
        <f>IFERROR(__xludf.DUMMYFUNCTION("""COMPUTED_VALUE"""),1515.8)</f>
        <v/>
      </c>
    </row>
    <row r="431">
      <c r="B431" s="6">
        <f>C431&amp;D431</f>
        <v/>
      </c>
      <c r="C431" s="6">
        <f>YEAR(E431)</f>
        <v/>
      </c>
      <c r="D431" s="6">
        <f>MONTH(E431)</f>
        <v/>
      </c>
      <c r="E431" s="267">
        <f>IFERROR(__xludf.DUMMYFUNCTION("""COMPUTED_VALUE"""),43717.6666666666)</f>
        <v/>
      </c>
      <c r="F431" s="6">
        <f>IFERROR(__xludf.DUMMYFUNCTION("""COMPUTED_VALUE"""),2978.43)</f>
        <v/>
      </c>
      <c r="J431" s="6">
        <f>K431&amp;L431</f>
        <v/>
      </c>
      <c r="K431" s="6">
        <f>YEAR(M431)</f>
        <v/>
      </c>
      <c r="L431" s="6">
        <f>MONTH(M431)</f>
        <v/>
      </c>
      <c r="M431" s="267">
        <f>IFERROR(__xludf.DUMMYFUNCTION("""COMPUTED_VALUE"""),43717.6666666666)</f>
        <v/>
      </c>
      <c r="N431" s="6">
        <f>IFERROR(__xludf.DUMMYFUNCTION("""COMPUTED_VALUE"""),8087.44)</f>
        <v/>
      </c>
      <c r="R431" s="6">
        <f>S431&amp;T431</f>
        <v/>
      </c>
      <c r="S431" s="6">
        <f>YEAR(U431)</f>
        <v/>
      </c>
      <c r="T431" s="6">
        <f>MONTH(U431)</f>
        <v/>
      </c>
      <c r="U431" s="267">
        <f>IFERROR(__xludf.DUMMYFUNCTION("""COMPUTED_VALUE"""),43742.6458333333)</f>
        <v/>
      </c>
      <c r="V431" s="6">
        <f>IFERROR(__xludf.DUMMYFUNCTION("""COMPUTED_VALUE"""),2020.69)</f>
        <v/>
      </c>
      <c r="Z431" s="6">
        <f>AA431&amp;AB431</f>
        <v/>
      </c>
      <c r="AA431" s="6">
        <f>YEAR(AC431)</f>
        <v/>
      </c>
      <c r="AB431" s="6">
        <f>MONTH(AC431)</f>
        <v/>
      </c>
      <c r="AC431" s="267">
        <f>IFERROR(__xludf.DUMMYFUNCTION("""COMPUTED_VALUE"""),43548.9986111111)</f>
        <v/>
      </c>
      <c r="AD431" s="6">
        <f>IFERROR(__xludf.DUMMYFUNCTION("""COMPUTED_VALUE"""),1135.14)</f>
        <v/>
      </c>
      <c r="AH431" s="6">
        <f>AI431&amp;AJ431</f>
        <v/>
      </c>
      <c r="AI431" s="6">
        <f>YEAR(AK431)</f>
        <v/>
      </c>
      <c r="AJ431" s="6">
        <f>MONTH(AK431)</f>
        <v/>
      </c>
      <c r="AK431" s="267">
        <f>IFERROR(__xludf.DUMMYFUNCTION("""COMPUTED_VALUE"""),43523.9986111111)</f>
        <v/>
      </c>
      <c r="AL431" s="6">
        <f>IFERROR(__xludf.DUMMYFUNCTION("""COMPUTED_VALUE"""),3810.368)</f>
        <v/>
      </c>
      <c r="AP431" s="6">
        <f>AQ431&amp;AR431</f>
        <v/>
      </c>
      <c r="AQ431" s="6">
        <f>YEAR(AS431)</f>
        <v/>
      </c>
      <c r="AR431" s="6">
        <f>MONTH(AS431)</f>
        <v/>
      </c>
      <c r="AS431" s="267">
        <f>IFERROR(__xludf.DUMMYFUNCTION("""COMPUTED_VALUE"""),43727.9986111111)</f>
        <v/>
      </c>
      <c r="AT431" s="6">
        <f>IFERROR(__xludf.DUMMYFUNCTION("""COMPUTED_VALUE"""),1506.2)</f>
        <v/>
      </c>
    </row>
    <row r="432">
      <c r="B432" s="6">
        <f>C432&amp;D432</f>
        <v/>
      </c>
      <c r="C432" s="6">
        <f>YEAR(E432)</f>
        <v/>
      </c>
      <c r="D432" s="6">
        <f>MONTH(E432)</f>
        <v/>
      </c>
      <c r="E432" s="267">
        <f>IFERROR(__xludf.DUMMYFUNCTION("""COMPUTED_VALUE"""),43718.6666666666)</f>
        <v/>
      </c>
      <c r="F432" s="6">
        <f>IFERROR(__xludf.DUMMYFUNCTION("""COMPUTED_VALUE"""),2979.39)</f>
        <v/>
      </c>
      <c r="J432" s="6">
        <f>K432&amp;L432</f>
        <v/>
      </c>
      <c r="K432" s="6">
        <f>YEAR(M432)</f>
        <v/>
      </c>
      <c r="L432" s="6">
        <f>MONTH(M432)</f>
        <v/>
      </c>
      <c r="M432" s="267">
        <f>IFERROR(__xludf.DUMMYFUNCTION("""COMPUTED_VALUE"""),43718.6666666666)</f>
        <v/>
      </c>
      <c r="N432" s="6">
        <f>IFERROR(__xludf.DUMMYFUNCTION("""COMPUTED_VALUE"""),8084.16)</f>
        <v/>
      </c>
      <c r="R432" s="6">
        <f>S432&amp;T432</f>
        <v/>
      </c>
      <c r="S432" s="6">
        <f>YEAR(U432)</f>
        <v/>
      </c>
      <c r="T432" s="6">
        <f>MONTH(U432)</f>
        <v/>
      </c>
      <c r="U432" s="267">
        <f>IFERROR(__xludf.DUMMYFUNCTION("""COMPUTED_VALUE"""),43745.6458333333)</f>
        <v/>
      </c>
      <c r="V432" s="6">
        <f>IFERROR(__xludf.DUMMYFUNCTION("""COMPUTED_VALUE"""),2021.73)</f>
        <v/>
      </c>
      <c r="Z432" s="6">
        <f>AA432&amp;AB432</f>
        <v/>
      </c>
      <c r="AA432" s="6">
        <f>YEAR(AC432)</f>
        <v/>
      </c>
      <c r="AB432" s="6">
        <f>MONTH(AC432)</f>
        <v/>
      </c>
      <c r="AC432" s="267">
        <f>IFERROR(__xludf.DUMMYFUNCTION("""COMPUTED_VALUE"""),43549.9986111111)</f>
        <v/>
      </c>
      <c r="AD432" s="6">
        <f>IFERROR(__xludf.DUMMYFUNCTION("""COMPUTED_VALUE"""),1133.85)</f>
        <v/>
      </c>
      <c r="AH432" s="6">
        <f>AI432&amp;AJ432</f>
        <v/>
      </c>
      <c r="AI432" s="6">
        <f>YEAR(AK432)</f>
        <v/>
      </c>
      <c r="AJ432" s="6">
        <f>MONTH(AK432)</f>
        <v/>
      </c>
      <c r="AK432" s="267">
        <f>IFERROR(__xludf.DUMMYFUNCTION("""COMPUTED_VALUE"""),43524.9986111111)</f>
        <v/>
      </c>
      <c r="AL432" s="6">
        <f>IFERROR(__xludf.DUMMYFUNCTION("""COMPUTED_VALUE"""),3801.876)</f>
        <v/>
      </c>
      <c r="AP432" s="6">
        <f>AQ432&amp;AR432</f>
        <v/>
      </c>
      <c r="AQ432" s="6">
        <f>YEAR(AS432)</f>
        <v/>
      </c>
      <c r="AR432" s="6">
        <f>MONTH(AS432)</f>
        <v/>
      </c>
      <c r="AS432" s="267">
        <f>IFERROR(__xludf.DUMMYFUNCTION("""COMPUTED_VALUE"""),43728.9986111111)</f>
        <v/>
      </c>
      <c r="AT432" s="6">
        <f>IFERROR(__xludf.DUMMYFUNCTION("""COMPUTED_VALUE"""),1515.1)</f>
        <v/>
      </c>
    </row>
    <row r="433">
      <c r="B433" s="6">
        <f>C433&amp;D433</f>
        <v/>
      </c>
      <c r="C433" s="6">
        <f>YEAR(E433)</f>
        <v/>
      </c>
      <c r="D433" s="6">
        <f>MONTH(E433)</f>
        <v/>
      </c>
      <c r="E433" s="267">
        <f>IFERROR(__xludf.DUMMYFUNCTION("""COMPUTED_VALUE"""),43719.6666666666)</f>
        <v/>
      </c>
      <c r="F433" s="6">
        <f>IFERROR(__xludf.DUMMYFUNCTION("""COMPUTED_VALUE"""),3000.93)</f>
        <v/>
      </c>
      <c r="J433" s="6">
        <f>K433&amp;L433</f>
        <v/>
      </c>
      <c r="K433" s="6">
        <f>YEAR(M433)</f>
        <v/>
      </c>
      <c r="L433" s="6">
        <f>MONTH(M433)</f>
        <v/>
      </c>
      <c r="M433" s="267">
        <f>IFERROR(__xludf.DUMMYFUNCTION("""COMPUTED_VALUE"""),43719.6666666666)</f>
        <v/>
      </c>
      <c r="N433" s="6">
        <f>IFERROR(__xludf.DUMMYFUNCTION("""COMPUTED_VALUE"""),8169.68)</f>
        <v/>
      </c>
      <c r="R433" s="6">
        <f>S433&amp;T433</f>
        <v/>
      </c>
      <c r="S433" s="6">
        <f>YEAR(U433)</f>
        <v/>
      </c>
      <c r="T433" s="6">
        <f>MONTH(U433)</f>
        <v/>
      </c>
      <c r="U433" s="267">
        <f>IFERROR(__xludf.DUMMYFUNCTION("""COMPUTED_VALUE"""),43746.6458333333)</f>
        <v/>
      </c>
      <c r="V433" s="6">
        <f>IFERROR(__xludf.DUMMYFUNCTION("""COMPUTED_VALUE"""),2046.25)</f>
        <v/>
      </c>
      <c r="Z433" s="6">
        <f>AA433&amp;AB433</f>
        <v/>
      </c>
      <c r="AA433" s="6">
        <f>YEAR(AC433)</f>
        <v/>
      </c>
      <c r="AB433" s="6">
        <f>MONTH(AC433)</f>
        <v/>
      </c>
      <c r="AC433" s="267">
        <f>IFERROR(__xludf.DUMMYFUNCTION("""COMPUTED_VALUE"""),43550.9986111111)</f>
        <v/>
      </c>
      <c r="AD433" s="6">
        <f>IFERROR(__xludf.DUMMYFUNCTION("""COMPUTED_VALUE"""),1133.93)</f>
        <v/>
      </c>
      <c r="AH433" s="6">
        <f>AI433&amp;AJ433</f>
        <v/>
      </c>
      <c r="AI433" s="6">
        <f>YEAR(AK433)</f>
        <v/>
      </c>
      <c r="AJ433" s="6">
        <f>MONTH(AK433)</f>
        <v/>
      </c>
      <c r="AK433" s="267">
        <f>IFERROR(__xludf.DUMMYFUNCTION("""COMPUTED_VALUE"""),43525.9986111111)</f>
        <v/>
      </c>
      <c r="AL433" s="6">
        <f>IFERROR(__xludf.DUMMYFUNCTION("""COMPUTED_VALUE"""),3808.862)</f>
        <v/>
      </c>
      <c r="AP433" s="6">
        <f>AQ433&amp;AR433</f>
        <v/>
      </c>
      <c r="AQ433" s="6">
        <f>YEAR(AS433)</f>
        <v/>
      </c>
      <c r="AR433" s="6">
        <f>MONTH(AS433)</f>
        <v/>
      </c>
      <c r="AS433" s="267">
        <f>IFERROR(__xludf.DUMMYFUNCTION("""COMPUTED_VALUE"""),43731.9986111111)</f>
        <v/>
      </c>
      <c r="AT433" s="6">
        <f>IFERROR(__xludf.DUMMYFUNCTION("""COMPUTED_VALUE"""),1531.5)</f>
        <v/>
      </c>
    </row>
    <row r="434">
      <c r="B434" s="6">
        <f>C434&amp;D434</f>
        <v/>
      </c>
      <c r="C434" s="6">
        <f>YEAR(E434)</f>
        <v/>
      </c>
      <c r="D434" s="6">
        <f>MONTH(E434)</f>
        <v/>
      </c>
      <c r="E434" s="267">
        <f>IFERROR(__xludf.DUMMYFUNCTION("""COMPUTED_VALUE"""),43720.6666666666)</f>
        <v/>
      </c>
      <c r="F434" s="6">
        <f>IFERROR(__xludf.DUMMYFUNCTION("""COMPUTED_VALUE"""),3009.57)</f>
        <v/>
      </c>
      <c r="J434" s="6">
        <f>K434&amp;L434</f>
        <v/>
      </c>
      <c r="K434" s="6">
        <f>YEAR(M434)</f>
        <v/>
      </c>
      <c r="L434" s="6">
        <f>MONTH(M434)</f>
        <v/>
      </c>
      <c r="M434" s="267">
        <f>IFERROR(__xludf.DUMMYFUNCTION("""COMPUTED_VALUE"""),43720.6666666666)</f>
        <v/>
      </c>
      <c r="N434" s="6">
        <f>IFERROR(__xludf.DUMMYFUNCTION("""COMPUTED_VALUE"""),8194.47)</f>
        <v/>
      </c>
      <c r="R434" s="6">
        <f>S434&amp;T434</f>
        <v/>
      </c>
      <c r="S434" s="6">
        <f>YEAR(U434)</f>
        <v/>
      </c>
      <c r="T434" s="6">
        <f>MONTH(U434)</f>
        <v/>
      </c>
      <c r="U434" s="267">
        <f>IFERROR(__xludf.DUMMYFUNCTION("""COMPUTED_VALUE"""),43748.6458333333)</f>
        <v/>
      </c>
      <c r="V434" s="6">
        <f>IFERROR(__xludf.DUMMYFUNCTION("""COMPUTED_VALUE"""),2028.15)</f>
        <v/>
      </c>
      <c r="Z434" s="6">
        <f>AA434&amp;AB434</f>
        <v/>
      </c>
      <c r="AA434" s="6">
        <f>YEAR(AC434)</f>
        <v/>
      </c>
      <c r="AB434" s="6">
        <f>MONTH(AC434)</f>
        <v/>
      </c>
      <c r="AC434" s="267">
        <f>IFERROR(__xludf.DUMMYFUNCTION("""COMPUTED_VALUE"""),43551.9986111111)</f>
        <v/>
      </c>
      <c r="AD434" s="6">
        <f>IFERROR(__xludf.DUMMYFUNCTION("""COMPUTED_VALUE"""),1138.5)</f>
        <v/>
      </c>
      <c r="AH434" s="6">
        <f>AI434&amp;AJ434</f>
        <v/>
      </c>
      <c r="AI434" s="6">
        <f>YEAR(AK434)</f>
        <v/>
      </c>
      <c r="AJ434" s="6">
        <f>MONTH(AK434)</f>
        <v/>
      </c>
      <c r="AK434" s="267">
        <f>IFERROR(__xludf.DUMMYFUNCTION("""COMPUTED_VALUE"""),43526.9986111111)</f>
        <v/>
      </c>
      <c r="AL434" s="6">
        <f>IFERROR(__xludf.DUMMYFUNCTION("""COMPUTED_VALUE"""),3812.141)</f>
        <v/>
      </c>
      <c r="AP434" s="6">
        <f>AQ434&amp;AR434</f>
        <v/>
      </c>
      <c r="AQ434" s="6">
        <f>YEAR(AS434)</f>
        <v/>
      </c>
      <c r="AR434" s="6">
        <f>MONTH(AS434)</f>
        <v/>
      </c>
      <c r="AS434" s="267">
        <f>IFERROR(__xludf.DUMMYFUNCTION("""COMPUTED_VALUE"""),43732.9986111111)</f>
        <v/>
      </c>
      <c r="AT434" s="6">
        <f>IFERROR(__xludf.DUMMYFUNCTION("""COMPUTED_VALUE"""),1540.2)</f>
        <v/>
      </c>
    </row>
    <row r="435">
      <c r="B435" s="6">
        <f>C435&amp;D435</f>
        <v/>
      </c>
      <c r="C435" s="6">
        <f>YEAR(E435)</f>
        <v/>
      </c>
      <c r="D435" s="6">
        <f>MONTH(E435)</f>
        <v/>
      </c>
      <c r="E435" s="267">
        <f>IFERROR(__xludf.DUMMYFUNCTION("""COMPUTED_VALUE"""),43721.6666666666)</f>
        <v/>
      </c>
      <c r="F435" s="6">
        <f>IFERROR(__xludf.DUMMYFUNCTION("""COMPUTED_VALUE"""),3007.39)</f>
        <v/>
      </c>
      <c r="J435" s="6">
        <f>K435&amp;L435</f>
        <v/>
      </c>
      <c r="K435" s="6">
        <f>YEAR(M435)</f>
        <v/>
      </c>
      <c r="L435" s="6">
        <f>MONTH(M435)</f>
        <v/>
      </c>
      <c r="M435" s="267">
        <f>IFERROR(__xludf.DUMMYFUNCTION("""COMPUTED_VALUE"""),43721.6666666666)</f>
        <v/>
      </c>
      <c r="N435" s="6">
        <f>IFERROR(__xludf.DUMMYFUNCTION("""COMPUTED_VALUE"""),8176.71)</f>
        <v/>
      </c>
      <c r="R435" s="6">
        <f>S435&amp;T435</f>
        <v/>
      </c>
      <c r="S435" s="6">
        <f>YEAR(U435)</f>
        <v/>
      </c>
      <c r="T435" s="6">
        <f>MONTH(U435)</f>
        <v/>
      </c>
      <c r="U435" s="267">
        <f>IFERROR(__xludf.DUMMYFUNCTION("""COMPUTED_VALUE"""),43749.6458333333)</f>
        <v/>
      </c>
      <c r="V435" s="6">
        <f>IFERROR(__xludf.DUMMYFUNCTION("""COMPUTED_VALUE"""),2044.61)</f>
        <v/>
      </c>
      <c r="Z435" s="6">
        <f>AA435&amp;AB435</f>
        <v/>
      </c>
      <c r="AA435" s="6">
        <f>YEAR(AC435)</f>
        <v/>
      </c>
      <c r="AB435" s="6">
        <f>MONTH(AC435)</f>
        <v/>
      </c>
      <c r="AC435" s="267">
        <f>IFERROR(__xludf.DUMMYFUNCTION("""COMPUTED_VALUE"""),43552.9986111111)</f>
        <v/>
      </c>
      <c r="AD435" s="6">
        <f>IFERROR(__xludf.DUMMYFUNCTION("""COMPUTED_VALUE"""),1134.32)</f>
        <v/>
      </c>
      <c r="AH435" s="6">
        <f>AI435&amp;AJ435</f>
        <v/>
      </c>
      <c r="AI435" s="6">
        <f>YEAR(AK435)</f>
        <v/>
      </c>
      <c r="AJ435" s="6">
        <f>MONTH(AK435)</f>
        <v/>
      </c>
      <c r="AK435" s="267">
        <f>IFERROR(__xludf.DUMMYFUNCTION("""COMPUTED_VALUE"""),43527.9986111111)</f>
        <v/>
      </c>
      <c r="AL435" s="6">
        <f>IFERROR(__xludf.DUMMYFUNCTION("""COMPUTED_VALUE"""),3796.865)</f>
        <v/>
      </c>
      <c r="AP435" s="6">
        <f>AQ435&amp;AR435</f>
        <v/>
      </c>
      <c r="AQ435" s="6">
        <f>YEAR(AS435)</f>
        <v/>
      </c>
      <c r="AR435" s="6">
        <f>MONTH(AS435)</f>
        <v/>
      </c>
      <c r="AS435" s="267">
        <f>IFERROR(__xludf.DUMMYFUNCTION("""COMPUTED_VALUE"""),43733.9986111111)</f>
        <v/>
      </c>
      <c r="AT435" s="6">
        <f>IFERROR(__xludf.DUMMYFUNCTION("""COMPUTED_VALUE"""),1512.3)</f>
        <v/>
      </c>
    </row>
    <row r="436">
      <c r="B436" s="6">
        <f>C436&amp;D436</f>
        <v/>
      </c>
      <c r="C436" s="6">
        <f>YEAR(E436)</f>
        <v/>
      </c>
      <c r="D436" s="6">
        <f>MONTH(E436)</f>
        <v/>
      </c>
      <c r="E436" s="267">
        <f>IFERROR(__xludf.DUMMYFUNCTION("""COMPUTED_VALUE"""),43724.6666666666)</f>
        <v/>
      </c>
      <c r="F436" s="6">
        <f>IFERROR(__xludf.DUMMYFUNCTION("""COMPUTED_VALUE"""),2997.96)</f>
        <v/>
      </c>
      <c r="J436" s="6">
        <f>K436&amp;L436</f>
        <v/>
      </c>
      <c r="K436" s="6">
        <f>YEAR(M436)</f>
        <v/>
      </c>
      <c r="L436" s="6">
        <f>MONTH(M436)</f>
        <v/>
      </c>
      <c r="M436" s="267">
        <f>IFERROR(__xludf.DUMMYFUNCTION("""COMPUTED_VALUE"""),43724.6666666666)</f>
        <v/>
      </c>
      <c r="N436" s="6">
        <f>IFERROR(__xludf.DUMMYFUNCTION("""COMPUTED_VALUE"""),8153.54)</f>
        <v/>
      </c>
      <c r="R436" s="6">
        <f>S436&amp;T436</f>
        <v/>
      </c>
      <c r="S436" s="6">
        <f>YEAR(U436)</f>
        <v/>
      </c>
      <c r="T436" s="6">
        <f>MONTH(U436)</f>
        <v/>
      </c>
      <c r="U436" s="267">
        <f>IFERROR(__xludf.DUMMYFUNCTION("""COMPUTED_VALUE"""),43752.6458333333)</f>
        <v/>
      </c>
      <c r="V436" s="6">
        <f>IFERROR(__xludf.DUMMYFUNCTION("""COMPUTED_VALUE"""),2067.4)</f>
        <v/>
      </c>
      <c r="Z436" s="6">
        <f>AA436&amp;AB436</f>
        <v/>
      </c>
      <c r="AA436" s="6">
        <f>YEAR(AC436)</f>
        <v/>
      </c>
      <c r="AB436" s="6">
        <f>MONTH(AC436)</f>
        <v/>
      </c>
      <c r="AC436" s="267">
        <f>IFERROR(__xludf.DUMMYFUNCTION("""COMPUTED_VALUE"""),43553.9986111111)</f>
        <v/>
      </c>
      <c r="AD436" s="6">
        <f>IFERROR(__xludf.DUMMYFUNCTION("""COMPUTED_VALUE"""),1135.9)</f>
        <v/>
      </c>
      <c r="AH436" s="6">
        <f>AI436&amp;AJ436</f>
        <v/>
      </c>
      <c r="AI436" s="6">
        <f>YEAR(AK436)</f>
        <v/>
      </c>
      <c r="AJ436" s="6">
        <f>MONTH(AK436)</f>
        <v/>
      </c>
      <c r="AK436" s="267">
        <f>IFERROR(__xludf.DUMMYFUNCTION("""COMPUTED_VALUE"""),43528.9986111111)</f>
        <v/>
      </c>
      <c r="AL436" s="6">
        <f>IFERROR(__xludf.DUMMYFUNCTION("""COMPUTED_VALUE"""),3709.697)</f>
        <v/>
      </c>
      <c r="AP436" s="6">
        <f>AQ436&amp;AR436</f>
        <v/>
      </c>
      <c r="AQ436" s="6">
        <f>YEAR(AS436)</f>
        <v/>
      </c>
      <c r="AR436" s="6">
        <f>MONTH(AS436)</f>
        <v/>
      </c>
      <c r="AS436" s="267">
        <f>IFERROR(__xludf.DUMMYFUNCTION("""COMPUTED_VALUE"""),43734.9986111111)</f>
        <v/>
      </c>
      <c r="AT436" s="6">
        <f>IFERROR(__xludf.DUMMYFUNCTION("""COMPUTED_VALUE"""),1515.2)</f>
        <v/>
      </c>
    </row>
    <row r="437">
      <c r="B437" s="6">
        <f>C437&amp;D437</f>
        <v/>
      </c>
      <c r="C437" s="6">
        <f>YEAR(E437)</f>
        <v/>
      </c>
      <c r="D437" s="6">
        <f>MONTH(E437)</f>
        <v/>
      </c>
      <c r="E437" s="267">
        <f>IFERROR(__xludf.DUMMYFUNCTION("""COMPUTED_VALUE"""),43725.6666666666)</f>
        <v/>
      </c>
      <c r="F437" s="6">
        <f>IFERROR(__xludf.DUMMYFUNCTION("""COMPUTED_VALUE"""),3005.7)</f>
        <v/>
      </c>
      <c r="J437" s="6">
        <f>K437&amp;L437</f>
        <v/>
      </c>
      <c r="K437" s="6">
        <f>YEAR(M437)</f>
        <v/>
      </c>
      <c r="L437" s="6">
        <f>MONTH(M437)</f>
        <v/>
      </c>
      <c r="M437" s="267">
        <f>IFERROR(__xludf.DUMMYFUNCTION("""COMPUTED_VALUE"""),43725.6666666666)</f>
        <v/>
      </c>
      <c r="N437" s="6">
        <f>IFERROR(__xludf.DUMMYFUNCTION("""COMPUTED_VALUE"""),8186.02)</f>
        <v/>
      </c>
      <c r="R437" s="6">
        <f>S437&amp;T437</f>
        <v/>
      </c>
      <c r="S437" s="6">
        <f>YEAR(U437)</f>
        <v/>
      </c>
      <c r="T437" s="6">
        <f>MONTH(U437)</f>
        <v/>
      </c>
      <c r="U437" s="267">
        <f>IFERROR(__xludf.DUMMYFUNCTION("""COMPUTED_VALUE"""),43753.6458333333)</f>
        <v/>
      </c>
      <c r="V437" s="6">
        <f>IFERROR(__xludf.DUMMYFUNCTION("""COMPUTED_VALUE"""),2068.17)</f>
        <v/>
      </c>
      <c r="Z437" s="6">
        <f>AA437&amp;AB437</f>
        <v/>
      </c>
      <c r="AA437" s="6">
        <f>YEAR(AC437)</f>
        <v/>
      </c>
      <c r="AB437" s="6">
        <f>MONTH(AC437)</f>
        <v/>
      </c>
      <c r="AC437" s="267">
        <f>IFERROR(__xludf.DUMMYFUNCTION("""COMPUTED_VALUE"""),43554.9986111111)</f>
        <v/>
      </c>
      <c r="AD437" s="6">
        <f>IFERROR(__xludf.DUMMYFUNCTION("""COMPUTED_VALUE"""),1135.9)</f>
        <v/>
      </c>
      <c r="AH437" s="6">
        <f>AI437&amp;AJ437</f>
        <v/>
      </c>
      <c r="AI437" s="6">
        <f>YEAR(AK437)</f>
        <v/>
      </c>
      <c r="AJ437" s="6">
        <f>MONTH(AK437)</f>
        <v/>
      </c>
      <c r="AK437" s="267">
        <f>IFERROR(__xludf.DUMMYFUNCTION("""COMPUTED_VALUE"""),43529.9986111111)</f>
        <v/>
      </c>
      <c r="AL437" s="6">
        <f>IFERROR(__xludf.DUMMYFUNCTION("""COMPUTED_VALUE"""),3854.687)</f>
        <v/>
      </c>
      <c r="AP437" s="6">
        <f>AQ437&amp;AR437</f>
        <v/>
      </c>
      <c r="AQ437" s="6">
        <f>YEAR(AS437)</f>
        <v/>
      </c>
      <c r="AR437" s="6">
        <f>MONTH(AS437)</f>
        <v/>
      </c>
      <c r="AS437" s="267">
        <f>IFERROR(__xludf.DUMMYFUNCTION("""COMPUTED_VALUE"""),43735.9986111111)</f>
        <v/>
      </c>
      <c r="AT437" s="6">
        <f>IFERROR(__xludf.DUMMYFUNCTION("""COMPUTED_VALUE"""),1506.4)</f>
        <v/>
      </c>
    </row>
    <row r="438">
      <c r="B438" s="6">
        <f>C438&amp;D438</f>
        <v/>
      </c>
      <c r="C438" s="6">
        <f>YEAR(E438)</f>
        <v/>
      </c>
      <c r="D438" s="6">
        <f>MONTH(E438)</f>
        <v/>
      </c>
      <c r="E438" s="267">
        <f>IFERROR(__xludf.DUMMYFUNCTION("""COMPUTED_VALUE"""),43726.6666666666)</f>
        <v/>
      </c>
      <c r="F438" s="6">
        <f>IFERROR(__xludf.DUMMYFUNCTION("""COMPUTED_VALUE"""),3006.73)</f>
        <v/>
      </c>
      <c r="J438" s="6">
        <f>K438&amp;L438</f>
        <v/>
      </c>
      <c r="K438" s="6">
        <f>YEAR(M438)</f>
        <v/>
      </c>
      <c r="L438" s="6">
        <f>MONTH(M438)</f>
        <v/>
      </c>
      <c r="M438" s="267">
        <f>IFERROR(__xludf.DUMMYFUNCTION("""COMPUTED_VALUE"""),43726.6666666666)</f>
        <v/>
      </c>
      <c r="N438" s="6">
        <f>IFERROR(__xludf.DUMMYFUNCTION("""COMPUTED_VALUE"""),8177.39)</f>
        <v/>
      </c>
      <c r="R438" s="6">
        <f>S438&amp;T438</f>
        <v/>
      </c>
      <c r="S438" s="6">
        <f>YEAR(U438)</f>
        <v/>
      </c>
      <c r="T438" s="6">
        <f>MONTH(U438)</f>
        <v/>
      </c>
      <c r="U438" s="267">
        <f>IFERROR(__xludf.DUMMYFUNCTION("""COMPUTED_VALUE"""),43754.6458333333)</f>
        <v/>
      </c>
      <c r="V438" s="6">
        <f>IFERROR(__xludf.DUMMYFUNCTION("""COMPUTED_VALUE"""),2082.83)</f>
        <v/>
      </c>
      <c r="Z438" s="6">
        <f>AA438&amp;AB438</f>
        <v/>
      </c>
      <c r="AA438" s="6">
        <f>YEAR(AC438)</f>
        <v/>
      </c>
      <c r="AB438" s="6">
        <f>MONTH(AC438)</f>
        <v/>
      </c>
      <c r="AC438" s="267">
        <f>IFERROR(__xludf.DUMMYFUNCTION("""COMPUTED_VALUE"""),43555.9986111111)</f>
        <v/>
      </c>
      <c r="AD438" s="6">
        <f>IFERROR(__xludf.DUMMYFUNCTION("""COMPUTED_VALUE"""),1136.7)</f>
        <v/>
      </c>
      <c r="AH438" s="6">
        <f>AI438&amp;AJ438</f>
        <v/>
      </c>
      <c r="AI438" s="6">
        <f>YEAR(AK438)</f>
        <v/>
      </c>
      <c r="AJ438" s="6">
        <f>MONTH(AK438)</f>
        <v/>
      </c>
      <c r="AK438" s="267">
        <f>IFERROR(__xludf.DUMMYFUNCTION("""COMPUTED_VALUE"""),43530.9986111111)</f>
        <v/>
      </c>
      <c r="AL438" s="6">
        <f>IFERROR(__xludf.DUMMYFUNCTION("""COMPUTED_VALUE"""),3865.892)</f>
        <v/>
      </c>
      <c r="AP438" s="6">
        <f>AQ438&amp;AR438</f>
        <v/>
      </c>
      <c r="AQ438" s="6">
        <f>YEAR(AS438)</f>
        <v/>
      </c>
      <c r="AR438" s="6">
        <f>MONTH(AS438)</f>
        <v/>
      </c>
      <c r="AS438" s="267">
        <f>IFERROR(__xludf.DUMMYFUNCTION("""COMPUTED_VALUE"""),43738.9986111111)</f>
        <v/>
      </c>
      <c r="AT438" s="6">
        <f>IFERROR(__xludf.DUMMYFUNCTION("""COMPUTED_VALUE"""),1472.9)</f>
        <v/>
      </c>
    </row>
    <row r="439">
      <c r="B439" s="6">
        <f>C439&amp;D439</f>
        <v/>
      </c>
      <c r="C439" s="6">
        <f>YEAR(E439)</f>
        <v/>
      </c>
      <c r="D439" s="6">
        <f>MONTH(E439)</f>
        <v/>
      </c>
      <c r="E439" s="267">
        <f>IFERROR(__xludf.DUMMYFUNCTION("""COMPUTED_VALUE"""),43727.6666666666)</f>
        <v/>
      </c>
      <c r="F439" s="6">
        <f>IFERROR(__xludf.DUMMYFUNCTION("""COMPUTED_VALUE"""),3006.79)</f>
        <v/>
      </c>
      <c r="J439" s="6">
        <f>K439&amp;L439</f>
        <v/>
      </c>
      <c r="K439" s="6">
        <f>YEAR(M439)</f>
        <v/>
      </c>
      <c r="L439" s="6">
        <f>MONTH(M439)</f>
        <v/>
      </c>
      <c r="M439" s="267">
        <f>IFERROR(__xludf.DUMMYFUNCTION("""COMPUTED_VALUE"""),43727.6666666666)</f>
        <v/>
      </c>
      <c r="N439" s="6">
        <f>IFERROR(__xludf.DUMMYFUNCTION("""COMPUTED_VALUE"""),8182.88)</f>
        <v/>
      </c>
      <c r="R439" s="6">
        <f>S439&amp;T439</f>
        <v/>
      </c>
      <c r="S439" s="6">
        <f>YEAR(U439)</f>
        <v/>
      </c>
      <c r="T439" s="6">
        <f>MONTH(U439)</f>
        <v/>
      </c>
      <c r="U439" s="267">
        <f>IFERROR(__xludf.DUMMYFUNCTION("""COMPUTED_VALUE"""),43755.6458333333)</f>
        <v/>
      </c>
      <c r="V439" s="6">
        <f>IFERROR(__xludf.DUMMYFUNCTION("""COMPUTED_VALUE"""),2077.94)</f>
        <v/>
      </c>
      <c r="Z439" s="6">
        <f>AA439&amp;AB439</f>
        <v/>
      </c>
      <c r="AA439" s="6">
        <f>YEAR(AC439)</f>
        <v/>
      </c>
      <c r="AB439" s="6">
        <f>MONTH(AC439)</f>
        <v/>
      </c>
      <c r="AC439" s="267">
        <f>IFERROR(__xludf.DUMMYFUNCTION("""COMPUTED_VALUE"""),43556.9986111111)</f>
        <v/>
      </c>
      <c r="AD439" s="6">
        <f>IFERROR(__xludf.DUMMYFUNCTION("""COMPUTED_VALUE"""),1132.67)</f>
        <v/>
      </c>
      <c r="AH439" s="6">
        <f>AI439&amp;AJ439</f>
        <v/>
      </c>
      <c r="AI439" s="6">
        <f>YEAR(AK439)</f>
        <v/>
      </c>
      <c r="AJ439" s="6">
        <f>MONTH(AK439)</f>
        <v/>
      </c>
      <c r="AK439" s="267">
        <f>IFERROR(__xludf.DUMMYFUNCTION("""COMPUTED_VALUE"""),43531.9986111111)</f>
        <v/>
      </c>
      <c r="AL439" s="6">
        <f>IFERROR(__xludf.DUMMYFUNCTION("""COMPUTED_VALUE"""),3868.382)</f>
        <v/>
      </c>
      <c r="AP439" s="6">
        <f>AQ439&amp;AR439</f>
        <v/>
      </c>
      <c r="AQ439" s="6">
        <f>YEAR(AS439)</f>
        <v/>
      </c>
      <c r="AR439" s="6">
        <f>MONTH(AS439)</f>
        <v/>
      </c>
      <c r="AS439" s="267">
        <f>IFERROR(__xludf.DUMMYFUNCTION("""COMPUTED_VALUE"""),43739.9986111111)</f>
        <v/>
      </c>
      <c r="AT439" s="6">
        <f>IFERROR(__xludf.DUMMYFUNCTION("""COMPUTED_VALUE"""),1489)</f>
        <v/>
      </c>
    </row>
    <row r="440">
      <c r="B440" s="6">
        <f>C440&amp;D440</f>
        <v/>
      </c>
      <c r="C440" s="6">
        <f>YEAR(E440)</f>
        <v/>
      </c>
      <c r="D440" s="6">
        <f>MONTH(E440)</f>
        <v/>
      </c>
      <c r="E440" s="267">
        <f>IFERROR(__xludf.DUMMYFUNCTION("""COMPUTED_VALUE"""),43728.6666666666)</f>
        <v/>
      </c>
      <c r="F440" s="6">
        <f>IFERROR(__xludf.DUMMYFUNCTION("""COMPUTED_VALUE"""),2992.07)</f>
        <v/>
      </c>
      <c r="J440" s="6">
        <f>K440&amp;L440</f>
        <v/>
      </c>
      <c r="K440" s="6">
        <f>YEAR(M440)</f>
        <v/>
      </c>
      <c r="L440" s="6">
        <f>MONTH(M440)</f>
        <v/>
      </c>
      <c r="M440" s="267">
        <f>IFERROR(__xludf.DUMMYFUNCTION("""COMPUTED_VALUE"""),43728.6666666666)</f>
        <v/>
      </c>
      <c r="N440" s="6">
        <f>IFERROR(__xludf.DUMMYFUNCTION("""COMPUTED_VALUE"""),8117.67)</f>
        <v/>
      </c>
      <c r="R440" s="6">
        <f>S440&amp;T440</f>
        <v/>
      </c>
      <c r="S440" s="6">
        <f>YEAR(U440)</f>
        <v/>
      </c>
      <c r="T440" s="6">
        <f>MONTH(U440)</f>
        <v/>
      </c>
      <c r="U440" s="267">
        <f>IFERROR(__xludf.DUMMYFUNCTION("""COMPUTED_VALUE"""),43756.6458333333)</f>
        <v/>
      </c>
      <c r="V440" s="6">
        <f>IFERROR(__xludf.DUMMYFUNCTION("""COMPUTED_VALUE"""),2060.69)</f>
        <v/>
      </c>
      <c r="Z440" s="6">
        <f>AA440&amp;AB440</f>
        <v/>
      </c>
      <c r="AA440" s="6">
        <f>YEAR(AC440)</f>
        <v/>
      </c>
      <c r="AB440" s="6">
        <f>MONTH(AC440)</f>
        <v/>
      </c>
      <c r="AC440" s="267">
        <f>IFERROR(__xludf.DUMMYFUNCTION("""COMPUTED_VALUE"""),43557.9986111111)</f>
        <v/>
      </c>
      <c r="AD440" s="6">
        <f>IFERROR(__xludf.DUMMYFUNCTION("""COMPUTED_VALUE"""),1136.39)</f>
        <v/>
      </c>
      <c r="AH440" s="6">
        <f>AI440&amp;AJ440</f>
        <v/>
      </c>
      <c r="AI440" s="6">
        <f>YEAR(AK440)</f>
        <v/>
      </c>
      <c r="AJ440" s="6">
        <f>MONTH(AK440)</f>
        <v/>
      </c>
      <c r="AK440" s="267">
        <f>IFERROR(__xludf.DUMMYFUNCTION("""COMPUTED_VALUE"""),43532.9986111111)</f>
        <v/>
      </c>
      <c r="AL440" s="6">
        <f>IFERROR(__xludf.DUMMYFUNCTION("""COMPUTED_VALUE"""),3854.778)</f>
        <v/>
      </c>
      <c r="AP440" s="6">
        <f>AQ440&amp;AR440</f>
        <v/>
      </c>
      <c r="AQ440" s="6">
        <f>YEAR(AS440)</f>
        <v/>
      </c>
      <c r="AR440" s="6">
        <f>MONTH(AS440)</f>
        <v/>
      </c>
      <c r="AS440" s="267">
        <f>IFERROR(__xludf.DUMMYFUNCTION("""COMPUTED_VALUE"""),43740.9986111111)</f>
        <v/>
      </c>
      <c r="AT440" s="6">
        <f>IFERROR(__xludf.DUMMYFUNCTION("""COMPUTED_VALUE"""),1507.9)</f>
        <v/>
      </c>
    </row>
    <row r="441">
      <c r="B441" s="6">
        <f>C441&amp;D441</f>
        <v/>
      </c>
      <c r="C441" s="6">
        <f>YEAR(E441)</f>
        <v/>
      </c>
      <c r="D441" s="6">
        <f>MONTH(E441)</f>
        <v/>
      </c>
      <c r="E441" s="267">
        <f>IFERROR(__xludf.DUMMYFUNCTION("""COMPUTED_VALUE"""),43731.6666666666)</f>
        <v/>
      </c>
      <c r="F441" s="6">
        <f>IFERROR(__xludf.DUMMYFUNCTION("""COMPUTED_VALUE"""),2991.78)</f>
        <v/>
      </c>
      <c r="J441" s="6">
        <f>K441&amp;L441</f>
        <v/>
      </c>
      <c r="K441" s="6">
        <f>YEAR(M441)</f>
        <v/>
      </c>
      <c r="L441" s="6">
        <f>MONTH(M441)</f>
        <v/>
      </c>
      <c r="M441" s="267">
        <f>IFERROR(__xludf.DUMMYFUNCTION("""COMPUTED_VALUE"""),43731.6666666666)</f>
        <v/>
      </c>
      <c r="N441" s="6">
        <f>IFERROR(__xludf.DUMMYFUNCTION("""COMPUTED_VALUE"""),8112.46)</f>
        <v/>
      </c>
      <c r="R441" s="6">
        <f>S441&amp;T441</f>
        <v/>
      </c>
      <c r="S441" s="6">
        <f>YEAR(U441)</f>
        <v/>
      </c>
      <c r="T441" s="6">
        <f>MONTH(U441)</f>
        <v/>
      </c>
      <c r="U441" s="267">
        <f>IFERROR(__xludf.DUMMYFUNCTION("""COMPUTED_VALUE"""),43759.6458333333)</f>
        <v/>
      </c>
      <c r="V441" s="6">
        <f>IFERROR(__xludf.DUMMYFUNCTION("""COMPUTED_VALUE"""),2064.84)</f>
        <v/>
      </c>
      <c r="Z441" s="6">
        <f>AA441&amp;AB441</f>
        <v/>
      </c>
      <c r="AA441" s="6">
        <f>YEAR(AC441)</f>
        <v/>
      </c>
      <c r="AB441" s="6">
        <f>MONTH(AC441)</f>
        <v/>
      </c>
      <c r="AC441" s="267">
        <f>IFERROR(__xludf.DUMMYFUNCTION("""COMPUTED_VALUE"""),43558.9986111111)</f>
        <v/>
      </c>
      <c r="AD441" s="6">
        <f>IFERROR(__xludf.DUMMYFUNCTION("""COMPUTED_VALUE"""),1133.53)</f>
        <v/>
      </c>
      <c r="AH441" s="6">
        <f>AI441&amp;AJ441</f>
        <v/>
      </c>
      <c r="AI441" s="6">
        <f>YEAR(AK441)</f>
        <v/>
      </c>
      <c r="AJ441" s="6">
        <f>MONTH(AK441)</f>
        <v/>
      </c>
      <c r="AK441" s="267">
        <f>IFERROR(__xludf.DUMMYFUNCTION("""COMPUTED_VALUE"""),43533.9986111111)</f>
        <v/>
      </c>
      <c r="AL441" s="6">
        <f>IFERROR(__xludf.DUMMYFUNCTION("""COMPUTED_VALUE"""),3936.172)</f>
        <v/>
      </c>
      <c r="AP441" s="6">
        <f>AQ441&amp;AR441</f>
        <v/>
      </c>
      <c r="AQ441" s="6">
        <f>YEAR(AS441)</f>
        <v/>
      </c>
      <c r="AR441" s="6">
        <f>MONTH(AS441)</f>
        <v/>
      </c>
      <c r="AS441" s="267">
        <f>IFERROR(__xludf.DUMMYFUNCTION("""COMPUTED_VALUE"""),43741.9986111111)</f>
        <v/>
      </c>
      <c r="AT441" s="6">
        <f>IFERROR(__xludf.DUMMYFUNCTION("""COMPUTED_VALUE"""),1513.8)</f>
        <v/>
      </c>
    </row>
    <row r="442">
      <c r="B442" s="6">
        <f>C442&amp;D442</f>
        <v/>
      </c>
      <c r="C442" s="6">
        <f>YEAR(E442)</f>
        <v/>
      </c>
      <c r="D442" s="6">
        <f>MONTH(E442)</f>
        <v/>
      </c>
      <c r="E442" s="267">
        <f>IFERROR(__xludf.DUMMYFUNCTION("""COMPUTED_VALUE"""),43732.6666666666)</f>
        <v/>
      </c>
      <c r="F442" s="6">
        <f>IFERROR(__xludf.DUMMYFUNCTION("""COMPUTED_VALUE"""),2966.6)</f>
        <v/>
      </c>
      <c r="J442" s="6">
        <f>K442&amp;L442</f>
        <v/>
      </c>
      <c r="K442" s="6">
        <f>YEAR(M442)</f>
        <v/>
      </c>
      <c r="L442" s="6">
        <f>MONTH(M442)</f>
        <v/>
      </c>
      <c r="M442" s="267">
        <f>IFERROR(__xludf.DUMMYFUNCTION("""COMPUTED_VALUE"""),43732.6666666666)</f>
        <v/>
      </c>
      <c r="N442" s="6">
        <f>IFERROR(__xludf.DUMMYFUNCTION("""COMPUTED_VALUE"""),7993.63)</f>
        <v/>
      </c>
      <c r="R442" s="6">
        <f>S442&amp;T442</f>
        <v/>
      </c>
      <c r="S442" s="6">
        <f>YEAR(U442)</f>
        <v/>
      </c>
      <c r="T442" s="6">
        <f>MONTH(U442)</f>
        <v/>
      </c>
      <c r="U442" s="267">
        <f>IFERROR(__xludf.DUMMYFUNCTION("""COMPUTED_VALUE"""),43760.6458333333)</f>
        <v/>
      </c>
      <c r="V442" s="6">
        <f>IFERROR(__xludf.DUMMYFUNCTION("""COMPUTED_VALUE"""),2088.86)</f>
        <v/>
      </c>
      <c r="Z442" s="6">
        <f>AA442&amp;AB442</f>
        <v/>
      </c>
      <c r="AA442" s="6">
        <f>YEAR(AC442)</f>
        <v/>
      </c>
      <c r="AB442" s="6">
        <f>MONTH(AC442)</f>
        <v/>
      </c>
      <c r="AC442" s="267">
        <f>IFERROR(__xludf.DUMMYFUNCTION("""COMPUTED_VALUE"""),43559.9986111111)</f>
        <v/>
      </c>
      <c r="AD442" s="6">
        <f>IFERROR(__xludf.DUMMYFUNCTION("""COMPUTED_VALUE"""),1134.3)</f>
        <v/>
      </c>
      <c r="AH442" s="6">
        <f>AI442&amp;AJ442</f>
        <v/>
      </c>
      <c r="AI442" s="6">
        <f>YEAR(AK442)</f>
        <v/>
      </c>
      <c r="AJ442" s="6">
        <f>MONTH(AK442)</f>
        <v/>
      </c>
      <c r="AK442" s="267">
        <f>IFERROR(__xludf.DUMMYFUNCTION("""COMPUTED_VALUE"""),43534.9986111111)</f>
        <v/>
      </c>
      <c r="AL442" s="6">
        <f>IFERROR(__xludf.DUMMYFUNCTION("""COMPUTED_VALUE"""),3901.575)</f>
        <v/>
      </c>
      <c r="AP442" s="6">
        <f>AQ442&amp;AR442</f>
        <v/>
      </c>
      <c r="AQ442" s="6">
        <f>YEAR(AS442)</f>
        <v/>
      </c>
      <c r="AR442" s="6">
        <f>MONTH(AS442)</f>
        <v/>
      </c>
      <c r="AS442" s="267">
        <f>IFERROR(__xludf.DUMMYFUNCTION("""COMPUTED_VALUE"""),43742.9986111111)</f>
        <v/>
      </c>
      <c r="AT442" s="6">
        <f>IFERROR(__xludf.DUMMYFUNCTION("""COMPUTED_VALUE"""),1512.9)</f>
        <v/>
      </c>
    </row>
    <row r="443">
      <c r="B443" s="6">
        <f>C443&amp;D443</f>
        <v/>
      </c>
      <c r="C443" s="6">
        <f>YEAR(E443)</f>
        <v/>
      </c>
      <c r="D443" s="6">
        <f>MONTH(E443)</f>
        <v/>
      </c>
      <c r="E443" s="267">
        <f>IFERROR(__xludf.DUMMYFUNCTION("""COMPUTED_VALUE"""),43733.6666666666)</f>
        <v/>
      </c>
      <c r="F443" s="6">
        <f>IFERROR(__xludf.DUMMYFUNCTION("""COMPUTED_VALUE"""),2984.87)</f>
        <v/>
      </c>
      <c r="J443" s="6">
        <f>K443&amp;L443</f>
        <v/>
      </c>
      <c r="K443" s="6">
        <f>YEAR(M443)</f>
        <v/>
      </c>
      <c r="L443" s="6">
        <f>MONTH(M443)</f>
        <v/>
      </c>
      <c r="M443" s="267">
        <f>IFERROR(__xludf.DUMMYFUNCTION("""COMPUTED_VALUE"""),43733.6666666666)</f>
        <v/>
      </c>
      <c r="N443" s="6">
        <f>IFERROR(__xludf.DUMMYFUNCTION("""COMPUTED_VALUE"""),8077.38)</f>
        <v/>
      </c>
      <c r="R443" s="6">
        <f>S443&amp;T443</f>
        <v/>
      </c>
      <c r="S443" s="6">
        <f>YEAR(U443)</f>
        <v/>
      </c>
      <c r="T443" s="6">
        <f>MONTH(U443)</f>
        <v/>
      </c>
      <c r="U443" s="267">
        <f>IFERROR(__xludf.DUMMYFUNCTION("""COMPUTED_VALUE"""),43761.6458333333)</f>
        <v/>
      </c>
      <c r="V443" s="6">
        <f>IFERROR(__xludf.DUMMYFUNCTION("""COMPUTED_VALUE"""),2080.62)</f>
        <v/>
      </c>
      <c r="Z443" s="6">
        <f>AA443&amp;AB443</f>
        <v/>
      </c>
      <c r="AA443" s="6">
        <f>YEAR(AC443)</f>
        <v/>
      </c>
      <c r="AB443" s="6">
        <f>MONTH(AC443)</f>
        <v/>
      </c>
      <c r="AC443" s="267">
        <f>IFERROR(__xludf.DUMMYFUNCTION("""COMPUTED_VALUE"""),43560.9986111111)</f>
        <v/>
      </c>
      <c r="AD443" s="6">
        <f>IFERROR(__xludf.DUMMYFUNCTION("""COMPUTED_VALUE"""),1137.33)</f>
        <v/>
      </c>
      <c r="AH443" s="6">
        <f>AI443&amp;AJ443</f>
        <v/>
      </c>
      <c r="AI443" s="6">
        <f>YEAR(AK443)</f>
        <v/>
      </c>
      <c r="AJ443" s="6">
        <f>MONTH(AK443)</f>
        <v/>
      </c>
      <c r="AK443" s="267">
        <f>IFERROR(__xludf.DUMMYFUNCTION("""COMPUTED_VALUE"""),43535.9986111111)</f>
        <v/>
      </c>
      <c r="AL443" s="6">
        <f>IFERROR(__xludf.DUMMYFUNCTION("""COMPUTED_VALUE"""),3869.576)</f>
        <v/>
      </c>
      <c r="AP443" s="6">
        <f>AQ443&amp;AR443</f>
        <v/>
      </c>
      <c r="AQ443" s="6">
        <f>YEAR(AS443)</f>
        <v/>
      </c>
      <c r="AR443" s="6">
        <f>MONTH(AS443)</f>
        <v/>
      </c>
      <c r="AS443" s="267">
        <f>IFERROR(__xludf.DUMMYFUNCTION("""COMPUTED_VALUE"""),43745.9986111111)</f>
        <v/>
      </c>
      <c r="AT443" s="6">
        <f>IFERROR(__xludf.DUMMYFUNCTION("""COMPUTED_VALUE"""),1504.4)</f>
        <v/>
      </c>
    </row>
    <row r="444">
      <c r="B444" s="6">
        <f>C444&amp;D444</f>
        <v/>
      </c>
      <c r="C444" s="6">
        <f>YEAR(E444)</f>
        <v/>
      </c>
      <c r="D444" s="6">
        <f>MONTH(E444)</f>
        <v/>
      </c>
      <c r="E444" s="267">
        <f>IFERROR(__xludf.DUMMYFUNCTION("""COMPUTED_VALUE"""),43734.6666666666)</f>
        <v/>
      </c>
      <c r="F444" s="6">
        <f>IFERROR(__xludf.DUMMYFUNCTION("""COMPUTED_VALUE"""),2977.62)</f>
        <v/>
      </c>
      <c r="J444" s="6">
        <f>K444&amp;L444</f>
        <v/>
      </c>
      <c r="K444" s="6">
        <f>YEAR(M444)</f>
        <v/>
      </c>
      <c r="L444" s="6">
        <f>MONTH(M444)</f>
        <v/>
      </c>
      <c r="M444" s="267">
        <f>IFERROR(__xludf.DUMMYFUNCTION("""COMPUTED_VALUE"""),43734.6666666666)</f>
        <v/>
      </c>
      <c r="N444" s="6">
        <f>IFERROR(__xludf.DUMMYFUNCTION("""COMPUTED_VALUE"""),8030.66)</f>
        <v/>
      </c>
      <c r="R444" s="6">
        <f>S444&amp;T444</f>
        <v/>
      </c>
      <c r="S444" s="6">
        <f>YEAR(U444)</f>
        <v/>
      </c>
      <c r="T444" s="6">
        <f>MONTH(U444)</f>
        <v/>
      </c>
      <c r="U444" s="267">
        <f>IFERROR(__xludf.DUMMYFUNCTION("""COMPUTED_VALUE"""),43762.6458333333)</f>
        <v/>
      </c>
      <c r="V444" s="6">
        <f>IFERROR(__xludf.DUMMYFUNCTION("""COMPUTED_VALUE"""),2085.66)</f>
        <v/>
      </c>
      <c r="Z444" s="6">
        <f>AA444&amp;AB444</f>
        <v/>
      </c>
      <c r="AA444" s="6">
        <f>YEAR(AC444)</f>
        <v/>
      </c>
      <c r="AB444" s="6">
        <f>MONTH(AC444)</f>
        <v/>
      </c>
      <c r="AC444" s="267">
        <f>IFERROR(__xludf.DUMMYFUNCTION("""COMPUTED_VALUE"""),43562.9986111111)</f>
        <v/>
      </c>
      <c r="AD444" s="6">
        <f>IFERROR(__xludf.DUMMYFUNCTION("""COMPUTED_VALUE"""),1136.69)</f>
        <v/>
      </c>
      <c r="AH444" s="6">
        <f>AI444&amp;AJ444</f>
        <v/>
      </c>
      <c r="AI444" s="6">
        <f>YEAR(AK444)</f>
        <v/>
      </c>
      <c r="AJ444" s="6">
        <f>MONTH(AK444)</f>
        <v/>
      </c>
      <c r="AK444" s="267">
        <f>IFERROR(__xludf.DUMMYFUNCTION("""COMPUTED_VALUE"""),43536.9986111111)</f>
        <v/>
      </c>
      <c r="AL444" s="6">
        <f>IFERROR(__xludf.DUMMYFUNCTION("""COMPUTED_VALUE"""),3880.146)</f>
        <v/>
      </c>
      <c r="AP444" s="6">
        <f>AQ444&amp;AR444</f>
        <v/>
      </c>
      <c r="AQ444" s="6">
        <f>YEAR(AS444)</f>
        <v/>
      </c>
      <c r="AR444" s="6">
        <f>MONTH(AS444)</f>
        <v/>
      </c>
      <c r="AS444" s="267">
        <f>IFERROR(__xludf.DUMMYFUNCTION("""COMPUTED_VALUE"""),43746.9986111111)</f>
        <v/>
      </c>
      <c r="AT444" s="6">
        <f>IFERROR(__xludf.DUMMYFUNCTION("""COMPUTED_VALUE"""),1503.9)</f>
        <v/>
      </c>
    </row>
    <row r="445">
      <c r="B445" s="6">
        <f>C445&amp;D445</f>
        <v/>
      </c>
      <c r="C445" s="6">
        <f>YEAR(E445)</f>
        <v/>
      </c>
      <c r="D445" s="6">
        <f>MONTH(E445)</f>
        <v/>
      </c>
      <c r="E445" s="267">
        <f>IFERROR(__xludf.DUMMYFUNCTION("""COMPUTED_VALUE"""),43735.6666666666)</f>
        <v/>
      </c>
      <c r="F445" s="6">
        <f>IFERROR(__xludf.DUMMYFUNCTION("""COMPUTED_VALUE"""),2961.79)</f>
        <v/>
      </c>
      <c r="J445" s="6">
        <f>K445&amp;L445</f>
        <v/>
      </c>
      <c r="K445" s="6">
        <f>YEAR(M445)</f>
        <v/>
      </c>
      <c r="L445" s="6">
        <f>MONTH(M445)</f>
        <v/>
      </c>
      <c r="M445" s="267">
        <f>IFERROR(__xludf.DUMMYFUNCTION("""COMPUTED_VALUE"""),43735.6666666666)</f>
        <v/>
      </c>
      <c r="N445" s="6">
        <f>IFERROR(__xludf.DUMMYFUNCTION("""COMPUTED_VALUE"""),7939.63)</f>
        <v/>
      </c>
      <c r="R445" s="6">
        <f>S445&amp;T445</f>
        <v/>
      </c>
      <c r="S445" s="6">
        <f>YEAR(U445)</f>
        <v/>
      </c>
      <c r="T445" s="6">
        <f>MONTH(U445)</f>
        <v/>
      </c>
      <c r="U445" s="267">
        <f>IFERROR(__xludf.DUMMYFUNCTION("""COMPUTED_VALUE"""),43763.6458333333)</f>
        <v/>
      </c>
      <c r="V445" s="6">
        <f>IFERROR(__xludf.DUMMYFUNCTION("""COMPUTED_VALUE"""),2087.89)</f>
        <v/>
      </c>
      <c r="Z445" s="6">
        <f>AA445&amp;AB445</f>
        <v/>
      </c>
      <c r="AA445" s="6">
        <f>YEAR(AC445)</f>
        <v/>
      </c>
      <c r="AB445" s="6">
        <f>MONTH(AC445)</f>
        <v/>
      </c>
      <c r="AC445" s="267">
        <f>IFERROR(__xludf.DUMMYFUNCTION("""COMPUTED_VALUE"""),43563.9986111111)</f>
        <v/>
      </c>
      <c r="AD445" s="6">
        <f>IFERROR(__xludf.DUMMYFUNCTION("""COMPUTED_VALUE"""),1141.11)</f>
        <v/>
      </c>
      <c r="AH445" s="6">
        <f>AI445&amp;AJ445</f>
        <v/>
      </c>
      <c r="AI445" s="6">
        <f>YEAR(AK445)</f>
        <v/>
      </c>
      <c r="AJ445" s="6">
        <f>MONTH(AK445)</f>
        <v/>
      </c>
      <c r="AK445" s="267">
        <f>IFERROR(__xludf.DUMMYFUNCTION("""COMPUTED_VALUE"""),43537.9986111111)</f>
        <v/>
      </c>
      <c r="AL445" s="6">
        <f>IFERROR(__xludf.DUMMYFUNCTION("""COMPUTED_VALUE"""),3857.517)</f>
        <v/>
      </c>
      <c r="AP445" s="6">
        <f>AQ445&amp;AR445</f>
        <v/>
      </c>
      <c r="AQ445" s="6">
        <f>YEAR(AS445)</f>
        <v/>
      </c>
      <c r="AR445" s="6">
        <f>MONTH(AS445)</f>
        <v/>
      </c>
      <c r="AS445" s="267">
        <f>IFERROR(__xludf.DUMMYFUNCTION("""COMPUTED_VALUE"""),43747.9986111111)</f>
        <v/>
      </c>
      <c r="AT445" s="6">
        <f>IFERROR(__xludf.DUMMYFUNCTION("""COMPUTED_VALUE"""),1512.8)</f>
        <v/>
      </c>
    </row>
    <row r="446">
      <c r="B446" s="6">
        <f>C446&amp;D446</f>
        <v/>
      </c>
      <c r="C446" s="6">
        <f>YEAR(E446)</f>
        <v/>
      </c>
      <c r="D446" s="6">
        <f>MONTH(E446)</f>
        <v/>
      </c>
      <c r="E446" s="267">
        <f>IFERROR(__xludf.DUMMYFUNCTION("""COMPUTED_VALUE"""),43738.6666666666)</f>
        <v/>
      </c>
      <c r="F446" s="6">
        <f>IFERROR(__xludf.DUMMYFUNCTION("""COMPUTED_VALUE"""),2976.74)</f>
        <v/>
      </c>
      <c r="J446" s="6">
        <f>K446&amp;L446</f>
        <v/>
      </c>
      <c r="K446" s="6">
        <f>YEAR(M446)</f>
        <v/>
      </c>
      <c r="L446" s="6">
        <f>MONTH(M446)</f>
        <v/>
      </c>
      <c r="M446" s="267">
        <f>IFERROR(__xludf.DUMMYFUNCTION("""COMPUTED_VALUE"""),43738.6666666666)</f>
        <v/>
      </c>
      <c r="N446" s="6">
        <f>IFERROR(__xludf.DUMMYFUNCTION("""COMPUTED_VALUE"""),7999.33)</f>
        <v/>
      </c>
      <c r="R446" s="6">
        <f>S446&amp;T446</f>
        <v/>
      </c>
      <c r="S446" s="6">
        <f>YEAR(U446)</f>
        <v/>
      </c>
      <c r="T446" s="6">
        <f>MONTH(U446)</f>
        <v/>
      </c>
      <c r="U446" s="267">
        <f>IFERROR(__xludf.DUMMYFUNCTION("""COMPUTED_VALUE"""),43766.6458333333)</f>
        <v/>
      </c>
      <c r="V446" s="6">
        <f>IFERROR(__xludf.DUMMYFUNCTION("""COMPUTED_VALUE"""),2093.6)</f>
        <v/>
      </c>
      <c r="Z446" s="6">
        <f>AA446&amp;AB446</f>
        <v/>
      </c>
      <c r="AA446" s="6">
        <f>YEAR(AC446)</f>
        <v/>
      </c>
      <c r="AB446" s="6">
        <f>MONTH(AC446)</f>
        <v/>
      </c>
      <c r="AC446" s="267">
        <f>IFERROR(__xludf.DUMMYFUNCTION("""COMPUTED_VALUE"""),43564.9986111111)</f>
        <v/>
      </c>
      <c r="AD446" s="6">
        <f>IFERROR(__xludf.DUMMYFUNCTION("""COMPUTED_VALUE"""),1140.1)</f>
        <v/>
      </c>
      <c r="AH446" s="6">
        <f>AI446&amp;AJ446</f>
        <v/>
      </c>
      <c r="AI446" s="6">
        <f>YEAR(AK446)</f>
        <v/>
      </c>
      <c r="AJ446" s="6">
        <f>MONTH(AK446)</f>
        <v/>
      </c>
      <c r="AK446" s="267">
        <f>IFERROR(__xludf.DUMMYFUNCTION("""COMPUTED_VALUE"""),43538.9986111111)</f>
        <v/>
      </c>
      <c r="AL446" s="6">
        <f>IFERROR(__xludf.DUMMYFUNCTION("""COMPUTED_VALUE"""),3863.484)</f>
        <v/>
      </c>
      <c r="AP446" s="6">
        <f>AQ446&amp;AR446</f>
        <v/>
      </c>
      <c r="AQ446" s="6">
        <f>YEAR(AS446)</f>
        <v/>
      </c>
      <c r="AR446" s="6">
        <f>MONTH(AS446)</f>
        <v/>
      </c>
      <c r="AS446" s="267">
        <f>IFERROR(__xludf.DUMMYFUNCTION("""COMPUTED_VALUE"""),43748.9986111111)</f>
        <v/>
      </c>
      <c r="AT446" s="6">
        <f>IFERROR(__xludf.DUMMYFUNCTION("""COMPUTED_VALUE"""),1500.9)</f>
        <v/>
      </c>
    </row>
    <row r="447">
      <c r="B447" s="6">
        <f>C447&amp;D447</f>
        <v/>
      </c>
      <c r="C447" s="6">
        <f>YEAR(E447)</f>
        <v/>
      </c>
      <c r="D447" s="6">
        <f>MONTH(E447)</f>
        <v/>
      </c>
      <c r="E447" s="267">
        <f>IFERROR(__xludf.DUMMYFUNCTION("""COMPUTED_VALUE"""),43739.6666666666)</f>
        <v/>
      </c>
      <c r="F447" s="6">
        <f>IFERROR(__xludf.DUMMYFUNCTION("""COMPUTED_VALUE"""),2940.25)</f>
        <v/>
      </c>
      <c r="J447" s="6">
        <f>K447&amp;L447</f>
        <v/>
      </c>
      <c r="K447" s="6">
        <f>YEAR(M447)</f>
        <v/>
      </c>
      <c r="L447" s="6">
        <f>MONTH(M447)</f>
        <v/>
      </c>
      <c r="M447" s="267">
        <f>IFERROR(__xludf.DUMMYFUNCTION("""COMPUTED_VALUE"""),43739.6666666666)</f>
        <v/>
      </c>
      <c r="N447" s="6">
        <f>IFERROR(__xludf.DUMMYFUNCTION("""COMPUTED_VALUE"""),7908.67)</f>
        <v/>
      </c>
      <c r="R447" s="6">
        <f>S447&amp;T447</f>
        <v/>
      </c>
      <c r="S447" s="6">
        <f>YEAR(U447)</f>
        <v/>
      </c>
      <c r="T447" s="6">
        <f>MONTH(U447)</f>
        <v/>
      </c>
      <c r="U447" s="267">
        <f>IFERROR(__xludf.DUMMYFUNCTION("""COMPUTED_VALUE"""),43767.6458333333)</f>
        <v/>
      </c>
      <c r="V447" s="6">
        <f>IFERROR(__xludf.DUMMYFUNCTION("""COMPUTED_VALUE"""),2092.69)</f>
        <v/>
      </c>
      <c r="Z447" s="6">
        <f>AA447&amp;AB447</f>
        <v/>
      </c>
      <c r="AA447" s="6">
        <f>YEAR(AC447)</f>
        <v/>
      </c>
      <c r="AB447" s="6">
        <f>MONTH(AC447)</f>
        <v/>
      </c>
      <c r="AC447" s="267">
        <f>IFERROR(__xludf.DUMMYFUNCTION("""COMPUTED_VALUE"""),43565.9986111111)</f>
        <v/>
      </c>
      <c r="AD447" s="6">
        <f>IFERROR(__xludf.DUMMYFUNCTION("""COMPUTED_VALUE"""),1135.9)</f>
        <v/>
      </c>
      <c r="AH447" s="6">
        <f>AI447&amp;AJ447</f>
        <v/>
      </c>
      <c r="AI447" s="6">
        <f>YEAR(AK447)</f>
        <v/>
      </c>
      <c r="AJ447" s="6">
        <f>MONTH(AK447)</f>
        <v/>
      </c>
      <c r="AK447" s="267">
        <f>IFERROR(__xludf.DUMMYFUNCTION("""COMPUTED_VALUE"""),43539.9986111111)</f>
        <v/>
      </c>
      <c r="AL447" s="6">
        <f>IFERROR(__xludf.DUMMYFUNCTION("""COMPUTED_VALUE"""),3907.974)</f>
        <v/>
      </c>
      <c r="AP447" s="6">
        <f>AQ447&amp;AR447</f>
        <v/>
      </c>
      <c r="AQ447" s="6">
        <f>YEAR(AS447)</f>
        <v/>
      </c>
      <c r="AR447" s="6">
        <f>MONTH(AS447)</f>
        <v/>
      </c>
      <c r="AS447" s="267">
        <f>IFERROR(__xludf.DUMMYFUNCTION("""COMPUTED_VALUE"""),43749.9986111111)</f>
        <v/>
      </c>
      <c r="AT447" s="6">
        <f>IFERROR(__xludf.DUMMYFUNCTION("""COMPUTED_VALUE"""),1488.7)</f>
        <v/>
      </c>
    </row>
    <row r="448">
      <c r="B448" s="6">
        <f>C448&amp;D448</f>
        <v/>
      </c>
      <c r="C448" s="6">
        <f>YEAR(E448)</f>
        <v/>
      </c>
      <c r="D448" s="6">
        <f>MONTH(E448)</f>
        <v/>
      </c>
      <c r="E448" s="267">
        <f>IFERROR(__xludf.DUMMYFUNCTION("""COMPUTED_VALUE"""),43740.6666666666)</f>
        <v/>
      </c>
      <c r="F448" s="6">
        <f>IFERROR(__xludf.DUMMYFUNCTION("""COMPUTED_VALUE"""),2887.61)</f>
        <v/>
      </c>
      <c r="J448" s="6">
        <f>K448&amp;L448</f>
        <v/>
      </c>
      <c r="K448" s="6">
        <f>YEAR(M448)</f>
        <v/>
      </c>
      <c r="L448" s="6">
        <f>MONTH(M448)</f>
        <v/>
      </c>
      <c r="M448" s="267">
        <f>IFERROR(__xludf.DUMMYFUNCTION("""COMPUTED_VALUE"""),43740.6666666666)</f>
        <v/>
      </c>
      <c r="N448" s="6">
        <f>IFERROR(__xludf.DUMMYFUNCTION("""COMPUTED_VALUE"""),7785.23)</f>
        <v/>
      </c>
      <c r="R448" s="6">
        <f>S448&amp;T448</f>
        <v/>
      </c>
      <c r="S448" s="6">
        <f>YEAR(U448)</f>
        <v/>
      </c>
      <c r="T448" s="6">
        <f>MONTH(U448)</f>
        <v/>
      </c>
      <c r="U448" s="267">
        <f>IFERROR(__xludf.DUMMYFUNCTION("""COMPUTED_VALUE"""),43768.6458333333)</f>
        <v/>
      </c>
      <c r="V448" s="6">
        <f>IFERROR(__xludf.DUMMYFUNCTION("""COMPUTED_VALUE"""),2080.27)</f>
        <v/>
      </c>
      <c r="Z448" s="6">
        <f>AA448&amp;AB448</f>
        <v/>
      </c>
      <c r="AA448" s="6">
        <f>YEAR(AC448)</f>
        <v/>
      </c>
      <c r="AB448" s="6">
        <f>MONTH(AC448)</f>
        <v/>
      </c>
      <c r="AC448" s="267">
        <f>IFERROR(__xludf.DUMMYFUNCTION("""COMPUTED_VALUE"""),43566.9986111111)</f>
        <v/>
      </c>
      <c r="AD448" s="6">
        <f>IFERROR(__xludf.DUMMYFUNCTION("""COMPUTED_VALUE"""),1140.99)</f>
        <v/>
      </c>
      <c r="AH448" s="6">
        <f>AI448&amp;AJ448</f>
        <v/>
      </c>
      <c r="AI448" s="6">
        <f>YEAR(AK448)</f>
        <v/>
      </c>
      <c r="AJ448" s="6">
        <f>MONTH(AK448)</f>
        <v/>
      </c>
      <c r="AK448" s="267">
        <f>IFERROR(__xludf.DUMMYFUNCTION("""COMPUTED_VALUE"""),43540.9986111111)</f>
        <v/>
      </c>
      <c r="AL448" s="6">
        <f>IFERROR(__xludf.DUMMYFUNCTION("""COMPUTED_VALUE"""),4011.145)</f>
        <v/>
      </c>
      <c r="AP448" s="6">
        <f>AQ448&amp;AR448</f>
        <v/>
      </c>
      <c r="AQ448" s="6">
        <f>YEAR(AS448)</f>
        <v/>
      </c>
      <c r="AR448" s="6">
        <f>MONTH(AS448)</f>
        <v/>
      </c>
      <c r="AS448" s="267">
        <f>IFERROR(__xludf.DUMMYFUNCTION("""COMPUTED_VALUE"""),43752.9986111111)</f>
        <v/>
      </c>
      <c r="AT448" s="6">
        <f>IFERROR(__xludf.DUMMYFUNCTION("""COMPUTED_VALUE"""),1497.6)</f>
        <v/>
      </c>
    </row>
    <row r="449">
      <c r="B449" s="6">
        <f>C449&amp;D449</f>
        <v/>
      </c>
      <c r="C449" s="6">
        <f>YEAR(E449)</f>
        <v/>
      </c>
      <c r="D449" s="6">
        <f>MONTH(E449)</f>
        <v/>
      </c>
      <c r="E449" s="267">
        <f>IFERROR(__xludf.DUMMYFUNCTION("""COMPUTED_VALUE"""),43741.6666666666)</f>
        <v/>
      </c>
      <c r="F449" s="6">
        <f>IFERROR(__xludf.DUMMYFUNCTION("""COMPUTED_VALUE"""),2910.63)</f>
        <v/>
      </c>
      <c r="J449" s="6">
        <f>K449&amp;L449</f>
        <v/>
      </c>
      <c r="K449" s="6">
        <f>YEAR(M449)</f>
        <v/>
      </c>
      <c r="L449" s="6">
        <f>MONTH(M449)</f>
        <v/>
      </c>
      <c r="M449" s="267">
        <f>IFERROR(__xludf.DUMMYFUNCTION("""COMPUTED_VALUE"""),43741.6666666666)</f>
        <v/>
      </c>
      <c r="N449" s="6">
        <f>IFERROR(__xludf.DUMMYFUNCTION("""COMPUTED_VALUE"""),7872.25)</f>
        <v/>
      </c>
      <c r="R449" s="6">
        <f>S449&amp;T449</f>
        <v/>
      </c>
      <c r="S449" s="6">
        <f>YEAR(U449)</f>
        <v/>
      </c>
      <c r="T449" s="6">
        <f>MONTH(U449)</f>
        <v/>
      </c>
      <c r="U449" s="267">
        <f>IFERROR(__xludf.DUMMYFUNCTION("""COMPUTED_VALUE"""),43769.6458333333)</f>
        <v/>
      </c>
      <c r="V449" s="6">
        <f>IFERROR(__xludf.DUMMYFUNCTION("""COMPUTED_VALUE"""),2083.48)</f>
        <v/>
      </c>
      <c r="Z449" s="6">
        <f>AA449&amp;AB449</f>
        <v/>
      </c>
      <c r="AA449" s="6">
        <f>YEAR(AC449)</f>
        <v/>
      </c>
      <c r="AB449" s="6">
        <f>MONTH(AC449)</f>
        <v/>
      </c>
      <c r="AC449" s="267">
        <f>IFERROR(__xludf.DUMMYFUNCTION("""COMPUTED_VALUE"""),43567.9986111111)</f>
        <v/>
      </c>
      <c r="AD449" s="6">
        <f>IFERROR(__xludf.DUMMYFUNCTION("""COMPUTED_VALUE"""),1134.62)</f>
        <v/>
      </c>
      <c r="AH449" s="6">
        <f>AI449&amp;AJ449</f>
        <v/>
      </c>
      <c r="AI449" s="6">
        <f>YEAR(AK449)</f>
        <v/>
      </c>
      <c r="AJ449" s="6">
        <f>MONTH(AK449)</f>
        <v/>
      </c>
      <c r="AK449" s="267">
        <f>IFERROR(__xludf.DUMMYFUNCTION("""COMPUTED_VALUE"""),43541.9986111111)</f>
        <v/>
      </c>
      <c r="AL449" s="6">
        <f>IFERROR(__xludf.DUMMYFUNCTION("""COMPUTED_VALUE"""),3982.854)</f>
        <v/>
      </c>
      <c r="AP449" s="6">
        <f>AQ449&amp;AR449</f>
        <v/>
      </c>
      <c r="AQ449" s="6">
        <f>YEAR(AS449)</f>
        <v/>
      </c>
      <c r="AR449" s="6">
        <f>MONTH(AS449)</f>
        <v/>
      </c>
      <c r="AS449" s="267">
        <f>IFERROR(__xludf.DUMMYFUNCTION("""COMPUTED_VALUE"""),43753.9986111111)</f>
        <v/>
      </c>
      <c r="AT449" s="6">
        <f>IFERROR(__xludf.DUMMYFUNCTION("""COMPUTED_VALUE"""),1483.5)</f>
        <v/>
      </c>
    </row>
    <row r="450">
      <c r="B450" s="6">
        <f>C450&amp;D450</f>
        <v/>
      </c>
      <c r="C450" s="6">
        <f>YEAR(E450)</f>
        <v/>
      </c>
      <c r="D450" s="6">
        <f>MONTH(E450)</f>
        <v/>
      </c>
      <c r="E450" s="267">
        <f>IFERROR(__xludf.DUMMYFUNCTION("""COMPUTED_VALUE"""),43742.6666666666)</f>
        <v/>
      </c>
      <c r="F450" s="6">
        <f>IFERROR(__xludf.DUMMYFUNCTION("""COMPUTED_VALUE"""),2952.01)</f>
        <v/>
      </c>
      <c r="J450" s="6">
        <f>K450&amp;L450</f>
        <v/>
      </c>
      <c r="K450" s="6">
        <f>YEAR(M450)</f>
        <v/>
      </c>
      <c r="L450" s="6">
        <f>MONTH(M450)</f>
        <v/>
      </c>
      <c r="M450" s="267">
        <f>IFERROR(__xludf.DUMMYFUNCTION("""COMPUTED_VALUE"""),43742.6666666666)</f>
        <v/>
      </c>
      <c r="N450" s="6">
        <f>IFERROR(__xludf.DUMMYFUNCTION("""COMPUTED_VALUE"""),7982.46)</f>
        <v/>
      </c>
      <c r="R450" s="6">
        <f>S450&amp;T450</f>
        <v/>
      </c>
      <c r="S450" s="6">
        <f>YEAR(U450)</f>
        <v/>
      </c>
      <c r="T450" s="6">
        <f>MONTH(U450)</f>
        <v/>
      </c>
      <c r="U450" s="267">
        <f>IFERROR(__xludf.DUMMYFUNCTION("""COMPUTED_VALUE"""),43770.6458333333)</f>
        <v/>
      </c>
      <c r="V450" s="6">
        <f>IFERROR(__xludf.DUMMYFUNCTION("""COMPUTED_VALUE"""),2100.2)</f>
        <v/>
      </c>
      <c r="Z450" s="6">
        <f>AA450&amp;AB450</f>
        <v/>
      </c>
      <c r="AA450" s="6">
        <f>YEAR(AC450)</f>
        <v/>
      </c>
      <c r="AB450" s="6">
        <f>MONTH(AC450)</f>
        <v/>
      </c>
      <c r="AC450" s="267">
        <f>IFERROR(__xludf.DUMMYFUNCTION("""COMPUTED_VALUE"""),43568.9986111111)</f>
        <v/>
      </c>
      <c r="AD450" s="6">
        <f>IFERROR(__xludf.DUMMYFUNCTION("""COMPUTED_VALUE"""),1132.7)</f>
        <v/>
      </c>
      <c r="AH450" s="6">
        <f>AI450&amp;AJ450</f>
        <v/>
      </c>
      <c r="AI450" s="6">
        <f>YEAR(AK450)</f>
        <v/>
      </c>
      <c r="AJ450" s="6">
        <f>MONTH(AK450)</f>
        <v/>
      </c>
      <c r="AK450" s="267">
        <f>IFERROR(__xludf.DUMMYFUNCTION("""COMPUTED_VALUE"""),43542.9986111111)</f>
        <v/>
      </c>
      <c r="AL450" s="6">
        <f>IFERROR(__xludf.DUMMYFUNCTION("""COMPUTED_VALUE"""),3972.293)</f>
        <v/>
      </c>
      <c r="AP450" s="6">
        <f>AQ450&amp;AR450</f>
        <v/>
      </c>
      <c r="AQ450" s="6">
        <f>YEAR(AS450)</f>
        <v/>
      </c>
      <c r="AR450" s="6">
        <f>MONTH(AS450)</f>
        <v/>
      </c>
      <c r="AS450" s="267">
        <f>IFERROR(__xludf.DUMMYFUNCTION("""COMPUTED_VALUE"""),43754.9986111111)</f>
        <v/>
      </c>
      <c r="AT450" s="6">
        <f>IFERROR(__xludf.DUMMYFUNCTION("""COMPUTED_VALUE"""),1494)</f>
        <v/>
      </c>
    </row>
    <row r="451">
      <c r="B451" s="6">
        <f>C451&amp;D451</f>
        <v/>
      </c>
      <c r="C451" s="6">
        <f>YEAR(E451)</f>
        <v/>
      </c>
      <c r="D451" s="6">
        <f>MONTH(E451)</f>
        <v/>
      </c>
      <c r="E451" s="267">
        <f>IFERROR(__xludf.DUMMYFUNCTION("""COMPUTED_VALUE"""),43745.6666666666)</f>
        <v/>
      </c>
      <c r="F451" s="6">
        <f>IFERROR(__xludf.DUMMYFUNCTION("""COMPUTED_VALUE"""),2938.79)</f>
        <v/>
      </c>
      <c r="J451" s="6">
        <f>K451&amp;L451</f>
        <v/>
      </c>
      <c r="K451" s="6">
        <f>YEAR(M451)</f>
        <v/>
      </c>
      <c r="L451" s="6">
        <f>MONTH(M451)</f>
        <v/>
      </c>
      <c r="M451" s="267">
        <f>IFERROR(__xludf.DUMMYFUNCTION("""COMPUTED_VALUE"""),43745.6666666666)</f>
        <v/>
      </c>
      <c r="N451" s="6">
        <f>IFERROR(__xludf.DUMMYFUNCTION("""COMPUTED_VALUE"""),7956.28)</f>
        <v/>
      </c>
      <c r="R451" s="6">
        <f>S451&amp;T451</f>
        <v/>
      </c>
      <c r="S451" s="6">
        <f>YEAR(U451)</f>
        <v/>
      </c>
      <c r="T451" s="6">
        <f>MONTH(U451)</f>
        <v/>
      </c>
      <c r="U451" s="267">
        <f>IFERROR(__xludf.DUMMYFUNCTION("""COMPUTED_VALUE"""),43773.6458333333)</f>
        <v/>
      </c>
      <c r="V451" s="6">
        <f>IFERROR(__xludf.DUMMYFUNCTION("""COMPUTED_VALUE"""),2130.24)</f>
        <v/>
      </c>
      <c r="Z451" s="6">
        <f>AA451&amp;AB451</f>
        <v/>
      </c>
      <c r="AA451" s="6">
        <f>YEAR(AC451)</f>
        <v/>
      </c>
      <c r="AB451" s="6">
        <f>MONTH(AC451)</f>
        <v/>
      </c>
      <c r="AC451" s="267">
        <f>IFERROR(__xludf.DUMMYFUNCTION("""COMPUTED_VALUE"""),43569.9986111111)</f>
        <v/>
      </c>
      <c r="AD451" s="6">
        <f>IFERROR(__xludf.DUMMYFUNCTION("""COMPUTED_VALUE"""),1133.43)</f>
        <v/>
      </c>
      <c r="AH451" s="6">
        <f>AI451&amp;AJ451</f>
        <v/>
      </c>
      <c r="AI451" s="6">
        <f>YEAR(AK451)</f>
        <v/>
      </c>
      <c r="AJ451" s="6">
        <f>MONTH(AK451)</f>
        <v/>
      </c>
      <c r="AK451" s="267">
        <f>IFERROR(__xludf.DUMMYFUNCTION("""COMPUTED_VALUE"""),43543.9986111111)</f>
        <v/>
      </c>
      <c r="AL451" s="6">
        <f>IFERROR(__xludf.DUMMYFUNCTION("""COMPUTED_VALUE"""),4013.002)</f>
        <v/>
      </c>
      <c r="AP451" s="6">
        <f>AQ451&amp;AR451</f>
        <v/>
      </c>
      <c r="AQ451" s="6">
        <f>YEAR(AS451)</f>
        <v/>
      </c>
      <c r="AR451" s="6">
        <f>MONTH(AS451)</f>
        <v/>
      </c>
      <c r="AS451" s="267">
        <f>IFERROR(__xludf.DUMMYFUNCTION("""COMPUTED_VALUE"""),43755.9986111111)</f>
        <v/>
      </c>
      <c r="AT451" s="6">
        <f>IFERROR(__xludf.DUMMYFUNCTION("""COMPUTED_VALUE"""),1498.3)</f>
        <v/>
      </c>
    </row>
    <row r="452">
      <c r="B452" s="6">
        <f>C452&amp;D452</f>
        <v/>
      </c>
      <c r="C452" s="6">
        <f>YEAR(E452)</f>
        <v/>
      </c>
      <c r="D452" s="6">
        <f>MONTH(E452)</f>
        <v/>
      </c>
      <c r="E452" s="267">
        <f>IFERROR(__xludf.DUMMYFUNCTION("""COMPUTED_VALUE"""),43746.6666666666)</f>
        <v/>
      </c>
      <c r="F452" s="6">
        <f>IFERROR(__xludf.DUMMYFUNCTION("""COMPUTED_VALUE"""),2893.06)</f>
        <v/>
      </c>
      <c r="J452" s="6">
        <f>K452&amp;L452</f>
        <v/>
      </c>
      <c r="K452" s="6">
        <f>YEAR(M452)</f>
        <v/>
      </c>
      <c r="L452" s="6">
        <f>MONTH(M452)</f>
        <v/>
      </c>
      <c r="M452" s="267">
        <f>IFERROR(__xludf.DUMMYFUNCTION("""COMPUTED_VALUE"""),43746.6666666666)</f>
        <v/>
      </c>
      <c r="N452" s="6">
        <f>IFERROR(__xludf.DUMMYFUNCTION("""COMPUTED_VALUE"""),7823.76)</f>
        <v/>
      </c>
      <c r="R452" s="6">
        <f>S452&amp;T452</f>
        <v/>
      </c>
      <c r="S452" s="6">
        <f>YEAR(U452)</f>
        <v/>
      </c>
      <c r="T452" s="6">
        <f>MONTH(U452)</f>
        <v/>
      </c>
      <c r="U452" s="267">
        <f>IFERROR(__xludf.DUMMYFUNCTION("""COMPUTED_VALUE"""),43774.6458333333)</f>
        <v/>
      </c>
      <c r="V452" s="6">
        <f>IFERROR(__xludf.DUMMYFUNCTION("""COMPUTED_VALUE"""),2142.64)</f>
        <v/>
      </c>
      <c r="Z452" s="6">
        <f>AA452&amp;AB452</f>
        <v/>
      </c>
      <c r="AA452" s="6">
        <f>YEAR(AC452)</f>
        <v/>
      </c>
      <c r="AB452" s="6">
        <f>MONTH(AC452)</f>
        <v/>
      </c>
      <c r="AC452" s="267">
        <f>IFERROR(__xludf.DUMMYFUNCTION("""COMPUTED_VALUE"""),43570.9986111111)</f>
        <v/>
      </c>
      <c r="AD452" s="6">
        <f>IFERROR(__xludf.DUMMYFUNCTION("""COMPUTED_VALUE"""),1133.2)</f>
        <v/>
      </c>
      <c r="AH452" s="6">
        <f>AI452&amp;AJ452</f>
        <v/>
      </c>
      <c r="AI452" s="6">
        <f>YEAR(AK452)</f>
        <v/>
      </c>
      <c r="AJ452" s="6">
        <f>MONTH(AK452)</f>
        <v/>
      </c>
      <c r="AK452" s="267">
        <f>IFERROR(__xludf.DUMMYFUNCTION("""COMPUTED_VALUE"""),43544.9986111111)</f>
        <v/>
      </c>
      <c r="AL452" s="6">
        <f>IFERROR(__xludf.DUMMYFUNCTION("""COMPUTED_VALUE"""),4045.087)</f>
        <v/>
      </c>
      <c r="AP452" s="6">
        <f>AQ452&amp;AR452</f>
        <v/>
      </c>
      <c r="AQ452" s="6">
        <f>YEAR(AS452)</f>
        <v/>
      </c>
      <c r="AR452" s="6">
        <f>MONTH(AS452)</f>
        <v/>
      </c>
      <c r="AS452" s="267">
        <f>IFERROR(__xludf.DUMMYFUNCTION("""COMPUTED_VALUE"""),43756.9986111111)</f>
        <v/>
      </c>
      <c r="AT452" s="6">
        <f>IFERROR(__xludf.DUMMYFUNCTION("""COMPUTED_VALUE"""),1494.1)</f>
        <v/>
      </c>
    </row>
    <row r="453">
      <c r="B453" s="6">
        <f>C453&amp;D453</f>
        <v/>
      </c>
      <c r="C453" s="6">
        <f>YEAR(E453)</f>
        <v/>
      </c>
      <c r="D453" s="6">
        <f>MONTH(E453)</f>
        <v/>
      </c>
      <c r="E453" s="267">
        <f>IFERROR(__xludf.DUMMYFUNCTION("""COMPUTED_VALUE"""),43747.6666666666)</f>
        <v/>
      </c>
      <c r="F453" s="6">
        <f>IFERROR(__xludf.DUMMYFUNCTION("""COMPUTED_VALUE"""),2919.4)</f>
        <v/>
      </c>
      <c r="J453" s="6">
        <f>K453&amp;L453</f>
        <v/>
      </c>
      <c r="K453" s="6">
        <f>YEAR(M453)</f>
        <v/>
      </c>
      <c r="L453" s="6">
        <f>MONTH(M453)</f>
        <v/>
      </c>
      <c r="M453" s="267">
        <f>IFERROR(__xludf.DUMMYFUNCTION("""COMPUTED_VALUE"""),43747.6666666666)</f>
        <v/>
      </c>
      <c r="N453" s="6">
        <f>IFERROR(__xludf.DUMMYFUNCTION("""COMPUTED_VALUE"""),7903.73)</f>
        <v/>
      </c>
      <c r="R453" s="6">
        <f>S453&amp;T453</f>
        <v/>
      </c>
      <c r="S453" s="6">
        <f>YEAR(U453)</f>
        <v/>
      </c>
      <c r="T453" s="6">
        <f>MONTH(U453)</f>
        <v/>
      </c>
      <c r="U453" s="267">
        <f>IFERROR(__xludf.DUMMYFUNCTION("""COMPUTED_VALUE"""),43775.6458333333)</f>
        <v/>
      </c>
      <c r="V453" s="6">
        <f>IFERROR(__xludf.DUMMYFUNCTION("""COMPUTED_VALUE"""),2144.15)</f>
        <v/>
      </c>
      <c r="Z453" s="6">
        <f>AA453&amp;AB453</f>
        <v/>
      </c>
      <c r="AA453" s="6">
        <f>YEAR(AC453)</f>
        <v/>
      </c>
      <c r="AB453" s="6">
        <f>MONTH(AC453)</f>
        <v/>
      </c>
      <c r="AC453" s="267">
        <f>IFERROR(__xludf.DUMMYFUNCTION("""COMPUTED_VALUE"""),43571.9986111111)</f>
        <v/>
      </c>
      <c r="AD453" s="6">
        <f>IFERROR(__xludf.DUMMYFUNCTION("""COMPUTED_VALUE"""),1135.7)</f>
        <v/>
      </c>
      <c r="AH453" s="6">
        <f>AI453&amp;AJ453</f>
        <v/>
      </c>
      <c r="AI453" s="6">
        <f>YEAR(AK453)</f>
        <v/>
      </c>
      <c r="AJ453" s="6">
        <f>MONTH(AK453)</f>
        <v/>
      </c>
      <c r="AK453" s="267">
        <f>IFERROR(__xludf.DUMMYFUNCTION("""COMPUTED_VALUE"""),43545.9986111111)</f>
        <v/>
      </c>
      <c r="AL453" s="6">
        <f>IFERROR(__xludf.DUMMYFUNCTION("""COMPUTED_VALUE"""),3979.77)</f>
        <v/>
      </c>
      <c r="AP453" s="6">
        <f>AQ453&amp;AR453</f>
        <v/>
      </c>
      <c r="AQ453" s="6">
        <f>YEAR(AS453)</f>
        <v/>
      </c>
      <c r="AR453" s="6">
        <f>MONTH(AS453)</f>
        <v/>
      </c>
      <c r="AS453" s="267">
        <f>IFERROR(__xludf.DUMMYFUNCTION("""COMPUTED_VALUE"""),43759.9986111111)</f>
        <v/>
      </c>
      <c r="AT453" s="6">
        <f>IFERROR(__xludf.DUMMYFUNCTION("""COMPUTED_VALUE"""),1488.1)</f>
        <v/>
      </c>
    </row>
    <row r="454">
      <c r="B454" s="6">
        <f>C454&amp;D454</f>
        <v/>
      </c>
      <c r="C454" s="6">
        <f>YEAR(E454)</f>
        <v/>
      </c>
      <c r="D454" s="6">
        <f>MONTH(E454)</f>
        <v/>
      </c>
      <c r="E454" s="267">
        <f>IFERROR(__xludf.DUMMYFUNCTION("""COMPUTED_VALUE"""),43748.6666666666)</f>
        <v/>
      </c>
      <c r="F454" s="6">
        <f>IFERROR(__xludf.DUMMYFUNCTION("""COMPUTED_VALUE"""),2938.13)</f>
        <v/>
      </c>
      <c r="J454" s="6">
        <f>K454&amp;L454</f>
        <v/>
      </c>
      <c r="K454" s="6">
        <f>YEAR(M454)</f>
        <v/>
      </c>
      <c r="L454" s="6">
        <f>MONTH(M454)</f>
        <v/>
      </c>
      <c r="M454" s="267">
        <f>IFERROR(__xludf.DUMMYFUNCTION("""COMPUTED_VALUE"""),43748.6666666666)</f>
        <v/>
      </c>
      <c r="N454" s="6">
        <f>IFERROR(__xludf.DUMMYFUNCTION("""COMPUTED_VALUE"""),7950.77)</f>
        <v/>
      </c>
      <c r="R454" s="6">
        <f>S454&amp;T454</f>
        <v/>
      </c>
      <c r="S454" s="6">
        <f>YEAR(U454)</f>
        <v/>
      </c>
      <c r="T454" s="6">
        <f>MONTH(U454)</f>
        <v/>
      </c>
      <c r="U454" s="267">
        <f>IFERROR(__xludf.DUMMYFUNCTION("""COMPUTED_VALUE"""),43776.6458333333)</f>
        <v/>
      </c>
      <c r="V454" s="6">
        <f>IFERROR(__xludf.DUMMYFUNCTION("""COMPUTED_VALUE"""),2144.29)</f>
        <v/>
      </c>
      <c r="Z454" s="6">
        <f>AA454&amp;AB454</f>
        <v/>
      </c>
      <c r="AA454" s="6">
        <f>YEAR(AC454)</f>
        <v/>
      </c>
      <c r="AB454" s="6">
        <f>MONTH(AC454)</f>
        <v/>
      </c>
      <c r="AC454" s="267">
        <f>IFERROR(__xludf.DUMMYFUNCTION("""COMPUTED_VALUE"""),43572.9986111111)</f>
        <v/>
      </c>
      <c r="AD454" s="6">
        <f>IFERROR(__xludf.DUMMYFUNCTION("""COMPUTED_VALUE"""),1130.2)</f>
        <v/>
      </c>
      <c r="AH454" s="6">
        <f>AI454&amp;AJ454</f>
        <v/>
      </c>
      <c r="AI454" s="6">
        <f>YEAR(AK454)</f>
        <v/>
      </c>
      <c r="AJ454" s="6">
        <f>MONTH(AK454)</f>
        <v/>
      </c>
      <c r="AK454" s="267">
        <f>IFERROR(__xludf.DUMMYFUNCTION("""COMPUTED_VALUE"""),43546.9986111111)</f>
        <v/>
      </c>
      <c r="AL454" s="6">
        <f>IFERROR(__xludf.DUMMYFUNCTION("""COMPUTED_VALUE"""),3990.55)</f>
        <v/>
      </c>
      <c r="AP454" s="6">
        <f>AQ454&amp;AR454</f>
        <v/>
      </c>
      <c r="AQ454" s="6">
        <f>YEAR(AS454)</f>
        <v/>
      </c>
      <c r="AR454" s="6">
        <f>MONTH(AS454)</f>
        <v/>
      </c>
      <c r="AS454" s="267">
        <f>IFERROR(__xludf.DUMMYFUNCTION("""COMPUTED_VALUE"""),43760.9986111111)</f>
        <v/>
      </c>
      <c r="AT454" s="6">
        <f>IFERROR(__xludf.DUMMYFUNCTION("""COMPUTED_VALUE"""),1487.5)</f>
        <v/>
      </c>
    </row>
    <row r="455">
      <c r="B455" s="6">
        <f>C455&amp;D455</f>
        <v/>
      </c>
      <c r="C455" s="6">
        <f>YEAR(E455)</f>
        <v/>
      </c>
      <c r="D455" s="6">
        <f>MONTH(E455)</f>
        <v/>
      </c>
      <c r="E455" s="267">
        <f>IFERROR(__xludf.DUMMYFUNCTION("""COMPUTED_VALUE"""),43749.6666666666)</f>
        <v/>
      </c>
      <c r="F455" s="6">
        <f>IFERROR(__xludf.DUMMYFUNCTION("""COMPUTED_VALUE"""),2970.27)</f>
        <v/>
      </c>
      <c r="J455" s="6">
        <f>K455&amp;L455</f>
        <v/>
      </c>
      <c r="K455" s="6">
        <f>YEAR(M455)</f>
        <v/>
      </c>
      <c r="L455" s="6">
        <f>MONTH(M455)</f>
        <v/>
      </c>
      <c r="M455" s="267">
        <f>IFERROR(__xludf.DUMMYFUNCTION("""COMPUTED_VALUE"""),43749.6666666666)</f>
        <v/>
      </c>
      <c r="N455" s="6">
        <f>IFERROR(__xludf.DUMMYFUNCTION("""COMPUTED_VALUE"""),8057.04)</f>
        <v/>
      </c>
      <c r="R455" s="6">
        <f>S455&amp;T455</f>
        <v/>
      </c>
      <c r="S455" s="6">
        <f>YEAR(U455)</f>
        <v/>
      </c>
      <c r="T455" s="6">
        <f>MONTH(U455)</f>
        <v/>
      </c>
      <c r="U455" s="267">
        <f>IFERROR(__xludf.DUMMYFUNCTION("""COMPUTED_VALUE"""),43777.6458333333)</f>
        <v/>
      </c>
      <c r="V455" s="6">
        <f>IFERROR(__xludf.DUMMYFUNCTION("""COMPUTED_VALUE"""),2137.23)</f>
        <v/>
      </c>
      <c r="Z455" s="6">
        <f>AA455&amp;AB455</f>
        <v/>
      </c>
      <c r="AA455" s="6">
        <f>YEAR(AC455)</f>
        <v/>
      </c>
      <c r="AB455" s="6">
        <f>MONTH(AC455)</f>
        <v/>
      </c>
      <c r="AC455" s="267">
        <f>IFERROR(__xludf.DUMMYFUNCTION("""COMPUTED_VALUE"""),43573.9986111111)</f>
        <v/>
      </c>
      <c r="AD455" s="6">
        <f>IFERROR(__xludf.DUMMYFUNCTION("""COMPUTED_VALUE"""),1136.11)</f>
        <v/>
      </c>
      <c r="AH455" s="6">
        <f>AI455&amp;AJ455</f>
        <v/>
      </c>
      <c r="AI455" s="6">
        <f>YEAR(AK455)</f>
        <v/>
      </c>
      <c r="AJ455" s="6">
        <f>MONTH(AK455)</f>
        <v/>
      </c>
      <c r="AK455" s="267">
        <f>IFERROR(__xludf.DUMMYFUNCTION("""COMPUTED_VALUE"""),43547.9986111111)</f>
        <v/>
      </c>
      <c r="AL455" s="6">
        <f>IFERROR(__xludf.DUMMYFUNCTION("""COMPUTED_VALUE"""),4003.255)</f>
        <v/>
      </c>
      <c r="AP455" s="6">
        <f>AQ455&amp;AR455</f>
        <v/>
      </c>
      <c r="AQ455" s="6">
        <f>YEAR(AS455)</f>
        <v/>
      </c>
      <c r="AR455" s="6">
        <f>MONTH(AS455)</f>
        <v/>
      </c>
      <c r="AS455" s="267">
        <f>IFERROR(__xludf.DUMMYFUNCTION("""COMPUTED_VALUE"""),43761.9986111111)</f>
        <v/>
      </c>
      <c r="AT455" s="6">
        <f>IFERROR(__xludf.DUMMYFUNCTION("""COMPUTED_VALUE"""),1495.7)</f>
        <v/>
      </c>
    </row>
    <row r="456">
      <c r="B456" s="6">
        <f>C456&amp;D456</f>
        <v/>
      </c>
      <c r="C456" s="6">
        <f>YEAR(E456)</f>
        <v/>
      </c>
      <c r="D456" s="6">
        <f>MONTH(E456)</f>
        <v/>
      </c>
      <c r="E456" s="267">
        <f>IFERROR(__xludf.DUMMYFUNCTION("""COMPUTED_VALUE"""),43752.6666666666)</f>
        <v/>
      </c>
      <c r="F456" s="6">
        <f>IFERROR(__xludf.DUMMYFUNCTION("""COMPUTED_VALUE"""),2966.15)</f>
        <v/>
      </c>
      <c r="J456" s="6">
        <f>K456&amp;L456</f>
        <v/>
      </c>
      <c r="K456" s="6">
        <f>YEAR(M456)</f>
        <v/>
      </c>
      <c r="L456" s="6">
        <f>MONTH(M456)</f>
        <v/>
      </c>
      <c r="M456" s="267">
        <f>IFERROR(__xludf.DUMMYFUNCTION("""COMPUTED_VALUE"""),43752.6666666666)</f>
        <v/>
      </c>
      <c r="N456" s="6">
        <f>IFERROR(__xludf.DUMMYFUNCTION("""COMPUTED_VALUE"""),8048.65)</f>
        <v/>
      </c>
      <c r="R456" s="6">
        <f>S456&amp;T456</f>
        <v/>
      </c>
      <c r="S456" s="6">
        <f>YEAR(U456)</f>
        <v/>
      </c>
      <c r="T456" s="6">
        <f>MONTH(U456)</f>
        <v/>
      </c>
      <c r="U456" s="267">
        <f>IFERROR(__xludf.DUMMYFUNCTION("""COMPUTED_VALUE"""),43780.6458333333)</f>
        <v/>
      </c>
      <c r="V456" s="6">
        <f>IFERROR(__xludf.DUMMYFUNCTION("""COMPUTED_VALUE"""),2124.09)</f>
        <v/>
      </c>
      <c r="Z456" s="6">
        <f>AA456&amp;AB456</f>
        <v/>
      </c>
      <c r="AA456" s="6">
        <f>YEAR(AC456)</f>
        <v/>
      </c>
      <c r="AB456" s="6">
        <f>MONTH(AC456)</f>
        <v/>
      </c>
      <c r="AC456" s="267">
        <f>IFERROR(__xludf.DUMMYFUNCTION("""COMPUTED_VALUE"""),43574.9986111111)</f>
        <v/>
      </c>
      <c r="AD456" s="6">
        <f>IFERROR(__xludf.DUMMYFUNCTION("""COMPUTED_VALUE"""),1136.09)</f>
        <v/>
      </c>
      <c r="AH456" s="6">
        <f>AI456&amp;AJ456</f>
        <v/>
      </c>
      <c r="AI456" s="6">
        <f>YEAR(AK456)</f>
        <v/>
      </c>
      <c r="AJ456" s="6">
        <f>MONTH(AK456)</f>
        <v/>
      </c>
      <c r="AK456" s="267">
        <f>IFERROR(__xludf.DUMMYFUNCTION("""COMPUTED_VALUE"""),43548.9986111111)</f>
        <v/>
      </c>
      <c r="AL456" s="6">
        <f>IFERROR(__xludf.DUMMYFUNCTION("""COMPUTED_VALUE"""),3986.74)</f>
        <v/>
      </c>
      <c r="AP456" s="6">
        <f>AQ456&amp;AR456</f>
        <v/>
      </c>
      <c r="AQ456" s="6">
        <f>YEAR(AS456)</f>
        <v/>
      </c>
      <c r="AR456" s="6">
        <f>MONTH(AS456)</f>
        <v/>
      </c>
      <c r="AS456" s="267">
        <f>IFERROR(__xludf.DUMMYFUNCTION("""COMPUTED_VALUE"""),43762.9986111111)</f>
        <v/>
      </c>
      <c r="AT456" s="6">
        <f>IFERROR(__xludf.DUMMYFUNCTION("""COMPUTED_VALUE"""),1504.7)</f>
        <v/>
      </c>
    </row>
    <row r="457">
      <c r="B457" s="6">
        <f>C457&amp;D457</f>
        <v/>
      </c>
      <c r="C457" s="6">
        <f>YEAR(E457)</f>
        <v/>
      </c>
      <c r="D457" s="6">
        <f>MONTH(E457)</f>
        <v/>
      </c>
      <c r="E457" s="267">
        <f>IFERROR(__xludf.DUMMYFUNCTION("""COMPUTED_VALUE"""),43753.6666666666)</f>
        <v/>
      </c>
      <c r="F457" s="6">
        <f>IFERROR(__xludf.DUMMYFUNCTION("""COMPUTED_VALUE"""),2995.68)</f>
        <v/>
      </c>
      <c r="J457" s="6">
        <f>K457&amp;L457</f>
        <v/>
      </c>
      <c r="K457" s="6">
        <f>YEAR(M457)</f>
        <v/>
      </c>
      <c r="L457" s="6">
        <f>MONTH(M457)</f>
        <v/>
      </c>
      <c r="M457" s="267">
        <f>IFERROR(__xludf.DUMMYFUNCTION("""COMPUTED_VALUE"""),43753.6666666666)</f>
        <v/>
      </c>
      <c r="N457" s="6">
        <f>IFERROR(__xludf.DUMMYFUNCTION("""COMPUTED_VALUE"""),8148.71)</f>
        <v/>
      </c>
      <c r="R457" s="6">
        <f>S457&amp;T457</f>
        <v/>
      </c>
      <c r="S457" s="6">
        <f>YEAR(U457)</f>
        <v/>
      </c>
      <c r="T457" s="6">
        <f>MONTH(U457)</f>
        <v/>
      </c>
      <c r="U457" s="267">
        <f>IFERROR(__xludf.DUMMYFUNCTION("""COMPUTED_VALUE"""),43781.6458333333)</f>
        <v/>
      </c>
      <c r="V457" s="6">
        <f>IFERROR(__xludf.DUMMYFUNCTION("""COMPUTED_VALUE"""),2140.92)</f>
        <v/>
      </c>
      <c r="Z457" s="6">
        <f>AA457&amp;AB457</f>
        <v/>
      </c>
      <c r="AA457" s="6">
        <f>YEAR(AC457)</f>
        <v/>
      </c>
      <c r="AB457" s="6">
        <f>MONTH(AC457)</f>
        <v/>
      </c>
      <c r="AC457" s="267">
        <f>IFERROR(__xludf.DUMMYFUNCTION("""COMPUTED_VALUE"""),43576.9986111111)</f>
        <v/>
      </c>
      <c r="AD457" s="6">
        <f>IFERROR(__xludf.DUMMYFUNCTION("""COMPUTED_VALUE"""),1134.5)</f>
        <v/>
      </c>
      <c r="AH457" s="6">
        <f>AI457&amp;AJ457</f>
        <v/>
      </c>
      <c r="AI457" s="6">
        <f>YEAR(AK457)</f>
        <v/>
      </c>
      <c r="AJ457" s="6">
        <f>MONTH(AK457)</f>
        <v/>
      </c>
      <c r="AK457" s="267">
        <f>IFERROR(__xludf.DUMMYFUNCTION("""COMPUTED_VALUE"""),43549.9986111111)</f>
        <v/>
      </c>
      <c r="AL457" s="6">
        <f>IFERROR(__xludf.DUMMYFUNCTION("""COMPUTED_VALUE"""),3917.902)</f>
        <v/>
      </c>
      <c r="AP457" s="6">
        <f>AQ457&amp;AR457</f>
        <v/>
      </c>
      <c r="AQ457" s="6">
        <f>YEAR(AS457)</f>
        <v/>
      </c>
      <c r="AR457" s="6">
        <f>MONTH(AS457)</f>
        <v/>
      </c>
      <c r="AS457" s="267">
        <f>IFERROR(__xludf.DUMMYFUNCTION("""COMPUTED_VALUE"""),43763.9986111111)</f>
        <v/>
      </c>
      <c r="AT457" s="6">
        <f>IFERROR(__xludf.DUMMYFUNCTION("""COMPUTED_VALUE"""),1505.3)</f>
        <v/>
      </c>
    </row>
    <row r="458">
      <c r="B458" s="6">
        <f>C458&amp;D458</f>
        <v/>
      </c>
      <c r="C458" s="6">
        <f>YEAR(E458)</f>
        <v/>
      </c>
      <c r="D458" s="6">
        <f>MONTH(E458)</f>
        <v/>
      </c>
      <c r="E458" s="267">
        <f>IFERROR(__xludf.DUMMYFUNCTION("""COMPUTED_VALUE"""),43754.6666666666)</f>
        <v/>
      </c>
      <c r="F458" s="6">
        <f>IFERROR(__xludf.DUMMYFUNCTION("""COMPUTED_VALUE"""),2989.69)</f>
        <v/>
      </c>
      <c r="J458" s="6">
        <f>K458&amp;L458</f>
        <v/>
      </c>
      <c r="K458" s="6">
        <f>YEAR(M458)</f>
        <v/>
      </c>
      <c r="L458" s="6">
        <f>MONTH(M458)</f>
        <v/>
      </c>
      <c r="M458" s="267">
        <f>IFERROR(__xludf.DUMMYFUNCTION("""COMPUTED_VALUE"""),43754.6666666666)</f>
        <v/>
      </c>
      <c r="N458" s="6">
        <f>IFERROR(__xludf.DUMMYFUNCTION("""COMPUTED_VALUE"""),8124.18)</f>
        <v/>
      </c>
      <c r="R458" s="6">
        <f>S458&amp;T458</f>
        <v/>
      </c>
      <c r="S458" s="6">
        <f>YEAR(U458)</f>
        <v/>
      </c>
      <c r="T458" s="6">
        <f>MONTH(U458)</f>
        <v/>
      </c>
      <c r="U458" s="267">
        <f>IFERROR(__xludf.DUMMYFUNCTION("""COMPUTED_VALUE"""),43782.6458333333)</f>
        <v/>
      </c>
      <c r="V458" s="6">
        <f>IFERROR(__xludf.DUMMYFUNCTION("""COMPUTED_VALUE"""),2122.45)</f>
        <v/>
      </c>
      <c r="Z458" s="6">
        <f>AA458&amp;AB458</f>
        <v/>
      </c>
      <c r="AA458" s="6">
        <f>YEAR(AC458)</f>
        <v/>
      </c>
      <c r="AB458" s="6">
        <f>MONTH(AC458)</f>
        <v/>
      </c>
      <c r="AC458" s="267">
        <f>IFERROR(__xludf.DUMMYFUNCTION("""COMPUTED_VALUE"""),43577.9986111111)</f>
        <v/>
      </c>
      <c r="AD458" s="6">
        <f>IFERROR(__xludf.DUMMYFUNCTION("""COMPUTED_VALUE"""),1140.04)</f>
        <v/>
      </c>
      <c r="AH458" s="6">
        <f>AI458&amp;AJ458</f>
        <v/>
      </c>
      <c r="AI458" s="6">
        <f>YEAR(AK458)</f>
        <v/>
      </c>
      <c r="AJ458" s="6">
        <f>MONTH(AK458)</f>
        <v/>
      </c>
      <c r="AK458" s="267">
        <f>IFERROR(__xludf.DUMMYFUNCTION("""COMPUTED_VALUE"""),43550.9986111111)</f>
        <v/>
      </c>
      <c r="AL458" s="6">
        <f>IFERROR(__xludf.DUMMYFUNCTION("""COMPUTED_VALUE"""),3934.936)</f>
        <v/>
      </c>
      <c r="AP458" s="6">
        <f>AQ458&amp;AR458</f>
        <v/>
      </c>
      <c r="AQ458" s="6">
        <f>YEAR(AS458)</f>
        <v/>
      </c>
      <c r="AR458" s="6">
        <f>MONTH(AS458)</f>
        <v/>
      </c>
      <c r="AS458" s="267">
        <f>IFERROR(__xludf.DUMMYFUNCTION("""COMPUTED_VALUE"""),43766.9986111111)</f>
        <v/>
      </c>
      <c r="AT458" s="6">
        <f>IFERROR(__xludf.DUMMYFUNCTION("""COMPUTED_VALUE"""),1495.8)</f>
        <v/>
      </c>
    </row>
    <row r="459">
      <c r="B459" s="6">
        <f>C459&amp;D459</f>
        <v/>
      </c>
      <c r="C459" s="6">
        <f>YEAR(E459)</f>
        <v/>
      </c>
      <c r="D459" s="6">
        <f>MONTH(E459)</f>
        <v/>
      </c>
      <c r="E459" s="267">
        <f>IFERROR(__xludf.DUMMYFUNCTION("""COMPUTED_VALUE"""),43755.6666666666)</f>
        <v/>
      </c>
      <c r="F459" s="6">
        <f>IFERROR(__xludf.DUMMYFUNCTION("""COMPUTED_VALUE"""),2997.95)</f>
        <v/>
      </c>
      <c r="J459" s="6">
        <f>K459&amp;L459</f>
        <v/>
      </c>
      <c r="K459" s="6">
        <f>YEAR(M459)</f>
        <v/>
      </c>
      <c r="L459" s="6">
        <f>MONTH(M459)</f>
        <v/>
      </c>
      <c r="M459" s="267">
        <f>IFERROR(__xludf.DUMMYFUNCTION("""COMPUTED_VALUE"""),43755.6666666666)</f>
        <v/>
      </c>
      <c r="N459" s="6">
        <f>IFERROR(__xludf.DUMMYFUNCTION("""COMPUTED_VALUE"""),8156.85)</f>
        <v/>
      </c>
      <c r="R459" s="6">
        <f>S459&amp;T459</f>
        <v/>
      </c>
      <c r="S459" s="6">
        <f>YEAR(U459)</f>
        <v/>
      </c>
      <c r="T459" s="6">
        <f>MONTH(U459)</f>
        <v/>
      </c>
      <c r="U459" s="267">
        <f>IFERROR(__xludf.DUMMYFUNCTION("""COMPUTED_VALUE"""),43783.6875)</f>
        <v/>
      </c>
      <c r="V459" s="6">
        <f>IFERROR(__xludf.DUMMYFUNCTION("""COMPUTED_VALUE"""),2139.23)</f>
        <v/>
      </c>
      <c r="Z459" s="6">
        <f>AA459&amp;AB459</f>
        <v/>
      </c>
      <c r="AA459" s="6">
        <f>YEAR(AC459)</f>
        <v/>
      </c>
      <c r="AB459" s="6">
        <f>MONTH(AC459)</f>
        <v/>
      </c>
      <c r="AC459" s="267">
        <f>IFERROR(__xludf.DUMMYFUNCTION("""COMPUTED_VALUE"""),43578.9986111111)</f>
        <v/>
      </c>
      <c r="AD459" s="6">
        <f>IFERROR(__xludf.DUMMYFUNCTION("""COMPUTED_VALUE"""),1142)</f>
        <v/>
      </c>
      <c r="AH459" s="6">
        <f>AI459&amp;AJ459</f>
        <v/>
      </c>
      <c r="AI459" s="6">
        <f>YEAR(AK459)</f>
        <v/>
      </c>
      <c r="AJ459" s="6">
        <f>MONTH(AK459)</f>
        <v/>
      </c>
      <c r="AK459" s="267">
        <f>IFERROR(__xludf.DUMMYFUNCTION("""COMPUTED_VALUE"""),43551.9986111111)</f>
        <v/>
      </c>
      <c r="AL459" s="6">
        <f>IFERROR(__xludf.DUMMYFUNCTION("""COMPUTED_VALUE"""),4046.737)</f>
        <v/>
      </c>
      <c r="AP459" s="6">
        <f>AQ459&amp;AR459</f>
        <v/>
      </c>
      <c r="AQ459" s="6">
        <f>YEAR(AS459)</f>
        <v/>
      </c>
      <c r="AR459" s="6">
        <f>MONTH(AS459)</f>
        <v/>
      </c>
      <c r="AS459" s="267">
        <f>IFERROR(__xludf.DUMMYFUNCTION("""COMPUTED_VALUE"""),43767.9986111111)</f>
        <v/>
      </c>
      <c r="AT459" s="6">
        <f>IFERROR(__xludf.DUMMYFUNCTION("""COMPUTED_VALUE"""),1490.7)</f>
        <v/>
      </c>
    </row>
    <row r="460">
      <c r="B460" s="6">
        <f>C460&amp;D460</f>
        <v/>
      </c>
      <c r="C460" s="6">
        <f>YEAR(E460)</f>
        <v/>
      </c>
      <c r="D460" s="6">
        <f>MONTH(E460)</f>
        <v/>
      </c>
      <c r="E460" s="267">
        <f>IFERROR(__xludf.DUMMYFUNCTION("""COMPUTED_VALUE"""),43756.6666666666)</f>
        <v/>
      </c>
      <c r="F460" s="6">
        <f>IFERROR(__xludf.DUMMYFUNCTION("""COMPUTED_VALUE"""),2986.2)</f>
        <v/>
      </c>
      <c r="J460" s="6">
        <f>K460&amp;L460</f>
        <v/>
      </c>
      <c r="K460" s="6">
        <f>YEAR(M460)</f>
        <v/>
      </c>
      <c r="L460" s="6">
        <f>MONTH(M460)</f>
        <v/>
      </c>
      <c r="M460" s="267">
        <f>IFERROR(__xludf.DUMMYFUNCTION("""COMPUTED_VALUE"""),43756.6666666666)</f>
        <v/>
      </c>
      <c r="N460" s="6">
        <f>IFERROR(__xludf.DUMMYFUNCTION("""COMPUTED_VALUE"""),8089.54)</f>
        <v/>
      </c>
      <c r="R460" s="6">
        <f>S460&amp;T460</f>
        <v/>
      </c>
      <c r="S460" s="6">
        <f>YEAR(U460)</f>
        <v/>
      </c>
      <c r="T460" s="6">
        <f>MONTH(U460)</f>
        <v/>
      </c>
      <c r="U460" s="267">
        <f>IFERROR(__xludf.DUMMYFUNCTION("""COMPUTED_VALUE"""),43784.6458333333)</f>
        <v/>
      </c>
      <c r="V460" s="6">
        <f>IFERROR(__xludf.DUMMYFUNCTION("""COMPUTED_VALUE"""),2162.18)</f>
        <v/>
      </c>
      <c r="Z460" s="6">
        <f>AA460&amp;AB460</f>
        <v/>
      </c>
      <c r="AA460" s="6">
        <f>YEAR(AC460)</f>
        <v/>
      </c>
      <c r="AB460" s="6">
        <f>MONTH(AC460)</f>
        <v/>
      </c>
      <c r="AC460" s="267">
        <f>IFERROR(__xludf.DUMMYFUNCTION("""COMPUTED_VALUE"""),43579.9986111111)</f>
        <v/>
      </c>
      <c r="AD460" s="6">
        <f>IFERROR(__xludf.DUMMYFUNCTION("""COMPUTED_VALUE"""),1155.26)</f>
        <v/>
      </c>
      <c r="AH460" s="6">
        <f>AI460&amp;AJ460</f>
        <v/>
      </c>
      <c r="AI460" s="6">
        <f>YEAR(AK460)</f>
        <v/>
      </c>
      <c r="AJ460" s="6">
        <f>MONTH(AK460)</f>
        <v/>
      </c>
      <c r="AK460" s="267">
        <f>IFERROR(__xludf.DUMMYFUNCTION("""COMPUTED_VALUE"""),43552.9986111111)</f>
        <v/>
      </c>
      <c r="AL460" s="6">
        <f>IFERROR(__xludf.DUMMYFUNCTION("""COMPUTED_VALUE"""),4026.161)</f>
        <v/>
      </c>
      <c r="AP460" s="6">
        <f>AQ460&amp;AR460</f>
        <v/>
      </c>
      <c r="AQ460" s="6">
        <f>YEAR(AS460)</f>
        <v/>
      </c>
      <c r="AR460" s="6">
        <f>MONTH(AS460)</f>
        <v/>
      </c>
      <c r="AS460" s="267">
        <f>IFERROR(__xludf.DUMMYFUNCTION("""COMPUTED_VALUE"""),43768.9986111111)</f>
        <v/>
      </c>
      <c r="AT460" s="6">
        <f>IFERROR(__xludf.DUMMYFUNCTION("""COMPUTED_VALUE"""),1496.7)</f>
        <v/>
      </c>
    </row>
    <row r="461">
      <c r="B461" s="6">
        <f>C461&amp;D461</f>
        <v/>
      </c>
      <c r="C461" s="6">
        <f>YEAR(E461)</f>
        <v/>
      </c>
      <c r="D461" s="6">
        <f>MONTH(E461)</f>
        <v/>
      </c>
      <c r="E461" s="267">
        <f>IFERROR(__xludf.DUMMYFUNCTION("""COMPUTED_VALUE"""),43759.6666666666)</f>
        <v/>
      </c>
      <c r="F461" s="6">
        <f>IFERROR(__xludf.DUMMYFUNCTION("""COMPUTED_VALUE"""),3006.72)</f>
        <v/>
      </c>
      <c r="J461" s="6">
        <f>K461&amp;L461</f>
        <v/>
      </c>
      <c r="K461" s="6">
        <f>YEAR(M461)</f>
        <v/>
      </c>
      <c r="L461" s="6">
        <f>MONTH(M461)</f>
        <v/>
      </c>
      <c r="M461" s="267">
        <f>IFERROR(__xludf.DUMMYFUNCTION("""COMPUTED_VALUE"""),43759.6666666666)</f>
        <v/>
      </c>
      <c r="N461" s="6">
        <f>IFERROR(__xludf.DUMMYFUNCTION("""COMPUTED_VALUE"""),8162.99)</f>
        <v/>
      </c>
      <c r="R461" s="6">
        <f>S461&amp;T461</f>
        <v/>
      </c>
      <c r="S461" s="6">
        <f>YEAR(U461)</f>
        <v/>
      </c>
      <c r="T461" s="6">
        <f>MONTH(U461)</f>
        <v/>
      </c>
      <c r="U461" s="267">
        <f>IFERROR(__xludf.DUMMYFUNCTION("""COMPUTED_VALUE"""),43787.6458333333)</f>
        <v/>
      </c>
      <c r="V461" s="6">
        <f>IFERROR(__xludf.DUMMYFUNCTION("""COMPUTED_VALUE"""),2160.69)</f>
        <v/>
      </c>
      <c r="Z461" s="6">
        <f>AA461&amp;AB461</f>
        <v/>
      </c>
      <c r="AA461" s="6">
        <f>YEAR(AC461)</f>
        <v/>
      </c>
      <c r="AB461" s="6">
        <f>MONTH(AC461)</f>
        <v/>
      </c>
      <c r="AC461" s="267">
        <f>IFERROR(__xludf.DUMMYFUNCTION("""COMPUTED_VALUE"""),43580.9986111111)</f>
        <v/>
      </c>
      <c r="AD461" s="6">
        <f>IFERROR(__xludf.DUMMYFUNCTION("""COMPUTED_VALUE"""),1159)</f>
        <v/>
      </c>
      <c r="AH461" s="6">
        <f>AI461&amp;AJ461</f>
        <v/>
      </c>
      <c r="AI461" s="6">
        <f>YEAR(AK461)</f>
        <v/>
      </c>
      <c r="AJ461" s="6">
        <f>MONTH(AK461)</f>
        <v/>
      </c>
      <c r="AK461" s="267">
        <f>IFERROR(__xludf.DUMMYFUNCTION("""COMPUTED_VALUE"""),43553.9986111111)</f>
        <v/>
      </c>
      <c r="AL461" s="6">
        <f>IFERROR(__xludf.DUMMYFUNCTION("""COMPUTED_VALUE"""),4101.418)</f>
        <v/>
      </c>
      <c r="AP461" s="6">
        <f>AQ461&amp;AR461</f>
        <v/>
      </c>
      <c r="AQ461" s="6">
        <f>YEAR(AS461)</f>
        <v/>
      </c>
      <c r="AR461" s="6">
        <f>MONTH(AS461)</f>
        <v/>
      </c>
      <c r="AS461" s="267">
        <f>IFERROR(__xludf.DUMMYFUNCTION("""COMPUTED_VALUE"""),43769.9986111111)</f>
        <v/>
      </c>
      <c r="AT461" s="6">
        <f>IFERROR(__xludf.DUMMYFUNCTION("""COMPUTED_VALUE"""),1514.8)</f>
        <v/>
      </c>
    </row>
    <row r="462">
      <c r="B462" s="6">
        <f>C462&amp;D462</f>
        <v/>
      </c>
      <c r="C462" s="6">
        <f>YEAR(E462)</f>
        <v/>
      </c>
      <c r="D462" s="6">
        <f>MONTH(E462)</f>
        <v/>
      </c>
      <c r="E462" s="267">
        <f>IFERROR(__xludf.DUMMYFUNCTION("""COMPUTED_VALUE"""),43760.6666666666)</f>
        <v/>
      </c>
      <c r="F462" s="6">
        <f>IFERROR(__xludf.DUMMYFUNCTION("""COMPUTED_VALUE"""),2995.99)</f>
        <v/>
      </c>
      <c r="J462" s="6">
        <f>K462&amp;L462</f>
        <v/>
      </c>
      <c r="K462" s="6">
        <f>YEAR(M462)</f>
        <v/>
      </c>
      <c r="L462" s="6">
        <f>MONTH(M462)</f>
        <v/>
      </c>
      <c r="M462" s="267">
        <f>IFERROR(__xludf.DUMMYFUNCTION("""COMPUTED_VALUE"""),43760.6666666666)</f>
        <v/>
      </c>
      <c r="N462" s="6">
        <f>IFERROR(__xludf.DUMMYFUNCTION("""COMPUTED_VALUE"""),8104.3)</f>
        <v/>
      </c>
      <c r="R462" s="6">
        <f>S462&amp;T462</f>
        <v/>
      </c>
      <c r="S462" s="6">
        <f>YEAR(U462)</f>
        <v/>
      </c>
      <c r="T462" s="6">
        <f>MONTH(U462)</f>
        <v/>
      </c>
      <c r="U462" s="267">
        <f>IFERROR(__xludf.DUMMYFUNCTION("""COMPUTED_VALUE"""),43788.6458333333)</f>
        <v/>
      </c>
      <c r="V462" s="6">
        <f>IFERROR(__xludf.DUMMYFUNCTION("""COMPUTED_VALUE"""),2153.24)</f>
        <v/>
      </c>
      <c r="Z462" s="6">
        <f>AA462&amp;AB462</f>
        <v/>
      </c>
      <c r="AA462" s="6">
        <f>YEAR(AC462)</f>
        <v/>
      </c>
      <c r="AB462" s="6">
        <f>MONTH(AC462)</f>
        <v/>
      </c>
      <c r="AC462" s="267">
        <f>IFERROR(__xludf.DUMMYFUNCTION("""COMPUTED_VALUE"""),43581.9986111111)</f>
        <v/>
      </c>
      <c r="AD462" s="6">
        <f>IFERROR(__xludf.DUMMYFUNCTION("""COMPUTED_VALUE"""),1157.91)</f>
        <v/>
      </c>
      <c r="AH462" s="6">
        <f>AI462&amp;AJ462</f>
        <v/>
      </c>
      <c r="AI462" s="6">
        <f>YEAR(AK462)</f>
        <v/>
      </c>
      <c r="AJ462" s="6">
        <f>MONTH(AK462)</f>
        <v/>
      </c>
      <c r="AK462" s="267">
        <f>IFERROR(__xludf.DUMMYFUNCTION("""COMPUTED_VALUE"""),43554.9986111111)</f>
        <v/>
      </c>
      <c r="AL462" s="6">
        <f>IFERROR(__xludf.DUMMYFUNCTION("""COMPUTED_VALUE"""),4116.457)</f>
        <v/>
      </c>
      <c r="AP462" s="6">
        <f>AQ462&amp;AR462</f>
        <v/>
      </c>
      <c r="AQ462" s="6">
        <f>YEAR(AS462)</f>
        <v/>
      </c>
      <c r="AR462" s="6">
        <f>MONTH(AS462)</f>
        <v/>
      </c>
      <c r="AS462" s="267">
        <f>IFERROR(__xludf.DUMMYFUNCTION("""COMPUTED_VALUE"""),43770.9986111111)</f>
        <v/>
      </c>
      <c r="AT462" s="6">
        <f>IFERROR(__xludf.DUMMYFUNCTION("""COMPUTED_VALUE"""),1511.4)</f>
        <v/>
      </c>
    </row>
    <row r="463">
      <c r="B463" s="6">
        <f>C463&amp;D463</f>
        <v/>
      </c>
      <c r="C463" s="6">
        <f>YEAR(E463)</f>
        <v/>
      </c>
      <c r="D463" s="6">
        <f>MONTH(E463)</f>
        <v/>
      </c>
      <c r="E463" s="267">
        <f>IFERROR(__xludf.DUMMYFUNCTION("""COMPUTED_VALUE"""),43761.6666666666)</f>
        <v/>
      </c>
      <c r="F463" s="6">
        <f>IFERROR(__xludf.DUMMYFUNCTION("""COMPUTED_VALUE"""),3004.52)</f>
        <v/>
      </c>
      <c r="J463" s="6">
        <f>K463&amp;L463</f>
        <v/>
      </c>
      <c r="K463" s="6">
        <f>YEAR(M463)</f>
        <v/>
      </c>
      <c r="L463" s="6">
        <f>MONTH(M463)</f>
        <v/>
      </c>
      <c r="M463" s="267">
        <f>IFERROR(__xludf.DUMMYFUNCTION("""COMPUTED_VALUE"""),43761.6666666666)</f>
        <v/>
      </c>
      <c r="N463" s="6">
        <f>IFERROR(__xludf.DUMMYFUNCTION("""COMPUTED_VALUE"""),8119.79)</f>
        <v/>
      </c>
      <c r="R463" s="6">
        <f>S463&amp;T463</f>
        <v/>
      </c>
      <c r="S463" s="6">
        <f>YEAR(U463)</f>
        <v/>
      </c>
      <c r="T463" s="6">
        <f>MONTH(U463)</f>
        <v/>
      </c>
      <c r="U463" s="267">
        <f>IFERROR(__xludf.DUMMYFUNCTION("""COMPUTED_VALUE"""),43789.6458333333)</f>
        <v/>
      </c>
      <c r="V463" s="6">
        <f>IFERROR(__xludf.DUMMYFUNCTION("""COMPUTED_VALUE"""),2125.32)</f>
        <v/>
      </c>
      <c r="Z463" s="6">
        <f>AA463&amp;AB463</f>
        <v/>
      </c>
      <c r="AA463" s="6">
        <f>YEAR(AC463)</f>
        <v/>
      </c>
      <c r="AB463" s="6">
        <f>MONTH(AC463)</f>
        <v/>
      </c>
      <c r="AC463" s="267">
        <f>IFERROR(__xludf.DUMMYFUNCTION("""COMPUTED_VALUE"""),43582.9986111111)</f>
        <v/>
      </c>
      <c r="AD463" s="6">
        <f>IFERROR(__xludf.DUMMYFUNCTION("""COMPUTED_VALUE"""),1156.9)</f>
        <v/>
      </c>
      <c r="AH463" s="6">
        <f>AI463&amp;AJ463</f>
        <v/>
      </c>
      <c r="AI463" s="6">
        <f>YEAR(AK463)</f>
        <v/>
      </c>
      <c r="AJ463" s="6">
        <f>MONTH(AK463)</f>
        <v/>
      </c>
      <c r="AK463" s="267">
        <f>IFERROR(__xludf.DUMMYFUNCTION("""COMPUTED_VALUE"""),43555.9986111111)</f>
        <v/>
      </c>
      <c r="AL463" s="6">
        <f>IFERROR(__xludf.DUMMYFUNCTION("""COMPUTED_VALUE"""),4121.252)</f>
        <v/>
      </c>
      <c r="AP463" s="6">
        <f>AQ463&amp;AR463</f>
        <v/>
      </c>
      <c r="AQ463" s="6">
        <f>YEAR(AS463)</f>
        <v/>
      </c>
      <c r="AR463" s="6">
        <f>MONTH(AS463)</f>
        <v/>
      </c>
      <c r="AS463" s="267">
        <f>IFERROR(__xludf.DUMMYFUNCTION("""COMPUTED_VALUE"""),43773.9986111111)</f>
        <v/>
      </c>
      <c r="AT463" s="6">
        <f>IFERROR(__xludf.DUMMYFUNCTION("""COMPUTED_VALUE"""),1511.1)</f>
        <v/>
      </c>
    </row>
    <row r="464">
      <c r="B464" s="6">
        <f>C464&amp;D464</f>
        <v/>
      </c>
      <c r="C464" s="6">
        <f>YEAR(E464)</f>
        <v/>
      </c>
      <c r="D464" s="6">
        <f>MONTH(E464)</f>
        <v/>
      </c>
      <c r="E464" s="267">
        <f>IFERROR(__xludf.DUMMYFUNCTION("""COMPUTED_VALUE"""),43762.6666666666)</f>
        <v/>
      </c>
      <c r="F464" s="6">
        <f>IFERROR(__xludf.DUMMYFUNCTION("""COMPUTED_VALUE"""),3010.29)</f>
        <v/>
      </c>
      <c r="J464" s="6">
        <f>K464&amp;L464</f>
        <v/>
      </c>
      <c r="K464" s="6">
        <f>YEAR(M464)</f>
        <v/>
      </c>
      <c r="L464" s="6">
        <f>MONTH(M464)</f>
        <v/>
      </c>
      <c r="M464" s="267">
        <f>IFERROR(__xludf.DUMMYFUNCTION("""COMPUTED_VALUE"""),43762.6666666666)</f>
        <v/>
      </c>
      <c r="N464" s="6">
        <f>IFERROR(__xludf.DUMMYFUNCTION("""COMPUTED_VALUE"""),8185.8)</f>
        <v/>
      </c>
      <c r="R464" s="6">
        <f>S464&amp;T464</f>
        <v/>
      </c>
      <c r="S464" s="6">
        <f>YEAR(U464)</f>
        <v/>
      </c>
      <c r="T464" s="6">
        <f>MONTH(U464)</f>
        <v/>
      </c>
      <c r="U464" s="267">
        <f>IFERROR(__xludf.DUMMYFUNCTION("""COMPUTED_VALUE"""),43790.6458333333)</f>
        <v/>
      </c>
      <c r="V464" s="6">
        <f>IFERROR(__xludf.DUMMYFUNCTION("""COMPUTED_VALUE"""),2096.6)</f>
        <v/>
      </c>
      <c r="Z464" s="6">
        <f>AA464&amp;AB464</f>
        <v/>
      </c>
      <c r="AA464" s="6">
        <f>YEAR(AC464)</f>
        <v/>
      </c>
      <c r="AB464" s="6">
        <f>MONTH(AC464)</f>
        <v/>
      </c>
      <c r="AC464" s="267">
        <f>IFERROR(__xludf.DUMMYFUNCTION("""COMPUTED_VALUE"""),43583.9986111111)</f>
        <v/>
      </c>
      <c r="AD464" s="6">
        <f>IFERROR(__xludf.DUMMYFUNCTION("""COMPUTED_VALUE"""),1157.73)</f>
        <v/>
      </c>
      <c r="AH464" s="6">
        <f>AI464&amp;AJ464</f>
        <v/>
      </c>
      <c r="AI464" s="6">
        <f>YEAR(AK464)</f>
        <v/>
      </c>
      <c r="AJ464" s="6">
        <f>MONTH(AK464)</f>
        <v/>
      </c>
      <c r="AK464" s="267">
        <f>IFERROR(__xludf.DUMMYFUNCTION("""COMPUTED_VALUE"""),43556.9986111111)</f>
        <v/>
      </c>
      <c r="AL464" s="6">
        <f>IFERROR(__xludf.DUMMYFUNCTION("""COMPUTED_VALUE"""),4153.23)</f>
        <v/>
      </c>
      <c r="AP464" s="6">
        <f>AQ464&amp;AR464</f>
        <v/>
      </c>
      <c r="AQ464" s="6">
        <f>YEAR(AS464)</f>
        <v/>
      </c>
      <c r="AR464" s="6">
        <f>MONTH(AS464)</f>
        <v/>
      </c>
      <c r="AS464" s="267">
        <f>IFERROR(__xludf.DUMMYFUNCTION("""COMPUTED_VALUE"""),43774.9986111111)</f>
        <v/>
      </c>
      <c r="AT464" s="6">
        <f>IFERROR(__xludf.DUMMYFUNCTION("""COMPUTED_VALUE"""),1483.7)</f>
        <v/>
      </c>
    </row>
    <row r="465">
      <c r="B465" s="6">
        <f>C465&amp;D465</f>
        <v/>
      </c>
      <c r="C465" s="6">
        <f>YEAR(E465)</f>
        <v/>
      </c>
      <c r="D465" s="6">
        <f>MONTH(E465)</f>
        <v/>
      </c>
      <c r="E465" s="267">
        <f>IFERROR(__xludf.DUMMYFUNCTION("""COMPUTED_VALUE"""),43763.6666666666)</f>
        <v/>
      </c>
      <c r="F465" s="6">
        <f>IFERROR(__xludf.DUMMYFUNCTION("""COMPUTED_VALUE"""),3022.55)</f>
        <v/>
      </c>
      <c r="J465" s="6">
        <f>K465&amp;L465</f>
        <v/>
      </c>
      <c r="K465" s="6">
        <f>YEAR(M465)</f>
        <v/>
      </c>
      <c r="L465" s="6">
        <f>MONTH(M465)</f>
        <v/>
      </c>
      <c r="M465" s="267">
        <f>IFERROR(__xludf.DUMMYFUNCTION("""COMPUTED_VALUE"""),43763.6666666666)</f>
        <v/>
      </c>
      <c r="N465" s="6">
        <f>IFERROR(__xludf.DUMMYFUNCTION("""COMPUTED_VALUE"""),8243.12)</f>
        <v/>
      </c>
      <c r="R465" s="6">
        <f>S465&amp;T465</f>
        <v/>
      </c>
      <c r="S465" s="6">
        <f>YEAR(U465)</f>
        <v/>
      </c>
      <c r="T465" s="6">
        <f>MONTH(U465)</f>
        <v/>
      </c>
      <c r="U465" s="267">
        <f>IFERROR(__xludf.DUMMYFUNCTION("""COMPUTED_VALUE"""),43791.6458333333)</f>
        <v/>
      </c>
      <c r="V465" s="6">
        <f>IFERROR(__xludf.DUMMYFUNCTION("""COMPUTED_VALUE"""),2101.96)</f>
        <v/>
      </c>
      <c r="Z465" s="6">
        <f>AA465&amp;AB465</f>
        <v/>
      </c>
      <c r="AA465" s="6">
        <f>YEAR(AC465)</f>
        <v/>
      </c>
      <c r="AB465" s="6">
        <f>MONTH(AC465)</f>
        <v/>
      </c>
      <c r="AC465" s="267">
        <f>IFERROR(__xludf.DUMMYFUNCTION("""COMPUTED_VALUE"""),43584.9986111111)</f>
        <v/>
      </c>
      <c r="AD465" s="6">
        <f>IFERROR(__xludf.DUMMYFUNCTION("""COMPUTED_VALUE"""),1158.79)</f>
        <v/>
      </c>
      <c r="AH465" s="6">
        <f>AI465&amp;AJ465</f>
        <v/>
      </c>
      <c r="AI465" s="6">
        <f>YEAR(AK465)</f>
        <v/>
      </c>
      <c r="AJ465" s="6">
        <f>MONTH(AK465)</f>
        <v/>
      </c>
      <c r="AK465" s="267">
        <f>IFERROR(__xludf.DUMMYFUNCTION("""COMPUTED_VALUE"""),43557.9986111111)</f>
        <v/>
      </c>
      <c r="AL465" s="6">
        <f>IFERROR(__xludf.DUMMYFUNCTION("""COMPUTED_VALUE"""),4897.085)</f>
        <v/>
      </c>
      <c r="AP465" s="6">
        <f>AQ465&amp;AR465</f>
        <v/>
      </c>
      <c r="AQ465" s="6">
        <f>YEAR(AS465)</f>
        <v/>
      </c>
      <c r="AR465" s="6">
        <f>MONTH(AS465)</f>
        <v/>
      </c>
      <c r="AS465" s="267">
        <f>IFERROR(__xludf.DUMMYFUNCTION("""COMPUTED_VALUE"""),43775.9986111111)</f>
        <v/>
      </c>
      <c r="AT465" s="6">
        <f>IFERROR(__xludf.DUMMYFUNCTION("""COMPUTED_VALUE"""),1493.1)</f>
        <v/>
      </c>
    </row>
    <row r="466">
      <c r="B466" s="6">
        <f>C466&amp;D466</f>
        <v/>
      </c>
      <c r="C466" s="6">
        <f>YEAR(E466)</f>
        <v/>
      </c>
      <c r="D466" s="6">
        <f>MONTH(E466)</f>
        <v/>
      </c>
      <c r="E466" s="267">
        <f>IFERROR(__xludf.DUMMYFUNCTION("""COMPUTED_VALUE"""),43766.6666666666)</f>
        <v/>
      </c>
      <c r="F466" s="6">
        <f>IFERROR(__xludf.DUMMYFUNCTION("""COMPUTED_VALUE"""),3039.42)</f>
        <v/>
      </c>
      <c r="J466" s="6">
        <f>K466&amp;L466</f>
        <v/>
      </c>
      <c r="K466" s="6">
        <f>YEAR(M466)</f>
        <v/>
      </c>
      <c r="L466" s="6">
        <f>MONTH(M466)</f>
        <v/>
      </c>
      <c r="M466" s="267">
        <f>IFERROR(__xludf.DUMMYFUNCTION("""COMPUTED_VALUE"""),43766.6666666666)</f>
        <v/>
      </c>
      <c r="N466" s="6">
        <f>IFERROR(__xludf.DUMMYFUNCTION("""COMPUTED_VALUE"""),8325.99)</f>
        <v/>
      </c>
      <c r="R466" s="6">
        <f>S466&amp;T466</f>
        <v/>
      </c>
      <c r="S466" s="6">
        <f>YEAR(U466)</f>
        <v/>
      </c>
      <c r="T466" s="6">
        <f>MONTH(U466)</f>
        <v/>
      </c>
      <c r="U466" s="267">
        <f>IFERROR(__xludf.DUMMYFUNCTION("""COMPUTED_VALUE"""),43794.6458333333)</f>
        <v/>
      </c>
      <c r="V466" s="6">
        <f>IFERROR(__xludf.DUMMYFUNCTION("""COMPUTED_VALUE"""),2123.5)</f>
        <v/>
      </c>
      <c r="Z466" s="6">
        <f>AA466&amp;AB466</f>
        <v/>
      </c>
      <c r="AA466" s="6">
        <f>YEAR(AC466)</f>
        <v/>
      </c>
      <c r="AB466" s="6">
        <f>MONTH(AC466)</f>
        <v/>
      </c>
      <c r="AC466" s="267">
        <f>IFERROR(__xludf.DUMMYFUNCTION("""COMPUTED_VALUE"""),43585.9986111111)</f>
        <v/>
      </c>
      <c r="AD466" s="6">
        <f>IFERROR(__xludf.DUMMYFUNCTION("""COMPUTED_VALUE"""),1163.26)</f>
        <v/>
      </c>
      <c r="AH466" s="6">
        <f>AI466&amp;AJ466</f>
        <v/>
      </c>
      <c r="AI466" s="6">
        <f>YEAR(AK466)</f>
        <v/>
      </c>
      <c r="AJ466" s="6">
        <f>MONTH(AK466)</f>
        <v/>
      </c>
      <c r="AK466" s="267">
        <f>IFERROR(__xludf.DUMMYFUNCTION("""COMPUTED_VALUE"""),43558.9986111111)</f>
        <v/>
      </c>
      <c r="AL466" s="6">
        <f>IFERROR(__xludf.DUMMYFUNCTION("""COMPUTED_VALUE"""),4972.537)</f>
        <v/>
      </c>
      <c r="AP466" s="6">
        <f>AQ466&amp;AR466</f>
        <v/>
      </c>
      <c r="AQ466" s="6">
        <f>YEAR(AS466)</f>
        <v/>
      </c>
      <c r="AR466" s="6">
        <f>MONTH(AS466)</f>
        <v/>
      </c>
      <c r="AS466" s="267">
        <f>IFERROR(__xludf.DUMMYFUNCTION("""COMPUTED_VALUE"""),43776.9986111111)</f>
        <v/>
      </c>
      <c r="AT466" s="6">
        <f>IFERROR(__xludf.DUMMYFUNCTION("""COMPUTED_VALUE"""),1466.4)</f>
        <v/>
      </c>
    </row>
    <row r="467">
      <c r="B467" s="6">
        <f>C467&amp;D467</f>
        <v/>
      </c>
      <c r="C467" s="6">
        <f>YEAR(E467)</f>
        <v/>
      </c>
      <c r="D467" s="6">
        <f>MONTH(E467)</f>
        <v/>
      </c>
      <c r="E467" s="267">
        <f>IFERROR(__xludf.DUMMYFUNCTION("""COMPUTED_VALUE"""),43767.6666666666)</f>
        <v/>
      </c>
      <c r="F467" s="6">
        <f>IFERROR(__xludf.DUMMYFUNCTION("""COMPUTED_VALUE"""),3036.89)</f>
        <v/>
      </c>
      <c r="J467" s="6">
        <f>K467&amp;L467</f>
        <v/>
      </c>
      <c r="K467" s="6">
        <f>YEAR(M467)</f>
        <v/>
      </c>
      <c r="L467" s="6">
        <f>MONTH(M467)</f>
        <v/>
      </c>
      <c r="M467" s="267">
        <f>IFERROR(__xludf.DUMMYFUNCTION("""COMPUTED_VALUE"""),43767.6666666666)</f>
        <v/>
      </c>
      <c r="N467" s="6">
        <f>IFERROR(__xludf.DUMMYFUNCTION("""COMPUTED_VALUE"""),8276.85)</f>
        <v/>
      </c>
      <c r="R467" s="6">
        <f>S467&amp;T467</f>
        <v/>
      </c>
      <c r="S467" s="6">
        <f>YEAR(U467)</f>
        <v/>
      </c>
      <c r="T467" s="6">
        <f>MONTH(U467)</f>
        <v/>
      </c>
      <c r="U467" s="267">
        <f>IFERROR(__xludf.DUMMYFUNCTION("""COMPUTED_VALUE"""),43795.6458333333)</f>
        <v/>
      </c>
      <c r="V467" s="6">
        <f>IFERROR(__xludf.DUMMYFUNCTION("""COMPUTED_VALUE"""),2121.35)</f>
        <v/>
      </c>
      <c r="Z467" s="6">
        <f>AA467&amp;AB467</f>
        <v/>
      </c>
      <c r="AA467" s="6">
        <f>YEAR(AC467)</f>
        <v/>
      </c>
      <c r="AB467" s="6">
        <f>MONTH(AC467)</f>
        <v/>
      </c>
      <c r="AC467" s="267">
        <f>IFERROR(__xludf.DUMMYFUNCTION("""COMPUTED_VALUE"""),43586.9986111111)</f>
        <v/>
      </c>
      <c r="AD467" s="6">
        <f>IFERROR(__xludf.DUMMYFUNCTION("""COMPUTED_VALUE"""),1164.67)</f>
        <v/>
      </c>
      <c r="AH467" s="6">
        <f>AI467&amp;AJ467</f>
        <v/>
      </c>
      <c r="AI467" s="6">
        <f>YEAR(AK467)</f>
        <v/>
      </c>
      <c r="AJ467" s="6">
        <f>MONTH(AK467)</f>
        <v/>
      </c>
      <c r="AK467" s="267">
        <f>IFERROR(__xludf.DUMMYFUNCTION("""COMPUTED_VALUE"""),43559.9986111111)</f>
        <v/>
      </c>
      <c r="AL467" s="6">
        <f>IFERROR(__xludf.DUMMYFUNCTION("""COMPUTED_VALUE"""),4913.774)</f>
        <v/>
      </c>
      <c r="AP467" s="6">
        <f>AQ467&amp;AR467</f>
        <v/>
      </c>
      <c r="AQ467" s="6">
        <f>YEAR(AS467)</f>
        <v/>
      </c>
      <c r="AR467" s="6">
        <f>MONTH(AS467)</f>
        <v/>
      </c>
      <c r="AS467" s="267">
        <f>IFERROR(__xludf.DUMMYFUNCTION("""COMPUTED_VALUE"""),43777.9986111111)</f>
        <v/>
      </c>
      <c r="AT467" s="6">
        <f>IFERROR(__xludf.DUMMYFUNCTION("""COMPUTED_VALUE"""),1462.9)</f>
        <v/>
      </c>
    </row>
    <row r="468">
      <c r="B468" s="6">
        <f>C468&amp;D468</f>
        <v/>
      </c>
      <c r="C468" s="6">
        <f>YEAR(E468)</f>
        <v/>
      </c>
      <c r="D468" s="6">
        <f>MONTH(E468)</f>
        <v/>
      </c>
      <c r="E468" s="267">
        <f>IFERROR(__xludf.DUMMYFUNCTION("""COMPUTED_VALUE"""),43768.6666666666)</f>
        <v/>
      </c>
      <c r="F468" s="6">
        <f>IFERROR(__xludf.DUMMYFUNCTION("""COMPUTED_VALUE"""),3046.77)</f>
        <v/>
      </c>
      <c r="J468" s="6">
        <f>K468&amp;L468</f>
        <v/>
      </c>
      <c r="K468" s="6">
        <f>YEAR(M468)</f>
        <v/>
      </c>
      <c r="L468" s="6">
        <f>MONTH(M468)</f>
        <v/>
      </c>
      <c r="M468" s="267">
        <f>IFERROR(__xludf.DUMMYFUNCTION("""COMPUTED_VALUE"""),43768.6666666666)</f>
        <v/>
      </c>
      <c r="N468" s="6">
        <f>IFERROR(__xludf.DUMMYFUNCTION("""COMPUTED_VALUE"""),8303.98)</f>
        <v/>
      </c>
      <c r="R468" s="6">
        <f>S468&amp;T468</f>
        <v/>
      </c>
      <c r="S468" s="6">
        <f>YEAR(U468)</f>
        <v/>
      </c>
      <c r="T468" s="6">
        <f>MONTH(U468)</f>
        <v/>
      </c>
      <c r="U468" s="267">
        <f>IFERROR(__xludf.DUMMYFUNCTION("""COMPUTED_VALUE"""),43796.6458333333)</f>
        <v/>
      </c>
      <c r="V468" s="6">
        <f>IFERROR(__xludf.DUMMYFUNCTION("""COMPUTED_VALUE"""),2127.85)</f>
        <v/>
      </c>
      <c r="Z468" s="6">
        <f>AA468&amp;AB468</f>
        <v/>
      </c>
      <c r="AA468" s="6">
        <f>YEAR(AC468)</f>
        <v/>
      </c>
      <c r="AB468" s="6">
        <f>MONTH(AC468)</f>
        <v/>
      </c>
      <c r="AC468" s="267">
        <f>IFERROR(__xludf.DUMMYFUNCTION("""COMPUTED_VALUE"""),43587.9986111111)</f>
        <v/>
      </c>
      <c r="AD468" s="6">
        <f>IFERROR(__xludf.DUMMYFUNCTION("""COMPUTED_VALUE"""),1166.11)</f>
        <v/>
      </c>
      <c r="AH468" s="6">
        <f>AI468&amp;AJ468</f>
        <v/>
      </c>
      <c r="AI468" s="6">
        <f>YEAR(AK468)</f>
        <v/>
      </c>
      <c r="AJ468" s="6">
        <f>MONTH(AK468)</f>
        <v/>
      </c>
      <c r="AK468" s="267">
        <f>IFERROR(__xludf.DUMMYFUNCTION("""COMPUTED_VALUE"""),43560.9986111111)</f>
        <v/>
      </c>
      <c r="AL468" s="6">
        <f>IFERROR(__xludf.DUMMYFUNCTION("""COMPUTED_VALUE"""),5041.908)</f>
        <v/>
      </c>
      <c r="AP468" s="6">
        <f>AQ468&amp;AR468</f>
        <v/>
      </c>
      <c r="AQ468" s="6">
        <f>YEAR(AS468)</f>
        <v/>
      </c>
      <c r="AR468" s="6">
        <f>MONTH(AS468)</f>
        <v/>
      </c>
      <c r="AS468" s="267">
        <f>IFERROR(__xludf.DUMMYFUNCTION("""COMPUTED_VALUE"""),43780.9986111111)</f>
        <v/>
      </c>
      <c r="AT468" s="6">
        <f>IFERROR(__xludf.DUMMYFUNCTION("""COMPUTED_VALUE"""),1457.1)</f>
        <v/>
      </c>
    </row>
    <row r="469">
      <c r="B469" s="6">
        <f>C469&amp;D469</f>
        <v/>
      </c>
      <c r="C469" s="6">
        <f>YEAR(E469)</f>
        <v/>
      </c>
      <c r="D469" s="6">
        <f>MONTH(E469)</f>
        <v/>
      </c>
      <c r="E469" s="267">
        <f>IFERROR(__xludf.DUMMYFUNCTION("""COMPUTED_VALUE"""),43770.6666666666)</f>
        <v/>
      </c>
      <c r="F469" s="6">
        <f>IFERROR(__xludf.DUMMYFUNCTION("""COMPUTED_VALUE"""),3066.91)</f>
        <v/>
      </c>
      <c r="J469" s="6">
        <f>K469&amp;L469</f>
        <v/>
      </c>
      <c r="K469" s="6">
        <f>YEAR(M469)</f>
        <v/>
      </c>
      <c r="L469" s="6">
        <f>MONTH(M469)</f>
        <v/>
      </c>
      <c r="M469" s="267">
        <f>IFERROR(__xludf.DUMMYFUNCTION("""COMPUTED_VALUE"""),43769.6666666666)</f>
        <v/>
      </c>
      <c r="N469" s="6">
        <f>IFERROR(__xludf.DUMMYFUNCTION("""COMPUTED_VALUE"""),8292.36)</f>
        <v/>
      </c>
      <c r="R469" s="6">
        <f>S469&amp;T469</f>
        <v/>
      </c>
      <c r="S469" s="6">
        <f>YEAR(U469)</f>
        <v/>
      </c>
      <c r="T469" s="6">
        <f>MONTH(U469)</f>
        <v/>
      </c>
      <c r="U469" s="267">
        <f>IFERROR(__xludf.DUMMYFUNCTION("""COMPUTED_VALUE"""),43797.6458333333)</f>
        <v/>
      </c>
      <c r="V469" s="6">
        <f>IFERROR(__xludf.DUMMYFUNCTION("""COMPUTED_VALUE"""),2118.6)</f>
        <v/>
      </c>
      <c r="Z469" s="6">
        <f>AA469&amp;AB469</f>
        <v/>
      </c>
      <c r="AA469" s="6">
        <f>YEAR(AC469)</f>
        <v/>
      </c>
      <c r="AB469" s="6">
        <f>MONTH(AC469)</f>
        <v/>
      </c>
      <c r="AC469" s="267">
        <f>IFERROR(__xludf.DUMMYFUNCTION("""COMPUTED_VALUE"""),43588.9986111111)</f>
        <v/>
      </c>
      <c r="AD469" s="6">
        <f>IFERROR(__xludf.DUMMYFUNCTION("""COMPUTED_VALUE"""),1163.33)</f>
        <v/>
      </c>
      <c r="AH469" s="6">
        <f>AI469&amp;AJ469</f>
        <v/>
      </c>
      <c r="AI469" s="6">
        <f>YEAR(AK469)</f>
        <v/>
      </c>
      <c r="AJ469" s="6">
        <f>MONTH(AK469)</f>
        <v/>
      </c>
      <c r="AK469" s="267">
        <f>IFERROR(__xludf.DUMMYFUNCTION("""COMPUTED_VALUE"""),43561.9986111111)</f>
        <v/>
      </c>
      <c r="AL469" s="6">
        <f>IFERROR(__xludf.DUMMYFUNCTION("""COMPUTED_VALUE"""),5058.361)</f>
        <v/>
      </c>
      <c r="AP469" s="6">
        <f>AQ469&amp;AR469</f>
        <v/>
      </c>
      <c r="AQ469" s="6">
        <f>YEAR(AS469)</f>
        <v/>
      </c>
      <c r="AR469" s="6">
        <f>MONTH(AS469)</f>
        <v/>
      </c>
      <c r="AS469" s="267">
        <f>IFERROR(__xludf.DUMMYFUNCTION("""COMPUTED_VALUE"""),43781.9986111111)</f>
        <v/>
      </c>
      <c r="AT469" s="6">
        <f>IFERROR(__xludf.DUMMYFUNCTION("""COMPUTED_VALUE"""),1453.7)</f>
        <v/>
      </c>
    </row>
    <row r="470">
      <c r="B470" s="6">
        <f>C470&amp;D470</f>
        <v/>
      </c>
      <c r="C470" s="6">
        <f>YEAR(E470)</f>
        <v/>
      </c>
      <c r="D470" s="6">
        <f>MONTH(E470)</f>
        <v/>
      </c>
      <c r="E470" s="267">
        <f>IFERROR(__xludf.DUMMYFUNCTION("""COMPUTED_VALUE"""),43773.6666666666)</f>
        <v/>
      </c>
      <c r="F470" s="6">
        <f>IFERROR(__xludf.DUMMYFUNCTION("""COMPUTED_VALUE"""),3078.27)</f>
        <v/>
      </c>
      <c r="J470" s="6">
        <f>K470&amp;L470</f>
        <v/>
      </c>
      <c r="K470" s="6">
        <f>YEAR(M470)</f>
        <v/>
      </c>
      <c r="L470" s="6">
        <f>MONTH(M470)</f>
        <v/>
      </c>
      <c r="M470" s="267">
        <f>IFERROR(__xludf.DUMMYFUNCTION("""COMPUTED_VALUE"""),43770.6666666666)</f>
        <v/>
      </c>
      <c r="N470" s="6">
        <f>IFERROR(__xludf.DUMMYFUNCTION("""COMPUTED_VALUE"""),8386.4)</f>
        <v/>
      </c>
      <c r="R470" s="6">
        <f>S470&amp;T470</f>
        <v/>
      </c>
      <c r="S470" s="6">
        <f>YEAR(U470)</f>
        <v/>
      </c>
      <c r="T470" s="6">
        <f>MONTH(U470)</f>
        <v/>
      </c>
      <c r="U470" s="267">
        <f>IFERROR(__xludf.DUMMYFUNCTION("""COMPUTED_VALUE"""),43798.6458333333)</f>
        <v/>
      </c>
      <c r="V470" s="6">
        <f>IFERROR(__xludf.DUMMYFUNCTION("""COMPUTED_VALUE"""),2087.96)</f>
        <v/>
      </c>
      <c r="Z470" s="6">
        <f>AA470&amp;AB470</f>
        <v/>
      </c>
      <c r="AA470" s="6">
        <f>YEAR(AC470)</f>
        <v/>
      </c>
      <c r="AB470" s="6">
        <f>MONTH(AC470)</f>
        <v/>
      </c>
      <c r="AC470" s="267">
        <f>IFERROR(__xludf.DUMMYFUNCTION("""COMPUTED_VALUE"""),43590.9986111111)</f>
        <v/>
      </c>
      <c r="AD470" s="6">
        <f>IFERROR(__xludf.DUMMYFUNCTION("""COMPUTED_VALUE"""),1163.33)</f>
        <v/>
      </c>
      <c r="AH470" s="6">
        <f>AI470&amp;AJ470</f>
        <v/>
      </c>
      <c r="AI470" s="6">
        <f>YEAR(AK470)</f>
        <v/>
      </c>
      <c r="AJ470" s="6">
        <f>MONTH(AK470)</f>
        <v/>
      </c>
      <c r="AK470" s="267">
        <f>IFERROR(__xludf.DUMMYFUNCTION("""COMPUTED_VALUE"""),43562.9986111111)</f>
        <v/>
      </c>
      <c r="AL470" s="6">
        <f>IFERROR(__xludf.DUMMYFUNCTION("""COMPUTED_VALUE"""),5200.219)</f>
        <v/>
      </c>
      <c r="AP470" s="6">
        <f>AQ470&amp;AR470</f>
        <v/>
      </c>
      <c r="AQ470" s="6">
        <f>YEAR(AS470)</f>
        <v/>
      </c>
      <c r="AR470" s="6">
        <f>MONTH(AS470)</f>
        <v/>
      </c>
      <c r="AS470" s="267">
        <f>IFERROR(__xludf.DUMMYFUNCTION("""COMPUTED_VALUE"""),43782.9986111111)</f>
        <v/>
      </c>
      <c r="AT470" s="6">
        <f>IFERROR(__xludf.DUMMYFUNCTION("""COMPUTED_VALUE"""),1463.3)</f>
        <v/>
      </c>
    </row>
    <row r="471">
      <c r="B471" s="6">
        <f>C471&amp;D471</f>
        <v/>
      </c>
      <c r="C471" s="6">
        <f>YEAR(E471)</f>
        <v/>
      </c>
      <c r="D471" s="6">
        <f>MONTH(E471)</f>
        <v/>
      </c>
      <c r="E471" s="267">
        <f>IFERROR(__xludf.DUMMYFUNCTION("""COMPUTED_VALUE"""),43774.6666666666)</f>
        <v/>
      </c>
      <c r="F471" s="6">
        <f>IFERROR(__xludf.DUMMYFUNCTION("""COMPUTED_VALUE"""),3074.62)</f>
        <v/>
      </c>
      <c r="J471" s="6">
        <f>K471&amp;L471</f>
        <v/>
      </c>
      <c r="K471" s="6">
        <f>YEAR(M471)</f>
        <v/>
      </c>
      <c r="L471" s="6">
        <f>MONTH(M471)</f>
        <v/>
      </c>
      <c r="M471" s="267">
        <f>IFERROR(__xludf.DUMMYFUNCTION("""COMPUTED_VALUE"""),43773.6666666666)</f>
        <v/>
      </c>
      <c r="N471" s="6">
        <f>IFERROR(__xludf.DUMMYFUNCTION("""COMPUTED_VALUE"""),8433.2)</f>
        <v/>
      </c>
      <c r="R471" s="6">
        <f>S471&amp;T471</f>
        <v/>
      </c>
      <c r="S471" s="6">
        <f>YEAR(U471)</f>
        <v/>
      </c>
      <c r="T471" s="6">
        <f>MONTH(U471)</f>
        <v/>
      </c>
      <c r="U471" s="267">
        <f>IFERROR(__xludf.DUMMYFUNCTION("""COMPUTED_VALUE"""),43801.6458333333)</f>
        <v/>
      </c>
      <c r="V471" s="6">
        <f>IFERROR(__xludf.DUMMYFUNCTION("""COMPUTED_VALUE"""),2091.92)</f>
        <v/>
      </c>
      <c r="Z471" s="6">
        <f>AA471&amp;AB471</f>
        <v/>
      </c>
      <c r="AA471" s="6">
        <f>YEAR(AC471)</f>
        <v/>
      </c>
      <c r="AB471" s="6">
        <f>MONTH(AC471)</f>
        <v/>
      </c>
      <c r="AC471" s="267">
        <f>IFERROR(__xludf.DUMMYFUNCTION("""COMPUTED_VALUE"""),43591.9986111111)</f>
        <v/>
      </c>
      <c r="AD471" s="6">
        <f>IFERROR(__xludf.DUMMYFUNCTION("""COMPUTED_VALUE"""),1168.05)</f>
        <v/>
      </c>
      <c r="AH471" s="6">
        <f>AI471&amp;AJ471</f>
        <v/>
      </c>
      <c r="AI471" s="6">
        <f>YEAR(AK471)</f>
        <v/>
      </c>
      <c r="AJ471" s="6">
        <f>MONTH(AK471)</f>
        <v/>
      </c>
      <c r="AK471" s="267">
        <f>IFERROR(__xludf.DUMMYFUNCTION("""COMPUTED_VALUE"""),43563.9986111111)</f>
        <v/>
      </c>
      <c r="AL471" s="6">
        <f>IFERROR(__xludf.DUMMYFUNCTION("""COMPUTED_VALUE"""),5289.03)</f>
        <v/>
      </c>
      <c r="AP471" s="6">
        <f>AQ471&amp;AR471</f>
        <v/>
      </c>
      <c r="AQ471" s="6">
        <f>YEAR(AS471)</f>
        <v/>
      </c>
      <c r="AR471" s="6">
        <f>MONTH(AS471)</f>
        <v/>
      </c>
      <c r="AS471" s="267">
        <f>IFERROR(__xludf.DUMMYFUNCTION("""COMPUTED_VALUE"""),43783.9986111111)</f>
        <v/>
      </c>
      <c r="AT471" s="6">
        <f>IFERROR(__xludf.DUMMYFUNCTION("""COMPUTED_VALUE"""),1473.4)</f>
        <v/>
      </c>
    </row>
    <row r="472">
      <c r="B472" s="6">
        <f>C472&amp;D472</f>
        <v/>
      </c>
      <c r="C472" s="6">
        <f>YEAR(E472)</f>
        <v/>
      </c>
      <c r="D472" s="6">
        <f>MONTH(E472)</f>
        <v/>
      </c>
      <c r="E472" s="267">
        <f>IFERROR(__xludf.DUMMYFUNCTION("""COMPUTED_VALUE"""),43775.6666666666)</f>
        <v/>
      </c>
      <c r="F472" s="6">
        <f>IFERROR(__xludf.DUMMYFUNCTION("""COMPUTED_VALUE"""),3076.78)</f>
        <v/>
      </c>
      <c r="J472" s="6">
        <f>K472&amp;L472</f>
        <v/>
      </c>
      <c r="K472" s="6">
        <f>YEAR(M472)</f>
        <v/>
      </c>
      <c r="L472" s="6">
        <f>MONTH(M472)</f>
        <v/>
      </c>
      <c r="M472" s="267">
        <f>IFERROR(__xludf.DUMMYFUNCTION("""COMPUTED_VALUE"""),43774.6666666666)</f>
        <v/>
      </c>
      <c r="N472" s="6">
        <f>IFERROR(__xludf.DUMMYFUNCTION("""COMPUTED_VALUE"""),8434.68)</f>
        <v/>
      </c>
      <c r="R472" s="6">
        <f>S472&amp;T472</f>
        <v/>
      </c>
      <c r="S472" s="6">
        <f>YEAR(U472)</f>
        <v/>
      </c>
      <c r="T472" s="6">
        <f>MONTH(U472)</f>
        <v/>
      </c>
      <c r="U472" s="267">
        <f>IFERROR(__xludf.DUMMYFUNCTION("""COMPUTED_VALUE"""),43802.6458333333)</f>
        <v/>
      </c>
      <c r="V472" s="6">
        <f>IFERROR(__xludf.DUMMYFUNCTION("""COMPUTED_VALUE"""),2084.07)</f>
        <v/>
      </c>
      <c r="Z472" s="6">
        <f>AA472&amp;AB472</f>
        <v/>
      </c>
      <c r="AA472" s="6">
        <f>YEAR(AC472)</f>
        <v/>
      </c>
      <c r="AB472" s="6">
        <f>MONTH(AC472)</f>
        <v/>
      </c>
      <c r="AC472" s="267">
        <f>IFERROR(__xludf.DUMMYFUNCTION("""COMPUTED_VALUE"""),43592.9986111111)</f>
        <v/>
      </c>
      <c r="AD472" s="6">
        <f>IFERROR(__xludf.DUMMYFUNCTION("""COMPUTED_VALUE"""),1171.3)</f>
        <v/>
      </c>
      <c r="AH472" s="6">
        <f>AI472&amp;AJ472</f>
        <v/>
      </c>
      <c r="AI472" s="6">
        <f>YEAR(AK472)</f>
        <v/>
      </c>
      <c r="AJ472" s="6">
        <f>MONTH(AK472)</f>
        <v/>
      </c>
      <c r="AK472" s="267">
        <f>IFERROR(__xludf.DUMMYFUNCTION("""COMPUTED_VALUE"""),43564.9986111111)</f>
        <v/>
      </c>
      <c r="AL472" s="6">
        <f>IFERROR(__xludf.DUMMYFUNCTION("""COMPUTED_VALUE"""),5199.502)</f>
        <v/>
      </c>
      <c r="AP472" s="6">
        <f>AQ472&amp;AR472</f>
        <v/>
      </c>
      <c r="AQ472" s="6">
        <f>YEAR(AS472)</f>
        <v/>
      </c>
      <c r="AR472" s="6">
        <f>MONTH(AS472)</f>
        <v/>
      </c>
      <c r="AS472" s="267">
        <f>IFERROR(__xludf.DUMMYFUNCTION("""COMPUTED_VALUE"""),43784.9986111111)</f>
        <v/>
      </c>
      <c r="AT472" s="6">
        <f>IFERROR(__xludf.DUMMYFUNCTION("""COMPUTED_VALUE"""),1468.5)</f>
        <v/>
      </c>
    </row>
    <row r="473">
      <c r="B473" s="6">
        <f>C473&amp;D473</f>
        <v/>
      </c>
      <c r="C473" s="6">
        <f>YEAR(E473)</f>
        <v/>
      </c>
      <c r="D473" s="6">
        <f>MONTH(E473)</f>
        <v/>
      </c>
      <c r="E473" s="267">
        <f>IFERROR(__xludf.DUMMYFUNCTION("""COMPUTED_VALUE"""),43776.6666666666)</f>
        <v/>
      </c>
      <c r="F473" s="6">
        <f>IFERROR(__xludf.DUMMYFUNCTION("""COMPUTED_VALUE"""),3085.18)</f>
        <v/>
      </c>
      <c r="J473" s="6">
        <f>K473&amp;L473</f>
        <v/>
      </c>
      <c r="K473" s="6">
        <f>YEAR(M473)</f>
        <v/>
      </c>
      <c r="L473" s="6">
        <f>MONTH(M473)</f>
        <v/>
      </c>
      <c r="M473" s="267">
        <f>IFERROR(__xludf.DUMMYFUNCTION("""COMPUTED_VALUE"""),43775.6666666666)</f>
        <v/>
      </c>
      <c r="N473" s="6">
        <f>IFERROR(__xludf.DUMMYFUNCTION("""COMPUTED_VALUE"""),8410.63)</f>
        <v/>
      </c>
      <c r="R473" s="6">
        <f>S473&amp;T473</f>
        <v/>
      </c>
      <c r="S473" s="6">
        <f>YEAR(U473)</f>
        <v/>
      </c>
      <c r="T473" s="6">
        <f>MONTH(U473)</f>
        <v/>
      </c>
      <c r="U473" s="267">
        <f>IFERROR(__xludf.DUMMYFUNCTION("""COMPUTED_VALUE"""),43803.6458333333)</f>
        <v/>
      </c>
      <c r="V473" s="6">
        <f>IFERROR(__xludf.DUMMYFUNCTION("""COMPUTED_VALUE"""),2068.89)</f>
        <v/>
      </c>
      <c r="Z473" s="6">
        <f>AA473&amp;AB473</f>
        <v/>
      </c>
      <c r="AA473" s="6">
        <f>YEAR(AC473)</f>
        <v/>
      </c>
      <c r="AB473" s="6">
        <f>MONTH(AC473)</f>
        <v/>
      </c>
      <c r="AC473" s="267">
        <f>IFERROR(__xludf.DUMMYFUNCTION("""COMPUTED_VALUE"""),43593.9986111111)</f>
        <v/>
      </c>
      <c r="AD473" s="6">
        <f>IFERROR(__xludf.DUMMYFUNCTION("""COMPUTED_VALUE"""),1172.19)</f>
        <v/>
      </c>
      <c r="AH473" s="6">
        <f>AI473&amp;AJ473</f>
        <v/>
      </c>
      <c r="AI473" s="6">
        <f>YEAR(AK473)</f>
        <v/>
      </c>
      <c r="AJ473" s="6">
        <f>MONTH(AK473)</f>
        <v/>
      </c>
      <c r="AK473" s="267">
        <f>IFERROR(__xludf.DUMMYFUNCTION("""COMPUTED_VALUE"""),43565.9986111111)</f>
        <v/>
      </c>
      <c r="AL473" s="6">
        <f>IFERROR(__xludf.DUMMYFUNCTION("""COMPUTED_VALUE"""),5312.551)</f>
        <v/>
      </c>
      <c r="AP473" s="6">
        <f>AQ473&amp;AR473</f>
        <v/>
      </c>
      <c r="AQ473" s="6">
        <f>YEAR(AS473)</f>
        <v/>
      </c>
      <c r="AR473" s="6">
        <f>MONTH(AS473)</f>
        <v/>
      </c>
      <c r="AS473" s="267">
        <f>IFERROR(__xludf.DUMMYFUNCTION("""COMPUTED_VALUE"""),43787.9986111111)</f>
        <v/>
      </c>
      <c r="AT473" s="6">
        <f>IFERROR(__xludf.DUMMYFUNCTION("""COMPUTED_VALUE"""),1471.9)</f>
        <v/>
      </c>
    </row>
    <row r="474">
      <c r="B474" s="6">
        <f>C474&amp;D474</f>
        <v/>
      </c>
      <c r="C474" s="6">
        <f>YEAR(E474)</f>
        <v/>
      </c>
      <c r="D474" s="6">
        <f>MONTH(E474)</f>
        <v/>
      </c>
      <c r="E474" s="267">
        <f>IFERROR(__xludf.DUMMYFUNCTION("""COMPUTED_VALUE"""),43777.6666666666)</f>
        <v/>
      </c>
      <c r="F474" s="6">
        <f>IFERROR(__xludf.DUMMYFUNCTION("""COMPUTED_VALUE"""),3093.08)</f>
        <v/>
      </c>
      <c r="J474" s="6">
        <f>K474&amp;L474</f>
        <v/>
      </c>
      <c r="K474" s="6">
        <f>YEAR(M474)</f>
        <v/>
      </c>
      <c r="L474" s="6">
        <f>MONTH(M474)</f>
        <v/>
      </c>
      <c r="M474" s="267">
        <f>IFERROR(__xludf.DUMMYFUNCTION("""COMPUTED_VALUE"""),43776.6666666666)</f>
        <v/>
      </c>
      <c r="N474" s="6">
        <f>IFERROR(__xludf.DUMMYFUNCTION("""COMPUTED_VALUE"""),8434.52)</f>
        <v/>
      </c>
      <c r="R474" s="6">
        <f>S474&amp;T474</f>
        <v/>
      </c>
      <c r="S474" s="6">
        <f>YEAR(U474)</f>
        <v/>
      </c>
      <c r="T474" s="6">
        <f>MONTH(U474)</f>
        <v/>
      </c>
      <c r="U474" s="267">
        <f>IFERROR(__xludf.DUMMYFUNCTION("""COMPUTED_VALUE"""),43804.6458333333)</f>
        <v/>
      </c>
      <c r="V474" s="6">
        <f>IFERROR(__xludf.DUMMYFUNCTION("""COMPUTED_VALUE"""),2060.74)</f>
        <v/>
      </c>
      <c r="Z474" s="6">
        <f>AA474&amp;AB474</f>
        <v/>
      </c>
      <c r="AA474" s="6">
        <f>YEAR(AC474)</f>
        <v/>
      </c>
      <c r="AB474" s="6">
        <f>MONTH(AC474)</f>
        <v/>
      </c>
      <c r="AC474" s="267">
        <f>IFERROR(__xludf.DUMMYFUNCTION("""COMPUTED_VALUE"""),43594.9986111111)</f>
        <v/>
      </c>
      <c r="AD474" s="6">
        <f>IFERROR(__xludf.DUMMYFUNCTION("""COMPUTED_VALUE"""),1179.19)</f>
        <v/>
      </c>
      <c r="AH474" s="6">
        <f>AI474&amp;AJ474</f>
        <v/>
      </c>
      <c r="AI474" s="6">
        <f>YEAR(AK474)</f>
        <v/>
      </c>
      <c r="AJ474" s="6">
        <f>MONTH(AK474)</f>
        <v/>
      </c>
      <c r="AK474" s="267">
        <f>IFERROR(__xludf.DUMMYFUNCTION("""COMPUTED_VALUE"""),43566.9986111111)</f>
        <v/>
      </c>
      <c r="AL474" s="6">
        <f>IFERROR(__xludf.DUMMYFUNCTION("""COMPUTED_VALUE"""),5039.996)</f>
        <v/>
      </c>
      <c r="AP474" s="6">
        <f>AQ474&amp;AR474</f>
        <v/>
      </c>
      <c r="AQ474" s="6">
        <f>YEAR(AS474)</f>
        <v/>
      </c>
      <c r="AR474" s="6">
        <f>MONTH(AS474)</f>
        <v/>
      </c>
      <c r="AS474" s="267">
        <f>IFERROR(__xludf.DUMMYFUNCTION("""COMPUTED_VALUE"""),43788.9986111111)</f>
        <v/>
      </c>
      <c r="AT474" s="6">
        <f>IFERROR(__xludf.DUMMYFUNCTION("""COMPUTED_VALUE"""),1474.3)</f>
        <v/>
      </c>
    </row>
    <row r="475">
      <c r="B475" s="6">
        <f>C475&amp;D475</f>
        <v/>
      </c>
      <c r="C475" s="6">
        <f>YEAR(E475)</f>
        <v/>
      </c>
      <c r="D475" s="6">
        <f>MONTH(E475)</f>
        <v/>
      </c>
      <c r="E475" s="267">
        <f>IFERROR(__xludf.DUMMYFUNCTION("""COMPUTED_VALUE"""),43780.6666666666)</f>
        <v/>
      </c>
      <c r="F475" s="6">
        <f>IFERROR(__xludf.DUMMYFUNCTION("""COMPUTED_VALUE"""),3087.01)</f>
        <v/>
      </c>
      <c r="J475" s="6">
        <f>K475&amp;L475</f>
        <v/>
      </c>
      <c r="K475" s="6">
        <f>YEAR(M475)</f>
        <v/>
      </c>
      <c r="L475" s="6">
        <f>MONTH(M475)</f>
        <v/>
      </c>
      <c r="M475" s="267">
        <f>IFERROR(__xludf.DUMMYFUNCTION("""COMPUTED_VALUE"""),43777.6666666666)</f>
        <v/>
      </c>
      <c r="N475" s="6">
        <f>IFERROR(__xludf.DUMMYFUNCTION("""COMPUTED_VALUE"""),8475.31)</f>
        <v/>
      </c>
      <c r="R475" s="6">
        <f>S475&amp;T475</f>
        <v/>
      </c>
      <c r="S475" s="6">
        <f>YEAR(U475)</f>
        <v/>
      </c>
      <c r="T475" s="6">
        <f>MONTH(U475)</f>
        <v/>
      </c>
      <c r="U475" s="267">
        <f>IFERROR(__xludf.DUMMYFUNCTION("""COMPUTED_VALUE"""),43805.6458333333)</f>
        <v/>
      </c>
      <c r="V475" s="6">
        <f>IFERROR(__xludf.DUMMYFUNCTION("""COMPUTED_VALUE"""),2081.85)</f>
        <v/>
      </c>
      <c r="Z475" s="6">
        <f>AA475&amp;AB475</f>
        <v/>
      </c>
      <c r="AA475" s="6">
        <f>YEAR(AC475)</f>
        <v/>
      </c>
      <c r="AB475" s="6">
        <f>MONTH(AC475)</f>
        <v/>
      </c>
      <c r="AC475" s="267">
        <f>IFERROR(__xludf.DUMMYFUNCTION("""COMPUTED_VALUE"""),43595.9986111111)</f>
        <v/>
      </c>
      <c r="AD475" s="6">
        <f>IFERROR(__xludf.DUMMYFUNCTION("""COMPUTED_VALUE"""),1173.95)</f>
        <v/>
      </c>
      <c r="AH475" s="6">
        <f>AI475&amp;AJ475</f>
        <v/>
      </c>
      <c r="AI475" s="6">
        <f>YEAR(AK475)</f>
        <v/>
      </c>
      <c r="AJ475" s="6">
        <f>MONTH(AK475)</f>
        <v/>
      </c>
      <c r="AK475" s="267">
        <f>IFERROR(__xludf.DUMMYFUNCTION("""COMPUTED_VALUE"""),43567.9986111111)</f>
        <v/>
      </c>
      <c r="AL475" s="6">
        <f>IFERROR(__xludf.DUMMYFUNCTION("""COMPUTED_VALUE"""),5087.412)</f>
        <v/>
      </c>
      <c r="AP475" s="6">
        <f>AQ475&amp;AR475</f>
        <v/>
      </c>
      <c r="AQ475" s="6">
        <f>YEAR(AS475)</f>
        <v/>
      </c>
      <c r="AR475" s="6">
        <f>MONTH(AS475)</f>
        <v/>
      </c>
      <c r="AS475" s="267">
        <f>IFERROR(__xludf.DUMMYFUNCTION("""COMPUTED_VALUE"""),43789.9986111111)</f>
        <v/>
      </c>
      <c r="AT475" s="6">
        <f>IFERROR(__xludf.DUMMYFUNCTION("""COMPUTED_VALUE"""),1474.2)</f>
        <v/>
      </c>
    </row>
    <row r="476">
      <c r="B476" s="6">
        <f>C476&amp;D476</f>
        <v/>
      </c>
      <c r="C476" s="6">
        <f>YEAR(E476)</f>
        <v/>
      </c>
      <c r="D476" s="6">
        <f>MONTH(E476)</f>
        <v/>
      </c>
      <c r="E476" s="267">
        <f>IFERROR(__xludf.DUMMYFUNCTION("""COMPUTED_VALUE"""),43781.6666666666)</f>
        <v/>
      </c>
      <c r="F476" s="6">
        <f>IFERROR(__xludf.DUMMYFUNCTION("""COMPUTED_VALUE"""),3091.84)</f>
        <v/>
      </c>
      <c r="J476" s="6">
        <f>K476&amp;L476</f>
        <v/>
      </c>
      <c r="K476" s="6">
        <f>YEAR(M476)</f>
        <v/>
      </c>
      <c r="L476" s="6">
        <f>MONTH(M476)</f>
        <v/>
      </c>
      <c r="M476" s="267">
        <f>IFERROR(__xludf.DUMMYFUNCTION("""COMPUTED_VALUE"""),43780.6666666666)</f>
        <v/>
      </c>
      <c r="N476" s="6">
        <f>IFERROR(__xludf.DUMMYFUNCTION("""COMPUTED_VALUE"""),8464.28)</f>
        <v/>
      </c>
      <c r="R476" s="6">
        <f>S476&amp;T476</f>
        <v/>
      </c>
      <c r="S476" s="6">
        <f>YEAR(U476)</f>
        <v/>
      </c>
      <c r="T476" s="6">
        <f>MONTH(U476)</f>
        <v/>
      </c>
      <c r="U476" s="267">
        <f>IFERROR(__xludf.DUMMYFUNCTION("""COMPUTED_VALUE"""),43808.6458333333)</f>
        <v/>
      </c>
      <c r="V476" s="6">
        <f>IFERROR(__xludf.DUMMYFUNCTION("""COMPUTED_VALUE"""),2088.65)</f>
        <v/>
      </c>
      <c r="Z476" s="6">
        <f>AA476&amp;AB476</f>
        <v/>
      </c>
      <c r="AA476" s="6">
        <f>YEAR(AC476)</f>
        <v/>
      </c>
      <c r="AB476" s="6">
        <f>MONTH(AC476)</f>
        <v/>
      </c>
      <c r="AC476" s="267">
        <f>IFERROR(__xludf.DUMMYFUNCTION("""COMPUTED_VALUE"""),43597.9986111111)</f>
        <v/>
      </c>
      <c r="AD476" s="6">
        <f>IFERROR(__xludf.DUMMYFUNCTION("""COMPUTED_VALUE"""),1174.42)</f>
        <v/>
      </c>
      <c r="AH476" s="6">
        <f>AI476&amp;AJ476</f>
        <v/>
      </c>
      <c r="AI476" s="6">
        <f>YEAR(AK476)</f>
        <v/>
      </c>
      <c r="AJ476" s="6">
        <f>MONTH(AK476)</f>
        <v/>
      </c>
      <c r="AK476" s="267">
        <f>IFERROR(__xludf.DUMMYFUNCTION("""COMPUTED_VALUE"""),43568.9986111111)</f>
        <v/>
      </c>
      <c r="AL476" s="6">
        <f>IFERROR(__xludf.DUMMYFUNCTION("""COMPUTED_VALUE"""),5067.361)</f>
        <v/>
      </c>
      <c r="AP476" s="6">
        <f>AQ476&amp;AR476</f>
        <v/>
      </c>
      <c r="AQ476" s="6">
        <f>YEAR(AS476)</f>
        <v/>
      </c>
      <c r="AR476" s="6">
        <f>MONTH(AS476)</f>
        <v/>
      </c>
      <c r="AS476" s="267">
        <f>IFERROR(__xludf.DUMMYFUNCTION("""COMPUTED_VALUE"""),43790.9986111111)</f>
        <v/>
      </c>
      <c r="AT476" s="6">
        <f>IFERROR(__xludf.DUMMYFUNCTION("""COMPUTED_VALUE"""),1463.6)</f>
        <v/>
      </c>
    </row>
    <row r="477">
      <c r="B477" s="6">
        <f>C477&amp;D477</f>
        <v/>
      </c>
      <c r="C477" s="6">
        <f>YEAR(E477)</f>
        <v/>
      </c>
      <c r="D477" s="6">
        <f>MONTH(E477)</f>
        <v/>
      </c>
      <c r="E477" s="267">
        <f>IFERROR(__xludf.DUMMYFUNCTION("""COMPUTED_VALUE"""),43782.6666666666)</f>
        <v/>
      </c>
      <c r="F477" s="6">
        <f>IFERROR(__xludf.DUMMYFUNCTION("""COMPUTED_VALUE"""),3094.04)</f>
        <v/>
      </c>
      <c r="J477" s="6">
        <f>K477&amp;L477</f>
        <v/>
      </c>
      <c r="K477" s="6">
        <f>YEAR(M477)</f>
        <v/>
      </c>
      <c r="L477" s="6">
        <f>MONTH(M477)</f>
        <v/>
      </c>
      <c r="M477" s="267">
        <f>IFERROR(__xludf.DUMMYFUNCTION("""COMPUTED_VALUE"""),43781.6666666666)</f>
        <v/>
      </c>
      <c r="N477" s="6">
        <f>IFERROR(__xludf.DUMMYFUNCTION("""COMPUTED_VALUE"""),8486.09)</f>
        <v/>
      </c>
      <c r="R477" s="6">
        <f>S477&amp;T477</f>
        <v/>
      </c>
      <c r="S477" s="6">
        <f>YEAR(U477)</f>
        <v/>
      </c>
      <c r="T477" s="6">
        <f>MONTH(U477)</f>
        <v/>
      </c>
      <c r="U477" s="267">
        <f>IFERROR(__xludf.DUMMYFUNCTION("""COMPUTED_VALUE"""),43809.6458333333)</f>
        <v/>
      </c>
      <c r="V477" s="6">
        <f>IFERROR(__xludf.DUMMYFUNCTION("""COMPUTED_VALUE"""),2098)</f>
        <v/>
      </c>
      <c r="Z477" s="6">
        <f>AA477&amp;AB477</f>
        <v/>
      </c>
      <c r="AA477" s="6">
        <f>YEAR(AC477)</f>
        <v/>
      </c>
      <c r="AB477" s="6">
        <f>MONTH(AC477)</f>
        <v/>
      </c>
      <c r="AC477" s="267">
        <f>IFERROR(__xludf.DUMMYFUNCTION("""COMPUTED_VALUE"""),43598.9986111111)</f>
        <v/>
      </c>
      <c r="AD477" s="6">
        <f>IFERROR(__xludf.DUMMYFUNCTION("""COMPUTED_VALUE"""),1187.18)</f>
        <v/>
      </c>
      <c r="AH477" s="6">
        <f>AI477&amp;AJ477</f>
        <v/>
      </c>
      <c r="AI477" s="6">
        <f>YEAR(AK477)</f>
        <v/>
      </c>
      <c r="AJ477" s="6">
        <f>MONTH(AK477)</f>
        <v/>
      </c>
      <c r="AK477" s="267">
        <f>IFERROR(__xludf.DUMMYFUNCTION("""COMPUTED_VALUE"""),43569.9986111111)</f>
        <v/>
      </c>
      <c r="AL477" s="6">
        <f>IFERROR(__xludf.DUMMYFUNCTION("""COMPUTED_VALUE"""),5173.506)</f>
        <v/>
      </c>
      <c r="AP477" s="6">
        <f>AQ477&amp;AR477</f>
        <v/>
      </c>
      <c r="AQ477" s="6">
        <f>YEAR(AS477)</f>
        <v/>
      </c>
      <c r="AR477" s="6">
        <f>MONTH(AS477)</f>
        <v/>
      </c>
      <c r="AS477" s="267">
        <f>IFERROR(__xludf.DUMMYFUNCTION("""COMPUTED_VALUE"""),43791.9986111111)</f>
        <v/>
      </c>
      <c r="AT477" s="6">
        <f>IFERROR(__xludf.DUMMYFUNCTION("""COMPUTED_VALUE"""),1470.5)</f>
        <v/>
      </c>
    </row>
    <row r="478">
      <c r="B478" s="6">
        <f>C478&amp;D478</f>
        <v/>
      </c>
      <c r="C478" s="6">
        <f>YEAR(E478)</f>
        <v/>
      </c>
      <c r="D478" s="6">
        <f>MONTH(E478)</f>
        <v/>
      </c>
      <c r="E478" s="267">
        <f>IFERROR(__xludf.DUMMYFUNCTION("""COMPUTED_VALUE"""),43783.6666666666)</f>
        <v/>
      </c>
      <c r="F478" s="6">
        <f>IFERROR(__xludf.DUMMYFUNCTION("""COMPUTED_VALUE"""),3096.63)</f>
        <v/>
      </c>
      <c r="J478" s="6">
        <f>K478&amp;L478</f>
        <v/>
      </c>
      <c r="K478" s="6">
        <f>YEAR(M478)</f>
        <v/>
      </c>
      <c r="L478" s="6">
        <f>MONTH(M478)</f>
        <v/>
      </c>
      <c r="M478" s="267">
        <f>IFERROR(__xludf.DUMMYFUNCTION("""COMPUTED_VALUE"""),43782.6666666666)</f>
        <v/>
      </c>
      <c r="N478" s="6">
        <f>IFERROR(__xludf.DUMMYFUNCTION("""COMPUTED_VALUE"""),8482.1)</f>
        <v/>
      </c>
      <c r="R478" s="6">
        <f>S478&amp;T478</f>
        <v/>
      </c>
      <c r="S478" s="6">
        <f>YEAR(U478)</f>
        <v/>
      </c>
      <c r="T478" s="6">
        <f>MONTH(U478)</f>
        <v/>
      </c>
      <c r="U478" s="267">
        <f>IFERROR(__xludf.DUMMYFUNCTION("""COMPUTED_VALUE"""),43810.6458333333)</f>
        <v/>
      </c>
      <c r="V478" s="6">
        <f>IFERROR(__xludf.DUMMYFUNCTION("""COMPUTED_VALUE"""),2105.62)</f>
        <v/>
      </c>
      <c r="Z478" s="6">
        <f>AA478&amp;AB478</f>
        <v/>
      </c>
      <c r="AA478" s="6">
        <f>YEAR(AC478)</f>
        <v/>
      </c>
      <c r="AB478" s="6">
        <f>MONTH(AC478)</f>
        <v/>
      </c>
      <c r="AC478" s="267">
        <f>IFERROR(__xludf.DUMMYFUNCTION("""COMPUTED_VALUE"""),43599.9986111111)</f>
        <v/>
      </c>
      <c r="AD478" s="6">
        <f>IFERROR(__xludf.DUMMYFUNCTION("""COMPUTED_VALUE"""),1186.93)</f>
        <v/>
      </c>
      <c r="AH478" s="6">
        <f>AI478&amp;AJ478</f>
        <v/>
      </c>
      <c r="AI478" s="6">
        <f>YEAR(AK478)</f>
        <v/>
      </c>
      <c r="AJ478" s="6">
        <f>MONTH(AK478)</f>
        <v/>
      </c>
      <c r="AK478" s="267">
        <f>IFERROR(__xludf.DUMMYFUNCTION("""COMPUTED_VALUE"""),43570.9986111111)</f>
        <v/>
      </c>
      <c r="AL478" s="6">
        <f>IFERROR(__xludf.DUMMYFUNCTION("""COMPUTED_VALUE"""),5037.448)</f>
        <v/>
      </c>
      <c r="AP478" s="6">
        <f>AQ478&amp;AR478</f>
        <v/>
      </c>
      <c r="AQ478" s="6">
        <f>YEAR(AS478)</f>
        <v/>
      </c>
      <c r="AR478" s="6">
        <f>MONTH(AS478)</f>
        <v/>
      </c>
      <c r="AS478" s="267">
        <f>IFERROR(__xludf.DUMMYFUNCTION("""COMPUTED_VALUE"""),43794.9986111111)</f>
        <v/>
      </c>
      <c r="AT478" s="6">
        <f>IFERROR(__xludf.DUMMYFUNCTION("""COMPUTED_VALUE"""),1463.8)</f>
        <v/>
      </c>
    </row>
    <row r="479">
      <c r="B479" s="6">
        <f>C479&amp;D479</f>
        <v/>
      </c>
      <c r="C479" s="6">
        <f>YEAR(E479)</f>
        <v/>
      </c>
      <c r="D479" s="6">
        <f>MONTH(E479)</f>
        <v/>
      </c>
      <c r="E479" s="267">
        <f>IFERROR(__xludf.DUMMYFUNCTION("""COMPUTED_VALUE"""),43784.6666666666)</f>
        <v/>
      </c>
      <c r="F479" s="6">
        <f>IFERROR(__xludf.DUMMYFUNCTION("""COMPUTED_VALUE"""),3120.46)</f>
        <v/>
      </c>
      <c r="J479" s="6">
        <f>K479&amp;L479</f>
        <v/>
      </c>
      <c r="K479" s="6">
        <f>YEAR(M479)</f>
        <v/>
      </c>
      <c r="L479" s="6">
        <f>MONTH(M479)</f>
        <v/>
      </c>
      <c r="M479" s="267">
        <f>IFERROR(__xludf.DUMMYFUNCTION("""COMPUTED_VALUE"""),43783.6666666666)</f>
        <v/>
      </c>
      <c r="N479" s="6">
        <f>IFERROR(__xludf.DUMMYFUNCTION("""COMPUTED_VALUE"""),8479.02)</f>
        <v/>
      </c>
      <c r="R479" s="6">
        <f>S479&amp;T479</f>
        <v/>
      </c>
      <c r="S479" s="6">
        <f>YEAR(U479)</f>
        <v/>
      </c>
      <c r="T479" s="6">
        <f>MONTH(U479)</f>
        <v/>
      </c>
      <c r="U479" s="267">
        <f>IFERROR(__xludf.DUMMYFUNCTION("""COMPUTED_VALUE"""),43811.6458333333)</f>
        <v/>
      </c>
      <c r="V479" s="6">
        <f>IFERROR(__xludf.DUMMYFUNCTION("""COMPUTED_VALUE"""),2137.35)</f>
        <v/>
      </c>
      <c r="Z479" s="6">
        <f>AA479&amp;AB479</f>
        <v/>
      </c>
      <c r="AA479" s="6">
        <f>YEAR(AC479)</f>
        <v/>
      </c>
      <c r="AB479" s="6">
        <f>MONTH(AC479)</f>
        <v/>
      </c>
      <c r="AC479" s="267">
        <f>IFERROR(__xludf.DUMMYFUNCTION("""COMPUTED_VALUE"""),43600.9986111111)</f>
        <v/>
      </c>
      <c r="AD479" s="6">
        <f>IFERROR(__xludf.DUMMYFUNCTION("""COMPUTED_VALUE"""),1186.04)</f>
        <v/>
      </c>
      <c r="AH479" s="6">
        <f>AI479&amp;AJ479</f>
        <v/>
      </c>
      <c r="AI479" s="6">
        <f>YEAR(AK479)</f>
        <v/>
      </c>
      <c r="AJ479" s="6">
        <f>MONTH(AK479)</f>
        <v/>
      </c>
      <c r="AK479" s="267">
        <f>IFERROR(__xludf.DUMMYFUNCTION("""COMPUTED_VALUE"""),43571.9986111111)</f>
        <v/>
      </c>
      <c r="AL479" s="6">
        <f>IFERROR(__xludf.DUMMYFUNCTION("""COMPUTED_VALUE"""),5202.311)</f>
        <v/>
      </c>
      <c r="AP479" s="6">
        <f>AQ479&amp;AR479</f>
        <v/>
      </c>
      <c r="AQ479" s="6">
        <f>YEAR(AS479)</f>
        <v/>
      </c>
      <c r="AR479" s="6">
        <f>MONTH(AS479)</f>
        <v/>
      </c>
      <c r="AS479" s="267">
        <f>IFERROR(__xludf.DUMMYFUNCTION("""COMPUTED_VALUE"""),43795.9986111111)</f>
        <v/>
      </c>
      <c r="AT479" s="6">
        <f>IFERROR(__xludf.DUMMYFUNCTION("""COMPUTED_VALUE"""),1467.4)</f>
        <v/>
      </c>
    </row>
    <row r="480">
      <c r="B480" s="6">
        <f>C480&amp;D480</f>
        <v/>
      </c>
      <c r="C480" s="6">
        <f>YEAR(E480)</f>
        <v/>
      </c>
      <c r="D480" s="6">
        <f>MONTH(E480)</f>
        <v/>
      </c>
      <c r="E480" s="267">
        <f>IFERROR(__xludf.DUMMYFUNCTION("""COMPUTED_VALUE"""),43787.6666666666)</f>
        <v/>
      </c>
      <c r="F480" s="6">
        <f>IFERROR(__xludf.DUMMYFUNCTION("""COMPUTED_VALUE"""),3122.03)</f>
        <v/>
      </c>
      <c r="J480" s="6">
        <f>K480&amp;L480</f>
        <v/>
      </c>
      <c r="K480" s="6">
        <f>YEAR(M480)</f>
        <v/>
      </c>
      <c r="L480" s="6">
        <f>MONTH(M480)</f>
        <v/>
      </c>
      <c r="M480" s="267">
        <f>IFERROR(__xludf.DUMMYFUNCTION("""COMPUTED_VALUE"""),43784.6666666666)</f>
        <v/>
      </c>
      <c r="N480" s="6">
        <f>IFERROR(__xludf.DUMMYFUNCTION("""COMPUTED_VALUE"""),8540.83)</f>
        <v/>
      </c>
      <c r="R480" s="6">
        <f>S480&amp;T480</f>
        <v/>
      </c>
      <c r="S480" s="6">
        <f>YEAR(U480)</f>
        <v/>
      </c>
      <c r="T480" s="6">
        <f>MONTH(U480)</f>
        <v/>
      </c>
      <c r="U480" s="267">
        <f>IFERROR(__xludf.DUMMYFUNCTION("""COMPUTED_VALUE"""),43815.6458333333)</f>
        <v/>
      </c>
      <c r="V480" s="6">
        <f>IFERROR(__xludf.DUMMYFUNCTION("""COMPUTED_VALUE"""),2168.15)</f>
        <v/>
      </c>
      <c r="Z480" s="6">
        <f>AA480&amp;AB480</f>
        <v/>
      </c>
      <c r="AA480" s="6">
        <f>YEAR(AC480)</f>
        <v/>
      </c>
      <c r="AB480" s="6">
        <f>MONTH(AC480)</f>
        <v/>
      </c>
      <c r="AC480" s="267">
        <f>IFERROR(__xludf.DUMMYFUNCTION("""COMPUTED_VALUE"""),43601.9986111111)</f>
        <v/>
      </c>
      <c r="AD480" s="6">
        <f>IFERROR(__xludf.DUMMYFUNCTION("""COMPUTED_VALUE"""),1190.49)</f>
        <v/>
      </c>
      <c r="AH480" s="6">
        <f>AI480&amp;AJ480</f>
        <v/>
      </c>
      <c r="AI480" s="6">
        <f>YEAR(AK480)</f>
        <v/>
      </c>
      <c r="AJ480" s="6">
        <f>MONTH(AK480)</f>
        <v/>
      </c>
      <c r="AK480" s="267">
        <f>IFERROR(__xludf.DUMMYFUNCTION("""COMPUTED_VALUE"""),43572.9986111111)</f>
        <v/>
      </c>
      <c r="AL480" s="6">
        <f>IFERROR(__xludf.DUMMYFUNCTION("""COMPUTED_VALUE"""),5237.68)</f>
        <v/>
      </c>
      <c r="AP480" s="6">
        <f>AQ480&amp;AR480</f>
        <v/>
      </c>
      <c r="AQ480" s="6">
        <f>YEAR(AS480)</f>
        <v/>
      </c>
      <c r="AR480" s="6">
        <f>MONTH(AS480)</f>
        <v/>
      </c>
      <c r="AS480" s="267">
        <f>IFERROR(__xludf.DUMMYFUNCTION("""COMPUTED_VALUE"""),43798.5416666666)</f>
        <v/>
      </c>
      <c r="AT480" s="6">
        <f>IFERROR(__xludf.DUMMYFUNCTION("""COMPUTED_VALUE"""),1472.7)</f>
        <v/>
      </c>
    </row>
    <row r="481">
      <c r="B481" s="6">
        <f>C481&amp;D481</f>
        <v/>
      </c>
      <c r="C481" s="6">
        <f>YEAR(E481)</f>
        <v/>
      </c>
      <c r="D481" s="6">
        <f>MONTH(E481)</f>
        <v/>
      </c>
      <c r="E481" s="267">
        <f>IFERROR(__xludf.DUMMYFUNCTION("""COMPUTED_VALUE"""),43788.6666666666)</f>
        <v/>
      </c>
      <c r="F481" s="6">
        <f>IFERROR(__xludf.DUMMYFUNCTION("""COMPUTED_VALUE"""),3120.18)</f>
        <v/>
      </c>
      <c r="J481" s="6">
        <f>K481&amp;L481</f>
        <v/>
      </c>
      <c r="K481" s="6">
        <f>YEAR(M481)</f>
        <v/>
      </c>
      <c r="L481" s="6">
        <f>MONTH(M481)</f>
        <v/>
      </c>
      <c r="M481" s="267">
        <f>IFERROR(__xludf.DUMMYFUNCTION("""COMPUTED_VALUE"""),43787.6666666666)</f>
        <v/>
      </c>
      <c r="N481" s="6">
        <f>IFERROR(__xludf.DUMMYFUNCTION("""COMPUTED_VALUE"""),8549.94)</f>
        <v/>
      </c>
      <c r="R481" s="6">
        <f>S481&amp;T481</f>
        <v/>
      </c>
      <c r="S481" s="6">
        <f>YEAR(U481)</f>
        <v/>
      </c>
      <c r="T481" s="6">
        <f>MONTH(U481)</f>
        <v/>
      </c>
      <c r="U481" s="267">
        <f>IFERROR(__xludf.DUMMYFUNCTION("""COMPUTED_VALUE"""),43816.6458333333)</f>
        <v/>
      </c>
      <c r="V481" s="6">
        <f>IFERROR(__xludf.DUMMYFUNCTION("""COMPUTED_VALUE"""),2195.68)</f>
        <v/>
      </c>
      <c r="Z481" s="6">
        <f>AA481&amp;AB481</f>
        <v/>
      </c>
      <c r="AA481" s="6">
        <f>YEAR(AC481)</f>
        <v/>
      </c>
      <c r="AB481" s="6">
        <f>MONTH(AC481)</f>
        <v/>
      </c>
      <c r="AC481" s="267">
        <f>IFERROR(__xludf.DUMMYFUNCTION("""COMPUTED_VALUE"""),43602.9986111111)</f>
        <v/>
      </c>
      <c r="AD481" s="6">
        <f>IFERROR(__xludf.DUMMYFUNCTION("""COMPUTED_VALUE"""),1193.74)</f>
        <v/>
      </c>
      <c r="AH481" s="6">
        <f>AI481&amp;AJ481</f>
        <v/>
      </c>
      <c r="AI481" s="6">
        <f>YEAR(AK481)</f>
        <v/>
      </c>
      <c r="AJ481" s="6">
        <f>MONTH(AK481)</f>
        <v/>
      </c>
      <c r="AK481" s="267">
        <f>IFERROR(__xludf.DUMMYFUNCTION("""COMPUTED_VALUE"""),43573.9986111111)</f>
        <v/>
      </c>
      <c r="AL481" s="6">
        <f>IFERROR(__xludf.DUMMYFUNCTION("""COMPUTED_VALUE"""),5288.075)</f>
        <v/>
      </c>
      <c r="AP481" s="6">
        <f>AQ481&amp;AR481</f>
        <v/>
      </c>
      <c r="AQ481" s="6">
        <f>YEAR(AS481)</f>
        <v/>
      </c>
      <c r="AR481" s="6">
        <f>MONTH(AS481)</f>
        <v/>
      </c>
      <c r="AS481" s="267">
        <f>IFERROR(__xludf.DUMMYFUNCTION("""COMPUTED_VALUE"""),43801.9986111111)</f>
        <v/>
      </c>
      <c r="AT481" s="6">
        <f>IFERROR(__xludf.DUMMYFUNCTION("""COMPUTED_VALUE"""),1469.2)</f>
        <v/>
      </c>
    </row>
    <row r="482">
      <c r="B482" s="6">
        <f>C482&amp;D482</f>
        <v/>
      </c>
      <c r="C482" s="6">
        <f>YEAR(E482)</f>
        <v/>
      </c>
      <c r="D482" s="6">
        <f>MONTH(E482)</f>
        <v/>
      </c>
      <c r="E482" s="267">
        <f>IFERROR(__xludf.DUMMYFUNCTION("""COMPUTED_VALUE"""),43789.6666666666)</f>
        <v/>
      </c>
      <c r="F482" s="6">
        <f>IFERROR(__xludf.DUMMYFUNCTION("""COMPUTED_VALUE"""),3108.46)</f>
        <v/>
      </c>
      <c r="J482" s="6">
        <f>K482&amp;L482</f>
        <v/>
      </c>
      <c r="K482" s="6">
        <f>YEAR(M482)</f>
        <v/>
      </c>
      <c r="L482" s="6">
        <f>MONTH(M482)</f>
        <v/>
      </c>
      <c r="M482" s="267">
        <f>IFERROR(__xludf.DUMMYFUNCTION("""COMPUTED_VALUE"""),43788.6666666666)</f>
        <v/>
      </c>
      <c r="N482" s="6">
        <f>IFERROR(__xludf.DUMMYFUNCTION("""COMPUTED_VALUE"""),8570.66)</f>
        <v/>
      </c>
      <c r="R482" s="6">
        <f>S482&amp;T482</f>
        <v/>
      </c>
      <c r="S482" s="6">
        <f>YEAR(U482)</f>
        <v/>
      </c>
      <c r="T482" s="6">
        <f>MONTH(U482)</f>
        <v/>
      </c>
      <c r="U482" s="267">
        <f>IFERROR(__xludf.DUMMYFUNCTION("""COMPUTED_VALUE"""),43817.6458333333)</f>
        <v/>
      </c>
      <c r="V482" s="6">
        <f>IFERROR(__xludf.DUMMYFUNCTION("""COMPUTED_VALUE"""),2194.76)</f>
        <v/>
      </c>
      <c r="Z482" s="6">
        <f>AA482&amp;AB482</f>
        <v/>
      </c>
      <c r="AA482" s="6">
        <f>YEAR(AC482)</f>
        <v/>
      </c>
      <c r="AB482" s="6">
        <f>MONTH(AC482)</f>
        <v/>
      </c>
      <c r="AC482" s="267">
        <f>IFERROR(__xludf.DUMMYFUNCTION("""COMPUTED_VALUE"""),43604.9986111111)</f>
        <v/>
      </c>
      <c r="AD482" s="6">
        <f>IFERROR(__xludf.DUMMYFUNCTION("""COMPUTED_VALUE"""),1193.83)</f>
        <v/>
      </c>
      <c r="AH482" s="6">
        <f>AI482&amp;AJ482</f>
        <v/>
      </c>
      <c r="AI482" s="6">
        <f>YEAR(AK482)</f>
        <v/>
      </c>
      <c r="AJ482" s="6">
        <f>MONTH(AK482)</f>
        <v/>
      </c>
      <c r="AK482" s="267">
        <f>IFERROR(__xludf.DUMMYFUNCTION("""COMPUTED_VALUE"""),43574.9986111111)</f>
        <v/>
      </c>
      <c r="AL482" s="6">
        <f>IFERROR(__xludf.DUMMYFUNCTION("""COMPUTED_VALUE"""),5299.659)</f>
        <v/>
      </c>
      <c r="AP482" s="6">
        <f>AQ482&amp;AR482</f>
        <v/>
      </c>
      <c r="AQ482" s="6">
        <f>YEAR(AS482)</f>
        <v/>
      </c>
      <c r="AR482" s="6">
        <f>MONTH(AS482)</f>
        <v/>
      </c>
      <c r="AS482" s="267">
        <f>IFERROR(__xludf.DUMMYFUNCTION("""COMPUTED_VALUE"""),43802.9986111111)</f>
        <v/>
      </c>
      <c r="AT482" s="6">
        <f>IFERROR(__xludf.DUMMYFUNCTION("""COMPUTED_VALUE"""),1484.4)</f>
        <v/>
      </c>
    </row>
    <row r="483">
      <c r="B483" s="6">
        <f>C483&amp;D483</f>
        <v/>
      </c>
      <c r="C483" s="6">
        <f>YEAR(E483)</f>
        <v/>
      </c>
      <c r="D483" s="6">
        <f>MONTH(E483)</f>
        <v/>
      </c>
      <c r="E483" s="267">
        <f>IFERROR(__xludf.DUMMYFUNCTION("""COMPUTED_VALUE"""),43790.6666666666)</f>
        <v/>
      </c>
      <c r="F483" s="6">
        <f>IFERROR(__xludf.DUMMYFUNCTION("""COMPUTED_VALUE"""),3103.54)</f>
        <v/>
      </c>
      <c r="J483" s="6">
        <f>K483&amp;L483</f>
        <v/>
      </c>
      <c r="K483" s="6">
        <f>YEAR(M483)</f>
        <v/>
      </c>
      <c r="L483" s="6">
        <f>MONTH(M483)</f>
        <v/>
      </c>
      <c r="M483" s="267">
        <f>IFERROR(__xludf.DUMMYFUNCTION("""COMPUTED_VALUE"""),43789.6666666666)</f>
        <v/>
      </c>
      <c r="N483" s="6">
        <f>IFERROR(__xludf.DUMMYFUNCTION("""COMPUTED_VALUE"""),8526.73)</f>
        <v/>
      </c>
      <c r="R483" s="6">
        <f>S483&amp;T483</f>
        <v/>
      </c>
      <c r="S483" s="6">
        <f>YEAR(U483)</f>
        <v/>
      </c>
      <c r="T483" s="6">
        <f>MONTH(U483)</f>
        <v/>
      </c>
      <c r="U483" s="267">
        <f>IFERROR(__xludf.DUMMYFUNCTION("""COMPUTED_VALUE"""),43818.6458333333)</f>
        <v/>
      </c>
      <c r="V483" s="6">
        <f>IFERROR(__xludf.DUMMYFUNCTION("""COMPUTED_VALUE"""),2196.56)</f>
        <v/>
      </c>
      <c r="Z483" s="6">
        <f>AA483&amp;AB483</f>
        <v/>
      </c>
      <c r="AA483" s="6">
        <f>YEAR(AC483)</f>
        <v/>
      </c>
      <c r="AB483" s="6">
        <f>MONTH(AC483)</f>
        <v/>
      </c>
      <c r="AC483" s="267">
        <f>IFERROR(__xludf.DUMMYFUNCTION("""COMPUTED_VALUE"""),43605.9986111111)</f>
        <v/>
      </c>
      <c r="AD483" s="6">
        <f>IFERROR(__xludf.DUMMYFUNCTION("""COMPUTED_VALUE"""),1193.33)</f>
        <v/>
      </c>
      <c r="AH483" s="6">
        <f>AI483&amp;AJ483</f>
        <v/>
      </c>
      <c r="AI483" s="6">
        <f>YEAR(AK483)</f>
        <v/>
      </c>
      <c r="AJ483" s="6">
        <f>MONTH(AK483)</f>
        <v/>
      </c>
      <c r="AK483" s="267">
        <f>IFERROR(__xludf.DUMMYFUNCTION("""COMPUTED_VALUE"""),43575.9986111111)</f>
        <v/>
      </c>
      <c r="AL483" s="6">
        <f>IFERROR(__xludf.DUMMYFUNCTION("""COMPUTED_VALUE"""),5327.135)</f>
        <v/>
      </c>
      <c r="AP483" s="6">
        <f>AQ483&amp;AR483</f>
        <v/>
      </c>
      <c r="AQ483" s="6">
        <f>YEAR(AS483)</f>
        <v/>
      </c>
      <c r="AR483" s="6">
        <f>MONTH(AS483)</f>
        <v/>
      </c>
      <c r="AS483" s="267">
        <f>IFERROR(__xludf.DUMMYFUNCTION("""COMPUTED_VALUE"""),43803.9986111111)</f>
        <v/>
      </c>
      <c r="AT483" s="6">
        <f>IFERROR(__xludf.DUMMYFUNCTION("""COMPUTED_VALUE"""),1480.2)</f>
        <v/>
      </c>
    </row>
    <row r="484">
      <c r="B484" s="6">
        <f>C484&amp;D484</f>
        <v/>
      </c>
      <c r="C484" s="6">
        <f>YEAR(E484)</f>
        <v/>
      </c>
      <c r="D484" s="6">
        <f>MONTH(E484)</f>
        <v/>
      </c>
      <c r="E484" s="267">
        <f>IFERROR(__xludf.DUMMYFUNCTION("""COMPUTED_VALUE"""),43791.6666666666)</f>
        <v/>
      </c>
      <c r="F484" s="6">
        <f>IFERROR(__xludf.DUMMYFUNCTION("""COMPUTED_VALUE"""),3110.29)</f>
        <v/>
      </c>
      <c r="J484" s="6">
        <f>K484&amp;L484</f>
        <v/>
      </c>
      <c r="K484" s="6">
        <f>YEAR(M484)</f>
        <v/>
      </c>
      <c r="L484" s="6">
        <f>MONTH(M484)</f>
        <v/>
      </c>
      <c r="M484" s="267">
        <f>IFERROR(__xludf.DUMMYFUNCTION("""COMPUTED_VALUE"""),43790.6666666666)</f>
        <v/>
      </c>
      <c r="N484" s="6">
        <f>IFERROR(__xludf.DUMMYFUNCTION("""COMPUTED_VALUE"""),8506.21)</f>
        <v/>
      </c>
      <c r="R484" s="6">
        <f>S484&amp;T484</f>
        <v/>
      </c>
      <c r="S484" s="6">
        <f>YEAR(U484)</f>
        <v/>
      </c>
      <c r="T484" s="6">
        <f>MONTH(U484)</f>
        <v/>
      </c>
      <c r="U484" s="267">
        <f>IFERROR(__xludf.DUMMYFUNCTION("""COMPUTED_VALUE"""),43819.6458333333)</f>
        <v/>
      </c>
      <c r="V484" s="6">
        <f>IFERROR(__xludf.DUMMYFUNCTION("""COMPUTED_VALUE"""),2204.18)</f>
        <v/>
      </c>
      <c r="Z484" s="6">
        <f>AA484&amp;AB484</f>
        <v/>
      </c>
      <c r="AA484" s="6">
        <f>YEAR(AC484)</f>
        <v/>
      </c>
      <c r="AB484" s="6">
        <f>MONTH(AC484)</f>
        <v/>
      </c>
      <c r="AC484" s="267">
        <f>IFERROR(__xludf.DUMMYFUNCTION("""COMPUTED_VALUE"""),43606.9986111111)</f>
        <v/>
      </c>
      <c r="AD484" s="6">
        <f>IFERROR(__xludf.DUMMYFUNCTION("""COMPUTED_VALUE"""),1191.72)</f>
        <v/>
      </c>
      <c r="AH484" s="6">
        <f>AI484&amp;AJ484</f>
        <v/>
      </c>
      <c r="AI484" s="6">
        <f>YEAR(AK484)</f>
        <v/>
      </c>
      <c r="AJ484" s="6">
        <f>MONTH(AK484)</f>
        <v/>
      </c>
      <c r="AK484" s="267">
        <f>IFERROR(__xludf.DUMMYFUNCTION("""COMPUTED_VALUE"""),43576.9986111111)</f>
        <v/>
      </c>
      <c r="AL484" s="6">
        <f>IFERROR(__xludf.DUMMYFUNCTION("""COMPUTED_VALUE"""),5306.332)</f>
        <v/>
      </c>
      <c r="AP484" s="6">
        <f>AQ484&amp;AR484</f>
        <v/>
      </c>
      <c r="AQ484" s="6">
        <f>YEAR(AS484)</f>
        <v/>
      </c>
      <c r="AR484" s="6">
        <f>MONTH(AS484)</f>
        <v/>
      </c>
      <c r="AS484" s="267">
        <f>IFERROR(__xludf.DUMMYFUNCTION("""COMPUTED_VALUE"""),43804.9986111111)</f>
        <v/>
      </c>
      <c r="AT484" s="6">
        <f>IFERROR(__xludf.DUMMYFUNCTION("""COMPUTED_VALUE"""),1483.1)</f>
        <v/>
      </c>
    </row>
    <row r="485">
      <c r="B485" s="6">
        <f>C485&amp;D485</f>
        <v/>
      </c>
      <c r="C485" s="6">
        <f>YEAR(E485)</f>
        <v/>
      </c>
      <c r="D485" s="6">
        <f>MONTH(E485)</f>
        <v/>
      </c>
      <c r="E485" s="267">
        <f>IFERROR(__xludf.DUMMYFUNCTION("""COMPUTED_VALUE"""),43794.6666666666)</f>
        <v/>
      </c>
      <c r="F485" s="6">
        <f>IFERROR(__xludf.DUMMYFUNCTION("""COMPUTED_VALUE"""),3133.64)</f>
        <v/>
      </c>
      <c r="J485" s="6">
        <f>K485&amp;L485</f>
        <v/>
      </c>
      <c r="K485" s="6">
        <f>YEAR(M485)</f>
        <v/>
      </c>
      <c r="L485" s="6">
        <f>MONTH(M485)</f>
        <v/>
      </c>
      <c r="M485" s="267">
        <f>IFERROR(__xludf.DUMMYFUNCTION("""COMPUTED_VALUE"""),43791.6666666666)</f>
        <v/>
      </c>
      <c r="N485" s="6">
        <f>IFERROR(__xludf.DUMMYFUNCTION("""COMPUTED_VALUE"""),8519.89)</f>
        <v/>
      </c>
      <c r="R485" s="6">
        <f>S485&amp;T485</f>
        <v/>
      </c>
      <c r="S485" s="6">
        <f>YEAR(U485)</f>
        <v/>
      </c>
      <c r="T485" s="6">
        <f>MONTH(U485)</f>
        <v/>
      </c>
      <c r="U485" s="267">
        <f>IFERROR(__xludf.DUMMYFUNCTION("""COMPUTED_VALUE"""),43822.6458333333)</f>
        <v/>
      </c>
      <c r="V485" s="6">
        <f>IFERROR(__xludf.DUMMYFUNCTION("""COMPUTED_VALUE"""),2203.71)</f>
        <v/>
      </c>
      <c r="Z485" s="6">
        <f>AA485&amp;AB485</f>
        <v/>
      </c>
      <c r="AA485" s="6">
        <f>YEAR(AC485)</f>
        <v/>
      </c>
      <c r="AB485" s="6">
        <f>MONTH(AC485)</f>
        <v/>
      </c>
      <c r="AC485" s="267">
        <f>IFERROR(__xludf.DUMMYFUNCTION("""COMPUTED_VALUE"""),43607.9986111111)</f>
        <v/>
      </c>
      <c r="AD485" s="6">
        <f>IFERROR(__xludf.DUMMYFUNCTION("""COMPUTED_VALUE"""),1188.8)</f>
        <v/>
      </c>
      <c r="AH485" s="6">
        <f>AI485&amp;AJ485</f>
        <v/>
      </c>
      <c r="AI485" s="6">
        <f>YEAR(AK485)</f>
        <v/>
      </c>
      <c r="AJ485" s="6">
        <f>MONTH(AK485)</f>
        <v/>
      </c>
      <c r="AK485" s="267">
        <f>IFERROR(__xludf.DUMMYFUNCTION("""COMPUTED_VALUE"""),43577.9986111111)</f>
        <v/>
      </c>
      <c r="AL485" s="6">
        <f>IFERROR(__xludf.DUMMYFUNCTION("""COMPUTED_VALUE"""),5396.643)</f>
        <v/>
      </c>
      <c r="AP485" s="6">
        <f>AQ485&amp;AR485</f>
        <v/>
      </c>
      <c r="AQ485" s="6">
        <f>YEAR(AS485)</f>
        <v/>
      </c>
      <c r="AR485" s="6">
        <f>MONTH(AS485)</f>
        <v/>
      </c>
      <c r="AS485" s="267">
        <f>IFERROR(__xludf.DUMMYFUNCTION("""COMPUTED_VALUE"""),43805.9986111111)</f>
        <v/>
      </c>
      <c r="AT485" s="6">
        <f>IFERROR(__xludf.DUMMYFUNCTION("""COMPUTED_VALUE"""),1465.1)</f>
        <v/>
      </c>
    </row>
    <row r="486">
      <c r="B486" s="6">
        <f>C486&amp;D486</f>
        <v/>
      </c>
      <c r="C486" s="6">
        <f>YEAR(E486)</f>
        <v/>
      </c>
      <c r="D486" s="6">
        <f>MONTH(E486)</f>
        <v/>
      </c>
      <c r="E486" s="267">
        <f>IFERROR(__xludf.DUMMYFUNCTION("""COMPUTED_VALUE"""),43795.6666666666)</f>
        <v/>
      </c>
      <c r="F486" s="6">
        <f>IFERROR(__xludf.DUMMYFUNCTION("""COMPUTED_VALUE"""),3140.52)</f>
        <v/>
      </c>
      <c r="J486" s="6">
        <f>K486&amp;L486</f>
        <v/>
      </c>
      <c r="K486" s="6">
        <f>YEAR(M486)</f>
        <v/>
      </c>
      <c r="L486" s="6">
        <f>MONTH(M486)</f>
        <v/>
      </c>
      <c r="M486" s="267">
        <f>IFERROR(__xludf.DUMMYFUNCTION("""COMPUTED_VALUE"""),43794.6666666666)</f>
        <v/>
      </c>
      <c r="N486" s="6">
        <f>IFERROR(__xludf.DUMMYFUNCTION("""COMPUTED_VALUE"""),8632.49)</f>
        <v/>
      </c>
      <c r="R486" s="6">
        <f>S486&amp;T486</f>
        <v/>
      </c>
      <c r="S486" s="6">
        <f>YEAR(U486)</f>
        <v/>
      </c>
      <c r="T486" s="6">
        <f>MONTH(U486)</f>
        <v/>
      </c>
      <c r="U486" s="267">
        <f>IFERROR(__xludf.DUMMYFUNCTION("""COMPUTED_VALUE"""),43823.6458333333)</f>
        <v/>
      </c>
      <c r="V486" s="6">
        <f>IFERROR(__xludf.DUMMYFUNCTION("""COMPUTED_VALUE"""),2190.08)</f>
        <v/>
      </c>
      <c r="Z486" s="6">
        <f>AA486&amp;AB486</f>
        <v/>
      </c>
      <c r="AA486" s="6">
        <f>YEAR(AC486)</f>
        <v/>
      </c>
      <c r="AB486" s="6">
        <f>MONTH(AC486)</f>
        <v/>
      </c>
      <c r="AC486" s="267">
        <f>IFERROR(__xludf.DUMMYFUNCTION("""COMPUTED_VALUE"""),43608.9986111111)</f>
        <v/>
      </c>
      <c r="AD486" s="6">
        <f>IFERROR(__xludf.DUMMYFUNCTION("""COMPUTED_VALUE"""),1188.8)</f>
        <v/>
      </c>
      <c r="AH486" s="6">
        <f>AI486&amp;AJ486</f>
        <v/>
      </c>
      <c r="AI486" s="6">
        <f>YEAR(AK486)</f>
        <v/>
      </c>
      <c r="AJ486" s="6">
        <f>MONTH(AK486)</f>
        <v/>
      </c>
      <c r="AK486" s="267">
        <f>IFERROR(__xludf.DUMMYFUNCTION("""COMPUTED_VALUE"""),43578.9986111111)</f>
        <v/>
      </c>
      <c r="AL486" s="6">
        <f>IFERROR(__xludf.DUMMYFUNCTION("""COMPUTED_VALUE"""),5526.234)</f>
        <v/>
      </c>
      <c r="AP486" s="6">
        <f>AQ486&amp;AR486</f>
        <v/>
      </c>
      <c r="AQ486" s="6">
        <f>YEAR(AS486)</f>
        <v/>
      </c>
      <c r="AR486" s="6">
        <f>MONTH(AS486)</f>
        <v/>
      </c>
      <c r="AS486" s="267">
        <f>IFERROR(__xludf.DUMMYFUNCTION("""COMPUTED_VALUE"""),43808.9986111111)</f>
        <v/>
      </c>
      <c r="AT486" s="6">
        <f>IFERROR(__xludf.DUMMYFUNCTION("""COMPUTED_VALUE"""),1464.9)</f>
        <v/>
      </c>
    </row>
    <row r="487">
      <c r="B487" s="6">
        <f>C487&amp;D487</f>
        <v/>
      </c>
      <c r="C487" s="6">
        <f>YEAR(E487)</f>
        <v/>
      </c>
      <c r="D487" s="6">
        <f>MONTH(E487)</f>
        <v/>
      </c>
      <c r="E487" s="267">
        <f>IFERROR(__xludf.DUMMYFUNCTION("""COMPUTED_VALUE"""),43798.5416666666)</f>
        <v/>
      </c>
      <c r="F487" s="6">
        <f>IFERROR(__xludf.DUMMYFUNCTION("""COMPUTED_VALUE"""),3140.98)</f>
        <v/>
      </c>
      <c r="J487" s="6">
        <f>K487&amp;L487</f>
        <v/>
      </c>
      <c r="K487" s="6">
        <f>YEAR(M487)</f>
        <v/>
      </c>
      <c r="L487" s="6">
        <f>MONTH(M487)</f>
        <v/>
      </c>
      <c r="M487" s="267">
        <f>IFERROR(__xludf.DUMMYFUNCTION("""COMPUTED_VALUE"""),43795.6666666666)</f>
        <v/>
      </c>
      <c r="N487" s="6">
        <f>IFERROR(__xludf.DUMMYFUNCTION("""COMPUTED_VALUE"""),8647.93)</f>
        <v/>
      </c>
      <c r="R487" s="6">
        <f>S487&amp;T487</f>
        <v/>
      </c>
      <c r="S487" s="6">
        <f>YEAR(U487)</f>
        <v/>
      </c>
      <c r="T487" s="6">
        <f>MONTH(U487)</f>
        <v/>
      </c>
      <c r="U487" s="267">
        <f>IFERROR(__xludf.DUMMYFUNCTION("""COMPUTED_VALUE"""),43825.6458333333)</f>
        <v/>
      </c>
      <c r="V487" s="6">
        <f>IFERROR(__xludf.DUMMYFUNCTION("""COMPUTED_VALUE"""),2197.93)</f>
        <v/>
      </c>
      <c r="Z487" s="6">
        <f>AA487&amp;AB487</f>
        <v/>
      </c>
      <c r="AA487" s="6">
        <f>YEAR(AC487)</f>
        <v/>
      </c>
      <c r="AB487" s="6">
        <f>MONTH(AC487)</f>
        <v/>
      </c>
      <c r="AC487" s="267">
        <f>IFERROR(__xludf.DUMMYFUNCTION("""COMPUTED_VALUE"""),43609.9986111111)</f>
        <v/>
      </c>
      <c r="AD487" s="6">
        <f>IFERROR(__xludf.DUMMYFUNCTION("""COMPUTED_VALUE"""),1185)</f>
        <v/>
      </c>
      <c r="AH487" s="6">
        <f>AI487&amp;AJ487</f>
        <v/>
      </c>
      <c r="AI487" s="6">
        <f>YEAR(AK487)</f>
        <v/>
      </c>
      <c r="AJ487" s="6">
        <f>MONTH(AK487)</f>
        <v/>
      </c>
      <c r="AK487" s="267">
        <f>IFERROR(__xludf.DUMMYFUNCTION("""COMPUTED_VALUE"""),43579.9986111111)</f>
        <v/>
      </c>
      <c r="AL487" s="6">
        <f>IFERROR(__xludf.DUMMYFUNCTION("""COMPUTED_VALUE"""),5436.695)</f>
        <v/>
      </c>
      <c r="AP487" s="6">
        <f>AQ487&amp;AR487</f>
        <v/>
      </c>
      <c r="AQ487" s="6">
        <f>YEAR(AS487)</f>
        <v/>
      </c>
      <c r="AR487" s="6">
        <f>MONTH(AS487)</f>
        <v/>
      </c>
      <c r="AS487" s="267">
        <f>IFERROR(__xludf.DUMMYFUNCTION("""COMPUTED_VALUE"""),43809.9986111111)</f>
        <v/>
      </c>
      <c r="AT487" s="6">
        <f>IFERROR(__xludf.DUMMYFUNCTION("""COMPUTED_VALUE"""),1468.1)</f>
        <v/>
      </c>
    </row>
    <row r="488">
      <c r="B488" s="6">
        <f>C488&amp;D488</f>
        <v/>
      </c>
      <c r="C488" s="6">
        <f>YEAR(E488)</f>
        <v/>
      </c>
      <c r="D488" s="6">
        <f>MONTH(E488)</f>
        <v/>
      </c>
      <c r="E488" s="267">
        <f>IFERROR(__xludf.DUMMYFUNCTION("""COMPUTED_VALUE"""),43801.6666666666)</f>
        <v/>
      </c>
      <c r="F488" s="6">
        <f>IFERROR(__xludf.DUMMYFUNCTION("""COMPUTED_VALUE"""),3113.87)</f>
        <v/>
      </c>
      <c r="J488" s="6">
        <f>K488&amp;L488</f>
        <v/>
      </c>
      <c r="K488" s="6">
        <f>YEAR(M488)</f>
        <v/>
      </c>
      <c r="L488" s="6">
        <f>MONTH(M488)</f>
        <v/>
      </c>
      <c r="M488" s="267">
        <f>IFERROR(__xludf.DUMMYFUNCTION("""COMPUTED_VALUE"""),43796.6666666666)</f>
        <v/>
      </c>
      <c r="N488" s="6">
        <f>IFERROR(__xludf.DUMMYFUNCTION("""COMPUTED_VALUE"""),8705.17)</f>
        <v/>
      </c>
      <c r="R488" s="6">
        <f>S488&amp;T488</f>
        <v/>
      </c>
      <c r="S488" s="6">
        <f>YEAR(U488)</f>
        <v/>
      </c>
      <c r="T488" s="6">
        <f>MONTH(U488)</f>
        <v/>
      </c>
      <c r="U488" s="267">
        <f>IFERROR(__xludf.DUMMYFUNCTION("""COMPUTED_VALUE"""),43826.6458333333)</f>
        <v/>
      </c>
      <c r="V488" s="6">
        <f>IFERROR(__xludf.DUMMYFUNCTION("""COMPUTED_VALUE"""),2204.21)</f>
        <v/>
      </c>
      <c r="Z488" s="6">
        <f>AA488&amp;AB488</f>
        <v/>
      </c>
      <c r="AA488" s="6">
        <f>YEAR(AC488)</f>
        <v/>
      </c>
      <c r="AB488" s="6">
        <f>MONTH(AC488)</f>
        <v/>
      </c>
      <c r="AC488" s="267">
        <f>IFERROR(__xludf.DUMMYFUNCTION("""COMPUTED_VALUE"""),43610.9986111111)</f>
        <v/>
      </c>
      <c r="AD488" s="6">
        <f>IFERROR(__xludf.DUMMYFUNCTION("""COMPUTED_VALUE"""),1183.8)</f>
        <v/>
      </c>
      <c r="AH488" s="6">
        <f>AI488&amp;AJ488</f>
        <v/>
      </c>
      <c r="AI488" s="6">
        <f>YEAR(AK488)</f>
        <v/>
      </c>
      <c r="AJ488" s="6">
        <f>MONTH(AK488)</f>
        <v/>
      </c>
      <c r="AK488" s="267">
        <f>IFERROR(__xludf.DUMMYFUNCTION("""COMPUTED_VALUE"""),43580.9986111111)</f>
        <v/>
      </c>
      <c r="AL488" s="6">
        <f>IFERROR(__xludf.DUMMYFUNCTION("""COMPUTED_VALUE"""),5157.866)</f>
        <v/>
      </c>
      <c r="AP488" s="6">
        <f>AQ488&amp;AR488</f>
        <v/>
      </c>
      <c r="AQ488" s="6">
        <f>YEAR(AS488)</f>
        <v/>
      </c>
      <c r="AR488" s="6">
        <f>MONTH(AS488)</f>
        <v/>
      </c>
      <c r="AS488" s="267">
        <f>IFERROR(__xludf.DUMMYFUNCTION("""COMPUTED_VALUE"""),43810.9986111111)</f>
        <v/>
      </c>
      <c r="AT488" s="6">
        <f>IFERROR(__xludf.DUMMYFUNCTION("""COMPUTED_VALUE"""),1475)</f>
        <v/>
      </c>
    </row>
    <row r="489">
      <c r="B489" s="6">
        <f>C489&amp;D489</f>
        <v/>
      </c>
      <c r="C489" s="6">
        <f>YEAR(E489)</f>
        <v/>
      </c>
      <c r="D489" s="6">
        <f>MONTH(E489)</f>
        <v/>
      </c>
      <c r="E489" s="267">
        <f>IFERROR(__xludf.DUMMYFUNCTION("""COMPUTED_VALUE"""),43802.6666666666)</f>
        <v/>
      </c>
      <c r="F489" s="6">
        <f>IFERROR(__xludf.DUMMYFUNCTION("""COMPUTED_VALUE"""),3093.2)</f>
        <v/>
      </c>
      <c r="J489" s="6">
        <f>K489&amp;L489</f>
        <v/>
      </c>
      <c r="K489" s="6">
        <f>YEAR(M489)</f>
        <v/>
      </c>
      <c r="L489" s="6">
        <f>MONTH(M489)</f>
        <v/>
      </c>
      <c r="M489" s="267">
        <f>IFERROR(__xludf.DUMMYFUNCTION("""COMPUTED_VALUE"""),43798.5416666666)</f>
        <v/>
      </c>
      <c r="N489" s="6">
        <f>IFERROR(__xludf.DUMMYFUNCTION("""COMPUTED_VALUE"""),8665.47)</f>
        <v/>
      </c>
      <c r="R489" s="6">
        <f>S489&amp;T489</f>
        <v/>
      </c>
      <c r="S489" s="6">
        <f>YEAR(U489)</f>
        <v/>
      </c>
      <c r="T489" s="6">
        <f>MONTH(U489)</f>
        <v/>
      </c>
      <c r="U489" s="267">
        <f>IFERROR(__xludf.DUMMYFUNCTION("""COMPUTED_VALUE"""),43829.6458333333)</f>
        <v/>
      </c>
      <c r="V489" s="6">
        <f>IFERROR(__xludf.DUMMYFUNCTION("""COMPUTED_VALUE"""),2197.67)</f>
        <v/>
      </c>
      <c r="Z489" s="6">
        <f>AA489&amp;AB489</f>
        <v/>
      </c>
      <c r="AA489" s="6">
        <f>YEAR(AC489)</f>
        <v/>
      </c>
      <c r="AB489" s="6">
        <f>MONTH(AC489)</f>
        <v/>
      </c>
      <c r="AC489" s="267">
        <f>IFERROR(__xludf.DUMMYFUNCTION("""COMPUTED_VALUE"""),43611.9986111111)</f>
        <v/>
      </c>
      <c r="AD489" s="6">
        <f>IFERROR(__xludf.DUMMYFUNCTION("""COMPUTED_VALUE"""),1185)</f>
        <v/>
      </c>
      <c r="AH489" s="6">
        <f>AI489&amp;AJ489</f>
        <v/>
      </c>
      <c r="AI489" s="6">
        <f>YEAR(AK489)</f>
        <v/>
      </c>
      <c r="AJ489" s="6">
        <f>MONTH(AK489)</f>
        <v/>
      </c>
      <c r="AK489" s="267">
        <f>IFERROR(__xludf.DUMMYFUNCTION("""COMPUTED_VALUE"""),43581.9986111111)</f>
        <v/>
      </c>
      <c r="AL489" s="6">
        <f>IFERROR(__xludf.DUMMYFUNCTION("""COMPUTED_VALUE"""),5205.166)</f>
        <v/>
      </c>
      <c r="AP489" s="6">
        <f>AQ489&amp;AR489</f>
        <v/>
      </c>
      <c r="AQ489" s="6">
        <f>YEAR(AS489)</f>
        <v/>
      </c>
      <c r="AR489" s="6">
        <f>MONTH(AS489)</f>
        <v/>
      </c>
      <c r="AS489" s="267">
        <f>IFERROR(__xludf.DUMMYFUNCTION("""COMPUTED_VALUE"""),43811.9986111111)</f>
        <v/>
      </c>
      <c r="AT489" s="6">
        <f>IFERROR(__xludf.DUMMYFUNCTION("""COMPUTED_VALUE"""),1472.3)</f>
        <v/>
      </c>
    </row>
    <row r="490">
      <c r="B490" s="6">
        <f>C490&amp;D490</f>
        <v/>
      </c>
      <c r="C490" s="6">
        <f>YEAR(E490)</f>
        <v/>
      </c>
      <c r="D490" s="6">
        <f>MONTH(E490)</f>
        <v/>
      </c>
      <c r="E490" s="267">
        <f>IFERROR(__xludf.DUMMYFUNCTION("""COMPUTED_VALUE"""),43803.6666666666)</f>
        <v/>
      </c>
      <c r="F490" s="6">
        <f>IFERROR(__xludf.DUMMYFUNCTION("""COMPUTED_VALUE"""),3112.76)</f>
        <v/>
      </c>
      <c r="J490" s="6">
        <f>K490&amp;L490</f>
        <v/>
      </c>
      <c r="K490" s="6">
        <f>YEAR(M490)</f>
        <v/>
      </c>
      <c r="L490" s="6">
        <f>MONTH(M490)</f>
        <v/>
      </c>
      <c r="M490" s="267">
        <f>IFERROR(__xludf.DUMMYFUNCTION("""COMPUTED_VALUE"""),43801.6666666666)</f>
        <v/>
      </c>
      <c r="N490" s="6">
        <f>IFERROR(__xludf.DUMMYFUNCTION("""COMPUTED_VALUE"""),8567.99)</f>
        <v/>
      </c>
      <c r="R490" s="6">
        <f>S490&amp;T490</f>
        <v/>
      </c>
      <c r="S490" s="6">
        <f>YEAR(U490)</f>
        <v/>
      </c>
      <c r="T490" s="6">
        <f>MONTH(U490)</f>
        <v/>
      </c>
      <c r="U490" s="267">
        <f>IFERROR(__xludf.DUMMYFUNCTION("""COMPUTED_VALUE"""),43832.6458333333)</f>
        <v/>
      </c>
      <c r="V490" s="6">
        <f>IFERROR(__xludf.DUMMYFUNCTION("""COMPUTED_VALUE"""),2175.17)</f>
        <v/>
      </c>
      <c r="Z490" s="6">
        <f>AA490&amp;AB490</f>
        <v/>
      </c>
      <c r="AA490" s="6">
        <f>YEAR(AC490)</f>
        <v/>
      </c>
      <c r="AB490" s="6">
        <f>MONTH(AC490)</f>
        <v/>
      </c>
      <c r="AC490" s="267">
        <f>IFERROR(__xludf.DUMMYFUNCTION("""COMPUTED_VALUE"""),43612.9986111111)</f>
        <v/>
      </c>
      <c r="AD490" s="6">
        <f>IFERROR(__xludf.DUMMYFUNCTION("""COMPUTED_VALUE"""),1182.31)</f>
        <v/>
      </c>
      <c r="AH490" s="6">
        <f>AI490&amp;AJ490</f>
        <v/>
      </c>
      <c r="AI490" s="6">
        <f>YEAR(AK490)</f>
        <v/>
      </c>
      <c r="AJ490" s="6">
        <f>MONTH(AK490)</f>
        <v/>
      </c>
      <c r="AK490" s="267">
        <f>IFERROR(__xludf.DUMMYFUNCTION("""COMPUTED_VALUE"""),43582.9986111111)</f>
        <v/>
      </c>
      <c r="AL490" s="6">
        <f>IFERROR(__xludf.DUMMYFUNCTION("""COMPUTED_VALUE"""),5183.623)</f>
        <v/>
      </c>
      <c r="AP490" s="6">
        <f>AQ490&amp;AR490</f>
        <v/>
      </c>
      <c r="AQ490" s="6">
        <f>YEAR(AS490)</f>
        <v/>
      </c>
      <c r="AR490" s="6">
        <f>MONTH(AS490)</f>
        <v/>
      </c>
      <c r="AS490" s="267">
        <f>IFERROR(__xludf.DUMMYFUNCTION("""COMPUTED_VALUE"""),43812.9986111111)</f>
        <v/>
      </c>
      <c r="AT490" s="6">
        <f>IFERROR(__xludf.DUMMYFUNCTION("""COMPUTED_VALUE"""),1481.2)</f>
        <v/>
      </c>
    </row>
    <row r="491">
      <c r="B491" s="6">
        <f>C491&amp;D491</f>
        <v/>
      </c>
      <c r="C491" s="6">
        <f>YEAR(E491)</f>
        <v/>
      </c>
      <c r="D491" s="6">
        <f>MONTH(E491)</f>
        <v/>
      </c>
      <c r="E491" s="267">
        <f>IFERROR(__xludf.DUMMYFUNCTION("""COMPUTED_VALUE"""),43804.6666666666)</f>
        <v/>
      </c>
      <c r="F491" s="6">
        <f>IFERROR(__xludf.DUMMYFUNCTION("""COMPUTED_VALUE"""),3117.43)</f>
        <v/>
      </c>
      <c r="J491" s="6">
        <f>K491&amp;L491</f>
        <v/>
      </c>
      <c r="K491" s="6">
        <f>YEAR(M491)</f>
        <v/>
      </c>
      <c r="L491" s="6">
        <f>MONTH(M491)</f>
        <v/>
      </c>
      <c r="M491" s="267">
        <f>IFERROR(__xludf.DUMMYFUNCTION("""COMPUTED_VALUE"""),43802.6666666666)</f>
        <v/>
      </c>
      <c r="N491" s="6">
        <f>IFERROR(__xludf.DUMMYFUNCTION("""COMPUTED_VALUE"""),8520.64)</f>
        <v/>
      </c>
      <c r="R491" s="6">
        <f>S491&amp;T491</f>
        <v/>
      </c>
      <c r="S491" s="6">
        <f>YEAR(U491)</f>
        <v/>
      </c>
      <c r="T491" s="6">
        <f>MONTH(U491)</f>
        <v/>
      </c>
      <c r="U491" s="267">
        <f>IFERROR(__xludf.DUMMYFUNCTION("""COMPUTED_VALUE"""),43833.6458333333)</f>
        <v/>
      </c>
      <c r="V491" s="6">
        <f>IFERROR(__xludf.DUMMYFUNCTION("""COMPUTED_VALUE"""),2176.46)</f>
        <v/>
      </c>
      <c r="Z491" s="6">
        <f>AA491&amp;AB491</f>
        <v/>
      </c>
      <c r="AA491" s="6">
        <f>YEAR(AC491)</f>
        <v/>
      </c>
      <c r="AB491" s="6">
        <f>MONTH(AC491)</f>
        <v/>
      </c>
      <c r="AC491" s="267">
        <f>IFERROR(__xludf.DUMMYFUNCTION("""COMPUTED_VALUE"""),43613.9986111111)</f>
        <v/>
      </c>
      <c r="AD491" s="6">
        <f>IFERROR(__xludf.DUMMYFUNCTION("""COMPUTED_VALUE"""),1187.58)</f>
        <v/>
      </c>
      <c r="AH491" s="6">
        <f>AI491&amp;AJ491</f>
        <v/>
      </c>
      <c r="AI491" s="6">
        <f>YEAR(AK491)</f>
        <v/>
      </c>
      <c r="AJ491" s="6">
        <f>MONTH(AK491)</f>
        <v/>
      </c>
      <c r="AK491" s="267">
        <f>IFERROR(__xludf.DUMMYFUNCTION("""COMPUTED_VALUE"""),43583.9986111111)</f>
        <v/>
      </c>
      <c r="AL491" s="6">
        <f>IFERROR(__xludf.DUMMYFUNCTION("""COMPUTED_VALUE"""),5180.474)</f>
        <v/>
      </c>
      <c r="AP491" s="6">
        <f>AQ491&amp;AR491</f>
        <v/>
      </c>
      <c r="AQ491" s="6">
        <f>YEAR(AS491)</f>
        <v/>
      </c>
      <c r="AR491" s="6">
        <f>MONTH(AS491)</f>
        <v/>
      </c>
      <c r="AS491" s="267">
        <f>IFERROR(__xludf.DUMMYFUNCTION("""COMPUTED_VALUE"""),43815.9986111111)</f>
        <v/>
      </c>
      <c r="AT491" s="6">
        <f>IFERROR(__xludf.DUMMYFUNCTION("""COMPUTED_VALUE"""),1480.5)</f>
        <v/>
      </c>
    </row>
    <row r="492">
      <c r="B492" s="6">
        <f>C492&amp;D492</f>
        <v/>
      </c>
      <c r="C492" s="6">
        <f>YEAR(E492)</f>
        <v/>
      </c>
      <c r="D492" s="6">
        <f>MONTH(E492)</f>
        <v/>
      </c>
      <c r="E492" s="267">
        <f>IFERROR(__xludf.DUMMYFUNCTION("""COMPUTED_VALUE"""),43805.6666666666)</f>
        <v/>
      </c>
      <c r="F492" s="6">
        <f>IFERROR(__xludf.DUMMYFUNCTION("""COMPUTED_VALUE"""),3145.91)</f>
        <v/>
      </c>
      <c r="J492" s="6">
        <f>K492&amp;L492</f>
        <v/>
      </c>
      <c r="K492" s="6">
        <f>YEAR(M492)</f>
        <v/>
      </c>
      <c r="L492" s="6">
        <f>MONTH(M492)</f>
        <v/>
      </c>
      <c r="M492" s="267">
        <f>IFERROR(__xludf.DUMMYFUNCTION("""COMPUTED_VALUE"""),43803.6666666666)</f>
        <v/>
      </c>
      <c r="N492" s="6">
        <f>IFERROR(__xludf.DUMMYFUNCTION("""COMPUTED_VALUE"""),8566.67)</f>
        <v/>
      </c>
      <c r="R492" s="6">
        <f>S492&amp;T492</f>
        <v/>
      </c>
      <c r="S492" s="6">
        <f>YEAR(U492)</f>
        <v/>
      </c>
      <c r="T492" s="6">
        <f>MONTH(U492)</f>
        <v/>
      </c>
      <c r="U492" s="267">
        <f>IFERROR(__xludf.DUMMYFUNCTION("""COMPUTED_VALUE"""),43836.6458333333)</f>
        <v/>
      </c>
      <c r="V492" s="6">
        <f>IFERROR(__xludf.DUMMYFUNCTION("""COMPUTED_VALUE"""),2155.07)</f>
        <v/>
      </c>
      <c r="Z492" s="6">
        <f>AA492&amp;AB492</f>
        <v/>
      </c>
      <c r="AA492" s="6">
        <f>YEAR(AC492)</f>
        <v/>
      </c>
      <c r="AB492" s="6">
        <f>MONTH(AC492)</f>
        <v/>
      </c>
      <c r="AC492" s="267">
        <f>IFERROR(__xludf.DUMMYFUNCTION("""COMPUTED_VALUE"""),43614.9986111111)</f>
        <v/>
      </c>
      <c r="AD492" s="6">
        <f>IFERROR(__xludf.DUMMYFUNCTION("""COMPUTED_VALUE"""),1192.21)</f>
        <v/>
      </c>
      <c r="AH492" s="6">
        <f>AI492&amp;AJ492</f>
        <v/>
      </c>
      <c r="AI492" s="6">
        <f>YEAR(AK492)</f>
        <v/>
      </c>
      <c r="AJ492" s="6">
        <f>MONTH(AK492)</f>
        <v/>
      </c>
      <c r="AK492" s="267">
        <f>IFERROR(__xludf.DUMMYFUNCTION("""COMPUTED_VALUE"""),43584.9986111111)</f>
        <v/>
      </c>
      <c r="AL492" s="6">
        <f>IFERROR(__xludf.DUMMYFUNCTION("""COMPUTED_VALUE"""),5167.4)</f>
        <v/>
      </c>
      <c r="AP492" s="6">
        <f>AQ492&amp;AR492</f>
        <v/>
      </c>
      <c r="AQ492" s="6">
        <f>YEAR(AS492)</f>
        <v/>
      </c>
      <c r="AR492" s="6">
        <f>MONTH(AS492)</f>
        <v/>
      </c>
      <c r="AS492" s="267">
        <f>IFERROR(__xludf.DUMMYFUNCTION("""COMPUTED_VALUE"""),43816.9986111111)</f>
        <v/>
      </c>
      <c r="AT492" s="6">
        <f>IFERROR(__xludf.DUMMYFUNCTION("""COMPUTED_VALUE"""),1480.6)</f>
        <v/>
      </c>
    </row>
    <row r="493">
      <c r="B493" s="6">
        <f>C493&amp;D493</f>
        <v/>
      </c>
      <c r="C493" s="6">
        <f>YEAR(E493)</f>
        <v/>
      </c>
      <c r="D493" s="6">
        <f>MONTH(E493)</f>
        <v/>
      </c>
      <c r="E493" s="267">
        <f>IFERROR(__xludf.DUMMYFUNCTION("""COMPUTED_VALUE"""),43808.6666666666)</f>
        <v/>
      </c>
      <c r="F493" s="6">
        <f>IFERROR(__xludf.DUMMYFUNCTION("""COMPUTED_VALUE"""),3135.96)</f>
        <v/>
      </c>
      <c r="J493" s="6">
        <f>K493&amp;L493</f>
        <v/>
      </c>
      <c r="K493" s="6">
        <f>YEAR(M493)</f>
        <v/>
      </c>
      <c r="L493" s="6">
        <f>MONTH(M493)</f>
        <v/>
      </c>
      <c r="M493" s="267">
        <f>IFERROR(__xludf.DUMMYFUNCTION("""COMPUTED_VALUE"""),43804.6666666666)</f>
        <v/>
      </c>
      <c r="N493" s="6">
        <f>IFERROR(__xludf.DUMMYFUNCTION("""COMPUTED_VALUE"""),8570.7)</f>
        <v/>
      </c>
      <c r="R493" s="6">
        <f>S493&amp;T493</f>
        <v/>
      </c>
      <c r="S493" s="6">
        <f>YEAR(U493)</f>
        <v/>
      </c>
      <c r="T493" s="6">
        <f>MONTH(U493)</f>
        <v/>
      </c>
      <c r="U493" s="267">
        <f>IFERROR(__xludf.DUMMYFUNCTION("""COMPUTED_VALUE"""),43837.6458333333)</f>
        <v/>
      </c>
      <c r="V493" s="6">
        <f>IFERROR(__xludf.DUMMYFUNCTION("""COMPUTED_VALUE"""),2175.54)</f>
        <v/>
      </c>
      <c r="Z493" s="6">
        <f>AA493&amp;AB493</f>
        <v/>
      </c>
      <c r="AA493" s="6">
        <f>YEAR(AC493)</f>
        <v/>
      </c>
      <c r="AB493" s="6">
        <f>MONTH(AC493)</f>
        <v/>
      </c>
      <c r="AC493" s="267">
        <f>IFERROR(__xludf.DUMMYFUNCTION("""COMPUTED_VALUE"""),43615.9986111111)</f>
        <v/>
      </c>
      <c r="AD493" s="6">
        <f>IFERROR(__xludf.DUMMYFUNCTION("""COMPUTED_VALUE"""),1188.38)</f>
        <v/>
      </c>
      <c r="AH493" s="6">
        <f>AI493&amp;AJ493</f>
        <v/>
      </c>
      <c r="AI493" s="6">
        <f>YEAR(AK493)</f>
        <v/>
      </c>
      <c r="AJ493" s="6">
        <f>MONTH(AK493)</f>
        <v/>
      </c>
      <c r="AK493" s="267">
        <f>IFERROR(__xludf.DUMMYFUNCTION("""COMPUTED_VALUE"""),43585.9986111111)</f>
        <v/>
      </c>
      <c r="AL493" s="6">
        <f>IFERROR(__xludf.DUMMYFUNCTION("""COMPUTED_VALUE"""),5286.545)</f>
        <v/>
      </c>
      <c r="AP493" s="6">
        <f>AQ493&amp;AR493</f>
        <v/>
      </c>
      <c r="AQ493" s="6">
        <f>YEAR(AS493)</f>
        <v/>
      </c>
      <c r="AR493" s="6">
        <f>MONTH(AS493)</f>
        <v/>
      </c>
      <c r="AS493" s="267">
        <f>IFERROR(__xludf.DUMMYFUNCTION("""COMPUTED_VALUE"""),43817.9986111111)</f>
        <v/>
      </c>
      <c r="AT493" s="6">
        <f>IFERROR(__xludf.DUMMYFUNCTION("""COMPUTED_VALUE"""),1478.7)</f>
        <v/>
      </c>
    </row>
    <row r="494">
      <c r="B494" s="6">
        <f>C494&amp;D494</f>
        <v/>
      </c>
      <c r="C494" s="6">
        <f>YEAR(E494)</f>
        <v/>
      </c>
      <c r="D494" s="6">
        <f>MONTH(E494)</f>
        <v/>
      </c>
      <c r="E494" s="267">
        <f>IFERROR(__xludf.DUMMYFUNCTION("""COMPUTED_VALUE"""),43809.6666666666)</f>
        <v/>
      </c>
      <c r="F494" s="6">
        <f>IFERROR(__xludf.DUMMYFUNCTION("""COMPUTED_VALUE"""),3132.52)</f>
        <v/>
      </c>
      <c r="J494" s="6">
        <f>K494&amp;L494</f>
        <v/>
      </c>
      <c r="K494" s="6">
        <f>YEAR(M494)</f>
        <v/>
      </c>
      <c r="L494" s="6">
        <f>MONTH(M494)</f>
        <v/>
      </c>
      <c r="M494" s="267">
        <f>IFERROR(__xludf.DUMMYFUNCTION("""COMPUTED_VALUE"""),43805.6666666666)</f>
        <v/>
      </c>
      <c r="N494" s="6">
        <f>IFERROR(__xludf.DUMMYFUNCTION("""COMPUTED_VALUE"""),8656.53)</f>
        <v/>
      </c>
      <c r="R494" s="6">
        <f>S494&amp;T494</f>
        <v/>
      </c>
      <c r="S494" s="6">
        <f>YEAR(U494)</f>
        <v/>
      </c>
      <c r="T494" s="6">
        <f>MONTH(U494)</f>
        <v/>
      </c>
      <c r="U494" s="267">
        <f>IFERROR(__xludf.DUMMYFUNCTION("""COMPUTED_VALUE"""),43838.6458333333)</f>
        <v/>
      </c>
      <c r="V494" s="6">
        <f>IFERROR(__xludf.DUMMYFUNCTION("""COMPUTED_VALUE"""),2151.31)</f>
        <v/>
      </c>
      <c r="Z494" s="6">
        <f>AA494&amp;AB494</f>
        <v/>
      </c>
      <c r="AA494" s="6">
        <f>YEAR(AC494)</f>
        <v/>
      </c>
      <c r="AB494" s="6">
        <f>MONTH(AC494)</f>
        <v/>
      </c>
      <c r="AC494" s="267">
        <f>IFERROR(__xludf.DUMMYFUNCTION("""COMPUTED_VALUE"""),43616.9986111111)</f>
        <v/>
      </c>
      <c r="AD494" s="6">
        <f>IFERROR(__xludf.DUMMYFUNCTION("""COMPUTED_VALUE"""),1187.97)</f>
        <v/>
      </c>
      <c r="AH494" s="6">
        <f>AI494&amp;AJ494</f>
        <v/>
      </c>
      <c r="AI494" s="6">
        <f>YEAR(AK494)</f>
        <v/>
      </c>
      <c r="AJ494" s="6">
        <f>MONTH(AK494)</f>
        <v/>
      </c>
      <c r="AK494" s="267">
        <f>IFERROR(__xludf.DUMMYFUNCTION("""COMPUTED_VALUE"""),43586.9986111111)</f>
        <v/>
      </c>
      <c r="AL494" s="6">
        <f>IFERROR(__xludf.DUMMYFUNCTION("""COMPUTED_VALUE"""),5352.741)</f>
        <v/>
      </c>
      <c r="AP494" s="6">
        <f>AQ494&amp;AR494</f>
        <v/>
      </c>
      <c r="AQ494" s="6">
        <f>YEAR(AS494)</f>
        <v/>
      </c>
      <c r="AR494" s="6">
        <f>MONTH(AS494)</f>
        <v/>
      </c>
      <c r="AS494" s="267">
        <f>IFERROR(__xludf.DUMMYFUNCTION("""COMPUTED_VALUE"""),43818.9986111111)</f>
        <v/>
      </c>
      <c r="AT494" s="6">
        <f>IFERROR(__xludf.DUMMYFUNCTION("""COMPUTED_VALUE"""),1484.4)</f>
        <v/>
      </c>
    </row>
    <row r="495">
      <c r="B495" s="6">
        <f>C495&amp;D495</f>
        <v/>
      </c>
      <c r="C495" s="6">
        <f>YEAR(E495)</f>
        <v/>
      </c>
      <c r="D495" s="6">
        <f>MONTH(E495)</f>
        <v/>
      </c>
      <c r="E495" s="267">
        <f>IFERROR(__xludf.DUMMYFUNCTION("""COMPUTED_VALUE"""),43810.6666666666)</f>
        <v/>
      </c>
      <c r="F495" s="6">
        <f>IFERROR(__xludf.DUMMYFUNCTION("""COMPUTED_VALUE"""),3141.63)</f>
        <v/>
      </c>
      <c r="J495" s="6">
        <f>K495&amp;L495</f>
        <v/>
      </c>
      <c r="K495" s="6">
        <f>YEAR(M495)</f>
        <v/>
      </c>
      <c r="L495" s="6">
        <f>MONTH(M495)</f>
        <v/>
      </c>
      <c r="M495" s="267">
        <f>IFERROR(__xludf.DUMMYFUNCTION("""COMPUTED_VALUE"""),43808.6666666666)</f>
        <v/>
      </c>
      <c r="N495" s="6">
        <f>IFERROR(__xludf.DUMMYFUNCTION("""COMPUTED_VALUE"""),8621.83)</f>
        <v/>
      </c>
      <c r="R495" s="6">
        <f>S495&amp;T495</f>
        <v/>
      </c>
      <c r="S495" s="6">
        <f>YEAR(U495)</f>
        <v/>
      </c>
      <c r="T495" s="6">
        <f>MONTH(U495)</f>
        <v/>
      </c>
      <c r="U495" s="267">
        <f>IFERROR(__xludf.DUMMYFUNCTION("""COMPUTED_VALUE"""),43839.6458333333)</f>
        <v/>
      </c>
      <c r="V495" s="6">
        <f>IFERROR(__xludf.DUMMYFUNCTION("""COMPUTED_VALUE"""),2186.45)</f>
        <v/>
      </c>
      <c r="Z495" s="6">
        <f>AA495&amp;AB495</f>
        <v/>
      </c>
      <c r="AA495" s="6">
        <f>YEAR(AC495)</f>
        <v/>
      </c>
      <c r="AB495" s="6">
        <f>MONTH(AC495)</f>
        <v/>
      </c>
      <c r="AC495" s="267">
        <f>IFERROR(__xludf.DUMMYFUNCTION("""COMPUTED_VALUE"""),43618.9986111111)</f>
        <v/>
      </c>
      <c r="AD495" s="6">
        <f>IFERROR(__xludf.DUMMYFUNCTION("""COMPUTED_VALUE"""),1187.87)</f>
        <v/>
      </c>
      <c r="AH495" s="6">
        <f>AI495&amp;AJ495</f>
        <v/>
      </c>
      <c r="AI495" s="6">
        <f>YEAR(AK495)</f>
        <v/>
      </c>
      <c r="AJ495" s="6">
        <f>MONTH(AK495)</f>
        <v/>
      </c>
      <c r="AK495" s="267">
        <f>IFERROR(__xludf.DUMMYFUNCTION("""COMPUTED_VALUE"""),43587.9986111111)</f>
        <v/>
      </c>
      <c r="AL495" s="6">
        <f>IFERROR(__xludf.DUMMYFUNCTION("""COMPUTED_VALUE"""),5404.646)</f>
        <v/>
      </c>
      <c r="AP495" s="6">
        <f>AQ495&amp;AR495</f>
        <v/>
      </c>
      <c r="AQ495" s="6">
        <f>YEAR(AS495)</f>
        <v/>
      </c>
      <c r="AR495" s="6">
        <f>MONTH(AS495)</f>
        <v/>
      </c>
      <c r="AS495" s="267">
        <f>IFERROR(__xludf.DUMMYFUNCTION("""COMPUTED_VALUE"""),43819.9986111111)</f>
        <v/>
      </c>
      <c r="AT495" s="6">
        <f>IFERROR(__xludf.DUMMYFUNCTION("""COMPUTED_VALUE"""),1480.9)</f>
        <v/>
      </c>
    </row>
    <row r="496">
      <c r="B496" s="6">
        <f>C496&amp;D496</f>
        <v/>
      </c>
      <c r="C496" s="6">
        <f>YEAR(E496)</f>
        <v/>
      </c>
      <c r="D496" s="6">
        <f>MONTH(E496)</f>
        <v/>
      </c>
      <c r="E496" s="267">
        <f>IFERROR(__xludf.DUMMYFUNCTION("""COMPUTED_VALUE"""),43811.6666666666)</f>
        <v/>
      </c>
      <c r="F496" s="6">
        <f>IFERROR(__xludf.DUMMYFUNCTION("""COMPUTED_VALUE"""),3168.57)</f>
        <v/>
      </c>
      <c r="J496" s="6">
        <f>K496&amp;L496</f>
        <v/>
      </c>
      <c r="K496" s="6">
        <f>YEAR(M496)</f>
        <v/>
      </c>
      <c r="L496" s="6">
        <f>MONTH(M496)</f>
        <v/>
      </c>
      <c r="M496" s="267">
        <f>IFERROR(__xludf.DUMMYFUNCTION("""COMPUTED_VALUE"""),43809.6666666666)</f>
        <v/>
      </c>
      <c r="N496" s="6">
        <f>IFERROR(__xludf.DUMMYFUNCTION("""COMPUTED_VALUE"""),8616.18)</f>
        <v/>
      </c>
      <c r="R496" s="6">
        <f>S496&amp;T496</f>
        <v/>
      </c>
      <c r="S496" s="6">
        <f>YEAR(U496)</f>
        <v/>
      </c>
      <c r="T496" s="6">
        <f>MONTH(U496)</f>
        <v/>
      </c>
      <c r="U496" s="267">
        <f>IFERROR(__xludf.DUMMYFUNCTION("""COMPUTED_VALUE"""),43840.6458333333)</f>
        <v/>
      </c>
      <c r="V496" s="6">
        <f>IFERROR(__xludf.DUMMYFUNCTION("""COMPUTED_VALUE"""),2206.39)</f>
        <v/>
      </c>
      <c r="Z496" s="6">
        <f>AA496&amp;AB496</f>
        <v/>
      </c>
      <c r="AA496" s="6">
        <f>YEAR(AC496)</f>
        <v/>
      </c>
      <c r="AB496" s="6">
        <f>MONTH(AC496)</f>
        <v/>
      </c>
      <c r="AC496" s="267">
        <f>IFERROR(__xludf.DUMMYFUNCTION("""COMPUTED_VALUE"""),43619.9986111111)</f>
        <v/>
      </c>
      <c r="AD496" s="6">
        <f>IFERROR(__xludf.DUMMYFUNCTION("""COMPUTED_VALUE"""),1178.35)</f>
        <v/>
      </c>
      <c r="AH496" s="6">
        <f>AI496&amp;AJ496</f>
        <v/>
      </c>
      <c r="AI496" s="6">
        <f>YEAR(AK496)</f>
        <v/>
      </c>
      <c r="AJ496" s="6">
        <f>MONTH(AK496)</f>
        <v/>
      </c>
      <c r="AK496" s="267">
        <f>IFERROR(__xludf.DUMMYFUNCTION("""COMPUTED_VALUE"""),43588.9986111111)</f>
        <v/>
      </c>
      <c r="AL496" s="6">
        <f>IFERROR(__xludf.DUMMYFUNCTION("""COMPUTED_VALUE"""),5681.206)</f>
        <v/>
      </c>
      <c r="AP496" s="6">
        <f>AQ496&amp;AR496</f>
        <v/>
      </c>
      <c r="AQ496" s="6">
        <f>YEAR(AS496)</f>
        <v/>
      </c>
      <c r="AR496" s="6">
        <f>MONTH(AS496)</f>
        <v/>
      </c>
      <c r="AS496" s="267">
        <f>IFERROR(__xludf.DUMMYFUNCTION("""COMPUTED_VALUE"""),43822.9986111111)</f>
        <v/>
      </c>
      <c r="AT496" s="6">
        <f>IFERROR(__xludf.DUMMYFUNCTION("""COMPUTED_VALUE"""),1488.7)</f>
        <v/>
      </c>
    </row>
    <row r="497">
      <c r="B497" s="6">
        <f>C497&amp;D497</f>
        <v/>
      </c>
      <c r="C497" s="6">
        <f>YEAR(E497)</f>
        <v/>
      </c>
      <c r="D497" s="6">
        <f>MONTH(E497)</f>
        <v/>
      </c>
      <c r="E497" s="267">
        <f>IFERROR(__xludf.DUMMYFUNCTION("""COMPUTED_VALUE"""),43812.6666666666)</f>
        <v/>
      </c>
      <c r="F497" s="6">
        <f>IFERROR(__xludf.DUMMYFUNCTION("""COMPUTED_VALUE"""),3168.8)</f>
        <v/>
      </c>
      <c r="J497" s="6">
        <f>K497&amp;L497</f>
        <v/>
      </c>
      <c r="K497" s="6">
        <f>YEAR(M497)</f>
        <v/>
      </c>
      <c r="L497" s="6">
        <f>MONTH(M497)</f>
        <v/>
      </c>
      <c r="M497" s="267">
        <f>IFERROR(__xludf.DUMMYFUNCTION("""COMPUTED_VALUE"""),43810.6666666666)</f>
        <v/>
      </c>
      <c r="N497" s="6">
        <f>IFERROR(__xludf.DUMMYFUNCTION("""COMPUTED_VALUE"""),8654.05)</f>
        <v/>
      </c>
      <c r="R497" s="6">
        <f>S497&amp;T497</f>
        <v/>
      </c>
      <c r="S497" s="6">
        <f>YEAR(U497)</f>
        <v/>
      </c>
      <c r="T497" s="6">
        <f>MONTH(U497)</f>
        <v/>
      </c>
      <c r="U497" s="267">
        <f>IFERROR(__xludf.DUMMYFUNCTION("""COMPUTED_VALUE"""),43843.6458333333)</f>
        <v/>
      </c>
      <c r="V497" s="6">
        <f>IFERROR(__xludf.DUMMYFUNCTION("""COMPUTED_VALUE"""),2229.26)</f>
        <v/>
      </c>
      <c r="Z497" s="6">
        <f>AA497&amp;AB497</f>
        <v/>
      </c>
      <c r="AA497" s="6">
        <f>YEAR(AC497)</f>
        <v/>
      </c>
      <c r="AB497" s="6">
        <f>MONTH(AC497)</f>
        <v/>
      </c>
      <c r="AC497" s="267">
        <f>IFERROR(__xludf.DUMMYFUNCTION("""COMPUTED_VALUE"""),43620.9986111111)</f>
        <v/>
      </c>
      <c r="AD497" s="6">
        <f>IFERROR(__xludf.DUMMYFUNCTION("""COMPUTED_VALUE"""),1176.05)</f>
        <v/>
      </c>
      <c r="AH497" s="6">
        <f>AI497&amp;AJ497</f>
        <v/>
      </c>
      <c r="AI497" s="6">
        <f>YEAR(AK497)</f>
        <v/>
      </c>
      <c r="AJ497" s="6">
        <f>MONTH(AK497)</f>
        <v/>
      </c>
      <c r="AK497" s="267">
        <f>IFERROR(__xludf.DUMMYFUNCTION("""COMPUTED_VALUE"""),43589.9986111111)</f>
        <v/>
      </c>
      <c r="AL497" s="6">
        <f>IFERROR(__xludf.DUMMYFUNCTION("""COMPUTED_VALUE"""),5798.636)</f>
        <v/>
      </c>
      <c r="AP497" s="6">
        <f>AQ497&amp;AR497</f>
        <v/>
      </c>
      <c r="AQ497" s="6">
        <f>YEAR(AS497)</f>
        <v/>
      </c>
      <c r="AR497" s="6">
        <f>MONTH(AS497)</f>
        <v/>
      </c>
      <c r="AS497" s="267">
        <f>IFERROR(__xludf.DUMMYFUNCTION("""COMPUTED_VALUE"""),43825.9986111111)</f>
        <v/>
      </c>
      <c r="AT497" s="6">
        <f>IFERROR(__xludf.DUMMYFUNCTION("""COMPUTED_VALUE"""),1514.4)</f>
        <v/>
      </c>
    </row>
    <row r="498">
      <c r="B498" s="6">
        <f>C498&amp;D498</f>
        <v/>
      </c>
      <c r="C498" s="6">
        <f>YEAR(E498)</f>
        <v/>
      </c>
      <c r="D498" s="6">
        <f>MONTH(E498)</f>
        <v/>
      </c>
      <c r="E498" s="267">
        <f>IFERROR(__xludf.DUMMYFUNCTION("""COMPUTED_VALUE"""),43815.6666666666)</f>
        <v/>
      </c>
      <c r="F498" s="6">
        <f>IFERROR(__xludf.DUMMYFUNCTION("""COMPUTED_VALUE"""),3191.45)</f>
        <v/>
      </c>
      <c r="J498" s="6">
        <f>K498&amp;L498</f>
        <v/>
      </c>
      <c r="K498" s="6">
        <f>YEAR(M498)</f>
        <v/>
      </c>
      <c r="L498" s="6">
        <f>MONTH(M498)</f>
        <v/>
      </c>
      <c r="M498" s="267">
        <f>IFERROR(__xludf.DUMMYFUNCTION("""COMPUTED_VALUE"""),43811.6666666666)</f>
        <v/>
      </c>
      <c r="N498" s="6">
        <f>IFERROR(__xludf.DUMMYFUNCTION("""COMPUTED_VALUE"""),8717.32)</f>
        <v/>
      </c>
      <c r="R498" s="6">
        <f>S498&amp;T498</f>
        <v/>
      </c>
      <c r="S498" s="6">
        <f>YEAR(U498)</f>
        <v/>
      </c>
      <c r="T498" s="6">
        <f>MONTH(U498)</f>
        <v/>
      </c>
      <c r="U498" s="267">
        <f>IFERROR(__xludf.DUMMYFUNCTION("""COMPUTED_VALUE"""),43844.6458333333)</f>
        <v/>
      </c>
      <c r="V498" s="6">
        <f>IFERROR(__xludf.DUMMYFUNCTION("""COMPUTED_VALUE"""),2238.88)</f>
        <v/>
      </c>
      <c r="Z498" s="6">
        <f>AA498&amp;AB498</f>
        <v/>
      </c>
      <c r="AA498" s="6">
        <f>YEAR(AC498)</f>
        <v/>
      </c>
      <c r="AB498" s="6">
        <f>MONTH(AC498)</f>
        <v/>
      </c>
      <c r="AC498" s="267">
        <f>IFERROR(__xludf.DUMMYFUNCTION("""COMPUTED_VALUE"""),43621.9986111111)</f>
        <v/>
      </c>
      <c r="AD498" s="6">
        <f>IFERROR(__xludf.DUMMYFUNCTION("""COMPUTED_VALUE"""),1178.74)</f>
        <v/>
      </c>
      <c r="AH498" s="6">
        <f>AI498&amp;AJ498</f>
        <v/>
      </c>
      <c r="AI498" s="6">
        <f>YEAR(AK498)</f>
        <v/>
      </c>
      <c r="AJ498" s="6">
        <f>MONTH(AK498)</f>
        <v/>
      </c>
      <c r="AK498" s="267">
        <f>IFERROR(__xludf.DUMMYFUNCTION("""COMPUTED_VALUE"""),43590.9986111111)</f>
        <v/>
      </c>
      <c r="AL498" s="6">
        <f>IFERROR(__xludf.DUMMYFUNCTION("""COMPUTED_VALUE"""),5720.7)</f>
        <v/>
      </c>
      <c r="AP498" s="6">
        <f>AQ498&amp;AR498</f>
        <v/>
      </c>
      <c r="AQ498" s="6">
        <f>YEAR(AS498)</f>
        <v/>
      </c>
      <c r="AR498" s="6">
        <f>MONTH(AS498)</f>
        <v/>
      </c>
      <c r="AS498" s="267">
        <f>IFERROR(__xludf.DUMMYFUNCTION("""COMPUTED_VALUE"""),43826.9986111111)</f>
        <v/>
      </c>
      <c r="AT498" s="6">
        <f>IFERROR(__xludf.DUMMYFUNCTION("""COMPUTED_VALUE"""),1518.1)</f>
        <v/>
      </c>
    </row>
    <row r="499">
      <c r="B499" s="6">
        <f>C499&amp;D499</f>
        <v/>
      </c>
      <c r="C499" s="6">
        <f>YEAR(E499)</f>
        <v/>
      </c>
      <c r="D499" s="6">
        <f>MONTH(E499)</f>
        <v/>
      </c>
      <c r="E499" s="267">
        <f>IFERROR(__xludf.DUMMYFUNCTION("""COMPUTED_VALUE"""),43816.6666666666)</f>
        <v/>
      </c>
      <c r="F499" s="6">
        <f>IFERROR(__xludf.DUMMYFUNCTION("""COMPUTED_VALUE"""),3192.52)</f>
        <v/>
      </c>
      <c r="J499" s="6">
        <f>K499&amp;L499</f>
        <v/>
      </c>
      <c r="K499" s="6">
        <f>YEAR(M499)</f>
        <v/>
      </c>
      <c r="L499" s="6">
        <f>MONTH(M499)</f>
        <v/>
      </c>
      <c r="M499" s="267">
        <f>IFERROR(__xludf.DUMMYFUNCTION("""COMPUTED_VALUE"""),43812.6666666666)</f>
        <v/>
      </c>
      <c r="N499" s="6">
        <f>IFERROR(__xludf.DUMMYFUNCTION("""COMPUTED_VALUE"""),8734.88)</f>
        <v/>
      </c>
      <c r="R499" s="6">
        <f>S499&amp;T499</f>
        <v/>
      </c>
      <c r="S499" s="6">
        <f>YEAR(U499)</f>
        <v/>
      </c>
      <c r="T499" s="6">
        <f>MONTH(U499)</f>
        <v/>
      </c>
      <c r="U499" s="267">
        <f>IFERROR(__xludf.DUMMYFUNCTION("""COMPUTED_VALUE"""),43845.6458333333)</f>
        <v/>
      </c>
      <c r="V499" s="6">
        <f>IFERROR(__xludf.DUMMYFUNCTION("""COMPUTED_VALUE"""),2230.98)</f>
        <v/>
      </c>
      <c r="Z499" s="6">
        <f>AA499&amp;AB499</f>
        <v/>
      </c>
      <c r="AA499" s="6">
        <f>YEAR(AC499)</f>
        <v/>
      </c>
      <c r="AB499" s="6">
        <f>MONTH(AC499)</f>
        <v/>
      </c>
      <c r="AC499" s="267">
        <f>IFERROR(__xludf.DUMMYFUNCTION("""COMPUTED_VALUE"""),43622.9986111111)</f>
        <v/>
      </c>
      <c r="AD499" s="6">
        <f>IFERROR(__xludf.DUMMYFUNCTION("""COMPUTED_VALUE"""),1177)</f>
        <v/>
      </c>
      <c r="AH499" s="6">
        <f>AI499&amp;AJ499</f>
        <v/>
      </c>
      <c r="AI499" s="6">
        <f>YEAR(AK499)</f>
        <v/>
      </c>
      <c r="AJ499" s="6">
        <f>MONTH(AK499)</f>
        <v/>
      </c>
      <c r="AK499" s="267">
        <f>IFERROR(__xludf.DUMMYFUNCTION("""COMPUTED_VALUE"""),43591.9986111111)</f>
        <v/>
      </c>
      <c r="AL499" s="6">
        <f>IFERROR(__xludf.DUMMYFUNCTION("""COMPUTED_VALUE"""),5693.083)</f>
        <v/>
      </c>
      <c r="AP499" s="6">
        <f>AQ499&amp;AR499</f>
        <v/>
      </c>
      <c r="AQ499" s="6">
        <f>YEAR(AS499)</f>
        <v/>
      </c>
      <c r="AR499" s="6">
        <f>MONTH(AS499)</f>
        <v/>
      </c>
      <c r="AS499" s="267">
        <f>IFERROR(__xludf.DUMMYFUNCTION("""COMPUTED_VALUE"""),43829.9986111111)</f>
        <v/>
      </c>
      <c r="AT499" s="6">
        <f>IFERROR(__xludf.DUMMYFUNCTION("""COMPUTED_VALUE"""),1518.6)</f>
        <v/>
      </c>
    </row>
    <row r="500">
      <c r="B500" s="6">
        <f>C500&amp;D500</f>
        <v/>
      </c>
      <c r="C500" s="6">
        <f>YEAR(E500)</f>
        <v/>
      </c>
      <c r="D500" s="6">
        <f>MONTH(E500)</f>
        <v/>
      </c>
      <c r="E500" s="267">
        <f>IFERROR(__xludf.DUMMYFUNCTION("""COMPUTED_VALUE"""),43817.6666666666)</f>
        <v/>
      </c>
      <c r="F500" s="6">
        <f>IFERROR(__xludf.DUMMYFUNCTION("""COMPUTED_VALUE"""),3191.14)</f>
        <v/>
      </c>
      <c r="J500" s="6">
        <f>K500&amp;L500</f>
        <v/>
      </c>
      <c r="K500" s="6">
        <f>YEAR(M500)</f>
        <v/>
      </c>
      <c r="L500" s="6">
        <f>MONTH(M500)</f>
        <v/>
      </c>
      <c r="M500" s="267">
        <f>IFERROR(__xludf.DUMMYFUNCTION("""COMPUTED_VALUE"""),43815.6666666666)</f>
        <v/>
      </c>
      <c r="N500" s="6">
        <f>IFERROR(__xludf.DUMMYFUNCTION("""COMPUTED_VALUE"""),8814.23)</f>
        <v/>
      </c>
      <c r="R500" s="6">
        <f>S500&amp;T500</f>
        <v/>
      </c>
      <c r="S500" s="6">
        <f>YEAR(U500)</f>
        <v/>
      </c>
      <c r="T500" s="6">
        <f>MONTH(U500)</f>
        <v/>
      </c>
      <c r="U500" s="267">
        <f>IFERROR(__xludf.DUMMYFUNCTION("""COMPUTED_VALUE"""),43846.6458333333)</f>
        <v/>
      </c>
      <c r="V500" s="6">
        <f>IFERROR(__xludf.DUMMYFUNCTION("""COMPUTED_VALUE"""),2248.05)</f>
        <v/>
      </c>
      <c r="Z500" s="6">
        <f>AA500&amp;AB500</f>
        <v/>
      </c>
      <c r="AA500" s="6">
        <f>YEAR(AC500)</f>
        <v/>
      </c>
      <c r="AB500" s="6">
        <f>MONTH(AC500)</f>
        <v/>
      </c>
      <c r="AC500" s="267">
        <f>IFERROR(__xludf.DUMMYFUNCTION("""COMPUTED_VALUE"""),43623.9986111111)</f>
        <v/>
      </c>
      <c r="AD500" s="6">
        <f>IFERROR(__xludf.DUMMYFUNCTION("""COMPUTED_VALUE"""),1181.08)</f>
        <v/>
      </c>
      <c r="AH500" s="6">
        <f>AI500&amp;AJ500</f>
        <v/>
      </c>
      <c r="AI500" s="6">
        <f>YEAR(AK500)</f>
        <v/>
      </c>
      <c r="AJ500" s="6">
        <f>MONTH(AK500)</f>
        <v/>
      </c>
      <c r="AK500" s="267">
        <f>IFERROR(__xludf.DUMMYFUNCTION("""COMPUTED_VALUE"""),43592.9986111111)</f>
        <v/>
      </c>
      <c r="AL500" s="6">
        <f>IFERROR(__xludf.DUMMYFUNCTION("""COMPUTED_VALUE"""),5763.569)</f>
        <v/>
      </c>
      <c r="AP500" s="6">
        <f>AQ500&amp;AR500</f>
        <v/>
      </c>
      <c r="AQ500" s="6">
        <f>YEAR(AS500)</f>
        <v/>
      </c>
      <c r="AR500" s="6">
        <f>MONTH(AS500)</f>
        <v/>
      </c>
      <c r="AS500" s="267">
        <f>IFERROR(__xludf.DUMMYFUNCTION("""COMPUTED_VALUE"""),43832.9986111111)</f>
        <v/>
      </c>
      <c r="AT500" s="6">
        <f>IFERROR(__xludf.DUMMYFUNCTION("""COMPUTED_VALUE"""),1528.1)</f>
        <v/>
      </c>
    </row>
    <row r="501">
      <c r="B501" s="6">
        <f>C501&amp;D501</f>
        <v/>
      </c>
      <c r="C501" s="6">
        <f>YEAR(E501)</f>
        <v/>
      </c>
      <c r="D501" s="6">
        <f>MONTH(E501)</f>
        <v/>
      </c>
      <c r="E501" s="267">
        <f>IFERROR(__xludf.DUMMYFUNCTION("""COMPUTED_VALUE"""),43818.6666666666)</f>
        <v/>
      </c>
      <c r="F501" s="6">
        <f>IFERROR(__xludf.DUMMYFUNCTION("""COMPUTED_VALUE"""),3205.37)</f>
        <v/>
      </c>
      <c r="J501" s="6">
        <f>K501&amp;L501</f>
        <v/>
      </c>
      <c r="K501" s="6">
        <f>YEAR(M501)</f>
        <v/>
      </c>
      <c r="L501" s="6">
        <f>MONTH(M501)</f>
        <v/>
      </c>
      <c r="M501" s="267">
        <f>IFERROR(__xludf.DUMMYFUNCTION("""COMPUTED_VALUE"""),43816.6666666666)</f>
        <v/>
      </c>
      <c r="N501" s="6">
        <f>IFERROR(__xludf.DUMMYFUNCTION("""COMPUTED_VALUE"""),8823.36)</f>
        <v/>
      </c>
      <c r="R501" s="6">
        <f>S501&amp;T501</f>
        <v/>
      </c>
      <c r="S501" s="6">
        <f>YEAR(U501)</f>
        <v/>
      </c>
      <c r="T501" s="6">
        <f>MONTH(U501)</f>
        <v/>
      </c>
      <c r="U501" s="267">
        <f>IFERROR(__xludf.DUMMYFUNCTION("""COMPUTED_VALUE"""),43847.6458333333)</f>
        <v/>
      </c>
      <c r="V501" s="6">
        <f>IFERROR(__xludf.DUMMYFUNCTION("""COMPUTED_VALUE"""),2250.57)</f>
        <v/>
      </c>
      <c r="Z501" s="6">
        <f>AA501&amp;AB501</f>
        <v/>
      </c>
      <c r="AA501" s="6">
        <f>YEAR(AC501)</f>
        <v/>
      </c>
      <c r="AB501" s="6">
        <f>MONTH(AC501)</f>
        <v/>
      </c>
      <c r="AC501" s="267">
        <f>IFERROR(__xludf.DUMMYFUNCTION("""COMPUTED_VALUE"""),43625.9986111111)</f>
        <v/>
      </c>
      <c r="AD501" s="6">
        <f>IFERROR(__xludf.DUMMYFUNCTION("""COMPUTED_VALUE"""),1180.76)</f>
        <v/>
      </c>
      <c r="AH501" s="6">
        <f>AI501&amp;AJ501</f>
        <v/>
      </c>
      <c r="AI501" s="6">
        <f>YEAR(AK501)</f>
        <v/>
      </c>
      <c r="AJ501" s="6">
        <f>MONTH(AK501)</f>
        <v/>
      </c>
      <c r="AK501" s="267">
        <f>IFERROR(__xludf.DUMMYFUNCTION("""COMPUTED_VALUE"""),43593.9986111111)</f>
        <v/>
      </c>
      <c r="AL501" s="6">
        <f>IFERROR(__xludf.DUMMYFUNCTION("""COMPUTED_VALUE"""),5957.77)</f>
        <v/>
      </c>
      <c r="AP501" s="6">
        <f>AQ501&amp;AR501</f>
        <v/>
      </c>
      <c r="AQ501" s="6">
        <f>YEAR(AS501)</f>
        <v/>
      </c>
      <c r="AR501" s="6">
        <f>MONTH(AS501)</f>
        <v/>
      </c>
      <c r="AS501" s="267">
        <f>IFERROR(__xludf.DUMMYFUNCTION("""COMPUTED_VALUE"""),43833.9986111111)</f>
        <v/>
      </c>
      <c r="AT501" s="6">
        <f>IFERROR(__xludf.DUMMYFUNCTION("""COMPUTED_VALUE"""),1552.4)</f>
        <v/>
      </c>
    </row>
    <row r="502">
      <c r="B502" s="6">
        <f>C502&amp;D502</f>
        <v/>
      </c>
      <c r="C502" s="6">
        <f>YEAR(E502)</f>
        <v/>
      </c>
      <c r="D502" s="6">
        <f>MONTH(E502)</f>
        <v/>
      </c>
      <c r="E502" s="267">
        <f>IFERROR(__xludf.DUMMYFUNCTION("""COMPUTED_VALUE"""),43819.6666666666)</f>
        <v/>
      </c>
      <c r="F502" s="6">
        <f>IFERROR(__xludf.DUMMYFUNCTION("""COMPUTED_VALUE"""),3221.22)</f>
        <v/>
      </c>
      <c r="J502" s="6">
        <f>K502&amp;L502</f>
        <v/>
      </c>
      <c r="K502" s="6">
        <f>YEAR(M502)</f>
        <v/>
      </c>
      <c r="L502" s="6">
        <f>MONTH(M502)</f>
        <v/>
      </c>
      <c r="M502" s="267">
        <f>IFERROR(__xludf.DUMMYFUNCTION("""COMPUTED_VALUE"""),43817.6666666666)</f>
        <v/>
      </c>
      <c r="N502" s="6">
        <f>IFERROR(__xludf.DUMMYFUNCTION("""COMPUTED_VALUE"""),8827.74)</f>
        <v/>
      </c>
      <c r="R502" s="6">
        <f>S502&amp;T502</f>
        <v/>
      </c>
      <c r="S502" s="6">
        <f>YEAR(U502)</f>
        <v/>
      </c>
      <c r="T502" s="6">
        <f>MONTH(U502)</f>
        <v/>
      </c>
      <c r="U502" s="267">
        <f>IFERROR(__xludf.DUMMYFUNCTION("""COMPUTED_VALUE"""),43850.6458333333)</f>
        <v/>
      </c>
      <c r="V502" s="6">
        <f>IFERROR(__xludf.DUMMYFUNCTION("""COMPUTED_VALUE"""),2262.64)</f>
        <v/>
      </c>
      <c r="Z502" s="6">
        <f>AA502&amp;AB502</f>
        <v/>
      </c>
      <c r="AA502" s="6">
        <f>YEAR(AC502)</f>
        <v/>
      </c>
      <c r="AB502" s="6">
        <f>MONTH(AC502)</f>
        <v/>
      </c>
      <c r="AC502" s="267">
        <f>IFERROR(__xludf.DUMMYFUNCTION("""COMPUTED_VALUE"""),43626.9986111111)</f>
        <v/>
      </c>
      <c r="AD502" s="6">
        <f>IFERROR(__xludf.DUMMYFUNCTION("""COMPUTED_VALUE"""),1182.1)</f>
        <v/>
      </c>
      <c r="AH502" s="6">
        <f>AI502&amp;AJ502</f>
        <v/>
      </c>
      <c r="AI502" s="6">
        <f>YEAR(AK502)</f>
        <v/>
      </c>
      <c r="AJ502" s="6">
        <f>MONTH(AK502)</f>
        <v/>
      </c>
      <c r="AK502" s="267">
        <f>IFERROR(__xludf.DUMMYFUNCTION("""COMPUTED_VALUE"""),43594.9986111111)</f>
        <v/>
      </c>
      <c r="AL502" s="6">
        <f>IFERROR(__xludf.DUMMYFUNCTION("""COMPUTED_VALUE"""),6161.655)</f>
        <v/>
      </c>
      <c r="AP502" s="6">
        <f>AQ502&amp;AR502</f>
        <v/>
      </c>
      <c r="AQ502" s="6">
        <f>YEAR(AS502)</f>
        <v/>
      </c>
      <c r="AR502" s="6">
        <f>MONTH(AS502)</f>
        <v/>
      </c>
      <c r="AS502" s="267">
        <f>IFERROR(__xludf.DUMMYFUNCTION("""COMPUTED_VALUE"""),43836.9986111111)</f>
        <v/>
      </c>
      <c r="AT502" s="6">
        <f>IFERROR(__xludf.DUMMYFUNCTION("""COMPUTED_VALUE"""),1568.8)</f>
        <v/>
      </c>
    </row>
    <row r="503">
      <c r="B503" s="6">
        <f>C503&amp;D503</f>
        <v/>
      </c>
      <c r="C503" s="6">
        <f>YEAR(E503)</f>
        <v/>
      </c>
      <c r="D503" s="6">
        <f>MONTH(E503)</f>
        <v/>
      </c>
      <c r="E503" s="267">
        <f>IFERROR(__xludf.DUMMYFUNCTION("""COMPUTED_VALUE"""),43822.6666666666)</f>
        <v/>
      </c>
      <c r="F503" s="6">
        <f>IFERROR(__xludf.DUMMYFUNCTION("""COMPUTED_VALUE"""),3224.01)</f>
        <v/>
      </c>
      <c r="J503" s="6">
        <f>K503&amp;L503</f>
        <v/>
      </c>
      <c r="K503" s="6">
        <f>YEAR(M503)</f>
        <v/>
      </c>
      <c r="L503" s="6">
        <f>MONTH(M503)</f>
        <v/>
      </c>
      <c r="M503" s="267">
        <f>IFERROR(__xludf.DUMMYFUNCTION("""COMPUTED_VALUE"""),43818.6666666666)</f>
        <v/>
      </c>
      <c r="N503" s="6">
        <f>IFERROR(__xludf.DUMMYFUNCTION("""COMPUTED_VALUE"""),8887.22)</f>
        <v/>
      </c>
      <c r="R503" s="6">
        <f>S503&amp;T503</f>
        <v/>
      </c>
      <c r="S503" s="6">
        <f>YEAR(U503)</f>
        <v/>
      </c>
      <c r="T503" s="6">
        <f>MONTH(U503)</f>
        <v/>
      </c>
      <c r="U503" s="267">
        <f>IFERROR(__xludf.DUMMYFUNCTION("""COMPUTED_VALUE"""),43851.6458333333)</f>
        <v/>
      </c>
      <c r="V503" s="6">
        <f>IFERROR(__xludf.DUMMYFUNCTION("""COMPUTED_VALUE"""),2239.69)</f>
        <v/>
      </c>
      <c r="Z503" s="6">
        <f>AA503&amp;AB503</f>
        <v/>
      </c>
      <c r="AA503" s="6">
        <f>YEAR(AC503)</f>
        <v/>
      </c>
      <c r="AB503" s="6">
        <f>MONTH(AC503)</f>
        <v/>
      </c>
      <c r="AC503" s="267">
        <f>IFERROR(__xludf.DUMMYFUNCTION("""COMPUTED_VALUE"""),43627.9986111111)</f>
        <v/>
      </c>
      <c r="AD503" s="6">
        <f>IFERROR(__xludf.DUMMYFUNCTION("""COMPUTED_VALUE"""),1177.98)</f>
        <v/>
      </c>
      <c r="AH503" s="6">
        <f>AI503&amp;AJ503</f>
        <v/>
      </c>
      <c r="AI503" s="6">
        <f>YEAR(AK503)</f>
        <v/>
      </c>
      <c r="AJ503" s="6">
        <f>MONTH(AK503)</f>
        <v/>
      </c>
      <c r="AK503" s="267">
        <f>IFERROR(__xludf.DUMMYFUNCTION("""COMPUTED_VALUE"""),43595.9986111111)</f>
        <v/>
      </c>
      <c r="AL503" s="6">
        <f>IFERROR(__xludf.DUMMYFUNCTION("""COMPUTED_VALUE"""),6358.179)</f>
        <v/>
      </c>
      <c r="AP503" s="6">
        <f>AQ503&amp;AR503</f>
        <v/>
      </c>
      <c r="AQ503" s="6">
        <f>YEAR(AS503)</f>
        <v/>
      </c>
      <c r="AR503" s="6">
        <f>MONTH(AS503)</f>
        <v/>
      </c>
      <c r="AS503" s="267">
        <f>IFERROR(__xludf.DUMMYFUNCTION("""COMPUTED_VALUE"""),43837.9986111111)</f>
        <v/>
      </c>
      <c r="AT503" s="6">
        <f>IFERROR(__xludf.DUMMYFUNCTION("""COMPUTED_VALUE"""),1574.3)</f>
        <v/>
      </c>
    </row>
    <row r="504">
      <c r="B504" s="6">
        <f>C504&amp;D504</f>
        <v/>
      </c>
      <c r="C504" s="6">
        <f>YEAR(E504)</f>
        <v/>
      </c>
      <c r="D504" s="6">
        <f>MONTH(E504)</f>
        <v/>
      </c>
      <c r="E504" s="267">
        <f>IFERROR(__xludf.DUMMYFUNCTION("""COMPUTED_VALUE"""),43825.6666666666)</f>
        <v/>
      </c>
      <c r="F504" s="6">
        <f>IFERROR(__xludf.DUMMYFUNCTION("""COMPUTED_VALUE"""),3239.91)</f>
        <v/>
      </c>
      <c r="J504" s="6">
        <f>K504&amp;L504</f>
        <v/>
      </c>
      <c r="K504" s="6">
        <f>YEAR(M504)</f>
        <v/>
      </c>
      <c r="L504" s="6">
        <f>MONTH(M504)</f>
        <v/>
      </c>
      <c r="M504" s="267">
        <f>IFERROR(__xludf.DUMMYFUNCTION("""COMPUTED_VALUE"""),43819.6666666666)</f>
        <v/>
      </c>
      <c r="N504" s="6">
        <f>IFERROR(__xludf.DUMMYFUNCTION("""COMPUTED_VALUE"""),8924.96)</f>
        <v/>
      </c>
      <c r="R504" s="6">
        <f>S504&amp;T504</f>
        <v/>
      </c>
      <c r="S504" s="6">
        <f>YEAR(U504)</f>
        <v/>
      </c>
      <c r="T504" s="6">
        <f>MONTH(U504)</f>
        <v/>
      </c>
      <c r="U504" s="267">
        <f>IFERROR(__xludf.DUMMYFUNCTION("""COMPUTED_VALUE"""),43852.6458333333)</f>
        <v/>
      </c>
      <c r="V504" s="6">
        <f>IFERROR(__xludf.DUMMYFUNCTION("""COMPUTED_VALUE"""),2267.25)</f>
        <v/>
      </c>
      <c r="Z504" s="6">
        <f>AA504&amp;AB504</f>
        <v/>
      </c>
      <c r="AA504" s="6">
        <f>YEAR(AC504)</f>
        <v/>
      </c>
      <c r="AB504" s="6">
        <f>MONTH(AC504)</f>
        <v/>
      </c>
      <c r="AC504" s="267">
        <f>IFERROR(__xludf.DUMMYFUNCTION("""COMPUTED_VALUE"""),43628.9986111111)</f>
        <v/>
      </c>
      <c r="AD504" s="6">
        <f>IFERROR(__xludf.DUMMYFUNCTION("""COMPUTED_VALUE"""),1183.43)</f>
        <v/>
      </c>
      <c r="AH504" s="6">
        <f>AI504&amp;AJ504</f>
        <v/>
      </c>
      <c r="AI504" s="6">
        <f>YEAR(AK504)</f>
        <v/>
      </c>
      <c r="AJ504" s="6">
        <f>MONTH(AK504)</f>
        <v/>
      </c>
      <c r="AK504" s="267">
        <f>IFERROR(__xludf.DUMMYFUNCTION("""COMPUTED_VALUE"""),43596.9986111111)</f>
        <v/>
      </c>
      <c r="AL504" s="6">
        <f>IFERROR(__xludf.DUMMYFUNCTION("""COMPUTED_VALUE"""),7187.249)</f>
        <v/>
      </c>
      <c r="AP504" s="6">
        <f>AQ504&amp;AR504</f>
        <v/>
      </c>
      <c r="AQ504" s="6">
        <f>YEAR(AS504)</f>
        <v/>
      </c>
      <c r="AR504" s="6">
        <f>MONTH(AS504)</f>
        <v/>
      </c>
      <c r="AS504" s="267">
        <f>IFERROR(__xludf.DUMMYFUNCTION("""COMPUTED_VALUE"""),43838.9986111111)</f>
        <v/>
      </c>
      <c r="AT504" s="6">
        <f>IFERROR(__xludf.DUMMYFUNCTION("""COMPUTED_VALUE"""),1560.2)</f>
        <v/>
      </c>
    </row>
    <row r="505">
      <c r="B505" s="6">
        <f>C505&amp;D505</f>
        <v/>
      </c>
      <c r="C505" s="6">
        <f>YEAR(E505)</f>
        <v/>
      </c>
      <c r="D505" s="6">
        <f>MONTH(E505)</f>
        <v/>
      </c>
      <c r="E505" s="267">
        <f>IFERROR(__xludf.DUMMYFUNCTION("""COMPUTED_VALUE"""),43826.6666666666)</f>
        <v/>
      </c>
      <c r="F505" s="6">
        <f>IFERROR(__xludf.DUMMYFUNCTION("""COMPUTED_VALUE"""),3240.02)</f>
        <v/>
      </c>
      <c r="J505" s="6">
        <f>K505&amp;L505</f>
        <v/>
      </c>
      <c r="K505" s="6">
        <f>YEAR(M505)</f>
        <v/>
      </c>
      <c r="L505" s="6">
        <f>MONTH(M505)</f>
        <v/>
      </c>
      <c r="M505" s="267">
        <f>IFERROR(__xludf.DUMMYFUNCTION("""COMPUTED_VALUE"""),43822.6666666666)</f>
        <v/>
      </c>
      <c r="N505" s="6">
        <f>IFERROR(__xludf.DUMMYFUNCTION("""COMPUTED_VALUE"""),8945.65)</f>
        <v/>
      </c>
      <c r="R505" s="6">
        <f>S505&amp;T505</f>
        <v/>
      </c>
      <c r="S505" s="6">
        <f>YEAR(U505)</f>
        <v/>
      </c>
      <c r="T505" s="6">
        <f>MONTH(U505)</f>
        <v/>
      </c>
      <c r="U505" s="267">
        <f>IFERROR(__xludf.DUMMYFUNCTION("""COMPUTED_VALUE"""),43853.6458333333)</f>
        <v/>
      </c>
      <c r="V505" s="6">
        <f>IFERROR(__xludf.DUMMYFUNCTION("""COMPUTED_VALUE"""),2246.13)</f>
        <v/>
      </c>
      <c r="Z505" s="6">
        <f>AA505&amp;AB505</f>
        <v/>
      </c>
      <c r="AA505" s="6">
        <f>YEAR(AC505)</f>
        <v/>
      </c>
      <c r="AB505" s="6">
        <f>MONTH(AC505)</f>
        <v/>
      </c>
      <c r="AC505" s="267">
        <f>IFERROR(__xludf.DUMMYFUNCTION("""COMPUTED_VALUE"""),43629.9986111111)</f>
        <v/>
      </c>
      <c r="AD505" s="6">
        <f>IFERROR(__xludf.DUMMYFUNCTION("""COMPUTED_VALUE"""),1181.08)</f>
        <v/>
      </c>
      <c r="AH505" s="6">
        <f>AI505&amp;AJ505</f>
        <v/>
      </c>
      <c r="AI505" s="6">
        <f>YEAR(AK505)</f>
        <v/>
      </c>
      <c r="AJ505" s="6">
        <f>MONTH(AK505)</f>
        <v/>
      </c>
      <c r="AK505" s="267">
        <f>IFERROR(__xludf.DUMMYFUNCTION("""COMPUTED_VALUE"""),43597.9986111111)</f>
        <v/>
      </c>
      <c r="AL505" s="6">
        <f>IFERROR(__xludf.DUMMYFUNCTION("""COMPUTED_VALUE"""),6978.169)</f>
        <v/>
      </c>
      <c r="AP505" s="6">
        <f>AQ505&amp;AR505</f>
        <v/>
      </c>
      <c r="AQ505" s="6">
        <f>YEAR(AS505)</f>
        <v/>
      </c>
      <c r="AR505" s="6">
        <f>MONTH(AS505)</f>
        <v/>
      </c>
      <c r="AS505" s="267">
        <f>IFERROR(__xludf.DUMMYFUNCTION("""COMPUTED_VALUE"""),43839.9986111111)</f>
        <v/>
      </c>
      <c r="AT505" s="6">
        <f>IFERROR(__xludf.DUMMYFUNCTION("""COMPUTED_VALUE"""),1554.3)</f>
        <v/>
      </c>
    </row>
    <row r="506">
      <c r="B506" s="6">
        <f>C506&amp;D506</f>
        <v/>
      </c>
      <c r="C506" s="6">
        <f>YEAR(E506)</f>
        <v/>
      </c>
      <c r="D506" s="6">
        <f>MONTH(E506)</f>
        <v/>
      </c>
      <c r="E506" s="267">
        <f>IFERROR(__xludf.DUMMYFUNCTION("""COMPUTED_VALUE"""),43829.6666666666)</f>
        <v/>
      </c>
      <c r="F506" s="6">
        <f>IFERROR(__xludf.DUMMYFUNCTION("""COMPUTED_VALUE"""),3221.29)</f>
        <v/>
      </c>
      <c r="J506" s="6">
        <f>K506&amp;L506</f>
        <v/>
      </c>
      <c r="K506" s="6">
        <f>YEAR(M506)</f>
        <v/>
      </c>
      <c r="L506" s="6">
        <f>MONTH(M506)</f>
        <v/>
      </c>
      <c r="M506" s="267">
        <f>IFERROR(__xludf.DUMMYFUNCTION("""COMPUTED_VALUE"""),43823.5416666666)</f>
        <v/>
      </c>
      <c r="N506" s="6">
        <f>IFERROR(__xludf.DUMMYFUNCTION("""COMPUTED_VALUE"""),8952.88)</f>
        <v/>
      </c>
      <c r="R506" s="6">
        <f>S506&amp;T506</f>
        <v/>
      </c>
      <c r="S506" s="6">
        <f>YEAR(U506)</f>
        <v/>
      </c>
      <c r="T506" s="6">
        <f>MONTH(U506)</f>
        <v/>
      </c>
      <c r="U506" s="267">
        <f>IFERROR(__xludf.DUMMYFUNCTION("""COMPUTED_VALUE"""),43858.6458333333)</f>
        <v/>
      </c>
      <c r="V506" s="6">
        <f>IFERROR(__xludf.DUMMYFUNCTION("""COMPUTED_VALUE"""),2176.72)</f>
        <v/>
      </c>
      <c r="Z506" s="6">
        <f>AA506&amp;AB506</f>
        <v/>
      </c>
      <c r="AA506" s="6">
        <f>YEAR(AC506)</f>
        <v/>
      </c>
      <c r="AB506" s="6">
        <f>MONTH(AC506)</f>
        <v/>
      </c>
      <c r="AC506" s="267">
        <f>IFERROR(__xludf.DUMMYFUNCTION("""COMPUTED_VALUE"""),43630.9986111111)</f>
        <v/>
      </c>
      <c r="AD506" s="6">
        <f>IFERROR(__xludf.DUMMYFUNCTION("""COMPUTED_VALUE"""),1185.47)</f>
        <v/>
      </c>
      <c r="AH506" s="6">
        <f>AI506&amp;AJ506</f>
        <v/>
      </c>
      <c r="AI506" s="6">
        <f>YEAR(AK506)</f>
        <v/>
      </c>
      <c r="AJ506" s="6">
        <f>MONTH(AK506)</f>
        <v/>
      </c>
      <c r="AK506" s="267">
        <f>IFERROR(__xludf.DUMMYFUNCTION("""COMPUTED_VALUE"""),43598.9986111111)</f>
        <v/>
      </c>
      <c r="AL506" s="6">
        <f>IFERROR(__xludf.DUMMYFUNCTION("""COMPUTED_VALUE"""),7809.004)</f>
        <v/>
      </c>
      <c r="AP506" s="6">
        <f>AQ506&amp;AR506</f>
        <v/>
      </c>
      <c r="AQ506" s="6">
        <f>YEAR(AS506)</f>
        <v/>
      </c>
      <c r="AR506" s="6">
        <f>MONTH(AS506)</f>
        <v/>
      </c>
      <c r="AS506" s="267">
        <f>IFERROR(__xludf.DUMMYFUNCTION("""COMPUTED_VALUE"""),43840.9986111111)</f>
        <v/>
      </c>
      <c r="AT506" s="6">
        <f>IFERROR(__xludf.DUMMYFUNCTION("""COMPUTED_VALUE"""),1560.1)</f>
        <v/>
      </c>
    </row>
    <row r="507">
      <c r="B507" s="6">
        <f>C507&amp;D507</f>
        <v/>
      </c>
      <c r="C507" s="6">
        <f>YEAR(E507)</f>
        <v/>
      </c>
      <c r="D507" s="6">
        <f>MONTH(E507)</f>
        <v/>
      </c>
      <c r="E507" s="267">
        <f>IFERROR(__xludf.DUMMYFUNCTION("""COMPUTED_VALUE"""),43832.6666666666)</f>
        <v/>
      </c>
      <c r="F507" s="6">
        <f>IFERROR(__xludf.DUMMYFUNCTION("""COMPUTED_VALUE"""),3257.85)</f>
        <v/>
      </c>
      <c r="J507" s="6">
        <f>K507&amp;L507</f>
        <v/>
      </c>
      <c r="K507" s="6">
        <f>YEAR(M507)</f>
        <v/>
      </c>
      <c r="L507" s="6">
        <f>MONTH(M507)</f>
        <v/>
      </c>
      <c r="M507" s="267">
        <f>IFERROR(__xludf.DUMMYFUNCTION("""COMPUTED_VALUE"""),43825.6666666666)</f>
        <v/>
      </c>
      <c r="N507" s="6">
        <f>IFERROR(__xludf.DUMMYFUNCTION("""COMPUTED_VALUE"""),9022.39)</f>
        <v/>
      </c>
      <c r="R507" s="6">
        <f>S507&amp;T507</f>
        <v/>
      </c>
      <c r="S507" s="6">
        <f>YEAR(U507)</f>
        <v/>
      </c>
      <c r="T507" s="6">
        <f>MONTH(U507)</f>
        <v/>
      </c>
      <c r="U507" s="267">
        <f>IFERROR(__xludf.DUMMYFUNCTION("""COMPUTED_VALUE"""),43859.6458333333)</f>
        <v/>
      </c>
      <c r="V507" s="6">
        <f>IFERROR(__xludf.DUMMYFUNCTION("""COMPUTED_VALUE"""),2185.28)</f>
        <v/>
      </c>
      <c r="Z507" s="6">
        <f>AA507&amp;AB507</f>
        <v/>
      </c>
      <c r="AA507" s="6">
        <f>YEAR(AC507)</f>
        <v/>
      </c>
      <c r="AB507" s="6">
        <f>MONTH(AC507)</f>
        <v/>
      </c>
      <c r="AC507" s="267">
        <f>IFERROR(__xludf.DUMMYFUNCTION("""COMPUTED_VALUE"""),43631.9986111111)</f>
        <v/>
      </c>
      <c r="AD507" s="6">
        <f>IFERROR(__xludf.DUMMYFUNCTION("""COMPUTED_VALUE"""),1184.9)</f>
        <v/>
      </c>
      <c r="AH507" s="6">
        <f>AI507&amp;AJ507</f>
        <v/>
      </c>
      <c r="AI507" s="6">
        <f>YEAR(AK507)</f>
        <v/>
      </c>
      <c r="AJ507" s="6">
        <f>MONTH(AK507)</f>
        <v/>
      </c>
      <c r="AK507" s="267">
        <f>IFERROR(__xludf.DUMMYFUNCTION("""COMPUTED_VALUE"""),43599.9986111111)</f>
        <v/>
      </c>
      <c r="AL507" s="6">
        <f>IFERROR(__xludf.DUMMYFUNCTION("""COMPUTED_VALUE"""),7991.535)</f>
        <v/>
      </c>
      <c r="AP507" s="6">
        <f>AQ507&amp;AR507</f>
        <v/>
      </c>
      <c r="AQ507" s="6">
        <f>YEAR(AS507)</f>
        <v/>
      </c>
      <c r="AR507" s="6">
        <f>MONTH(AS507)</f>
        <v/>
      </c>
      <c r="AS507" s="267">
        <f>IFERROR(__xludf.DUMMYFUNCTION("""COMPUTED_VALUE"""),43843.9986111111)</f>
        <v/>
      </c>
      <c r="AT507" s="6">
        <f>IFERROR(__xludf.DUMMYFUNCTION("""COMPUTED_VALUE"""),1550.6)</f>
        <v/>
      </c>
    </row>
    <row r="508">
      <c r="B508" s="6">
        <f>C508&amp;D508</f>
        <v/>
      </c>
      <c r="C508" s="6">
        <f>YEAR(E508)</f>
        <v/>
      </c>
      <c r="D508" s="6">
        <f>MONTH(E508)</f>
        <v/>
      </c>
      <c r="E508" s="267">
        <f>IFERROR(__xludf.DUMMYFUNCTION("""COMPUTED_VALUE"""),43833.6666666666)</f>
        <v/>
      </c>
      <c r="F508" s="6">
        <f>IFERROR(__xludf.DUMMYFUNCTION("""COMPUTED_VALUE"""),3234.85)</f>
        <v/>
      </c>
      <c r="J508" s="6">
        <f>K508&amp;L508</f>
        <v/>
      </c>
      <c r="K508" s="6">
        <f>YEAR(M508)</f>
        <v/>
      </c>
      <c r="L508" s="6">
        <f>MONTH(M508)</f>
        <v/>
      </c>
      <c r="M508" s="267">
        <f>IFERROR(__xludf.DUMMYFUNCTION("""COMPUTED_VALUE"""),43826.6666666666)</f>
        <v/>
      </c>
      <c r="N508" s="6">
        <f>IFERROR(__xludf.DUMMYFUNCTION("""COMPUTED_VALUE"""),9006.62)</f>
        <v/>
      </c>
      <c r="R508" s="6">
        <f>S508&amp;T508</f>
        <v/>
      </c>
      <c r="S508" s="6">
        <f>YEAR(U508)</f>
        <v/>
      </c>
      <c r="T508" s="6">
        <f>MONTH(U508)</f>
        <v/>
      </c>
      <c r="U508" s="267">
        <f>IFERROR(__xludf.DUMMYFUNCTION("""COMPUTED_VALUE"""),43860.6458333333)</f>
        <v/>
      </c>
      <c r="V508" s="6">
        <f>IFERROR(__xludf.DUMMYFUNCTION("""COMPUTED_VALUE"""),2148)</f>
        <v/>
      </c>
      <c r="Z508" s="6">
        <f>AA508&amp;AB508</f>
        <v/>
      </c>
      <c r="AA508" s="6">
        <f>YEAR(AC508)</f>
        <v/>
      </c>
      <c r="AB508" s="6">
        <f>MONTH(AC508)</f>
        <v/>
      </c>
      <c r="AC508" s="267">
        <f>IFERROR(__xludf.DUMMYFUNCTION("""COMPUTED_VALUE"""),43632.9986111111)</f>
        <v/>
      </c>
      <c r="AD508" s="6">
        <f>IFERROR(__xludf.DUMMYFUNCTION("""COMPUTED_VALUE"""),1185.89)</f>
        <v/>
      </c>
      <c r="AH508" s="6">
        <f>AI508&amp;AJ508</f>
        <v/>
      </c>
      <c r="AI508" s="6">
        <f>YEAR(AK508)</f>
        <v/>
      </c>
      <c r="AJ508" s="6">
        <f>MONTH(AK508)</f>
        <v/>
      </c>
      <c r="AK508" s="267">
        <f>IFERROR(__xludf.DUMMYFUNCTION("""COMPUTED_VALUE"""),43600.9986111111)</f>
        <v/>
      </c>
      <c r="AL508" s="6">
        <f>IFERROR(__xludf.DUMMYFUNCTION("""COMPUTED_VALUE"""),8182.613)</f>
        <v/>
      </c>
      <c r="AP508" s="6">
        <f>AQ508&amp;AR508</f>
        <v/>
      </c>
      <c r="AQ508" s="6">
        <f>YEAR(AS508)</f>
        <v/>
      </c>
      <c r="AR508" s="6">
        <f>MONTH(AS508)</f>
        <v/>
      </c>
      <c r="AS508" s="267">
        <f>IFERROR(__xludf.DUMMYFUNCTION("""COMPUTED_VALUE"""),43844.9986111111)</f>
        <v/>
      </c>
      <c r="AT508" s="6">
        <f>IFERROR(__xludf.DUMMYFUNCTION("""COMPUTED_VALUE"""),1544.6)</f>
        <v/>
      </c>
    </row>
    <row r="509">
      <c r="B509" s="6">
        <f>C509&amp;D509</f>
        <v/>
      </c>
      <c r="C509" s="6">
        <f>YEAR(E509)</f>
        <v/>
      </c>
      <c r="D509" s="6">
        <f>MONTH(E509)</f>
        <v/>
      </c>
      <c r="E509" s="267">
        <f>IFERROR(__xludf.DUMMYFUNCTION("""COMPUTED_VALUE"""),43836.6666666666)</f>
        <v/>
      </c>
      <c r="F509" s="6">
        <f>IFERROR(__xludf.DUMMYFUNCTION("""COMPUTED_VALUE"""),3246.28)</f>
        <v/>
      </c>
      <c r="J509" s="6">
        <f>K509&amp;L509</f>
        <v/>
      </c>
      <c r="K509" s="6">
        <f>YEAR(M509)</f>
        <v/>
      </c>
      <c r="L509" s="6">
        <f>MONTH(M509)</f>
        <v/>
      </c>
      <c r="M509" s="267">
        <f>IFERROR(__xludf.DUMMYFUNCTION("""COMPUTED_VALUE"""),43829.6666666666)</f>
        <v/>
      </c>
      <c r="N509" s="6">
        <f>IFERROR(__xludf.DUMMYFUNCTION("""COMPUTED_VALUE"""),8945.99)</f>
        <v/>
      </c>
      <c r="R509" s="6">
        <f>S509&amp;T509</f>
        <v/>
      </c>
      <c r="S509" s="6">
        <f>YEAR(U509)</f>
        <v/>
      </c>
      <c r="T509" s="6">
        <f>MONTH(U509)</f>
        <v/>
      </c>
      <c r="U509" s="267">
        <f>IFERROR(__xludf.DUMMYFUNCTION("""COMPUTED_VALUE"""),43861.6458333333)</f>
        <v/>
      </c>
      <c r="V509" s="6">
        <f>IFERROR(__xludf.DUMMYFUNCTION("""COMPUTED_VALUE"""),2119.01)</f>
        <v/>
      </c>
      <c r="Z509" s="6">
        <f>AA509&amp;AB509</f>
        <v/>
      </c>
      <c r="AA509" s="6">
        <f>YEAR(AC509)</f>
        <v/>
      </c>
      <c r="AB509" s="6">
        <f>MONTH(AC509)</f>
        <v/>
      </c>
      <c r="AC509" s="267">
        <f>IFERROR(__xludf.DUMMYFUNCTION("""COMPUTED_VALUE"""),43633.9986111111)</f>
        <v/>
      </c>
      <c r="AD509" s="6">
        <f>IFERROR(__xludf.DUMMYFUNCTION("""COMPUTED_VALUE"""),1185.35)</f>
        <v/>
      </c>
      <c r="AH509" s="6">
        <f>AI509&amp;AJ509</f>
        <v/>
      </c>
      <c r="AI509" s="6">
        <f>YEAR(AK509)</f>
        <v/>
      </c>
      <c r="AJ509" s="6">
        <f>MONTH(AK509)</f>
        <v/>
      </c>
      <c r="AK509" s="267">
        <f>IFERROR(__xludf.DUMMYFUNCTION("""COMPUTED_VALUE"""),43601.9986111111)</f>
        <v/>
      </c>
      <c r="AL509" s="6">
        <f>IFERROR(__xludf.DUMMYFUNCTION("""COMPUTED_VALUE"""),7875.48)</f>
        <v/>
      </c>
      <c r="AP509" s="6">
        <f>AQ509&amp;AR509</f>
        <v/>
      </c>
      <c r="AQ509" s="6">
        <f>YEAR(AS509)</f>
        <v/>
      </c>
      <c r="AR509" s="6">
        <f>MONTH(AS509)</f>
        <v/>
      </c>
      <c r="AS509" s="267">
        <f>IFERROR(__xludf.DUMMYFUNCTION("""COMPUTED_VALUE"""),43845.9986111111)</f>
        <v/>
      </c>
      <c r="AT509" s="6">
        <f>IFERROR(__xludf.DUMMYFUNCTION("""COMPUTED_VALUE"""),1554)</f>
        <v/>
      </c>
    </row>
    <row r="510">
      <c r="B510" s="6">
        <f>C510&amp;D510</f>
        <v/>
      </c>
      <c r="C510" s="6">
        <f>YEAR(E510)</f>
        <v/>
      </c>
      <c r="D510" s="6">
        <f>MONTH(E510)</f>
        <v/>
      </c>
      <c r="E510" s="267">
        <f>IFERROR(__xludf.DUMMYFUNCTION("""COMPUTED_VALUE"""),43837.6666666666)</f>
        <v/>
      </c>
      <c r="F510" s="6">
        <f>IFERROR(__xludf.DUMMYFUNCTION("""COMPUTED_VALUE"""),3237.18)</f>
        <v/>
      </c>
      <c r="J510" s="6">
        <f>K510&amp;L510</f>
        <v/>
      </c>
      <c r="K510" s="6">
        <f>YEAR(M510)</f>
        <v/>
      </c>
      <c r="L510" s="6">
        <f>MONTH(M510)</f>
        <v/>
      </c>
      <c r="M510" s="267">
        <f>IFERROR(__xludf.DUMMYFUNCTION("""COMPUTED_VALUE"""),43830.6666666666)</f>
        <v/>
      </c>
      <c r="N510" s="6">
        <f>IFERROR(__xludf.DUMMYFUNCTION("""COMPUTED_VALUE"""),8972.6)</f>
        <v/>
      </c>
      <c r="R510" s="6">
        <f>S510&amp;T510</f>
        <v/>
      </c>
      <c r="S510" s="6">
        <f>YEAR(U510)</f>
        <v/>
      </c>
      <c r="T510" s="6">
        <f>MONTH(U510)</f>
        <v/>
      </c>
      <c r="U510" s="267">
        <f>IFERROR(__xludf.DUMMYFUNCTION("""COMPUTED_VALUE"""),43864.6458333333)</f>
        <v/>
      </c>
      <c r="V510" s="6">
        <f>IFERROR(__xludf.DUMMYFUNCTION("""COMPUTED_VALUE"""),2118.88)</f>
        <v/>
      </c>
      <c r="Z510" s="6">
        <f>AA510&amp;AB510</f>
        <v/>
      </c>
      <c r="AA510" s="6">
        <f>YEAR(AC510)</f>
        <v/>
      </c>
      <c r="AB510" s="6">
        <f>MONTH(AC510)</f>
        <v/>
      </c>
      <c r="AC510" s="267">
        <f>IFERROR(__xludf.DUMMYFUNCTION("""COMPUTED_VALUE"""),43634.9986111111)</f>
        <v/>
      </c>
      <c r="AD510" s="6">
        <f>IFERROR(__xludf.DUMMYFUNCTION("""COMPUTED_VALUE"""),1173.58)</f>
        <v/>
      </c>
      <c r="AH510" s="6">
        <f>AI510&amp;AJ510</f>
        <v/>
      </c>
      <c r="AI510" s="6">
        <f>YEAR(AK510)</f>
        <v/>
      </c>
      <c r="AJ510" s="6">
        <f>MONTH(AK510)</f>
        <v/>
      </c>
      <c r="AK510" s="267">
        <f>IFERROR(__xludf.DUMMYFUNCTION("""COMPUTED_VALUE"""),43602.9986111111)</f>
        <v/>
      </c>
      <c r="AL510" s="6">
        <f>IFERROR(__xludf.DUMMYFUNCTION("""COMPUTED_VALUE"""),7372.684)</f>
        <v/>
      </c>
      <c r="AP510" s="6">
        <f>AQ510&amp;AR510</f>
        <v/>
      </c>
      <c r="AQ510" s="6">
        <f>YEAR(AS510)</f>
        <v/>
      </c>
      <c r="AR510" s="6">
        <f>MONTH(AS510)</f>
        <v/>
      </c>
      <c r="AS510" s="267">
        <f>IFERROR(__xludf.DUMMYFUNCTION("""COMPUTED_VALUE"""),43846.9986111111)</f>
        <v/>
      </c>
      <c r="AT510" s="6">
        <f>IFERROR(__xludf.DUMMYFUNCTION("""COMPUTED_VALUE"""),1550.5)</f>
        <v/>
      </c>
    </row>
    <row r="511">
      <c r="B511" s="6">
        <f>C511&amp;D511</f>
        <v/>
      </c>
      <c r="C511" s="6">
        <f>YEAR(E511)</f>
        <v/>
      </c>
      <c r="D511" s="6">
        <f>MONTH(E511)</f>
        <v/>
      </c>
      <c r="E511" s="267">
        <f>IFERROR(__xludf.DUMMYFUNCTION("""COMPUTED_VALUE"""),43838.6666666666)</f>
        <v/>
      </c>
      <c r="F511" s="6">
        <f>IFERROR(__xludf.DUMMYFUNCTION("""COMPUTED_VALUE"""),3253.05)</f>
        <v/>
      </c>
      <c r="J511" s="6">
        <f>K511&amp;L511</f>
        <v/>
      </c>
      <c r="K511" s="6">
        <f>YEAR(M511)</f>
        <v/>
      </c>
      <c r="L511" s="6">
        <f>MONTH(M511)</f>
        <v/>
      </c>
      <c r="M511" s="267">
        <f>IFERROR(__xludf.DUMMYFUNCTION("""COMPUTED_VALUE"""),43832.6666666666)</f>
        <v/>
      </c>
      <c r="N511" s="6">
        <f>IFERROR(__xludf.DUMMYFUNCTION("""COMPUTED_VALUE"""),9092.19)</f>
        <v/>
      </c>
      <c r="R511" s="6">
        <f>S511&amp;T511</f>
        <v/>
      </c>
      <c r="S511" s="6">
        <f>YEAR(U511)</f>
        <v/>
      </c>
      <c r="T511" s="6">
        <f>MONTH(U511)</f>
        <v/>
      </c>
      <c r="U511" s="267">
        <f>IFERROR(__xludf.DUMMYFUNCTION("""COMPUTED_VALUE"""),43865.6458333333)</f>
        <v/>
      </c>
      <c r="V511" s="6">
        <f>IFERROR(__xludf.DUMMYFUNCTION("""COMPUTED_VALUE"""),2157.9)</f>
        <v/>
      </c>
      <c r="Z511" s="6">
        <f>AA511&amp;AB511</f>
        <v/>
      </c>
      <c r="AA511" s="6">
        <f>YEAR(AC511)</f>
        <v/>
      </c>
      <c r="AB511" s="6">
        <f>MONTH(AC511)</f>
        <v/>
      </c>
      <c r="AC511" s="267">
        <f>IFERROR(__xludf.DUMMYFUNCTION("""COMPUTED_VALUE"""),43635.9986111111)</f>
        <v/>
      </c>
      <c r="AD511" s="6">
        <f>IFERROR(__xludf.DUMMYFUNCTION("""COMPUTED_VALUE"""),1170.3)</f>
        <v/>
      </c>
      <c r="AH511" s="6">
        <f>AI511&amp;AJ511</f>
        <v/>
      </c>
      <c r="AI511" s="6">
        <f>YEAR(AK511)</f>
        <v/>
      </c>
      <c r="AJ511" s="6">
        <f>MONTH(AK511)</f>
        <v/>
      </c>
      <c r="AK511" s="267">
        <f>IFERROR(__xludf.DUMMYFUNCTION("""COMPUTED_VALUE"""),43603.9986111111)</f>
        <v/>
      </c>
      <c r="AL511" s="6">
        <f>IFERROR(__xludf.DUMMYFUNCTION("""COMPUTED_VALUE"""),7261.926)</f>
        <v/>
      </c>
      <c r="AP511" s="6">
        <f>AQ511&amp;AR511</f>
        <v/>
      </c>
      <c r="AQ511" s="6">
        <f>YEAR(AS511)</f>
        <v/>
      </c>
      <c r="AR511" s="6">
        <f>MONTH(AS511)</f>
        <v/>
      </c>
      <c r="AS511" s="267">
        <f>IFERROR(__xludf.DUMMYFUNCTION("""COMPUTED_VALUE"""),43847.9986111111)</f>
        <v/>
      </c>
      <c r="AT511" s="6">
        <f>IFERROR(__xludf.DUMMYFUNCTION("""COMPUTED_VALUE"""),1560.3)</f>
        <v/>
      </c>
    </row>
    <row r="512">
      <c r="B512" s="6">
        <f>C512&amp;D512</f>
        <v/>
      </c>
      <c r="C512" s="6">
        <f>YEAR(E512)</f>
        <v/>
      </c>
      <c r="D512" s="6">
        <f>MONTH(E512)</f>
        <v/>
      </c>
      <c r="E512" s="267">
        <f>IFERROR(__xludf.DUMMYFUNCTION("""COMPUTED_VALUE"""),43839.6666666666)</f>
        <v/>
      </c>
      <c r="F512" s="6">
        <f>IFERROR(__xludf.DUMMYFUNCTION("""COMPUTED_VALUE"""),3274.7)</f>
        <v/>
      </c>
      <c r="J512" s="6">
        <f>K512&amp;L512</f>
        <v/>
      </c>
      <c r="K512" s="6">
        <f>YEAR(M512)</f>
        <v/>
      </c>
      <c r="L512" s="6">
        <f>MONTH(M512)</f>
        <v/>
      </c>
      <c r="M512" s="267">
        <f>IFERROR(__xludf.DUMMYFUNCTION("""COMPUTED_VALUE"""),43833.6666666666)</f>
        <v/>
      </c>
      <c r="N512" s="6">
        <f>IFERROR(__xludf.DUMMYFUNCTION("""COMPUTED_VALUE"""),9020.77)</f>
        <v/>
      </c>
      <c r="R512" s="6">
        <f>S512&amp;T512</f>
        <v/>
      </c>
      <c r="S512" s="6">
        <f>YEAR(U512)</f>
        <v/>
      </c>
      <c r="T512" s="6">
        <f>MONTH(U512)</f>
        <v/>
      </c>
      <c r="U512" s="267">
        <f>IFERROR(__xludf.DUMMYFUNCTION("""COMPUTED_VALUE"""),43866.6458333333)</f>
        <v/>
      </c>
      <c r="V512" s="6">
        <f>IFERROR(__xludf.DUMMYFUNCTION("""COMPUTED_VALUE"""),2165.63)</f>
        <v/>
      </c>
      <c r="Z512" s="6">
        <f>AA512&amp;AB512</f>
        <v/>
      </c>
      <c r="AA512" s="6">
        <f>YEAR(AC512)</f>
        <v/>
      </c>
      <c r="AB512" s="6">
        <f>MONTH(AC512)</f>
        <v/>
      </c>
      <c r="AC512" s="267">
        <f>IFERROR(__xludf.DUMMYFUNCTION("""COMPUTED_VALUE"""),43636.9986111111)</f>
        <v/>
      </c>
      <c r="AD512" s="6">
        <f>IFERROR(__xludf.DUMMYFUNCTION("""COMPUTED_VALUE"""),1157.21)</f>
        <v/>
      </c>
      <c r="AH512" s="6">
        <f>AI512&amp;AJ512</f>
        <v/>
      </c>
      <c r="AI512" s="6">
        <f>YEAR(AK512)</f>
        <v/>
      </c>
      <c r="AJ512" s="6">
        <f>MONTH(AK512)</f>
        <v/>
      </c>
      <c r="AK512" s="267">
        <f>IFERROR(__xludf.DUMMYFUNCTION("""COMPUTED_VALUE"""),43604.9986111111)</f>
        <v/>
      </c>
      <c r="AL512" s="6">
        <f>IFERROR(__xludf.DUMMYFUNCTION("""COMPUTED_VALUE"""),8180.666)</f>
        <v/>
      </c>
      <c r="AP512" s="6">
        <f>AQ512&amp;AR512</f>
        <v/>
      </c>
      <c r="AQ512" s="6">
        <f>YEAR(AS512)</f>
        <v/>
      </c>
      <c r="AR512" s="6">
        <f>MONTH(AS512)</f>
        <v/>
      </c>
      <c r="AS512" s="267">
        <f>IFERROR(__xludf.DUMMYFUNCTION("""COMPUTED_VALUE"""),43851.9986111111)</f>
        <v/>
      </c>
      <c r="AT512" s="6">
        <f>IFERROR(__xludf.DUMMYFUNCTION("""COMPUTED_VALUE"""),1557.9)</f>
        <v/>
      </c>
    </row>
    <row r="513">
      <c r="B513" s="6">
        <f>C513&amp;D513</f>
        <v/>
      </c>
      <c r="C513" s="6">
        <f>YEAR(E513)</f>
        <v/>
      </c>
      <c r="D513" s="6">
        <f>MONTH(E513)</f>
        <v/>
      </c>
      <c r="E513" s="267">
        <f>IFERROR(__xludf.DUMMYFUNCTION("""COMPUTED_VALUE"""),43840.6666666666)</f>
        <v/>
      </c>
      <c r="F513" s="6">
        <f>IFERROR(__xludf.DUMMYFUNCTION("""COMPUTED_VALUE"""),3265.35)</f>
        <v/>
      </c>
      <c r="J513" s="6">
        <f>K513&amp;L513</f>
        <v/>
      </c>
      <c r="K513" s="6">
        <f>YEAR(M513)</f>
        <v/>
      </c>
      <c r="L513" s="6">
        <f>MONTH(M513)</f>
        <v/>
      </c>
      <c r="M513" s="267">
        <f>IFERROR(__xludf.DUMMYFUNCTION("""COMPUTED_VALUE"""),43836.6666666666)</f>
        <v/>
      </c>
      <c r="N513" s="6">
        <f>IFERROR(__xludf.DUMMYFUNCTION("""COMPUTED_VALUE"""),9071.47)</f>
        <v/>
      </c>
      <c r="R513" s="6">
        <f>S513&amp;T513</f>
        <v/>
      </c>
      <c r="S513" s="6">
        <f>YEAR(U513)</f>
        <v/>
      </c>
      <c r="T513" s="6">
        <f>MONTH(U513)</f>
        <v/>
      </c>
      <c r="U513" s="267">
        <f>IFERROR(__xludf.DUMMYFUNCTION("""COMPUTED_VALUE"""),43867.6458333333)</f>
        <v/>
      </c>
      <c r="V513" s="6">
        <f>IFERROR(__xludf.DUMMYFUNCTION("""COMPUTED_VALUE"""),2227.94)</f>
        <v/>
      </c>
      <c r="Z513" s="6">
        <f>AA513&amp;AB513</f>
        <v/>
      </c>
      <c r="AA513" s="6">
        <f>YEAR(AC513)</f>
        <v/>
      </c>
      <c r="AB513" s="6">
        <f>MONTH(AC513)</f>
        <v/>
      </c>
      <c r="AC513" s="267">
        <f>IFERROR(__xludf.DUMMYFUNCTION("""COMPUTED_VALUE"""),43637.9986111111)</f>
        <v/>
      </c>
      <c r="AD513" s="6">
        <f>IFERROR(__xludf.DUMMYFUNCTION("""COMPUTED_VALUE"""),1158.17)</f>
        <v/>
      </c>
      <c r="AH513" s="6">
        <f>AI513&amp;AJ513</f>
        <v/>
      </c>
      <c r="AI513" s="6">
        <f>YEAR(AK513)</f>
        <v/>
      </c>
      <c r="AJ513" s="6">
        <f>MONTH(AK513)</f>
        <v/>
      </c>
      <c r="AK513" s="267">
        <f>IFERROR(__xludf.DUMMYFUNCTION("""COMPUTED_VALUE"""),43605.9986111111)</f>
        <v/>
      </c>
      <c r="AL513" s="6">
        <f>IFERROR(__xludf.DUMMYFUNCTION("""COMPUTED_VALUE"""),7980.215)</f>
        <v/>
      </c>
      <c r="AP513" s="6">
        <f>AQ513&amp;AR513</f>
        <v/>
      </c>
      <c r="AQ513" s="6">
        <f>YEAR(AS513)</f>
        <v/>
      </c>
      <c r="AR513" s="6">
        <f>MONTH(AS513)</f>
        <v/>
      </c>
      <c r="AS513" s="267">
        <f>IFERROR(__xludf.DUMMYFUNCTION("""COMPUTED_VALUE"""),43852.9986111111)</f>
        <v/>
      </c>
      <c r="AT513" s="6">
        <f>IFERROR(__xludf.DUMMYFUNCTION("""COMPUTED_VALUE"""),1556.7)</f>
        <v/>
      </c>
    </row>
    <row r="514">
      <c r="B514" s="6">
        <f>C514&amp;D514</f>
        <v/>
      </c>
      <c r="C514" s="6">
        <f>YEAR(E514)</f>
        <v/>
      </c>
      <c r="D514" s="6">
        <f>MONTH(E514)</f>
        <v/>
      </c>
      <c r="E514" s="267">
        <f>IFERROR(__xludf.DUMMYFUNCTION("""COMPUTED_VALUE"""),43843.6666666666)</f>
        <v/>
      </c>
      <c r="F514" s="6">
        <f>IFERROR(__xludf.DUMMYFUNCTION("""COMPUTED_VALUE"""),3288.13)</f>
        <v/>
      </c>
      <c r="J514" s="6">
        <f>K514&amp;L514</f>
        <v/>
      </c>
      <c r="K514" s="6">
        <f>YEAR(M514)</f>
        <v/>
      </c>
      <c r="L514" s="6">
        <f>MONTH(M514)</f>
        <v/>
      </c>
      <c r="M514" s="267">
        <f>IFERROR(__xludf.DUMMYFUNCTION("""COMPUTED_VALUE"""),43837.6666666666)</f>
        <v/>
      </c>
      <c r="N514" s="6">
        <f>IFERROR(__xludf.DUMMYFUNCTION("""COMPUTED_VALUE"""),9068.58)</f>
        <v/>
      </c>
      <c r="R514" s="6">
        <f>S514&amp;T514</f>
        <v/>
      </c>
      <c r="S514" s="6">
        <f>YEAR(U514)</f>
        <v/>
      </c>
      <c r="T514" s="6">
        <f>MONTH(U514)</f>
        <v/>
      </c>
      <c r="U514" s="267">
        <f>IFERROR(__xludf.DUMMYFUNCTION("""COMPUTED_VALUE"""),43868.6458333333)</f>
        <v/>
      </c>
      <c r="V514" s="6">
        <f>IFERROR(__xludf.DUMMYFUNCTION("""COMPUTED_VALUE"""),2211.95)</f>
        <v/>
      </c>
      <c r="Z514" s="6">
        <f>AA514&amp;AB514</f>
        <v/>
      </c>
      <c r="AA514" s="6">
        <f>YEAR(AC514)</f>
        <v/>
      </c>
      <c r="AB514" s="6">
        <f>MONTH(AC514)</f>
        <v/>
      </c>
      <c r="AC514" s="267">
        <f>IFERROR(__xludf.DUMMYFUNCTION("""COMPUTED_VALUE"""),43639.9986111111)</f>
        <v/>
      </c>
      <c r="AD514" s="6">
        <f>IFERROR(__xludf.DUMMYFUNCTION("""COMPUTED_VALUE"""),1158.31)</f>
        <v/>
      </c>
      <c r="AH514" s="6">
        <f>AI514&amp;AJ514</f>
        <v/>
      </c>
      <c r="AI514" s="6">
        <f>YEAR(AK514)</f>
        <v/>
      </c>
      <c r="AJ514" s="6">
        <f>MONTH(AK514)</f>
        <v/>
      </c>
      <c r="AK514" s="267">
        <f>IFERROR(__xludf.DUMMYFUNCTION("""COMPUTED_VALUE"""),43606.9986111111)</f>
        <v/>
      </c>
      <c r="AL514" s="6">
        <f>IFERROR(__xludf.DUMMYFUNCTION("""COMPUTED_VALUE"""),7944.941)</f>
        <v/>
      </c>
      <c r="AP514" s="6">
        <f>AQ514&amp;AR514</f>
        <v/>
      </c>
      <c r="AQ514" s="6">
        <f>YEAR(AS514)</f>
        <v/>
      </c>
      <c r="AR514" s="6">
        <f>MONTH(AS514)</f>
        <v/>
      </c>
      <c r="AS514" s="267">
        <f>IFERROR(__xludf.DUMMYFUNCTION("""COMPUTED_VALUE"""),43853.9986111111)</f>
        <v/>
      </c>
      <c r="AT514" s="6">
        <f>IFERROR(__xludf.DUMMYFUNCTION("""COMPUTED_VALUE"""),1565.4)</f>
        <v/>
      </c>
    </row>
    <row r="515">
      <c r="B515" s="6">
        <f>C515&amp;D515</f>
        <v/>
      </c>
      <c r="C515" s="6">
        <f>YEAR(E515)</f>
        <v/>
      </c>
      <c r="D515" s="6">
        <f>MONTH(E515)</f>
        <v/>
      </c>
      <c r="E515" s="267">
        <f>IFERROR(__xludf.DUMMYFUNCTION("""COMPUTED_VALUE"""),43844.6666666666)</f>
        <v/>
      </c>
      <c r="F515" s="6">
        <f>IFERROR(__xludf.DUMMYFUNCTION("""COMPUTED_VALUE"""),3283.15)</f>
        <v/>
      </c>
      <c r="J515" s="6">
        <f>K515&amp;L515</f>
        <v/>
      </c>
      <c r="K515" s="6">
        <f>YEAR(M515)</f>
        <v/>
      </c>
      <c r="L515" s="6">
        <f>MONTH(M515)</f>
        <v/>
      </c>
      <c r="M515" s="267">
        <f>IFERROR(__xludf.DUMMYFUNCTION("""COMPUTED_VALUE"""),43838.6666666666)</f>
        <v/>
      </c>
      <c r="N515" s="6">
        <f>IFERROR(__xludf.DUMMYFUNCTION("""COMPUTED_VALUE"""),9129.24)</f>
        <v/>
      </c>
      <c r="R515" s="6">
        <f>S515&amp;T515</f>
        <v/>
      </c>
      <c r="S515" s="6">
        <f>YEAR(U515)</f>
        <v/>
      </c>
      <c r="T515" s="6">
        <f>MONTH(U515)</f>
        <v/>
      </c>
      <c r="U515" s="267">
        <f>IFERROR(__xludf.DUMMYFUNCTION("""COMPUTED_VALUE"""),43871.6458333333)</f>
        <v/>
      </c>
      <c r="V515" s="6">
        <f>IFERROR(__xludf.DUMMYFUNCTION("""COMPUTED_VALUE"""),2201.07)</f>
        <v/>
      </c>
      <c r="Z515" s="6">
        <f>AA515&amp;AB515</f>
        <v/>
      </c>
      <c r="AA515" s="6">
        <f>YEAR(AC515)</f>
        <v/>
      </c>
      <c r="AB515" s="6">
        <f>MONTH(AC515)</f>
        <v/>
      </c>
      <c r="AC515" s="267">
        <f>IFERROR(__xludf.DUMMYFUNCTION("""COMPUTED_VALUE"""),43640.9986111111)</f>
        <v/>
      </c>
      <c r="AD515" s="6">
        <f>IFERROR(__xludf.DUMMYFUNCTION("""COMPUTED_VALUE"""),1152.47)</f>
        <v/>
      </c>
      <c r="AH515" s="6">
        <f>AI515&amp;AJ515</f>
        <v/>
      </c>
      <c r="AI515" s="6">
        <f>YEAR(AK515)</f>
        <v/>
      </c>
      <c r="AJ515" s="6">
        <f>MONTH(AK515)</f>
        <v/>
      </c>
      <c r="AK515" s="267">
        <f>IFERROR(__xludf.DUMMYFUNCTION("""COMPUTED_VALUE"""),43607.9986111111)</f>
        <v/>
      </c>
      <c r="AL515" s="6">
        <f>IFERROR(__xludf.DUMMYFUNCTION("""COMPUTED_VALUE"""),7624.847)</f>
        <v/>
      </c>
      <c r="AP515" s="6">
        <f>AQ515&amp;AR515</f>
        <v/>
      </c>
      <c r="AQ515" s="6">
        <f>YEAR(AS515)</f>
        <v/>
      </c>
      <c r="AR515" s="6">
        <f>MONTH(AS515)</f>
        <v/>
      </c>
      <c r="AS515" s="267">
        <f>IFERROR(__xludf.DUMMYFUNCTION("""COMPUTED_VALUE"""),43854.9986111111)</f>
        <v/>
      </c>
      <c r="AT515" s="6">
        <f>IFERROR(__xludf.DUMMYFUNCTION("""COMPUTED_VALUE"""),1578.2)</f>
        <v/>
      </c>
    </row>
    <row r="516">
      <c r="B516" s="6">
        <f>C516&amp;D516</f>
        <v/>
      </c>
      <c r="C516" s="6">
        <f>YEAR(E516)</f>
        <v/>
      </c>
      <c r="D516" s="6">
        <f>MONTH(E516)</f>
        <v/>
      </c>
      <c r="E516" s="267">
        <f>IFERROR(__xludf.DUMMYFUNCTION("""COMPUTED_VALUE"""),43845.6666666666)</f>
        <v/>
      </c>
      <c r="F516" s="6">
        <f>IFERROR(__xludf.DUMMYFUNCTION("""COMPUTED_VALUE"""),3289.29)</f>
        <v/>
      </c>
      <c r="J516" s="6">
        <f>K516&amp;L516</f>
        <v/>
      </c>
      <c r="K516" s="6">
        <f>YEAR(M516)</f>
        <v/>
      </c>
      <c r="L516" s="6">
        <f>MONTH(M516)</f>
        <v/>
      </c>
      <c r="M516" s="267">
        <f>IFERROR(__xludf.DUMMYFUNCTION("""COMPUTED_VALUE"""),43839.6666666666)</f>
        <v/>
      </c>
      <c r="N516" s="6">
        <f>IFERROR(__xludf.DUMMYFUNCTION("""COMPUTED_VALUE"""),9203.43)</f>
        <v/>
      </c>
      <c r="R516" s="6">
        <f>S516&amp;T516</f>
        <v/>
      </c>
      <c r="S516" s="6">
        <f>YEAR(U516)</f>
        <v/>
      </c>
      <c r="T516" s="6">
        <f>MONTH(U516)</f>
        <v/>
      </c>
      <c r="U516" s="267">
        <f>IFERROR(__xludf.DUMMYFUNCTION("""COMPUTED_VALUE"""),43872.6458333333)</f>
        <v/>
      </c>
      <c r="V516" s="6">
        <f>IFERROR(__xludf.DUMMYFUNCTION("""COMPUTED_VALUE"""),2223.12)</f>
        <v/>
      </c>
      <c r="Z516" s="6">
        <f>AA516&amp;AB516</f>
        <v/>
      </c>
      <c r="AA516" s="6">
        <f>YEAR(AC516)</f>
        <v/>
      </c>
      <c r="AB516" s="6">
        <f>MONTH(AC516)</f>
        <v/>
      </c>
      <c r="AC516" s="267">
        <f>IFERROR(__xludf.DUMMYFUNCTION("""COMPUTED_VALUE"""),43641.9986111111)</f>
        <v/>
      </c>
      <c r="AD516" s="6">
        <f>IFERROR(__xludf.DUMMYFUNCTION("""COMPUTED_VALUE"""),1155.71)</f>
        <v/>
      </c>
      <c r="AH516" s="6">
        <f>AI516&amp;AJ516</f>
        <v/>
      </c>
      <c r="AI516" s="6">
        <f>YEAR(AK516)</f>
        <v/>
      </c>
      <c r="AJ516" s="6">
        <f>MONTH(AK516)</f>
        <v/>
      </c>
      <c r="AK516" s="267">
        <f>IFERROR(__xludf.DUMMYFUNCTION("""COMPUTED_VALUE"""),43608.9986111111)</f>
        <v/>
      </c>
      <c r="AL516" s="6">
        <f>IFERROR(__xludf.DUMMYFUNCTION("""COMPUTED_VALUE"""),7862.905)</f>
        <v/>
      </c>
      <c r="AP516" s="6">
        <f>AQ516&amp;AR516</f>
        <v/>
      </c>
      <c r="AQ516" s="6">
        <f>YEAR(AS516)</f>
        <v/>
      </c>
      <c r="AR516" s="6">
        <f>MONTH(AS516)</f>
        <v/>
      </c>
      <c r="AS516" s="267">
        <f>IFERROR(__xludf.DUMMYFUNCTION("""COMPUTED_VALUE"""),43857.9986111111)</f>
        <v/>
      </c>
      <c r="AT516" s="6">
        <f>IFERROR(__xludf.DUMMYFUNCTION("""COMPUTED_VALUE"""),1583.7)</f>
        <v/>
      </c>
    </row>
    <row r="517">
      <c r="B517" s="6">
        <f>C517&amp;D517</f>
        <v/>
      </c>
      <c r="C517" s="6">
        <f>YEAR(E517)</f>
        <v/>
      </c>
      <c r="D517" s="6">
        <f>MONTH(E517)</f>
        <v/>
      </c>
      <c r="E517" s="267">
        <f>IFERROR(__xludf.DUMMYFUNCTION("""COMPUTED_VALUE"""),43846.6666666666)</f>
        <v/>
      </c>
      <c r="F517" s="6">
        <f>IFERROR(__xludf.DUMMYFUNCTION("""COMPUTED_VALUE"""),3316.81)</f>
        <v/>
      </c>
      <c r="J517" s="6">
        <f>K517&amp;L517</f>
        <v/>
      </c>
      <c r="K517" s="6">
        <f>YEAR(M517)</f>
        <v/>
      </c>
      <c r="L517" s="6">
        <f>MONTH(M517)</f>
        <v/>
      </c>
      <c r="M517" s="267">
        <f>IFERROR(__xludf.DUMMYFUNCTION("""COMPUTED_VALUE"""),43840.6666666666)</f>
        <v/>
      </c>
      <c r="N517" s="6">
        <f>IFERROR(__xludf.DUMMYFUNCTION("""COMPUTED_VALUE"""),9178.86)</f>
        <v/>
      </c>
      <c r="R517" s="6">
        <f>S517&amp;T517</f>
        <v/>
      </c>
      <c r="S517" s="6">
        <f>YEAR(U517)</f>
        <v/>
      </c>
      <c r="T517" s="6">
        <f>MONTH(U517)</f>
        <v/>
      </c>
      <c r="U517" s="267">
        <f>IFERROR(__xludf.DUMMYFUNCTION("""COMPUTED_VALUE"""),43873.6458333333)</f>
        <v/>
      </c>
      <c r="V517" s="6">
        <f>IFERROR(__xludf.DUMMYFUNCTION("""COMPUTED_VALUE"""),2238.38)</f>
        <v/>
      </c>
      <c r="Z517" s="6">
        <f>AA517&amp;AB517</f>
        <v/>
      </c>
      <c r="AA517" s="6">
        <f>YEAR(AC517)</f>
        <v/>
      </c>
      <c r="AB517" s="6">
        <f>MONTH(AC517)</f>
        <v/>
      </c>
      <c r="AC517" s="267">
        <f>IFERROR(__xludf.DUMMYFUNCTION("""COMPUTED_VALUE"""),43642.9986111111)</f>
        <v/>
      </c>
      <c r="AD517" s="6">
        <f>IFERROR(__xludf.DUMMYFUNCTION("""COMPUTED_VALUE"""),1152.5)</f>
        <v/>
      </c>
      <c r="AH517" s="6">
        <f>AI517&amp;AJ517</f>
        <v/>
      </c>
      <c r="AI517" s="6">
        <f>YEAR(AK517)</f>
        <v/>
      </c>
      <c r="AJ517" s="6">
        <f>MONTH(AK517)</f>
        <v/>
      </c>
      <c r="AK517" s="267">
        <f>IFERROR(__xludf.DUMMYFUNCTION("""COMPUTED_VALUE"""),43609.9986111111)</f>
        <v/>
      </c>
      <c r="AL517" s="6">
        <f>IFERROR(__xludf.DUMMYFUNCTION("""COMPUTED_VALUE"""),7998.16)</f>
        <v/>
      </c>
      <c r="AP517" s="6">
        <f>AQ517&amp;AR517</f>
        <v/>
      </c>
      <c r="AQ517" s="6">
        <f>YEAR(AS517)</f>
        <v/>
      </c>
      <c r="AR517" s="6">
        <f>MONTH(AS517)</f>
        <v/>
      </c>
      <c r="AS517" s="267">
        <f>IFERROR(__xludf.DUMMYFUNCTION("""COMPUTED_VALUE"""),43858.9986111111)</f>
        <v/>
      </c>
      <c r="AT517" s="6">
        <f>IFERROR(__xludf.DUMMYFUNCTION("""COMPUTED_VALUE"""),1575.8)</f>
        <v/>
      </c>
    </row>
    <row r="518">
      <c r="B518" s="6">
        <f>C518&amp;D518</f>
        <v/>
      </c>
      <c r="C518" s="6">
        <f>YEAR(E518)</f>
        <v/>
      </c>
      <c r="D518" s="6">
        <f>MONTH(E518)</f>
        <v/>
      </c>
      <c r="E518" s="267">
        <f>IFERROR(__xludf.DUMMYFUNCTION("""COMPUTED_VALUE"""),43847.6666666666)</f>
        <v/>
      </c>
      <c r="F518" s="6">
        <f>IFERROR(__xludf.DUMMYFUNCTION("""COMPUTED_VALUE"""),3329.62)</f>
        <v/>
      </c>
      <c r="J518" s="6">
        <f>K518&amp;L518</f>
        <v/>
      </c>
      <c r="K518" s="6">
        <f>YEAR(M518)</f>
        <v/>
      </c>
      <c r="L518" s="6">
        <f>MONTH(M518)</f>
        <v/>
      </c>
      <c r="M518" s="267">
        <f>IFERROR(__xludf.DUMMYFUNCTION("""COMPUTED_VALUE"""),43843.6666666666)</f>
        <v/>
      </c>
      <c r="N518" s="6">
        <f>IFERROR(__xludf.DUMMYFUNCTION("""COMPUTED_VALUE"""),9273.93)</f>
        <v/>
      </c>
      <c r="R518" s="6">
        <f>S518&amp;T518</f>
        <v/>
      </c>
      <c r="S518" s="6">
        <f>YEAR(U518)</f>
        <v/>
      </c>
      <c r="T518" s="6">
        <f>MONTH(U518)</f>
        <v/>
      </c>
      <c r="U518" s="267">
        <f>IFERROR(__xludf.DUMMYFUNCTION("""COMPUTED_VALUE"""),43874.6458333333)</f>
        <v/>
      </c>
      <c r="V518" s="6">
        <f>IFERROR(__xludf.DUMMYFUNCTION("""COMPUTED_VALUE"""),2232.96)</f>
        <v/>
      </c>
      <c r="Z518" s="6">
        <f>AA518&amp;AB518</f>
        <v/>
      </c>
      <c r="AA518" s="6">
        <f>YEAR(AC518)</f>
        <v/>
      </c>
      <c r="AB518" s="6">
        <f>MONTH(AC518)</f>
        <v/>
      </c>
      <c r="AC518" s="267">
        <f>IFERROR(__xludf.DUMMYFUNCTION("""COMPUTED_VALUE"""),43643.9986111111)</f>
        <v/>
      </c>
      <c r="AD518" s="6">
        <f>IFERROR(__xludf.DUMMYFUNCTION("""COMPUTED_VALUE"""),1155.51)</f>
        <v/>
      </c>
      <c r="AH518" s="6">
        <f>AI518&amp;AJ518</f>
        <v/>
      </c>
      <c r="AI518" s="6">
        <f>YEAR(AK518)</f>
        <v/>
      </c>
      <c r="AJ518" s="6">
        <f>MONTH(AK518)</f>
        <v/>
      </c>
      <c r="AK518" s="267">
        <f>IFERROR(__xludf.DUMMYFUNCTION("""COMPUTED_VALUE"""),43610.9986111111)</f>
        <v/>
      </c>
      <c r="AL518" s="6">
        <f>IFERROR(__xludf.DUMMYFUNCTION("""COMPUTED_VALUE"""),8053.577)</f>
        <v/>
      </c>
      <c r="AP518" s="6">
        <f>AQ518&amp;AR518</f>
        <v/>
      </c>
      <c r="AQ518" s="6">
        <f>YEAR(AS518)</f>
        <v/>
      </c>
      <c r="AR518" s="6">
        <f>MONTH(AS518)</f>
        <v/>
      </c>
      <c r="AS518" s="267">
        <f>IFERROR(__xludf.DUMMYFUNCTION("""COMPUTED_VALUE"""),43859.9986111111)</f>
        <v/>
      </c>
      <c r="AT518" s="6">
        <f>IFERROR(__xludf.DUMMYFUNCTION("""COMPUTED_VALUE"""),1576)</f>
        <v/>
      </c>
    </row>
    <row r="519">
      <c r="B519" s="6">
        <f>C519&amp;D519</f>
        <v/>
      </c>
      <c r="C519" s="6">
        <f>YEAR(E519)</f>
        <v/>
      </c>
      <c r="D519" s="6">
        <f>MONTH(E519)</f>
        <v/>
      </c>
      <c r="E519" s="267">
        <f>IFERROR(__xludf.DUMMYFUNCTION("""COMPUTED_VALUE"""),43851.6666666666)</f>
        <v/>
      </c>
      <c r="F519" s="6">
        <f>IFERROR(__xludf.DUMMYFUNCTION("""COMPUTED_VALUE"""),3320.79)</f>
        <v/>
      </c>
      <c r="J519" s="6">
        <f>K519&amp;L519</f>
        <v/>
      </c>
      <c r="K519" s="6">
        <f>YEAR(M519)</f>
        <v/>
      </c>
      <c r="L519" s="6">
        <f>MONTH(M519)</f>
        <v/>
      </c>
      <c r="M519" s="267">
        <f>IFERROR(__xludf.DUMMYFUNCTION("""COMPUTED_VALUE"""),43844.6666666666)</f>
        <v/>
      </c>
      <c r="N519" s="6">
        <f>IFERROR(__xludf.DUMMYFUNCTION("""COMPUTED_VALUE"""),9251.33)</f>
        <v/>
      </c>
      <c r="R519" s="6">
        <f>S519&amp;T519</f>
        <v/>
      </c>
      <c r="S519" s="6">
        <f>YEAR(U519)</f>
        <v/>
      </c>
      <c r="T519" s="6">
        <f>MONTH(U519)</f>
        <v/>
      </c>
      <c r="U519" s="267">
        <f>IFERROR(__xludf.DUMMYFUNCTION("""COMPUTED_VALUE"""),43875.6458333333)</f>
        <v/>
      </c>
      <c r="V519" s="6">
        <f>IFERROR(__xludf.DUMMYFUNCTION("""COMPUTED_VALUE"""),2243.59)</f>
        <v/>
      </c>
      <c r="Z519" s="6">
        <f>AA519&amp;AB519</f>
        <v/>
      </c>
      <c r="AA519" s="6">
        <f>YEAR(AC519)</f>
        <v/>
      </c>
      <c r="AB519" s="6">
        <f>MONTH(AC519)</f>
        <v/>
      </c>
      <c r="AC519" s="267">
        <f>IFERROR(__xludf.DUMMYFUNCTION("""COMPUTED_VALUE"""),43644.9986111111)</f>
        <v/>
      </c>
      <c r="AD519" s="6">
        <f>IFERROR(__xludf.DUMMYFUNCTION("""COMPUTED_VALUE"""),1155.43)</f>
        <v/>
      </c>
      <c r="AH519" s="6">
        <f>AI519&amp;AJ519</f>
        <v/>
      </c>
      <c r="AI519" s="6">
        <f>YEAR(AK519)</f>
        <v/>
      </c>
      <c r="AJ519" s="6">
        <f>MONTH(AK519)</f>
        <v/>
      </c>
      <c r="AK519" s="267">
        <f>IFERROR(__xludf.DUMMYFUNCTION("""COMPUTED_VALUE"""),43611.9986111111)</f>
        <v/>
      </c>
      <c r="AL519" s="6">
        <f>IFERROR(__xludf.DUMMYFUNCTION("""COMPUTED_VALUE"""),8699.422)</f>
        <v/>
      </c>
      <c r="AP519" s="6">
        <f>AQ519&amp;AR519</f>
        <v/>
      </c>
      <c r="AQ519" s="6">
        <f>YEAR(AS519)</f>
        <v/>
      </c>
      <c r="AR519" s="6">
        <f>MONTH(AS519)</f>
        <v/>
      </c>
      <c r="AS519" s="267">
        <f>IFERROR(__xludf.DUMMYFUNCTION("""COMPUTED_VALUE"""),43860.9986111111)</f>
        <v/>
      </c>
      <c r="AT519" s="6">
        <f>IFERROR(__xludf.DUMMYFUNCTION("""COMPUTED_VALUE"""),1589.2)</f>
        <v/>
      </c>
    </row>
    <row r="520">
      <c r="B520" s="6">
        <f>C520&amp;D520</f>
        <v/>
      </c>
      <c r="C520" s="6">
        <f>YEAR(E520)</f>
        <v/>
      </c>
      <c r="D520" s="6">
        <f>MONTH(E520)</f>
        <v/>
      </c>
      <c r="E520" s="267">
        <f>IFERROR(__xludf.DUMMYFUNCTION("""COMPUTED_VALUE"""),43852.6666666666)</f>
        <v/>
      </c>
      <c r="F520" s="6">
        <f>IFERROR(__xludf.DUMMYFUNCTION("""COMPUTED_VALUE"""),3321.75)</f>
        <v/>
      </c>
      <c r="J520" s="6">
        <f>K520&amp;L520</f>
        <v/>
      </c>
      <c r="K520" s="6">
        <f>YEAR(M520)</f>
        <v/>
      </c>
      <c r="L520" s="6">
        <f>MONTH(M520)</f>
        <v/>
      </c>
      <c r="M520" s="267">
        <f>IFERROR(__xludf.DUMMYFUNCTION("""COMPUTED_VALUE"""),43845.6666666666)</f>
        <v/>
      </c>
      <c r="N520" s="6">
        <f>IFERROR(__xludf.DUMMYFUNCTION("""COMPUTED_VALUE"""),9258.7)</f>
        <v/>
      </c>
      <c r="R520" s="6">
        <f>S520&amp;T520</f>
        <v/>
      </c>
      <c r="S520" s="6">
        <f>YEAR(U520)</f>
        <v/>
      </c>
      <c r="T520" s="6">
        <f>MONTH(U520)</f>
        <v/>
      </c>
      <c r="U520" s="267">
        <f>IFERROR(__xludf.DUMMYFUNCTION("""COMPUTED_VALUE"""),43878.6458333333)</f>
        <v/>
      </c>
      <c r="V520" s="6">
        <f>IFERROR(__xludf.DUMMYFUNCTION("""COMPUTED_VALUE"""),2242.17)</f>
        <v/>
      </c>
      <c r="Z520" s="6">
        <f>AA520&amp;AB520</f>
        <v/>
      </c>
      <c r="AA520" s="6">
        <f>YEAR(AC520)</f>
        <v/>
      </c>
      <c r="AB520" s="6">
        <f>MONTH(AC520)</f>
        <v/>
      </c>
      <c r="AC520" s="267">
        <f>IFERROR(__xludf.DUMMYFUNCTION("""COMPUTED_VALUE"""),43646.9986111111)</f>
        <v/>
      </c>
      <c r="AD520" s="6">
        <f>IFERROR(__xludf.DUMMYFUNCTION("""COMPUTED_VALUE"""),1155.6)</f>
        <v/>
      </c>
      <c r="AH520" s="6">
        <f>AI520&amp;AJ520</f>
        <v/>
      </c>
      <c r="AI520" s="6">
        <f>YEAR(AK520)</f>
        <v/>
      </c>
      <c r="AJ520" s="6">
        <f>MONTH(AK520)</f>
        <v/>
      </c>
      <c r="AK520" s="267">
        <f>IFERROR(__xludf.DUMMYFUNCTION("""COMPUTED_VALUE"""),43612.9986111111)</f>
        <v/>
      </c>
      <c r="AL520" s="6">
        <f>IFERROR(__xludf.DUMMYFUNCTION("""COMPUTED_VALUE"""),8770.217)</f>
        <v/>
      </c>
      <c r="AP520" s="6">
        <f>AQ520&amp;AR520</f>
        <v/>
      </c>
      <c r="AQ520" s="6">
        <f>YEAR(AS520)</f>
        <v/>
      </c>
      <c r="AR520" s="6">
        <f>MONTH(AS520)</f>
        <v/>
      </c>
      <c r="AS520" s="267">
        <f>IFERROR(__xludf.DUMMYFUNCTION("""COMPUTED_VALUE"""),43861.9986111111)</f>
        <v/>
      </c>
      <c r="AT520" s="6">
        <f>IFERROR(__xludf.DUMMYFUNCTION("""COMPUTED_VALUE"""),1587.9)</f>
        <v/>
      </c>
    </row>
    <row r="521">
      <c r="B521" s="6">
        <f>C521&amp;D521</f>
        <v/>
      </c>
      <c r="C521" s="6">
        <f>YEAR(E521)</f>
        <v/>
      </c>
      <c r="D521" s="6">
        <f>MONTH(E521)</f>
        <v/>
      </c>
      <c r="E521" s="267">
        <f>IFERROR(__xludf.DUMMYFUNCTION("""COMPUTED_VALUE"""),43853.6666666666)</f>
        <v/>
      </c>
      <c r="F521" s="6">
        <f>IFERROR(__xludf.DUMMYFUNCTION("""COMPUTED_VALUE"""),3325.54)</f>
        <v/>
      </c>
      <c r="J521" s="6">
        <f>K521&amp;L521</f>
        <v/>
      </c>
      <c r="K521" s="6">
        <f>YEAR(M521)</f>
        <v/>
      </c>
      <c r="L521" s="6">
        <f>MONTH(M521)</f>
        <v/>
      </c>
      <c r="M521" s="267">
        <f>IFERROR(__xludf.DUMMYFUNCTION("""COMPUTED_VALUE"""),43846.6666666666)</f>
        <v/>
      </c>
      <c r="N521" s="6">
        <f>IFERROR(__xludf.DUMMYFUNCTION("""COMPUTED_VALUE"""),9357.13)</f>
        <v/>
      </c>
      <c r="R521" s="6">
        <f>S521&amp;T521</f>
        <v/>
      </c>
      <c r="S521" s="6">
        <f>YEAR(U521)</f>
        <v/>
      </c>
      <c r="T521" s="6">
        <f>MONTH(U521)</f>
        <v/>
      </c>
      <c r="U521" s="267">
        <f>IFERROR(__xludf.DUMMYFUNCTION("""COMPUTED_VALUE"""),43879.6458333333)</f>
        <v/>
      </c>
      <c r="V521" s="6">
        <f>IFERROR(__xludf.DUMMYFUNCTION("""COMPUTED_VALUE"""),2208.88)</f>
        <v/>
      </c>
      <c r="Z521" s="6">
        <f>AA521&amp;AB521</f>
        <v/>
      </c>
      <c r="AA521" s="6">
        <f>YEAR(AC521)</f>
        <v/>
      </c>
      <c r="AB521" s="6">
        <f>MONTH(AC521)</f>
        <v/>
      </c>
      <c r="AC521" s="267">
        <f>IFERROR(__xludf.DUMMYFUNCTION("""COMPUTED_VALUE"""),43647.9986111111)</f>
        <v/>
      </c>
      <c r="AD521" s="6">
        <f>IFERROR(__xludf.DUMMYFUNCTION("""COMPUTED_VALUE"""),1159.75)</f>
        <v/>
      </c>
      <c r="AH521" s="6">
        <f>AI521&amp;AJ521</f>
        <v/>
      </c>
      <c r="AI521" s="6">
        <f>YEAR(AK521)</f>
        <v/>
      </c>
      <c r="AJ521" s="6">
        <f>MONTH(AK521)</f>
        <v/>
      </c>
      <c r="AK521" s="267">
        <f>IFERROR(__xludf.DUMMYFUNCTION("""COMPUTED_VALUE"""),43613.9986111111)</f>
        <v/>
      </c>
      <c r="AL521" s="6">
        <f>IFERROR(__xludf.DUMMYFUNCTION("""COMPUTED_VALUE"""),8719.517)</f>
        <v/>
      </c>
      <c r="AP521" s="6">
        <f>AQ521&amp;AR521</f>
        <v/>
      </c>
      <c r="AQ521" s="6">
        <f>YEAR(AS521)</f>
        <v/>
      </c>
      <c r="AR521" s="6">
        <f>MONTH(AS521)</f>
        <v/>
      </c>
      <c r="AS521" s="267">
        <f>IFERROR(__xludf.DUMMYFUNCTION("""COMPUTED_VALUE"""),43864.9986111111)</f>
        <v/>
      </c>
      <c r="AT521" s="6">
        <f>IFERROR(__xludf.DUMMYFUNCTION("""COMPUTED_VALUE"""),1582.4)</f>
        <v/>
      </c>
    </row>
    <row r="522">
      <c r="B522" s="6">
        <f>C522&amp;D522</f>
        <v/>
      </c>
      <c r="C522" s="6">
        <f>YEAR(E522)</f>
        <v/>
      </c>
      <c r="D522" s="6">
        <f>MONTH(E522)</f>
        <v/>
      </c>
      <c r="E522" s="267">
        <f>IFERROR(__xludf.DUMMYFUNCTION("""COMPUTED_VALUE"""),43854.6666666666)</f>
        <v/>
      </c>
      <c r="F522" s="6">
        <f>IFERROR(__xludf.DUMMYFUNCTION("""COMPUTED_VALUE"""),3295.47)</f>
        <v/>
      </c>
      <c r="J522" s="6">
        <f>K522&amp;L522</f>
        <v/>
      </c>
      <c r="K522" s="6">
        <f>YEAR(M522)</f>
        <v/>
      </c>
      <c r="L522" s="6">
        <f>MONTH(M522)</f>
        <v/>
      </c>
      <c r="M522" s="267">
        <f>IFERROR(__xludf.DUMMYFUNCTION("""COMPUTED_VALUE"""),43847.6666666666)</f>
        <v/>
      </c>
      <c r="N522" s="6">
        <f>IFERROR(__xludf.DUMMYFUNCTION("""COMPUTED_VALUE"""),9388.94)</f>
        <v/>
      </c>
      <c r="R522" s="6">
        <f>S522&amp;T522</f>
        <v/>
      </c>
      <c r="S522" s="6">
        <f>YEAR(U522)</f>
        <v/>
      </c>
      <c r="T522" s="6">
        <f>MONTH(U522)</f>
        <v/>
      </c>
      <c r="U522" s="267">
        <f>IFERROR(__xludf.DUMMYFUNCTION("""COMPUTED_VALUE"""),43880.6458333333)</f>
        <v/>
      </c>
      <c r="V522" s="6">
        <f>IFERROR(__xludf.DUMMYFUNCTION("""COMPUTED_VALUE"""),2210.34)</f>
        <v/>
      </c>
      <c r="Z522" s="6">
        <f>AA522&amp;AB522</f>
        <v/>
      </c>
      <c r="AA522" s="6">
        <f>YEAR(AC522)</f>
        <v/>
      </c>
      <c r="AB522" s="6">
        <f>MONTH(AC522)</f>
        <v/>
      </c>
      <c r="AC522" s="267">
        <f>IFERROR(__xludf.DUMMYFUNCTION("""COMPUTED_VALUE"""),43648.9986111111)</f>
        <v/>
      </c>
      <c r="AD522" s="6">
        <f>IFERROR(__xludf.DUMMYFUNCTION("""COMPUTED_VALUE"""),1165.58)</f>
        <v/>
      </c>
      <c r="AH522" s="6">
        <f>AI522&amp;AJ522</f>
        <v/>
      </c>
      <c r="AI522" s="6">
        <f>YEAR(AK522)</f>
        <v/>
      </c>
      <c r="AJ522" s="6">
        <f>MONTH(AK522)</f>
        <v/>
      </c>
      <c r="AK522" s="267">
        <f>IFERROR(__xludf.DUMMYFUNCTION("""COMPUTED_VALUE"""),43614.9986111111)</f>
        <v/>
      </c>
      <c r="AL522" s="6">
        <f>IFERROR(__xludf.DUMMYFUNCTION("""COMPUTED_VALUE"""),8658.063)</f>
        <v/>
      </c>
      <c r="AP522" s="6">
        <f>AQ522&amp;AR522</f>
        <v/>
      </c>
      <c r="AQ522" s="6">
        <f>YEAR(AS522)</f>
        <v/>
      </c>
      <c r="AR522" s="6">
        <f>MONTH(AS522)</f>
        <v/>
      </c>
      <c r="AS522" s="267">
        <f>IFERROR(__xludf.DUMMYFUNCTION("""COMPUTED_VALUE"""),43865.9986111111)</f>
        <v/>
      </c>
      <c r="AT522" s="6">
        <f>IFERROR(__xludf.DUMMYFUNCTION("""COMPUTED_VALUE"""),1555.5)</f>
        <v/>
      </c>
    </row>
    <row r="523">
      <c r="B523" s="6">
        <f>C523&amp;D523</f>
        <v/>
      </c>
      <c r="C523" s="6">
        <f>YEAR(E523)</f>
        <v/>
      </c>
      <c r="D523" s="6">
        <f>MONTH(E523)</f>
        <v/>
      </c>
      <c r="E523" s="267">
        <f>IFERROR(__xludf.DUMMYFUNCTION("""COMPUTED_VALUE"""),43857.6666666666)</f>
        <v/>
      </c>
      <c r="F523" s="6">
        <f>IFERROR(__xludf.DUMMYFUNCTION("""COMPUTED_VALUE"""),3243.63)</f>
        <v/>
      </c>
      <c r="J523" s="6">
        <f>K523&amp;L523</f>
        <v/>
      </c>
      <c r="K523" s="6">
        <f>YEAR(M523)</f>
        <v/>
      </c>
      <c r="L523" s="6">
        <f>MONTH(M523)</f>
        <v/>
      </c>
      <c r="M523" s="267">
        <f>IFERROR(__xludf.DUMMYFUNCTION("""COMPUTED_VALUE"""),43851.6666666666)</f>
        <v/>
      </c>
      <c r="N523" s="6">
        <f>IFERROR(__xludf.DUMMYFUNCTION("""COMPUTED_VALUE"""),9370.81)</f>
        <v/>
      </c>
      <c r="R523" s="6">
        <f>S523&amp;T523</f>
        <v/>
      </c>
      <c r="S523" s="6">
        <f>YEAR(U523)</f>
        <v/>
      </c>
      <c r="T523" s="6">
        <f>MONTH(U523)</f>
        <v/>
      </c>
      <c r="U523" s="267">
        <f>IFERROR(__xludf.DUMMYFUNCTION("""COMPUTED_VALUE"""),43881.6458333333)</f>
        <v/>
      </c>
      <c r="V523" s="6">
        <f>IFERROR(__xludf.DUMMYFUNCTION("""COMPUTED_VALUE"""),2195.5)</f>
        <v/>
      </c>
      <c r="Z523" s="6">
        <f>AA523&amp;AB523</f>
        <v/>
      </c>
      <c r="AA523" s="6">
        <f>YEAR(AC523)</f>
        <v/>
      </c>
      <c r="AB523" s="6">
        <f>MONTH(AC523)</f>
        <v/>
      </c>
      <c r="AC523" s="267">
        <f>IFERROR(__xludf.DUMMYFUNCTION("""COMPUTED_VALUE"""),43649.9986111111)</f>
        <v/>
      </c>
      <c r="AD523" s="6">
        <f>IFERROR(__xludf.DUMMYFUNCTION("""COMPUTED_VALUE"""),1168.87)</f>
        <v/>
      </c>
      <c r="AH523" s="6">
        <f>AI523&amp;AJ523</f>
        <v/>
      </c>
      <c r="AI523" s="6">
        <f>YEAR(AK523)</f>
        <v/>
      </c>
      <c r="AJ523" s="6">
        <f>MONTH(AK523)</f>
        <v/>
      </c>
      <c r="AK523" s="267">
        <f>IFERROR(__xludf.DUMMYFUNCTION("""COMPUTED_VALUE"""),43615.9986111111)</f>
        <v/>
      </c>
      <c r="AL523" s="6">
        <f>IFERROR(__xludf.DUMMYFUNCTION("""COMPUTED_VALUE"""),8273.329)</f>
        <v/>
      </c>
      <c r="AP523" s="6">
        <f>AQ523&amp;AR523</f>
        <v/>
      </c>
      <c r="AQ523" s="6">
        <f>YEAR(AS523)</f>
        <v/>
      </c>
      <c r="AR523" s="6">
        <f>MONTH(AS523)</f>
        <v/>
      </c>
      <c r="AS523" s="267">
        <f>IFERROR(__xludf.DUMMYFUNCTION("""COMPUTED_VALUE"""),43866.9986111111)</f>
        <v/>
      </c>
      <c r="AT523" s="6">
        <f>IFERROR(__xludf.DUMMYFUNCTION("""COMPUTED_VALUE"""),1562.8)</f>
        <v/>
      </c>
    </row>
    <row r="524">
      <c r="B524" s="6">
        <f>C524&amp;D524</f>
        <v/>
      </c>
      <c r="C524" s="6">
        <f>YEAR(E524)</f>
        <v/>
      </c>
      <c r="D524" s="6">
        <f>MONTH(E524)</f>
        <v/>
      </c>
      <c r="E524" s="267">
        <f>IFERROR(__xludf.DUMMYFUNCTION("""COMPUTED_VALUE"""),43858.6666666666)</f>
        <v/>
      </c>
      <c r="F524" s="6">
        <f>IFERROR(__xludf.DUMMYFUNCTION("""COMPUTED_VALUE"""),3276.24)</f>
        <v/>
      </c>
      <c r="J524" s="6">
        <f>K524&amp;L524</f>
        <v/>
      </c>
      <c r="K524" s="6">
        <f>YEAR(M524)</f>
        <v/>
      </c>
      <c r="L524" s="6">
        <f>MONTH(M524)</f>
        <v/>
      </c>
      <c r="M524" s="267">
        <f>IFERROR(__xludf.DUMMYFUNCTION("""COMPUTED_VALUE"""),43852.6666666666)</f>
        <v/>
      </c>
      <c r="N524" s="6">
        <f>IFERROR(__xludf.DUMMYFUNCTION("""COMPUTED_VALUE"""),9383.77)</f>
        <v/>
      </c>
      <c r="R524" s="6">
        <f>S524&amp;T524</f>
        <v/>
      </c>
      <c r="S524" s="6">
        <f>YEAR(U524)</f>
        <v/>
      </c>
      <c r="T524" s="6">
        <f>MONTH(U524)</f>
        <v/>
      </c>
      <c r="U524" s="267">
        <f>IFERROR(__xludf.DUMMYFUNCTION("""COMPUTED_VALUE"""),43882.6458333333)</f>
        <v/>
      </c>
      <c r="V524" s="6">
        <f>IFERROR(__xludf.DUMMYFUNCTION("""COMPUTED_VALUE"""),2162.84)</f>
        <v/>
      </c>
      <c r="Z524" s="6">
        <f>AA524&amp;AB524</f>
        <v/>
      </c>
      <c r="AA524" s="6">
        <f>YEAR(AC524)</f>
        <v/>
      </c>
      <c r="AB524" s="6">
        <f>MONTH(AC524)</f>
        <v/>
      </c>
      <c r="AC524" s="267">
        <f>IFERROR(__xludf.DUMMYFUNCTION("""COMPUTED_VALUE"""),43650.9986111111)</f>
        <v/>
      </c>
      <c r="AD524" s="6">
        <f>IFERROR(__xludf.DUMMYFUNCTION("""COMPUTED_VALUE"""),1167.13)</f>
        <v/>
      </c>
      <c r="AH524" s="6">
        <f>AI524&amp;AJ524</f>
        <v/>
      </c>
      <c r="AI524" s="6">
        <f>YEAR(AK524)</f>
        <v/>
      </c>
      <c r="AJ524" s="6">
        <f>MONTH(AK524)</f>
        <v/>
      </c>
      <c r="AK524" s="267">
        <f>IFERROR(__xludf.DUMMYFUNCTION("""COMPUTED_VALUE"""),43616.9986111111)</f>
        <v/>
      </c>
      <c r="AL524" s="6">
        <f>IFERROR(__xludf.DUMMYFUNCTION("""COMPUTED_VALUE"""),8554.387)</f>
        <v/>
      </c>
      <c r="AP524" s="6">
        <f>AQ524&amp;AR524</f>
        <v/>
      </c>
      <c r="AQ524" s="6">
        <f>YEAR(AS524)</f>
        <v/>
      </c>
      <c r="AR524" s="6">
        <f>MONTH(AS524)</f>
        <v/>
      </c>
      <c r="AS524" s="267">
        <f>IFERROR(__xludf.DUMMYFUNCTION("""COMPUTED_VALUE"""),43867.9986111111)</f>
        <v/>
      </c>
      <c r="AT524" s="6">
        <f>IFERROR(__xludf.DUMMYFUNCTION("""COMPUTED_VALUE"""),1570)</f>
        <v/>
      </c>
    </row>
    <row r="525">
      <c r="B525" s="6">
        <f>C525&amp;D525</f>
        <v/>
      </c>
      <c r="C525" s="6">
        <f>YEAR(E525)</f>
        <v/>
      </c>
      <c r="D525" s="6">
        <f>MONTH(E525)</f>
        <v/>
      </c>
      <c r="E525" s="267">
        <f>IFERROR(__xludf.DUMMYFUNCTION("""COMPUTED_VALUE"""),43859.6666666666)</f>
        <v/>
      </c>
      <c r="F525" s="6">
        <f>IFERROR(__xludf.DUMMYFUNCTION("""COMPUTED_VALUE"""),3273.4)</f>
        <v/>
      </c>
      <c r="J525" s="6">
        <f>K525&amp;L525</f>
        <v/>
      </c>
      <c r="K525" s="6">
        <f>YEAR(M525)</f>
        <v/>
      </c>
      <c r="L525" s="6">
        <f>MONTH(M525)</f>
        <v/>
      </c>
      <c r="M525" s="267">
        <f>IFERROR(__xludf.DUMMYFUNCTION("""COMPUTED_VALUE"""),43853.6666666666)</f>
        <v/>
      </c>
      <c r="N525" s="6">
        <f>IFERROR(__xludf.DUMMYFUNCTION("""COMPUTED_VALUE"""),9402.48)</f>
        <v/>
      </c>
      <c r="R525" s="6">
        <f>S525&amp;T525</f>
        <v/>
      </c>
      <c r="S525" s="6">
        <f>YEAR(U525)</f>
        <v/>
      </c>
      <c r="T525" s="6">
        <f>MONTH(U525)</f>
        <v/>
      </c>
      <c r="U525" s="267">
        <f>IFERROR(__xludf.DUMMYFUNCTION("""COMPUTED_VALUE"""),43885.6458333333)</f>
        <v/>
      </c>
      <c r="V525" s="6">
        <f>IFERROR(__xludf.DUMMYFUNCTION("""COMPUTED_VALUE"""),2079.04)</f>
        <v/>
      </c>
      <c r="Z525" s="6">
        <f>AA525&amp;AB525</f>
        <v/>
      </c>
      <c r="AA525" s="6">
        <f>YEAR(AC525)</f>
        <v/>
      </c>
      <c r="AB525" s="6">
        <f>MONTH(AC525)</f>
        <v/>
      </c>
      <c r="AC525" s="267">
        <f>IFERROR(__xludf.DUMMYFUNCTION("""COMPUTED_VALUE"""),43651.9986111111)</f>
        <v/>
      </c>
      <c r="AD525" s="6">
        <f>IFERROR(__xludf.DUMMYFUNCTION("""COMPUTED_VALUE"""),1174.12)</f>
        <v/>
      </c>
      <c r="AH525" s="6">
        <f>AI525&amp;AJ525</f>
        <v/>
      </c>
      <c r="AI525" s="6">
        <f>YEAR(AK525)</f>
        <v/>
      </c>
      <c r="AJ525" s="6">
        <f>MONTH(AK525)</f>
        <v/>
      </c>
      <c r="AK525" s="267">
        <f>IFERROR(__xludf.DUMMYFUNCTION("""COMPUTED_VALUE"""),43617.9986111111)</f>
        <v/>
      </c>
      <c r="AL525" s="6">
        <f>IFERROR(__xludf.DUMMYFUNCTION("""COMPUTED_VALUE"""),8552.642)</f>
        <v/>
      </c>
      <c r="AP525" s="6">
        <f>AQ525&amp;AR525</f>
        <v/>
      </c>
      <c r="AQ525" s="6">
        <f>YEAR(AS525)</f>
        <v/>
      </c>
      <c r="AR525" s="6">
        <f>MONTH(AS525)</f>
        <v/>
      </c>
      <c r="AS525" s="267">
        <f>IFERROR(__xludf.DUMMYFUNCTION("""COMPUTED_VALUE"""),43868.9986111111)</f>
        <v/>
      </c>
      <c r="AT525" s="6">
        <f>IFERROR(__xludf.DUMMYFUNCTION("""COMPUTED_VALUE"""),1573.4)</f>
        <v/>
      </c>
    </row>
    <row r="526">
      <c r="B526" s="6">
        <f>C526&amp;D526</f>
        <v/>
      </c>
      <c r="C526" s="6">
        <f>YEAR(E526)</f>
        <v/>
      </c>
      <c r="D526" s="6">
        <f>MONTH(E526)</f>
        <v/>
      </c>
      <c r="E526" s="267">
        <f>IFERROR(__xludf.DUMMYFUNCTION("""COMPUTED_VALUE"""),43860.6666666666)</f>
        <v/>
      </c>
      <c r="F526" s="6">
        <f>IFERROR(__xludf.DUMMYFUNCTION("""COMPUTED_VALUE"""),3283.66)</f>
        <v/>
      </c>
      <c r="J526" s="6">
        <f>K526&amp;L526</f>
        <v/>
      </c>
      <c r="K526" s="6">
        <f>YEAR(M526)</f>
        <v/>
      </c>
      <c r="L526" s="6">
        <f>MONTH(M526)</f>
        <v/>
      </c>
      <c r="M526" s="267">
        <f>IFERROR(__xludf.DUMMYFUNCTION("""COMPUTED_VALUE"""),43854.6666666666)</f>
        <v/>
      </c>
      <c r="N526" s="6">
        <f>IFERROR(__xludf.DUMMYFUNCTION("""COMPUTED_VALUE"""),9314.91)</f>
        <v/>
      </c>
      <c r="R526" s="6">
        <f>S526&amp;T526</f>
        <v/>
      </c>
      <c r="S526" s="6">
        <f>YEAR(U526)</f>
        <v/>
      </c>
      <c r="T526" s="6">
        <f>MONTH(U526)</f>
        <v/>
      </c>
      <c r="U526" s="267">
        <f>IFERROR(__xludf.DUMMYFUNCTION("""COMPUTED_VALUE"""),43886.6458333333)</f>
        <v/>
      </c>
      <c r="V526" s="6">
        <f>IFERROR(__xludf.DUMMYFUNCTION("""COMPUTED_VALUE"""),2103.61)</f>
        <v/>
      </c>
      <c r="Z526" s="6">
        <f>AA526&amp;AB526</f>
        <v/>
      </c>
      <c r="AA526" s="6">
        <f>YEAR(AC526)</f>
        <v/>
      </c>
      <c r="AB526" s="6">
        <f>MONTH(AC526)</f>
        <v/>
      </c>
      <c r="AC526" s="267">
        <f>IFERROR(__xludf.DUMMYFUNCTION("""COMPUTED_VALUE"""),43652.9986111111)</f>
        <v/>
      </c>
      <c r="AD526" s="6">
        <f>IFERROR(__xludf.DUMMYFUNCTION("""COMPUTED_VALUE"""),1174.12)</f>
        <v/>
      </c>
      <c r="AH526" s="6">
        <f>AI526&amp;AJ526</f>
        <v/>
      </c>
      <c r="AI526" s="6">
        <f>YEAR(AK526)</f>
        <v/>
      </c>
      <c r="AJ526" s="6">
        <f>MONTH(AK526)</f>
        <v/>
      </c>
      <c r="AK526" s="267">
        <f>IFERROR(__xludf.DUMMYFUNCTION("""COMPUTED_VALUE"""),43618.9986111111)</f>
        <v/>
      </c>
      <c r="AL526" s="6">
        <f>IFERROR(__xludf.DUMMYFUNCTION("""COMPUTED_VALUE"""),8735.978)</f>
        <v/>
      </c>
      <c r="AP526" s="6">
        <f>AQ526&amp;AR526</f>
        <v/>
      </c>
      <c r="AQ526" s="6">
        <f>YEAR(AS526)</f>
        <v/>
      </c>
      <c r="AR526" s="6">
        <f>MONTH(AS526)</f>
        <v/>
      </c>
      <c r="AS526" s="267">
        <f>IFERROR(__xludf.DUMMYFUNCTION("""COMPUTED_VALUE"""),43871.9986111111)</f>
        <v/>
      </c>
      <c r="AT526" s="6">
        <f>IFERROR(__xludf.DUMMYFUNCTION("""COMPUTED_VALUE"""),1579.5)</f>
        <v/>
      </c>
    </row>
    <row r="527">
      <c r="B527" s="6">
        <f>C527&amp;D527</f>
        <v/>
      </c>
      <c r="C527" s="6">
        <f>YEAR(E527)</f>
        <v/>
      </c>
      <c r="D527" s="6">
        <f>MONTH(E527)</f>
        <v/>
      </c>
      <c r="E527" s="267">
        <f>IFERROR(__xludf.DUMMYFUNCTION("""COMPUTED_VALUE"""),43861.6666666666)</f>
        <v/>
      </c>
      <c r="F527" s="6">
        <f>IFERROR(__xludf.DUMMYFUNCTION("""COMPUTED_VALUE"""),3225.52)</f>
        <v/>
      </c>
      <c r="J527" s="6">
        <f>K527&amp;L527</f>
        <v/>
      </c>
      <c r="K527" s="6">
        <f>YEAR(M527)</f>
        <v/>
      </c>
      <c r="L527" s="6">
        <f>MONTH(M527)</f>
        <v/>
      </c>
      <c r="M527" s="267">
        <f>IFERROR(__xludf.DUMMYFUNCTION("""COMPUTED_VALUE"""),43857.6666666666)</f>
        <v/>
      </c>
      <c r="N527" s="6">
        <f>IFERROR(__xludf.DUMMYFUNCTION("""COMPUTED_VALUE"""),9139.31)</f>
        <v/>
      </c>
      <c r="R527" s="6">
        <f>S527&amp;T527</f>
        <v/>
      </c>
      <c r="S527" s="6">
        <f>YEAR(U527)</f>
        <v/>
      </c>
      <c r="T527" s="6">
        <f>MONTH(U527)</f>
        <v/>
      </c>
      <c r="U527" s="267">
        <f>IFERROR(__xludf.DUMMYFUNCTION("""COMPUTED_VALUE"""),43887.6458333333)</f>
        <v/>
      </c>
      <c r="V527" s="6">
        <f>IFERROR(__xludf.DUMMYFUNCTION("""COMPUTED_VALUE"""),2076.77)</f>
        <v/>
      </c>
      <c r="Z527" s="6">
        <f>AA527&amp;AB527</f>
        <v/>
      </c>
      <c r="AA527" s="6">
        <f>YEAR(AC527)</f>
        <v/>
      </c>
      <c r="AB527" s="6">
        <f>MONTH(AC527)</f>
        <v/>
      </c>
      <c r="AC527" s="267">
        <f>IFERROR(__xludf.DUMMYFUNCTION("""COMPUTED_VALUE"""),43653.9986111111)</f>
        <v/>
      </c>
      <c r="AD527" s="6">
        <f>IFERROR(__xludf.DUMMYFUNCTION("""COMPUTED_VALUE"""),1174.02)</f>
        <v/>
      </c>
      <c r="AH527" s="6">
        <f>AI527&amp;AJ527</f>
        <v/>
      </c>
      <c r="AI527" s="6">
        <f>YEAR(AK527)</f>
        <v/>
      </c>
      <c r="AJ527" s="6">
        <f>MONTH(AK527)</f>
        <v/>
      </c>
      <c r="AK527" s="267">
        <f>IFERROR(__xludf.DUMMYFUNCTION("""COMPUTED_VALUE"""),43619.9986111111)</f>
        <v/>
      </c>
      <c r="AL527" s="6">
        <f>IFERROR(__xludf.DUMMYFUNCTION("""COMPUTED_VALUE"""),8110.814)</f>
        <v/>
      </c>
      <c r="AP527" s="6">
        <f>AQ527&amp;AR527</f>
        <v/>
      </c>
      <c r="AQ527" s="6">
        <f>YEAR(AS527)</f>
        <v/>
      </c>
      <c r="AR527" s="6">
        <f>MONTH(AS527)</f>
        <v/>
      </c>
      <c r="AS527" s="267">
        <f>IFERROR(__xludf.DUMMYFUNCTION("""COMPUTED_VALUE"""),43872.9986111111)</f>
        <v/>
      </c>
      <c r="AT527" s="6">
        <f>IFERROR(__xludf.DUMMYFUNCTION("""COMPUTED_VALUE"""),1570.1)</f>
        <v/>
      </c>
    </row>
    <row r="528">
      <c r="B528" s="6">
        <f>C528&amp;D528</f>
        <v/>
      </c>
      <c r="C528" s="6">
        <f>YEAR(E528)</f>
        <v/>
      </c>
      <c r="D528" s="6">
        <f>MONTH(E528)</f>
        <v/>
      </c>
      <c r="E528" s="267">
        <f>IFERROR(__xludf.DUMMYFUNCTION("""COMPUTED_VALUE"""),43864.6666666666)</f>
        <v/>
      </c>
      <c r="F528" s="6">
        <f>IFERROR(__xludf.DUMMYFUNCTION("""COMPUTED_VALUE"""),3248.92)</f>
        <v/>
      </c>
      <c r="J528" s="6">
        <f>K528&amp;L528</f>
        <v/>
      </c>
      <c r="K528" s="6">
        <f>YEAR(M528)</f>
        <v/>
      </c>
      <c r="L528" s="6">
        <f>MONTH(M528)</f>
        <v/>
      </c>
      <c r="M528" s="267">
        <f>IFERROR(__xludf.DUMMYFUNCTION("""COMPUTED_VALUE"""),43858.6666666666)</f>
        <v/>
      </c>
      <c r="N528" s="6">
        <f>IFERROR(__xludf.DUMMYFUNCTION("""COMPUTED_VALUE"""),9269.68)</f>
        <v/>
      </c>
      <c r="R528" s="6">
        <f>S528&amp;T528</f>
        <v/>
      </c>
      <c r="S528" s="6">
        <f>YEAR(U528)</f>
        <v/>
      </c>
      <c r="T528" s="6">
        <f>MONTH(U528)</f>
        <v/>
      </c>
      <c r="U528" s="267">
        <f>IFERROR(__xludf.DUMMYFUNCTION("""COMPUTED_VALUE"""),43888.6458333333)</f>
        <v/>
      </c>
      <c r="V528" s="6">
        <f>IFERROR(__xludf.DUMMYFUNCTION("""COMPUTED_VALUE"""),2054.89)</f>
        <v/>
      </c>
      <c r="Z528" s="6">
        <f>AA528&amp;AB528</f>
        <v/>
      </c>
      <c r="AA528" s="6">
        <f>YEAR(AC528)</f>
        <v/>
      </c>
      <c r="AB528" s="6">
        <f>MONTH(AC528)</f>
        <v/>
      </c>
      <c r="AC528" s="267">
        <f>IFERROR(__xludf.DUMMYFUNCTION("""COMPUTED_VALUE"""),43654.9986111111)</f>
        <v/>
      </c>
      <c r="AD528" s="6">
        <f>IFERROR(__xludf.DUMMYFUNCTION("""COMPUTED_VALUE"""),1179.85)</f>
        <v/>
      </c>
      <c r="AH528" s="6">
        <f>AI528&amp;AJ528</f>
        <v/>
      </c>
      <c r="AI528" s="6">
        <f>YEAR(AK528)</f>
        <v/>
      </c>
      <c r="AJ528" s="6">
        <f>MONTH(AK528)</f>
        <v/>
      </c>
      <c r="AK528" s="267">
        <f>IFERROR(__xludf.DUMMYFUNCTION("""COMPUTED_VALUE"""),43620.9986111111)</f>
        <v/>
      </c>
      <c r="AL528" s="6">
        <f>IFERROR(__xludf.DUMMYFUNCTION("""COMPUTED_VALUE"""),7675.762)</f>
        <v/>
      </c>
      <c r="AP528" s="6">
        <f>AQ528&amp;AR528</f>
        <v/>
      </c>
      <c r="AQ528" s="6">
        <f>YEAR(AS528)</f>
        <v/>
      </c>
      <c r="AR528" s="6">
        <f>MONTH(AS528)</f>
        <v/>
      </c>
      <c r="AS528" s="267">
        <f>IFERROR(__xludf.DUMMYFUNCTION("""COMPUTED_VALUE"""),43873.9986111111)</f>
        <v/>
      </c>
      <c r="AT528" s="6">
        <f>IFERROR(__xludf.DUMMYFUNCTION("""COMPUTED_VALUE"""),1571.6)</f>
        <v/>
      </c>
    </row>
    <row r="529">
      <c r="B529" s="6">
        <f>C529&amp;D529</f>
        <v/>
      </c>
      <c r="C529" s="6">
        <f>YEAR(E529)</f>
        <v/>
      </c>
      <c r="D529" s="6">
        <f>MONTH(E529)</f>
        <v/>
      </c>
      <c r="E529" s="267">
        <f>IFERROR(__xludf.DUMMYFUNCTION("""COMPUTED_VALUE"""),43865.6666666666)</f>
        <v/>
      </c>
      <c r="F529" s="6">
        <f>IFERROR(__xludf.DUMMYFUNCTION("""COMPUTED_VALUE"""),3297.59)</f>
        <v/>
      </c>
      <c r="J529" s="6">
        <f>K529&amp;L529</f>
        <v/>
      </c>
      <c r="K529" s="6">
        <f>YEAR(M529)</f>
        <v/>
      </c>
      <c r="L529" s="6">
        <f>MONTH(M529)</f>
        <v/>
      </c>
      <c r="M529" s="267">
        <f>IFERROR(__xludf.DUMMYFUNCTION("""COMPUTED_VALUE"""),43859.6666666666)</f>
        <v/>
      </c>
      <c r="N529" s="6">
        <f>IFERROR(__xludf.DUMMYFUNCTION("""COMPUTED_VALUE"""),9275.16)</f>
        <v/>
      </c>
      <c r="R529" s="6">
        <f>S529&amp;T529</f>
        <v/>
      </c>
      <c r="S529" s="6">
        <f>YEAR(U529)</f>
        <v/>
      </c>
      <c r="T529" s="6">
        <f>MONTH(U529)</f>
        <v/>
      </c>
      <c r="U529" s="267">
        <f>IFERROR(__xludf.DUMMYFUNCTION("""COMPUTED_VALUE"""),43889.6458333333)</f>
        <v/>
      </c>
      <c r="V529" s="6">
        <f>IFERROR(__xludf.DUMMYFUNCTION("""COMPUTED_VALUE"""),1987.01)</f>
        <v/>
      </c>
      <c r="Z529" s="6">
        <f>AA529&amp;AB529</f>
        <v/>
      </c>
      <c r="AA529" s="6">
        <f>YEAR(AC529)</f>
        <v/>
      </c>
      <c r="AB529" s="6">
        <f>MONTH(AC529)</f>
        <v/>
      </c>
      <c r="AC529" s="267">
        <f>IFERROR(__xludf.DUMMYFUNCTION("""COMPUTED_VALUE"""),43655.9986111111)</f>
        <v/>
      </c>
      <c r="AD529" s="6">
        <f>IFERROR(__xludf.DUMMYFUNCTION("""COMPUTED_VALUE"""),1181.48)</f>
        <v/>
      </c>
      <c r="AH529" s="6">
        <f>AI529&amp;AJ529</f>
        <v/>
      </c>
      <c r="AI529" s="6">
        <f>YEAR(AK529)</f>
        <v/>
      </c>
      <c r="AJ529" s="6">
        <f>MONTH(AK529)</f>
        <v/>
      </c>
      <c r="AK529" s="267">
        <f>IFERROR(__xludf.DUMMYFUNCTION("""COMPUTED_VALUE"""),43621.9986111111)</f>
        <v/>
      </c>
      <c r="AL529" s="6">
        <f>IFERROR(__xludf.DUMMYFUNCTION("""COMPUTED_VALUE"""),7788.414)</f>
        <v/>
      </c>
      <c r="AP529" s="6">
        <f>AQ529&amp;AR529</f>
        <v/>
      </c>
      <c r="AQ529" s="6">
        <f>YEAR(AS529)</f>
        <v/>
      </c>
      <c r="AR529" s="6">
        <f>MONTH(AS529)</f>
        <v/>
      </c>
      <c r="AS529" s="267">
        <f>IFERROR(__xludf.DUMMYFUNCTION("""COMPUTED_VALUE"""),43874.9986111111)</f>
        <v/>
      </c>
      <c r="AT529" s="6">
        <f>IFERROR(__xludf.DUMMYFUNCTION("""COMPUTED_VALUE"""),1578.8)</f>
        <v/>
      </c>
    </row>
    <row r="530">
      <c r="B530" s="6">
        <f>C530&amp;D530</f>
        <v/>
      </c>
      <c r="C530" s="6">
        <f>YEAR(E530)</f>
        <v/>
      </c>
      <c r="D530" s="6">
        <f>MONTH(E530)</f>
        <v/>
      </c>
      <c r="E530" s="267">
        <f>IFERROR(__xludf.DUMMYFUNCTION("""COMPUTED_VALUE"""),43866.6666666666)</f>
        <v/>
      </c>
      <c r="F530" s="6">
        <f>IFERROR(__xludf.DUMMYFUNCTION("""COMPUTED_VALUE"""),3334.69)</f>
        <v/>
      </c>
      <c r="J530" s="6">
        <f>K530&amp;L530</f>
        <v/>
      </c>
      <c r="K530" s="6">
        <f>YEAR(M530)</f>
        <v/>
      </c>
      <c r="L530" s="6">
        <f>MONTH(M530)</f>
        <v/>
      </c>
      <c r="M530" s="267">
        <f>IFERROR(__xludf.DUMMYFUNCTION("""COMPUTED_VALUE"""),43860.6666666666)</f>
        <v/>
      </c>
      <c r="N530" s="6">
        <f>IFERROR(__xludf.DUMMYFUNCTION("""COMPUTED_VALUE"""),9298.93)</f>
        <v/>
      </c>
      <c r="R530" s="6">
        <f>S530&amp;T530</f>
        <v/>
      </c>
      <c r="S530" s="6">
        <f>YEAR(U530)</f>
        <v/>
      </c>
      <c r="T530" s="6">
        <f>MONTH(U530)</f>
        <v/>
      </c>
      <c r="U530" s="267">
        <f>IFERROR(__xludf.DUMMYFUNCTION("""COMPUTED_VALUE"""),43892.6458333333)</f>
        <v/>
      </c>
      <c r="V530" s="6">
        <f>IFERROR(__xludf.DUMMYFUNCTION("""COMPUTED_VALUE"""),2002.51)</f>
        <v/>
      </c>
      <c r="Z530" s="6">
        <f>AA530&amp;AB530</f>
        <v/>
      </c>
      <c r="AA530" s="6">
        <f>YEAR(AC530)</f>
        <v/>
      </c>
      <c r="AB530" s="6">
        <f>MONTH(AC530)</f>
        <v/>
      </c>
      <c r="AC530" s="267">
        <f>IFERROR(__xludf.DUMMYFUNCTION("""COMPUTED_VALUE"""),43656.9986111111)</f>
        <v/>
      </c>
      <c r="AD530" s="6">
        <f>IFERROR(__xludf.DUMMYFUNCTION("""COMPUTED_VALUE"""),1175.53)</f>
        <v/>
      </c>
      <c r="AH530" s="6">
        <f>AI530&amp;AJ530</f>
        <v/>
      </c>
      <c r="AI530" s="6">
        <f>YEAR(AK530)</f>
        <v/>
      </c>
      <c r="AJ530" s="6">
        <f>MONTH(AK530)</f>
        <v/>
      </c>
      <c r="AK530" s="267">
        <f>IFERROR(__xludf.DUMMYFUNCTION("""COMPUTED_VALUE"""),43622.9986111111)</f>
        <v/>
      </c>
      <c r="AL530" s="6">
        <f>IFERROR(__xludf.DUMMYFUNCTION("""COMPUTED_VALUE"""),7803.107)</f>
        <v/>
      </c>
      <c r="AP530" s="6">
        <f>AQ530&amp;AR530</f>
        <v/>
      </c>
      <c r="AQ530" s="6">
        <f>YEAR(AS530)</f>
        <v/>
      </c>
      <c r="AR530" s="6">
        <f>MONTH(AS530)</f>
        <v/>
      </c>
      <c r="AS530" s="267">
        <f>IFERROR(__xludf.DUMMYFUNCTION("""COMPUTED_VALUE"""),43875.9986111111)</f>
        <v/>
      </c>
      <c r="AT530" s="6">
        <f>IFERROR(__xludf.DUMMYFUNCTION("""COMPUTED_VALUE"""),1586.4)</f>
        <v/>
      </c>
    </row>
    <row r="531">
      <c r="B531" s="6">
        <f>C531&amp;D531</f>
        <v/>
      </c>
      <c r="C531" s="6">
        <f>YEAR(E531)</f>
        <v/>
      </c>
      <c r="D531" s="6">
        <f>MONTH(E531)</f>
        <v/>
      </c>
      <c r="E531" s="267">
        <f>IFERROR(__xludf.DUMMYFUNCTION("""COMPUTED_VALUE"""),43867.6666666666)</f>
        <v/>
      </c>
      <c r="F531" s="6">
        <f>IFERROR(__xludf.DUMMYFUNCTION("""COMPUTED_VALUE"""),3345.78)</f>
        <v/>
      </c>
      <c r="J531" s="6">
        <f>K531&amp;L531</f>
        <v/>
      </c>
      <c r="K531" s="6">
        <f>YEAR(M531)</f>
        <v/>
      </c>
      <c r="L531" s="6">
        <f>MONTH(M531)</f>
        <v/>
      </c>
      <c r="M531" s="267">
        <f>IFERROR(__xludf.DUMMYFUNCTION("""COMPUTED_VALUE"""),43861.6666666666)</f>
        <v/>
      </c>
      <c r="N531" s="6">
        <f>IFERROR(__xludf.DUMMYFUNCTION("""COMPUTED_VALUE"""),9150.94)</f>
        <v/>
      </c>
      <c r="R531" s="6">
        <f>S531&amp;T531</f>
        <v/>
      </c>
      <c r="S531" s="6">
        <f>YEAR(U531)</f>
        <v/>
      </c>
      <c r="T531" s="6">
        <f>MONTH(U531)</f>
        <v/>
      </c>
      <c r="U531" s="267">
        <f>IFERROR(__xludf.DUMMYFUNCTION("""COMPUTED_VALUE"""),43893.6458333333)</f>
        <v/>
      </c>
      <c r="V531" s="6">
        <f>IFERROR(__xludf.DUMMYFUNCTION("""COMPUTED_VALUE"""),2014.15)</f>
        <v/>
      </c>
      <c r="Z531" s="6">
        <f>AA531&amp;AB531</f>
        <v/>
      </c>
      <c r="AA531" s="6">
        <f>YEAR(AC531)</f>
        <v/>
      </c>
      <c r="AB531" s="6">
        <f>MONTH(AC531)</f>
        <v/>
      </c>
      <c r="AC531" s="267">
        <f>IFERROR(__xludf.DUMMYFUNCTION("""COMPUTED_VALUE"""),43657.9986111111)</f>
        <v/>
      </c>
      <c r="AD531" s="6">
        <f>IFERROR(__xludf.DUMMYFUNCTION("""COMPUTED_VALUE"""),1174.08)</f>
        <v/>
      </c>
      <c r="AH531" s="6">
        <f>AI531&amp;AJ531</f>
        <v/>
      </c>
      <c r="AI531" s="6">
        <f>YEAR(AK531)</f>
        <v/>
      </c>
      <c r="AJ531" s="6">
        <f>MONTH(AK531)</f>
        <v/>
      </c>
      <c r="AK531" s="267">
        <f>IFERROR(__xludf.DUMMYFUNCTION("""COMPUTED_VALUE"""),43623.9986111111)</f>
        <v/>
      </c>
      <c r="AL531" s="6">
        <f>IFERROR(__xludf.DUMMYFUNCTION("""COMPUTED_VALUE"""),8007.554)</f>
        <v/>
      </c>
      <c r="AP531" s="6">
        <f>AQ531&amp;AR531</f>
        <v/>
      </c>
      <c r="AQ531" s="6">
        <f>YEAR(AS531)</f>
        <v/>
      </c>
      <c r="AR531" s="6">
        <f>MONTH(AS531)</f>
        <v/>
      </c>
      <c r="AS531" s="267">
        <f>IFERROR(__xludf.DUMMYFUNCTION("""COMPUTED_VALUE"""),43879.9986111111)</f>
        <v/>
      </c>
      <c r="AT531" s="6">
        <f>IFERROR(__xludf.DUMMYFUNCTION("""COMPUTED_VALUE"""),1603.6)</f>
        <v/>
      </c>
    </row>
    <row r="532">
      <c r="B532" s="6">
        <f>C532&amp;D532</f>
        <v/>
      </c>
      <c r="C532" s="6">
        <f>YEAR(E532)</f>
        <v/>
      </c>
      <c r="D532" s="6">
        <f>MONTH(E532)</f>
        <v/>
      </c>
      <c r="E532" s="267">
        <f>IFERROR(__xludf.DUMMYFUNCTION("""COMPUTED_VALUE"""),43868.6666666666)</f>
        <v/>
      </c>
      <c r="F532" s="6">
        <f>IFERROR(__xludf.DUMMYFUNCTION("""COMPUTED_VALUE"""),3327.71)</f>
        <v/>
      </c>
      <c r="J532" s="6">
        <f>K532&amp;L532</f>
        <v/>
      </c>
      <c r="K532" s="6">
        <f>YEAR(M532)</f>
        <v/>
      </c>
      <c r="L532" s="6">
        <f>MONTH(M532)</f>
        <v/>
      </c>
      <c r="M532" s="267">
        <f>IFERROR(__xludf.DUMMYFUNCTION("""COMPUTED_VALUE"""),43864.6666666666)</f>
        <v/>
      </c>
      <c r="N532" s="6">
        <f>IFERROR(__xludf.DUMMYFUNCTION("""COMPUTED_VALUE"""),9273.4)</f>
        <v/>
      </c>
      <c r="R532" s="6">
        <f>S532&amp;T532</f>
        <v/>
      </c>
      <c r="S532" s="6">
        <f>YEAR(U532)</f>
        <v/>
      </c>
      <c r="T532" s="6">
        <f>MONTH(U532)</f>
        <v/>
      </c>
      <c r="U532" s="267">
        <f>IFERROR(__xludf.DUMMYFUNCTION("""COMPUTED_VALUE"""),43894.6458333333)</f>
        <v/>
      </c>
      <c r="V532" s="6">
        <f>IFERROR(__xludf.DUMMYFUNCTION("""COMPUTED_VALUE"""),2059.33)</f>
        <v/>
      </c>
      <c r="Z532" s="6">
        <f>AA532&amp;AB532</f>
        <v/>
      </c>
      <c r="AA532" s="6">
        <f>YEAR(AC532)</f>
        <v/>
      </c>
      <c r="AB532" s="6">
        <f>MONTH(AC532)</f>
        <v/>
      </c>
      <c r="AC532" s="267">
        <f>IFERROR(__xludf.DUMMYFUNCTION("""COMPUTED_VALUE"""),43658.9986111111)</f>
        <v/>
      </c>
      <c r="AD532" s="6">
        <f>IFERROR(__xludf.DUMMYFUNCTION("""COMPUTED_VALUE"""),1177.22)</f>
        <v/>
      </c>
      <c r="AH532" s="6">
        <f>AI532&amp;AJ532</f>
        <v/>
      </c>
      <c r="AI532" s="6">
        <f>YEAR(AK532)</f>
        <v/>
      </c>
      <c r="AJ532" s="6">
        <f>MONTH(AK532)</f>
        <v/>
      </c>
      <c r="AK532" s="267">
        <f>IFERROR(__xludf.DUMMYFUNCTION("""COMPUTED_VALUE"""),43624.9986111111)</f>
        <v/>
      </c>
      <c r="AL532" s="6">
        <f>IFERROR(__xludf.DUMMYFUNCTION("""COMPUTED_VALUE"""),7927.408)</f>
        <v/>
      </c>
      <c r="AP532" s="6">
        <f>AQ532&amp;AR532</f>
        <v/>
      </c>
      <c r="AQ532" s="6">
        <f>YEAR(AS532)</f>
        <v/>
      </c>
      <c r="AR532" s="6">
        <f>MONTH(AS532)</f>
        <v/>
      </c>
      <c r="AS532" s="267">
        <f>IFERROR(__xludf.DUMMYFUNCTION("""COMPUTED_VALUE"""),43880.9986111111)</f>
        <v/>
      </c>
      <c r="AT532" s="6">
        <f>IFERROR(__xludf.DUMMYFUNCTION("""COMPUTED_VALUE"""),1611.8)</f>
        <v/>
      </c>
    </row>
    <row r="533">
      <c r="B533" s="6">
        <f>C533&amp;D533</f>
        <v/>
      </c>
      <c r="C533" s="6">
        <f>YEAR(E533)</f>
        <v/>
      </c>
      <c r="D533" s="6">
        <f>MONTH(E533)</f>
        <v/>
      </c>
      <c r="E533" s="267">
        <f>IFERROR(__xludf.DUMMYFUNCTION("""COMPUTED_VALUE"""),43871.6666666666)</f>
        <v/>
      </c>
      <c r="F533" s="6">
        <f>IFERROR(__xludf.DUMMYFUNCTION("""COMPUTED_VALUE"""),3352.09)</f>
        <v/>
      </c>
      <c r="J533" s="6">
        <f>K533&amp;L533</f>
        <v/>
      </c>
      <c r="K533" s="6">
        <f>YEAR(M533)</f>
        <v/>
      </c>
      <c r="L533" s="6">
        <f>MONTH(M533)</f>
        <v/>
      </c>
      <c r="M533" s="267">
        <f>IFERROR(__xludf.DUMMYFUNCTION("""COMPUTED_VALUE"""),43865.6666666666)</f>
        <v/>
      </c>
      <c r="N533" s="6">
        <f>IFERROR(__xludf.DUMMYFUNCTION("""COMPUTED_VALUE"""),9467.97)</f>
        <v/>
      </c>
      <c r="R533" s="6">
        <f>S533&amp;T533</f>
        <v/>
      </c>
      <c r="S533" s="6">
        <f>YEAR(U533)</f>
        <v/>
      </c>
      <c r="T533" s="6">
        <f>MONTH(U533)</f>
        <v/>
      </c>
      <c r="U533" s="267">
        <f>IFERROR(__xludf.DUMMYFUNCTION("""COMPUTED_VALUE"""),43895.6458333333)</f>
        <v/>
      </c>
      <c r="V533" s="6">
        <f>IFERROR(__xludf.DUMMYFUNCTION("""COMPUTED_VALUE"""),2085.26)</f>
        <v/>
      </c>
      <c r="Z533" s="6">
        <f>AA533&amp;AB533</f>
        <v/>
      </c>
      <c r="AA533" s="6">
        <f>YEAR(AC533)</f>
        <v/>
      </c>
      <c r="AB533" s="6">
        <f>MONTH(AC533)</f>
        <v/>
      </c>
      <c r="AC533" s="267">
        <f>IFERROR(__xludf.DUMMYFUNCTION("""COMPUTED_VALUE"""),43660.9986111111)</f>
        <v/>
      </c>
      <c r="AD533" s="6">
        <f>IFERROR(__xludf.DUMMYFUNCTION("""COMPUTED_VALUE"""),1176.41)</f>
        <v/>
      </c>
      <c r="AH533" s="6">
        <f>AI533&amp;AJ533</f>
        <v/>
      </c>
      <c r="AI533" s="6">
        <f>YEAR(AK533)</f>
        <v/>
      </c>
      <c r="AJ533" s="6">
        <f>MONTH(AK533)</f>
        <v/>
      </c>
      <c r="AK533" s="267">
        <f>IFERROR(__xludf.DUMMYFUNCTION("""COMPUTED_VALUE"""),43625.9986111111)</f>
        <v/>
      </c>
      <c r="AL533" s="6">
        <f>IFERROR(__xludf.DUMMYFUNCTION("""COMPUTED_VALUE"""),7636.332)</f>
        <v/>
      </c>
      <c r="AP533" s="6">
        <f>AQ533&amp;AR533</f>
        <v/>
      </c>
      <c r="AQ533" s="6">
        <f>YEAR(AS533)</f>
        <v/>
      </c>
      <c r="AR533" s="6">
        <f>MONTH(AS533)</f>
        <v/>
      </c>
      <c r="AS533" s="267">
        <f>IFERROR(__xludf.DUMMYFUNCTION("""COMPUTED_VALUE"""),43881.9986111111)</f>
        <v/>
      </c>
      <c r="AT533" s="6">
        <f>IFERROR(__xludf.DUMMYFUNCTION("""COMPUTED_VALUE"""),1620.5)</f>
        <v/>
      </c>
    </row>
    <row r="534">
      <c r="B534" s="6">
        <f>C534&amp;D534</f>
        <v/>
      </c>
      <c r="C534" s="6">
        <f>YEAR(E534)</f>
        <v/>
      </c>
      <c r="D534" s="6">
        <f>MONTH(E534)</f>
        <v/>
      </c>
      <c r="E534" s="267">
        <f>IFERROR(__xludf.DUMMYFUNCTION("""COMPUTED_VALUE"""),43872.6666666666)</f>
        <v/>
      </c>
      <c r="F534" s="6">
        <f>IFERROR(__xludf.DUMMYFUNCTION("""COMPUTED_VALUE"""),3357.75)</f>
        <v/>
      </c>
      <c r="J534" s="6">
        <f>K534&amp;L534</f>
        <v/>
      </c>
      <c r="K534" s="6">
        <f>YEAR(M534)</f>
        <v/>
      </c>
      <c r="L534" s="6">
        <f>MONTH(M534)</f>
        <v/>
      </c>
      <c r="M534" s="267">
        <f>IFERROR(__xludf.DUMMYFUNCTION("""COMPUTED_VALUE"""),43866.6666666666)</f>
        <v/>
      </c>
      <c r="N534" s="6">
        <f>IFERROR(__xludf.DUMMYFUNCTION("""COMPUTED_VALUE"""),9508.68)</f>
        <v/>
      </c>
      <c r="R534" s="6">
        <f>S534&amp;T534</f>
        <v/>
      </c>
      <c r="S534" s="6">
        <f>YEAR(U534)</f>
        <v/>
      </c>
      <c r="T534" s="6">
        <f>MONTH(U534)</f>
        <v/>
      </c>
      <c r="U534" s="267">
        <f>IFERROR(__xludf.DUMMYFUNCTION("""COMPUTED_VALUE"""),43896.6458333333)</f>
        <v/>
      </c>
      <c r="V534" s="6">
        <f>IFERROR(__xludf.DUMMYFUNCTION("""COMPUTED_VALUE"""),2040.22)</f>
        <v/>
      </c>
      <c r="Z534" s="6">
        <f>AA534&amp;AB534</f>
        <v/>
      </c>
      <c r="AA534" s="6">
        <f>YEAR(AC534)</f>
        <v/>
      </c>
      <c r="AB534" s="6">
        <f>MONTH(AC534)</f>
        <v/>
      </c>
      <c r="AC534" s="267">
        <f>IFERROR(__xludf.DUMMYFUNCTION("""COMPUTED_VALUE"""),43661.9986111111)</f>
        <v/>
      </c>
      <c r="AD534" s="6">
        <f>IFERROR(__xludf.DUMMYFUNCTION("""COMPUTED_VALUE"""),1178.43)</f>
        <v/>
      </c>
      <c r="AH534" s="6">
        <f>AI534&amp;AJ534</f>
        <v/>
      </c>
      <c r="AI534" s="6">
        <f>YEAR(AK534)</f>
        <v/>
      </c>
      <c r="AJ534" s="6">
        <f>MONTH(AK534)</f>
        <v/>
      </c>
      <c r="AK534" s="267">
        <f>IFERROR(__xludf.DUMMYFUNCTION("""COMPUTED_VALUE"""),43626.9986111111)</f>
        <v/>
      </c>
      <c r="AL534" s="6">
        <f>IFERROR(__xludf.DUMMYFUNCTION("""COMPUTED_VALUE"""),8007.007)</f>
        <v/>
      </c>
      <c r="AP534" s="6">
        <f>AQ534&amp;AR534</f>
        <v/>
      </c>
      <c r="AQ534" s="6">
        <f>YEAR(AS534)</f>
        <v/>
      </c>
      <c r="AR534" s="6">
        <f>MONTH(AS534)</f>
        <v/>
      </c>
      <c r="AS534" s="267">
        <f>IFERROR(__xludf.DUMMYFUNCTION("""COMPUTED_VALUE"""),43882.9986111111)</f>
        <v/>
      </c>
      <c r="AT534" s="6">
        <f>IFERROR(__xludf.DUMMYFUNCTION("""COMPUTED_VALUE"""),1648.8)</f>
        <v/>
      </c>
    </row>
    <row r="535">
      <c r="B535" s="6">
        <f>C535&amp;D535</f>
        <v/>
      </c>
      <c r="C535" s="6">
        <f>YEAR(E535)</f>
        <v/>
      </c>
      <c r="D535" s="6">
        <f>MONTH(E535)</f>
        <v/>
      </c>
      <c r="E535" s="267">
        <f>IFERROR(__xludf.DUMMYFUNCTION("""COMPUTED_VALUE"""),43873.6666666666)</f>
        <v/>
      </c>
      <c r="F535" s="6">
        <f>IFERROR(__xludf.DUMMYFUNCTION("""COMPUTED_VALUE"""),3379.45)</f>
        <v/>
      </c>
      <c r="J535" s="6">
        <f>K535&amp;L535</f>
        <v/>
      </c>
      <c r="K535" s="6">
        <f>YEAR(M535)</f>
        <v/>
      </c>
      <c r="L535" s="6">
        <f>MONTH(M535)</f>
        <v/>
      </c>
      <c r="M535" s="267">
        <f>IFERROR(__xludf.DUMMYFUNCTION("""COMPUTED_VALUE"""),43867.6666666666)</f>
        <v/>
      </c>
      <c r="N535" s="6">
        <f>IFERROR(__xludf.DUMMYFUNCTION("""COMPUTED_VALUE"""),9572.15)</f>
        <v/>
      </c>
      <c r="R535" s="6">
        <f>S535&amp;T535</f>
        <v/>
      </c>
      <c r="S535" s="6">
        <f>YEAR(U535)</f>
        <v/>
      </c>
      <c r="T535" s="6">
        <f>MONTH(U535)</f>
        <v/>
      </c>
      <c r="U535" s="267">
        <f>IFERROR(__xludf.DUMMYFUNCTION("""COMPUTED_VALUE"""),43899.6458333333)</f>
        <v/>
      </c>
      <c r="V535" s="6">
        <f>IFERROR(__xludf.DUMMYFUNCTION("""COMPUTED_VALUE"""),1954.77)</f>
        <v/>
      </c>
      <c r="Z535" s="6">
        <f>AA535&amp;AB535</f>
        <v/>
      </c>
      <c r="AA535" s="6">
        <f>YEAR(AC535)</f>
        <v/>
      </c>
      <c r="AB535" s="6">
        <f>MONTH(AC535)</f>
        <v/>
      </c>
      <c r="AC535" s="267">
        <f>IFERROR(__xludf.DUMMYFUNCTION("""COMPUTED_VALUE"""),43662.9986111111)</f>
        <v/>
      </c>
      <c r="AD535" s="6">
        <f>IFERROR(__xludf.DUMMYFUNCTION("""COMPUTED_VALUE"""),1177.88)</f>
        <v/>
      </c>
      <c r="AH535" s="6">
        <f>AI535&amp;AJ535</f>
        <v/>
      </c>
      <c r="AI535" s="6">
        <f>YEAR(AK535)</f>
        <v/>
      </c>
      <c r="AJ535" s="6">
        <f>MONTH(AK535)</f>
        <v/>
      </c>
      <c r="AK535" s="267">
        <f>IFERROR(__xludf.DUMMYFUNCTION("""COMPUTED_VALUE"""),43627.9986111111)</f>
        <v/>
      </c>
      <c r="AL535" s="6">
        <f>IFERROR(__xludf.DUMMYFUNCTION("""COMPUTED_VALUE"""),7911.261)</f>
        <v/>
      </c>
      <c r="AP535" s="6">
        <f>AQ535&amp;AR535</f>
        <v/>
      </c>
      <c r="AQ535" s="6">
        <f>YEAR(AS535)</f>
        <v/>
      </c>
      <c r="AR535" s="6">
        <f>MONTH(AS535)</f>
        <v/>
      </c>
      <c r="AS535" s="267">
        <f>IFERROR(__xludf.DUMMYFUNCTION("""COMPUTED_VALUE"""),43885.9986111111)</f>
        <v/>
      </c>
      <c r="AT535" s="6">
        <f>IFERROR(__xludf.DUMMYFUNCTION("""COMPUTED_VALUE"""),1676.6)</f>
        <v/>
      </c>
    </row>
    <row r="536">
      <c r="B536" s="6">
        <f>C536&amp;D536</f>
        <v/>
      </c>
      <c r="C536" s="6">
        <f>YEAR(E536)</f>
        <v/>
      </c>
      <c r="D536" s="6">
        <f>MONTH(E536)</f>
        <v/>
      </c>
      <c r="E536" s="267">
        <f>IFERROR(__xludf.DUMMYFUNCTION("""COMPUTED_VALUE"""),43874.6666666666)</f>
        <v/>
      </c>
      <c r="F536" s="6">
        <f>IFERROR(__xludf.DUMMYFUNCTION("""COMPUTED_VALUE"""),3373.94)</f>
        <v/>
      </c>
      <c r="J536" s="6">
        <f>K536&amp;L536</f>
        <v/>
      </c>
      <c r="K536" s="6">
        <f>YEAR(M536)</f>
        <v/>
      </c>
      <c r="L536" s="6">
        <f>MONTH(M536)</f>
        <v/>
      </c>
      <c r="M536" s="267">
        <f>IFERROR(__xludf.DUMMYFUNCTION("""COMPUTED_VALUE"""),43868.6666666666)</f>
        <v/>
      </c>
      <c r="N536" s="6">
        <f>IFERROR(__xludf.DUMMYFUNCTION("""COMPUTED_VALUE"""),9520.51)</f>
        <v/>
      </c>
      <c r="R536" s="6">
        <f>S536&amp;T536</f>
        <v/>
      </c>
      <c r="S536" s="6">
        <f>YEAR(U536)</f>
        <v/>
      </c>
      <c r="T536" s="6">
        <f>MONTH(U536)</f>
        <v/>
      </c>
      <c r="U536" s="267">
        <f>IFERROR(__xludf.DUMMYFUNCTION("""COMPUTED_VALUE"""),43900.6458333333)</f>
        <v/>
      </c>
      <c r="V536" s="6">
        <f>IFERROR(__xludf.DUMMYFUNCTION("""COMPUTED_VALUE"""),1962.93)</f>
        <v/>
      </c>
      <c r="Z536" s="6">
        <f>AA536&amp;AB536</f>
        <v/>
      </c>
      <c r="AA536" s="6">
        <f>YEAR(AC536)</f>
        <v/>
      </c>
      <c r="AB536" s="6">
        <f>MONTH(AC536)</f>
        <v/>
      </c>
      <c r="AC536" s="267">
        <f>IFERROR(__xludf.DUMMYFUNCTION("""COMPUTED_VALUE"""),43663.9986111111)</f>
        <v/>
      </c>
      <c r="AD536" s="6">
        <f>IFERROR(__xludf.DUMMYFUNCTION("""COMPUTED_VALUE"""),1178.69)</f>
        <v/>
      </c>
      <c r="AH536" s="6">
        <f>AI536&amp;AJ536</f>
        <v/>
      </c>
      <c r="AI536" s="6">
        <f>YEAR(AK536)</f>
        <v/>
      </c>
      <c r="AJ536" s="6">
        <f>MONTH(AK536)</f>
        <v/>
      </c>
      <c r="AK536" s="267">
        <f>IFERROR(__xludf.DUMMYFUNCTION("""COMPUTED_VALUE"""),43628.9986111111)</f>
        <v/>
      </c>
      <c r="AL536" s="6">
        <f>IFERROR(__xludf.DUMMYFUNCTION("""COMPUTED_VALUE"""),8161.967)</f>
        <v/>
      </c>
      <c r="AP536" s="6">
        <f>AQ536&amp;AR536</f>
        <v/>
      </c>
      <c r="AQ536" s="6">
        <f>YEAR(AS536)</f>
        <v/>
      </c>
      <c r="AR536" s="6">
        <f>MONTH(AS536)</f>
        <v/>
      </c>
      <c r="AS536" s="267">
        <f>IFERROR(__xludf.DUMMYFUNCTION("""COMPUTED_VALUE"""),43886.9986111111)</f>
        <v/>
      </c>
      <c r="AT536" s="6">
        <f>IFERROR(__xludf.DUMMYFUNCTION("""COMPUTED_VALUE"""),1650)</f>
        <v/>
      </c>
    </row>
    <row r="537">
      <c r="B537" s="6">
        <f>C537&amp;D537</f>
        <v/>
      </c>
      <c r="C537" s="6">
        <f>YEAR(E537)</f>
        <v/>
      </c>
      <c r="D537" s="6">
        <f>MONTH(E537)</f>
        <v/>
      </c>
      <c r="E537" s="267">
        <f>IFERROR(__xludf.DUMMYFUNCTION("""COMPUTED_VALUE"""),43875.6666666666)</f>
        <v/>
      </c>
      <c r="F537" s="6">
        <f>IFERROR(__xludf.DUMMYFUNCTION("""COMPUTED_VALUE"""),3380.16)</f>
        <v/>
      </c>
      <c r="J537" s="6">
        <f>K537&amp;L537</f>
        <v/>
      </c>
      <c r="K537" s="6">
        <f>YEAR(M537)</f>
        <v/>
      </c>
      <c r="L537" s="6">
        <f>MONTH(M537)</f>
        <v/>
      </c>
      <c r="M537" s="267">
        <f>IFERROR(__xludf.DUMMYFUNCTION("""COMPUTED_VALUE"""),43871.6666666666)</f>
        <v/>
      </c>
      <c r="N537" s="6">
        <f>IFERROR(__xludf.DUMMYFUNCTION("""COMPUTED_VALUE"""),9628.39)</f>
        <v/>
      </c>
      <c r="R537" s="6">
        <f>S537&amp;T537</f>
        <v/>
      </c>
      <c r="S537" s="6">
        <f>YEAR(U537)</f>
        <v/>
      </c>
      <c r="T537" s="6">
        <f>MONTH(U537)</f>
        <v/>
      </c>
      <c r="U537" s="267">
        <f>IFERROR(__xludf.DUMMYFUNCTION("""COMPUTED_VALUE"""),43901.6458333333)</f>
        <v/>
      </c>
      <c r="V537" s="6">
        <f>IFERROR(__xludf.DUMMYFUNCTION("""COMPUTED_VALUE"""),1908.27)</f>
        <v/>
      </c>
      <c r="Z537" s="6">
        <f>AA537&amp;AB537</f>
        <v/>
      </c>
      <c r="AA537" s="6">
        <f>YEAR(AC537)</f>
        <v/>
      </c>
      <c r="AB537" s="6">
        <f>MONTH(AC537)</f>
        <v/>
      </c>
      <c r="AC537" s="267">
        <f>IFERROR(__xludf.DUMMYFUNCTION("""COMPUTED_VALUE"""),43664.9986111111)</f>
        <v/>
      </c>
      <c r="AD537" s="6">
        <f>IFERROR(__xludf.DUMMYFUNCTION("""COMPUTED_VALUE"""),1170.77)</f>
        <v/>
      </c>
      <c r="AH537" s="6">
        <f>AI537&amp;AJ537</f>
        <v/>
      </c>
      <c r="AI537" s="6">
        <f>YEAR(AK537)</f>
        <v/>
      </c>
      <c r="AJ537" s="6">
        <f>MONTH(AK537)</f>
        <v/>
      </c>
      <c r="AK537" s="267">
        <f>IFERROR(__xludf.DUMMYFUNCTION("""COMPUTED_VALUE"""),43629.9986111111)</f>
        <v/>
      </c>
      <c r="AL537" s="6">
        <f>IFERROR(__xludf.DUMMYFUNCTION("""COMPUTED_VALUE"""),8231.103)</f>
        <v/>
      </c>
      <c r="AP537" s="6">
        <f>AQ537&amp;AR537</f>
        <v/>
      </c>
      <c r="AQ537" s="6">
        <f>YEAR(AS537)</f>
        <v/>
      </c>
      <c r="AR537" s="6">
        <f>MONTH(AS537)</f>
        <v/>
      </c>
      <c r="AS537" s="267">
        <f>IFERROR(__xludf.DUMMYFUNCTION("""COMPUTED_VALUE"""),43887.9986111111)</f>
        <v/>
      </c>
      <c r="AT537" s="6">
        <f>IFERROR(__xludf.DUMMYFUNCTION("""COMPUTED_VALUE"""),1643.1)</f>
        <v/>
      </c>
    </row>
    <row r="538">
      <c r="B538" s="6">
        <f>C538&amp;D538</f>
        <v/>
      </c>
      <c r="C538" s="6">
        <f>YEAR(E538)</f>
        <v/>
      </c>
      <c r="D538" s="6">
        <f>MONTH(E538)</f>
        <v/>
      </c>
      <c r="E538" s="267">
        <f>IFERROR(__xludf.DUMMYFUNCTION("""COMPUTED_VALUE"""),43879.6666666666)</f>
        <v/>
      </c>
      <c r="F538" s="6">
        <f>IFERROR(__xludf.DUMMYFUNCTION("""COMPUTED_VALUE"""),3370.29)</f>
        <v/>
      </c>
      <c r="J538" s="6">
        <f>K538&amp;L538</f>
        <v/>
      </c>
      <c r="K538" s="6">
        <f>YEAR(M538)</f>
        <v/>
      </c>
      <c r="L538" s="6">
        <f>MONTH(M538)</f>
        <v/>
      </c>
      <c r="M538" s="267">
        <f>IFERROR(__xludf.DUMMYFUNCTION("""COMPUTED_VALUE"""),43872.6666666666)</f>
        <v/>
      </c>
      <c r="N538" s="6">
        <f>IFERROR(__xludf.DUMMYFUNCTION("""COMPUTED_VALUE"""),9638.94)</f>
        <v/>
      </c>
      <c r="R538" s="6">
        <f>S538&amp;T538</f>
        <v/>
      </c>
      <c r="S538" s="6">
        <f>YEAR(U538)</f>
        <v/>
      </c>
      <c r="T538" s="6">
        <f>MONTH(U538)</f>
        <v/>
      </c>
      <c r="U538" s="267">
        <f>IFERROR(__xludf.DUMMYFUNCTION("""COMPUTED_VALUE"""),43902.6458333333)</f>
        <v/>
      </c>
      <c r="V538" s="6">
        <f>IFERROR(__xludf.DUMMYFUNCTION("""COMPUTED_VALUE"""),1834.33)</f>
        <v/>
      </c>
      <c r="Z538" s="6">
        <f>AA538&amp;AB538</f>
        <v/>
      </c>
      <c r="AA538" s="6">
        <f>YEAR(AC538)</f>
        <v/>
      </c>
      <c r="AB538" s="6">
        <f>MONTH(AC538)</f>
        <v/>
      </c>
      <c r="AC538" s="267">
        <f>IFERROR(__xludf.DUMMYFUNCTION("""COMPUTED_VALUE"""),43665.9986111111)</f>
        <v/>
      </c>
      <c r="AD538" s="6">
        <f>IFERROR(__xludf.DUMMYFUNCTION("""COMPUTED_VALUE"""),1175.1)</f>
        <v/>
      </c>
      <c r="AH538" s="6">
        <f>AI538&amp;AJ538</f>
        <v/>
      </c>
      <c r="AI538" s="6">
        <f>YEAR(AK538)</f>
        <v/>
      </c>
      <c r="AJ538" s="6">
        <f>MONTH(AK538)</f>
        <v/>
      </c>
      <c r="AK538" s="267">
        <f>IFERROR(__xludf.DUMMYFUNCTION("""COMPUTED_VALUE"""),43630.9986111111)</f>
        <v/>
      </c>
      <c r="AL538" s="6">
        <f>IFERROR(__xludf.DUMMYFUNCTION("""COMPUTED_VALUE"""),8693.585)</f>
        <v/>
      </c>
      <c r="AP538" s="6">
        <f>AQ538&amp;AR538</f>
        <v/>
      </c>
      <c r="AQ538" s="6">
        <f>YEAR(AS538)</f>
        <v/>
      </c>
      <c r="AR538" s="6">
        <f>MONTH(AS538)</f>
        <v/>
      </c>
      <c r="AS538" s="267">
        <f>IFERROR(__xludf.DUMMYFUNCTION("""COMPUTED_VALUE"""),43888.9986111111)</f>
        <v/>
      </c>
      <c r="AT538" s="6">
        <f>IFERROR(__xludf.DUMMYFUNCTION("""COMPUTED_VALUE"""),1642.5)</f>
        <v/>
      </c>
    </row>
    <row r="539">
      <c r="B539" s="6">
        <f>C539&amp;D539</f>
        <v/>
      </c>
      <c r="C539" s="6">
        <f>YEAR(E539)</f>
        <v/>
      </c>
      <c r="D539" s="6">
        <f>MONTH(E539)</f>
        <v/>
      </c>
      <c r="E539" s="267">
        <f>IFERROR(__xludf.DUMMYFUNCTION("""COMPUTED_VALUE"""),43880.6666666666)</f>
        <v/>
      </c>
      <c r="F539" s="6">
        <f>IFERROR(__xludf.DUMMYFUNCTION("""COMPUTED_VALUE"""),3386.15)</f>
        <v/>
      </c>
      <c r="J539" s="6">
        <f>K539&amp;L539</f>
        <v/>
      </c>
      <c r="K539" s="6">
        <f>YEAR(M539)</f>
        <v/>
      </c>
      <c r="L539" s="6">
        <f>MONTH(M539)</f>
        <v/>
      </c>
      <c r="M539" s="267">
        <f>IFERROR(__xludf.DUMMYFUNCTION("""COMPUTED_VALUE"""),43873.6666666666)</f>
        <v/>
      </c>
      <c r="N539" s="6">
        <f>IFERROR(__xludf.DUMMYFUNCTION("""COMPUTED_VALUE"""),9725.96)</f>
        <v/>
      </c>
      <c r="R539" s="6">
        <f>S539&amp;T539</f>
        <v/>
      </c>
      <c r="S539" s="6">
        <f>YEAR(U539)</f>
        <v/>
      </c>
      <c r="T539" s="6">
        <f>MONTH(U539)</f>
        <v/>
      </c>
      <c r="U539" s="267">
        <f>IFERROR(__xludf.DUMMYFUNCTION("""COMPUTED_VALUE"""),43903.6458333333)</f>
        <v/>
      </c>
      <c r="V539" s="6">
        <f>IFERROR(__xludf.DUMMYFUNCTION("""COMPUTED_VALUE"""),1771.44)</f>
        <v/>
      </c>
      <c r="Z539" s="6">
        <f>AA539&amp;AB539</f>
        <v/>
      </c>
      <c r="AA539" s="6">
        <f>YEAR(AC539)</f>
        <v/>
      </c>
      <c r="AB539" s="6">
        <f>MONTH(AC539)</f>
        <v/>
      </c>
      <c r="AC539" s="267">
        <f>IFERROR(__xludf.DUMMYFUNCTION("""COMPUTED_VALUE"""),43666.9986111111)</f>
        <v/>
      </c>
      <c r="AD539" s="6">
        <f>IFERROR(__xludf.DUMMYFUNCTION("""COMPUTED_VALUE"""),1174.2)</f>
        <v/>
      </c>
      <c r="AH539" s="6">
        <f>AI539&amp;AJ539</f>
        <v/>
      </c>
      <c r="AI539" s="6">
        <f>YEAR(AK539)</f>
        <v/>
      </c>
      <c r="AJ539" s="6">
        <f>MONTH(AK539)</f>
        <v/>
      </c>
      <c r="AK539" s="267">
        <f>IFERROR(__xludf.DUMMYFUNCTION("""COMPUTED_VALUE"""),43631.9986111111)</f>
        <v/>
      </c>
      <c r="AL539" s="6">
        <f>IFERROR(__xludf.DUMMYFUNCTION("""COMPUTED_VALUE"""),8852.57)</f>
        <v/>
      </c>
      <c r="AP539" s="6">
        <f>AQ539&amp;AR539</f>
        <v/>
      </c>
      <c r="AQ539" s="6">
        <f>YEAR(AS539)</f>
        <v/>
      </c>
      <c r="AR539" s="6">
        <f>MONTH(AS539)</f>
        <v/>
      </c>
      <c r="AS539" s="267">
        <f>IFERROR(__xludf.DUMMYFUNCTION("""COMPUTED_VALUE"""),43889.9986111111)</f>
        <v/>
      </c>
      <c r="AT539" s="6">
        <f>IFERROR(__xludf.DUMMYFUNCTION("""COMPUTED_VALUE"""),1566.7)</f>
        <v/>
      </c>
    </row>
    <row r="540">
      <c r="B540" s="6">
        <f>C540&amp;D540</f>
        <v/>
      </c>
      <c r="C540" s="6">
        <f>YEAR(E540)</f>
        <v/>
      </c>
      <c r="D540" s="6">
        <f>MONTH(E540)</f>
        <v/>
      </c>
      <c r="E540" s="267">
        <f>IFERROR(__xludf.DUMMYFUNCTION("""COMPUTED_VALUE"""),43881.6666666666)</f>
        <v/>
      </c>
      <c r="F540" s="6">
        <f>IFERROR(__xludf.DUMMYFUNCTION("""COMPUTED_VALUE"""),3373.23)</f>
        <v/>
      </c>
      <c r="J540" s="6">
        <f>K540&amp;L540</f>
        <v/>
      </c>
      <c r="K540" s="6">
        <f>YEAR(M540)</f>
        <v/>
      </c>
      <c r="L540" s="6">
        <f>MONTH(M540)</f>
        <v/>
      </c>
      <c r="M540" s="267">
        <f>IFERROR(__xludf.DUMMYFUNCTION("""COMPUTED_VALUE"""),43874.6666666666)</f>
        <v/>
      </c>
      <c r="N540" s="6">
        <f>IFERROR(__xludf.DUMMYFUNCTION("""COMPUTED_VALUE"""),9711.97)</f>
        <v/>
      </c>
      <c r="R540" s="6">
        <f>S540&amp;T540</f>
        <v/>
      </c>
      <c r="S540" s="6">
        <f>YEAR(U540)</f>
        <v/>
      </c>
      <c r="T540" s="6">
        <f>MONTH(U540)</f>
        <v/>
      </c>
      <c r="U540" s="267">
        <f>IFERROR(__xludf.DUMMYFUNCTION("""COMPUTED_VALUE"""),43906.6458333333)</f>
        <v/>
      </c>
      <c r="V540" s="6">
        <f>IFERROR(__xludf.DUMMYFUNCTION("""COMPUTED_VALUE"""),1714.86)</f>
        <v/>
      </c>
      <c r="Z540" s="6">
        <f>AA540&amp;AB540</f>
        <v/>
      </c>
      <c r="AA540" s="6">
        <f>YEAR(AC540)</f>
        <v/>
      </c>
      <c r="AB540" s="6">
        <f>MONTH(AC540)</f>
        <v/>
      </c>
      <c r="AC540" s="267">
        <f>IFERROR(__xludf.DUMMYFUNCTION("""COMPUTED_VALUE"""),43667.9986111111)</f>
        <v/>
      </c>
      <c r="AD540" s="6">
        <f>IFERROR(__xludf.DUMMYFUNCTION("""COMPUTED_VALUE"""),1175.11)</f>
        <v/>
      </c>
      <c r="AH540" s="6">
        <f>AI540&amp;AJ540</f>
        <v/>
      </c>
      <c r="AI540" s="6">
        <f>YEAR(AK540)</f>
        <v/>
      </c>
      <c r="AJ540" s="6">
        <f>MONTH(AK540)</f>
        <v/>
      </c>
      <c r="AK540" s="267">
        <f>IFERROR(__xludf.DUMMYFUNCTION("""COMPUTED_VALUE"""),43632.9986111111)</f>
        <v/>
      </c>
      <c r="AL540" s="6">
        <f>IFERROR(__xludf.DUMMYFUNCTION("""COMPUTED_VALUE"""),8973.007)</f>
        <v/>
      </c>
      <c r="AP540" s="6">
        <f>AQ540&amp;AR540</f>
        <v/>
      </c>
      <c r="AQ540" s="6">
        <f>YEAR(AS540)</f>
        <v/>
      </c>
      <c r="AR540" s="6">
        <f>MONTH(AS540)</f>
        <v/>
      </c>
      <c r="AS540" s="267">
        <f>IFERROR(__xludf.DUMMYFUNCTION("""COMPUTED_VALUE"""),43892.9986111111)</f>
        <v/>
      </c>
      <c r="AT540" s="6">
        <f>IFERROR(__xludf.DUMMYFUNCTION("""COMPUTED_VALUE"""),1594.8)</f>
        <v/>
      </c>
    </row>
    <row r="541">
      <c r="B541" s="6">
        <f>C541&amp;D541</f>
        <v/>
      </c>
      <c r="C541" s="6">
        <f>YEAR(E541)</f>
        <v/>
      </c>
      <c r="D541" s="6">
        <f>MONTH(E541)</f>
        <v/>
      </c>
      <c r="E541" s="267">
        <f>IFERROR(__xludf.DUMMYFUNCTION("""COMPUTED_VALUE"""),43882.6666666666)</f>
        <v/>
      </c>
      <c r="F541" s="6">
        <f>IFERROR(__xludf.DUMMYFUNCTION("""COMPUTED_VALUE"""),3337.75)</f>
        <v/>
      </c>
      <c r="J541" s="6">
        <f>K541&amp;L541</f>
        <v/>
      </c>
      <c r="K541" s="6">
        <f>YEAR(M541)</f>
        <v/>
      </c>
      <c r="L541" s="6">
        <f>MONTH(M541)</f>
        <v/>
      </c>
      <c r="M541" s="267">
        <f>IFERROR(__xludf.DUMMYFUNCTION("""COMPUTED_VALUE"""),43875.6666666666)</f>
        <v/>
      </c>
      <c r="N541" s="6">
        <f>IFERROR(__xludf.DUMMYFUNCTION("""COMPUTED_VALUE"""),9731.18)</f>
        <v/>
      </c>
      <c r="R541" s="6">
        <f>S541&amp;T541</f>
        <v/>
      </c>
      <c r="S541" s="6">
        <f>YEAR(U541)</f>
        <v/>
      </c>
      <c r="T541" s="6">
        <f>MONTH(U541)</f>
        <v/>
      </c>
      <c r="U541" s="267">
        <f>IFERROR(__xludf.DUMMYFUNCTION("""COMPUTED_VALUE"""),43907.6458333333)</f>
        <v/>
      </c>
      <c r="V541" s="6">
        <f>IFERROR(__xludf.DUMMYFUNCTION("""COMPUTED_VALUE"""),1672.44)</f>
        <v/>
      </c>
      <c r="Z541" s="6">
        <f>AA541&amp;AB541</f>
        <v/>
      </c>
      <c r="AA541" s="6">
        <f>YEAR(AC541)</f>
        <v/>
      </c>
      <c r="AB541" s="6">
        <f>MONTH(AC541)</f>
        <v/>
      </c>
      <c r="AC541" s="267">
        <f>IFERROR(__xludf.DUMMYFUNCTION("""COMPUTED_VALUE"""),43668.9986111111)</f>
        <v/>
      </c>
      <c r="AD541" s="6">
        <f>IFERROR(__xludf.DUMMYFUNCTION("""COMPUTED_VALUE"""),1174.76)</f>
        <v/>
      </c>
      <c r="AH541" s="6">
        <f>AI541&amp;AJ541</f>
        <v/>
      </c>
      <c r="AI541" s="6">
        <f>YEAR(AK541)</f>
        <v/>
      </c>
      <c r="AJ541" s="6">
        <f>MONTH(AK541)</f>
        <v/>
      </c>
      <c r="AK541" s="267">
        <f>IFERROR(__xludf.DUMMYFUNCTION("""COMPUTED_VALUE"""),43633.9986111111)</f>
        <v/>
      </c>
      <c r="AL541" s="6">
        <f>IFERROR(__xludf.DUMMYFUNCTION("""COMPUTED_VALUE"""),9331.599)</f>
        <v/>
      </c>
      <c r="AP541" s="6">
        <f>AQ541&amp;AR541</f>
        <v/>
      </c>
      <c r="AQ541" s="6">
        <f>YEAR(AS541)</f>
        <v/>
      </c>
      <c r="AR541" s="6">
        <f>MONTH(AS541)</f>
        <v/>
      </c>
      <c r="AS541" s="267">
        <f>IFERROR(__xludf.DUMMYFUNCTION("""COMPUTED_VALUE"""),43893.9986111111)</f>
        <v/>
      </c>
      <c r="AT541" s="6">
        <f>IFERROR(__xludf.DUMMYFUNCTION("""COMPUTED_VALUE"""),1644.4)</f>
        <v/>
      </c>
    </row>
    <row r="542">
      <c r="B542" s="6">
        <f>C542&amp;D542</f>
        <v/>
      </c>
      <c r="C542" s="6">
        <f>YEAR(E542)</f>
        <v/>
      </c>
      <c r="D542" s="6">
        <f>MONTH(E542)</f>
        <v/>
      </c>
      <c r="E542" s="267">
        <f>IFERROR(__xludf.DUMMYFUNCTION("""COMPUTED_VALUE"""),43885.6666666666)</f>
        <v/>
      </c>
      <c r="F542" s="6">
        <f>IFERROR(__xludf.DUMMYFUNCTION("""COMPUTED_VALUE"""),3225.89)</f>
        <v/>
      </c>
      <c r="J542" s="6">
        <f>K542&amp;L542</f>
        <v/>
      </c>
      <c r="K542" s="6">
        <f>YEAR(M542)</f>
        <v/>
      </c>
      <c r="L542" s="6">
        <f>MONTH(M542)</f>
        <v/>
      </c>
      <c r="M542" s="267">
        <f>IFERROR(__xludf.DUMMYFUNCTION("""COMPUTED_VALUE"""),43879.6666666666)</f>
        <v/>
      </c>
      <c r="N542" s="6">
        <f>IFERROR(__xludf.DUMMYFUNCTION("""COMPUTED_VALUE"""),9732.74)</f>
        <v/>
      </c>
      <c r="R542" s="6">
        <f>S542&amp;T542</f>
        <v/>
      </c>
      <c r="S542" s="6">
        <f>YEAR(U542)</f>
        <v/>
      </c>
      <c r="T542" s="6">
        <f>MONTH(U542)</f>
        <v/>
      </c>
      <c r="U542" s="267">
        <f>IFERROR(__xludf.DUMMYFUNCTION("""COMPUTED_VALUE"""),43908.6458333333)</f>
        <v/>
      </c>
      <c r="V542" s="6">
        <f>IFERROR(__xludf.DUMMYFUNCTION("""COMPUTED_VALUE"""),1591.2)</f>
        <v/>
      </c>
      <c r="Z542" s="6">
        <f>AA542&amp;AB542</f>
        <v/>
      </c>
      <c r="AA542" s="6">
        <f>YEAR(AC542)</f>
        <v/>
      </c>
      <c r="AB542" s="6">
        <f>MONTH(AC542)</f>
        <v/>
      </c>
      <c r="AC542" s="267">
        <f>IFERROR(__xludf.DUMMYFUNCTION("""COMPUTED_VALUE"""),43669.9986111111)</f>
        <v/>
      </c>
      <c r="AD542" s="6">
        <f>IFERROR(__xludf.DUMMYFUNCTION("""COMPUTED_VALUE"""),1176.8)</f>
        <v/>
      </c>
      <c r="AH542" s="6">
        <f>AI542&amp;AJ542</f>
        <v/>
      </c>
      <c r="AI542" s="6">
        <f>YEAR(AK542)</f>
        <v/>
      </c>
      <c r="AJ542" s="6">
        <f>MONTH(AK542)</f>
        <v/>
      </c>
      <c r="AK542" s="267">
        <f>IFERROR(__xludf.DUMMYFUNCTION("""COMPUTED_VALUE"""),43634.9986111111)</f>
        <v/>
      </c>
      <c r="AL542" s="6">
        <f>IFERROR(__xludf.DUMMYFUNCTION("""COMPUTED_VALUE"""),9074.902)</f>
        <v/>
      </c>
      <c r="AP542" s="6">
        <f>AQ542&amp;AR542</f>
        <v/>
      </c>
      <c r="AQ542" s="6">
        <f>YEAR(AS542)</f>
        <v/>
      </c>
      <c r="AR542" s="6">
        <f>MONTH(AS542)</f>
        <v/>
      </c>
      <c r="AS542" s="267">
        <f>IFERROR(__xludf.DUMMYFUNCTION("""COMPUTED_VALUE"""),43894.9986111111)</f>
        <v/>
      </c>
      <c r="AT542" s="6">
        <f>IFERROR(__xludf.DUMMYFUNCTION("""COMPUTED_VALUE"""),1643)</f>
        <v/>
      </c>
    </row>
    <row r="543">
      <c r="B543" s="6">
        <f>C543&amp;D543</f>
        <v/>
      </c>
      <c r="C543" s="6">
        <f>YEAR(E543)</f>
        <v/>
      </c>
      <c r="D543" s="6">
        <f>MONTH(E543)</f>
        <v/>
      </c>
      <c r="E543" s="267">
        <f>IFERROR(__xludf.DUMMYFUNCTION("""COMPUTED_VALUE"""),43886.6666666666)</f>
        <v/>
      </c>
      <c r="F543" s="6">
        <f>IFERROR(__xludf.DUMMYFUNCTION("""COMPUTED_VALUE"""),3128.21)</f>
        <v/>
      </c>
      <c r="J543" s="6">
        <f>K543&amp;L543</f>
        <v/>
      </c>
      <c r="K543" s="6">
        <f>YEAR(M543)</f>
        <v/>
      </c>
      <c r="L543" s="6">
        <f>MONTH(M543)</f>
        <v/>
      </c>
      <c r="M543" s="267">
        <f>IFERROR(__xludf.DUMMYFUNCTION("""COMPUTED_VALUE"""),43880.6666666666)</f>
        <v/>
      </c>
      <c r="N543" s="6">
        <f>IFERROR(__xludf.DUMMYFUNCTION("""COMPUTED_VALUE"""),9817.18)</f>
        <v/>
      </c>
      <c r="R543" s="6">
        <f>S543&amp;T543</f>
        <v/>
      </c>
      <c r="S543" s="6">
        <f>YEAR(U543)</f>
        <v/>
      </c>
      <c r="T543" s="6">
        <f>MONTH(U543)</f>
        <v/>
      </c>
      <c r="U543" s="267">
        <f>IFERROR(__xludf.DUMMYFUNCTION("""COMPUTED_VALUE"""),43909.6458333333)</f>
        <v/>
      </c>
      <c r="V543" s="6">
        <f>IFERROR(__xludf.DUMMYFUNCTION("""COMPUTED_VALUE"""),1457.64)</f>
        <v/>
      </c>
      <c r="Z543" s="6">
        <f>AA543&amp;AB543</f>
        <v/>
      </c>
      <c r="AA543" s="6">
        <f>YEAR(AC543)</f>
        <v/>
      </c>
      <c r="AB543" s="6">
        <f>MONTH(AC543)</f>
        <v/>
      </c>
      <c r="AC543" s="267">
        <f>IFERROR(__xludf.DUMMYFUNCTION("""COMPUTED_VALUE"""),43670.9986111111)</f>
        <v/>
      </c>
      <c r="AD543" s="6">
        <f>IFERROR(__xludf.DUMMYFUNCTION("""COMPUTED_VALUE"""),1176.55)</f>
        <v/>
      </c>
      <c r="AH543" s="6">
        <f>AI543&amp;AJ543</f>
        <v/>
      </c>
      <c r="AI543" s="6">
        <f>YEAR(AK543)</f>
        <v/>
      </c>
      <c r="AJ543" s="6">
        <f>MONTH(AK543)</f>
        <v/>
      </c>
      <c r="AK543" s="267">
        <f>IFERROR(__xludf.DUMMYFUNCTION("""COMPUTED_VALUE"""),43635.9986111111)</f>
        <v/>
      </c>
      <c r="AL543" s="6">
        <f>IFERROR(__xludf.DUMMYFUNCTION("""COMPUTED_VALUE"""),9276.275)</f>
        <v/>
      </c>
      <c r="AP543" s="6">
        <f>AQ543&amp;AR543</f>
        <v/>
      </c>
      <c r="AQ543" s="6">
        <f>YEAR(AS543)</f>
        <v/>
      </c>
      <c r="AR543" s="6">
        <f>MONTH(AS543)</f>
        <v/>
      </c>
      <c r="AS543" s="267">
        <f>IFERROR(__xludf.DUMMYFUNCTION("""COMPUTED_VALUE"""),43895.9986111111)</f>
        <v/>
      </c>
      <c r="AT543" s="6">
        <f>IFERROR(__xludf.DUMMYFUNCTION("""COMPUTED_VALUE"""),1668)</f>
        <v/>
      </c>
    </row>
    <row r="544">
      <c r="B544" s="6">
        <f>C544&amp;D544</f>
        <v/>
      </c>
      <c r="C544" s="6">
        <f>YEAR(E544)</f>
        <v/>
      </c>
      <c r="D544" s="6">
        <f>MONTH(E544)</f>
        <v/>
      </c>
      <c r="E544" s="267">
        <f>IFERROR(__xludf.DUMMYFUNCTION("""COMPUTED_VALUE"""),43887.6666666666)</f>
        <v/>
      </c>
      <c r="F544" s="6">
        <f>IFERROR(__xludf.DUMMYFUNCTION("""COMPUTED_VALUE"""),3116.39)</f>
        <v/>
      </c>
      <c r="J544" s="6">
        <f>K544&amp;L544</f>
        <v/>
      </c>
      <c r="K544" s="6">
        <f>YEAR(M544)</f>
        <v/>
      </c>
      <c r="L544" s="6">
        <f>MONTH(M544)</f>
        <v/>
      </c>
      <c r="M544" s="267">
        <f>IFERROR(__xludf.DUMMYFUNCTION("""COMPUTED_VALUE"""),43881.6666666666)</f>
        <v/>
      </c>
      <c r="N544" s="6">
        <f>IFERROR(__xludf.DUMMYFUNCTION("""COMPUTED_VALUE"""),9750.97)</f>
        <v/>
      </c>
      <c r="R544" s="6">
        <f>S544&amp;T544</f>
        <v/>
      </c>
      <c r="S544" s="6">
        <f>YEAR(U544)</f>
        <v/>
      </c>
      <c r="T544" s="6">
        <f>MONTH(U544)</f>
        <v/>
      </c>
      <c r="U544" s="267">
        <f>IFERROR(__xludf.DUMMYFUNCTION("""COMPUTED_VALUE"""),43910.6458333333)</f>
        <v/>
      </c>
      <c r="V544" s="6">
        <f>IFERROR(__xludf.DUMMYFUNCTION("""COMPUTED_VALUE"""),1566.15)</f>
        <v/>
      </c>
      <c r="Z544" s="6">
        <f>AA544&amp;AB544</f>
        <v/>
      </c>
      <c r="AA544" s="6">
        <f>YEAR(AC544)</f>
        <v/>
      </c>
      <c r="AB544" s="6">
        <f>MONTH(AC544)</f>
        <v/>
      </c>
      <c r="AC544" s="267">
        <f>IFERROR(__xludf.DUMMYFUNCTION("""COMPUTED_VALUE"""),43671.9986111111)</f>
        <v/>
      </c>
      <c r="AD544" s="6">
        <f>IFERROR(__xludf.DUMMYFUNCTION("""COMPUTED_VALUE"""),1182.39)</f>
        <v/>
      </c>
      <c r="AH544" s="6">
        <f>AI544&amp;AJ544</f>
        <v/>
      </c>
      <c r="AI544" s="6">
        <f>YEAR(AK544)</f>
        <v/>
      </c>
      <c r="AJ544" s="6">
        <f>MONTH(AK544)</f>
        <v/>
      </c>
      <c r="AK544" s="267">
        <f>IFERROR(__xludf.DUMMYFUNCTION("""COMPUTED_VALUE"""),43636.9986111111)</f>
        <v/>
      </c>
      <c r="AL544" s="6">
        <f>IFERROR(__xludf.DUMMYFUNCTION("""COMPUTED_VALUE"""),9534.129)</f>
        <v/>
      </c>
      <c r="AP544" s="6">
        <f>AQ544&amp;AR544</f>
        <v/>
      </c>
      <c r="AQ544" s="6">
        <f>YEAR(AS544)</f>
        <v/>
      </c>
      <c r="AR544" s="6">
        <f>MONTH(AS544)</f>
        <v/>
      </c>
      <c r="AS544" s="267">
        <f>IFERROR(__xludf.DUMMYFUNCTION("""COMPUTED_VALUE"""),43896.9986111111)</f>
        <v/>
      </c>
      <c r="AT544" s="6">
        <f>IFERROR(__xludf.DUMMYFUNCTION("""COMPUTED_VALUE"""),1672.4)</f>
        <v/>
      </c>
    </row>
    <row r="545">
      <c r="B545" s="6">
        <f>C545&amp;D545</f>
        <v/>
      </c>
      <c r="C545" s="6">
        <f>YEAR(E545)</f>
        <v/>
      </c>
      <c r="D545" s="6">
        <f>MONTH(E545)</f>
        <v/>
      </c>
      <c r="E545" s="267">
        <f>IFERROR(__xludf.DUMMYFUNCTION("""COMPUTED_VALUE"""),43888.6666666666)</f>
        <v/>
      </c>
      <c r="F545" s="6">
        <f>IFERROR(__xludf.DUMMYFUNCTION("""COMPUTED_VALUE"""),2978.76)</f>
        <v/>
      </c>
      <c r="J545" s="6">
        <f>K545&amp;L545</f>
        <v/>
      </c>
      <c r="K545" s="6">
        <f>YEAR(M545)</f>
        <v/>
      </c>
      <c r="L545" s="6">
        <f>MONTH(M545)</f>
        <v/>
      </c>
      <c r="M545" s="267">
        <f>IFERROR(__xludf.DUMMYFUNCTION("""COMPUTED_VALUE"""),43882.6666666666)</f>
        <v/>
      </c>
      <c r="N545" s="6">
        <f>IFERROR(__xludf.DUMMYFUNCTION("""COMPUTED_VALUE"""),9576.59)</f>
        <v/>
      </c>
      <c r="R545" s="6">
        <f>S545&amp;T545</f>
        <v/>
      </c>
      <c r="S545" s="6">
        <f>YEAR(U545)</f>
        <v/>
      </c>
      <c r="T545" s="6">
        <f>MONTH(U545)</f>
        <v/>
      </c>
      <c r="U545" s="267">
        <f>IFERROR(__xludf.DUMMYFUNCTION("""COMPUTED_VALUE"""),43913.6458333333)</f>
        <v/>
      </c>
      <c r="V545" s="6">
        <f>IFERROR(__xludf.DUMMYFUNCTION("""COMPUTED_VALUE"""),1482.46)</f>
        <v/>
      </c>
      <c r="Z545" s="6">
        <f>AA545&amp;AB545</f>
        <v/>
      </c>
      <c r="AA545" s="6">
        <f>YEAR(AC545)</f>
        <v/>
      </c>
      <c r="AB545" s="6">
        <f>MONTH(AC545)</f>
        <v/>
      </c>
      <c r="AC545" s="267">
        <f>IFERROR(__xludf.DUMMYFUNCTION("""COMPUTED_VALUE"""),43672.9986111111)</f>
        <v/>
      </c>
      <c r="AD545" s="6">
        <f>IFERROR(__xludf.DUMMYFUNCTION("""COMPUTED_VALUE"""),1183.25)</f>
        <v/>
      </c>
      <c r="AH545" s="6">
        <f>AI545&amp;AJ545</f>
        <v/>
      </c>
      <c r="AI545" s="6">
        <f>YEAR(AK545)</f>
        <v/>
      </c>
      <c r="AJ545" s="6">
        <f>MONTH(AK545)</f>
        <v/>
      </c>
      <c r="AK545" s="267">
        <f>IFERROR(__xludf.DUMMYFUNCTION("""COMPUTED_VALUE"""),43637.9986111111)</f>
        <v/>
      </c>
      <c r="AL545" s="6">
        <f>IFERROR(__xludf.DUMMYFUNCTION("""COMPUTED_VALUE"""),10210.77)</f>
        <v/>
      </c>
      <c r="AP545" s="6">
        <f>AQ545&amp;AR545</f>
        <v/>
      </c>
      <c r="AQ545" s="6">
        <f>YEAR(AS545)</f>
        <v/>
      </c>
      <c r="AR545" s="6">
        <f>MONTH(AS545)</f>
        <v/>
      </c>
      <c r="AS545" s="267">
        <f>IFERROR(__xludf.DUMMYFUNCTION("""COMPUTED_VALUE"""),43899.9986111111)</f>
        <v/>
      </c>
      <c r="AT545" s="6">
        <f>IFERROR(__xludf.DUMMYFUNCTION("""COMPUTED_VALUE"""),1675.7)</f>
        <v/>
      </c>
    </row>
    <row r="546">
      <c r="B546" s="6">
        <f>C546&amp;D546</f>
        <v/>
      </c>
      <c r="C546" s="6">
        <f>YEAR(E546)</f>
        <v/>
      </c>
      <c r="D546" s="6">
        <f>MONTH(E546)</f>
        <v/>
      </c>
      <c r="E546" s="267">
        <f>IFERROR(__xludf.DUMMYFUNCTION("""COMPUTED_VALUE"""),43889.6666666666)</f>
        <v/>
      </c>
      <c r="F546" s="6">
        <f>IFERROR(__xludf.DUMMYFUNCTION("""COMPUTED_VALUE"""),2954.22)</f>
        <v/>
      </c>
      <c r="J546" s="6">
        <f>K546&amp;L546</f>
        <v/>
      </c>
      <c r="K546" s="6">
        <f>YEAR(M546)</f>
        <v/>
      </c>
      <c r="L546" s="6">
        <f>MONTH(M546)</f>
        <v/>
      </c>
      <c r="M546" s="267">
        <f>IFERROR(__xludf.DUMMYFUNCTION("""COMPUTED_VALUE"""),43885.6666666666)</f>
        <v/>
      </c>
      <c r="N546" s="6">
        <f>IFERROR(__xludf.DUMMYFUNCTION("""COMPUTED_VALUE"""),9221.28)</f>
        <v/>
      </c>
      <c r="R546" s="6">
        <f>S546&amp;T546</f>
        <v/>
      </c>
      <c r="S546" s="6">
        <f>YEAR(U546)</f>
        <v/>
      </c>
      <c r="T546" s="6">
        <f>MONTH(U546)</f>
        <v/>
      </c>
      <c r="U546" s="267">
        <f>IFERROR(__xludf.DUMMYFUNCTION("""COMPUTED_VALUE"""),43914.6458333333)</f>
        <v/>
      </c>
      <c r="V546" s="6">
        <f>IFERROR(__xludf.DUMMYFUNCTION("""COMPUTED_VALUE"""),1609.97)</f>
        <v/>
      </c>
      <c r="Z546" s="6">
        <f>AA546&amp;AB546</f>
        <v/>
      </c>
      <c r="AA546" s="6">
        <f>YEAR(AC546)</f>
        <v/>
      </c>
      <c r="AB546" s="6">
        <f>MONTH(AC546)</f>
        <v/>
      </c>
      <c r="AC546" s="267">
        <f>IFERROR(__xludf.DUMMYFUNCTION("""COMPUTED_VALUE"""),43674.9986111111)</f>
        <v/>
      </c>
      <c r="AD546" s="6">
        <f>IFERROR(__xludf.DUMMYFUNCTION("""COMPUTED_VALUE"""),1183.35)</f>
        <v/>
      </c>
      <c r="AH546" s="6">
        <f>AI546&amp;AJ546</f>
        <v/>
      </c>
      <c r="AI546" s="6">
        <f>YEAR(AK546)</f>
        <v/>
      </c>
      <c r="AJ546" s="6">
        <f>MONTH(AK546)</f>
        <v/>
      </c>
      <c r="AK546" s="267">
        <f>IFERROR(__xludf.DUMMYFUNCTION("""COMPUTED_VALUE"""),43638.9986111111)</f>
        <v/>
      </c>
      <c r="AL546" s="6">
        <f>IFERROR(__xludf.DUMMYFUNCTION("""COMPUTED_VALUE"""),10703.1)</f>
        <v/>
      </c>
      <c r="AP546" s="6">
        <f>AQ546&amp;AR546</f>
        <v/>
      </c>
      <c r="AQ546" s="6">
        <f>YEAR(AS546)</f>
        <v/>
      </c>
      <c r="AR546" s="6">
        <f>MONTH(AS546)</f>
        <v/>
      </c>
      <c r="AS546" s="267">
        <f>IFERROR(__xludf.DUMMYFUNCTION("""COMPUTED_VALUE"""),43900.9986111111)</f>
        <v/>
      </c>
      <c r="AT546" s="6">
        <f>IFERROR(__xludf.DUMMYFUNCTION("""COMPUTED_VALUE"""),1660.3)</f>
        <v/>
      </c>
    </row>
    <row r="547">
      <c r="B547" s="6">
        <f>C547&amp;D547</f>
        <v/>
      </c>
      <c r="C547" s="6">
        <f>YEAR(E547)</f>
        <v/>
      </c>
      <c r="D547" s="6">
        <f>MONTH(E547)</f>
        <v/>
      </c>
      <c r="E547" s="267">
        <f>IFERROR(__xludf.DUMMYFUNCTION("""COMPUTED_VALUE"""),43892.6666666666)</f>
        <v/>
      </c>
      <c r="F547" s="6">
        <f>IFERROR(__xludf.DUMMYFUNCTION("""COMPUTED_VALUE"""),3090.23)</f>
        <v/>
      </c>
      <c r="J547" s="6">
        <f>K547&amp;L547</f>
        <v/>
      </c>
      <c r="K547" s="6">
        <f>YEAR(M547)</f>
        <v/>
      </c>
      <c r="L547" s="6">
        <f>MONTH(M547)</f>
        <v/>
      </c>
      <c r="M547" s="267">
        <f>IFERROR(__xludf.DUMMYFUNCTION("""COMPUTED_VALUE"""),43886.6666666666)</f>
        <v/>
      </c>
      <c r="N547" s="6">
        <f>IFERROR(__xludf.DUMMYFUNCTION("""COMPUTED_VALUE"""),8965.61)</f>
        <v/>
      </c>
      <c r="R547" s="6">
        <f>S547&amp;T547</f>
        <v/>
      </c>
      <c r="S547" s="6">
        <f>YEAR(U547)</f>
        <v/>
      </c>
      <c r="T547" s="6">
        <f>MONTH(U547)</f>
        <v/>
      </c>
      <c r="U547" s="267">
        <f>IFERROR(__xludf.DUMMYFUNCTION("""COMPUTED_VALUE"""),43915.6458333333)</f>
        <v/>
      </c>
      <c r="V547" s="6">
        <f>IFERROR(__xludf.DUMMYFUNCTION("""COMPUTED_VALUE"""),1704.76)</f>
        <v/>
      </c>
      <c r="Z547" s="6">
        <f>AA547&amp;AB547</f>
        <v/>
      </c>
      <c r="AA547" s="6">
        <f>YEAR(AC547)</f>
        <v/>
      </c>
      <c r="AB547" s="6">
        <f>MONTH(AC547)</f>
        <v/>
      </c>
      <c r="AC547" s="267">
        <f>IFERROR(__xludf.DUMMYFUNCTION("""COMPUTED_VALUE"""),43675.9986111111)</f>
        <v/>
      </c>
      <c r="AD547" s="6">
        <f>IFERROR(__xludf.DUMMYFUNCTION("""COMPUTED_VALUE"""),1181.85)</f>
        <v/>
      </c>
      <c r="AH547" s="6">
        <f>AI547&amp;AJ547</f>
        <v/>
      </c>
      <c r="AI547" s="6">
        <f>YEAR(AK547)</f>
        <v/>
      </c>
      <c r="AJ547" s="6">
        <f>MONTH(AK547)</f>
        <v/>
      </c>
      <c r="AK547" s="267">
        <f>IFERROR(__xludf.DUMMYFUNCTION("""COMPUTED_VALUE"""),43639.9986111111)</f>
        <v/>
      </c>
      <c r="AL547" s="6">
        <f>IFERROR(__xludf.DUMMYFUNCTION("""COMPUTED_VALUE"""),10859.55)</f>
        <v/>
      </c>
      <c r="AP547" s="6">
        <f>AQ547&amp;AR547</f>
        <v/>
      </c>
      <c r="AQ547" s="6">
        <f>YEAR(AS547)</f>
        <v/>
      </c>
      <c r="AR547" s="6">
        <f>MONTH(AS547)</f>
        <v/>
      </c>
      <c r="AS547" s="267">
        <f>IFERROR(__xludf.DUMMYFUNCTION("""COMPUTED_VALUE"""),43901.9986111111)</f>
        <v/>
      </c>
      <c r="AT547" s="6">
        <f>IFERROR(__xludf.DUMMYFUNCTION("""COMPUTED_VALUE"""),1642.3)</f>
        <v/>
      </c>
    </row>
    <row r="548">
      <c r="B548" s="6">
        <f>C548&amp;D548</f>
        <v/>
      </c>
      <c r="C548" s="6">
        <f>YEAR(E548)</f>
        <v/>
      </c>
      <c r="D548" s="6">
        <f>MONTH(E548)</f>
        <v/>
      </c>
      <c r="E548" s="267">
        <f>IFERROR(__xludf.DUMMYFUNCTION("""COMPUTED_VALUE"""),43893.6666666666)</f>
        <v/>
      </c>
      <c r="F548" s="6">
        <f>IFERROR(__xludf.DUMMYFUNCTION("""COMPUTED_VALUE"""),3003.37)</f>
        <v/>
      </c>
      <c r="J548" s="6">
        <f>K548&amp;L548</f>
        <v/>
      </c>
      <c r="K548" s="6">
        <f>YEAR(M548)</f>
        <v/>
      </c>
      <c r="L548" s="6">
        <f>MONTH(M548)</f>
        <v/>
      </c>
      <c r="M548" s="267">
        <f>IFERROR(__xludf.DUMMYFUNCTION("""COMPUTED_VALUE"""),43887.6666666666)</f>
        <v/>
      </c>
      <c r="N548" s="6">
        <f>IFERROR(__xludf.DUMMYFUNCTION("""COMPUTED_VALUE"""),8980.78)</f>
        <v/>
      </c>
      <c r="R548" s="6">
        <f>S548&amp;T548</f>
        <v/>
      </c>
      <c r="S548" s="6">
        <f>YEAR(U548)</f>
        <v/>
      </c>
      <c r="T548" s="6">
        <f>MONTH(U548)</f>
        <v/>
      </c>
      <c r="U548" s="267">
        <f>IFERROR(__xludf.DUMMYFUNCTION("""COMPUTED_VALUE"""),43916.6458333333)</f>
        <v/>
      </c>
      <c r="V548" s="6">
        <f>IFERROR(__xludf.DUMMYFUNCTION("""COMPUTED_VALUE"""),1686.24)</f>
        <v/>
      </c>
      <c r="Z548" s="6">
        <f>AA548&amp;AB548</f>
        <v/>
      </c>
      <c r="AA548" s="6">
        <f>YEAR(AC548)</f>
        <v/>
      </c>
      <c r="AB548" s="6">
        <f>MONTH(AC548)</f>
        <v/>
      </c>
      <c r="AC548" s="267">
        <f>IFERROR(__xludf.DUMMYFUNCTION("""COMPUTED_VALUE"""),43676.9986111111)</f>
        <v/>
      </c>
      <c r="AD548" s="6">
        <f>IFERROR(__xludf.DUMMYFUNCTION("""COMPUTED_VALUE"""),1180.65)</f>
        <v/>
      </c>
      <c r="AH548" s="6">
        <f>AI548&amp;AJ548</f>
        <v/>
      </c>
      <c r="AI548" s="6">
        <f>YEAR(AK548)</f>
        <v/>
      </c>
      <c r="AJ548" s="6">
        <f>MONTH(AK548)</f>
        <v/>
      </c>
      <c r="AK548" s="267">
        <f>IFERROR(__xludf.DUMMYFUNCTION("""COMPUTED_VALUE"""),43640.9986111111)</f>
        <v/>
      </c>
      <c r="AL548" s="6">
        <f>IFERROR(__xludf.DUMMYFUNCTION("""COMPUTED_VALUE"""),11037.08)</f>
        <v/>
      </c>
      <c r="AP548" s="6">
        <f>AQ548&amp;AR548</f>
        <v/>
      </c>
      <c r="AQ548" s="6">
        <f>YEAR(AS548)</f>
        <v/>
      </c>
      <c r="AR548" s="6">
        <f>MONTH(AS548)</f>
        <v/>
      </c>
      <c r="AS548" s="267">
        <f>IFERROR(__xludf.DUMMYFUNCTION("""COMPUTED_VALUE"""),43902.9986111111)</f>
        <v/>
      </c>
      <c r="AT548" s="6">
        <f>IFERROR(__xludf.DUMMYFUNCTION("""COMPUTED_VALUE"""),1590.3)</f>
        <v/>
      </c>
    </row>
    <row r="549">
      <c r="B549" s="6">
        <f>C549&amp;D549</f>
        <v/>
      </c>
      <c r="C549" s="6">
        <f>YEAR(E549)</f>
        <v/>
      </c>
      <c r="D549" s="6">
        <f>MONTH(E549)</f>
        <v/>
      </c>
      <c r="E549" s="267">
        <f>IFERROR(__xludf.DUMMYFUNCTION("""COMPUTED_VALUE"""),43894.6666666666)</f>
        <v/>
      </c>
      <c r="F549" s="6">
        <f>IFERROR(__xludf.DUMMYFUNCTION("""COMPUTED_VALUE"""),3130.12)</f>
        <v/>
      </c>
      <c r="J549" s="6">
        <f>K549&amp;L549</f>
        <v/>
      </c>
      <c r="K549" s="6">
        <f>YEAR(M549)</f>
        <v/>
      </c>
      <c r="L549" s="6">
        <f>MONTH(M549)</f>
        <v/>
      </c>
      <c r="M549" s="267">
        <f>IFERROR(__xludf.DUMMYFUNCTION("""COMPUTED_VALUE"""),43888.6666666666)</f>
        <v/>
      </c>
      <c r="N549" s="6">
        <f>IFERROR(__xludf.DUMMYFUNCTION("""COMPUTED_VALUE"""),8566.48)</f>
        <v/>
      </c>
      <c r="R549" s="6">
        <f>S549&amp;T549</f>
        <v/>
      </c>
      <c r="S549" s="6">
        <f>YEAR(U549)</f>
        <v/>
      </c>
      <c r="T549" s="6">
        <f>MONTH(U549)</f>
        <v/>
      </c>
      <c r="U549" s="267">
        <f>IFERROR(__xludf.DUMMYFUNCTION("""COMPUTED_VALUE"""),43917.6458333333)</f>
        <v/>
      </c>
      <c r="V549" s="6">
        <f>IFERROR(__xludf.DUMMYFUNCTION("""COMPUTED_VALUE"""),1717.73)</f>
        <v/>
      </c>
      <c r="Z549" s="6">
        <f>AA549&amp;AB549</f>
        <v/>
      </c>
      <c r="AA549" s="6">
        <f>YEAR(AC549)</f>
        <v/>
      </c>
      <c r="AB549" s="6">
        <f>MONTH(AC549)</f>
        <v/>
      </c>
      <c r="AC549" s="267">
        <f>IFERROR(__xludf.DUMMYFUNCTION("""COMPUTED_VALUE"""),43677.9986111111)</f>
        <v/>
      </c>
      <c r="AD549" s="6">
        <f>IFERROR(__xludf.DUMMYFUNCTION("""COMPUTED_VALUE"""),1186.31)</f>
        <v/>
      </c>
      <c r="AH549" s="6">
        <f>AI549&amp;AJ549</f>
        <v/>
      </c>
      <c r="AI549" s="6">
        <f>YEAR(AK549)</f>
        <v/>
      </c>
      <c r="AJ549" s="6">
        <f>MONTH(AK549)</f>
        <v/>
      </c>
      <c r="AK549" s="267">
        <f>IFERROR(__xludf.DUMMYFUNCTION("""COMPUTED_VALUE"""),43641.9986111111)</f>
        <v/>
      </c>
      <c r="AL549" s="6">
        <f>IFERROR(__xludf.DUMMYFUNCTION("""COMPUTED_VALUE"""),11740.15)</f>
        <v/>
      </c>
      <c r="AP549" s="6">
        <f>AQ549&amp;AR549</f>
        <v/>
      </c>
      <c r="AQ549" s="6">
        <f>YEAR(AS549)</f>
        <v/>
      </c>
      <c r="AR549" s="6">
        <f>MONTH(AS549)</f>
        <v/>
      </c>
      <c r="AS549" s="267">
        <f>IFERROR(__xludf.DUMMYFUNCTION("""COMPUTED_VALUE"""),43903.9986111111)</f>
        <v/>
      </c>
      <c r="AT549" s="6">
        <f>IFERROR(__xludf.DUMMYFUNCTION("""COMPUTED_VALUE"""),1516.7)</f>
        <v/>
      </c>
    </row>
    <row r="550">
      <c r="B550" s="6">
        <f>C550&amp;D550</f>
        <v/>
      </c>
      <c r="C550" s="6">
        <f>YEAR(E550)</f>
        <v/>
      </c>
      <c r="D550" s="6">
        <f>MONTH(E550)</f>
        <v/>
      </c>
      <c r="E550" s="267">
        <f>IFERROR(__xludf.DUMMYFUNCTION("""COMPUTED_VALUE"""),43895.6666666666)</f>
        <v/>
      </c>
      <c r="F550" s="6">
        <f>IFERROR(__xludf.DUMMYFUNCTION("""COMPUTED_VALUE"""),3023.94)</f>
        <v/>
      </c>
      <c r="J550" s="6">
        <f>K550&amp;L550</f>
        <v/>
      </c>
      <c r="K550" s="6">
        <f>YEAR(M550)</f>
        <v/>
      </c>
      <c r="L550" s="6">
        <f>MONTH(M550)</f>
        <v/>
      </c>
      <c r="M550" s="267">
        <f>IFERROR(__xludf.DUMMYFUNCTION("""COMPUTED_VALUE"""),43889.6666666666)</f>
        <v/>
      </c>
      <c r="N550" s="6">
        <f>IFERROR(__xludf.DUMMYFUNCTION("""COMPUTED_VALUE"""),8567.37)</f>
        <v/>
      </c>
      <c r="R550" s="6">
        <f>S550&amp;T550</f>
        <v/>
      </c>
      <c r="S550" s="6">
        <f>YEAR(U550)</f>
        <v/>
      </c>
      <c r="T550" s="6">
        <f>MONTH(U550)</f>
        <v/>
      </c>
      <c r="U550" s="267">
        <f>IFERROR(__xludf.DUMMYFUNCTION("""COMPUTED_VALUE"""),43920.6458333333)</f>
        <v/>
      </c>
      <c r="V550" s="6">
        <f>IFERROR(__xludf.DUMMYFUNCTION("""COMPUTED_VALUE"""),1717.12)</f>
        <v/>
      </c>
      <c r="Z550" s="6">
        <f>AA550&amp;AB550</f>
        <v/>
      </c>
      <c r="AA550" s="6">
        <f>YEAR(AC550)</f>
        <v/>
      </c>
      <c r="AB550" s="6">
        <f>MONTH(AC550)</f>
        <v/>
      </c>
      <c r="AC550" s="267">
        <f>IFERROR(__xludf.DUMMYFUNCTION("""COMPUTED_VALUE"""),43678.9986111111)</f>
        <v/>
      </c>
      <c r="AD550" s="6">
        <f>IFERROR(__xludf.DUMMYFUNCTION("""COMPUTED_VALUE"""),1194.75)</f>
        <v/>
      </c>
      <c r="AH550" s="6">
        <f>AI550&amp;AJ550</f>
        <v/>
      </c>
      <c r="AI550" s="6">
        <f>YEAR(AK550)</f>
        <v/>
      </c>
      <c r="AJ550" s="6">
        <f>MONTH(AK550)</f>
        <v/>
      </c>
      <c r="AK550" s="267">
        <f>IFERROR(__xludf.DUMMYFUNCTION("""COMPUTED_VALUE"""),43642.9986111111)</f>
        <v/>
      </c>
      <c r="AL550" s="6">
        <f>IFERROR(__xludf.DUMMYFUNCTION("""COMPUTED_VALUE"""),12938.37)</f>
        <v/>
      </c>
      <c r="AP550" s="6">
        <f>AQ550&amp;AR550</f>
        <v/>
      </c>
      <c r="AQ550" s="6">
        <f>YEAR(AS550)</f>
        <v/>
      </c>
      <c r="AR550" s="6">
        <f>MONTH(AS550)</f>
        <v/>
      </c>
      <c r="AS550" s="267">
        <f>IFERROR(__xludf.DUMMYFUNCTION("""COMPUTED_VALUE"""),43906.9986111111)</f>
        <v/>
      </c>
      <c r="AT550" s="6">
        <f>IFERROR(__xludf.DUMMYFUNCTION("""COMPUTED_VALUE"""),1486.5)</f>
        <v/>
      </c>
    </row>
    <row r="551">
      <c r="B551" s="6">
        <f>C551&amp;D551</f>
        <v/>
      </c>
      <c r="C551" s="6">
        <f>YEAR(E551)</f>
        <v/>
      </c>
      <c r="D551" s="6">
        <f>MONTH(E551)</f>
        <v/>
      </c>
      <c r="E551" s="267">
        <f>IFERROR(__xludf.DUMMYFUNCTION("""COMPUTED_VALUE"""),43896.6666666666)</f>
        <v/>
      </c>
      <c r="F551" s="6">
        <f>IFERROR(__xludf.DUMMYFUNCTION("""COMPUTED_VALUE"""),2972.37)</f>
        <v/>
      </c>
      <c r="J551" s="6">
        <f>K551&amp;L551</f>
        <v/>
      </c>
      <c r="K551" s="6">
        <f>YEAR(M551)</f>
        <v/>
      </c>
      <c r="L551" s="6">
        <f>MONTH(M551)</f>
        <v/>
      </c>
      <c r="M551" s="267">
        <f>IFERROR(__xludf.DUMMYFUNCTION("""COMPUTED_VALUE"""),43892.6666666666)</f>
        <v/>
      </c>
      <c r="N551" s="6">
        <f>IFERROR(__xludf.DUMMYFUNCTION("""COMPUTED_VALUE"""),8952.17)</f>
        <v/>
      </c>
      <c r="R551" s="6">
        <f>S551&amp;T551</f>
        <v/>
      </c>
      <c r="S551" s="6">
        <f>YEAR(U551)</f>
        <v/>
      </c>
      <c r="T551" s="6">
        <f>MONTH(U551)</f>
        <v/>
      </c>
      <c r="U551" s="267">
        <f>IFERROR(__xludf.DUMMYFUNCTION("""COMPUTED_VALUE"""),43921.6458333333)</f>
        <v/>
      </c>
      <c r="V551" s="6">
        <f>IFERROR(__xludf.DUMMYFUNCTION("""COMPUTED_VALUE"""),1754.64)</f>
        <v/>
      </c>
      <c r="Z551" s="6">
        <f>AA551&amp;AB551</f>
        <v/>
      </c>
      <c r="AA551" s="6">
        <f>YEAR(AC551)</f>
        <v/>
      </c>
      <c r="AB551" s="6">
        <f>MONTH(AC551)</f>
        <v/>
      </c>
      <c r="AC551" s="267">
        <f>IFERROR(__xludf.DUMMYFUNCTION("""COMPUTED_VALUE"""),43679.9986111111)</f>
        <v/>
      </c>
      <c r="AD551" s="6">
        <f>IFERROR(__xludf.DUMMYFUNCTION("""COMPUTED_VALUE"""),1204.51)</f>
        <v/>
      </c>
      <c r="AH551" s="6">
        <f>AI551&amp;AJ551</f>
        <v/>
      </c>
      <c r="AI551" s="6">
        <f>YEAR(AK551)</f>
        <v/>
      </c>
      <c r="AJ551" s="6">
        <f>MONTH(AK551)</f>
        <v/>
      </c>
      <c r="AK551" s="267">
        <f>IFERROR(__xludf.DUMMYFUNCTION("""COMPUTED_VALUE"""),43643.9986111111)</f>
        <v/>
      </c>
      <c r="AL551" s="6">
        <f>IFERROR(__xludf.DUMMYFUNCTION("""COMPUTED_VALUE"""),11133.89)</f>
        <v/>
      </c>
      <c r="AP551" s="6">
        <f>AQ551&amp;AR551</f>
        <v/>
      </c>
      <c r="AQ551" s="6">
        <f>YEAR(AS551)</f>
        <v/>
      </c>
      <c r="AR551" s="6">
        <f>MONTH(AS551)</f>
        <v/>
      </c>
      <c r="AS551" s="267">
        <f>IFERROR(__xludf.DUMMYFUNCTION("""COMPUTED_VALUE"""),43907.9986111111)</f>
        <v/>
      </c>
      <c r="AT551" s="6">
        <f>IFERROR(__xludf.DUMMYFUNCTION("""COMPUTED_VALUE"""),1525.8)</f>
        <v/>
      </c>
    </row>
    <row r="552">
      <c r="B552" s="6">
        <f>C552&amp;D552</f>
        <v/>
      </c>
      <c r="C552" s="6">
        <f>YEAR(E552)</f>
        <v/>
      </c>
      <c r="D552" s="6">
        <f>MONTH(E552)</f>
        <v/>
      </c>
      <c r="E552" s="267">
        <f>IFERROR(__xludf.DUMMYFUNCTION("""COMPUTED_VALUE"""),43899.6666666666)</f>
        <v/>
      </c>
      <c r="F552" s="6">
        <f>IFERROR(__xludf.DUMMYFUNCTION("""COMPUTED_VALUE"""),2746.56)</f>
        <v/>
      </c>
      <c r="J552" s="6">
        <f>K552&amp;L552</f>
        <v/>
      </c>
      <c r="K552" s="6">
        <f>YEAR(M552)</f>
        <v/>
      </c>
      <c r="L552" s="6">
        <f>MONTH(M552)</f>
        <v/>
      </c>
      <c r="M552" s="267">
        <f>IFERROR(__xludf.DUMMYFUNCTION("""COMPUTED_VALUE"""),43893.6666666666)</f>
        <v/>
      </c>
      <c r="N552" s="6">
        <f>IFERROR(__xludf.DUMMYFUNCTION("""COMPUTED_VALUE"""),8684.09)</f>
        <v/>
      </c>
      <c r="R552" s="6">
        <f>S552&amp;T552</f>
        <v/>
      </c>
      <c r="S552" s="6">
        <f>YEAR(U552)</f>
        <v/>
      </c>
      <c r="T552" s="6">
        <f>MONTH(U552)</f>
        <v/>
      </c>
      <c r="U552" s="267">
        <f>IFERROR(__xludf.DUMMYFUNCTION("""COMPUTED_VALUE"""),43922.6458333333)</f>
        <v/>
      </c>
      <c r="V552" s="6">
        <f>IFERROR(__xludf.DUMMYFUNCTION("""COMPUTED_VALUE"""),1685.46)</f>
        <v/>
      </c>
      <c r="Z552" s="6">
        <f>AA552&amp;AB552</f>
        <v/>
      </c>
      <c r="AA552" s="6">
        <f>YEAR(AC552)</f>
        <v/>
      </c>
      <c r="AB552" s="6">
        <f>MONTH(AC552)</f>
        <v/>
      </c>
      <c r="AC552" s="267">
        <f>IFERROR(__xludf.DUMMYFUNCTION("""COMPUTED_VALUE"""),43681.9986111111)</f>
        <v/>
      </c>
      <c r="AD552" s="6">
        <f>IFERROR(__xludf.DUMMYFUNCTION("""COMPUTED_VALUE"""),1203.94)</f>
        <v/>
      </c>
      <c r="AH552" s="6">
        <f>AI552&amp;AJ552</f>
        <v/>
      </c>
      <c r="AI552" s="6">
        <f>YEAR(AK552)</f>
        <v/>
      </c>
      <c r="AJ552" s="6">
        <f>MONTH(AK552)</f>
        <v/>
      </c>
      <c r="AK552" s="267">
        <f>IFERROR(__xludf.DUMMYFUNCTION("""COMPUTED_VALUE"""),43644.9986111111)</f>
        <v/>
      </c>
      <c r="AL552" s="6">
        <f>IFERROR(__xludf.DUMMYFUNCTION("""COMPUTED_VALUE"""),12363.4)</f>
        <v/>
      </c>
      <c r="AP552" s="6">
        <f>AQ552&amp;AR552</f>
        <v/>
      </c>
      <c r="AQ552" s="6">
        <f>YEAR(AS552)</f>
        <v/>
      </c>
      <c r="AR552" s="6">
        <f>MONTH(AS552)</f>
        <v/>
      </c>
      <c r="AS552" s="267">
        <f>IFERROR(__xludf.DUMMYFUNCTION("""COMPUTED_VALUE"""),43908.9986111111)</f>
        <v/>
      </c>
      <c r="AT552" s="6">
        <f>IFERROR(__xludf.DUMMYFUNCTION("""COMPUTED_VALUE"""),1477.9)</f>
        <v/>
      </c>
    </row>
    <row r="553">
      <c r="B553" s="6">
        <f>C553&amp;D553</f>
        <v/>
      </c>
      <c r="C553" s="6">
        <f>YEAR(E553)</f>
        <v/>
      </c>
      <c r="D553" s="6">
        <f>MONTH(E553)</f>
        <v/>
      </c>
      <c r="E553" s="267">
        <f>IFERROR(__xludf.DUMMYFUNCTION("""COMPUTED_VALUE"""),43900.6666666666)</f>
        <v/>
      </c>
      <c r="F553" s="6">
        <f>IFERROR(__xludf.DUMMYFUNCTION("""COMPUTED_VALUE"""),2882.23)</f>
        <v/>
      </c>
      <c r="J553" s="6">
        <f>K553&amp;L553</f>
        <v/>
      </c>
      <c r="K553" s="6">
        <f>YEAR(M553)</f>
        <v/>
      </c>
      <c r="L553" s="6">
        <f>MONTH(M553)</f>
        <v/>
      </c>
      <c r="M553" s="267">
        <f>IFERROR(__xludf.DUMMYFUNCTION("""COMPUTED_VALUE"""),43894.6666666666)</f>
        <v/>
      </c>
      <c r="N553" s="6">
        <f>IFERROR(__xludf.DUMMYFUNCTION("""COMPUTED_VALUE"""),9018.09)</f>
        <v/>
      </c>
      <c r="R553" s="6">
        <f>S553&amp;T553</f>
        <v/>
      </c>
      <c r="S553" s="6">
        <f>YEAR(U553)</f>
        <v/>
      </c>
      <c r="T553" s="6">
        <f>MONTH(U553)</f>
        <v/>
      </c>
      <c r="U553" s="267">
        <f>IFERROR(__xludf.DUMMYFUNCTION("""COMPUTED_VALUE"""),43923.6458333333)</f>
        <v/>
      </c>
      <c r="V553" s="6">
        <f>IFERROR(__xludf.DUMMYFUNCTION("""COMPUTED_VALUE"""),1724.86)</f>
        <v/>
      </c>
      <c r="Z553" s="6">
        <f>AA553&amp;AB553</f>
        <v/>
      </c>
      <c r="AA553" s="6">
        <f>YEAR(AC553)</f>
        <v/>
      </c>
      <c r="AB553" s="6">
        <f>MONTH(AC553)</f>
        <v/>
      </c>
      <c r="AC553" s="267">
        <f>IFERROR(__xludf.DUMMYFUNCTION("""COMPUTED_VALUE"""),43682.9986111111)</f>
        <v/>
      </c>
      <c r="AD553" s="6">
        <f>IFERROR(__xludf.DUMMYFUNCTION("""COMPUTED_VALUE"""),1216.65)</f>
        <v/>
      </c>
      <c r="AH553" s="6">
        <f>AI553&amp;AJ553</f>
        <v/>
      </c>
      <c r="AI553" s="6">
        <f>YEAR(AK553)</f>
        <v/>
      </c>
      <c r="AJ553" s="6">
        <f>MONTH(AK553)</f>
        <v/>
      </c>
      <c r="AK553" s="267">
        <f>IFERROR(__xludf.DUMMYFUNCTION("""COMPUTED_VALUE"""),43645.9986111111)</f>
        <v/>
      </c>
      <c r="AL553" s="6">
        <f>IFERROR(__xludf.DUMMYFUNCTION("""COMPUTED_VALUE"""),11893.99)</f>
        <v/>
      </c>
      <c r="AP553" s="6">
        <f>AQ553&amp;AR553</f>
        <v/>
      </c>
      <c r="AQ553" s="6">
        <f>YEAR(AS553)</f>
        <v/>
      </c>
      <c r="AR553" s="6">
        <f>MONTH(AS553)</f>
        <v/>
      </c>
      <c r="AS553" s="267">
        <f>IFERROR(__xludf.DUMMYFUNCTION("""COMPUTED_VALUE"""),43909.9986111111)</f>
        <v/>
      </c>
      <c r="AT553" s="6">
        <f>IFERROR(__xludf.DUMMYFUNCTION("""COMPUTED_VALUE"""),1479.3)</f>
        <v/>
      </c>
    </row>
    <row r="554">
      <c r="B554" s="6">
        <f>C554&amp;D554</f>
        <v/>
      </c>
      <c r="C554" s="6">
        <f>YEAR(E554)</f>
        <v/>
      </c>
      <c r="D554" s="6">
        <f>MONTH(E554)</f>
        <v/>
      </c>
      <c r="E554" s="267">
        <f>IFERROR(__xludf.DUMMYFUNCTION("""COMPUTED_VALUE"""),43901.6666666666)</f>
        <v/>
      </c>
      <c r="F554" s="6">
        <f>IFERROR(__xludf.DUMMYFUNCTION("""COMPUTED_VALUE"""),2741.38)</f>
        <v/>
      </c>
      <c r="J554" s="6">
        <f>K554&amp;L554</f>
        <v/>
      </c>
      <c r="K554" s="6">
        <f>YEAR(M554)</f>
        <v/>
      </c>
      <c r="L554" s="6">
        <f>MONTH(M554)</f>
        <v/>
      </c>
      <c r="M554" s="267">
        <f>IFERROR(__xludf.DUMMYFUNCTION("""COMPUTED_VALUE"""),43895.6666666666)</f>
        <v/>
      </c>
      <c r="N554" s="6">
        <f>IFERROR(__xludf.DUMMYFUNCTION("""COMPUTED_VALUE"""),8738.59)</f>
        <v/>
      </c>
      <c r="R554" s="6">
        <f>S554&amp;T554</f>
        <v/>
      </c>
      <c r="S554" s="6">
        <f>YEAR(U554)</f>
        <v/>
      </c>
      <c r="T554" s="6">
        <f>MONTH(U554)</f>
        <v/>
      </c>
      <c r="U554" s="267">
        <f>IFERROR(__xludf.DUMMYFUNCTION("""COMPUTED_VALUE"""),43924.6458333333)</f>
        <v/>
      </c>
      <c r="V554" s="6">
        <f>IFERROR(__xludf.DUMMYFUNCTION("""COMPUTED_VALUE"""),1725.44)</f>
        <v/>
      </c>
      <c r="Z554" s="6">
        <f>AA554&amp;AB554</f>
        <v/>
      </c>
      <c r="AA554" s="6">
        <f>YEAR(AC554)</f>
        <v/>
      </c>
      <c r="AB554" s="6">
        <f>MONTH(AC554)</f>
        <v/>
      </c>
      <c r="AC554" s="267">
        <f>IFERROR(__xludf.DUMMYFUNCTION("""COMPUTED_VALUE"""),43683.9986111111)</f>
        <v/>
      </c>
      <c r="AD554" s="6">
        <f>IFERROR(__xludf.DUMMYFUNCTION("""COMPUTED_VALUE"""),1212.53)</f>
        <v/>
      </c>
      <c r="AH554" s="6">
        <f>AI554&amp;AJ554</f>
        <v/>
      </c>
      <c r="AI554" s="6">
        <f>YEAR(AK554)</f>
        <v/>
      </c>
      <c r="AJ554" s="6">
        <f>MONTH(AK554)</f>
        <v/>
      </c>
      <c r="AK554" s="267">
        <f>IFERROR(__xludf.DUMMYFUNCTION("""COMPUTED_VALUE"""),43646.9986111111)</f>
        <v/>
      </c>
      <c r="AL554" s="6">
        <f>IFERROR(__xludf.DUMMYFUNCTION("""COMPUTED_VALUE"""),10769.18)</f>
        <v/>
      </c>
      <c r="AP554" s="6">
        <f>AQ554&amp;AR554</f>
        <v/>
      </c>
      <c r="AQ554" s="6">
        <f>YEAR(AS554)</f>
        <v/>
      </c>
      <c r="AR554" s="6">
        <f>MONTH(AS554)</f>
        <v/>
      </c>
      <c r="AS554" s="267">
        <f>IFERROR(__xludf.DUMMYFUNCTION("""COMPUTED_VALUE"""),43910.9986111111)</f>
        <v/>
      </c>
      <c r="AT554" s="6">
        <f>IFERROR(__xludf.DUMMYFUNCTION("""COMPUTED_VALUE"""),1488.1)</f>
        <v/>
      </c>
    </row>
    <row r="555">
      <c r="B555" s="6">
        <f>C555&amp;D555</f>
        <v/>
      </c>
      <c r="C555" s="6">
        <f>YEAR(E555)</f>
        <v/>
      </c>
      <c r="D555" s="6">
        <f>MONTH(E555)</f>
        <v/>
      </c>
      <c r="E555" s="267">
        <f>IFERROR(__xludf.DUMMYFUNCTION("""COMPUTED_VALUE"""),43902.6666666666)</f>
        <v/>
      </c>
      <c r="F555" s="6">
        <f>IFERROR(__xludf.DUMMYFUNCTION("""COMPUTED_VALUE"""),2480.64)</f>
        <v/>
      </c>
      <c r="J555" s="6">
        <f>K555&amp;L555</f>
        <v/>
      </c>
      <c r="K555" s="6">
        <f>YEAR(M555)</f>
        <v/>
      </c>
      <c r="L555" s="6">
        <f>MONTH(M555)</f>
        <v/>
      </c>
      <c r="M555" s="267">
        <f>IFERROR(__xludf.DUMMYFUNCTION("""COMPUTED_VALUE"""),43896.6666666666)</f>
        <v/>
      </c>
      <c r="N555" s="6">
        <f>IFERROR(__xludf.DUMMYFUNCTION("""COMPUTED_VALUE"""),8575.62)</f>
        <v/>
      </c>
      <c r="R555" s="6">
        <f>S555&amp;T555</f>
        <v/>
      </c>
      <c r="S555" s="6">
        <f>YEAR(U555)</f>
        <v/>
      </c>
      <c r="T555" s="6">
        <f>MONTH(U555)</f>
        <v/>
      </c>
      <c r="U555" s="267">
        <f>IFERROR(__xludf.DUMMYFUNCTION("""COMPUTED_VALUE"""),43927.6458333333)</f>
        <v/>
      </c>
      <c r="V555" s="6">
        <f>IFERROR(__xludf.DUMMYFUNCTION("""COMPUTED_VALUE"""),1791.88)</f>
        <v/>
      </c>
      <c r="Z555" s="6">
        <f>AA555&amp;AB555</f>
        <v/>
      </c>
      <c r="AA555" s="6">
        <f>YEAR(AC555)</f>
        <v/>
      </c>
      <c r="AB555" s="6">
        <f>MONTH(AC555)</f>
        <v/>
      </c>
      <c r="AC555" s="267">
        <f>IFERROR(__xludf.DUMMYFUNCTION("""COMPUTED_VALUE"""),43684.9986111111)</f>
        <v/>
      </c>
      <c r="AD555" s="6">
        <f>IFERROR(__xludf.DUMMYFUNCTION("""COMPUTED_VALUE"""),1212.23)</f>
        <v/>
      </c>
      <c r="AH555" s="6">
        <f>AI555&amp;AJ555</f>
        <v/>
      </c>
      <c r="AI555" s="6">
        <f>YEAR(AK555)</f>
        <v/>
      </c>
      <c r="AJ555" s="6">
        <f>MONTH(AK555)</f>
        <v/>
      </c>
      <c r="AK555" s="267">
        <f>IFERROR(__xludf.DUMMYFUNCTION("""COMPUTED_VALUE"""),43647.9986111111)</f>
        <v/>
      </c>
      <c r="AL555" s="6">
        <f>IFERROR(__xludf.DUMMYFUNCTION("""COMPUTED_VALUE"""),10588.54)</f>
        <v/>
      </c>
      <c r="AP555" s="6">
        <f>AQ555&amp;AR555</f>
        <v/>
      </c>
      <c r="AQ555" s="6">
        <f>YEAR(AS555)</f>
        <v/>
      </c>
      <c r="AR555" s="6">
        <f>MONTH(AS555)</f>
        <v/>
      </c>
      <c r="AS555" s="267">
        <f>IFERROR(__xludf.DUMMYFUNCTION("""COMPUTED_VALUE"""),43913.9986111111)</f>
        <v/>
      </c>
      <c r="AT555" s="6">
        <f>IFERROR(__xludf.DUMMYFUNCTION("""COMPUTED_VALUE"""),1572.7)</f>
        <v/>
      </c>
    </row>
    <row r="556">
      <c r="B556" s="6">
        <f>C556&amp;D556</f>
        <v/>
      </c>
      <c r="C556" s="6">
        <f>YEAR(E556)</f>
        <v/>
      </c>
      <c r="D556" s="6">
        <f>MONTH(E556)</f>
        <v/>
      </c>
      <c r="E556" s="267">
        <f>IFERROR(__xludf.DUMMYFUNCTION("""COMPUTED_VALUE"""),43903.6666666666)</f>
        <v/>
      </c>
      <c r="F556" s="6">
        <f>IFERROR(__xludf.DUMMYFUNCTION("""COMPUTED_VALUE"""),2711.02)</f>
        <v/>
      </c>
      <c r="J556" s="6">
        <f>K556&amp;L556</f>
        <v/>
      </c>
      <c r="K556" s="6">
        <f>YEAR(M556)</f>
        <v/>
      </c>
      <c r="L556" s="6">
        <f>MONTH(M556)</f>
        <v/>
      </c>
      <c r="M556" s="267">
        <f>IFERROR(__xludf.DUMMYFUNCTION("""COMPUTED_VALUE"""),43899.6666666666)</f>
        <v/>
      </c>
      <c r="N556" s="6">
        <f>IFERROR(__xludf.DUMMYFUNCTION("""COMPUTED_VALUE"""),7950.68)</f>
        <v/>
      </c>
      <c r="R556" s="6">
        <f>S556&amp;T556</f>
        <v/>
      </c>
      <c r="S556" s="6">
        <f>YEAR(U556)</f>
        <v/>
      </c>
      <c r="T556" s="6">
        <f>MONTH(U556)</f>
        <v/>
      </c>
      <c r="U556" s="267">
        <f>IFERROR(__xludf.DUMMYFUNCTION("""COMPUTED_VALUE"""),43928.6458333333)</f>
        <v/>
      </c>
      <c r="V556" s="6">
        <f>IFERROR(__xludf.DUMMYFUNCTION("""COMPUTED_VALUE"""),1823.6)</f>
        <v/>
      </c>
      <c r="Z556" s="6">
        <f>AA556&amp;AB556</f>
        <v/>
      </c>
      <c r="AA556" s="6">
        <f>YEAR(AC556)</f>
        <v/>
      </c>
      <c r="AB556" s="6">
        <f>MONTH(AC556)</f>
        <v/>
      </c>
      <c r="AC556" s="267">
        <f>IFERROR(__xludf.DUMMYFUNCTION("""COMPUTED_VALUE"""),43685.9986111111)</f>
        <v/>
      </c>
      <c r="AD556" s="6">
        <f>IFERROR(__xludf.DUMMYFUNCTION("""COMPUTED_VALUE"""),1207.03)</f>
        <v/>
      </c>
      <c r="AH556" s="6">
        <f>AI556&amp;AJ556</f>
        <v/>
      </c>
      <c r="AI556" s="6">
        <f>YEAR(AK556)</f>
        <v/>
      </c>
      <c r="AJ556" s="6">
        <f>MONTH(AK556)</f>
        <v/>
      </c>
      <c r="AK556" s="267">
        <f>IFERROR(__xludf.DUMMYFUNCTION("""COMPUTED_VALUE"""),43648.9986111111)</f>
        <v/>
      </c>
      <c r="AL556" s="6">
        <f>IFERROR(__xludf.DUMMYFUNCTION("""COMPUTED_VALUE"""),10837.34)</f>
        <v/>
      </c>
      <c r="AP556" s="6">
        <f>AQ556&amp;AR556</f>
        <v/>
      </c>
      <c r="AQ556" s="6">
        <f>YEAR(AS556)</f>
        <v/>
      </c>
      <c r="AR556" s="6">
        <f>MONTH(AS556)</f>
        <v/>
      </c>
      <c r="AS556" s="267">
        <f>IFERROR(__xludf.DUMMYFUNCTION("""COMPUTED_VALUE"""),43914.9986111111)</f>
        <v/>
      </c>
      <c r="AT556" s="6">
        <f>IFERROR(__xludf.DUMMYFUNCTION("""COMPUTED_VALUE"""),1663.3)</f>
        <v/>
      </c>
    </row>
    <row r="557">
      <c r="B557" s="6">
        <f>C557&amp;D557</f>
        <v/>
      </c>
      <c r="C557" s="6">
        <f>YEAR(E557)</f>
        <v/>
      </c>
      <c r="D557" s="6">
        <f>MONTH(E557)</f>
        <v/>
      </c>
      <c r="E557" s="267">
        <f>IFERROR(__xludf.DUMMYFUNCTION("""COMPUTED_VALUE"""),43906.6666666666)</f>
        <v/>
      </c>
      <c r="F557" s="6">
        <f>IFERROR(__xludf.DUMMYFUNCTION("""COMPUTED_VALUE"""),2386.13)</f>
        <v/>
      </c>
      <c r="J557" s="6">
        <f>K557&amp;L557</f>
        <v/>
      </c>
      <c r="K557" s="6">
        <f>YEAR(M557)</f>
        <v/>
      </c>
      <c r="L557" s="6">
        <f>MONTH(M557)</f>
        <v/>
      </c>
      <c r="M557" s="267">
        <f>IFERROR(__xludf.DUMMYFUNCTION("""COMPUTED_VALUE"""),43900.6666666666)</f>
        <v/>
      </c>
      <c r="N557" s="6">
        <f>IFERROR(__xludf.DUMMYFUNCTION("""COMPUTED_VALUE"""),8344.25)</f>
        <v/>
      </c>
      <c r="R557" s="6">
        <f>S557&amp;T557</f>
        <v/>
      </c>
      <c r="S557" s="6">
        <f>YEAR(U557)</f>
        <v/>
      </c>
      <c r="T557" s="6">
        <f>MONTH(U557)</f>
        <v/>
      </c>
      <c r="U557" s="267">
        <f>IFERROR(__xludf.DUMMYFUNCTION("""COMPUTED_VALUE"""),43929.6458333333)</f>
        <v/>
      </c>
      <c r="V557" s="6">
        <f>IFERROR(__xludf.DUMMYFUNCTION("""COMPUTED_VALUE"""),1807.14)</f>
        <v/>
      </c>
      <c r="Z557" s="6">
        <f>AA557&amp;AB557</f>
        <v/>
      </c>
      <c r="AA557" s="6">
        <f>YEAR(AC557)</f>
        <v/>
      </c>
      <c r="AB557" s="6">
        <f>MONTH(AC557)</f>
        <v/>
      </c>
      <c r="AC557" s="267">
        <f>IFERROR(__xludf.DUMMYFUNCTION("""COMPUTED_VALUE"""),43686.9986111111)</f>
        <v/>
      </c>
      <c r="AD557" s="6">
        <f>IFERROR(__xludf.DUMMYFUNCTION("""COMPUTED_VALUE"""),1213.42)</f>
        <v/>
      </c>
      <c r="AH557" s="6">
        <f>AI557&amp;AJ557</f>
        <v/>
      </c>
      <c r="AI557" s="6">
        <f>YEAR(AK557)</f>
        <v/>
      </c>
      <c r="AJ557" s="6">
        <f>MONTH(AK557)</f>
        <v/>
      </c>
      <c r="AK557" s="267">
        <f>IFERROR(__xludf.DUMMYFUNCTION("""COMPUTED_VALUE"""),43649.9986111111)</f>
        <v/>
      </c>
      <c r="AL557" s="6">
        <f>IFERROR(__xludf.DUMMYFUNCTION("""COMPUTED_VALUE"""),11972.06)</f>
        <v/>
      </c>
      <c r="AP557" s="6">
        <f>AQ557&amp;AR557</f>
        <v/>
      </c>
      <c r="AQ557" s="6">
        <f>YEAR(AS557)</f>
        <v/>
      </c>
      <c r="AR557" s="6">
        <f>MONTH(AS557)</f>
        <v/>
      </c>
      <c r="AS557" s="267">
        <f>IFERROR(__xludf.DUMMYFUNCTION("""COMPUTED_VALUE"""),43915.9986111111)</f>
        <v/>
      </c>
      <c r="AT557" s="6">
        <f>IFERROR(__xludf.DUMMYFUNCTION("""COMPUTED_VALUE"""),1634.3)</f>
        <v/>
      </c>
    </row>
    <row r="558">
      <c r="B558" s="6">
        <f>C558&amp;D558</f>
        <v/>
      </c>
      <c r="C558" s="6">
        <f>YEAR(E558)</f>
        <v/>
      </c>
      <c r="D558" s="6">
        <f>MONTH(E558)</f>
        <v/>
      </c>
      <c r="E558" s="267">
        <f>IFERROR(__xludf.DUMMYFUNCTION("""COMPUTED_VALUE"""),43907.6666666666)</f>
        <v/>
      </c>
      <c r="F558" s="6">
        <f>IFERROR(__xludf.DUMMYFUNCTION("""COMPUTED_VALUE"""),2529.19)</f>
        <v/>
      </c>
      <c r="J558" s="6">
        <f>K558&amp;L558</f>
        <v/>
      </c>
      <c r="K558" s="6">
        <f>YEAR(M558)</f>
        <v/>
      </c>
      <c r="L558" s="6">
        <f>MONTH(M558)</f>
        <v/>
      </c>
      <c r="M558" s="267">
        <f>IFERROR(__xludf.DUMMYFUNCTION("""COMPUTED_VALUE"""),43901.6666666666)</f>
        <v/>
      </c>
      <c r="N558" s="6">
        <f>IFERROR(__xludf.DUMMYFUNCTION("""COMPUTED_VALUE"""),7952.05)</f>
        <v/>
      </c>
      <c r="R558" s="6">
        <f>S558&amp;T558</f>
        <v/>
      </c>
      <c r="S558" s="6">
        <f>YEAR(U558)</f>
        <v/>
      </c>
      <c r="T558" s="6">
        <f>MONTH(U558)</f>
        <v/>
      </c>
      <c r="U558" s="267">
        <f>IFERROR(__xludf.DUMMYFUNCTION("""COMPUTED_VALUE"""),43930.6458333333)</f>
        <v/>
      </c>
      <c r="V558" s="6">
        <f>IFERROR(__xludf.DUMMYFUNCTION("""COMPUTED_VALUE"""),1836.21)</f>
        <v/>
      </c>
      <c r="Z558" s="6">
        <f>AA558&amp;AB558</f>
        <v/>
      </c>
      <c r="AA558" s="6">
        <f>YEAR(AC558)</f>
        <v/>
      </c>
      <c r="AB558" s="6">
        <f>MONTH(AC558)</f>
        <v/>
      </c>
      <c r="AC558" s="267">
        <f>IFERROR(__xludf.DUMMYFUNCTION("""COMPUTED_VALUE"""),43688.9986111111)</f>
        <v/>
      </c>
      <c r="AD558" s="6">
        <f>IFERROR(__xludf.DUMMYFUNCTION("""COMPUTED_VALUE"""),1213.2)</f>
        <v/>
      </c>
      <c r="AH558" s="6">
        <f>AI558&amp;AJ558</f>
        <v/>
      </c>
      <c r="AI558" s="6">
        <f>YEAR(AK558)</f>
        <v/>
      </c>
      <c r="AJ558" s="6">
        <f>MONTH(AK558)</f>
        <v/>
      </c>
      <c r="AK558" s="267">
        <f>IFERROR(__xludf.DUMMYFUNCTION("""COMPUTED_VALUE"""),43650.9986111111)</f>
        <v/>
      </c>
      <c r="AL558" s="6">
        <f>IFERROR(__xludf.DUMMYFUNCTION("""COMPUTED_VALUE"""),11159.69)</f>
        <v/>
      </c>
      <c r="AP558" s="6">
        <f>AQ558&amp;AR558</f>
        <v/>
      </c>
      <c r="AQ558" s="6">
        <f>YEAR(AS558)</f>
        <v/>
      </c>
      <c r="AR558" s="6">
        <f>MONTH(AS558)</f>
        <v/>
      </c>
      <c r="AS558" s="267">
        <f>IFERROR(__xludf.DUMMYFUNCTION("""COMPUTED_VALUE"""),43916.9986111111)</f>
        <v/>
      </c>
      <c r="AT558" s="6">
        <f>IFERROR(__xludf.DUMMYFUNCTION("""COMPUTED_VALUE"""),1660.3)</f>
        <v/>
      </c>
    </row>
    <row r="559">
      <c r="B559" s="6">
        <f>C559&amp;D559</f>
        <v/>
      </c>
      <c r="C559" s="6">
        <f>YEAR(E559)</f>
        <v/>
      </c>
      <c r="D559" s="6">
        <f>MONTH(E559)</f>
        <v/>
      </c>
      <c r="E559" s="267">
        <f>IFERROR(__xludf.DUMMYFUNCTION("""COMPUTED_VALUE"""),43908.6666666666)</f>
        <v/>
      </c>
      <c r="F559" s="6">
        <f>IFERROR(__xludf.DUMMYFUNCTION("""COMPUTED_VALUE"""),2398.1)</f>
        <v/>
      </c>
      <c r="J559" s="6">
        <f>K559&amp;L559</f>
        <v/>
      </c>
      <c r="K559" s="6">
        <f>YEAR(M559)</f>
        <v/>
      </c>
      <c r="L559" s="6">
        <f>MONTH(M559)</f>
        <v/>
      </c>
      <c r="M559" s="267">
        <f>IFERROR(__xludf.DUMMYFUNCTION("""COMPUTED_VALUE"""),43902.6666666666)</f>
        <v/>
      </c>
      <c r="N559" s="6">
        <f>IFERROR(__xludf.DUMMYFUNCTION("""COMPUTED_VALUE"""),7201.8)</f>
        <v/>
      </c>
      <c r="R559" s="6">
        <f>S559&amp;T559</f>
        <v/>
      </c>
      <c r="S559" s="6">
        <f>YEAR(U559)</f>
        <v/>
      </c>
      <c r="T559" s="6">
        <f>MONTH(U559)</f>
        <v/>
      </c>
      <c r="U559" s="267">
        <f>IFERROR(__xludf.DUMMYFUNCTION("""COMPUTED_VALUE"""),43931.6458333333)</f>
        <v/>
      </c>
      <c r="V559" s="6">
        <f>IFERROR(__xludf.DUMMYFUNCTION("""COMPUTED_VALUE"""),1860.7)</f>
        <v/>
      </c>
      <c r="Z559" s="6">
        <f>AA559&amp;AB559</f>
        <v/>
      </c>
      <c r="AA559" s="6">
        <f>YEAR(AC559)</f>
        <v/>
      </c>
      <c r="AB559" s="6">
        <f>MONTH(AC559)</f>
        <v/>
      </c>
      <c r="AC559" s="267">
        <f>IFERROR(__xludf.DUMMYFUNCTION("""COMPUTED_VALUE"""),43689.9986111111)</f>
        <v/>
      </c>
      <c r="AD559" s="6">
        <f>IFERROR(__xludf.DUMMYFUNCTION("""COMPUTED_VALUE"""),1217.63)</f>
        <v/>
      </c>
      <c r="AH559" s="6">
        <f>AI559&amp;AJ559</f>
        <v/>
      </c>
      <c r="AI559" s="6">
        <f>YEAR(AK559)</f>
        <v/>
      </c>
      <c r="AJ559" s="6">
        <f>MONTH(AK559)</f>
        <v/>
      </c>
      <c r="AK559" s="267">
        <f>IFERROR(__xludf.DUMMYFUNCTION("""COMPUTED_VALUE"""),43651.9986111111)</f>
        <v/>
      </c>
      <c r="AL559" s="6">
        <f>IFERROR(__xludf.DUMMYFUNCTION("""COMPUTED_VALUE"""),10982.98)</f>
        <v/>
      </c>
      <c r="AP559" s="6">
        <f>AQ559&amp;AR559</f>
        <v/>
      </c>
      <c r="AQ559" s="6">
        <f>YEAR(AS559)</f>
        <v/>
      </c>
      <c r="AR559" s="6">
        <f>MONTH(AS559)</f>
        <v/>
      </c>
      <c r="AS559" s="267">
        <f>IFERROR(__xludf.DUMMYFUNCTION("""COMPUTED_VALUE"""),43917.9986111111)</f>
        <v/>
      </c>
      <c r="AT559" s="6">
        <f>IFERROR(__xludf.DUMMYFUNCTION("""COMPUTED_VALUE"""),1654.1)</f>
        <v/>
      </c>
    </row>
    <row r="560">
      <c r="B560" s="6">
        <f>C560&amp;D560</f>
        <v/>
      </c>
      <c r="C560" s="6">
        <f>YEAR(E560)</f>
        <v/>
      </c>
      <c r="D560" s="6">
        <f>MONTH(E560)</f>
        <v/>
      </c>
      <c r="E560" s="267">
        <f>IFERROR(__xludf.DUMMYFUNCTION("""COMPUTED_VALUE"""),43909.6666666666)</f>
        <v/>
      </c>
      <c r="F560" s="6">
        <f>IFERROR(__xludf.DUMMYFUNCTION("""COMPUTED_VALUE"""),2409.39)</f>
        <v/>
      </c>
      <c r="J560" s="6">
        <f>K560&amp;L560</f>
        <v/>
      </c>
      <c r="K560" s="6">
        <f>YEAR(M560)</f>
        <v/>
      </c>
      <c r="L560" s="6">
        <f>MONTH(M560)</f>
        <v/>
      </c>
      <c r="M560" s="267">
        <f>IFERROR(__xludf.DUMMYFUNCTION("""COMPUTED_VALUE"""),43903.6666666666)</f>
        <v/>
      </c>
      <c r="N560" s="6">
        <f>IFERROR(__xludf.DUMMYFUNCTION("""COMPUTED_VALUE"""),7874.88)</f>
        <v/>
      </c>
      <c r="R560" s="6">
        <f>S560&amp;T560</f>
        <v/>
      </c>
      <c r="S560" s="6">
        <f>YEAR(U560)</f>
        <v/>
      </c>
      <c r="T560" s="6">
        <f>MONTH(U560)</f>
        <v/>
      </c>
      <c r="U560" s="267">
        <f>IFERROR(__xludf.DUMMYFUNCTION("""COMPUTED_VALUE"""),43934.6458333333)</f>
        <v/>
      </c>
      <c r="V560" s="6">
        <f>IFERROR(__xludf.DUMMYFUNCTION("""COMPUTED_VALUE"""),1825.76)</f>
        <v/>
      </c>
      <c r="Z560" s="6">
        <f>AA560&amp;AB560</f>
        <v/>
      </c>
      <c r="AA560" s="6">
        <f>YEAR(AC560)</f>
        <v/>
      </c>
      <c r="AB560" s="6">
        <f>MONTH(AC560)</f>
        <v/>
      </c>
      <c r="AC560" s="267">
        <f>IFERROR(__xludf.DUMMYFUNCTION("""COMPUTED_VALUE"""),43690.9986111111)</f>
        <v/>
      </c>
      <c r="AD560" s="6">
        <f>IFERROR(__xludf.DUMMYFUNCTION("""COMPUTED_VALUE"""),1204.73)</f>
        <v/>
      </c>
      <c r="AH560" s="6">
        <f>AI560&amp;AJ560</f>
        <v/>
      </c>
      <c r="AI560" s="6">
        <f>YEAR(AK560)</f>
        <v/>
      </c>
      <c r="AJ560" s="6">
        <f>MONTH(AK560)</f>
        <v/>
      </c>
      <c r="AK560" s="267">
        <f>IFERROR(__xludf.DUMMYFUNCTION("""COMPUTED_VALUE"""),43652.9986111111)</f>
        <v/>
      </c>
      <c r="AL560" s="6">
        <f>IFERROR(__xludf.DUMMYFUNCTION("""COMPUTED_VALUE"""),11250.14)</f>
        <v/>
      </c>
      <c r="AP560" s="6">
        <f>AQ560&amp;AR560</f>
        <v/>
      </c>
      <c r="AQ560" s="6">
        <f>YEAR(AS560)</f>
        <v/>
      </c>
      <c r="AR560" s="6">
        <f>MONTH(AS560)</f>
        <v/>
      </c>
      <c r="AS560" s="267">
        <f>IFERROR(__xludf.DUMMYFUNCTION("""COMPUTED_VALUE"""),43920.9986111111)</f>
        <v/>
      </c>
      <c r="AT560" s="6">
        <f>IFERROR(__xludf.DUMMYFUNCTION("""COMPUTED_VALUE"""),1643.2)</f>
        <v/>
      </c>
    </row>
    <row r="561">
      <c r="B561" s="6">
        <f>C561&amp;D561</f>
        <v/>
      </c>
      <c r="C561" s="6">
        <f>YEAR(E561)</f>
        <v/>
      </c>
      <c r="D561" s="6">
        <f>MONTH(E561)</f>
        <v/>
      </c>
      <c r="E561" s="267">
        <f>IFERROR(__xludf.DUMMYFUNCTION("""COMPUTED_VALUE"""),43910.6666666666)</f>
        <v/>
      </c>
      <c r="F561" s="6">
        <f>IFERROR(__xludf.DUMMYFUNCTION("""COMPUTED_VALUE"""),2304.92)</f>
        <v/>
      </c>
      <c r="J561" s="6">
        <f>K561&amp;L561</f>
        <v/>
      </c>
      <c r="K561" s="6">
        <f>YEAR(M561)</f>
        <v/>
      </c>
      <c r="L561" s="6">
        <f>MONTH(M561)</f>
        <v/>
      </c>
      <c r="M561" s="267">
        <f>IFERROR(__xludf.DUMMYFUNCTION("""COMPUTED_VALUE"""),43906.6666666666)</f>
        <v/>
      </c>
      <c r="N561" s="6">
        <f>IFERROR(__xludf.DUMMYFUNCTION("""COMPUTED_VALUE"""),6904.59)</f>
        <v/>
      </c>
      <c r="R561" s="6">
        <f>S561&amp;T561</f>
        <v/>
      </c>
      <c r="S561" s="6">
        <f>YEAR(U561)</f>
        <v/>
      </c>
      <c r="T561" s="6">
        <f>MONTH(U561)</f>
        <v/>
      </c>
      <c r="U561" s="267">
        <f>IFERROR(__xludf.DUMMYFUNCTION("""COMPUTED_VALUE"""),43935.6458333333)</f>
        <v/>
      </c>
      <c r="V561" s="6">
        <f>IFERROR(__xludf.DUMMYFUNCTION("""COMPUTED_VALUE"""),1857.08)</f>
        <v/>
      </c>
      <c r="Z561" s="6">
        <f>AA561&amp;AB561</f>
        <v/>
      </c>
      <c r="AA561" s="6">
        <f>YEAR(AC561)</f>
        <v/>
      </c>
      <c r="AB561" s="6">
        <f>MONTH(AC561)</f>
        <v/>
      </c>
      <c r="AC561" s="267">
        <f>IFERROR(__xludf.DUMMYFUNCTION("""COMPUTED_VALUE"""),43691.9986111111)</f>
        <v/>
      </c>
      <c r="AD561" s="6">
        <f>IFERROR(__xludf.DUMMYFUNCTION("""COMPUTED_VALUE"""),1215.64)</f>
        <v/>
      </c>
      <c r="AH561" s="6">
        <f>AI561&amp;AJ561</f>
        <v/>
      </c>
      <c r="AI561" s="6">
        <f>YEAR(AK561)</f>
        <v/>
      </c>
      <c r="AJ561" s="6">
        <f>MONTH(AK561)</f>
        <v/>
      </c>
      <c r="AK561" s="267">
        <f>IFERROR(__xludf.DUMMYFUNCTION("""COMPUTED_VALUE"""),43653.9986111111)</f>
        <v/>
      </c>
      <c r="AL561" s="6">
        <f>IFERROR(__xludf.DUMMYFUNCTION("""COMPUTED_VALUE"""),11472)</f>
        <v/>
      </c>
      <c r="AP561" s="6">
        <f>AQ561&amp;AR561</f>
        <v/>
      </c>
      <c r="AQ561" s="6">
        <f>YEAR(AS561)</f>
        <v/>
      </c>
      <c r="AR561" s="6">
        <f>MONTH(AS561)</f>
        <v/>
      </c>
      <c r="AS561" s="267">
        <f>IFERROR(__xludf.DUMMYFUNCTION("""COMPUTED_VALUE"""),43921.9986111111)</f>
        <v/>
      </c>
      <c r="AT561" s="6">
        <f>IFERROR(__xludf.DUMMYFUNCTION("""COMPUTED_VALUE"""),1596.6)</f>
        <v/>
      </c>
    </row>
    <row r="562">
      <c r="B562" s="6">
        <f>C562&amp;D562</f>
        <v/>
      </c>
      <c r="C562" s="6">
        <f>YEAR(E562)</f>
        <v/>
      </c>
      <c r="D562" s="6">
        <f>MONTH(E562)</f>
        <v/>
      </c>
      <c r="E562" s="267">
        <f>IFERROR(__xludf.DUMMYFUNCTION("""COMPUTED_VALUE"""),43913.6666666666)</f>
        <v/>
      </c>
      <c r="F562" s="6">
        <f>IFERROR(__xludf.DUMMYFUNCTION("""COMPUTED_VALUE"""),2237.4)</f>
        <v/>
      </c>
      <c r="J562" s="6">
        <f>K562&amp;L562</f>
        <v/>
      </c>
      <c r="K562" s="6">
        <f>YEAR(M562)</f>
        <v/>
      </c>
      <c r="L562" s="6">
        <f>MONTH(M562)</f>
        <v/>
      </c>
      <c r="M562" s="267">
        <f>IFERROR(__xludf.DUMMYFUNCTION("""COMPUTED_VALUE"""),43907.6666666666)</f>
        <v/>
      </c>
      <c r="N562" s="6">
        <f>IFERROR(__xludf.DUMMYFUNCTION("""COMPUTED_VALUE"""),7334.78)</f>
        <v/>
      </c>
      <c r="R562" s="6">
        <f>S562&amp;T562</f>
        <v/>
      </c>
      <c r="S562" s="6">
        <f>YEAR(U562)</f>
        <v/>
      </c>
      <c r="T562" s="6">
        <f>MONTH(U562)</f>
        <v/>
      </c>
      <c r="U562" s="267">
        <f>IFERROR(__xludf.DUMMYFUNCTION("""COMPUTED_VALUE"""),43937.6458333333)</f>
        <v/>
      </c>
      <c r="V562" s="6">
        <f>IFERROR(__xludf.DUMMYFUNCTION("""COMPUTED_VALUE"""),1857.07)</f>
        <v/>
      </c>
      <c r="Z562" s="6">
        <f>AA562&amp;AB562</f>
        <v/>
      </c>
      <c r="AA562" s="6">
        <f>YEAR(AC562)</f>
        <v/>
      </c>
      <c r="AB562" s="6">
        <f>MONTH(AC562)</f>
        <v/>
      </c>
      <c r="AC562" s="267">
        <f>IFERROR(__xludf.DUMMYFUNCTION("""COMPUTED_VALUE"""),43692.9986111111)</f>
        <v/>
      </c>
      <c r="AD562" s="6">
        <f>IFERROR(__xludf.DUMMYFUNCTION("""COMPUTED_VALUE"""),1211.5)</f>
        <v/>
      </c>
      <c r="AH562" s="6">
        <f>AI562&amp;AJ562</f>
        <v/>
      </c>
      <c r="AI562" s="6">
        <f>YEAR(AK562)</f>
        <v/>
      </c>
      <c r="AJ562" s="6">
        <f>MONTH(AK562)</f>
        <v/>
      </c>
      <c r="AK562" s="267">
        <f>IFERROR(__xludf.DUMMYFUNCTION("""COMPUTED_VALUE"""),43654.9986111111)</f>
        <v/>
      </c>
      <c r="AL562" s="6">
        <f>IFERROR(__xludf.DUMMYFUNCTION("""COMPUTED_VALUE"""),12286.77)</f>
        <v/>
      </c>
      <c r="AP562" s="6">
        <f>AQ562&amp;AR562</f>
        <v/>
      </c>
      <c r="AQ562" s="6">
        <f>YEAR(AS562)</f>
        <v/>
      </c>
      <c r="AR562" s="6">
        <f>MONTH(AS562)</f>
        <v/>
      </c>
      <c r="AS562" s="267">
        <f>IFERROR(__xludf.DUMMYFUNCTION("""COMPUTED_VALUE"""),43922.9986111111)</f>
        <v/>
      </c>
      <c r="AT562" s="6">
        <f>IFERROR(__xludf.DUMMYFUNCTION("""COMPUTED_VALUE"""),1591.4)</f>
        <v/>
      </c>
    </row>
    <row r="563">
      <c r="B563" s="6">
        <f>C563&amp;D563</f>
        <v/>
      </c>
      <c r="C563" s="6">
        <f>YEAR(E563)</f>
        <v/>
      </c>
      <c r="D563" s="6">
        <f>MONTH(E563)</f>
        <v/>
      </c>
      <c r="E563" s="267">
        <f>IFERROR(__xludf.DUMMYFUNCTION("""COMPUTED_VALUE"""),43914.6666666666)</f>
        <v/>
      </c>
      <c r="F563" s="6">
        <f>IFERROR(__xludf.DUMMYFUNCTION("""COMPUTED_VALUE"""),2447.33)</f>
        <v/>
      </c>
      <c r="J563" s="6">
        <f>K563&amp;L563</f>
        <v/>
      </c>
      <c r="K563" s="6">
        <f>YEAR(M563)</f>
        <v/>
      </c>
      <c r="L563" s="6">
        <f>MONTH(M563)</f>
        <v/>
      </c>
      <c r="M563" s="267">
        <f>IFERROR(__xludf.DUMMYFUNCTION("""COMPUTED_VALUE"""),43908.6666666666)</f>
        <v/>
      </c>
      <c r="N563" s="6">
        <f>IFERROR(__xludf.DUMMYFUNCTION("""COMPUTED_VALUE"""),6989.84)</f>
        <v/>
      </c>
      <c r="R563" s="6">
        <f>S563&amp;T563</f>
        <v/>
      </c>
      <c r="S563" s="6">
        <f>YEAR(U563)</f>
        <v/>
      </c>
      <c r="T563" s="6">
        <f>MONTH(U563)</f>
        <v/>
      </c>
      <c r="U563" s="267">
        <f>IFERROR(__xludf.DUMMYFUNCTION("""COMPUTED_VALUE"""),43938.6458333333)</f>
        <v/>
      </c>
      <c r="V563" s="6">
        <f>IFERROR(__xludf.DUMMYFUNCTION("""COMPUTED_VALUE"""),1914.53)</f>
        <v/>
      </c>
      <c r="Z563" s="6">
        <f>AA563&amp;AB563</f>
        <v/>
      </c>
      <c r="AA563" s="6">
        <f>YEAR(AC563)</f>
        <v/>
      </c>
      <c r="AB563" s="6">
        <f>MONTH(AC563)</f>
        <v/>
      </c>
      <c r="AC563" s="267">
        <f>IFERROR(__xludf.DUMMYFUNCTION("""COMPUTED_VALUE"""),43693.9986111111)</f>
        <v/>
      </c>
      <c r="AD563" s="6">
        <f>IFERROR(__xludf.DUMMYFUNCTION("""COMPUTED_VALUE"""),1207.49)</f>
        <v/>
      </c>
      <c r="AH563" s="6">
        <f>AI563&amp;AJ563</f>
        <v/>
      </c>
      <c r="AI563" s="6">
        <f>YEAR(AK563)</f>
        <v/>
      </c>
      <c r="AJ563" s="6">
        <f>MONTH(AK563)</f>
        <v/>
      </c>
      <c r="AK563" s="267">
        <f>IFERROR(__xludf.DUMMYFUNCTION("""COMPUTED_VALUE"""),43655.9986111111)</f>
        <v/>
      </c>
      <c r="AL563" s="6">
        <f>IFERROR(__xludf.DUMMYFUNCTION("""COMPUTED_VALUE"""),12558.42)</f>
        <v/>
      </c>
      <c r="AP563" s="6">
        <f>AQ563&amp;AR563</f>
        <v/>
      </c>
      <c r="AQ563" s="6">
        <f>YEAR(AS563)</f>
        <v/>
      </c>
      <c r="AR563" s="6">
        <f>MONTH(AS563)</f>
        <v/>
      </c>
      <c r="AS563" s="267">
        <f>IFERROR(__xludf.DUMMYFUNCTION("""COMPUTED_VALUE"""),43923.9986111111)</f>
        <v/>
      </c>
      <c r="AT563" s="6">
        <f>IFERROR(__xludf.DUMMYFUNCTION("""COMPUTED_VALUE"""),1637.7)</f>
        <v/>
      </c>
    </row>
    <row r="564">
      <c r="B564" s="6">
        <f>C564&amp;D564</f>
        <v/>
      </c>
      <c r="C564" s="6">
        <f>YEAR(E564)</f>
        <v/>
      </c>
      <c r="D564" s="6">
        <f>MONTH(E564)</f>
        <v/>
      </c>
      <c r="E564" s="267">
        <f>IFERROR(__xludf.DUMMYFUNCTION("""COMPUTED_VALUE"""),43915.6666666666)</f>
        <v/>
      </c>
      <c r="F564" s="6">
        <f>IFERROR(__xludf.DUMMYFUNCTION("""COMPUTED_VALUE"""),2475.56)</f>
        <v/>
      </c>
      <c r="J564" s="6">
        <f>K564&amp;L564</f>
        <v/>
      </c>
      <c r="K564" s="6">
        <f>YEAR(M564)</f>
        <v/>
      </c>
      <c r="L564" s="6">
        <f>MONTH(M564)</f>
        <v/>
      </c>
      <c r="M564" s="267">
        <f>IFERROR(__xludf.DUMMYFUNCTION("""COMPUTED_VALUE"""),43909.6666666666)</f>
        <v/>
      </c>
      <c r="N564" s="6">
        <f>IFERROR(__xludf.DUMMYFUNCTION("""COMPUTED_VALUE"""),7150.58)</f>
        <v/>
      </c>
      <c r="R564" s="6">
        <f>S564&amp;T564</f>
        <v/>
      </c>
      <c r="S564" s="6">
        <f>YEAR(U564)</f>
        <v/>
      </c>
      <c r="T564" s="6">
        <f>MONTH(U564)</f>
        <v/>
      </c>
      <c r="U564" s="267">
        <f>IFERROR(__xludf.DUMMYFUNCTION("""COMPUTED_VALUE"""),43941.6458333333)</f>
        <v/>
      </c>
      <c r="V564" s="6">
        <f>IFERROR(__xludf.DUMMYFUNCTION("""COMPUTED_VALUE"""),1898.36)</f>
        <v/>
      </c>
      <c r="Z564" s="6">
        <f>AA564&amp;AB564</f>
        <v/>
      </c>
      <c r="AA564" s="6">
        <f>YEAR(AC564)</f>
        <v/>
      </c>
      <c r="AB564" s="6">
        <f>MONTH(AC564)</f>
        <v/>
      </c>
      <c r="AC564" s="267">
        <f>IFERROR(__xludf.DUMMYFUNCTION("""COMPUTED_VALUE"""),43695.9986111111)</f>
        <v/>
      </c>
      <c r="AD564" s="6">
        <f>IFERROR(__xludf.DUMMYFUNCTION("""COMPUTED_VALUE"""),1207.49)</f>
        <v/>
      </c>
      <c r="AH564" s="6">
        <f>AI564&amp;AJ564</f>
        <v/>
      </c>
      <c r="AI564" s="6">
        <f>YEAR(AK564)</f>
        <v/>
      </c>
      <c r="AJ564" s="6">
        <f>MONTH(AK564)</f>
        <v/>
      </c>
      <c r="AK564" s="267">
        <f>IFERROR(__xludf.DUMMYFUNCTION("""COMPUTED_VALUE"""),43656.9986111111)</f>
        <v/>
      </c>
      <c r="AL564" s="6">
        <f>IFERROR(__xludf.DUMMYFUNCTION("""COMPUTED_VALUE"""),12101.73)</f>
        <v/>
      </c>
      <c r="AP564" s="6">
        <f>AQ564&amp;AR564</f>
        <v/>
      </c>
      <c r="AQ564" s="6">
        <f>YEAR(AS564)</f>
        <v/>
      </c>
      <c r="AR564" s="6">
        <f>MONTH(AS564)</f>
        <v/>
      </c>
      <c r="AS564" s="267">
        <f>IFERROR(__xludf.DUMMYFUNCTION("""COMPUTED_VALUE"""),43924.9986111111)</f>
        <v/>
      </c>
      <c r="AT564" s="6">
        <f>IFERROR(__xludf.DUMMYFUNCTION("""COMPUTED_VALUE"""),1645.7)</f>
        <v/>
      </c>
    </row>
    <row r="565">
      <c r="B565" s="6">
        <f>C565&amp;D565</f>
        <v/>
      </c>
      <c r="C565" s="6">
        <f>YEAR(E565)</f>
        <v/>
      </c>
      <c r="D565" s="6">
        <f>MONTH(E565)</f>
        <v/>
      </c>
      <c r="E565" s="267">
        <f>IFERROR(__xludf.DUMMYFUNCTION("""COMPUTED_VALUE"""),43916.6666666666)</f>
        <v/>
      </c>
      <c r="F565" s="6">
        <f>IFERROR(__xludf.DUMMYFUNCTION("""COMPUTED_VALUE"""),2630.07)</f>
        <v/>
      </c>
      <c r="J565" s="6">
        <f>K565&amp;L565</f>
        <v/>
      </c>
      <c r="K565" s="6">
        <f>YEAR(M565)</f>
        <v/>
      </c>
      <c r="L565" s="6">
        <f>MONTH(M565)</f>
        <v/>
      </c>
      <c r="M565" s="267">
        <f>IFERROR(__xludf.DUMMYFUNCTION("""COMPUTED_VALUE"""),43910.6666666666)</f>
        <v/>
      </c>
      <c r="N565" s="6">
        <f>IFERROR(__xludf.DUMMYFUNCTION("""COMPUTED_VALUE"""),6879.52)</f>
        <v/>
      </c>
      <c r="R565" s="6">
        <f>S565&amp;T565</f>
        <v/>
      </c>
      <c r="S565" s="6">
        <f>YEAR(U565)</f>
        <v/>
      </c>
      <c r="T565" s="6">
        <f>MONTH(U565)</f>
        <v/>
      </c>
      <c r="U565" s="267">
        <f>IFERROR(__xludf.DUMMYFUNCTION("""COMPUTED_VALUE"""),43942.6458333333)</f>
        <v/>
      </c>
      <c r="V565" s="6">
        <f>IFERROR(__xludf.DUMMYFUNCTION("""COMPUTED_VALUE"""),1879.38)</f>
        <v/>
      </c>
      <c r="Z565" s="6">
        <f>AA565&amp;AB565</f>
        <v/>
      </c>
      <c r="AA565" s="6">
        <f>YEAR(AC565)</f>
        <v/>
      </c>
      <c r="AB565" s="6">
        <f>MONTH(AC565)</f>
        <v/>
      </c>
      <c r="AC565" s="267">
        <f>IFERROR(__xludf.DUMMYFUNCTION("""COMPUTED_VALUE"""),43696.9986111111)</f>
        <v/>
      </c>
      <c r="AD565" s="6">
        <f>IFERROR(__xludf.DUMMYFUNCTION("""COMPUTED_VALUE"""),1210.53)</f>
        <v/>
      </c>
      <c r="AH565" s="6">
        <f>AI565&amp;AJ565</f>
        <v/>
      </c>
      <c r="AI565" s="6">
        <f>YEAR(AK565)</f>
        <v/>
      </c>
      <c r="AJ565" s="6">
        <f>MONTH(AK565)</f>
        <v/>
      </c>
      <c r="AK565" s="267">
        <f>IFERROR(__xludf.DUMMYFUNCTION("""COMPUTED_VALUE"""),43657.9986111111)</f>
        <v/>
      </c>
      <c r="AL565" s="6">
        <f>IFERROR(__xludf.DUMMYFUNCTION("""COMPUTED_VALUE"""),11350.24)</f>
        <v/>
      </c>
      <c r="AP565" s="6">
        <f>AQ565&amp;AR565</f>
        <v/>
      </c>
      <c r="AQ565" s="6">
        <f>YEAR(AS565)</f>
        <v/>
      </c>
      <c r="AR565" s="6">
        <f>MONTH(AS565)</f>
        <v/>
      </c>
      <c r="AS565" s="267">
        <f>IFERROR(__xludf.DUMMYFUNCTION("""COMPUTED_VALUE"""),43927.9986111111)</f>
        <v/>
      </c>
      <c r="AT565" s="6">
        <f>IFERROR(__xludf.DUMMYFUNCTION("""COMPUTED_VALUE"""),1693.9)</f>
        <v/>
      </c>
    </row>
    <row r="566">
      <c r="B566" s="6">
        <f>C566&amp;D566</f>
        <v/>
      </c>
      <c r="C566" s="6">
        <f>YEAR(E566)</f>
        <v/>
      </c>
      <c r="D566" s="6">
        <f>MONTH(E566)</f>
        <v/>
      </c>
      <c r="E566" s="267">
        <f>IFERROR(__xludf.DUMMYFUNCTION("""COMPUTED_VALUE"""),43917.6666666666)</f>
        <v/>
      </c>
      <c r="F566" s="6">
        <f>IFERROR(__xludf.DUMMYFUNCTION("""COMPUTED_VALUE"""),2541.47)</f>
        <v/>
      </c>
      <c r="J566" s="6">
        <f>K566&amp;L566</f>
        <v/>
      </c>
      <c r="K566" s="6">
        <f>YEAR(M566)</f>
        <v/>
      </c>
      <c r="L566" s="6">
        <f>MONTH(M566)</f>
        <v/>
      </c>
      <c r="M566" s="267">
        <f>IFERROR(__xludf.DUMMYFUNCTION("""COMPUTED_VALUE"""),43913.6666666666)</f>
        <v/>
      </c>
      <c r="N566" s="6">
        <f>IFERROR(__xludf.DUMMYFUNCTION("""COMPUTED_VALUE"""),6860.67)</f>
        <v/>
      </c>
      <c r="R566" s="6">
        <f>S566&amp;T566</f>
        <v/>
      </c>
      <c r="S566" s="6">
        <f>YEAR(U566)</f>
        <v/>
      </c>
      <c r="T566" s="6">
        <f>MONTH(U566)</f>
        <v/>
      </c>
      <c r="U566" s="267">
        <f>IFERROR(__xludf.DUMMYFUNCTION("""COMPUTED_VALUE"""),43943.6458333333)</f>
        <v/>
      </c>
      <c r="V566" s="6">
        <f>IFERROR(__xludf.DUMMYFUNCTION("""COMPUTED_VALUE"""),1896.15)</f>
        <v/>
      </c>
      <c r="Z566" s="6">
        <f>AA566&amp;AB566</f>
        <v/>
      </c>
      <c r="AA566" s="6">
        <f>YEAR(AC566)</f>
        <v/>
      </c>
      <c r="AB566" s="6">
        <f>MONTH(AC566)</f>
        <v/>
      </c>
      <c r="AC566" s="267">
        <f>IFERROR(__xludf.DUMMYFUNCTION("""COMPUTED_VALUE"""),43697.9986111111)</f>
        <v/>
      </c>
      <c r="AD566" s="6">
        <f>IFERROR(__xludf.DUMMYFUNCTION("""COMPUTED_VALUE"""),1205.28)</f>
        <v/>
      </c>
      <c r="AH566" s="6">
        <f>AI566&amp;AJ566</f>
        <v/>
      </c>
      <c r="AI566" s="6">
        <f>YEAR(AK566)</f>
        <v/>
      </c>
      <c r="AJ566" s="6">
        <f>MONTH(AK566)</f>
        <v/>
      </c>
      <c r="AK566" s="267">
        <f>IFERROR(__xludf.DUMMYFUNCTION("""COMPUTED_VALUE"""),43658.9986111111)</f>
        <v/>
      </c>
      <c r="AL566" s="6">
        <f>IFERROR(__xludf.DUMMYFUNCTION("""COMPUTED_VALUE"""),11803.48)</f>
        <v/>
      </c>
      <c r="AP566" s="6">
        <f>AQ566&amp;AR566</f>
        <v/>
      </c>
      <c r="AQ566" s="6">
        <f>YEAR(AS566)</f>
        <v/>
      </c>
      <c r="AR566" s="6">
        <f>MONTH(AS566)</f>
        <v/>
      </c>
      <c r="AS566" s="267">
        <f>IFERROR(__xludf.DUMMYFUNCTION("""COMPUTED_VALUE"""),43928.9986111111)</f>
        <v/>
      </c>
      <c r="AT566" s="6">
        <f>IFERROR(__xludf.DUMMYFUNCTION("""COMPUTED_VALUE"""),1683.7)</f>
        <v/>
      </c>
    </row>
    <row r="567">
      <c r="B567" s="6">
        <f>C567&amp;D567</f>
        <v/>
      </c>
      <c r="C567" s="6">
        <f>YEAR(E567)</f>
        <v/>
      </c>
      <c r="D567" s="6">
        <f>MONTH(E567)</f>
        <v/>
      </c>
      <c r="E567" s="267">
        <f>IFERROR(__xludf.DUMMYFUNCTION("""COMPUTED_VALUE"""),43920.6666666666)</f>
        <v/>
      </c>
      <c r="F567" s="6">
        <f>IFERROR(__xludf.DUMMYFUNCTION("""COMPUTED_VALUE"""),2626.65)</f>
        <v/>
      </c>
      <c r="J567" s="6">
        <f>K567&amp;L567</f>
        <v/>
      </c>
      <c r="K567" s="6">
        <f>YEAR(M567)</f>
        <v/>
      </c>
      <c r="L567" s="6">
        <f>MONTH(M567)</f>
        <v/>
      </c>
      <c r="M567" s="267">
        <f>IFERROR(__xludf.DUMMYFUNCTION("""COMPUTED_VALUE"""),43914.6666666666)</f>
        <v/>
      </c>
      <c r="N567" s="6">
        <f>IFERROR(__xludf.DUMMYFUNCTION("""COMPUTED_VALUE"""),7417.86)</f>
        <v/>
      </c>
      <c r="R567" s="6">
        <f>S567&amp;T567</f>
        <v/>
      </c>
      <c r="S567" s="6">
        <f>YEAR(U567)</f>
        <v/>
      </c>
      <c r="T567" s="6">
        <f>MONTH(U567)</f>
        <v/>
      </c>
      <c r="U567" s="267">
        <f>IFERROR(__xludf.DUMMYFUNCTION("""COMPUTED_VALUE"""),43944.6458333333)</f>
        <v/>
      </c>
      <c r="V567" s="6">
        <f>IFERROR(__xludf.DUMMYFUNCTION("""COMPUTED_VALUE"""),1914.73)</f>
        <v/>
      </c>
      <c r="Z567" s="6">
        <f>AA567&amp;AB567</f>
        <v/>
      </c>
      <c r="AA567" s="6">
        <f>YEAR(AC567)</f>
        <v/>
      </c>
      <c r="AB567" s="6">
        <f>MONTH(AC567)</f>
        <v/>
      </c>
      <c r="AC567" s="267">
        <f>IFERROR(__xludf.DUMMYFUNCTION("""COMPUTED_VALUE"""),43698.9986111111)</f>
        <v/>
      </c>
      <c r="AD567" s="6">
        <f>IFERROR(__xludf.DUMMYFUNCTION("""COMPUTED_VALUE"""),1201.32)</f>
        <v/>
      </c>
      <c r="AH567" s="6">
        <f>AI567&amp;AJ567</f>
        <v/>
      </c>
      <c r="AI567" s="6">
        <f>YEAR(AK567)</f>
        <v/>
      </c>
      <c r="AJ567" s="6">
        <f>MONTH(AK567)</f>
        <v/>
      </c>
      <c r="AK567" s="267">
        <f>IFERROR(__xludf.DUMMYFUNCTION("""COMPUTED_VALUE"""),43659.9986111111)</f>
        <v/>
      </c>
      <c r="AL567" s="6">
        <f>IFERROR(__xludf.DUMMYFUNCTION("""COMPUTED_VALUE"""),11364.7)</f>
        <v/>
      </c>
      <c r="AP567" s="6">
        <f>AQ567&amp;AR567</f>
        <v/>
      </c>
      <c r="AQ567" s="6">
        <f>YEAR(AS567)</f>
        <v/>
      </c>
      <c r="AR567" s="6">
        <f>MONTH(AS567)</f>
        <v/>
      </c>
      <c r="AS567" s="267">
        <f>IFERROR(__xludf.DUMMYFUNCTION("""COMPUTED_VALUE"""),43929.9986111111)</f>
        <v/>
      </c>
      <c r="AT567" s="6">
        <f>IFERROR(__xludf.DUMMYFUNCTION("""COMPUTED_VALUE"""),1684.3)</f>
        <v/>
      </c>
    </row>
    <row r="568">
      <c r="B568" s="6">
        <f>C568&amp;D568</f>
        <v/>
      </c>
      <c r="C568" s="6">
        <f>YEAR(E568)</f>
        <v/>
      </c>
      <c r="D568" s="6">
        <f>MONTH(E568)</f>
        <v/>
      </c>
      <c r="E568" s="267">
        <f>IFERROR(__xludf.DUMMYFUNCTION("""COMPUTED_VALUE"""),43921.6666666666)</f>
        <v/>
      </c>
      <c r="F568" s="6">
        <f>IFERROR(__xludf.DUMMYFUNCTION("""COMPUTED_VALUE"""),2584.59)</f>
        <v/>
      </c>
      <c r="J568" s="6">
        <f>K568&amp;L568</f>
        <v/>
      </c>
      <c r="K568" s="6">
        <f>YEAR(M568)</f>
        <v/>
      </c>
      <c r="L568" s="6">
        <f>MONTH(M568)</f>
        <v/>
      </c>
      <c r="M568" s="267">
        <f>IFERROR(__xludf.DUMMYFUNCTION("""COMPUTED_VALUE"""),43915.6666666666)</f>
        <v/>
      </c>
      <c r="N568" s="6">
        <f>IFERROR(__xludf.DUMMYFUNCTION("""COMPUTED_VALUE"""),7384.3)</f>
        <v/>
      </c>
      <c r="R568" s="6">
        <f>S568&amp;T568</f>
        <v/>
      </c>
      <c r="S568" s="6">
        <f>YEAR(U568)</f>
        <v/>
      </c>
      <c r="T568" s="6">
        <f>MONTH(U568)</f>
        <v/>
      </c>
      <c r="U568" s="267">
        <f>IFERROR(__xludf.DUMMYFUNCTION("""COMPUTED_VALUE"""),43945.6458333333)</f>
        <v/>
      </c>
      <c r="V568" s="6">
        <f>IFERROR(__xludf.DUMMYFUNCTION("""COMPUTED_VALUE"""),1889.01)</f>
        <v/>
      </c>
      <c r="Z568" s="6">
        <f>AA568&amp;AB568</f>
        <v/>
      </c>
      <c r="AA568" s="6">
        <f>YEAR(AC568)</f>
        <v/>
      </c>
      <c r="AB568" s="6">
        <f>MONTH(AC568)</f>
        <v/>
      </c>
      <c r="AC568" s="267">
        <f>IFERROR(__xludf.DUMMYFUNCTION("""COMPUTED_VALUE"""),43699.9986111111)</f>
        <v/>
      </c>
      <c r="AD568" s="6">
        <f>IFERROR(__xludf.DUMMYFUNCTION("""COMPUTED_VALUE"""),1208.56)</f>
        <v/>
      </c>
      <c r="AH568" s="6">
        <f>AI568&amp;AJ568</f>
        <v/>
      </c>
      <c r="AI568" s="6">
        <f>YEAR(AK568)</f>
        <v/>
      </c>
      <c r="AJ568" s="6">
        <f>MONTH(AK568)</f>
        <v/>
      </c>
      <c r="AK568" s="267">
        <f>IFERROR(__xludf.DUMMYFUNCTION("""COMPUTED_VALUE"""),43660.9986111111)</f>
        <v/>
      </c>
      <c r="AL568" s="6">
        <f>IFERROR(__xludf.DUMMYFUNCTION("""COMPUTED_VALUE"""),10211.42)</f>
        <v/>
      </c>
      <c r="AP568" s="6">
        <f>AQ568&amp;AR568</f>
        <v/>
      </c>
      <c r="AQ568" s="6">
        <f>YEAR(AS568)</f>
        <v/>
      </c>
      <c r="AR568" s="6">
        <f>MONTH(AS568)</f>
        <v/>
      </c>
      <c r="AS568" s="267">
        <f>IFERROR(__xludf.DUMMYFUNCTION("""COMPUTED_VALUE"""),43930.9986111111)</f>
        <v/>
      </c>
      <c r="AT568" s="6">
        <f>IFERROR(__xludf.DUMMYFUNCTION("""COMPUTED_VALUE"""),1752.8)</f>
        <v/>
      </c>
    </row>
    <row r="569">
      <c r="B569" s="6">
        <f>C569&amp;D569</f>
        <v/>
      </c>
      <c r="C569" s="6">
        <f>YEAR(E569)</f>
        <v/>
      </c>
      <c r="D569" s="6">
        <f>MONTH(E569)</f>
        <v/>
      </c>
      <c r="E569" s="267">
        <f>IFERROR(__xludf.DUMMYFUNCTION("""COMPUTED_VALUE"""),43922.6666666666)</f>
        <v/>
      </c>
      <c r="F569" s="6">
        <f>IFERROR(__xludf.DUMMYFUNCTION("""COMPUTED_VALUE"""),2470.5)</f>
        <v/>
      </c>
      <c r="J569" s="6">
        <f>K569&amp;L569</f>
        <v/>
      </c>
      <c r="K569" s="6">
        <f>YEAR(M569)</f>
        <v/>
      </c>
      <c r="L569" s="6">
        <f>MONTH(M569)</f>
        <v/>
      </c>
      <c r="M569" s="267">
        <f>IFERROR(__xludf.DUMMYFUNCTION("""COMPUTED_VALUE"""),43916.6666666666)</f>
        <v/>
      </c>
      <c r="N569" s="6">
        <f>IFERROR(__xludf.DUMMYFUNCTION("""COMPUTED_VALUE"""),7797.54)</f>
        <v/>
      </c>
      <c r="R569" s="6">
        <f>S569&amp;T569</f>
        <v/>
      </c>
      <c r="S569" s="6">
        <f>YEAR(U569)</f>
        <v/>
      </c>
      <c r="T569" s="6">
        <f>MONTH(U569)</f>
        <v/>
      </c>
      <c r="U569" s="267">
        <f>IFERROR(__xludf.DUMMYFUNCTION("""COMPUTED_VALUE"""),43948.6458333333)</f>
        <v/>
      </c>
      <c r="V569" s="6">
        <f>IFERROR(__xludf.DUMMYFUNCTION("""COMPUTED_VALUE"""),1922.77)</f>
        <v/>
      </c>
      <c r="Z569" s="6">
        <f>AA569&amp;AB569</f>
        <v/>
      </c>
      <c r="AA569" s="6">
        <f>YEAR(AC569)</f>
        <v/>
      </c>
      <c r="AB569" s="6">
        <f>MONTH(AC569)</f>
        <v/>
      </c>
      <c r="AC569" s="267">
        <f>IFERROR(__xludf.DUMMYFUNCTION("""COMPUTED_VALUE"""),43700.9986111111)</f>
        <v/>
      </c>
      <c r="AD569" s="6">
        <f>IFERROR(__xludf.DUMMYFUNCTION("""COMPUTED_VALUE"""),1212.67)</f>
        <v/>
      </c>
      <c r="AH569" s="6">
        <f>AI569&amp;AJ569</f>
        <v/>
      </c>
      <c r="AI569" s="6">
        <f>YEAR(AK569)</f>
        <v/>
      </c>
      <c r="AJ569" s="6">
        <f>MONTH(AK569)</f>
        <v/>
      </c>
      <c r="AK569" s="267">
        <f>IFERROR(__xludf.DUMMYFUNCTION("""COMPUTED_VALUE"""),43661.9986111111)</f>
        <v/>
      </c>
      <c r="AL569" s="6">
        <f>IFERROR(__xludf.DUMMYFUNCTION("""COMPUTED_VALUE"""),10846.35)</f>
        <v/>
      </c>
      <c r="AP569" s="6">
        <f>AQ569&amp;AR569</f>
        <v/>
      </c>
      <c r="AQ569" s="6">
        <f>YEAR(AS569)</f>
        <v/>
      </c>
      <c r="AR569" s="6">
        <f>MONTH(AS569)</f>
        <v/>
      </c>
      <c r="AS569" s="267">
        <f>IFERROR(__xludf.DUMMYFUNCTION("""COMPUTED_VALUE"""),43934.9986111111)</f>
        <v/>
      </c>
      <c r="AT569" s="6">
        <f>IFERROR(__xludf.DUMMYFUNCTION("""COMPUTED_VALUE"""),1761.4)</f>
        <v/>
      </c>
    </row>
    <row r="570">
      <c r="B570" s="6">
        <f>C570&amp;D570</f>
        <v/>
      </c>
      <c r="C570" s="6">
        <f>YEAR(E570)</f>
        <v/>
      </c>
      <c r="D570" s="6">
        <f>MONTH(E570)</f>
        <v/>
      </c>
      <c r="E570" s="267">
        <f>IFERROR(__xludf.DUMMYFUNCTION("""COMPUTED_VALUE"""),43923.6666666666)</f>
        <v/>
      </c>
      <c r="F570" s="6">
        <f>IFERROR(__xludf.DUMMYFUNCTION("""COMPUTED_VALUE"""),2526.9)</f>
        <v/>
      </c>
      <c r="J570" s="6">
        <f>K570&amp;L570</f>
        <v/>
      </c>
      <c r="K570" s="6">
        <f>YEAR(M570)</f>
        <v/>
      </c>
      <c r="L570" s="6">
        <f>MONTH(M570)</f>
        <v/>
      </c>
      <c r="M570" s="267">
        <f>IFERROR(__xludf.DUMMYFUNCTION("""COMPUTED_VALUE"""),43917.6666666666)</f>
        <v/>
      </c>
      <c r="N570" s="6">
        <f>IFERROR(__xludf.DUMMYFUNCTION("""COMPUTED_VALUE"""),7502.38)</f>
        <v/>
      </c>
      <c r="R570" s="6">
        <f>S570&amp;T570</f>
        <v/>
      </c>
      <c r="S570" s="6">
        <f>YEAR(U570)</f>
        <v/>
      </c>
      <c r="T570" s="6">
        <f>MONTH(U570)</f>
        <v/>
      </c>
      <c r="U570" s="267">
        <f>IFERROR(__xludf.DUMMYFUNCTION("""COMPUTED_VALUE"""),43949.6458333333)</f>
        <v/>
      </c>
      <c r="V570" s="6">
        <f>IFERROR(__xludf.DUMMYFUNCTION("""COMPUTED_VALUE"""),1934.09)</f>
        <v/>
      </c>
      <c r="Z570" s="6">
        <f>AA570&amp;AB570</f>
        <v/>
      </c>
      <c r="AA570" s="6">
        <f>YEAR(AC570)</f>
        <v/>
      </c>
      <c r="AB570" s="6">
        <f>MONTH(AC570)</f>
        <v/>
      </c>
      <c r="AC570" s="267">
        <f>IFERROR(__xludf.DUMMYFUNCTION("""COMPUTED_VALUE"""),43701.9986111111)</f>
        <v/>
      </c>
      <c r="AD570" s="6">
        <f>IFERROR(__xludf.DUMMYFUNCTION("""COMPUTED_VALUE"""),1211.7)</f>
        <v/>
      </c>
      <c r="AH570" s="6">
        <f>AI570&amp;AJ570</f>
        <v/>
      </c>
      <c r="AI570" s="6">
        <f>YEAR(AK570)</f>
        <v/>
      </c>
      <c r="AJ570" s="6">
        <f>MONTH(AK570)</f>
        <v/>
      </c>
      <c r="AK570" s="267">
        <f>IFERROR(__xludf.DUMMYFUNCTION("""COMPUTED_VALUE"""),43662.9986111111)</f>
        <v/>
      </c>
      <c r="AL570" s="6">
        <f>IFERROR(__xludf.DUMMYFUNCTION("""COMPUTED_VALUE"""),9425.55)</f>
        <v/>
      </c>
      <c r="AP570" s="6">
        <f>AQ570&amp;AR570</f>
        <v/>
      </c>
      <c r="AQ570" s="6">
        <f>YEAR(AS570)</f>
        <v/>
      </c>
      <c r="AR570" s="6">
        <f>MONTH(AS570)</f>
        <v/>
      </c>
      <c r="AS570" s="267">
        <f>IFERROR(__xludf.DUMMYFUNCTION("""COMPUTED_VALUE"""),43935.9986111111)</f>
        <v/>
      </c>
      <c r="AT570" s="6">
        <f>IFERROR(__xludf.DUMMYFUNCTION("""COMPUTED_VALUE"""),1768.9)</f>
        <v/>
      </c>
    </row>
    <row r="571">
      <c r="B571" s="6">
        <f>C571&amp;D571</f>
        <v/>
      </c>
      <c r="C571" s="6">
        <f>YEAR(E571)</f>
        <v/>
      </c>
      <c r="D571" s="6">
        <f>MONTH(E571)</f>
        <v/>
      </c>
      <c r="E571" s="267">
        <f>IFERROR(__xludf.DUMMYFUNCTION("""COMPUTED_VALUE"""),43924.6666666666)</f>
        <v/>
      </c>
      <c r="F571" s="6">
        <f>IFERROR(__xludf.DUMMYFUNCTION("""COMPUTED_VALUE"""),2488.65)</f>
        <v/>
      </c>
      <c r="J571" s="6">
        <f>K571&amp;L571</f>
        <v/>
      </c>
      <c r="K571" s="6">
        <f>YEAR(M571)</f>
        <v/>
      </c>
      <c r="L571" s="6">
        <f>MONTH(M571)</f>
        <v/>
      </c>
      <c r="M571" s="267">
        <f>IFERROR(__xludf.DUMMYFUNCTION("""COMPUTED_VALUE"""),43920.6666666666)</f>
        <v/>
      </c>
      <c r="N571" s="6">
        <f>IFERROR(__xludf.DUMMYFUNCTION("""COMPUTED_VALUE"""),7774.15)</f>
        <v/>
      </c>
      <c r="R571" s="6">
        <f>S571&amp;T571</f>
        <v/>
      </c>
      <c r="S571" s="6">
        <f>YEAR(U571)</f>
        <v/>
      </c>
      <c r="T571" s="6">
        <f>MONTH(U571)</f>
        <v/>
      </c>
      <c r="U571" s="267">
        <f>IFERROR(__xludf.DUMMYFUNCTION("""COMPUTED_VALUE"""),43950.6458333333)</f>
        <v/>
      </c>
      <c r="V571" s="6">
        <f>IFERROR(__xludf.DUMMYFUNCTION("""COMPUTED_VALUE"""),1947.56)</f>
        <v/>
      </c>
      <c r="Z571" s="6">
        <f>AA571&amp;AB571</f>
        <v/>
      </c>
      <c r="AA571" s="6">
        <f>YEAR(AC571)</f>
        <v/>
      </c>
      <c r="AB571" s="6">
        <f>MONTH(AC571)</f>
        <v/>
      </c>
      <c r="AC571" s="267">
        <f>IFERROR(__xludf.DUMMYFUNCTION("""COMPUTED_VALUE"""),43702.9986111111)</f>
        <v/>
      </c>
      <c r="AD571" s="6">
        <f>IFERROR(__xludf.DUMMYFUNCTION("""COMPUTED_VALUE"""),1212.65)</f>
        <v/>
      </c>
      <c r="AH571" s="6">
        <f>AI571&amp;AJ571</f>
        <v/>
      </c>
      <c r="AI571" s="6">
        <f>YEAR(AK571)</f>
        <v/>
      </c>
      <c r="AJ571" s="6">
        <f>MONTH(AK571)</f>
        <v/>
      </c>
      <c r="AK571" s="267">
        <f>IFERROR(__xludf.DUMMYFUNCTION("""COMPUTED_VALUE"""),43663.9986111111)</f>
        <v/>
      </c>
      <c r="AL571" s="6">
        <f>IFERROR(__xludf.DUMMYFUNCTION("""COMPUTED_VALUE"""),9684.662)</f>
        <v/>
      </c>
      <c r="AP571" s="6">
        <f>AQ571&amp;AR571</f>
        <v/>
      </c>
      <c r="AQ571" s="6">
        <f>YEAR(AS571)</f>
        <v/>
      </c>
      <c r="AR571" s="6">
        <f>MONTH(AS571)</f>
        <v/>
      </c>
      <c r="AS571" s="267">
        <f>IFERROR(__xludf.DUMMYFUNCTION("""COMPUTED_VALUE"""),43936.9986111111)</f>
        <v/>
      </c>
      <c r="AT571" s="6">
        <f>IFERROR(__xludf.DUMMYFUNCTION("""COMPUTED_VALUE"""),1740.2)</f>
        <v/>
      </c>
    </row>
    <row r="572">
      <c r="B572" s="6">
        <f>C572&amp;D572</f>
        <v/>
      </c>
      <c r="C572" s="6">
        <f>YEAR(E572)</f>
        <v/>
      </c>
      <c r="D572" s="6">
        <f>MONTH(E572)</f>
        <v/>
      </c>
      <c r="E572" s="267">
        <f>IFERROR(__xludf.DUMMYFUNCTION("""COMPUTED_VALUE"""),43927.6666666666)</f>
        <v/>
      </c>
      <c r="F572" s="6">
        <f>IFERROR(__xludf.DUMMYFUNCTION("""COMPUTED_VALUE"""),2663.68)</f>
        <v/>
      </c>
      <c r="J572" s="6">
        <f>K572&amp;L572</f>
        <v/>
      </c>
      <c r="K572" s="6">
        <f>YEAR(M572)</f>
        <v/>
      </c>
      <c r="L572" s="6">
        <f>MONTH(M572)</f>
        <v/>
      </c>
      <c r="M572" s="267">
        <f>IFERROR(__xludf.DUMMYFUNCTION("""COMPUTED_VALUE"""),43921.6666666666)</f>
        <v/>
      </c>
      <c r="N572" s="6">
        <f>IFERROR(__xludf.DUMMYFUNCTION("""COMPUTED_VALUE"""),7700.1)</f>
        <v/>
      </c>
      <c r="R572" s="6">
        <f>S572&amp;T572</f>
        <v/>
      </c>
      <c r="S572" s="6">
        <f>YEAR(U572)</f>
        <v/>
      </c>
      <c r="T572" s="6">
        <f>MONTH(U572)</f>
        <v/>
      </c>
      <c r="U572" s="267">
        <f>IFERROR(__xludf.DUMMYFUNCTION("""COMPUTED_VALUE"""),43955.6458333333)</f>
        <v/>
      </c>
      <c r="V572" s="6">
        <f>IFERROR(__xludf.DUMMYFUNCTION("""COMPUTED_VALUE"""),1895.37)</f>
        <v/>
      </c>
      <c r="Z572" s="6">
        <f>AA572&amp;AB572</f>
        <v/>
      </c>
      <c r="AA572" s="6">
        <f>YEAR(AC572)</f>
        <v/>
      </c>
      <c r="AB572" s="6">
        <f>MONTH(AC572)</f>
        <v/>
      </c>
      <c r="AC572" s="267">
        <f>IFERROR(__xludf.DUMMYFUNCTION("""COMPUTED_VALUE"""),43703.9986111111)</f>
        <v/>
      </c>
      <c r="AD572" s="6">
        <f>IFERROR(__xludf.DUMMYFUNCTION("""COMPUTED_VALUE"""),1210.73)</f>
        <v/>
      </c>
      <c r="AH572" s="6">
        <f>AI572&amp;AJ572</f>
        <v/>
      </c>
      <c r="AI572" s="6">
        <f>YEAR(AK572)</f>
        <v/>
      </c>
      <c r="AJ572" s="6">
        <f>MONTH(AK572)</f>
        <v/>
      </c>
      <c r="AK572" s="267">
        <f>IFERROR(__xludf.DUMMYFUNCTION("""COMPUTED_VALUE"""),43664.9986111111)</f>
        <v/>
      </c>
      <c r="AL572" s="6">
        <f>IFERROR(__xludf.DUMMYFUNCTION("""COMPUTED_VALUE"""),10631.28)</f>
        <v/>
      </c>
      <c r="AP572" s="6">
        <f>AQ572&amp;AR572</f>
        <v/>
      </c>
      <c r="AQ572" s="6">
        <f>YEAR(AS572)</f>
        <v/>
      </c>
      <c r="AR572" s="6">
        <f>MONTH(AS572)</f>
        <v/>
      </c>
      <c r="AS572" s="267">
        <f>IFERROR(__xludf.DUMMYFUNCTION("""COMPUTED_VALUE"""),43937.9986111111)</f>
        <v/>
      </c>
      <c r="AT572" s="6">
        <f>IFERROR(__xludf.DUMMYFUNCTION("""COMPUTED_VALUE"""),1731.7)</f>
        <v/>
      </c>
    </row>
    <row r="573">
      <c r="B573" s="6">
        <f>C573&amp;D573</f>
        <v/>
      </c>
      <c r="C573" s="6">
        <f>YEAR(E573)</f>
        <v/>
      </c>
      <c r="D573" s="6">
        <f>MONTH(E573)</f>
        <v/>
      </c>
      <c r="E573" s="267">
        <f>IFERROR(__xludf.DUMMYFUNCTION("""COMPUTED_VALUE"""),43928.6666666666)</f>
        <v/>
      </c>
      <c r="F573" s="6">
        <f>IFERROR(__xludf.DUMMYFUNCTION("""COMPUTED_VALUE"""),2659.41)</f>
        <v/>
      </c>
      <c r="J573" s="6">
        <f>K573&amp;L573</f>
        <v/>
      </c>
      <c r="K573" s="6">
        <f>YEAR(M573)</f>
        <v/>
      </c>
      <c r="L573" s="6">
        <f>MONTH(M573)</f>
        <v/>
      </c>
      <c r="M573" s="267">
        <f>IFERROR(__xludf.DUMMYFUNCTION("""COMPUTED_VALUE"""),43922.6666666666)</f>
        <v/>
      </c>
      <c r="N573" s="6">
        <f>IFERROR(__xludf.DUMMYFUNCTION("""COMPUTED_VALUE"""),7360.58)</f>
        <v/>
      </c>
      <c r="R573" s="6">
        <f>S573&amp;T573</f>
        <v/>
      </c>
      <c r="S573" s="6">
        <f>YEAR(U573)</f>
        <v/>
      </c>
      <c r="T573" s="6">
        <f>MONTH(U573)</f>
        <v/>
      </c>
      <c r="U573" s="267">
        <f>IFERROR(__xludf.DUMMYFUNCTION("""COMPUTED_VALUE"""),43957.6458333333)</f>
        <v/>
      </c>
      <c r="V573" s="6">
        <f>IFERROR(__xludf.DUMMYFUNCTION("""COMPUTED_VALUE"""),1928.76)</f>
        <v/>
      </c>
      <c r="Z573" s="6">
        <f>AA573&amp;AB573</f>
        <v/>
      </c>
      <c r="AA573" s="6">
        <f>YEAR(AC573)</f>
        <v/>
      </c>
      <c r="AB573" s="6">
        <f>MONTH(AC573)</f>
        <v/>
      </c>
      <c r="AC573" s="267">
        <f>IFERROR(__xludf.DUMMYFUNCTION("""COMPUTED_VALUE"""),43704.9986111111)</f>
        <v/>
      </c>
      <c r="AD573" s="6">
        <f>IFERROR(__xludf.DUMMYFUNCTION("""COMPUTED_VALUE"""),1210.76)</f>
        <v/>
      </c>
      <c r="AH573" s="6">
        <f>AI573&amp;AJ573</f>
        <v/>
      </c>
      <c r="AI573" s="6">
        <f>YEAR(AK573)</f>
        <v/>
      </c>
      <c r="AJ573" s="6">
        <f>MONTH(AK573)</f>
        <v/>
      </c>
      <c r="AK573" s="267">
        <f>IFERROR(__xludf.DUMMYFUNCTION("""COMPUTED_VALUE"""),43665.9986111111)</f>
        <v/>
      </c>
      <c r="AL573" s="6">
        <f>IFERROR(__xludf.DUMMYFUNCTION("""COMPUTED_VALUE"""),10528.37)</f>
        <v/>
      </c>
      <c r="AP573" s="6">
        <f>AQ573&amp;AR573</f>
        <v/>
      </c>
      <c r="AQ573" s="6">
        <f>YEAR(AS573)</f>
        <v/>
      </c>
      <c r="AR573" s="6">
        <f>MONTH(AS573)</f>
        <v/>
      </c>
      <c r="AS573" s="267">
        <f>IFERROR(__xludf.DUMMYFUNCTION("""COMPUTED_VALUE"""),43938.9986111111)</f>
        <v/>
      </c>
      <c r="AT573" s="6">
        <f>IFERROR(__xludf.DUMMYFUNCTION("""COMPUTED_VALUE"""),1698.8)</f>
        <v/>
      </c>
    </row>
    <row r="574">
      <c r="B574" s="6">
        <f>C574&amp;D574</f>
        <v/>
      </c>
      <c r="C574" s="6">
        <f>YEAR(E574)</f>
        <v/>
      </c>
      <c r="D574" s="6">
        <f>MONTH(E574)</f>
        <v/>
      </c>
      <c r="E574" s="267">
        <f>IFERROR(__xludf.DUMMYFUNCTION("""COMPUTED_VALUE"""),43929.6666666666)</f>
        <v/>
      </c>
      <c r="F574" s="6">
        <f>IFERROR(__xludf.DUMMYFUNCTION("""COMPUTED_VALUE"""),2749.98)</f>
        <v/>
      </c>
      <c r="J574" s="6">
        <f>K574&amp;L574</f>
        <v/>
      </c>
      <c r="K574" s="6">
        <f>YEAR(M574)</f>
        <v/>
      </c>
      <c r="L574" s="6">
        <f>MONTH(M574)</f>
        <v/>
      </c>
      <c r="M574" s="267">
        <f>IFERROR(__xludf.DUMMYFUNCTION("""COMPUTED_VALUE"""),43923.6666666666)</f>
        <v/>
      </c>
      <c r="N574" s="6">
        <f>IFERROR(__xludf.DUMMYFUNCTION("""COMPUTED_VALUE"""),7487.31)</f>
        <v/>
      </c>
      <c r="R574" s="6">
        <f>S574&amp;T574</f>
        <v/>
      </c>
      <c r="S574" s="6">
        <f>YEAR(U574)</f>
        <v/>
      </c>
      <c r="T574" s="6">
        <f>MONTH(U574)</f>
        <v/>
      </c>
      <c r="U574" s="267">
        <f>IFERROR(__xludf.DUMMYFUNCTION("""COMPUTED_VALUE"""),43958.6458333333)</f>
        <v/>
      </c>
      <c r="V574" s="6">
        <f>IFERROR(__xludf.DUMMYFUNCTION("""COMPUTED_VALUE"""),1928.61)</f>
        <v/>
      </c>
      <c r="Z574" s="6">
        <f>AA574&amp;AB574</f>
        <v/>
      </c>
      <c r="AA574" s="6">
        <f>YEAR(AC574)</f>
        <v/>
      </c>
      <c r="AB574" s="6">
        <f>MONTH(AC574)</f>
        <v/>
      </c>
      <c r="AC574" s="267">
        <f>IFERROR(__xludf.DUMMYFUNCTION("""COMPUTED_VALUE"""),43705.9986111111)</f>
        <v/>
      </c>
      <c r="AD574" s="6">
        <f>IFERROR(__xludf.DUMMYFUNCTION("""COMPUTED_VALUE"""),1211.37)</f>
        <v/>
      </c>
      <c r="AH574" s="6">
        <f>AI574&amp;AJ574</f>
        <v/>
      </c>
      <c r="AI574" s="6">
        <f>YEAR(AK574)</f>
        <v/>
      </c>
      <c r="AJ574" s="6">
        <f>MONTH(AK574)</f>
        <v/>
      </c>
      <c r="AK574" s="267">
        <f>IFERROR(__xludf.DUMMYFUNCTION("""COMPUTED_VALUE"""),43666.9986111111)</f>
        <v/>
      </c>
      <c r="AL574" s="6">
        <f>IFERROR(__xludf.DUMMYFUNCTION("""COMPUTED_VALUE"""),10749.29)</f>
        <v/>
      </c>
      <c r="AP574" s="6">
        <f>AQ574&amp;AR574</f>
        <v/>
      </c>
      <c r="AQ574" s="6">
        <f>YEAR(AS574)</f>
        <v/>
      </c>
      <c r="AR574" s="6">
        <f>MONTH(AS574)</f>
        <v/>
      </c>
      <c r="AS574" s="267">
        <f>IFERROR(__xludf.DUMMYFUNCTION("""COMPUTED_VALUE"""),43941.9986111111)</f>
        <v/>
      </c>
      <c r="AT574" s="6">
        <f>IFERROR(__xludf.DUMMYFUNCTION("""COMPUTED_VALUE"""),1711.2)</f>
        <v/>
      </c>
    </row>
    <row r="575">
      <c r="B575" s="6">
        <f>C575&amp;D575</f>
        <v/>
      </c>
      <c r="C575" s="6">
        <f>YEAR(E575)</f>
        <v/>
      </c>
      <c r="D575" s="6">
        <f>MONTH(E575)</f>
        <v/>
      </c>
      <c r="E575" s="267">
        <f>IFERROR(__xludf.DUMMYFUNCTION("""COMPUTED_VALUE"""),43930.6666666666)</f>
        <v/>
      </c>
      <c r="F575" s="6">
        <f>IFERROR(__xludf.DUMMYFUNCTION("""COMPUTED_VALUE"""),2789.82)</f>
        <v/>
      </c>
      <c r="J575" s="6">
        <f>K575&amp;L575</f>
        <v/>
      </c>
      <c r="K575" s="6">
        <f>YEAR(M575)</f>
        <v/>
      </c>
      <c r="L575" s="6">
        <f>MONTH(M575)</f>
        <v/>
      </c>
      <c r="M575" s="267">
        <f>IFERROR(__xludf.DUMMYFUNCTION("""COMPUTED_VALUE"""),43924.6666666666)</f>
        <v/>
      </c>
      <c r="N575" s="6">
        <f>IFERROR(__xludf.DUMMYFUNCTION("""COMPUTED_VALUE"""),7373.08)</f>
        <v/>
      </c>
      <c r="R575" s="6">
        <f>S575&amp;T575</f>
        <v/>
      </c>
      <c r="S575" s="6">
        <f>YEAR(U575)</f>
        <v/>
      </c>
      <c r="T575" s="6">
        <f>MONTH(U575)</f>
        <v/>
      </c>
      <c r="U575" s="267">
        <f>IFERROR(__xludf.DUMMYFUNCTION("""COMPUTED_VALUE"""),43959.6458333333)</f>
        <v/>
      </c>
      <c r="V575" s="6">
        <f>IFERROR(__xludf.DUMMYFUNCTION("""COMPUTED_VALUE"""),1945.82)</f>
        <v/>
      </c>
      <c r="Z575" s="6">
        <f>AA575&amp;AB575</f>
        <v/>
      </c>
      <c r="AA575" s="6">
        <f>YEAR(AC575)</f>
        <v/>
      </c>
      <c r="AB575" s="6">
        <f>MONTH(AC575)</f>
        <v/>
      </c>
      <c r="AC575" s="267">
        <f>IFERROR(__xludf.DUMMYFUNCTION("""COMPUTED_VALUE"""),43706.9986111111)</f>
        <v/>
      </c>
      <c r="AD575" s="6">
        <f>IFERROR(__xludf.DUMMYFUNCTION("""COMPUTED_VALUE"""),1207.16)</f>
        <v/>
      </c>
      <c r="AH575" s="6">
        <f>AI575&amp;AJ575</f>
        <v/>
      </c>
      <c r="AI575" s="6">
        <f>YEAR(AK575)</f>
        <v/>
      </c>
      <c r="AJ575" s="6">
        <f>MONTH(AK575)</f>
        <v/>
      </c>
      <c r="AK575" s="267">
        <f>IFERROR(__xludf.DUMMYFUNCTION("""COMPUTED_VALUE"""),43667.9986111111)</f>
        <v/>
      </c>
      <c r="AL575" s="6">
        <f>IFERROR(__xludf.DUMMYFUNCTION("""COMPUTED_VALUE"""),10585.77)</f>
        <v/>
      </c>
      <c r="AP575" s="6">
        <f>AQ575&amp;AR575</f>
        <v/>
      </c>
      <c r="AQ575" s="6">
        <f>YEAR(AS575)</f>
        <v/>
      </c>
      <c r="AR575" s="6">
        <f>MONTH(AS575)</f>
        <v/>
      </c>
      <c r="AS575" s="267">
        <f>IFERROR(__xludf.DUMMYFUNCTION("""COMPUTED_VALUE"""),43942.9986111111)</f>
        <v/>
      </c>
      <c r="AT575" s="6">
        <f>IFERROR(__xludf.DUMMYFUNCTION("""COMPUTED_VALUE"""),1687.8)</f>
        <v/>
      </c>
    </row>
    <row r="576">
      <c r="B576" s="6">
        <f>C576&amp;D576</f>
        <v/>
      </c>
      <c r="C576" s="6">
        <f>YEAR(E576)</f>
        <v/>
      </c>
      <c r="D576" s="6">
        <f>MONTH(E576)</f>
        <v/>
      </c>
      <c r="E576" s="267">
        <f>IFERROR(__xludf.DUMMYFUNCTION("""COMPUTED_VALUE"""),43934.6666666666)</f>
        <v/>
      </c>
      <c r="F576" s="6">
        <f>IFERROR(__xludf.DUMMYFUNCTION("""COMPUTED_VALUE"""),2761.63)</f>
        <v/>
      </c>
      <c r="J576" s="6">
        <f>K576&amp;L576</f>
        <v/>
      </c>
      <c r="K576" s="6">
        <f>YEAR(M576)</f>
        <v/>
      </c>
      <c r="L576" s="6">
        <f>MONTH(M576)</f>
        <v/>
      </c>
      <c r="M576" s="267">
        <f>IFERROR(__xludf.DUMMYFUNCTION("""COMPUTED_VALUE"""),43927.6666666666)</f>
        <v/>
      </c>
      <c r="N576" s="6">
        <f>IFERROR(__xludf.DUMMYFUNCTION("""COMPUTED_VALUE"""),7913.24)</f>
        <v/>
      </c>
      <c r="R576" s="6">
        <f>S576&amp;T576</f>
        <v/>
      </c>
      <c r="S576" s="6">
        <f>YEAR(U576)</f>
        <v/>
      </c>
      <c r="T576" s="6">
        <f>MONTH(U576)</f>
        <v/>
      </c>
      <c r="U576" s="267">
        <f>IFERROR(__xludf.DUMMYFUNCTION("""COMPUTED_VALUE"""),43962.6458333333)</f>
        <v/>
      </c>
      <c r="V576" s="6">
        <f>IFERROR(__xludf.DUMMYFUNCTION("""COMPUTED_VALUE"""),1935.4)</f>
        <v/>
      </c>
      <c r="Z576" s="6">
        <f>AA576&amp;AB576</f>
        <v/>
      </c>
      <c r="AA576" s="6">
        <f>YEAR(AC576)</f>
        <v/>
      </c>
      <c r="AB576" s="6">
        <f>MONTH(AC576)</f>
        <v/>
      </c>
      <c r="AC576" s="267">
        <f>IFERROR(__xludf.DUMMYFUNCTION("""COMPUTED_VALUE"""),43707.9986111111)</f>
        <v/>
      </c>
      <c r="AD576" s="6">
        <f>IFERROR(__xludf.DUMMYFUNCTION("""COMPUTED_VALUE"""),1209.51)</f>
        <v/>
      </c>
      <c r="AH576" s="6">
        <f>AI576&amp;AJ576</f>
        <v/>
      </c>
      <c r="AI576" s="6">
        <f>YEAR(AK576)</f>
        <v/>
      </c>
      <c r="AJ576" s="6">
        <f>MONTH(AK576)</f>
        <v/>
      </c>
      <c r="AK576" s="267">
        <f>IFERROR(__xludf.DUMMYFUNCTION("""COMPUTED_VALUE"""),43668.9986111111)</f>
        <v/>
      </c>
      <c r="AL576" s="6">
        <f>IFERROR(__xludf.DUMMYFUNCTION("""COMPUTED_VALUE"""),10325.27)</f>
        <v/>
      </c>
      <c r="AP576" s="6">
        <f>AQ576&amp;AR576</f>
        <v/>
      </c>
      <c r="AQ576" s="6">
        <f>YEAR(AS576)</f>
        <v/>
      </c>
      <c r="AR576" s="6">
        <f>MONTH(AS576)</f>
        <v/>
      </c>
      <c r="AS576" s="267">
        <f>IFERROR(__xludf.DUMMYFUNCTION("""COMPUTED_VALUE"""),43943.9986111111)</f>
        <v/>
      </c>
      <c r="AT576" s="6">
        <f>IFERROR(__xludf.DUMMYFUNCTION("""COMPUTED_VALUE"""),1738.3)</f>
        <v/>
      </c>
    </row>
    <row r="577">
      <c r="B577" s="6">
        <f>C577&amp;D577</f>
        <v/>
      </c>
      <c r="C577" s="6">
        <f>YEAR(E577)</f>
        <v/>
      </c>
      <c r="D577" s="6">
        <f>MONTH(E577)</f>
        <v/>
      </c>
      <c r="E577" s="267">
        <f>IFERROR(__xludf.DUMMYFUNCTION("""COMPUTED_VALUE"""),43935.6666666666)</f>
        <v/>
      </c>
      <c r="F577" s="6">
        <f>IFERROR(__xludf.DUMMYFUNCTION("""COMPUTED_VALUE"""),2846.06)</f>
        <v/>
      </c>
      <c r="J577" s="6">
        <f>K577&amp;L577</f>
        <v/>
      </c>
      <c r="K577" s="6">
        <f>YEAR(M577)</f>
        <v/>
      </c>
      <c r="L577" s="6">
        <f>MONTH(M577)</f>
        <v/>
      </c>
      <c r="M577" s="267">
        <f>IFERROR(__xludf.DUMMYFUNCTION("""COMPUTED_VALUE"""),43928.6666666666)</f>
        <v/>
      </c>
      <c r="N577" s="6">
        <f>IFERROR(__xludf.DUMMYFUNCTION("""COMPUTED_VALUE"""),7887.26)</f>
        <v/>
      </c>
      <c r="R577" s="6">
        <f>S577&amp;T577</f>
        <v/>
      </c>
      <c r="S577" s="6">
        <f>YEAR(U577)</f>
        <v/>
      </c>
      <c r="T577" s="6">
        <f>MONTH(U577)</f>
        <v/>
      </c>
      <c r="U577" s="267">
        <f>IFERROR(__xludf.DUMMYFUNCTION("""COMPUTED_VALUE"""),43963.6458333333)</f>
        <v/>
      </c>
      <c r="V577" s="6">
        <f>IFERROR(__xludf.DUMMYFUNCTION("""COMPUTED_VALUE"""),1922.17)</f>
        <v/>
      </c>
      <c r="Z577" s="6">
        <f>AA577&amp;AB577</f>
        <v/>
      </c>
      <c r="AA577" s="6">
        <f>YEAR(AC577)</f>
        <v/>
      </c>
      <c r="AB577" s="6">
        <f>MONTH(AC577)</f>
        <v/>
      </c>
      <c r="AC577" s="267">
        <f>IFERROR(__xludf.DUMMYFUNCTION("""COMPUTED_VALUE"""),43709.9986111111)</f>
        <v/>
      </c>
      <c r="AD577" s="6">
        <f>IFERROR(__xludf.DUMMYFUNCTION("""COMPUTED_VALUE"""),1209.15)</f>
        <v/>
      </c>
      <c r="AH577" s="6">
        <f>AI577&amp;AJ577</f>
        <v/>
      </c>
      <c r="AI577" s="6">
        <f>YEAR(AK577)</f>
        <v/>
      </c>
      <c r="AJ577" s="6">
        <f>MONTH(AK577)</f>
        <v/>
      </c>
      <c r="AK577" s="267">
        <f>IFERROR(__xludf.DUMMYFUNCTION("""COMPUTED_VALUE"""),43669.9986111111)</f>
        <v/>
      </c>
      <c r="AL577" s="6">
        <f>IFERROR(__xludf.DUMMYFUNCTION("""COMPUTED_VALUE"""),9860.352)</f>
        <v/>
      </c>
      <c r="AP577" s="6">
        <f>AQ577&amp;AR577</f>
        <v/>
      </c>
      <c r="AQ577" s="6">
        <f>YEAR(AS577)</f>
        <v/>
      </c>
      <c r="AR577" s="6">
        <f>MONTH(AS577)</f>
        <v/>
      </c>
      <c r="AS577" s="267">
        <f>IFERROR(__xludf.DUMMYFUNCTION("""COMPUTED_VALUE"""),43944.9986111111)</f>
        <v/>
      </c>
      <c r="AT577" s="6">
        <f>IFERROR(__xludf.DUMMYFUNCTION("""COMPUTED_VALUE"""),1745.4)</f>
        <v/>
      </c>
    </row>
    <row r="578">
      <c r="B578" s="6">
        <f>C578&amp;D578</f>
        <v/>
      </c>
      <c r="C578" s="6">
        <f>YEAR(E578)</f>
        <v/>
      </c>
      <c r="D578" s="6">
        <f>MONTH(E578)</f>
        <v/>
      </c>
      <c r="E578" s="267">
        <f>IFERROR(__xludf.DUMMYFUNCTION("""COMPUTED_VALUE"""),43936.6666666666)</f>
        <v/>
      </c>
      <c r="F578" s="6">
        <f>IFERROR(__xludf.DUMMYFUNCTION("""COMPUTED_VALUE"""),2783.36)</f>
        <v/>
      </c>
      <c r="J578" s="6">
        <f>K578&amp;L578</f>
        <v/>
      </c>
      <c r="K578" s="6">
        <f>YEAR(M578)</f>
        <v/>
      </c>
      <c r="L578" s="6">
        <f>MONTH(M578)</f>
        <v/>
      </c>
      <c r="M578" s="267">
        <f>IFERROR(__xludf.DUMMYFUNCTION("""COMPUTED_VALUE"""),43929.6666666666)</f>
        <v/>
      </c>
      <c r="N578" s="6">
        <f>IFERROR(__xludf.DUMMYFUNCTION("""COMPUTED_VALUE"""),8090.9)</f>
        <v/>
      </c>
      <c r="R578" s="6">
        <f>S578&amp;T578</f>
        <v/>
      </c>
      <c r="S578" s="6">
        <f>YEAR(U578)</f>
        <v/>
      </c>
      <c r="T578" s="6">
        <f>MONTH(U578)</f>
        <v/>
      </c>
      <c r="U578" s="267">
        <f>IFERROR(__xludf.DUMMYFUNCTION("""COMPUTED_VALUE"""),43964.6458333333)</f>
        <v/>
      </c>
      <c r="V578" s="6">
        <f>IFERROR(__xludf.DUMMYFUNCTION("""COMPUTED_VALUE"""),1940.42)</f>
        <v/>
      </c>
      <c r="Z578" s="6">
        <f>AA578&amp;AB578</f>
        <v/>
      </c>
      <c r="AA578" s="6">
        <f>YEAR(AC578)</f>
        <v/>
      </c>
      <c r="AB578" s="6">
        <f>MONTH(AC578)</f>
        <v/>
      </c>
      <c r="AC578" s="267">
        <f>IFERROR(__xludf.DUMMYFUNCTION("""COMPUTED_VALUE"""),43710.9986111111)</f>
        <v/>
      </c>
      <c r="AD578" s="6">
        <f>IFERROR(__xludf.DUMMYFUNCTION("""COMPUTED_VALUE"""),1212.77)</f>
        <v/>
      </c>
      <c r="AH578" s="6">
        <f>AI578&amp;AJ578</f>
        <v/>
      </c>
      <c r="AI578" s="6">
        <f>YEAR(AK578)</f>
        <v/>
      </c>
      <c r="AJ578" s="6">
        <f>MONTH(AK578)</f>
        <v/>
      </c>
      <c r="AK578" s="267">
        <f>IFERROR(__xludf.DUMMYFUNCTION("""COMPUTED_VALUE"""),43670.9986111111)</f>
        <v/>
      </c>
      <c r="AL578" s="6">
        <f>IFERROR(__xludf.DUMMYFUNCTION("""COMPUTED_VALUE"""),9773.864)</f>
        <v/>
      </c>
      <c r="AP578" s="6">
        <f>AQ578&amp;AR578</f>
        <v/>
      </c>
      <c r="AQ578" s="6">
        <f>YEAR(AS578)</f>
        <v/>
      </c>
      <c r="AR578" s="6">
        <f>MONTH(AS578)</f>
        <v/>
      </c>
      <c r="AS578" s="267">
        <f>IFERROR(__xludf.DUMMYFUNCTION("""COMPUTED_VALUE"""),43945.9986111111)</f>
        <v/>
      </c>
      <c r="AT578" s="6">
        <f>IFERROR(__xludf.DUMMYFUNCTION("""COMPUTED_VALUE"""),1735.6)</f>
        <v/>
      </c>
    </row>
    <row r="579">
      <c r="B579" s="6">
        <f>C579&amp;D579</f>
        <v/>
      </c>
      <c r="C579" s="6">
        <f>YEAR(E579)</f>
        <v/>
      </c>
      <c r="D579" s="6">
        <f>MONTH(E579)</f>
        <v/>
      </c>
      <c r="E579" s="267">
        <f>IFERROR(__xludf.DUMMYFUNCTION("""COMPUTED_VALUE"""),43937.6666666666)</f>
        <v/>
      </c>
      <c r="F579" s="6">
        <f>IFERROR(__xludf.DUMMYFUNCTION("""COMPUTED_VALUE"""),2799.55)</f>
        <v/>
      </c>
      <c r="J579" s="6">
        <f>K579&amp;L579</f>
        <v/>
      </c>
      <c r="K579" s="6">
        <f>YEAR(M579)</f>
        <v/>
      </c>
      <c r="L579" s="6">
        <f>MONTH(M579)</f>
        <v/>
      </c>
      <c r="M579" s="267">
        <f>IFERROR(__xludf.DUMMYFUNCTION("""COMPUTED_VALUE"""),43930.6666666666)</f>
        <v/>
      </c>
      <c r="N579" s="6">
        <f>IFERROR(__xludf.DUMMYFUNCTION("""COMPUTED_VALUE"""),8153.58)</f>
        <v/>
      </c>
      <c r="R579" s="6">
        <f>S579&amp;T579</f>
        <v/>
      </c>
      <c r="S579" s="6">
        <f>YEAR(U579)</f>
        <v/>
      </c>
      <c r="T579" s="6">
        <f>MONTH(U579)</f>
        <v/>
      </c>
      <c r="U579" s="267">
        <f>IFERROR(__xludf.DUMMYFUNCTION("""COMPUTED_VALUE"""),43965.6458333333)</f>
        <v/>
      </c>
      <c r="V579" s="6">
        <f>IFERROR(__xludf.DUMMYFUNCTION("""COMPUTED_VALUE"""),1924.96)</f>
        <v/>
      </c>
      <c r="Z579" s="6">
        <f>AA579&amp;AB579</f>
        <v/>
      </c>
      <c r="AA579" s="6">
        <f>YEAR(AC579)</f>
        <v/>
      </c>
      <c r="AB579" s="6">
        <f>MONTH(AC579)</f>
        <v/>
      </c>
      <c r="AC579" s="267">
        <f>IFERROR(__xludf.DUMMYFUNCTION("""COMPUTED_VALUE"""),43711.9986111111)</f>
        <v/>
      </c>
      <c r="AD579" s="6">
        <f>IFERROR(__xludf.DUMMYFUNCTION("""COMPUTED_VALUE"""),1210.48)</f>
        <v/>
      </c>
      <c r="AH579" s="6">
        <f>AI579&amp;AJ579</f>
        <v/>
      </c>
      <c r="AI579" s="6">
        <f>YEAR(AK579)</f>
        <v/>
      </c>
      <c r="AJ579" s="6">
        <f>MONTH(AK579)</f>
        <v/>
      </c>
      <c r="AK579" s="267">
        <f>IFERROR(__xludf.DUMMYFUNCTION("""COMPUTED_VALUE"""),43671.9986111111)</f>
        <v/>
      </c>
      <c r="AL579" s="6">
        <f>IFERROR(__xludf.DUMMYFUNCTION("""COMPUTED_VALUE"""),9879.488)</f>
        <v/>
      </c>
      <c r="AP579" s="6">
        <f>AQ579&amp;AR579</f>
        <v/>
      </c>
      <c r="AQ579" s="6">
        <f>YEAR(AS579)</f>
        <v/>
      </c>
      <c r="AR579" s="6">
        <f>MONTH(AS579)</f>
        <v/>
      </c>
      <c r="AS579" s="267">
        <f>IFERROR(__xludf.DUMMYFUNCTION("""COMPUTED_VALUE"""),43948.9986111111)</f>
        <v/>
      </c>
      <c r="AT579" s="6">
        <f>IFERROR(__xludf.DUMMYFUNCTION("""COMPUTED_VALUE"""),1723.8)</f>
        <v/>
      </c>
    </row>
    <row r="580">
      <c r="B580" s="6">
        <f>C580&amp;D580</f>
        <v/>
      </c>
      <c r="C580" s="6">
        <f>YEAR(E580)</f>
        <v/>
      </c>
      <c r="D580" s="6">
        <f>MONTH(E580)</f>
        <v/>
      </c>
      <c r="E580" s="267">
        <f>IFERROR(__xludf.DUMMYFUNCTION("""COMPUTED_VALUE"""),43938.6666666666)</f>
        <v/>
      </c>
      <c r="F580" s="6">
        <f>IFERROR(__xludf.DUMMYFUNCTION("""COMPUTED_VALUE"""),2874.56)</f>
        <v/>
      </c>
      <c r="J580" s="6">
        <f>K580&amp;L580</f>
        <v/>
      </c>
      <c r="K580" s="6">
        <f>YEAR(M580)</f>
        <v/>
      </c>
      <c r="L580" s="6">
        <f>MONTH(M580)</f>
        <v/>
      </c>
      <c r="M580" s="267">
        <f>IFERROR(__xludf.DUMMYFUNCTION("""COMPUTED_VALUE"""),43934.6666666666)</f>
        <v/>
      </c>
      <c r="N580" s="6">
        <f>IFERROR(__xludf.DUMMYFUNCTION("""COMPUTED_VALUE"""),8192.42)</f>
        <v/>
      </c>
      <c r="R580" s="6">
        <f>S580&amp;T580</f>
        <v/>
      </c>
      <c r="S580" s="6">
        <f>YEAR(U580)</f>
        <v/>
      </c>
      <c r="T580" s="6">
        <f>MONTH(U580)</f>
        <v/>
      </c>
      <c r="U580" s="267">
        <f>IFERROR(__xludf.DUMMYFUNCTION("""COMPUTED_VALUE"""),43966.6458333333)</f>
        <v/>
      </c>
      <c r="V580" s="6">
        <f>IFERROR(__xludf.DUMMYFUNCTION("""COMPUTED_VALUE"""),1927.28)</f>
        <v/>
      </c>
      <c r="Z580" s="6">
        <f>AA580&amp;AB580</f>
        <v/>
      </c>
      <c r="AA580" s="6">
        <f>YEAR(AC580)</f>
        <v/>
      </c>
      <c r="AB580" s="6">
        <f>MONTH(AC580)</f>
        <v/>
      </c>
      <c r="AC580" s="267">
        <f>IFERROR(__xludf.DUMMYFUNCTION("""COMPUTED_VALUE"""),43712.9986111111)</f>
        <v/>
      </c>
      <c r="AD580" s="6">
        <f>IFERROR(__xludf.DUMMYFUNCTION("""COMPUTED_VALUE"""),1202.69)</f>
        <v/>
      </c>
      <c r="AH580" s="6">
        <f>AI580&amp;AJ580</f>
        <v/>
      </c>
      <c r="AI580" s="6">
        <f>YEAR(AK580)</f>
        <v/>
      </c>
      <c r="AJ580" s="6">
        <f>MONTH(AK580)</f>
        <v/>
      </c>
      <c r="AK580" s="267">
        <f>IFERROR(__xludf.DUMMYFUNCTION("""COMPUTED_VALUE"""),43672.9986111111)</f>
        <v/>
      </c>
      <c r="AL580" s="6">
        <f>IFERROR(__xludf.DUMMYFUNCTION("""COMPUTED_VALUE"""),9846.078)</f>
        <v/>
      </c>
      <c r="AP580" s="6">
        <f>AQ580&amp;AR580</f>
        <v/>
      </c>
      <c r="AQ580" s="6">
        <f>YEAR(AS580)</f>
        <v/>
      </c>
      <c r="AR580" s="6">
        <f>MONTH(AS580)</f>
        <v/>
      </c>
      <c r="AS580" s="267">
        <f>IFERROR(__xludf.DUMMYFUNCTION("""COMPUTED_VALUE"""),43949.9986111111)</f>
        <v/>
      </c>
      <c r="AT580" s="6">
        <f>IFERROR(__xludf.DUMMYFUNCTION("""COMPUTED_VALUE"""),1722.2)</f>
        <v/>
      </c>
    </row>
    <row r="581">
      <c r="B581" s="6">
        <f>C581&amp;D581</f>
        <v/>
      </c>
      <c r="C581" s="6">
        <f>YEAR(E581)</f>
        <v/>
      </c>
      <c r="D581" s="6">
        <f>MONTH(E581)</f>
        <v/>
      </c>
      <c r="E581" s="267">
        <f>IFERROR(__xludf.DUMMYFUNCTION("""COMPUTED_VALUE"""),43941.6666666666)</f>
        <v/>
      </c>
      <c r="F581" s="6">
        <f>IFERROR(__xludf.DUMMYFUNCTION("""COMPUTED_VALUE"""),2823.16)</f>
        <v/>
      </c>
      <c r="J581" s="6">
        <f>K581&amp;L581</f>
        <v/>
      </c>
      <c r="K581" s="6">
        <f>YEAR(M581)</f>
        <v/>
      </c>
      <c r="L581" s="6">
        <f>MONTH(M581)</f>
        <v/>
      </c>
      <c r="M581" s="267">
        <f>IFERROR(__xludf.DUMMYFUNCTION("""COMPUTED_VALUE"""),43935.6666666666)</f>
        <v/>
      </c>
      <c r="N581" s="6">
        <f>IFERROR(__xludf.DUMMYFUNCTION("""COMPUTED_VALUE"""),8515.74)</f>
        <v/>
      </c>
      <c r="R581" s="6">
        <f>S581&amp;T581</f>
        <v/>
      </c>
      <c r="S581" s="6">
        <f>YEAR(U581)</f>
        <v/>
      </c>
      <c r="T581" s="6">
        <f>MONTH(U581)</f>
        <v/>
      </c>
      <c r="U581" s="267">
        <f>IFERROR(__xludf.DUMMYFUNCTION("""COMPUTED_VALUE"""),43969.6458333333)</f>
        <v/>
      </c>
      <c r="V581" s="6">
        <f>IFERROR(__xludf.DUMMYFUNCTION("""COMPUTED_VALUE"""),1937.11)</f>
        <v/>
      </c>
      <c r="Z581" s="6">
        <f>AA581&amp;AB581</f>
        <v/>
      </c>
      <c r="AA581" s="6">
        <f>YEAR(AC581)</f>
        <v/>
      </c>
      <c r="AB581" s="6">
        <f>MONTH(AC581)</f>
        <v/>
      </c>
      <c r="AC581" s="267">
        <f>IFERROR(__xludf.DUMMYFUNCTION("""COMPUTED_VALUE"""),43713.9986111111)</f>
        <v/>
      </c>
      <c r="AD581" s="6">
        <f>IFERROR(__xludf.DUMMYFUNCTION("""COMPUTED_VALUE"""),1196)</f>
        <v/>
      </c>
      <c r="AH581" s="6">
        <f>AI581&amp;AJ581</f>
        <v/>
      </c>
      <c r="AI581" s="6">
        <f>YEAR(AK581)</f>
        <v/>
      </c>
      <c r="AJ581" s="6">
        <f>MONTH(AK581)</f>
        <v/>
      </c>
      <c r="AK581" s="267">
        <f>IFERROR(__xludf.DUMMYFUNCTION("""COMPUTED_VALUE"""),43673.9986111111)</f>
        <v/>
      </c>
      <c r="AL581" s="6">
        <f>IFERROR(__xludf.DUMMYFUNCTION("""COMPUTED_VALUE"""),9472.251)</f>
        <v/>
      </c>
      <c r="AP581" s="6">
        <f>AQ581&amp;AR581</f>
        <v/>
      </c>
      <c r="AQ581" s="6">
        <f>YEAR(AS581)</f>
        <v/>
      </c>
      <c r="AR581" s="6">
        <f>MONTH(AS581)</f>
        <v/>
      </c>
      <c r="AS581" s="267">
        <f>IFERROR(__xludf.DUMMYFUNCTION("""COMPUTED_VALUE"""),43950.9986111111)</f>
        <v/>
      </c>
      <c r="AT581" s="6">
        <f>IFERROR(__xludf.DUMMYFUNCTION("""COMPUTED_VALUE"""),1713.4)</f>
        <v/>
      </c>
    </row>
    <row r="582">
      <c r="B582" s="6">
        <f>C582&amp;D582</f>
        <v/>
      </c>
      <c r="C582" s="6">
        <f>YEAR(E582)</f>
        <v/>
      </c>
      <c r="D582" s="6">
        <f>MONTH(E582)</f>
        <v/>
      </c>
      <c r="E582" s="267">
        <f>IFERROR(__xludf.DUMMYFUNCTION("""COMPUTED_VALUE"""),43942.6666666666)</f>
        <v/>
      </c>
      <c r="F582" s="6">
        <f>IFERROR(__xludf.DUMMYFUNCTION("""COMPUTED_VALUE"""),2736.56)</f>
        <v/>
      </c>
      <c r="J582" s="6">
        <f>K582&amp;L582</f>
        <v/>
      </c>
      <c r="K582" s="6">
        <f>YEAR(M582)</f>
        <v/>
      </c>
      <c r="L582" s="6">
        <f>MONTH(M582)</f>
        <v/>
      </c>
      <c r="M582" s="267">
        <f>IFERROR(__xludf.DUMMYFUNCTION("""COMPUTED_VALUE"""),43936.6666666666)</f>
        <v/>
      </c>
      <c r="N582" s="6">
        <f>IFERROR(__xludf.DUMMYFUNCTION("""COMPUTED_VALUE"""),8393.18)</f>
        <v/>
      </c>
      <c r="R582" s="6">
        <f>S582&amp;T582</f>
        <v/>
      </c>
      <c r="S582" s="6">
        <f>YEAR(U582)</f>
        <v/>
      </c>
      <c r="T582" s="6">
        <f>MONTH(U582)</f>
        <v/>
      </c>
      <c r="U582" s="267">
        <f>IFERROR(__xludf.DUMMYFUNCTION("""COMPUTED_VALUE"""),43970.6458333333)</f>
        <v/>
      </c>
      <c r="V582" s="6">
        <f>IFERROR(__xludf.DUMMYFUNCTION("""COMPUTED_VALUE"""),1980.61)</f>
        <v/>
      </c>
      <c r="Z582" s="6">
        <f>AA582&amp;AB582</f>
        <v/>
      </c>
      <c r="AA582" s="6">
        <f>YEAR(AC582)</f>
        <v/>
      </c>
      <c r="AB582" s="6">
        <f>MONTH(AC582)</f>
        <v/>
      </c>
      <c r="AC582" s="267">
        <f>IFERROR(__xludf.DUMMYFUNCTION("""COMPUTED_VALUE"""),43714.9986111111)</f>
        <v/>
      </c>
      <c r="AD582" s="6">
        <f>IFERROR(__xludf.DUMMYFUNCTION("""COMPUTED_VALUE"""),1191.78)</f>
        <v/>
      </c>
      <c r="AH582" s="6">
        <f>AI582&amp;AJ582</f>
        <v/>
      </c>
      <c r="AI582" s="6">
        <f>YEAR(AK582)</f>
        <v/>
      </c>
      <c r="AJ582" s="6">
        <f>MONTH(AK582)</f>
        <v/>
      </c>
      <c r="AK582" s="267">
        <f>IFERROR(__xludf.DUMMYFUNCTION("""COMPUTED_VALUE"""),43674.9986111111)</f>
        <v/>
      </c>
      <c r="AL582" s="6">
        <f>IFERROR(__xludf.DUMMYFUNCTION("""COMPUTED_VALUE"""),9525.349)</f>
        <v/>
      </c>
      <c r="AP582" s="6">
        <f>AQ582&amp;AR582</f>
        <v/>
      </c>
      <c r="AQ582" s="6">
        <f>YEAR(AS582)</f>
        <v/>
      </c>
      <c r="AR582" s="6">
        <f>MONTH(AS582)</f>
        <v/>
      </c>
      <c r="AS582" s="267">
        <f>IFERROR(__xludf.DUMMYFUNCTION("""COMPUTED_VALUE"""),43951.9986111111)</f>
        <v/>
      </c>
      <c r="AT582" s="6">
        <f>IFERROR(__xludf.DUMMYFUNCTION("""COMPUTED_VALUE"""),1694.2)</f>
        <v/>
      </c>
    </row>
    <row r="583">
      <c r="B583" s="6">
        <f>C583&amp;D583</f>
        <v/>
      </c>
      <c r="C583" s="6">
        <f>YEAR(E583)</f>
        <v/>
      </c>
      <c r="D583" s="6">
        <f>MONTH(E583)</f>
        <v/>
      </c>
      <c r="E583" s="267">
        <f>IFERROR(__xludf.DUMMYFUNCTION("""COMPUTED_VALUE"""),43943.6666666666)</f>
        <v/>
      </c>
      <c r="F583" s="6">
        <f>IFERROR(__xludf.DUMMYFUNCTION("""COMPUTED_VALUE"""),2799.31)</f>
        <v/>
      </c>
      <c r="J583" s="6">
        <f>K583&amp;L583</f>
        <v/>
      </c>
      <c r="K583" s="6">
        <f>YEAR(M583)</f>
        <v/>
      </c>
      <c r="L583" s="6">
        <f>MONTH(M583)</f>
        <v/>
      </c>
      <c r="M583" s="267">
        <f>IFERROR(__xludf.DUMMYFUNCTION("""COMPUTED_VALUE"""),43937.6666666666)</f>
        <v/>
      </c>
      <c r="N583" s="6">
        <f>IFERROR(__xludf.DUMMYFUNCTION("""COMPUTED_VALUE"""),8532.36)</f>
        <v/>
      </c>
      <c r="R583" s="6">
        <f>S583&amp;T583</f>
        <v/>
      </c>
      <c r="S583" s="6">
        <f>YEAR(U583)</f>
        <v/>
      </c>
      <c r="T583" s="6">
        <f>MONTH(U583)</f>
        <v/>
      </c>
      <c r="U583" s="267">
        <f>IFERROR(__xludf.DUMMYFUNCTION("""COMPUTED_VALUE"""),43971.6458333333)</f>
        <v/>
      </c>
      <c r="V583" s="6">
        <f>IFERROR(__xludf.DUMMYFUNCTION("""COMPUTED_VALUE"""),1989.64)</f>
        <v/>
      </c>
      <c r="Z583" s="6">
        <f>AA583&amp;AB583</f>
        <v/>
      </c>
      <c r="AA583" s="6">
        <f>YEAR(AC583)</f>
        <v/>
      </c>
      <c r="AB583" s="6">
        <f>MONTH(AC583)</f>
        <v/>
      </c>
      <c r="AC583" s="267">
        <f>IFERROR(__xludf.DUMMYFUNCTION("""COMPUTED_VALUE"""),43715.9986111111)</f>
        <v/>
      </c>
      <c r="AD583" s="6">
        <f>IFERROR(__xludf.DUMMYFUNCTION("""COMPUTED_VALUE"""),1190.9)</f>
        <v/>
      </c>
      <c r="AH583" s="6">
        <f>AI583&amp;AJ583</f>
        <v/>
      </c>
      <c r="AI583" s="6">
        <f>YEAR(AK583)</f>
        <v/>
      </c>
      <c r="AJ583" s="6">
        <f>MONTH(AK583)</f>
        <v/>
      </c>
      <c r="AK583" s="267">
        <f>IFERROR(__xludf.DUMMYFUNCTION("""COMPUTED_VALUE"""),43675.9986111111)</f>
        <v/>
      </c>
      <c r="AL583" s="6">
        <f>IFERROR(__xludf.DUMMYFUNCTION("""COMPUTED_VALUE"""),9508.112)</f>
        <v/>
      </c>
      <c r="AP583" s="6">
        <f>AQ583&amp;AR583</f>
        <v/>
      </c>
      <c r="AQ583" s="6">
        <f>YEAR(AS583)</f>
        <v/>
      </c>
      <c r="AR583" s="6">
        <f>MONTH(AS583)</f>
        <v/>
      </c>
      <c r="AS583" s="267">
        <f>IFERROR(__xludf.DUMMYFUNCTION("""COMPUTED_VALUE"""),43952.9986111111)</f>
        <v/>
      </c>
      <c r="AT583" s="6">
        <f>IFERROR(__xludf.DUMMYFUNCTION("""COMPUTED_VALUE"""),1700.9)</f>
        <v/>
      </c>
    </row>
    <row r="584">
      <c r="B584" s="6">
        <f>C584&amp;D584</f>
        <v/>
      </c>
      <c r="C584" s="6">
        <f>YEAR(E584)</f>
        <v/>
      </c>
      <c r="D584" s="6">
        <f>MONTH(E584)</f>
        <v/>
      </c>
      <c r="E584" s="267">
        <f>IFERROR(__xludf.DUMMYFUNCTION("""COMPUTED_VALUE"""),43944.6666666666)</f>
        <v/>
      </c>
      <c r="F584" s="6">
        <f>IFERROR(__xludf.DUMMYFUNCTION("""COMPUTED_VALUE"""),2797.8)</f>
        <v/>
      </c>
      <c r="J584" s="6">
        <f>K584&amp;L584</f>
        <v/>
      </c>
      <c r="K584" s="6">
        <f>YEAR(M584)</f>
        <v/>
      </c>
      <c r="L584" s="6">
        <f>MONTH(M584)</f>
        <v/>
      </c>
      <c r="M584" s="267">
        <f>IFERROR(__xludf.DUMMYFUNCTION("""COMPUTED_VALUE"""),43938.6666666666)</f>
        <v/>
      </c>
      <c r="N584" s="6">
        <f>IFERROR(__xludf.DUMMYFUNCTION("""COMPUTED_VALUE"""),8650.14)</f>
        <v/>
      </c>
      <c r="R584" s="6">
        <f>S584&amp;T584</f>
        <v/>
      </c>
      <c r="S584" s="6">
        <f>YEAR(U584)</f>
        <v/>
      </c>
      <c r="T584" s="6">
        <f>MONTH(U584)</f>
        <v/>
      </c>
      <c r="U584" s="267">
        <f>IFERROR(__xludf.DUMMYFUNCTION("""COMPUTED_VALUE"""),43972.6458333333)</f>
        <v/>
      </c>
      <c r="V584" s="6">
        <f>IFERROR(__xludf.DUMMYFUNCTION("""COMPUTED_VALUE"""),1998.31)</f>
        <v/>
      </c>
      <c r="Z584" s="6">
        <f>AA584&amp;AB584</f>
        <v/>
      </c>
      <c r="AA584" s="6">
        <f>YEAR(AC584)</f>
        <v/>
      </c>
      <c r="AB584" s="6">
        <f>MONTH(AC584)</f>
        <v/>
      </c>
      <c r="AC584" s="267">
        <f>IFERROR(__xludf.DUMMYFUNCTION("""COMPUTED_VALUE"""),43716.9986111111)</f>
        <v/>
      </c>
      <c r="AD584" s="6">
        <f>IFERROR(__xludf.DUMMYFUNCTION("""COMPUTED_VALUE"""),1191.62)</f>
        <v/>
      </c>
      <c r="AH584" s="6">
        <f>AI584&amp;AJ584</f>
        <v/>
      </c>
      <c r="AI584" s="6">
        <f>YEAR(AK584)</f>
        <v/>
      </c>
      <c r="AJ584" s="6">
        <f>MONTH(AK584)</f>
        <v/>
      </c>
      <c r="AK584" s="267">
        <f>IFERROR(__xludf.DUMMYFUNCTION("""COMPUTED_VALUE"""),43676.9986111111)</f>
        <v/>
      </c>
      <c r="AL584" s="6">
        <f>IFERROR(__xludf.DUMMYFUNCTION("""COMPUTED_VALUE"""),9591)</f>
        <v/>
      </c>
      <c r="AP584" s="6">
        <f>AQ584&amp;AR584</f>
        <v/>
      </c>
      <c r="AQ584" s="6">
        <f>YEAR(AS584)</f>
        <v/>
      </c>
      <c r="AR584" s="6">
        <f>MONTH(AS584)</f>
        <v/>
      </c>
      <c r="AS584" s="267">
        <f>IFERROR(__xludf.DUMMYFUNCTION("""COMPUTED_VALUE"""),43955.9986111111)</f>
        <v/>
      </c>
      <c r="AT584" s="6">
        <f>IFERROR(__xludf.DUMMYFUNCTION("""COMPUTED_VALUE"""),1713.3)</f>
        <v/>
      </c>
    </row>
    <row r="585">
      <c r="B585" s="6">
        <f>C585&amp;D585</f>
        <v/>
      </c>
      <c r="C585" s="6">
        <f>YEAR(E585)</f>
        <v/>
      </c>
      <c r="D585" s="6">
        <f>MONTH(E585)</f>
        <v/>
      </c>
      <c r="E585" s="267">
        <f>IFERROR(__xludf.DUMMYFUNCTION("""COMPUTED_VALUE"""),43945.6666666666)</f>
        <v/>
      </c>
      <c r="F585" s="6">
        <f>IFERROR(__xludf.DUMMYFUNCTION("""COMPUTED_VALUE"""),2836.74)</f>
        <v/>
      </c>
      <c r="J585" s="6">
        <f>K585&amp;L585</f>
        <v/>
      </c>
      <c r="K585" s="6">
        <f>YEAR(M585)</f>
        <v/>
      </c>
      <c r="L585" s="6">
        <f>MONTH(M585)</f>
        <v/>
      </c>
      <c r="M585" s="267">
        <f>IFERROR(__xludf.DUMMYFUNCTION("""COMPUTED_VALUE"""),43941.6666666666)</f>
        <v/>
      </c>
      <c r="N585" s="6">
        <f>IFERROR(__xludf.DUMMYFUNCTION("""COMPUTED_VALUE"""),8560.73)</f>
        <v/>
      </c>
      <c r="R585" s="6">
        <f>S585&amp;T585</f>
        <v/>
      </c>
      <c r="S585" s="6">
        <f>YEAR(U585)</f>
        <v/>
      </c>
      <c r="T585" s="6">
        <f>MONTH(U585)</f>
        <v/>
      </c>
      <c r="U585" s="267">
        <f>IFERROR(__xludf.DUMMYFUNCTION("""COMPUTED_VALUE"""),43973.6458333333)</f>
        <v/>
      </c>
      <c r="V585" s="6">
        <f>IFERROR(__xludf.DUMMYFUNCTION("""COMPUTED_VALUE"""),1970.13)</f>
        <v/>
      </c>
      <c r="Z585" s="6">
        <f>AA585&amp;AB585</f>
        <v/>
      </c>
      <c r="AA585" s="6">
        <f>YEAR(AC585)</f>
        <v/>
      </c>
      <c r="AB585" s="6">
        <f>MONTH(AC585)</f>
        <v/>
      </c>
      <c r="AC585" s="267">
        <f>IFERROR(__xludf.DUMMYFUNCTION("""COMPUTED_VALUE"""),43717.9986111111)</f>
        <v/>
      </c>
      <c r="AD585" s="6">
        <f>IFERROR(__xludf.DUMMYFUNCTION("""COMPUTED_VALUE"""),1190.86)</f>
        <v/>
      </c>
      <c r="AH585" s="6">
        <f>AI585&amp;AJ585</f>
        <v/>
      </c>
      <c r="AI585" s="6">
        <f>YEAR(AK585)</f>
        <v/>
      </c>
      <c r="AJ585" s="6">
        <f>MONTH(AK585)</f>
        <v/>
      </c>
      <c r="AK585" s="267">
        <f>IFERROR(__xludf.DUMMYFUNCTION("""COMPUTED_VALUE"""),43677.9986111111)</f>
        <v/>
      </c>
      <c r="AL585" s="6">
        <f>IFERROR(__xludf.DUMMYFUNCTION("""COMPUTED_VALUE"""),10084.75)</f>
        <v/>
      </c>
      <c r="AP585" s="6">
        <f>AQ585&amp;AR585</f>
        <v/>
      </c>
      <c r="AQ585" s="6">
        <f>YEAR(AS585)</f>
        <v/>
      </c>
      <c r="AR585" s="6">
        <f>MONTH(AS585)</f>
        <v/>
      </c>
      <c r="AS585" s="267">
        <f>IFERROR(__xludf.DUMMYFUNCTION("""COMPUTED_VALUE"""),43956.9986111111)</f>
        <v/>
      </c>
      <c r="AT585" s="6">
        <f>IFERROR(__xludf.DUMMYFUNCTION("""COMPUTED_VALUE"""),1710.6)</f>
        <v/>
      </c>
    </row>
    <row r="586">
      <c r="B586" s="6">
        <f>C586&amp;D586</f>
        <v/>
      </c>
      <c r="C586" s="6">
        <f>YEAR(E586)</f>
        <v/>
      </c>
      <c r="D586" s="6">
        <f>MONTH(E586)</f>
        <v/>
      </c>
      <c r="E586" s="267">
        <f>IFERROR(__xludf.DUMMYFUNCTION("""COMPUTED_VALUE"""),43948.6666666666)</f>
        <v/>
      </c>
      <c r="F586" s="6">
        <f>IFERROR(__xludf.DUMMYFUNCTION("""COMPUTED_VALUE"""),2878.48)</f>
        <v/>
      </c>
      <c r="J586" s="6">
        <f>K586&amp;L586</f>
        <v/>
      </c>
      <c r="K586" s="6">
        <f>YEAR(M586)</f>
        <v/>
      </c>
      <c r="L586" s="6">
        <f>MONTH(M586)</f>
        <v/>
      </c>
      <c r="M586" s="267">
        <f>IFERROR(__xludf.DUMMYFUNCTION("""COMPUTED_VALUE"""),43942.6666666666)</f>
        <v/>
      </c>
      <c r="N586" s="6">
        <f>IFERROR(__xludf.DUMMYFUNCTION("""COMPUTED_VALUE"""),8263.23)</f>
        <v/>
      </c>
      <c r="R586" s="6">
        <f>S586&amp;T586</f>
        <v/>
      </c>
      <c r="S586" s="6">
        <f>YEAR(U586)</f>
        <v/>
      </c>
      <c r="T586" s="6">
        <f>MONTH(U586)</f>
        <v/>
      </c>
      <c r="U586" s="267">
        <f>IFERROR(__xludf.DUMMYFUNCTION("""COMPUTED_VALUE"""),43976.6458333333)</f>
        <v/>
      </c>
      <c r="V586" s="6">
        <f>IFERROR(__xludf.DUMMYFUNCTION("""COMPUTED_VALUE"""),1994.6)</f>
        <v/>
      </c>
      <c r="Z586" s="6">
        <f>AA586&amp;AB586</f>
        <v/>
      </c>
      <c r="AA586" s="6">
        <f>YEAR(AC586)</f>
        <v/>
      </c>
      <c r="AB586" s="6">
        <f>MONTH(AC586)</f>
        <v/>
      </c>
      <c r="AC586" s="267">
        <f>IFERROR(__xludf.DUMMYFUNCTION("""COMPUTED_VALUE"""),43718.9986111111)</f>
        <v/>
      </c>
      <c r="AD586" s="6">
        <f>IFERROR(__xludf.DUMMYFUNCTION("""COMPUTED_VALUE"""),1189.5)</f>
        <v/>
      </c>
      <c r="AH586" s="6">
        <f>AI586&amp;AJ586</f>
        <v/>
      </c>
      <c r="AI586" s="6">
        <f>YEAR(AK586)</f>
        <v/>
      </c>
      <c r="AJ586" s="6">
        <f>MONTH(AK586)</f>
        <v/>
      </c>
      <c r="AK586" s="267">
        <f>IFERROR(__xludf.DUMMYFUNCTION("""COMPUTED_VALUE"""),43678.9986111111)</f>
        <v/>
      </c>
      <c r="AL586" s="6">
        <f>IFERROR(__xludf.DUMMYFUNCTION("""COMPUTED_VALUE"""),10400.27)</f>
        <v/>
      </c>
      <c r="AP586" s="6">
        <f>AQ586&amp;AR586</f>
        <v/>
      </c>
      <c r="AQ586" s="6">
        <f>YEAR(AS586)</f>
        <v/>
      </c>
      <c r="AR586" s="6">
        <f>MONTH(AS586)</f>
        <v/>
      </c>
      <c r="AS586" s="267">
        <f>IFERROR(__xludf.DUMMYFUNCTION("""COMPUTED_VALUE"""),43957.9986111111)</f>
        <v/>
      </c>
      <c r="AT586" s="6">
        <f>IFERROR(__xludf.DUMMYFUNCTION("""COMPUTED_VALUE"""),1688.5)</f>
        <v/>
      </c>
    </row>
    <row r="587">
      <c r="B587" s="6">
        <f>C587&amp;D587</f>
        <v/>
      </c>
      <c r="C587" s="6">
        <f>YEAR(E587)</f>
        <v/>
      </c>
      <c r="D587" s="6">
        <f>MONTH(E587)</f>
        <v/>
      </c>
      <c r="E587" s="267">
        <f>IFERROR(__xludf.DUMMYFUNCTION("""COMPUTED_VALUE"""),43949.6666666666)</f>
        <v/>
      </c>
      <c r="F587" s="6">
        <f>IFERROR(__xludf.DUMMYFUNCTION("""COMPUTED_VALUE"""),2863.39)</f>
        <v/>
      </c>
      <c r="J587" s="6">
        <f>K587&amp;L587</f>
        <v/>
      </c>
      <c r="K587" s="6">
        <f>YEAR(M587)</f>
        <v/>
      </c>
      <c r="L587" s="6">
        <f>MONTH(M587)</f>
        <v/>
      </c>
      <c r="M587" s="267">
        <f>IFERROR(__xludf.DUMMYFUNCTION("""COMPUTED_VALUE"""),43943.6666666666)</f>
        <v/>
      </c>
      <c r="N587" s="6">
        <f>IFERROR(__xludf.DUMMYFUNCTION("""COMPUTED_VALUE"""),8495.38)</f>
        <v/>
      </c>
      <c r="R587" s="6">
        <f>S587&amp;T587</f>
        <v/>
      </c>
      <c r="S587" s="6">
        <f>YEAR(U587)</f>
        <v/>
      </c>
      <c r="T587" s="6">
        <f>MONTH(U587)</f>
        <v/>
      </c>
      <c r="U587" s="267">
        <f>IFERROR(__xludf.DUMMYFUNCTION("""COMPUTED_VALUE"""),43977.6458333333)</f>
        <v/>
      </c>
      <c r="V587" s="6">
        <f>IFERROR(__xludf.DUMMYFUNCTION("""COMPUTED_VALUE"""),2029.78)</f>
        <v/>
      </c>
      <c r="Z587" s="6">
        <f>AA587&amp;AB587</f>
        <v/>
      </c>
      <c r="AA587" s="6">
        <f>YEAR(AC587)</f>
        <v/>
      </c>
      <c r="AB587" s="6">
        <f>MONTH(AC587)</f>
        <v/>
      </c>
      <c r="AC587" s="267">
        <f>IFERROR(__xludf.DUMMYFUNCTION("""COMPUTED_VALUE"""),43719.9986111111)</f>
        <v/>
      </c>
      <c r="AD587" s="6">
        <f>IFERROR(__xludf.DUMMYFUNCTION("""COMPUTED_VALUE"""),1189.8)</f>
        <v/>
      </c>
      <c r="AH587" s="6">
        <f>AI587&amp;AJ587</f>
        <v/>
      </c>
      <c r="AI587" s="6">
        <f>YEAR(AK587)</f>
        <v/>
      </c>
      <c r="AJ587" s="6">
        <f>MONTH(AK587)</f>
        <v/>
      </c>
      <c r="AK587" s="267">
        <f>IFERROR(__xludf.DUMMYFUNCTION("""COMPUTED_VALUE"""),43679.9986111111)</f>
        <v/>
      </c>
      <c r="AL587" s="6">
        <f>IFERROR(__xludf.DUMMYFUNCTION("""COMPUTED_VALUE"""),10520.34)</f>
        <v/>
      </c>
      <c r="AP587" s="6">
        <f>AQ587&amp;AR587</f>
        <v/>
      </c>
      <c r="AQ587" s="6">
        <f>YEAR(AS587)</f>
        <v/>
      </c>
      <c r="AR587" s="6">
        <f>MONTH(AS587)</f>
        <v/>
      </c>
      <c r="AS587" s="267">
        <f>IFERROR(__xludf.DUMMYFUNCTION("""COMPUTED_VALUE"""),43958.9986111111)</f>
        <v/>
      </c>
      <c r="AT587" s="6">
        <f>IFERROR(__xludf.DUMMYFUNCTION("""COMPUTED_VALUE"""),1725.8)</f>
        <v/>
      </c>
    </row>
    <row r="588">
      <c r="B588" s="6">
        <f>C588&amp;D588</f>
        <v/>
      </c>
      <c r="C588" s="6">
        <f>YEAR(E588)</f>
        <v/>
      </c>
      <c r="D588" s="6">
        <f>MONTH(E588)</f>
        <v/>
      </c>
      <c r="E588" s="267">
        <f>IFERROR(__xludf.DUMMYFUNCTION("""COMPUTED_VALUE"""),43950.6666666666)</f>
        <v/>
      </c>
      <c r="F588" s="6">
        <f>IFERROR(__xludf.DUMMYFUNCTION("""COMPUTED_VALUE"""),2939.51)</f>
        <v/>
      </c>
      <c r="J588" s="6">
        <f>K588&amp;L588</f>
        <v/>
      </c>
      <c r="K588" s="6">
        <f>YEAR(M588)</f>
        <v/>
      </c>
      <c r="L588" s="6">
        <f>MONTH(M588)</f>
        <v/>
      </c>
      <c r="M588" s="267">
        <f>IFERROR(__xludf.DUMMYFUNCTION("""COMPUTED_VALUE"""),43944.6666666666)</f>
        <v/>
      </c>
      <c r="N588" s="6">
        <f>IFERROR(__xludf.DUMMYFUNCTION("""COMPUTED_VALUE"""),8494.75)</f>
        <v/>
      </c>
      <c r="R588" s="6">
        <f>S588&amp;T588</f>
        <v/>
      </c>
      <c r="S588" s="6">
        <f>YEAR(U588)</f>
        <v/>
      </c>
      <c r="T588" s="6">
        <f>MONTH(U588)</f>
        <v/>
      </c>
      <c r="U588" s="267">
        <f>IFERROR(__xludf.DUMMYFUNCTION("""COMPUTED_VALUE"""),43978.6458333333)</f>
        <v/>
      </c>
      <c r="V588" s="6">
        <f>IFERROR(__xludf.DUMMYFUNCTION("""COMPUTED_VALUE"""),2031.2)</f>
        <v/>
      </c>
      <c r="Z588" s="6">
        <f>AA588&amp;AB588</f>
        <v/>
      </c>
      <c r="AA588" s="6">
        <f>YEAR(AC588)</f>
        <v/>
      </c>
      <c r="AB588" s="6">
        <f>MONTH(AC588)</f>
        <v/>
      </c>
      <c r="AC588" s="267">
        <f>IFERROR(__xludf.DUMMYFUNCTION("""COMPUTED_VALUE"""),43720.9986111111)</f>
        <v/>
      </c>
      <c r="AD588" s="6">
        <f>IFERROR(__xludf.DUMMYFUNCTION("""COMPUTED_VALUE"""),1180.75)</f>
        <v/>
      </c>
      <c r="AH588" s="6">
        <f>AI588&amp;AJ588</f>
        <v/>
      </c>
      <c r="AI588" s="6">
        <f>YEAR(AK588)</f>
        <v/>
      </c>
      <c r="AJ588" s="6">
        <f>MONTH(AK588)</f>
        <v/>
      </c>
      <c r="AK588" s="267">
        <f>IFERROR(__xludf.DUMMYFUNCTION("""COMPUTED_VALUE"""),43680.9986111111)</f>
        <v/>
      </c>
      <c r="AL588" s="6">
        <f>IFERROR(__xludf.DUMMYFUNCTION("""COMPUTED_VALUE"""),10815.73)</f>
        <v/>
      </c>
      <c r="AP588" s="6">
        <f>AQ588&amp;AR588</f>
        <v/>
      </c>
      <c r="AQ588" s="6">
        <f>YEAR(AS588)</f>
        <v/>
      </c>
      <c r="AR588" s="6">
        <f>MONTH(AS588)</f>
        <v/>
      </c>
      <c r="AS588" s="267">
        <f>IFERROR(__xludf.DUMMYFUNCTION("""COMPUTED_VALUE"""),43959.9986111111)</f>
        <v/>
      </c>
      <c r="AT588" s="6">
        <f>IFERROR(__xludf.DUMMYFUNCTION("""COMPUTED_VALUE"""),1713.9)</f>
        <v/>
      </c>
    </row>
    <row r="589">
      <c r="B589" s="6">
        <f>C589&amp;D589</f>
        <v/>
      </c>
      <c r="C589" s="6">
        <f>YEAR(E589)</f>
        <v/>
      </c>
      <c r="D589" s="6">
        <f>MONTH(E589)</f>
        <v/>
      </c>
      <c r="E589" s="267">
        <f>IFERROR(__xludf.DUMMYFUNCTION("""COMPUTED_VALUE"""),43951.6666666666)</f>
        <v/>
      </c>
      <c r="F589" s="6">
        <f>IFERROR(__xludf.DUMMYFUNCTION("""COMPUTED_VALUE"""),2912.43)</f>
        <v/>
      </c>
      <c r="J589" s="6">
        <f>K589&amp;L589</f>
        <v/>
      </c>
      <c r="K589" s="6">
        <f>YEAR(M589)</f>
        <v/>
      </c>
      <c r="L589" s="6">
        <f>MONTH(M589)</f>
        <v/>
      </c>
      <c r="M589" s="267">
        <f>IFERROR(__xludf.DUMMYFUNCTION("""COMPUTED_VALUE"""),43945.6666666666)</f>
        <v/>
      </c>
      <c r="N589" s="6">
        <f>IFERROR(__xludf.DUMMYFUNCTION("""COMPUTED_VALUE"""),8634.52)</f>
        <v/>
      </c>
      <c r="R589" s="6">
        <f>S589&amp;T589</f>
        <v/>
      </c>
      <c r="S589" s="6">
        <f>YEAR(U589)</f>
        <v/>
      </c>
      <c r="T589" s="6">
        <f>MONTH(U589)</f>
        <v/>
      </c>
      <c r="U589" s="267">
        <f>IFERROR(__xludf.DUMMYFUNCTION("""COMPUTED_VALUE"""),43979.6458333333)</f>
        <v/>
      </c>
      <c r="V589" s="6">
        <f>IFERROR(__xludf.DUMMYFUNCTION("""COMPUTED_VALUE"""),2028.54)</f>
        <v/>
      </c>
      <c r="Z589" s="6">
        <f>AA589&amp;AB589</f>
        <v/>
      </c>
      <c r="AA589" s="6">
        <f>YEAR(AC589)</f>
        <v/>
      </c>
      <c r="AB589" s="6">
        <f>MONTH(AC589)</f>
        <v/>
      </c>
      <c r="AC589" s="267">
        <f>IFERROR(__xludf.DUMMYFUNCTION("""COMPUTED_VALUE"""),43721.9986111111)</f>
        <v/>
      </c>
      <c r="AD589" s="6">
        <f>IFERROR(__xludf.DUMMYFUNCTION("""COMPUTED_VALUE"""),1178.72)</f>
        <v/>
      </c>
      <c r="AH589" s="6">
        <f>AI589&amp;AJ589</f>
        <v/>
      </c>
      <c r="AI589" s="6">
        <f>YEAR(AK589)</f>
        <v/>
      </c>
      <c r="AJ589" s="6">
        <f>MONTH(AK589)</f>
        <v/>
      </c>
      <c r="AK589" s="267">
        <f>IFERROR(__xludf.DUMMYFUNCTION("""COMPUTED_VALUE"""),43681.9986111111)</f>
        <v/>
      </c>
      <c r="AL589" s="6">
        <f>IFERROR(__xludf.DUMMYFUNCTION("""COMPUTED_VALUE"""),10969.55)</f>
        <v/>
      </c>
      <c r="AP589" s="6">
        <f>AQ589&amp;AR589</f>
        <v/>
      </c>
      <c r="AQ589" s="6">
        <f>YEAR(AS589)</f>
        <v/>
      </c>
      <c r="AR589" s="6">
        <f>MONTH(AS589)</f>
        <v/>
      </c>
      <c r="AS589" s="267">
        <f>IFERROR(__xludf.DUMMYFUNCTION("""COMPUTED_VALUE"""),43962.9986111111)</f>
        <v/>
      </c>
      <c r="AT589" s="6">
        <f>IFERROR(__xludf.DUMMYFUNCTION("""COMPUTED_VALUE"""),1698)</f>
        <v/>
      </c>
    </row>
    <row r="590">
      <c r="B590" s="6">
        <f>C590&amp;D590</f>
        <v/>
      </c>
      <c r="C590" s="6">
        <f>YEAR(E590)</f>
        <v/>
      </c>
      <c r="D590" s="6">
        <f>MONTH(E590)</f>
        <v/>
      </c>
      <c r="E590" s="267">
        <f>IFERROR(__xludf.DUMMYFUNCTION("""COMPUTED_VALUE"""),43952.6666666666)</f>
        <v/>
      </c>
      <c r="F590" s="6">
        <f>IFERROR(__xludf.DUMMYFUNCTION("""COMPUTED_VALUE"""),2830.71)</f>
        <v/>
      </c>
      <c r="J590" s="6">
        <f>K590&amp;L590</f>
        <v/>
      </c>
      <c r="K590" s="6">
        <f>YEAR(M590)</f>
        <v/>
      </c>
      <c r="L590" s="6">
        <f>MONTH(M590)</f>
        <v/>
      </c>
      <c r="M590" s="267">
        <f>IFERROR(__xludf.DUMMYFUNCTION("""COMPUTED_VALUE"""),43948.6666666666)</f>
        <v/>
      </c>
      <c r="N590" s="6">
        <f>IFERROR(__xludf.DUMMYFUNCTION("""COMPUTED_VALUE"""),8730.16)</f>
        <v/>
      </c>
      <c r="R590" s="6">
        <f>S590&amp;T590</f>
        <v/>
      </c>
      <c r="S590" s="6">
        <f>YEAR(U590)</f>
        <v/>
      </c>
      <c r="T590" s="6">
        <f>MONTH(U590)</f>
        <v/>
      </c>
      <c r="U590" s="267">
        <f>IFERROR(__xludf.DUMMYFUNCTION("""COMPUTED_VALUE"""),43980.6458333333)</f>
        <v/>
      </c>
      <c r="V590" s="6">
        <f>IFERROR(__xludf.DUMMYFUNCTION("""COMPUTED_VALUE"""),2029.6)</f>
        <v/>
      </c>
      <c r="Z590" s="6">
        <f>AA590&amp;AB590</f>
        <v/>
      </c>
      <c r="AA590" s="6">
        <f>YEAR(AC590)</f>
        <v/>
      </c>
      <c r="AB590" s="6">
        <f>MONTH(AC590)</f>
        <v/>
      </c>
      <c r="AC590" s="267">
        <f>IFERROR(__xludf.DUMMYFUNCTION("""COMPUTED_VALUE"""),43722.9986111111)</f>
        <v/>
      </c>
      <c r="AD590" s="6">
        <f>IFERROR(__xludf.DUMMYFUNCTION("""COMPUTED_VALUE"""),1178.72)</f>
        <v/>
      </c>
      <c r="AH590" s="6">
        <f>AI590&amp;AJ590</f>
        <v/>
      </c>
      <c r="AI590" s="6">
        <f>YEAR(AK590)</f>
        <v/>
      </c>
      <c r="AJ590" s="6">
        <f>MONTH(AK590)</f>
        <v/>
      </c>
      <c r="AK590" s="267">
        <f>IFERROR(__xludf.DUMMYFUNCTION("""COMPUTED_VALUE"""),43682.9986111111)</f>
        <v/>
      </c>
      <c r="AL590" s="6">
        <f>IFERROR(__xludf.DUMMYFUNCTION("""COMPUTED_VALUE"""),11789.66)</f>
        <v/>
      </c>
      <c r="AP590" s="6">
        <f>AQ590&amp;AR590</f>
        <v/>
      </c>
      <c r="AQ590" s="6">
        <f>YEAR(AS590)</f>
        <v/>
      </c>
      <c r="AR590" s="6">
        <f>MONTH(AS590)</f>
        <v/>
      </c>
      <c r="AS590" s="267">
        <f>IFERROR(__xludf.DUMMYFUNCTION("""COMPUTED_VALUE"""),43963.9986111111)</f>
        <v/>
      </c>
      <c r="AT590" s="6">
        <f>IFERROR(__xludf.DUMMYFUNCTION("""COMPUTED_VALUE"""),1706.8)</f>
        <v/>
      </c>
    </row>
    <row r="591">
      <c r="B591" s="6">
        <f>C591&amp;D591</f>
        <v/>
      </c>
      <c r="C591" s="6">
        <f>YEAR(E591)</f>
        <v/>
      </c>
      <c r="D591" s="6">
        <f>MONTH(E591)</f>
        <v/>
      </c>
      <c r="E591" s="267">
        <f>IFERROR(__xludf.DUMMYFUNCTION("""COMPUTED_VALUE"""),43955.6666666666)</f>
        <v/>
      </c>
      <c r="F591" s="6">
        <f>IFERROR(__xludf.DUMMYFUNCTION("""COMPUTED_VALUE"""),2842.74)</f>
        <v/>
      </c>
      <c r="J591" s="6">
        <f>K591&amp;L591</f>
        <v/>
      </c>
      <c r="K591" s="6">
        <f>YEAR(M591)</f>
        <v/>
      </c>
      <c r="L591" s="6">
        <f>MONTH(M591)</f>
        <v/>
      </c>
      <c r="M591" s="267">
        <f>IFERROR(__xludf.DUMMYFUNCTION("""COMPUTED_VALUE"""),43949.6666666666)</f>
        <v/>
      </c>
      <c r="N591" s="6">
        <f>IFERROR(__xludf.DUMMYFUNCTION("""COMPUTED_VALUE"""),8607.73)</f>
        <v/>
      </c>
      <c r="R591" s="6">
        <f>S591&amp;T591</f>
        <v/>
      </c>
      <c r="S591" s="6">
        <f>YEAR(U591)</f>
        <v/>
      </c>
      <c r="T591" s="6">
        <f>MONTH(U591)</f>
        <v/>
      </c>
      <c r="U591" s="267">
        <f>IFERROR(__xludf.DUMMYFUNCTION("""COMPUTED_VALUE"""),43983.6458333333)</f>
        <v/>
      </c>
      <c r="V591" s="6">
        <f>IFERROR(__xludf.DUMMYFUNCTION("""COMPUTED_VALUE"""),2065.08)</f>
        <v/>
      </c>
      <c r="Z591" s="6">
        <f>AA591&amp;AB591</f>
        <v/>
      </c>
      <c r="AA591" s="6">
        <f>YEAR(AC591)</f>
        <v/>
      </c>
      <c r="AB591" s="6">
        <f>MONTH(AC591)</f>
        <v/>
      </c>
      <c r="AC591" s="267">
        <f>IFERROR(__xludf.DUMMYFUNCTION("""COMPUTED_VALUE"""),43723.9986111111)</f>
        <v/>
      </c>
      <c r="AD591" s="6">
        <f>IFERROR(__xludf.DUMMYFUNCTION("""COMPUTED_VALUE"""),1178.72)</f>
        <v/>
      </c>
      <c r="AH591" s="6">
        <f>AI591&amp;AJ591</f>
        <v/>
      </c>
      <c r="AI591" s="6">
        <f>YEAR(AK591)</f>
        <v/>
      </c>
      <c r="AJ591" s="6">
        <f>MONTH(AK591)</f>
        <v/>
      </c>
      <c r="AK591" s="267">
        <f>IFERROR(__xludf.DUMMYFUNCTION("""COMPUTED_VALUE"""),43683.9986111111)</f>
        <v/>
      </c>
      <c r="AL591" s="6">
        <f>IFERROR(__xludf.DUMMYFUNCTION("""COMPUTED_VALUE"""),11467.66)</f>
        <v/>
      </c>
      <c r="AP591" s="6">
        <f>AQ591&amp;AR591</f>
        <v/>
      </c>
      <c r="AQ591" s="6">
        <f>YEAR(AS591)</f>
        <v/>
      </c>
      <c r="AR591" s="6">
        <f>MONTH(AS591)</f>
        <v/>
      </c>
      <c r="AS591" s="267">
        <f>IFERROR(__xludf.DUMMYFUNCTION("""COMPUTED_VALUE"""),43964.9986111111)</f>
        <v/>
      </c>
      <c r="AT591" s="6">
        <f>IFERROR(__xludf.DUMMYFUNCTION("""COMPUTED_VALUE"""),1716.4)</f>
        <v/>
      </c>
    </row>
    <row r="592">
      <c r="B592" s="6">
        <f>C592&amp;D592</f>
        <v/>
      </c>
      <c r="C592" s="6">
        <f>YEAR(E592)</f>
        <v/>
      </c>
      <c r="D592" s="6">
        <f>MONTH(E592)</f>
        <v/>
      </c>
      <c r="E592" s="267">
        <f>IFERROR(__xludf.DUMMYFUNCTION("""COMPUTED_VALUE"""),43956.6666666666)</f>
        <v/>
      </c>
      <c r="F592" s="6">
        <f>IFERROR(__xludf.DUMMYFUNCTION("""COMPUTED_VALUE"""),2868.44)</f>
        <v/>
      </c>
      <c r="J592" s="6">
        <f>K592&amp;L592</f>
        <v/>
      </c>
      <c r="K592" s="6">
        <f>YEAR(M592)</f>
        <v/>
      </c>
      <c r="L592" s="6">
        <f>MONTH(M592)</f>
        <v/>
      </c>
      <c r="M592" s="267">
        <f>IFERROR(__xludf.DUMMYFUNCTION("""COMPUTED_VALUE"""),43950.6666666666)</f>
        <v/>
      </c>
      <c r="N592" s="6">
        <f>IFERROR(__xludf.DUMMYFUNCTION("""COMPUTED_VALUE"""),8914.71)</f>
        <v/>
      </c>
      <c r="R592" s="6">
        <f>S592&amp;T592</f>
        <v/>
      </c>
      <c r="S592" s="6">
        <f>YEAR(U592)</f>
        <v/>
      </c>
      <c r="T592" s="6">
        <f>MONTH(U592)</f>
        <v/>
      </c>
      <c r="U592" s="267">
        <f>IFERROR(__xludf.DUMMYFUNCTION("""COMPUTED_VALUE"""),43984.6458333333)</f>
        <v/>
      </c>
      <c r="V592" s="6">
        <f>IFERROR(__xludf.DUMMYFUNCTION("""COMPUTED_VALUE"""),2087.19)</f>
        <v/>
      </c>
      <c r="Z592" s="6">
        <f>AA592&amp;AB592</f>
        <v/>
      </c>
      <c r="AA592" s="6">
        <f>YEAR(AC592)</f>
        <v/>
      </c>
      <c r="AB592" s="6">
        <f>MONTH(AC592)</f>
        <v/>
      </c>
      <c r="AC592" s="267">
        <f>IFERROR(__xludf.DUMMYFUNCTION("""COMPUTED_VALUE"""),43724.9986111111)</f>
        <v/>
      </c>
      <c r="AD592" s="6">
        <f>IFERROR(__xludf.DUMMYFUNCTION("""COMPUTED_VALUE"""),1183.29)</f>
        <v/>
      </c>
      <c r="AH592" s="6">
        <f>AI592&amp;AJ592</f>
        <v/>
      </c>
      <c r="AI592" s="6">
        <f>YEAR(AK592)</f>
        <v/>
      </c>
      <c r="AJ592" s="6">
        <f>MONTH(AK592)</f>
        <v/>
      </c>
      <c r="AK592" s="267">
        <f>IFERROR(__xludf.DUMMYFUNCTION("""COMPUTED_VALUE"""),43684.9986111111)</f>
        <v/>
      </c>
      <c r="AL592" s="6">
        <f>IFERROR(__xludf.DUMMYFUNCTION("""COMPUTED_VALUE"""),11934.21)</f>
        <v/>
      </c>
      <c r="AP592" s="6">
        <f>AQ592&amp;AR592</f>
        <v/>
      </c>
      <c r="AQ592" s="6">
        <f>YEAR(AS592)</f>
        <v/>
      </c>
      <c r="AR592" s="6">
        <f>MONTH(AS592)</f>
        <v/>
      </c>
      <c r="AS592" s="267">
        <f>IFERROR(__xludf.DUMMYFUNCTION("""COMPUTED_VALUE"""),43965.9986111111)</f>
        <v/>
      </c>
      <c r="AT592" s="6">
        <f>IFERROR(__xludf.DUMMYFUNCTION("""COMPUTED_VALUE"""),1740.9)</f>
        <v/>
      </c>
    </row>
    <row r="593">
      <c r="B593" s="6">
        <f>C593&amp;D593</f>
        <v/>
      </c>
      <c r="C593" s="6">
        <f>YEAR(E593)</f>
        <v/>
      </c>
      <c r="D593" s="6">
        <f>MONTH(E593)</f>
        <v/>
      </c>
      <c r="E593" s="267">
        <f>IFERROR(__xludf.DUMMYFUNCTION("""COMPUTED_VALUE"""),43957.6666666666)</f>
        <v/>
      </c>
      <c r="F593" s="6">
        <f>IFERROR(__xludf.DUMMYFUNCTION("""COMPUTED_VALUE"""),2848.42)</f>
        <v/>
      </c>
      <c r="J593" s="6">
        <f>K593&amp;L593</f>
        <v/>
      </c>
      <c r="K593" s="6">
        <f>YEAR(M593)</f>
        <v/>
      </c>
      <c r="L593" s="6">
        <f>MONTH(M593)</f>
        <v/>
      </c>
      <c r="M593" s="267">
        <f>IFERROR(__xludf.DUMMYFUNCTION("""COMPUTED_VALUE"""),43951.6666666666)</f>
        <v/>
      </c>
      <c r="N593" s="6">
        <f>IFERROR(__xludf.DUMMYFUNCTION("""COMPUTED_VALUE"""),8889.55)</f>
        <v/>
      </c>
      <c r="R593" s="6">
        <f>S593&amp;T593</f>
        <v/>
      </c>
      <c r="S593" s="6">
        <f>YEAR(U593)</f>
        <v/>
      </c>
      <c r="T593" s="6">
        <f>MONTH(U593)</f>
        <v/>
      </c>
      <c r="U593" s="267">
        <f>IFERROR(__xludf.DUMMYFUNCTION("""COMPUTED_VALUE"""),43985.6458333333)</f>
        <v/>
      </c>
      <c r="V593" s="6">
        <f>IFERROR(__xludf.DUMMYFUNCTION("""COMPUTED_VALUE"""),2147)</f>
        <v/>
      </c>
      <c r="Z593" s="6">
        <f>AA593&amp;AB593</f>
        <v/>
      </c>
      <c r="AA593" s="6">
        <f>YEAR(AC593)</f>
        <v/>
      </c>
      <c r="AB593" s="6">
        <f>MONTH(AC593)</f>
        <v/>
      </c>
      <c r="AC593" s="267">
        <f>IFERROR(__xludf.DUMMYFUNCTION("""COMPUTED_VALUE"""),43725.9986111111)</f>
        <v/>
      </c>
      <c r="AD593" s="6">
        <f>IFERROR(__xludf.DUMMYFUNCTION("""COMPUTED_VALUE"""),1185.65)</f>
        <v/>
      </c>
      <c r="AH593" s="6">
        <f>AI593&amp;AJ593</f>
        <v/>
      </c>
      <c r="AI593" s="6">
        <f>YEAR(AK593)</f>
        <v/>
      </c>
      <c r="AJ593" s="6">
        <f>MONTH(AK593)</f>
        <v/>
      </c>
      <c r="AK593" s="267">
        <f>IFERROR(__xludf.DUMMYFUNCTION("""COMPUTED_VALUE"""),43685.9986111111)</f>
        <v/>
      </c>
      <c r="AL593" s="6">
        <f>IFERROR(__xludf.DUMMYFUNCTION("""COMPUTED_VALUE"""),11986.59)</f>
        <v/>
      </c>
      <c r="AP593" s="6">
        <f>AQ593&amp;AR593</f>
        <v/>
      </c>
      <c r="AQ593" s="6">
        <f>YEAR(AS593)</f>
        <v/>
      </c>
      <c r="AR593" s="6">
        <f>MONTH(AS593)</f>
        <v/>
      </c>
      <c r="AS593" s="267">
        <f>IFERROR(__xludf.DUMMYFUNCTION("""COMPUTED_VALUE"""),43966.9986111111)</f>
        <v/>
      </c>
      <c r="AT593" s="6">
        <f>IFERROR(__xludf.DUMMYFUNCTION("""COMPUTED_VALUE"""),1756.3)</f>
        <v/>
      </c>
    </row>
    <row r="594">
      <c r="B594" s="6">
        <f>C594&amp;D594</f>
        <v/>
      </c>
      <c r="C594" s="6">
        <f>YEAR(E594)</f>
        <v/>
      </c>
      <c r="D594" s="6">
        <f>MONTH(E594)</f>
        <v/>
      </c>
      <c r="E594" s="267">
        <f>IFERROR(__xludf.DUMMYFUNCTION("""COMPUTED_VALUE"""),43958.6666666666)</f>
        <v/>
      </c>
      <c r="F594" s="6">
        <f>IFERROR(__xludf.DUMMYFUNCTION("""COMPUTED_VALUE"""),2881.19)</f>
        <v/>
      </c>
      <c r="J594" s="6">
        <f>K594&amp;L594</f>
        <v/>
      </c>
      <c r="K594" s="6">
        <f>YEAR(M594)</f>
        <v/>
      </c>
      <c r="L594" s="6">
        <f>MONTH(M594)</f>
        <v/>
      </c>
      <c r="M594" s="267">
        <f>IFERROR(__xludf.DUMMYFUNCTION("""COMPUTED_VALUE"""),43952.6666666666)</f>
        <v/>
      </c>
      <c r="N594" s="6">
        <f>IFERROR(__xludf.DUMMYFUNCTION("""COMPUTED_VALUE"""),8604.95)</f>
        <v/>
      </c>
      <c r="R594" s="6">
        <f>S594&amp;T594</f>
        <v/>
      </c>
      <c r="S594" s="6">
        <f>YEAR(U594)</f>
        <v/>
      </c>
      <c r="T594" s="6">
        <f>MONTH(U594)</f>
        <v/>
      </c>
      <c r="U594" s="267">
        <f>IFERROR(__xludf.DUMMYFUNCTION("""COMPUTED_VALUE"""),43986.6458333333)</f>
        <v/>
      </c>
      <c r="V594" s="6">
        <f>IFERROR(__xludf.DUMMYFUNCTION("""COMPUTED_VALUE"""),2151.18)</f>
        <v/>
      </c>
      <c r="Z594" s="6">
        <f>AA594&amp;AB594</f>
        <v/>
      </c>
      <c r="AA594" s="6">
        <f>YEAR(AC594)</f>
        <v/>
      </c>
      <c r="AB594" s="6">
        <f>MONTH(AC594)</f>
        <v/>
      </c>
      <c r="AC594" s="267">
        <f>IFERROR(__xludf.DUMMYFUNCTION("""COMPUTED_VALUE"""),43726.9986111111)</f>
        <v/>
      </c>
      <c r="AD594" s="6">
        <f>IFERROR(__xludf.DUMMYFUNCTION("""COMPUTED_VALUE"""),1189.55)</f>
        <v/>
      </c>
      <c r="AH594" s="6">
        <f>AI594&amp;AJ594</f>
        <v/>
      </c>
      <c r="AI594" s="6">
        <f>YEAR(AK594)</f>
        <v/>
      </c>
      <c r="AJ594" s="6">
        <f>MONTH(AK594)</f>
        <v/>
      </c>
      <c r="AK594" s="267">
        <f>IFERROR(__xludf.DUMMYFUNCTION("""COMPUTED_VALUE"""),43686.9986111111)</f>
        <v/>
      </c>
      <c r="AL594" s="6">
        <f>IFERROR(__xludf.DUMMYFUNCTION("""COMPUTED_VALUE"""),11854.1)</f>
        <v/>
      </c>
      <c r="AP594" s="6">
        <f>AQ594&amp;AR594</f>
        <v/>
      </c>
      <c r="AQ594" s="6">
        <f>YEAR(AS594)</f>
        <v/>
      </c>
      <c r="AR594" s="6">
        <f>MONTH(AS594)</f>
        <v/>
      </c>
      <c r="AS594" s="267">
        <f>IFERROR(__xludf.DUMMYFUNCTION("""COMPUTED_VALUE"""),43969.9986111111)</f>
        <v/>
      </c>
      <c r="AT594" s="6">
        <f>IFERROR(__xludf.DUMMYFUNCTION("""COMPUTED_VALUE"""),1734.4)</f>
        <v/>
      </c>
    </row>
    <row r="595">
      <c r="B595" s="6">
        <f>C595&amp;D595</f>
        <v/>
      </c>
      <c r="C595" s="6">
        <f>YEAR(E595)</f>
        <v/>
      </c>
      <c r="D595" s="6">
        <f>MONTH(E595)</f>
        <v/>
      </c>
      <c r="E595" s="267">
        <f>IFERROR(__xludf.DUMMYFUNCTION("""COMPUTED_VALUE"""),43959.6666666666)</f>
        <v/>
      </c>
      <c r="F595" s="6">
        <f>IFERROR(__xludf.DUMMYFUNCTION("""COMPUTED_VALUE"""),2929.8)</f>
        <v/>
      </c>
      <c r="J595" s="6">
        <f>K595&amp;L595</f>
        <v/>
      </c>
      <c r="K595" s="6">
        <f>YEAR(M595)</f>
        <v/>
      </c>
      <c r="L595" s="6">
        <f>MONTH(M595)</f>
        <v/>
      </c>
      <c r="M595" s="267">
        <f>IFERROR(__xludf.DUMMYFUNCTION("""COMPUTED_VALUE"""),43955.6666666666)</f>
        <v/>
      </c>
      <c r="N595" s="6">
        <f>IFERROR(__xludf.DUMMYFUNCTION("""COMPUTED_VALUE"""),8710.72)</f>
        <v/>
      </c>
      <c r="R595" s="6">
        <f>S595&amp;T595</f>
        <v/>
      </c>
      <c r="S595" s="6">
        <f>YEAR(U595)</f>
        <v/>
      </c>
      <c r="T595" s="6">
        <f>MONTH(U595)</f>
        <v/>
      </c>
      <c r="U595" s="267">
        <f>IFERROR(__xludf.DUMMYFUNCTION("""COMPUTED_VALUE"""),43987.6458333333)</f>
        <v/>
      </c>
      <c r="V595" s="6">
        <f>IFERROR(__xludf.DUMMYFUNCTION("""COMPUTED_VALUE"""),2181.87)</f>
        <v/>
      </c>
      <c r="Z595" s="6">
        <f>AA595&amp;AB595</f>
        <v/>
      </c>
      <c r="AA595" s="6">
        <f>YEAR(AC595)</f>
        <v/>
      </c>
      <c r="AB595" s="6">
        <f>MONTH(AC595)</f>
        <v/>
      </c>
      <c r="AC595" s="267">
        <f>IFERROR(__xludf.DUMMYFUNCTION("""COMPUTED_VALUE"""),43727.9986111111)</f>
        <v/>
      </c>
      <c r="AD595" s="6">
        <f>IFERROR(__xludf.DUMMYFUNCTION("""COMPUTED_VALUE"""),1193.86)</f>
        <v/>
      </c>
      <c r="AH595" s="6">
        <f>AI595&amp;AJ595</f>
        <v/>
      </c>
      <c r="AI595" s="6">
        <f>YEAR(AK595)</f>
        <v/>
      </c>
      <c r="AJ595" s="6">
        <f>MONTH(AK595)</f>
        <v/>
      </c>
      <c r="AK595" s="267">
        <f>IFERROR(__xludf.DUMMYFUNCTION("""COMPUTED_VALUE"""),43687.9986111111)</f>
        <v/>
      </c>
      <c r="AL595" s="6">
        <f>IFERROR(__xludf.DUMMYFUNCTION("""COMPUTED_VALUE"""),11288.67)</f>
        <v/>
      </c>
      <c r="AP595" s="6">
        <f>AQ595&amp;AR595</f>
        <v/>
      </c>
      <c r="AQ595" s="6">
        <f>YEAR(AS595)</f>
        <v/>
      </c>
      <c r="AR595" s="6">
        <f>MONTH(AS595)</f>
        <v/>
      </c>
      <c r="AS595" s="267">
        <f>IFERROR(__xludf.DUMMYFUNCTION("""COMPUTED_VALUE"""),43970.9986111111)</f>
        <v/>
      </c>
      <c r="AT595" s="6">
        <f>IFERROR(__xludf.DUMMYFUNCTION("""COMPUTED_VALUE"""),1745.6)</f>
        <v/>
      </c>
    </row>
    <row r="596">
      <c r="B596" s="6">
        <f>C596&amp;D596</f>
        <v/>
      </c>
      <c r="C596" s="6">
        <f>YEAR(E596)</f>
        <v/>
      </c>
      <c r="D596" s="6">
        <f>MONTH(E596)</f>
        <v/>
      </c>
      <c r="E596" s="267">
        <f>IFERROR(__xludf.DUMMYFUNCTION("""COMPUTED_VALUE"""),43962.6666666666)</f>
        <v/>
      </c>
      <c r="F596" s="6">
        <f>IFERROR(__xludf.DUMMYFUNCTION("""COMPUTED_VALUE"""),2930.32)</f>
        <v/>
      </c>
      <c r="J596" s="6">
        <f>K596&amp;L596</f>
        <v/>
      </c>
      <c r="K596" s="6">
        <f>YEAR(M596)</f>
        <v/>
      </c>
      <c r="L596" s="6">
        <f>MONTH(M596)</f>
        <v/>
      </c>
      <c r="M596" s="267">
        <f>IFERROR(__xludf.DUMMYFUNCTION("""COMPUTED_VALUE"""),43956.6666666666)</f>
        <v/>
      </c>
      <c r="N596" s="6">
        <f>IFERROR(__xludf.DUMMYFUNCTION("""COMPUTED_VALUE"""),8809.12)</f>
        <v/>
      </c>
      <c r="R596" s="6">
        <f>S596&amp;T596</f>
        <v/>
      </c>
      <c r="S596" s="6">
        <f>YEAR(U596)</f>
        <v/>
      </c>
      <c r="T596" s="6">
        <f>MONTH(U596)</f>
        <v/>
      </c>
      <c r="U596" s="267">
        <f>IFERROR(__xludf.DUMMYFUNCTION("""COMPUTED_VALUE"""),43990.6458333333)</f>
        <v/>
      </c>
      <c r="V596" s="6">
        <f>IFERROR(__xludf.DUMMYFUNCTION("""COMPUTED_VALUE"""),2184.29)</f>
        <v/>
      </c>
      <c r="Z596" s="6">
        <f>AA596&amp;AB596</f>
        <v/>
      </c>
      <c r="AA596" s="6">
        <f>YEAR(AC596)</f>
        <v/>
      </c>
      <c r="AB596" s="6">
        <f>MONTH(AC596)</f>
        <v/>
      </c>
      <c r="AC596" s="267">
        <f>IFERROR(__xludf.DUMMYFUNCTION("""COMPUTED_VALUE"""),43728.9986111111)</f>
        <v/>
      </c>
      <c r="AD596" s="6">
        <f>IFERROR(__xludf.DUMMYFUNCTION("""COMPUTED_VALUE"""),1192.91)</f>
        <v/>
      </c>
      <c r="AH596" s="6">
        <f>AI596&amp;AJ596</f>
        <v/>
      </c>
      <c r="AI596" s="6">
        <f>YEAR(AK596)</f>
        <v/>
      </c>
      <c r="AJ596" s="6">
        <f>MONTH(AK596)</f>
        <v/>
      </c>
      <c r="AK596" s="267">
        <f>IFERROR(__xludf.DUMMYFUNCTION("""COMPUTED_VALUE"""),43688.9986111111)</f>
        <v/>
      </c>
      <c r="AL596" s="6">
        <f>IFERROR(__xludf.DUMMYFUNCTION("""COMPUTED_VALUE"""),11536.82)</f>
        <v/>
      </c>
      <c r="AP596" s="6">
        <f>AQ596&amp;AR596</f>
        <v/>
      </c>
      <c r="AQ596" s="6">
        <f>YEAR(AS596)</f>
        <v/>
      </c>
      <c r="AR596" s="6">
        <f>MONTH(AS596)</f>
        <v/>
      </c>
      <c r="AS596" s="267">
        <f>IFERROR(__xludf.DUMMYFUNCTION("""COMPUTED_VALUE"""),43971.9986111111)</f>
        <v/>
      </c>
      <c r="AT596" s="6">
        <f>IFERROR(__xludf.DUMMYFUNCTION("""COMPUTED_VALUE"""),1752.1)</f>
        <v/>
      </c>
    </row>
    <row r="597">
      <c r="B597" s="6">
        <f>C597&amp;D597</f>
        <v/>
      </c>
      <c r="C597" s="6">
        <f>YEAR(E597)</f>
        <v/>
      </c>
      <c r="D597" s="6">
        <f>MONTH(E597)</f>
        <v/>
      </c>
      <c r="E597" s="267">
        <f>IFERROR(__xludf.DUMMYFUNCTION("""COMPUTED_VALUE"""),43963.6666666666)</f>
        <v/>
      </c>
      <c r="F597" s="6">
        <f>IFERROR(__xludf.DUMMYFUNCTION("""COMPUTED_VALUE"""),2870.12)</f>
        <v/>
      </c>
      <c r="J597" s="6">
        <f>K597&amp;L597</f>
        <v/>
      </c>
      <c r="K597" s="6">
        <f>YEAR(M597)</f>
        <v/>
      </c>
      <c r="L597" s="6">
        <f>MONTH(M597)</f>
        <v/>
      </c>
      <c r="M597" s="267">
        <f>IFERROR(__xludf.DUMMYFUNCTION("""COMPUTED_VALUE"""),43957.6666666666)</f>
        <v/>
      </c>
      <c r="N597" s="6">
        <f>IFERROR(__xludf.DUMMYFUNCTION("""COMPUTED_VALUE"""),8854.39)</f>
        <v/>
      </c>
      <c r="R597" s="6">
        <f>S597&amp;T597</f>
        <v/>
      </c>
      <c r="S597" s="6">
        <f>YEAR(U597)</f>
        <v/>
      </c>
      <c r="T597" s="6">
        <f>MONTH(U597)</f>
        <v/>
      </c>
      <c r="U597" s="267">
        <f>IFERROR(__xludf.DUMMYFUNCTION("""COMPUTED_VALUE"""),43991.6458333333)</f>
        <v/>
      </c>
      <c r="V597" s="6">
        <f>IFERROR(__xludf.DUMMYFUNCTION("""COMPUTED_VALUE"""),2188.92)</f>
        <v/>
      </c>
      <c r="Z597" s="6">
        <f>AA597&amp;AB597</f>
        <v/>
      </c>
      <c r="AA597" s="6">
        <f>YEAR(AC597)</f>
        <v/>
      </c>
      <c r="AB597" s="6">
        <f>MONTH(AC597)</f>
        <v/>
      </c>
      <c r="AC597" s="267">
        <f>IFERROR(__xludf.DUMMYFUNCTION("""COMPUTED_VALUE"""),43730.9986111111)</f>
        <v/>
      </c>
      <c r="AD597" s="6">
        <f>IFERROR(__xludf.DUMMYFUNCTION("""COMPUTED_VALUE"""),1193.13)</f>
        <v/>
      </c>
      <c r="AH597" s="6">
        <f>AI597&amp;AJ597</f>
        <v/>
      </c>
      <c r="AI597" s="6">
        <f>YEAR(AK597)</f>
        <v/>
      </c>
      <c r="AJ597" s="6">
        <f>MONTH(AK597)</f>
        <v/>
      </c>
      <c r="AK597" s="267">
        <f>IFERROR(__xludf.DUMMYFUNCTION("""COMPUTED_VALUE"""),43689.9986111111)</f>
        <v/>
      </c>
      <c r="AL597" s="6">
        <f>IFERROR(__xludf.DUMMYFUNCTION("""COMPUTED_VALUE"""),11388.57)</f>
        <v/>
      </c>
      <c r="AP597" s="6">
        <f>AQ597&amp;AR597</f>
        <v/>
      </c>
      <c r="AQ597" s="6">
        <f>YEAR(AS597)</f>
        <v/>
      </c>
      <c r="AR597" s="6">
        <f>MONTH(AS597)</f>
        <v/>
      </c>
      <c r="AS597" s="267">
        <f>IFERROR(__xludf.DUMMYFUNCTION("""COMPUTED_VALUE"""),43972.9986111111)</f>
        <v/>
      </c>
      <c r="AT597" s="6">
        <f>IFERROR(__xludf.DUMMYFUNCTION("""COMPUTED_VALUE"""),1721.9)</f>
        <v/>
      </c>
    </row>
    <row r="598">
      <c r="B598" s="6">
        <f>C598&amp;D598</f>
        <v/>
      </c>
      <c r="C598" s="6">
        <f>YEAR(E598)</f>
        <v/>
      </c>
      <c r="D598" s="6">
        <f>MONTH(E598)</f>
        <v/>
      </c>
      <c r="E598" s="267">
        <f>IFERROR(__xludf.DUMMYFUNCTION("""COMPUTED_VALUE"""),43964.6666666666)</f>
        <v/>
      </c>
      <c r="F598" s="6">
        <f>IFERROR(__xludf.DUMMYFUNCTION("""COMPUTED_VALUE"""),2820)</f>
        <v/>
      </c>
      <c r="J598" s="6">
        <f>K598&amp;L598</f>
        <v/>
      </c>
      <c r="K598" s="6">
        <f>YEAR(M598)</f>
        <v/>
      </c>
      <c r="L598" s="6">
        <f>MONTH(M598)</f>
        <v/>
      </c>
      <c r="M598" s="267">
        <f>IFERROR(__xludf.DUMMYFUNCTION("""COMPUTED_VALUE"""),43958.6666666666)</f>
        <v/>
      </c>
      <c r="N598" s="6">
        <f>IFERROR(__xludf.DUMMYFUNCTION("""COMPUTED_VALUE"""),8979.66)</f>
        <v/>
      </c>
      <c r="R598" s="6">
        <f>S598&amp;T598</f>
        <v/>
      </c>
      <c r="S598" s="6">
        <f>YEAR(U598)</f>
        <v/>
      </c>
      <c r="T598" s="6">
        <f>MONTH(U598)</f>
        <v/>
      </c>
      <c r="U598" s="267">
        <f>IFERROR(__xludf.DUMMYFUNCTION("""COMPUTED_VALUE"""),43992.6458333333)</f>
        <v/>
      </c>
      <c r="V598" s="6">
        <f>IFERROR(__xludf.DUMMYFUNCTION("""COMPUTED_VALUE"""),2195.69)</f>
        <v/>
      </c>
      <c r="Z598" s="6">
        <f>AA598&amp;AB598</f>
        <v/>
      </c>
      <c r="AA598" s="6">
        <f>YEAR(AC598)</f>
        <v/>
      </c>
      <c r="AB598" s="6">
        <f>MONTH(AC598)</f>
        <v/>
      </c>
      <c r="AC598" s="267">
        <f>IFERROR(__xludf.DUMMYFUNCTION("""COMPUTED_VALUE"""),43731.9986111111)</f>
        <v/>
      </c>
      <c r="AD598" s="6">
        <f>IFERROR(__xludf.DUMMYFUNCTION("""COMPUTED_VALUE"""),1193.01)</f>
        <v/>
      </c>
      <c r="AH598" s="6">
        <f>AI598&amp;AJ598</f>
        <v/>
      </c>
      <c r="AI598" s="6">
        <f>YEAR(AK598)</f>
        <v/>
      </c>
      <c r="AJ598" s="6">
        <f>MONTH(AK598)</f>
        <v/>
      </c>
      <c r="AK598" s="267">
        <f>IFERROR(__xludf.DUMMYFUNCTION("""COMPUTED_VALUE"""),43690.9986111111)</f>
        <v/>
      </c>
      <c r="AL598" s="6">
        <f>IFERROR(__xludf.DUMMYFUNCTION("""COMPUTED_VALUE"""),10859.45)</f>
        <v/>
      </c>
      <c r="AP598" s="6">
        <f>AQ598&amp;AR598</f>
        <v/>
      </c>
      <c r="AQ598" s="6">
        <f>YEAR(AS598)</f>
        <v/>
      </c>
      <c r="AR598" s="6">
        <f>MONTH(AS598)</f>
        <v/>
      </c>
      <c r="AS598" s="267">
        <f>IFERROR(__xludf.DUMMYFUNCTION("""COMPUTED_VALUE"""),43973.9986111111)</f>
        <v/>
      </c>
      <c r="AT598" s="6">
        <f>IFERROR(__xludf.DUMMYFUNCTION("""COMPUTED_VALUE"""),1735.5)</f>
        <v/>
      </c>
    </row>
    <row r="599">
      <c r="B599" s="6">
        <f>C599&amp;D599</f>
        <v/>
      </c>
      <c r="C599" s="6">
        <f>YEAR(E599)</f>
        <v/>
      </c>
      <c r="D599" s="6">
        <f>MONTH(E599)</f>
        <v/>
      </c>
      <c r="E599" s="267">
        <f>IFERROR(__xludf.DUMMYFUNCTION("""COMPUTED_VALUE"""),43965.6666666666)</f>
        <v/>
      </c>
      <c r="F599" s="6">
        <f>IFERROR(__xludf.DUMMYFUNCTION("""COMPUTED_VALUE"""),2852.5)</f>
        <v/>
      </c>
      <c r="J599" s="6">
        <f>K599&amp;L599</f>
        <v/>
      </c>
      <c r="K599" s="6">
        <f>YEAR(M599)</f>
        <v/>
      </c>
      <c r="L599" s="6">
        <f>MONTH(M599)</f>
        <v/>
      </c>
      <c r="M599" s="267">
        <f>IFERROR(__xludf.DUMMYFUNCTION("""COMPUTED_VALUE"""),43959.6666666666)</f>
        <v/>
      </c>
      <c r="N599" s="6">
        <f>IFERROR(__xludf.DUMMYFUNCTION("""COMPUTED_VALUE"""),9121.32)</f>
        <v/>
      </c>
      <c r="R599" s="6">
        <f>S599&amp;T599</f>
        <v/>
      </c>
      <c r="S599" s="6">
        <f>YEAR(U599)</f>
        <v/>
      </c>
      <c r="T599" s="6">
        <f>MONTH(U599)</f>
        <v/>
      </c>
      <c r="U599" s="267">
        <f>IFERROR(__xludf.DUMMYFUNCTION("""COMPUTED_VALUE"""),43993.6458333333)</f>
        <v/>
      </c>
      <c r="V599" s="6">
        <f>IFERROR(__xludf.DUMMYFUNCTION("""COMPUTED_VALUE"""),2176.78)</f>
        <v/>
      </c>
      <c r="Z599" s="6">
        <f>AA599&amp;AB599</f>
        <v/>
      </c>
      <c r="AA599" s="6">
        <f>YEAR(AC599)</f>
        <v/>
      </c>
      <c r="AB599" s="6">
        <f>MONTH(AC599)</f>
        <v/>
      </c>
      <c r="AC599" s="267">
        <f>IFERROR(__xludf.DUMMYFUNCTION("""COMPUTED_VALUE"""),43732.9986111111)</f>
        <v/>
      </c>
      <c r="AD599" s="6">
        <f>IFERROR(__xludf.DUMMYFUNCTION("""COMPUTED_VALUE"""),1193.94)</f>
        <v/>
      </c>
      <c r="AH599" s="6">
        <f>AI599&amp;AJ599</f>
        <v/>
      </c>
      <c r="AI599" s="6">
        <f>YEAR(AK599)</f>
        <v/>
      </c>
      <c r="AJ599" s="6">
        <f>MONTH(AK599)</f>
        <v/>
      </c>
      <c r="AK599" s="267">
        <f>IFERROR(__xludf.DUMMYFUNCTION("""COMPUTED_VALUE"""),43691.9986111111)</f>
        <v/>
      </c>
      <c r="AL599" s="6">
        <f>IFERROR(__xludf.DUMMYFUNCTION("""COMPUTED_VALUE"""),10045.26)</f>
        <v/>
      </c>
      <c r="AP599" s="6">
        <f>AQ599&amp;AR599</f>
        <v/>
      </c>
      <c r="AQ599" s="6">
        <f>YEAR(AS599)</f>
        <v/>
      </c>
      <c r="AR599" s="6">
        <f>MONTH(AS599)</f>
        <v/>
      </c>
      <c r="AS599" s="267">
        <f>IFERROR(__xludf.DUMMYFUNCTION("""COMPUTED_VALUE"""),43977.9986111111)</f>
        <v/>
      </c>
      <c r="AT599" s="6">
        <f>IFERROR(__xludf.DUMMYFUNCTION("""COMPUTED_VALUE"""),1728.2)</f>
        <v/>
      </c>
    </row>
    <row r="600">
      <c r="B600" s="6">
        <f>C600&amp;D600</f>
        <v/>
      </c>
      <c r="C600" s="6">
        <f>YEAR(E600)</f>
        <v/>
      </c>
      <c r="D600" s="6">
        <f>MONTH(E600)</f>
        <v/>
      </c>
      <c r="E600" s="267">
        <f>IFERROR(__xludf.DUMMYFUNCTION("""COMPUTED_VALUE"""),43966.6666666666)</f>
        <v/>
      </c>
      <c r="F600" s="6">
        <f>IFERROR(__xludf.DUMMYFUNCTION("""COMPUTED_VALUE"""),2863.7)</f>
        <v/>
      </c>
      <c r="J600" s="6">
        <f>K600&amp;L600</f>
        <v/>
      </c>
      <c r="K600" s="6">
        <f>YEAR(M600)</f>
        <v/>
      </c>
      <c r="L600" s="6">
        <f>MONTH(M600)</f>
        <v/>
      </c>
      <c r="M600" s="267">
        <f>IFERROR(__xludf.DUMMYFUNCTION("""COMPUTED_VALUE"""),43962.6666666666)</f>
        <v/>
      </c>
      <c r="N600" s="6">
        <f>IFERROR(__xludf.DUMMYFUNCTION("""COMPUTED_VALUE"""),9192.34)</f>
        <v/>
      </c>
      <c r="R600" s="6">
        <f>S600&amp;T600</f>
        <v/>
      </c>
      <c r="S600" s="6">
        <f>YEAR(U600)</f>
        <v/>
      </c>
      <c r="T600" s="6">
        <f>MONTH(U600)</f>
        <v/>
      </c>
      <c r="U600" s="267">
        <f>IFERROR(__xludf.DUMMYFUNCTION("""COMPUTED_VALUE"""),43994.6458333333)</f>
        <v/>
      </c>
      <c r="V600" s="6">
        <f>IFERROR(__xludf.DUMMYFUNCTION("""COMPUTED_VALUE"""),2132.3)</f>
        <v/>
      </c>
      <c r="Z600" s="6">
        <f>AA600&amp;AB600</f>
        <v/>
      </c>
      <c r="AA600" s="6">
        <f>YEAR(AC600)</f>
        <v/>
      </c>
      <c r="AB600" s="6">
        <f>MONTH(AC600)</f>
        <v/>
      </c>
      <c r="AC600" s="267">
        <f>IFERROR(__xludf.DUMMYFUNCTION("""COMPUTED_VALUE"""),43733.9986111111)</f>
        <v/>
      </c>
      <c r="AD600" s="6">
        <f>IFERROR(__xludf.DUMMYFUNCTION("""COMPUTED_VALUE"""),1197.89)</f>
        <v/>
      </c>
      <c r="AH600" s="6">
        <f>AI600&amp;AJ600</f>
        <v/>
      </c>
      <c r="AI600" s="6">
        <f>YEAR(AK600)</f>
        <v/>
      </c>
      <c r="AJ600" s="6">
        <f>MONTH(AK600)</f>
        <v/>
      </c>
      <c r="AK600" s="267">
        <f>IFERROR(__xludf.DUMMYFUNCTION("""COMPUTED_VALUE"""),43692.9986111111)</f>
        <v/>
      </c>
      <c r="AL600" s="6">
        <f>IFERROR(__xludf.DUMMYFUNCTION("""COMPUTED_VALUE"""),10300.12)</f>
        <v/>
      </c>
      <c r="AP600" s="6">
        <f>AQ600&amp;AR600</f>
        <v/>
      </c>
      <c r="AQ600" s="6">
        <f>YEAR(AS600)</f>
        <v/>
      </c>
      <c r="AR600" s="6">
        <f>MONTH(AS600)</f>
        <v/>
      </c>
      <c r="AS600" s="267">
        <f>IFERROR(__xludf.DUMMYFUNCTION("""COMPUTED_VALUE"""),43978.9986111111)</f>
        <v/>
      </c>
      <c r="AT600" s="6">
        <f>IFERROR(__xludf.DUMMYFUNCTION("""COMPUTED_VALUE"""),1726.8)</f>
        <v/>
      </c>
    </row>
    <row r="601">
      <c r="B601" s="6">
        <f>C601&amp;D601</f>
        <v/>
      </c>
      <c r="C601" s="6">
        <f>YEAR(E601)</f>
        <v/>
      </c>
      <c r="D601" s="6">
        <f>MONTH(E601)</f>
        <v/>
      </c>
      <c r="E601" s="267">
        <f>IFERROR(__xludf.DUMMYFUNCTION("""COMPUTED_VALUE"""),43969.6666666666)</f>
        <v/>
      </c>
      <c r="F601" s="6">
        <f>IFERROR(__xludf.DUMMYFUNCTION("""COMPUTED_VALUE"""),2953.91)</f>
        <v/>
      </c>
      <c r="J601" s="6">
        <f>K601&amp;L601</f>
        <v/>
      </c>
      <c r="K601" s="6">
        <f>YEAR(M601)</f>
        <v/>
      </c>
      <c r="L601" s="6">
        <f>MONTH(M601)</f>
        <v/>
      </c>
      <c r="M601" s="267">
        <f>IFERROR(__xludf.DUMMYFUNCTION("""COMPUTED_VALUE"""),43963.6666666666)</f>
        <v/>
      </c>
      <c r="N601" s="6">
        <f>IFERROR(__xludf.DUMMYFUNCTION("""COMPUTED_VALUE"""),9002.55)</f>
        <v/>
      </c>
      <c r="R601" s="6">
        <f>S601&amp;T601</f>
        <v/>
      </c>
      <c r="S601" s="6">
        <f>YEAR(U601)</f>
        <v/>
      </c>
      <c r="T601" s="6">
        <f>MONTH(U601)</f>
        <v/>
      </c>
      <c r="U601" s="267">
        <f>IFERROR(__xludf.DUMMYFUNCTION("""COMPUTED_VALUE"""),43997.6458333333)</f>
        <v/>
      </c>
      <c r="V601" s="6">
        <f>IFERROR(__xludf.DUMMYFUNCTION("""COMPUTED_VALUE"""),2030.82)</f>
        <v/>
      </c>
      <c r="Z601" s="6">
        <f>AA601&amp;AB601</f>
        <v/>
      </c>
      <c r="AA601" s="6">
        <f>YEAR(AC601)</f>
        <v/>
      </c>
      <c r="AB601" s="6">
        <f>MONTH(AC601)</f>
        <v/>
      </c>
      <c r="AC601" s="267">
        <f>IFERROR(__xludf.DUMMYFUNCTION("""COMPUTED_VALUE"""),43734.9986111111)</f>
        <v/>
      </c>
      <c r="AD601" s="6">
        <f>IFERROR(__xludf.DUMMYFUNCTION("""COMPUTED_VALUE"""),1198.63)</f>
        <v/>
      </c>
      <c r="AH601" s="6">
        <f>AI601&amp;AJ601</f>
        <v/>
      </c>
      <c r="AI601" s="6">
        <f>YEAR(AK601)</f>
        <v/>
      </c>
      <c r="AJ601" s="6">
        <f>MONTH(AK601)</f>
        <v/>
      </c>
      <c r="AK601" s="267">
        <f>IFERROR(__xludf.DUMMYFUNCTION("""COMPUTED_VALUE"""),43693.9986111111)</f>
        <v/>
      </c>
      <c r="AL601" s="6">
        <f>IFERROR(__xludf.DUMMYFUNCTION("""COMPUTED_VALUE"""),10351.36)</f>
        <v/>
      </c>
      <c r="AP601" s="6">
        <f>AQ601&amp;AR601</f>
        <v/>
      </c>
      <c r="AQ601" s="6">
        <f>YEAR(AS601)</f>
        <v/>
      </c>
      <c r="AR601" s="6">
        <f>MONTH(AS601)</f>
        <v/>
      </c>
      <c r="AS601" s="267">
        <f>IFERROR(__xludf.DUMMYFUNCTION("""COMPUTED_VALUE"""),43979.9986111111)</f>
        <v/>
      </c>
      <c r="AT601" s="6">
        <f>IFERROR(__xludf.DUMMYFUNCTION("""COMPUTED_VALUE"""),1728.3)</f>
        <v/>
      </c>
    </row>
    <row r="602">
      <c r="B602" s="6">
        <f>C602&amp;D602</f>
        <v/>
      </c>
      <c r="C602" s="6">
        <f>YEAR(E602)</f>
        <v/>
      </c>
      <c r="D602" s="6">
        <f>MONTH(E602)</f>
        <v/>
      </c>
      <c r="E602" s="267">
        <f>IFERROR(__xludf.DUMMYFUNCTION("""COMPUTED_VALUE"""),43970.6666666666)</f>
        <v/>
      </c>
      <c r="F602" s="6">
        <f>IFERROR(__xludf.DUMMYFUNCTION("""COMPUTED_VALUE"""),2922.94)</f>
        <v/>
      </c>
      <c r="J602" s="6">
        <f>K602&amp;L602</f>
        <v/>
      </c>
      <c r="K602" s="6">
        <f>YEAR(M602)</f>
        <v/>
      </c>
      <c r="L602" s="6">
        <f>MONTH(M602)</f>
        <v/>
      </c>
      <c r="M602" s="267">
        <f>IFERROR(__xludf.DUMMYFUNCTION("""COMPUTED_VALUE"""),43964.6666666666)</f>
        <v/>
      </c>
      <c r="N602" s="6">
        <f>IFERROR(__xludf.DUMMYFUNCTION("""COMPUTED_VALUE"""),8863.17)</f>
        <v/>
      </c>
      <c r="R602" s="6">
        <f>S602&amp;T602</f>
        <v/>
      </c>
      <c r="S602" s="6">
        <f>YEAR(U602)</f>
        <v/>
      </c>
      <c r="T602" s="6">
        <f>MONTH(U602)</f>
        <v/>
      </c>
      <c r="U602" s="267">
        <f>IFERROR(__xludf.DUMMYFUNCTION("""COMPUTED_VALUE"""),43998.6458333333)</f>
        <v/>
      </c>
      <c r="V602" s="6">
        <f>IFERROR(__xludf.DUMMYFUNCTION("""COMPUTED_VALUE"""),2138.05)</f>
        <v/>
      </c>
      <c r="Z602" s="6">
        <f>AA602&amp;AB602</f>
        <v/>
      </c>
      <c r="AA602" s="6">
        <f>YEAR(AC602)</f>
        <v/>
      </c>
      <c r="AB602" s="6">
        <f>MONTH(AC602)</f>
        <v/>
      </c>
      <c r="AC602" s="267">
        <f>IFERROR(__xludf.DUMMYFUNCTION("""COMPUTED_VALUE"""),43735.9986111111)</f>
        <v/>
      </c>
      <c r="AD602" s="6">
        <f>IFERROR(__xludf.DUMMYFUNCTION("""COMPUTED_VALUE"""),1202.8)</f>
        <v/>
      </c>
      <c r="AH602" s="6">
        <f>AI602&amp;AJ602</f>
        <v/>
      </c>
      <c r="AI602" s="6">
        <f>YEAR(AK602)</f>
        <v/>
      </c>
      <c r="AJ602" s="6">
        <f>MONTH(AK602)</f>
        <v/>
      </c>
      <c r="AK602" s="267">
        <f>IFERROR(__xludf.DUMMYFUNCTION("""COMPUTED_VALUE"""),43694.9986111111)</f>
        <v/>
      </c>
      <c r="AL602" s="6">
        <f>IFERROR(__xludf.DUMMYFUNCTION("""COMPUTED_VALUE"""),10219.49)</f>
        <v/>
      </c>
      <c r="AP602" s="6">
        <f>AQ602&amp;AR602</f>
        <v/>
      </c>
      <c r="AQ602" s="6">
        <f>YEAR(AS602)</f>
        <v/>
      </c>
      <c r="AR602" s="6">
        <f>MONTH(AS602)</f>
        <v/>
      </c>
      <c r="AS602" s="267">
        <f>IFERROR(__xludf.DUMMYFUNCTION("""COMPUTED_VALUE"""),43980.9986111111)</f>
        <v/>
      </c>
      <c r="AT602" s="6">
        <f>IFERROR(__xludf.DUMMYFUNCTION("""COMPUTED_VALUE"""),1751.7)</f>
        <v/>
      </c>
    </row>
    <row r="603">
      <c r="B603" s="6">
        <f>C603&amp;D603</f>
        <v/>
      </c>
      <c r="C603" s="6">
        <f>YEAR(E603)</f>
        <v/>
      </c>
      <c r="D603" s="6">
        <f>MONTH(E603)</f>
        <v/>
      </c>
      <c r="E603" s="267">
        <f>IFERROR(__xludf.DUMMYFUNCTION("""COMPUTED_VALUE"""),43971.6666666666)</f>
        <v/>
      </c>
      <c r="F603" s="6">
        <f>IFERROR(__xludf.DUMMYFUNCTION("""COMPUTED_VALUE"""),2971.61)</f>
        <v/>
      </c>
      <c r="J603" s="6">
        <f>K603&amp;L603</f>
        <v/>
      </c>
      <c r="K603" s="6">
        <f>YEAR(M603)</f>
        <v/>
      </c>
      <c r="L603" s="6">
        <f>MONTH(M603)</f>
        <v/>
      </c>
      <c r="M603" s="267">
        <f>IFERROR(__xludf.DUMMYFUNCTION("""COMPUTED_VALUE"""),43965.6666666666)</f>
        <v/>
      </c>
      <c r="N603" s="6">
        <f>IFERROR(__xludf.DUMMYFUNCTION("""COMPUTED_VALUE"""),8943.72)</f>
        <v/>
      </c>
      <c r="R603" s="6">
        <f>S603&amp;T603</f>
        <v/>
      </c>
      <c r="S603" s="6">
        <f>YEAR(U603)</f>
        <v/>
      </c>
      <c r="T603" s="6">
        <f>MONTH(U603)</f>
        <v/>
      </c>
      <c r="U603" s="267">
        <f>IFERROR(__xludf.DUMMYFUNCTION("""COMPUTED_VALUE"""),43999.6458333333)</f>
        <v/>
      </c>
      <c r="V603" s="6">
        <f>IFERROR(__xludf.DUMMYFUNCTION("""COMPUTED_VALUE"""),2141.05)</f>
        <v/>
      </c>
      <c r="Z603" s="6">
        <f>AA603&amp;AB603</f>
        <v/>
      </c>
      <c r="AA603" s="6">
        <f>YEAR(AC603)</f>
        <v/>
      </c>
      <c r="AB603" s="6">
        <f>MONTH(AC603)</f>
        <v/>
      </c>
      <c r="AC603" s="267">
        <f>IFERROR(__xludf.DUMMYFUNCTION("""COMPUTED_VALUE"""),43736.9986111111)</f>
        <v/>
      </c>
      <c r="AD603" s="6">
        <f>IFERROR(__xludf.DUMMYFUNCTION("""COMPUTED_VALUE"""),1201)</f>
        <v/>
      </c>
      <c r="AH603" s="6">
        <f>AI603&amp;AJ603</f>
        <v/>
      </c>
      <c r="AI603" s="6">
        <f>YEAR(AK603)</f>
        <v/>
      </c>
      <c r="AJ603" s="6">
        <f>MONTH(AK603)</f>
        <v/>
      </c>
      <c r="AK603" s="267">
        <f>IFERROR(__xludf.DUMMYFUNCTION("""COMPUTED_VALUE"""),43695.9986111111)</f>
        <v/>
      </c>
      <c r="AL603" s="6">
        <f>IFERROR(__xludf.DUMMYFUNCTION("""COMPUTED_VALUE"""),10330.88)</f>
        <v/>
      </c>
      <c r="AP603" s="6">
        <f>AQ603&amp;AR603</f>
        <v/>
      </c>
      <c r="AQ603" s="6">
        <f>YEAR(AS603)</f>
        <v/>
      </c>
      <c r="AR603" s="6">
        <f>MONTH(AS603)</f>
        <v/>
      </c>
      <c r="AS603" s="267">
        <f>IFERROR(__xludf.DUMMYFUNCTION("""COMPUTED_VALUE"""),43983.9986111111)</f>
        <v/>
      </c>
      <c r="AT603" s="6">
        <f>IFERROR(__xludf.DUMMYFUNCTION("""COMPUTED_VALUE"""),1750.3)</f>
        <v/>
      </c>
    </row>
    <row r="604">
      <c r="B604" s="6">
        <f>C604&amp;D604</f>
        <v/>
      </c>
      <c r="C604" s="6">
        <f>YEAR(E604)</f>
        <v/>
      </c>
      <c r="D604" s="6">
        <f>MONTH(E604)</f>
        <v/>
      </c>
      <c r="E604" s="267">
        <f>IFERROR(__xludf.DUMMYFUNCTION("""COMPUTED_VALUE"""),43972.6666666666)</f>
        <v/>
      </c>
      <c r="F604" s="6">
        <f>IFERROR(__xludf.DUMMYFUNCTION("""COMPUTED_VALUE"""),2948.51)</f>
        <v/>
      </c>
      <c r="J604" s="6">
        <f>K604&amp;L604</f>
        <v/>
      </c>
      <c r="K604" s="6">
        <f>YEAR(M604)</f>
        <v/>
      </c>
      <c r="L604" s="6">
        <f>MONTH(M604)</f>
        <v/>
      </c>
      <c r="M604" s="267">
        <f>IFERROR(__xludf.DUMMYFUNCTION("""COMPUTED_VALUE"""),43966.6666666666)</f>
        <v/>
      </c>
      <c r="N604" s="6">
        <f>IFERROR(__xludf.DUMMYFUNCTION("""COMPUTED_VALUE"""),9014.56)</f>
        <v/>
      </c>
      <c r="R604" s="6">
        <f>S604&amp;T604</f>
        <v/>
      </c>
      <c r="S604" s="6">
        <f>YEAR(U604)</f>
        <v/>
      </c>
      <c r="T604" s="6">
        <f>MONTH(U604)</f>
        <v/>
      </c>
      <c r="U604" s="267">
        <f>IFERROR(__xludf.DUMMYFUNCTION("""COMPUTED_VALUE"""),44000.6458333333)</f>
        <v/>
      </c>
      <c r="V604" s="6">
        <f>IFERROR(__xludf.DUMMYFUNCTION("""COMPUTED_VALUE"""),2133.48)</f>
        <v/>
      </c>
      <c r="Z604" s="6">
        <f>AA604&amp;AB604</f>
        <v/>
      </c>
      <c r="AA604" s="6">
        <f>YEAR(AC604)</f>
        <v/>
      </c>
      <c r="AB604" s="6">
        <f>MONTH(AC604)</f>
        <v/>
      </c>
      <c r="AC604" s="267">
        <f>IFERROR(__xludf.DUMMYFUNCTION("""COMPUTED_VALUE"""),43737.9986111111)</f>
        <v/>
      </c>
      <c r="AD604" s="6">
        <f>IFERROR(__xludf.DUMMYFUNCTION("""COMPUTED_VALUE"""),1201.91)</f>
        <v/>
      </c>
      <c r="AH604" s="6">
        <f>AI604&amp;AJ604</f>
        <v/>
      </c>
      <c r="AI604" s="6">
        <f>YEAR(AK604)</f>
        <v/>
      </c>
      <c r="AJ604" s="6">
        <f>MONTH(AK604)</f>
        <v/>
      </c>
      <c r="AK604" s="267">
        <f>IFERROR(__xludf.DUMMYFUNCTION("""COMPUTED_VALUE"""),43696.9986111111)</f>
        <v/>
      </c>
      <c r="AL604" s="6">
        <f>IFERROR(__xludf.DUMMYFUNCTION("""COMPUTED_VALUE"""),10919.87)</f>
        <v/>
      </c>
      <c r="AP604" s="6">
        <f>AQ604&amp;AR604</f>
        <v/>
      </c>
      <c r="AQ604" s="6">
        <f>YEAR(AS604)</f>
        <v/>
      </c>
      <c r="AR604" s="6">
        <f>MONTH(AS604)</f>
        <v/>
      </c>
      <c r="AS604" s="267">
        <f>IFERROR(__xludf.DUMMYFUNCTION("""COMPUTED_VALUE"""),43984.9986111111)</f>
        <v/>
      </c>
      <c r="AT604" s="6">
        <f>IFERROR(__xludf.DUMMYFUNCTION("""COMPUTED_VALUE"""),1734)</f>
        <v/>
      </c>
    </row>
    <row r="605">
      <c r="B605" s="6">
        <f>C605&amp;D605</f>
        <v/>
      </c>
      <c r="C605" s="6">
        <f>YEAR(E605)</f>
        <v/>
      </c>
      <c r="D605" s="6">
        <f>MONTH(E605)</f>
        <v/>
      </c>
      <c r="E605" s="267">
        <f>IFERROR(__xludf.DUMMYFUNCTION("""COMPUTED_VALUE"""),43973.6666666666)</f>
        <v/>
      </c>
      <c r="F605" s="6">
        <f>IFERROR(__xludf.DUMMYFUNCTION("""COMPUTED_VALUE"""),2955.45)</f>
        <v/>
      </c>
      <c r="J605" s="6">
        <f>K605&amp;L605</f>
        <v/>
      </c>
      <c r="K605" s="6">
        <f>YEAR(M605)</f>
        <v/>
      </c>
      <c r="L605" s="6">
        <f>MONTH(M605)</f>
        <v/>
      </c>
      <c r="M605" s="267">
        <f>IFERROR(__xludf.DUMMYFUNCTION("""COMPUTED_VALUE"""),43969.6666666666)</f>
        <v/>
      </c>
      <c r="N605" s="6">
        <f>IFERROR(__xludf.DUMMYFUNCTION("""COMPUTED_VALUE"""),9234.83)</f>
        <v/>
      </c>
      <c r="R605" s="6">
        <f>S605&amp;T605</f>
        <v/>
      </c>
      <c r="S605" s="6">
        <f>YEAR(U605)</f>
        <v/>
      </c>
      <c r="T605" s="6">
        <f>MONTH(U605)</f>
        <v/>
      </c>
      <c r="U605" s="267">
        <f>IFERROR(__xludf.DUMMYFUNCTION("""COMPUTED_VALUE"""),44001.6458333333)</f>
        <v/>
      </c>
      <c r="V605" s="6">
        <f>IFERROR(__xludf.DUMMYFUNCTION("""COMPUTED_VALUE"""),2141.32)</f>
        <v/>
      </c>
      <c r="Z605" s="6">
        <f>AA605&amp;AB605</f>
        <v/>
      </c>
      <c r="AA605" s="6">
        <f>YEAR(AC605)</f>
        <v/>
      </c>
      <c r="AB605" s="6">
        <f>MONTH(AC605)</f>
        <v/>
      </c>
      <c r="AC605" s="267">
        <f>IFERROR(__xludf.DUMMYFUNCTION("""COMPUTED_VALUE"""),43738.9986111111)</f>
        <v/>
      </c>
      <c r="AD605" s="6">
        <f>IFERROR(__xludf.DUMMYFUNCTION("""COMPUTED_VALUE"""),1198)</f>
        <v/>
      </c>
      <c r="AH605" s="6">
        <f>AI605&amp;AJ605</f>
        <v/>
      </c>
      <c r="AI605" s="6">
        <f>YEAR(AK605)</f>
        <v/>
      </c>
      <c r="AJ605" s="6">
        <f>MONTH(AK605)</f>
        <v/>
      </c>
      <c r="AK605" s="267">
        <f>IFERROR(__xludf.DUMMYFUNCTION("""COMPUTED_VALUE"""),43697.9986111111)</f>
        <v/>
      </c>
      <c r="AL605" s="6">
        <f>IFERROR(__xludf.DUMMYFUNCTION("""COMPUTED_VALUE"""),10763.62)</f>
        <v/>
      </c>
      <c r="AP605" s="6">
        <f>AQ605&amp;AR605</f>
        <v/>
      </c>
      <c r="AQ605" s="6">
        <f>YEAR(AS605)</f>
        <v/>
      </c>
      <c r="AR605" s="6">
        <f>MONTH(AS605)</f>
        <v/>
      </c>
      <c r="AS605" s="267">
        <f>IFERROR(__xludf.DUMMYFUNCTION("""COMPUTED_VALUE"""),43985.9986111111)</f>
        <v/>
      </c>
      <c r="AT605" s="6">
        <f>IFERROR(__xludf.DUMMYFUNCTION("""COMPUTED_VALUE"""),1704.8)</f>
        <v/>
      </c>
    </row>
    <row r="606">
      <c r="B606" s="6">
        <f>C606&amp;D606</f>
        <v/>
      </c>
      <c r="C606" s="6">
        <f>YEAR(E606)</f>
        <v/>
      </c>
      <c r="D606" s="6">
        <f>MONTH(E606)</f>
        <v/>
      </c>
      <c r="E606" s="267">
        <f>IFERROR(__xludf.DUMMYFUNCTION("""COMPUTED_VALUE"""),43977.6666666666)</f>
        <v/>
      </c>
      <c r="F606" s="6">
        <f>IFERROR(__xludf.DUMMYFUNCTION("""COMPUTED_VALUE"""),2991.77)</f>
        <v/>
      </c>
      <c r="J606" s="6">
        <f>K606&amp;L606</f>
        <v/>
      </c>
      <c r="K606" s="6">
        <f>YEAR(M606)</f>
        <v/>
      </c>
      <c r="L606" s="6">
        <f>MONTH(M606)</f>
        <v/>
      </c>
      <c r="M606" s="267">
        <f>IFERROR(__xludf.DUMMYFUNCTION("""COMPUTED_VALUE"""),43970.6666666666)</f>
        <v/>
      </c>
      <c r="N606" s="6">
        <f>IFERROR(__xludf.DUMMYFUNCTION("""COMPUTED_VALUE"""),9185.1)</f>
        <v/>
      </c>
      <c r="R606" s="6">
        <f>S606&amp;T606</f>
        <v/>
      </c>
      <c r="S606" s="6">
        <f>YEAR(U606)</f>
        <v/>
      </c>
      <c r="T606" s="6">
        <f>MONTH(U606)</f>
        <v/>
      </c>
      <c r="U606" s="267">
        <f>IFERROR(__xludf.DUMMYFUNCTION("""COMPUTED_VALUE"""),44004.6458333333)</f>
        <v/>
      </c>
      <c r="V606" s="6">
        <f>IFERROR(__xludf.DUMMYFUNCTION("""COMPUTED_VALUE"""),2126.73)</f>
        <v/>
      </c>
      <c r="Z606" s="6">
        <f>AA606&amp;AB606</f>
        <v/>
      </c>
      <c r="AA606" s="6">
        <f>YEAR(AC606)</f>
        <v/>
      </c>
      <c r="AB606" s="6">
        <f>MONTH(AC606)</f>
        <v/>
      </c>
      <c r="AC606" s="267">
        <f>IFERROR(__xludf.DUMMYFUNCTION("""COMPUTED_VALUE"""),43739.9986111111)</f>
        <v/>
      </c>
      <c r="AD606" s="6">
        <f>IFERROR(__xludf.DUMMYFUNCTION("""COMPUTED_VALUE"""),1201.69)</f>
        <v/>
      </c>
      <c r="AH606" s="6">
        <f>AI606&amp;AJ606</f>
        <v/>
      </c>
      <c r="AI606" s="6">
        <f>YEAR(AK606)</f>
        <v/>
      </c>
      <c r="AJ606" s="6">
        <f>MONTH(AK606)</f>
        <v/>
      </c>
      <c r="AK606" s="267">
        <f>IFERROR(__xludf.DUMMYFUNCTION("""COMPUTED_VALUE"""),43698.9986111111)</f>
        <v/>
      </c>
      <c r="AL606" s="6">
        <f>IFERROR(__xludf.DUMMYFUNCTION("""COMPUTED_VALUE"""),10131.18)</f>
        <v/>
      </c>
      <c r="AP606" s="6">
        <f>AQ606&amp;AR606</f>
        <v/>
      </c>
      <c r="AQ606" s="6">
        <f>YEAR(AS606)</f>
        <v/>
      </c>
      <c r="AR606" s="6">
        <f>MONTH(AS606)</f>
        <v/>
      </c>
      <c r="AS606" s="267">
        <f>IFERROR(__xludf.DUMMYFUNCTION("""COMPUTED_VALUE"""),43986.9986111111)</f>
        <v/>
      </c>
      <c r="AT606" s="6">
        <f>IFERROR(__xludf.DUMMYFUNCTION("""COMPUTED_VALUE"""),1727.4)</f>
        <v/>
      </c>
    </row>
    <row r="607">
      <c r="B607" s="6">
        <f>C607&amp;D607</f>
        <v/>
      </c>
      <c r="C607" s="6">
        <f>YEAR(E607)</f>
        <v/>
      </c>
      <c r="D607" s="6">
        <f>MONTH(E607)</f>
        <v/>
      </c>
      <c r="E607" s="267">
        <f>IFERROR(__xludf.DUMMYFUNCTION("""COMPUTED_VALUE"""),43978.6666666666)</f>
        <v/>
      </c>
      <c r="F607" s="6">
        <f>IFERROR(__xludf.DUMMYFUNCTION("""COMPUTED_VALUE"""),3036.13)</f>
        <v/>
      </c>
      <c r="J607" s="6">
        <f>K607&amp;L607</f>
        <v/>
      </c>
      <c r="K607" s="6">
        <f>YEAR(M607)</f>
        <v/>
      </c>
      <c r="L607" s="6">
        <f>MONTH(M607)</f>
        <v/>
      </c>
      <c r="M607" s="267">
        <f>IFERROR(__xludf.DUMMYFUNCTION("""COMPUTED_VALUE"""),43971.6666666666)</f>
        <v/>
      </c>
      <c r="N607" s="6">
        <f>IFERROR(__xludf.DUMMYFUNCTION("""COMPUTED_VALUE"""),9375.78)</f>
        <v/>
      </c>
      <c r="R607" s="6">
        <f>S607&amp;T607</f>
        <v/>
      </c>
      <c r="S607" s="6">
        <f>YEAR(U607)</f>
        <v/>
      </c>
      <c r="T607" s="6">
        <f>MONTH(U607)</f>
        <v/>
      </c>
      <c r="U607" s="267">
        <f>IFERROR(__xludf.DUMMYFUNCTION("""COMPUTED_VALUE"""),44005.6458333333)</f>
        <v/>
      </c>
      <c r="V607" s="6">
        <f>IFERROR(__xludf.DUMMYFUNCTION("""COMPUTED_VALUE"""),2131.24)</f>
        <v/>
      </c>
      <c r="Z607" s="6">
        <f>AA607&amp;AB607</f>
        <v/>
      </c>
      <c r="AA607" s="6">
        <f>YEAR(AC607)</f>
        <v/>
      </c>
      <c r="AB607" s="6">
        <f>MONTH(AC607)</f>
        <v/>
      </c>
      <c r="AC607" s="267">
        <f>IFERROR(__xludf.DUMMYFUNCTION("""COMPUTED_VALUE"""),43740.9986111111)</f>
        <v/>
      </c>
      <c r="AD607" s="6">
        <f>IFERROR(__xludf.DUMMYFUNCTION("""COMPUTED_VALUE"""),1203.57)</f>
        <v/>
      </c>
      <c r="AH607" s="6">
        <f>AI607&amp;AJ607</f>
        <v/>
      </c>
      <c r="AI607" s="6">
        <f>YEAR(AK607)</f>
        <v/>
      </c>
      <c r="AJ607" s="6">
        <f>MONTH(AK607)</f>
        <v/>
      </c>
      <c r="AK607" s="267">
        <f>IFERROR(__xludf.DUMMYFUNCTION("""COMPUTED_VALUE"""),43699.9986111111)</f>
        <v/>
      </c>
      <c r="AL607" s="6">
        <f>IFERROR(__xludf.DUMMYFUNCTION("""COMPUTED_VALUE"""),10113.63)</f>
        <v/>
      </c>
      <c r="AP607" s="6">
        <f>AQ607&amp;AR607</f>
        <v/>
      </c>
      <c r="AQ607" s="6">
        <f>YEAR(AS607)</f>
        <v/>
      </c>
      <c r="AR607" s="6">
        <f>MONTH(AS607)</f>
        <v/>
      </c>
      <c r="AS607" s="267">
        <f>IFERROR(__xludf.DUMMYFUNCTION("""COMPUTED_VALUE"""),43987.9986111111)</f>
        <v/>
      </c>
      <c r="AT607" s="6">
        <f>IFERROR(__xludf.DUMMYFUNCTION("""COMPUTED_VALUE"""),1683)</f>
        <v/>
      </c>
    </row>
    <row r="608">
      <c r="B608" s="6">
        <f>C608&amp;D608</f>
        <v/>
      </c>
      <c r="C608" s="6">
        <f>YEAR(E608)</f>
        <v/>
      </c>
      <c r="D608" s="6">
        <f>MONTH(E608)</f>
        <v/>
      </c>
      <c r="E608" s="267">
        <f>IFERROR(__xludf.DUMMYFUNCTION("""COMPUTED_VALUE"""),43979.6666666666)</f>
        <v/>
      </c>
      <c r="F608" s="6">
        <f>IFERROR(__xludf.DUMMYFUNCTION("""COMPUTED_VALUE"""),3029.73)</f>
        <v/>
      </c>
      <c r="J608" s="6">
        <f>K608&amp;L608</f>
        <v/>
      </c>
      <c r="K608" s="6">
        <f>YEAR(M608)</f>
        <v/>
      </c>
      <c r="L608" s="6">
        <f>MONTH(M608)</f>
        <v/>
      </c>
      <c r="M608" s="267">
        <f>IFERROR(__xludf.DUMMYFUNCTION("""COMPUTED_VALUE"""),43972.6666666666)</f>
        <v/>
      </c>
      <c r="N608" s="6">
        <f>IFERROR(__xludf.DUMMYFUNCTION("""COMPUTED_VALUE"""),9284.88)</f>
        <v/>
      </c>
      <c r="R608" s="6">
        <f>S608&amp;T608</f>
        <v/>
      </c>
      <c r="S608" s="6">
        <f>YEAR(U608)</f>
        <v/>
      </c>
      <c r="T608" s="6">
        <f>MONTH(U608)</f>
        <v/>
      </c>
      <c r="U608" s="267">
        <f>IFERROR(__xludf.DUMMYFUNCTION("""COMPUTED_VALUE"""),44006.6458333333)</f>
        <v/>
      </c>
      <c r="V608" s="6">
        <f>IFERROR(__xludf.DUMMYFUNCTION("""COMPUTED_VALUE"""),2161.51)</f>
        <v/>
      </c>
      <c r="Z608" s="6">
        <f>AA608&amp;AB608</f>
        <v/>
      </c>
      <c r="AA608" s="6">
        <f>YEAR(AC608)</f>
        <v/>
      </c>
      <c r="AB608" s="6">
        <f>MONTH(AC608)</f>
        <v/>
      </c>
      <c r="AC608" s="267">
        <f>IFERROR(__xludf.DUMMYFUNCTION("""COMPUTED_VALUE"""),43741.9986111111)</f>
        <v/>
      </c>
      <c r="AD608" s="6">
        <f>IFERROR(__xludf.DUMMYFUNCTION("""COMPUTED_VALUE"""),1200.08)</f>
        <v/>
      </c>
      <c r="AH608" s="6">
        <f>AI608&amp;AJ608</f>
        <v/>
      </c>
      <c r="AI608" s="6">
        <f>YEAR(AK608)</f>
        <v/>
      </c>
      <c r="AJ608" s="6">
        <f>MONTH(AK608)</f>
        <v/>
      </c>
      <c r="AK608" s="267">
        <f>IFERROR(__xludf.DUMMYFUNCTION("""COMPUTED_VALUE"""),43700.9986111111)</f>
        <v/>
      </c>
      <c r="AL608" s="6">
        <f>IFERROR(__xludf.DUMMYFUNCTION("""COMPUTED_VALUE"""),10406.7)</f>
        <v/>
      </c>
      <c r="AP608" s="6">
        <f>AQ608&amp;AR608</f>
        <v/>
      </c>
      <c r="AQ608" s="6">
        <f>YEAR(AS608)</f>
        <v/>
      </c>
      <c r="AR608" s="6">
        <f>MONTH(AS608)</f>
        <v/>
      </c>
      <c r="AS608" s="267">
        <f>IFERROR(__xludf.DUMMYFUNCTION("""COMPUTED_VALUE"""),43990.9986111111)</f>
        <v/>
      </c>
      <c r="AT608" s="6">
        <f>IFERROR(__xludf.DUMMYFUNCTION("""COMPUTED_VALUE"""),1705.1)</f>
        <v/>
      </c>
    </row>
    <row r="609">
      <c r="B609" s="6">
        <f>C609&amp;D609</f>
        <v/>
      </c>
      <c r="C609" s="6">
        <f>YEAR(E609)</f>
        <v/>
      </c>
      <c r="D609" s="6">
        <f>MONTH(E609)</f>
        <v/>
      </c>
      <c r="E609" s="267">
        <f>IFERROR(__xludf.DUMMYFUNCTION("""COMPUTED_VALUE"""),43980.6666666666)</f>
        <v/>
      </c>
      <c r="F609" s="6">
        <f>IFERROR(__xludf.DUMMYFUNCTION("""COMPUTED_VALUE"""),3044.31)</f>
        <v/>
      </c>
      <c r="J609" s="6">
        <f>K609&amp;L609</f>
        <v/>
      </c>
      <c r="K609" s="6">
        <f>YEAR(M609)</f>
        <v/>
      </c>
      <c r="L609" s="6">
        <f>MONTH(M609)</f>
        <v/>
      </c>
      <c r="M609" s="267">
        <f>IFERROR(__xludf.DUMMYFUNCTION("""COMPUTED_VALUE"""),43973.6666666666)</f>
        <v/>
      </c>
      <c r="N609" s="6">
        <f>IFERROR(__xludf.DUMMYFUNCTION("""COMPUTED_VALUE"""),9324.59)</f>
        <v/>
      </c>
      <c r="R609" s="6">
        <f>S609&amp;T609</f>
        <v/>
      </c>
      <c r="S609" s="6">
        <f>YEAR(U609)</f>
        <v/>
      </c>
      <c r="T609" s="6">
        <f>MONTH(U609)</f>
        <v/>
      </c>
      <c r="U609" s="267">
        <f>IFERROR(__xludf.DUMMYFUNCTION("""COMPUTED_VALUE"""),44007.6458333333)</f>
        <v/>
      </c>
      <c r="V609" s="6">
        <f>IFERROR(__xludf.DUMMYFUNCTION("""COMPUTED_VALUE"""),2112.37)</f>
        <v/>
      </c>
      <c r="Z609" s="6">
        <f>AA609&amp;AB609</f>
        <v/>
      </c>
      <c r="AA609" s="6">
        <f>YEAR(AC609)</f>
        <v/>
      </c>
      <c r="AB609" s="6">
        <f>MONTH(AC609)</f>
        <v/>
      </c>
      <c r="AC609" s="267">
        <f>IFERROR(__xludf.DUMMYFUNCTION("""COMPUTED_VALUE"""),43742.9986111111)</f>
        <v/>
      </c>
      <c r="AD609" s="6">
        <f>IFERROR(__xludf.DUMMYFUNCTION("""COMPUTED_VALUE"""),1191.53)</f>
        <v/>
      </c>
      <c r="AH609" s="6">
        <f>AI609&amp;AJ609</f>
        <v/>
      </c>
      <c r="AI609" s="6">
        <f>YEAR(AK609)</f>
        <v/>
      </c>
      <c r="AJ609" s="6">
        <f>MONTH(AK609)</f>
        <v/>
      </c>
      <c r="AK609" s="267">
        <f>IFERROR(__xludf.DUMMYFUNCTION("""COMPUTED_VALUE"""),43701.9986111111)</f>
        <v/>
      </c>
      <c r="AL609" s="6">
        <f>IFERROR(__xludf.DUMMYFUNCTION("""COMPUTED_VALUE"""),10129.1)</f>
        <v/>
      </c>
      <c r="AP609" s="6">
        <f>AQ609&amp;AR609</f>
        <v/>
      </c>
      <c r="AQ609" s="6">
        <f>YEAR(AS609)</f>
        <v/>
      </c>
      <c r="AR609" s="6">
        <f>MONTH(AS609)</f>
        <v/>
      </c>
      <c r="AS609" s="267">
        <f>IFERROR(__xludf.DUMMYFUNCTION("""COMPUTED_VALUE"""),43991.9986111111)</f>
        <v/>
      </c>
      <c r="AT609" s="6">
        <f>IFERROR(__xludf.DUMMYFUNCTION("""COMPUTED_VALUE"""),1721.9)</f>
        <v/>
      </c>
    </row>
    <row r="610">
      <c r="B610" s="6">
        <f>C610&amp;D610</f>
        <v/>
      </c>
      <c r="C610" s="6">
        <f>YEAR(E610)</f>
        <v/>
      </c>
      <c r="D610" s="6">
        <f>MONTH(E610)</f>
        <v/>
      </c>
      <c r="E610" s="267">
        <f>IFERROR(__xludf.DUMMYFUNCTION("""COMPUTED_VALUE"""),43983.6666666666)</f>
        <v/>
      </c>
      <c r="F610" s="6">
        <f>IFERROR(__xludf.DUMMYFUNCTION("""COMPUTED_VALUE"""),3055.73)</f>
        <v/>
      </c>
      <c r="J610" s="6">
        <f>K610&amp;L610</f>
        <v/>
      </c>
      <c r="K610" s="6">
        <f>YEAR(M610)</f>
        <v/>
      </c>
      <c r="L610" s="6">
        <f>MONTH(M610)</f>
        <v/>
      </c>
      <c r="M610" s="267">
        <f>IFERROR(__xludf.DUMMYFUNCTION("""COMPUTED_VALUE"""),43977.6666666666)</f>
        <v/>
      </c>
      <c r="N610" s="6">
        <f>IFERROR(__xludf.DUMMYFUNCTION("""COMPUTED_VALUE"""),9340.22)</f>
        <v/>
      </c>
      <c r="R610" s="6">
        <f>S610&amp;T610</f>
        <v/>
      </c>
      <c r="S610" s="6">
        <f>YEAR(U610)</f>
        <v/>
      </c>
      <c r="T610" s="6">
        <f>MONTH(U610)</f>
        <v/>
      </c>
      <c r="U610" s="267">
        <f>IFERROR(__xludf.DUMMYFUNCTION("""COMPUTED_VALUE"""),44008.6458333333)</f>
        <v/>
      </c>
      <c r="V610" s="6">
        <f>IFERROR(__xludf.DUMMYFUNCTION("""COMPUTED_VALUE"""),2134.65)</f>
        <v/>
      </c>
      <c r="Z610" s="6">
        <f>AA610&amp;AB610</f>
        <v/>
      </c>
      <c r="AA610" s="6">
        <f>YEAR(AC610)</f>
        <v/>
      </c>
      <c r="AB610" s="6">
        <f>MONTH(AC610)</f>
        <v/>
      </c>
      <c r="AC610" s="267">
        <f>IFERROR(__xludf.DUMMYFUNCTION("""COMPUTED_VALUE"""),43743.9986111111)</f>
        <v/>
      </c>
      <c r="AD610" s="6">
        <f>IFERROR(__xludf.DUMMYFUNCTION("""COMPUTED_VALUE"""),1190.3)</f>
        <v/>
      </c>
      <c r="AH610" s="6">
        <f>AI610&amp;AJ610</f>
        <v/>
      </c>
      <c r="AI610" s="6">
        <f>YEAR(AK610)</f>
        <v/>
      </c>
      <c r="AJ610" s="6">
        <f>MONTH(AK610)</f>
        <v/>
      </c>
      <c r="AK610" s="267">
        <f>IFERROR(__xludf.DUMMYFUNCTION("""COMPUTED_VALUE"""),43702.9986111111)</f>
        <v/>
      </c>
      <c r="AL610" s="6">
        <f>IFERROR(__xludf.DUMMYFUNCTION("""COMPUTED_VALUE"""),10139.37)</f>
        <v/>
      </c>
      <c r="AP610" s="6">
        <f>AQ610&amp;AR610</f>
        <v/>
      </c>
      <c r="AQ610" s="6">
        <f>YEAR(AS610)</f>
        <v/>
      </c>
      <c r="AR610" s="6">
        <f>MONTH(AS610)</f>
        <v/>
      </c>
      <c r="AS610" s="267">
        <f>IFERROR(__xludf.DUMMYFUNCTION("""COMPUTED_VALUE"""),43992.9986111111)</f>
        <v/>
      </c>
      <c r="AT610" s="6">
        <f>IFERROR(__xludf.DUMMYFUNCTION("""COMPUTED_VALUE"""),1720.7)</f>
        <v/>
      </c>
    </row>
    <row r="611">
      <c r="B611" s="6">
        <f>C611&amp;D611</f>
        <v/>
      </c>
      <c r="C611" s="6">
        <f>YEAR(E611)</f>
        <v/>
      </c>
      <c r="D611" s="6">
        <f>MONTH(E611)</f>
        <v/>
      </c>
      <c r="E611" s="267">
        <f>IFERROR(__xludf.DUMMYFUNCTION("""COMPUTED_VALUE"""),43984.6666666666)</f>
        <v/>
      </c>
      <c r="F611" s="6">
        <f>IFERROR(__xludf.DUMMYFUNCTION("""COMPUTED_VALUE"""),3080.82)</f>
        <v/>
      </c>
      <c r="J611" s="6">
        <f>K611&amp;L611</f>
        <v/>
      </c>
      <c r="K611" s="6">
        <f>YEAR(M611)</f>
        <v/>
      </c>
      <c r="L611" s="6">
        <f>MONTH(M611)</f>
        <v/>
      </c>
      <c r="M611" s="267">
        <f>IFERROR(__xludf.DUMMYFUNCTION("""COMPUTED_VALUE"""),43978.6666666666)</f>
        <v/>
      </c>
      <c r="N611" s="6">
        <f>IFERROR(__xludf.DUMMYFUNCTION("""COMPUTED_VALUE"""),9412.36)</f>
        <v/>
      </c>
      <c r="R611" s="6">
        <f>S611&amp;T611</f>
        <v/>
      </c>
      <c r="S611" s="6">
        <f>YEAR(U611)</f>
        <v/>
      </c>
      <c r="T611" s="6">
        <f>MONTH(U611)</f>
        <v/>
      </c>
      <c r="U611" s="267">
        <f>IFERROR(__xludf.DUMMYFUNCTION("""COMPUTED_VALUE"""),44011.6458333333)</f>
        <v/>
      </c>
      <c r="V611" s="6">
        <f>IFERROR(__xludf.DUMMYFUNCTION("""COMPUTED_VALUE"""),2093.48)</f>
        <v/>
      </c>
      <c r="Z611" s="6">
        <f>AA611&amp;AB611</f>
        <v/>
      </c>
      <c r="AA611" s="6">
        <f>YEAR(AC611)</f>
        <v/>
      </c>
      <c r="AB611" s="6">
        <f>MONTH(AC611)</f>
        <v/>
      </c>
      <c r="AC611" s="267">
        <f>IFERROR(__xludf.DUMMYFUNCTION("""COMPUTED_VALUE"""),43744.9986111111)</f>
        <v/>
      </c>
      <c r="AD611" s="6">
        <f>IFERROR(__xludf.DUMMYFUNCTION("""COMPUTED_VALUE"""),1191.33)</f>
        <v/>
      </c>
      <c r="AH611" s="6">
        <f>AI611&amp;AJ611</f>
        <v/>
      </c>
      <c r="AI611" s="6">
        <f>YEAR(AK611)</f>
        <v/>
      </c>
      <c r="AJ611" s="6">
        <f>MONTH(AK611)</f>
        <v/>
      </c>
      <c r="AK611" s="267">
        <f>IFERROR(__xludf.DUMMYFUNCTION("""COMPUTED_VALUE"""),43703.9986111111)</f>
        <v/>
      </c>
      <c r="AL611" s="6">
        <f>IFERROR(__xludf.DUMMYFUNCTION("""COMPUTED_VALUE"""),10341.79)</f>
        <v/>
      </c>
      <c r="AP611" s="6">
        <f>AQ611&amp;AR611</f>
        <v/>
      </c>
      <c r="AQ611" s="6">
        <f>YEAR(AS611)</f>
        <v/>
      </c>
      <c r="AR611" s="6">
        <f>MONTH(AS611)</f>
        <v/>
      </c>
      <c r="AS611" s="267">
        <f>IFERROR(__xludf.DUMMYFUNCTION("""COMPUTED_VALUE"""),43993.9986111111)</f>
        <v/>
      </c>
      <c r="AT611" s="6">
        <f>IFERROR(__xludf.DUMMYFUNCTION("""COMPUTED_VALUE"""),1739.8)</f>
        <v/>
      </c>
    </row>
    <row r="612">
      <c r="B612" s="6">
        <f>C612&amp;D612</f>
        <v/>
      </c>
      <c r="C612" s="6">
        <f>YEAR(E612)</f>
        <v/>
      </c>
      <c r="D612" s="6">
        <f>MONTH(E612)</f>
        <v/>
      </c>
      <c r="E612" s="267">
        <f>IFERROR(__xludf.DUMMYFUNCTION("""COMPUTED_VALUE"""),43985.6666666666)</f>
        <v/>
      </c>
      <c r="F612" s="6">
        <f>IFERROR(__xludf.DUMMYFUNCTION("""COMPUTED_VALUE"""),3122.87)</f>
        <v/>
      </c>
      <c r="J612" s="6">
        <f>K612&amp;L612</f>
        <v/>
      </c>
      <c r="K612" s="6">
        <f>YEAR(M612)</f>
        <v/>
      </c>
      <c r="L612" s="6">
        <f>MONTH(M612)</f>
        <v/>
      </c>
      <c r="M612" s="267">
        <f>IFERROR(__xludf.DUMMYFUNCTION("""COMPUTED_VALUE"""),43979.6666666666)</f>
        <v/>
      </c>
      <c r="N612" s="6">
        <f>IFERROR(__xludf.DUMMYFUNCTION("""COMPUTED_VALUE"""),9368.99)</f>
        <v/>
      </c>
      <c r="R612" s="6">
        <f>S612&amp;T612</f>
        <v/>
      </c>
      <c r="S612" s="6">
        <f>YEAR(U612)</f>
        <v/>
      </c>
      <c r="T612" s="6">
        <f>MONTH(U612)</f>
        <v/>
      </c>
      <c r="U612" s="267">
        <f>IFERROR(__xludf.DUMMYFUNCTION("""COMPUTED_VALUE"""),44012.6458333333)</f>
        <v/>
      </c>
      <c r="V612" s="6">
        <f>IFERROR(__xludf.DUMMYFUNCTION("""COMPUTED_VALUE"""),2108.33)</f>
        <v/>
      </c>
      <c r="Z612" s="6">
        <f>AA612&amp;AB612</f>
        <v/>
      </c>
      <c r="AA612" s="6">
        <f>YEAR(AC612)</f>
        <v/>
      </c>
      <c r="AB612" s="6">
        <f>MONTH(AC612)</f>
        <v/>
      </c>
      <c r="AC612" s="267">
        <f>IFERROR(__xludf.DUMMYFUNCTION("""COMPUTED_VALUE"""),43745.9986111111)</f>
        <v/>
      </c>
      <c r="AD612" s="6">
        <f>IFERROR(__xludf.DUMMYFUNCTION("""COMPUTED_VALUE"""),1195.76)</f>
        <v/>
      </c>
      <c r="AH612" s="6">
        <f>AI612&amp;AJ612</f>
        <v/>
      </c>
      <c r="AI612" s="6">
        <f>YEAR(AK612)</f>
        <v/>
      </c>
      <c r="AJ612" s="6">
        <f>MONTH(AK612)</f>
        <v/>
      </c>
      <c r="AK612" s="267">
        <f>IFERROR(__xludf.DUMMYFUNCTION("""COMPUTED_VALUE"""),43704.9986111111)</f>
        <v/>
      </c>
      <c r="AL612" s="6">
        <f>IFERROR(__xludf.DUMMYFUNCTION("""COMPUTED_VALUE"""),10179.44)</f>
        <v/>
      </c>
      <c r="AP612" s="6">
        <f>AQ612&amp;AR612</f>
        <v/>
      </c>
      <c r="AQ612" s="6">
        <f>YEAR(AS612)</f>
        <v/>
      </c>
      <c r="AR612" s="6">
        <f>MONTH(AS612)</f>
        <v/>
      </c>
      <c r="AS612" s="267">
        <f>IFERROR(__xludf.DUMMYFUNCTION("""COMPUTED_VALUE"""),43994.9986111111)</f>
        <v/>
      </c>
      <c r="AT612" s="6">
        <f>IFERROR(__xludf.DUMMYFUNCTION("""COMPUTED_VALUE"""),1737.3)</f>
        <v/>
      </c>
    </row>
    <row r="613">
      <c r="B613" s="6">
        <f>C613&amp;D613</f>
        <v/>
      </c>
      <c r="C613" s="6">
        <f>YEAR(E613)</f>
        <v/>
      </c>
      <c r="D613" s="6">
        <f>MONTH(E613)</f>
        <v/>
      </c>
      <c r="E613" s="267">
        <f>IFERROR(__xludf.DUMMYFUNCTION("""COMPUTED_VALUE"""),43986.6666666666)</f>
        <v/>
      </c>
      <c r="F613" s="6">
        <f>IFERROR(__xludf.DUMMYFUNCTION("""COMPUTED_VALUE"""),3112.35)</f>
        <v/>
      </c>
      <c r="J613" s="6">
        <f>K613&amp;L613</f>
        <v/>
      </c>
      <c r="K613" s="6">
        <f>YEAR(M613)</f>
        <v/>
      </c>
      <c r="L613" s="6">
        <f>MONTH(M613)</f>
        <v/>
      </c>
      <c r="M613" s="267">
        <f>IFERROR(__xludf.DUMMYFUNCTION("""COMPUTED_VALUE"""),43980.6666666666)</f>
        <v/>
      </c>
      <c r="N613" s="6">
        <f>IFERROR(__xludf.DUMMYFUNCTION("""COMPUTED_VALUE"""),9489.87)</f>
        <v/>
      </c>
      <c r="R613" s="6">
        <f>S613&amp;T613</f>
        <v/>
      </c>
      <c r="S613" s="6">
        <f>YEAR(U613)</f>
        <v/>
      </c>
      <c r="T613" s="6">
        <f>MONTH(U613)</f>
        <v/>
      </c>
      <c r="U613" s="267">
        <f>IFERROR(__xludf.DUMMYFUNCTION("""COMPUTED_VALUE"""),44013.6458333333)</f>
        <v/>
      </c>
      <c r="V613" s="6">
        <f>IFERROR(__xludf.DUMMYFUNCTION("""COMPUTED_VALUE"""),2106.7)</f>
        <v/>
      </c>
      <c r="Z613" s="6">
        <f>AA613&amp;AB613</f>
        <v/>
      </c>
      <c r="AA613" s="6">
        <f>YEAR(AC613)</f>
        <v/>
      </c>
      <c r="AB613" s="6">
        <f>MONTH(AC613)</f>
        <v/>
      </c>
      <c r="AC613" s="267">
        <f>IFERROR(__xludf.DUMMYFUNCTION("""COMPUTED_VALUE"""),43746.9986111111)</f>
        <v/>
      </c>
      <c r="AD613" s="6">
        <f>IFERROR(__xludf.DUMMYFUNCTION("""COMPUTED_VALUE"""),1198.37)</f>
        <v/>
      </c>
      <c r="AH613" s="6">
        <f>AI613&amp;AJ613</f>
        <v/>
      </c>
      <c r="AI613" s="6">
        <f>YEAR(AK613)</f>
        <v/>
      </c>
      <c r="AJ613" s="6">
        <f>MONTH(AK613)</f>
        <v/>
      </c>
      <c r="AK613" s="267">
        <f>IFERROR(__xludf.DUMMYFUNCTION("""COMPUTED_VALUE"""),43705.9986111111)</f>
        <v/>
      </c>
      <c r="AL613" s="6">
        <f>IFERROR(__xludf.DUMMYFUNCTION("""COMPUTED_VALUE"""),9724.275)</f>
        <v/>
      </c>
      <c r="AP613" s="6">
        <f>AQ613&amp;AR613</f>
        <v/>
      </c>
      <c r="AQ613" s="6">
        <f>YEAR(AS613)</f>
        <v/>
      </c>
      <c r="AR613" s="6">
        <f>MONTH(AS613)</f>
        <v/>
      </c>
      <c r="AS613" s="267">
        <f>IFERROR(__xludf.DUMMYFUNCTION("""COMPUTED_VALUE"""),43997.9986111111)</f>
        <v/>
      </c>
      <c r="AT613" s="6">
        <f>IFERROR(__xludf.DUMMYFUNCTION("""COMPUTED_VALUE"""),1727.2)</f>
        <v/>
      </c>
    </row>
    <row r="614">
      <c r="B614" s="6">
        <f>C614&amp;D614</f>
        <v/>
      </c>
      <c r="C614" s="6">
        <f>YEAR(E614)</f>
        <v/>
      </c>
      <c r="D614" s="6">
        <f>MONTH(E614)</f>
        <v/>
      </c>
      <c r="E614" s="267">
        <f>IFERROR(__xludf.DUMMYFUNCTION("""COMPUTED_VALUE"""),43987.6666666666)</f>
        <v/>
      </c>
      <c r="F614" s="6">
        <f>IFERROR(__xludf.DUMMYFUNCTION("""COMPUTED_VALUE"""),3193.93)</f>
        <v/>
      </c>
      <c r="J614" s="6">
        <f>K614&amp;L614</f>
        <v/>
      </c>
      <c r="K614" s="6">
        <f>YEAR(M614)</f>
        <v/>
      </c>
      <c r="L614" s="6">
        <f>MONTH(M614)</f>
        <v/>
      </c>
      <c r="M614" s="267">
        <f>IFERROR(__xludf.DUMMYFUNCTION("""COMPUTED_VALUE"""),43983.6666666666)</f>
        <v/>
      </c>
      <c r="N614" s="6">
        <f>IFERROR(__xludf.DUMMYFUNCTION("""COMPUTED_VALUE"""),9552.05)</f>
        <v/>
      </c>
      <c r="R614" s="6">
        <f>S614&amp;T614</f>
        <v/>
      </c>
      <c r="S614" s="6">
        <f>YEAR(U614)</f>
        <v/>
      </c>
      <c r="T614" s="6">
        <f>MONTH(U614)</f>
        <v/>
      </c>
      <c r="U614" s="267">
        <f>IFERROR(__xludf.DUMMYFUNCTION("""COMPUTED_VALUE"""),44014.6458333333)</f>
        <v/>
      </c>
      <c r="V614" s="6">
        <f>IFERROR(__xludf.DUMMYFUNCTION("""COMPUTED_VALUE"""),2135.37)</f>
        <v/>
      </c>
      <c r="Z614" s="6">
        <f>AA614&amp;AB614</f>
        <v/>
      </c>
      <c r="AA614" s="6">
        <f>YEAR(AC614)</f>
        <v/>
      </c>
      <c r="AB614" s="6">
        <f>MONTH(AC614)</f>
        <v/>
      </c>
      <c r="AC614" s="267">
        <f>IFERROR(__xludf.DUMMYFUNCTION("""COMPUTED_VALUE"""),43747.9986111111)</f>
        <v/>
      </c>
      <c r="AD614" s="6">
        <f>IFERROR(__xludf.DUMMYFUNCTION("""COMPUTED_VALUE"""),1196.78)</f>
        <v/>
      </c>
      <c r="AH614" s="6">
        <f>AI614&amp;AJ614</f>
        <v/>
      </c>
      <c r="AI614" s="6">
        <f>YEAR(AK614)</f>
        <v/>
      </c>
      <c r="AJ614" s="6">
        <f>MONTH(AK614)</f>
        <v/>
      </c>
      <c r="AK614" s="267">
        <f>IFERROR(__xludf.DUMMYFUNCTION("""COMPUTED_VALUE"""),43706.9986111111)</f>
        <v/>
      </c>
      <c r="AL614" s="6">
        <f>IFERROR(__xludf.DUMMYFUNCTION("""COMPUTED_VALUE"""),9468.333)</f>
        <v/>
      </c>
      <c r="AP614" s="6">
        <f>AQ614&amp;AR614</f>
        <v/>
      </c>
      <c r="AQ614" s="6">
        <f>YEAR(AS614)</f>
        <v/>
      </c>
      <c r="AR614" s="6">
        <f>MONTH(AS614)</f>
        <v/>
      </c>
      <c r="AS614" s="267">
        <f>IFERROR(__xludf.DUMMYFUNCTION("""COMPUTED_VALUE"""),43998.9986111111)</f>
        <v/>
      </c>
      <c r="AT614" s="6">
        <f>IFERROR(__xludf.DUMMYFUNCTION("""COMPUTED_VALUE"""),1736.5)</f>
        <v/>
      </c>
    </row>
    <row r="615">
      <c r="B615" s="6">
        <f>C615&amp;D615</f>
        <v/>
      </c>
      <c r="C615" s="6">
        <f>YEAR(E615)</f>
        <v/>
      </c>
      <c r="D615" s="6">
        <f>MONTH(E615)</f>
        <v/>
      </c>
      <c r="E615" s="267">
        <f>IFERROR(__xludf.DUMMYFUNCTION("""COMPUTED_VALUE"""),43990.6666666666)</f>
        <v/>
      </c>
      <c r="F615" s="6">
        <f>IFERROR(__xludf.DUMMYFUNCTION("""COMPUTED_VALUE"""),3232.39)</f>
        <v/>
      </c>
      <c r="J615" s="6">
        <f>K615&amp;L615</f>
        <v/>
      </c>
      <c r="K615" s="6">
        <f>YEAR(M615)</f>
        <v/>
      </c>
      <c r="L615" s="6">
        <f>MONTH(M615)</f>
        <v/>
      </c>
      <c r="M615" s="267">
        <f>IFERROR(__xludf.DUMMYFUNCTION("""COMPUTED_VALUE"""),43984.6666666666)</f>
        <v/>
      </c>
      <c r="N615" s="6">
        <f>IFERROR(__xludf.DUMMYFUNCTION("""COMPUTED_VALUE"""),9608.38)</f>
        <v/>
      </c>
      <c r="R615" s="6">
        <f>S615&amp;T615</f>
        <v/>
      </c>
      <c r="S615" s="6">
        <f>YEAR(U615)</f>
        <v/>
      </c>
      <c r="T615" s="6">
        <f>MONTH(U615)</f>
        <v/>
      </c>
      <c r="U615" s="267">
        <f>IFERROR(__xludf.DUMMYFUNCTION("""COMPUTED_VALUE"""),44015.6458333333)</f>
        <v/>
      </c>
      <c r="V615" s="6">
        <f>IFERROR(__xludf.DUMMYFUNCTION("""COMPUTED_VALUE"""),2152.41)</f>
        <v/>
      </c>
      <c r="Z615" s="6">
        <f>AA615&amp;AB615</f>
        <v/>
      </c>
      <c r="AA615" s="6">
        <f>YEAR(AC615)</f>
        <v/>
      </c>
      <c r="AB615" s="6">
        <f>MONTH(AC615)</f>
        <v/>
      </c>
      <c r="AC615" s="267">
        <f>IFERROR(__xludf.DUMMYFUNCTION("""COMPUTED_VALUE"""),43748.9986111111)</f>
        <v/>
      </c>
      <c r="AD615" s="6">
        <f>IFERROR(__xludf.DUMMYFUNCTION("""COMPUTED_VALUE"""),1188.81)</f>
        <v/>
      </c>
      <c r="AH615" s="6">
        <f>AI615&amp;AJ615</f>
        <v/>
      </c>
      <c r="AI615" s="6">
        <f>YEAR(AK615)</f>
        <v/>
      </c>
      <c r="AJ615" s="6">
        <f>MONTH(AK615)</f>
        <v/>
      </c>
      <c r="AK615" s="267">
        <f>IFERROR(__xludf.DUMMYFUNCTION("""COMPUTED_VALUE"""),43707.9986111111)</f>
        <v/>
      </c>
      <c r="AL615" s="6">
        <f>IFERROR(__xludf.DUMMYFUNCTION("""COMPUTED_VALUE"""),9585.251)</f>
        <v/>
      </c>
      <c r="AP615" s="6">
        <f>AQ615&amp;AR615</f>
        <v/>
      </c>
      <c r="AQ615" s="6">
        <f>YEAR(AS615)</f>
        <v/>
      </c>
      <c r="AR615" s="6">
        <f>MONTH(AS615)</f>
        <v/>
      </c>
      <c r="AS615" s="267">
        <f>IFERROR(__xludf.DUMMYFUNCTION("""COMPUTED_VALUE"""),43999.9986111111)</f>
        <v/>
      </c>
      <c r="AT615" s="6">
        <f>IFERROR(__xludf.DUMMYFUNCTION("""COMPUTED_VALUE"""),1735.6)</f>
        <v/>
      </c>
    </row>
    <row r="616">
      <c r="B616" s="6">
        <f>C616&amp;D616</f>
        <v/>
      </c>
      <c r="C616" s="6">
        <f>YEAR(E616)</f>
        <v/>
      </c>
      <c r="D616" s="6">
        <f>MONTH(E616)</f>
        <v/>
      </c>
      <c r="E616" s="267">
        <f>IFERROR(__xludf.DUMMYFUNCTION("""COMPUTED_VALUE"""),43991.6666666666)</f>
        <v/>
      </c>
      <c r="F616" s="6">
        <f>IFERROR(__xludf.DUMMYFUNCTION("""COMPUTED_VALUE"""),3207.18)</f>
        <v/>
      </c>
      <c r="J616" s="6">
        <f>K616&amp;L616</f>
        <v/>
      </c>
      <c r="K616" s="6">
        <f>YEAR(M616)</f>
        <v/>
      </c>
      <c r="L616" s="6">
        <f>MONTH(M616)</f>
        <v/>
      </c>
      <c r="M616" s="267">
        <f>IFERROR(__xludf.DUMMYFUNCTION("""COMPUTED_VALUE"""),43985.6666666666)</f>
        <v/>
      </c>
      <c r="N616" s="6">
        <f>IFERROR(__xludf.DUMMYFUNCTION("""COMPUTED_VALUE"""),9682.91)</f>
        <v/>
      </c>
      <c r="R616" s="6">
        <f>S616&amp;T616</f>
        <v/>
      </c>
      <c r="S616" s="6">
        <f>YEAR(U616)</f>
        <v/>
      </c>
      <c r="T616" s="6">
        <f>MONTH(U616)</f>
        <v/>
      </c>
      <c r="U616" s="267">
        <f>IFERROR(__xludf.DUMMYFUNCTION("""COMPUTED_VALUE"""),44018.6458333333)</f>
        <v/>
      </c>
      <c r="V616" s="6">
        <f>IFERROR(__xludf.DUMMYFUNCTION("""COMPUTED_VALUE"""),2187.93)</f>
        <v/>
      </c>
      <c r="Z616" s="6">
        <f>AA616&amp;AB616</f>
        <v/>
      </c>
      <c r="AA616" s="6">
        <f>YEAR(AC616)</f>
        <v/>
      </c>
      <c r="AB616" s="6">
        <f>MONTH(AC616)</f>
        <v/>
      </c>
      <c r="AC616" s="267">
        <f>IFERROR(__xludf.DUMMYFUNCTION("""COMPUTED_VALUE"""),43749.9986111111)</f>
        <v/>
      </c>
      <c r="AD616" s="6">
        <f>IFERROR(__xludf.DUMMYFUNCTION("""COMPUTED_VALUE"""),1183.4)</f>
        <v/>
      </c>
      <c r="AH616" s="6">
        <f>AI616&amp;AJ616</f>
        <v/>
      </c>
      <c r="AI616" s="6">
        <f>YEAR(AK616)</f>
        <v/>
      </c>
      <c r="AJ616" s="6">
        <f>MONTH(AK616)</f>
        <v/>
      </c>
      <c r="AK616" s="267">
        <f>IFERROR(__xludf.DUMMYFUNCTION("""COMPUTED_VALUE"""),43708.9986111111)</f>
        <v/>
      </c>
      <c r="AL616" s="6">
        <f>IFERROR(__xludf.DUMMYFUNCTION("""COMPUTED_VALUE"""),9619.062)</f>
        <v/>
      </c>
      <c r="AP616" s="6">
        <f>AQ616&amp;AR616</f>
        <v/>
      </c>
      <c r="AQ616" s="6">
        <f>YEAR(AS616)</f>
        <v/>
      </c>
      <c r="AR616" s="6">
        <f>MONTH(AS616)</f>
        <v/>
      </c>
      <c r="AS616" s="267">
        <f>IFERROR(__xludf.DUMMYFUNCTION("""COMPUTED_VALUE"""),44000.9986111111)</f>
        <v/>
      </c>
      <c r="AT616" s="6">
        <f>IFERROR(__xludf.DUMMYFUNCTION("""COMPUTED_VALUE"""),1731.1)</f>
        <v/>
      </c>
    </row>
    <row r="617">
      <c r="B617" s="6">
        <f>C617&amp;D617</f>
        <v/>
      </c>
      <c r="C617" s="6">
        <f>YEAR(E617)</f>
        <v/>
      </c>
      <c r="D617" s="6">
        <f>MONTH(E617)</f>
        <v/>
      </c>
      <c r="E617" s="267">
        <f>IFERROR(__xludf.DUMMYFUNCTION("""COMPUTED_VALUE"""),43992.6666666666)</f>
        <v/>
      </c>
      <c r="F617" s="6">
        <f>IFERROR(__xludf.DUMMYFUNCTION("""COMPUTED_VALUE"""),3190.14)</f>
        <v/>
      </c>
      <c r="J617" s="6">
        <f>K617&amp;L617</f>
        <v/>
      </c>
      <c r="K617" s="6">
        <f>YEAR(M617)</f>
        <v/>
      </c>
      <c r="L617" s="6">
        <f>MONTH(M617)</f>
        <v/>
      </c>
      <c r="M617" s="267">
        <f>IFERROR(__xludf.DUMMYFUNCTION("""COMPUTED_VALUE"""),43986.6666666666)</f>
        <v/>
      </c>
      <c r="N617" s="6">
        <f>IFERROR(__xludf.DUMMYFUNCTION("""COMPUTED_VALUE"""),9615.81)</f>
        <v/>
      </c>
      <c r="R617" s="6">
        <f>S617&amp;T617</f>
        <v/>
      </c>
      <c r="S617" s="6">
        <f>YEAR(U617)</f>
        <v/>
      </c>
      <c r="T617" s="6">
        <f>MONTH(U617)</f>
        <v/>
      </c>
      <c r="U617" s="267">
        <f>IFERROR(__xludf.DUMMYFUNCTION("""COMPUTED_VALUE"""),44019.6458333333)</f>
        <v/>
      </c>
      <c r="V617" s="6">
        <f>IFERROR(__xludf.DUMMYFUNCTION("""COMPUTED_VALUE"""),2164.17)</f>
        <v/>
      </c>
      <c r="Z617" s="6">
        <f>AA617&amp;AB617</f>
        <v/>
      </c>
      <c r="AA617" s="6">
        <f>YEAR(AC617)</f>
        <v/>
      </c>
      <c r="AB617" s="6">
        <f>MONTH(AC617)</f>
        <v/>
      </c>
      <c r="AC617" s="267">
        <f>IFERROR(__xludf.DUMMYFUNCTION("""COMPUTED_VALUE"""),43751.9986111111)</f>
        <v/>
      </c>
      <c r="AD617" s="6">
        <f>IFERROR(__xludf.DUMMYFUNCTION("""COMPUTED_VALUE"""),1182.49)</f>
        <v/>
      </c>
      <c r="AH617" s="6">
        <f>AI617&amp;AJ617</f>
        <v/>
      </c>
      <c r="AI617" s="6">
        <f>YEAR(AK617)</f>
        <v/>
      </c>
      <c r="AJ617" s="6">
        <f>MONTH(AK617)</f>
        <v/>
      </c>
      <c r="AK617" s="267">
        <f>IFERROR(__xludf.DUMMYFUNCTION("""COMPUTED_VALUE"""),43709.9986111111)</f>
        <v/>
      </c>
      <c r="AL617" s="6">
        <f>IFERROR(__xludf.DUMMYFUNCTION("""COMPUTED_VALUE"""),9776.468)</f>
        <v/>
      </c>
      <c r="AP617" s="6">
        <f>AQ617&amp;AR617</f>
        <v/>
      </c>
      <c r="AQ617" s="6">
        <f>YEAR(AS617)</f>
        <v/>
      </c>
      <c r="AR617" s="6">
        <f>MONTH(AS617)</f>
        <v/>
      </c>
      <c r="AS617" s="267">
        <f>IFERROR(__xludf.DUMMYFUNCTION("""COMPUTED_VALUE"""),44001.9986111111)</f>
        <v/>
      </c>
      <c r="AT617" s="6">
        <f>IFERROR(__xludf.DUMMYFUNCTION("""COMPUTED_VALUE"""),1753)</f>
        <v/>
      </c>
    </row>
    <row r="618">
      <c r="B618" s="6">
        <f>C618&amp;D618</f>
        <v/>
      </c>
      <c r="C618" s="6">
        <f>YEAR(E618)</f>
        <v/>
      </c>
      <c r="D618" s="6">
        <f>MONTH(E618)</f>
        <v/>
      </c>
      <c r="E618" s="267">
        <f>IFERROR(__xludf.DUMMYFUNCTION("""COMPUTED_VALUE"""),43993.6666666666)</f>
        <v/>
      </c>
      <c r="F618" s="6">
        <f>IFERROR(__xludf.DUMMYFUNCTION("""COMPUTED_VALUE"""),3002.1)</f>
        <v/>
      </c>
      <c r="J618" s="6">
        <f>K618&amp;L618</f>
        <v/>
      </c>
      <c r="K618" s="6">
        <f>YEAR(M618)</f>
        <v/>
      </c>
      <c r="L618" s="6">
        <f>MONTH(M618)</f>
        <v/>
      </c>
      <c r="M618" s="267">
        <f>IFERROR(__xludf.DUMMYFUNCTION("""COMPUTED_VALUE"""),43987.6666666666)</f>
        <v/>
      </c>
      <c r="N618" s="6">
        <f>IFERROR(__xludf.DUMMYFUNCTION("""COMPUTED_VALUE"""),9814.08)</f>
        <v/>
      </c>
      <c r="R618" s="6">
        <f>S618&amp;T618</f>
        <v/>
      </c>
      <c r="S618" s="6">
        <f>YEAR(U618)</f>
        <v/>
      </c>
      <c r="T618" s="6">
        <f>MONTH(U618)</f>
        <v/>
      </c>
      <c r="U618" s="267">
        <f>IFERROR(__xludf.DUMMYFUNCTION("""COMPUTED_VALUE"""),44020.6458333333)</f>
        <v/>
      </c>
      <c r="V618" s="6">
        <f>IFERROR(__xludf.DUMMYFUNCTION("""COMPUTED_VALUE"""),2158.88)</f>
        <v/>
      </c>
      <c r="Z618" s="6">
        <f>AA618&amp;AB618</f>
        <v/>
      </c>
      <c r="AA618" s="6">
        <f>YEAR(AC618)</f>
        <v/>
      </c>
      <c r="AB618" s="6">
        <f>MONTH(AC618)</f>
        <v/>
      </c>
      <c r="AC618" s="267">
        <f>IFERROR(__xludf.DUMMYFUNCTION("""COMPUTED_VALUE"""),43752.9986111111)</f>
        <v/>
      </c>
      <c r="AD618" s="6">
        <f>IFERROR(__xludf.DUMMYFUNCTION("""COMPUTED_VALUE"""),1182.3)</f>
        <v/>
      </c>
      <c r="AH618" s="6">
        <f>AI618&amp;AJ618</f>
        <v/>
      </c>
      <c r="AI618" s="6">
        <f>YEAR(AK618)</f>
        <v/>
      </c>
      <c r="AJ618" s="6">
        <f>MONTH(AK618)</f>
        <v/>
      </c>
      <c r="AK618" s="267">
        <f>IFERROR(__xludf.DUMMYFUNCTION("""COMPUTED_VALUE"""),43710.9986111111)</f>
        <v/>
      </c>
      <c r="AL618" s="6">
        <f>IFERROR(__xludf.DUMMYFUNCTION("""COMPUTED_VALUE"""),10358.08)</f>
        <v/>
      </c>
      <c r="AP618" s="6">
        <f>AQ618&amp;AR618</f>
        <v/>
      </c>
      <c r="AQ618" s="6">
        <f>YEAR(AS618)</f>
        <v/>
      </c>
      <c r="AR618" s="6">
        <f>MONTH(AS618)</f>
        <v/>
      </c>
      <c r="AS618" s="267">
        <f>IFERROR(__xludf.DUMMYFUNCTION("""COMPUTED_VALUE"""),44004.9986111111)</f>
        <v/>
      </c>
      <c r="AT618" s="6">
        <f>IFERROR(__xludf.DUMMYFUNCTION("""COMPUTED_VALUE"""),1766.4)</f>
        <v/>
      </c>
    </row>
    <row r="619">
      <c r="B619" s="6">
        <f>C619&amp;D619</f>
        <v/>
      </c>
      <c r="C619" s="6">
        <f>YEAR(E619)</f>
        <v/>
      </c>
      <c r="D619" s="6">
        <f>MONTH(E619)</f>
        <v/>
      </c>
      <c r="E619" s="267">
        <f>IFERROR(__xludf.DUMMYFUNCTION("""COMPUTED_VALUE"""),43994.6666666666)</f>
        <v/>
      </c>
      <c r="F619" s="6">
        <f>IFERROR(__xludf.DUMMYFUNCTION("""COMPUTED_VALUE"""),3041.31)</f>
        <v/>
      </c>
      <c r="J619" s="6">
        <f>K619&amp;L619</f>
        <v/>
      </c>
      <c r="K619" s="6">
        <f>YEAR(M619)</f>
        <v/>
      </c>
      <c r="L619" s="6">
        <f>MONTH(M619)</f>
        <v/>
      </c>
      <c r="M619" s="267">
        <f>IFERROR(__xludf.DUMMYFUNCTION("""COMPUTED_VALUE"""),43990.6666666666)</f>
        <v/>
      </c>
      <c r="N619" s="6">
        <f>IFERROR(__xludf.DUMMYFUNCTION("""COMPUTED_VALUE"""),9924.75)</f>
        <v/>
      </c>
      <c r="R619" s="6">
        <f>S619&amp;T619</f>
        <v/>
      </c>
      <c r="S619" s="6">
        <f>YEAR(U619)</f>
        <v/>
      </c>
      <c r="T619" s="6">
        <f>MONTH(U619)</f>
        <v/>
      </c>
      <c r="U619" s="267">
        <f>IFERROR(__xludf.DUMMYFUNCTION("""COMPUTED_VALUE"""),44021.6458333333)</f>
        <v/>
      </c>
      <c r="V619" s="6">
        <f>IFERROR(__xludf.DUMMYFUNCTION("""COMPUTED_VALUE"""),2167.9)</f>
        <v/>
      </c>
      <c r="Z619" s="6">
        <f>AA619&amp;AB619</f>
        <v/>
      </c>
      <c r="AA619" s="6">
        <f>YEAR(AC619)</f>
        <v/>
      </c>
      <c r="AB619" s="6">
        <f>MONTH(AC619)</f>
        <v/>
      </c>
      <c r="AC619" s="267">
        <f>IFERROR(__xludf.DUMMYFUNCTION("""COMPUTED_VALUE"""),43753.9986111111)</f>
        <v/>
      </c>
      <c r="AD619" s="6">
        <f>IFERROR(__xludf.DUMMYFUNCTION("""COMPUTED_VALUE"""),1183.93)</f>
        <v/>
      </c>
      <c r="AH619" s="6">
        <f>AI619&amp;AJ619</f>
        <v/>
      </c>
      <c r="AI619" s="6">
        <f>YEAR(AK619)</f>
        <v/>
      </c>
      <c r="AJ619" s="6">
        <f>MONTH(AK619)</f>
        <v/>
      </c>
      <c r="AK619" s="267">
        <f>IFERROR(__xludf.DUMMYFUNCTION("""COMPUTED_VALUE"""),43711.9986111111)</f>
        <v/>
      </c>
      <c r="AL619" s="6">
        <f>IFERROR(__xludf.DUMMYFUNCTION("""COMPUTED_VALUE"""),10615.84)</f>
        <v/>
      </c>
      <c r="AP619" s="6">
        <f>AQ619&amp;AR619</f>
        <v/>
      </c>
      <c r="AQ619" s="6">
        <f>YEAR(AS619)</f>
        <v/>
      </c>
      <c r="AR619" s="6">
        <f>MONTH(AS619)</f>
        <v/>
      </c>
      <c r="AS619" s="267">
        <f>IFERROR(__xludf.DUMMYFUNCTION("""COMPUTED_VALUE"""),44005.9986111111)</f>
        <v/>
      </c>
      <c r="AT619" s="6">
        <f>IFERROR(__xludf.DUMMYFUNCTION("""COMPUTED_VALUE"""),1782)</f>
        <v/>
      </c>
    </row>
    <row r="620">
      <c r="B620" s="6">
        <f>C620&amp;D620</f>
        <v/>
      </c>
      <c r="C620" s="6">
        <f>YEAR(E620)</f>
        <v/>
      </c>
      <c r="D620" s="6">
        <f>MONTH(E620)</f>
        <v/>
      </c>
      <c r="E620" s="267">
        <f>IFERROR(__xludf.DUMMYFUNCTION("""COMPUTED_VALUE"""),43997.6666666666)</f>
        <v/>
      </c>
      <c r="F620" s="6">
        <f>IFERROR(__xludf.DUMMYFUNCTION("""COMPUTED_VALUE"""),3066.59)</f>
        <v/>
      </c>
      <c r="J620" s="6">
        <f>K620&amp;L620</f>
        <v/>
      </c>
      <c r="K620" s="6">
        <f>YEAR(M620)</f>
        <v/>
      </c>
      <c r="L620" s="6">
        <f>MONTH(M620)</f>
        <v/>
      </c>
      <c r="M620" s="267">
        <f>IFERROR(__xludf.DUMMYFUNCTION("""COMPUTED_VALUE"""),43991.6666666666)</f>
        <v/>
      </c>
      <c r="N620" s="6">
        <f>IFERROR(__xludf.DUMMYFUNCTION("""COMPUTED_VALUE"""),9953.75)</f>
        <v/>
      </c>
      <c r="R620" s="6">
        <f>S620&amp;T620</f>
        <v/>
      </c>
      <c r="S620" s="6">
        <f>YEAR(U620)</f>
        <v/>
      </c>
      <c r="T620" s="6">
        <f>MONTH(U620)</f>
        <v/>
      </c>
      <c r="U620" s="267">
        <f>IFERROR(__xludf.DUMMYFUNCTION("""COMPUTED_VALUE"""),44022.6458333333)</f>
        <v/>
      </c>
      <c r="V620" s="6">
        <f>IFERROR(__xludf.DUMMYFUNCTION("""COMPUTED_VALUE"""),2150.25)</f>
        <v/>
      </c>
      <c r="Z620" s="6">
        <f>AA620&amp;AB620</f>
        <v/>
      </c>
      <c r="AA620" s="6">
        <f>YEAR(AC620)</f>
        <v/>
      </c>
      <c r="AB620" s="6">
        <f>MONTH(AC620)</f>
        <v/>
      </c>
      <c r="AC620" s="267">
        <f>IFERROR(__xludf.DUMMYFUNCTION("""COMPUTED_VALUE"""),43754.9986111111)</f>
        <v/>
      </c>
      <c r="AD620" s="6">
        <f>IFERROR(__xludf.DUMMYFUNCTION("""COMPUTED_VALUE"""),1184.83)</f>
        <v/>
      </c>
      <c r="AH620" s="6">
        <f>AI620&amp;AJ620</f>
        <v/>
      </c>
      <c r="AI620" s="6">
        <f>YEAR(AK620)</f>
        <v/>
      </c>
      <c r="AJ620" s="6">
        <f>MONTH(AK620)</f>
        <v/>
      </c>
      <c r="AK620" s="267">
        <f>IFERROR(__xludf.DUMMYFUNCTION("""COMPUTED_VALUE"""),43712.9986111111)</f>
        <v/>
      </c>
      <c r="AL620" s="6">
        <f>IFERROR(__xludf.DUMMYFUNCTION("""COMPUTED_VALUE"""),10571.67)</f>
        <v/>
      </c>
      <c r="AP620" s="6">
        <f>AQ620&amp;AR620</f>
        <v/>
      </c>
      <c r="AQ620" s="6">
        <f>YEAR(AS620)</f>
        <v/>
      </c>
      <c r="AR620" s="6">
        <f>MONTH(AS620)</f>
        <v/>
      </c>
      <c r="AS620" s="267">
        <f>IFERROR(__xludf.DUMMYFUNCTION("""COMPUTED_VALUE"""),44006.9986111111)</f>
        <v/>
      </c>
      <c r="AT620" s="6">
        <f>IFERROR(__xludf.DUMMYFUNCTION("""COMPUTED_VALUE"""),1775.1)</f>
        <v/>
      </c>
    </row>
    <row r="621">
      <c r="B621" s="6">
        <f>C621&amp;D621</f>
        <v/>
      </c>
      <c r="C621" s="6">
        <f>YEAR(E621)</f>
        <v/>
      </c>
      <c r="D621" s="6">
        <f>MONTH(E621)</f>
        <v/>
      </c>
      <c r="E621" s="267">
        <f>IFERROR(__xludf.DUMMYFUNCTION("""COMPUTED_VALUE"""),43998.6666666666)</f>
        <v/>
      </c>
      <c r="F621" s="6">
        <f>IFERROR(__xludf.DUMMYFUNCTION("""COMPUTED_VALUE"""),3124.74)</f>
        <v/>
      </c>
      <c r="J621" s="6">
        <f>K621&amp;L621</f>
        <v/>
      </c>
      <c r="K621" s="6">
        <f>YEAR(M621)</f>
        <v/>
      </c>
      <c r="L621" s="6">
        <f>MONTH(M621)</f>
        <v/>
      </c>
      <c r="M621" s="267">
        <f>IFERROR(__xludf.DUMMYFUNCTION("""COMPUTED_VALUE"""),43992.6666666666)</f>
        <v/>
      </c>
      <c r="N621" s="6">
        <f>IFERROR(__xludf.DUMMYFUNCTION("""COMPUTED_VALUE"""),10020.35)</f>
        <v/>
      </c>
      <c r="R621" s="6">
        <f>S621&amp;T621</f>
        <v/>
      </c>
      <c r="S621" s="6">
        <f>YEAR(U621)</f>
        <v/>
      </c>
      <c r="T621" s="6">
        <f>MONTH(U621)</f>
        <v/>
      </c>
      <c r="U621" s="267">
        <f>IFERROR(__xludf.DUMMYFUNCTION("""COMPUTED_VALUE"""),44025.6458333333)</f>
        <v/>
      </c>
      <c r="V621" s="6">
        <f>IFERROR(__xludf.DUMMYFUNCTION("""COMPUTED_VALUE"""),2186.06)</f>
        <v/>
      </c>
      <c r="Z621" s="6">
        <f>AA621&amp;AB621</f>
        <v/>
      </c>
      <c r="AA621" s="6">
        <f>YEAR(AC621)</f>
        <v/>
      </c>
      <c r="AB621" s="6">
        <f>MONTH(AC621)</f>
        <v/>
      </c>
      <c r="AC621" s="267">
        <f>IFERROR(__xludf.DUMMYFUNCTION("""COMPUTED_VALUE"""),43755.9986111111)</f>
        <v/>
      </c>
      <c r="AD621" s="6">
        <f>IFERROR(__xludf.DUMMYFUNCTION("""COMPUTED_VALUE"""),1177.27)</f>
        <v/>
      </c>
      <c r="AH621" s="6">
        <f>AI621&amp;AJ621</f>
        <v/>
      </c>
      <c r="AI621" s="6">
        <f>YEAR(AK621)</f>
        <v/>
      </c>
      <c r="AJ621" s="6">
        <f>MONTH(AK621)</f>
        <v/>
      </c>
      <c r="AK621" s="267">
        <f>IFERROR(__xludf.DUMMYFUNCTION("""COMPUTED_VALUE"""),43713.9986111111)</f>
        <v/>
      </c>
      <c r="AL621" s="6">
        <f>IFERROR(__xludf.DUMMYFUNCTION("""COMPUTED_VALUE"""),10583.4)</f>
        <v/>
      </c>
      <c r="AP621" s="6">
        <f>AQ621&amp;AR621</f>
        <v/>
      </c>
      <c r="AQ621" s="6">
        <f>YEAR(AS621)</f>
        <v/>
      </c>
      <c r="AR621" s="6">
        <f>MONTH(AS621)</f>
        <v/>
      </c>
      <c r="AS621" s="267">
        <f>IFERROR(__xludf.DUMMYFUNCTION("""COMPUTED_VALUE"""),44007.9986111111)</f>
        <v/>
      </c>
      <c r="AT621" s="6">
        <f>IFERROR(__xludf.DUMMYFUNCTION("""COMPUTED_VALUE"""),1770.6)</f>
        <v/>
      </c>
    </row>
    <row r="622">
      <c r="B622" s="6">
        <f>C622&amp;D622</f>
        <v/>
      </c>
      <c r="C622" s="6">
        <f>YEAR(E622)</f>
        <v/>
      </c>
      <c r="D622" s="6">
        <f>MONTH(E622)</f>
        <v/>
      </c>
      <c r="E622" s="267">
        <f>IFERROR(__xludf.DUMMYFUNCTION("""COMPUTED_VALUE"""),43999.6666666666)</f>
        <v/>
      </c>
      <c r="F622" s="6">
        <f>IFERROR(__xludf.DUMMYFUNCTION("""COMPUTED_VALUE"""),3113.49)</f>
        <v/>
      </c>
      <c r="J622" s="6">
        <f>K622&amp;L622</f>
        <v/>
      </c>
      <c r="K622" s="6">
        <f>YEAR(M622)</f>
        <v/>
      </c>
      <c r="L622" s="6">
        <f>MONTH(M622)</f>
        <v/>
      </c>
      <c r="M622" s="267">
        <f>IFERROR(__xludf.DUMMYFUNCTION("""COMPUTED_VALUE"""),43993.6666666666)</f>
        <v/>
      </c>
      <c r="N622" s="6">
        <f>IFERROR(__xludf.DUMMYFUNCTION("""COMPUTED_VALUE"""),9492.73)</f>
        <v/>
      </c>
      <c r="R622" s="6">
        <f>S622&amp;T622</f>
        <v/>
      </c>
      <c r="S622" s="6">
        <f>YEAR(U622)</f>
        <v/>
      </c>
      <c r="T622" s="6">
        <f>MONTH(U622)</f>
        <v/>
      </c>
      <c r="U622" s="267">
        <f>IFERROR(__xludf.DUMMYFUNCTION("""COMPUTED_VALUE"""),44026.6458333333)</f>
        <v/>
      </c>
      <c r="V622" s="6">
        <f>IFERROR(__xludf.DUMMYFUNCTION("""COMPUTED_VALUE"""),2183.61)</f>
        <v/>
      </c>
      <c r="Z622" s="6">
        <f>AA622&amp;AB622</f>
        <v/>
      </c>
      <c r="AA622" s="6">
        <f>YEAR(AC622)</f>
        <v/>
      </c>
      <c r="AB622" s="6">
        <f>MONTH(AC622)</f>
        <v/>
      </c>
      <c r="AC622" s="267">
        <f>IFERROR(__xludf.DUMMYFUNCTION("""COMPUTED_VALUE"""),43756.9986111111)</f>
        <v/>
      </c>
      <c r="AD622" s="6">
        <f>IFERROR(__xludf.DUMMYFUNCTION("""COMPUTED_VALUE"""),1178.8)</f>
        <v/>
      </c>
      <c r="AH622" s="6">
        <f>AI622&amp;AJ622</f>
        <v/>
      </c>
      <c r="AI622" s="6">
        <f>YEAR(AK622)</f>
        <v/>
      </c>
      <c r="AJ622" s="6">
        <f>MONTH(AK622)</f>
        <v/>
      </c>
      <c r="AK622" s="267">
        <f>IFERROR(__xludf.DUMMYFUNCTION("""COMPUTED_VALUE"""),43714.9986111111)</f>
        <v/>
      </c>
      <c r="AL622" s="6">
        <f>IFERROR(__xludf.DUMMYFUNCTION("""COMPUTED_VALUE"""),10310.99)</f>
        <v/>
      </c>
      <c r="AP622" s="6">
        <f>AQ622&amp;AR622</f>
        <v/>
      </c>
      <c r="AQ622" s="6">
        <f>YEAR(AS622)</f>
        <v/>
      </c>
      <c r="AR622" s="6">
        <f>MONTH(AS622)</f>
        <v/>
      </c>
      <c r="AS622" s="267">
        <f>IFERROR(__xludf.DUMMYFUNCTION("""COMPUTED_VALUE"""),44008.9986111111)</f>
        <v/>
      </c>
      <c r="AT622" s="6">
        <f>IFERROR(__xludf.DUMMYFUNCTION("""COMPUTED_VALUE"""),1780.3)</f>
        <v/>
      </c>
    </row>
    <row r="623">
      <c r="B623" s="6">
        <f>C623&amp;D623</f>
        <v/>
      </c>
      <c r="C623" s="6">
        <f>YEAR(E623)</f>
        <v/>
      </c>
      <c r="D623" s="6">
        <f>MONTH(E623)</f>
        <v/>
      </c>
      <c r="E623" s="267">
        <f>IFERROR(__xludf.DUMMYFUNCTION("""COMPUTED_VALUE"""),44000.6666666666)</f>
        <v/>
      </c>
      <c r="F623" s="6">
        <f>IFERROR(__xludf.DUMMYFUNCTION("""COMPUTED_VALUE"""),3115.34)</f>
        <v/>
      </c>
      <c r="J623" s="6">
        <f>K623&amp;L623</f>
        <v/>
      </c>
      <c r="K623" s="6">
        <f>YEAR(M623)</f>
        <v/>
      </c>
      <c r="L623" s="6">
        <f>MONTH(M623)</f>
        <v/>
      </c>
      <c r="M623" s="267">
        <f>IFERROR(__xludf.DUMMYFUNCTION("""COMPUTED_VALUE"""),43994.6666666666)</f>
        <v/>
      </c>
      <c r="N623" s="6">
        <f>IFERROR(__xludf.DUMMYFUNCTION("""COMPUTED_VALUE"""),9588.81)</f>
        <v/>
      </c>
      <c r="R623" s="6">
        <f>S623&amp;T623</f>
        <v/>
      </c>
      <c r="S623" s="6">
        <f>YEAR(U623)</f>
        <v/>
      </c>
      <c r="T623" s="6">
        <f>MONTH(U623)</f>
        <v/>
      </c>
      <c r="U623" s="267">
        <f>IFERROR(__xludf.DUMMYFUNCTION("""COMPUTED_VALUE"""),44027.6458333333)</f>
        <v/>
      </c>
      <c r="V623" s="6">
        <f>IFERROR(__xludf.DUMMYFUNCTION("""COMPUTED_VALUE"""),2201.88)</f>
        <v/>
      </c>
      <c r="Z623" s="6">
        <f>AA623&amp;AB623</f>
        <v/>
      </c>
      <c r="AA623" s="6">
        <f>YEAR(AC623)</f>
        <v/>
      </c>
      <c r="AB623" s="6">
        <f>MONTH(AC623)</f>
        <v/>
      </c>
      <c r="AC623" s="267">
        <f>IFERROR(__xludf.DUMMYFUNCTION("""COMPUTED_VALUE"""),43758.9986111111)</f>
        <v/>
      </c>
      <c r="AD623" s="6">
        <f>IFERROR(__xludf.DUMMYFUNCTION("""COMPUTED_VALUE"""),1178.08)</f>
        <v/>
      </c>
      <c r="AH623" s="6">
        <f>AI623&amp;AJ623</f>
        <v/>
      </c>
      <c r="AI623" s="6">
        <f>YEAR(AK623)</f>
        <v/>
      </c>
      <c r="AJ623" s="6">
        <f>MONTH(AK623)</f>
        <v/>
      </c>
      <c r="AK623" s="267">
        <f>IFERROR(__xludf.DUMMYFUNCTION("""COMPUTED_VALUE"""),43715.9986111111)</f>
        <v/>
      </c>
      <c r="AL623" s="6">
        <f>IFERROR(__xludf.DUMMYFUNCTION("""COMPUTED_VALUE"""),10480.91)</f>
        <v/>
      </c>
      <c r="AP623" s="6">
        <f>AQ623&amp;AR623</f>
        <v/>
      </c>
      <c r="AQ623" s="6">
        <f>YEAR(AS623)</f>
        <v/>
      </c>
      <c r="AR623" s="6">
        <f>MONTH(AS623)</f>
        <v/>
      </c>
      <c r="AS623" s="267">
        <f>IFERROR(__xludf.DUMMYFUNCTION("""COMPUTED_VALUE"""),44011.9986111111)</f>
        <v/>
      </c>
      <c r="AT623" s="6">
        <f>IFERROR(__xludf.DUMMYFUNCTION("""COMPUTED_VALUE"""),1781.2)</f>
        <v/>
      </c>
    </row>
    <row r="624">
      <c r="B624" s="6">
        <f>C624&amp;D624</f>
        <v/>
      </c>
      <c r="C624" s="6">
        <f>YEAR(E624)</f>
        <v/>
      </c>
      <c r="D624" s="6">
        <f>MONTH(E624)</f>
        <v/>
      </c>
      <c r="E624" s="267">
        <f>IFERROR(__xludf.DUMMYFUNCTION("""COMPUTED_VALUE"""),44001.6666666666)</f>
        <v/>
      </c>
      <c r="F624" s="6">
        <f>IFERROR(__xludf.DUMMYFUNCTION("""COMPUTED_VALUE"""),3097.74)</f>
        <v/>
      </c>
      <c r="J624" s="6">
        <f>K624&amp;L624</f>
        <v/>
      </c>
      <c r="K624" s="6">
        <f>YEAR(M624)</f>
        <v/>
      </c>
      <c r="L624" s="6">
        <f>MONTH(M624)</f>
        <v/>
      </c>
      <c r="M624" s="267">
        <f>IFERROR(__xludf.DUMMYFUNCTION("""COMPUTED_VALUE"""),43997.6666666666)</f>
        <v/>
      </c>
      <c r="N624" s="6">
        <f>IFERROR(__xludf.DUMMYFUNCTION("""COMPUTED_VALUE"""),9726.02)</f>
        <v/>
      </c>
      <c r="R624" s="6">
        <f>S624&amp;T624</f>
        <v/>
      </c>
      <c r="S624" s="6">
        <f>YEAR(U624)</f>
        <v/>
      </c>
      <c r="T624" s="6">
        <f>MONTH(U624)</f>
        <v/>
      </c>
      <c r="U624" s="267">
        <f>IFERROR(__xludf.DUMMYFUNCTION("""COMPUTED_VALUE"""),44028.6458333333)</f>
        <v/>
      </c>
      <c r="V624" s="6">
        <f>IFERROR(__xludf.DUMMYFUNCTION("""COMPUTED_VALUE"""),2183.76)</f>
        <v/>
      </c>
      <c r="Z624" s="6">
        <f>AA624&amp;AB624</f>
        <v/>
      </c>
      <c r="AA624" s="6">
        <f>YEAR(AC624)</f>
        <v/>
      </c>
      <c r="AB624" s="6">
        <f>MONTH(AC624)</f>
        <v/>
      </c>
      <c r="AC624" s="267">
        <f>IFERROR(__xludf.DUMMYFUNCTION("""COMPUTED_VALUE"""),43759.9986111111)</f>
        <v/>
      </c>
      <c r="AD624" s="6">
        <f>IFERROR(__xludf.DUMMYFUNCTION("""COMPUTED_VALUE"""),1171.4)</f>
        <v/>
      </c>
      <c r="AH624" s="6">
        <f>AI624&amp;AJ624</f>
        <v/>
      </c>
      <c r="AI624" s="6">
        <f>YEAR(AK624)</f>
        <v/>
      </c>
      <c r="AJ624" s="6">
        <f>MONTH(AK624)</f>
        <v/>
      </c>
      <c r="AK624" s="267">
        <f>IFERROR(__xludf.DUMMYFUNCTION("""COMPUTED_VALUE"""),43716.9986111111)</f>
        <v/>
      </c>
      <c r="AL624" s="6">
        <f>IFERROR(__xludf.DUMMYFUNCTION("""COMPUTED_VALUE"""),10422.59)</f>
        <v/>
      </c>
      <c r="AP624" s="6">
        <f>AQ624&amp;AR624</f>
        <v/>
      </c>
      <c r="AQ624" s="6">
        <f>YEAR(AS624)</f>
        <v/>
      </c>
      <c r="AR624" s="6">
        <f>MONTH(AS624)</f>
        <v/>
      </c>
      <c r="AS624" s="267">
        <f>IFERROR(__xludf.DUMMYFUNCTION("""COMPUTED_VALUE"""),44012.9986111111)</f>
        <v/>
      </c>
      <c r="AT624" s="6">
        <f>IFERROR(__xludf.DUMMYFUNCTION("""COMPUTED_VALUE"""),1800.5)</f>
        <v/>
      </c>
    </row>
    <row r="625">
      <c r="B625" s="6">
        <f>C625&amp;D625</f>
        <v/>
      </c>
      <c r="C625" s="6">
        <f>YEAR(E625)</f>
        <v/>
      </c>
      <c r="D625" s="6">
        <f>MONTH(E625)</f>
        <v/>
      </c>
      <c r="E625" s="267">
        <f>IFERROR(__xludf.DUMMYFUNCTION("""COMPUTED_VALUE"""),44004.6666666666)</f>
        <v/>
      </c>
      <c r="F625" s="6">
        <f>IFERROR(__xludf.DUMMYFUNCTION("""COMPUTED_VALUE"""),3117.86)</f>
        <v/>
      </c>
      <c r="J625" s="6">
        <f>K625&amp;L625</f>
        <v/>
      </c>
      <c r="K625" s="6">
        <f>YEAR(M625)</f>
        <v/>
      </c>
      <c r="L625" s="6">
        <f>MONTH(M625)</f>
        <v/>
      </c>
      <c r="M625" s="267">
        <f>IFERROR(__xludf.DUMMYFUNCTION("""COMPUTED_VALUE"""),43998.6666666666)</f>
        <v/>
      </c>
      <c r="N625" s="6">
        <f>IFERROR(__xludf.DUMMYFUNCTION("""COMPUTED_VALUE"""),9895.87)</f>
        <v/>
      </c>
      <c r="R625" s="6">
        <f>S625&amp;T625</f>
        <v/>
      </c>
      <c r="S625" s="6">
        <f>YEAR(U625)</f>
        <v/>
      </c>
      <c r="T625" s="6">
        <f>MONTH(U625)</f>
        <v/>
      </c>
      <c r="U625" s="267">
        <f>IFERROR(__xludf.DUMMYFUNCTION("""COMPUTED_VALUE"""),44029.6458333333)</f>
        <v/>
      </c>
      <c r="V625" s="6">
        <f>IFERROR(__xludf.DUMMYFUNCTION("""COMPUTED_VALUE"""),2201.19)</f>
        <v/>
      </c>
      <c r="Z625" s="6">
        <f>AA625&amp;AB625</f>
        <v/>
      </c>
      <c r="AA625" s="6">
        <f>YEAR(AC625)</f>
        <v/>
      </c>
      <c r="AB625" s="6">
        <f>MONTH(AC625)</f>
        <v/>
      </c>
      <c r="AC625" s="267">
        <f>IFERROR(__xludf.DUMMYFUNCTION("""COMPUTED_VALUE"""),43760.9986111111)</f>
        <v/>
      </c>
      <c r="AD625" s="6">
        <f>IFERROR(__xludf.DUMMYFUNCTION("""COMPUTED_VALUE"""),1171.26)</f>
        <v/>
      </c>
      <c r="AH625" s="6">
        <f>AI625&amp;AJ625</f>
        <v/>
      </c>
      <c r="AI625" s="6">
        <f>YEAR(AK625)</f>
        <v/>
      </c>
      <c r="AJ625" s="6">
        <f>MONTH(AK625)</f>
        <v/>
      </c>
      <c r="AK625" s="267">
        <f>IFERROR(__xludf.DUMMYFUNCTION("""COMPUTED_VALUE"""),43717.9986111111)</f>
        <v/>
      </c>
      <c r="AL625" s="6">
        <f>IFERROR(__xludf.DUMMYFUNCTION("""COMPUTED_VALUE"""),10302.1)</f>
        <v/>
      </c>
      <c r="AP625" s="6">
        <f>AQ625&amp;AR625</f>
        <v/>
      </c>
      <c r="AQ625" s="6">
        <f>YEAR(AS625)</f>
        <v/>
      </c>
      <c r="AR625" s="6">
        <f>MONTH(AS625)</f>
        <v/>
      </c>
      <c r="AS625" s="267">
        <f>IFERROR(__xludf.DUMMYFUNCTION("""COMPUTED_VALUE"""),44013.9986111111)</f>
        <v/>
      </c>
      <c r="AT625" s="6">
        <f>IFERROR(__xludf.DUMMYFUNCTION("""COMPUTED_VALUE"""),1779.9)</f>
        <v/>
      </c>
    </row>
    <row r="626">
      <c r="B626" s="6">
        <f>C626&amp;D626</f>
        <v/>
      </c>
      <c r="C626" s="6">
        <f>YEAR(E626)</f>
        <v/>
      </c>
      <c r="D626" s="6">
        <f>MONTH(E626)</f>
        <v/>
      </c>
      <c r="E626" s="267">
        <f>IFERROR(__xludf.DUMMYFUNCTION("""COMPUTED_VALUE"""),44005.6666666666)</f>
        <v/>
      </c>
      <c r="F626" s="6">
        <f>IFERROR(__xludf.DUMMYFUNCTION("""COMPUTED_VALUE"""),3131.29)</f>
        <v/>
      </c>
      <c r="J626" s="6">
        <f>K626&amp;L626</f>
        <v/>
      </c>
      <c r="K626" s="6">
        <f>YEAR(M626)</f>
        <v/>
      </c>
      <c r="L626" s="6">
        <f>MONTH(M626)</f>
        <v/>
      </c>
      <c r="M626" s="267">
        <f>IFERROR(__xludf.DUMMYFUNCTION("""COMPUTED_VALUE"""),43999.6666666666)</f>
        <v/>
      </c>
      <c r="N626" s="6">
        <f>IFERROR(__xludf.DUMMYFUNCTION("""COMPUTED_VALUE"""),9910.53)</f>
        <v/>
      </c>
      <c r="R626" s="6">
        <f>S626&amp;T626</f>
        <v/>
      </c>
      <c r="S626" s="6">
        <f>YEAR(U626)</f>
        <v/>
      </c>
      <c r="T626" s="6">
        <f>MONTH(U626)</f>
        <v/>
      </c>
      <c r="U626" s="267">
        <f>IFERROR(__xludf.DUMMYFUNCTION("""COMPUTED_VALUE"""),44032.6458333333)</f>
        <v/>
      </c>
      <c r="V626" s="6">
        <f>IFERROR(__xludf.DUMMYFUNCTION("""COMPUTED_VALUE"""),2198.2)</f>
        <v/>
      </c>
      <c r="Z626" s="6">
        <f>AA626&amp;AB626</f>
        <v/>
      </c>
      <c r="AA626" s="6">
        <f>YEAR(AC626)</f>
        <v/>
      </c>
      <c r="AB626" s="6">
        <f>MONTH(AC626)</f>
        <v/>
      </c>
      <c r="AC626" s="267">
        <f>IFERROR(__xludf.DUMMYFUNCTION("""COMPUTED_VALUE"""),43761.9986111111)</f>
        <v/>
      </c>
      <c r="AD626" s="6">
        <f>IFERROR(__xludf.DUMMYFUNCTION("""COMPUTED_VALUE"""),1169.7)</f>
        <v/>
      </c>
      <c r="AH626" s="6">
        <f>AI626&amp;AJ626</f>
        <v/>
      </c>
      <c r="AI626" s="6">
        <f>YEAR(AK626)</f>
        <v/>
      </c>
      <c r="AJ626" s="6">
        <f>MONTH(AK626)</f>
        <v/>
      </c>
      <c r="AK626" s="267">
        <f>IFERROR(__xludf.DUMMYFUNCTION("""COMPUTED_VALUE"""),43718.9986111111)</f>
        <v/>
      </c>
      <c r="AL626" s="6">
        <f>IFERROR(__xludf.DUMMYFUNCTION("""COMPUTED_VALUE"""),10092.41)</f>
        <v/>
      </c>
      <c r="AP626" s="6">
        <f>AQ626&amp;AR626</f>
        <v/>
      </c>
      <c r="AQ626" s="6">
        <f>YEAR(AS626)</f>
        <v/>
      </c>
      <c r="AR626" s="6">
        <f>MONTH(AS626)</f>
        <v/>
      </c>
      <c r="AS626" s="267">
        <f>IFERROR(__xludf.DUMMYFUNCTION("""COMPUTED_VALUE"""),44014.9986111111)</f>
        <v/>
      </c>
      <c r="AT626" s="6">
        <f>IFERROR(__xludf.DUMMYFUNCTION("""COMPUTED_VALUE"""),1790)</f>
        <v/>
      </c>
    </row>
    <row r="627">
      <c r="B627" s="6">
        <f>C627&amp;D627</f>
        <v/>
      </c>
      <c r="C627" s="6">
        <f>YEAR(E627)</f>
        <v/>
      </c>
      <c r="D627" s="6">
        <f>MONTH(E627)</f>
        <v/>
      </c>
      <c r="E627" s="267">
        <f>IFERROR(__xludf.DUMMYFUNCTION("""COMPUTED_VALUE"""),44006.6666666666)</f>
        <v/>
      </c>
      <c r="F627" s="6">
        <f>IFERROR(__xludf.DUMMYFUNCTION("""COMPUTED_VALUE"""),3050.33)</f>
        <v/>
      </c>
      <c r="J627" s="6">
        <f>K627&amp;L627</f>
        <v/>
      </c>
      <c r="K627" s="6">
        <f>YEAR(M627)</f>
        <v/>
      </c>
      <c r="L627" s="6">
        <f>MONTH(M627)</f>
        <v/>
      </c>
      <c r="M627" s="267">
        <f>IFERROR(__xludf.DUMMYFUNCTION("""COMPUTED_VALUE"""),44000.6666666666)</f>
        <v/>
      </c>
      <c r="N627" s="6">
        <f>IFERROR(__xludf.DUMMYFUNCTION("""COMPUTED_VALUE"""),9943.05)</f>
        <v/>
      </c>
      <c r="R627" s="6">
        <f>S627&amp;T627</f>
        <v/>
      </c>
      <c r="S627" s="6">
        <f>YEAR(U627)</f>
        <v/>
      </c>
      <c r="T627" s="6">
        <f>MONTH(U627)</f>
        <v/>
      </c>
      <c r="U627" s="267">
        <f>IFERROR(__xludf.DUMMYFUNCTION("""COMPUTED_VALUE"""),44033.6458333333)</f>
        <v/>
      </c>
      <c r="V627" s="6">
        <f>IFERROR(__xludf.DUMMYFUNCTION("""COMPUTED_VALUE"""),2228.83)</f>
        <v/>
      </c>
      <c r="Z627" s="6">
        <f>AA627&amp;AB627</f>
        <v/>
      </c>
      <c r="AA627" s="6">
        <f>YEAR(AC627)</f>
        <v/>
      </c>
      <c r="AB627" s="6">
        <f>MONTH(AC627)</f>
        <v/>
      </c>
      <c r="AC627" s="267">
        <f>IFERROR(__xludf.DUMMYFUNCTION("""COMPUTED_VALUE"""),43762.9986111111)</f>
        <v/>
      </c>
      <c r="AD627" s="6">
        <f>IFERROR(__xludf.DUMMYFUNCTION("""COMPUTED_VALUE"""),1174.25)</f>
        <v/>
      </c>
      <c r="AH627" s="6">
        <f>AI627&amp;AJ627</f>
        <v/>
      </c>
      <c r="AI627" s="6">
        <f>YEAR(AK627)</f>
        <v/>
      </c>
      <c r="AJ627" s="6">
        <f>MONTH(AK627)</f>
        <v/>
      </c>
      <c r="AK627" s="267">
        <f>IFERROR(__xludf.DUMMYFUNCTION("""COMPUTED_VALUE"""),43719.9986111111)</f>
        <v/>
      </c>
      <c r="AL627" s="6">
        <f>IFERROR(__xludf.DUMMYFUNCTION("""COMPUTED_VALUE"""),10132.68)</f>
        <v/>
      </c>
      <c r="AP627" s="6">
        <f>AQ627&amp;AR627</f>
        <v/>
      </c>
      <c r="AQ627" s="6">
        <f>YEAR(AS627)</f>
        <v/>
      </c>
      <c r="AR627" s="6">
        <f>MONTH(AS627)</f>
        <v/>
      </c>
      <c r="AS627" s="267">
        <f>IFERROR(__xludf.DUMMYFUNCTION("""COMPUTED_VALUE"""),44018.9986111111)</f>
        <v/>
      </c>
      <c r="AT627" s="6">
        <f>IFERROR(__xludf.DUMMYFUNCTION("""COMPUTED_VALUE"""),1793.5)</f>
        <v/>
      </c>
    </row>
    <row r="628">
      <c r="B628" s="6">
        <f>C628&amp;D628</f>
        <v/>
      </c>
      <c r="C628" s="6">
        <f>YEAR(E628)</f>
        <v/>
      </c>
      <c r="D628" s="6">
        <f>MONTH(E628)</f>
        <v/>
      </c>
      <c r="E628" s="267">
        <f>IFERROR(__xludf.DUMMYFUNCTION("""COMPUTED_VALUE"""),44007.6666666666)</f>
        <v/>
      </c>
      <c r="F628" s="6">
        <f>IFERROR(__xludf.DUMMYFUNCTION("""COMPUTED_VALUE"""),3083.76)</f>
        <v/>
      </c>
      <c r="J628" s="6">
        <f>K628&amp;L628</f>
        <v/>
      </c>
      <c r="K628" s="6">
        <f>YEAR(M628)</f>
        <v/>
      </c>
      <c r="L628" s="6">
        <f>MONTH(M628)</f>
        <v/>
      </c>
      <c r="M628" s="267">
        <f>IFERROR(__xludf.DUMMYFUNCTION("""COMPUTED_VALUE"""),44001.6666666666)</f>
        <v/>
      </c>
      <c r="N628" s="6">
        <f>IFERROR(__xludf.DUMMYFUNCTION("""COMPUTED_VALUE"""),9946.12)</f>
        <v/>
      </c>
      <c r="R628" s="6">
        <f>S628&amp;T628</f>
        <v/>
      </c>
      <c r="S628" s="6">
        <f>YEAR(U628)</f>
        <v/>
      </c>
      <c r="T628" s="6">
        <f>MONTH(U628)</f>
        <v/>
      </c>
      <c r="U628" s="267">
        <f>IFERROR(__xludf.DUMMYFUNCTION("""COMPUTED_VALUE"""),44034.6458333333)</f>
        <v/>
      </c>
      <c r="V628" s="6">
        <f>IFERROR(__xludf.DUMMYFUNCTION("""COMPUTED_VALUE"""),2228.66)</f>
        <v/>
      </c>
      <c r="Z628" s="6">
        <f>AA628&amp;AB628</f>
        <v/>
      </c>
      <c r="AA628" s="6">
        <f>YEAR(AC628)</f>
        <v/>
      </c>
      <c r="AB628" s="6">
        <f>MONTH(AC628)</f>
        <v/>
      </c>
      <c r="AC628" s="267">
        <f>IFERROR(__xludf.DUMMYFUNCTION("""COMPUTED_VALUE"""),43763.9986111111)</f>
        <v/>
      </c>
      <c r="AD628" s="6">
        <f>IFERROR(__xludf.DUMMYFUNCTION("""COMPUTED_VALUE"""),1170.82)</f>
        <v/>
      </c>
      <c r="AH628" s="6">
        <f>AI628&amp;AJ628</f>
        <v/>
      </c>
      <c r="AI628" s="6">
        <f>YEAR(AK628)</f>
        <v/>
      </c>
      <c r="AJ628" s="6">
        <f>MONTH(AK628)</f>
        <v/>
      </c>
      <c r="AK628" s="267">
        <f>IFERROR(__xludf.DUMMYFUNCTION("""COMPUTED_VALUE"""),43720.9986111111)</f>
        <v/>
      </c>
      <c r="AL628" s="6">
        <f>IFERROR(__xludf.DUMMYFUNCTION("""COMPUTED_VALUE"""),10414.72)</f>
        <v/>
      </c>
      <c r="AP628" s="6">
        <f>AQ628&amp;AR628</f>
        <v/>
      </c>
      <c r="AQ628" s="6">
        <f>YEAR(AS628)</f>
        <v/>
      </c>
      <c r="AR628" s="6">
        <f>MONTH(AS628)</f>
        <v/>
      </c>
      <c r="AS628" s="267">
        <f>IFERROR(__xludf.DUMMYFUNCTION("""COMPUTED_VALUE"""),44019.9986111111)</f>
        <v/>
      </c>
      <c r="AT628" s="6">
        <f>IFERROR(__xludf.DUMMYFUNCTION("""COMPUTED_VALUE"""),1809.9)</f>
        <v/>
      </c>
    </row>
    <row r="629">
      <c r="B629" s="6">
        <f>C629&amp;D629</f>
        <v/>
      </c>
      <c r="C629" s="6">
        <f>YEAR(E629)</f>
        <v/>
      </c>
      <c r="D629" s="6">
        <f>MONTH(E629)</f>
        <v/>
      </c>
      <c r="E629" s="267">
        <f>IFERROR(__xludf.DUMMYFUNCTION("""COMPUTED_VALUE"""),44008.6666666666)</f>
        <v/>
      </c>
      <c r="F629" s="6">
        <f>IFERROR(__xludf.DUMMYFUNCTION("""COMPUTED_VALUE"""),3009.05)</f>
        <v/>
      </c>
      <c r="J629" s="6">
        <f>K629&amp;L629</f>
        <v/>
      </c>
      <c r="K629" s="6">
        <f>YEAR(M629)</f>
        <v/>
      </c>
      <c r="L629" s="6">
        <f>MONTH(M629)</f>
        <v/>
      </c>
      <c r="M629" s="267">
        <f>IFERROR(__xludf.DUMMYFUNCTION("""COMPUTED_VALUE"""),44004.6666666666)</f>
        <v/>
      </c>
      <c r="N629" s="6">
        <f>IFERROR(__xludf.DUMMYFUNCTION("""COMPUTED_VALUE"""),10056.48)</f>
        <v/>
      </c>
      <c r="R629" s="6">
        <f>S629&amp;T629</f>
        <v/>
      </c>
      <c r="S629" s="6">
        <f>YEAR(U629)</f>
        <v/>
      </c>
      <c r="T629" s="6">
        <f>MONTH(U629)</f>
        <v/>
      </c>
      <c r="U629" s="267">
        <f>IFERROR(__xludf.DUMMYFUNCTION("""COMPUTED_VALUE"""),44035.6458333333)</f>
        <v/>
      </c>
      <c r="V629" s="6">
        <f>IFERROR(__xludf.DUMMYFUNCTION("""COMPUTED_VALUE"""),2216.19)</f>
        <v/>
      </c>
      <c r="Z629" s="6">
        <f>AA629&amp;AB629</f>
        <v/>
      </c>
      <c r="AA629" s="6">
        <f>YEAR(AC629)</f>
        <v/>
      </c>
      <c r="AB629" s="6">
        <f>MONTH(AC629)</f>
        <v/>
      </c>
      <c r="AC629" s="267">
        <f>IFERROR(__xludf.DUMMYFUNCTION("""COMPUTED_VALUE"""),43764.9986111111)</f>
        <v/>
      </c>
      <c r="AD629" s="6">
        <f>IFERROR(__xludf.DUMMYFUNCTION("""COMPUTED_VALUE"""),1170.82)</f>
        <v/>
      </c>
      <c r="AH629" s="6">
        <f>AI629&amp;AJ629</f>
        <v/>
      </c>
      <c r="AI629" s="6">
        <f>YEAR(AK629)</f>
        <v/>
      </c>
      <c r="AJ629" s="6">
        <f>MONTH(AK629)</f>
        <v/>
      </c>
      <c r="AK629" s="267">
        <f>IFERROR(__xludf.DUMMYFUNCTION("""COMPUTED_VALUE"""),43721.9986111111)</f>
        <v/>
      </c>
      <c r="AL629" s="6">
        <f>IFERROR(__xludf.DUMMYFUNCTION("""COMPUTED_VALUE"""),10359.73)</f>
        <v/>
      </c>
      <c r="AP629" s="6">
        <f>AQ629&amp;AR629</f>
        <v/>
      </c>
      <c r="AQ629" s="6">
        <f>YEAR(AS629)</f>
        <v/>
      </c>
      <c r="AR629" s="6">
        <f>MONTH(AS629)</f>
        <v/>
      </c>
      <c r="AS629" s="267">
        <f>IFERROR(__xludf.DUMMYFUNCTION("""COMPUTED_VALUE"""),44020.9986111111)</f>
        <v/>
      </c>
      <c r="AT629" s="6">
        <f>IFERROR(__xludf.DUMMYFUNCTION("""COMPUTED_VALUE"""),1820.6)</f>
        <v/>
      </c>
    </row>
    <row r="630">
      <c r="B630" s="6">
        <f>C630&amp;D630</f>
        <v/>
      </c>
      <c r="C630" s="6">
        <f>YEAR(E630)</f>
        <v/>
      </c>
      <c r="D630" s="6">
        <f>MONTH(E630)</f>
        <v/>
      </c>
      <c r="E630" s="267">
        <f>IFERROR(__xludf.DUMMYFUNCTION("""COMPUTED_VALUE"""),44011.6666666666)</f>
        <v/>
      </c>
      <c r="F630" s="6">
        <f>IFERROR(__xludf.DUMMYFUNCTION("""COMPUTED_VALUE"""),3053.24)</f>
        <v/>
      </c>
      <c r="J630" s="6">
        <f>K630&amp;L630</f>
        <v/>
      </c>
      <c r="K630" s="6">
        <f>YEAR(M630)</f>
        <v/>
      </c>
      <c r="L630" s="6">
        <f>MONTH(M630)</f>
        <v/>
      </c>
      <c r="M630" s="267">
        <f>IFERROR(__xludf.DUMMYFUNCTION("""COMPUTED_VALUE"""),44005.6666666666)</f>
        <v/>
      </c>
      <c r="N630" s="6">
        <f>IFERROR(__xludf.DUMMYFUNCTION("""COMPUTED_VALUE"""),10131.37)</f>
        <v/>
      </c>
      <c r="R630" s="6">
        <f>S630&amp;T630</f>
        <v/>
      </c>
      <c r="S630" s="6">
        <f>YEAR(U630)</f>
        <v/>
      </c>
      <c r="T630" s="6">
        <f>MONTH(U630)</f>
        <v/>
      </c>
      <c r="U630" s="267">
        <f>IFERROR(__xludf.DUMMYFUNCTION("""COMPUTED_VALUE"""),44036.6458333333)</f>
        <v/>
      </c>
      <c r="V630" s="6">
        <f>IFERROR(__xludf.DUMMYFUNCTION("""COMPUTED_VALUE"""),2200.44)</f>
        <v/>
      </c>
      <c r="Z630" s="6">
        <f>AA630&amp;AB630</f>
        <v/>
      </c>
      <c r="AA630" s="6">
        <f>YEAR(AC630)</f>
        <v/>
      </c>
      <c r="AB630" s="6">
        <f>MONTH(AC630)</f>
        <v/>
      </c>
      <c r="AC630" s="267">
        <f>IFERROR(__xludf.DUMMYFUNCTION("""COMPUTED_VALUE"""),43765.9986111111)</f>
        <v/>
      </c>
      <c r="AD630" s="6">
        <f>IFERROR(__xludf.DUMMYFUNCTION("""COMPUTED_VALUE"""),1170.82)</f>
        <v/>
      </c>
      <c r="AH630" s="6">
        <f>AI630&amp;AJ630</f>
        <v/>
      </c>
      <c r="AI630" s="6">
        <f>YEAR(AK630)</f>
        <v/>
      </c>
      <c r="AJ630" s="6">
        <f>MONTH(AK630)</f>
        <v/>
      </c>
      <c r="AK630" s="267">
        <f>IFERROR(__xludf.DUMMYFUNCTION("""COMPUTED_VALUE"""),43722.9986111111)</f>
        <v/>
      </c>
      <c r="AL630" s="6">
        <f>IFERROR(__xludf.DUMMYFUNCTION("""COMPUTED_VALUE"""),10357.74)</f>
        <v/>
      </c>
      <c r="AP630" s="6">
        <f>AQ630&amp;AR630</f>
        <v/>
      </c>
      <c r="AQ630" s="6">
        <f>YEAR(AS630)</f>
        <v/>
      </c>
      <c r="AR630" s="6">
        <f>MONTH(AS630)</f>
        <v/>
      </c>
      <c r="AS630" s="267">
        <f>IFERROR(__xludf.DUMMYFUNCTION("""COMPUTED_VALUE"""),44021.9986111111)</f>
        <v/>
      </c>
      <c r="AT630" s="6">
        <f>IFERROR(__xludf.DUMMYFUNCTION("""COMPUTED_VALUE"""),1803.8)</f>
        <v/>
      </c>
    </row>
    <row r="631">
      <c r="B631" s="6">
        <f>C631&amp;D631</f>
        <v/>
      </c>
      <c r="C631" s="6">
        <f>YEAR(E631)</f>
        <v/>
      </c>
      <c r="D631" s="6">
        <f>MONTH(E631)</f>
        <v/>
      </c>
      <c r="E631" s="267">
        <f>IFERROR(__xludf.DUMMYFUNCTION("""COMPUTED_VALUE"""),44012.6666666666)</f>
        <v/>
      </c>
      <c r="F631" s="6">
        <f>IFERROR(__xludf.DUMMYFUNCTION("""COMPUTED_VALUE"""),3100.29)</f>
        <v/>
      </c>
      <c r="J631" s="6">
        <f>K631&amp;L631</f>
        <v/>
      </c>
      <c r="K631" s="6">
        <f>YEAR(M631)</f>
        <v/>
      </c>
      <c r="L631" s="6">
        <f>MONTH(M631)</f>
        <v/>
      </c>
      <c r="M631" s="267">
        <f>IFERROR(__xludf.DUMMYFUNCTION("""COMPUTED_VALUE"""),44006.6666666666)</f>
        <v/>
      </c>
      <c r="N631" s="6">
        <f>IFERROR(__xludf.DUMMYFUNCTION("""COMPUTED_VALUE"""),9909.17)</f>
        <v/>
      </c>
      <c r="R631" s="6">
        <f>S631&amp;T631</f>
        <v/>
      </c>
      <c r="S631" s="6">
        <f>YEAR(U631)</f>
        <v/>
      </c>
      <c r="T631" s="6">
        <f>MONTH(U631)</f>
        <v/>
      </c>
      <c r="U631" s="267">
        <f>IFERROR(__xludf.DUMMYFUNCTION("""COMPUTED_VALUE"""),44039.6458333333)</f>
        <v/>
      </c>
      <c r="V631" s="6">
        <f>IFERROR(__xludf.DUMMYFUNCTION("""COMPUTED_VALUE"""),2217.86)</f>
        <v/>
      </c>
      <c r="Z631" s="6">
        <f>AA631&amp;AB631</f>
        <v/>
      </c>
      <c r="AA631" s="6">
        <f>YEAR(AC631)</f>
        <v/>
      </c>
      <c r="AB631" s="6">
        <f>MONTH(AC631)</f>
        <v/>
      </c>
      <c r="AC631" s="267">
        <f>IFERROR(__xludf.DUMMYFUNCTION("""COMPUTED_VALUE"""),43766.9986111111)</f>
        <v/>
      </c>
      <c r="AD631" s="6">
        <f>IFERROR(__xludf.DUMMYFUNCTION("""COMPUTED_VALUE"""),1166.76)</f>
        <v/>
      </c>
      <c r="AH631" s="6">
        <f>AI631&amp;AJ631</f>
        <v/>
      </c>
      <c r="AI631" s="6">
        <f>YEAR(AK631)</f>
        <v/>
      </c>
      <c r="AJ631" s="6">
        <f>MONTH(AK631)</f>
        <v/>
      </c>
      <c r="AK631" s="267">
        <f>IFERROR(__xludf.DUMMYFUNCTION("""COMPUTED_VALUE"""),43723.9986111111)</f>
        <v/>
      </c>
      <c r="AL631" s="6">
        <f>IFERROR(__xludf.DUMMYFUNCTION("""COMPUTED_VALUE"""),10316.15)</f>
        <v/>
      </c>
      <c r="AP631" s="6">
        <f>AQ631&amp;AR631</f>
        <v/>
      </c>
      <c r="AQ631" s="6">
        <f>YEAR(AS631)</f>
        <v/>
      </c>
      <c r="AR631" s="6">
        <f>MONTH(AS631)</f>
        <v/>
      </c>
      <c r="AS631" s="267">
        <f>IFERROR(__xludf.DUMMYFUNCTION("""COMPUTED_VALUE"""),44022.9986111111)</f>
        <v/>
      </c>
      <c r="AT631" s="6">
        <f>IFERROR(__xludf.DUMMYFUNCTION("""COMPUTED_VALUE"""),1801.9)</f>
        <v/>
      </c>
    </row>
    <row r="632">
      <c r="B632" s="6">
        <f>C632&amp;D632</f>
        <v/>
      </c>
      <c r="C632" s="6">
        <f>YEAR(E632)</f>
        <v/>
      </c>
      <c r="D632" s="6">
        <f>MONTH(E632)</f>
        <v/>
      </c>
      <c r="E632" s="267">
        <f>IFERROR(__xludf.DUMMYFUNCTION("""COMPUTED_VALUE"""),44013.6666666666)</f>
        <v/>
      </c>
      <c r="F632" s="6">
        <f>IFERROR(__xludf.DUMMYFUNCTION("""COMPUTED_VALUE"""),3115.86)</f>
        <v/>
      </c>
      <c r="J632" s="6">
        <f>K632&amp;L632</f>
        <v/>
      </c>
      <c r="K632" s="6">
        <f>YEAR(M632)</f>
        <v/>
      </c>
      <c r="L632" s="6">
        <f>MONTH(M632)</f>
        <v/>
      </c>
      <c r="M632" s="267">
        <f>IFERROR(__xludf.DUMMYFUNCTION("""COMPUTED_VALUE"""),44007.6666666666)</f>
        <v/>
      </c>
      <c r="N632" s="6">
        <f>IFERROR(__xludf.DUMMYFUNCTION("""COMPUTED_VALUE"""),10017)</f>
        <v/>
      </c>
      <c r="R632" s="6">
        <f>S632&amp;T632</f>
        <v/>
      </c>
      <c r="S632" s="6">
        <f>YEAR(U632)</f>
        <v/>
      </c>
      <c r="T632" s="6">
        <f>MONTH(U632)</f>
        <v/>
      </c>
      <c r="U632" s="267">
        <f>IFERROR(__xludf.DUMMYFUNCTION("""COMPUTED_VALUE"""),44040.6458333333)</f>
        <v/>
      </c>
      <c r="V632" s="6">
        <f>IFERROR(__xludf.DUMMYFUNCTION("""COMPUTED_VALUE"""),2256.99)</f>
        <v/>
      </c>
      <c r="Z632" s="6">
        <f>AA632&amp;AB632</f>
        <v/>
      </c>
      <c r="AA632" s="6">
        <f>YEAR(AC632)</f>
        <v/>
      </c>
      <c r="AB632" s="6">
        <f>MONTH(AC632)</f>
        <v/>
      </c>
      <c r="AC632" s="267">
        <f>IFERROR(__xludf.DUMMYFUNCTION("""COMPUTED_VALUE"""),43767.9986111111)</f>
        <v/>
      </c>
      <c r="AD632" s="6">
        <f>IFERROR(__xludf.DUMMYFUNCTION("""COMPUTED_VALUE"""),1165.75)</f>
        <v/>
      </c>
      <c r="AH632" s="6">
        <f>AI632&amp;AJ632</f>
        <v/>
      </c>
      <c r="AI632" s="6">
        <f>YEAR(AK632)</f>
        <v/>
      </c>
      <c r="AJ632" s="6">
        <f>MONTH(AK632)</f>
        <v/>
      </c>
      <c r="AK632" s="267">
        <f>IFERROR(__xludf.DUMMYFUNCTION("""COMPUTED_VALUE"""),43724.9986111111)</f>
        <v/>
      </c>
      <c r="AL632" s="6">
        <f>IFERROR(__xludf.DUMMYFUNCTION("""COMPUTED_VALUE"""),10260.93)</f>
        <v/>
      </c>
      <c r="AP632" s="6">
        <f>AQ632&amp;AR632</f>
        <v/>
      </c>
      <c r="AQ632" s="6">
        <f>YEAR(AS632)</f>
        <v/>
      </c>
      <c r="AR632" s="6">
        <f>MONTH(AS632)</f>
        <v/>
      </c>
      <c r="AS632" s="267">
        <f>IFERROR(__xludf.DUMMYFUNCTION("""COMPUTED_VALUE"""),44025.9986111111)</f>
        <v/>
      </c>
      <c r="AT632" s="6">
        <f>IFERROR(__xludf.DUMMYFUNCTION("""COMPUTED_VALUE"""),1814.1)</f>
        <v/>
      </c>
    </row>
    <row r="633">
      <c r="B633" s="6">
        <f>C633&amp;D633</f>
        <v/>
      </c>
      <c r="C633" s="6">
        <f>YEAR(E633)</f>
        <v/>
      </c>
      <c r="D633" s="6">
        <f>MONTH(E633)</f>
        <v/>
      </c>
      <c r="E633" s="267">
        <f>IFERROR(__xludf.DUMMYFUNCTION("""COMPUTED_VALUE"""),44014.6666666666)</f>
        <v/>
      </c>
      <c r="F633" s="6">
        <f>IFERROR(__xludf.DUMMYFUNCTION("""COMPUTED_VALUE"""),3130.01)</f>
        <v/>
      </c>
      <c r="J633" s="6">
        <f>K633&amp;L633</f>
        <v/>
      </c>
      <c r="K633" s="6">
        <f>YEAR(M633)</f>
        <v/>
      </c>
      <c r="L633" s="6">
        <f>MONTH(M633)</f>
        <v/>
      </c>
      <c r="M633" s="267">
        <f>IFERROR(__xludf.DUMMYFUNCTION("""COMPUTED_VALUE"""),44008.6666666666)</f>
        <v/>
      </c>
      <c r="N633" s="6">
        <f>IFERROR(__xludf.DUMMYFUNCTION("""COMPUTED_VALUE"""),9757.22)</f>
        <v/>
      </c>
      <c r="R633" s="6">
        <f>S633&amp;T633</f>
        <v/>
      </c>
      <c r="S633" s="6">
        <f>YEAR(U633)</f>
        <v/>
      </c>
      <c r="T633" s="6">
        <f>MONTH(U633)</f>
        <v/>
      </c>
      <c r="U633" s="267">
        <f>IFERROR(__xludf.DUMMYFUNCTION("""COMPUTED_VALUE"""),44041.6458333333)</f>
        <v/>
      </c>
      <c r="V633" s="6">
        <f>IFERROR(__xludf.DUMMYFUNCTION("""COMPUTED_VALUE"""),2263.16)</f>
        <v/>
      </c>
      <c r="Z633" s="6">
        <f>AA633&amp;AB633</f>
        <v/>
      </c>
      <c r="AA633" s="6">
        <f>YEAR(AC633)</f>
        <v/>
      </c>
      <c r="AB633" s="6">
        <f>MONTH(AC633)</f>
        <v/>
      </c>
      <c r="AC633" s="267">
        <f>IFERROR(__xludf.DUMMYFUNCTION("""COMPUTED_VALUE"""),43768.9986111111)</f>
        <v/>
      </c>
      <c r="AD633" s="6">
        <f>IFERROR(__xludf.DUMMYFUNCTION("""COMPUTED_VALUE"""),1163.7)</f>
        <v/>
      </c>
      <c r="AH633" s="6">
        <f>AI633&amp;AJ633</f>
        <v/>
      </c>
      <c r="AI633" s="6">
        <f>YEAR(AK633)</f>
        <v/>
      </c>
      <c r="AJ633" s="6">
        <f>MONTH(AK633)</f>
        <v/>
      </c>
      <c r="AK633" s="267">
        <f>IFERROR(__xludf.DUMMYFUNCTION("""COMPUTED_VALUE"""),43725.9986111111)</f>
        <v/>
      </c>
      <c r="AL633" s="6">
        <f>IFERROR(__xludf.DUMMYFUNCTION("""COMPUTED_VALUE"""),10183.79)</f>
        <v/>
      </c>
      <c r="AP633" s="6">
        <f>AQ633&amp;AR633</f>
        <v/>
      </c>
      <c r="AQ633" s="6">
        <f>YEAR(AS633)</f>
        <v/>
      </c>
      <c r="AR633" s="6">
        <f>MONTH(AS633)</f>
        <v/>
      </c>
      <c r="AS633" s="267">
        <f>IFERROR(__xludf.DUMMYFUNCTION("""COMPUTED_VALUE"""),44026.9986111111)</f>
        <v/>
      </c>
      <c r="AT633" s="6">
        <f>IFERROR(__xludf.DUMMYFUNCTION("""COMPUTED_VALUE"""),1813.4)</f>
        <v/>
      </c>
    </row>
    <row r="634">
      <c r="B634" s="6">
        <f>C634&amp;D634</f>
        <v/>
      </c>
      <c r="C634" s="6">
        <f>YEAR(E634)</f>
        <v/>
      </c>
      <c r="D634" s="6">
        <f>MONTH(E634)</f>
        <v/>
      </c>
      <c r="E634" s="267">
        <f>IFERROR(__xludf.DUMMYFUNCTION("""COMPUTED_VALUE"""),44018.6666666666)</f>
        <v/>
      </c>
      <c r="F634" s="6">
        <f>IFERROR(__xludf.DUMMYFUNCTION("""COMPUTED_VALUE"""),3179.72)</f>
        <v/>
      </c>
      <c r="J634" s="6">
        <f>K634&amp;L634</f>
        <v/>
      </c>
      <c r="K634" s="6">
        <f>YEAR(M634)</f>
        <v/>
      </c>
      <c r="L634" s="6">
        <f>MONTH(M634)</f>
        <v/>
      </c>
      <c r="M634" s="267">
        <f>IFERROR(__xludf.DUMMYFUNCTION("""COMPUTED_VALUE"""),44011.6666666666)</f>
        <v/>
      </c>
      <c r="N634" s="6">
        <f>IFERROR(__xludf.DUMMYFUNCTION("""COMPUTED_VALUE"""),9874.15)</f>
        <v/>
      </c>
      <c r="R634" s="6">
        <f>S634&amp;T634</f>
        <v/>
      </c>
      <c r="S634" s="6">
        <f>YEAR(U634)</f>
        <v/>
      </c>
      <c r="T634" s="6">
        <f>MONTH(U634)</f>
        <v/>
      </c>
      <c r="U634" s="267">
        <f>IFERROR(__xludf.DUMMYFUNCTION("""COMPUTED_VALUE"""),44042.6458333333)</f>
        <v/>
      </c>
      <c r="V634" s="6">
        <f>IFERROR(__xludf.DUMMYFUNCTION("""COMPUTED_VALUE"""),2267.01)</f>
        <v/>
      </c>
      <c r="Z634" s="6">
        <f>AA634&amp;AB634</f>
        <v/>
      </c>
      <c r="AA634" s="6">
        <f>YEAR(AC634)</f>
        <v/>
      </c>
      <c r="AB634" s="6">
        <f>MONTH(AC634)</f>
        <v/>
      </c>
      <c r="AC634" s="267">
        <f>IFERROR(__xludf.DUMMYFUNCTION("""COMPUTED_VALUE"""),43769.9986111111)</f>
        <v/>
      </c>
      <c r="AD634" s="6">
        <f>IFERROR(__xludf.DUMMYFUNCTION("""COMPUTED_VALUE"""),1168.55)</f>
        <v/>
      </c>
      <c r="AH634" s="6">
        <f>AI634&amp;AJ634</f>
        <v/>
      </c>
      <c r="AI634" s="6">
        <f>YEAR(AK634)</f>
        <v/>
      </c>
      <c r="AJ634" s="6">
        <f>MONTH(AK634)</f>
        <v/>
      </c>
      <c r="AK634" s="267">
        <f>IFERROR(__xludf.DUMMYFUNCTION("""COMPUTED_VALUE"""),43726.9986111111)</f>
        <v/>
      </c>
      <c r="AL634" s="6">
        <f>IFERROR(__xludf.DUMMYFUNCTION("""COMPUTED_VALUE"""),10148.07)</f>
        <v/>
      </c>
      <c r="AP634" s="6">
        <f>AQ634&amp;AR634</f>
        <v/>
      </c>
      <c r="AQ634" s="6">
        <f>YEAR(AS634)</f>
        <v/>
      </c>
      <c r="AR634" s="6">
        <f>MONTH(AS634)</f>
        <v/>
      </c>
      <c r="AS634" s="267">
        <f>IFERROR(__xludf.DUMMYFUNCTION("""COMPUTED_VALUE"""),44027.9986111111)</f>
        <v/>
      </c>
      <c r="AT634" s="6">
        <f>IFERROR(__xludf.DUMMYFUNCTION("""COMPUTED_VALUE"""),1813.8)</f>
        <v/>
      </c>
    </row>
    <row r="635">
      <c r="B635" s="6">
        <f>C635&amp;D635</f>
        <v/>
      </c>
      <c r="C635" s="6">
        <f>YEAR(E635)</f>
        <v/>
      </c>
      <c r="D635" s="6">
        <f>MONTH(E635)</f>
        <v/>
      </c>
      <c r="E635" s="267">
        <f>IFERROR(__xludf.DUMMYFUNCTION("""COMPUTED_VALUE"""),44019.6666666666)</f>
        <v/>
      </c>
      <c r="F635" s="6">
        <f>IFERROR(__xludf.DUMMYFUNCTION("""COMPUTED_VALUE"""),3145.32)</f>
        <v/>
      </c>
      <c r="J635" s="6">
        <f>K635&amp;L635</f>
        <v/>
      </c>
      <c r="K635" s="6">
        <f>YEAR(M635)</f>
        <v/>
      </c>
      <c r="L635" s="6">
        <f>MONTH(M635)</f>
        <v/>
      </c>
      <c r="M635" s="267">
        <f>IFERROR(__xludf.DUMMYFUNCTION("""COMPUTED_VALUE"""),44012.6666666666)</f>
        <v/>
      </c>
      <c r="N635" s="6">
        <f>IFERROR(__xludf.DUMMYFUNCTION("""COMPUTED_VALUE"""),10058.77)</f>
        <v/>
      </c>
      <c r="R635" s="6">
        <f>S635&amp;T635</f>
        <v/>
      </c>
      <c r="S635" s="6">
        <f>YEAR(U635)</f>
        <v/>
      </c>
      <c r="T635" s="6">
        <f>MONTH(U635)</f>
        <v/>
      </c>
      <c r="U635" s="267">
        <f>IFERROR(__xludf.DUMMYFUNCTION("""COMPUTED_VALUE"""),44043.6458333333)</f>
        <v/>
      </c>
      <c r="V635" s="6">
        <f>IFERROR(__xludf.DUMMYFUNCTION("""COMPUTED_VALUE"""),2249.37)</f>
        <v/>
      </c>
      <c r="Z635" s="6">
        <f>AA635&amp;AB635</f>
        <v/>
      </c>
      <c r="AA635" s="6">
        <f>YEAR(AC635)</f>
        <v/>
      </c>
      <c r="AB635" s="6">
        <f>MONTH(AC635)</f>
        <v/>
      </c>
      <c r="AC635" s="267">
        <f>IFERROR(__xludf.DUMMYFUNCTION("""COMPUTED_VALUE"""),43770.9986111111)</f>
        <v/>
      </c>
      <c r="AD635" s="6">
        <f>IFERROR(__xludf.DUMMYFUNCTION("""COMPUTED_VALUE"""),1163.68)</f>
        <v/>
      </c>
      <c r="AH635" s="6">
        <f>AI635&amp;AJ635</f>
        <v/>
      </c>
      <c r="AI635" s="6">
        <f>YEAR(AK635)</f>
        <v/>
      </c>
      <c r="AJ635" s="6">
        <f>MONTH(AK635)</f>
        <v/>
      </c>
      <c r="AK635" s="267">
        <f>IFERROR(__xludf.DUMMYFUNCTION("""COMPUTED_VALUE"""),43727.9986111111)</f>
        <v/>
      </c>
      <c r="AL635" s="6">
        <f>IFERROR(__xludf.DUMMYFUNCTION("""COMPUTED_VALUE"""),10264.86)</f>
        <v/>
      </c>
      <c r="AP635" s="6">
        <f>AQ635&amp;AR635</f>
        <v/>
      </c>
      <c r="AQ635" s="6">
        <f>YEAR(AS635)</f>
        <v/>
      </c>
      <c r="AR635" s="6">
        <f>MONTH(AS635)</f>
        <v/>
      </c>
      <c r="AS635" s="267">
        <f>IFERROR(__xludf.DUMMYFUNCTION("""COMPUTED_VALUE"""),44028.9986111111)</f>
        <v/>
      </c>
      <c r="AT635" s="6">
        <f>IFERROR(__xludf.DUMMYFUNCTION("""COMPUTED_VALUE"""),1800.3)</f>
        <v/>
      </c>
    </row>
    <row r="636">
      <c r="B636" s="6">
        <f>C636&amp;D636</f>
        <v/>
      </c>
      <c r="C636" s="6">
        <f>YEAR(E636)</f>
        <v/>
      </c>
      <c r="D636" s="6">
        <f>MONTH(E636)</f>
        <v/>
      </c>
      <c r="E636" s="267">
        <f>IFERROR(__xludf.DUMMYFUNCTION("""COMPUTED_VALUE"""),44020.6666666666)</f>
        <v/>
      </c>
      <c r="F636" s="6">
        <f>IFERROR(__xludf.DUMMYFUNCTION("""COMPUTED_VALUE"""),3169.94)</f>
        <v/>
      </c>
      <c r="J636" s="6">
        <f>K636&amp;L636</f>
        <v/>
      </c>
      <c r="K636" s="6">
        <f>YEAR(M636)</f>
        <v/>
      </c>
      <c r="L636" s="6">
        <f>MONTH(M636)</f>
        <v/>
      </c>
      <c r="M636" s="267">
        <f>IFERROR(__xludf.DUMMYFUNCTION("""COMPUTED_VALUE"""),44013.6666666666)</f>
        <v/>
      </c>
      <c r="N636" s="6">
        <f>IFERROR(__xludf.DUMMYFUNCTION("""COMPUTED_VALUE"""),10154.63)</f>
        <v/>
      </c>
      <c r="R636" s="6">
        <f>S636&amp;T636</f>
        <v/>
      </c>
      <c r="S636" s="6">
        <f>YEAR(U636)</f>
        <v/>
      </c>
      <c r="T636" s="6">
        <f>MONTH(U636)</f>
        <v/>
      </c>
      <c r="U636" s="267">
        <f>IFERROR(__xludf.DUMMYFUNCTION("""COMPUTED_VALUE"""),44046.6458333333)</f>
        <v/>
      </c>
      <c r="V636" s="6">
        <f>IFERROR(__xludf.DUMMYFUNCTION("""COMPUTED_VALUE"""),2251.04)</f>
        <v/>
      </c>
      <c r="Z636" s="6">
        <f>AA636&amp;AB636</f>
        <v/>
      </c>
      <c r="AA636" s="6">
        <f>YEAR(AC636)</f>
        <v/>
      </c>
      <c r="AB636" s="6">
        <f>MONTH(AC636)</f>
        <v/>
      </c>
      <c r="AC636" s="267">
        <f>IFERROR(__xludf.DUMMYFUNCTION("""COMPUTED_VALUE"""),43771.9986111111)</f>
        <v/>
      </c>
      <c r="AD636" s="6">
        <f>IFERROR(__xludf.DUMMYFUNCTION("""COMPUTED_VALUE"""),1163.7)</f>
        <v/>
      </c>
      <c r="AH636" s="6">
        <f>AI636&amp;AJ636</f>
        <v/>
      </c>
      <c r="AI636" s="6">
        <f>YEAR(AK636)</f>
        <v/>
      </c>
      <c r="AJ636" s="6">
        <f>MONTH(AK636)</f>
        <v/>
      </c>
      <c r="AK636" s="267">
        <f>IFERROR(__xludf.DUMMYFUNCTION("""COMPUTED_VALUE"""),43728.9986111111)</f>
        <v/>
      </c>
      <c r="AL636" s="6">
        <f>IFERROR(__xludf.DUMMYFUNCTION("""COMPUTED_VALUE"""),10167.48)</f>
        <v/>
      </c>
      <c r="AP636" s="6">
        <f>AQ636&amp;AR636</f>
        <v/>
      </c>
      <c r="AQ636" s="6">
        <f>YEAR(AS636)</f>
        <v/>
      </c>
      <c r="AR636" s="6">
        <f>MONTH(AS636)</f>
        <v/>
      </c>
      <c r="AS636" s="267">
        <f>IFERROR(__xludf.DUMMYFUNCTION("""COMPUTED_VALUE"""),44029.9986111111)</f>
        <v/>
      </c>
      <c r="AT636" s="6">
        <f>IFERROR(__xludf.DUMMYFUNCTION("""COMPUTED_VALUE"""),1810)</f>
        <v/>
      </c>
    </row>
    <row r="637">
      <c r="B637" s="6">
        <f>C637&amp;D637</f>
        <v/>
      </c>
      <c r="C637" s="6">
        <f>YEAR(E637)</f>
        <v/>
      </c>
      <c r="D637" s="6">
        <f>MONTH(E637)</f>
        <v/>
      </c>
      <c r="E637" s="267">
        <f>IFERROR(__xludf.DUMMYFUNCTION("""COMPUTED_VALUE"""),44021.6666666666)</f>
        <v/>
      </c>
      <c r="F637" s="6">
        <f>IFERROR(__xludf.DUMMYFUNCTION("""COMPUTED_VALUE"""),3152.05)</f>
        <v/>
      </c>
      <c r="J637" s="6">
        <f>K637&amp;L637</f>
        <v/>
      </c>
      <c r="K637" s="6">
        <f>YEAR(M637)</f>
        <v/>
      </c>
      <c r="L637" s="6">
        <f>MONTH(M637)</f>
        <v/>
      </c>
      <c r="M637" s="267">
        <f>IFERROR(__xludf.DUMMYFUNCTION("""COMPUTED_VALUE"""),44014.6666666666)</f>
        <v/>
      </c>
      <c r="N637" s="6">
        <f>IFERROR(__xludf.DUMMYFUNCTION("""COMPUTED_VALUE"""),10207.63)</f>
        <v/>
      </c>
      <c r="R637" s="6">
        <f>S637&amp;T637</f>
        <v/>
      </c>
      <c r="S637" s="6">
        <f>YEAR(U637)</f>
        <v/>
      </c>
      <c r="T637" s="6">
        <f>MONTH(U637)</f>
        <v/>
      </c>
      <c r="U637" s="267">
        <f>IFERROR(__xludf.DUMMYFUNCTION("""COMPUTED_VALUE"""),44047.6458333333)</f>
        <v/>
      </c>
      <c r="V637" s="6">
        <f>IFERROR(__xludf.DUMMYFUNCTION("""COMPUTED_VALUE"""),2279.97)</f>
        <v/>
      </c>
      <c r="Z637" s="6">
        <f>AA637&amp;AB637</f>
        <v/>
      </c>
      <c r="AA637" s="6">
        <f>YEAR(AC637)</f>
        <v/>
      </c>
      <c r="AB637" s="6">
        <f>MONTH(AC637)</f>
        <v/>
      </c>
      <c r="AC637" s="267">
        <f>IFERROR(__xludf.DUMMYFUNCTION("""COMPUTED_VALUE"""),43772.9986111111)</f>
        <v/>
      </c>
      <c r="AD637" s="6">
        <f>IFERROR(__xludf.DUMMYFUNCTION("""COMPUTED_VALUE"""),1163.8)</f>
        <v/>
      </c>
      <c r="AH637" s="6">
        <f>AI637&amp;AJ637</f>
        <v/>
      </c>
      <c r="AI637" s="6">
        <f>YEAR(AK637)</f>
        <v/>
      </c>
      <c r="AJ637" s="6">
        <f>MONTH(AK637)</f>
        <v/>
      </c>
      <c r="AK637" s="267">
        <f>IFERROR(__xludf.DUMMYFUNCTION("""COMPUTED_VALUE"""),43729.9986111111)</f>
        <v/>
      </c>
      <c r="AL637" s="6">
        <f>IFERROR(__xludf.DUMMYFUNCTION("""COMPUTED_VALUE"""),9971.226)</f>
        <v/>
      </c>
      <c r="AP637" s="6">
        <f>AQ637&amp;AR637</f>
        <v/>
      </c>
      <c r="AQ637" s="6">
        <f>YEAR(AS637)</f>
        <v/>
      </c>
      <c r="AR637" s="6">
        <f>MONTH(AS637)</f>
        <v/>
      </c>
      <c r="AS637" s="267">
        <f>IFERROR(__xludf.DUMMYFUNCTION("""COMPUTED_VALUE"""),44032.9986111111)</f>
        <v/>
      </c>
      <c r="AT637" s="6">
        <f>IFERROR(__xludf.DUMMYFUNCTION("""COMPUTED_VALUE"""),1817.4)</f>
        <v/>
      </c>
    </row>
    <row r="638">
      <c r="B638" s="6">
        <f>C638&amp;D638</f>
        <v/>
      </c>
      <c r="C638" s="6">
        <f>YEAR(E638)</f>
        <v/>
      </c>
      <c r="D638" s="6">
        <f>MONTH(E638)</f>
        <v/>
      </c>
      <c r="E638" s="267">
        <f>IFERROR(__xludf.DUMMYFUNCTION("""COMPUTED_VALUE"""),44022.6666666666)</f>
        <v/>
      </c>
      <c r="F638" s="6">
        <f>IFERROR(__xludf.DUMMYFUNCTION("""COMPUTED_VALUE"""),3185.04)</f>
        <v/>
      </c>
      <c r="J638" s="6">
        <f>K638&amp;L638</f>
        <v/>
      </c>
      <c r="K638" s="6">
        <f>YEAR(M638)</f>
        <v/>
      </c>
      <c r="L638" s="6">
        <f>MONTH(M638)</f>
        <v/>
      </c>
      <c r="M638" s="267">
        <f>IFERROR(__xludf.DUMMYFUNCTION("""COMPUTED_VALUE"""),44018.6666666666)</f>
        <v/>
      </c>
      <c r="N638" s="6">
        <f>IFERROR(__xludf.DUMMYFUNCTION("""COMPUTED_VALUE"""),10433.65)</f>
        <v/>
      </c>
      <c r="R638" s="6">
        <f>S638&amp;T638</f>
        <v/>
      </c>
      <c r="S638" s="6">
        <f>YEAR(U638)</f>
        <v/>
      </c>
      <c r="T638" s="6">
        <f>MONTH(U638)</f>
        <v/>
      </c>
      <c r="U638" s="267">
        <f>IFERROR(__xludf.DUMMYFUNCTION("""COMPUTED_VALUE"""),44048.6458333333)</f>
        <v/>
      </c>
      <c r="V638" s="6">
        <f>IFERROR(__xludf.DUMMYFUNCTION("""COMPUTED_VALUE"""),2311.86)</f>
        <v/>
      </c>
      <c r="Z638" s="6">
        <f>AA638&amp;AB638</f>
        <v/>
      </c>
      <c r="AA638" s="6">
        <f>YEAR(AC638)</f>
        <v/>
      </c>
      <c r="AB638" s="6">
        <f>MONTH(AC638)</f>
        <v/>
      </c>
      <c r="AC638" s="267">
        <f>IFERROR(__xludf.DUMMYFUNCTION("""COMPUTED_VALUE"""),43773.9986111111)</f>
        <v/>
      </c>
      <c r="AD638" s="6">
        <f>IFERROR(__xludf.DUMMYFUNCTION("""COMPUTED_VALUE"""),1161.81)</f>
        <v/>
      </c>
      <c r="AH638" s="6">
        <f>AI638&amp;AJ638</f>
        <v/>
      </c>
      <c r="AI638" s="6">
        <f>YEAR(AK638)</f>
        <v/>
      </c>
      <c r="AJ638" s="6">
        <f>MONTH(AK638)</f>
        <v/>
      </c>
      <c r="AK638" s="267">
        <f>IFERROR(__xludf.DUMMYFUNCTION("""COMPUTED_VALUE"""),43730.9986111111)</f>
        <v/>
      </c>
      <c r="AL638" s="6">
        <f>IFERROR(__xludf.DUMMYFUNCTION("""COMPUTED_VALUE"""),10021.93)</f>
        <v/>
      </c>
      <c r="AP638" s="6">
        <f>AQ638&amp;AR638</f>
        <v/>
      </c>
      <c r="AQ638" s="6">
        <f>YEAR(AS638)</f>
        <v/>
      </c>
      <c r="AR638" s="6">
        <f>MONTH(AS638)</f>
        <v/>
      </c>
      <c r="AS638" s="267">
        <f>IFERROR(__xludf.DUMMYFUNCTION("""COMPUTED_VALUE"""),44033.9986111111)</f>
        <v/>
      </c>
      <c r="AT638" s="6">
        <f>IFERROR(__xludf.DUMMYFUNCTION("""COMPUTED_VALUE"""),1843.9)</f>
        <v/>
      </c>
    </row>
    <row r="639">
      <c r="B639" s="6">
        <f>C639&amp;D639</f>
        <v/>
      </c>
      <c r="C639" s="6">
        <f>YEAR(E639)</f>
        <v/>
      </c>
      <c r="D639" s="6">
        <f>MONTH(E639)</f>
        <v/>
      </c>
      <c r="E639" s="267">
        <f>IFERROR(__xludf.DUMMYFUNCTION("""COMPUTED_VALUE"""),44025.6666666666)</f>
        <v/>
      </c>
      <c r="F639" s="6">
        <f>IFERROR(__xludf.DUMMYFUNCTION("""COMPUTED_VALUE"""),3155.22)</f>
        <v/>
      </c>
      <c r="J639" s="6">
        <f>K639&amp;L639</f>
        <v/>
      </c>
      <c r="K639" s="6">
        <f>YEAR(M639)</f>
        <v/>
      </c>
      <c r="L639" s="6">
        <f>MONTH(M639)</f>
        <v/>
      </c>
      <c r="M639" s="267">
        <f>IFERROR(__xludf.DUMMYFUNCTION("""COMPUTED_VALUE"""),44019.6666666666)</f>
        <v/>
      </c>
      <c r="N639" s="6">
        <f>IFERROR(__xludf.DUMMYFUNCTION("""COMPUTED_VALUE"""),10343.89)</f>
        <v/>
      </c>
      <c r="R639" s="6">
        <f>S639&amp;T639</f>
        <v/>
      </c>
      <c r="S639" s="6">
        <f>YEAR(U639)</f>
        <v/>
      </c>
      <c r="T639" s="6">
        <f>MONTH(U639)</f>
        <v/>
      </c>
      <c r="U639" s="267">
        <f>IFERROR(__xludf.DUMMYFUNCTION("""COMPUTED_VALUE"""),44049.6458333333)</f>
        <v/>
      </c>
      <c r="V639" s="6">
        <f>IFERROR(__xludf.DUMMYFUNCTION("""COMPUTED_VALUE"""),2342.61)</f>
        <v/>
      </c>
      <c r="Z639" s="6">
        <f>AA639&amp;AB639</f>
        <v/>
      </c>
      <c r="AA639" s="6">
        <f>YEAR(AC639)</f>
        <v/>
      </c>
      <c r="AB639" s="6">
        <f>MONTH(AC639)</f>
        <v/>
      </c>
      <c r="AC639" s="267">
        <f>IFERROR(__xludf.DUMMYFUNCTION("""COMPUTED_VALUE"""),43774.9986111111)</f>
        <v/>
      </c>
      <c r="AD639" s="6">
        <f>IFERROR(__xludf.DUMMYFUNCTION("""COMPUTED_VALUE"""),1155.2)</f>
        <v/>
      </c>
      <c r="AH639" s="6">
        <f>AI639&amp;AJ639</f>
        <v/>
      </c>
      <c r="AI639" s="6">
        <f>YEAR(AK639)</f>
        <v/>
      </c>
      <c r="AJ639" s="6">
        <f>MONTH(AK639)</f>
        <v/>
      </c>
      <c r="AK639" s="267">
        <f>IFERROR(__xludf.DUMMYFUNCTION("""COMPUTED_VALUE"""),43731.9986111111)</f>
        <v/>
      </c>
      <c r="AL639" s="6">
        <f>IFERROR(__xludf.DUMMYFUNCTION("""COMPUTED_VALUE"""),9687.155)</f>
        <v/>
      </c>
      <c r="AP639" s="6">
        <f>AQ639&amp;AR639</f>
        <v/>
      </c>
      <c r="AQ639" s="6">
        <f>YEAR(AS639)</f>
        <v/>
      </c>
      <c r="AR639" s="6">
        <f>MONTH(AS639)</f>
        <v/>
      </c>
      <c r="AS639" s="267">
        <f>IFERROR(__xludf.DUMMYFUNCTION("""COMPUTED_VALUE"""),44034.9986111111)</f>
        <v/>
      </c>
      <c r="AT639" s="6">
        <f>IFERROR(__xludf.DUMMYFUNCTION("""COMPUTED_VALUE"""),1865.1)</f>
        <v/>
      </c>
    </row>
    <row r="640">
      <c r="B640" s="6">
        <f>C640&amp;D640</f>
        <v/>
      </c>
      <c r="C640" s="6">
        <f>YEAR(E640)</f>
        <v/>
      </c>
      <c r="D640" s="6">
        <f>MONTH(E640)</f>
        <v/>
      </c>
      <c r="E640" s="267">
        <f>IFERROR(__xludf.DUMMYFUNCTION("""COMPUTED_VALUE"""),44026.6666666666)</f>
        <v/>
      </c>
      <c r="F640" s="6">
        <f>IFERROR(__xludf.DUMMYFUNCTION("""COMPUTED_VALUE"""),3197.52)</f>
        <v/>
      </c>
      <c r="J640" s="6">
        <f>K640&amp;L640</f>
        <v/>
      </c>
      <c r="K640" s="6">
        <f>YEAR(M640)</f>
        <v/>
      </c>
      <c r="L640" s="6">
        <f>MONTH(M640)</f>
        <v/>
      </c>
      <c r="M640" s="267">
        <f>IFERROR(__xludf.DUMMYFUNCTION("""COMPUTED_VALUE"""),44020.6666666666)</f>
        <v/>
      </c>
      <c r="N640" s="6">
        <f>IFERROR(__xludf.DUMMYFUNCTION("""COMPUTED_VALUE"""),10492.5)</f>
        <v/>
      </c>
      <c r="R640" s="6">
        <f>S640&amp;T640</f>
        <v/>
      </c>
      <c r="S640" s="6">
        <f>YEAR(U640)</f>
        <v/>
      </c>
      <c r="T640" s="6">
        <f>MONTH(U640)</f>
        <v/>
      </c>
      <c r="U640" s="267">
        <f>IFERROR(__xludf.DUMMYFUNCTION("""COMPUTED_VALUE"""),44050.6458333333)</f>
        <v/>
      </c>
      <c r="V640" s="6">
        <f>IFERROR(__xludf.DUMMYFUNCTION("""COMPUTED_VALUE"""),2351.67)</f>
        <v/>
      </c>
      <c r="Z640" s="6">
        <f>AA640&amp;AB640</f>
        <v/>
      </c>
      <c r="AA640" s="6">
        <f>YEAR(AC640)</f>
        <v/>
      </c>
      <c r="AB640" s="6">
        <f>MONTH(AC640)</f>
        <v/>
      </c>
      <c r="AC640" s="267">
        <f>IFERROR(__xludf.DUMMYFUNCTION("""COMPUTED_VALUE"""),43775.9986111111)</f>
        <v/>
      </c>
      <c r="AD640" s="6">
        <f>IFERROR(__xludf.DUMMYFUNCTION("""COMPUTED_VALUE"""),1160.08)</f>
        <v/>
      </c>
      <c r="AH640" s="6">
        <f>AI640&amp;AJ640</f>
        <v/>
      </c>
      <c r="AI640" s="6">
        <f>YEAR(AK640)</f>
        <v/>
      </c>
      <c r="AJ640" s="6">
        <f>MONTH(AK640)</f>
        <v/>
      </c>
      <c r="AK640" s="267">
        <f>IFERROR(__xludf.DUMMYFUNCTION("""COMPUTED_VALUE"""),43732.9986111111)</f>
        <v/>
      </c>
      <c r="AL640" s="6">
        <f>IFERROR(__xludf.DUMMYFUNCTION("""COMPUTED_VALUE"""),8534.465)</f>
        <v/>
      </c>
      <c r="AP640" s="6">
        <f>AQ640&amp;AR640</f>
        <v/>
      </c>
      <c r="AQ640" s="6">
        <f>YEAR(AS640)</f>
        <v/>
      </c>
      <c r="AR640" s="6">
        <f>MONTH(AS640)</f>
        <v/>
      </c>
      <c r="AS640" s="267">
        <f>IFERROR(__xludf.DUMMYFUNCTION("""COMPUTED_VALUE"""),44035.9986111111)</f>
        <v/>
      </c>
      <c r="AT640" s="6">
        <f>IFERROR(__xludf.DUMMYFUNCTION("""COMPUTED_VALUE"""),1890)</f>
        <v/>
      </c>
    </row>
    <row r="641">
      <c r="B641" s="6">
        <f>C641&amp;D641</f>
        <v/>
      </c>
      <c r="C641" s="6">
        <f>YEAR(E641)</f>
        <v/>
      </c>
      <c r="D641" s="6">
        <f>MONTH(E641)</f>
        <v/>
      </c>
      <c r="E641" s="267">
        <f>IFERROR(__xludf.DUMMYFUNCTION("""COMPUTED_VALUE"""),44027.6666666666)</f>
        <v/>
      </c>
      <c r="F641" s="6">
        <f>IFERROR(__xludf.DUMMYFUNCTION("""COMPUTED_VALUE"""),3226.56)</f>
        <v/>
      </c>
      <c r="J641" s="6">
        <f>K641&amp;L641</f>
        <v/>
      </c>
      <c r="K641" s="6">
        <f>YEAR(M641)</f>
        <v/>
      </c>
      <c r="L641" s="6">
        <f>MONTH(M641)</f>
        <v/>
      </c>
      <c r="M641" s="267">
        <f>IFERROR(__xludf.DUMMYFUNCTION("""COMPUTED_VALUE"""),44021.6666666666)</f>
        <v/>
      </c>
      <c r="N641" s="6">
        <f>IFERROR(__xludf.DUMMYFUNCTION("""COMPUTED_VALUE"""),10547.75)</f>
        <v/>
      </c>
      <c r="R641" s="6">
        <f>S641&amp;T641</f>
        <v/>
      </c>
      <c r="S641" s="6">
        <f>YEAR(U641)</f>
        <v/>
      </c>
      <c r="T641" s="6">
        <f>MONTH(U641)</f>
        <v/>
      </c>
      <c r="U641" s="267">
        <f>IFERROR(__xludf.DUMMYFUNCTION("""COMPUTED_VALUE"""),44053.6458333333)</f>
        <v/>
      </c>
      <c r="V641" s="6">
        <f>IFERROR(__xludf.DUMMYFUNCTION("""COMPUTED_VALUE"""),2386.38)</f>
        <v/>
      </c>
      <c r="Z641" s="6">
        <f>AA641&amp;AB641</f>
        <v/>
      </c>
      <c r="AA641" s="6">
        <f>YEAR(AC641)</f>
        <v/>
      </c>
      <c r="AB641" s="6">
        <f>MONTH(AC641)</f>
        <v/>
      </c>
      <c r="AC641" s="267">
        <f>IFERROR(__xludf.DUMMYFUNCTION("""COMPUTED_VALUE"""),43776.9986111111)</f>
        <v/>
      </c>
      <c r="AD641" s="6">
        <f>IFERROR(__xludf.DUMMYFUNCTION("""COMPUTED_VALUE"""),1153.77)</f>
        <v/>
      </c>
      <c r="AH641" s="6">
        <f>AI641&amp;AJ641</f>
        <v/>
      </c>
      <c r="AI641" s="6">
        <f>YEAR(AK641)</f>
        <v/>
      </c>
      <c r="AJ641" s="6">
        <f>MONTH(AK641)</f>
        <v/>
      </c>
      <c r="AK641" s="267">
        <f>IFERROR(__xludf.DUMMYFUNCTION("""COMPUTED_VALUE"""),43733.9986111111)</f>
        <v/>
      </c>
      <c r="AL641" s="6">
        <f>IFERROR(__xludf.DUMMYFUNCTION("""COMPUTED_VALUE"""),8433.447)</f>
        <v/>
      </c>
      <c r="AP641" s="6">
        <f>AQ641&amp;AR641</f>
        <v/>
      </c>
      <c r="AQ641" s="6">
        <f>YEAR(AS641)</f>
        <v/>
      </c>
      <c r="AR641" s="6">
        <f>MONTH(AS641)</f>
        <v/>
      </c>
      <c r="AS641" s="267">
        <f>IFERROR(__xludf.DUMMYFUNCTION("""COMPUTED_VALUE"""),44036.9986111111)</f>
        <v/>
      </c>
      <c r="AT641" s="6">
        <f>IFERROR(__xludf.DUMMYFUNCTION("""COMPUTED_VALUE"""),1925.2)</f>
        <v/>
      </c>
    </row>
    <row r="642">
      <c r="B642" s="6">
        <f>C642&amp;D642</f>
        <v/>
      </c>
      <c r="C642" s="6">
        <f>YEAR(E642)</f>
        <v/>
      </c>
      <c r="D642" s="6">
        <f>MONTH(E642)</f>
        <v/>
      </c>
      <c r="E642" s="267">
        <f>IFERROR(__xludf.DUMMYFUNCTION("""COMPUTED_VALUE"""),44028.6666666666)</f>
        <v/>
      </c>
      <c r="F642" s="6">
        <f>IFERROR(__xludf.DUMMYFUNCTION("""COMPUTED_VALUE"""),3215.57)</f>
        <v/>
      </c>
      <c r="J642" s="6">
        <f>K642&amp;L642</f>
        <v/>
      </c>
      <c r="K642" s="6">
        <f>YEAR(M642)</f>
        <v/>
      </c>
      <c r="L642" s="6">
        <f>MONTH(M642)</f>
        <v/>
      </c>
      <c r="M642" s="267">
        <f>IFERROR(__xludf.DUMMYFUNCTION("""COMPUTED_VALUE"""),44022.6666666666)</f>
        <v/>
      </c>
      <c r="N642" s="6">
        <f>IFERROR(__xludf.DUMMYFUNCTION("""COMPUTED_VALUE"""),10617.44)</f>
        <v/>
      </c>
      <c r="R642" s="6">
        <f>S642&amp;T642</f>
        <v/>
      </c>
      <c r="S642" s="6">
        <f>YEAR(U642)</f>
        <v/>
      </c>
      <c r="T642" s="6">
        <f>MONTH(U642)</f>
        <v/>
      </c>
      <c r="U642" s="267">
        <f>IFERROR(__xludf.DUMMYFUNCTION("""COMPUTED_VALUE"""),44054.6458333333)</f>
        <v/>
      </c>
      <c r="V642" s="6">
        <f>IFERROR(__xludf.DUMMYFUNCTION("""COMPUTED_VALUE"""),2418.67)</f>
        <v/>
      </c>
      <c r="Z642" s="6">
        <f>AA642&amp;AB642</f>
        <v/>
      </c>
      <c r="AA642" s="6">
        <f>YEAR(AC642)</f>
        <v/>
      </c>
      <c r="AB642" s="6">
        <f>MONTH(AC642)</f>
        <v/>
      </c>
      <c r="AC642" s="267">
        <f>IFERROR(__xludf.DUMMYFUNCTION("""COMPUTED_VALUE"""),43777.9986111111)</f>
        <v/>
      </c>
      <c r="AD642" s="6">
        <f>IFERROR(__xludf.DUMMYFUNCTION("""COMPUTED_VALUE"""),1158.6)</f>
        <v/>
      </c>
      <c r="AH642" s="6">
        <f>AI642&amp;AJ642</f>
        <v/>
      </c>
      <c r="AI642" s="6">
        <f>YEAR(AK642)</f>
        <v/>
      </c>
      <c r="AJ642" s="6">
        <f>MONTH(AK642)</f>
        <v/>
      </c>
      <c r="AK642" s="267">
        <f>IFERROR(__xludf.DUMMYFUNCTION("""COMPUTED_VALUE"""),43734.9986111111)</f>
        <v/>
      </c>
      <c r="AL642" s="6">
        <f>IFERROR(__xludf.DUMMYFUNCTION("""COMPUTED_VALUE"""),8057.581)</f>
        <v/>
      </c>
      <c r="AP642" s="6">
        <f>AQ642&amp;AR642</f>
        <v/>
      </c>
      <c r="AQ642" s="6">
        <f>YEAR(AS642)</f>
        <v/>
      </c>
      <c r="AR642" s="6">
        <f>MONTH(AS642)</f>
        <v/>
      </c>
      <c r="AS642" s="267">
        <f>IFERROR(__xludf.DUMMYFUNCTION("""COMPUTED_VALUE"""),44039.9986111111)</f>
        <v/>
      </c>
      <c r="AT642" s="6">
        <f>IFERROR(__xludf.DUMMYFUNCTION("""COMPUTED_VALUE"""),1955.4)</f>
        <v/>
      </c>
    </row>
    <row r="643">
      <c r="B643" s="6">
        <f>C643&amp;D643</f>
        <v/>
      </c>
      <c r="C643" s="6">
        <f>YEAR(E643)</f>
        <v/>
      </c>
      <c r="D643" s="6">
        <f>MONTH(E643)</f>
        <v/>
      </c>
      <c r="E643" s="267">
        <f>IFERROR(__xludf.DUMMYFUNCTION("""COMPUTED_VALUE"""),44029.6666666666)</f>
        <v/>
      </c>
      <c r="F643" s="6">
        <f>IFERROR(__xludf.DUMMYFUNCTION("""COMPUTED_VALUE"""),3224.73)</f>
        <v/>
      </c>
      <c r="J643" s="6">
        <f>K643&amp;L643</f>
        <v/>
      </c>
      <c r="K643" s="6">
        <f>YEAR(M643)</f>
        <v/>
      </c>
      <c r="L643" s="6">
        <f>MONTH(M643)</f>
        <v/>
      </c>
      <c r="M643" s="267">
        <f>IFERROR(__xludf.DUMMYFUNCTION("""COMPUTED_VALUE"""),44025.6666666666)</f>
        <v/>
      </c>
      <c r="N643" s="6">
        <f>IFERROR(__xludf.DUMMYFUNCTION("""COMPUTED_VALUE"""),10390.84)</f>
        <v/>
      </c>
      <c r="R643" s="6">
        <f>S643&amp;T643</f>
        <v/>
      </c>
      <c r="S643" s="6">
        <f>YEAR(U643)</f>
        <v/>
      </c>
      <c r="T643" s="6">
        <f>MONTH(U643)</f>
        <v/>
      </c>
      <c r="U643" s="267">
        <f>IFERROR(__xludf.DUMMYFUNCTION("""COMPUTED_VALUE"""),44055.6458333333)</f>
        <v/>
      </c>
      <c r="V643" s="6">
        <f>IFERROR(__xludf.DUMMYFUNCTION("""COMPUTED_VALUE"""),2432.35)</f>
        <v/>
      </c>
      <c r="Z643" s="6">
        <f>AA643&amp;AB643</f>
        <v/>
      </c>
      <c r="AA643" s="6">
        <f>YEAR(AC643)</f>
        <v/>
      </c>
      <c r="AB643" s="6">
        <f>MONTH(AC643)</f>
        <v/>
      </c>
      <c r="AC643" s="267">
        <f>IFERROR(__xludf.DUMMYFUNCTION("""COMPUTED_VALUE"""),43778.9986111111)</f>
        <v/>
      </c>
      <c r="AD643" s="6">
        <f>IFERROR(__xludf.DUMMYFUNCTION("""COMPUTED_VALUE"""),1158.682)</f>
        <v/>
      </c>
      <c r="AH643" s="6">
        <f>AI643&amp;AJ643</f>
        <v/>
      </c>
      <c r="AI643" s="6">
        <f>YEAR(AK643)</f>
        <v/>
      </c>
      <c r="AJ643" s="6">
        <f>MONTH(AK643)</f>
        <v/>
      </c>
      <c r="AK643" s="267">
        <f>IFERROR(__xludf.DUMMYFUNCTION("""COMPUTED_VALUE"""),43735.9986111111)</f>
        <v/>
      </c>
      <c r="AL643" s="6">
        <f>IFERROR(__xludf.DUMMYFUNCTION("""COMPUTED_VALUE"""),8204.702)</f>
        <v/>
      </c>
      <c r="AP643" s="6">
        <f>AQ643&amp;AR643</f>
        <v/>
      </c>
      <c r="AQ643" s="6">
        <f>YEAR(AS643)</f>
        <v/>
      </c>
      <c r="AR643" s="6">
        <f>MONTH(AS643)</f>
        <v/>
      </c>
      <c r="AS643" s="267">
        <f>IFERROR(__xludf.DUMMYFUNCTION("""COMPUTED_VALUE"""),44040.9986111111)</f>
        <v/>
      </c>
      <c r="AT643" s="6">
        <f>IFERROR(__xludf.DUMMYFUNCTION("""COMPUTED_VALUE"""),1963.9)</f>
        <v/>
      </c>
    </row>
    <row r="644">
      <c r="B644" s="6">
        <f>C644&amp;D644</f>
        <v/>
      </c>
      <c r="C644" s="6">
        <f>YEAR(E644)</f>
        <v/>
      </c>
      <c r="D644" s="6">
        <f>MONTH(E644)</f>
        <v/>
      </c>
      <c r="E644" s="267">
        <f>IFERROR(__xludf.DUMMYFUNCTION("""COMPUTED_VALUE"""),44032.6666666666)</f>
        <v/>
      </c>
      <c r="F644" s="6">
        <f>IFERROR(__xludf.DUMMYFUNCTION("""COMPUTED_VALUE"""),3251.84)</f>
        <v/>
      </c>
      <c r="J644" s="6">
        <f>K644&amp;L644</f>
        <v/>
      </c>
      <c r="K644" s="6">
        <f>YEAR(M644)</f>
        <v/>
      </c>
      <c r="L644" s="6">
        <f>MONTH(M644)</f>
        <v/>
      </c>
      <c r="M644" s="267">
        <f>IFERROR(__xludf.DUMMYFUNCTION("""COMPUTED_VALUE"""),44026.6666666666)</f>
        <v/>
      </c>
      <c r="N644" s="6">
        <f>IFERROR(__xludf.DUMMYFUNCTION("""COMPUTED_VALUE"""),10488.58)</f>
        <v/>
      </c>
      <c r="R644" s="6">
        <f>S644&amp;T644</f>
        <v/>
      </c>
      <c r="S644" s="6">
        <f>YEAR(U644)</f>
        <v/>
      </c>
      <c r="T644" s="6">
        <f>MONTH(U644)</f>
        <v/>
      </c>
      <c r="U644" s="267">
        <f>IFERROR(__xludf.DUMMYFUNCTION("""COMPUTED_VALUE"""),44056.6458333333)</f>
        <v/>
      </c>
      <c r="V644" s="6">
        <f>IFERROR(__xludf.DUMMYFUNCTION("""COMPUTED_VALUE"""),2437.53)</f>
        <v/>
      </c>
      <c r="Z644" s="6">
        <f>AA644&amp;AB644</f>
        <v/>
      </c>
      <c r="AA644" s="6">
        <f>YEAR(AC644)</f>
        <v/>
      </c>
      <c r="AB644" s="6">
        <f>MONTH(AC644)</f>
        <v/>
      </c>
      <c r="AC644" s="267">
        <f>IFERROR(__xludf.DUMMYFUNCTION("""COMPUTED_VALUE"""),43780.9986111111)</f>
        <v/>
      </c>
      <c r="AD644" s="6">
        <f>IFERROR(__xludf.DUMMYFUNCTION("""COMPUTED_VALUE"""),1163.9)</f>
        <v/>
      </c>
      <c r="AH644" s="6">
        <f>AI644&amp;AJ644</f>
        <v/>
      </c>
      <c r="AI644" s="6">
        <f>YEAR(AK644)</f>
        <v/>
      </c>
      <c r="AJ644" s="6">
        <f>MONTH(AK644)</f>
        <v/>
      </c>
      <c r="AK644" s="267">
        <f>IFERROR(__xludf.DUMMYFUNCTION("""COMPUTED_VALUE"""),43736.9986111111)</f>
        <v/>
      </c>
      <c r="AL644" s="6">
        <f>IFERROR(__xludf.DUMMYFUNCTION("""COMPUTED_VALUE"""),8197.79)</f>
        <v/>
      </c>
      <c r="AP644" s="6">
        <f>AQ644&amp;AR644</f>
        <v/>
      </c>
      <c r="AQ644" s="6">
        <f>YEAR(AS644)</f>
        <v/>
      </c>
      <c r="AR644" s="6">
        <f>MONTH(AS644)</f>
        <v/>
      </c>
      <c r="AS644" s="267">
        <f>IFERROR(__xludf.DUMMYFUNCTION("""COMPUTED_VALUE"""),44041.9986111111)</f>
        <v/>
      </c>
      <c r="AT644" s="6">
        <f>IFERROR(__xludf.DUMMYFUNCTION("""COMPUTED_VALUE"""),1976.7)</f>
        <v/>
      </c>
    </row>
    <row r="645">
      <c r="B645" s="6">
        <f>C645&amp;D645</f>
        <v/>
      </c>
      <c r="C645" s="6">
        <f>YEAR(E645)</f>
        <v/>
      </c>
      <c r="D645" s="6">
        <f>MONTH(E645)</f>
        <v/>
      </c>
      <c r="E645" s="267">
        <f>IFERROR(__xludf.DUMMYFUNCTION("""COMPUTED_VALUE"""),44033.6666666666)</f>
        <v/>
      </c>
      <c r="F645" s="6">
        <f>IFERROR(__xludf.DUMMYFUNCTION("""COMPUTED_VALUE"""),3257.3)</f>
        <v/>
      </c>
      <c r="J645" s="6">
        <f>K645&amp;L645</f>
        <v/>
      </c>
      <c r="K645" s="6">
        <f>YEAR(M645)</f>
        <v/>
      </c>
      <c r="L645" s="6">
        <f>MONTH(M645)</f>
        <v/>
      </c>
      <c r="M645" s="267">
        <f>IFERROR(__xludf.DUMMYFUNCTION("""COMPUTED_VALUE"""),44027.6666666666)</f>
        <v/>
      </c>
      <c r="N645" s="6">
        <f>IFERROR(__xludf.DUMMYFUNCTION("""COMPUTED_VALUE"""),10550.49)</f>
        <v/>
      </c>
      <c r="R645" s="6">
        <f>S645&amp;T645</f>
        <v/>
      </c>
      <c r="S645" s="6">
        <f>YEAR(U645)</f>
        <v/>
      </c>
      <c r="T645" s="6">
        <f>MONTH(U645)</f>
        <v/>
      </c>
      <c r="U645" s="267">
        <f>IFERROR(__xludf.DUMMYFUNCTION("""COMPUTED_VALUE"""),44057.6458333333)</f>
        <v/>
      </c>
      <c r="V645" s="6">
        <f>IFERROR(__xludf.DUMMYFUNCTION("""COMPUTED_VALUE"""),2407.49)</f>
        <v/>
      </c>
      <c r="Z645" s="6">
        <f>AA645&amp;AB645</f>
        <v/>
      </c>
      <c r="AA645" s="6">
        <f>YEAR(AC645)</f>
        <v/>
      </c>
      <c r="AB645" s="6">
        <f>MONTH(AC645)</f>
        <v/>
      </c>
      <c r="AC645" s="267">
        <f>IFERROR(__xludf.DUMMYFUNCTION("""COMPUTED_VALUE"""),43781.9986111111)</f>
        <v/>
      </c>
      <c r="AD645" s="6">
        <f>IFERROR(__xludf.DUMMYFUNCTION("""COMPUTED_VALUE"""),1164.95)</f>
        <v/>
      </c>
      <c r="AH645" s="6">
        <f>AI645&amp;AJ645</f>
        <v/>
      </c>
      <c r="AI645" s="6">
        <f>YEAR(AK645)</f>
        <v/>
      </c>
      <c r="AJ645" s="6">
        <f>MONTH(AK645)</f>
        <v/>
      </c>
      <c r="AK645" s="267">
        <f>IFERROR(__xludf.DUMMYFUNCTION("""COMPUTED_VALUE"""),43737.9986111111)</f>
        <v/>
      </c>
      <c r="AL645" s="6">
        <f>IFERROR(__xludf.DUMMYFUNCTION("""COMPUTED_VALUE"""),8056.601)</f>
        <v/>
      </c>
      <c r="AP645" s="6">
        <f>AQ645&amp;AR645</f>
        <v/>
      </c>
      <c r="AQ645" s="6">
        <f>YEAR(AS645)</f>
        <v/>
      </c>
      <c r="AR645" s="6">
        <f>MONTH(AS645)</f>
        <v/>
      </c>
      <c r="AS645" s="267">
        <f>IFERROR(__xludf.DUMMYFUNCTION("""COMPUTED_VALUE"""),44042.9986111111)</f>
        <v/>
      </c>
      <c r="AT645" s="6">
        <f>IFERROR(__xludf.DUMMYFUNCTION("""COMPUTED_VALUE"""),1966.8)</f>
        <v/>
      </c>
    </row>
    <row r="646">
      <c r="B646" s="6">
        <f>C646&amp;D646</f>
        <v/>
      </c>
      <c r="C646" s="6">
        <f>YEAR(E646)</f>
        <v/>
      </c>
      <c r="D646" s="6">
        <f>MONTH(E646)</f>
        <v/>
      </c>
      <c r="E646" s="267">
        <f>IFERROR(__xludf.DUMMYFUNCTION("""COMPUTED_VALUE"""),44034.6666666666)</f>
        <v/>
      </c>
      <c r="F646" s="6">
        <f>IFERROR(__xludf.DUMMYFUNCTION("""COMPUTED_VALUE"""),3276.02)</f>
        <v/>
      </c>
      <c r="J646" s="6">
        <f>K646&amp;L646</f>
        <v/>
      </c>
      <c r="K646" s="6">
        <f>YEAR(M646)</f>
        <v/>
      </c>
      <c r="L646" s="6">
        <f>MONTH(M646)</f>
        <v/>
      </c>
      <c r="M646" s="267">
        <f>IFERROR(__xludf.DUMMYFUNCTION("""COMPUTED_VALUE"""),44028.6666666666)</f>
        <v/>
      </c>
      <c r="N646" s="6">
        <f>IFERROR(__xludf.DUMMYFUNCTION("""COMPUTED_VALUE"""),10473.83)</f>
        <v/>
      </c>
      <c r="R646" s="6">
        <f>S646&amp;T646</f>
        <v/>
      </c>
      <c r="S646" s="6">
        <f>YEAR(U646)</f>
        <v/>
      </c>
      <c r="T646" s="6">
        <f>MONTH(U646)</f>
        <v/>
      </c>
      <c r="U646" s="267">
        <f>IFERROR(__xludf.DUMMYFUNCTION("""COMPUTED_VALUE"""),44061.6458333333)</f>
        <v/>
      </c>
      <c r="V646" s="6">
        <f>IFERROR(__xludf.DUMMYFUNCTION("""COMPUTED_VALUE"""),2348.24)</f>
        <v/>
      </c>
      <c r="Z646" s="6">
        <f>AA646&amp;AB646</f>
        <v/>
      </c>
      <c r="AA646" s="6">
        <f>YEAR(AC646)</f>
        <v/>
      </c>
      <c r="AB646" s="6">
        <f>MONTH(AC646)</f>
        <v/>
      </c>
      <c r="AC646" s="267">
        <f>IFERROR(__xludf.DUMMYFUNCTION("""COMPUTED_VALUE"""),43782.9986111111)</f>
        <v/>
      </c>
      <c r="AD646" s="6">
        <f>IFERROR(__xludf.DUMMYFUNCTION("""COMPUTED_VALUE"""),1169.86)</f>
        <v/>
      </c>
      <c r="AH646" s="6">
        <f>AI646&amp;AJ646</f>
        <v/>
      </c>
      <c r="AI646" s="6">
        <f>YEAR(AK646)</f>
        <v/>
      </c>
      <c r="AJ646" s="6">
        <f>MONTH(AK646)</f>
        <v/>
      </c>
      <c r="AK646" s="267">
        <f>IFERROR(__xludf.DUMMYFUNCTION("""COMPUTED_VALUE"""),43738.9986111111)</f>
        <v/>
      </c>
      <c r="AL646" s="6">
        <f>IFERROR(__xludf.DUMMYFUNCTION("""COMPUTED_VALUE"""),8296.118)</f>
        <v/>
      </c>
      <c r="AP646" s="6">
        <f>AQ646&amp;AR646</f>
        <v/>
      </c>
      <c r="AQ646" s="6">
        <f>YEAR(AS646)</f>
        <v/>
      </c>
      <c r="AR646" s="6">
        <f>MONTH(AS646)</f>
        <v/>
      </c>
      <c r="AS646" s="267">
        <f>IFERROR(__xludf.DUMMYFUNCTION("""COMPUTED_VALUE"""),44043.9986111111)</f>
        <v/>
      </c>
      <c r="AT646" s="6">
        <f>IFERROR(__xludf.DUMMYFUNCTION("""COMPUTED_VALUE"""),1985.9)</f>
        <v/>
      </c>
    </row>
    <row r="647">
      <c r="B647" s="6">
        <f>C647&amp;D647</f>
        <v/>
      </c>
      <c r="C647" s="6">
        <f>YEAR(E647)</f>
        <v/>
      </c>
      <c r="D647" s="6">
        <f>MONTH(E647)</f>
        <v/>
      </c>
      <c r="E647" s="267">
        <f>IFERROR(__xludf.DUMMYFUNCTION("""COMPUTED_VALUE"""),44035.6666666666)</f>
        <v/>
      </c>
      <c r="F647" s="6">
        <f>IFERROR(__xludf.DUMMYFUNCTION("""COMPUTED_VALUE"""),3235.66)</f>
        <v/>
      </c>
      <c r="J647" s="6">
        <f>K647&amp;L647</f>
        <v/>
      </c>
      <c r="K647" s="6">
        <f>YEAR(M647)</f>
        <v/>
      </c>
      <c r="L647" s="6">
        <f>MONTH(M647)</f>
        <v/>
      </c>
      <c r="M647" s="267">
        <f>IFERROR(__xludf.DUMMYFUNCTION("""COMPUTED_VALUE"""),44029.6666666666)</f>
        <v/>
      </c>
      <c r="N647" s="6">
        <f>IFERROR(__xludf.DUMMYFUNCTION("""COMPUTED_VALUE"""),10503.19)</f>
        <v/>
      </c>
      <c r="R647" s="6">
        <f>S647&amp;T647</f>
        <v/>
      </c>
      <c r="S647" s="6">
        <f>YEAR(U647)</f>
        <v/>
      </c>
      <c r="T647" s="6">
        <f>MONTH(U647)</f>
        <v/>
      </c>
      <c r="U647" s="267">
        <f>IFERROR(__xludf.DUMMYFUNCTION("""COMPUTED_VALUE"""),44062.6458333333)</f>
        <v/>
      </c>
      <c r="V647" s="6">
        <f>IFERROR(__xludf.DUMMYFUNCTION("""COMPUTED_VALUE"""),2360.54)</f>
        <v/>
      </c>
      <c r="Z647" s="6">
        <f>AA647&amp;AB647</f>
        <v/>
      </c>
      <c r="AA647" s="6">
        <f>YEAR(AC647)</f>
        <v/>
      </c>
      <c r="AB647" s="6">
        <f>MONTH(AC647)</f>
        <v/>
      </c>
      <c r="AC647" s="267">
        <f>IFERROR(__xludf.DUMMYFUNCTION("""COMPUTED_VALUE"""),43783.9986111111)</f>
        <v/>
      </c>
      <c r="AD647" s="6">
        <f>IFERROR(__xludf.DUMMYFUNCTION("""COMPUTED_VALUE"""),1167.52)</f>
        <v/>
      </c>
      <c r="AH647" s="6">
        <f>AI647&amp;AJ647</f>
        <v/>
      </c>
      <c r="AI647" s="6">
        <f>YEAR(AK647)</f>
        <v/>
      </c>
      <c r="AJ647" s="6">
        <f>MONTH(AK647)</f>
        <v/>
      </c>
      <c r="AK647" s="267">
        <f>IFERROR(__xludf.DUMMYFUNCTION("""COMPUTED_VALUE"""),43739.9986111111)</f>
        <v/>
      </c>
      <c r="AL647" s="6">
        <f>IFERROR(__xludf.DUMMYFUNCTION("""COMPUTED_VALUE"""),8324.089)</f>
        <v/>
      </c>
      <c r="AP647" s="6">
        <f>AQ647&amp;AR647</f>
        <v/>
      </c>
      <c r="AQ647" s="6">
        <f>YEAR(AS647)</f>
        <v/>
      </c>
      <c r="AR647" s="6">
        <f>MONTH(AS647)</f>
        <v/>
      </c>
      <c r="AS647" s="267">
        <f>IFERROR(__xludf.DUMMYFUNCTION("""COMPUTED_VALUE"""),44046.9986111111)</f>
        <v/>
      </c>
      <c r="AT647" s="6">
        <f>IFERROR(__xludf.DUMMYFUNCTION("""COMPUTED_VALUE"""),1986.3)</f>
        <v/>
      </c>
    </row>
    <row r="648">
      <c r="B648" s="6">
        <f>C648&amp;D648</f>
        <v/>
      </c>
      <c r="C648" s="6">
        <f>YEAR(E648)</f>
        <v/>
      </c>
      <c r="D648" s="6">
        <f>MONTH(E648)</f>
        <v/>
      </c>
      <c r="E648" s="267">
        <f>IFERROR(__xludf.DUMMYFUNCTION("""COMPUTED_VALUE"""),44036.6666666666)</f>
        <v/>
      </c>
      <c r="F648" s="6">
        <f>IFERROR(__xludf.DUMMYFUNCTION("""COMPUTED_VALUE"""),3215.63)</f>
        <v/>
      </c>
      <c r="J648" s="6">
        <f>K648&amp;L648</f>
        <v/>
      </c>
      <c r="K648" s="6">
        <f>YEAR(M648)</f>
        <v/>
      </c>
      <c r="L648" s="6">
        <f>MONTH(M648)</f>
        <v/>
      </c>
      <c r="M648" s="267">
        <f>IFERROR(__xludf.DUMMYFUNCTION("""COMPUTED_VALUE"""),44032.6666666666)</f>
        <v/>
      </c>
      <c r="N648" s="6">
        <f>IFERROR(__xludf.DUMMYFUNCTION("""COMPUTED_VALUE"""),10767.09)</f>
        <v/>
      </c>
      <c r="R648" s="6">
        <f>S648&amp;T648</f>
        <v/>
      </c>
      <c r="S648" s="6">
        <f>YEAR(U648)</f>
        <v/>
      </c>
      <c r="T648" s="6">
        <f>MONTH(U648)</f>
        <v/>
      </c>
      <c r="U648" s="267">
        <f>IFERROR(__xludf.DUMMYFUNCTION("""COMPUTED_VALUE"""),44063.6458333333)</f>
        <v/>
      </c>
      <c r="V648" s="6">
        <f>IFERROR(__xludf.DUMMYFUNCTION("""COMPUTED_VALUE"""),2274.22)</f>
        <v/>
      </c>
      <c r="Z648" s="6">
        <f>AA648&amp;AB648</f>
        <v/>
      </c>
      <c r="AA648" s="6">
        <f>YEAR(AC648)</f>
        <v/>
      </c>
      <c r="AB648" s="6">
        <f>MONTH(AC648)</f>
        <v/>
      </c>
      <c r="AC648" s="267">
        <f>IFERROR(__xludf.DUMMYFUNCTION("""COMPUTED_VALUE"""),43784.9986111111)</f>
        <v/>
      </c>
      <c r="AD648" s="6">
        <f>IFERROR(__xludf.DUMMYFUNCTION("""COMPUTED_VALUE"""),1162.73)</f>
        <v/>
      </c>
      <c r="AH648" s="6">
        <f>AI648&amp;AJ648</f>
        <v/>
      </c>
      <c r="AI648" s="6">
        <f>YEAR(AK648)</f>
        <v/>
      </c>
      <c r="AJ648" s="6">
        <f>MONTH(AK648)</f>
        <v/>
      </c>
      <c r="AK648" s="267">
        <f>IFERROR(__xludf.DUMMYFUNCTION("""COMPUTED_VALUE"""),43740.9986111111)</f>
        <v/>
      </c>
      <c r="AL648" s="6">
        <f>IFERROR(__xludf.DUMMYFUNCTION("""COMPUTED_VALUE"""),8372.641)</f>
        <v/>
      </c>
      <c r="AP648" s="6">
        <f>AQ648&amp;AR648</f>
        <v/>
      </c>
      <c r="AQ648" s="6">
        <f>YEAR(AS648)</f>
        <v/>
      </c>
      <c r="AR648" s="6">
        <f>MONTH(AS648)</f>
        <v/>
      </c>
      <c r="AS648" s="267">
        <f>IFERROR(__xludf.DUMMYFUNCTION("""COMPUTED_VALUE"""),44047.9986111111)</f>
        <v/>
      </c>
      <c r="AT648" s="6">
        <f>IFERROR(__xludf.DUMMYFUNCTION("""COMPUTED_VALUE"""),2021)</f>
        <v/>
      </c>
    </row>
    <row r="649">
      <c r="B649" s="6">
        <f>C649&amp;D649</f>
        <v/>
      </c>
      <c r="C649" s="6">
        <f>YEAR(E649)</f>
        <v/>
      </c>
      <c r="D649" s="6">
        <f>MONTH(E649)</f>
        <v/>
      </c>
      <c r="E649" s="267">
        <f>IFERROR(__xludf.DUMMYFUNCTION("""COMPUTED_VALUE"""),44039.6666666666)</f>
        <v/>
      </c>
      <c r="F649" s="6">
        <f>IFERROR(__xludf.DUMMYFUNCTION("""COMPUTED_VALUE"""),3239.41)</f>
        <v/>
      </c>
      <c r="J649" s="6">
        <f>K649&amp;L649</f>
        <v/>
      </c>
      <c r="K649" s="6">
        <f>YEAR(M649)</f>
        <v/>
      </c>
      <c r="L649" s="6">
        <f>MONTH(M649)</f>
        <v/>
      </c>
      <c r="M649" s="267">
        <f>IFERROR(__xludf.DUMMYFUNCTION("""COMPUTED_VALUE"""),44033.6666666666)</f>
        <v/>
      </c>
      <c r="N649" s="6">
        <f>IFERROR(__xludf.DUMMYFUNCTION("""COMPUTED_VALUE"""),10680.36)</f>
        <v/>
      </c>
      <c r="R649" s="6">
        <f>S649&amp;T649</f>
        <v/>
      </c>
      <c r="S649" s="6">
        <f>YEAR(U649)</f>
        <v/>
      </c>
      <c r="T649" s="6">
        <f>MONTH(U649)</f>
        <v/>
      </c>
      <c r="U649" s="267">
        <f>IFERROR(__xludf.DUMMYFUNCTION("""COMPUTED_VALUE"""),44064.6458333333)</f>
        <v/>
      </c>
      <c r="V649" s="6">
        <f>IFERROR(__xludf.DUMMYFUNCTION("""COMPUTED_VALUE"""),2304.59)</f>
        <v/>
      </c>
      <c r="Z649" s="6">
        <f>AA649&amp;AB649</f>
        <v/>
      </c>
      <c r="AA649" s="6">
        <f>YEAR(AC649)</f>
        <v/>
      </c>
      <c r="AB649" s="6">
        <f>MONTH(AC649)</f>
        <v/>
      </c>
      <c r="AC649" s="267">
        <f>IFERROR(__xludf.DUMMYFUNCTION("""COMPUTED_VALUE"""),43785.9986111111)</f>
        <v/>
      </c>
      <c r="AD649" s="6">
        <f>IFERROR(__xludf.DUMMYFUNCTION("""COMPUTED_VALUE"""),1162.33)</f>
        <v/>
      </c>
      <c r="AH649" s="6">
        <f>AI649&amp;AJ649</f>
        <v/>
      </c>
      <c r="AI649" s="6">
        <f>YEAR(AK649)</f>
        <v/>
      </c>
      <c r="AJ649" s="6">
        <f>MONTH(AK649)</f>
        <v/>
      </c>
      <c r="AK649" s="267">
        <f>IFERROR(__xludf.DUMMYFUNCTION("""COMPUTED_VALUE"""),43741.9986111111)</f>
        <v/>
      </c>
      <c r="AL649" s="6">
        <f>IFERROR(__xludf.DUMMYFUNCTION("""COMPUTED_VALUE"""),8241.702)</f>
        <v/>
      </c>
      <c r="AP649" s="6">
        <f>AQ649&amp;AR649</f>
        <v/>
      </c>
      <c r="AQ649" s="6">
        <f>YEAR(AS649)</f>
        <v/>
      </c>
      <c r="AR649" s="6">
        <f>MONTH(AS649)</f>
        <v/>
      </c>
      <c r="AS649" s="267">
        <f>IFERROR(__xludf.DUMMYFUNCTION("""COMPUTED_VALUE"""),44048.9986111111)</f>
        <v/>
      </c>
      <c r="AT649" s="6">
        <f>IFERROR(__xludf.DUMMYFUNCTION("""COMPUTED_VALUE"""),2049.3)</f>
        <v/>
      </c>
    </row>
    <row r="650">
      <c r="B650" s="6">
        <f>C650&amp;D650</f>
        <v/>
      </c>
      <c r="C650" s="6">
        <f>YEAR(E650)</f>
        <v/>
      </c>
      <c r="D650" s="6">
        <f>MONTH(E650)</f>
        <v/>
      </c>
      <c r="E650" s="267">
        <f>IFERROR(__xludf.DUMMYFUNCTION("""COMPUTED_VALUE"""),44040.6666666666)</f>
        <v/>
      </c>
      <c r="F650" s="6">
        <f>IFERROR(__xludf.DUMMYFUNCTION("""COMPUTED_VALUE"""),3218.44)</f>
        <v/>
      </c>
      <c r="J650" s="6">
        <f>K650&amp;L650</f>
        <v/>
      </c>
      <c r="K650" s="6">
        <f>YEAR(M650)</f>
        <v/>
      </c>
      <c r="L650" s="6">
        <f>MONTH(M650)</f>
        <v/>
      </c>
      <c r="M650" s="267">
        <f>IFERROR(__xludf.DUMMYFUNCTION("""COMPUTED_VALUE"""),44034.6666666666)</f>
        <v/>
      </c>
      <c r="N650" s="6">
        <f>IFERROR(__xludf.DUMMYFUNCTION("""COMPUTED_VALUE"""),10706.13)</f>
        <v/>
      </c>
      <c r="R650" s="6">
        <f>S650&amp;T650</f>
        <v/>
      </c>
      <c r="S650" s="6">
        <f>YEAR(U650)</f>
        <v/>
      </c>
      <c r="T650" s="6">
        <f>MONTH(U650)</f>
        <v/>
      </c>
      <c r="U650" s="267">
        <f>IFERROR(__xludf.DUMMYFUNCTION("""COMPUTED_VALUE"""),44067.6458333333)</f>
        <v/>
      </c>
      <c r="V650" s="6">
        <f>IFERROR(__xludf.DUMMYFUNCTION("""COMPUTED_VALUE"""),2329.83)</f>
        <v/>
      </c>
      <c r="Z650" s="6">
        <f>AA650&amp;AB650</f>
        <v/>
      </c>
      <c r="AA650" s="6">
        <f>YEAR(AC650)</f>
        <v/>
      </c>
      <c r="AB650" s="6">
        <f>MONTH(AC650)</f>
        <v/>
      </c>
      <c r="AC650" s="267">
        <f>IFERROR(__xludf.DUMMYFUNCTION("""COMPUTED_VALUE"""),43786.9986111111)</f>
        <v/>
      </c>
      <c r="AD650" s="6">
        <f>IFERROR(__xludf.DUMMYFUNCTION("""COMPUTED_VALUE"""),1162.33)</f>
        <v/>
      </c>
      <c r="AH650" s="6">
        <f>AI650&amp;AJ650</f>
        <v/>
      </c>
      <c r="AI650" s="6">
        <f>YEAR(AK650)</f>
        <v/>
      </c>
      <c r="AJ650" s="6">
        <f>MONTH(AK650)</f>
        <v/>
      </c>
      <c r="AK650" s="267">
        <f>IFERROR(__xludf.DUMMYFUNCTION("""COMPUTED_VALUE"""),43742.9986111111)</f>
        <v/>
      </c>
      <c r="AL650" s="6">
        <f>IFERROR(__xludf.DUMMYFUNCTION("""COMPUTED_VALUE"""),8157.721)</f>
        <v/>
      </c>
      <c r="AP650" s="6">
        <f>AQ650&amp;AR650</f>
        <v/>
      </c>
      <c r="AQ650" s="6">
        <f>YEAR(AS650)</f>
        <v/>
      </c>
      <c r="AR650" s="6">
        <f>MONTH(AS650)</f>
        <v/>
      </c>
      <c r="AS650" s="267">
        <f>IFERROR(__xludf.DUMMYFUNCTION("""COMPUTED_VALUE"""),44049.9986111111)</f>
        <v/>
      </c>
      <c r="AT650" s="6">
        <f>IFERROR(__xludf.DUMMYFUNCTION("""COMPUTED_VALUE"""),2069.4)</f>
        <v/>
      </c>
    </row>
    <row r="651">
      <c r="B651" s="6">
        <f>C651&amp;D651</f>
        <v/>
      </c>
      <c r="C651" s="6">
        <f>YEAR(E651)</f>
        <v/>
      </c>
      <c r="D651" s="6">
        <f>MONTH(E651)</f>
        <v/>
      </c>
      <c r="E651" s="267">
        <f>IFERROR(__xludf.DUMMYFUNCTION("""COMPUTED_VALUE"""),44041.6666666666)</f>
        <v/>
      </c>
      <c r="F651" s="6">
        <f>IFERROR(__xludf.DUMMYFUNCTION("""COMPUTED_VALUE"""),3258.44)</f>
        <v/>
      </c>
      <c r="J651" s="6">
        <f>K651&amp;L651</f>
        <v/>
      </c>
      <c r="K651" s="6">
        <f>YEAR(M651)</f>
        <v/>
      </c>
      <c r="L651" s="6">
        <f>MONTH(M651)</f>
        <v/>
      </c>
      <c r="M651" s="267">
        <f>IFERROR(__xludf.DUMMYFUNCTION("""COMPUTED_VALUE"""),44035.6666666666)</f>
        <v/>
      </c>
      <c r="N651" s="6">
        <f>IFERROR(__xludf.DUMMYFUNCTION("""COMPUTED_VALUE"""),10461.42)</f>
        <v/>
      </c>
      <c r="R651" s="6">
        <f>S651&amp;T651</f>
        <v/>
      </c>
      <c r="S651" s="6">
        <f>YEAR(U651)</f>
        <v/>
      </c>
      <c r="T651" s="6">
        <f>MONTH(U651)</f>
        <v/>
      </c>
      <c r="U651" s="267">
        <f>IFERROR(__xludf.DUMMYFUNCTION("""COMPUTED_VALUE"""),44068.6458333333)</f>
        <v/>
      </c>
      <c r="V651" s="6">
        <f>IFERROR(__xludf.DUMMYFUNCTION("""COMPUTED_VALUE"""),2366.73)</f>
        <v/>
      </c>
      <c r="Z651" s="6">
        <f>AA651&amp;AB651</f>
        <v/>
      </c>
      <c r="AA651" s="6">
        <f>YEAR(AC651)</f>
        <v/>
      </c>
      <c r="AB651" s="6">
        <f>MONTH(AC651)</f>
        <v/>
      </c>
      <c r="AC651" s="267">
        <f>IFERROR(__xludf.DUMMYFUNCTION("""COMPUTED_VALUE"""),43787.9986111111)</f>
        <v/>
      </c>
      <c r="AD651" s="6">
        <f>IFERROR(__xludf.DUMMYFUNCTION("""COMPUTED_VALUE"""),1165.69)</f>
        <v/>
      </c>
      <c r="AH651" s="6">
        <f>AI651&amp;AJ651</f>
        <v/>
      </c>
      <c r="AI651" s="6">
        <f>YEAR(AK651)</f>
        <v/>
      </c>
      <c r="AJ651" s="6">
        <f>MONTH(AK651)</f>
        <v/>
      </c>
      <c r="AK651" s="267">
        <f>IFERROR(__xludf.DUMMYFUNCTION("""COMPUTED_VALUE"""),43743.9986111111)</f>
        <v/>
      </c>
      <c r="AL651" s="6">
        <f>IFERROR(__xludf.DUMMYFUNCTION("""COMPUTED_VALUE"""),8156.943)</f>
        <v/>
      </c>
      <c r="AP651" s="6">
        <f>AQ651&amp;AR651</f>
        <v/>
      </c>
      <c r="AQ651" s="6">
        <f>YEAR(AS651)</f>
        <v/>
      </c>
      <c r="AR651" s="6">
        <f>MONTH(AS651)</f>
        <v/>
      </c>
      <c r="AS651" s="267">
        <f>IFERROR(__xludf.DUMMYFUNCTION("""COMPUTED_VALUE"""),44050.9986111111)</f>
        <v/>
      </c>
      <c r="AT651" s="6">
        <f>IFERROR(__xludf.DUMMYFUNCTION("""COMPUTED_VALUE"""),2028)</f>
        <v/>
      </c>
    </row>
    <row r="652">
      <c r="B652" s="6">
        <f>C652&amp;D652</f>
        <v/>
      </c>
      <c r="C652" s="6">
        <f>YEAR(E652)</f>
        <v/>
      </c>
      <c r="D652" s="6">
        <f>MONTH(E652)</f>
        <v/>
      </c>
      <c r="E652" s="267">
        <f>IFERROR(__xludf.DUMMYFUNCTION("""COMPUTED_VALUE"""),44042.6666666666)</f>
        <v/>
      </c>
      <c r="F652" s="6">
        <f>IFERROR(__xludf.DUMMYFUNCTION("""COMPUTED_VALUE"""),3246.22)</f>
        <v/>
      </c>
      <c r="J652" s="6">
        <f>K652&amp;L652</f>
        <v/>
      </c>
      <c r="K652" s="6">
        <f>YEAR(M652)</f>
        <v/>
      </c>
      <c r="L652" s="6">
        <f>MONTH(M652)</f>
        <v/>
      </c>
      <c r="M652" s="267">
        <f>IFERROR(__xludf.DUMMYFUNCTION("""COMPUTED_VALUE"""),44036.6666666666)</f>
        <v/>
      </c>
      <c r="N652" s="6">
        <f>IFERROR(__xludf.DUMMYFUNCTION("""COMPUTED_VALUE"""),10363.18)</f>
        <v/>
      </c>
      <c r="R652" s="6">
        <f>S652&amp;T652</f>
        <v/>
      </c>
      <c r="S652" s="6">
        <f>YEAR(U652)</f>
        <v/>
      </c>
      <c r="T652" s="6">
        <f>MONTH(U652)</f>
        <v/>
      </c>
      <c r="U652" s="267">
        <f>IFERROR(__xludf.DUMMYFUNCTION("""COMPUTED_VALUE"""),44069.6458333333)</f>
        <v/>
      </c>
      <c r="V652" s="6">
        <f>IFERROR(__xludf.DUMMYFUNCTION("""COMPUTED_VALUE"""),2369.32)</f>
        <v/>
      </c>
      <c r="Z652" s="6">
        <f>AA652&amp;AB652</f>
        <v/>
      </c>
      <c r="AA652" s="6">
        <f>YEAR(AC652)</f>
        <v/>
      </c>
      <c r="AB652" s="6">
        <f>MONTH(AC652)</f>
        <v/>
      </c>
      <c r="AC652" s="267">
        <f>IFERROR(__xludf.DUMMYFUNCTION("""COMPUTED_VALUE"""),43788.9986111111)</f>
        <v/>
      </c>
      <c r="AD652" s="6">
        <f>IFERROR(__xludf.DUMMYFUNCTION("""COMPUTED_VALUE"""),1165.82)</f>
        <v/>
      </c>
      <c r="AH652" s="6">
        <f>AI652&amp;AJ652</f>
        <v/>
      </c>
      <c r="AI652" s="6">
        <f>YEAR(AK652)</f>
        <v/>
      </c>
      <c r="AJ652" s="6">
        <f>MONTH(AK652)</f>
        <v/>
      </c>
      <c r="AK652" s="267">
        <f>IFERROR(__xludf.DUMMYFUNCTION("""COMPUTED_VALUE"""),43744.9986111111)</f>
        <v/>
      </c>
      <c r="AL652" s="6">
        <f>IFERROR(__xludf.DUMMYFUNCTION("""COMPUTED_VALUE"""),7874.383)</f>
        <v/>
      </c>
      <c r="AP652" s="6">
        <f>AQ652&amp;AR652</f>
        <v/>
      </c>
      <c r="AQ652" s="6">
        <f>YEAR(AS652)</f>
        <v/>
      </c>
      <c r="AR652" s="6">
        <f>MONTH(AS652)</f>
        <v/>
      </c>
      <c r="AS652" s="267">
        <f>IFERROR(__xludf.DUMMYFUNCTION("""COMPUTED_VALUE"""),44053.9986111111)</f>
        <v/>
      </c>
      <c r="AT652" s="6">
        <f>IFERROR(__xludf.DUMMYFUNCTION("""COMPUTED_VALUE"""),2039.7)</f>
        <v/>
      </c>
    </row>
    <row r="653">
      <c r="B653" s="6">
        <f>C653&amp;D653</f>
        <v/>
      </c>
      <c r="C653" s="6">
        <f>YEAR(E653)</f>
        <v/>
      </c>
      <c r="D653" s="6">
        <f>MONTH(E653)</f>
        <v/>
      </c>
      <c r="E653" s="267">
        <f>IFERROR(__xludf.DUMMYFUNCTION("""COMPUTED_VALUE"""),44043.6666666666)</f>
        <v/>
      </c>
      <c r="F653" s="6">
        <f>IFERROR(__xludf.DUMMYFUNCTION("""COMPUTED_VALUE"""),3271.12)</f>
        <v/>
      </c>
      <c r="J653" s="6">
        <f>K653&amp;L653</f>
        <v/>
      </c>
      <c r="K653" s="6">
        <f>YEAR(M653)</f>
        <v/>
      </c>
      <c r="L653" s="6">
        <f>MONTH(M653)</f>
        <v/>
      </c>
      <c r="M653" s="267">
        <f>IFERROR(__xludf.DUMMYFUNCTION("""COMPUTED_VALUE"""),44039.6666666666)</f>
        <v/>
      </c>
      <c r="N653" s="6">
        <f>IFERROR(__xludf.DUMMYFUNCTION("""COMPUTED_VALUE"""),10536.27)</f>
        <v/>
      </c>
      <c r="R653" s="6">
        <f>S653&amp;T653</f>
        <v/>
      </c>
      <c r="S653" s="6">
        <f>YEAR(U653)</f>
        <v/>
      </c>
      <c r="T653" s="6">
        <f>MONTH(U653)</f>
        <v/>
      </c>
      <c r="U653" s="267">
        <f>IFERROR(__xludf.DUMMYFUNCTION("""COMPUTED_VALUE"""),44070.6458333333)</f>
        <v/>
      </c>
      <c r="V653" s="6">
        <f>IFERROR(__xludf.DUMMYFUNCTION("""COMPUTED_VALUE"""),2344.45)</f>
        <v/>
      </c>
      <c r="Z653" s="6">
        <f>AA653&amp;AB653</f>
        <v/>
      </c>
      <c r="AA653" s="6">
        <f>YEAR(AC653)</f>
        <v/>
      </c>
      <c r="AB653" s="6">
        <f>MONTH(AC653)</f>
        <v/>
      </c>
      <c r="AC653" s="267">
        <f>IFERROR(__xludf.DUMMYFUNCTION("""COMPUTED_VALUE"""),43789.9986111111)</f>
        <v/>
      </c>
      <c r="AD653" s="6">
        <f>IFERROR(__xludf.DUMMYFUNCTION("""COMPUTED_VALUE"""),1168.26)</f>
        <v/>
      </c>
      <c r="AH653" s="6">
        <f>AI653&amp;AJ653</f>
        <v/>
      </c>
      <c r="AI653" s="6">
        <f>YEAR(AK653)</f>
        <v/>
      </c>
      <c r="AJ653" s="6">
        <f>MONTH(AK653)</f>
        <v/>
      </c>
      <c r="AK653" s="267">
        <f>IFERROR(__xludf.DUMMYFUNCTION("""COMPUTED_VALUE"""),43745.9986111111)</f>
        <v/>
      </c>
      <c r="AL653" s="6">
        <f>IFERROR(__xludf.DUMMYFUNCTION("""COMPUTED_VALUE"""),8222.817)</f>
        <v/>
      </c>
      <c r="AP653" s="6">
        <f>AQ653&amp;AR653</f>
        <v/>
      </c>
      <c r="AQ653" s="6">
        <f>YEAR(AS653)</f>
        <v/>
      </c>
      <c r="AR653" s="6">
        <f>MONTH(AS653)</f>
        <v/>
      </c>
      <c r="AS653" s="267">
        <f>IFERROR(__xludf.DUMMYFUNCTION("""COMPUTED_VALUE"""),44054.9986111111)</f>
        <v/>
      </c>
      <c r="AT653" s="6">
        <f>IFERROR(__xludf.DUMMYFUNCTION("""COMPUTED_VALUE"""),1946.3)</f>
        <v/>
      </c>
    </row>
    <row r="654">
      <c r="B654" s="6">
        <f>C654&amp;D654</f>
        <v/>
      </c>
      <c r="C654" s="6">
        <f>YEAR(E654)</f>
        <v/>
      </c>
      <c r="D654" s="6">
        <f>MONTH(E654)</f>
        <v/>
      </c>
      <c r="E654" s="267">
        <f>IFERROR(__xludf.DUMMYFUNCTION("""COMPUTED_VALUE"""),44046.6666666666)</f>
        <v/>
      </c>
      <c r="F654" s="6">
        <f>IFERROR(__xludf.DUMMYFUNCTION("""COMPUTED_VALUE"""),3294.61)</f>
        <v/>
      </c>
      <c r="J654" s="6">
        <f>K654&amp;L654</f>
        <v/>
      </c>
      <c r="K654" s="6">
        <f>YEAR(M654)</f>
        <v/>
      </c>
      <c r="L654" s="6">
        <f>MONTH(M654)</f>
        <v/>
      </c>
      <c r="M654" s="267">
        <f>IFERROR(__xludf.DUMMYFUNCTION("""COMPUTED_VALUE"""),44040.6666666666)</f>
        <v/>
      </c>
      <c r="N654" s="6">
        <f>IFERROR(__xludf.DUMMYFUNCTION("""COMPUTED_VALUE"""),10402.09)</f>
        <v/>
      </c>
      <c r="R654" s="6">
        <f>S654&amp;T654</f>
        <v/>
      </c>
      <c r="S654" s="6">
        <f>YEAR(U654)</f>
        <v/>
      </c>
      <c r="T654" s="6">
        <f>MONTH(U654)</f>
        <v/>
      </c>
      <c r="U654" s="267">
        <f>IFERROR(__xludf.DUMMYFUNCTION("""COMPUTED_VALUE"""),44071.6458333333)</f>
        <v/>
      </c>
      <c r="V654" s="6">
        <f>IFERROR(__xludf.DUMMYFUNCTION("""COMPUTED_VALUE"""),2353.8)</f>
        <v/>
      </c>
      <c r="Z654" s="6">
        <f>AA654&amp;AB654</f>
        <v/>
      </c>
      <c r="AA654" s="6">
        <f>YEAR(AC654)</f>
        <v/>
      </c>
      <c r="AB654" s="6">
        <f>MONTH(AC654)</f>
        <v/>
      </c>
      <c r="AC654" s="267">
        <f>IFERROR(__xludf.DUMMYFUNCTION("""COMPUTED_VALUE"""),43790.9986111111)</f>
        <v/>
      </c>
      <c r="AD654" s="6">
        <f>IFERROR(__xludf.DUMMYFUNCTION("""COMPUTED_VALUE"""),1175.23)</f>
        <v/>
      </c>
      <c r="AH654" s="6">
        <f>AI654&amp;AJ654</f>
        <v/>
      </c>
      <c r="AI654" s="6">
        <f>YEAR(AK654)</f>
        <v/>
      </c>
      <c r="AJ654" s="6">
        <f>MONTH(AK654)</f>
        <v/>
      </c>
      <c r="AK654" s="267">
        <f>IFERROR(__xludf.DUMMYFUNCTION("""COMPUTED_VALUE"""),43746.9986111111)</f>
        <v/>
      </c>
      <c r="AL654" s="6">
        <f>IFERROR(__xludf.DUMMYFUNCTION("""COMPUTED_VALUE"""),8197.812)</f>
        <v/>
      </c>
      <c r="AP654" s="6">
        <f>AQ654&amp;AR654</f>
        <v/>
      </c>
      <c r="AQ654" s="6">
        <f>YEAR(AS654)</f>
        <v/>
      </c>
      <c r="AR654" s="6">
        <f>MONTH(AS654)</f>
        <v/>
      </c>
      <c r="AS654" s="267">
        <f>IFERROR(__xludf.DUMMYFUNCTION("""COMPUTED_VALUE"""),44055.9986111111)</f>
        <v/>
      </c>
      <c r="AT654" s="6">
        <f>IFERROR(__xludf.DUMMYFUNCTION("""COMPUTED_VALUE"""),1949)</f>
        <v/>
      </c>
    </row>
    <row r="655">
      <c r="B655" s="6">
        <f>C655&amp;D655</f>
        <v/>
      </c>
      <c r="C655" s="6">
        <f>YEAR(E655)</f>
        <v/>
      </c>
      <c r="D655" s="6">
        <f>MONTH(E655)</f>
        <v/>
      </c>
      <c r="E655" s="267">
        <f>IFERROR(__xludf.DUMMYFUNCTION("""COMPUTED_VALUE"""),44047.6666666666)</f>
        <v/>
      </c>
      <c r="F655" s="6">
        <f>IFERROR(__xludf.DUMMYFUNCTION("""COMPUTED_VALUE"""),3306.51)</f>
        <v/>
      </c>
      <c r="J655" s="6">
        <f>K655&amp;L655</f>
        <v/>
      </c>
      <c r="K655" s="6">
        <f>YEAR(M655)</f>
        <v/>
      </c>
      <c r="L655" s="6">
        <f>MONTH(M655)</f>
        <v/>
      </c>
      <c r="M655" s="267">
        <f>IFERROR(__xludf.DUMMYFUNCTION("""COMPUTED_VALUE"""),44041.6666666666)</f>
        <v/>
      </c>
      <c r="N655" s="6">
        <f>IFERROR(__xludf.DUMMYFUNCTION("""COMPUTED_VALUE"""),10542.94)</f>
        <v/>
      </c>
      <c r="R655" s="6">
        <f>S655&amp;T655</f>
        <v/>
      </c>
      <c r="S655" s="6">
        <f>YEAR(U655)</f>
        <v/>
      </c>
      <c r="T655" s="6">
        <f>MONTH(U655)</f>
        <v/>
      </c>
      <c r="U655" s="267">
        <f>IFERROR(__xludf.DUMMYFUNCTION("""COMPUTED_VALUE"""),44074.6458333333)</f>
        <v/>
      </c>
      <c r="V655" s="6">
        <f>IFERROR(__xludf.DUMMYFUNCTION("""COMPUTED_VALUE"""),2326.17)</f>
        <v/>
      </c>
      <c r="Z655" s="6">
        <f>AA655&amp;AB655</f>
        <v/>
      </c>
      <c r="AA655" s="6">
        <f>YEAR(AC655)</f>
        <v/>
      </c>
      <c r="AB655" s="6">
        <f>MONTH(AC655)</f>
        <v/>
      </c>
      <c r="AC655" s="267">
        <f>IFERROR(__xludf.DUMMYFUNCTION("""COMPUTED_VALUE"""),43791.9986111111)</f>
        <v/>
      </c>
      <c r="AD655" s="6">
        <f>IFERROR(__xludf.DUMMYFUNCTION("""COMPUTED_VALUE"""),1180.27)</f>
        <v/>
      </c>
      <c r="AH655" s="6">
        <f>AI655&amp;AJ655</f>
        <v/>
      </c>
      <c r="AI655" s="6">
        <f>YEAR(AK655)</f>
        <v/>
      </c>
      <c r="AJ655" s="6">
        <f>MONTH(AK655)</f>
        <v/>
      </c>
      <c r="AK655" s="267">
        <f>IFERROR(__xludf.DUMMYFUNCTION("""COMPUTED_VALUE"""),43747.9986111111)</f>
        <v/>
      </c>
      <c r="AL655" s="6">
        <f>IFERROR(__xludf.DUMMYFUNCTION("""COMPUTED_VALUE"""),8596.109)</f>
        <v/>
      </c>
      <c r="AP655" s="6">
        <f>AQ655&amp;AR655</f>
        <v/>
      </c>
      <c r="AQ655" s="6">
        <f>YEAR(AS655)</f>
        <v/>
      </c>
      <c r="AR655" s="6">
        <f>MONTH(AS655)</f>
        <v/>
      </c>
      <c r="AS655" s="267">
        <f>IFERROR(__xludf.DUMMYFUNCTION("""COMPUTED_VALUE"""),44056.9986111111)</f>
        <v/>
      </c>
      <c r="AT655" s="6">
        <f>IFERROR(__xludf.DUMMYFUNCTION("""COMPUTED_VALUE"""),1970.4)</f>
        <v/>
      </c>
    </row>
    <row r="656">
      <c r="B656" s="6">
        <f>C656&amp;D656</f>
        <v/>
      </c>
      <c r="C656" s="6">
        <f>YEAR(E656)</f>
        <v/>
      </c>
      <c r="D656" s="6">
        <f>MONTH(E656)</f>
        <v/>
      </c>
      <c r="E656" s="267">
        <f>IFERROR(__xludf.DUMMYFUNCTION("""COMPUTED_VALUE"""),44048.6666666666)</f>
        <v/>
      </c>
      <c r="F656" s="6">
        <f>IFERROR(__xludf.DUMMYFUNCTION("""COMPUTED_VALUE"""),3327.77)</f>
        <v/>
      </c>
      <c r="J656" s="6">
        <f>K656&amp;L656</f>
        <v/>
      </c>
      <c r="K656" s="6">
        <f>YEAR(M656)</f>
        <v/>
      </c>
      <c r="L656" s="6">
        <f>MONTH(M656)</f>
        <v/>
      </c>
      <c r="M656" s="267">
        <f>IFERROR(__xludf.DUMMYFUNCTION("""COMPUTED_VALUE"""),44042.6666666666)</f>
        <v/>
      </c>
      <c r="N656" s="6">
        <f>IFERROR(__xludf.DUMMYFUNCTION("""COMPUTED_VALUE"""),10587.81)</f>
        <v/>
      </c>
      <c r="R656" s="6">
        <f>S656&amp;T656</f>
        <v/>
      </c>
      <c r="S656" s="6">
        <f>YEAR(U656)</f>
        <v/>
      </c>
      <c r="T656" s="6">
        <f>MONTH(U656)</f>
        <v/>
      </c>
      <c r="U656" s="267">
        <f>IFERROR(__xludf.DUMMYFUNCTION("""COMPUTED_VALUE"""),44075.6458333333)</f>
        <v/>
      </c>
      <c r="V656" s="6">
        <f>IFERROR(__xludf.DUMMYFUNCTION("""COMPUTED_VALUE"""),2349.55)</f>
        <v/>
      </c>
      <c r="Z656" s="6">
        <f>AA656&amp;AB656</f>
        <v/>
      </c>
      <c r="AA656" s="6">
        <f>YEAR(AC656)</f>
        <v/>
      </c>
      <c r="AB656" s="6">
        <f>MONTH(AC656)</f>
        <v/>
      </c>
      <c r="AC656" s="267">
        <f>IFERROR(__xludf.DUMMYFUNCTION("""COMPUTED_VALUE"""),43792.9986111111)</f>
        <v/>
      </c>
      <c r="AD656" s="6">
        <f>IFERROR(__xludf.DUMMYFUNCTION("""COMPUTED_VALUE"""),1180.27)</f>
        <v/>
      </c>
      <c r="AH656" s="6">
        <f>AI656&amp;AJ656</f>
        <v/>
      </c>
      <c r="AI656" s="6">
        <f>YEAR(AK656)</f>
        <v/>
      </c>
      <c r="AJ656" s="6">
        <f>MONTH(AK656)</f>
        <v/>
      </c>
      <c r="AK656" s="267">
        <f>IFERROR(__xludf.DUMMYFUNCTION("""COMPUTED_VALUE"""),43748.9986111111)</f>
        <v/>
      </c>
      <c r="AL656" s="6">
        <f>IFERROR(__xludf.DUMMYFUNCTION("""COMPUTED_VALUE"""),8589.857)</f>
        <v/>
      </c>
      <c r="AP656" s="6">
        <f>AQ656&amp;AR656</f>
        <v/>
      </c>
      <c r="AQ656" s="6">
        <f>YEAR(AS656)</f>
        <v/>
      </c>
      <c r="AR656" s="6">
        <f>MONTH(AS656)</f>
        <v/>
      </c>
      <c r="AS656" s="267">
        <f>IFERROR(__xludf.DUMMYFUNCTION("""COMPUTED_VALUE"""),44057.9986111111)</f>
        <v/>
      </c>
      <c r="AT656" s="6">
        <f>IFERROR(__xludf.DUMMYFUNCTION("""COMPUTED_VALUE"""),1949.8)</f>
        <v/>
      </c>
    </row>
    <row r="657">
      <c r="B657" s="6">
        <f>C657&amp;D657</f>
        <v/>
      </c>
      <c r="C657" s="6">
        <f>YEAR(E657)</f>
        <v/>
      </c>
      <c r="D657" s="6">
        <f>MONTH(E657)</f>
        <v/>
      </c>
      <c r="E657" s="267">
        <f>IFERROR(__xludf.DUMMYFUNCTION("""COMPUTED_VALUE"""),44049.6666666666)</f>
        <v/>
      </c>
      <c r="F657" s="6">
        <f>IFERROR(__xludf.DUMMYFUNCTION("""COMPUTED_VALUE"""),3349.16)</f>
        <v/>
      </c>
      <c r="J657" s="6">
        <f>K657&amp;L657</f>
        <v/>
      </c>
      <c r="K657" s="6">
        <f>YEAR(M657)</f>
        <v/>
      </c>
      <c r="L657" s="6">
        <f>MONTH(M657)</f>
        <v/>
      </c>
      <c r="M657" s="267">
        <f>IFERROR(__xludf.DUMMYFUNCTION("""COMPUTED_VALUE"""),44043.6666666666)</f>
        <v/>
      </c>
      <c r="N657" s="6">
        <f>IFERROR(__xludf.DUMMYFUNCTION("""COMPUTED_VALUE"""),10745.28)</f>
        <v/>
      </c>
      <c r="R657" s="6">
        <f>S657&amp;T657</f>
        <v/>
      </c>
      <c r="S657" s="6">
        <f>YEAR(U657)</f>
        <v/>
      </c>
      <c r="T657" s="6">
        <f>MONTH(U657)</f>
        <v/>
      </c>
      <c r="U657" s="267">
        <f>IFERROR(__xludf.DUMMYFUNCTION("""COMPUTED_VALUE"""),44076.6458333333)</f>
        <v/>
      </c>
      <c r="V657" s="6">
        <f>IFERROR(__xludf.DUMMYFUNCTION("""COMPUTED_VALUE"""),2364.37)</f>
        <v/>
      </c>
      <c r="Z657" s="6">
        <f>AA657&amp;AB657</f>
        <v/>
      </c>
      <c r="AA657" s="6">
        <f>YEAR(AC657)</f>
        <v/>
      </c>
      <c r="AB657" s="6">
        <f>MONTH(AC657)</f>
        <v/>
      </c>
      <c r="AC657" s="267">
        <f>IFERROR(__xludf.DUMMYFUNCTION("""COMPUTED_VALUE"""),43793.9986111111)</f>
        <v/>
      </c>
      <c r="AD657" s="6">
        <f>IFERROR(__xludf.DUMMYFUNCTION("""COMPUTED_VALUE"""),1179.49)</f>
        <v/>
      </c>
      <c r="AH657" s="6">
        <f>AI657&amp;AJ657</f>
        <v/>
      </c>
      <c r="AI657" s="6">
        <f>YEAR(AK657)</f>
        <v/>
      </c>
      <c r="AJ657" s="6">
        <f>MONTH(AK657)</f>
        <v/>
      </c>
      <c r="AK657" s="267">
        <f>IFERROR(__xludf.DUMMYFUNCTION("""COMPUTED_VALUE"""),43749.9986111111)</f>
        <v/>
      </c>
      <c r="AL657" s="6">
        <f>IFERROR(__xludf.DUMMYFUNCTION("""COMPUTED_VALUE"""),8270.426)</f>
        <v/>
      </c>
      <c r="AP657" s="6">
        <f>AQ657&amp;AR657</f>
        <v/>
      </c>
      <c r="AQ657" s="6">
        <f>YEAR(AS657)</f>
        <v/>
      </c>
      <c r="AR657" s="6">
        <f>MONTH(AS657)</f>
        <v/>
      </c>
      <c r="AS657" s="267">
        <f>IFERROR(__xludf.DUMMYFUNCTION("""COMPUTED_VALUE"""),44060.9986111111)</f>
        <v/>
      </c>
      <c r="AT657" s="6">
        <f>IFERROR(__xludf.DUMMYFUNCTION("""COMPUTED_VALUE"""),1998.7)</f>
        <v/>
      </c>
    </row>
    <row r="658">
      <c r="B658" s="6">
        <f>C658&amp;D658</f>
        <v/>
      </c>
      <c r="C658" s="6">
        <f>YEAR(E658)</f>
        <v/>
      </c>
      <c r="D658" s="6">
        <f>MONTH(E658)</f>
        <v/>
      </c>
      <c r="E658" s="267">
        <f>IFERROR(__xludf.DUMMYFUNCTION("""COMPUTED_VALUE"""),44050.6666666666)</f>
        <v/>
      </c>
      <c r="F658" s="6">
        <f>IFERROR(__xludf.DUMMYFUNCTION("""COMPUTED_VALUE"""),3351.28)</f>
        <v/>
      </c>
      <c r="J658" s="6">
        <f>K658&amp;L658</f>
        <v/>
      </c>
      <c r="K658" s="6">
        <f>YEAR(M658)</f>
        <v/>
      </c>
      <c r="L658" s="6">
        <f>MONTH(M658)</f>
        <v/>
      </c>
      <c r="M658" s="267">
        <f>IFERROR(__xludf.DUMMYFUNCTION("""COMPUTED_VALUE"""),44046.6666666666)</f>
        <v/>
      </c>
      <c r="N658" s="6">
        <f>IFERROR(__xludf.DUMMYFUNCTION("""COMPUTED_VALUE"""),10902.8)</f>
        <v/>
      </c>
      <c r="R658" s="6">
        <f>S658&amp;T658</f>
        <v/>
      </c>
      <c r="S658" s="6">
        <f>YEAR(U658)</f>
        <v/>
      </c>
      <c r="T658" s="6">
        <f>MONTH(U658)</f>
        <v/>
      </c>
      <c r="U658" s="267">
        <f>IFERROR(__xludf.DUMMYFUNCTION("""COMPUTED_VALUE"""),44077.6458333333)</f>
        <v/>
      </c>
      <c r="V658" s="6">
        <f>IFERROR(__xludf.DUMMYFUNCTION("""COMPUTED_VALUE"""),2395.9)</f>
        <v/>
      </c>
      <c r="Z658" s="6">
        <f>AA658&amp;AB658</f>
        <v/>
      </c>
      <c r="AA658" s="6">
        <f>YEAR(AC658)</f>
        <v/>
      </c>
      <c r="AB658" s="6">
        <f>MONTH(AC658)</f>
        <v/>
      </c>
      <c r="AC658" s="267">
        <f>IFERROR(__xludf.DUMMYFUNCTION("""COMPUTED_VALUE"""),43794.9986111111)</f>
        <v/>
      </c>
      <c r="AD658" s="6">
        <f>IFERROR(__xludf.DUMMYFUNCTION("""COMPUTED_VALUE"""),1172.41)</f>
        <v/>
      </c>
      <c r="AH658" s="6">
        <f>AI658&amp;AJ658</f>
        <v/>
      </c>
      <c r="AI658" s="6">
        <f>YEAR(AK658)</f>
        <v/>
      </c>
      <c r="AJ658" s="6">
        <f>MONTH(AK658)</f>
        <v/>
      </c>
      <c r="AK658" s="267">
        <f>IFERROR(__xludf.DUMMYFUNCTION("""COMPUTED_VALUE"""),43750.9986111111)</f>
        <v/>
      </c>
      <c r="AL658" s="6">
        <f>IFERROR(__xludf.DUMMYFUNCTION("""COMPUTED_VALUE"""),8320.54)</f>
        <v/>
      </c>
      <c r="AP658" s="6">
        <f>AQ658&amp;AR658</f>
        <v/>
      </c>
      <c r="AQ658" s="6">
        <f>YEAR(AS658)</f>
        <v/>
      </c>
      <c r="AR658" s="6">
        <f>MONTH(AS658)</f>
        <v/>
      </c>
      <c r="AS658" s="267">
        <f>IFERROR(__xludf.DUMMYFUNCTION("""COMPUTED_VALUE"""),44061.9986111111)</f>
        <v/>
      </c>
      <c r="AT658" s="6">
        <f>IFERROR(__xludf.DUMMYFUNCTION("""COMPUTED_VALUE"""),2013.1)</f>
        <v/>
      </c>
    </row>
    <row r="659">
      <c r="B659" s="6">
        <f>C659&amp;D659</f>
        <v/>
      </c>
      <c r="C659" s="6">
        <f>YEAR(E659)</f>
        <v/>
      </c>
      <c r="D659" s="6">
        <f>MONTH(E659)</f>
        <v/>
      </c>
      <c r="E659" s="267">
        <f>IFERROR(__xludf.DUMMYFUNCTION("""COMPUTED_VALUE"""),44053.6666666666)</f>
        <v/>
      </c>
      <c r="F659" s="6">
        <f>IFERROR(__xludf.DUMMYFUNCTION("""COMPUTED_VALUE"""),3360.47)</f>
        <v/>
      </c>
      <c r="J659" s="6">
        <f>K659&amp;L659</f>
        <v/>
      </c>
      <c r="K659" s="6">
        <f>YEAR(M659)</f>
        <v/>
      </c>
      <c r="L659" s="6">
        <f>MONTH(M659)</f>
        <v/>
      </c>
      <c r="M659" s="267">
        <f>IFERROR(__xludf.DUMMYFUNCTION("""COMPUTED_VALUE"""),44047.6666666666)</f>
        <v/>
      </c>
      <c r="N659" s="6">
        <f>IFERROR(__xludf.DUMMYFUNCTION("""COMPUTED_VALUE"""),10941.17)</f>
        <v/>
      </c>
      <c r="R659" s="6">
        <f>S659&amp;T659</f>
        <v/>
      </c>
      <c r="S659" s="6">
        <f>YEAR(U659)</f>
        <v/>
      </c>
      <c r="T659" s="6">
        <f>MONTH(U659)</f>
        <v/>
      </c>
      <c r="U659" s="267">
        <f>IFERROR(__xludf.DUMMYFUNCTION("""COMPUTED_VALUE"""),44078.6458333333)</f>
        <v/>
      </c>
      <c r="V659" s="6">
        <f>IFERROR(__xludf.DUMMYFUNCTION("""COMPUTED_VALUE"""),2368.25)</f>
        <v/>
      </c>
      <c r="Z659" s="6">
        <f>AA659&amp;AB659</f>
        <v/>
      </c>
      <c r="AA659" s="6">
        <f>YEAR(AC659)</f>
        <v/>
      </c>
      <c r="AB659" s="6">
        <f>MONTH(AC659)</f>
        <v/>
      </c>
      <c r="AC659" s="267">
        <f>IFERROR(__xludf.DUMMYFUNCTION("""COMPUTED_VALUE"""),43795.9986111111)</f>
        <v/>
      </c>
      <c r="AD659" s="6">
        <f>IFERROR(__xludf.DUMMYFUNCTION("""COMPUTED_VALUE"""),1172.6)</f>
        <v/>
      </c>
      <c r="AH659" s="6">
        <f>AI659&amp;AJ659</f>
        <v/>
      </c>
      <c r="AI659" s="6">
        <f>YEAR(AK659)</f>
        <v/>
      </c>
      <c r="AJ659" s="6">
        <f>MONTH(AK659)</f>
        <v/>
      </c>
      <c r="AK659" s="267">
        <f>IFERROR(__xludf.DUMMYFUNCTION("""COMPUTED_VALUE"""),43751.9986111111)</f>
        <v/>
      </c>
      <c r="AL659" s="6">
        <f>IFERROR(__xludf.DUMMYFUNCTION("""COMPUTED_VALUE"""),8297.67)</f>
        <v/>
      </c>
      <c r="AP659" s="6">
        <f>AQ659&amp;AR659</f>
        <v/>
      </c>
      <c r="AQ659" s="6">
        <f>YEAR(AS659)</f>
        <v/>
      </c>
      <c r="AR659" s="6">
        <f>MONTH(AS659)</f>
        <v/>
      </c>
      <c r="AS659" s="267">
        <f>IFERROR(__xludf.DUMMYFUNCTION("""COMPUTED_VALUE"""),44062.9986111111)</f>
        <v/>
      </c>
      <c r="AT659" s="6">
        <f>IFERROR(__xludf.DUMMYFUNCTION("""COMPUTED_VALUE"""),1970.3)</f>
        <v/>
      </c>
    </row>
    <row r="660">
      <c r="B660" s="6">
        <f>C660&amp;D660</f>
        <v/>
      </c>
      <c r="C660" s="6">
        <f>YEAR(E660)</f>
        <v/>
      </c>
      <c r="D660" s="6">
        <f>MONTH(E660)</f>
        <v/>
      </c>
      <c r="E660" s="267">
        <f>IFERROR(__xludf.DUMMYFUNCTION("""COMPUTED_VALUE"""),44054.6666666666)</f>
        <v/>
      </c>
      <c r="F660" s="6">
        <f>IFERROR(__xludf.DUMMYFUNCTION("""COMPUTED_VALUE"""),3333.69)</f>
        <v/>
      </c>
      <c r="J660" s="6">
        <f>K660&amp;L660</f>
        <v/>
      </c>
      <c r="K660" s="6">
        <f>YEAR(M660)</f>
        <v/>
      </c>
      <c r="L660" s="6">
        <f>MONTH(M660)</f>
        <v/>
      </c>
      <c r="M660" s="267">
        <f>IFERROR(__xludf.DUMMYFUNCTION("""COMPUTED_VALUE"""),44048.6666666666)</f>
        <v/>
      </c>
      <c r="N660" s="6">
        <f>IFERROR(__xludf.DUMMYFUNCTION("""COMPUTED_VALUE"""),10998.4)</f>
        <v/>
      </c>
      <c r="R660" s="6">
        <f>S660&amp;T660</f>
        <v/>
      </c>
      <c r="S660" s="6">
        <f>YEAR(U660)</f>
        <v/>
      </c>
      <c r="T660" s="6">
        <f>MONTH(U660)</f>
        <v/>
      </c>
      <c r="U660" s="267">
        <f>IFERROR(__xludf.DUMMYFUNCTION("""COMPUTED_VALUE"""),44081.6458333333)</f>
        <v/>
      </c>
      <c r="V660" s="6">
        <f>IFERROR(__xludf.DUMMYFUNCTION("""COMPUTED_VALUE"""),2384.22)</f>
        <v/>
      </c>
      <c r="Z660" s="6">
        <f>AA660&amp;AB660</f>
        <v/>
      </c>
      <c r="AA660" s="6">
        <f>YEAR(AC660)</f>
        <v/>
      </c>
      <c r="AB660" s="6">
        <f>MONTH(AC660)</f>
        <v/>
      </c>
      <c r="AC660" s="267">
        <f>IFERROR(__xludf.DUMMYFUNCTION("""COMPUTED_VALUE"""),43796.9986111111)</f>
        <v/>
      </c>
      <c r="AD660" s="6">
        <f>IFERROR(__xludf.DUMMYFUNCTION("""COMPUTED_VALUE"""),1175.36)</f>
        <v/>
      </c>
      <c r="AH660" s="6">
        <f>AI660&amp;AJ660</f>
        <v/>
      </c>
      <c r="AI660" s="6">
        <f>YEAR(AK660)</f>
        <v/>
      </c>
      <c r="AJ660" s="6">
        <f>MONTH(AK660)</f>
        <v/>
      </c>
      <c r="AK660" s="267">
        <f>IFERROR(__xludf.DUMMYFUNCTION("""COMPUTED_VALUE"""),43752.9986111111)</f>
        <v/>
      </c>
      <c r="AL660" s="6">
        <f>IFERROR(__xludf.DUMMYFUNCTION("""COMPUTED_VALUE"""),8369.895)</f>
        <v/>
      </c>
      <c r="AP660" s="6">
        <f>AQ660&amp;AR660</f>
        <v/>
      </c>
      <c r="AQ660" s="6">
        <f>YEAR(AS660)</f>
        <v/>
      </c>
      <c r="AR660" s="6">
        <f>MONTH(AS660)</f>
        <v/>
      </c>
      <c r="AS660" s="267">
        <f>IFERROR(__xludf.DUMMYFUNCTION("""COMPUTED_VALUE"""),44063.9986111111)</f>
        <v/>
      </c>
      <c r="AT660" s="6">
        <f>IFERROR(__xludf.DUMMYFUNCTION("""COMPUTED_VALUE"""),1946.5)</f>
        <v/>
      </c>
    </row>
    <row r="661">
      <c r="B661" s="6">
        <f>C661&amp;D661</f>
        <v/>
      </c>
      <c r="C661" s="6">
        <f>YEAR(E661)</f>
        <v/>
      </c>
      <c r="D661" s="6">
        <f>MONTH(E661)</f>
        <v/>
      </c>
      <c r="E661" s="267">
        <f>IFERROR(__xludf.DUMMYFUNCTION("""COMPUTED_VALUE"""),44055.6666666666)</f>
        <v/>
      </c>
      <c r="F661" s="6">
        <f>IFERROR(__xludf.DUMMYFUNCTION("""COMPUTED_VALUE"""),3380.35)</f>
        <v/>
      </c>
      <c r="J661" s="6">
        <f>K661&amp;L661</f>
        <v/>
      </c>
      <c r="K661" s="6">
        <f>YEAR(M661)</f>
        <v/>
      </c>
      <c r="L661" s="6">
        <f>MONTH(M661)</f>
        <v/>
      </c>
      <c r="M661" s="267">
        <f>IFERROR(__xludf.DUMMYFUNCTION("""COMPUTED_VALUE"""),44049.6666666666)</f>
        <v/>
      </c>
      <c r="N661" s="6">
        <f>IFERROR(__xludf.DUMMYFUNCTION("""COMPUTED_VALUE"""),11108.07)</f>
        <v/>
      </c>
      <c r="R661" s="6">
        <f>S661&amp;T661</f>
        <v/>
      </c>
      <c r="S661" s="6">
        <f>YEAR(U661)</f>
        <v/>
      </c>
      <c r="T661" s="6">
        <f>MONTH(U661)</f>
        <v/>
      </c>
      <c r="U661" s="267">
        <f>IFERROR(__xludf.DUMMYFUNCTION("""COMPUTED_VALUE"""),44083.6458333333)</f>
        <v/>
      </c>
      <c r="V661" s="6">
        <f>IFERROR(__xludf.DUMMYFUNCTION("""COMPUTED_VALUE"""),2375.81)</f>
        <v/>
      </c>
      <c r="Z661" s="6">
        <f>AA661&amp;AB661</f>
        <v/>
      </c>
      <c r="AA661" s="6">
        <f>YEAR(AC661)</f>
        <v/>
      </c>
      <c r="AB661" s="6">
        <f>MONTH(AC661)</f>
        <v/>
      </c>
      <c r="AC661" s="267">
        <f>IFERROR(__xludf.DUMMYFUNCTION("""COMPUTED_VALUE"""),43797.9986111111)</f>
        <v/>
      </c>
      <c r="AD661" s="6">
        <f>IFERROR(__xludf.DUMMYFUNCTION("""COMPUTED_VALUE"""),1177.01)</f>
        <v/>
      </c>
      <c r="AH661" s="6">
        <f>AI661&amp;AJ661</f>
        <v/>
      </c>
      <c r="AI661" s="6">
        <f>YEAR(AK661)</f>
        <v/>
      </c>
      <c r="AJ661" s="6">
        <f>MONTH(AK661)</f>
        <v/>
      </c>
      <c r="AK661" s="267">
        <f>IFERROR(__xludf.DUMMYFUNCTION("""COMPUTED_VALUE"""),43753.9986111111)</f>
        <v/>
      </c>
      <c r="AL661" s="6">
        <f>IFERROR(__xludf.DUMMYFUNCTION("""COMPUTED_VALUE"""),8170.248)</f>
        <v/>
      </c>
      <c r="AP661" s="6">
        <f>AQ661&amp;AR661</f>
        <v/>
      </c>
      <c r="AQ661" s="6">
        <f>YEAR(AS661)</f>
        <v/>
      </c>
      <c r="AR661" s="6">
        <f>MONTH(AS661)</f>
        <v/>
      </c>
      <c r="AS661" s="267">
        <f>IFERROR(__xludf.DUMMYFUNCTION("""COMPUTED_VALUE"""),44064.9986111111)</f>
        <v/>
      </c>
      <c r="AT661" s="6">
        <f>IFERROR(__xludf.DUMMYFUNCTION("""COMPUTED_VALUE"""),1947)</f>
        <v/>
      </c>
    </row>
    <row r="662">
      <c r="B662" s="6">
        <f>C662&amp;D662</f>
        <v/>
      </c>
      <c r="C662" s="6">
        <f>YEAR(E662)</f>
        <v/>
      </c>
      <c r="D662" s="6">
        <f>MONTH(E662)</f>
        <v/>
      </c>
      <c r="E662" s="267">
        <f>IFERROR(__xludf.DUMMYFUNCTION("""COMPUTED_VALUE"""),44056.6666666666)</f>
        <v/>
      </c>
      <c r="F662" s="6">
        <f>IFERROR(__xludf.DUMMYFUNCTION("""COMPUTED_VALUE"""),3373.43)</f>
        <v/>
      </c>
      <c r="J662" s="6">
        <f>K662&amp;L662</f>
        <v/>
      </c>
      <c r="K662" s="6">
        <f>YEAR(M662)</f>
        <v/>
      </c>
      <c r="L662" s="6">
        <f>MONTH(M662)</f>
        <v/>
      </c>
      <c r="M662" s="267">
        <f>IFERROR(__xludf.DUMMYFUNCTION("""COMPUTED_VALUE"""),44050.6666666666)</f>
        <v/>
      </c>
      <c r="N662" s="6">
        <f>IFERROR(__xludf.DUMMYFUNCTION("""COMPUTED_VALUE"""),11010.98)</f>
        <v/>
      </c>
      <c r="R662" s="6">
        <f>S662&amp;T662</f>
        <v/>
      </c>
      <c r="S662" s="6">
        <f>YEAR(U662)</f>
        <v/>
      </c>
      <c r="T662" s="6">
        <f>MONTH(U662)</f>
        <v/>
      </c>
      <c r="U662" s="267">
        <f>IFERROR(__xludf.DUMMYFUNCTION("""COMPUTED_VALUE"""),44084.6458333333)</f>
        <v/>
      </c>
      <c r="V662" s="6">
        <f>IFERROR(__xludf.DUMMYFUNCTION("""COMPUTED_VALUE"""),2396.48)</f>
        <v/>
      </c>
      <c r="Z662" s="6">
        <f>AA662&amp;AB662</f>
        <v/>
      </c>
      <c r="AA662" s="6">
        <f>YEAR(AC662)</f>
        <v/>
      </c>
      <c r="AB662" s="6">
        <f>MONTH(AC662)</f>
        <v/>
      </c>
      <c r="AC662" s="267">
        <f>IFERROR(__xludf.DUMMYFUNCTION("""COMPUTED_VALUE"""),43798.9986111111)</f>
        <v/>
      </c>
      <c r="AD662" s="6">
        <f>IFERROR(__xludf.DUMMYFUNCTION("""COMPUTED_VALUE"""),1181.57)</f>
        <v/>
      </c>
      <c r="AH662" s="6">
        <f>AI662&amp;AJ662</f>
        <v/>
      </c>
      <c r="AI662" s="6">
        <f>YEAR(AK662)</f>
        <v/>
      </c>
      <c r="AJ662" s="6">
        <f>MONTH(AK662)</f>
        <v/>
      </c>
      <c r="AK662" s="267">
        <f>IFERROR(__xludf.DUMMYFUNCTION("""COMPUTED_VALUE"""),43754.9986111111)</f>
        <v/>
      </c>
      <c r="AL662" s="6">
        <f>IFERROR(__xludf.DUMMYFUNCTION("""COMPUTED_VALUE"""),8004.409)</f>
        <v/>
      </c>
      <c r="AP662" s="6">
        <f>AQ662&amp;AR662</f>
        <v/>
      </c>
      <c r="AQ662" s="6">
        <f>YEAR(AS662)</f>
        <v/>
      </c>
      <c r="AR662" s="6">
        <f>MONTH(AS662)</f>
        <v/>
      </c>
      <c r="AS662" s="267">
        <f>IFERROR(__xludf.DUMMYFUNCTION("""COMPUTED_VALUE"""),44067.9986111111)</f>
        <v/>
      </c>
      <c r="AT662" s="6">
        <f>IFERROR(__xludf.DUMMYFUNCTION("""COMPUTED_VALUE"""),1939.2)</f>
        <v/>
      </c>
    </row>
    <row r="663">
      <c r="B663" s="6">
        <f>C663&amp;D663</f>
        <v/>
      </c>
      <c r="C663" s="6">
        <f>YEAR(E663)</f>
        <v/>
      </c>
      <c r="D663" s="6">
        <f>MONTH(E663)</f>
        <v/>
      </c>
      <c r="E663" s="267">
        <f>IFERROR(__xludf.DUMMYFUNCTION("""COMPUTED_VALUE"""),44057.6666666666)</f>
        <v/>
      </c>
      <c r="F663" s="6">
        <f>IFERROR(__xludf.DUMMYFUNCTION("""COMPUTED_VALUE"""),3372.85)</f>
        <v/>
      </c>
      <c r="J663" s="6">
        <f>K663&amp;L663</f>
        <v/>
      </c>
      <c r="K663" s="6">
        <f>YEAR(M663)</f>
        <v/>
      </c>
      <c r="L663" s="6">
        <f>MONTH(M663)</f>
        <v/>
      </c>
      <c r="M663" s="267">
        <f>IFERROR(__xludf.DUMMYFUNCTION("""COMPUTED_VALUE"""),44053.6666666666)</f>
        <v/>
      </c>
      <c r="N663" s="6">
        <f>IFERROR(__xludf.DUMMYFUNCTION("""COMPUTED_VALUE"""),10968.36)</f>
        <v/>
      </c>
      <c r="R663" s="6">
        <f>S663&amp;T663</f>
        <v/>
      </c>
      <c r="S663" s="6">
        <f>YEAR(U663)</f>
        <v/>
      </c>
      <c r="T663" s="6">
        <f>MONTH(U663)</f>
        <v/>
      </c>
      <c r="U663" s="267">
        <f>IFERROR(__xludf.DUMMYFUNCTION("""COMPUTED_VALUE"""),44085.6458333333)</f>
        <v/>
      </c>
      <c r="V663" s="6">
        <f>IFERROR(__xludf.DUMMYFUNCTION("""COMPUTED_VALUE"""),2396.69)</f>
        <v/>
      </c>
      <c r="Z663" s="6">
        <f>AA663&amp;AB663</f>
        <v/>
      </c>
      <c r="AA663" s="6">
        <f>YEAR(AC663)</f>
        <v/>
      </c>
      <c r="AB663" s="6">
        <f>MONTH(AC663)</f>
        <v/>
      </c>
      <c r="AC663" s="267">
        <f>IFERROR(__xludf.DUMMYFUNCTION("""COMPUTED_VALUE"""),43799.9986111111)</f>
        <v/>
      </c>
      <c r="AD663" s="6">
        <f>IFERROR(__xludf.DUMMYFUNCTION("""COMPUTED_VALUE"""),1181.47)</f>
        <v/>
      </c>
      <c r="AH663" s="6">
        <f>AI663&amp;AJ663</f>
        <v/>
      </c>
      <c r="AI663" s="6">
        <f>YEAR(AK663)</f>
        <v/>
      </c>
      <c r="AJ663" s="6">
        <f>MONTH(AK663)</f>
        <v/>
      </c>
      <c r="AK663" s="267">
        <f>IFERROR(__xludf.DUMMYFUNCTION("""COMPUTED_VALUE"""),43755.9986111111)</f>
        <v/>
      </c>
      <c r="AL663" s="6">
        <f>IFERROR(__xludf.DUMMYFUNCTION("""COMPUTED_VALUE"""),8086.304)</f>
        <v/>
      </c>
      <c r="AP663" s="6">
        <f>AQ663&amp;AR663</f>
        <v/>
      </c>
      <c r="AQ663" s="6">
        <f>YEAR(AS663)</f>
        <v/>
      </c>
      <c r="AR663" s="6">
        <f>MONTH(AS663)</f>
        <v/>
      </c>
      <c r="AS663" s="267">
        <f>IFERROR(__xludf.DUMMYFUNCTION("""COMPUTED_VALUE"""),44068.9986111111)</f>
        <v/>
      </c>
      <c r="AT663" s="6">
        <f>IFERROR(__xludf.DUMMYFUNCTION("""COMPUTED_VALUE"""),1923.1)</f>
        <v/>
      </c>
    </row>
    <row r="664">
      <c r="B664" s="6">
        <f>C664&amp;D664</f>
        <v/>
      </c>
      <c r="C664" s="6">
        <f>YEAR(E664)</f>
        <v/>
      </c>
      <c r="D664" s="6">
        <f>MONTH(E664)</f>
        <v/>
      </c>
      <c r="E664" s="267">
        <f>IFERROR(__xludf.DUMMYFUNCTION("""COMPUTED_VALUE"""),44060.6666666666)</f>
        <v/>
      </c>
      <c r="F664" s="6">
        <f>IFERROR(__xludf.DUMMYFUNCTION("""COMPUTED_VALUE"""),3381.99)</f>
        <v/>
      </c>
      <c r="J664" s="6">
        <f>K664&amp;L664</f>
        <v/>
      </c>
      <c r="K664" s="6">
        <f>YEAR(M664)</f>
        <v/>
      </c>
      <c r="L664" s="6">
        <f>MONTH(M664)</f>
        <v/>
      </c>
      <c r="M664" s="267">
        <f>IFERROR(__xludf.DUMMYFUNCTION("""COMPUTED_VALUE"""),44054.6666666666)</f>
        <v/>
      </c>
      <c r="N664" s="6">
        <f>IFERROR(__xludf.DUMMYFUNCTION("""COMPUTED_VALUE"""),10782.82)</f>
        <v/>
      </c>
      <c r="R664" s="6">
        <f>S664&amp;T664</f>
        <v/>
      </c>
      <c r="S664" s="6">
        <f>YEAR(U664)</f>
        <v/>
      </c>
      <c r="T664" s="6">
        <f>MONTH(U664)</f>
        <v/>
      </c>
      <c r="U664" s="267">
        <f>IFERROR(__xludf.DUMMYFUNCTION("""COMPUTED_VALUE"""),44088.6458333333)</f>
        <v/>
      </c>
      <c r="V664" s="6">
        <f>IFERROR(__xludf.DUMMYFUNCTION("""COMPUTED_VALUE"""),2427.91)</f>
        <v/>
      </c>
      <c r="Z664" s="6">
        <f>AA664&amp;AB664</f>
        <v/>
      </c>
      <c r="AA664" s="6">
        <f>YEAR(AC664)</f>
        <v/>
      </c>
      <c r="AB664" s="6">
        <f>MONTH(AC664)</f>
        <v/>
      </c>
      <c r="AC664" s="267">
        <f>IFERROR(__xludf.DUMMYFUNCTION("""COMPUTED_VALUE"""),43800.9986111111)</f>
        <v/>
      </c>
      <c r="AD664" s="6">
        <f>IFERROR(__xludf.DUMMYFUNCTION("""COMPUTED_VALUE"""),1181.47)</f>
        <v/>
      </c>
      <c r="AH664" s="6">
        <f>AI664&amp;AJ664</f>
        <v/>
      </c>
      <c r="AI664" s="6">
        <f>YEAR(AK664)</f>
        <v/>
      </c>
      <c r="AJ664" s="6">
        <f>MONTH(AK664)</f>
        <v/>
      </c>
      <c r="AK664" s="267">
        <f>IFERROR(__xludf.DUMMYFUNCTION("""COMPUTED_VALUE"""),43756.9986111111)</f>
        <v/>
      </c>
      <c r="AL664" s="6">
        <f>IFERROR(__xludf.DUMMYFUNCTION("""COMPUTED_VALUE"""),7965.795)</f>
        <v/>
      </c>
      <c r="AP664" s="6">
        <f>AQ664&amp;AR664</f>
        <v/>
      </c>
      <c r="AQ664" s="6">
        <f>YEAR(AS664)</f>
        <v/>
      </c>
      <c r="AR664" s="6">
        <f>MONTH(AS664)</f>
        <v/>
      </c>
      <c r="AS664" s="267">
        <f>IFERROR(__xludf.DUMMYFUNCTION("""COMPUTED_VALUE"""),44069.9986111111)</f>
        <v/>
      </c>
      <c r="AT664" s="6">
        <f>IFERROR(__xludf.DUMMYFUNCTION("""COMPUTED_VALUE"""),1952.5)</f>
        <v/>
      </c>
    </row>
    <row r="665">
      <c r="B665" s="6">
        <f>C665&amp;D665</f>
        <v/>
      </c>
      <c r="C665" s="6">
        <f>YEAR(E665)</f>
        <v/>
      </c>
      <c r="D665" s="6">
        <f>MONTH(E665)</f>
        <v/>
      </c>
      <c r="E665" s="267">
        <f>IFERROR(__xludf.DUMMYFUNCTION("""COMPUTED_VALUE"""),44061.6666666666)</f>
        <v/>
      </c>
      <c r="F665" s="6">
        <f>IFERROR(__xludf.DUMMYFUNCTION("""COMPUTED_VALUE"""),3389.78)</f>
        <v/>
      </c>
      <c r="J665" s="6">
        <f>K665&amp;L665</f>
        <v/>
      </c>
      <c r="K665" s="6">
        <f>YEAR(M665)</f>
        <v/>
      </c>
      <c r="L665" s="6">
        <f>MONTH(M665)</f>
        <v/>
      </c>
      <c r="M665" s="267">
        <f>IFERROR(__xludf.DUMMYFUNCTION("""COMPUTED_VALUE"""),44055.6666666666)</f>
        <v/>
      </c>
      <c r="N665" s="6">
        <f>IFERROR(__xludf.DUMMYFUNCTION("""COMPUTED_VALUE"""),11012.24)</f>
        <v/>
      </c>
      <c r="R665" s="6">
        <f>S665&amp;T665</f>
        <v/>
      </c>
      <c r="S665" s="6">
        <f>YEAR(U665)</f>
        <v/>
      </c>
      <c r="T665" s="6">
        <f>MONTH(U665)</f>
        <v/>
      </c>
      <c r="U665" s="267">
        <f>IFERROR(__xludf.DUMMYFUNCTION("""COMPUTED_VALUE"""),44089.6458333333)</f>
        <v/>
      </c>
      <c r="V665" s="6">
        <f>IFERROR(__xludf.DUMMYFUNCTION("""COMPUTED_VALUE"""),2443.58)</f>
        <v/>
      </c>
      <c r="Z665" s="6">
        <f>AA665&amp;AB665</f>
        <v/>
      </c>
      <c r="AA665" s="6">
        <f>YEAR(AC665)</f>
        <v/>
      </c>
      <c r="AB665" s="6">
        <f>MONTH(AC665)</f>
        <v/>
      </c>
      <c r="AC665" s="267">
        <f>IFERROR(__xludf.DUMMYFUNCTION("""COMPUTED_VALUE"""),43801.9986111111)</f>
        <v/>
      </c>
      <c r="AD665" s="6">
        <f>IFERROR(__xludf.DUMMYFUNCTION("""COMPUTED_VALUE"""),1183.79)</f>
        <v/>
      </c>
      <c r="AH665" s="6">
        <f>AI665&amp;AJ665</f>
        <v/>
      </c>
      <c r="AI665" s="6">
        <f>YEAR(AK665)</f>
        <v/>
      </c>
      <c r="AJ665" s="6">
        <f>MONTH(AK665)</f>
        <v/>
      </c>
      <c r="AK665" s="267">
        <f>IFERROR(__xludf.DUMMYFUNCTION("""COMPUTED_VALUE"""),43757.9986111111)</f>
        <v/>
      </c>
      <c r="AL665" s="6">
        <f>IFERROR(__xludf.DUMMYFUNCTION("""COMPUTED_VALUE"""),7972.998)</f>
        <v/>
      </c>
      <c r="AP665" s="6">
        <f>AQ665&amp;AR665</f>
        <v/>
      </c>
      <c r="AQ665" s="6">
        <f>YEAR(AS665)</f>
        <v/>
      </c>
      <c r="AR665" s="6">
        <f>MONTH(AS665)</f>
        <v/>
      </c>
      <c r="AS665" s="267">
        <f>IFERROR(__xludf.DUMMYFUNCTION("""COMPUTED_VALUE"""),44070.9986111111)</f>
        <v/>
      </c>
      <c r="AT665" s="6">
        <f>IFERROR(__xludf.DUMMYFUNCTION("""COMPUTED_VALUE"""),1932.6)</f>
        <v/>
      </c>
    </row>
    <row r="666">
      <c r="B666" s="6">
        <f>C666&amp;D666</f>
        <v/>
      </c>
      <c r="C666" s="6">
        <f>YEAR(E666)</f>
        <v/>
      </c>
      <c r="D666" s="6">
        <f>MONTH(E666)</f>
        <v/>
      </c>
      <c r="E666" s="267">
        <f>IFERROR(__xludf.DUMMYFUNCTION("""COMPUTED_VALUE"""),44062.6666666666)</f>
        <v/>
      </c>
      <c r="F666" s="6">
        <f>IFERROR(__xludf.DUMMYFUNCTION("""COMPUTED_VALUE"""),3374.85)</f>
        <v/>
      </c>
      <c r="J666" s="6">
        <f>K666&amp;L666</f>
        <v/>
      </c>
      <c r="K666" s="6">
        <f>YEAR(M666)</f>
        <v/>
      </c>
      <c r="L666" s="6">
        <f>MONTH(M666)</f>
        <v/>
      </c>
      <c r="M666" s="267">
        <f>IFERROR(__xludf.DUMMYFUNCTION("""COMPUTED_VALUE"""),44056.6666666666)</f>
        <v/>
      </c>
      <c r="N666" s="6">
        <f>IFERROR(__xludf.DUMMYFUNCTION("""COMPUTED_VALUE"""),11042.5)</f>
        <v/>
      </c>
      <c r="R666" s="6">
        <f>S666&amp;T666</f>
        <v/>
      </c>
      <c r="S666" s="6">
        <f>YEAR(U666)</f>
        <v/>
      </c>
      <c r="T666" s="6">
        <f>MONTH(U666)</f>
        <v/>
      </c>
      <c r="U666" s="267">
        <f>IFERROR(__xludf.DUMMYFUNCTION("""COMPUTED_VALUE"""),44090.6458333333)</f>
        <v/>
      </c>
      <c r="V666" s="6">
        <f>IFERROR(__xludf.DUMMYFUNCTION("""COMPUTED_VALUE"""),2435.92)</f>
        <v/>
      </c>
      <c r="Z666" s="6">
        <f>AA666&amp;AB666</f>
        <v/>
      </c>
      <c r="AA666" s="6">
        <f>YEAR(AC666)</f>
        <v/>
      </c>
      <c r="AB666" s="6">
        <f>MONTH(AC666)</f>
        <v/>
      </c>
      <c r="AC666" s="267">
        <f>IFERROR(__xludf.DUMMYFUNCTION("""COMPUTED_VALUE"""),43802.9986111111)</f>
        <v/>
      </c>
      <c r="AD666" s="6">
        <f>IFERROR(__xludf.DUMMYFUNCTION("""COMPUTED_VALUE"""),1187.63)</f>
        <v/>
      </c>
      <c r="AH666" s="6">
        <f>AI666&amp;AJ666</f>
        <v/>
      </c>
      <c r="AI666" s="6">
        <f>YEAR(AK666)</f>
        <v/>
      </c>
      <c r="AJ666" s="6">
        <f>MONTH(AK666)</f>
        <v/>
      </c>
      <c r="AK666" s="267">
        <f>IFERROR(__xludf.DUMMYFUNCTION("""COMPUTED_VALUE"""),43758.9986111111)</f>
        <v/>
      </c>
      <c r="AL666" s="6">
        <f>IFERROR(__xludf.DUMMYFUNCTION("""COMPUTED_VALUE"""),8239.474)</f>
        <v/>
      </c>
      <c r="AP666" s="6">
        <f>AQ666&amp;AR666</f>
        <v/>
      </c>
      <c r="AQ666" s="6">
        <f>YEAR(AS666)</f>
        <v/>
      </c>
      <c r="AR666" s="6">
        <f>MONTH(AS666)</f>
        <v/>
      </c>
      <c r="AS666" s="267">
        <f>IFERROR(__xludf.DUMMYFUNCTION("""COMPUTED_VALUE"""),44071.9986111111)</f>
        <v/>
      </c>
      <c r="AT666" s="6">
        <f>IFERROR(__xludf.DUMMYFUNCTION("""COMPUTED_VALUE"""),1974.9)</f>
        <v/>
      </c>
    </row>
    <row r="667">
      <c r="B667" s="6">
        <f>C667&amp;D667</f>
        <v/>
      </c>
      <c r="C667" s="6">
        <f>YEAR(E667)</f>
        <v/>
      </c>
      <c r="D667" s="6">
        <f>MONTH(E667)</f>
        <v/>
      </c>
      <c r="E667" s="267">
        <f>IFERROR(__xludf.DUMMYFUNCTION("""COMPUTED_VALUE"""),44063.6666666666)</f>
        <v/>
      </c>
      <c r="F667" s="6">
        <f>IFERROR(__xludf.DUMMYFUNCTION("""COMPUTED_VALUE"""),3385.51)</f>
        <v/>
      </c>
      <c r="J667" s="6">
        <f>K667&amp;L667</f>
        <v/>
      </c>
      <c r="K667" s="6">
        <f>YEAR(M667)</f>
        <v/>
      </c>
      <c r="L667" s="6">
        <f>MONTH(M667)</f>
        <v/>
      </c>
      <c r="M667" s="267">
        <f>IFERROR(__xludf.DUMMYFUNCTION("""COMPUTED_VALUE"""),44057.6666666666)</f>
        <v/>
      </c>
      <c r="N667" s="6">
        <f>IFERROR(__xludf.DUMMYFUNCTION("""COMPUTED_VALUE"""),11019.3)</f>
        <v/>
      </c>
      <c r="R667" s="6">
        <f>S667&amp;T667</f>
        <v/>
      </c>
      <c r="S667" s="6">
        <f>YEAR(U667)</f>
        <v/>
      </c>
      <c r="T667" s="6">
        <f>MONTH(U667)</f>
        <v/>
      </c>
      <c r="U667" s="267">
        <f>IFERROR(__xludf.DUMMYFUNCTION("""COMPUTED_VALUE"""),44091.6458333333)</f>
        <v/>
      </c>
      <c r="V667" s="6">
        <f>IFERROR(__xludf.DUMMYFUNCTION("""COMPUTED_VALUE"""),2406.17)</f>
        <v/>
      </c>
      <c r="Z667" s="6">
        <f>AA667&amp;AB667</f>
        <v/>
      </c>
      <c r="AA667" s="6">
        <f>YEAR(AC667)</f>
        <v/>
      </c>
      <c r="AB667" s="6">
        <f>MONTH(AC667)</f>
        <v/>
      </c>
      <c r="AC667" s="267">
        <f>IFERROR(__xludf.DUMMYFUNCTION("""COMPUTED_VALUE"""),43803.9986111111)</f>
        <v/>
      </c>
      <c r="AD667" s="6">
        <f>IFERROR(__xludf.DUMMYFUNCTION("""COMPUTED_VALUE"""),1189.46)</f>
        <v/>
      </c>
      <c r="AH667" s="6">
        <f>AI667&amp;AJ667</f>
        <v/>
      </c>
      <c r="AI667" s="6">
        <f>YEAR(AK667)</f>
        <v/>
      </c>
      <c r="AJ667" s="6">
        <f>MONTH(AK667)</f>
        <v/>
      </c>
      <c r="AK667" s="267">
        <f>IFERROR(__xludf.DUMMYFUNCTION("""COMPUTED_VALUE"""),43759.9986111111)</f>
        <v/>
      </c>
      <c r="AL667" s="6">
        <f>IFERROR(__xludf.DUMMYFUNCTION("""COMPUTED_VALUE"""),8220.194)</f>
        <v/>
      </c>
      <c r="AP667" s="6">
        <f>AQ667&amp;AR667</f>
        <v/>
      </c>
      <c r="AQ667" s="6">
        <f>YEAR(AS667)</f>
        <v/>
      </c>
      <c r="AR667" s="6">
        <f>MONTH(AS667)</f>
        <v/>
      </c>
      <c r="AS667" s="267">
        <f>IFERROR(__xludf.DUMMYFUNCTION("""COMPUTED_VALUE"""),44074.9986111111)</f>
        <v/>
      </c>
      <c r="AT667" s="6">
        <f>IFERROR(__xludf.DUMMYFUNCTION("""COMPUTED_VALUE"""),1978.6)</f>
        <v/>
      </c>
    </row>
    <row r="668">
      <c r="B668" s="6">
        <f>C668&amp;D668</f>
        <v/>
      </c>
      <c r="C668" s="6">
        <f>YEAR(E668)</f>
        <v/>
      </c>
      <c r="D668" s="6">
        <f>MONTH(E668)</f>
        <v/>
      </c>
      <c r="E668" s="267">
        <f>IFERROR(__xludf.DUMMYFUNCTION("""COMPUTED_VALUE"""),44064.6666666666)</f>
        <v/>
      </c>
      <c r="F668" s="6">
        <f>IFERROR(__xludf.DUMMYFUNCTION("""COMPUTED_VALUE"""),3397.16)</f>
        <v/>
      </c>
      <c r="J668" s="6">
        <f>K668&amp;L668</f>
        <v/>
      </c>
      <c r="K668" s="6">
        <f>YEAR(M668)</f>
        <v/>
      </c>
      <c r="L668" s="6">
        <f>MONTH(M668)</f>
        <v/>
      </c>
      <c r="M668" s="267">
        <f>IFERROR(__xludf.DUMMYFUNCTION("""COMPUTED_VALUE"""),44060.6666666666)</f>
        <v/>
      </c>
      <c r="N668" s="6">
        <f>IFERROR(__xludf.DUMMYFUNCTION("""COMPUTED_VALUE"""),11129.73)</f>
        <v/>
      </c>
      <c r="R668" s="6">
        <f>S668&amp;T668</f>
        <v/>
      </c>
      <c r="S668" s="6">
        <f>YEAR(U668)</f>
        <v/>
      </c>
      <c r="T668" s="6">
        <f>MONTH(U668)</f>
        <v/>
      </c>
      <c r="U668" s="267">
        <f>IFERROR(__xludf.DUMMYFUNCTION("""COMPUTED_VALUE"""),44092.6458333333)</f>
        <v/>
      </c>
      <c r="V668" s="6">
        <f>IFERROR(__xludf.DUMMYFUNCTION("""COMPUTED_VALUE"""),2412.4)</f>
        <v/>
      </c>
      <c r="Z668" s="6">
        <f>AA668&amp;AB668</f>
        <v/>
      </c>
      <c r="AA668" s="6">
        <f>YEAR(AC668)</f>
        <v/>
      </c>
      <c r="AB668" s="6">
        <f>MONTH(AC668)</f>
        <v/>
      </c>
      <c r="AC668" s="267">
        <f>IFERROR(__xludf.DUMMYFUNCTION("""COMPUTED_VALUE"""),43804.9986111111)</f>
        <v/>
      </c>
      <c r="AD668" s="6">
        <f>IFERROR(__xludf.DUMMYFUNCTION("""COMPUTED_VALUE"""),1187.98)</f>
        <v/>
      </c>
      <c r="AH668" s="6">
        <f>AI668&amp;AJ668</f>
        <v/>
      </c>
      <c r="AI668" s="6">
        <f>YEAR(AK668)</f>
        <v/>
      </c>
      <c r="AJ668" s="6">
        <f>MONTH(AK668)</f>
        <v/>
      </c>
      <c r="AK668" s="267">
        <f>IFERROR(__xludf.DUMMYFUNCTION("""COMPUTED_VALUE"""),43760.9986111111)</f>
        <v/>
      </c>
      <c r="AL668" s="6">
        <f>IFERROR(__xludf.DUMMYFUNCTION("""COMPUTED_VALUE"""),8033.617)</f>
        <v/>
      </c>
      <c r="AP668" s="6">
        <f>AQ668&amp;AR668</f>
        <v/>
      </c>
      <c r="AQ668" s="6">
        <f>YEAR(AS668)</f>
        <v/>
      </c>
      <c r="AR668" s="6">
        <f>MONTH(AS668)</f>
        <v/>
      </c>
      <c r="AS668" s="267">
        <f>IFERROR(__xludf.DUMMYFUNCTION("""COMPUTED_VALUE"""),44075.9986111111)</f>
        <v/>
      </c>
      <c r="AT668" s="6">
        <f>IFERROR(__xludf.DUMMYFUNCTION("""COMPUTED_VALUE"""),1978.9)</f>
        <v/>
      </c>
    </row>
    <row r="669">
      <c r="B669" s="6">
        <f>C669&amp;D669</f>
        <v/>
      </c>
      <c r="C669" s="6">
        <f>YEAR(E669)</f>
        <v/>
      </c>
      <c r="D669" s="6">
        <f>MONTH(E669)</f>
        <v/>
      </c>
      <c r="E669" s="267">
        <f>IFERROR(__xludf.DUMMYFUNCTION("""COMPUTED_VALUE"""),44067.6666666666)</f>
        <v/>
      </c>
      <c r="F669" s="6">
        <f>IFERROR(__xludf.DUMMYFUNCTION("""COMPUTED_VALUE"""),3431.28)</f>
        <v/>
      </c>
      <c r="J669" s="6">
        <f>K669&amp;L669</f>
        <v/>
      </c>
      <c r="K669" s="6">
        <f>YEAR(M669)</f>
        <v/>
      </c>
      <c r="L669" s="6">
        <f>MONTH(M669)</f>
        <v/>
      </c>
      <c r="M669" s="267">
        <f>IFERROR(__xludf.DUMMYFUNCTION("""COMPUTED_VALUE"""),44061.6666666666)</f>
        <v/>
      </c>
      <c r="N669" s="6">
        <f>IFERROR(__xludf.DUMMYFUNCTION("""COMPUTED_VALUE"""),11210.84)</f>
        <v/>
      </c>
      <c r="R669" s="6">
        <f>S669&amp;T669</f>
        <v/>
      </c>
      <c r="S669" s="6">
        <f>YEAR(U669)</f>
        <v/>
      </c>
      <c r="T669" s="6">
        <f>MONTH(U669)</f>
        <v/>
      </c>
      <c r="U669" s="267">
        <f>IFERROR(__xludf.DUMMYFUNCTION("""COMPUTED_VALUE"""),44095.6458333333)</f>
        <v/>
      </c>
      <c r="V669" s="6">
        <f>IFERROR(__xludf.DUMMYFUNCTION("""COMPUTED_VALUE"""),2389.39)</f>
        <v/>
      </c>
      <c r="Z669" s="6">
        <f>AA669&amp;AB669</f>
        <v/>
      </c>
      <c r="AA669" s="6">
        <f>YEAR(AC669)</f>
        <v/>
      </c>
      <c r="AB669" s="6">
        <f>MONTH(AC669)</f>
        <v/>
      </c>
      <c r="AC669" s="267">
        <f>IFERROR(__xludf.DUMMYFUNCTION("""COMPUTED_VALUE"""),43805.9986111111)</f>
        <v/>
      </c>
      <c r="AD669" s="6">
        <f>IFERROR(__xludf.DUMMYFUNCTION("""COMPUTED_VALUE"""),1186.11)</f>
        <v/>
      </c>
      <c r="AH669" s="6">
        <f>AI669&amp;AJ669</f>
        <v/>
      </c>
      <c r="AI669" s="6">
        <f>YEAR(AK669)</f>
        <v/>
      </c>
      <c r="AJ669" s="6">
        <f>MONTH(AK669)</f>
        <v/>
      </c>
      <c r="AK669" s="267">
        <f>IFERROR(__xludf.DUMMYFUNCTION("""COMPUTED_VALUE"""),43761.9986111111)</f>
        <v/>
      </c>
      <c r="AL669" s="6">
        <f>IFERROR(__xludf.DUMMYFUNCTION("""COMPUTED_VALUE"""),7463.521)</f>
        <v/>
      </c>
      <c r="AP669" s="6">
        <f>AQ669&amp;AR669</f>
        <v/>
      </c>
      <c r="AQ669" s="6">
        <f>YEAR(AS669)</f>
        <v/>
      </c>
      <c r="AR669" s="6">
        <f>MONTH(AS669)</f>
        <v/>
      </c>
      <c r="AS669" s="267">
        <f>IFERROR(__xludf.DUMMYFUNCTION("""COMPUTED_VALUE"""),44076.9986111111)</f>
        <v/>
      </c>
      <c r="AT669" s="6">
        <f>IFERROR(__xludf.DUMMYFUNCTION("""COMPUTED_VALUE"""),1944.7)</f>
        <v/>
      </c>
    </row>
    <row r="670">
      <c r="B670" s="6">
        <f>C670&amp;D670</f>
        <v/>
      </c>
      <c r="C670" s="6">
        <f>YEAR(E670)</f>
        <v/>
      </c>
      <c r="D670" s="6">
        <f>MONTH(E670)</f>
        <v/>
      </c>
      <c r="E670" s="267">
        <f>IFERROR(__xludf.DUMMYFUNCTION("""COMPUTED_VALUE"""),44068.6666666666)</f>
        <v/>
      </c>
      <c r="F670" s="6">
        <f>IFERROR(__xludf.DUMMYFUNCTION("""COMPUTED_VALUE"""),3443.62)</f>
        <v/>
      </c>
      <c r="J670" s="6">
        <f>K670&amp;L670</f>
        <v/>
      </c>
      <c r="K670" s="6">
        <f>YEAR(M670)</f>
        <v/>
      </c>
      <c r="L670" s="6">
        <f>MONTH(M670)</f>
        <v/>
      </c>
      <c r="M670" s="267">
        <f>IFERROR(__xludf.DUMMYFUNCTION("""COMPUTED_VALUE"""),44062.6666666666)</f>
        <v/>
      </c>
      <c r="N670" s="6">
        <f>IFERROR(__xludf.DUMMYFUNCTION("""COMPUTED_VALUE"""),11146.46)</f>
        <v/>
      </c>
      <c r="R670" s="6">
        <f>S670&amp;T670</f>
        <v/>
      </c>
      <c r="S670" s="6">
        <f>YEAR(U670)</f>
        <v/>
      </c>
      <c r="T670" s="6">
        <f>MONTH(U670)</f>
        <v/>
      </c>
      <c r="U670" s="267">
        <f>IFERROR(__xludf.DUMMYFUNCTION("""COMPUTED_VALUE"""),44096.6458333333)</f>
        <v/>
      </c>
      <c r="V670" s="6">
        <f>IFERROR(__xludf.DUMMYFUNCTION("""COMPUTED_VALUE"""),2332.59)</f>
        <v/>
      </c>
      <c r="Z670" s="6">
        <f>AA670&amp;AB670</f>
        <v/>
      </c>
      <c r="AA670" s="6">
        <f>YEAR(AC670)</f>
        <v/>
      </c>
      <c r="AB670" s="6">
        <f>MONTH(AC670)</f>
        <v/>
      </c>
      <c r="AC670" s="267">
        <f>IFERROR(__xludf.DUMMYFUNCTION("""COMPUTED_VALUE"""),43806.9986111111)</f>
        <v/>
      </c>
      <c r="AD670" s="6">
        <f>IFERROR(__xludf.DUMMYFUNCTION("""COMPUTED_VALUE"""),1186.11)</f>
        <v/>
      </c>
      <c r="AH670" s="6">
        <f>AI670&amp;AJ670</f>
        <v/>
      </c>
      <c r="AI670" s="6">
        <f>YEAR(AK670)</f>
        <v/>
      </c>
      <c r="AJ670" s="6">
        <f>MONTH(AK670)</f>
        <v/>
      </c>
      <c r="AK670" s="267">
        <f>IFERROR(__xludf.DUMMYFUNCTION("""COMPUTED_VALUE"""),43762.9986111111)</f>
        <v/>
      </c>
      <c r="AL670" s="6">
        <f>IFERROR(__xludf.DUMMYFUNCTION("""COMPUTED_VALUE"""),7439.174)</f>
        <v/>
      </c>
      <c r="AP670" s="6">
        <f>AQ670&amp;AR670</f>
        <v/>
      </c>
      <c r="AQ670" s="6">
        <f>YEAR(AS670)</f>
        <v/>
      </c>
      <c r="AR670" s="6">
        <f>MONTH(AS670)</f>
        <v/>
      </c>
      <c r="AS670" s="267">
        <f>IFERROR(__xludf.DUMMYFUNCTION("""COMPUTED_VALUE"""),44077.9986111111)</f>
        <v/>
      </c>
      <c r="AT670" s="6">
        <f>IFERROR(__xludf.DUMMYFUNCTION("""COMPUTED_VALUE"""),1937.8)</f>
        <v/>
      </c>
    </row>
    <row r="671">
      <c r="B671" s="6">
        <f>C671&amp;D671</f>
        <v/>
      </c>
      <c r="C671" s="6">
        <f>YEAR(E671)</f>
        <v/>
      </c>
      <c r="D671" s="6">
        <f>MONTH(E671)</f>
        <v/>
      </c>
      <c r="E671" s="267">
        <f>IFERROR(__xludf.DUMMYFUNCTION("""COMPUTED_VALUE"""),44069.6666666666)</f>
        <v/>
      </c>
      <c r="F671" s="6">
        <f>IFERROR(__xludf.DUMMYFUNCTION("""COMPUTED_VALUE"""),3478.73)</f>
        <v/>
      </c>
      <c r="J671" s="6">
        <f>K671&amp;L671</f>
        <v/>
      </c>
      <c r="K671" s="6">
        <f>YEAR(M671)</f>
        <v/>
      </c>
      <c r="L671" s="6">
        <f>MONTH(M671)</f>
        <v/>
      </c>
      <c r="M671" s="267">
        <f>IFERROR(__xludf.DUMMYFUNCTION("""COMPUTED_VALUE"""),44063.6666666666)</f>
        <v/>
      </c>
      <c r="N671" s="6">
        <f>IFERROR(__xludf.DUMMYFUNCTION("""COMPUTED_VALUE"""),11264.95)</f>
        <v/>
      </c>
      <c r="R671" s="6">
        <f>S671&amp;T671</f>
        <v/>
      </c>
      <c r="S671" s="6">
        <f>YEAR(U671)</f>
        <v/>
      </c>
      <c r="T671" s="6">
        <f>MONTH(U671)</f>
        <v/>
      </c>
      <c r="U671" s="267">
        <f>IFERROR(__xludf.DUMMYFUNCTION("""COMPUTED_VALUE"""),44097.6458333333)</f>
        <v/>
      </c>
      <c r="V671" s="6">
        <f>IFERROR(__xludf.DUMMYFUNCTION("""COMPUTED_VALUE"""),2333.24)</f>
        <v/>
      </c>
      <c r="Z671" s="6">
        <f>AA671&amp;AB671</f>
        <v/>
      </c>
      <c r="AA671" s="6">
        <f>YEAR(AC671)</f>
        <v/>
      </c>
      <c r="AB671" s="6">
        <f>MONTH(AC671)</f>
        <v/>
      </c>
      <c r="AC671" s="267">
        <f>IFERROR(__xludf.DUMMYFUNCTION("""COMPUTED_VALUE"""),43807.9986111111)</f>
        <v/>
      </c>
      <c r="AD671" s="6">
        <f>IFERROR(__xludf.DUMMYFUNCTION("""COMPUTED_VALUE"""),1186.11)</f>
        <v/>
      </c>
      <c r="AH671" s="6">
        <f>AI671&amp;AJ671</f>
        <v/>
      </c>
      <c r="AI671" s="6">
        <f>YEAR(AK671)</f>
        <v/>
      </c>
      <c r="AJ671" s="6">
        <f>MONTH(AK671)</f>
        <v/>
      </c>
      <c r="AK671" s="267">
        <f>IFERROR(__xludf.DUMMYFUNCTION("""COMPUTED_VALUE"""),43763.9986111111)</f>
        <v/>
      </c>
      <c r="AL671" s="6">
        <f>IFERROR(__xludf.DUMMYFUNCTION("""COMPUTED_VALUE"""),8669.673)</f>
        <v/>
      </c>
      <c r="AP671" s="6">
        <f>AQ671&amp;AR671</f>
        <v/>
      </c>
      <c r="AQ671" s="6">
        <f>YEAR(AS671)</f>
        <v/>
      </c>
      <c r="AR671" s="6">
        <f>MONTH(AS671)</f>
        <v/>
      </c>
      <c r="AS671" s="267">
        <f>IFERROR(__xludf.DUMMYFUNCTION("""COMPUTED_VALUE"""),44078.9986111111)</f>
        <v/>
      </c>
      <c r="AT671" s="6">
        <f>IFERROR(__xludf.DUMMYFUNCTION("""COMPUTED_VALUE"""),1934.3)</f>
        <v/>
      </c>
    </row>
    <row r="672">
      <c r="B672" s="6">
        <f>C672&amp;D672</f>
        <v/>
      </c>
      <c r="C672" s="6">
        <f>YEAR(E672)</f>
        <v/>
      </c>
      <c r="D672" s="6">
        <f>MONTH(E672)</f>
        <v/>
      </c>
      <c r="E672" s="267">
        <f>IFERROR(__xludf.DUMMYFUNCTION("""COMPUTED_VALUE"""),44070.6666666666)</f>
        <v/>
      </c>
      <c r="F672" s="6">
        <f>IFERROR(__xludf.DUMMYFUNCTION("""COMPUTED_VALUE"""),3484.55)</f>
        <v/>
      </c>
      <c r="J672" s="6">
        <f>K672&amp;L672</f>
        <v/>
      </c>
      <c r="K672" s="6">
        <f>YEAR(M672)</f>
        <v/>
      </c>
      <c r="L672" s="6">
        <f>MONTH(M672)</f>
        <v/>
      </c>
      <c r="M672" s="267">
        <f>IFERROR(__xludf.DUMMYFUNCTION("""COMPUTED_VALUE"""),44064.6666666666)</f>
        <v/>
      </c>
      <c r="N672" s="6">
        <f>IFERROR(__xludf.DUMMYFUNCTION("""COMPUTED_VALUE"""),11311.8)</f>
        <v/>
      </c>
      <c r="R672" s="6">
        <f>S672&amp;T672</f>
        <v/>
      </c>
      <c r="S672" s="6">
        <f>YEAR(U672)</f>
        <v/>
      </c>
      <c r="T672" s="6">
        <f>MONTH(U672)</f>
        <v/>
      </c>
      <c r="U672" s="267">
        <f>IFERROR(__xludf.DUMMYFUNCTION("""COMPUTED_VALUE"""),44098.6458333333)</f>
        <v/>
      </c>
      <c r="V672" s="6">
        <f>IFERROR(__xludf.DUMMYFUNCTION("""COMPUTED_VALUE"""),2272.7)</f>
        <v/>
      </c>
      <c r="Z672" s="6">
        <f>AA672&amp;AB672</f>
        <v/>
      </c>
      <c r="AA672" s="6">
        <f>YEAR(AC672)</f>
        <v/>
      </c>
      <c r="AB672" s="6">
        <f>MONTH(AC672)</f>
        <v/>
      </c>
      <c r="AC672" s="267">
        <f>IFERROR(__xludf.DUMMYFUNCTION("""COMPUTED_VALUE"""),43808.9986111111)</f>
        <v/>
      </c>
      <c r="AD672" s="6">
        <f>IFERROR(__xludf.DUMMYFUNCTION("""COMPUTED_VALUE"""),1188.68)</f>
        <v/>
      </c>
      <c r="AH672" s="6">
        <f>AI672&amp;AJ672</f>
        <v/>
      </c>
      <c r="AI672" s="6">
        <f>YEAR(AK672)</f>
        <v/>
      </c>
      <c r="AJ672" s="6">
        <f>MONTH(AK672)</f>
        <v/>
      </c>
      <c r="AK672" s="267">
        <f>IFERROR(__xludf.DUMMYFUNCTION("""COMPUTED_VALUE"""),43764.9986111111)</f>
        <v/>
      </c>
      <c r="AL672" s="6">
        <f>IFERROR(__xludf.DUMMYFUNCTION("""COMPUTED_VALUE"""),9257.699)</f>
        <v/>
      </c>
      <c r="AP672" s="6">
        <f>AQ672&amp;AR672</f>
        <v/>
      </c>
      <c r="AQ672" s="6">
        <f>YEAR(AS672)</f>
        <v/>
      </c>
      <c r="AR672" s="6">
        <f>MONTH(AS672)</f>
        <v/>
      </c>
      <c r="AS672" s="267">
        <f>IFERROR(__xludf.DUMMYFUNCTION("""COMPUTED_VALUE"""),44082.9986111111)</f>
        <v/>
      </c>
      <c r="AT672" s="6">
        <f>IFERROR(__xludf.DUMMYFUNCTION("""COMPUTED_VALUE"""),1943.2)</f>
        <v/>
      </c>
    </row>
    <row r="673">
      <c r="B673" s="6">
        <f>C673&amp;D673</f>
        <v/>
      </c>
      <c r="C673" s="6">
        <f>YEAR(E673)</f>
        <v/>
      </c>
      <c r="D673" s="6">
        <f>MONTH(E673)</f>
        <v/>
      </c>
      <c r="E673" s="267">
        <f>IFERROR(__xludf.DUMMYFUNCTION("""COMPUTED_VALUE"""),44071.6666666666)</f>
        <v/>
      </c>
      <c r="F673" s="6">
        <f>IFERROR(__xludf.DUMMYFUNCTION("""COMPUTED_VALUE"""),3508.01)</f>
        <v/>
      </c>
      <c r="J673" s="6">
        <f>K673&amp;L673</f>
        <v/>
      </c>
      <c r="K673" s="6">
        <f>YEAR(M673)</f>
        <v/>
      </c>
      <c r="L673" s="6">
        <f>MONTH(M673)</f>
        <v/>
      </c>
      <c r="M673" s="267">
        <f>IFERROR(__xludf.DUMMYFUNCTION("""COMPUTED_VALUE"""),44067.6666666666)</f>
        <v/>
      </c>
      <c r="N673" s="6">
        <f>IFERROR(__xludf.DUMMYFUNCTION("""COMPUTED_VALUE"""),11379.72)</f>
        <v/>
      </c>
      <c r="R673" s="6">
        <f>S673&amp;T673</f>
        <v/>
      </c>
      <c r="S673" s="6">
        <f>YEAR(U673)</f>
        <v/>
      </c>
      <c r="T673" s="6">
        <f>MONTH(U673)</f>
        <v/>
      </c>
      <c r="U673" s="267">
        <f>IFERROR(__xludf.DUMMYFUNCTION("""COMPUTED_VALUE"""),44099.6458333333)</f>
        <v/>
      </c>
      <c r="V673" s="6">
        <f>IFERROR(__xludf.DUMMYFUNCTION("""COMPUTED_VALUE"""),2278.79)</f>
        <v/>
      </c>
      <c r="Z673" s="6">
        <f>AA673&amp;AB673</f>
        <v/>
      </c>
      <c r="AA673" s="6">
        <f>YEAR(AC673)</f>
        <v/>
      </c>
      <c r="AB673" s="6">
        <f>MONTH(AC673)</f>
        <v/>
      </c>
      <c r="AC673" s="267">
        <f>IFERROR(__xludf.DUMMYFUNCTION("""COMPUTED_VALUE"""),43809.9986111111)</f>
        <v/>
      </c>
      <c r="AD673" s="6">
        <f>IFERROR(__xludf.DUMMYFUNCTION("""COMPUTED_VALUE"""),1189.07)</f>
        <v/>
      </c>
      <c r="AH673" s="6">
        <f>AI673&amp;AJ673</f>
        <v/>
      </c>
      <c r="AI673" s="6">
        <f>YEAR(AK673)</f>
        <v/>
      </c>
      <c r="AJ673" s="6">
        <f>MONTH(AK673)</f>
        <v/>
      </c>
      <c r="AK673" s="267">
        <f>IFERROR(__xludf.DUMMYFUNCTION("""COMPUTED_VALUE"""),43765.9986111111)</f>
        <v/>
      </c>
      <c r="AL673" s="6">
        <f>IFERROR(__xludf.DUMMYFUNCTION("""COMPUTED_VALUE"""),9550.732)</f>
        <v/>
      </c>
      <c r="AP673" s="6">
        <f>AQ673&amp;AR673</f>
        <v/>
      </c>
      <c r="AQ673" s="6">
        <f>YEAR(AS673)</f>
        <v/>
      </c>
      <c r="AR673" s="6">
        <f>MONTH(AS673)</f>
        <v/>
      </c>
      <c r="AS673" s="267">
        <f>IFERROR(__xludf.DUMMYFUNCTION("""COMPUTED_VALUE"""),44083.9986111111)</f>
        <v/>
      </c>
      <c r="AT673" s="6">
        <f>IFERROR(__xludf.DUMMYFUNCTION("""COMPUTED_VALUE"""),1954.9)</f>
        <v/>
      </c>
    </row>
    <row r="674">
      <c r="B674" s="6">
        <f>C674&amp;D674</f>
        <v/>
      </c>
      <c r="C674" s="6">
        <f>YEAR(E674)</f>
        <v/>
      </c>
      <c r="D674" s="6">
        <f>MONTH(E674)</f>
        <v/>
      </c>
      <c r="E674" s="267">
        <f>IFERROR(__xludf.DUMMYFUNCTION("""COMPUTED_VALUE"""),44074.6666666666)</f>
        <v/>
      </c>
      <c r="F674" s="6">
        <f>IFERROR(__xludf.DUMMYFUNCTION("""COMPUTED_VALUE"""),3500.31)</f>
        <v/>
      </c>
      <c r="J674" s="6">
        <f>K674&amp;L674</f>
        <v/>
      </c>
      <c r="K674" s="6">
        <f>YEAR(M674)</f>
        <v/>
      </c>
      <c r="L674" s="6">
        <f>MONTH(M674)</f>
        <v/>
      </c>
      <c r="M674" s="267">
        <f>IFERROR(__xludf.DUMMYFUNCTION("""COMPUTED_VALUE"""),44068.6666666666)</f>
        <v/>
      </c>
      <c r="N674" s="6">
        <f>IFERROR(__xludf.DUMMYFUNCTION("""COMPUTED_VALUE"""),11466.47)</f>
        <v/>
      </c>
      <c r="R674" s="6">
        <f>S674&amp;T674</f>
        <v/>
      </c>
      <c r="S674" s="6">
        <f>YEAR(U674)</f>
        <v/>
      </c>
      <c r="T674" s="6">
        <f>MONTH(U674)</f>
        <v/>
      </c>
      <c r="U674" s="267">
        <f>IFERROR(__xludf.DUMMYFUNCTION("""COMPUTED_VALUE"""),44102.6458333333)</f>
        <v/>
      </c>
      <c r="V674" s="6">
        <f>IFERROR(__xludf.DUMMYFUNCTION("""COMPUTED_VALUE"""),2308.08)</f>
        <v/>
      </c>
      <c r="Z674" s="6">
        <f>AA674&amp;AB674</f>
        <v/>
      </c>
      <c r="AA674" s="6">
        <f>YEAR(AC674)</f>
        <v/>
      </c>
      <c r="AB674" s="6">
        <f>MONTH(AC674)</f>
        <v/>
      </c>
      <c r="AC674" s="267">
        <f>IFERROR(__xludf.DUMMYFUNCTION("""COMPUTED_VALUE"""),43810.9986111111)</f>
        <v/>
      </c>
      <c r="AD674" s="6">
        <f>IFERROR(__xludf.DUMMYFUNCTION("""COMPUTED_VALUE"""),1187.93)</f>
        <v/>
      </c>
      <c r="AH674" s="6">
        <f>AI674&amp;AJ674</f>
        <v/>
      </c>
      <c r="AI674" s="6">
        <f>YEAR(AK674)</f>
        <v/>
      </c>
      <c r="AJ674" s="6">
        <f>MONTH(AK674)</f>
        <v/>
      </c>
      <c r="AK674" s="267">
        <f>IFERROR(__xludf.DUMMYFUNCTION("""COMPUTED_VALUE"""),43766.9986111111)</f>
        <v/>
      </c>
      <c r="AL674" s="6">
        <f>IFERROR(__xludf.DUMMYFUNCTION("""COMPUTED_VALUE"""),9221.572)</f>
        <v/>
      </c>
      <c r="AP674" s="6">
        <f>AQ674&amp;AR674</f>
        <v/>
      </c>
      <c r="AQ674" s="6">
        <f>YEAR(AS674)</f>
        <v/>
      </c>
      <c r="AR674" s="6">
        <f>MONTH(AS674)</f>
        <v/>
      </c>
      <c r="AS674" s="267">
        <f>IFERROR(__xludf.DUMMYFUNCTION("""COMPUTED_VALUE"""),44084.9986111111)</f>
        <v/>
      </c>
      <c r="AT674" s="6">
        <f>IFERROR(__xludf.DUMMYFUNCTION("""COMPUTED_VALUE"""),1964.3)</f>
        <v/>
      </c>
    </row>
    <row r="675">
      <c r="B675" s="6">
        <f>C675&amp;D675</f>
        <v/>
      </c>
      <c r="C675" s="6">
        <f>YEAR(E675)</f>
        <v/>
      </c>
      <c r="D675" s="6">
        <f>MONTH(E675)</f>
        <v/>
      </c>
      <c r="E675" s="267">
        <f>IFERROR(__xludf.DUMMYFUNCTION("""COMPUTED_VALUE"""),44075.6666666666)</f>
        <v/>
      </c>
      <c r="F675" s="6">
        <f>IFERROR(__xludf.DUMMYFUNCTION("""COMPUTED_VALUE"""),3526.65)</f>
        <v/>
      </c>
      <c r="J675" s="6">
        <f>K675&amp;L675</f>
        <v/>
      </c>
      <c r="K675" s="6">
        <f>YEAR(M675)</f>
        <v/>
      </c>
      <c r="L675" s="6">
        <f>MONTH(M675)</f>
        <v/>
      </c>
      <c r="M675" s="267">
        <f>IFERROR(__xludf.DUMMYFUNCTION("""COMPUTED_VALUE"""),44069.6666666666)</f>
        <v/>
      </c>
      <c r="N675" s="6">
        <f>IFERROR(__xludf.DUMMYFUNCTION("""COMPUTED_VALUE"""),11665.06)</f>
        <v/>
      </c>
      <c r="R675" s="6">
        <f>S675&amp;T675</f>
        <v/>
      </c>
      <c r="S675" s="6">
        <f>YEAR(U675)</f>
        <v/>
      </c>
      <c r="T675" s="6">
        <f>MONTH(U675)</f>
        <v/>
      </c>
      <c r="U675" s="267">
        <f>IFERROR(__xludf.DUMMYFUNCTION("""COMPUTED_VALUE"""),44103.6458333333)</f>
        <v/>
      </c>
      <c r="V675" s="6">
        <f>IFERROR(__xludf.DUMMYFUNCTION("""COMPUTED_VALUE"""),2327.89)</f>
        <v/>
      </c>
      <c r="Z675" s="6">
        <f>AA675&amp;AB675</f>
        <v/>
      </c>
      <c r="AA675" s="6">
        <f>YEAR(AC675)</f>
        <v/>
      </c>
      <c r="AB675" s="6">
        <f>MONTH(AC675)</f>
        <v/>
      </c>
      <c r="AC675" s="267">
        <f>IFERROR(__xludf.DUMMYFUNCTION("""COMPUTED_VALUE"""),43811.9986111111)</f>
        <v/>
      </c>
      <c r="AD675" s="6">
        <f>IFERROR(__xludf.DUMMYFUNCTION("""COMPUTED_VALUE"""),1169.59)</f>
        <v/>
      </c>
      <c r="AH675" s="6">
        <f>AI675&amp;AJ675</f>
        <v/>
      </c>
      <c r="AI675" s="6">
        <f>YEAR(AK675)</f>
        <v/>
      </c>
      <c r="AJ675" s="6">
        <f>MONTH(AK675)</f>
        <v/>
      </c>
      <c r="AK675" s="267">
        <f>IFERROR(__xludf.DUMMYFUNCTION("""COMPUTED_VALUE"""),43767.9986111111)</f>
        <v/>
      </c>
      <c r="AL675" s="6">
        <f>IFERROR(__xludf.DUMMYFUNCTION("""COMPUTED_VALUE"""),9433.596)</f>
        <v/>
      </c>
      <c r="AP675" s="6">
        <f>AQ675&amp;AR675</f>
        <v/>
      </c>
      <c r="AQ675" s="6">
        <f>YEAR(AS675)</f>
        <v/>
      </c>
      <c r="AR675" s="6">
        <f>MONTH(AS675)</f>
        <v/>
      </c>
      <c r="AS675" s="267">
        <f>IFERROR(__xludf.DUMMYFUNCTION("""COMPUTED_VALUE"""),44085.9986111111)</f>
        <v/>
      </c>
      <c r="AT675" s="6">
        <f>IFERROR(__xludf.DUMMYFUNCTION("""COMPUTED_VALUE"""),1947.9)</f>
        <v/>
      </c>
    </row>
    <row r="676">
      <c r="B676" s="6">
        <f>C676&amp;D676</f>
        <v/>
      </c>
      <c r="C676" s="6">
        <f>YEAR(E676)</f>
        <v/>
      </c>
      <c r="D676" s="6">
        <f>MONTH(E676)</f>
        <v/>
      </c>
      <c r="E676" s="267">
        <f>IFERROR(__xludf.DUMMYFUNCTION("""COMPUTED_VALUE"""),44076.6666666666)</f>
        <v/>
      </c>
      <c r="F676" s="6">
        <f>IFERROR(__xludf.DUMMYFUNCTION("""COMPUTED_VALUE"""),3580.84)</f>
        <v/>
      </c>
      <c r="J676" s="6">
        <f>K676&amp;L676</f>
        <v/>
      </c>
      <c r="K676" s="6">
        <f>YEAR(M676)</f>
        <v/>
      </c>
      <c r="L676" s="6">
        <f>MONTH(M676)</f>
        <v/>
      </c>
      <c r="M676" s="267">
        <f>IFERROR(__xludf.DUMMYFUNCTION("""COMPUTED_VALUE"""),44070.6666666666)</f>
        <v/>
      </c>
      <c r="N676" s="6">
        <f>IFERROR(__xludf.DUMMYFUNCTION("""COMPUTED_VALUE"""),11625.34)</f>
        <v/>
      </c>
      <c r="R676" s="6">
        <f>S676&amp;T676</f>
        <v/>
      </c>
      <c r="S676" s="6">
        <f>YEAR(U676)</f>
        <v/>
      </c>
      <c r="T676" s="6">
        <f>MONTH(U676)</f>
        <v/>
      </c>
      <c r="U676" s="267">
        <f>IFERROR(__xludf.DUMMYFUNCTION("""COMPUTED_VALUE"""),44109.6458333333)</f>
        <v/>
      </c>
      <c r="V676" s="6">
        <f>IFERROR(__xludf.DUMMYFUNCTION("""COMPUTED_VALUE"""),2358)</f>
        <v/>
      </c>
      <c r="Z676" s="6">
        <f>AA676&amp;AB676</f>
        <v/>
      </c>
      <c r="AA676" s="6">
        <f>YEAR(AC676)</f>
        <v/>
      </c>
      <c r="AB676" s="6">
        <f>MONTH(AC676)</f>
        <v/>
      </c>
      <c r="AC676" s="267">
        <f>IFERROR(__xludf.DUMMYFUNCTION("""COMPUTED_VALUE"""),43812.9986111111)</f>
        <v/>
      </c>
      <c r="AD676" s="6">
        <f>IFERROR(__xludf.DUMMYFUNCTION("""COMPUTED_VALUE"""),1172.53)</f>
        <v/>
      </c>
      <c r="AH676" s="6">
        <f>AI676&amp;AJ676</f>
        <v/>
      </c>
      <c r="AI676" s="6">
        <f>YEAR(AK676)</f>
        <v/>
      </c>
      <c r="AJ676" s="6">
        <f>MONTH(AK676)</f>
        <v/>
      </c>
      <c r="AK676" s="267">
        <f>IFERROR(__xludf.DUMMYFUNCTION("""COMPUTED_VALUE"""),43768.9986111111)</f>
        <v/>
      </c>
      <c r="AL676" s="6">
        <f>IFERROR(__xludf.DUMMYFUNCTION("""COMPUTED_VALUE"""),9168.93)</f>
        <v/>
      </c>
      <c r="AP676" s="6">
        <f>AQ676&amp;AR676</f>
        <v/>
      </c>
      <c r="AQ676" s="6">
        <f>YEAR(AS676)</f>
        <v/>
      </c>
      <c r="AR676" s="6">
        <f>MONTH(AS676)</f>
        <v/>
      </c>
      <c r="AS676" s="267">
        <f>IFERROR(__xludf.DUMMYFUNCTION("""COMPUTED_VALUE"""),44088.9986111111)</f>
        <v/>
      </c>
      <c r="AT676" s="6">
        <f>IFERROR(__xludf.DUMMYFUNCTION("""COMPUTED_VALUE"""),1963.7)</f>
        <v/>
      </c>
    </row>
    <row r="677">
      <c r="B677" s="6">
        <f>C677&amp;D677</f>
        <v/>
      </c>
      <c r="C677" s="6">
        <f>YEAR(E677)</f>
        <v/>
      </c>
      <c r="D677" s="6">
        <f>MONTH(E677)</f>
        <v/>
      </c>
      <c r="E677" s="267">
        <f>IFERROR(__xludf.DUMMYFUNCTION("""COMPUTED_VALUE"""),44077.6666666666)</f>
        <v/>
      </c>
      <c r="F677" s="6">
        <f>IFERROR(__xludf.DUMMYFUNCTION("""COMPUTED_VALUE"""),3455.06)</f>
        <v/>
      </c>
      <c r="J677" s="6">
        <f>K677&amp;L677</f>
        <v/>
      </c>
      <c r="K677" s="6">
        <f>YEAR(M677)</f>
        <v/>
      </c>
      <c r="L677" s="6">
        <f>MONTH(M677)</f>
        <v/>
      </c>
      <c r="M677" s="267">
        <f>IFERROR(__xludf.DUMMYFUNCTION("""COMPUTED_VALUE"""),44071.6666666666)</f>
        <v/>
      </c>
      <c r="N677" s="6">
        <f>IFERROR(__xludf.DUMMYFUNCTION("""COMPUTED_VALUE"""),11695.63)</f>
        <v/>
      </c>
      <c r="R677" s="6">
        <f>S677&amp;T677</f>
        <v/>
      </c>
      <c r="S677" s="6">
        <f>YEAR(U677)</f>
        <v/>
      </c>
      <c r="T677" s="6">
        <f>MONTH(U677)</f>
        <v/>
      </c>
      <c r="U677" s="267">
        <f>IFERROR(__xludf.DUMMYFUNCTION("""COMPUTED_VALUE"""),44110.6458333333)</f>
        <v/>
      </c>
      <c r="V677" s="6">
        <f>IFERROR(__xludf.DUMMYFUNCTION("""COMPUTED_VALUE"""),2365.9)</f>
        <v/>
      </c>
      <c r="Z677" s="6">
        <f>AA677&amp;AB677</f>
        <v/>
      </c>
      <c r="AA677" s="6">
        <f>YEAR(AC677)</f>
        <v/>
      </c>
      <c r="AB677" s="6">
        <f>MONTH(AC677)</f>
        <v/>
      </c>
      <c r="AC677" s="267">
        <f>IFERROR(__xludf.DUMMYFUNCTION("""COMPUTED_VALUE"""),43813.9986111111)</f>
        <v/>
      </c>
      <c r="AD677" s="6">
        <f>IFERROR(__xludf.DUMMYFUNCTION("""COMPUTED_VALUE"""),1172.53)</f>
        <v/>
      </c>
      <c r="AH677" s="6">
        <f>AI677&amp;AJ677</f>
        <v/>
      </c>
      <c r="AI677" s="6">
        <f>YEAR(AK677)</f>
        <v/>
      </c>
      <c r="AJ677" s="6">
        <f>MONTH(AK677)</f>
        <v/>
      </c>
      <c r="AK677" s="267">
        <f>IFERROR(__xludf.DUMMYFUNCTION("""COMPUTED_VALUE"""),43769.9986111111)</f>
        <v/>
      </c>
      <c r="AL677" s="6">
        <f>IFERROR(__xludf.DUMMYFUNCTION("""COMPUTED_VALUE"""),9159.36)</f>
        <v/>
      </c>
      <c r="AP677" s="6">
        <f>AQ677&amp;AR677</f>
        <v/>
      </c>
      <c r="AQ677" s="6">
        <f>YEAR(AS677)</f>
        <v/>
      </c>
      <c r="AR677" s="6">
        <f>MONTH(AS677)</f>
        <v/>
      </c>
      <c r="AS677" s="267">
        <f>IFERROR(__xludf.DUMMYFUNCTION("""COMPUTED_VALUE"""),44089.9986111111)</f>
        <v/>
      </c>
      <c r="AT677" s="6">
        <f>IFERROR(__xludf.DUMMYFUNCTION("""COMPUTED_VALUE"""),1966.2)</f>
        <v/>
      </c>
    </row>
    <row r="678">
      <c r="B678" s="6">
        <f>C678&amp;D678</f>
        <v/>
      </c>
      <c r="C678" s="6">
        <f>YEAR(E678)</f>
        <v/>
      </c>
      <c r="D678" s="6">
        <f>MONTH(E678)</f>
        <v/>
      </c>
      <c r="E678" s="267">
        <f>IFERROR(__xludf.DUMMYFUNCTION("""COMPUTED_VALUE"""),44078.6666666666)</f>
        <v/>
      </c>
      <c r="F678" s="6">
        <f>IFERROR(__xludf.DUMMYFUNCTION("""COMPUTED_VALUE"""),3426.96)</f>
        <v/>
      </c>
      <c r="J678" s="6">
        <f>K678&amp;L678</f>
        <v/>
      </c>
      <c r="K678" s="6">
        <f>YEAR(M678)</f>
        <v/>
      </c>
      <c r="L678" s="6">
        <f>MONTH(M678)</f>
        <v/>
      </c>
      <c r="M678" s="267">
        <f>IFERROR(__xludf.DUMMYFUNCTION("""COMPUTED_VALUE"""),44074.6666666666)</f>
        <v/>
      </c>
      <c r="N678" s="6">
        <f>IFERROR(__xludf.DUMMYFUNCTION("""COMPUTED_VALUE"""),11775.46)</f>
        <v/>
      </c>
      <c r="R678" s="6">
        <f>S678&amp;T678</f>
        <v/>
      </c>
      <c r="S678" s="6">
        <f>YEAR(U678)</f>
        <v/>
      </c>
      <c r="T678" s="6">
        <f>MONTH(U678)</f>
        <v/>
      </c>
      <c r="U678" s="267">
        <f>IFERROR(__xludf.DUMMYFUNCTION("""COMPUTED_VALUE"""),44111.6458333333)</f>
        <v/>
      </c>
      <c r="V678" s="6">
        <f>IFERROR(__xludf.DUMMYFUNCTION("""COMPUTED_VALUE"""),2386.94)</f>
        <v/>
      </c>
      <c r="Z678" s="6">
        <f>AA678&amp;AB678</f>
        <v/>
      </c>
      <c r="AA678" s="6">
        <f>YEAR(AC678)</f>
        <v/>
      </c>
      <c r="AB678" s="6">
        <f>MONTH(AC678)</f>
        <v/>
      </c>
      <c r="AC678" s="267">
        <f>IFERROR(__xludf.DUMMYFUNCTION("""COMPUTED_VALUE"""),43814.9986111111)</f>
        <v/>
      </c>
      <c r="AD678" s="6">
        <f>IFERROR(__xludf.DUMMYFUNCTION("""COMPUTED_VALUE"""),1172.53)</f>
        <v/>
      </c>
      <c r="AH678" s="6">
        <f>AI678&amp;AJ678</f>
        <v/>
      </c>
      <c r="AI678" s="6">
        <f>YEAR(AK678)</f>
        <v/>
      </c>
      <c r="AJ678" s="6">
        <f>MONTH(AK678)</f>
        <v/>
      </c>
      <c r="AK678" s="267">
        <f>IFERROR(__xludf.DUMMYFUNCTION("""COMPUTED_VALUE"""),43770.9986111111)</f>
        <v/>
      </c>
      <c r="AL678" s="6">
        <f>IFERROR(__xludf.DUMMYFUNCTION("""COMPUTED_VALUE"""),9257.186)</f>
        <v/>
      </c>
      <c r="AP678" s="6">
        <f>AQ678&amp;AR678</f>
        <v/>
      </c>
      <c r="AQ678" s="6">
        <f>YEAR(AS678)</f>
        <v/>
      </c>
      <c r="AR678" s="6">
        <f>MONTH(AS678)</f>
        <v/>
      </c>
      <c r="AS678" s="267">
        <f>IFERROR(__xludf.DUMMYFUNCTION("""COMPUTED_VALUE"""),44090.9986111111)</f>
        <v/>
      </c>
      <c r="AT678" s="6">
        <f>IFERROR(__xludf.DUMMYFUNCTION("""COMPUTED_VALUE"""),1970.5)</f>
        <v/>
      </c>
    </row>
    <row r="679">
      <c r="B679" s="6">
        <f>C679&amp;D679</f>
        <v/>
      </c>
      <c r="C679" s="6">
        <f>YEAR(E679)</f>
        <v/>
      </c>
      <c r="D679" s="6">
        <f>MONTH(E679)</f>
        <v/>
      </c>
      <c r="E679" s="267">
        <f>IFERROR(__xludf.DUMMYFUNCTION("""COMPUTED_VALUE"""),44082.6666666666)</f>
        <v/>
      </c>
      <c r="F679" s="6">
        <f>IFERROR(__xludf.DUMMYFUNCTION("""COMPUTED_VALUE"""),3331.84)</f>
        <v/>
      </c>
      <c r="J679" s="6">
        <f>K679&amp;L679</f>
        <v/>
      </c>
      <c r="K679" s="6">
        <f>YEAR(M679)</f>
        <v/>
      </c>
      <c r="L679" s="6">
        <f>MONTH(M679)</f>
        <v/>
      </c>
      <c r="M679" s="267">
        <f>IFERROR(__xludf.DUMMYFUNCTION("""COMPUTED_VALUE"""),44075.6666666666)</f>
        <v/>
      </c>
      <c r="N679" s="6">
        <f>IFERROR(__xludf.DUMMYFUNCTION("""COMPUTED_VALUE"""),11939.67)</f>
        <v/>
      </c>
      <c r="R679" s="6">
        <f>S679&amp;T679</f>
        <v/>
      </c>
      <c r="S679" s="6">
        <f>YEAR(U679)</f>
        <v/>
      </c>
      <c r="T679" s="6">
        <f>MONTH(U679)</f>
        <v/>
      </c>
      <c r="U679" s="267">
        <f>IFERROR(__xludf.DUMMYFUNCTION("""COMPUTED_VALUE"""),44112.6458333333)</f>
        <v/>
      </c>
      <c r="V679" s="6">
        <f>IFERROR(__xludf.DUMMYFUNCTION("""COMPUTED_VALUE"""),2391.96)</f>
        <v/>
      </c>
      <c r="Z679" s="6">
        <f>AA679&amp;AB679</f>
        <v/>
      </c>
      <c r="AA679" s="6">
        <f>YEAR(AC679)</f>
        <v/>
      </c>
      <c r="AB679" s="6">
        <f>MONTH(AC679)</f>
        <v/>
      </c>
      <c r="AC679" s="267">
        <f>IFERROR(__xludf.DUMMYFUNCTION("""COMPUTED_VALUE"""),43815.9986111111)</f>
        <v/>
      </c>
      <c r="AD679" s="6">
        <f>IFERROR(__xludf.DUMMYFUNCTION("""COMPUTED_VALUE"""),1167.46)</f>
        <v/>
      </c>
      <c r="AH679" s="6">
        <f>AI679&amp;AJ679</f>
        <v/>
      </c>
      <c r="AI679" s="6">
        <f>YEAR(AK679)</f>
        <v/>
      </c>
      <c r="AJ679" s="6">
        <f>MONTH(AK679)</f>
        <v/>
      </c>
      <c r="AK679" s="267">
        <f>IFERROR(__xludf.DUMMYFUNCTION("""COMPUTED_VALUE"""),43771.9986111111)</f>
        <v/>
      </c>
      <c r="AL679" s="6">
        <f>IFERROR(__xludf.DUMMYFUNCTION("""COMPUTED_VALUE"""),9313.13)</f>
        <v/>
      </c>
      <c r="AP679" s="6">
        <f>AQ679&amp;AR679</f>
        <v/>
      </c>
      <c r="AQ679" s="6">
        <f>YEAR(AS679)</f>
        <v/>
      </c>
      <c r="AR679" s="6">
        <f>MONTH(AS679)</f>
        <v/>
      </c>
      <c r="AS679" s="267">
        <f>IFERROR(__xludf.DUMMYFUNCTION("""COMPUTED_VALUE"""),44091.9986111111)</f>
        <v/>
      </c>
      <c r="AT679" s="6">
        <f>IFERROR(__xludf.DUMMYFUNCTION("""COMPUTED_VALUE"""),1949.9)</f>
        <v/>
      </c>
    </row>
    <row r="680">
      <c r="B680" s="6">
        <f>C680&amp;D680</f>
        <v/>
      </c>
      <c r="C680" s="6">
        <f>YEAR(E680)</f>
        <v/>
      </c>
      <c r="D680" s="6">
        <f>MONTH(E680)</f>
        <v/>
      </c>
      <c r="E680" s="267">
        <f>IFERROR(__xludf.DUMMYFUNCTION("""COMPUTED_VALUE"""),44083.6666666666)</f>
        <v/>
      </c>
      <c r="F680" s="6">
        <f>IFERROR(__xludf.DUMMYFUNCTION("""COMPUTED_VALUE"""),3398.96)</f>
        <v/>
      </c>
      <c r="J680" s="6">
        <f>K680&amp;L680</f>
        <v/>
      </c>
      <c r="K680" s="6">
        <f>YEAR(M680)</f>
        <v/>
      </c>
      <c r="L680" s="6">
        <f>MONTH(M680)</f>
        <v/>
      </c>
      <c r="M680" s="267">
        <f>IFERROR(__xludf.DUMMYFUNCTION("""COMPUTED_VALUE"""),44076.6666666666)</f>
        <v/>
      </c>
      <c r="N680" s="6">
        <f>IFERROR(__xludf.DUMMYFUNCTION("""COMPUTED_VALUE"""),12056.44)</f>
        <v/>
      </c>
      <c r="R680" s="6">
        <f>S680&amp;T680</f>
        <v/>
      </c>
      <c r="S680" s="6">
        <f>YEAR(U680)</f>
        <v/>
      </c>
      <c r="T680" s="6">
        <f>MONTH(U680)</f>
        <v/>
      </c>
      <c r="U680" s="267">
        <f>IFERROR(__xludf.DUMMYFUNCTION("""COMPUTED_VALUE"""),44116.6458333333)</f>
        <v/>
      </c>
      <c r="V680" s="6">
        <f>IFERROR(__xludf.DUMMYFUNCTION("""COMPUTED_VALUE"""),2403.73)</f>
        <v/>
      </c>
      <c r="Z680" s="6">
        <f>AA680&amp;AB680</f>
        <v/>
      </c>
      <c r="AA680" s="6">
        <f>YEAR(AC680)</f>
        <v/>
      </c>
      <c r="AB680" s="6">
        <f>MONTH(AC680)</f>
        <v/>
      </c>
      <c r="AC680" s="267">
        <f>IFERROR(__xludf.DUMMYFUNCTION("""COMPUTED_VALUE"""),43816.9986111111)</f>
        <v/>
      </c>
      <c r="AD680" s="6">
        <f>IFERROR(__xludf.DUMMYFUNCTION("""COMPUTED_VALUE"""),1162.78)</f>
        <v/>
      </c>
      <c r="AH680" s="6">
        <f>AI680&amp;AJ680</f>
        <v/>
      </c>
      <c r="AI680" s="6">
        <f>YEAR(AK680)</f>
        <v/>
      </c>
      <c r="AJ680" s="6">
        <f>MONTH(AK680)</f>
        <v/>
      </c>
      <c r="AK680" s="267">
        <f>IFERROR(__xludf.DUMMYFUNCTION("""COMPUTED_VALUE"""),43772.9986111111)</f>
        <v/>
      </c>
      <c r="AL680" s="6">
        <f>IFERROR(__xludf.DUMMYFUNCTION("""COMPUTED_VALUE"""),9213.252)</f>
        <v/>
      </c>
      <c r="AP680" s="6">
        <f>AQ680&amp;AR680</f>
        <v/>
      </c>
      <c r="AQ680" s="6">
        <f>YEAR(AS680)</f>
        <v/>
      </c>
      <c r="AR680" s="6">
        <f>MONTH(AS680)</f>
        <v/>
      </c>
      <c r="AS680" s="267">
        <f>IFERROR(__xludf.DUMMYFUNCTION("""COMPUTED_VALUE"""),44092.9986111111)</f>
        <v/>
      </c>
      <c r="AT680" s="6">
        <f>IFERROR(__xludf.DUMMYFUNCTION("""COMPUTED_VALUE"""),1962.1)</f>
        <v/>
      </c>
    </row>
    <row r="681">
      <c r="B681" s="6">
        <f>C681&amp;D681</f>
        <v/>
      </c>
      <c r="C681" s="6">
        <f>YEAR(E681)</f>
        <v/>
      </c>
      <c r="D681" s="6">
        <f>MONTH(E681)</f>
        <v/>
      </c>
      <c r="E681" s="267">
        <f>IFERROR(__xludf.DUMMYFUNCTION("""COMPUTED_VALUE"""),44084.6666666666)</f>
        <v/>
      </c>
      <c r="F681" s="6">
        <f>IFERROR(__xludf.DUMMYFUNCTION("""COMPUTED_VALUE"""),3339.19)</f>
        <v/>
      </c>
      <c r="J681" s="6">
        <f>K681&amp;L681</f>
        <v/>
      </c>
      <c r="K681" s="6">
        <f>YEAR(M681)</f>
        <v/>
      </c>
      <c r="L681" s="6">
        <f>MONTH(M681)</f>
        <v/>
      </c>
      <c r="M681" s="267">
        <f>IFERROR(__xludf.DUMMYFUNCTION("""COMPUTED_VALUE"""),44077.6666666666)</f>
        <v/>
      </c>
      <c r="N681" s="6">
        <f>IFERROR(__xludf.DUMMYFUNCTION("""COMPUTED_VALUE"""),11458.1)</f>
        <v/>
      </c>
      <c r="R681" s="6">
        <f>S681&amp;T681</f>
        <v/>
      </c>
      <c r="S681" s="6">
        <f>YEAR(U681)</f>
        <v/>
      </c>
      <c r="T681" s="6">
        <f>MONTH(U681)</f>
        <v/>
      </c>
      <c r="U681" s="267">
        <f>IFERROR(__xludf.DUMMYFUNCTION("""COMPUTED_VALUE"""),44117.6458333333)</f>
        <v/>
      </c>
      <c r="V681" s="6">
        <f>IFERROR(__xludf.DUMMYFUNCTION("""COMPUTED_VALUE"""),2403.15)</f>
        <v/>
      </c>
      <c r="Z681" s="6">
        <f>AA681&amp;AB681</f>
        <v/>
      </c>
      <c r="AA681" s="6">
        <f>YEAR(AC681)</f>
        <v/>
      </c>
      <c r="AB681" s="6">
        <f>MONTH(AC681)</f>
        <v/>
      </c>
      <c r="AC681" s="267">
        <f>IFERROR(__xludf.DUMMYFUNCTION("""COMPUTED_VALUE"""),43817.9986111111)</f>
        <v/>
      </c>
      <c r="AD681" s="6">
        <f>IFERROR(__xludf.DUMMYFUNCTION("""COMPUTED_VALUE"""),1164.36)</f>
        <v/>
      </c>
      <c r="AH681" s="6">
        <f>AI681&amp;AJ681</f>
        <v/>
      </c>
      <c r="AI681" s="6">
        <f>YEAR(AK681)</f>
        <v/>
      </c>
      <c r="AJ681" s="6">
        <f>MONTH(AK681)</f>
        <v/>
      </c>
      <c r="AK681" s="267">
        <f>IFERROR(__xludf.DUMMYFUNCTION("""COMPUTED_VALUE"""),43773.9986111111)</f>
        <v/>
      </c>
      <c r="AL681" s="6">
        <f>IFERROR(__xludf.DUMMYFUNCTION("""COMPUTED_VALUE"""),9423.793)</f>
        <v/>
      </c>
      <c r="AP681" s="6">
        <f>AQ681&amp;AR681</f>
        <v/>
      </c>
      <c r="AQ681" s="6">
        <f>YEAR(AS681)</f>
        <v/>
      </c>
      <c r="AR681" s="6">
        <f>MONTH(AS681)</f>
        <v/>
      </c>
      <c r="AS681" s="267">
        <f>IFERROR(__xludf.DUMMYFUNCTION("""COMPUTED_VALUE"""),44095.9986111111)</f>
        <v/>
      </c>
      <c r="AT681" s="6">
        <f>IFERROR(__xludf.DUMMYFUNCTION("""COMPUTED_VALUE"""),1910.6)</f>
        <v/>
      </c>
    </row>
    <row r="682">
      <c r="B682" s="6">
        <f>C682&amp;D682</f>
        <v/>
      </c>
      <c r="C682" s="6">
        <f>YEAR(E682)</f>
        <v/>
      </c>
      <c r="D682" s="6">
        <f>MONTH(E682)</f>
        <v/>
      </c>
      <c r="E682" s="267">
        <f>IFERROR(__xludf.DUMMYFUNCTION("""COMPUTED_VALUE"""),44085.6666666666)</f>
        <v/>
      </c>
      <c r="F682" s="6">
        <f>IFERROR(__xludf.DUMMYFUNCTION("""COMPUTED_VALUE"""),3340.97)</f>
        <v/>
      </c>
      <c r="J682" s="6">
        <f>K682&amp;L682</f>
        <v/>
      </c>
      <c r="K682" s="6">
        <f>YEAR(M682)</f>
        <v/>
      </c>
      <c r="L682" s="6">
        <f>MONTH(M682)</f>
        <v/>
      </c>
      <c r="M682" s="267">
        <f>IFERROR(__xludf.DUMMYFUNCTION("""COMPUTED_VALUE"""),44078.6666666666)</f>
        <v/>
      </c>
      <c r="N682" s="6">
        <f>IFERROR(__xludf.DUMMYFUNCTION("""COMPUTED_VALUE"""),11313.13)</f>
        <v/>
      </c>
      <c r="R682" s="6">
        <f>S682&amp;T682</f>
        <v/>
      </c>
      <c r="S682" s="6">
        <f>YEAR(U682)</f>
        <v/>
      </c>
      <c r="T682" s="6">
        <f>MONTH(U682)</f>
        <v/>
      </c>
      <c r="U682" s="267">
        <f>IFERROR(__xludf.DUMMYFUNCTION("""COMPUTED_VALUE"""),44118.6458333333)</f>
        <v/>
      </c>
      <c r="V682" s="6">
        <f>IFERROR(__xludf.DUMMYFUNCTION("""COMPUTED_VALUE"""),2380.48)</f>
        <v/>
      </c>
      <c r="Z682" s="6">
        <f>AA682&amp;AB682</f>
        <v/>
      </c>
      <c r="AA682" s="6">
        <f>YEAR(AC682)</f>
        <v/>
      </c>
      <c r="AB682" s="6">
        <f>MONTH(AC682)</f>
        <v/>
      </c>
      <c r="AC682" s="267">
        <f>IFERROR(__xludf.DUMMYFUNCTION("""COMPUTED_VALUE"""),43818.9986111111)</f>
        <v/>
      </c>
      <c r="AD682" s="6">
        <f>IFERROR(__xludf.DUMMYFUNCTION("""COMPUTED_VALUE"""),1161.06)</f>
        <v/>
      </c>
      <c r="AH682" s="6">
        <f>AI682&amp;AJ682</f>
        <v/>
      </c>
      <c r="AI682" s="6">
        <f>YEAR(AK682)</f>
        <v/>
      </c>
      <c r="AJ682" s="6">
        <f>MONTH(AK682)</f>
        <v/>
      </c>
      <c r="AK682" s="267">
        <f>IFERROR(__xludf.DUMMYFUNCTION("""COMPUTED_VALUE"""),43774.9986111111)</f>
        <v/>
      </c>
      <c r="AL682" s="6">
        <f>IFERROR(__xludf.DUMMYFUNCTION("""COMPUTED_VALUE"""),9320.99)</f>
        <v/>
      </c>
      <c r="AP682" s="6">
        <f>AQ682&amp;AR682</f>
        <v/>
      </c>
      <c r="AQ682" s="6">
        <f>YEAR(AS682)</f>
        <v/>
      </c>
      <c r="AR682" s="6">
        <f>MONTH(AS682)</f>
        <v/>
      </c>
      <c r="AS682" s="267">
        <f>IFERROR(__xludf.DUMMYFUNCTION("""COMPUTED_VALUE"""),44096.9986111111)</f>
        <v/>
      </c>
      <c r="AT682" s="6">
        <f>IFERROR(__xludf.DUMMYFUNCTION("""COMPUTED_VALUE"""),1907.6)</f>
        <v/>
      </c>
    </row>
    <row r="683">
      <c r="B683" s="6">
        <f>C683&amp;D683</f>
        <v/>
      </c>
      <c r="C683" s="6">
        <f>YEAR(E683)</f>
        <v/>
      </c>
      <c r="D683" s="6">
        <f>MONTH(E683)</f>
        <v/>
      </c>
      <c r="E683" s="267">
        <f>IFERROR(__xludf.DUMMYFUNCTION("""COMPUTED_VALUE"""),44088.6666666666)</f>
        <v/>
      </c>
      <c r="F683" s="6">
        <f>IFERROR(__xludf.DUMMYFUNCTION("""COMPUTED_VALUE"""),3383.54)</f>
        <v/>
      </c>
      <c r="J683" s="6">
        <f>K683&amp;L683</f>
        <v/>
      </c>
      <c r="K683" s="6">
        <f>YEAR(M683)</f>
        <v/>
      </c>
      <c r="L683" s="6">
        <f>MONTH(M683)</f>
        <v/>
      </c>
      <c r="M683" s="267">
        <f>IFERROR(__xludf.DUMMYFUNCTION("""COMPUTED_VALUE"""),44082.6666666666)</f>
        <v/>
      </c>
      <c r="N683" s="6">
        <f>IFERROR(__xludf.DUMMYFUNCTION("""COMPUTED_VALUE"""),10847.69)</f>
        <v/>
      </c>
      <c r="R683" s="6">
        <f>S683&amp;T683</f>
        <v/>
      </c>
      <c r="S683" s="6">
        <f>YEAR(U683)</f>
        <v/>
      </c>
      <c r="T683" s="6">
        <f>MONTH(U683)</f>
        <v/>
      </c>
      <c r="U683" s="267">
        <f>IFERROR(__xludf.DUMMYFUNCTION("""COMPUTED_VALUE"""),44119.6458333333)</f>
        <v/>
      </c>
      <c r="V683" s="6">
        <f>IFERROR(__xludf.DUMMYFUNCTION("""COMPUTED_VALUE"""),2361.21)</f>
        <v/>
      </c>
      <c r="Z683" s="6">
        <f>AA683&amp;AB683</f>
        <v/>
      </c>
      <c r="AA683" s="6">
        <f>YEAR(AC683)</f>
        <v/>
      </c>
      <c r="AB683" s="6">
        <f>MONTH(AC683)</f>
        <v/>
      </c>
      <c r="AC683" s="267">
        <f>IFERROR(__xludf.DUMMYFUNCTION("""COMPUTED_VALUE"""),43819.9986111111)</f>
        <v/>
      </c>
      <c r="AD683" s="6">
        <f>IFERROR(__xludf.DUMMYFUNCTION("""COMPUTED_VALUE"""),1159.3)</f>
        <v/>
      </c>
      <c r="AH683" s="6">
        <f>AI683&amp;AJ683</f>
        <v/>
      </c>
      <c r="AI683" s="6">
        <f>YEAR(AK683)</f>
        <v/>
      </c>
      <c r="AJ683" s="6">
        <f>MONTH(AK683)</f>
        <v/>
      </c>
      <c r="AK683" s="267">
        <f>IFERROR(__xludf.DUMMYFUNCTION("""COMPUTED_VALUE"""),43775.9986111111)</f>
        <v/>
      </c>
      <c r="AL683" s="6">
        <f>IFERROR(__xludf.DUMMYFUNCTION("""COMPUTED_VALUE"""),9349.671)</f>
        <v/>
      </c>
      <c r="AP683" s="6">
        <f>AQ683&amp;AR683</f>
        <v/>
      </c>
      <c r="AQ683" s="6">
        <f>YEAR(AS683)</f>
        <v/>
      </c>
      <c r="AR683" s="6">
        <f>MONTH(AS683)</f>
        <v/>
      </c>
      <c r="AS683" s="267">
        <f>IFERROR(__xludf.DUMMYFUNCTION("""COMPUTED_VALUE"""),44097.9986111111)</f>
        <v/>
      </c>
      <c r="AT683" s="6">
        <f>IFERROR(__xludf.DUMMYFUNCTION("""COMPUTED_VALUE"""),1868.4)</f>
        <v/>
      </c>
    </row>
    <row r="684">
      <c r="B684" s="6">
        <f>C684&amp;D684</f>
        <v/>
      </c>
      <c r="C684" s="6">
        <f>YEAR(E684)</f>
        <v/>
      </c>
      <c r="D684" s="6">
        <f>MONTH(E684)</f>
        <v/>
      </c>
      <c r="E684" s="267">
        <f>IFERROR(__xludf.DUMMYFUNCTION("""COMPUTED_VALUE"""),44089.6666666666)</f>
        <v/>
      </c>
      <c r="F684" s="6">
        <f>IFERROR(__xludf.DUMMYFUNCTION("""COMPUTED_VALUE"""),3401.2)</f>
        <v/>
      </c>
      <c r="J684" s="6">
        <f>K684&amp;L684</f>
        <v/>
      </c>
      <c r="K684" s="6">
        <f>YEAR(M684)</f>
        <v/>
      </c>
      <c r="L684" s="6">
        <f>MONTH(M684)</f>
        <v/>
      </c>
      <c r="M684" s="267">
        <f>IFERROR(__xludf.DUMMYFUNCTION("""COMPUTED_VALUE"""),44083.6666666666)</f>
        <v/>
      </c>
      <c r="N684" s="6">
        <f>IFERROR(__xludf.DUMMYFUNCTION("""COMPUTED_VALUE"""),11141.56)</f>
        <v/>
      </c>
      <c r="R684" s="6">
        <f>S684&amp;T684</f>
        <v/>
      </c>
      <c r="S684" s="6">
        <f>YEAR(U684)</f>
        <v/>
      </c>
      <c r="T684" s="6">
        <f>MONTH(U684)</f>
        <v/>
      </c>
      <c r="U684" s="267">
        <f>IFERROR(__xludf.DUMMYFUNCTION("""COMPUTED_VALUE"""),44120.6458333333)</f>
        <v/>
      </c>
      <c r="V684" s="6">
        <f>IFERROR(__xludf.DUMMYFUNCTION("""COMPUTED_VALUE"""),2341.53)</f>
        <v/>
      </c>
      <c r="Z684" s="6">
        <f>AA684&amp;AB684</f>
        <v/>
      </c>
      <c r="AA684" s="6">
        <f>YEAR(AC684)</f>
        <v/>
      </c>
      <c r="AB684" s="6">
        <f>MONTH(AC684)</f>
        <v/>
      </c>
      <c r="AC684" s="267">
        <f>IFERROR(__xludf.DUMMYFUNCTION("""COMPUTED_VALUE"""),43820.9986111111)</f>
        <v/>
      </c>
      <c r="AD684" s="6">
        <f>IFERROR(__xludf.DUMMYFUNCTION("""COMPUTED_VALUE"""),1159.3)</f>
        <v/>
      </c>
      <c r="AH684" s="6">
        <f>AI684&amp;AJ684</f>
        <v/>
      </c>
      <c r="AI684" s="6">
        <f>YEAR(AK684)</f>
        <v/>
      </c>
      <c r="AJ684" s="6">
        <f>MONTH(AK684)</f>
        <v/>
      </c>
      <c r="AK684" s="267">
        <f>IFERROR(__xludf.DUMMYFUNCTION("""COMPUTED_VALUE"""),43776.9986111111)</f>
        <v/>
      </c>
      <c r="AL684" s="6">
        <f>IFERROR(__xludf.DUMMYFUNCTION("""COMPUTED_VALUE"""),9204.581)</f>
        <v/>
      </c>
      <c r="AP684" s="6">
        <f>AQ684&amp;AR684</f>
        <v/>
      </c>
      <c r="AQ684" s="6">
        <f>YEAR(AS684)</f>
        <v/>
      </c>
      <c r="AR684" s="6">
        <f>MONTH(AS684)</f>
        <v/>
      </c>
      <c r="AS684" s="267">
        <f>IFERROR(__xludf.DUMMYFUNCTION("""COMPUTED_VALUE"""),44098.9986111111)</f>
        <v/>
      </c>
      <c r="AT684" s="6">
        <f>IFERROR(__xludf.DUMMYFUNCTION("""COMPUTED_VALUE"""),1876.9)</f>
        <v/>
      </c>
    </row>
    <row r="685">
      <c r="B685" s="6">
        <f>C685&amp;D685</f>
        <v/>
      </c>
      <c r="C685" s="6">
        <f>YEAR(E685)</f>
        <v/>
      </c>
      <c r="D685" s="6">
        <f>MONTH(E685)</f>
        <v/>
      </c>
      <c r="E685" s="267">
        <f>IFERROR(__xludf.DUMMYFUNCTION("""COMPUTED_VALUE"""),44090.6666666666)</f>
        <v/>
      </c>
      <c r="F685" s="6">
        <f>IFERROR(__xludf.DUMMYFUNCTION("""COMPUTED_VALUE"""),3385.49)</f>
        <v/>
      </c>
      <c r="J685" s="6">
        <f>K685&amp;L685</f>
        <v/>
      </c>
      <c r="K685" s="6">
        <f>YEAR(M685)</f>
        <v/>
      </c>
      <c r="L685" s="6">
        <f>MONTH(M685)</f>
        <v/>
      </c>
      <c r="M685" s="267">
        <f>IFERROR(__xludf.DUMMYFUNCTION("""COMPUTED_VALUE"""),44084.6666666666)</f>
        <v/>
      </c>
      <c r="N685" s="6">
        <f>IFERROR(__xludf.DUMMYFUNCTION("""COMPUTED_VALUE"""),10919.59)</f>
        <v/>
      </c>
      <c r="R685" s="6">
        <f>S685&amp;T685</f>
        <v/>
      </c>
      <c r="S685" s="6">
        <f>YEAR(U685)</f>
        <v/>
      </c>
      <c r="T685" s="6">
        <f>MONTH(U685)</f>
        <v/>
      </c>
      <c r="U685" s="267">
        <f>IFERROR(__xludf.DUMMYFUNCTION("""COMPUTED_VALUE"""),44123.6458333333)</f>
        <v/>
      </c>
      <c r="V685" s="6">
        <f>IFERROR(__xludf.DUMMYFUNCTION("""COMPUTED_VALUE"""),2346.74)</f>
        <v/>
      </c>
      <c r="Z685" s="6">
        <f>AA685&amp;AB685</f>
        <v/>
      </c>
      <c r="AA685" s="6">
        <f>YEAR(AC685)</f>
        <v/>
      </c>
      <c r="AB685" s="6">
        <f>MONTH(AC685)</f>
        <v/>
      </c>
      <c r="AC685" s="267">
        <f>IFERROR(__xludf.DUMMYFUNCTION("""COMPUTED_VALUE"""),43821.9986111111)</f>
        <v/>
      </c>
      <c r="AD685" s="6">
        <f>IFERROR(__xludf.DUMMYFUNCTION("""COMPUTED_VALUE"""),1159.3)</f>
        <v/>
      </c>
      <c r="AH685" s="6">
        <f>AI685&amp;AJ685</f>
        <v/>
      </c>
      <c r="AI685" s="6">
        <f>YEAR(AK685)</f>
        <v/>
      </c>
      <c r="AJ685" s="6">
        <f>MONTH(AK685)</f>
        <v/>
      </c>
      <c r="AK685" s="267">
        <f>IFERROR(__xludf.DUMMYFUNCTION("""COMPUTED_VALUE"""),43777.9986111111)</f>
        <v/>
      </c>
      <c r="AL685" s="6">
        <f>IFERROR(__xludf.DUMMYFUNCTION("""COMPUTED_VALUE"""),8769.167)</f>
        <v/>
      </c>
      <c r="AP685" s="6">
        <f>AQ685&amp;AR685</f>
        <v/>
      </c>
      <c r="AQ685" s="6">
        <f>YEAR(AS685)</f>
        <v/>
      </c>
      <c r="AR685" s="6">
        <f>MONTH(AS685)</f>
        <v/>
      </c>
      <c r="AS685" s="267">
        <f>IFERROR(__xludf.DUMMYFUNCTION("""COMPUTED_VALUE"""),44099.9986111111)</f>
        <v/>
      </c>
      <c r="AT685" s="6">
        <f>IFERROR(__xludf.DUMMYFUNCTION("""COMPUTED_VALUE"""),1866.3)</f>
        <v/>
      </c>
    </row>
    <row r="686">
      <c r="B686" s="6">
        <f>C686&amp;D686</f>
        <v/>
      </c>
      <c r="C686" s="6">
        <f>YEAR(E686)</f>
        <v/>
      </c>
      <c r="D686" s="6">
        <f>MONTH(E686)</f>
        <v/>
      </c>
      <c r="E686" s="267">
        <f>IFERROR(__xludf.DUMMYFUNCTION("""COMPUTED_VALUE"""),44091.6666666666)</f>
        <v/>
      </c>
      <c r="F686" s="6">
        <f>IFERROR(__xludf.DUMMYFUNCTION("""COMPUTED_VALUE"""),3357.01)</f>
        <v/>
      </c>
      <c r="J686" s="6">
        <f>K686&amp;L686</f>
        <v/>
      </c>
      <c r="K686" s="6">
        <f>YEAR(M686)</f>
        <v/>
      </c>
      <c r="L686" s="6">
        <f>MONTH(M686)</f>
        <v/>
      </c>
      <c r="M686" s="267">
        <f>IFERROR(__xludf.DUMMYFUNCTION("""COMPUTED_VALUE"""),44085.6666666666)</f>
        <v/>
      </c>
      <c r="N686" s="6">
        <f>IFERROR(__xludf.DUMMYFUNCTION("""COMPUTED_VALUE"""),10853.55)</f>
        <v/>
      </c>
      <c r="R686" s="6">
        <f>S686&amp;T686</f>
        <v/>
      </c>
      <c r="S686" s="6">
        <f>YEAR(U686)</f>
        <v/>
      </c>
      <c r="T686" s="6">
        <f>MONTH(U686)</f>
        <v/>
      </c>
      <c r="U686" s="267">
        <f>IFERROR(__xludf.DUMMYFUNCTION("""COMPUTED_VALUE"""),44124.6458333333)</f>
        <v/>
      </c>
      <c r="V686" s="6">
        <f>IFERROR(__xludf.DUMMYFUNCTION("""COMPUTED_VALUE"""),2358.41)</f>
        <v/>
      </c>
      <c r="Z686" s="6">
        <f>AA686&amp;AB686</f>
        <v/>
      </c>
      <c r="AA686" s="6">
        <f>YEAR(AC686)</f>
        <v/>
      </c>
      <c r="AB686" s="6">
        <f>MONTH(AC686)</f>
        <v/>
      </c>
      <c r="AC686" s="267">
        <f>IFERROR(__xludf.DUMMYFUNCTION("""COMPUTED_VALUE"""),43822.9986111111)</f>
        <v/>
      </c>
      <c r="AD686" s="6">
        <f>IFERROR(__xludf.DUMMYFUNCTION("""COMPUTED_VALUE"""),1161.57)</f>
        <v/>
      </c>
      <c r="AH686" s="6">
        <f>AI686&amp;AJ686</f>
        <v/>
      </c>
      <c r="AI686" s="6">
        <f>YEAR(AK686)</f>
        <v/>
      </c>
      <c r="AJ686" s="6">
        <f>MONTH(AK686)</f>
        <v/>
      </c>
      <c r="AK686" s="267">
        <f>IFERROR(__xludf.DUMMYFUNCTION("""COMPUTED_VALUE"""),43778.9986111111)</f>
        <v/>
      </c>
      <c r="AL686" s="6">
        <f>IFERROR(__xludf.DUMMYFUNCTION("""COMPUTED_VALUE"""),8813.683)</f>
        <v/>
      </c>
      <c r="AP686" s="6">
        <f>AQ686&amp;AR686</f>
        <v/>
      </c>
      <c r="AQ686" s="6">
        <f>YEAR(AS686)</f>
        <v/>
      </c>
      <c r="AR686" s="6">
        <f>MONTH(AS686)</f>
        <v/>
      </c>
      <c r="AS686" s="267">
        <f>IFERROR(__xludf.DUMMYFUNCTION("""COMPUTED_VALUE"""),44102.9986111111)</f>
        <v/>
      </c>
      <c r="AT686" s="6">
        <f>IFERROR(__xludf.DUMMYFUNCTION("""COMPUTED_VALUE"""),1882.3)</f>
        <v/>
      </c>
    </row>
    <row r="687">
      <c r="B687" s="6">
        <f>C687&amp;D687</f>
        <v/>
      </c>
      <c r="C687" s="6">
        <f>YEAR(E687)</f>
        <v/>
      </c>
      <c r="D687" s="6">
        <f>MONTH(E687)</f>
        <v/>
      </c>
      <c r="E687" s="267">
        <f>IFERROR(__xludf.DUMMYFUNCTION("""COMPUTED_VALUE"""),44092.6666666666)</f>
        <v/>
      </c>
      <c r="F687" s="6">
        <f>IFERROR(__xludf.DUMMYFUNCTION("""COMPUTED_VALUE"""),3319.47)</f>
        <v/>
      </c>
      <c r="J687" s="6">
        <f>K687&amp;L687</f>
        <v/>
      </c>
      <c r="K687" s="6">
        <f>YEAR(M687)</f>
        <v/>
      </c>
      <c r="L687" s="6">
        <f>MONTH(M687)</f>
        <v/>
      </c>
      <c r="M687" s="267">
        <f>IFERROR(__xludf.DUMMYFUNCTION("""COMPUTED_VALUE"""),44088.6666666666)</f>
        <v/>
      </c>
      <c r="N687" s="6">
        <f>IFERROR(__xludf.DUMMYFUNCTION("""COMPUTED_VALUE"""),11056.65)</f>
        <v/>
      </c>
      <c r="R687" s="6">
        <f>S687&amp;T687</f>
        <v/>
      </c>
      <c r="S687" s="6">
        <f>YEAR(U687)</f>
        <v/>
      </c>
      <c r="T687" s="6">
        <f>MONTH(U687)</f>
        <v/>
      </c>
      <c r="U687" s="267">
        <f>IFERROR(__xludf.DUMMYFUNCTION("""COMPUTED_VALUE"""),44125.6458333333)</f>
        <v/>
      </c>
      <c r="V687" s="6">
        <f>IFERROR(__xludf.DUMMYFUNCTION("""COMPUTED_VALUE"""),2370.86)</f>
        <v/>
      </c>
      <c r="Z687" s="6">
        <f>AA687&amp;AB687</f>
        <v/>
      </c>
      <c r="AA687" s="6">
        <f>YEAR(AC687)</f>
        <v/>
      </c>
      <c r="AB687" s="6">
        <f>MONTH(AC687)</f>
        <v/>
      </c>
      <c r="AC687" s="267">
        <f>IFERROR(__xludf.DUMMYFUNCTION("""COMPUTED_VALUE"""),43823.9986111111)</f>
        <v/>
      </c>
      <c r="AD687" s="6">
        <f>IFERROR(__xludf.DUMMYFUNCTION("""COMPUTED_VALUE"""),1162.23)</f>
        <v/>
      </c>
      <c r="AH687" s="6">
        <f>AI687&amp;AJ687</f>
        <v/>
      </c>
      <c r="AI687" s="6">
        <f>YEAR(AK687)</f>
        <v/>
      </c>
      <c r="AJ687" s="6">
        <f>MONTH(AK687)</f>
        <v/>
      </c>
      <c r="AK687" s="267">
        <f>IFERROR(__xludf.DUMMYFUNCTION("""COMPUTED_VALUE"""),43779.9986111111)</f>
        <v/>
      </c>
      <c r="AL687" s="6">
        <f>IFERROR(__xludf.DUMMYFUNCTION("""COMPUTED_VALUE"""),9046.242)</f>
        <v/>
      </c>
      <c r="AP687" s="6">
        <f>AQ687&amp;AR687</f>
        <v/>
      </c>
      <c r="AQ687" s="6">
        <f>YEAR(AS687)</f>
        <v/>
      </c>
      <c r="AR687" s="6">
        <f>MONTH(AS687)</f>
        <v/>
      </c>
      <c r="AS687" s="267">
        <f>IFERROR(__xludf.DUMMYFUNCTION("""COMPUTED_VALUE"""),44103.9986111111)</f>
        <v/>
      </c>
      <c r="AT687" s="6">
        <f>IFERROR(__xludf.DUMMYFUNCTION("""COMPUTED_VALUE"""),1903.2)</f>
        <v/>
      </c>
    </row>
    <row r="688">
      <c r="B688" s="6">
        <f>C688&amp;D688</f>
        <v/>
      </c>
      <c r="C688" s="6">
        <f>YEAR(E688)</f>
        <v/>
      </c>
      <c r="D688" s="6">
        <f>MONTH(E688)</f>
        <v/>
      </c>
      <c r="E688" s="267">
        <f>IFERROR(__xludf.DUMMYFUNCTION("""COMPUTED_VALUE"""),44095.6666666666)</f>
        <v/>
      </c>
      <c r="F688" s="6">
        <f>IFERROR(__xludf.DUMMYFUNCTION("""COMPUTED_VALUE"""),3281.06)</f>
        <v/>
      </c>
      <c r="J688" s="6">
        <f>K688&amp;L688</f>
        <v/>
      </c>
      <c r="K688" s="6">
        <f>YEAR(M688)</f>
        <v/>
      </c>
      <c r="L688" s="6">
        <f>MONTH(M688)</f>
        <v/>
      </c>
      <c r="M688" s="267">
        <f>IFERROR(__xludf.DUMMYFUNCTION("""COMPUTED_VALUE"""),44089.6666666666)</f>
        <v/>
      </c>
      <c r="N688" s="6">
        <f>IFERROR(__xludf.DUMMYFUNCTION("""COMPUTED_VALUE"""),11190.32)</f>
        <v/>
      </c>
      <c r="R688" s="6">
        <f>S688&amp;T688</f>
        <v/>
      </c>
      <c r="S688" s="6">
        <f>YEAR(U688)</f>
        <v/>
      </c>
      <c r="T688" s="6">
        <f>MONTH(U688)</f>
        <v/>
      </c>
      <c r="U688" s="267">
        <f>IFERROR(__xludf.DUMMYFUNCTION("""COMPUTED_VALUE"""),44126.6458333333)</f>
        <v/>
      </c>
      <c r="V688" s="6">
        <f>IFERROR(__xludf.DUMMYFUNCTION("""COMPUTED_VALUE"""),2355.05)</f>
        <v/>
      </c>
      <c r="Z688" s="6">
        <f>AA688&amp;AB688</f>
        <v/>
      </c>
      <c r="AA688" s="6">
        <f>YEAR(AC688)</f>
        <v/>
      </c>
      <c r="AB688" s="6">
        <f>MONTH(AC688)</f>
        <v/>
      </c>
      <c r="AC688" s="267">
        <f>IFERROR(__xludf.DUMMYFUNCTION("""COMPUTED_VALUE"""),43824.9986111111)</f>
        <v/>
      </c>
      <c r="AD688" s="6">
        <f>IFERROR(__xludf.DUMMYFUNCTION("""COMPUTED_VALUE"""),1159.75)</f>
        <v/>
      </c>
      <c r="AH688" s="6">
        <f>AI688&amp;AJ688</f>
        <v/>
      </c>
      <c r="AI688" s="6">
        <f>YEAR(AK688)</f>
        <v/>
      </c>
      <c r="AJ688" s="6">
        <f>MONTH(AK688)</f>
        <v/>
      </c>
      <c r="AK688" s="267">
        <f>IFERROR(__xludf.DUMMYFUNCTION("""COMPUTED_VALUE"""),43780.9986111111)</f>
        <v/>
      </c>
      <c r="AL688" s="6">
        <f>IFERROR(__xludf.DUMMYFUNCTION("""COMPUTED_VALUE"""),8725.195)</f>
        <v/>
      </c>
      <c r="AP688" s="6">
        <f>AQ688&amp;AR688</f>
        <v/>
      </c>
      <c r="AQ688" s="6">
        <f>YEAR(AS688)</f>
        <v/>
      </c>
      <c r="AR688" s="6">
        <f>MONTH(AS688)</f>
        <v/>
      </c>
      <c r="AS688" s="267">
        <f>IFERROR(__xludf.DUMMYFUNCTION("""COMPUTED_VALUE"""),44104.9986111111)</f>
        <v/>
      </c>
      <c r="AT688" s="6">
        <f>IFERROR(__xludf.DUMMYFUNCTION("""COMPUTED_VALUE"""),1895.5)</f>
        <v/>
      </c>
    </row>
    <row r="689">
      <c r="B689" s="6">
        <f>C689&amp;D689</f>
        <v/>
      </c>
      <c r="C689" s="6">
        <f>YEAR(E689)</f>
        <v/>
      </c>
      <c r="D689" s="6">
        <f>MONTH(E689)</f>
        <v/>
      </c>
      <c r="E689" s="267">
        <f>IFERROR(__xludf.DUMMYFUNCTION("""COMPUTED_VALUE"""),44096.6666666666)</f>
        <v/>
      </c>
      <c r="F689" s="6">
        <f>IFERROR(__xludf.DUMMYFUNCTION("""COMPUTED_VALUE"""),3315.57)</f>
        <v/>
      </c>
      <c r="J689" s="6">
        <f>K689&amp;L689</f>
        <v/>
      </c>
      <c r="K689" s="6">
        <f>YEAR(M689)</f>
        <v/>
      </c>
      <c r="L689" s="6">
        <f>MONTH(M689)</f>
        <v/>
      </c>
      <c r="M689" s="267">
        <f>IFERROR(__xludf.DUMMYFUNCTION("""COMPUTED_VALUE"""),44090.6666666666)</f>
        <v/>
      </c>
      <c r="N689" s="6">
        <f>IFERROR(__xludf.DUMMYFUNCTION("""COMPUTED_VALUE"""),11050.47)</f>
        <v/>
      </c>
      <c r="R689" s="6">
        <f>S689&amp;T689</f>
        <v/>
      </c>
      <c r="S689" s="6">
        <f>YEAR(U689)</f>
        <v/>
      </c>
      <c r="T689" s="6">
        <f>MONTH(U689)</f>
        <v/>
      </c>
      <c r="U689" s="267">
        <f>IFERROR(__xludf.DUMMYFUNCTION("""COMPUTED_VALUE"""),44127.6458333333)</f>
        <v/>
      </c>
      <c r="V689" s="6">
        <f>IFERROR(__xludf.DUMMYFUNCTION("""COMPUTED_VALUE"""),2360.81)</f>
        <v/>
      </c>
      <c r="Z689" s="6">
        <f>AA689&amp;AB689</f>
        <v/>
      </c>
      <c r="AA689" s="6">
        <f>YEAR(AC689)</f>
        <v/>
      </c>
      <c r="AB689" s="6">
        <f>MONTH(AC689)</f>
        <v/>
      </c>
      <c r="AC689" s="267">
        <f>IFERROR(__xludf.DUMMYFUNCTION("""COMPUTED_VALUE"""),43825.9986111111)</f>
        <v/>
      </c>
      <c r="AD689" s="6">
        <f>IFERROR(__xludf.DUMMYFUNCTION("""COMPUTED_VALUE"""),1161.2)</f>
        <v/>
      </c>
      <c r="AH689" s="6">
        <f>AI689&amp;AJ689</f>
        <v/>
      </c>
      <c r="AI689" s="6">
        <f>YEAR(AK689)</f>
        <v/>
      </c>
      <c r="AJ689" s="6">
        <f>MONTH(AK689)</f>
        <v/>
      </c>
      <c r="AK689" s="267">
        <f>IFERROR(__xludf.DUMMYFUNCTION("""COMPUTED_VALUE"""),43781.9986111111)</f>
        <v/>
      </c>
      <c r="AL689" s="6">
        <f>IFERROR(__xludf.DUMMYFUNCTION("""COMPUTED_VALUE"""),8813.387)</f>
        <v/>
      </c>
      <c r="AP689" s="6">
        <f>AQ689&amp;AR689</f>
        <v/>
      </c>
      <c r="AQ689" s="6">
        <f>YEAR(AS689)</f>
        <v/>
      </c>
      <c r="AR689" s="6">
        <f>MONTH(AS689)</f>
        <v/>
      </c>
      <c r="AS689" s="267">
        <f>IFERROR(__xludf.DUMMYFUNCTION("""COMPUTED_VALUE"""),44105.9986111111)</f>
        <v/>
      </c>
      <c r="AT689" s="6">
        <f>IFERROR(__xludf.DUMMYFUNCTION("""COMPUTED_VALUE"""),1916.3)</f>
        <v/>
      </c>
    </row>
    <row r="690">
      <c r="B690" s="6">
        <f>C690&amp;D690</f>
        <v/>
      </c>
      <c r="C690" s="6">
        <f>YEAR(E690)</f>
        <v/>
      </c>
      <c r="D690" s="6">
        <f>MONTH(E690)</f>
        <v/>
      </c>
      <c r="E690" s="267">
        <f>IFERROR(__xludf.DUMMYFUNCTION("""COMPUTED_VALUE"""),44097.6666666666)</f>
        <v/>
      </c>
      <c r="F690" s="6">
        <f>IFERROR(__xludf.DUMMYFUNCTION("""COMPUTED_VALUE"""),3236.92)</f>
        <v/>
      </c>
      <c r="J690" s="6">
        <f>K690&amp;L690</f>
        <v/>
      </c>
      <c r="K690" s="6">
        <f>YEAR(M690)</f>
        <v/>
      </c>
      <c r="L690" s="6">
        <f>MONTH(M690)</f>
        <v/>
      </c>
      <c r="M690" s="267">
        <f>IFERROR(__xludf.DUMMYFUNCTION("""COMPUTED_VALUE"""),44091.6666666666)</f>
        <v/>
      </c>
      <c r="N690" s="6">
        <f>IFERROR(__xludf.DUMMYFUNCTION("""COMPUTED_VALUE"""),10910.28)</f>
        <v/>
      </c>
      <c r="R690" s="6">
        <f>S690&amp;T690</f>
        <v/>
      </c>
      <c r="S690" s="6">
        <f>YEAR(U690)</f>
        <v/>
      </c>
      <c r="T690" s="6">
        <f>MONTH(U690)</f>
        <v/>
      </c>
      <c r="U690" s="267">
        <f>IFERROR(__xludf.DUMMYFUNCTION("""COMPUTED_VALUE"""),44130.6458333333)</f>
        <v/>
      </c>
      <c r="V690" s="6">
        <f>IFERROR(__xludf.DUMMYFUNCTION("""COMPUTED_VALUE"""),2343.91)</f>
        <v/>
      </c>
      <c r="Z690" s="6">
        <f>AA690&amp;AB690</f>
        <v/>
      </c>
      <c r="AA690" s="6">
        <f>YEAR(AC690)</f>
        <v/>
      </c>
      <c r="AB690" s="6">
        <f>MONTH(AC690)</f>
        <v/>
      </c>
      <c r="AC690" s="267">
        <f>IFERROR(__xludf.DUMMYFUNCTION("""COMPUTED_VALUE"""),43826.9986111111)</f>
        <v/>
      </c>
      <c r="AD690" s="6">
        <f>IFERROR(__xludf.DUMMYFUNCTION("""COMPUTED_VALUE"""),1160.68)</f>
        <v/>
      </c>
      <c r="AH690" s="6">
        <f>AI690&amp;AJ690</f>
        <v/>
      </c>
      <c r="AI690" s="6">
        <f>YEAR(AK690)</f>
        <v/>
      </c>
      <c r="AJ690" s="6">
        <f>MONTH(AK690)</f>
        <v/>
      </c>
      <c r="AK690" s="267">
        <f>IFERROR(__xludf.DUMMYFUNCTION("""COMPUTED_VALUE"""),43782.9986111111)</f>
        <v/>
      </c>
      <c r="AL690" s="6">
        <f>IFERROR(__xludf.DUMMYFUNCTION("""COMPUTED_VALUE"""),8775.16)</f>
        <v/>
      </c>
      <c r="AP690" s="6">
        <f>AQ690&amp;AR690</f>
        <v/>
      </c>
      <c r="AQ690" s="6">
        <f>YEAR(AS690)</f>
        <v/>
      </c>
      <c r="AR690" s="6">
        <f>MONTH(AS690)</f>
        <v/>
      </c>
      <c r="AS690" s="267">
        <f>IFERROR(__xludf.DUMMYFUNCTION("""COMPUTED_VALUE"""),44106.9986111111)</f>
        <v/>
      </c>
      <c r="AT690" s="6">
        <f>IFERROR(__xludf.DUMMYFUNCTION("""COMPUTED_VALUE"""),1907.6)</f>
        <v/>
      </c>
    </row>
    <row r="691">
      <c r="B691" s="6">
        <f>C691&amp;D691</f>
        <v/>
      </c>
      <c r="C691" s="6">
        <f>YEAR(E691)</f>
        <v/>
      </c>
      <c r="D691" s="6">
        <f>MONTH(E691)</f>
        <v/>
      </c>
      <c r="E691" s="267">
        <f>IFERROR(__xludf.DUMMYFUNCTION("""COMPUTED_VALUE"""),44098.6666666666)</f>
        <v/>
      </c>
      <c r="F691" s="6">
        <f>IFERROR(__xludf.DUMMYFUNCTION("""COMPUTED_VALUE"""),3246.59)</f>
        <v/>
      </c>
      <c r="J691" s="6">
        <f>K691&amp;L691</f>
        <v/>
      </c>
      <c r="K691" s="6">
        <f>YEAR(M691)</f>
        <v/>
      </c>
      <c r="L691" s="6">
        <f>MONTH(M691)</f>
        <v/>
      </c>
      <c r="M691" s="267">
        <f>IFERROR(__xludf.DUMMYFUNCTION("""COMPUTED_VALUE"""),44092.6666666666)</f>
        <v/>
      </c>
      <c r="N691" s="6">
        <f>IFERROR(__xludf.DUMMYFUNCTION("""COMPUTED_VALUE"""),10793.28)</f>
        <v/>
      </c>
      <c r="R691" s="6">
        <f>S691&amp;T691</f>
        <v/>
      </c>
      <c r="S691" s="6">
        <f>YEAR(U691)</f>
        <v/>
      </c>
      <c r="T691" s="6">
        <f>MONTH(U691)</f>
        <v/>
      </c>
      <c r="U691" s="267">
        <f>IFERROR(__xludf.DUMMYFUNCTION("""COMPUTED_VALUE"""),44131.6458333333)</f>
        <v/>
      </c>
      <c r="V691" s="6">
        <f>IFERROR(__xludf.DUMMYFUNCTION("""COMPUTED_VALUE"""),2330.84)</f>
        <v/>
      </c>
      <c r="Z691" s="6">
        <f>AA691&amp;AB691</f>
        <v/>
      </c>
      <c r="AA691" s="6">
        <f>YEAR(AC691)</f>
        <v/>
      </c>
      <c r="AB691" s="6">
        <f>MONTH(AC691)</f>
        <v/>
      </c>
      <c r="AC691" s="267">
        <f>IFERROR(__xludf.DUMMYFUNCTION("""COMPUTED_VALUE"""),43827.9986111111)</f>
        <v/>
      </c>
      <c r="AD691" s="6">
        <f>IFERROR(__xludf.DUMMYFUNCTION("""COMPUTED_VALUE"""),1160.68)</f>
        <v/>
      </c>
      <c r="AH691" s="6">
        <f>AI691&amp;AJ691</f>
        <v/>
      </c>
      <c r="AI691" s="6">
        <f>YEAR(AK691)</f>
        <v/>
      </c>
      <c r="AJ691" s="6">
        <f>MONTH(AK691)</f>
        <v/>
      </c>
      <c r="AK691" s="267">
        <f>IFERROR(__xludf.DUMMYFUNCTION("""COMPUTED_VALUE"""),43783.9986111111)</f>
        <v/>
      </c>
      <c r="AL691" s="6">
        <f>IFERROR(__xludf.DUMMYFUNCTION("""COMPUTED_VALUE"""),8639.802)</f>
        <v/>
      </c>
      <c r="AP691" s="6">
        <f>AQ691&amp;AR691</f>
        <v/>
      </c>
      <c r="AQ691" s="6">
        <f>YEAR(AS691)</f>
        <v/>
      </c>
      <c r="AR691" s="6">
        <f>MONTH(AS691)</f>
        <v/>
      </c>
      <c r="AS691" s="267">
        <f>IFERROR(__xludf.DUMMYFUNCTION("""COMPUTED_VALUE"""),44109.9986111111)</f>
        <v/>
      </c>
      <c r="AT691" s="6">
        <f>IFERROR(__xludf.DUMMYFUNCTION("""COMPUTED_VALUE"""),1920.1)</f>
        <v/>
      </c>
    </row>
    <row r="692">
      <c r="B692" s="6">
        <f>C692&amp;D692</f>
        <v/>
      </c>
      <c r="C692" s="6">
        <f>YEAR(E692)</f>
        <v/>
      </c>
      <c r="D692" s="6">
        <f>MONTH(E692)</f>
        <v/>
      </c>
      <c r="E692" s="267">
        <f>IFERROR(__xludf.DUMMYFUNCTION("""COMPUTED_VALUE"""),44099.6666666666)</f>
        <v/>
      </c>
      <c r="F692" s="6">
        <f>IFERROR(__xludf.DUMMYFUNCTION("""COMPUTED_VALUE"""),3298.46)</f>
        <v/>
      </c>
      <c r="J692" s="6">
        <f>K692&amp;L692</f>
        <v/>
      </c>
      <c r="K692" s="6">
        <f>YEAR(M692)</f>
        <v/>
      </c>
      <c r="L692" s="6">
        <f>MONTH(M692)</f>
        <v/>
      </c>
      <c r="M692" s="267">
        <f>IFERROR(__xludf.DUMMYFUNCTION("""COMPUTED_VALUE"""),44095.6666666666)</f>
        <v/>
      </c>
      <c r="N692" s="6">
        <f>IFERROR(__xludf.DUMMYFUNCTION("""COMPUTED_VALUE"""),10778.8)</f>
        <v/>
      </c>
      <c r="R692" s="6">
        <f>S692&amp;T692</f>
        <v/>
      </c>
      <c r="S692" s="6">
        <f>YEAR(U692)</f>
        <v/>
      </c>
      <c r="T692" s="6">
        <f>MONTH(U692)</f>
        <v/>
      </c>
      <c r="U692" s="267">
        <f>IFERROR(__xludf.DUMMYFUNCTION("""COMPUTED_VALUE"""),44132.6458333333)</f>
        <v/>
      </c>
      <c r="V692" s="6">
        <f>IFERROR(__xludf.DUMMYFUNCTION("""COMPUTED_VALUE"""),2345.26)</f>
        <v/>
      </c>
      <c r="Z692" s="6">
        <f>AA692&amp;AB692</f>
        <v/>
      </c>
      <c r="AA692" s="6">
        <f>YEAR(AC692)</f>
        <v/>
      </c>
      <c r="AB692" s="6">
        <f>MONTH(AC692)</f>
        <v/>
      </c>
      <c r="AC692" s="267">
        <f>IFERROR(__xludf.DUMMYFUNCTION("""COMPUTED_VALUE"""),43828.9986111111)</f>
        <v/>
      </c>
      <c r="AD692" s="6">
        <f>IFERROR(__xludf.DUMMYFUNCTION("""COMPUTED_VALUE"""),1160.68)</f>
        <v/>
      </c>
      <c r="AH692" s="6">
        <f>AI692&amp;AJ692</f>
        <v/>
      </c>
      <c r="AI692" s="6">
        <f>YEAR(AK692)</f>
        <v/>
      </c>
      <c r="AJ692" s="6">
        <f>MONTH(AK692)</f>
        <v/>
      </c>
      <c r="AK692" s="267">
        <f>IFERROR(__xludf.DUMMYFUNCTION("""COMPUTED_VALUE"""),43784.9986111111)</f>
        <v/>
      </c>
      <c r="AL692" s="6">
        <f>IFERROR(__xludf.DUMMYFUNCTION("""COMPUTED_VALUE"""),8466.479)</f>
        <v/>
      </c>
      <c r="AP692" s="6">
        <f>AQ692&amp;AR692</f>
        <v/>
      </c>
      <c r="AQ692" s="6">
        <f>YEAR(AS692)</f>
        <v/>
      </c>
      <c r="AR692" s="6">
        <f>MONTH(AS692)</f>
        <v/>
      </c>
      <c r="AS692" s="267">
        <f>IFERROR(__xludf.DUMMYFUNCTION("""COMPUTED_VALUE"""),44110.9986111111)</f>
        <v/>
      </c>
      <c r="AT692" s="6">
        <f>IFERROR(__xludf.DUMMYFUNCTION("""COMPUTED_VALUE"""),1908.8)</f>
        <v/>
      </c>
    </row>
    <row r="693">
      <c r="B693" s="6">
        <f>C693&amp;D693</f>
        <v/>
      </c>
      <c r="C693" s="6">
        <f>YEAR(E693)</f>
        <v/>
      </c>
      <c r="D693" s="6">
        <f>MONTH(E693)</f>
        <v/>
      </c>
      <c r="E693" s="267">
        <f>IFERROR(__xludf.DUMMYFUNCTION("""COMPUTED_VALUE"""),44102.6666666666)</f>
        <v/>
      </c>
      <c r="F693" s="6">
        <f>IFERROR(__xludf.DUMMYFUNCTION("""COMPUTED_VALUE"""),3351.6)</f>
        <v/>
      </c>
      <c r="J693" s="6">
        <f>K693&amp;L693</f>
        <v/>
      </c>
      <c r="K693" s="6">
        <f>YEAR(M693)</f>
        <v/>
      </c>
      <c r="L693" s="6">
        <f>MONTH(M693)</f>
        <v/>
      </c>
      <c r="M693" s="267">
        <f>IFERROR(__xludf.DUMMYFUNCTION("""COMPUTED_VALUE"""),44096.6666666666)</f>
        <v/>
      </c>
      <c r="N693" s="6">
        <f>IFERROR(__xludf.DUMMYFUNCTION("""COMPUTED_VALUE"""),10963.64)</f>
        <v/>
      </c>
      <c r="R693" s="6">
        <f>S693&amp;T693</f>
        <v/>
      </c>
      <c r="S693" s="6">
        <f>YEAR(U693)</f>
        <v/>
      </c>
      <c r="T693" s="6">
        <f>MONTH(U693)</f>
        <v/>
      </c>
      <c r="U693" s="267">
        <f>IFERROR(__xludf.DUMMYFUNCTION("""COMPUTED_VALUE"""),44133.6458333333)</f>
        <v/>
      </c>
      <c r="V693" s="6">
        <f>IFERROR(__xludf.DUMMYFUNCTION("""COMPUTED_VALUE"""),2326.67)</f>
        <v/>
      </c>
      <c r="Z693" s="6">
        <f>AA693&amp;AB693</f>
        <v/>
      </c>
      <c r="AA693" s="6">
        <f>YEAR(AC693)</f>
        <v/>
      </c>
      <c r="AB693" s="6">
        <f>MONTH(AC693)</f>
        <v/>
      </c>
      <c r="AC693" s="267">
        <f>IFERROR(__xludf.DUMMYFUNCTION("""COMPUTED_VALUE"""),43829.9986111111)</f>
        <v/>
      </c>
      <c r="AD693" s="6">
        <f>IFERROR(__xludf.DUMMYFUNCTION("""COMPUTED_VALUE"""),1156.35)</f>
        <v/>
      </c>
      <c r="AH693" s="6">
        <f>AI693&amp;AJ693</f>
        <v/>
      </c>
      <c r="AI693" s="6">
        <f>YEAR(AK693)</f>
        <v/>
      </c>
      <c r="AJ693" s="6">
        <f>MONTH(AK693)</f>
        <v/>
      </c>
      <c r="AK693" s="267">
        <f>IFERROR(__xludf.DUMMYFUNCTION("""COMPUTED_VALUE"""),43785.9986111111)</f>
        <v/>
      </c>
      <c r="AL693" s="6">
        <f>IFERROR(__xludf.DUMMYFUNCTION("""COMPUTED_VALUE"""),8496.651)</f>
        <v/>
      </c>
      <c r="AP693" s="6">
        <f>AQ693&amp;AR693</f>
        <v/>
      </c>
      <c r="AQ693" s="6">
        <f>YEAR(AS693)</f>
        <v/>
      </c>
      <c r="AR693" s="6">
        <f>MONTH(AS693)</f>
        <v/>
      </c>
      <c r="AS693" s="267">
        <f>IFERROR(__xludf.DUMMYFUNCTION("""COMPUTED_VALUE"""),44111.9986111111)</f>
        <v/>
      </c>
      <c r="AT693" s="6">
        <f>IFERROR(__xludf.DUMMYFUNCTION("""COMPUTED_VALUE"""),1890.8)</f>
        <v/>
      </c>
    </row>
    <row r="694">
      <c r="B694" s="6">
        <f>C694&amp;D694</f>
        <v/>
      </c>
      <c r="C694" s="6">
        <f>YEAR(E694)</f>
        <v/>
      </c>
      <c r="D694" s="6">
        <f>MONTH(E694)</f>
        <v/>
      </c>
      <c r="E694" s="267">
        <f>IFERROR(__xludf.DUMMYFUNCTION("""COMPUTED_VALUE"""),44103.6666666666)</f>
        <v/>
      </c>
      <c r="F694" s="6">
        <f>IFERROR(__xludf.DUMMYFUNCTION("""COMPUTED_VALUE"""),3335.47)</f>
        <v/>
      </c>
      <c r="J694" s="6">
        <f>K694&amp;L694</f>
        <v/>
      </c>
      <c r="K694" s="6">
        <f>YEAR(M694)</f>
        <v/>
      </c>
      <c r="L694" s="6">
        <f>MONTH(M694)</f>
        <v/>
      </c>
      <c r="M694" s="267">
        <f>IFERROR(__xludf.DUMMYFUNCTION("""COMPUTED_VALUE"""),44097.6666666666)</f>
        <v/>
      </c>
      <c r="N694" s="6">
        <f>IFERROR(__xludf.DUMMYFUNCTION("""COMPUTED_VALUE"""),10632.99)</f>
        <v/>
      </c>
      <c r="R694" s="6">
        <f>S694&amp;T694</f>
        <v/>
      </c>
      <c r="S694" s="6">
        <f>YEAR(U694)</f>
        <v/>
      </c>
      <c r="T694" s="6">
        <f>MONTH(U694)</f>
        <v/>
      </c>
      <c r="U694" s="267">
        <f>IFERROR(__xludf.DUMMYFUNCTION("""COMPUTED_VALUE"""),44134.6458333333)</f>
        <v/>
      </c>
      <c r="V694" s="6">
        <f>IFERROR(__xludf.DUMMYFUNCTION("""COMPUTED_VALUE"""),2267.15)</f>
        <v/>
      </c>
      <c r="Z694" s="6">
        <f>AA694&amp;AB694</f>
        <v/>
      </c>
      <c r="AA694" s="6">
        <f>YEAR(AC694)</f>
        <v/>
      </c>
      <c r="AB694" s="6">
        <f>MONTH(AC694)</f>
        <v/>
      </c>
      <c r="AC694" s="267">
        <f>IFERROR(__xludf.DUMMYFUNCTION("""COMPUTED_VALUE"""),43830.9986111111)</f>
        <v/>
      </c>
      <c r="AD694" s="6">
        <f>IFERROR(__xludf.DUMMYFUNCTION("""COMPUTED_VALUE"""),1153.75)</f>
        <v/>
      </c>
      <c r="AH694" s="6">
        <f>AI694&amp;AJ694</f>
        <v/>
      </c>
      <c r="AI694" s="6">
        <f>YEAR(AK694)</f>
        <v/>
      </c>
      <c r="AJ694" s="6">
        <f>MONTH(AK694)</f>
        <v/>
      </c>
      <c r="AK694" s="267">
        <f>IFERROR(__xludf.DUMMYFUNCTION("""COMPUTED_VALUE"""),43786.9986111111)</f>
        <v/>
      </c>
      <c r="AL694" s="6">
        <f>IFERROR(__xludf.DUMMYFUNCTION("""COMPUTED_VALUE"""),8515.489)</f>
        <v/>
      </c>
      <c r="AP694" s="6">
        <f>AQ694&amp;AR694</f>
        <v/>
      </c>
      <c r="AQ694" s="6">
        <f>YEAR(AS694)</f>
        <v/>
      </c>
      <c r="AR694" s="6">
        <f>MONTH(AS694)</f>
        <v/>
      </c>
      <c r="AS694" s="267">
        <f>IFERROR(__xludf.DUMMYFUNCTION("""COMPUTED_VALUE"""),44112.9986111111)</f>
        <v/>
      </c>
      <c r="AT694" s="6">
        <f>IFERROR(__xludf.DUMMYFUNCTION("""COMPUTED_VALUE"""),1895.1)</f>
        <v/>
      </c>
    </row>
    <row r="695">
      <c r="B695" s="6">
        <f>C695&amp;D695</f>
        <v/>
      </c>
      <c r="C695" s="6">
        <f>YEAR(E695)</f>
        <v/>
      </c>
      <c r="D695" s="6">
        <f>MONTH(E695)</f>
        <v/>
      </c>
      <c r="E695" s="267">
        <f>IFERROR(__xludf.DUMMYFUNCTION("""COMPUTED_VALUE"""),44104.6666666666)</f>
        <v/>
      </c>
      <c r="F695" s="6">
        <f>IFERROR(__xludf.DUMMYFUNCTION("""COMPUTED_VALUE"""),3363)</f>
        <v/>
      </c>
      <c r="J695" s="6">
        <f>K695&amp;L695</f>
        <v/>
      </c>
      <c r="K695" s="6">
        <f>YEAR(M695)</f>
        <v/>
      </c>
      <c r="L695" s="6">
        <f>MONTH(M695)</f>
        <v/>
      </c>
      <c r="M695" s="267">
        <f>IFERROR(__xludf.DUMMYFUNCTION("""COMPUTED_VALUE"""),44098.6666666666)</f>
        <v/>
      </c>
      <c r="N695" s="6">
        <f>IFERROR(__xludf.DUMMYFUNCTION("""COMPUTED_VALUE"""),10672.27)</f>
        <v/>
      </c>
      <c r="R695" s="6">
        <f>S695&amp;T695</f>
        <v/>
      </c>
      <c r="S695" s="6">
        <f>YEAR(U695)</f>
        <v/>
      </c>
      <c r="T695" s="6">
        <f>MONTH(U695)</f>
        <v/>
      </c>
      <c r="U695" s="267">
        <f>IFERROR(__xludf.DUMMYFUNCTION("""COMPUTED_VALUE"""),44137.6458333333)</f>
        <v/>
      </c>
      <c r="V695" s="6">
        <f>IFERROR(__xludf.DUMMYFUNCTION("""COMPUTED_VALUE"""),2300.16)</f>
        <v/>
      </c>
      <c r="Z695" s="6">
        <f>AA695&amp;AB695</f>
        <v/>
      </c>
      <c r="AA695" s="6">
        <f>YEAR(AC695)</f>
        <v/>
      </c>
      <c r="AB695" s="6">
        <f>MONTH(AC695)</f>
        <v/>
      </c>
      <c r="AC695" s="267">
        <f>IFERROR(__xludf.DUMMYFUNCTION("""COMPUTED_VALUE"""),43831.9986111111)</f>
        <v/>
      </c>
      <c r="AD695" s="6">
        <f>IFERROR(__xludf.DUMMYFUNCTION("""COMPUTED_VALUE"""),1153.97)</f>
        <v/>
      </c>
      <c r="AH695" s="6">
        <f>AI695&amp;AJ695</f>
        <v/>
      </c>
      <c r="AI695" s="6">
        <f>YEAR(AK695)</f>
        <v/>
      </c>
      <c r="AJ695" s="6">
        <f>MONTH(AK695)</f>
        <v/>
      </c>
      <c r="AK695" s="267">
        <f>IFERROR(__xludf.DUMMYFUNCTION("""COMPUTED_VALUE"""),43787.9986111111)</f>
        <v/>
      </c>
      <c r="AL695" s="6">
        <f>IFERROR(__xludf.DUMMYFUNCTION("""COMPUTED_VALUE"""),8185.337)</f>
        <v/>
      </c>
      <c r="AP695" s="6">
        <f>AQ695&amp;AR695</f>
        <v/>
      </c>
      <c r="AQ695" s="6">
        <f>YEAR(AS695)</f>
        <v/>
      </c>
      <c r="AR695" s="6">
        <f>MONTH(AS695)</f>
        <v/>
      </c>
      <c r="AS695" s="267">
        <f>IFERROR(__xludf.DUMMYFUNCTION("""COMPUTED_VALUE"""),44113.9986111111)</f>
        <v/>
      </c>
      <c r="AT695" s="6">
        <f>IFERROR(__xludf.DUMMYFUNCTION("""COMPUTED_VALUE"""),1926.2)</f>
        <v/>
      </c>
    </row>
    <row r="696">
      <c r="B696" s="6">
        <f>C696&amp;D696</f>
        <v/>
      </c>
      <c r="C696" s="6">
        <f>YEAR(E696)</f>
        <v/>
      </c>
      <c r="D696" s="6">
        <f>MONTH(E696)</f>
        <v/>
      </c>
      <c r="E696" s="267">
        <f>IFERROR(__xludf.DUMMYFUNCTION("""COMPUTED_VALUE"""),44105.6666666666)</f>
        <v/>
      </c>
      <c r="F696" s="6">
        <f>IFERROR(__xludf.DUMMYFUNCTION("""COMPUTED_VALUE"""),3380.8)</f>
        <v/>
      </c>
      <c r="J696" s="6">
        <f>K696&amp;L696</f>
        <v/>
      </c>
      <c r="K696" s="6">
        <f>YEAR(M696)</f>
        <v/>
      </c>
      <c r="L696" s="6">
        <f>MONTH(M696)</f>
        <v/>
      </c>
      <c r="M696" s="267">
        <f>IFERROR(__xludf.DUMMYFUNCTION("""COMPUTED_VALUE"""),44099.6666666666)</f>
        <v/>
      </c>
      <c r="N696" s="6">
        <f>IFERROR(__xludf.DUMMYFUNCTION("""COMPUTED_VALUE"""),10913.56)</f>
        <v/>
      </c>
      <c r="R696" s="6">
        <f>S696&amp;T696</f>
        <v/>
      </c>
      <c r="S696" s="6">
        <f>YEAR(U696)</f>
        <v/>
      </c>
      <c r="T696" s="6">
        <f>MONTH(U696)</f>
        <v/>
      </c>
      <c r="U696" s="267">
        <f>IFERROR(__xludf.DUMMYFUNCTION("""COMPUTED_VALUE"""),44138.6458333333)</f>
        <v/>
      </c>
      <c r="V696" s="6">
        <f>IFERROR(__xludf.DUMMYFUNCTION("""COMPUTED_VALUE"""),2343.31)</f>
        <v/>
      </c>
      <c r="Z696" s="6">
        <f>AA696&amp;AB696</f>
        <v/>
      </c>
      <c r="AA696" s="6">
        <f>YEAR(AC696)</f>
        <v/>
      </c>
      <c r="AB696" s="6">
        <f>MONTH(AC696)</f>
        <v/>
      </c>
      <c r="AC696" s="267">
        <f>IFERROR(__xludf.DUMMYFUNCTION("""COMPUTED_VALUE"""),43832.9986111111)</f>
        <v/>
      </c>
      <c r="AD696" s="6">
        <f>IFERROR(__xludf.DUMMYFUNCTION("""COMPUTED_VALUE"""),1157.15)</f>
        <v/>
      </c>
      <c r="AH696" s="6">
        <f>AI696&amp;AJ696</f>
        <v/>
      </c>
      <c r="AI696" s="6">
        <f>YEAR(AK696)</f>
        <v/>
      </c>
      <c r="AJ696" s="6">
        <f>MONTH(AK696)</f>
        <v/>
      </c>
      <c r="AK696" s="267">
        <f>IFERROR(__xludf.DUMMYFUNCTION("""COMPUTED_VALUE"""),43788.9986111111)</f>
        <v/>
      </c>
      <c r="AL696" s="6">
        <f>IFERROR(__xludf.DUMMYFUNCTION("""COMPUTED_VALUE"""),8129.933)</f>
        <v/>
      </c>
      <c r="AP696" s="6">
        <f>AQ696&amp;AR696</f>
        <v/>
      </c>
      <c r="AQ696" s="6">
        <f>YEAR(AS696)</f>
        <v/>
      </c>
      <c r="AR696" s="6">
        <f>MONTH(AS696)</f>
        <v/>
      </c>
      <c r="AS696" s="267">
        <f>IFERROR(__xludf.DUMMYFUNCTION("""COMPUTED_VALUE"""),44116.9986111111)</f>
        <v/>
      </c>
      <c r="AT696" s="6">
        <f>IFERROR(__xludf.DUMMYFUNCTION("""COMPUTED_VALUE"""),1928.9)</f>
        <v/>
      </c>
    </row>
    <row r="697">
      <c r="B697" s="6">
        <f>C697&amp;D697</f>
        <v/>
      </c>
      <c r="C697" s="6">
        <f>YEAR(E697)</f>
        <v/>
      </c>
      <c r="D697" s="6">
        <f>MONTH(E697)</f>
        <v/>
      </c>
      <c r="E697" s="267">
        <f>IFERROR(__xludf.DUMMYFUNCTION("""COMPUTED_VALUE"""),44106.6666666666)</f>
        <v/>
      </c>
      <c r="F697" s="6">
        <f>IFERROR(__xludf.DUMMYFUNCTION("""COMPUTED_VALUE"""),3348.44)</f>
        <v/>
      </c>
      <c r="J697" s="6">
        <f>K697&amp;L697</f>
        <v/>
      </c>
      <c r="K697" s="6">
        <f>YEAR(M697)</f>
        <v/>
      </c>
      <c r="L697" s="6">
        <f>MONTH(M697)</f>
        <v/>
      </c>
      <c r="M697" s="267">
        <f>IFERROR(__xludf.DUMMYFUNCTION("""COMPUTED_VALUE"""),44102.6666666666)</f>
        <v/>
      </c>
      <c r="N697" s="6">
        <f>IFERROR(__xludf.DUMMYFUNCTION("""COMPUTED_VALUE"""),11117.53)</f>
        <v/>
      </c>
      <c r="R697" s="6">
        <f>S697&amp;T697</f>
        <v/>
      </c>
      <c r="S697" s="6">
        <f>YEAR(U697)</f>
        <v/>
      </c>
      <c r="T697" s="6">
        <f>MONTH(U697)</f>
        <v/>
      </c>
      <c r="U697" s="267">
        <f>IFERROR(__xludf.DUMMYFUNCTION("""COMPUTED_VALUE"""),44139.6458333333)</f>
        <v/>
      </c>
      <c r="V697" s="6">
        <f>IFERROR(__xludf.DUMMYFUNCTION("""COMPUTED_VALUE"""),2357.32)</f>
        <v/>
      </c>
      <c r="Z697" s="6">
        <f>AA697&amp;AB697</f>
        <v/>
      </c>
      <c r="AA697" s="6">
        <f>YEAR(AC697)</f>
        <v/>
      </c>
      <c r="AB697" s="6">
        <f>MONTH(AC697)</f>
        <v/>
      </c>
      <c r="AC697" s="267">
        <f>IFERROR(__xludf.DUMMYFUNCTION("""COMPUTED_VALUE"""),43833.9986111111)</f>
        <v/>
      </c>
      <c r="AD697" s="6">
        <f>IFERROR(__xludf.DUMMYFUNCTION("""COMPUTED_VALUE"""),1165.85)</f>
        <v/>
      </c>
      <c r="AH697" s="6">
        <f>AI697&amp;AJ697</f>
        <v/>
      </c>
      <c r="AI697" s="6">
        <f>YEAR(AK697)</f>
        <v/>
      </c>
      <c r="AJ697" s="6">
        <f>MONTH(AK697)</f>
        <v/>
      </c>
      <c r="AK697" s="267">
        <f>IFERROR(__xludf.DUMMYFUNCTION("""COMPUTED_VALUE"""),43789.9986111111)</f>
        <v/>
      </c>
      <c r="AL697" s="6">
        <f>IFERROR(__xludf.DUMMYFUNCTION("""COMPUTED_VALUE"""),8094.492)</f>
        <v/>
      </c>
      <c r="AP697" s="6">
        <f>AQ697&amp;AR697</f>
        <v/>
      </c>
      <c r="AQ697" s="6">
        <f>YEAR(AS697)</f>
        <v/>
      </c>
      <c r="AR697" s="6">
        <f>MONTH(AS697)</f>
        <v/>
      </c>
      <c r="AS697" s="267">
        <f>IFERROR(__xludf.DUMMYFUNCTION("""COMPUTED_VALUE"""),44117.9986111111)</f>
        <v/>
      </c>
      <c r="AT697" s="6">
        <f>IFERROR(__xludf.DUMMYFUNCTION("""COMPUTED_VALUE"""),1894.6)</f>
        <v/>
      </c>
    </row>
    <row r="698">
      <c r="B698" s="6">
        <f>C698&amp;D698</f>
        <v/>
      </c>
      <c r="C698" s="6">
        <f>YEAR(E698)</f>
        <v/>
      </c>
      <c r="D698" s="6">
        <f>MONTH(E698)</f>
        <v/>
      </c>
      <c r="E698" s="267">
        <f>IFERROR(__xludf.DUMMYFUNCTION("""COMPUTED_VALUE"""),44109.6666666666)</f>
        <v/>
      </c>
      <c r="F698" s="6">
        <f>IFERROR(__xludf.DUMMYFUNCTION("""COMPUTED_VALUE"""),3408.63)</f>
        <v/>
      </c>
      <c r="J698" s="6">
        <f>K698&amp;L698</f>
        <v/>
      </c>
      <c r="K698" s="6">
        <f>YEAR(M698)</f>
        <v/>
      </c>
      <c r="L698" s="6">
        <f>MONTH(M698)</f>
        <v/>
      </c>
      <c r="M698" s="267">
        <f>IFERROR(__xludf.DUMMYFUNCTION("""COMPUTED_VALUE"""),44103.6666666666)</f>
        <v/>
      </c>
      <c r="N698" s="6">
        <f>IFERROR(__xludf.DUMMYFUNCTION("""COMPUTED_VALUE"""),11085.25)</f>
        <v/>
      </c>
      <c r="R698" s="6">
        <f>S698&amp;T698</f>
        <v/>
      </c>
      <c r="S698" s="6">
        <f>YEAR(U698)</f>
        <v/>
      </c>
      <c r="T698" s="6">
        <f>MONTH(U698)</f>
        <v/>
      </c>
      <c r="U698" s="267">
        <f>IFERROR(__xludf.DUMMYFUNCTION("""COMPUTED_VALUE"""),44140.6458333333)</f>
        <v/>
      </c>
      <c r="V698" s="6">
        <f>IFERROR(__xludf.DUMMYFUNCTION("""COMPUTED_VALUE"""),2413.79)</f>
        <v/>
      </c>
      <c r="Z698" s="6">
        <f>AA698&amp;AB698</f>
        <v/>
      </c>
      <c r="AA698" s="6">
        <f>YEAR(AC698)</f>
        <v/>
      </c>
      <c r="AB698" s="6">
        <f>MONTH(AC698)</f>
        <v/>
      </c>
      <c r="AC698" s="267">
        <f>IFERROR(__xludf.DUMMYFUNCTION("""COMPUTED_VALUE"""),43834.9986111111)</f>
        <v/>
      </c>
      <c r="AD698" s="6">
        <f>IFERROR(__xludf.DUMMYFUNCTION("""COMPUTED_VALUE"""),1165.85)</f>
        <v/>
      </c>
      <c r="AH698" s="6">
        <f>AI698&amp;AJ698</f>
        <v/>
      </c>
      <c r="AI698" s="6">
        <f>YEAR(AK698)</f>
        <v/>
      </c>
      <c r="AJ698" s="6">
        <f>MONTH(AK698)</f>
        <v/>
      </c>
      <c r="AK698" s="267">
        <f>IFERROR(__xludf.DUMMYFUNCTION("""COMPUTED_VALUE"""),43790.9986111111)</f>
        <v/>
      </c>
      <c r="AL698" s="6">
        <f>IFERROR(__xludf.DUMMYFUNCTION("""COMPUTED_VALUE"""),7624.576)</f>
        <v/>
      </c>
      <c r="AP698" s="6">
        <f>AQ698&amp;AR698</f>
        <v/>
      </c>
      <c r="AQ698" s="6">
        <f>YEAR(AS698)</f>
        <v/>
      </c>
      <c r="AR698" s="6">
        <f>MONTH(AS698)</f>
        <v/>
      </c>
      <c r="AS698" s="267">
        <f>IFERROR(__xludf.DUMMYFUNCTION("""COMPUTED_VALUE"""),44118.9986111111)</f>
        <v/>
      </c>
      <c r="AT698" s="6">
        <f>IFERROR(__xludf.DUMMYFUNCTION("""COMPUTED_VALUE"""),1907.3)</f>
        <v/>
      </c>
    </row>
    <row r="699">
      <c r="B699" s="6">
        <f>C699&amp;D699</f>
        <v/>
      </c>
      <c r="C699" s="6">
        <f>YEAR(E699)</f>
        <v/>
      </c>
      <c r="D699" s="6">
        <f>MONTH(E699)</f>
        <v/>
      </c>
      <c r="E699" s="267">
        <f>IFERROR(__xludf.DUMMYFUNCTION("""COMPUTED_VALUE"""),44110.6666666666)</f>
        <v/>
      </c>
      <c r="F699" s="6">
        <f>IFERROR(__xludf.DUMMYFUNCTION("""COMPUTED_VALUE"""),3360.95)</f>
        <v/>
      </c>
      <c r="J699" s="6">
        <f>K699&amp;L699</f>
        <v/>
      </c>
      <c r="K699" s="6">
        <f>YEAR(M699)</f>
        <v/>
      </c>
      <c r="L699" s="6">
        <f>MONTH(M699)</f>
        <v/>
      </c>
      <c r="M699" s="267">
        <f>IFERROR(__xludf.DUMMYFUNCTION("""COMPUTED_VALUE"""),44104.6666666666)</f>
        <v/>
      </c>
      <c r="N699" s="6">
        <f>IFERROR(__xludf.DUMMYFUNCTION("""COMPUTED_VALUE"""),11167.51)</f>
        <v/>
      </c>
      <c r="R699" s="6">
        <f>S699&amp;T699</f>
        <v/>
      </c>
      <c r="S699" s="6">
        <f>YEAR(U699)</f>
        <v/>
      </c>
      <c r="T699" s="6">
        <f>MONTH(U699)</f>
        <v/>
      </c>
      <c r="U699" s="267">
        <f>IFERROR(__xludf.DUMMYFUNCTION("""COMPUTED_VALUE"""),44141.6458333333)</f>
        <v/>
      </c>
      <c r="V699" s="6">
        <f>IFERROR(__xludf.DUMMYFUNCTION("""COMPUTED_VALUE"""),2416.5)</f>
        <v/>
      </c>
      <c r="Z699" s="6">
        <f>AA699&amp;AB699</f>
        <v/>
      </c>
      <c r="AA699" s="6">
        <f>YEAR(AC699)</f>
        <v/>
      </c>
      <c r="AB699" s="6">
        <f>MONTH(AC699)</f>
        <v/>
      </c>
      <c r="AC699" s="267">
        <f>IFERROR(__xludf.DUMMYFUNCTION("""COMPUTED_VALUE"""),43835.9986111111)</f>
        <v/>
      </c>
      <c r="AD699" s="6">
        <f>IFERROR(__xludf.DUMMYFUNCTION("""COMPUTED_VALUE"""),1165.85)</f>
        <v/>
      </c>
      <c r="AH699" s="6">
        <f>AI699&amp;AJ699</f>
        <v/>
      </c>
      <c r="AI699" s="6">
        <f>YEAR(AK699)</f>
        <v/>
      </c>
      <c r="AJ699" s="6">
        <f>MONTH(AK699)</f>
        <v/>
      </c>
      <c r="AK699" s="267">
        <f>IFERROR(__xludf.DUMMYFUNCTION("""COMPUTED_VALUE"""),43791.9986111111)</f>
        <v/>
      </c>
      <c r="AL699" s="6">
        <f>IFERROR(__xludf.DUMMYFUNCTION("""COMPUTED_VALUE"""),7290.634)</f>
        <v/>
      </c>
      <c r="AP699" s="6">
        <f>AQ699&amp;AR699</f>
        <v/>
      </c>
      <c r="AQ699" s="6">
        <f>YEAR(AS699)</f>
        <v/>
      </c>
      <c r="AR699" s="6">
        <f>MONTH(AS699)</f>
        <v/>
      </c>
      <c r="AS699" s="267">
        <f>IFERROR(__xludf.DUMMYFUNCTION("""COMPUTED_VALUE"""),44119.9986111111)</f>
        <v/>
      </c>
      <c r="AT699" s="6">
        <f>IFERROR(__xludf.DUMMYFUNCTION("""COMPUTED_VALUE"""),1908.9)</f>
        <v/>
      </c>
    </row>
    <row r="700">
      <c r="B700" s="6">
        <f>C700&amp;D700</f>
        <v/>
      </c>
      <c r="C700" s="6">
        <f>YEAR(E700)</f>
        <v/>
      </c>
      <c r="D700" s="6">
        <f>MONTH(E700)</f>
        <v/>
      </c>
      <c r="E700" s="267">
        <f>IFERROR(__xludf.DUMMYFUNCTION("""COMPUTED_VALUE"""),44111.6666666666)</f>
        <v/>
      </c>
      <c r="F700" s="6">
        <f>IFERROR(__xludf.DUMMYFUNCTION("""COMPUTED_VALUE"""),3419.45)</f>
        <v/>
      </c>
      <c r="J700" s="6">
        <f>K700&amp;L700</f>
        <v/>
      </c>
      <c r="K700" s="6">
        <f>YEAR(M700)</f>
        <v/>
      </c>
      <c r="L700" s="6">
        <f>MONTH(M700)</f>
        <v/>
      </c>
      <c r="M700" s="267">
        <f>IFERROR(__xludf.DUMMYFUNCTION("""COMPUTED_VALUE"""),44105.6666666666)</f>
        <v/>
      </c>
      <c r="N700" s="6">
        <f>IFERROR(__xludf.DUMMYFUNCTION("""COMPUTED_VALUE"""),11326.51)</f>
        <v/>
      </c>
      <c r="R700" s="6">
        <f>S700&amp;T700</f>
        <v/>
      </c>
      <c r="S700" s="6">
        <f>YEAR(U700)</f>
        <v/>
      </c>
      <c r="T700" s="6">
        <f>MONTH(U700)</f>
        <v/>
      </c>
      <c r="U700" s="267">
        <f>IFERROR(__xludf.DUMMYFUNCTION("""COMPUTED_VALUE"""),44144.6458333333)</f>
        <v/>
      </c>
      <c r="V700" s="6">
        <f>IFERROR(__xludf.DUMMYFUNCTION("""COMPUTED_VALUE"""),2447.2)</f>
        <v/>
      </c>
      <c r="Z700" s="6">
        <f>AA700&amp;AB700</f>
        <v/>
      </c>
      <c r="AA700" s="6">
        <f>YEAR(AC700)</f>
        <v/>
      </c>
      <c r="AB700" s="6">
        <f>MONTH(AC700)</f>
        <v/>
      </c>
      <c r="AC700" s="267">
        <f>IFERROR(__xludf.DUMMYFUNCTION("""COMPUTED_VALUE"""),43836.9986111111)</f>
        <v/>
      </c>
      <c r="AD700" s="6">
        <f>IFERROR(__xludf.DUMMYFUNCTION("""COMPUTED_VALUE"""),1167.42)</f>
        <v/>
      </c>
      <c r="AH700" s="6">
        <f>AI700&amp;AJ700</f>
        <v/>
      </c>
      <c r="AI700" s="6">
        <f>YEAR(AK700)</f>
        <v/>
      </c>
      <c r="AJ700" s="6">
        <f>MONTH(AK700)</f>
        <v/>
      </c>
      <c r="AK700" s="267">
        <f>IFERROR(__xludf.DUMMYFUNCTION("""COMPUTED_VALUE"""),43792.9986111111)</f>
        <v/>
      </c>
      <c r="AL700" s="6">
        <f>IFERROR(__xludf.DUMMYFUNCTION("""COMPUTED_VALUE"""),7333.467)</f>
        <v/>
      </c>
      <c r="AP700" s="6">
        <f>AQ700&amp;AR700</f>
        <v/>
      </c>
      <c r="AQ700" s="6">
        <f>YEAR(AS700)</f>
        <v/>
      </c>
      <c r="AR700" s="6">
        <f>MONTH(AS700)</f>
        <v/>
      </c>
      <c r="AS700" s="267">
        <f>IFERROR(__xludf.DUMMYFUNCTION("""COMPUTED_VALUE"""),44120.9986111111)</f>
        <v/>
      </c>
      <c r="AT700" s="6">
        <f>IFERROR(__xludf.DUMMYFUNCTION("""COMPUTED_VALUE"""),1906.4)</f>
        <v/>
      </c>
    </row>
    <row r="701">
      <c r="B701" s="6">
        <f>C701&amp;D701</f>
        <v/>
      </c>
      <c r="C701" s="6">
        <f>YEAR(E701)</f>
        <v/>
      </c>
      <c r="D701" s="6">
        <f>MONTH(E701)</f>
        <v/>
      </c>
      <c r="E701" s="267">
        <f>IFERROR(__xludf.DUMMYFUNCTION("""COMPUTED_VALUE"""),44112.6666666666)</f>
        <v/>
      </c>
      <c r="F701" s="6">
        <f>IFERROR(__xludf.DUMMYFUNCTION("""COMPUTED_VALUE"""),3446.83)</f>
        <v/>
      </c>
      <c r="J701" s="6">
        <f>K701&amp;L701</f>
        <v/>
      </c>
      <c r="K701" s="6">
        <f>YEAR(M701)</f>
        <v/>
      </c>
      <c r="L701" s="6">
        <f>MONTH(M701)</f>
        <v/>
      </c>
      <c r="M701" s="267">
        <f>IFERROR(__xludf.DUMMYFUNCTION("""COMPUTED_VALUE"""),44106.6666666666)</f>
        <v/>
      </c>
      <c r="N701" s="6">
        <f>IFERROR(__xludf.DUMMYFUNCTION("""COMPUTED_VALUE"""),11075.02)</f>
        <v/>
      </c>
      <c r="R701" s="6">
        <f>S701&amp;T701</f>
        <v/>
      </c>
      <c r="S701" s="6">
        <f>YEAR(U701)</f>
        <v/>
      </c>
      <c r="T701" s="6">
        <f>MONTH(U701)</f>
        <v/>
      </c>
      <c r="U701" s="267">
        <f>IFERROR(__xludf.DUMMYFUNCTION("""COMPUTED_VALUE"""),44145.6458333333)</f>
        <v/>
      </c>
      <c r="V701" s="6">
        <f>IFERROR(__xludf.DUMMYFUNCTION("""COMPUTED_VALUE"""),2452.83)</f>
        <v/>
      </c>
      <c r="Z701" s="6">
        <f>AA701&amp;AB701</f>
        <v/>
      </c>
      <c r="AA701" s="6">
        <f>YEAR(AC701)</f>
        <v/>
      </c>
      <c r="AB701" s="6">
        <f>MONTH(AC701)</f>
        <v/>
      </c>
      <c r="AC701" s="267">
        <f>IFERROR(__xludf.DUMMYFUNCTION("""COMPUTED_VALUE"""),43837.9986111111)</f>
        <v/>
      </c>
      <c r="AD701" s="6">
        <f>IFERROR(__xludf.DUMMYFUNCTION("""COMPUTED_VALUE"""),1166.46)</f>
        <v/>
      </c>
      <c r="AH701" s="6">
        <f>AI701&amp;AJ701</f>
        <v/>
      </c>
      <c r="AI701" s="6">
        <f>YEAR(AK701)</f>
        <v/>
      </c>
      <c r="AJ701" s="6">
        <f>MONTH(AK701)</f>
        <v/>
      </c>
      <c r="AK701" s="267">
        <f>IFERROR(__xludf.DUMMYFUNCTION("""COMPUTED_VALUE"""),43793.9986111111)</f>
        <v/>
      </c>
      <c r="AL701" s="6">
        <f>IFERROR(__xludf.DUMMYFUNCTION("""COMPUTED_VALUE"""),6919.361)</f>
        <v/>
      </c>
      <c r="AP701" s="6">
        <f>AQ701&amp;AR701</f>
        <v/>
      </c>
      <c r="AQ701" s="6">
        <f>YEAR(AS701)</f>
        <v/>
      </c>
      <c r="AR701" s="6">
        <f>MONTH(AS701)</f>
        <v/>
      </c>
      <c r="AS701" s="267">
        <f>IFERROR(__xludf.DUMMYFUNCTION("""COMPUTED_VALUE"""),44123.9986111111)</f>
        <v/>
      </c>
      <c r="AT701" s="6">
        <f>IFERROR(__xludf.DUMMYFUNCTION("""COMPUTED_VALUE"""),1911.7)</f>
        <v/>
      </c>
    </row>
    <row r="702">
      <c r="B702" s="6">
        <f>C702&amp;D702</f>
        <v/>
      </c>
      <c r="C702" s="6">
        <f>YEAR(E702)</f>
        <v/>
      </c>
      <c r="D702" s="6">
        <f>MONTH(E702)</f>
        <v/>
      </c>
      <c r="E702" s="267">
        <f>IFERROR(__xludf.DUMMYFUNCTION("""COMPUTED_VALUE"""),44113.6666666666)</f>
        <v/>
      </c>
      <c r="F702" s="6">
        <f>IFERROR(__xludf.DUMMYFUNCTION("""COMPUTED_VALUE"""),3477.13)</f>
        <v/>
      </c>
      <c r="J702" s="6">
        <f>K702&amp;L702</f>
        <v/>
      </c>
      <c r="K702" s="6">
        <f>YEAR(M702)</f>
        <v/>
      </c>
      <c r="L702" s="6">
        <f>MONTH(M702)</f>
        <v/>
      </c>
      <c r="M702" s="267">
        <f>IFERROR(__xludf.DUMMYFUNCTION("""COMPUTED_VALUE"""),44109.6666666666)</f>
        <v/>
      </c>
      <c r="N702" s="6">
        <f>IFERROR(__xludf.DUMMYFUNCTION("""COMPUTED_VALUE"""),11332.49)</f>
        <v/>
      </c>
      <c r="R702" s="6">
        <f>S702&amp;T702</f>
        <v/>
      </c>
      <c r="S702" s="6">
        <f>YEAR(U702)</f>
        <v/>
      </c>
      <c r="T702" s="6">
        <f>MONTH(U702)</f>
        <v/>
      </c>
      <c r="U702" s="267">
        <f>IFERROR(__xludf.DUMMYFUNCTION("""COMPUTED_VALUE"""),44146.6458333333)</f>
        <v/>
      </c>
      <c r="V702" s="6">
        <f>IFERROR(__xludf.DUMMYFUNCTION("""COMPUTED_VALUE"""),2485.87)</f>
        <v/>
      </c>
      <c r="Z702" s="6">
        <f>AA702&amp;AB702</f>
        <v/>
      </c>
      <c r="AA702" s="6">
        <f>YEAR(AC702)</f>
        <v/>
      </c>
      <c r="AB702" s="6">
        <f>MONTH(AC702)</f>
        <v/>
      </c>
      <c r="AC702" s="267">
        <f>IFERROR(__xludf.DUMMYFUNCTION("""COMPUTED_VALUE"""),43838.9986111111)</f>
        <v/>
      </c>
      <c r="AD702" s="6">
        <f>IFERROR(__xludf.DUMMYFUNCTION("""COMPUTED_VALUE"""),1161.26)</f>
        <v/>
      </c>
      <c r="AH702" s="6">
        <f>AI702&amp;AJ702</f>
        <v/>
      </c>
      <c r="AI702" s="6">
        <f>YEAR(AK702)</f>
        <v/>
      </c>
      <c r="AJ702" s="6">
        <f>MONTH(AK702)</f>
        <v/>
      </c>
      <c r="AK702" s="267">
        <f>IFERROR(__xludf.DUMMYFUNCTION("""COMPUTED_VALUE"""),43794.9986111111)</f>
        <v/>
      </c>
      <c r="AL702" s="6">
        <f>IFERROR(__xludf.DUMMYFUNCTION("""COMPUTED_VALUE"""),7135.478)</f>
        <v/>
      </c>
      <c r="AP702" s="6">
        <f>AQ702&amp;AR702</f>
        <v/>
      </c>
      <c r="AQ702" s="6">
        <f>YEAR(AS702)</f>
        <v/>
      </c>
      <c r="AR702" s="6">
        <f>MONTH(AS702)</f>
        <v/>
      </c>
      <c r="AS702" s="267">
        <f>IFERROR(__xludf.DUMMYFUNCTION("""COMPUTED_VALUE"""),44124.9986111111)</f>
        <v/>
      </c>
      <c r="AT702" s="6">
        <f>IFERROR(__xludf.DUMMYFUNCTION("""COMPUTED_VALUE"""),1915.4)</f>
        <v/>
      </c>
    </row>
    <row r="703">
      <c r="B703" s="6">
        <f>C703&amp;D703</f>
        <v/>
      </c>
      <c r="C703" s="6">
        <f>YEAR(E703)</f>
        <v/>
      </c>
      <c r="D703" s="6">
        <f>MONTH(E703)</f>
        <v/>
      </c>
      <c r="E703" s="267">
        <f>IFERROR(__xludf.DUMMYFUNCTION("""COMPUTED_VALUE"""),44116.6666666666)</f>
        <v/>
      </c>
      <c r="F703" s="6">
        <f>IFERROR(__xludf.DUMMYFUNCTION("""COMPUTED_VALUE"""),3534.22)</f>
        <v/>
      </c>
      <c r="J703" s="6">
        <f>K703&amp;L703</f>
        <v/>
      </c>
      <c r="K703" s="6">
        <f>YEAR(M703)</f>
        <v/>
      </c>
      <c r="L703" s="6">
        <f>MONTH(M703)</f>
        <v/>
      </c>
      <c r="M703" s="267">
        <f>IFERROR(__xludf.DUMMYFUNCTION("""COMPUTED_VALUE"""),44110.6666666666)</f>
        <v/>
      </c>
      <c r="N703" s="6">
        <f>IFERROR(__xludf.DUMMYFUNCTION("""COMPUTED_VALUE"""),11154.6)</f>
        <v/>
      </c>
      <c r="R703" s="6">
        <f>S703&amp;T703</f>
        <v/>
      </c>
      <c r="S703" s="6">
        <f>YEAR(U703)</f>
        <v/>
      </c>
      <c r="T703" s="6">
        <f>MONTH(U703)</f>
        <v/>
      </c>
      <c r="U703" s="267">
        <f>IFERROR(__xludf.DUMMYFUNCTION("""COMPUTED_VALUE"""),44147.6458333333)</f>
        <v/>
      </c>
      <c r="V703" s="6">
        <f>IFERROR(__xludf.DUMMYFUNCTION("""COMPUTED_VALUE"""),2475.62)</f>
        <v/>
      </c>
      <c r="Z703" s="6">
        <f>AA703&amp;AB703</f>
        <v/>
      </c>
      <c r="AA703" s="6">
        <f>YEAR(AC703)</f>
        <v/>
      </c>
      <c r="AB703" s="6">
        <f>MONTH(AC703)</f>
        <v/>
      </c>
      <c r="AC703" s="267">
        <f>IFERROR(__xludf.DUMMYFUNCTION("""COMPUTED_VALUE"""),43839.9986111111)</f>
        <v/>
      </c>
      <c r="AD703" s="6">
        <f>IFERROR(__xludf.DUMMYFUNCTION("""COMPUTED_VALUE"""),1157.81)</f>
        <v/>
      </c>
      <c r="AH703" s="6">
        <f>AI703&amp;AJ703</f>
        <v/>
      </c>
      <c r="AI703" s="6">
        <f>YEAR(AK703)</f>
        <v/>
      </c>
      <c r="AJ703" s="6">
        <f>MONTH(AK703)</f>
        <v/>
      </c>
      <c r="AK703" s="267">
        <f>IFERROR(__xludf.DUMMYFUNCTION("""COMPUTED_VALUE"""),43795.9986111111)</f>
        <v/>
      </c>
      <c r="AL703" s="6">
        <f>IFERROR(__xludf.DUMMYFUNCTION("""COMPUTED_VALUE"""),7170.994)</f>
        <v/>
      </c>
      <c r="AP703" s="6">
        <f>AQ703&amp;AR703</f>
        <v/>
      </c>
      <c r="AQ703" s="6">
        <f>YEAR(AS703)</f>
        <v/>
      </c>
      <c r="AR703" s="6">
        <f>MONTH(AS703)</f>
        <v/>
      </c>
      <c r="AS703" s="267">
        <f>IFERROR(__xludf.DUMMYFUNCTION("""COMPUTED_VALUE"""),44125.9986111111)</f>
        <v/>
      </c>
      <c r="AT703" s="6">
        <f>IFERROR(__xludf.DUMMYFUNCTION("""COMPUTED_VALUE"""),1929.5)</f>
        <v/>
      </c>
    </row>
    <row r="704">
      <c r="B704" s="6">
        <f>C704&amp;D704</f>
        <v/>
      </c>
      <c r="C704" s="6">
        <f>YEAR(E704)</f>
        <v/>
      </c>
      <c r="D704" s="6">
        <f>MONTH(E704)</f>
        <v/>
      </c>
      <c r="E704" s="267">
        <f>IFERROR(__xludf.DUMMYFUNCTION("""COMPUTED_VALUE"""),44117.6666666666)</f>
        <v/>
      </c>
      <c r="F704" s="6">
        <f>IFERROR(__xludf.DUMMYFUNCTION("""COMPUTED_VALUE"""),3511.93)</f>
        <v/>
      </c>
      <c r="J704" s="6">
        <f>K704&amp;L704</f>
        <v/>
      </c>
      <c r="K704" s="6">
        <f>YEAR(M704)</f>
        <v/>
      </c>
      <c r="L704" s="6">
        <f>MONTH(M704)</f>
        <v/>
      </c>
      <c r="M704" s="267">
        <f>IFERROR(__xludf.DUMMYFUNCTION("""COMPUTED_VALUE"""),44111.6666666666)</f>
        <v/>
      </c>
      <c r="N704" s="6">
        <f>IFERROR(__xludf.DUMMYFUNCTION("""COMPUTED_VALUE"""),11364.6)</f>
        <v/>
      </c>
      <c r="R704" s="6">
        <f>S704&amp;T704</f>
        <v/>
      </c>
      <c r="S704" s="6">
        <f>YEAR(U704)</f>
        <v/>
      </c>
      <c r="T704" s="6">
        <f>MONTH(U704)</f>
        <v/>
      </c>
      <c r="U704" s="267">
        <f>IFERROR(__xludf.DUMMYFUNCTION("""COMPUTED_VALUE"""),44148.6458333333)</f>
        <v/>
      </c>
      <c r="V704" s="6">
        <f>IFERROR(__xludf.DUMMYFUNCTION("""COMPUTED_VALUE"""),2493.87)</f>
        <v/>
      </c>
      <c r="Z704" s="6">
        <f>AA704&amp;AB704</f>
        <v/>
      </c>
      <c r="AA704" s="6">
        <f>YEAR(AC704)</f>
        <v/>
      </c>
      <c r="AB704" s="6">
        <f>MONTH(AC704)</f>
        <v/>
      </c>
      <c r="AC704" s="267">
        <f>IFERROR(__xludf.DUMMYFUNCTION("""COMPUTED_VALUE"""),43840.9986111111)</f>
        <v/>
      </c>
      <c r="AD704" s="6">
        <f>IFERROR(__xludf.DUMMYFUNCTION("""COMPUTED_VALUE"""),1158.03)</f>
        <v/>
      </c>
      <c r="AH704" s="6">
        <f>AI704&amp;AJ704</f>
        <v/>
      </c>
      <c r="AI704" s="6">
        <f>YEAR(AK704)</f>
        <v/>
      </c>
      <c r="AJ704" s="6">
        <f>MONTH(AK704)</f>
        <v/>
      </c>
      <c r="AK704" s="267">
        <f>IFERROR(__xludf.DUMMYFUNCTION("""COMPUTED_VALUE"""),43796.9986111111)</f>
        <v/>
      </c>
      <c r="AL704" s="6">
        <f>IFERROR(__xludf.DUMMYFUNCTION("""COMPUTED_VALUE"""),7530.074)</f>
        <v/>
      </c>
      <c r="AP704" s="6">
        <f>AQ704&amp;AR704</f>
        <v/>
      </c>
      <c r="AQ704" s="6">
        <f>YEAR(AS704)</f>
        <v/>
      </c>
      <c r="AR704" s="6">
        <f>MONTH(AS704)</f>
        <v/>
      </c>
      <c r="AS704" s="267">
        <f>IFERROR(__xludf.DUMMYFUNCTION("""COMPUTED_VALUE"""),44126.9986111111)</f>
        <v/>
      </c>
      <c r="AT704" s="6">
        <f>IFERROR(__xludf.DUMMYFUNCTION("""COMPUTED_VALUE"""),1904.6)</f>
        <v/>
      </c>
    </row>
    <row r="705">
      <c r="B705" s="6">
        <f>C705&amp;D705</f>
        <v/>
      </c>
      <c r="C705" s="6">
        <f>YEAR(E705)</f>
        <v/>
      </c>
      <c r="D705" s="6">
        <f>MONTH(E705)</f>
        <v/>
      </c>
      <c r="E705" s="267">
        <f>IFERROR(__xludf.DUMMYFUNCTION("""COMPUTED_VALUE"""),44118.6666666666)</f>
        <v/>
      </c>
      <c r="F705" s="6">
        <f>IFERROR(__xludf.DUMMYFUNCTION("""COMPUTED_VALUE"""),3488.67)</f>
        <v/>
      </c>
      <c r="J705" s="6">
        <f>K705&amp;L705</f>
        <v/>
      </c>
      <c r="K705" s="6">
        <f>YEAR(M705)</f>
        <v/>
      </c>
      <c r="L705" s="6">
        <f>MONTH(M705)</f>
        <v/>
      </c>
      <c r="M705" s="267">
        <f>IFERROR(__xludf.DUMMYFUNCTION("""COMPUTED_VALUE"""),44112.6666666666)</f>
        <v/>
      </c>
      <c r="N705" s="6">
        <f>IFERROR(__xludf.DUMMYFUNCTION("""COMPUTED_VALUE"""),11420.98)</f>
        <v/>
      </c>
      <c r="R705" s="6">
        <f>S705&amp;T705</f>
        <v/>
      </c>
      <c r="S705" s="6">
        <f>YEAR(U705)</f>
        <v/>
      </c>
      <c r="T705" s="6">
        <f>MONTH(U705)</f>
        <v/>
      </c>
      <c r="U705" s="267">
        <f>IFERROR(__xludf.DUMMYFUNCTION("""COMPUTED_VALUE"""),44151.6458333333)</f>
        <v/>
      </c>
      <c r="V705" s="6">
        <f>IFERROR(__xludf.DUMMYFUNCTION("""COMPUTED_VALUE"""),2543.03)</f>
        <v/>
      </c>
      <c r="Z705" s="6">
        <f>AA705&amp;AB705</f>
        <v/>
      </c>
      <c r="AA705" s="6">
        <f>YEAR(AC705)</f>
        <v/>
      </c>
      <c r="AB705" s="6">
        <f>MONTH(AC705)</f>
        <v/>
      </c>
      <c r="AC705" s="267">
        <f>IFERROR(__xludf.DUMMYFUNCTION("""COMPUTED_VALUE"""),43841.9986111111)</f>
        <v/>
      </c>
      <c r="AD705" s="6">
        <f>IFERROR(__xludf.DUMMYFUNCTION("""COMPUTED_VALUE"""),1156.93)</f>
        <v/>
      </c>
      <c r="AH705" s="6">
        <f>AI705&amp;AJ705</f>
        <v/>
      </c>
      <c r="AI705" s="6">
        <f>YEAR(AK705)</f>
        <v/>
      </c>
      <c r="AJ705" s="6">
        <f>MONTH(AK705)</f>
        <v/>
      </c>
      <c r="AK705" s="267">
        <f>IFERROR(__xludf.DUMMYFUNCTION("""COMPUTED_VALUE"""),43797.9986111111)</f>
        <v/>
      </c>
      <c r="AL705" s="6">
        <f>IFERROR(__xludf.DUMMYFUNCTION("""COMPUTED_VALUE"""),7439.147)</f>
        <v/>
      </c>
      <c r="AP705" s="6">
        <f>AQ705&amp;AR705</f>
        <v/>
      </c>
      <c r="AQ705" s="6">
        <f>YEAR(AS705)</f>
        <v/>
      </c>
      <c r="AR705" s="6">
        <f>MONTH(AS705)</f>
        <v/>
      </c>
      <c r="AS705" s="267">
        <f>IFERROR(__xludf.DUMMYFUNCTION("""COMPUTED_VALUE"""),44127.9986111111)</f>
        <v/>
      </c>
      <c r="AT705" s="6">
        <f>IFERROR(__xludf.DUMMYFUNCTION("""COMPUTED_VALUE"""),1905.2)</f>
        <v/>
      </c>
    </row>
    <row r="706">
      <c r="B706" s="6">
        <f>C706&amp;D706</f>
        <v/>
      </c>
      <c r="C706" s="6">
        <f>YEAR(E706)</f>
        <v/>
      </c>
      <c r="D706" s="6">
        <f>MONTH(E706)</f>
        <v/>
      </c>
      <c r="E706" s="267">
        <f>IFERROR(__xludf.DUMMYFUNCTION("""COMPUTED_VALUE"""),44119.6666666666)</f>
        <v/>
      </c>
      <c r="F706" s="6">
        <f>IFERROR(__xludf.DUMMYFUNCTION("""COMPUTED_VALUE"""),3483.34)</f>
        <v/>
      </c>
      <c r="J706" s="6">
        <f>K706&amp;L706</f>
        <v/>
      </c>
      <c r="K706" s="6">
        <f>YEAR(M706)</f>
        <v/>
      </c>
      <c r="L706" s="6">
        <f>MONTH(M706)</f>
        <v/>
      </c>
      <c r="M706" s="267">
        <f>IFERROR(__xludf.DUMMYFUNCTION("""COMPUTED_VALUE"""),44113.6666666666)</f>
        <v/>
      </c>
      <c r="N706" s="6">
        <f>IFERROR(__xludf.DUMMYFUNCTION("""COMPUTED_VALUE"""),11579.94)</f>
        <v/>
      </c>
      <c r="R706" s="6">
        <f>S706&amp;T706</f>
        <v/>
      </c>
      <c r="S706" s="6">
        <f>YEAR(U706)</f>
        <v/>
      </c>
      <c r="T706" s="6">
        <f>MONTH(U706)</f>
        <v/>
      </c>
      <c r="U706" s="267">
        <f>IFERROR(__xludf.DUMMYFUNCTION("""COMPUTED_VALUE"""),44152.6458333333)</f>
        <v/>
      </c>
      <c r="V706" s="6">
        <f>IFERROR(__xludf.DUMMYFUNCTION("""COMPUTED_VALUE"""),2539.15)</f>
        <v/>
      </c>
      <c r="Z706" s="6">
        <f>AA706&amp;AB706</f>
        <v/>
      </c>
      <c r="AA706" s="6">
        <f>YEAR(AC706)</f>
        <v/>
      </c>
      <c r="AB706" s="6">
        <f>MONTH(AC706)</f>
        <v/>
      </c>
      <c r="AC706" s="267">
        <f>IFERROR(__xludf.DUMMYFUNCTION("""COMPUTED_VALUE"""),43842.9986111111)</f>
        <v/>
      </c>
      <c r="AD706" s="6">
        <f>IFERROR(__xludf.DUMMYFUNCTION("""COMPUTED_VALUE"""),1156.93)</f>
        <v/>
      </c>
      <c r="AH706" s="6">
        <f>AI706&amp;AJ706</f>
        <v/>
      </c>
      <c r="AI706" s="6">
        <f>YEAR(AK706)</f>
        <v/>
      </c>
      <c r="AJ706" s="6">
        <f>MONTH(AK706)</f>
        <v/>
      </c>
      <c r="AK706" s="267">
        <f>IFERROR(__xludf.DUMMYFUNCTION("""COMPUTED_VALUE"""),43798.9986111111)</f>
        <v/>
      </c>
      <c r="AL706" s="6">
        <f>IFERROR(__xludf.DUMMYFUNCTION("""COMPUTED_VALUE"""),7771.982)</f>
        <v/>
      </c>
      <c r="AP706" s="6">
        <f>AQ706&amp;AR706</f>
        <v/>
      </c>
      <c r="AQ706" s="6">
        <f>YEAR(AS706)</f>
        <v/>
      </c>
      <c r="AR706" s="6">
        <f>MONTH(AS706)</f>
        <v/>
      </c>
      <c r="AS706" s="267">
        <f>IFERROR(__xludf.DUMMYFUNCTION("""COMPUTED_VALUE"""),44130.9986111111)</f>
        <v/>
      </c>
      <c r="AT706" s="6">
        <f>IFERROR(__xludf.DUMMYFUNCTION("""COMPUTED_VALUE"""),1905.7)</f>
        <v/>
      </c>
    </row>
    <row r="707">
      <c r="B707" s="6">
        <f>C707&amp;D707</f>
        <v/>
      </c>
      <c r="C707" s="6">
        <f>YEAR(E707)</f>
        <v/>
      </c>
      <c r="D707" s="6">
        <f>MONTH(E707)</f>
        <v/>
      </c>
      <c r="E707" s="267">
        <f>IFERROR(__xludf.DUMMYFUNCTION("""COMPUTED_VALUE"""),44120.6666666666)</f>
        <v/>
      </c>
      <c r="F707" s="6">
        <f>IFERROR(__xludf.DUMMYFUNCTION("""COMPUTED_VALUE"""),3483.81)</f>
        <v/>
      </c>
      <c r="J707" s="6">
        <f>K707&amp;L707</f>
        <v/>
      </c>
      <c r="K707" s="6">
        <f>YEAR(M707)</f>
        <v/>
      </c>
      <c r="L707" s="6">
        <f>MONTH(M707)</f>
        <v/>
      </c>
      <c r="M707" s="267">
        <f>IFERROR(__xludf.DUMMYFUNCTION("""COMPUTED_VALUE"""),44116.6666666666)</f>
        <v/>
      </c>
      <c r="N707" s="6">
        <f>IFERROR(__xludf.DUMMYFUNCTION("""COMPUTED_VALUE"""),11876.26)</f>
        <v/>
      </c>
      <c r="R707" s="6">
        <f>S707&amp;T707</f>
        <v/>
      </c>
      <c r="S707" s="6">
        <f>YEAR(U707)</f>
        <v/>
      </c>
      <c r="T707" s="6">
        <f>MONTH(U707)</f>
        <v/>
      </c>
      <c r="U707" s="267">
        <f>IFERROR(__xludf.DUMMYFUNCTION("""COMPUTED_VALUE"""),44153.6458333333)</f>
        <v/>
      </c>
      <c r="V707" s="6">
        <f>IFERROR(__xludf.DUMMYFUNCTION("""COMPUTED_VALUE"""),2545.64)</f>
        <v/>
      </c>
      <c r="Z707" s="6">
        <f>AA707&amp;AB707</f>
        <v/>
      </c>
      <c r="AA707" s="6">
        <f>YEAR(AC707)</f>
        <v/>
      </c>
      <c r="AB707" s="6">
        <f>MONTH(AC707)</f>
        <v/>
      </c>
      <c r="AC707" s="267">
        <f>IFERROR(__xludf.DUMMYFUNCTION("""COMPUTED_VALUE"""),43843.9986111111)</f>
        <v/>
      </c>
      <c r="AD707" s="6">
        <f>IFERROR(__xludf.DUMMYFUNCTION("""COMPUTED_VALUE"""),1153.94)</f>
        <v/>
      </c>
      <c r="AH707" s="6">
        <f>AI707&amp;AJ707</f>
        <v/>
      </c>
      <c r="AI707" s="6">
        <f>YEAR(AK707)</f>
        <v/>
      </c>
      <c r="AJ707" s="6">
        <f>MONTH(AK707)</f>
        <v/>
      </c>
      <c r="AK707" s="267">
        <f>IFERROR(__xludf.DUMMYFUNCTION("""COMPUTED_VALUE"""),43799.9986111111)</f>
        <v/>
      </c>
      <c r="AL707" s="6">
        <f>IFERROR(__xludf.DUMMYFUNCTION("""COMPUTED_VALUE"""),7573.91)</f>
        <v/>
      </c>
      <c r="AP707" s="6">
        <f>AQ707&amp;AR707</f>
        <v/>
      </c>
      <c r="AQ707" s="6">
        <f>YEAR(AS707)</f>
        <v/>
      </c>
      <c r="AR707" s="6">
        <f>MONTH(AS707)</f>
        <v/>
      </c>
      <c r="AS707" s="267">
        <f>IFERROR(__xludf.DUMMYFUNCTION("""COMPUTED_VALUE"""),44131.9986111111)</f>
        <v/>
      </c>
      <c r="AT707" s="6">
        <f>IFERROR(__xludf.DUMMYFUNCTION("""COMPUTED_VALUE"""),1911.9)</f>
        <v/>
      </c>
    </row>
    <row r="708">
      <c r="B708" s="6">
        <f>C708&amp;D708</f>
        <v/>
      </c>
      <c r="C708" s="6">
        <f>YEAR(E708)</f>
        <v/>
      </c>
      <c r="D708" s="6">
        <f>MONTH(E708)</f>
        <v/>
      </c>
      <c r="E708" s="267">
        <f>IFERROR(__xludf.DUMMYFUNCTION("""COMPUTED_VALUE"""),44123.6666666666)</f>
        <v/>
      </c>
      <c r="F708" s="6">
        <f>IFERROR(__xludf.DUMMYFUNCTION("""COMPUTED_VALUE"""),3426.92)</f>
        <v/>
      </c>
      <c r="J708" s="6">
        <f>K708&amp;L708</f>
        <v/>
      </c>
      <c r="K708" s="6">
        <f>YEAR(M708)</f>
        <v/>
      </c>
      <c r="L708" s="6">
        <f>MONTH(M708)</f>
        <v/>
      </c>
      <c r="M708" s="267">
        <f>IFERROR(__xludf.DUMMYFUNCTION("""COMPUTED_VALUE"""),44117.6666666666)</f>
        <v/>
      </c>
      <c r="N708" s="6">
        <f>IFERROR(__xludf.DUMMYFUNCTION("""COMPUTED_VALUE"""),11863.9)</f>
        <v/>
      </c>
      <c r="R708" s="6">
        <f>S708&amp;T708</f>
        <v/>
      </c>
      <c r="S708" s="6">
        <f>YEAR(U708)</f>
        <v/>
      </c>
      <c r="T708" s="6">
        <f>MONTH(U708)</f>
        <v/>
      </c>
      <c r="U708" s="267">
        <f>IFERROR(__xludf.DUMMYFUNCTION("""COMPUTED_VALUE"""),44154.6458333333)</f>
        <v/>
      </c>
      <c r="V708" s="6">
        <f>IFERROR(__xludf.DUMMYFUNCTION("""COMPUTED_VALUE"""),2547.42)</f>
        <v/>
      </c>
      <c r="Z708" s="6">
        <f>AA708&amp;AB708</f>
        <v/>
      </c>
      <c r="AA708" s="6">
        <f>YEAR(AC708)</f>
        <v/>
      </c>
      <c r="AB708" s="6">
        <f>MONTH(AC708)</f>
        <v/>
      </c>
      <c r="AC708" s="267">
        <f>IFERROR(__xludf.DUMMYFUNCTION("""COMPUTED_VALUE"""),43844.9986111111)</f>
        <v/>
      </c>
      <c r="AD708" s="6">
        <f>IFERROR(__xludf.DUMMYFUNCTION("""COMPUTED_VALUE"""),1157.05)</f>
        <v/>
      </c>
      <c r="AH708" s="6">
        <f>AI708&amp;AJ708</f>
        <v/>
      </c>
      <c r="AI708" s="6">
        <f>YEAR(AK708)</f>
        <v/>
      </c>
      <c r="AJ708" s="6">
        <f>MONTH(AK708)</f>
        <v/>
      </c>
      <c r="AK708" s="267">
        <f>IFERROR(__xludf.DUMMYFUNCTION("""COMPUTED_VALUE"""),43800.9986111111)</f>
        <v/>
      </c>
      <c r="AL708" s="6">
        <f>IFERROR(__xludf.DUMMYFUNCTION("""COMPUTED_VALUE"""),7417.492)</f>
        <v/>
      </c>
      <c r="AP708" s="6">
        <f>AQ708&amp;AR708</f>
        <v/>
      </c>
      <c r="AQ708" s="6">
        <f>YEAR(AS708)</f>
        <v/>
      </c>
      <c r="AR708" s="6">
        <f>MONTH(AS708)</f>
        <v/>
      </c>
      <c r="AS708" s="267">
        <f>IFERROR(__xludf.DUMMYFUNCTION("""COMPUTED_VALUE"""),44132.9986111111)</f>
        <v/>
      </c>
      <c r="AT708" s="6">
        <f>IFERROR(__xludf.DUMMYFUNCTION("""COMPUTED_VALUE"""),1879.2)</f>
        <v/>
      </c>
    </row>
    <row r="709">
      <c r="B709" s="6">
        <f>C709&amp;D709</f>
        <v/>
      </c>
      <c r="C709" s="6">
        <f>YEAR(E709)</f>
        <v/>
      </c>
      <c r="D709" s="6">
        <f>MONTH(E709)</f>
        <v/>
      </c>
      <c r="E709" s="267">
        <f>IFERROR(__xludf.DUMMYFUNCTION("""COMPUTED_VALUE"""),44124.6666666666)</f>
        <v/>
      </c>
      <c r="F709" s="6">
        <f>IFERROR(__xludf.DUMMYFUNCTION("""COMPUTED_VALUE"""),3443.12)</f>
        <v/>
      </c>
      <c r="J709" s="6">
        <f>K709&amp;L709</f>
        <v/>
      </c>
      <c r="K709" s="6">
        <f>YEAR(M709)</f>
        <v/>
      </c>
      <c r="L709" s="6">
        <f>MONTH(M709)</f>
        <v/>
      </c>
      <c r="M709" s="267">
        <f>IFERROR(__xludf.DUMMYFUNCTION("""COMPUTED_VALUE"""),44118.6666666666)</f>
        <v/>
      </c>
      <c r="N709" s="6">
        <f>IFERROR(__xludf.DUMMYFUNCTION("""COMPUTED_VALUE"""),11768.73)</f>
        <v/>
      </c>
      <c r="R709" s="6">
        <f>S709&amp;T709</f>
        <v/>
      </c>
      <c r="S709" s="6">
        <f>YEAR(U709)</f>
        <v/>
      </c>
      <c r="T709" s="6">
        <f>MONTH(U709)</f>
        <v/>
      </c>
      <c r="U709" s="267">
        <f>IFERROR(__xludf.DUMMYFUNCTION("""COMPUTED_VALUE"""),44155.6458333333)</f>
        <v/>
      </c>
      <c r="V709" s="6">
        <f>IFERROR(__xludf.DUMMYFUNCTION("""COMPUTED_VALUE"""),2553.5)</f>
        <v/>
      </c>
      <c r="Z709" s="6">
        <f>AA709&amp;AB709</f>
        <v/>
      </c>
      <c r="AA709" s="6">
        <f>YEAR(AC709)</f>
        <v/>
      </c>
      <c r="AB709" s="6">
        <f>MONTH(AC709)</f>
        <v/>
      </c>
      <c r="AC709" s="267">
        <f>IFERROR(__xludf.DUMMYFUNCTION("""COMPUTED_VALUE"""),43845.9986111111)</f>
        <v/>
      </c>
      <c r="AD709" s="6">
        <f>IFERROR(__xludf.DUMMYFUNCTION("""COMPUTED_VALUE"""),1156.78)</f>
        <v/>
      </c>
      <c r="AH709" s="6">
        <f>AI709&amp;AJ709</f>
        <v/>
      </c>
      <c r="AI709" s="6">
        <f>YEAR(AK709)</f>
        <v/>
      </c>
      <c r="AJ709" s="6">
        <f>MONTH(AK709)</f>
        <v/>
      </c>
      <c r="AK709" s="267">
        <f>IFERROR(__xludf.DUMMYFUNCTION("""COMPUTED_VALUE"""),43801.9986111111)</f>
        <v/>
      </c>
      <c r="AL709" s="6">
        <f>IFERROR(__xludf.DUMMYFUNCTION("""COMPUTED_VALUE"""),7320.275)</f>
        <v/>
      </c>
      <c r="AP709" s="6">
        <f>AQ709&amp;AR709</f>
        <v/>
      </c>
      <c r="AQ709" s="6">
        <f>YEAR(AS709)</f>
        <v/>
      </c>
      <c r="AR709" s="6">
        <f>MONTH(AS709)</f>
        <v/>
      </c>
      <c r="AS709" s="267">
        <f>IFERROR(__xludf.DUMMYFUNCTION("""COMPUTED_VALUE"""),44133.9986111111)</f>
        <v/>
      </c>
      <c r="AT709" s="6">
        <f>IFERROR(__xludf.DUMMYFUNCTION("""COMPUTED_VALUE"""),1868)</f>
        <v/>
      </c>
    </row>
    <row r="710">
      <c r="B710" s="6">
        <f>C710&amp;D710</f>
        <v/>
      </c>
      <c r="C710" s="6">
        <f>YEAR(E710)</f>
        <v/>
      </c>
      <c r="D710" s="6">
        <f>MONTH(E710)</f>
        <v/>
      </c>
      <c r="E710" s="267">
        <f>IFERROR(__xludf.DUMMYFUNCTION("""COMPUTED_VALUE"""),44125.6666666666)</f>
        <v/>
      </c>
      <c r="F710" s="6">
        <f>IFERROR(__xludf.DUMMYFUNCTION("""COMPUTED_VALUE"""),3435.56)</f>
        <v/>
      </c>
      <c r="J710" s="6">
        <f>K710&amp;L710</f>
        <v/>
      </c>
      <c r="K710" s="6">
        <f>YEAR(M710)</f>
        <v/>
      </c>
      <c r="L710" s="6">
        <f>MONTH(M710)</f>
        <v/>
      </c>
      <c r="M710" s="267">
        <f>IFERROR(__xludf.DUMMYFUNCTION("""COMPUTED_VALUE"""),44119.6666666666)</f>
        <v/>
      </c>
      <c r="N710" s="6">
        <f>IFERROR(__xludf.DUMMYFUNCTION("""COMPUTED_VALUE"""),11713.87)</f>
        <v/>
      </c>
      <c r="R710" s="6">
        <f>S710&amp;T710</f>
        <v/>
      </c>
      <c r="S710" s="6">
        <f>YEAR(U710)</f>
        <v/>
      </c>
      <c r="T710" s="6">
        <f>MONTH(U710)</f>
        <v/>
      </c>
      <c r="U710" s="267">
        <f>IFERROR(__xludf.DUMMYFUNCTION("""COMPUTED_VALUE"""),44158.6458333333)</f>
        <v/>
      </c>
      <c r="V710" s="6">
        <f>IFERROR(__xludf.DUMMYFUNCTION("""COMPUTED_VALUE"""),2602.59)</f>
        <v/>
      </c>
      <c r="Z710" s="6">
        <f>AA710&amp;AB710</f>
        <v/>
      </c>
      <c r="AA710" s="6">
        <f>YEAR(AC710)</f>
        <v/>
      </c>
      <c r="AB710" s="6">
        <f>MONTH(AC710)</f>
        <v/>
      </c>
      <c r="AC710" s="267">
        <f>IFERROR(__xludf.DUMMYFUNCTION("""COMPUTED_VALUE"""),43846.9986111111)</f>
        <v/>
      </c>
      <c r="AD710" s="6">
        <f>IFERROR(__xludf.DUMMYFUNCTION("""COMPUTED_VALUE"""),1158.77)</f>
        <v/>
      </c>
      <c r="AH710" s="6">
        <f>AI710&amp;AJ710</f>
        <v/>
      </c>
      <c r="AI710" s="6">
        <f>YEAR(AK710)</f>
        <v/>
      </c>
      <c r="AJ710" s="6">
        <f>MONTH(AK710)</f>
        <v/>
      </c>
      <c r="AK710" s="267">
        <f>IFERROR(__xludf.DUMMYFUNCTION("""COMPUTED_VALUE"""),43802.9986111111)</f>
        <v/>
      </c>
      <c r="AL710" s="6">
        <f>IFERROR(__xludf.DUMMYFUNCTION("""COMPUTED_VALUE"""),7309.502)</f>
        <v/>
      </c>
      <c r="AP710" s="6">
        <f>AQ710&amp;AR710</f>
        <v/>
      </c>
      <c r="AQ710" s="6">
        <f>YEAR(AS710)</f>
        <v/>
      </c>
      <c r="AR710" s="6">
        <f>MONTH(AS710)</f>
        <v/>
      </c>
      <c r="AS710" s="267">
        <f>IFERROR(__xludf.DUMMYFUNCTION("""COMPUTED_VALUE"""),44134.9986111111)</f>
        <v/>
      </c>
      <c r="AT710" s="6">
        <f>IFERROR(__xludf.DUMMYFUNCTION("""COMPUTED_VALUE"""),1879.9)</f>
        <v/>
      </c>
    </row>
    <row r="711">
      <c r="B711" s="6">
        <f>C711&amp;D711</f>
        <v/>
      </c>
      <c r="C711" s="6">
        <f>YEAR(E711)</f>
        <v/>
      </c>
      <c r="D711" s="6">
        <f>MONTH(E711)</f>
        <v/>
      </c>
      <c r="E711" s="267">
        <f>IFERROR(__xludf.DUMMYFUNCTION("""COMPUTED_VALUE"""),44126.6666666666)</f>
        <v/>
      </c>
      <c r="F711" s="6">
        <f>IFERROR(__xludf.DUMMYFUNCTION("""COMPUTED_VALUE"""),3453.49)</f>
        <v/>
      </c>
      <c r="J711" s="6">
        <f>K711&amp;L711</f>
        <v/>
      </c>
      <c r="K711" s="6">
        <f>YEAR(M711)</f>
        <v/>
      </c>
      <c r="L711" s="6">
        <f>MONTH(M711)</f>
        <v/>
      </c>
      <c r="M711" s="267">
        <f>IFERROR(__xludf.DUMMYFUNCTION("""COMPUTED_VALUE"""),44120.6666666666)</f>
        <v/>
      </c>
      <c r="N711" s="6">
        <f>IFERROR(__xludf.DUMMYFUNCTION("""COMPUTED_VALUE"""),11671.56)</f>
        <v/>
      </c>
      <c r="R711" s="6">
        <f>S711&amp;T711</f>
        <v/>
      </c>
      <c r="S711" s="6">
        <f>YEAR(U711)</f>
        <v/>
      </c>
      <c r="T711" s="6">
        <f>MONTH(U711)</f>
        <v/>
      </c>
      <c r="U711" s="267">
        <f>IFERROR(__xludf.DUMMYFUNCTION("""COMPUTED_VALUE"""),44159.6458333333)</f>
        <v/>
      </c>
      <c r="V711" s="6">
        <f>IFERROR(__xludf.DUMMYFUNCTION("""COMPUTED_VALUE"""),2617.76)</f>
        <v/>
      </c>
      <c r="Z711" s="6">
        <f>AA711&amp;AB711</f>
        <v/>
      </c>
      <c r="AA711" s="6">
        <f>YEAR(AC711)</f>
        <v/>
      </c>
      <c r="AB711" s="6">
        <f>MONTH(AC711)</f>
        <v/>
      </c>
      <c r="AC711" s="267">
        <f>IFERROR(__xludf.DUMMYFUNCTION("""COMPUTED_VALUE"""),43847.9986111111)</f>
        <v/>
      </c>
      <c r="AD711" s="6">
        <f>IFERROR(__xludf.DUMMYFUNCTION("""COMPUTED_VALUE"""),1160.36)</f>
        <v/>
      </c>
      <c r="AH711" s="6">
        <f>AI711&amp;AJ711</f>
        <v/>
      </c>
      <c r="AI711" s="6">
        <f>YEAR(AK711)</f>
        <v/>
      </c>
      <c r="AJ711" s="6">
        <f>MONTH(AK711)</f>
        <v/>
      </c>
      <c r="AK711" s="267">
        <f>IFERROR(__xludf.DUMMYFUNCTION("""COMPUTED_VALUE"""),43803.9986111111)</f>
        <v/>
      </c>
      <c r="AL711" s="6">
        <f>IFERROR(__xludf.DUMMYFUNCTION("""COMPUTED_VALUE"""),7206.325)</f>
        <v/>
      </c>
      <c r="AP711" s="6">
        <f>AQ711&amp;AR711</f>
        <v/>
      </c>
      <c r="AQ711" s="6">
        <f>YEAR(AS711)</f>
        <v/>
      </c>
      <c r="AR711" s="6">
        <f>MONTH(AS711)</f>
        <v/>
      </c>
      <c r="AS711" s="267">
        <f>IFERROR(__xludf.DUMMYFUNCTION("""COMPUTED_VALUE"""),44137.9986111111)</f>
        <v/>
      </c>
      <c r="AT711" s="6">
        <f>IFERROR(__xludf.DUMMYFUNCTION("""COMPUTED_VALUE"""),1892.5)</f>
        <v/>
      </c>
    </row>
    <row r="712">
      <c r="B712" s="6">
        <f>C712&amp;D712</f>
        <v/>
      </c>
      <c r="C712" s="6">
        <f>YEAR(E712)</f>
        <v/>
      </c>
      <c r="D712" s="6">
        <f>MONTH(E712)</f>
        <v/>
      </c>
      <c r="E712" s="267">
        <f>IFERROR(__xludf.DUMMYFUNCTION("""COMPUTED_VALUE"""),44127.6666666666)</f>
        <v/>
      </c>
      <c r="F712" s="6">
        <f>IFERROR(__xludf.DUMMYFUNCTION("""COMPUTED_VALUE"""),3465.39)</f>
        <v/>
      </c>
      <c r="J712" s="6">
        <f>K712&amp;L712</f>
        <v/>
      </c>
      <c r="K712" s="6">
        <f>YEAR(M712)</f>
        <v/>
      </c>
      <c r="L712" s="6">
        <f>MONTH(M712)</f>
        <v/>
      </c>
      <c r="M712" s="267">
        <f>IFERROR(__xludf.DUMMYFUNCTION("""COMPUTED_VALUE"""),44123.6666666666)</f>
        <v/>
      </c>
      <c r="N712" s="6">
        <f>IFERROR(__xludf.DUMMYFUNCTION("""COMPUTED_VALUE"""),11478.88)</f>
        <v/>
      </c>
      <c r="R712" s="6">
        <f>S712&amp;T712</f>
        <v/>
      </c>
      <c r="S712" s="6">
        <f>YEAR(U712)</f>
        <v/>
      </c>
      <c r="T712" s="6">
        <f>MONTH(U712)</f>
        <v/>
      </c>
      <c r="U712" s="267">
        <f>IFERROR(__xludf.DUMMYFUNCTION("""COMPUTED_VALUE"""),44160.6458333333)</f>
        <v/>
      </c>
      <c r="V712" s="6">
        <f>IFERROR(__xludf.DUMMYFUNCTION("""COMPUTED_VALUE"""),2601.54)</f>
        <v/>
      </c>
      <c r="Z712" s="6">
        <f>AA712&amp;AB712</f>
        <v/>
      </c>
      <c r="AA712" s="6">
        <f>YEAR(AC712)</f>
        <v/>
      </c>
      <c r="AB712" s="6">
        <f>MONTH(AC712)</f>
        <v/>
      </c>
      <c r="AC712" s="267">
        <f>IFERROR(__xludf.DUMMYFUNCTION("""COMPUTED_VALUE"""),43848.9986111111)</f>
        <v/>
      </c>
      <c r="AD712" s="6">
        <f>IFERROR(__xludf.DUMMYFUNCTION("""COMPUTED_VALUE"""),1160.36)</f>
        <v/>
      </c>
      <c r="AH712" s="6">
        <f>AI712&amp;AJ712</f>
        <v/>
      </c>
      <c r="AI712" s="6">
        <f>YEAR(AK712)</f>
        <v/>
      </c>
      <c r="AJ712" s="6">
        <f>MONTH(AK712)</f>
        <v/>
      </c>
      <c r="AK712" s="267">
        <f>IFERROR(__xludf.DUMMYFUNCTION("""COMPUTED_VALUE"""),43804.9986111111)</f>
        <v/>
      </c>
      <c r="AL712" s="6">
        <f>IFERROR(__xludf.DUMMYFUNCTION("""COMPUTED_VALUE"""),7404.594)</f>
        <v/>
      </c>
      <c r="AP712" s="6">
        <f>AQ712&amp;AR712</f>
        <v/>
      </c>
      <c r="AQ712" s="6">
        <f>YEAR(AS712)</f>
        <v/>
      </c>
      <c r="AR712" s="6">
        <f>MONTH(AS712)</f>
        <v/>
      </c>
      <c r="AS712" s="267">
        <f>IFERROR(__xludf.DUMMYFUNCTION("""COMPUTED_VALUE"""),44138.9986111111)</f>
        <v/>
      </c>
      <c r="AT712" s="6">
        <f>IFERROR(__xludf.DUMMYFUNCTION("""COMPUTED_VALUE"""),1910.4)</f>
        <v/>
      </c>
    </row>
    <row r="713">
      <c r="B713" s="6">
        <f>C713&amp;D713</f>
        <v/>
      </c>
      <c r="C713" s="6">
        <f>YEAR(E713)</f>
        <v/>
      </c>
      <c r="D713" s="6">
        <f>MONTH(E713)</f>
        <v/>
      </c>
      <c r="E713" s="267">
        <f>IFERROR(__xludf.DUMMYFUNCTION("""COMPUTED_VALUE"""),44130.6666666666)</f>
        <v/>
      </c>
      <c r="F713" s="6">
        <f>IFERROR(__xludf.DUMMYFUNCTION("""COMPUTED_VALUE"""),3400.97)</f>
        <v/>
      </c>
      <c r="J713" s="6">
        <f>K713&amp;L713</f>
        <v/>
      </c>
      <c r="K713" s="6">
        <f>YEAR(M713)</f>
        <v/>
      </c>
      <c r="L713" s="6">
        <f>MONTH(M713)</f>
        <v/>
      </c>
      <c r="M713" s="267">
        <f>IFERROR(__xludf.DUMMYFUNCTION("""COMPUTED_VALUE"""),44124.6666666666)</f>
        <v/>
      </c>
      <c r="N713" s="6">
        <f>IFERROR(__xludf.DUMMYFUNCTION("""COMPUTED_VALUE"""),11516.49)</f>
        <v/>
      </c>
      <c r="R713" s="6">
        <f>S713&amp;T713</f>
        <v/>
      </c>
      <c r="S713" s="6">
        <f>YEAR(U713)</f>
        <v/>
      </c>
      <c r="T713" s="6">
        <f>MONTH(U713)</f>
        <v/>
      </c>
      <c r="U713" s="267">
        <f>IFERROR(__xludf.DUMMYFUNCTION("""COMPUTED_VALUE"""),44161.6458333333)</f>
        <v/>
      </c>
      <c r="V713" s="6">
        <f>IFERROR(__xludf.DUMMYFUNCTION("""COMPUTED_VALUE"""),2625.91)</f>
        <v/>
      </c>
      <c r="Z713" s="6">
        <f>AA713&amp;AB713</f>
        <v/>
      </c>
      <c r="AA713" s="6">
        <f>YEAR(AC713)</f>
        <v/>
      </c>
      <c r="AB713" s="6">
        <f>MONTH(AC713)</f>
        <v/>
      </c>
      <c r="AC713" s="267">
        <f>IFERROR(__xludf.DUMMYFUNCTION("""COMPUTED_VALUE"""),43849.9986111111)</f>
        <v/>
      </c>
      <c r="AD713" s="6">
        <f>IFERROR(__xludf.DUMMYFUNCTION("""COMPUTED_VALUE"""),1160.36)</f>
        <v/>
      </c>
      <c r="AH713" s="6">
        <f>AI713&amp;AJ713</f>
        <v/>
      </c>
      <c r="AI713" s="6">
        <f>YEAR(AK713)</f>
        <v/>
      </c>
      <c r="AJ713" s="6">
        <f>MONTH(AK713)</f>
        <v/>
      </c>
      <c r="AK713" s="267">
        <f>IFERROR(__xludf.DUMMYFUNCTION("""COMPUTED_VALUE"""),43805.9986111111)</f>
        <v/>
      </c>
      <c r="AL713" s="6">
        <f>IFERROR(__xludf.DUMMYFUNCTION("""COMPUTED_VALUE"""),7556.27)</f>
        <v/>
      </c>
      <c r="AP713" s="6">
        <f>AQ713&amp;AR713</f>
        <v/>
      </c>
      <c r="AQ713" s="6">
        <f>YEAR(AS713)</f>
        <v/>
      </c>
      <c r="AR713" s="6">
        <f>MONTH(AS713)</f>
        <v/>
      </c>
      <c r="AS713" s="267">
        <f>IFERROR(__xludf.DUMMYFUNCTION("""COMPUTED_VALUE"""),44139.9986111111)</f>
        <v/>
      </c>
      <c r="AT713" s="6">
        <f>IFERROR(__xludf.DUMMYFUNCTION("""COMPUTED_VALUE"""),1896.2)</f>
        <v/>
      </c>
    </row>
    <row r="714">
      <c r="B714" s="6">
        <f>C714&amp;D714</f>
        <v/>
      </c>
      <c r="C714" s="6">
        <f>YEAR(E714)</f>
        <v/>
      </c>
      <c r="D714" s="6">
        <f>MONTH(E714)</f>
        <v/>
      </c>
      <c r="E714" s="267">
        <f>IFERROR(__xludf.DUMMYFUNCTION("""COMPUTED_VALUE"""),44131.6666666666)</f>
        <v/>
      </c>
      <c r="F714" s="6">
        <f>IFERROR(__xludf.DUMMYFUNCTION("""COMPUTED_VALUE"""),3390.68)</f>
        <v/>
      </c>
      <c r="J714" s="6">
        <f>K714&amp;L714</f>
        <v/>
      </c>
      <c r="K714" s="6">
        <f>YEAR(M714)</f>
        <v/>
      </c>
      <c r="L714" s="6">
        <f>MONTH(M714)</f>
        <v/>
      </c>
      <c r="M714" s="267">
        <f>IFERROR(__xludf.DUMMYFUNCTION("""COMPUTED_VALUE"""),44125.6666666666)</f>
        <v/>
      </c>
      <c r="N714" s="6">
        <f>IFERROR(__xludf.DUMMYFUNCTION("""COMPUTED_VALUE"""),11484.69)</f>
        <v/>
      </c>
      <c r="R714" s="6">
        <f>S714&amp;T714</f>
        <v/>
      </c>
      <c r="S714" s="6">
        <f>YEAR(U714)</f>
        <v/>
      </c>
      <c r="T714" s="6">
        <f>MONTH(U714)</f>
        <v/>
      </c>
      <c r="U714" s="267">
        <f>IFERROR(__xludf.DUMMYFUNCTION("""COMPUTED_VALUE"""),44162.6458333333)</f>
        <v/>
      </c>
      <c r="V714" s="6">
        <f>IFERROR(__xludf.DUMMYFUNCTION("""COMPUTED_VALUE"""),2633.45)</f>
        <v/>
      </c>
      <c r="Z714" s="6">
        <f>AA714&amp;AB714</f>
        <v/>
      </c>
      <c r="AA714" s="6">
        <f>YEAR(AC714)</f>
        <v/>
      </c>
      <c r="AB714" s="6">
        <f>MONTH(AC714)</f>
        <v/>
      </c>
      <c r="AC714" s="267">
        <f>IFERROR(__xludf.DUMMYFUNCTION("""COMPUTED_VALUE"""),43850.9986111111)</f>
        <v/>
      </c>
      <c r="AD714" s="6">
        <f>IFERROR(__xludf.DUMMYFUNCTION("""COMPUTED_VALUE"""),1157.57)</f>
        <v/>
      </c>
      <c r="AH714" s="6">
        <f>AI714&amp;AJ714</f>
        <v/>
      </c>
      <c r="AI714" s="6">
        <f>YEAR(AK714)</f>
        <v/>
      </c>
      <c r="AJ714" s="6">
        <f>MONTH(AK714)</f>
        <v/>
      </c>
      <c r="AK714" s="267">
        <f>IFERROR(__xludf.DUMMYFUNCTION("""COMPUTED_VALUE"""),43806.9986111111)</f>
        <v/>
      </c>
      <c r="AL714" s="6">
        <f>IFERROR(__xludf.DUMMYFUNCTION("""COMPUTED_VALUE"""),7521.311)</f>
        <v/>
      </c>
      <c r="AP714" s="6">
        <f>AQ714&amp;AR714</f>
        <v/>
      </c>
      <c r="AQ714" s="6">
        <f>YEAR(AS714)</f>
        <v/>
      </c>
      <c r="AR714" s="6">
        <f>MONTH(AS714)</f>
        <v/>
      </c>
      <c r="AS714" s="267">
        <f>IFERROR(__xludf.DUMMYFUNCTION("""COMPUTED_VALUE"""),44140.9986111111)</f>
        <v/>
      </c>
      <c r="AT714" s="6">
        <f>IFERROR(__xludf.DUMMYFUNCTION("""COMPUTED_VALUE"""),1946.8)</f>
        <v/>
      </c>
    </row>
    <row r="715">
      <c r="B715" s="6">
        <f>C715&amp;D715</f>
        <v/>
      </c>
      <c r="C715" s="6">
        <f>YEAR(E715)</f>
        <v/>
      </c>
      <c r="D715" s="6">
        <f>MONTH(E715)</f>
        <v/>
      </c>
      <c r="E715" s="267">
        <f>IFERROR(__xludf.DUMMYFUNCTION("""COMPUTED_VALUE"""),44132.6666666666)</f>
        <v/>
      </c>
      <c r="F715" s="6">
        <f>IFERROR(__xludf.DUMMYFUNCTION("""COMPUTED_VALUE"""),3271.03)</f>
        <v/>
      </c>
      <c r="J715" s="6">
        <f>K715&amp;L715</f>
        <v/>
      </c>
      <c r="K715" s="6">
        <f>YEAR(M715)</f>
        <v/>
      </c>
      <c r="L715" s="6">
        <f>MONTH(M715)</f>
        <v/>
      </c>
      <c r="M715" s="267">
        <f>IFERROR(__xludf.DUMMYFUNCTION("""COMPUTED_VALUE"""),44126.6666666666)</f>
        <v/>
      </c>
      <c r="N715" s="6">
        <f>IFERROR(__xludf.DUMMYFUNCTION("""COMPUTED_VALUE"""),11506.01)</f>
        <v/>
      </c>
      <c r="R715" s="6">
        <f>S715&amp;T715</f>
        <v/>
      </c>
      <c r="S715" s="6">
        <f>YEAR(U715)</f>
        <v/>
      </c>
      <c r="T715" s="6">
        <f>MONTH(U715)</f>
        <v/>
      </c>
      <c r="U715" s="267">
        <f>IFERROR(__xludf.DUMMYFUNCTION("""COMPUTED_VALUE"""),44165.6458333333)</f>
        <v/>
      </c>
      <c r="V715" s="6">
        <f>IFERROR(__xludf.DUMMYFUNCTION("""COMPUTED_VALUE"""),2591.34)</f>
        <v/>
      </c>
      <c r="Z715" s="6">
        <f>AA715&amp;AB715</f>
        <v/>
      </c>
      <c r="AA715" s="6">
        <f>YEAR(AC715)</f>
        <v/>
      </c>
      <c r="AB715" s="6">
        <f>MONTH(AC715)</f>
        <v/>
      </c>
      <c r="AC715" s="267">
        <f>IFERROR(__xludf.DUMMYFUNCTION("""COMPUTED_VALUE"""),43851.9986111111)</f>
        <v/>
      </c>
      <c r="AD715" s="6">
        <f>IFERROR(__xludf.DUMMYFUNCTION("""COMPUTED_VALUE"""),1168.74)</f>
        <v/>
      </c>
      <c r="AH715" s="6">
        <f>AI715&amp;AJ715</f>
        <v/>
      </c>
      <c r="AI715" s="6">
        <f>YEAR(AK715)</f>
        <v/>
      </c>
      <c r="AJ715" s="6">
        <f>MONTH(AK715)</f>
        <v/>
      </c>
      <c r="AK715" s="267">
        <f>IFERROR(__xludf.DUMMYFUNCTION("""COMPUTED_VALUE"""),43807.9986111111)</f>
        <v/>
      </c>
      <c r="AL715" s="6">
        <f>IFERROR(__xludf.DUMMYFUNCTION("""COMPUTED_VALUE"""),7542.409)</f>
        <v/>
      </c>
      <c r="AP715" s="6">
        <f>AQ715&amp;AR715</f>
        <v/>
      </c>
      <c r="AQ715" s="6">
        <f>YEAR(AS715)</f>
        <v/>
      </c>
      <c r="AR715" s="6">
        <f>MONTH(AS715)</f>
        <v/>
      </c>
      <c r="AS715" s="267">
        <f>IFERROR(__xludf.DUMMYFUNCTION("""COMPUTED_VALUE"""),44141.9986111111)</f>
        <v/>
      </c>
      <c r="AT715" s="6">
        <f>IFERROR(__xludf.DUMMYFUNCTION("""COMPUTED_VALUE"""),1951.7)</f>
        <v/>
      </c>
    </row>
    <row r="716">
      <c r="B716" s="6">
        <f>C716&amp;D716</f>
        <v/>
      </c>
      <c r="C716" s="6">
        <f>YEAR(E716)</f>
        <v/>
      </c>
      <c r="D716" s="6">
        <f>MONTH(E716)</f>
        <v/>
      </c>
      <c r="E716" s="267">
        <f>IFERROR(__xludf.DUMMYFUNCTION("""COMPUTED_VALUE"""),44133.6666666666)</f>
        <v/>
      </c>
      <c r="F716" s="6">
        <f>IFERROR(__xludf.DUMMYFUNCTION("""COMPUTED_VALUE"""),3310.11)</f>
        <v/>
      </c>
      <c r="J716" s="6">
        <f>K716&amp;L716</f>
        <v/>
      </c>
      <c r="K716" s="6">
        <f>YEAR(M716)</f>
        <v/>
      </c>
      <c r="L716" s="6">
        <f>MONTH(M716)</f>
        <v/>
      </c>
      <c r="M716" s="267">
        <f>IFERROR(__xludf.DUMMYFUNCTION("""COMPUTED_VALUE"""),44127.6666666666)</f>
        <v/>
      </c>
      <c r="N716" s="6">
        <f>IFERROR(__xludf.DUMMYFUNCTION("""COMPUTED_VALUE"""),11548.28)</f>
        <v/>
      </c>
      <c r="R716" s="6">
        <f>S716&amp;T716</f>
        <v/>
      </c>
      <c r="S716" s="6">
        <f>YEAR(U716)</f>
        <v/>
      </c>
      <c r="T716" s="6">
        <f>MONTH(U716)</f>
        <v/>
      </c>
      <c r="U716" s="267">
        <f>IFERROR(__xludf.DUMMYFUNCTION("""COMPUTED_VALUE"""),44166.6458333333)</f>
        <v/>
      </c>
      <c r="V716" s="6">
        <f>IFERROR(__xludf.DUMMYFUNCTION("""COMPUTED_VALUE"""),2634.25)</f>
        <v/>
      </c>
      <c r="Z716" s="6">
        <f>AA716&amp;AB716</f>
        <v/>
      </c>
      <c r="AA716" s="6">
        <f>YEAR(AC716)</f>
        <v/>
      </c>
      <c r="AB716" s="6">
        <f>MONTH(AC716)</f>
        <v/>
      </c>
      <c r="AC716" s="267">
        <f>IFERROR(__xludf.DUMMYFUNCTION("""COMPUTED_VALUE"""),43852.9986111111)</f>
        <v/>
      </c>
      <c r="AD716" s="6">
        <f>IFERROR(__xludf.DUMMYFUNCTION("""COMPUTED_VALUE"""),1163.73)</f>
        <v/>
      </c>
      <c r="AH716" s="6">
        <f>AI716&amp;AJ716</f>
        <v/>
      </c>
      <c r="AI716" s="6">
        <f>YEAR(AK716)</f>
        <v/>
      </c>
      <c r="AJ716" s="6">
        <f>MONTH(AK716)</f>
        <v/>
      </c>
      <c r="AK716" s="267">
        <f>IFERROR(__xludf.DUMMYFUNCTION("""COMPUTED_VALUE"""),43808.9986111111)</f>
        <v/>
      </c>
      <c r="AL716" s="6">
        <f>IFERROR(__xludf.DUMMYFUNCTION("""COMPUTED_VALUE"""),7350.122)</f>
        <v/>
      </c>
      <c r="AP716" s="6">
        <f>AQ716&amp;AR716</f>
        <v/>
      </c>
      <c r="AQ716" s="6">
        <f>YEAR(AS716)</f>
        <v/>
      </c>
      <c r="AR716" s="6">
        <f>MONTH(AS716)</f>
        <v/>
      </c>
      <c r="AS716" s="267">
        <f>IFERROR(__xludf.DUMMYFUNCTION("""COMPUTED_VALUE"""),44144.9986111111)</f>
        <v/>
      </c>
      <c r="AT716" s="6">
        <f>IFERROR(__xludf.DUMMYFUNCTION("""COMPUTED_VALUE"""),1854.4)</f>
        <v/>
      </c>
    </row>
    <row r="717">
      <c r="B717" s="6">
        <f>C717&amp;D717</f>
        <v/>
      </c>
      <c r="C717" s="6">
        <f>YEAR(E717)</f>
        <v/>
      </c>
      <c r="D717" s="6">
        <f>MONTH(E717)</f>
        <v/>
      </c>
      <c r="E717" s="267">
        <f>IFERROR(__xludf.DUMMYFUNCTION("""COMPUTED_VALUE"""),44134.6666666666)</f>
        <v/>
      </c>
      <c r="F717" s="6">
        <f>IFERROR(__xludf.DUMMYFUNCTION("""COMPUTED_VALUE"""),3269.96)</f>
        <v/>
      </c>
      <c r="J717" s="6">
        <f>K717&amp;L717</f>
        <v/>
      </c>
      <c r="K717" s="6">
        <f>YEAR(M717)</f>
        <v/>
      </c>
      <c r="L717" s="6">
        <f>MONTH(M717)</f>
        <v/>
      </c>
      <c r="M717" s="267">
        <f>IFERROR(__xludf.DUMMYFUNCTION("""COMPUTED_VALUE"""),44130.6666666666)</f>
        <v/>
      </c>
      <c r="N717" s="6">
        <f>IFERROR(__xludf.DUMMYFUNCTION("""COMPUTED_VALUE"""),11358.94)</f>
        <v/>
      </c>
      <c r="R717" s="6">
        <f>S717&amp;T717</f>
        <v/>
      </c>
      <c r="S717" s="6">
        <f>YEAR(U717)</f>
        <v/>
      </c>
      <c r="T717" s="6">
        <f>MONTH(U717)</f>
        <v/>
      </c>
      <c r="U717" s="267">
        <f>IFERROR(__xludf.DUMMYFUNCTION("""COMPUTED_VALUE"""),44167.6458333333)</f>
        <v/>
      </c>
      <c r="V717" s="6">
        <f>IFERROR(__xludf.DUMMYFUNCTION("""COMPUTED_VALUE"""),2675.9)</f>
        <v/>
      </c>
      <c r="Z717" s="6">
        <f>AA717&amp;AB717</f>
        <v/>
      </c>
      <c r="AA717" s="6">
        <f>YEAR(AC717)</f>
        <v/>
      </c>
      <c r="AB717" s="6">
        <f>MONTH(AC717)</f>
        <v/>
      </c>
      <c r="AC717" s="267">
        <f>IFERROR(__xludf.DUMMYFUNCTION("""COMPUTED_VALUE"""),43853.9986111111)</f>
        <v/>
      </c>
      <c r="AD717" s="6">
        <f>IFERROR(__xludf.DUMMYFUNCTION("""COMPUTED_VALUE"""),1167.6)</f>
        <v/>
      </c>
      <c r="AH717" s="6">
        <f>AI717&amp;AJ717</f>
        <v/>
      </c>
      <c r="AI717" s="6">
        <f>YEAR(AK717)</f>
        <v/>
      </c>
      <c r="AJ717" s="6">
        <f>MONTH(AK717)</f>
        <v/>
      </c>
      <c r="AK717" s="267">
        <f>IFERROR(__xludf.DUMMYFUNCTION("""COMPUTED_VALUE"""),43809.9986111111)</f>
        <v/>
      </c>
      <c r="AL717" s="6">
        <f>IFERROR(__xludf.DUMMYFUNCTION("""COMPUTED_VALUE"""),7228.046)</f>
        <v/>
      </c>
      <c r="AP717" s="6">
        <f>AQ717&amp;AR717</f>
        <v/>
      </c>
      <c r="AQ717" s="6">
        <f>YEAR(AS717)</f>
        <v/>
      </c>
      <c r="AR717" s="6">
        <f>MONTH(AS717)</f>
        <v/>
      </c>
      <c r="AS717" s="267">
        <f>IFERROR(__xludf.DUMMYFUNCTION("""COMPUTED_VALUE"""),44145.9986111111)</f>
        <v/>
      </c>
      <c r="AT717" s="6">
        <f>IFERROR(__xludf.DUMMYFUNCTION("""COMPUTED_VALUE"""),1876.4)</f>
        <v/>
      </c>
    </row>
    <row r="718">
      <c r="B718" s="6">
        <f>C718&amp;D718</f>
        <v/>
      </c>
      <c r="C718" s="6">
        <f>YEAR(E718)</f>
        <v/>
      </c>
      <c r="D718" s="6">
        <f>MONTH(E718)</f>
        <v/>
      </c>
      <c r="E718" s="267">
        <f>IFERROR(__xludf.DUMMYFUNCTION("""COMPUTED_VALUE"""),44137.6666666666)</f>
        <v/>
      </c>
      <c r="F718" s="6">
        <f>IFERROR(__xludf.DUMMYFUNCTION("""COMPUTED_VALUE"""),3310.24)</f>
        <v/>
      </c>
      <c r="J718" s="6">
        <f>K718&amp;L718</f>
        <v/>
      </c>
      <c r="K718" s="6">
        <f>YEAR(M718)</f>
        <v/>
      </c>
      <c r="L718" s="6">
        <f>MONTH(M718)</f>
        <v/>
      </c>
      <c r="M718" s="267">
        <f>IFERROR(__xludf.DUMMYFUNCTION("""COMPUTED_VALUE"""),44131.6666666666)</f>
        <v/>
      </c>
      <c r="N718" s="6">
        <f>IFERROR(__xludf.DUMMYFUNCTION("""COMPUTED_VALUE"""),11431.35)</f>
        <v/>
      </c>
      <c r="R718" s="6">
        <f>S718&amp;T718</f>
        <v/>
      </c>
      <c r="S718" s="6">
        <f>YEAR(U718)</f>
        <v/>
      </c>
      <c r="T718" s="6">
        <f>MONTH(U718)</f>
        <v/>
      </c>
      <c r="U718" s="267">
        <f>IFERROR(__xludf.DUMMYFUNCTION("""COMPUTED_VALUE"""),44168.6458333333)</f>
        <v/>
      </c>
      <c r="V718" s="6">
        <f>IFERROR(__xludf.DUMMYFUNCTION("""COMPUTED_VALUE"""),2696.22)</f>
        <v/>
      </c>
      <c r="Z718" s="6">
        <f>AA718&amp;AB718</f>
        <v/>
      </c>
      <c r="AA718" s="6">
        <f>YEAR(AC718)</f>
        <v/>
      </c>
      <c r="AB718" s="6">
        <f>MONTH(AC718)</f>
        <v/>
      </c>
      <c r="AC718" s="267">
        <f>IFERROR(__xludf.DUMMYFUNCTION("""COMPUTED_VALUE"""),43854.9986111111)</f>
        <v/>
      </c>
      <c r="AD718" s="6">
        <f>IFERROR(__xludf.DUMMYFUNCTION("""COMPUTED_VALUE"""),1169.15)</f>
        <v/>
      </c>
      <c r="AH718" s="6">
        <f>AI718&amp;AJ718</f>
        <v/>
      </c>
      <c r="AI718" s="6">
        <f>YEAR(AK718)</f>
        <v/>
      </c>
      <c r="AJ718" s="6">
        <f>MONTH(AK718)</f>
        <v/>
      </c>
      <c r="AK718" s="267">
        <f>IFERROR(__xludf.DUMMYFUNCTION("""COMPUTED_VALUE"""),43810.9986111111)</f>
        <v/>
      </c>
      <c r="AL718" s="6">
        <f>IFERROR(__xludf.DUMMYFUNCTION("""COMPUTED_VALUE"""),7211.062)</f>
        <v/>
      </c>
      <c r="AP718" s="6">
        <f>AQ718&amp;AR718</f>
        <v/>
      </c>
      <c r="AQ718" s="6">
        <f>YEAR(AS718)</f>
        <v/>
      </c>
      <c r="AR718" s="6">
        <f>MONTH(AS718)</f>
        <v/>
      </c>
      <c r="AS718" s="267">
        <f>IFERROR(__xludf.DUMMYFUNCTION("""COMPUTED_VALUE"""),44146.9986111111)</f>
        <v/>
      </c>
      <c r="AT718" s="6">
        <f>IFERROR(__xludf.DUMMYFUNCTION("""COMPUTED_VALUE"""),1861.6)</f>
        <v/>
      </c>
    </row>
    <row r="719">
      <c r="B719" s="6">
        <f>C719&amp;D719</f>
        <v/>
      </c>
      <c r="C719" s="6">
        <f>YEAR(E719)</f>
        <v/>
      </c>
      <c r="D719" s="6">
        <f>MONTH(E719)</f>
        <v/>
      </c>
      <c r="E719" s="267">
        <f>IFERROR(__xludf.DUMMYFUNCTION("""COMPUTED_VALUE"""),44138.6666666666)</f>
        <v/>
      </c>
      <c r="F719" s="6">
        <f>IFERROR(__xludf.DUMMYFUNCTION("""COMPUTED_VALUE"""),3369.02)</f>
        <v/>
      </c>
      <c r="J719" s="6">
        <f>K719&amp;L719</f>
        <v/>
      </c>
      <c r="K719" s="6">
        <f>YEAR(M719)</f>
        <v/>
      </c>
      <c r="L719" s="6">
        <f>MONTH(M719)</f>
        <v/>
      </c>
      <c r="M719" s="267">
        <f>IFERROR(__xludf.DUMMYFUNCTION("""COMPUTED_VALUE"""),44132.6666666666)</f>
        <v/>
      </c>
      <c r="N719" s="6">
        <f>IFERROR(__xludf.DUMMYFUNCTION("""COMPUTED_VALUE"""),11004.87)</f>
        <v/>
      </c>
      <c r="R719" s="6">
        <f>S719&amp;T719</f>
        <v/>
      </c>
      <c r="S719" s="6">
        <f>YEAR(U719)</f>
        <v/>
      </c>
      <c r="T719" s="6">
        <f>MONTH(U719)</f>
        <v/>
      </c>
      <c r="U719" s="267">
        <f>IFERROR(__xludf.DUMMYFUNCTION("""COMPUTED_VALUE"""),44169.6458333333)</f>
        <v/>
      </c>
      <c r="V719" s="6">
        <f>IFERROR(__xludf.DUMMYFUNCTION("""COMPUTED_VALUE"""),2731.45)</f>
        <v/>
      </c>
      <c r="Z719" s="6">
        <f>AA719&amp;AB719</f>
        <v/>
      </c>
      <c r="AA719" s="6">
        <f>YEAR(AC719)</f>
        <v/>
      </c>
      <c r="AB719" s="6">
        <f>MONTH(AC719)</f>
        <v/>
      </c>
      <c r="AC719" s="267">
        <f>IFERROR(__xludf.DUMMYFUNCTION("""COMPUTED_VALUE"""),43855.9986111111)</f>
        <v/>
      </c>
      <c r="AD719" s="6">
        <f>IFERROR(__xludf.DUMMYFUNCTION("""COMPUTED_VALUE"""),1169.15)</f>
        <v/>
      </c>
      <c r="AH719" s="6">
        <f>AI719&amp;AJ719</f>
        <v/>
      </c>
      <c r="AI719" s="6">
        <f>YEAR(AK719)</f>
        <v/>
      </c>
      <c r="AJ719" s="6">
        <f>MONTH(AK719)</f>
        <v/>
      </c>
      <c r="AK719" s="267">
        <f>IFERROR(__xludf.DUMMYFUNCTION("""COMPUTED_VALUE"""),43811.9986111111)</f>
        <v/>
      </c>
      <c r="AL719" s="6">
        <f>IFERROR(__xludf.DUMMYFUNCTION("""COMPUTED_VALUE"""),7198.699)</f>
        <v/>
      </c>
      <c r="AP719" s="6">
        <f>AQ719&amp;AR719</f>
        <v/>
      </c>
      <c r="AQ719" s="6">
        <f>YEAR(AS719)</f>
        <v/>
      </c>
      <c r="AR719" s="6">
        <f>MONTH(AS719)</f>
        <v/>
      </c>
      <c r="AS719" s="267">
        <f>IFERROR(__xludf.DUMMYFUNCTION("""COMPUTED_VALUE"""),44147.9986111111)</f>
        <v/>
      </c>
      <c r="AT719" s="6">
        <f>IFERROR(__xludf.DUMMYFUNCTION("""COMPUTED_VALUE"""),1873.3)</f>
        <v/>
      </c>
    </row>
    <row r="720">
      <c r="B720" s="6">
        <f>C720&amp;D720</f>
        <v/>
      </c>
      <c r="C720" s="6">
        <f>YEAR(E720)</f>
        <v/>
      </c>
      <c r="D720" s="6">
        <f>MONTH(E720)</f>
        <v/>
      </c>
      <c r="E720" s="267">
        <f>IFERROR(__xludf.DUMMYFUNCTION("""COMPUTED_VALUE"""),44139.6666666666)</f>
        <v/>
      </c>
      <c r="F720" s="6">
        <f>IFERROR(__xludf.DUMMYFUNCTION("""COMPUTED_VALUE"""),3443.44)</f>
        <v/>
      </c>
      <c r="J720" s="6">
        <f>K720&amp;L720</f>
        <v/>
      </c>
      <c r="K720" s="6">
        <f>YEAR(M720)</f>
        <v/>
      </c>
      <c r="L720" s="6">
        <f>MONTH(M720)</f>
        <v/>
      </c>
      <c r="M720" s="267">
        <f>IFERROR(__xludf.DUMMYFUNCTION("""COMPUTED_VALUE"""),44133.6666666666)</f>
        <v/>
      </c>
      <c r="N720" s="6">
        <f>IFERROR(__xludf.DUMMYFUNCTION("""COMPUTED_VALUE"""),11185.59)</f>
        <v/>
      </c>
      <c r="R720" s="6">
        <f>S720&amp;T720</f>
        <v/>
      </c>
      <c r="S720" s="6">
        <f>YEAR(U720)</f>
        <v/>
      </c>
      <c r="T720" s="6">
        <f>MONTH(U720)</f>
        <v/>
      </c>
      <c r="U720" s="267">
        <f>IFERROR(__xludf.DUMMYFUNCTION("""COMPUTED_VALUE"""),44172.6458333333)</f>
        <v/>
      </c>
      <c r="V720" s="6">
        <f>IFERROR(__xludf.DUMMYFUNCTION("""COMPUTED_VALUE"""),2745.44)</f>
        <v/>
      </c>
      <c r="Z720" s="6">
        <f>AA720&amp;AB720</f>
        <v/>
      </c>
      <c r="AA720" s="6">
        <f>YEAR(AC720)</f>
        <v/>
      </c>
      <c r="AB720" s="6">
        <f>MONTH(AC720)</f>
        <v/>
      </c>
      <c r="AC720" s="267">
        <f>IFERROR(__xludf.DUMMYFUNCTION("""COMPUTED_VALUE"""),43856.9986111111)</f>
        <v/>
      </c>
      <c r="AD720" s="6">
        <f>IFERROR(__xludf.DUMMYFUNCTION("""COMPUTED_VALUE"""),1169.15)</f>
        <v/>
      </c>
      <c r="AH720" s="6">
        <f>AI720&amp;AJ720</f>
        <v/>
      </c>
      <c r="AI720" s="6">
        <f>YEAR(AK720)</f>
        <v/>
      </c>
      <c r="AJ720" s="6">
        <f>MONTH(AK720)</f>
        <v/>
      </c>
      <c r="AK720" s="267">
        <f>IFERROR(__xludf.DUMMYFUNCTION("""COMPUTED_VALUE"""),43812.9986111111)</f>
        <v/>
      </c>
      <c r="AL720" s="6">
        <f>IFERROR(__xludf.DUMMYFUNCTION("""COMPUTED_VALUE"""),7259.227)</f>
        <v/>
      </c>
      <c r="AP720" s="6">
        <f>AQ720&amp;AR720</f>
        <v/>
      </c>
      <c r="AQ720" s="6">
        <f>YEAR(AS720)</f>
        <v/>
      </c>
      <c r="AR720" s="6">
        <f>MONTH(AS720)</f>
        <v/>
      </c>
      <c r="AS720" s="267">
        <f>IFERROR(__xludf.DUMMYFUNCTION("""COMPUTED_VALUE"""),44148.9986111111)</f>
        <v/>
      </c>
      <c r="AT720" s="6">
        <f>IFERROR(__xludf.DUMMYFUNCTION("""COMPUTED_VALUE"""),1886.2)</f>
        <v/>
      </c>
    </row>
    <row r="721">
      <c r="B721" s="6">
        <f>C721&amp;D721</f>
        <v/>
      </c>
      <c r="C721" s="6">
        <f>YEAR(E721)</f>
        <v/>
      </c>
      <c r="D721" s="6">
        <f>MONTH(E721)</f>
        <v/>
      </c>
      <c r="E721" s="267">
        <f>IFERROR(__xludf.DUMMYFUNCTION("""COMPUTED_VALUE"""),44140.6666666666)</f>
        <v/>
      </c>
      <c r="F721" s="6">
        <f>IFERROR(__xludf.DUMMYFUNCTION("""COMPUTED_VALUE"""),3510.45)</f>
        <v/>
      </c>
      <c r="J721" s="6">
        <f>K721&amp;L721</f>
        <v/>
      </c>
      <c r="K721" s="6">
        <f>YEAR(M721)</f>
        <v/>
      </c>
      <c r="L721" s="6">
        <f>MONTH(M721)</f>
        <v/>
      </c>
      <c r="M721" s="267">
        <f>IFERROR(__xludf.DUMMYFUNCTION("""COMPUTED_VALUE"""),44134.6666666666)</f>
        <v/>
      </c>
      <c r="N721" s="6">
        <f>IFERROR(__xludf.DUMMYFUNCTION("""COMPUTED_VALUE"""),10911.59)</f>
        <v/>
      </c>
      <c r="R721" s="6">
        <f>S721&amp;T721</f>
        <v/>
      </c>
      <c r="S721" s="6">
        <f>YEAR(U721)</f>
        <v/>
      </c>
      <c r="T721" s="6">
        <f>MONTH(U721)</f>
        <v/>
      </c>
      <c r="U721" s="267">
        <f>IFERROR(__xludf.DUMMYFUNCTION("""COMPUTED_VALUE"""),44173.6458333333)</f>
        <v/>
      </c>
      <c r="V721" s="6">
        <f>IFERROR(__xludf.DUMMYFUNCTION("""COMPUTED_VALUE"""),2700.93)</f>
        <v/>
      </c>
      <c r="Z721" s="6">
        <f>AA721&amp;AB721</f>
        <v/>
      </c>
      <c r="AA721" s="6">
        <f>YEAR(AC721)</f>
        <v/>
      </c>
      <c r="AB721" s="6">
        <f>MONTH(AC721)</f>
        <v/>
      </c>
      <c r="AC721" s="267">
        <f>IFERROR(__xludf.DUMMYFUNCTION("""COMPUTED_VALUE"""),43857.9986111111)</f>
        <v/>
      </c>
      <c r="AD721" s="6">
        <f>IFERROR(__xludf.DUMMYFUNCTION("""COMPUTED_VALUE"""),1176.73)</f>
        <v/>
      </c>
      <c r="AH721" s="6">
        <f>AI721&amp;AJ721</f>
        <v/>
      </c>
      <c r="AI721" s="6">
        <f>YEAR(AK721)</f>
        <v/>
      </c>
      <c r="AJ721" s="6">
        <f>MONTH(AK721)</f>
        <v/>
      </c>
      <c r="AK721" s="267">
        <f>IFERROR(__xludf.DUMMYFUNCTION("""COMPUTED_VALUE"""),43813.9986111111)</f>
        <v/>
      </c>
      <c r="AL721" s="6">
        <f>IFERROR(__xludf.DUMMYFUNCTION("""COMPUTED_VALUE"""),7079.757)</f>
        <v/>
      </c>
      <c r="AP721" s="6">
        <f>AQ721&amp;AR721</f>
        <v/>
      </c>
      <c r="AQ721" s="6">
        <f>YEAR(AS721)</f>
        <v/>
      </c>
      <c r="AR721" s="6">
        <f>MONTH(AS721)</f>
        <v/>
      </c>
      <c r="AS721" s="267">
        <f>IFERROR(__xludf.DUMMYFUNCTION("""COMPUTED_VALUE"""),44151.9986111111)</f>
        <v/>
      </c>
      <c r="AT721" s="6">
        <f>IFERROR(__xludf.DUMMYFUNCTION("""COMPUTED_VALUE"""),1887.8)</f>
        <v/>
      </c>
    </row>
    <row r="722">
      <c r="B722" s="6">
        <f>C722&amp;D722</f>
        <v/>
      </c>
      <c r="C722" s="6">
        <f>YEAR(E722)</f>
        <v/>
      </c>
      <c r="D722" s="6">
        <f>MONTH(E722)</f>
        <v/>
      </c>
      <c r="E722" s="267">
        <f>IFERROR(__xludf.DUMMYFUNCTION("""COMPUTED_VALUE"""),44141.6666666666)</f>
        <v/>
      </c>
      <c r="F722" s="6">
        <f>IFERROR(__xludf.DUMMYFUNCTION("""COMPUTED_VALUE"""),3509.44)</f>
        <v/>
      </c>
      <c r="J722" s="6">
        <f>K722&amp;L722</f>
        <v/>
      </c>
      <c r="K722" s="6">
        <f>YEAR(M722)</f>
        <v/>
      </c>
      <c r="L722" s="6">
        <f>MONTH(M722)</f>
        <v/>
      </c>
      <c r="M722" s="267">
        <f>IFERROR(__xludf.DUMMYFUNCTION("""COMPUTED_VALUE"""),44137.6666666666)</f>
        <v/>
      </c>
      <c r="N722" s="6">
        <f>IFERROR(__xludf.DUMMYFUNCTION("""COMPUTED_VALUE"""),10957.61)</f>
        <v/>
      </c>
      <c r="R722" s="6">
        <f>S722&amp;T722</f>
        <v/>
      </c>
      <c r="S722" s="6">
        <f>YEAR(U722)</f>
        <v/>
      </c>
      <c r="T722" s="6">
        <f>MONTH(U722)</f>
        <v/>
      </c>
      <c r="U722" s="267">
        <f>IFERROR(__xludf.DUMMYFUNCTION("""COMPUTED_VALUE"""),44174.6458333333)</f>
        <v/>
      </c>
      <c r="V722" s="6">
        <f>IFERROR(__xludf.DUMMYFUNCTION("""COMPUTED_VALUE"""),2755.47)</f>
        <v/>
      </c>
      <c r="Z722" s="6">
        <f>AA722&amp;AB722</f>
        <v/>
      </c>
      <c r="AA722" s="6">
        <f>YEAR(AC722)</f>
        <v/>
      </c>
      <c r="AB722" s="6">
        <f>MONTH(AC722)</f>
        <v/>
      </c>
      <c r="AC722" s="267">
        <f>IFERROR(__xludf.DUMMYFUNCTION("""COMPUTED_VALUE"""),43858.9986111111)</f>
        <v/>
      </c>
      <c r="AD722" s="6">
        <f>IFERROR(__xludf.DUMMYFUNCTION("""COMPUTED_VALUE"""),1174.28)</f>
        <v/>
      </c>
      <c r="AH722" s="6">
        <f>AI722&amp;AJ722</f>
        <v/>
      </c>
      <c r="AI722" s="6">
        <f>YEAR(AK722)</f>
        <v/>
      </c>
      <c r="AJ722" s="6">
        <f>MONTH(AK722)</f>
        <v/>
      </c>
      <c r="AK722" s="267">
        <f>IFERROR(__xludf.DUMMYFUNCTION("""COMPUTED_VALUE"""),43814.9986111111)</f>
        <v/>
      </c>
      <c r="AL722" s="6">
        <f>IFERROR(__xludf.DUMMYFUNCTION("""COMPUTED_VALUE"""),7127.171)</f>
        <v/>
      </c>
      <c r="AP722" s="6">
        <f>AQ722&amp;AR722</f>
        <v/>
      </c>
      <c r="AQ722" s="6">
        <f>YEAR(AS722)</f>
        <v/>
      </c>
      <c r="AR722" s="6">
        <f>MONTH(AS722)</f>
        <v/>
      </c>
      <c r="AS722" s="267">
        <f>IFERROR(__xludf.DUMMYFUNCTION("""COMPUTED_VALUE"""),44152.9986111111)</f>
        <v/>
      </c>
      <c r="AT722" s="6">
        <f>IFERROR(__xludf.DUMMYFUNCTION("""COMPUTED_VALUE"""),1885.1)</f>
        <v/>
      </c>
    </row>
    <row r="723">
      <c r="B723" s="6">
        <f>C723&amp;D723</f>
        <v/>
      </c>
      <c r="C723" s="6">
        <f>YEAR(E723)</f>
        <v/>
      </c>
      <c r="D723" s="6">
        <f>MONTH(E723)</f>
        <v/>
      </c>
      <c r="E723" s="267">
        <f>IFERROR(__xludf.DUMMYFUNCTION("""COMPUTED_VALUE"""),44144.6666666666)</f>
        <v/>
      </c>
      <c r="F723" s="6">
        <f>IFERROR(__xludf.DUMMYFUNCTION("""COMPUTED_VALUE"""),3550.5)</f>
        <v/>
      </c>
      <c r="J723" s="6">
        <f>K723&amp;L723</f>
        <v/>
      </c>
      <c r="K723" s="6">
        <f>YEAR(M723)</f>
        <v/>
      </c>
      <c r="L723" s="6">
        <f>MONTH(M723)</f>
        <v/>
      </c>
      <c r="M723" s="267">
        <f>IFERROR(__xludf.DUMMYFUNCTION("""COMPUTED_VALUE"""),44138.6666666666)</f>
        <v/>
      </c>
      <c r="N723" s="6">
        <f>IFERROR(__xludf.DUMMYFUNCTION("""COMPUTED_VALUE"""),11160.57)</f>
        <v/>
      </c>
      <c r="R723" s="6">
        <f>S723&amp;T723</f>
        <v/>
      </c>
      <c r="S723" s="6">
        <f>YEAR(U723)</f>
        <v/>
      </c>
      <c r="T723" s="6">
        <f>MONTH(U723)</f>
        <v/>
      </c>
      <c r="U723" s="267">
        <f>IFERROR(__xludf.DUMMYFUNCTION("""COMPUTED_VALUE"""),44175.6458333333)</f>
        <v/>
      </c>
      <c r="V723" s="6">
        <f>IFERROR(__xludf.DUMMYFUNCTION("""COMPUTED_VALUE"""),2746.46)</f>
        <v/>
      </c>
      <c r="Z723" s="6">
        <f>AA723&amp;AB723</f>
        <v/>
      </c>
      <c r="AA723" s="6">
        <f>YEAR(AC723)</f>
        <v/>
      </c>
      <c r="AB723" s="6">
        <f>MONTH(AC723)</f>
        <v/>
      </c>
      <c r="AC723" s="267">
        <f>IFERROR(__xludf.DUMMYFUNCTION("""COMPUTED_VALUE"""),43859.9986111111)</f>
        <v/>
      </c>
      <c r="AD723" s="6">
        <f>IFERROR(__xludf.DUMMYFUNCTION("""COMPUTED_VALUE"""),1178.08)</f>
        <v/>
      </c>
      <c r="AH723" s="6">
        <f>AI723&amp;AJ723</f>
        <v/>
      </c>
      <c r="AI723" s="6">
        <f>YEAR(AK723)</f>
        <v/>
      </c>
      <c r="AJ723" s="6">
        <f>MONTH(AK723)</f>
        <v/>
      </c>
      <c r="AK723" s="267">
        <f>IFERROR(__xludf.DUMMYFUNCTION("""COMPUTED_VALUE"""),43815.9986111111)</f>
        <v/>
      </c>
      <c r="AL723" s="6">
        <f>IFERROR(__xludf.DUMMYFUNCTION("""COMPUTED_VALUE"""),6896.028)</f>
        <v/>
      </c>
      <c r="AP723" s="6">
        <f>AQ723&amp;AR723</f>
        <v/>
      </c>
      <c r="AQ723" s="6">
        <f>YEAR(AS723)</f>
        <v/>
      </c>
      <c r="AR723" s="6">
        <f>MONTH(AS723)</f>
        <v/>
      </c>
      <c r="AS723" s="267">
        <f>IFERROR(__xludf.DUMMYFUNCTION("""COMPUTED_VALUE"""),44153.9986111111)</f>
        <v/>
      </c>
      <c r="AT723" s="6">
        <f>IFERROR(__xludf.DUMMYFUNCTION("""COMPUTED_VALUE"""),1873.9)</f>
        <v/>
      </c>
    </row>
    <row r="724">
      <c r="B724" s="6">
        <f>C724&amp;D724</f>
        <v/>
      </c>
      <c r="C724" s="6">
        <f>YEAR(E724)</f>
        <v/>
      </c>
      <c r="D724" s="6">
        <f>MONTH(E724)</f>
        <v/>
      </c>
      <c r="E724" s="267">
        <f>IFERROR(__xludf.DUMMYFUNCTION("""COMPUTED_VALUE"""),44145.6666666666)</f>
        <v/>
      </c>
      <c r="F724" s="6">
        <f>IFERROR(__xludf.DUMMYFUNCTION("""COMPUTED_VALUE"""),3545.53)</f>
        <v/>
      </c>
      <c r="J724" s="6">
        <f>K724&amp;L724</f>
        <v/>
      </c>
      <c r="K724" s="6">
        <f>YEAR(M724)</f>
        <v/>
      </c>
      <c r="L724" s="6">
        <f>MONTH(M724)</f>
        <v/>
      </c>
      <c r="M724" s="267">
        <f>IFERROR(__xludf.DUMMYFUNCTION("""COMPUTED_VALUE"""),44139.6666666666)</f>
        <v/>
      </c>
      <c r="N724" s="6">
        <f>IFERROR(__xludf.DUMMYFUNCTION("""COMPUTED_VALUE"""),11590.78)</f>
        <v/>
      </c>
      <c r="R724" s="6">
        <f>S724&amp;T724</f>
        <v/>
      </c>
      <c r="S724" s="6">
        <f>YEAR(U724)</f>
        <v/>
      </c>
      <c r="T724" s="6">
        <f>MONTH(U724)</f>
        <v/>
      </c>
      <c r="U724" s="267">
        <f>IFERROR(__xludf.DUMMYFUNCTION("""COMPUTED_VALUE"""),44176.6458333333)</f>
        <v/>
      </c>
      <c r="V724" s="6">
        <f>IFERROR(__xludf.DUMMYFUNCTION("""COMPUTED_VALUE"""),2770.06)</f>
        <v/>
      </c>
      <c r="Z724" s="6">
        <f>AA724&amp;AB724</f>
        <v/>
      </c>
      <c r="AA724" s="6">
        <f>YEAR(AC724)</f>
        <v/>
      </c>
      <c r="AB724" s="6">
        <f>MONTH(AC724)</f>
        <v/>
      </c>
      <c r="AC724" s="267">
        <f>IFERROR(__xludf.DUMMYFUNCTION("""COMPUTED_VALUE"""),43860.9986111111)</f>
        <v/>
      </c>
      <c r="AD724" s="6">
        <f>IFERROR(__xludf.DUMMYFUNCTION("""COMPUTED_VALUE"""),1187.12)</f>
        <v/>
      </c>
      <c r="AH724" s="6">
        <f>AI724&amp;AJ724</f>
        <v/>
      </c>
      <c r="AI724" s="6">
        <f>YEAR(AK724)</f>
        <v/>
      </c>
      <c r="AJ724" s="6">
        <f>MONTH(AK724)</f>
        <v/>
      </c>
      <c r="AK724" s="267">
        <f>IFERROR(__xludf.DUMMYFUNCTION("""COMPUTED_VALUE"""),43816.9986111111)</f>
        <v/>
      </c>
      <c r="AL724" s="6">
        <f>IFERROR(__xludf.DUMMYFUNCTION("""COMPUTED_VALUE"""),6625.686)</f>
        <v/>
      </c>
      <c r="AP724" s="6">
        <f>AQ724&amp;AR724</f>
        <v/>
      </c>
      <c r="AQ724" s="6">
        <f>YEAR(AS724)</f>
        <v/>
      </c>
      <c r="AR724" s="6">
        <f>MONTH(AS724)</f>
        <v/>
      </c>
      <c r="AS724" s="267">
        <f>IFERROR(__xludf.DUMMYFUNCTION("""COMPUTED_VALUE"""),44154.9986111111)</f>
        <v/>
      </c>
      <c r="AT724" s="6">
        <f>IFERROR(__xludf.DUMMYFUNCTION("""COMPUTED_VALUE"""),1861.5)</f>
        <v/>
      </c>
    </row>
    <row r="725">
      <c r="B725" s="6">
        <f>C725&amp;D725</f>
        <v/>
      </c>
      <c r="C725" s="6">
        <f>YEAR(E725)</f>
        <v/>
      </c>
      <c r="D725" s="6">
        <f>MONTH(E725)</f>
        <v/>
      </c>
      <c r="E725" s="267">
        <f>IFERROR(__xludf.DUMMYFUNCTION("""COMPUTED_VALUE"""),44146.6666666666)</f>
        <v/>
      </c>
      <c r="F725" s="6">
        <f>IFERROR(__xludf.DUMMYFUNCTION("""COMPUTED_VALUE"""),3572.66)</f>
        <v/>
      </c>
      <c r="J725" s="6">
        <f>K725&amp;L725</f>
        <v/>
      </c>
      <c r="K725" s="6">
        <f>YEAR(M725)</f>
        <v/>
      </c>
      <c r="L725" s="6">
        <f>MONTH(M725)</f>
        <v/>
      </c>
      <c r="M725" s="267">
        <f>IFERROR(__xludf.DUMMYFUNCTION("""COMPUTED_VALUE"""),44140.6666666666)</f>
        <v/>
      </c>
      <c r="N725" s="6">
        <f>IFERROR(__xludf.DUMMYFUNCTION("""COMPUTED_VALUE"""),11890.93)</f>
        <v/>
      </c>
      <c r="R725" s="6">
        <f>S725&amp;T725</f>
        <v/>
      </c>
      <c r="S725" s="6">
        <f>YEAR(U725)</f>
        <v/>
      </c>
      <c r="T725" s="6">
        <f>MONTH(U725)</f>
        <v/>
      </c>
      <c r="U725" s="267">
        <f>IFERROR(__xludf.DUMMYFUNCTION("""COMPUTED_VALUE"""),44179.6458333333)</f>
        <v/>
      </c>
      <c r="V725" s="6">
        <f>IFERROR(__xludf.DUMMYFUNCTION("""COMPUTED_VALUE"""),2762.2)</f>
        <v/>
      </c>
      <c r="Z725" s="6">
        <f>AA725&amp;AB725</f>
        <v/>
      </c>
      <c r="AA725" s="6">
        <f>YEAR(AC725)</f>
        <v/>
      </c>
      <c r="AB725" s="6">
        <f>MONTH(AC725)</f>
        <v/>
      </c>
      <c r="AC725" s="267">
        <f>IFERROR(__xludf.DUMMYFUNCTION("""COMPUTED_VALUE"""),43861.9986111111)</f>
        <v/>
      </c>
      <c r="AD725" s="6">
        <f>IFERROR(__xludf.DUMMYFUNCTION("""COMPUTED_VALUE"""),1194.87)</f>
        <v/>
      </c>
      <c r="AH725" s="6">
        <f>AI725&amp;AJ725</f>
        <v/>
      </c>
      <c r="AI725" s="6">
        <f>YEAR(AK725)</f>
        <v/>
      </c>
      <c r="AJ725" s="6">
        <f>MONTH(AK725)</f>
        <v/>
      </c>
      <c r="AK725" s="267">
        <f>IFERROR(__xludf.DUMMYFUNCTION("""COMPUTED_VALUE"""),43817.9986111111)</f>
        <v/>
      </c>
      <c r="AL725" s="6">
        <f>IFERROR(__xludf.DUMMYFUNCTION("""COMPUTED_VALUE"""),7293.888)</f>
        <v/>
      </c>
      <c r="AP725" s="6">
        <f>AQ725&amp;AR725</f>
        <v/>
      </c>
      <c r="AQ725" s="6">
        <f>YEAR(AS725)</f>
        <v/>
      </c>
      <c r="AR725" s="6">
        <f>MONTH(AS725)</f>
        <v/>
      </c>
      <c r="AS725" s="267">
        <f>IFERROR(__xludf.DUMMYFUNCTION("""COMPUTED_VALUE"""),44155.9986111111)</f>
        <v/>
      </c>
      <c r="AT725" s="6">
        <f>IFERROR(__xludf.DUMMYFUNCTION("""COMPUTED_VALUE"""),1878.2)</f>
        <v/>
      </c>
    </row>
    <row r="726">
      <c r="B726" s="6">
        <f>C726&amp;D726</f>
        <v/>
      </c>
      <c r="C726" s="6">
        <f>YEAR(E726)</f>
        <v/>
      </c>
      <c r="D726" s="6">
        <f>MONTH(E726)</f>
        <v/>
      </c>
      <c r="E726" s="267">
        <f>IFERROR(__xludf.DUMMYFUNCTION("""COMPUTED_VALUE"""),44147.6666666666)</f>
        <v/>
      </c>
      <c r="F726" s="6">
        <f>IFERROR(__xludf.DUMMYFUNCTION("""COMPUTED_VALUE"""),3537.01)</f>
        <v/>
      </c>
      <c r="J726" s="6">
        <f>K726&amp;L726</f>
        <v/>
      </c>
      <c r="K726" s="6">
        <f>YEAR(M726)</f>
        <v/>
      </c>
      <c r="L726" s="6">
        <f>MONTH(M726)</f>
        <v/>
      </c>
      <c r="M726" s="267">
        <f>IFERROR(__xludf.DUMMYFUNCTION("""COMPUTED_VALUE"""),44141.6666666666)</f>
        <v/>
      </c>
      <c r="N726" s="6">
        <f>IFERROR(__xludf.DUMMYFUNCTION("""COMPUTED_VALUE"""),11895.23)</f>
        <v/>
      </c>
      <c r="R726" s="6">
        <f>S726&amp;T726</f>
        <v/>
      </c>
      <c r="S726" s="6">
        <f>YEAR(U726)</f>
        <v/>
      </c>
      <c r="T726" s="6">
        <f>MONTH(U726)</f>
        <v/>
      </c>
      <c r="U726" s="267">
        <f>IFERROR(__xludf.DUMMYFUNCTION("""COMPUTED_VALUE"""),44180.6458333333)</f>
        <v/>
      </c>
      <c r="V726" s="6">
        <f>IFERROR(__xludf.DUMMYFUNCTION("""COMPUTED_VALUE"""),2756.82)</f>
        <v/>
      </c>
      <c r="Z726" s="6">
        <f>AA726&amp;AB726</f>
        <v/>
      </c>
      <c r="AA726" s="6">
        <f>YEAR(AC726)</f>
        <v/>
      </c>
      <c r="AB726" s="6">
        <f>MONTH(AC726)</f>
        <v/>
      </c>
      <c r="AC726" s="267">
        <f>IFERROR(__xludf.DUMMYFUNCTION("""COMPUTED_VALUE"""),43862.9986111111)</f>
        <v/>
      </c>
      <c r="AD726" s="6">
        <f>IFERROR(__xludf.DUMMYFUNCTION("""COMPUTED_VALUE"""),1194.87)</f>
        <v/>
      </c>
      <c r="AH726" s="6">
        <f>AI726&amp;AJ726</f>
        <v/>
      </c>
      <c r="AI726" s="6">
        <f>YEAR(AK726)</f>
        <v/>
      </c>
      <c r="AJ726" s="6">
        <f>MONTH(AK726)</f>
        <v/>
      </c>
      <c r="AK726" s="267">
        <f>IFERROR(__xludf.DUMMYFUNCTION("""COMPUTED_VALUE"""),43818.9986111111)</f>
        <v/>
      </c>
      <c r="AL726" s="6">
        <f>IFERROR(__xludf.DUMMYFUNCTION("""COMPUTED_VALUE"""),7158.255)</f>
        <v/>
      </c>
      <c r="AP726" s="6">
        <f>AQ726&amp;AR726</f>
        <v/>
      </c>
      <c r="AQ726" s="6">
        <f>YEAR(AS726)</f>
        <v/>
      </c>
      <c r="AR726" s="6">
        <f>MONTH(AS726)</f>
        <v/>
      </c>
      <c r="AS726" s="267">
        <f>IFERROR(__xludf.DUMMYFUNCTION("""COMPUTED_VALUE"""),44158.9986111111)</f>
        <v/>
      </c>
      <c r="AT726" s="6">
        <f>IFERROR(__xludf.DUMMYFUNCTION("""COMPUTED_VALUE"""),1844.1)</f>
        <v/>
      </c>
    </row>
    <row r="727">
      <c r="B727" s="6">
        <f>C727&amp;D727</f>
        <v/>
      </c>
      <c r="C727" s="6">
        <f>YEAR(E727)</f>
        <v/>
      </c>
      <c r="D727" s="6">
        <f>MONTH(E727)</f>
        <v/>
      </c>
      <c r="E727" s="267">
        <f>IFERROR(__xludf.DUMMYFUNCTION("""COMPUTED_VALUE"""),44148.6666666666)</f>
        <v/>
      </c>
      <c r="F727" s="6">
        <f>IFERROR(__xludf.DUMMYFUNCTION("""COMPUTED_VALUE"""),3585.15)</f>
        <v/>
      </c>
      <c r="J727" s="6">
        <f>K727&amp;L727</f>
        <v/>
      </c>
      <c r="K727" s="6">
        <f>YEAR(M727)</f>
        <v/>
      </c>
      <c r="L727" s="6">
        <f>MONTH(M727)</f>
        <v/>
      </c>
      <c r="M727" s="267">
        <f>IFERROR(__xludf.DUMMYFUNCTION("""COMPUTED_VALUE"""),44144.6666666666)</f>
        <v/>
      </c>
      <c r="N727" s="6">
        <f>IFERROR(__xludf.DUMMYFUNCTION("""COMPUTED_VALUE"""),11713.78)</f>
        <v/>
      </c>
      <c r="R727" s="6">
        <f>S727&amp;T727</f>
        <v/>
      </c>
      <c r="S727" s="6">
        <f>YEAR(U727)</f>
        <v/>
      </c>
      <c r="T727" s="6">
        <f>MONTH(U727)</f>
        <v/>
      </c>
      <c r="U727" s="267">
        <f>IFERROR(__xludf.DUMMYFUNCTION("""COMPUTED_VALUE"""),44181.6458333333)</f>
        <v/>
      </c>
      <c r="V727" s="6">
        <f>IFERROR(__xludf.DUMMYFUNCTION("""COMPUTED_VALUE"""),2771.79)</f>
        <v/>
      </c>
      <c r="Z727" s="6">
        <f>AA727&amp;AB727</f>
        <v/>
      </c>
      <c r="AA727" s="6">
        <f>YEAR(AC727)</f>
        <v/>
      </c>
      <c r="AB727" s="6">
        <f>MONTH(AC727)</f>
        <v/>
      </c>
      <c r="AC727" s="267">
        <f>IFERROR(__xludf.DUMMYFUNCTION("""COMPUTED_VALUE"""),43863.9986111111)</f>
        <v/>
      </c>
      <c r="AD727" s="6">
        <f>IFERROR(__xludf.DUMMYFUNCTION("""COMPUTED_VALUE"""),1194.87)</f>
        <v/>
      </c>
      <c r="AH727" s="6">
        <f>AI727&amp;AJ727</f>
        <v/>
      </c>
      <c r="AI727" s="6">
        <f>YEAR(AK727)</f>
        <v/>
      </c>
      <c r="AJ727" s="6">
        <f>MONTH(AK727)</f>
        <v/>
      </c>
      <c r="AK727" s="267">
        <f>IFERROR(__xludf.DUMMYFUNCTION("""COMPUTED_VALUE"""),43819.9986111111)</f>
        <v/>
      </c>
      <c r="AL727" s="6">
        <f>IFERROR(__xludf.DUMMYFUNCTION("""COMPUTED_VALUE"""),7204.101)</f>
        <v/>
      </c>
      <c r="AP727" s="6">
        <f>AQ727&amp;AR727</f>
        <v/>
      </c>
      <c r="AQ727" s="6">
        <f>YEAR(AS727)</f>
        <v/>
      </c>
      <c r="AR727" s="6">
        <f>MONTH(AS727)</f>
        <v/>
      </c>
      <c r="AS727" s="267">
        <f>IFERROR(__xludf.DUMMYFUNCTION("""COMPUTED_VALUE"""),44159.9986111111)</f>
        <v/>
      </c>
      <c r="AT727" s="6">
        <f>IFERROR(__xludf.DUMMYFUNCTION("""COMPUTED_VALUE"""),1810.9)</f>
        <v/>
      </c>
    </row>
    <row r="728">
      <c r="B728" s="6">
        <f>C728&amp;D728</f>
        <v/>
      </c>
      <c r="C728" s="6">
        <f>YEAR(E728)</f>
        <v/>
      </c>
      <c r="D728" s="6">
        <f>MONTH(E728)</f>
        <v/>
      </c>
      <c r="E728" s="267">
        <f>IFERROR(__xludf.DUMMYFUNCTION("""COMPUTED_VALUE"""),44151.6666666666)</f>
        <v/>
      </c>
      <c r="F728" s="6">
        <f>IFERROR(__xludf.DUMMYFUNCTION("""COMPUTED_VALUE"""),3626.91)</f>
        <v/>
      </c>
      <c r="J728" s="6">
        <f>K728&amp;L728</f>
        <v/>
      </c>
      <c r="K728" s="6">
        <f>YEAR(M728)</f>
        <v/>
      </c>
      <c r="L728" s="6">
        <f>MONTH(M728)</f>
        <v/>
      </c>
      <c r="M728" s="267">
        <f>IFERROR(__xludf.DUMMYFUNCTION("""COMPUTED_VALUE"""),44145.6666666666)</f>
        <v/>
      </c>
      <c r="N728" s="6">
        <f>IFERROR(__xludf.DUMMYFUNCTION("""COMPUTED_VALUE"""),11553.86)</f>
        <v/>
      </c>
      <c r="R728" s="6">
        <f>S728&amp;T728</f>
        <v/>
      </c>
      <c r="S728" s="6">
        <f>YEAR(U728)</f>
        <v/>
      </c>
      <c r="T728" s="6">
        <f>MONTH(U728)</f>
        <v/>
      </c>
      <c r="U728" s="267">
        <f>IFERROR(__xludf.DUMMYFUNCTION("""COMPUTED_VALUE"""),44182.6458333333)</f>
        <v/>
      </c>
      <c r="V728" s="6">
        <f>IFERROR(__xludf.DUMMYFUNCTION("""COMPUTED_VALUE"""),2770.43)</f>
        <v/>
      </c>
      <c r="Z728" s="6">
        <f>AA728&amp;AB728</f>
        <v/>
      </c>
      <c r="AA728" s="6">
        <f>YEAR(AC728)</f>
        <v/>
      </c>
      <c r="AB728" s="6">
        <f>MONTH(AC728)</f>
        <v/>
      </c>
      <c r="AC728" s="267">
        <f>IFERROR(__xludf.DUMMYFUNCTION("""COMPUTED_VALUE"""),43864.9986111111)</f>
        <v/>
      </c>
      <c r="AD728" s="6">
        <f>IFERROR(__xludf.DUMMYFUNCTION("""COMPUTED_VALUE"""),1189.36)</f>
        <v/>
      </c>
      <c r="AH728" s="6">
        <f>AI728&amp;AJ728</f>
        <v/>
      </c>
      <c r="AI728" s="6">
        <f>YEAR(AK728)</f>
        <v/>
      </c>
      <c r="AJ728" s="6">
        <f>MONTH(AK728)</f>
        <v/>
      </c>
      <c r="AK728" s="267">
        <f>IFERROR(__xludf.DUMMYFUNCTION("""COMPUTED_VALUE"""),43820.9986111111)</f>
        <v/>
      </c>
      <c r="AL728" s="6">
        <f>IFERROR(__xludf.DUMMYFUNCTION("""COMPUTED_VALUE"""),7154.57)</f>
        <v/>
      </c>
      <c r="AP728" s="6">
        <f>AQ728&amp;AR728</f>
        <v/>
      </c>
      <c r="AQ728" s="6">
        <f>YEAR(AS728)</f>
        <v/>
      </c>
      <c r="AR728" s="6">
        <f>MONTH(AS728)</f>
        <v/>
      </c>
      <c r="AS728" s="267">
        <f>IFERROR(__xludf.DUMMYFUNCTION("""COMPUTED_VALUE"""),44160.9986111111)</f>
        <v/>
      </c>
      <c r="AT728" s="6">
        <f>IFERROR(__xludf.DUMMYFUNCTION("""COMPUTED_VALUE"""),1811.2)</f>
        <v/>
      </c>
    </row>
    <row r="729">
      <c r="B729" s="6">
        <f>C729&amp;D729</f>
        <v/>
      </c>
      <c r="C729" s="6">
        <f>YEAR(E729)</f>
        <v/>
      </c>
      <c r="D729" s="6">
        <f>MONTH(E729)</f>
        <v/>
      </c>
      <c r="E729" s="267">
        <f>IFERROR(__xludf.DUMMYFUNCTION("""COMPUTED_VALUE"""),44152.6666666666)</f>
        <v/>
      </c>
      <c r="F729" s="6">
        <f>IFERROR(__xludf.DUMMYFUNCTION("""COMPUTED_VALUE"""),3609.53)</f>
        <v/>
      </c>
      <c r="J729" s="6">
        <f>K729&amp;L729</f>
        <v/>
      </c>
      <c r="K729" s="6">
        <f>YEAR(M729)</f>
        <v/>
      </c>
      <c r="L729" s="6">
        <f>MONTH(M729)</f>
        <v/>
      </c>
      <c r="M729" s="267">
        <f>IFERROR(__xludf.DUMMYFUNCTION("""COMPUTED_VALUE"""),44146.6666666666)</f>
        <v/>
      </c>
      <c r="N729" s="6">
        <f>IFERROR(__xludf.DUMMYFUNCTION("""COMPUTED_VALUE"""),11786.43)</f>
        <v/>
      </c>
      <c r="R729" s="6">
        <f>S729&amp;T729</f>
        <v/>
      </c>
      <c r="S729" s="6">
        <f>YEAR(U729)</f>
        <v/>
      </c>
      <c r="T729" s="6">
        <f>MONTH(U729)</f>
        <v/>
      </c>
      <c r="U729" s="267">
        <f>IFERROR(__xludf.DUMMYFUNCTION("""COMPUTED_VALUE"""),44183.6458333333)</f>
        <v/>
      </c>
      <c r="V729" s="6">
        <f>IFERROR(__xludf.DUMMYFUNCTION("""COMPUTED_VALUE"""),2772.18)</f>
        <v/>
      </c>
      <c r="Z729" s="6">
        <f>AA729&amp;AB729</f>
        <v/>
      </c>
      <c r="AA729" s="6">
        <f>YEAR(AC729)</f>
        <v/>
      </c>
      <c r="AB729" s="6">
        <f>MONTH(AC729)</f>
        <v/>
      </c>
      <c r="AC729" s="267">
        <f>IFERROR(__xludf.DUMMYFUNCTION("""COMPUTED_VALUE"""),43865.9986111111)</f>
        <v/>
      </c>
      <c r="AD729" s="6">
        <f>IFERROR(__xludf.DUMMYFUNCTION("""COMPUTED_VALUE"""),1182.48)</f>
        <v/>
      </c>
      <c r="AH729" s="6">
        <f>AI729&amp;AJ729</f>
        <v/>
      </c>
      <c r="AI729" s="6">
        <f>YEAR(AK729)</f>
        <v/>
      </c>
      <c r="AJ729" s="6">
        <f>MONTH(AK729)</f>
        <v/>
      </c>
      <c r="AK729" s="267">
        <f>IFERROR(__xludf.DUMMYFUNCTION("""COMPUTED_VALUE"""),43821.9986111111)</f>
        <v/>
      </c>
      <c r="AL729" s="6">
        <f>IFERROR(__xludf.DUMMYFUNCTION("""COMPUTED_VALUE"""),7519.568)</f>
        <v/>
      </c>
      <c r="AP729" s="6">
        <f>AQ729&amp;AR729</f>
        <v/>
      </c>
      <c r="AQ729" s="6">
        <f>YEAR(AS729)</f>
        <v/>
      </c>
      <c r="AR729" s="6">
        <f>MONTH(AS729)</f>
        <v/>
      </c>
      <c r="AS729" s="267">
        <f>IFERROR(__xludf.DUMMYFUNCTION("""COMPUTED_VALUE"""),44162.5416666666)</f>
        <v/>
      </c>
      <c r="AT729" s="6">
        <f>IFERROR(__xludf.DUMMYFUNCTION("""COMPUTED_VALUE"""),1788.1)</f>
        <v/>
      </c>
    </row>
    <row r="730">
      <c r="B730" s="6">
        <f>C730&amp;D730</f>
        <v/>
      </c>
      <c r="C730" s="6">
        <f>YEAR(E730)</f>
        <v/>
      </c>
      <c r="D730" s="6">
        <f>MONTH(E730)</f>
        <v/>
      </c>
      <c r="E730" s="267">
        <f>IFERROR(__xludf.DUMMYFUNCTION("""COMPUTED_VALUE"""),44153.6666666666)</f>
        <v/>
      </c>
      <c r="F730" s="6">
        <f>IFERROR(__xludf.DUMMYFUNCTION("""COMPUTED_VALUE"""),3567.79)</f>
        <v/>
      </c>
      <c r="J730" s="6">
        <f>K730&amp;L730</f>
        <v/>
      </c>
      <c r="K730" s="6">
        <f>YEAR(M730)</f>
        <v/>
      </c>
      <c r="L730" s="6">
        <f>MONTH(M730)</f>
        <v/>
      </c>
      <c r="M730" s="267">
        <f>IFERROR(__xludf.DUMMYFUNCTION("""COMPUTED_VALUE"""),44147.6666666666)</f>
        <v/>
      </c>
      <c r="N730" s="6">
        <f>IFERROR(__xludf.DUMMYFUNCTION("""COMPUTED_VALUE"""),11709.59)</f>
        <v/>
      </c>
      <c r="R730" s="6">
        <f>S730&amp;T730</f>
        <v/>
      </c>
      <c r="S730" s="6">
        <f>YEAR(U730)</f>
        <v/>
      </c>
      <c r="T730" s="6">
        <f>MONTH(U730)</f>
        <v/>
      </c>
      <c r="U730" s="267">
        <f>IFERROR(__xludf.DUMMYFUNCTION("""COMPUTED_VALUE"""),44186.6458333333)</f>
        <v/>
      </c>
      <c r="V730" s="6">
        <f>IFERROR(__xludf.DUMMYFUNCTION("""COMPUTED_VALUE"""),2778.65)</f>
        <v/>
      </c>
      <c r="Z730" s="6">
        <f>AA730&amp;AB730</f>
        <v/>
      </c>
      <c r="AA730" s="6">
        <f>YEAR(AC730)</f>
        <v/>
      </c>
      <c r="AB730" s="6">
        <f>MONTH(AC730)</f>
        <v/>
      </c>
      <c r="AC730" s="267">
        <f>IFERROR(__xludf.DUMMYFUNCTION("""COMPUTED_VALUE"""),43866.9986111111)</f>
        <v/>
      </c>
      <c r="AD730" s="6">
        <f>IFERROR(__xludf.DUMMYFUNCTION("""COMPUTED_VALUE"""),1183.46)</f>
        <v/>
      </c>
      <c r="AH730" s="6">
        <f>AI730&amp;AJ730</f>
        <v/>
      </c>
      <c r="AI730" s="6">
        <f>YEAR(AK730)</f>
        <v/>
      </c>
      <c r="AJ730" s="6">
        <f>MONTH(AK730)</f>
        <v/>
      </c>
      <c r="AK730" s="267">
        <f>IFERROR(__xludf.DUMMYFUNCTION("""COMPUTED_VALUE"""),43822.9986111111)</f>
        <v/>
      </c>
      <c r="AL730" s="6">
        <f>IFERROR(__xludf.DUMMYFUNCTION("""COMPUTED_VALUE"""),7322.984)</f>
        <v/>
      </c>
      <c r="AP730" s="6">
        <f>AQ730&amp;AR730</f>
        <v/>
      </c>
      <c r="AQ730" s="6">
        <f>YEAR(AS730)</f>
        <v/>
      </c>
      <c r="AR730" s="6">
        <f>MONTH(AS730)</f>
        <v/>
      </c>
      <c r="AS730" s="267">
        <f>IFERROR(__xludf.DUMMYFUNCTION("""COMPUTED_VALUE"""),44165.9986111111)</f>
        <v/>
      </c>
      <c r="AT730" s="6">
        <f>IFERROR(__xludf.DUMMYFUNCTION("""COMPUTED_VALUE"""),1780.9)</f>
        <v/>
      </c>
    </row>
    <row r="731">
      <c r="B731" s="6">
        <f>C731&amp;D731</f>
        <v/>
      </c>
      <c r="C731" s="6">
        <f>YEAR(E731)</f>
        <v/>
      </c>
      <c r="D731" s="6">
        <f>MONTH(E731)</f>
        <v/>
      </c>
      <c r="E731" s="267">
        <f>IFERROR(__xludf.DUMMYFUNCTION("""COMPUTED_VALUE"""),44154.6666666666)</f>
        <v/>
      </c>
      <c r="F731" s="6">
        <f>IFERROR(__xludf.DUMMYFUNCTION("""COMPUTED_VALUE"""),3581.87)</f>
        <v/>
      </c>
      <c r="J731" s="6">
        <f>K731&amp;L731</f>
        <v/>
      </c>
      <c r="K731" s="6">
        <f>YEAR(M731)</f>
        <v/>
      </c>
      <c r="L731" s="6">
        <f>MONTH(M731)</f>
        <v/>
      </c>
      <c r="M731" s="267">
        <f>IFERROR(__xludf.DUMMYFUNCTION("""COMPUTED_VALUE"""),44148.6666666666)</f>
        <v/>
      </c>
      <c r="N731" s="6">
        <f>IFERROR(__xludf.DUMMYFUNCTION("""COMPUTED_VALUE"""),11829.29)</f>
        <v/>
      </c>
      <c r="R731" s="6">
        <f>S731&amp;T731</f>
        <v/>
      </c>
      <c r="S731" s="6">
        <f>YEAR(U731)</f>
        <v/>
      </c>
      <c r="T731" s="6">
        <f>MONTH(U731)</f>
        <v/>
      </c>
      <c r="U731" s="267">
        <f>IFERROR(__xludf.DUMMYFUNCTION("""COMPUTED_VALUE"""),44187.6458333333)</f>
        <v/>
      </c>
      <c r="V731" s="6">
        <f>IFERROR(__xludf.DUMMYFUNCTION("""COMPUTED_VALUE"""),2733.68)</f>
        <v/>
      </c>
      <c r="Z731" s="6">
        <f>AA731&amp;AB731</f>
        <v/>
      </c>
      <c r="AA731" s="6">
        <f>YEAR(AC731)</f>
        <v/>
      </c>
      <c r="AB731" s="6">
        <f>MONTH(AC731)</f>
        <v/>
      </c>
      <c r="AC731" s="267">
        <f>IFERROR(__xludf.DUMMYFUNCTION("""COMPUTED_VALUE"""),43867.9986111111)</f>
        <v/>
      </c>
      <c r="AD731" s="6">
        <f>IFERROR(__xludf.DUMMYFUNCTION("""COMPUTED_VALUE"""),1184.25)</f>
        <v/>
      </c>
      <c r="AH731" s="6">
        <f>AI731&amp;AJ731</f>
        <v/>
      </c>
      <c r="AI731" s="6">
        <f>YEAR(AK731)</f>
        <v/>
      </c>
      <c r="AJ731" s="6">
        <f>MONTH(AK731)</f>
        <v/>
      </c>
      <c r="AK731" s="267">
        <f>IFERROR(__xludf.DUMMYFUNCTION("""COMPUTED_VALUE"""),43823.9986111111)</f>
        <v/>
      </c>
      <c r="AL731" s="6">
        <f>IFERROR(__xludf.DUMMYFUNCTION("""COMPUTED_VALUE"""),7260.82)</f>
        <v/>
      </c>
      <c r="AP731" s="6">
        <f>AQ731&amp;AR731</f>
        <v/>
      </c>
      <c r="AQ731" s="6">
        <f>YEAR(AS731)</f>
        <v/>
      </c>
      <c r="AR731" s="6">
        <f>MONTH(AS731)</f>
        <v/>
      </c>
      <c r="AS731" s="267">
        <f>IFERROR(__xludf.DUMMYFUNCTION("""COMPUTED_VALUE"""),44166.9986111111)</f>
        <v/>
      </c>
      <c r="AT731" s="6">
        <f>IFERROR(__xludf.DUMMYFUNCTION("""COMPUTED_VALUE"""),1818.9)</f>
        <v/>
      </c>
    </row>
    <row r="732">
      <c r="B732" s="6">
        <f>C732&amp;D732</f>
        <v/>
      </c>
      <c r="C732" s="6">
        <f>YEAR(E732)</f>
        <v/>
      </c>
      <c r="D732" s="6">
        <f>MONTH(E732)</f>
        <v/>
      </c>
      <c r="E732" s="267">
        <f>IFERROR(__xludf.DUMMYFUNCTION("""COMPUTED_VALUE"""),44155.6666666666)</f>
        <v/>
      </c>
      <c r="F732" s="6">
        <f>IFERROR(__xludf.DUMMYFUNCTION("""COMPUTED_VALUE"""),3557.54)</f>
        <v/>
      </c>
      <c r="J732" s="6">
        <f>K732&amp;L732</f>
        <v/>
      </c>
      <c r="K732" s="6">
        <f>YEAR(M732)</f>
        <v/>
      </c>
      <c r="L732" s="6">
        <f>MONTH(M732)</f>
        <v/>
      </c>
      <c r="M732" s="267">
        <f>IFERROR(__xludf.DUMMYFUNCTION("""COMPUTED_VALUE"""),44151.6666666666)</f>
        <v/>
      </c>
      <c r="N732" s="6">
        <f>IFERROR(__xludf.DUMMYFUNCTION("""COMPUTED_VALUE"""),11924.13)</f>
        <v/>
      </c>
      <c r="R732" s="6">
        <f>S732&amp;T732</f>
        <v/>
      </c>
      <c r="S732" s="6">
        <f>YEAR(U732)</f>
        <v/>
      </c>
      <c r="T732" s="6">
        <f>MONTH(U732)</f>
        <v/>
      </c>
      <c r="U732" s="267">
        <f>IFERROR(__xludf.DUMMYFUNCTION("""COMPUTED_VALUE"""),44188.6458333333)</f>
        <v/>
      </c>
      <c r="V732" s="6">
        <f>IFERROR(__xludf.DUMMYFUNCTION("""COMPUTED_VALUE"""),2759.82)</f>
        <v/>
      </c>
      <c r="Z732" s="6">
        <f>AA732&amp;AB732</f>
        <v/>
      </c>
      <c r="AA732" s="6">
        <f>YEAR(AC732)</f>
        <v/>
      </c>
      <c r="AB732" s="6">
        <f>MONTH(AC732)</f>
        <v/>
      </c>
      <c r="AC732" s="267">
        <f>IFERROR(__xludf.DUMMYFUNCTION("""COMPUTED_VALUE"""),43868.9986111111)</f>
        <v/>
      </c>
      <c r="AD732" s="6">
        <f>IFERROR(__xludf.DUMMYFUNCTION("""COMPUTED_VALUE"""),1191.09)</f>
        <v/>
      </c>
      <c r="AH732" s="6">
        <f>AI732&amp;AJ732</f>
        <v/>
      </c>
      <c r="AI732" s="6">
        <f>YEAR(AK732)</f>
        <v/>
      </c>
      <c r="AJ732" s="6">
        <f>MONTH(AK732)</f>
        <v/>
      </c>
      <c r="AK732" s="267">
        <f>IFERROR(__xludf.DUMMYFUNCTION("""COMPUTED_VALUE"""),43824.9986111111)</f>
        <v/>
      </c>
      <c r="AL732" s="6">
        <f>IFERROR(__xludf.DUMMYFUNCTION("""COMPUTED_VALUE"""),7204.073)</f>
        <v/>
      </c>
      <c r="AP732" s="6">
        <f>AQ732&amp;AR732</f>
        <v/>
      </c>
      <c r="AQ732" s="6">
        <f>YEAR(AS732)</f>
        <v/>
      </c>
      <c r="AR732" s="6">
        <f>MONTH(AS732)</f>
        <v/>
      </c>
      <c r="AS732" s="267">
        <f>IFERROR(__xludf.DUMMYFUNCTION("""COMPUTED_VALUE"""),44167.9986111111)</f>
        <v/>
      </c>
      <c r="AT732" s="6">
        <f>IFERROR(__xludf.DUMMYFUNCTION("""COMPUTED_VALUE"""),1830.2)</f>
        <v/>
      </c>
    </row>
    <row r="733">
      <c r="B733" s="6">
        <f>C733&amp;D733</f>
        <v/>
      </c>
      <c r="C733" s="6">
        <f>YEAR(E733)</f>
        <v/>
      </c>
      <c r="D733" s="6">
        <f>MONTH(E733)</f>
        <v/>
      </c>
      <c r="E733" s="267">
        <f>IFERROR(__xludf.DUMMYFUNCTION("""COMPUTED_VALUE"""),44158.6666666666)</f>
        <v/>
      </c>
      <c r="F733" s="6">
        <f>IFERROR(__xludf.DUMMYFUNCTION("""COMPUTED_VALUE"""),3577.59)</f>
        <v/>
      </c>
      <c r="J733" s="6">
        <f>K733&amp;L733</f>
        <v/>
      </c>
      <c r="K733" s="6">
        <f>YEAR(M733)</f>
        <v/>
      </c>
      <c r="L733" s="6">
        <f>MONTH(M733)</f>
        <v/>
      </c>
      <c r="M733" s="267">
        <f>IFERROR(__xludf.DUMMYFUNCTION("""COMPUTED_VALUE"""),44152.6666666666)</f>
        <v/>
      </c>
      <c r="N733" s="6">
        <f>IFERROR(__xludf.DUMMYFUNCTION("""COMPUTED_VALUE"""),11899.34)</f>
        <v/>
      </c>
      <c r="R733" s="6">
        <f>S733&amp;T733</f>
        <v/>
      </c>
      <c r="S733" s="6">
        <f>YEAR(U733)</f>
        <v/>
      </c>
      <c r="T733" s="6">
        <f>MONTH(U733)</f>
        <v/>
      </c>
      <c r="U733" s="267">
        <f>IFERROR(__xludf.DUMMYFUNCTION("""COMPUTED_VALUE"""),44189.6458333333)</f>
        <v/>
      </c>
      <c r="V733" s="6">
        <f>IFERROR(__xludf.DUMMYFUNCTION("""COMPUTED_VALUE"""),2806.86)</f>
        <v/>
      </c>
      <c r="Z733" s="6">
        <f>AA733&amp;AB733</f>
        <v/>
      </c>
      <c r="AA733" s="6">
        <f>YEAR(AC733)</f>
        <v/>
      </c>
      <c r="AB733" s="6">
        <f>MONTH(AC733)</f>
        <v/>
      </c>
      <c r="AC733" s="267">
        <f>IFERROR(__xludf.DUMMYFUNCTION("""COMPUTED_VALUE"""),43869.9986111111)</f>
        <v/>
      </c>
      <c r="AD733" s="6">
        <f>IFERROR(__xludf.DUMMYFUNCTION("""COMPUTED_VALUE"""),1191.09)</f>
        <v/>
      </c>
      <c r="AH733" s="6">
        <f>AI733&amp;AJ733</f>
        <v/>
      </c>
      <c r="AI733" s="6">
        <f>YEAR(AK733)</f>
        <v/>
      </c>
      <c r="AJ733" s="6">
        <f>MONTH(AK733)</f>
        <v/>
      </c>
      <c r="AK733" s="267">
        <f>IFERROR(__xludf.DUMMYFUNCTION("""COMPUTED_VALUE"""),43825.9986111111)</f>
        <v/>
      </c>
      <c r="AL733" s="6">
        <f>IFERROR(__xludf.DUMMYFUNCTION("""COMPUTED_VALUE"""),7204.342)</f>
        <v/>
      </c>
      <c r="AP733" s="6">
        <f>AQ733&amp;AR733</f>
        <v/>
      </c>
      <c r="AQ733" s="6">
        <f>YEAR(AS733)</f>
        <v/>
      </c>
      <c r="AR733" s="6">
        <f>MONTH(AS733)</f>
        <v/>
      </c>
      <c r="AS733" s="267">
        <f>IFERROR(__xludf.DUMMYFUNCTION("""COMPUTED_VALUE"""),44168.9986111111)</f>
        <v/>
      </c>
      <c r="AT733" s="6">
        <f>IFERROR(__xludf.DUMMYFUNCTION("""COMPUTED_VALUE"""),1841.1)</f>
        <v/>
      </c>
    </row>
    <row r="734">
      <c r="B734" s="6">
        <f>C734&amp;D734</f>
        <v/>
      </c>
      <c r="C734" s="6">
        <f>YEAR(E734)</f>
        <v/>
      </c>
      <c r="D734" s="6">
        <f>MONTH(E734)</f>
        <v/>
      </c>
      <c r="E734" s="267">
        <f>IFERROR(__xludf.DUMMYFUNCTION("""COMPUTED_VALUE"""),44159.6666666666)</f>
        <v/>
      </c>
      <c r="F734" s="6">
        <f>IFERROR(__xludf.DUMMYFUNCTION("""COMPUTED_VALUE"""),3635.41)</f>
        <v/>
      </c>
      <c r="J734" s="6">
        <f>K734&amp;L734</f>
        <v/>
      </c>
      <c r="K734" s="6">
        <f>YEAR(M734)</f>
        <v/>
      </c>
      <c r="L734" s="6">
        <f>MONTH(M734)</f>
        <v/>
      </c>
      <c r="M734" s="267">
        <f>IFERROR(__xludf.DUMMYFUNCTION("""COMPUTED_VALUE"""),44153.6666666666)</f>
        <v/>
      </c>
      <c r="N734" s="6">
        <f>IFERROR(__xludf.DUMMYFUNCTION("""COMPUTED_VALUE"""),11801.6)</f>
        <v/>
      </c>
      <c r="R734" s="6">
        <f>S734&amp;T734</f>
        <v/>
      </c>
      <c r="S734" s="6">
        <f>YEAR(U734)</f>
        <v/>
      </c>
      <c r="T734" s="6">
        <f>MONTH(U734)</f>
        <v/>
      </c>
      <c r="U734" s="267">
        <f>IFERROR(__xludf.DUMMYFUNCTION("""COMPUTED_VALUE"""),44193.6458333333)</f>
        <v/>
      </c>
      <c r="V734" s="6">
        <f>IFERROR(__xludf.DUMMYFUNCTION("""COMPUTED_VALUE"""),2808.6)</f>
        <v/>
      </c>
      <c r="Z734" s="6">
        <f>AA734&amp;AB734</f>
        <v/>
      </c>
      <c r="AA734" s="6">
        <f>YEAR(AC734)</f>
        <v/>
      </c>
      <c r="AB734" s="6">
        <f>MONTH(AC734)</f>
        <v/>
      </c>
      <c r="AC734" s="267">
        <f>IFERROR(__xludf.DUMMYFUNCTION("""COMPUTED_VALUE"""),43870.9986111111)</f>
        <v/>
      </c>
      <c r="AD734" s="6">
        <f>IFERROR(__xludf.DUMMYFUNCTION("""COMPUTED_VALUE"""),1191.09)</f>
        <v/>
      </c>
      <c r="AH734" s="6">
        <f>AI734&amp;AJ734</f>
        <v/>
      </c>
      <c r="AI734" s="6">
        <f>YEAR(AK734)</f>
        <v/>
      </c>
      <c r="AJ734" s="6">
        <f>MONTH(AK734)</f>
        <v/>
      </c>
      <c r="AK734" s="267">
        <f>IFERROR(__xludf.DUMMYFUNCTION("""COMPUTED_VALUE"""),43826.9986111111)</f>
        <v/>
      </c>
      <c r="AL734" s="6">
        <f>IFERROR(__xludf.DUMMYFUNCTION("""COMPUTED_VALUE"""),7255.551)</f>
        <v/>
      </c>
      <c r="AP734" s="6">
        <f>AQ734&amp;AR734</f>
        <v/>
      </c>
      <c r="AQ734" s="6">
        <f>YEAR(AS734)</f>
        <v/>
      </c>
      <c r="AR734" s="6">
        <f>MONTH(AS734)</f>
        <v/>
      </c>
      <c r="AS734" s="267">
        <f>IFERROR(__xludf.DUMMYFUNCTION("""COMPUTED_VALUE"""),44169.9986111111)</f>
        <v/>
      </c>
      <c r="AT734" s="6">
        <f>IFERROR(__xludf.DUMMYFUNCTION("""COMPUTED_VALUE"""),1840)</f>
        <v/>
      </c>
    </row>
    <row r="735">
      <c r="B735" s="6">
        <f>C735&amp;D735</f>
        <v/>
      </c>
      <c r="C735" s="6">
        <f>YEAR(E735)</f>
        <v/>
      </c>
      <c r="D735" s="6">
        <f>MONTH(E735)</f>
        <v/>
      </c>
      <c r="E735" s="267">
        <f>IFERROR(__xludf.DUMMYFUNCTION("""COMPUTED_VALUE"""),44160.6666666666)</f>
        <v/>
      </c>
      <c r="F735" s="6">
        <f>IFERROR(__xludf.DUMMYFUNCTION("""COMPUTED_VALUE"""),3629.65)</f>
        <v/>
      </c>
      <c r="J735" s="6">
        <f>K735&amp;L735</f>
        <v/>
      </c>
      <c r="K735" s="6">
        <f>YEAR(M735)</f>
        <v/>
      </c>
      <c r="L735" s="6">
        <f>MONTH(M735)</f>
        <v/>
      </c>
      <c r="M735" s="267">
        <f>IFERROR(__xludf.DUMMYFUNCTION("""COMPUTED_VALUE"""),44154.6666666666)</f>
        <v/>
      </c>
      <c r="N735" s="6">
        <f>IFERROR(__xludf.DUMMYFUNCTION("""COMPUTED_VALUE"""),11904.71)</f>
        <v/>
      </c>
      <c r="R735" s="6">
        <f>S735&amp;T735</f>
        <v/>
      </c>
      <c r="S735" s="6">
        <f>YEAR(U735)</f>
        <v/>
      </c>
      <c r="T735" s="6">
        <f>MONTH(U735)</f>
        <v/>
      </c>
      <c r="U735" s="267">
        <f>IFERROR(__xludf.DUMMYFUNCTION("""COMPUTED_VALUE"""),44194.6458333333)</f>
        <v/>
      </c>
      <c r="V735" s="6">
        <f>IFERROR(__xludf.DUMMYFUNCTION("""COMPUTED_VALUE"""),2820.51)</f>
        <v/>
      </c>
      <c r="Z735" s="6">
        <f>AA735&amp;AB735</f>
        <v/>
      </c>
      <c r="AA735" s="6">
        <f>YEAR(AC735)</f>
        <v/>
      </c>
      <c r="AB735" s="6">
        <f>MONTH(AC735)</f>
        <v/>
      </c>
      <c r="AC735" s="267">
        <f>IFERROR(__xludf.DUMMYFUNCTION("""COMPUTED_VALUE"""),43871.9986111111)</f>
        <v/>
      </c>
      <c r="AD735" s="6">
        <f>IFERROR(__xludf.DUMMYFUNCTION("""COMPUTED_VALUE"""),1185.63)</f>
        <v/>
      </c>
      <c r="AH735" s="6">
        <f>AI735&amp;AJ735</f>
        <v/>
      </c>
      <c r="AI735" s="6">
        <f>YEAR(AK735)</f>
        <v/>
      </c>
      <c r="AJ735" s="6">
        <f>MONTH(AK735)</f>
        <v/>
      </c>
      <c r="AK735" s="267">
        <f>IFERROR(__xludf.DUMMYFUNCTION("""COMPUTED_VALUE"""),43827.9986111111)</f>
        <v/>
      </c>
      <c r="AL735" s="6">
        <f>IFERROR(__xludf.DUMMYFUNCTION("""COMPUTED_VALUE"""),7312.049)</f>
        <v/>
      </c>
      <c r="AP735" s="6">
        <f>AQ735&amp;AR735</f>
        <v/>
      </c>
      <c r="AQ735" s="6">
        <f>YEAR(AS735)</f>
        <v/>
      </c>
      <c r="AR735" s="6">
        <f>MONTH(AS735)</f>
        <v/>
      </c>
      <c r="AS735" s="267">
        <f>IFERROR(__xludf.DUMMYFUNCTION("""COMPUTED_VALUE"""),44172.9986111111)</f>
        <v/>
      </c>
      <c r="AT735" s="6">
        <f>IFERROR(__xludf.DUMMYFUNCTION("""COMPUTED_VALUE"""),1866)</f>
        <v/>
      </c>
    </row>
    <row r="736">
      <c r="B736" s="6">
        <f>C736&amp;D736</f>
        <v/>
      </c>
      <c r="C736" s="6">
        <f>YEAR(E736)</f>
        <v/>
      </c>
      <c r="D736" s="6">
        <f>MONTH(E736)</f>
        <v/>
      </c>
      <c r="E736" s="267">
        <f>IFERROR(__xludf.DUMMYFUNCTION("""COMPUTED_VALUE"""),44162.5416666666)</f>
        <v/>
      </c>
      <c r="F736" s="6">
        <f>IFERROR(__xludf.DUMMYFUNCTION("""COMPUTED_VALUE"""),3638.35)</f>
        <v/>
      </c>
      <c r="J736" s="6">
        <f>K736&amp;L736</f>
        <v/>
      </c>
      <c r="K736" s="6">
        <f>YEAR(M736)</f>
        <v/>
      </c>
      <c r="L736" s="6">
        <f>MONTH(M736)</f>
        <v/>
      </c>
      <c r="M736" s="267">
        <f>IFERROR(__xludf.DUMMYFUNCTION("""COMPUTED_VALUE"""),44155.6666666666)</f>
        <v/>
      </c>
      <c r="N736" s="6">
        <f>IFERROR(__xludf.DUMMYFUNCTION("""COMPUTED_VALUE"""),11854.97)</f>
        <v/>
      </c>
      <c r="R736" s="6">
        <f>S736&amp;T736</f>
        <v/>
      </c>
      <c r="S736" s="6">
        <f>YEAR(U736)</f>
        <v/>
      </c>
      <c r="T736" s="6">
        <f>MONTH(U736)</f>
        <v/>
      </c>
      <c r="U736" s="267">
        <f>IFERROR(__xludf.DUMMYFUNCTION("""COMPUTED_VALUE"""),44195.6458333333)</f>
        <v/>
      </c>
      <c r="V736" s="6">
        <f>IFERROR(__xludf.DUMMYFUNCTION("""COMPUTED_VALUE"""),2873.47)</f>
        <v/>
      </c>
      <c r="Z736" s="6">
        <f>AA736&amp;AB736</f>
        <v/>
      </c>
      <c r="AA736" s="6">
        <f>YEAR(AC736)</f>
        <v/>
      </c>
      <c r="AB736" s="6">
        <f>MONTH(AC736)</f>
        <v/>
      </c>
      <c r="AC736" s="267">
        <f>IFERROR(__xludf.DUMMYFUNCTION("""COMPUTED_VALUE"""),43872.9986111111)</f>
        <v/>
      </c>
      <c r="AD736" s="6">
        <f>IFERROR(__xludf.DUMMYFUNCTION("""COMPUTED_VALUE"""),1180.72)</f>
        <v/>
      </c>
      <c r="AH736" s="6">
        <f>AI736&amp;AJ736</f>
        <v/>
      </c>
      <c r="AI736" s="6">
        <f>YEAR(AK736)</f>
        <v/>
      </c>
      <c r="AJ736" s="6">
        <f>MONTH(AK736)</f>
        <v/>
      </c>
      <c r="AK736" s="267">
        <f>IFERROR(__xludf.DUMMYFUNCTION("""COMPUTED_VALUE"""),43828.9986111111)</f>
        <v/>
      </c>
      <c r="AL736" s="6">
        <f>IFERROR(__xludf.DUMMYFUNCTION("""COMPUTED_VALUE"""),7388.7)</f>
        <v/>
      </c>
      <c r="AP736" s="6">
        <f>AQ736&amp;AR736</f>
        <v/>
      </c>
      <c r="AQ736" s="6">
        <f>YEAR(AS736)</f>
        <v/>
      </c>
      <c r="AR736" s="6">
        <f>MONTH(AS736)</f>
        <v/>
      </c>
      <c r="AS736" s="267">
        <f>IFERROR(__xludf.DUMMYFUNCTION("""COMPUTED_VALUE"""),44173.9986111111)</f>
        <v/>
      </c>
      <c r="AT736" s="6">
        <f>IFERROR(__xludf.DUMMYFUNCTION("""COMPUTED_VALUE"""),1874.9)</f>
        <v/>
      </c>
    </row>
    <row r="737">
      <c r="B737" s="6">
        <f>C737&amp;D737</f>
        <v/>
      </c>
      <c r="C737" s="6">
        <f>YEAR(E737)</f>
        <v/>
      </c>
      <c r="D737" s="6">
        <f>MONTH(E737)</f>
        <v/>
      </c>
      <c r="E737" s="267">
        <f>IFERROR(__xludf.DUMMYFUNCTION("""COMPUTED_VALUE"""),44165.6666666666)</f>
        <v/>
      </c>
      <c r="F737" s="6">
        <f>IFERROR(__xludf.DUMMYFUNCTION("""COMPUTED_VALUE"""),3621.63)</f>
        <v/>
      </c>
      <c r="J737" s="6">
        <f>K737&amp;L737</f>
        <v/>
      </c>
      <c r="K737" s="6">
        <f>YEAR(M737)</f>
        <v/>
      </c>
      <c r="L737" s="6">
        <f>MONTH(M737)</f>
        <v/>
      </c>
      <c r="M737" s="267">
        <f>IFERROR(__xludf.DUMMYFUNCTION("""COMPUTED_VALUE"""),44158.6666666666)</f>
        <v/>
      </c>
      <c r="N737" s="6">
        <f>IFERROR(__xludf.DUMMYFUNCTION("""COMPUTED_VALUE"""),11880.63)</f>
        <v/>
      </c>
      <c r="R737" s="6">
        <f>S737&amp;T737</f>
        <v/>
      </c>
      <c r="S737" s="6">
        <f>YEAR(U737)</f>
        <v/>
      </c>
      <c r="T737" s="6">
        <f>MONTH(U737)</f>
        <v/>
      </c>
      <c r="U737" s="267">
        <f>IFERROR(__xludf.DUMMYFUNCTION("""COMPUTED_VALUE"""),44200.6458333333)</f>
        <v/>
      </c>
      <c r="V737" s="6">
        <f>IFERROR(__xludf.DUMMYFUNCTION("""COMPUTED_VALUE"""),2944.45)</f>
        <v/>
      </c>
      <c r="Z737" s="6">
        <f>AA737&amp;AB737</f>
        <v/>
      </c>
      <c r="AA737" s="6">
        <f>YEAR(AC737)</f>
        <v/>
      </c>
      <c r="AB737" s="6">
        <f>MONTH(AC737)</f>
        <v/>
      </c>
      <c r="AC737" s="267">
        <f>IFERROR(__xludf.DUMMYFUNCTION("""COMPUTED_VALUE"""),43873.9986111111)</f>
        <v/>
      </c>
      <c r="AD737" s="6">
        <f>IFERROR(__xludf.DUMMYFUNCTION("""COMPUTED_VALUE"""),1177.96)</f>
        <v/>
      </c>
      <c r="AH737" s="6">
        <f>AI737&amp;AJ737</f>
        <v/>
      </c>
      <c r="AI737" s="6">
        <f>YEAR(AK737)</f>
        <v/>
      </c>
      <c r="AJ737" s="6">
        <f>MONTH(AK737)</f>
        <v/>
      </c>
      <c r="AK737" s="267">
        <f>IFERROR(__xludf.DUMMYFUNCTION("""COMPUTED_VALUE"""),43829.9986111111)</f>
        <v/>
      </c>
      <c r="AL737" s="6">
        <f>IFERROR(__xludf.DUMMYFUNCTION("""COMPUTED_VALUE"""),7229.292)</f>
        <v/>
      </c>
      <c r="AP737" s="6">
        <f>AQ737&amp;AR737</f>
        <v/>
      </c>
      <c r="AQ737" s="6">
        <f>YEAR(AS737)</f>
        <v/>
      </c>
      <c r="AR737" s="6">
        <f>MONTH(AS737)</f>
        <v/>
      </c>
      <c r="AS737" s="267">
        <f>IFERROR(__xludf.DUMMYFUNCTION("""COMPUTED_VALUE"""),44174.9986111111)</f>
        <v/>
      </c>
      <c r="AT737" s="6">
        <f>IFERROR(__xludf.DUMMYFUNCTION("""COMPUTED_VALUE"""),1838.5)</f>
        <v/>
      </c>
    </row>
    <row r="738">
      <c r="B738" s="6">
        <f>C738&amp;D738</f>
        <v/>
      </c>
      <c r="C738" s="6">
        <f>YEAR(E738)</f>
        <v/>
      </c>
      <c r="D738" s="6">
        <f>MONTH(E738)</f>
        <v/>
      </c>
      <c r="E738" s="267">
        <f>IFERROR(__xludf.DUMMYFUNCTION("""COMPUTED_VALUE"""),44166.6666666666)</f>
        <v/>
      </c>
      <c r="F738" s="6">
        <f>IFERROR(__xludf.DUMMYFUNCTION("""COMPUTED_VALUE"""),3662.45)</f>
        <v/>
      </c>
      <c r="J738" s="6">
        <f>K738&amp;L738</f>
        <v/>
      </c>
      <c r="K738" s="6">
        <f>YEAR(M738)</f>
        <v/>
      </c>
      <c r="L738" s="6">
        <f>MONTH(M738)</f>
        <v/>
      </c>
      <c r="M738" s="267">
        <f>IFERROR(__xludf.DUMMYFUNCTION("""COMPUTED_VALUE"""),44159.6666666666)</f>
        <v/>
      </c>
      <c r="N738" s="6">
        <f>IFERROR(__xludf.DUMMYFUNCTION("""COMPUTED_VALUE"""),12036.79)</f>
        <v/>
      </c>
      <c r="R738" s="6">
        <f>S738&amp;T738</f>
        <v/>
      </c>
      <c r="S738" s="6">
        <f>YEAR(U738)</f>
        <v/>
      </c>
      <c r="T738" s="6">
        <f>MONTH(U738)</f>
        <v/>
      </c>
      <c r="U738" s="267">
        <f>IFERROR(__xludf.DUMMYFUNCTION("""COMPUTED_VALUE"""),44201.6458333333)</f>
        <v/>
      </c>
      <c r="V738" s="6">
        <f>IFERROR(__xludf.DUMMYFUNCTION("""COMPUTED_VALUE"""),2990.57)</f>
        <v/>
      </c>
      <c r="Z738" s="6">
        <f>AA738&amp;AB738</f>
        <v/>
      </c>
      <c r="AA738" s="6">
        <f>YEAR(AC738)</f>
        <v/>
      </c>
      <c r="AB738" s="6">
        <f>MONTH(AC738)</f>
        <v/>
      </c>
      <c r="AC738" s="267">
        <f>IFERROR(__xludf.DUMMYFUNCTION("""COMPUTED_VALUE"""),43874.9986111111)</f>
        <v/>
      </c>
      <c r="AD738" s="6">
        <f>IFERROR(__xludf.DUMMYFUNCTION("""COMPUTED_VALUE"""),1183.47)</f>
        <v/>
      </c>
      <c r="AH738" s="6">
        <f>AI738&amp;AJ738</f>
        <v/>
      </c>
      <c r="AI738" s="6">
        <f>YEAR(AK738)</f>
        <v/>
      </c>
      <c r="AJ738" s="6">
        <f>MONTH(AK738)</f>
        <v/>
      </c>
      <c r="AK738" s="267">
        <f>IFERROR(__xludf.DUMMYFUNCTION("""COMPUTED_VALUE"""),43830.9986111111)</f>
        <v/>
      </c>
      <c r="AL738" s="6">
        <f>IFERROR(__xludf.DUMMYFUNCTION("""COMPUTED_VALUE"""),7174.535)</f>
        <v/>
      </c>
      <c r="AP738" s="6">
        <f>AQ738&amp;AR738</f>
        <v/>
      </c>
      <c r="AQ738" s="6">
        <f>YEAR(AS738)</f>
        <v/>
      </c>
      <c r="AR738" s="6">
        <f>MONTH(AS738)</f>
        <v/>
      </c>
      <c r="AS738" s="267">
        <f>IFERROR(__xludf.DUMMYFUNCTION("""COMPUTED_VALUE"""),44175.9986111111)</f>
        <v/>
      </c>
      <c r="AT738" s="6">
        <f>IFERROR(__xludf.DUMMYFUNCTION("""COMPUTED_VALUE"""),1837.4)</f>
        <v/>
      </c>
    </row>
    <row r="739">
      <c r="B739" s="6">
        <f>C739&amp;D739</f>
        <v/>
      </c>
      <c r="C739" s="6">
        <f>YEAR(E739)</f>
        <v/>
      </c>
      <c r="D739" s="6">
        <f>MONTH(E739)</f>
        <v/>
      </c>
      <c r="E739" s="267">
        <f>IFERROR(__xludf.DUMMYFUNCTION("""COMPUTED_VALUE"""),44167.6666666666)</f>
        <v/>
      </c>
      <c r="F739" s="6">
        <f>IFERROR(__xludf.DUMMYFUNCTION("""COMPUTED_VALUE"""),3669.01)</f>
        <v/>
      </c>
      <c r="J739" s="6">
        <f>K739&amp;L739</f>
        <v/>
      </c>
      <c r="K739" s="6">
        <f>YEAR(M739)</f>
        <v/>
      </c>
      <c r="L739" s="6">
        <f>MONTH(M739)</f>
        <v/>
      </c>
      <c r="M739" s="267">
        <f>IFERROR(__xludf.DUMMYFUNCTION("""COMPUTED_VALUE"""),44160.6666666666)</f>
        <v/>
      </c>
      <c r="N739" s="6">
        <f>IFERROR(__xludf.DUMMYFUNCTION("""COMPUTED_VALUE"""),12094.4)</f>
        <v/>
      </c>
      <c r="R739" s="6">
        <f>S739&amp;T739</f>
        <v/>
      </c>
      <c r="S739" s="6">
        <f>YEAR(U739)</f>
        <v/>
      </c>
      <c r="T739" s="6">
        <f>MONTH(U739)</f>
        <v/>
      </c>
      <c r="U739" s="267">
        <f>IFERROR(__xludf.DUMMYFUNCTION("""COMPUTED_VALUE"""),44202.6458333333)</f>
        <v/>
      </c>
      <c r="V739" s="6">
        <f>IFERROR(__xludf.DUMMYFUNCTION("""COMPUTED_VALUE"""),2968.21)</f>
        <v/>
      </c>
      <c r="Z739" s="6">
        <f>AA739&amp;AB739</f>
        <v/>
      </c>
      <c r="AA739" s="6">
        <f>YEAR(AC739)</f>
        <v/>
      </c>
      <c r="AB739" s="6">
        <f>MONTH(AC739)</f>
        <v/>
      </c>
      <c r="AC739" s="267">
        <f>IFERROR(__xludf.DUMMYFUNCTION("""COMPUTED_VALUE"""),43875.9986111111)</f>
        <v/>
      </c>
      <c r="AD739" s="6">
        <f>IFERROR(__xludf.DUMMYFUNCTION("""COMPUTED_VALUE"""),1182.18)</f>
        <v/>
      </c>
      <c r="AH739" s="6">
        <f>AI739&amp;AJ739</f>
        <v/>
      </c>
      <c r="AI739" s="6">
        <f>YEAR(AK739)</f>
        <v/>
      </c>
      <c r="AJ739" s="6">
        <f>MONTH(AK739)</f>
        <v/>
      </c>
      <c r="AK739" s="267">
        <f>IFERROR(__xludf.DUMMYFUNCTION("""COMPUTED_VALUE"""),43831.9986111111)</f>
        <v/>
      </c>
      <c r="AL739" s="6">
        <f>IFERROR(__xludf.DUMMYFUNCTION("""COMPUTED_VALUE"""),7185.444)</f>
        <v/>
      </c>
      <c r="AP739" s="6">
        <f>AQ739&amp;AR739</f>
        <v/>
      </c>
      <c r="AQ739" s="6">
        <f>YEAR(AS739)</f>
        <v/>
      </c>
      <c r="AR739" s="6">
        <f>MONTH(AS739)</f>
        <v/>
      </c>
      <c r="AS739" s="267">
        <f>IFERROR(__xludf.DUMMYFUNCTION("""COMPUTED_VALUE"""),44176.9986111111)</f>
        <v/>
      </c>
      <c r="AT739" s="6">
        <f>IFERROR(__xludf.DUMMYFUNCTION("""COMPUTED_VALUE"""),1843.6)</f>
        <v/>
      </c>
    </row>
    <row r="740">
      <c r="B740" s="6">
        <f>C740&amp;D740</f>
        <v/>
      </c>
      <c r="C740" s="6">
        <f>YEAR(E740)</f>
        <v/>
      </c>
      <c r="D740" s="6">
        <f>MONTH(E740)</f>
        <v/>
      </c>
      <c r="E740" s="267">
        <f>IFERROR(__xludf.DUMMYFUNCTION("""COMPUTED_VALUE"""),44168.6666666666)</f>
        <v/>
      </c>
      <c r="F740" s="6">
        <f>IFERROR(__xludf.DUMMYFUNCTION("""COMPUTED_VALUE"""),3666.72)</f>
        <v/>
      </c>
      <c r="J740" s="6">
        <f>K740&amp;L740</f>
        <v/>
      </c>
      <c r="K740" s="6">
        <f>YEAR(M740)</f>
        <v/>
      </c>
      <c r="L740" s="6">
        <f>MONTH(M740)</f>
        <v/>
      </c>
      <c r="M740" s="267">
        <f>IFERROR(__xludf.DUMMYFUNCTION("""COMPUTED_VALUE"""),44162.5416666666)</f>
        <v/>
      </c>
      <c r="N740" s="6">
        <f>IFERROR(__xludf.DUMMYFUNCTION("""COMPUTED_VALUE"""),12205.85)</f>
        <v/>
      </c>
      <c r="R740" s="6">
        <f>S740&amp;T740</f>
        <v/>
      </c>
      <c r="S740" s="6">
        <f>YEAR(U740)</f>
        <v/>
      </c>
      <c r="T740" s="6">
        <f>MONTH(U740)</f>
        <v/>
      </c>
      <c r="U740" s="267">
        <f>IFERROR(__xludf.DUMMYFUNCTION("""COMPUTED_VALUE"""),44203.6458333333)</f>
        <v/>
      </c>
      <c r="V740" s="6">
        <f>IFERROR(__xludf.DUMMYFUNCTION("""COMPUTED_VALUE"""),3031.68)</f>
        <v/>
      </c>
      <c r="Z740" s="6">
        <f>AA740&amp;AB740</f>
        <v/>
      </c>
      <c r="AA740" s="6">
        <f>YEAR(AC740)</f>
        <v/>
      </c>
      <c r="AB740" s="6">
        <f>MONTH(AC740)</f>
        <v/>
      </c>
      <c r="AC740" s="267">
        <f>IFERROR(__xludf.DUMMYFUNCTION("""COMPUTED_VALUE"""),43876.9986111111)</f>
        <v/>
      </c>
      <c r="AD740" s="6">
        <f>IFERROR(__xludf.DUMMYFUNCTION("""COMPUTED_VALUE"""),1182.18)</f>
        <v/>
      </c>
      <c r="AH740" s="6">
        <f>AI740&amp;AJ740</f>
        <v/>
      </c>
      <c r="AI740" s="6">
        <f>YEAR(AK740)</f>
        <v/>
      </c>
      <c r="AJ740" s="6">
        <f>MONTH(AK740)</f>
        <v/>
      </c>
      <c r="AK740" s="267">
        <f>IFERROR(__xludf.DUMMYFUNCTION("""COMPUTED_VALUE"""),43832.9986111111)</f>
        <v/>
      </c>
      <c r="AL740" s="6">
        <f>IFERROR(__xludf.DUMMYFUNCTION("""COMPUTED_VALUE"""),6957.167)</f>
        <v/>
      </c>
      <c r="AP740" s="6">
        <f>AQ740&amp;AR740</f>
        <v/>
      </c>
      <c r="AQ740" s="6">
        <f>YEAR(AS740)</f>
        <v/>
      </c>
      <c r="AR740" s="6">
        <f>MONTH(AS740)</f>
        <v/>
      </c>
      <c r="AS740" s="267">
        <f>IFERROR(__xludf.DUMMYFUNCTION("""COMPUTED_VALUE"""),44179.9986111111)</f>
        <v/>
      </c>
      <c r="AT740" s="6">
        <f>IFERROR(__xludf.DUMMYFUNCTION("""COMPUTED_VALUE"""),1832.1)</f>
        <v/>
      </c>
    </row>
    <row r="741">
      <c r="B741" s="6">
        <f>C741&amp;D741</f>
        <v/>
      </c>
      <c r="C741" s="6">
        <f>YEAR(E741)</f>
        <v/>
      </c>
      <c r="D741" s="6">
        <f>MONTH(E741)</f>
        <v/>
      </c>
      <c r="E741" s="267">
        <f>IFERROR(__xludf.DUMMYFUNCTION("""COMPUTED_VALUE"""),44169.6666666666)</f>
        <v/>
      </c>
      <c r="F741" s="6">
        <f>IFERROR(__xludf.DUMMYFUNCTION("""COMPUTED_VALUE"""),3699.12)</f>
        <v/>
      </c>
      <c r="J741" s="6">
        <f>K741&amp;L741</f>
        <v/>
      </c>
      <c r="K741" s="6">
        <f>YEAR(M741)</f>
        <v/>
      </c>
      <c r="L741" s="6">
        <f>MONTH(M741)</f>
        <v/>
      </c>
      <c r="M741" s="267">
        <f>IFERROR(__xludf.DUMMYFUNCTION("""COMPUTED_VALUE"""),44165.6666666666)</f>
        <v/>
      </c>
      <c r="N741" s="6">
        <f>IFERROR(__xludf.DUMMYFUNCTION("""COMPUTED_VALUE"""),12198.74)</f>
        <v/>
      </c>
      <c r="R741" s="6">
        <f>S741&amp;T741</f>
        <v/>
      </c>
      <c r="S741" s="6">
        <f>YEAR(U741)</f>
        <v/>
      </c>
      <c r="T741" s="6">
        <f>MONTH(U741)</f>
        <v/>
      </c>
      <c r="U741" s="267">
        <f>IFERROR(__xludf.DUMMYFUNCTION("""COMPUTED_VALUE"""),44204.6458333333)</f>
        <v/>
      </c>
      <c r="V741" s="6">
        <f>IFERROR(__xludf.DUMMYFUNCTION("""COMPUTED_VALUE"""),3152.18)</f>
        <v/>
      </c>
      <c r="Z741" s="6">
        <f>AA741&amp;AB741</f>
        <v/>
      </c>
      <c r="AA741" s="6">
        <f>YEAR(AC741)</f>
        <v/>
      </c>
      <c r="AB741" s="6">
        <f>MONTH(AC741)</f>
        <v/>
      </c>
      <c r="AC741" s="267">
        <f>IFERROR(__xludf.DUMMYFUNCTION("""COMPUTED_VALUE"""),43877.9986111111)</f>
        <v/>
      </c>
      <c r="AD741" s="6">
        <f>IFERROR(__xludf.DUMMYFUNCTION("""COMPUTED_VALUE"""),1182.18)</f>
        <v/>
      </c>
      <c r="AH741" s="6">
        <f>AI741&amp;AJ741</f>
        <v/>
      </c>
      <c r="AI741" s="6">
        <f>YEAR(AK741)</f>
        <v/>
      </c>
      <c r="AJ741" s="6">
        <f>MONTH(AK741)</f>
        <v/>
      </c>
      <c r="AK741" s="267">
        <f>IFERROR(__xludf.DUMMYFUNCTION("""COMPUTED_VALUE"""),43833.9986111111)</f>
        <v/>
      </c>
      <c r="AL741" s="6">
        <f>IFERROR(__xludf.DUMMYFUNCTION("""COMPUTED_VALUE"""),7335.04)</f>
        <v/>
      </c>
      <c r="AP741" s="6">
        <f>AQ741&amp;AR741</f>
        <v/>
      </c>
      <c r="AQ741" s="6">
        <f>YEAR(AS741)</f>
        <v/>
      </c>
      <c r="AR741" s="6">
        <f>MONTH(AS741)</f>
        <v/>
      </c>
      <c r="AS741" s="267">
        <f>IFERROR(__xludf.DUMMYFUNCTION("""COMPUTED_VALUE"""),44180.9986111111)</f>
        <v/>
      </c>
      <c r="AT741" s="6">
        <f>IFERROR(__xludf.DUMMYFUNCTION("""COMPUTED_VALUE"""),1855.3)</f>
        <v/>
      </c>
    </row>
    <row r="742">
      <c r="B742" s="6">
        <f>C742&amp;D742</f>
        <v/>
      </c>
      <c r="C742" s="6">
        <f>YEAR(E742)</f>
        <v/>
      </c>
      <c r="D742" s="6">
        <f>MONTH(E742)</f>
        <v/>
      </c>
      <c r="E742" s="267">
        <f>IFERROR(__xludf.DUMMYFUNCTION("""COMPUTED_VALUE"""),44172.6666666666)</f>
        <v/>
      </c>
      <c r="F742" s="6">
        <f>IFERROR(__xludf.DUMMYFUNCTION("""COMPUTED_VALUE"""),3691.96)</f>
        <v/>
      </c>
      <c r="J742" s="6">
        <f>K742&amp;L742</f>
        <v/>
      </c>
      <c r="K742" s="6">
        <f>YEAR(M742)</f>
        <v/>
      </c>
      <c r="L742" s="6">
        <f>MONTH(M742)</f>
        <v/>
      </c>
      <c r="M742" s="267">
        <f>IFERROR(__xludf.DUMMYFUNCTION("""COMPUTED_VALUE"""),44166.6666666666)</f>
        <v/>
      </c>
      <c r="N742" s="6">
        <f>IFERROR(__xludf.DUMMYFUNCTION("""COMPUTED_VALUE"""),12355.11)</f>
        <v/>
      </c>
      <c r="R742" s="6">
        <f>S742&amp;T742</f>
        <v/>
      </c>
      <c r="S742" s="6">
        <f>YEAR(U742)</f>
        <v/>
      </c>
      <c r="T742" s="6">
        <f>MONTH(U742)</f>
        <v/>
      </c>
      <c r="U742" s="267">
        <f>IFERROR(__xludf.DUMMYFUNCTION("""COMPUTED_VALUE"""),44207.6458333333)</f>
        <v/>
      </c>
      <c r="V742" s="6">
        <f>IFERROR(__xludf.DUMMYFUNCTION("""COMPUTED_VALUE"""),3148.45)</f>
        <v/>
      </c>
      <c r="Z742" s="6">
        <f>AA742&amp;AB742</f>
        <v/>
      </c>
      <c r="AA742" s="6">
        <f>YEAR(AC742)</f>
        <v/>
      </c>
      <c r="AB742" s="6">
        <f>MONTH(AC742)</f>
        <v/>
      </c>
      <c r="AC742" s="267">
        <f>IFERROR(__xludf.DUMMYFUNCTION("""COMPUTED_VALUE"""),43878.9986111111)</f>
        <v/>
      </c>
      <c r="AD742" s="6">
        <f>IFERROR(__xludf.DUMMYFUNCTION("""COMPUTED_VALUE"""),1183.81)</f>
        <v/>
      </c>
      <c r="AH742" s="6">
        <f>AI742&amp;AJ742</f>
        <v/>
      </c>
      <c r="AI742" s="6">
        <f>YEAR(AK742)</f>
        <v/>
      </c>
      <c r="AJ742" s="6">
        <f>MONTH(AK742)</f>
        <v/>
      </c>
      <c r="AK742" s="267">
        <f>IFERROR(__xludf.DUMMYFUNCTION("""COMPUTED_VALUE"""),43834.9986111111)</f>
        <v/>
      </c>
      <c r="AL742" s="6">
        <f>IFERROR(__xludf.DUMMYFUNCTION("""COMPUTED_VALUE"""),7355.388)</f>
        <v/>
      </c>
      <c r="AP742" s="6">
        <f>AQ742&amp;AR742</f>
        <v/>
      </c>
      <c r="AQ742" s="6">
        <f>YEAR(AS742)</f>
        <v/>
      </c>
      <c r="AR742" s="6">
        <f>MONTH(AS742)</f>
        <v/>
      </c>
      <c r="AS742" s="267">
        <f>IFERROR(__xludf.DUMMYFUNCTION("""COMPUTED_VALUE"""),44181.9986111111)</f>
        <v/>
      </c>
      <c r="AT742" s="6">
        <f>IFERROR(__xludf.DUMMYFUNCTION("""COMPUTED_VALUE"""),1859.1)</f>
        <v/>
      </c>
    </row>
    <row r="743">
      <c r="B743" s="6">
        <f>C743&amp;D743</f>
        <v/>
      </c>
      <c r="C743" s="6">
        <f>YEAR(E743)</f>
        <v/>
      </c>
      <c r="D743" s="6">
        <f>MONTH(E743)</f>
        <v/>
      </c>
      <c r="E743" s="267">
        <f>IFERROR(__xludf.DUMMYFUNCTION("""COMPUTED_VALUE"""),44173.6666666666)</f>
        <v/>
      </c>
      <c r="F743" s="6">
        <f>IFERROR(__xludf.DUMMYFUNCTION("""COMPUTED_VALUE"""),3702.25)</f>
        <v/>
      </c>
      <c r="J743" s="6">
        <f>K743&amp;L743</f>
        <v/>
      </c>
      <c r="K743" s="6">
        <f>YEAR(M743)</f>
        <v/>
      </c>
      <c r="L743" s="6">
        <f>MONTH(M743)</f>
        <v/>
      </c>
      <c r="M743" s="267">
        <f>IFERROR(__xludf.DUMMYFUNCTION("""COMPUTED_VALUE"""),44167.6666666666)</f>
        <v/>
      </c>
      <c r="N743" s="6">
        <f>IFERROR(__xludf.DUMMYFUNCTION("""COMPUTED_VALUE"""),12349.37)</f>
        <v/>
      </c>
      <c r="R743" s="6">
        <f>S743&amp;T743</f>
        <v/>
      </c>
      <c r="S743" s="6">
        <f>YEAR(U743)</f>
        <v/>
      </c>
      <c r="T743" s="6">
        <f>MONTH(U743)</f>
        <v/>
      </c>
      <c r="U743" s="267">
        <f>IFERROR(__xludf.DUMMYFUNCTION("""COMPUTED_VALUE"""),44208.6458333333)</f>
        <v/>
      </c>
      <c r="V743" s="6">
        <f>IFERROR(__xludf.DUMMYFUNCTION("""COMPUTED_VALUE"""),3125.95)</f>
        <v/>
      </c>
      <c r="Z743" s="6">
        <f>AA743&amp;AB743</f>
        <v/>
      </c>
      <c r="AA743" s="6">
        <f>YEAR(AC743)</f>
        <v/>
      </c>
      <c r="AB743" s="6">
        <f>MONTH(AC743)</f>
        <v/>
      </c>
      <c r="AC743" s="267">
        <f>IFERROR(__xludf.DUMMYFUNCTION("""COMPUTED_VALUE"""),43879.9986111111)</f>
        <v/>
      </c>
      <c r="AD743" s="6">
        <f>IFERROR(__xludf.DUMMYFUNCTION("""COMPUTED_VALUE"""),1189.93)</f>
        <v/>
      </c>
      <c r="AH743" s="6">
        <f>AI743&amp;AJ743</f>
        <v/>
      </c>
      <c r="AI743" s="6">
        <f>YEAR(AK743)</f>
        <v/>
      </c>
      <c r="AJ743" s="6">
        <f>MONTH(AK743)</f>
        <v/>
      </c>
      <c r="AK743" s="267">
        <f>IFERROR(__xludf.DUMMYFUNCTION("""COMPUTED_VALUE"""),43835.9986111111)</f>
        <v/>
      </c>
      <c r="AL743" s="6">
        <f>IFERROR(__xludf.DUMMYFUNCTION("""COMPUTED_VALUE"""),7353.388)</f>
        <v/>
      </c>
      <c r="AP743" s="6">
        <f>AQ743&amp;AR743</f>
        <v/>
      </c>
      <c r="AQ743" s="6">
        <f>YEAR(AS743)</f>
        <v/>
      </c>
      <c r="AR743" s="6">
        <f>MONTH(AS743)</f>
        <v/>
      </c>
      <c r="AS743" s="267">
        <f>IFERROR(__xludf.DUMMYFUNCTION("""COMPUTED_VALUE"""),44182.9986111111)</f>
        <v/>
      </c>
      <c r="AT743" s="6">
        <f>IFERROR(__xludf.DUMMYFUNCTION("""COMPUTED_VALUE"""),1890.4)</f>
        <v/>
      </c>
    </row>
    <row r="744">
      <c r="B744" s="6">
        <f>C744&amp;D744</f>
        <v/>
      </c>
      <c r="C744" s="6">
        <f>YEAR(E744)</f>
        <v/>
      </c>
      <c r="D744" s="6">
        <f>MONTH(E744)</f>
        <v/>
      </c>
      <c r="E744" s="267">
        <f>IFERROR(__xludf.DUMMYFUNCTION("""COMPUTED_VALUE"""),44174.6666666666)</f>
        <v/>
      </c>
      <c r="F744" s="6">
        <f>IFERROR(__xludf.DUMMYFUNCTION("""COMPUTED_VALUE"""),3672.82)</f>
        <v/>
      </c>
      <c r="J744" s="6">
        <f>K744&amp;L744</f>
        <v/>
      </c>
      <c r="K744" s="6">
        <f>YEAR(M744)</f>
        <v/>
      </c>
      <c r="L744" s="6">
        <f>MONTH(M744)</f>
        <v/>
      </c>
      <c r="M744" s="267">
        <f>IFERROR(__xludf.DUMMYFUNCTION("""COMPUTED_VALUE"""),44168.6666666666)</f>
        <v/>
      </c>
      <c r="N744" s="6">
        <f>IFERROR(__xludf.DUMMYFUNCTION("""COMPUTED_VALUE"""),12377.18)</f>
        <v/>
      </c>
      <c r="R744" s="6">
        <f>S744&amp;T744</f>
        <v/>
      </c>
      <c r="S744" s="6">
        <f>YEAR(U744)</f>
        <v/>
      </c>
      <c r="T744" s="6">
        <f>MONTH(U744)</f>
        <v/>
      </c>
      <c r="U744" s="267">
        <f>IFERROR(__xludf.DUMMYFUNCTION("""COMPUTED_VALUE"""),44209.6458333333)</f>
        <v/>
      </c>
      <c r="V744" s="6">
        <f>IFERROR(__xludf.DUMMYFUNCTION("""COMPUTED_VALUE"""),3148.29)</f>
        <v/>
      </c>
      <c r="Z744" s="6">
        <f>AA744&amp;AB744</f>
        <v/>
      </c>
      <c r="AA744" s="6">
        <f>YEAR(AC744)</f>
        <v/>
      </c>
      <c r="AB744" s="6">
        <f>MONTH(AC744)</f>
        <v/>
      </c>
      <c r="AC744" s="267">
        <f>IFERROR(__xludf.DUMMYFUNCTION("""COMPUTED_VALUE"""),43880.9986111111)</f>
        <v/>
      </c>
      <c r="AD744" s="6">
        <f>IFERROR(__xludf.DUMMYFUNCTION("""COMPUTED_VALUE"""),1191.37)</f>
        <v/>
      </c>
      <c r="AH744" s="6">
        <f>AI744&amp;AJ744</f>
        <v/>
      </c>
      <c r="AI744" s="6">
        <f>YEAR(AK744)</f>
        <v/>
      </c>
      <c r="AJ744" s="6">
        <f>MONTH(AK744)</f>
        <v/>
      </c>
      <c r="AK744" s="267">
        <f>IFERROR(__xludf.DUMMYFUNCTION("""COMPUTED_VALUE"""),43836.9986111111)</f>
        <v/>
      </c>
      <c r="AL744" s="6">
        <f>IFERROR(__xludf.DUMMYFUNCTION("""COMPUTED_VALUE"""),7760.68)</f>
        <v/>
      </c>
      <c r="AP744" s="6">
        <f>AQ744&amp;AR744</f>
        <v/>
      </c>
      <c r="AQ744" s="6">
        <f>YEAR(AS744)</f>
        <v/>
      </c>
      <c r="AR744" s="6">
        <f>MONTH(AS744)</f>
        <v/>
      </c>
      <c r="AS744" s="267">
        <f>IFERROR(__xludf.DUMMYFUNCTION("""COMPUTED_VALUE"""),44183.9986111111)</f>
        <v/>
      </c>
      <c r="AT744" s="6">
        <f>IFERROR(__xludf.DUMMYFUNCTION("""COMPUTED_VALUE"""),1888.9)</f>
        <v/>
      </c>
    </row>
    <row r="745">
      <c r="B745" s="6">
        <f>C745&amp;D745</f>
        <v/>
      </c>
      <c r="C745" s="6">
        <f>YEAR(E745)</f>
        <v/>
      </c>
      <c r="D745" s="6">
        <f>MONTH(E745)</f>
        <v/>
      </c>
      <c r="E745" s="267">
        <f>IFERROR(__xludf.DUMMYFUNCTION("""COMPUTED_VALUE"""),44175.6666666666)</f>
        <v/>
      </c>
      <c r="F745" s="6">
        <f>IFERROR(__xludf.DUMMYFUNCTION("""COMPUTED_VALUE"""),3668.1)</f>
        <v/>
      </c>
      <c r="J745" s="6">
        <f>K745&amp;L745</f>
        <v/>
      </c>
      <c r="K745" s="6">
        <f>YEAR(M745)</f>
        <v/>
      </c>
      <c r="L745" s="6">
        <f>MONTH(M745)</f>
        <v/>
      </c>
      <c r="M745" s="267">
        <f>IFERROR(__xludf.DUMMYFUNCTION("""COMPUTED_VALUE"""),44169.6666666666)</f>
        <v/>
      </c>
      <c r="N745" s="6">
        <f>IFERROR(__xludf.DUMMYFUNCTION("""COMPUTED_VALUE"""),12464.23)</f>
        <v/>
      </c>
      <c r="R745" s="6">
        <f>S745&amp;T745</f>
        <v/>
      </c>
      <c r="S745" s="6">
        <f>YEAR(U745)</f>
        <v/>
      </c>
      <c r="T745" s="6">
        <f>MONTH(U745)</f>
        <v/>
      </c>
      <c r="U745" s="267">
        <f>IFERROR(__xludf.DUMMYFUNCTION("""COMPUTED_VALUE"""),44210.6458333333)</f>
        <v/>
      </c>
      <c r="V745" s="6">
        <f>IFERROR(__xludf.DUMMYFUNCTION("""COMPUTED_VALUE"""),3149.93)</f>
        <v/>
      </c>
      <c r="Z745" s="6">
        <f>AA745&amp;AB745</f>
        <v/>
      </c>
      <c r="AA745" s="6">
        <f>YEAR(AC745)</f>
        <v/>
      </c>
      <c r="AB745" s="6">
        <f>MONTH(AC745)</f>
        <v/>
      </c>
      <c r="AC745" s="267">
        <f>IFERROR(__xludf.DUMMYFUNCTION("""COMPUTED_VALUE"""),43881.9986111111)</f>
        <v/>
      </c>
      <c r="AD745" s="6">
        <f>IFERROR(__xludf.DUMMYFUNCTION("""COMPUTED_VALUE"""),1204.4)</f>
        <v/>
      </c>
      <c r="AH745" s="6">
        <f>AI745&amp;AJ745</f>
        <v/>
      </c>
      <c r="AI745" s="6">
        <f>YEAR(AK745)</f>
        <v/>
      </c>
      <c r="AJ745" s="6">
        <f>MONTH(AK745)</f>
        <v/>
      </c>
      <c r="AK745" s="267">
        <f>IFERROR(__xludf.DUMMYFUNCTION("""COMPUTED_VALUE"""),43837.9986111111)</f>
        <v/>
      </c>
      <c r="AL745" s="6">
        <f>IFERROR(__xludf.DUMMYFUNCTION("""COMPUTED_VALUE"""),8158.987)</f>
        <v/>
      </c>
      <c r="AP745" s="6">
        <f>AQ745&amp;AR745</f>
        <v/>
      </c>
      <c r="AQ745" s="6">
        <f>YEAR(AS745)</f>
        <v/>
      </c>
      <c r="AR745" s="6">
        <f>MONTH(AS745)</f>
        <v/>
      </c>
      <c r="AS745" s="267">
        <f>IFERROR(__xludf.DUMMYFUNCTION("""COMPUTED_VALUE"""),44186.9986111111)</f>
        <v/>
      </c>
      <c r="AT745" s="6">
        <f>IFERROR(__xludf.DUMMYFUNCTION("""COMPUTED_VALUE"""),1882.8)</f>
        <v/>
      </c>
    </row>
    <row r="746">
      <c r="B746" s="6">
        <f>C746&amp;D746</f>
        <v/>
      </c>
      <c r="C746" s="6">
        <f>YEAR(E746)</f>
        <v/>
      </c>
      <c r="D746" s="6">
        <f>MONTH(E746)</f>
        <v/>
      </c>
      <c r="E746" s="267">
        <f>IFERROR(__xludf.DUMMYFUNCTION("""COMPUTED_VALUE"""),44176.6666666666)</f>
        <v/>
      </c>
      <c r="F746" s="6">
        <f>IFERROR(__xludf.DUMMYFUNCTION("""COMPUTED_VALUE"""),3663.46)</f>
        <v/>
      </c>
      <c r="J746" s="6">
        <f>K746&amp;L746</f>
        <v/>
      </c>
      <c r="K746" s="6">
        <f>YEAR(M746)</f>
        <v/>
      </c>
      <c r="L746" s="6">
        <f>MONTH(M746)</f>
        <v/>
      </c>
      <c r="M746" s="267">
        <f>IFERROR(__xludf.DUMMYFUNCTION("""COMPUTED_VALUE"""),44172.6666666666)</f>
        <v/>
      </c>
      <c r="N746" s="6">
        <f>IFERROR(__xludf.DUMMYFUNCTION("""COMPUTED_VALUE"""),12519.95)</f>
        <v/>
      </c>
      <c r="R746" s="6">
        <f>S746&amp;T746</f>
        <v/>
      </c>
      <c r="S746" s="6">
        <f>YEAR(U746)</f>
        <v/>
      </c>
      <c r="T746" s="6">
        <f>MONTH(U746)</f>
        <v/>
      </c>
      <c r="U746" s="267">
        <f>IFERROR(__xludf.DUMMYFUNCTION("""COMPUTED_VALUE"""),44211.6458333333)</f>
        <v/>
      </c>
      <c r="V746" s="6">
        <f>IFERROR(__xludf.DUMMYFUNCTION("""COMPUTED_VALUE"""),3085.9)</f>
        <v/>
      </c>
      <c r="Z746" s="6">
        <f>AA746&amp;AB746</f>
        <v/>
      </c>
      <c r="AA746" s="6">
        <f>YEAR(AC746)</f>
        <v/>
      </c>
      <c r="AB746" s="6">
        <f>MONTH(AC746)</f>
        <v/>
      </c>
      <c r="AC746" s="267">
        <f>IFERROR(__xludf.DUMMYFUNCTION("""COMPUTED_VALUE"""),43882.9986111111)</f>
        <v/>
      </c>
      <c r="AD746" s="6">
        <f>IFERROR(__xludf.DUMMYFUNCTION("""COMPUTED_VALUE"""),1205.77)</f>
        <v/>
      </c>
      <c r="AH746" s="6">
        <f>AI746&amp;AJ746</f>
        <v/>
      </c>
      <c r="AI746" s="6">
        <f>YEAR(AK746)</f>
        <v/>
      </c>
      <c r="AJ746" s="6">
        <f>MONTH(AK746)</f>
        <v/>
      </c>
      <c r="AK746" s="267">
        <f>IFERROR(__xludf.DUMMYFUNCTION("""COMPUTED_VALUE"""),43838.9986111111)</f>
        <v/>
      </c>
      <c r="AL746" s="6">
        <f>IFERROR(__xludf.DUMMYFUNCTION("""COMPUTED_VALUE"""),8043.438)</f>
        <v/>
      </c>
      <c r="AP746" s="6">
        <f>AQ746&amp;AR746</f>
        <v/>
      </c>
      <c r="AQ746" s="6">
        <f>YEAR(AS746)</f>
        <v/>
      </c>
      <c r="AR746" s="6">
        <f>MONTH(AS746)</f>
        <v/>
      </c>
      <c r="AS746" s="267">
        <f>IFERROR(__xludf.DUMMYFUNCTION("""COMPUTED_VALUE"""),44187.9986111111)</f>
        <v/>
      </c>
      <c r="AT746" s="6">
        <f>IFERROR(__xludf.DUMMYFUNCTION("""COMPUTED_VALUE"""),1870.3)</f>
        <v/>
      </c>
    </row>
    <row r="747">
      <c r="B747" s="6">
        <f>C747&amp;D747</f>
        <v/>
      </c>
      <c r="C747" s="6">
        <f>YEAR(E747)</f>
        <v/>
      </c>
      <c r="D747" s="6">
        <f>MONTH(E747)</f>
        <v/>
      </c>
      <c r="E747" s="267">
        <f>IFERROR(__xludf.DUMMYFUNCTION("""COMPUTED_VALUE"""),44179.6666666666)</f>
        <v/>
      </c>
      <c r="F747" s="6">
        <f>IFERROR(__xludf.DUMMYFUNCTION("""COMPUTED_VALUE"""),3647.49)</f>
        <v/>
      </c>
      <c r="J747" s="6">
        <f>K747&amp;L747</f>
        <v/>
      </c>
      <c r="K747" s="6">
        <f>YEAR(M747)</f>
        <v/>
      </c>
      <c r="L747" s="6">
        <f>MONTH(M747)</f>
        <v/>
      </c>
      <c r="M747" s="267">
        <f>IFERROR(__xludf.DUMMYFUNCTION("""COMPUTED_VALUE"""),44173.6666666666)</f>
        <v/>
      </c>
      <c r="N747" s="6">
        <f>IFERROR(__xludf.DUMMYFUNCTION("""COMPUTED_VALUE"""),12582.77)</f>
        <v/>
      </c>
      <c r="R747" s="6">
        <f>S747&amp;T747</f>
        <v/>
      </c>
      <c r="S747" s="6">
        <f>YEAR(U747)</f>
        <v/>
      </c>
      <c r="T747" s="6">
        <f>MONTH(U747)</f>
        <v/>
      </c>
      <c r="U747" s="267">
        <f>IFERROR(__xludf.DUMMYFUNCTION("""COMPUTED_VALUE"""),44214.6458333333)</f>
        <v/>
      </c>
      <c r="V747" s="6">
        <f>IFERROR(__xludf.DUMMYFUNCTION("""COMPUTED_VALUE"""),3013.93)</f>
        <v/>
      </c>
      <c r="Z747" s="6">
        <f>AA747&amp;AB747</f>
        <v/>
      </c>
      <c r="AA747" s="6">
        <f>YEAR(AC747)</f>
        <v/>
      </c>
      <c r="AB747" s="6">
        <f>MONTH(AC747)</f>
        <v/>
      </c>
      <c r="AC747" s="267">
        <f>IFERROR(__xludf.DUMMYFUNCTION("""COMPUTED_VALUE"""),43883.9986111111)</f>
        <v/>
      </c>
      <c r="AD747" s="6">
        <f>IFERROR(__xludf.DUMMYFUNCTION("""COMPUTED_VALUE"""),1205.77)</f>
        <v/>
      </c>
      <c r="AH747" s="6">
        <f>AI747&amp;AJ747</f>
        <v/>
      </c>
      <c r="AI747" s="6">
        <f>YEAR(AK747)</f>
        <v/>
      </c>
      <c r="AJ747" s="6">
        <f>MONTH(AK747)</f>
        <v/>
      </c>
      <c r="AK747" s="267">
        <f>IFERROR(__xludf.DUMMYFUNCTION("""COMPUTED_VALUE"""),43839.9986111111)</f>
        <v/>
      </c>
      <c r="AL747" s="6">
        <f>IFERROR(__xludf.DUMMYFUNCTION("""COMPUTED_VALUE"""),7815.659)</f>
        <v/>
      </c>
      <c r="AP747" s="6">
        <f>AQ747&amp;AR747</f>
        <v/>
      </c>
      <c r="AQ747" s="6">
        <f>YEAR(AS747)</f>
        <v/>
      </c>
      <c r="AR747" s="6">
        <f>MONTH(AS747)</f>
        <v/>
      </c>
      <c r="AS747" s="267">
        <f>IFERROR(__xludf.DUMMYFUNCTION("""COMPUTED_VALUE"""),44188.9986111111)</f>
        <v/>
      </c>
      <c r="AT747" s="6">
        <f>IFERROR(__xludf.DUMMYFUNCTION("""COMPUTED_VALUE"""),1878.1)</f>
        <v/>
      </c>
    </row>
    <row r="748">
      <c r="B748" s="6">
        <f>C748&amp;D748</f>
        <v/>
      </c>
      <c r="C748" s="6">
        <f>YEAR(E748)</f>
        <v/>
      </c>
      <c r="D748" s="6">
        <f>MONTH(E748)</f>
        <v/>
      </c>
      <c r="E748" s="267">
        <f>IFERROR(__xludf.DUMMYFUNCTION("""COMPUTED_VALUE"""),44180.6666666666)</f>
        <v/>
      </c>
      <c r="F748" s="6">
        <f>IFERROR(__xludf.DUMMYFUNCTION("""COMPUTED_VALUE"""),3694.62)</f>
        <v/>
      </c>
      <c r="J748" s="6">
        <f>K748&amp;L748</f>
        <v/>
      </c>
      <c r="K748" s="6">
        <f>YEAR(M748)</f>
        <v/>
      </c>
      <c r="L748" s="6">
        <f>MONTH(M748)</f>
        <v/>
      </c>
      <c r="M748" s="267">
        <f>IFERROR(__xludf.DUMMYFUNCTION("""COMPUTED_VALUE"""),44174.6666666666)</f>
        <v/>
      </c>
      <c r="N748" s="6">
        <f>IFERROR(__xludf.DUMMYFUNCTION("""COMPUTED_VALUE"""),12338.95)</f>
        <v/>
      </c>
      <c r="R748" s="6">
        <f>S748&amp;T748</f>
        <v/>
      </c>
      <c r="S748" s="6">
        <f>YEAR(U748)</f>
        <v/>
      </c>
      <c r="T748" s="6">
        <f>MONTH(U748)</f>
        <v/>
      </c>
      <c r="U748" s="267">
        <f>IFERROR(__xludf.DUMMYFUNCTION("""COMPUTED_VALUE"""),44215.6458333333)</f>
        <v/>
      </c>
      <c r="V748" s="6">
        <f>IFERROR(__xludf.DUMMYFUNCTION("""COMPUTED_VALUE"""),3092.66)</f>
        <v/>
      </c>
      <c r="Z748" s="6">
        <f>AA748&amp;AB748</f>
        <v/>
      </c>
      <c r="AA748" s="6">
        <f>YEAR(AC748)</f>
        <v/>
      </c>
      <c r="AB748" s="6">
        <f>MONTH(AC748)</f>
        <v/>
      </c>
      <c r="AC748" s="267">
        <f>IFERROR(__xludf.DUMMYFUNCTION("""COMPUTED_VALUE"""),43884.9986111111)</f>
        <v/>
      </c>
      <c r="AD748" s="6">
        <f>IFERROR(__xludf.DUMMYFUNCTION("""COMPUTED_VALUE"""),1205.77)</f>
        <v/>
      </c>
      <c r="AH748" s="6">
        <f>AI748&amp;AJ748</f>
        <v/>
      </c>
      <c r="AI748" s="6">
        <f>YEAR(AK748)</f>
        <v/>
      </c>
      <c r="AJ748" s="6">
        <f>MONTH(AK748)</f>
        <v/>
      </c>
      <c r="AK748" s="267">
        <f>IFERROR(__xludf.DUMMYFUNCTION("""COMPUTED_VALUE"""),43840.9986111111)</f>
        <v/>
      </c>
      <c r="AL748" s="6">
        <f>IFERROR(__xludf.DUMMYFUNCTION("""COMPUTED_VALUE"""),8189.217)</f>
        <v/>
      </c>
      <c r="AP748" s="6">
        <f>AQ748&amp;AR748</f>
        <v/>
      </c>
      <c r="AQ748" s="6">
        <f>YEAR(AS748)</f>
        <v/>
      </c>
      <c r="AR748" s="6">
        <f>MONTH(AS748)</f>
        <v/>
      </c>
      <c r="AS748" s="267">
        <f>IFERROR(__xludf.DUMMYFUNCTION("""COMPUTED_VALUE"""),44189.5416666666)</f>
        <v/>
      </c>
      <c r="AT748" s="6">
        <f>IFERROR(__xludf.DUMMYFUNCTION("""COMPUTED_VALUE"""),1883.2)</f>
        <v/>
      </c>
    </row>
    <row r="749">
      <c r="B749" s="6">
        <f>C749&amp;D749</f>
        <v/>
      </c>
      <c r="C749" s="6">
        <f>YEAR(E749)</f>
        <v/>
      </c>
      <c r="D749" s="6">
        <f>MONTH(E749)</f>
        <v/>
      </c>
      <c r="E749" s="267">
        <f>IFERROR(__xludf.DUMMYFUNCTION("""COMPUTED_VALUE"""),44181.6666666666)</f>
        <v/>
      </c>
      <c r="F749" s="6">
        <f>IFERROR(__xludf.DUMMYFUNCTION("""COMPUTED_VALUE"""),3701.17)</f>
        <v/>
      </c>
      <c r="J749" s="6">
        <f>K749&amp;L749</f>
        <v/>
      </c>
      <c r="K749" s="6">
        <f>YEAR(M749)</f>
        <v/>
      </c>
      <c r="L749" s="6">
        <f>MONTH(M749)</f>
        <v/>
      </c>
      <c r="M749" s="267">
        <f>IFERROR(__xludf.DUMMYFUNCTION("""COMPUTED_VALUE"""),44175.6666666666)</f>
        <v/>
      </c>
      <c r="N749" s="6">
        <f>IFERROR(__xludf.DUMMYFUNCTION("""COMPUTED_VALUE"""),12405.81)</f>
        <v/>
      </c>
      <c r="R749" s="6">
        <f>S749&amp;T749</f>
        <v/>
      </c>
      <c r="S749" s="6">
        <f>YEAR(U749)</f>
        <v/>
      </c>
      <c r="T749" s="6">
        <f>MONTH(U749)</f>
        <v/>
      </c>
      <c r="U749" s="267">
        <f>IFERROR(__xludf.DUMMYFUNCTION("""COMPUTED_VALUE"""),44216.6458333333)</f>
        <v/>
      </c>
      <c r="V749" s="6">
        <f>IFERROR(__xludf.DUMMYFUNCTION("""COMPUTED_VALUE"""),3114.55)</f>
        <v/>
      </c>
      <c r="Z749" s="6">
        <f>AA749&amp;AB749</f>
        <v/>
      </c>
      <c r="AA749" s="6">
        <f>YEAR(AC749)</f>
        <v/>
      </c>
      <c r="AB749" s="6">
        <f>MONTH(AC749)</f>
        <v/>
      </c>
      <c r="AC749" s="267">
        <f>IFERROR(__xludf.DUMMYFUNCTION("""COMPUTED_VALUE"""),43885.9986111111)</f>
        <v/>
      </c>
      <c r="AD749" s="6">
        <f>IFERROR(__xludf.DUMMYFUNCTION("""COMPUTED_VALUE"""),1217.65)</f>
        <v/>
      </c>
      <c r="AH749" s="6">
        <f>AI749&amp;AJ749</f>
        <v/>
      </c>
      <c r="AI749" s="6">
        <f>YEAR(AK749)</f>
        <v/>
      </c>
      <c r="AJ749" s="6">
        <f>MONTH(AK749)</f>
        <v/>
      </c>
      <c r="AK749" s="267">
        <f>IFERROR(__xludf.DUMMYFUNCTION("""COMPUTED_VALUE"""),43841.9986111111)</f>
        <v/>
      </c>
      <c r="AL749" s="6">
        <f>IFERROR(__xludf.DUMMYFUNCTION("""COMPUTED_VALUE"""),8020.982)</f>
        <v/>
      </c>
      <c r="AP749" s="6">
        <f>AQ749&amp;AR749</f>
        <v/>
      </c>
      <c r="AQ749" s="6">
        <f>YEAR(AS749)</f>
        <v/>
      </c>
      <c r="AR749" s="6">
        <f>MONTH(AS749)</f>
        <v/>
      </c>
      <c r="AS749" s="267">
        <f>IFERROR(__xludf.DUMMYFUNCTION("""COMPUTED_VALUE"""),44193.9986111111)</f>
        <v/>
      </c>
      <c r="AT749" s="6">
        <f>IFERROR(__xludf.DUMMYFUNCTION("""COMPUTED_VALUE"""),1880.4)</f>
        <v/>
      </c>
    </row>
    <row r="750">
      <c r="B750" s="6">
        <f>C750&amp;D750</f>
        <v/>
      </c>
      <c r="C750" s="6">
        <f>YEAR(E750)</f>
        <v/>
      </c>
      <c r="D750" s="6">
        <f>MONTH(E750)</f>
        <v/>
      </c>
      <c r="E750" s="267">
        <f>IFERROR(__xludf.DUMMYFUNCTION("""COMPUTED_VALUE"""),44182.6666666666)</f>
        <v/>
      </c>
      <c r="F750" s="6">
        <f>IFERROR(__xludf.DUMMYFUNCTION("""COMPUTED_VALUE"""),3722.48)</f>
        <v/>
      </c>
      <c r="J750" s="6">
        <f>K750&amp;L750</f>
        <v/>
      </c>
      <c r="K750" s="6">
        <f>YEAR(M750)</f>
        <v/>
      </c>
      <c r="L750" s="6">
        <f>MONTH(M750)</f>
        <v/>
      </c>
      <c r="M750" s="267">
        <f>IFERROR(__xludf.DUMMYFUNCTION("""COMPUTED_VALUE"""),44176.6666666666)</f>
        <v/>
      </c>
      <c r="N750" s="6">
        <f>IFERROR(__xludf.DUMMYFUNCTION("""COMPUTED_VALUE"""),12377.87)</f>
        <v/>
      </c>
      <c r="R750" s="6">
        <f>S750&amp;T750</f>
        <v/>
      </c>
      <c r="S750" s="6">
        <f>YEAR(U750)</f>
        <v/>
      </c>
      <c r="T750" s="6">
        <f>MONTH(U750)</f>
        <v/>
      </c>
      <c r="U750" s="267">
        <f>IFERROR(__xludf.DUMMYFUNCTION("""COMPUTED_VALUE"""),44217.6458333333)</f>
        <v/>
      </c>
      <c r="V750" s="6">
        <f>IFERROR(__xludf.DUMMYFUNCTION("""COMPUTED_VALUE"""),3160.84)</f>
        <v/>
      </c>
      <c r="Z750" s="6">
        <f>AA750&amp;AB750</f>
        <v/>
      </c>
      <c r="AA750" s="6">
        <f>YEAR(AC750)</f>
        <v/>
      </c>
      <c r="AB750" s="6">
        <f>MONTH(AC750)</f>
        <v/>
      </c>
      <c r="AC750" s="267">
        <f>IFERROR(__xludf.DUMMYFUNCTION("""COMPUTED_VALUE"""),43886.9986111111)</f>
        <v/>
      </c>
      <c r="AD750" s="6">
        <f>IFERROR(__xludf.DUMMYFUNCTION("""COMPUTED_VALUE"""),1214.55)</f>
        <v/>
      </c>
      <c r="AH750" s="6">
        <f>AI750&amp;AJ750</f>
        <v/>
      </c>
      <c r="AI750" s="6">
        <f>YEAR(AK750)</f>
        <v/>
      </c>
      <c r="AJ750" s="6">
        <f>MONTH(AK750)</f>
        <v/>
      </c>
      <c r="AK750" s="267">
        <f>IFERROR(__xludf.DUMMYFUNCTION("""COMPUTED_VALUE"""),43842.9986111111)</f>
        <v/>
      </c>
      <c r="AL750" s="6">
        <f>IFERROR(__xludf.DUMMYFUNCTION("""COMPUTED_VALUE"""),8179.694)</f>
        <v/>
      </c>
      <c r="AP750" s="6">
        <f>AQ750&amp;AR750</f>
        <v/>
      </c>
      <c r="AQ750" s="6">
        <f>YEAR(AS750)</f>
        <v/>
      </c>
      <c r="AR750" s="6">
        <f>MONTH(AS750)</f>
        <v/>
      </c>
      <c r="AS750" s="267">
        <f>IFERROR(__xludf.DUMMYFUNCTION("""COMPUTED_VALUE"""),44194.9986111111)</f>
        <v/>
      </c>
      <c r="AT750" s="6">
        <f>IFERROR(__xludf.DUMMYFUNCTION("""COMPUTED_VALUE"""),1882.9)</f>
        <v/>
      </c>
    </row>
    <row r="751">
      <c r="B751" s="6">
        <f>C751&amp;D751</f>
        <v/>
      </c>
      <c r="C751" s="6">
        <f>YEAR(E751)</f>
        <v/>
      </c>
      <c r="D751" s="6">
        <f>MONTH(E751)</f>
        <v/>
      </c>
      <c r="E751" s="267">
        <f>IFERROR(__xludf.DUMMYFUNCTION("""COMPUTED_VALUE"""),44183.6666666666)</f>
        <v/>
      </c>
      <c r="F751" s="6">
        <f>IFERROR(__xludf.DUMMYFUNCTION("""COMPUTED_VALUE"""),3709.41)</f>
        <v/>
      </c>
      <c r="J751" s="6">
        <f>K751&amp;L751</f>
        <v/>
      </c>
      <c r="K751" s="6">
        <f>YEAR(M751)</f>
        <v/>
      </c>
      <c r="L751" s="6">
        <f>MONTH(M751)</f>
        <v/>
      </c>
      <c r="M751" s="267">
        <f>IFERROR(__xludf.DUMMYFUNCTION("""COMPUTED_VALUE"""),44179.6666666666)</f>
        <v/>
      </c>
      <c r="N751" s="6">
        <f>IFERROR(__xludf.DUMMYFUNCTION("""COMPUTED_VALUE"""),12440.04)</f>
        <v/>
      </c>
      <c r="R751" s="6">
        <f>S751&amp;T751</f>
        <v/>
      </c>
      <c r="S751" s="6">
        <f>YEAR(U751)</f>
        <v/>
      </c>
      <c r="T751" s="6">
        <f>MONTH(U751)</f>
        <v/>
      </c>
      <c r="U751" s="267">
        <f>IFERROR(__xludf.DUMMYFUNCTION("""COMPUTED_VALUE"""),44218.6458333333)</f>
        <v/>
      </c>
      <c r="V751" s="6">
        <f>IFERROR(__xludf.DUMMYFUNCTION("""COMPUTED_VALUE"""),3140.63)</f>
        <v/>
      </c>
      <c r="Z751" s="6">
        <f>AA751&amp;AB751</f>
        <v/>
      </c>
      <c r="AA751" s="6">
        <f>YEAR(AC751)</f>
        <v/>
      </c>
      <c r="AB751" s="6">
        <f>MONTH(AC751)</f>
        <v/>
      </c>
      <c r="AC751" s="267">
        <f>IFERROR(__xludf.DUMMYFUNCTION("""COMPUTED_VALUE"""),43887.9986111111)</f>
        <v/>
      </c>
      <c r="AD751" s="6">
        <f>IFERROR(__xludf.DUMMYFUNCTION("""COMPUTED_VALUE"""),1211.36)</f>
        <v/>
      </c>
      <c r="AH751" s="6">
        <f>AI751&amp;AJ751</f>
        <v/>
      </c>
      <c r="AI751" s="6">
        <f>YEAR(AK751)</f>
        <v/>
      </c>
      <c r="AJ751" s="6">
        <f>MONTH(AK751)</f>
        <v/>
      </c>
      <c r="AK751" s="267">
        <f>IFERROR(__xludf.DUMMYFUNCTION("""COMPUTED_VALUE"""),43843.9986111111)</f>
        <v/>
      </c>
      <c r="AL751" s="6">
        <f>IFERROR(__xludf.DUMMYFUNCTION("""COMPUTED_VALUE"""),8105.678)</f>
        <v/>
      </c>
      <c r="AP751" s="6">
        <f>AQ751&amp;AR751</f>
        <v/>
      </c>
      <c r="AQ751" s="6">
        <f>YEAR(AS751)</f>
        <v/>
      </c>
      <c r="AR751" s="6">
        <f>MONTH(AS751)</f>
        <v/>
      </c>
      <c r="AS751" s="267">
        <f>IFERROR(__xludf.DUMMYFUNCTION("""COMPUTED_VALUE"""),44195.9986111111)</f>
        <v/>
      </c>
      <c r="AT751" s="6">
        <f>IFERROR(__xludf.DUMMYFUNCTION("""COMPUTED_VALUE"""),1893.4)</f>
        <v/>
      </c>
    </row>
    <row r="752">
      <c r="B752" s="6">
        <f>C752&amp;D752</f>
        <v/>
      </c>
      <c r="C752" s="6">
        <f>YEAR(E752)</f>
        <v/>
      </c>
      <c r="D752" s="6">
        <f>MONTH(E752)</f>
        <v/>
      </c>
      <c r="E752" s="267">
        <f>IFERROR(__xludf.DUMMYFUNCTION("""COMPUTED_VALUE"""),44186.6666666666)</f>
        <v/>
      </c>
      <c r="F752" s="6">
        <f>IFERROR(__xludf.DUMMYFUNCTION("""COMPUTED_VALUE"""),3694.92)</f>
        <v/>
      </c>
      <c r="J752" s="6">
        <f>K752&amp;L752</f>
        <v/>
      </c>
      <c r="K752" s="6">
        <f>YEAR(M752)</f>
        <v/>
      </c>
      <c r="L752" s="6">
        <f>MONTH(M752)</f>
        <v/>
      </c>
      <c r="M752" s="267">
        <f>IFERROR(__xludf.DUMMYFUNCTION("""COMPUTED_VALUE"""),44180.6666666666)</f>
        <v/>
      </c>
      <c r="N752" s="6">
        <f>IFERROR(__xludf.DUMMYFUNCTION("""COMPUTED_VALUE"""),12595.06)</f>
        <v/>
      </c>
      <c r="R752" s="6">
        <f>S752&amp;T752</f>
        <v/>
      </c>
      <c r="S752" s="6">
        <f>YEAR(U752)</f>
        <v/>
      </c>
      <c r="T752" s="6">
        <f>MONTH(U752)</f>
        <v/>
      </c>
      <c r="U752" s="267">
        <f>IFERROR(__xludf.DUMMYFUNCTION("""COMPUTED_VALUE"""),44221.6458333333)</f>
        <v/>
      </c>
      <c r="V752" s="6">
        <f>IFERROR(__xludf.DUMMYFUNCTION("""COMPUTED_VALUE"""),3208.99)</f>
        <v/>
      </c>
      <c r="Z752" s="6">
        <f>AA752&amp;AB752</f>
        <v/>
      </c>
      <c r="AA752" s="6">
        <f>YEAR(AC752)</f>
        <v/>
      </c>
      <c r="AB752" s="6">
        <f>MONTH(AC752)</f>
        <v/>
      </c>
      <c r="AC752" s="267">
        <f>IFERROR(__xludf.DUMMYFUNCTION("""COMPUTED_VALUE"""),43888.9986111111)</f>
        <v/>
      </c>
      <c r="AD752" s="6">
        <f>IFERROR(__xludf.DUMMYFUNCTION("""COMPUTED_VALUE"""),1211.31)</f>
        <v/>
      </c>
      <c r="AH752" s="6">
        <f>AI752&amp;AJ752</f>
        <v/>
      </c>
      <c r="AI752" s="6">
        <f>YEAR(AK752)</f>
        <v/>
      </c>
      <c r="AJ752" s="6">
        <f>MONTH(AK752)</f>
        <v/>
      </c>
      <c r="AK752" s="267">
        <f>IFERROR(__xludf.DUMMYFUNCTION("""COMPUTED_VALUE"""),43844.9986111111)</f>
        <v/>
      </c>
      <c r="AL752" s="6">
        <f>IFERROR(__xludf.DUMMYFUNCTION("""COMPUTED_VALUE"""),8814.651)</f>
        <v/>
      </c>
      <c r="AP752" s="6">
        <f>AQ752&amp;AR752</f>
        <v/>
      </c>
      <c r="AQ752" s="6">
        <f>YEAR(AS752)</f>
        <v/>
      </c>
      <c r="AR752" s="6">
        <f>MONTH(AS752)</f>
        <v/>
      </c>
      <c r="AS752" s="267">
        <f>IFERROR(__xludf.DUMMYFUNCTION("""COMPUTED_VALUE"""),44196.9986111111)</f>
        <v/>
      </c>
      <c r="AT752" s="6">
        <f>IFERROR(__xludf.DUMMYFUNCTION("""COMPUTED_VALUE"""),1895.1)</f>
        <v/>
      </c>
    </row>
    <row r="753">
      <c r="B753" s="6">
        <f>C753&amp;D753</f>
        <v/>
      </c>
      <c r="C753" s="6">
        <f>YEAR(E753)</f>
        <v/>
      </c>
      <c r="D753" s="6">
        <f>MONTH(E753)</f>
        <v/>
      </c>
      <c r="E753" s="267">
        <f>IFERROR(__xludf.DUMMYFUNCTION("""COMPUTED_VALUE"""),44187.6666666666)</f>
        <v/>
      </c>
      <c r="F753" s="6">
        <f>IFERROR(__xludf.DUMMYFUNCTION("""COMPUTED_VALUE"""),3687.26)</f>
        <v/>
      </c>
      <c r="J753" s="6">
        <f>K753&amp;L753</f>
        <v/>
      </c>
      <c r="K753" s="6">
        <f>YEAR(M753)</f>
        <v/>
      </c>
      <c r="L753" s="6">
        <f>MONTH(M753)</f>
        <v/>
      </c>
      <c r="M753" s="267">
        <f>IFERROR(__xludf.DUMMYFUNCTION("""COMPUTED_VALUE"""),44181.6666666666)</f>
        <v/>
      </c>
      <c r="N753" s="6">
        <f>IFERROR(__xludf.DUMMYFUNCTION("""COMPUTED_VALUE"""),12658.19)</f>
        <v/>
      </c>
      <c r="R753" s="6">
        <f>S753&amp;T753</f>
        <v/>
      </c>
      <c r="S753" s="6">
        <f>YEAR(U753)</f>
        <v/>
      </c>
      <c r="T753" s="6">
        <f>MONTH(U753)</f>
        <v/>
      </c>
      <c r="U753" s="267">
        <f>IFERROR(__xludf.DUMMYFUNCTION("""COMPUTED_VALUE"""),44222.6458333333)</f>
        <v/>
      </c>
      <c r="V753" s="6">
        <f>IFERROR(__xludf.DUMMYFUNCTION("""COMPUTED_VALUE"""),3140.31)</f>
        <v/>
      </c>
      <c r="Z753" s="6">
        <f>AA753&amp;AB753</f>
        <v/>
      </c>
      <c r="AA753" s="6">
        <f>YEAR(AC753)</f>
        <v/>
      </c>
      <c r="AB753" s="6">
        <f>MONTH(AC753)</f>
        <v/>
      </c>
      <c r="AC753" s="267">
        <f>IFERROR(__xludf.DUMMYFUNCTION("""COMPUTED_VALUE"""),43889.9986111111)</f>
        <v/>
      </c>
      <c r="AD753" s="6">
        <f>IFERROR(__xludf.DUMMYFUNCTION("""COMPUTED_VALUE"""),1200.1)</f>
        <v/>
      </c>
      <c r="AH753" s="6">
        <f>AI753&amp;AJ753</f>
        <v/>
      </c>
      <c r="AI753" s="6">
        <f>YEAR(AK753)</f>
        <v/>
      </c>
      <c r="AJ753" s="6">
        <f>MONTH(AK753)</f>
        <v/>
      </c>
      <c r="AK753" s="267">
        <f>IFERROR(__xludf.DUMMYFUNCTION("""COMPUTED_VALUE"""),43845.9986111111)</f>
        <v/>
      </c>
      <c r="AL753" s="6">
        <f>IFERROR(__xludf.DUMMYFUNCTION("""COMPUTED_VALUE"""),8809.514)</f>
        <v/>
      </c>
      <c r="AP753" s="6">
        <f>AQ753&amp;AR753</f>
        <v/>
      </c>
      <c r="AQ753" s="6">
        <f>YEAR(AS753)</f>
        <v/>
      </c>
      <c r="AR753" s="6">
        <f>MONTH(AS753)</f>
        <v/>
      </c>
      <c r="AS753" s="267">
        <f>IFERROR(__xludf.DUMMYFUNCTION("""COMPUTED_VALUE"""),44200.9986111111)</f>
        <v/>
      </c>
      <c r="AT753" s="6">
        <f>IFERROR(__xludf.DUMMYFUNCTION("""COMPUTED_VALUE"""),1946.6)</f>
        <v/>
      </c>
    </row>
    <row r="754">
      <c r="B754" s="6">
        <f>C754&amp;D754</f>
        <v/>
      </c>
      <c r="C754" s="6">
        <f>YEAR(E754)</f>
        <v/>
      </c>
      <c r="D754" s="6">
        <f>MONTH(E754)</f>
        <v/>
      </c>
      <c r="E754" s="267">
        <f>IFERROR(__xludf.DUMMYFUNCTION("""COMPUTED_VALUE"""),44188.6666666666)</f>
        <v/>
      </c>
      <c r="F754" s="6">
        <f>IFERROR(__xludf.DUMMYFUNCTION("""COMPUTED_VALUE"""),3690.01)</f>
        <v/>
      </c>
      <c r="J754" s="6">
        <f>K754&amp;L754</f>
        <v/>
      </c>
      <c r="K754" s="6">
        <f>YEAR(M754)</f>
        <v/>
      </c>
      <c r="L754" s="6">
        <f>MONTH(M754)</f>
        <v/>
      </c>
      <c r="M754" s="267">
        <f>IFERROR(__xludf.DUMMYFUNCTION("""COMPUTED_VALUE"""),44182.6666666666)</f>
        <v/>
      </c>
      <c r="N754" s="6">
        <f>IFERROR(__xludf.DUMMYFUNCTION("""COMPUTED_VALUE"""),12764.75)</f>
        <v/>
      </c>
      <c r="R754" s="6">
        <f>S754&amp;T754</f>
        <v/>
      </c>
      <c r="S754" s="6">
        <f>YEAR(U754)</f>
        <v/>
      </c>
      <c r="T754" s="6">
        <f>MONTH(U754)</f>
        <v/>
      </c>
      <c r="U754" s="267">
        <f>IFERROR(__xludf.DUMMYFUNCTION("""COMPUTED_VALUE"""),44223.6458333333)</f>
        <v/>
      </c>
      <c r="V754" s="6">
        <f>IFERROR(__xludf.DUMMYFUNCTION("""COMPUTED_VALUE"""),3122.56)</f>
        <v/>
      </c>
      <c r="Z754" s="6">
        <f>AA754&amp;AB754</f>
        <v/>
      </c>
      <c r="AA754" s="6">
        <f>YEAR(AC754)</f>
        <v/>
      </c>
      <c r="AB754" s="6">
        <f>MONTH(AC754)</f>
        <v/>
      </c>
      <c r="AC754" s="267">
        <f>IFERROR(__xludf.DUMMYFUNCTION("""COMPUTED_VALUE"""),43890.9986111111)</f>
        <v/>
      </c>
      <c r="AD754" s="6">
        <f>IFERROR(__xludf.DUMMYFUNCTION("""COMPUTED_VALUE"""),1200.1)</f>
        <v/>
      </c>
      <c r="AH754" s="6">
        <f>AI754&amp;AJ754</f>
        <v/>
      </c>
      <c r="AI754" s="6">
        <f>YEAR(AK754)</f>
        <v/>
      </c>
      <c r="AJ754" s="6">
        <f>MONTH(AK754)</f>
        <v/>
      </c>
      <c r="AK754" s="267">
        <f>IFERROR(__xludf.DUMMYFUNCTION("""COMPUTED_VALUE"""),43846.9986111111)</f>
        <v/>
      </c>
      <c r="AL754" s="6">
        <f>IFERROR(__xludf.DUMMYFUNCTION("""COMPUTED_VALUE"""),8716.882)</f>
        <v/>
      </c>
      <c r="AP754" s="6">
        <f>AQ754&amp;AR754</f>
        <v/>
      </c>
      <c r="AQ754" s="6">
        <f>YEAR(AS754)</f>
        <v/>
      </c>
      <c r="AR754" s="6">
        <f>MONTH(AS754)</f>
        <v/>
      </c>
      <c r="AS754" s="267">
        <f>IFERROR(__xludf.DUMMYFUNCTION("""COMPUTED_VALUE"""),44201.9986111111)</f>
        <v/>
      </c>
      <c r="AT754" s="6">
        <f>IFERROR(__xludf.DUMMYFUNCTION("""COMPUTED_VALUE"""),1954.4)</f>
        <v/>
      </c>
    </row>
    <row r="755">
      <c r="B755" s="6">
        <f>C755&amp;D755</f>
        <v/>
      </c>
      <c r="C755" s="6">
        <f>YEAR(E755)</f>
        <v/>
      </c>
      <c r="D755" s="6">
        <f>MONTH(E755)</f>
        <v/>
      </c>
      <c r="E755" s="267">
        <f>IFERROR(__xludf.DUMMYFUNCTION("""COMPUTED_VALUE"""),44193.6666666666)</f>
        <v/>
      </c>
      <c r="F755" s="6">
        <f>IFERROR(__xludf.DUMMYFUNCTION("""COMPUTED_VALUE"""),3735.36)</f>
        <v/>
      </c>
      <c r="J755" s="6">
        <f>K755&amp;L755</f>
        <v/>
      </c>
      <c r="K755" s="6">
        <f>YEAR(M755)</f>
        <v/>
      </c>
      <c r="L755" s="6">
        <f>MONTH(M755)</f>
        <v/>
      </c>
      <c r="M755" s="267">
        <f>IFERROR(__xludf.DUMMYFUNCTION("""COMPUTED_VALUE"""),44183.6666666666)</f>
        <v/>
      </c>
      <c r="N755" s="6">
        <f>IFERROR(__xludf.DUMMYFUNCTION("""COMPUTED_VALUE"""),12755.64)</f>
        <v/>
      </c>
      <c r="R755" s="6">
        <f>S755&amp;T755</f>
        <v/>
      </c>
      <c r="S755" s="6">
        <f>YEAR(U755)</f>
        <v/>
      </c>
      <c r="T755" s="6">
        <f>MONTH(U755)</f>
        <v/>
      </c>
      <c r="U755" s="267">
        <f>IFERROR(__xludf.DUMMYFUNCTION("""COMPUTED_VALUE"""),44224.6458333333)</f>
        <v/>
      </c>
      <c r="V755" s="6">
        <f>IFERROR(__xludf.DUMMYFUNCTION("""COMPUTED_VALUE"""),3069.05)</f>
        <v/>
      </c>
      <c r="Z755" s="6">
        <f>AA755&amp;AB755</f>
        <v/>
      </c>
      <c r="AA755" s="6">
        <f>YEAR(AC755)</f>
        <v/>
      </c>
      <c r="AB755" s="6">
        <f>MONTH(AC755)</f>
        <v/>
      </c>
      <c r="AC755" s="267">
        <f>IFERROR(__xludf.DUMMYFUNCTION("""COMPUTED_VALUE"""),43891.9986111111)</f>
        <v/>
      </c>
      <c r="AD755" s="6">
        <f>IFERROR(__xludf.DUMMYFUNCTION("""COMPUTED_VALUE"""),1200.1)</f>
        <v/>
      </c>
      <c r="AH755" s="6">
        <f>AI755&amp;AJ755</f>
        <v/>
      </c>
      <c r="AI755" s="6">
        <f>YEAR(AK755)</f>
        <v/>
      </c>
      <c r="AJ755" s="6">
        <f>MONTH(AK755)</f>
        <v/>
      </c>
      <c r="AK755" s="267">
        <f>IFERROR(__xludf.DUMMYFUNCTION("""COMPUTED_VALUE"""),43847.9986111111)</f>
        <v/>
      </c>
      <c r="AL755" s="6">
        <f>IFERROR(__xludf.DUMMYFUNCTION("""COMPUTED_VALUE"""),8893.163)</f>
        <v/>
      </c>
      <c r="AP755" s="6">
        <f>AQ755&amp;AR755</f>
        <v/>
      </c>
      <c r="AQ755" s="6">
        <f>YEAR(AS755)</f>
        <v/>
      </c>
      <c r="AR755" s="6">
        <f>MONTH(AS755)</f>
        <v/>
      </c>
      <c r="AS755" s="267">
        <f>IFERROR(__xludf.DUMMYFUNCTION("""COMPUTED_VALUE"""),44202.9986111111)</f>
        <v/>
      </c>
      <c r="AT755" s="6">
        <f>IFERROR(__xludf.DUMMYFUNCTION("""COMPUTED_VALUE"""),1908.6)</f>
        <v/>
      </c>
    </row>
    <row r="756">
      <c r="B756" s="6">
        <f>C756&amp;D756</f>
        <v/>
      </c>
      <c r="C756" s="6">
        <f>YEAR(E756)</f>
        <v/>
      </c>
      <c r="D756" s="6">
        <f>MONTH(E756)</f>
        <v/>
      </c>
      <c r="E756" s="267">
        <f>IFERROR(__xludf.DUMMYFUNCTION("""COMPUTED_VALUE"""),44194.6666666666)</f>
        <v/>
      </c>
      <c r="F756" s="6">
        <f>IFERROR(__xludf.DUMMYFUNCTION("""COMPUTED_VALUE"""),3727.04)</f>
        <v/>
      </c>
      <c r="J756" s="6">
        <f>K756&amp;L756</f>
        <v/>
      </c>
      <c r="K756" s="6">
        <f>YEAR(M756)</f>
        <v/>
      </c>
      <c r="L756" s="6">
        <f>MONTH(M756)</f>
        <v/>
      </c>
      <c r="M756" s="267">
        <f>IFERROR(__xludf.DUMMYFUNCTION("""COMPUTED_VALUE"""),44186.6666666666)</f>
        <v/>
      </c>
      <c r="N756" s="6">
        <f>IFERROR(__xludf.DUMMYFUNCTION("""COMPUTED_VALUE"""),12742.52)</f>
        <v/>
      </c>
      <c r="R756" s="6">
        <f>S756&amp;T756</f>
        <v/>
      </c>
      <c r="S756" s="6">
        <f>YEAR(U756)</f>
        <v/>
      </c>
      <c r="T756" s="6">
        <f>MONTH(U756)</f>
        <v/>
      </c>
      <c r="U756" s="267">
        <f>IFERROR(__xludf.DUMMYFUNCTION("""COMPUTED_VALUE"""),44225.6458333333)</f>
        <v/>
      </c>
      <c r="V756" s="6">
        <f>IFERROR(__xludf.DUMMYFUNCTION("""COMPUTED_VALUE"""),2976.21)</f>
        <v/>
      </c>
      <c r="Z756" s="6">
        <f>AA756&amp;AB756</f>
        <v/>
      </c>
      <c r="AA756" s="6">
        <f>YEAR(AC756)</f>
        <v/>
      </c>
      <c r="AB756" s="6">
        <f>MONTH(AC756)</f>
        <v/>
      </c>
      <c r="AC756" s="267">
        <f>IFERROR(__xludf.DUMMYFUNCTION("""COMPUTED_VALUE"""),43892.9986111111)</f>
        <v/>
      </c>
      <c r="AD756" s="6">
        <f>IFERROR(__xludf.DUMMYFUNCTION("""COMPUTED_VALUE"""),1188.28)</f>
        <v/>
      </c>
      <c r="AH756" s="6">
        <f>AI756&amp;AJ756</f>
        <v/>
      </c>
      <c r="AI756" s="6">
        <f>YEAR(AK756)</f>
        <v/>
      </c>
      <c r="AJ756" s="6">
        <f>MONTH(AK756)</f>
        <v/>
      </c>
      <c r="AK756" s="267">
        <f>IFERROR(__xludf.DUMMYFUNCTION("""COMPUTED_VALUE"""),43848.9986111111)</f>
        <v/>
      </c>
      <c r="AL756" s="6">
        <f>IFERROR(__xludf.DUMMYFUNCTION("""COMPUTED_VALUE"""),8910.659)</f>
        <v/>
      </c>
      <c r="AP756" s="6">
        <f>AQ756&amp;AR756</f>
        <v/>
      </c>
      <c r="AQ756" s="6">
        <f>YEAR(AS756)</f>
        <v/>
      </c>
      <c r="AR756" s="6">
        <f>MONTH(AS756)</f>
        <v/>
      </c>
      <c r="AS756" s="267">
        <f>IFERROR(__xludf.DUMMYFUNCTION("""COMPUTED_VALUE"""),44203.9986111111)</f>
        <v/>
      </c>
      <c r="AT756" s="6">
        <f>IFERROR(__xludf.DUMMYFUNCTION("""COMPUTED_VALUE"""),1913.6)</f>
        <v/>
      </c>
    </row>
    <row r="757">
      <c r="B757" s="6">
        <f>C757&amp;D757</f>
        <v/>
      </c>
      <c r="C757" s="6">
        <f>YEAR(E757)</f>
        <v/>
      </c>
      <c r="D757" s="6">
        <f>MONTH(E757)</f>
        <v/>
      </c>
      <c r="E757" s="267">
        <f>IFERROR(__xludf.DUMMYFUNCTION("""COMPUTED_VALUE"""),44195.6666666666)</f>
        <v/>
      </c>
      <c r="F757" s="6">
        <f>IFERROR(__xludf.DUMMYFUNCTION("""COMPUTED_VALUE"""),3732.04)</f>
        <v/>
      </c>
      <c r="J757" s="6">
        <f>K757&amp;L757</f>
        <v/>
      </c>
      <c r="K757" s="6">
        <f>YEAR(M757)</f>
        <v/>
      </c>
      <c r="L757" s="6">
        <f>MONTH(M757)</f>
        <v/>
      </c>
      <c r="M757" s="267">
        <f>IFERROR(__xludf.DUMMYFUNCTION("""COMPUTED_VALUE"""),44187.6666666666)</f>
        <v/>
      </c>
      <c r="N757" s="6">
        <f>IFERROR(__xludf.DUMMYFUNCTION("""COMPUTED_VALUE"""),12807.92)</f>
        <v/>
      </c>
      <c r="R757" s="6">
        <f>S757&amp;T757</f>
        <v/>
      </c>
      <c r="S757" s="6">
        <f>YEAR(U757)</f>
        <v/>
      </c>
      <c r="T757" s="6">
        <f>MONTH(U757)</f>
        <v/>
      </c>
      <c r="U757" s="267">
        <f>IFERROR(__xludf.DUMMYFUNCTION("""COMPUTED_VALUE"""),44228.6458333333)</f>
        <v/>
      </c>
      <c r="V757" s="6">
        <f>IFERROR(__xludf.DUMMYFUNCTION("""COMPUTED_VALUE"""),3056.53)</f>
        <v/>
      </c>
      <c r="Z757" s="6">
        <f>AA757&amp;AB757</f>
        <v/>
      </c>
      <c r="AA757" s="6">
        <f>YEAR(AC757)</f>
        <v/>
      </c>
      <c r="AB757" s="6">
        <f>MONTH(AC757)</f>
        <v/>
      </c>
      <c r="AC757" s="267">
        <f>IFERROR(__xludf.DUMMYFUNCTION("""COMPUTED_VALUE"""),43893.9986111111)</f>
        <v/>
      </c>
      <c r="AD757" s="6">
        <f>IFERROR(__xludf.DUMMYFUNCTION("""COMPUTED_VALUE"""),1186.34)</f>
        <v/>
      </c>
      <c r="AH757" s="6">
        <f>AI757&amp;AJ757</f>
        <v/>
      </c>
      <c r="AI757" s="6">
        <f>YEAR(AK757)</f>
        <v/>
      </c>
      <c r="AJ757" s="6">
        <f>MONTH(AK757)</f>
        <v/>
      </c>
      <c r="AK757" s="267">
        <f>IFERROR(__xludf.DUMMYFUNCTION("""COMPUTED_VALUE"""),43849.9986111111)</f>
        <v/>
      </c>
      <c r="AL757" s="6">
        <f>IFERROR(__xludf.DUMMYFUNCTION("""COMPUTED_VALUE"""),8695.518)</f>
        <v/>
      </c>
      <c r="AP757" s="6">
        <f>AQ757&amp;AR757</f>
        <v/>
      </c>
      <c r="AQ757" s="6">
        <f>YEAR(AS757)</f>
        <v/>
      </c>
      <c r="AR757" s="6">
        <f>MONTH(AS757)</f>
        <v/>
      </c>
      <c r="AS757" s="267">
        <f>IFERROR(__xludf.DUMMYFUNCTION("""COMPUTED_VALUE"""),44204.9986111111)</f>
        <v/>
      </c>
      <c r="AT757" s="6">
        <f>IFERROR(__xludf.DUMMYFUNCTION("""COMPUTED_VALUE"""),1835.4)</f>
        <v/>
      </c>
    </row>
    <row r="758">
      <c r="B758" s="6">
        <f>C758&amp;D758</f>
        <v/>
      </c>
      <c r="C758" s="6">
        <f>YEAR(E758)</f>
        <v/>
      </c>
      <c r="D758" s="6">
        <f>MONTH(E758)</f>
        <v/>
      </c>
      <c r="E758" s="267">
        <f>IFERROR(__xludf.DUMMYFUNCTION("""COMPUTED_VALUE"""),44196.6666666666)</f>
        <v/>
      </c>
      <c r="F758" s="6">
        <f>IFERROR(__xludf.DUMMYFUNCTION("""COMPUTED_VALUE"""),3756.07)</f>
        <v/>
      </c>
      <c r="J758" s="6">
        <f>K758&amp;L758</f>
        <v/>
      </c>
      <c r="K758" s="6">
        <f>YEAR(M758)</f>
        <v/>
      </c>
      <c r="L758" s="6">
        <f>MONTH(M758)</f>
        <v/>
      </c>
      <c r="M758" s="267">
        <f>IFERROR(__xludf.DUMMYFUNCTION("""COMPUTED_VALUE"""),44188.6666666666)</f>
        <v/>
      </c>
      <c r="N758" s="6">
        <f>IFERROR(__xludf.DUMMYFUNCTION("""COMPUTED_VALUE"""),12771.11)</f>
        <v/>
      </c>
      <c r="R758" s="6">
        <f>S758&amp;T758</f>
        <v/>
      </c>
      <c r="S758" s="6">
        <f>YEAR(U758)</f>
        <v/>
      </c>
      <c r="T758" s="6">
        <f>MONTH(U758)</f>
        <v/>
      </c>
      <c r="U758" s="267">
        <f>IFERROR(__xludf.DUMMYFUNCTION("""COMPUTED_VALUE"""),44229.6458333333)</f>
        <v/>
      </c>
      <c r="V758" s="6">
        <f>IFERROR(__xludf.DUMMYFUNCTION("""COMPUTED_VALUE"""),3096.81)</f>
        <v/>
      </c>
      <c r="Z758" s="6">
        <f>AA758&amp;AB758</f>
        <v/>
      </c>
      <c r="AA758" s="6">
        <f>YEAR(AC758)</f>
        <v/>
      </c>
      <c r="AB758" s="6">
        <f>MONTH(AC758)</f>
        <v/>
      </c>
      <c r="AC758" s="267">
        <f>IFERROR(__xludf.DUMMYFUNCTION("""COMPUTED_VALUE"""),43894.9986111111)</f>
        <v/>
      </c>
      <c r="AD758" s="6">
        <f>IFERROR(__xludf.DUMMYFUNCTION("""COMPUTED_VALUE"""),1183.68)</f>
        <v/>
      </c>
      <c r="AH758" s="6">
        <f>AI758&amp;AJ758</f>
        <v/>
      </c>
      <c r="AI758" s="6">
        <f>YEAR(AK758)</f>
        <v/>
      </c>
      <c r="AJ758" s="6">
        <f>MONTH(AK758)</f>
        <v/>
      </c>
      <c r="AK758" s="267">
        <f>IFERROR(__xludf.DUMMYFUNCTION("""COMPUTED_VALUE"""),43850.9986111111)</f>
        <v/>
      </c>
      <c r="AL758" s="6">
        <f>IFERROR(__xludf.DUMMYFUNCTION("""COMPUTED_VALUE"""),8632.108)</f>
        <v/>
      </c>
      <c r="AP758" s="6">
        <f>AQ758&amp;AR758</f>
        <v/>
      </c>
      <c r="AQ758" s="6">
        <f>YEAR(AS758)</f>
        <v/>
      </c>
      <c r="AR758" s="6">
        <f>MONTH(AS758)</f>
        <v/>
      </c>
      <c r="AS758" s="267">
        <f>IFERROR(__xludf.DUMMYFUNCTION("""COMPUTED_VALUE"""),44207.9986111111)</f>
        <v/>
      </c>
      <c r="AT758" s="6">
        <f>IFERROR(__xludf.DUMMYFUNCTION("""COMPUTED_VALUE"""),1850.8)</f>
        <v/>
      </c>
    </row>
    <row r="759">
      <c r="B759" s="6">
        <f>C759&amp;D759</f>
        <v/>
      </c>
      <c r="C759" s="6">
        <f>YEAR(E759)</f>
        <v/>
      </c>
      <c r="D759" s="6">
        <f>MONTH(E759)</f>
        <v/>
      </c>
      <c r="E759" s="267">
        <f>IFERROR(__xludf.DUMMYFUNCTION("""COMPUTED_VALUE"""),44200.6666666666)</f>
        <v/>
      </c>
      <c r="F759" s="6">
        <f>IFERROR(__xludf.DUMMYFUNCTION("""COMPUTED_VALUE"""),3700.65)</f>
        <v/>
      </c>
      <c r="J759" s="6">
        <f>K759&amp;L759</f>
        <v/>
      </c>
      <c r="K759" s="6">
        <f>YEAR(M759)</f>
        <v/>
      </c>
      <c r="L759" s="6">
        <f>MONTH(M759)</f>
        <v/>
      </c>
      <c r="M759" s="267">
        <f>IFERROR(__xludf.DUMMYFUNCTION("""COMPUTED_VALUE"""),44189.5416666666)</f>
        <v/>
      </c>
      <c r="N759" s="6">
        <f>IFERROR(__xludf.DUMMYFUNCTION("""COMPUTED_VALUE"""),12804.73)</f>
        <v/>
      </c>
      <c r="R759" s="6">
        <f>S759&amp;T759</f>
        <v/>
      </c>
      <c r="S759" s="6">
        <f>YEAR(U759)</f>
        <v/>
      </c>
      <c r="T759" s="6">
        <f>MONTH(U759)</f>
        <v/>
      </c>
      <c r="U759" s="267">
        <f>IFERROR(__xludf.DUMMYFUNCTION("""COMPUTED_VALUE"""),44230.6458333333)</f>
        <v/>
      </c>
      <c r="V759" s="6">
        <f>IFERROR(__xludf.DUMMYFUNCTION("""COMPUTED_VALUE"""),3129.68)</f>
        <v/>
      </c>
      <c r="Z759" s="6">
        <f>AA759&amp;AB759</f>
        <v/>
      </c>
      <c r="AA759" s="6">
        <f>YEAR(AC759)</f>
        <v/>
      </c>
      <c r="AB759" s="6">
        <f>MONTH(AC759)</f>
        <v/>
      </c>
      <c r="AC759" s="267">
        <f>IFERROR(__xludf.DUMMYFUNCTION("""COMPUTED_VALUE"""),43895.9986111111)</f>
        <v/>
      </c>
      <c r="AD759" s="6">
        <f>IFERROR(__xludf.DUMMYFUNCTION("""COMPUTED_VALUE"""),1187.47)</f>
        <v/>
      </c>
      <c r="AH759" s="6">
        <f>AI759&amp;AJ759</f>
        <v/>
      </c>
      <c r="AI759" s="6">
        <f>YEAR(AK759)</f>
        <v/>
      </c>
      <c r="AJ759" s="6">
        <f>MONTH(AK759)</f>
        <v/>
      </c>
      <c r="AK759" s="267">
        <f>IFERROR(__xludf.DUMMYFUNCTION("""COMPUTED_VALUE"""),43851.9986111111)</f>
        <v/>
      </c>
      <c r="AL759" s="6">
        <f>IFERROR(__xludf.DUMMYFUNCTION("""COMPUTED_VALUE"""),8726.09)</f>
        <v/>
      </c>
      <c r="AP759" s="6">
        <f>AQ759&amp;AR759</f>
        <v/>
      </c>
      <c r="AQ759" s="6">
        <f>YEAR(AS759)</f>
        <v/>
      </c>
      <c r="AR759" s="6">
        <f>MONTH(AS759)</f>
        <v/>
      </c>
      <c r="AS759" s="267">
        <f>IFERROR(__xludf.DUMMYFUNCTION("""COMPUTED_VALUE"""),44208.9986111111)</f>
        <v/>
      </c>
      <c r="AT759" s="6">
        <f>IFERROR(__xludf.DUMMYFUNCTION("""COMPUTED_VALUE"""),1844.2)</f>
        <v/>
      </c>
    </row>
    <row r="760">
      <c r="B760" s="6">
        <f>C760&amp;D760</f>
        <v/>
      </c>
      <c r="C760" s="6">
        <f>YEAR(E760)</f>
        <v/>
      </c>
      <c r="D760" s="6">
        <f>MONTH(E760)</f>
        <v/>
      </c>
      <c r="E760" s="267">
        <f>IFERROR(__xludf.DUMMYFUNCTION("""COMPUTED_VALUE"""),44201.6666666666)</f>
        <v/>
      </c>
      <c r="F760" s="6">
        <f>IFERROR(__xludf.DUMMYFUNCTION("""COMPUTED_VALUE"""),3726.86)</f>
        <v/>
      </c>
      <c r="J760" s="6">
        <f>K760&amp;L760</f>
        <v/>
      </c>
      <c r="K760" s="6">
        <f>YEAR(M760)</f>
        <v/>
      </c>
      <c r="L760" s="6">
        <f>MONTH(M760)</f>
        <v/>
      </c>
      <c r="M760" s="267">
        <f>IFERROR(__xludf.DUMMYFUNCTION("""COMPUTED_VALUE"""),44193.6666666666)</f>
        <v/>
      </c>
      <c r="N760" s="6">
        <f>IFERROR(__xludf.DUMMYFUNCTION("""COMPUTED_VALUE"""),12899.42)</f>
        <v/>
      </c>
      <c r="R760" s="6">
        <f>S760&amp;T760</f>
        <v/>
      </c>
      <c r="S760" s="6">
        <f>YEAR(U760)</f>
        <v/>
      </c>
      <c r="T760" s="6">
        <f>MONTH(U760)</f>
        <v/>
      </c>
      <c r="U760" s="267">
        <f>IFERROR(__xludf.DUMMYFUNCTION("""COMPUTED_VALUE"""),44231.6458333333)</f>
        <v/>
      </c>
      <c r="V760" s="6">
        <f>IFERROR(__xludf.DUMMYFUNCTION("""COMPUTED_VALUE"""),3087.55)</f>
        <v/>
      </c>
      <c r="Z760" s="6">
        <f>AA760&amp;AB760</f>
        <v/>
      </c>
      <c r="AA760" s="6">
        <f>YEAR(AC760)</f>
        <v/>
      </c>
      <c r="AB760" s="6">
        <f>MONTH(AC760)</f>
        <v/>
      </c>
      <c r="AC760" s="267">
        <f>IFERROR(__xludf.DUMMYFUNCTION("""COMPUTED_VALUE"""),43896.9986111111)</f>
        <v/>
      </c>
      <c r="AD760" s="6">
        <f>IFERROR(__xludf.DUMMYFUNCTION("""COMPUTED_VALUE"""),1187.9)</f>
        <v/>
      </c>
      <c r="AH760" s="6">
        <f>AI760&amp;AJ760</f>
        <v/>
      </c>
      <c r="AI760" s="6">
        <f>YEAR(AK760)</f>
        <v/>
      </c>
      <c r="AJ760" s="6">
        <f>MONTH(AK760)</f>
        <v/>
      </c>
      <c r="AK760" s="267">
        <f>IFERROR(__xludf.DUMMYFUNCTION("""COMPUTED_VALUE"""),43852.9986111111)</f>
        <v/>
      </c>
      <c r="AL760" s="6">
        <f>IFERROR(__xludf.DUMMYFUNCTION("""COMPUTED_VALUE"""),8658.842)</f>
        <v/>
      </c>
      <c r="AP760" s="6">
        <f>AQ760&amp;AR760</f>
        <v/>
      </c>
      <c r="AQ760" s="6">
        <f>YEAR(AS760)</f>
        <v/>
      </c>
      <c r="AR760" s="6">
        <f>MONTH(AS760)</f>
        <v/>
      </c>
      <c r="AS760" s="267">
        <f>IFERROR(__xludf.DUMMYFUNCTION("""COMPUTED_VALUE"""),44209.9986111111)</f>
        <v/>
      </c>
      <c r="AT760" s="6">
        <f>IFERROR(__xludf.DUMMYFUNCTION("""COMPUTED_VALUE"""),1854.9)</f>
        <v/>
      </c>
    </row>
    <row r="761">
      <c r="B761" s="6">
        <f>C761&amp;D761</f>
        <v/>
      </c>
      <c r="C761" s="6">
        <f>YEAR(E761)</f>
        <v/>
      </c>
      <c r="D761" s="6">
        <f>MONTH(E761)</f>
        <v/>
      </c>
      <c r="E761" s="267">
        <f>IFERROR(__xludf.DUMMYFUNCTION("""COMPUTED_VALUE"""),44202.6666666666)</f>
        <v/>
      </c>
      <c r="F761" s="6">
        <f>IFERROR(__xludf.DUMMYFUNCTION("""COMPUTED_VALUE"""),3748.14)</f>
        <v/>
      </c>
      <c r="J761" s="6">
        <f>K761&amp;L761</f>
        <v/>
      </c>
      <c r="K761" s="6">
        <f>YEAR(M761)</f>
        <v/>
      </c>
      <c r="L761" s="6">
        <f>MONTH(M761)</f>
        <v/>
      </c>
      <c r="M761" s="267">
        <f>IFERROR(__xludf.DUMMYFUNCTION("""COMPUTED_VALUE"""),44194.6666666666)</f>
        <v/>
      </c>
      <c r="N761" s="6">
        <f>IFERROR(__xludf.DUMMYFUNCTION("""COMPUTED_VALUE"""),12850.22)</f>
        <v/>
      </c>
      <c r="R761" s="6">
        <f>S761&amp;T761</f>
        <v/>
      </c>
      <c r="S761" s="6">
        <f>YEAR(U761)</f>
        <v/>
      </c>
      <c r="T761" s="6">
        <f>MONTH(U761)</f>
        <v/>
      </c>
      <c r="U761" s="267">
        <f>IFERROR(__xludf.DUMMYFUNCTION("""COMPUTED_VALUE"""),44232.6458333333)</f>
        <v/>
      </c>
      <c r="V761" s="6">
        <f>IFERROR(__xludf.DUMMYFUNCTION("""COMPUTED_VALUE"""),3120.63)</f>
        <v/>
      </c>
      <c r="Z761" s="6">
        <f>AA761&amp;AB761</f>
        <v/>
      </c>
      <c r="AA761" s="6">
        <f>YEAR(AC761)</f>
        <v/>
      </c>
      <c r="AB761" s="6">
        <f>MONTH(AC761)</f>
        <v/>
      </c>
      <c r="AC761" s="267">
        <f>IFERROR(__xludf.DUMMYFUNCTION("""COMPUTED_VALUE"""),43897.9986111111)</f>
        <v/>
      </c>
      <c r="AD761" s="6">
        <f>IFERROR(__xludf.DUMMYFUNCTION("""COMPUTED_VALUE"""),1187.8)</f>
        <v/>
      </c>
      <c r="AH761" s="6">
        <f>AI761&amp;AJ761</f>
        <v/>
      </c>
      <c r="AI761" s="6">
        <f>YEAR(AK761)</f>
        <v/>
      </c>
      <c r="AJ761" s="6">
        <f>MONTH(AK761)</f>
        <v/>
      </c>
      <c r="AK761" s="267">
        <f>IFERROR(__xludf.DUMMYFUNCTION("""COMPUTED_VALUE"""),43853.9986111111)</f>
        <v/>
      </c>
      <c r="AL761" s="6">
        <f>IFERROR(__xludf.DUMMYFUNCTION("""COMPUTED_VALUE"""),8382.628)</f>
        <v/>
      </c>
      <c r="AP761" s="6">
        <f>AQ761&amp;AR761</f>
        <v/>
      </c>
      <c r="AQ761" s="6">
        <f>YEAR(AS761)</f>
        <v/>
      </c>
      <c r="AR761" s="6">
        <f>MONTH(AS761)</f>
        <v/>
      </c>
      <c r="AS761" s="267">
        <f>IFERROR(__xludf.DUMMYFUNCTION("""COMPUTED_VALUE"""),44210.9986111111)</f>
        <v/>
      </c>
      <c r="AT761" s="6">
        <f>IFERROR(__xludf.DUMMYFUNCTION("""COMPUTED_VALUE"""),1851.4)</f>
        <v/>
      </c>
    </row>
    <row r="762">
      <c r="B762" s="6">
        <f>C762&amp;D762</f>
        <v/>
      </c>
      <c r="C762" s="6">
        <f>YEAR(E762)</f>
        <v/>
      </c>
      <c r="D762" s="6">
        <f>MONTH(E762)</f>
        <v/>
      </c>
      <c r="E762" s="267">
        <f>IFERROR(__xludf.DUMMYFUNCTION("""COMPUTED_VALUE"""),44203.6666666666)</f>
        <v/>
      </c>
      <c r="F762" s="6">
        <f>IFERROR(__xludf.DUMMYFUNCTION("""COMPUTED_VALUE"""),3803.79)</f>
        <v/>
      </c>
      <c r="J762" s="6">
        <f>K762&amp;L762</f>
        <v/>
      </c>
      <c r="K762" s="6">
        <f>YEAR(M762)</f>
        <v/>
      </c>
      <c r="L762" s="6">
        <f>MONTH(M762)</f>
        <v/>
      </c>
      <c r="M762" s="267">
        <f>IFERROR(__xludf.DUMMYFUNCTION("""COMPUTED_VALUE"""),44195.6666666666)</f>
        <v/>
      </c>
      <c r="N762" s="6">
        <f>IFERROR(__xludf.DUMMYFUNCTION("""COMPUTED_VALUE"""),12870)</f>
        <v/>
      </c>
      <c r="R762" s="6">
        <f>S762&amp;T762</f>
        <v/>
      </c>
      <c r="S762" s="6">
        <f>YEAR(U762)</f>
        <v/>
      </c>
      <c r="T762" s="6">
        <f>MONTH(U762)</f>
        <v/>
      </c>
      <c r="U762" s="267">
        <f>IFERROR(__xludf.DUMMYFUNCTION("""COMPUTED_VALUE"""),44235.6458333333)</f>
        <v/>
      </c>
      <c r="V762" s="6">
        <f>IFERROR(__xludf.DUMMYFUNCTION("""COMPUTED_VALUE"""),3091.24)</f>
        <v/>
      </c>
      <c r="Z762" s="6">
        <f>AA762&amp;AB762</f>
        <v/>
      </c>
      <c r="AA762" s="6">
        <f>YEAR(AC762)</f>
        <v/>
      </c>
      <c r="AB762" s="6">
        <f>MONTH(AC762)</f>
        <v/>
      </c>
      <c r="AC762" s="267">
        <f>IFERROR(__xludf.DUMMYFUNCTION("""COMPUTED_VALUE"""),43898.9986111111)</f>
        <v/>
      </c>
      <c r="AD762" s="6">
        <f>IFERROR(__xludf.DUMMYFUNCTION("""COMPUTED_VALUE"""),1187.7)</f>
        <v/>
      </c>
      <c r="AH762" s="6">
        <f>AI762&amp;AJ762</f>
        <v/>
      </c>
      <c r="AI762" s="6">
        <f>YEAR(AK762)</f>
        <v/>
      </c>
      <c r="AJ762" s="6">
        <f>MONTH(AK762)</f>
        <v/>
      </c>
      <c r="AK762" s="267">
        <f>IFERROR(__xludf.DUMMYFUNCTION("""COMPUTED_VALUE"""),43854.9986111111)</f>
        <v/>
      </c>
      <c r="AL762" s="6">
        <f>IFERROR(__xludf.DUMMYFUNCTION("""COMPUTED_VALUE"""),8429.902)</f>
        <v/>
      </c>
      <c r="AP762" s="6">
        <f>AQ762&amp;AR762</f>
        <v/>
      </c>
      <c r="AQ762" s="6">
        <f>YEAR(AS762)</f>
        <v/>
      </c>
      <c r="AR762" s="6">
        <f>MONTH(AS762)</f>
        <v/>
      </c>
      <c r="AS762" s="267">
        <f>IFERROR(__xludf.DUMMYFUNCTION("""COMPUTED_VALUE"""),44211.9986111111)</f>
        <v/>
      </c>
      <c r="AT762" s="6">
        <f>IFERROR(__xludf.DUMMYFUNCTION("""COMPUTED_VALUE"""),1829.9)</f>
        <v/>
      </c>
    </row>
    <row r="763">
      <c r="B763" s="6">
        <f>C763&amp;D763</f>
        <v/>
      </c>
      <c r="C763" s="6">
        <f>YEAR(E763)</f>
        <v/>
      </c>
      <c r="D763" s="6">
        <f>MONTH(E763)</f>
        <v/>
      </c>
      <c r="E763" s="267">
        <f>IFERROR(__xludf.DUMMYFUNCTION("""COMPUTED_VALUE"""),44204.6666666666)</f>
        <v/>
      </c>
      <c r="F763" s="6">
        <f>IFERROR(__xludf.DUMMYFUNCTION("""COMPUTED_VALUE"""),3824.68)</f>
        <v/>
      </c>
      <c r="J763" s="6">
        <f>K763&amp;L763</f>
        <v/>
      </c>
      <c r="K763" s="6">
        <f>YEAR(M763)</f>
        <v/>
      </c>
      <c r="L763" s="6">
        <f>MONTH(M763)</f>
        <v/>
      </c>
      <c r="M763" s="267">
        <f>IFERROR(__xludf.DUMMYFUNCTION("""COMPUTED_VALUE"""),44196.6666666666)</f>
        <v/>
      </c>
      <c r="N763" s="6">
        <f>IFERROR(__xludf.DUMMYFUNCTION("""COMPUTED_VALUE"""),12888.28)</f>
        <v/>
      </c>
      <c r="R763" s="6">
        <f>S763&amp;T763</f>
        <v/>
      </c>
      <c r="S763" s="6">
        <f>YEAR(U763)</f>
        <v/>
      </c>
      <c r="T763" s="6">
        <f>MONTH(U763)</f>
        <v/>
      </c>
      <c r="U763" s="267">
        <f>IFERROR(__xludf.DUMMYFUNCTION("""COMPUTED_VALUE"""),44236.6458333333)</f>
        <v/>
      </c>
      <c r="V763" s="6">
        <f>IFERROR(__xludf.DUMMYFUNCTION("""COMPUTED_VALUE"""),3084.67)</f>
        <v/>
      </c>
      <c r="Z763" s="6">
        <f>AA763&amp;AB763</f>
        <v/>
      </c>
      <c r="AA763" s="6">
        <f>YEAR(AC763)</f>
        <v/>
      </c>
      <c r="AB763" s="6">
        <f>MONTH(AC763)</f>
        <v/>
      </c>
      <c r="AC763" s="267">
        <f>IFERROR(__xludf.DUMMYFUNCTION("""COMPUTED_VALUE"""),43899.9986111111)</f>
        <v/>
      </c>
      <c r="AD763" s="6">
        <f>IFERROR(__xludf.DUMMYFUNCTION("""COMPUTED_VALUE"""),1199.96)</f>
        <v/>
      </c>
      <c r="AH763" s="6">
        <f>AI763&amp;AJ763</f>
        <v/>
      </c>
      <c r="AI763" s="6">
        <f>YEAR(AK763)</f>
        <v/>
      </c>
      <c r="AJ763" s="6">
        <f>MONTH(AK763)</f>
        <v/>
      </c>
      <c r="AK763" s="267">
        <f>IFERROR(__xludf.DUMMYFUNCTION("""COMPUTED_VALUE"""),43855.9986111111)</f>
        <v/>
      </c>
      <c r="AL763" s="6">
        <f>IFERROR(__xludf.DUMMYFUNCTION("""COMPUTED_VALUE"""),8337.552)</f>
        <v/>
      </c>
      <c r="AP763" s="6">
        <f>AQ763&amp;AR763</f>
        <v/>
      </c>
      <c r="AQ763" s="6">
        <f>YEAR(AS763)</f>
        <v/>
      </c>
      <c r="AR763" s="6">
        <f>MONTH(AS763)</f>
        <v/>
      </c>
      <c r="AS763" s="267">
        <f>IFERROR(__xludf.DUMMYFUNCTION("""COMPUTED_VALUE"""),44215.9986111111)</f>
        <v/>
      </c>
      <c r="AT763" s="6">
        <f>IFERROR(__xludf.DUMMYFUNCTION("""COMPUTED_VALUE"""),1840.2)</f>
        <v/>
      </c>
    </row>
    <row r="764">
      <c r="B764" s="6">
        <f>C764&amp;D764</f>
        <v/>
      </c>
      <c r="C764" s="6">
        <f>YEAR(E764)</f>
        <v/>
      </c>
      <c r="D764" s="6">
        <f>MONTH(E764)</f>
        <v/>
      </c>
      <c r="E764" s="267">
        <f>IFERROR(__xludf.DUMMYFUNCTION("""COMPUTED_VALUE"""),44207.6666666666)</f>
        <v/>
      </c>
      <c r="F764" s="6">
        <f>IFERROR(__xludf.DUMMYFUNCTION("""COMPUTED_VALUE"""),3799.61)</f>
        <v/>
      </c>
      <c r="J764" s="6">
        <f>K764&amp;L764</f>
        <v/>
      </c>
      <c r="K764" s="6">
        <f>YEAR(M764)</f>
        <v/>
      </c>
      <c r="L764" s="6">
        <f>MONTH(M764)</f>
        <v/>
      </c>
      <c r="M764" s="267">
        <f>IFERROR(__xludf.DUMMYFUNCTION("""COMPUTED_VALUE"""),44200.6666666666)</f>
        <v/>
      </c>
      <c r="N764" s="6">
        <f>IFERROR(__xludf.DUMMYFUNCTION("""COMPUTED_VALUE"""),12698.45)</f>
        <v/>
      </c>
      <c r="R764" s="6">
        <f>S764&amp;T764</f>
        <v/>
      </c>
      <c r="S764" s="6">
        <f>YEAR(U764)</f>
        <v/>
      </c>
      <c r="T764" s="6">
        <f>MONTH(U764)</f>
        <v/>
      </c>
      <c r="U764" s="267">
        <f>IFERROR(__xludf.DUMMYFUNCTION("""COMPUTED_VALUE"""),44237.6458333333)</f>
        <v/>
      </c>
      <c r="V764" s="6">
        <f>IFERROR(__xludf.DUMMYFUNCTION("""COMPUTED_VALUE"""),3100.58)</f>
        <v/>
      </c>
      <c r="Z764" s="6">
        <f>AA764&amp;AB764</f>
        <v/>
      </c>
      <c r="AA764" s="6">
        <f>YEAR(AC764)</f>
        <v/>
      </c>
      <c r="AB764" s="6">
        <f>MONTH(AC764)</f>
        <v/>
      </c>
      <c r="AC764" s="267">
        <f>IFERROR(__xludf.DUMMYFUNCTION("""COMPUTED_VALUE"""),43900.9986111111)</f>
        <v/>
      </c>
      <c r="AD764" s="6">
        <f>IFERROR(__xludf.DUMMYFUNCTION("""COMPUTED_VALUE"""),1184.7)</f>
        <v/>
      </c>
      <c r="AH764" s="6">
        <f>AI764&amp;AJ764</f>
        <v/>
      </c>
      <c r="AI764" s="6">
        <f>YEAR(AK764)</f>
        <v/>
      </c>
      <c r="AJ764" s="6">
        <f>MONTH(AK764)</f>
        <v/>
      </c>
      <c r="AK764" s="267">
        <f>IFERROR(__xludf.DUMMYFUNCTION("""COMPUTED_VALUE"""),43856.9986111111)</f>
        <v/>
      </c>
      <c r="AL764" s="6">
        <f>IFERROR(__xludf.DUMMYFUNCTION("""COMPUTED_VALUE"""),8596.776)</f>
        <v/>
      </c>
      <c r="AP764" s="6">
        <f>AQ764&amp;AR764</f>
        <v/>
      </c>
      <c r="AQ764" s="6">
        <f>YEAR(AS764)</f>
        <v/>
      </c>
      <c r="AR764" s="6">
        <f>MONTH(AS764)</f>
        <v/>
      </c>
      <c r="AS764" s="267">
        <f>IFERROR(__xludf.DUMMYFUNCTION("""COMPUTED_VALUE"""),44216.9986111111)</f>
        <v/>
      </c>
      <c r="AT764" s="6">
        <f>IFERROR(__xludf.DUMMYFUNCTION("""COMPUTED_VALUE"""),1870.2)</f>
        <v/>
      </c>
    </row>
    <row r="765">
      <c r="B765" s="6">
        <f>C765&amp;D765</f>
        <v/>
      </c>
      <c r="C765" s="6">
        <f>YEAR(E765)</f>
        <v/>
      </c>
      <c r="D765" s="6">
        <f>MONTH(E765)</f>
        <v/>
      </c>
      <c r="E765" s="267">
        <f>IFERROR(__xludf.DUMMYFUNCTION("""COMPUTED_VALUE"""),44208.6666666666)</f>
        <v/>
      </c>
      <c r="F765" s="6">
        <f>IFERROR(__xludf.DUMMYFUNCTION("""COMPUTED_VALUE"""),3801.19)</f>
        <v/>
      </c>
      <c r="J765" s="6">
        <f>K765&amp;L765</f>
        <v/>
      </c>
      <c r="K765" s="6">
        <f>YEAR(M765)</f>
        <v/>
      </c>
      <c r="L765" s="6">
        <f>MONTH(M765)</f>
        <v/>
      </c>
      <c r="M765" s="267">
        <f>IFERROR(__xludf.DUMMYFUNCTION("""COMPUTED_VALUE"""),44201.6666666666)</f>
        <v/>
      </c>
      <c r="N765" s="6">
        <f>IFERROR(__xludf.DUMMYFUNCTION("""COMPUTED_VALUE"""),12818.96)</f>
        <v/>
      </c>
      <c r="R765" s="6">
        <f>S765&amp;T765</f>
        <v/>
      </c>
      <c r="S765" s="6">
        <f>YEAR(U765)</f>
        <v/>
      </c>
      <c r="T765" s="6">
        <f>MONTH(U765)</f>
        <v/>
      </c>
      <c r="U765" s="267">
        <f>IFERROR(__xludf.DUMMYFUNCTION("""COMPUTED_VALUE"""),44242.6458333333)</f>
        <v/>
      </c>
      <c r="V765" s="6">
        <f>IFERROR(__xludf.DUMMYFUNCTION("""COMPUTED_VALUE"""),3147)</f>
        <v/>
      </c>
      <c r="Z765" s="6">
        <f>AA765&amp;AB765</f>
        <v/>
      </c>
      <c r="AA765" s="6">
        <f>YEAR(AC765)</f>
        <v/>
      </c>
      <c r="AB765" s="6">
        <f>MONTH(AC765)</f>
        <v/>
      </c>
      <c r="AC765" s="267">
        <f>IFERROR(__xludf.DUMMYFUNCTION("""COMPUTED_VALUE"""),43901.9986111111)</f>
        <v/>
      </c>
      <c r="AD765" s="6">
        <f>IFERROR(__xludf.DUMMYFUNCTION("""COMPUTED_VALUE"""),1189.39)</f>
        <v/>
      </c>
      <c r="AH765" s="6">
        <f>AI765&amp;AJ765</f>
        <v/>
      </c>
      <c r="AI765" s="6">
        <f>YEAR(AK765)</f>
        <v/>
      </c>
      <c r="AJ765" s="6">
        <f>MONTH(AK765)</f>
        <v/>
      </c>
      <c r="AK765" s="267">
        <f>IFERROR(__xludf.DUMMYFUNCTION("""COMPUTED_VALUE"""),43857.9986111111)</f>
        <v/>
      </c>
      <c r="AL765" s="6">
        <f>IFERROR(__xludf.DUMMYFUNCTION("""COMPUTED_VALUE"""),8897.197)</f>
        <v/>
      </c>
      <c r="AP765" s="6">
        <f>AQ765&amp;AR765</f>
        <v/>
      </c>
      <c r="AQ765" s="6">
        <f>YEAR(AS765)</f>
        <v/>
      </c>
      <c r="AR765" s="6">
        <f>MONTH(AS765)</f>
        <v/>
      </c>
      <c r="AS765" s="267">
        <f>IFERROR(__xludf.DUMMYFUNCTION("""COMPUTED_VALUE"""),44217.9986111111)</f>
        <v/>
      </c>
      <c r="AT765" s="6">
        <f>IFERROR(__xludf.DUMMYFUNCTION("""COMPUTED_VALUE"""),1869.3)</f>
        <v/>
      </c>
    </row>
    <row r="766">
      <c r="B766" s="6">
        <f>C766&amp;D766</f>
        <v/>
      </c>
      <c r="C766" s="6">
        <f>YEAR(E766)</f>
        <v/>
      </c>
      <c r="D766" s="6">
        <f>MONTH(E766)</f>
        <v/>
      </c>
      <c r="E766" s="267">
        <f>IFERROR(__xludf.DUMMYFUNCTION("""COMPUTED_VALUE"""),44209.6666666666)</f>
        <v/>
      </c>
      <c r="F766" s="6">
        <f>IFERROR(__xludf.DUMMYFUNCTION("""COMPUTED_VALUE"""),3809.84)</f>
        <v/>
      </c>
      <c r="J766" s="6">
        <f>K766&amp;L766</f>
        <v/>
      </c>
      <c r="K766" s="6">
        <f>YEAR(M766)</f>
        <v/>
      </c>
      <c r="L766" s="6">
        <f>MONTH(M766)</f>
        <v/>
      </c>
      <c r="M766" s="267">
        <f>IFERROR(__xludf.DUMMYFUNCTION("""COMPUTED_VALUE"""),44202.6666666666)</f>
        <v/>
      </c>
      <c r="N766" s="6">
        <f>IFERROR(__xludf.DUMMYFUNCTION("""COMPUTED_VALUE"""),12740.79)</f>
        <v/>
      </c>
      <c r="R766" s="6">
        <f>S766&amp;T766</f>
        <v/>
      </c>
      <c r="S766" s="6">
        <f>YEAR(U766)</f>
        <v/>
      </c>
      <c r="T766" s="6">
        <f>MONTH(U766)</f>
        <v/>
      </c>
      <c r="U766" s="267">
        <f>IFERROR(__xludf.DUMMYFUNCTION("""COMPUTED_VALUE"""),44243.6458333333)</f>
        <v/>
      </c>
      <c r="V766" s="6">
        <f>IFERROR(__xludf.DUMMYFUNCTION("""COMPUTED_VALUE"""),3163.25)</f>
        <v/>
      </c>
      <c r="Z766" s="6">
        <f>AA766&amp;AB766</f>
        <v/>
      </c>
      <c r="AA766" s="6">
        <f>YEAR(AC766)</f>
        <v/>
      </c>
      <c r="AB766" s="6">
        <f>MONTH(AC766)</f>
        <v/>
      </c>
      <c r="AC766" s="267">
        <f>IFERROR(__xludf.DUMMYFUNCTION("""COMPUTED_VALUE"""),43902.9986111111)</f>
        <v/>
      </c>
      <c r="AD766" s="6">
        <f>IFERROR(__xludf.DUMMYFUNCTION("""COMPUTED_VALUE"""),1209.97)</f>
        <v/>
      </c>
      <c r="AH766" s="6">
        <f>AI766&amp;AJ766</f>
        <v/>
      </c>
      <c r="AI766" s="6">
        <f>YEAR(AK766)</f>
        <v/>
      </c>
      <c r="AJ766" s="6">
        <f>MONTH(AK766)</f>
        <v/>
      </c>
      <c r="AK766" s="267">
        <f>IFERROR(__xludf.DUMMYFUNCTION("""COMPUTED_VALUE"""),43858.9986111111)</f>
        <v/>
      </c>
      <c r="AL766" s="6">
        <f>IFERROR(__xludf.DUMMYFUNCTION("""COMPUTED_VALUE"""),9386.535)</f>
        <v/>
      </c>
      <c r="AP766" s="6">
        <f>AQ766&amp;AR766</f>
        <v/>
      </c>
      <c r="AQ766" s="6">
        <f>YEAR(AS766)</f>
        <v/>
      </c>
      <c r="AR766" s="6">
        <f>MONTH(AS766)</f>
        <v/>
      </c>
      <c r="AS766" s="267">
        <f>IFERROR(__xludf.DUMMYFUNCTION("""COMPUTED_VALUE"""),44218.9986111111)</f>
        <v/>
      </c>
      <c r="AT766" s="6">
        <f>IFERROR(__xludf.DUMMYFUNCTION("""COMPUTED_VALUE"""),1859.9)</f>
        <v/>
      </c>
    </row>
    <row r="767">
      <c r="B767" s="6">
        <f>C767&amp;D767</f>
        <v/>
      </c>
      <c r="C767" s="6">
        <f>YEAR(E767)</f>
        <v/>
      </c>
      <c r="D767" s="6">
        <f>MONTH(E767)</f>
        <v/>
      </c>
      <c r="E767" s="267">
        <f>IFERROR(__xludf.DUMMYFUNCTION("""COMPUTED_VALUE"""),44210.6666666666)</f>
        <v/>
      </c>
      <c r="F767" s="6">
        <f>IFERROR(__xludf.DUMMYFUNCTION("""COMPUTED_VALUE"""),3795.54)</f>
        <v/>
      </c>
      <c r="J767" s="6">
        <f>K767&amp;L767</f>
        <v/>
      </c>
      <c r="K767" s="6">
        <f>YEAR(M767)</f>
        <v/>
      </c>
      <c r="L767" s="6">
        <f>MONTH(M767)</f>
        <v/>
      </c>
      <c r="M767" s="267">
        <f>IFERROR(__xludf.DUMMYFUNCTION("""COMPUTED_VALUE"""),44203.6666666666)</f>
        <v/>
      </c>
      <c r="N767" s="6">
        <f>IFERROR(__xludf.DUMMYFUNCTION("""COMPUTED_VALUE"""),13067.48)</f>
        <v/>
      </c>
      <c r="R767" s="6">
        <f>S767&amp;T767</f>
        <v/>
      </c>
      <c r="S767" s="6">
        <f>YEAR(U767)</f>
        <v/>
      </c>
      <c r="T767" s="6">
        <f>MONTH(U767)</f>
        <v/>
      </c>
      <c r="U767" s="267">
        <f>IFERROR(__xludf.DUMMYFUNCTION("""COMPUTED_VALUE"""),44244.6458333333)</f>
        <v/>
      </c>
      <c r="V767" s="6">
        <f>IFERROR(__xludf.DUMMYFUNCTION("""COMPUTED_VALUE"""),3133.73)</f>
        <v/>
      </c>
      <c r="Z767" s="6">
        <f>AA767&amp;AB767</f>
        <v/>
      </c>
      <c r="AA767" s="6">
        <f>YEAR(AC767)</f>
        <v/>
      </c>
      <c r="AB767" s="6">
        <f>MONTH(AC767)</f>
        <v/>
      </c>
      <c r="AC767" s="267">
        <f>IFERROR(__xludf.DUMMYFUNCTION("""COMPUTED_VALUE"""),43903.9986111111)</f>
        <v/>
      </c>
      <c r="AD767" s="6">
        <f>IFERROR(__xludf.DUMMYFUNCTION("""COMPUTED_VALUE"""),1210.8)</f>
        <v/>
      </c>
      <c r="AH767" s="6">
        <f>AI767&amp;AJ767</f>
        <v/>
      </c>
      <c r="AI767" s="6">
        <f>YEAR(AK767)</f>
        <v/>
      </c>
      <c r="AJ767" s="6">
        <f>MONTH(AK767)</f>
        <v/>
      </c>
      <c r="AK767" s="267">
        <f>IFERROR(__xludf.DUMMYFUNCTION("""COMPUTED_VALUE"""),43859.9986111111)</f>
        <v/>
      </c>
      <c r="AL767" s="6">
        <f>IFERROR(__xludf.DUMMYFUNCTION("""COMPUTED_VALUE"""),9287.392)</f>
        <v/>
      </c>
      <c r="AP767" s="6">
        <f>AQ767&amp;AR767</f>
        <v/>
      </c>
      <c r="AQ767" s="6">
        <f>YEAR(AS767)</f>
        <v/>
      </c>
      <c r="AR767" s="6">
        <f>MONTH(AS767)</f>
        <v/>
      </c>
      <c r="AS767" s="267">
        <f>IFERROR(__xludf.DUMMYFUNCTION("""COMPUTED_VALUE"""),44221.9986111111)</f>
        <v/>
      </c>
      <c r="AT767" s="6">
        <f>IFERROR(__xludf.DUMMYFUNCTION("""COMPUTED_VALUE"""),1859)</f>
        <v/>
      </c>
    </row>
    <row r="768">
      <c r="B768" s="6">
        <f>C768&amp;D768</f>
        <v/>
      </c>
      <c r="C768" s="6">
        <f>YEAR(E768)</f>
        <v/>
      </c>
      <c r="D768" s="6">
        <f>MONTH(E768)</f>
        <v/>
      </c>
      <c r="E768" s="267">
        <f>IFERROR(__xludf.DUMMYFUNCTION("""COMPUTED_VALUE"""),44211.6666666666)</f>
        <v/>
      </c>
      <c r="F768" s="6">
        <f>IFERROR(__xludf.DUMMYFUNCTION("""COMPUTED_VALUE"""),3768.25)</f>
        <v/>
      </c>
      <c r="J768" s="6">
        <f>K768&amp;L768</f>
        <v/>
      </c>
      <c r="K768" s="6">
        <f>YEAR(M768)</f>
        <v/>
      </c>
      <c r="L768" s="6">
        <f>MONTH(M768)</f>
        <v/>
      </c>
      <c r="M768" s="267">
        <f>IFERROR(__xludf.DUMMYFUNCTION("""COMPUTED_VALUE"""),44204.6666666666)</f>
        <v/>
      </c>
      <c r="N768" s="6">
        <f>IFERROR(__xludf.DUMMYFUNCTION("""COMPUTED_VALUE"""),13201.98)</f>
        <v/>
      </c>
      <c r="R768" s="6">
        <f>S768&amp;T768</f>
        <v/>
      </c>
      <c r="S768" s="6">
        <f>YEAR(U768)</f>
        <v/>
      </c>
      <c r="T768" s="6">
        <f>MONTH(U768)</f>
        <v/>
      </c>
      <c r="U768" s="267">
        <f>IFERROR(__xludf.DUMMYFUNCTION("""COMPUTED_VALUE"""),44245.6458333333)</f>
        <v/>
      </c>
      <c r="V768" s="6">
        <f>IFERROR(__xludf.DUMMYFUNCTION("""COMPUTED_VALUE"""),3086.66)</f>
        <v/>
      </c>
      <c r="Z768" s="6">
        <f>AA768&amp;AB768</f>
        <v/>
      </c>
      <c r="AA768" s="6">
        <f>YEAR(AC768)</f>
        <v/>
      </c>
      <c r="AB768" s="6">
        <f>MONTH(AC768)</f>
        <v/>
      </c>
      <c r="AC768" s="267">
        <f>IFERROR(__xludf.DUMMYFUNCTION("""COMPUTED_VALUE"""),43904.9986111111)</f>
        <v/>
      </c>
      <c r="AD768" s="6">
        <f>IFERROR(__xludf.DUMMYFUNCTION("""COMPUTED_VALUE"""),1210.8)</f>
        <v/>
      </c>
      <c r="AH768" s="6">
        <f>AI768&amp;AJ768</f>
        <v/>
      </c>
      <c r="AI768" s="6">
        <f>YEAR(AK768)</f>
        <v/>
      </c>
      <c r="AJ768" s="6">
        <f>MONTH(AK768)</f>
        <v/>
      </c>
      <c r="AK768" s="267">
        <f>IFERROR(__xludf.DUMMYFUNCTION("""COMPUTED_VALUE"""),43860.9986111111)</f>
        <v/>
      </c>
      <c r="AL768" s="6">
        <f>IFERROR(__xludf.DUMMYFUNCTION("""COMPUTED_VALUE"""),9502.2)</f>
        <v/>
      </c>
      <c r="AP768" s="6">
        <f>AQ768&amp;AR768</f>
        <v/>
      </c>
      <c r="AQ768" s="6">
        <f>YEAR(AS768)</f>
        <v/>
      </c>
      <c r="AR768" s="6">
        <f>MONTH(AS768)</f>
        <v/>
      </c>
      <c r="AS768" s="267">
        <f>IFERROR(__xludf.DUMMYFUNCTION("""COMPUTED_VALUE"""),44222.9986111111)</f>
        <v/>
      </c>
      <c r="AT768" s="6">
        <f>IFERROR(__xludf.DUMMYFUNCTION("""COMPUTED_VALUE"""),1854.8)</f>
        <v/>
      </c>
    </row>
    <row r="769">
      <c r="B769" s="6">
        <f>C769&amp;D769</f>
        <v/>
      </c>
      <c r="C769" s="6">
        <f>YEAR(E769)</f>
        <v/>
      </c>
      <c r="D769" s="6">
        <f>MONTH(E769)</f>
        <v/>
      </c>
      <c r="E769" s="267">
        <f>IFERROR(__xludf.DUMMYFUNCTION("""COMPUTED_VALUE"""),44215.6666666666)</f>
        <v/>
      </c>
      <c r="F769" s="6">
        <f>IFERROR(__xludf.DUMMYFUNCTION("""COMPUTED_VALUE"""),3798.91)</f>
        <v/>
      </c>
      <c r="J769" s="6">
        <f>K769&amp;L769</f>
        <v/>
      </c>
      <c r="K769" s="6">
        <f>YEAR(M769)</f>
        <v/>
      </c>
      <c r="L769" s="6">
        <f>MONTH(M769)</f>
        <v/>
      </c>
      <c r="M769" s="267">
        <f>IFERROR(__xludf.DUMMYFUNCTION("""COMPUTED_VALUE"""),44207.6666666666)</f>
        <v/>
      </c>
      <c r="N769" s="6">
        <f>IFERROR(__xludf.DUMMYFUNCTION("""COMPUTED_VALUE"""),13036.43)</f>
        <v/>
      </c>
      <c r="R769" s="6">
        <f>S769&amp;T769</f>
        <v/>
      </c>
      <c r="S769" s="6">
        <f>YEAR(U769)</f>
        <v/>
      </c>
      <c r="T769" s="6">
        <f>MONTH(U769)</f>
        <v/>
      </c>
      <c r="U769" s="267">
        <f>IFERROR(__xludf.DUMMYFUNCTION("""COMPUTED_VALUE"""),44246.6458333333)</f>
        <v/>
      </c>
      <c r="V769" s="6">
        <f>IFERROR(__xludf.DUMMYFUNCTION("""COMPUTED_VALUE"""),3107.62)</f>
        <v/>
      </c>
      <c r="Z769" s="6">
        <f>AA769&amp;AB769</f>
        <v/>
      </c>
      <c r="AA769" s="6">
        <f>YEAR(AC769)</f>
        <v/>
      </c>
      <c r="AB769" s="6">
        <f>MONTH(AC769)</f>
        <v/>
      </c>
      <c r="AC769" s="267">
        <f>IFERROR(__xludf.DUMMYFUNCTION("""COMPUTED_VALUE"""),43905.9986111111)</f>
        <v/>
      </c>
      <c r="AD769" s="6">
        <f>IFERROR(__xludf.DUMMYFUNCTION("""COMPUTED_VALUE"""),1210.8)</f>
        <v/>
      </c>
      <c r="AH769" s="6">
        <f>AI769&amp;AJ769</f>
        <v/>
      </c>
      <c r="AI769" s="6">
        <f>YEAR(AK769)</f>
        <v/>
      </c>
      <c r="AJ769" s="6">
        <f>MONTH(AK769)</f>
        <v/>
      </c>
      <c r="AK769" s="267">
        <f>IFERROR(__xludf.DUMMYFUNCTION("""COMPUTED_VALUE"""),43861.9986111111)</f>
        <v/>
      </c>
      <c r="AL769" s="6">
        <f>IFERROR(__xludf.DUMMYFUNCTION("""COMPUTED_VALUE"""),9338.332)</f>
        <v/>
      </c>
      <c r="AP769" s="6">
        <f>AQ769&amp;AR769</f>
        <v/>
      </c>
      <c r="AQ769" s="6">
        <f>YEAR(AS769)</f>
        <v/>
      </c>
      <c r="AR769" s="6">
        <f>MONTH(AS769)</f>
        <v/>
      </c>
      <c r="AS769" s="267">
        <f>IFERROR(__xludf.DUMMYFUNCTION("""COMPUTED_VALUE"""),44223.9986111111)</f>
        <v/>
      </c>
      <c r="AT769" s="6">
        <f>IFERROR(__xludf.DUMMYFUNCTION("""COMPUTED_VALUE"""),1848.9)</f>
        <v/>
      </c>
    </row>
    <row r="770">
      <c r="B770" s="6">
        <f>C770&amp;D770</f>
        <v/>
      </c>
      <c r="C770" s="6">
        <f>YEAR(E770)</f>
        <v/>
      </c>
      <c r="D770" s="6">
        <f>MONTH(E770)</f>
        <v/>
      </c>
      <c r="E770" s="267">
        <f>IFERROR(__xludf.DUMMYFUNCTION("""COMPUTED_VALUE"""),44216.6666666666)</f>
        <v/>
      </c>
      <c r="F770" s="6">
        <f>IFERROR(__xludf.DUMMYFUNCTION("""COMPUTED_VALUE"""),3851.85)</f>
        <v/>
      </c>
      <c r="J770" s="6">
        <f>K770&amp;L770</f>
        <v/>
      </c>
      <c r="K770" s="6">
        <f>YEAR(M770)</f>
        <v/>
      </c>
      <c r="L770" s="6">
        <f>MONTH(M770)</f>
        <v/>
      </c>
      <c r="M770" s="267">
        <f>IFERROR(__xludf.DUMMYFUNCTION("""COMPUTED_VALUE"""),44208.6666666666)</f>
        <v/>
      </c>
      <c r="N770" s="6">
        <f>IFERROR(__xludf.DUMMYFUNCTION("""COMPUTED_VALUE"""),13072.43)</f>
        <v/>
      </c>
      <c r="R770" s="6">
        <f>S770&amp;T770</f>
        <v/>
      </c>
      <c r="S770" s="6">
        <f>YEAR(U770)</f>
        <v/>
      </c>
      <c r="T770" s="6">
        <f>MONTH(U770)</f>
        <v/>
      </c>
      <c r="U770" s="267">
        <f>IFERROR(__xludf.DUMMYFUNCTION("""COMPUTED_VALUE"""),44249.6458333333)</f>
        <v/>
      </c>
      <c r="V770" s="6">
        <f>IFERROR(__xludf.DUMMYFUNCTION("""COMPUTED_VALUE"""),3079.75)</f>
        <v/>
      </c>
      <c r="Z770" s="6">
        <f>AA770&amp;AB770</f>
        <v/>
      </c>
      <c r="AA770" s="6">
        <f>YEAR(AC770)</f>
        <v/>
      </c>
      <c r="AB770" s="6">
        <f>MONTH(AC770)</f>
        <v/>
      </c>
      <c r="AC770" s="267">
        <f>IFERROR(__xludf.DUMMYFUNCTION("""COMPUTED_VALUE"""),43906.9986111111)</f>
        <v/>
      </c>
      <c r="AD770" s="6">
        <f>IFERROR(__xludf.DUMMYFUNCTION("""COMPUTED_VALUE"""),1232.04)</f>
        <v/>
      </c>
      <c r="AH770" s="6">
        <f>AI770&amp;AJ770</f>
        <v/>
      </c>
      <c r="AI770" s="6">
        <f>YEAR(AK770)</f>
        <v/>
      </c>
      <c r="AJ770" s="6">
        <f>MONTH(AK770)</f>
        <v/>
      </c>
      <c r="AK770" s="267">
        <f>IFERROR(__xludf.DUMMYFUNCTION("""COMPUTED_VALUE"""),43862.9986111111)</f>
        <v/>
      </c>
      <c r="AL770" s="6">
        <f>IFERROR(__xludf.DUMMYFUNCTION("""COMPUTED_VALUE"""),9383.33)</f>
        <v/>
      </c>
      <c r="AP770" s="6">
        <f>AQ770&amp;AR770</f>
        <v/>
      </c>
      <c r="AQ770" s="6">
        <f>YEAR(AS770)</f>
        <v/>
      </c>
      <c r="AR770" s="6">
        <f>MONTH(AS770)</f>
        <v/>
      </c>
      <c r="AS770" s="267">
        <f>IFERROR(__xludf.DUMMYFUNCTION("""COMPUTED_VALUE"""),44224.9986111111)</f>
        <v/>
      </c>
      <c r="AT770" s="6">
        <f>IFERROR(__xludf.DUMMYFUNCTION("""COMPUTED_VALUE"""),1841.2)</f>
        <v/>
      </c>
    </row>
    <row r="771">
      <c r="B771" s="6">
        <f>C771&amp;D771</f>
        <v/>
      </c>
      <c r="C771" s="6">
        <f>YEAR(E771)</f>
        <v/>
      </c>
      <c r="D771" s="6">
        <f>MONTH(E771)</f>
        <v/>
      </c>
      <c r="E771" s="267">
        <f>IFERROR(__xludf.DUMMYFUNCTION("""COMPUTED_VALUE"""),44217.6666666666)</f>
        <v/>
      </c>
      <c r="F771" s="6">
        <f>IFERROR(__xludf.DUMMYFUNCTION("""COMPUTED_VALUE"""),3853.07)</f>
        <v/>
      </c>
      <c r="J771" s="6">
        <f>K771&amp;L771</f>
        <v/>
      </c>
      <c r="K771" s="6">
        <f>YEAR(M771)</f>
        <v/>
      </c>
      <c r="L771" s="6">
        <f>MONTH(M771)</f>
        <v/>
      </c>
      <c r="M771" s="267">
        <f>IFERROR(__xludf.DUMMYFUNCTION("""COMPUTED_VALUE"""),44209.6666666666)</f>
        <v/>
      </c>
      <c r="N771" s="6">
        <f>IFERROR(__xludf.DUMMYFUNCTION("""COMPUTED_VALUE"""),13128.95)</f>
        <v/>
      </c>
      <c r="R771" s="6">
        <f>S771&amp;T771</f>
        <v/>
      </c>
      <c r="S771" s="6">
        <f>YEAR(U771)</f>
        <v/>
      </c>
      <c r="T771" s="6">
        <f>MONTH(U771)</f>
        <v/>
      </c>
      <c r="U771" s="267">
        <f>IFERROR(__xludf.DUMMYFUNCTION("""COMPUTED_VALUE"""),44250.6458333333)</f>
        <v/>
      </c>
      <c r="V771" s="6">
        <f>IFERROR(__xludf.DUMMYFUNCTION("""COMPUTED_VALUE"""),3070.09)</f>
        <v/>
      </c>
      <c r="Z771" s="6">
        <f>AA771&amp;AB771</f>
        <v/>
      </c>
      <c r="AA771" s="6">
        <f>YEAR(AC771)</f>
        <v/>
      </c>
      <c r="AB771" s="6">
        <f>MONTH(AC771)</f>
        <v/>
      </c>
      <c r="AC771" s="267">
        <f>IFERROR(__xludf.DUMMYFUNCTION("""COMPUTED_VALUE"""),43907.9986111111)</f>
        <v/>
      </c>
      <c r="AD771" s="6">
        <f>IFERROR(__xludf.DUMMYFUNCTION("""COMPUTED_VALUE"""),1237.99)</f>
        <v/>
      </c>
      <c r="AH771" s="6">
        <f>AI771&amp;AJ771</f>
        <v/>
      </c>
      <c r="AI771" s="6">
        <f>YEAR(AK771)</f>
        <v/>
      </c>
      <c r="AJ771" s="6">
        <f>MONTH(AK771)</f>
        <v/>
      </c>
      <c r="AK771" s="267">
        <f>IFERROR(__xludf.DUMMYFUNCTION("""COMPUTED_VALUE"""),43863.9986111111)</f>
        <v/>
      </c>
      <c r="AL771" s="6">
        <f>IFERROR(__xludf.DUMMYFUNCTION("""COMPUTED_VALUE"""),9333.018)</f>
        <v/>
      </c>
      <c r="AP771" s="6">
        <f>AQ771&amp;AR771</f>
        <v/>
      </c>
      <c r="AQ771" s="6">
        <f>YEAR(AS771)</f>
        <v/>
      </c>
      <c r="AR771" s="6">
        <f>MONTH(AS771)</f>
        <v/>
      </c>
      <c r="AS771" s="267">
        <f>IFERROR(__xludf.DUMMYFUNCTION("""COMPUTED_VALUE"""),44225.9986111111)</f>
        <v/>
      </c>
      <c r="AT771" s="6">
        <f>IFERROR(__xludf.DUMMYFUNCTION("""COMPUTED_VALUE"""),1850.3)</f>
        <v/>
      </c>
    </row>
    <row r="772">
      <c r="B772" s="6">
        <f>C772&amp;D772</f>
        <v/>
      </c>
      <c r="C772" s="6">
        <f>YEAR(E772)</f>
        <v/>
      </c>
      <c r="D772" s="6">
        <f>MONTH(E772)</f>
        <v/>
      </c>
      <c r="E772" s="267">
        <f>IFERROR(__xludf.DUMMYFUNCTION("""COMPUTED_VALUE"""),44218.6666666666)</f>
        <v/>
      </c>
      <c r="F772" s="6">
        <f>IFERROR(__xludf.DUMMYFUNCTION("""COMPUTED_VALUE"""),3841.47)</f>
        <v/>
      </c>
      <c r="J772" s="6">
        <f>K772&amp;L772</f>
        <v/>
      </c>
      <c r="K772" s="6">
        <f>YEAR(M772)</f>
        <v/>
      </c>
      <c r="L772" s="6">
        <f>MONTH(M772)</f>
        <v/>
      </c>
      <c r="M772" s="267">
        <f>IFERROR(__xludf.DUMMYFUNCTION("""COMPUTED_VALUE"""),44210.6666666666)</f>
        <v/>
      </c>
      <c r="N772" s="6">
        <f>IFERROR(__xludf.DUMMYFUNCTION("""COMPUTED_VALUE"""),13112.64)</f>
        <v/>
      </c>
      <c r="R772" s="6">
        <f>S772&amp;T772</f>
        <v/>
      </c>
      <c r="S772" s="6">
        <f>YEAR(U772)</f>
        <v/>
      </c>
      <c r="T772" s="6">
        <f>MONTH(U772)</f>
        <v/>
      </c>
      <c r="U772" s="267">
        <f>IFERROR(__xludf.DUMMYFUNCTION("""COMPUTED_VALUE"""),44251.6458333333)</f>
        <v/>
      </c>
      <c r="V772" s="6">
        <f>IFERROR(__xludf.DUMMYFUNCTION("""COMPUTED_VALUE"""),2994.98)</f>
        <v/>
      </c>
      <c r="Z772" s="6">
        <f>AA772&amp;AB772</f>
        <v/>
      </c>
      <c r="AA772" s="6">
        <f>YEAR(AC772)</f>
        <v/>
      </c>
      <c r="AB772" s="6">
        <f>MONTH(AC772)</f>
        <v/>
      </c>
      <c r="AC772" s="267">
        <f>IFERROR(__xludf.DUMMYFUNCTION("""COMPUTED_VALUE"""),43908.9986111111)</f>
        <v/>
      </c>
      <c r="AD772" s="6">
        <f>IFERROR(__xludf.DUMMYFUNCTION("""COMPUTED_VALUE"""),1255.35)</f>
        <v/>
      </c>
      <c r="AH772" s="6">
        <f>AI772&amp;AJ772</f>
        <v/>
      </c>
      <c r="AI772" s="6">
        <f>YEAR(AK772)</f>
        <v/>
      </c>
      <c r="AJ772" s="6">
        <f>MONTH(AK772)</f>
        <v/>
      </c>
      <c r="AK772" s="267">
        <f>IFERROR(__xludf.DUMMYFUNCTION("""COMPUTED_VALUE"""),43864.9986111111)</f>
        <v/>
      </c>
      <c r="AL772" s="6">
        <f>IFERROR(__xludf.DUMMYFUNCTION("""COMPUTED_VALUE"""),9289.201)</f>
        <v/>
      </c>
      <c r="AP772" s="6">
        <f>AQ772&amp;AR772</f>
        <v/>
      </c>
      <c r="AQ772" s="6">
        <f>YEAR(AS772)</f>
        <v/>
      </c>
      <c r="AR772" s="6">
        <f>MONTH(AS772)</f>
        <v/>
      </c>
      <c r="AS772" s="267">
        <f>IFERROR(__xludf.DUMMYFUNCTION("""COMPUTED_VALUE"""),44228.9986111111)</f>
        <v/>
      </c>
      <c r="AT772" s="6">
        <f>IFERROR(__xludf.DUMMYFUNCTION("""COMPUTED_VALUE"""),1863.9)</f>
        <v/>
      </c>
    </row>
    <row r="773">
      <c r="B773" s="6">
        <f>C773&amp;D773</f>
        <v/>
      </c>
      <c r="C773" s="6">
        <f>YEAR(E773)</f>
        <v/>
      </c>
      <c r="D773" s="6">
        <f>MONTH(E773)</f>
        <v/>
      </c>
      <c r="E773" s="267">
        <f>IFERROR(__xludf.DUMMYFUNCTION("""COMPUTED_VALUE"""),44221.6666666666)</f>
        <v/>
      </c>
      <c r="F773" s="6">
        <f>IFERROR(__xludf.DUMMYFUNCTION("""COMPUTED_VALUE"""),3855.36)</f>
        <v/>
      </c>
      <c r="J773" s="6">
        <f>K773&amp;L773</f>
        <v/>
      </c>
      <c r="K773" s="6">
        <f>YEAR(M773)</f>
        <v/>
      </c>
      <c r="L773" s="6">
        <f>MONTH(M773)</f>
        <v/>
      </c>
      <c r="M773" s="267">
        <f>IFERROR(__xludf.DUMMYFUNCTION("""COMPUTED_VALUE"""),44211.6666666666)</f>
        <v/>
      </c>
      <c r="N773" s="6">
        <f>IFERROR(__xludf.DUMMYFUNCTION("""COMPUTED_VALUE"""),12998.5)</f>
        <v/>
      </c>
      <c r="R773" s="6">
        <f>S773&amp;T773</f>
        <v/>
      </c>
      <c r="S773" s="6">
        <f>YEAR(U773)</f>
        <v/>
      </c>
      <c r="T773" s="6">
        <f>MONTH(U773)</f>
        <v/>
      </c>
      <c r="U773" s="267">
        <f>IFERROR(__xludf.DUMMYFUNCTION("""COMPUTED_VALUE"""),44252.6458333333)</f>
        <v/>
      </c>
      <c r="V773" s="6">
        <f>IFERROR(__xludf.DUMMYFUNCTION("""COMPUTED_VALUE"""),3099.69)</f>
        <v/>
      </c>
      <c r="Z773" s="6">
        <f>AA773&amp;AB773</f>
        <v/>
      </c>
      <c r="AA773" s="6">
        <f>YEAR(AC773)</f>
        <v/>
      </c>
      <c r="AB773" s="6">
        <f>MONTH(AC773)</f>
        <v/>
      </c>
      <c r="AC773" s="267">
        <f>IFERROR(__xludf.DUMMYFUNCTION("""COMPUTED_VALUE"""),43909.9986111111)</f>
        <v/>
      </c>
      <c r="AD773" s="6">
        <f>IFERROR(__xludf.DUMMYFUNCTION("""COMPUTED_VALUE"""),1256.88)</f>
        <v/>
      </c>
      <c r="AH773" s="6">
        <f>AI773&amp;AJ773</f>
        <v/>
      </c>
      <c r="AI773" s="6">
        <f>YEAR(AK773)</f>
        <v/>
      </c>
      <c r="AJ773" s="6">
        <f>MONTH(AK773)</f>
        <v/>
      </c>
      <c r="AK773" s="267">
        <f>IFERROR(__xludf.DUMMYFUNCTION("""COMPUTED_VALUE"""),43865.9986111111)</f>
        <v/>
      </c>
      <c r="AL773" s="6">
        <f>IFERROR(__xludf.DUMMYFUNCTION("""COMPUTED_VALUE"""),9172.433)</f>
        <v/>
      </c>
      <c r="AP773" s="6">
        <f>AQ773&amp;AR773</f>
        <v/>
      </c>
      <c r="AQ773" s="6">
        <f>YEAR(AS773)</f>
        <v/>
      </c>
      <c r="AR773" s="6">
        <f>MONTH(AS773)</f>
        <v/>
      </c>
      <c r="AS773" s="267">
        <f>IFERROR(__xludf.DUMMYFUNCTION("""COMPUTED_VALUE"""),44229.9986111111)</f>
        <v/>
      </c>
      <c r="AT773" s="6">
        <f>IFERROR(__xludf.DUMMYFUNCTION("""COMPUTED_VALUE"""),1833.4)</f>
        <v/>
      </c>
    </row>
    <row r="774">
      <c r="B774" s="6">
        <f>C774&amp;D774</f>
        <v/>
      </c>
      <c r="C774" s="6">
        <f>YEAR(E774)</f>
        <v/>
      </c>
      <c r="D774" s="6">
        <f>MONTH(E774)</f>
        <v/>
      </c>
      <c r="E774" s="267">
        <f>IFERROR(__xludf.DUMMYFUNCTION("""COMPUTED_VALUE"""),44222.6666666666)</f>
        <v/>
      </c>
      <c r="F774" s="6">
        <f>IFERROR(__xludf.DUMMYFUNCTION("""COMPUTED_VALUE"""),3849.62)</f>
        <v/>
      </c>
      <c r="J774" s="6">
        <f>K774&amp;L774</f>
        <v/>
      </c>
      <c r="K774" s="6">
        <f>YEAR(M774)</f>
        <v/>
      </c>
      <c r="L774" s="6">
        <f>MONTH(M774)</f>
        <v/>
      </c>
      <c r="M774" s="267">
        <f>IFERROR(__xludf.DUMMYFUNCTION("""COMPUTED_VALUE"""),44215.6666666666)</f>
        <v/>
      </c>
      <c r="N774" s="6">
        <f>IFERROR(__xludf.DUMMYFUNCTION("""COMPUTED_VALUE"""),13197.18)</f>
        <v/>
      </c>
      <c r="R774" s="6">
        <f>S774&amp;T774</f>
        <v/>
      </c>
      <c r="S774" s="6">
        <f>YEAR(U774)</f>
        <v/>
      </c>
      <c r="T774" s="6">
        <f>MONTH(U774)</f>
        <v/>
      </c>
      <c r="U774" s="267">
        <f>IFERROR(__xludf.DUMMYFUNCTION("""COMPUTED_VALUE"""),44253.6458333333)</f>
        <v/>
      </c>
      <c r="V774" s="6">
        <f>IFERROR(__xludf.DUMMYFUNCTION("""COMPUTED_VALUE"""),3012.95)</f>
        <v/>
      </c>
      <c r="Z774" s="6">
        <f>AA774&amp;AB774</f>
        <v/>
      </c>
      <c r="AA774" s="6">
        <f>YEAR(AC774)</f>
        <v/>
      </c>
      <c r="AB774" s="6">
        <f>MONTH(AC774)</f>
        <v/>
      </c>
      <c r="AC774" s="267">
        <f>IFERROR(__xludf.DUMMYFUNCTION("""COMPUTED_VALUE"""),43910.9986111111)</f>
        <v/>
      </c>
      <c r="AD774" s="6">
        <f>IFERROR(__xludf.DUMMYFUNCTION("""COMPUTED_VALUE"""),1253.95)</f>
        <v/>
      </c>
      <c r="AH774" s="6">
        <f>AI774&amp;AJ774</f>
        <v/>
      </c>
      <c r="AI774" s="6">
        <f>YEAR(AK774)</f>
        <v/>
      </c>
      <c r="AJ774" s="6">
        <f>MONTH(AK774)</f>
        <v/>
      </c>
      <c r="AK774" s="267">
        <f>IFERROR(__xludf.DUMMYFUNCTION("""COMPUTED_VALUE"""),43866.9986111111)</f>
        <v/>
      </c>
      <c r="AL774" s="6">
        <f>IFERROR(__xludf.DUMMYFUNCTION("""COMPUTED_VALUE"""),9610.705)</f>
        <v/>
      </c>
      <c r="AP774" s="6">
        <f>AQ774&amp;AR774</f>
        <v/>
      </c>
      <c r="AQ774" s="6">
        <f>YEAR(AS774)</f>
        <v/>
      </c>
      <c r="AR774" s="6">
        <f>MONTH(AS774)</f>
        <v/>
      </c>
      <c r="AS774" s="267">
        <f>IFERROR(__xludf.DUMMYFUNCTION("""COMPUTED_VALUE"""),44230.9986111111)</f>
        <v/>
      </c>
      <c r="AT774" s="6">
        <f>IFERROR(__xludf.DUMMYFUNCTION("""COMPUTED_VALUE"""),1835.1)</f>
        <v/>
      </c>
    </row>
    <row r="775">
      <c r="B775" s="6">
        <f>C775&amp;D775</f>
        <v/>
      </c>
      <c r="C775" s="6">
        <f>YEAR(E775)</f>
        <v/>
      </c>
      <c r="D775" s="6">
        <f>MONTH(E775)</f>
        <v/>
      </c>
      <c r="E775" s="267">
        <f>IFERROR(__xludf.DUMMYFUNCTION("""COMPUTED_VALUE"""),44223.6666666666)</f>
        <v/>
      </c>
      <c r="F775" s="6">
        <f>IFERROR(__xludf.DUMMYFUNCTION("""COMPUTED_VALUE"""),3750.77)</f>
        <v/>
      </c>
      <c r="J775" s="6">
        <f>K775&amp;L775</f>
        <v/>
      </c>
      <c r="K775" s="6">
        <f>YEAR(M775)</f>
        <v/>
      </c>
      <c r="L775" s="6">
        <f>MONTH(M775)</f>
        <v/>
      </c>
      <c r="M775" s="267">
        <f>IFERROR(__xludf.DUMMYFUNCTION("""COMPUTED_VALUE"""),44216.6666666666)</f>
        <v/>
      </c>
      <c r="N775" s="6">
        <f>IFERROR(__xludf.DUMMYFUNCTION("""COMPUTED_VALUE"""),13457.25)</f>
        <v/>
      </c>
      <c r="R775" s="6">
        <f>S775&amp;T775</f>
        <v/>
      </c>
      <c r="S775" s="6">
        <f>YEAR(U775)</f>
        <v/>
      </c>
      <c r="T775" s="6">
        <f>MONTH(U775)</f>
        <v/>
      </c>
      <c r="U775" s="267">
        <f>IFERROR(__xludf.DUMMYFUNCTION("""COMPUTED_VALUE"""),44257.6458333333)</f>
        <v/>
      </c>
      <c r="V775" s="6">
        <f>IFERROR(__xludf.DUMMYFUNCTION("""COMPUTED_VALUE"""),3043.87)</f>
        <v/>
      </c>
      <c r="Z775" s="6">
        <f>AA775&amp;AB775</f>
        <v/>
      </c>
      <c r="AA775" s="6">
        <f>YEAR(AC775)</f>
        <v/>
      </c>
      <c r="AB775" s="6">
        <f>MONTH(AC775)</f>
        <v/>
      </c>
      <c r="AC775" s="267">
        <f>IFERROR(__xludf.DUMMYFUNCTION("""COMPUTED_VALUE"""),43913.9986111111)</f>
        <v/>
      </c>
      <c r="AD775" s="6">
        <f>IFERROR(__xludf.DUMMYFUNCTION("""COMPUTED_VALUE"""),1262.93)</f>
        <v/>
      </c>
      <c r="AH775" s="6">
        <f>AI775&amp;AJ775</f>
        <v/>
      </c>
      <c r="AI775" s="6">
        <f>YEAR(AK775)</f>
        <v/>
      </c>
      <c r="AJ775" s="6">
        <f>MONTH(AK775)</f>
        <v/>
      </c>
      <c r="AK775" s="267">
        <f>IFERROR(__xludf.DUMMYFUNCTION("""COMPUTED_VALUE"""),43867.9986111111)</f>
        <v/>
      </c>
      <c r="AL775" s="6">
        <f>IFERROR(__xludf.DUMMYFUNCTION("""COMPUTED_VALUE"""),9756.318)</f>
        <v/>
      </c>
      <c r="AP775" s="6">
        <f>AQ775&amp;AR775</f>
        <v/>
      </c>
      <c r="AQ775" s="6">
        <f>YEAR(AS775)</f>
        <v/>
      </c>
      <c r="AR775" s="6">
        <f>MONTH(AS775)</f>
        <v/>
      </c>
      <c r="AS775" s="267">
        <f>IFERROR(__xludf.DUMMYFUNCTION("""COMPUTED_VALUE"""),44231.9986111111)</f>
        <v/>
      </c>
      <c r="AT775" s="6">
        <f>IFERROR(__xludf.DUMMYFUNCTION("""COMPUTED_VALUE"""),1791.2)</f>
        <v/>
      </c>
    </row>
    <row r="776">
      <c r="B776" s="6">
        <f>C776&amp;D776</f>
        <v/>
      </c>
      <c r="C776" s="6">
        <f>YEAR(E776)</f>
        <v/>
      </c>
      <c r="D776" s="6">
        <f>MONTH(E776)</f>
        <v/>
      </c>
      <c r="E776" s="267">
        <f>IFERROR(__xludf.DUMMYFUNCTION("""COMPUTED_VALUE"""),44224.6666666666)</f>
        <v/>
      </c>
      <c r="F776" s="6">
        <f>IFERROR(__xludf.DUMMYFUNCTION("""COMPUTED_VALUE"""),3787.38)</f>
        <v/>
      </c>
      <c r="J776" s="6">
        <f>K776&amp;L776</f>
        <v/>
      </c>
      <c r="K776" s="6">
        <f>YEAR(M776)</f>
        <v/>
      </c>
      <c r="L776" s="6">
        <f>MONTH(M776)</f>
        <v/>
      </c>
      <c r="M776" s="267">
        <f>IFERROR(__xludf.DUMMYFUNCTION("""COMPUTED_VALUE"""),44217.6666666666)</f>
        <v/>
      </c>
      <c r="N776" s="6">
        <f>IFERROR(__xludf.DUMMYFUNCTION("""COMPUTED_VALUE"""),13530.92)</f>
        <v/>
      </c>
      <c r="R776" s="6">
        <f>S776&amp;T776</f>
        <v/>
      </c>
      <c r="S776" s="6">
        <f>YEAR(U776)</f>
        <v/>
      </c>
      <c r="T776" s="6">
        <f>MONTH(U776)</f>
        <v/>
      </c>
      <c r="U776" s="267">
        <f>IFERROR(__xludf.DUMMYFUNCTION("""COMPUTED_VALUE"""),44258.6458333333)</f>
        <v/>
      </c>
      <c r="V776" s="6">
        <f>IFERROR(__xludf.DUMMYFUNCTION("""COMPUTED_VALUE"""),3082.99)</f>
        <v/>
      </c>
      <c r="Z776" s="6">
        <f>AA776&amp;AB776</f>
        <v/>
      </c>
      <c r="AA776" s="6">
        <f>YEAR(AC776)</f>
        <v/>
      </c>
      <c r="AB776" s="6">
        <f>MONTH(AC776)</f>
        <v/>
      </c>
      <c r="AC776" s="267">
        <f>IFERROR(__xludf.DUMMYFUNCTION("""COMPUTED_VALUE"""),43914.9986111111)</f>
        <v/>
      </c>
      <c r="AD776" s="6">
        <f>IFERROR(__xludf.DUMMYFUNCTION("""COMPUTED_VALUE"""),1228.6)</f>
        <v/>
      </c>
      <c r="AH776" s="6">
        <f>AI776&amp;AJ776</f>
        <v/>
      </c>
      <c r="AI776" s="6">
        <f>YEAR(AK776)</f>
        <v/>
      </c>
      <c r="AJ776" s="6">
        <f>MONTH(AK776)</f>
        <v/>
      </c>
      <c r="AK776" s="267">
        <f>IFERROR(__xludf.DUMMYFUNCTION("""COMPUTED_VALUE"""),43868.9986111111)</f>
        <v/>
      </c>
      <c r="AL776" s="6">
        <f>IFERROR(__xludf.DUMMYFUNCTION("""COMPUTED_VALUE"""),9801.729)</f>
        <v/>
      </c>
      <c r="AP776" s="6">
        <f>AQ776&amp;AR776</f>
        <v/>
      </c>
      <c r="AQ776" s="6">
        <f>YEAR(AS776)</f>
        <v/>
      </c>
      <c r="AR776" s="6">
        <f>MONTH(AS776)</f>
        <v/>
      </c>
      <c r="AS776" s="267">
        <f>IFERROR(__xludf.DUMMYFUNCTION("""COMPUTED_VALUE"""),44232.9986111111)</f>
        <v/>
      </c>
      <c r="AT776" s="6">
        <f>IFERROR(__xludf.DUMMYFUNCTION("""COMPUTED_VALUE"""),1813)</f>
        <v/>
      </c>
    </row>
    <row r="777">
      <c r="B777" s="6">
        <f>C777&amp;D777</f>
        <v/>
      </c>
      <c r="C777" s="6">
        <f>YEAR(E777)</f>
        <v/>
      </c>
      <c r="D777" s="6">
        <f>MONTH(E777)</f>
        <v/>
      </c>
      <c r="E777" s="267">
        <f>IFERROR(__xludf.DUMMYFUNCTION("""COMPUTED_VALUE"""),44225.6666666666)</f>
        <v/>
      </c>
      <c r="F777" s="6">
        <f>IFERROR(__xludf.DUMMYFUNCTION("""COMPUTED_VALUE"""),3714.24)</f>
        <v/>
      </c>
      <c r="J777" s="6">
        <f>K777&amp;L777</f>
        <v/>
      </c>
      <c r="K777" s="6">
        <f>YEAR(M777)</f>
        <v/>
      </c>
      <c r="L777" s="6">
        <f>MONTH(M777)</f>
        <v/>
      </c>
      <c r="M777" s="267">
        <f>IFERROR(__xludf.DUMMYFUNCTION("""COMPUTED_VALUE"""),44218.6666666666)</f>
        <v/>
      </c>
      <c r="N777" s="6">
        <f>IFERROR(__xludf.DUMMYFUNCTION("""COMPUTED_VALUE"""),13543.06)</f>
        <v/>
      </c>
      <c r="R777" s="6">
        <f>S777&amp;T777</f>
        <v/>
      </c>
      <c r="S777" s="6">
        <f>YEAR(U777)</f>
        <v/>
      </c>
      <c r="T777" s="6">
        <f>MONTH(U777)</f>
        <v/>
      </c>
      <c r="U777" s="267">
        <f>IFERROR(__xludf.DUMMYFUNCTION("""COMPUTED_VALUE"""),44259.6458333333)</f>
        <v/>
      </c>
      <c r="V777" s="6">
        <f>IFERROR(__xludf.DUMMYFUNCTION("""COMPUTED_VALUE"""),3043.49)</f>
        <v/>
      </c>
      <c r="Z777" s="6">
        <f>AA777&amp;AB777</f>
        <v/>
      </c>
      <c r="AA777" s="6">
        <f>YEAR(AC777)</f>
        <v/>
      </c>
      <c r="AB777" s="6">
        <f>MONTH(AC777)</f>
        <v/>
      </c>
      <c r="AC777" s="267">
        <f>IFERROR(__xludf.DUMMYFUNCTION("""COMPUTED_VALUE"""),43915.9986111111)</f>
        <v/>
      </c>
      <c r="AD777" s="6">
        <f>IFERROR(__xludf.DUMMYFUNCTION("""COMPUTED_VALUE"""),1231.08)</f>
        <v/>
      </c>
      <c r="AH777" s="6">
        <f>AI777&amp;AJ777</f>
        <v/>
      </c>
      <c r="AI777" s="6">
        <f>YEAR(AK777)</f>
        <v/>
      </c>
      <c r="AJ777" s="6">
        <f>MONTH(AK777)</f>
        <v/>
      </c>
      <c r="AK777" s="267">
        <f>IFERROR(__xludf.DUMMYFUNCTION("""COMPUTED_VALUE"""),43869.9986111111)</f>
        <v/>
      </c>
      <c r="AL777" s="6">
        <f>IFERROR(__xludf.DUMMYFUNCTION("""COMPUTED_VALUE"""),9895.129)</f>
        <v/>
      </c>
      <c r="AP777" s="6">
        <f>AQ777&amp;AR777</f>
        <v/>
      </c>
      <c r="AQ777" s="6">
        <f>YEAR(AS777)</f>
        <v/>
      </c>
      <c r="AR777" s="6">
        <f>MONTH(AS777)</f>
        <v/>
      </c>
      <c r="AS777" s="267">
        <f>IFERROR(__xludf.DUMMYFUNCTION("""COMPUTED_VALUE"""),44235.9986111111)</f>
        <v/>
      </c>
      <c r="AT777" s="6">
        <f>IFERROR(__xludf.DUMMYFUNCTION("""COMPUTED_VALUE"""),1834.2)</f>
        <v/>
      </c>
    </row>
    <row r="778">
      <c r="B778" s="6">
        <f>C778&amp;D778</f>
        <v/>
      </c>
      <c r="C778" s="6">
        <f>YEAR(E778)</f>
        <v/>
      </c>
      <c r="D778" s="6">
        <f>MONTH(E778)</f>
        <v/>
      </c>
      <c r="E778" s="267">
        <f>IFERROR(__xludf.DUMMYFUNCTION("""COMPUTED_VALUE"""),44228.6666666666)</f>
        <v/>
      </c>
      <c r="F778" s="6">
        <f>IFERROR(__xludf.DUMMYFUNCTION("""COMPUTED_VALUE"""),3773.86)</f>
        <v/>
      </c>
      <c r="J778" s="6">
        <f>K778&amp;L778</f>
        <v/>
      </c>
      <c r="K778" s="6">
        <f>YEAR(M778)</f>
        <v/>
      </c>
      <c r="L778" s="6">
        <f>MONTH(M778)</f>
        <v/>
      </c>
      <c r="M778" s="267">
        <f>IFERROR(__xludf.DUMMYFUNCTION("""COMPUTED_VALUE"""),44221.6666666666)</f>
        <v/>
      </c>
      <c r="N778" s="6">
        <f>IFERROR(__xludf.DUMMYFUNCTION("""COMPUTED_VALUE"""),13635.99)</f>
        <v/>
      </c>
      <c r="R778" s="6">
        <f>S778&amp;T778</f>
        <v/>
      </c>
      <c r="S778" s="6">
        <f>YEAR(U778)</f>
        <v/>
      </c>
      <c r="T778" s="6">
        <f>MONTH(U778)</f>
        <v/>
      </c>
      <c r="U778" s="267">
        <f>IFERROR(__xludf.DUMMYFUNCTION("""COMPUTED_VALUE"""),44260.6458333333)</f>
        <v/>
      </c>
      <c r="V778" s="6">
        <f>IFERROR(__xludf.DUMMYFUNCTION("""COMPUTED_VALUE"""),3026.26)</f>
        <v/>
      </c>
      <c r="Z778" s="6">
        <f>AA778&amp;AB778</f>
        <v/>
      </c>
      <c r="AA778" s="6">
        <f>YEAR(AC778)</f>
        <v/>
      </c>
      <c r="AB778" s="6">
        <f>MONTH(AC778)</f>
        <v/>
      </c>
      <c r="AC778" s="267">
        <f>IFERROR(__xludf.DUMMYFUNCTION("""COMPUTED_VALUE"""),43916.9986111111)</f>
        <v/>
      </c>
      <c r="AD778" s="6">
        <f>IFERROR(__xludf.DUMMYFUNCTION("""COMPUTED_VALUE"""),1212.19)</f>
        <v/>
      </c>
      <c r="AH778" s="6">
        <f>AI778&amp;AJ778</f>
        <v/>
      </c>
      <c r="AI778" s="6">
        <f>YEAR(AK778)</f>
        <v/>
      </c>
      <c r="AJ778" s="6">
        <f>MONTH(AK778)</f>
        <v/>
      </c>
      <c r="AK778" s="267">
        <f>IFERROR(__xludf.DUMMYFUNCTION("""COMPUTED_VALUE"""),43870.9986111111)</f>
        <v/>
      </c>
      <c r="AL778" s="6">
        <f>IFERROR(__xludf.DUMMYFUNCTION("""COMPUTED_VALUE"""),10156.21)</f>
        <v/>
      </c>
      <c r="AP778" s="6">
        <f>AQ778&amp;AR778</f>
        <v/>
      </c>
      <c r="AQ778" s="6">
        <f>YEAR(AS778)</f>
        <v/>
      </c>
      <c r="AR778" s="6">
        <f>MONTH(AS778)</f>
        <v/>
      </c>
      <c r="AS778" s="267">
        <f>IFERROR(__xludf.DUMMYFUNCTION("""COMPUTED_VALUE"""),44236.9986111111)</f>
        <v/>
      </c>
      <c r="AT778" s="6">
        <f>IFERROR(__xludf.DUMMYFUNCTION("""COMPUTED_VALUE"""),1837.5)</f>
        <v/>
      </c>
    </row>
    <row r="779">
      <c r="B779" s="6">
        <f>C779&amp;D779</f>
        <v/>
      </c>
      <c r="C779" s="6">
        <f>YEAR(E779)</f>
        <v/>
      </c>
      <c r="D779" s="6">
        <f>MONTH(E779)</f>
        <v/>
      </c>
      <c r="E779" s="267">
        <f>IFERROR(__xludf.DUMMYFUNCTION("""COMPUTED_VALUE"""),44229.6666666666)</f>
        <v/>
      </c>
      <c r="F779" s="6">
        <f>IFERROR(__xludf.DUMMYFUNCTION("""COMPUTED_VALUE"""),3826.31)</f>
        <v/>
      </c>
      <c r="J779" s="6">
        <f>K779&amp;L779</f>
        <v/>
      </c>
      <c r="K779" s="6">
        <f>YEAR(M779)</f>
        <v/>
      </c>
      <c r="L779" s="6">
        <f>MONTH(M779)</f>
        <v/>
      </c>
      <c r="M779" s="267">
        <f>IFERROR(__xludf.DUMMYFUNCTION("""COMPUTED_VALUE"""),44222.6666666666)</f>
        <v/>
      </c>
      <c r="N779" s="6">
        <f>IFERROR(__xludf.DUMMYFUNCTION("""COMPUTED_VALUE"""),13626.07)</f>
        <v/>
      </c>
      <c r="R779" s="6">
        <f>S779&amp;T779</f>
        <v/>
      </c>
      <c r="S779" s="6">
        <f>YEAR(U779)</f>
        <v/>
      </c>
      <c r="T779" s="6">
        <f>MONTH(U779)</f>
        <v/>
      </c>
      <c r="U779" s="267">
        <f>IFERROR(__xludf.DUMMYFUNCTION("""COMPUTED_VALUE"""),44263.6458333333)</f>
        <v/>
      </c>
      <c r="V779" s="6">
        <f>IFERROR(__xludf.DUMMYFUNCTION("""COMPUTED_VALUE"""),2996.11)</f>
        <v/>
      </c>
      <c r="Z779" s="6">
        <f>AA779&amp;AB779</f>
        <v/>
      </c>
      <c r="AA779" s="6">
        <f>YEAR(AC779)</f>
        <v/>
      </c>
      <c r="AB779" s="6">
        <f>MONTH(AC779)</f>
        <v/>
      </c>
      <c r="AC779" s="267">
        <f>IFERROR(__xludf.DUMMYFUNCTION("""COMPUTED_VALUE"""),43917.9986111111)</f>
        <v/>
      </c>
      <c r="AD779" s="6">
        <f>IFERROR(__xludf.DUMMYFUNCTION("""COMPUTED_VALUE"""),1211.74)</f>
        <v/>
      </c>
      <c r="AH779" s="6">
        <f>AI779&amp;AJ779</f>
        <v/>
      </c>
      <c r="AI779" s="6">
        <f>YEAR(AK779)</f>
        <v/>
      </c>
      <c r="AJ779" s="6">
        <f>MONTH(AK779)</f>
        <v/>
      </c>
      <c r="AK779" s="267">
        <f>IFERROR(__xludf.DUMMYFUNCTION("""COMPUTED_VALUE"""),43871.9986111111)</f>
        <v/>
      </c>
      <c r="AL779" s="6">
        <f>IFERROR(__xludf.DUMMYFUNCTION("""COMPUTED_VALUE"""),9852.876)</f>
        <v/>
      </c>
      <c r="AP779" s="6">
        <f>AQ779&amp;AR779</f>
        <v/>
      </c>
      <c r="AQ779" s="6">
        <f>YEAR(AS779)</f>
        <v/>
      </c>
      <c r="AR779" s="6">
        <f>MONTH(AS779)</f>
        <v/>
      </c>
      <c r="AS779" s="267">
        <f>IFERROR(__xludf.DUMMYFUNCTION("""COMPUTED_VALUE"""),44237.9986111111)</f>
        <v/>
      </c>
      <c r="AT779" s="6">
        <f>IFERROR(__xludf.DUMMYFUNCTION("""COMPUTED_VALUE"""),1842.7)</f>
        <v/>
      </c>
    </row>
    <row r="780">
      <c r="B780" s="6">
        <f>C780&amp;D780</f>
        <v/>
      </c>
      <c r="C780" s="6">
        <f>YEAR(E780)</f>
        <v/>
      </c>
      <c r="D780" s="6">
        <f>MONTH(E780)</f>
        <v/>
      </c>
      <c r="E780" s="267">
        <f>IFERROR(__xludf.DUMMYFUNCTION("""COMPUTED_VALUE"""),44230.6666666666)</f>
        <v/>
      </c>
      <c r="F780" s="6">
        <f>IFERROR(__xludf.DUMMYFUNCTION("""COMPUTED_VALUE"""),3830.17)</f>
        <v/>
      </c>
      <c r="J780" s="6">
        <f>K780&amp;L780</f>
        <v/>
      </c>
      <c r="K780" s="6">
        <f>YEAR(M780)</f>
        <v/>
      </c>
      <c r="L780" s="6">
        <f>MONTH(M780)</f>
        <v/>
      </c>
      <c r="M780" s="267">
        <f>IFERROR(__xludf.DUMMYFUNCTION("""COMPUTED_VALUE"""),44223.6666666666)</f>
        <v/>
      </c>
      <c r="N780" s="6">
        <f>IFERROR(__xludf.DUMMYFUNCTION("""COMPUTED_VALUE"""),13270.6)</f>
        <v/>
      </c>
      <c r="R780" s="6">
        <f>S780&amp;T780</f>
        <v/>
      </c>
      <c r="S780" s="6">
        <f>YEAR(U780)</f>
        <v/>
      </c>
      <c r="T780" s="6">
        <f>MONTH(U780)</f>
        <v/>
      </c>
      <c r="U780" s="267">
        <f>IFERROR(__xludf.DUMMYFUNCTION("""COMPUTED_VALUE"""),44264.6458333333)</f>
        <v/>
      </c>
      <c r="V780" s="6">
        <f>IFERROR(__xludf.DUMMYFUNCTION("""COMPUTED_VALUE"""),2976.12)</f>
        <v/>
      </c>
      <c r="Z780" s="6">
        <f>AA780&amp;AB780</f>
        <v/>
      </c>
      <c r="AA780" s="6">
        <f>YEAR(AC780)</f>
        <v/>
      </c>
      <c r="AB780" s="6">
        <f>MONTH(AC780)</f>
        <v/>
      </c>
      <c r="AC780" s="267">
        <f>IFERROR(__xludf.DUMMYFUNCTION("""COMPUTED_VALUE"""),43918.9986111111)</f>
        <v/>
      </c>
      <c r="AD780" s="6">
        <f>IFERROR(__xludf.DUMMYFUNCTION("""COMPUTED_VALUE"""),1211.74)</f>
        <v/>
      </c>
      <c r="AH780" s="6">
        <f>AI780&amp;AJ780</f>
        <v/>
      </c>
      <c r="AI780" s="6">
        <f>YEAR(AK780)</f>
        <v/>
      </c>
      <c r="AJ780" s="6">
        <f>MONTH(AK780)</f>
        <v/>
      </c>
      <c r="AK780" s="267">
        <f>IFERROR(__xludf.DUMMYFUNCTION("""COMPUTED_VALUE"""),43872.9986111111)</f>
        <v/>
      </c>
      <c r="AL780" s="6">
        <f>IFERROR(__xludf.DUMMYFUNCTION("""COMPUTED_VALUE"""),10263.26)</f>
        <v/>
      </c>
      <c r="AP780" s="6">
        <f>AQ780&amp;AR780</f>
        <v/>
      </c>
      <c r="AQ780" s="6">
        <f>YEAR(AS780)</f>
        <v/>
      </c>
      <c r="AR780" s="6">
        <f>MONTH(AS780)</f>
        <v/>
      </c>
      <c r="AS780" s="267">
        <f>IFERROR(__xludf.DUMMYFUNCTION("""COMPUTED_VALUE"""),44238.9986111111)</f>
        <v/>
      </c>
      <c r="AT780" s="6">
        <f>IFERROR(__xludf.DUMMYFUNCTION("""COMPUTED_VALUE"""),1826.8)</f>
        <v/>
      </c>
    </row>
    <row r="781">
      <c r="B781" s="6">
        <f>C781&amp;D781</f>
        <v/>
      </c>
      <c r="C781" s="6">
        <f>YEAR(E781)</f>
        <v/>
      </c>
      <c r="D781" s="6">
        <f>MONTH(E781)</f>
        <v/>
      </c>
      <c r="E781" s="267">
        <f>IFERROR(__xludf.DUMMYFUNCTION("""COMPUTED_VALUE"""),44231.6666666666)</f>
        <v/>
      </c>
      <c r="F781" s="6">
        <f>IFERROR(__xludf.DUMMYFUNCTION("""COMPUTED_VALUE"""),3871.74)</f>
        <v/>
      </c>
      <c r="J781" s="6">
        <f>K781&amp;L781</f>
        <v/>
      </c>
      <c r="K781" s="6">
        <f>YEAR(M781)</f>
        <v/>
      </c>
      <c r="L781" s="6">
        <f>MONTH(M781)</f>
        <v/>
      </c>
      <c r="M781" s="267">
        <f>IFERROR(__xludf.DUMMYFUNCTION("""COMPUTED_VALUE"""),44224.6666666666)</f>
        <v/>
      </c>
      <c r="N781" s="6">
        <f>IFERROR(__xludf.DUMMYFUNCTION("""COMPUTED_VALUE"""),13337.16)</f>
        <v/>
      </c>
      <c r="R781" s="6">
        <f>S781&amp;T781</f>
        <v/>
      </c>
      <c r="S781" s="6">
        <f>YEAR(U781)</f>
        <v/>
      </c>
      <c r="T781" s="6">
        <f>MONTH(U781)</f>
        <v/>
      </c>
      <c r="U781" s="267">
        <f>IFERROR(__xludf.DUMMYFUNCTION("""COMPUTED_VALUE"""),44265.6458333333)</f>
        <v/>
      </c>
      <c r="V781" s="6">
        <f>IFERROR(__xludf.DUMMYFUNCTION("""COMPUTED_VALUE"""),2958.12)</f>
        <v/>
      </c>
      <c r="Z781" s="6">
        <f>AA781&amp;AB781</f>
        <v/>
      </c>
      <c r="AA781" s="6">
        <f>YEAR(AC781)</f>
        <v/>
      </c>
      <c r="AB781" s="6">
        <f>MONTH(AC781)</f>
        <v/>
      </c>
      <c r="AC781" s="267">
        <f>IFERROR(__xludf.DUMMYFUNCTION("""COMPUTED_VALUE"""),43919.9986111111)</f>
        <v/>
      </c>
      <c r="AD781" s="6">
        <f>IFERROR(__xludf.DUMMYFUNCTION("""COMPUTED_VALUE"""),1211.63)</f>
        <v/>
      </c>
      <c r="AH781" s="6">
        <f>AI781&amp;AJ781</f>
        <v/>
      </c>
      <c r="AI781" s="6">
        <f>YEAR(AK781)</f>
        <v/>
      </c>
      <c r="AJ781" s="6">
        <f>MONTH(AK781)</f>
        <v/>
      </c>
      <c r="AK781" s="267">
        <f>IFERROR(__xludf.DUMMYFUNCTION("""COMPUTED_VALUE"""),43873.9986111111)</f>
        <v/>
      </c>
      <c r="AL781" s="6">
        <f>IFERROR(__xludf.DUMMYFUNCTION("""COMPUTED_VALUE"""),10345.06)</f>
        <v/>
      </c>
      <c r="AP781" s="6">
        <f>AQ781&amp;AR781</f>
        <v/>
      </c>
      <c r="AQ781" s="6">
        <f>YEAR(AS781)</f>
        <v/>
      </c>
      <c r="AR781" s="6">
        <f>MONTH(AS781)</f>
        <v/>
      </c>
      <c r="AS781" s="267">
        <f>IFERROR(__xludf.DUMMYFUNCTION("""COMPUTED_VALUE"""),44239.9986111111)</f>
        <v/>
      </c>
      <c r="AT781" s="6">
        <f>IFERROR(__xludf.DUMMYFUNCTION("""COMPUTED_VALUE"""),1823.2)</f>
        <v/>
      </c>
    </row>
    <row r="782">
      <c r="B782" s="6">
        <f>C782&amp;D782</f>
        <v/>
      </c>
      <c r="C782" s="6">
        <f>YEAR(E782)</f>
        <v/>
      </c>
      <c r="D782" s="6">
        <f>MONTH(E782)</f>
        <v/>
      </c>
      <c r="E782" s="267">
        <f>IFERROR(__xludf.DUMMYFUNCTION("""COMPUTED_VALUE"""),44232.6666666666)</f>
        <v/>
      </c>
      <c r="F782" s="6">
        <f>IFERROR(__xludf.DUMMYFUNCTION("""COMPUTED_VALUE"""),3886.83)</f>
        <v/>
      </c>
      <c r="J782" s="6">
        <f>K782&amp;L782</f>
        <v/>
      </c>
      <c r="K782" s="6">
        <f>YEAR(M782)</f>
        <v/>
      </c>
      <c r="L782" s="6">
        <f>MONTH(M782)</f>
        <v/>
      </c>
      <c r="M782" s="267">
        <f>IFERROR(__xludf.DUMMYFUNCTION("""COMPUTED_VALUE"""),44225.6666666666)</f>
        <v/>
      </c>
      <c r="N782" s="6">
        <f>IFERROR(__xludf.DUMMYFUNCTION("""COMPUTED_VALUE"""),13070.7)</f>
        <v/>
      </c>
      <c r="R782" s="6">
        <f>S782&amp;T782</f>
        <v/>
      </c>
      <c r="S782" s="6">
        <f>YEAR(U782)</f>
        <v/>
      </c>
      <c r="T782" s="6">
        <f>MONTH(U782)</f>
        <v/>
      </c>
      <c r="U782" s="267">
        <f>IFERROR(__xludf.DUMMYFUNCTION("""COMPUTED_VALUE"""),44266.6458333333)</f>
        <v/>
      </c>
      <c r="V782" s="6">
        <f>IFERROR(__xludf.DUMMYFUNCTION("""COMPUTED_VALUE"""),3013.7)</f>
        <v/>
      </c>
      <c r="Z782" s="6">
        <f>AA782&amp;AB782</f>
        <v/>
      </c>
      <c r="AA782" s="6">
        <f>YEAR(AC782)</f>
        <v/>
      </c>
      <c r="AB782" s="6">
        <f>MONTH(AC782)</f>
        <v/>
      </c>
      <c r="AC782" s="267">
        <f>IFERROR(__xludf.DUMMYFUNCTION("""COMPUTED_VALUE"""),43920.9986111111)</f>
        <v/>
      </c>
      <c r="AD782" s="6">
        <f>IFERROR(__xludf.DUMMYFUNCTION("""COMPUTED_VALUE"""),1222.7)</f>
        <v/>
      </c>
      <c r="AH782" s="6">
        <f>AI782&amp;AJ782</f>
        <v/>
      </c>
      <c r="AI782" s="6">
        <f>YEAR(AK782)</f>
        <v/>
      </c>
      <c r="AJ782" s="6">
        <f>MONTH(AK782)</f>
        <v/>
      </c>
      <c r="AK782" s="267">
        <f>IFERROR(__xludf.DUMMYFUNCTION("""COMPUTED_VALUE"""),43874.9986111111)</f>
        <v/>
      </c>
      <c r="AL782" s="6">
        <f>IFERROR(__xludf.DUMMYFUNCTION("""COMPUTED_VALUE"""),10234.47)</f>
        <v/>
      </c>
      <c r="AP782" s="6">
        <f>AQ782&amp;AR782</f>
        <v/>
      </c>
      <c r="AQ782" s="6">
        <f>YEAR(AS782)</f>
        <v/>
      </c>
      <c r="AR782" s="6">
        <f>MONTH(AS782)</f>
        <v/>
      </c>
      <c r="AS782" s="267">
        <f>IFERROR(__xludf.DUMMYFUNCTION("""COMPUTED_VALUE"""),44243.9986111111)</f>
        <v/>
      </c>
      <c r="AT782" s="6">
        <f>IFERROR(__xludf.DUMMYFUNCTION("""COMPUTED_VALUE"""),1799)</f>
        <v/>
      </c>
    </row>
    <row r="783">
      <c r="B783" s="6">
        <f>C783&amp;D783</f>
        <v/>
      </c>
      <c r="C783" s="6">
        <f>YEAR(E783)</f>
        <v/>
      </c>
      <c r="D783" s="6">
        <f>MONTH(E783)</f>
        <v/>
      </c>
      <c r="E783" s="267">
        <f>IFERROR(__xludf.DUMMYFUNCTION("""COMPUTED_VALUE"""),44235.6666666666)</f>
        <v/>
      </c>
      <c r="F783" s="6">
        <f>IFERROR(__xludf.DUMMYFUNCTION("""COMPUTED_VALUE"""),3915.59)</f>
        <v/>
      </c>
      <c r="J783" s="6">
        <f>K783&amp;L783</f>
        <v/>
      </c>
      <c r="K783" s="6">
        <f>YEAR(M783)</f>
        <v/>
      </c>
      <c r="L783" s="6">
        <f>MONTH(M783)</f>
        <v/>
      </c>
      <c r="M783" s="267">
        <f>IFERROR(__xludf.DUMMYFUNCTION("""COMPUTED_VALUE"""),44228.6666666666)</f>
        <v/>
      </c>
      <c r="N783" s="6">
        <f>IFERROR(__xludf.DUMMYFUNCTION("""COMPUTED_VALUE"""),13403.39)</f>
        <v/>
      </c>
      <c r="R783" s="6">
        <f>S783&amp;T783</f>
        <v/>
      </c>
      <c r="S783" s="6">
        <f>YEAR(U783)</f>
        <v/>
      </c>
      <c r="T783" s="6">
        <f>MONTH(U783)</f>
        <v/>
      </c>
      <c r="U783" s="267">
        <f>IFERROR(__xludf.DUMMYFUNCTION("""COMPUTED_VALUE"""),44267.6458333333)</f>
        <v/>
      </c>
      <c r="V783" s="6">
        <f>IFERROR(__xludf.DUMMYFUNCTION("""COMPUTED_VALUE"""),3054.39)</f>
        <v/>
      </c>
      <c r="Z783" s="6">
        <f>AA783&amp;AB783</f>
        <v/>
      </c>
      <c r="AA783" s="6">
        <f>YEAR(AC783)</f>
        <v/>
      </c>
      <c r="AB783" s="6">
        <f>MONTH(AC783)</f>
        <v/>
      </c>
      <c r="AC783" s="267">
        <f>IFERROR(__xludf.DUMMYFUNCTION("""COMPUTED_VALUE"""),43921.9986111111)</f>
        <v/>
      </c>
      <c r="AD783" s="6">
        <f>IFERROR(__xludf.DUMMYFUNCTION("""COMPUTED_VALUE"""),1216.66)</f>
        <v/>
      </c>
      <c r="AH783" s="6">
        <f>AI783&amp;AJ783</f>
        <v/>
      </c>
      <c r="AI783" s="6">
        <f>YEAR(AK783)</f>
        <v/>
      </c>
      <c r="AJ783" s="6">
        <f>MONTH(AK783)</f>
        <v/>
      </c>
      <c r="AK783" s="267">
        <f>IFERROR(__xludf.DUMMYFUNCTION("""COMPUTED_VALUE"""),43875.9986111111)</f>
        <v/>
      </c>
      <c r="AL783" s="6">
        <f>IFERROR(__xludf.DUMMYFUNCTION("""COMPUTED_VALUE"""),10356.59)</f>
        <v/>
      </c>
      <c r="AP783" s="6">
        <f>AQ783&amp;AR783</f>
        <v/>
      </c>
      <c r="AQ783" s="6">
        <f>YEAR(AS783)</f>
        <v/>
      </c>
      <c r="AR783" s="6">
        <f>MONTH(AS783)</f>
        <v/>
      </c>
      <c r="AS783" s="267">
        <f>IFERROR(__xludf.DUMMYFUNCTION("""COMPUTED_VALUE"""),44244.9986111111)</f>
        <v/>
      </c>
      <c r="AT783" s="6">
        <f>IFERROR(__xludf.DUMMYFUNCTION("""COMPUTED_VALUE"""),1772.8)</f>
        <v/>
      </c>
    </row>
    <row r="784">
      <c r="B784" s="6">
        <f>C784&amp;D784</f>
        <v/>
      </c>
      <c r="C784" s="6">
        <f>YEAR(E784)</f>
        <v/>
      </c>
      <c r="D784" s="6">
        <f>MONTH(E784)</f>
        <v/>
      </c>
      <c r="E784" s="267">
        <f>IFERROR(__xludf.DUMMYFUNCTION("""COMPUTED_VALUE"""),44236.6666666666)</f>
        <v/>
      </c>
      <c r="F784" s="6">
        <f>IFERROR(__xludf.DUMMYFUNCTION("""COMPUTED_VALUE"""),3911.23)</f>
        <v/>
      </c>
      <c r="J784" s="6">
        <f>K784&amp;L784</f>
        <v/>
      </c>
      <c r="K784" s="6">
        <f>YEAR(M784)</f>
        <v/>
      </c>
      <c r="L784" s="6">
        <f>MONTH(M784)</f>
        <v/>
      </c>
      <c r="M784" s="267">
        <f>IFERROR(__xludf.DUMMYFUNCTION("""COMPUTED_VALUE"""),44229.6666666666)</f>
        <v/>
      </c>
      <c r="N784" s="6">
        <f>IFERROR(__xludf.DUMMYFUNCTION("""COMPUTED_VALUE"""),13612.78)</f>
        <v/>
      </c>
      <c r="R784" s="6">
        <f>S784&amp;T784</f>
        <v/>
      </c>
      <c r="S784" s="6">
        <f>YEAR(U784)</f>
        <v/>
      </c>
      <c r="T784" s="6">
        <f>MONTH(U784)</f>
        <v/>
      </c>
      <c r="U784" s="267">
        <f>IFERROR(__xludf.DUMMYFUNCTION("""COMPUTED_VALUE"""),44270.6458333333)</f>
        <v/>
      </c>
      <c r="V784" s="6">
        <f>IFERROR(__xludf.DUMMYFUNCTION("""COMPUTED_VALUE"""),3045.71)</f>
        <v/>
      </c>
      <c r="Z784" s="6">
        <f>AA784&amp;AB784</f>
        <v/>
      </c>
      <c r="AA784" s="6">
        <f>YEAR(AC784)</f>
        <v/>
      </c>
      <c r="AB784" s="6">
        <f>MONTH(AC784)</f>
        <v/>
      </c>
      <c r="AC784" s="267">
        <f>IFERROR(__xludf.DUMMYFUNCTION("""COMPUTED_VALUE"""),43922.9986111111)</f>
        <v/>
      </c>
      <c r="AD784" s="6">
        <f>IFERROR(__xludf.DUMMYFUNCTION("""COMPUTED_VALUE"""),1234.73)</f>
        <v/>
      </c>
      <c r="AH784" s="6">
        <f>AI784&amp;AJ784</f>
        <v/>
      </c>
      <c r="AI784" s="6">
        <f>YEAR(AK784)</f>
        <v/>
      </c>
      <c r="AJ784" s="6">
        <f>MONTH(AK784)</f>
        <v/>
      </c>
      <c r="AK784" s="267">
        <f>IFERROR(__xludf.DUMMYFUNCTION("""COMPUTED_VALUE"""),43876.9986111111)</f>
        <v/>
      </c>
      <c r="AL784" s="6">
        <f>IFERROR(__xludf.DUMMYFUNCTION("""COMPUTED_VALUE"""),9903.895)</f>
        <v/>
      </c>
      <c r="AP784" s="6">
        <f>AQ784&amp;AR784</f>
        <v/>
      </c>
      <c r="AQ784" s="6">
        <f>YEAR(AS784)</f>
        <v/>
      </c>
      <c r="AR784" s="6">
        <f>MONTH(AS784)</f>
        <v/>
      </c>
      <c r="AS784" s="267">
        <f>IFERROR(__xludf.DUMMYFUNCTION("""COMPUTED_VALUE"""),44245.9986111111)</f>
        <v/>
      </c>
      <c r="AT784" s="6">
        <f>IFERROR(__xludf.DUMMYFUNCTION("""COMPUTED_VALUE"""),1775)</f>
        <v/>
      </c>
    </row>
    <row r="785">
      <c r="B785" s="6">
        <f>C785&amp;D785</f>
        <v/>
      </c>
      <c r="C785" s="6">
        <f>YEAR(E785)</f>
        <v/>
      </c>
      <c r="D785" s="6">
        <f>MONTH(E785)</f>
        <v/>
      </c>
      <c r="E785" s="267">
        <f>IFERROR(__xludf.DUMMYFUNCTION("""COMPUTED_VALUE"""),44237.6666666666)</f>
        <v/>
      </c>
      <c r="F785" s="6">
        <f>IFERROR(__xludf.DUMMYFUNCTION("""COMPUTED_VALUE"""),3909.88)</f>
        <v/>
      </c>
      <c r="J785" s="6">
        <f>K785&amp;L785</f>
        <v/>
      </c>
      <c r="K785" s="6">
        <f>YEAR(M785)</f>
        <v/>
      </c>
      <c r="L785" s="6">
        <f>MONTH(M785)</f>
        <v/>
      </c>
      <c r="M785" s="267">
        <f>IFERROR(__xludf.DUMMYFUNCTION("""COMPUTED_VALUE"""),44230.6666666666)</f>
        <v/>
      </c>
      <c r="N785" s="6">
        <f>IFERROR(__xludf.DUMMYFUNCTION("""COMPUTED_VALUE"""),13610.54)</f>
        <v/>
      </c>
      <c r="R785" s="6">
        <f>S785&amp;T785</f>
        <v/>
      </c>
      <c r="S785" s="6">
        <f>YEAR(U785)</f>
        <v/>
      </c>
      <c r="T785" s="6">
        <f>MONTH(U785)</f>
        <v/>
      </c>
      <c r="U785" s="267">
        <f>IFERROR(__xludf.DUMMYFUNCTION("""COMPUTED_VALUE"""),44271.6458333333)</f>
        <v/>
      </c>
      <c r="V785" s="6">
        <f>IFERROR(__xludf.DUMMYFUNCTION("""COMPUTED_VALUE"""),3067.17)</f>
        <v/>
      </c>
      <c r="Z785" s="6">
        <f>AA785&amp;AB785</f>
        <v/>
      </c>
      <c r="AA785" s="6">
        <f>YEAR(AC785)</f>
        <v/>
      </c>
      <c r="AB785" s="6">
        <f>MONTH(AC785)</f>
        <v/>
      </c>
      <c r="AC785" s="267">
        <f>IFERROR(__xludf.DUMMYFUNCTION("""COMPUTED_VALUE"""),43923.9986111111)</f>
        <v/>
      </c>
      <c r="AD785" s="6">
        <f>IFERROR(__xludf.DUMMYFUNCTION("""COMPUTED_VALUE"""),1226.85)</f>
        <v/>
      </c>
      <c r="AH785" s="6">
        <f>AI785&amp;AJ785</f>
        <v/>
      </c>
      <c r="AI785" s="6">
        <f>YEAR(AK785)</f>
        <v/>
      </c>
      <c r="AJ785" s="6">
        <f>MONTH(AK785)</f>
        <v/>
      </c>
      <c r="AK785" s="267">
        <f>IFERROR(__xludf.DUMMYFUNCTION("""COMPUTED_VALUE"""),43877.9986111111)</f>
        <v/>
      </c>
      <c r="AL785" s="6">
        <f>IFERROR(__xludf.DUMMYFUNCTION("""COMPUTED_VALUE"""),9927.334)</f>
        <v/>
      </c>
      <c r="AP785" s="6">
        <f>AQ785&amp;AR785</f>
        <v/>
      </c>
      <c r="AQ785" s="6">
        <f>YEAR(AS785)</f>
        <v/>
      </c>
      <c r="AR785" s="6">
        <f>MONTH(AS785)</f>
        <v/>
      </c>
      <c r="AS785" s="267">
        <f>IFERROR(__xludf.DUMMYFUNCTION("""COMPUTED_VALUE"""),44246.9986111111)</f>
        <v/>
      </c>
      <c r="AT785" s="6">
        <f>IFERROR(__xludf.DUMMYFUNCTION("""COMPUTED_VALUE"""),1777.4)</f>
        <v/>
      </c>
    </row>
    <row r="786">
      <c r="B786" s="6">
        <f>C786&amp;D786</f>
        <v/>
      </c>
      <c r="C786" s="6">
        <f>YEAR(E786)</f>
        <v/>
      </c>
      <c r="D786" s="6">
        <f>MONTH(E786)</f>
        <v/>
      </c>
      <c r="E786" s="267">
        <f>IFERROR(__xludf.DUMMYFUNCTION("""COMPUTED_VALUE"""),44238.6666666666)</f>
        <v/>
      </c>
      <c r="F786" s="6">
        <f>IFERROR(__xludf.DUMMYFUNCTION("""COMPUTED_VALUE"""),3916.38)</f>
        <v/>
      </c>
      <c r="J786" s="6">
        <f>K786&amp;L786</f>
        <v/>
      </c>
      <c r="K786" s="6">
        <f>YEAR(M786)</f>
        <v/>
      </c>
      <c r="L786" s="6">
        <f>MONTH(M786)</f>
        <v/>
      </c>
      <c r="M786" s="267">
        <f>IFERROR(__xludf.DUMMYFUNCTION("""COMPUTED_VALUE"""),44231.6666666666)</f>
        <v/>
      </c>
      <c r="N786" s="6">
        <f>IFERROR(__xludf.DUMMYFUNCTION("""COMPUTED_VALUE"""),13777.74)</f>
        <v/>
      </c>
      <c r="R786" s="6">
        <f>S786&amp;T786</f>
        <v/>
      </c>
      <c r="S786" s="6">
        <f>YEAR(U786)</f>
        <v/>
      </c>
      <c r="T786" s="6">
        <f>MONTH(U786)</f>
        <v/>
      </c>
      <c r="U786" s="267">
        <f>IFERROR(__xludf.DUMMYFUNCTION("""COMPUTED_VALUE"""),44272.6458333333)</f>
        <v/>
      </c>
      <c r="V786" s="6">
        <f>IFERROR(__xludf.DUMMYFUNCTION("""COMPUTED_VALUE"""),3047.5)</f>
        <v/>
      </c>
      <c r="Z786" s="6">
        <f>AA786&amp;AB786</f>
        <v/>
      </c>
      <c r="AA786" s="6">
        <f>YEAR(AC786)</f>
        <v/>
      </c>
      <c r="AB786" s="6">
        <f>MONTH(AC786)</f>
        <v/>
      </c>
      <c r="AC786" s="267">
        <f>IFERROR(__xludf.DUMMYFUNCTION("""COMPUTED_VALUE"""),43924.9986111111)</f>
        <v/>
      </c>
      <c r="AD786" s="6">
        <f>IFERROR(__xludf.DUMMYFUNCTION("""COMPUTED_VALUE"""),1236.1)</f>
        <v/>
      </c>
      <c r="AH786" s="6">
        <f>AI786&amp;AJ786</f>
        <v/>
      </c>
      <c r="AI786" s="6">
        <f>YEAR(AK786)</f>
        <v/>
      </c>
      <c r="AJ786" s="6">
        <f>MONTH(AK786)</f>
        <v/>
      </c>
      <c r="AK786" s="267">
        <f>IFERROR(__xludf.DUMMYFUNCTION("""COMPUTED_VALUE"""),43878.9986111111)</f>
        <v/>
      </c>
      <c r="AL786" s="6">
        <f>IFERROR(__xludf.DUMMYFUNCTION("""COMPUTED_VALUE"""),9701.267)</f>
        <v/>
      </c>
      <c r="AP786" s="6">
        <f>AQ786&amp;AR786</f>
        <v/>
      </c>
      <c r="AQ786" s="6">
        <f>YEAR(AS786)</f>
        <v/>
      </c>
      <c r="AR786" s="6">
        <f>MONTH(AS786)</f>
        <v/>
      </c>
      <c r="AS786" s="267">
        <f>IFERROR(__xludf.DUMMYFUNCTION("""COMPUTED_VALUE"""),44249.9986111111)</f>
        <v/>
      </c>
      <c r="AT786" s="6">
        <f>IFERROR(__xludf.DUMMYFUNCTION("""COMPUTED_VALUE"""),1808.4)</f>
        <v/>
      </c>
    </row>
    <row r="787">
      <c r="B787" s="6">
        <f>C787&amp;D787</f>
        <v/>
      </c>
      <c r="C787" s="6">
        <f>YEAR(E787)</f>
        <v/>
      </c>
      <c r="D787" s="6">
        <f>MONTH(E787)</f>
        <v/>
      </c>
      <c r="E787" s="267">
        <f>IFERROR(__xludf.DUMMYFUNCTION("""COMPUTED_VALUE"""),44239.6666666666)</f>
        <v/>
      </c>
      <c r="F787" s="6">
        <f>IFERROR(__xludf.DUMMYFUNCTION("""COMPUTED_VALUE"""),3934.83)</f>
        <v/>
      </c>
      <c r="J787" s="6">
        <f>K787&amp;L787</f>
        <v/>
      </c>
      <c r="K787" s="6">
        <f>YEAR(M787)</f>
        <v/>
      </c>
      <c r="L787" s="6">
        <f>MONTH(M787)</f>
        <v/>
      </c>
      <c r="M787" s="267">
        <f>IFERROR(__xludf.DUMMYFUNCTION("""COMPUTED_VALUE"""),44232.6666666666)</f>
        <v/>
      </c>
      <c r="N787" s="6">
        <f>IFERROR(__xludf.DUMMYFUNCTION("""COMPUTED_VALUE"""),13856.3)</f>
        <v/>
      </c>
      <c r="R787" s="6">
        <f>S787&amp;T787</f>
        <v/>
      </c>
      <c r="S787" s="6">
        <f>YEAR(U787)</f>
        <v/>
      </c>
      <c r="T787" s="6">
        <f>MONTH(U787)</f>
        <v/>
      </c>
      <c r="U787" s="267">
        <f>IFERROR(__xludf.DUMMYFUNCTION("""COMPUTED_VALUE"""),44273.6458333333)</f>
        <v/>
      </c>
      <c r="V787" s="6">
        <f>IFERROR(__xludf.DUMMYFUNCTION("""COMPUTED_VALUE"""),3066.01)</f>
        <v/>
      </c>
      <c r="Z787" s="6">
        <f>AA787&amp;AB787</f>
        <v/>
      </c>
      <c r="AA787" s="6">
        <f>YEAR(AC787)</f>
        <v/>
      </c>
      <c r="AB787" s="6">
        <f>MONTH(AC787)</f>
        <v/>
      </c>
      <c r="AC787" s="267">
        <f>IFERROR(__xludf.DUMMYFUNCTION("""COMPUTED_VALUE"""),43926.9986111111)</f>
        <v/>
      </c>
      <c r="AD787" s="6">
        <f>IFERROR(__xludf.DUMMYFUNCTION("""COMPUTED_VALUE"""),1235.8)</f>
        <v/>
      </c>
      <c r="AH787" s="6">
        <f>AI787&amp;AJ787</f>
        <v/>
      </c>
      <c r="AI787" s="6">
        <f>YEAR(AK787)</f>
        <v/>
      </c>
      <c r="AJ787" s="6">
        <f>MONTH(AK787)</f>
        <v/>
      </c>
      <c r="AK787" s="267">
        <f>IFERROR(__xludf.DUMMYFUNCTION("""COMPUTED_VALUE"""),43879.9986111111)</f>
        <v/>
      </c>
      <c r="AL787" s="6">
        <f>IFERROR(__xludf.DUMMYFUNCTION("""COMPUTED_VALUE"""),10169.47)</f>
        <v/>
      </c>
      <c r="AP787" s="6">
        <f>AQ787&amp;AR787</f>
        <v/>
      </c>
      <c r="AQ787" s="6">
        <f>YEAR(AS787)</f>
        <v/>
      </c>
      <c r="AR787" s="6">
        <f>MONTH(AS787)</f>
        <v/>
      </c>
      <c r="AS787" s="267">
        <f>IFERROR(__xludf.DUMMYFUNCTION("""COMPUTED_VALUE"""),44250.9986111111)</f>
        <v/>
      </c>
      <c r="AT787" s="6">
        <f>IFERROR(__xludf.DUMMYFUNCTION("""COMPUTED_VALUE"""),1805.9)</f>
        <v/>
      </c>
    </row>
    <row r="788">
      <c r="B788" s="6">
        <f>C788&amp;D788</f>
        <v/>
      </c>
      <c r="C788" s="6">
        <f>YEAR(E788)</f>
        <v/>
      </c>
      <c r="D788" s="6">
        <f>MONTH(E788)</f>
        <v/>
      </c>
      <c r="E788" s="267">
        <f>IFERROR(__xludf.DUMMYFUNCTION("""COMPUTED_VALUE"""),44243.6666666666)</f>
        <v/>
      </c>
      <c r="F788" s="6">
        <f>IFERROR(__xludf.DUMMYFUNCTION("""COMPUTED_VALUE"""),3932.59)</f>
        <v/>
      </c>
      <c r="J788" s="6">
        <f>K788&amp;L788</f>
        <v/>
      </c>
      <c r="K788" s="6">
        <f>YEAR(M788)</f>
        <v/>
      </c>
      <c r="L788" s="6">
        <f>MONTH(M788)</f>
        <v/>
      </c>
      <c r="M788" s="267">
        <f>IFERROR(__xludf.DUMMYFUNCTION("""COMPUTED_VALUE"""),44235.6666666666)</f>
        <v/>
      </c>
      <c r="N788" s="6">
        <f>IFERROR(__xludf.DUMMYFUNCTION("""COMPUTED_VALUE"""),13987.64)</f>
        <v/>
      </c>
      <c r="R788" s="6">
        <f>S788&amp;T788</f>
        <v/>
      </c>
      <c r="S788" s="6">
        <f>YEAR(U788)</f>
        <v/>
      </c>
      <c r="T788" s="6">
        <f>MONTH(U788)</f>
        <v/>
      </c>
      <c r="U788" s="267">
        <f>IFERROR(__xludf.DUMMYFUNCTION("""COMPUTED_VALUE"""),44274.6458333333)</f>
        <v/>
      </c>
      <c r="V788" s="6">
        <f>IFERROR(__xludf.DUMMYFUNCTION("""COMPUTED_VALUE"""),3039.53)</f>
        <v/>
      </c>
      <c r="Z788" s="6">
        <f>AA788&amp;AB788</f>
        <v/>
      </c>
      <c r="AA788" s="6">
        <f>YEAR(AC788)</f>
        <v/>
      </c>
      <c r="AB788" s="6">
        <f>MONTH(AC788)</f>
        <v/>
      </c>
      <c r="AC788" s="267">
        <f>IFERROR(__xludf.DUMMYFUNCTION("""COMPUTED_VALUE"""),43927.9986111111)</f>
        <v/>
      </c>
      <c r="AD788" s="6">
        <f>IFERROR(__xludf.DUMMYFUNCTION("""COMPUTED_VALUE"""),1223.1)</f>
        <v/>
      </c>
      <c r="AH788" s="6">
        <f>AI788&amp;AJ788</f>
        <v/>
      </c>
      <c r="AI788" s="6">
        <f>YEAR(AK788)</f>
        <v/>
      </c>
      <c r="AJ788" s="6">
        <f>MONTH(AK788)</f>
        <v/>
      </c>
      <c r="AK788" s="267">
        <f>IFERROR(__xludf.DUMMYFUNCTION("""COMPUTED_VALUE"""),43880.9986111111)</f>
        <v/>
      </c>
      <c r="AL788" s="6">
        <f>IFERROR(__xludf.DUMMYFUNCTION("""COMPUTED_VALUE"""),9602.206)</f>
        <v/>
      </c>
      <c r="AP788" s="6">
        <f>AQ788&amp;AR788</f>
        <v/>
      </c>
      <c r="AQ788" s="6">
        <f>YEAR(AS788)</f>
        <v/>
      </c>
      <c r="AR788" s="6">
        <f>MONTH(AS788)</f>
        <v/>
      </c>
      <c r="AS788" s="267">
        <f>IFERROR(__xludf.DUMMYFUNCTION("""COMPUTED_VALUE"""),44251.9986111111)</f>
        <v/>
      </c>
      <c r="AT788" s="6">
        <f>IFERROR(__xludf.DUMMYFUNCTION("""COMPUTED_VALUE"""),1797.9)</f>
        <v/>
      </c>
    </row>
    <row r="789">
      <c r="B789" s="6">
        <f>C789&amp;D789</f>
        <v/>
      </c>
      <c r="C789" s="6">
        <f>YEAR(E789)</f>
        <v/>
      </c>
      <c r="D789" s="6">
        <f>MONTH(E789)</f>
        <v/>
      </c>
      <c r="E789" s="267">
        <f>IFERROR(__xludf.DUMMYFUNCTION("""COMPUTED_VALUE"""),44244.6666666666)</f>
        <v/>
      </c>
      <c r="F789" s="6">
        <f>IFERROR(__xludf.DUMMYFUNCTION("""COMPUTED_VALUE"""),3931.33)</f>
        <v/>
      </c>
      <c r="J789" s="6">
        <f>K789&amp;L789</f>
        <v/>
      </c>
      <c r="K789" s="6">
        <f>YEAR(M789)</f>
        <v/>
      </c>
      <c r="L789" s="6">
        <f>MONTH(M789)</f>
        <v/>
      </c>
      <c r="M789" s="267">
        <f>IFERROR(__xludf.DUMMYFUNCTION("""COMPUTED_VALUE"""),44236.6666666666)</f>
        <v/>
      </c>
      <c r="N789" s="6">
        <f>IFERROR(__xludf.DUMMYFUNCTION("""COMPUTED_VALUE"""),14007.7)</f>
        <v/>
      </c>
      <c r="R789" s="6">
        <f>S789&amp;T789</f>
        <v/>
      </c>
      <c r="S789" s="6">
        <f>YEAR(U789)</f>
        <v/>
      </c>
      <c r="T789" s="6">
        <f>MONTH(U789)</f>
        <v/>
      </c>
      <c r="U789" s="267">
        <f>IFERROR(__xludf.DUMMYFUNCTION("""COMPUTED_VALUE"""),44277.6458333333)</f>
        <v/>
      </c>
      <c r="V789" s="6">
        <f>IFERROR(__xludf.DUMMYFUNCTION("""COMPUTED_VALUE"""),3035.46)</f>
        <v/>
      </c>
      <c r="Z789" s="6">
        <f>AA789&amp;AB789</f>
        <v/>
      </c>
      <c r="AA789" s="6">
        <f>YEAR(AC789)</f>
        <v/>
      </c>
      <c r="AB789" s="6">
        <f>MONTH(AC789)</f>
        <v/>
      </c>
      <c r="AC789" s="267">
        <f>IFERROR(__xludf.DUMMYFUNCTION("""COMPUTED_VALUE"""),43928.9986111111)</f>
        <v/>
      </c>
      <c r="AD789" s="6">
        <f>IFERROR(__xludf.DUMMYFUNCTION("""COMPUTED_VALUE"""),1215.31)</f>
        <v/>
      </c>
      <c r="AH789" s="6">
        <f>AI789&amp;AJ789</f>
        <v/>
      </c>
      <c r="AI789" s="6">
        <f>YEAR(AK789)</f>
        <v/>
      </c>
      <c r="AJ789" s="6">
        <f>MONTH(AK789)</f>
        <v/>
      </c>
      <c r="AK789" s="267">
        <f>IFERROR(__xludf.DUMMYFUNCTION("""COMPUTED_VALUE"""),43881.9986111111)</f>
        <v/>
      </c>
      <c r="AL789" s="6">
        <f>IFERROR(__xludf.DUMMYFUNCTION("""COMPUTED_VALUE"""),9609.387)</f>
        <v/>
      </c>
      <c r="AP789" s="6">
        <f>AQ789&amp;AR789</f>
        <v/>
      </c>
      <c r="AQ789" s="6">
        <f>YEAR(AS789)</f>
        <v/>
      </c>
      <c r="AR789" s="6">
        <f>MONTH(AS789)</f>
        <v/>
      </c>
      <c r="AS789" s="267">
        <f>IFERROR(__xludf.DUMMYFUNCTION("""COMPUTED_VALUE"""),44252.9986111111)</f>
        <v/>
      </c>
      <c r="AT789" s="6">
        <f>IFERROR(__xludf.DUMMYFUNCTION("""COMPUTED_VALUE"""),1775.4)</f>
        <v/>
      </c>
    </row>
    <row r="790">
      <c r="B790" s="6">
        <f>C790&amp;D790</f>
        <v/>
      </c>
      <c r="C790" s="6">
        <f>YEAR(E790)</f>
        <v/>
      </c>
      <c r="D790" s="6">
        <f>MONTH(E790)</f>
        <v/>
      </c>
      <c r="E790" s="267">
        <f>IFERROR(__xludf.DUMMYFUNCTION("""COMPUTED_VALUE"""),44245.6666666666)</f>
        <v/>
      </c>
      <c r="F790" s="6">
        <f>IFERROR(__xludf.DUMMYFUNCTION("""COMPUTED_VALUE"""),3913.97)</f>
        <v/>
      </c>
      <c r="J790" s="6">
        <f>K790&amp;L790</f>
        <v/>
      </c>
      <c r="K790" s="6">
        <f>YEAR(M790)</f>
        <v/>
      </c>
      <c r="L790" s="6">
        <f>MONTH(M790)</f>
        <v/>
      </c>
      <c r="M790" s="267">
        <f>IFERROR(__xludf.DUMMYFUNCTION("""COMPUTED_VALUE"""),44237.6666666666)</f>
        <v/>
      </c>
      <c r="N790" s="6">
        <f>IFERROR(__xludf.DUMMYFUNCTION("""COMPUTED_VALUE"""),13972.53)</f>
        <v/>
      </c>
      <c r="R790" s="6">
        <f>S790&amp;T790</f>
        <v/>
      </c>
      <c r="S790" s="6">
        <f>YEAR(U790)</f>
        <v/>
      </c>
      <c r="T790" s="6">
        <f>MONTH(U790)</f>
        <v/>
      </c>
      <c r="U790" s="267">
        <f>IFERROR(__xludf.DUMMYFUNCTION("""COMPUTED_VALUE"""),44278.6458333333)</f>
        <v/>
      </c>
      <c r="V790" s="6">
        <f>IFERROR(__xludf.DUMMYFUNCTION("""COMPUTED_VALUE"""),3004.74)</f>
        <v/>
      </c>
      <c r="Z790" s="6">
        <f>AA790&amp;AB790</f>
        <v/>
      </c>
      <c r="AA790" s="6">
        <f>YEAR(AC790)</f>
        <v/>
      </c>
      <c r="AB790" s="6">
        <f>MONTH(AC790)</f>
        <v/>
      </c>
      <c r="AC790" s="267">
        <f>IFERROR(__xludf.DUMMYFUNCTION("""COMPUTED_VALUE"""),43929.9986111111)</f>
        <v/>
      </c>
      <c r="AD790" s="6">
        <f>IFERROR(__xludf.DUMMYFUNCTION("""COMPUTED_VALUE"""),1214.75)</f>
        <v/>
      </c>
      <c r="AH790" s="6">
        <f>AI790&amp;AJ790</f>
        <v/>
      </c>
      <c r="AI790" s="6">
        <f>YEAR(AK790)</f>
        <v/>
      </c>
      <c r="AJ790" s="6">
        <f>MONTH(AK790)</f>
        <v/>
      </c>
      <c r="AK790" s="267">
        <f>IFERROR(__xludf.DUMMYFUNCTION("""COMPUTED_VALUE"""),43882.9986111111)</f>
        <v/>
      </c>
      <c r="AL790" s="6">
        <f>IFERROR(__xludf.DUMMYFUNCTION("""COMPUTED_VALUE"""),9691.18)</f>
        <v/>
      </c>
      <c r="AP790" s="6">
        <f>AQ790&amp;AR790</f>
        <v/>
      </c>
      <c r="AQ790" s="6">
        <f>YEAR(AS790)</f>
        <v/>
      </c>
      <c r="AR790" s="6">
        <f>MONTH(AS790)</f>
        <v/>
      </c>
      <c r="AS790" s="267">
        <f>IFERROR(__xludf.DUMMYFUNCTION("""COMPUTED_VALUE"""),44253.9986111111)</f>
        <v/>
      </c>
      <c r="AT790" s="6">
        <f>IFERROR(__xludf.DUMMYFUNCTION("""COMPUTED_VALUE"""),1728.8)</f>
        <v/>
      </c>
    </row>
    <row r="791">
      <c r="B791" s="6">
        <f>C791&amp;D791</f>
        <v/>
      </c>
      <c r="C791" s="6">
        <f>YEAR(E791)</f>
        <v/>
      </c>
      <c r="D791" s="6">
        <f>MONTH(E791)</f>
        <v/>
      </c>
      <c r="E791" s="267">
        <f>IFERROR(__xludf.DUMMYFUNCTION("""COMPUTED_VALUE"""),44246.6666666666)</f>
        <v/>
      </c>
      <c r="F791" s="6">
        <f>IFERROR(__xludf.DUMMYFUNCTION("""COMPUTED_VALUE"""),3906.71)</f>
        <v/>
      </c>
      <c r="J791" s="6">
        <f>K791&amp;L791</f>
        <v/>
      </c>
      <c r="K791" s="6">
        <f>YEAR(M791)</f>
        <v/>
      </c>
      <c r="L791" s="6">
        <f>MONTH(M791)</f>
        <v/>
      </c>
      <c r="M791" s="267">
        <f>IFERROR(__xludf.DUMMYFUNCTION("""COMPUTED_VALUE"""),44238.6666666666)</f>
        <v/>
      </c>
      <c r="N791" s="6">
        <f>IFERROR(__xludf.DUMMYFUNCTION("""COMPUTED_VALUE"""),14025.77)</f>
        <v/>
      </c>
      <c r="R791" s="6">
        <f>S791&amp;T791</f>
        <v/>
      </c>
      <c r="S791" s="6">
        <f>YEAR(U791)</f>
        <v/>
      </c>
      <c r="T791" s="6">
        <f>MONTH(U791)</f>
        <v/>
      </c>
      <c r="U791" s="267">
        <f>IFERROR(__xludf.DUMMYFUNCTION("""COMPUTED_VALUE"""),44279.6458333333)</f>
        <v/>
      </c>
      <c r="V791" s="6">
        <f>IFERROR(__xludf.DUMMYFUNCTION("""COMPUTED_VALUE"""),2996.35)</f>
        <v/>
      </c>
      <c r="Z791" s="6">
        <f>AA791&amp;AB791</f>
        <v/>
      </c>
      <c r="AA791" s="6">
        <f>YEAR(AC791)</f>
        <v/>
      </c>
      <c r="AB791" s="6">
        <f>MONTH(AC791)</f>
        <v/>
      </c>
      <c r="AC791" s="267">
        <f>IFERROR(__xludf.DUMMYFUNCTION("""COMPUTED_VALUE"""),43930.9986111111)</f>
        <v/>
      </c>
      <c r="AD791" s="6">
        <f>IFERROR(__xludf.DUMMYFUNCTION("""COMPUTED_VALUE"""),1209.51)</f>
        <v/>
      </c>
      <c r="AH791" s="6">
        <f>AI791&amp;AJ791</f>
        <v/>
      </c>
      <c r="AI791" s="6">
        <f>YEAR(AK791)</f>
        <v/>
      </c>
      <c r="AJ791" s="6">
        <f>MONTH(AK791)</f>
        <v/>
      </c>
      <c r="AK791" s="267">
        <f>IFERROR(__xludf.DUMMYFUNCTION("""COMPUTED_VALUE"""),43883.9986111111)</f>
        <v/>
      </c>
      <c r="AL791" s="6">
        <f>IFERROR(__xludf.DUMMYFUNCTION("""COMPUTED_VALUE"""),9667.061)</f>
        <v/>
      </c>
      <c r="AP791" s="6">
        <f>AQ791&amp;AR791</f>
        <v/>
      </c>
      <c r="AQ791" s="6">
        <f>YEAR(AS791)</f>
        <v/>
      </c>
      <c r="AR791" s="6">
        <f>MONTH(AS791)</f>
        <v/>
      </c>
      <c r="AS791" s="267">
        <f>IFERROR(__xludf.DUMMYFUNCTION("""COMPUTED_VALUE"""),44256.9986111111)</f>
        <v/>
      </c>
      <c r="AT791" s="6">
        <f>IFERROR(__xludf.DUMMYFUNCTION("""COMPUTED_VALUE"""),1723)</f>
        <v/>
      </c>
    </row>
    <row r="792">
      <c r="B792" s="6">
        <f>C792&amp;D792</f>
        <v/>
      </c>
      <c r="C792" s="6">
        <f>YEAR(E792)</f>
        <v/>
      </c>
      <c r="D792" s="6">
        <f>MONTH(E792)</f>
        <v/>
      </c>
      <c r="E792" s="267">
        <f>IFERROR(__xludf.DUMMYFUNCTION("""COMPUTED_VALUE"""),44249.6666666666)</f>
        <v/>
      </c>
      <c r="F792" s="6">
        <f>IFERROR(__xludf.DUMMYFUNCTION("""COMPUTED_VALUE"""),3876.5)</f>
        <v/>
      </c>
      <c r="J792" s="6">
        <f>K792&amp;L792</f>
        <v/>
      </c>
      <c r="K792" s="6">
        <f>YEAR(M792)</f>
        <v/>
      </c>
      <c r="L792" s="6">
        <f>MONTH(M792)</f>
        <v/>
      </c>
      <c r="M792" s="267">
        <f>IFERROR(__xludf.DUMMYFUNCTION("""COMPUTED_VALUE"""),44239.6666666666)</f>
        <v/>
      </c>
      <c r="N792" s="6">
        <f>IFERROR(__xludf.DUMMYFUNCTION("""COMPUTED_VALUE"""),14095.47)</f>
        <v/>
      </c>
      <c r="R792" s="6">
        <f>S792&amp;T792</f>
        <v/>
      </c>
      <c r="S792" s="6">
        <f>YEAR(U792)</f>
        <v/>
      </c>
      <c r="T792" s="6">
        <f>MONTH(U792)</f>
        <v/>
      </c>
      <c r="U792" s="267">
        <f>IFERROR(__xludf.DUMMYFUNCTION("""COMPUTED_VALUE"""),44280.6458333333)</f>
        <v/>
      </c>
      <c r="V792" s="6">
        <f>IFERROR(__xludf.DUMMYFUNCTION("""COMPUTED_VALUE"""),3008.33)</f>
        <v/>
      </c>
      <c r="Z792" s="6">
        <f>AA792&amp;AB792</f>
        <v/>
      </c>
      <c r="AA792" s="6">
        <f>YEAR(AC792)</f>
        <v/>
      </c>
      <c r="AB792" s="6">
        <f>MONTH(AC792)</f>
        <v/>
      </c>
      <c r="AC792" s="267">
        <f>IFERROR(__xludf.DUMMYFUNCTION("""COMPUTED_VALUE"""),43931.9986111111)</f>
        <v/>
      </c>
      <c r="AD792" s="6">
        <f>IFERROR(__xludf.DUMMYFUNCTION("""COMPUTED_VALUE"""),1211.14)</f>
        <v/>
      </c>
      <c r="AH792" s="6">
        <f>AI792&amp;AJ792</f>
        <v/>
      </c>
      <c r="AI792" s="6">
        <f>YEAR(AK792)</f>
        <v/>
      </c>
      <c r="AJ792" s="6">
        <f>MONTH(AK792)</f>
        <v/>
      </c>
      <c r="AK792" s="267">
        <f>IFERROR(__xludf.DUMMYFUNCTION("""COMPUTED_VALUE"""),43884.9986111111)</f>
        <v/>
      </c>
      <c r="AL792" s="6">
        <f>IFERROR(__xludf.DUMMYFUNCTION("""COMPUTED_VALUE"""),9976.343)</f>
        <v/>
      </c>
      <c r="AP792" s="6">
        <f>AQ792&amp;AR792</f>
        <v/>
      </c>
      <c r="AQ792" s="6">
        <f>YEAR(AS792)</f>
        <v/>
      </c>
      <c r="AR792" s="6">
        <f>MONTH(AS792)</f>
        <v/>
      </c>
      <c r="AS792" s="267">
        <f>IFERROR(__xludf.DUMMYFUNCTION("""COMPUTED_VALUE"""),44257.9986111111)</f>
        <v/>
      </c>
      <c r="AT792" s="6">
        <f>IFERROR(__xludf.DUMMYFUNCTION("""COMPUTED_VALUE"""),1733.6)</f>
        <v/>
      </c>
    </row>
    <row r="793">
      <c r="B793" s="6">
        <f>C793&amp;D793</f>
        <v/>
      </c>
      <c r="C793" s="6">
        <f>YEAR(E793)</f>
        <v/>
      </c>
      <c r="D793" s="6">
        <f>MONTH(E793)</f>
        <v/>
      </c>
      <c r="E793" s="267">
        <f>IFERROR(__xludf.DUMMYFUNCTION("""COMPUTED_VALUE"""),44250.6666666666)</f>
        <v/>
      </c>
      <c r="F793" s="6">
        <f>IFERROR(__xludf.DUMMYFUNCTION("""COMPUTED_VALUE"""),3881.37)</f>
        <v/>
      </c>
      <c r="J793" s="6">
        <f>K793&amp;L793</f>
        <v/>
      </c>
      <c r="K793" s="6">
        <f>YEAR(M793)</f>
        <v/>
      </c>
      <c r="L793" s="6">
        <f>MONTH(M793)</f>
        <v/>
      </c>
      <c r="M793" s="267">
        <f>IFERROR(__xludf.DUMMYFUNCTION("""COMPUTED_VALUE"""),44243.6666666666)</f>
        <v/>
      </c>
      <c r="N793" s="6">
        <f>IFERROR(__xludf.DUMMYFUNCTION("""COMPUTED_VALUE"""),14047.5)</f>
        <v/>
      </c>
      <c r="R793" s="6">
        <f>S793&amp;T793</f>
        <v/>
      </c>
      <c r="S793" s="6">
        <f>YEAR(U793)</f>
        <v/>
      </c>
      <c r="T793" s="6">
        <f>MONTH(U793)</f>
        <v/>
      </c>
      <c r="U793" s="267">
        <f>IFERROR(__xludf.DUMMYFUNCTION("""COMPUTED_VALUE"""),44281.6458333333)</f>
        <v/>
      </c>
      <c r="V793" s="6">
        <f>IFERROR(__xludf.DUMMYFUNCTION("""COMPUTED_VALUE"""),3041.01)</f>
        <v/>
      </c>
      <c r="Z793" s="6">
        <f>AA793&amp;AB793</f>
        <v/>
      </c>
      <c r="AA793" s="6">
        <f>YEAR(AC793)</f>
        <v/>
      </c>
      <c r="AB793" s="6">
        <f>MONTH(AC793)</f>
        <v/>
      </c>
      <c r="AC793" s="267">
        <f>IFERROR(__xludf.DUMMYFUNCTION("""COMPUTED_VALUE"""),43932.9986111111)</f>
        <v/>
      </c>
      <c r="AD793" s="6">
        <f>IFERROR(__xludf.DUMMYFUNCTION("""COMPUTED_VALUE"""),1211.14)</f>
        <v/>
      </c>
      <c r="AH793" s="6">
        <f>AI793&amp;AJ793</f>
        <v/>
      </c>
      <c r="AI793" s="6">
        <f>YEAR(AK793)</f>
        <v/>
      </c>
      <c r="AJ793" s="6">
        <f>MONTH(AK793)</f>
        <v/>
      </c>
      <c r="AK793" s="267">
        <f>IFERROR(__xludf.DUMMYFUNCTION("""COMPUTED_VALUE"""),43885.9986111111)</f>
        <v/>
      </c>
      <c r="AL793" s="6">
        <f>IFERROR(__xludf.DUMMYFUNCTION("""COMPUTED_VALUE"""),9664.999)</f>
        <v/>
      </c>
      <c r="AP793" s="6">
        <f>AQ793&amp;AR793</f>
        <v/>
      </c>
      <c r="AQ793" s="6">
        <f>YEAR(AS793)</f>
        <v/>
      </c>
      <c r="AR793" s="6">
        <f>MONTH(AS793)</f>
        <v/>
      </c>
      <c r="AS793" s="267">
        <f>IFERROR(__xludf.DUMMYFUNCTION("""COMPUTED_VALUE"""),44258.9986111111)</f>
        <v/>
      </c>
      <c r="AT793" s="6">
        <f>IFERROR(__xludf.DUMMYFUNCTION("""COMPUTED_VALUE"""),1715.8)</f>
        <v/>
      </c>
    </row>
    <row r="794">
      <c r="B794" s="6">
        <f>C794&amp;D794</f>
        <v/>
      </c>
      <c r="C794" s="6">
        <f>YEAR(E794)</f>
        <v/>
      </c>
      <c r="D794" s="6">
        <f>MONTH(E794)</f>
        <v/>
      </c>
      <c r="E794" s="267">
        <f>IFERROR(__xludf.DUMMYFUNCTION("""COMPUTED_VALUE"""),44251.6666666666)</f>
        <v/>
      </c>
      <c r="F794" s="6">
        <f>IFERROR(__xludf.DUMMYFUNCTION("""COMPUTED_VALUE"""),3925.43)</f>
        <v/>
      </c>
      <c r="J794" s="6">
        <f>K794&amp;L794</f>
        <v/>
      </c>
      <c r="K794" s="6">
        <f>YEAR(M794)</f>
        <v/>
      </c>
      <c r="L794" s="6">
        <f>MONTH(M794)</f>
        <v/>
      </c>
      <c r="M794" s="267">
        <f>IFERROR(__xludf.DUMMYFUNCTION("""COMPUTED_VALUE"""),44244.6666666666)</f>
        <v/>
      </c>
      <c r="N794" s="6">
        <f>IFERROR(__xludf.DUMMYFUNCTION("""COMPUTED_VALUE"""),13965.5)</f>
        <v/>
      </c>
      <c r="R794" s="6">
        <f>S794&amp;T794</f>
        <v/>
      </c>
      <c r="S794" s="6">
        <f>YEAR(U794)</f>
        <v/>
      </c>
      <c r="T794" s="6">
        <f>MONTH(U794)</f>
        <v/>
      </c>
      <c r="U794" s="267">
        <f>IFERROR(__xludf.DUMMYFUNCTION("""COMPUTED_VALUE"""),44284.6458333333)</f>
        <v/>
      </c>
      <c r="V794" s="6">
        <f>IFERROR(__xludf.DUMMYFUNCTION("""COMPUTED_VALUE"""),3036.04)</f>
        <v/>
      </c>
      <c r="Z794" s="6">
        <f>AA794&amp;AB794</f>
        <v/>
      </c>
      <c r="AA794" s="6">
        <f>YEAR(AC794)</f>
        <v/>
      </c>
      <c r="AB794" s="6">
        <f>MONTH(AC794)</f>
        <v/>
      </c>
      <c r="AC794" s="267">
        <f>IFERROR(__xludf.DUMMYFUNCTION("""COMPUTED_VALUE"""),43933.9986111111)</f>
        <v/>
      </c>
      <c r="AD794" s="6">
        <f>IFERROR(__xludf.DUMMYFUNCTION("""COMPUTED_VALUE"""),1211.04)</f>
        <v/>
      </c>
      <c r="AH794" s="6">
        <f>AI794&amp;AJ794</f>
        <v/>
      </c>
      <c r="AI794" s="6">
        <f>YEAR(AK794)</f>
        <v/>
      </c>
      <c r="AJ794" s="6">
        <f>MONTH(AK794)</f>
        <v/>
      </c>
      <c r="AK794" s="267">
        <f>IFERROR(__xludf.DUMMYFUNCTION("""COMPUTED_VALUE"""),43886.9986111111)</f>
        <v/>
      </c>
      <c r="AL794" s="6">
        <f>IFERROR(__xludf.DUMMYFUNCTION("""COMPUTED_VALUE"""),9314.375)</f>
        <v/>
      </c>
      <c r="AP794" s="6">
        <f>AQ794&amp;AR794</f>
        <v/>
      </c>
      <c r="AQ794" s="6">
        <f>YEAR(AS794)</f>
        <v/>
      </c>
      <c r="AR794" s="6">
        <f>MONTH(AS794)</f>
        <v/>
      </c>
      <c r="AS794" s="267">
        <f>IFERROR(__xludf.DUMMYFUNCTION("""COMPUTED_VALUE"""),44259.9986111111)</f>
        <v/>
      </c>
      <c r="AT794" s="6">
        <f>IFERROR(__xludf.DUMMYFUNCTION("""COMPUTED_VALUE"""),1700.7)</f>
        <v/>
      </c>
    </row>
    <row r="795">
      <c r="B795" s="6">
        <f>C795&amp;D795</f>
        <v/>
      </c>
      <c r="C795" s="6">
        <f>YEAR(E795)</f>
        <v/>
      </c>
      <c r="D795" s="6">
        <f>MONTH(E795)</f>
        <v/>
      </c>
      <c r="E795" s="267">
        <f>IFERROR(__xludf.DUMMYFUNCTION("""COMPUTED_VALUE"""),44252.6666666666)</f>
        <v/>
      </c>
      <c r="F795" s="6">
        <f>IFERROR(__xludf.DUMMYFUNCTION("""COMPUTED_VALUE"""),3829.34)</f>
        <v/>
      </c>
      <c r="J795" s="6">
        <f>K795&amp;L795</f>
        <v/>
      </c>
      <c r="K795" s="6">
        <f>YEAR(M795)</f>
        <v/>
      </c>
      <c r="L795" s="6">
        <f>MONTH(M795)</f>
        <v/>
      </c>
      <c r="M795" s="267">
        <f>IFERROR(__xludf.DUMMYFUNCTION("""COMPUTED_VALUE"""),44245.6666666666)</f>
        <v/>
      </c>
      <c r="N795" s="6">
        <f>IFERROR(__xludf.DUMMYFUNCTION("""COMPUTED_VALUE"""),13865.36)</f>
        <v/>
      </c>
      <c r="R795" s="6">
        <f>S795&amp;T795</f>
        <v/>
      </c>
      <c r="S795" s="6">
        <f>YEAR(U795)</f>
        <v/>
      </c>
      <c r="T795" s="6">
        <f>MONTH(U795)</f>
        <v/>
      </c>
      <c r="U795" s="267">
        <f>IFERROR(__xludf.DUMMYFUNCTION("""COMPUTED_VALUE"""),44285.6458333333)</f>
        <v/>
      </c>
      <c r="V795" s="6">
        <f>IFERROR(__xludf.DUMMYFUNCTION("""COMPUTED_VALUE"""),3070)</f>
        <v/>
      </c>
      <c r="Z795" s="6">
        <f>AA795&amp;AB795</f>
        <v/>
      </c>
      <c r="AA795" s="6">
        <f>YEAR(AC795)</f>
        <v/>
      </c>
      <c r="AB795" s="6">
        <f>MONTH(AC795)</f>
        <v/>
      </c>
      <c r="AC795" s="267">
        <f>IFERROR(__xludf.DUMMYFUNCTION("""COMPUTED_VALUE"""),43934.9986111111)</f>
        <v/>
      </c>
      <c r="AD795" s="6">
        <f>IFERROR(__xludf.DUMMYFUNCTION("""COMPUTED_VALUE"""),1213.9)</f>
        <v/>
      </c>
      <c r="AH795" s="6">
        <f>AI795&amp;AJ795</f>
        <v/>
      </c>
      <c r="AI795" s="6">
        <f>YEAR(AK795)</f>
        <v/>
      </c>
      <c r="AJ795" s="6">
        <f>MONTH(AK795)</f>
        <v/>
      </c>
      <c r="AK795" s="267">
        <f>IFERROR(__xludf.DUMMYFUNCTION("""COMPUTED_VALUE"""),43887.9986111111)</f>
        <v/>
      </c>
      <c r="AL795" s="6">
        <f>IFERROR(__xludf.DUMMYFUNCTION("""COMPUTED_VALUE"""),8788.837)</f>
        <v/>
      </c>
      <c r="AP795" s="6">
        <f>AQ795&amp;AR795</f>
        <v/>
      </c>
      <c r="AQ795" s="6">
        <f>YEAR(AS795)</f>
        <v/>
      </c>
      <c r="AR795" s="6">
        <f>MONTH(AS795)</f>
        <v/>
      </c>
      <c r="AS795" s="267">
        <f>IFERROR(__xludf.DUMMYFUNCTION("""COMPUTED_VALUE"""),44260.9986111111)</f>
        <v/>
      </c>
      <c r="AT795" s="6">
        <f>IFERROR(__xludf.DUMMYFUNCTION("""COMPUTED_VALUE"""),1698.5)</f>
        <v/>
      </c>
    </row>
    <row r="796">
      <c r="B796" s="6">
        <f>C796&amp;D796</f>
        <v/>
      </c>
      <c r="C796" s="6">
        <f>YEAR(E796)</f>
        <v/>
      </c>
      <c r="D796" s="6">
        <f>MONTH(E796)</f>
        <v/>
      </c>
      <c r="E796" s="267">
        <f>IFERROR(__xludf.DUMMYFUNCTION("""COMPUTED_VALUE"""),44253.6666666666)</f>
        <v/>
      </c>
      <c r="F796" s="6">
        <f>IFERROR(__xludf.DUMMYFUNCTION("""COMPUTED_VALUE"""),3811.15)</f>
        <v/>
      </c>
      <c r="J796" s="6">
        <f>K796&amp;L796</f>
        <v/>
      </c>
      <c r="K796" s="6">
        <f>YEAR(M796)</f>
        <v/>
      </c>
      <c r="L796" s="6">
        <f>MONTH(M796)</f>
        <v/>
      </c>
      <c r="M796" s="267">
        <f>IFERROR(__xludf.DUMMYFUNCTION("""COMPUTED_VALUE"""),44246.6666666666)</f>
        <v/>
      </c>
      <c r="N796" s="6">
        <f>IFERROR(__xludf.DUMMYFUNCTION("""COMPUTED_VALUE"""),13874.46)</f>
        <v/>
      </c>
      <c r="R796" s="6">
        <f>S796&amp;T796</f>
        <v/>
      </c>
      <c r="S796" s="6">
        <f>YEAR(U796)</f>
        <v/>
      </c>
      <c r="T796" s="6">
        <f>MONTH(U796)</f>
        <v/>
      </c>
      <c r="U796" s="267">
        <f>IFERROR(__xludf.DUMMYFUNCTION("""COMPUTED_VALUE"""),44286.6458333333)</f>
        <v/>
      </c>
      <c r="V796" s="6">
        <f>IFERROR(__xludf.DUMMYFUNCTION("""COMPUTED_VALUE"""),3061.42)</f>
        <v/>
      </c>
      <c r="Z796" s="6">
        <f>AA796&amp;AB796</f>
        <v/>
      </c>
      <c r="AA796" s="6">
        <f>YEAR(AC796)</f>
        <v/>
      </c>
      <c r="AB796" s="6">
        <f>MONTH(AC796)</f>
        <v/>
      </c>
      <c r="AC796" s="267">
        <f>IFERROR(__xludf.DUMMYFUNCTION("""COMPUTED_VALUE"""),43935.9986111111)</f>
        <v/>
      </c>
      <c r="AD796" s="6">
        <f>IFERROR(__xludf.DUMMYFUNCTION("""COMPUTED_VALUE"""),1212.38)</f>
        <v/>
      </c>
      <c r="AH796" s="6">
        <f>AI796&amp;AJ796</f>
        <v/>
      </c>
      <c r="AI796" s="6">
        <f>YEAR(AK796)</f>
        <v/>
      </c>
      <c r="AJ796" s="6">
        <f>MONTH(AK796)</f>
        <v/>
      </c>
      <c r="AK796" s="267">
        <f>IFERROR(__xludf.DUMMYFUNCTION("""COMPUTED_VALUE"""),43888.9986111111)</f>
        <v/>
      </c>
      <c r="AL796" s="6">
        <f>IFERROR(__xludf.DUMMYFUNCTION("""COMPUTED_VALUE"""),8803.93)</f>
        <v/>
      </c>
      <c r="AP796" s="6">
        <f>AQ796&amp;AR796</f>
        <v/>
      </c>
      <c r="AQ796" s="6">
        <f>YEAR(AS796)</f>
        <v/>
      </c>
      <c r="AR796" s="6">
        <f>MONTH(AS796)</f>
        <v/>
      </c>
      <c r="AS796" s="267">
        <f>IFERROR(__xludf.DUMMYFUNCTION("""COMPUTED_VALUE"""),44263.9986111111)</f>
        <v/>
      </c>
      <c r="AT796" s="6">
        <f>IFERROR(__xludf.DUMMYFUNCTION("""COMPUTED_VALUE"""),1678)</f>
        <v/>
      </c>
    </row>
    <row r="797">
      <c r="B797" s="6">
        <f>C797&amp;D797</f>
        <v/>
      </c>
      <c r="C797" s="6">
        <f>YEAR(E797)</f>
        <v/>
      </c>
      <c r="D797" s="6">
        <f>MONTH(E797)</f>
        <v/>
      </c>
      <c r="E797" s="267">
        <f>IFERROR(__xludf.DUMMYFUNCTION("""COMPUTED_VALUE"""),44256.6666666666)</f>
        <v/>
      </c>
      <c r="F797" s="6">
        <f>IFERROR(__xludf.DUMMYFUNCTION("""COMPUTED_VALUE"""),3901.82)</f>
        <v/>
      </c>
      <c r="J797" s="6">
        <f>K797&amp;L797</f>
        <v/>
      </c>
      <c r="K797" s="6">
        <f>YEAR(M797)</f>
        <v/>
      </c>
      <c r="L797" s="6">
        <f>MONTH(M797)</f>
        <v/>
      </c>
      <c r="M797" s="267">
        <f>IFERROR(__xludf.DUMMYFUNCTION("""COMPUTED_VALUE"""),44249.6666666666)</f>
        <v/>
      </c>
      <c r="N797" s="6">
        <f>IFERROR(__xludf.DUMMYFUNCTION("""COMPUTED_VALUE"""),13533.05)</f>
        <v/>
      </c>
      <c r="R797" s="6">
        <f>S797&amp;T797</f>
        <v/>
      </c>
      <c r="S797" s="6">
        <f>YEAR(U797)</f>
        <v/>
      </c>
      <c r="T797" s="6">
        <f>MONTH(U797)</f>
        <v/>
      </c>
      <c r="U797" s="267">
        <f>IFERROR(__xludf.DUMMYFUNCTION("""COMPUTED_VALUE"""),44287.6458333333)</f>
        <v/>
      </c>
      <c r="V797" s="6">
        <f>IFERROR(__xludf.DUMMYFUNCTION("""COMPUTED_VALUE"""),3087.4)</f>
        <v/>
      </c>
      <c r="Z797" s="6">
        <f>AA797&amp;AB797</f>
        <v/>
      </c>
      <c r="AA797" s="6">
        <f>YEAR(AC797)</f>
        <v/>
      </c>
      <c r="AB797" s="6">
        <f>MONTH(AC797)</f>
        <v/>
      </c>
      <c r="AC797" s="267">
        <f>IFERROR(__xludf.DUMMYFUNCTION("""COMPUTED_VALUE"""),43936.9986111111)</f>
        <v/>
      </c>
      <c r="AD797" s="6">
        <f>IFERROR(__xludf.DUMMYFUNCTION("""COMPUTED_VALUE"""),1222.55)</f>
        <v/>
      </c>
      <c r="AH797" s="6">
        <f>AI797&amp;AJ797</f>
        <v/>
      </c>
      <c r="AI797" s="6">
        <f>YEAR(AK797)</f>
        <v/>
      </c>
      <c r="AJ797" s="6">
        <f>MONTH(AK797)</f>
        <v/>
      </c>
      <c r="AK797" s="267">
        <f>IFERROR(__xludf.DUMMYFUNCTION("""COMPUTED_VALUE"""),43889.9986111111)</f>
        <v/>
      </c>
      <c r="AL797" s="6">
        <f>IFERROR(__xludf.DUMMYFUNCTION("""COMPUTED_VALUE"""),8712.536)</f>
        <v/>
      </c>
      <c r="AP797" s="6">
        <f>AQ797&amp;AR797</f>
        <v/>
      </c>
      <c r="AQ797" s="6">
        <f>YEAR(AS797)</f>
        <v/>
      </c>
      <c r="AR797" s="6">
        <f>MONTH(AS797)</f>
        <v/>
      </c>
      <c r="AS797" s="267">
        <f>IFERROR(__xludf.DUMMYFUNCTION("""COMPUTED_VALUE"""),44264.9986111111)</f>
        <v/>
      </c>
      <c r="AT797" s="6">
        <f>IFERROR(__xludf.DUMMYFUNCTION("""COMPUTED_VALUE"""),1716.9)</f>
        <v/>
      </c>
    </row>
    <row r="798">
      <c r="B798" s="6">
        <f>C798&amp;D798</f>
        <v/>
      </c>
      <c r="C798" s="6">
        <f>YEAR(E798)</f>
        <v/>
      </c>
      <c r="D798" s="6">
        <f>MONTH(E798)</f>
        <v/>
      </c>
      <c r="E798" s="267">
        <f>IFERROR(__xludf.DUMMYFUNCTION("""COMPUTED_VALUE"""),44257.6666666666)</f>
        <v/>
      </c>
      <c r="F798" s="6">
        <f>IFERROR(__xludf.DUMMYFUNCTION("""COMPUTED_VALUE"""),3870.29)</f>
        <v/>
      </c>
      <c r="J798" s="6">
        <f>K798&amp;L798</f>
        <v/>
      </c>
      <c r="K798" s="6">
        <f>YEAR(M798)</f>
        <v/>
      </c>
      <c r="L798" s="6">
        <f>MONTH(M798)</f>
        <v/>
      </c>
      <c r="M798" s="267">
        <f>IFERROR(__xludf.DUMMYFUNCTION("""COMPUTED_VALUE"""),44250.6666666666)</f>
        <v/>
      </c>
      <c r="N798" s="6">
        <f>IFERROR(__xludf.DUMMYFUNCTION("""COMPUTED_VALUE"""),13465.2)</f>
        <v/>
      </c>
      <c r="R798" s="6">
        <f>S798&amp;T798</f>
        <v/>
      </c>
      <c r="S798" s="6">
        <f>YEAR(U798)</f>
        <v/>
      </c>
      <c r="T798" s="6">
        <f>MONTH(U798)</f>
        <v/>
      </c>
      <c r="U798" s="267">
        <f>IFERROR(__xludf.DUMMYFUNCTION("""COMPUTED_VALUE"""),44288.6458333333)</f>
        <v/>
      </c>
      <c r="V798" s="6">
        <f>IFERROR(__xludf.DUMMYFUNCTION("""COMPUTED_VALUE"""),3112.8)</f>
        <v/>
      </c>
      <c r="Z798" s="6">
        <f>AA798&amp;AB798</f>
        <v/>
      </c>
      <c r="AA798" s="6">
        <f>YEAR(AC798)</f>
        <v/>
      </c>
      <c r="AB798" s="6">
        <f>MONTH(AC798)</f>
        <v/>
      </c>
      <c r="AC798" s="267">
        <f>IFERROR(__xludf.DUMMYFUNCTION("""COMPUTED_VALUE"""),43937.9986111111)</f>
        <v/>
      </c>
      <c r="AD798" s="6">
        <f>IFERROR(__xludf.DUMMYFUNCTION("""COMPUTED_VALUE"""),1226.64)</f>
        <v/>
      </c>
      <c r="AH798" s="6">
        <f>AI798&amp;AJ798</f>
        <v/>
      </c>
      <c r="AI798" s="6">
        <f>YEAR(AK798)</f>
        <v/>
      </c>
      <c r="AJ798" s="6">
        <f>MONTH(AK798)</f>
        <v/>
      </c>
      <c r="AK798" s="267">
        <f>IFERROR(__xludf.DUMMYFUNCTION("""COMPUTED_VALUE"""),43890.9986111111)</f>
        <v/>
      </c>
      <c r="AL798" s="6">
        <f>IFERROR(__xludf.DUMMYFUNCTION("""COMPUTED_VALUE"""),8531.393)</f>
        <v/>
      </c>
      <c r="AP798" s="6">
        <f>AQ798&amp;AR798</f>
        <v/>
      </c>
      <c r="AQ798" s="6">
        <f>YEAR(AS798)</f>
        <v/>
      </c>
      <c r="AR798" s="6">
        <f>MONTH(AS798)</f>
        <v/>
      </c>
      <c r="AS798" s="267">
        <f>IFERROR(__xludf.DUMMYFUNCTION("""COMPUTED_VALUE"""),44265.9986111111)</f>
        <v/>
      </c>
      <c r="AT798" s="6">
        <f>IFERROR(__xludf.DUMMYFUNCTION("""COMPUTED_VALUE"""),1721.8)</f>
        <v/>
      </c>
    </row>
    <row r="799">
      <c r="B799" s="6">
        <f>C799&amp;D799</f>
        <v/>
      </c>
      <c r="C799" s="6">
        <f>YEAR(E799)</f>
        <v/>
      </c>
      <c r="D799" s="6">
        <f>MONTH(E799)</f>
        <v/>
      </c>
      <c r="E799" s="267">
        <f>IFERROR(__xludf.DUMMYFUNCTION("""COMPUTED_VALUE"""),44258.6666666666)</f>
        <v/>
      </c>
      <c r="F799" s="6">
        <f>IFERROR(__xludf.DUMMYFUNCTION("""COMPUTED_VALUE"""),3819.72)</f>
        <v/>
      </c>
      <c r="J799" s="6">
        <f>K799&amp;L799</f>
        <v/>
      </c>
      <c r="K799" s="6">
        <f>YEAR(M799)</f>
        <v/>
      </c>
      <c r="L799" s="6">
        <f>MONTH(M799)</f>
        <v/>
      </c>
      <c r="M799" s="267">
        <f>IFERROR(__xludf.DUMMYFUNCTION("""COMPUTED_VALUE"""),44251.6666666666)</f>
        <v/>
      </c>
      <c r="N799" s="6">
        <f>IFERROR(__xludf.DUMMYFUNCTION("""COMPUTED_VALUE"""),13597.97)</f>
        <v/>
      </c>
      <c r="R799" s="6">
        <f>S799&amp;T799</f>
        <v/>
      </c>
      <c r="S799" s="6">
        <f>YEAR(U799)</f>
        <v/>
      </c>
      <c r="T799" s="6">
        <f>MONTH(U799)</f>
        <v/>
      </c>
      <c r="U799" s="267">
        <f>IFERROR(__xludf.DUMMYFUNCTION("""COMPUTED_VALUE"""),44291.6458333333)</f>
        <v/>
      </c>
      <c r="V799" s="6">
        <f>IFERROR(__xludf.DUMMYFUNCTION("""COMPUTED_VALUE"""),3120.83)</f>
        <v/>
      </c>
      <c r="Z799" s="6">
        <f>AA799&amp;AB799</f>
        <v/>
      </c>
      <c r="AA799" s="6">
        <f>YEAR(AC799)</f>
        <v/>
      </c>
      <c r="AB799" s="6">
        <f>MONTH(AC799)</f>
        <v/>
      </c>
      <c r="AC799" s="267">
        <f>IFERROR(__xludf.DUMMYFUNCTION("""COMPUTED_VALUE"""),43938.9986111111)</f>
        <v/>
      </c>
      <c r="AD799" s="6">
        <f>IFERROR(__xludf.DUMMYFUNCTION("""COMPUTED_VALUE"""),1215.16)</f>
        <v/>
      </c>
      <c r="AH799" s="6">
        <f>AI799&amp;AJ799</f>
        <v/>
      </c>
      <c r="AI799" s="6">
        <f>YEAR(AK799)</f>
        <v/>
      </c>
      <c r="AJ799" s="6">
        <f>MONTH(AK799)</f>
        <v/>
      </c>
      <c r="AK799" s="267">
        <f>IFERROR(__xludf.DUMMYFUNCTION("""COMPUTED_VALUE"""),43891.9986111111)</f>
        <v/>
      </c>
      <c r="AL799" s="6">
        <f>IFERROR(__xludf.DUMMYFUNCTION("""COMPUTED_VALUE"""),8537.956)</f>
        <v/>
      </c>
      <c r="AP799" s="6">
        <f>AQ799&amp;AR799</f>
        <v/>
      </c>
      <c r="AQ799" s="6">
        <f>YEAR(AS799)</f>
        <v/>
      </c>
      <c r="AR799" s="6">
        <f>MONTH(AS799)</f>
        <v/>
      </c>
      <c r="AS799" s="267">
        <f>IFERROR(__xludf.DUMMYFUNCTION("""COMPUTED_VALUE"""),44266.9986111111)</f>
        <v/>
      </c>
      <c r="AT799" s="6">
        <f>IFERROR(__xludf.DUMMYFUNCTION("""COMPUTED_VALUE"""),1722.6)</f>
        <v/>
      </c>
    </row>
    <row r="800">
      <c r="B800" s="6">
        <f>C800&amp;D800</f>
        <v/>
      </c>
      <c r="C800" s="6">
        <f>YEAR(E800)</f>
        <v/>
      </c>
      <c r="D800" s="6">
        <f>MONTH(E800)</f>
        <v/>
      </c>
      <c r="E800" s="267">
        <f>IFERROR(__xludf.DUMMYFUNCTION("""COMPUTED_VALUE"""),44259.6666666666)</f>
        <v/>
      </c>
      <c r="F800" s="6">
        <f>IFERROR(__xludf.DUMMYFUNCTION("""COMPUTED_VALUE"""),3768.47)</f>
        <v/>
      </c>
      <c r="J800" s="6">
        <f>K800&amp;L800</f>
        <v/>
      </c>
      <c r="K800" s="6">
        <f>YEAR(M800)</f>
        <v/>
      </c>
      <c r="L800" s="6">
        <f>MONTH(M800)</f>
        <v/>
      </c>
      <c r="M800" s="267">
        <f>IFERROR(__xludf.DUMMYFUNCTION("""COMPUTED_VALUE"""),44252.6666666666)</f>
        <v/>
      </c>
      <c r="N800" s="6">
        <f>IFERROR(__xludf.DUMMYFUNCTION("""COMPUTED_VALUE"""),13119.43)</f>
        <v/>
      </c>
      <c r="R800" s="6">
        <f>S800&amp;T800</f>
        <v/>
      </c>
      <c r="S800" s="6">
        <f>YEAR(U800)</f>
        <v/>
      </c>
      <c r="T800" s="6">
        <f>MONTH(U800)</f>
        <v/>
      </c>
      <c r="U800" s="267">
        <f>IFERROR(__xludf.DUMMYFUNCTION("""COMPUTED_VALUE"""),44292.6458333333)</f>
        <v/>
      </c>
      <c r="V800" s="6">
        <f>IFERROR(__xludf.DUMMYFUNCTION("""COMPUTED_VALUE"""),3127.08)</f>
        <v/>
      </c>
      <c r="Z800" s="6">
        <f>AA800&amp;AB800</f>
        <v/>
      </c>
      <c r="AA800" s="6">
        <f>YEAR(AC800)</f>
        <v/>
      </c>
      <c r="AB800" s="6">
        <f>MONTH(AC800)</f>
        <v/>
      </c>
      <c r="AC800" s="267">
        <f>IFERROR(__xludf.DUMMYFUNCTION("""COMPUTED_VALUE"""),43939.9986111111)</f>
        <v/>
      </c>
      <c r="AD800" s="6">
        <f>IFERROR(__xludf.DUMMYFUNCTION("""COMPUTED_VALUE"""),1214.76)</f>
        <v/>
      </c>
      <c r="AH800" s="6">
        <f>AI800&amp;AJ800</f>
        <v/>
      </c>
      <c r="AI800" s="6">
        <f>YEAR(AK800)</f>
        <v/>
      </c>
      <c r="AJ800" s="6">
        <f>MONTH(AK800)</f>
        <v/>
      </c>
      <c r="AK800" s="267">
        <f>IFERROR(__xludf.DUMMYFUNCTION("""COMPUTED_VALUE"""),43892.9986111111)</f>
        <v/>
      </c>
      <c r="AL800" s="6">
        <f>IFERROR(__xludf.DUMMYFUNCTION("""COMPUTED_VALUE"""),8920.73)</f>
        <v/>
      </c>
      <c r="AP800" s="6">
        <f>AQ800&amp;AR800</f>
        <v/>
      </c>
      <c r="AQ800" s="6">
        <f>YEAR(AS800)</f>
        <v/>
      </c>
      <c r="AR800" s="6">
        <f>MONTH(AS800)</f>
        <v/>
      </c>
      <c r="AS800" s="267">
        <f>IFERROR(__xludf.DUMMYFUNCTION("""COMPUTED_VALUE"""),44267.9986111111)</f>
        <v/>
      </c>
      <c r="AT800" s="6">
        <f>IFERROR(__xludf.DUMMYFUNCTION("""COMPUTED_VALUE"""),1719.8)</f>
        <v/>
      </c>
    </row>
    <row r="801">
      <c r="B801" s="6">
        <f>C801&amp;D801</f>
        <v/>
      </c>
      <c r="C801" s="6">
        <f>YEAR(E801)</f>
        <v/>
      </c>
      <c r="D801" s="6">
        <f>MONTH(E801)</f>
        <v/>
      </c>
      <c r="E801" s="267">
        <f>IFERROR(__xludf.DUMMYFUNCTION("""COMPUTED_VALUE"""),44260.6666666666)</f>
        <v/>
      </c>
      <c r="F801" s="6">
        <f>IFERROR(__xludf.DUMMYFUNCTION("""COMPUTED_VALUE"""),3841.94)</f>
        <v/>
      </c>
      <c r="J801" s="6">
        <f>K801&amp;L801</f>
        <v/>
      </c>
      <c r="K801" s="6">
        <f>YEAR(M801)</f>
        <v/>
      </c>
      <c r="L801" s="6">
        <f>MONTH(M801)</f>
        <v/>
      </c>
      <c r="M801" s="267">
        <f>IFERROR(__xludf.DUMMYFUNCTION("""COMPUTED_VALUE"""),44253.6666666666)</f>
        <v/>
      </c>
      <c r="N801" s="6">
        <f>IFERROR(__xludf.DUMMYFUNCTION("""COMPUTED_VALUE"""),13192.35)</f>
        <v/>
      </c>
      <c r="R801" s="6">
        <f>S801&amp;T801</f>
        <v/>
      </c>
      <c r="S801" s="6">
        <f>YEAR(U801)</f>
        <v/>
      </c>
      <c r="T801" s="6">
        <f>MONTH(U801)</f>
        <v/>
      </c>
      <c r="U801" s="267">
        <f>IFERROR(__xludf.DUMMYFUNCTION("""COMPUTED_VALUE"""),44293.6458333333)</f>
        <v/>
      </c>
      <c r="V801" s="6">
        <f>IFERROR(__xludf.DUMMYFUNCTION("""COMPUTED_VALUE"""),3137.41)</f>
        <v/>
      </c>
      <c r="Z801" s="6">
        <f>AA801&amp;AB801</f>
        <v/>
      </c>
      <c r="AA801" s="6">
        <f>YEAR(AC801)</f>
        <v/>
      </c>
      <c r="AB801" s="6">
        <f>MONTH(AC801)</f>
        <v/>
      </c>
      <c r="AC801" s="267">
        <f>IFERROR(__xludf.DUMMYFUNCTION("""COMPUTED_VALUE"""),43940.9986111111)</f>
        <v/>
      </c>
      <c r="AD801" s="6">
        <f>IFERROR(__xludf.DUMMYFUNCTION("""COMPUTED_VALUE"""),1215.26)</f>
        <v/>
      </c>
      <c r="AH801" s="6">
        <f>AI801&amp;AJ801</f>
        <v/>
      </c>
      <c r="AI801" s="6">
        <f>YEAR(AK801)</f>
        <v/>
      </c>
      <c r="AJ801" s="6">
        <f>MONTH(AK801)</f>
        <v/>
      </c>
      <c r="AK801" s="267">
        <f>IFERROR(__xludf.DUMMYFUNCTION("""COMPUTED_VALUE"""),43893.9986111111)</f>
        <v/>
      </c>
      <c r="AL801" s="6">
        <f>IFERROR(__xludf.DUMMYFUNCTION("""COMPUTED_VALUE"""),8765.653)</f>
        <v/>
      </c>
      <c r="AP801" s="6">
        <f>AQ801&amp;AR801</f>
        <v/>
      </c>
      <c r="AQ801" s="6">
        <f>YEAR(AS801)</f>
        <v/>
      </c>
      <c r="AR801" s="6">
        <f>MONTH(AS801)</f>
        <v/>
      </c>
      <c r="AS801" s="267">
        <f>IFERROR(__xludf.DUMMYFUNCTION("""COMPUTED_VALUE"""),44270.9986111111)</f>
        <v/>
      </c>
      <c r="AT801" s="6">
        <f>IFERROR(__xludf.DUMMYFUNCTION("""COMPUTED_VALUE"""),1729.2)</f>
        <v/>
      </c>
    </row>
    <row r="802">
      <c r="B802" s="6">
        <f>C802&amp;D802</f>
        <v/>
      </c>
      <c r="C802" s="6">
        <f>YEAR(E802)</f>
        <v/>
      </c>
      <c r="D802" s="6">
        <f>MONTH(E802)</f>
        <v/>
      </c>
      <c r="E802" s="267">
        <f>IFERROR(__xludf.DUMMYFUNCTION("""COMPUTED_VALUE"""),44263.6666666666)</f>
        <v/>
      </c>
      <c r="F802" s="6">
        <f>IFERROR(__xludf.DUMMYFUNCTION("""COMPUTED_VALUE"""),3821.35)</f>
        <v/>
      </c>
      <c r="J802" s="6">
        <f>K802&amp;L802</f>
        <v/>
      </c>
      <c r="K802" s="6">
        <f>YEAR(M802)</f>
        <v/>
      </c>
      <c r="L802" s="6">
        <f>MONTH(M802)</f>
        <v/>
      </c>
      <c r="M802" s="267">
        <f>IFERROR(__xludf.DUMMYFUNCTION("""COMPUTED_VALUE"""),44256.6666666666)</f>
        <v/>
      </c>
      <c r="N802" s="6">
        <f>IFERROR(__xludf.DUMMYFUNCTION("""COMPUTED_VALUE"""),13588.83)</f>
        <v/>
      </c>
      <c r="R802" s="6">
        <f>S802&amp;T802</f>
        <v/>
      </c>
      <c r="S802" s="6">
        <f>YEAR(U802)</f>
        <v/>
      </c>
      <c r="T802" s="6">
        <f>MONTH(U802)</f>
        <v/>
      </c>
      <c r="U802" s="267">
        <f>IFERROR(__xludf.DUMMYFUNCTION("""COMPUTED_VALUE"""),44294.6458333333)</f>
        <v/>
      </c>
      <c r="V802" s="6">
        <f>IFERROR(__xludf.DUMMYFUNCTION("""COMPUTED_VALUE"""),3143.26)</f>
        <v/>
      </c>
      <c r="Z802" s="6">
        <f>AA802&amp;AB802</f>
        <v/>
      </c>
      <c r="AA802" s="6">
        <f>YEAR(AC802)</f>
        <v/>
      </c>
      <c r="AB802" s="6">
        <f>MONTH(AC802)</f>
        <v/>
      </c>
      <c r="AC802" s="267">
        <f>IFERROR(__xludf.DUMMYFUNCTION("""COMPUTED_VALUE"""),43941.9986111111)</f>
        <v/>
      </c>
      <c r="AD802" s="6">
        <f>IFERROR(__xludf.DUMMYFUNCTION("""COMPUTED_VALUE"""),1218.1)</f>
        <v/>
      </c>
      <c r="AH802" s="6">
        <f>AI802&amp;AJ802</f>
        <v/>
      </c>
      <c r="AI802" s="6">
        <f>YEAR(AK802)</f>
        <v/>
      </c>
      <c r="AJ802" s="6">
        <f>MONTH(AK802)</f>
        <v/>
      </c>
      <c r="AK802" s="267">
        <f>IFERROR(__xludf.DUMMYFUNCTION("""COMPUTED_VALUE"""),43894.9986111111)</f>
        <v/>
      </c>
      <c r="AL802" s="6">
        <f>IFERROR(__xludf.DUMMYFUNCTION("""COMPUTED_VALUE"""),8768.155)</f>
        <v/>
      </c>
      <c r="AP802" s="6">
        <f>AQ802&amp;AR802</f>
        <v/>
      </c>
      <c r="AQ802" s="6">
        <f>YEAR(AS802)</f>
        <v/>
      </c>
      <c r="AR802" s="6">
        <f>MONTH(AS802)</f>
        <v/>
      </c>
      <c r="AS802" s="267">
        <f>IFERROR(__xludf.DUMMYFUNCTION("""COMPUTED_VALUE"""),44271.9986111111)</f>
        <v/>
      </c>
      <c r="AT802" s="6">
        <f>IFERROR(__xludf.DUMMYFUNCTION("""COMPUTED_VALUE"""),1730.9)</f>
        <v/>
      </c>
    </row>
    <row r="803">
      <c r="B803" s="6">
        <f>C803&amp;D803</f>
        <v/>
      </c>
      <c r="C803" s="6">
        <f>YEAR(E803)</f>
        <v/>
      </c>
      <c r="D803" s="6">
        <f>MONTH(E803)</f>
        <v/>
      </c>
      <c r="E803" s="267">
        <f>IFERROR(__xludf.DUMMYFUNCTION("""COMPUTED_VALUE"""),44264.6666666666)</f>
        <v/>
      </c>
      <c r="F803" s="6">
        <f>IFERROR(__xludf.DUMMYFUNCTION("""COMPUTED_VALUE"""),3875.44)</f>
        <v/>
      </c>
      <c r="J803" s="6">
        <f>K803&amp;L803</f>
        <v/>
      </c>
      <c r="K803" s="6">
        <f>YEAR(M803)</f>
        <v/>
      </c>
      <c r="L803" s="6">
        <f>MONTH(M803)</f>
        <v/>
      </c>
      <c r="M803" s="267">
        <f>IFERROR(__xludf.DUMMYFUNCTION("""COMPUTED_VALUE"""),44257.6666666666)</f>
        <v/>
      </c>
      <c r="N803" s="6">
        <f>IFERROR(__xludf.DUMMYFUNCTION("""COMPUTED_VALUE"""),13358.79)</f>
        <v/>
      </c>
      <c r="R803" s="6">
        <f>S803&amp;T803</f>
        <v/>
      </c>
      <c r="S803" s="6">
        <f>YEAR(U803)</f>
        <v/>
      </c>
      <c r="T803" s="6">
        <f>MONTH(U803)</f>
        <v/>
      </c>
      <c r="U803" s="267">
        <f>IFERROR(__xludf.DUMMYFUNCTION("""COMPUTED_VALUE"""),44295.6458333333)</f>
        <v/>
      </c>
      <c r="V803" s="6">
        <f>IFERROR(__xludf.DUMMYFUNCTION("""COMPUTED_VALUE"""),3131.88)</f>
        <v/>
      </c>
      <c r="Z803" s="6">
        <f>AA803&amp;AB803</f>
        <v/>
      </c>
      <c r="AA803" s="6">
        <f>YEAR(AC803)</f>
        <v/>
      </c>
      <c r="AB803" s="6">
        <f>MONTH(AC803)</f>
        <v/>
      </c>
      <c r="AC803" s="267">
        <f>IFERROR(__xludf.DUMMYFUNCTION("""COMPUTED_VALUE"""),43942.9986111111)</f>
        <v/>
      </c>
      <c r="AD803" s="6">
        <f>IFERROR(__xludf.DUMMYFUNCTION("""COMPUTED_VALUE"""),1230.85)</f>
        <v/>
      </c>
      <c r="AH803" s="6">
        <f>AI803&amp;AJ803</f>
        <v/>
      </c>
      <c r="AI803" s="6">
        <f>YEAR(AK803)</f>
        <v/>
      </c>
      <c r="AJ803" s="6">
        <f>MONTH(AK803)</f>
        <v/>
      </c>
      <c r="AK803" s="267">
        <f>IFERROR(__xludf.DUMMYFUNCTION("""COMPUTED_VALUE"""),43895.9986111111)</f>
        <v/>
      </c>
      <c r="AL803" s="6">
        <f>IFERROR(__xludf.DUMMYFUNCTION("""COMPUTED_VALUE"""),9071.605)</f>
        <v/>
      </c>
      <c r="AP803" s="6">
        <f>AQ803&amp;AR803</f>
        <v/>
      </c>
      <c r="AQ803" s="6">
        <f>YEAR(AS803)</f>
        <v/>
      </c>
      <c r="AR803" s="6">
        <f>MONTH(AS803)</f>
        <v/>
      </c>
      <c r="AS803" s="267">
        <f>IFERROR(__xludf.DUMMYFUNCTION("""COMPUTED_VALUE"""),44272.9986111111)</f>
        <v/>
      </c>
      <c r="AT803" s="6">
        <f>IFERROR(__xludf.DUMMYFUNCTION("""COMPUTED_VALUE"""),1727.1)</f>
        <v/>
      </c>
    </row>
    <row r="804">
      <c r="B804" s="6">
        <f>C804&amp;D804</f>
        <v/>
      </c>
      <c r="C804" s="6">
        <f>YEAR(E804)</f>
        <v/>
      </c>
      <c r="D804" s="6">
        <f>MONTH(E804)</f>
        <v/>
      </c>
      <c r="E804" s="267">
        <f>IFERROR(__xludf.DUMMYFUNCTION("""COMPUTED_VALUE"""),44265.6666666666)</f>
        <v/>
      </c>
      <c r="F804" s="6">
        <f>IFERROR(__xludf.DUMMYFUNCTION("""COMPUTED_VALUE"""),3898.81)</f>
        <v/>
      </c>
      <c r="J804" s="6">
        <f>K804&amp;L804</f>
        <v/>
      </c>
      <c r="K804" s="6">
        <f>YEAR(M804)</f>
        <v/>
      </c>
      <c r="L804" s="6">
        <f>MONTH(M804)</f>
        <v/>
      </c>
      <c r="M804" s="267">
        <f>IFERROR(__xludf.DUMMYFUNCTION("""COMPUTED_VALUE"""),44258.6666666666)</f>
        <v/>
      </c>
      <c r="N804" s="6">
        <f>IFERROR(__xludf.DUMMYFUNCTION("""COMPUTED_VALUE"""),12997.75)</f>
        <v/>
      </c>
      <c r="R804" s="6">
        <f>S804&amp;T804</f>
        <v/>
      </c>
      <c r="S804" s="6">
        <f>YEAR(U804)</f>
        <v/>
      </c>
      <c r="T804" s="6">
        <f>MONTH(U804)</f>
        <v/>
      </c>
      <c r="U804" s="267">
        <f>IFERROR(__xludf.DUMMYFUNCTION("""COMPUTED_VALUE"""),44298.6458333333)</f>
        <v/>
      </c>
      <c r="V804" s="6">
        <f>IFERROR(__xludf.DUMMYFUNCTION("""COMPUTED_VALUE"""),3135.59)</f>
        <v/>
      </c>
      <c r="Z804" s="6">
        <f>AA804&amp;AB804</f>
        <v/>
      </c>
      <c r="AA804" s="6">
        <f>YEAR(AC804)</f>
        <v/>
      </c>
      <c r="AB804" s="6">
        <f>MONTH(AC804)</f>
        <v/>
      </c>
      <c r="AC804" s="267">
        <f>IFERROR(__xludf.DUMMYFUNCTION("""COMPUTED_VALUE"""),43943.9986111111)</f>
        <v/>
      </c>
      <c r="AD804" s="6">
        <f>IFERROR(__xludf.DUMMYFUNCTION("""COMPUTED_VALUE"""),1231.38)</f>
        <v/>
      </c>
      <c r="AH804" s="6">
        <f>AI804&amp;AJ804</f>
        <v/>
      </c>
      <c r="AI804" s="6">
        <f>YEAR(AK804)</f>
        <v/>
      </c>
      <c r="AJ804" s="6">
        <f>MONTH(AK804)</f>
        <v/>
      </c>
      <c r="AK804" s="267">
        <f>IFERROR(__xludf.DUMMYFUNCTION("""COMPUTED_VALUE"""),43896.9986111111)</f>
        <v/>
      </c>
      <c r="AL804" s="6">
        <f>IFERROR(__xludf.DUMMYFUNCTION("""COMPUTED_VALUE"""),9163.027)</f>
        <v/>
      </c>
      <c r="AP804" s="6">
        <f>AQ804&amp;AR804</f>
        <v/>
      </c>
      <c r="AQ804" s="6">
        <f>YEAR(AS804)</f>
        <v/>
      </c>
      <c r="AR804" s="6">
        <f>MONTH(AS804)</f>
        <v/>
      </c>
      <c r="AS804" s="267">
        <f>IFERROR(__xludf.DUMMYFUNCTION("""COMPUTED_VALUE"""),44273.9986111111)</f>
        <v/>
      </c>
      <c r="AT804" s="6">
        <f>IFERROR(__xludf.DUMMYFUNCTION("""COMPUTED_VALUE"""),1732.5)</f>
        <v/>
      </c>
    </row>
    <row r="805">
      <c r="B805" s="6">
        <f>C805&amp;D805</f>
        <v/>
      </c>
      <c r="C805" s="6">
        <f>YEAR(E805)</f>
        <v/>
      </c>
      <c r="D805" s="6">
        <f>MONTH(E805)</f>
        <v/>
      </c>
      <c r="E805" s="267">
        <f>IFERROR(__xludf.DUMMYFUNCTION("""COMPUTED_VALUE"""),44266.6666666666)</f>
        <v/>
      </c>
      <c r="F805" s="6">
        <f>IFERROR(__xludf.DUMMYFUNCTION("""COMPUTED_VALUE"""),3939.34)</f>
        <v/>
      </c>
      <c r="J805" s="6">
        <f>K805&amp;L805</f>
        <v/>
      </c>
      <c r="K805" s="6">
        <f>YEAR(M805)</f>
        <v/>
      </c>
      <c r="L805" s="6">
        <f>MONTH(M805)</f>
        <v/>
      </c>
      <c r="M805" s="267">
        <f>IFERROR(__xludf.DUMMYFUNCTION("""COMPUTED_VALUE"""),44259.6666666666)</f>
        <v/>
      </c>
      <c r="N805" s="6">
        <f>IFERROR(__xludf.DUMMYFUNCTION("""COMPUTED_VALUE"""),12723.47)</f>
        <v/>
      </c>
      <c r="R805" s="6">
        <f>S805&amp;T805</f>
        <v/>
      </c>
      <c r="S805" s="6">
        <f>YEAR(U805)</f>
        <v/>
      </c>
      <c r="T805" s="6">
        <f>MONTH(U805)</f>
        <v/>
      </c>
      <c r="U805" s="267">
        <f>IFERROR(__xludf.DUMMYFUNCTION("""COMPUTED_VALUE"""),44299.6458333333)</f>
        <v/>
      </c>
      <c r="V805" s="6">
        <f>IFERROR(__xludf.DUMMYFUNCTION("""COMPUTED_VALUE"""),3169.08)</f>
        <v/>
      </c>
      <c r="Z805" s="6">
        <f>AA805&amp;AB805</f>
        <v/>
      </c>
      <c r="AA805" s="6">
        <f>YEAR(AC805)</f>
        <v/>
      </c>
      <c r="AB805" s="6">
        <f>MONTH(AC805)</f>
        <v/>
      </c>
      <c r="AC805" s="267">
        <f>IFERROR(__xludf.DUMMYFUNCTION("""COMPUTED_VALUE"""),43944.9986111111)</f>
        <v/>
      </c>
      <c r="AD805" s="6">
        <f>IFERROR(__xludf.DUMMYFUNCTION("""COMPUTED_VALUE"""),1232.45)</f>
        <v/>
      </c>
      <c r="AH805" s="6">
        <f>AI805&amp;AJ805</f>
        <v/>
      </c>
      <c r="AI805" s="6">
        <f>YEAR(AK805)</f>
        <v/>
      </c>
      <c r="AJ805" s="6">
        <f>MONTH(AK805)</f>
        <v/>
      </c>
      <c r="AK805" s="267">
        <f>IFERROR(__xludf.DUMMYFUNCTION("""COMPUTED_VALUE"""),43897.9986111111)</f>
        <v/>
      </c>
      <c r="AL805" s="6">
        <f>IFERROR(__xludf.DUMMYFUNCTION("""COMPUTED_VALUE"""),8902.841)</f>
        <v/>
      </c>
      <c r="AP805" s="6">
        <f>AQ805&amp;AR805</f>
        <v/>
      </c>
      <c r="AQ805" s="6">
        <f>YEAR(AS805)</f>
        <v/>
      </c>
      <c r="AR805" s="6">
        <f>MONTH(AS805)</f>
        <v/>
      </c>
      <c r="AS805" s="267">
        <f>IFERROR(__xludf.DUMMYFUNCTION("""COMPUTED_VALUE"""),44274.9986111111)</f>
        <v/>
      </c>
      <c r="AT805" s="6">
        <f>IFERROR(__xludf.DUMMYFUNCTION("""COMPUTED_VALUE"""),1743.9)</f>
        <v/>
      </c>
    </row>
    <row r="806">
      <c r="B806" s="6">
        <f>C806&amp;D806</f>
        <v/>
      </c>
      <c r="C806" s="6">
        <f>YEAR(E806)</f>
        <v/>
      </c>
      <c r="D806" s="6">
        <f>MONTH(E806)</f>
        <v/>
      </c>
      <c r="E806" s="267">
        <f>IFERROR(__xludf.DUMMYFUNCTION("""COMPUTED_VALUE"""),44267.6666666666)</f>
        <v/>
      </c>
      <c r="F806" s="6">
        <f>IFERROR(__xludf.DUMMYFUNCTION("""COMPUTED_VALUE"""),3943.34)</f>
        <v/>
      </c>
      <c r="J806" s="6">
        <f>K806&amp;L806</f>
        <v/>
      </c>
      <c r="K806" s="6">
        <f>YEAR(M806)</f>
        <v/>
      </c>
      <c r="L806" s="6">
        <f>MONTH(M806)</f>
        <v/>
      </c>
      <c r="M806" s="267">
        <f>IFERROR(__xludf.DUMMYFUNCTION("""COMPUTED_VALUE"""),44260.6666666666)</f>
        <v/>
      </c>
      <c r="N806" s="6">
        <f>IFERROR(__xludf.DUMMYFUNCTION("""COMPUTED_VALUE"""),12920.15)</f>
        <v/>
      </c>
      <c r="R806" s="6">
        <f>S806&amp;T806</f>
        <v/>
      </c>
      <c r="S806" s="6">
        <f>YEAR(U806)</f>
        <v/>
      </c>
      <c r="T806" s="6">
        <f>MONTH(U806)</f>
        <v/>
      </c>
      <c r="U806" s="267">
        <f>IFERROR(__xludf.DUMMYFUNCTION("""COMPUTED_VALUE"""),44300.6458333333)</f>
        <v/>
      </c>
      <c r="V806" s="6">
        <f>IFERROR(__xludf.DUMMYFUNCTION("""COMPUTED_VALUE"""),3182.38)</f>
        <v/>
      </c>
      <c r="Z806" s="6">
        <f>AA806&amp;AB806</f>
        <v/>
      </c>
      <c r="AA806" s="6">
        <f>YEAR(AC806)</f>
        <v/>
      </c>
      <c r="AB806" s="6">
        <f>MONTH(AC806)</f>
        <v/>
      </c>
      <c r="AC806" s="267">
        <f>IFERROR(__xludf.DUMMYFUNCTION("""COMPUTED_VALUE"""),43945.9986111111)</f>
        <v/>
      </c>
      <c r="AD806" s="6">
        <f>IFERROR(__xludf.DUMMYFUNCTION("""COMPUTED_VALUE"""),1229.3)</f>
        <v/>
      </c>
      <c r="AH806" s="6">
        <f>AI806&amp;AJ806</f>
        <v/>
      </c>
      <c r="AI806" s="6">
        <f>YEAR(AK806)</f>
        <v/>
      </c>
      <c r="AJ806" s="6">
        <f>MONTH(AK806)</f>
        <v/>
      </c>
      <c r="AK806" s="267">
        <f>IFERROR(__xludf.DUMMYFUNCTION("""COMPUTED_VALUE"""),43898.9986111111)</f>
        <v/>
      </c>
      <c r="AL806" s="6">
        <f>IFERROR(__xludf.DUMMYFUNCTION("""COMPUTED_VALUE"""),8051.938)</f>
        <v/>
      </c>
      <c r="AP806" s="6">
        <f>AQ806&amp;AR806</f>
        <v/>
      </c>
      <c r="AQ806" s="6">
        <f>YEAR(AS806)</f>
        <v/>
      </c>
      <c r="AR806" s="6">
        <f>MONTH(AS806)</f>
        <v/>
      </c>
      <c r="AS806" s="267">
        <f>IFERROR(__xludf.DUMMYFUNCTION("""COMPUTED_VALUE"""),44277.9986111111)</f>
        <v/>
      </c>
      <c r="AT806" s="6">
        <f>IFERROR(__xludf.DUMMYFUNCTION("""COMPUTED_VALUE"""),1740.4)</f>
        <v/>
      </c>
    </row>
    <row r="807">
      <c r="B807" s="6">
        <f>C807&amp;D807</f>
        <v/>
      </c>
      <c r="C807" s="6">
        <f>YEAR(E807)</f>
        <v/>
      </c>
      <c r="D807" s="6">
        <f>MONTH(E807)</f>
        <v/>
      </c>
      <c r="E807" s="267">
        <f>IFERROR(__xludf.DUMMYFUNCTION("""COMPUTED_VALUE"""),44270.6666666666)</f>
        <v/>
      </c>
      <c r="F807" s="6">
        <f>IFERROR(__xludf.DUMMYFUNCTION("""COMPUTED_VALUE"""),3968.94)</f>
        <v/>
      </c>
      <c r="J807" s="6">
        <f>K807&amp;L807</f>
        <v/>
      </c>
      <c r="K807" s="6">
        <f>YEAR(M807)</f>
        <v/>
      </c>
      <c r="L807" s="6">
        <f>MONTH(M807)</f>
        <v/>
      </c>
      <c r="M807" s="267">
        <f>IFERROR(__xludf.DUMMYFUNCTION("""COMPUTED_VALUE"""),44263.6666666666)</f>
        <v/>
      </c>
      <c r="N807" s="6">
        <f>IFERROR(__xludf.DUMMYFUNCTION("""COMPUTED_VALUE"""),12609.16)</f>
        <v/>
      </c>
      <c r="R807" s="6">
        <f>S807&amp;T807</f>
        <v/>
      </c>
      <c r="S807" s="6">
        <f>YEAR(U807)</f>
        <v/>
      </c>
      <c r="T807" s="6">
        <f>MONTH(U807)</f>
        <v/>
      </c>
      <c r="U807" s="267">
        <f>IFERROR(__xludf.DUMMYFUNCTION("""COMPUTED_VALUE"""),44301.6458333333)</f>
        <v/>
      </c>
      <c r="V807" s="6">
        <f>IFERROR(__xludf.DUMMYFUNCTION("""COMPUTED_VALUE"""),3194.33)</f>
        <v/>
      </c>
      <c r="Z807" s="6">
        <f>AA807&amp;AB807</f>
        <v/>
      </c>
      <c r="AA807" s="6">
        <f>YEAR(AC807)</f>
        <v/>
      </c>
      <c r="AB807" s="6">
        <f>MONTH(AC807)</f>
        <v/>
      </c>
      <c r="AC807" s="267">
        <f>IFERROR(__xludf.DUMMYFUNCTION("""COMPUTED_VALUE"""),43946.9986111111)</f>
        <v/>
      </c>
      <c r="AD807" s="6">
        <f>IFERROR(__xludf.DUMMYFUNCTION("""COMPUTED_VALUE"""),1229.62)</f>
        <v/>
      </c>
      <c r="AH807" s="6">
        <f>AI807&amp;AJ807</f>
        <v/>
      </c>
      <c r="AI807" s="6">
        <f>YEAR(AK807)</f>
        <v/>
      </c>
      <c r="AJ807" s="6">
        <f>MONTH(AK807)</f>
        <v/>
      </c>
      <c r="AK807" s="267">
        <f>IFERROR(__xludf.DUMMYFUNCTION("""COMPUTED_VALUE"""),43899.9986111111)</f>
        <v/>
      </c>
      <c r="AL807" s="6">
        <f>IFERROR(__xludf.DUMMYFUNCTION("""COMPUTED_VALUE"""),7936.865)</f>
        <v/>
      </c>
      <c r="AP807" s="6">
        <f>AQ807&amp;AR807</f>
        <v/>
      </c>
      <c r="AQ807" s="6">
        <f>YEAR(AS807)</f>
        <v/>
      </c>
      <c r="AR807" s="6">
        <f>MONTH(AS807)</f>
        <v/>
      </c>
      <c r="AS807" s="267">
        <f>IFERROR(__xludf.DUMMYFUNCTION("""COMPUTED_VALUE"""),44278.9986111111)</f>
        <v/>
      </c>
      <c r="AT807" s="6">
        <f>IFERROR(__xludf.DUMMYFUNCTION("""COMPUTED_VALUE"""),1727.5)</f>
        <v/>
      </c>
    </row>
    <row r="808">
      <c r="B808" s="6">
        <f>C808&amp;D808</f>
        <v/>
      </c>
      <c r="C808" s="6">
        <f>YEAR(E808)</f>
        <v/>
      </c>
      <c r="D808" s="6">
        <f>MONTH(E808)</f>
        <v/>
      </c>
      <c r="E808" s="267">
        <f>IFERROR(__xludf.DUMMYFUNCTION("""COMPUTED_VALUE"""),44271.6666666666)</f>
        <v/>
      </c>
      <c r="F808" s="6">
        <f>IFERROR(__xludf.DUMMYFUNCTION("""COMPUTED_VALUE"""),3962.71)</f>
        <v/>
      </c>
      <c r="J808" s="6">
        <f>K808&amp;L808</f>
        <v/>
      </c>
      <c r="K808" s="6">
        <f>YEAR(M808)</f>
        <v/>
      </c>
      <c r="L808" s="6">
        <f>MONTH(M808)</f>
        <v/>
      </c>
      <c r="M808" s="267">
        <f>IFERROR(__xludf.DUMMYFUNCTION("""COMPUTED_VALUE"""),44264.6666666666)</f>
        <v/>
      </c>
      <c r="N808" s="6">
        <f>IFERROR(__xludf.DUMMYFUNCTION("""COMPUTED_VALUE"""),13073.83)</f>
        <v/>
      </c>
      <c r="R808" s="6">
        <f>S808&amp;T808</f>
        <v/>
      </c>
      <c r="S808" s="6">
        <f>YEAR(U808)</f>
        <v/>
      </c>
      <c r="T808" s="6">
        <f>MONTH(U808)</f>
        <v/>
      </c>
      <c r="U808" s="267">
        <f>IFERROR(__xludf.DUMMYFUNCTION("""COMPUTED_VALUE"""),44302.6458333333)</f>
        <v/>
      </c>
      <c r="V808" s="6">
        <f>IFERROR(__xludf.DUMMYFUNCTION("""COMPUTED_VALUE"""),3198.62)</f>
        <v/>
      </c>
      <c r="Z808" s="6">
        <f>AA808&amp;AB808</f>
        <v/>
      </c>
      <c r="AA808" s="6">
        <f>YEAR(AC808)</f>
        <v/>
      </c>
      <c r="AB808" s="6">
        <f>MONTH(AC808)</f>
        <v/>
      </c>
      <c r="AC808" s="267">
        <f>IFERROR(__xludf.DUMMYFUNCTION("""COMPUTED_VALUE"""),43947.9986111111)</f>
        <v/>
      </c>
      <c r="AD808" s="6">
        <f>IFERROR(__xludf.DUMMYFUNCTION("""COMPUTED_VALUE"""),1229.5)</f>
        <v/>
      </c>
      <c r="AH808" s="6">
        <f>AI808&amp;AJ808</f>
        <v/>
      </c>
      <c r="AI808" s="6">
        <f>YEAR(AK808)</f>
        <v/>
      </c>
      <c r="AJ808" s="6">
        <f>MONTH(AK808)</f>
        <v/>
      </c>
      <c r="AK808" s="267">
        <f>IFERROR(__xludf.DUMMYFUNCTION("""COMPUTED_VALUE"""),43900.9986111111)</f>
        <v/>
      </c>
      <c r="AL808" s="6">
        <f>IFERROR(__xludf.DUMMYFUNCTION("""COMPUTED_VALUE"""),7895.216)</f>
        <v/>
      </c>
      <c r="AP808" s="6">
        <f>AQ808&amp;AR808</f>
        <v/>
      </c>
      <c r="AQ808" s="6">
        <f>YEAR(AS808)</f>
        <v/>
      </c>
      <c r="AR808" s="6">
        <f>MONTH(AS808)</f>
        <v/>
      </c>
      <c r="AS808" s="267">
        <f>IFERROR(__xludf.DUMMYFUNCTION("""COMPUTED_VALUE"""),44279.9986111111)</f>
        <v/>
      </c>
      <c r="AT808" s="6">
        <f>IFERROR(__xludf.DUMMYFUNCTION("""COMPUTED_VALUE"""),1735.5)</f>
        <v/>
      </c>
    </row>
    <row r="809">
      <c r="B809" s="6">
        <f>C809&amp;D809</f>
        <v/>
      </c>
      <c r="C809" s="6">
        <f>YEAR(E809)</f>
        <v/>
      </c>
      <c r="D809" s="6">
        <f>MONTH(E809)</f>
        <v/>
      </c>
      <c r="E809" s="267">
        <f>IFERROR(__xludf.DUMMYFUNCTION("""COMPUTED_VALUE"""),44272.6666666666)</f>
        <v/>
      </c>
      <c r="F809" s="6">
        <f>IFERROR(__xludf.DUMMYFUNCTION("""COMPUTED_VALUE"""),3974.12)</f>
        <v/>
      </c>
      <c r="J809" s="6">
        <f>K809&amp;L809</f>
        <v/>
      </c>
      <c r="K809" s="6">
        <f>YEAR(M809)</f>
        <v/>
      </c>
      <c r="L809" s="6">
        <f>MONTH(M809)</f>
        <v/>
      </c>
      <c r="M809" s="267">
        <f>IFERROR(__xludf.DUMMYFUNCTION("""COMPUTED_VALUE"""),44265.6666666666)</f>
        <v/>
      </c>
      <c r="N809" s="6">
        <f>IFERROR(__xludf.DUMMYFUNCTION("""COMPUTED_VALUE"""),13068.83)</f>
        <v/>
      </c>
      <c r="R809" s="6">
        <f>S809&amp;T809</f>
        <v/>
      </c>
      <c r="S809" s="6">
        <f>YEAR(U809)</f>
        <v/>
      </c>
      <c r="T809" s="6">
        <f>MONTH(U809)</f>
        <v/>
      </c>
      <c r="U809" s="267">
        <f>IFERROR(__xludf.DUMMYFUNCTION("""COMPUTED_VALUE"""),44305.6458333333)</f>
        <v/>
      </c>
      <c r="V809" s="6">
        <f>IFERROR(__xludf.DUMMYFUNCTION("""COMPUTED_VALUE"""),3198.84)</f>
        <v/>
      </c>
      <c r="Z809" s="6">
        <f>AA809&amp;AB809</f>
        <v/>
      </c>
      <c r="AA809" s="6">
        <f>YEAR(AC809)</f>
        <v/>
      </c>
      <c r="AB809" s="6">
        <f>MONTH(AC809)</f>
        <v/>
      </c>
      <c r="AC809" s="267">
        <f>IFERROR(__xludf.DUMMYFUNCTION("""COMPUTED_VALUE"""),43948.9986111111)</f>
        <v/>
      </c>
      <c r="AD809" s="6">
        <f>IFERROR(__xludf.DUMMYFUNCTION("""COMPUTED_VALUE"""),1220.87)</f>
        <v/>
      </c>
      <c r="AH809" s="6">
        <f>AI809&amp;AJ809</f>
        <v/>
      </c>
      <c r="AI809" s="6">
        <f>YEAR(AK809)</f>
        <v/>
      </c>
      <c r="AJ809" s="6">
        <f>MONTH(AK809)</f>
        <v/>
      </c>
      <c r="AK809" s="267">
        <f>IFERROR(__xludf.DUMMYFUNCTION("""COMPUTED_VALUE"""),43901.9986111111)</f>
        <v/>
      </c>
      <c r="AL809" s="6">
        <f>IFERROR(__xludf.DUMMYFUNCTION("""COMPUTED_VALUE"""),7942.892)</f>
        <v/>
      </c>
      <c r="AP809" s="6">
        <f>AQ809&amp;AR809</f>
        <v/>
      </c>
      <c r="AQ809" s="6">
        <f>YEAR(AS809)</f>
        <v/>
      </c>
      <c r="AR809" s="6">
        <f>MONTH(AS809)</f>
        <v/>
      </c>
      <c r="AS809" s="267">
        <f>IFERROR(__xludf.DUMMYFUNCTION("""COMPUTED_VALUE"""),44280.9986111111)</f>
        <v/>
      </c>
      <c r="AT809" s="6">
        <f>IFERROR(__xludf.DUMMYFUNCTION("""COMPUTED_VALUE"""),1727.3)</f>
        <v/>
      </c>
    </row>
    <row r="810">
      <c r="B810" s="6">
        <f>C810&amp;D810</f>
        <v/>
      </c>
      <c r="C810" s="6">
        <f>YEAR(E810)</f>
        <v/>
      </c>
      <c r="D810" s="6">
        <f>MONTH(E810)</f>
        <v/>
      </c>
      <c r="E810" s="267">
        <f>IFERROR(__xludf.DUMMYFUNCTION("""COMPUTED_VALUE"""),44273.6666666666)</f>
        <v/>
      </c>
      <c r="F810" s="6">
        <f>IFERROR(__xludf.DUMMYFUNCTION("""COMPUTED_VALUE"""),3915.46)</f>
        <v/>
      </c>
      <c r="J810" s="6">
        <f>K810&amp;L810</f>
        <v/>
      </c>
      <c r="K810" s="6">
        <f>YEAR(M810)</f>
        <v/>
      </c>
      <c r="L810" s="6">
        <f>MONTH(M810)</f>
        <v/>
      </c>
      <c r="M810" s="267">
        <f>IFERROR(__xludf.DUMMYFUNCTION("""COMPUTED_VALUE"""),44266.6666666666)</f>
        <v/>
      </c>
      <c r="N810" s="6">
        <f>IFERROR(__xludf.DUMMYFUNCTION("""COMPUTED_VALUE"""),13398.67)</f>
        <v/>
      </c>
      <c r="R810" s="6">
        <f>S810&amp;T810</f>
        <v/>
      </c>
      <c r="S810" s="6">
        <f>YEAR(U810)</f>
        <v/>
      </c>
      <c r="T810" s="6">
        <f>MONTH(U810)</f>
        <v/>
      </c>
      <c r="U810" s="267">
        <f>IFERROR(__xludf.DUMMYFUNCTION("""COMPUTED_VALUE"""),44306.6458333333)</f>
        <v/>
      </c>
      <c r="V810" s="6">
        <f>IFERROR(__xludf.DUMMYFUNCTION("""COMPUTED_VALUE"""),3220.7)</f>
        <v/>
      </c>
      <c r="Z810" s="6">
        <f>AA810&amp;AB810</f>
        <v/>
      </c>
      <c r="AA810" s="6">
        <f>YEAR(AC810)</f>
        <v/>
      </c>
      <c r="AB810" s="6">
        <f>MONTH(AC810)</f>
        <v/>
      </c>
      <c r="AC810" s="267">
        <f>IFERROR(__xludf.DUMMYFUNCTION("""COMPUTED_VALUE"""),43949.9986111111)</f>
        <v/>
      </c>
      <c r="AD810" s="6">
        <f>IFERROR(__xludf.DUMMYFUNCTION("""COMPUTED_VALUE"""),1220.4)</f>
        <v/>
      </c>
      <c r="AH810" s="6">
        <f>AI810&amp;AJ810</f>
        <v/>
      </c>
      <c r="AI810" s="6">
        <f>YEAR(AK810)</f>
        <v/>
      </c>
      <c r="AJ810" s="6">
        <f>MONTH(AK810)</f>
        <v/>
      </c>
      <c r="AK810" s="267">
        <f>IFERROR(__xludf.DUMMYFUNCTION("""COMPUTED_VALUE"""),43902.9986111111)</f>
        <v/>
      </c>
      <c r="AL810" s="6">
        <f>IFERROR(__xludf.DUMMYFUNCTION("""COMPUTED_VALUE"""),4854.343)</f>
        <v/>
      </c>
      <c r="AP810" s="6">
        <f>AQ810&amp;AR810</f>
        <v/>
      </c>
      <c r="AQ810" s="6">
        <f>YEAR(AS810)</f>
        <v/>
      </c>
      <c r="AR810" s="6">
        <f>MONTH(AS810)</f>
        <v/>
      </c>
      <c r="AS810" s="267">
        <f>IFERROR(__xludf.DUMMYFUNCTION("""COMPUTED_VALUE"""),44281.9986111111)</f>
        <v/>
      </c>
      <c r="AT810" s="6">
        <f>IFERROR(__xludf.DUMMYFUNCTION("""COMPUTED_VALUE"""),1734.7)</f>
        <v/>
      </c>
    </row>
    <row r="811">
      <c r="B811" s="6">
        <f>C811&amp;D811</f>
        <v/>
      </c>
      <c r="C811" s="6">
        <f>YEAR(E811)</f>
        <v/>
      </c>
      <c r="D811" s="6">
        <f>MONTH(E811)</f>
        <v/>
      </c>
      <c r="E811" s="267">
        <f>IFERROR(__xludf.DUMMYFUNCTION("""COMPUTED_VALUE"""),44274.6666666666)</f>
        <v/>
      </c>
      <c r="F811" s="6">
        <f>IFERROR(__xludf.DUMMYFUNCTION("""COMPUTED_VALUE"""),3913.1)</f>
        <v/>
      </c>
      <c r="J811" s="6">
        <f>K811&amp;L811</f>
        <v/>
      </c>
      <c r="K811" s="6">
        <f>YEAR(M811)</f>
        <v/>
      </c>
      <c r="L811" s="6">
        <f>MONTH(M811)</f>
        <v/>
      </c>
      <c r="M811" s="267">
        <f>IFERROR(__xludf.DUMMYFUNCTION("""COMPUTED_VALUE"""),44267.6666666666)</f>
        <v/>
      </c>
      <c r="N811" s="6">
        <f>IFERROR(__xludf.DUMMYFUNCTION("""COMPUTED_VALUE"""),13319.87)</f>
        <v/>
      </c>
      <c r="R811" s="6">
        <f>S811&amp;T811</f>
        <v/>
      </c>
      <c r="S811" s="6">
        <f>YEAR(U811)</f>
        <v/>
      </c>
      <c r="T811" s="6">
        <f>MONTH(U811)</f>
        <v/>
      </c>
      <c r="U811" s="267">
        <f>IFERROR(__xludf.DUMMYFUNCTION("""COMPUTED_VALUE"""),44307.6458333333)</f>
        <v/>
      </c>
      <c r="V811" s="6">
        <f>IFERROR(__xludf.DUMMYFUNCTION("""COMPUTED_VALUE"""),3171.66)</f>
        <v/>
      </c>
      <c r="Z811" s="6">
        <f>AA811&amp;AB811</f>
        <v/>
      </c>
      <c r="AA811" s="6">
        <f>YEAR(AC811)</f>
        <v/>
      </c>
      <c r="AB811" s="6">
        <f>MONTH(AC811)</f>
        <v/>
      </c>
      <c r="AC811" s="267">
        <f>IFERROR(__xludf.DUMMYFUNCTION("""COMPUTED_VALUE"""),43950.9986111111)</f>
        <v/>
      </c>
      <c r="AD811" s="6">
        <f>IFERROR(__xludf.DUMMYFUNCTION("""COMPUTED_VALUE"""),1210.79)</f>
        <v/>
      </c>
      <c r="AH811" s="6">
        <f>AI811&amp;AJ811</f>
        <v/>
      </c>
      <c r="AI811" s="6">
        <f>YEAR(AK811)</f>
        <v/>
      </c>
      <c r="AJ811" s="6">
        <f>MONTH(AK811)</f>
        <v/>
      </c>
      <c r="AK811" s="267">
        <f>IFERROR(__xludf.DUMMYFUNCTION("""COMPUTED_VALUE"""),43903.9986111111)</f>
        <v/>
      </c>
      <c r="AL811" s="6">
        <f>IFERROR(__xludf.DUMMYFUNCTION("""COMPUTED_VALUE"""),5603.106)</f>
        <v/>
      </c>
      <c r="AP811" s="6">
        <f>AQ811&amp;AR811</f>
        <v/>
      </c>
      <c r="AQ811" s="6">
        <f>YEAR(AS811)</f>
        <v/>
      </c>
      <c r="AR811" s="6">
        <f>MONTH(AS811)</f>
        <v/>
      </c>
      <c r="AS811" s="267">
        <f>IFERROR(__xludf.DUMMYFUNCTION("""COMPUTED_VALUE"""),44284.9986111111)</f>
        <v/>
      </c>
      <c r="AT811" s="6">
        <f>IFERROR(__xludf.DUMMYFUNCTION("""COMPUTED_VALUE"""),1714.6)</f>
        <v/>
      </c>
    </row>
    <row r="812">
      <c r="B812" s="6">
        <f>C812&amp;D812</f>
        <v/>
      </c>
      <c r="C812" s="6">
        <f>YEAR(E812)</f>
        <v/>
      </c>
      <c r="D812" s="6">
        <f>MONTH(E812)</f>
        <v/>
      </c>
      <c r="E812" s="267">
        <f>IFERROR(__xludf.DUMMYFUNCTION("""COMPUTED_VALUE"""),44277.6666666666)</f>
        <v/>
      </c>
      <c r="F812" s="6">
        <f>IFERROR(__xludf.DUMMYFUNCTION("""COMPUTED_VALUE"""),3940.59)</f>
        <v/>
      </c>
      <c r="J812" s="6">
        <f>K812&amp;L812</f>
        <v/>
      </c>
      <c r="K812" s="6">
        <f>YEAR(M812)</f>
        <v/>
      </c>
      <c r="L812" s="6">
        <f>MONTH(M812)</f>
        <v/>
      </c>
      <c r="M812" s="267">
        <f>IFERROR(__xludf.DUMMYFUNCTION("""COMPUTED_VALUE"""),44270.6666666666)</f>
        <v/>
      </c>
      <c r="N812" s="6">
        <f>IFERROR(__xludf.DUMMYFUNCTION("""COMPUTED_VALUE"""),13459.71)</f>
        <v/>
      </c>
      <c r="R812" s="6">
        <f>S812&amp;T812</f>
        <v/>
      </c>
      <c r="S812" s="6">
        <f>YEAR(U812)</f>
        <v/>
      </c>
      <c r="T812" s="6">
        <f>MONTH(U812)</f>
        <v/>
      </c>
      <c r="U812" s="267">
        <f>IFERROR(__xludf.DUMMYFUNCTION("""COMPUTED_VALUE"""),44308.6458333333)</f>
        <v/>
      </c>
      <c r="V812" s="6">
        <f>IFERROR(__xludf.DUMMYFUNCTION("""COMPUTED_VALUE"""),3177.52)</f>
        <v/>
      </c>
      <c r="Z812" s="6">
        <f>AA812&amp;AB812</f>
        <v/>
      </c>
      <c r="AA812" s="6">
        <f>YEAR(AC812)</f>
        <v/>
      </c>
      <c r="AB812" s="6">
        <f>MONTH(AC812)</f>
        <v/>
      </c>
      <c r="AC812" s="267">
        <f>IFERROR(__xludf.DUMMYFUNCTION("""COMPUTED_VALUE"""),43951.9986111111)</f>
        <v/>
      </c>
      <c r="AD812" s="6">
        <f>IFERROR(__xludf.DUMMYFUNCTION("""COMPUTED_VALUE"""),1212.96)</f>
        <v/>
      </c>
      <c r="AH812" s="6">
        <f>AI812&amp;AJ812</f>
        <v/>
      </c>
      <c r="AI812" s="6">
        <f>YEAR(AK812)</f>
        <v/>
      </c>
      <c r="AJ812" s="6">
        <f>MONTH(AK812)</f>
        <v/>
      </c>
      <c r="AK812" s="267">
        <f>IFERROR(__xludf.DUMMYFUNCTION("""COMPUTED_VALUE"""),43904.9986111111)</f>
        <v/>
      </c>
      <c r="AL812" s="6">
        <f>IFERROR(__xludf.DUMMYFUNCTION("""COMPUTED_VALUE"""),5178.858)</f>
        <v/>
      </c>
      <c r="AP812" s="6">
        <f>AQ812&amp;AR812</f>
        <v/>
      </c>
      <c r="AQ812" s="6">
        <f>YEAR(AS812)</f>
        <v/>
      </c>
      <c r="AR812" s="6">
        <f>MONTH(AS812)</f>
        <v/>
      </c>
      <c r="AS812" s="267">
        <f>IFERROR(__xludf.DUMMYFUNCTION("""COMPUTED_VALUE"""),44285.9986111111)</f>
        <v/>
      </c>
      <c r="AT812" s="6">
        <f>IFERROR(__xludf.DUMMYFUNCTION("""COMPUTED_VALUE"""),1686)</f>
        <v/>
      </c>
    </row>
    <row r="813">
      <c r="B813" s="6">
        <f>C813&amp;D813</f>
        <v/>
      </c>
      <c r="C813" s="6">
        <f>YEAR(E813)</f>
        <v/>
      </c>
      <c r="D813" s="6">
        <f>MONTH(E813)</f>
        <v/>
      </c>
      <c r="E813" s="267">
        <f>IFERROR(__xludf.DUMMYFUNCTION("""COMPUTED_VALUE"""),44278.6666666666)</f>
        <v/>
      </c>
      <c r="F813" s="6">
        <f>IFERROR(__xludf.DUMMYFUNCTION("""COMPUTED_VALUE"""),3910.52)</f>
        <v/>
      </c>
      <c r="J813" s="6">
        <f>K813&amp;L813</f>
        <v/>
      </c>
      <c r="K813" s="6">
        <f>YEAR(M813)</f>
        <v/>
      </c>
      <c r="L813" s="6">
        <f>MONTH(M813)</f>
        <v/>
      </c>
      <c r="M813" s="267">
        <f>IFERROR(__xludf.DUMMYFUNCTION("""COMPUTED_VALUE"""),44271.6666666666)</f>
        <v/>
      </c>
      <c r="N813" s="6">
        <f>IFERROR(__xludf.DUMMYFUNCTION("""COMPUTED_VALUE"""),13471.57)</f>
        <v/>
      </c>
      <c r="R813" s="6">
        <f>S813&amp;T813</f>
        <v/>
      </c>
      <c r="S813" s="6">
        <f>YEAR(U813)</f>
        <v/>
      </c>
      <c r="T813" s="6">
        <f>MONTH(U813)</f>
        <v/>
      </c>
      <c r="U813" s="267">
        <f>IFERROR(__xludf.DUMMYFUNCTION("""COMPUTED_VALUE"""),44309.6458333333)</f>
        <v/>
      </c>
      <c r="V813" s="6">
        <f>IFERROR(__xludf.DUMMYFUNCTION("""COMPUTED_VALUE"""),3186.1)</f>
        <v/>
      </c>
      <c r="Z813" s="6">
        <f>AA813&amp;AB813</f>
        <v/>
      </c>
      <c r="AA813" s="6">
        <f>YEAR(AC813)</f>
        <v/>
      </c>
      <c r="AB813" s="6">
        <f>MONTH(AC813)</f>
        <v/>
      </c>
      <c r="AC813" s="267">
        <f>IFERROR(__xludf.DUMMYFUNCTION("""COMPUTED_VALUE"""),43952.9986111111)</f>
        <v/>
      </c>
      <c r="AD813" s="6">
        <f>IFERROR(__xludf.DUMMYFUNCTION("""COMPUTED_VALUE"""),1223.93)</f>
        <v/>
      </c>
      <c r="AH813" s="6">
        <f>AI813&amp;AJ813</f>
        <v/>
      </c>
      <c r="AI813" s="6">
        <f>YEAR(AK813)</f>
        <v/>
      </c>
      <c r="AJ813" s="6">
        <f>MONTH(AK813)</f>
        <v/>
      </c>
      <c r="AK813" s="267">
        <f>IFERROR(__xludf.DUMMYFUNCTION("""COMPUTED_VALUE"""),43905.9986111111)</f>
        <v/>
      </c>
      <c r="AL813" s="6">
        <f>IFERROR(__xludf.DUMMYFUNCTION("""COMPUTED_VALUE"""),5356.116)</f>
        <v/>
      </c>
      <c r="AP813" s="6">
        <f>AQ813&amp;AR813</f>
        <v/>
      </c>
      <c r="AQ813" s="6">
        <f>YEAR(AS813)</f>
        <v/>
      </c>
      <c r="AR813" s="6">
        <f>MONTH(AS813)</f>
        <v/>
      </c>
      <c r="AS813" s="267">
        <f>IFERROR(__xludf.DUMMYFUNCTION("""COMPUTED_VALUE"""),44286.9986111111)</f>
        <v/>
      </c>
      <c r="AT813" s="6">
        <f>IFERROR(__xludf.DUMMYFUNCTION("""COMPUTED_VALUE"""),1715.6)</f>
        <v/>
      </c>
    </row>
    <row r="814">
      <c r="B814" s="6">
        <f>C814&amp;D814</f>
        <v/>
      </c>
      <c r="C814" s="6">
        <f>YEAR(E814)</f>
        <v/>
      </c>
      <c r="D814" s="6">
        <f>MONTH(E814)</f>
        <v/>
      </c>
      <c r="E814" s="267">
        <f>IFERROR(__xludf.DUMMYFUNCTION("""COMPUTED_VALUE"""),44279.6666666666)</f>
        <v/>
      </c>
      <c r="F814" s="6">
        <f>IFERROR(__xludf.DUMMYFUNCTION("""COMPUTED_VALUE"""),3889.14)</f>
        <v/>
      </c>
      <c r="J814" s="6">
        <f>K814&amp;L814</f>
        <v/>
      </c>
      <c r="K814" s="6">
        <f>YEAR(M814)</f>
        <v/>
      </c>
      <c r="L814" s="6">
        <f>MONTH(M814)</f>
        <v/>
      </c>
      <c r="M814" s="267">
        <f>IFERROR(__xludf.DUMMYFUNCTION("""COMPUTED_VALUE"""),44272.6666666666)</f>
        <v/>
      </c>
      <c r="N814" s="6">
        <f>IFERROR(__xludf.DUMMYFUNCTION("""COMPUTED_VALUE"""),13525.2)</f>
        <v/>
      </c>
      <c r="R814" s="6">
        <f>S814&amp;T814</f>
        <v/>
      </c>
      <c r="S814" s="6">
        <f>YEAR(U814)</f>
        <v/>
      </c>
      <c r="T814" s="6">
        <f>MONTH(U814)</f>
        <v/>
      </c>
      <c r="U814" s="267">
        <f>IFERROR(__xludf.DUMMYFUNCTION("""COMPUTED_VALUE"""),44312.6458333333)</f>
        <v/>
      </c>
      <c r="V814" s="6">
        <f>IFERROR(__xludf.DUMMYFUNCTION("""COMPUTED_VALUE"""),3217.53)</f>
        <v/>
      </c>
      <c r="Z814" s="6">
        <f>AA814&amp;AB814</f>
        <v/>
      </c>
      <c r="AA814" s="6">
        <f>YEAR(AC814)</f>
        <v/>
      </c>
      <c r="AB814" s="6">
        <f>MONTH(AC814)</f>
        <v/>
      </c>
      <c r="AC814" s="267">
        <f>IFERROR(__xludf.DUMMYFUNCTION("""COMPUTED_VALUE"""),43953.9986111111)</f>
        <v/>
      </c>
      <c r="AD814" s="6">
        <f>IFERROR(__xludf.DUMMYFUNCTION("""COMPUTED_VALUE"""),1223.93)</f>
        <v/>
      </c>
      <c r="AH814" s="6">
        <f>AI814&amp;AJ814</f>
        <v/>
      </c>
      <c r="AI814" s="6">
        <f>YEAR(AK814)</f>
        <v/>
      </c>
      <c r="AJ814" s="6">
        <f>MONTH(AK814)</f>
        <v/>
      </c>
      <c r="AK814" s="267">
        <f>IFERROR(__xludf.DUMMYFUNCTION("""COMPUTED_VALUE"""),43906.9986111111)</f>
        <v/>
      </c>
      <c r="AL814" s="6">
        <f>IFERROR(__xludf.DUMMYFUNCTION("""COMPUTED_VALUE"""),5032.406)</f>
        <v/>
      </c>
      <c r="AP814" s="6">
        <f>AQ814&amp;AR814</f>
        <v/>
      </c>
      <c r="AQ814" s="6">
        <f>YEAR(AS814)</f>
        <v/>
      </c>
      <c r="AR814" s="6">
        <f>MONTH(AS814)</f>
        <v/>
      </c>
      <c r="AS814" s="267">
        <f>IFERROR(__xludf.DUMMYFUNCTION("""COMPUTED_VALUE"""),44287.9986111111)</f>
        <v/>
      </c>
      <c r="AT814" s="6">
        <f>IFERROR(__xludf.DUMMYFUNCTION("""COMPUTED_VALUE"""),1728.4)</f>
        <v/>
      </c>
    </row>
    <row r="815">
      <c r="B815" s="6">
        <f>C815&amp;D815</f>
        <v/>
      </c>
      <c r="C815" s="6">
        <f>YEAR(E815)</f>
        <v/>
      </c>
      <c r="D815" s="6">
        <f>MONTH(E815)</f>
        <v/>
      </c>
      <c r="E815" s="267">
        <f>IFERROR(__xludf.DUMMYFUNCTION("""COMPUTED_VALUE"""),44280.6666666666)</f>
        <v/>
      </c>
      <c r="F815" s="6">
        <f>IFERROR(__xludf.DUMMYFUNCTION("""COMPUTED_VALUE"""),3909.52)</f>
        <v/>
      </c>
      <c r="J815" s="6">
        <f>K815&amp;L815</f>
        <v/>
      </c>
      <c r="K815" s="6">
        <f>YEAR(M815)</f>
        <v/>
      </c>
      <c r="L815" s="6">
        <f>MONTH(M815)</f>
        <v/>
      </c>
      <c r="M815" s="267">
        <f>IFERROR(__xludf.DUMMYFUNCTION("""COMPUTED_VALUE"""),44273.6666666666)</f>
        <v/>
      </c>
      <c r="N815" s="6">
        <f>IFERROR(__xludf.DUMMYFUNCTION("""COMPUTED_VALUE"""),13116.17)</f>
        <v/>
      </c>
      <c r="R815" s="6">
        <f>S815&amp;T815</f>
        <v/>
      </c>
      <c r="S815" s="6">
        <f>YEAR(U815)</f>
        <v/>
      </c>
      <c r="T815" s="6">
        <f>MONTH(U815)</f>
        <v/>
      </c>
      <c r="U815" s="267">
        <f>IFERROR(__xludf.DUMMYFUNCTION("""COMPUTED_VALUE"""),44313.6458333333)</f>
        <v/>
      </c>
      <c r="V815" s="6">
        <f>IFERROR(__xludf.DUMMYFUNCTION("""COMPUTED_VALUE"""),3215.42)</f>
        <v/>
      </c>
      <c r="Z815" s="6">
        <f>AA815&amp;AB815</f>
        <v/>
      </c>
      <c r="AA815" s="6">
        <f>YEAR(AC815)</f>
        <v/>
      </c>
      <c r="AB815" s="6">
        <f>MONTH(AC815)</f>
        <v/>
      </c>
      <c r="AC815" s="267">
        <f>IFERROR(__xludf.DUMMYFUNCTION("""COMPUTED_VALUE"""),43954.9986111111)</f>
        <v/>
      </c>
      <c r="AD815" s="6">
        <f>IFERROR(__xludf.DUMMYFUNCTION("""COMPUTED_VALUE"""),1223.78)</f>
        <v/>
      </c>
      <c r="AH815" s="6">
        <f>AI815&amp;AJ815</f>
        <v/>
      </c>
      <c r="AI815" s="6">
        <f>YEAR(AK815)</f>
        <v/>
      </c>
      <c r="AJ815" s="6">
        <f>MONTH(AK815)</f>
        <v/>
      </c>
      <c r="AK815" s="267">
        <f>IFERROR(__xludf.DUMMYFUNCTION("""COMPUTED_VALUE"""),43907.9986111111)</f>
        <v/>
      </c>
      <c r="AL815" s="6">
        <f>IFERROR(__xludf.DUMMYFUNCTION("""COMPUTED_VALUE"""),5340.572)</f>
        <v/>
      </c>
      <c r="AP815" s="6">
        <f>AQ815&amp;AR815</f>
        <v/>
      </c>
      <c r="AQ815" s="6">
        <f>YEAR(AS815)</f>
        <v/>
      </c>
      <c r="AR815" s="6">
        <f>MONTH(AS815)</f>
        <v/>
      </c>
      <c r="AS815" s="267">
        <f>IFERROR(__xludf.DUMMYFUNCTION("""COMPUTED_VALUE"""),44291.9986111111)</f>
        <v/>
      </c>
      <c r="AT815" s="6">
        <f>IFERROR(__xludf.DUMMYFUNCTION("""COMPUTED_VALUE"""),1728.8)</f>
        <v/>
      </c>
    </row>
    <row r="816">
      <c r="B816" s="6">
        <f>C816&amp;D816</f>
        <v/>
      </c>
      <c r="C816" s="6">
        <f>YEAR(E816)</f>
        <v/>
      </c>
      <c r="D816" s="6">
        <f>MONTH(E816)</f>
        <v/>
      </c>
      <c r="E816" s="267">
        <f>IFERROR(__xludf.DUMMYFUNCTION("""COMPUTED_VALUE"""),44281.6666666666)</f>
        <v/>
      </c>
      <c r="F816" s="6">
        <f>IFERROR(__xludf.DUMMYFUNCTION("""COMPUTED_VALUE"""),3974.54)</f>
        <v/>
      </c>
      <c r="J816" s="6">
        <f>K816&amp;L816</f>
        <v/>
      </c>
      <c r="K816" s="6">
        <f>YEAR(M816)</f>
        <v/>
      </c>
      <c r="L816" s="6">
        <f>MONTH(M816)</f>
        <v/>
      </c>
      <c r="M816" s="267">
        <f>IFERROR(__xludf.DUMMYFUNCTION("""COMPUTED_VALUE"""),44274.6666666666)</f>
        <v/>
      </c>
      <c r="N816" s="6">
        <f>IFERROR(__xludf.DUMMYFUNCTION("""COMPUTED_VALUE"""),13215.24)</f>
        <v/>
      </c>
      <c r="R816" s="6">
        <f>S816&amp;T816</f>
        <v/>
      </c>
      <c r="S816" s="6">
        <f>YEAR(U816)</f>
        <v/>
      </c>
      <c r="T816" s="6">
        <f>MONTH(U816)</f>
        <v/>
      </c>
      <c r="U816" s="267">
        <f>IFERROR(__xludf.DUMMYFUNCTION("""COMPUTED_VALUE"""),44314.6458333333)</f>
        <v/>
      </c>
      <c r="V816" s="6">
        <f>IFERROR(__xludf.DUMMYFUNCTION("""COMPUTED_VALUE"""),3181.47)</f>
        <v/>
      </c>
      <c r="Z816" s="6">
        <f>AA816&amp;AB816</f>
        <v/>
      </c>
      <c r="AA816" s="6">
        <f>YEAR(AC816)</f>
        <v/>
      </c>
      <c r="AB816" s="6">
        <f>MONTH(AC816)</f>
        <v/>
      </c>
      <c r="AC816" s="267">
        <f>IFERROR(__xludf.DUMMYFUNCTION("""COMPUTED_VALUE"""),43955.9986111111)</f>
        <v/>
      </c>
      <c r="AD816" s="6">
        <f>IFERROR(__xludf.DUMMYFUNCTION("""COMPUTED_VALUE"""),1222.45)</f>
        <v/>
      </c>
      <c r="AH816" s="6">
        <f>AI816&amp;AJ816</f>
        <v/>
      </c>
      <c r="AI816" s="6">
        <f>YEAR(AK816)</f>
        <v/>
      </c>
      <c r="AJ816" s="6">
        <f>MONTH(AK816)</f>
        <v/>
      </c>
      <c r="AK816" s="267">
        <f>IFERROR(__xludf.DUMMYFUNCTION("""COMPUTED_VALUE"""),43908.9986111111)</f>
        <v/>
      </c>
      <c r="AL816" s="6">
        <f>IFERROR(__xludf.DUMMYFUNCTION("""COMPUTED_VALUE"""),5405.399)</f>
        <v/>
      </c>
      <c r="AP816" s="6">
        <f>AQ816&amp;AR816</f>
        <v/>
      </c>
      <c r="AQ816" s="6">
        <f>YEAR(AS816)</f>
        <v/>
      </c>
      <c r="AR816" s="6">
        <f>MONTH(AS816)</f>
        <v/>
      </c>
      <c r="AS816" s="267">
        <f>IFERROR(__xludf.DUMMYFUNCTION("""COMPUTED_VALUE"""),44292.9986111111)</f>
        <v/>
      </c>
      <c r="AT816" s="6">
        <f>IFERROR(__xludf.DUMMYFUNCTION("""COMPUTED_VALUE"""),1743)</f>
        <v/>
      </c>
    </row>
    <row r="817">
      <c r="B817" s="6">
        <f>C817&amp;D817</f>
        <v/>
      </c>
      <c r="C817" s="6">
        <f>YEAR(E817)</f>
        <v/>
      </c>
      <c r="D817" s="6">
        <f>MONTH(E817)</f>
        <v/>
      </c>
      <c r="E817" s="267">
        <f>IFERROR(__xludf.DUMMYFUNCTION("""COMPUTED_VALUE"""),44284.6666666666)</f>
        <v/>
      </c>
      <c r="F817" s="6">
        <f>IFERROR(__xludf.DUMMYFUNCTION("""COMPUTED_VALUE"""),3971.09)</f>
        <v/>
      </c>
      <c r="J817" s="6">
        <f>K817&amp;L817</f>
        <v/>
      </c>
      <c r="K817" s="6">
        <f>YEAR(M817)</f>
        <v/>
      </c>
      <c r="L817" s="6">
        <f>MONTH(M817)</f>
        <v/>
      </c>
      <c r="M817" s="267">
        <f>IFERROR(__xludf.DUMMYFUNCTION("""COMPUTED_VALUE"""),44277.6666666666)</f>
        <v/>
      </c>
      <c r="N817" s="6">
        <f>IFERROR(__xludf.DUMMYFUNCTION("""COMPUTED_VALUE"""),13377.54)</f>
        <v/>
      </c>
      <c r="R817" s="6">
        <f>S817&amp;T817</f>
        <v/>
      </c>
      <c r="S817" s="6">
        <f>YEAR(U817)</f>
        <v/>
      </c>
      <c r="T817" s="6">
        <f>MONTH(U817)</f>
        <v/>
      </c>
      <c r="U817" s="267">
        <f>IFERROR(__xludf.DUMMYFUNCTION("""COMPUTED_VALUE"""),44315.6458333333)</f>
        <v/>
      </c>
      <c r="V817" s="6">
        <f>IFERROR(__xludf.DUMMYFUNCTION("""COMPUTED_VALUE"""),3174.07)</f>
        <v/>
      </c>
      <c r="Z817" s="6">
        <f>AA817&amp;AB817</f>
        <v/>
      </c>
      <c r="AA817" s="6">
        <f>YEAR(AC817)</f>
        <v/>
      </c>
      <c r="AB817" s="6">
        <f>MONTH(AC817)</f>
        <v/>
      </c>
      <c r="AC817" s="267">
        <f>IFERROR(__xludf.DUMMYFUNCTION("""COMPUTED_VALUE"""),43956.9986111111)</f>
        <v/>
      </c>
      <c r="AD817" s="6">
        <f>IFERROR(__xludf.DUMMYFUNCTION("""COMPUTED_VALUE"""),1221.25)</f>
        <v/>
      </c>
      <c r="AH817" s="6">
        <f>AI817&amp;AJ817</f>
        <v/>
      </c>
      <c r="AI817" s="6">
        <f>YEAR(AK817)</f>
        <v/>
      </c>
      <c r="AJ817" s="6">
        <f>MONTH(AK817)</f>
        <v/>
      </c>
      <c r="AK817" s="267">
        <f>IFERROR(__xludf.DUMMYFUNCTION("""COMPUTED_VALUE"""),43909.9986111111)</f>
        <v/>
      </c>
      <c r="AL817" s="6">
        <f>IFERROR(__xludf.DUMMYFUNCTION("""COMPUTED_VALUE"""),6182.357)</f>
        <v/>
      </c>
      <c r="AP817" s="6">
        <f>AQ817&amp;AR817</f>
        <v/>
      </c>
      <c r="AQ817" s="6">
        <f>YEAR(AS817)</f>
        <v/>
      </c>
      <c r="AR817" s="6">
        <f>MONTH(AS817)</f>
        <v/>
      </c>
      <c r="AS817" s="267">
        <f>IFERROR(__xludf.DUMMYFUNCTION("""COMPUTED_VALUE"""),44293.9986111111)</f>
        <v/>
      </c>
      <c r="AT817" s="6">
        <f>IFERROR(__xludf.DUMMYFUNCTION("""COMPUTED_VALUE"""),1741.6)</f>
        <v/>
      </c>
    </row>
    <row r="818">
      <c r="B818" s="6">
        <f>C818&amp;D818</f>
        <v/>
      </c>
      <c r="C818" s="6">
        <f>YEAR(E818)</f>
        <v/>
      </c>
      <c r="D818" s="6">
        <f>MONTH(E818)</f>
        <v/>
      </c>
      <c r="E818" s="267">
        <f>IFERROR(__xludf.DUMMYFUNCTION("""COMPUTED_VALUE"""),44285.6666666666)</f>
        <v/>
      </c>
      <c r="F818" s="6">
        <f>IFERROR(__xludf.DUMMYFUNCTION("""COMPUTED_VALUE"""),3958.55)</f>
        <v/>
      </c>
      <c r="J818" s="6">
        <f>K818&amp;L818</f>
        <v/>
      </c>
      <c r="K818" s="6">
        <f>YEAR(M818)</f>
        <v/>
      </c>
      <c r="L818" s="6">
        <f>MONTH(M818)</f>
        <v/>
      </c>
      <c r="M818" s="267">
        <f>IFERROR(__xludf.DUMMYFUNCTION("""COMPUTED_VALUE"""),44278.6666666666)</f>
        <v/>
      </c>
      <c r="N818" s="6">
        <f>IFERROR(__xludf.DUMMYFUNCTION("""COMPUTED_VALUE"""),13227.7)</f>
        <v/>
      </c>
      <c r="R818" s="6">
        <f>S818&amp;T818</f>
        <v/>
      </c>
      <c r="S818" s="6">
        <f>YEAR(U818)</f>
        <v/>
      </c>
      <c r="T818" s="6">
        <f>MONTH(U818)</f>
        <v/>
      </c>
      <c r="U818" s="267">
        <f>IFERROR(__xludf.DUMMYFUNCTION("""COMPUTED_VALUE"""),44316.6458333333)</f>
        <v/>
      </c>
      <c r="V818" s="6">
        <f>IFERROR(__xludf.DUMMYFUNCTION("""COMPUTED_VALUE"""),3147.86)</f>
        <v/>
      </c>
      <c r="Z818" s="6">
        <f>AA818&amp;AB818</f>
        <v/>
      </c>
      <c r="AA818" s="6">
        <f>YEAR(AC818)</f>
        <v/>
      </c>
      <c r="AB818" s="6">
        <f>MONTH(AC818)</f>
        <v/>
      </c>
      <c r="AC818" s="267">
        <f>IFERROR(__xludf.DUMMYFUNCTION("""COMPUTED_VALUE"""),43957.9986111111)</f>
        <v/>
      </c>
      <c r="AD818" s="6">
        <f>IFERROR(__xludf.DUMMYFUNCTION("""COMPUTED_VALUE"""),1228.53)</f>
        <v/>
      </c>
      <c r="AH818" s="6">
        <f>AI818&amp;AJ818</f>
        <v/>
      </c>
      <c r="AI818" s="6">
        <f>YEAR(AK818)</f>
        <v/>
      </c>
      <c r="AJ818" s="6">
        <f>MONTH(AK818)</f>
        <v/>
      </c>
      <c r="AK818" s="267">
        <f>IFERROR(__xludf.DUMMYFUNCTION("""COMPUTED_VALUE"""),43910.9986111111)</f>
        <v/>
      </c>
      <c r="AL818" s="6">
        <f>IFERROR(__xludf.DUMMYFUNCTION("""COMPUTED_VALUE"""),6200.971)</f>
        <v/>
      </c>
      <c r="AP818" s="6">
        <f>AQ818&amp;AR818</f>
        <v/>
      </c>
      <c r="AQ818" s="6">
        <f>YEAR(AS818)</f>
        <v/>
      </c>
      <c r="AR818" s="6">
        <f>MONTH(AS818)</f>
        <v/>
      </c>
      <c r="AS818" s="267">
        <f>IFERROR(__xludf.DUMMYFUNCTION("""COMPUTED_VALUE"""),44294.9986111111)</f>
        <v/>
      </c>
      <c r="AT818" s="6">
        <f>IFERROR(__xludf.DUMMYFUNCTION("""COMPUTED_VALUE"""),1758.2)</f>
        <v/>
      </c>
    </row>
    <row r="819">
      <c r="B819" s="6">
        <f>C819&amp;D819</f>
        <v/>
      </c>
      <c r="C819" s="6">
        <f>YEAR(E819)</f>
        <v/>
      </c>
      <c r="D819" s="6">
        <f>MONTH(E819)</f>
        <v/>
      </c>
      <c r="E819" s="267">
        <f>IFERROR(__xludf.DUMMYFUNCTION("""COMPUTED_VALUE"""),44286.6666666666)</f>
        <v/>
      </c>
      <c r="F819" s="6">
        <f>IFERROR(__xludf.DUMMYFUNCTION("""COMPUTED_VALUE"""),3972.89)</f>
        <v/>
      </c>
      <c r="J819" s="6">
        <f>K819&amp;L819</f>
        <v/>
      </c>
      <c r="K819" s="6">
        <f>YEAR(M819)</f>
        <v/>
      </c>
      <c r="L819" s="6">
        <f>MONTH(M819)</f>
        <v/>
      </c>
      <c r="M819" s="267">
        <f>IFERROR(__xludf.DUMMYFUNCTION("""COMPUTED_VALUE"""),44279.6666666666)</f>
        <v/>
      </c>
      <c r="N819" s="6">
        <f>IFERROR(__xludf.DUMMYFUNCTION("""COMPUTED_VALUE"""),12961.89)</f>
        <v/>
      </c>
      <c r="R819" s="6">
        <f>S819&amp;T819</f>
        <v/>
      </c>
      <c r="S819" s="6">
        <f>YEAR(U819)</f>
        <v/>
      </c>
      <c r="T819" s="6">
        <f>MONTH(U819)</f>
        <v/>
      </c>
      <c r="U819" s="267">
        <f>IFERROR(__xludf.DUMMYFUNCTION("""COMPUTED_VALUE"""),44319.6458333333)</f>
        <v/>
      </c>
      <c r="V819" s="6">
        <f>IFERROR(__xludf.DUMMYFUNCTION("""COMPUTED_VALUE"""),3127.2)</f>
        <v/>
      </c>
      <c r="Z819" s="6">
        <f>AA819&amp;AB819</f>
        <v/>
      </c>
      <c r="AA819" s="6">
        <f>YEAR(AC819)</f>
        <v/>
      </c>
      <c r="AB819" s="6">
        <f>MONTH(AC819)</f>
        <v/>
      </c>
      <c r="AC819" s="267">
        <f>IFERROR(__xludf.DUMMYFUNCTION("""COMPUTED_VALUE"""),43958.9986111111)</f>
        <v/>
      </c>
      <c r="AD819" s="6">
        <f>IFERROR(__xludf.DUMMYFUNCTION("""COMPUTED_VALUE"""),1218.63)</f>
        <v/>
      </c>
      <c r="AH819" s="6">
        <f>AI819&amp;AJ819</f>
        <v/>
      </c>
      <c r="AI819" s="6">
        <f>YEAR(AK819)</f>
        <v/>
      </c>
      <c r="AJ819" s="6">
        <f>MONTH(AK819)</f>
        <v/>
      </c>
      <c r="AK819" s="267">
        <f>IFERROR(__xludf.DUMMYFUNCTION("""COMPUTED_VALUE"""),43911.9986111111)</f>
        <v/>
      </c>
      <c r="AL819" s="6">
        <f>IFERROR(__xludf.DUMMYFUNCTION("""COMPUTED_VALUE"""),6195.611)</f>
        <v/>
      </c>
      <c r="AP819" s="6">
        <f>AQ819&amp;AR819</f>
        <v/>
      </c>
      <c r="AQ819" s="6">
        <f>YEAR(AS819)</f>
        <v/>
      </c>
      <c r="AR819" s="6">
        <f>MONTH(AS819)</f>
        <v/>
      </c>
      <c r="AS819" s="267">
        <f>IFERROR(__xludf.DUMMYFUNCTION("""COMPUTED_VALUE"""),44295.9986111111)</f>
        <v/>
      </c>
      <c r="AT819" s="6">
        <f>IFERROR(__xludf.DUMMYFUNCTION("""COMPUTED_VALUE"""),1744.8)</f>
        <v/>
      </c>
    </row>
    <row r="820">
      <c r="B820" s="6">
        <f>C820&amp;D820</f>
        <v/>
      </c>
      <c r="C820" s="6">
        <f>YEAR(E820)</f>
        <v/>
      </c>
      <c r="D820" s="6">
        <f>MONTH(E820)</f>
        <v/>
      </c>
      <c r="E820" s="267">
        <f>IFERROR(__xludf.DUMMYFUNCTION("""COMPUTED_VALUE"""),44287.6666666666)</f>
        <v/>
      </c>
      <c r="F820" s="6">
        <f>IFERROR(__xludf.DUMMYFUNCTION("""COMPUTED_VALUE"""),4019.87)</f>
        <v/>
      </c>
      <c r="J820" s="6">
        <f>K820&amp;L820</f>
        <v/>
      </c>
      <c r="K820" s="6">
        <f>YEAR(M820)</f>
        <v/>
      </c>
      <c r="L820" s="6">
        <f>MONTH(M820)</f>
        <v/>
      </c>
      <c r="M820" s="267">
        <f>IFERROR(__xludf.DUMMYFUNCTION("""COMPUTED_VALUE"""),44280.6666666666)</f>
        <v/>
      </c>
      <c r="N820" s="6">
        <f>IFERROR(__xludf.DUMMYFUNCTION("""COMPUTED_VALUE"""),12977.68)</f>
        <v/>
      </c>
      <c r="R820" s="6">
        <f>S820&amp;T820</f>
        <v/>
      </c>
      <c r="S820" s="6">
        <f>YEAR(U820)</f>
        <v/>
      </c>
      <c r="T820" s="6">
        <f>MONTH(U820)</f>
        <v/>
      </c>
      <c r="U820" s="267">
        <f>IFERROR(__xludf.DUMMYFUNCTION("""COMPUTED_VALUE"""),44320.6458333333)</f>
        <v/>
      </c>
      <c r="V820" s="6">
        <f>IFERROR(__xludf.DUMMYFUNCTION("""COMPUTED_VALUE"""),3147.37)</f>
        <v/>
      </c>
      <c r="Z820" s="6">
        <f>AA820&amp;AB820</f>
        <v/>
      </c>
      <c r="AA820" s="6">
        <f>YEAR(AC820)</f>
        <v/>
      </c>
      <c r="AB820" s="6">
        <f>MONTH(AC820)</f>
        <v/>
      </c>
      <c r="AC820" s="267">
        <f>IFERROR(__xludf.DUMMYFUNCTION("""COMPUTED_VALUE"""),43959.9986111111)</f>
        <v/>
      </c>
      <c r="AD820" s="6">
        <f>IFERROR(__xludf.DUMMYFUNCTION("""COMPUTED_VALUE"""),1218.8)</f>
        <v/>
      </c>
      <c r="AH820" s="6">
        <f>AI820&amp;AJ820</f>
        <v/>
      </c>
      <c r="AI820" s="6">
        <f>YEAR(AK820)</f>
        <v/>
      </c>
      <c r="AJ820" s="6">
        <f>MONTH(AK820)</f>
        <v/>
      </c>
      <c r="AK820" s="267">
        <f>IFERROR(__xludf.DUMMYFUNCTION("""COMPUTED_VALUE"""),43912.9986111111)</f>
        <v/>
      </c>
      <c r="AL820" s="6">
        <f>IFERROR(__xludf.DUMMYFUNCTION("""COMPUTED_VALUE"""),5818.745)</f>
        <v/>
      </c>
      <c r="AP820" s="6">
        <f>AQ820&amp;AR820</f>
        <v/>
      </c>
      <c r="AQ820" s="6">
        <f>YEAR(AS820)</f>
        <v/>
      </c>
      <c r="AR820" s="6">
        <f>MONTH(AS820)</f>
        <v/>
      </c>
      <c r="AS820" s="267">
        <f>IFERROR(__xludf.DUMMYFUNCTION("""COMPUTED_VALUE"""),44298.9986111111)</f>
        <v/>
      </c>
      <c r="AT820" s="6">
        <f>IFERROR(__xludf.DUMMYFUNCTION("""COMPUTED_VALUE"""),1732.7)</f>
        <v/>
      </c>
    </row>
    <row r="821">
      <c r="B821" s="6">
        <f>C821&amp;D821</f>
        <v/>
      </c>
      <c r="C821" s="6">
        <f>YEAR(E821)</f>
        <v/>
      </c>
      <c r="D821" s="6">
        <f>MONTH(E821)</f>
        <v/>
      </c>
      <c r="E821" s="267">
        <f>IFERROR(__xludf.DUMMYFUNCTION("""COMPUTED_VALUE"""),44291.6666666666)</f>
        <v/>
      </c>
      <c r="F821" s="6">
        <f>IFERROR(__xludf.DUMMYFUNCTION("""COMPUTED_VALUE"""),4077.91)</f>
        <v/>
      </c>
      <c r="J821" s="6">
        <f>K821&amp;L821</f>
        <v/>
      </c>
      <c r="K821" s="6">
        <f>YEAR(M821)</f>
        <v/>
      </c>
      <c r="L821" s="6">
        <f>MONTH(M821)</f>
        <v/>
      </c>
      <c r="M821" s="267">
        <f>IFERROR(__xludf.DUMMYFUNCTION("""COMPUTED_VALUE"""),44281.6666666666)</f>
        <v/>
      </c>
      <c r="N821" s="6">
        <f>IFERROR(__xludf.DUMMYFUNCTION("""COMPUTED_VALUE"""),13138.73)</f>
        <v/>
      </c>
      <c r="R821" s="6">
        <f>S821&amp;T821</f>
        <v/>
      </c>
      <c r="S821" s="6">
        <f>YEAR(U821)</f>
        <v/>
      </c>
      <c r="T821" s="6">
        <f>MONTH(U821)</f>
        <v/>
      </c>
      <c r="U821" s="267">
        <f>IFERROR(__xludf.DUMMYFUNCTION("""COMPUTED_VALUE"""),44322.6458333333)</f>
        <v/>
      </c>
      <c r="V821" s="6">
        <f>IFERROR(__xludf.DUMMYFUNCTION("""COMPUTED_VALUE"""),3178.74)</f>
        <v/>
      </c>
      <c r="Z821" s="6">
        <f>AA821&amp;AB821</f>
        <v/>
      </c>
      <c r="AA821" s="6">
        <f>YEAR(AC821)</f>
        <v/>
      </c>
      <c r="AB821" s="6">
        <f>MONTH(AC821)</f>
        <v/>
      </c>
      <c r="AC821" s="267">
        <f>IFERROR(__xludf.DUMMYFUNCTION("""COMPUTED_VALUE"""),43960.9986111111)</f>
        <v/>
      </c>
      <c r="AD821" s="6">
        <f>IFERROR(__xludf.DUMMYFUNCTION("""COMPUTED_VALUE"""),1218.8)</f>
        <v/>
      </c>
      <c r="AH821" s="6">
        <f>AI821&amp;AJ821</f>
        <v/>
      </c>
      <c r="AI821" s="6">
        <f>YEAR(AK821)</f>
        <v/>
      </c>
      <c r="AJ821" s="6">
        <f>MONTH(AK821)</f>
        <v/>
      </c>
      <c r="AK821" s="267">
        <f>IFERROR(__xludf.DUMMYFUNCTION("""COMPUTED_VALUE"""),43913.9986111111)</f>
        <v/>
      </c>
      <c r="AL821" s="6">
        <f>IFERROR(__xludf.DUMMYFUNCTION("""COMPUTED_VALUE"""),6496.644)</f>
        <v/>
      </c>
      <c r="AP821" s="6">
        <f>AQ821&amp;AR821</f>
        <v/>
      </c>
      <c r="AQ821" s="6">
        <f>YEAR(AS821)</f>
        <v/>
      </c>
      <c r="AR821" s="6">
        <f>MONTH(AS821)</f>
        <v/>
      </c>
      <c r="AS821" s="267">
        <f>IFERROR(__xludf.DUMMYFUNCTION("""COMPUTED_VALUE"""),44299.9986111111)</f>
        <v/>
      </c>
      <c r="AT821" s="6">
        <f>IFERROR(__xludf.DUMMYFUNCTION("""COMPUTED_VALUE"""),1747.6)</f>
        <v/>
      </c>
    </row>
    <row r="822">
      <c r="B822" s="6">
        <f>C822&amp;D822</f>
        <v/>
      </c>
      <c r="C822" s="6">
        <f>YEAR(E822)</f>
        <v/>
      </c>
      <c r="D822" s="6">
        <f>MONTH(E822)</f>
        <v/>
      </c>
      <c r="E822" s="267">
        <f>IFERROR(__xludf.DUMMYFUNCTION("""COMPUTED_VALUE"""),44292.6666666666)</f>
        <v/>
      </c>
      <c r="F822" s="6">
        <f>IFERROR(__xludf.DUMMYFUNCTION("""COMPUTED_VALUE"""),4073.94)</f>
        <v/>
      </c>
      <c r="J822" s="6">
        <f>K822&amp;L822</f>
        <v/>
      </c>
      <c r="K822" s="6">
        <f>YEAR(M822)</f>
        <v/>
      </c>
      <c r="L822" s="6">
        <f>MONTH(M822)</f>
        <v/>
      </c>
      <c r="M822" s="267">
        <f>IFERROR(__xludf.DUMMYFUNCTION("""COMPUTED_VALUE"""),44284.6666666666)</f>
        <v/>
      </c>
      <c r="N822" s="6">
        <f>IFERROR(__xludf.DUMMYFUNCTION("""COMPUTED_VALUE"""),13059.65)</f>
        <v/>
      </c>
      <c r="R822" s="6">
        <f>S822&amp;T822</f>
        <v/>
      </c>
      <c r="S822" s="6">
        <f>YEAR(U822)</f>
        <v/>
      </c>
      <c r="T822" s="6">
        <f>MONTH(U822)</f>
        <v/>
      </c>
      <c r="U822" s="267">
        <f>IFERROR(__xludf.DUMMYFUNCTION("""COMPUTED_VALUE"""),44323.6458333333)</f>
        <v/>
      </c>
      <c r="V822" s="6">
        <f>IFERROR(__xludf.DUMMYFUNCTION("""COMPUTED_VALUE"""),3197.2)</f>
        <v/>
      </c>
      <c r="Z822" s="6">
        <f>AA822&amp;AB822</f>
        <v/>
      </c>
      <c r="AA822" s="6">
        <f>YEAR(AC822)</f>
        <v/>
      </c>
      <c r="AB822" s="6">
        <f>MONTH(AC822)</f>
        <v/>
      </c>
      <c r="AC822" s="267">
        <f>IFERROR(__xludf.DUMMYFUNCTION("""COMPUTED_VALUE"""),43961.9986111111)</f>
        <v/>
      </c>
      <c r="AD822" s="6">
        <f>IFERROR(__xludf.DUMMYFUNCTION("""COMPUTED_VALUE"""),1218.7)</f>
        <v/>
      </c>
      <c r="AH822" s="6">
        <f>AI822&amp;AJ822</f>
        <v/>
      </c>
      <c r="AI822" s="6">
        <f>YEAR(AK822)</f>
        <v/>
      </c>
      <c r="AJ822" s="6">
        <f>MONTH(AK822)</f>
        <v/>
      </c>
      <c r="AK822" s="267">
        <f>IFERROR(__xludf.DUMMYFUNCTION("""COMPUTED_VALUE"""),43914.9986111111)</f>
        <v/>
      </c>
      <c r="AL822" s="6">
        <f>IFERROR(__xludf.DUMMYFUNCTION("""COMPUTED_VALUE"""),6765.711)</f>
        <v/>
      </c>
      <c r="AP822" s="6">
        <f>AQ822&amp;AR822</f>
        <v/>
      </c>
      <c r="AQ822" s="6">
        <f>YEAR(AS822)</f>
        <v/>
      </c>
      <c r="AR822" s="6">
        <f>MONTH(AS822)</f>
        <v/>
      </c>
      <c r="AS822" s="267">
        <f>IFERROR(__xludf.DUMMYFUNCTION("""COMPUTED_VALUE"""),44300.9986111111)</f>
        <v/>
      </c>
      <c r="AT822" s="6">
        <f>IFERROR(__xludf.DUMMYFUNCTION("""COMPUTED_VALUE"""),1736.3)</f>
        <v/>
      </c>
    </row>
    <row r="823">
      <c r="B823" s="6">
        <f>C823&amp;D823</f>
        <v/>
      </c>
      <c r="C823" s="6">
        <f>YEAR(E823)</f>
        <v/>
      </c>
      <c r="D823" s="6">
        <f>MONTH(E823)</f>
        <v/>
      </c>
      <c r="E823" s="267">
        <f>IFERROR(__xludf.DUMMYFUNCTION("""COMPUTED_VALUE"""),44293.6666666666)</f>
        <v/>
      </c>
      <c r="F823" s="6">
        <f>IFERROR(__xludf.DUMMYFUNCTION("""COMPUTED_VALUE"""),4079.95)</f>
        <v/>
      </c>
      <c r="J823" s="6">
        <f>K823&amp;L823</f>
        <v/>
      </c>
      <c r="K823" s="6">
        <f>YEAR(M823)</f>
        <v/>
      </c>
      <c r="L823" s="6">
        <f>MONTH(M823)</f>
        <v/>
      </c>
      <c r="M823" s="267">
        <f>IFERROR(__xludf.DUMMYFUNCTION("""COMPUTED_VALUE"""),44285.6666666666)</f>
        <v/>
      </c>
      <c r="N823" s="6">
        <f>IFERROR(__xludf.DUMMYFUNCTION("""COMPUTED_VALUE"""),13045.39)</f>
        <v/>
      </c>
      <c r="R823" s="6">
        <f>S823&amp;T823</f>
        <v/>
      </c>
      <c r="S823" s="6">
        <f>YEAR(U823)</f>
        <v/>
      </c>
      <c r="T823" s="6">
        <f>MONTH(U823)</f>
        <v/>
      </c>
      <c r="U823" s="267">
        <f>IFERROR(__xludf.DUMMYFUNCTION("""COMPUTED_VALUE"""),44326.6458333333)</f>
        <v/>
      </c>
      <c r="V823" s="6">
        <f>IFERROR(__xludf.DUMMYFUNCTION("""COMPUTED_VALUE"""),3249.3)</f>
        <v/>
      </c>
      <c r="Z823" s="6">
        <f>AA823&amp;AB823</f>
        <v/>
      </c>
      <c r="AA823" s="6">
        <f>YEAR(AC823)</f>
        <v/>
      </c>
      <c r="AB823" s="6">
        <f>MONTH(AC823)</f>
        <v/>
      </c>
      <c r="AC823" s="267">
        <f>IFERROR(__xludf.DUMMYFUNCTION("""COMPUTED_VALUE"""),43962.9986111111)</f>
        <v/>
      </c>
      <c r="AD823" s="6">
        <f>IFERROR(__xludf.DUMMYFUNCTION("""COMPUTED_VALUE"""),1222.4)</f>
        <v/>
      </c>
      <c r="AH823" s="6">
        <f>AI823&amp;AJ823</f>
        <v/>
      </c>
      <c r="AI823" s="6">
        <f>YEAR(AK823)</f>
        <v/>
      </c>
      <c r="AJ823" s="6">
        <f>MONTH(AK823)</f>
        <v/>
      </c>
      <c r="AK823" s="267">
        <f>IFERROR(__xludf.DUMMYFUNCTION("""COMPUTED_VALUE"""),43915.9986111111)</f>
        <v/>
      </c>
      <c r="AL823" s="6">
        <f>IFERROR(__xludf.DUMMYFUNCTION("""COMPUTED_VALUE"""),6689.439)</f>
        <v/>
      </c>
      <c r="AP823" s="6">
        <f>AQ823&amp;AR823</f>
        <v/>
      </c>
      <c r="AQ823" s="6">
        <f>YEAR(AS823)</f>
        <v/>
      </c>
      <c r="AR823" s="6">
        <f>MONTH(AS823)</f>
        <v/>
      </c>
      <c r="AS823" s="267">
        <f>IFERROR(__xludf.DUMMYFUNCTION("""COMPUTED_VALUE"""),44301.9986111111)</f>
        <v/>
      </c>
      <c r="AT823" s="6">
        <f>IFERROR(__xludf.DUMMYFUNCTION("""COMPUTED_VALUE"""),1766.8)</f>
        <v/>
      </c>
    </row>
    <row r="824">
      <c r="B824" s="6">
        <f>C824&amp;D824</f>
        <v/>
      </c>
      <c r="C824" s="6">
        <f>YEAR(E824)</f>
        <v/>
      </c>
      <c r="D824" s="6">
        <f>MONTH(E824)</f>
        <v/>
      </c>
      <c r="E824" s="267">
        <f>IFERROR(__xludf.DUMMYFUNCTION("""COMPUTED_VALUE"""),44294.6666666666)</f>
        <v/>
      </c>
      <c r="F824" s="6">
        <f>IFERROR(__xludf.DUMMYFUNCTION("""COMPUTED_VALUE"""),4097.17)</f>
        <v/>
      </c>
      <c r="J824" s="6">
        <f>K824&amp;L824</f>
        <v/>
      </c>
      <c r="K824" s="6">
        <f>YEAR(M824)</f>
        <v/>
      </c>
      <c r="L824" s="6">
        <f>MONTH(M824)</f>
        <v/>
      </c>
      <c r="M824" s="267">
        <f>IFERROR(__xludf.DUMMYFUNCTION("""COMPUTED_VALUE"""),44286.6666666666)</f>
        <v/>
      </c>
      <c r="N824" s="6">
        <f>IFERROR(__xludf.DUMMYFUNCTION("""COMPUTED_VALUE"""),13246.87)</f>
        <v/>
      </c>
      <c r="R824" s="6">
        <f>S824&amp;T824</f>
        <v/>
      </c>
      <c r="S824" s="6">
        <f>YEAR(U824)</f>
        <v/>
      </c>
      <c r="T824" s="6">
        <f>MONTH(U824)</f>
        <v/>
      </c>
      <c r="U824" s="267">
        <f>IFERROR(__xludf.DUMMYFUNCTION("""COMPUTED_VALUE"""),44327.6458333333)</f>
        <v/>
      </c>
      <c r="V824" s="6">
        <f>IFERROR(__xludf.DUMMYFUNCTION("""COMPUTED_VALUE"""),3209.43)</f>
        <v/>
      </c>
      <c r="Z824" s="6">
        <f>AA824&amp;AB824</f>
        <v/>
      </c>
      <c r="AA824" s="6">
        <f>YEAR(AC824)</f>
        <v/>
      </c>
      <c r="AB824" s="6">
        <f>MONTH(AC824)</f>
        <v/>
      </c>
      <c r="AC824" s="267">
        <f>IFERROR(__xludf.DUMMYFUNCTION("""COMPUTED_VALUE"""),43963.9986111111)</f>
        <v/>
      </c>
      <c r="AD824" s="6">
        <f>IFERROR(__xludf.DUMMYFUNCTION("""COMPUTED_VALUE"""),1225.65)</f>
        <v/>
      </c>
      <c r="AH824" s="6">
        <f>AI824&amp;AJ824</f>
        <v/>
      </c>
      <c r="AI824" s="6">
        <f>YEAR(AK824)</f>
        <v/>
      </c>
      <c r="AJ824" s="6">
        <f>MONTH(AK824)</f>
        <v/>
      </c>
      <c r="AK824" s="267">
        <f>IFERROR(__xludf.DUMMYFUNCTION("""COMPUTED_VALUE"""),43916.9986111111)</f>
        <v/>
      </c>
      <c r="AL824" s="6">
        <f>IFERROR(__xludf.DUMMYFUNCTION("""COMPUTED_VALUE"""),6756.918)</f>
        <v/>
      </c>
      <c r="AP824" s="6">
        <f>AQ824&amp;AR824</f>
        <v/>
      </c>
      <c r="AQ824" s="6">
        <f>YEAR(AS824)</f>
        <v/>
      </c>
      <c r="AR824" s="6">
        <f>MONTH(AS824)</f>
        <v/>
      </c>
      <c r="AS824" s="267">
        <f>IFERROR(__xludf.DUMMYFUNCTION("""COMPUTED_VALUE"""),44302.9986111111)</f>
        <v/>
      </c>
      <c r="AT824" s="6">
        <f>IFERROR(__xludf.DUMMYFUNCTION("""COMPUTED_VALUE"""),1780.2)</f>
        <v/>
      </c>
    </row>
    <row r="825">
      <c r="B825" s="6">
        <f>C825&amp;D825</f>
        <v/>
      </c>
      <c r="C825" s="6">
        <f>YEAR(E825)</f>
        <v/>
      </c>
      <c r="D825" s="6">
        <f>MONTH(E825)</f>
        <v/>
      </c>
      <c r="E825" s="267">
        <f>IFERROR(__xludf.DUMMYFUNCTION("""COMPUTED_VALUE"""),44295.6666666666)</f>
        <v/>
      </c>
      <c r="F825" s="6">
        <f>IFERROR(__xludf.DUMMYFUNCTION("""COMPUTED_VALUE"""),4128.8)</f>
        <v/>
      </c>
      <c r="J825" s="6">
        <f>K825&amp;L825</f>
        <v/>
      </c>
      <c r="K825" s="6">
        <f>YEAR(M825)</f>
        <v/>
      </c>
      <c r="L825" s="6">
        <f>MONTH(M825)</f>
        <v/>
      </c>
      <c r="M825" s="267">
        <f>IFERROR(__xludf.DUMMYFUNCTION("""COMPUTED_VALUE"""),44287.6666666666)</f>
        <v/>
      </c>
      <c r="N825" s="6">
        <f>IFERROR(__xludf.DUMMYFUNCTION("""COMPUTED_VALUE"""),13480.11)</f>
        <v/>
      </c>
      <c r="R825" s="6">
        <f>S825&amp;T825</f>
        <v/>
      </c>
      <c r="S825" s="6">
        <f>YEAR(U825)</f>
        <v/>
      </c>
      <c r="T825" s="6">
        <f>MONTH(U825)</f>
        <v/>
      </c>
      <c r="U825" s="267">
        <f>IFERROR(__xludf.DUMMYFUNCTION("""COMPUTED_VALUE"""),44328.6458333333)</f>
        <v/>
      </c>
      <c r="V825" s="6">
        <f>IFERROR(__xludf.DUMMYFUNCTION("""COMPUTED_VALUE"""),3161.66)</f>
        <v/>
      </c>
      <c r="Z825" s="6">
        <f>AA825&amp;AB825</f>
        <v/>
      </c>
      <c r="AA825" s="6">
        <f>YEAR(AC825)</f>
        <v/>
      </c>
      <c r="AB825" s="6">
        <f>MONTH(AC825)</f>
        <v/>
      </c>
      <c r="AC825" s="267">
        <f>IFERROR(__xludf.DUMMYFUNCTION("""COMPUTED_VALUE"""),43964.9986111111)</f>
        <v/>
      </c>
      <c r="AD825" s="6">
        <f>IFERROR(__xludf.DUMMYFUNCTION("""COMPUTED_VALUE"""),1226.55)</f>
        <v/>
      </c>
      <c r="AH825" s="6">
        <f>AI825&amp;AJ825</f>
        <v/>
      </c>
      <c r="AI825" s="6">
        <f>YEAR(AK825)</f>
        <v/>
      </c>
      <c r="AJ825" s="6">
        <f>MONTH(AK825)</f>
        <v/>
      </c>
      <c r="AK825" s="267">
        <f>IFERROR(__xludf.DUMMYFUNCTION("""COMPUTED_VALUE"""),43917.9986111111)</f>
        <v/>
      </c>
      <c r="AL825" s="6">
        <f>IFERROR(__xludf.DUMMYFUNCTION("""COMPUTED_VALUE"""),6367.725)</f>
        <v/>
      </c>
      <c r="AP825" s="6">
        <f>AQ825&amp;AR825</f>
        <v/>
      </c>
      <c r="AQ825" s="6">
        <f>YEAR(AS825)</f>
        <v/>
      </c>
      <c r="AR825" s="6">
        <f>MONTH(AS825)</f>
        <v/>
      </c>
      <c r="AS825" s="267">
        <f>IFERROR(__xludf.DUMMYFUNCTION("""COMPUTED_VALUE"""),44305.9986111111)</f>
        <v/>
      </c>
      <c r="AT825" s="6">
        <f>IFERROR(__xludf.DUMMYFUNCTION("""COMPUTED_VALUE"""),1770.6)</f>
        <v/>
      </c>
    </row>
    <row r="826">
      <c r="B826" s="6">
        <f>C826&amp;D826</f>
        <v/>
      </c>
      <c r="C826" s="6">
        <f>YEAR(E826)</f>
        <v/>
      </c>
      <c r="D826" s="6">
        <f>MONTH(E826)</f>
        <v/>
      </c>
      <c r="E826" s="267">
        <f>IFERROR(__xludf.DUMMYFUNCTION("""COMPUTED_VALUE"""),44298.6666666666)</f>
        <v/>
      </c>
      <c r="F826" s="6">
        <f>IFERROR(__xludf.DUMMYFUNCTION("""COMPUTED_VALUE"""),4127.99)</f>
        <v/>
      </c>
      <c r="J826" s="6">
        <f>K826&amp;L826</f>
        <v/>
      </c>
      <c r="K826" s="6">
        <f>YEAR(M826)</f>
        <v/>
      </c>
      <c r="L826" s="6">
        <f>MONTH(M826)</f>
        <v/>
      </c>
      <c r="M826" s="267">
        <f>IFERROR(__xludf.DUMMYFUNCTION("""COMPUTED_VALUE"""),44291.6666666666)</f>
        <v/>
      </c>
      <c r="N826" s="6">
        <f>IFERROR(__xludf.DUMMYFUNCTION("""COMPUTED_VALUE"""),13705.59)</f>
        <v/>
      </c>
      <c r="R826" s="6">
        <f>S826&amp;T826</f>
        <v/>
      </c>
      <c r="S826" s="6">
        <f>YEAR(U826)</f>
        <v/>
      </c>
      <c r="T826" s="6">
        <f>MONTH(U826)</f>
        <v/>
      </c>
      <c r="U826" s="267">
        <f>IFERROR(__xludf.DUMMYFUNCTION("""COMPUTED_VALUE"""),44329.6458333333)</f>
        <v/>
      </c>
      <c r="V826" s="6">
        <f>IFERROR(__xludf.DUMMYFUNCTION("""COMPUTED_VALUE"""),3122.11)</f>
        <v/>
      </c>
      <c r="Z826" s="6">
        <f>AA826&amp;AB826</f>
        <v/>
      </c>
      <c r="AA826" s="6">
        <f>YEAR(AC826)</f>
        <v/>
      </c>
      <c r="AB826" s="6">
        <f>MONTH(AC826)</f>
        <v/>
      </c>
      <c r="AC826" s="267">
        <f>IFERROR(__xludf.DUMMYFUNCTION("""COMPUTED_VALUE"""),43965.9986111111)</f>
        <v/>
      </c>
      <c r="AD826" s="6">
        <f>IFERROR(__xludf.DUMMYFUNCTION("""COMPUTED_VALUE"""),1225.46)</f>
        <v/>
      </c>
      <c r="AH826" s="6">
        <f>AI826&amp;AJ826</f>
        <v/>
      </c>
      <c r="AI826" s="6">
        <f>YEAR(AK826)</f>
        <v/>
      </c>
      <c r="AJ826" s="6">
        <f>MONTH(AK826)</f>
        <v/>
      </c>
      <c r="AK826" s="267">
        <f>IFERROR(__xludf.DUMMYFUNCTION("""COMPUTED_VALUE"""),43918.9986111111)</f>
        <v/>
      </c>
      <c r="AL826" s="6">
        <f>IFERROR(__xludf.DUMMYFUNCTION("""COMPUTED_VALUE"""),6252.42)</f>
        <v/>
      </c>
      <c r="AP826" s="6">
        <f>AQ826&amp;AR826</f>
        <v/>
      </c>
      <c r="AQ826" s="6">
        <f>YEAR(AS826)</f>
        <v/>
      </c>
      <c r="AR826" s="6">
        <f>MONTH(AS826)</f>
        <v/>
      </c>
      <c r="AS826" s="267">
        <f>IFERROR(__xludf.DUMMYFUNCTION("""COMPUTED_VALUE"""),44306.9986111111)</f>
        <v/>
      </c>
      <c r="AT826" s="6">
        <f>IFERROR(__xludf.DUMMYFUNCTION("""COMPUTED_VALUE"""),1778.4)</f>
        <v/>
      </c>
    </row>
    <row r="827">
      <c r="B827" s="6">
        <f>C827&amp;D827</f>
        <v/>
      </c>
      <c r="C827" s="6">
        <f>YEAR(E827)</f>
        <v/>
      </c>
      <c r="D827" s="6">
        <f>MONTH(E827)</f>
        <v/>
      </c>
      <c r="E827" s="267">
        <f>IFERROR(__xludf.DUMMYFUNCTION("""COMPUTED_VALUE"""),44299.6666666666)</f>
        <v/>
      </c>
      <c r="F827" s="6">
        <f>IFERROR(__xludf.DUMMYFUNCTION("""COMPUTED_VALUE"""),4141.59)</f>
        <v/>
      </c>
      <c r="J827" s="6">
        <f>K827&amp;L827</f>
        <v/>
      </c>
      <c r="K827" s="6">
        <f>YEAR(M827)</f>
        <v/>
      </c>
      <c r="L827" s="6">
        <f>MONTH(M827)</f>
        <v/>
      </c>
      <c r="M827" s="267">
        <f>IFERROR(__xludf.DUMMYFUNCTION("""COMPUTED_VALUE"""),44292.6666666666)</f>
        <v/>
      </c>
      <c r="N827" s="6">
        <f>IFERROR(__xludf.DUMMYFUNCTION("""COMPUTED_VALUE"""),13698.38)</f>
        <v/>
      </c>
      <c r="R827" s="6">
        <f>S827&amp;T827</f>
        <v/>
      </c>
      <c r="S827" s="6">
        <f>YEAR(U827)</f>
        <v/>
      </c>
      <c r="T827" s="6">
        <f>MONTH(U827)</f>
        <v/>
      </c>
      <c r="U827" s="267">
        <f>IFERROR(__xludf.DUMMYFUNCTION("""COMPUTED_VALUE"""),44330.6458333333)</f>
        <v/>
      </c>
      <c r="V827" s="6">
        <f>IFERROR(__xludf.DUMMYFUNCTION("""COMPUTED_VALUE"""),3153.32)</f>
        <v/>
      </c>
      <c r="Z827" s="6">
        <f>AA827&amp;AB827</f>
        <v/>
      </c>
      <c r="AA827" s="6">
        <f>YEAR(AC827)</f>
        <v/>
      </c>
      <c r="AB827" s="6">
        <f>MONTH(AC827)</f>
        <v/>
      </c>
      <c r="AC827" s="267">
        <f>IFERROR(__xludf.DUMMYFUNCTION("""COMPUTED_VALUE"""),43966.9986111111)</f>
        <v/>
      </c>
      <c r="AD827" s="6">
        <f>IFERROR(__xludf.DUMMYFUNCTION("""COMPUTED_VALUE"""),1232.19)</f>
        <v/>
      </c>
      <c r="AH827" s="6">
        <f>AI827&amp;AJ827</f>
        <v/>
      </c>
      <c r="AI827" s="6">
        <f>YEAR(AK827)</f>
        <v/>
      </c>
      <c r="AJ827" s="6">
        <f>MONTH(AK827)</f>
        <v/>
      </c>
      <c r="AK827" s="267">
        <f>IFERROR(__xludf.DUMMYFUNCTION("""COMPUTED_VALUE"""),43919.9986111111)</f>
        <v/>
      </c>
      <c r="AL827" s="6">
        <f>IFERROR(__xludf.DUMMYFUNCTION("""COMPUTED_VALUE"""),5884.482)</f>
        <v/>
      </c>
      <c r="AP827" s="6">
        <f>AQ827&amp;AR827</f>
        <v/>
      </c>
      <c r="AQ827" s="6">
        <f>YEAR(AS827)</f>
        <v/>
      </c>
      <c r="AR827" s="6">
        <f>MONTH(AS827)</f>
        <v/>
      </c>
      <c r="AS827" s="267">
        <f>IFERROR(__xludf.DUMMYFUNCTION("""COMPUTED_VALUE"""),44307.9986111111)</f>
        <v/>
      </c>
      <c r="AT827" s="6">
        <f>IFERROR(__xludf.DUMMYFUNCTION("""COMPUTED_VALUE"""),1793.1)</f>
        <v/>
      </c>
    </row>
    <row r="828">
      <c r="B828" s="6">
        <f>C828&amp;D828</f>
        <v/>
      </c>
      <c r="C828" s="6">
        <f>YEAR(E828)</f>
        <v/>
      </c>
      <c r="D828" s="6">
        <f>MONTH(E828)</f>
        <v/>
      </c>
      <c r="E828" s="267">
        <f>IFERROR(__xludf.DUMMYFUNCTION("""COMPUTED_VALUE"""),44300.6666666666)</f>
        <v/>
      </c>
      <c r="F828" s="6">
        <f>IFERROR(__xludf.DUMMYFUNCTION("""COMPUTED_VALUE"""),4124.66)</f>
        <v/>
      </c>
      <c r="J828" s="6">
        <f>K828&amp;L828</f>
        <v/>
      </c>
      <c r="K828" s="6">
        <f>YEAR(M828)</f>
        <v/>
      </c>
      <c r="L828" s="6">
        <f>MONTH(M828)</f>
        <v/>
      </c>
      <c r="M828" s="267">
        <f>IFERROR(__xludf.DUMMYFUNCTION("""COMPUTED_VALUE"""),44293.6666666666)</f>
        <v/>
      </c>
      <c r="N828" s="6">
        <f>IFERROR(__xludf.DUMMYFUNCTION("""COMPUTED_VALUE"""),13688.84)</f>
        <v/>
      </c>
      <c r="R828" s="6">
        <f>S828&amp;T828</f>
        <v/>
      </c>
      <c r="S828" s="6">
        <f>YEAR(U828)</f>
        <v/>
      </c>
      <c r="T828" s="6">
        <f>MONTH(U828)</f>
        <v/>
      </c>
      <c r="U828" s="267">
        <f>IFERROR(__xludf.DUMMYFUNCTION("""COMPUTED_VALUE"""),44333.6458333333)</f>
        <v/>
      </c>
      <c r="V828" s="6">
        <f>IFERROR(__xludf.DUMMYFUNCTION("""COMPUTED_VALUE"""),3134.52)</f>
        <v/>
      </c>
      <c r="Z828" s="6">
        <f>AA828&amp;AB828</f>
        <v/>
      </c>
      <c r="AA828" s="6">
        <f>YEAR(AC828)</f>
        <v/>
      </c>
      <c r="AB828" s="6">
        <f>MONTH(AC828)</f>
        <v/>
      </c>
      <c r="AC828" s="267">
        <f>IFERROR(__xludf.DUMMYFUNCTION("""COMPUTED_VALUE"""),43967.9986111111)</f>
        <v/>
      </c>
      <c r="AD828" s="6">
        <f>IFERROR(__xludf.DUMMYFUNCTION("""COMPUTED_VALUE"""),1232.19)</f>
        <v/>
      </c>
      <c r="AH828" s="6">
        <f>AI828&amp;AJ828</f>
        <v/>
      </c>
      <c r="AI828" s="6">
        <f>YEAR(AK828)</f>
        <v/>
      </c>
      <c r="AJ828" s="6">
        <f>MONTH(AK828)</f>
        <v/>
      </c>
      <c r="AK828" s="267">
        <f>IFERROR(__xludf.DUMMYFUNCTION("""COMPUTED_VALUE"""),43920.9986111111)</f>
        <v/>
      </c>
      <c r="AL828" s="6">
        <f>IFERROR(__xludf.DUMMYFUNCTION("""COMPUTED_VALUE"""),6404.268)</f>
        <v/>
      </c>
      <c r="AP828" s="6">
        <f>AQ828&amp;AR828</f>
        <v/>
      </c>
      <c r="AQ828" s="6">
        <f>YEAR(AS828)</f>
        <v/>
      </c>
      <c r="AR828" s="6">
        <f>MONTH(AS828)</f>
        <v/>
      </c>
      <c r="AS828" s="267">
        <f>IFERROR(__xludf.DUMMYFUNCTION("""COMPUTED_VALUE"""),44308.9986111111)</f>
        <v/>
      </c>
      <c r="AT828" s="6">
        <f>IFERROR(__xludf.DUMMYFUNCTION("""COMPUTED_VALUE"""),1782)</f>
        <v/>
      </c>
    </row>
    <row r="829">
      <c r="B829" s="6">
        <f>C829&amp;D829</f>
        <v/>
      </c>
      <c r="C829" s="6">
        <f>YEAR(E829)</f>
        <v/>
      </c>
      <c r="D829" s="6">
        <f>MONTH(E829)</f>
        <v/>
      </c>
      <c r="E829" s="267">
        <f>IFERROR(__xludf.DUMMYFUNCTION("""COMPUTED_VALUE"""),44301.6666666666)</f>
        <v/>
      </c>
      <c r="F829" s="6">
        <f>IFERROR(__xludf.DUMMYFUNCTION("""COMPUTED_VALUE"""),4170.42)</f>
        <v/>
      </c>
      <c r="J829" s="6">
        <f>K829&amp;L829</f>
        <v/>
      </c>
      <c r="K829" s="6">
        <f>YEAR(M829)</f>
        <v/>
      </c>
      <c r="L829" s="6">
        <f>MONTH(M829)</f>
        <v/>
      </c>
      <c r="M829" s="267">
        <f>IFERROR(__xludf.DUMMYFUNCTION("""COMPUTED_VALUE"""),44294.6666666666)</f>
        <v/>
      </c>
      <c r="N829" s="6">
        <f>IFERROR(__xludf.DUMMYFUNCTION("""COMPUTED_VALUE"""),13829.31)</f>
        <v/>
      </c>
      <c r="R829" s="6">
        <f>S829&amp;T829</f>
        <v/>
      </c>
      <c r="S829" s="6">
        <f>YEAR(U829)</f>
        <v/>
      </c>
      <c r="T829" s="6">
        <f>MONTH(U829)</f>
        <v/>
      </c>
      <c r="U829" s="267">
        <f>IFERROR(__xludf.DUMMYFUNCTION("""COMPUTED_VALUE"""),44334.6458333333)</f>
        <v/>
      </c>
      <c r="V829" s="6">
        <f>IFERROR(__xludf.DUMMYFUNCTION("""COMPUTED_VALUE"""),3173.05)</f>
        <v/>
      </c>
      <c r="Z829" s="6">
        <f>AA829&amp;AB829</f>
        <v/>
      </c>
      <c r="AA829" s="6">
        <f>YEAR(AC829)</f>
        <v/>
      </c>
      <c r="AB829" s="6">
        <f>MONTH(AC829)</f>
        <v/>
      </c>
      <c r="AC829" s="267">
        <f>IFERROR(__xludf.DUMMYFUNCTION("""COMPUTED_VALUE"""),43968.9986111111)</f>
        <v/>
      </c>
      <c r="AD829" s="6">
        <f>IFERROR(__xludf.DUMMYFUNCTION("""COMPUTED_VALUE"""),1232.09)</f>
        <v/>
      </c>
      <c r="AH829" s="6">
        <f>AI829&amp;AJ829</f>
        <v/>
      </c>
      <c r="AI829" s="6">
        <f>YEAR(AK829)</f>
        <v/>
      </c>
      <c r="AJ829" s="6">
        <f>MONTH(AK829)</f>
        <v/>
      </c>
      <c r="AK829" s="267">
        <f>IFERROR(__xludf.DUMMYFUNCTION("""COMPUTED_VALUE"""),43921.9986111111)</f>
        <v/>
      </c>
      <c r="AL829" s="6">
        <f>IFERROR(__xludf.DUMMYFUNCTION("""COMPUTED_VALUE"""),6422.229)</f>
        <v/>
      </c>
      <c r="AP829" s="6">
        <f>AQ829&amp;AR829</f>
        <v/>
      </c>
      <c r="AQ829" s="6">
        <f>YEAR(AS829)</f>
        <v/>
      </c>
      <c r="AR829" s="6">
        <f>MONTH(AS829)</f>
        <v/>
      </c>
      <c r="AS829" s="267">
        <f>IFERROR(__xludf.DUMMYFUNCTION("""COMPUTED_VALUE"""),44309.9986111111)</f>
        <v/>
      </c>
      <c r="AT829" s="6">
        <f>IFERROR(__xludf.DUMMYFUNCTION("""COMPUTED_VALUE"""),1777.8)</f>
        <v/>
      </c>
    </row>
    <row r="830">
      <c r="B830" s="6">
        <f>C830&amp;D830</f>
        <v/>
      </c>
      <c r="C830" s="6">
        <f>YEAR(E830)</f>
        <v/>
      </c>
      <c r="D830" s="6">
        <f>MONTH(E830)</f>
        <v/>
      </c>
      <c r="E830" s="267">
        <f>IFERROR(__xludf.DUMMYFUNCTION("""COMPUTED_VALUE"""),44302.6666666666)</f>
        <v/>
      </c>
      <c r="F830" s="6">
        <f>IFERROR(__xludf.DUMMYFUNCTION("""COMPUTED_VALUE"""),4185.47)</f>
        <v/>
      </c>
      <c r="J830" s="6">
        <f>K830&amp;L830</f>
        <v/>
      </c>
      <c r="K830" s="6">
        <f>YEAR(M830)</f>
        <v/>
      </c>
      <c r="L830" s="6">
        <f>MONTH(M830)</f>
        <v/>
      </c>
      <c r="M830" s="267">
        <f>IFERROR(__xludf.DUMMYFUNCTION("""COMPUTED_VALUE"""),44295.6666666666)</f>
        <v/>
      </c>
      <c r="N830" s="6">
        <f>IFERROR(__xludf.DUMMYFUNCTION("""COMPUTED_VALUE"""),13900.19)</f>
        <v/>
      </c>
      <c r="R830" s="6">
        <f>S830&amp;T830</f>
        <v/>
      </c>
      <c r="S830" s="6">
        <f>YEAR(U830)</f>
        <v/>
      </c>
      <c r="T830" s="6">
        <f>MONTH(U830)</f>
        <v/>
      </c>
      <c r="U830" s="267">
        <f>IFERROR(__xludf.DUMMYFUNCTION("""COMPUTED_VALUE"""),44336.6458333333)</f>
        <v/>
      </c>
      <c r="V830" s="6">
        <f>IFERROR(__xludf.DUMMYFUNCTION("""COMPUTED_VALUE"""),3162.28)</f>
        <v/>
      </c>
      <c r="Z830" s="6">
        <f>AA830&amp;AB830</f>
        <v/>
      </c>
      <c r="AA830" s="6">
        <f>YEAR(AC830)</f>
        <v/>
      </c>
      <c r="AB830" s="6">
        <f>MONTH(AC830)</f>
        <v/>
      </c>
      <c r="AC830" s="267">
        <f>IFERROR(__xludf.DUMMYFUNCTION("""COMPUTED_VALUE"""),43969.9986111111)</f>
        <v/>
      </c>
      <c r="AD830" s="6">
        <f>IFERROR(__xludf.DUMMYFUNCTION("""COMPUTED_VALUE"""),1224.2)</f>
        <v/>
      </c>
      <c r="AH830" s="6">
        <f>AI830&amp;AJ830</f>
        <v/>
      </c>
      <c r="AI830" s="6">
        <f>YEAR(AK830)</f>
        <v/>
      </c>
      <c r="AJ830" s="6">
        <f>MONTH(AK830)</f>
        <v/>
      </c>
      <c r="AK830" s="267">
        <f>IFERROR(__xludf.DUMMYFUNCTION("""COMPUTED_VALUE"""),43922.9986111111)</f>
        <v/>
      </c>
      <c r="AL830" s="6">
        <f>IFERROR(__xludf.DUMMYFUNCTION("""COMPUTED_VALUE"""),6662.319)</f>
        <v/>
      </c>
      <c r="AP830" s="6">
        <f>AQ830&amp;AR830</f>
        <v/>
      </c>
      <c r="AQ830" s="6">
        <f>YEAR(AS830)</f>
        <v/>
      </c>
      <c r="AR830" s="6">
        <f>MONTH(AS830)</f>
        <v/>
      </c>
      <c r="AS830" s="267">
        <f>IFERROR(__xludf.DUMMYFUNCTION("""COMPUTED_VALUE"""),44312.9986111111)</f>
        <v/>
      </c>
      <c r="AT830" s="6">
        <f>IFERROR(__xludf.DUMMYFUNCTION("""COMPUTED_VALUE"""),1780.1)</f>
        <v/>
      </c>
    </row>
    <row r="831">
      <c r="B831" s="6">
        <f>C831&amp;D831</f>
        <v/>
      </c>
      <c r="C831" s="6">
        <f>YEAR(E831)</f>
        <v/>
      </c>
      <c r="D831" s="6">
        <f>MONTH(E831)</f>
        <v/>
      </c>
      <c r="E831" s="267">
        <f>IFERROR(__xludf.DUMMYFUNCTION("""COMPUTED_VALUE"""),44305.6666666666)</f>
        <v/>
      </c>
      <c r="F831" s="6">
        <f>IFERROR(__xludf.DUMMYFUNCTION("""COMPUTED_VALUE"""),4163.26)</f>
        <v/>
      </c>
      <c r="J831" s="6">
        <f>K831&amp;L831</f>
        <v/>
      </c>
      <c r="K831" s="6">
        <f>YEAR(M831)</f>
        <v/>
      </c>
      <c r="L831" s="6">
        <f>MONTH(M831)</f>
        <v/>
      </c>
      <c r="M831" s="267">
        <f>IFERROR(__xludf.DUMMYFUNCTION("""COMPUTED_VALUE"""),44298.6666666666)</f>
        <v/>
      </c>
      <c r="N831" s="6">
        <f>IFERROR(__xludf.DUMMYFUNCTION("""COMPUTED_VALUE"""),13850)</f>
        <v/>
      </c>
      <c r="R831" s="6">
        <f>S831&amp;T831</f>
        <v/>
      </c>
      <c r="S831" s="6">
        <f>YEAR(U831)</f>
        <v/>
      </c>
      <c r="T831" s="6">
        <f>MONTH(U831)</f>
        <v/>
      </c>
      <c r="U831" s="267">
        <f>IFERROR(__xludf.DUMMYFUNCTION("""COMPUTED_VALUE"""),44337.6458333333)</f>
        <v/>
      </c>
      <c r="V831" s="6">
        <f>IFERROR(__xludf.DUMMYFUNCTION("""COMPUTED_VALUE"""),3156.42)</f>
        <v/>
      </c>
      <c r="Z831" s="6">
        <f>AA831&amp;AB831</f>
        <v/>
      </c>
      <c r="AA831" s="6">
        <f>YEAR(AC831)</f>
        <v/>
      </c>
      <c r="AB831" s="6">
        <f>MONTH(AC831)</f>
        <v/>
      </c>
      <c r="AC831" s="267">
        <f>IFERROR(__xludf.DUMMYFUNCTION("""COMPUTED_VALUE"""),43970.9986111111)</f>
        <v/>
      </c>
      <c r="AD831" s="6">
        <f>IFERROR(__xludf.DUMMYFUNCTION("""COMPUTED_VALUE"""),1224.32)</f>
        <v/>
      </c>
      <c r="AH831" s="6">
        <f>AI831&amp;AJ831</f>
        <v/>
      </c>
      <c r="AI831" s="6">
        <f>YEAR(AK831)</f>
        <v/>
      </c>
      <c r="AJ831" s="6">
        <f>MONTH(AK831)</f>
        <v/>
      </c>
      <c r="AK831" s="267">
        <f>IFERROR(__xludf.DUMMYFUNCTION("""COMPUTED_VALUE"""),43923.9986111111)</f>
        <v/>
      </c>
      <c r="AL831" s="6">
        <f>IFERROR(__xludf.DUMMYFUNCTION("""COMPUTED_VALUE"""),6806.137)</f>
        <v/>
      </c>
      <c r="AP831" s="6">
        <f>AQ831&amp;AR831</f>
        <v/>
      </c>
      <c r="AQ831" s="6">
        <f>YEAR(AS831)</f>
        <v/>
      </c>
      <c r="AR831" s="6">
        <f>MONTH(AS831)</f>
        <v/>
      </c>
      <c r="AS831" s="267">
        <f>IFERROR(__xludf.DUMMYFUNCTION("""COMPUTED_VALUE"""),44313.9986111111)</f>
        <v/>
      </c>
      <c r="AT831" s="6">
        <f>IFERROR(__xludf.DUMMYFUNCTION("""COMPUTED_VALUE"""),1778.8)</f>
        <v/>
      </c>
    </row>
    <row r="832">
      <c r="B832" s="6">
        <f>C832&amp;D832</f>
        <v/>
      </c>
      <c r="C832" s="6">
        <f>YEAR(E832)</f>
        <v/>
      </c>
      <c r="D832" s="6">
        <f>MONTH(E832)</f>
        <v/>
      </c>
      <c r="E832" s="267">
        <f>IFERROR(__xludf.DUMMYFUNCTION("""COMPUTED_VALUE"""),44306.6666666666)</f>
        <v/>
      </c>
      <c r="F832" s="6">
        <f>IFERROR(__xludf.DUMMYFUNCTION("""COMPUTED_VALUE"""),4134.94)</f>
        <v/>
      </c>
      <c r="J832" s="6">
        <f>K832&amp;L832</f>
        <v/>
      </c>
      <c r="K832" s="6">
        <f>YEAR(M832)</f>
        <v/>
      </c>
      <c r="L832" s="6">
        <f>MONTH(M832)</f>
        <v/>
      </c>
      <c r="M832" s="267">
        <f>IFERROR(__xludf.DUMMYFUNCTION("""COMPUTED_VALUE"""),44299.6666666666)</f>
        <v/>
      </c>
      <c r="N832" s="6">
        <f>IFERROR(__xludf.DUMMYFUNCTION("""COMPUTED_VALUE"""),13996.1)</f>
        <v/>
      </c>
      <c r="R832" s="6">
        <f>S832&amp;T832</f>
        <v/>
      </c>
      <c r="S832" s="6">
        <f>YEAR(U832)</f>
        <v/>
      </c>
      <c r="T832" s="6">
        <f>MONTH(U832)</f>
        <v/>
      </c>
      <c r="U832" s="267">
        <f>IFERROR(__xludf.DUMMYFUNCTION("""COMPUTED_VALUE"""),44340.6458333333)</f>
        <v/>
      </c>
      <c r="V832" s="6">
        <f>IFERROR(__xludf.DUMMYFUNCTION("""COMPUTED_VALUE"""),3144.3)</f>
        <v/>
      </c>
      <c r="Z832" s="6">
        <f>AA832&amp;AB832</f>
        <v/>
      </c>
      <c r="AA832" s="6">
        <f>YEAR(AC832)</f>
        <v/>
      </c>
      <c r="AB832" s="6">
        <f>MONTH(AC832)</f>
        <v/>
      </c>
      <c r="AC832" s="267">
        <f>IFERROR(__xludf.DUMMYFUNCTION("""COMPUTED_VALUE"""),43971.9986111111)</f>
        <v/>
      </c>
      <c r="AD832" s="6">
        <f>IFERROR(__xludf.DUMMYFUNCTION("""COMPUTED_VALUE"""),1226.55)</f>
        <v/>
      </c>
      <c r="AH832" s="6">
        <f>AI832&amp;AJ832</f>
        <v/>
      </c>
      <c r="AI832" s="6">
        <f>YEAR(AK832)</f>
        <v/>
      </c>
      <c r="AJ832" s="6">
        <f>MONTH(AK832)</f>
        <v/>
      </c>
      <c r="AK832" s="267">
        <f>IFERROR(__xludf.DUMMYFUNCTION("""COMPUTED_VALUE"""),43924.9986111111)</f>
        <v/>
      </c>
      <c r="AL832" s="6">
        <f>IFERROR(__xludf.DUMMYFUNCTION("""COMPUTED_VALUE"""),6739.432)</f>
        <v/>
      </c>
      <c r="AP832" s="6">
        <f>AQ832&amp;AR832</f>
        <v/>
      </c>
      <c r="AQ832" s="6">
        <f>YEAR(AS832)</f>
        <v/>
      </c>
      <c r="AR832" s="6">
        <f>MONTH(AS832)</f>
        <v/>
      </c>
      <c r="AS832" s="267">
        <f>IFERROR(__xludf.DUMMYFUNCTION("""COMPUTED_VALUE"""),44314.9986111111)</f>
        <v/>
      </c>
      <c r="AT832" s="6">
        <f>IFERROR(__xludf.DUMMYFUNCTION("""COMPUTED_VALUE"""),1773.9)</f>
        <v/>
      </c>
    </row>
    <row r="833">
      <c r="B833" s="6">
        <f>C833&amp;D833</f>
        <v/>
      </c>
      <c r="C833" s="6">
        <f>YEAR(E833)</f>
        <v/>
      </c>
      <c r="D833" s="6">
        <f>MONTH(E833)</f>
        <v/>
      </c>
      <c r="E833" s="267">
        <f>IFERROR(__xludf.DUMMYFUNCTION("""COMPUTED_VALUE"""),44307.6666666666)</f>
        <v/>
      </c>
      <c r="F833" s="6">
        <f>IFERROR(__xludf.DUMMYFUNCTION("""COMPUTED_VALUE"""),4173.42)</f>
        <v/>
      </c>
      <c r="J833" s="6">
        <f>K833&amp;L833</f>
        <v/>
      </c>
      <c r="K833" s="6">
        <f>YEAR(M833)</f>
        <v/>
      </c>
      <c r="L833" s="6">
        <f>MONTH(M833)</f>
        <v/>
      </c>
      <c r="M833" s="267">
        <f>IFERROR(__xludf.DUMMYFUNCTION("""COMPUTED_VALUE"""),44300.6666666666)</f>
        <v/>
      </c>
      <c r="N833" s="6">
        <f>IFERROR(__xludf.DUMMYFUNCTION("""COMPUTED_VALUE"""),13857.84)</f>
        <v/>
      </c>
      <c r="R833" s="6">
        <f>S833&amp;T833</f>
        <v/>
      </c>
      <c r="S833" s="6">
        <f>YEAR(U833)</f>
        <v/>
      </c>
      <c r="T833" s="6">
        <f>MONTH(U833)</f>
        <v/>
      </c>
      <c r="U833" s="267">
        <f>IFERROR(__xludf.DUMMYFUNCTION("""COMPUTED_VALUE"""),44341.6458333333)</f>
        <v/>
      </c>
      <c r="V833" s="6">
        <f>IFERROR(__xludf.DUMMYFUNCTION("""COMPUTED_VALUE"""),3171.32)</f>
        <v/>
      </c>
      <c r="Z833" s="6">
        <f>AA833&amp;AB833</f>
        <v/>
      </c>
      <c r="AA833" s="6">
        <f>YEAR(AC833)</f>
        <v/>
      </c>
      <c r="AB833" s="6">
        <f>MONTH(AC833)</f>
        <v/>
      </c>
      <c r="AC833" s="267">
        <f>IFERROR(__xludf.DUMMYFUNCTION("""COMPUTED_VALUE"""),43972.9986111111)</f>
        <v/>
      </c>
      <c r="AD833" s="6">
        <f>IFERROR(__xludf.DUMMYFUNCTION("""COMPUTED_VALUE"""),1233.39)</f>
        <v/>
      </c>
      <c r="AH833" s="6">
        <f>AI833&amp;AJ833</f>
        <v/>
      </c>
      <c r="AI833" s="6">
        <f>YEAR(AK833)</f>
        <v/>
      </c>
      <c r="AJ833" s="6">
        <f>MONTH(AK833)</f>
        <v/>
      </c>
      <c r="AK833" s="267">
        <f>IFERROR(__xludf.DUMMYFUNCTION("""COMPUTED_VALUE"""),43925.9986111111)</f>
        <v/>
      </c>
      <c r="AL833" s="6">
        <f>IFERROR(__xludf.DUMMYFUNCTION("""COMPUTED_VALUE"""),6872.069)</f>
        <v/>
      </c>
      <c r="AP833" s="6">
        <f>AQ833&amp;AR833</f>
        <v/>
      </c>
      <c r="AQ833" s="6">
        <f>YEAR(AS833)</f>
        <v/>
      </c>
      <c r="AR833" s="6">
        <f>MONTH(AS833)</f>
        <v/>
      </c>
      <c r="AS833" s="267">
        <f>IFERROR(__xludf.DUMMYFUNCTION("""COMPUTED_VALUE"""),44315.9986111111)</f>
        <v/>
      </c>
      <c r="AT833" s="6">
        <f>IFERROR(__xludf.DUMMYFUNCTION("""COMPUTED_VALUE"""),1768.3)</f>
        <v/>
      </c>
    </row>
    <row r="834">
      <c r="B834" s="6">
        <f>C834&amp;D834</f>
        <v/>
      </c>
      <c r="C834" s="6">
        <f>YEAR(E834)</f>
        <v/>
      </c>
      <c r="D834" s="6">
        <f>MONTH(E834)</f>
        <v/>
      </c>
      <c r="E834" s="267">
        <f>IFERROR(__xludf.DUMMYFUNCTION("""COMPUTED_VALUE"""),44308.6666666666)</f>
        <v/>
      </c>
      <c r="F834" s="6">
        <f>IFERROR(__xludf.DUMMYFUNCTION("""COMPUTED_VALUE"""),4134.98)</f>
        <v/>
      </c>
      <c r="J834" s="6">
        <f>K834&amp;L834</f>
        <v/>
      </c>
      <c r="K834" s="6">
        <f>YEAR(M834)</f>
        <v/>
      </c>
      <c r="L834" s="6">
        <f>MONTH(M834)</f>
        <v/>
      </c>
      <c r="M834" s="267">
        <f>IFERROR(__xludf.DUMMYFUNCTION("""COMPUTED_VALUE"""),44301.6666666666)</f>
        <v/>
      </c>
      <c r="N834" s="6">
        <f>IFERROR(__xludf.DUMMYFUNCTION("""COMPUTED_VALUE"""),14038.76)</f>
        <v/>
      </c>
      <c r="R834" s="6">
        <f>S834&amp;T834</f>
        <v/>
      </c>
      <c r="S834" s="6">
        <f>YEAR(U834)</f>
        <v/>
      </c>
      <c r="T834" s="6">
        <f>MONTH(U834)</f>
        <v/>
      </c>
      <c r="U834" s="267">
        <f>IFERROR(__xludf.DUMMYFUNCTION("""COMPUTED_VALUE"""),44342.6458333333)</f>
        <v/>
      </c>
      <c r="V834" s="6">
        <f>IFERROR(__xludf.DUMMYFUNCTION("""COMPUTED_VALUE"""),3168.43)</f>
        <v/>
      </c>
      <c r="Z834" s="6">
        <f>AA834&amp;AB834</f>
        <v/>
      </c>
      <c r="AA834" s="6">
        <f>YEAR(AC834)</f>
        <v/>
      </c>
      <c r="AB834" s="6">
        <f>MONTH(AC834)</f>
        <v/>
      </c>
      <c r="AC834" s="267">
        <f>IFERROR(__xludf.DUMMYFUNCTION("""COMPUTED_VALUE"""),43973.9986111111)</f>
        <v/>
      </c>
      <c r="AD834" s="6">
        <f>IFERROR(__xludf.DUMMYFUNCTION("""COMPUTED_VALUE"""),1239.56)</f>
        <v/>
      </c>
      <c r="AH834" s="6">
        <f>AI834&amp;AJ834</f>
        <v/>
      </c>
      <c r="AI834" s="6">
        <f>YEAR(AK834)</f>
        <v/>
      </c>
      <c r="AJ834" s="6">
        <f>MONTH(AK834)</f>
        <v/>
      </c>
      <c r="AK834" s="267">
        <f>IFERROR(__xludf.DUMMYFUNCTION("""COMPUTED_VALUE"""),43926.9986111111)</f>
        <v/>
      </c>
      <c r="AL834" s="6">
        <f>IFERROR(__xludf.DUMMYFUNCTION("""COMPUTED_VALUE"""),6777.694)</f>
        <v/>
      </c>
      <c r="AP834" s="6">
        <f>AQ834&amp;AR834</f>
        <v/>
      </c>
      <c r="AQ834" s="6">
        <f>YEAR(AS834)</f>
        <v/>
      </c>
      <c r="AR834" s="6">
        <f>MONTH(AS834)</f>
        <v/>
      </c>
      <c r="AS834" s="267">
        <f>IFERROR(__xludf.DUMMYFUNCTION("""COMPUTED_VALUE"""),44316.9986111111)</f>
        <v/>
      </c>
      <c r="AT834" s="6">
        <f>IFERROR(__xludf.DUMMYFUNCTION("""COMPUTED_VALUE"""),1767.7)</f>
        <v/>
      </c>
    </row>
    <row r="835">
      <c r="B835" s="6">
        <f>C835&amp;D835</f>
        <v/>
      </c>
      <c r="C835" s="6">
        <f>YEAR(E835)</f>
        <v/>
      </c>
      <c r="D835" s="6">
        <f>MONTH(E835)</f>
        <v/>
      </c>
      <c r="E835" s="267">
        <f>IFERROR(__xludf.DUMMYFUNCTION("""COMPUTED_VALUE"""),44309.6666666666)</f>
        <v/>
      </c>
      <c r="F835" s="6">
        <f>IFERROR(__xludf.DUMMYFUNCTION("""COMPUTED_VALUE"""),4180.17)</f>
        <v/>
      </c>
      <c r="J835" s="6">
        <f>K835&amp;L835</f>
        <v/>
      </c>
      <c r="K835" s="6">
        <f>YEAR(M835)</f>
        <v/>
      </c>
      <c r="L835" s="6">
        <f>MONTH(M835)</f>
        <v/>
      </c>
      <c r="M835" s="267">
        <f>IFERROR(__xludf.DUMMYFUNCTION("""COMPUTED_VALUE"""),44302.6666666666)</f>
        <v/>
      </c>
      <c r="N835" s="6">
        <f>IFERROR(__xludf.DUMMYFUNCTION("""COMPUTED_VALUE"""),14052.34)</f>
        <v/>
      </c>
      <c r="R835" s="6">
        <f>S835&amp;T835</f>
        <v/>
      </c>
      <c r="S835" s="6">
        <f>YEAR(U835)</f>
        <v/>
      </c>
      <c r="T835" s="6">
        <f>MONTH(U835)</f>
        <v/>
      </c>
      <c r="U835" s="267">
        <f>IFERROR(__xludf.DUMMYFUNCTION("""COMPUTED_VALUE"""),44343.6458333333)</f>
        <v/>
      </c>
      <c r="V835" s="6">
        <f>IFERROR(__xludf.DUMMYFUNCTION("""COMPUTED_VALUE"""),3165.51)</f>
        <v/>
      </c>
      <c r="Z835" s="6">
        <f>AA835&amp;AB835</f>
        <v/>
      </c>
      <c r="AA835" s="6">
        <f>YEAR(AC835)</f>
        <v/>
      </c>
      <c r="AB835" s="6">
        <f>MONTH(AC835)</f>
        <v/>
      </c>
      <c r="AC835" s="267">
        <f>IFERROR(__xludf.DUMMYFUNCTION("""COMPUTED_VALUE"""),43974.9986111111)</f>
        <v/>
      </c>
      <c r="AD835" s="6">
        <f>IFERROR(__xludf.DUMMYFUNCTION("""COMPUTED_VALUE"""),1239.56)</f>
        <v/>
      </c>
      <c r="AH835" s="6">
        <f>AI835&amp;AJ835</f>
        <v/>
      </c>
      <c r="AI835" s="6">
        <f>YEAR(AK835)</f>
        <v/>
      </c>
      <c r="AJ835" s="6">
        <f>MONTH(AK835)</f>
        <v/>
      </c>
      <c r="AK835" s="267">
        <f>IFERROR(__xludf.DUMMYFUNCTION("""COMPUTED_VALUE"""),43927.9986111111)</f>
        <v/>
      </c>
      <c r="AL835" s="6">
        <f>IFERROR(__xludf.DUMMYFUNCTION("""COMPUTED_VALUE"""),7341.988)</f>
        <v/>
      </c>
      <c r="AP835" s="6">
        <f>AQ835&amp;AR835</f>
        <v/>
      </c>
      <c r="AQ835" s="6">
        <f>YEAR(AS835)</f>
        <v/>
      </c>
      <c r="AR835" s="6">
        <f>MONTH(AS835)</f>
        <v/>
      </c>
      <c r="AS835" s="267">
        <f>IFERROR(__xludf.DUMMYFUNCTION("""COMPUTED_VALUE"""),44319.9986111111)</f>
        <v/>
      </c>
      <c r="AT835" s="6">
        <f>IFERROR(__xludf.DUMMYFUNCTION("""COMPUTED_VALUE"""),1791.8)</f>
        <v/>
      </c>
    </row>
    <row r="836">
      <c r="B836" s="6">
        <f>C836&amp;D836</f>
        <v/>
      </c>
      <c r="C836" s="6">
        <f>YEAR(E836)</f>
        <v/>
      </c>
      <c r="D836" s="6">
        <f>MONTH(E836)</f>
        <v/>
      </c>
      <c r="E836" s="267">
        <f>IFERROR(__xludf.DUMMYFUNCTION("""COMPUTED_VALUE"""),44312.6666666666)</f>
        <v/>
      </c>
      <c r="F836" s="6">
        <f>IFERROR(__xludf.DUMMYFUNCTION("""COMPUTED_VALUE"""),4187.62)</f>
        <v/>
      </c>
      <c r="J836" s="6">
        <f>K836&amp;L836</f>
        <v/>
      </c>
      <c r="K836" s="6">
        <f>YEAR(M836)</f>
        <v/>
      </c>
      <c r="L836" s="6">
        <f>MONTH(M836)</f>
        <v/>
      </c>
      <c r="M836" s="267">
        <f>IFERROR(__xludf.DUMMYFUNCTION("""COMPUTED_VALUE"""),44305.6666666666)</f>
        <v/>
      </c>
      <c r="N836" s="6">
        <f>IFERROR(__xludf.DUMMYFUNCTION("""COMPUTED_VALUE"""),13914.77)</f>
        <v/>
      </c>
      <c r="R836" s="6">
        <f>S836&amp;T836</f>
        <v/>
      </c>
      <c r="S836" s="6">
        <f>YEAR(U836)</f>
        <v/>
      </c>
      <c r="T836" s="6">
        <f>MONTH(U836)</f>
        <v/>
      </c>
      <c r="U836" s="267">
        <f>IFERROR(__xludf.DUMMYFUNCTION("""COMPUTED_VALUE"""),44344.6458333333)</f>
        <v/>
      </c>
      <c r="V836" s="6">
        <f>IFERROR(__xludf.DUMMYFUNCTION("""COMPUTED_VALUE"""),3188.73)</f>
        <v/>
      </c>
      <c r="Z836" s="6">
        <f>AA836&amp;AB836</f>
        <v/>
      </c>
      <c r="AA836" s="6">
        <f>YEAR(AC836)</f>
        <v/>
      </c>
      <c r="AB836" s="6">
        <f>MONTH(AC836)</f>
        <v/>
      </c>
      <c r="AC836" s="267">
        <f>IFERROR(__xludf.DUMMYFUNCTION("""COMPUTED_VALUE"""),43975.9986111111)</f>
        <v/>
      </c>
      <c r="AD836" s="6">
        <f>IFERROR(__xludf.DUMMYFUNCTION("""COMPUTED_VALUE"""),1239.55)</f>
        <v/>
      </c>
      <c r="AH836" s="6">
        <f>AI836&amp;AJ836</f>
        <v/>
      </c>
      <c r="AI836" s="6">
        <f>YEAR(AK836)</f>
        <v/>
      </c>
      <c r="AJ836" s="6">
        <f>MONTH(AK836)</f>
        <v/>
      </c>
      <c r="AK836" s="267">
        <f>IFERROR(__xludf.DUMMYFUNCTION("""COMPUTED_VALUE"""),43928.9986111111)</f>
        <v/>
      </c>
      <c r="AL836" s="6">
        <f>IFERROR(__xludf.DUMMYFUNCTION("""COMPUTED_VALUE"""),7200.045)</f>
        <v/>
      </c>
      <c r="AP836" s="6">
        <f>AQ836&amp;AR836</f>
        <v/>
      </c>
      <c r="AQ836" s="6">
        <f>YEAR(AS836)</f>
        <v/>
      </c>
      <c r="AR836" s="6">
        <f>MONTH(AS836)</f>
        <v/>
      </c>
      <c r="AS836" s="267">
        <f>IFERROR(__xludf.DUMMYFUNCTION("""COMPUTED_VALUE"""),44320.9986111111)</f>
        <v/>
      </c>
      <c r="AT836" s="6">
        <f>IFERROR(__xludf.DUMMYFUNCTION("""COMPUTED_VALUE"""),1776)</f>
        <v/>
      </c>
    </row>
    <row r="837">
      <c r="B837" s="6">
        <f>C837&amp;D837</f>
        <v/>
      </c>
      <c r="C837" s="6">
        <f>YEAR(E837)</f>
        <v/>
      </c>
      <c r="D837" s="6">
        <f>MONTH(E837)</f>
        <v/>
      </c>
      <c r="E837" s="267">
        <f>IFERROR(__xludf.DUMMYFUNCTION("""COMPUTED_VALUE"""),44313.6666666666)</f>
        <v/>
      </c>
      <c r="F837" s="6">
        <f>IFERROR(__xludf.DUMMYFUNCTION("""COMPUTED_VALUE"""),4186.72)</f>
        <v/>
      </c>
      <c r="J837" s="6">
        <f>K837&amp;L837</f>
        <v/>
      </c>
      <c r="K837" s="6">
        <f>YEAR(M837)</f>
        <v/>
      </c>
      <c r="L837" s="6">
        <f>MONTH(M837)</f>
        <v/>
      </c>
      <c r="M837" s="267">
        <f>IFERROR(__xludf.DUMMYFUNCTION("""COMPUTED_VALUE"""),44306.6666666666)</f>
        <v/>
      </c>
      <c r="N837" s="6">
        <f>IFERROR(__xludf.DUMMYFUNCTION("""COMPUTED_VALUE"""),13786.27)</f>
        <v/>
      </c>
      <c r="R837" s="6">
        <f>S837&amp;T837</f>
        <v/>
      </c>
      <c r="S837" s="6">
        <f>YEAR(U837)</f>
        <v/>
      </c>
      <c r="T837" s="6">
        <f>MONTH(U837)</f>
        <v/>
      </c>
      <c r="U837" s="267">
        <f>IFERROR(__xludf.DUMMYFUNCTION("""COMPUTED_VALUE"""),44347.6458333333)</f>
        <v/>
      </c>
      <c r="V837" s="6">
        <f>IFERROR(__xludf.DUMMYFUNCTION("""COMPUTED_VALUE"""),3203.92)</f>
        <v/>
      </c>
      <c r="Z837" s="6">
        <f>AA837&amp;AB837</f>
        <v/>
      </c>
      <c r="AA837" s="6">
        <f>YEAR(AC837)</f>
        <v/>
      </c>
      <c r="AB837" s="6">
        <f>MONTH(AC837)</f>
        <v/>
      </c>
      <c r="AC837" s="267">
        <f>IFERROR(__xludf.DUMMYFUNCTION("""COMPUTED_VALUE"""),43976.9986111111)</f>
        <v/>
      </c>
      <c r="AD837" s="6">
        <f>IFERROR(__xludf.DUMMYFUNCTION("""COMPUTED_VALUE"""),1240.02)</f>
        <v/>
      </c>
      <c r="AH837" s="6">
        <f>AI837&amp;AJ837</f>
        <v/>
      </c>
      <c r="AI837" s="6">
        <f>YEAR(AK837)</f>
        <v/>
      </c>
      <c r="AJ837" s="6">
        <f>MONTH(AK837)</f>
        <v/>
      </c>
      <c r="AK837" s="267">
        <f>IFERROR(__xludf.DUMMYFUNCTION("""COMPUTED_VALUE"""),43929.9986111111)</f>
        <v/>
      </c>
      <c r="AL837" s="6">
        <f>IFERROR(__xludf.DUMMYFUNCTION("""COMPUTED_VALUE"""),7366.839)</f>
        <v/>
      </c>
      <c r="AP837" s="6">
        <f>AQ837&amp;AR837</f>
        <v/>
      </c>
      <c r="AQ837" s="6">
        <f>YEAR(AS837)</f>
        <v/>
      </c>
      <c r="AR837" s="6">
        <f>MONTH(AS837)</f>
        <v/>
      </c>
      <c r="AS837" s="267">
        <f>IFERROR(__xludf.DUMMYFUNCTION("""COMPUTED_VALUE"""),44321.9986111111)</f>
        <v/>
      </c>
      <c r="AT837" s="6">
        <f>IFERROR(__xludf.DUMMYFUNCTION("""COMPUTED_VALUE"""),1784.3)</f>
        <v/>
      </c>
    </row>
    <row r="838">
      <c r="B838" s="6">
        <f>C838&amp;D838</f>
        <v/>
      </c>
      <c r="C838" s="6">
        <f>YEAR(E838)</f>
        <v/>
      </c>
      <c r="D838" s="6">
        <f>MONTH(E838)</f>
        <v/>
      </c>
      <c r="E838" s="267">
        <f>IFERROR(__xludf.DUMMYFUNCTION("""COMPUTED_VALUE"""),44314.6666666666)</f>
        <v/>
      </c>
      <c r="F838" s="6">
        <f>IFERROR(__xludf.DUMMYFUNCTION("""COMPUTED_VALUE"""),4183.18)</f>
        <v/>
      </c>
      <c r="J838" s="6">
        <f>K838&amp;L838</f>
        <v/>
      </c>
      <c r="K838" s="6">
        <f>YEAR(M838)</f>
        <v/>
      </c>
      <c r="L838" s="6">
        <f>MONTH(M838)</f>
        <v/>
      </c>
      <c r="M838" s="267">
        <f>IFERROR(__xludf.DUMMYFUNCTION("""COMPUTED_VALUE"""),44307.6666666666)</f>
        <v/>
      </c>
      <c r="N838" s="6">
        <f>IFERROR(__xludf.DUMMYFUNCTION("""COMPUTED_VALUE"""),13950.22)</f>
        <v/>
      </c>
      <c r="R838" s="6">
        <f>S838&amp;T838</f>
        <v/>
      </c>
      <c r="S838" s="6">
        <f>YEAR(U838)</f>
        <v/>
      </c>
      <c r="T838" s="6">
        <f>MONTH(U838)</f>
        <v/>
      </c>
      <c r="U838" s="267">
        <f>IFERROR(__xludf.DUMMYFUNCTION("""COMPUTED_VALUE"""),44348.6458333333)</f>
        <v/>
      </c>
      <c r="V838" s="6">
        <f>IFERROR(__xludf.DUMMYFUNCTION("""COMPUTED_VALUE"""),3221.87)</f>
        <v/>
      </c>
      <c r="Z838" s="6">
        <f>AA838&amp;AB838</f>
        <v/>
      </c>
      <c r="AA838" s="6">
        <f>YEAR(AC838)</f>
        <v/>
      </c>
      <c r="AB838" s="6">
        <f>MONTH(AC838)</f>
        <v/>
      </c>
      <c r="AC838" s="267">
        <f>IFERROR(__xludf.DUMMYFUNCTION("""COMPUTED_VALUE"""),43977.9986111111)</f>
        <v/>
      </c>
      <c r="AD838" s="6">
        <f>IFERROR(__xludf.DUMMYFUNCTION("""COMPUTED_VALUE"""),1230.87)</f>
        <v/>
      </c>
      <c r="AH838" s="6">
        <f>AI838&amp;AJ838</f>
        <v/>
      </c>
      <c r="AI838" s="6">
        <f>YEAR(AK838)</f>
        <v/>
      </c>
      <c r="AJ838" s="6">
        <f>MONTH(AK838)</f>
        <v/>
      </c>
      <c r="AK838" s="267">
        <f>IFERROR(__xludf.DUMMYFUNCTION("""COMPUTED_VALUE"""),43930.9986111111)</f>
        <v/>
      </c>
      <c r="AL838" s="6">
        <f>IFERROR(__xludf.DUMMYFUNCTION("""COMPUTED_VALUE"""),7293.389)</f>
        <v/>
      </c>
      <c r="AP838" s="6">
        <f>AQ838&amp;AR838</f>
        <v/>
      </c>
      <c r="AQ838" s="6">
        <f>YEAR(AS838)</f>
        <v/>
      </c>
      <c r="AR838" s="6">
        <f>MONTH(AS838)</f>
        <v/>
      </c>
      <c r="AS838" s="267">
        <f>IFERROR(__xludf.DUMMYFUNCTION("""COMPUTED_VALUE"""),44322.9986111111)</f>
        <v/>
      </c>
      <c r="AT838" s="6">
        <f>IFERROR(__xludf.DUMMYFUNCTION("""COMPUTED_VALUE"""),1815.7)</f>
        <v/>
      </c>
    </row>
    <row r="839">
      <c r="B839" s="6">
        <f>C839&amp;D839</f>
        <v/>
      </c>
      <c r="C839" s="6">
        <f>YEAR(E839)</f>
        <v/>
      </c>
      <c r="D839" s="6">
        <f>MONTH(E839)</f>
        <v/>
      </c>
      <c r="E839" s="267">
        <f>IFERROR(__xludf.DUMMYFUNCTION("""COMPUTED_VALUE"""),44315.6666666666)</f>
        <v/>
      </c>
      <c r="F839" s="6">
        <f>IFERROR(__xludf.DUMMYFUNCTION("""COMPUTED_VALUE"""),4211.47)</f>
        <v/>
      </c>
      <c r="J839" s="6">
        <f>K839&amp;L839</f>
        <v/>
      </c>
      <c r="K839" s="6">
        <f>YEAR(M839)</f>
        <v/>
      </c>
      <c r="L839" s="6">
        <f>MONTH(M839)</f>
        <v/>
      </c>
      <c r="M839" s="267">
        <f>IFERROR(__xludf.DUMMYFUNCTION("""COMPUTED_VALUE"""),44308.6666666666)</f>
        <v/>
      </c>
      <c r="N839" s="6">
        <f>IFERROR(__xludf.DUMMYFUNCTION("""COMPUTED_VALUE"""),13818.41)</f>
        <v/>
      </c>
      <c r="R839" s="6">
        <f>S839&amp;T839</f>
        <v/>
      </c>
      <c r="S839" s="6">
        <f>YEAR(U839)</f>
        <v/>
      </c>
      <c r="T839" s="6">
        <f>MONTH(U839)</f>
        <v/>
      </c>
      <c r="U839" s="267">
        <f>IFERROR(__xludf.DUMMYFUNCTION("""COMPUTED_VALUE"""),44349.6458333333)</f>
        <v/>
      </c>
      <c r="V839" s="6">
        <f>IFERROR(__xludf.DUMMYFUNCTION("""COMPUTED_VALUE"""),3224.23)</f>
        <v/>
      </c>
      <c r="Z839" s="6">
        <f>AA839&amp;AB839</f>
        <v/>
      </c>
      <c r="AA839" s="6">
        <f>YEAR(AC839)</f>
        <v/>
      </c>
      <c r="AB839" s="6">
        <f>MONTH(AC839)</f>
        <v/>
      </c>
      <c r="AC839" s="267">
        <f>IFERROR(__xludf.DUMMYFUNCTION("""COMPUTED_VALUE"""),43978.9986111111)</f>
        <v/>
      </c>
      <c r="AD839" s="6">
        <f>IFERROR(__xludf.DUMMYFUNCTION("""COMPUTED_VALUE"""),1238.3)</f>
        <v/>
      </c>
      <c r="AH839" s="6">
        <f>AI839&amp;AJ839</f>
        <v/>
      </c>
      <c r="AI839" s="6">
        <f>YEAR(AK839)</f>
        <v/>
      </c>
      <c r="AJ839" s="6">
        <f>MONTH(AK839)</f>
        <v/>
      </c>
      <c r="AK839" s="267">
        <f>IFERROR(__xludf.DUMMYFUNCTION("""COMPUTED_VALUE"""),43931.9986111111)</f>
        <v/>
      </c>
      <c r="AL839" s="6">
        <f>IFERROR(__xludf.DUMMYFUNCTION("""COMPUTED_VALUE"""),6872.39)</f>
        <v/>
      </c>
      <c r="AP839" s="6">
        <f>AQ839&amp;AR839</f>
        <v/>
      </c>
      <c r="AQ839" s="6">
        <f>YEAR(AS839)</f>
        <v/>
      </c>
      <c r="AR839" s="6">
        <f>MONTH(AS839)</f>
        <v/>
      </c>
      <c r="AS839" s="267">
        <f>IFERROR(__xludf.DUMMYFUNCTION("""COMPUTED_VALUE"""),44323.9986111111)</f>
        <v/>
      </c>
      <c r="AT839" s="6">
        <f>IFERROR(__xludf.DUMMYFUNCTION("""COMPUTED_VALUE"""),1831.3)</f>
        <v/>
      </c>
    </row>
    <row r="840">
      <c r="B840" s="6">
        <f>C840&amp;D840</f>
        <v/>
      </c>
      <c r="C840" s="6">
        <f>YEAR(E840)</f>
        <v/>
      </c>
      <c r="D840" s="6">
        <f>MONTH(E840)</f>
        <v/>
      </c>
      <c r="E840" s="267">
        <f>IFERROR(__xludf.DUMMYFUNCTION("""COMPUTED_VALUE"""),44316.6666666666)</f>
        <v/>
      </c>
      <c r="F840" s="6">
        <f>IFERROR(__xludf.DUMMYFUNCTION("""COMPUTED_VALUE"""),4181.17)</f>
        <v/>
      </c>
      <c r="J840" s="6">
        <f>K840&amp;L840</f>
        <v/>
      </c>
      <c r="K840" s="6">
        <f>YEAR(M840)</f>
        <v/>
      </c>
      <c r="L840" s="6">
        <f>MONTH(M840)</f>
        <v/>
      </c>
      <c r="M840" s="267">
        <f>IFERROR(__xludf.DUMMYFUNCTION("""COMPUTED_VALUE"""),44309.6666666666)</f>
        <v/>
      </c>
      <c r="N840" s="6">
        <f>IFERROR(__xludf.DUMMYFUNCTION("""COMPUTED_VALUE"""),14016.81)</f>
        <v/>
      </c>
      <c r="R840" s="6">
        <f>S840&amp;T840</f>
        <v/>
      </c>
      <c r="S840" s="6">
        <f>YEAR(U840)</f>
        <v/>
      </c>
      <c r="T840" s="6">
        <f>MONTH(U840)</f>
        <v/>
      </c>
      <c r="U840" s="267">
        <f>IFERROR(__xludf.DUMMYFUNCTION("""COMPUTED_VALUE"""),44350.6458333333)</f>
        <v/>
      </c>
      <c r="V840" s="6">
        <f>IFERROR(__xludf.DUMMYFUNCTION("""COMPUTED_VALUE"""),3247.43)</f>
        <v/>
      </c>
      <c r="Z840" s="6">
        <f>AA840&amp;AB840</f>
        <v/>
      </c>
      <c r="AA840" s="6">
        <f>YEAR(AC840)</f>
        <v/>
      </c>
      <c r="AB840" s="6">
        <f>MONTH(AC840)</f>
        <v/>
      </c>
      <c r="AC840" s="267">
        <f>IFERROR(__xludf.DUMMYFUNCTION("""COMPUTED_VALUE"""),43979.9986111111)</f>
        <v/>
      </c>
      <c r="AD840" s="6">
        <f>IFERROR(__xludf.DUMMYFUNCTION("""COMPUTED_VALUE"""),1237.98)</f>
        <v/>
      </c>
      <c r="AH840" s="6">
        <f>AI840&amp;AJ840</f>
        <v/>
      </c>
      <c r="AI840" s="6">
        <f>YEAR(AK840)</f>
        <v/>
      </c>
      <c r="AJ840" s="6">
        <f>MONTH(AK840)</f>
        <v/>
      </c>
      <c r="AK840" s="267">
        <f>IFERROR(__xludf.DUMMYFUNCTION("""COMPUTED_VALUE"""),43932.9986111111)</f>
        <v/>
      </c>
      <c r="AL840" s="6">
        <f>IFERROR(__xludf.DUMMYFUNCTION("""COMPUTED_VALUE"""),6886.603)</f>
        <v/>
      </c>
      <c r="AP840" s="6">
        <f>AQ840&amp;AR840</f>
        <v/>
      </c>
      <c r="AQ840" s="6">
        <f>YEAR(AS840)</f>
        <v/>
      </c>
      <c r="AR840" s="6">
        <f>MONTH(AS840)</f>
        <v/>
      </c>
      <c r="AS840" s="267">
        <f>IFERROR(__xludf.DUMMYFUNCTION("""COMPUTED_VALUE"""),44326.9986111111)</f>
        <v/>
      </c>
      <c r="AT840" s="6">
        <f>IFERROR(__xludf.DUMMYFUNCTION("""COMPUTED_VALUE"""),1837.6)</f>
        <v/>
      </c>
    </row>
    <row r="841">
      <c r="B841" s="6">
        <f>C841&amp;D841</f>
        <v/>
      </c>
      <c r="C841" s="6">
        <f>YEAR(E841)</f>
        <v/>
      </c>
      <c r="D841" s="6">
        <f>MONTH(E841)</f>
        <v/>
      </c>
      <c r="E841" s="267">
        <f>IFERROR(__xludf.DUMMYFUNCTION("""COMPUTED_VALUE"""),44319.6666666666)</f>
        <v/>
      </c>
      <c r="F841" s="6">
        <f>IFERROR(__xludf.DUMMYFUNCTION("""COMPUTED_VALUE"""),4192.66)</f>
        <v/>
      </c>
      <c r="J841" s="6">
        <f>K841&amp;L841</f>
        <v/>
      </c>
      <c r="K841" s="6">
        <f>YEAR(M841)</f>
        <v/>
      </c>
      <c r="L841" s="6">
        <f>MONTH(M841)</f>
        <v/>
      </c>
      <c r="M841" s="267">
        <f>IFERROR(__xludf.DUMMYFUNCTION("""COMPUTED_VALUE"""),44312.6666666666)</f>
        <v/>
      </c>
      <c r="N841" s="6">
        <f>IFERROR(__xludf.DUMMYFUNCTION("""COMPUTED_VALUE"""),14138.78)</f>
        <v/>
      </c>
      <c r="R841" s="6">
        <f>S841&amp;T841</f>
        <v/>
      </c>
      <c r="S841" s="6">
        <f>YEAR(U841)</f>
        <v/>
      </c>
      <c r="T841" s="6">
        <f>MONTH(U841)</f>
        <v/>
      </c>
      <c r="U841" s="267">
        <f>IFERROR(__xludf.DUMMYFUNCTION("""COMPUTED_VALUE"""),44351.6458333333)</f>
        <v/>
      </c>
      <c r="V841" s="6">
        <f>IFERROR(__xludf.DUMMYFUNCTION("""COMPUTED_VALUE"""),3240.08)</f>
        <v/>
      </c>
      <c r="Z841" s="6">
        <f>AA841&amp;AB841</f>
        <v/>
      </c>
      <c r="AA841" s="6">
        <f>YEAR(AC841)</f>
        <v/>
      </c>
      <c r="AB841" s="6">
        <f>MONTH(AC841)</f>
        <v/>
      </c>
      <c r="AC841" s="267">
        <f>IFERROR(__xludf.DUMMYFUNCTION("""COMPUTED_VALUE"""),43980.9986111111)</f>
        <v/>
      </c>
      <c r="AD841" s="6">
        <f>IFERROR(__xludf.DUMMYFUNCTION("""COMPUTED_VALUE"""),1230.27)</f>
        <v/>
      </c>
      <c r="AH841" s="6">
        <f>AI841&amp;AJ841</f>
        <v/>
      </c>
      <c r="AI841" s="6">
        <f>YEAR(AK841)</f>
        <v/>
      </c>
      <c r="AJ841" s="6">
        <f>MONTH(AK841)</f>
        <v/>
      </c>
      <c r="AK841" s="267">
        <f>IFERROR(__xludf.DUMMYFUNCTION("""COMPUTED_VALUE"""),43933.9986111111)</f>
        <v/>
      </c>
      <c r="AL841" s="6">
        <f>IFERROR(__xludf.DUMMYFUNCTION("""COMPUTED_VALUE"""),6905.015)</f>
        <v/>
      </c>
      <c r="AP841" s="6">
        <f>AQ841&amp;AR841</f>
        <v/>
      </c>
      <c r="AQ841" s="6">
        <f>YEAR(AS841)</f>
        <v/>
      </c>
      <c r="AR841" s="6">
        <f>MONTH(AS841)</f>
        <v/>
      </c>
      <c r="AS841" s="267">
        <f>IFERROR(__xludf.DUMMYFUNCTION("""COMPUTED_VALUE"""),44327.9986111111)</f>
        <v/>
      </c>
      <c r="AT841" s="6">
        <f>IFERROR(__xludf.DUMMYFUNCTION("""COMPUTED_VALUE"""),1836.1)</f>
        <v/>
      </c>
    </row>
    <row r="842">
      <c r="B842" s="6">
        <f>C842&amp;D842</f>
        <v/>
      </c>
      <c r="C842" s="6">
        <f>YEAR(E842)</f>
        <v/>
      </c>
      <c r="D842" s="6">
        <f>MONTH(E842)</f>
        <v/>
      </c>
      <c r="E842" s="267">
        <f>IFERROR(__xludf.DUMMYFUNCTION("""COMPUTED_VALUE"""),44320.6666666666)</f>
        <v/>
      </c>
      <c r="F842" s="6">
        <f>IFERROR(__xludf.DUMMYFUNCTION("""COMPUTED_VALUE"""),4164.66)</f>
        <v/>
      </c>
      <c r="J842" s="6">
        <f>K842&amp;L842</f>
        <v/>
      </c>
      <c r="K842" s="6">
        <f>YEAR(M842)</f>
        <v/>
      </c>
      <c r="L842" s="6">
        <f>MONTH(M842)</f>
        <v/>
      </c>
      <c r="M842" s="267">
        <f>IFERROR(__xludf.DUMMYFUNCTION("""COMPUTED_VALUE"""),44313.6666666666)</f>
        <v/>
      </c>
      <c r="N842" s="6">
        <f>IFERROR(__xludf.DUMMYFUNCTION("""COMPUTED_VALUE"""),14090.22)</f>
        <v/>
      </c>
      <c r="R842" s="6">
        <f>S842&amp;T842</f>
        <v/>
      </c>
      <c r="S842" s="6">
        <f>YEAR(U842)</f>
        <v/>
      </c>
      <c r="T842" s="6">
        <f>MONTH(U842)</f>
        <v/>
      </c>
      <c r="U842" s="267">
        <f>IFERROR(__xludf.DUMMYFUNCTION("""COMPUTED_VALUE"""),44354.6458333333)</f>
        <v/>
      </c>
      <c r="V842" s="6">
        <f>IFERROR(__xludf.DUMMYFUNCTION("""COMPUTED_VALUE"""),3252.12)</f>
        <v/>
      </c>
      <c r="Z842" s="6">
        <f>AA842&amp;AB842</f>
        <v/>
      </c>
      <c r="AA842" s="6">
        <f>YEAR(AC842)</f>
        <v/>
      </c>
      <c r="AB842" s="6">
        <f>MONTH(AC842)</f>
        <v/>
      </c>
      <c r="AC842" s="267">
        <f>IFERROR(__xludf.DUMMYFUNCTION("""COMPUTED_VALUE"""),43981.9986111111)</f>
        <v/>
      </c>
      <c r="AD842" s="6">
        <f>IFERROR(__xludf.DUMMYFUNCTION("""COMPUTED_VALUE"""),1230.27)</f>
        <v/>
      </c>
      <c r="AH842" s="6">
        <f>AI842&amp;AJ842</f>
        <v/>
      </c>
      <c r="AI842" s="6">
        <f>YEAR(AK842)</f>
        <v/>
      </c>
      <c r="AJ842" s="6">
        <f>MONTH(AK842)</f>
        <v/>
      </c>
      <c r="AK842" s="267">
        <f>IFERROR(__xludf.DUMMYFUNCTION("""COMPUTED_VALUE"""),43934.9986111111)</f>
        <v/>
      </c>
      <c r="AL842" s="6">
        <f>IFERROR(__xludf.DUMMYFUNCTION("""COMPUTED_VALUE"""),6857.129)</f>
        <v/>
      </c>
      <c r="AP842" s="6">
        <f>AQ842&amp;AR842</f>
        <v/>
      </c>
      <c r="AQ842" s="6">
        <f>YEAR(AS842)</f>
        <v/>
      </c>
      <c r="AR842" s="6">
        <f>MONTH(AS842)</f>
        <v/>
      </c>
      <c r="AS842" s="267">
        <f>IFERROR(__xludf.DUMMYFUNCTION("""COMPUTED_VALUE"""),44328.9986111111)</f>
        <v/>
      </c>
      <c r="AT842" s="6">
        <f>IFERROR(__xludf.DUMMYFUNCTION("""COMPUTED_VALUE"""),1822.8)</f>
        <v/>
      </c>
    </row>
    <row r="843">
      <c r="B843" s="6">
        <f>C843&amp;D843</f>
        <v/>
      </c>
      <c r="C843" s="6">
        <f>YEAR(E843)</f>
        <v/>
      </c>
      <c r="D843" s="6">
        <f>MONTH(E843)</f>
        <v/>
      </c>
      <c r="E843" s="267">
        <f>IFERROR(__xludf.DUMMYFUNCTION("""COMPUTED_VALUE"""),44321.6666666666)</f>
        <v/>
      </c>
      <c r="F843" s="6">
        <f>IFERROR(__xludf.DUMMYFUNCTION("""COMPUTED_VALUE"""),4167.59)</f>
        <v/>
      </c>
      <c r="J843" s="6">
        <f>K843&amp;L843</f>
        <v/>
      </c>
      <c r="K843" s="6">
        <f>YEAR(M843)</f>
        <v/>
      </c>
      <c r="L843" s="6">
        <f>MONTH(M843)</f>
        <v/>
      </c>
      <c r="M843" s="267">
        <f>IFERROR(__xludf.DUMMYFUNCTION("""COMPUTED_VALUE"""),44314.6666666666)</f>
        <v/>
      </c>
      <c r="N843" s="6">
        <f>IFERROR(__xludf.DUMMYFUNCTION("""COMPUTED_VALUE"""),14051.03)</f>
        <v/>
      </c>
      <c r="R843" s="6">
        <f>S843&amp;T843</f>
        <v/>
      </c>
      <c r="S843" s="6">
        <f>YEAR(U843)</f>
        <v/>
      </c>
      <c r="T843" s="6">
        <f>MONTH(U843)</f>
        <v/>
      </c>
      <c r="U843" s="267">
        <f>IFERROR(__xludf.DUMMYFUNCTION("""COMPUTED_VALUE"""),44355.6458333333)</f>
        <v/>
      </c>
      <c r="V843" s="6">
        <f>IFERROR(__xludf.DUMMYFUNCTION("""COMPUTED_VALUE"""),3247.83)</f>
        <v/>
      </c>
      <c r="Z843" s="6">
        <f>AA843&amp;AB843</f>
        <v/>
      </c>
      <c r="AA843" s="6">
        <f>YEAR(AC843)</f>
        <v/>
      </c>
      <c r="AB843" s="6">
        <f>MONTH(AC843)</f>
        <v/>
      </c>
      <c r="AC843" s="267">
        <f>IFERROR(__xludf.DUMMYFUNCTION("""COMPUTED_VALUE"""),43982.9986111111)</f>
        <v/>
      </c>
      <c r="AD843" s="6">
        <f>IFERROR(__xludf.DUMMYFUNCTION("""COMPUTED_VALUE"""),1230.47)</f>
        <v/>
      </c>
      <c r="AH843" s="6">
        <f>AI843&amp;AJ843</f>
        <v/>
      </c>
      <c r="AI843" s="6">
        <f>YEAR(AK843)</f>
        <v/>
      </c>
      <c r="AJ843" s="6">
        <f>MONTH(AK843)</f>
        <v/>
      </c>
      <c r="AK843" s="267">
        <f>IFERROR(__xludf.DUMMYFUNCTION("""COMPUTED_VALUE"""),43935.9986111111)</f>
        <v/>
      </c>
      <c r="AL843" s="6">
        <f>IFERROR(__xludf.DUMMYFUNCTION("""COMPUTED_VALUE"""),6873.632)</f>
        <v/>
      </c>
      <c r="AP843" s="6">
        <f>AQ843&amp;AR843</f>
        <v/>
      </c>
      <c r="AQ843" s="6">
        <f>YEAR(AS843)</f>
        <v/>
      </c>
      <c r="AR843" s="6">
        <f>MONTH(AS843)</f>
        <v/>
      </c>
      <c r="AS843" s="267">
        <f>IFERROR(__xludf.DUMMYFUNCTION("""COMPUTED_VALUE"""),44329.9986111111)</f>
        <v/>
      </c>
      <c r="AT843" s="6">
        <f>IFERROR(__xludf.DUMMYFUNCTION("""COMPUTED_VALUE"""),1824)</f>
        <v/>
      </c>
    </row>
    <row r="844">
      <c r="B844" s="6">
        <f>C844&amp;D844</f>
        <v/>
      </c>
      <c r="C844" s="6">
        <f>YEAR(E844)</f>
        <v/>
      </c>
      <c r="D844" s="6">
        <f>MONTH(E844)</f>
        <v/>
      </c>
      <c r="E844" s="267">
        <f>IFERROR(__xludf.DUMMYFUNCTION("""COMPUTED_VALUE"""),44322.6666666666)</f>
        <v/>
      </c>
      <c r="F844" s="6">
        <f>IFERROR(__xludf.DUMMYFUNCTION("""COMPUTED_VALUE"""),4201.62)</f>
        <v/>
      </c>
      <c r="J844" s="6">
        <f>K844&amp;L844</f>
        <v/>
      </c>
      <c r="K844" s="6">
        <f>YEAR(M844)</f>
        <v/>
      </c>
      <c r="L844" s="6">
        <f>MONTH(M844)</f>
        <v/>
      </c>
      <c r="M844" s="267">
        <f>IFERROR(__xludf.DUMMYFUNCTION("""COMPUTED_VALUE"""),44315.6666666666)</f>
        <v/>
      </c>
      <c r="N844" s="6">
        <f>IFERROR(__xludf.DUMMYFUNCTION("""COMPUTED_VALUE"""),14082.55)</f>
        <v/>
      </c>
      <c r="R844" s="6">
        <f>S844&amp;T844</f>
        <v/>
      </c>
      <c r="S844" s="6">
        <f>YEAR(U844)</f>
        <v/>
      </c>
      <c r="T844" s="6">
        <f>MONTH(U844)</f>
        <v/>
      </c>
      <c r="U844" s="267">
        <f>IFERROR(__xludf.DUMMYFUNCTION("""COMPUTED_VALUE"""),44356.6458333333)</f>
        <v/>
      </c>
      <c r="V844" s="6">
        <f>IFERROR(__xludf.DUMMYFUNCTION("""COMPUTED_VALUE"""),3216.18)</f>
        <v/>
      </c>
      <c r="Z844" s="6">
        <f>AA844&amp;AB844</f>
        <v/>
      </c>
      <c r="AA844" s="6">
        <f>YEAR(AC844)</f>
        <v/>
      </c>
      <c r="AB844" s="6">
        <f>MONTH(AC844)</f>
        <v/>
      </c>
      <c r="AC844" s="267">
        <f>IFERROR(__xludf.DUMMYFUNCTION("""COMPUTED_VALUE"""),43983.9986111111)</f>
        <v/>
      </c>
      <c r="AD844" s="6">
        <f>IFERROR(__xludf.DUMMYFUNCTION("""COMPUTED_VALUE"""),1222.99)</f>
        <v/>
      </c>
      <c r="AH844" s="6">
        <f>AI844&amp;AJ844</f>
        <v/>
      </c>
      <c r="AI844" s="6">
        <f>YEAR(AK844)</f>
        <v/>
      </c>
      <c r="AJ844" s="6">
        <f>MONTH(AK844)</f>
        <v/>
      </c>
      <c r="AK844" s="267">
        <f>IFERROR(__xludf.DUMMYFUNCTION("""COMPUTED_VALUE"""),43936.9986111111)</f>
        <v/>
      </c>
      <c r="AL844" s="6">
        <f>IFERROR(__xludf.DUMMYFUNCTION("""COMPUTED_VALUE"""),6623.9)</f>
        <v/>
      </c>
      <c r="AP844" s="6">
        <f>AQ844&amp;AR844</f>
        <v/>
      </c>
      <c r="AQ844" s="6">
        <f>YEAR(AS844)</f>
        <v/>
      </c>
      <c r="AR844" s="6">
        <f>MONTH(AS844)</f>
        <v/>
      </c>
      <c r="AS844" s="267">
        <f>IFERROR(__xludf.DUMMYFUNCTION("""COMPUTED_VALUE"""),44330.9986111111)</f>
        <v/>
      </c>
      <c r="AT844" s="6">
        <f>IFERROR(__xludf.DUMMYFUNCTION("""COMPUTED_VALUE"""),1838.1)</f>
        <v/>
      </c>
    </row>
    <row r="845">
      <c r="B845" s="6">
        <f>C845&amp;D845</f>
        <v/>
      </c>
      <c r="C845" s="6">
        <f>YEAR(E845)</f>
        <v/>
      </c>
      <c r="D845" s="6">
        <f>MONTH(E845)</f>
        <v/>
      </c>
      <c r="E845" s="267">
        <f>IFERROR(__xludf.DUMMYFUNCTION("""COMPUTED_VALUE"""),44323.6666666666)</f>
        <v/>
      </c>
      <c r="F845" s="6">
        <f>IFERROR(__xludf.DUMMYFUNCTION("""COMPUTED_VALUE"""),4232.6)</f>
        <v/>
      </c>
      <c r="J845" s="6">
        <f>K845&amp;L845</f>
        <v/>
      </c>
      <c r="K845" s="6">
        <f>YEAR(M845)</f>
        <v/>
      </c>
      <c r="L845" s="6">
        <f>MONTH(M845)</f>
        <v/>
      </c>
      <c r="M845" s="267">
        <f>IFERROR(__xludf.DUMMYFUNCTION("""COMPUTED_VALUE"""),44316.6666666666)</f>
        <v/>
      </c>
      <c r="N845" s="6">
        <f>IFERROR(__xludf.DUMMYFUNCTION("""COMPUTED_VALUE"""),13962.68)</f>
        <v/>
      </c>
      <c r="R845" s="6">
        <f>S845&amp;T845</f>
        <v/>
      </c>
      <c r="S845" s="6">
        <f>YEAR(U845)</f>
        <v/>
      </c>
      <c r="T845" s="6">
        <f>MONTH(U845)</f>
        <v/>
      </c>
      <c r="U845" s="267">
        <f>IFERROR(__xludf.DUMMYFUNCTION("""COMPUTED_VALUE"""),44357.6458333333)</f>
        <v/>
      </c>
      <c r="V845" s="6">
        <f>IFERROR(__xludf.DUMMYFUNCTION("""COMPUTED_VALUE"""),3224.64)</f>
        <v/>
      </c>
      <c r="Z845" s="6">
        <f>AA845&amp;AB845</f>
        <v/>
      </c>
      <c r="AA845" s="6">
        <f>YEAR(AC845)</f>
        <v/>
      </c>
      <c r="AB845" s="6">
        <f>MONTH(AC845)</f>
        <v/>
      </c>
      <c r="AC845" s="267">
        <f>IFERROR(__xludf.DUMMYFUNCTION("""COMPUTED_VALUE"""),43984.9986111111)</f>
        <v/>
      </c>
      <c r="AD845" s="6">
        <f>IFERROR(__xludf.DUMMYFUNCTION("""COMPUTED_VALUE"""),1219.14)</f>
        <v/>
      </c>
      <c r="AH845" s="6">
        <f>AI845&amp;AJ845</f>
        <v/>
      </c>
      <c r="AI845" s="6">
        <f>YEAR(AK845)</f>
        <v/>
      </c>
      <c r="AJ845" s="6">
        <f>MONTH(AK845)</f>
        <v/>
      </c>
      <c r="AK845" s="267">
        <f>IFERROR(__xludf.DUMMYFUNCTION("""COMPUTED_VALUE"""),43937.9986111111)</f>
        <v/>
      </c>
      <c r="AL845" s="6">
        <f>IFERROR(__xludf.DUMMYFUNCTION("""COMPUTED_VALUE"""),7112.757)</f>
        <v/>
      </c>
      <c r="AP845" s="6">
        <f>AQ845&amp;AR845</f>
        <v/>
      </c>
      <c r="AQ845" s="6">
        <f>YEAR(AS845)</f>
        <v/>
      </c>
      <c r="AR845" s="6">
        <f>MONTH(AS845)</f>
        <v/>
      </c>
      <c r="AS845" s="267">
        <f>IFERROR(__xludf.DUMMYFUNCTION("""COMPUTED_VALUE"""),44333.9986111111)</f>
        <v/>
      </c>
      <c r="AT845" s="6">
        <f>IFERROR(__xludf.DUMMYFUNCTION("""COMPUTED_VALUE"""),1867.6)</f>
        <v/>
      </c>
    </row>
    <row r="846">
      <c r="B846" s="6">
        <f>C846&amp;D846</f>
        <v/>
      </c>
      <c r="C846" s="6">
        <f>YEAR(E846)</f>
        <v/>
      </c>
      <c r="D846" s="6">
        <f>MONTH(E846)</f>
        <v/>
      </c>
      <c r="E846" s="267">
        <f>IFERROR(__xludf.DUMMYFUNCTION("""COMPUTED_VALUE"""),44326.6666666666)</f>
        <v/>
      </c>
      <c r="F846" s="6">
        <f>IFERROR(__xludf.DUMMYFUNCTION("""COMPUTED_VALUE"""),4188.43)</f>
        <v/>
      </c>
      <c r="J846" s="6">
        <f>K846&amp;L846</f>
        <v/>
      </c>
      <c r="K846" s="6">
        <f>YEAR(M846)</f>
        <v/>
      </c>
      <c r="L846" s="6">
        <f>MONTH(M846)</f>
        <v/>
      </c>
      <c r="M846" s="267">
        <f>IFERROR(__xludf.DUMMYFUNCTION("""COMPUTED_VALUE"""),44319.6666666666)</f>
        <v/>
      </c>
      <c r="N846" s="6">
        <f>IFERROR(__xludf.DUMMYFUNCTION("""COMPUTED_VALUE"""),13895.12)</f>
        <v/>
      </c>
      <c r="R846" s="6">
        <f>S846&amp;T846</f>
        <v/>
      </c>
      <c r="S846" s="6">
        <f>YEAR(U846)</f>
        <v/>
      </c>
      <c r="T846" s="6">
        <f>MONTH(U846)</f>
        <v/>
      </c>
      <c r="U846" s="267">
        <f>IFERROR(__xludf.DUMMYFUNCTION("""COMPUTED_VALUE"""),44358.6458333333)</f>
        <v/>
      </c>
      <c r="V846" s="6">
        <f>IFERROR(__xludf.DUMMYFUNCTION("""COMPUTED_VALUE"""),3249.32)</f>
        <v/>
      </c>
      <c r="Z846" s="6">
        <f>AA846&amp;AB846</f>
        <v/>
      </c>
      <c r="AA846" s="6">
        <f>YEAR(AC846)</f>
        <v/>
      </c>
      <c r="AB846" s="6">
        <f>MONTH(AC846)</f>
        <v/>
      </c>
      <c r="AC846" s="267">
        <f>IFERROR(__xludf.DUMMYFUNCTION("""COMPUTED_VALUE"""),43985.9986111111)</f>
        <v/>
      </c>
      <c r="AD846" s="6">
        <f>IFERROR(__xludf.DUMMYFUNCTION("""COMPUTED_VALUE"""),1215.82)</f>
        <v/>
      </c>
      <c r="AH846" s="6">
        <f>AI846&amp;AJ846</f>
        <v/>
      </c>
      <c r="AI846" s="6">
        <f>YEAR(AK846)</f>
        <v/>
      </c>
      <c r="AJ846" s="6">
        <f>MONTH(AK846)</f>
        <v/>
      </c>
      <c r="AK846" s="267">
        <f>IFERROR(__xludf.DUMMYFUNCTION("""COMPUTED_VALUE"""),43938.9986111111)</f>
        <v/>
      </c>
      <c r="AL846" s="6">
        <f>IFERROR(__xludf.DUMMYFUNCTION("""COMPUTED_VALUE"""),7033.685)</f>
        <v/>
      </c>
      <c r="AP846" s="6">
        <f>AQ846&amp;AR846</f>
        <v/>
      </c>
      <c r="AQ846" s="6">
        <f>YEAR(AS846)</f>
        <v/>
      </c>
      <c r="AR846" s="6">
        <f>MONTH(AS846)</f>
        <v/>
      </c>
      <c r="AS846" s="267">
        <f>IFERROR(__xludf.DUMMYFUNCTION("""COMPUTED_VALUE"""),44334.9986111111)</f>
        <v/>
      </c>
      <c r="AT846" s="6">
        <f>IFERROR(__xludf.DUMMYFUNCTION("""COMPUTED_VALUE"""),1868)</f>
        <v/>
      </c>
    </row>
    <row r="847">
      <c r="B847" s="6">
        <f>C847&amp;D847</f>
        <v/>
      </c>
      <c r="C847" s="6">
        <f>YEAR(E847)</f>
        <v/>
      </c>
      <c r="D847" s="6">
        <f>MONTH(E847)</f>
        <v/>
      </c>
      <c r="E847" s="267">
        <f>IFERROR(__xludf.DUMMYFUNCTION("""COMPUTED_VALUE"""),44327.6666666666)</f>
        <v/>
      </c>
      <c r="F847" s="6">
        <f>IFERROR(__xludf.DUMMYFUNCTION("""COMPUTED_VALUE"""),4152.1)</f>
        <v/>
      </c>
      <c r="J847" s="6">
        <f>K847&amp;L847</f>
        <v/>
      </c>
      <c r="K847" s="6">
        <f>YEAR(M847)</f>
        <v/>
      </c>
      <c r="L847" s="6">
        <f>MONTH(M847)</f>
        <v/>
      </c>
      <c r="M847" s="267">
        <f>IFERROR(__xludf.DUMMYFUNCTION("""COMPUTED_VALUE"""),44320.6666666666)</f>
        <v/>
      </c>
      <c r="N847" s="6">
        <f>IFERROR(__xludf.DUMMYFUNCTION("""COMPUTED_VALUE"""),13633.5)</f>
        <v/>
      </c>
      <c r="R847" s="6">
        <f>S847&amp;T847</f>
        <v/>
      </c>
      <c r="S847" s="6">
        <f>YEAR(U847)</f>
        <v/>
      </c>
      <c r="T847" s="6">
        <f>MONTH(U847)</f>
        <v/>
      </c>
      <c r="U847" s="267">
        <f>IFERROR(__xludf.DUMMYFUNCTION("""COMPUTED_VALUE"""),44361.6458333333)</f>
        <v/>
      </c>
      <c r="V847" s="6">
        <f>IFERROR(__xludf.DUMMYFUNCTION("""COMPUTED_VALUE"""),3252.13)</f>
        <v/>
      </c>
      <c r="Z847" s="6">
        <f>AA847&amp;AB847</f>
        <v/>
      </c>
      <c r="AA847" s="6">
        <f>YEAR(AC847)</f>
        <v/>
      </c>
      <c r="AB847" s="6">
        <f>MONTH(AC847)</f>
        <v/>
      </c>
      <c r="AC847" s="267">
        <f>IFERROR(__xludf.DUMMYFUNCTION("""COMPUTED_VALUE"""),43986.9986111111)</f>
        <v/>
      </c>
      <c r="AD847" s="6">
        <f>IFERROR(__xludf.DUMMYFUNCTION("""COMPUTED_VALUE"""),1215.38)</f>
        <v/>
      </c>
      <c r="AH847" s="6">
        <f>AI847&amp;AJ847</f>
        <v/>
      </c>
      <c r="AI847" s="6">
        <f>YEAR(AK847)</f>
        <v/>
      </c>
      <c r="AJ847" s="6">
        <f>MONTH(AK847)</f>
        <v/>
      </c>
      <c r="AK847" s="267">
        <f>IFERROR(__xludf.DUMMYFUNCTION("""COMPUTED_VALUE"""),43939.9986111111)</f>
        <v/>
      </c>
      <c r="AL847" s="6">
        <f>IFERROR(__xludf.DUMMYFUNCTION("""COMPUTED_VALUE"""),7259.644)</f>
        <v/>
      </c>
      <c r="AP847" s="6">
        <f>AQ847&amp;AR847</f>
        <v/>
      </c>
      <c r="AQ847" s="6">
        <f>YEAR(AS847)</f>
        <v/>
      </c>
      <c r="AR847" s="6">
        <f>MONTH(AS847)</f>
        <v/>
      </c>
      <c r="AS847" s="267">
        <f>IFERROR(__xludf.DUMMYFUNCTION("""COMPUTED_VALUE"""),44335.9986111111)</f>
        <v/>
      </c>
      <c r="AT847" s="6">
        <f>IFERROR(__xludf.DUMMYFUNCTION("""COMPUTED_VALUE"""),1881.5)</f>
        <v/>
      </c>
    </row>
    <row r="848">
      <c r="B848" s="6">
        <f>C848&amp;D848</f>
        <v/>
      </c>
      <c r="C848" s="6">
        <f>YEAR(E848)</f>
        <v/>
      </c>
      <c r="D848" s="6">
        <f>MONTH(E848)</f>
        <v/>
      </c>
      <c r="E848" s="267">
        <f>IFERROR(__xludf.DUMMYFUNCTION("""COMPUTED_VALUE"""),44328.6666666666)</f>
        <v/>
      </c>
      <c r="F848" s="6">
        <f>IFERROR(__xludf.DUMMYFUNCTION("""COMPUTED_VALUE"""),4063.04)</f>
        <v/>
      </c>
      <c r="J848" s="6">
        <f>K848&amp;L848</f>
        <v/>
      </c>
      <c r="K848" s="6">
        <f>YEAR(M848)</f>
        <v/>
      </c>
      <c r="L848" s="6">
        <f>MONTH(M848)</f>
        <v/>
      </c>
      <c r="M848" s="267">
        <f>IFERROR(__xludf.DUMMYFUNCTION("""COMPUTED_VALUE"""),44321.6666666666)</f>
        <v/>
      </c>
      <c r="N848" s="6">
        <f>IFERROR(__xludf.DUMMYFUNCTION("""COMPUTED_VALUE"""),13582.43)</f>
        <v/>
      </c>
      <c r="R848" s="6">
        <f>S848&amp;T848</f>
        <v/>
      </c>
      <c r="S848" s="6">
        <f>YEAR(U848)</f>
        <v/>
      </c>
      <c r="T848" s="6">
        <f>MONTH(U848)</f>
        <v/>
      </c>
      <c r="U848" s="267">
        <f>IFERROR(__xludf.DUMMYFUNCTION("""COMPUTED_VALUE"""),44362.6458333333)</f>
        <v/>
      </c>
      <c r="V848" s="6">
        <f>IFERROR(__xludf.DUMMYFUNCTION("""COMPUTED_VALUE"""),3258.63)</f>
        <v/>
      </c>
      <c r="Z848" s="6">
        <f>AA848&amp;AB848</f>
        <v/>
      </c>
      <c r="AA848" s="6">
        <f>YEAR(AC848)</f>
        <v/>
      </c>
      <c r="AB848" s="6">
        <f>MONTH(AC848)</f>
        <v/>
      </c>
      <c r="AC848" s="267">
        <f>IFERROR(__xludf.DUMMYFUNCTION("""COMPUTED_VALUE"""),43987.9986111111)</f>
        <v/>
      </c>
      <c r="AD848" s="6">
        <f>IFERROR(__xludf.DUMMYFUNCTION("""COMPUTED_VALUE"""),1202)</f>
        <v/>
      </c>
      <c r="AH848" s="6">
        <f>AI848&amp;AJ848</f>
        <v/>
      </c>
      <c r="AI848" s="6">
        <f>YEAR(AK848)</f>
        <v/>
      </c>
      <c r="AJ848" s="6">
        <f>MONTH(AK848)</f>
        <v/>
      </c>
      <c r="AK848" s="267">
        <f>IFERROR(__xludf.DUMMYFUNCTION("""COMPUTED_VALUE"""),43940.9986111111)</f>
        <v/>
      </c>
      <c r="AL848" s="6">
        <f>IFERROR(__xludf.DUMMYFUNCTION("""COMPUTED_VALUE"""),7128.538)</f>
        <v/>
      </c>
      <c r="AP848" s="6">
        <f>AQ848&amp;AR848</f>
        <v/>
      </c>
      <c r="AQ848" s="6">
        <f>YEAR(AS848)</f>
        <v/>
      </c>
      <c r="AR848" s="6">
        <f>MONTH(AS848)</f>
        <v/>
      </c>
      <c r="AS848" s="267">
        <f>IFERROR(__xludf.DUMMYFUNCTION("""COMPUTED_VALUE"""),44336.9986111111)</f>
        <v/>
      </c>
      <c r="AT848" s="6">
        <f>IFERROR(__xludf.DUMMYFUNCTION("""COMPUTED_VALUE"""),1883.9)</f>
        <v/>
      </c>
    </row>
    <row r="849">
      <c r="B849" s="6">
        <f>C849&amp;D849</f>
        <v/>
      </c>
      <c r="C849" s="6">
        <f>YEAR(E849)</f>
        <v/>
      </c>
      <c r="D849" s="6">
        <f>MONTH(E849)</f>
        <v/>
      </c>
      <c r="E849" s="267">
        <f>IFERROR(__xludf.DUMMYFUNCTION("""COMPUTED_VALUE"""),44329.6666666666)</f>
        <v/>
      </c>
      <c r="F849" s="6">
        <f>IFERROR(__xludf.DUMMYFUNCTION("""COMPUTED_VALUE"""),4112.5)</f>
        <v/>
      </c>
      <c r="J849" s="6">
        <f>K849&amp;L849</f>
        <v/>
      </c>
      <c r="K849" s="6">
        <f>YEAR(M849)</f>
        <v/>
      </c>
      <c r="L849" s="6">
        <f>MONTH(M849)</f>
        <v/>
      </c>
      <c r="M849" s="267">
        <f>IFERROR(__xludf.DUMMYFUNCTION("""COMPUTED_VALUE"""),44322.6666666666)</f>
        <v/>
      </c>
      <c r="N849" s="6">
        <f>IFERROR(__xludf.DUMMYFUNCTION("""COMPUTED_VALUE"""),13632.84)</f>
        <v/>
      </c>
      <c r="R849" s="6">
        <f>S849&amp;T849</f>
        <v/>
      </c>
      <c r="S849" s="6">
        <f>YEAR(U849)</f>
        <v/>
      </c>
      <c r="T849" s="6">
        <f>MONTH(U849)</f>
        <v/>
      </c>
      <c r="U849" s="267">
        <f>IFERROR(__xludf.DUMMYFUNCTION("""COMPUTED_VALUE"""),44363.6458333333)</f>
        <v/>
      </c>
      <c r="V849" s="6">
        <f>IFERROR(__xludf.DUMMYFUNCTION("""COMPUTED_VALUE"""),3278.68)</f>
        <v/>
      </c>
      <c r="Z849" s="6">
        <f>AA849&amp;AB849</f>
        <v/>
      </c>
      <c r="AA849" s="6">
        <f>YEAR(AC849)</f>
        <v/>
      </c>
      <c r="AB849" s="6">
        <f>MONTH(AC849)</f>
        <v/>
      </c>
      <c r="AC849" s="267">
        <f>IFERROR(__xludf.DUMMYFUNCTION("""COMPUTED_VALUE"""),43988.9986111111)</f>
        <v/>
      </c>
      <c r="AD849" s="6">
        <f>IFERROR(__xludf.DUMMYFUNCTION("""COMPUTED_VALUE"""),1202.43)</f>
        <v/>
      </c>
      <c r="AH849" s="6">
        <f>AI849&amp;AJ849</f>
        <v/>
      </c>
      <c r="AI849" s="6">
        <f>YEAR(AK849)</f>
        <v/>
      </c>
      <c r="AJ849" s="6">
        <f>MONTH(AK849)</f>
        <v/>
      </c>
      <c r="AK849" s="267">
        <f>IFERROR(__xludf.DUMMYFUNCTION("""COMPUTED_VALUE"""),43941.9986111111)</f>
        <v/>
      </c>
      <c r="AL849" s="6">
        <f>IFERROR(__xludf.DUMMYFUNCTION("""COMPUTED_VALUE"""),6841.038)</f>
        <v/>
      </c>
      <c r="AP849" s="6">
        <f>AQ849&amp;AR849</f>
        <v/>
      </c>
      <c r="AQ849" s="6">
        <f>YEAR(AS849)</f>
        <v/>
      </c>
      <c r="AR849" s="6">
        <f>MONTH(AS849)</f>
        <v/>
      </c>
      <c r="AS849" s="267">
        <f>IFERROR(__xludf.DUMMYFUNCTION("""COMPUTED_VALUE"""),44337.9986111111)</f>
        <v/>
      </c>
      <c r="AT849" s="6">
        <f>IFERROR(__xludf.DUMMYFUNCTION("""COMPUTED_VALUE"""),1878.9)</f>
        <v/>
      </c>
    </row>
    <row r="850">
      <c r="B850" s="6">
        <f>C850&amp;D850</f>
        <v/>
      </c>
      <c r="C850" s="6">
        <f>YEAR(E850)</f>
        <v/>
      </c>
      <c r="D850" s="6">
        <f>MONTH(E850)</f>
        <v/>
      </c>
      <c r="E850" s="267">
        <f>IFERROR(__xludf.DUMMYFUNCTION("""COMPUTED_VALUE"""),44330.6666666666)</f>
        <v/>
      </c>
      <c r="F850" s="6">
        <f>IFERROR(__xludf.DUMMYFUNCTION("""COMPUTED_VALUE"""),4173.85)</f>
        <v/>
      </c>
      <c r="J850" s="6">
        <f>K850&amp;L850</f>
        <v/>
      </c>
      <c r="K850" s="6">
        <f>YEAR(M850)</f>
        <v/>
      </c>
      <c r="L850" s="6">
        <f>MONTH(M850)</f>
        <v/>
      </c>
      <c r="M850" s="267">
        <f>IFERROR(__xludf.DUMMYFUNCTION("""COMPUTED_VALUE"""),44323.6666666666)</f>
        <v/>
      </c>
      <c r="N850" s="6">
        <f>IFERROR(__xludf.DUMMYFUNCTION("""COMPUTED_VALUE"""),13752.24)</f>
        <v/>
      </c>
      <c r="R850" s="6">
        <f>S850&amp;T850</f>
        <v/>
      </c>
      <c r="S850" s="6">
        <f>YEAR(U850)</f>
        <v/>
      </c>
      <c r="T850" s="6">
        <f>MONTH(U850)</f>
        <v/>
      </c>
      <c r="U850" s="267">
        <f>IFERROR(__xludf.DUMMYFUNCTION("""COMPUTED_VALUE"""),44364.6458333333)</f>
        <v/>
      </c>
      <c r="V850" s="6">
        <f>IFERROR(__xludf.DUMMYFUNCTION("""COMPUTED_VALUE"""),3264.96)</f>
        <v/>
      </c>
      <c r="Z850" s="6">
        <f>AA850&amp;AB850</f>
        <v/>
      </c>
      <c r="AA850" s="6">
        <f>YEAR(AC850)</f>
        <v/>
      </c>
      <c r="AB850" s="6">
        <f>MONTH(AC850)</f>
        <v/>
      </c>
      <c r="AC850" s="267">
        <f>IFERROR(__xludf.DUMMYFUNCTION("""COMPUTED_VALUE"""),43989.9986111111)</f>
        <v/>
      </c>
      <c r="AD850" s="6">
        <f>IFERROR(__xludf.DUMMYFUNCTION("""COMPUTED_VALUE"""),1201.11)</f>
        <v/>
      </c>
      <c r="AH850" s="6">
        <f>AI850&amp;AJ850</f>
        <v/>
      </c>
      <c r="AI850" s="6">
        <f>YEAR(AK850)</f>
        <v/>
      </c>
      <c r="AJ850" s="6">
        <f>MONTH(AK850)</f>
        <v/>
      </c>
      <c r="AK850" s="267">
        <f>IFERROR(__xludf.DUMMYFUNCTION("""COMPUTED_VALUE"""),43942.9986111111)</f>
        <v/>
      </c>
      <c r="AL850" s="6">
        <f>IFERROR(__xludf.DUMMYFUNCTION("""COMPUTED_VALUE"""),6851.744)</f>
        <v/>
      </c>
      <c r="AP850" s="6">
        <f>AQ850&amp;AR850</f>
        <v/>
      </c>
      <c r="AQ850" s="6">
        <f>YEAR(AS850)</f>
        <v/>
      </c>
      <c r="AR850" s="6">
        <f>MONTH(AS850)</f>
        <v/>
      </c>
      <c r="AS850" s="267">
        <f>IFERROR(__xludf.DUMMYFUNCTION("""COMPUTED_VALUE"""),44340.9986111111)</f>
        <v/>
      </c>
      <c r="AT850" s="6">
        <f>IFERROR(__xludf.DUMMYFUNCTION("""COMPUTED_VALUE"""),1886.7)</f>
        <v/>
      </c>
    </row>
    <row r="851">
      <c r="B851" s="6">
        <f>C851&amp;D851</f>
        <v/>
      </c>
      <c r="C851" s="6">
        <f>YEAR(E851)</f>
        <v/>
      </c>
      <c r="D851" s="6">
        <f>MONTH(E851)</f>
        <v/>
      </c>
      <c r="E851" s="267">
        <f>IFERROR(__xludf.DUMMYFUNCTION("""COMPUTED_VALUE"""),44333.6666666666)</f>
        <v/>
      </c>
      <c r="F851" s="6">
        <f>IFERROR(__xludf.DUMMYFUNCTION("""COMPUTED_VALUE"""),4163.29)</f>
        <v/>
      </c>
      <c r="J851" s="6">
        <f>K851&amp;L851</f>
        <v/>
      </c>
      <c r="K851" s="6">
        <f>YEAR(M851)</f>
        <v/>
      </c>
      <c r="L851" s="6">
        <f>MONTH(M851)</f>
        <v/>
      </c>
      <c r="M851" s="267">
        <f>IFERROR(__xludf.DUMMYFUNCTION("""COMPUTED_VALUE"""),44326.6666666666)</f>
        <v/>
      </c>
      <c r="N851" s="6">
        <f>IFERROR(__xludf.DUMMYFUNCTION("""COMPUTED_VALUE"""),13401.86)</f>
        <v/>
      </c>
      <c r="R851" s="6">
        <f>S851&amp;T851</f>
        <v/>
      </c>
      <c r="S851" s="6">
        <f>YEAR(U851)</f>
        <v/>
      </c>
      <c r="T851" s="6">
        <f>MONTH(U851)</f>
        <v/>
      </c>
      <c r="U851" s="267">
        <f>IFERROR(__xludf.DUMMYFUNCTION("""COMPUTED_VALUE"""),44365.6458333333)</f>
        <v/>
      </c>
      <c r="V851" s="6">
        <f>IFERROR(__xludf.DUMMYFUNCTION("""COMPUTED_VALUE"""),3267.93)</f>
        <v/>
      </c>
      <c r="Z851" s="6">
        <f>AA851&amp;AB851</f>
        <v/>
      </c>
      <c r="AA851" s="6">
        <f>YEAR(AC851)</f>
        <v/>
      </c>
      <c r="AB851" s="6">
        <f>MONTH(AC851)</f>
        <v/>
      </c>
      <c r="AC851" s="267">
        <f>IFERROR(__xludf.DUMMYFUNCTION("""COMPUTED_VALUE"""),43990.9986111111)</f>
        <v/>
      </c>
      <c r="AD851" s="6">
        <f>IFERROR(__xludf.DUMMYFUNCTION("""COMPUTED_VALUE"""),1195.73)</f>
        <v/>
      </c>
      <c r="AH851" s="6">
        <f>AI851&amp;AJ851</f>
        <v/>
      </c>
      <c r="AI851" s="6">
        <f>YEAR(AK851)</f>
        <v/>
      </c>
      <c r="AJ851" s="6">
        <f>MONTH(AK851)</f>
        <v/>
      </c>
      <c r="AK851" s="267">
        <f>IFERROR(__xludf.DUMMYFUNCTION("""COMPUTED_VALUE"""),43943.9986111111)</f>
        <v/>
      </c>
      <c r="AL851" s="6">
        <f>IFERROR(__xludf.DUMMYFUNCTION("""COMPUTED_VALUE"""),7132.332)</f>
        <v/>
      </c>
      <c r="AP851" s="6">
        <f>AQ851&amp;AR851</f>
        <v/>
      </c>
      <c r="AQ851" s="6">
        <f>YEAR(AS851)</f>
        <v/>
      </c>
      <c r="AR851" s="6">
        <f>MONTH(AS851)</f>
        <v/>
      </c>
      <c r="AS851" s="267">
        <f>IFERROR(__xludf.DUMMYFUNCTION("""COMPUTED_VALUE"""),44341.9986111111)</f>
        <v/>
      </c>
      <c r="AT851" s="6">
        <f>IFERROR(__xludf.DUMMYFUNCTION("""COMPUTED_VALUE"""),1900.5)</f>
        <v/>
      </c>
    </row>
    <row r="852">
      <c r="B852" s="6">
        <f>C852&amp;D852</f>
        <v/>
      </c>
      <c r="C852" s="6">
        <f>YEAR(E852)</f>
        <v/>
      </c>
      <c r="D852" s="6">
        <f>MONTH(E852)</f>
        <v/>
      </c>
      <c r="E852" s="267">
        <f>IFERROR(__xludf.DUMMYFUNCTION("""COMPUTED_VALUE"""),44334.6666666666)</f>
        <v/>
      </c>
      <c r="F852" s="6">
        <f>IFERROR(__xludf.DUMMYFUNCTION("""COMPUTED_VALUE"""),4127.83)</f>
        <v/>
      </c>
      <c r="J852" s="6">
        <f>K852&amp;L852</f>
        <v/>
      </c>
      <c r="K852" s="6">
        <f>YEAR(M852)</f>
        <v/>
      </c>
      <c r="L852" s="6">
        <f>MONTH(M852)</f>
        <v/>
      </c>
      <c r="M852" s="267">
        <f>IFERROR(__xludf.DUMMYFUNCTION("""COMPUTED_VALUE"""),44327.6666666666)</f>
        <v/>
      </c>
      <c r="N852" s="6">
        <f>IFERROR(__xludf.DUMMYFUNCTION("""COMPUTED_VALUE"""),13389.43)</f>
        <v/>
      </c>
      <c r="R852" s="6">
        <f>S852&amp;T852</f>
        <v/>
      </c>
      <c r="S852" s="6">
        <f>YEAR(U852)</f>
        <v/>
      </c>
      <c r="T852" s="6">
        <f>MONTH(U852)</f>
        <v/>
      </c>
      <c r="U852" s="267">
        <f>IFERROR(__xludf.DUMMYFUNCTION("""COMPUTED_VALUE"""),44368.6458333333)</f>
        <v/>
      </c>
      <c r="V852" s="6">
        <f>IFERROR(__xludf.DUMMYFUNCTION("""COMPUTED_VALUE"""),3240.79)</f>
        <v/>
      </c>
      <c r="Z852" s="6">
        <f>AA852&amp;AB852</f>
        <v/>
      </c>
      <c r="AA852" s="6">
        <f>YEAR(AC852)</f>
        <v/>
      </c>
      <c r="AB852" s="6">
        <f>MONTH(AC852)</f>
        <v/>
      </c>
      <c r="AC852" s="267">
        <f>IFERROR(__xludf.DUMMYFUNCTION("""COMPUTED_VALUE"""),43991.9986111111)</f>
        <v/>
      </c>
      <c r="AD852" s="6">
        <f>IFERROR(__xludf.DUMMYFUNCTION("""COMPUTED_VALUE"""),1197.3)</f>
        <v/>
      </c>
      <c r="AH852" s="6">
        <f>AI852&amp;AJ852</f>
        <v/>
      </c>
      <c r="AI852" s="6">
        <f>YEAR(AK852)</f>
        <v/>
      </c>
      <c r="AJ852" s="6">
        <f>MONTH(AK852)</f>
        <v/>
      </c>
      <c r="AK852" s="267">
        <f>IFERROR(__xludf.DUMMYFUNCTION("""COMPUTED_VALUE"""),43944.9986111111)</f>
        <v/>
      </c>
      <c r="AL852" s="6">
        <f>IFERROR(__xludf.DUMMYFUNCTION("""COMPUTED_VALUE"""),7488.927)</f>
        <v/>
      </c>
      <c r="AP852" s="6">
        <f>AQ852&amp;AR852</f>
        <v/>
      </c>
      <c r="AQ852" s="6">
        <f>YEAR(AS852)</f>
        <v/>
      </c>
      <c r="AR852" s="6">
        <f>MONTH(AS852)</f>
        <v/>
      </c>
      <c r="AS852" s="267">
        <f>IFERROR(__xludf.DUMMYFUNCTION("""COMPUTED_VALUE"""),44342.9986111111)</f>
        <v/>
      </c>
      <c r="AT852" s="6">
        <f>IFERROR(__xludf.DUMMYFUNCTION("""COMPUTED_VALUE"""),1903.8)</f>
        <v/>
      </c>
    </row>
    <row r="853">
      <c r="B853" s="6">
        <f>C853&amp;D853</f>
        <v/>
      </c>
      <c r="C853" s="6">
        <f>YEAR(E853)</f>
        <v/>
      </c>
      <c r="D853" s="6">
        <f>MONTH(E853)</f>
        <v/>
      </c>
      <c r="E853" s="267">
        <f>IFERROR(__xludf.DUMMYFUNCTION("""COMPUTED_VALUE"""),44335.6666666666)</f>
        <v/>
      </c>
      <c r="F853" s="6">
        <f>IFERROR(__xludf.DUMMYFUNCTION("""COMPUTED_VALUE"""),4115.68)</f>
        <v/>
      </c>
      <c r="J853" s="6">
        <f>K853&amp;L853</f>
        <v/>
      </c>
      <c r="K853" s="6">
        <f>YEAR(M853)</f>
        <v/>
      </c>
      <c r="L853" s="6">
        <f>MONTH(M853)</f>
        <v/>
      </c>
      <c r="M853" s="267">
        <f>IFERROR(__xludf.DUMMYFUNCTION("""COMPUTED_VALUE"""),44328.6666666666)</f>
        <v/>
      </c>
      <c r="N853" s="6">
        <f>IFERROR(__xludf.DUMMYFUNCTION("""COMPUTED_VALUE"""),13031.68)</f>
        <v/>
      </c>
      <c r="R853" s="6">
        <f>S853&amp;T853</f>
        <v/>
      </c>
      <c r="S853" s="6">
        <f>YEAR(U853)</f>
        <v/>
      </c>
      <c r="T853" s="6">
        <f>MONTH(U853)</f>
        <v/>
      </c>
      <c r="U853" s="267">
        <f>IFERROR(__xludf.DUMMYFUNCTION("""COMPUTED_VALUE"""),44369.6458333333)</f>
        <v/>
      </c>
      <c r="V853" s="6">
        <f>IFERROR(__xludf.DUMMYFUNCTION("""COMPUTED_VALUE"""),3263.88)</f>
        <v/>
      </c>
      <c r="Z853" s="6">
        <f>AA853&amp;AB853</f>
        <v/>
      </c>
      <c r="AA853" s="6">
        <f>YEAR(AC853)</f>
        <v/>
      </c>
      <c r="AB853" s="6">
        <f>MONTH(AC853)</f>
        <v/>
      </c>
      <c r="AC853" s="267">
        <f>IFERROR(__xludf.DUMMYFUNCTION("""COMPUTED_VALUE"""),43992.9986111111)</f>
        <v/>
      </c>
      <c r="AD853" s="6">
        <f>IFERROR(__xludf.DUMMYFUNCTION("""COMPUTED_VALUE"""),1189.74)</f>
        <v/>
      </c>
      <c r="AH853" s="6">
        <f>AI853&amp;AJ853</f>
        <v/>
      </c>
      <c r="AI853" s="6">
        <f>YEAR(AK853)</f>
        <v/>
      </c>
      <c r="AJ853" s="6">
        <f>MONTH(AK853)</f>
        <v/>
      </c>
      <c r="AK853" s="267">
        <f>IFERROR(__xludf.DUMMYFUNCTION("""COMPUTED_VALUE"""),43945.9986111111)</f>
        <v/>
      </c>
      <c r="AL853" s="6">
        <f>IFERROR(__xludf.DUMMYFUNCTION("""COMPUTED_VALUE"""),7509.033)</f>
        <v/>
      </c>
      <c r="AP853" s="6">
        <f>AQ853&amp;AR853</f>
        <v/>
      </c>
      <c r="AQ853" s="6">
        <f>YEAR(AS853)</f>
        <v/>
      </c>
      <c r="AR853" s="6">
        <f>MONTH(AS853)</f>
        <v/>
      </c>
      <c r="AS853" s="267">
        <f>IFERROR(__xludf.DUMMYFUNCTION("""COMPUTED_VALUE"""),44343.9986111111)</f>
        <v/>
      </c>
      <c r="AT853" s="6">
        <f>IFERROR(__xludf.DUMMYFUNCTION("""COMPUTED_VALUE"""),1898.5)</f>
        <v/>
      </c>
    </row>
    <row r="854">
      <c r="B854" s="6">
        <f>C854&amp;D854</f>
        <v/>
      </c>
      <c r="C854" s="6">
        <f>YEAR(E854)</f>
        <v/>
      </c>
      <c r="D854" s="6">
        <f>MONTH(E854)</f>
        <v/>
      </c>
      <c r="E854" s="267">
        <f>IFERROR(__xludf.DUMMYFUNCTION("""COMPUTED_VALUE"""),44336.6666666666)</f>
        <v/>
      </c>
      <c r="F854" s="6">
        <f>IFERROR(__xludf.DUMMYFUNCTION("""COMPUTED_VALUE"""),4159.12)</f>
        <v/>
      </c>
      <c r="J854" s="6">
        <f>K854&amp;L854</f>
        <v/>
      </c>
      <c r="K854" s="6">
        <f>YEAR(M854)</f>
        <v/>
      </c>
      <c r="L854" s="6">
        <f>MONTH(M854)</f>
        <v/>
      </c>
      <c r="M854" s="267">
        <f>IFERROR(__xludf.DUMMYFUNCTION("""COMPUTED_VALUE"""),44329.6666666666)</f>
        <v/>
      </c>
      <c r="N854" s="6">
        <f>IFERROR(__xludf.DUMMYFUNCTION("""COMPUTED_VALUE"""),13124.99)</f>
        <v/>
      </c>
      <c r="R854" s="6">
        <f>S854&amp;T854</f>
        <v/>
      </c>
      <c r="S854" s="6">
        <f>YEAR(U854)</f>
        <v/>
      </c>
      <c r="T854" s="6">
        <f>MONTH(U854)</f>
        <v/>
      </c>
      <c r="U854" s="267">
        <f>IFERROR(__xludf.DUMMYFUNCTION("""COMPUTED_VALUE"""),44370.6458333333)</f>
        <v/>
      </c>
      <c r="V854" s="6">
        <f>IFERROR(__xludf.DUMMYFUNCTION("""COMPUTED_VALUE"""),3276.19)</f>
        <v/>
      </c>
      <c r="Z854" s="6">
        <f>AA854&amp;AB854</f>
        <v/>
      </c>
      <c r="AA854" s="6">
        <f>YEAR(AC854)</f>
        <v/>
      </c>
      <c r="AB854" s="6">
        <f>MONTH(AC854)</f>
        <v/>
      </c>
      <c r="AC854" s="267">
        <f>IFERROR(__xludf.DUMMYFUNCTION("""COMPUTED_VALUE"""),43993.9986111111)</f>
        <v/>
      </c>
      <c r="AD854" s="6">
        <f>IFERROR(__xludf.DUMMYFUNCTION("""COMPUTED_VALUE"""),1204.76)</f>
        <v/>
      </c>
      <c r="AH854" s="6">
        <f>AI854&amp;AJ854</f>
        <v/>
      </c>
      <c r="AI854" s="6">
        <f>YEAR(AK854)</f>
        <v/>
      </c>
      <c r="AJ854" s="6">
        <f>MONTH(AK854)</f>
        <v/>
      </c>
      <c r="AK854" s="267">
        <f>IFERROR(__xludf.DUMMYFUNCTION("""COMPUTED_VALUE"""),43946.9986111111)</f>
        <v/>
      </c>
      <c r="AL854" s="6">
        <f>IFERROR(__xludf.DUMMYFUNCTION("""COMPUTED_VALUE"""),7545.21)</f>
        <v/>
      </c>
      <c r="AP854" s="6">
        <f>AQ854&amp;AR854</f>
        <v/>
      </c>
      <c r="AQ854" s="6">
        <f>YEAR(AS854)</f>
        <v/>
      </c>
      <c r="AR854" s="6">
        <f>MONTH(AS854)</f>
        <v/>
      </c>
      <c r="AS854" s="267">
        <f>IFERROR(__xludf.DUMMYFUNCTION("""COMPUTED_VALUE"""),44344.9986111111)</f>
        <v/>
      </c>
      <c r="AT854" s="6">
        <f>IFERROR(__xludf.DUMMYFUNCTION("""COMPUTED_VALUE"""),1905.3)</f>
        <v/>
      </c>
    </row>
    <row r="855">
      <c r="B855" s="6">
        <f>C855&amp;D855</f>
        <v/>
      </c>
      <c r="C855" s="6">
        <f>YEAR(E855)</f>
        <v/>
      </c>
      <c r="D855" s="6">
        <f>MONTH(E855)</f>
        <v/>
      </c>
      <c r="E855" s="267">
        <f>IFERROR(__xludf.DUMMYFUNCTION("""COMPUTED_VALUE"""),44337.6666666666)</f>
        <v/>
      </c>
      <c r="F855" s="6">
        <f>IFERROR(__xludf.DUMMYFUNCTION("""COMPUTED_VALUE"""),4155.86)</f>
        <v/>
      </c>
      <c r="J855" s="6">
        <f>K855&amp;L855</f>
        <v/>
      </c>
      <c r="K855" s="6">
        <f>YEAR(M855)</f>
        <v/>
      </c>
      <c r="L855" s="6">
        <f>MONTH(M855)</f>
        <v/>
      </c>
      <c r="M855" s="267">
        <f>IFERROR(__xludf.DUMMYFUNCTION("""COMPUTED_VALUE"""),44330.6666666666)</f>
        <v/>
      </c>
      <c r="N855" s="6">
        <f>IFERROR(__xludf.DUMMYFUNCTION("""COMPUTED_VALUE"""),13429.98)</f>
        <v/>
      </c>
      <c r="R855" s="6">
        <f>S855&amp;T855</f>
        <v/>
      </c>
      <c r="S855" s="6">
        <f>YEAR(U855)</f>
        <v/>
      </c>
      <c r="T855" s="6">
        <f>MONTH(U855)</f>
        <v/>
      </c>
      <c r="U855" s="267">
        <f>IFERROR(__xludf.DUMMYFUNCTION("""COMPUTED_VALUE"""),44371.6458333333)</f>
        <v/>
      </c>
      <c r="V855" s="6">
        <f>IFERROR(__xludf.DUMMYFUNCTION("""COMPUTED_VALUE"""),3286.1)</f>
        <v/>
      </c>
      <c r="Z855" s="6">
        <f>AA855&amp;AB855</f>
        <v/>
      </c>
      <c r="AA855" s="6">
        <f>YEAR(AC855)</f>
        <v/>
      </c>
      <c r="AB855" s="6">
        <f>MONTH(AC855)</f>
        <v/>
      </c>
      <c r="AC855" s="267">
        <f>IFERROR(__xludf.DUMMYFUNCTION("""COMPUTED_VALUE"""),43994.9986111111)</f>
        <v/>
      </c>
      <c r="AD855" s="6">
        <f>IFERROR(__xludf.DUMMYFUNCTION("""COMPUTED_VALUE"""),1202.61)</f>
        <v/>
      </c>
      <c r="AH855" s="6">
        <f>AI855&amp;AJ855</f>
        <v/>
      </c>
      <c r="AI855" s="6">
        <f>YEAR(AK855)</f>
        <v/>
      </c>
      <c r="AJ855" s="6">
        <f>MONTH(AK855)</f>
        <v/>
      </c>
      <c r="AK855" s="267">
        <f>IFERROR(__xludf.DUMMYFUNCTION("""COMPUTED_VALUE"""),43947.9986111111)</f>
        <v/>
      </c>
      <c r="AL855" s="6">
        <f>IFERROR(__xludf.DUMMYFUNCTION("""COMPUTED_VALUE"""),7701.9)</f>
        <v/>
      </c>
      <c r="AP855" s="6">
        <f>AQ855&amp;AR855</f>
        <v/>
      </c>
      <c r="AQ855" s="6">
        <f>YEAR(AS855)</f>
        <v/>
      </c>
      <c r="AR855" s="6">
        <f>MONTH(AS855)</f>
        <v/>
      </c>
      <c r="AS855" s="267">
        <f>IFERROR(__xludf.DUMMYFUNCTION("""COMPUTED_VALUE"""),44348.9986111111)</f>
        <v/>
      </c>
      <c r="AT855" s="6">
        <f>IFERROR(__xludf.DUMMYFUNCTION("""COMPUTED_VALUE"""),1905)</f>
        <v/>
      </c>
    </row>
    <row r="856">
      <c r="B856" s="6">
        <f>C856&amp;D856</f>
        <v/>
      </c>
      <c r="C856" s="6">
        <f>YEAR(E856)</f>
        <v/>
      </c>
      <c r="D856" s="6">
        <f>MONTH(E856)</f>
        <v/>
      </c>
      <c r="E856" s="267">
        <f>IFERROR(__xludf.DUMMYFUNCTION("""COMPUTED_VALUE"""),44340.6666666666)</f>
        <v/>
      </c>
      <c r="F856" s="6">
        <f>IFERROR(__xludf.DUMMYFUNCTION("""COMPUTED_VALUE"""),4197.05)</f>
        <v/>
      </c>
      <c r="J856" s="6">
        <f>K856&amp;L856</f>
        <v/>
      </c>
      <c r="K856" s="6">
        <f>YEAR(M856)</f>
        <v/>
      </c>
      <c r="L856" s="6">
        <f>MONTH(M856)</f>
        <v/>
      </c>
      <c r="M856" s="267">
        <f>IFERROR(__xludf.DUMMYFUNCTION("""COMPUTED_VALUE"""),44333.6666666666)</f>
        <v/>
      </c>
      <c r="N856" s="6">
        <f>IFERROR(__xludf.DUMMYFUNCTION("""COMPUTED_VALUE"""),13379.05)</f>
        <v/>
      </c>
      <c r="R856" s="6">
        <f>S856&amp;T856</f>
        <v/>
      </c>
      <c r="S856" s="6">
        <f>YEAR(U856)</f>
        <v/>
      </c>
      <c r="T856" s="6">
        <f>MONTH(U856)</f>
        <v/>
      </c>
      <c r="U856" s="267">
        <f>IFERROR(__xludf.DUMMYFUNCTION("""COMPUTED_VALUE"""),44372.6458333333)</f>
        <v/>
      </c>
      <c r="V856" s="6">
        <f>IFERROR(__xludf.DUMMYFUNCTION("""COMPUTED_VALUE"""),3302.84)</f>
        <v/>
      </c>
      <c r="Z856" s="6">
        <f>AA856&amp;AB856</f>
        <v/>
      </c>
      <c r="AA856" s="6">
        <f>YEAR(AC856)</f>
        <v/>
      </c>
      <c r="AB856" s="6">
        <f>MONTH(AC856)</f>
        <v/>
      </c>
      <c r="AC856" s="267">
        <f>IFERROR(__xludf.DUMMYFUNCTION("""COMPUTED_VALUE"""),43995.9986111111)</f>
        <v/>
      </c>
      <c r="AD856" s="6">
        <f>IFERROR(__xludf.DUMMYFUNCTION("""COMPUTED_VALUE"""),1202.61)</f>
        <v/>
      </c>
      <c r="AH856" s="6">
        <f>AI856&amp;AJ856</f>
        <v/>
      </c>
      <c r="AI856" s="6">
        <f>YEAR(AK856)</f>
        <v/>
      </c>
      <c r="AJ856" s="6">
        <f>MONTH(AK856)</f>
        <v/>
      </c>
      <c r="AK856" s="267">
        <f>IFERROR(__xludf.DUMMYFUNCTION("""COMPUTED_VALUE"""),43948.9986111111)</f>
        <v/>
      </c>
      <c r="AL856" s="6">
        <f>IFERROR(__xludf.DUMMYFUNCTION("""COMPUTED_VALUE"""),7786.932)</f>
        <v/>
      </c>
      <c r="AP856" s="6">
        <f>AQ856&amp;AR856</f>
        <v/>
      </c>
      <c r="AQ856" s="6">
        <f>YEAR(AS856)</f>
        <v/>
      </c>
      <c r="AR856" s="6">
        <f>MONTH(AS856)</f>
        <v/>
      </c>
      <c r="AS856" s="267">
        <f>IFERROR(__xludf.DUMMYFUNCTION("""COMPUTED_VALUE"""),44349.9986111111)</f>
        <v/>
      </c>
      <c r="AT856" s="6">
        <f>IFERROR(__xludf.DUMMYFUNCTION("""COMPUTED_VALUE"""),1909.9)</f>
        <v/>
      </c>
    </row>
    <row r="857">
      <c r="B857" s="6">
        <f>C857&amp;D857</f>
        <v/>
      </c>
      <c r="C857" s="6">
        <f>YEAR(E857)</f>
        <v/>
      </c>
      <c r="D857" s="6">
        <f>MONTH(E857)</f>
        <v/>
      </c>
      <c r="E857" s="267">
        <f>IFERROR(__xludf.DUMMYFUNCTION("""COMPUTED_VALUE"""),44341.6666666666)</f>
        <v/>
      </c>
      <c r="F857" s="6">
        <f>IFERROR(__xludf.DUMMYFUNCTION("""COMPUTED_VALUE"""),4188.13)</f>
        <v/>
      </c>
      <c r="J857" s="6">
        <f>K857&amp;L857</f>
        <v/>
      </c>
      <c r="K857" s="6">
        <f>YEAR(M857)</f>
        <v/>
      </c>
      <c r="L857" s="6">
        <f>MONTH(M857)</f>
        <v/>
      </c>
      <c r="M857" s="267">
        <f>IFERROR(__xludf.DUMMYFUNCTION("""COMPUTED_VALUE"""),44334.6666666666)</f>
        <v/>
      </c>
      <c r="N857" s="6">
        <f>IFERROR(__xludf.DUMMYFUNCTION("""COMPUTED_VALUE"""),13303.64)</f>
        <v/>
      </c>
      <c r="R857" s="6">
        <f>S857&amp;T857</f>
        <v/>
      </c>
      <c r="S857" s="6">
        <f>YEAR(U857)</f>
        <v/>
      </c>
      <c r="T857" s="6">
        <f>MONTH(U857)</f>
        <v/>
      </c>
      <c r="U857" s="267">
        <f>IFERROR(__xludf.DUMMYFUNCTION("""COMPUTED_VALUE"""),44375.6458333333)</f>
        <v/>
      </c>
      <c r="V857" s="6">
        <f>IFERROR(__xludf.DUMMYFUNCTION("""COMPUTED_VALUE"""),3301.89)</f>
        <v/>
      </c>
      <c r="Z857" s="6">
        <f>AA857&amp;AB857</f>
        <v/>
      </c>
      <c r="AA857" s="6">
        <f>YEAR(AC857)</f>
        <v/>
      </c>
      <c r="AB857" s="6">
        <f>MONTH(AC857)</f>
        <v/>
      </c>
      <c r="AC857" s="267">
        <f>IFERROR(__xludf.DUMMYFUNCTION("""COMPUTED_VALUE"""),43996.9986111111)</f>
        <v/>
      </c>
      <c r="AD857" s="6">
        <f>IFERROR(__xludf.DUMMYFUNCTION("""COMPUTED_VALUE"""),1202.61)</f>
        <v/>
      </c>
      <c r="AH857" s="6">
        <f>AI857&amp;AJ857</f>
        <v/>
      </c>
      <c r="AI857" s="6">
        <f>YEAR(AK857)</f>
        <v/>
      </c>
      <c r="AJ857" s="6">
        <f>MONTH(AK857)</f>
        <v/>
      </c>
      <c r="AK857" s="267">
        <f>IFERROR(__xludf.DUMMYFUNCTION("""COMPUTED_VALUE"""),43949.9986111111)</f>
        <v/>
      </c>
      <c r="AL857" s="6">
        <f>IFERROR(__xludf.DUMMYFUNCTION("""COMPUTED_VALUE"""),7759.237)</f>
        <v/>
      </c>
      <c r="AP857" s="6">
        <f>AQ857&amp;AR857</f>
        <v/>
      </c>
      <c r="AQ857" s="6">
        <f>YEAR(AS857)</f>
        <v/>
      </c>
      <c r="AR857" s="6">
        <f>MONTH(AS857)</f>
        <v/>
      </c>
      <c r="AS857" s="267">
        <f>IFERROR(__xludf.DUMMYFUNCTION("""COMPUTED_VALUE"""),44350.9986111111)</f>
        <v/>
      </c>
      <c r="AT857" s="6">
        <f>IFERROR(__xludf.DUMMYFUNCTION("""COMPUTED_VALUE"""),1873.3)</f>
        <v/>
      </c>
    </row>
    <row r="858">
      <c r="B858" s="6">
        <f>C858&amp;D858</f>
        <v/>
      </c>
      <c r="C858" s="6">
        <f>YEAR(E858)</f>
        <v/>
      </c>
      <c r="D858" s="6">
        <f>MONTH(E858)</f>
        <v/>
      </c>
      <c r="E858" s="267">
        <f>IFERROR(__xludf.DUMMYFUNCTION("""COMPUTED_VALUE"""),44342.6666666666)</f>
        <v/>
      </c>
      <c r="F858" s="6">
        <f>IFERROR(__xludf.DUMMYFUNCTION("""COMPUTED_VALUE"""),4195.99)</f>
        <v/>
      </c>
      <c r="J858" s="6">
        <f>K858&amp;L858</f>
        <v/>
      </c>
      <c r="K858" s="6">
        <f>YEAR(M858)</f>
        <v/>
      </c>
      <c r="L858" s="6">
        <f>MONTH(M858)</f>
        <v/>
      </c>
      <c r="M858" s="267">
        <f>IFERROR(__xludf.DUMMYFUNCTION("""COMPUTED_VALUE"""),44335.6666666666)</f>
        <v/>
      </c>
      <c r="N858" s="6">
        <f>IFERROR(__xludf.DUMMYFUNCTION("""COMPUTED_VALUE"""),13299.74)</f>
        <v/>
      </c>
      <c r="R858" s="6">
        <f>S858&amp;T858</f>
        <v/>
      </c>
      <c r="S858" s="6">
        <f>YEAR(U858)</f>
        <v/>
      </c>
      <c r="T858" s="6">
        <f>MONTH(U858)</f>
        <v/>
      </c>
      <c r="U858" s="267">
        <f>IFERROR(__xludf.DUMMYFUNCTION("""COMPUTED_VALUE"""),44376.6458333333)</f>
        <v/>
      </c>
      <c r="V858" s="6">
        <f>IFERROR(__xludf.DUMMYFUNCTION("""COMPUTED_VALUE"""),3286.68)</f>
        <v/>
      </c>
      <c r="Z858" s="6">
        <f>AA858&amp;AB858</f>
        <v/>
      </c>
      <c r="AA858" s="6">
        <f>YEAR(AC858)</f>
        <v/>
      </c>
      <c r="AB858" s="6">
        <f>MONTH(AC858)</f>
        <v/>
      </c>
      <c r="AC858" s="267">
        <f>IFERROR(__xludf.DUMMYFUNCTION("""COMPUTED_VALUE"""),43997.9986111111)</f>
        <v/>
      </c>
      <c r="AD858" s="6">
        <f>IFERROR(__xludf.DUMMYFUNCTION("""COMPUTED_VALUE"""),1206.9)</f>
        <v/>
      </c>
      <c r="AH858" s="6">
        <f>AI858&amp;AJ858</f>
        <v/>
      </c>
      <c r="AI858" s="6">
        <f>YEAR(AK858)</f>
        <v/>
      </c>
      <c r="AJ858" s="6">
        <f>MONTH(AK858)</f>
        <v/>
      </c>
      <c r="AK858" s="267">
        <f>IFERROR(__xludf.DUMMYFUNCTION("""COMPUTED_VALUE"""),43950.9986111111)</f>
        <v/>
      </c>
      <c r="AL858" s="6">
        <f>IFERROR(__xludf.DUMMYFUNCTION("""COMPUTED_VALUE"""),8778.735)</f>
        <v/>
      </c>
      <c r="AP858" s="6">
        <f>AQ858&amp;AR858</f>
        <v/>
      </c>
      <c r="AQ858" s="6">
        <f>YEAR(AS858)</f>
        <v/>
      </c>
      <c r="AR858" s="6">
        <f>MONTH(AS858)</f>
        <v/>
      </c>
      <c r="AS858" s="267">
        <f>IFERROR(__xludf.DUMMYFUNCTION("""COMPUTED_VALUE"""),44351.9986111111)</f>
        <v/>
      </c>
      <c r="AT858" s="6">
        <f>IFERROR(__xludf.DUMMYFUNCTION("""COMPUTED_VALUE"""),1892)</f>
        <v/>
      </c>
    </row>
    <row r="859">
      <c r="B859" s="6">
        <f>C859&amp;D859</f>
        <v/>
      </c>
      <c r="C859" s="6">
        <f>YEAR(E859)</f>
        <v/>
      </c>
      <c r="D859" s="6">
        <f>MONTH(E859)</f>
        <v/>
      </c>
      <c r="E859" s="267">
        <f>IFERROR(__xludf.DUMMYFUNCTION("""COMPUTED_VALUE"""),44343.6666666666)</f>
        <v/>
      </c>
      <c r="F859" s="6">
        <f>IFERROR(__xludf.DUMMYFUNCTION("""COMPUTED_VALUE"""),4200.88)</f>
        <v/>
      </c>
      <c r="J859" s="6">
        <f>K859&amp;L859</f>
        <v/>
      </c>
      <c r="K859" s="6">
        <f>YEAR(M859)</f>
        <v/>
      </c>
      <c r="L859" s="6">
        <f>MONTH(M859)</f>
        <v/>
      </c>
      <c r="M859" s="267">
        <f>IFERROR(__xludf.DUMMYFUNCTION("""COMPUTED_VALUE"""),44336.6666666666)</f>
        <v/>
      </c>
      <c r="N859" s="6">
        <f>IFERROR(__xludf.DUMMYFUNCTION("""COMPUTED_VALUE"""),13535.74)</f>
        <v/>
      </c>
      <c r="R859" s="6">
        <f>S859&amp;T859</f>
        <v/>
      </c>
      <c r="S859" s="6">
        <f>YEAR(U859)</f>
        <v/>
      </c>
      <c r="T859" s="6">
        <f>MONTH(U859)</f>
        <v/>
      </c>
      <c r="U859" s="267">
        <f>IFERROR(__xludf.DUMMYFUNCTION("""COMPUTED_VALUE"""),44377.6458333333)</f>
        <v/>
      </c>
      <c r="V859" s="6">
        <f>IFERROR(__xludf.DUMMYFUNCTION("""COMPUTED_VALUE"""),3296.68)</f>
        <v/>
      </c>
      <c r="Z859" s="6">
        <f>AA859&amp;AB859</f>
        <v/>
      </c>
      <c r="AA859" s="6">
        <f>YEAR(AC859)</f>
        <v/>
      </c>
      <c r="AB859" s="6">
        <f>MONTH(AC859)</f>
        <v/>
      </c>
      <c r="AC859" s="267">
        <f>IFERROR(__xludf.DUMMYFUNCTION("""COMPUTED_VALUE"""),43998.9986111111)</f>
        <v/>
      </c>
      <c r="AD859" s="6">
        <f>IFERROR(__xludf.DUMMYFUNCTION("""COMPUTED_VALUE"""),1211.15)</f>
        <v/>
      </c>
      <c r="AH859" s="6">
        <f>AI859&amp;AJ859</f>
        <v/>
      </c>
      <c r="AI859" s="6">
        <f>YEAR(AK859)</f>
        <v/>
      </c>
      <c r="AJ859" s="6">
        <f>MONTH(AK859)</f>
        <v/>
      </c>
      <c r="AK859" s="267">
        <f>IFERROR(__xludf.DUMMYFUNCTION("""COMPUTED_VALUE"""),43951.9986111111)</f>
        <v/>
      </c>
      <c r="AL859" s="6">
        <f>IFERROR(__xludf.DUMMYFUNCTION("""COMPUTED_VALUE"""),8631.604)</f>
        <v/>
      </c>
      <c r="AP859" s="6">
        <f>AQ859&amp;AR859</f>
        <v/>
      </c>
      <c r="AQ859" s="6">
        <f>YEAR(AS859)</f>
        <v/>
      </c>
      <c r="AR859" s="6">
        <f>MONTH(AS859)</f>
        <v/>
      </c>
      <c r="AS859" s="267">
        <f>IFERROR(__xludf.DUMMYFUNCTION("""COMPUTED_VALUE"""),44354.9986111111)</f>
        <v/>
      </c>
      <c r="AT859" s="6">
        <f>IFERROR(__xludf.DUMMYFUNCTION("""COMPUTED_VALUE"""),1898.8)</f>
        <v/>
      </c>
    </row>
    <row r="860">
      <c r="B860" s="6">
        <f>C860&amp;D860</f>
        <v/>
      </c>
      <c r="C860" s="6">
        <f>YEAR(E860)</f>
        <v/>
      </c>
      <c r="D860" s="6">
        <f>MONTH(E860)</f>
        <v/>
      </c>
      <c r="E860" s="267">
        <f>IFERROR(__xludf.DUMMYFUNCTION("""COMPUTED_VALUE"""),44344.6666666666)</f>
        <v/>
      </c>
      <c r="F860" s="6">
        <f>IFERROR(__xludf.DUMMYFUNCTION("""COMPUTED_VALUE"""),4204.11)</f>
        <v/>
      </c>
      <c r="J860" s="6">
        <f>K860&amp;L860</f>
        <v/>
      </c>
      <c r="K860" s="6">
        <f>YEAR(M860)</f>
        <v/>
      </c>
      <c r="L860" s="6">
        <f>MONTH(M860)</f>
        <v/>
      </c>
      <c r="M860" s="267">
        <f>IFERROR(__xludf.DUMMYFUNCTION("""COMPUTED_VALUE"""),44337.6666666666)</f>
        <v/>
      </c>
      <c r="N860" s="6">
        <f>IFERROR(__xludf.DUMMYFUNCTION("""COMPUTED_VALUE"""),13470.99)</f>
        <v/>
      </c>
      <c r="R860" s="6">
        <f>S860&amp;T860</f>
        <v/>
      </c>
      <c r="S860" s="6">
        <f>YEAR(U860)</f>
        <v/>
      </c>
      <c r="T860" s="6">
        <f>MONTH(U860)</f>
        <v/>
      </c>
      <c r="U860" s="267">
        <f>IFERROR(__xludf.DUMMYFUNCTION("""COMPUTED_VALUE"""),44378.6458333333)</f>
        <v/>
      </c>
      <c r="V860" s="6">
        <f>IFERROR(__xludf.DUMMYFUNCTION("""COMPUTED_VALUE"""),3282.06)</f>
        <v/>
      </c>
      <c r="Z860" s="6">
        <f>AA860&amp;AB860</f>
        <v/>
      </c>
      <c r="AA860" s="6">
        <f>YEAR(AC860)</f>
        <v/>
      </c>
      <c r="AB860" s="6">
        <f>MONTH(AC860)</f>
        <v/>
      </c>
      <c r="AC860" s="267">
        <f>IFERROR(__xludf.DUMMYFUNCTION("""COMPUTED_VALUE"""),43999.9986111111)</f>
        <v/>
      </c>
      <c r="AD860" s="6">
        <f>IFERROR(__xludf.DUMMYFUNCTION("""COMPUTED_VALUE"""),1214.35)</f>
        <v/>
      </c>
      <c r="AH860" s="6">
        <f>AI860&amp;AJ860</f>
        <v/>
      </c>
      <c r="AI860" s="6">
        <f>YEAR(AK860)</f>
        <v/>
      </c>
      <c r="AJ860" s="6">
        <f>MONTH(AK860)</f>
        <v/>
      </c>
      <c r="AK860" s="267">
        <f>IFERROR(__xludf.DUMMYFUNCTION("""COMPUTED_VALUE"""),43952.9986111111)</f>
        <v/>
      </c>
      <c r="AL860" s="6">
        <f>IFERROR(__xludf.DUMMYFUNCTION("""COMPUTED_VALUE"""),8826.523)</f>
        <v/>
      </c>
      <c r="AP860" s="6">
        <f>AQ860&amp;AR860</f>
        <v/>
      </c>
      <c r="AQ860" s="6">
        <f>YEAR(AS860)</f>
        <v/>
      </c>
      <c r="AR860" s="6">
        <f>MONTH(AS860)</f>
        <v/>
      </c>
      <c r="AS860" s="267">
        <f>IFERROR(__xludf.DUMMYFUNCTION("""COMPUTED_VALUE"""),44355.9986111111)</f>
        <v/>
      </c>
      <c r="AT860" s="6">
        <f>IFERROR(__xludf.DUMMYFUNCTION("""COMPUTED_VALUE"""),1894.4)</f>
        <v/>
      </c>
    </row>
    <row r="861">
      <c r="B861" s="6">
        <f>C861&amp;D861</f>
        <v/>
      </c>
      <c r="C861" s="6">
        <f>YEAR(E861)</f>
        <v/>
      </c>
      <c r="D861" s="6">
        <f>MONTH(E861)</f>
        <v/>
      </c>
      <c r="E861" s="267">
        <f>IFERROR(__xludf.DUMMYFUNCTION("""COMPUTED_VALUE"""),44348.6666666666)</f>
        <v/>
      </c>
      <c r="F861" s="6">
        <f>IFERROR(__xludf.DUMMYFUNCTION("""COMPUTED_VALUE"""),4202.04)</f>
        <v/>
      </c>
      <c r="J861" s="6">
        <f>K861&amp;L861</f>
        <v/>
      </c>
      <c r="K861" s="6">
        <f>YEAR(M861)</f>
        <v/>
      </c>
      <c r="L861" s="6">
        <f>MONTH(M861)</f>
        <v/>
      </c>
      <c r="M861" s="267">
        <f>IFERROR(__xludf.DUMMYFUNCTION("""COMPUTED_VALUE"""),44340.6666666666)</f>
        <v/>
      </c>
      <c r="N861" s="6">
        <f>IFERROR(__xludf.DUMMYFUNCTION("""COMPUTED_VALUE"""),13661.17)</f>
        <v/>
      </c>
      <c r="R861" s="6">
        <f>S861&amp;T861</f>
        <v/>
      </c>
      <c r="S861" s="6">
        <f>YEAR(U861)</f>
        <v/>
      </c>
      <c r="T861" s="6">
        <f>MONTH(U861)</f>
        <v/>
      </c>
      <c r="U861" s="267">
        <f>IFERROR(__xludf.DUMMYFUNCTION("""COMPUTED_VALUE"""),44379.6458333333)</f>
        <v/>
      </c>
      <c r="V861" s="6">
        <f>IFERROR(__xludf.DUMMYFUNCTION("""COMPUTED_VALUE"""),3281.78)</f>
        <v/>
      </c>
      <c r="Z861" s="6">
        <f>AA861&amp;AB861</f>
        <v/>
      </c>
      <c r="AA861" s="6">
        <f>YEAR(AC861)</f>
        <v/>
      </c>
      <c r="AB861" s="6">
        <f>MONTH(AC861)</f>
        <v/>
      </c>
      <c r="AC861" s="267">
        <f>IFERROR(__xludf.DUMMYFUNCTION("""COMPUTED_VALUE"""),44000.9986111111)</f>
        <v/>
      </c>
      <c r="AD861" s="6">
        <f>IFERROR(__xludf.DUMMYFUNCTION("""COMPUTED_VALUE"""),1211.36)</f>
        <v/>
      </c>
      <c r="AH861" s="6">
        <f>AI861&amp;AJ861</f>
        <v/>
      </c>
      <c r="AI861" s="6">
        <f>YEAR(AK861)</f>
        <v/>
      </c>
      <c r="AJ861" s="6">
        <f>MONTH(AK861)</f>
        <v/>
      </c>
      <c r="AK861" s="267">
        <f>IFERROR(__xludf.DUMMYFUNCTION("""COMPUTED_VALUE"""),43953.9986111111)</f>
        <v/>
      </c>
      <c r="AL861" s="6">
        <f>IFERROR(__xludf.DUMMYFUNCTION("""COMPUTED_VALUE"""),8978.361)</f>
        <v/>
      </c>
      <c r="AP861" s="6">
        <f>AQ861&amp;AR861</f>
        <v/>
      </c>
      <c r="AQ861" s="6">
        <f>YEAR(AS861)</f>
        <v/>
      </c>
      <c r="AR861" s="6">
        <f>MONTH(AS861)</f>
        <v/>
      </c>
      <c r="AS861" s="267">
        <f>IFERROR(__xludf.DUMMYFUNCTION("""COMPUTED_VALUE"""),44356.9986111111)</f>
        <v/>
      </c>
      <c r="AT861" s="6">
        <f>IFERROR(__xludf.DUMMYFUNCTION("""COMPUTED_VALUE"""),1895.5)</f>
        <v/>
      </c>
    </row>
    <row r="862">
      <c r="B862" s="6">
        <f>C862&amp;D862</f>
        <v/>
      </c>
      <c r="C862" s="6">
        <f>YEAR(E862)</f>
        <v/>
      </c>
      <c r="D862" s="6">
        <f>MONTH(E862)</f>
        <v/>
      </c>
      <c r="E862" s="267">
        <f>IFERROR(__xludf.DUMMYFUNCTION("""COMPUTED_VALUE"""),44349.6666666666)</f>
        <v/>
      </c>
      <c r="F862" s="6">
        <f>IFERROR(__xludf.DUMMYFUNCTION("""COMPUTED_VALUE"""),4208.12)</f>
        <v/>
      </c>
      <c r="J862" s="6">
        <f>K862&amp;L862</f>
        <v/>
      </c>
      <c r="K862" s="6">
        <f>YEAR(M862)</f>
        <v/>
      </c>
      <c r="L862" s="6">
        <f>MONTH(M862)</f>
        <v/>
      </c>
      <c r="M862" s="267">
        <f>IFERROR(__xludf.DUMMYFUNCTION("""COMPUTED_VALUE"""),44341.6666666666)</f>
        <v/>
      </c>
      <c r="N862" s="6">
        <f>IFERROR(__xludf.DUMMYFUNCTION("""COMPUTED_VALUE"""),13657.17)</f>
        <v/>
      </c>
      <c r="R862" s="6">
        <f>S862&amp;T862</f>
        <v/>
      </c>
      <c r="S862" s="6">
        <f>YEAR(U862)</f>
        <v/>
      </c>
      <c r="T862" s="6">
        <f>MONTH(U862)</f>
        <v/>
      </c>
      <c r="U862" s="267">
        <f>IFERROR(__xludf.DUMMYFUNCTION("""COMPUTED_VALUE"""),44382.6458333333)</f>
        <v/>
      </c>
      <c r="V862" s="6">
        <f>IFERROR(__xludf.DUMMYFUNCTION("""COMPUTED_VALUE"""),3293.21)</f>
        <v/>
      </c>
      <c r="Z862" s="6">
        <f>AA862&amp;AB862</f>
        <v/>
      </c>
      <c r="AA862" s="6">
        <f>YEAR(AC862)</f>
        <v/>
      </c>
      <c r="AB862" s="6">
        <f>MONTH(AC862)</f>
        <v/>
      </c>
      <c r="AC862" s="267">
        <f>IFERROR(__xludf.DUMMYFUNCTION("""COMPUTED_VALUE"""),44001.9986111111)</f>
        <v/>
      </c>
      <c r="AD862" s="6">
        <f>IFERROR(__xludf.DUMMYFUNCTION("""COMPUTED_VALUE"""),1211.83)</f>
        <v/>
      </c>
      <c r="AH862" s="6">
        <f>AI862&amp;AJ862</f>
        <v/>
      </c>
      <c r="AI862" s="6">
        <f>YEAR(AK862)</f>
        <v/>
      </c>
      <c r="AJ862" s="6">
        <f>MONTH(AK862)</f>
        <v/>
      </c>
      <c r="AK862" s="267">
        <f>IFERROR(__xludf.DUMMYFUNCTION("""COMPUTED_VALUE"""),43954.9986111111)</f>
        <v/>
      </c>
      <c r="AL862" s="6">
        <f>IFERROR(__xludf.DUMMYFUNCTION("""COMPUTED_VALUE"""),8905.148)</f>
        <v/>
      </c>
      <c r="AP862" s="6">
        <f>AQ862&amp;AR862</f>
        <v/>
      </c>
      <c r="AQ862" s="6">
        <f>YEAR(AS862)</f>
        <v/>
      </c>
      <c r="AR862" s="6">
        <f>MONTH(AS862)</f>
        <v/>
      </c>
      <c r="AS862" s="267">
        <f>IFERROR(__xludf.DUMMYFUNCTION("""COMPUTED_VALUE"""),44357.9986111111)</f>
        <v/>
      </c>
      <c r="AT862" s="6">
        <f>IFERROR(__xludf.DUMMYFUNCTION("""COMPUTED_VALUE"""),1896.4)</f>
        <v/>
      </c>
    </row>
    <row r="863">
      <c r="B863" s="6">
        <f>C863&amp;D863</f>
        <v/>
      </c>
      <c r="C863" s="6">
        <f>YEAR(E863)</f>
        <v/>
      </c>
      <c r="D863" s="6">
        <f>MONTH(E863)</f>
        <v/>
      </c>
      <c r="E863" s="267">
        <f>IFERROR(__xludf.DUMMYFUNCTION("""COMPUTED_VALUE"""),44350.6666666666)</f>
        <v/>
      </c>
      <c r="F863" s="6">
        <f>IFERROR(__xludf.DUMMYFUNCTION("""COMPUTED_VALUE"""),4192.85)</f>
        <v/>
      </c>
      <c r="J863" s="6">
        <f>K863&amp;L863</f>
        <v/>
      </c>
      <c r="K863" s="6">
        <f>YEAR(M863)</f>
        <v/>
      </c>
      <c r="L863" s="6">
        <f>MONTH(M863)</f>
        <v/>
      </c>
      <c r="M863" s="267">
        <f>IFERROR(__xludf.DUMMYFUNCTION("""COMPUTED_VALUE"""),44342.6666666666)</f>
        <v/>
      </c>
      <c r="N863" s="6">
        <f>IFERROR(__xludf.DUMMYFUNCTION("""COMPUTED_VALUE"""),13738)</f>
        <v/>
      </c>
      <c r="R863" s="6">
        <f>S863&amp;T863</f>
        <v/>
      </c>
      <c r="S863" s="6">
        <f>YEAR(U863)</f>
        <v/>
      </c>
      <c r="T863" s="6">
        <f>MONTH(U863)</f>
        <v/>
      </c>
      <c r="U863" s="267">
        <f>IFERROR(__xludf.DUMMYFUNCTION("""COMPUTED_VALUE"""),44383.6458333333)</f>
        <v/>
      </c>
      <c r="V863" s="6">
        <f>IFERROR(__xludf.DUMMYFUNCTION("""COMPUTED_VALUE"""),3305.21)</f>
        <v/>
      </c>
      <c r="Z863" s="6">
        <f>AA863&amp;AB863</f>
        <v/>
      </c>
      <c r="AA863" s="6">
        <f>YEAR(AC863)</f>
        <v/>
      </c>
      <c r="AB863" s="6">
        <f>MONTH(AC863)</f>
        <v/>
      </c>
      <c r="AC863" s="267">
        <f>IFERROR(__xludf.DUMMYFUNCTION("""COMPUTED_VALUE"""),44002.9986111111)</f>
        <v/>
      </c>
      <c r="AD863" s="6">
        <f>IFERROR(__xludf.DUMMYFUNCTION("""COMPUTED_VALUE"""),1211.83)</f>
        <v/>
      </c>
      <c r="AH863" s="6">
        <f>AI863&amp;AJ863</f>
        <v/>
      </c>
      <c r="AI863" s="6">
        <f>YEAR(AK863)</f>
        <v/>
      </c>
      <c r="AJ863" s="6">
        <f>MONTH(AK863)</f>
        <v/>
      </c>
      <c r="AK863" s="267">
        <f>IFERROR(__xludf.DUMMYFUNCTION("""COMPUTED_VALUE"""),43955.9986111111)</f>
        <v/>
      </c>
      <c r="AL863" s="6">
        <f>IFERROR(__xludf.DUMMYFUNCTION("""COMPUTED_VALUE"""),8882.118)</f>
        <v/>
      </c>
      <c r="AP863" s="6">
        <f>AQ863&amp;AR863</f>
        <v/>
      </c>
      <c r="AQ863" s="6">
        <f>YEAR(AS863)</f>
        <v/>
      </c>
      <c r="AR863" s="6">
        <f>MONTH(AS863)</f>
        <v/>
      </c>
      <c r="AS863" s="267">
        <f>IFERROR(__xludf.DUMMYFUNCTION("""COMPUTED_VALUE"""),44358.9986111111)</f>
        <v/>
      </c>
      <c r="AT863" s="6">
        <f>IFERROR(__xludf.DUMMYFUNCTION("""COMPUTED_VALUE"""),1879.6)</f>
        <v/>
      </c>
    </row>
    <row r="864">
      <c r="B864" s="6">
        <f>C864&amp;D864</f>
        <v/>
      </c>
      <c r="C864" s="6">
        <f>YEAR(E864)</f>
        <v/>
      </c>
      <c r="D864" s="6">
        <f>MONTH(E864)</f>
        <v/>
      </c>
      <c r="E864" s="267">
        <f>IFERROR(__xludf.DUMMYFUNCTION("""COMPUTED_VALUE"""),44351.6666666666)</f>
        <v/>
      </c>
      <c r="F864" s="6">
        <f>IFERROR(__xludf.DUMMYFUNCTION("""COMPUTED_VALUE"""),4229.89)</f>
        <v/>
      </c>
      <c r="J864" s="6">
        <f>K864&amp;L864</f>
        <v/>
      </c>
      <c r="K864" s="6">
        <f>YEAR(M864)</f>
        <v/>
      </c>
      <c r="L864" s="6">
        <f>MONTH(M864)</f>
        <v/>
      </c>
      <c r="M864" s="267">
        <f>IFERROR(__xludf.DUMMYFUNCTION("""COMPUTED_VALUE"""),44343.6666666666)</f>
        <v/>
      </c>
      <c r="N864" s="6">
        <f>IFERROR(__xludf.DUMMYFUNCTION("""COMPUTED_VALUE"""),13736.28)</f>
        <v/>
      </c>
      <c r="R864" s="6">
        <f>S864&amp;T864</f>
        <v/>
      </c>
      <c r="S864" s="6">
        <f>YEAR(U864)</f>
        <v/>
      </c>
      <c r="T864" s="6">
        <f>MONTH(U864)</f>
        <v/>
      </c>
      <c r="U864" s="267">
        <f>IFERROR(__xludf.DUMMYFUNCTION("""COMPUTED_VALUE"""),44384.6458333333)</f>
        <v/>
      </c>
      <c r="V864" s="6">
        <f>IFERROR(__xludf.DUMMYFUNCTION("""COMPUTED_VALUE"""),3285.34)</f>
        <v/>
      </c>
      <c r="Z864" s="6">
        <f>AA864&amp;AB864</f>
        <v/>
      </c>
      <c r="AA864" s="6">
        <f>YEAR(AC864)</f>
        <v/>
      </c>
      <c r="AB864" s="6">
        <f>MONTH(AC864)</f>
        <v/>
      </c>
      <c r="AC864" s="267">
        <f>IFERROR(__xludf.DUMMYFUNCTION("""COMPUTED_VALUE"""),44003.9986111111)</f>
        <v/>
      </c>
      <c r="AD864" s="6">
        <f>IFERROR(__xludf.DUMMYFUNCTION("""COMPUTED_VALUE"""),1210.89)</f>
        <v/>
      </c>
      <c r="AH864" s="6">
        <f>AI864&amp;AJ864</f>
        <v/>
      </c>
      <c r="AI864" s="6">
        <f>YEAR(AK864)</f>
        <v/>
      </c>
      <c r="AJ864" s="6">
        <f>MONTH(AK864)</f>
        <v/>
      </c>
      <c r="AK864" s="267">
        <f>IFERROR(__xludf.DUMMYFUNCTION("""COMPUTED_VALUE"""),43956.9986111111)</f>
        <v/>
      </c>
      <c r="AL864" s="6">
        <f>IFERROR(__xludf.DUMMYFUNCTION("""COMPUTED_VALUE"""),9024.511)</f>
        <v/>
      </c>
      <c r="AP864" s="6">
        <f>AQ864&amp;AR864</f>
        <v/>
      </c>
      <c r="AQ864" s="6">
        <f>YEAR(AS864)</f>
        <v/>
      </c>
      <c r="AR864" s="6">
        <f>MONTH(AS864)</f>
        <v/>
      </c>
      <c r="AS864" s="267">
        <f>IFERROR(__xludf.DUMMYFUNCTION("""COMPUTED_VALUE"""),44361.9986111111)</f>
        <v/>
      </c>
      <c r="AT864" s="6">
        <f>IFERROR(__xludf.DUMMYFUNCTION("""COMPUTED_VALUE"""),1865.9)</f>
        <v/>
      </c>
    </row>
    <row r="865">
      <c r="B865" s="6">
        <f>C865&amp;D865</f>
        <v/>
      </c>
      <c r="C865" s="6">
        <f>YEAR(E865)</f>
        <v/>
      </c>
      <c r="D865" s="6">
        <f>MONTH(E865)</f>
        <v/>
      </c>
      <c r="E865" s="267">
        <f>IFERROR(__xludf.DUMMYFUNCTION("""COMPUTED_VALUE"""),44354.6666666666)</f>
        <v/>
      </c>
      <c r="F865" s="6">
        <f>IFERROR(__xludf.DUMMYFUNCTION("""COMPUTED_VALUE"""),4226.52)</f>
        <v/>
      </c>
      <c r="J865" s="6">
        <f>K865&amp;L865</f>
        <v/>
      </c>
      <c r="K865" s="6">
        <f>YEAR(M865)</f>
        <v/>
      </c>
      <c r="L865" s="6">
        <f>MONTH(M865)</f>
        <v/>
      </c>
      <c r="M865" s="267">
        <f>IFERROR(__xludf.DUMMYFUNCTION("""COMPUTED_VALUE"""),44344.6666666666)</f>
        <v/>
      </c>
      <c r="N865" s="6">
        <f>IFERROR(__xludf.DUMMYFUNCTION("""COMPUTED_VALUE"""),13748.74)</f>
        <v/>
      </c>
      <c r="R865" s="6">
        <f>S865&amp;T865</f>
        <v/>
      </c>
      <c r="S865" s="6">
        <f>YEAR(U865)</f>
        <v/>
      </c>
      <c r="T865" s="6">
        <f>MONTH(U865)</f>
        <v/>
      </c>
      <c r="U865" s="267">
        <f>IFERROR(__xludf.DUMMYFUNCTION("""COMPUTED_VALUE"""),44385.6458333333)</f>
        <v/>
      </c>
      <c r="V865" s="6">
        <f>IFERROR(__xludf.DUMMYFUNCTION("""COMPUTED_VALUE"""),3252.68)</f>
        <v/>
      </c>
      <c r="Z865" s="6">
        <f>AA865&amp;AB865</f>
        <v/>
      </c>
      <c r="AA865" s="6">
        <f>YEAR(AC865)</f>
        <v/>
      </c>
      <c r="AB865" s="6">
        <f>MONTH(AC865)</f>
        <v/>
      </c>
      <c r="AC865" s="267">
        <f>IFERROR(__xludf.DUMMYFUNCTION("""COMPUTED_VALUE"""),44004.9986111111)</f>
        <v/>
      </c>
      <c r="AD865" s="6">
        <f>IFERROR(__xludf.DUMMYFUNCTION("""COMPUTED_VALUE"""),1208)</f>
        <v/>
      </c>
      <c r="AH865" s="6">
        <f>AI865&amp;AJ865</f>
        <v/>
      </c>
      <c r="AI865" s="6">
        <f>YEAR(AK865)</f>
        <v/>
      </c>
      <c r="AJ865" s="6">
        <f>MONTH(AK865)</f>
        <v/>
      </c>
      <c r="AK865" s="267">
        <f>IFERROR(__xludf.DUMMYFUNCTION("""COMPUTED_VALUE"""),43957.9986111111)</f>
        <v/>
      </c>
      <c r="AL865" s="6">
        <f>IFERROR(__xludf.DUMMYFUNCTION("""COMPUTED_VALUE"""),9153.317)</f>
        <v/>
      </c>
      <c r="AP865" s="6">
        <f>AQ865&amp;AR865</f>
        <v/>
      </c>
      <c r="AQ865" s="6">
        <f>YEAR(AS865)</f>
        <v/>
      </c>
      <c r="AR865" s="6">
        <f>MONTH(AS865)</f>
        <v/>
      </c>
      <c r="AS865" s="267">
        <f>IFERROR(__xludf.DUMMYFUNCTION("""COMPUTED_VALUE"""),44362.9986111111)</f>
        <v/>
      </c>
      <c r="AT865" s="6">
        <f>IFERROR(__xludf.DUMMYFUNCTION("""COMPUTED_VALUE"""),1856.4)</f>
        <v/>
      </c>
    </row>
    <row r="866">
      <c r="B866" s="6">
        <f>C866&amp;D866</f>
        <v/>
      </c>
      <c r="C866" s="6">
        <f>YEAR(E866)</f>
        <v/>
      </c>
      <c r="D866" s="6">
        <f>MONTH(E866)</f>
        <v/>
      </c>
      <c r="E866" s="267">
        <f>IFERROR(__xludf.DUMMYFUNCTION("""COMPUTED_VALUE"""),44355.6666666666)</f>
        <v/>
      </c>
      <c r="F866" s="6">
        <f>IFERROR(__xludf.DUMMYFUNCTION("""COMPUTED_VALUE"""),4227.26)</f>
        <v/>
      </c>
      <c r="J866" s="6">
        <f>K866&amp;L866</f>
        <v/>
      </c>
      <c r="K866" s="6">
        <f>YEAR(M866)</f>
        <v/>
      </c>
      <c r="L866" s="6">
        <f>MONTH(M866)</f>
        <v/>
      </c>
      <c r="M866" s="267">
        <f>IFERROR(__xludf.DUMMYFUNCTION("""COMPUTED_VALUE"""),44348.6666666666)</f>
        <v/>
      </c>
      <c r="N866" s="6">
        <f>IFERROR(__xludf.DUMMYFUNCTION("""COMPUTED_VALUE"""),13736.48)</f>
        <v/>
      </c>
      <c r="R866" s="6">
        <f>S866&amp;T866</f>
        <v/>
      </c>
      <c r="S866" s="6">
        <f>YEAR(U866)</f>
        <v/>
      </c>
      <c r="T866" s="6">
        <f>MONTH(U866)</f>
        <v/>
      </c>
      <c r="U866" s="267">
        <f>IFERROR(__xludf.DUMMYFUNCTION("""COMPUTED_VALUE"""),44386.6458333333)</f>
        <v/>
      </c>
      <c r="V866" s="6">
        <f>IFERROR(__xludf.DUMMYFUNCTION("""COMPUTED_VALUE"""),3217.95)</f>
        <v/>
      </c>
      <c r="Z866" s="6">
        <f>AA866&amp;AB866</f>
        <v/>
      </c>
      <c r="AA866" s="6">
        <f>YEAR(AC866)</f>
        <v/>
      </c>
      <c r="AB866" s="6">
        <f>MONTH(AC866)</f>
        <v/>
      </c>
      <c r="AC866" s="267">
        <f>IFERROR(__xludf.DUMMYFUNCTION("""COMPUTED_VALUE"""),44005.9986111111)</f>
        <v/>
      </c>
      <c r="AD866" s="6">
        <f>IFERROR(__xludf.DUMMYFUNCTION("""COMPUTED_VALUE"""),1207.95)</f>
        <v/>
      </c>
      <c r="AH866" s="6">
        <f>AI866&amp;AJ866</f>
        <v/>
      </c>
      <c r="AI866" s="6">
        <f>YEAR(AK866)</f>
        <v/>
      </c>
      <c r="AJ866" s="6">
        <f>MONTH(AK866)</f>
        <v/>
      </c>
      <c r="AK866" s="267">
        <f>IFERROR(__xludf.DUMMYFUNCTION("""COMPUTED_VALUE"""),43958.9986111111)</f>
        <v/>
      </c>
      <c r="AL866" s="6">
        <f>IFERROR(__xludf.DUMMYFUNCTION("""COMPUTED_VALUE"""),9986.479)</f>
        <v/>
      </c>
      <c r="AP866" s="6">
        <f>AQ866&amp;AR866</f>
        <v/>
      </c>
      <c r="AQ866" s="6">
        <f>YEAR(AS866)</f>
        <v/>
      </c>
      <c r="AR866" s="6">
        <f>MONTH(AS866)</f>
        <v/>
      </c>
      <c r="AS866" s="267">
        <f>IFERROR(__xludf.DUMMYFUNCTION("""COMPUTED_VALUE"""),44363.9986111111)</f>
        <v/>
      </c>
      <c r="AT866" s="6">
        <f>IFERROR(__xludf.DUMMYFUNCTION("""COMPUTED_VALUE"""),1861.4)</f>
        <v/>
      </c>
    </row>
    <row r="867">
      <c r="B867" s="6">
        <f>C867&amp;D867</f>
        <v/>
      </c>
      <c r="C867" s="6">
        <f>YEAR(E867)</f>
        <v/>
      </c>
      <c r="D867" s="6">
        <f>MONTH(E867)</f>
        <v/>
      </c>
      <c r="E867" s="267">
        <f>IFERROR(__xludf.DUMMYFUNCTION("""COMPUTED_VALUE"""),44356.6666666666)</f>
        <v/>
      </c>
      <c r="F867" s="6">
        <f>IFERROR(__xludf.DUMMYFUNCTION("""COMPUTED_VALUE"""),4219.55)</f>
        <v/>
      </c>
      <c r="J867" s="6">
        <f>K867&amp;L867</f>
        <v/>
      </c>
      <c r="K867" s="6">
        <f>YEAR(M867)</f>
        <v/>
      </c>
      <c r="L867" s="6">
        <f>MONTH(M867)</f>
        <v/>
      </c>
      <c r="M867" s="267">
        <f>IFERROR(__xludf.DUMMYFUNCTION("""COMPUTED_VALUE"""),44349.6666666666)</f>
        <v/>
      </c>
      <c r="N867" s="6">
        <f>IFERROR(__xludf.DUMMYFUNCTION("""COMPUTED_VALUE"""),13756.33)</f>
        <v/>
      </c>
      <c r="R867" s="6">
        <f>S867&amp;T867</f>
        <v/>
      </c>
      <c r="S867" s="6">
        <f>YEAR(U867)</f>
        <v/>
      </c>
      <c r="T867" s="6">
        <f>MONTH(U867)</f>
        <v/>
      </c>
      <c r="U867" s="267">
        <f>IFERROR(__xludf.DUMMYFUNCTION("""COMPUTED_VALUE"""),44389.6458333333)</f>
        <v/>
      </c>
      <c r="V867" s="6">
        <f>IFERROR(__xludf.DUMMYFUNCTION("""COMPUTED_VALUE"""),3246.47)</f>
        <v/>
      </c>
      <c r="Z867" s="6">
        <f>AA867&amp;AB867</f>
        <v/>
      </c>
      <c r="AA867" s="6">
        <f>YEAR(AC867)</f>
        <v/>
      </c>
      <c r="AB867" s="6">
        <f>MONTH(AC867)</f>
        <v/>
      </c>
      <c r="AC867" s="267">
        <f>IFERROR(__xludf.DUMMYFUNCTION("""COMPUTED_VALUE"""),44006.9986111111)</f>
        <v/>
      </c>
      <c r="AD867" s="6">
        <f>IFERROR(__xludf.DUMMYFUNCTION("""COMPUTED_VALUE"""),1205.25)</f>
        <v/>
      </c>
      <c r="AH867" s="6">
        <f>AI867&amp;AJ867</f>
        <v/>
      </c>
      <c r="AI867" s="6">
        <f>YEAR(AK867)</f>
        <v/>
      </c>
      <c r="AJ867" s="6">
        <f>MONTH(AK867)</f>
        <v/>
      </c>
      <c r="AK867" s="267">
        <f>IFERROR(__xludf.DUMMYFUNCTION("""COMPUTED_VALUE"""),43959.9986111111)</f>
        <v/>
      </c>
      <c r="AL867" s="6">
        <f>IFERROR(__xludf.DUMMYFUNCTION("""COMPUTED_VALUE"""),9807.23)</f>
        <v/>
      </c>
      <c r="AP867" s="6">
        <f>AQ867&amp;AR867</f>
        <v/>
      </c>
      <c r="AQ867" s="6">
        <f>YEAR(AS867)</f>
        <v/>
      </c>
      <c r="AR867" s="6">
        <f>MONTH(AS867)</f>
        <v/>
      </c>
      <c r="AS867" s="267">
        <f>IFERROR(__xludf.DUMMYFUNCTION("""COMPUTED_VALUE"""),44364.9986111111)</f>
        <v/>
      </c>
      <c r="AT867" s="6">
        <f>IFERROR(__xludf.DUMMYFUNCTION("""COMPUTED_VALUE"""),1774.8)</f>
        <v/>
      </c>
    </row>
    <row r="868">
      <c r="B868" s="6">
        <f>C868&amp;D868</f>
        <v/>
      </c>
      <c r="C868" s="6">
        <f>YEAR(E868)</f>
        <v/>
      </c>
      <c r="D868" s="6">
        <f>MONTH(E868)</f>
        <v/>
      </c>
      <c r="E868" s="267">
        <f>IFERROR(__xludf.DUMMYFUNCTION("""COMPUTED_VALUE"""),44357.6666666666)</f>
        <v/>
      </c>
      <c r="F868" s="6">
        <f>IFERROR(__xludf.DUMMYFUNCTION("""COMPUTED_VALUE"""),4239.18)</f>
        <v/>
      </c>
      <c r="J868" s="6">
        <f>K868&amp;L868</f>
        <v/>
      </c>
      <c r="K868" s="6">
        <f>YEAR(M868)</f>
        <v/>
      </c>
      <c r="L868" s="6">
        <f>MONTH(M868)</f>
        <v/>
      </c>
      <c r="M868" s="267">
        <f>IFERROR(__xludf.DUMMYFUNCTION("""COMPUTED_VALUE"""),44350.6666666666)</f>
        <v/>
      </c>
      <c r="N868" s="6">
        <f>IFERROR(__xludf.DUMMYFUNCTION("""COMPUTED_VALUE"""),13614.51)</f>
        <v/>
      </c>
      <c r="R868" s="6">
        <f>S868&amp;T868</f>
        <v/>
      </c>
      <c r="S868" s="6">
        <f>YEAR(U868)</f>
        <v/>
      </c>
      <c r="T868" s="6">
        <f>MONTH(U868)</f>
        <v/>
      </c>
      <c r="U868" s="267">
        <f>IFERROR(__xludf.DUMMYFUNCTION("""COMPUTED_VALUE"""),44390.6458333333)</f>
        <v/>
      </c>
      <c r="V868" s="6">
        <f>IFERROR(__xludf.DUMMYFUNCTION("""COMPUTED_VALUE"""),3271.38)</f>
        <v/>
      </c>
      <c r="Z868" s="6">
        <f>AA868&amp;AB868</f>
        <v/>
      </c>
      <c r="AA868" s="6">
        <f>YEAR(AC868)</f>
        <v/>
      </c>
      <c r="AB868" s="6">
        <f>MONTH(AC868)</f>
        <v/>
      </c>
      <c r="AC868" s="267">
        <f>IFERROR(__xludf.DUMMYFUNCTION("""COMPUTED_VALUE"""),44007.9986111111)</f>
        <v/>
      </c>
      <c r="AD868" s="6">
        <f>IFERROR(__xludf.DUMMYFUNCTION("""COMPUTED_VALUE"""),1201.52)</f>
        <v/>
      </c>
      <c r="AH868" s="6">
        <f>AI868&amp;AJ868</f>
        <v/>
      </c>
      <c r="AI868" s="6">
        <f>YEAR(AK868)</f>
        <v/>
      </c>
      <c r="AJ868" s="6">
        <f>MONTH(AK868)</f>
        <v/>
      </c>
      <c r="AK868" s="267">
        <f>IFERROR(__xludf.DUMMYFUNCTION("""COMPUTED_VALUE"""),43960.9986111111)</f>
        <v/>
      </c>
      <c r="AL868" s="6">
        <f>IFERROR(__xludf.DUMMYFUNCTION("""COMPUTED_VALUE"""),9537.408)</f>
        <v/>
      </c>
      <c r="AP868" s="6">
        <f>AQ868&amp;AR868</f>
        <v/>
      </c>
      <c r="AQ868" s="6">
        <f>YEAR(AS868)</f>
        <v/>
      </c>
      <c r="AR868" s="6">
        <f>MONTH(AS868)</f>
        <v/>
      </c>
      <c r="AS868" s="267">
        <f>IFERROR(__xludf.DUMMYFUNCTION("""COMPUTED_VALUE"""),44365.9986111111)</f>
        <v/>
      </c>
      <c r="AT868" s="6">
        <f>IFERROR(__xludf.DUMMYFUNCTION("""COMPUTED_VALUE"""),1769)</f>
        <v/>
      </c>
    </row>
    <row r="869">
      <c r="B869" s="6">
        <f>C869&amp;D869</f>
        <v/>
      </c>
      <c r="C869" s="6">
        <f>YEAR(E869)</f>
        <v/>
      </c>
      <c r="D869" s="6">
        <f>MONTH(E869)</f>
        <v/>
      </c>
      <c r="E869" s="267">
        <f>IFERROR(__xludf.DUMMYFUNCTION("""COMPUTED_VALUE"""),44358.6666666666)</f>
        <v/>
      </c>
      <c r="F869" s="6">
        <f>IFERROR(__xludf.DUMMYFUNCTION("""COMPUTED_VALUE"""),4247.44)</f>
        <v/>
      </c>
      <c r="J869" s="6">
        <f>K869&amp;L869</f>
        <v/>
      </c>
      <c r="K869" s="6">
        <f>YEAR(M869)</f>
        <v/>
      </c>
      <c r="L869" s="6">
        <f>MONTH(M869)</f>
        <v/>
      </c>
      <c r="M869" s="267">
        <f>IFERROR(__xludf.DUMMYFUNCTION("""COMPUTED_VALUE"""),44351.6666666666)</f>
        <v/>
      </c>
      <c r="N869" s="6">
        <f>IFERROR(__xludf.DUMMYFUNCTION("""COMPUTED_VALUE"""),13814.49)</f>
        <v/>
      </c>
      <c r="R869" s="6">
        <f>S869&amp;T869</f>
        <v/>
      </c>
      <c r="S869" s="6">
        <f>YEAR(U869)</f>
        <v/>
      </c>
      <c r="T869" s="6">
        <f>MONTH(U869)</f>
        <v/>
      </c>
      <c r="U869" s="267">
        <f>IFERROR(__xludf.DUMMYFUNCTION("""COMPUTED_VALUE"""),44391.6458333333)</f>
        <v/>
      </c>
      <c r="V869" s="6">
        <f>IFERROR(__xludf.DUMMYFUNCTION("""COMPUTED_VALUE"""),3264.81)</f>
        <v/>
      </c>
      <c r="Z869" s="6">
        <f>AA869&amp;AB869</f>
        <v/>
      </c>
      <c r="AA869" s="6">
        <f>YEAR(AC869)</f>
        <v/>
      </c>
      <c r="AB869" s="6">
        <f>MONTH(AC869)</f>
        <v/>
      </c>
      <c r="AC869" s="267">
        <f>IFERROR(__xludf.DUMMYFUNCTION("""COMPUTED_VALUE"""),44008.9986111111)</f>
        <v/>
      </c>
      <c r="AD869" s="6">
        <f>IFERROR(__xludf.DUMMYFUNCTION("""COMPUTED_VALUE"""),1202.56)</f>
        <v/>
      </c>
      <c r="AH869" s="6">
        <f>AI869&amp;AJ869</f>
        <v/>
      </c>
      <c r="AI869" s="6">
        <f>YEAR(AK869)</f>
        <v/>
      </c>
      <c r="AJ869" s="6">
        <f>MONTH(AK869)</f>
        <v/>
      </c>
      <c r="AK869" s="267">
        <f>IFERROR(__xludf.DUMMYFUNCTION("""COMPUTED_VALUE"""),43961.9986111111)</f>
        <v/>
      </c>
      <c r="AL869" s="6">
        <f>IFERROR(__xludf.DUMMYFUNCTION("""COMPUTED_VALUE"""),8737.619)</f>
        <v/>
      </c>
      <c r="AP869" s="6">
        <f>AQ869&amp;AR869</f>
        <v/>
      </c>
      <c r="AQ869" s="6">
        <f>YEAR(AS869)</f>
        <v/>
      </c>
      <c r="AR869" s="6">
        <f>MONTH(AS869)</f>
        <v/>
      </c>
      <c r="AS869" s="267">
        <f>IFERROR(__xludf.DUMMYFUNCTION("""COMPUTED_VALUE"""),44368.9986111111)</f>
        <v/>
      </c>
      <c r="AT869" s="6">
        <f>IFERROR(__xludf.DUMMYFUNCTION("""COMPUTED_VALUE"""),1782.9)</f>
        <v/>
      </c>
    </row>
    <row r="870">
      <c r="B870" s="6">
        <f>C870&amp;D870</f>
        <v/>
      </c>
      <c r="C870" s="6">
        <f>YEAR(E870)</f>
        <v/>
      </c>
      <c r="D870" s="6">
        <f>MONTH(E870)</f>
        <v/>
      </c>
      <c r="E870" s="267">
        <f>IFERROR(__xludf.DUMMYFUNCTION("""COMPUTED_VALUE"""),44361.6666666666)</f>
        <v/>
      </c>
      <c r="F870" s="6">
        <f>IFERROR(__xludf.DUMMYFUNCTION("""COMPUTED_VALUE"""),4255.15)</f>
        <v/>
      </c>
      <c r="J870" s="6">
        <f>K870&amp;L870</f>
        <v/>
      </c>
      <c r="K870" s="6">
        <f>YEAR(M870)</f>
        <v/>
      </c>
      <c r="L870" s="6">
        <f>MONTH(M870)</f>
        <v/>
      </c>
      <c r="M870" s="267">
        <f>IFERROR(__xludf.DUMMYFUNCTION("""COMPUTED_VALUE"""),44354.6666666666)</f>
        <v/>
      </c>
      <c r="N870" s="6">
        <f>IFERROR(__xludf.DUMMYFUNCTION("""COMPUTED_VALUE"""),13881.72)</f>
        <v/>
      </c>
      <c r="R870" s="6">
        <f>S870&amp;T870</f>
        <v/>
      </c>
      <c r="S870" s="6">
        <f>YEAR(U870)</f>
        <v/>
      </c>
      <c r="T870" s="6">
        <f>MONTH(U870)</f>
        <v/>
      </c>
      <c r="U870" s="267">
        <f>IFERROR(__xludf.DUMMYFUNCTION("""COMPUTED_VALUE"""),44392.6458333333)</f>
        <v/>
      </c>
      <c r="V870" s="6">
        <f>IFERROR(__xludf.DUMMYFUNCTION("""COMPUTED_VALUE"""),3286.22)</f>
        <v/>
      </c>
      <c r="Z870" s="6">
        <f>AA870&amp;AB870</f>
        <v/>
      </c>
      <c r="AA870" s="6">
        <f>YEAR(AC870)</f>
        <v/>
      </c>
      <c r="AB870" s="6">
        <f>MONTH(AC870)</f>
        <v/>
      </c>
      <c r="AC870" s="267">
        <f>IFERROR(__xludf.DUMMYFUNCTION("""COMPUTED_VALUE"""),44009.9986111111)</f>
        <v/>
      </c>
      <c r="AD870" s="6">
        <f>IFERROR(__xludf.DUMMYFUNCTION("""COMPUTED_VALUE"""),1202.56)</f>
        <v/>
      </c>
      <c r="AH870" s="6">
        <f>AI870&amp;AJ870</f>
        <v/>
      </c>
      <c r="AI870" s="6">
        <f>YEAR(AK870)</f>
        <v/>
      </c>
      <c r="AJ870" s="6">
        <f>MONTH(AK870)</f>
        <v/>
      </c>
      <c r="AK870" s="267">
        <f>IFERROR(__xludf.DUMMYFUNCTION("""COMPUTED_VALUE"""),43962.9986111111)</f>
        <v/>
      </c>
      <c r="AL870" s="6">
        <f>IFERROR(__xludf.DUMMYFUNCTION("""COMPUTED_VALUE"""),8572.2)</f>
        <v/>
      </c>
      <c r="AP870" s="6">
        <f>AQ870&amp;AR870</f>
        <v/>
      </c>
      <c r="AQ870" s="6">
        <f>YEAR(AS870)</f>
        <v/>
      </c>
      <c r="AR870" s="6">
        <f>MONTH(AS870)</f>
        <v/>
      </c>
      <c r="AS870" s="267">
        <f>IFERROR(__xludf.DUMMYFUNCTION("""COMPUTED_VALUE"""),44369.9986111111)</f>
        <v/>
      </c>
      <c r="AT870" s="6">
        <f>IFERROR(__xludf.DUMMYFUNCTION("""COMPUTED_VALUE"""),1777.4)</f>
        <v/>
      </c>
    </row>
    <row r="871">
      <c r="B871" s="6">
        <f>C871&amp;D871</f>
        <v/>
      </c>
      <c r="C871" s="6">
        <f>YEAR(E871)</f>
        <v/>
      </c>
      <c r="D871" s="6">
        <f>MONTH(E871)</f>
        <v/>
      </c>
      <c r="E871" s="267">
        <f>IFERROR(__xludf.DUMMYFUNCTION("""COMPUTED_VALUE"""),44362.6666666666)</f>
        <v/>
      </c>
      <c r="F871" s="6">
        <f>IFERROR(__xludf.DUMMYFUNCTION("""COMPUTED_VALUE"""),4246.59)</f>
        <v/>
      </c>
      <c r="J871" s="6">
        <f>K871&amp;L871</f>
        <v/>
      </c>
      <c r="K871" s="6">
        <f>YEAR(M871)</f>
        <v/>
      </c>
      <c r="L871" s="6">
        <f>MONTH(M871)</f>
        <v/>
      </c>
      <c r="M871" s="267">
        <f>IFERROR(__xludf.DUMMYFUNCTION("""COMPUTED_VALUE"""),44355.6666666666)</f>
        <v/>
      </c>
      <c r="N871" s="6">
        <f>IFERROR(__xludf.DUMMYFUNCTION("""COMPUTED_VALUE"""),13924.91)</f>
        <v/>
      </c>
      <c r="R871" s="6">
        <f>S871&amp;T871</f>
        <v/>
      </c>
      <c r="S871" s="6">
        <f>YEAR(U871)</f>
        <v/>
      </c>
      <c r="T871" s="6">
        <f>MONTH(U871)</f>
        <v/>
      </c>
      <c r="U871" s="267">
        <f>IFERROR(__xludf.DUMMYFUNCTION("""COMPUTED_VALUE"""),44393.6458333333)</f>
        <v/>
      </c>
      <c r="V871" s="6">
        <f>IFERROR(__xludf.DUMMYFUNCTION("""COMPUTED_VALUE"""),3276.91)</f>
        <v/>
      </c>
      <c r="Z871" s="6">
        <f>AA871&amp;AB871</f>
        <v/>
      </c>
      <c r="AA871" s="6">
        <f>YEAR(AC871)</f>
        <v/>
      </c>
      <c r="AB871" s="6">
        <f>MONTH(AC871)</f>
        <v/>
      </c>
      <c r="AC871" s="267">
        <f>IFERROR(__xludf.DUMMYFUNCTION("""COMPUTED_VALUE"""),44010.9986111111)</f>
        <v/>
      </c>
      <c r="AD871" s="6">
        <f>IFERROR(__xludf.DUMMYFUNCTION("""COMPUTED_VALUE"""),1202.63)</f>
        <v/>
      </c>
      <c r="AH871" s="6">
        <f>AI871&amp;AJ871</f>
        <v/>
      </c>
      <c r="AI871" s="6">
        <f>YEAR(AK871)</f>
        <v/>
      </c>
      <c r="AJ871" s="6">
        <f>MONTH(AK871)</f>
        <v/>
      </c>
      <c r="AK871" s="267">
        <f>IFERROR(__xludf.DUMMYFUNCTION("""COMPUTED_VALUE"""),43963.9986111111)</f>
        <v/>
      </c>
      <c r="AL871" s="6">
        <f>IFERROR(__xludf.DUMMYFUNCTION("""COMPUTED_VALUE"""),8819.002)</f>
        <v/>
      </c>
      <c r="AP871" s="6">
        <f>AQ871&amp;AR871</f>
        <v/>
      </c>
      <c r="AQ871" s="6">
        <f>YEAR(AS871)</f>
        <v/>
      </c>
      <c r="AR871" s="6">
        <f>MONTH(AS871)</f>
        <v/>
      </c>
      <c r="AS871" s="267">
        <f>IFERROR(__xludf.DUMMYFUNCTION("""COMPUTED_VALUE"""),44370.9986111111)</f>
        <v/>
      </c>
      <c r="AT871" s="6">
        <f>IFERROR(__xludf.DUMMYFUNCTION("""COMPUTED_VALUE"""),1783.4)</f>
        <v/>
      </c>
    </row>
    <row r="872">
      <c r="B872" s="6">
        <f>C872&amp;D872</f>
        <v/>
      </c>
      <c r="C872" s="6">
        <f>YEAR(E872)</f>
        <v/>
      </c>
      <c r="D872" s="6">
        <f>MONTH(E872)</f>
        <v/>
      </c>
      <c r="E872" s="267">
        <f>IFERROR(__xludf.DUMMYFUNCTION("""COMPUTED_VALUE"""),44363.6666666666)</f>
        <v/>
      </c>
      <c r="F872" s="6">
        <f>IFERROR(__xludf.DUMMYFUNCTION("""COMPUTED_VALUE"""),4223.7)</f>
        <v/>
      </c>
      <c r="J872" s="6">
        <f>K872&amp;L872</f>
        <v/>
      </c>
      <c r="K872" s="6">
        <f>YEAR(M872)</f>
        <v/>
      </c>
      <c r="L872" s="6">
        <f>MONTH(M872)</f>
        <v/>
      </c>
      <c r="M872" s="267">
        <f>IFERROR(__xludf.DUMMYFUNCTION("""COMPUTED_VALUE"""),44356.6666666666)</f>
        <v/>
      </c>
      <c r="N872" s="6">
        <f>IFERROR(__xludf.DUMMYFUNCTION("""COMPUTED_VALUE"""),13911.75)</f>
        <v/>
      </c>
      <c r="R872" s="6">
        <f>S872&amp;T872</f>
        <v/>
      </c>
      <c r="S872" s="6">
        <f>YEAR(U872)</f>
        <v/>
      </c>
      <c r="T872" s="6">
        <f>MONTH(U872)</f>
        <v/>
      </c>
      <c r="U872" s="267">
        <f>IFERROR(__xludf.DUMMYFUNCTION("""COMPUTED_VALUE"""),44396.6458333333)</f>
        <v/>
      </c>
      <c r="V872" s="6">
        <f>IFERROR(__xludf.DUMMYFUNCTION("""COMPUTED_VALUE"""),3244.04)</f>
        <v/>
      </c>
      <c r="Z872" s="6">
        <f>AA872&amp;AB872</f>
        <v/>
      </c>
      <c r="AA872" s="6">
        <f>YEAR(AC872)</f>
        <v/>
      </c>
      <c r="AB872" s="6">
        <f>MONTH(AC872)</f>
        <v/>
      </c>
      <c r="AC872" s="267">
        <f>IFERROR(__xludf.DUMMYFUNCTION("""COMPUTED_VALUE"""),44011.9986111111)</f>
        <v/>
      </c>
      <c r="AD872" s="6">
        <f>IFERROR(__xludf.DUMMYFUNCTION("""COMPUTED_VALUE"""),1198.49)</f>
        <v/>
      </c>
      <c r="AH872" s="6">
        <f>AI872&amp;AJ872</f>
        <v/>
      </c>
      <c r="AI872" s="6">
        <f>YEAR(AK872)</f>
        <v/>
      </c>
      <c r="AJ872" s="6">
        <f>MONTH(AK872)</f>
        <v/>
      </c>
      <c r="AK872" s="267">
        <f>IFERROR(__xludf.DUMMYFUNCTION("""COMPUTED_VALUE"""),43964.9986111111)</f>
        <v/>
      </c>
      <c r="AL872" s="6">
        <f>IFERROR(__xludf.DUMMYFUNCTION("""COMPUTED_VALUE"""),9316.817)</f>
        <v/>
      </c>
      <c r="AP872" s="6">
        <f>AQ872&amp;AR872</f>
        <v/>
      </c>
      <c r="AQ872" s="6">
        <f>YEAR(AS872)</f>
        <v/>
      </c>
      <c r="AR872" s="6">
        <f>MONTH(AS872)</f>
        <v/>
      </c>
      <c r="AS872" s="267">
        <f>IFERROR(__xludf.DUMMYFUNCTION("""COMPUTED_VALUE"""),44371.9986111111)</f>
        <v/>
      </c>
      <c r="AT872" s="6">
        <f>IFERROR(__xludf.DUMMYFUNCTION("""COMPUTED_VALUE"""),1776.7)</f>
        <v/>
      </c>
    </row>
    <row r="873">
      <c r="B873" s="6">
        <f>C873&amp;D873</f>
        <v/>
      </c>
      <c r="C873" s="6">
        <f>YEAR(E873)</f>
        <v/>
      </c>
      <c r="D873" s="6">
        <f>MONTH(E873)</f>
        <v/>
      </c>
      <c r="E873" s="267">
        <f>IFERROR(__xludf.DUMMYFUNCTION("""COMPUTED_VALUE"""),44364.6666666666)</f>
        <v/>
      </c>
      <c r="F873" s="6">
        <f>IFERROR(__xludf.DUMMYFUNCTION("""COMPUTED_VALUE"""),4221.86)</f>
        <v/>
      </c>
      <c r="J873" s="6">
        <f>K873&amp;L873</f>
        <v/>
      </c>
      <c r="K873" s="6">
        <f>YEAR(M873)</f>
        <v/>
      </c>
      <c r="L873" s="6">
        <f>MONTH(M873)</f>
        <v/>
      </c>
      <c r="M873" s="267">
        <f>IFERROR(__xludf.DUMMYFUNCTION("""COMPUTED_VALUE"""),44357.6666666666)</f>
        <v/>
      </c>
      <c r="N873" s="6">
        <f>IFERROR(__xludf.DUMMYFUNCTION("""COMPUTED_VALUE"""),14020.33)</f>
        <v/>
      </c>
      <c r="R873" s="6">
        <f>S873&amp;T873</f>
        <v/>
      </c>
      <c r="S873" s="6">
        <f>YEAR(U873)</f>
        <v/>
      </c>
      <c r="T873" s="6">
        <f>MONTH(U873)</f>
        <v/>
      </c>
      <c r="U873" s="267">
        <f>IFERROR(__xludf.DUMMYFUNCTION("""COMPUTED_VALUE"""),44397.6458333333)</f>
        <v/>
      </c>
      <c r="V873" s="6">
        <f>IFERROR(__xludf.DUMMYFUNCTION("""COMPUTED_VALUE"""),3232.7)</f>
        <v/>
      </c>
      <c r="Z873" s="6">
        <f>AA873&amp;AB873</f>
        <v/>
      </c>
      <c r="AA873" s="6">
        <f>YEAR(AC873)</f>
        <v/>
      </c>
      <c r="AB873" s="6">
        <f>MONTH(AC873)</f>
        <v/>
      </c>
      <c r="AC873" s="267">
        <f>IFERROR(__xludf.DUMMYFUNCTION("""COMPUTED_VALUE"""),44012.9986111111)</f>
        <v/>
      </c>
      <c r="AD873" s="6">
        <f>IFERROR(__xludf.DUMMYFUNCTION("""COMPUTED_VALUE"""),1198.39)</f>
        <v/>
      </c>
      <c r="AH873" s="6">
        <f>AI873&amp;AJ873</f>
        <v/>
      </c>
      <c r="AI873" s="6">
        <f>YEAR(AK873)</f>
        <v/>
      </c>
      <c r="AJ873" s="6">
        <f>MONTH(AK873)</f>
        <v/>
      </c>
      <c r="AK873" s="267">
        <f>IFERROR(__xludf.DUMMYFUNCTION("""COMPUTED_VALUE"""),43965.9986111111)</f>
        <v/>
      </c>
      <c r="AL873" s="6">
        <f>IFERROR(__xludf.DUMMYFUNCTION("""COMPUTED_VALUE"""),9790.999)</f>
        <v/>
      </c>
      <c r="AP873" s="6">
        <f>AQ873&amp;AR873</f>
        <v/>
      </c>
      <c r="AQ873" s="6">
        <f>YEAR(AS873)</f>
        <v/>
      </c>
      <c r="AR873" s="6">
        <f>MONTH(AS873)</f>
        <v/>
      </c>
      <c r="AS873" s="267">
        <f>IFERROR(__xludf.DUMMYFUNCTION("""COMPUTED_VALUE"""),44372.9986111111)</f>
        <v/>
      </c>
      <c r="AT873" s="6">
        <f>IFERROR(__xludf.DUMMYFUNCTION("""COMPUTED_VALUE"""),1777.8)</f>
        <v/>
      </c>
    </row>
    <row r="874">
      <c r="B874" s="6">
        <f>C874&amp;D874</f>
        <v/>
      </c>
      <c r="C874" s="6">
        <f>YEAR(E874)</f>
        <v/>
      </c>
      <c r="D874" s="6">
        <f>MONTH(E874)</f>
        <v/>
      </c>
      <c r="E874" s="267">
        <f>IFERROR(__xludf.DUMMYFUNCTION("""COMPUTED_VALUE"""),44365.6666666666)</f>
        <v/>
      </c>
      <c r="F874" s="6">
        <f>IFERROR(__xludf.DUMMYFUNCTION("""COMPUTED_VALUE"""),4166.45)</f>
        <v/>
      </c>
      <c r="J874" s="6">
        <f>K874&amp;L874</f>
        <v/>
      </c>
      <c r="K874" s="6">
        <f>YEAR(M874)</f>
        <v/>
      </c>
      <c r="L874" s="6">
        <f>MONTH(M874)</f>
        <v/>
      </c>
      <c r="M874" s="267">
        <f>IFERROR(__xludf.DUMMYFUNCTION("""COMPUTED_VALUE"""),44358.6666666666)</f>
        <v/>
      </c>
      <c r="N874" s="6">
        <f>IFERROR(__xludf.DUMMYFUNCTION("""COMPUTED_VALUE"""),14069.42)</f>
        <v/>
      </c>
      <c r="R874" s="6">
        <f>S874&amp;T874</f>
        <v/>
      </c>
      <c r="S874" s="6">
        <f>YEAR(U874)</f>
        <v/>
      </c>
      <c r="T874" s="6">
        <f>MONTH(U874)</f>
        <v/>
      </c>
      <c r="U874" s="267">
        <f>IFERROR(__xludf.DUMMYFUNCTION("""COMPUTED_VALUE"""),44398.6458333333)</f>
        <v/>
      </c>
      <c r="V874" s="6">
        <f>IFERROR(__xludf.DUMMYFUNCTION("""COMPUTED_VALUE"""),3215.91)</f>
        <v/>
      </c>
      <c r="Z874" s="6">
        <f>AA874&amp;AB874</f>
        <v/>
      </c>
      <c r="AA874" s="6">
        <f>YEAR(AC874)</f>
        <v/>
      </c>
      <c r="AB874" s="6">
        <f>MONTH(AC874)</f>
        <v/>
      </c>
      <c r="AC874" s="267">
        <f>IFERROR(__xludf.DUMMYFUNCTION("""COMPUTED_VALUE"""),44013.9986111111)</f>
        <v/>
      </c>
      <c r="AD874" s="6">
        <f>IFERROR(__xludf.DUMMYFUNCTION("""COMPUTED_VALUE"""),1200.7)</f>
        <v/>
      </c>
      <c r="AH874" s="6">
        <f>AI874&amp;AJ874</f>
        <v/>
      </c>
      <c r="AI874" s="6">
        <f>YEAR(AK874)</f>
        <v/>
      </c>
      <c r="AJ874" s="6">
        <f>MONTH(AK874)</f>
        <v/>
      </c>
      <c r="AK874" s="267">
        <f>IFERROR(__xludf.DUMMYFUNCTION("""COMPUTED_VALUE"""),43966.9986111111)</f>
        <v/>
      </c>
      <c r="AL874" s="6">
        <f>IFERROR(__xludf.DUMMYFUNCTION("""COMPUTED_VALUE"""),9309.325)</f>
        <v/>
      </c>
      <c r="AP874" s="6">
        <f>AQ874&amp;AR874</f>
        <v/>
      </c>
      <c r="AQ874" s="6">
        <f>YEAR(AS874)</f>
        <v/>
      </c>
      <c r="AR874" s="6">
        <f>MONTH(AS874)</f>
        <v/>
      </c>
      <c r="AS874" s="267">
        <f>IFERROR(__xludf.DUMMYFUNCTION("""COMPUTED_VALUE"""),44375.9986111111)</f>
        <v/>
      </c>
      <c r="AT874" s="6">
        <f>IFERROR(__xludf.DUMMYFUNCTION("""COMPUTED_VALUE"""),1780.7)</f>
        <v/>
      </c>
    </row>
    <row r="875">
      <c r="B875" s="6">
        <f>C875&amp;D875</f>
        <v/>
      </c>
      <c r="C875" s="6">
        <f>YEAR(E875)</f>
        <v/>
      </c>
      <c r="D875" s="6">
        <f>MONTH(E875)</f>
        <v/>
      </c>
      <c r="E875" s="267">
        <f>IFERROR(__xludf.DUMMYFUNCTION("""COMPUTED_VALUE"""),44368.6666666666)</f>
        <v/>
      </c>
      <c r="F875" s="6">
        <f>IFERROR(__xludf.DUMMYFUNCTION("""COMPUTED_VALUE"""),4224.79)</f>
        <v/>
      </c>
      <c r="J875" s="6">
        <f>K875&amp;L875</f>
        <v/>
      </c>
      <c r="K875" s="6">
        <f>YEAR(M875)</f>
        <v/>
      </c>
      <c r="L875" s="6">
        <f>MONTH(M875)</f>
        <v/>
      </c>
      <c r="M875" s="267">
        <f>IFERROR(__xludf.DUMMYFUNCTION("""COMPUTED_VALUE"""),44361.6666666666)</f>
        <v/>
      </c>
      <c r="N875" s="6">
        <f>IFERROR(__xludf.DUMMYFUNCTION("""COMPUTED_VALUE"""),14174.14)</f>
        <v/>
      </c>
      <c r="R875" s="6">
        <f>S875&amp;T875</f>
        <v/>
      </c>
      <c r="S875" s="6">
        <f>YEAR(U875)</f>
        <v/>
      </c>
      <c r="T875" s="6">
        <f>MONTH(U875)</f>
        <v/>
      </c>
      <c r="U875" s="267">
        <f>IFERROR(__xludf.DUMMYFUNCTION("""COMPUTED_VALUE"""),44399.6458333333)</f>
        <v/>
      </c>
      <c r="V875" s="6">
        <f>IFERROR(__xludf.DUMMYFUNCTION("""COMPUTED_VALUE"""),3250.21)</f>
        <v/>
      </c>
      <c r="Z875" s="6">
        <f>AA875&amp;AB875</f>
        <v/>
      </c>
      <c r="AA875" s="6">
        <f>YEAR(AC875)</f>
        <v/>
      </c>
      <c r="AB875" s="6">
        <f>MONTH(AC875)</f>
        <v/>
      </c>
      <c r="AC875" s="267">
        <f>IFERROR(__xludf.DUMMYFUNCTION("""COMPUTED_VALUE"""),44014.9986111111)</f>
        <v/>
      </c>
      <c r="AD875" s="6">
        <f>IFERROR(__xludf.DUMMYFUNCTION("""COMPUTED_VALUE"""),1198.17)</f>
        <v/>
      </c>
      <c r="AH875" s="6">
        <f>AI875&amp;AJ875</f>
        <v/>
      </c>
      <c r="AI875" s="6">
        <f>YEAR(AK875)</f>
        <v/>
      </c>
      <c r="AJ875" s="6">
        <f>MONTH(AK875)</f>
        <v/>
      </c>
      <c r="AK875" s="267">
        <f>IFERROR(__xludf.DUMMYFUNCTION("""COMPUTED_VALUE"""),43967.9986111111)</f>
        <v/>
      </c>
      <c r="AL875" s="6">
        <f>IFERROR(__xludf.DUMMYFUNCTION("""COMPUTED_VALUE"""),9383.021)</f>
        <v/>
      </c>
      <c r="AP875" s="6">
        <f>AQ875&amp;AR875</f>
        <v/>
      </c>
      <c r="AQ875" s="6">
        <f>YEAR(AS875)</f>
        <v/>
      </c>
      <c r="AR875" s="6">
        <f>MONTH(AS875)</f>
        <v/>
      </c>
      <c r="AS875" s="267">
        <f>IFERROR(__xludf.DUMMYFUNCTION("""COMPUTED_VALUE"""),44376.9986111111)</f>
        <v/>
      </c>
      <c r="AT875" s="6">
        <f>IFERROR(__xludf.DUMMYFUNCTION("""COMPUTED_VALUE"""),1763.6)</f>
        <v/>
      </c>
    </row>
    <row r="876">
      <c r="B876" s="6">
        <f>C876&amp;D876</f>
        <v/>
      </c>
      <c r="C876" s="6">
        <f>YEAR(E876)</f>
        <v/>
      </c>
      <c r="D876" s="6">
        <f>MONTH(E876)</f>
        <v/>
      </c>
      <c r="E876" s="267">
        <f>IFERROR(__xludf.DUMMYFUNCTION("""COMPUTED_VALUE"""),44369.6666666666)</f>
        <v/>
      </c>
      <c r="F876" s="6">
        <f>IFERROR(__xludf.DUMMYFUNCTION("""COMPUTED_VALUE"""),4246.44)</f>
        <v/>
      </c>
      <c r="J876" s="6">
        <f>K876&amp;L876</f>
        <v/>
      </c>
      <c r="K876" s="6">
        <f>YEAR(M876)</f>
        <v/>
      </c>
      <c r="L876" s="6">
        <f>MONTH(M876)</f>
        <v/>
      </c>
      <c r="M876" s="267">
        <f>IFERROR(__xludf.DUMMYFUNCTION("""COMPUTED_VALUE"""),44362.6666666666)</f>
        <v/>
      </c>
      <c r="N876" s="6">
        <f>IFERROR(__xludf.DUMMYFUNCTION("""COMPUTED_VALUE"""),14072.86)</f>
        <v/>
      </c>
      <c r="R876" s="6">
        <f>S876&amp;T876</f>
        <v/>
      </c>
      <c r="S876" s="6">
        <f>YEAR(U876)</f>
        <v/>
      </c>
      <c r="T876" s="6">
        <f>MONTH(U876)</f>
        <v/>
      </c>
      <c r="U876" s="267">
        <f>IFERROR(__xludf.DUMMYFUNCTION("""COMPUTED_VALUE"""),44400.6458333333)</f>
        <v/>
      </c>
      <c r="V876" s="6">
        <f>IFERROR(__xludf.DUMMYFUNCTION("""COMPUTED_VALUE"""),3254.42)</f>
        <v/>
      </c>
      <c r="Z876" s="6">
        <f>AA876&amp;AB876</f>
        <v/>
      </c>
      <c r="AA876" s="6">
        <f>YEAR(AC876)</f>
        <v/>
      </c>
      <c r="AB876" s="6">
        <f>MONTH(AC876)</f>
        <v/>
      </c>
      <c r="AC876" s="267">
        <f>IFERROR(__xludf.DUMMYFUNCTION("""COMPUTED_VALUE"""),44015.9986111111)</f>
        <v/>
      </c>
      <c r="AD876" s="6">
        <f>IFERROR(__xludf.DUMMYFUNCTION("""COMPUTED_VALUE"""),1198.34)</f>
        <v/>
      </c>
      <c r="AH876" s="6">
        <f>AI876&amp;AJ876</f>
        <v/>
      </c>
      <c r="AI876" s="6">
        <f>YEAR(AK876)</f>
        <v/>
      </c>
      <c r="AJ876" s="6">
        <f>MONTH(AK876)</f>
        <v/>
      </c>
      <c r="AK876" s="267">
        <f>IFERROR(__xludf.DUMMYFUNCTION("""COMPUTED_VALUE"""),43968.9986111111)</f>
        <v/>
      </c>
      <c r="AL876" s="6">
        <f>IFERROR(__xludf.DUMMYFUNCTION("""COMPUTED_VALUE"""),9670.41)</f>
        <v/>
      </c>
      <c r="AP876" s="6">
        <f>AQ876&amp;AR876</f>
        <v/>
      </c>
      <c r="AQ876" s="6">
        <f>YEAR(AS876)</f>
        <v/>
      </c>
      <c r="AR876" s="6">
        <f>MONTH(AS876)</f>
        <v/>
      </c>
      <c r="AS876" s="267">
        <f>IFERROR(__xludf.DUMMYFUNCTION("""COMPUTED_VALUE"""),44377.9986111111)</f>
        <v/>
      </c>
      <c r="AT876" s="6">
        <f>IFERROR(__xludf.DUMMYFUNCTION("""COMPUTED_VALUE"""),1771.6)</f>
        <v/>
      </c>
    </row>
    <row r="877">
      <c r="B877" s="6">
        <f>C877&amp;D877</f>
        <v/>
      </c>
      <c r="C877" s="6">
        <f>YEAR(E877)</f>
        <v/>
      </c>
      <c r="D877" s="6">
        <f>MONTH(E877)</f>
        <v/>
      </c>
      <c r="E877" s="267">
        <f>IFERROR(__xludf.DUMMYFUNCTION("""COMPUTED_VALUE"""),44370.6666666666)</f>
        <v/>
      </c>
      <c r="F877" s="6">
        <f>IFERROR(__xludf.DUMMYFUNCTION("""COMPUTED_VALUE"""),4241.84)</f>
        <v/>
      </c>
      <c r="J877" s="6">
        <f>K877&amp;L877</f>
        <v/>
      </c>
      <c r="K877" s="6">
        <f>YEAR(M877)</f>
        <v/>
      </c>
      <c r="L877" s="6">
        <f>MONTH(M877)</f>
        <v/>
      </c>
      <c r="M877" s="267">
        <f>IFERROR(__xludf.DUMMYFUNCTION("""COMPUTED_VALUE"""),44363.6666666666)</f>
        <v/>
      </c>
      <c r="N877" s="6">
        <f>IFERROR(__xludf.DUMMYFUNCTION("""COMPUTED_VALUE"""),14039.68)</f>
        <v/>
      </c>
      <c r="R877" s="6">
        <f>S877&amp;T877</f>
        <v/>
      </c>
      <c r="S877" s="6">
        <f>YEAR(U877)</f>
        <v/>
      </c>
      <c r="T877" s="6">
        <f>MONTH(U877)</f>
        <v/>
      </c>
      <c r="U877" s="267">
        <f>IFERROR(__xludf.DUMMYFUNCTION("""COMPUTED_VALUE"""),44403.6458333333)</f>
        <v/>
      </c>
      <c r="V877" s="6">
        <f>IFERROR(__xludf.DUMMYFUNCTION("""COMPUTED_VALUE"""),3224.95)</f>
        <v/>
      </c>
      <c r="Z877" s="6">
        <f>AA877&amp;AB877</f>
        <v/>
      </c>
      <c r="AA877" s="6">
        <f>YEAR(AC877)</f>
        <v/>
      </c>
      <c r="AB877" s="6">
        <f>MONTH(AC877)</f>
        <v/>
      </c>
      <c r="AC877" s="267">
        <f>IFERROR(__xludf.DUMMYFUNCTION("""COMPUTED_VALUE"""),44016.9986111111)</f>
        <v/>
      </c>
      <c r="AD877" s="6">
        <f>IFERROR(__xludf.DUMMYFUNCTION("""COMPUTED_VALUE"""),1198.34)</f>
        <v/>
      </c>
      <c r="AH877" s="6">
        <f>AI877&amp;AJ877</f>
        <v/>
      </c>
      <c r="AI877" s="6">
        <f>YEAR(AK877)</f>
        <v/>
      </c>
      <c r="AJ877" s="6">
        <f>MONTH(AK877)</f>
        <v/>
      </c>
      <c r="AK877" s="267">
        <f>IFERROR(__xludf.DUMMYFUNCTION("""COMPUTED_VALUE"""),43969.9986111111)</f>
        <v/>
      </c>
      <c r="AL877" s="6">
        <f>IFERROR(__xludf.DUMMYFUNCTION("""COMPUTED_VALUE"""),9723.12)</f>
        <v/>
      </c>
      <c r="AP877" s="6">
        <f>AQ877&amp;AR877</f>
        <v/>
      </c>
      <c r="AQ877" s="6">
        <f>YEAR(AS877)</f>
        <v/>
      </c>
      <c r="AR877" s="6">
        <f>MONTH(AS877)</f>
        <v/>
      </c>
      <c r="AS877" s="267">
        <f>IFERROR(__xludf.DUMMYFUNCTION("""COMPUTED_VALUE"""),44378.9986111111)</f>
        <v/>
      </c>
      <c r="AT877" s="6">
        <f>IFERROR(__xludf.DUMMYFUNCTION("""COMPUTED_VALUE"""),1776.8)</f>
        <v/>
      </c>
    </row>
    <row r="878">
      <c r="B878" s="6">
        <f>C878&amp;D878</f>
        <v/>
      </c>
      <c r="C878" s="6">
        <f>YEAR(E878)</f>
        <v/>
      </c>
      <c r="D878" s="6">
        <f>MONTH(E878)</f>
        <v/>
      </c>
      <c r="E878" s="267">
        <f>IFERROR(__xludf.DUMMYFUNCTION("""COMPUTED_VALUE"""),44371.6666666666)</f>
        <v/>
      </c>
      <c r="F878" s="6">
        <f>IFERROR(__xludf.DUMMYFUNCTION("""COMPUTED_VALUE"""),4266.49)</f>
        <v/>
      </c>
      <c r="J878" s="6">
        <f>K878&amp;L878</f>
        <v/>
      </c>
      <c r="K878" s="6">
        <f>YEAR(M878)</f>
        <v/>
      </c>
      <c r="L878" s="6">
        <f>MONTH(M878)</f>
        <v/>
      </c>
      <c r="M878" s="267">
        <f>IFERROR(__xludf.DUMMYFUNCTION("""COMPUTED_VALUE"""),44364.6666666666)</f>
        <v/>
      </c>
      <c r="N878" s="6">
        <f>IFERROR(__xludf.DUMMYFUNCTION("""COMPUTED_VALUE"""),14161.35)</f>
        <v/>
      </c>
      <c r="R878" s="6">
        <f>S878&amp;T878</f>
        <v/>
      </c>
      <c r="S878" s="6">
        <f>YEAR(U878)</f>
        <v/>
      </c>
      <c r="T878" s="6">
        <f>MONTH(U878)</f>
        <v/>
      </c>
      <c r="U878" s="267">
        <f>IFERROR(__xludf.DUMMYFUNCTION("""COMPUTED_VALUE"""),44404.6458333333)</f>
        <v/>
      </c>
      <c r="V878" s="6">
        <f>IFERROR(__xludf.DUMMYFUNCTION("""COMPUTED_VALUE"""),3232.53)</f>
        <v/>
      </c>
      <c r="Z878" s="6">
        <f>AA878&amp;AB878</f>
        <v/>
      </c>
      <c r="AA878" s="6">
        <f>YEAR(AC878)</f>
        <v/>
      </c>
      <c r="AB878" s="6">
        <f>MONTH(AC878)</f>
        <v/>
      </c>
      <c r="AC878" s="267">
        <f>IFERROR(__xludf.DUMMYFUNCTION("""COMPUTED_VALUE"""),44017.9986111111)</f>
        <v/>
      </c>
      <c r="AD878" s="6">
        <f>IFERROR(__xludf.DUMMYFUNCTION("""COMPUTED_VALUE"""),1198.5)</f>
        <v/>
      </c>
      <c r="AH878" s="6">
        <f>AI878&amp;AJ878</f>
        <v/>
      </c>
      <c r="AI878" s="6">
        <f>YEAR(AK878)</f>
        <v/>
      </c>
      <c r="AJ878" s="6">
        <f>MONTH(AK878)</f>
        <v/>
      </c>
      <c r="AK878" s="267">
        <f>IFERROR(__xludf.DUMMYFUNCTION("""COMPUTED_VALUE"""),43970.9986111111)</f>
        <v/>
      </c>
      <c r="AL878" s="6">
        <f>IFERROR(__xludf.DUMMYFUNCTION("""COMPUTED_VALUE"""),9776.365)</f>
        <v/>
      </c>
      <c r="AP878" s="6">
        <f>AQ878&amp;AR878</f>
        <v/>
      </c>
      <c r="AQ878" s="6">
        <f>YEAR(AS878)</f>
        <v/>
      </c>
      <c r="AR878" s="6">
        <f>MONTH(AS878)</f>
        <v/>
      </c>
      <c r="AS878" s="267">
        <f>IFERROR(__xludf.DUMMYFUNCTION("""COMPUTED_VALUE"""),44379.9986111111)</f>
        <v/>
      </c>
      <c r="AT878" s="6">
        <f>IFERROR(__xludf.DUMMYFUNCTION("""COMPUTED_VALUE"""),1783.3)</f>
        <v/>
      </c>
    </row>
    <row r="879">
      <c r="B879" s="6">
        <f>C879&amp;D879</f>
        <v/>
      </c>
      <c r="C879" s="6">
        <f>YEAR(E879)</f>
        <v/>
      </c>
      <c r="D879" s="6">
        <f>MONTH(E879)</f>
        <v/>
      </c>
      <c r="E879" s="267">
        <f>IFERROR(__xludf.DUMMYFUNCTION("""COMPUTED_VALUE"""),44372.6666666666)</f>
        <v/>
      </c>
      <c r="F879" s="6">
        <f>IFERROR(__xludf.DUMMYFUNCTION("""COMPUTED_VALUE"""),4280.7)</f>
        <v/>
      </c>
      <c r="J879" s="6">
        <f>K879&amp;L879</f>
        <v/>
      </c>
      <c r="K879" s="6">
        <f>YEAR(M879)</f>
        <v/>
      </c>
      <c r="L879" s="6">
        <f>MONTH(M879)</f>
        <v/>
      </c>
      <c r="M879" s="267">
        <f>IFERROR(__xludf.DUMMYFUNCTION("""COMPUTED_VALUE"""),44365.6666666666)</f>
        <v/>
      </c>
      <c r="N879" s="6">
        <f>IFERROR(__xludf.DUMMYFUNCTION("""COMPUTED_VALUE"""),14030.38)</f>
        <v/>
      </c>
      <c r="R879" s="6">
        <f>S879&amp;T879</f>
        <v/>
      </c>
      <c r="S879" s="6">
        <f>YEAR(U879)</f>
        <v/>
      </c>
      <c r="T879" s="6">
        <f>MONTH(U879)</f>
        <v/>
      </c>
      <c r="U879" s="267">
        <f>IFERROR(__xludf.DUMMYFUNCTION("""COMPUTED_VALUE"""),44405.6458333333)</f>
        <v/>
      </c>
      <c r="V879" s="6">
        <f>IFERROR(__xludf.DUMMYFUNCTION("""COMPUTED_VALUE"""),3236.86)</f>
        <v/>
      </c>
      <c r="Z879" s="6">
        <f>AA879&amp;AB879</f>
        <v/>
      </c>
      <c r="AA879" s="6">
        <f>YEAR(AC879)</f>
        <v/>
      </c>
      <c r="AB879" s="6">
        <f>MONTH(AC879)</f>
        <v/>
      </c>
      <c r="AC879" s="267">
        <f>IFERROR(__xludf.DUMMYFUNCTION("""COMPUTED_VALUE"""),44018.9986111111)</f>
        <v/>
      </c>
      <c r="AD879" s="6">
        <f>IFERROR(__xludf.DUMMYFUNCTION("""COMPUTED_VALUE"""),1190.93)</f>
        <v/>
      </c>
      <c r="AH879" s="6">
        <f>AI879&amp;AJ879</f>
        <v/>
      </c>
      <c r="AI879" s="6">
        <f>YEAR(AK879)</f>
        <v/>
      </c>
      <c r="AJ879" s="6">
        <f>MONTH(AK879)</f>
        <v/>
      </c>
      <c r="AK879" s="267">
        <f>IFERROR(__xludf.DUMMYFUNCTION("""COMPUTED_VALUE"""),43971.9986111111)</f>
        <v/>
      </c>
      <c r="AL879" s="6">
        <f>IFERROR(__xludf.DUMMYFUNCTION("""COMPUTED_VALUE"""),9507.138)</f>
        <v/>
      </c>
      <c r="AP879" s="6">
        <f>AQ879&amp;AR879</f>
        <v/>
      </c>
      <c r="AQ879" s="6">
        <f>YEAR(AS879)</f>
        <v/>
      </c>
      <c r="AR879" s="6">
        <f>MONTH(AS879)</f>
        <v/>
      </c>
      <c r="AS879" s="267">
        <f>IFERROR(__xludf.DUMMYFUNCTION("""COMPUTED_VALUE"""),44383.9986111111)</f>
        <v/>
      </c>
      <c r="AT879" s="6">
        <f>IFERROR(__xludf.DUMMYFUNCTION("""COMPUTED_VALUE"""),1794.2)</f>
        <v/>
      </c>
    </row>
    <row r="880">
      <c r="B880" s="6">
        <f>C880&amp;D880</f>
        <v/>
      </c>
      <c r="C880" s="6">
        <f>YEAR(E880)</f>
        <v/>
      </c>
      <c r="D880" s="6">
        <f>MONTH(E880)</f>
        <v/>
      </c>
      <c r="E880" s="267">
        <f>IFERROR(__xludf.DUMMYFUNCTION("""COMPUTED_VALUE"""),44375.6666666666)</f>
        <v/>
      </c>
      <c r="F880" s="6">
        <f>IFERROR(__xludf.DUMMYFUNCTION("""COMPUTED_VALUE"""),4290.61)</f>
        <v/>
      </c>
      <c r="J880" s="6">
        <f>K880&amp;L880</f>
        <v/>
      </c>
      <c r="K880" s="6">
        <f>YEAR(M880)</f>
        <v/>
      </c>
      <c r="L880" s="6">
        <f>MONTH(M880)</f>
        <v/>
      </c>
      <c r="M880" s="267">
        <f>IFERROR(__xludf.DUMMYFUNCTION("""COMPUTED_VALUE"""),44368.6666666666)</f>
        <v/>
      </c>
      <c r="N880" s="6">
        <f>IFERROR(__xludf.DUMMYFUNCTION("""COMPUTED_VALUE"""),14141.48)</f>
        <v/>
      </c>
      <c r="R880" s="6">
        <f>S880&amp;T880</f>
        <v/>
      </c>
      <c r="S880" s="6">
        <f>YEAR(U880)</f>
        <v/>
      </c>
      <c r="T880" s="6">
        <f>MONTH(U880)</f>
        <v/>
      </c>
      <c r="U880" s="267">
        <f>IFERROR(__xludf.DUMMYFUNCTION("""COMPUTED_VALUE"""),44406.6458333333)</f>
        <v/>
      </c>
      <c r="V880" s="6">
        <f>IFERROR(__xludf.DUMMYFUNCTION("""COMPUTED_VALUE"""),3242.65)</f>
        <v/>
      </c>
      <c r="Z880" s="6">
        <f>AA880&amp;AB880</f>
        <v/>
      </c>
      <c r="AA880" s="6">
        <f>YEAR(AC880)</f>
        <v/>
      </c>
      <c r="AB880" s="6">
        <f>MONTH(AC880)</f>
        <v/>
      </c>
      <c r="AC880" s="267">
        <f>IFERROR(__xludf.DUMMYFUNCTION("""COMPUTED_VALUE"""),44019.9986111111)</f>
        <v/>
      </c>
      <c r="AD880" s="6">
        <f>IFERROR(__xludf.DUMMYFUNCTION("""COMPUTED_VALUE"""),1195.7)</f>
        <v/>
      </c>
      <c r="AH880" s="6">
        <f>AI880&amp;AJ880</f>
        <v/>
      </c>
      <c r="AI880" s="6">
        <f>YEAR(AK880)</f>
        <v/>
      </c>
      <c r="AJ880" s="6">
        <f>MONTH(AK880)</f>
        <v/>
      </c>
      <c r="AK880" s="267">
        <f>IFERROR(__xludf.DUMMYFUNCTION("""COMPUTED_VALUE"""),43972.9986111111)</f>
        <v/>
      </c>
      <c r="AL880" s="6">
        <f>IFERROR(__xludf.DUMMYFUNCTION("""COMPUTED_VALUE"""),9057.211)</f>
        <v/>
      </c>
      <c r="AP880" s="6">
        <f>AQ880&amp;AR880</f>
        <v/>
      </c>
      <c r="AQ880" s="6">
        <f>YEAR(AS880)</f>
        <v/>
      </c>
      <c r="AR880" s="6">
        <f>MONTH(AS880)</f>
        <v/>
      </c>
      <c r="AS880" s="267">
        <f>IFERROR(__xludf.DUMMYFUNCTION("""COMPUTED_VALUE"""),44384.9986111111)</f>
        <v/>
      </c>
      <c r="AT880" s="6">
        <f>IFERROR(__xludf.DUMMYFUNCTION("""COMPUTED_VALUE"""),1802.1)</f>
        <v/>
      </c>
    </row>
    <row r="881">
      <c r="B881" s="6">
        <f>C881&amp;D881</f>
        <v/>
      </c>
      <c r="C881" s="6">
        <f>YEAR(E881)</f>
        <v/>
      </c>
      <c r="D881" s="6">
        <f>MONTH(E881)</f>
        <v/>
      </c>
      <c r="E881" s="267">
        <f>IFERROR(__xludf.DUMMYFUNCTION("""COMPUTED_VALUE"""),44376.6666666666)</f>
        <v/>
      </c>
      <c r="F881" s="6">
        <f>IFERROR(__xludf.DUMMYFUNCTION("""COMPUTED_VALUE"""),4291.8)</f>
        <v/>
      </c>
      <c r="J881" s="6">
        <f>K881&amp;L881</f>
        <v/>
      </c>
      <c r="K881" s="6">
        <f>YEAR(M881)</f>
        <v/>
      </c>
      <c r="L881" s="6">
        <f>MONTH(M881)</f>
        <v/>
      </c>
      <c r="M881" s="267">
        <f>IFERROR(__xludf.DUMMYFUNCTION("""COMPUTED_VALUE"""),44369.6666666666)</f>
        <v/>
      </c>
      <c r="N881" s="6">
        <f>IFERROR(__xludf.DUMMYFUNCTION("""COMPUTED_VALUE"""),14253.27)</f>
        <v/>
      </c>
      <c r="R881" s="6">
        <f>S881&amp;T881</f>
        <v/>
      </c>
      <c r="S881" s="6">
        <f>YEAR(U881)</f>
        <v/>
      </c>
      <c r="T881" s="6">
        <f>MONTH(U881)</f>
        <v/>
      </c>
      <c r="U881" s="267">
        <f>IFERROR(__xludf.DUMMYFUNCTION("""COMPUTED_VALUE"""),44407.6458333333)</f>
        <v/>
      </c>
      <c r="V881" s="6">
        <f>IFERROR(__xludf.DUMMYFUNCTION("""COMPUTED_VALUE"""),3202.32)</f>
        <v/>
      </c>
      <c r="Z881" s="6">
        <f>AA881&amp;AB881</f>
        <v/>
      </c>
      <c r="AA881" s="6">
        <f>YEAR(AC881)</f>
        <v/>
      </c>
      <c r="AB881" s="6">
        <f>MONTH(AC881)</f>
        <v/>
      </c>
      <c r="AC881" s="267">
        <f>IFERROR(__xludf.DUMMYFUNCTION("""COMPUTED_VALUE"""),44020.9986111111)</f>
        <v/>
      </c>
      <c r="AD881" s="6">
        <f>IFERROR(__xludf.DUMMYFUNCTION("""COMPUTED_VALUE"""),1192.02)</f>
        <v/>
      </c>
      <c r="AH881" s="6">
        <f>AI881&amp;AJ881</f>
        <v/>
      </c>
      <c r="AI881" s="6">
        <f>YEAR(AK881)</f>
        <v/>
      </c>
      <c r="AJ881" s="6">
        <f>MONTH(AK881)</f>
        <v/>
      </c>
      <c r="AK881" s="267">
        <f>IFERROR(__xludf.DUMMYFUNCTION("""COMPUTED_VALUE"""),43973.9986111111)</f>
        <v/>
      </c>
      <c r="AL881" s="6">
        <f>IFERROR(__xludf.DUMMYFUNCTION("""COMPUTED_VALUE"""),9167.151)</f>
        <v/>
      </c>
      <c r="AP881" s="6">
        <f>AQ881&amp;AR881</f>
        <v/>
      </c>
      <c r="AQ881" s="6">
        <f>YEAR(AS881)</f>
        <v/>
      </c>
      <c r="AR881" s="6">
        <f>MONTH(AS881)</f>
        <v/>
      </c>
      <c r="AS881" s="267">
        <f>IFERROR(__xludf.DUMMYFUNCTION("""COMPUTED_VALUE"""),44385.9986111111)</f>
        <v/>
      </c>
      <c r="AT881" s="6">
        <f>IFERROR(__xludf.DUMMYFUNCTION("""COMPUTED_VALUE"""),1800.2)</f>
        <v/>
      </c>
    </row>
    <row r="882">
      <c r="B882" s="6">
        <f>C882&amp;D882</f>
        <v/>
      </c>
      <c r="C882" s="6">
        <f>YEAR(E882)</f>
        <v/>
      </c>
      <c r="D882" s="6">
        <f>MONTH(E882)</f>
        <v/>
      </c>
      <c r="E882" s="267">
        <f>IFERROR(__xludf.DUMMYFUNCTION("""COMPUTED_VALUE"""),44377.6666666666)</f>
        <v/>
      </c>
      <c r="F882" s="6">
        <f>IFERROR(__xludf.DUMMYFUNCTION("""COMPUTED_VALUE"""),4297.5)</f>
        <v/>
      </c>
      <c r="J882" s="6">
        <f>K882&amp;L882</f>
        <v/>
      </c>
      <c r="K882" s="6">
        <f>YEAR(M882)</f>
        <v/>
      </c>
      <c r="L882" s="6">
        <f>MONTH(M882)</f>
        <v/>
      </c>
      <c r="M882" s="267">
        <f>IFERROR(__xludf.DUMMYFUNCTION("""COMPUTED_VALUE"""),44370.6666666666)</f>
        <v/>
      </c>
      <c r="N882" s="6">
        <f>IFERROR(__xludf.DUMMYFUNCTION("""COMPUTED_VALUE"""),14271.73)</f>
        <v/>
      </c>
      <c r="R882" s="6">
        <f>S882&amp;T882</f>
        <v/>
      </c>
      <c r="S882" s="6">
        <f>YEAR(U882)</f>
        <v/>
      </c>
      <c r="T882" s="6">
        <f>MONTH(U882)</f>
        <v/>
      </c>
      <c r="U882" s="267">
        <f>IFERROR(__xludf.DUMMYFUNCTION("""COMPUTED_VALUE"""),44410.6458333333)</f>
        <v/>
      </c>
      <c r="V882" s="6">
        <f>IFERROR(__xludf.DUMMYFUNCTION("""COMPUTED_VALUE"""),3223.04)</f>
        <v/>
      </c>
      <c r="Z882" s="6">
        <f>AA882&amp;AB882</f>
        <v/>
      </c>
      <c r="AA882" s="6">
        <f>YEAR(AC882)</f>
        <v/>
      </c>
      <c r="AB882" s="6">
        <f>MONTH(AC882)</f>
        <v/>
      </c>
      <c r="AC882" s="267">
        <f>IFERROR(__xludf.DUMMYFUNCTION("""COMPUTED_VALUE"""),44021.9986111111)</f>
        <v/>
      </c>
      <c r="AD882" s="6">
        <f>IFERROR(__xludf.DUMMYFUNCTION("""COMPUTED_VALUE"""),1195.77)</f>
        <v/>
      </c>
      <c r="AH882" s="6">
        <f>AI882&amp;AJ882</f>
        <v/>
      </c>
      <c r="AI882" s="6">
        <f>YEAR(AK882)</f>
        <v/>
      </c>
      <c r="AJ882" s="6">
        <f>MONTH(AK882)</f>
        <v/>
      </c>
      <c r="AK882" s="267">
        <f>IFERROR(__xludf.DUMMYFUNCTION("""COMPUTED_VALUE"""),43974.9986111111)</f>
        <v/>
      </c>
      <c r="AL882" s="6">
        <f>IFERROR(__xludf.DUMMYFUNCTION("""COMPUTED_VALUE"""),9177.639)</f>
        <v/>
      </c>
      <c r="AP882" s="6">
        <f>AQ882&amp;AR882</f>
        <v/>
      </c>
      <c r="AQ882" s="6">
        <f>YEAR(AS882)</f>
        <v/>
      </c>
      <c r="AR882" s="6">
        <f>MONTH(AS882)</f>
        <v/>
      </c>
      <c r="AS882" s="267">
        <f>IFERROR(__xludf.DUMMYFUNCTION("""COMPUTED_VALUE"""),44386.9986111111)</f>
        <v/>
      </c>
      <c r="AT882" s="6">
        <f>IFERROR(__xludf.DUMMYFUNCTION("""COMPUTED_VALUE"""),1810.6)</f>
        <v/>
      </c>
    </row>
    <row r="883">
      <c r="B883" s="6">
        <f>C883&amp;D883</f>
        <v/>
      </c>
      <c r="C883" s="6">
        <f>YEAR(E883)</f>
        <v/>
      </c>
      <c r="D883" s="6">
        <f>MONTH(E883)</f>
        <v/>
      </c>
      <c r="E883" s="267">
        <f>IFERROR(__xludf.DUMMYFUNCTION("""COMPUTED_VALUE"""),44378.6666666666)</f>
        <v/>
      </c>
      <c r="F883" s="6">
        <f>IFERROR(__xludf.DUMMYFUNCTION("""COMPUTED_VALUE"""),4319.94)</f>
        <v/>
      </c>
      <c r="J883" s="6">
        <f>K883&amp;L883</f>
        <v/>
      </c>
      <c r="K883" s="6">
        <f>YEAR(M883)</f>
        <v/>
      </c>
      <c r="L883" s="6">
        <f>MONTH(M883)</f>
        <v/>
      </c>
      <c r="M883" s="267">
        <f>IFERROR(__xludf.DUMMYFUNCTION("""COMPUTED_VALUE"""),44371.6666666666)</f>
        <v/>
      </c>
      <c r="N883" s="6">
        <f>IFERROR(__xludf.DUMMYFUNCTION("""COMPUTED_VALUE"""),14369.71)</f>
        <v/>
      </c>
      <c r="R883" s="6">
        <f>S883&amp;T883</f>
        <v/>
      </c>
      <c r="S883" s="6">
        <f>YEAR(U883)</f>
        <v/>
      </c>
      <c r="T883" s="6">
        <f>MONTH(U883)</f>
        <v/>
      </c>
      <c r="U883" s="267">
        <f>IFERROR(__xludf.DUMMYFUNCTION("""COMPUTED_VALUE"""),44411.6458333333)</f>
        <v/>
      </c>
      <c r="V883" s="6">
        <f>IFERROR(__xludf.DUMMYFUNCTION("""COMPUTED_VALUE"""),3237.14)</f>
        <v/>
      </c>
      <c r="Z883" s="6">
        <f>AA883&amp;AB883</f>
        <v/>
      </c>
      <c r="AA883" s="6">
        <f>YEAR(AC883)</f>
        <v/>
      </c>
      <c r="AB883" s="6">
        <f>MONTH(AC883)</f>
        <v/>
      </c>
      <c r="AC883" s="267">
        <f>IFERROR(__xludf.DUMMYFUNCTION("""COMPUTED_VALUE"""),44022.9986111111)</f>
        <v/>
      </c>
      <c r="AD883" s="6">
        <f>IFERROR(__xludf.DUMMYFUNCTION("""COMPUTED_VALUE"""),1200.39)</f>
        <v/>
      </c>
      <c r="AH883" s="6">
        <f>AI883&amp;AJ883</f>
        <v/>
      </c>
      <c r="AI883" s="6">
        <f>YEAR(AK883)</f>
        <v/>
      </c>
      <c r="AJ883" s="6">
        <f>MONTH(AK883)</f>
        <v/>
      </c>
      <c r="AK883" s="267">
        <f>IFERROR(__xludf.DUMMYFUNCTION("""COMPUTED_VALUE"""),43975.9986111111)</f>
        <v/>
      </c>
      <c r="AL883" s="6">
        <f>IFERROR(__xludf.DUMMYFUNCTION("""COMPUTED_VALUE"""),8718.602)</f>
        <v/>
      </c>
      <c r="AP883" s="6">
        <f>AQ883&amp;AR883</f>
        <v/>
      </c>
      <c r="AQ883" s="6">
        <f>YEAR(AS883)</f>
        <v/>
      </c>
      <c r="AR883" s="6">
        <f>MONTH(AS883)</f>
        <v/>
      </c>
      <c r="AS883" s="267">
        <f>IFERROR(__xludf.DUMMYFUNCTION("""COMPUTED_VALUE"""),44389.9986111111)</f>
        <v/>
      </c>
      <c r="AT883" s="6">
        <f>IFERROR(__xludf.DUMMYFUNCTION("""COMPUTED_VALUE"""),1805.9)</f>
        <v/>
      </c>
    </row>
    <row r="884">
      <c r="B884" s="6">
        <f>C884&amp;D884</f>
        <v/>
      </c>
      <c r="C884" s="6">
        <f>YEAR(E884)</f>
        <v/>
      </c>
      <c r="D884" s="6">
        <f>MONTH(E884)</f>
        <v/>
      </c>
      <c r="E884" s="267">
        <f>IFERROR(__xludf.DUMMYFUNCTION("""COMPUTED_VALUE"""),44379.6666666666)</f>
        <v/>
      </c>
      <c r="F884" s="6">
        <f>IFERROR(__xludf.DUMMYFUNCTION("""COMPUTED_VALUE"""),4352.34)</f>
        <v/>
      </c>
      <c r="J884" s="6">
        <f>K884&amp;L884</f>
        <v/>
      </c>
      <c r="K884" s="6">
        <f>YEAR(M884)</f>
        <v/>
      </c>
      <c r="L884" s="6">
        <f>MONTH(M884)</f>
        <v/>
      </c>
      <c r="M884" s="267">
        <f>IFERROR(__xludf.DUMMYFUNCTION("""COMPUTED_VALUE"""),44372.6666666666)</f>
        <v/>
      </c>
      <c r="N884" s="6">
        <f>IFERROR(__xludf.DUMMYFUNCTION("""COMPUTED_VALUE"""),14360.39)</f>
        <v/>
      </c>
      <c r="R884" s="6">
        <f>S884&amp;T884</f>
        <v/>
      </c>
      <c r="S884" s="6">
        <f>YEAR(U884)</f>
        <v/>
      </c>
      <c r="T884" s="6">
        <f>MONTH(U884)</f>
        <v/>
      </c>
      <c r="U884" s="267">
        <f>IFERROR(__xludf.DUMMYFUNCTION("""COMPUTED_VALUE"""),44412.6458333333)</f>
        <v/>
      </c>
      <c r="V884" s="6">
        <f>IFERROR(__xludf.DUMMYFUNCTION("""COMPUTED_VALUE"""),3280.38)</f>
        <v/>
      </c>
      <c r="Z884" s="6">
        <f>AA884&amp;AB884</f>
        <v/>
      </c>
      <c r="AA884" s="6">
        <f>YEAR(AC884)</f>
        <v/>
      </c>
      <c r="AB884" s="6">
        <f>MONTH(AC884)</f>
        <v/>
      </c>
      <c r="AC884" s="267">
        <f>IFERROR(__xludf.DUMMYFUNCTION("""COMPUTED_VALUE"""),44023.9986111111)</f>
        <v/>
      </c>
      <c r="AD884" s="6">
        <f>IFERROR(__xludf.DUMMYFUNCTION("""COMPUTED_VALUE"""),1198.62)</f>
        <v/>
      </c>
      <c r="AH884" s="6">
        <f>AI884&amp;AJ884</f>
        <v/>
      </c>
      <c r="AI884" s="6">
        <f>YEAR(AK884)</f>
        <v/>
      </c>
      <c r="AJ884" s="6">
        <f>MONTH(AK884)</f>
        <v/>
      </c>
      <c r="AK884" s="267">
        <f>IFERROR(__xludf.DUMMYFUNCTION("""COMPUTED_VALUE"""),43976.9986111111)</f>
        <v/>
      </c>
      <c r="AL884" s="6">
        <f>IFERROR(__xludf.DUMMYFUNCTION("""COMPUTED_VALUE"""),8898.196)</f>
        <v/>
      </c>
      <c r="AP884" s="6">
        <f>AQ884&amp;AR884</f>
        <v/>
      </c>
      <c r="AQ884" s="6">
        <f>YEAR(AS884)</f>
        <v/>
      </c>
      <c r="AR884" s="6">
        <f>MONTH(AS884)</f>
        <v/>
      </c>
      <c r="AS884" s="267">
        <f>IFERROR(__xludf.DUMMYFUNCTION("""COMPUTED_VALUE"""),44390.9986111111)</f>
        <v/>
      </c>
      <c r="AT884" s="6">
        <f>IFERROR(__xludf.DUMMYFUNCTION("""COMPUTED_VALUE"""),1809.9)</f>
        <v/>
      </c>
    </row>
    <row r="885">
      <c r="B885" s="6">
        <f>C885&amp;D885</f>
        <v/>
      </c>
      <c r="C885" s="6">
        <f>YEAR(E885)</f>
        <v/>
      </c>
      <c r="D885" s="6">
        <f>MONTH(E885)</f>
        <v/>
      </c>
      <c r="E885" s="267">
        <f>IFERROR(__xludf.DUMMYFUNCTION("""COMPUTED_VALUE"""),44383.6666666666)</f>
        <v/>
      </c>
      <c r="F885" s="6">
        <f>IFERROR(__xludf.DUMMYFUNCTION("""COMPUTED_VALUE"""),4343.54)</f>
        <v/>
      </c>
      <c r="J885" s="6">
        <f>K885&amp;L885</f>
        <v/>
      </c>
      <c r="K885" s="6">
        <f>YEAR(M885)</f>
        <v/>
      </c>
      <c r="L885" s="6">
        <f>MONTH(M885)</f>
        <v/>
      </c>
      <c r="M885" s="267">
        <f>IFERROR(__xludf.DUMMYFUNCTION("""COMPUTED_VALUE"""),44375.6666666666)</f>
        <v/>
      </c>
      <c r="N885" s="6">
        <f>IFERROR(__xludf.DUMMYFUNCTION("""COMPUTED_VALUE"""),14500.51)</f>
        <v/>
      </c>
      <c r="R885" s="6">
        <f>S885&amp;T885</f>
        <v/>
      </c>
      <c r="S885" s="6">
        <f>YEAR(U885)</f>
        <v/>
      </c>
      <c r="T885" s="6">
        <f>MONTH(U885)</f>
        <v/>
      </c>
      <c r="U885" s="267">
        <f>IFERROR(__xludf.DUMMYFUNCTION("""COMPUTED_VALUE"""),44413.6458333333)</f>
        <v/>
      </c>
      <c r="V885" s="6">
        <f>IFERROR(__xludf.DUMMYFUNCTION("""COMPUTED_VALUE"""),3276.13)</f>
        <v/>
      </c>
      <c r="Z885" s="6">
        <f>AA885&amp;AB885</f>
        <v/>
      </c>
      <c r="AA885" s="6">
        <f>YEAR(AC885)</f>
        <v/>
      </c>
      <c r="AB885" s="6">
        <f>MONTH(AC885)</f>
        <v/>
      </c>
      <c r="AC885" s="267">
        <f>IFERROR(__xludf.DUMMYFUNCTION("""COMPUTED_VALUE"""),44024.9986111111)</f>
        <v/>
      </c>
      <c r="AD885" s="6">
        <f>IFERROR(__xludf.DUMMYFUNCTION("""COMPUTED_VALUE"""),1199.52)</f>
        <v/>
      </c>
      <c r="AH885" s="6">
        <f>AI885&amp;AJ885</f>
        <v/>
      </c>
      <c r="AI885" s="6">
        <f>YEAR(AK885)</f>
        <v/>
      </c>
      <c r="AJ885" s="6">
        <f>MONTH(AK885)</f>
        <v/>
      </c>
      <c r="AK885" s="267">
        <f>IFERROR(__xludf.DUMMYFUNCTION("""COMPUTED_VALUE"""),43977.9986111111)</f>
        <v/>
      </c>
      <c r="AL885" s="6">
        <f>IFERROR(__xludf.DUMMYFUNCTION("""COMPUTED_VALUE"""),8843.262)</f>
        <v/>
      </c>
      <c r="AP885" s="6">
        <f>AQ885&amp;AR885</f>
        <v/>
      </c>
      <c r="AQ885" s="6">
        <f>YEAR(AS885)</f>
        <v/>
      </c>
      <c r="AR885" s="6">
        <f>MONTH(AS885)</f>
        <v/>
      </c>
      <c r="AS885" s="267">
        <f>IFERROR(__xludf.DUMMYFUNCTION("""COMPUTED_VALUE"""),44391.9986111111)</f>
        <v/>
      </c>
      <c r="AT885" s="6">
        <f>IFERROR(__xludf.DUMMYFUNCTION("""COMPUTED_VALUE"""),1825)</f>
        <v/>
      </c>
    </row>
    <row r="886">
      <c r="B886" s="6">
        <f>C886&amp;D886</f>
        <v/>
      </c>
      <c r="C886" s="6">
        <f>YEAR(E886)</f>
        <v/>
      </c>
      <c r="D886" s="6">
        <f>MONTH(E886)</f>
        <v/>
      </c>
      <c r="E886" s="267">
        <f>IFERROR(__xludf.DUMMYFUNCTION("""COMPUTED_VALUE"""),44384.6666666666)</f>
        <v/>
      </c>
      <c r="F886" s="6">
        <f>IFERROR(__xludf.DUMMYFUNCTION("""COMPUTED_VALUE"""),4358.13)</f>
        <v/>
      </c>
      <c r="J886" s="6">
        <f>K886&amp;L886</f>
        <v/>
      </c>
      <c r="K886" s="6">
        <f>YEAR(M886)</f>
        <v/>
      </c>
      <c r="L886" s="6">
        <f>MONTH(M886)</f>
        <v/>
      </c>
      <c r="M886" s="267">
        <f>IFERROR(__xludf.DUMMYFUNCTION("""COMPUTED_VALUE"""),44376.6666666666)</f>
        <v/>
      </c>
      <c r="N886" s="6">
        <f>IFERROR(__xludf.DUMMYFUNCTION("""COMPUTED_VALUE"""),14528.34)</f>
        <v/>
      </c>
      <c r="R886" s="6">
        <f>S886&amp;T886</f>
        <v/>
      </c>
      <c r="S886" s="6">
        <f>YEAR(U886)</f>
        <v/>
      </c>
      <c r="T886" s="6">
        <f>MONTH(U886)</f>
        <v/>
      </c>
      <c r="U886" s="267">
        <f>IFERROR(__xludf.DUMMYFUNCTION("""COMPUTED_VALUE"""),44414.6458333333)</f>
        <v/>
      </c>
      <c r="V886" s="6">
        <f>IFERROR(__xludf.DUMMYFUNCTION("""COMPUTED_VALUE"""),3270.36)</f>
        <v/>
      </c>
      <c r="Z886" s="6">
        <f>AA886&amp;AB886</f>
        <v/>
      </c>
      <c r="AA886" s="6">
        <f>YEAR(AC886)</f>
        <v/>
      </c>
      <c r="AB886" s="6">
        <f>MONTH(AC886)</f>
        <v/>
      </c>
      <c r="AC886" s="267">
        <f>IFERROR(__xludf.DUMMYFUNCTION("""COMPUTED_VALUE"""),44025.9986111111)</f>
        <v/>
      </c>
      <c r="AD886" s="6">
        <f>IFERROR(__xludf.DUMMYFUNCTION("""COMPUTED_VALUE"""),1203.78)</f>
        <v/>
      </c>
      <c r="AH886" s="6">
        <f>AI886&amp;AJ886</f>
        <v/>
      </c>
      <c r="AI886" s="6">
        <f>YEAR(AK886)</f>
        <v/>
      </c>
      <c r="AJ886" s="6">
        <f>MONTH(AK886)</f>
        <v/>
      </c>
      <c r="AK886" s="267">
        <f>IFERROR(__xludf.DUMMYFUNCTION("""COMPUTED_VALUE"""),43978.9986111111)</f>
        <v/>
      </c>
      <c r="AL886" s="6">
        <f>IFERROR(__xludf.DUMMYFUNCTION("""COMPUTED_VALUE"""),9204.457)</f>
        <v/>
      </c>
      <c r="AP886" s="6">
        <f>AQ886&amp;AR886</f>
        <v/>
      </c>
      <c r="AQ886" s="6">
        <f>YEAR(AS886)</f>
        <v/>
      </c>
      <c r="AR886" s="6">
        <f>MONTH(AS886)</f>
        <v/>
      </c>
      <c r="AS886" s="267">
        <f>IFERROR(__xludf.DUMMYFUNCTION("""COMPUTED_VALUE"""),44392.9986111111)</f>
        <v/>
      </c>
      <c r="AT886" s="6">
        <f>IFERROR(__xludf.DUMMYFUNCTION("""COMPUTED_VALUE"""),1829)</f>
        <v/>
      </c>
    </row>
    <row r="887">
      <c r="B887" s="6">
        <f>C887&amp;D887</f>
        <v/>
      </c>
      <c r="C887" s="6">
        <f>YEAR(E887)</f>
        <v/>
      </c>
      <c r="D887" s="6">
        <f>MONTH(E887)</f>
        <v/>
      </c>
      <c r="E887" s="267">
        <f>IFERROR(__xludf.DUMMYFUNCTION("""COMPUTED_VALUE"""),44385.6666666666)</f>
        <v/>
      </c>
      <c r="F887" s="6">
        <f>IFERROR(__xludf.DUMMYFUNCTION("""COMPUTED_VALUE"""),4320.82)</f>
        <v/>
      </c>
      <c r="J887" s="6">
        <f>K887&amp;L887</f>
        <v/>
      </c>
      <c r="K887" s="6">
        <f>YEAR(M887)</f>
        <v/>
      </c>
      <c r="L887" s="6">
        <f>MONTH(M887)</f>
        <v/>
      </c>
      <c r="M887" s="267">
        <f>IFERROR(__xludf.DUMMYFUNCTION("""COMPUTED_VALUE"""),44377.6666666666)</f>
        <v/>
      </c>
      <c r="N887" s="6">
        <f>IFERROR(__xludf.DUMMYFUNCTION("""COMPUTED_VALUE"""),14503.95)</f>
        <v/>
      </c>
      <c r="R887" s="6">
        <f>S887&amp;T887</f>
        <v/>
      </c>
      <c r="S887" s="6">
        <f>YEAR(U887)</f>
        <v/>
      </c>
      <c r="T887" s="6">
        <f>MONTH(U887)</f>
        <v/>
      </c>
      <c r="U887" s="267">
        <f>IFERROR(__xludf.DUMMYFUNCTION("""COMPUTED_VALUE"""),44417.6458333333)</f>
        <v/>
      </c>
      <c r="V887" s="6">
        <f>IFERROR(__xludf.DUMMYFUNCTION("""COMPUTED_VALUE"""),3260.42)</f>
        <v/>
      </c>
      <c r="Z887" s="6">
        <f>AA887&amp;AB887</f>
        <v/>
      </c>
      <c r="AA887" s="6">
        <f>YEAR(AC887)</f>
        <v/>
      </c>
      <c r="AB887" s="6">
        <f>MONTH(AC887)</f>
        <v/>
      </c>
      <c r="AC887" s="267">
        <f>IFERROR(__xludf.DUMMYFUNCTION("""COMPUTED_VALUE"""),44026.9986111111)</f>
        <v/>
      </c>
      <c r="AD887" s="6">
        <f>IFERROR(__xludf.DUMMYFUNCTION("""COMPUTED_VALUE"""),1203.98)</f>
        <v/>
      </c>
      <c r="AH887" s="6">
        <f>AI887&amp;AJ887</f>
        <v/>
      </c>
      <c r="AI887" s="6">
        <f>YEAR(AK887)</f>
        <v/>
      </c>
      <c r="AJ887" s="6">
        <f>MONTH(AK887)</f>
        <v/>
      </c>
      <c r="AK887" s="267">
        <f>IFERROR(__xludf.DUMMYFUNCTION("""COMPUTED_VALUE"""),43979.9986111111)</f>
        <v/>
      </c>
      <c r="AL887" s="6">
        <f>IFERROR(__xludf.DUMMYFUNCTION("""COMPUTED_VALUE"""),9569.422)</f>
        <v/>
      </c>
      <c r="AP887" s="6">
        <f>AQ887&amp;AR887</f>
        <v/>
      </c>
      <c r="AQ887" s="6">
        <f>YEAR(AS887)</f>
        <v/>
      </c>
      <c r="AR887" s="6">
        <f>MONTH(AS887)</f>
        <v/>
      </c>
      <c r="AS887" s="267">
        <f>IFERROR(__xludf.DUMMYFUNCTION("""COMPUTED_VALUE"""),44393.9986111111)</f>
        <v/>
      </c>
      <c r="AT887" s="6">
        <f>IFERROR(__xludf.DUMMYFUNCTION("""COMPUTED_VALUE"""),1815)</f>
        <v/>
      </c>
    </row>
    <row r="888">
      <c r="B888" s="6">
        <f>C888&amp;D888</f>
        <v/>
      </c>
      <c r="C888" s="6">
        <f>YEAR(E888)</f>
        <v/>
      </c>
      <c r="D888" s="6">
        <f>MONTH(E888)</f>
        <v/>
      </c>
      <c r="E888" s="267">
        <f>IFERROR(__xludf.DUMMYFUNCTION("""COMPUTED_VALUE"""),44386.6666666666)</f>
        <v/>
      </c>
      <c r="F888" s="6">
        <f>IFERROR(__xludf.DUMMYFUNCTION("""COMPUTED_VALUE"""),4369.55)</f>
        <v/>
      </c>
      <c r="J888" s="6">
        <f>K888&amp;L888</f>
        <v/>
      </c>
      <c r="K888" s="6">
        <f>YEAR(M888)</f>
        <v/>
      </c>
      <c r="L888" s="6">
        <f>MONTH(M888)</f>
        <v/>
      </c>
      <c r="M888" s="267">
        <f>IFERROR(__xludf.DUMMYFUNCTION("""COMPUTED_VALUE"""),44378.6666666666)</f>
        <v/>
      </c>
      <c r="N888" s="6">
        <f>IFERROR(__xludf.DUMMYFUNCTION("""COMPUTED_VALUE"""),14522.38)</f>
        <v/>
      </c>
      <c r="R888" s="6">
        <f>S888&amp;T888</f>
        <v/>
      </c>
      <c r="S888" s="6">
        <f>YEAR(U888)</f>
        <v/>
      </c>
      <c r="T888" s="6">
        <f>MONTH(U888)</f>
        <v/>
      </c>
      <c r="U888" s="267">
        <f>IFERROR(__xludf.DUMMYFUNCTION("""COMPUTED_VALUE"""),44418.6458333333)</f>
        <v/>
      </c>
      <c r="V888" s="6">
        <f>IFERROR(__xludf.DUMMYFUNCTION("""COMPUTED_VALUE"""),3243.19)</f>
        <v/>
      </c>
      <c r="Z888" s="6">
        <f>AA888&amp;AB888</f>
        <v/>
      </c>
      <c r="AA888" s="6">
        <f>YEAR(AC888)</f>
        <v/>
      </c>
      <c r="AB888" s="6">
        <f>MONTH(AC888)</f>
        <v/>
      </c>
      <c r="AC888" s="267">
        <f>IFERROR(__xludf.DUMMYFUNCTION("""COMPUTED_VALUE"""),44027.9986111111)</f>
        <v/>
      </c>
      <c r="AD888" s="6">
        <f>IFERROR(__xludf.DUMMYFUNCTION("""COMPUTED_VALUE"""),1200.47)</f>
        <v/>
      </c>
      <c r="AH888" s="6">
        <f>AI888&amp;AJ888</f>
        <v/>
      </c>
      <c r="AI888" s="6">
        <f>YEAR(AK888)</f>
        <v/>
      </c>
      <c r="AJ888" s="6">
        <f>MONTH(AK888)</f>
        <v/>
      </c>
      <c r="AK888" s="267">
        <f>IFERROR(__xludf.DUMMYFUNCTION("""COMPUTED_VALUE"""),43980.9986111111)</f>
        <v/>
      </c>
      <c r="AL888" s="6">
        <f>IFERROR(__xludf.DUMMYFUNCTION("""COMPUTED_VALUE"""),9423.919)</f>
        <v/>
      </c>
      <c r="AP888" s="6">
        <f>AQ888&amp;AR888</f>
        <v/>
      </c>
      <c r="AQ888" s="6">
        <f>YEAR(AS888)</f>
        <v/>
      </c>
      <c r="AR888" s="6">
        <f>MONTH(AS888)</f>
        <v/>
      </c>
      <c r="AS888" s="267">
        <f>IFERROR(__xludf.DUMMYFUNCTION("""COMPUTED_VALUE"""),44396.9986111111)</f>
        <v/>
      </c>
      <c r="AT888" s="6">
        <f>IFERROR(__xludf.DUMMYFUNCTION("""COMPUTED_VALUE"""),1809.2)</f>
        <v/>
      </c>
    </row>
    <row r="889">
      <c r="B889" s="6">
        <f>C889&amp;D889</f>
        <v/>
      </c>
      <c r="C889" s="6">
        <f>YEAR(E889)</f>
        <v/>
      </c>
      <c r="D889" s="6">
        <f>MONTH(E889)</f>
        <v/>
      </c>
      <c r="E889" s="267">
        <f>IFERROR(__xludf.DUMMYFUNCTION("""COMPUTED_VALUE"""),44389.6666666666)</f>
        <v/>
      </c>
      <c r="F889" s="6">
        <f>IFERROR(__xludf.DUMMYFUNCTION("""COMPUTED_VALUE"""),4384.63)</f>
        <v/>
      </c>
      <c r="J889" s="6">
        <f>K889&amp;L889</f>
        <v/>
      </c>
      <c r="K889" s="6">
        <f>YEAR(M889)</f>
        <v/>
      </c>
      <c r="L889" s="6">
        <f>MONTH(M889)</f>
        <v/>
      </c>
      <c r="M889" s="267">
        <f>IFERROR(__xludf.DUMMYFUNCTION("""COMPUTED_VALUE"""),44379.6666666666)</f>
        <v/>
      </c>
      <c r="N889" s="6">
        <f>IFERROR(__xludf.DUMMYFUNCTION("""COMPUTED_VALUE"""),14639.33)</f>
        <v/>
      </c>
      <c r="R889" s="6">
        <f>S889&amp;T889</f>
        <v/>
      </c>
      <c r="S889" s="6">
        <f>YEAR(U889)</f>
        <v/>
      </c>
      <c r="T889" s="6">
        <f>MONTH(U889)</f>
        <v/>
      </c>
      <c r="U889" s="267">
        <f>IFERROR(__xludf.DUMMYFUNCTION("""COMPUTED_VALUE"""),44419.6458333333)</f>
        <v/>
      </c>
      <c r="V889" s="6">
        <f>IFERROR(__xludf.DUMMYFUNCTION("""COMPUTED_VALUE"""),3220.62)</f>
        <v/>
      </c>
      <c r="Z889" s="6">
        <f>AA889&amp;AB889</f>
        <v/>
      </c>
      <c r="AA889" s="6">
        <f>YEAR(AC889)</f>
        <v/>
      </c>
      <c r="AB889" s="6">
        <f>MONTH(AC889)</f>
        <v/>
      </c>
      <c r="AC889" s="267">
        <f>IFERROR(__xludf.DUMMYFUNCTION("""COMPUTED_VALUE"""),44028.9986111111)</f>
        <v/>
      </c>
      <c r="AD889" s="6">
        <f>IFERROR(__xludf.DUMMYFUNCTION("""COMPUTED_VALUE"""),1204.23)</f>
        <v/>
      </c>
      <c r="AH889" s="6">
        <f>AI889&amp;AJ889</f>
        <v/>
      </c>
      <c r="AI889" s="6">
        <f>YEAR(AK889)</f>
        <v/>
      </c>
      <c r="AJ889" s="6">
        <f>MONTH(AK889)</f>
        <v/>
      </c>
      <c r="AK889" s="267">
        <f>IFERROR(__xludf.DUMMYFUNCTION("""COMPUTED_VALUE"""),43981.9986111111)</f>
        <v/>
      </c>
      <c r="AL889" s="6">
        <f>IFERROR(__xludf.DUMMYFUNCTION("""COMPUTED_VALUE"""),9699.125)</f>
        <v/>
      </c>
      <c r="AP889" s="6">
        <f>AQ889&amp;AR889</f>
        <v/>
      </c>
      <c r="AQ889" s="6">
        <f>YEAR(AS889)</f>
        <v/>
      </c>
      <c r="AR889" s="6">
        <f>MONTH(AS889)</f>
        <v/>
      </c>
      <c r="AS889" s="267">
        <f>IFERROR(__xludf.DUMMYFUNCTION("""COMPUTED_VALUE"""),44397.9986111111)</f>
        <v/>
      </c>
      <c r="AT889" s="6">
        <f>IFERROR(__xludf.DUMMYFUNCTION("""COMPUTED_VALUE"""),1811.4)</f>
        <v/>
      </c>
    </row>
    <row r="890">
      <c r="B890" s="6">
        <f>C890&amp;D890</f>
        <v/>
      </c>
      <c r="C890" s="6">
        <f>YEAR(E890)</f>
        <v/>
      </c>
      <c r="D890" s="6">
        <f>MONTH(E890)</f>
        <v/>
      </c>
      <c r="E890" s="267">
        <f>IFERROR(__xludf.DUMMYFUNCTION("""COMPUTED_VALUE"""),44390.6666666666)</f>
        <v/>
      </c>
      <c r="F890" s="6">
        <f>IFERROR(__xludf.DUMMYFUNCTION("""COMPUTED_VALUE"""),4369.21)</f>
        <v/>
      </c>
      <c r="J890" s="6">
        <f>K890&amp;L890</f>
        <v/>
      </c>
      <c r="K890" s="6">
        <f>YEAR(M890)</f>
        <v/>
      </c>
      <c r="L890" s="6">
        <f>MONTH(M890)</f>
        <v/>
      </c>
      <c r="M890" s="267">
        <f>IFERROR(__xludf.DUMMYFUNCTION("""COMPUTED_VALUE"""),44383.6666666666)</f>
        <v/>
      </c>
      <c r="N890" s="6">
        <f>IFERROR(__xludf.DUMMYFUNCTION("""COMPUTED_VALUE"""),14663.64)</f>
        <v/>
      </c>
      <c r="R890" s="6">
        <f>S890&amp;T890</f>
        <v/>
      </c>
      <c r="S890" s="6">
        <f>YEAR(U890)</f>
        <v/>
      </c>
      <c r="T890" s="6">
        <f>MONTH(U890)</f>
        <v/>
      </c>
      <c r="U890" s="267">
        <f>IFERROR(__xludf.DUMMYFUNCTION("""COMPUTED_VALUE"""),44420.6458333333)</f>
        <v/>
      </c>
      <c r="V890" s="6">
        <f>IFERROR(__xludf.DUMMYFUNCTION("""COMPUTED_VALUE"""),3208.38)</f>
        <v/>
      </c>
      <c r="Z890" s="6">
        <f>AA890&amp;AB890</f>
        <v/>
      </c>
      <c r="AA890" s="6">
        <f>YEAR(AC890)</f>
        <v/>
      </c>
      <c r="AB890" s="6">
        <f>MONTH(AC890)</f>
        <v/>
      </c>
      <c r="AC890" s="267">
        <f>IFERROR(__xludf.DUMMYFUNCTION("""COMPUTED_VALUE"""),44029.9986111111)</f>
        <v/>
      </c>
      <c r="AD890" s="6">
        <f>IFERROR(__xludf.DUMMYFUNCTION("""COMPUTED_VALUE"""),1202.33)</f>
        <v/>
      </c>
      <c r="AH890" s="6">
        <f>AI890&amp;AJ890</f>
        <v/>
      </c>
      <c r="AI890" s="6">
        <f>YEAR(AK890)</f>
        <v/>
      </c>
      <c r="AJ890" s="6">
        <f>MONTH(AK890)</f>
        <v/>
      </c>
      <c r="AK890" s="267">
        <f>IFERROR(__xludf.DUMMYFUNCTION("""COMPUTED_VALUE"""),43982.9986111111)</f>
        <v/>
      </c>
      <c r="AL890" s="6">
        <f>IFERROR(__xludf.DUMMYFUNCTION("""COMPUTED_VALUE"""),9447.014)</f>
        <v/>
      </c>
      <c r="AP890" s="6">
        <f>AQ890&amp;AR890</f>
        <v/>
      </c>
      <c r="AQ890" s="6">
        <f>YEAR(AS890)</f>
        <v/>
      </c>
      <c r="AR890" s="6">
        <f>MONTH(AS890)</f>
        <v/>
      </c>
      <c r="AS890" s="267">
        <f>IFERROR(__xludf.DUMMYFUNCTION("""COMPUTED_VALUE"""),44398.9986111111)</f>
        <v/>
      </c>
      <c r="AT890" s="6">
        <f>IFERROR(__xludf.DUMMYFUNCTION("""COMPUTED_VALUE"""),1803.4)</f>
        <v/>
      </c>
    </row>
    <row r="891">
      <c r="B891" s="6">
        <f>C891&amp;D891</f>
        <v/>
      </c>
      <c r="C891" s="6">
        <f>YEAR(E891)</f>
        <v/>
      </c>
      <c r="D891" s="6">
        <f>MONTH(E891)</f>
        <v/>
      </c>
      <c r="E891" s="267">
        <f>IFERROR(__xludf.DUMMYFUNCTION("""COMPUTED_VALUE"""),44391.6666666666)</f>
        <v/>
      </c>
      <c r="F891" s="6">
        <f>IFERROR(__xludf.DUMMYFUNCTION("""COMPUTED_VALUE"""),4374.3)</f>
        <v/>
      </c>
      <c r="J891" s="6">
        <f>K891&amp;L891</f>
        <v/>
      </c>
      <c r="K891" s="6">
        <f>YEAR(M891)</f>
        <v/>
      </c>
      <c r="L891" s="6">
        <f>MONTH(M891)</f>
        <v/>
      </c>
      <c r="M891" s="267">
        <f>IFERROR(__xludf.DUMMYFUNCTION("""COMPUTED_VALUE"""),44384.6666666666)</f>
        <v/>
      </c>
      <c r="N891" s="6">
        <f>IFERROR(__xludf.DUMMYFUNCTION("""COMPUTED_VALUE"""),14665.06)</f>
        <v/>
      </c>
      <c r="R891" s="6">
        <f>S891&amp;T891</f>
        <v/>
      </c>
      <c r="S891" s="6">
        <f>YEAR(U891)</f>
        <v/>
      </c>
      <c r="T891" s="6">
        <f>MONTH(U891)</f>
        <v/>
      </c>
      <c r="U891" s="267">
        <f>IFERROR(__xludf.DUMMYFUNCTION("""COMPUTED_VALUE"""),44421.6458333333)</f>
        <v/>
      </c>
      <c r="V891" s="6">
        <f>IFERROR(__xludf.DUMMYFUNCTION("""COMPUTED_VALUE"""),3171.29)</f>
        <v/>
      </c>
      <c r="Z891" s="6">
        <f>AA891&amp;AB891</f>
        <v/>
      </c>
      <c r="AA891" s="6">
        <f>YEAR(AC891)</f>
        <v/>
      </c>
      <c r="AB891" s="6">
        <f>MONTH(AC891)</f>
        <v/>
      </c>
      <c r="AC891" s="267">
        <f>IFERROR(__xludf.DUMMYFUNCTION("""COMPUTED_VALUE"""),44030.9986111111)</f>
        <v/>
      </c>
      <c r="AD891" s="6">
        <f>IFERROR(__xludf.DUMMYFUNCTION("""COMPUTED_VALUE"""),1202.33)</f>
        <v/>
      </c>
      <c r="AH891" s="6">
        <f>AI891&amp;AJ891</f>
        <v/>
      </c>
      <c r="AI891" s="6">
        <f>YEAR(AK891)</f>
        <v/>
      </c>
      <c r="AJ891" s="6">
        <f>MONTH(AK891)</f>
        <v/>
      </c>
      <c r="AK891" s="267">
        <f>IFERROR(__xludf.DUMMYFUNCTION("""COMPUTED_VALUE"""),43983.9986111111)</f>
        <v/>
      </c>
      <c r="AL891" s="6">
        <f>IFERROR(__xludf.DUMMYFUNCTION("""COMPUTED_VALUE"""),10208.94)</f>
        <v/>
      </c>
      <c r="AP891" s="6">
        <f>AQ891&amp;AR891</f>
        <v/>
      </c>
      <c r="AQ891" s="6">
        <f>YEAR(AS891)</f>
        <v/>
      </c>
      <c r="AR891" s="6">
        <f>MONTH(AS891)</f>
        <v/>
      </c>
      <c r="AS891" s="267">
        <f>IFERROR(__xludf.DUMMYFUNCTION("""COMPUTED_VALUE"""),44399.9986111111)</f>
        <v/>
      </c>
      <c r="AT891" s="6">
        <f>IFERROR(__xludf.DUMMYFUNCTION("""COMPUTED_VALUE"""),1809.2)</f>
        <v/>
      </c>
    </row>
    <row r="892">
      <c r="B892" s="6">
        <f>C892&amp;D892</f>
        <v/>
      </c>
      <c r="C892" s="6">
        <f>YEAR(E892)</f>
        <v/>
      </c>
      <c r="D892" s="6">
        <f>MONTH(E892)</f>
        <v/>
      </c>
      <c r="E892" s="267">
        <f>IFERROR(__xludf.DUMMYFUNCTION("""COMPUTED_VALUE"""),44392.6666666666)</f>
        <v/>
      </c>
      <c r="F892" s="6">
        <f>IFERROR(__xludf.DUMMYFUNCTION("""COMPUTED_VALUE"""),4360.03)</f>
        <v/>
      </c>
      <c r="J892" s="6">
        <f>K892&amp;L892</f>
        <v/>
      </c>
      <c r="K892" s="6">
        <f>YEAR(M892)</f>
        <v/>
      </c>
      <c r="L892" s="6">
        <f>MONTH(M892)</f>
        <v/>
      </c>
      <c r="M892" s="267">
        <f>IFERROR(__xludf.DUMMYFUNCTION("""COMPUTED_VALUE"""),44385.6666666666)</f>
        <v/>
      </c>
      <c r="N892" s="6">
        <f>IFERROR(__xludf.DUMMYFUNCTION("""COMPUTED_VALUE"""),14559.79)</f>
        <v/>
      </c>
      <c r="R892" s="6">
        <f>S892&amp;T892</f>
        <v/>
      </c>
      <c r="S892" s="6">
        <f>YEAR(U892)</f>
        <v/>
      </c>
      <c r="T892" s="6">
        <f>MONTH(U892)</f>
        <v/>
      </c>
      <c r="U892" s="267">
        <f>IFERROR(__xludf.DUMMYFUNCTION("""COMPUTED_VALUE"""),44425.6458333333)</f>
        <v/>
      </c>
      <c r="V892" s="6">
        <f>IFERROR(__xludf.DUMMYFUNCTION("""COMPUTED_VALUE"""),3143.09)</f>
        <v/>
      </c>
      <c r="Z892" s="6">
        <f>AA892&amp;AB892</f>
        <v/>
      </c>
      <c r="AA892" s="6">
        <f>YEAR(AC892)</f>
        <v/>
      </c>
      <c r="AB892" s="6">
        <f>MONTH(AC892)</f>
        <v/>
      </c>
      <c r="AC892" s="267">
        <f>IFERROR(__xludf.DUMMYFUNCTION("""COMPUTED_VALUE"""),44031.9986111111)</f>
        <v/>
      </c>
      <c r="AD892" s="6">
        <f>IFERROR(__xludf.DUMMYFUNCTION("""COMPUTED_VALUE"""),1202.53)</f>
        <v/>
      </c>
      <c r="AH892" s="6">
        <f>AI892&amp;AJ892</f>
        <v/>
      </c>
      <c r="AI892" s="6">
        <f>YEAR(AK892)</f>
        <v/>
      </c>
      <c r="AJ892" s="6">
        <f>MONTH(AK892)</f>
        <v/>
      </c>
      <c r="AK892" s="267">
        <f>IFERROR(__xludf.DUMMYFUNCTION("""COMPUTED_VALUE"""),43984.9986111111)</f>
        <v/>
      </c>
      <c r="AL892" s="6">
        <f>IFERROR(__xludf.DUMMYFUNCTION("""COMPUTED_VALUE"""),9526.071)</f>
        <v/>
      </c>
      <c r="AP892" s="6">
        <f>AQ892&amp;AR892</f>
        <v/>
      </c>
      <c r="AQ892" s="6">
        <f>YEAR(AS892)</f>
        <v/>
      </c>
      <c r="AR892" s="6">
        <f>MONTH(AS892)</f>
        <v/>
      </c>
      <c r="AS892" s="267">
        <f>IFERROR(__xludf.DUMMYFUNCTION("""COMPUTED_VALUE"""),44400.9986111111)</f>
        <v/>
      </c>
      <c r="AT892" s="6">
        <f>IFERROR(__xludf.DUMMYFUNCTION("""COMPUTED_VALUE"""),1805.9)</f>
        <v/>
      </c>
    </row>
    <row r="893">
      <c r="B893" s="6">
        <f>C893&amp;D893</f>
        <v/>
      </c>
      <c r="C893" s="6">
        <f>YEAR(E893)</f>
        <v/>
      </c>
      <c r="D893" s="6">
        <f>MONTH(E893)</f>
        <v/>
      </c>
      <c r="E893" s="267">
        <f>IFERROR(__xludf.DUMMYFUNCTION("""COMPUTED_VALUE"""),44393.6666666666)</f>
        <v/>
      </c>
      <c r="F893" s="6">
        <f>IFERROR(__xludf.DUMMYFUNCTION("""COMPUTED_VALUE"""),4327.16)</f>
        <v/>
      </c>
      <c r="J893" s="6">
        <f>K893&amp;L893</f>
        <v/>
      </c>
      <c r="K893" s="6">
        <f>YEAR(M893)</f>
        <v/>
      </c>
      <c r="L893" s="6">
        <f>MONTH(M893)</f>
        <v/>
      </c>
      <c r="M893" s="267">
        <f>IFERROR(__xludf.DUMMYFUNCTION("""COMPUTED_VALUE"""),44386.6666666666)</f>
        <v/>
      </c>
      <c r="N893" s="6">
        <f>IFERROR(__xludf.DUMMYFUNCTION("""COMPUTED_VALUE"""),14701.92)</f>
        <v/>
      </c>
      <c r="R893" s="6">
        <f>S893&amp;T893</f>
        <v/>
      </c>
      <c r="S893" s="6">
        <f>YEAR(U893)</f>
        <v/>
      </c>
      <c r="T893" s="6">
        <f>MONTH(U893)</f>
        <v/>
      </c>
      <c r="U893" s="267">
        <f>IFERROR(__xludf.DUMMYFUNCTION("""COMPUTED_VALUE"""),44426.6458333333)</f>
        <v/>
      </c>
      <c r="V893" s="6">
        <f>IFERROR(__xludf.DUMMYFUNCTION("""COMPUTED_VALUE"""),3158.93)</f>
        <v/>
      </c>
      <c r="Z893" s="6">
        <f>AA893&amp;AB893</f>
        <v/>
      </c>
      <c r="AA893" s="6">
        <f>YEAR(AC893)</f>
        <v/>
      </c>
      <c r="AB893" s="6">
        <f>MONTH(AC893)</f>
        <v/>
      </c>
      <c r="AC893" s="267">
        <f>IFERROR(__xludf.DUMMYFUNCTION("""COMPUTED_VALUE"""),44032.9986111111)</f>
        <v/>
      </c>
      <c r="AD893" s="6">
        <f>IFERROR(__xludf.DUMMYFUNCTION("""COMPUTED_VALUE"""),1200.03)</f>
        <v/>
      </c>
      <c r="AH893" s="6">
        <f>AI893&amp;AJ893</f>
        <v/>
      </c>
      <c r="AI893" s="6">
        <f>YEAR(AK893)</f>
        <v/>
      </c>
      <c r="AJ893" s="6">
        <f>MONTH(AK893)</f>
        <v/>
      </c>
      <c r="AK893" s="267">
        <f>IFERROR(__xludf.DUMMYFUNCTION("""COMPUTED_VALUE"""),43985.9986111111)</f>
        <v/>
      </c>
      <c r="AL893" s="6">
        <f>IFERROR(__xludf.DUMMYFUNCTION("""COMPUTED_VALUE"""),9663.929)</f>
        <v/>
      </c>
      <c r="AP893" s="6">
        <f>AQ893&amp;AR893</f>
        <v/>
      </c>
      <c r="AQ893" s="6">
        <f>YEAR(AS893)</f>
        <v/>
      </c>
      <c r="AR893" s="6">
        <f>MONTH(AS893)</f>
        <v/>
      </c>
      <c r="AS893" s="267">
        <f>IFERROR(__xludf.DUMMYFUNCTION("""COMPUTED_VALUE"""),44403.9986111111)</f>
        <v/>
      </c>
      <c r="AT893" s="6">
        <f>IFERROR(__xludf.DUMMYFUNCTION("""COMPUTED_VALUE"""),1803.4)</f>
        <v/>
      </c>
    </row>
    <row r="894">
      <c r="B894" s="6">
        <f>C894&amp;D894</f>
        <v/>
      </c>
      <c r="C894" s="6">
        <f>YEAR(E894)</f>
        <v/>
      </c>
      <c r="D894" s="6">
        <f>MONTH(E894)</f>
        <v/>
      </c>
      <c r="E894" s="267">
        <f>IFERROR(__xludf.DUMMYFUNCTION("""COMPUTED_VALUE"""),44396.6666666666)</f>
        <v/>
      </c>
      <c r="F894" s="6">
        <f>IFERROR(__xludf.DUMMYFUNCTION("""COMPUTED_VALUE"""),4258.49)</f>
        <v/>
      </c>
      <c r="J894" s="6">
        <f>K894&amp;L894</f>
        <v/>
      </c>
      <c r="K894" s="6">
        <f>YEAR(M894)</f>
        <v/>
      </c>
      <c r="L894" s="6">
        <f>MONTH(M894)</f>
        <v/>
      </c>
      <c r="M894" s="267">
        <f>IFERROR(__xludf.DUMMYFUNCTION("""COMPUTED_VALUE"""),44389.6666666666)</f>
        <v/>
      </c>
      <c r="N894" s="6">
        <f>IFERROR(__xludf.DUMMYFUNCTION("""COMPUTED_VALUE"""),14733.24)</f>
        <v/>
      </c>
      <c r="R894" s="6">
        <f>S894&amp;T894</f>
        <v/>
      </c>
      <c r="S894" s="6">
        <f>YEAR(U894)</f>
        <v/>
      </c>
      <c r="T894" s="6">
        <f>MONTH(U894)</f>
        <v/>
      </c>
      <c r="U894" s="267">
        <f>IFERROR(__xludf.DUMMYFUNCTION("""COMPUTED_VALUE"""),44427.6458333333)</f>
        <v/>
      </c>
      <c r="V894" s="6">
        <f>IFERROR(__xludf.DUMMYFUNCTION("""COMPUTED_VALUE"""),3097.83)</f>
        <v/>
      </c>
      <c r="Z894" s="6">
        <f>AA894&amp;AB894</f>
        <v/>
      </c>
      <c r="AA894" s="6">
        <f>YEAR(AC894)</f>
        <v/>
      </c>
      <c r="AB894" s="6">
        <f>MONTH(AC894)</f>
        <v/>
      </c>
      <c r="AC894" s="267">
        <f>IFERROR(__xludf.DUMMYFUNCTION("""COMPUTED_VALUE"""),44033.9986111111)</f>
        <v/>
      </c>
      <c r="AD894" s="6">
        <f>IFERROR(__xludf.DUMMYFUNCTION("""COMPUTED_VALUE"""),1192.74)</f>
        <v/>
      </c>
      <c r="AH894" s="6">
        <f>AI894&amp;AJ894</f>
        <v/>
      </c>
      <c r="AI894" s="6">
        <f>YEAR(AK894)</f>
        <v/>
      </c>
      <c r="AJ894" s="6">
        <f>MONTH(AK894)</f>
        <v/>
      </c>
      <c r="AK894" s="267">
        <f>IFERROR(__xludf.DUMMYFUNCTION("""COMPUTED_VALUE"""),43986.9986111111)</f>
        <v/>
      </c>
      <c r="AL894" s="6">
        <f>IFERROR(__xludf.DUMMYFUNCTION("""COMPUTED_VALUE"""),9791.522)</f>
        <v/>
      </c>
      <c r="AP894" s="6">
        <f>AQ894&amp;AR894</f>
        <v/>
      </c>
      <c r="AQ894" s="6">
        <f>YEAR(AS894)</f>
        <v/>
      </c>
      <c r="AR894" s="6">
        <f>MONTH(AS894)</f>
        <v/>
      </c>
      <c r="AS894" s="267">
        <f>IFERROR(__xludf.DUMMYFUNCTION("""COMPUTED_VALUE"""),44404.9986111111)</f>
        <v/>
      </c>
      <c r="AT894" s="6">
        <f>IFERROR(__xludf.DUMMYFUNCTION("""COMPUTED_VALUE"""),1804)</f>
        <v/>
      </c>
    </row>
    <row r="895">
      <c r="B895" s="6">
        <f>C895&amp;D895</f>
        <v/>
      </c>
      <c r="C895" s="6">
        <f>YEAR(E895)</f>
        <v/>
      </c>
      <c r="D895" s="6">
        <f>MONTH(E895)</f>
        <v/>
      </c>
      <c r="E895" s="267">
        <f>IFERROR(__xludf.DUMMYFUNCTION("""COMPUTED_VALUE"""),44397.6666666666)</f>
        <v/>
      </c>
      <c r="F895" s="6">
        <f>IFERROR(__xludf.DUMMYFUNCTION("""COMPUTED_VALUE"""),4323.06)</f>
        <v/>
      </c>
      <c r="J895" s="6">
        <f>K895&amp;L895</f>
        <v/>
      </c>
      <c r="K895" s="6">
        <f>YEAR(M895)</f>
        <v/>
      </c>
      <c r="L895" s="6">
        <f>MONTH(M895)</f>
        <v/>
      </c>
      <c r="M895" s="267">
        <f>IFERROR(__xludf.DUMMYFUNCTION("""COMPUTED_VALUE"""),44390.6666666666)</f>
        <v/>
      </c>
      <c r="N895" s="6">
        <f>IFERROR(__xludf.DUMMYFUNCTION("""COMPUTED_VALUE"""),14677.65)</f>
        <v/>
      </c>
      <c r="R895" s="6">
        <f>S895&amp;T895</f>
        <v/>
      </c>
      <c r="S895" s="6">
        <f>YEAR(U895)</f>
        <v/>
      </c>
      <c r="T895" s="6">
        <f>MONTH(U895)</f>
        <v/>
      </c>
      <c r="U895" s="267">
        <f>IFERROR(__xludf.DUMMYFUNCTION("""COMPUTED_VALUE"""),44428.6458333333)</f>
        <v/>
      </c>
      <c r="V895" s="6">
        <f>IFERROR(__xludf.DUMMYFUNCTION("""COMPUTED_VALUE"""),3060.51)</f>
        <v/>
      </c>
      <c r="Z895" s="6">
        <f>AA895&amp;AB895</f>
        <v/>
      </c>
      <c r="AA895" s="6">
        <f>YEAR(AC895)</f>
        <v/>
      </c>
      <c r="AB895" s="6">
        <f>MONTH(AC895)</f>
        <v/>
      </c>
      <c r="AC895" s="267">
        <f>IFERROR(__xludf.DUMMYFUNCTION("""COMPUTED_VALUE"""),44034.9986111111)</f>
        <v/>
      </c>
      <c r="AD895" s="6">
        <f>IFERROR(__xludf.DUMMYFUNCTION("""COMPUTED_VALUE"""),1197.23)</f>
        <v/>
      </c>
      <c r="AH895" s="6">
        <f>AI895&amp;AJ895</f>
        <v/>
      </c>
      <c r="AI895" s="6">
        <f>YEAR(AK895)</f>
        <v/>
      </c>
      <c r="AJ895" s="6">
        <f>MONTH(AK895)</f>
        <v/>
      </c>
      <c r="AK895" s="267">
        <f>IFERROR(__xludf.DUMMYFUNCTION("""COMPUTED_VALUE"""),43987.9986111111)</f>
        <v/>
      </c>
      <c r="AL895" s="6">
        <f>IFERROR(__xludf.DUMMYFUNCTION("""COMPUTED_VALUE"""),9617.062)</f>
        <v/>
      </c>
      <c r="AP895" s="6">
        <f>AQ895&amp;AR895</f>
        <v/>
      </c>
      <c r="AQ895" s="6">
        <f>YEAR(AS895)</f>
        <v/>
      </c>
      <c r="AR895" s="6">
        <f>MONTH(AS895)</f>
        <v/>
      </c>
      <c r="AS895" s="267">
        <f>IFERROR(__xludf.DUMMYFUNCTION("""COMPUTED_VALUE"""),44405.9986111111)</f>
        <v/>
      </c>
      <c r="AT895" s="6">
        <f>IFERROR(__xludf.DUMMYFUNCTION("""COMPUTED_VALUE"""),1804.6)</f>
        <v/>
      </c>
    </row>
    <row r="896">
      <c r="B896" s="6">
        <f>C896&amp;D896</f>
        <v/>
      </c>
      <c r="C896" s="6">
        <f>YEAR(E896)</f>
        <v/>
      </c>
      <c r="D896" s="6">
        <f>MONTH(E896)</f>
        <v/>
      </c>
      <c r="E896" s="267">
        <f>IFERROR(__xludf.DUMMYFUNCTION("""COMPUTED_VALUE"""),44398.6666666666)</f>
        <v/>
      </c>
      <c r="F896" s="6">
        <f>IFERROR(__xludf.DUMMYFUNCTION("""COMPUTED_VALUE"""),4358.69)</f>
        <v/>
      </c>
      <c r="J896" s="6">
        <f>K896&amp;L896</f>
        <v/>
      </c>
      <c r="K896" s="6">
        <f>YEAR(M896)</f>
        <v/>
      </c>
      <c r="L896" s="6">
        <f>MONTH(M896)</f>
        <v/>
      </c>
      <c r="M896" s="267">
        <f>IFERROR(__xludf.DUMMYFUNCTION("""COMPUTED_VALUE"""),44391.6666666666)</f>
        <v/>
      </c>
      <c r="N896" s="6">
        <f>IFERROR(__xludf.DUMMYFUNCTION("""COMPUTED_VALUE"""),14644.95)</f>
        <v/>
      </c>
      <c r="R896" s="6">
        <f>S896&amp;T896</f>
        <v/>
      </c>
      <c r="S896" s="6">
        <f>YEAR(U896)</f>
        <v/>
      </c>
      <c r="T896" s="6">
        <f>MONTH(U896)</f>
        <v/>
      </c>
      <c r="U896" s="267">
        <f>IFERROR(__xludf.DUMMYFUNCTION("""COMPUTED_VALUE"""),44431.6458333333)</f>
        <v/>
      </c>
      <c r="V896" s="6">
        <f>IFERROR(__xludf.DUMMYFUNCTION("""COMPUTED_VALUE"""),3090.21)</f>
        <v/>
      </c>
      <c r="Z896" s="6">
        <f>AA896&amp;AB896</f>
        <v/>
      </c>
      <c r="AA896" s="6">
        <f>YEAR(AC896)</f>
        <v/>
      </c>
      <c r="AB896" s="6">
        <f>MONTH(AC896)</f>
        <v/>
      </c>
      <c r="AC896" s="267">
        <f>IFERROR(__xludf.DUMMYFUNCTION("""COMPUTED_VALUE"""),44035.9986111111)</f>
        <v/>
      </c>
      <c r="AD896" s="6">
        <f>IFERROR(__xludf.DUMMYFUNCTION("""COMPUTED_VALUE"""),1200.94)</f>
        <v/>
      </c>
      <c r="AH896" s="6">
        <f>AI896&amp;AJ896</f>
        <v/>
      </c>
      <c r="AI896" s="6">
        <f>YEAR(AK896)</f>
        <v/>
      </c>
      <c r="AJ896" s="6">
        <f>MONTH(AK896)</f>
        <v/>
      </c>
      <c r="AK896" s="267">
        <f>IFERROR(__xludf.DUMMYFUNCTION("""COMPUTED_VALUE"""),43988.9986111111)</f>
        <v/>
      </c>
      <c r="AL896" s="6">
        <f>IFERROR(__xludf.DUMMYFUNCTION("""COMPUTED_VALUE"""),9668.083)</f>
        <v/>
      </c>
      <c r="AP896" s="6">
        <f>AQ896&amp;AR896</f>
        <v/>
      </c>
      <c r="AQ896" s="6">
        <f>YEAR(AS896)</f>
        <v/>
      </c>
      <c r="AR896" s="6">
        <f>MONTH(AS896)</f>
        <v/>
      </c>
      <c r="AS896" s="267">
        <f>IFERROR(__xludf.DUMMYFUNCTION("""COMPUTED_VALUE"""),44406.9986111111)</f>
        <v/>
      </c>
      <c r="AT896" s="6">
        <f>IFERROR(__xludf.DUMMYFUNCTION("""COMPUTED_VALUE"""),1835.8)</f>
        <v/>
      </c>
    </row>
    <row r="897">
      <c r="B897" s="6">
        <f>C897&amp;D897</f>
        <v/>
      </c>
      <c r="C897" s="6">
        <f>YEAR(E897)</f>
        <v/>
      </c>
      <c r="D897" s="6">
        <f>MONTH(E897)</f>
        <v/>
      </c>
      <c r="E897" s="267">
        <f>IFERROR(__xludf.DUMMYFUNCTION("""COMPUTED_VALUE"""),44399.6666666666)</f>
        <v/>
      </c>
      <c r="F897" s="6">
        <f>IFERROR(__xludf.DUMMYFUNCTION("""COMPUTED_VALUE"""),4367.48)</f>
        <v/>
      </c>
      <c r="J897" s="6">
        <f>K897&amp;L897</f>
        <v/>
      </c>
      <c r="K897" s="6">
        <f>YEAR(M897)</f>
        <v/>
      </c>
      <c r="L897" s="6">
        <f>MONTH(M897)</f>
        <v/>
      </c>
      <c r="M897" s="267">
        <f>IFERROR(__xludf.DUMMYFUNCTION("""COMPUTED_VALUE"""),44392.6666666666)</f>
        <v/>
      </c>
      <c r="N897" s="6">
        <f>IFERROR(__xludf.DUMMYFUNCTION("""COMPUTED_VALUE"""),14543.13)</f>
        <v/>
      </c>
      <c r="R897" s="6">
        <f>S897&amp;T897</f>
        <v/>
      </c>
      <c r="S897" s="6">
        <f>YEAR(U897)</f>
        <v/>
      </c>
      <c r="T897" s="6">
        <f>MONTH(U897)</f>
        <v/>
      </c>
      <c r="U897" s="267">
        <f>IFERROR(__xludf.DUMMYFUNCTION("""COMPUTED_VALUE"""),44432.6458333333)</f>
        <v/>
      </c>
      <c r="V897" s="6">
        <f>IFERROR(__xludf.DUMMYFUNCTION("""COMPUTED_VALUE"""),3138.3)</f>
        <v/>
      </c>
      <c r="Z897" s="6">
        <f>AA897&amp;AB897</f>
        <v/>
      </c>
      <c r="AA897" s="6">
        <f>YEAR(AC897)</f>
        <v/>
      </c>
      <c r="AB897" s="6">
        <f>MONTH(AC897)</f>
        <v/>
      </c>
      <c r="AC897" s="267">
        <f>IFERROR(__xludf.DUMMYFUNCTION("""COMPUTED_VALUE"""),44036.9986111111)</f>
        <v/>
      </c>
      <c r="AD897" s="6">
        <f>IFERROR(__xludf.DUMMYFUNCTION("""COMPUTED_VALUE"""),1201.5)</f>
        <v/>
      </c>
      <c r="AH897" s="6">
        <f>AI897&amp;AJ897</f>
        <v/>
      </c>
      <c r="AI897" s="6">
        <f>YEAR(AK897)</f>
        <v/>
      </c>
      <c r="AJ897" s="6">
        <f>MONTH(AK897)</f>
        <v/>
      </c>
      <c r="AK897" s="267">
        <f>IFERROR(__xludf.DUMMYFUNCTION("""COMPUTED_VALUE"""),43989.9986111111)</f>
        <v/>
      </c>
      <c r="AL897" s="6">
        <f>IFERROR(__xludf.DUMMYFUNCTION("""COMPUTED_VALUE"""),9750.416)</f>
        <v/>
      </c>
      <c r="AP897" s="6">
        <f>AQ897&amp;AR897</f>
        <v/>
      </c>
      <c r="AQ897" s="6">
        <f>YEAR(AS897)</f>
        <v/>
      </c>
      <c r="AR897" s="6">
        <f>MONTH(AS897)</f>
        <v/>
      </c>
      <c r="AS897" s="267">
        <f>IFERROR(__xludf.DUMMYFUNCTION("""COMPUTED_VALUE"""),44407.9986111111)</f>
        <v/>
      </c>
      <c r="AT897" s="6">
        <f>IFERROR(__xludf.DUMMYFUNCTION("""COMPUTED_VALUE"""),1817.2)</f>
        <v/>
      </c>
    </row>
    <row r="898">
      <c r="B898" s="6">
        <f>C898&amp;D898</f>
        <v/>
      </c>
      <c r="C898" s="6">
        <f>YEAR(E898)</f>
        <v/>
      </c>
      <c r="D898" s="6">
        <f>MONTH(E898)</f>
        <v/>
      </c>
      <c r="E898" s="267">
        <f>IFERROR(__xludf.DUMMYFUNCTION("""COMPUTED_VALUE"""),44400.6666666666)</f>
        <v/>
      </c>
      <c r="F898" s="6">
        <f>IFERROR(__xludf.DUMMYFUNCTION("""COMPUTED_VALUE"""),4411.79)</f>
        <v/>
      </c>
      <c r="J898" s="6">
        <f>K898&amp;L898</f>
        <v/>
      </c>
      <c r="K898" s="6">
        <f>YEAR(M898)</f>
        <v/>
      </c>
      <c r="L898" s="6">
        <f>MONTH(M898)</f>
        <v/>
      </c>
      <c r="M898" s="267">
        <f>IFERROR(__xludf.DUMMYFUNCTION("""COMPUTED_VALUE"""),44393.6666666666)</f>
        <v/>
      </c>
      <c r="N898" s="6">
        <f>IFERROR(__xludf.DUMMYFUNCTION("""COMPUTED_VALUE"""),14427.24)</f>
        <v/>
      </c>
      <c r="R898" s="6">
        <f>S898&amp;T898</f>
        <v/>
      </c>
      <c r="S898" s="6">
        <f>YEAR(U898)</f>
        <v/>
      </c>
      <c r="T898" s="6">
        <f>MONTH(U898)</f>
        <v/>
      </c>
      <c r="U898" s="267">
        <f>IFERROR(__xludf.DUMMYFUNCTION("""COMPUTED_VALUE"""),44433.6458333333)</f>
        <v/>
      </c>
      <c r="V898" s="6">
        <f>IFERROR(__xludf.DUMMYFUNCTION("""COMPUTED_VALUE"""),3146.81)</f>
        <v/>
      </c>
      <c r="Z898" s="6">
        <f>AA898&amp;AB898</f>
        <v/>
      </c>
      <c r="AA898" s="6">
        <f>YEAR(AC898)</f>
        <v/>
      </c>
      <c r="AB898" s="6">
        <f>MONTH(AC898)</f>
        <v/>
      </c>
      <c r="AC898" s="267">
        <f>IFERROR(__xludf.DUMMYFUNCTION("""COMPUTED_VALUE"""),44037.9986111111)</f>
        <v/>
      </c>
      <c r="AD898" s="6">
        <f>IFERROR(__xludf.DUMMYFUNCTION("""COMPUTED_VALUE"""),1201.5)</f>
        <v/>
      </c>
      <c r="AH898" s="6">
        <f>AI898&amp;AJ898</f>
        <v/>
      </c>
      <c r="AI898" s="6">
        <f>YEAR(AK898)</f>
        <v/>
      </c>
      <c r="AJ898" s="6">
        <f>MONTH(AK898)</f>
        <v/>
      </c>
      <c r="AK898" s="267">
        <f>IFERROR(__xludf.DUMMYFUNCTION("""COMPUTED_VALUE"""),43990.9986111111)</f>
        <v/>
      </c>
      <c r="AL898" s="6">
        <f>IFERROR(__xludf.DUMMYFUNCTION("""COMPUTED_VALUE"""),9781.072)</f>
        <v/>
      </c>
      <c r="AP898" s="6">
        <f>AQ898&amp;AR898</f>
        <v/>
      </c>
      <c r="AQ898" s="6">
        <f>YEAR(AS898)</f>
        <v/>
      </c>
      <c r="AR898" s="6">
        <f>MONTH(AS898)</f>
        <v/>
      </c>
      <c r="AS898" s="267">
        <f>IFERROR(__xludf.DUMMYFUNCTION("""COMPUTED_VALUE"""),44410.9986111111)</f>
        <v/>
      </c>
      <c r="AT898" s="6">
        <f>IFERROR(__xludf.DUMMYFUNCTION("""COMPUTED_VALUE"""),1822.2)</f>
        <v/>
      </c>
    </row>
    <row r="899">
      <c r="B899" s="6">
        <f>C899&amp;D899</f>
        <v/>
      </c>
      <c r="C899" s="6">
        <f>YEAR(E899)</f>
        <v/>
      </c>
      <c r="D899" s="6">
        <f>MONTH(E899)</f>
        <v/>
      </c>
      <c r="E899" s="267">
        <f>IFERROR(__xludf.DUMMYFUNCTION("""COMPUTED_VALUE"""),44403.6666666666)</f>
        <v/>
      </c>
      <c r="F899" s="6">
        <f>IFERROR(__xludf.DUMMYFUNCTION("""COMPUTED_VALUE"""),4422.3)</f>
        <v/>
      </c>
      <c r="J899" s="6">
        <f>K899&amp;L899</f>
        <v/>
      </c>
      <c r="K899" s="6">
        <f>YEAR(M899)</f>
        <v/>
      </c>
      <c r="L899" s="6">
        <f>MONTH(M899)</f>
        <v/>
      </c>
      <c r="M899" s="267">
        <f>IFERROR(__xludf.DUMMYFUNCTION("""COMPUTED_VALUE"""),44396.6666666666)</f>
        <v/>
      </c>
      <c r="N899" s="6">
        <f>IFERROR(__xludf.DUMMYFUNCTION("""COMPUTED_VALUE"""),14274.98)</f>
        <v/>
      </c>
      <c r="R899" s="6">
        <f>S899&amp;T899</f>
        <v/>
      </c>
      <c r="S899" s="6">
        <f>YEAR(U899)</f>
        <v/>
      </c>
      <c r="T899" s="6">
        <f>MONTH(U899)</f>
        <v/>
      </c>
      <c r="U899" s="267">
        <f>IFERROR(__xludf.DUMMYFUNCTION("""COMPUTED_VALUE"""),44434.6458333333)</f>
        <v/>
      </c>
      <c r="V899" s="6">
        <f>IFERROR(__xludf.DUMMYFUNCTION("""COMPUTED_VALUE"""),3128.53)</f>
        <v/>
      </c>
      <c r="Z899" s="6">
        <f>AA899&amp;AB899</f>
        <v/>
      </c>
      <c r="AA899" s="6">
        <f>YEAR(AC899)</f>
        <v/>
      </c>
      <c r="AB899" s="6">
        <f>MONTH(AC899)</f>
        <v/>
      </c>
      <c r="AC899" s="267">
        <f>IFERROR(__xludf.DUMMYFUNCTION("""COMPUTED_VALUE"""),44038.9986111111)</f>
        <v/>
      </c>
      <c r="AD899" s="6">
        <f>IFERROR(__xludf.DUMMYFUNCTION("""COMPUTED_VALUE"""),1200.49)</f>
        <v/>
      </c>
      <c r="AH899" s="6">
        <f>AI899&amp;AJ899</f>
        <v/>
      </c>
      <c r="AI899" s="6">
        <f>YEAR(AK899)</f>
        <v/>
      </c>
      <c r="AJ899" s="6">
        <f>MONTH(AK899)</f>
        <v/>
      </c>
      <c r="AK899" s="267">
        <f>IFERROR(__xludf.DUMMYFUNCTION("""COMPUTED_VALUE"""),43991.9986111111)</f>
        <v/>
      </c>
      <c r="AL899" s="6">
        <f>IFERROR(__xludf.DUMMYFUNCTION("""COMPUTED_VALUE"""),9775.808)</f>
        <v/>
      </c>
      <c r="AP899" s="6">
        <f>AQ899&amp;AR899</f>
        <v/>
      </c>
      <c r="AQ899" s="6">
        <f>YEAR(AS899)</f>
        <v/>
      </c>
      <c r="AR899" s="6">
        <f>MONTH(AS899)</f>
        <v/>
      </c>
      <c r="AS899" s="267">
        <f>IFERROR(__xludf.DUMMYFUNCTION("""COMPUTED_VALUE"""),44411.9986111111)</f>
        <v/>
      </c>
      <c r="AT899" s="6">
        <f>IFERROR(__xludf.DUMMYFUNCTION("""COMPUTED_VALUE"""),1814.1)</f>
        <v/>
      </c>
    </row>
    <row r="900">
      <c r="B900" s="6">
        <f>C900&amp;D900</f>
        <v/>
      </c>
      <c r="C900" s="6">
        <f>YEAR(E900)</f>
        <v/>
      </c>
      <c r="D900" s="6">
        <f>MONTH(E900)</f>
        <v/>
      </c>
      <c r="E900" s="267">
        <f>IFERROR(__xludf.DUMMYFUNCTION("""COMPUTED_VALUE"""),44404.6666666666)</f>
        <v/>
      </c>
      <c r="F900" s="6">
        <f>IFERROR(__xludf.DUMMYFUNCTION("""COMPUTED_VALUE"""),4401.46)</f>
        <v/>
      </c>
      <c r="J900" s="6">
        <f>K900&amp;L900</f>
        <v/>
      </c>
      <c r="K900" s="6">
        <f>YEAR(M900)</f>
        <v/>
      </c>
      <c r="L900" s="6">
        <f>MONTH(M900)</f>
        <v/>
      </c>
      <c r="M900" s="267">
        <f>IFERROR(__xludf.DUMMYFUNCTION("""COMPUTED_VALUE"""),44397.6666666666)</f>
        <v/>
      </c>
      <c r="N900" s="6">
        <f>IFERROR(__xludf.DUMMYFUNCTION("""COMPUTED_VALUE"""),14498.88)</f>
        <v/>
      </c>
      <c r="R900" s="6">
        <f>S900&amp;T900</f>
        <v/>
      </c>
      <c r="S900" s="6">
        <f>YEAR(U900)</f>
        <v/>
      </c>
      <c r="T900" s="6">
        <f>MONTH(U900)</f>
        <v/>
      </c>
      <c r="U900" s="267">
        <f>IFERROR(__xludf.DUMMYFUNCTION("""COMPUTED_VALUE"""),44435.6458333333)</f>
        <v/>
      </c>
      <c r="V900" s="6">
        <f>IFERROR(__xludf.DUMMYFUNCTION("""COMPUTED_VALUE"""),3133.9)</f>
        <v/>
      </c>
      <c r="Z900" s="6">
        <f>AA900&amp;AB900</f>
        <v/>
      </c>
      <c r="AA900" s="6">
        <f>YEAR(AC900)</f>
        <v/>
      </c>
      <c r="AB900" s="6">
        <f>MONTH(AC900)</f>
        <v/>
      </c>
      <c r="AC900" s="267">
        <f>IFERROR(__xludf.DUMMYFUNCTION("""COMPUTED_VALUE"""),44039.9986111111)</f>
        <v/>
      </c>
      <c r="AD900" s="6">
        <f>IFERROR(__xludf.DUMMYFUNCTION("""COMPUTED_VALUE"""),1195.92)</f>
        <v/>
      </c>
      <c r="AH900" s="6">
        <f>AI900&amp;AJ900</f>
        <v/>
      </c>
      <c r="AI900" s="6">
        <f>YEAR(AK900)</f>
        <v/>
      </c>
      <c r="AJ900" s="6">
        <f>MONTH(AK900)</f>
        <v/>
      </c>
      <c r="AK900" s="267">
        <f>IFERROR(__xludf.DUMMYFUNCTION("""COMPUTED_VALUE"""),43992.9986111111)</f>
        <v/>
      </c>
      <c r="AL900" s="6">
        <f>IFERROR(__xludf.DUMMYFUNCTION("""COMPUTED_VALUE"""),9892.517)</f>
        <v/>
      </c>
      <c r="AP900" s="6">
        <f>AQ900&amp;AR900</f>
        <v/>
      </c>
      <c r="AQ900" s="6">
        <f>YEAR(AS900)</f>
        <v/>
      </c>
      <c r="AR900" s="6">
        <f>MONTH(AS900)</f>
        <v/>
      </c>
      <c r="AS900" s="267">
        <f>IFERROR(__xludf.DUMMYFUNCTION("""COMPUTED_VALUE"""),44412.9986111111)</f>
        <v/>
      </c>
      <c r="AT900" s="6">
        <f>IFERROR(__xludf.DUMMYFUNCTION("""COMPUTED_VALUE"""),1814.5)</f>
        <v/>
      </c>
    </row>
    <row r="901">
      <c r="B901" s="6">
        <f>C901&amp;D901</f>
        <v/>
      </c>
      <c r="C901" s="6">
        <f>YEAR(E901)</f>
        <v/>
      </c>
      <c r="D901" s="6">
        <f>MONTH(E901)</f>
        <v/>
      </c>
      <c r="E901" s="267">
        <f>IFERROR(__xludf.DUMMYFUNCTION("""COMPUTED_VALUE"""),44405.6666666666)</f>
        <v/>
      </c>
      <c r="F901" s="6">
        <f>IFERROR(__xludf.DUMMYFUNCTION("""COMPUTED_VALUE"""),4400.64)</f>
        <v/>
      </c>
      <c r="J901" s="6">
        <f>K901&amp;L901</f>
        <v/>
      </c>
      <c r="K901" s="6">
        <f>YEAR(M901)</f>
        <v/>
      </c>
      <c r="L901" s="6">
        <f>MONTH(M901)</f>
        <v/>
      </c>
      <c r="M901" s="267">
        <f>IFERROR(__xludf.DUMMYFUNCTION("""COMPUTED_VALUE"""),44398.6666666666)</f>
        <v/>
      </c>
      <c r="N901" s="6">
        <f>IFERROR(__xludf.DUMMYFUNCTION("""COMPUTED_VALUE"""),14631.95)</f>
        <v/>
      </c>
      <c r="R901" s="6">
        <f>S901&amp;T901</f>
        <v/>
      </c>
      <c r="S901" s="6">
        <f>YEAR(U901)</f>
        <v/>
      </c>
      <c r="T901" s="6">
        <f>MONTH(U901)</f>
        <v/>
      </c>
      <c r="U901" s="267">
        <f>IFERROR(__xludf.DUMMYFUNCTION("""COMPUTED_VALUE"""),44438.6458333333)</f>
        <v/>
      </c>
      <c r="V901" s="6">
        <f>IFERROR(__xludf.DUMMYFUNCTION("""COMPUTED_VALUE"""),3144.19)</f>
        <v/>
      </c>
      <c r="Z901" s="6">
        <f>AA901&amp;AB901</f>
        <v/>
      </c>
      <c r="AA901" s="6">
        <f>YEAR(AC901)</f>
        <v/>
      </c>
      <c r="AB901" s="6">
        <f>MONTH(AC901)</f>
        <v/>
      </c>
      <c r="AC901" s="267">
        <f>IFERROR(__xludf.DUMMYFUNCTION("""COMPUTED_VALUE"""),44040.9986111111)</f>
        <v/>
      </c>
      <c r="AD901" s="6">
        <f>IFERROR(__xludf.DUMMYFUNCTION("""COMPUTED_VALUE"""),1199.37)</f>
        <v/>
      </c>
      <c r="AH901" s="6">
        <f>AI901&amp;AJ901</f>
        <v/>
      </c>
      <c r="AI901" s="6">
        <f>YEAR(AK901)</f>
        <v/>
      </c>
      <c r="AJ901" s="6">
        <f>MONTH(AK901)</f>
        <v/>
      </c>
      <c r="AK901" s="267">
        <f>IFERROR(__xludf.DUMMYFUNCTION("""COMPUTED_VALUE"""),43993.9986111111)</f>
        <v/>
      </c>
      <c r="AL901" s="6">
        <f>IFERROR(__xludf.DUMMYFUNCTION("""COMPUTED_VALUE"""),9268.878)</f>
        <v/>
      </c>
      <c r="AP901" s="6">
        <f>AQ901&amp;AR901</f>
        <v/>
      </c>
      <c r="AQ901" s="6">
        <f>YEAR(AS901)</f>
        <v/>
      </c>
      <c r="AR901" s="6">
        <f>MONTH(AS901)</f>
        <v/>
      </c>
      <c r="AS901" s="267">
        <f>IFERROR(__xludf.DUMMYFUNCTION("""COMPUTED_VALUE"""),44413.9986111111)</f>
        <v/>
      </c>
      <c r="AT901" s="6">
        <f>IFERROR(__xludf.DUMMYFUNCTION("""COMPUTED_VALUE"""),1808.9)</f>
        <v/>
      </c>
    </row>
    <row r="902">
      <c r="B902" s="6">
        <f>C902&amp;D902</f>
        <v/>
      </c>
      <c r="C902" s="6">
        <f>YEAR(E902)</f>
        <v/>
      </c>
      <c r="D902" s="6">
        <f>MONTH(E902)</f>
        <v/>
      </c>
      <c r="E902" s="267">
        <f>IFERROR(__xludf.DUMMYFUNCTION("""COMPUTED_VALUE"""),44406.6666666666)</f>
        <v/>
      </c>
      <c r="F902" s="6">
        <f>IFERROR(__xludf.DUMMYFUNCTION("""COMPUTED_VALUE"""),4419.15)</f>
        <v/>
      </c>
      <c r="J902" s="6">
        <f>K902&amp;L902</f>
        <v/>
      </c>
      <c r="K902" s="6">
        <f>YEAR(M902)</f>
        <v/>
      </c>
      <c r="L902" s="6">
        <f>MONTH(M902)</f>
        <v/>
      </c>
      <c r="M902" s="267">
        <f>IFERROR(__xludf.DUMMYFUNCTION("""COMPUTED_VALUE"""),44399.6666666666)</f>
        <v/>
      </c>
      <c r="N902" s="6">
        <f>IFERROR(__xludf.DUMMYFUNCTION("""COMPUTED_VALUE"""),14684.6)</f>
        <v/>
      </c>
      <c r="R902" s="6">
        <f>S902&amp;T902</f>
        <v/>
      </c>
      <c r="S902" s="6">
        <f>YEAR(U902)</f>
        <v/>
      </c>
      <c r="T902" s="6">
        <f>MONTH(U902)</f>
        <v/>
      </c>
      <c r="U902" s="267">
        <f>IFERROR(__xludf.DUMMYFUNCTION("""COMPUTED_VALUE"""),44439.6458333333)</f>
        <v/>
      </c>
      <c r="V902" s="6">
        <f>IFERROR(__xludf.DUMMYFUNCTION("""COMPUTED_VALUE"""),3199.27)</f>
        <v/>
      </c>
      <c r="Z902" s="6">
        <f>AA902&amp;AB902</f>
        <v/>
      </c>
      <c r="AA902" s="6">
        <f>YEAR(AC902)</f>
        <v/>
      </c>
      <c r="AB902" s="6">
        <f>MONTH(AC902)</f>
        <v/>
      </c>
      <c r="AC902" s="267">
        <f>IFERROR(__xludf.DUMMYFUNCTION("""COMPUTED_VALUE"""),44041.9986111111)</f>
        <v/>
      </c>
      <c r="AD902" s="6">
        <f>IFERROR(__xludf.DUMMYFUNCTION("""COMPUTED_VALUE"""),1190.73)</f>
        <v/>
      </c>
      <c r="AH902" s="6">
        <f>AI902&amp;AJ902</f>
        <v/>
      </c>
      <c r="AI902" s="6">
        <f>YEAR(AK902)</f>
        <v/>
      </c>
      <c r="AJ902" s="6">
        <f>MONTH(AK902)</f>
        <v/>
      </c>
      <c r="AK902" s="267">
        <f>IFERROR(__xludf.DUMMYFUNCTION("""COMPUTED_VALUE"""),43994.9986111111)</f>
        <v/>
      </c>
      <c r="AL902" s="6">
        <f>IFERROR(__xludf.DUMMYFUNCTION("""COMPUTED_VALUE"""),9463.174)</f>
        <v/>
      </c>
      <c r="AP902" s="6">
        <f>AQ902&amp;AR902</f>
        <v/>
      </c>
      <c r="AQ902" s="6">
        <f>YEAR(AS902)</f>
        <v/>
      </c>
      <c r="AR902" s="6">
        <f>MONTH(AS902)</f>
        <v/>
      </c>
      <c r="AS902" s="267">
        <f>IFERROR(__xludf.DUMMYFUNCTION("""COMPUTED_VALUE"""),44414.9986111111)</f>
        <v/>
      </c>
      <c r="AT902" s="6">
        <f>IFERROR(__xludf.DUMMYFUNCTION("""COMPUTED_VALUE"""),1763.1)</f>
        <v/>
      </c>
    </row>
    <row r="903">
      <c r="B903" s="6">
        <f>C903&amp;D903</f>
        <v/>
      </c>
      <c r="C903" s="6">
        <f>YEAR(E903)</f>
        <v/>
      </c>
      <c r="D903" s="6">
        <f>MONTH(E903)</f>
        <v/>
      </c>
      <c r="E903" s="267">
        <f>IFERROR(__xludf.DUMMYFUNCTION("""COMPUTED_VALUE"""),44407.6666666666)</f>
        <v/>
      </c>
      <c r="F903" s="6">
        <f>IFERROR(__xludf.DUMMYFUNCTION("""COMPUTED_VALUE"""),4395.26)</f>
        <v/>
      </c>
      <c r="J903" s="6">
        <f>K903&amp;L903</f>
        <v/>
      </c>
      <c r="K903" s="6">
        <f>YEAR(M903)</f>
        <v/>
      </c>
      <c r="L903" s="6">
        <f>MONTH(M903)</f>
        <v/>
      </c>
      <c r="M903" s="267">
        <f>IFERROR(__xludf.DUMMYFUNCTION("""COMPUTED_VALUE"""),44400.6666666666)</f>
        <v/>
      </c>
      <c r="N903" s="6">
        <f>IFERROR(__xludf.DUMMYFUNCTION("""COMPUTED_VALUE"""),14836.99)</f>
        <v/>
      </c>
      <c r="R903" s="6">
        <f>S903&amp;T903</f>
        <v/>
      </c>
      <c r="S903" s="6">
        <f>YEAR(U903)</f>
        <v/>
      </c>
      <c r="T903" s="6">
        <f>MONTH(U903)</f>
        <v/>
      </c>
      <c r="U903" s="267">
        <f>IFERROR(__xludf.DUMMYFUNCTION("""COMPUTED_VALUE"""),44440.6458333333)</f>
        <v/>
      </c>
      <c r="V903" s="6">
        <f>IFERROR(__xludf.DUMMYFUNCTION("""COMPUTED_VALUE"""),3207.02)</f>
        <v/>
      </c>
      <c r="Z903" s="6">
        <f>AA903&amp;AB903</f>
        <v/>
      </c>
      <c r="AA903" s="6">
        <f>YEAR(AC903)</f>
        <v/>
      </c>
      <c r="AB903" s="6">
        <f>MONTH(AC903)</f>
        <v/>
      </c>
      <c r="AC903" s="267">
        <f>IFERROR(__xludf.DUMMYFUNCTION("""COMPUTED_VALUE"""),44042.9986111111)</f>
        <v/>
      </c>
      <c r="AD903" s="6">
        <f>IFERROR(__xludf.DUMMYFUNCTION("""COMPUTED_VALUE"""),1189.56)</f>
        <v/>
      </c>
      <c r="AH903" s="6">
        <f>AI903&amp;AJ903</f>
        <v/>
      </c>
      <c r="AI903" s="6">
        <f>YEAR(AK903)</f>
        <v/>
      </c>
      <c r="AJ903" s="6">
        <f>MONTH(AK903)</f>
        <v/>
      </c>
      <c r="AK903" s="267">
        <f>IFERROR(__xludf.DUMMYFUNCTION("""COMPUTED_VALUE"""),43995.9986111111)</f>
        <v/>
      </c>
      <c r="AL903" s="6">
        <f>IFERROR(__xludf.DUMMYFUNCTION("""COMPUTED_VALUE"""),9475.087)</f>
        <v/>
      </c>
      <c r="AP903" s="6">
        <f>AQ903&amp;AR903</f>
        <v/>
      </c>
      <c r="AQ903" s="6">
        <f>YEAR(AS903)</f>
        <v/>
      </c>
      <c r="AR903" s="6">
        <f>MONTH(AS903)</f>
        <v/>
      </c>
      <c r="AS903" s="267">
        <f>IFERROR(__xludf.DUMMYFUNCTION("""COMPUTED_VALUE"""),44417.9986111111)</f>
        <v/>
      </c>
      <c r="AT903" s="6">
        <f>IFERROR(__xludf.DUMMYFUNCTION("""COMPUTED_VALUE"""),1726.5)</f>
        <v/>
      </c>
    </row>
    <row r="904">
      <c r="B904" s="6">
        <f>C904&amp;D904</f>
        <v/>
      </c>
      <c r="C904" s="6">
        <f>YEAR(E904)</f>
        <v/>
      </c>
      <c r="D904" s="6">
        <f>MONTH(E904)</f>
        <v/>
      </c>
      <c r="E904" s="267">
        <f>IFERROR(__xludf.DUMMYFUNCTION("""COMPUTED_VALUE"""),44410.6666666666)</f>
        <v/>
      </c>
      <c r="F904" s="6">
        <f>IFERROR(__xludf.DUMMYFUNCTION("""COMPUTED_VALUE"""),4387.16)</f>
        <v/>
      </c>
      <c r="J904" s="6">
        <f>K904&amp;L904</f>
        <v/>
      </c>
      <c r="K904" s="6">
        <f>YEAR(M904)</f>
        <v/>
      </c>
      <c r="L904" s="6">
        <f>MONTH(M904)</f>
        <v/>
      </c>
      <c r="M904" s="267">
        <f>IFERROR(__xludf.DUMMYFUNCTION("""COMPUTED_VALUE"""),44403.6666666666)</f>
        <v/>
      </c>
      <c r="N904" s="6">
        <f>IFERROR(__xludf.DUMMYFUNCTION("""COMPUTED_VALUE"""),14840.71)</f>
        <v/>
      </c>
      <c r="R904" s="6">
        <f>S904&amp;T904</f>
        <v/>
      </c>
      <c r="S904" s="6">
        <f>YEAR(U904)</f>
        <v/>
      </c>
      <c r="T904" s="6">
        <f>MONTH(U904)</f>
        <v/>
      </c>
      <c r="U904" s="267">
        <f>IFERROR(__xludf.DUMMYFUNCTION("""COMPUTED_VALUE"""),44441.6458333333)</f>
        <v/>
      </c>
      <c r="V904" s="6">
        <f>IFERROR(__xludf.DUMMYFUNCTION("""COMPUTED_VALUE"""),3175.85)</f>
        <v/>
      </c>
      <c r="Z904" s="6">
        <f>AA904&amp;AB904</f>
        <v/>
      </c>
      <c r="AA904" s="6">
        <f>YEAR(AC904)</f>
        <v/>
      </c>
      <c r="AB904" s="6">
        <f>MONTH(AC904)</f>
        <v/>
      </c>
      <c r="AC904" s="267">
        <f>IFERROR(__xludf.DUMMYFUNCTION("""COMPUTED_VALUE"""),44043.9986111111)</f>
        <v/>
      </c>
      <c r="AD904" s="6">
        <f>IFERROR(__xludf.DUMMYFUNCTION("""COMPUTED_VALUE"""),1192.47)</f>
        <v/>
      </c>
      <c r="AH904" s="6">
        <f>AI904&amp;AJ904</f>
        <v/>
      </c>
      <c r="AI904" s="6">
        <f>YEAR(AK904)</f>
        <v/>
      </c>
      <c r="AJ904" s="6">
        <f>MONTH(AK904)</f>
        <v/>
      </c>
      <c r="AK904" s="267">
        <f>IFERROR(__xludf.DUMMYFUNCTION("""COMPUTED_VALUE"""),43996.9986111111)</f>
        <v/>
      </c>
      <c r="AL904" s="6">
        <f>IFERROR(__xludf.DUMMYFUNCTION("""COMPUTED_VALUE"""),9332.431)</f>
        <v/>
      </c>
      <c r="AP904" s="6">
        <f>AQ904&amp;AR904</f>
        <v/>
      </c>
      <c r="AQ904" s="6">
        <f>YEAR(AS904)</f>
        <v/>
      </c>
      <c r="AR904" s="6">
        <f>MONTH(AS904)</f>
        <v/>
      </c>
      <c r="AS904" s="267">
        <f>IFERROR(__xludf.DUMMYFUNCTION("""COMPUTED_VALUE"""),44418.9986111111)</f>
        <v/>
      </c>
      <c r="AT904" s="6">
        <f>IFERROR(__xludf.DUMMYFUNCTION("""COMPUTED_VALUE"""),1731.7)</f>
        <v/>
      </c>
    </row>
    <row r="905">
      <c r="B905" s="6">
        <f>C905&amp;D905</f>
        <v/>
      </c>
      <c r="C905" s="6">
        <f>YEAR(E905)</f>
        <v/>
      </c>
      <c r="D905" s="6">
        <f>MONTH(E905)</f>
        <v/>
      </c>
      <c r="E905" s="267">
        <f>IFERROR(__xludf.DUMMYFUNCTION("""COMPUTED_VALUE"""),44411.6666666666)</f>
        <v/>
      </c>
      <c r="F905" s="6">
        <f>IFERROR(__xludf.DUMMYFUNCTION("""COMPUTED_VALUE"""),4423.15)</f>
        <v/>
      </c>
      <c r="J905" s="6">
        <f>K905&amp;L905</f>
        <v/>
      </c>
      <c r="K905" s="6">
        <f>YEAR(M905)</f>
        <v/>
      </c>
      <c r="L905" s="6">
        <f>MONTH(M905)</f>
        <v/>
      </c>
      <c r="M905" s="267">
        <f>IFERROR(__xludf.DUMMYFUNCTION("""COMPUTED_VALUE"""),44404.6666666666)</f>
        <v/>
      </c>
      <c r="N905" s="6">
        <f>IFERROR(__xludf.DUMMYFUNCTION("""COMPUTED_VALUE"""),14660.58)</f>
        <v/>
      </c>
      <c r="R905" s="6">
        <f>S905&amp;T905</f>
        <v/>
      </c>
      <c r="S905" s="6">
        <f>YEAR(U905)</f>
        <v/>
      </c>
      <c r="T905" s="6">
        <f>MONTH(U905)</f>
        <v/>
      </c>
      <c r="U905" s="267">
        <f>IFERROR(__xludf.DUMMYFUNCTION("""COMPUTED_VALUE"""),44442.6458333333)</f>
        <v/>
      </c>
      <c r="V905" s="6">
        <f>IFERROR(__xludf.DUMMYFUNCTION("""COMPUTED_VALUE"""),3201.06)</f>
        <v/>
      </c>
      <c r="Z905" s="6">
        <f>AA905&amp;AB905</f>
        <v/>
      </c>
      <c r="AA905" s="6">
        <f>YEAR(AC905)</f>
        <v/>
      </c>
      <c r="AB905" s="6">
        <f>MONTH(AC905)</f>
        <v/>
      </c>
      <c r="AC905" s="267">
        <f>IFERROR(__xludf.DUMMYFUNCTION("""COMPUTED_VALUE"""),44044.9986111111)</f>
        <v/>
      </c>
      <c r="AD905" s="6">
        <f>IFERROR(__xludf.DUMMYFUNCTION("""COMPUTED_VALUE"""),1192.47)</f>
        <v/>
      </c>
      <c r="AH905" s="6">
        <f>AI905&amp;AJ905</f>
        <v/>
      </c>
      <c r="AI905" s="6">
        <f>YEAR(AK905)</f>
        <v/>
      </c>
      <c r="AJ905" s="6">
        <f>MONTH(AK905)</f>
        <v/>
      </c>
      <c r="AK905" s="267">
        <f>IFERROR(__xludf.DUMMYFUNCTION("""COMPUTED_VALUE"""),43997.9986111111)</f>
        <v/>
      </c>
      <c r="AL905" s="6">
        <f>IFERROR(__xludf.DUMMYFUNCTION("""COMPUTED_VALUE"""),9426.189)</f>
        <v/>
      </c>
      <c r="AP905" s="6">
        <f>AQ905&amp;AR905</f>
        <v/>
      </c>
      <c r="AQ905" s="6">
        <f>YEAR(AS905)</f>
        <v/>
      </c>
      <c r="AR905" s="6">
        <f>MONTH(AS905)</f>
        <v/>
      </c>
      <c r="AS905" s="267">
        <f>IFERROR(__xludf.DUMMYFUNCTION("""COMPUTED_VALUE"""),44419.9986111111)</f>
        <v/>
      </c>
      <c r="AT905" s="6">
        <f>IFERROR(__xludf.DUMMYFUNCTION("""COMPUTED_VALUE"""),1753.3)</f>
        <v/>
      </c>
    </row>
    <row r="906">
      <c r="B906" s="6">
        <f>C906&amp;D906</f>
        <v/>
      </c>
      <c r="C906" s="6">
        <f>YEAR(E906)</f>
        <v/>
      </c>
      <c r="D906" s="6">
        <f>MONTH(E906)</f>
        <v/>
      </c>
      <c r="E906" s="267">
        <f>IFERROR(__xludf.DUMMYFUNCTION("""COMPUTED_VALUE"""),44412.6666666666)</f>
        <v/>
      </c>
      <c r="F906" s="6">
        <f>IFERROR(__xludf.DUMMYFUNCTION("""COMPUTED_VALUE"""),4402.66)</f>
        <v/>
      </c>
      <c r="J906" s="6">
        <f>K906&amp;L906</f>
        <v/>
      </c>
      <c r="K906" s="6">
        <f>YEAR(M906)</f>
        <v/>
      </c>
      <c r="L906" s="6">
        <f>MONTH(M906)</f>
        <v/>
      </c>
      <c r="M906" s="267">
        <f>IFERROR(__xludf.DUMMYFUNCTION("""COMPUTED_VALUE"""),44405.6666666666)</f>
        <v/>
      </c>
      <c r="N906" s="6">
        <f>IFERROR(__xludf.DUMMYFUNCTION("""COMPUTED_VALUE"""),14762.58)</f>
        <v/>
      </c>
      <c r="R906" s="6">
        <f>S906&amp;T906</f>
        <v/>
      </c>
      <c r="S906" s="6">
        <f>YEAR(U906)</f>
        <v/>
      </c>
      <c r="T906" s="6">
        <f>MONTH(U906)</f>
        <v/>
      </c>
      <c r="U906" s="267">
        <f>IFERROR(__xludf.DUMMYFUNCTION("""COMPUTED_VALUE"""),44445.6458333333)</f>
        <v/>
      </c>
      <c r="V906" s="6">
        <f>IFERROR(__xludf.DUMMYFUNCTION("""COMPUTED_VALUE"""),3203.33)</f>
        <v/>
      </c>
      <c r="Z906" s="6">
        <f>AA906&amp;AB906</f>
        <v/>
      </c>
      <c r="AA906" s="6">
        <f>YEAR(AC906)</f>
        <v/>
      </c>
      <c r="AB906" s="6">
        <f>MONTH(AC906)</f>
        <v/>
      </c>
      <c r="AC906" s="267">
        <f>IFERROR(__xludf.DUMMYFUNCTION("""COMPUTED_VALUE"""),44045.9986111111)</f>
        <v/>
      </c>
      <c r="AD906" s="6">
        <f>IFERROR(__xludf.DUMMYFUNCTION("""COMPUTED_VALUE"""),1193.39)</f>
        <v/>
      </c>
      <c r="AH906" s="6">
        <f>AI906&amp;AJ906</f>
        <v/>
      </c>
      <c r="AI906" s="6">
        <f>YEAR(AK906)</f>
        <v/>
      </c>
      <c r="AJ906" s="6">
        <f>MONTH(AK906)</f>
        <v/>
      </c>
      <c r="AK906" s="267">
        <f>IFERROR(__xludf.DUMMYFUNCTION("""COMPUTED_VALUE"""),43998.9986111111)</f>
        <v/>
      </c>
      <c r="AL906" s="6">
        <f>IFERROR(__xludf.DUMMYFUNCTION("""COMPUTED_VALUE"""),9526.845)</f>
        <v/>
      </c>
      <c r="AP906" s="6">
        <f>AQ906&amp;AR906</f>
        <v/>
      </c>
      <c r="AQ906" s="6">
        <f>YEAR(AS906)</f>
        <v/>
      </c>
      <c r="AR906" s="6">
        <f>MONTH(AS906)</f>
        <v/>
      </c>
      <c r="AS906" s="267">
        <f>IFERROR(__xludf.DUMMYFUNCTION("""COMPUTED_VALUE"""),44420.9986111111)</f>
        <v/>
      </c>
      <c r="AT906" s="6">
        <f>IFERROR(__xludf.DUMMYFUNCTION("""COMPUTED_VALUE"""),1751.8)</f>
        <v/>
      </c>
    </row>
    <row r="907">
      <c r="B907" s="6">
        <f>C907&amp;D907</f>
        <v/>
      </c>
      <c r="C907" s="6">
        <f>YEAR(E907)</f>
        <v/>
      </c>
      <c r="D907" s="6">
        <f>MONTH(E907)</f>
        <v/>
      </c>
      <c r="E907" s="267">
        <f>IFERROR(__xludf.DUMMYFUNCTION("""COMPUTED_VALUE"""),44413.6666666666)</f>
        <v/>
      </c>
      <c r="F907" s="6">
        <f>IFERROR(__xludf.DUMMYFUNCTION("""COMPUTED_VALUE"""),4429.1)</f>
        <v/>
      </c>
      <c r="J907" s="6">
        <f>K907&amp;L907</f>
        <v/>
      </c>
      <c r="K907" s="6">
        <f>YEAR(M907)</f>
        <v/>
      </c>
      <c r="L907" s="6">
        <f>MONTH(M907)</f>
        <v/>
      </c>
      <c r="M907" s="267">
        <f>IFERROR(__xludf.DUMMYFUNCTION("""COMPUTED_VALUE"""),44406.6666666666)</f>
        <v/>
      </c>
      <c r="N907" s="6">
        <f>IFERROR(__xludf.DUMMYFUNCTION("""COMPUTED_VALUE"""),14778.26)</f>
        <v/>
      </c>
      <c r="R907" s="6">
        <f>S907&amp;T907</f>
        <v/>
      </c>
      <c r="S907" s="6">
        <f>YEAR(U907)</f>
        <v/>
      </c>
      <c r="T907" s="6">
        <f>MONTH(U907)</f>
        <v/>
      </c>
      <c r="U907" s="267">
        <f>IFERROR(__xludf.DUMMYFUNCTION("""COMPUTED_VALUE"""),44446.6458333333)</f>
        <v/>
      </c>
      <c r="V907" s="6">
        <f>IFERROR(__xludf.DUMMYFUNCTION("""COMPUTED_VALUE"""),3187.42)</f>
        <v/>
      </c>
      <c r="Z907" s="6">
        <f>AA907&amp;AB907</f>
        <v/>
      </c>
      <c r="AA907" s="6">
        <f>YEAR(AC907)</f>
        <v/>
      </c>
      <c r="AB907" s="6">
        <f>MONTH(AC907)</f>
        <v/>
      </c>
      <c r="AC907" s="267">
        <f>IFERROR(__xludf.DUMMYFUNCTION("""COMPUTED_VALUE"""),44046.9986111111)</f>
        <v/>
      </c>
      <c r="AD907" s="6">
        <f>IFERROR(__xludf.DUMMYFUNCTION("""COMPUTED_VALUE"""),1191.76)</f>
        <v/>
      </c>
      <c r="AH907" s="6">
        <f>AI907&amp;AJ907</f>
        <v/>
      </c>
      <c r="AI907" s="6">
        <f>YEAR(AK907)</f>
        <v/>
      </c>
      <c r="AJ907" s="6">
        <f>MONTH(AK907)</f>
        <v/>
      </c>
      <c r="AK907" s="267">
        <f>IFERROR(__xludf.DUMMYFUNCTION("""COMPUTED_VALUE"""),43999.9986111111)</f>
        <v/>
      </c>
      <c r="AL907" s="6">
        <f>IFERROR(__xludf.DUMMYFUNCTION("""COMPUTED_VALUE"""),9457.544)</f>
        <v/>
      </c>
      <c r="AP907" s="6">
        <f>AQ907&amp;AR907</f>
        <v/>
      </c>
      <c r="AQ907" s="6">
        <f>YEAR(AS907)</f>
        <v/>
      </c>
      <c r="AR907" s="6">
        <f>MONTH(AS907)</f>
        <v/>
      </c>
      <c r="AS907" s="267">
        <f>IFERROR(__xludf.DUMMYFUNCTION("""COMPUTED_VALUE"""),44421.9986111111)</f>
        <v/>
      </c>
      <c r="AT907" s="6">
        <f>IFERROR(__xludf.DUMMYFUNCTION("""COMPUTED_VALUE"""),1778.2)</f>
        <v/>
      </c>
    </row>
    <row r="908">
      <c r="B908" s="6">
        <f>C908&amp;D908</f>
        <v/>
      </c>
      <c r="C908" s="6">
        <f>YEAR(E908)</f>
        <v/>
      </c>
      <c r="D908" s="6">
        <f>MONTH(E908)</f>
        <v/>
      </c>
      <c r="E908" s="267">
        <f>IFERROR(__xludf.DUMMYFUNCTION("""COMPUTED_VALUE"""),44414.6666666666)</f>
        <v/>
      </c>
      <c r="F908" s="6">
        <f>IFERROR(__xludf.DUMMYFUNCTION("""COMPUTED_VALUE"""),4436.52)</f>
        <v/>
      </c>
      <c r="J908" s="6">
        <f>K908&amp;L908</f>
        <v/>
      </c>
      <c r="K908" s="6">
        <f>YEAR(M908)</f>
        <v/>
      </c>
      <c r="L908" s="6">
        <f>MONTH(M908)</f>
        <v/>
      </c>
      <c r="M908" s="267">
        <f>IFERROR(__xludf.DUMMYFUNCTION("""COMPUTED_VALUE"""),44407.6666666666)</f>
        <v/>
      </c>
      <c r="N908" s="6">
        <f>IFERROR(__xludf.DUMMYFUNCTION("""COMPUTED_VALUE"""),14672.68)</f>
        <v/>
      </c>
      <c r="R908" s="6">
        <f>S908&amp;T908</f>
        <v/>
      </c>
      <c r="S908" s="6">
        <f>YEAR(U908)</f>
        <v/>
      </c>
      <c r="T908" s="6">
        <f>MONTH(U908)</f>
        <v/>
      </c>
      <c r="U908" s="267">
        <f>IFERROR(__xludf.DUMMYFUNCTION("""COMPUTED_VALUE"""),44447.6458333333)</f>
        <v/>
      </c>
      <c r="V908" s="6">
        <f>IFERROR(__xludf.DUMMYFUNCTION("""COMPUTED_VALUE"""),3162.99)</f>
        <v/>
      </c>
      <c r="Z908" s="6">
        <f>AA908&amp;AB908</f>
        <v/>
      </c>
      <c r="AA908" s="6">
        <f>YEAR(AC908)</f>
        <v/>
      </c>
      <c r="AB908" s="6">
        <f>MONTH(AC908)</f>
        <v/>
      </c>
      <c r="AC908" s="267">
        <f>IFERROR(__xludf.DUMMYFUNCTION("""COMPUTED_VALUE"""),44047.9986111111)</f>
        <v/>
      </c>
      <c r="AD908" s="6">
        <f>IFERROR(__xludf.DUMMYFUNCTION("""COMPUTED_VALUE"""),1192.25)</f>
        <v/>
      </c>
      <c r="AH908" s="6">
        <f>AI908&amp;AJ908</f>
        <v/>
      </c>
      <c r="AI908" s="6">
        <f>YEAR(AK908)</f>
        <v/>
      </c>
      <c r="AJ908" s="6">
        <f>MONTH(AK908)</f>
        <v/>
      </c>
      <c r="AK908" s="267">
        <f>IFERROR(__xludf.DUMMYFUNCTION("""COMPUTED_VALUE"""),44000.9986111111)</f>
        <v/>
      </c>
      <c r="AL908" s="6">
        <f>IFERROR(__xludf.DUMMYFUNCTION("""COMPUTED_VALUE"""),9380.774)</f>
        <v/>
      </c>
      <c r="AP908" s="6">
        <f>AQ908&amp;AR908</f>
        <v/>
      </c>
      <c r="AQ908" s="6">
        <f>YEAR(AS908)</f>
        <v/>
      </c>
      <c r="AR908" s="6">
        <f>MONTH(AS908)</f>
        <v/>
      </c>
      <c r="AS908" s="267">
        <f>IFERROR(__xludf.DUMMYFUNCTION("""COMPUTED_VALUE"""),44424.9986111111)</f>
        <v/>
      </c>
      <c r="AT908" s="6">
        <f>IFERROR(__xludf.DUMMYFUNCTION("""COMPUTED_VALUE"""),1789.8)</f>
        <v/>
      </c>
    </row>
    <row r="909">
      <c r="B909" s="6">
        <f>C909&amp;D909</f>
        <v/>
      </c>
      <c r="C909" s="6">
        <f>YEAR(E909)</f>
        <v/>
      </c>
      <c r="D909" s="6">
        <f>MONTH(E909)</f>
        <v/>
      </c>
      <c r="E909" s="267">
        <f>IFERROR(__xludf.DUMMYFUNCTION("""COMPUTED_VALUE"""),44417.6666666666)</f>
        <v/>
      </c>
      <c r="F909" s="6">
        <f>IFERROR(__xludf.DUMMYFUNCTION("""COMPUTED_VALUE"""),4432.35)</f>
        <v/>
      </c>
      <c r="J909" s="6">
        <f>K909&amp;L909</f>
        <v/>
      </c>
      <c r="K909" s="6">
        <f>YEAR(M909)</f>
        <v/>
      </c>
      <c r="L909" s="6">
        <f>MONTH(M909)</f>
        <v/>
      </c>
      <c r="M909" s="267">
        <f>IFERROR(__xludf.DUMMYFUNCTION("""COMPUTED_VALUE"""),44410.6666666666)</f>
        <v/>
      </c>
      <c r="N909" s="6">
        <f>IFERROR(__xludf.DUMMYFUNCTION("""COMPUTED_VALUE"""),14681.07)</f>
        <v/>
      </c>
      <c r="R909" s="6">
        <f>S909&amp;T909</f>
        <v/>
      </c>
      <c r="S909" s="6">
        <f>YEAR(U909)</f>
        <v/>
      </c>
      <c r="T909" s="6">
        <f>MONTH(U909)</f>
        <v/>
      </c>
      <c r="U909" s="267">
        <f>IFERROR(__xludf.DUMMYFUNCTION("""COMPUTED_VALUE"""),44448.6458333333)</f>
        <v/>
      </c>
      <c r="V909" s="6">
        <f>IFERROR(__xludf.DUMMYFUNCTION("""COMPUTED_VALUE"""),3114.7)</f>
        <v/>
      </c>
      <c r="Z909" s="6">
        <f>AA909&amp;AB909</f>
        <v/>
      </c>
      <c r="AA909" s="6">
        <f>YEAR(AC909)</f>
        <v/>
      </c>
      <c r="AB909" s="6">
        <f>MONTH(AC909)</f>
        <v/>
      </c>
      <c r="AC909" s="267">
        <f>IFERROR(__xludf.DUMMYFUNCTION("""COMPUTED_VALUE"""),44048.9986111111)</f>
        <v/>
      </c>
      <c r="AD909" s="6">
        <f>IFERROR(__xludf.DUMMYFUNCTION("""COMPUTED_VALUE"""),1185.18)</f>
        <v/>
      </c>
      <c r="AH909" s="6">
        <f>AI909&amp;AJ909</f>
        <v/>
      </c>
      <c r="AI909" s="6">
        <f>YEAR(AK909)</f>
        <v/>
      </c>
      <c r="AJ909" s="6">
        <f>MONTH(AK909)</f>
        <v/>
      </c>
      <c r="AK909" s="267">
        <f>IFERROR(__xludf.DUMMYFUNCTION("""COMPUTED_VALUE"""),44001.9986111111)</f>
        <v/>
      </c>
      <c r="AL909" s="6">
        <f>IFERROR(__xludf.DUMMYFUNCTION("""COMPUTED_VALUE"""),9301.495)</f>
        <v/>
      </c>
      <c r="AP909" s="6">
        <f>AQ909&amp;AR909</f>
        <v/>
      </c>
      <c r="AQ909" s="6">
        <f>YEAR(AS909)</f>
        <v/>
      </c>
      <c r="AR909" s="6">
        <f>MONTH(AS909)</f>
        <v/>
      </c>
      <c r="AS909" s="267">
        <f>IFERROR(__xludf.DUMMYFUNCTION("""COMPUTED_VALUE"""),44425.9986111111)</f>
        <v/>
      </c>
      <c r="AT909" s="6">
        <f>IFERROR(__xludf.DUMMYFUNCTION("""COMPUTED_VALUE"""),1787.8)</f>
        <v/>
      </c>
    </row>
    <row r="910">
      <c r="B910" s="6">
        <f>C910&amp;D910</f>
        <v/>
      </c>
      <c r="C910" s="6">
        <f>YEAR(E910)</f>
        <v/>
      </c>
      <c r="D910" s="6">
        <f>MONTH(E910)</f>
        <v/>
      </c>
      <c r="E910" s="267">
        <f>IFERROR(__xludf.DUMMYFUNCTION("""COMPUTED_VALUE"""),44418.6666666666)</f>
        <v/>
      </c>
      <c r="F910" s="6">
        <f>IFERROR(__xludf.DUMMYFUNCTION("""COMPUTED_VALUE"""),4436.75)</f>
        <v/>
      </c>
      <c r="J910" s="6">
        <f>K910&amp;L910</f>
        <v/>
      </c>
      <c r="K910" s="6">
        <f>YEAR(M910)</f>
        <v/>
      </c>
      <c r="L910" s="6">
        <f>MONTH(M910)</f>
        <v/>
      </c>
      <c r="M910" s="267">
        <f>IFERROR(__xludf.DUMMYFUNCTION("""COMPUTED_VALUE"""),44411.6666666666)</f>
        <v/>
      </c>
      <c r="N910" s="6">
        <f>IFERROR(__xludf.DUMMYFUNCTION("""COMPUTED_VALUE"""),14761.3)</f>
        <v/>
      </c>
      <c r="R910" s="6">
        <f>S910&amp;T910</f>
        <v/>
      </c>
      <c r="S910" s="6">
        <f>YEAR(U910)</f>
        <v/>
      </c>
      <c r="T910" s="6">
        <f>MONTH(U910)</f>
        <v/>
      </c>
      <c r="U910" s="267">
        <f>IFERROR(__xludf.DUMMYFUNCTION("""COMPUTED_VALUE"""),44449.6458333333)</f>
        <v/>
      </c>
      <c r="V910" s="6">
        <f>IFERROR(__xludf.DUMMYFUNCTION("""COMPUTED_VALUE"""),3125.76)</f>
        <v/>
      </c>
      <c r="Z910" s="6">
        <f>AA910&amp;AB910</f>
        <v/>
      </c>
      <c r="AA910" s="6">
        <f>YEAR(AC910)</f>
        <v/>
      </c>
      <c r="AB910" s="6">
        <f>MONTH(AC910)</f>
        <v/>
      </c>
      <c r="AC910" s="267">
        <f>IFERROR(__xludf.DUMMYFUNCTION("""COMPUTED_VALUE"""),44049.9986111111)</f>
        <v/>
      </c>
      <c r="AD910" s="6">
        <f>IFERROR(__xludf.DUMMYFUNCTION("""COMPUTED_VALUE"""),1183.17)</f>
        <v/>
      </c>
      <c r="AH910" s="6">
        <f>AI910&amp;AJ910</f>
        <v/>
      </c>
      <c r="AI910" s="6">
        <f>YEAR(AK910)</f>
        <v/>
      </c>
      <c r="AJ910" s="6">
        <f>MONTH(AK910)</f>
        <v/>
      </c>
      <c r="AK910" s="267">
        <f>IFERROR(__xludf.DUMMYFUNCTION("""COMPUTED_VALUE"""),44002.9986111111)</f>
        <v/>
      </c>
      <c r="AL910" s="6">
        <f>IFERROR(__xludf.DUMMYFUNCTION("""COMPUTED_VALUE"""),9358.458)</f>
        <v/>
      </c>
      <c r="AP910" s="6">
        <f>AQ910&amp;AR910</f>
        <v/>
      </c>
      <c r="AQ910" s="6">
        <f>YEAR(AS910)</f>
        <v/>
      </c>
      <c r="AR910" s="6">
        <f>MONTH(AS910)</f>
        <v/>
      </c>
      <c r="AS910" s="267">
        <f>IFERROR(__xludf.DUMMYFUNCTION("""COMPUTED_VALUE"""),44426.9986111111)</f>
        <v/>
      </c>
      <c r="AT910" s="6">
        <f>IFERROR(__xludf.DUMMYFUNCTION("""COMPUTED_VALUE"""),1784.4)</f>
        <v/>
      </c>
    </row>
    <row r="911">
      <c r="B911" s="6">
        <f>C911&amp;D911</f>
        <v/>
      </c>
      <c r="C911" s="6">
        <f>YEAR(E911)</f>
        <v/>
      </c>
      <c r="D911" s="6">
        <f>MONTH(E911)</f>
        <v/>
      </c>
      <c r="E911" s="267">
        <f>IFERROR(__xludf.DUMMYFUNCTION("""COMPUTED_VALUE"""),44419.6666666666)</f>
        <v/>
      </c>
      <c r="F911" s="6">
        <f>IFERROR(__xludf.DUMMYFUNCTION("""COMPUTED_VALUE"""),4447.7)</f>
        <v/>
      </c>
      <c r="J911" s="6">
        <f>K911&amp;L911</f>
        <v/>
      </c>
      <c r="K911" s="6">
        <f>YEAR(M911)</f>
        <v/>
      </c>
      <c r="L911" s="6">
        <f>MONTH(M911)</f>
        <v/>
      </c>
      <c r="M911" s="267">
        <f>IFERROR(__xludf.DUMMYFUNCTION("""COMPUTED_VALUE"""),44412.6666666666)</f>
        <v/>
      </c>
      <c r="N911" s="6">
        <f>IFERROR(__xludf.DUMMYFUNCTION("""COMPUTED_VALUE"""),14780.53)</f>
        <v/>
      </c>
      <c r="R911" s="6">
        <f>S911&amp;T911</f>
        <v/>
      </c>
      <c r="S911" s="6">
        <f>YEAR(U911)</f>
        <v/>
      </c>
      <c r="T911" s="6">
        <f>MONTH(U911)</f>
        <v/>
      </c>
      <c r="U911" s="267">
        <f>IFERROR(__xludf.DUMMYFUNCTION("""COMPUTED_VALUE"""),44452.6458333333)</f>
        <v/>
      </c>
      <c r="V911" s="6">
        <f>IFERROR(__xludf.DUMMYFUNCTION("""COMPUTED_VALUE"""),3127.86)</f>
        <v/>
      </c>
      <c r="Z911" s="6">
        <f>AA911&amp;AB911</f>
        <v/>
      </c>
      <c r="AA911" s="6">
        <f>YEAR(AC911)</f>
        <v/>
      </c>
      <c r="AB911" s="6">
        <f>MONTH(AC911)</f>
        <v/>
      </c>
      <c r="AC911" s="267">
        <f>IFERROR(__xludf.DUMMYFUNCTION("""COMPUTED_VALUE"""),44050.9986111111)</f>
        <v/>
      </c>
      <c r="AD911" s="6">
        <f>IFERROR(__xludf.DUMMYFUNCTION("""COMPUTED_VALUE"""),1188.26)</f>
        <v/>
      </c>
      <c r="AH911" s="6">
        <f>AI911&amp;AJ911</f>
        <v/>
      </c>
      <c r="AI911" s="6">
        <f>YEAR(AK911)</f>
        <v/>
      </c>
      <c r="AJ911" s="6">
        <f>MONTH(AK911)</f>
        <v/>
      </c>
      <c r="AK911" s="267">
        <f>IFERROR(__xludf.DUMMYFUNCTION("""COMPUTED_VALUE"""),44003.9986111111)</f>
        <v/>
      </c>
      <c r="AL911" s="6">
        <f>IFERROR(__xludf.DUMMYFUNCTION("""COMPUTED_VALUE"""),9287.954)</f>
        <v/>
      </c>
      <c r="AP911" s="6">
        <f>AQ911&amp;AR911</f>
        <v/>
      </c>
      <c r="AQ911" s="6">
        <f>YEAR(AS911)</f>
        <v/>
      </c>
      <c r="AR911" s="6">
        <f>MONTH(AS911)</f>
        <v/>
      </c>
      <c r="AS911" s="267">
        <f>IFERROR(__xludf.DUMMYFUNCTION("""COMPUTED_VALUE"""),44427.9986111111)</f>
        <v/>
      </c>
      <c r="AT911" s="6">
        <f>IFERROR(__xludf.DUMMYFUNCTION("""COMPUTED_VALUE"""),1783.1)</f>
        <v/>
      </c>
    </row>
    <row r="912">
      <c r="B912" s="6">
        <f>C912&amp;D912</f>
        <v/>
      </c>
      <c r="C912" s="6">
        <f>YEAR(E912)</f>
        <v/>
      </c>
      <c r="D912" s="6">
        <f>MONTH(E912)</f>
        <v/>
      </c>
      <c r="E912" s="267">
        <f>IFERROR(__xludf.DUMMYFUNCTION("""COMPUTED_VALUE"""),44420.6666666666)</f>
        <v/>
      </c>
      <c r="F912" s="6">
        <f>IFERROR(__xludf.DUMMYFUNCTION("""COMPUTED_VALUE"""),4460.83)</f>
        <v/>
      </c>
      <c r="J912" s="6">
        <f>K912&amp;L912</f>
        <v/>
      </c>
      <c r="K912" s="6">
        <f>YEAR(M912)</f>
        <v/>
      </c>
      <c r="L912" s="6">
        <f>MONTH(M912)</f>
        <v/>
      </c>
      <c r="M912" s="267">
        <f>IFERROR(__xludf.DUMMYFUNCTION("""COMPUTED_VALUE"""),44413.6666666666)</f>
        <v/>
      </c>
      <c r="N912" s="6">
        <f>IFERROR(__xludf.DUMMYFUNCTION("""COMPUTED_VALUE"""),14895.12)</f>
        <v/>
      </c>
      <c r="R912" s="6">
        <f>S912&amp;T912</f>
        <v/>
      </c>
      <c r="S912" s="6">
        <f>YEAR(U912)</f>
        <v/>
      </c>
      <c r="T912" s="6">
        <f>MONTH(U912)</f>
        <v/>
      </c>
      <c r="U912" s="267">
        <f>IFERROR(__xludf.DUMMYFUNCTION("""COMPUTED_VALUE"""),44453.6458333333)</f>
        <v/>
      </c>
      <c r="V912" s="6">
        <f>IFERROR(__xludf.DUMMYFUNCTION("""COMPUTED_VALUE"""),3148.83)</f>
        <v/>
      </c>
      <c r="Z912" s="6">
        <f>AA912&amp;AB912</f>
        <v/>
      </c>
      <c r="AA912" s="6">
        <f>YEAR(AC912)</f>
        <v/>
      </c>
      <c r="AB912" s="6">
        <f>MONTH(AC912)</f>
        <v/>
      </c>
      <c r="AC912" s="267">
        <f>IFERROR(__xludf.DUMMYFUNCTION("""COMPUTED_VALUE"""),44051.9986111111)</f>
        <v/>
      </c>
      <c r="AD912" s="6">
        <f>IFERROR(__xludf.DUMMYFUNCTION("""COMPUTED_VALUE"""),1187.18)</f>
        <v/>
      </c>
      <c r="AH912" s="6">
        <f>AI912&amp;AJ912</f>
        <v/>
      </c>
      <c r="AI912" s="6">
        <f>YEAR(AK912)</f>
        <v/>
      </c>
      <c r="AJ912" s="6">
        <f>MONTH(AK912)</f>
        <v/>
      </c>
      <c r="AK912" s="267">
        <f>IFERROR(__xludf.DUMMYFUNCTION("""COMPUTED_VALUE"""),44004.9986111111)</f>
        <v/>
      </c>
      <c r="AL912" s="6">
        <f>IFERROR(__xludf.DUMMYFUNCTION("""COMPUTED_VALUE"""),9690.653)</f>
        <v/>
      </c>
      <c r="AP912" s="6">
        <f>AQ912&amp;AR912</f>
        <v/>
      </c>
      <c r="AQ912" s="6">
        <f>YEAR(AS912)</f>
        <v/>
      </c>
      <c r="AR912" s="6">
        <f>MONTH(AS912)</f>
        <v/>
      </c>
      <c r="AS912" s="267">
        <f>IFERROR(__xludf.DUMMYFUNCTION("""COMPUTED_VALUE"""),44428.9986111111)</f>
        <v/>
      </c>
      <c r="AT912" s="6">
        <f>IFERROR(__xludf.DUMMYFUNCTION("""COMPUTED_VALUE"""),1784)</f>
        <v/>
      </c>
    </row>
    <row r="913">
      <c r="B913" s="6">
        <f>C913&amp;D913</f>
        <v/>
      </c>
      <c r="C913" s="6">
        <f>YEAR(E913)</f>
        <v/>
      </c>
      <c r="D913" s="6">
        <f>MONTH(E913)</f>
        <v/>
      </c>
      <c r="E913" s="267">
        <f>IFERROR(__xludf.DUMMYFUNCTION("""COMPUTED_VALUE"""),44421.6666666666)</f>
        <v/>
      </c>
      <c r="F913" s="6">
        <f>IFERROR(__xludf.DUMMYFUNCTION("""COMPUTED_VALUE"""),4468)</f>
        <v/>
      </c>
      <c r="J913" s="6">
        <f>K913&amp;L913</f>
        <v/>
      </c>
      <c r="K913" s="6">
        <f>YEAR(M913)</f>
        <v/>
      </c>
      <c r="L913" s="6">
        <f>MONTH(M913)</f>
        <v/>
      </c>
      <c r="M913" s="267">
        <f>IFERROR(__xludf.DUMMYFUNCTION("""COMPUTED_VALUE"""),44414.6666666666)</f>
        <v/>
      </c>
      <c r="N913" s="6">
        <f>IFERROR(__xludf.DUMMYFUNCTION("""COMPUTED_VALUE"""),14835.76)</f>
        <v/>
      </c>
      <c r="R913" s="6">
        <f>S913&amp;T913</f>
        <v/>
      </c>
      <c r="S913" s="6">
        <f>YEAR(U913)</f>
        <v/>
      </c>
      <c r="T913" s="6">
        <f>MONTH(U913)</f>
        <v/>
      </c>
      <c r="U913" s="267">
        <f>IFERROR(__xludf.DUMMYFUNCTION("""COMPUTED_VALUE"""),44454.6458333333)</f>
        <v/>
      </c>
      <c r="V913" s="6">
        <f>IFERROR(__xludf.DUMMYFUNCTION("""COMPUTED_VALUE"""),3153.4)</f>
        <v/>
      </c>
      <c r="Z913" s="6">
        <f>AA913&amp;AB913</f>
        <v/>
      </c>
      <c r="AA913" s="6">
        <f>YEAR(AC913)</f>
        <v/>
      </c>
      <c r="AB913" s="6">
        <f>MONTH(AC913)</f>
        <v/>
      </c>
      <c r="AC913" s="267">
        <f>IFERROR(__xludf.DUMMYFUNCTION("""COMPUTED_VALUE"""),44052.9986111111)</f>
        <v/>
      </c>
      <c r="AD913" s="6">
        <f>IFERROR(__xludf.DUMMYFUNCTION("""COMPUTED_VALUE"""),1188.15)</f>
        <v/>
      </c>
      <c r="AH913" s="6">
        <f>AI913&amp;AJ913</f>
        <v/>
      </c>
      <c r="AI913" s="6">
        <f>YEAR(AK913)</f>
        <v/>
      </c>
      <c r="AJ913" s="6">
        <f>MONTH(AK913)</f>
        <v/>
      </c>
      <c r="AK913" s="267">
        <f>IFERROR(__xludf.DUMMYFUNCTION("""COMPUTED_VALUE"""),44005.9986111111)</f>
        <v/>
      </c>
      <c r="AL913" s="6">
        <f>IFERROR(__xludf.DUMMYFUNCTION("""COMPUTED_VALUE"""),9622.859)</f>
        <v/>
      </c>
      <c r="AP913" s="6">
        <f>AQ913&amp;AR913</f>
        <v/>
      </c>
      <c r="AQ913" s="6">
        <f>YEAR(AS913)</f>
        <v/>
      </c>
      <c r="AR913" s="6">
        <f>MONTH(AS913)</f>
        <v/>
      </c>
      <c r="AS913" s="267">
        <f>IFERROR(__xludf.DUMMYFUNCTION("""COMPUTED_VALUE"""),44431.9986111111)</f>
        <v/>
      </c>
      <c r="AT913" s="6">
        <f>IFERROR(__xludf.DUMMYFUNCTION("""COMPUTED_VALUE"""),1806.3)</f>
        <v/>
      </c>
    </row>
    <row r="914">
      <c r="B914" s="6">
        <f>C914&amp;D914</f>
        <v/>
      </c>
      <c r="C914" s="6">
        <f>YEAR(E914)</f>
        <v/>
      </c>
      <c r="D914" s="6">
        <f>MONTH(E914)</f>
        <v/>
      </c>
      <c r="E914" s="267">
        <f>IFERROR(__xludf.DUMMYFUNCTION("""COMPUTED_VALUE"""),44424.6666666666)</f>
        <v/>
      </c>
      <c r="F914" s="6">
        <f>IFERROR(__xludf.DUMMYFUNCTION("""COMPUTED_VALUE"""),4479.71)</f>
        <v/>
      </c>
      <c r="J914" s="6">
        <f>K914&amp;L914</f>
        <v/>
      </c>
      <c r="K914" s="6">
        <f>YEAR(M914)</f>
        <v/>
      </c>
      <c r="L914" s="6">
        <f>MONTH(M914)</f>
        <v/>
      </c>
      <c r="M914" s="267">
        <f>IFERROR(__xludf.DUMMYFUNCTION("""COMPUTED_VALUE"""),44417.6666666666)</f>
        <v/>
      </c>
      <c r="N914" s="6">
        <f>IFERROR(__xludf.DUMMYFUNCTION("""COMPUTED_VALUE"""),14860.18)</f>
        <v/>
      </c>
      <c r="R914" s="6">
        <f>S914&amp;T914</f>
        <v/>
      </c>
      <c r="S914" s="6">
        <f>YEAR(U914)</f>
        <v/>
      </c>
      <c r="T914" s="6">
        <f>MONTH(U914)</f>
        <v/>
      </c>
      <c r="U914" s="267">
        <f>IFERROR(__xludf.DUMMYFUNCTION("""COMPUTED_VALUE"""),44455.6458333333)</f>
        <v/>
      </c>
      <c r="V914" s="6">
        <f>IFERROR(__xludf.DUMMYFUNCTION("""COMPUTED_VALUE"""),3130.09)</f>
        <v/>
      </c>
      <c r="Z914" s="6">
        <f>AA914&amp;AB914</f>
        <v/>
      </c>
      <c r="AA914" s="6">
        <f>YEAR(AC914)</f>
        <v/>
      </c>
      <c r="AB914" s="6">
        <f>MONTH(AC914)</f>
        <v/>
      </c>
      <c r="AC914" s="267">
        <f>IFERROR(__xludf.DUMMYFUNCTION("""COMPUTED_VALUE"""),44053.9986111111)</f>
        <v/>
      </c>
      <c r="AD914" s="6">
        <f>IFERROR(__xludf.DUMMYFUNCTION("""COMPUTED_VALUE"""),1185.19)</f>
        <v/>
      </c>
      <c r="AH914" s="6">
        <f>AI914&amp;AJ914</f>
        <v/>
      </c>
      <c r="AI914" s="6">
        <f>YEAR(AK914)</f>
        <v/>
      </c>
      <c r="AJ914" s="6">
        <f>MONTH(AK914)</f>
        <v/>
      </c>
      <c r="AK914" s="267">
        <f>IFERROR(__xludf.DUMMYFUNCTION("""COMPUTED_VALUE"""),44006.9986111111)</f>
        <v/>
      </c>
      <c r="AL914" s="6">
        <f>IFERROR(__xludf.DUMMYFUNCTION("""COMPUTED_VALUE"""),9294.837)</f>
        <v/>
      </c>
      <c r="AP914" s="6">
        <f>AQ914&amp;AR914</f>
        <v/>
      </c>
      <c r="AQ914" s="6">
        <f>YEAR(AS914)</f>
        <v/>
      </c>
      <c r="AR914" s="6">
        <f>MONTH(AS914)</f>
        <v/>
      </c>
      <c r="AS914" s="267">
        <f>IFERROR(__xludf.DUMMYFUNCTION("""COMPUTED_VALUE"""),44432.9986111111)</f>
        <v/>
      </c>
      <c r="AT914" s="6">
        <f>IFERROR(__xludf.DUMMYFUNCTION("""COMPUTED_VALUE"""),1808.5)</f>
        <v/>
      </c>
    </row>
    <row r="915">
      <c r="B915" s="6">
        <f>C915&amp;D915</f>
        <v/>
      </c>
      <c r="C915" s="6">
        <f>YEAR(E915)</f>
        <v/>
      </c>
      <c r="D915" s="6">
        <f>MONTH(E915)</f>
        <v/>
      </c>
      <c r="E915" s="267">
        <f>IFERROR(__xludf.DUMMYFUNCTION("""COMPUTED_VALUE"""),44425.6666666666)</f>
        <v/>
      </c>
      <c r="F915" s="6">
        <f>IFERROR(__xludf.DUMMYFUNCTION("""COMPUTED_VALUE"""),4448.08)</f>
        <v/>
      </c>
      <c r="J915" s="6">
        <f>K915&amp;L915</f>
        <v/>
      </c>
      <c r="K915" s="6">
        <f>YEAR(M915)</f>
        <v/>
      </c>
      <c r="L915" s="6">
        <f>MONTH(M915)</f>
        <v/>
      </c>
      <c r="M915" s="267">
        <f>IFERROR(__xludf.DUMMYFUNCTION("""COMPUTED_VALUE"""),44418.6666666666)</f>
        <v/>
      </c>
      <c r="N915" s="6">
        <f>IFERROR(__xludf.DUMMYFUNCTION("""COMPUTED_VALUE"""),14788.09)</f>
        <v/>
      </c>
      <c r="R915" s="6">
        <f>S915&amp;T915</f>
        <v/>
      </c>
      <c r="S915" s="6">
        <f>YEAR(U915)</f>
        <v/>
      </c>
      <c r="T915" s="6">
        <f>MONTH(U915)</f>
        <v/>
      </c>
      <c r="U915" s="267">
        <f>IFERROR(__xludf.DUMMYFUNCTION("""COMPUTED_VALUE"""),44456.6458333333)</f>
        <v/>
      </c>
      <c r="V915" s="6">
        <f>IFERROR(__xludf.DUMMYFUNCTION("""COMPUTED_VALUE"""),3140.51)</f>
        <v/>
      </c>
      <c r="Z915" s="6">
        <f>AA915&amp;AB915</f>
        <v/>
      </c>
      <c r="AA915" s="6">
        <f>YEAR(AC915)</f>
        <v/>
      </c>
      <c r="AB915" s="6">
        <f>MONTH(AC915)</f>
        <v/>
      </c>
      <c r="AC915" s="267">
        <f>IFERROR(__xludf.DUMMYFUNCTION("""COMPUTED_VALUE"""),44054.9986111111)</f>
        <v/>
      </c>
      <c r="AD915" s="6">
        <f>IFERROR(__xludf.DUMMYFUNCTION("""COMPUTED_VALUE"""),1184.98)</f>
        <v/>
      </c>
      <c r="AH915" s="6">
        <f>AI915&amp;AJ915</f>
        <v/>
      </c>
      <c r="AI915" s="6">
        <f>YEAR(AK915)</f>
        <v/>
      </c>
      <c r="AJ915" s="6">
        <f>MONTH(AK915)</f>
        <v/>
      </c>
      <c r="AK915" s="267">
        <f>IFERROR(__xludf.DUMMYFUNCTION("""COMPUTED_VALUE"""),44007.9986111111)</f>
        <v/>
      </c>
      <c r="AL915" s="6">
        <f>IFERROR(__xludf.DUMMYFUNCTION("""COMPUTED_VALUE"""),9245.056)</f>
        <v/>
      </c>
      <c r="AP915" s="6">
        <f>AQ915&amp;AR915</f>
        <v/>
      </c>
      <c r="AQ915" s="6">
        <f>YEAR(AS915)</f>
        <v/>
      </c>
      <c r="AR915" s="6">
        <f>MONTH(AS915)</f>
        <v/>
      </c>
      <c r="AS915" s="267">
        <f>IFERROR(__xludf.DUMMYFUNCTION("""COMPUTED_VALUE"""),44433.9986111111)</f>
        <v/>
      </c>
      <c r="AT915" s="6">
        <f>IFERROR(__xludf.DUMMYFUNCTION("""COMPUTED_VALUE"""),1791)</f>
        <v/>
      </c>
    </row>
    <row r="916">
      <c r="B916" s="6">
        <f>C916&amp;D916</f>
        <v/>
      </c>
      <c r="C916" s="6">
        <f>YEAR(E916)</f>
        <v/>
      </c>
      <c r="D916" s="6">
        <f>MONTH(E916)</f>
        <v/>
      </c>
      <c r="E916" s="267">
        <f>IFERROR(__xludf.DUMMYFUNCTION("""COMPUTED_VALUE"""),44426.6666666666)</f>
        <v/>
      </c>
      <c r="F916" s="6">
        <f>IFERROR(__xludf.DUMMYFUNCTION("""COMPUTED_VALUE"""),4400.27)</f>
        <v/>
      </c>
      <c r="J916" s="6">
        <f>K916&amp;L916</f>
        <v/>
      </c>
      <c r="K916" s="6">
        <f>YEAR(M916)</f>
        <v/>
      </c>
      <c r="L916" s="6">
        <f>MONTH(M916)</f>
        <v/>
      </c>
      <c r="M916" s="267">
        <f>IFERROR(__xludf.DUMMYFUNCTION("""COMPUTED_VALUE"""),44419.6666666666)</f>
        <v/>
      </c>
      <c r="N916" s="6">
        <f>IFERROR(__xludf.DUMMYFUNCTION("""COMPUTED_VALUE"""),14765.14)</f>
        <v/>
      </c>
      <c r="R916" s="6">
        <f>S916&amp;T916</f>
        <v/>
      </c>
      <c r="S916" s="6">
        <f>YEAR(U916)</f>
        <v/>
      </c>
      <c r="T916" s="6">
        <f>MONTH(U916)</f>
        <v/>
      </c>
      <c r="U916" s="267">
        <f>IFERROR(__xludf.DUMMYFUNCTION("""COMPUTED_VALUE"""),44462.6458333333)</f>
        <v/>
      </c>
      <c r="V916" s="6">
        <f>IFERROR(__xludf.DUMMYFUNCTION("""COMPUTED_VALUE"""),3127.58)</f>
        <v/>
      </c>
      <c r="Z916" s="6">
        <f>AA916&amp;AB916</f>
        <v/>
      </c>
      <c r="AA916" s="6">
        <f>YEAR(AC916)</f>
        <v/>
      </c>
      <c r="AB916" s="6">
        <f>MONTH(AC916)</f>
        <v/>
      </c>
      <c r="AC916" s="267">
        <f>IFERROR(__xludf.DUMMYFUNCTION("""COMPUTED_VALUE"""),44055.9986111111)</f>
        <v/>
      </c>
      <c r="AD916" s="6">
        <f>IFERROR(__xludf.DUMMYFUNCTION("""COMPUTED_VALUE"""),1182.75)</f>
        <v/>
      </c>
      <c r="AH916" s="6">
        <f>AI916&amp;AJ916</f>
        <v/>
      </c>
      <c r="AI916" s="6">
        <f>YEAR(AK916)</f>
        <v/>
      </c>
      <c r="AJ916" s="6">
        <f>MONTH(AK916)</f>
        <v/>
      </c>
      <c r="AK916" s="267">
        <f>IFERROR(__xludf.DUMMYFUNCTION("""COMPUTED_VALUE"""),44008.9986111111)</f>
        <v/>
      </c>
      <c r="AL916" s="6">
        <f>IFERROR(__xludf.DUMMYFUNCTION("""COMPUTED_VALUE"""),9156.309)</f>
        <v/>
      </c>
      <c r="AP916" s="6">
        <f>AQ916&amp;AR916</f>
        <v/>
      </c>
      <c r="AQ916" s="6">
        <f>YEAR(AS916)</f>
        <v/>
      </c>
      <c r="AR916" s="6">
        <f>MONTH(AS916)</f>
        <v/>
      </c>
      <c r="AS916" s="267">
        <f>IFERROR(__xludf.DUMMYFUNCTION("""COMPUTED_VALUE"""),44434.9986111111)</f>
        <v/>
      </c>
      <c r="AT916" s="6">
        <f>IFERROR(__xludf.DUMMYFUNCTION("""COMPUTED_VALUE"""),1795.2)</f>
        <v/>
      </c>
    </row>
    <row r="917">
      <c r="B917" s="6">
        <f>C917&amp;D917</f>
        <v/>
      </c>
      <c r="C917" s="6">
        <f>YEAR(E917)</f>
        <v/>
      </c>
      <c r="D917" s="6">
        <f>MONTH(E917)</f>
        <v/>
      </c>
      <c r="E917" s="267">
        <f>IFERROR(__xludf.DUMMYFUNCTION("""COMPUTED_VALUE"""),44427.6666666666)</f>
        <v/>
      </c>
      <c r="F917" s="6">
        <f>IFERROR(__xludf.DUMMYFUNCTION("""COMPUTED_VALUE"""),4405.8)</f>
        <v/>
      </c>
      <c r="J917" s="6">
        <f>K917&amp;L917</f>
        <v/>
      </c>
      <c r="K917" s="6">
        <f>YEAR(M917)</f>
        <v/>
      </c>
      <c r="L917" s="6">
        <f>MONTH(M917)</f>
        <v/>
      </c>
      <c r="M917" s="267">
        <f>IFERROR(__xludf.DUMMYFUNCTION("""COMPUTED_VALUE"""),44420.6666666666)</f>
        <v/>
      </c>
      <c r="N917" s="6">
        <f>IFERROR(__xludf.DUMMYFUNCTION("""COMPUTED_VALUE"""),14816.26)</f>
        <v/>
      </c>
      <c r="R917" s="6">
        <f>S917&amp;T917</f>
        <v/>
      </c>
      <c r="S917" s="6">
        <f>YEAR(U917)</f>
        <v/>
      </c>
      <c r="T917" s="6">
        <f>MONTH(U917)</f>
        <v/>
      </c>
      <c r="U917" s="267">
        <f>IFERROR(__xludf.DUMMYFUNCTION("""COMPUTED_VALUE"""),44463.6458333333)</f>
        <v/>
      </c>
      <c r="V917" s="6">
        <f>IFERROR(__xludf.DUMMYFUNCTION("""COMPUTED_VALUE"""),3125.24)</f>
        <v/>
      </c>
      <c r="Z917" s="6">
        <f>AA917&amp;AB917</f>
        <v/>
      </c>
      <c r="AA917" s="6">
        <f>YEAR(AC917)</f>
        <v/>
      </c>
      <c r="AB917" s="6">
        <f>MONTH(AC917)</f>
        <v/>
      </c>
      <c r="AC917" s="267">
        <f>IFERROR(__xludf.DUMMYFUNCTION("""COMPUTED_VALUE"""),44056.9986111111)</f>
        <v/>
      </c>
      <c r="AD917" s="6">
        <f>IFERROR(__xludf.DUMMYFUNCTION("""COMPUTED_VALUE"""),1184.12)</f>
        <v/>
      </c>
      <c r="AH917" s="6">
        <f>AI917&amp;AJ917</f>
        <v/>
      </c>
      <c r="AI917" s="6">
        <f>YEAR(AK917)</f>
        <v/>
      </c>
      <c r="AJ917" s="6">
        <f>MONTH(AK917)</f>
        <v/>
      </c>
      <c r="AK917" s="267">
        <f>IFERROR(__xludf.DUMMYFUNCTION("""COMPUTED_VALUE"""),44009.9986111111)</f>
        <v/>
      </c>
      <c r="AL917" s="6">
        <f>IFERROR(__xludf.DUMMYFUNCTION("""COMPUTED_VALUE"""),9004.804)</f>
        <v/>
      </c>
      <c r="AP917" s="6">
        <f>AQ917&amp;AR917</f>
        <v/>
      </c>
      <c r="AQ917" s="6">
        <f>YEAR(AS917)</f>
        <v/>
      </c>
      <c r="AR917" s="6">
        <f>MONTH(AS917)</f>
        <v/>
      </c>
      <c r="AS917" s="267">
        <f>IFERROR(__xludf.DUMMYFUNCTION("""COMPUTED_VALUE"""),44435.9986111111)</f>
        <v/>
      </c>
      <c r="AT917" s="6">
        <f>IFERROR(__xludf.DUMMYFUNCTION("""COMPUTED_VALUE"""),1819.5)</f>
        <v/>
      </c>
    </row>
    <row r="918">
      <c r="B918" s="6">
        <f>C918&amp;D918</f>
        <v/>
      </c>
      <c r="C918" s="6">
        <f>YEAR(E918)</f>
        <v/>
      </c>
      <c r="D918" s="6">
        <f>MONTH(E918)</f>
        <v/>
      </c>
      <c r="E918" s="267">
        <f>IFERROR(__xludf.DUMMYFUNCTION("""COMPUTED_VALUE"""),44428.6666666666)</f>
        <v/>
      </c>
      <c r="F918" s="6">
        <f>IFERROR(__xludf.DUMMYFUNCTION("""COMPUTED_VALUE"""),4441.67)</f>
        <v/>
      </c>
      <c r="J918" s="6">
        <f>K918&amp;L918</f>
        <v/>
      </c>
      <c r="K918" s="6">
        <f>YEAR(M918)</f>
        <v/>
      </c>
      <c r="L918" s="6">
        <f>MONTH(M918)</f>
        <v/>
      </c>
      <c r="M918" s="267">
        <f>IFERROR(__xludf.DUMMYFUNCTION("""COMPUTED_VALUE"""),44421.6666666666)</f>
        <v/>
      </c>
      <c r="N918" s="6">
        <f>IFERROR(__xludf.DUMMYFUNCTION("""COMPUTED_VALUE"""),14822.9)</f>
        <v/>
      </c>
      <c r="R918" s="6">
        <f>S918&amp;T918</f>
        <v/>
      </c>
      <c r="S918" s="6">
        <f>YEAR(U918)</f>
        <v/>
      </c>
      <c r="T918" s="6">
        <f>MONTH(U918)</f>
        <v/>
      </c>
      <c r="U918" s="267">
        <f>IFERROR(__xludf.DUMMYFUNCTION("""COMPUTED_VALUE"""),44466.6458333333)</f>
        <v/>
      </c>
      <c r="V918" s="6">
        <f>IFERROR(__xludf.DUMMYFUNCTION("""COMPUTED_VALUE"""),3133.64)</f>
        <v/>
      </c>
      <c r="Z918" s="6">
        <f>AA918&amp;AB918</f>
        <v/>
      </c>
      <c r="AA918" s="6">
        <f>YEAR(AC918)</f>
        <v/>
      </c>
      <c r="AB918" s="6">
        <f>MONTH(AC918)</f>
        <v/>
      </c>
      <c r="AC918" s="267">
        <f>IFERROR(__xludf.DUMMYFUNCTION("""COMPUTED_VALUE"""),44057.9986111111)</f>
        <v/>
      </c>
      <c r="AD918" s="6">
        <f>IFERROR(__xludf.DUMMYFUNCTION("""COMPUTED_VALUE"""),1186.95)</f>
        <v/>
      </c>
      <c r="AH918" s="6">
        <f>AI918&amp;AJ918</f>
        <v/>
      </c>
      <c r="AI918" s="6">
        <f>YEAR(AK918)</f>
        <v/>
      </c>
      <c r="AJ918" s="6">
        <f>MONTH(AK918)</f>
        <v/>
      </c>
      <c r="AK918" s="267">
        <f>IFERROR(__xludf.DUMMYFUNCTION("""COMPUTED_VALUE"""),44010.9986111111)</f>
        <v/>
      </c>
      <c r="AL918" s="6">
        <f>IFERROR(__xludf.DUMMYFUNCTION("""COMPUTED_VALUE"""),9120.856)</f>
        <v/>
      </c>
      <c r="AP918" s="6">
        <f>AQ918&amp;AR918</f>
        <v/>
      </c>
      <c r="AQ918" s="6">
        <f>YEAR(AS918)</f>
        <v/>
      </c>
      <c r="AR918" s="6">
        <f>MONTH(AS918)</f>
        <v/>
      </c>
      <c r="AS918" s="267">
        <f>IFERROR(__xludf.DUMMYFUNCTION("""COMPUTED_VALUE"""),44438.9986111111)</f>
        <v/>
      </c>
      <c r="AT918" s="6">
        <f>IFERROR(__xludf.DUMMYFUNCTION("""COMPUTED_VALUE"""),1812.2)</f>
        <v/>
      </c>
    </row>
    <row r="919">
      <c r="B919" s="6">
        <f>C919&amp;D919</f>
        <v/>
      </c>
      <c r="C919" s="6">
        <f>YEAR(E919)</f>
        <v/>
      </c>
      <c r="D919" s="6">
        <f>MONTH(E919)</f>
        <v/>
      </c>
      <c r="E919" s="267">
        <f>IFERROR(__xludf.DUMMYFUNCTION("""COMPUTED_VALUE"""),44431.6666666666)</f>
        <v/>
      </c>
      <c r="F919" s="6">
        <f>IFERROR(__xludf.DUMMYFUNCTION("""COMPUTED_VALUE"""),4479.53)</f>
        <v/>
      </c>
      <c r="J919" s="6">
        <f>K919&amp;L919</f>
        <v/>
      </c>
      <c r="K919" s="6">
        <f>YEAR(M919)</f>
        <v/>
      </c>
      <c r="L919" s="6">
        <f>MONTH(M919)</f>
        <v/>
      </c>
      <c r="M919" s="267">
        <f>IFERROR(__xludf.DUMMYFUNCTION("""COMPUTED_VALUE"""),44424.6666666666)</f>
        <v/>
      </c>
      <c r="N919" s="6">
        <f>IFERROR(__xludf.DUMMYFUNCTION("""COMPUTED_VALUE"""),14793.76)</f>
        <v/>
      </c>
      <c r="R919" s="6">
        <f>S919&amp;T919</f>
        <v/>
      </c>
      <c r="S919" s="6">
        <f>YEAR(U919)</f>
        <v/>
      </c>
      <c r="T919" s="6">
        <f>MONTH(U919)</f>
        <v/>
      </c>
      <c r="U919" s="267">
        <f>IFERROR(__xludf.DUMMYFUNCTION("""COMPUTED_VALUE"""),44467.6458333333)</f>
        <v/>
      </c>
      <c r="V919" s="6">
        <f>IFERROR(__xludf.DUMMYFUNCTION("""COMPUTED_VALUE"""),3097.92)</f>
        <v/>
      </c>
      <c r="Z919" s="6">
        <f>AA919&amp;AB919</f>
        <v/>
      </c>
      <c r="AA919" s="6">
        <f>YEAR(AC919)</f>
        <v/>
      </c>
      <c r="AB919" s="6">
        <f>MONTH(AC919)</f>
        <v/>
      </c>
      <c r="AC919" s="267">
        <f>IFERROR(__xludf.DUMMYFUNCTION("""COMPUTED_VALUE"""),44058.9986111111)</f>
        <v/>
      </c>
      <c r="AD919" s="6">
        <f>IFERROR(__xludf.DUMMYFUNCTION("""COMPUTED_VALUE"""),1186.95)</f>
        <v/>
      </c>
      <c r="AH919" s="6">
        <f>AI919&amp;AJ919</f>
        <v/>
      </c>
      <c r="AI919" s="6">
        <f>YEAR(AK919)</f>
        <v/>
      </c>
      <c r="AJ919" s="6">
        <f>MONTH(AK919)</f>
        <v/>
      </c>
      <c r="AK919" s="267">
        <f>IFERROR(__xludf.DUMMYFUNCTION("""COMPUTED_VALUE"""),44011.9986111111)</f>
        <v/>
      </c>
      <c r="AL919" s="6">
        <f>IFERROR(__xludf.DUMMYFUNCTION("""COMPUTED_VALUE"""),9186.103)</f>
        <v/>
      </c>
      <c r="AP919" s="6">
        <f>AQ919&amp;AR919</f>
        <v/>
      </c>
      <c r="AQ919" s="6">
        <f>YEAR(AS919)</f>
        <v/>
      </c>
      <c r="AR919" s="6">
        <f>MONTH(AS919)</f>
        <v/>
      </c>
      <c r="AS919" s="267">
        <f>IFERROR(__xludf.DUMMYFUNCTION("""COMPUTED_VALUE"""),44439.9986111111)</f>
        <v/>
      </c>
      <c r="AT919" s="6">
        <f>IFERROR(__xludf.DUMMYFUNCTION("""COMPUTED_VALUE"""),1818.1)</f>
        <v/>
      </c>
    </row>
    <row r="920">
      <c r="B920" s="6">
        <f>C920&amp;D920</f>
        <v/>
      </c>
      <c r="C920" s="6">
        <f>YEAR(E920)</f>
        <v/>
      </c>
      <c r="D920" s="6">
        <f>MONTH(E920)</f>
        <v/>
      </c>
      <c r="E920" s="267">
        <f>IFERROR(__xludf.DUMMYFUNCTION("""COMPUTED_VALUE"""),44432.6666666666)</f>
        <v/>
      </c>
      <c r="F920" s="6">
        <f>IFERROR(__xludf.DUMMYFUNCTION("""COMPUTED_VALUE"""),4486.23)</f>
        <v/>
      </c>
      <c r="J920" s="6">
        <f>K920&amp;L920</f>
        <v/>
      </c>
      <c r="K920" s="6">
        <f>YEAR(M920)</f>
        <v/>
      </c>
      <c r="L920" s="6">
        <f>MONTH(M920)</f>
        <v/>
      </c>
      <c r="M920" s="267">
        <f>IFERROR(__xludf.DUMMYFUNCTION("""COMPUTED_VALUE"""),44425.6666666666)</f>
        <v/>
      </c>
      <c r="N920" s="6">
        <f>IFERROR(__xludf.DUMMYFUNCTION("""COMPUTED_VALUE"""),14656.18)</f>
        <v/>
      </c>
      <c r="R920" s="6">
        <f>S920&amp;T920</f>
        <v/>
      </c>
      <c r="S920" s="6">
        <f>YEAR(U920)</f>
        <v/>
      </c>
      <c r="T920" s="6">
        <f>MONTH(U920)</f>
        <v/>
      </c>
      <c r="U920" s="267">
        <f>IFERROR(__xludf.DUMMYFUNCTION("""COMPUTED_VALUE"""),44468.6458333333)</f>
        <v/>
      </c>
      <c r="V920" s="6">
        <f>IFERROR(__xludf.DUMMYFUNCTION("""COMPUTED_VALUE"""),3060.27)</f>
        <v/>
      </c>
      <c r="Z920" s="6">
        <f>AA920&amp;AB920</f>
        <v/>
      </c>
      <c r="AA920" s="6">
        <f>YEAR(AC920)</f>
        <v/>
      </c>
      <c r="AB920" s="6">
        <f>MONTH(AC920)</f>
        <v/>
      </c>
      <c r="AC920" s="267">
        <f>IFERROR(__xludf.DUMMYFUNCTION("""COMPUTED_VALUE"""),44059.9986111111)</f>
        <v/>
      </c>
      <c r="AD920" s="6">
        <f>IFERROR(__xludf.DUMMYFUNCTION("""COMPUTED_VALUE"""),1186.04)</f>
        <v/>
      </c>
      <c r="AH920" s="6">
        <f>AI920&amp;AJ920</f>
        <v/>
      </c>
      <c r="AI920" s="6">
        <f>YEAR(AK920)</f>
        <v/>
      </c>
      <c r="AJ920" s="6">
        <f>MONTH(AK920)</f>
        <v/>
      </c>
      <c r="AK920" s="267">
        <f>IFERROR(__xludf.DUMMYFUNCTION("""COMPUTED_VALUE"""),44012.9986111111)</f>
        <v/>
      </c>
      <c r="AL920" s="6">
        <f>IFERROR(__xludf.DUMMYFUNCTION("""COMPUTED_VALUE"""),9136.464)</f>
        <v/>
      </c>
      <c r="AP920" s="6">
        <f>AQ920&amp;AR920</f>
        <v/>
      </c>
      <c r="AQ920" s="6">
        <f>YEAR(AS920)</f>
        <v/>
      </c>
      <c r="AR920" s="6">
        <f>MONTH(AS920)</f>
        <v/>
      </c>
      <c r="AS920" s="267">
        <f>IFERROR(__xludf.DUMMYFUNCTION("""COMPUTED_VALUE"""),44440.9986111111)</f>
        <v/>
      </c>
      <c r="AT920" s="6">
        <f>IFERROR(__xludf.DUMMYFUNCTION("""COMPUTED_VALUE"""),1816)</f>
        <v/>
      </c>
    </row>
    <row r="921">
      <c r="B921" s="6">
        <f>C921&amp;D921</f>
        <v/>
      </c>
      <c r="C921" s="6">
        <f>YEAR(E921)</f>
        <v/>
      </c>
      <c r="D921" s="6">
        <f>MONTH(E921)</f>
        <v/>
      </c>
      <c r="E921" s="267">
        <f>IFERROR(__xludf.DUMMYFUNCTION("""COMPUTED_VALUE"""),44433.6666666666)</f>
        <v/>
      </c>
      <c r="F921" s="6">
        <f>IFERROR(__xludf.DUMMYFUNCTION("""COMPUTED_VALUE"""),4496.19)</f>
        <v/>
      </c>
      <c r="J921" s="6">
        <f>K921&amp;L921</f>
        <v/>
      </c>
      <c r="K921" s="6">
        <f>YEAR(M921)</f>
        <v/>
      </c>
      <c r="L921" s="6">
        <f>MONTH(M921)</f>
        <v/>
      </c>
      <c r="M921" s="267">
        <f>IFERROR(__xludf.DUMMYFUNCTION("""COMPUTED_VALUE"""),44426.6666666666)</f>
        <v/>
      </c>
      <c r="N921" s="6">
        <f>IFERROR(__xludf.DUMMYFUNCTION("""COMPUTED_VALUE"""),14525.91)</f>
        <v/>
      </c>
      <c r="R921" s="6">
        <f>S921&amp;T921</f>
        <v/>
      </c>
      <c r="S921" s="6">
        <f>YEAR(U921)</f>
        <v/>
      </c>
      <c r="T921" s="6">
        <f>MONTH(U921)</f>
        <v/>
      </c>
      <c r="U921" s="267">
        <f>IFERROR(__xludf.DUMMYFUNCTION("""COMPUTED_VALUE"""),44469.6458333333)</f>
        <v/>
      </c>
      <c r="V921" s="6">
        <f>IFERROR(__xludf.DUMMYFUNCTION("""COMPUTED_VALUE"""),3068.82)</f>
        <v/>
      </c>
      <c r="Z921" s="6">
        <f>AA921&amp;AB921</f>
        <v/>
      </c>
      <c r="AA921" s="6">
        <f>YEAR(AC921)</f>
        <v/>
      </c>
      <c r="AB921" s="6">
        <f>MONTH(AC921)</f>
        <v/>
      </c>
      <c r="AC921" s="267">
        <f>IFERROR(__xludf.DUMMYFUNCTION("""COMPUTED_VALUE"""),44060.9986111111)</f>
        <v/>
      </c>
      <c r="AD921" s="6">
        <f>IFERROR(__xludf.DUMMYFUNCTION("""COMPUTED_VALUE"""),1183.1)</f>
        <v/>
      </c>
      <c r="AH921" s="6">
        <f>AI921&amp;AJ921</f>
        <v/>
      </c>
      <c r="AI921" s="6">
        <f>YEAR(AK921)</f>
        <v/>
      </c>
      <c r="AJ921" s="6">
        <f>MONTH(AK921)</f>
        <v/>
      </c>
      <c r="AK921" s="267">
        <f>IFERROR(__xludf.DUMMYFUNCTION("""COMPUTED_VALUE"""),44013.9986111111)</f>
        <v/>
      </c>
      <c r="AL921" s="6">
        <f>IFERROR(__xludf.DUMMYFUNCTION("""COMPUTED_VALUE"""),9236.278)</f>
        <v/>
      </c>
      <c r="AP921" s="6">
        <f>AQ921&amp;AR921</f>
        <v/>
      </c>
      <c r="AQ921" s="6">
        <f>YEAR(AS921)</f>
        <v/>
      </c>
      <c r="AR921" s="6">
        <f>MONTH(AS921)</f>
        <v/>
      </c>
      <c r="AS921" s="267">
        <f>IFERROR(__xludf.DUMMYFUNCTION("""COMPUTED_VALUE"""),44441.9986111111)</f>
        <v/>
      </c>
      <c r="AT921" s="6">
        <f>IFERROR(__xludf.DUMMYFUNCTION("""COMPUTED_VALUE"""),1811.5)</f>
        <v/>
      </c>
    </row>
    <row r="922">
      <c r="B922" s="6">
        <f>C922&amp;D922</f>
        <v/>
      </c>
      <c r="C922" s="6">
        <f>YEAR(E922)</f>
        <v/>
      </c>
      <c r="D922" s="6">
        <f>MONTH(E922)</f>
        <v/>
      </c>
      <c r="E922" s="267">
        <f>IFERROR(__xludf.DUMMYFUNCTION("""COMPUTED_VALUE"""),44434.6666666666)</f>
        <v/>
      </c>
      <c r="F922" s="6">
        <f>IFERROR(__xludf.DUMMYFUNCTION("""COMPUTED_VALUE"""),4470)</f>
        <v/>
      </c>
      <c r="J922" s="6">
        <f>K922&amp;L922</f>
        <v/>
      </c>
      <c r="K922" s="6">
        <f>YEAR(M922)</f>
        <v/>
      </c>
      <c r="L922" s="6">
        <f>MONTH(M922)</f>
        <v/>
      </c>
      <c r="M922" s="267">
        <f>IFERROR(__xludf.DUMMYFUNCTION("""COMPUTED_VALUE"""),44427.6666666666)</f>
        <v/>
      </c>
      <c r="N922" s="6">
        <f>IFERROR(__xludf.DUMMYFUNCTION("""COMPUTED_VALUE"""),14541.79)</f>
        <v/>
      </c>
      <c r="R922" s="6">
        <f>S922&amp;T922</f>
        <v/>
      </c>
      <c r="S922" s="6">
        <f>YEAR(U922)</f>
        <v/>
      </c>
      <c r="T922" s="6">
        <f>MONTH(U922)</f>
        <v/>
      </c>
      <c r="U922" s="267">
        <f>IFERROR(__xludf.DUMMYFUNCTION("""COMPUTED_VALUE"""),44470.6458333333)</f>
        <v/>
      </c>
      <c r="V922" s="6">
        <f>IFERROR(__xludf.DUMMYFUNCTION("""COMPUTED_VALUE"""),3019.18)</f>
        <v/>
      </c>
      <c r="Z922" s="6">
        <f>AA922&amp;AB922</f>
        <v/>
      </c>
      <c r="AA922" s="6">
        <f>YEAR(AC922)</f>
        <v/>
      </c>
      <c r="AB922" s="6">
        <f>MONTH(AC922)</f>
        <v/>
      </c>
      <c r="AC922" s="267">
        <f>IFERROR(__xludf.DUMMYFUNCTION("""COMPUTED_VALUE"""),44061.9986111111)</f>
        <v/>
      </c>
      <c r="AD922" s="6">
        <f>IFERROR(__xludf.DUMMYFUNCTION("""COMPUTED_VALUE"""),1183.64)</f>
        <v/>
      </c>
      <c r="AH922" s="6">
        <f>AI922&amp;AJ922</f>
        <v/>
      </c>
      <c r="AI922" s="6">
        <f>YEAR(AK922)</f>
        <v/>
      </c>
      <c r="AJ922" s="6">
        <f>MONTH(AK922)</f>
        <v/>
      </c>
      <c r="AK922" s="267">
        <f>IFERROR(__xludf.DUMMYFUNCTION("""COMPUTED_VALUE"""),44014.9986111111)</f>
        <v/>
      </c>
      <c r="AL922" s="6">
        <f>IFERROR(__xludf.DUMMYFUNCTION("""COMPUTED_VALUE"""),9091.494)</f>
        <v/>
      </c>
      <c r="AP922" s="6">
        <f>AQ922&amp;AR922</f>
        <v/>
      </c>
      <c r="AQ922" s="6">
        <f>YEAR(AS922)</f>
        <v/>
      </c>
      <c r="AR922" s="6">
        <f>MONTH(AS922)</f>
        <v/>
      </c>
      <c r="AS922" s="267">
        <f>IFERROR(__xludf.DUMMYFUNCTION("""COMPUTED_VALUE"""),44442.9986111111)</f>
        <v/>
      </c>
      <c r="AT922" s="6">
        <f>IFERROR(__xludf.DUMMYFUNCTION("""COMPUTED_VALUE"""),1833.7)</f>
        <v/>
      </c>
    </row>
    <row r="923">
      <c r="B923" s="6">
        <f>C923&amp;D923</f>
        <v/>
      </c>
      <c r="C923" s="6">
        <f>YEAR(E923)</f>
        <v/>
      </c>
      <c r="D923" s="6">
        <f>MONTH(E923)</f>
        <v/>
      </c>
      <c r="E923" s="267">
        <f>IFERROR(__xludf.DUMMYFUNCTION("""COMPUTED_VALUE"""),44435.6666666666)</f>
        <v/>
      </c>
      <c r="F923" s="6">
        <f>IFERROR(__xludf.DUMMYFUNCTION("""COMPUTED_VALUE"""),4509.37)</f>
        <v/>
      </c>
      <c r="J923" s="6">
        <f>K923&amp;L923</f>
        <v/>
      </c>
      <c r="K923" s="6">
        <f>YEAR(M923)</f>
        <v/>
      </c>
      <c r="L923" s="6">
        <f>MONTH(M923)</f>
        <v/>
      </c>
      <c r="M923" s="267">
        <f>IFERROR(__xludf.DUMMYFUNCTION("""COMPUTED_VALUE"""),44428.6666666666)</f>
        <v/>
      </c>
      <c r="N923" s="6">
        <f>IFERROR(__xludf.DUMMYFUNCTION("""COMPUTED_VALUE"""),14714.66)</f>
        <v/>
      </c>
      <c r="R923" s="6">
        <f>S923&amp;T923</f>
        <v/>
      </c>
      <c r="S923" s="6">
        <f>YEAR(U923)</f>
        <v/>
      </c>
      <c r="T923" s="6">
        <f>MONTH(U923)</f>
        <v/>
      </c>
      <c r="U923" s="267">
        <f>IFERROR(__xludf.DUMMYFUNCTION("""COMPUTED_VALUE"""),44474.6458333333)</f>
        <v/>
      </c>
      <c r="V923" s="6">
        <f>IFERROR(__xludf.DUMMYFUNCTION("""COMPUTED_VALUE"""),2962.17)</f>
        <v/>
      </c>
      <c r="Z923" s="6">
        <f>AA923&amp;AB923</f>
        <v/>
      </c>
      <c r="AA923" s="6">
        <f>YEAR(AC923)</f>
        <v/>
      </c>
      <c r="AB923" s="6">
        <f>MONTH(AC923)</f>
        <v/>
      </c>
      <c r="AC923" s="267">
        <f>IFERROR(__xludf.DUMMYFUNCTION("""COMPUTED_VALUE"""),44062.9986111111)</f>
        <v/>
      </c>
      <c r="AD923" s="6">
        <f>IFERROR(__xludf.DUMMYFUNCTION("""COMPUTED_VALUE"""),1181.21)</f>
        <v/>
      </c>
      <c r="AH923" s="6">
        <f>AI923&amp;AJ923</f>
        <v/>
      </c>
      <c r="AI923" s="6">
        <f>YEAR(AK923)</f>
        <v/>
      </c>
      <c r="AJ923" s="6">
        <f>MONTH(AK923)</f>
        <v/>
      </c>
      <c r="AK923" s="267">
        <f>IFERROR(__xludf.DUMMYFUNCTION("""COMPUTED_VALUE"""),44015.9986111111)</f>
        <v/>
      </c>
      <c r="AL923" s="6">
        <f>IFERROR(__xludf.DUMMYFUNCTION("""COMPUTED_VALUE"""),9063.415)</f>
        <v/>
      </c>
      <c r="AP923" s="6">
        <f>AQ923&amp;AR923</f>
        <v/>
      </c>
      <c r="AQ923" s="6">
        <f>YEAR(AS923)</f>
        <v/>
      </c>
      <c r="AR923" s="6">
        <f>MONTH(AS923)</f>
        <v/>
      </c>
      <c r="AS923" s="267">
        <f>IFERROR(__xludf.DUMMYFUNCTION("""COMPUTED_VALUE"""),44446.9986111111)</f>
        <v/>
      </c>
      <c r="AT923" s="6">
        <f>IFERROR(__xludf.DUMMYFUNCTION("""COMPUTED_VALUE"""),1798.5)</f>
        <v/>
      </c>
    </row>
    <row r="924">
      <c r="B924" s="6">
        <f>C924&amp;D924</f>
        <v/>
      </c>
      <c r="C924" s="6">
        <f>YEAR(E924)</f>
        <v/>
      </c>
      <c r="D924" s="6">
        <f>MONTH(E924)</f>
        <v/>
      </c>
      <c r="E924" s="267">
        <f>IFERROR(__xludf.DUMMYFUNCTION("""COMPUTED_VALUE"""),44438.6666666666)</f>
        <v/>
      </c>
      <c r="F924" s="6">
        <f>IFERROR(__xludf.DUMMYFUNCTION("""COMPUTED_VALUE"""),4528.79)</f>
        <v/>
      </c>
      <c r="J924" s="6">
        <f>K924&amp;L924</f>
        <v/>
      </c>
      <c r="K924" s="6">
        <f>YEAR(M924)</f>
        <v/>
      </c>
      <c r="L924" s="6">
        <f>MONTH(M924)</f>
        <v/>
      </c>
      <c r="M924" s="267">
        <f>IFERROR(__xludf.DUMMYFUNCTION("""COMPUTED_VALUE"""),44431.6666666666)</f>
        <v/>
      </c>
      <c r="N924" s="6">
        <f>IFERROR(__xludf.DUMMYFUNCTION("""COMPUTED_VALUE"""),14942.65)</f>
        <v/>
      </c>
      <c r="R924" s="6">
        <f>S924&amp;T924</f>
        <v/>
      </c>
      <c r="S924" s="6">
        <f>YEAR(U924)</f>
        <v/>
      </c>
      <c r="T924" s="6">
        <f>MONTH(U924)</f>
        <v/>
      </c>
      <c r="U924" s="267">
        <f>IFERROR(__xludf.DUMMYFUNCTION("""COMPUTED_VALUE"""),44475.6458333333)</f>
        <v/>
      </c>
      <c r="V924" s="6">
        <f>IFERROR(__xludf.DUMMYFUNCTION("""COMPUTED_VALUE"""),2908.31)</f>
        <v/>
      </c>
      <c r="Z924" s="6">
        <f>AA924&amp;AB924</f>
        <v/>
      </c>
      <c r="AA924" s="6">
        <f>YEAR(AC924)</f>
        <v/>
      </c>
      <c r="AB924" s="6">
        <f>MONTH(AC924)</f>
        <v/>
      </c>
      <c r="AC924" s="267">
        <f>IFERROR(__xludf.DUMMYFUNCTION("""COMPUTED_VALUE"""),44063.9986111111)</f>
        <v/>
      </c>
      <c r="AD924" s="6">
        <f>IFERROR(__xludf.DUMMYFUNCTION("""COMPUTED_VALUE"""),1184.29)</f>
        <v/>
      </c>
      <c r="AH924" s="6">
        <f>AI924&amp;AJ924</f>
        <v/>
      </c>
      <c r="AI924" s="6">
        <f>YEAR(AK924)</f>
        <v/>
      </c>
      <c r="AJ924" s="6">
        <f>MONTH(AK924)</f>
        <v/>
      </c>
      <c r="AK924" s="267">
        <f>IFERROR(__xludf.DUMMYFUNCTION("""COMPUTED_VALUE"""),44016.9986111111)</f>
        <v/>
      </c>
      <c r="AL924" s="6">
        <f>IFERROR(__xludf.DUMMYFUNCTION("""COMPUTED_VALUE"""),9134.027)</f>
        <v/>
      </c>
      <c r="AP924" s="6">
        <f>AQ924&amp;AR924</f>
        <v/>
      </c>
      <c r="AQ924" s="6">
        <f>YEAR(AS924)</f>
        <v/>
      </c>
      <c r="AR924" s="6">
        <f>MONTH(AS924)</f>
        <v/>
      </c>
      <c r="AS924" s="267">
        <f>IFERROR(__xludf.DUMMYFUNCTION("""COMPUTED_VALUE"""),44447.9986111111)</f>
        <v/>
      </c>
      <c r="AT924" s="6">
        <f>IFERROR(__xludf.DUMMYFUNCTION("""COMPUTED_VALUE"""),1793.5)</f>
        <v/>
      </c>
    </row>
    <row r="925">
      <c r="B925" s="6">
        <f>C925&amp;D925</f>
        <v/>
      </c>
      <c r="C925" s="6">
        <f>YEAR(E925)</f>
        <v/>
      </c>
      <c r="D925" s="6">
        <f>MONTH(E925)</f>
        <v/>
      </c>
      <c r="E925" s="267">
        <f>IFERROR(__xludf.DUMMYFUNCTION("""COMPUTED_VALUE"""),44439.6666666666)</f>
        <v/>
      </c>
      <c r="F925" s="6">
        <f>IFERROR(__xludf.DUMMYFUNCTION("""COMPUTED_VALUE"""),4522.68)</f>
        <v/>
      </c>
      <c r="J925" s="6">
        <f>K925&amp;L925</f>
        <v/>
      </c>
      <c r="K925" s="6">
        <f>YEAR(M925)</f>
        <v/>
      </c>
      <c r="L925" s="6">
        <f>MONTH(M925)</f>
        <v/>
      </c>
      <c r="M925" s="267">
        <f>IFERROR(__xludf.DUMMYFUNCTION("""COMPUTED_VALUE"""),44432.6666666666)</f>
        <v/>
      </c>
      <c r="N925" s="6">
        <f>IFERROR(__xludf.DUMMYFUNCTION("""COMPUTED_VALUE"""),15019.8)</f>
        <v/>
      </c>
      <c r="R925" s="6">
        <f>S925&amp;T925</f>
        <v/>
      </c>
      <c r="S925" s="6">
        <f>YEAR(U925)</f>
        <v/>
      </c>
      <c r="T925" s="6">
        <f>MONTH(U925)</f>
        <v/>
      </c>
      <c r="U925" s="267">
        <f>IFERROR(__xludf.DUMMYFUNCTION("""COMPUTED_VALUE"""),44476.6458333333)</f>
        <v/>
      </c>
      <c r="V925" s="6">
        <f>IFERROR(__xludf.DUMMYFUNCTION("""COMPUTED_VALUE"""),2959.46)</f>
        <v/>
      </c>
      <c r="Z925" s="6">
        <f>AA925&amp;AB925</f>
        <v/>
      </c>
      <c r="AA925" s="6">
        <f>YEAR(AC925)</f>
        <v/>
      </c>
      <c r="AB925" s="6">
        <f>MONTH(AC925)</f>
        <v/>
      </c>
      <c r="AC925" s="267">
        <f>IFERROR(__xludf.DUMMYFUNCTION("""COMPUTED_VALUE"""),44064.9986111111)</f>
        <v/>
      </c>
      <c r="AD925" s="6">
        <f>IFERROR(__xludf.DUMMYFUNCTION("""COMPUTED_VALUE"""),1191.32)</f>
        <v/>
      </c>
      <c r="AH925" s="6">
        <f>AI925&amp;AJ925</f>
        <v/>
      </c>
      <c r="AI925" s="6">
        <f>YEAR(AK925)</f>
        <v/>
      </c>
      <c r="AJ925" s="6">
        <f>MONTH(AK925)</f>
        <v/>
      </c>
      <c r="AK925" s="267">
        <f>IFERROR(__xludf.DUMMYFUNCTION("""COMPUTED_VALUE"""),44017.9986111111)</f>
        <v/>
      </c>
      <c r="AL925" s="6">
        <f>IFERROR(__xludf.DUMMYFUNCTION("""COMPUTED_VALUE"""),9084.367)</f>
        <v/>
      </c>
      <c r="AP925" s="6">
        <f>AQ925&amp;AR925</f>
        <v/>
      </c>
      <c r="AQ925" s="6">
        <f>YEAR(AS925)</f>
        <v/>
      </c>
      <c r="AR925" s="6">
        <f>MONTH(AS925)</f>
        <v/>
      </c>
      <c r="AS925" s="267">
        <f>IFERROR(__xludf.DUMMYFUNCTION("""COMPUTED_VALUE"""),44448.9986111111)</f>
        <v/>
      </c>
      <c r="AT925" s="6">
        <f>IFERROR(__xludf.DUMMYFUNCTION("""COMPUTED_VALUE"""),1800)</f>
        <v/>
      </c>
    </row>
    <row r="926">
      <c r="B926" s="6">
        <f>C926&amp;D926</f>
        <v/>
      </c>
      <c r="C926" s="6">
        <f>YEAR(E926)</f>
        <v/>
      </c>
      <c r="D926" s="6">
        <f>MONTH(E926)</f>
        <v/>
      </c>
      <c r="E926" s="267">
        <f>IFERROR(__xludf.DUMMYFUNCTION("""COMPUTED_VALUE"""),44440.6666666666)</f>
        <v/>
      </c>
      <c r="F926" s="6">
        <f>IFERROR(__xludf.DUMMYFUNCTION("""COMPUTED_VALUE"""),4524.09)</f>
        <v/>
      </c>
      <c r="J926" s="6">
        <f>K926&amp;L926</f>
        <v/>
      </c>
      <c r="K926" s="6">
        <f>YEAR(M926)</f>
        <v/>
      </c>
      <c r="L926" s="6">
        <f>MONTH(M926)</f>
        <v/>
      </c>
      <c r="M926" s="267">
        <f>IFERROR(__xludf.DUMMYFUNCTION("""COMPUTED_VALUE"""),44433.6666666666)</f>
        <v/>
      </c>
      <c r="N926" s="6">
        <f>IFERROR(__xludf.DUMMYFUNCTION("""COMPUTED_VALUE"""),15041.86)</f>
        <v/>
      </c>
      <c r="R926" s="6">
        <f>S926&amp;T926</f>
        <v/>
      </c>
      <c r="S926" s="6">
        <f>YEAR(U926)</f>
        <v/>
      </c>
      <c r="T926" s="6">
        <f>MONTH(U926)</f>
        <v/>
      </c>
      <c r="U926" s="267">
        <f>IFERROR(__xludf.DUMMYFUNCTION("""COMPUTED_VALUE"""),44477.6458333333)</f>
        <v/>
      </c>
      <c r="V926" s="6">
        <f>IFERROR(__xludf.DUMMYFUNCTION("""COMPUTED_VALUE"""),2956.3)</f>
        <v/>
      </c>
      <c r="Z926" s="6">
        <f>AA926&amp;AB926</f>
        <v/>
      </c>
      <c r="AA926" s="6">
        <f>YEAR(AC926)</f>
        <v/>
      </c>
      <c r="AB926" s="6">
        <f>MONTH(AC926)</f>
        <v/>
      </c>
      <c r="AC926" s="267">
        <f>IFERROR(__xludf.DUMMYFUNCTION("""COMPUTED_VALUE"""),44065.9986111111)</f>
        <v/>
      </c>
      <c r="AD926" s="6">
        <f>IFERROR(__xludf.DUMMYFUNCTION("""COMPUTED_VALUE"""),1191.32)</f>
        <v/>
      </c>
      <c r="AH926" s="6">
        <f>AI926&amp;AJ926</f>
        <v/>
      </c>
      <c r="AI926" s="6">
        <f>YEAR(AK926)</f>
        <v/>
      </c>
      <c r="AJ926" s="6">
        <f>MONTH(AK926)</f>
        <v/>
      </c>
      <c r="AK926" s="267">
        <f>IFERROR(__xludf.DUMMYFUNCTION("""COMPUTED_VALUE"""),44018.9986111111)</f>
        <v/>
      </c>
      <c r="AL926" s="6">
        <f>IFERROR(__xludf.DUMMYFUNCTION("""COMPUTED_VALUE"""),9347.735)</f>
        <v/>
      </c>
      <c r="AP926" s="6">
        <f>AQ926&amp;AR926</f>
        <v/>
      </c>
      <c r="AQ926" s="6">
        <f>YEAR(AS926)</f>
        <v/>
      </c>
      <c r="AR926" s="6">
        <f>MONTH(AS926)</f>
        <v/>
      </c>
      <c r="AS926" s="267">
        <f>IFERROR(__xludf.DUMMYFUNCTION("""COMPUTED_VALUE"""),44449.9986111111)</f>
        <v/>
      </c>
      <c r="AT926" s="6">
        <f>IFERROR(__xludf.DUMMYFUNCTION("""COMPUTED_VALUE"""),1792.1)</f>
        <v/>
      </c>
    </row>
    <row r="927">
      <c r="B927" s="6">
        <f>C927&amp;D927</f>
        <v/>
      </c>
      <c r="C927" s="6">
        <f>YEAR(E927)</f>
        <v/>
      </c>
      <c r="D927" s="6">
        <f>MONTH(E927)</f>
        <v/>
      </c>
      <c r="E927" s="267">
        <f>IFERROR(__xludf.DUMMYFUNCTION("""COMPUTED_VALUE"""),44441.6666666666)</f>
        <v/>
      </c>
      <c r="F927" s="6">
        <f>IFERROR(__xludf.DUMMYFUNCTION("""COMPUTED_VALUE"""),4536.95)</f>
        <v/>
      </c>
      <c r="J927" s="6">
        <f>K927&amp;L927</f>
        <v/>
      </c>
      <c r="K927" s="6">
        <f>YEAR(M927)</f>
        <v/>
      </c>
      <c r="L927" s="6">
        <f>MONTH(M927)</f>
        <v/>
      </c>
      <c r="M927" s="267">
        <f>IFERROR(__xludf.DUMMYFUNCTION("""COMPUTED_VALUE"""),44434.6666666666)</f>
        <v/>
      </c>
      <c r="N927" s="6">
        <f>IFERROR(__xludf.DUMMYFUNCTION("""COMPUTED_VALUE"""),14945.81)</f>
        <v/>
      </c>
      <c r="R927" s="6">
        <f>S927&amp;T927</f>
        <v/>
      </c>
      <c r="S927" s="6">
        <f>YEAR(U927)</f>
        <v/>
      </c>
      <c r="T927" s="6">
        <f>MONTH(U927)</f>
        <v/>
      </c>
      <c r="U927" s="267">
        <f>IFERROR(__xludf.DUMMYFUNCTION("""COMPUTED_VALUE"""),44481.6458333333)</f>
        <v/>
      </c>
      <c r="V927" s="6">
        <f>IFERROR(__xludf.DUMMYFUNCTION("""COMPUTED_VALUE"""),2916.38)</f>
        <v/>
      </c>
      <c r="Z927" s="6">
        <f>AA927&amp;AB927</f>
        <v/>
      </c>
      <c r="AA927" s="6">
        <f>YEAR(AC927)</f>
        <v/>
      </c>
      <c r="AB927" s="6">
        <f>MONTH(AC927)</f>
        <v/>
      </c>
      <c r="AC927" s="267">
        <f>IFERROR(__xludf.DUMMYFUNCTION("""COMPUTED_VALUE"""),44066.9986111111)</f>
        <v/>
      </c>
      <c r="AD927" s="6">
        <f>IFERROR(__xludf.DUMMYFUNCTION("""COMPUTED_VALUE"""),1191.2)</f>
        <v/>
      </c>
      <c r="AH927" s="6">
        <f>AI927&amp;AJ927</f>
        <v/>
      </c>
      <c r="AI927" s="6">
        <f>YEAR(AK927)</f>
        <v/>
      </c>
      <c r="AJ927" s="6">
        <f>MONTH(AK927)</f>
        <v/>
      </c>
      <c r="AK927" s="267">
        <f>IFERROR(__xludf.DUMMYFUNCTION("""COMPUTED_VALUE"""),44019.9986111111)</f>
        <v/>
      </c>
      <c r="AL927" s="6">
        <f>IFERROR(__xludf.DUMMYFUNCTION("""COMPUTED_VALUE"""),9256.041)</f>
        <v/>
      </c>
      <c r="AP927" s="6">
        <f>AQ927&amp;AR927</f>
        <v/>
      </c>
      <c r="AQ927" s="6">
        <f>YEAR(AS927)</f>
        <v/>
      </c>
      <c r="AR927" s="6">
        <f>MONTH(AS927)</f>
        <v/>
      </c>
      <c r="AS927" s="267">
        <f>IFERROR(__xludf.DUMMYFUNCTION("""COMPUTED_VALUE"""),44452.9986111111)</f>
        <v/>
      </c>
      <c r="AT927" s="6">
        <f>IFERROR(__xludf.DUMMYFUNCTION("""COMPUTED_VALUE"""),1794.4)</f>
        <v/>
      </c>
    </row>
    <row r="928">
      <c r="B928" s="6">
        <f>C928&amp;D928</f>
        <v/>
      </c>
      <c r="C928" s="6">
        <f>YEAR(E928)</f>
        <v/>
      </c>
      <c r="D928" s="6">
        <f>MONTH(E928)</f>
        <v/>
      </c>
      <c r="E928" s="267">
        <f>IFERROR(__xludf.DUMMYFUNCTION("""COMPUTED_VALUE"""),44442.6666666666)</f>
        <v/>
      </c>
      <c r="F928" s="6">
        <f>IFERROR(__xludf.DUMMYFUNCTION("""COMPUTED_VALUE"""),4535.43)</f>
        <v/>
      </c>
      <c r="J928" s="6">
        <f>K928&amp;L928</f>
        <v/>
      </c>
      <c r="K928" s="6">
        <f>YEAR(M928)</f>
        <v/>
      </c>
      <c r="L928" s="6">
        <f>MONTH(M928)</f>
        <v/>
      </c>
      <c r="M928" s="267">
        <f>IFERROR(__xludf.DUMMYFUNCTION("""COMPUTED_VALUE"""),44435.6666666666)</f>
        <v/>
      </c>
      <c r="N928" s="6">
        <f>IFERROR(__xludf.DUMMYFUNCTION("""COMPUTED_VALUE"""),15129.5)</f>
        <v/>
      </c>
      <c r="R928" s="6">
        <f>S928&amp;T928</f>
        <v/>
      </c>
      <c r="S928" s="6">
        <f>YEAR(U928)</f>
        <v/>
      </c>
      <c r="T928" s="6">
        <f>MONTH(U928)</f>
        <v/>
      </c>
      <c r="U928" s="267">
        <f>IFERROR(__xludf.DUMMYFUNCTION("""COMPUTED_VALUE"""),44482.6458333333)</f>
        <v/>
      </c>
      <c r="V928" s="6">
        <f>IFERROR(__xludf.DUMMYFUNCTION("""COMPUTED_VALUE"""),2944.41)</f>
        <v/>
      </c>
      <c r="Z928" s="6">
        <f>AA928&amp;AB928</f>
        <v/>
      </c>
      <c r="AA928" s="6">
        <f>YEAR(AC928)</f>
        <v/>
      </c>
      <c r="AB928" s="6">
        <f>MONTH(AC928)</f>
        <v/>
      </c>
      <c r="AC928" s="267">
        <f>IFERROR(__xludf.DUMMYFUNCTION("""COMPUTED_VALUE"""),44067.9986111111)</f>
        <v/>
      </c>
      <c r="AD928" s="6">
        <f>IFERROR(__xludf.DUMMYFUNCTION("""COMPUTED_VALUE"""),1188.25)</f>
        <v/>
      </c>
      <c r="AH928" s="6">
        <f>AI928&amp;AJ928</f>
        <v/>
      </c>
      <c r="AI928" s="6">
        <f>YEAR(AK928)</f>
        <v/>
      </c>
      <c r="AJ928" s="6">
        <f>MONTH(AK928)</f>
        <v/>
      </c>
      <c r="AK928" s="267">
        <f>IFERROR(__xludf.DUMMYFUNCTION("""COMPUTED_VALUE"""),44020.9986111111)</f>
        <v/>
      </c>
      <c r="AL928" s="6">
        <f>IFERROR(__xludf.DUMMYFUNCTION("""COMPUTED_VALUE"""),9438.188)</f>
        <v/>
      </c>
      <c r="AP928" s="6">
        <f>AQ928&amp;AR928</f>
        <v/>
      </c>
      <c r="AQ928" s="6">
        <f>YEAR(AS928)</f>
        <v/>
      </c>
      <c r="AR928" s="6">
        <f>MONTH(AS928)</f>
        <v/>
      </c>
      <c r="AS928" s="267">
        <f>IFERROR(__xludf.DUMMYFUNCTION("""COMPUTED_VALUE"""),44453.9986111111)</f>
        <v/>
      </c>
      <c r="AT928" s="6">
        <f>IFERROR(__xludf.DUMMYFUNCTION("""COMPUTED_VALUE"""),1807.1)</f>
        <v/>
      </c>
    </row>
    <row r="929">
      <c r="B929" s="6">
        <f>C929&amp;D929</f>
        <v/>
      </c>
      <c r="C929" s="6">
        <f>YEAR(E929)</f>
        <v/>
      </c>
      <c r="D929" s="6">
        <f>MONTH(E929)</f>
        <v/>
      </c>
      <c r="E929" s="267">
        <f>IFERROR(__xludf.DUMMYFUNCTION("""COMPUTED_VALUE"""),44446.6666666666)</f>
        <v/>
      </c>
      <c r="F929" s="6">
        <f>IFERROR(__xludf.DUMMYFUNCTION("""COMPUTED_VALUE"""),4520.03)</f>
        <v/>
      </c>
      <c r="J929" s="6">
        <f>K929&amp;L929</f>
        <v/>
      </c>
      <c r="K929" s="6">
        <f>YEAR(M929)</f>
        <v/>
      </c>
      <c r="L929" s="6">
        <f>MONTH(M929)</f>
        <v/>
      </c>
      <c r="M929" s="267">
        <f>IFERROR(__xludf.DUMMYFUNCTION("""COMPUTED_VALUE"""),44438.6666666666)</f>
        <v/>
      </c>
      <c r="N929" s="6">
        <f>IFERROR(__xludf.DUMMYFUNCTION("""COMPUTED_VALUE"""),15265.89)</f>
        <v/>
      </c>
      <c r="R929" s="6">
        <f>S929&amp;T929</f>
        <v/>
      </c>
      <c r="S929" s="6">
        <f>YEAR(U929)</f>
        <v/>
      </c>
      <c r="T929" s="6">
        <f>MONTH(U929)</f>
        <v/>
      </c>
      <c r="U929" s="267">
        <f>IFERROR(__xludf.DUMMYFUNCTION("""COMPUTED_VALUE"""),44483.6458333333)</f>
        <v/>
      </c>
      <c r="V929" s="6">
        <f>IFERROR(__xludf.DUMMYFUNCTION("""COMPUTED_VALUE"""),2988.64)</f>
        <v/>
      </c>
      <c r="Z929" s="6">
        <f>AA929&amp;AB929</f>
        <v/>
      </c>
      <c r="AA929" s="6">
        <f>YEAR(AC929)</f>
        <v/>
      </c>
      <c r="AB929" s="6">
        <f>MONTH(AC929)</f>
        <v/>
      </c>
      <c r="AC929" s="267">
        <f>IFERROR(__xludf.DUMMYFUNCTION("""COMPUTED_VALUE"""),44068.9986111111)</f>
        <v/>
      </c>
      <c r="AD929" s="6">
        <f>IFERROR(__xludf.DUMMYFUNCTION("""COMPUTED_VALUE"""),1186.46)</f>
        <v/>
      </c>
      <c r="AH929" s="6">
        <f>AI929&amp;AJ929</f>
        <v/>
      </c>
      <c r="AI929" s="6">
        <f>YEAR(AK929)</f>
        <v/>
      </c>
      <c r="AJ929" s="6">
        <f>MONTH(AK929)</f>
        <v/>
      </c>
      <c r="AK929" s="267">
        <f>IFERROR(__xludf.DUMMYFUNCTION("""COMPUTED_VALUE"""),44021.9986111111)</f>
        <v/>
      </c>
      <c r="AL929" s="6">
        <f>IFERROR(__xludf.DUMMYFUNCTION("""COMPUTED_VALUE"""),9238.551)</f>
        <v/>
      </c>
      <c r="AP929" s="6">
        <f>AQ929&amp;AR929</f>
        <v/>
      </c>
      <c r="AQ929" s="6">
        <f>YEAR(AS929)</f>
        <v/>
      </c>
      <c r="AR929" s="6">
        <f>MONTH(AS929)</f>
        <v/>
      </c>
      <c r="AS929" s="267">
        <f>IFERROR(__xludf.DUMMYFUNCTION("""COMPUTED_VALUE"""),44454.9986111111)</f>
        <v/>
      </c>
      <c r="AT929" s="6">
        <f>IFERROR(__xludf.DUMMYFUNCTION("""COMPUTED_VALUE"""),1794.8)</f>
        <v/>
      </c>
    </row>
    <row r="930">
      <c r="B930" s="6">
        <f>C930&amp;D930</f>
        <v/>
      </c>
      <c r="C930" s="6">
        <f>YEAR(E930)</f>
        <v/>
      </c>
      <c r="D930" s="6">
        <f>MONTH(E930)</f>
        <v/>
      </c>
      <c r="E930" s="267">
        <f>IFERROR(__xludf.DUMMYFUNCTION("""COMPUTED_VALUE"""),44447.6666666666)</f>
        <v/>
      </c>
      <c r="F930" s="6">
        <f>IFERROR(__xludf.DUMMYFUNCTION("""COMPUTED_VALUE"""),4514.07)</f>
        <v/>
      </c>
      <c r="J930" s="6">
        <f>K930&amp;L930</f>
        <v/>
      </c>
      <c r="K930" s="6">
        <f>YEAR(M930)</f>
        <v/>
      </c>
      <c r="L930" s="6">
        <f>MONTH(M930)</f>
        <v/>
      </c>
      <c r="M930" s="267">
        <f>IFERROR(__xludf.DUMMYFUNCTION("""COMPUTED_VALUE"""),44439.6666666666)</f>
        <v/>
      </c>
      <c r="N930" s="6">
        <f>IFERROR(__xludf.DUMMYFUNCTION("""COMPUTED_VALUE"""),15259.24)</f>
        <v/>
      </c>
      <c r="R930" s="6">
        <f>S930&amp;T930</f>
        <v/>
      </c>
      <c r="S930" s="6">
        <f>YEAR(U930)</f>
        <v/>
      </c>
      <c r="T930" s="6">
        <f>MONTH(U930)</f>
        <v/>
      </c>
      <c r="U930" s="267">
        <f>IFERROR(__xludf.DUMMYFUNCTION("""COMPUTED_VALUE"""),44484.6458333333)</f>
        <v/>
      </c>
      <c r="V930" s="6">
        <f>IFERROR(__xludf.DUMMYFUNCTION("""COMPUTED_VALUE"""),3015.06)</f>
        <v/>
      </c>
      <c r="Z930" s="6">
        <f>AA930&amp;AB930</f>
        <v/>
      </c>
      <c r="AA930" s="6">
        <f>YEAR(AC930)</f>
        <v/>
      </c>
      <c r="AB930" s="6">
        <f>MONTH(AC930)</f>
        <v/>
      </c>
      <c r="AC930" s="267">
        <f>IFERROR(__xludf.DUMMYFUNCTION("""COMPUTED_VALUE"""),44069.9986111111)</f>
        <v/>
      </c>
      <c r="AD930" s="6">
        <f>IFERROR(__xludf.DUMMYFUNCTION("""COMPUTED_VALUE"""),1183.85)</f>
        <v/>
      </c>
      <c r="AH930" s="6">
        <f>AI930&amp;AJ930</f>
        <v/>
      </c>
      <c r="AI930" s="6">
        <f>YEAR(AK930)</f>
        <v/>
      </c>
      <c r="AJ930" s="6">
        <f>MONTH(AK930)</f>
        <v/>
      </c>
      <c r="AK930" s="267">
        <f>IFERROR(__xludf.DUMMYFUNCTION("""COMPUTED_VALUE"""),44022.9986111111)</f>
        <v/>
      </c>
      <c r="AL930" s="6">
        <f>IFERROR(__xludf.DUMMYFUNCTION("""COMPUTED_VALUE"""),9287.806)</f>
        <v/>
      </c>
      <c r="AP930" s="6">
        <f>AQ930&amp;AR930</f>
        <v/>
      </c>
      <c r="AQ930" s="6">
        <f>YEAR(AS930)</f>
        <v/>
      </c>
      <c r="AR930" s="6">
        <f>MONTH(AS930)</f>
        <v/>
      </c>
      <c r="AS930" s="267">
        <f>IFERROR(__xludf.DUMMYFUNCTION("""COMPUTED_VALUE"""),44455.9986111111)</f>
        <v/>
      </c>
      <c r="AT930" s="6">
        <f>IFERROR(__xludf.DUMMYFUNCTION("""COMPUTED_VALUE"""),1756.7)</f>
        <v/>
      </c>
    </row>
    <row r="931">
      <c r="B931" s="6">
        <f>C931&amp;D931</f>
        <v/>
      </c>
      <c r="C931" s="6">
        <f>YEAR(E931)</f>
        <v/>
      </c>
      <c r="D931" s="6">
        <f>MONTH(E931)</f>
        <v/>
      </c>
      <c r="E931" s="267">
        <f>IFERROR(__xludf.DUMMYFUNCTION("""COMPUTED_VALUE"""),44448.6666666666)</f>
        <v/>
      </c>
      <c r="F931" s="6">
        <f>IFERROR(__xludf.DUMMYFUNCTION("""COMPUTED_VALUE"""),4493.28)</f>
        <v/>
      </c>
      <c r="J931" s="6">
        <f>K931&amp;L931</f>
        <v/>
      </c>
      <c r="K931" s="6">
        <f>YEAR(M931)</f>
        <v/>
      </c>
      <c r="L931" s="6">
        <f>MONTH(M931)</f>
        <v/>
      </c>
      <c r="M931" s="267">
        <f>IFERROR(__xludf.DUMMYFUNCTION("""COMPUTED_VALUE"""),44440.6666666666)</f>
        <v/>
      </c>
      <c r="N931" s="6">
        <f>IFERROR(__xludf.DUMMYFUNCTION("""COMPUTED_VALUE"""),15309.38)</f>
        <v/>
      </c>
      <c r="R931" s="6">
        <f>S931&amp;T931</f>
        <v/>
      </c>
      <c r="S931" s="6">
        <f>YEAR(U931)</f>
        <v/>
      </c>
      <c r="T931" s="6">
        <f>MONTH(U931)</f>
        <v/>
      </c>
      <c r="U931" s="267">
        <f>IFERROR(__xludf.DUMMYFUNCTION("""COMPUTED_VALUE"""),44487.6458333333)</f>
        <v/>
      </c>
      <c r="V931" s="6">
        <f>IFERROR(__xludf.DUMMYFUNCTION("""COMPUTED_VALUE"""),3006.68)</f>
        <v/>
      </c>
      <c r="Z931" s="6">
        <f>AA931&amp;AB931</f>
        <v/>
      </c>
      <c r="AA931" s="6">
        <f>YEAR(AC931)</f>
        <v/>
      </c>
      <c r="AB931" s="6">
        <f>MONTH(AC931)</f>
        <v/>
      </c>
      <c r="AC931" s="267">
        <f>IFERROR(__xludf.DUMMYFUNCTION("""COMPUTED_VALUE"""),44070.9986111111)</f>
        <v/>
      </c>
      <c r="AD931" s="6">
        <f>IFERROR(__xludf.DUMMYFUNCTION("""COMPUTED_VALUE"""),1186.58)</f>
        <v/>
      </c>
      <c r="AH931" s="6">
        <f>AI931&amp;AJ931</f>
        <v/>
      </c>
      <c r="AI931" s="6">
        <f>YEAR(AK931)</f>
        <v/>
      </c>
      <c r="AJ931" s="6">
        <f>MONTH(AK931)</f>
        <v/>
      </c>
      <c r="AK931" s="267">
        <f>IFERROR(__xludf.DUMMYFUNCTION("""COMPUTED_VALUE"""),44023.9986111111)</f>
        <v/>
      </c>
      <c r="AL931" s="6">
        <f>IFERROR(__xludf.DUMMYFUNCTION("""COMPUTED_VALUE"""),9235.725)</f>
        <v/>
      </c>
      <c r="AP931" s="6">
        <f>AQ931&amp;AR931</f>
        <v/>
      </c>
      <c r="AQ931" s="6">
        <f>YEAR(AS931)</f>
        <v/>
      </c>
      <c r="AR931" s="6">
        <f>MONTH(AS931)</f>
        <v/>
      </c>
      <c r="AS931" s="267">
        <f>IFERROR(__xludf.DUMMYFUNCTION("""COMPUTED_VALUE"""),44456.9986111111)</f>
        <v/>
      </c>
      <c r="AT931" s="6">
        <f>IFERROR(__xludf.DUMMYFUNCTION("""COMPUTED_VALUE"""),1751.4)</f>
        <v/>
      </c>
    </row>
    <row r="932">
      <c r="B932" s="6">
        <f>C932&amp;D932</f>
        <v/>
      </c>
      <c r="C932" s="6">
        <f>YEAR(E932)</f>
        <v/>
      </c>
      <c r="D932" s="6">
        <f>MONTH(E932)</f>
        <v/>
      </c>
      <c r="E932" s="267">
        <f>IFERROR(__xludf.DUMMYFUNCTION("""COMPUTED_VALUE"""),44449.6666666666)</f>
        <v/>
      </c>
      <c r="F932" s="6">
        <f>IFERROR(__xludf.DUMMYFUNCTION("""COMPUTED_VALUE"""),4458.58)</f>
        <v/>
      </c>
      <c r="J932" s="6">
        <f>K932&amp;L932</f>
        <v/>
      </c>
      <c r="K932" s="6">
        <f>YEAR(M932)</f>
        <v/>
      </c>
      <c r="L932" s="6">
        <f>MONTH(M932)</f>
        <v/>
      </c>
      <c r="M932" s="267">
        <f>IFERROR(__xludf.DUMMYFUNCTION("""COMPUTED_VALUE"""),44441.6666666666)</f>
        <v/>
      </c>
      <c r="N932" s="6">
        <f>IFERROR(__xludf.DUMMYFUNCTION("""COMPUTED_VALUE"""),15331.18)</f>
        <v/>
      </c>
      <c r="R932" s="6">
        <f>S932&amp;T932</f>
        <v/>
      </c>
      <c r="S932" s="6">
        <f>YEAR(U932)</f>
        <v/>
      </c>
      <c r="T932" s="6">
        <f>MONTH(U932)</f>
        <v/>
      </c>
      <c r="U932" s="267">
        <f>IFERROR(__xludf.DUMMYFUNCTION("""COMPUTED_VALUE"""),44488.6458333333)</f>
        <v/>
      </c>
      <c r="V932" s="6">
        <f>IFERROR(__xludf.DUMMYFUNCTION("""COMPUTED_VALUE"""),3029.04)</f>
        <v/>
      </c>
      <c r="Z932" s="6">
        <f>AA932&amp;AB932</f>
        <v/>
      </c>
      <c r="AA932" s="6">
        <f>YEAR(AC932)</f>
        <v/>
      </c>
      <c r="AB932" s="6">
        <f>MONTH(AC932)</f>
        <v/>
      </c>
      <c r="AC932" s="267">
        <f>IFERROR(__xludf.DUMMYFUNCTION("""COMPUTED_VALUE"""),44071.9986111111)</f>
        <v/>
      </c>
      <c r="AD932" s="6">
        <f>IFERROR(__xludf.DUMMYFUNCTION("""COMPUTED_VALUE"""),1180.11)</f>
        <v/>
      </c>
      <c r="AH932" s="6">
        <f>AI932&amp;AJ932</f>
        <v/>
      </c>
      <c r="AI932" s="6">
        <f>YEAR(AK932)</f>
        <v/>
      </c>
      <c r="AJ932" s="6">
        <f>MONTH(AK932)</f>
        <v/>
      </c>
      <c r="AK932" s="267">
        <f>IFERROR(__xludf.DUMMYFUNCTION("""COMPUTED_VALUE"""),44024.9986111111)</f>
        <v/>
      </c>
      <c r="AL932" s="6">
        <f>IFERROR(__xludf.DUMMYFUNCTION("""COMPUTED_VALUE"""),9302.255)</f>
        <v/>
      </c>
      <c r="AP932" s="6">
        <f>AQ932&amp;AR932</f>
        <v/>
      </c>
      <c r="AQ932" s="6">
        <f>YEAR(AS932)</f>
        <v/>
      </c>
      <c r="AR932" s="6">
        <f>MONTH(AS932)</f>
        <v/>
      </c>
      <c r="AS932" s="267">
        <f>IFERROR(__xludf.DUMMYFUNCTION("""COMPUTED_VALUE"""),44459.9986111111)</f>
        <v/>
      </c>
      <c r="AT932" s="6">
        <f>IFERROR(__xludf.DUMMYFUNCTION("""COMPUTED_VALUE"""),1763.8)</f>
        <v/>
      </c>
    </row>
    <row r="933">
      <c r="B933" s="6">
        <f>C933&amp;D933</f>
        <v/>
      </c>
      <c r="C933" s="6">
        <f>YEAR(E933)</f>
        <v/>
      </c>
      <c r="D933" s="6">
        <f>MONTH(E933)</f>
        <v/>
      </c>
      <c r="E933" s="267">
        <f>IFERROR(__xludf.DUMMYFUNCTION("""COMPUTED_VALUE"""),44452.6666666666)</f>
        <v/>
      </c>
      <c r="F933" s="6">
        <f>IFERROR(__xludf.DUMMYFUNCTION("""COMPUTED_VALUE"""),4468.73)</f>
        <v/>
      </c>
      <c r="J933" s="6">
        <f>K933&amp;L933</f>
        <v/>
      </c>
      <c r="K933" s="6">
        <f>YEAR(M933)</f>
        <v/>
      </c>
      <c r="L933" s="6">
        <f>MONTH(M933)</f>
        <v/>
      </c>
      <c r="M933" s="267">
        <f>IFERROR(__xludf.DUMMYFUNCTION("""COMPUTED_VALUE"""),44442.6666666666)</f>
        <v/>
      </c>
      <c r="N933" s="6">
        <f>IFERROR(__xludf.DUMMYFUNCTION("""COMPUTED_VALUE"""),15363.52)</f>
        <v/>
      </c>
      <c r="R933" s="6">
        <f>S933&amp;T933</f>
        <v/>
      </c>
      <c r="S933" s="6">
        <f>YEAR(U933)</f>
        <v/>
      </c>
      <c r="T933" s="6">
        <f>MONTH(U933)</f>
        <v/>
      </c>
      <c r="U933" s="267">
        <f>IFERROR(__xludf.DUMMYFUNCTION("""COMPUTED_VALUE"""),44489.6458333333)</f>
        <v/>
      </c>
      <c r="V933" s="6">
        <f>IFERROR(__xludf.DUMMYFUNCTION("""COMPUTED_VALUE"""),3013.13)</f>
        <v/>
      </c>
      <c r="Z933" s="6">
        <f>AA933&amp;AB933</f>
        <v/>
      </c>
      <c r="AA933" s="6">
        <f>YEAR(AC933)</f>
        <v/>
      </c>
      <c r="AB933" s="6">
        <f>MONTH(AC933)</f>
        <v/>
      </c>
      <c r="AC933" s="267">
        <f>IFERROR(__xludf.DUMMYFUNCTION("""COMPUTED_VALUE"""),44072.9986111111)</f>
        <v/>
      </c>
      <c r="AD933" s="6">
        <f>IFERROR(__xludf.DUMMYFUNCTION("""COMPUTED_VALUE"""),1180.11)</f>
        <v/>
      </c>
      <c r="AH933" s="6">
        <f>AI933&amp;AJ933</f>
        <v/>
      </c>
      <c r="AI933" s="6">
        <f>YEAR(AK933)</f>
        <v/>
      </c>
      <c r="AJ933" s="6">
        <f>MONTH(AK933)</f>
        <v/>
      </c>
      <c r="AK933" s="267">
        <f>IFERROR(__xludf.DUMMYFUNCTION("""COMPUTED_VALUE"""),44025.9986111111)</f>
        <v/>
      </c>
      <c r="AL933" s="6">
        <f>IFERROR(__xludf.DUMMYFUNCTION("""COMPUTED_VALUE"""),9236.326)</f>
        <v/>
      </c>
      <c r="AP933" s="6">
        <f>AQ933&amp;AR933</f>
        <v/>
      </c>
      <c r="AQ933" s="6">
        <f>YEAR(AS933)</f>
        <v/>
      </c>
      <c r="AR933" s="6">
        <f>MONTH(AS933)</f>
        <v/>
      </c>
      <c r="AS933" s="267">
        <f>IFERROR(__xludf.DUMMYFUNCTION("""COMPUTED_VALUE"""),44460.9986111111)</f>
        <v/>
      </c>
      <c r="AT933" s="6">
        <f>IFERROR(__xludf.DUMMYFUNCTION("""COMPUTED_VALUE"""),1778.2)</f>
        <v/>
      </c>
    </row>
    <row r="934">
      <c r="B934" s="6">
        <f>C934&amp;D934</f>
        <v/>
      </c>
      <c r="C934" s="6">
        <f>YEAR(E934)</f>
        <v/>
      </c>
      <c r="D934" s="6">
        <f>MONTH(E934)</f>
        <v/>
      </c>
      <c r="E934" s="267">
        <f>IFERROR(__xludf.DUMMYFUNCTION("""COMPUTED_VALUE"""),44453.6666666666)</f>
        <v/>
      </c>
      <c r="F934" s="6">
        <f>IFERROR(__xludf.DUMMYFUNCTION("""COMPUTED_VALUE"""),4443.05)</f>
        <v/>
      </c>
      <c r="J934" s="6">
        <f>K934&amp;L934</f>
        <v/>
      </c>
      <c r="K934" s="6">
        <f>YEAR(M934)</f>
        <v/>
      </c>
      <c r="L934" s="6">
        <f>MONTH(M934)</f>
        <v/>
      </c>
      <c r="M934" s="267">
        <f>IFERROR(__xludf.DUMMYFUNCTION("""COMPUTED_VALUE"""),44446.6666666666)</f>
        <v/>
      </c>
      <c r="N934" s="6">
        <f>IFERROR(__xludf.DUMMYFUNCTION("""COMPUTED_VALUE"""),15374.33)</f>
        <v/>
      </c>
      <c r="R934" s="6">
        <f>S934&amp;T934</f>
        <v/>
      </c>
      <c r="S934" s="6">
        <f>YEAR(U934)</f>
        <v/>
      </c>
      <c r="T934" s="6">
        <f>MONTH(U934)</f>
        <v/>
      </c>
      <c r="U934" s="267">
        <f>IFERROR(__xludf.DUMMYFUNCTION("""COMPUTED_VALUE"""),44490.6458333333)</f>
        <v/>
      </c>
      <c r="V934" s="6">
        <f>IFERROR(__xludf.DUMMYFUNCTION("""COMPUTED_VALUE"""),3007.33)</f>
        <v/>
      </c>
      <c r="Z934" s="6">
        <f>AA934&amp;AB934</f>
        <v/>
      </c>
      <c r="AA934" s="6">
        <f>YEAR(AC934)</f>
        <v/>
      </c>
      <c r="AB934" s="6">
        <f>MONTH(AC934)</f>
        <v/>
      </c>
      <c r="AC934" s="267">
        <f>IFERROR(__xludf.DUMMYFUNCTION("""COMPUTED_VALUE"""),44073.9986111111)</f>
        <v/>
      </c>
      <c r="AD934" s="6">
        <f>IFERROR(__xludf.DUMMYFUNCTION("""COMPUTED_VALUE"""),1179.59)</f>
        <v/>
      </c>
      <c r="AH934" s="6">
        <f>AI934&amp;AJ934</f>
        <v/>
      </c>
      <c r="AI934" s="6">
        <f>YEAR(AK934)</f>
        <v/>
      </c>
      <c r="AJ934" s="6">
        <f>MONTH(AK934)</f>
        <v/>
      </c>
      <c r="AK934" s="267">
        <f>IFERROR(__xludf.DUMMYFUNCTION("""COMPUTED_VALUE"""),44026.9986111111)</f>
        <v/>
      </c>
      <c r="AL934" s="6">
        <f>IFERROR(__xludf.DUMMYFUNCTION("""COMPUTED_VALUE"""),9276.242)</f>
        <v/>
      </c>
      <c r="AP934" s="6">
        <f>AQ934&amp;AR934</f>
        <v/>
      </c>
      <c r="AQ934" s="6">
        <f>YEAR(AS934)</f>
        <v/>
      </c>
      <c r="AR934" s="6">
        <f>MONTH(AS934)</f>
        <v/>
      </c>
      <c r="AS934" s="267">
        <f>IFERROR(__xludf.DUMMYFUNCTION("""COMPUTED_VALUE"""),44461.9986111111)</f>
        <v/>
      </c>
      <c r="AT934" s="6">
        <f>IFERROR(__xludf.DUMMYFUNCTION("""COMPUTED_VALUE"""),1778.8)</f>
        <v/>
      </c>
    </row>
    <row r="935">
      <c r="B935" s="6">
        <f>C935&amp;D935</f>
        <v/>
      </c>
      <c r="C935" s="6">
        <f>YEAR(E935)</f>
        <v/>
      </c>
      <c r="D935" s="6">
        <f>MONTH(E935)</f>
        <v/>
      </c>
      <c r="E935" s="267">
        <f>IFERROR(__xludf.DUMMYFUNCTION("""COMPUTED_VALUE"""),44454.6666666666)</f>
        <v/>
      </c>
      <c r="F935" s="6">
        <f>IFERROR(__xludf.DUMMYFUNCTION("""COMPUTED_VALUE"""),4480.7)</f>
        <v/>
      </c>
      <c r="J935" s="6">
        <f>K935&amp;L935</f>
        <v/>
      </c>
      <c r="K935" s="6">
        <f>YEAR(M935)</f>
        <v/>
      </c>
      <c r="L935" s="6">
        <f>MONTH(M935)</f>
        <v/>
      </c>
      <c r="M935" s="267">
        <f>IFERROR(__xludf.DUMMYFUNCTION("""COMPUTED_VALUE"""),44447.6666666666)</f>
        <v/>
      </c>
      <c r="N935" s="6">
        <f>IFERROR(__xludf.DUMMYFUNCTION("""COMPUTED_VALUE"""),15286.64)</f>
        <v/>
      </c>
      <c r="R935" s="6">
        <f>S935&amp;T935</f>
        <v/>
      </c>
      <c r="S935" s="6">
        <f>YEAR(U935)</f>
        <v/>
      </c>
      <c r="T935" s="6">
        <f>MONTH(U935)</f>
        <v/>
      </c>
      <c r="U935" s="267">
        <f>IFERROR(__xludf.DUMMYFUNCTION("""COMPUTED_VALUE"""),44491.6458333333)</f>
        <v/>
      </c>
      <c r="V935" s="6">
        <f>IFERROR(__xludf.DUMMYFUNCTION("""COMPUTED_VALUE"""),3006.16)</f>
        <v/>
      </c>
      <c r="Z935" s="6">
        <f>AA935&amp;AB935</f>
        <v/>
      </c>
      <c r="AA935" s="6">
        <f>YEAR(AC935)</f>
        <v/>
      </c>
      <c r="AB935" s="6">
        <f>MONTH(AC935)</f>
        <v/>
      </c>
      <c r="AC935" s="267">
        <f>IFERROR(__xludf.DUMMYFUNCTION("""COMPUTED_VALUE"""),44074.9986111111)</f>
        <v/>
      </c>
      <c r="AD935" s="6">
        <f>IFERROR(__xludf.DUMMYFUNCTION("""COMPUTED_VALUE"""),1187.04)</f>
        <v/>
      </c>
      <c r="AH935" s="6">
        <f>AI935&amp;AJ935</f>
        <v/>
      </c>
      <c r="AI935" s="6">
        <f>YEAR(AK935)</f>
        <v/>
      </c>
      <c r="AJ935" s="6">
        <f>MONTH(AK935)</f>
        <v/>
      </c>
      <c r="AK935" s="267">
        <f>IFERROR(__xludf.DUMMYFUNCTION("""COMPUTED_VALUE"""),44027.9986111111)</f>
        <v/>
      </c>
      <c r="AL935" s="6">
        <f>IFERROR(__xludf.DUMMYFUNCTION("""COMPUTED_VALUE"""),9191.817)</f>
        <v/>
      </c>
      <c r="AP935" s="6">
        <f>AQ935&amp;AR935</f>
        <v/>
      </c>
      <c r="AQ935" s="6">
        <f>YEAR(AS935)</f>
        <v/>
      </c>
      <c r="AR935" s="6">
        <f>MONTH(AS935)</f>
        <v/>
      </c>
      <c r="AS935" s="267">
        <f>IFERROR(__xludf.DUMMYFUNCTION("""COMPUTED_VALUE"""),44462.9986111111)</f>
        <v/>
      </c>
      <c r="AT935" s="6">
        <f>IFERROR(__xludf.DUMMYFUNCTION("""COMPUTED_VALUE"""),1749.8)</f>
        <v/>
      </c>
    </row>
    <row r="936">
      <c r="B936" s="6">
        <f>C936&amp;D936</f>
        <v/>
      </c>
      <c r="C936" s="6">
        <f>YEAR(E936)</f>
        <v/>
      </c>
      <c r="D936" s="6">
        <f>MONTH(E936)</f>
        <v/>
      </c>
      <c r="E936" s="267">
        <f>IFERROR(__xludf.DUMMYFUNCTION("""COMPUTED_VALUE"""),44455.6666666666)</f>
        <v/>
      </c>
      <c r="F936" s="6">
        <f>IFERROR(__xludf.DUMMYFUNCTION("""COMPUTED_VALUE"""),4473.75)</f>
        <v/>
      </c>
      <c r="J936" s="6">
        <f>K936&amp;L936</f>
        <v/>
      </c>
      <c r="K936" s="6">
        <f>YEAR(M936)</f>
        <v/>
      </c>
      <c r="L936" s="6">
        <f>MONTH(M936)</f>
        <v/>
      </c>
      <c r="M936" s="267">
        <f>IFERROR(__xludf.DUMMYFUNCTION("""COMPUTED_VALUE"""),44448.6666666666)</f>
        <v/>
      </c>
      <c r="N936" s="6">
        <f>IFERROR(__xludf.DUMMYFUNCTION("""COMPUTED_VALUE"""),15248.25)</f>
        <v/>
      </c>
      <c r="R936" s="6">
        <f>S936&amp;T936</f>
        <v/>
      </c>
      <c r="S936" s="6">
        <f>YEAR(U936)</f>
        <v/>
      </c>
      <c r="T936" s="6">
        <f>MONTH(U936)</f>
        <v/>
      </c>
      <c r="U936" s="267">
        <f>IFERROR(__xludf.DUMMYFUNCTION("""COMPUTED_VALUE"""),44494.6458333333)</f>
        <v/>
      </c>
      <c r="V936" s="6">
        <f>IFERROR(__xludf.DUMMYFUNCTION("""COMPUTED_VALUE"""),3020.54)</f>
        <v/>
      </c>
      <c r="Z936" s="6">
        <f>AA936&amp;AB936</f>
        <v/>
      </c>
      <c r="AA936" s="6">
        <f>YEAR(AC936)</f>
        <v/>
      </c>
      <c r="AB936" s="6">
        <f>MONTH(AC936)</f>
        <v/>
      </c>
      <c r="AC936" s="267">
        <f>IFERROR(__xludf.DUMMYFUNCTION("""COMPUTED_VALUE"""),44075.9986111111)</f>
        <v/>
      </c>
      <c r="AD936" s="6">
        <f>IFERROR(__xludf.DUMMYFUNCTION("""COMPUTED_VALUE"""),1184.92)</f>
        <v/>
      </c>
      <c r="AH936" s="6">
        <f>AI936&amp;AJ936</f>
        <v/>
      </c>
      <c r="AI936" s="6">
        <f>YEAR(AK936)</f>
        <v/>
      </c>
      <c r="AJ936" s="6">
        <f>MONTH(AK936)</f>
        <v/>
      </c>
      <c r="AK936" s="267">
        <f>IFERROR(__xludf.DUMMYFUNCTION("""COMPUTED_VALUE"""),44028.9986111111)</f>
        <v/>
      </c>
      <c r="AL936" s="6">
        <f>IFERROR(__xludf.DUMMYFUNCTION("""COMPUTED_VALUE"""),9132.512)</f>
        <v/>
      </c>
      <c r="AP936" s="6">
        <f>AQ936&amp;AR936</f>
        <v/>
      </c>
      <c r="AQ936" s="6">
        <f>YEAR(AS936)</f>
        <v/>
      </c>
      <c r="AR936" s="6">
        <f>MONTH(AS936)</f>
        <v/>
      </c>
      <c r="AS936" s="267">
        <f>IFERROR(__xludf.DUMMYFUNCTION("""COMPUTED_VALUE"""),44463.9986111111)</f>
        <v/>
      </c>
      <c r="AT936" s="6">
        <f>IFERROR(__xludf.DUMMYFUNCTION("""COMPUTED_VALUE"""),1751.7)</f>
        <v/>
      </c>
    </row>
    <row r="937">
      <c r="B937" s="6">
        <f>C937&amp;D937</f>
        <v/>
      </c>
      <c r="C937" s="6">
        <f>YEAR(E937)</f>
        <v/>
      </c>
      <c r="D937" s="6">
        <f>MONTH(E937)</f>
        <v/>
      </c>
      <c r="E937" s="267">
        <f>IFERROR(__xludf.DUMMYFUNCTION("""COMPUTED_VALUE"""),44456.6666666666)</f>
        <v/>
      </c>
      <c r="F937" s="6">
        <f>IFERROR(__xludf.DUMMYFUNCTION("""COMPUTED_VALUE"""),4432.99)</f>
        <v/>
      </c>
      <c r="J937" s="6">
        <f>K937&amp;L937</f>
        <v/>
      </c>
      <c r="K937" s="6">
        <f>YEAR(M937)</f>
        <v/>
      </c>
      <c r="L937" s="6">
        <f>MONTH(M937)</f>
        <v/>
      </c>
      <c r="M937" s="267">
        <f>IFERROR(__xludf.DUMMYFUNCTION("""COMPUTED_VALUE"""),44449.6666666666)</f>
        <v/>
      </c>
      <c r="N937" s="6">
        <f>IFERROR(__xludf.DUMMYFUNCTION("""COMPUTED_VALUE"""),15115.49)</f>
        <v/>
      </c>
      <c r="R937" s="6">
        <f>S937&amp;T937</f>
        <v/>
      </c>
      <c r="S937" s="6">
        <f>YEAR(U937)</f>
        <v/>
      </c>
      <c r="T937" s="6">
        <f>MONTH(U937)</f>
        <v/>
      </c>
      <c r="U937" s="267">
        <f>IFERROR(__xludf.DUMMYFUNCTION("""COMPUTED_VALUE"""),44495.6458333333)</f>
        <v/>
      </c>
      <c r="V937" s="6">
        <f>IFERROR(__xludf.DUMMYFUNCTION("""COMPUTED_VALUE"""),3049.08)</f>
        <v/>
      </c>
      <c r="Z937" s="6">
        <f>AA937&amp;AB937</f>
        <v/>
      </c>
      <c r="AA937" s="6">
        <f>YEAR(AC937)</f>
        <v/>
      </c>
      <c r="AB937" s="6">
        <f>MONTH(AC937)</f>
        <v/>
      </c>
      <c r="AC937" s="267">
        <f>IFERROR(__xludf.DUMMYFUNCTION("""COMPUTED_VALUE"""),44076.9986111111)</f>
        <v/>
      </c>
      <c r="AD937" s="6">
        <f>IFERROR(__xludf.DUMMYFUNCTION("""COMPUTED_VALUE"""),1188.65)</f>
        <v/>
      </c>
      <c r="AH937" s="6">
        <f>AI937&amp;AJ937</f>
        <v/>
      </c>
      <c r="AI937" s="6">
        <f>YEAR(AK937)</f>
        <v/>
      </c>
      <c r="AJ937" s="6">
        <f>MONTH(AK937)</f>
        <v/>
      </c>
      <c r="AK937" s="267">
        <f>IFERROR(__xludf.DUMMYFUNCTION("""COMPUTED_VALUE"""),44029.9986111111)</f>
        <v/>
      </c>
      <c r="AL937" s="6">
        <f>IFERROR(__xludf.DUMMYFUNCTION("""COMPUTED_VALUE"""),9155.095)</f>
        <v/>
      </c>
      <c r="AP937" s="6">
        <f>AQ937&amp;AR937</f>
        <v/>
      </c>
      <c r="AQ937" s="6">
        <f>YEAR(AS937)</f>
        <v/>
      </c>
      <c r="AR937" s="6">
        <f>MONTH(AS937)</f>
        <v/>
      </c>
      <c r="AS937" s="267">
        <f>IFERROR(__xludf.DUMMYFUNCTION("""COMPUTED_VALUE"""),44466.9986111111)</f>
        <v/>
      </c>
      <c r="AT937" s="6">
        <f>IFERROR(__xludf.DUMMYFUNCTION("""COMPUTED_VALUE"""),1752)</f>
        <v/>
      </c>
    </row>
    <row r="938">
      <c r="B938" s="6">
        <f>C938&amp;D938</f>
        <v/>
      </c>
      <c r="C938" s="6">
        <f>YEAR(E938)</f>
        <v/>
      </c>
      <c r="D938" s="6">
        <f>MONTH(E938)</f>
        <v/>
      </c>
      <c r="E938" s="267">
        <f>IFERROR(__xludf.DUMMYFUNCTION("""COMPUTED_VALUE"""),44459.6666666666)</f>
        <v/>
      </c>
      <c r="F938" s="6">
        <f>IFERROR(__xludf.DUMMYFUNCTION("""COMPUTED_VALUE"""),4357.73)</f>
        <v/>
      </c>
      <c r="J938" s="6">
        <f>K938&amp;L938</f>
        <v/>
      </c>
      <c r="K938" s="6">
        <f>YEAR(M938)</f>
        <v/>
      </c>
      <c r="L938" s="6">
        <f>MONTH(M938)</f>
        <v/>
      </c>
      <c r="M938" s="267">
        <f>IFERROR(__xludf.DUMMYFUNCTION("""COMPUTED_VALUE"""),44452.6666666666)</f>
        <v/>
      </c>
      <c r="N938" s="6">
        <f>IFERROR(__xludf.DUMMYFUNCTION("""COMPUTED_VALUE"""),15105.58)</f>
        <v/>
      </c>
      <c r="R938" s="6">
        <f>S938&amp;T938</f>
        <v/>
      </c>
      <c r="S938" s="6">
        <f>YEAR(U938)</f>
        <v/>
      </c>
      <c r="T938" s="6">
        <f>MONTH(U938)</f>
        <v/>
      </c>
      <c r="U938" s="267">
        <f>IFERROR(__xludf.DUMMYFUNCTION("""COMPUTED_VALUE"""),44496.6458333333)</f>
        <v/>
      </c>
      <c r="V938" s="6">
        <f>IFERROR(__xludf.DUMMYFUNCTION("""COMPUTED_VALUE"""),3025.49)</f>
        <v/>
      </c>
      <c r="Z938" s="6">
        <f>AA938&amp;AB938</f>
        <v/>
      </c>
      <c r="AA938" s="6">
        <f>YEAR(AC938)</f>
        <v/>
      </c>
      <c r="AB938" s="6">
        <f>MONTH(AC938)</f>
        <v/>
      </c>
      <c r="AC938" s="267">
        <f>IFERROR(__xludf.DUMMYFUNCTION("""COMPUTED_VALUE"""),44077.9986111111)</f>
        <v/>
      </c>
      <c r="AD938" s="6">
        <f>IFERROR(__xludf.DUMMYFUNCTION("""COMPUTED_VALUE"""),1190.78)</f>
        <v/>
      </c>
      <c r="AH938" s="6">
        <f>AI938&amp;AJ938</f>
        <v/>
      </c>
      <c r="AI938" s="6">
        <f>YEAR(AK938)</f>
        <v/>
      </c>
      <c r="AJ938" s="6">
        <f>MONTH(AK938)</f>
        <v/>
      </c>
      <c r="AK938" s="267">
        <f>IFERROR(__xludf.DUMMYFUNCTION("""COMPUTED_VALUE"""),44030.9986111111)</f>
        <v/>
      </c>
      <c r="AL938" s="6">
        <f>IFERROR(__xludf.DUMMYFUNCTION("""COMPUTED_VALUE"""),9177.39)</f>
        <v/>
      </c>
      <c r="AP938" s="6">
        <f>AQ938&amp;AR938</f>
        <v/>
      </c>
      <c r="AQ938" s="6">
        <f>YEAR(AS938)</f>
        <v/>
      </c>
      <c r="AR938" s="6">
        <f>MONTH(AS938)</f>
        <v/>
      </c>
      <c r="AS938" s="267">
        <f>IFERROR(__xludf.DUMMYFUNCTION("""COMPUTED_VALUE"""),44467.9986111111)</f>
        <v/>
      </c>
      <c r="AT938" s="6">
        <f>IFERROR(__xludf.DUMMYFUNCTION("""COMPUTED_VALUE"""),1737.5)</f>
        <v/>
      </c>
    </row>
    <row r="939">
      <c r="B939" s="6">
        <f>C939&amp;D939</f>
        <v/>
      </c>
      <c r="C939" s="6">
        <f>YEAR(E939)</f>
        <v/>
      </c>
      <c r="D939" s="6">
        <f>MONTH(E939)</f>
        <v/>
      </c>
      <c r="E939" s="267">
        <f>IFERROR(__xludf.DUMMYFUNCTION("""COMPUTED_VALUE"""),44460.6666666666)</f>
        <v/>
      </c>
      <c r="F939" s="6">
        <f>IFERROR(__xludf.DUMMYFUNCTION("""COMPUTED_VALUE"""),4354.19)</f>
        <v/>
      </c>
      <c r="J939" s="6">
        <f>K939&amp;L939</f>
        <v/>
      </c>
      <c r="K939" s="6">
        <f>YEAR(M939)</f>
        <v/>
      </c>
      <c r="L939" s="6">
        <f>MONTH(M939)</f>
        <v/>
      </c>
      <c r="M939" s="267">
        <f>IFERROR(__xludf.DUMMYFUNCTION("""COMPUTED_VALUE"""),44453.6666666666)</f>
        <v/>
      </c>
      <c r="N939" s="6">
        <f>IFERROR(__xludf.DUMMYFUNCTION("""COMPUTED_VALUE"""),15037.76)</f>
        <v/>
      </c>
      <c r="R939" s="6">
        <f>S939&amp;T939</f>
        <v/>
      </c>
      <c r="S939" s="6">
        <f>YEAR(U939)</f>
        <v/>
      </c>
      <c r="T939" s="6">
        <f>MONTH(U939)</f>
        <v/>
      </c>
      <c r="U939" s="267">
        <f>IFERROR(__xludf.DUMMYFUNCTION("""COMPUTED_VALUE"""),44497.6458333333)</f>
        <v/>
      </c>
      <c r="V939" s="6">
        <f>IFERROR(__xludf.DUMMYFUNCTION("""COMPUTED_VALUE"""),3009.55)</f>
        <v/>
      </c>
      <c r="Z939" s="6">
        <f>AA939&amp;AB939</f>
        <v/>
      </c>
      <c r="AA939" s="6">
        <f>YEAR(AC939)</f>
        <v/>
      </c>
      <c r="AB939" s="6">
        <f>MONTH(AC939)</f>
        <v/>
      </c>
      <c r="AC939" s="267">
        <f>IFERROR(__xludf.DUMMYFUNCTION("""COMPUTED_VALUE"""),44078.9986111111)</f>
        <v/>
      </c>
      <c r="AD939" s="6">
        <f>IFERROR(__xludf.DUMMYFUNCTION("""COMPUTED_VALUE"""),1186.93)</f>
        <v/>
      </c>
      <c r="AH939" s="6">
        <f>AI939&amp;AJ939</f>
        <v/>
      </c>
      <c r="AI939" s="6">
        <f>YEAR(AK939)</f>
        <v/>
      </c>
      <c r="AJ939" s="6">
        <f>MONTH(AK939)</f>
        <v/>
      </c>
      <c r="AK939" s="267">
        <f>IFERROR(__xludf.DUMMYFUNCTION("""COMPUTED_VALUE"""),44031.9986111111)</f>
        <v/>
      </c>
      <c r="AL939" s="6">
        <f>IFERROR(__xludf.DUMMYFUNCTION("""COMPUTED_VALUE"""),9217.421)</f>
        <v/>
      </c>
      <c r="AP939" s="6">
        <f>AQ939&amp;AR939</f>
        <v/>
      </c>
      <c r="AQ939" s="6">
        <f>YEAR(AS939)</f>
        <v/>
      </c>
      <c r="AR939" s="6">
        <f>MONTH(AS939)</f>
        <v/>
      </c>
      <c r="AS939" s="267">
        <f>IFERROR(__xludf.DUMMYFUNCTION("""COMPUTED_VALUE"""),44468.9986111111)</f>
        <v/>
      </c>
      <c r="AT939" s="6">
        <f>IFERROR(__xludf.DUMMYFUNCTION("""COMPUTED_VALUE"""),1722.9)</f>
        <v/>
      </c>
    </row>
    <row r="940">
      <c r="B940" s="6">
        <f>C940&amp;D940</f>
        <v/>
      </c>
      <c r="C940" s="6">
        <f>YEAR(E940)</f>
        <v/>
      </c>
      <c r="D940" s="6">
        <f>MONTH(E940)</f>
        <v/>
      </c>
      <c r="E940" s="267">
        <f>IFERROR(__xludf.DUMMYFUNCTION("""COMPUTED_VALUE"""),44461.6666666666)</f>
        <v/>
      </c>
      <c r="F940" s="6">
        <f>IFERROR(__xludf.DUMMYFUNCTION("""COMPUTED_VALUE"""),4395.64)</f>
        <v/>
      </c>
      <c r="J940" s="6">
        <f>K940&amp;L940</f>
        <v/>
      </c>
      <c r="K940" s="6">
        <f>YEAR(M940)</f>
        <v/>
      </c>
      <c r="L940" s="6">
        <f>MONTH(M940)</f>
        <v/>
      </c>
      <c r="M940" s="267">
        <f>IFERROR(__xludf.DUMMYFUNCTION("""COMPUTED_VALUE"""),44454.6666666666)</f>
        <v/>
      </c>
      <c r="N940" s="6">
        <f>IFERROR(__xludf.DUMMYFUNCTION("""COMPUTED_VALUE"""),15161.53)</f>
        <v/>
      </c>
      <c r="R940" s="6">
        <f>S940&amp;T940</f>
        <v/>
      </c>
      <c r="S940" s="6">
        <f>YEAR(U940)</f>
        <v/>
      </c>
      <c r="T940" s="6">
        <f>MONTH(U940)</f>
        <v/>
      </c>
      <c r="U940" s="267">
        <f>IFERROR(__xludf.DUMMYFUNCTION("""COMPUTED_VALUE"""),44498.6458333333)</f>
        <v/>
      </c>
      <c r="V940" s="6">
        <f>IFERROR(__xludf.DUMMYFUNCTION("""COMPUTED_VALUE"""),2970.68)</f>
        <v/>
      </c>
      <c r="Z940" s="6">
        <f>AA940&amp;AB940</f>
        <v/>
      </c>
      <c r="AA940" s="6">
        <f>YEAR(AC940)</f>
        <v/>
      </c>
      <c r="AB940" s="6">
        <f>MONTH(AC940)</f>
        <v/>
      </c>
      <c r="AC940" s="267">
        <f>IFERROR(__xludf.DUMMYFUNCTION("""COMPUTED_VALUE"""),44079.9986111111)</f>
        <v/>
      </c>
      <c r="AD940" s="6">
        <f>IFERROR(__xludf.DUMMYFUNCTION("""COMPUTED_VALUE"""),1186.93)</f>
        <v/>
      </c>
      <c r="AH940" s="6">
        <f>AI940&amp;AJ940</f>
        <v/>
      </c>
      <c r="AI940" s="6">
        <f>YEAR(AK940)</f>
        <v/>
      </c>
      <c r="AJ940" s="6">
        <f>MONTH(AK940)</f>
        <v/>
      </c>
      <c r="AK940" s="267">
        <f>IFERROR(__xludf.DUMMYFUNCTION("""COMPUTED_VALUE"""),44032.9986111111)</f>
        <v/>
      </c>
      <c r="AL940" s="6">
        <f>IFERROR(__xludf.DUMMYFUNCTION("""COMPUTED_VALUE"""),9164.971)</f>
        <v/>
      </c>
      <c r="AP940" s="6">
        <f>AQ940&amp;AR940</f>
        <v/>
      </c>
      <c r="AQ940" s="6">
        <f>YEAR(AS940)</f>
        <v/>
      </c>
      <c r="AR940" s="6">
        <f>MONTH(AS940)</f>
        <v/>
      </c>
      <c r="AS940" s="267">
        <f>IFERROR(__xludf.DUMMYFUNCTION("""COMPUTED_VALUE"""),44469.9986111111)</f>
        <v/>
      </c>
      <c r="AT940" s="6">
        <f>IFERROR(__xludf.DUMMYFUNCTION("""COMPUTED_VALUE"""),1757)</f>
        <v/>
      </c>
    </row>
    <row r="941">
      <c r="B941" s="6">
        <f>C941&amp;D941</f>
        <v/>
      </c>
      <c r="C941" s="6">
        <f>YEAR(E941)</f>
        <v/>
      </c>
      <c r="D941" s="6">
        <f>MONTH(E941)</f>
        <v/>
      </c>
      <c r="E941" s="267">
        <f>IFERROR(__xludf.DUMMYFUNCTION("""COMPUTED_VALUE"""),44462.6666666666)</f>
        <v/>
      </c>
      <c r="F941" s="6">
        <f>IFERROR(__xludf.DUMMYFUNCTION("""COMPUTED_VALUE"""),4448.98)</f>
        <v/>
      </c>
      <c r="J941" s="6">
        <f>K941&amp;L941</f>
        <v/>
      </c>
      <c r="K941" s="6">
        <f>YEAR(M941)</f>
        <v/>
      </c>
      <c r="L941" s="6">
        <f>MONTH(M941)</f>
        <v/>
      </c>
      <c r="M941" s="267">
        <f>IFERROR(__xludf.DUMMYFUNCTION("""COMPUTED_VALUE"""),44455.6666666666)</f>
        <v/>
      </c>
      <c r="N941" s="6">
        <f>IFERROR(__xludf.DUMMYFUNCTION("""COMPUTED_VALUE"""),15181.92)</f>
        <v/>
      </c>
      <c r="R941" s="6">
        <f>S941&amp;T941</f>
        <v/>
      </c>
      <c r="S941" s="6">
        <f>YEAR(U941)</f>
        <v/>
      </c>
      <c r="T941" s="6">
        <f>MONTH(U941)</f>
        <v/>
      </c>
      <c r="U941" s="267">
        <f>IFERROR(__xludf.DUMMYFUNCTION("""COMPUTED_VALUE"""),44501.6458333333)</f>
        <v/>
      </c>
      <c r="V941" s="6">
        <f>IFERROR(__xludf.DUMMYFUNCTION("""COMPUTED_VALUE"""),2978.94)</f>
        <v/>
      </c>
      <c r="Z941" s="6">
        <f>AA941&amp;AB941</f>
        <v/>
      </c>
      <c r="AA941" s="6">
        <f>YEAR(AC941)</f>
        <v/>
      </c>
      <c r="AB941" s="6">
        <f>MONTH(AC941)</f>
        <v/>
      </c>
      <c r="AC941" s="267">
        <f>IFERROR(__xludf.DUMMYFUNCTION("""COMPUTED_VALUE"""),44080.9986111111)</f>
        <v/>
      </c>
      <c r="AD941" s="6">
        <f>IFERROR(__xludf.DUMMYFUNCTION("""COMPUTED_VALUE"""),1186.42)</f>
        <v/>
      </c>
      <c r="AH941" s="6">
        <f>AI941&amp;AJ941</f>
        <v/>
      </c>
      <c r="AI941" s="6">
        <f>YEAR(AK941)</f>
        <v/>
      </c>
      <c r="AJ941" s="6">
        <f>MONTH(AK941)</f>
        <v/>
      </c>
      <c r="AK941" s="267">
        <f>IFERROR(__xludf.DUMMYFUNCTION("""COMPUTED_VALUE"""),44033.9986111111)</f>
        <v/>
      </c>
      <c r="AL941" s="6">
        <f>IFERROR(__xludf.DUMMYFUNCTION("""COMPUTED_VALUE"""),9394.428)</f>
        <v/>
      </c>
      <c r="AP941" s="6">
        <f>AQ941&amp;AR941</f>
        <v/>
      </c>
      <c r="AQ941" s="6">
        <f>YEAR(AS941)</f>
        <v/>
      </c>
      <c r="AR941" s="6">
        <f>MONTH(AS941)</f>
        <v/>
      </c>
      <c r="AS941" s="267">
        <f>IFERROR(__xludf.DUMMYFUNCTION("""COMPUTED_VALUE"""),44470.9986111111)</f>
        <v/>
      </c>
      <c r="AT941" s="6">
        <f>IFERROR(__xludf.DUMMYFUNCTION("""COMPUTED_VALUE"""),1758.4)</f>
        <v/>
      </c>
    </row>
    <row r="942">
      <c r="B942" s="6">
        <f>C942&amp;D942</f>
        <v/>
      </c>
      <c r="C942" s="6">
        <f>YEAR(E942)</f>
        <v/>
      </c>
      <c r="D942" s="6">
        <f>MONTH(E942)</f>
        <v/>
      </c>
      <c r="E942" s="267">
        <f>IFERROR(__xludf.DUMMYFUNCTION("""COMPUTED_VALUE"""),44463.6666666666)</f>
        <v/>
      </c>
      <c r="F942" s="6">
        <f>IFERROR(__xludf.DUMMYFUNCTION("""COMPUTED_VALUE"""),4455.48)</f>
        <v/>
      </c>
      <c r="J942" s="6">
        <f>K942&amp;L942</f>
        <v/>
      </c>
      <c r="K942" s="6">
        <f>YEAR(M942)</f>
        <v/>
      </c>
      <c r="L942" s="6">
        <f>MONTH(M942)</f>
        <v/>
      </c>
      <c r="M942" s="267">
        <f>IFERROR(__xludf.DUMMYFUNCTION("""COMPUTED_VALUE"""),44456.6666666666)</f>
        <v/>
      </c>
      <c r="N942" s="6">
        <f>IFERROR(__xludf.DUMMYFUNCTION("""COMPUTED_VALUE"""),15043.97)</f>
        <v/>
      </c>
      <c r="R942" s="6">
        <f>S942&amp;T942</f>
        <v/>
      </c>
      <c r="S942" s="6">
        <f>YEAR(U942)</f>
        <v/>
      </c>
      <c r="T942" s="6">
        <f>MONTH(U942)</f>
        <v/>
      </c>
      <c r="U942" s="267">
        <f>IFERROR(__xludf.DUMMYFUNCTION("""COMPUTED_VALUE"""),44502.6458333333)</f>
        <v/>
      </c>
      <c r="V942" s="6">
        <f>IFERROR(__xludf.DUMMYFUNCTION("""COMPUTED_VALUE"""),3013.49)</f>
        <v/>
      </c>
      <c r="Z942" s="6">
        <f>AA942&amp;AB942</f>
        <v/>
      </c>
      <c r="AA942" s="6">
        <f>YEAR(AC942)</f>
        <v/>
      </c>
      <c r="AB942" s="6">
        <f>MONTH(AC942)</f>
        <v/>
      </c>
      <c r="AC942" s="267">
        <f>IFERROR(__xludf.DUMMYFUNCTION("""COMPUTED_VALUE"""),44081.9986111111)</f>
        <v/>
      </c>
      <c r="AD942" s="6">
        <f>IFERROR(__xludf.DUMMYFUNCTION("""COMPUTED_VALUE"""),1186.81)</f>
        <v/>
      </c>
      <c r="AH942" s="6">
        <f>AI942&amp;AJ942</f>
        <v/>
      </c>
      <c r="AI942" s="6">
        <f>YEAR(AK942)</f>
        <v/>
      </c>
      <c r="AJ942" s="6">
        <f>MONTH(AK942)</f>
        <v/>
      </c>
      <c r="AK942" s="267">
        <f>IFERROR(__xludf.DUMMYFUNCTION("""COMPUTED_VALUE"""),44034.9986111111)</f>
        <v/>
      </c>
      <c r="AL942" s="6">
        <f>IFERROR(__xludf.DUMMYFUNCTION("""COMPUTED_VALUE"""),9539.67)</f>
        <v/>
      </c>
      <c r="AP942" s="6">
        <f>AQ942&amp;AR942</f>
        <v/>
      </c>
      <c r="AQ942" s="6">
        <f>YEAR(AS942)</f>
        <v/>
      </c>
      <c r="AR942" s="6">
        <f>MONTH(AS942)</f>
        <v/>
      </c>
      <c r="AS942" s="267">
        <f>IFERROR(__xludf.DUMMYFUNCTION("""COMPUTED_VALUE"""),44473.9986111111)</f>
        <v/>
      </c>
      <c r="AT942" s="6">
        <f>IFERROR(__xludf.DUMMYFUNCTION("""COMPUTED_VALUE"""),1767.6)</f>
        <v/>
      </c>
    </row>
    <row r="943">
      <c r="B943" s="6">
        <f>C943&amp;D943</f>
        <v/>
      </c>
      <c r="C943" s="6">
        <f>YEAR(E943)</f>
        <v/>
      </c>
      <c r="D943" s="6">
        <f>MONTH(E943)</f>
        <v/>
      </c>
      <c r="E943" s="267">
        <f>IFERROR(__xludf.DUMMYFUNCTION("""COMPUTED_VALUE"""),44466.6666666666)</f>
        <v/>
      </c>
      <c r="F943" s="6">
        <f>IFERROR(__xludf.DUMMYFUNCTION("""COMPUTED_VALUE"""),4443.11)</f>
        <v/>
      </c>
      <c r="J943" s="6">
        <f>K943&amp;L943</f>
        <v/>
      </c>
      <c r="K943" s="6">
        <f>YEAR(M943)</f>
        <v/>
      </c>
      <c r="L943" s="6">
        <f>MONTH(M943)</f>
        <v/>
      </c>
      <c r="M943" s="267">
        <f>IFERROR(__xludf.DUMMYFUNCTION("""COMPUTED_VALUE"""),44459.6666666666)</f>
        <v/>
      </c>
      <c r="N943" s="6">
        <f>IFERROR(__xludf.DUMMYFUNCTION("""COMPUTED_VALUE"""),14713.9)</f>
        <v/>
      </c>
      <c r="R943" s="6">
        <f>S943&amp;T943</f>
        <v/>
      </c>
      <c r="S943" s="6">
        <f>YEAR(U943)</f>
        <v/>
      </c>
      <c r="T943" s="6">
        <f>MONTH(U943)</f>
        <v/>
      </c>
      <c r="U943" s="267">
        <f>IFERROR(__xludf.DUMMYFUNCTION("""COMPUTED_VALUE"""),44503.6458333333)</f>
        <v/>
      </c>
      <c r="V943" s="6">
        <f>IFERROR(__xludf.DUMMYFUNCTION("""COMPUTED_VALUE"""),2975.71)</f>
        <v/>
      </c>
      <c r="Z943" s="6">
        <f>AA943&amp;AB943</f>
        <v/>
      </c>
      <c r="AA943" s="6">
        <f>YEAR(AC943)</f>
        <v/>
      </c>
      <c r="AB943" s="6">
        <f>MONTH(AC943)</f>
        <v/>
      </c>
      <c r="AC943" s="267">
        <f>IFERROR(__xludf.DUMMYFUNCTION("""COMPUTED_VALUE"""),44082.9986111111)</f>
        <v/>
      </c>
      <c r="AD943" s="6">
        <f>IFERROR(__xludf.DUMMYFUNCTION("""COMPUTED_VALUE"""),1189.24)</f>
        <v/>
      </c>
      <c r="AH943" s="6">
        <f>AI943&amp;AJ943</f>
        <v/>
      </c>
      <c r="AI943" s="6">
        <f>YEAR(AK943)</f>
        <v/>
      </c>
      <c r="AJ943" s="6">
        <f>MONTH(AK943)</f>
        <v/>
      </c>
      <c r="AK943" s="267">
        <f>IFERROR(__xludf.DUMMYFUNCTION("""COMPUTED_VALUE"""),44035.9986111111)</f>
        <v/>
      </c>
      <c r="AL943" s="6">
        <f>IFERROR(__xludf.DUMMYFUNCTION("""COMPUTED_VALUE"""),9614.052)</f>
        <v/>
      </c>
      <c r="AP943" s="6">
        <f>AQ943&amp;AR943</f>
        <v/>
      </c>
      <c r="AQ943" s="6">
        <f>YEAR(AS943)</f>
        <v/>
      </c>
      <c r="AR943" s="6">
        <f>MONTH(AS943)</f>
        <v/>
      </c>
      <c r="AS943" s="267">
        <f>IFERROR(__xludf.DUMMYFUNCTION("""COMPUTED_VALUE"""),44474.9986111111)</f>
        <v/>
      </c>
      <c r="AT943" s="6">
        <f>IFERROR(__xludf.DUMMYFUNCTION("""COMPUTED_VALUE"""),1760.9)</f>
        <v/>
      </c>
    </row>
    <row r="944">
      <c r="B944" s="6">
        <f>C944&amp;D944</f>
        <v/>
      </c>
      <c r="C944" s="6">
        <f>YEAR(E944)</f>
        <v/>
      </c>
      <c r="D944" s="6">
        <f>MONTH(E944)</f>
        <v/>
      </c>
      <c r="E944" s="267">
        <f>IFERROR(__xludf.DUMMYFUNCTION("""COMPUTED_VALUE"""),44467.6666666666)</f>
        <v/>
      </c>
      <c r="F944" s="6">
        <f>IFERROR(__xludf.DUMMYFUNCTION("""COMPUTED_VALUE"""),4352.63)</f>
        <v/>
      </c>
      <c r="J944" s="6">
        <f>K944&amp;L944</f>
        <v/>
      </c>
      <c r="K944" s="6">
        <f>YEAR(M944)</f>
        <v/>
      </c>
      <c r="L944" s="6">
        <f>MONTH(M944)</f>
        <v/>
      </c>
      <c r="M944" s="267">
        <f>IFERROR(__xludf.DUMMYFUNCTION("""COMPUTED_VALUE"""),44460.6666666666)</f>
        <v/>
      </c>
      <c r="N944" s="6">
        <f>IFERROR(__xludf.DUMMYFUNCTION("""COMPUTED_VALUE"""),14746.4)</f>
        <v/>
      </c>
      <c r="R944" s="6">
        <f>S944&amp;T944</f>
        <v/>
      </c>
      <c r="S944" s="6">
        <f>YEAR(U944)</f>
        <v/>
      </c>
      <c r="T944" s="6">
        <f>MONTH(U944)</f>
        <v/>
      </c>
      <c r="U944" s="267">
        <f>IFERROR(__xludf.DUMMYFUNCTION("""COMPUTED_VALUE"""),44504.6458333333)</f>
        <v/>
      </c>
      <c r="V944" s="6">
        <f>IFERROR(__xludf.DUMMYFUNCTION("""COMPUTED_VALUE"""),2983.22)</f>
        <v/>
      </c>
      <c r="Z944" s="6">
        <f>AA944&amp;AB944</f>
        <v/>
      </c>
      <c r="AA944" s="6">
        <f>YEAR(AC944)</f>
        <v/>
      </c>
      <c r="AB944" s="6">
        <f>MONTH(AC944)</f>
        <v/>
      </c>
      <c r="AC944" s="267">
        <f>IFERROR(__xludf.DUMMYFUNCTION("""COMPUTED_VALUE"""),44083.9986111111)</f>
        <v/>
      </c>
      <c r="AD944" s="6">
        <f>IFERROR(__xludf.DUMMYFUNCTION("""COMPUTED_VALUE"""),1184.38)</f>
        <v/>
      </c>
      <c r="AH944" s="6">
        <f>AI944&amp;AJ944</f>
        <v/>
      </c>
      <c r="AI944" s="6">
        <f>YEAR(AK944)</f>
        <v/>
      </c>
      <c r="AJ944" s="6">
        <f>MONTH(AK944)</f>
        <v/>
      </c>
      <c r="AK944" s="267">
        <f>IFERROR(__xludf.DUMMYFUNCTION("""COMPUTED_VALUE"""),44036.9986111111)</f>
        <v/>
      </c>
      <c r="AL944" s="6">
        <f>IFERROR(__xludf.DUMMYFUNCTION("""COMPUTED_VALUE"""),9551.432)</f>
        <v/>
      </c>
      <c r="AP944" s="6">
        <f>AQ944&amp;AR944</f>
        <v/>
      </c>
      <c r="AQ944" s="6">
        <f>YEAR(AS944)</f>
        <v/>
      </c>
      <c r="AR944" s="6">
        <f>MONTH(AS944)</f>
        <v/>
      </c>
      <c r="AS944" s="267">
        <f>IFERROR(__xludf.DUMMYFUNCTION("""COMPUTED_VALUE"""),44475.9986111111)</f>
        <v/>
      </c>
      <c r="AT944" s="6">
        <f>IFERROR(__xludf.DUMMYFUNCTION("""COMPUTED_VALUE"""),1761.8)</f>
        <v/>
      </c>
    </row>
    <row r="945">
      <c r="B945" s="6">
        <f>C945&amp;D945</f>
        <v/>
      </c>
      <c r="C945" s="6">
        <f>YEAR(E945)</f>
        <v/>
      </c>
      <c r="D945" s="6">
        <f>MONTH(E945)</f>
        <v/>
      </c>
      <c r="E945" s="267">
        <f>IFERROR(__xludf.DUMMYFUNCTION("""COMPUTED_VALUE"""),44468.6666666666)</f>
        <v/>
      </c>
      <c r="F945" s="6">
        <f>IFERROR(__xludf.DUMMYFUNCTION("""COMPUTED_VALUE"""),4359.46)</f>
        <v/>
      </c>
      <c r="J945" s="6">
        <f>K945&amp;L945</f>
        <v/>
      </c>
      <c r="K945" s="6">
        <f>YEAR(M945)</f>
        <v/>
      </c>
      <c r="L945" s="6">
        <f>MONTH(M945)</f>
        <v/>
      </c>
      <c r="M945" s="267">
        <f>IFERROR(__xludf.DUMMYFUNCTION("""COMPUTED_VALUE"""),44461.6666666666)</f>
        <v/>
      </c>
      <c r="N945" s="6">
        <f>IFERROR(__xludf.DUMMYFUNCTION("""COMPUTED_VALUE"""),14896.85)</f>
        <v/>
      </c>
      <c r="R945" s="6">
        <f>S945&amp;T945</f>
        <v/>
      </c>
      <c r="S945" s="6">
        <f>YEAR(U945)</f>
        <v/>
      </c>
      <c r="T945" s="6">
        <f>MONTH(U945)</f>
        <v/>
      </c>
      <c r="U945" s="267">
        <f>IFERROR(__xludf.DUMMYFUNCTION("""COMPUTED_VALUE"""),44505.6458333333)</f>
        <v/>
      </c>
      <c r="V945" s="6">
        <f>IFERROR(__xludf.DUMMYFUNCTION("""COMPUTED_VALUE"""),2969.27)</f>
        <v/>
      </c>
      <c r="Z945" s="6">
        <f>AA945&amp;AB945</f>
        <v/>
      </c>
      <c r="AA945" s="6">
        <f>YEAR(AC945)</f>
        <v/>
      </c>
      <c r="AB945" s="6">
        <f>MONTH(AC945)</f>
        <v/>
      </c>
      <c r="AC945" s="267">
        <f>IFERROR(__xludf.DUMMYFUNCTION("""COMPUTED_VALUE"""),44084.9986111111)</f>
        <v/>
      </c>
      <c r="AD945" s="6">
        <f>IFERROR(__xludf.DUMMYFUNCTION("""COMPUTED_VALUE"""),1187.23)</f>
        <v/>
      </c>
      <c r="AH945" s="6">
        <f>AI945&amp;AJ945</f>
        <v/>
      </c>
      <c r="AI945" s="6">
        <f>YEAR(AK945)</f>
        <v/>
      </c>
      <c r="AJ945" s="6">
        <f>MONTH(AK945)</f>
        <v/>
      </c>
      <c r="AK945" s="267">
        <f>IFERROR(__xludf.DUMMYFUNCTION("""COMPUTED_VALUE"""),44037.9986111111)</f>
        <v/>
      </c>
      <c r="AL945" s="6">
        <f>IFERROR(__xludf.DUMMYFUNCTION("""COMPUTED_VALUE"""),9710.919)</f>
        <v/>
      </c>
      <c r="AP945" s="6">
        <f>AQ945&amp;AR945</f>
        <v/>
      </c>
      <c r="AQ945" s="6">
        <f>YEAR(AS945)</f>
        <v/>
      </c>
      <c r="AR945" s="6">
        <f>MONTH(AS945)</f>
        <v/>
      </c>
      <c r="AS945" s="267">
        <f>IFERROR(__xludf.DUMMYFUNCTION("""COMPUTED_VALUE"""),44476.9986111111)</f>
        <v/>
      </c>
      <c r="AT945" s="6">
        <f>IFERROR(__xludf.DUMMYFUNCTION("""COMPUTED_VALUE"""),1759.2)</f>
        <v/>
      </c>
    </row>
    <row r="946">
      <c r="B946" s="6">
        <f>C946&amp;D946</f>
        <v/>
      </c>
      <c r="C946" s="6">
        <f>YEAR(E946)</f>
        <v/>
      </c>
      <c r="D946" s="6">
        <f>MONTH(E946)</f>
        <v/>
      </c>
      <c r="E946" s="267">
        <f>IFERROR(__xludf.DUMMYFUNCTION("""COMPUTED_VALUE"""),44469.6666666666)</f>
        <v/>
      </c>
      <c r="F946" s="6">
        <f>IFERROR(__xludf.DUMMYFUNCTION("""COMPUTED_VALUE"""),4307.54)</f>
        <v/>
      </c>
      <c r="J946" s="6">
        <f>K946&amp;L946</f>
        <v/>
      </c>
      <c r="K946" s="6">
        <f>YEAR(M946)</f>
        <v/>
      </c>
      <c r="L946" s="6">
        <f>MONTH(M946)</f>
        <v/>
      </c>
      <c r="M946" s="267">
        <f>IFERROR(__xludf.DUMMYFUNCTION("""COMPUTED_VALUE"""),44462.6666666666)</f>
        <v/>
      </c>
      <c r="N946" s="6">
        <f>IFERROR(__xludf.DUMMYFUNCTION("""COMPUTED_VALUE"""),15052.24)</f>
        <v/>
      </c>
      <c r="R946" s="6">
        <f>S946&amp;T946</f>
        <v/>
      </c>
      <c r="S946" s="6">
        <f>YEAR(U946)</f>
        <v/>
      </c>
      <c r="T946" s="6">
        <f>MONTH(U946)</f>
        <v/>
      </c>
      <c r="U946" s="267">
        <f>IFERROR(__xludf.DUMMYFUNCTION("""COMPUTED_VALUE"""),44508.6458333333)</f>
        <v/>
      </c>
      <c r="V946" s="6">
        <f>IFERROR(__xludf.DUMMYFUNCTION("""COMPUTED_VALUE"""),2960.2)</f>
        <v/>
      </c>
      <c r="Z946" s="6">
        <f>AA946&amp;AB946</f>
        <v/>
      </c>
      <c r="AA946" s="6">
        <f>YEAR(AC946)</f>
        <v/>
      </c>
      <c r="AB946" s="6">
        <f>MONTH(AC946)</f>
        <v/>
      </c>
      <c r="AC946" s="267">
        <f>IFERROR(__xludf.DUMMYFUNCTION("""COMPUTED_VALUE"""),44085.9986111111)</f>
        <v/>
      </c>
      <c r="AD946" s="6">
        <f>IFERROR(__xludf.DUMMYFUNCTION("""COMPUTED_VALUE"""),1187.9)</f>
        <v/>
      </c>
      <c r="AH946" s="6">
        <f>AI946&amp;AJ946</f>
        <v/>
      </c>
      <c r="AI946" s="6">
        <f>YEAR(AK946)</f>
        <v/>
      </c>
      <c r="AJ946" s="6">
        <f>MONTH(AK946)</f>
        <v/>
      </c>
      <c r="AK946" s="267">
        <f>IFERROR(__xludf.DUMMYFUNCTION("""COMPUTED_VALUE"""),44038.9986111111)</f>
        <v/>
      </c>
      <c r="AL946" s="6">
        <f>IFERROR(__xludf.DUMMYFUNCTION("""COMPUTED_VALUE"""),9941.474)</f>
        <v/>
      </c>
      <c r="AP946" s="6">
        <f>AQ946&amp;AR946</f>
        <v/>
      </c>
      <c r="AQ946" s="6">
        <f>YEAR(AS946)</f>
        <v/>
      </c>
      <c r="AR946" s="6">
        <f>MONTH(AS946)</f>
        <v/>
      </c>
      <c r="AS946" s="267">
        <f>IFERROR(__xludf.DUMMYFUNCTION("""COMPUTED_VALUE"""),44477.9986111111)</f>
        <v/>
      </c>
      <c r="AT946" s="6">
        <f>IFERROR(__xludf.DUMMYFUNCTION("""COMPUTED_VALUE"""),1757.4)</f>
        <v/>
      </c>
    </row>
    <row r="947">
      <c r="B947" s="6">
        <f>C947&amp;D947</f>
        <v/>
      </c>
      <c r="C947" s="6">
        <f>YEAR(E947)</f>
        <v/>
      </c>
      <c r="D947" s="6">
        <f>MONTH(E947)</f>
        <v/>
      </c>
      <c r="E947" s="267">
        <f>IFERROR(__xludf.DUMMYFUNCTION("""COMPUTED_VALUE"""),44470.6666666666)</f>
        <v/>
      </c>
      <c r="F947" s="6">
        <f>IFERROR(__xludf.DUMMYFUNCTION("""COMPUTED_VALUE"""),4357.04)</f>
        <v/>
      </c>
      <c r="J947" s="6">
        <f>K947&amp;L947</f>
        <v/>
      </c>
      <c r="K947" s="6">
        <f>YEAR(M947)</f>
        <v/>
      </c>
      <c r="L947" s="6">
        <f>MONTH(M947)</f>
        <v/>
      </c>
      <c r="M947" s="267">
        <f>IFERROR(__xludf.DUMMYFUNCTION("""COMPUTED_VALUE"""),44463.6666666666)</f>
        <v/>
      </c>
      <c r="N947" s="6">
        <f>IFERROR(__xludf.DUMMYFUNCTION("""COMPUTED_VALUE"""),15047.7)</f>
        <v/>
      </c>
      <c r="R947" s="6">
        <f>S947&amp;T947</f>
        <v/>
      </c>
      <c r="S947" s="6">
        <f>YEAR(U947)</f>
        <v/>
      </c>
      <c r="T947" s="6">
        <f>MONTH(U947)</f>
        <v/>
      </c>
      <c r="U947" s="267">
        <f>IFERROR(__xludf.DUMMYFUNCTION("""COMPUTED_VALUE"""),44509.6458333333)</f>
        <v/>
      </c>
      <c r="V947" s="6">
        <f>IFERROR(__xludf.DUMMYFUNCTION("""COMPUTED_VALUE"""),2962.46)</f>
        <v/>
      </c>
      <c r="Z947" s="6">
        <f>AA947&amp;AB947</f>
        <v/>
      </c>
      <c r="AA947" s="6">
        <f>YEAR(AC947)</f>
        <v/>
      </c>
      <c r="AB947" s="6">
        <f>MONTH(AC947)</f>
        <v/>
      </c>
      <c r="AC947" s="267">
        <f>IFERROR(__xludf.DUMMYFUNCTION("""COMPUTED_VALUE"""),44086.9986111111)</f>
        <v/>
      </c>
      <c r="AD947" s="6">
        <f>IFERROR(__xludf.DUMMYFUNCTION("""COMPUTED_VALUE"""),1187.9)</f>
        <v/>
      </c>
      <c r="AH947" s="6">
        <f>AI947&amp;AJ947</f>
        <v/>
      </c>
      <c r="AI947" s="6">
        <f>YEAR(AK947)</f>
        <v/>
      </c>
      <c r="AJ947" s="6">
        <f>MONTH(AK947)</f>
        <v/>
      </c>
      <c r="AK947" s="267">
        <f>IFERROR(__xludf.DUMMYFUNCTION("""COMPUTED_VALUE"""),44039.9986111111)</f>
        <v/>
      </c>
      <c r="AL947" s="6">
        <f>IFERROR(__xludf.DUMMYFUNCTION("""COMPUTED_VALUE"""),11038.19)</f>
        <v/>
      </c>
      <c r="AP947" s="6">
        <f>AQ947&amp;AR947</f>
        <v/>
      </c>
      <c r="AQ947" s="6">
        <f>YEAR(AS947)</f>
        <v/>
      </c>
      <c r="AR947" s="6">
        <f>MONTH(AS947)</f>
        <v/>
      </c>
      <c r="AS947" s="267">
        <f>IFERROR(__xludf.DUMMYFUNCTION("""COMPUTED_VALUE"""),44480.9986111111)</f>
        <v/>
      </c>
      <c r="AT947" s="6">
        <f>IFERROR(__xludf.DUMMYFUNCTION("""COMPUTED_VALUE"""),1755.7)</f>
        <v/>
      </c>
    </row>
    <row r="948">
      <c r="B948" s="6">
        <f>C948&amp;D948</f>
        <v/>
      </c>
      <c r="C948" s="6">
        <f>YEAR(E948)</f>
        <v/>
      </c>
      <c r="D948" s="6">
        <f>MONTH(E948)</f>
        <v/>
      </c>
      <c r="E948" s="267">
        <f>IFERROR(__xludf.DUMMYFUNCTION("""COMPUTED_VALUE"""),44473.6666666666)</f>
        <v/>
      </c>
      <c r="F948" s="6">
        <f>IFERROR(__xludf.DUMMYFUNCTION("""COMPUTED_VALUE"""),4300.46)</f>
        <v/>
      </c>
      <c r="J948" s="6">
        <f>K948&amp;L948</f>
        <v/>
      </c>
      <c r="K948" s="6">
        <f>YEAR(M948)</f>
        <v/>
      </c>
      <c r="L948" s="6">
        <f>MONTH(M948)</f>
        <v/>
      </c>
      <c r="M948" s="267">
        <f>IFERROR(__xludf.DUMMYFUNCTION("""COMPUTED_VALUE"""),44466.6666666666)</f>
        <v/>
      </c>
      <c r="N948" s="6">
        <f>IFERROR(__xludf.DUMMYFUNCTION("""COMPUTED_VALUE"""),14969.97)</f>
        <v/>
      </c>
      <c r="R948" s="6">
        <f>S948&amp;T948</f>
        <v/>
      </c>
      <c r="S948" s="6">
        <f>YEAR(U948)</f>
        <v/>
      </c>
      <c r="T948" s="6">
        <f>MONTH(U948)</f>
        <v/>
      </c>
      <c r="U948" s="267">
        <f>IFERROR(__xludf.DUMMYFUNCTION("""COMPUTED_VALUE"""),44510.6458333333)</f>
        <v/>
      </c>
      <c r="V948" s="6">
        <f>IFERROR(__xludf.DUMMYFUNCTION("""COMPUTED_VALUE"""),2930.17)</f>
        <v/>
      </c>
      <c r="Z948" s="6">
        <f>AA948&amp;AB948</f>
        <v/>
      </c>
      <c r="AA948" s="6">
        <f>YEAR(AC948)</f>
        <v/>
      </c>
      <c r="AB948" s="6">
        <f>MONTH(AC948)</f>
        <v/>
      </c>
      <c r="AC948" s="267">
        <f>IFERROR(__xludf.DUMMYFUNCTION("""COMPUTED_VALUE"""),44087.9986111111)</f>
        <v/>
      </c>
      <c r="AD948" s="6">
        <f>IFERROR(__xludf.DUMMYFUNCTION("""COMPUTED_VALUE"""),1186.97)</f>
        <v/>
      </c>
      <c r="AH948" s="6">
        <f>AI948&amp;AJ948</f>
        <v/>
      </c>
      <c r="AI948" s="6">
        <f>YEAR(AK948)</f>
        <v/>
      </c>
      <c r="AJ948" s="6">
        <f>MONTH(AK948)</f>
        <v/>
      </c>
      <c r="AK948" s="267">
        <f>IFERROR(__xludf.DUMMYFUNCTION("""COMPUTED_VALUE"""),44040.9986111111)</f>
        <v/>
      </c>
      <c r="AL948" s="6">
        <f>IFERROR(__xludf.DUMMYFUNCTION("""COMPUTED_VALUE"""),10932.79)</f>
        <v/>
      </c>
      <c r="AP948" s="6">
        <f>AQ948&amp;AR948</f>
        <v/>
      </c>
      <c r="AQ948" s="6">
        <f>YEAR(AS948)</f>
        <v/>
      </c>
      <c r="AR948" s="6">
        <f>MONTH(AS948)</f>
        <v/>
      </c>
      <c r="AS948" s="267">
        <f>IFERROR(__xludf.DUMMYFUNCTION("""COMPUTED_VALUE"""),44481.9986111111)</f>
        <v/>
      </c>
      <c r="AT948" s="6">
        <f>IFERROR(__xludf.DUMMYFUNCTION("""COMPUTED_VALUE"""),1759.3)</f>
        <v/>
      </c>
    </row>
    <row r="949">
      <c r="B949" s="6">
        <f>C949&amp;D949</f>
        <v/>
      </c>
      <c r="C949" s="6">
        <f>YEAR(E949)</f>
        <v/>
      </c>
      <c r="D949" s="6">
        <f>MONTH(E949)</f>
        <v/>
      </c>
      <c r="E949" s="267">
        <f>IFERROR(__xludf.DUMMYFUNCTION("""COMPUTED_VALUE"""),44474.6666666666)</f>
        <v/>
      </c>
      <c r="F949" s="6">
        <f>IFERROR(__xludf.DUMMYFUNCTION("""COMPUTED_VALUE"""),4345.72)</f>
        <v/>
      </c>
      <c r="J949" s="6">
        <f>K949&amp;L949</f>
        <v/>
      </c>
      <c r="K949" s="6">
        <f>YEAR(M949)</f>
        <v/>
      </c>
      <c r="L949" s="6">
        <f>MONTH(M949)</f>
        <v/>
      </c>
      <c r="M949" s="267">
        <f>IFERROR(__xludf.DUMMYFUNCTION("""COMPUTED_VALUE"""),44467.6666666666)</f>
        <v/>
      </c>
      <c r="N949" s="6">
        <f>IFERROR(__xludf.DUMMYFUNCTION("""COMPUTED_VALUE"""),14546.68)</f>
        <v/>
      </c>
      <c r="R949" s="6">
        <f>S949&amp;T949</f>
        <v/>
      </c>
      <c r="S949" s="6">
        <f>YEAR(U949)</f>
        <v/>
      </c>
      <c r="T949" s="6">
        <f>MONTH(U949)</f>
        <v/>
      </c>
      <c r="U949" s="267">
        <f>IFERROR(__xludf.DUMMYFUNCTION("""COMPUTED_VALUE"""),44511.6458333333)</f>
        <v/>
      </c>
      <c r="V949" s="6">
        <f>IFERROR(__xludf.DUMMYFUNCTION("""COMPUTED_VALUE"""),2924.92)</f>
        <v/>
      </c>
      <c r="Z949" s="6">
        <f>AA949&amp;AB949</f>
        <v/>
      </c>
      <c r="AA949" s="6">
        <f>YEAR(AC949)</f>
        <v/>
      </c>
      <c r="AB949" s="6">
        <f>MONTH(AC949)</f>
        <v/>
      </c>
      <c r="AC949" s="267">
        <f>IFERROR(__xludf.DUMMYFUNCTION("""COMPUTED_VALUE"""),44088.9986111111)</f>
        <v/>
      </c>
      <c r="AD949" s="6">
        <f>IFERROR(__xludf.DUMMYFUNCTION("""COMPUTED_VALUE"""),1180.84)</f>
        <v/>
      </c>
      <c r="AH949" s="6">
        <f>AI949&amp;AJ949</f>
        <v/>
      </c>
      <c r="AI949" s="6">
        <f>YEAR(AK949)</f>
        <v/>
      </c>
      <c r="AJ949" s="6">
        <f>MONTH(AK949)</f>
        <v/>
      </c>
      <c r="AK949" s="267">
        <f>IFERROR(__xludf.DUMMYFUNCTION("""COMPUTED_VALUE"""),44041.9986111111)</f>
        <v/>
      </c>
      <c r="AL949" s="6">
        <f>IFERROR(__xludf.DUMMYFUNCTION("""COMPUTED_VALUE"""),11110.78)</f>
        <v/>
      </c>
      <c r="AP949" s="6">
        <f>AQ949&amp;AR949</f>
        <v/>
      </c>
      <c r="AQ949" s="6">
        <f>YEAR(AS949)</f>
        <v/>
      </c>
      <c r="AR949" s="6">
        <f>MONTH(AS949)</f>
        <v/>
      </c>
      <c r="AS949" s="267">
        <f>IFERROR(__xludf.DUMMYFUNCTION("""COMPUTED_VALUE"""),44482.9986111111)</f>
        <v/>
      </c>
      <c r="AT949" s="6">
        <f>IFERROR(__xludf.DUMMYFUNCTION("""COMPUTED_VALUE"""),1794.7)</f>
        <v/>
      </c>
    </row>
    <row r="950">
      <c r="B950" s="6">
        <f>C950&amp;D950</f>
        <v/>
      </c>
      <c r="C950" s="6">
        <f>YEAR(E950)</f>
        <v/>
      </c>
      <c r="D950" s="6">
        <f>MONTH(E950)</f>
        <v/>
      </c>
      <c r="E950" s="267">
        <f>IFERROR(__xludf.DUMMYFUNCTION("""COMPUTED_VALUE"""),44475.6666666666)</f>
        <v/>
      </c>
      <c r="F950" s="6">
        <f>IFERROR(__xludf.DUMMYFUNCTION("""COMPUTED_VALUE"""),4363.55)</f>
        <v/>
      </c>
      <c r="J950" s="6">
        <f>K950&amp;L950</f>
        <v/>
      </c>
      <c r="K950" s="6">
        <f>YEAR(M950)</f>
        <v/>
      </c>
      <c r="L950" s="6">
        <f>MONTH(M950)</f>
        <v/>
      </c>
      <c r="M950" s="267">
        <f>IFERROR(__xludf.DUMMYFUNCTION("""COMPUTED_VALUE"""),44468.6666666666)</f>
        <v/>
      </c>
      <c r="N950" s="6">
        <f>IFERROR(__xludf.DUMMYFUNCTION("""COMPUTED_VALUE"""),14512.44)</f>
        <v/>
      </c>
      <c r="R950" s="6">
        <f>S950&amp;T950</f>
        <v/>
      </c>
      <c r="S950" s="6">
        <f>YEAR(U950)</f>
        <v/>
      </c>
      <c r="T950" s="6">
        <f>MONTH(U950)</f>
        <v/>
      </c>
      <c r="U950" s="267">
        <f>IFERROR(__xludf.DUMMYFUNCTION("""COMPUTED_VALUE"""),44512.6458333333)</f>
        <v/>
      </c>
      <c r="V950" s="6">
        <f>IFERROR(__xludf.DUMMYFUNCTION("""COMPUTED_VALUE"""),2968.8)</f>
        <v/>
      </c>
      <c r="Z950" s="6">
        <f>AA950&amp;AB950</f>
        <v/>
      </c>
      <c r="AA950" s="6">
        <f>YEAR(AC950)</f>
        <v/>
      </c>
      <c r="AB950" s="6">
        <f>MONTH(AC950)</f>
        <v/>
      </c>
      <c r="AC950" s="267">
        <f>IFERROR(__xludf.DUMMYFUNCTION("""COMPUTED_VALUE"""),44089.9986111111)</f>
        <v/>
      </c>
      <c r="AD950" s="6">
        <f>IFERROR(__xludf.DUMMYFUNCTION("""COMPUTED_VALUE"""),1179.25)</f>
        <v/>
      </c>
      <c r="AH950" s="6">
        <f>AI950&amp;AJ950</f>
        <v/>
      </c>
      <c r="AI950" s="6">
        <f>YEAR(AK950)</f>
        <v/>
      </c>
      <c r="AJ950" s="6">
        <f>MONTH(AK950)</f>
        <v/>
      </c>
      <c r="AK950" s="267">
        <f>IFERROR(__xludf.DUMMYFUNCTION("""COMPUTED_VALUE"""),44042.9986111111)</f>
        <v/>
      </c>
      <c r="AL950" s="6">
        <f>IFERROR(__xludf.DUMMYFUNCTION("""COMPUTED_VALUE"""),11113.47)</f>
        <v/>
      </c>
      <c r="AP950" s="6">
        <f>AQ950&amp;AR950</f>
        <v/>
      </c>
      <c r="AQ950" s="6">
        <f>YEAR(AS950)</f>
        <v/>
      </c>
      <c r="AR950" s="6">
        <f>MONTH(AS950)</f>
        <v/>
      </c>
      <c r="AS950" s="267">
        <f>IFERROR(__xludf.DUMMYFUNCTION("""COMPUTED_VALUE"""),44483.9986111111)</f>
        <v/>
      </c>
      <c r="AT950" s="6">
        <f>IFERROR(__xludf.DUMMYFUNCTION("""COMPUTED_VALUE"""),1797.9)</f>
        <v/>
      </c>
    </row>
    <row r="951">
      <c r="B951" s="6">
        <f>C951&amp;D951</f>
        <v/>
      </c>
      <c r="C951" s="6">
        <f>YEAR(E951)</f>
        <v/>
      </c>
      <c r="D951" s="6">
        <f>MONTH(E951)</f>
        <v/>
      </c>
      <c r="E951" s="267">
        <f>IFERROR(__xludf.DUMMYFUNCTION("""COMPUTED_VALUE"""),44476.6666666666)</f>
        <v/>
      </c>
      <c r="F951" s="6">
        <f>IFERROR(__xludf.DUMMYFUNCTION("""COMPUTED_VALUE"""),4399.76)</f>
        <v/>
      </c>
      <c r="J951" s="6">
        <f>K951&amp;L951</f>
        <v/>
      </c>
      <c r="K951" s="6">
        <f>YEAR(M951)</f>
        <v/>
      </c>
      <c r="L951" s="6">
        <f>MONTH(M951)</f>
        <v/>
      </c>
      <c r="M951" s="267">
        <f>IFERROR(__xludf.DUMMYFUNCTION("""COMPUTED_VALUE"""),44469.6666666666)</f>
        <v/>
      </c>
      <c r="N951" s="6">
        <f>IFERROR(__xludf.DUMMYFUNCTION("""COMPUTED_VALUE"""),14448.58)</f>
        <v/>
      </c>
      <c r="R951" s="6">
        <f>S951&amp;T951</f>
        <v/>
      </c>
      <c r="S951" s="6">
        <f>YEAR(U951)</f>
        <v/>
      </c>
      <c r="T951" s="6">
        <f>MONTH(U951)</f>
        <v/>
      </c>
      <c r="U951" s="267">
        <f>IFERROR(__xludf.DUMMYFUNCTION("""COMPUTED_VALUE"""),44515.6458333333)</f>
        <v/>
      </c>
      <c r="V951" s="6">
        <f>IFERROR(__xludf.DUMMYFUNCTION("""COMPUTED_VALUE"""),2999.52)</f>
        <v/>
      </c>
      <c r="Z951" s="6">
        <f>AA951&amp;AB951</f>
        <v/>
      </c>
      <c r="AA951" s="6">
        <f>YEAR(AC951)</f>
        <v/>
      </c>
      <c r="AB951" s="6">
        <f>MONTH(AC951)</f>
        <v/>
      </c>
      <c r="AC951" s="267">
        <f>IFERROR(__xludf.DUMMYFUNCTION("""COMPUTED_VALUE"""),44090.9986111111)</f>
        <v/>
      </c>
      <c r="AD951" s="6">
        <f>IFERROR(__xludf.DUMMYFUNCTION("""COMPUTED_VALUE"""),1172.07)</f>
        <v/>
      </c>
      <c r="AH951" s="6">
        <f>AI951&amp;AJ951</f>
        <v/>
      </c>
      <c r="AI951" s="6">
        <f>YEAR(AK951)</f>
        <v/>
      </c>
      <c r="AJ951" s="6">
        <f>MONTH(AK951)</f>
        <v/>
      </c>
      <c r="AK951" s="267">
        <f>IFERROR(__xludf.DUMMYFUNCTION("""COMPUTED_VALUE"""),44043.9986111111)</f>
        <v/>
      </c>
      <c r="AL951" s="6">
        <f>IFERROR(__xludf.DUMMYFUNCTION("""COMPUTED_VALUE"""),11350.44)</f>
        <v/>
      </c>
      <c r="AP951" s="6">
        <f>AQ951&amp;AR951</f>
        <v/>
      </c>
      <c r="AQ951" s="6">
        <f>YEAR(AS951)</f>
        <v/>
      </c>
      <c r="AR951" s="6">
        <f>MONTH(AS951)</f>
        <v/>
      </c>
      <c r="AS951" s="267">
        <f>IFERROR(__xludf.DUMMYFUNCTION("""COMPUTED_VALUE"""),44484.9986111111)</f>
        <v/>
      </c>
      <c r="AT951" s="6">
        <f>IFERROR(__xludf.DUMMYFUNCTION("""COMPUTED_VALUE"""),1768.3)</f>
        <v/>
      </c>
    </row>
    <row r="952">
      <c r="B952" s="6">
        <f>C952&amp;D952</f>
        <v/>
      </c>
      <c r="C952" s="6">
        <f>YEAR(E952)</f>
        <v/>
      </c>
      <c r="D952" s="6">
        <f>MONTH(E952)</f>
        <v/>
      </c>
      <c r="E952" s="267">
        <f>IFERROR(__xludf.DUMMYFUNCTION("""COMPUTED_VALUE"""),44477.6666666666)</f>
        <v/>
      </c>
      <c r="F952" s="6">
        <f>IFERROR(__xludf.DUMMYFUNCTION("""COMPUTED_VALUE"""),4391.34)</f>
        <v/>
      </c>
      <c r="J952" s="6">
        <f>K952&amp;L952</f>
        <v/>
      </c>
      <c r="K952" s="6">
        <f>YEAR(M952)</f>
        <v/>
      </c>
      <c r="L952" s="6">
        <f>MONTH(M952)</f>
        <v/>
      </c>
      <c r="M952" s="267">
        <f>IFERROR(__xludf.DUMMYFUNCTION("""COMPUTED_VALUE"""),44470.6666666666)</f>
        <v/>
      </c>
      <c r="N952" s="6">
        <f>IFERROR(__xludf.DUMMYFUNCTION("""COMPUTED_VALUE"""),14566.7)</f>
        <v/>
      </c>
      <c r="R952" s="6">
        <f>S952&amp;T952</f>
        <v/>
      </c>
      <c r="S952" s="6">
        <f>YEAR(U952)</f>
        <v/>
      </c>
      <c r="T952" s="6">
        <f>MONTH(U952)</f>
        <v/>
      </c>
      <c r="U952" s="267">
        <f>IFERROR(__xludf.DUMMYFUNCTION("""COMPUTED_VALUE"""),44516.6458333333)</f>
        <v/>
      </c>
      <c r="V952" s="6">
        <f>IFERROR(__xludf.DUMMYFUNCTION("""COMPUTED_VALUE"""),2997.21)</f>
        <v/>
      </c>
      <c r="Z952" s="6">
        <f>AA952&amp;AB952</f>
        <v/>
      </c>
      <c r="AA952" s="6">
        <f>YEAR(AC952)</f>
        <v/>
      </c>
      <c r="AB952" s="6">
        <f>MONTH(AC952)</f>
        <v/>
      </c>
      <c r="AC952" s="267">
        <f>IFERROR(__xludf.DUMMYFUNCTION("""COMPUTED_VALUE"""),44091.9986111111)</f>
        <v/>
      </c>
      <c r="AD952" s="6">
        <f>IFERROR(__xludf.DUMMYFUNCTION("""COMPUTED_VALUE"""),1168.65)</f>
        <v/>
      </c>
      <c r="AH952" s="6">
        <f>AI952&amp;AJ952</f>
        <v/>
      </c>
      <c r="AI952" s="6">
        <f>YEAR(AK952)</f>
        <v/>
      </c>
      <c r="AJ952" s="6">
        <f>MONTH(AK952)</f>
        <v/>
      </c>
      <c r="AK952" s="267">
        <f>IFERROR(__xludf.DUMMYFUNCTION("""COMPUTED_VALUE"""),44044.9986111111)</f>
        <v/>
      </c>
      <c r="AL952" s="6">
        <f>IFERROR(__xludf.DUMMYFUNCTION("""COMPUTED_VALUE"""),11811)</f>
        <v/>
      </c>
      <c r="AP952" s="6">
        <f>AQ952&amp;AR952</f>
        <v/>
      </c>
      <c r="AQ952" s="6">
        <f>YEAR(AS952)</f>
        <v/>
      </c>
      <c r="AR952" s="6">
        <f>MONTH(AS952)</f>
        <v/>
      </c>
      <c r="AS952" s="267">
        <f>IFERROR(__xludf.DUMMYFUNCTION("""COMPUTED_VALUE"""),44487.9986111111)</f>
        <v/>
      </c>
      <c r="AT952" s="6">
        <f>IFERROR(__xludf.DUMMYFUNCTION("""COMPUTED_VALUE"""),1765.7)</f>
        <v/>
      </c>
    </row>
    <row r="953">
      <c r="B953" s="6">
        <f>C953&amp;D953</f>
        <v/>
      </c>
      <c r="C953" s="6">
        <f>YEAR(E953)</f>
        <v/>
      </c>
      <c r="D953" s="6">
        <f>MONTH(E953)</f>
        <v/>
      </c>
      <c r="E953" s="267">
        <f>IFERROR(__xludf.DUMMYFUNCTION("""COMPUTED_VALUE"""),44480.6666666666)</f>
        <v/>
      </c>
      <c r="F953" s="6">
        <f>IFERROR(__xludf.DUMMYFUNCTION("""COMPUTED_VALUE"""),4361.19)</f>
        <v/>
      </c>
      <c r="J953" s="6">
        <f>K953&amp;L953</f>
        <v/>
      </c>
      <c r="K953" s="6">
        <f>YEAR(M953)</f>
        <v/>
      </c>
      <c r="L953" s="6">
        <f>MONTH(M953)</f>
        <v/>
      </c>
      <c r="M953" s="267">
        <f>IFERROR(__xludf.DUMMYFUNCTION("""COMPUTED_VALUE"""),44473.6666666666)</f>
        <v/>
      </c>
      <c r="N953" s="6">
        <f>IFERROR(__xludf.DUMMYFUNCTION("""COMPUTED_VALUE"""),14255.49)</f>
        <v/>
      </c>
      <c r="R953" s="6">
        <f>S953&amp;T953</f>
        <v/>
      </c>
      <c r="S953" s="6">
        <f>YEAR(U953)</f>
        <v/>
      </c>
      <c r="T953" s="6">
        <f>MONTH(U953)</f>
        <v/>
      </c>
      <c r="U953" s="267">
        <f>IFERROR(__xludf.DUMMYFUNCTION("""COMPUTED_VALUE"""),44517.6458333333)</f>
        <v/>
      </c>
      <c r="V953" s="6">
        <f>IFERROR(__xludf.DUMMYFUNCTION("""COMPUTED_VALUE"""),2962.42)</f>
        <v/>
      </c>
      <c r="Z953" s="6">
        <f>AA953&amp;AB953</f>
        <v/>
      </c>
      <c r="AA953" s="6">
        <f>YEAR(AC953)</f>
        <v/>
      </c>
      <c r="AB953" s="6">
        <f>MONTH(AC953)</f>
        <v/>
      </c>
      <c r="AC953" s="267">
        <f>IFERROR(__xludf.DUMMYFUNCTION("""COMPUTED_VALUE"""),44092.9986111111)</f>
        <v/>
      </c>
      <c r="AD953" s="6">
        <f>IFERROR(__xludf.DUMMYFUNCTION("""COMPUTED_VALUE"""),1164)</f>
        <v/>
      </c>
      <c r="AH953" s="6">
        <f>AI953&amp;AJ953</f>
        <v/>
      </c>
      <c r="AI953" s="6">
        <f>YEAR(AK953)</f>
        <v/>
      </c>
      <c r="AJ953" s="6">
        <f>MONTH(AK953)</f>
        <v/>
      </c>
      <c r="AK953" s="267">
        <f>IFERROR(__xludf.DUMMYFUNCTION("""COMPUTED_VALUE"""),44045.9986111111)</f>
        <v/>
      </c>
      <c r="AL953" s="6">
        <f>IFERROR(__xludf.DUMMYFUNCTION("""COMPUTED_VALUE"""),11060.74)</f>
        <v/>
      </c>
      <c r="AP953" s="6">
        <f>AQ953&amp;AR953</f>
        <v/>
      </c>
      <c r="AQ953" s="6">
        <f>YEAR(AS953)</f>
        <v/>
      </c>
      <c r="AR953" s="6">
        <f>MONTH(AS953)</f>
        <v/>
      </c>
      <c r="AS953" s="267">
        <f>IFERROR(__xludf.DUMMYFUNCTION("""COMPUTED_VALUE"""),44488.9986111111)</f>
        <v/>
      </c>
      <c r="AT953" s="6">
        <f>IFERROR(__xludf.DUMMYFUNCTION("""COMPUTED_VALUE"""),1770.5)</f>
        <v/>
      </c>
    </row>
    <row r="954">
      <c r="B954" s="6">
        <f>C954&amp;D954</f>
        <v/>
      </c>
      <c r="C954" s="6">
        <f>YEAR(E954)</f>
        <v/>
      </c>
      <c r="D954" s="6">
        <f>MONTH(E954)</f>
        <v/>
      </c>
      <c r="E954" s="267">
        <f>IFERROR(__xludf.DUMMYFUNCTION("""COMPUTED_VALUE"""),44481.6666666666)</f>
        <v/>
      </c>
      <c r="F954" s="6">
        <f>IFERROR(__xludf.DUMMYFUNCTION("""COMPUTED_VALUE"""),4350.65)</f>
        <v/>
      </c>
      <c r="J954" s="6">
        <f>K954&amp;L954</f>
        <v/>
      </c>
      <c r="K954" s="6">
        <f>YEAR(M954)</f>
        <v/>
      </c>
      <c r="L954" s="6">
        <f>MONTH(M954)</f>
        <v/>
      </c>
      <c r="M954" s="267">
        <f>IFERROR(__xludf.DUMMYFUNCTION("""COMPUTED_VALUE"""),44474.6666666666)</f>
        <v/>
      </c>
      <c r="N954" s="6">
        <f>IFERROR(__xludf.DUMMYFUNCTION("""COMPUTED_VALUE"""),14433.83)</f>
        <v/>
      </c>
      <c r="R954" s="6">
        <f>S954&amp;T954</f>
        <v/>
      </c>
      <c r="S954" s="6">
        <f>YEAR(U954)</f>
        <v/>
      </c>
      <c r="T954" s="6">
        <f>MONTH(U954)</f>
        <v/>
      </c>
      <c r="U954" s="267">
        <f>IFERROR(__xludf.DUMMYFUNCTION("""COMPUTED_VALUE"""),44518.6458333333)</f>
        <v/>
      </c>
      <c r="V954" s="6">
        <f>IFERROR(__xludf.DUMMYFUNCTION("""COMPUTED_VALUE"""),2947.38)</f>
        <v/>
      </c>
      <c r="Z954" s="6">
        <f>AA954&amp;AB954</f>
        <v/>
      </c>
      <c r="AA954" s="6">
        <f>YEAR(AC954)</f>
        <v/>
      </c>
      <c r="AB954" s="6">
        <f>MONTH(AC954)</f>
        <v/>
      </c>
      <c r="AC954" s="267">
        <f>IFERROR(__xludf.DUMMYFUNCTION("""COMPUTED_VALUE"""),44093.9986111111)</f>
        <v/>
      </c>
      <c r="AD954" s="6">
        <f>IFERROR(__xludf.DUMMYFUNCTION("""COMPUTED_VALUE"""),1164)</f>
        <v/>
      </c>
      <c r="AH954" s="6">
        <f>AI954&amp;AJ954</f>
        <v/>
      </c>
      <c r="AI954" s="6">
        <f>YEAR(AK954)</f>
        <v/>
      </c>
      <c r="AJ954" s="6">
        <f>MONTH(AK954)</f>
        <v/>
      </c>
      <c r="AK954" s="267">
        <f>IFERROR(__xludf.DUMMYFUNCTION("""COMPUTED_VALUE"""),44046.9986111111)</f>
        <v/>
      </c>
      <c r="AL954" s="6">
        <f>IFERROR(__xludf.DUMMYFUNCTION("""COMPUTED_VALUE"""),11229.23)</f>
        <v/>
      </c>
      <c r="AP954" s="6">
        <f>AQ954&amp;AR954</f>
        <v/>
      </c>
      <c r="AQ954" s="6">
        <f>YEAR(AS954)</f>
        <v/>
      </c>
      <c r="AR954" s="6">
        <f>MONTH(AS954)</f>
        <v/>
      </c>
      <c r="AS954" s="267">
        <f>IFERROR(__xludf.DUMMYFUNCTION("""COMPUTED_VALUE"""),44489.9986111111)</f>
        <v/>
      </c>
      <c r="AT954" s="6">
        <f>IFERROR(__xludf.DUMMYFUNCTION("""COMPUTED_VALUE"""),1784.9)</f>
        <v/>
      </c>
    </row>
    <row r="955">
      <c r="B955" s="6">
        <f>C955&amp;D955</f>
        <v/>
      </c>
      <c r="C955" s="6">
        <f>YEAR(E955)</f>
        <v/>
      </c>
      <c r="D955" s="6">
        <f>MONTH(E955)</f>
        <v/>
      </c>
      <c r="E955" s="267">
        <f>IFERROR(__xludf.DUMMYFUNCTION("""COMPUTED_VALUE"""),44482.6666666666)</f>
        <v/>
      </c>
      <c r="F955" s="6">
        <f>IFERROR(__xludf.DUMMYFUNCTION("""COMPUTED_VALUE"""),4363.8)</f>
        <v/>
      </c>
      <c r="J955" s="6">
        <f>K955&amp;L955</f>
        <v/>
      </c>
      <c r="K955" s="6">
        <f>YEAR(M955)</f>
        <v/>
      </c>
      <c r="L955" s="6">
        <f>MONTH(M955)</f>
        <v/>
      </c>
      <c r="M955" s="267">
        <f>IFERROR(__xludf.DUMMYFUNCTION("""COMPUTED_VALUE"""),44475.6666666666)</f>
        <v/>
      </c>
      <c r="N955" s="6">
        <f>IFERROR(__xludf.DUMMYFUNCTION("""COMPUTED_VALUE"""),14501.91)</f>
        <v/>
      </c>
      <c r="R955" s="6">
        <f>S955&amp;T955</f>
        <v/>
      </c>
      <c r="S955" s="6">
        <f>YEAR(U955)</f>
        <v/>
      </c>
      <c r="T955" s="6">
        <f>MONTH(U955)</f>
        <v/>
      </c>
      <c r="U955" s="267">
        <f>IFERROR(__xludf.DUMMYFUNCTION("""COMPUTED_VALUE"""),44519.6458333333)</f>
        <v/>
      </c>
      <c r="V955" s="6">
        <f>IFERROR(__xludf.DUMMYFUNCTION("""COMPUTED_VALUE"""),2971.02)</f>
        <v/>
      </c>
      <c r="Z955" s="6">
        <f>AA955&amp;AB955</f>
        <v/>
      </c>
      <c r="AA955" s="6">
        <f>YEAR(AC955)</f>
        <v/>
      </c>
      <c r="AB955" s="6">
        <f>MONTH(AC955)</f>
        <v/>
      </c>
      <c r="AC955" s="267">
        <f>IFERROR(__xludf.DUMMYFUNCTION("""COMPUTED_VALUE"""),44094.9986111111)</f>
        <v/>
      </c>
      <c r="AD955" s="6">
        <f>IFERROR(__xludf.DUMMYFUNCTION("""COMPUTED_VALUE"""),1163.99)</f>
        <v/>
      </c>
      <c r="AH955" s="6">
        <f>AI955&amp;AJ955</f>
        <v/>
      </c>
      <c r="AI955" s="6">
        <f>YEAR(AK955)</f>
        <v/>
      </c>
      <c r="AJ955" s="6">
        <f>MONTH(AK955)</f>
        <v/>
      </c>
      <c r="AK955" s="267">
        <f>IFERROR(__xludf.DUMMYFUNCTION("""COMPUTED_VALUE"""),44047.9986111111)</f>
        <v/>
      </c>
      <c r="AL955" s="6">
        <f>IFERROR(__xludf.DUMMYFUNCTION("""COMPUTED_VALUE"""),11193.52)</f>
        <v/>
      </c>
      <c r="AP955" s="6">
        <f>AQ955&amp;AR955</f>
        <v/>
      </c>
      <c r="AQ955" s="6">
        <f>YEAR(AS955)</f>
        <v/>
      </c>
      <c r="AR955" s="6">
        <f>MONTH(AS955)</f>
        <v/>
      </c>
      <c r="AS955" s="267">
        <f>IFERROR(__xludf.DUMMYFUNCTION("""COMPUTED_VALUE"""),44490.9986111111)</f>
        <v/>
      </c>
      <c r="AT955" s="6">
        <f>IFERROR(__xludf.DUMMYFUNCTION("""COMPUTED_VALUE"""),1781.9)</f>
        <v/>
      </c>
    </row>
    <row r="956">
      <c r="B956" s="6">
        <f>C956&amp;D956</f>
        <v/>
      </c>
      <c r="C956" s="6">
        <f>YEAR(E956)</f>
        <v/>
      </c>
      <c r="D956" s="6">
        <f>MONTH(E956)</f>
        <v/>
      </c>
      <c r="E956" s="267">
        <f>IFERROR(__xludf.DUMMYFUNCTION("""COMPUTED_VALUE"""),44483.6666666666)</f>
        <v/>
      </c>
      <c r="F956" s="6">
        <f>IFERROR(__xludf.DUMMYFUNCTION("""COMPUTED_VALUE"""),4438.26)</f>
        <v/>
      </c>
      <c r="J956" s="6">
        <f>K956&amp;L956</f>
        <v/>
      </c>
      <c r="K956" s="6">
        <f>YEAR(M956)</f>
        <v/>
      </c>
      <c r="L956" s="6">
        <f>MONTH(M956)</f>
        <v/>
      </c>
      <c r="M956" s="267">
        <f>IFERROR(__xludf.DUMMYFUNCTION("""COMPUTED_VALUE"""),44476.6666666666)</f>
        <v/>
      </c>
      <c r="N956" s="6">
        <f>IFERROR(__xludf.DUMMYFUNCTION("""COMPUTED_VALUE"""),14654.02)</f>
        <v/>
      </c>
      <c r="R956" s="6">
        <f>S956&amp;T956</f>
        <v/>
      </c>
      <c r="S956" s="6">
        <f>YEAR(U956)</f>
        <v/>
      </c>
      <c r="T956" s="6">
        <f>MONTH(U956)</f>
        <v/>
      </c>
      <c r="U956" s="267">
        <f>IFERROR(__xludf.DUMMYFUNCTION("""COMPUTED_VALUE"""),44522.6458333333)</f>
        <v/>
      </c>
      <c r="V956" s="6">
        <f>IFERROR(__xludf.DUMMYFUNCTION("""COMPUTED_VALUE"""),3013.25)</f>
        <v/>
      </c>
      <c r="Z956" s="6">
        <f>AA956&amp;AB956</f>
        <v/>
      </c>
      <c r="AA956" s="6">
        <f>YEAR(AC956)</f>
        <v/>
      </c>
      <c r="AB956" s="6">
        <f>MONTH(AC956)</f>
        <v/>
      </c>
      <c r="AC956" s="267">
        <f>IFERROR(__xludf.DUMMYFUNCTION("""COMPUTED_VALUE"""),44095.9986111111)</f>
        <v/>
      </c>
      <c r="AD956" s="6">
        <f>IFERROR(__xludf.DUMMYFUNCTION("""COMPUTED_VALUE"""),1163.85)</f>
        <v/>
      </c>
      <c r="AH956" s="6">
        <f>AI956&amp;AJ956</f>
        <v/>
      </c>
      <c r="AI956" s="6">
        <f>YEAR(AK956)</f>
        <v/>
      </c>
      <c r="AJ956" s="6">
        <f>MONTH(AK956)</f>
        <v/>
      </c>
      <c r="AK956" s="267">
        <f>IFERROR(__xludf.DUMMYFUNCTION("""COMPUTED_VALUE"""),44048.9986111111)</f>
        <v/>
      </c>
      <c r="AL956" s="6">
        <f>IFERROR(__xludf.DUMMYFUNCTION("""COMPUTED_VALUE"""),11750.11)</f>
        <v/>
      </c>
      <c r="AP956" s="6">
        <f>AQ956&amp;AR956</f>
        <v/>
      </c>
      <c r="AQ956" s="6">
        <f>YEAR(AS956)</f>
        <v/>
      </c>
      <c r="AR956" s="6">
        <f>MONTH(AS956)</f>
        <v/>
      </c>
      <c r="AS956" s="267">
        <f>IFERROR(__xludf.DUMMYFUNCTION("""COMPUTED_VALUE"""),44491.9986111111)</f>
        <v/>
      </c>
      <c r="AT956" s="6">
        <f>IFERROR(__xludf.DUMMYFUNCTION("""COMPUTED_VALUE"""),1796.3)</f>
        <v/>
      </c>
    </row>
    <row r="957">
      <c r="B957" s="6">
        <f>C957&amp;D957</f>
        <v/>
      </c>
      <c r="C957" s="6">
        <f>YEAR(E957)</f>
        <v/>
      </c>
      <c r="D957" s="6">
        <f>MONTH(E957)</f>
        <v/>
      </c>
      <c r="E957" s="267">
        <f>IFERROR(__xludf.DUMMYFUNCTION("""COMPUTED_VALUE"""),44484.6666666666)</f>
        <v/>
      </c>
      <c r="F957" s="6">
        <f>IFERROR(__xludf.DUMMYFUNCTION("""COMPUTED_VALUE"""),4471.37)</f>
        <v/>
      </c>
      <c r="J957" s="6">
        <f>K957&amp;L957</f>
        <v/>
      </c>
      <c r="K957" s="6">
        <f>YEAR(M957)</f>
        <v/>
      </c>
      <c r="L957" s="6">
        <f>MONTH(M957)</f>
        <v/>
      </c>
      <c r="M957" s="267">
        <f>IFERROR(__xludf.DUMMYFUNCTION("""COMPUTED_VALUE"""),44477.6666666666)</f>
        <v/>
      </c>
      <c r="N957" s="6">
        <f>IFERROR(__xludf.DUMMYFUNCTION("""COMPUTED_VALUE"""),14579.54)</f>
        <v/>
      </c>
      <c r="R957" s="6">
        <f>S957&amp;T957</f>
        <v/>
      </c>
      <c r="S957" s="6">
        <f>YEAR(U957)</f>
        <v/>
      </c>
      <c r="T957" s="6">
        <f>MONTH(U957)</f>
        <v/>
      </c>
      <c r="U957" s="267">
        <f>IFERROR(__xludf.DUMMYFUNCTION("""COMPUTED_VALUE"""),44523.6458333333)</f>
        <v/>
      </c>
      <c r="V957" s="6">
        <f>IFERROR(__xludf.DUMMYFUNCTION("""COMPUTED_VALUE"""),2997.33)</f>
        <v/>
      </c>
      <c r="Z957" s="6">
        <f>AA957&amp;AB957</f>
        <v/>
      </c>
      <c r="AA957" s="6">
        <f>YEAR(AC957)</f>
        <v/>
      </c>
      <c r="AB957" s="6">
        <f>MONTH(AC957)</f>
        <v/>
      </c>
      <c r="AC957" s="267">
        <f>IFERROR(__xludf.DUMMYFUNCTION("""COMPUTED_VALUE"""),44096.9986111111)</f>
        <v/>
      </c>
      <c r="AD957" s="6">
        <f>IFERROR(__xludf.DUMMYFUNCTION("""COMPUTED_VALUE"""),1162.5)</f>
        <v/>
      </c>
      <c r="AH957" s="6">
        <f>AI957&amp;AJ957</f>
        <v/>
      </c>
      <c r="AI957" s="6">
        <f>YEAR(AK957)</f>
        <v/>
      </c>
      <c r="AJ957" s="6">
        <f>MONTH(AK957)</f>
        <v/>
      </c>
      <c r="AK957" s="267">
        <f>IFERROR(__xludf.DUMMYFUNCTION("""COMPUTED_VALUE"""),44049.9986111111)</f>
        <v/>
      </c>
      <c r="AL957" s="6">
        <f>IFERROR(__xludf.DUMMYFUNCTION("""COMPUTED_VALUE"""),11771.01)</f>
        <v/>
      </c>
      <c r="AP957" s="6">
        <f>AQ957&amp;AR957</f>
        <v/>
      </c>
      <c r="AQ957" s="6">
        <f>YEAR(AS957)</f>
        <v/>
      </c>
      <c r="AR957" s="6">
        <f>MONTH(AS957)</f>
        <v/>
      </c>
      <c r="AS957" s="267">
        <f>IFERROR(__xludf.DUMMYFUNCTION("""COMPUTED_VALUE"""),44494.9986111111)</f>
        <v/>
      </c>
      <c r="AT957" s="6">
        <f>IFERROR(__xludf.DUMMYFUNCTION("""COMPUTED_VALUE"""),1806.8)</f>
        <v/>
      </c>
    </row>
    <row r="958">
      <c r="B958" s="6">
        <f>C958&amp;D958</f>
        <v/>
      </c>
      <c r="C958" s="6">
        <f>YEAR(E958)</f>
        <v/>
      </c>
      <c r="D958" s="6">
        <f>MONTH(E958)</f>
        <v/>
      </c>
      <c r="E958" s="267">
        <f>IFERROR(__xludf.DUMMYFUNCTION("""COMPUTED_VALUE"""),44487.6666666666)</f>
        <v/>
      </c>
      <c r="F958" s="6">
        <f>IFERROR(__xludf.DUMMYFUNCTION("""COMPUTED_VALUE"""),4486.46)</f>
        <v/>
      </c>
      <c r="J958" s="6">
        <f>K958&amp;L958</f>
        <v/>
      </c>
      <c r="K958" s="6">
        <f>YEAR(M958)</f>
        <v/>
      </c>
      <c r="L958" s="6">
        <f>MONTH(M958)</f>
        <v/>
      </c>
      <c r="M958" s="267">
        <f>IFERROR(__xludf.DUMMYFUNCTION("""COMPUTED_VALUE"""),44480.6666666666)</f>
        <v/>
      </c>
      <c r="N958" s="6">
        <f>IFERROR(__xludf.DUMMYFUNCTION("""COMPUTED_VALUE"""),14486.2)</f>
        <v/>
      </c>
      <c r="R958" s="6">
        <f>S958&amp;T958</f>
        <v/>
      </c>
      <c r="S958" s="6">
        <f>YEAR(U958)</f>
        <v/>
      </c>
      <c r="T958" s="6">
        <f>MONTH(U958)</f>
        <v/>
      </c>
      <c r="U958" s="267">
        <f>IFERROR(__xludf.DUMMYFUNCTION("""COMPUTED_VALUE"""),44524.6458333333)</f>
        <v/>
      </c>
      <c r="V958" s="6">
        <f>IFERROR(__xludf.DUMMYFUNCTION("""COMPUTED_VALUE"""),2994.29)</f>
        <v/>
      </c>
      <c r="Z958" s="6">
        <f>AA958&amp;AB958</f>
        <v/>
      </c>
      <c r="AA958" s="6">
        <f>YEAR(AC958)</f>
        <v/>
      </c>
      <c r="AB958" s="6">
        <f>MONTH(AC958)</f>
        <v/>
      </c>
      <c r="AC958" s="267">
        <f>IFERROR(__xludf.DUMMYFUNCTION("""COMPUTED_VALUE"""),44097.9986111111)</f>
        <v/>
      </c>
      <c r="AD958" s="6">
        <f>IFERROR(__xludf.DUMMYFUNCTION("""COMPUTED_VALUE"""),1169.73)</f>
        <v/>
      </c>
      <c r="AH958" s="6">
        <f>AI958&amp;AJ958</f>
        <v/>
      </c>
      <c r="AI958" s="6">
        <f>YEAR(AK958)</f>
        <v/>
      </c>
      <c r="AJ958" s="6">
        <f>MONTH(AK958)</f>
        <v/>
      </c>
      <c r="AK958" s="267">
        <f>IFERROR(__xludf.DUMMYFUNCTION("""COMPUTED_VALUE"""),44050.9986111111)</f>
        <v/>
      </c>
      <c r="AL958" s="6">
        <f>IFERROR(__xludf.DUMMYFUNCTION("""COMPUTED_VALUE"""),11603.77)</f>
        <v/>
      </c>
      <c r="AP958" s="6">
        <f>AQ958&amp;AR958</f>
        <v/>
      </c>
      <c r="AQ958" s="6">
        <f>YEAR(AS958)</f>
        <v/>
      </c>
      <c r="AR958" s="6">
        <f>MONTH(AS958)</f>
        <v/>
      </c>
      <c r="AS958" s="267">
        <f>IFERROR(__xludf.DUMMYFUNCTION("""COMPUTED_VALUE"""),44495.9986111111)</f>
        <v/>
      </c>
      <c r="AT958" s="6">
        <f>IFERROR(__xludf.DUMMYFUNCTION("""COMPUTED_VALUE"""),1793.4)</f>
        <v/>
      </c>
    </row>
    <row r="959">
      <c r="B959" s="6">
        <f>C959&amp;D959</f>
        <v/>
      </c>
      <c r="C959" s="6">
        <f>YEAR(E959)</f>
        <v/>
      </c>
      <c r="D959" s="6">
        <f>MONTH(E959)</f>
        <v/>
      </c>
      <c r="E959" s="267">
        <f>IFERROR(__xludf.DUMMYFUNCTION("""COMPUTED_VALUE"""),44488.6666666666)</f>
        <v/>
      </c>
      <c r="F959" s="6">
        <f>IFERROR(__xludf.DUMMYFUNCTION("""COMPUTED_VALUE"""),4519.63)</f>
        <v/>
      </c>
      <c r="J959" s="6">
        <f>K959&amp;L959</f>
        <v/>
      </c>
      <c r="K959" s="6">
        <f>YEAR(M959)</f>
        <v/>
      </c>
      <c r="L959" s="6">
        <f>MONTH(M959)</f>
        <v/>
      </c>
      <c r="M959" s="267">
        <f>IFERROR(__xludf.DUMMYFUNCTION("""COMPUTED_VALUE"""),44481.6666666666)</f>
        <v/>
      </c>
      <c r="N959" s="6">
        <f>IFERROR(__xludf.DUMMYFUNCTION("""COMPUTED_VALUE"""),14465.93)</f>
        <v/>
      </c>
      <c r="R959" s="6">
        <f>S959&amp;T959</f>
        <v/>
      </c>
      <c r="S959" s="6">
        <f>YEAR(U959)</f>
        <v/>
      </c>
      <c r="T959" s="6">
        <f>MONTH(U959)</f>
        <v/>
      </c>
      <c r="U959" s="267">
        <f>IFERROR(__xludf.DUMMYFUNCTION("""COMPUTED_VALUE"""),44525.6458333333)</f>
        <v/>
      </c>
      <c r="V959" s="6">
        <f>IFERROR(__xludf.DUMMYFUNCTION("""COMPUTED_VALUE"""),2980.27)</f>
        <v/>
      </c>
      <c r="Z959" s="6">
        <f>AA959&amp;AB959</f>
        <v/>
      </c>
      <c r="AA959" s="6">
        <f>YEAR(AC959)</f>
        <v/>
      </c>
      <c r="AB959" s="6">
        <f>MONTH(AC959)</f>
        <v/>
      </c>
      <c r="AC959" s="267">
        <f>IFERROR(__xludf.DUMMYFUNCTION("""COMPUTED_VALUE"""),44098.9986111111)</f>
        <v/>
      </c>
      <c r="AD959" s="6">
        <f>IFERROR(__xludf.DUMMYFUNCTION("""COMPUTED_VALUE"""),1168.5)</f>
        <v/>
      </c>
      <c r="AH959" s="6">
        <f>AI959&amp;AJ959</f>
        <v/>
      </c>
      <c r="AI959" s="6">
        <f>YEAR(AK959)</f>
        <v/>
      </c>
      <c r="AJ959" s="6">
        <f>MONTH(AK959)</f>
        <v/>
      </c>
      <c r="AK959" s="267">
        <f>IFERROR(__xludf.DUMMYFUNCTION("""COMPUTED_VALUE"""),44051.9986111111)</f>
        <v/>
      </c>
      <c r="AL959" s="6">
        <f>IFERROR(__xludf.DUMMYFUNCTION("""COMPUTED_VALUE"""),11771.91)</f>
        <v/>
      </c>
      <c r="AP959" s="6">
        <f>AQ959&amp;AR959</f>
        <v/>
      </c>
      <c r="AQ959" s="6">
        <f>YEAR(AS959)</f>
        <v/>
      </c>
      <c r="AR959" s="6">
        <f>MONTH(AS959)</f>
        <v/>
      </c>
      <c r="AS959" s="267">
        <f>IFERROR(__xludf.DUMMYFUNCTION("""COMPUTED_VALUE"""),44496.9986111111)</f>
        <v/>
      </c>
      <c r="AT959" s="6">
        <f>IFERROR(__xludf.DUMMYFUNCTION("""COMPUTED_VALUE"""),1798.8)</f>
        <v/>
      </c>
    </row>
    <row r="960">
      <c r="B960" s="6">
        <f>C960&amp;D960</f>
        <v/>
      </c>
      <c r="C960" s="6">
        <f>YEAR(E960)</f>
        <v/>
      </c>
      <c r="D960" s="6">
        <f>MONTH(E960)</f>
        <v/>
      </c>
      <c r="E960" s="267">
        <f>IFERROR(__xludf.DUMMYFUNCTION("""COMPUTED_VALUE"""),44489.6666666666)</f>
        <v/>
      </c>
      <c r="F960" s="6">
        <f>IFERROR(__xludf.DUMMYFUNCTION("""COMPUTED_VALUE"""),4536.19)</f>
        <v/>
      </c>
      <c r="J960" s="6">
        <f>K960&amp;L960</f>
        <v/>
      </c>
      <c r="K960" s="6">
        <f>YEAR(M960)</f>
        <v/>
      </c>
      <c r="L960" s="6">
        <f>MONTH(M960)</f>
        <v/>
      </c>
      <c r="M960" s="267">
        <f>IFERROR(__xludf.DUMMYFUNCTION("""COMPUTED_VALUE"""),44482.6666666666)</f>
        <v/>
      </c>
      <c r="N960" s="6">
        <f>IFERROR(__xludf.DUMMYFUNCTION("""COMPUTED_VALUE"""),14571.64)</f>
        <v/>
      </c>
      <c r="R960" s="6">
        <f>S960&amp;T960</f>
        <v/>
      </c>
      <c r="S960" s="6">
        <f>YEAR(U960)</f>
        <v/>
      </c>
      <c r="T960" s="6">
        <f>MONTH(U960)</f>
        <v/>
      </c>
      <c r="U960" s="267">
        <f>IFERROR(__xludf.DUMMYFUNCTION("""COMPUTED_VALUE"""),44526.6458333333)</f>
        <v/>
      </c>
      <c r="V960" s="6">
        <f>IFERROR(__xludf.DUMMYFUNCTION("""COMPUTED_VALUE"""),2936.44)</f>
        <v/>
      </c>
      <c r="Z960" s="6">
        <f>AA960&amp;AB960</f>
        <v/>
      </c>
      <c r="AA960" s="6">
        <f>YEAR(AC960)</f>
        <v/>
      </c>
      <c r="AB960" s="6">
        <f>MONTH(AC960)</f>
        <v/>
      </c>
      <c r="AC960" s="267">
        <f>IFERROR(__xludf.DUMMYFUNCTION("""COMPUTED_VALUE"""),44099.9986111111)</f>
        <v/>
      </c>
      <c r="AD960" s="6">
        <f>IFERROR(__xludf.DUMMYFUNCTION("""COMPUTED_VALUE"""),1174.23)</f>
        <v/>
      </c>
      <c r="AH960" s="6">
        <f>AI960&amp;AJ960</f>
        <v/>
      </c>
      <c r="AI960" s="6">
        <f>YEAR(AK960)</f>
        <v/>
      </c>
      <c r="AJ960" s="6">
        <f>MONTH(AK960)</f>
        <v/>
      </c>
      <c r="AK960" s="267">
        <f>IFERROR(__xludf.DUMMYFUNCTION("""COMPUTED_VALUE"""),44052.9986111111)</f>
        <v/>
      </c>
      <c r="AL960" s="6">
        <f>IFERROR(__xludf.DUMMYFUNCTION("""COMPUTED_VALUE"""),11685.37)</f>
        <v/>
      </c>
      <c r="AP960" s="6">
        <f>AQ960&amp;AR960</f>
        <v/>
      </c>
      <c r="AQ960" s="6">
        <f>YEAR(AS960)</f>
        <v/>
      </c>
      <c r="AR960" s="6">
        <f>MONTH(AS960)</f>
        <v/>
      </c>
      <c r="AS960" s="267">
        <f>IFERROR(__xludf.DUMMYFUNCTION("""COMPUTED_VALUE"""),44497.9986111111)</f>
        <v/>
      </c>
      <c r="AT960" s="6">
        <f>IFERROR(__xludf.DUMMYFUNCTION("""COMPUTED_VALUE"""),1802.6)</f>
        <v/>
      </c>
    </row>
    <row r="961">
      <c r="B961" s="6">
        <f>C961&amp;D961</f>
        <v/>
      </c>
      <c r="C961" s="6">
        <f>YEAR(E961)</f>
        <v/>
      </c>
      <c r="D961" s="6">
        <f>MONTH(E961)</f>
        <v/>
      </c>
      <c r="E961" s="267">
        <f>IFERROR(__xludf.DUMMYFUNCTION("""COMPUTED_VALUE"""),44490.6666666666)</f>
        <v/>
      </c>
      <c r="F961" s="6">
        <f>IFERROR(__xludf.DUMMYFUNCTION("""COMPUTED_VALUE"""),4549.78)</f>
        <v/>
      </c>
      <c r="J961" s="6">
        <f>K961&amp;L961</f>
        <v/>
      </c>
      <c r="K961" s="6">
        <f>YEAR(M961)</f>
        <v/>
      </c>
      <c r="L961" s="6">
        <f>MONTH(M961)</f>
        <v/>
      </c>
      <c r="M961" s="267">
        <f>IFERROR(__xludf.DUMMYFUNCTION("""COMPUTED_VALUE"""),44483.6666666666)</f>
        <v/>
      </c>
      <c r="N961" s="6">
        <f>IFERROR(__xludf.DUMMYFUNCTION("""COMPUTED_VALUE"""),14823.43)</f>
        <v/>
      </c>
      <c r="R961" s="6">
        <f>S961&amp;T961</f>
        <v/>
      </c>
      <c r="S961" s="6">
        <f>YEAR(U961)</f>
        <v/>
      </c>
      <c r="T961" s="6">
        <f>MONTH(U961)</f>
        <v/>
      </c>
      <c r="U961" s="267">
        <f>IFERROR(__xludf.DUMMYFUNCTION("""COMPUTED_VALUE"""),44529.6458333333)</f>
        <v/>
      </c>
      <c r="V961" s="6">
        <f>IFERROR(__xludf.DUMMYFUNCTION("""COMPUTED_VALUE"""),2909.32)</f>
        <v/>
      </c>
      <c r="Z961" s="6">
        <f>AA961&amp;AB961</f>
        <v/>
      </c>
      <c r="AA961" s="6">
        <f>YEAR(AC961)</f>
        <v/>
      </c>
      <c r="AB961" s="6">
        <f>MONTH(AC961)</f>
        <v/>
      </c>
      <c r="AC961" s="267">
        <f>IFERROR(__xludf.DUMMYFUNCTION("""COMPUTED_VALUE"""),44100.9986111111)</f>
        <v/>
      </c>
      <c r="AD961" s="6">
        <f>IFERROR(__xludf.DUMMYFUNCTION("""COMPUTED_VALUE"""),1174.23)</f>
        <v/>
      </c>
      <c r="AH961" s="6">
        <f>AI961&amp;AJ961</f>
        <v/>
      </c>
      <c r="AI961" s="6">
        <f>YEAR(AK961)</f>
        <v/>
      </c>
      <c r="AJ961" s="6">
        <f>MONTH(AK961)</f>
        <v/>
      </c>
      <c r="AK961" s="267">
        <f>IFERROR(__xludf.DUMMYFUNCTION("""COMPUTED_VALUE"""),44053.9986111111)</f>
        <v/>
      </c>
      <c r="AL961" s="6">
        <f>IFERROR(__xludf.DUMMYFUNCTION("""COMPUTED_VALUE"""),11892.32)</f>
        <v/>
      </c>
      <c r="AP961" s="6">
        <f>AQ961&amp;AR961</f>
        <v/>
      </c>
      <c r="AQ961" s="6">
        <f>YEAR(AS961)</f>
        <v/>
      </c>
      <c r="AR961" s="6">
        <f>MONTH(AS961)</f>
        <v/>
      </c>
      <c r="AS961" s="267">
        <f>IFERROR(__xludf.DUMMYFUNCTION("""COMPUTED_VALUE"""),44498.9986111111)</f>
        <v/>
      </c>
      <c r="AT961" s="6">
        <f>IFERROR(__xludf.DUMMYFUNCTION("""COMPUTED_VALUE"""),1785)</f>
        <v/>
      </c>
    </row>
    <row r="962">
      <c r="B962" s="6">
        <f>C962&amp;D962</f>
        <v/>
      </c>
      <c r="C962" s="6">
        <f>YEAR(E962)</f>
        <v/>
      </c>
      <c r="D962" s="6">
        <f>MONTH(E962)</f>
        <v/>
      </c>
      <c r="E962" s="267">
        <f>IFERROR(__xludf.DUMMYFUNCTION("""COMPUTED_VALUE"""),44491.6666666666)</f>
        <v/>
      </c>
      <c r="F962" s="6">
        <f>IFERROR(__xludf.DUMMYFUNCTION("""COMPUTED_VALUE"""),4544.9)</f>
        <v/>
      </c>
      <c r="J962" s="6">
        <f>K962&amp;L962</f>
        <v/>
      </c>
      <c r="K962" s="6">
        <f>YEAR(M962)</f>
        <v/>
      </c>
      <c r="L962" s="6">
        <f>MONTH(M962)</f>
        <v/>
      </c>
      <c r="M962" s="267">
        <f>IFERROR(__xludf.DUMMYFUNCTION("""COMPUTED_VALUE"""),44484.6666666666)</f>
        <v/>
      </c>
      <c r="N962" s="6">
        <f>IFERROR(__xludf.DUMMYFUNCTION("""COMPUTED_VALUE"""),14897.34)</f>
        <v/>
      </c>
      <c r="R962" s="6">
        <f>S962&amp;T962</f>
        <v/>
      </c>
      <c r="S962" s="6">
        <f>YEAR(U962)</f>
        <v/>
      </c>
      <c r="T962" s="6">
        <f>MONTH(U962)</f>
        <v/>
      </c>
      <c r="U962" s="267">
        <f>IFERROR(__xludf.DUMMYFUNCTION("""COMPUTED_VALUE"""),44530.6458333333)</f>
        <v/>
      </c>
      <c r="V962" s="6">
        <f>IFERROR(__xludf.DUMMYFUNCTION("""COMPUTED_VALUE"""),2839.01)</f>
        <v/>
      </c>
      <c r="Z962" s="6">
        <f>AA962&amp;AB962</f>
        <v/>
      </c>
      <c r="AA962" s="6">
        <f>YEAR(AC962)</f>
        <v/>
      </c>
      <c r="AB962" s="6">
        <f>MONTH(AC962)</f>
        <v/>
      </c>
      <c r="AC962" s="267">
        <f>IFERROR(__xludf.DUMMYFUNCTION("""COMPUTED_VALUE"""),44101.9986111111)</f>
        <v/>
      </c>
      <c r="AD962" s="6">
        <f>IFERROR(__xludf.DUMMYFUNCTION("""COMPUTED_VALUE"""),1173.44)</f>
        <v/>
      </c>
      <c r="AH962" s="6">
        <f>AI962&amp;AJ962</f>
        <v/>
      </c>
      <c r="AI962" s="6">
        <f>YEAR(AK962)</f>
        <v/>
      </c>
      <c r="AJ962" s="6">
        <f>MONTH(AK962)</f>
        <v/>
      </c>
      <c r="AK962" s="267">
        <f>IFERROR(__xludf.DUMMYFUNCTION("""COMPUTED_VALUE"""),44054.9986111111)</f>
        <v/>
      </c>
      <c r="AL962" s="6">
        <f>IFERROR(__xludf.DUMMYFUNCTION("""COMPUTED_VALUE"""),11386.83)</f>
        <v/>
      </c>
      <c r="AP962" s="6">
        <f>AQ962&amp;AR962</f>
        <v/>
      </c>
      <c r="AQ962" s="6">
        <f>YEAR(AS962)</f>
        <v/>
      </c>
      <c r="AR962" s="6">
        <f>MONTH(AS962)</f>
        <v/>
      </c>
      <c r="AS962" s="267">
        <f>IFERROR(__xludf.DUMMYFUNCTION("""COMPUTED_VALUE"""),44501.9986111111)</f>
        <v/>
      </c>
      <c r="AT962" s="6">
        <f>IFERROR(__xludf.DUMMYFUNCTION("""COMPUTED_VALUE"""),1795.8)</f>
        <v/>
      </c>
    </row>
    <row r="963">
      <c r="B963" s="6">
        <f>C963&amp;D963</f>
        <v/>
      </c>
      <c r="C963" s="6">
        <f>YEAR(E963)</f>
        <v/>
      </c>
      <c r="D963" s="6">
        <f>MONTH(E963)</f>
        <v/>
      </c>
      <c r="E963" s="267">
        <f>IFERROR(__xludf.DUMMYFUNCTION("""COMPUTED_VALUE"""),44494.6666666666)</f>
        <v/>
      </c>
      <c r="F963" s="6">
        <f>IFERROR(__xludf.DUMMYFUNCTION("""COMPUTED_VALUE"""),4566.48)</f>
        <v/>
      </c>
      <c r="J963" s="6">
        <f>K963&amp;L963</f>
        <v/>
      </c>
      <c r="K963" s="6">
        <f>YEAR(M963)</f>
        <v/>
      </c>
      <c r="L963" s="6">
        <f>MONTH(M963)</f>
        <v/>
      </c>
      <c r="M963" s="267">
        <f>IFERROR(__xludf.DUMMYFUNCTION("""COMPUTED_VALUE"""),44487.6666666666)</f>
        <v/>
      </c>
      <c r="N963" s="6">
        <f>IFERROR(__xludf.DUMMYFUNCTION("""COMPUTED_VALUE"""),15021.81)</f>
        <v/>
      </c>
      <c r="R963" s="6">
        <f>S963&amp;T963</f>
        <v/>
      </c>
      <c r="S963" s="6">
        <f>YEAR(U963)</f>
        <v/>
      </c>
      <c r="T963" s="6">
        <f>MONTH(U963)</f>
        <v/>
      </c>
      <c r="U963" s="267">
        <f>IFERROR(__xludf.DUMMYFUNCTION("""COMPUTED_VALUE"""),44531.6458333333)</f>
        <v/>
      </c>
      <c r="V963" s="6">
        <f>IFERROR(__xludf.DUMMYFUNCTION("""COMPUTED_VALUE"""),2899.72)</f>
        <v/>
      </c>
      <c r="Z963" s="6">
        <f>AA963&amp;AB963</f>
        <v/>
      </c>
      <c r="AA963" s="6">
        <f>YEAR(AC963)</f>
        <v/>
      </c>
      <c r="AB963" s="6">
        <f>MONTH(AC963)</f>
        <v/>
      </c>
      <c r="AC963" s="267">
        <f>IFERROR(__xludf.DUMMYFUNCTION("""COMPUTED_VALUE"""),44102.9986111111)</f>
        <v/>
      </c>
      <c r="AD963" s="6">
        <f>IFERROR(__xludf.DUMMYFUNCTION("""COMPUTED_VALUE"""),1166.41)</f>
        <v/>
      </c>
      <c r="AH963" s="6">
        <f>AI963&amp;AJ963</f>
        <v/>
      </c>
      <c r="AI963" s="6">
        <f>YEAR(AK963)</f>
        <v/>
      </c>
      <c r="AJ963" s="6">
        <f>MONTH(AK963)</f>
        <v/>
      </c>
      <c r="AK963" s="267">
        <f>IFERROR(__xludf.DUMMYFUNCTION("""COMPUTED_VALUE"""),44055.9986111111)</f>
        <v/>
      </c>
      <c r="AL963" s="6">
        <f>IFERROR(__xludf.DUMMYFUNCTION("""COMPUTED_VALUE"""),11570.86)</f>
        <v/>
      </c>
      <c r="AP963" s="6">
        <f>AQ963&amp;AR963</f>
        <v/>
      </c>
      <c r="AQ963" s="6">
        <f>YEAR(AS963)</f>
        <v/>
      </c>
      <c r="AR963" s="6">
        <f>MONTH(AS963)</f>
        <v/>
      </c>
      <c r="AS963" s="267">
        <f>IFERROR(__xludf.DUMMYFUNCTION("""COMPUTED_VALUE"""),44502.9986111111)</f>
        <v/>
      </c>
      <c r="AT963" s="6">
        <f>IFERROR(__xludf.DUMMYFUNCTION("""COMPUTED_VALUE"""),1789.4)</f>
        <v/>
      </c>
    </row>
    <row r="964">
      <c r="B964" s="6">
        <f>C964&amp;D964</f>
        <v/>
      </c>
      <c r="C964" s="6">
        <f>YEAR(E964)</f>
        <v/>
      </c>
      <c r="D964" s="6">
        <f>MONTH(E964)</f>
        <v/>
      </c>
      <c r="E964" s="267">
        <f>IFERROR(__xludf.DUMMYFUNCTION("""COMPUTED_VALUE"""),44495.6666666666)</f>
        <v/>
      </c>
      <c r="F964" s="6">
        <f>IFERROR(__xludf.DUMMYFUNCTION("""COMPUTED_VALUE"""),4574.79)</f>
        <v/>
      </c>
      <c r="J964" s="6">
        <f>K964&amp;L964</f>
        <v/>
      </c>
      <c r="K964" s="6">
        <f>YEAR(M964)</f>
        <v/>
      </c>
      <c r="L964" s="6">
        <f>MONTH(M964)</f>
        <v/>
      </c>
      <c r="M964" s="267">
        <f>IFERROR(__xludf.DUMMYFUNCTION("""COMPUTED_VALUE"""),44488.6666666666)</f>
        <v/>
      </c>
      <c r="N964" s="6">
        <f>IFERROR(__xludf.DUMMYFUNCTION("""COMPUTED_VALUE"""),15129.09)</f>
        <v/>
      </c>
      <c r="R964" s="6">
        <f>S964&amp;T964</f>
        <v/>
      </c>
      <c r="S964" s="6">
        <f>YEAR(U964)</f>
        <v/>
      </c>
      <c r="T964" s="6">
        <f>MONTH(U964)</f>
        <v/>
      </c>
      <c r="U964" s="267">
        <f>IFERROR(__xludf.DUMMYFUNCTION("""COMPUTED_VALUE"""),44532.6458333333)</f>
        <v/>
      </c>
      <c r="V964" s="6">
        <f>IFERROR(__xludf.DUMMYFUNCTION("""COMPUTED_VALUE"""),2945.27)</f>
        <v/>
      </c>
      <c r="Z964" s="6">
        <f>AA964&amp;AB964</f>
        <v/>
      </c>
      <c r="AA964" s="6">
        <f>YEAR(AC964)</f>
        <v/>
      </c>
      <c r="AB964" s="6">
        <f>MONTH(AC964)</f>
        <v/>
      </c>
      <c r="AC964" s="267">
        <f>IFERROR(__xludf.DUMMYFUNCTION("""COMPUTED_VALUE"""),44103.9986111111)</f>
        <v/>
      </c>
      <c r="AD964" s="6">
        <f>IFERROR(__xludf.DUMMYFUNCTION("""COMPUTED_VALUE"""),1167.86)</f>
        <v/>
      </c>
      <c r="AH964" s="6">
        <f>AI964&amp;AJ964</f>
        <v/>
      </c>
      <c r="AI964" s="6">
        <f>YEAR(AK964)</f>
        <v/>
      </c>
      <c r="AJ964" s="6">
        <f>MONTH(AK964)</f>
        <v/>
      </c>
      <c r="AK964" s="267">
        <f>IFERROR(__xludf.DUMMYFUNCTION("""COMPUTED_VALUE"""),44056.9986111111)</f>
        <v/>
      </c>
      <c r="AL964" s="6">
        <f>IFERROR(__xludf.DUMMYFUNCTION("""COMPUTED_VALUE"""),11788.67)</f>
        <v/>
      </c>
      <c r="AP964" s="6">
        <f>AQ964&amp;AR964</f>
        <v/>
      </c>
      <c r="AQ964" s="6">
        <f>YEAR(AS964)</f>
        <v/>
      </c>
      <c r="AR964" s="6">
        <f>MONTH(AS964)</f>
        <v/>
      </c>
      <c r="AS964" s="267">
        <f>IFERROR(__xludf.DUMMYFUNCTION("""COMPUTED_VALUE"""),44503.9986111111)</f>
        <v/>
      </c>
      <c r="AT964" s="6">
        <f>IFERROR(__xludf.DUMMYFUNCTION("""COMPUTED_VALUE"""),1763.9)</f>
        <v/>
      </c>
    </row>
    <row r="965">
      <c r="B965" s="6">
        <f>C965&amp;D965</f>
        <v/>
      </c>
      <c r="C965" s="6">
        <f>YEAR(E965)</f>
        <v/>
      </c>
      <c r="D965" s="6">
        <f>MONTH(E965)</f>
        <v/>
      </c>
      <c r="E965" s="267">
        <f>IFERROR(__xludf.DUMMYFUNCTION("""COMPUTED_VALUE"""),44496.6666666666)</f>
        <v/>
      </c>
      <c r="F965" s="6">
        <f>IFERROR(__xludf.DUMMYFUNCTION("""COMPUTED_VALUE"""),4551.68)</f>
        <v/>
      </c>
      <c r="J965" s="6">
        <f>K965&amp;L965</f>
        <v/>
      </c>
      <c r="K965" s="6">
        <f>YEAR(M965)</f>
        <v/>
      </c>
      <c r="L965" s="6">
        <f>MONTH(M965)</f>
        <v/>
      </c>
      <c r="M965" s="267">
        <f>IFERROR(__xludf.DUMMYFUNCTION("""COMPUTED_VALUE"""),44489.6666666666)</f>
        <v/>
      </c>
      <c r="N965" s="6">
        <f>IFERROR(__xludf.DUMMYFUNCTION("""COMPUTED_VALUE"""),15121.68)</f>
        <v/>
      </c>
      <c r="R965" s="6">
        <f>S965&amp;T965</f>
        <v/>
      </c>
      <c r="S965" s="6">
        <f>YEAR(U965)</f>
        <v/>
      </c>
      <c r="T965" s="6">
        <f>MONTH(U965)</f>
        <v/>
      </c>
      <c r="U965" s="267">
        <f>IFERROR(__xludf.DUMMYFUNCTION("""COMPUTED_VALUE"""),44533.6458333333)</f>
        <v/>
      </c>
      <c r="V965" s="6">
        <f>IFERROR(__xludf.DUMMYFUNCTION("""COMPUTED_VALUE"""),2968.33)</f>
        <v/>
      </c>
      <c r="Z965" s="6">
        <f>AA965&amp;AB965</f>
        <v/>
      </c>
      <c r="AA965" s="6">
        <f>YEAR(AC965)</f>
        <v/>
      </c>
      <c r="AB965" s="6">
        <f>MONTH(AC965)</f>
        <v/>
      </c>
      <c r="AC965" s="267">
        <f>IFERROR(__xludf.DUMMYFUNCTION("""COMPUTED_VALUE"""),44104.9986111111)</f>
        <v/>
      </c>
      <c r="AD965" s="6">
        <f>IFERROR(__xludf.DUMMYFUNCTION("""COMPUTED_VALUE"""),1163.78)</f>
        <v/>
      </c>
      <c r="AH965" s="6">
        <f>AI965&amp;AJ965</f>
        <v/>
      </c>
      <c r="AI965" s="6">
        <f>YEAR(AK965)</f>
        <v/>
      </c>
      <c r="AJ965" s="6">
        <f>MONTH(AK965)</f>
        <v/>
      </c>
      <c r="AK965" s="267">
        <f>IFERROR(__xludf.DUMMYFUNCTION("""COMPUTED_VALUE"""),44057.9986111111)</f>
        <v/>
      </c>
      <c r="AL965" s="6">
        <f>IFERROR(__xludf.DUMMYFUNCTION("""COMPUTED_VALUE"""),11774.58)</f>
        <v/>
      </c>
      <c r="AP965" s="6">
        <f>AQ965&amp;AR965</f>
        <v/>
      </c>
      <c r="AQ965" s="6">
        <f>YEAR(AS965)</f>
        <v/>
      </c>
      <c r="AR965" s="6">
        <f>MONTH(AS965)</f>
        <v/>
      </c>
      <c r="AS965" s="267">
        <f>IFERROR(__xludf.DUMMYFUNCTION("""COMPUTED_VALUE"""),44504.9986111111)</f>
        <v/>
      </c>
      <c r="AT965" s="6">
        <f>IFERROR(__xludf.DUMMYFUNCTION("""COMPUTED_VALUE"""),1793.5)</f>
        <v/>
      </c>
    </row>
    <row r="966">
      <c r="B966" s="6">
        <f>C966&amp;D966</f>
        <v/>
      </c>
      <c r="C966" s="6">
        <f>YEAR(E966)</f>
        <v/>
      </c>
      <c r="D966" s="6">
        <f>MONTH(E966)</f>
        <v/>
      </c>
      <c r="E966" s="267">
        <f>IFERROR(__xludf.DUMMYFUNCTION("""COMPUTED_VALUE"""),44497.6666666666)</f>
        <v/>
      </c>
      <c r="F966" s="6">
        <f>IFERROR(__xludf.DUMMYFUNCTION("""COMPUTED_VALUE"""),4596.42)</f>
        <v/>
      </c>
      <c r="J966" s="6">
        <f>K966&amp;L966</f>
        <v/>
      </c>
      <c r="K966" s="6">
        <f>YEAR(M966)</f>
        <v/>
      </c>
      <c r="L966" s="6">
        <f>MONTH(M966)</f>
        <v/>
      </c>
      <c r="M966" s="267">
        <f>IFERROR(__xludf.DUMMYFUNCTION("""COMPUTED_VALUE"""),44490.6666666666)</f>
        <v/>
      </c>
      <c r="N966" s="6">
        <f>IFERROR(__xludf.DUMMYFUNCTION("""COMPUTED_VALUE"""),15215.7)</f>
        <v/>
      </c>
      <c r="R966" s="6">
        <f>S966&amp;T966</f>
        <v/>
      </c>
      <c r="S966" s="6">
        <f>YEAR(U966)</f>
        <v/>
      </c>
      <c r="T966" s="6">
        <f>MONTH(U966)</f>
        <v/>
      </c>
      <c r="U966" s="267">
        <f>IFERROR(__xludf.DUMMYFUNCTION("""COMPUTED_VALUE"""),44536.6458333333)</f>
        <v/>
      </c>
      <c r="V966" s="6">
        <f>IFERROR(__xludf.DUMMYFUNCTION("""COMPUTED_VALUE"""),2973.25)</f>
        <v/>
      </c>
      <c r="Z966" s="6">
        <f>AA966&amp;AB966</f>
        <v/>
      </c>
      <c r="AA966" s="6">
        <f>YEAR(AC966)</f>
        <v/>
      </c>
      <c r="AB966" s="6">
        <f>MONTH(AC966)</f>
        <v/>
      </c>
      <c r="AC966" s="267">
        <f>IFERROR(__xludf.DUMMYFUNCTION("""COMPUTED_VALUE"""),44105.9986111111)</f>
        <v/>
      </c>
      <c r="AD966" s="6">
        <f>IFERROR(__xludf.DUMMYFUNCTION("""COMPUTED_VALUE"""),1161.98)</f>
        <v/>
      </c>
      <c r="AH966" s="6">
        <f>AI966&amp;AJ966</f>
        <v/>
      </c>
      <c r="AI966" s="6">
        <f>YEAR(AK966)</f>
        <v/>
      </c>
      <c r="AJ966" s="6">
        <f>MONTH(AK966)</f>
        <v/>
      </c>
      <c r="AK966" s="267">
        <f>IFERROR(__xludf.DUMMYFUNCTION("""COMPUTED_VALUE"""),44058.9986111111)</f>
        <v/>
      </c>
      <c r="AL966" s="6">
        <f>IFERROR(__xludf.DUMMYFUNCTION("""COMPUTED_VALUE"""),11860.8)</f>
        <v/>
      </c>
      <c r="AP966" s="6">
        <f>AQ966&amp;AR966</f>
        <v/>
      </c>
      <c r="AQ966" s="6">
        <f>YEAR(AS966)</f>
        <v/>
      </c>
      <c r="AR966" s="6">
        <f>MONTH(AS966)</f>
        <v/>
      </c>
      <c r="AS966" s="267">
        <f>IFERROR(__xludf.DUMMYFUNCTION("""COMPUTED_VALUE"""),44505.9986111111)</f>
        <v/>
      </c>
      <c r="AT966" s="6">
        <f>IFERROR(__xludf.DUMMYFUNCTION("""COMPUTED_VALUE"""),1816.8)</f>
        <v/>
      </c>
    </row>
    <row r="967">
      <c r="B967" s="6">
        <f>C967&amp;D967</f>
        <v/>
      </c>
      <c r="C967" s="6">
        <f>YEAR(E967)</f>
        <v/>
      </c>
      <c r="D967" s="6">
        <f>MONTH(E967)</f>
        <v/>
      </c>
      <c r="E967" s="267">
        <f>IFERROR(__xludf.DUMMYFUNCTION("""COMPUTED_VALUE"""),44498.6666666666)</f>
        <v/>
      </c>
      <c r="F967" s="6">
        <f>IFERROR(__xludf.DUMMYFUNCTION("""COMPUTED_VALUE"""),4605.38)</f>
        <v/>
      </c>
      <c r="J967" s="6">
        <f>K967&amp;L967</f>
        <v/>
      </c>
      <c r="K967" s="6">
        <f>YEAR(M967)</f>
        <v/>
      </c>
      <c r="L967" s="6">
        <f>MONTH(M967)</f>
        <v/>
      </c>
      <c r="M967" s="267">
        <f>IFERROR(__xludf.DUMMYFUNCTION("""COMPUTED_VALUE"""),44491.6666666666)</f>
        <v/>
      </c>
      <c r="N967" s="6">
        <f>IFERROR(__xludf.DUMMYFUNCTION("""COMPUTED_VALUE"""),15090.2)</f>
        <v/>
      </c>
      <c r="R967" s="6">
        <f>S967&amp;T967</f>
        <v/>
      </c>
      <c r="S967" s="6">
        <f>YEAR(U967)</f>
        <v/>
      </c>
      <c r="T967" s="6">
        <f>MONTH(U967)</f>
        <v/>
      </c>
      <c r="U967" s="267">
        <f>IFERROR(__xludf.DUMMYFUNCTION("""COMPUTED_VALUE"""),44537.6458333333)</f>
        <v/>
      </c>
      <c r="V967" s="6">
        <f>IFERROR(__xludf.DUMMYFUNCTION("""COMPUTED_VALUE"""),2991.72)</f>
        <v/>
      </c>
      <c r="Z967" s="6">
        <f>AA967&amp;AB967</f>
        <v/>
      </c>
      <c r="AA967" s="6">
        <f>YEAR(AC967)</f>
        <v/>
      </c>
      <c r="AB967" s="6">
        <f>MONTH(AC967)</f>
        <v/>
      </c>
      <c r="AC967" s="267">
        <f>IFERROR(__xludf.DUMMYFUNCTION("""COMPUTED_VALUE"""),44106.9986111111)</f>
        <v/>
      </c>
      <c r="AD967" s="6">
        <f>IFERROR(__xludf.DUMMYFUNCTION("""COMPUTED_VALUE"""),1165.05)</f>
        <v/>
      </c>
      <c r="AH967" s="6">
        <f>AI967&amp;AJ967</f>
        <v/>
      </c>
      <c r="AI967" s="6">
        <f>YEAR(AK967)</f>
        <v/>
      </c>
      <c r="AJ967" s="6">
        <f>MONTH(AK967)</f>
        <v/>
      </c>
      <c r="AK967" s="267">
        <f>IFERROR(__xludf.DUMMYFUNCTION("""COMPUTED_VALUE"""),44059.9986111111)</f>
        <v/>
      </c>
      <c r="AL967" s="6">
        <f>IFERROR(__xludf.DUMMYFUNCTION("""COMPUTED_VALUE"""),11917.42)</f>
        <v/>
      </c>
      <c r="AP967" s="6">
        <f>AQ967&amp;AR967</f>
        <v/>
      </c>
      <c r="AQ967" s="6">
        <f>YEAR(AS967)</f>
        <v/>
      </c>
      <c r="AR967" s="6">
        <f>MONTH(AS967)</f>
        <v/>
      </c>
      <c r="AS967" s="267">
        <f>IFERROR(__xludf.DUMMYFUNCTION("""COMPUTED_VALUE"""),44508.9986111111)</f>
        <v/>
      </c>
      <c r="AT967" s="6">
        <f>IFERROR(__xludf.DUMMYFUNCTION("""COMPUTED_VALUE"""),1828)</f>
        <v/>
      </c>
    </row>
    <row r="968">
      <c r="B968" s="6">
        <f>C968&amp;D968</f>
        <v/>
      </c>
      <c r="C968" s="6">
        <f>YEAR(E968)</f>
        <v/>
      </c>
      <c r="D968" s="6">
        <f>MONTH(E968)</f>
        <v/>
      </c>
      <c r="E968" s="267">
        <f>IFERROR(__xludf.DUMMYFUNCTION("""COMPUTED_VALUE"""),44501.6666666666)</f>
        <v/>
      </c>
      <c r="F968" s="6">
        <f>IFERROR(__xludf.DUMMYFUNCTION("""COMPUTED_VALUE"""),4613.67)</f>
        <v/>
      </c>
      <c r="J968" s="6">
        <f>K968&amp;L968</f>
        <v/>
      </c>
      <c r="K968" s="6">
        <f>YEAR(M968)</f>
        <v/>
      </c>
      <c r="L968" s="6">
        <f>MONTH(M968)</f>
        <v/>
      </c>
      <c r="M968" s="267">
        <f>IFERROR(__xludf.DUMMYFUNCTION("""COMPUTED_VALUE"""),44494.6666666666)</f>
        <v/>
      </c>
      <c r="N968" s="6">
        <f>IFERROR(__xludf.DUMMYFUNCTION("""COMPUTED_VALUE"""),15226.71)</f>
        <v/>
      </c>
      <c r="R968" s="6">
        <f>S968&amp;T968</f>
        <v/>
      </c>
      <c r="S968" s="6">
        <f>YEAR(U968)</f>
        <v/>
      </c>
      <c r="T968" s="6">
        <f>MONTH(U968)</f>
        <v/>
      </c>
      <c r="U968" s="267">
        <f>IFERROR(__xludf.DUMMYFUNCTION("""COMPUTED_VALUE"""),44538.6458333333)</f>
        <v/>
      </c>
      <c r="V968" s="6">
        <f>IFERROR(__xludf.DUMMYFUNCTION("""COMPUTED_VALUE"""),3001.8)</f>
        <v/>
      </c>
      <c r="Z968" s="6">
        <f>AA968&amp;AB968</f>
        <v/>
      </c>
      <c r="AA968" s="6">
        <f>YEAR(AC968)</f>
        <v/>
      </c>
      <c r="AB968" s="6">
        <f>MONTH(AC968)</f>
        <v/>
      </c>
      <c r="AC968" s="267">
        <f>IFERROR(__xludf.DUMMYFUNCTION("""COMPUTED_VALUE"""),44107.9986111111)</f>
        <v/>
      </c>
      <c r="AD968" s="6">
        <f>IFERROR(__xludf.DUMMYFUNCTION("""COMPUTED_VALUE"""),1165.05)</f>
        <v/>
      </c>
      <c r="AH968" s="6">
        <f>AI968&amp;AJ968</f>
        <v/>
      </c>
      <c r="AI968" s="6">
        <f>YEAR(AK968)</f>
        <v/>
      </c>
      <c r="AJ968" s="6">
        <f>MONTH(AK968)</f>
        <v/>
      </c>
      <c r="AK968" s="267">
        <f>IFERROR(__xludf.DUMMYFUNCTION("""COMPUTED_VALUE"""),44060.9986111111)</f>
        <v/>
      </c>
      <c r="AL968" s="6">
        <f>IFERROR(__xludf.DUMMYFUNCTION("""COMPUTED_VALUE"""),12290.64)</f>
        <v/>
      </c>
      <c r="AP968" s="6">
        <f>AQ968&amp;AR968</f>
        <v/>
      </c>
      <c r="AQ968" s="6">
        <f>YEAR(AS968)</f>
        <v/>
      </c>
      <c r="AR968" s="6">
        <f>MONTH(AS968)</f>
        <v/>
      </c>
      <c r="AS968" s="267">
        <f>IFERROR(__xludf.DUMMYFUNCTION("""COMPUTED_VALUE"""),44509.9986111111)</f>
        <v/>
      </c>
      <c r="AT968" s="6">
        <f>IFERROR(__xludf.DUMMYFUNCTION("""COMPUTED_VALUE"""),1830.8)</f>
        <v/>
      </c>
    </row>
    <row r="969">
      <c r="B969" s="6">
        <f>C969&amp;D969</f>
        <v/>
      </c>
      <c r="C969" s="6">
        <f>YEAR(E969)</f>
        <v/>
      </c>
      <c r="D969" s="6">
        <f>MONTH(E969)</f>
        <v/>
      </c>
      <c r="E969" s="267">
        <f>IFERROR(__xludf.DUMMYFUNCTION("""COMPUTED_VALUE"""),44502.6666666666)</f>
        <v/>
      </c>
      <c r="F969" s="6">
        <f>IFERROR(__xludf.DUMMYFUNCTION("""COMPUTED_VALUE"""),4630.65)</f>
        <v/>
      </c>
      <c r="J969" s="6">
        <f>K969&amp;L969</f>
        <v/>
      </c>
      <c r="K969" s="6">
        <f>YEAR(M969)</f>
        <v/>
      </c>
      <c r="L969" s="6">
        <f>MONTH(M969)</f>
        <v/>
      </c>
      <c r="M969" s="267">
        <f>IFERROR(__xludf.DUMMYFUNCTION("""COMPUTED_VALUE"""),44495.6666666666)</f>
        <v/>
      </c>
      <c r="N969" s="6">
        <f>IFERROR(__xludf.DUMMYFUNCTION("""COMPUTED_VALUE"""),15235.72)</f>
        <v/>
      </c>
      <c r="R969" s="6">
        <f>S969&amp;T969</f>
        <v/>
      </c>
      <c r="S969" s="6">
        <f>YEAR(U969)</f>
        <v/>
      </c>
      <c r="T969" s="6">
        <f>MONTH(U969)</f>
        <v/>
      </c>
      <c r="U969" s="267">
        <f>IFERROR(__xludf.DUMMYFUNCTION("""COMPUTED_VALUE"""),44539.6458333333)</f>
        <v/>
      </c>
      <c r="V969" s="6">
        <f>IFERROR(__xludf.DUMMYFUNCTION("""COMPUTED_VALUE"""),3029.57)</f>
        <v/>
      </c>
      <c r="Z969" s="6">
        <f>AA969&amp;AB969</f>
        <v/>
      </c>
      <c r="AA969" s="6">
        <f>YEAR(AC969)</f>
        <v/>
      </c>
      <c r="AB969" s="6">
        <f>MONTH(AC969)</f>
        <v/>
      </c>
      <c r="AC969" s="267">
        <f>IFERROR(__xludf.DUMMYFUNCTION("""COMPUTED_VALUE"""),44108.9986111111)</f>
        <v/>
      </c>
      <c r="AD969" s="6">
        <f>IFERROR(__xludf.DUMMYFUNCTION("""COMPUTED_VALUE"""),1165.36)</f>
        <v/>
      </c>
      <c r="AH969" s="6">
        <f>AI969&amp;AJ969</f>
        <v/>
      </c>
      <c r="AI969" s="6">
        <f>YEAR(AK969)</f>
        <v/>
      </c>
      <c r="AJ969" s="6">
        <f>MONTH(AK969)</f>
        <v/>
      </c>
      <c r="AK969" s="267">
        <f>IFERROR(__xludf.DUMMYFUNCTION("""COMPUTED_VALUE"""),44061.9986111111)</f>
        <v/>
      </c>
      <c r="AL969" s="6">
        <f>IFERROR(__xludf.DUMMYFUNCTION("""COMPUTED_VALUE"""),11954.85)</f>
        <v/>
      </c>
      <c r="AP969" s="6">
        <f>AQ969&amp;AR969</f>
        <v/>
      </c>
      <c r="AQ969" s="6">
        <f>YEAR(AS969)</f>
        <v/>
      </c>
      <c r="AR969" s="6">
        <f>MONTH(AS969)</f>
        <v/>
      </c>
      <c r="AS969" s="267">
        <f>IFERROR(__xludf.DUMMYFUNCTION("""COMPUTED_VALUE"""),44510.9986111111)</f>
        <v/>
      </c>
      <c r="AT969" s="6">
        <f>IFERROR(__xludf.DUMMYFUNCTION("""COMPUTED_VALUE"""),1848.3)</f>
        <v/>
      </c>
    </row>
    <row r="970">
      <c r="B970" s="6">
        <f>C970&amp;D970</f>
        <v/>
      </c>
      <c r="C970" s="6">
        <f>YEAR(E970)</f>
        <v/>
      </c>
      <c r="D970" s="6">
        <f>MONTH(E970)</f>
        <v/>
      </c>
      <c r="E970" s="267">
        <f>IFERROR(__xludf.DUMMYFUNCTION("""COMPUTED_VALUE"""),44503.6666666666)</f>
        <v/>
      </c>
      <c r="F970" s="6">
        <f>IFERROR(__xludf.DUMMYFUNCTION("""COMPUTED_VALUE"""),4660.57)</f>
        <v/>
      </c>
      <c r="J970" s="6">
        <f>K970&amp;L970</f>
        <v/>
      </c>
      <c r="K970" s="6">
        <f>YEAR(M970)</f>
        <v/>
      </c>
      <c r="L970" s="6">
        <f>MONTH(M970)</f>
        <v/>
      </c>
      <c r="M970" s="267">
        <f>IFERROR(__xludf.DUMMYFUNCTION("""COMPUTED_VALUE"""),44496.6666666666)</f>
        <v/>
      </c>
      <c r="N970" s="6">
        <f>IFERROR(__xludf.DUMMYFUNCTION("""COMPUTED_VALUE"""),15235.84)</f>
        <v/>
      </c>
      <c r="R970" s="6">
        <f>S970&amp;T970</f>
        <v/>
      </c>
      <c r="S970" s="6">
        <f>YEAR(U970)</f>
        <v/>
      </c>
      <c r="T970" s="6">
        <f>MONTH(U970)</f>
        <v/>
      </c>
      <c r="U970" s="267">
        <f>IFERROR(__xludf.DUMMYFUNCTION("""COMPUTED_VALUE"""),44540.6458333333)</f>
        <v/>
      </c>
      <c r="V970" s="6">
        <f>IFERROR(__xludf.DUMMYFUNCTION("""COMPUTED_VALUE"""),3010.23)</f>
        <v/>
      </c>
      <c r="Z970" s="6">
        <f>AA970&amp;AB970</f>
        <v/>
      </c>
      <c r="AA970" s="6">
        <f>YEAR(AC970)</f>
        <v/>
      </c>
      <c r="AB970" s="6">
        <f>MONTH(AC970)</f>
        <v/>
      </c>
      <c r="AC970" s="267">
        <f>IFERROR(__xludf.DUMMYFUNCTION("""COMPUTED_VALUE"""),44109.9986111111)</f>
        <v/>
      </c>
      <c r="AD970" s="6">
        <f>IFERROR(__xludf.DUMMYFUNCTION("""COMPUTED_VALUE"""),1156.09)</f>
        <v/>
      </c>
      <c r="AH970" s="6">
        <f>AI970&amp;AJ970</f>
        <v/>
      </c>
      <c r="AI970" s="6">
        <f>YEAR(AK970)</f>
        <v/>
      </c>
      <c r="AJ970" s="6">
        <f>MONTH(AK970)</f>
        <v/>
      </c>
      <c r="AK970" s="267">
        <f>IFERROR(__xludf.DUMMYFUNCTION("""COMPUTED_VALUE"""),44062.9986111111)</f>
        <v/>
      </c>
      <c r="AL970" s="6">
        <f>IFERROR(__xludf.DUMMYFUNCTION("""COMPUTED_VALUE"""),11756.31)</f>
        <v/>
      </c>
      <c r="AP970" s="6">
        <f>AQ970&amp;AR970</f>
        <v/>
      </c>
      <c r="AQ970" s="6">
        <f>YEAR(AS970)</f>
        <v/>
      </c>
      <c r="AR970" s="6">
        <f>MONTH(AS970)</f>
        <v/>
      </c>
      <c r="AS970" s="267">
        <f>IFERROR(__xludf.DUMMYFUNCTION("""COMPUTED_VALUE"""),44511.9986111111)</f>
        <v/>
      </c>
      <c r="AT970" s="6">
        <f>IFERROR(__xludf.DUMMYFUNCTION("""COMPUTED_VALUE"""),1863.9)</f>
        <v/>
      </c>
    </row>
    <row r="971">
      <c r="B971" s="6">
        <f>C971&amp;D971</f>
        <v/>
      </c>
      <c r="C971" s="6">
        <f>YEAR(E971)</f>
        <v/>
      </c>
      <c r="D971" s="6">
        <f>MONTH(E971)</f>
        <v/>
      </c>
      <c r="E971" s="267">
        <f>IFERROR(__xludf.DUMMYFUNCTION("""COMPUTED_VALUE"""),44504.6666666666)</f>
        <v/>
      </c>
      <c r="F971" s="6">
        <f>IFERROR(__xludf.DUMMYFUNCTION("""COMPUTED_VALUE"""),4680.06)</f>
        <v/>
      </c>
      <c r="J971" s="6">
        <f>K971&amp;L971</f>
        <v/>
      </c>
      <c r="K971" s="6">
        <f>YEAR(M971)</f>
        <v/>
      </c>
      <c r="L971" s="6">
        <f>MONTH(M971)</f>
        <v/>
      </c>
      <c r="M971" s="267">
        <f>IFERROR(__xludf.DUMMYFUNCTION("""COMPUTED_VALUE"""),44497.6666666666)</f>
        <v/>
      </c>
      <c r="N971" s="6">
        <f>IFERROR(__xludf.DUMMYFUNCTION("""COMPUTED_VALUE"""),15448.12)</f>
        <v/>
      </c>
      <c r="R971" s="6">
        <f>S971&amp;T971</f>
        <v/>
      </c>
      <c r="S971" s="6">
        <f>YEAR(U971)</f>
        <v/>
      </c>
      <c r="T971" s="6">
        <f>MONTH(U971)</f>
        <v/>
      </c>
      <c r="U971" s="267">
        <f>IFERROR(__xludf.DUMMYFUNCTION("""COMPUTED_VALUE"""),44543.6458333333)</f>
        <v/>
      </c>
      <c r="V971" s="6">
        <f>IFERROR(__xludf.DUMMYFUNCTION("""COMPUTED_VALUE"""),3001.66)</f>
        <v/>
      </c>
      <c r="Z971" s="6">
        <f>AA971&amp;AB971</f>
        <v/>
      </c>
      <c r="AA971" s="6">
        <f>YEAR(AC971)</f>
        <v/>
      </c>
      <c r="AB971" s="6">
        <f>MONTH(AC971)</f>
        <v/>
      </c>
      <c r="AC971" s="267">
        <f>IFERROR(__xludf.DUMMYFUNCTION("""COMPUTED_VALUE"""),44110.9986111111)</f>
        <v/>
      </c>
      <c r="AD971" s="6">
        <f>IFERROR(__xludf.DUMMYFUNCTION("""COMPUTED_VALUE"""),1163.89)</f>
        <v/>
      </c>
      <c r="AH971" s="6">
        <f>AI971&amp;AJ971</f>
        <v/>
      </c>
      <c r="AI971" s="6">
        <f>YEAR(AK971)</f>
        <v/>
      </c>
      <c r="AJ971" s="6">
        <f>MONTH(AK971)</f>
        <v/>
      </c>
      <c r="AK971" s="267">
        <f>IFERROR(__xludf.DUMMYFUNCTION("""COMPUTED_VALUE"""),44063.9986111111)</f>
        <v/>
      </c>
      <c r="AL971" s="6">
        <f>IFERROR(__xludf.DUMMYFUNCTION("""COMPUTED_VALUE"""),11864.59)</f>
        <v/>
      </c>
      <c r="AP971" s="6">
        <f>AQ971&amp;AR971</f>
        <v/>
      </c>
      <c r="AQ971" s="6">
        <f>YEAR(AS971)</f>
        <v/>
      </c>
      <c r="AR971" s="6">
        <f>MONTH(AS971)</f>
        <v/>
      </c>
      <c r="AS971" s="267">
        <f>IFERROR(__xludf.DUMMYFUNCTION("""COMPUTED_VALUE"""),44512.9986111111)</f>
        <v/>
      </c>
      <c r="AT971" s="6">
        <f>IFERROR(__xludf.DUMMYFUNCTION("""COMPUTED_VALUE"""),1868.5)</f>
        <v/>
      </c>
    </row>
    <row r="972">
      <c r="B972" s="6">
        <f>C972&amp;D972</f>
        <v/>
      </c>
      <c r="C972" s="6">
        <f>YEAR(E972)</f>
        <v/>
      </c>
      <c r="D972" s="6">
        <f>MONTH(E972)</f>
        <v/>
      </c>
      <c r="E972" s="267">
        <f>IFERROR(__xludf.DUMMYFUNCTION("""COMPUTED_VALUE"""),44505.6666666666)</f>
        <v/>
      </c>
      <c r="F972" s="6">
        <f>IFERROR(__xludf.DUMMYFUNCTION("""COMPUTED_VALUE"""),4697.53)</f>
        <v/>
      </c>
      <c r="J972" s="6">
        <f>K972&amp;L972</f>
        <v/>
      </c>
      <c r="K972" s="6">
        <f>YEAR(M972)</f>
        <v/>
      </c>
      <c r="L972" s="6">
        <f>MONTH(M972)</f>
        <v/>
      </c>
      <c r="M972" s="267">
        <f>IFERROR(__xludf.DUMMYFUNCTION("""COMPUTED_VALUE"""),44498.6666666666)</f>
        <v/>
      </c>
      <c r="N972" s="6">
        <f>IFERROR(__xludf.DUMMYFUNCTION("""COMPUTED_VALUE"""),15498.39)</f>
        <v/>
      </c>
      <c r="R972" s="6">
        <f>S972&amp;T972</f>
        <v/>
      </c>
      <c r="S972" s="6">
        <f>YEAR(U972)</f>
        <v/>
      </c>
      <c r="T972" s="6">
        <f>MONTH(U972)</f>
        <v/>
      </c>
      <c r="U972" s="267">
        <f>IFERROR(__xludf.DUMMYFUNCTION("""COMPUTED_VALUE"""),44544.6458333333)</f>
        <v/>
      </c>
      <c r="V972" s="6">
        <f>IFERROR(__xludf.DUMMYFUNCTION("""COMPUTED_VALUE"""),2987.95)</f>
        <v/>
      </c>
      <c r="Z972" s="6">
        <f>AA972&amp;AB972</f>
        <v/>
      </c>
      <c r="AA972" s="6">
        <f>YEAR(AC972)</f>
        <v/>
      </c>
      <c r="AB972" s="6">
        <f>MONTH(AC972)</f>
        <v/>
      </c>
      <c r="AC972" s="267">
        <f>IFERROR(__xludf.DUMMYFUNCTION("""COMPUTED_VALUE"""),44111.9986111111)</f>
        <v/>
      </c>
      <c r="AD972" s="6">
        <f>IFERROR(__xludf.DUMMYFUNCTION("""COMPUTED_VALUE"""),1156.5)</f>
        <v/>
      </c>
      <c r="AH972" s="6">
        <f>AI972&amp;AJ972</f>
        <v/>
      </c>
      <c r="AI972" s="6">
        <f>YEAR(AK972)</f>
        <v/>
      </c>
      <c r="AJ972" s="6">
        <f>MONTH(AK972)</f>
        <v/>
      </c>
      <c r="AK972" s="267">
        <f>IFERROR(__xludf.DUMMYFUNCTION("""COMPUTED_VALUE"""),44064.9986111111)</f>
        <v/>
      </c>
      <c r="AL972" s="6">
        <f>IFERROR(__xludf.DUMMYFUNCTION("""COMPUTED_VALUE"""),11525.75)</f>
        <v/>
      </c>
      <c r="AP972" s="6">
        <f>AQ972&amp;AR972</f>
        <v/>
      </c>
      <c r="AQ972" s="6">
        <f>YEAR(AS972)</f>
        <v/>
      </c>
      <c r="AR972" s="6">
        <f>MONTH(AS972)</f>
        <v/>
      </c>
      <c r="AS972" s="267">
        <f>IFERROR(__xludf.DUMMYFUNCTION("""COMPUTED_VALUE"""),44515.9986111111)</f>
        <v/>
      </c>
      <c r="AT972" s="6">
        <f>IFERROR(__xludf.DUMMYFUNCTION("""COMPUTED_VALUE"""),1866.6)</f>
        <v/>
      </c>
    </row>
    <row r="973">
      <c r="B973" s="6">
        <f>C973&amp;D973</f>
        <v/>
      </c>
      <c r="C973" s="6">
        <f>YEAR(E973)</f>
        <v/>
      </c>
      <c r="D973" s="6">
        <f>MONTH(E973)</f>
        <v/>
      </c>
      <c r="E973" s="267">
        <f>IFERROR(__xludf.DUMMYFUNCTION("""COMPUTED_VALUE"""),44508.6666666666)</f>
        <v/>
      </c>
      <c r="F973" s="6">
        <f>IFERROR(__xludf.DUMMYFUNCTION("""COMPUTED_VALUE"""),4701.7)</f>
        <v/>
      </c>
      <c r="J973" s="6">
        <f>K973&amp;L973</f>
        <v/>
      </c>
      <c r="K973" s="6">
        <f>YEAR(M973)</f>
        <v/>
      </c>
      <c r="L973" s="6">
        <f>MONTH(M973)</f>
        <v/>
      </c>
      <c r="M973" s="267">
        <f>IFERROR(__xludf.DUMMYFUNCTION("""COMPUTED_VALUE"""),44501.6666666666)</f>
        <v/>
      </c>
      <c r="N973" s="6">
        <f>IFERROR(__xludf.DUMMYFUNCTION("""COMPUTED_VALUE"""),15595.92)</f>
        <v/>
      </c>
      <c r="R973" s="6">
        <f>S973&amp;T973</f>
        <v/>
      </c>
      <c r="S973" s="6">
        <f>YEAR(U973)</f>
        <v/>
      </c>
      <c r="T973" s="6">
        <f>MONTH(U973)</f>
        <v/>
      </c>
      <c r="U973" s="267">
        <f>IFERROR(__xludf.DUMMYFUNCTION("""COMPUTED_VALUE"""),44545.6458333333)</f>
        <v/>
      </c>
      <c r="V973" s="6">
        <f>IFERROR(__xludf.DUMMYFUNCTION("""COMPUTED_VALUE"""),2989.39)</f>
        <v/>
      </c>
      <c r="Z973" s="6">
        <f>AA973&amp;AB973</f>
        <v/>
      </c>
      <c r="AA973" s="6">
        <f>YEAR(AC973)</f>
        <v/>
      </c>
      <c r="AB973" s="6">
        <f>MONTH(AC973)</f>
        <v/>
      </c>
      <c r="AC973" s="267">
        <f>IFERROR(__xludf.DUMMYFUNCTION("""COMPUTED_VALUE"""),44112.9986111111)</f>
        <v/>
      </c>
      <c r="AD973" s="6">
        <f>IFERROR(__xludf.DUMMYFUNCTION("""COMPUTED_VALUE"""),1150.36)</f>
        <v/>
      </c>
      <c r="AH973" s="6">
        <f>AI973&amp;AJ973</f>
        <v/>
      </c>
      <c r="AI973" s="6">
        <f>YEAR(AK973)</f>
        <v/>
      </c>
      <c r="AJ973" s="6">
        <f>MONTH(AK973)</f>
        <v/>
      </c>
      <c r="AK973" s="267">
        <f>IFERROR(__xludf.DUMMYFUNCTION("""COMPUTED_VALUE"""),44065.9986111111)</f>
        <v/>
      </c>
      <c r="AL973" s="6">
        <f>IFERROR(__xludf.DUMMYFUNCTION("""COMPUTED_VALUE"""),11676.19)</f>
        <v/>
      </c>
      <c r="AP973" s="6">
        <f>AQ973&amp;AR973</f>
        <v/>
      </c>
      <c r="AQ973" s="6">
        <f>YEAR(AS973)</f>
        <v/>
      </c>
      <c r="AR973" s="6">
        <f>MONTH(AS973)</f>
        <v/>
      </c>
      <c r="AS973" s="267">
        <f>IFERROR(__xludf.DUMMYFUNCTION("""COMPUTED_VALUE"""),44516.9986111111)</f>
        <v/>
      </c>
      <c r="AT973" s="6">
        <f>IFERROR(__xludf.DUMMYFUNCTION("""COMPUTED_VALUE"""),1854.1)</f>
        <v/>
      </c>
    </row>
    <row r="974">
      <c r="B974" s="6">
        <f>C974&amp;D974</f>
        <v/>
      </c>
      <c r="C974" s="6">
        <f>YEAR(E974)</f>
        <v/>
      </c>
      <c r="D974" s="6">
        <f>MONTH(E974)</f>
        <v/>
      </c>
      <c r="E974" s="267">
        <f>IFERROR(__xludf.DUMMYFUNCTION("""COMPUTED_VALUE"""),44509.6666666666)</f>
        <v/>
      </c>
      <c r="F974" s="6">
        <f>IFERROR(__xludf.DUMMYFUNCTION("""COMPUTED_VALUE"""),4685.25)</f>
        <v/>
      </c>
      <c r="J974" s="6">
        <f>K974&amp;L974</f>
        <v/>
      </c>
      <c r="K974" s="6">
        <f>YEAR(M974)</f>
        <v/>
      </c>
      <c r="L974" s="6">
        <f>MONTH(M974)</f>
        <v/>
      </c>
      <c r="M974" s="267">
        <f>IFERROR(__xludf.DUMMYFUNCTION("""COMPUTED_VALUE"""),44502.6666666666)</f>
        <v/>
      </c>
      <c r="N974" s="6">
        <f>IFERROR(__xludf.DUMMYFUNCTION("""COMPUTED_VALUE"""),15649.6)</f>
        <v/>
      </c>
      <c r="R974" s="6">
        <f>S974&amp;T974</f>
        <v/>
      </c>
      <c r="S974" s="6">
        <f>YEAR(U974)</f>
        <v/>
      </c>
      <c r="T974" s="6">
        <f>MONTH(U974)</f>
        <v/>
      </c>
      <c r="U974" s="267">
        <f>IFERROR(__xludf.DUMMYFUNCTION("""COMPUTED_VALUE"""),44546.6458333333)</f>
        <v/>
      </c>
      <c r="V974" s="6">
        <f>IFERROR(__xludf.DUMMYFUNCTION("""COMPUTED_VALUE"""),3006.41)</f>
        <v/>
      </c>
      <c r="Z974" s="6">
        <f>AA974&amp;AB974</f>
        <v/>
      </c>
      <c r="AA974" s="6">
        <f>YEAR(AC974)</f>
        <v/>
      </c>
      <c r="AB974" s="6">
        <f>MONTH(AC974)</f>
        <v/>
      </c>
      <c r="AC974" s="267">
        <f>IFERROR(__xludf.DUMMYFUNCTION("""COMPUTED_VALUE"""),44113.9986111111)</f>
        <v/>
      </c>
      <c r="AD974" s="6">
        <f>IFERROR(__xludf.DUMMYFUNCTION("""COMPUTED_VALUE"""),1142.84)</f>
        <v/>
      </c>
      <c r="AH974" s="6">
        <f>AI974&amp;AJ974</f>
        <v/>
      </c>
      <c r="AI974" s="6">
        <f>YEAR(AK974)</f>
        <v/>
      </c>
      <c r="AJ974" s="6">
        <f>MONTH(AK974)</f>
        <v/>
      </c>
      <c r="AK974" s="267">
        <f>IFERROR(__xludf.DUMMYFUNCTION("""COMPUTED_VALUE"""),44066.9986111111)</f>
        <v/>
      </c>
      <c r="AL974" s="6">
        <f>IFERROR(__xludf.DUMMYFUNCTION("""COMPUTED_VALUE"""),11651.92)</f>
        <v/>
      </c>
      <c r="AP974" s="6">
        <f>AQ974&amp;AR974</f>
        <v/>
      </c>
      <c r="AQ974" s="6">
        <f>YEAR(AS974)</f>
        <v/>
      </c>
      <c r="AR974" s="6">
        <f>MONTH(AS974)</f>
        <v/>
      </c>
      <c r="AS974" s="267">
        <f>IFERROR(__xludf.DUMMYFUNCTION("""COMPUTED_VALUE"""),44517.9986111111)</f>
        <v/>
      </c>
      <c r="AT974" s="6">
        <f>IFERROR(__xludf.DUMMYFUNCTION("""COMPUTED_VALUE"""),1872.8)</f>
        <v/>
      </c>
    </row>
    <row r="975">
      <c r="B975" s="6">
        <f>C975&amp;D975</f>
        <v/>
      </c>
      <c r="C975" s="6">
        <f>YEAR(E975)</f>
        <v/>
      </c>
      <c r="D975" s="6">
        <f>MONTH(E975)</f>
        <v/>
      </c>
      <c r="E975" s="267">
        <f>IFERROR(__xludf.DUMMYFUNCTION("""COMPUTED_VALUE"""),44510.6666666666)</f>
        <v/>
      </c>
      <c r="F975" s="6">
        <f>IFERROR(__xludf.DUMMYFUNCTION("""COMPUTED_VALUE"""),4646.71)</f>
        <v/>
      </c>
      <c r="J975" s="6">
        <f>K975&amp;L975</f>
        <v/>
      </c>
      <c r="K975" s="6">
        <f>YEAR(M975)</f>
        <v/>
      </c>
      <c r="L975" s="6">
        <f>MONTH(M975)</f>
        <v/>
      </c>
      <c r="M975" s="267">
        <f>IFERROR(__xludf.DUMMYFUNCTION("""COMPUTED_VALUE"""),44503.6666666666)</f>
        <v/>
      </c>
      <c r="N975" s="6">
        <f>IFERROR(__xludf.DUMMYFUNCTION("""COMPUTED_VALUE"""),15811.58)</f>
        <v/>
      </c>
      <c r="R975" s="6">
        <f>S975&amp;T975</f>
        <v/>
      </c>
      <c r="S975" s="6">
        <f>YEAR(U975)</f>
        <v/>
      </c>
      <c r="T975" s="6">
        <f>MONTH(U975)</f>
        <v/>
      </c>
      <c r="U975" s="267">
        <f>IFERROR(__xludf.DUMMYFUNCTION("""COMPUTED_VALUE"""),44547.6458333333)</f>
        <v/>
      </c>
      <c r="V975" s="6">
        <f>IFERROR(__xludf.DUMMYFUNCTION("""COMPUTED_VALUE"""),3017.73)</f>
        <v/>
      </c>
      <c r="Z975" s="6">
        <f>AA975&amp;AB975</f>
        <v/>
      </c>
      <c r="AA975" s="6">
        <f>YEAR(AC975)</f>
        <v/>
      </c>
      <c r="AB975" s="6">
        <f>MONTH(AC975)</f>
        <v/>
      </c>
      <c r="AC975" s="267">
        <f>IFERROR(__xludf.DUMMYFUNCTION("""COMPUTED_VALUE"""),44114.9986111111)</f>
        <v/>
      </c>
      <c r="AD975" s="6">
        <f>IFERROR(__xludf.DUMMYFUNCTION("""COMPUTED_VALUE"""),1142.84)</f>
        <v/>
      </c>
      <c r="AH975" s="6">
        <f>AI975&amp;AJ975</f>
        <v/>
      </c>
      <c r="AI975" s="6">
        <f>YEAR(AK975)</f>
        <v/>
      </c>
      <c r="AJ975" s="6">
        <f>MONTH(AK975)</f>
        <v/>
      </c>
      <c r="AK975" s="267">
        <f>IFERROR(__xludf.DUMMYFUNCTION("""COMPUTED_VALUE"""),44067.9986111111)</f>
        <v/>
      </c>
      <c r="AL975" s="6">
        <f>IFERROR(__xludf.DUMMYFUNCTION("""COMPUTED_VALUE"""),11758.47)</f>
        <v/>
      </c>
      <c r="AP975" s="6">
        <f>AQ975&amp;AR975</f>
        <v/>
      </c>
      <c r="AQ975" s="6">
        <f>YEAR(AS975)</f>
        <v/>
      </c>
      <c r="AR975" s="6">
        <f>MONTH(AS975)</f>
        <v/>
      </c>
      <c r="AS975" s="267">
        <f>IFERROR(__xludf.DUMMYFUNCTION("""COMPUTED_VALUE"""),44518.9986111111)</f>
        <v/>
      </c>
      <c r="AT975" s="6">
        <f>IFERROR(__xludf.DUMMYFUNCTION("""COMPUTED_VALUE"""),1864)</f>
        <v/>
      </c>
    </row>
    <row r="976">
      <c r="B976" s="6">
        <f>C976&amp;D976</f>
        <v/>
      </c>
      <c r="C976" s="6">
        <f>YEAR(E976)</f>
        <v/>
      </c>
      <c r="D976" s="6">
        <f>MONTH(E976)</f>
        <v/>
      </c>
      <c r="E976" s="267">
        <f>IFERROR(__xludf.DUMMYFUNCTION("""COMPUTED_VALUE"""),44511.6666666666)</f>
        <v/>
      </c>
      <c r="F976" s="6">
        <f>IFERROR(__xludf.DUMMYFUNCTION("""COMPUTED_VALUE"""),4649.27)</f>
        <v/>
      </c>
      <c r="J976" s="6">
        <f>K976&amp;L976</f>
        <v/>
      </c>
      <c r="K976" s="6">
        <f>YEAR(M976)</f>
        <v/>
      </c>
      <c r="L976" s="6">
        <f>MONTH(M976)</f>
        <v/>
      </c>
      <c r="M976" s="267">
        <f>IFERROR(__xludf.DUMMYFUNCTION("""COMPUTED_VALUE"""),44504.6666666666)</f>
        <v/>
      </c>
      <c r="N976" s="6">
        <f>IFERROR(__xludf.DUMMYFUNCTION("""COMPUTED_VALUE"""),15940.31)</f>
        <v/>
      </c>
      <c r="R976" s="6">
        <f>S976&amp;T976</f>
        <v/>
      </c>
      <c r="S976" s="6">
        <f>YEAR(U976)</f>
        <v/>
      </c>
      <c r="T976" s="6">
        <f>MONTH(U976)</f>
        <v/>
      </c>
      <c r="U976" s="267">
        <f>IFERROR(__xludf.DUMMYFUNCTION("""COMPUTED_VALUE"""),44550.6458333333)</f>
        <v/>
      </c>
      <c r="V976" s="6">
        <f>IFERROR(__xludf.DUMMYFUNCTION("""COMPUTED_VALUE"""),2963)</f>
        <v/>
      </c>
      <c r="Z976" s="6">
        <f>AA976&amp;AB976</f>
        <v/>
      </c>
      <c r="AA976" s="6">
        <f>YEAR(AC976)</f>
        <v/>
      </c>
      <c r="AB976" s="6">
        <f>MONTH(AC976)</f>
        <v/>
      </c>
      <c r="AC976" s="267">
        <f>IFERROR(__xludf.DUMMYFUNCTION("""COMPUTED_VALUE"""),44115.9986111111)</f>
        <v/>
      </c>
      <c r="AD976" s="6">
        <f>IFERROR(__xludf.DUMMYFUNCTION("""COMPUTED_VALUE"""),1142.65)</f>
        <v/>
      </c>
      <c r="AH976" s="6">
        <f>AI976&amp;AJ976</f>
        <v/>
      </c>
      <c r="AI976" s="6">
        <f>YEAR(AK976)</f>
        <v/>
      </c>
      <c r="AJ976" s="6">
        <f>MONTH(AK976)</f>
        <v/>
      </c>
      <c r="AK976" s="267">
        <f>IFERROR(__xludf.DUMMYFUNCTION("""COMPUTED_VALUE"""),44068.9986111111)</f>
        <v/>
      </c>
      <c r="AL976" s="6">
        <f>IFERROR(__xludf.DUMMYFUNCTION("""COMPUTED_VALUE"""),11329.89)</f>
        <v/>
      </c>
      <c r="AP976" s="6">
        <f>AQ976&amp;AR976</f>
        <v/>
      </c>
      <c r="AQ976" s="6">
        <f>YEAR(AS976)</f>
        <v/>
      </c>
      <c r="AR976" s="6">
        <f>MONTH(AS976)</f>
        <v/>
      </c>
      <c r="AS976" s="267">
        <f>IFERROR(__xludf.DUMMYFUNCTION("""COMPUTED_VALUE"""),44519.9986111111)</f>
        <v/>
      </c>
      <c r="AT976" s="6">
        <f>IFERROR(__xludf.DUMMYFUNCTION("""COMPUTED_VALUE"""),1854.3)</f>
        <v/>
      </c>
    </row>
    <row r="977">
      <c r="B977" s="6">
        <f>C977&amp;D977</f>
        <v/>
      </c>
      <c r="C977" s="6">
        <f>YEAR(E977)</f>
        <v/>
      </c>
      <c r="D977" s="6">
        <f>MONTH(E977)</f>
        <v/>
      </c>
      <c r="E977" s="267">
        <f>IFERROR(__xludf.DUMMYFUNCTION("""COMPUTED_VALUE"""),44512.6666666666)</f>
        <v/>
      </c>
      <c r="F977" s="6">
        <f>IFERROR(__xludf.DUMMYFUNCTION("""COMPUTED_VALUE"""),4682.85)</f>
        <v/>
      </c>
      <c r="J977" s="6">
        <f>K977&amp;L977</f>
        <v/>
      </c>
      <c r="K977" s="6">
        <f>YEAR(M977)</f>
        <v/>
      </c>
      <c r="L977" s="6">
        <f>MONTH(M977)</f>
        <v/>
      </c>
      <c r="M977" s="267">
        <f>IFERROR(__xludf.DUMMYFUNCTION("""COMPUTED_VALUE"""),44505.6666666666)</f>
        <v/>
      </c>
      <c r="N977" s="6">
        <f>IFERROR(__xludf.DUMMYFUNCTION("""COMPUTED_VALUE"""),15971.59)</f>
        <v/>
      </c>
      <c r="R977" s="6">
        <f>S977&amp;T977</f>
        <v/>
      </c>
      <c r="S977" s="6">
        <f>YEAR(U977)</f>
        <v/>
      </c>
      <c r="T977" s="6">
        <f>MONTH(U977)</f>
        <v/>
      </c>
      <c r="U977" s="267">
        <f>IFERROR(__xludf.DUMMYFUNCTION("""COMPUTED_VALUE"""),44551.6458333333)</f>
        <v/>
      </c>
      <c r="V977" s="6">
        <f>IFERROR(__xludf.DUMMYFUNCTION("""COMPUTED_VALUE"""),2975.03)</f>
        <v/>
      </c>
      <c r="Z977" s="6">
        <f>AA977&amp;AB977</f>
        <v/>
      </c>
      <c r="AA977" s="6">
        <f>YEAR(AC977)</f>
        <v/>
      </c>
      <c r="AB977" s="6">
        <f>MONTH(AC977)</f>
        <v/>
      </c>
      <c r="AC977" s="267">
        <f>IFERROR(__xludf.DUMMYFUNCTION("""COMPUTED_VALUE"""),44116.9986111111)</f>
        <v/>
      </c>
      <c r="AD977" s="6">
        <f>IFERROR(__xludf.DUMMYFUNCTION("""COMPUTED_VALUE"""),1146.4)</f>
        <v/>
      </c>
      <c r="AH977" s="6">
        <f>AI977&amp;AJ977</f>
        <v/>
      </c>
      <c r="AI977" s="6">
        <f>YEAR(AK977)</f>
        <v/>
      </c>
      <c r="AJ977" s="6">
        <f>MONTH(AK977)</f>
        <v/>
      </c>
      <c r="AK977" s="267">
        <f>IFERROR(__xludf.DUMMYFUNCTION("""COMPUTED_VALUE"""),44069.9986111111)</f>
        <v/>
      </c>
      <c r="AL977" s="6">
        <f>IFERROR(__xludf.DUMMYFUNCTION("""COMPUTED_VALUE"""),11463.63)</f>
        <v/>
      </c>
      <c r="AP977" s="6">
        <f>AQ977&amp;AR977</f>
        <v/>
      </c>
      <c r="AQ977" s="6">
        <f>YEAR(AS977)</f>
        <v/>
      </c>
      <c r="AR977" s="6">
        <f>MONTH(AS977)</f>
        <v/>
      </c>
      <c r="AS977" s="267">
        <f>IFERROR(__xludf.DUMMYFUNCTION("""COMPUTED_VALUE"""),44522.9986111111)</f>
        <v/>
      </c>
      <c r="AT977" s="6">
        <f>IFERROR(__xludf.DUMMYFUNCTION("""COMPUTED_VALUE"""),1809.1)</f>
        <v/>
      </c>
    </row>
    <row r="978">
      <c r="B978" s="6">
        <f>C978&amp;D978</f>
        <v/>
      </c>
      <c r="C978" s="6">
        <f>YEAR(E978)</f>
        <v/>
      </c>
      <c r="D978" s="6">
        <f>MONTH(E978)</f>
        <v/>
      </c>
      <c r="E978" s="267">
        <f>IFERROR(__xludf.DUMMYFUNCTION("""COMPUTED_VALUE"""),44515.6666666666)</f>
        <v/>
      </c>
      <c r="F978" s="6">
        <f>IFERROR(__xludf.DUMMYFUNCTION("""COMPUTED_VALUE"""),4682.8)</f>
        <v/>
      </c>
      <c r="J978" s="6">
        <f>K978&amp;L978</f>
        <v/>
      </c>
      <c r="K978" s="6">
        <f>YEAR(M978)</f>
        <v/>
      </c>
      <c r="L978" s="6">
        <f>MONTH(M978)</f>
        <v/>
      </c>
      <c r="M978" s="267">
        <f>IFERROR(__xludf.DUMMYFUNCTION("""COMPUTED_VALUE"""),44508.6666666666)</f>
        <v/>
      </c>
      <c r="N978" s="6">
        <f>IFERROR(__xludf.DUMMYFUNCTION("""COMPUTED_VALUE"""),15982.36)</f>
        <v/>
      </c>
      <c r="R978" s="6">
        <f>S978&amp;T978</f>
        <v/>
      </c>
      <c r="S978" s="6">
        <f>YEAR(U978)</f>
        <v/>
      </c>
      <c r="T978" s="6">
        <f>MONTH(U978)</f>
        <v/>
      </c>
      <c r="U978" s="267">
        <f>IFERROR(__xludf.DUMMYFUNCTION("""COMPUTED_VALUE"""),44552.6458333333)</f>
        <v/>
      </c>
      <c r="V978" s="6">
        <f>IFERROR(__xludf.DUMMYFUNCTION("""COMPUTED_VALUE"""),2984.48)</f>
        <v/>
      </c>
      <c r="Z978" s="6">
        <f>AA978&amp;AB978</f>
        <v/>
      </c>
      <c r="AA978" s="6">
        <f>YEAR(AC978)</f>
        <v/>
      </c>
      <c r="AB978" s="6">
        <f>MONTH(AC978)</f>
        <v/>
      </c>
      <c r="AC978" s="267">
        <f>IFERROR(__xludf.DUMMYFUNCTION("""COMPUTED_VALUE"""),44117.9986111111)</f>
        <v/>
      </c>
      <c r="AD978" s="6">
        <f>IFERROR(__xludf.DUMMYFUNCTION("""COMPUTED_VALUE"""),1147.89)</f>
        <v/>
      </c>
      <c r="AH978" s="6">
        <f>AI978&amp;AJ978</f>
        <v/>
      </c>
      <c r="AI978" s="6">
        <f>YEAR(AK978)</f>
        <v/>
      </c>
      <c r="AJ978" s="6">
        <f>MONTH(AK978)</f>
        <v/>
      </c>
      <c r="AK978" s="267">
        <f>IFERROR(__xludf.DUMMYFUNCTION("""COMPUTED_VALUE"""),44070.9986111111)</f>
        <v/>
      </c>
      <c r="AL978" s="6">
        <f>IFERROR(__xludf.DUMMYFUNCTION("""COMPUTED_VALUE"""),11325.62)</f>
        <v/>
      </c>
      <c r="AP978" s="6">
        <f>AQ978&amp;AR978</f>
        <v/>
      </c>
      <c r="AQ978" s="6">
        <f>YEAR(AS978)</f>
        <v/>
      </c>
      <c r="AR978" s="6">
        <f>MONTH(AS978)</f>
        <v/>
      </c>
      <c r="AS978" s="267">
        <f>IFERROR(__xludf.DUMMYFUNCTION("""COMPUTED_VALUE"""),44523.9986111111)</f>
        <v/>
      </c>
      <c r="AT978" s="6">
        <f>IFERROR(__xludf.DUMMYFUNCTION("""COMPUTED_VALUE"""),1786.3)</f>
        <v/>
      </c>
    </row>
    <row r="979">
      <c r="B979" s="6">
        <f>C979&amp;D979</f>
        <v/>
      </c>
      <c r="C979" s="6">
        <f>YEAR(E979)</f>
        <v/>
      </c>
      <c r="D979" s="6">
        <f>MONTH(E979)</f>
        <v/>
      </c>
      <c r="E979" s="267">
        <f>IFERROR(__xludf.DUMMYFUNCTION("""COMPUTED_VALUE"""),44516.6666666666)</f>
        <v/>
      </c>
      <c r="F979" s="6">
        <f>IFERROR(__xludf.DUMMYFUNCTION("""COMPUTED_VALUE"""),4700.9)</f>
        <v/>
      </c>
      <c r="J979" s="6">
        <f>K979&amp;L979</f>
        <v/>
      </c>
      <c r="K979" s="6">
        <f>YEAR(M979)</f>
        <v/>
      </c>
      <c r="L979" s="6">
        <f>MONTH(M979)</f>
        <v/>
      </c>
      <c r="M979" s="267">
        <f>IFERROR(__xludf.DUMMYFUNCTION("""COMPUTED_VALUE"""),44509.6666666666)</f>
        <v/>
      </c>
      <c r="N979" s="6">
        <f>IFERROR(__xludf.DUMMYFUNCTION("""COMPUTED_VALUE"""),15886.54)</f>
        <v/>
      </c>
      <c r="R979" s="6">
        <f>S979&amp;T979</f>
        <v/>
      </c>
      <c r="S979" s="6">
        <f>YEAR(U979)</f>
        <v/>
      </c>
      <c r="T979" s="6">
        <f>MONTH(U979)</f>
        <v/>
      </c>
      <c r="U979" s="267">
        <f>IFERROR(__xludf.DUMMYFUNCTION("""COMPUTED_VALUE"""),44553.6458333333)</f>
        <v/>
      </c>
      <c r="V979" s="6">
        <f>IFERROR(__xludf.DUMMYFUNCTION("""COMPUTED_VALUE"""),2998.17)</f>
        <v/>
      </c>
      <c r="Z979" s="6">
        <f>AA979&amp;AB979</f>
        <v/>
      </c>
      <c r="AA979" s="6">
        <f>YEAR(AC979)</f>
        <v/>
      </c>
      <c r="AB979" s="6">
        <f>MONTH(AC979)</f>
        <v/>
      </c>
      <c r="AC979" s="267">
        <f>IFERROR(__xludf.DUMMYFUNCTION("""COMPUTED_VALUE"""),44118.9986111111)</f>
        <v/>
      </c>
      <c r="AD979" s="6">
        <f>IFERROR(__xludf.DUMMYFUNCTION("""COMPUTED_VALUE"""),1146.31)</f>
        <v/>
      </c>
      <c r="AH979" s="6">
        <f>AI979&amp;AJ979</f>
        <v/>
      </c>
      <c r="AI979" s="6">
        <f>YEAR(AK979)</f>
        <v/>
      </c>
      <c r="AJ979" s="6">
        <f>MONTH(AK979)</f>
        <v/>
      </c>
      <c r="AK979" s="267">
        <f>IFERROR(__xludf.DUMMYFUNCTION("""COMPUTED_VALUE"""),44071.9986111111)</f>
        <v/>
      </c>
      <c r="AL979" s="6">
        <f>IFERROR(__xludf.DUMMYFUNCTION("""COMPUTED_VALUE"""),11533.22)</f>
        <v/>
      </c>
      <c r="AP979" s="6">
        <f>AQ979&amp;AR979</f>
        <v/>
      </c>
      <c r="AQ979" s="6">
        <f>YEAR(AS979)</f>
        <v/>
      </c>
      <c r="AR979" s="6">
        <f>MONTH(AS979)</f>
        <v/>
      </c>
      <c r="AS979" s="267">
        <f>IFERROR(__xludf.DUMMYFUNCTION("""COMPUTED_VALUE"""),44524.9986111111)</f>
        <v/>
      </c>
      <c r="AT979" s="6">
        <f>IFERROR(__xludf.DUMMYFUNCTION("""COMPUTED_VALUE"""),1786.9)</f>
        <v/>
      </c>
    </row>
    <row r="980">
      <c r="B980" s="6">
        <f>C980&amp;D980</f>
        <v/>
      </c>
      <c r="C980" s="6">
        <f>YEAR(E980)</f>
        <v/>
      </c>
      <c r="D980" s="6">
        <f>MONTH(E980)</f>
        <v/>
      </c>
      <c r="E980" s="267">
        <f>IFERROR(__xludf.DUMMYFUNCTION("""COMPUTED_VALUE"""),44517.6666666666)</f>
        <v/>
      </c>
      <c r="F980" s="6">
        <f>IFERROR(__xludf.DUMMYFUNCTION("""COMPUTED_VALUE"""),4688.67)</f>
        <v/>
      </c>
      <c r="J980" s="6">
        <f>K980&amp;L980</f>
        <v/>
      </c>
      <c r="K980" s="6">
        <f>YEAR(M980)</f>
        <v/>
      </c>
      <c r="L980" s="6">
        <f>MONTH(M980)</f>
        <v/>
      </c>
      <c r="M980" s="267">
        <f>IFERROR(__xludf.DUMMYFUNCTION("""COMPUTED_VALUE"""),44510.6666666666)</f>
        <v/>
      </c>
      <c r="N980" s="6">
        <f>IFERROR(__xludf.DUMMYFUNCTION("""COMPUTED_VALUE"""),15622.71)</f>
        <v/>
      </c>
      <c r="R980" s="6">
        <f>S980&amp;T980</f>
        <v/>
      </c>
      <c r="S980" s="6">
        <f>YEAR(U980)</f>
        <v/>
      </c>
      <c r="T980" s="6">
        <f>MONTH(U980)</f>
        <v/>
      </c>
      <c r="U980" s="267">
        <f>IFERROR(__xludf.DUMMYFUNCTION("""COMPUTED_VALUE"""),44554.6458333333)</f>
        <v/>
      </c>
      <c r="V980" s="6">
        <f>IFERROR(__xludf.DUMMYFUNCTION("""COMPUTED_VALUE"""),3012.43)</f>
        <v/>
      </c>
      <c r="Z980" s="6">
        <f>AA980&amp;AB980</f>
        <v/>
      </c>
      <c r="AA980" s="6">
        <f>YEAR(AC980)</f>
        <v/>
      </c>
      <c r="AB980" s="6">
        <f>MONTH(AC980)</f>
        <v/>
      </c>
      <c r="AC980" s="267">
        <f>IFERROR(__xludf.DUMMYFUNCTION("""COMPUTED_VALUE"""),44119.9986111111)</f>
        <v/>
      </c>
      <c r="AD980" s="6">
        <f>IFERROR(__xludf.DUMMYFUNCTION("""COMPUTED_VALUE"""),1144.13)</f>
        <v/>
      </c>
      <c r="AH980" s="6">
        <f>AI980&amp;AJ980</f>
        <v/>
      </c>
      <c r="AI980" s="6">
        <f>YEAR(AK980)</f>
        <v/>
      </c>
      <c r="AJ980" s="6">
        <f>MONTH(AK980)</f>
        <v/>
      </c>
      <c r="AK980" s="267">
        <f>IFERROR(__xludf.DUMMYFUNCTION("""COMPUTED_VALUE"""),44072.9986111111)</f>
        <v/>
      </c>
      <c r="AL980" s="6">
        <f>IFERROR(__xludf.DUMMYFUNCTION("""COMPUTED_VALUE"""),11477.2)</f>
        <v/>
      </c>
      <c r="AP980" s="6">
        <f>AQ980&amp;AR980</f>
        <v/>
      </c>
      <c r="AQ980" s="6">
        <f>YEAR(AS980)</f>
        <v/>
      </c>
      <c r="AR980" s="6">
        <f>MONTH(AS980)</f>
        <v/>
      </c>
      <c r="AS980" s="267">
        <f>IFERROR(__xludf.DUMMYFUNCTION("""COMPUTED_VALUE"""),44526.5416666666)</f>
        <v/>
      </c>
      <c r="AT980" s="6">
        <f>IFERROR(__xludf.DUMMYFUNCTION("""COMPUTED_VALUE"""),1788.1)</f>
        <v/>
      </c>
    </row>
    <row r="981">
      <c r="B981" s="6">
        <f>C981&amp;D981</f>
        <v/>
      </c>
      <c r="C981" s="6">
        <f>YEAR(E981)</f>
        <v/>
      </c>
      <c r="D981" s="6">
        <f>MONTH(E981)</f>
        <v/>
      </c>
      <c r="E981" s="267">
        <f>IFERROR(__xludf.DUMMYFUNCTION("""COMPUTED_VALUE"""),44518.6666666666)</f>
        <v/>
      </c>
      <c r="F981" s="6">
        <f>IFERROR(__xludf.DUMMYFUNCTION("""COMPUTED_VALUE"""),4704.54)</f>
        <v/>
      </c>
      <c r="J981" s="6">
        <f>K981&amp;L981</f>
        <v/>
      </c>
      <c r="K981" s="6">
        <f>YEAR(M981)</f>
        <v/>
      </c>
      <c r="L981" s="6">
        <f>MONTH(M981)</f>
        <v/>
      </c>
      <c r="M981" s="267">
        <f>IFERROR(__xludf.DUMMYFUNCTION("""COMPUTED_VALUE"""),44511.6666666666)</f>
        <v/>
      </c>
      <c r="N981" s="6">
        <f>IFERROR(__xludf.DUMMYFUNCTION("""COMPUTED_VALUE"""),15704.28)</f>
        <v/>
      </c>
      <c r="R981" s="6">
        <f>S981&amp;T981</f>
        <v/>
      </c>
      <c r="S981" s="6">
        <f>YEAR(U981)</f>
        <v/>
      </c>
      <c r="T981" s="6">
        <f>MONTH(U981)</f>
        <v/>
      </c>
      <c r="U981" s="267">
        <f>IFERROR(__xludf.DUMMYFUNCTION("""COMPUTED_VALUE"""),44557.6458333333)</f>
        <v/>
      </c>
      <c r="V981" s="6">
        <f>IFERROR(__xludf.DUMMYFUNCTION("""COMPUTED_VALUE"""),2999.55)</f>
        <v/>
      </c>
      <c r="Z981" s="6">
        <f>AA981&amp;AB981</f>
        <v/>
      </c>
      <c r="AA981" s="6">
        <f>YEAR(AC981)</f>
        <v/>
      </c>
      <c r="AB981" s="6">
        <f>MONTH(AC981)</f>
        <v/>
      </c>
      <c r="AC981" s="267">
        <f>IFERROR(__xludf.DUMMYFUNCTION("""COMPUTED_VALUE"""),44120.9986111111)</f>
        <v/>
      </c>
      <c r="AD981" s="6">
        <f>IFERROR(__xludf.DUMMYFUNCTION("""COMPUTED_VALUE"""),1142.13)</f>
        <v/>
      </c>
      <c r="AH981" s="6">
        <f>AI981&amp;AJ981</f>
        <v/>
      </c>
      <c r="AI981" s="6">
        <f>YEAR(AK981)</f>
        <v/>
      </c>
      <c r="AJ981" s="6">
        <f>MONTH(AK981)</f>
        <v/>
      </c>
      <c r="AK981" s="267">
        <f>IFERROR(__xludf.DUMMYFUNCTION("""COMPUTED_VALUE"""),44073.9986111111)</f>
        <v/>
      </c>
      <c r="AL981" s="6">
        <f>IFERROR(__xludf.DUMMYFUNCTION("""COMPUTED_VALUE"""),11713.8)</f>
        <v/>
      </c>
      <c r="AP981" s="6">
        <f>AQ981&amp;AR981</f>
        <v/>
      </c>
      <c r="AQ981" s="6">
        <f>YEAR(AS981)</f>
        <v/>
      </c>
      <c r="AR981" s="6">
        <f>MONTH(AS981)</f>
        <v/>
      </c>
      <c r="AS981" s="267">
        <f>IFERROR(__xludf.DUMMYFUNCTION("""COMPUTED_VALUE"""),44529.9986111111)</f>
        <v/>
      </c>
      <c r="AT981" s="6">
        <f>IFERROR(__xludf.DUMMYFUNCTION("""COMPUTED_VALUE"""),1785.2)</f>
        <v/>
      </c>
    </row>
    <row r="982">
      <c r="B982" s="6">
        <f>C982&amp;D982</f>
        <v/>
      </c>
      <c r="C982" s="6">
        <f>YEAR(E982)</f>
        <v/>
      </c>
      <c r="D982" s="6">
        <f>MONTH(E982)</f>
        <v/>
      </c>
      <c r="E982" s="267">
        <f>IFERROR(__xludf.DUMMYFUNCTION("""COMPUTED_VALUE"""),44519.6666666666)</f>
        <v/>
      </c>
      <c r="F982" s="6">
        <f>IFERROR(__xludf.DUMMYFUNCTION("""COMPUTED_VALUE"""),4697.96)</f>
        <v/>
      </c>
      <c r="J982" s="6">
        <f>K982&amp;L982</f>
        <v/>
      </c>
      <c r="K982" s="6">
        <f>YEAR(M982)</f>
        <v/>
      </c>
      <c r="L982" s="6">
        <f>MONTH(M982)</f>
        <v/>
      </c>
      <c r="M982" s="267">
        <f>IFERROR(__xludf.DUMMYFUNCTION("""COMPUTED_VALUE"""),44512.6666666666)</f>
        <v/>
      </c>
      <c r="N982" s="6">
        <f>IFERROR(__xludf.DUMMYFUNCTION("""COMPUTED_VALUE"""),15860.96)</f>
        <v/>
      </c>
      <c r="R982" s="6">
        <f>S982&amp;T982</f>
        <v/>
      </c>
      <c r="S982" s="6">
        <f>YEAR(U982)</f>
        <v/>
      </c>
      <c r="T982" s="6">
        <f>MONTH(U982)</f>
        <v/>
      </c>
      <c r="U982" s="267">
        <f>IFERROR(__xludf.DUMMYFUNCTION("""COMPUTED_VALUE"""),44558.6458333333)</f>
        <v/>
      </c>
      <c r="V982" s="6">
        <f>IFERROR(__xludf.DUMMYFUNCTION("""COMPUTED_VALUE"""),3020.24)</f>
        <v/>
      </c>
      <c r="Z982" s="6">
        <f>AA982&amp;AB982</f>
        <v/>
      </c>
      <c r="AA982" s="6">
        <f>YEAR(AC982)</f>
        <v/>
      </c>
      <c r="AB982" s="6">
        <f>MONTH(AC982)</f>
        <v/>
      </c>
      <c r="AC982" s="267">
        <f>IFERROR(__xludf.DUMMYFUNCTION("""COMPUTED_VALUE"""),44121.9986111111)</f>
        <v/>
      </c>
      <c r="AD982" s="6">
        <f>IFERROR(__xludf.DUMMYFUNCTION("""COMPUTED_VALUE"""),1142.13)</f>
        <v/>
      </c>
      <c r="AH982" s="6">
        <f>AI982&amp;AJ982</f>
        <v/>
      </c>
      <c r="AI982" s="6">
        <f>YEAR(AK982)</f>
        <v/>
      </c>
      <c r="AJ982" s="6">
        <f>MONTH(AK982)</f>
        <v/>
      </c>
      <c r="AK982" s="267">
        <f>IFERROR(__xludf.DUMMYFUNCTION("""COMPUTED_VALUE"""),44074.9986111111)</f>
        <v/>
      </c>
      <c r="AL982" s="6">
        <f>IFERROR(__xludf.DUMMYFUNCTION("""COMPUTED_VALUE"""),11656.86)</f>
        <v/>
      </c>
      <c r="AP982" s="6">
        <f>AQ982&amp;AR982</f>
        <v/>
      </c>
      <c r="AQ982" s="6">
        <f>YEAR(AS982)</f>
        <v/>
      </c>
      <c r="AR982" s="6">
        <f>MONTH(AS982)</f>
        <v/>
      </c>
      <c r="AS982" s="267">
        <f>IFERROR(__xludf.DUMMYFUNCTION("""COMPUTED_VALUE"""),44530.9986111111)</f>
        <v/>
      </c>
      <c r="AT982" s="6">
        <f>IFERROR(__xludf.DUMMYFUNCTION("""COMPUTED_VALUE"""),1776.5)</f>
        <v/>
      </c>
    </row>
    <row r="983">
      <c r="B983" s="6">
        <f>C983&amp;D983</f>
        <v/>
      </c>
      <c r="C983" s="6">
        <f>YEAR(E983)</f>
        <v/>
      </c>
      <c r="D983" s="6">
        <f>MONTH(E983)</f>
        <v/>
      </c>
      <c r="E983" s="267">
        <f>IFERROR(__xludf.DUMMYFUNCTION("""COMPUTED_VALUE"""),44522.6666666666)</f>
        <v/>
      </c>
      <c r="F983" s="6">
        <f>IFERROR(__xludf.DUMMYFUNCTION("""COMPUTED_VALUE"""),4682.94)</f>
        <v/>
      </c>
      <c r="J983" s="6">
        <f>K983&amp;L983</f>
        <v/>
      </c>
      <c r="K983" s="6">
        <f>YEAR(M983)</f>
        <v/>
      </c>
      <c r="L983" s="6">
        <f>MONTH(M983)</f>
        <v/>
      </c>
      <c r="M983" s="267">
        <f>IFERROR(__xludf.DUMMYFUNCTION("""COMPUTED_VALUE"""),44515.6666666666)</f>
        <v/>
      </c>
      <c r="N983" s="6">
        <f>IFERROR(__xludf.DUMMYFUNCTION("""COMPUTED_VALUE"""),15853.85)</f>
        <v/>
      </c>
      <c r="R983" s="6">
        <f>S983&amp;T983</f>
        <v/>
      </c>
      <c r="S983" s="6">
        <f>YEAR(U983)</f>
        <v/>
      </c>
      <c r="T983" s="6">
        <f>MONTH(U983)</f>
        <v/>
      </c>
      <c r="U983" s="267">
        <f>IFERROR(__xludf.DUMMYFUNCTION("""COMPUTED_VALUE"""),44559.6458333333)</f>
        <v/>
      </c>
      <c r="V983" s="6">
        <f>IFERROR(__xludf.DUMMYFUNCTION("""COMPUTED_VALUE"""),2993.29)</f>
        <v/>
      </c>
      <c r="Z983" s="6">
        <f>AA983&amp;AB983</f>
        <v/>
      </c>
      <c r="AA983" s="6">
        <f>YEAR(AC983)</f>
        <v/>
      </c>
      <c r="AB983" s="6">
        <f>MONTH(AC983)</f>
        <v/>
      </c>
      <c r="AC983" s="267">
        <f>IFERROR(__xludf.DUMMYFUNCTION("""COMPUTED_VALUE"""),44122.9986111111)</f>
        <v/>
      </c>
      <c r="AD983" s="6">
        <f>IFERROR(__xludf.DUMMYFUNCTION("""COMPUTED_VALUE"""),1141.18)</f>
        <v/>
      </c>
      <c r="AH983" s="6">
        <f>AI983&amp;AJ983</f>
        <v/>
      </c>
      <c r="AI983" s="6">
        <f>YEAR(AK983)</f>
        <v/>
      </c>
      <c r="AJ983" s="6">
        <f>MONTH(AK983)</f>
        <v/>
      </c>
      <c r="AK983" s="267">
        <f>IFERROR(__xludf.DUMMYFUNCTION("""COMPUTED_VALUE"""),44075.9986111111)</f>
        <v/>
      </c>
      <c r="AL983" s="6">
        <f>IFERROR(__xludf.DUMMYFUNCTION("""COMPUTED_VALUE"""),11925.36)</f>
        <v/>
      </c>
      <c r="AP983" s="6">
        <f>AQ983&amp;AR983</f>
        <v/>
      </c>
      <c r="AQ983" s="6">
        <f>YEAR(AS983)</f>
        <v/>
      </c>
      <c r="AR983" s="6">
        <f>MONTH(AS983)</f>
        <v/>
      </c>
      <c r="AS983" s="267">
        <f>IFERROR(__xludf.DUMMYFUNCTION("""COMPUTED_VALUE"""),44531.9986111111)</f>
        <v/>
      </c>
      <c r="AT983" s="6">
        <f>IFERROR(__xludf.DUMMYFUNCTION("""COMPUTED_VALUE"""),1784.3)</f>
        <v/>
      </c>
    </row>
    <row r="984">
      <c r="B984" s="6">
        <f>C984&amp;D984</f>
        <v/>
      </c>
      <c r="C984" s="6">
        <f>YEAR(E984)</f>
        <v/>
      </c>
      <c r="D984" s="6">
        <f>MONTH(E984)</f>
        <v/>
      </c>
      <c r="E984" s="267">
        <f>IFERROR(__xludf.DUMMYFUNCTION("""COMPUTED_VALUE"""),44523.6666666666)</f>
        <v/>
      </c>
      <c r="F984" s="6">
        <f>IFERROR(__xludf.DUMMYFUNCTION("""COMPUTED_VALUE"""),4690.7)</f>
        <v/>
      </c>
      <c r="J984" s="6">
        <f>K984&amp;L984</f>
        <v/>
      </c>
      <c r="K984" s="6">
        <f>YEAR(M984)</f>
        <v/>
      </c>
      <c r="L984" s="6">
        <f>MONTH(M984)</f>
        <v/>
      </c>
      <c r="M984" s="267">
        <f>IFERROR(__xludf.DUMMYFUNCTION("""COMPUTED_VALUE"""),44516.6666666666)</f>
        <v/>
      </c>
      <c r="N984" s="6">
        <f>IFERROR(__xludf.DUMMYFUNCTION("""COMPUTED_VALUE"""),15973.86)</f>
        <v/>
      </c>
      <c r="R984" s="6">
        <f>S984&amp;T984</f>
        <v/>
      </c>
      <c r="S984" s="6">
        <f>YEAR(U984)</f>
        <v/>
      </c>
      <c r="T984" s="6">
        <f>MONTH(U984)</f>
        <v/>
      </c>
      <c r="U984" s="267">
        <f>IFERROR(__xludf.DUMMYFUNCTION("""COMPUTED_VALUE"""),44560.6458333333)</f>
        <v/>
      </c>
      <c r="V984" s="6">
        <f>IFERROR(__xludf.DUMMYFUNCTION("""COMPUTED_VALUE"""),2977.65)</f>
        <v/>
      </c>
      <c r="Z984" s="6">
        <f>AA984&amp;AB984</f>
        <v/>
      </c>
      <c r="AA984" s="6">
        <f>YEAR(AC984)</f>
        <v/>
      </c>
      <c r="AB984" s="6">
        <f>MONTH(AC984)</f>
        <v/>
      </c>
      <c r="AC984" s="267">
        <f>IFERROR(__xludf.DUMMYFUNCTION("""COMPUTED_VALUE"""),44123.9986111111)</f>
        <v/>
      </c>
      <c r="AD984" s="6">
        <f>IFERROR(__xludf.DUMMYFUNCTION("""COMPUTED_VALUE"""),1137)</f>
        <v/>
      </c>
      <c r="AH984" s="6">
        <f>AI984&amp;AJ984</f>
        <v/>
      </c>
      <c r="AI984" s="6">
        <f>YEAR(AK984)</f>
        <v/>
      </c>
      <c r="AJ984" s="6">
        <f>MONTH(AK984)</f>
        <v/>
      </c>
      <c r="AK984" s="267">
        <f>IFERROR(__xludf.DUMMYFUNCTION("""COMPUTED_VALUE"""),44076.9986111111)</f>
        <v/>
      </c>
      <c r="AL984" s="6">
        <f>IFERROR(__xludf.DUMMYFUNCTION("""COMPUTED_VALUE"""),11398.04)</f>
        <v/>
      </c>
      <c r="AP984" s="6">
        <f>AQ984&amp;AR984</f>
        <v/>
      </c>
      <c r="AQ984" s="6">
        <f>YEAR(AS984)</f>
        <v/>
      </c>
      <c r="AR984" s="6">
        <f>MONTH(AS984)</f>
        <v/>
      </c>
      <c r="AS984" s="267">
        <f>IFERROR(__xludf.DUMMYFUNCTION("""COMPUTED_VALUE"""),44532.9986111111)</f>
        <v/>
      </c>
      <c r="AT984" s="6">
        <f>IFERROR(__xludf.DUMMYFUNCTION("""COMPUTED_VALUE"""),1762.7)</f>
        <v/>
      </c>
    </row>
    <row r="985">
      <c r="B985" s="6">
        <f>C985&amp;D985</f>
        <v/>
      </c>
      <c r="C985" s="6">
        <f>YEAR(E985)</f>
        <v/>
      </c>
      <c r="D985" s="6">
        <f>MONTH(E985)</f>
        <v/>
      </c>
      <c r="E985" s="267">
        <f>IFERROR(__xludf.DUMMYFUNCTION("""COMPUTED_VALUE"""),44524.6666666666)</f>
        <v/>
      </c>
      <c r="F985" s="6">
        <f>IFERROR(__xludf.DUMMYFUNCTION("""COMPUTED_VALUE"""),4701.46)</f>
        <v/>
      </c>
      <c r="J985" s="6">
        <f>K985&amp;L985</f>
        <v/>
      </c>
      <c r="K985" s="6">
        <f>YEAR(M985)</f>
        <v/>
      </c>
      <c r="L985" s="6">
        <f>MONTH(M985)</f>
        <v/>
      </c>
      <c r="M985" s="267">
        <f>IFERROR(__xludf.DUMMYFUNCTION("""COMPUTED_VALUE"""),44517.6666666666)</f>
        <v/>
      </c>
      <c r="N985" s="6">
        <f>IFERROR(__xludf.DUMMYFUNCTION("""COMPUTED_VALUE"""),15921.57)</f>
        <v/>
      </c>
      <c r="R985" s="6">
        <f>S985&amp;T985</f>
        <v/>
      </c>
      <c r="S985" s="6">
        <f>YEAR(U985)</f>
        <v/>
      </c>
      <c r="T985" s="6">
        <f>MONTH(U985)</f>
        <v/>
      </c>
      <c r="U985" s="267">
        <f>IFERROR(__xludf.DUMMYFUNCTION("""COMPUTED_VALUE"""),44564.6458333333)</f>
        <v/>
      </c>
      <c r="V985" s="6">
        <f>IFERROR(__xludf.DUMMYFUNCTION("""COMPUTED_VALUE"""),2988.77)</f>
        <v/>
      </c>
      <c r="Z985" s="6">
        <f>AA985&amp;AB985</f>
        <v/>
      </c>
      <c r="AA985" s="6">
        <f>YEAR(AC985)</f>
        <v/>
      </c>
      <c r="AB985" s="6">
        <f>MONTH(AC985)</f>
        <v/>
      </c>
      <c r="AC985" s="267">
        <f>IFERROR(__xludf.DUMMYFUNCTION("""COMPUTED_VALUE"""),44124.9986111111)</f>
        <v/>
      </c>
      <c r="AD985" s="6">
        <f>IFERROR(__xludf.DUMMYFUNCTION("""COMPUTED_VALUE"""),1136)</f>
        <v/>
      </c>
      <c r="AH985" s="6">
        <f>AI985&amp;AJ985</f>
        <v/>
      </c>
      <c r="AI985" s="6">
        <f>YEAR(AK985)</f>
        <v/>
      </c>
      <c r="AJ985" s="6">
        <f>MONTH(AK985)</f>
        <v/>
      </c>
      <c r="AK985" s="267">
        <f>IFERROR(__xludf.DUMMYFUNCTION("""COMPUTED_VALUE"""),44077.9986111111)</f>
        <v/>
      </c>
      <c r="AL985" s="6">
        <f>IFERROR(__xludf.DUMMYFUNCTION("""COMPUTED_VALUE"""),10175.84)</f>
        <v/>
      </c>
      <c r="AP985" s="6">
        <f>AQ985&amp;AR985</f>
        <v/>
      </c>
      <c r="AQ985" s="6">
        <f>YEAR(AS985)</f>
        <v/>
      </c>
      <c r="AR985" s="6">
        <f>MONTH(AS985)</f>
        <v/>
      </c>
      <c r="AS985" s="267">
        <f>IFERROR(__xludf.DUMMYFUNCTION("""COMPUTED_VALUE"""),44533.9986111111)</f>
        <v/>
      </c>
      <c r="AT985" s="6">
        <f>IFERROR(__xludf.DUMMYFUNCTION("""COMPUTED_VALUE"""),1783.9)</f>
        <v/>
      </c>
    </row>
    <row r="986">
      <c r="B986" s="6">
        <f>C986&amp;D986</f>
        <v/>
      </c>
      <c r="C986" s="6">
        <f>YEAR(E986)</f>
        <v/>
      </c>
      <c r="D986" s="6">
        <f>MONTH(E986)</f>
        <v/>
      </c>
      <c r="E986" s="267">
        <f>IFERROR(__xludf.DUMMYFUNCTION("""COMPUTED_VALUE"""),44526.5416666666)</f>
        <v/>
      </c>
      <c r="F986" s="6">
        <f>IFERROR(__xludf.DUMMYFUNCTION("""COMPUTED_VALUE"""),4594.62)</f>
        <v/>
      </c>
      <c r="J986" s="6">
        <f>K986&amp;L986</f>
        <v/>
      </c>
      <c r="K986" s="6">
        <f>YEAR(M986)</f>
        <v/>
      </c>
      <c r="L986" s="6">
        <f>MONTH(M986)</f>
        <v/>
      </c>
      <c r="M986" s="267">
        <f>IFERROR(__xludf.DUMMYFUNCTION("""COMPUTED_VALUE"""),44518.6666666666)</f>
        <v/>
      </c>
      <c r="N986" s="6">
        <f>IFERROR(__xludf.DUMMYFUNCTION("""COMPUTED_VALUE"""),15993.71)</f>
        <v/>
      </c>
      <c r="R986" s="6">
        <f>S986&amp;T986</f>
        <v/>
      </c>
      <c r="S986" s="6">
        <f>YEAR(U986)</f>
        <v/>
      </c>
      <c r="T986" s="6">
        <f>MONTH(U986)</f>
        <v/>
      </c>
      <c r="U986" s="267">
        <f>IFERROR(__xludf.DUMMYFUNCTION("""COMPUTED_VALUE"""),44565.6458333333)</f>
        <v/>
      </c>
      <c r="V986" s="6">
        <f>IFERROR(__xludf.DUMMYFUNCTION("""COMPUTED_VALUE"""),2989.24)</f>
        <v/>
      </c>
      <c r="Z986" s="6">
        <f>AA986&amp;AB986</f>
        <v/>
      </c>
      <c r="AA986" s="6">
        <f>YEAR(AC986)</f>
        <v/>
      </c>
      <c r="AB986" s="6">
        <f>MONTH(AC986)</f>
        <v/>
      </c>
      <c r="AC986" s="267">
        <f>IFERROR(__xludf.DUMMYFUNCTION("""COMPUTED_VALUE"""),44125.9986111111)</f>
        <v/>
      </c>
      <c r="AD986" s="6">
        <f>IFERROR(__xludf.DUMMYFUNCTION("""COMPUTED_VALUE"""),1132.03)</f>
        <v/>
      </c>
      <c r="AH986" s="6">
        <f>AI986&amp;AJ986</f>
        <v/>
      </c>
      <c r="AI986" s="6">
        <f>YEAR(AK986)</f>
        <v/>
      </c>
      <c r="AJ986" s="6">
        <f>MONTH(AK986)</f>
        <v/>
      </c>
      <c r="AK986" s="267">
        <f>IFERROR(__xludf.DUMMYFUNCTION("""COMPUTED_VALUE"""),44078.9986111111)</f>
        <v/>
      </c>
      <c r="AL986" s="6">
        <f>IFERROR(__xludf.DUMMYFUNCTION("""COMPUTED_VALUE"""),10469.5)</f>
        <v/>
      </c>
      <c r="AP986" s="6">
        <f>AQ986&amp;AR986</f>
        <v/>
      </c>
      <c r="AQ986" s="6">
        <f>YEAR(AS986)</f>
        <v/>
      </c>
      <c r="AR986" s="6">
        <f>MONTH(AS986)</f>
        <v/>
      </c>
      <c r="AS986" s="267">
        <f>IFERROR(__xludf.DUMMYFUNCTION("""COMPUTED_VALUE"""),44536.9986111111)</f>
        <v/>
      </c>
      <c r="AT986" s="6">
        <f>IFERROR(__xludf.DUMMYFUNCTION("""COMPUTED_VALUE"""),1779.5)</f>
        <v/>
      </c>
    </row>
    <row r="987">
      <c r="B987" s="6">
        <f>C987&amp;D987</f>
        <v/>
      </c>
      <c r="C987" s="6">
        <f>YEAR(E987)</f>
        <v/>
      </c>
      <c r="D987" s="6">
        <f>MONTH(E987)</f>
        <v/>
      </c>
      <c r="E987" s="267">
        <f>IFERROR(__xludf.DUMMYFUNCTION("""COMPUTED_VALUE"""),44529.6666666666)</f>
        <v/>
      </c>
      <c r="F987" s="6">
        <f>IFERROR(__xludf.DUMMYFUNCTION("""COMPUTED_VALUE"""),4655.27)</f>
        <v/>
      </c>
      <c r="J987" s="6">
        <f>K987&amp;L987</f>
        <v/>
      </c>
      <c r="K987" s="6">
        <f>YEAR(M987)</f>
        <v/>
      </c>
      <c r="L987" s="6">
        <f>MONTH(M987)</f>
        <v/>
      </c>
      <c r="M987" s="267">
        <f>IFERROR(__xludf.DUMMYFUNCTION("""COMPUTED_VALUE"""),44519.6666666666)</f>
        <v/>
      </c>
      <c r="N987" s="6">
        <f>IFERROR(__xludf.DUMMYFUNCTION("""COMPUTED_VALUE"""),16057.44)</f>
        <v/>
      </c>
      <c r="R987" s="6">
        <f>S987&amp;T987</f>
        <v/>
      </c>
      <c r="S987" s="6">
        <f>YEAR(U987)</f>
        <v/>
      </c>
      <c r="T987" s="6">
        <f>MONTH(U987)</f>
        <v/>
      </c>
      <c r="U987" s="267">
        <f>IFERROR(__xludf.DUMMYFUNCTION("""COMPUTED_VALUE"""),44566.6458333333)</f>
        <v/>
      </c>
      <c r="V987" s="6">
        <f>IFERROR(__xludf.DUMMYFUNCTION("""COMPUTED_VALUE"""),2953.97)</f>
        <v/>
      </c>
      <c r="Z987" s="6">
        <f>AA987&amp;AB987</f>
        <v/>
      </c>
      <c r="AA987" s="6">
        <f>YEAR(AC987)</f>
        <v/>
      </c>
      <c r="AB987" s="6">
        <f>MONTH(AC987)</f>
        <v/>
      </c>
      <c r="AC987" s="267">
        <f>IFERROR(__xludf.DUMMYFUNCTION("""COMPUTED_VALUE"""),44126.9986111111)</f>
        <v/>
      </c>
      <c r="AD987" s="6">
        <f>IFERROR(__xludf.DUMMYFUNCTION("""COMPUTED_VALUE"""),1134.15)</f>
        <v/>
      </c>
      <c r="AH987" s="6">
        <f>AI987&amp;AJ987</f>
        <v/>
      </c>
      <c r="AI987" s="6">
        <f>YEAR(AK987)</f>
        <v/>
      </c>
      <c r="AJ987" s="6">
        <f>MONTH(AK987)</f>
        <v/>
      </c>
      <c r="AK987" s="267">
        <f>IFERROR(__xludf.DUMMYFUNCTION("""COMPUTED_VALUE"""),44079.9986111111)</f>
        <v/>
      </c>
      <c r="AL987" s="6">
        <f>IFERROR(__xludf.DUMMYFUNCTION("""COMPUTED_VALUE"""),10166.73)</f>
        <v/>
      </c>
      <c r="AP987" s="6">
        <f>AQ987&amp;AR987</f>
        <v/>
      </c>
      <c r="AQ987" s="6">
        <f>YEAR(AS987)</f>
        <v/>
      </c>
      <c r="AR987" s="6">
        <f>MONTH(AS987)</f>
        <v/>
      </c>
      <c r="AS987" s="267">
        <f>IFERROR(__xludf.DUMMYFUNCTION("""COMPUTED_VALUE"""),44537.9986111111)</f>
        <v/>
      </c>
      <c r="AT987" s="6">
        <f>IFERROR(__xludf.DUMMYFUNCTION("""COMPUTED_VALUE"""),1784.7)</f>
        <v/>
      </c>
    </row>
    <row r="988">
      <c r="B988" s="6">
        <f>C988&amp;D988</f>
        <v/>
      </c>
      <c r="C988" s="6">
        <f>YEAR(E988)</f>
        <v/>
      </c>
      <c r="D988" s="6">
        <f>MONTH(E988)</f>
        <v/>
      </c>
      <c r="E988" s="267">
        <f>IFERROR(__xludf.DUMMYFUNCTION("""COMPUTED_VALUE"""),44530.6666666666)</f>
        <v/>
      </c>
      <c r="F988" s="6">
        <f>IFERROR(__xludf.DUMMYFUNCTION("""COMPUTED_VALUE"""),4567)</f>
        <v/>
      </c>
      <c r="J988" s="6">
        <f>K988&amp;L988</f>
        <v/>
      </c>
      <c r="K988" s="6">
        <f>YEAR(M988)</f>
        <v/>
      </c>
      <c r="L988" s="6">
        <f>MONTH(M988)</f>
        <v/>
      </c>
      <c r="M988" s="267">
        <f>IFERROR(__xludf.DUMMYFUNCTION("""COMPUTED_VALUE"""),44522.6666666666)</f>
        <v/>
      </c>
      <c r="N988" s="6">
        <f>IFERROR(__xludf.DUMMYFUNCTION("""COMPUTED_VALUE"""),15854.76)</f>
        <v/>
      </c>
      <c r="R988" s="6">
        <f>S988&amp;T988</f>
        <v/>
      </c>
      <c r="S988" s="6">
        <f>YEAR(U988)</f>
        <v/>
      </c>
      <c r="T988" s="6">
        <f>MONTH(U988)</f>
        <v/>
      </c>
      <c r="U988" s="267">
        <f>IFERROR(__xludf.DUMMYFUNCTION("""COMPUTED_VALUE"""),44567.6458333333)</f>
        <v/>
      </c>
      <c r="V988" s="6">
        <f>IFERROR(__xludf.DUMMYFUNCTION("""COMPUTED_VALUE"""),2920.53)</f>
        <v/>
      </c>
      <c r="Z988" s="6">
        <f>AA988&amp;AB988</f>
        <v/>
      </c>
      <c r="AA988" s="6">
        <f>YEAR(AC988)</f>
        <v/>
      </c>
      <c r="AB988" s="6">
        <f>MONTH(AC988)</f>
        <v/>
      </c>
      <c r="AC988" s="267">
        <f>IFERROR(__xludf.DUMMYFUNCTION("""COMPUTED_VALUE"""),44127.9986111111)</f>
        <v/>
      </c>
      <c r="AD988" s="6">
        <f>IFERROR(__xludf.DUMMYFUNCTION("""COMPUTED_VALUE"""),1127.76)</f>
        <v/>
      </c>
      <c r="AH988" s="6">
        <f>AI988&amp;AJ988</f>
        <v/>
      </c>
      <c r="AI988" s="6">
        <f>YEAR(AK988)</f>
        <v/>
      </c>
      <c r="AJ988" s="6">
        <f>MONTH(AK988)</f>
        <v/>
      </c>
      <c r="AK988" s="267">
        <f>IFERROR(__xludf.DUMMYFUNCTION("""COMPUTED_VALUE"""),44080.9986111111)</f>
        <v/>
      </c>
      <c r="AL988" s="6">
        <f>IFERROR(__xludf.DUMMYFUNCTION("""COMPUTED_VALUE"""),10255.99)</f>
        <v/>
      </c>
      <c r="AP988" s="6">
        <f>AQ988&amp;AR988</f>
        <v/>
      </c>
      <c r="AQ988" s="6">
        <f>YEAR(AS988)</f>
        <v/>
      </c>
      <c r="AR988" s="6">
        <f>MONTH(AS988)</f>
        <v/>
      </c>
      <c r="AS988" s="267">
        <f>IFERROR(__xludf.DUMMYFUNCTION("""COMPUTED_VALUE"""),44538.9986111111)</f>
        <v/>
      </c>
      <c r="AT988" s="6">
        <f>IFERROR(__xludf.DUMMYFUNCTION("""COMPUTED_VALUE"""),1785.5)</f>
        <v/>
      </c>
    </row>
    <row r="989">
      <c r="B989" s="6">
        <f>C989&amp;D989</f>
        <v/>
      </c>
      <c r="C989" s="6">
        <f>YEAR(E989)</f>
        <v/>
      </c>
      <c r="D989" s="6">
        <f>MONTH(E989)</f>
        <v/>
      </c>
      <c r="E989" s="267">
        <f>IFERROR(__xludf.DUMMYFUNCTION("""COMPUTED_VALUE"""),44531.6666666666)</f>
        <v/>
      </c>
      <c r="F989" s="6">
        <f>IFERROR(__xludf.DUMMYFUNCTION("""COMPUTED_VALUE"""),4513.04)</f>
        <v/>
      </c>
      <c r="J989" s="6">
        <f>K989&amp;L989</f>
        <v/>
      </c>
      <c r="K989" s="6">
        <f>YEAR(M989)</f>
        <v/>
      </c>
      <c r="L989" s="6">
        <f>MONTH(M989)</f>
        <v/>
      </c>
      <c r="M989" s="267">
        <f>IFERROR(__xludf.DUMMYFUNCTION("""COMPUTED_VALUE"""),44523.6666666666)</f>
        <v/>
      </c>
      <c r="N989" s="6">
        <f>IFERROR(__xludf.DUMMYFUNCTION("""COMPUTED_VALUE"""),15775.14)</f>
        <v/>
      </c>
      <c r="R989" s="6">
        <f>S989&amp;T989</f>
        <v/>
      </c>
      <c r="S989" s="6">
        <f>YEAR(U989)</f>
        <v/>
      </c>
      <c r="T989" s="6">
        <f>MONTH(U989)</f>
        <v/>
      </c>
      <c r="U989" s="267">
        <f>IFERROR(__xludf.DUMMYFUNCTION("""COMPUTED_VALUE"""),44568.6458333333)</f>
        <v/>
      </c>
      <c r="V989" s="6">
        <f>IFERROR(__xludf.DUMMYFUNCTION("""COMPUTED_VALUE"""),2954.89)</f>
        <v/>
      </c>
      <c r="Z989" s="6">
        <f>AA989&amp;AB989</f>
        <v/>
      </c>
      <c r="AA989" s="6">
        <f>YEAR(AC989)</f>
        <v/>
      </c>
      <c r="AB989" s="6">
        <f>MONTH(AC989)</f>
        <v/>
      </c>
      <c r="AC989" s="267">
        <f>IFERROR(__xludf.DUMMYFUNCTION("""COMPUTED_VALUE"""),44128.9986111111)</f>
        <v/>
      </c>
      <c r="AD989" s="6">
        <f>IFERROR(__xludf.DUMMYFUNCTION("""COMPUTED_VALUE"""),1127.76)</f>
        <v/>
      </c>
      <c r="AH989" s="6">
        <f>AI989&amp;AJ989</f>
        <v/>
      </c>
      <c r="AI989" s="6">
        <f>YEAR(AK989)</f>
        <v/>
      </c>
      <c r="AJ989" s="6">
        <f>MONTH(AK989)</f>
        <v/>
      </c>
      <c r="AK989" s="267">
        <f>IFERROR(__xludf.DUMMYFUNCTION("""COMPUTED_VALUE"""),44081.9986111111)</f>
        <v/>
      </c>
      <c r="AL989" s="6">
        <f>IFERROR(__xludf.DUMMYFUNCTION("""COMPUTED_VALUE"""),10374.99)</f>
        <v/>
      </c>
      <c r="AP989" s="6">
        <f>AQ989&amp;AR989</f>
        <v/>
      </c>
      <c r="AQ989" s="6">
        <f>YEAR(AS989)</f>
        <v/>
      </c>
      <c r="AR989" s="6">
        <f>MONTH(AS989)</f>
        <v/>
      </c>
      <c r="AS989" s="267">
        <f>IFERROR(__xludf.DUMMYFUNCTION("""COMPUTED_VALUE"""),44539.9986111111)</f>
        <v/>
      </c>
      <c r="AT989" s="6">
        <f>IFERROR(__xludf.DUMMYFUNCTION("""COMPUTED_VALUE"""),1776.7)</f>
        <v/>
      </c>
    </row>
    <row r="990">
      <c r="B990" s="6">
        <f>C990&amp;D990</f>
        <v/>
      </c>
      <c r="C990" s="6">
        <f>YEAR(E990)</f>
        <v/>
      </c>
      <c r="D990" s="6">
        <f>MONTH(E990)</f>
        <v/>
      </c>
      <c r="E990" s="267">
        <f>IFERROR(__xludf.DUMMYFUNCTION("""COMPUTED_VALUE"""),44532.6666666666)</f>
        <v/>
      </c>
      <c r="F990" s="6">
        <f>IFERROR(__xludf.DUMMYFUNCTION("""COMPUTED_VALUE"""),4577.1)</f>
        <v/>
      </c>
      <c r="J990" s="6">
        <f>K990&amp;L990</f>
        <v/>
      </c>
      <c r="K990" s="6">
        <f>YEAR(M990)</f>
        <v/>
      </c>
      <c r="L990" s="6">
        <f>MONTH(M990)</f>
        <v/>
      </c>
      <c r="M990" s="267">
        <f>IFERROR(__xludf.DUMMYFUNCTION("""COMPUTED_VALUE"""),44524.6666666666)</f>
        <v/>
      </c>
      <c r="N990" s="6">
        <f>IFERROR(__xludf.DUMMYFUNCTION("""COMPUTED_VALUE"""),15845.23)</f>
        <v/>
      </c>
      <c r="R990" s="6">
        <f>S990&amp;T990</f>
        <v/>
      </c>
      <c r="S990" s="6">
        <f>YEAR(U990)</f>
        <v/>
      </c>
      <c r="T990" s="6">
        <f>MONTH(U990)</f>
        <v/>
      </c>
      <c r="U990" s="267">
        <f>IFERROR(__xludf.DUMMYFUNCTION("""COMPUTED_VALUE"""),44571.6458333333)</f>
        <v/>
      </c>
      <c r="V990" s="6">
        <f>IFERROR(__xludf.DUMMYFUNCTION("""COMPUTED_VALUE"""),2926.72)</f>
        <v/>
      </c>
      <c r="Z990" s="6">
        <f>AA990&amp;AB990</f>
        <v/>
      </c>
      <c r="AA990" s="6">
        <f>YEAR(AC990)</f>
        <v/>
      </c>
      <c r="AB990" s="6">
        <f>MONTH(AC990)</f>
        <v/>
      </c>
      <c r="AC990" s="267">
        <f>IFERROR(__xludf.DUMMYFUNCTION("""COMPUTED_VALUE"""),44130.9986111111)</f>
        <v/>
      </c>
      <c r="AD990" s="6">
        <f>IFERROR(__xludf.DUMMYFUNCTION("""COMPUTED_VALUE"""),1131.64)</f>
        <v/>
      </c>
      <c r="AH990" s="6">
        <f>AI990&amp;AJ990</f>
        <v/>
      </c>
      <c r="AI990" s="6">
        <f>YEAR(AK990)</f>
        <v/>
      </c>
      <c r="AJ990" s="6">
        <f>MONTH(AK990)</f>
        <v/>
      </c>
      <c r="AK990" s="267">
        <f>IFERROR(__xludf.DUMMYFUNCTION("""COMPUTED_VALUE"""),44082.9986111111)</f>
        <v/>
      </c>
      <c r="AL990" s="6">
        <f>IFERROR(__xludf.DUMMYFUNCTION("""COMPUTED_VALUE"""),10125.08)</f>
        <v/>
      </c>
      <c r="AP990" s="6">
        <f>AQ990&amp;AR990</f>
        <v/>
      </c>
      <c r="AQ990" s="6">
        <f>YEAR(AS990)</f>
        <v/>
      </c>
      <c r="AR990" s="6">
        <f>MONTH(AS990)</f>
        <v/>
      </c>
      <c r="AS990" s="267">
        <f>IFERROR(__xludf.DUMMYFUNCTION("""COMPUTED_VALUE"""),44540.9986111111)</f>
        <v/>
      </c>
      <c r="AT990" s="6">
        <f>IFERROR(__xludf.DUMMYFUNCTION("""COMPUTED_VALUE"""),1784.8)</f>
        <v/>
      </c>
    </row>
    <row r="991">
      <c r="B991" s="6">
        <f>C991&amp;D991</f>
        <v/>
      </c>
      <c r="C991" s="6">
        <f>YEAR(E991)</f>
        <v/>
      </c>
      <c r="D991" s="6">
        <f>MONTH(E991)</f>
        <v/>
      </c>
      <c r="E991" s="267">
        <f>IFERROR(__xludf.DUMMYFUNCTION("""COMPUTED_VALUE"""),44533.6666666666)</f>
        <v/>
      </c>
      <c r="F991" s="6">
        <f>IFERROR(__xludf.DUMMYFUNCTION("""COMPUTED_VALUE"""),4538.43)</f>
        <v/>
      </c>
      <c r="J991" s="6">
        <f>K991&amp;L991</f>
        <v/>
      </c>
      <c r="K991" s="6">
        <f>YEAR(M991)</f>
        <v/>
      </c>
      <c r="L991" s="6">
        <f>MONTH(M991)</f>
        <v/>
      </c>
      <c r="M991" s="267">
        <f>IFERROR(__xludf.DUMMYFUNCTION("""COMPUTED_VALUE"""),44526.5416666666)</f>
        <v/>
      </c>
      <c r="N991" s="6">
        <f>IFERROR(__xludf.DUMMYFUNCTION("""COMPUTED_VALUE"""),15491.66)</f>
        <v/>
      </c>
      <c r="R991" s="6">
        <f>S991&amp;T991</f>
        <v/>
      </c>
      <c r="S991" s="6">
        <f>YEAR(U991)</f>
        <v/>
      </c>
      <c r="T991" s="6">
        <f>MONTH(U991)</f>
        <v/>
      </c>
      <c r="U991" s="267">
        <f>IFERROR(__xludf.DUMMYFUNCTION("""COMPUTED_VALUE"""),44572.6458333333)</f>
        <v/>
      </c>
      <c r="V991" s="6">
        <f>IFERROR(__xludf.DUMMYFUNCTION("""COMPUTED_VALUE"""),2927.38)</f>
        <v/>
      </c>
      <c r="Z991" s="6">
        <f>AA991&amp;AB991</f>
        <v/>
      </c>
      <c r="AA991" s="6">
        <f>YEAR(AC991)</f>
        <v/>
      </c>
      <c r="AB991" s="6">
        <f>MONTH(AC991)</f>
        <v/>
      </c>
      <c r="AC991" s="267">
        <f>IFERROR(__xludf.DUMMYFUNCTION("""COMPUTED_VALUE"""),44131.9986111111)</f>
        <v/>
      </c>
      <c r="AD991" s="6">
        <f>IFERROR(__xludf.DUMMYFUNCTION("""COMPUTED_VALUE"""),1128.23)</f>
        <v/>
      </c>
      <c r="AH991" s="6">
        <f>AI991&amp;AJ991</f>
        <v/>
      </c>
      <c r="AI991" s="6">
        <f>YEAR(AK991)</f>
        <v/>
      </c>
      <c r="AJ991" s="6">
        <f>MONTH(AK991)</f>
        <v/>
      </c>
      <c r="AK991" s="267">
        <f>IFERROR(__xludf.DUMMYFUNCTION("""COMPUTED_VALUE"""),44083.9986111111)</f>
        <v/>
      </c>
      <c r="AL991" s="6">
        <f>IFERROR(__xludf.DUMMYFUNCTION("""COMPUTED_VALUE"""),10225.3)</f>
        <v/>
      </c>
      <c r="AP991" s="6">
        <f>AQ991&amp;AR991</f>
        <v/>
      </c>
      <c r="AQ991" s="6">
        <f>YEAR(AS991)</f>
        <v/>
      </c>
      <c r="AR991" s="6">
        <f>MONTH(AS991)</f>
        <v/>
      </c>
      <c r="AS991" s="267">
        <f>IFERROR(__xludf.DUMMYFUNCTION("""COMPUTED_VALUE"""),44543.9986111111)</f>
        <v/>
      </c>
      <c r="AT991" s="6">
        <f>IFERROR(__xludf.DUMMYFUNCTION("""COMPUTED_VALUE"""),1788.3)</f>
        <v/>
      </c>
    </row>
    <row r="992">
      <c r="B992" s="6">
        <f>C992&amp;D992</f>
        <v/>
      </c>
      <c r="C992" s="6">
        <f>YEAR(E992)</f>
        <v/>
      </c>
      <c r="D992" s="6">
        <f>MONTH(E992)</f>
        <v/>
      </c>
      <c r="E992" s="267">
        <f>IFERROR(__xludf.DUMMYFUNCTION("""COMPUTED_VALUE"""),44536.6666666666)</f>
        <v/>
      </c>
      <c r="F992" s="6">
        <f>IFERROR(__xludf.DUMMYFUNCTION("""COMPUTED_VALUE"""),4591.67)</f>
        <v/>
      </c>
      <c r="J992" s="6">
        <f>K992&amp;L992</f>
        <v/>
      </c>
      <c r="K992" s="6">
        <f>YEAR(M992)</f>
        <v/>
      </c>
      <c r="L992" s="6">
        <f>MONTH(M992)</f>
        <v/>
      </c>
      <c r="M992" s="267">
        <f>IFERROR(__xludf.DUMMYFUNCTION("""COMPUTED_VALUE"""),44529.6666666666)</f>
        <v/>
      </c>
      <c r="N992" s="6">
        <f>IFERROR(__xludf.DUMMYFUNCTION("""COMPUTED_VALUE"""),15782.83)</f>
        <v/>
      </c>
      <c r="R992" s="6">
        <f>S992&amp;T992</f>
        <v/>
      </c>
      <c r="S992" s="6">
        <f>YEAR(U992)</f>
        <v/>
      </c>
      <c r="T992" s="6">
        <f>MONTH(U992)</f>
        <v/>
      </c>
      <c r="U992" s="267">
        <f>IFERROR(__xludf.DUMMYFUNCTION("""COMPUTED_VALUE"""),44573.6458333333)</f>
        <v/>
      </c>
      <c r="V992" s="6">
        <f>IFERROR(__xludf.DUMMYFUNCTION("""COMPUTED_VALUE"""),2972.48)</f>
        <v/>
      </c>
      <c r="Z992" s="6">
        <f>AA992&amp;AB992</f>
        <v/>
      </c>
      <c r="AA992" s="6">
        <f>YEAR(AC992)</f>
        <v/>
      </c>
      <c r="AB992" s="6">
        <f>MONTH(AC992)</f>
        <v/>
      </c>
      <c r="AC992" s="267">
        <f>IFERROR(__xludf.DUMMYFUNCTION("""COMPUTED_VALUE"""),44132.9986111111)</f>
        <v/>
      </c>
      <c r="AD992" s="6">
        <f>IFERROR(__xludf.DUMMYFUNCTION("""COMPUTED_VALUE"""),1134.18)</f>
        <v/>
      </c>
      <c r="AH992" s="6">
        <f>AI992&amp;AJ992</f>
        <v/>
      </c>
      <c r="AI992" s="6">
        <f>YEAR(AK992)</f>
        <v/>
      </c>
      <c r="AJ992" s="6">
        <f>MONTH(AK992)</f>
        <v/>
      </c>
      <c r="AK992" s="267">
        <f>IFERROR(__xludf.DUMMYFUNCTION("""COMPUTED_VALUE"""),44084.9986111111)</f>
        <v/>
      </c>
      <c r="AL992" s="6">
        <f>IFERROR(__xludf.DUMMYFUNCTION("""COMPUTED_VALUE"""),10346.71)</f>
        <v/>
      </c>
      <c r="AP992" s="6">
        <f>AQ992&amp;AR992</f>
        <v/>
      </c>
      <c r="AQ992" s="6">
        <f>YEAR(AS992)</f>
        <v/>
      </c>
      <c r="AR992" s="6">
        <f>MONTH(AS992)</f>
        <v/>
      </c>
      <c r="AS992" s="267">
        <f>IFERROR(__xludf.DUMMYFUNCTION("""COMPUTED_VALUE"""),44544.9986111111)</f>
        <v/>
      </c>
      <c r="AT992" s="6">
        <f>IFERROR(__xludf.DUMMYFUNCTION("""COMPUTED_VALUE"""),1772.3)</f>
        <v/>
      </c>
    </row>
    <row r="993">
      <c r="B993" s="6">
        <f>C993&amp;D993</f>
        <v/>
      </c>
      <c r="C993" s="6">
        <f>YEAR(E993)</f>
        <v/>
      </c>
      <c r="D993" s="6">
        <f>MONTH(E993)</f>
        <v/>
      </c>
      <c r="E993" s="267">
        <f>IFERROR(__xludf.DUMMYFUNCTION("""COMPUTED_VALUE"""),44537.6666666666)</f>
        <v/>
      </c>
      <c r="F993" s="6">
        <f>IFERROR(__xludf.DUMMYFUNCTION("""COMPUTED_VALUE"""),4686.75)</f>
        <v/>
      </c>
      <c r="J993" s="6">
        <f>K993&amp;L993</f>
        <v/>
      </c>
      <c r="K993" s="6">
        <f>YEAR(M993)</f>
        <v/>
      </c>
      <c r="L993" s="6">
        <f>MONTH(M993)</f>
        <v/>
      </c>
      <c r="M993" s="267">
        <f>IFERROR(__xludf.DUMMYFUNCTION("""COMPUTED_VALUE"""),44530.6666666666)</f>
        <v/>
      </c>
      <c r="N993" s="6">
        <f>IFERROR(__xludf.DUMMYFUNCTION("""COMPUTED_VALUE"""),15537.69)</f>
        <v/>
      </c>
      <c r="R993" s="6">
        <f>S993&amp;T993</f>
        <v/>
      </c>
      <c r="S993" s="6">
        <f>YEAR(U993)</f>
        <v/>
      </c>
      <c r="T993" s="6">
        <f>MONTH(U993)</f>
        <v/>
      </c>
      <c r="U993" s="267">
        <f>IFERROR(__xludf.DUMMYFUNCTION("""COMPUTED_VALUE"""),44574.6458333333)</f>
        <v/>
      </c>
      <c r="V993" s="6">
        <f>IFERROR(__xludf.DUMMYFUNCTION("""COMPUTED_VALUE"""),2962.09)</f>
        <v/>
      </c>
      <c r="Z993" s="6">
        <f>AA993&amp;AB993</f>
        <v/>
      </c>
      <c r="AA993" s="6">
        <f>YEAR(AC993)</f>
        <v/>
      </c>
      <c r="AB993" s="6">
        <f>MONTH(AC993)</f>
        <v/>
      </c>
      <c r="AC993" s="267">
        <f>IFERROR(__xludf.DUMMYFUNCTION("""COMPUTED_VALUE"""),44133.9986111111)</f>
        <v/>
      </c>
      <c r="AD993" s="6">
        <f>IFERROR(__xludf.DUMMYFUNCTION("""COMPUTED_VALUE"""),1129.52)</f>
        <v/>
      </c>
      <c r="AH993" s="6">
        <f>AI993&amp;AJ993</f>
        <v/>
      </c>
      <c r="AI993" s="6">
        <f>YEAR(AK993)</f>
        <v/>
      </c>
      <c r="AJ993" s="6">
        <f>MONTH(AK993)</f>
        <v/>
      </c>
      <c r="AK993" s="267">
        <f>IFERROR(__xludf.DUMMYFUNCTION("""COMPUTED_VALUE"""),44085.9986111111)</f>
        <v/>
      </c>
      <c r="AL993" s="6">
        <f>IFERROR(__xludf.DUMMYFUNCTION("""COMPUTED_VALUE"""),10396.03)</f>
        <v/>
      </c>
      <c r="AP993" s="6">
        <f>AQ993&amp;AR993</f>
        <v/>
      </c>
      <c r="AQ993" s="6">
        <f>YEAR(AS993)</f>
        <v/>
      </c>
      <c r="AR993" s="6">
        <f>MONTH(AS993)</f>
        <v/>
      </c>
      <c r="AS993" s="267">
        <f>IFERROR(__xludf.DUMMYFUNCTION("""COMPUTED_VALUE"""),44545.9986111111)</f>
        <v/>
      </c>
      <c r="AT993" s="6">
        <f>IFERROR(__xludf.DUMMYFUNCTION("""COMPUTED_VALUE"""),1764.5)</f>
        <v/>
      </c>
    </row>
    <row r="994">
      <c r="B994" s="6">
        <f>C994&amp;D994</f>
        <v/>
      </c>
      <c r="C994" s="6">
        <f>YEAR(E994)</f>
        <v/>
      </c>
      <c r="D994" s="6">
        <f>MONTH(E994)</f>
        <v/>
      </c>
      <c r="E994" s="267">
        <f>IFERROR(__xludf.DUMMYFUNCTION("""COMPUTED_VALUE"""),44538.6666666666)</f>
        <v/>
      </c>
      <c r="F994" s="6">
        <f>IFERROR(__xludf.DUMMYFUNCTION("""COMPUTED_VALUE"""),4701.21)</f>
        <v/>
      </c>
      <c r="J994" s="6">
        <f>K994&amp;L994</f>
        <v/>
      </c>
      <c r="K994" s="6">
        <f>YEAR(M994)</f>
        <v/>
      </c>
      <c r="L994" s="6">
        <f>MONTH(M994)</f>
        <v/>
      </c>
      <c r="M994" s="267">
        <f>IFERROR(__xludf.DUMMYFUNCTION("""COMPUTED_VALUE"""),44531.6666666666)</f>
        <v/>
      </c>
      <c r="N994" s="6">
        <f>IFERROR(__xludf.DUMMYFUNCTION("""COMPUTED_VALUE"""),15254.05)</f>
        <v/>
      </c>
      <c r="R994" s="6">
        <f>S994&amp;T994</f>
        <v/>
      </c>
      <c r="S994" s="6">
        <f>YEAR(U994)</f>
        <v/>
      </c>
      <c r="T994" s="6">
        <f>MONTH(U994)</f>
        <v/>
      </c>
      <c r="U994" s="267">
        <f>IFERROR(__xludf.DUMMYFUNCTION("""COMPUTED_VALUE"""),44575.6458333333)</f>
        <v/>
      </c>
      <c r="V994" s="6">
        <f>IFERROR(__xludf.DUMMYFUNCTION("""COMPUTED_VALUE"""),2921.92)</f>
        <v/>
      </c>
      <c r="Z994" s="6">
        <f>AA994&amp;AB994</f>
        <v/>
      </c>
      <c r="AA994" s="6">
        <f>YEAR(AC994)</f>
        <v/>
      </c>
      <c r="AB994" s="6">
        <f>MONTH(AC994)</f>
        <v/>
      </c>
      <c r="AC994" s="267">
        <f>IFERROR(__xludf.DUMMYFUNCTION("""COMPUTED_VALUE"""),44134.9986111111)</f>
        <v/>
      </c>
      <c r="AD994" s="6">
        <f>IFERROR(__xludf.DUMMYFUNCTION("""COMPUTED_VALUE"""),1135.61)</f>
        <v/>
      </c>
      <c r="AH994" s="6">
        <f>AI994&amp;AJ994</f>
        <v/>
      </c>
      <c r="AI994" s="6">
        <f>YEAR(AK994)</f>
        <v/>
      </c>
      <c r="AJ994" s="6">
        <f>MONTH(AK994)</f>
        <v/>
      </c>
      <c r="AK994" s="267">
        <f>IFERROR(__xludf.DUMMYFUNCTION("""COMPUTED_VALUE"""),44086.9986111111)</f>
        <v/>
      </c>
      <c r="AL994" s="6">
        <f>IFERROR(__xludf.DUMMYFUNCTION("""COMPUTED_VALUE"""),10446)</f>
        <v/>
      </c>
      <c r="AP994" s="6">
        <f>AQ994&amp;AR994</f>
        <v/>
      </c>
      <c r="AQ994" s="6">
        <f>YEAR(AS994)</f>
        <v/>
      </c>
      <c r="AR994" s="6">
        <f>MONTH(AS994)</f>
        <v/>
      </c>
      <c r="AS994" s="267">
        <f>IFERROR(__xludf.DUMMYFUNCTION("""COMPUTED_VALUE"""),44546.9986111111)</f>
        <v/>
      </c>
      <c r="AT994" s="6">
        <f>IFERROR(__xludf.DUMMYFUNCTION("""COMPUTED_VALUE"""),1798.2)</f>
        <v/>
      </c>
    </row>
    <row r="995">
      <c r="B995" s="6">
        <f>C995&amp;D995</f>
        <v/>
      </c>
      <c r="C995" s="6">
        <f>YEAR(E995)</f>
        <v/>
      </c>
      <c r="D995" s="6">
        <f>MONTH(E995)</f>
        <v/>
      </c>
      <c r="E995" s="267">
        <f>IFERROR(__xludf.DUMMYFUNCTION("""COMPUTED_VALUE"""),44539.6666666666)</f>
        <v/>
      </c>
      <c r="F995" s="6">
        <f>IFERROR(__xludf.DUMMYFUNCTION("""COMPUTED_VALUE"""),4667.45)</f>
        <v/>
      </c>
      <c r="J995" s="6">
        <f>K995&amp;L995</f>
        <v/>
      </c>
      <c r="K995" s="6">
        <f>YEAR(M995)</f>
        <v/>
      </c>
      <c r="L995" s="6">
        <f>MONTH(M995)</f>
        <v/>
      </c>
      <c r="M995" s="267">
        <f>IFERROR(__xludf.DUMMYFUNCTION("""COMPUTED_VALUE"""),44532.6666666666)</f>
        <v/>
      </c>
      <c r="N995" s="6">
        <f>IFERROR(__xludf.DUMMYFUNCTION("""COMPUTED_VALUE"""),15381.32)</f>
        <v/>
      </c>
      <c r="R995" s="6">
        <f>S995&amp;T995</f>
        <v/>
      </c>
      <c r="S995" s="6">
        <f>YEAR(U995)</f>
        <v/>
      </c>
      <c r="T995" s="6">
        <f>MONTH(U995)</f>
        <v/>
      </c>
      <c r="U995" s="267">
        <f>IFERROR(__xludf.DUMMYFUNCTION("""COMPUTED_VALUE"""),44578.6458333333)</f>
        <v/>
      </c>
      <c r="V995" s="6">
        <f>IFERROR(__xludf.DUMMYFUNCTION("""COMPUTED_VALUE"""),2890.1)</f>
        <v/>
      </c>
      <c r="Z995" s="6">
        <f>AA995&amp;AB995</f>
        <v/>
      </c>
      <c r="AA995" s="6">
        <f>YEAR(AC995)</f>
        <v/>
      </c>
      <c r="AB995" s="6">
        <f>MONTH(AC995)</f>
        <v/>
      </c>
      <c r="AC995" s="267">
        <f>IFERROR(__xludf.DUMMYFUNCTION("""COMPUTED_VALUE"""),44137.9986111111)</f>
        <v/>
      </c>
      <c r="AD995" s="6">
        <f>IFERROR(__xludf.DUMMYFUNCTION("""COMPUTED_VALUE"""),1132.14)</f>
        <v/>
      </c>
      <c r="AH995" s="6">
        <f>AI995&amp;AJ995</f>
        <v/>
      </c>
      <c r="AI995" s="6">
        <f>YEAR(AK995)</f>
        <v/>
      </c>
      <c r="AJ995" s="6">
        <f>MONTH(AK995)</f>
        <v/>
      </c>
      <c r="AK995" s="267">
        <f>IFERROR(__xludf.DUMMYFUNCTION("""COMPUTED_VALUE"""),44087.9986111111)</f>
        <v/>
      </c>
      <c r="AL995" s="6">
        <f>IFERROR(__xludf.DUMMYFUNCTION("""COMPUTED_VALUE"""),10332.06)</f>
        <v/>
      </c>
      <c r="AP995" s="6">
        <f>AQ995&amp;AR995</f>
        <v/>
      </c>
      <c r="AQ995" s="6">
        <f>YEAR(AS995)</f>
        <v/>
      </c>
      <c r="AR995" s="6">
        <f>MONTH(AS995)</f>
        <v/>
      </c>
      <c r="AS995" s="267">
        <f>IFERROR(__xludf.DUMMYFUNCTION("""COMPUTED_VALUE"""),44547.9986111111)</f>
        <v/>
      </c>
      <c r="AT995" s="6">
        <f>IFERROR(__xludf.DUMMYFUNCTION("""COMPUTED_VALUE"""),1804.9)</f>
        <v/>
      </c>
    </row>
    <row r="996">
      <c r="B996" s="6">
        <f>C996&amp;D996</f>
        <v/>
      </c>
      <c r="C996" s="6">
        <f>YEAR(E996)</f>
        <v/>
      </c>
      <c r="D996" s="6">
        <f>MONTH(E996)</f>
        <v/>
      </c>
      <c r="E996" s="267">
        <f>IFERROR(__xludf.DUMMYFUNCTION("""COMPUTED_VALUE"""),44540.6666666666)</f>
        <v/>
      </c>
      <c r="F996" s="6">
        <f>IFERROR(__xludf.DUMMYFUNCTION("""COMPUTED_VALUE"""),4712.02)</f>
        <v/>
      </c>
      <c r="J996" s="6">
        <f>K996&amp;L996</f>
        <v/>
      </c>
      <c r="K996" s="6">
        <f>YEAR(M996)</f>
        <v/>
      </c>
      <c r="L996" s="6">
        <f>MONTH(M996)</f>
        <v/>
      </c>
      <c r="M996" s="267">
        <f>IFERROR(__xludf.DUMMYFUNCTION("""COMPUTED_VALUE"""),44533.6666666666)</f>
        <v/>
      </c>
      <c r="N996" s="6">
        <f>IFERROR(__xludf.DUMMYFUNCTION("""COMPUTED_VALUE"""),15085.47)</f>
        <v/>
      </c>
      <c r="R996" s="6">
        <f>S996&amp;T996</f>
        <v/>
      </c>
      <c r="S996" s="6">
        <f>YEAR(U996)</f>
        <v/>
      </c>
      <c r="T996" s="6">
        <f>MONTH(U996)</f>
        <v/>
      </c>
      <c r="U996" s="267">
        <f>IFERROR(__xludf.DUMMYFUNCTION("""COMPUTED_VALUE"""),44579.6458333333)</f>
        <v/>
      </c>
      <c r="V996" s="6">
        <f>IFERROR(__xludf.DUMMYFUNCTION("""COMPUTED_VALUE"""),2864.24)</f>
        <v/>
      </c>
      <c r="Z996" s="6">
        <f>AA996&amp;AB996</f>
        <v/>
      </c>
      <c r="AA996" s="6">
        <f>YEAR(AC996)</f>
        <v/>
      </c>
      <c r="AB996" s="6">
        <f>MONTH(AC996)</f>
        <v/>
      </c>
      <c r="AC996" s="267">
        <f>IFERROR(__xludf.DUMMYFUNCTION("""COMPUTED_VALUE"""),44138.9986111111)</f>
        <v/>
      </c>
      <c r="AD996" s="6">
        <f>IFERROR(__xludf.DUMMYFUNCTION("""COMPUTED_VALUE"""),1130.33)</f>
        <v/>
      </c>
      <c r="AH996" s="6">
        <f>AI996&amp;AJ996</f>
        <v/>
      </c>
      <c r="AI996" s="6">
        <f>YEAR(AK996)</f>
        <v/>
      </c>
      <c r="AJ996" s="6">
        <f>MONTH(AK996)</f>
        <v/>
      </c>
      <c r="AK996" s="267">
        <f>IFERROR(__xludf.DUMMYFUNCTION("""COMPUTED_VALUE"""),44088.9986111111)</f>
        <v/>
      </c>
      <c r="AL996" s="6">
        <f>IFERROR(__xludf.DUMMYFUNCTION("""COMPUTED_VALUE"""),10678.08)</f>
        <v/>
      </c>
      <c r="AP996" s="6">
        <f>AQ996&amp;AR996</f>
        <v/>
      </c>
      <c r="AQ996" s="6">
        <f>YEAR(AS996)</f>
        <v/>
      </c>
      <c r="AR996" s="6">
        <f>MONTH(AS996)</f>
        <v/>
      </c>
      <c r="AS996" s="267">
        <f>IFERROR(__xludf.DUMMYFUNCTION("""COMPUTED_VALUE"""),44550.9986111111)</f>
        <v/>
      </c>
      <c r="AT996" s="6">
        <f>IFERROR(__xludf.DUMMYFUNCTION("""COMPUTED_VALUE"""),1794.6)</f>
        <v/>
      </c>
    </row>
    <row r="997">
      <c r="B997" s="6">
        <f>C997&amp;D997</f>
        <v/>
      </c>
      <c r="C997" s="6">
        <f>YEAR(E997)</f>
        <v/>
      </c>
      <c r="D997" s="6">
        <f>MONTH(E997)</f>
        <v/>
      </c>
      <c r="E997" s="267">
        <f>IFERROR(__xludf.DUMMYFUNCTION("""COMPUTED_VALUE"""),44543.6666666666)</f>
        <v/>
      </c>
      <c r="F997" s="6">
        <f>IFERROR(__xludf.DUMMYFUNCTION("""COMPUTED_VALUE"""),4668.97)</f>
        <v/>
      </c>
      <c r="J997" s="6">
        <f>K997&amp;L997</f>
        <v/>
      </c>
      <c r="K997" s="6">
        <f>YEAR(M997)</f>
        <v/>
      </c>
      <c r="L997" s="6">
        <f>MONTH(M997)</f>
        <v/>
      </c>
      <c r="M997" s="267">
        <f>IFERROR(__xludf.DUMMYFUNCTION("""COMPUTED_VALUE"""),44536.6666666666)</f>
        <v/>
      </c>
      <c r="N997" s="6">
        <f>IFERROR(__xludf.DUMMYFUNCTION("""COMPUTED_VALUE"""),15225.15)</f>
        <v/>
      </c>
      <c r="R997" s="6">
        <f>S997&amp;T997</f>
        <v/>
      </c>
      <c r="S997" s="6">
        <f>YEAR(U997)</f>
        <v/>
      </c>
      <c r="T997" s="6">
        <f>MONTH(U997)</f>
        <v/>
      </c>
      <c r="U997" s="267">
        <f>IFERROR(__xludf.DUMMYFUNCTION("""COMPUTED_VALUE"""),44580.6458333333)</f>
        <v/>
      </c>
      <c r="V997" s="6">
        <f>IFERROR(__xludf.DUMMYFUNCTION("""COMPUTED_VALUE"""),2842.28)</f>
        <v/>
      </c>
      <c r="Z997" s="6">
        <f>AA997&amp;AB997</f>
        <v/>
      </c>
      <c r="AA997" s="6">
        <f>YEAR(AC997)</f>
        <v/>
      </c>
      <c r="AB997" s="6">
        <f>MONTH(AC997)</f>
        <v/>
      </c>
      <c r="AC997" s="267">
        <f>IFERROR(__xludf.DUMMYFUNCTION("""COMPUTED_VALUE"""),44139.9986111111)</f>
        <v/>
      </c>
      <c r="AD997" s="6">
        <f>IFERROR(__xludf.DUMMYFUNCTION("""COMPUTED_VALUE"""),1129.74)</f>
        <v/>
      </c>
      <c r="AH997" s="6">
        <f>AI997&amp;AJ997</f>
        <v/>
      </c>
      <c r="AI997" s="6">
        <f>YEAR(AK997)</f>
        <v/>
      </c>
      <c r="AJ997" s="6">
        <f>MONTH(AK997)</f>
        <v/>
      </c>
      <c r="AK997" s="267">
        <f>IFERROR(__xludf.DUMMYFUNCTION("""COMPUTED_VALUE"""),44089.9986111111)</f>
        <v/>
      </c>
      <c r="AL997" s="6">
        <f>IFERROR(__xludf.DUMMYFUNCTION("""COMPUTED_VALUE"""),10786.28)</f>
        <v/>
      </c>
      <c r="AP997" s="6">
        <f>AQ997&amp;AR997</f>
        <v/>
      </c>
      <c r="AQ997" s="6">
        <f>YEAR(AS997)</f>
        <v/>
      </c>
      <c r="AR997" s="6">
        <f>MONTH(AS997)</f>
        <v/>
      </c>
      <c r="AS997" s="267">
        <f>IFERROR(__xludf.DUMMYFUNCTION("""COMPUTED_VALUE"""),44551.9986111111)</f>
        <v/>
      </c>
      <c r="AT997" s="6">
        <f>IFERROR(__xludf.DUMMYFUNCTION("""COMPUTED_VALUE"""),1788.7)</f>
        <v/>
      </c>
    </row>
    <row r="998">
      <c r="B998" s="6">
        <f>C998&amp;D998</f>
        <v/>
      </c>
      <c r="C998" s="6">
        <f>YEAR(E998)</f>
        <v/>
      </c>
      <c r="D998" s="6">
        <f>MONTH(E998)</f>
        <v/>
      </c>
      <c r="E998" s="267">
        <f>IFERROR(__xludf.DUMMYFUNCTION("""COMPUTED_VALUE"""),44544.6666666666)</f>
        <v/>
      </c>
      <c r="F998" s="6">
        <f>IFERROR(__xludf.DUMMYFUNCTION("""COMPUTED_VALUE"""),4634.09)</f>
        <v/>
      </c>
      <c r="J998" s="6">
        <f>K998&amp;L998</f>
        <v/>
      </c>
      <c r="K998" s="6">
        <f>YEAR(M998)</f>
        <v/>
      </c>
      <c r="L998" s="6">
        <f>MONTH(M998)</f>
        <v/>
      </c>
      <c r="M998" s="267">
        <f>IFERROR(__xludf.DUMMYFUNCTION("""COMPUTED_VALUE"""),44537.6666666666)</f>
        <v/>
      </c>
      <c r="N998" s="6">
        <f>IFERROR(__xludf.DUMMYFUNCTION("""COMPUTED_VALUE"""),15686.92)</f>
        <v/>
      </c>
      <c r="R998" s="6">
        <f>S998&amp;T998</f>
        <v/>
      </c>
      <c r="S998" s="6">
        <f>YEAR(U998)</f>
        <v/>
      </c>
      <c r="T998" s="6">
        <f>MONTH(U998)</f>
        <v/>
      </c>
      <c r="U998" s="267">
        <f>IFERROR(__xludf.DUMMYFUNCTION("""COMPUTED_VALUE"""),44581.6458333333)</f>
        <v/>
      </c>
      <c r="V998" s="6">
        <f>IFERROR(__xludf.DUMMYFUNCTION("""COMPUTED_VALUE"""),2862.68)</f>
        <v/>
      </c>
      <c r="Z998" s="6">
        <f>AA998&amp;AB998</f>
        <v/>
      </c>
      <c r="AA998" s="6">
        <f>YEAR(AC998)</f>
        <v/>
      </c>
      <c r="AB998" s="6">
        <f>MONTH(AC998)</f>
        <v/>
      </c>
      <c r="AC998" s="267">
        <f>IFERROR(__xludf.DUMMYFUNCTION("""COMPUTED_VALUE"""),44140.9986111111)</f>
        <v/>
      </c>
      <c r="AD998" s="6">
        <f>IFERROR(__xludf.DUMMYFUNCTION("""COMPUTED_VALUE"""),1122.63)</f>
        <v/>
      </c>
      <c r="AH998" s="6">
        <f>AI998&amp;AJ998</f>
        <v/>
      </c>
      <c r="AI998" s="6">
        <f>YEAR(AK998)</f>
        <v/>
      </c>
      <c r="AJ998" s="6">
        <f>MONTH(AK998)</f>
        <v/>
      </c>
      <c r="AK998" s="267">
        <f>IFERROR(__xludf.DUMMYFUNCTION("""COMPUTED_VALUE"""),44090.9986111111)</f>
        <v/>
      </c>
      <c r="AL998" s="6">
        <f>IFERROR(__xludf.DUMMYFUNCTION("""COMPUTED_VALUE"""),10950.88)</f>
        <v/>
      </c>
      <c r="AP998" s="6">
        <f>AQ998&amp;AR998</f>
        <v/>
      </c>
      <c r="AQ998" s="6">
        <f>YEAR(AS998)</f>
        <v/>
      </c>
      <c r="AR998" s="6">
        <f>MONTH(AS998)</f>
        <v/>
      </c>
      <c r="AS998" s="267">
        <f>IFERROR(__xludf.DUMMYFUNCTION("""COMPUTED_VALUE"""),44552.9986111111)</f>
        <v/>
      </c>
      <c r="AT998" s="6">
        <f>IFERROR(__xludf.DUMMYFUNCTION("""COMPUTED_VALUE"""),1802.2)</f>
        <v/>
      </c>
    </row>
    <row r="999">
      <c r="B999" s="6">
        <f>C999&amp;D999</f>
        <v/>
      </c>
      <c r="C999" s="6">
        <f>YEAR(E999)</f>
        <v/>
      </c>
      <c r="D999" s="6">
        <f>MONTH(E999)</f>
        <v/>
      </c>
      <c r="E999" s="267">
        <f>IFERROR(__xludf.DUMMYFUNCTION("""COMPUTED_VALUE"""),44545.6666666666)</f>
        <v/>
      </c>
      <c r="F999" s="6">
        <f>IFERROR(__xludf.DUMMYFUNCTION("""COMPUTED_VALUE"""),4709.85)</f>
        <v/>
      </c>
      <c r="J999" s="6">
        <f>K999&amp;L999</f>
        <v/>
      </c>
      <c r="K999" s="6">
        <f>YEAR(M999)</f>
        <v/>
      </c>
      <c r="L999" s="6">
        <f>MONTH(M999)</f>
        <v/>
      </c>
      <c r="M999" s="267">
        <f>IFERROR(__xludf.DUMMYFUNCTION("""COMPUTED_VALUE"""),44538.6666666666)</f>
        <v/>
      </c>
      <c r="N999" s="6">
        <f>IFERROR(__xludf.DUMMYFUNCTION("""COMPUTED_VALUE"""),15786.99)</f>
        <v/>
      </c>
      <c r="R999" s="6">
        <f>S999&amp;T999</f>
        <v/>
      </c>
      <c r="S999" s="6">
        <f>YEAR(U999)</f>
        <v/>
      </c>
      <c r="T999" s="6">
        <f>MONTH(U999)</f>
        <v/>
      </c>
      <c r="U999" s="267">
        <f>IFERROR(__xludf.DUMMYFUNCTION("""COMPUTED_VALUE"""),44582.6458333333)</f>
        <v/>
      </c>
      <c r="V999" s="6">
        <f>IFERROR(__xludf.DUMMYFUNCTION("""COMPUTED_VALUE"""),2834.29)</f>
        <v/>
      </c>
      <c r="Z999" s="6">
        <f>AA999&amp;AB999</f>
        <v/>
      </c>
      <c r="AA999" s="6">
        <f>YEAR(AC999)</f>
        <v/>
      </c>
      <c r="AB999" s="6">
        <f>MONTH(AC999)</f>
        <v/>
      </c>
      <c r="AC999" s="267">
        <f>IFERROR(__xludf.DUMMYFUNCTION("""COMPUTED_VALUE"""),44141.9986111111)</f>
        <v/>
      </c>
      <c r="AD999" s="6">
        <f>IFERROR(__xludf.DUMMYFUNCTION("""COMPUTED_VALUE"""),1121.15)</f>
        <v/>
      </c>
      <c r="AH999" s="6">
        <f>AI999&amp;AJ999</f>
        <v/>
      </c>
      <c r="AI999" s="6">
        <f>YEAR(AK999)</f>
        <v/>
      </c>
      <c r="AJ999" s="6">
        <f>MONTH(AK999)</f>
        <v/>
      </c>
      <c r="AK999" s="267">
        <f>IFERROR(__xludf.DUMMYFUNCTION("""COMPUTED_VALUE"""),44091.9986111111)</f>
        <v/>
      </c>
      <c r="AL999" s="6">
        <f>IFERROR(__xludf.DUMMYFUNCTION("""COMPUTED_VALUE"""),10944.69)</f>
        <v/>
      </c>
      <c r="AP999" s="6">
        <f>AQ999&amp;AR999</f>
        <v/>
      </c>
      <c r="AQ999" s="6">
        <f>YEAR(AS999)</f>
        <v/>
      </c>
      <c r="AR999" s="6">
        <f>MONTH(AS999)</f>
        <v/>
      </c>
      <c r="AS999" s="267">
        <f>IFERROR(__xludf.DUMMYFUNCTION("""COMPUTED_VALUE"""),44553.9986111111)</f>
        <v/>
      </c>
      <c r="AT999" s="6">
        <f>IFERROR(__xludf.DUMMYFUNCTION("""COMPUTED_VALUE"""),1814)</f>
        <v/>
      </c>
    </row>
    <row r="1000">
      <c r="B1000" s="6">
        <f>C1000&amp;D1000</f>
        <v/>
      </c>
      <c r="C1000" s="6">
        <f>YEAR(E1000)</f>
        <v/>
      </c>
      <c r="D1000" s="6">
        <f>MONTH(E1000)</f>
        <v/>
      </c>
      <c r="E1000" s="267">
        <f>IFERROR(__xludf.DUMMYFUNCTION("""COMPUTED_VALUE"""),44546.6666666666)</f>
        <v/>
      </c>
      <c r="F1000" s="6">
        <f>IFERROR(__xludf.DUMMYFUNCTION("""COMPUTED_VALUE"""),4668.67)</f>
        <v/>
      </c>
      <c r="J1000" s="6">
        <f>K1000&amp;L1000</f>
        <v/>
      </c>
      <c r="K1000" s="6">
        <f>YEAR(M1000)</f>
        <v/>
      </c>
      <c r="L1000" s="6">
        <f>MONTH(M1000)</f>
        <v/>
      </c>
      <c r="M1000" s="267">
        <f>IFERROR(__xludf.DUMMYFUNCTION("""COMPUTED_VALUE"""),44539.6666666666)</f>
        <v/>
      </c>
      <c r="N1000" s="6">
        <f>IFERROR(__xludf.DUMMYFUNCTION("""COMPUTED_VALUE"""),15517.37)</f>
        <v/>
      </c>
      <c r="R1000" s="6">
        <f>S1000&amp;T1000</f>
        <v/>
      </c>
      <c r="S1000" s="6">
        <f>YEAR(U1000)</f>
        <v/>
      </c>
      <c r="T1000" s="6">
        <f>MONTH(U1000)</f>
        <v/>
      </c>
      <c r="U1000" s="267">
        <f>IFERROR(__xludf.DUMMYFUNCTION("""COMPUTED_VALUE"""),44585.6458333333)</f>
        <v/>
      </c>
      <c r="V1000" s="6">
        <f>IFERROR(__xludf.DUMMYFUNCTION("""COMPUTED_VALUE"""),2792)</f>
        <v/>
      </c>
      <c r="Z1000" s="6">
        <f>AA1000&amp;AB1000</f>
        <v/>
      </c>
      <c r="AA1000" s="6">
        <f>YEAR(AC1000)</f>
        <v/>
      </c>
      <c r="AB1000" s="6">
        <f>MONTH(AC1000)</f>
        <v/>
      </c>
      <c r="AC1000" s="267">
        <f>IFERROR(__xludf.DUMMYFUNCTION("""COMPUTED_VALUE"""),44142.9986111111)</f>
        <v/>
      </c>
      <c r="AD1000" s="6">
        <f>IFERROR(__xludf.DUMMYFUNCTION("""COMPUTED_VALUE"""),1121.15)</f>
        <v/>
      </c>
      <c r="AH1000" s="6">
        <f>AI1000&amp;AJ1000</f>
        <v/>
      </c>
      <c r="AI1000" s="6">
        <f>YEAR(AK1000)</f>
        <v/>
      </c>
      <c r="AJ1000" s="6">
        <f>MONTH(AK1000)</f>
        <v/>
      </c>
      <c r="AK1000" s="267">
        <f>IFERROR(__xludf.DUMMYFUNCTION("""COMPUTED_VALUE"""),44092.9986111111)</f>
        <v/>
      </c>
      <c r="AL1000" s="6">
        <f>IFERROR(__xludf.DUMMYFUNCTION("""COMPUTED_VALUE"""),10936.99)</f>
        <v/>
      </c>
      <c r="AP1000" s="6">
        <f>AQ1000&amp;AR1000</f>
        <v/>
      </c>
      <c r="AQ1000" s="6">
        <f>YEAR(AS1000)</f>
        <v/>
      </c>
      <c r="AR1000" s="6">
        <f>MONTH(AS1000)</f>
        <v/>
      </c>
      <c r="AS1000" s="267">
        <f>IFERROR(__xludf.DUMMYFUNCTION("""COMPUTED_VALUE"""),44557.9986111111)</f>
        <v/>
      </c>
      <c r="AT1000" s="6">
        <f>IFERROR(__xludf.DUMMYFUNCTION("""COMPUTED_VALUE"""),1808.8)</f>
        <v/>
      </c>
    </row>
    <row r="1001">
      <c r="B1001" s="6">
        <f>C1001&amp;D1001</f>
        <v/>
      </c>
      <c r="C1001" s="6">
        <f>YEAR(E1001)</f>
        <v/>
      </c>
      <c r="D1001" s="6">
        <f>MONTH(E1001)</f>
        <v/>
      </c>
      <c r="E1001" s="267">
        <f>IFERROR(__xludf.DUMMYFUNCTION("""COMPUTED_VALUE"""),44547.6666666666)</f>
        <v/>
      </c>
      <c r="F1001" s="6">
        <f>IFERROR(__xludf.DUMMYFUNCTION("""COMPUTED_VALUE"""),4620.64)</f>
        <v/>
      </c>
      <c r="J1001" s="6">
        <f>K1001&amp;L1001</f>
        <v/>
      </c>
      <c r="K1001" s="6">
        <f>YEAR(M1001)</f>
        <v/>
      </c>
      <c r="L1001" s="6">
        <f>MONTH(M1001)</f>
        <v/>
      </c>
      <c r="M1001" s="267">
        <f>IFERROR(__xludf.DUMMYFUNCTION("""COMPUTED_VALUE"""),44540.6666666666)</f>
        <v/>
      </c>
      <c r="N1001" s="6">
        <f>IFERROR(__xludf.DUMMYFUNCTION("""COMPUTED_VALUE"""),15630.6)</f>
        <v/>
      </c>
      <c r="R1001" s="6">
        <f>S1001&amp;T1001</f>
        <v/>
      </c>
      <c r="S1001" s="6">
        <f>YEAR(U1001)</f>
        <v/>
      </c>
      <c r="T1001" s="6">
        <f>MONTH(U1001)</f>
        <v/>
      </c>
      <c r="U1001" s="267">
        <f>IFERROR(__xludf.DUMMYFUNCTION("""COMPUTED_VALUE"""),44586.6458333333)</f>
        <v/>
      </c>
      <c r="V1001" s="6">
        <f>IFERROR(__xludf.DUMMYFUNCTION("""COMPUTED_VALUE"""),2720.39)</f>
        <v/>
      </c>
      <c r="Z1001" s="6">
        <f>AA1001&amp;AB1001</f>
        <v/>
      </c>
      <c r="AA1001" s="6">
        <f>YEAR(AC1001)</f>
        <v/>
      </c>
      <c r="AB1001" s="6">
        <f>MONTH(AC1001)</f>
        <v/>
      </c>
      <c r="AC1001" s="267">
        <f>IFERROR(__xludf.DUMMYFUNCTION("""COMPUTED_VALUE"""),44143.9986111111)</f>
        <v/>
      </c>
      <c r="AD1001" s="6">
        <f>IFERROR(__xludf.DUMMYFUNCTION("""COMPUTED_VALUE"""),1121.15)</f>
        <v/>
      </c>
      <c r="AH1001" s="6">
        <f>AI1001&amp;AJ1001</f>
        <v/>
      </c>
      <c r="AI1001" s="6">
        <f>YEAR(AK1001)</f>
        <v/>
      </c>
      <c r="AJ1001" s="6">
        <f>MONTH(AK1001)</f>
        <v/>
      </c>
      <c r="AK1001" s="267">
        <f>IFERROR(__xludf.DUMMYFUNCTION("""COMPUTED_VALUE"""),44093.9986111111)</f>
        <v/>
      </c>
      <c r="AL1001" s="6">
        <f>IFERROR(__xludf.DUMMYFUNCTION("""COMPUTED_VALUE"""),11082.85)</f>
        <v/>
      </c>
      <c r="AP1001" s="6">
        <f>AQ1001&amp;AR1001</f>
        <v/>
      </c>
      <c r="AQ1001" s="6">
        <f>YEAR(AS1001)</f>
        <v/>
      </c>
      <c r="AR1001" s="6">
        <f>MONTH(AS1001)</f>
        <v/>
      </c>
      <c r="AS1001" s="267">
        <f>IFERROR(__xludf.DUMMYFUNCTION("""COMPUTED_VALUE"""),44558.9986111111)</f>
        <v/>
      </c>
      <c r="AT1001" s="6">
        <f>IFERROR(__xludf.DUMMYFUNCTION("""COMPUTED_VALUE"""),1810.9)</f>
        <v/>
      </c>
    </row>
    <row r="1002">
      <c r="B1002" s="6">
        <f>C1002&amp;D1002</f>
        <v/>
      </c>
      <c r="C1002" s="6">
        <f>YEAR(E1002)</f>
        <v/>
      </c>
      <c r="D1002" s="6">
        <f>MONTH(E1002)</f>
        <v/>
      </c>
      <c r="E1002" s="267">
        <f>IFERROR(__xludf.DUMMYFUNCTION("""COMPUTED_VALUE"""),44550.6666666666)</f>
        <v/>
      </c>
      <c r="F1002" s="6">
        <f>IFERROR(__xludf.DUMMYFUNCTION("""COMPUTED_VALUE"""),4568.02)</f>
        <v/>
      </c>
      <c r="J1002" s="6">
        <f>K1002&amp;L1002</f>
        <v/>
      </c>
      <c r="K1002" s="6">
        <f>YEAR(M1002)</f>
        <v/>
      </c>
      <c r="L1002" s="6">
        <f>MONTH(M1002)</f>
        <v/>
      </c>
      <c r="M1002" s="267">
        <f>IFERROR(__xludf.DUMMYFUNCTION("""COMPUTED_VALUE"""),44543.6666666666)</f>
        <v/>
      </c>
      <c r="N1002" s="6">
        <f>IFERROR(__xludf.DUMMYFUNCTION("""COMPUTED_VALUE"""),15413.28)</f>
        <v/>
      </c>
      <c r="R1002" s="6">
        <f>S1002&amp;T1002</f>
        <v/>
      </c>
      <c r="S1002" s="6">
        <f>YEAR(U1002)</f>
        <v/>
      </c>
      <c r="T1002" s="6">
        <f>MONTH(U1002)</f>
        <v/>
      </c>
      <c r="U1002" s="267">
        <f>IFERROR(__xludf.DUMMYFUNCTION("""COMPUTED_VALUE"""),44587.6458333333)</f>
        <v/>
      </c>
      <c r="V1002" s="6">
        <f>IFERROR(__xludf.DUMMYFUNCTION("""COMPUTED_VALUE"""),2709.24)</f>
        <v/>
      </c>
      <c r="Z1002" s="6">
        <f>AA1002&amp;AB1002</f>
        <v/>
      </c>
      <c r="AA1002" s="6">
        <f>YEAR(AC1002)</f>
        <v/>
      </c>
      <c r="AB1002" s="6">
        <f>MONTH(AC1002)</f>
        <v/>
      </c>
      <c r="AC1002" s="267">
        <f>IFERROR(__xludf.DUMMYFUNCTION("""COMPUTED_VALUE"""),44144.9986111111)</f>
        <v/>
      </c>
      <c r="AD1002" s="6">
        <f>IFERROR(__xludf.DUMMYFUNCTION("""COMPUTED_VALUE"""),1118.69)</f>
        <v/>
      </c>
      <c r="AH1002" s="6">
        <f>AI1002&amp;AJ1002</f>
        <v/>
      </c>
      <c r="AI1002" s="6">
        <f>YEAR(AK1002)</f>
        <v/>
      </c>
      <c r="AJ1002" s="6">
        <f>MONTH(AK1002)</f>
        <v/>
      </c>
      <c r="AK1002" s="267">
        <f>IFERROR(__xludf.DUMMYFUNCTION("""COMPUTED_VALUE"""),44094.9986111111)</f>
        <v/>
      </c>
      <c r="AL1002" s="6">
        <f>IFERROR(__xludf.DUMMYFUNCTION("""COMPUTED_VALUE"""),10920.82)</f>
        <v/>
      </c>
      <c r="AP1002" s="6">
        <f>AQ1002&amp;AR1002</f>
        <v/>
      </c>
      <c r="AQ1002" s="6">
        <f>YEAR(AS1002)</f>
        <v/>
      </c>
      <c r="AR1002" s="6">
        <f>MONTH(AS1002)</f>
        <v/>
      </c>
      <c r="AS1002" s="267">
        <f>IFERROR(__xludf.DUMMYFUNCTION("""COMPUTED_VALUE"""),44559.9986111111)</f>
        <v/>
      </c>
      <c r="AT1002" s="6">
        <f>IFERROR(__xludf.DUMMYFUNCTION("""COMPUTED_VALUE"""),1805.8)</f>
        <v/>
      </c>
    </row>
    <row r="1003">
      <c r="B1003" s="6">
        <f>C1003&amp;D1003</f>
        <v/>
      </c>
      <c r="C1003" s="6">
        <f>YEAR(E1003)</f>
        <v/>
      </c>
      <c r="D1003" s="6">
        <f>MONTH(E1003)</f>
        <v/>
      </c>
      <c r="E1003" s="267">
        <f>IFERROR(__xludf.DUMMYFUNCTION("""COMPUTED_VALUE"""),44551.6666666666)</f>
        <v/>
      </c>
      <c r="F1003" s="6">
        <f>IFERROR(__xludf.DUMMYFUNCTION("""COMPUTED_VALUE"""),4649.23)</f>
        <v/>
      </c>
      <c r="J1003" s="6">
        <f>K1003&amp;L1003</f>
        <v/>
      </c>
      <c r="K1003" s="6">
        <f>YEAR(M1003)</f>
        <v/>
      </c>
      <c r="L1003" s="6">
        <f>MONTH(M1003)</f>
        <v/>
      </c>
      <c r="M1003" s="267">
        <f>IFERROR(__xludf.DUMMYFUNCTION("""COMPUTED_VALUE"""),44544.6666666666)</f>
        <v/>
      </c>
      <c r="N1003" s="6">
        <f>IFERROR(__xludf.DUMMYFUNCTION("""COMPUTED_VALUE"""),15237.64)</f>
        <v/>
      </c>
      <c r="R1003" s="6">
        <f>S1003&amp;T1003</f>
        <v/>
      </c>
      <c r="S1003" s="6">
        <f>YEAR(U1003)</f>
        <v/>
      </c>
      <c r="T1003" s="6">
        <f>MONTH(U1003)</f>
        <v/>
      </c>
      <c r="U1003" s="267">
        <f>IFERROR(__xludf.DUMMYFUNCTION("""COMPUTED_VALUE"""),44588.6458333333)</f>
        <v/>
      </c>
      <c r="V1003" s="6">
        <f>IFERROR(__xludf.DUMMYFUNCTION("""COMPUTED_VALUE"""),2614.49)</f>
        <v/>
      </c>
      <c r="Z1003" s="6">
        <f>AA1003&amp;AB1003</f>
        <v/>
      </c>
      <c r="AA1003" s="6">
        <f>YEAR(AC1003)</f>
        <v/>
      </c>
      <c r="AB1003" s="6">
        <f>MONTH(AC1003)</f>
        <v/>
      </c>
      <c r="AC1003" s="267">
        <f>IFERROR(__xludf.DUMMYFUNCTION("""COMPUTED_VALUE"""),44145.9986111111)</f>
        <v/>
      </c>
      <c r="AD1003" s="6">
        <f>IFERROR(__xludf.DUMMYFUNCTION("""COMPUTED_VALUE"""),1116.08)</f>
        <v/>
      </c>
      <c r="AH1003" s="6">
        <f>AI1003&amp;AJ1003</f>
        <v/>
      </c>
      <c r="AI1003" s="6">
        <f>YEAR(AK1003)</f>
        <v/>
      </c>
      <c r="AJ1003" s="6">
        <f>MONTH(AK1003)</f>
        <v/>
      </c>
      <c r="AK1003" s="267">
        <f>IFERROR(__xludf.DUMMYFUNCTION("""COMPUTED_VALUE"""),44095.9986111111)</f>
        <v/>
      </c>
      <c r="AL1003" s="6">
        <f>IFERROR(__xludf.DUMMYFUNCTION("""COMPUTED_VALUE"""),10418.53)</f>
        <v/>
      </c>
      <c r="AP1003" s="6">
        <f>AQ1003&amp;AR1003</f>
        <v/>
      </c>
      <c r="AQ1003" s="6">
        <f>YEAR(AS1003)</f>
        <v/>
      </c>
      <c r="AR1003" s="6">
        <f>MONTH(AS1003)</f>
        <v/>
      </c>
      <c r="AS1003" s="267">
        <f>IFERROR(__xludf.DUMMYFUNCTION("""COMPUTED_VALUE"""),44560.9986111111)</f>
        <v/>
      </c>
      <c r="AT1003" s="6">
        <f>IFERROR(__xludf.DUMMYFUNCTION("""COMPUTED_VALUE"""),1814.1)</f>
        <v/>
      </c>
    </row>
    <row r="1004">
      <c r="B1004" s="6">
        <f>C1004&amp;D1004</f>
        <v/>
      </c>
      <c r="C1004" s="6">
        <f>YEAR(E1004)</f>
        <v/>
      </c>
      <c r="D1004" s="6">
        <f>MONTH(E1004)</f>
        <v/>
      </c>
      <c r="E1004" s="267">
        <f>IFERROR(__xludf.DUMMYFUNCTION("""COMPUTED_VALUE"""),44552.6666666666)</f>
        <v/>
      </c>
      <c r="F1004" s="6">
        <f>IFERROR(__xludf.DUMMYFUNCTION("""COMPUTED_VALUE"""),4696.56)</f>
        <v/>
      </c>
      <c r="J1004" s="6">
        <f>K1004&amp;L1004</f>
        <v/>
      </c>
      <c r="K1004" s="6">
        <f>YEAR(M1004)</f>
        <v/>
      </c>
      <c r="L1004" s="6">
        <f>MONTH(M1004)</f>
        <v/>
      </c>
      <c r="M1004" s="267">
        <f>IFERROR(__xludf.DUMMYFUNCTION("""COMPUTED_VALUE"""),44545.6666666666)</f>
        <v/>
      </c>
      <c r="N1004" s="6">
        <f>IFERROR(__xludf.DUMMYFUNCTION("""COMPUTED_VALUE"""),15565.58)</f>
        <v/>
      </c>
      <c r="R1004" s="6">
        <f>S1004&amp;T1004</f>
        <v/>
      </c>
      <c r="S1004" s="6">
        <f>YEAR(U1004)</f>
        <v/>
      </c>
      <c r="T1004" s="6">
        <f>MONTH(U1004)</f>
        <v/>
      </c>
      <c r="U1004" s="267">
        <f>IFERROR(__xludf.DUMMYFUNCTION("""COMPUTED_VALUE"""),44589.6458333333)</f>
        <v/>
      </c>
      <c r="V1004" s="6">
        <f>IFERROR(__xludf.DUMMYFUNCTION("""COMPUTED_VALUE"""),2663.34)</f>
        <v/>
      </c>
      <c r="Z1004" s="6">
        <f>AA1004&amp;AB1004</f>
        <v/>
      </c>
      <c r="AA1004" s="6">
        <f>YEAR(AC1004)</f>
        <v/>
      </c>
      <c r="AB1004" s="6">
        <f>MONTH(AC1004)</f>
        <v/>
      </c>
      <c r="AC1004" s="267">
        <f>IFERROR(__xludf.DUMMYFUNCTION("""COMPUTED_VALUE"""),44146.9986111111)</f>
        <v/>
      </c>
      <c r="AD1004" s="6">
        <f>IFERROR(__xludf.DUMMYFUNCTION("""COMPUTED_VALUE"""),1111.45)</f>
        <v/>
      </c>
      <c r="AH1004" s="6">
        <f>AI1004&amp;AJ1004</f>
        <v/>
      </c>
      <c r="AI1004" s="6">
        <f>YEAR(AK1004)</f>
        <v/>
      </c>
      <c r="AJ1004" s="6">
        <f>MONTH(AK1004)</f>
        <v/>
      </c>
      <c r="AK1004" s="267">
        <f>IFERROR(__xludf.DUMMYFUNCTION("""COMPUTED_VALUE"""),44096.9986111111)</f>
        <v/>
      </c>
      <c r="AL1004" s="6">
        <f>IFERROR(__xludf.DUMMYFUNCTION("""COMPUTED_VALUE"""),10532.29)</f>
        <v/>
      </c>
      <c r="AP1004" s="6">
        <f>AQ1004&amp;AR1004</f>
        <v/>
      </c>
      <c r="AQ1004" s="6">
        <f>YEAR(AS1004)</f>
        <v/>
      </c>
      <c r="AR1004" s="6">
        <f>MONTH(AS1004)</f>
        <v/>
      </c>
      <c r="AS1004" s="267">
        <f>IFERROR(__xludf.DUMMYFUNCTION("""COMPUTED_VALUE"""),44561.9986111111)</f>
        <v/>
      </c>
      <c r="AT1004" s="6">
        <f>IFERROR(__xludf.DUMMYFUNCTION("""COMPUTED_VALUE"""),1828.6)</f>
        <v/>
      </c>
    </row>
    <row r="1005">
      <c r="B1005" s="6">
        <f>C1005&amp;D1005</f>
        <v/>
      </c>
      <c r="C1005" s="6">
        <f>YEAR(E1005)</f>
        <v/>
      </c>
      <c r="D1005" s="6">
        <f>MONTH(E1005)</f>
        <v/>
      </c>
      <c r="E1005" s="267">
        <f>IFERROR(__xludf.DUMMYFUNCTION("""COMPUTED_VALUE"""),44553.6666666666)</f>
        <v/>
      </c>
      <c r="F1005" s="6">
        <f>IFERROR(__xludf.DUMMYFUNCTION("""COMPUTED_VALUE"""),4725.79)</f>
        <v/>
      </c>
      <c r="J1005" s="6">
        <f>K1005&amp;L1005</f>
        <v/>
      </c>
      <c r="K1005" s="6">
        <f>YEAR(M1005)</f>
        <v/>
      </c>
      <c r="L1005" s="6">
        <f>MONTH(M1005)</f>
        <v/>
      </c>
      <c r="M1005" s="267">
        <f>IFERROR(__xludf.DUMMYFUNCTION("""COMPUTED_VALUE"""),44546.6666666666)</f>
        <v/>
      </c>
      <c r="N1005" s="6">
        <f>IFERROR(__xludf.DUMMYFUNCTION("""COMPUTED_VALUE"""),15180.44)</f>
        <v/>
      </c>
      <c r="R1005" s="6">
        <f>S1005&amp;T1005</f>
        <v/>
      </c>
      <c r="S1005" s="6">
        <f>YEAR(U1005)</f>
        <v/>
      </c>
      <c r="T1005" s="6">
        <f>MONTH(U1005)</f>
        <v/>
      </c>
      <c r="U1005" s="267">
        <f>IFERROR(__xludf.DUMMYFUNCTION("""COMPUTED_VALUE"""),44595.6458333333)</f>
        <v/>
      </c>
      <c r="V1005" s="6">
        <f>IFERROR(__xludf.DUMMYFUNCTION("""COMPUTED_VALUE"""),2707.82)</f>
        <v/>
      </c>
      <c r="Z1005" s="6">
        <f>AA1005&amp;AB1005</f>
        <v/>
      </c>
      <c r="AA1005" s="6">
        <f>YEAR(AC1005)</f>
        <v/>
      </c>
      <c r="AB1005" s="6">
        <f>MONTH(AC1005)</f>
        <v/>
      </c>
      <c r="AC1005" s="267">
        <f>IFERROR(__xludf.DUMMYFUNCTION("""COMPUTED_VALUE"""),44147.9986111111)</f>
        <v/>
      </c>
      <c r="AD1005" s="6">
        <f>IFERROR(__xludf.DUMMYFUNCTION("""COMPUTED_VALUE"""),1114.91)</f>
        <v/>
      </c>
      <c r="AH1005" s="6">
        <f>AI1005&amp;AJ1005</f>
        <v/>
      </c>
      <c r="AI1005" s="6">
        <f>YEAR(AK1005)</f>
        <v/>
      </c>
      <c r="AJ1005" s="6">
        <f>MONTH(AK1005)</f>
        <v/>
      </c>
      <c r="AK1005" s="267">
        <f>IFERROR(__xludf.DUMMYFUNCTION("""COMPUTED_VALUE"""),44097.9986111111)</f>
        <v/>
      </c>
      <c r="AL1005" s="6">
        <f>IFERROR(__xludf.DUMMYFUNCTION("""COMPUTED_VALUE"""),10234.28)</f>
        <v/>
      </c>
      <c r="AP1005" s="6">
        <f>AQ1005&amp;AR1005</f>
        <v/>
      </c>
      <c r="AQ1005" s="6">
        <f>YEAR(AS1005)</f>
        <v/>
      </c>
      <c r="AR1005" s="6">
        <f>MONTH(AS1005)</f>
        <v/>
      </c>
      <c r="AS1005" s="267">
        <f>IFERROR(__xludf.DUMMYFUNCTION("""COMPUTED_VALUE"""),44564.9986111111)</f>
        <v/>
      </c>
      <c r="AT1005" s="6">
        <f>IFERROR(__xludf.DUMMYFUNCTION("""COMPUTED_VALUE"""),1800.1)</f>
        <v/>
      </c>
    </row>
    <row r="1006">
      <c r="B1006" s="6">
        <f>C1006&amp;D1006</f>
        <v/>
      </c>
      <c r="C1006" s="6">
        <f>YEAR(E1006)</f>
        <v/>
      </c>
      <c r="D1006" s="6">
        <f>MONTH(E1006)</f>
        <v/>
      </c>
      <c r="E1006" s="267">
        <f>IFERROR(__xludf.DUMMYFUNCTION("""COMPUTED_VALUE"""),44557.6666666666)</f>
        <v/>
      </c>
      <c r="F1006" s="6">
        <f>IFERROR(__xludf.DUMMYFUNCTION("""COMPUTED_VALUE"""),4791.19)</f>
        <v/>
      </c>
      <c r="J1006" s="6">
        <f>K1006&amp;L1006</f>
        <v/>
      </c>
      <c r="K1006" s="6">
        <f>YEAR(M1006)</f>
        <v/>
      </c>
      <c r="L1006" s="6">
        <f>MONTH(M1006)</f>
        <v/>
      </c>
      <c r="M1006" s="267">
        <f>IFERROR(__xludf.DUMMYFUNCTION("""COMPUTED_VALUE"""),44547.6666666666)</f>
        <v/>
      </c>
      <c r="N1006" s="6">
        <f>IFERROR(__xludf.DUMMYFUNCTION("""COMPUTED_VALUE"""),15169.68)</f>
        <v/>
      </c>
      <c r="R1006" s="6">
        <f>S1006&amp;T1006</f>
        <v/>
      </c>
      <c r="S1006" s="6">
        <f>YEAR(U1006)</f>
        <v/>
      </c>
      <c r="T1006" s="6">
        <f>MONTH(U1006)</f>
        <v/>
      </c>
      <c r="U1006" s="267">
        <f>IFERROR(__xludf.DUMMYFUNCTION("""COMPUTED_VALUE"""),44596.6458333333)</f>
        <v/>
      </c>
      <c r="V1006" s="6">
        <f>IFERROR(__xludf.DUMMYFUNCTION("""COMPUTED_VALUE"""),2750.26)</f>
        <v/>
      </c>
      <c r="Z1006" s="6">
        <f>AA1006&amp;AB1006</f>
        <v/>
      </c>
      <c r="AA1006" s="6">
        <f>YEAR(AC1006)</f>
        <v/>
      </c>
      <c r="AB1006" s="6">
        <f>MONTH(AC1006)</f>
        <v/>
      </c>
      <c r="AC1006" s="267">
        <f>IFERROR(__xludf.DUMMYFUNCTION("""COMPUTED_VALUE"""),44148.9986111111)</f>
        <v/>
      </c>
      <c r="AD1006" s="6">
        <f>IFERROR(__xludf.DUMMYFUNCTION("""COMPUTED_VALUE"""),1107.76)</f>
        <v/>
      </c>
      <c r="AH1006" s="6">
        <f>AI1006&amp;AJ1006</f>
        <v/>
      </c>
      <c r="AI1006" s="6">
        <f>YEAR(AK1006)</f>
        <v/>
      </c>
      <c r="AJ1006" s="6">
        <f>MONTH(AK1006)</f>
        <v/>
      </c>
      <c r="AK1006" s="267">
        <f>IFERROR(__xludf.DUMMYFUNCTION("""COMPUTED_VALUE"""),44098.9986111111)</f>
        <v/>
      </c>
      <c r="AL1006" s="6">
        <f>IFERROR(__xludf.DUMMYFUNCTION("""COMPUTED_VALUE"""),10741.21)</f>
        <v/>
      </c>
      <c r="AP1006" s="6">
        <f>AQ1006&amp;AR1006</f>
        <v/>
      </c>
      <c r="AQ1006" s="6">
        <f>YEAR(AS1006)</f>
        <v/>
      </c>
      <c r="AR1006" s="6">
        <f>MONTH(AS1006)</f>
        <v/>
      </c>
      <c r="AS1006" s="267">
        <f>IFERROR(__xludf.DUMMYFUNCTION("""COMPUTED_VALUE"""),44565.9986111111)</f>
        <v/>
      </c>
      <c r="AT1006" s="6">
        <f>IFERROR(__xludf.DUMMYFUNCTION("""COMPUTED_VALUE"""),1814.6)</f>
        <v/>
      </c>
    </row>
    <row r="1007">
      <c r="B1007" s="6">
        <f>C1007&amp;D1007</f>
        <v/>
      </c>
      <c r="C1007" s="6">
        <f>YEAR(E1007)</f>
        <v/>
      </c>
      <c r="D1007" s="6">
        <f>MONTH(E1007)</f>
        <v/>
      </c>
      <c r="E1007" s="267">
        <f>IFERROR(__xludf.DUMMYFUNCTION("""COMPUTED_VALUE"""),44558.6666666666)</f>
        <v/>
      </c>
      <c r="F1007" s="6">
        <f>IFERROR(__xludf.DUMMYFUNCTION("""COMPUTED_VALUE"""),4786.35)</f>
        <v/>
      </c>
      <c r="J1007" s="6">
        <f>K1007&amp;L1007</f>
        <v/>
      </c>
      <c r="K1007" s="6">
        <f>YEAR(M1007)</f>
        <v/>
      </c>
      <c r="L1007" s="6">
        <f>MONTH(M1007)</f>
        <v/>
      </c>
      <c r="M1007" s="267">
        <f>IFERROR(__xludf.DUMMYFUNCTION("""COMPUTED_VALUE"""),44550.6666666666)</f>
        <v/>
      </c>
      <c r="N1007" s="6">
        <f>IFERROR(__xludf.DUMMYFUNCTION("""COMPUTED_VALUE"""),14980.94)</f>
        <v/>
      </c>
      <c r="R1007" s="6">
        <f>S1007&amp;T1007</f>
        <v/>
      </c>
      <c r="S1007" s="6">
        <f>YEAR(U1007)</f>
        <v/>
      </c>
      <c r="T1007" s="6">
        <f>MONTH(U1007)</f>
        <v/>
      </c>
      <c r="U1007" s="267">
        <f>IFERROR(__xludf.DUMMYFUNCTION("""COMPUTED_VALUE"""),44599.6458333333)</f>
        <v/>
      </c>
      <c r="V1007" s="6">
        <f>IFERROR(__xludf.DUMMYFUNCTION("""COMPUTED_VALUE"""),2745.06)</f>
        <v/>
      </c>
      <c r="Z1007" s="6">
        <f>AA1007&amp;AB1007</f>
        <v/>
      </c>
      <c r="AA1007" s="6">
        <f>YEAR(AC1007)</f>
        <v/>
      </c>
      <c r="AB1007" s="6">
        <f>MONTH(AC1007)</f>
        <v/>
      </c>
      <c r="AC1007" s="267">
        <f>IFERROR(__xludf.DUMMYFUNCTION("""COMPUTED_VALUE"""),44149.9986111111)</f>
        <v/>
      </c>
      <c r="AD1007" s="6">
        <f>IFERROR(__xludf.DUMMYFUNCTION("""COMPUTED_VALUE"""),1107.76)</f>
        <v/>
      </c>
      <c r="AH1007" s="6">
        <f>AI1007&amp;AJ1007</f>
        <v/>
      </c>
      <c r="AI1007" s="6">
        <f>YEAR(AK1007)</f>
        <v/>
      </c>
      <c r="AJ1007" s="6">
        <f>MONTH(AK1007)</f>
        <v/>
      </c>
      <c r="AK1007" s="267">
        <f>IFERROR(__xludf.DUMMYFUNCTION("""COMPUTED_VALUE"""),44099.9986111111)</f>
        <v/>
      </c>
      <c r="AL1007" s="6">
        <f>IFERROR(__xludf.DUMMYFUNCTION("""COMPUTED_VALUE"""),10691.79)</f>
        <v/>
      </c>
      <c r="AP1007" s="6">
        <f>AQ1007&amp;AR1007</f>
        <v/>
      </c>
      <c r="AQ1007" s="6">
        <f>YEAR(AS1007)</f>
        <v/>
      </c>
      <c r="AR1007" s="6">
        <f>MONTH(AS1007)</f>
        <v/>
      </c>
      <c r="AS1007" s="267">
        <f>IFERROR(__xludf.DUMMYFUNCTION("""COMPUTED_VALUE"""),44566.9986111111)</f>
        <v/>
      </c>
      <c r="AT1007" s="6">
        <f>IFERROR(__xludf.DUMMYFUNCTION("""COMPUTED_VALUE"""),1825.1)</f>
        <v/>
      </c>
    </row>
    <row r="1008">
      <c r="B1008" s="6">
        <f>C1008&amp;D1008</f>
        <v/>
      </c>
      <c r="C1008" s="6">
        <f>YEAR(E1008)</f>
        <v/>
      </c>
      <c r="D1008" s="6">
        <f>MONTH(E1008)</f>
        <v/>
      </c>
      <c r="E1008" s="267">
        <f>IFERROR(__xludf.DUMMYFUNCTION("""COMPUTED_VALUE"""),44559.6666666666)</f>
        <v/>
      </c>
      <c r="F1008" s="6">
        <f>IFERROR(__xludf.DUMMYFUNCTION("""COMPUTED_VALUE"""),4793.06)</f>
        <v/>
      </c>
      <c r="J1008" s="6">
        <f>K1008&amp;L1008</f>
        <v/>
      </c>
      <c r="K1008" s="6">
        <f>YEAR(M1008)</f>
        <v/>
      </c>
      <c r="L1008" s="6">
        <f>MONTH(M1008)</f>
        <v/>
      </c>
      <c r="M1008" s="267">
        <f>IFERROR(__xludf.DUMMYFUNCTION("""COMPUTED_VALUE"""),44551.6666666666)</f>
        <v/>
      </c>
      <c r="N1008" s="6">
        <f>IFERROR(__xludf.DUMMYFUNCTION("""COMPUTED_VALUE"""),15341.09)</f>
        <v/>
      </c>
      <c r="R1008" s="6">
        <f>S1008&amp;T1008</f>
        <v/>
      </c>
      <c r="S1008" s="6">
        <f>YEAR(U1008)</f>
        <v/>
      </c>
      <c r="T1008" s="6">
        <f>MONTH(U1008)</f>
        <v/>
      </c>
      <c r="U1008" s="267">
        <f>IFERROR(__xludf.DUMMYFUNCTION("""COMPUTED_VALUE"""),44600.6458333333)</f>
        <v/>
      </c>
      <c r="V1008" s="6">
        <f>IFERROR(__xludf.DUMMYFUNCTION("""COMPUTED_VALUE"""),2746.47)</f>
        <v/>
      </c>
      <c r="Z1008" s="6">
        <f>AA1008&amp;AB1008</f>
        <v/>
      </c>
      <c r="AA1008" s="6">
        <f>YEAR(AC1008)</f>
        <v/>
      </c>
      <c r="AB1008" s="6">
        <f>MONTH(AC1008)</f>
        <v/>
      </c>
      <c r="AC1008" s="267">
        <f>IFERROR(__xludf.DUMMYFUNCTION("""COMPUTED_VALUE"""),44150.9986111111)</f>
        <v/>
      </c>
      <c r="AD1008" s="6">
        <f>IFERROR(__xludf.DUMMYFUNCTION("""COMPUTED_VALUE"""),1107.76)</f>
        <v/>
      </c>
      <c r="AH1008" s="6">
        <f>AI1008&amp;AJ1008</f>
        <v/>
      </c>
      <c r="AI1008" s="6">
        <f>YEAR(AK1008)</f>
        <v/>
      </c>
      <c r="AJ1008" s="6">
        <f>MONTH(AK1008)</f>
        <v/>
      </c>
      <c r="AK1008" s="267">
        <f>IFERROR(__xludf.DUMMYFUNCTION("""COMPUTED_VALUE"""),44100.9986111111)</f>
        <v/>
      </c>
      <c r="AL1008" s="6">
        <f>IFERROR(__xludf.DUMMYFUNCTION("""COMPUTED_VALUE"""),10732.1)</f>
        <v/>
      </c>
      <c r="AP1008" s="6">
        <f>AQ1008&amp;AR1008</f>
        <v/>
      </c>
      <c r="AQ1008" s="6">
        <f>YEAR(AS1008)</f>
        <v/>
      </c>
      <c r="AR1008" s="6">
        <f>MONTH(AS1008)</f>
        <v/>
      </c>
      <c r="AS1008" s="267">
        <f>IFERROR(__xludf.DUMMYFUNCTION("""COMPUTED_VALUE"""),44567.9986111111)</f>
        <v/>
      </c>
      <c r="AT1008" s="6">
        <f>IFERROR(__xludf.DUMMYFUNCTION("""COMPUTED_VALUE"""),1789.2)</f>
        <v/>
      </c>
    </row>
    <row r="1009">
      <c r="B1009" s="6">
        <f>C1009&amp;D1009</f>
        <v/>
      </c>
      <c r="C1009" s="6">
        <f>YEAR(E1009)</f>
        <v/>
      </c>
      <c r="D1009" s="6">
        <f>MONTH(E1009)</f>
        <v/>
      </c>
      <c r="E1009" s="267">
        <f>IFERROR(__xludf.DUMMYFUNCTION("""COMPUTED_VALUE"""),44560.6666666666)</f>
        <v/>
      </c>
      <c r="F1009" s="6">
        <f>IFERROR(__xludf.DUMMYFUNCTION("""COMPUTED_VALUE"""),4778.73)</f>
        <v/>
      </c>
      <c r="J1009" s="6">
        <f>K1009&amp;L1009</f>
        <v/>
      </c>
      <c r="K1009" s="6">
        <f>YEAR(M1009)</f>
        <v/>
      </c>
      <c r="L1009" s="6">
        <f>MONTH(M1009)</f>
        <v/>
      </c>
      <c r="M1009" s="267">
        <f>IFERROR(__xludf.DUMMYFUNCTION("""COMPUTED_VALUE"""),44552.6666666666)</f>
        <v/>
      </c>
      <c r="N1009" s="6">
        <f>IFERROR(__xludf.DUMMYFUNCTION("""COMPUTED_VALUE"""),15521.89)</f>
        <v/>
      </c>
      <c r="R1009" s="6">
        <f>S1009&amp;T1009</f>
        <v/>
      </c>
      <c r="S1009" s="6">
        <f>YEAR(U1009)</f>
        <v/>
      </c>
      <c r="T1009" s="6">
        <f>MONTH(U1009)</f>
        <v/>
      </c>
      <c r="U1009" s="267">
        <f>IFERROR(__xludf.DUMMYFUNCTION("""COMPUTED_VALUE"""),44601.6458333333)</f>
        <v/>
      </c>
      <c r="V1009" s="6">
        <f>IFERROR(__xludf.DUMMYFUNCTION("""COMPUTED_VALUE"""),2768.85)</f>
        <v/>
      </c>
      <c r="Z1009" s="6">
        <f>AA1009&amp;AB1009</f>
        <v/>
      </c>
      <c r="AA1009" s="6">
        <f>YEAR(AC1009)</f>
        <v/>
      </c>
      <c r="AB1009" s="6">
        <f>MONTH(AC1009)</f>
        <v/>
      </c>
      <c r="AC1009" s="267">
        <f>IFERROR(__xludf.DUMMYFUNCTION("""COMPUTED_VALUE"""),44151.9986111111)</f>
        <v/>
      </c>
      <c r="AD1009" s="6">
        <f>IFERROR(__xludf.DUMMYFUNCTION("""COMPUTED_VALUE"""),1106.09)</f>
        <v/>
      </c>
      <c r="AH1009" s="6">
        <f>AI1009&amp;AJ1009</f>
        <v/>
      </c>
      <c r="AI1009" s="6">
        <f>YEAR(AK1009)</f>
        <v/>
      </c>
      <c r="AJ1009" s="6">
        <f>MONTH(AK1009)</f>
        <v/>
      </c>
      <c r="AK1009" s="267">
        <f>IFERROR(__xludf.DUMMYFUNCTION("""COMPUTED_VALUE"""),44101.9986111111)</f>
        <v/>
      </c>
      <c r="AL1009" s="6">
        <f>IFERROR(__xludf.DUMMYFUNCTION("""COMPUTED_VALUE"""),10777.93)</f>
        <v/>
      </c>
      <c r="AP1009" s="6">
        <f>AQ1009&amp;AR1009</f>
        <v/>
      </c>
      <c r="AQ1009" s="6">
        <f>YEAR(AS1009)</f>
        <v/>
      </c>
      <c r="AR1009" s="6">
        <f>MONTH(AS1009)</f>
        <v/>
      </c>
      <c r="AS1009" s="267">
        <f>IFERROR(__xludf.DUMMYFUNCTION("""COMPUTED_VALUE"""),44568.9986111111)</f>
        <v/>
      </c>
      <c r="AT1009" s="6">
        <f>IFERROR(__xludf.DUMMYFUNCTION("""COMPUTED_VALUE"""),1797.4)</f>
        <v/>
      </c>
    </row>
    <row r="1010">
      <c r="B1010" s="6">
        <f>C1010&amp;D1010</f>
        <v/>
      </c>
      <c r="C1010" s="6">
        <f>YEAR(E1010)</f>
        <v/>
      </c>
      <c r="D1010" s="6">
        <f>MONTH(E1010)</f>
        <v/>
      </c>
      <c r="E1010" s="267">
        <f>IFERROR(__xludf.DUMMYFUNCTION("""COMPUTED_VALUE"""),44561.6666666666)</f>
        <v/>
      </c>
      <c r="F1010" s="6">
        <f>IFERROR(__xludf.DUMMYFUNCTION("""COMPUTED_VALUE"""),4766.18)</f>
        <v/>
      </c>
      <c r="J1010" s="6">
        <f>K1010&amp;L1010</f>
        <v/>
      </c>
      <c r="K1010" s="6">
        <f>YEAR(M1010)</f>
        <v/>
      </c>
      <c r="L1010" s="6">
        <f>MONTH(M1010)</f>
        <v/>
      </c>
      <c r="M1010" s="267">
        <f>IFERROR(__xludf.DUMMYFUNCTION("""COMPUTED_VALUE"""),44553.6666666666)</f>
        <v/>
      </c>
      <c r="N1010" s="6">
        <f>IFERROR(__xludf.DUMMYFUNCTION("""COMPUTED_VALUE"""),15653.37)</f>
        <v/>
      </c>
      <c r="R1010" s="6">
        <f>S1010&amp;T1010</f>
        <v/>
      </c>
      <c r="S1010" s="6">
        <f>YEAR(U1010)</f>
        <v/>
      </c>
      <c r="T1010" s="6">
        <f>MONTH(U1010)</f>
        <v/>
      </c>
      <c r="U1010" s="267">
        <f>IFERROR(__xludf.DUMMYFUNCTION("""COMPUTED_VALUE"""),44602.6458333333)</f>
        <v/>
      </c>
      <c r="V1010" s="6">
        <f>IFERROR(__xludf.DUMMYFUNCTION("""COMPUTED_VALUE"""),2771.93)</f>
        <v/>
      </c>
      <c r="Z1010" s="6">
        <f>AA1010&amp;AB1010</f>
        <v/>
      </c>
      <c r="AA1010" s="6">
        <f>YEAR(AC1010)</f>
        <v/>
      </c>
      <c r="AB1010" s="6">
        <f>MONTH(AC1010)</f>
        <v/>
      </c>
      <c r="AC1010" s="267">
        <f>IFERROR(__xludf.DUMMYFUNCTION("""COMPUTED_VALUE"""),44152.9986111111)</f>
        <v/>
      </c>
      <c r="AD1010" s="6">
        <f>IFERROR(__xludf.DUMMYFUNCTION("""COMPUTED_VALUE"""),1104.95)</f>
        <v/>
      </c>
      <c r="AH1010" s="6">
        <f>AI1010&amp;AJ1010</f>
        <v/>
      </c>
      <c r="AI1010" s="6">
        <f>YEAR(AK1010)</f>
        <v/>
      </c>
      <c r="AJ1010" s="6">
        <f>MONTH(AK1010)</f>
        <v/>
      </c>
      <c r="AK1010" s="267">
        <f>IFERROR(__xludf.DUMMYFUNCTION("""COMPUTED_VALUE"""),44102.9986111111)</f>
        <v/>
      </c>
      <c r="AL1010" s="6">
        <f>IFERROR(__xludf.DUMMYFUNCTION("""COMPUTED_VALUE"""),10695.78)</f>
        <v/>
      </c>
      <c r="AP1010" s="6">
        <f>AQ1010&amp;AR1010</f>
        <v/>
      </c>
      <c r="AQ1010" s="6">
        <f>YEAR(AS1010)</f>
        <v/>
      </c>
      <c r="AR1010" s="6">
        <f>MONTH(AS1010)</f>
        <v/>
      </c>
      <c r="AS1010" s="267">
        <f>IFERROR(__xludf.DUMMYFUNCTION("""COMPUTED_VALUE"""),44571.9986111111)</f>
        <v/>
      </c>
      <c r="AT1010" s="6">
        <f>IFERROR(__xludf.DUMMYFUNCTION("""COMPUTED_VALUE"""),1798.8)</f>
        <v/>
      </c>
    </row>
    <row r="1011">
      <c r="B1011" s="6">
        <f>C1011&amp;D1011</f>
        <v/>
      </c>
      <c r="C1011" s="6">
        <f>YEAR(E1011)</f>
        <v/>
      </c>
      <c r="D1011" s="6">
        <f>MONTH(E1011)</f>
        <v/>
      </c>
      <c r="E1011" s="267">
        <f>IFERROR(__xludf.DUMMYFUNCTION("""COMPUTED_VALUE"""),44564.6666666666)</f>
        <v/>
      </c>
      <c r="F1011" s="6">
        <f>IFERROR(__xludf.DUMMYFUNCTION("""COMPUTED_VALUE"""),4796.56)</f>
        <v/>
      </c>
      <c r="J1011" s="6">
        <f>K1011&amp;L1011</f>
        <v/>
      </c>
      <c r="K1011" s="6">
        <f>YEAR(M1011)</f>
        <v/>
      </c>
      <c r="L1011" s="6">
        <f>MONTH(M1011)</f>
        <v/>
      </c>
      <c r="M1011" s="267">
        <f>IFERROR(__xludf.DUMMYFUNCTION("""COMPUTED_VALUE"""),44557.6666666666)</f>
        <v/>
      </c>
      <c r="N1011" s="6">
        <f>IFERROR(__xludf.DUMMYFUNCTION("""COMPUTED_VALUE"""),15871.26)</f>
        <v/>
      </c>
      <c r="R1011" s="6">
        <f>S1011&amp;T1011</f>
        <v/>
      </c>
      <c r="S1011" s="6">
        <f>YEAR(U1011)</f>
        <v/>
      </c>
      <c r="T1011" s="6">
        <f>MONTH(U1011)</f>
        <v/>
      </c>
      <c r="U1011" s="267">
        <f>IFERROR(__xludf.DUMMYFUNCTION("""COMPUTED_VALUE"""),44603.6458333333)</f>
        <v/>
      </c>
      <c r="V1011" s="6">
        <f>IFERROR(__xludf.DUMMYFUNCTION("""COMPUTED_VALUE"""),2747.71)</f>
        <v/>
      </c>
      <c r="Z1011" s="6">
        <f>AA1011&amp;AB1011</f>
        <v/>
      </c>
      <c r="AA1011" s="6">
        <f>YEAR(AC1011)</f>
        <v/>
      </c>
      <c r="AB1011" s="6">
        <f>MONTH(AC1011)</f>
        <v/>
      </c>
      <c r="AC1011" s="267">
        <f>IFERROR(__xludf.DUMMYFUNCTION("""COMPUTED_VALUE"""),44153.9986111111)</f>
        <v/>
      </c>
      <c r="AD1011" s="6">
        <f>IFERROR(__xludf.DUMMYFUNCTION("""COMPUTED_VALUE"""),1105.9)</f>
        <v/>
      </c>
      <c r="AH1011" s="6">
        <f>AI1011&amp;AJ1011</f>
        <v/>
      </c>
      <c r="AI1011" s="6">
        <f>YEAR(AK1011)</f>
        <v/>
      </c>
      <c r="AJ1011" s="6">
        <f>MONTH(AK1011)</f>
        <v/>
      </c>
      <c r="AK1011" s="267">
        <f>IFERROR(__xludf.DUMMYFUNCTION("""COMPUTED_VALUE"""),44103.9986111111)</f>
        <v/>
      </c>
      <c r="AL1011" s="6">
        <f>IFERROR(__xludf.DUMMYFUNCTION("""COMPUTED_VALUE"""),10841.77)</f>
        <v/>
      </c>
      <c r="AP1011" s="6">
        <f>AQ1011&amp;AR1011</f>
        <v/>
      </c>
      <c r="AQ1011" s="6">
        <f>YEAR(AS1011)</f>
        <v/>
      </c>
      <c r="AR1011" s="6">
        <f>MONTH(AS1011)</f>
        <v/>
      </c>
      <c r="AS1011" s="267">
        <f>IFERROR(__xludf.DUMMYFUNCTION("""COMPUTED_VALUE"""),44572.9986111111)</f>
        <v/>
      </c>
      <c r="AT1011" s="6">
        <f>IFERROR(__xludf.DUMMYFUNCTION("""COMPUTED_VALUE"""),1818.5)</f>
        <v/>
      </c>
    </row>
    <row r="1012">
      <c r="B1012" s="6">
        <f>C1012&amp;D1012</f>
        <v/>
      </c>
      <c r="C1012" s="6">
        <f>YEAR(E1012)</f>
        <v/>
      </c>
      <c r="D1012" s="6">
        <f>MONTH(E1012)</f>
        <v/>
      </c>
      <c r="E1012" s="267">
        <f>IFERROR(__xludf.DUMMYFUNCTION("""COMPUTED_VALUE"""),44565.6666666666)</f>
        <v/>
      </c>
      <c r="F1012" s="6">
        <f>IFERROR(__xludf.DUMMYFUNCTION("""COMPUTED_VALUE"""),4793.54)</f>
        <v/>
      </c>
      <c r="J1012" s="6">
        <f>K1012&amp;L1012</f>
        <v/>
      </c>
      <c r="K1012" s="6">
        <f>YEAR(M1012)</f>
        <v/>
      </c>
      <c r="L1012" s="6">
        <f>MONTH(M1012)</f>
        <v/>
      </c>
      <c r="M1012" s="267">
        <f>IFERROR(__xludf.DUMMYFUNCTION("""COMPUTED_VALUE"""),44558.6666666666)</f>
        <v/>
      </c>
      <c r="N1012" s="6">
        <f>IFERROR(__xludf.DUMMYFUNCTION("""COMPUTED_VALUE"""),15781.72)</f>
        <v/>
      </c>
      <c r="R1012" s="6">
        <f>S1012&amp;T1012</f>
        <v/>
      </c>
      <c r="S1012" s="6">
        <f>YEAR(U1012)</f>
        <v/>
      </c>
      <c r="T1012" s="6">
        <f>MONTH(U1012)</f>
        <v/>
      </c>
      <c r="U1012" s="267">
        <f>IFERROR(__xludf.DUMMYFUNCTION("""COMPUTED_VALUE"""),44606.6458333333)</f>
        <v/>
      </c>
      <c r="V1012" s="6">
        <f>IFERROR(__xludf.DUMMYFUNCTION("""COMPUTED_VALUE"""),2704.48)</f>
        <v/>
      </c>
      <c r="Z1012" s="6">
        <f>AA1012&amp;AB1012</f>
        <v/>
      </c>
      <c r="AA1012" s="6">
        <f>YEAR(AC1012)</f>
        <v/>
      </c>
      <c r="AB1012" s="6">
        <f>MONTH(AC1012)</f>
        <v/>
      </c>
      <c r="AC1012" s="267">
        <f>IFERROR(__xludf.DUMMYFUNCTION("""COMPUTED_VALUE"""),44154.9986111111)</f>
        <v/>
      </c>
      <c r="AD1012" s="6">
        <f>IFERROR(__xludf.DUMMYFUNCTION("""COMPUTED_VALUE"""),1114.14)</f>
        <v/>
      </c>
      <c r="AH1012" s="6">
        <f>AI1012&amp;AJ1012</f>
        <v/>
      </c>
      <c r="AI1012" s="6">
        <f>YEAR(AK1012)</f>
        <v/>
      </c>
      <c r="AJ1012" s="6">
        <f>MONTH(AK1012)</f>
        <v/>
      </c>
      <c r="AK1012" s="267">
        <f>IFERROR(__xludf.DUMMYFUNCTION("""COMPUTED_VALUE"""),44104.9986111111)</f>
        <v/>
      </c>
      <c r="AL1012" s="6">
        <f>IFERROR(__xludf.DUMMYFUNCTION("""COMPUTED_VALUE"""),10779.78)</f>
        <v/>
      </c>
      <c r="AP1012" s="6">
        <f>AQ1012&amp;AR1012</f>
        <v/>
      </c>
      <c r="AQ1012" s="6">
        <f>YEAR(AS1012)</f>
        <v/>
      </c>
      <c r="AR1012" s="6">
        <f>MONTH(AS1012)</f>
        <v/>
      </c>
      <c r="AS1012" s="267">
        <f>IFERROR(__xludf.DUMMYFUNCTION("""COMPUTED_VALUE"""),44573.9986111111)</f>
        <v/>
      </c>
      <c r="AT1012" s="6">
        <f>IFERROR(__xludf.DUMMYFUNCTION("""COMPUTED_VALUE"""),1827.3)</f>
        <v/>
      </c>
    </row>
    <row r="1013">
      <c r="B1013" s="6">
        <f>C1013&amp;D1013</f>
        <v/>
      </c>
      <c r="C1013" s="6">
        <f>YEAR(E1013)</f>
        <v/>
      </c>
      <c r="D1013" s="6">
        <f>MONTH(E1013)</f>
        <v/>
      </c>
      <c r="E1013" s="267">
        <f>IFERROR(__xludf.DUMMYFUNCTION("""COMPUTED_VALUE"""),44566.6666666666)</f>
        <v/>
      </c>
      <c r="F1013" s="6">
        <f>IFERROR(__xludf.DUMMYFUNCTION("""COMPUTED_VALUE"""),4700.58)</f>
        <v/>
      </c>
      <c r="J1013" s="6">
        <f>K1013&amp;L1013</f>
        <v/>
      </c>
      <c r="K1013" s="6">
        <f>YEAR(M1013)</f>
        <v/>
      </c>
      <c r="L1013" s="6">
        <f>MONTH(M1013)</f>
        <v/>
      </c>
      <c r="M1013" s="267">
        <f>IFERROR(__xludf.DUMMYFUNCTION("""COMPUTED_VALUE"""),44559.6666666666)</f>
        <v/>
      </c>
      <c r="N1013" s="6">
        <f>IFERROR(__xludf.DUMMYFUNCTION("""COMPUTED_VALUE"""),15766.22)</f>
        <v/>
      </c>
      <c r="R1013" s="6">
        <f>S1013&amp;T1013</f>
        <v/>
      </c>
      <c r="S1013" s="6">
        <f>YEAR(U1013)</f>
        <v/>
      </c>
      <c r="T1013" s="6">
        <f>MONTH(U1013)</f>
        <v/>
      </c>
      <c r="U1013" s="267">
        <f>IFERROR(__xludf.DUMMYFUNCTION("""COMPUTED_VALUE"""),44607.6458333333)</f>
        <v/>
      </c>
      <c r="V1013" s="6">
        <f>IFERROR(__xludf.DUMMYFUNCTION("""COMPUTED_VALUE"""),2676.54)</f>
        <v/>
      </c>
      <c r="Z1013" s="6">
        <f>AA1013&amp;AB1013</f>
        <v/>
      </c>
      <c r="AA1013" s="6">
        <f>YEAR(AC1013)</f>
        <v/>
      </c>
      <c r="AB1013" s="6">
        <f>MONTH(AC1013)</f>
        <v/>
      </c>
      <c r="AC1013" s="267">
        <f>IFERROR(__xludf.DUMMYFUNCTION("""COMPUTED_VALUE"""),44155.9986111111)</f>
        <v/>
      </c>
      <c r="AD1013" s="6">
        <f>IFERROR(__xludf.DUMMYFUNCTION("""COMPUTED_VALUE"""),1113.83)</f>
        <v/>
      </c>
      <c r="AH1013" s="6">
        <f>AI1013&amp;AJ1013</f>
        <v/>
      </c>
      <c r="AI1013" s="6">
        <f>YEAR(AK1013)</f>
        <v/>
      </c>
      <c r="AJ1013" s="6">
        <f>MONTH(AK1013)</f>
        <v/>
      </c>
      <c r="AK1013" s="267">
        <f>IFERROR(__xludf.DUMMYFUNCTION("""COMPUTED_VALUE"""),44105.9986111111)</f>
        <v/>
      </c>
      <c r="AL1013" s="6">
        <f>IFERROR(__xludf.DUMMYFUNCTION("""COMPUTED_VALUE"""),10620.55)</f>
        <v/>
      </c>
      <c r="AP1013" s="6">
        <f>AQ1013&amp;AR1013</f>
        <v/>
      </c>
      <c r="AQ1013" s="6">
        <f>YEAR(AS1013)</f>
        <v/>
      </c>
      <c r="AR1013" s="6">
        <f>MONTH(AS1013)</f>
        <v/>
      </c>
      <c r="AS1013" s="267">
        <f>IFERROR(__xludf.DUMMYFUNCTION("""COMPUTED_VALUE"""),44574.9986111111)</f>
        <v/>
      </c>
      <c r="AT1013" s="6">
        <f>IFERROR(__xludf.DUMMYFUNCTION("""COMPUTED_VALUE"""),1821.4)</f>
        <v/>
      </c>
    </row>
    <row r="1014">
      <c r="B1014" s="6">
        <f>C1014&amp;D1014</f>
        <v/>
      </c>
      <c r="C1014" s="6">
        <f>YEAR(E1014)</f>
        <v/>
      </c>
      <c r="D1014" s="6">
        <f>MONTH(E1014)</f>
        <v/>
      </c>
      <c r="E1014" s="267">
        <f>IFERROR(__xludf.DUMMYFUNCTION("""COMPUTED_VALUE"""),44567.6666666666)</f>
        <v/>
      </c>
      <c r="F1014" s="6">
        <f>IFERROR(__xludf.DUMMYFUNCTION("""COMPUTED_VALUE"""),4696.05)</f>
        <v/>
      </c>
      <c r="J1014" s="6">
        <f>K1014&amp;L1014</f>
        <v/>
      </c>
      <c r="K1014" s="6">
        <f>YEAR(M1014)</f>
        <v/>
      </c>
      <c r="L1014" s="6">
        <f>MONTH(M1014)</f>
        <v/>
      </c>
      <c r="M1014" s="267">
        <f>IFERROR(__xludf.DUMMYFUNCTION("""COMPUTED_VALUE"""),44560.6666666666)</f>
        <v/>
      </c>
      <c r="N1014" s="6">
        <f>IFERROR(__xludf.DUMMYFUNCTION("""COMPUTED_VALUE"""),15741.56)</f>
        <v/>
      </c>
      <c r="R1014" s="6">
        <f>S1014&amp;T1014</f>
        <v/>
      </c>
      <c r="S1014" s="6">
        <f>YEAR(U1014)</f>
        <v/>
      </c>
      <c r="T1014" s="6">
        <f>MONTH(U1014)</f>
        <v/>
      </c>
      <c r="U1014" s="267">
        <f>IFERROR(__xludf.DUMMYFUNCTION("""COMPUTED_VALUE"""),44608.6458333333)</f>
        <v/>
      </c>
      <c r="V1014" s="6">
        <f>IFERROR(__xludf.DUMMYFUNCTION("""COMPUTED_VALUE"""),2729.68)</f>
        <v/>
      </c>
      <c r="Z1014" s="6">
        <f>AA1014&amp;AB1014</f>
        <v/>
      </c>
      <c r="AA1014" s="6">
        <f>YEAR(AC1014)</f>
        <v/>
      </c>
      <c r="AB1014" s="6">
        <f>MONTH(AC1014)</f>
        <v/>
      </c>
      <c r="AC1014" s="267">
        <f>IFERROR(__xludf.DUMMYFUNCTION("""COMPUTED_VALUE"""),44157.9986111111)</f>
        <v/>
      </c>
      <c r="AD1014" s="6">
        <f>IFERROR(__xludf.DUMMYFUNCTION("""COMPUTED_VALUE"""),1113.83)</f>
        <v/>
      </c>
      <c r="AH1014" s="6">
        <f>AI1014&amp;AJ1014</f>
        <v/>
      </c>
      <c r="AI1014" s="6">
        <f>YEAR(AK1014)</f>
        <v/>
      </c>
      <c r="AJ1014" s="6">
        <f>MONTH(AK1014)</f>
        <v/>
      </c>
      <c r="AK1014" s="267">
        <f>IFERROR(__xludf.DUMMYFUNCTION("""COMPUTED_VALUE"""),44106.9986111111)</f>
        <v/>
      </c>
      <c r="AL1014" s="6">
        <f>IFERROR(__xludf.DUMMYFUNCTION("""COMPUTED_VALUE"""),10574.28)</f>
        <v/>
      </c>
      <c r="AP1014" s="6">
        <f>AQ1014&amp;AR1014</f>
        <v/>
      </c>
      <c r="AQ1014" s="6">
        <f>YEAR(AS1014)</f>
        <v/>
      </c>
      <c r="AR1014" s="6">
        <f>MONTH(AS1014)</f>
        <v/>
      </c>
      <c r="AS1014" s="267">
        <f>IFERROR(__xludf.DUMMYFUNCTION("""COMPUTED_VALUE"""),44575.9986111111)</f>
        <v/>
      </c>
      <c r="AT1014" s="6">
        <f>IFERROR(__xludf.DUMMYFUNCTION("""COMPUTED_VALUE"""),1816.5)</f>
        <v/>
      </c>
    </row>
    <row r="1015">
      <c r="B1015" s="6">
        <f>C1015&amp;D1015</f>
        <v/>
      </c>
      <c r="C1015" s="6">
        <f>YEAR(E1015)</f>
        <v/>
      </c>
      <c r="D1015" s="6">
        <f>MONTH(E1015)</f>
        <v/>
      </c>
      <c r="E1015" s="267">
        <f>IFERROR(__xludf.DUMMYFUNCTION("""COMPUTED_VALUE"""),44568.6666666666)</f>
        <v/>
      </c>
      <c r="F1015" s="6">
        <f>IFERROR(__xludf.DUMMYFUNCTION("""COMPUTED_VALUE"""),4677.03)</f>
        <v/>
      </c>
      <c r="J1015" s="6">
        <f>K1015&amp;L1015</f>
        <v/>
      </c>
      <c r="K1015" s="6">
        <f>YEAR(M1015)</f>
        <v/>
      </c>
      <c r="L1015" s="6">
        <f>MONTH(M1015)</f>
        <v/>
      </c>
      <c r="M1015" s="267">
        <f>IFERROR(__xludf.DUMMYFUNCTION("""COMPUTED_VALUE"""),44561.6666666666)</f>
        <v/>
      </c>
      <c r="N1015" s="6">
        <f>IFERROR(__xludf.DUMMYFUNCTION("""COMPUTED_VALUE"""),15644.97)</f>
        <v/>
      </c>
      <c r="R1015" s="6">
        <f>S1015&amp;T1015</f>
        <v/>
      </c>
      <c r="S1015" s="6">
        <f>YEAR(U1015)</f>
        <v/>
      </c>
      <c r="T1015" s="6">
        <f>MONTH(U1015)</f>
        <v/>
      </c>
      <c r="U1015" s="267">
        <f>IFERROR(__xludf.DUMMYFUNCTION("""COMPUTED_VALUE"""),44609.6458333333)</f>
        <v/>
      </c>
      <c r="V1015" s="6">
        <f>IFERROR(__xludf.DUMMYFUNCTION("""COMPUTED_VALUE"""),2744.09)</f>
        <v/>
      </c>
      <c r="Z1015" s="6">
        <f>AA1015&amp;AB1015</f>
        <v/>
      </c>
      <c r="AA1015" s="6">
        <f>YEAR(AC1015)</f>
        <v/>
      </c>
      <c r="AB1015" s="6">
        <f>MONTH(AC1015)</f>
        <v/>
      </c>
      <c r="AC1015" s="267">
        <f>IFERROR(__xludf.DUMMYFUNCTION("""COMPUTED_VALUE"""),44158.9986111111)</f>
        <v/>
      </c>
      <c r="AD1015" s="6">
        <f>IFERROR(__xludf.DUMMYFUNCTION("""COMPUTED_VALUE"""),1113.08)</f>
        <v/>
      </c>
      <c r="AH1015" s="6">
        <f>AI1015&amp;AJ1015</f>
        <v/>
      </c>
      <c r="AI1015" s="6">
        <f>YEAR(AK1015)</f>
        <v/>
      </c>
      <c r="AJ1015" s="6">
        <f>MONTH(AK1015)</f>
        <v/>
      </c>
      <c r="AK1015" s="267">
        <f>IFERROR(__xludf.DUMMYFUNCTION("""COMPUTED_VALUE"""),44107.9986111111)</f>
        <v/>
      </c>
      <c r="AL1015" s="6">
        <f>IFERROR(__xludf.DUMMYFUNCTION("""COMPUTED_VALUE"""),10551.46)</f>
        <v/>
      </c>
      <c r="AP1015" s="6">
        <f>AQ1015&amp;AR1015</f>
        <v/>
      </c>
      <c r="AQ1015" s="6">
        <f>YEAR(AS1015)</f>
        <v/>
      </c>
      <c r="AR1015" s="6">
        <f>MONTH(AS1015)</f>
        <v/>
      </c>
      <c r="AS1015" s="267">
        <f>IFERROR(__xludf.DUMMYFUNCTION("""COMPUTED_VALUE"""),44579.9986111111)</f>
        <v/>
      </c>
      <c r="AT1015" s="6">
        <f>IFERROR(__xludf.DUMMYFUNCTION("""COMPUTED_VALUE"""),1812.4)</f>
        <v/>
      </c>
    </row>
    <row r="1016">
      <c r="B1016" s="6">
        <f>C1016&amp;D1016</f>
        <v/>
      </c>
      <c r="C1016" s="6">
        <f>YEAR(E1016)</f>
        <v/>
      </c>
      <c r="D1016" s="6">
        <f>MONTH(E1016)</f>
        <v/>
      </c>
      <c r="E1016" s="267">
        <f>IFERROR(__xludf.DUMMYFUNCTION("""COMPUTED_VALUE"""),44571.6666666666)</f>
        <v/>
      </c>
      <c r="F1016" s="6">
        <f>IFERROR(__xludf.DUMMYFUNCTION("""COMPUTED_VALUE"""),4670.29)</f>
        <v/>
      </c>
      <c r="J1016" s="6">
        <f>K1016&amp;L1016</f>
        <v/>
      </c>
      <c r="K1016" s="6">
        <f>YEAR(M1016)</f>
        <v/>
      </c>
      <c r="L1016" s="6">
        <f>MONTH(M1016)</f>
        <v/>
      </c>
      <c r="M1016" s="267">
        <f>IFERROR(__xludf.DUMMYFUNCTION("""COMPUTED_VALUE"""),44564.6666666666)</f>
        <v/>
      </c>
      <c r="N1016" s="6">
        <f>IFERROR(__xludf.DUMMYFUNCTION("""COMPUTED_VALUE"""),15832.8)</f>
        <v/>
      </c>
      <c r="R1016" s="6">
        <f>S1016&amp;T1016</f>
        <v/>
      </c>
      <c r="S1016" s="6">
        <f>YEAR(U1016)</f>
        <v/>
      </c>
      <c r="T1016" s="6">
        <f>MONTH(U1016)</f>
        <v/>
      </c>
      <c r="U1016" s="267">
        <f>IFERROR(__xludf.DUMMYFUNCTION("""COMPUTED_VALUE"""),44610.6458333333)</f>
        <v/>
      </c>
      <c r="V1016" s="6">
        <f>IFERROR(__xludf.DUMMYFUNCTION("""COMPUTED_VALUE"""),2744.52)</f>
        <v/>
      </c>
      <c r="Z1016" s="6">
        <f>AA1016&amp;AB1016</f>
        <v/>
      </c>
      <c r="AA1016" s="6">
        <f>YEAR(AC1016)</f>
        <v/>
      </c>
      <c r="AB1016" s="6">
        <f>MONTH(AC1016)</f>
        <v/>
      </c>
      <c r="AC1016" s="267">
        <f>IFERROR(__xludf.DUMMYFUNCTION("""COMPUTED_VALUE"""),44159.9986111111)</f>
        <v/>
      </c>
      <c r="AD1016" s="6">
        <f>IFERROR(__xludf.DUMMYFUNCTION("""COMPUTED_VALUE"""),1109.71)</f>
        <v/>
      </c>
      <c r="AH1016" s="6">
        <f>AI1016&amp;AJ1016</f>
        <v/>
      </c>
      <c r="AI1016" s="6">
        <f>YEAR(AK1016)</f>
        <v/>
      </c>
      <c r="AJ1016" s="6">
        <f>MONTH(AK1016)</f>
        <v/>
      </c>
      <c r="AK1016" s="267">
        <f>IFERROR(__xludf.DUMMYFUNCTION("""COMPUTED_VALUE"""),44108.9986111111)</f>
        <v/>
      </c>
      <c r="AL1016" s="6">
        <f>IFERROR(__xludf.DUMMYFUNCTION("""COMPUTED_VALUE"""),10673.94)</f>
        <v/>
      </c>
      <c r="AP1016" s="6">
        <f>AQ1016&amp;AR1016</f>
        <v/>
      </c>
      <c r="AQ1016" s="6">
        <f>YEAR(AS1016)</f>
        <v/>
      </c>
      <c r="AR1016" s="6">
        <f>MONTH(AS1016)</f>
        <v/>
      </c>
      <c r="AS1016" s="267">
        <f>IFERROR(__xludf.DUMMYFUNCTION("""COMPUTED_VALUE"""),44580.9986111111)</f>
        <v/>
      </c>
      <c r="AT1016" s="6">
        <f>IFERROR(__xludf.DUMMYFUNCTION("""COMPUTED_VALUE"""),1845.5)</f>
        <v/>
      </c>
    </row>
    <row r="1017">
      <c r="B1017" s="6">
        <f>C1017&amp;D1017</f>
        <v/>
      </c>
      <c r="C1017" s="6">
        <f>YEAR(E1017)</f>
        <v/>
      </c>
      <c r="D1017" s="6">
        <f>MONTH(E1017)</f>
        <v/>
      </c>
      <c r="E1017" s="267">
        <f>IFERROR(__xludf.DUMMYFUNCTION("""COMPUTED_VALUE"""),44572.6666666666)</f>
        <v/>
      </c>
      <c r="F1017" s="6">
        <f>IFERROR(__xludf.DUMMYFUNCTION("""COMPUTED_VALUE"""),4713.07)</f>
        <v/>
      </c>
      <c r="J1017" s="6">
        <f>K1017&amp;L1017</f>
        <v/>
      </c>
      <c r="K1017" s="6">
        <f>YEAR(M1017)</f>
        <v/>
      </c>
      <c r="L1017" s="6">
        <f>MONTH(M1017)</f>
        <v/>
      </c>
      <c r="M1017" s="267">
        <f>IFERROR(__xludf.DUMMYFUNCTION("""COMPUTED_VALUE"""),44565.6666666666)</f>
        <v/>
      </c>
      <c r="N1017" s="6">
        <f>IFERROR(__xludf.DUMMYFUNCTION("""COMPUTED_VALUE"""),15622.72)</f>
        <v/>
      </c>
      <c r="R1017" s="6">
        <f>S1017&amp;T1017</f>
        <v/>
      </c>
      <c r="S1017" s="6">
        <f>YEAR(U1017)</f>
        <v/>
      </c>
      <c r="T1017" s="6">
        <f>MONTH(U1017)</f>
        <v/>
      </c>
      <c r="U1017" s="267">
        <f>IFERROR(__xludf.DUMMYFUNCTION("""COMPUTED_VALUE"""),44613.6458333333)</f>
        <v/>
      </c>
      <c r="V1017" s="6">
        <f>IFERROR(__xludf.DUMMYFUNCTION("""COMPUTED_VALUE"""),2743.8)</f>
        <v/>
      </c>
      <c r="Z1017" s="6">
        <f>AA1017&amp;AB1017</f>
        <v/>
      </c>
      <c r="AA1017" s="6">
        <f>YEAR(AC1017)</f>
        <v/>
      </c>
      <c r="AB1017" s="6">
        <f>MONTH(AC1017)</f>
        <v/>
      </c>
      <c r="AC1017" s="267">
        <f>IFERROR(__xludf.DUMMYFUNCTION("""COMPUTED_VALUE"""),44160.9986111111)</f>
        <v/>
      </c>
      <c r="AD1017" s="6">
        <f>IFERROR(__xludf.DUMMYFUNCTION("""COMPUTED_VALUE"""),1104.49)</f>
        <v/>
      </c>
      <c r="AH1017" s="6">
        <f>AI1017&amp;AJ1017</f>
        <v/>
      </c>
      <c r="AI1017" s="6">
        <f>YEAR(AK1017)</f>
        <v/>
      </c>
      <c r="AJ1017" s="6">
        <f>MONTH(AK1017)</f>
        <v/>
      </c>
      <c r="AK1017" s="267">
        <f>IFERROR(__xludf.DUMMYFUNCTION("""COMPUTED_VALUE"""),44109.9986111111)</f>
        <v/>
      </c>
      <c r="AL1017" s="6">
        <f>IFERROR(__xludf.DUMMYFUNCTION("""COMPUTED_VALUE"""),10793.58)</f>
        <v/>
      </c>
      <c r="AP1017" s="6">
        <f>AQ1017&amp;AR1017</f>
        <v/>
      </c>
      <c r="AQ1017" s="6">
        <f>YEAR(AS1017)</f>
        <v/>
      </c>
      <c r="AR1017" s="6">
        <f>MONTH(AS1017)</f>
        <v/>
      </c>
      <c r="AS1017" s="267">
        <f>IFERROR(__xludf.DUMMYFUNCTION("""COMPUTED_VALUE"""),44581.9986111111)</f>
        <v/>
      </c>
      <c r="AT1017" s="6">
        <f>IFERROR(__xludf.DUMMYFUNCTION("""COMPUTED_VALUE"""),1844.9)</f>
        <v/>
      </c>
    </row>
    <row r="1018">
      <c r="B1018" s="6">
        <f>C1018&amp;D1018</f>
        <v/>
      </c>
      <c r="C1018" s="6">
        <f>YEAR(E1018)</f>
        <v/>
      </c>
      <c r="D1018" s="6">
        <f>MONTH(E1018)</f>
        <v/>
      </c>
      <c r="E1018" s="267">
        <f>IFERROR(__xludf.DUMMYFUNCTION("""COMPUTED_VALUE"""),44573.6666666666)</f>
        <v/>
      </c>
      <c r="F1018" s="6">
        <f>IFERROR(__xludf.DUMMYFUNCTION("""COMPUTED_VALUE"""),4726.35)</f>
        <v/>
      </c>
      <c r="J1018" s="6">
        <f>K1018&amp;L1018</f>
        <v/>
      </c>
      <c r="K1018" s="6">
        <f>YEAR(M1018)</f>
        <v/>
      </c>
      <c r="L1018" s="6">
        <f>MONTH(M1018)</f>
        <v/>
      </c>
      <c r="M1018" s="267">
        <f>IFERROR(__xludf.DUMMYFUNCTION("""COMPUTED_VALUE"""),44566.6666666666)</f>
        <v/>
      </c>
      <c r="N1018" s="6">
        <f>IFERROR(__xludf.DUMMYFUNCTION("""COMPUTED_VALUE"""),15100.17)</f>
        <v/>
      </c>
      <c r="R1018" s="6">
        <f>S1018&amp;T1018</f>
        <v/>
      </c>
      <c r="S1018" s="6">
        <f>YEAR(U1018)</f>
        <v/>
      </c>
      <c r="T1018" s="6">
        <f>MONTH(U1018)</f>
        <v/>
      </c>
      <c r="U1018" s="267">
        <f>IFERROR(__xludf.DUMMYFUNCTION("""COMPUTED_VALUE"""),44614.6458333333)</f>
        <v/>
      </c>
      <c r="V1018" s="6">
        <f>IFERROR(__xludf.DUMMYFUNCTION("""COMPUTED_VALUE"""),2706.79)</f>
        <v/>
      </c>
      <c r="Z1018" s="6">
        <f>AA1018&amp;AB1018</f>
        <v/>
      </c>
      <c r="AA1018" s="6">
        <f>YEAR(AC1018)</f>
        <v/>
      </c>
      <c r="AB1018" s="6">
        <f>MONTH(AC1018)</f>
        <v/>
      </c>
      <c r="AC1018" s="267">
        <f>IFERROR(__xludf.DUMMYFUNCTION("""COMPUTED_VALUE"""),44161.9986111111)</f>
        <v/>
      </c>
      <c r="AD1018" s="6">
        <f>IFERROR(__xludf.DUMMYFUNCTION("""COMPUTED_VALUE"""),1105.56)</f>
        <v/>
      </c>
      <c r="AH1018" s="6">
        <f>AI1018&amp;AJ1018</f>
        <v/>
      </c>
      <c r="AI1018" s="6">
        <f>YEAR(AK1018)</f>
        <v/>
      </c>
      <c r="AJ1018" s="6">
        <f>MONTH(AK1018)</f>
        <v/>
      </c>
      <c r="AK1018" s="267">
        <f>IFERROR(__xludf.DUMMYFUNCTION("""COMPUTED_VALUE"""),44110.9986111111)</f>
        <v/>
      </c>
      <c r="AL1018" s="6">
        <f>IFERROR(__xludf.DUMMYFUNCTION("""COMPUTED_VALUE"""),10603.72)</f>
        <v/>
      </c>
      <c r="AP1018" s="6">
        <f>AQ1018&amp;AR1018</f>
        <v/>
      </c>
      <c r="AQ1018" s="6">
        <f>YEAR(AS1018)</f>
        <v/>
      </c>
      <c r="AR1018" s="6">
        <f>MONTH(AS1018)</f>
        <v/>
      </c>
      <c r="AS1018" s="267">
        <f>IFERROR(__xludf.DUMMYFUNCTION("""COMPUTED_VALUE"""),44582.9986111111)</f>
        <v/>
      </c>
      <c r="AT1018" s="6">
        <f>IFERROR(__xludf.DUMMYFUNCTION("""COMPUTED_VALUE"""),1834.1)</f>
        <v/>
      </c>
    </row>
    <row r="1019">
      <c r="B1019" s="6">
        <f>C1019&amp;D1019</f>
        <v/>
      </c>
      <c r="C1019" s="6">
        <f>YEAR(E1019)</f>
        <v/>
      </c>
      <c r="D1019" s="6">
        <f>MONTH(E1019)</f>
        <v/>
      </c>
      <c r="E1019" s="267">
        <f>IFERROR(__xludf.DUMMYFUNCTION("""COMPUTED_VALUE"""),44574.6666666666)</f>
        <v/>
      </c>
      <c r="F1019" s="6">
        <f>IFERROR(__xludf.DUMMYFUNCTION("""COMPUTED_VALUE"""),4659.03)</f>
        <v/>
      </c>
      <c r="J1019" s="6">
        <f>K1019&amp;L1019</f>
        <v/>
      </c>
      <c r="K1019" s="6">
        <f>YEAR(M1019)</f>
        <v/>
      </c>
      <c r="L1019" s="6">
        <f>MONTH(M1019)</f>
        <v/>
      </c>
      <c r="M1019" s="267">
        <f>IFERROR(__xludf.DUMMYFUNCTION("""COMPUTED_VALUE"""),44567.6666666666)</f>
        <v/>
      </c>
      <c r="N1019" s="6">
        <f>IFERROR(__xludf.DUMMYFUNCTION("""COMPUTED_VALUE"""),15080.87)</f>
        <v/>
      </c>
      <c r="R1019" s="6">
        <f>S1019&amp;T1019</f>
        <v/>
      </c>
      <c r="S1019" s="6">
        <f>YEAR(U1019)</f>
        <v/>
      </c>
      <c r="T1019" s="6">
        <f>MONTH(U1019)</f>
        <v/>
      </c>
      <c r="U1019" s="267">
        <f>IFERROR(__xludf.DUMMYFUNCTION("""COMPUTED_VALUE"""),44615.6458333333)</f>
        <v/>
      </c>
      <c r="V1019" s="6">
        <f>IFERROR(__xludf.DUMMYFUNCTION("""COMPUTED_VALUE"""),2719.53)</f>
        <v/>
      </c>
      <c r="Z1019" s="6">
        <f>AA1019&amp;AB1019</f>
        <v/>
      </c>
      <c r="AA1019" s="6">
        <f>YEAR(AC1019)</f>
        <v/>
      </c>
      <c r="AB1019" s="6">
        <f>MONTH(AC1019)</f>
        <v/>
      </c>
      <c r="AC1019" s="267">
        <f>IFERROR(__xludf.DUMMYFUNCTION("""COMPUTED_VALUE"""),44162.9986111111)</f>
        <v/>
      </c>
      <c r="AD1019" s="6">
        <f>IFERROR(__xludf.DUMMYFUNCTION("""COMPUTED_VALUE"""),1104.33)</f>
        <v/>
      </c>
      <c r="AH1019" s="6">
        <f>AI1019&amp;AJ1019</f>
        <v/>
      </c>
      <c r="AI1019" s="6">
        <f>YEAR(AK1019)</f>
        <v/>
      </c>
      <c r="AJ1019" s="6">
        <f>MONTH(AK1019)</f>
        <v/>
      </c>
      <c r="AK1019" s="267">
        <f>IFERROR(__xludf.DUMMYFUNCTION("""COMPUTED_VALUE"""),44111.9986111111)</f>
        <v/>
      </c>
      <c r="AL1019" s="6">
        <f>IFERROR(__xludf.DUMMYFUNCTION("""COMPUTED_VALUE"""),10671.61)</f>
        <v/>
      </c>
      <c r="AP1019" s="6">
        <f>AQ1019&amp;AR1019</f>
        <v/>
      </c>
      <c r="AQ1019" s="6">
        <f>YEAR(AS1019)</f>
        <v/>
      </c>
      <c r="AR1019" s="6">
        <f>MONTH(AS1019)</f>
        <v/>
      </c>
      <c r="AS1019" s="267">
        <f>IFERROR(__xludf.DUMMYFUNCTION("""COMPUTED_VALUE"""),44585.9986111111)</f>
        <v/>
      </c>
      <c r="AT1019" s="6">
        <f>IFERROR(__xludf.DUMMYFUNCTION("""COMPUTED_VALUE"""),1844.2)</f>
        <v/>
      </c>
    </row>
    <row r="1020">
      <c r="B1020" s="6">
        <f>C1020&amp;D1020</f>
        <v/>
      </c>
      <c r="C1020" s="6">
        <f>YEAR(E1020)</f>
        <v/>
      </c>
      <c r="D1020" s="6">
        <f>MONTH(E1020)</f>
        <v/>
      </c>
      <c r="E1020" s="267">
        <f>IFERROR(__xludf.DUMMYFUNCTION("""COMPUTED_VALUE"""),44575.6666666666)</f>
        <v/>
      </c>
      <c r="F1020" s="6">
        <f>IFERROR(__xludf.DUMMYFUNCTION("""COMPUTED_VALUE"""),4662.85)</f>
        <v/>
      </c>
      <c r="J1020" s="6">
        <f>K1020&amp;L1020</f>
        <v/>
      </c>
      <c r="K1020" s="6">
        <f>YEAR(M1020)</f>
        <v/>
      </c>
      <c r="L1020" s="6">
        <f>MONTH(M1020)</f>
        <v/>
      </c>
      <c r="M1020" s="267">
        <f>IFERROR(__xludf.DUMMYFUNCTION("""COMPUTED_VALUE"""),44568.6666666666)</f>
        <v/>
      </c>
      <c r="N1020" s="6">
        <f>IFERROR(__xludf.DUMMYFUNCTION("""COMPUTED_VALUE"""),14935.9)</f>
        <v/>
      </c>
      <c r="R1020" s="6">
        <f>S1020&amp;T1020</f>
        <v/>
      </c>
      <c r="S1020" s="6">
        <f>YEAR(U1020)</f>
        <v/>
      </c>
      <c r="T1020" s="6">
        <f>MONTH(U1020)</f>
        <v/>
      </c>
      <c r="U1020" s="267">
        <f>IFERROR(__xludf.DUMMYFUNCTION("""COMPUTED_VALUE"""),44616.6458333333)</f>
        <v/>
      </c>
      <c r="V1020" s="6">
        <f>IFERROR(__xludf.DUMMYFUNCTION("""COMPUTED_VALUE"""),2648.8)</f>
        <v/>
      </c>
      <c r="Z1020" s="6">
        <f>AA1020&amp;AB1020</f>
        <v/>
      </c>
      <c r="AA1020" s="6">
        <f>YEAR(AC1020)</f>
        <v/>
      </c>
      <c r="AB1020" s="6">
        <f>MONTH(AC1020)</f>
        <v/>
      </c>
      <c r="AC1020" s="267">
        <f>IFERROR(__xludf.DUMMYFUNCTION("""COMPUTED_VALUE"""),44163.9986111111)</f>
        <v/>
      </c>
      <c r="AD1020" s="6">
        <f>IFERROR(__xludf.DUMMYFUNCTION("""COMPUTED_VALUE"""),1104.33)</f>
        <v/>
      </c>
      <c r="AH1020" s="6">
        <f>AI1020&amp;AJ1020</f>
        <v/>
      </c>
      <c r="AI1020" s="6">
        <f>YEAR(AK1020)</f>
        <v/>
      </c>
      <c r="AJ1020" s="6">
        <f>MONTH(AK1020)</f>
        <v/>
      </c>
      <c r="AK1020" s="267">
        <f>IFERROR(__xludf.DUMMYFUNCTION("""COMPUTED_VALUE"""),44112.9986111111)</f>
        <v/>
      </c>
      <c r="AL1020" s="6">
        <f>IFERROR(__xludf.DUMMYFUNCTION("""COMPUTED_VALUE"""),10929.55)</f>
        <v/>
      </c>
      <c r="AP1020" s="6">
        <f>AQ1020&amp;AR1020</f>
        <v/>
      </c>
      <c r="AQ1020" s="6">
        <f>YEAR(AS1020)</f>
        <v/>
      </c>
      <c r="AR1020" s="6">
        <f>MONTH(AS1020)</f>
        <v/>
      </c>
      <c r="AS1020" s="267">
        <f>IFERROR(__xludf.DUMMYFUNCTION("""COMPUTED_VALUE"""),44586.9986111111)</f>
        <v/>
      </c>
      <c r="AT1020" s="6">
        <f>IFERROR(__xludf.DUMMYFUNCTION("""COMPUTED_VALUE"""),1855)</f>
        <v/>
      </c>
    </row>
    <row r="1021">
      <c r="B1021" s="6">
        <f>C1021&amp;D1021</f>
        <v/>
      </c>
      <c r="C1021" s="6">
        <f>YEAR(E1021)</f>
        <v/>
      </c>
      <c r="D1021" s="6">
        <f>MONTH(E1021)</f>
        <v/>
      </c>
      <c r="E1021" s="267">
        <f>IFERROR(__xludf.DUMMYFUNCTION("""COMPUTED_VALUE"""),44579.6666666666)</f>
        <v/>
      </c>
      <c r="F1021" s="6">
        <f>IFERROR(__xludf.DUMMYFUNCTION("""COMPUTED_VALUE"""),4577.11)</f>
        <v/>
      </c>
      <c r="J1021" s="6">
        <f>K1021&amp;L1021</f>
        <v/>
      </c>
      <c r="K1021" s="6">
        <f>YEAR(M1021)</f>
        <v/>
      </c>
      <c r="L1021" s="6">
        <f>MONTH(M1021)</f>
        <v/>
      </c>
      <c r="M1021" s="267">
        <f>IFERROR(__xludf.DUMMYFUNCTION("""COMPUTED_VALUE"""),44571.6666666666)</f>
        <v/>
      </c>
      <c r="N1021" s="6">
        <f>IFERROR(__xludf.DUMMYFUNCTION("""COMPUTED_VALUE"""),14942.83)</f>
        <v/>
      </c>
      <c r="R1021" s="6">
        <f>S1021&amp;T1021</f>
        <v/>
      </c>
      <c r="S1021" s="6">
        <f>YEAR(U1021)</f>
        <v/>
      </c>
      <c r="T1021" s="6">
        <f>MONTH(U1021)</f>
        <v/>
      </c>
      <c r="U1021" s="267">
        <f>IFERROR(__xludf.DUMMYFUNCTION("""COMPUTED_VALUE"""),44617.6458333333)</f>
        <v/>
      </c>
      <c r="V1021" s="6">
        <f>IFERROR(__xludf.DUMMYFUNCTION("""COMPUTED_VALUE"""),2676.76)</f>
        <v/>
      </c>
      <c r="Z1021" s="6">
        <f>AA1021&amp;AB1021</f>
        <v/>
      </c>
      <c r="AA1021" s="6">
        <f>YEAR(AC1021)</f>
        <v/>
      </c>
      <c r="AB1021" s="6">
        <f>MONTH(AC1021)</f>
        <v/>
      </c>
      <c r="AC1021" s="267">
        <f>IFERROR(__xludf.DUMMYFUNCTION("""COMPUTED_VALUE"""),44164.9986111111)</f>
        <v/>
      </c>
      <c r="AD1021" s="6">
        <f>IFERROR(__xludf.DUMMYFUNCTION("""COMPUTED_VALUE"""),1104.33)</f>
        <v/>
      </c>
      <c r="AH1021" s="6">
        <f>AI1021&amp;AJ1021</f>
        <v/>
      </c>
      <c r="AI1021" s="6">
        <f>YEAR(AK1021)</f>
        <v/>
      </c>
      <c r="AJ1021" s="6">
        <f>MONTH(AK1021)</f>
        <v/>
      </c>
      <c r="AK1021" s="267">
        <f>IFERROR(__xludf.DUMMYFUNCTION("""COMPUTED_VALUE"""),44113.9986111111)</f>
        <v/>
      </c>
      <c r="AL1021" s="6">
        <f>IFERROR(__xludf.DUMMYFUNCTION("""COMPUTED_VALUE"""),11059.02)</f>
        <v/>
      </c>
      <c r="AP1021" s="6">
        <f>AQ1021&amp;AR1021</f>
        <v/>
      </c>
      <c r="AQ1021" s="6">
        <f>YEAR(AS1021)</f>
        <v/>
      </c>
      <c r="AR1021" s="6">
        <f>MONTH(AS1021)</f>
        <v/>
      </c>
      <c r="AS1021" s="267">
        <f>IFERROR(__xludf.DUMMYFUNCTION("""COMPUTED_VALUE"""),44587.9986111111)</f>
        <v/>
      </c>
      <c r="AT1021" s="6">
        <f>IFERROR(__xludf.DUMMYFUNCTION("""COMPUTED_VALUE"""),1832)</f>
        <v/>
      </c>
    </row>
    <row r="1022">
      <c r="B1022" s="6">
        <f>C1022&amp;D1022</f>
        <v/>
      </c>
      <c r="C1022" s="6">
        <f>YEAR(E1022)</f>
        <v/>
      </c>
      <c r="D1022" s="6">
        <f>MONTH(E1022)</f>
        <v/>
      </c>
      <c r="E1022" s="267">
        <f>IFERROR(__xludf.DUMMYFUNCTION("""COMPUTED_VALUE"""),44580.6666666666)</f>
        <v/>
      </c>
      <c r="F1022" s="6">
        <f>IFERROR(__xludf.DUMMYFUNCTION("""COMPUTED_VALUE"""),4532.76)</f>
        <v/>
      </c>
      <c r="J1022" s="6">
        <f>K1022&amp;L1022</f>
        <v/>
      </c>
      <c r="K1022" s="6">
        <f>YEAR(M1022)</f>
        <v/>
      </c>
      <c r="L1022" s="6">
        <f>MONTH(M1022)</f>
        <v/>
      </c>
      <c r="M1022" s="267">
        <f>IFERROR(__xludf.DUMMYFUNCTION("""COMPUTED_VALUE"""),44572.6666666666)</f>
        <v/>
      </c>
      <c r="N1022" s="6">
        <f>IFERROR(__xludf.DUMMYFUNCTION("""COMPUTED_VALUE"""),15153.45)</f>
        <v/>
      </c>
      <c r="R1022" s="6">
        <f>S1022&amp;T1022</f>
        <v/>
      </c>
      <c r="S1022" s="6">
        <f>YEAR(U1022)</f>
        <v/>
      </c>
      <c r="T1022" s="6">
        <f>MONTH(U1022)</f>
        <v/>
      </c>
      <c r="U1022" s="267">
        <f>IFERROR(__xludf.DUMMYFUNCTION("""COMPUTED_VALUE"""),44620.6458333333)</f>
        <v/>
      </c>
      <c r="V1022" s="6">
        <f>IFERROR(__xludf.DUMMYFUNCTION("""COMPUTED_VALUE"""),2699.18)</f>
        <v/>
      </c>
      <c r="Z1022" s="6">
        <f>AA1022&amp;AB1022</f>
        <v/>
      </c>
      <c r="AA1022" s="6">
        <f>YEAR(AC1022)</f>
        <v/>
      </c>
      <c r="AB1022" s="6">
        <f>MONTH(AC1022)</f>
        <v/>
      </c>
      <c r="AC1022" s="267">
        <f>IFERROR(__xludf.DUMMYFUNCTION("""COMPUTED_VALUE"""),44165.9986111111)</f>
        <v/>
      </c>
      <c r="AD1022" s="6">
        <f>IFERROR(__xludf.DUMMYFUNCTION("""COMPUTED_VALUE"""),1108.51)</f>
        <v/>
      </c>
      <c r="AH1022" s="6">
        <f>AI1022&amp;AJ1022</f>
        <v/>
      </c>
      <c r="AI1022" s="6">
        <f>YEAR(AK1022)</f>
        <v/>
      </c>
      <c r="AJ1022" s="6">
        <f>MONTH(AK1022)</f>
        <v/>
      </c>
      <c r="AK1022" s="267">
        <f>IFERROR(__xludf.DUMMYFUNCTION("""COMPUTED_VALUE"""),44114.9986111111)</f>
        <v/>
      </c>
      <c r="AL1022" s="6">
        <f>IFERROR(__xludf.DUMMYFUNCTION("""COMPUTED_VALUE"""),11301.6)</f>
        <v/>
      </c>
      <c r="AP1022" s="6">
        <f>AQ1022&amp;AR1022</f>
        <v/>
      </c>
      <c r="AQ1022" s="6">
        <f>YEAR(AS1022)</f>
        <v/>
      </c>
      <c r="AR1022" s="6">
        <f>MONTH(AS1022)</f>
        <v/>
      </c>
      <c r="AS1022" s="267">
        <f>IFERROR(__xludf.DUMMYFUNCTION("""COMPUTED_VALUE"""),44588.9986111111)</f>
        <v/>
      </c>
      <c r="AT1022" s="6">
        <f>IFERROR(__xludf.DUMMYFUNCTION("""COMPUTED_VALUE"""),1795)</f>
        <v/>
      </c>
    </row>
    <row r="1023">
      <c r="B1023" s="6">
        <f>C1023&amp;D1023</f>
        <v/>
      </c>
      <c r="C1023" s="6">
        <f>YEAR(E1023)</f>
        <v/>
      </c>
      <c r="D1023" s="6">
        <f>MONTH(E1023)</f>
        <v/>
      </c>
      <c r="E1023" s="267">
        <f>IFERROR(__xludf.DUMMYFUNCTION("""COMPUTED_VALUE"""),44581.6666666666)</f>
        <v/>
      </c>
      <c r="F1023" s="6">
        <f>IFERROR(__xludf.DUMMYFUNCTION("""COMPUTED_VALUE"""),4482.73)</f>
        <v/>
      </c>
      <c r="J1023" s="6">
        <f>K1023&amp;L1023</f>
        <v/>
      </c>
      <c r="K1023" s="6">
        <f>YEAR(M1023)</f>
        <v/>
      </c>
      <c r="L1023" s="6">
        <f>MONTH(M1023)</f>
        <v/>
      </c>
      <c r="M1023" s="267">
        <f>IFERROR(__xludf.DUMMYFUNCTION("""COMPUTED_VALUE"""),44573.6666666666)</f>
        <v/>
      </c>
      <c r="N1023" s="6">
        <f>IFERROR(__xludf.DUMMYFUNCTION("""COMPUTED_VALUE"""),15188.39)</f>
        <v/>
      </c>
      <c r="R1023" s="6">
        <f>S1023&amp;T1023</f>
        <v/>
      </c>
      <c r="S1023" s="6">
        <f>YEAR(U1023)</f>
        <v/>
      </c>
      <c r="T1023" s="6">
        <f>MONTH(U1023)</f>
        <v/>
      </c>
      <c r="U1023" s="267">
        <f>IFERROR(__xludf.DUMMYFUNCTION("""COMPUTED_VALUE"""),44622.6458333333)</f>
        <v/>
      </c>
      <c r="V1023" s="6">
        <f>IFERROR(__xludf.DUMMYFUNCTION("""COMPUTED_VALUE"""),2703.52)</f>
        <v/>
      </c>
      <c r="Z1023" s="6">
        <f>AA1023&amp;AB1023</f>
        <v/>
      </c>
      <c r="AA1023" s="6">
        <f>YEAR(AC1023)</f>
        <v/>
      </c>
      <c r="AB1023" s="6">
        <f>MONTH(AC1023)</f>
        <v/>
      </c>
      <c r="AC1023" s="267">
        <f>IFERROR(__xludf.DUMMYFUNCTION("""COMPUTED_VALUE"""),44166.9986111111)</f>
        <v/>
      </c>
      <c r="AD1023" s="6">
        <f>IFERROR(__xludf.DUMMYFUNCTION("""COMPUTED_VALUE"""),1106.28)</f>
        <v/>
      </c>
      <c r="AH1023" s="6">
        <f>AI1023&amp;AJ1023</f>
        <v/>
      </c>
      <c r="AI1023" s="6">
        <f>YEAR(AK1023)</f>
        <v/>
      </c>
      <c r="AJ1023" s="6">
        <f>MONTH(AK1023)</f>
        <v/>
      </c>
      <c r="AK1023" s="267">
        <f>IFERROR(__xludf.DUMMYFUNCTION("""COMPUTED_VALUE"""),44115.9986111111)</f>
        <v/>
      </c>
      <c r="AL1023" s="6">
        <f>IFERROR(__xludf.DUMMYFUNCTION("""COMPUTED_VALUE"""),11375.07)</f>
        <v/>
      </c>
      <c r="AP1023" s="6">
        <f>AQ1023&amp;AR1023</f>
        <v/>
      </c>
      <c r="AQ1023" s="6">
        <f>YEAR(AS1023)</f>
        <v/>
      </c>
      <c r="AR1023" s="6">
        <f>MONTH(AS1023)</f>
        <v/>
      </c>
      <c r="AS1023" s="267">
        <f>IFERROR(__xludf.DUMMYFUNCTION("""COMPUTED_VALUE"""),44589.9986111111)</f>
        <v/>
      </c>
      <c r="AT1023" s="6">
        <f>IFERROR(__xludf.DUMMYFUNCTION("""COMPUTED_VALUE"""),1786.6)</f>
        <v/>
      </c>
    </row>
    <row r="1024">
      <c r="B1024" s="6">
        <f>C1024&amp;D1024</f>
        <v/>
      </c>
      <c r="C1024" s="6">
        <f>YEAR(E1024)</f>
        <v/>
      </c>
      <c r="D1024" s="6">
        <f>MONTH(E1024)</f>
        <v/>
      </c>
      <c r="E1024" s="267">
        <f>IFERROR(__xludf.DUMMYFUNCTION("""COMPUTED_VALUE"""),44582.6666666666)</f>
        <v/>
      </c>
      <c r="F1024" s="6">
        <f>IFERROR(__xludf.DUMMYFUNCTION("""COMPUTED_VALUE"""),4397.94)</f>
        <v/>
      </c>
      <c r="J1024" s="6">
        <f>K1024&amp;L1024</f>
        <v/>
      </c>
      <c r="K1024" s="6">
        <f>YEAR(M1024)</f>
        <v/>
      </c>
      <c r="L1024" s="6">
        <f>MONTH(M1024)</f>
        <v/>
      </c>
      <c r="M1024" s="267">
        <f>IFERROR(__xludf.DUMMYFUNCTION("""COMPUTED_VALUE"""),44574.6666666666)</f>
        <v/>
      </c>
      <c r="N1024" s="6">
        <f>IFERROR(__xludf.DUMMYFUNCTION("""COMPUTED_VALUE"""),14806.81)</f>
        <v/>
      </c>
      <c r="R1024" s="6">
        <f>S1024&amp;T1024</f>
        <v/>
      </c>
      <c r="S1024" s="6">
        <f>YEAR(U1024)</f>
        <v/>
      </c>
      <c r="T1024" s="6">
        <f>MONTH(U1024)</f>
        <v/>
      </c>
      <c r="U1024" s="267">
        <f>IFERROR(__xludf.DUMMYFUNCTION("""COMPUTED_VALUE"""),44623.6458333333)</f>
        <v/>
      </c>
      <c r="V1024" s="6">
        <f>IFERROR(__xludf.DUMMYFUNCTION("""COMPUTED_VALUE"""),2747.08)</f>
        <v/>
      </c>
      <c r="Z1024" s="6">
        <f>AA1024&amp;AB1024</f>
        <v/>
      </c>
      <c r="AA1024" s="6">
        <f>YEAR(AC1024)</f>
        <v/>
      </c>
      <c r="AB1024" s="6">
        <f>MONTH(AC1024)</f>
        <v/>
      </c>
      <c r="AC1024" s="267">
        <f>IFERROR(__xludf.DUMMYFUNCTION("""COMPUTED_VALUE"""),44167.9986111111)</f>
        <v/>
      </c>
      <c r="AD1024" s="6">
        <f>IFERROR(__xludf.DUMMYFUNCTION("""COMPUTED_VALUE"""),1099.38)</f>
        <v/>
      </c>
      <c r="AH1024" s="6">
        <f>AI1024&amp;AJ1024</f>
        <v/>
      </c>
      <c r="AI1024" s="6">
        <f>YEAR(AK1024)</f>
        <v/>
      </c>
      <c r="AJ1024" s="6">
        <f>MONTH(AK1024)</f>
        <v/>
      </c>
      <c r="AK1024" s="267">
        <f>IFERROR(__xludf.DUMMYFUNCTION("""COMPUTED_VALUE"""),44116.9986111111)</f>
        <v/>
      </c>
      <c r="AL1024" s="6">
        <f>IFERROR(__xludf.DUMMYFUNCTION("""COMPUTED_VALUE"""),11537.3)</f>
        <v/>
      </c>
      <c r="AP1024" s="6">
        <f>AQ1024&amp;AR1024</f>
        <v/>
      </c>
      <c r="AQ1024" s="6">
        <f>YEAR(AS1024)</f>
        <v/>
      </c>
      <c r="AR1024" s="6">
        <f>MONTH(AS1024)</f>
        <v/>
      </c>
      <c r="AS1024" s="267">
        <f>IFERROR(__xludf.DUMMYFUNCTION("""COMPUTED_VALUE"""),44592.9986111111)</f>
        <v/>
      </c>
      <c r="AT1024" s="6">
        <f>IFERROR(__xludf.DUMMYFUNCTION("""COMPUTED_VALUE"""),1796.4)</f>
        <v/>
      </c>
    </row>
    <row r="1025">
      <c r="B1025" s="6">
        <f>C1025&amp;D1025</f>
        <v/>
      </c>
      <c r="C1025" s="6">
        <f>YEAR(E1025)</f>
        <v/>
      </c>
      <c r="D1025" s="6">
        <f>MONTH(E1025)</f>
        <v/>
      </c>
      <c r="E1025" s="267">
        <f>IFERROR(__xludf.DUMMYFUNCTION("""COMPUTED_VALUE"""),44585.6666666666)</f>
        <v/>
      </c>
      <c r="F1025" s="6">
        <f>IFERROR(__xludf.DUMMYFUNCTION("""COMPUTED_VALUE"""),4410.13)</f>
        <v/>
      </c>
      <c r="J1025" s="6">
        <f>K1025&amp;L1025</f>
        <v/>
      </c>
      <c r="K1025" s="6">
        <f>YEAR(M1025)</f>
        <v/>
      </c>
      <c r="L1025" s="6">
        <f>MONTH(M1025)</f>
        <v/>
      </c>
      <c r="M1025" s="267">
        <f>IFERROR(__xludf.DUMMYFUNCTION("""COMPUTED_VALUE"""),44575.6666666666)</f>
        <v/>
      </c>
      <c r="N1025" s="6">
        <f>IFERROR(__xludf.DUMMYFUNCTION("""COMPUTED_VALUE"""),14893.75)</f>
        <v/>
      </c>
      <c r="R1025" s="6">
        <f>S1025&amp;T1025</f>
        <v/>
      </c>
      <c r="S1025" s="6">
        <f>YEAR(U1025)</f>
        <v/>
      </c>
      <c r="T1025" s="6">
        <f>MONTH(U1025)</f>
        <v/>
      </c>
      <c r="U1025" s="267">
        <f>IFERROR(__xludf.DUMMYFUNCTION("""COMPUTED_VALUE"""),44624.6458333333)</f>
        <v/>
      </c>
      <c r="V1025" s="6">
        <f>IFERROR(__xludf.DUMMYFUNCTION("""COMPUTED_VALUE"""),2713.43)</f>
        <v/>
      </c>
      <c r="Z1025" s="6">
        <f>AA1025&amp;AB1025</f>
        <v/>
      </c>
      <c r="AA1025" s="6">
        <f>YEAR(AC1025)</f>
        <v/>
      </c>
      <c r="AB1025" s="6">
        <f>MONTH(AC1025)</f>
        <v/>
      </c>
      <c r="AC1025" s="267">
        <f>IFERROR(__xludf.DUMMYFUNCTION("""COMPUTED_VALUE"""),44168.9986111111)</f>
        <v/>
      </c>
      <c r="AD1025" s="6">
        <f>IFERROR(__xludf.DUMMYFUNCTION("""COMPUTED_VALUE"""),1091.32)</f>
        <v/>
      </c>
      <c r="AH1025" s="6">
        <f>AI1025&amp;AJ1025</f>
        <v/>
      </c>
      <c r="AI1025" s="6">
        <f>YEAR(AK1025)</f>
        <v/>
      </c>
      <c r="AJ1025" s="6">
        <f>MONTH(AK1025)</f>
        <v/>
      </c>
      <c r="AK1025" s="267">
        <f>IFERROR(__xludf.DUMMYFUNCTION("""COMPUTED_VALUE"""),44117.9986111111)</f>
        <v/>
      </c>
      <c r="AL1025" s="6">
        <f>IFERROR(__xludf.DUMMYFUNCTION("""COMPUTED_VALUE"""),11429.06)</f>
        <v/>
      </c>
      <c r="AP1025" s="6">
        <f>AQ1025&amp;AR1025</f>
        <v/>
      </c>
      <c r="AQ1025" s="6">
        <f>YEAR(AS1025)</f>
        <v/>
      </c>
      <c r="AR1025" s="6">
        <f>MONTH(AS1025)</f>
        <v/>
      </c>
      <c r="AS1025" s="267">
        <f>IFERROR(__xludf.DUMMYFUNCTION("""COMPUTED_VALUE"""),44593.9986111111)</f>
        <v/>
      </c>
      <c r="AT1025" s="6">
        <f>IFERROR(__xludf.DUMMYFUNCTION("""COMPUTED_VALUE"""),1801.5)</f>
        <v/>
      </c>
    </row>
    <row r="1026">
      <c r="B1026" s="6">
        <f>C1026&amp;D1026</f>
        <v/>
      </c>
      <c r="C1026" s="6">
        <f>YEAR(E1026)</f>
        <v/>
      </c>
      <c r="D1026" s="6">
        <f>MONTH(E1026)</f>
        <v/>
      </c>
      <c r="E1026" s="267">
        <f>IFERROR(__xludf.DUMMYFUNCTION("""COMPUTED_VALUE"""),44586.6666666666)</f>
        <v/>
      </c>
      <c r="F1026" s="6">
        <f>IFERROR(__xludf.DUMMYFUNCTION("""COMPUTED_VALUE"""),4356.45)</f>
        <v/>
      </c>
      <c r="J1026" s="6">
        <f>K1026&amp;L1026</f>
        <v/>
      </c>
      <c r="K1026" s="6">
        <f>YEAR(M1026)</f>
        <v/>
      </c>
      <c r="L1026" s="6">
        <f>MONTH(M1026)</f>
        <v/>
      </c>
      <c r="M1026" s="267">
        <f>IFERROR(__xludf.DUMMYFUNCTION("""COMPUTED_VALUE"""),44579.6666666666)</f>
        <v/>
      </c>
      <c r="N1026" s="6">
        <f>IFERROR(__xludf.DUMMYFUNCTION("""COMPUTED_VALUE"""),14506.9)</f>
        <v/>
      </c>
      <c r="R1026" s="6">
        <f>S1026&amp;T1026</f>
        <v/>
      </c>
      <c r="S1026" s="6">
        <f>YEAR(U1026)</f>
        <v/>
      </c>
      <c r="T1026" s="6">
        <f>MONTH(U1026)</f>
        <v/>
      </c>
      <c r="U1026" s="267">
        <f>IFERROR(__xludf.DUMMYFUNCTION("""COMPUTED_VALUE"""),44627.6458333333)</f>
        <v/>
      </c>
      <c r="V1026" s="6">
        <f>IFERROR(__xludf.DUMMYFUNCTION("""COMPUTED_VALUE"""),2651.31)</f>
        <v/>
      </c>
      <c r="Z1026" s="6">
        <f>AA1026&amp;AB1026</f>
        <v/>
      </c>
      <c r="AA1026" s="6">
        <f>YEAR(AC1026)</f>
        <v/>
      </c>
      <c r="AB1026" s="6">
        <f>MONTH(AC1026)</f>
        <v/>
      </c>
      <c r="AC1026" s="267">
        <f>IFERROR(__xludf.DUMMYFUNCTION("""COMPUTED_VALUE"""),44169.9986111111)</f>
        <v/>
      </c>
      <c r="AD1026" s="6">
        <f>IFERROR(__xludf.DUMMYFUNCTION("""COMPUTED_VALUE"""),1083.78)</f>
        <v/>
      </c>
      <c r="AH1026" s="6">
        <f>AI1026&amp;AJ1026</f>
        <v/>
      </c>
      <c r="AI1026" s="6">
        <f>YEAR(AK1026)</f>
        <v/>
      </c>
      <c r="AJ1026" s="6">
        <f>MONTH(AK1026)</f>
        <v/>
      </c>
      <c r="AK1026" s="267">
        <f>IFERROR(__xludf.DUMMYFUNCTION("""COMPUTED_VALUE"""),44118.9986111111)</f>
        <v/>
      </c>
      <c r="AL1026" s="6">
        <f>IFERROR(__xludf.DUMMYFUNCTION("""COMPUTED_VALUE"""),11428.24)</f>
        <v/>
      </c>
      <c r="AP1026" s="6">
        <f>AQ1026&amp;AR1026</f>
        <v/>
      </c>
      <c r="AQ1026" s="6">
        <f>YEAR(AS1026)</f>
        <v/>
      </c>
      <c r="AR1026" s="6">
        <f>MONTH(AS1026)</f>
        <v/>
      </c>
      <c r="AS1026" s="267">
        <f>IFERROR(__xludf.DUMMYFUNCTION("""COMPUTED_VALUE"""),44594.9986111111)</f>
        <v/>
      </c>
      <c r="AT1026" s="6">
        <f>IFERROR(__xludf.DUMMYFUNCTION("""COMPUTED_VALUE"""),1810.3)</f>
        <v/>
      </c>
    </row>
    <row r="1027">
      <c r="B1027" s="6">
        <f>C1027&amp;D1027</f>
        <v/>
      </c>
      <c r="C1027" s="6">
        <f>YEAR(E1027)</f>
        <v/>
      </c>
      <c r="D1027" s="6">
        <f>MONTH(E1027)</f>
        <v/>
      </c>
      <c r="E1027" s="267">
        <f>IFERROR(__xludf.DUMMYFUNCTION("""COMPUTED_VALUE"""),44587.6666666666)</f>
        <v/>
      </c>
      <c r="F1027" s="6">
        <f>IFERROR(__xludf.DUMMYFUNCTION("""COMPUTED_VALUE"""),4349.93)</f>
        <v/>
      </c>
      <c r="J1027" s="6">
        <f>K1027&amp;L1027</f>
        <v/>
      </c>
      <c r="K1027" s="6">
        <f>YEAR(M1027)</f>
        <v/>
      </c>
      <c r="L1027" s="6">
        <f>MONTH(M1027)</f>
        <v/>
      </c>
      <c r="M1027" s="267">
        <f>IFERROR(__xludf.DUMMYFUNCTION("""COMPUTED_VALUE"""),44580.6666666666)</f>
        <v/>
      </c>
      <c r="N1027" s="6">
        <f>IFERROR(__xludf.DUMMYFUNCTION("""COMPUTED_VALUE"""),14340.26)</f>
        <v/>
      </c>
      <c r="R1027" s="6">
        <f>S1027&amp;T1027</f>
        <v/>
      </c>
      <c r="S1027" s="6">
        <f>YEAR(U1027)</f>
        <v/>
      </c>
      <c r="T1027" s="6">
        <f>MONTH(U1027)</f>
        <v/>
      </c>
      <c r="U1027" s="267">
        <f>IFERROR(__xludf.DUMMYFUNCTION("""COMPUTED_VALUE"""),44628.6458333333)</f>
        <v/>
      </c>
      <c r="V1027" s="6">
        <f>IFERROR(__xludf.DUMMYFUNCTION("""COMPUTED_VALUE"""),2622.4)</f>
        <v/>
      </c>
      <c r="Z1027" s="6">
        <f>AA1027&amp;AB1027</f>
        <v/>
      </c>
      <c r="AA1027" s="6">
        <f>YEAR(AC1027)</f>
        <v/>
      </c>
      <c r="AB1027" s="6">
        <f>MONTH(AC1027)</f>
        <v/>
      </c>
      <c r="AC1027" s="267">
        <f>IFERROR(__xludf.DUMMYFUNCTION("""COMPUTED_VALUE"""),44170.9986111111)</f>
        <v/>
      </c>
      <c r="AD1027" s="6">
        <f>IFERROR(__xludf.DUMMYFUNCTION("""COMPUTED_VALUE"""),1083.78)</f>
        <v/>
      </c>
      <c r="AH1027" s="6">
        <f>AI1027&amp;AJ1027</f>
        <v/>
      </c>
      <c r="AI1027" s="6">
        <f>YEAR(AK1027)</f>
        <v/>
      </c>
      <c r="AJ1027" s="6">
        <f>MONTH(AK1027)</f>
        <v/>
      </c>
      <c r="AK1027" s="267">
        <f>IFERROR(__xludf.DUMMYFUNCTION("""COMPUTED_VALUE"""),44119.9986111111)</f>
        <v/>
      </c>
      <c r="AL1027" s="6">
        <f>IFERROR(__xludf.DUMMYFUNCTION("""COMPUTED_VALUE"""),11506.18)</f>
        <v/>
      </c>
      <c r="AP1027" s="6">
        <f>AQ1027&amp;AR1027</f>
        <v/>
      </c>
      <c r="AQ1027" s="6">
        <f>YEAR(AS1027)</f>
        <v/>
      </c>
      <c r="AR1027" s="6">
        <f>MONTH(AS1027)</f>
        <v/>
      </c>
      <c r="AS1027" s="267">
        <f>IFERROR(__xludf.DUMMYFUNCTION("""COMPUTED_VALUE"""),44595.9986111111)</f>
        <v/>
      </c>
      <c r="AT1027" s="6">
        <f>IFERROR(__xludf.DUMMYFUNCTION("""COMPUTED_VALUE"""),1804.1)</f>
        <v/>
      </c>
    </row>
    <row r="1028">
      <c r="B1028" s="6">
        <f>C1028&amp;D1028</f>
        <v/>
      </c>
      <c r="C1028" s="6">
        <f>YEAR(E1028)</f>
        <v/>
      </c>
      <c r="D1028" s="6">
        <f>MONTH(E1028)</f>
        <v/>
      </c>
      <c r="E1028" s="267">
        <f>IFERROR(__xludf.DUMMYFUNCTION("""COMPUTED_VALUE"""),44588.6666666666)</f>
        <v/>
      </c>
      <c r="F1028" s="6">
        <f>IFERROR(__xludf.DUMMYFUNCTION("""COMPUTED_VALUE"""),4326.51)</f>
        <v/>
      </c>
      <c r="J1028" s="6">
        <f>K1028&amp;L1028</f>
        <v/>
      </c>
      <c r="K1028" s="6">
        <f>YEAR(M1028)</f>
        <v/>
      </c>
      <c r="L1028" s="6">
        <f>MONTH(M1028)</f>
        <v/>
      </c>
      <c r="M1028" s="267">
        <f>IFERROR(__xludf.DUMMYFUNCTION("""COMPUTED_VALUE"""),44581.6666666666)</f>
        <v/>
      </c>
      <c r="N1028" s="6">
        <f>IFERROR(__xludf.DUMMYFUNCTION("""COMPUTED_VALUE"""),14154.02)</f>
        <v/>
      </c>
      <c r="R1028" s="6">
        <f>S1028&amp;T1028</f>
        <v/>
      </c>
      <c r="S1028" s="6">
        <f>YEAR(U1028)</f>
        <v/>
      </c>
      <c r="T1028" s="6">
        <f>MONTH(U1028)</f>
        <v/>
      </c>
      <c r="U1028" s="267">
        <f>IFERROR(__xludf.DUMMYFUNCTION("""COMPUTED_VALUE"""),44630.6458333333)</f>
        <v/>
      </c>
      <c r="V1028" s="6">
        <f>IFERROR(__xludf.DUMMYFUNCTION("""COMPUTED_VALUE"""),2680.32)</f>
        <v/>
      </c>
      <c r="Z1028" s="6">
        <f>AA1028&amp;AB1028</f>
        <v/>
      </c>
      <c r="AA1028" s="6">
        <f>YEAR(AC1028)</f>
        <v/>
      </c>
      <c r="AB1028" s="6">
        <f>MONTH(AC1028)</f>
        <v/>
      </c>
      <c r="AC1028" s="267">
        <f>IFERROR(__xludf.DUMMYFUNCTION("""COMPUTED_VALUE"""),44171.9986111111)</f>
        <v/>
      </c>
      <c r="AD1028" s="6">
        <f>IFERROR(__xludf.DUMMYFUNCTION("""COMPUTED_VALUE"""),1083.78)</f>
        <v/>
      </c>
      <c r="AH1028" s="6">
        <f>AI1028&amp;AJ1028</f>
        <v/>
      </c>
      <c r="AI1028" s="6">
        <f>YEAR(AK1028)</f>
        <v/>
      </c>
      <c r="AJ1028" s="6">
        <f>MONTH(AK1028)</f>
        <v/>
      </c>
      <c r="AK1028" s="267">
        <f>IFERROR(__xludf.DUMMYFUNCTION("""COMPUTED_VALUE"""),44120.9986111111)</f>
        <v/>
      </c>
      <c r="AL1028" s="6">
        <f>IFERROR(__xludf.DUMMYFUNCTION("""COMPUTED_VALUE"""),11325.54)</f>
        <v/>
      </c>
      <c r="AP1028" s="6">
        <f>AQ1028&amp;AR1028</f>
        <v/>
      </c>
      <c r="AQ1028" s="6">
        <f>YEAR(AS1028)</f>
        <v/>
      </c>
      <c r="AR1028" s="6">
        <f>MONTH(AS1028)</f>
        <v/>
      </c>
      <c r="AS1028" s="267">
        <f>IFERROR(__xludf.DUMMYFUNCTION("""COMPUTED_VALUE"""),44596.9986111111)</f>
        <v/>
      </c>
      <c r="AT1028" s="6">
        <f>IFERROR(__xludf.DUMMYFUNCTION("""COMPUTED_VALUE"""),1807.8)</f>
        <v/>
      </c>
    </row>
    <row r="1029">
      <c r="B1029" s="6">
        <f>C1029&amp;D1029</f>
        <v/>
      </c>
      <c r="C1029" s="6">
        <f>YEAR(E1029)</f>
        <v/>
      </c>
      <c r="D1029" s="6">
        <f>MONTH(E1029)</f>
        <v/>
      </c>
      <c r="E1029" s="267">
        <f>IFERROR(__xludf.DUMMYFUNCTION("""COMPUTED_VALUE"""),44589.6666666666)</f>
        <v/>
      </c>
      <c r="F1029" s="6">
        <f>IFERROR(__xludf.DUMMYFUNCTION("""COMPUTED_VALUE"""),4431.85)</f>
        <v/>
      </c>
      <c r="J1029" s="6">
        <f>K1029&amp;L1029</f>
        <v/>
      </c>
      <c r="K1029" s="6">
        <f>YEAR(M1029)</f>
        <v/>
      </c>
      <c r="L1029" s="6">
        <f>MONTH(M1029)</f>
        <v/>
      </c>
      <c r="M1029" s="267">
        <f>IFERROR(__xludf.DUMMYFUNCTION("""COMPUTED_VALUE"""),44582.6666666666)</f>
        <v/>
      </c>
      <c r="N1029" s="6">
        <f>IFERROR(__xludf.DUMMYFUNCTION("""COMPUTED_VALUE"""),13768.92)</f>
        <v/>
      </c>
      <c r="R1029" s="6">
        <f>S1029&amp;T1029</f>
        <v/>
      </c>
      <c r="S1029" s="6">
        <f>YEAR(U1029)</f>
        <v/>
      </c>
      <c r="T1029" s="6">
        <f>MONTH(U1029)</f>
        <v/>
      </c>
      <c r="U1029" s="267">
        <f>IFERROR(__xludf.DUMMYFUNCTION("""COMPUTED_VALUE"""),44631.6458333333)</f>
        <v/>
      </c>
      <c r="V1029" s="6">
        <f>IFERROR(__xludf.DUMMYFUNCTION("""COMPUTED_VALUE"""),2661.28)</f>
        <v/>
      </c>
      <c r="Z1029" s="6">
        <f>AA1029&amp;AB1029</f>
        <v/>
      </c>
      <c r="AA1029" s="6">
        <f>YEAR(AC1029)</f>
        <v/>
      </c>
      <c r="AB1029" s="6">
        <f>MONTH(AC1029)</f>
        <v/>
      </c>
      <c r="AC1029" s="267">
        <f>IFERROR(__xludf.DUMMYFUNCTION("""COMPUTED_VALUE"""),44172.9986111111)</f>
        <v/>
      </c>
      <c r="AD1029" s="6">
        <f>IFERROR(__xludf.DUMMYFUNCTION("""COMPUTED_VALUE"""),1083.68)</f>
        <v/>
      </c>
      <c r="AH1029" s="6">
        <f>AI1029&amp;AJ1029</f>
        <v/>
      </c>
      <c r="AI1029" s="6">
        <f>YEAR(AK1029)</f>
        <v/>
      </c>
      <c r="AJ1029" s="6">
        <f>MONTH(AK1029)</f>
        <v/>
      </c>
      <c r="AK1029" s="267">
        <f>IFERROR(__xludf.DUMMYFUNCTION("""COMPUTED_VALUE"""),44121.9986111111)</f>
        <v/>
      </c>
      <c r="AL1029" s="6">
        <f>IFERROR(__xludf.DUMMYFUNCTION("""COMPUTED_VALUE"""),11367.93)</f>
        <v/>
      </c>
      <c r="AP1029" s="6">
        <f>AQ1029&amp;AR1029</f>
        <v/>
      </c>
      <c r="AQ1029" s="6">
        <f>YEAR(AS1029)</f>
        <v/>
      </c>
      <c r="AR1029" s="6">
        <f>MONTH(AS1029)</f>
        <v/>
      </c>
      <c r="AS1029" s="267">
        <f>IFERROR(__xludf.DUMMYFUNCTION("""COMPUTED_VALUE"""),44599.9986111111)</f>
        <v/>
      </c>
      <c r="AT1029" s="6">
        <f>IFERROR(__xludf.DUMMYFUNCTION("""COMPUTED_VALUE"""),1821.8)</f>
        <v/>
      </c>
    </row>
    <row r="1030">
      <c r="B1030" s="6">
        <f>C1030&amp;D1030</f>
        <v/>
      </c>
      <c r="C1030" s="6">
        <f>YEAR(E1030)</f>
        <v/>
      </c>
      <c r="D1030" s="6">
        <f>MONTH(E1030)</f>
        <v/>
      </c>
      <c r="E1030" s="267">
        <f>IFERROR(__xludf.DUMMYFUNCTION("""COMPUTED_VALUE"""),44592.6666666666)</f>
        <v/>
      </c>
      <c r="F1030" s="6">
        <f>IFERROR(__xludf.DUMMYFUNCTION("""COMPUTED_VALUE"""),4515.55)</f>
        <v/>
      </c>
      <c r="J1030" s="6">
        <f>K1030&amp;L1030</f>
        <v/>
      </c>
      <c r="K1030" s="6">
        <f>YEAR(M1030)</f>
        <v/>
      </c>
      <c r="L1030" s="6">
        <f>MONTH(M1030)</f>
        <v/>
      </c>
      <c r="M1030" s="267">
        <f>IFERROR(__xludf.DUMMYFUNCTION("""COMPUTED_VALUE"""),44585.6666666666)</f>
        <v/>
      </c>
      <c r="N1030" s="6">
        <f>IFERROR(__xludf.DUMMYFUNCTION("""COMPUTED_VALUE"""),13855.13)</f>
        <v/>
      </c>
      <c r="R1030" s="6">
        <f>S1030&amp;T1030</f>
        <v/>
      </c>
      <c r="S1030" s="6">
        <f>YEAR(U1030)</f>
        <v/>
      </c>
      <c r="T1030" s="6">
        <f>MONTH(U1030)</f>
        <v/>
      </c>
      <c r="U1030" s="267">
        <f>IFERROR(__xludf.DUMMYFUNCTION("""COMPUTED_VALUE"""),44634.6458333333)</f>
        <v/>
      </c>
      <c r="V1030" s="6">
        <f>IFERROR(__xludf.DUMMYFUNCTION("""COMPUTED_VALUE"""),2645.65)</f>
        <v/>
      </c>
      <c r="Z1030" s="6">
        <f>AA1030&amp;AB1030</f>
        <v/>
      </c>
      <c r="AA1030" s="6">
        <f>YEAR(AC1030)</f>
        <v/>
      </c>
      <c r="AB1030" s="6">
        <f>MONTH(AC1030)</f>
        <v/>
      </c>
      <c r="AC1030" s="267">
        <f>IFERROR(__xludf.DUMMYFUNCTION("""COMPUTED_VALUE"""),44173.9986111111)</f>
        <v/>
      </c>
      <c r="AD1030" s="6">
        <f>IFERROR(__xludf.DUMMYFUNCTION("""COMPUTED_VALUE"""),1084.86)</f>
        <v/>
      </c>
      <c r="AH1030" s="6">
        <f>AI1030&amp;AJ1030</f>
        <v/>
      </c>
      <c r="AI1030" s="6">
        <f>YEAR(AK1030)</f>
        <v/>
      </c>
      <c r="AJ1030" s="6">
        <f>MONTH(AK1030)</f>
        <v/>
      </c>
      <c r="AK1030" s="267">
        <f>IFERROR(__xludf.DUMMYFUNCTION("""COMPUTED_VALUE"""),44122.9986111111)</f>
        <v/>
      </c>
      <c r="AL1030" s="6">
        <f>IFERROR(__xludf.DUMMYFUNCTION("""COMPUTED_VALUE"""),11512.48)</f>
        <v/>
      </c>
      <c r="AP1030" s="6">
        <f>AQ1030&amp;AR1030</f>
        <v/>
      </c>
      <c r="AQ1030" s="6">
        <f>YEAR(AS1030)</f>
        <v/>
      </c>
      <c r="AR1030" s="6">
        <f>MONTH(AS1030)</f>
        <v/>
      </c>
      <c r="AS1030" s="267">
        <f>IFERROR(__xludf.DUMMYFUNCTION("""COMPUTED_VALUE"""),44600.9986111111)</f>
        <v/>
      </c>
      <c r="AT1030" s="6">
        <f>IFERROR(__xludf.DUMMYFUNCTION("""COMPUTED_VALUE"""),1827.9)</f>
        <v/>
      </c>
    </row>
    <row r="1031">
      <c r="B1031" s="6">
        <f>C1031&amp;D1031</f>
        <v/>
      </c>
      <c r="C1031" s="6">
        <f>YEAR(E1031)</f>
        <v/>
      </c>
      <c r="D1031" s="6">
        <f>MONTH(E1031)</f>
        <v/>
      </c>
      <c r="E1031" s="267">
        <f>IFERROR(__xludf.DUMMYFUNCTION("""COMPUTED_VALUE"""),44593.6666666666)</f>
        <v/>
      </c>
      <c r="F1031" s="6">
        <f>IFERROR(__xludf.DUMMYFUNCTION("""COMPUTED_VALUE"""),4546.54)</f>
        <v/>
      </c>
      <c r="J1031" s="6">
        <f>K1031&amp;L1031</f>
        <v/>
      </c>
      <c r="K1031" s="6">
        <f>YEAR(M1031)</f>
        <v/>
      </c>
      <c r="L1031" s="6">
        <f>MONTH(M1031)</f>
        <v/>
      </c>
      <c r="M1031" s="267">
        <f>IFERROR(__xludf.DUMMYFUNCTION("""COMPUTED_VALUE"""),44586.6666666666)</f>
        <v/>
      </c>
      <c r="N1031" s="6">
        <f>IFERROR(__xludf.DUMMYFUNCTION("""COMPUTED_VALUE"""),13539.3)</f>
        <v/>
      </c>
      <c r="R1031" s="6">
        <f>S1031&amp;T1031</f>
        <v/>
      </c>
      <c r="S1031" s="6">
        <f>YEAR(U1031)</f>
        <v/>
      </c>
      <c r="T1031" s="6">
        <f>MONTH(U1031)</f>
        <v/>
      </c>
      <c r="U1031" s="267">
        <f>IFERROR(__xludf.DUMMYFUNCTION("""COMPUTED_VALUE"""),44635.6458333333)</f>
        <v/>
      </c>
      <c r="V1031" s="6">
        <f>IFERROR(__xludf.DUMMYFUNCTION("""COMPUTED_VALUE"""),2621.53)</f>
        <v/>
      </c>
      <c r="Z1031" s="6">
        <f>AA1031&amp;AB1031</f>
        <v/>
      </c>
      <c r="AA1031" s="6">
        <f>YEAR(AC1031)</f>
        <v/>
      </c>
      <c r="AB1031" s="6">
        <f>MONTH(AC1031)</f>
        <v/>
      </c>
      <c r="AC1031" s="267">
        <f>IFERROR(__xludf.DUMMYFUNCTION("""COMPUTED_VALUE"""),44174.9986111111)</f>
        <v/>
      </c>
      <c r="AD1031" s="6">
        <f>IFERROR(__xludf.DUMMYFUNCTION("""COMPUTED_VALUE"""),1086.36)</f>
        <v/>
      </c>
      <c r="AH1031" s="6">
        <f>AI1031&amp;AJ1031</f>
        <v/>
      </c>
      <c r="AI1031" s="6">
        <f>YEAR(AK1031)</f>
        <v/>
      </c>
      <c r="AJ1031" s="6">
        <f>MONTH(AK1031)</f>
        <v/>
      </c>
      <c r="AK1031" s="267">
        <f>IFERROR(__xludf.DUMMYFUNCTION("""COMPUTED_VALUE"""),44123.9986111111)</f>
        <v/>
      </c>
      <c r="AL1031" s="6">
        <f>IFERROR(__xludf.DUMMYFUNCTION("""COMPUTED_VALUE"""),11758.06)</f>
        <v/>
      </c>
      <c r="AP1031" s="6">
        <f>AQ1031&amp;AR1031</f>
        <v/>
      </c>
      <c r="AQ1031" s="6">
        <f>YEAR(AS1031)</f>
        <v/>
      </c>
      <c r="AR1031" s="6">
        <f>MONTH(AS1031)</f>
        <v/>
      </c>
      <c r="AS1031" s="267">
        <f>IFERROR(__xludf.DUMMYFUNCTION("""COMPUTED_VALUE"""),44601.9986111111)</f>
        <v/>
      </c>
      <c r="AT1031" s="6">
        <f>IFERROR(__xludf.DUMMYFUNCTION("""COMPUTED_VALUE"""),1836.6)</f>
        <v/>
      </c>
    </row>
    <row r="1032">
      <c r="B1032" s="6">
        <f>C1032&amp;D1032</f>
        <v/>
      </c>
      <c r="C1032" s="6">
        <f>YEAR(E1032)</f>
        <v/>
      </c>
      <c r="D1032" s="6">
        <f>MONTH(E1032)</f>
        <v/>
      </c>
      <c r="E1032" s="267">
        <f>IFERROR(__xludf.DUMMYFUNCTION("""COMPUTED_VALUE"""),44594.6666666666)</f>
        <v/>
      </c>
      <c r="F1032" s="6">
        <f>IFERROR(__xludf.DUMMYFUNCTION("""COMPUTED_VALUE"""),4589.38)</f>
        <v/>
      </c>
      <c r="J1032" s="6">
        <f>K1032&amp;L1032</f>
        <v/>
      </c>
      <c r="K1032" s="6">
        <f>YEAR(M1032)</f>
        <v/>
      </c>
      <c r="L1032" s="6">
        <f>MONTH(M1032)</f>
        <v/>
      </c>
      <c r="M1032" s="267">
        <f>IFERROR(__xludf.DUMMYFUNCTION("""COMPUTED_VALUE"""),44587.6666666666)</f>
        <v/>
      </c>
      <c r="N1032" s="6">
        <f>IFERROR(__xludf.DUMMYFUNCTION("""COMPUTED_VALUE"""),13542.12)</f>
        <v/>
      </c>
      <c r="R1032" s="6">
        <f>S1032&amp;T1032</f>
        <v/>
      </c>
      <c r="S1032" s="6">
        <f>YEAR(U1032)</f>
        <v/>
      </c>
      <c r="T1032" s="6">
        <f>MONTH(U1032)</f>
        <v/>
      </c>
      <c r="U1032" s="267">
        <f>IFERROR(__xludf.DUMMYFUNCTION("""COMPUTED_VALUE"""),44636.6458333333)</f>
        <v/>
      </c>
      <c r="V1032" s="6">
        <f>IFERROR(__xludf.DUMMYFUNCTION("""COMPUTED_VALUE"""),2659.23)</f>
        <v/>
      </c>
      <c r="Z1032" s="6">
        <f>AA1032&amp;AB1032</f>
        <v/>
      </c>
      <c r="AA1032" s="6">
        <f>YEAR(AC1032)</f>
        <v/>
      </c>
      <c r="AB1032" s="6">
        <f>MONTH(AC1032)</f>
        <v/>
      </c>
      <c r="AC1032" s="267">
        <f>IFERROR(__xludf.DUMMYFUNCTION("""COMPUTED_VALUE"""),44175.9986111111)</f>
        <v/>
      </c>
      <c r="AD1032" s="6">
        <f>IFERROR(__xludf.DUMMYFUNCTION("""COMPUTED_VALUE"""),1086.37)</f>
        <v/>
      </c>
      <c r="AH1032" s="6">
        <f>AI1032&amp;AJ1032</f>
        <v/>
      </c>
      <c r="AI1032" s="6">
        <f>YEAR(AK1032)</f>
        <v/>
      </c>
      <c r="AJ1032" s="6">
        <f>MONTH(AK1032)</f>
        <v/>
      </c>
      <c r="AK1032" s="267">
        <f>IFERROR(__xludf.DUMMYFUNCTION("""COMPUTED_VALUE"""),44124.9986111111)</f>
        <v/>
      </c>
      <c r="AL1032" s="6">
        <f>IFERROR(__xludf.DUMMYFUNCTION("""COMPUTED_VALUE"""),11922.28)</f>
        <v/>
      </c>
      <c r="AP1032" s="6">
        <f>AQ1032&amp;AR1032</f>
        <v/>
      </c>
      <c r="AQ1032" s="6">
        <f>YEAR(AS1032)</f>
        <v/>
      </c>
      <c r="AR1032" s="6">
        <f>MONTH(AS1032)</f>
        <v/>
      </c>
      <c r="AS1032" s="267">
        <f>IFERROR(__xludf.DUMMYFUNCTION("""COMPUTED_VALUE"""),44602.9986111111)</f>
        <v/>
      </c>
      <c r="AT1032" s="6">
        <f>IFERROR(__xludf.DUMMYFUNCTION("""COMPUTED_VALUE"""),1837.4)</f>
        <v/>
      </c>
    </row>
    <row r="1033">
      <c r="B1033" s="6">
        <f>C1033&amp;D1033</f>
        <v/>
      </c>
      <c r="C1033" s="6">
        <f>YEAR(E1033)</f>
        <v/>
      </c>
      <c r="D1033" s="6">
        <f>MONTH(E1033)</f>
        <v/>
      </c>
      <c r="E1033" s="267">
        <f>IFERROR(__xludf.DUMMYFUNCTION("""COMPUTED_VALUE"""),44595.6666666666)</f>
        <v/>
      </c>
      <c r="F1033" s="6">
        <f>IFERROR(__xludf.DUMMYFUNCTION("""COMPUTED_VALUE"""),4477.44)</f>
        <v/>
      </c>
      <c r="J1033" s="6">
        <f>K1033&amp;L1033</f>
        <v/>
      </c>
      <c r="K1033" s="6">
        <f>YEAR(M1033)</f>
        <v/>
      </c>
      <c r="L1033" s="6">
        <f>MONTH(M1033)</f>
        <v/>
      </c>
      <c r="M1033" s="267">
        <f>IFERROR(__xludf.DUMMYFUNCTION("""COMPUTED_VALUE"""),44588.6666666666)</f>
        <v/>
      </c>
      <c r="N1033" s="6">
        <f>IFERROR(__xludf.DUMMYFUNCTION("""COMPUTED_VALUE"""),13352.78)</f>
        <v/>
      </c>
      <c r="R1033" s="6">
        <f>S1033&amp;T1033</f>
        <v/>
      </c>
      <c r="S1033" s="6">
        <f>YEAR(U1033)</f>
        <v/>
      </c>
      <c r="T1033" s="6">
        <f>MONTH(U1033)</f>
        <v/>
      </c>
      <c r="U1033" s="267">
        <f>IFERROR(__xludf.DUMMYFUNCTION("""COMPUTED_VALUE"""),44637.6458333333)</f>
        <v/>
      </c>
      <c r="V1033" s="6">
        <f>IFERROR(__xludf.DUMMYFUNCTION("""COMPUTED_VALUE"""),2694.51)</f>
        <v/>
      </c>
      <c r="Z1033" s="6">
        <f>AA1033&amp;AB1033</f>
        <v/>
      </c>
      <c r="AA1033" s="6">
        <f>YEAR(AC1033)</f>
        <v/>
      </c>
      <c r="AB1033" s="6">
        <f>MONTH(AC1033)</f>
        <v/>
      </c>
      <c r="AC1033" s="267">
        <f>IFERROR(__xludf.DUMMYFUNCTION("""COMPUTED_VALUE"""),44176.9986111111)</f>
        <v/>
      </c>
      <c r="AD1033" s="6">
        <f>IFERROR(__xludf.DUMMYFUNCTION("""COMPUTED_VALUE"""),1091.58)</f>
        <v/>
      </c>
      <c r="AH1033" s="6">
        <f>AI1033&amp;AJ1033</f>
        <v/>
      </c>
      <c r="AI1033" s="6">
        <f>YEAR(AK1033)</f>
        <v/>
      </c>
      <c r="AJ1033" s="6">
        <f>MONTH(AK1033)</f>
        <v/>
      </c>
      <c r="AK1033" s="267">
        <f>IFERROR(__xludf.DUMMYFUNCTION("""COMPUTED_VALUE"""),44125.9986111111)</f>
        <v/>
      </c>
      <c r="AL1033" s="6">
        <f>IFERROR(__xludf.DUMMYFUNCTION("""COMPUTED_VALUE"""),12811.03)</f>
        <v/>
      </c>
      <c r="AP1033" s="6">
        <f>AQ1033&amp;AR1033</f>
        <v/>
      </c>
      <c r="AQ1033" s="6">
        <f>YEAR(AS1033)</f>
        <v/>
      </c>
      <c r="AR1033" s="6">
        <f>MONTH(AS1033)</f>
        <v/>
      </c>
      <c r="AS1033" s="267">
        <f>IFERROR(__xludf.DUMMYFUNCTION("""COMPUTED_VALUE"""),44603.9986111111)</f>
        <v/>
      </c>
      <c r="AT1033" s="6">
        <f>IFERROR(__xludf.DUMMYFUNCTION("""COMPUTED_VALUE"""),1842.1)</f>
        <v/>
      </c>
    </row>
    <row r="1034">
      <c r="B1034" s="6">
        <f>C1034&amp;D1034</f>
        <v/>
      </c>
      <c r="C1034" s="6">
        <f>YEAR(E1034)</f>
        <v/>
      </c>
      <c r="D1034" s="6">
        <f>MONTH(E1034)</f>
        <v/>
      </c>
      <c r="E1034" s="267">
        <f>IFERROR(__xludf.DUMMYFUNCTION("""COMPUTED_VALUE"""),44596.6666666666)</f>
        <v/>
      </c>
      <c r="F1034" s="6">
        <f>IFERROR(__xludf.DUMMYFUNCTION("""COMPUTED_VALUE"""),4500.53)</f>
        <v/>
      </c>
      <c r="J1034" s="6">
        <f>K1034&amp;L1034</f>
        <v/>
      </c>
      <c r="K1034" s="6">
        <f>YEAR(M1034)</f>
        <v/>
      </c>
      <c r="L1034" s="6">
        <f>MONTH(M1034)</f>
        <v/>
      </c>
      <c r="M1034" s="267">
        <f>IFERROR(__xludf.DUMMYFUNCTION("""COMPUTED_VALUE"""),44589.6666666666)</f>
        <v/>
      </c>
      <c r="N1034" s="6">
        <f>IFERROR(__xludf.DUMMYFUNCTION("""COMPUTED_VALUE"""),13770.57)</f>
        <v/>
      </c>
      <c r="R1034" s="6">
        <f>S1034&amp;T1034</f>
        <v/>
      </c>
      <c r="S1034" s="6">
        <f>YEAR(U1034)</f>
        <v/>
      </c>
      <c r="T1034" s="6">
        <f>MONTH(U1034)</f>
        <v/>
      </c>
      <c r="U1034" s="267">
        <f>IFERROR(__xludf.DUMMYFUNCTION("""COMPUTED_VALUE"""),44638.6458333333)</f>
        <v/>
      </c>
      <c r="V1034" s="6">
        <f>IFERROR(__xludf.DUMMYFUNCTION("""COMPUTED_VALUE"""),2707.02)</f>
        <v/>
      </c>
      <c r="Z1034" s="6">
        <f>AA1034&amp;AB1034</f>
        <v/>
      </c>
      <c r="AA1034" s="6">
        <f>YEAR(AC1034)</f>
        <v/>
      </c>
      <c r="AB1034" s="6">
        <f>MONTH(AC1034)</f>
        <v/>
      </c>
      <c r="AC1034" s="267">
        <f>IFERROR(__xludf.DUMMYFUNCTION("""COMPUTED_VALUE"""),44177.9986111111)</f>
        <v/>
      </c>
      <c r="AD1034" s="6">
        <f>IFERROR(__xludf.DUMMYFUNCTION("""COMPUTED_VALUE"""),1091.58)</f>
        <v/>
      </c>
      <c r="AH1034" s="6">
        <f>AI1034&amp;AJ1034</f>
        <v/>
      </c>
      <c r="AI1034" s="6">
        <f>YEAR(AK1034)</f>
        <v/>
      </c>
      <c r="AJ1034" s="6">
        <f>MONTH(AK1034)</f>
        <v/>
      </c>
      <c r="AK1034" s="267">
        <f>IFERROR(__xludf.DUMMYFUNCTION("""COMPUTED_VALUE"""),44126.9986111111)</f>
        <v/>
      </c>
      <c r="AL1034" s="6">
        <f>IFERROR(__xludf.DUMMYFUNCTION("""COMPUTED_VALUE"""),12984.58)</f>
        <v/>
      </c>
      <c r="AP1034" s="6">
        <f>AQ1034&amp;AR1034</f>
        <v/>
      </c>
      <c r="AQ1034" s="6">
        <f>YEAR(AS1034)</f>
        <v/>
      </c>
      <c r="AR1034" s="6">
        <f>MONTH(AS1034)</f>
        <v/>
      </c>
      <c r="AS1034" s="267">
        <f>IFERROR(__xludf.DUMMYFUNCTION("""COMPUTED_VALUE"""),44606.9986111111)</f>
        <v/>
      </c>
      <c r="AT1034" s="6">
        <f>IFERROR(__xludf.DUMMYFUNCTION("""COMPUTED_VALUE"""),1869.4)</f>
        <v/>
      </c>
    </row>
    <row r="1035">
      <c r="B1035" s="6">
        <f>C1035&amp;D1035</f>
        <v/>
      </c>
      <c r="C1035" s="6">
        <f>YEAR(E1035)</f>
        <v/>
      </c>
      <c r="D1035" s="6">
        <f>MONTH(E1035)</f>
        <v/>
      </c>
      <c r="E1035" s="267">
        <f>IFERROR(__xludf.DUMMYFUNCTION("""COMPUTED_VALUE"""),44599.6666666666)</f>
        <v/>
      </c>
      <c r="F1035" s="6">
        <f>IFERROR(__xludf.DUMMYFUNCTION("""COMPUTED_VALUE"""),4483.87)</f>
        <v/>
      </c>
      <c r="J1035" s="6">
        <f>K1035&amp;L1035</f>
        <v/>
      </c>
      <c r="K1035" s="6">
        <f>YEAR(M1035)</f>
        <v/>
      </c>
      <c r="L1035" s="6">
        <f>MONTH(M1035)</f>
        <v/>
      </c>
      <c r="M1035" s="267">
        <f>IFERROR(__xludf.DUMMYFUNCTION("""COMPUTED_VALUE"""),44592.6666666666)</f>
        <v/>
      </c>
      <c r="N1035" s="6">
        <f>IFERROR(__xludf.DUMMYFUNCTION("""COMPUTED_VALUE"""),14239.88)</f>
        <v/>
      </c>
      <c r="R1035" s="6">
        <f>S1035&amp;T1035</f>
        <v/>
      </c>
      <c r="S1035" s="6">
        <f>YEAR(U1035)</f>
        <v/>
      </c>
      <c r="T1035" s="6">
        <f>MONTH(U1035)</f>
        <v/>
      </c>
      <c r="U1035" s="267">
        <f>IFERROR(__xludf.DUMMYFUNCTION("""COMPUTED_VALUE"""),44641.6458333333)</f>
        <v/>
      </c>
      <c r="V1035" s="6">
        <f>IFERROR(__xludf.DUMMYFUNCTION("""COMPUTED_VALUE"""),2686.05)</f>
        <v/>
      </c>
      <c r="Z1035" s="6">
        <f>AA1035&amp;AB1035</f>
        <v/>
      </c>
      <c r="AA1035" s="6">
        <f>YEAR(AC1035)</f>
        <v/>
      </c>
      <c r="AB1035" s="6">
        <f>MONTH(AC1035)</f>
        <v/>
      </c>
      <c r="AC1035" s="267">
        <f>IFERROR(__xludf.DUMMYFUNCTION("""COMPUTED_VALUE"""),44178.9986111111)</f>
        <v/>
      </c>
      <c r="AD1035" s="6">
        <f>IFERROR(__xludf.DUMMYFUNCTION("""COMPUTED_VALUE"""),1091.58)</f>
        <v/>
      </c>
      <c r="AH1035" s="6">
        <f>AI1035&amp;AJ1035</f>
        <v/>
      </c>
      <c r="AI1035" s="6">
        <f>YEAR(AK1035)</f>
        <v/>
      </c>
      <c r="AJ1035" s="6">
        <f>MONTH(AK1035)</f>
        <v/>
      </c>
      <c r="AK1035" s="267">
        <f>IFERROR(__xludf.DUMMYFUNCTION("""COMPUTED_VALUE"""),44127.9986111111)</f>
        <v/>
      </c>
      <c r="AL1035" s="6">
        <f>IFERROR(__xludf.DUMMYFUNCTION("""COMPUTED_VALUE"""),12939.6)</f>
        <v/>
      </c>
      <c r="AP1035" s="6">
        <f>AQ1035&amp;AR1035</f>
        <v/>
      </c>
      <c r="AQ1035" s="6">
        <f>YEAR(AS1035)</f>
        <v/>
      </c>
      <c r="AR1035" s="6">
        <f>MONTH(AS1035)</f>
        <v/>
      </c>
      <c r="AS1035" s="267">
        <f>IFERROR(__xludf.DUMMYFUNCTION("""COMPUTED_VALUE"""),44607.9986111111)</f>
        <v/>
      </c>
      <c r="AT1035" s="6">
        <f>IFERROR(__xludf.DUMMYFUNCTION("""COMPUTED_VALUE"""),1856.2)</f>
        <v/>
      </c>
    </row>
    <row r="1036">
      <c r="B1036" s="6">
        <f>C1036&amp;D1036</f>
        <v/>
      </c>
      <c r="C1036" s="6">
        <f>YEAR(E1036)</f>
        <v/>
      </c>
      <c r="D1036" s="6">
        <f>MONTH(E1036)</f>
        <v/>
      </c>
      <c r="E1036" s="267">
        <f>IFERROR(__xludf.DUMMYFUNCTION("""COMPUTED_VALUE"""),44600.6666666666)</f>
        <v/>
      </c>
      <c r="F1036" s="6">
        <f>IFERROR(__xludf.DUMMYFUNCTION("""COMPUTED_VALUE"""),4521.54)</f>
        <v/>
      </c>
      <c r="J1036" s="6">
        <f>K1036&amp;L1036</f>
        <v/>
      </c>
      <c r="K1036" s="6">
        <f>YEAR(M1036)</f>
        <v/>
      </c>
      <c r="L1036" s="6">
        <f>MONTH(M1036)</f>
        <v/>
      </c>
      <c r="M1036" s="267">
        <f>IFERROR(__xludf.DUMMYFUNCTION("""COMPUTED_VALUE"""),44593.6666666666)</f>
        <v/>
      </c>
      <c r="N1036" s="6">
        <f>IFERROR(__xludf.DUMMYFUNCTION("""COMPUTED_VALUE"""),14346)</f>
        <v/>
      </c>
      <c r="R1036" s="6">
        <f>S1036&amp;T1036</f>
        <v/>
      </c>
      <c r="S1036" s="6">
        <f>YEAR(U1036)</f>
        <v/>
      </c>
      <c r="T1036" s="6">
        <f>MONTH(U1036)</f>
        <v/>
      </c>
      <c r="U1036" s="267">
        <f>IFERROR(__xludf.DUMMYFUNCTION("""COMPUTED_VALUE"""),44642.6458333333)</f>
        <v/>
      </c>
      <c r="V1036" s="6">
        <f>IFERROR(__xludf.DUMMYFUNCTION("""COMPUTED_VALUE"""),2710)</f>
        <v/>
      </c>
      <c r="Z1036" s="6">
        <f>AA1036&amp;AB1036</f>
        <v/>
      </c>
      <c r="AA1036" s="6">
        <f>YEAR(AC1036)</f>
        <v/>
      </c>
      <c r="AB1036" s="6">
        <f>MONTH(AC1036)</f>
        <v/>
      </c>
      <c r="AC1036" s="267">
        <f>IFERROR(__xludf.DUMMYFUNCTION("""COMPUTED_VALUE"""),44179.9986111111)</f>
        <v/>
      </c>
      <c r="AD1036" s="6">
        <f>IFERROR(__xludf.DUMMYFUNCTION("""COMPUTED_VALUE"""),1092.06)</f>
        <v/>
      </c>
      <c r="AH1036" s="6">
        <f>AI1036&amp;AJ1036</f>
        <v/>
      </c>
      <c r="AI1036" s="6">
        <f>YEAR(AK1036)</f>
        <v/>
      </c>
      <c r="AJ1036" s="6">
        <f>MONTH(AK1036)</f>
        <v/>
      </c>
      <c r="AK1036" s="267">
        <f>IFERROR(__xludf.DUMMYFUNCTION("""COMPUTED_VALUE"""),44128.9986111111)</f>
        <v/>
      </c>
      <c r="AL1036" s="6">
        <f>IFERROR(__xludf.DUMMYFUNCTION("""COMPUTED_VALUE"""),13126.43)</f>
        <v/>
      </c>
      <c r="AP1036" s="6">
        <f>AQ1036&amp;AR1036</f>
        <v/>
      </c>
      <c r="AQ1036" s="6">
        <f>YEAR(AS1036)</f>
        <v/>
      </c>
      <c r="AR1036" s="6">
        <f>MONTH(AS1036)</f>
        <v/>
      </c>
      <c r="AS1036" s="267">
        <f>IFERROR(__xludf.DUMMYFUNCTION("""COMPUTED_VALUE"""),44608.9986111111)</f>
        <v/>
      </c>
      <c r="AT1036" s="6">
        <f>IFERROR(__xludf.DUMMYFUNCTION("""COMPUTED_VALUE"""),1871.5)</f>
        <v/>
      </c>
    </row>
    <row r="1037">
      <c r="B1037" s="6">
        <f>C1037&amp;D1037</f>
        <v/>
      </c>
      <c r="C1037" s="6">
        <f>YEAR(E1037)</f>
        <v/>
      </c>
      <c r="D1037" s="6">
        <f>MONTH(E1037)</f>
        <v/>
      </c>
      <c r="E1037" s="267">
        <f>IFERROR(__xludf.DUMMYFUNCTION("""COMPUTED_VALUE"""),44601.6666666666)</f>
        <v/>
      </c>
      <c r="F1037" s="6">
        <f>IFERROR(__xludf.DUMMYFUNCTION("""COMPUTED_VALUE"""),4587.18)</f>
        <v/>
      </c>
      <c r="J1037" s="6">
        <f>K1037&amp;L1037</f>
        <v/>
      </c>
      <c r="K1037" s="6">
        <f>YEAR(M1037)</f>
        <v/>
      </c>
      <c r="L1037" s="6">
        <f>MONTH(M1037)</f>
        <v/>
      </c>
      <c r="M1037" s="267">
        <f>IFERROR(__xludf.DUMMYFUNCTION("""COMPUTED_VALUE"""),44594.6666666666)</f>
        <v/>
      </c>
      <c r="N1037" s="6">
        <f>IFERROR(__xludf.DUMMYFUNCTION("""COMPUTED_VALUE"""),14417.55)</f>
        <v/>
      </c>
      <c r="R1037" s="6">
        <f>S1037&amp;T1037</f>
        <v/>
      </c>
      <c r="S1037" s="6">
        <f>YEAR(U1037)</f>
        <v/>
      </c>
      <c r="T1037" s="6">
        <f>MONTH(U1037)</f>
        <v/>
      </c>
      <c r="U1037" s="267">
        <f>IFERROR(__xludf.DUMMYFUNCTION("""COMPUTED_VALUE"""),44643.6458333333)</f>
        <v/>
      </c>
      <c r="V1037" s="6">
        <f>IFERROR(__xludf.DUMMYFUNCTION("""COMPUTED_VALUE"""),2735.05)</f>
        <v/>
      </c>
      <c r="Z1037" s="6">
        <f>AA1037&amp;AB1037</f>
        <v/>
      </c>
      <c r="AA1037" s="6">
        <f>YEAR(AC1037)</f>
        <v/>
      </c>
      <c r="AB1037" s="6">
        <f>MONTH(AC1037)</f>
        <v/>
      </c>
      <c r="AC1037" s="267">
        <f>IFERROR(__xludf.DUMMYFUNCTION("""COMPUTED_VALUE"""),44180.9986111111)</f>
        <v/>
      </c>
      <c r="AD1037" s="6">
        <f>IFERROR(__xludf.DUMMYFUNCTION("""COMPUTED_VALUE"""),1088.21)</f>
        <v/>
      </c>
      <c r="AH1037" s="6">
        <f>AI1037&amp;AJ1037</f>
        <v/>
      </c>
      <c r="AI1037" s="6">
        <f>YEAR(AK1037)</f>
        <v/>
      </c>
      <c r="AJ1037" s="6">
        <f>MONTH(AK1037)</f>
        <v/>
      </c>
      <c r="AK1037" s="267">
        <f>IFERROR(__xludf.DUMMYFUNCTION("""COMPUTED_VALUE"""),44129.9986111111)</f>
        <v/>
      </c>
      <c r="AL1037" s="6">
        <f>IFERROR(__xludf.DUMMYFUNCTION("""COMPUTED_VALUE"""),13040.09)</f>
        <v/>
      </c>
      <c r="AP1037" s="6">
        <f>AQ1037&amp;AR1037</f>
        <v/>
      </c>
      <c r="AQ1037" s="6">
        <f>YEAR(AS1037)</f>
        <v/>
      </c>
      <c r="AR1037" s="6">
        <f>MONTH(AS1037)</f>
        <v/>
      </c>
      <c r="AS1037" s="267">
        <f>IFERROR(__xludf.DUMMYFUNCTION("""COMPUTED_VALUE"""),44609.9986111111)</f>
        <v/>
      </c>
      <c r="AT1037" s="6">
        <f>IFERROR(__xludf.DUMMYFUNCTION("""COMPUTED_VALUE"""),1902)</f>
        <v/>
      </c>
    </row>
    <row r="1038">
      <c r="B1038" s="6">
        <f>C1038&amp;D1038</f>
        <v/>
      </c>
      <c r="C1038" s="6">
        <f>YEAR(E1038)</f>
        <v/>
      </c>
      <c r="D1038" s="6">
        <f>MONTH(E1038)</f>
        <v/>
      </c>
      <c r="E1038" s="267">
        <f>IFERROR(__xludf.DUMMYFUNCTION("""COMPUTED_VALUE"""),44602.6666666666)</f>
        <v/>
      </c>
      <c r="F1038" s="6">
        <f>IFERROR(__xludf.DUMMYFUNCTION("""COMPUTED_VALUE"""),4504.08)</f>
        <v/>
      </c>
      <c r="J1038" s="6">
        <f>K1038&amp;L1038</f>
        <v/>
      </c>
      <c r="K1038" s="6">
        <f>YEAR(M1038)</f>
        <v/>
      </c>
      <c r="L1038" s="6">
        <f>MONTH(M1038)</f>
        <v/>
      </c>
      <c r="M1038" s="267">
        <f>IFERROR(__xludf.DUMMYFUNCTION("""COMPUTED_VALUE"""),44595.6666666666)</f>
        <v/>
      </c>
      <c r="N1038" s="6">
        <f>IFERROR(__xludf.DUMMYFUNCTION("""COMPUTED_VALUE"""),13878.82)</f>
        <v/>
      </c>
      <c r="R1038" s="6">
        <f>S1038&amp;T1038</f>
        <v/>
      </c>
      <c r="S1038" s="6">
        <f>YEAR(U1038)</f>
        <v/>
      </c>
      <c r="T1038" s="6">
        <f>MONTH(U1038)</f>
        <v/>
      </c>
      <c r="U1038" s="267">
        <f>IFERROR(__xludf.DUMMYFUNCTION("""COMPUTED_VALUE"""),44644.6458333333)</f>
        <v/>
      </c>
      <c r="V1038" s="6">
        <f>IFERROR(__xludf.DUMMYFUNCTION("""COMPUTED_VALUE"""),2729.66)</f>
        <v/>
      </c>
      <c r="Z1038" s="6">
        <f>AA1038&amp;AB1038</f>
        <v/>
      </c>
      <c r="AA1038" s="6">
        <f>YEAR(AC1038)</f>
        <v/>
      </c>
      <c r="AB1038" s="6">
        <f>MONTH(AC1038)</f>
        <v/>
      </c>
      <c r="AC1038" s="267">
        <f>IFERROR(__xludf.DUMMYFUNCTION("""COMPUTED_VALUE"""),44181.9986111111)</f>
        <v/>
      </c>
      <c r="AD1038" s="6">
        <f>IFERROR(__xludf.DUMMYFUNCTION("""COMPUTED_VALUE"""),1091.65)</f>
        <v/>
      </c>
      <c r="AH1038" s="6">
        <f>AI1038&amp;AJ1038</f>
        <v/>
      </c>
      <c r="AI1038" s="6">
        <f>YEAR(AK1038)</f>
        <v/>
      </c>
      <c r="AJ1038" s="6">
        <f>MONTH(AK1038)</f>
        <v/>
      </c>
      <c r="AK1038" s="267">
        <f>IFERROR(__xludf.DUMMYFUNCTION("""COMPUTED_VALUE"""),44130.9986111111)</f>
        <v/>
      </c>
      <c r="AL1038" s="6">
        <f>IFERROR(__xludf.DUMMYFUNCTION("""COMPUTED_VALUE"""),13070.06)</f>
        <v/>
      </c>
      <c r="AP1038" s="6">
        <f>AQ1038&amp;AR1038</f>
        <v/>
      </c>
      <c r="AQ1038" s="6">
        <f>YEAR(AS1038)</f>
        <v/>
      </c>
      <c r="AR1038" s="6">
        <f>MONTH(AS1038)</f>
        <v/>
      </c>
      <c r="AS1038" s="267">
        <f>IFERROR(__xludf.DUMMYFUNCTION("""COMPUTED_VALUE"""),44610.9986111111)</f>
        <v/>
      </c>
      <c r="AT1038" s="6">
        <f>IFERROR(__xludf.DUMMYFUNCTION("""COMPUTED_VALUE"""),1899.8)</f>
        <v/>
      </c>
    </row>
    <row r="1039">
      <c r="B1039" s="6">
        <f>C1039&amp;D1039</f>
        <v/>
      </c>
      <c r="C1039" s="6">
        <f>YEAR(E1039)</f>
        <v/>
      </c>
      <c r="D1039" s="6">
        <f>MONTH(E1039)</f>
        <v/>
      </c>
      <c r="E1039" s="267">
        <f>IFERROR(__xludf.DUMMYFUNCTION("""COMPUTED_VALUE"""),44603.6666666666)</f>
        <v/>
      </c>
      <c r="F1039" s="6">
        <f>IFERROR(__xludf.DUMMYFUNCTION("""COMPUTED_VALUE"""),4418.64)</f>
        <v/>
      </c>
      <c r="J1039" s="6">
        <f>K1039&amp;L1039</f>
        <v/>
      </c>
      <c r="K1039" s="6">
        <f>YEAR(M1039)</f>
        <v/>
      </c>
      <c r="L1039" s="6">
        <f>MONTH(M1039)</f>
        <v/>
      </c>
      <c r="M1039" s="267">
        <f>IFERROR(__xludf.DUMMYFUNCTION("""COMPUTED_VALUE"""),44596.6666666666)</f>
        <v/>
      </c>
      <c r="N1039" s="6">
        <f>IFERROR(__xludf.DUMMYFUNCTION("""COMPUTED_VALUE"""),14098.01)</f>
        <v/>
      </c>
      <c r="R1039" s="6">
        <f>S1039&amp;T1039</f>
        <v/>
      </c>
      <c r="S1039" s="6">
        <f>YEAR(U1039)</f>
        <v/>
      </c>
      <c r="T1039" s="6">
        <f>MONTH(U1039)</f>
        <v/>
      </c>
      <c r="U1039" s="267">
        <f>IFERROR(__xludf.DUMMYFUNCTION("""COMPUTED_VALUE"""),44645.6458333333)</f>
        <v/>
      </c>
      <c r="V1039" s="6">
        <f>IFERROR(__xludf.DUMMYFUNCTION("""COMPUTED_VALUE"""),2729.98)</f>
        <v/>
      </c>
      <c r="Z1039" s="6">
        <f>AA1039&amp;AB1039</f>
        <v/>
      </c>
      <c r="AA1039" s="6">
        <f>YEAR(AC1039)</f>
        <v/>
      </c>
      <c r="AB1039" s="6">
        <f>MONTH(AC1039)</f>
        <v/>
      </c>
      <c r="AC1039" s="267">
        <f>IFERROR(__xludf.DUMMYFUNCTION("""COMPUTED_VALUE"""),44182.9986111111)</f>
        <v/>
      </c>
      <c r="AD1039" s="6">
        <f>IFERROR(__xludf.DUMMYFUNCTION("""COMPUTED_VALUE"""),1092.16)</f>
        <v/>
      </c>
      <c r="AH1039" s="6">
        <f>AI1039&amp;AJ1039</f>
        <v/>
      </c>
      <c r="AI1039" s="6">
        <f>YEAR(AK1039)</f>
        <v/>
      </c>
      <c r="AJ1039" s="6">
        <f>MONTH(AK1039)</f>
        <v/>
      </c>
      <c r="AK1039" s="267">
        <f>IFERROR(__xludf.DUMMYFUNCTION("""COMPUTED_VALUE"""),44131.9986111111)</f>
        <v/>
      </c>
      <c r="AL1039" s="6">
        <f>IFERROR(__xludf.DUMMYFUNCTION("""COMPUTED_VALUE"""),13646)</f>
        <v/>
      </c>
      <c r="AP1039" s="6">
        <f>AQ1039&amp;AR1039</f>
        <v/>
      </c>
      <c r="AQ1039" s="6">
        <f>YEAR(AS1039)</f>
        <v/>
      </c>
      <c r="AR1039" s="6">
        <f>MONTH(AS1039)</f>
        <v/>
      </c>
      <c r="AS1039" s="267">
        <f>IFERROR(__xludf.DUMMYFUNCTION("""COMPUTED_VALUE"""),44614.9986111111)</f>
        <v/>
      </c>
      <c r="AT1039" s="6">
        <f>IFERROR(__xludf.DUMMYFUNCTION("""COMPUTED_VALUE"""),1907.4)</f>
        <v/>
      </c>
    </row>
    <row r="1040">
      <c r="B1040" s="6">
        <f>C1040&amp;D1040</f>
        <v/>
      </c>
      <c r="C1040" s="6">
        <f>YEAR(E1040)</f>
        <v/>
      </c>
      <c r="D1040" s="6">
        <f>MONTH(E1040)</f>
        <v/>
      </c>
      <c r="E1040" s="267">
        <f>IFERROR(__xludf.DUMMYFUNCTION("""COMPUTED_VALUE"""),44606.6666666666)</f>
        <v/>
      </c>
      <c r="F1040" s="6">
        <f>IFERROR(__xludf.DUMMYFUNCTION("""COMPUTED_VALUE"""),4401.67)</f>
        <v/>
      </c>
      <c r="J1040" s="6">
        <f>K1040&amp;L1040</f>
        <v/>
      </c>
      <c r="K1040" s="6">
        <f>YEAR(M1040)</f>
        <v/>
      </c>
      <c r="L1040" s="6">
        <f>MONTH(M1040)</f>
        <v/>
      </c>
      <c r="M1040" s="267">
        <f>IFERROR(__xludf.DUMMYFUNCTION("""COMPUTED_VALUE"""),44599.6666666666)</f>
        <v/>
      </c>
      <c r="N1040" s="6">
        <f>IFERROR(__xludf.DUMMYFUNCTION("""COMPUTED_VALUE"""),14015.67)</f>
        <v/>
      </c>
      <c r="R1040" s="6">
        <f>S1040&amp;T1040</f>
        <v/>
      </c>
      <c r="S1040" s="6">
        <f>YEAR(U1040)</f>
        <v/>
      </c>
      <c r="T1040" s="6">
        <f>MONTH(U1040)</f>
        <v/>
      </c>
      <c r="U1040" s="267">
        <f>IFERROR(__xludf.DUMMYFUNCTION("""COMPUTED_VALUE"""),44648.6458333333)</f>
        <v/>
      </c>
      <c r="V1040" s="6">
        <f>IFERROR(__xludf.DUMMYFUNCTION("""COMPUTED_VALUE"""),2729.56)</f>
        <v/>
      </c>
      <c r="Z1040" s="6">
        <f>AA1040&amp;AB1040</f>
        <v/>
      </c>
      <c r="AA1040" s="6">
        <f>YEAR(AC1040)</f>
        <v/>
      </c>
      <c r="AB1040" s="6">
        <f>MONTH(AC1040)</f>
        <v/>
      </c>
      <c r="AC1040" s="267">
        <f>IFERROR(__xludf.DUMMYFUNCTION("""COMPUTED_VALUE"""),44183.9986111111)</f>
        <v/>
      </c>
      <c r="AD1040" s="6">
        <f>IFERROR(__xludf.DUMMYFUNCTION("""COMPUTED_VALUE"""),1098.98)</f>
        <v/>
      </c>
      <c r="AH1040" s="6">
        <f>AI1040&amp;AJ1040</f>
        <v/>
      </c>
      <c r="AI1040" s="6">
        <f>YEAR(AK1040)</f>
        <v/>
      </c>
      <c r="AJ1040" s="6">
        <f>MONTH(AK1040)</f>
        <v/>
      </c>
      <c r="AK1040" s="267">
        <f>IFERROR(__xludf.DUMMYFUNCTION("""COMPUTED_VALUE"""),44132.9986111111)</f>
        <v/>
      </c>
      <c r="AL1040" s="6">
        <f>IFERROR(__xludf.DUMMYFUNCTION("""COMPUTED_VALUE"""),13280.92)</f>
        <v/>
      </c>
      <c r="AP1040" s="6">
        <f>AQ1040&amp;AR1040</f>
        <v/>
      </c>
      <c r="AQ1040" s="6">
        <f>YEAR(AS1040)</f>
        <v/>
      </c>
      <c r="AR1040" s="6">
        <f>MONTH(AS1040)</f>
        <v/>
      </c>
      <c r="AS1040" s="267">
        <f>IFERROR(__xludf.DUMMYFUNCTION("""COMPUTED_VALUE"""),44615.9986111111)</f>
        <v/>
      </c>
      <c r="AT1040" s="6">
        <f>IFERROR(__xludf.DUMMYFUNCTION("""COMPUTED_VALUE"""),1910.4)</f>
        <v/>
      </c>
    </row>
    <row r="1041">
      <c r="B1041" s="6">
        <f>C1041&amp;D1041</f>
        <v/>
      </c>
      <c r="C1041" s="6">
        <f>YEAR(E1041)</f>
        <v/>
      </c>
      <c r="D1041" s="6">
        <f>MONTH(E1041)</f>
        <v/>
      </c>
      <c r="E1041" s="267">
        <f>IFERROR(__xludf.DUMMYFUNCTION("""COMPUTED_VALUE"""),44607.6666666666)</f>
        <v/>
      </c>
      <c r="F1041" s="6">
        <f>IFERROR(__xludf.DUMMYFUNCTION("""COMPUTED_VALUE"""),4471.07)</f>
        <v/>
      </c>
      <c r="J1041" s="6">
        <f>K1041&amp;L1041</f>
        <v/>
      </c>
      <c r="K1041" s="6">
        <f>YEAR(M1041)</f>
        <v/>
      </c>
      <c r="L1041" s="6">
        <f>MONTH(M1041)</f>
        <v/>
      </c>
      <c r="M1041" s="267">
        <f>IFERROR(__xludf.DUMMYFUNCTION("""COMPUTED_VALUE"""),44600.6666666666)</f>
        <v/>
      </c>
      <c r="N1041" s="6">
        <f>IFERROR(__xludf.DUMMYFUNCTION("""COMPUTED_VALUE"""),14194.46)</f>
        <v/>
      </c>
      <c r="R1041" s="6">
        <f>S1041&amp;T1041</f>
        <v/>
      </c>
      <c r="S1041" s="6">
        <f>YEAR(U1041)</f>
        <v/>
      </c>
      <c r="T1041" s="6">
        <f>MONTH(U1041)</f>
        <v/>
      </c>
      <c r="U1041" s="267">
        <f>IFERROR(__xludf.DUMMYFUNCTION("""COMPUTED_VALUE"""),44649.6458333333)</f>
        <v/>
      </c>
      <c r="V1041" s="6">
        <f>IFERROR(__xludf.DUMMYFUNCTION("""COMPUTED_VALUE"""),2741.07)</f>
        <v/>
      </c>
      <c r="Z1041" s="6">
        <f>AA1041&amp;AB1041</f>
        <v/>
      </c>
      <c r="AA1041" s="6">
        <f>YEAR(AC1041)</f>
        <v/>
      </c>
      <c r="AB1041" s="6">
        <f>MONTH(AC1041)</f>
        <v/>
      </c>
      <c r="AC1041" s="267">
        <f>IFERROR(__xludf.DUMMYFUNCTION("""COMPUTED_VALUE"""),44184.9986111111)</f>
        <v/>
      </c>
      <c r="AD1041" s="6">
        <f>IFERROR(__xludf.DUMMYFUNCTION("""COMPUTED_VALUE"""),1098.98)</f>
        <v/>
      </c>
      <c r="AH1041" s="6">
        <f>AI1041&amp;AJ1041</f>
        <v/>
      </c>
      <c r="AI1041" s="6">
        <f>YEAR(AK1041)</f>
        <v/>
      </c>
      <c r="AJ1041" s="6">
        <f>MONTH(AK1041)</f>
        <v/>
      </c>
      <c r="AK1041" s="267">
        <f>IFERROR(__xludf.DUMMYFUNCTION("""COMPUTED_VALUE"""),44133.9986111111)</f>
        <v/>
      </c>
      <c r="AL1041" s="6">
        <f>IFERROR(__xludf.DUMMYFUNCTION("""COMPUTED_VALUE"""),13455.76)</f>
        <v/>
      </c>
      <c r="AP1041" s="6">
        <f>AQ1041&amp;AR1041</f>
        <v/>
      </c>
      <c r="AQ1041" s="6">
        <f>YEAR(AS1041)</f>
        <v/>
      </c>
      <c r="AR1041" s="6">
        <f>MONTH(AS1041)</f>
        <v/>
      </c>
      <c r="AS1041" s="267">
        <f>IFERROR(__xludf.DUMMYFUNCTION("""COMPUTED_VALUE"""),44616.9986111111)</f>
        <v/>
      </c>
      <c r="AT1041" s="6">
        <f>IFERROR(__xludf.DUMMYFUNCTION("""COMPUTED_VALUE"""),1926.3)</f>
        <v/>
      </c>
    </row>
    <row r="1042">
      <c r="B1042" s="6">
        <f>C1042&amp;D1042</f>
        <v/>
      </c>
      <c r="C1042" s="6">
        <f>YEAR(E1042)</f>
        <v/>
      </c>
      <c r="D1042" s="6">
        <f>MONTH(E1042)</f>
        <v/>
      </c>
      <c r="E1042" s="267">
        <f>IFERROR(__xludf.DUMMYFUNCTION("""COMPUTED_VALUE"""),44608.6666666666)</f>
        <v/>
      </c>
      <c r="F1042" s="6">
        <f>IFERROR(__xludf.DUMMYFUNCTION("""COMPUTED_VALUE"""),4475.01)</f>
        <v/>
      </c>
      <c r="J1042" s="6">
        <f>K1042&amp;L1042</f>
        <v/>
      </c>
      <c r="K1042" s="6">
        <f>YEAR(M1042)</f>
        <v/>
      </c>
      <c r="L1042" s="6">
        <f>MONTH(M1042)</f>
        <v/>
      </c>
      <c r="M1042" s="267">
        <f>IFERROR(__xludf.DUMMYFUNCTION("""COMPUTED_VALUE"""),44601.6666666666)</f>
        <v/>
      </c>
      <c r="N1042" s="6">
        <f>IFERROR(__xludf.DUMMYFUNCTION("""COMPUTED_VALUE"""),14490.37)</f>
        <v/>
      </c>
      <c r="R1042" s="6">
        <f>S1042&amp;T1042</f>
        <v/>
      </c>
      <c r="S1042" s="6">
        <f>YEAR(U1042)</f>
        <v/>
      </c>
      <c r="T1042" s="6">
        <f>MONTH(U1042)</f>
        <v/>
      </c>
      <c r="U1042" s="267">
        <f>IFERROR(__xludf.DUMMYFUNCTION("""COMPUTED_VALUE"""),44650.6458333333)</f>
        <v/>
      </c>
      <c r="V1042" s="6">
        <f>IFERROR(__xludf.DUMMYFUNCTION("""COMPUTED_VALUE"""),2746.74)</f>
        <v/>
      </c>
      <c r="Z1042" s="6">
        <f>AA1042&amp;AB1042</f>
        <v/>
      </c>
      <c r="AA1042" s="6">
        <f>YEAR(AC1042)</f>
        <v/>
      </c>
      <c r="AB1042" s="6">
        <f>MONTH(AC1042)</f>
        <v/>
      </c>
      <c r="AC1042" s="267">
        <f>IFERROR(__xludf.DUMMYFUNCTION("""COMPUTED_VALUE"""),44185.9986111111)</f>
        <v/>
      </c>
      <c r="AD1042" s="6">
        <f>IFERROR(__xludf.DUMMYFUNCTION("""COMPUTED_VALUE"""),1098.98)</f>
        <v/>
      </c>
      <c r="AH1042" s="6">
        <f>AI1042&amp;AJ1042</f>
        <v/>
      </c>
      <c r="AI1042" s="6">
        <f>YEAR(AK1042)</f>
        <v/>
      </c>
      <c r="AJ1042" s="6">
        <f>MONTH(AK1042)</f>
        <v/>
      </c>
      <c r="AK1042" s="267">
        <f>IFERROR(__xludf.DUMMYFUNCTION("""COMPUTED_VALUE"""),44134.9986111111)</f>
        <v/>
      </c>
      <c r="AL1042" s="6">
        <f>IFERROR(__xludf.DUMMYFUNCTION("""COMPUTED_VALUE"""),13568.08)</f>
        <v/>
      </c>
      <c r="AP1042" s="6">
        <f>AQ1042&amp;AR1042</f>
        <v/>
      </c>
      <c r="AQ1042" s="6">
        <f>YEAR(AS1042)</f>
        <v/>
      </c>
      <c r="AR1042" s="6">
        <f>MONTH(AS1042)</f>
        <v/>
      </c>
      <c r="AS1042" s="267">
        <f>IFERROR(__xludf.DUMMYFUNCTION("""COMPUTED_VALUE"""),44617.9986111111)</f>
        <v/>
      </c>
      <c r="AT1042" s="6">
        <f>IFERROR(__xludf.DUMMYFUNCTION("""COMPUTED_VALUE"""),1887.6)</f>
        <v/>
      </c>
    </row>
    <row r="1043">
      <c r="B1043" s="6">
        <f>C1043&amp;D1043</f>
        <v/>
      </c>
      <c r="C1043" s="6">
        <f>YEAR(E1043)</f>
        <v/>
      </c>
      <c r="D1043" s="6">
        <f>MONTH(E1043)</f>
        <v/>
      </c>
      <c r="E1043" s="267">
        <f>IFERROR(__xludf.DUMMYFUNCTION("""COMPUTED_VALUE"""),44609.6666666666)</f>
        <v/>
      </c>
      <c r="F1043" s="6">
        <f>IFERROR(__xludf.DUMMYFUNCTION("""COMPUTED_VALUE"""),4380.26)</f>
        <v/>
      </c>
      <c r="J1043" s="6">
        <f>K1043&amp;L1043</f>
        <v/>
      </c>
      <c r="K1043" s="6">
        <f>YEAR(M1043)</f>
        <v/>
      </c>
      <c r="L1043" s="6">
        <f>MONTH(M1043)</f>
        <v/>
      </c>
      <c r="M1043" s="267">
        <f>IFERROR(__xludf.DUMMYFUNCTION("""COMPUTED_VALUE"""),44602.6666666666)</f>
        <v/>
      </c>
      <c r="N1043" s="6">
        <f>IFERROR(__xludf.DUMMYFUNCTION("""COMPUTED_VALUE"""),14185.64)</f>
        <v/>
      </c>
      <c r="R1043" s="6">
        <f>S1043&amp;T1043</f>
        <v/>
      </c>
      <c r="S1043" s="6">
        <f>YEAR(U1043)</f>
        <v/>
      </c>
      <c r="T1043" s="6">
        <f>MONTH(U1043)</f>
        <v/>
      </c>
      <c r="U1043" s="267">
        <f>IFERROR(__xludf.DUMMYFUNCTION("""COMPUTED_VALUE"""),44651.6458333333)</f>
        <v/>
      </c>
      <c r="V1043" s="6">
        <f>IFERROR(__xludf.DUMMYFUNCTION("""COMPUTED_VALUE"""),2757.65)</f>
        <v/>
      </c>
      <c r="Z1043" s="6">
        <f>AA1043&amp;AB1043</f>
        <v/>
      </c>
      <c r="AA1043" s="6">
        <f>YEAR(AC1043)</f>
        <v/>
      </c>
      <c r="AB1043" s="6">
        <f>MONTH(AC1043)</f>
        <v/>
      </c>
      <c r="AC1043" s="267">
        <f>IFERROR(__xludf.DUMMYFUNCTION("""COMPUTED_VALUE"""),44186.9986111111)</f>
        <v/>
      </c>
      <c r="AD1043" s="6">
        <f>IFERROR(__xludf.DUMMYFUNCTION("""COMPUTED_VALUE"""),1101.86)</f>
        <v/>
      </c>
      <c r="AH1043" s="6">
        <f>AI1043&amp;AJ1043</f>
        <v/>
      </c>
      <c r="AI1043" s="6">
        <f>YEAR(AK1043)</f>
        <v/>
      </c>
      <c r="AJ1043" s="6">
        <f>MONTH(AK1043)</f>
        <v/>
      </c>
      <c r="AK1043" s="267">
        <f>IFERROR(__xludf.DUMMYFUNCTION("""COMPUTED_VALUE"""),44135.9986111111)</f>
        <v/>
      </c>
      <c r="AL1043" s="6">
        <f>IFERROR(__xludf.DUMMYFUNCTION("""COMPUTED_VALUE"""),13798.8)</f>
        <v/>
      </c>
      <c r="AP1043" s="6">
        <f>AQ1043&amp;AR1043</f>
        <v/>
      </c>
      <c r="AQ1043" s="6">
        <f>YEAR(AS1043)</f>
        <v/>
      </c>
      <c r="AR1043" s="6">
        <f>MONTH(AS1043)</f>
        <v/>
      </c>
      <c r="AS1043" s="267">
        <f>IFERROR(__xludf.DUMMYFUNCTION("""COMPUTED_VALUE"""),44620.9986111111)</f>
        <v/>
      </c>
      <c r="AT1043" s="6">
        <f>IFERROR(__xludf.DUMMYFUNCTION("""COMPUTED_VALUE"""),1900.7)</f>
        <v/>
      </c>
    </row>
    <row r="1044">
      <c r="B1044" s="6">
        <f>C1044&amp;D1044</f>
        <v/>
      </c>
      <c r="C1044" s="6">
        <f>YEAR(E1044)</f>
        <v/>
      </c>
      <c r="D1044" s="6">
        <f>MONTH(E1044)</f>
        <v/>
      </c>
      <c r="E1044" s="267">
        <f>IFERROR(__xludf.DUMMYFUNCTION("""COMPUTED_VALUE"""),44610.6666666666)</f>
        <v/>
      </c>
      <c r="F1044" s="6">
        <f>IFERROR(__xludf.DUMMYFUNCTION("""COMPUTED_VALUE"""),4348.87)</f>
        <v/>
      </c>
      <c r="J1044" s="6">
        <f>K1044&amp;L1044</f>
        <v/>
      </c>
      <c r="K1044" s="6">
        <f>YEAR(M1044)</f>
        <v/>
      </c>
      <c r="L1044" s="6">
        <f>MONTH(M1044)</f>
        <v/>
      </c>
      <c r="M1044" s="267">
        <f>IFERROR(__xludf.DUMMYFUNCTION("""COMPUTED_VALUE"""),44603.6666666666)</f>
        <v/>
      </c>
      <c r="N1044" s="6">
        <f>IFERROR(__xludf.DUMMYFUNCTION("""COMPUTED_VALUE"""),13791.15)</f>
        <v/>
      </c>
      <c r="R1044" s="6">
        <f>S1044&amp;T1044</f>
        <v/>
      </c>
      <c r="S1044" s="6">
        <f>YEAR(U1044)</f>
        <v/>
      </c>
      <c r="T1044" s="6">
        <f>MONTH(U1044)</f>
        <v/>
      </c>
      <c r="U1044" s="267">
        <f>IFERROR(__xludf.DUMMYFUNCTION("""COMPUTED_VALUE"""),44652.6458333333)</f>
        <v/>
      </c>
      <c r="V1044" s="6">
        <f>IFERROR(__xludf.DUMMYFUNCTION("""COMPUTED_VALUE"""),2739.85)</f>
        <v/>
      </c>
      <c r="Z1044" s="6">
        <f>AA1044&amp;AB1044</f>
        <v/>
      </c>
      <c r="AA1044" s="6">
        <f>YEAR(AC1044)</f>
        <v/>
      </c>
      <c r="AB1044" s="6">
        <f>MONTH(AC1044)</f>
        <v/>
      </c>
      <c r="AC1044" s="267">
        <f>IFERROR(__xludf.DUMMYFUNCTION("""COMPUTED_VALUE"""),44187.9986111111)</f>
        <v/>
      </c>
      <c r="AD1044" s="6">
        <f>IFERROR(__xludf.DUMMYFUNCTION("""COMPUTED_VALUE"""),1107.98)</f>
        <v/>
      </c>
      <c r="AH1044" s="6">
        <f>AI1044&amp;AJ1044</f>
        <v/>
      </c>
      <c r="AI1044" s="6">
        <f>YEAR(AK1044)</f>
        <v/>
      </c>
      <c r="AJ1044" s="6">
        <f>MONTH(AK1044)</f>
        <v/>
      </c>
      <c r="AK1044" s="267">
        <f>IFERROR(__xludf.DUMMYFUNCTION("""COMPUTED_VALUE"""),44136.9986111111)</f>
        <v/>
      </c>
      <c r="AL1044" s="6">
        <f>IFERROR(__xludf.DUMMYFUNCTION("""COMPUTED_VALUE"""),13763.58)</f>
        <v/>
      </c>
      <c r="AP1044" s="6">
        <f>AQ1044&amp;AR1044</f>
        <v/>
      </c>
      <c r="AQ1044" s="6">
        <f>YEAR(AS1044)</f>
        <v/>
      </c>
      <c r="AR1044" s="6">
        <f>MONTH(AS1044)</f>
        <v/>
      </c>
      <c r="AS1044" s="267">
        <f>IFERROR(__xludf.DUMMYFUNCTION("""COMPUTED_VALUE"""),44621.9986111111)</f>
        <v/>
      </c>
      <c r="AT1044" s="6">
        <f>IFERROR(__xludf.DUMMYFUNCTION("""COMPUTED_VALUE"""),1943.8)</f>
        <v/>
      </c>
    </row>
    <row r="1045">
      <c r="B1045" s="6">
        <f>C1045&amp;D1045</f>
        <v/>
      </c>
      <c r="C1045" s="6">
        <f>YEAR(E1045)</f>
        <v/>
      </c>
      <c r="D1045" s="6">
        <f>MONTH(E1045)</f>
        <v/>
      </c>
      <c r="E1045" s="267">
        <f>IFERROR(__xludf.DUMMYFUNCTION("""COMPUTED_VALUE"""),44614.6666666666)</f>
        <v/>
      </c>
      <c r="F1045" s="6">
        <f>IFERROR(__xludf.DUMMYFUNCTION("""COMPUTED_VALUE"""),4304.76)</f>
        <v/>
      </c>
      <c r="J1045" s="6">
        <f>K1045&amp;L1045</f>
        <v/>
      </c>
      <c r="K1045" s="6">
        <f>YEAR(M1045)</f>
        <v/>
      </c>
      <c r="L1045" s="6">
        <f>MONTH(M1045)</f>
        <v/>
      </c>
      <c r="M1045" s="267">
        <f>IFERROR(__xludf.DUMMYFUNCTION("""COMPUTED_VALUE"""),44606.6666666666)</f>
        <v/>
      </c>
      <c r="N1045" s="6">
        <f>IFERROR(__xludf.DUMMYFUNCTION("""COMPUTED_VALUE"""),13790.92)</f>
        <v/>
      </c>
      <c r="R1045" s="6">
        <f>S1045&amp;T1045</f>
        <v/>
      </c>
      <c r="S1045" s="6">
        <f>YEAR(U1045)</f>
        <v/>
      </c>
      <c r="T1045" s="6">
        <f>MONTH(U1045)</f>
        <v/>
      </c>
      <c r="U1045" s="267">
        <f>IFERROR(__xludf.DUMMYFUNCTION("""COMPUTED_VALUE"""),44655.6458333333)</f>
        <v/>
      </c>
      <c r="V1045" s="6">
        <f>IFERROR(__xludf.DUMMYFUNCTION("""COMPUTED_VALUE"""),2757.9)</f>
        <v/>
      </c>
      <c r="Z1045" s="6">
        <f>AA1045&amp;AB1045</f>
        <v/>
      </c>
      <c r="AA1045" s="6">
        <f>YEAR(AC1045)</f>
        <v/>
      </c>
      <c r="AB1045" s="6">
        <f>MONTH(AC1045)</f>
        <v/>
      </c>
      <c r="AC1045" s="267">
        <f>IFERROR(__xludf.DUMMYFUNCTION("""COMPUTED_VALUE"""),44188.9986111111)</f>
        <v/>
      </c>
      <c r="AD1045" s="6">
        <f>IFERROR(__xludf.DUMMYFUNCTION("""COMPUTED_VALUE"""),1104.8)</f>
        <v/>
      </c>
      <c r="AH1045" s="6">
        <f>AI1045&amp;AJ1045</f>
        <v/>
      </c>
      <c r="AI1045" s="6">
        <f>YEAR(AK1045)</f>
        <v/>
      </c>
      <c r="AJ1045" s="6">
        <f>MONTH(AK1045)</f>
        <v/>
      </c>
      <c r="AK1045" s="267">
        <f>IFERROR(__xludf.DUMMYFUNCTION("""COMPUTED_VALUE"""),44137.9986111111)</f>
        <v/>
      </c>
      <c r="AL1045" s="6">
        <f>IFERROR(__xludf.DUMMYFUNCTION("""COMPUTED_VALUE"""),13566.47)</f>
        <v/>
      </c>
      <c r="AP1045" s="6">
        <f>AQ1045&amp;AR1045</f>
        <v/>
      </c>
      <c r="AQ1045" s="6">
        <f>YEAR(AS1045)</f>
        <v/>
      </c>
      <c r="AR1045" s="6">
        <f>MONTH(AS1045)</f>
        <v/>
      </c>
      <c r="AS1045" s="267">
        <f>IFERROR(__xludf.DUMMYFUNCTION("""COMPUTED_VALUE"""),44622.9986111111)</f>
        <v/>
      </c>
      <c r="AT1045" s="6">
        <f>IFERROR(__xludf.DUMMYFUNCTION("""COMPUTED_VALUE"""),1922.3)</f>
        <v/>
      </c>
    </row>
    <row r="1046">
      <c r="B1046" s="6">
        <f>C1046&amp;D1046</f>
        <v/>
      </c>
      <c r="C1046" s="6">
        <f>YEAR(E1046)</f>
        <v/>
      </c>
      <c r="D1046" s="6">
        <f>MONTH(E1046)</f>
        <v/>
      </c>
      <c r="E1046" s="267">
        <f>IFERROR(__xludf.DUMMYFUNCTION("""COMPUTED_VALUE"""),44615.6666666666)</f>
        <v/>
      </c>
      <c r="F1046" s="6">
        <f>IFERROR(__xludf.DUMMYFUNCTION("""COMPUTED_VALUE"""),4225.5)</f>
        <v/>
      </c>
      <c r="J1046" s="6">
        <f>K1046&amp;L1046</f>
        <v/>
      </c>
      <c r="K1046" s="6">
        <f>YEAR(M1046)</f>
        <v/>
      </c>
      <c r="L1046" s="6">
        <f>MONTH(M1046)</f>
        <v/>
      </c>
      <c r="M1046" s="267">
        <f>IFERROR(__xludf.DUMMYFUNCTION("""COMPUTED_VALUE"""),44607.6666666666)</f>
        <v/>
      </c>
      <c r="N1046" s="6">
        <f>IFERROR(__xludf.DUMMYFUNCTION("""COMPUTED_VALUE"""),14139.76)</f>
        <v/>
      </c>
      <c r="R1046" s="6">
        <f>S1046&amp;T1046</f>
        <v/>
      </c>
      <c r="S1046" s="6">
        <f>YEAR(U1046)</f>
        <v/>
      </c>
      <c r="T1046" s="6">
        <f>MONTH(U1046)</f>
        <v/>
      </c>
      <c r="U1046" s="267">
        <f>IFERROR(__xludf.DUMMYFUNCTION("""COMPUTED_VALUE"""),44656.6458333333)</f>
        <v/>
      </c>
      <c r="V1046" s="6">
        <f>IFERROR(__xludf.DUMMYFUNCTION("""COMPUTED_VALUE"""),2759.2)</f>
        <v/>
      </c>
      <c r="Z1046" s="6">
        <f>AA1046&amp;AB1046</f>
        <v/>
      </c>
      <c r="AA1046" s="6">
        <f>YEAR(AC1046)</f>
        <v/>
      </c>
      <c r="AB1046" s="6">
        <f>MONTH(AC1046)</f>
        <v/>
      </c>
      <c r="AC1046" s="267">
        <f>IFERROR(__xludf.DUMMYFUNCTION("""COMPUTED_VALUE"""),44189.9986111111)</f>
        <v/>
      </c>
      <c r="AD1046" s="6">
        <f>IFERROR(__xludf.DUMMYFUNCTION("""COMPUTED_VALUE"""),1099.91)</f>
        <v/>
      </c>
      <c r="AH1046" s="6">
        <f>AI1046&amp;AJ1046</f>
        <v/>
      </c>
      <c r="AI1046" s="6">
        <f>YEAR(AK1046)</f>
        <v/>
      </c>
      <c r="AJ1046" s="6">
        <f>MONTH(AK1046)</f>
        <v/>
      </c>
      <c r="AK1046" s="267">
        <f>IFERROR(__xludf.DUMMYFUNCTION("""COMPUTED_VALUE"""),44138.9986111111)</f>
        <v/>
      </c>
      <c r="AL1046" s="6">
        <f>IFERROR(__xludf.DUMMYFUNCTION("""COMPUTED_VALUE"""),14021.7)</f>
        <v/>
      </c>
      <c r="AP1046" s="6">
        <f>AQ1046&amp;AR1046</f>
        <v/>
      </c>
      <c r="AQ1046" s="6">
        <f>YEAR(AS1046)</f>
        <v/>
      </c>
      <c r="AR1046" s="6">
        <f>MONTH(AS1046)</f>
        <v/>
      </c>
      <c r="AS1046" s="267">
        <f>IFERROR(__xludf.DUMMYFUNCTION("""COMPUTED_VALUE"""),44623.9986111111)</f>
        <v/>
      </c>
      <c r="AT1046" s="6">
        <f>IFERROR(__xludf.DUMMYFUNCTION("""COMPUTED_VALUE"""),1935.9)</f>
        <v/>
      </c>
    </row>
    <row r="1047">
      <c r="B1047" s="6">
        <f>C1047&amp;D1047</f>
        <v/>
      </c>
      <c r="C1047" s="6">
        <f>YEAR(E1047)</f>
        <v/>
      </c>
      <c r="D1047" s="6">
        <f>MONTH(E1047)</f>
        <v/>
      </c>
      <c r="E1047" s="267">
        <f>IFERROR(__xludf.DUMMYFUNCTION("""COMPUTED_VALUE"""),44616.6666666666)</f>
        <v/>
      </c>
      <c r="F1047" s="6">
        <f>IFERROR(__xludf.DUMMYFUNCTION("""COMPUTED_VALUE"""),4288.7)</f>
        <v/>
      </c>
      <c r="J1047" s="6">
        <f>K1047&amp;L1047</f>
        <v/>
      </c>
      <c r="K1047" s="6">
        <f>YEAR(M1047)</f>
        <v/>
      </c>
      <c r="L1047" s="6">
        <f>MONTH(M1047)</f>
        <v/>
      </c>
      <c r="M1047" s="267">
        <f>IFERROR(__xludf.DUMMYFUNCTION("""COMPUTED_VALUE"""),44608.6666666666)</f>
        <v/>
      </c>
      <c r="N1047" s="6">
        <f>IFERROR(__xludf.DUMMYFUNCTION("""COMPUTED_VALUE"""),14124.1)</f>
        <v/>
      </c>
      <c r="R1047" s="6">
        <f>S1047&amp;T1047</f>
        <v/>
      </c>
      <c r="S1047" s="6">
        <f>YEAR(U1047)</f>
        <v/>
      </c>
      <c r="T1047" s="6">
        <f>MONTH(U1047)</f>
        <v/>
      </c>
      <c r="U1047" s="267">
        <f>IFERROR(__xludf.DUMMYFUNCTION("""COMPUTED_VALUE"""),44657.6458333333)</f>
        <v/>
      </c>
      <c r="V1047" s="6">
        <f>IFERROR(__xludf.DUMMYFUNCTION("""COMPUTED_VALUE"""),2735.03)</f>
        <v/>
      </c>
      <c r="Z1047" s="6">
        <f>AA1047&amp;AB1047</f>
        <v/>
      </c>
      <c r="AA1047" s="6">
        <f>YEAR(AC1047)</f>
        <v/>
      </c>
      <c r="AB1047" s="6">
        <f>MONTH(AC1047)</f>
        <v/>
      </c>
      <c r="AC1047" s="267">
        <f>IFERROR(__xludf.DUMMYFUNCTION("""COMPUTED_VALUE"""),44190.9986111111)</f>
        <v/>
      </c>
      <c r="AD1047" s="6">
        <f>IFERROR(__xludf.DUMMYFUNCTION("""COMPUTED_VALUE"""),1099.09)</f>
        <v/>
      </c>
      <c r="AH1047" s="6">
        <f>AI1047&amp;AJ1047</f>
        <v/>
      </c>
      <c r="AI1047" s="6">
        <f>YEAR(AK1047)</f>
        <v/>
      </c>
      <c r="AJ1047" s="6">
        <f>MONTH(AK1047)</f>
        <v/>
      </c>
      <c r="AK1047" s="267">
        <f>IFERROR(__xludf.DUMMYFUNCTION("""COMPUTED_VALUE"""),44139.9986111111)</f>
        <v/>
      </c>
      <c r="AL1047" s="6">
        <f>IFERROR(__xludf.DUMMYFUNCTION("""COMPUTED_VALUE"""),14159.61)</f>
        <v/>
      </c>
      <c r="AP1047" s="6">
        <f>AQ1047&amp;AR1047</f>
        <v/>
      </c>
      <c r="AQ1047" s="6">
        <f>YEAR(AS1047)</f>
        <v/>
      </c>
      <c r="AR1047" s="6">
        <f>MONTH(AS1047)</f>
        <v/>
      </c>
      <c r="AS1047" s="267">
        <f>IFERROR(__xludf.DUMMYFUNCTION("""COMPUTED_VALUE"""),44624.9986111111)</f>
        <v/>
      </c>
      <c r="AT1047" s="6">
        <f>IFERROR(__xludf.DUMMYFUNCTION("""COMPUTED_VALUE"""),1966.6)</f>
        <v/>
      </c>
    </row>
    <row r="1048">
      <c r="B1048" s="6">
        <f>C1048&amp;D1048</f>
        <v/>
      </c>
      <c r="C1048" s="6">
        <f>YEAR(E1048)</f>
        <v/>
      </c>
      <c r="D1048" s="6">
        <f>MONTH(E1048)</f>
        <v/>
      </c>
      <c r="E1048" s="267">
        <f>IFERROR(__xludf.DUMMYFUNCTION("""COMPUTED_VALUE"""),44617.6666666666)</f>
        <v/>
      </c>
      <c r="F1048" s="6">
        <f>IFERROR(__xludf.DUMMYFUNCTION("""COMPUTED_VALUE"""),4384.65)</f>
        <v/>
      </c>
      <c r="J1048" s="6">
        <f>K1048&amp;L1048</f>
        <v/>
      </c>
      <c r="K1048" s="6">
        <f>YEAR(M1048)</f>
        <v/>
      </c>
      <c r="L1048" s="6">
        <f>MONTH(M1048)</f>
        <v/>
      </c>
      <c r="M1048" s="267">
        <f>IFERROR(__xludf.DUMMYFUNCTION("""COMPUTED_VALUE"""),44609.6666666666)</f>
        <v/>
      </c>
      <c r="N1048" s="6">
        <f>IFERROR(__xludf.DUMMYFUNCTION("""COMPUTED_VALUE"""),13716.72)</f>
        <v/>
      </c>
      <c r="R1048" s="6">
        <f>S1048&amp;T1048</f>
        <v/>
      </c>
      <c r="S1048" s="6">
        <f>YEAR(U1048)</f>
        <v/>
      </c>
      <c r="T1048" s="6">
        <f>MONTH(U1048)</f>
        <v/>
      </c>
      <c r="U1048" s="267">
        <f>IFERROR(__xludf.DUMMYFUNCTION("""COMPUTED_VALUE"""),44658.6458333333)</f>
        <v/>
      </c>
      <c r="V1048" s="6">
        <f>IFERROR(__xludf.DUMMYFUNCTION("""COMPUTED_VALUE"""),2695.86)</f>
        <v/>
      </c>
      <c r="Z1048" s="6">
        <f>AA1048&amp;AB1048</f>
        <v/>
      </c>
      <c r="AA1048" s="6">
        <f>YEAR(AC1048)</f>
        <v/>
      </c>
      <c r="AB1048" s="6">
        <f>MONTH(AC1048)</f>
        <v/>
      </c>
      <c r="AC1048" s="267">
        <f>IFERROR(__xludf.DUMMYFUNCTION("""COMPUTED_VALUE"""),44191.9986111111)</f>
        <v/>
      </c>
      <c r="AD1048" s="6">
        <f>IFERROR(__xludf.DUMMYFUNCTION("""COMPUTED_VALUE"""),1099.09)</f>
        <v/>
      </c>
      <c r="AH1048" s="6">
        <f>AI1048&amp;AJ1048</f>
        <v/>
      </c>
      <c r="AI1048" s="6">
        <f>YEAR(AK1048)</f>
        <v/>
      </c>
      <c r="AJ1048" s="6">
        <f>MONTH(AK1048)</f>
        <v/>
      </c>
      <c r="AK1048" s="267">
        <f>IFERROR(__xludf.DUMMYFUNCTION("""COMPUTED_VALUE"""),44140.9986111111)</f>
        <v/>
      </c>
      <c r="AL1048" s="6">
        <f>IFERROR(__xludf.DUMMYFUNCTION("""COMPUTED_VALUE"""),15588.08)</f>
        <v/>
      </c>
      <c r="AP1048" s="6">
        <f>AQ1048&amp;AR1048</f>
        <v/>
      </c>
      <c r="AQ1048" s="6">
        <f>YEAR(AS1048)</f>
        <v/>
      </c>
      <c r="AR1048" s="6">
        <f>MONTH(AS1048)</f>
        <v/>
      </c>
      <c r="AS1048" s="267">
        <f>IFERROR(__xludf.DUMMYFUNCTION("""COMPUTED_VALUE"""),44627.9986111111)</f>
        <v/>
      </c>
      <c r="AT1048" s="6">
        <f>IFERROR(__xludf.DUMMYFUNCTION("""COMPUTED_VALUE"""),1995.9)</f>
        <v/>
      </c>
    </row>
    <row r="1049">
      <c r="B1049" s="6">
        <f>C1049&amp;D1049</f>
        <v/>
      </c>
      <c r="C1049" s="6">
        <f>YEAR(E1049)</f>
        <v/>
      </c>
      <c r="D1049" s="6">
        <f>MONTH(E1049)</f>
        <v/>
      </c>
      <c r="E1049" s="267">
        <f>IFERROR(__xludf.DUMMYFUNCTION("""COMPUTED_VALUE"""),44620.6666666666)</f>
        <v/>
      </c>
      <c r="F1049" s="6">
        <f>IFERROR(__xludf.DUMMYFUNCTION("""COMPUTED_VALUE"""),4373.94)</f>
        <v/>
      </c>
      <c r="J1049" s="6">
        <f>K1049&amp;L1049</f>
        <v/>
      </c>
      <c r="K1049" s="6">
        <f>YEAR(M1049)</f>
        <v/>
      </c>
      <c r="L1049" s="6">
        <f>MONTH(M1049)</f>
        <v/>
      </c>
      <c r="M1049" s="267">
        <f>IFERROR(__xludf.DUMMYFUNCTION("""COMPUTED_VALUE"""),44610.6666666666)</f>
        <v/>
      </c>
      <c r="N1049" s="6">
        <f>IFERROR(__xludf.DUMMYFUNCTION("""COMPUTED_VALUE"""),13548.07)</f>
        <v/>
      </c>
      <c r="R1049" s="6">
        <f>S1049&amp;T1049</f>
        <v/>
      </c>
      <c r="S1049" s="6">
        <f>YEAR(U1049)</f>
        <v/>
      </c>
      <c r="T1049" s="6">
        <f>MONTH(U1049)</f>
        <v/>
      </c>
      <c r="U1049" s="267">
        <f>IFERROR(__xludf.DUMMYFUNCTION("""COMPUTED_VALUE"""),44659.6458333333)</f>
        <v/>
      </c>
      <c r="V1049" s="6">
        <f>IFERROR(__xludf.DUMMYFUNCTION("""COMPUTED_VALUE"""),2700.39)</f>
        <v/>
      </c>
      <c r="Z1049" s="6">
        <f>AA1049&amp;AB1049</f>
        <v/>
      </c>
      <c r="AA1049" s="6">
        <f>YEAR(AC1049)</f>
        <v/>
      </c>
      <c r="AB1049" s="6">
        <f>MONTH(AC1049)</f>
        <v/>
      </c>
      <c r="AC1049" s="267">
        <f>IFERROR(__xludf.DUMMYFUNCTION("""COMPUTED_VALUE"""),44192.9986111111)</f>
        <v/>
      </c>
      <c r="AD1049" s="6">
        <f>IFERROR(__xludf.DUMMYFUNCTION("""COMPUTED_VALUE"""),1099.09)</f>
        <v/>
      </c>
      <c r="AH1049" s="6">
        <f>AI1049&amp;AJ1049</f>
        <v/>
      </c>
      <c r="AI1049" s="6">
        <f>YEAR(AK1049)</f>
        <v/>
      </c>
      <c r="AJ1049" s="6">
        <f>MONTH(AK1049)</f>
        <v/>
      </c>
      <c r="AK1049" s="267">
        <f>IFERROR(__xludf.DUMMYFUNCTION("""COMPUTED_VALUE"""),44141.9986111111)</f>
        <v/>
      </c>
      <c r="AL1049" s="6">
        <f>IFERROR(__xludf.DUMMYFUNCTION("""COMPUTED_VALUE"""),15584.02)</f>
        <v/>
      </c>
      <c r="AP1049" s="6">
        <f>AQ1049&amp;AR1049</f>
        <v/>
      </c>
      <c r="AQ1049" s="6">
        <f>YEAR(AS1049)</f>
        <v/>
      </c>
      <c r="AR1049" s="6">
        <f>MONTH(AS1049)</f>
        <v/>
      </c>
      <c r="AS1049" s="267">
        <f>IFERROR(__xludf.DUMMYFUNCTION("""COMPUTED_VALUE"""),44628.9986111111)</f>
        <v/>
      </c>
      <c r="AT1049" s="6">
        <f>IFERROR(__xludf.DUMMYFUNCTION("""COMPUTED_VALUE"""),2043.3)</f>
        <v/>
      </c>
    </row>
    <row r="1050">
      <c r="B1050" s="6">
        <f>C1050&amp;D1050</f>
        <v/>
      </c>
      <c r="C1050" s="6">
        <f>YEAR(E1050)</f>
        <v/>
      </c>
      <c r="D1050" s="6">
        <f>MONTH(E1050)</f>
        <v/>
      </c>
      <c r="E1050" s="267">
        <f>IFERROR(__xludf.DUMMYFUNCTION("""COMPUTED_VALUE"""),44621.6666666666)</f>
        <v/>
      </c>
      <c r="F1050" s="6">
        <f>IFERROR(__xludf.DUMMYFUNCTION("""COMPUTED_VALUE"""),4306.26)</f>
        <v/>
      </c>
      <c r="J1050" s="6">
        <f>K1050&amp;L1050</f>
        <v/>
      </c>
      <c r="K1050" s="6">
        <f>YEAR(M1050)</f>
        <v/>
      </c>
      <c r="L1050" s="6">
        <f>MONTH(M1050)</f>
        <v/>
      </c>
      <c r="M1050" s="267">
        <f>IFERROR(__xludf.DUMMYFUNCTION("""COMPUTED_VALUE"""),44614.6666666666)</f>
        <v/>
      </c>
      <c r="N1050" s="6">
        <f>IFERROR(__xludf.DUMMYFUNCTION("""COMPUTED_VALUE"""),13381.52)</f>
        <v/>
      </c>
      <c r="R1050" s="6">
        <f>S1050&amp;T1050</f>
        <v/>
      </c>
      <c r="S1050" s="6">
        <f>YEAR(U1050)</f>
        <v/>
      </c>
      <c r="T1050" s="6">
        <f>MONTH(U1050)</f>
        <v/>
      </c>
      <c r="U1050" s="267">
        <f>IFERROR(__xludf.DUMMYFUNCTION("""COMPUTED_VALUE"""),44662.6458333333)</f>
        <v/>
      </c>
      <c r="V1050" s="6">
        <f>IFERROR(__xludf.DUMMYFUNCTION("""COMPUTED_VALUE"""),2693.1)</f>
        <v/>
      </c>
      <c r="Z1050" s="6">
        <f>AA1050&amp;AB1050</f>
        <v/>
      </c>
      <c r="AA1050" s="6">
        <f>YEAR(AC1050)</f>
        <v/>
      </c>
      <c r="AB1050" s="6">
        <f>MONTH(AC1050)</f>
        <v/>
      </c>
      <c r="AC1050" s="267">
        <f>IFERROR(__xludf.DUMMYFUNCTION("""COMPUTED_VALUE"""),44193.9986111111)</f>
        <v/>
      </c>
      <c r="AD1050" s="6">
        <f>IFERROR(__xludf.DUMMYFUNCTION("""COMPUTED_VALUE"""),1095)</f>
        <v/>
      </c>
      <c r="AH1050" s="6">
        <f>AI1050&amp;AJ1050</f>
        <v/>
      </c>
      <c r="AI1050" s="6">
        <f>YEAR(AK1050)</f>
        <v/>
      </c>
      <c r="AJ1050" s="6">
        <f>MONTH(AK1050)</f>
        <v/>
      </c>
      <c r="AK1050" s="267">
        <f>IFERROR(__xludf.DUMMYFUNCTION("""COMPUTED_VALUE"""),44142.9986111111)</f>
        <v/>
      </c>
      <c r="AL1050" s="6">
        <f>IFERROR(__xludf.DUMMYFUNCTION("""COMPUTED_VALUE"""),14832.34)</f>
        <v/>
      </c>
      <c r="AP1050" s="6">
        <f>AQ1050&amp;AR1050</f>
        <v/>
      </c>
      <c r="AQ1050" s="6">
        <f>YEAR(AS1050)</f>
        <v/>
      </c>
      <c r="AR1050" s="6">
        <f>MONTH(AS1050)</f>
        <v/>
      </c>
      <c r="AS1050" s="267">
        <f>IFERROR(__xludf.DUMMYFUNCTION("""COMPUTED_VALUE"""),44629.9986111111)</f>
        <v/>
      </c>
      <c r="AT1050" s="6">
        <f>IFERROR(__xludf.DUMMYFUNCTION("""COMPUTED_VALUE"""),1988.2)</f>
        <v/>
      </c>
    </row>
    <row r="1051">
      <c r="B1051" s="6">
        <f>C1051&amp;D1051</f>
        <v/>
      </c>
      <c r="C1051" s="6">
        <f>YEAR(E1051)</f>
        <v/>
      </c>
      <c r="D1051" s="6">
        <f>MONTH(E1051)</f>
        <v/>
      </c>
      <c r="E1051" s="267">
        <f>IFERROR(__xludf.DUMMYFUNCTION("""COMPUTED_VALUE"""),44622.6666666666)</f>
        <v/>
      </c>
      <c r="F1051" s="6">
        <f>IFERROR(__xludf.DUMMYFUNCTION("""COMPUTED_VALUE"""),4386.54)</f>
        <v/>
      </c>
      <c r="J1051" s="6">
        <f>K1051&amp;L1051</f>
        <v/>
      </c>
      <c r="K1051" s="6">
        <f>YEAR(M1051)</f>
        <v/>
      </c>
      <c r="L1051" s="6">
        <f>MONTH(M1051)</f>
        <v/>
      </c>
      <c r="M1051" s="267">
        <f>IFERROR(__xludf.DUMMYFUNCTION("""COMPUTED_VALUE"""),44615.6666666666)</f>
        <v/>
      </c>
      <c r="N1051" s="6">
        <f>IFERROR(__xludf.DUMMYFUNCTION("""COMPUTED_VALUE"""),13037.49)</f>
        <v/>
      </c>
      <c r="R1051" s="6">
        <f>S1051&amp;T1051</f>
        <v/>
      </c>
      <c r="S1051" s="6">
        <f>YEAR(U1051)</f>
        <v/>
      </c>
      <c r="T1051" s="6">
        <f>MONTH(U1051)</f>
        <v/>
      </c>
      <c r="U1051" s="267">
        <f>IFERROR(__xludf.DUMMYFUNCTION("""COMPUTED_VALUE"""),44663.6458333333)</f>
        <v/>
      </c>
      <c r="V1051" s="6">
        <f>IFERROR(__xludf.DUMMYFUNCTION("""COMPUTED_VALUE"""),2666.76)</f>
        <v/>
      </c>
      <c r="Z1051" s="6">
        <f>AA1051&amp;AB1051</f>
        <v/>
      </c>
      <c r="AA1051" s="6">
        <f>YEAR(AC1051)</f>
        <v/>
      </c>
      <c r="AB1051" s="6">
        <f>MONTH(AC1051)</f>
        <v/>
      </c>
      <c r="AC1051" s="267">
        <f>IFERROR(__xludf.DUMMYFUNCTION("""COMPUTED_VALUE"""),44194.9986111111)</f>
        <v/>
      </c>
      <c r="AD1051" s="6">
        <f>IFERROR(__xludf.DUMMYFUNCTION("""COMPUTED_VALUE"""),1092.62)</f>
        <v/>
      </c>
      <c r="AH1051" s="6">
        <f>AI1051&amp;AJ1051</f>
        <v/>
      </c>
      <c r="AI1051" s="6">
        <f>YEAR(AK1051)</f>
        <v/>
      </c>
      <c r="AJ1051" s="6">
        <f>MONTH(AK1051)</f>
        <v/>
      </c>
      <c r="AK1051" s="267">
        <f>IFERROR(__xludf.DUMMYFUNCTION("""COMPUTED_VALUE"""),44143.9986111111)</f>
        <v/>
      </c>
      <c r="AL1051" s="6">
        <f>IFERROR(__xludf.DUMMYFUNCTION("""COMPUTED_VALUE"""),15484.36)</f>
        <v/>
      </c>
      <c r="AP1051" s="6">
        <f>AQ1051&amp;AR1051</f>
        <v/>
      </c>
      <c r="AQ1051" s="6">
        <f>YEAR(AS1051)</f>
        <v/>
      </c>
      <c r="AR1051" s="6">
        <f>MONTH(AS1051)</f>
        <v/>
      </c>
      <c r="AS1051" s="267">
        <f>IFERROR(__xludf.DUMMYFUNCTION("""COMPUTED_VALUE"""),44630.9986111111)</f>
        <v/>
      </c>
      <c r="AT1051" s="6">
        <f>IFERROR(__xludf.DUMMYFUNCTION("""COMPUTED_VALUE"""),2000.4)</f>
        <v/>
      </c>
    </row>
    <row r="1052">
      <c r="B1052" s="6">
        <f>C1052&amp;D1052</f>
        <v/>
      </c>
      <c r="C1052" s="6">
        <f>YEAR(E1052)</f>
        <v/>
      </c>
      <c r="D1052" s="6">
        <f>MONTH(E1052)</f>
        <v/>
      </c>
      <c r="E1052" s="267">
        <f>IFERROR(__xludf.DUMMYFUNCTION("""COMPUTED_VALUE"""),44623.6666666666)</f>
        <v/>
      </c>
      <c r="F1052" s="6">
        <f>IFERROR(__xludf.DUMMYFUNCTION("""COMPUTED_VALUE"""),4363.49)</f>
        <v/>
      </c>
      <c r="J1052" s="6">
        <f>K1052&amp;L1052</f>
        <v/>
      </c>
      <c r="K1052" s="6">
        <f>YEAR(M1052)</f>
        <v/>
      </c>
      <c r="L1052" s="6">
        <f>MONTH(M1052)</f>
        <v/>
      </c>
      <c r="M1052" s="267">
        <f>IFERROR(__xludf.DUMMYFUNCTION("""COMPUTED_VALUE"""),44616.6666666666)</f>
        <v/>
      </c>
      <c r="N1052" s="6">
        <f>IFERROR(__xludf.DUMMYFUNCTION("""COMPUTED_VALUE"""),13473.59)</f>
        <v/>
      </c>
      <c r="R1052" s="6">
        <f>S1052&amp;T1052</f>
        <v/>
      </c>
      <c r="S1052" s="6">
        <f>YEAR(U1052)</f>
        <v/>
      </c>
      <c r="T1052" s="6">
        <f>MONTH(U1052)</f>
        <v/>
      </c>
      <c r="U1052" s="267">
        <f>IFERROR(__xludf.DUMMYFUNCTION("""COMPUTED_VALUE"""),44664.6458333333)</f>
        <v/>
      </c>
      <c r="V1052" s="6">
        <f>IFERROR(__xludf.DUMMYFUNCTION("""COMPUTED_VALUE"""),2716.49)</f>
        <v/>
      </c>
      <c r="Z1052" s="6">
        <f>AA1052&amp;AB1052</f>
        <v/>
      </c>
      <c r="AA1052" s="6">
        <f>YEAR(AC1052)</f>
        <v/>
      </c>
      <c r="AB1052" s="6">
        <f>MONTH(AC1052)</f>
        <v/>
      </c>
      <c r="AC1052" s="267">
        <f>IFERROR(__xludf.DUMMYFUNCTION("""COMPUTED_VALUE"""),44195.9986111111)</f>
        <v/>
      </c>
      <c r="AD1052" s="6">
        <f>IFERROR(__xludf.DUMMYFUNCTION("""COMPUTED_VALUE"""),1086.42)</f>
        <v/>
      </c>
      <c r="AH1052" s="6">
        <f>AI1052&amp;AJ1052</f>
        <v/>
      </c>
      <c r="AI1052" s="6">
        <f>YEAR(AK1052)</f>
        <v/>
      </c>
      <c r="AJ1052" s="6">
        <f>MONTH(AK1052)</f>
        <v/>
      </c>
      <c r="AK1052" s="267">
        <f>IFERROR(__xludf.DUMMYFUNCTION("""COMPUTED_VALUE"""),44144.9986111111)</f>
        <v/>
      </c>
      <c r="AL1052" s="6">
        <f>IFERROR(__xludf.DUMMYFUNCTION("""COMPUTED_VALUE"""),15326.06)</f>
        <v/>
      </c>
      <c r="AP1052" s="6">
        <f>AQ1052&amp;AR1052</f>
        <v/>
      </c>
      <c r="AQ1052" s="6">
        <f>YEAR(AS1052)</f>
        <v/>
      </c>
      <c r="AR1052" s="6">
        <f>MONTH(AS1052)</f>
        <v/>
      </c>
      <c r="AS1052" s="267">
        <f>IFERROR(__xludf.DUMMYFUNCTION("""COMPUTED_VALUE"""),44631.9986111111)</f>
        <v/>
      </c>
      <c r="AT1052" s="6">
        <f>IFERROR(__xludf.DUMMYFUNCTION("""COMPUTED_VALUE"""),1985)</f>
        <v/>
      </c>
    </row>
    <row r="1053">
      <c r="B1053" s="6">
        <f>C1053&amp;D1053</f>
        <v/>
      </c>
      <c r="C1053" s="6">
        <f>YEAR(E1053)</f>
        <v/>
      </c>
      <c r="D1053" s="6">
        <f>MONTH(E1053)</f>
        <v/>
      </c>
      <c r="E1053" s="267">
        <f>IFERROR(__xludf.DUMMYFUNCTION("""COMPUTED_VALUE"""),44624.6666666666)</f>
        <v/>
      </c>
      <c r="F1053" s="6">
        <f>IFERROR(__xludf.DUMMYFUNCTION("""COMPUTED_VALUE"""),4328.87)</f>
        <v/>
      </c>
      <c r="J1053" s="6">
        <f>K1053&amp;L1053</f>
        <v/>
      </c>
      <c r="K1053" s="6">
        <f>YEAR(M1053)</f>
        <v/>
      </c>
      <c r="L1053" s="6">
        <f>MONTH(M1053)</f>
        <v/>
      </c>
      <c r="M1053" s="267">
        <f>IFERROR(__xludf.DUMMYFUNCTION("""COMPUTED_VALUE"""),44617.6666666666)</f>
        <v/>
      </c>
      <c r="N1053" s="6">
        <f>IFERROR(__xludf.DUMMYFUNCTION("""COMPUTED_VALUE"""),13694.62)</f>
        <v/>
      </c>
      <c r="R1053" s="6">
        <f>S1053&amp;T1053</f>
        <v/>
      </c>
      <c r="S1053" s="6">
        <f>YEAR(U1053)</f>
        <v/>
      </c>
      <c r="T1053" s="6">
        <f>MONTH(U1053)</f>
        <v/>
      </c>
      <c r="U1053" s="267">
        <f>IFERROR(__xludf.DUMMYFUNCTION("""COMPUTED_VALUE"""),44665.6458333333)</f>
        <v/>
      </c>
      <c r="V1053" s="6">
        <f>IFERROR(__xludf.DUMMYFUNCTION("""COMPUTED_VALUE"""),2716.71)</f>
        <v/>
      </c>
      <c r="Z1053" s="6">
        <f>AA1053&amp;AB1053</f>
        <v/>
      </c>
      <c r="AA1053" s="6">
        <f>YEAR(AC1053)</f>
        <v/>
      </c>
      <c r="AB1053" s="6">
        <f>MONTH(AC1053)</f>
        <v/>
      </c>
      <c r="AC1053" s="267">
        <f>IFERROR(__xludf.DUMMYFUNCTION("""COMPUTED_VALUE"""),44196.9986111111)</f>
        <v/>
      </c>
      <c r="AD1053" s="6">
        <f>IFERROR(__xludf.DUMMYFUNCTION("""COMPUTED_VALUE"""),1084.65)</f>
        <v/>
      </c>
      <c r="AH1053" s="6">
        <f>AI1053&amp;AJ1053</f>
        <v/>
      </c>
      <c r="AI1053" s="6">
        <f>YEAR(AK1053)</f>
        <v/>
      </c>
      <c r="AJ1053" s="6">
        <f>MONTH(AK1053)</f>
        <v/>
      </c>
      <c r="AK1053" s="267">
        <f>IFERROR(__xludf.DUMMYFUNCTION("""COMPUTED_VALUE"""),44145.9986111111)</f>
        <v/>
      </c>
      <c r="AL1053" s="6">
        <f>IFERROR(__xludf.DUMMYFUNCTION("""COMPUTED_VALUE"""),15309.83)</f>
        <v/>
      </c>
      <c r="AP1053" s="6">
        <f>AQ1053&amp;AR1053</f>
        <v/>
      </c>
      <c r="AQ1053" s="6">
        <f>YEAR(AS1053)</f>
        <v/>
      </c>
      <c r="AR1053" s="6">
        <f>MONTH(AS1053)</f>
        <v/>
      </c>
      <c r="AS1053" s="267">
        <f>IFERROR(__xludf.DUMMYFUNCTION("""COMPUTED_VALUE"""),44634.9986111111)</f>
        <v/>
      </c>
      <c r="AT1053" s="6">
        <f>IFERROR(__xludf.DUMMYFUNCTION("""COMPUTED_VALUE"""),1960.8)</f>
        <v/>
      </c>
    </row>
    <row r="1054">
      <c r="B1054" s="6">
        <f>C1054&amp;D1054</f>
        <v/>
      </c>
      <c r="C1054" s="6">
        <f>YEAR(E1054)</f>
        <v/>
      </c>
      <c r="D1054" s="6">
        <f>MONTH(E1054)</f>
        <v/>
      </c>
      <c r="E1054" s="267">
        <f>IFERROR(__xludf.DUMMYFUNCTION("""COMPUTED_VALUE"""),44627.6666666666)</f>
        <v/>
      </c>
      <c r="F1054" s="6">
        <f>IFERROR(__xludf.DUMMYFUNCTION("""COMPUTED_VALUE"""),4201.09)</f>
        <v/>
      </c>
      <c r="J1054" s="6">
        <f>K1054&amp;L1054</f>
        <v/>
      </c>
      <c r="K1054" s="6">
        <f>YEAR(M1054)</f>
        <v/>
      </c>
      <c r="L1054" s="6">
        <f>MONTH(M1054)</f>
        <v/>
      </c>
      <c r="M1054" s="267">
        <f>IFERROR(__xludf.DUMMYFUNCTION("""COMPUTED_VALUE"""),44620.6666666666)</f>
        <v/>
      </c>
      <c r="N1054" s="6">
        <f>IFERROR(__xludf.DUMMYFUNCTION("""COMPUTED_VALUE"""),13751.4)</f>
        <v/>
      </c>
      <c r="R1054" s="6">
        <f>S1054&amp;T1054</f>
        <v/>
      </c>
      <c r="S1054" s="6">
        <f>YEAR(U1054)</f>
        <v/>
      </c>
      <c r="T1054" s="6">
        <f>MONTH(U1054)</f>
        <v/>
      </c>
      <c r="U1054" s="267">
        <f>IFERROR(__xludf.DUMMYFUNCTION("""COMPUTED_VALUE"""),44666.6458333333)</f>
        <v/>
      </c>
      <c r="V1054" s="6">
        <f>IFERROR(__xludf.DUMMYFUNCTION("""COMPUTED_VALUE"""),2696.06)</f>
        <v/>
      </c>
      <c r="Z1054" s="6">
        <f>AA1054&amp;AB1054</f>
        <v/>
      </c>
      <c r="AA1054" s="6">
        <f>YEAR(AC1054)</f>
        <v/>
      </c>
      <c r="AB1054" s="6">
        <f>MONTH(AC1054)</f>
        <v/>
      </c>
      <c r="AC1054" s="267">
        <f>IFERROR(__xludf.DUMMYFUNCTION("""COMPUTED_VALUE"""),44197.9986111111)</f>
        <v/>
      </c>
      <c r="AD1054" s="6">
        <f>IFERROR(__xludf.DUMMYFUNCTION("""COMPUTED_VALUE"""),1084.73)</f>
        <v/>
      </c>
      <c r="AH1054" s="6">
        <f>AI1054&amp;AJ1054</f>
        <v/>
      </c>
      <c r="AI1054" s="6">
        <f>YEAR(AK1054)</f>
        <v/>
      </c>
      <c r="AJ1054" s="6">
        <f>MONTH(AK1054)</f>
        <v/>
      </c>
      <c r="AK1054" s="267">
        <f>IFERROR(__xludf.DUMMYFUNCTION("""COMPUTED_VALUE"""),44146.9986111111)</f>
        <v/>
      </c>
      <c r="AL1054" s="6">
        <f>IFERROR(__xludf.DUMMYFUNCTION("""COMPUTED_VALUE"""),15704.55)</f>
        <v/>
      </c>
      <c r="AP1054" s="6">
        <f>AQ1054&amp;AR1054</f>
        <v/>
      </c>
      <c r="AQ1054" s="6">
        <f>YEAR(AS1054)</f>
        <v/>
      </c>
      <c r="AR1054" s="6">
        <f>MONTH(AS1054)</f>
        <v/>
      </c>
      <c r="AS1054" s="267">
        <f>IFERROR(__xludf.DUMMYFUNCTION("""COMPUTED_VALUE"""),44635.9986111111)</f>
        <v/>
      </c>
      <c r="AT1054" s="6">
        <f>IFERROR(__xludf.DUMMYFUNCTION("""COMPUTED_VALUE"""),1929.7)</f>
        <v/>
      </c>
    </row>
    <row r="1055">
      <c r="B1055" s="6">
        <f>C1055&amp;D1055</f>
        <v/>
      </c>
      <c r="C1055" s="6">
        <f>YEAR(E1055)</f>
        <v/>
      </c>
      <c r="D1055" s="6">
        <f>MONTH(E1055)</f>
        <v/>
      </c>
      <c r="E1055" s="267">
        <f>IFERROR(__xludf.DUMMYFUNCTION("""COMPUTED_VALUE"""),44628.6666666666)</f>
        <v/>
      </c>
      <c r="F1055" s="6">
        <f>IFERROR(__xludf.DUMMYFUNCTION("""COMPUTED_VALUE"""),4170.7)</f>
        <v/>
      </c>
      <c r="J1055" s="6">
        <f>K1055&amp;L1055</f>
        <v/>
      </c>
      <c r="K1055" s="6">
        <f>YEAR(M1055)</f>
        <v/>
      </c>
      <c r="L1055" s="6">
        <f>MONTH(M1055)</f>
        <v/>
      </c>
      <c r="M1055" s="267">
        <f>IFERROR(__xludf.DUMMYFUNCTION("""COMPUTED_VALUE"""),44621.6666666666)</f>
        <v/>
      </c>
      <c r="N1055" s="6">
        <f>IFERROR(__xludf.DUMMYFUNCTION("""COMPUTED_VALUE"""),13532.46)</f>
        <v/>
      </c>
      <c r="R1055" s="6">
        <f>S1055&amp;T1055</f>
        <v/>
      </c>
      <c r="S1055" s="6">
        <f>YEAR(U1055)</f>
        <v/>
      </c>
      <c r="T1055" s="6">
        <f>MONTH(U1055)</f>
        <v/>
      </c>
      <c r="U1055" s="267">
        <f>IFERROR(__xludf.DUMMYFUNCTION("""COMPUTED_VALUE"""),44669.6458333333)</f>
        <v/>
      </c>
      <c r="V1055" s="6">
        <f>IFERROR(__xludf.DUMMYFUNCTION("""COMPUTED_VALUE"""),2693.21)</f>
        <v/>
      </c>
      <c r="Z1055" s="6">
        <f>AA1055&amp;AB1055</f>
        <v/>
      </c>
      <c r="AA1055" s="6">
        <f>YEAR(AC1055)</f>
        <v/>
      </c>
      <c r="AB1055" s="6">
        <f>MONTH(AC1055)</f>
        <v/>
      </c>
      <c r="AC1055" s="267">
        <f>IFERROR(__xludf.DUMMYFUNCTION("""COMPUTED_VALUE"""),44198.9986111111)</f>
        <v/>
      </c>
      <c r="AD1055" s="6">
        <f>IFERROR(__xludf.DUMMYFUNCTION("""COMPUTED_VALUE"""),1084.73)</f>
        <v/>
      </c>
      <c r="AH1055" s="6">
        <f>AI1055&amp;AJ1055</f>
        <v/>
      </c>
      <c r="AI1055" s="6">
        <f>YEAR(AK1055)</f>
        <v/>
      </c>
      <c r="AJ1055" s="6">
        <f>MONTH(AK1055)</f>
        <v/>
      </c>
      <c r="AK1055" s="267">
        <f>IFERROR(__xludf.DUMMYFUNCTION("""COMPUTED_VALUE"""),44148.9986111111)</f>
        <v/>
      </c>
      <c r="AL1055" s="6">
        <f>IFERROR(__xludf.DUMMYFUNCTION("""COMPUTED_VALUE"""),16326.84)</f>
        <v/>
      </c>
      <c r="AP1055" s="6">
        <f>AQ1055&amp;AR1055</f>
        <v/>
      </c>
      <c r="AQ1055" s="6">
        <f>YEAR(AS1055)</f>
        <v/>
      </c>
      <c r="AR1055" s="6">
        <f>MONTH(AS1055)</f>
        <v/>
      </c>
      <c r="AS1055" s="267">
        <f>IFERROR(__xludf.DUMMYFUNCTION("""COMPUTED_VALUE"""),44636.9986111111)</f>
        <v/>
      </c>
      <c r="AT1055" s="6">
        <f>IFERROR(__xludf.DUMMYFUNCTION("""COMPUTED_VALUE"""),1909.2)</f>
        <v/>
      </c>
    </row>
    <row r="1056">
      <c r="B1056" s="6">
        <f>C1056&amp;D1056</f>
        <v/>
      </c>
      <c r="C1056" s="6">
        <f>YEAR(E1056)</f>
        <v/>
      </c>
      <c r="D1056" s="6">
        <f>MONTH(E1056)</f>
        <v/>
      </c>
      <c r="E1056" s="267">
        <f>IFERROR(__xludf.DUMMYFUNCTION("""COMPUTED_VALUE"""),44629.6666666666)</f>
        <v/>
      </c>
      <c r="F1056" s="6">
        <f>IFERROR(__xludf.DUMMYFUNCTION("""COMPUTED_VALUE"""),4277.88)</f>
        <v/>
      </c>
      <c r="J1056" s="6">
        <f>K1056&amp;L1056</f>
        <v/>
      </c>
      <c r="K1056" s="6">
        <f>YEAR(M1056)</f>
        <v/>
      </c>
      <c r="L1056" s="6">
        <f>MONTH(M1056)</f>
        <v/>
      </c>
      <c r="M1056" s="267">
        <f>IFERROR(__xludf.DUMMYFUNCTION("""COMPUTED_VALUE"""),44622.6666666666)</f>
        <v/>
      </c>
      <c r="N1056" s="6">
        <f>IFERROR(__xludf.DUMMYFUNCTION("""COMPUTED_VALUE"""),13752.02)</f>
        <v/>
      </c>
      <c r="R1056" s="6">
        <f>S1056&amp;T1056</f>
        <v/>
      </c>
      <c r="S1056" s="6">
        <f>YEAR(U1056)</f>
        <v/>
      </c>
      <c r="T1056" s="6">
        <f>MONTH(U1056)</f>
        <v/>
      </c>
      <c r="U1056" s="267">
        <f>IFERROR(__xludf.DUMMYFUNCTION("""COMPUTED_VALUE"""),44670.6458333333)</f>
        <v/>
      </c>
      <c r="V1056" s="6">
        <f>IFERROR(__xludf.DUMMYFUNCTION("""COMPUTED_VALUE"""),2718.89)</f>
        <v/>
      </c>
      <c r="Z1056" s="6">
        <f>AA1056&amp;AB1056</f>
        <v/>
      </c>
      <c r="AA1056" s="6">
        <f>YEAR(AC1056)</f>
        <v/>
      </c>
      <c r="AB1056" s="6">
        <f>MONTH(AC1056)</f>
        <v/>
      </c>
      <c r="AC1056" s="267">
        <f>IFERROR(__xludf.DUMMYFUNCTION("""COMPUTED_VALUE"""),44199.9986111111)</f>
        <v/>
      </c>
      <c r="AD1056" s="6">
        <f>IFERROR(__xludf.DUMMYFUNCTION("""COMPUTED_VALUE"""),1084.73)</f>
        <v/>
      </c>
      <c r="AH1056" s="6">
        <f>AI1056&amp;AJ1056</f>
        <v/>
      </c>
      <c r="AI1056" s="6">
        <f>YEAR(AK1056)</f>
        <v/>
      </c>
      <c r="AJ1056" s="6">
        <f>MONTH(AK1056)</f>
        <v/>
      </c>
      <c r="AK1056" s="267">
        <f>IFERROR(__xludf.DUMMYFUNCTION("""COMPUTED_VALUE"""),44149.9986111111)</f>
        <v/>
      </c>
      <c r="AL1056" s="6">
        <f>IFERROR(__xludf.DUMMYFUNCTION("""COMPUTED_VALUE"""),16078.98)</f>
        <v/>
      </c>
      <c r="AP1056" s="6">
        <f>AQ1056&amp;AR1056</f>
        <v/>
      </c>
      <c r="AQ1056" s="6">
        <f>YEAR(AS1056)</f>
        <v/>
      </c>
      <c r="AR1056" s="6">
        <f>MONTH(AS1056)</f>
        <v/>
      </c>
      <c r="AS1056" s="267">
        <f>IFERROR(__xludf.DUMMYFUNCTION("""COMPUTED_VALUE"""),44637.9986111111)</f>
        <v/>
      </c>
      <c r="AT1056" s="6">
        <f>IFERROR(__xludf.DUMMYFUNCTION("""COMPUTED_VALUE"""),1948.2)</f>
        <v/>
      </c>
    </row>
    <row r="1057">
      <c r="B1057" s="6">
        <f>C1057&amp;D1057</f>
        <v/>
      </c>
      <c r="C1057" s="6">
        <f>YEAR(E1057)</f>
        <v/>
      </c>
      <c r="D1057" s="6">
        <f>MONTH(E1057)</f>
        <v/>
      </c>
      <c r="E1057" s="267">
        <f>IFERROR(__xludf.DUMMYFUNCTION("""COMPUTED_VALUE"""),44630.6666666666)</f>
        <v/>
      </c>
      <c r="F1057" s="6">
        <f>IFERROR(__xludf.DUMMYFUNCTION("""COMPUTED_VALUE"""),4259.52)</f>
        <v/>
      </c>
      <c r="J1057" s="6">
        <f>K1057&amp;L1057</f>
        <v/>
      </c>
      <c r="K1057" s="6">
        <f>YEAR(M1057)</f>
        <v/>
      </c>
      <c r="L1057" s="6">
        <f>MONTH(M1057)</f>
        <v/>
      </c>
      <c r="M1057" s="267">
        <f>IFERROR(__xludf.DUMMYFUNCTION("""COMPUTED_VALUE"""),44623.6666666666)</f>
        <v/>
      </c>
      <c r="N1057" s="6">
        <f>IFERROR(__xludf.DUMMYFUNCTION("""COMPUTED_VALUE"""),13537.94)</f>
        <v/>
      </c>
      <c r="R1057" s="6">
        <f>S1057&amp;T1057</f>
        <v/>
      </c>
      <c r="S1057" s="6">
        <f>YEAR(U1057)</f>
        <v/>
      </c>
      <c r="T1057" s="6">
        <f>MONTH(U1057)</f>
        <v/>
      </c>
      <c r="U1057" s="267">
        <f>IFERROR(__xludf.DUMMYFUNCTION("""COMPUTED_VALUE"""),44671.6458333333)</f>
        <v/>
      </c>
      <c r="V1057" s="6">
        <f>IFERROR(__xludf.DUMMYFUNCTION("""COMPUTED_VALUE"""),2718.69)</f>
        <v/>
      </c>
      <c r="Z1057" s="6">
        <f>AA1057&amp;AB1057</f>
        <v/>
      </c>
      <c r="AA1057" s="6">
        <f>YEAR(AC1057)</f>
        <v/>
      </c>
      <c r="AB1057" s="6">
        <f>MONTH(AC1057)</f>
        <v/>
      </c>
      <c r="AC1057" s="267">
        <f>IFERROR(__xludf.DUMMYFUNCTION("""COMPUTED_VALUE"""),44200.9986111111)</f>
        <v/>
      </c>
      <c r="AD1057" s="6">
        <f>IFERROR(__xludf.DUMMYFUNCTION("""COMPUTED_VALUE"""),1086.62)</f>
        <v/>
      </c>
      <c r="AH1057" s="6">
        <f>AI1057&amp;AJ1057</f>
        <v/>
      </c>
      <c r="AI1057" s="6">
        <f>YEAR(AK1057)</f>
        <v/>
      </c>
      <c r="AJ1057" s="6">
        <f>MONTH(AK1057)</f>
        <v/>
      </c>
      <c r="AK1057" s="267">
        <f>IFERROR(__xludf.DUMMYFUNCTION("""COMPUTED_VALUE"""),44150.9986111111)</f>
        <v/>
      </c>
      <c r="AL1057" s="6">
        <f>IFERROR(__xludf.DUMMYFUNCTION("""COMPUTED_VALUE"""),15936.22)</f>
        <v/>
      </c>
      <c r="AP1057" s="6">
        <f>AQ1057&amp;AR1057</f>
        <v/>
      </c>
      <c r="AQ1057" s="6">
        <f>YEAR(AS1057)</f>
        <v/>
      </c>
      <c r="AR1057" s="6">
        <f>MONTH(AS1057)</f>
        <v/>
      </c>
      <c r="AS1057" s="267">
        <f>IFERROR(__xludf.DUMMYFUNCTION("""COMPUTED_VALUE"""),44638.9986111111)</f>
        <v/>
      </c>
      <c r="AT1057" s="6">
        <f>IFERROR(__xludf.DUMMYFUNCTION("""COMPUTED_VALUE"""),1933.9)</f>
        <v/>
      </c>
    </row>
    <row r="1058">
      <c r="B1058" s="6">
        <f>C1058&amp;D1058</f>
        <v/>
      </c>
      <c r="C1058" s="6">
        <f>YEAR(E1058)</f>
        <v/>
      </c>
      <c r="D1058" s="6">
        <f>MONTH(E1058)</f>
        <v/>
      </c>
      <c r="E1058" s="267">
        <f>IFERROR(__xludf.DUMMYFUNCTION("""COMPUTED_VALUE"""),44631.6666666666)</f>
        <v/>
      </c>
      <c r="F1058" s="6">
        <f>IFERROR(__xludf.DUMMYFUNCTION("""COMPUTED_VALUE"""),4204.31)</f>
        <v/>
      </c>
      <c r="J1058" s="6">
        <f>K1058&amp;L1058</f>
        <v/>
      </c>
      <c r="K1058" s="6">
        <f>YEAR(M1058)</f>
        <v/>
      </c>
      <c r="L1058" s="6">
        <f>MONTH(M1058)</f>
        <v/>
      </c>
      <c r="M1058" s="267">
        <f>IFERROR(__xludf.DUMMYFUNCTION("""COMPUTED_VALUE"""),44624.6666666666)</f>
        <v/>
      </c>
      <c r="N1058" s="6">
        <f>IFERROR(__xludf.DUMMYFUNCTION("""COMPUTED_VALUE"""),13313.44)</f>
        <v/>
      </c>
      <c r="R1058" s="6">
        <f>S1058&amp;T1058</f>
        <v/>
      </c>
      <c r="S1058" s="6">
        <f>YEAR(U1058)</f>
        <v/>
      </c>
      <c r="T1058" s="6">
        <f>MONTH(U1058)</f>
        <v/>
      </c>
      <c r="U1058" s="267">
        <f>IFERROR(__xludf.DUMMYFUNCTION("""COMPUTED_VALUE"""),44672.6458333333)</f>
        <v/>
      </c>
      <c r="V1058" s="6">
        <f>IFERROR(__xludf.DUMMYFUNCTION("""COMPUTED_VALUE"""),2728.21)</f>
        <v/>
      </c>
      <c r="Z1058" s="6">
        <f>AA1058&amp;AB1058</f>
        <v/>
      </c>
      <c r="AA1058" s="6">
        <f>YEAR(AC1058)</f>
        <v/>
      </c>
      <c r="AB1058" s="6">
        <f>MONTH(AC1058)</f>
        <v/>
      </c>
      <c r="AC1058" s="267">
        <f>IFERROR(__xludf.DUMMYFUNCTION("""COMPUTED_VALUE"""),44201.9986111111)</f>
        <v/>
      </c>
      <c r="AD1058" s="6">
        <f>IFERROR(__xludf.DUMMYFUNCTION("""COMPUTED_VALUE"""),1086.45)</f>
        <v/>
      </c>
      <c r="AH1058" s="6">
        <f>AI1058&amp;AJ1058</f>
        <v/>
      </c>
      <c r="AI1058" s="6">
        <f>YEAR(AK1058)</f>
        <v/>
      </c>
      <c r="AJ1058" s="6">
        <f>MONTH(AK1058)</f>
        <v/>
      </c>
      <c r="AK1058" s="267">
        <f>IFERROR(__xludf.DUMMYFUNCTION("""COMPUTED_VALUE"""),44151.9986111111)</f>
        <v/>
      </c>
      <c r="AL1058" s="6">
        <f>IFERROR(__xludf.DUMMYFUNCTION("""COMPUTED_VALUE"""),16709.44)</f>
        <v/>
      </c>
      <c r="AP1058" s="6">
        <f>AQ1058&amp;AR1058</f>
        <v/>
      </c>
      <c r="AQ1058" s="6">
        <f>YEAR(AS1058)</f>
        <v/>
      </c>
      <c r="AR1058" s="6">
        <f>MONTH(AS1058)</f>
        <v/>
      </c>
      <c r="AS1058" s="267">
        <f>IFERROR(__xludf.DUMMYFUNCTION("""COMPUTED_VALUE"""),44641.9986111111)</f>
        <v/>
      </c>
      <c r="AT1058" s="6">
        <f>IFERROR(__xludf.DUMMYFUNCTION("""COMPUTED_VALUE"""),1934.8)</f>
        <v/>
      </c>
    </row>
    <row r="1059">
      <c r="B1059" s="6">
        <f>C1059&amp;D1059</f>
        <v/>
      </c>
      <c r="C1059" s="6">
        <f>YEAR(E1059)</f>
        <v/>
      </c>
      <c r="D1059" s="6">
        <f>MONTH(E1059)</f>
        <v/>
      </c>
      <c r="E1059" s="267">
        <f>IFERROR(__xludf.DUMMYFUNCTION("""COMPUTED_VALUE"""),44634.6666666666)</f>
        <v/>
      </c>
      <c r="F1059" s="6">
        <f>IFERROR(__xludf.DUMMYFUNCTION("""COMPUTED_VALUE"""),4173.11)</f>
        <v/>
      </c>
      <c r="J1059" s="6">
        <f>K1059&amp;L1059</f>
        <v/>
      </c>
      <c r="K1059" s="6">
        <f>YEAR(M1059)</f>
        <v/>
      </c>
      <c r="L1059" s="6">
        <f>MONTH(M1059)</f>
        <v/>
      </c>
      <c r="M1059" s="267">
        <f>IFERROR(__xludf.DUMMYFUNCTION("""COMPUTED_VALUE"""),44627.6666666666)</f>
        <v/>
      </c>
      <c r="N1059" s="6">
        <f>IFERROR(__xludf.DUMMYFUNCTION("""COMPUTED_VALUE"""),12830.96)</f>
        <v/>
      </c>
      <c r="R1059" s="6">
        <f>S1059&amp;T1059</f>
        <v/>
      </c>
      <c r="S1059" s="6">
        <f>YEAR(U1059)</f>
        <v/>
      </c>
      <c r="T1059" s="6">
        <f>MONTH(U1059)</f>
        <v/>
      </c>
      <c r="U1059" s="267">
        <f>IFERROR(__xludf.DUMMYFUNCTION("""COMPUTED_VALUE"""),44673.6458333333)</f>
        <v/>
      </c>
      <c r="V1059" s="6">
        <f>IFERROR(__xludf.DUMMYFUNCTION("""COMPUTED_VALUE"""),2704.71)</f>
        <v/>
      </c>
      <c r="Z1059" s="6">
        <f>AA1059&amp;AB1059</f>
        <v/>
      </c>
      <c r="AA1059" s="6">
        <f>YEAR(AC1059)</f>
        <v/>
      </c>
      <c r="AB1059" s="6">
        <f>MONTH(AC1059)</f>
        <v/>
      </c>
      <c r="AC1059" s="267">
        <f>IFERROR(__xludf.DUMMYFUNCTION("""COMPUTED_VALUE"""),44202.9986111111)</f>
        <v/>
      </c>
      <c r="AD1059" s="6">
        <f>IFERROR(__xludf.DUMMYFUNCTION("""COMPUTED_VALUE"""),1086.95)</f>
        <v/>
      </c>
      <c r="AH1059" s="6">
        <f>AI1059&amp;AJ1059</f>
        <v/>
      </c>
      <c r="AI1059" s="6">
        <f>YEAR(AK1059)</f>
        <v/>
      </c>
      <c r="AJ1059" s="6">
        <f>MONTH(AK1059)</f>
        <v/>
      </c>
      <c r="AK1059" s="267">
        <f>IFERROR(__xludf.DUMMYFUNCTION("""COMPUTED_VALUE"""),44152.9986111111)</f>
        <v/>
      </c>
      <c r="AL1059" s="6">
        <f>IFERROR(__xludf.DUMMYFUNCTION("""COMPUTED_VALUE"""),17672.58)</f>
        <v/>
      </c>
      <c r="AP1059" s="6">
        <f>AQ1059&amp;AR1059</f>
        <v/>
      </c>
      <c r="AQ1059" s="6">
        <f>YEAR(AS1059)</f>
        <v/>
      </c>
      <c r="AR1059" s="6">
        <f>MONTH(AS1059)</f>
        <v/>
      </c>
      <c r="AS1059" s="267">
        <f>IFERROR(__xludf.DUMMYFUNCTION("""COMPUTED_VALUE"""),44642.9986111111)</f>
        <v/>
      </c>
      <c r="AT1059" s="6">
        <f>IFERROR(__xludf.DUMMYFUNCTION("""COMPUTED_VALUE"""),1926.7)</f>
        <v/>
      </c>
    </row>
    <row r="1060">
      <c r="B1060" s="6">
        <f>C1060&amp;D1060</f>
        <v/>
      </c>
      <c r="C1060" s="6">
        <f>YEAR(E1060)</f>
        <v/>
      </c>
      <c r="D1060" s="6">
        <f>MONTH(E1060)</f>
        <v/>
      </c>
      <c r="E1060" s="267">
        <f>IFERROR(__xludf.DUMMYFUNCTION("""COMPUTED_VALUE"""),44635.6666666666)</f>
        <v/>
      </c>
      <c r="F1060" s="6">
        <f>IFERROR(__xludf.DUMMYFUNCTION("""COMPUTED_VALUE"""),4262.45)</f>
        <v/>
      </c>
      <c r="J1060" s="6">
        <f>K1060&amp;L1060</f>
        <v/>
      </c>
      <c r="K1060" s="6">
        <f>YEAR(M1060)</f>
        <v/>
      </c>
      <c r="L1060" s="6">
        <f>MONTH(M1060)</f>
        <v/>
      </c>
      <c r="M1060" s="267">
        <f>IFERROR(__xludf.DUMMYFUNCTION("""COMPUTED_VALUE"""),44628.6666666666)</f>
        <v/>
      </c>
      <c r="N1060" s="6">
        <f>IFERROR(__xludf.DUMMYFUNCTION("""COMPUTED_VALUE"""),12795.55)</f>
        <v/>
      </c>
      <c r="R1060" s="6">
        <f>S1060&amp;T1060</f>
        <v/>
      </c>
      <c r="S1060" s="6">
        <f>YEAR(U1060)</f>
        <v/>
      </c>
      <c r="T1060" s="6">
        <f>MONTH(U1060)</f>
        <v/>
      </c>
      <c r="U1060" s="267">
        <f>IFERROR(__xludf.DUMMYFUNCTION("""COMPUTED_VALUE"""),44676.6458333333)</f>
        <v/>
      </c>
      <c r="V1060" s="6">
        <f>IFERROR(__xludf.DUMMYFUNCTION("""COMPUTED_VALUE"""),2657.13)</f>
        <v/>
      </c>
      <c r="Z1060" s="6">
        <f>AA1060&amp;AB1060</f>
        <v/>
      </c>
      <c r="AA1060" s="6">
        <f>YEAR(AC1060)</f>
        <v/>
      </c>
      <c r="AB1060" s="6">
        <f>MONTH(AC1060)</f>
        <v/>
      </c>
      <c r="AC1060" s="267">
        <f>IFERROR(__xludf.DUMMYFUNCTION("""COMPUTED_VALUE"""),44203.9986111111)</f>
        <v/>
      </c>
      <c r="AD1060" s="6">
        <f>IFERROR(__xludf.DUMMYFUNCTION("""COMPUTED_VALUE"""),1093.07)</f>
        <v/>
      </c>
      <c r="AH1060" s="6">
        <f>AI1060&amp;AJ1060</f>
        <v/>
      </c>
      <c r="AI1060" s="6">
        <f>YEAR(AK1060)</f>
        <v/>
      </c>
      <c r="AJ1060" s="6">
        <f>MONTH(AK1060)</f>
        <v/>
      </c>
      <c r="AK1060" s="267">
        <f>IFERROR(__xludf.DUMMYFUNCTION("""COMPUTED_VALUE"""),44153.9986111111)</f>
        <v/>
      </c>
      <c r="AL1060" s="6">
        <f>IFERROR(__xludf.DUMMYFUNCTION("""COMPUTED_VALUE"""),17785.87)</f>
        <v/>
      </c>
      <c r="AP1060" s="6">
        <f>AQ1060&amp;AR1060</f>
        <v/>
      </c>
      <c r="AQ1060" s="6">
        <f>YEAR(AS1060)</f>
        <v/>
      </c>
      <c r="AR1060" s="6">
        <f>MONTH(AS1060)</f>
        <v/>
      </c>
      <c r="AS1060" s="267">
        <f>IFERROR(__xludf.DUMMYFUNCTION("""COMPUTED_VALUE"""),44643.9986111111)</f>
        <v/>
      </c>
      <c r="AT1060" s="6">
        <f>IFERROR(__xludf.DUMMYFUNCTION("""COMPUTED_VALUE"""),1942.6)</f>
        <v/>
      </c>
    </row>
    <row r="1061">
      <c r="B1061" s="6">
        <f>C1061&amp;D1061</f>
        <v/>
      </c>
      <c r="C1061" s="6">
        <f>YEAR(E1061)</f>
        <v/>
      </c>
      <c r="D1061" s="6">
        <f>MONTH(E1061)</f>
        <v/>
      </c>
      <c r="E1061" s="267">
        <f>IFERROR(__xludf.DUMMYFUNCTION("""COMPUTED_VALUE"""),44636.6666666666)</f>
        <v/>
      </c>
      <c r="F1061" s="6">
        <f>IFERROR(__xludf.DUMMYFUNCTION("""COMPUTED_VALUE"""),4357.86)</f>
        <v/>
      </c>
      <c r="J1061" s="6">
        <f>K1061&amp;L1061</f>
        <v/>
      </c>
      <c r="K1061" s="6">
        <f>YEAR(M1061)</f>
        <v/>
      </c>
      <c r="L1061" s="6">
        <f>MONTH(M1061)</f>
        <v/>
      </c>
      <c r="M1061" s="267">
        <f>IFERROR(__xludf.DUMMYFUNCTION("""COMPUTED_VALUE"""),44629.6666666666)</f>
        <v/>
      </c>
      <c r="N1061" s="6">
        <f>IFERROR(__xludf.DUMMYFUNCTION("""COMPUTED_VALUE"""),13255.55)</f>
        <v/>
      </c>
      <c r="R1061" s="6">
        <f>S1061&amp;T1061</f>
        <v/>
      </c>
      <c r="S1061" s="6">
        <f>YEAR(U1061)</f>
        <v/>
      </c>
      <c r="T1061" s="6">
        <f>MONTH(U1061)</f>
        <v/>
      </c>
      <c r="U1061" s="267">
        <f>IFERROR(__xludf.DUMMYFUNCTION("""COMPUTED_VALUE"""),44677.6458333333)</f>
        <v/>
      </c>
      <c r="V1061" s="6">
        <f>IFERROR(__xludf.DUMMYFUNCTION("""COMPUTED_VALUE"""),2668.31)</f>
        <v/>
      </c>
      <c r="Z1061" s="6">
        <f>AA1061&amp;AB1061</f>
        <v/>
      </c>
      <c r="AA1061" s="6">
        <f>YEAR(AC1061)</f>
        <v/>
      </c>
      <c r="AB1061" s="6">
        <f>MONTH(AC1061)</f>
        <v/>
      </c>
      <c r="AC1061" s="267">
        <f>IFERROR(__xludf.DUMMYFUNCTION("""COMPUTED_VALUE"""),44204.9986111111)</f>
        <v/>
      </c>
      <c r="AD1061" s="6">
        <f>IFERROR(__xludf.DUMMYFUNCTION("""COMPUTED_VALUE"""),1092.92)</f>
        <v/>
      </c>
      <c r="AH1061" s="6">
        <f>AI1061&amp;AJ1061</f>
        <v/>
      </c>
      <c r="AI1061" s="6">
        <f>YEAR(AK1061)</f>
        <v/>
      </c>
      <c r="AJ1061" s="6">
        <f>MONTH(AK1061)</f>
        <v/>
      </c>
      <c r="AK1061" s="267">
        <f>IFERROR(__xludf.DUMMYFUNCTION("""COMPUTED_VALUE"""),44154.9986111111)</f>
        <v/>
      </c>
      <c r="AL1061" s="6">
        <f>IFERROR(__xludf.DUMMYFUNCTION("""COMPUTED_VALUE"""),17813.76)</f>
        <v/>
      </c>
      <c r="AP1061" s="6">
        <f>AQ1061&amp;AR1061</f>
        <v/>
      </c>
      <c r="AQ1061" s="6">
        <f>YEAR(AS1061)</f>
        <v/>
      </c>
      <c r="AR1061" s="6">
        <f>MONTH(AS1061)</f>
        <v/>
      </c>
      <c r="AS1061" s="267">
        <f>IFERROR(__xludf.DUMMYFUNCTION("""COMPUTED_VALUE"""),44644.9986111111)</f>
        <v/>
      </c>
      <c r="AT1061" s="6">
        <f>IFERROR(__xludf.DUMMYFUNCTION("""COMPUTED_VALUE"""),1967.7)</f>
        <v/>
      </c>
    </row>
    <row r="1062">
      <c r="B1062" s="6">
        <f>C1062&amp;D1062</f>
        <v/>
      </c>
      <c r="C1062" s="6">
        <f>YEAR(E1062)</f>
        <v/>
      </c>
      <c r="D1062" s="6">
        <f>MONTH(E1062)</f>
        <v/>
      </c>
      <c r="E1062" s="267">
        <f>IFERROR(__xludf.DUMMYFUNCTION("""COMPUTED_VALUE"""),44637.6666666666)</f>
        <v/>
      </c>
      <c r="F1062" s="6">
        <f>IFERROR(__xludf.DUMMYFUNCTION("""COMPUTED_VALUE"""),4411.67)</f>
        <v/>
      </c>
      <c r="J1062" s="6">
        <f>K1062&amp;L1062</f>
        <v/>
      </c>
      <c r="K1062" s="6">
        <f>YEAR(M1062)</f>
        <v/>
      </c>
      <c r="L1062" s="6">
        <f>MONTH(M1062)</f>
        <v/>
      </c>
      <c r="M1062" s="267">
        <f>IFERROR(__xludf.DUMMYFUNCTION("""COMPUTED_VALUE"""),44630.6666666666)</f>
        <v/>
      </c>
      <c r="N1062" s="6">
        <f>IFERROR(__xludf.DUMMYFUNCTION("""COMPUTED_VALUE"""),13129.96)</f>
        <v/>
      </c>
      <c r="R1062" s="6">
        <f>S1062&amp;T1062</f>
        <v/>
      </c>
      <c r="S1062" s="6">
        <f>YEAR(U1062)</f>
        <v/>
      </c>
      <c r="T1062" s="6">
        <f>MONTH(U1062)</f>
        <v/>
      </c>
      <c r="U1062" s="267">
        <f>IFERROR(__xludf.DUMMYFUNCTION("""COMPUTED_VALUE"""),44678.6458333333)</f>
        <v/>
      </c>
      <c r="V1062" s="6">
        <f>IFERROR(__xludf.DUMMYFUNCTION("""COMPUTED_VALUE"""),2639.06)</f>
        <v/>
      </c>
      <c r="Z1062" s="6">
        <f>AA1062&amp;AB1062</f>
        <v/>
      </c>
      <c r="AA1062" s="6">
        <f>YEAR(AC1062)</f>
        <v/>
      </c>
      <c r="AB1062" s="6">
        <f>MONTH(AC1062)</f>
        <v/>
      </c>
      <c r="AC1062" s="267">
        <f>IFERROR(__xludf.DUMMYFUNCTION("""COMPUTED_VALUE"""),44205.9986111111)</f>
        <v/>
      </c>
      <c r="AD1062" s="6">
        <f>IFERROR(__xludf.DUMMYFUNCTION("""COMPUTED_VALUE"""),1092.82)</f>
        <v/>
      </c>
      <c r="AH1062" s="6">
        <f>AI1062&amp;AJ1062</f>
        <v/>
      </c>
      <c r="AI1062" s="6">
        <f>YEAR(AK1062)</f>
        <v/>
      </c>
      <c r="AJ1062" s="6">
        <f>MONTH(AK1062)</f>
        <v/>
      </c>
      <c r="AK1062" s="267">
        <f>IFERROR(__xludf.DUMMYFUNCTION("""COMPUTED_VALUE"""),44155.9986111111)</f>
        <v/>
      </c>
      <c r="AL1062" s="6">
        <f>IFERROR(__xludf.DUMMYFUNCTION("""COMPUTED_VALUE"""),18669.68)</f>
        <v/>
      </c>
      <c r="AP1062" s="6">
        <f>AQ1062&amp;AR1062</f>
        <v/>
      </c>
      <c r="AQ1062" s="6">
        <f>YEAR(AS1062)</f>
        <v/>
      </c>
      <c r="AR1062" s="6">
        <f>MONTH(AS1062)</f>
        <v/>
      </c>
      <c r="AS1062" s="267">
        <f>IFERROR(__xludf.DUMMYFUNCTION("""COMPUTED_VALUE"""),44645.9986111111)</f>
        <v/>
      </c>
      <c r="AT1062" s="6">
        <f>IFERROR(__xludf.DUMMYFUNCTION("""COMPUTED_VALUE"""),1959.8)</f>
        <v/>
      </c>
    </row>
    <row r="1063">
      <c r="B1063" s="6">
        <f>C1063&amp;D1063</f>
        <v/>
      </c>
      <c r="C1063" s="6">
        <f>YEAR(E1063)</f>
        <v/>
      </c>
      <c r="D1063" s="6">
        <f>MONTH(E1063)</f>
        <v/>
      </c>
      <c r="E1063" s="267">
        <f>IFERROR(__xludf.DUMMYFUNCTION("""COMPUTED_VALUE"""),44638.6666666666)</f>
        <v/>
      </c>
      <c r="F1063" s="6">
        <f>IFERROR(__xludf.DUMMYFUNCTION("""COMPUTED_VALUE"""),4463.12)</f>
        <v/>
      </c>
      <c r="J1063" s="6">
        <f>K1063&amp;L1063</f>
        <v/>
      </c>
      <c r="K1063" s="6">
        <f>YEAR(M1063)</f>
        <v/>
      </c>
      <c r="L1063" s="6">
        <f>MONTH(M1063)</f>
        <v/>
      </c>
      <c r="M1063" s="267">
        <f>IFERROR(__xludf.DUMMYFUNCTION("""COMPUTED_VALUE"""),44631.6666666666)</f>
        <v/>
      </c>
      <c r="N1063" s="6">
        <f>IFERROR(__xludf.DUMMYFUNCTION("""COMPUTED_VALUE"""),12843.81)</f>
        <v/>
      </c>
      <c r="R1063" s="6">
        <f>S1063&amp;T1063</f>
        <v/>
      </c>
      <c r="S1063" s="6">
        <f>YEAR(U1063)</f>
        <v/>
      </c>
      <c r="T1063" s="6">
        <f>MONTH(U1063)</f>
        <v/>
      </c>
      <c r="U1063" s="267">
        <f>IFERROR(__xludf.DUMMYFUNCTION("""COMPUTED_VALUE"""),44679.6458333333)</f>
        <v/>
      </c>
      <c r="V1063" s="6">
        <f>IFERROR(__xludf.DUMMYFUNCTION("""COMPUTED_VALUE"""),2667.49)</f>
        <v/>
      </c>
      <c r="Z1063" s="6">
        <f>AA1063&amp;AB1063</f>
        <v/>
      </c>
      <c r="AA1063" s="6">
        <f>YEAR(AC1063)</f>
        <v/>
      </c>
      <c r="AB1063" s="6">
        <f>MONTH(AC1063)</f>
        <v/>
      </c>
      <c r="AC1063" s="267">
        <f>IFERROR(__xludf.DUMMYFUNCTION("""COMPUTED_VALUE"""),44206.9986111111)</f>
        <v/>
      </c>
      <c r="AD1063" s="6">
        <f>IFERROR(__xludf.DUMMYFUNCTION("""COMPUTED_VALUE"""),1092.82)</f>
        <v/>
      </c>
      <c r="AH1063" s="6">
        <f>AI1063&amp;AJ1063</f>
        <v/>
      </c>
      <c r="AI1063" s="6">
        <f>YEAR(AK1063)</f>
        <v/>
      </c>
      <c r="AJ1063" s="6">
        <f>MONTH(AK1063)</f>
        <v/>
      </c>
      <c r="AK1063" s="267">
        <f>IFERROR(__xludf.DUMMYFUNCTION("""COMPUTED_VALUE"""),44156.9986111111)</f>
        <v/>
      </c>
      <c r="AL1063" s="6">
        <f>IFERROR(__xludf.DUMMYFUNCTION("""COMPUTED_VALUE"""),18697.88)</f>
        <v/>
      </c>
      <c r="AP1063" s="6">
        <f>AQ1063&amp;AR1063</f>
        <v/>
      </c>
      <c r="AQ1063" s="6">
        <f>YEAR(AS1063)</f>
        <v/>
      </c>
      <c r="AR1063" s="6">
        <f>MONTH(AS1063)</f>
        <v/>
      </c>
      <c r="AS1063" s="267">
        <f>IFERROR(__xludf.DUMMYFUNCTION("""COMPUTED_VALUE"""),44648.9986111111)</f>
        <v/>
      </c>
      <c r="AT1063" s="6">
        <f>IFERROR(__xludf.DUMMYFUNCTION("""COMPUTED_VALUE"""),1944.7)</f>
        <v/>
      </c>
    </row>
    <row r="1064">
      <c r="B1064" s="6">
        <f>C1064&amp;D1064</f>
        <v/>
      </c>
      <c r="C1064" s="6">
        <f>YEAR(E1064)</f>
        <v/>
      </c>
      <c r="D1064" s="6">
        <f>MONTH(E1064)</f>
        <v/>
      </c>
      <c r="E1064" s="267">
        <f>IFERROR(__xludf.DUMMYFUNCTION("""COMPUTED_VALUE"""),44641.6666666666)</f>
        <v/>
      </c>
      <c r="F1064" s="6">
        <f>IFERROR(__xludf.DUMMYFUNCTION("""COMPUTED_VALUE"""),4461.18)</f>
        <v/>
      </c>
      <c r="J1064" s="6">
        <f>K1064&amp;L1064</f>
        <v/>
      </c>
      <c r="K1064" s="6">
        <f>YEAR(M1064)</f>
        <v/>
      </c>
      <c r="L1064" s="6">
        <f>MONTH(M1064)</f>
        <v/>
      </c>
      <c r="M1064" s="267">
        <f>IFERROR(__xludf.DUMMYFUNCTION("""COMPUTED_VALUE"""),44634.6666666666)</f>
        <v/>
      </c>
      <c r="N1064" s="6">
        <f>IFERROR(__xludf.DUMMYFUNCTION("""COMPUTED_VALUE"""),12581.22)</f>
        <v/>
      </c>
      <c r="R1064" s="6">
        <f>S1064&amp;T1064</f>
        <v/>
      </c>
      <c r="S1064" s="6">
        <f>YEAR(U1064)</f>
        <v/>
      </c>
      <c r="T1064" s="6">
        <f>MONTH(U1064)</f>
        <v/>
      </c>
      <c r="U1064" s="267">
        <f>IFERROR(__xludf.DUMMYFUNCTION("""COMPUTED_VALUE"""),44680.6458333333)</f>
        <v/>
      </c>
      <c r="V1064" s="6">
        <f>IFERROR(__xludf.DUMMYFUNCTION("""COMPUTED_VALUE"""),2695.05)</f>
        <v/>
      </c>
      <c r="Z1064" s="6">
        <f>AA1064&amp;AB1064</f>
        <v/>
      </c>
      <c r="AA1064" s="6">
        <f>YEAR(AC1064)</f>
        <v/>
      </c>
      <c r="AB1064" s="6">
        <f>MONTH(AC1064)</f>
        <v/>
      </c>
      <c r="AC1064" s="267">
        <f>IFERROR(__xludf.DUMMYFUNCTION("""COMPUTED_VALUE"""),44207.9986111111)</f>
        <v/>
      </c>
      <c r="AD1064" s="6">
        <f>IFERROR(__xludf.DUMMYFUNCTION("""COMPUTED_VALUE"""),1096.45)</f>
        <v/>
      </c>
      <c r="AH1064" s="6">
        <f>AI1064&amp;AJ1064</f>
        <v/>
      </c>
      <c r="AI1064" s="6">
        <f>YEAR(AK1064)</f>
        <v/>
      </c>
      <c r="AJ1064" s="6">
        <f>MONTH(AK1064)</f>
        <v/>
      </c>
      <c r="AK1064" s="267">
        <f>IFERROR(__xludf.DUMMYFUNCTION("""COMPUTED_VALUE"""),44157.9986111111)</f>
        <v/>
      </c>
      <c r="AL1064" s="6">
        <f>IFERROR(__xludf.DUMMYFUNCTION("""COMPUTED_VALUE"""),18428.38)</f>
        <v/>
      </c>
      <c r="AP1064" s="6">
        <f>AQ1064&amp;AR1064</f>
        <v/>
      </c>
      <c r="AQ1064" s="6">
        <f>YEAR(AS1064)</f>
        <v/>
      </c>
      <c r="AR1064" s="6">
        <f>MONTH(AS1064)</f>
        <v/>
      </c>
      <c r="AS1064" s="267">
        <f>IFERROR(__xludf.DUMMYFUNCTION("""COMPUTED_VALUE"""),44649.9986111111)</f>
        <v/>
      </c>
      <c r="AT1064" s="6">
        <f>IFERROR(__xludf.DUMMYFUNCTION("""COMPUTED_VALUE"""),1918)</f>
        <v/>
      </c>
    </row>
    <row r="1065">
      <c r="B1065" s="6">
        <f>C1065&amp;D1065</f>
        <v/>
      </c>
      <c r="C1065" s="6">
        <f>YEAR(E1065)</f>
        <v/>
      </c>
      <c r="D1065" s="6">
        <f>MONTH(E1065)</f>
        <v/>
      </c>
      <c r="E1065" s="267">
        <f>IFERROR(__xludf.DUMMYFUNCTION("""COMPUTED_VALUE"""),44642.6666666666)</f>
        <v/>
      </c>
      <c r="F1065" s="6">
        <f>IFERROR(__xludf.DUMMYFUNCTION("""COMPUTED_VALUE"""),4511.61)</f>
        <v/>
      </c>
      <c r="J1065" s="6">
        <f>K1065&amp;L1065</f>
        <v/>
      </c>
      <c r="K1065" s="6">
        <f>YEAR(M1065)</f>
        <v/>
      </c>
      <c r="L1065" s="6">
        <f>MONTH(M1065)</f>
        <v/>
      </c>
      <c r="M1065" s="267">
        <f>IFERROR(__xludf.DUMMYFUNCTION("""COMPUTED_VALUE"""),44635.6666666666)</f>
        <v/>
      </c>
      <c r="N1065" s="6">
        <f>IFERROR(__xludf.DUMMYFUNCTION("""COMPUTED_VALUE"""),12948.62)</f>
        <v/>
      </c>
      <c r="R1065" s="6">
        <f>S1065&amp;T1065</f>
        <v/>
      </c>
      <c r="S1065" s="6">
        <f>YEAR(U1065)</f>
        <v/>
      </c>
      <c r="T1065" s="6">
        <f>MONTH(U1065)</f>
        <v/>
      </c>
      <c r="U1065" s="267">
        <f>IFERROR(__xludf.DUMMYFUNCTION("""COMPUTED_VALUE"""),44683.6458333333)</f>
        <v/>
      </c>
      <c r="V1065" s="6">
        <f>IFERROR(__xludf.DUMMYFUNCTION("""COMPUTED_VALUE"""),2687.45)</f>
        <v/>
      </c>
      <c r="Z1065" s="6">
        <f>AA1065&amp;AB1065</f>
        <v/>
      </c>
      <c r="AA1065" s="6">
        <f>YEAR(AC1065)</f>
        <v/>
      </c>
      <c r="AB1065" s="6">
        <f>MONTH(AC1065)</f>
        <v/>
      </c>
      <c r="AC1065" s="267">
        <f>IFERROR(__xludf.DUMMYFUNCTION("""COMPUTED_VALUE"""),44208.9986111111)</f>
        <v/>
      </c>
      <c r="AD1065" s="6">
        <f>IFERROR(__xludf.DUMMYFUNCTION("""COMPUTED_VALUE"""),1093.54)</f>
        <v/>
      </c>
      <c r="AH1065" s="6">
        <f>AI1065&amp;AJ1065</f>
        <v/>
      </c>
      <c r="AI1065" s="6">
        <f>YEAR(AK1065)</f>
        <v/>
      </c>
      <c r="AJ1065" s="6">
        <f>MONTH(AK1065)</f>
        <v/>
      </c>
      <c r="AK1065" s="267">
        <f>IFERROR(__xludf.DUMMYFUNCTION("""COMPUTED_VALUE"""),44158.9986111111)</f>
        <v/>
      </c>
      <c r="AL1065" s="6">
        <f>IFERROR(__xludf.DUMMYFUNCTION("""COMPUTED_VALUE"""),18375.57)</f>
        <v/>
      </c>
      <c r="AP1065" s="6">
        <f>AQ1065&amp;AR1065</f>
        <v/>
      </c>
      <c r="AQ1065" s="6">
        <f>YEAR(AS1065)</f>
        <v/>
      </c>
      <c r="AR1065" s="6">
        <f>MONTH(AS1065)</f>
        <v/>
      </c>
      <c r="AS1065" s="267">
        <f>IFERROR(__xludf.DUMMYFUNCTION("""COMPUTED_VALUE"""),44650.9986111111)</f>
        <v/>
      </c>
      <c r="AT1065" s="6">
        <f>IFERROR(__xludf.DUMMYFUNCTION("""COMPUTED_VALUE"""),1939)</f>
        <v/>
      </c>
    </row>
    <row r="1066">
      <c r="B1066" s="6">
        <f>C1066&amp;D1066</f>
        <v/>
      </c>
      <c r="C1066" s="6">
        <f>YEAR(E1066)</f>
        <v/>
      </c>
      <c r="D1066" s="6">
        <f>MONTH(E1066)</f>
        <v/>
      </c>
      <c r="E1066" s="267">
        <f>IFERROR(__xludf.DUMMYFUNCTION("""COMPUTED_VALUE"""),44643.6666666666)</f>
        <v/>
      </c>
      <c r="F1066" s="6">
        <f>IFERROR(__xludf.DUMMYFUNCTION("""COMPUTED_VALUE"""),4456.24)</f>
        <v/>
      </c>
      <c r="J1066" s="6">
        <f>K1066&amp;L1066</f>
        <v/>
      </c>
      <c r="K1066" s="6">
        <f>YEAR(M1066)</f>
        <v/>
      </c>
      <c r="L1066" s="6">
        <f>MONTH(M1066)</f>
        <v/>
      </c>
      <c r="M1066" s="267">
        <f>IFERROR(__xludf.DUMMYFUNCTION("""COMPUTED_VALUE"""),44636.6666666666)</f>
        <v/>
      </c>
      <c r="N1066" s="6">
        <f>IFERROR(__xludf.DUMMYFUNCTION("""COMPUTED_VALUE"""),13436.55)</f>
        <v/>
      </c>
      <c r="R1066" s="6">
        <f>S1066&amp;T1066</f>
        <v/>
      </c>
      <c r="S1066" s="6">
        <f>YEAR(U1066)</f>
        <v/>
      </c>
      <c r="T1066" s="6">
        <f>MONTH(U1066)</f>
        <v/>
      </c>
      <c r="U1066" s="267">
        <f>IFERROR(__xludf.DUMMYFUNCTION("""COMPUTED_VALUE"""),44684.6458333333)</f>
        <v/>
      </c>
      <c r="V1066" s="6">
        <f>IFERROR(__xludf.DUMMYFUNCTION("""COMPUTED_VALUE"""),2680.46)</f>
        <v/>
      </c>
      <c r="Z1066" s="6">
        <f>AA1066&amp;AB1066</f>
        <v/>
      </c>
      <c r="AA1066" s="6">
        <f>YEAR(AC1066)</f>
        <v/>
      </c>
      <c r="AB1066" s="6">
        <f>MONTH(AC1066)</f>
        <v/>
      </c>
      <c r="AC1066" s="267">
        <f>IFERROR(__xludf.DUMMYFUNCTION("""COMPUTED_VALUE"""),44209.9986111111)</f>
        <v/>
      </c>
      <c r="AD1066" s="6">
        <f>IFERROR(__xludf.DUMMYFUNCTION("""COMPUTED_VALUE"""),1097.11)</f>
        <v/>
      </c>
      <c r="AH1066" s="6">
        <f>AI1066&amp;AJ1066</f>
        <v/>
      </c>
      <c r="AI1066" s="6">
        <f>YEAR(AK1066)</f>
        <v/>
      </c>
      <c r="AJ1066" s="6">
        <f>MONTH(AK1066)</f>
        <v/>
      </c>
      <c r="AK1066" s="267">
        <f>IFERROR(__xludf.DUMMYFUNCTION("""COMPUTED_VALUE"""),44159.9986111111)</f>
        <v/>
      </c>
      <c r="AL1066" s="6">
        <f>IFERROR(__xludf.DUMMYFUNCTION("""COMPUTED_VALUE"""),19146.67)</f>
        <v/>
      </c>
      <c r="AP1066" s="6">
        <f>AQ1066&amp;AR1066</f>
        <v/>
      </c>
      <c r="AQ1066" s="6">
        <f>YEAR(AS1066)</f>
        <v/>
      </c>
      <c r="AR1066" s="6">
        <f>MONTH(AS1066)</f>
        <v/>
      </c>
      <c r="AS1066" s="267">
        <f>IFERROR(__xludf.DUMMYFUNCTION("""COMPUTED_VALUE"""),44651.9986111111)</f>
        <v/>
      </c>
      <c r="AT1066" s="6">
        <f>IFERROR(__xludf.DUMMYFUNCTION("""COMPUTED_VALUE"""),1954)</f>
        <v/>
      </c>
    </row>
    <row r="1067">
      <c r="B1067" s="6">
        <f>C1067&amp;D1067</f>
        <v/>
      </c>
      <c r="C1067" s="6">
        <f>YEAR(E1067)</f>
        <v/>
      </c>
      <c r="D1067" s="6">
        <f>MONTH(E1067)</f>
        <v/>
      </c>
      <c r="E1067" s="267">
        <f>IFERROR(__xludf.DUMMYFUNCTION("""COMPUTED_VALUE"""),44644.6666666666)</f>
        <v/>
      </c>
      <c r="F1067" s="6">
        <f>IFERROR(__xludf.DUMMYFUNCTION("""COMPUTED_VALUE"""),4520.16)</f>
        <v/>
      </c>
      <c r="J1067" s="6">
        <f>K1067&amp;L1067</f>
        <v/>
      </c>
      <c r="K1067" s="6">
        <f>YEAR(M1067)</f>
        <v/>
      </c>
      <c r="L1067" s="6">
        <f>MONTH(M1067)</f>
        <v/>
      </c>
      <c r="M1067" s="267">
        <f>IFERROR(__xludf.DUMMYFUNCTION("""COMPUTED_VALUE"""),44637.6666666666)</f>
        <v/>
      </c>
      <c r="N1067" s="6">
        <f>IFERROR(__xludf.DUMMYFUNCTION("""COMPUTED_VALUE"""),13614.78)</f>
        <v/>
      </c>
      <c r="R1067" s="6">
        <f>S1067&amp;T1067</f>
        <v/>
      </c>
      <c r="S1067" s="6">
        <f>YEAR(U1067)</f>
        <v/>
      </c>
      <c r="T1067" s="6">
        <f>MONTH(U1067)</f>
        <v/>
      </c>
      <c r="U1067" s="267">
        <f>IFERROR(__xludf.DUMMYFUNCTION("""COMPUTED_VALUE"""),44685.6458333333)</f>
        <v/>
      </c>
      <c r="V1067" s="6">
        <f>IFERROR(__xludf.DUMMYFUNCTION("""COMPUTED_VALUE"""),2677.57)</f>
        <v/>
      </c>
      <c r="Z1067" s="6">
        <f>AA1067&amp;AB1067</f>
        <v/>
      </c>
      <c r="AA1067" s="6">
        <f>YEAR(AC1067)</f>
        <v/>
      </c>
      <c r="AB1067" s="6">
        <f>MONTH(AC1067)</f>
        <v/>
      </c>
      <c r="AC1067" s="267">
        <f>IFERROR(__xludf.DUMMYFUNCTION("""COMPUTED_VALUE"""),44210.9986111111)</f>
        <v/>
      </c>
      <c r="AD1067" s="6">
        <f>IFERROR(__xludf.DUMMYFUNCTION("""COMPUTED_VALUE"""),1094.9)</f>
        <v/>
      </c>
      <c r="AH1067" s="6">
        <f>AI1067&amp;AJ1067</f>
        <v/>
      </c>
      <c r="AI1067" s="6">
        <f>YEAR(AK1067)</f>
        <v/>
      </c>
      <c r="AJ1067" s="6">
        <f>MONTH(AK1067)</f>
        <v/>
      </c>
      <c r="AK1067" s="267">
        <f>IFERROR(__xludf.DUMMYFUNCTION("""COMPUTED_VALUE"""),44160.9986111111)</f>
        <v/>
      </c>
      <c r="AL1067" s="6">
        <f>IFERROR(__xludf.DUMMYFUNCTION("""COMPUTED_VALUE"""),18724.2)</f>
        <v/>
      </c>
      <c r="AP1067" s="6">
        <f>AQ1067&amp;AR1067</f>
        <v/>
      </c>
      <c r="AQ1067" s="6">
        <f>YEAR(AS1067)</f>
        <v/>
      </c>
      <c r="AR1067" s="6">
        <f>MONTH(AS1067)</f>
        <v/>
      </c>
      <c r="AS1067" s="267">
        <f>IFERROR(__xludf.DUMMYFUNCTION("""COMPUTED_VALUE"""),44652.9986111111)</f>
        <v/>
      </c>
      <c r="AT1067" s="6">
        <f>IFERROR(__xludf.DUMMYFUNCTION("""COMPUTED_VALUE"""),1923.7)</f>
        <v/>
      </c>
    </row>
    <row r="1068">
      <c r="B1068" s="6">
        <f>C1068&amp;D1068</f>
        <v/>
      </c>
      <c r="C1068" s="6">
        <f>YEAR(E1068)</f>
        <v/>
      </c>
      <c r="D1068" s="6">
        <f>MONTH(E1068)</f>
        <v/>
      </c>
      <c r="E1068" s="267">
        <f>IFERROR(__xludf.DUMMYFUNCTION("""COMPUTED_VALUE"""),44645.6666666666)</f>
        <v/>
      </c>
      <c r="F1068" s="6">
        <f>IFERROR(__xludf.DUMMYFUNCTION("""COMPUTED_VALUE"""),4543.06)</f>
        <v/>
      </c>
      <c r="J1068" s="6">
        <f>K1068&amp;L1068</f>
        <v/>
      </c>
      <c r="K1068" s="6">
        <f>YEAR(M1068)</f>
        <v/>
      </c>
      <c r="L1068" s="6">
        <f>MONTH(M1068)</f>
        <v/>
      </c>
      <c r="M1068" s="267">
        <f>IFERROR(__xludf.DUMMYFUNCTION("""COMPUTED_VALUE"""),44638.6666666666)</f>
        <v/>
      </c>
      <c r="N1068" s="6">
        <f>IFERROR(__xludf.DUMMYFUNCTION("""COMPUTED_VALUE"""),13893.84)</f>
        <v/>
      </c>
      <c r="R1068" s="6">
        <f>S1068&amp;T1068</f>
        <v/>
      </c>
      <c r="S1068" s="6">
        <f>YEAR(U1068)</f>
        <v/>
      </c>
      <c r="T1068" s="6">
        <f>MONTH(U1068)</f>
        <v/>
      </c>
      <c r="U1068" s="267">
        <f>IFERROR(__xludf.DUMMYFUNCTION("""COMPUTED_VALUE"""),44687.6458333333)</f>
        <v/>
      </c>
      <c r="V1068" s="6">
        <f>IFERROR(__xludf.DUMMYFUNCTION("""COMPUTED_VALUE"""),2644.51)</f>
        <v/>
      </c>
      <c r="Z1068" s="6">
        <f>AA1068&amp;AB1068</f>
        <v/>
      </c>
      <c r="AA1068" s="6">
        <f>YEAR(AC1068)</f>
        <v/>
      </c>
      <c r="AB1068" s="6">
        <f>MONTH(AC1068)</f>
        <v/>
      </c>
      <c r="AC1068" s="267">
        <f>IFERROR(__xludf.DUMMYFUNCTION("""COMPUTED_VALUE"""),44211.9986111111)</f>
        <v/>
      </c>
      <c r="AD1068" s="6">
        <f>IFERROR(__xludf.DUMMYFUNCTION("""COMPUTED_VALUE"""),1103.36)</f>
        <v/>
      </c>
      <c r="AH1068" s="6">
        <f>AI1068&amp;AJ1068</f>
        <v/>
      </c>
      <c r="AI1068" s="6">
        <f>YEAR(AK1068)</f>
        <v/>
      </c>
      <c r="AJ1068" s="6">
        <f>MONTH(AK1068)</f>
        <v/>
      </c>
      <c r="AK1068" s="267">
        <f>IFERROR(__xludf.DUMMYFUNCTION("""COMPUTED_VALUE"""),44161.9986111111)</f>
        <v/>
      </c>
      <c r="AL1068" s="6">
        <f>IFERROR(__xludf.DUMMYFUNCTION("""COMPUTED_VALUE"""),17165.51)</f>
        <v/>
      </c>
      <c r="AP1068" s="6">
        <f>AQ1068&amp;AR1068</f>
        <v/>
      </c>
      <c r="AQ1068" s="6">
        <f>YEAR(AS1068)</f>
        <v/>
      </c>
      <c r="AR1068" s="6">
        <f>MONTH(AS1068)</f>
        <v/>
      </c>
      <c r="AS1068" s="267">
        <f>IFERROR(__xludf.DUMMYFUNCTION("""COMPUTED_VALUE"""),44655.9986111111)</f>
        <v/>
      </c>
      <c r="AT1068" s="6">
        <f>IFERROR(__xludf.DUMMYFUNCTION("""COMPUTED_VALUE"""),1934)</f>
        <v/>
      </c>
    </row>
    <row r="1069">
      <c r="B1069" s="6">
        <f>C1069&amp;D1069</f>
        <v/>
      </c>
      <c r="C1069" s="6">
        <f>YEAR(E1069)</f>
        <v/>
      </c>
      <c r="D1069" s="6">
        <f>MONTH(E1069)</f>
        <v/>
      </c>
      <c r="E1069" s="267">
        <f>IFERROR(__xludf.DUMMYFUNCTION("""COMPUTED_VALUE"""),44648.6666666666)</f>
        <v/>
      </c>
      <c r="F1069" s="6">
        <f>IFERROR(__xludf.DUMMYFUNCTION("""COMPUTED_VALUE"""),4575.52)</f>
        <v/>
      </c>
      <c r="J1069" s="6">
        <f>K1069&amp;L1069</f>
        <v/>
      </c>
      <c r="K1069" s="6">
        <f>YEAR(M1069)</f>
        <v/>
      </c>
      <c r="L1069" s="6">
        <f>MONTH(M1069)</f>
        <v/>
      </c>
      <c r="M1069" s="267">
        <f>IFERROR(__xludf.DUMMYFUNCTION("""COMPUTED_VALUE"""),44641.6666666666)</f>
        <v/>
      </c>
      <c r="N1069" s="6">
        <f>IFERROR(__xludf.DUMMYFUNCTION("""COMPUTED_VALUE"""),13838.46)</f>
        <v/>
      </c>
      <c r="R1069" s="6">
        <f>S1069&amp;T1069</f>
        <v/>
      </c>
      <c r="S1069" s="6">
        <f>YEAR(U1069)</f>
        <v/>
      </c>
      <c r="T1069" s="6">
        <f>MONTH(U1069)</f>
        <v/>
      </c>
      <c r="U1069" s="267">
        <f>IFERROR(__xludf.DUMMYFUNCTION("""COMPUTED_VALUE"""),44690.6458333333)</f>
        <v/>
      </c>
      <c r="V1069" s="6">
        <f>IFERROR(__xludf.DUMMYFUNCTION("""COMPUTED_VALUE"""),2610.81)</f>
        <v/>
      </c>
      <c r="Z1069" s="6">
        <f>AA1069&amp;AB1069</f>
        <v/>
      </c>
      <c r="AA1069" s="6">
        <f>YEAR(AC1069)</f>
        <v/>
      </c>
      <c r="AB1069" s="6">
        <f>MONTH(AC1069)</f>
        <v/>
      </c>
      <c r="AC1069" s="267">
        <f>IFERROR(__xludf.DUMMYFUNCTION("""COMPUTED_VALUE"""),44212.9986111111)</f>
        <v/>
      </c>
      <c r="AD1069" s="6">
        <f>IFERROR(__xludf.DUMMYFUNCTION("""COMPUTED_VALUE"""),1102.96)</f>
        <v/>
      </c>
      <c r="AH1069" s="6">
        <f>AI1069&amp;AJ1069</f>
        <v/>
      </c>
      <c r="AI1069" s="6">
        <f>YEAR(AK1069)</f>
        <v/>
      </c>
      <c r="AJ1069" s="6">
        <f>MONTH(AK1069)</f>
        <v/>
      </c>
      <c r="AK1069" s="267">
        <f>IFERROR(__xludf.DUMMYFUNCTION("""COMPUTED_VALUE"""),44162.9986111111)</f>
        <v/>
      </c>
      <c r="AL1069" s="6">
        <f>IFERROR(__xludf.DUMMYFUNCTION("""COMPUTED_VALUE"""),17140.12)</f>
        <v/>
      </c>
      <c r="AP1069" s="6">
        <f>AQ1069&amp;AR1069</f>
        <v/>
      </c>
      <c r="AQ1069" s="6">
        <f>YEAR(AS1069)</f>
        <v/>
      </c>
      <c r="AR1069" s="6">
        <f>MONTH(AS1069)</f>
        <v/>
      </c>
      <c r="AS1069" s="267">
        <f>IFERROR(__xludf.DUMMYFUNCTION("""COMPUTED_VALUE"""),44656.9986111111)</f>
        <v/>
      </c>
      <c r="AT1069" s="6">
        <f>IFERROR(__xludf.DUMMYFUNCTION("""COMPUTED_VALUE"""),1927.5)</f>
        <v/>
      </c>
    </row>
    <row r="1070">
      <c r="B1070" s="6">
        <f>C1070&amp;D1070</f>
        <v/>
      </c>
      <c r="C1070" s="6">
        <f>YEAR(E1070)</f>
        <v/>
      </c>
      <c r="D1070" s="6">
        <f>MONTH(E1070)</f>
        <v/>
      </c>
      <c r="E1070" s="267">
        <f>IFERROR(__xludf.DUMMYFUNCTION("""COMPUTED_VALUE"""),44649.6666666666)</f>
        <v/>
      </c>
      <c r="F1070" s="6">
        <f>IFERROR(__xludf.DUMMYFUNCTION("""COMPUTED_VALUE"""),4631.6)</f>
        <v/>
      </c>
      <c r="J1070" s="6">
        <f>K1070&amp;L1070</f>
        <v/>
      </c>
      <c r="K1070" s="6">
        <f>YEAR(M1070)</f>
        <v/>
      </c>
      <c r="L1070" s="6">
        <f>MONTH(M1070)</f>
        <v/>
      </c>
      <c r="M1070" s="267">
        <f>IFERROR(__xludf.DUMMYFUNCTION("""COMPUTED_VALUE"""),44642.6666666666)</f>
        <v/>
      </c>
      <c r="N1070" s="6">
        <f>IFERROR(__xludf.DUMMYFUNCTION("""COMPUTED_VALUE"""),14108.82)</f>
        <v/>
      </c>
      <c r="R1070" s="6">
        <f>S1070&amp;T1070</f>
        <v/>
      </c>
      <c r="S1070" s="6">
        <f>YEAR(U1070)</f>
        <v/>
      </c>
      <c r="T1070" s="6">
        <f>MONTH(U1070)</f>
        <v/>
      </c>
      <c r="U1070" s="267">
        <f>IFERROR(__xludf.DUMMYFUNCTION("""COMPUTED_VALUE"""),44691.6458333333)</f>
        <v/>
      </c>
      <c r="V1070" s="6">
        <f>IFERROR(__xludf.DUMMYFUNCTION("""COMPUTED_VALUE"""),2596.56)</f>
        <v/>
      </c>
      <c r="Z1070" s="6">
        <f>AA1070&amp;AB1070</f>
        <v/>
      </c>
      <c r="AA1070" s="6">
        <f>YEAR(AC1070)</f>
        <v/>
      </c>
      <c r="AB1070" s="6">
        <f>MONTH(AC1070)</f>
        <v/>
      </c>
      <c r="AC1070" s="267">
        <f>IFERROR(__xludf.DUMMYFUNCTION("""COMPUTED_VALUE"""),44213.9986111111)</f>
        <v/>
      </c>
      <c r="AD1070" s="6">
        <f>IFERROR(__xludf.DUMMYFUNCTION("""COMPUTED_VALUE"""),1102.96)</f>
        <v/>
      </c>
      <c r="AH1070" s="6">
        <f>AI1070&amp;AJ1070</f>
        <v/>
      </c>
      <c r="AI1070" s="6">
        <f>YEAR(AK1070)</f>
        <v/>
      </c>
      <c r="AJ1070" s="6">
        <f>MONTH(AK1070)</f>
        <v/>
      </c>
      <c r="AK1070" s="267">
        <f>IFERROR(__xludf.DUMMYFUNCTION("""COMPUTED_VALUE"""),44163.9986111111)</f>
        <v/>
      </c>
      <c r="AL1070" s="6">
        <f>IFERROR(__xludf.DUMMYFUNCTION("""COMPUTED_VALUE"""),17734.38)</f>
        <v/>
      </c>
      <c r="AP1070" s="6">
        <f>AQ1070&amp;AR1070</f>
        <v/>
      </c>
      <c r="AQ1070" s="6">
        <f>YEAR(AS1070)</f>
        <v/>
      </c>
      <c r="AR1070" s="6">
        <f>MONTH(AS1070)</f>
        <v/>
      </c>
      <c r="AS1070" s="267">
        <f>IFERROR(__xludf.DUMMYFUNCTION("""COMPUTED_VALUE"""),44657.9986111111)</f>
        <v/>
      </c>
      <c r="AT1070" s="6">
        <f>IFERROR(__xludf.DUMMYFUNCTION("""COMPUTED_VALUE"""),1923.1)</f>
        <v/>
      </c>
    </row>
    <row r="1071">
      <c r="B1071" s="6">
        <f>C1071&amp;D1071</f>
        <v/>
      </c>
      <c r="C1071" s="6">
        <f>YEAR(E1071)</f>
        <v/>
      </c>
      <c r="D1071" s="6">
        <f>MONTH(E1071)</f>
        <v/>
      </c>
      <c r="E1071" s="267">
        <f>IFERROR(__xludf.DUMMYFUNCTION("""COMPUTED_VALUE"""),44650.6666666666)</f>
        <v/>
      </c>
      <c r="F1071" s="6">
        <f>IFERROR(__xludf.DUMMYFUNCTION("""COMPUTED_VALUE"""),4602.45)</f>
        <v/>
      </c>
      <c r="J1071" s="6">
        <f>K1071&amp;L1071</f>
        <v/>
      </c>
      <c r="K1071" s="6">
        <f>YEAR(M1071)</f>
        <v/>
      </c>
      <c r="L1071" s="6">
        <f>MONTH(M1071)</f>
        <v/>
      </c>
      <c r="M1071" s="267">
        <f>IFERROR(__xludf.DUMMYFUNCTION("""COMPUTED_VALUE"""),44643.6666666666)</f>
        <v/>
      </c>
      <c r="N1071" s="6">
        <f>IFERROR(__xludf.DUMMYFUNCTION("""COMPUTED_VALUE"""),13922.6)</f>
        <v/>
      </c>
      <c r="R1071" s="6">
        <f>S1071&amp;T1071</f>
        <v/>
      </c>
      <c r="S1071" s="6">
        <f>YEAR(U1071)</f>
        <v/>
      </c>
      <c r="T1071" s="6">
        <f>MONTH(U1071)</f>
        <v/>
      </c>
      <c r="U1071" s="267">
        <f>IFERROR(__xludf.DUMMYFUNCTION("""COMPUTED_VALUE"""),44692.6458333333)</f>
        <v/>
      </c>
      <c r="V1071" s="6">
        <f>IFERROR(__xludf.DUMMYFUNCTION("""COMPUTED_VALUE"""),2592.27)</f>
        <v/>
      </c>
      <c r="Z1071" s="6">
        <f>AA1071&amp;AB1071</f>
        <v/>
      </c>
      <c r="AA1071" s="6">
        <f>YEAR(AC1071)</f>
        <v/>
      </c>
      <c r="AB1071" s="6">
        <f>MONTH(AC1071)</f>
        <v/>
      </c>
      <c r="AC1071" s="267">
        <f>IFERROR(__xludf.DUMMYFUNCTION("""COMPUTED_VALUE"""),44214.9986111111)</f>
        <v/>
      </c>
      <c r="AD1071" s="6">
        <f>IFERROR(__xludf.DUMMYFUNCTION("""COMPUTED_VALUE"""),1103.1)</f>
        <v/>
      </c>
      <c r="AH1071" s="6">
        <f>AI1071&amp;AJ1071</f>
        <v/>
      </c>
      <c r="AI1071" s="6">
        <f>YEAR(AK1071)</f>
        <v/>
      </c>
      <c r="AJ1071" s="6">
        <f>MONTH(AK1071)</f>
        <v/>
      </c>
      <c r="AK1071" s="267">
        <f>IFERROR(__xludf.DUMMYFUNCTION("""COMPUTED_VALUE"""),44164.9986111111)</f>
        <v/>
      </c>
      <c r="AL1071" s="6">
        <f>IFERROR(__xludf.DUMMYFUNCTION("""COMPUTED_VALUE"""),18189.63)</f>
        <v/>
      </c>
      <c r="AP1071" s="6">
        <f>AQ1071&amp;AR1071</f>
        <v/>
      </c>
      <c r="AQ1071" s="6">
        <f>YEAR(AS1071)</f>
        <v/>
      </c>
      <c r="AR1071" s="6">
        <f>MONTH(AS1071)</f>
        <v/>
      </c>
      <c r="AS1071" s="267">
        <f>IFERROR(__xludf.DUMMYFUNCTION("""COMPUTED_VALUE"""),44658.9986111111)</f>
        <v/>
      </c>
      <c r="AT1071" s="6">
        <f>IFERROR(__xludf.DUMMYFUNCTION("""COMPUTED_VALUE"""),1937.8)</f>
        <v/>
      </c>
    </row>
    <row r="1072">
      <c r="B1072" s="6">
        <f>C1072&amp;D1072</f>
        <v/>
      </c>
      <c r="C1072" s="6">
        <f>YEAR(E1072)</f>
        <v/>
      </c>
      <c r="D1072" s="6">
        <f>MONTH(E1072)</f>
        <v/>
      </c>
      <c r="E1072" s="267">
        <f>IFERROR(__xludf.DUMMYFUNCTION("""COMPUTED_VALUE"""),44651.6666666666)</f>
        <v/>
      </c>
      <c r="F1072" s="6">
        <f>IFERROR(__xludf.DUMMYFUNCTION("""COMPUTED_VALUE"""),4530.41)</f>
        <v/>
      </c>
      <c r="J1072" s="6">
        <f>K1072&amp;L1072</f>
        <v/>
      </c>
      <c r="K1072" s="6">
        <f>YEAR(M1072)</f>
        <v/>
      </c>
      <c r="L1072" s="6">
        <f>MONTH(M1072)</f>
        <v/>
      </c>
      <c r="M1072" s="267">
        <f>IFERROR(__xludf.DUMMYFUNCTION("""COMPUTED_VALUE"""),44644.6666666666)</f>
        <v/>
      </c>
      <c r="N1072" s="6">
        <f>IFERROR(__xludf.DUMMYFUNCTION("""COMPUTED_VALUE"""),14191.84)</f>
        <v/>
      </c>
      <c r="R1072" s="6">
        <f>S1072&amp;T1072</f>
        <v/>
      </c>
      <c r="S1072" s="6">
        <f>YEAR(U1072)</f>
        <v/>
      </c>
      <c r="T1072" s="6">
        <f>MONTH(U1072)</f>
        <v/>
      </c>
      <c r="U1072" s="267">
        <f>IFERROR(__xludf.DUMMYFUNCTION("""COMPUTED_VALUE"""),44693.6458333333)</f>
        <v/>
      </c>
      <c r="V1072" s="6">
        <f>IFERROR(__xludf.DUMMYFUNCTION("""COMPUTED_VALUE"""),2550.08)</f>
        <v/>
      </c>
      <c r="Z1072" s="6">
        <f>AA1072&amp;AB1072</f>
        <v/>
      </c>
      <c r="AA1072" s="6">
        <f>YEAR(AC1072)</f>
        <v/>
      </c>
      <c r="AB1072" s="6">
        <f>MONTH(AC1072)</f>
        <v/>
      </c>
      <c r="AC1072" s="267">
        <f>IFERROR(__xludf.DUMMYFUNCTION("""COMPUTED_VALUE"""),44215.9986111111)</f>
        <v/>
      </c>
      <c r="AD1072" s="6">
        <f>IFERROR(__xludf.DUMMYFUNCTION("""COMPUTED_VALUE"""),1100.99)</f>
        <v/>
      </c>
      <c r="AH1072" s="6">
        <f>AI1072&amp;AJ1072</f>
        <v/>
      </c>
      <c r="AI1072" s="6">
        <f>YEAR(AK1072)</f>
        <v/>
      </c>
      <c r="AJ1072" s="6">
        <f>MONTH(AK1072)</f>
        <v/>
      </c>
      <c r="AK1072" s="267">
        <f>IFERROR(__xludf.DUMMYFUNCTION("""COMPUTED_VALUE"""),44165.9986111111)</f>
        <v/>
      </c>
      <c r="AL1072" s="6">
        <f>IFERROR(__xludf.DUMMYFUNCTION("""COMPUTED_VALUE"""),19704.15)</f>
        <v/>
      </c>
      <c r="AP1072" s="6">
        <f>AQ1072&amp;AR1072</f>
        <v/>
      </c>
      <c r="AQ1072" s="6">
        <f>YEAR(AS1072)</f>
        <v/>
      </c>
      <c r="AR1072" s="6">
        <f>MONTH(AS1072)</f>
        <v/>
      </c>
      <c r="AS1072" s="267">
        <f>IFERROR(__xludf.DUMMYFUNCTION("""COMPUTED_VALUE"""),44659.9986111111)</f>
        <v/>
      </c>
      <c r="AT1072" s="6">
        <f>IFERROR(__xludf.DUMMYFUNCTION("""COMPUTED_VALUE"""),1945.6)</f>
        <v/>
      </c>
    </row>
    <row r="1073">
      <c r="B1073" s="6">
        <f>C1073&amp;D1073</f>
        <v/>
      </c>
      <c r="C1073" s="6">
        <f>YEAR(E1073)</f>
        <v/>
      </c>
      <c r="D1073" s="6">
        <f>MONTH(E1073)</f>
        <v/>
      </c>
      <c r="E1073" s="267">
        <f>IFERROR(__xludf.DUMMYFUNCTION("""COMPUTED_VALUE"""),44652.6666666666)</f>
        <v/>
      </c>
      <c r="F1073" s="6">
        <f>IFERROR(__xludf.DUMMYFUNCTION("""COMPUTED_VALUE"""),4545.86)</f>
        <v/>
      </c>
      <c r="J1073" s="6">
        <f>K1073&amp;L1073</f>
        <v/>
      </c>
      <c r="K1073" s="6">
        <f>YEAR(M1073)</f>
        <v/>
      </c>
      <c r="L1073" s="6">
        <f>MONTH(M1073)</f>
        <v/>
      </c>
      <c r="M1073" s="267">
        <f>IFERROR(__xludf.DUMMYFUNCTION("""COMPUTED_VALUE"""),44645.6666666666)</f>
        <v/>
      </c>
      <c r="N1073" s="6">
        <f>IFERROR(__xludf.DUMMYFUNCTION("""COMPUTED_VALUE"""),14169.3)</f>
        <v/>
      </c>
      <c r="R1073" s="6">
        <f>S1073&amp;T1073</f>
        <v/>
      </c>
      <c r="S1073" s="6">
        <f>YEAR(U1073)</f>
        <v/>
      </c>
      <c r="T1073" s="6">
        <f>MONTH(U1073)</f>
        <v/>
      </c>
      <c r="U1073" s="267">
        <f>IFERROR(__xludf.DUMMYFUNCTION("""COMPUTED_VALUE"""),44694.6458333333)</f>
        <v/>
      </c>
      <c r="V1073" s="6">
        <f>IFERROR(__xludf.DUMMYFUNCTION("""COMPUTED_VALUE"""),2604.24)</f>
        <v/>
      </c>
      <c r="Z1073" s="6">
        <f>AA1073&amp;AB1073</f>
        <v/>
      </c>
      <c r="AA1073" s="6">
        <f>YEAR(AC1073)</f>
        <v/>
      </c>
      <c r="AB1073" s="6">
        <f>MONTH(AC1073)</f>
        <v/>
      </c>
      <c r="AC1073" s="267">
        <f>IFERROR(__xludf.DUMMYFUNCTION("""COMPUTED_VALUE"""),44216.9986111111)</f>
        <v/>
      </c>
      <c r="AD1073" s="6">
        <f>IFERROR(__xludf.DUMMYFUNCTION("""COMPUTED_VALUE"""),1096.25)</f>
        <v/>
      </c>
      <c r="AH1073" s="6">
        <f>AI1073&amp;AJ1073</f>
        <v/>
      </c>
      <c r="AI1073" s="6">
        <f>YEAR(AK1073)</f>
        <v/>
      </c>
      <c r="AJ1073" s="6">
        <f>MONTH(AK1073)</f>
        <v/>
      </c>
      <c r="AK1073" s="267">
        <f>IFERROR(__xludf.DUMMYFUNCTION("""COMPUTED_VALUE"""),44166.9986111111)</f>
        <v/>
      </c>
      <c r="AL1073" s="6">
        <f>IFERROR(__xludf.DUMMYFUNCTION("""COMPUTED_VALUE"""),18784.93)</f>
        <v/>
      </c>
      <c r="AP1073" s="6">
        <f>AQ1073&amp;AR1073</f>
        <v/>
      </c>
      <c r="AQ1073" s="6">
        <f>YEAR(AS1073)</f>
        <v/>
      </c>
      <c r="AR1073" s="6">
        <f>MONTH(AS1073)</f>
        <v/>
      </c>
      <c r="AS1073" s="267">
        <f>IFERROR(__xludf.DUMMYFUNCTION("""COMPUTED_VALUE"""),44662.9986111111)</f>
        <v/>
      </c>
      <c r="AT1073" s="6">
        <f>IFERROR(__xludf.DUMMYFUNCTION("""COMPUTED_VALUE"""),1948.2)</f>
        <v/>
      </c>
    </row>
    <row r="1074">
      <c r="B1074" s="6">
        <f>C1074&amp;D1074</f>
        <v/>
      </c>
      <c r="C1074" s="6">
        <f>YEAR(E1074)</f>
        <v/>
      </c>
      <c r="D1074" s="6">
        <f>MONTH(E1074)</f>
        <v/>
      </c>
      <c r="E1074" s="267">
        <f>IFERROR(__xludf.DUMMYFUNCTION("""COMPUTED_VALUE"""),44655.6666666666)</f>
        <v/>
      </c>
      <c r="F1074" s="6">
        <f>IFERROR(__xludf.DUMMYFUNCTION("""COMPUTED_VALUE"""),4582.64)</f>
        <v/>
      </c>
      <c r="J1074" s="6">
        <f>K1074&amp;L1074</f>
        <v/>
      </c>
      <c r="K1074" s="6">
        <f>YEAR(M1074)</f>
        <v/>
      </c>
      <c r="L1074" s="6">
        <f>MONTH(M1074)</f>
        <v/>
      </c>
      <c r="M1074" s="267">
        <f>IFERROR(__xludf.DUMMYFUNCTION("""COMPUTED_VALUE"""),44648.6666666666)</f>
        <v/>
      </c>
      <c r="N1074" s="6">
        <f>IFERROR(__xludf.DUMMYFUNCTION("""COMPUTED_VALUE"""),14354.9)</f>
        <v/>
      </c>
      <c r="R1074" s="6">
        <f>S1074&amp;T1074</f>
        <v/>
      </c>
      <c r="S1074" s="6">
        <f>YEAR(U1074)</f>
        <v/>
      </c>
      <c r="T1074" s="6">
        <f>MONTH(U1074)</f>
        <v/>
      </c>
      <c r="U1074" s="267">
        <f>IFERROR(__xludf.DUMMYFUNCTION("""COMPUTED_VALUE"""),44697.6458333333)</f>
        <v/>
      </c>
      <c r="V1074" s="6">
        <f>IFERROR(__xludf.DUMMYFUNCTION("""COMPUTED_VALUE"""),2596.58)</f>
        <v/>
      </c>
      <c r="Z1074" s="6">
        <f>AA1074&amp;AB1074</f>
        <v/>
      </c>
      <c r="AA1074" s="6">
        <f>YEAR(AC1074)</f>
        <v/>
      </c>
      <c r="AB1074" s="6">
        <f>MONTH(AC1074)</f>
        <v/>
      </c>
      <c r="AC1074" s="267">
        <f>IFERROR(__xludf.DUMMYFUNCTION("""COMPUTED_VALUE"""),44217.9986111111)</f>
        <v/>
      </c>
      <c r="AD1074" s="6">
        <f>IFERROR(__xludf.DUMMYFUNCTION("""COMPUTED_VALUE"""),1099.9)</f>
        <v/>
      </c>
      <c r="AH1074" s="6">
        <f>AI1074&amp;AJ1074</f>
        <v/>
      </c>
      <c r="AI1074" s="6">
        <f>YEAR(AK1074)</f>
        <v/>
      </c>
      <c r="AJ1074" s="6">
        <f>MONTH(AK1074)</f>
        <v/>
      </c>
      <c r="AK1074" s="267">
        <f>IFERROR(__xludf.DUMMYFUNCTION("""COMPUTED_VALUE"""),44167.9986111111)</f>
        <v/>
      </c>
      <c r="AL1074" s="6">
        <f>IFERROR(__xludf.DUMMYFUNCTION("""COMPUTED_VALUE"""),19230.17)</f>
        <v/>
      </c>
      <c r="AP1074" s="6">
        <f>AQ1074&amp;AR1074</f>
        <v/>
      </c>
      <c r="AQ1074" s="6">
        <f>YEAR(AS1074)</f>
        <v/>
      </c>
      <c r="AR1074" s="6">
        <f>MONTH(AS1074)</f>
        <v/>
      </c>
      <c r="AS1074" s="267">
        <f>IFERROR(__xludf.DUMMYFUNCTION("""COMPUTED_VALUE"""),44663.9986111111)</f>
        <v/>
      </c>
      <c r="AT1074" s="6">
        <f>IFERROR(__xludf.DUMMYFUNCTION("""COMPUTED_VALUE"""),1976.1)</f>
        <v/>
      </c>
    </row>
    <row r="1075">
      <c r="B1075" s="6">
        <f>C1075&amp;D1075</f>
        <v/>
      </c>
      <c r="C1075" s="6">
        <f>YEAR(E1075)</f>
        <v/>
      </c>
      <c r="D1075" s="6">
        <f>MONTH(E1075)</f>
        <v/>
      </c>
      <c r="E1075" s="267">
        <f>IFERROR(__xludf.DUMMYFUNCTION("""COMPUTED_VALUE"""),44656.6666666666)</f>
        <v/>
      </c>
      <c r="F1075" s="6">
        <f>IFERROR(__xludf.DUMMYFUNCTION("""COMPUTED_VALUE"""),4525.12)</f>
        <v/>
      </c>
      <c r="J1075" s="6">
        <f>K1075&amp;L1075</f>
        <v/>
      </c>
      <c r="K1075" s="6">
        <f>YEAR(M1075)</f>
        <v/>
      </c>
      <c r="L1075" s="6">
        <f>MONTH(M1075)</f>
        <v/>
      </c>
      <c r="M1075" s="267">
        <f>IFERROR(__xludf.DUMMYFUNCTION("""COMPUTED_VALUE"""),44649.6666666666)</f>
        <v/>
      </c>
      <c r="N1075" s="6">
        <f>IFERROR(__xludf.DUMMYFUNCTION("""COMPUTED_VALUE"""),14619.64)</f>
        <v/>
      </c>
      <c r="R1075" s="6">
        <f>S1075&amp;T1075</f>
        <v/>
      </c>
      <c r="S1075" s="6">
        <f>YEAR(U1075)</f>
        <v/>
      </c>
      <c r="T1075" s="6">
        <f>MONTH(U1075)</f>
        <v/>
      </c>
      <c r="U1075" s="267">
        <f>IFERROR(__xludf.DUMMYFUNCTION("""COMPUTED_VALUE"""),44698.6458333333)</f>
        <v/>
      </c>
      <c r="V1075" s="6">
        <f>IFERROR(__xludf.DUMMYFUNCTION("""COMPUTED_VALUE"""),2620.44)</f>
        <v/>
      </c>
      <c r="Z1075" s="6">
        <f>AA1075&amp;AB1075</f>
        <v/>
      </c>
      <c r="AA1075" s="6">
        <f>YEAR(AC1075)</f>
        <v/>
      </c>
      <c r="AB1075" s="6">
        <f>MONTH(AC1075)</f>
        <v/>
      </c>
      <c r="AC1075" s="267">
        <f>IFERROR(__xludf.DUMMYFUNCTION("""COMPUTED_VALUE"""),44218.9986111111)</f>
        <v/>
      </c>
      <c r="AD1075" s="6">
        <f>IFERROR(__xludf.DUMMYFUNCTION("""COMPUTED_VALUE"""),1104.64)</f>
        <v/>
      </c>
      <c r="AH1075" s="6">
        <f>AI1075&amp;AJ1075</f>
        <v/>
      </c>
      <c r="AI1075" s="6">
        <f>YEAR(AK1075)</f>
        <v/>
      </c>
      <c r="AJ1075" s="6">
        <f>MONTH(AK1075)</f>
        <v/>
      </c>
      <c r="AK1075" s="267">
        <f>IFERROR(__xludf.DUMMYFUNCTION("""COMPUTED_VALUE"""),44168.9986111111)</f>
        <v/>
      </c>
      <c r="AL1075" s="6">
        <f>IFERROR(__xludf.DUMMYFUNCTION("""COMPUTED_VALUE"""),19444.89)</f>
        <v/>
      </c>
      <c r="AP1075" s="6">
        <f>AQ1075&amp;AR1075</f>
        <v/>
      </c>
      <c r="AQ1075" s="6">
        <f>YEAR(AS1075)</f>
        <v/>
      </c>
      <c r="AR1075" s="6">
        <f>MONTH(AS1075)</f>
        <v/>
      </c>
      <c r="AS1075" s="267">
        <f>IFERROR(__xludf.DUMMYFUNCTION("""COMPUTED_VALUE"""),44664.9986111111)</f>
        <v/>
      </c>
      <c r="AT1075" s="6">
        <f>IFERROR(__xludf.DUMMYFUNCTION("""COMPUTED_VALUE"""),1984.7)</f>
        <v/>
      </c>
    </row>
    <row r="1076">
      <c r="B1076" s="6">
        <f>C1076&amp;D1076</f>
        <v/>
      </c>
      <c r="C1076" s="6">
        <f>YEAR(E1076)</f>
        <v/>
      </c>
      <c r="D1076" s="6">
        <f>MONTH(E1076)</f>
        <v/>
      </c>
      <c r="E1076" s="267">
        <f>IFERROR(__xludf.DUMMYFUNCTION("""COMPUTED_VALUE"""),44657.6666666666)</f>
        <v/>
      </c>
      <c r="F1076" s="6">
        <f>IFERROR(__xludf.DUMMYFUNCTION("""COMPUTED_VALUE"""),4481.15)</f>
        <v/>
      </c>
      <c r="J1076" s="6">
        <f>K1076&amp;L1076</f>
        <v/>
      </c>
      <c r="K1076" s="6">
        <f>YEAR(M1076)</f>
        <v/>
      </c>
      <c r="L1076" s="6">
        <f>MONTH(M1076)</f>
        <v/>
      </c>
      <c r="M1076" s="267">
        <f>IFERROR(__xludf.DUMMYFUNCTION("""COMPUTED_VALUE"""),44650.6666666666)</f>
        <v/>
      </c>
      <c r="N1076" s="6">
        <f>IFERROR(__xludf.DUMMYFUNCTION("""COMPUTED_VALUE"""),14442.28)</f>
        <v/>
      </c>
      <c r="R1076" s="6">
        <f>S1076&amp;T1076</f>
        <v/>
      </c>
      <c r="S1076" s="6">
        <f>YEAR(U1076)</f>
        <v/>
      </c>
      <c r="T1076" s="6">
        <f>MONTH(U1076)</f>
        <v/>
      </c>
      <c r="U1076" s="267">
        <f>IFERROR(__xludf.DUMMYFUNCTION("""COMPUTED_VALUE"""),44699.6458333333)</f>
        <v/>
      </c>
      <c r="V1076" s="6">
        <f>IFERROR(__xludf.DUMMYFUNCTION("""COMPUTED_VALUE"""),2625.98)</f>
        <v/>
      </c>
      <c r="Z1076" s="6">
        <f>AA1076&amp;AB1076</f>
        <v/>
      </c>
      <c r="AA1076" s="6">
        <f>YEAR(AC1076)</f>
        <v/>
      </c>
      <c r="AB1076" s="6">
        <f>MONTH(AC1076)</f>
        <v/>
      </c>
      <c r="AC1076" s="267">
        <f>IFERROR(__xludf.DUMMYFUNCTION("""COMPUTED_VALUE"""),44221.9986111111)</f>
        <v/>
      </c>
      <c r="AD1076" s="6">
        <f>IFERROR(__xludf.DUMMYFUNCTION("""COMPUTED_VALUE"""),1101.73)</f>
        <v/>
      </c>
      <c r="AH1076" s="6">
        <f>AI1076&amp;AJ1076</f>
        <v/>
      </c>
      <c r="AI1076" s="6">
        <f>YEAR(AK1076)</f>
        <v/>
      </c>
      <c r="AJ1076" s="6">
        <f>MONTH(AK1076)</f>
        <v/>
      </c>
      <c r="AK1076" s="267">
        <f>IFERROR(__xludf.DUMMYFUNCTION("""COMPUTED_VALUE"""),44169.9986111111)</f>
        <v/>
      </c>
      <c r="AL1076" s="6">
        <f>IFERROR(__xludf.DUMMYFUNCTION("""COMPUTED_VALUE"""),18658.84)</f>
        <v/>
      </c>
      <c r="AP1076" s="6">
        <f>AQ1076&amp;AR1076</f>
        <v/>
      </c>
      <c r="AQ1076" s="6">
        <f>YEAR(AS1076)</f>
        <v/>
      </c>
      <c r="AR1076" s="6">
        <f>MONTH(AS1076)</f>
        <v/>
      </c>
      <c r="AS1076" s="267">
        <f>IFERROR(__xludf.DUMMYFUNCTION("""COMPUTED_VALUE"""),44665.9986111111)</f>
        <v/>
      </c>
      <c r="AT1076" s="6">
        <f>IFERROR(__xludf.DUMMYFUNCTION("""COMPUTED_VALUE"""),1974.9)</f>
        <v/>
      </c>
    </row>
    <row r="1077">
      <c r="B1077" s="6">
        <f>C1077&amp;D1077</f>
        <v/>
      </c>
      <c r="C1077" s="6">
        <f>YEAR(E1077)</f>
        <v/>
      </c>
      <c r="D1077" s="6">
        <f>MONTH(E1077)</f>
        <v/>
      </c>
      <c r="E1077" s="267">
        <f>IFERROR(__xludf.DUMMYFUNCTION("""COMPUTED_VALUE"""),44658.6666666666)</f>
        <v/>
      </c>
      <c r="F1077" s="6">
        <f>IFERROR(__xludf.DUMMYFUNCTION("""COMPUTED_VALUE"""),4500.21)</f>
        <v/>
      </c>
      <c r="J1077" s="6">
        <f>K1077&amp;L1077</f>
        <v/>
      </c>
      <c r="K1077" s="6">
        <f>YEAR(M1077)</f>
        <v/>
      </c>
      <c r="L1077" s="6">
        <f>MONTH(M1077)</f>
        <v/>
      </c>
      <c r="M1077" s="267">
        <f>IFERROR(__xludf.DUMMYFUNCTION("""COMPUTED_VALUE"""),44651.6666666666)</f>
        <v/>
      </c>
      <c r="N1077" s="6">
        <f>IFERROR(__xludf.DUMMYFUNCTION("""COMPUTED_VALUE"""),14220.52)</f>
        <v/>
      </c>
      <c r="R1077" s="6">
        <f>S1077&amp;T1077</f>
        <v/>
      </c>
      <c r="S1077" s="6">
        <f>YEAR(U1077)</f>
        <v/>
      </c>
      <c r="T1077" s="6">
        <f>MONTH(U1077)</f>
        <v/>
      </c>
      <c r="U1077" s="267">
        <f>IFERROR(__xludf.DUMMYFUNCTION("""COMPUTED_VALUE"""),44700.6458333333)</f>
        <v/>
      </c>
      <c r="V1077" s="6">
        <f>IFERROR(__xludf.DUMMYFUNCTION("""COMPUTED_VALUE"""),2592.34)</f>
        <v/>
      </c>
      <c r="Z1077" s="6">
        <f>AA1077&amp;AB1077</f>
        <v/>
      </c>
      <c r="AA1077" s="6">
        <f>YEAR(AC1077)</f>
        <v/>
      </c>
      <c r="AB1077" s="6">
        <f>MONTH(AC1077)</f>
        <v/>
      </c>
      <c r="AC1077" s="267">
        <f>IFERROR(__xludf.DUMMYFUNCTION("""COMPUTED_VALUE"""),44222.9986111111)</f>
        <v/>
      </c>
      <c r="AD1077" s="6">
        <f>IFERROR(__xludf.DUMMYFUNCTION("""COMPUTED_VALUE"""),1101)</f>
        <v/>
      </c>
      <c r="AH1077" s="6">
        <f>AI1077&amp;AJ1077</f>
        <v/>
      </c>
      <c r="AI1077" s="6">
        <f>YEAR(AK1077)</f>
        <v/>
      </c>
      <c r="AJ1077" s="6">
        <f>MONTH(AK1077)</f>
        <v/>
      </c>
      <c r="AK1077" s="267">
        <f>IFERROR(__xludf.DUMMYFUNCTION("""COMPUTED_VALUE"""),44170.9986111111)</f>
        <v/>
      </c>
      <c r="AL1077" s="6">
        <f>IFERROR(__xludf.DUMMYFUNCTION("""COMPUTED_VALUE"""),19156.46)</f>
        <v/>
      </c>
      <c r="AP1077" s="6">
        <f>AQ1077&amp;AR1077</f>
        <v/>
      </c>
      <c r="AQ1077" s="6">
        <f>YEAR(AS1077)</f>
        <v/>
      </c>
      <c r="AR1077" s="6">
        <f>MONTH(AS1077)</f>
        <v/>
      </c>
      <c r="AS1077" s="267">
        <f>IFERROR(__xludf.DUMMYFUNCTION("""COMPUTED_VALUE"""),44669.9986111111)</f>
        <v/>
      </c>
      <c r="AT1077" s="6">
        <f>IFERROR(__xludf.DUMMYFUNCTION("""COMPUTED_VALUE"""),1986.4)</f>
        <v/>
      </c>
    </row>
    <row r="1078">
      <c r="B1078" s="6">
        <f>C1078&amp;D1078</f>
        <v/>
      </c>
      <c r="C1078" s="6">
        <f>YEAR(E1078)</f>
        <v/>
      </c>
      <c r="D1078" s="6">
        <f>MONTH(E1078)</f>
        <v/>
      </c>
      <c r="E1078" s="267">
        <f>IFERROR(__xludf.DUMMYFUNCTION("""COMPUTED_VALUE"""),44659.6666666666)</f>
        <v/>
      </c>
      <c r="F1078" s="6">
        <f>IFERROR(__xludf.DUMMYFUNCTION("""COMPUTED_VALUE"""),4488.28)</f>
        <v/>
      </c>
      <c r="J1078" s="6">
        <f>K1078&amp;L1078</f>
        <v/>
      </c>
      <c r="K1078" s="6">
        <f>YEAR(M1078)</f>
        <v/>
      </c>
      <c r="L1078" s="6">
        <f>MONTH(M1078)</f>
        <v/>
      </c>
      <c r="M1078" s="267">
        <f>IFERROR(__xludf.DUMMYFUNCTION("""COMPUTED_VALUE"""),44652.6666666666)</f>
        <v/>
      </c>
      <c r="N1078" s="6">
        <f>IFERROR(__xludf.DUMMYFUNCTION("""COMPUTED_VALUE"""),14261.5)</f>
        <v/>
      </c>
      <c r="R1078" s="6">
        <f>S1078&amp;T1078</f>
        <v/>
      </c>
      <c r="S1078" s="6">
        <f>YEAR(U1078)</f>
        <v/>
      </c>
      <c r="T1078" s="6">
        <f>MONTH(U1078)</f>
        <v/>
      </c>
      <c r="U1078" s="267">
        <f>IFERROR(__xludf.DUMMYFUNCTION("""COMPUTED_VALUE"""),44701.6458333333)</f>
        <v/>
      </c>
      <c r="V1078" s="6">
        <f>IFERROR(__xludf.DUMMYFUNCTION("""COMPUTED_VALUE"""),2639.29)</f>
        <v/>
      </c>
      <c r="Z1078" s="6">
        <f>AA1078&amp;AB1078</f>
        <v/>
      </c>
      <c r="AA1078" s="6">
        <f>YEAR(AC1078)</f>
        <v/>
      </c>
      <c r="AB1078" s="6">
        <f>MONTH(AC1078)</f>
        <v/>
      </c>
      <c r="AC1078" s="267">
        <f>IFERROR(__xludf.DUMMYFUNCTION("""COMPUTED_VALUE"""),44223.9986111111)</f>
        <v/>
      </c>
      <c r="AD1078" s="6">
        <f>IFERROR(__xludf.DUMMYFUNCTION("""COMPUTED_VALUE"""),1107.5)</f>
        <v/>
      </c>
      <c r="AH1078" s="6">
        <f>AI1078&amp;AJ1078</f>
        <v/>
      </c>
      <c r="AI1078" s="6">
        <f>YEAR(AK1078)</f>
        <v/>
      </c>
      <c r="AJ1078" s="6">
        <f>MONTH(AK1078)</f>
        <v/>
      </c>
      <c r="AK1078" s="267">
        <f>IFERROR(__xludf.DUMMYFUNCTION("""COMPUTED_VALUE"""),44171.9986111111)</f>
        <v/>
      </c>
      <c r="AL1078" s="6">
        <f>IFERROR(__xludf.DUMMYFUNCTION("""COMPUTED_VALUE"""),19380.58)</f>
        <v/>
      </c>
      <c r="AP1078" s="6">
        <f>AQ1078&amp;AR1078</f>
        <v/>
      </c>
      <c r="AQ1078" s="6">
        <f>YEAR(AS1078)</f>
        <v/>
      </c>
      <c r="AR1078" s="6">
        <f>MONTH(AS1078)</f>
        <v/>
      </c>
      <c r="AS1078" s="267">
        <f>IFERROR(__xludf.DUMMYFUNCTION("""COMPUTED_VALUE"""),44670.9986111111)</f>
        <v/>
      </c>
      <c r="AT1078" s="6">
        <f>IFERROR(__xludf.DUMMYFUNCTION("""COMPUTED_VALUE"""),1959)</f>
        <v/>
      </c>
    </row>
    <row r="1079">
      <c r="B1079" s="6">
        <f>C1079&amp;D1079</f>
        <v/>
      </c>
      <c r="C1079" s="6">
        <f>YEAR(E1079)</f>
        <v/>
      </c>
      <c r="D1079" s="6">
        <f>MONTH(E1079)</f>
        <v/>
      </c>
      <c r="E1079" s="267">
        <f>IFERROR(__xludf.DUMMYFUNCTION("""COMPUTED_VALUE"""),44662.6666666666)</f>
        <v/>
      </c>
      <c r="F1079" s="6">
        <f>IFERROR(__xludf.DUMMYFUNCTION("""COMPUTED_VALUE"""),4412.53)</f>
        <v/>
      </c>
      <c r="J1079" s="6">
        <f>K1079&amp;L1079</f>
        <v/>
      </c>
      <c r="K1079" s="6">
        <f>YEAR(M1079)</f>
        <v/>
      </c>
      <c r="L1079" s="6">
        <f>MONTH(M1079)</f>
        <v/>
      </c>
      <c r="M1079" s="267">
        <f>IFERROR(__xludf.DUMMYFUNCTION("""COMPUTED_VALUE"""),44655.6666666666)</f>
        <v/>
      </c>
      <c r="N1079" s="6">
        <f>IFERROR(__xludf.DUMMYFUNCTION("""COMPUTED_VALUE"""),14532.55)</f>
        <v/>
      </c>
      <c r="R1079" s="6">
        <f>S1079&amp;T1079</f>
        <v/>
      </c>
      <c r="S1079" s="6">
        <f>YEAR(U1079)</f>
        <v/>
      </c>
      <c r="T1079" s="6">
        <f>MONTH(U1079)</f>
        <v/>
      </c>
      <c r="U1079" s="267">
        <f>IFERROR(__xludf.DUMMYFUNCTION("""COMPUTED_VALUE"""),44704.6458333333)</f>
        <v/>
      </c>
      <c r="V1079" s="6">
        <f>IFERROR(__xludf.DUMMYFUNCTION("""COMPUTED_VALUE"""),2647.38)</f>
        <v/>
      </c>
      <c r="Z1079" s="6">
        <f>AA1079&amp;AB1079</f>
        <v/>
      </c>
      <c r="AA1079" s="6">
        <f>YEAR(AC1079)</f>
        <v/>
      </c>
      <c r="AB1079" s="6">
        <f>MONTH(AC1079)</f>
        <v/>
      </c>
      <c r="AC1079" s="267">
        <f>IFERROR(__xludf.DUMMYFUNCTION("""COMPUTED_VALUE"""),44224.9986111111)</f>
        <v/>
      </c>
      <c r="AD1079" s="6">
        <f>IFERROR(__xludf.DUMMYFUNCTION("""COMPUTED_VALUE"""),1112.29)</f>
        <v/>
      </c>
      <c r="AH1079" s="6">
        <f>AI1079&amp;AJ1079</f>
        <v/>
      </c>
      <c r="AI1079" s="6">
        <f>YEAR(AK1079)</f>
        <v/>
      </c>
      <c r="AJ1079" s="6">
        <f>MONTH(AK1079)</f>
        <v/>
      </c>
      <c r="AK1079" s="267">
        <f>IFERROR(__xludf.DUMMYFUNCTION("""COMPUTED_VALUE"""),44172.9986111111)</f>
        <v/>
      </c>
      <c r="AL1079" s="6">
        <f>IFERROR(__xludf.DUMMYFUNCTION("""COMPUTED_VALUE"""),19176.42)</f>
        <v/>
      </c>
      <c r="AP1079" s="6">
        <f>AQ1079&amp;AR1079</f>
        <v/>
      </c>
      <c r="AQ1079" s="6">
        <f>YEAR(AS1079)</f>
        <v/>
      </c>
      <c r="AR1079" s="6">
        <f>MONTH(AS1079)</f>
        <v/>
      </c>
      <c r="AS1079" s="267">
        <f>IFERROR(__xludf.DUMMYFUNCTION("""COMPUTED_VALUE"""),44671.9986111111)</f>
        <v/>
      </c>
      <c r="AT1079" s="6">
        <f>IFERROR(__xludf.DUMMYFUNCTION("""COMPUTED_VALUE"""),1955.6)</f>
        <v/>
      </c>
    </row>
    <row r="1080">
      <c r="B1080" s="6">
        <f>C1080&amp;D1080</f>
        <v/>
      </c>
      <c r="C1080" s="6">
        <f>YEAR(E1080)</f>
        <v/>
      </c>
      <c r="D1080" s="6">
        <f>MONTH(E1080)</f>
        <v/>
      </c>
      <c r="E1080" s="267">
        <f>IFERROR(__xludf.DUMMYFUNCTION("""COMPUTED_VALUE"""),44663.6666666666)</f>
        <v/>
      </c>
      <c r="F1080" s="6">
        <f>IFERROR(__xludf.DUMMYFUNCTION("""COMPUTED_VALUE"""),4397.45)</f>
        <v/>
      </c>
      <c r="J1080" s="6">
        <f>K1080&amp;L1080</f>
        <v/>
      </c>
      <c r="K1080" s="6">
        <f>YEAR(M1080)</f>
        <v/>
      </c>
      <c r="L1080" s="6">
        <f>MONTH(M1080)</f>
        <v/>
      </c>
      <c r="M1080" s="267">
        <f>IFERROR(__xludf.DUMMYFUNCTION("""COMPUTED_VALUE"""),44656.6666666666)</f>
        <v/>
      </c>
      <c r="N1080" s="6">
        <f>IFERROR(__xludf.DUMMYFUNCTION("""COMPUTED_VALUE"""),14204.17)</f>
        <v/>
      </c>
      <c r="R1080" s="6">
        <f>S1080&amp;T1080</f>
        <v/>
      </c>
      <c r="S1080" s="6">
        <f>YEAR(U1080)</f>
        <v/>
      </c>
      <c r="T1080" s="6">
        <f>MONTH(U1080)</f>
        <v/>
      </c>
      <c r="U1080" s="267">
        <f>IFERROR(__xludf.DUMMYFUNCTION("""COMPUTED_VALUE"""),44705.6458333333)</f>
        <v/>
      </c>
      <c r="V1080" s="6">
        <f>IFERROR(__xludf.DUMMYFUNCTION("""COMPUTED_VALUE"""),2605.87)</f>
        <v/>
      </c>
      <c r="Z1080" s="6">
        <f>AA1080&amp;AB1080</f>
        <v/>
      </c>
      <c r="AA1080" s="6">
        <f>YEAR(AC1080)</f>
        <v/>
      </c>
      <c r="AB1080" s="6">
        <f>MONTH(AC1080)</f>
        <v/>
      </c>
      <c r="AC1080" s="267">
        <f>IFERROR(__xludf.DUMMYFUNCTION("""COMPUTED_VALUE"""),44225.9986111111)</f>
        <v/>
      </c>
      <c r="AD1080" s="6">
        <f>IFERROR(__xludf.DUMMYFUNCTION("""COMPUTED_VALUE"""),1117.33)</f>
        <v/>
      </c>
      <c r="AH1080" s="6">
        <f>AI1080&amp;AJ1080</f>
        <v/>
      </c>
      <c r="AI1080" s="6">
        <f>YEAR(AK1080)</f>
        <v/>
      </c>
      <c r="AJ1080" s="6">
        <f>MONTH(AK1080)</f>
        <v/>
      </c>
      <c r="AK1080" s="267">
        <f>IFERROR(__xludf.DUMMYFUNCTION("""COMPUTED_VALUE"""),44173.9986111111)</f>
        <v/>
      </c>
      <c r="AL1080" s="6">
        <f>IFERROR(__xludf.DUMMYFUNCTION("""COMPUTED_VALUE"""),18321.51)</f>
        <v/>
      </c>
      <c r="AP1080" s="6">
        <f>AQ1080&amp;AR1080</f>
        <v/>
      </c>
      <c r="AQ1080" s="6">
        <f>YEAR(AS1080)</f>
        <v/>
      </c>
      <c r="AR1080" s="6">
        <f>MONTH(AS1080)</f>
        <v/>
      </c>
      <c r="AS1080" s="267">
        <f>IFERROR(__xludf.DUMMYFUNCTION("""COMPUTED_VALUE"""),44672.9986111111)</f>
        <v/>
      </c>
      <c r="AT1080" s="6">
        <f>IFERROR(__xludf.DUMMYFUNCTION("""COMPUTED_VALUE"""),1948.2)</f>
        <v/>
      </c>
    </row>
    <row r="1081">
      <c r="B1081" s="6">
        <f>C1081&amp;D1081</f>
        <v/>
      </c>
      <c r="C1081" s="6">
        <f>YEAR(E1081)</f>
        <v/>
      </c>
      <c r="D1081" s="6">
        <f>MONTH(E1081)</f>
        <v/>
      </c>
      <c r="E1081" s="267">
        <f>IFERROR(__xludf.DUMMYFUNCTION("""COMPUTED_VALUE"""),44664.6666666666)</f>
        <v/>
      </c>
      <c r="F1081" s="6">
        <f>IFERROR(__xludf.DUMMYFUNCTION("""COMPUTED_VALUE"""),4446.59)</f>
        <v/>
      </c>
      <c r="J1081" s="6">
        <f>K1081&amp;L1081</f>
        <v/>
      </c>
      <c r="K1081" s="6">
        <f>YEAR(M1081)</f>
        <v/>
      </c>
      <c r="L1081" s="6">
        <f>MONTH(M1081)</f>
        <v/>
      </c>
      <c r="M1081" s="267">
        <f>IFERROR(__xludf.DUMMYFUNCTION("""COMPUTED_VALUE"""),44657.6666666666)</f>
        <v/>
      </c>
      <c r="N1081" s="6">
        <f>IFERROR(__xludf.DUMMYFUNCTION("""COMPUTED_VALUE"""),13888.82)</f>
        <v/>
      </c>
      <c r="R1081" s="6">
        <f>S1081&amp;T1081</f>
        <v/>
      </c>
      <c r="S1081" s="6">
        <f>YEAR(U1081)</f>
        <v/>
      </c>
      <c r="T1081" s="6">
        <f>MONTH(U1081)</f>
        <v/>
      </c>
      <c r="U1081" s="267">
        <f>IFERROR(__xludf.DUMMYFUNCTION("""COMPUTED_VALUE"""),44706.6458333333)</f>
        <v/>
      </c>
      <c r="V1081" s="6">
        <f>IFERROR(__xludf.DUMMYFUNCTION("""COMPUTED_VALUE"""),2617.22)</f>
        <v/>
      </c>
      <c r="Z1081" s="6">
        <f>AA1081&amp;AB1081</f>
        <v/>
      </c>
      <c r="AA1081" s="6">
        <f>YEAR(AC1081)</f>
        <v/>
      </c>
      <c r="AB1081" s="6">
        <f>MONTH(AC1081)</f>
        <v/>
      </c>
      <c r="AC1081" s="267">
        <f>IFERROR(__xludf.DUMMYFUNCTION("""COMPUTED_VALUE"""),44226.9986111111)</f>
        <v/>
      </c>
      <c r="AD1081" s="6">
        <f>IFERROR(__xludf.DUMMYFUNCTION("""COMPUTED_VALUE"""),1117.43)</f>
        <v/>
      </c>
      <c r="AH1081" s="6">
        <f>AI1081&amp;AJ1081</f>
        <v/>
      </c>
      <c r="AI1081" s="6">
        <f>YEAR(AK1081)</f>
        <v/>
      </c>
      <c r="AJ1081" s="6">
        <f>MONTH(AK1081)</f>
        <v/>
      </c>
      <c r="AK1081" s="267">
        <f>IFERROR(__xludf.DUMMYFUNCTION("""COMPUTED_VALUE"""),44174.9986111111)</f>
        <v/>
      </c>
      <c r="AL1081" s="6">
        <f>IFERROR(__xludf.DUMMYFUNCTION("""COMPUTED_VALUE"""),18547.8)</f>
        <v/>
      </c>
      <c r="AP1081" s="6">
        <f>AQ1081&amp;AR1081</f>
        <v/>
      </c>
      <c r="AQ1081" s="6">
        <f>YEAR(AS1081)</f>
        <v/>
      </c>
      <c r="AR1081" s="6">
        <f>MONTH(AS1081)</f>
        <v/>
      </c>
      <c r="AS1081" s="267">
        <f>IFERROR(__xludf.DUMMYFUNCTION("""COMPUTED_VALUE"""),44673.9986111111)</f>
        <v/>
      </c>
      <c r="AT1081" s="6">
        <f>IFERROR(__xludf.DUMMYFUNCTION("""COMPUTED_VALUE"""),1934.3)</f>
        <v/>
      </c>
    </row>
    <row r="1082">
      <c r="B1082" s="6">
        <f>C1082&amp;D1082</f>
        <v/>
      </c>
      <c r="C1082" s="6">
        <f>YEAR(E1082)</f>
        <v/>
      </c>
      <c r="D1082" s="6">
        <f>MONTH(E1082)</f>
        <v/>
      </c>
      <c r="E1082" s="267">
        <f>IFERROR(__xludf.DUMMYFUNCTION("""COMPUTED_VALUE"""),44665.6666666666)</f>
        <v/>
      </c>
      <c r="F1082" s="6">
        <f>IFERROR(__xludf.DUMMYFUNCTION("""COMPUTED_VALUE"""),4392.59)</f>
        <v/>
      </c>
      <c r="J1082" s="6">
        <f>K1082&amp;L1082</f>
        <v/>
      </c>
      <c r="K1082" s="6">
        <f>YEAR(M1082)</f>
        <v/>
      </c>
      <c r="L1082" s="6">
        <f>MONTH(M1082)</f>
        <v/>
      </c>
      <c r="M1082" s="267">
        <f>IFERROR(__xludf.DUMMYFUNCTION("""COMPUTED_VALUE"""),44658.6666666666)</f>
        <v/>
      </c>
      <c r="N1082" s="6">
        <f>IFERROR(__xludf.DUMMYFUNCTION("""COMPUTED_VALUE"""),13897.3)</f>
        <v/>
      </c>
      <c r="R1082" s="6">
        <f>S1082&amp;T1082</f>
        <v/>
      </c>
      <c r="S1082" s="6">
        <f>YEAR(U1082)</f>
        <v/>
      </c>
      <c r="T1082" s="6">
        <f>MONTH(U1082)</f>
        <v/>
      </c>
      <c r="U1082" s="267">
        <f>IFERROR(__xludf.DUMMYFUNCTION("""COMPUTED_VALUE"""),44707.6458333333)</f>
        <v/>
      </c>
      <c r="V1082" s="6">
        <f>IFERROR(__xludf.DUMMYFUNCTION("""COMPUTED_VALUE"""),2612.45)</f>
        <v/>
      </c>
      <c r="Z1082" s="6">
        <f>AA1082&amp;AB1082</f>
        <v/>
      </c>
      <c r="AA1082" s="6">
        <f>YEAR(AC1082)</f>
        <v/>
      </c>
      <c r="AB1082" s="6">
        <f>MONTH(AC1082)</f>
        <v/>
      </c>
      <c r="AC1082" s="267">
        <f>IFERROR(__xludf.DUMMYFUNCTION("""COMPUTED_VALUE"""),44227.9986111111)</f>
        <v/>
      </c>
      <c r="AD1082" s="6">
        <f>IFERROR(__xludf.DUMMYFUNCTION("""COMPUTED_VALUE"""),1117.43)</f>
        <v/>
      </c>
      <c r="AH1082" s="6">
        <f>AI1082&amp;AJ1082</f>
        <v/>
      </c>
      <c r="AI1082" s="6">
        <f>YEAR(AK1082)</f>
        <v/>
      </c>
      <c r="AJ1082" s="6">
        <f>MONTH(AK1082)</f>
        <v/>
      </c>
      <c r="AK1082" s="267">
        <f>IFERROR(__xludf.DUMMYFUNCTION("""COMPUTED_VALUE"""),44175.9986111111)</f>
        <v/>
      </c>
      <c r="AL1082" s="6">
        <f>IFERROR(__xludf.DUMMYFUNCTION("""COMPUTED_VALUE"""),18248.09)</f>
        <v/>
      </c>
      <c r="AP1082" s="6">
        <f>AQ1082&amp;AR1082</f>
        <v/>
      </c>
      <c r="AQ1082" s="6">
        <f>YEAR(AS1082)</f>
        <v/>
      </c>
      <c r="AR1082" s="6">
        <f>MONTH(AS1082)</f>
        <v/>
      </c>
      <c r="AS1082" s="267">
        <f>IFERROR(__xludf.DUMMYFUNCTION("""COMPUTED_VALUE"""),44676.9986111111)</f>
        <v/>
      </c>
      <c r="AT1082" s="6">
        <f>IFERROR(__xludf.DUMMYFUNCTION("""COMPUTED_VALUE"""),1896)</f>
        <v/>
      </c>
    </row>
    <row r="1083">
      <c r="B1083" s="6">
        <f>C1083&amp;D1083</f>
        <v/>
      </c>
      <c r="C1083" s="6">
        <f>YEAR(E1083)</f>
        <v/>
      </c>
      <c r="D1083" s="6">
        <f>MONTH(E1083)</f>
        <v/>
      </c>
      <c r="E1083" s="267">
        <f>IFERROR(__xludf.DUMMYFUNCTION("""COMPUTED_VALUE"""),44669.6666666666)</f>
        <v/>
      </c>
      <c r="F1083" s="6">
        <f>IFERROR(__xludf.DUMMYFUNCTION("""COMPUTED_VALUE"""),4391.69)</f>
        <v/>
      </c>
      <c r="J1083" s="6">
        <f>K1083&amp;L1083</f>
        <v/>
      </c>
      <c r="K1083" s="6">
        <f>YEAR(M1083)</f>
        <v/>
      </c>
      <c r="L1083" s="6">
        <f>MONTH(M1083)</f>
        <v/>
      </c>
      <c r="M1083" s="267">
        <f>IFERROR(__xludf.DUMMYFUNCTION("""COMPUTED_VALUE"""),44659.6666666666)</f>
        <v/>
      </c>
      <c r="N1083" s="6">
        <f>IFERROR(__xludf.DUMMYFUNCTION("""COMPUTED_VALUE"""),13711)</f>
        <v/>
      </c>
      <c r="R1083" s="6">
        <f>S1083&amp;T1083</f>
        <v/>
      </c>
      <c r="S1083" s="6">
        <f>YEAR(U1083)</f>
        <v/>
      </c>
      <c r="T1083" s="6">
        <f>MONTH(U1083)</f>
        <v/>
      </c>
      <c r="U1083" s="267">
        <f>IFERROR(__xludf.DUMMYFUNCTION("""COMPUTED_VALUE"""),44708.6458333333)</f>
        <v/>
      </c>
      <c r="V1083" s="6">
        <f>IFERROR(__xludf.DUMMYFUNCTION("""COMPUTED_VALUE"""),2638.05)</f>
        <v/>
      </c>
      <c r="Z1083" s="6">
        <f>AA1083&amp;AB1083</f>
        <v/>
      </c>
      <c r="AA1083" s="6">
        <f>YEAR(AC1083)</f>
        <v/>
      </c>
      <c r="AB1083" s="6">
        <f>MONTH(AC1083)</f>
        <v/>
      </c>
      <c r="AC1083" s="267">
        <f>IFERROR(__xludf.DUMMYFUNCTION("""COMPUTED_VALUE"""),44228.9986111111)</f>
        <v/>
      </c>
      <c r="AD1083" s="6">
        <f>IFERROR(__xludf.DUMMYFUNCTION("""COMPUTED_VALUE"""),1116.88)</f>
        <v/>
      </c>
      <c r="AH1083" s="6">
        <f>AI1083&amp;AJ1083</f>
        <v/>
      </c>
      <c r="AI1083" s="6">
        <f>YEAR(AK1083)</f>
        <v/>
      </c>
      <c r="AJ1083" s="6">
        <f>MONTH(AK1083)</f>
        <v/>
      </c>
      <c r="AK1083" s="267">
        <f>IFERROR(__xludf.DUMMYFUNCTION("""COMPUTED_VALUE"""),44176.9986111111)</f>
        <v/>
      </c>
      <c r="AL1083" s="6">
        <f>IFERROR(__xludf.DUMMYFUNCTION("""COMPUTED_VALUE"""),18023.18)</f>
        <v/>
      </c>
      <c r="AP1083" s="6">
        <f>AQ1083&amp;AR1083</f>
        <v/>
      </c>
      <c r="AQ1083" s="6">
        <f>YEAR(AS1083)</f>
        <v/>
      </c>
      <c r="AR1083" s="6">
        <f>MONTH(AS1083)</f>
        <v/>
      </c>
      <c r="AS1083" s="267">
        <f>IFERROR(__xludf.DUMMYFUNCTION("""COMPUTED_VALUE"""),44677.9986111111)</f>
        <v/>
      </c>
      <c r="AT1083" s="6">
        <f>IFERROR(__xludf.DUMMYFUNCTION("""COMPUTED_VALUE"""),1904.1)</f>
        <v/>
      </c>
    </row>
    <row r="1084">
      <c r="B1084" s="6">
        <f>C1084&amp;D1084</f>
        <v/>
      </c>
      <c r="C1084" s="6">
        <f>YEAR(E1084)</f>
        <v/>
      </c>
      <c r="D1084" s="6">
        <f>MONTH(E1084)</f>
        <v/>
      </c>
      <c r="E1084" s="267">
        <f>IFERROR(__xludf.DUMMYFUNCTION("""COMPUTED_VALUE"""),44670.6666666666)</f>
        <v/>
      </c>
      <c r="F1084" s="6">
        <f>IFERROR(__xludf.DUMMYFUNCTION("""COMPUTED_VALUE"""),4462.21)</f>
        <v/>
      </c>
      <c r="J1084" s="6">
        <f>K1084&amp;L1084</f>
        <v/>
      </c>
      <c r="K1084" s="6">
        <f>YEAR(M1084)</f>
        <v/>
      </c>
      <c r="L1084" s="6">
        <f>MONTH(M1084)</f>
        <v/>
      </c>
      <c r="M1084" s="267">
        <f>IFERROR(__xludf.DUMMYFUNCTION("""COMPUTED_VALUE"""),44662.6666666666)</f>
        <v/>
      </c>
      <c r="N1084" s="6">
        <f>IFERROR(__xludf.DUMMYFUNCTION("""COMPUTED_VALUE"""),13411.96)</f>
        <v/>
      </c>
      <c r="R1084" s="6">
        <f>S1084&amp;T1084</f>
        <v/>
      </c>
      <c r="S1084" s="6">
        <f>YEAR(U1084)</f>
        <v/>
      </c>
      <c r="T1084" s="6">
        <f>MONTH(U1084)</f>
        <v/>
      </c>
      <c r="U1084" s="267">
        <f>IFERROR(__xludf.DUMMYFUNCTION("""COMPUTED_VALUE"""),44711.6458333333)</f>
        <v/>
      </c>
      <c r="V1084" s="6">
        <f>IFERROR(__xludf.DUMMYFUNCTION("""COMPUTED_VALUE"""),2669.66)</f>
        <v/>
      </c>
      <c r="Z1084" s="6">
        <f>AA1084&amp;AB1084</f>
        <v/>
      </c>
      <c r="AA1084" s="6">
        <f>YEAR(AC1084)</f>
        <v/>
      </c>
      <c r="AB1084" s="6">
        <f>MONTH(AC1084)</f>
        <v/>
      </c>
      <c r="AC1084" s="267">
        <f>IFERROR(__xludf.DUMMYFUNCTION("""COMPUTED_VALUE"""),44229.9986111111)</f>
        <v/>
      </c>
      <c r="AD1084" s="6">
        <f>IFERROR(__xludf.DUMMYFUNCTION("""COMPUTED_VALUE"""),1113.61)</f>
        <v/>
      </c>
      <c r="AH1084" s="6">
        <f>AI1084&amp;AJ1084</f>
        <v/>
      </c>
      <c r="AI1084" s="6">
        <f>YEAR(AK1084)</f>
        <v/>
      </c>
      <c r="AJ1084" s="6">
        <f>MONTH(AK1084)</f>
        <v/>
      </c>
      <c r="AK1084" s="267">
        <f>IFERROR(__xludf.DUMMYFUNCTION("""COMPUTED_VALUE"""),44177.9986111111)</f>
        <v/>
      </c>
      <c r="AL1084" s="6">
        <f>IFERROR(__xludf.DUMMYFUNCTION("""COMPUTED_VALUE"""),18810.76)</f>
        <v/>
      </c>
      <c r="AP1084" s="6">
        <f>AQ1084&amp;AR1084</f>
        <v/>
      </c>
      <c r="AQ1084" s="6">
        <f>YEAR(AS1084)</f>
        <v/>
      </c>
      <c r="AR1084" s="6">
        <f>MONTH(AS1084)</f>
        <v/>
      </c>
      <c r="AS1084" s="267">
        <f>IFERROR(__xludf.DUMMYFUNCTION("""COMPUTED_VALUE"""),44678.9986111111)</f>
        <v/>
      </c>
      <c r="AT1084" s="6">
        <f>IFERROR(__xludf.DUMMYFUNCTION("""COMPUTED_VALUE"""),1888.7)</f>
        <v/>
      </c>
    </row>
    <row r="1085">
      <c r="B1085" s="6">
        <f>C1085&amp;D1085</f>
        <v/>
      </c>
      <c r="C1085" s="6">
        <f>YEAR(E1085)</f>
        <v/>
      </c>
      <c r="D1085" s="6">
        <f>MONTH(E1085)</f>
        <v/>
      </c>
      <c r="E1085" s="267">
        <f>IFERROR(__xludf.DUMMYFUNCTION("""COMPUTED_VALUE"""),44671.6666666666)</f>
        <v/>
      </c>
      <c r="F1085" s="6">
        <f>IFERROR(__xludf.DUMMYFUNCTION("""COMPUTED_VALUE"""),4459.45)</f>
        <v/>
      </c>
      <c r="J1085" s="6">
        <f>K1085&amp;L1085</f>
        <v/>
      </c>
      <c r="K1085" s="6">
        <f>YEAR(M1085)</f>
        <v/>
      </c>
      <c r="L1085" s="6">
        <f>MONTH(M1085)</f>
        <v/>
      </c>
      <c r="M1085" s="267">
        <f>IFERROR(__xludf.DUMMYFUNCTION("""COMPUTED_VALUE"""),44663.6666666666)</f>
        <v/>
      </c>
      <c r="N1085" s="6">
        <f>IFERROR(__xludf.DUMMYFUNCTION("""COMPUTED_VALUE"""),13371.57)</f>
        <v/>
      </c>
      <c r="R1085" s="6">
        <f>S1085&amp;T1085</f>
        <v/>
      </c>
      <c r="S1085" s="6">
        <f>YEAR(U1085)</f>
        <v/>
      </c>
      <c r="T1085" s="6">
        <f>MONTH(U1085)</f>
        <v/>
      </c>
      <c r="U1085" s="267">
        <f>IFERROR(__xludf.DUMMYFUNCTION("""COMPUTED_VALUE"""),44712.6458333333)</f>
        <v/>
      </c>
      <c r="V1085" s="6">
        <f>IFERROR(__xludf.DUMMYFUNCTION("""COMPUTED_VALUE"""),2685.9)</f>
        <v/>
      </c>
      <c r="Z1085" s="6">
        <f>AA1085&amp;AB1085</f>
        <v/>
      </c>
      <c r="AA1085" s="6">
        <f>YEAR(AC1085)</f>
        <v/>
      </c>
      <c r="AB1085" s="6">
        <f>MONTH(AC1085)</f>
        <v/>
      </c>
      <c r="AC1085" s="267">
        <f>IFERROR(__xludf.DUMMYFUNCTION("""COMPUTED_VALUE"""),44230.9986111111)</f>
        <v/>
      </c>
      <c r="AD1085" s="6">
        <f>IFERROR(__xludf.DUMMYFUNCTION("""COMPUTED_VALUE"""),1113.15)</f>
        <v/>
      </c>
      <c r="AH1085" s="6">
        <f>AI1085&amp;AJ1085</f>
        <v/>
      </c>
      <c r="AI1085" s="6">
        <f>YEAR(AK1085)</f>
        <v/>
      </c>
      <c r="AJ1085" s="6">
        <f>MONTH(AK1085)</f>
        <v/>
      </c>
      <c r="AK1085" s="267">
        <f>IFERROR(__xludf.DUMMYFUNCTION("""COMPUTED_VALUE"""),44178.9986111111)</f>
        <v/>
      </c>
      <c r="AL1085" s="6">
        <f>IFERROR(__xludf.DUMMYFUNCTION("""COMPUTED_VALUE"""),19166.16)</f>
        <v/>
      </c>
      <c r="AP1085" s="6">
        <f>AQ1085&amp;AR1085</f>
        <v/>
      </c>
      <c r="AQ1085" s="6">
        <f>YEAR(AS1085)</f>
        <v/>
      </c>
      <c r="AR1085" s="6">
        <f>MONTH(AS1085)</f>
        <v/>
      </c>
      <c r="AS1085" s="267">
        <f>IFERROR(__xludf.DUMMYFUNCTION("""COMPUTED_VALUE"""),44679.9986111111)</f>
        <v/>
      </c>
      <c r="AT1085" s="6">
        <f>IFERROR(__xludf.DUMMYFUNCTION("""COMPUTED_VALUE"""),1891.3)</f>
        <v/>
      </c>
    </row>
    <row r="1086">
      <c r="B1086" s="6">
        <f>C1086&amp;D1086</f>
        <v/>
      </c>
      <c r="C1086" s="6">
        <f>YEAR(E1086)</f>
        <v/>
      </c>
      <c r="D1086" s="6">
        <f>MONTH(E1086)</f>
        <v/>
      </c>
      <c r="E1086" s="267">
        <f>IFERROR(__xludf.DUMMYFUNCTION("""COMPUTED_VALUE"""),44672.6666666666)</f>
        <v/>
      </c>
      <c r="F1086" s="6">
        <f>IFERROR(__xludf.DUMMYFUNCTION("""COMPUTED_VALUE"""),4393.66)</f>
        <v/>
      </c>
      <c r="J1086" s="6">
        <f>K1086&amp;L1086</f>
        <v/>
      </c>
      <c r="K1086" s="6">
        <f>YEAR(M1086)</f>
        <v/>
      </c>
      <c r="L1086" s="6">
        <f>MONTH(M1086)</f>
        <v/>
      </c>
      <c r="M1086" s="267">
        <f>IFERROR(__xludf.DUMMYFUNCTION("""COMPUTED_VALUE"""),44664.6666666666)</f>
        <v/>
      </c>
      <c r="N1086" s="6">
        <f>IFERROR(__xludf.DUMMYFUNCTION("""COMPUTED_VALUE"""),13643.59)</f>
        <v/>
      </c>
      <c r="R1086" s="6">
        <f>S1086&amp;T1086</f>
        <v/>
      </c>
      <c r="S1086" s="6">
        <f>YEAR(U1086)</f>
        <v/>
      </c>
      <c r="T1086" s="6">
        <f>MONTH(U1086)</f>
        <v/>
      </c>
      <c r="U1086" s="267">
        <f>IFERROR(__xludf.DUMMYFUNCTION("""COMPUTED_VALUE"""),44714.6458333333)</f>
        <v/>
      </c>
      <c r="V1086" s="6">
        <f>IFERROR(__xludf.DUMMYFUNCTION("""COMPUTED_VALUE"""),2658.99)</f>
        <v/>
      </c>
      <c r="Z1086" s="6">
        <f>AA1086&amp;AB1086</f>
        <v/>
      </c>
      <c r="AA1086" s="6">
        <f>YEAR(AC1086)</f>
        <v/>
      </c>
      <c r="AB1086" s="6">
        <f>MONTH(AC1086)</f>
        <v/>
      </c>
      <c r="AC1086" s="267">
        <f>IFERROR(__xludf.DUMMYFUNCTION("""COMPUTED_VALUE"""),44231.9986111111)</f>
        <v/>
      </c>
      <c r="AD1086" s="6">
        <f>IFERROR(__xludf.DUMMYFUNCTION("""COMPUTED_VALUE"""),1119.13)</f>
        <v/>
      </c>
      <c r="AH1086" s="6">
        <f>AI1086&amp;AJ1086</f>
        <v/>
      </c>
      <c r="AI1086" s="6">
        <f>YEAR(AK1086)</f>
        <v/>
      </c>
      <c r="AJ1086" s="6">
        <f>MONTH(AK1086)</f>
        <v/>
      </c>
      <c r="AK1086" s="267">
        <f>IFERROR(__xludf.DUMMYFUNCTION("""COMPUTED_VALUE"""),44179.9986111111)</f>
        <v/>
      </c>
      <c r="AL1086" s="6">
        <f>IFERROR(__xludf.DUMMYFUNCTION("""COMPUTED_VALUE"""),19274.74)</f>
        <v/>
      </c>
      <c r="AP1086" s="6">
        <f>AQ1086&amp;AR1086</f>
        <v/>
      </c>
      <c r="AQ1086" s="6">
        <f>YEAR(AS1086)</f>
        <v/>
      </c>
      <c r="AR1086" s="6">
        <f>MONTH(AS1086)</f>
        <v/>
      </c>
      <c r="AS1086" s="267">
        <f>IFERROR(__xludf.DUMMYFUNCTION("""COMPUTED_VALUE"""),44680.9986111111)</f>
        <v/>
      </c>
      <c r="AT1086" s="6">
        <f>IFERROR(__xludf.DUMMYFUNCTION("""COMPUTED_VALUE"""),1911.7)</f>
        <v/>
      </c>
    </row>
    <row r="1087">
      <c r="B1087" s="6">
        <f>C1087&amp;D1087</f>
        <v/>
      </c>
      <c r="C1087" s="6">
        <f>YEAR(E1087)</f>
        <v/>
      </c>
      <c r="D1087" s="6">
        <f>MONTH(E1087)</f>
        <v/>
      </c>
      <c r="E1087" s="267">
        <f>IFERROR(__xludf.DUMMYFUNCTION("""COMPUTED_VALUE"""),44673.6666666666)</f>
        <v/>
      </c>
      <c r="F1087" s="6">
        <f>IFERROR(__xludf.DUMMYFUNCTION("""COMPUTED_VALUE"""),4271.78)</f>
        <v/>
      </c>
      <c r="J1087" s="6">
        <f>K1087&amp;L1087</f>
        <v/>
      </c>
      <c r="K1087" s="6">
        <f>YEAR(M1087)</f>
        <v/>
      </c>
      <c r="L1087" s="6">
        <f>MONTH(M1087)</f>
        <v/>
      </c>
      <c r="M1087" s="267">
        <f>IFERROR(__xludf.DUMMYFUNCTION("""COMPUTED_VALUE"""),44665.6666666666)</f>
        <v/>
      </c>
      <c r="N1087" s="6">
        <f>IFERROR(__xludf.DUMMYFUNCTION("""COMPUTED_VALUE"""),13351.08)</f>
        <v/>
      </c>
      <c r="R1087" s="6">
        <f>S1087&amp;T1087</f>
        <v/>
      </c>
      <c r="S1087" s="6">
        <f>YEAR(U1087)</f>
        <v/>
      </c>
      <c r="T1087" s="6">
        <f>MONTH(U1087)</f>
        <v/>
      </c>
      <c r="U1087" s="267">
        <f>IFERROR(__xludf.DUMMYFUNCTION("""COMPUTED_VALUE"""),44715.6458333333)</f>
        <v/>
      </c>
      <c r="V1087" s="6">
        <f>IFERROR(__xludf.DUMMYFUNCTION("""COMPUTED_VALUE"""),2670.65)</f>
        <v/>
      </c>
      <c r="Z1087" s="6">
        <f>AA1087&amp;AB1087</f>
        <v/>
      </c>
      <c r="AA1087" s="6">
        <f>YEAR(AC1087)</f>
        <v/>
      </c>
      <c r="AB1087" s="6">
        <f>MONTH(AC1087)</f>
        <v/>
      </c>
      <c r="AC1087" s="267">
        <f>IFERROR(__xludf.DUMMYFUNCTION("""COMPUTED_VALUE"""),44232.9986111111)</f>
        <v/>
      </c>
      <c r="AD1087" s="6">
        <f>IFERROR(__xludf.DUMMYFUNCTION("""COMPUTED_VALUE"""),1116.85)</f>
        <v/>
      </c>
      <c r="AH1087" s="6">
        <f>AI1087&amp;AJ1087</f>
        <v/>
      </c>
      <c r="AI1087" s="6">
        <f>YEAR(AK1087)</f>
        <v/>
      </c>
      <c r="AJ1087" s="6">
        <f>MONTH(AK1087)</f>
        <v/>
      </c>
      <c r="AK1087" s="267">
        <f>IFERROR(__xludf.DUMMYFUNCTION("""COMPUTED_VALUE"""),44180.9986111111)</f>
        <v/>
      </c>
      <c r="AL1087" s="6">
        <f>IFERROR(__xludf.DUMMYFUNCTION("""COMPUTED_VALUE"""),19435.53)</f>
        <v/>
      </c>
      <c r="AP1087" s="6">
        <f>AQ1087&amp;AR1087</f>
        <v/>
      </c>
      <c r="AQ1087" s="6">
        <f>YEAR(AS1087)</f>
        <v/>
      </c>
      <c r="AR1087" s="6">
        <f>MONTH(AS1087)</f>
        <v/>
      </c>
      <c r="AS1087" s="267">
        <f>IFERROR(__xludf.DUMMYFUNCTION("""COMPUTED_VALUE"""),44683.9986111111)</f>
        <v/>
      </c>
      <c r="AT1087" s="6">
        <f>IFERROR(__xludf.DUMMYFUNCTION("""COMPUTED_VALUE"""),1863.6)</f>
        <v/>
      </c>
    </row>
    <row r="1088">
      <c r="B1088" s="6">
        <f>C1088&amp;D1088</f>
        <v/>
      </c>
      <c r="C1088" s="6">
        <f>YEAR(E1088)</f>
        <v/>
      </c>
      <c r="D1088" s="6">
        <f>MONTH(E1088)</f>
        <v/>
      </c>
      <c r="E1088" s="267">
        <f>IFERROR(__xludf.DUMMYFUNCTION("""COMPUTED_VALUE"""),44676.6666666666)</f>
        <v/>
      </c>
      <c r="F1088" s="6">
        <f>IFERROR(__xludf.DUMMYFUNCTION("""COMPUTED_VALUE"""),4296.12)</f>
        <v/>
      </c>
      <c r="J1088" s="6">
        <f>K1088&amp;L1088</f>
        <v/>
      </c>
      <c r="K1088" s="6">
        <f>YEAR(M1088)</f>
        <v/>
      </c>
      <c r="L1088" s="6">
        <f>MONTH(M1088)</f>
        <v/>
      </c>
      <c r="M1088" s="267">
        <f>IFERROR(__xludf.DUMMYFUNCTION("""COMPUTED_VALUE"""),44669.6666666666)</f>
        <v/>
      </c>
      <c r="N1088" s="6">
        <f>IFERROR(__xludf.DUMMYFUNCTION("""COMPUTED_VALUE"""),13332.36)</f>
        <v/>
      </c>
      <c r="R1088" s="6">
        <f>S1088&amp;T1088</f>
        <v/>
      </c>
      <c r="S1088" s="6">
        <f>YEAR(U1088)</f>
        <v/>
      </c>
      <c r="T1088" s="6">
        <f>MONTH(U1088)</f>
        <v/>
      </c>
      <c r="U1088" s="267">
        <f>IFERROR(__xludf.DUMMYFUNCTION("""COMPUTED_VALUE"""),44719.6458333333)</f>
        <v/>
      </c>
      <c r="V1088" s="6">
        <f>IFERROR(__xludf.DUMMYFUNCTION("""COMPUTED_VALUE"""),2626.34)</f>
        <v/>
      </c>
      <c r="Z1088" s="6">
        <f>AA1088&amp;AB1088</f>
        <v/>
      </c>
      <c r="AA1088" s="6">
        <f>YEAR(AC1088)</f>
        <v/>
      </c>
      <c r="AB1088" s="6">
        <f>MONTH(AC1088)</f>
        <v/>
      </c>
      <c r="AC1088" s="267">
        <f>IFERROR(__xludf.DUMMYFUNCTION("""COMPUTED_VALUE"""),44233.9986111111)</f>
        <v/>
      </c>
      <c r="AD1088" s="6">
        <f>IFERROR(__xludf.DUMMYFUNCTION("""COMPUTED_VALUE"""),1116.85)</f>
        <v/>
      </c>
      <c r="AH1088" s="6">
        <f>AI1088&amp;AJ1088</f>
        <v/>
      </c>
      <c r="AI1088" s="6">
        <f>YEAR(AK1088)</f>
        <v/>
      </c>
      <c r="AJ1088" s="6">
        <f>MONTH(AK1088)</f>
        <v/>
      </c>
      <c r="AK1088" s="267">
        <f>IFERROR(__xludf.DUMMYFUNCTION("""COMPUTED_VALUE"""),44181.9986111111)</f>
        <v/>
      </c>
      <c r="AL1088" s="6">
        <f>IFERROR(__xludf.DUMMYFUNCTION("""COMPUTED_VALUE"""),21354.81)</f>
        <v/>
      </c>
      <c r="AP1088" s="6">
        <f>AQ1088&amp;AR1088</f>
        <v/>
      </c>
      <c r="AQ1088" s="6">
        <f>YEAR(AS1088)</f>
        <v/>
      </c>
      <c r="AR1088" s="6">
        <f>MONTH(AS1088)</f>
        <v/>
      </c>
      <c r="AS1088" s="267">
        <f>IFERROR(__xludf.DUMMYFUNCTION("""COMPUTED_VALUE"""),44684.9986111111)</f>
        <v/>
      </c>
      <c r="AT1088" s="6">
        <f>IFERROR(__xludf.DUMMYFUNCTION("""COMPUTED_VALUE"""),1870.6)</f>
        <v/>
      </c>
    </row>
    <row r="1089">
      <c r="B1089" s="6">
        <f>C1089&amp;D1089</f>
        <v/>
      </c>
      <c r="C1089" s="6">
        <f>YEAR(E1089)</f>
        <v/>
      </c>
      <c r="D1089" s="6">
        <f>MONTH(E1089)</f>
        <v/>
      </c>
      <c r="E1089" s="267">
        <f>IFERROR(__xludf.DUMMYFUNCTION("""COMPUTED_VALUE"""),44677.6666666666)</f>
        <v/>
      </c>
      <c r="F1089" s="6">
        <f>IFERROR(__xludf.DUMMYFUNCTION("""COMPUTED_VALUE"""),4175.2)</f>
        <v/>
      </c>
      <c r="J1089" s="6">
        <f>K1089&amp;L1089</f>
        <v/>
      </c>
      <c r="K1089" s="6">
        <f>YEAR(M1089)</f>
        <v/>
      </c>
      <c r="L1089" s="6">
        <f>MONTH(M1089)</f>
        <v/>
      </c>
      <c r="M1089" s="267">
        <f>IFERROR(__xludf.DUMMYFUNCTION("""COMPUTED_VALUE"""),44670.6666666666)</f>
        <v/>
      </c>
      <c r="N1089" s="6">
        <f>IFERROR(__xludf.DUMMYFUNCTION("""COMPUTED_VALUE"""),13619.66)</f>
        <v/>
      </c>
      <c r="R1089" s="6">
        <f>S1089&amp;T1089</f>
        <v/>
      </c>
      <c r="S1089" s="6">
        <f>YEAR(U1089)</f>
        <v/>
      </c>
      <c r="T1089" s="6">
        <f>MONTH(U1089)</f>
        <v/>
      </c>
      <c r="U1089" s="267">
        <f>IFERROR(__xludf.DUMMYFUNCTION("""COMPUTED_VALUE"""),44720.6458333333)</f>
        <v/>
      </c>
      <c r="V1089" s="6">
        <f>IFERROR(__xludf.DUMMYFUNCTION("""COMPUTED_VALUE"""),2626.15)</f>
        <v/>
      </c>
      <c r="Z1089" s="6">
        <f>AA1089&amp;AB1089</f>
        <v/>
      </c>
      <c r="AA1089" s="6">
        <f>YEAR(AC1089)</f>
        <v/>
      </c>
      <c r="AB1089" s="6">
        <f>MONTH(AC1089)</f>
        <v/>
      </c>
      <c r="AC1089" s="267">
        <f>IFERROR(__xludf.DUMMYFUNCTION("""COMPUTED_VALUE"""),44234.9986111111)</f>
        <v/>
      </c>
      <c r="AD1089" s="6">
        <f>IFERROR(__xludf.DUMMYFUNCTION("""COMPUTED_VALUE"""),1116.85)</f>
        <v/>
      </c>
      <c r="AH1089" s="6">
        <f>AI1089&amp;AJ1089</f>
        <v/>
      </c>
      <c r="AI1089" s="6">
        <f>YEAR(AK1089)</f>
        <v/>
      </c>
      <c r="AJ1089" s="6">
        <f>MONTH(AK1089)</f>
        <v/>
      </c>
      <c r="AK1089" s="267">
        <f>IFERROR(__xludf.DUMMYFUNCTION("""COMPUTED_VALUE"""),44182.9986111111)</f>
        <v/>
      </c>
      <c r="AL1089" s="6">
        <f>IFERROR(__xludf.DUMMYFUNCTION("""COMPUTED_VALUE"""),22831.94)</f>
        <v/>
      </c>
      <c r="AP1089" s="6">
        <f>AQ1089&amp;AR1089</f>
        <v/>
      </c>
      <c r="AQ1089" s="6">
        <f>YEAR(AS1089)</f>
        <v/>
      </c>
      <c r="AR1089" s="6">
        <f>MONTH(AS1089)</f>
        <v/>
      </c>
      <c r="AS1089" s="267">
        <f>IFERROR(__xludf.DUMMYFUNCTION("""COMPUTED_VALUE"""),44685.9986111111)</f>
        <v/>
      </c>
      <c r="AT1089" s="6">
        <f>IFERROR(__xludf.DUMMYFUNCTION("""COMPUTED_VALUE"""),1868.8)</f>
        <v/>
      </c>
    </row>
    <row r="1090">
      <c r="B1090" s="6">
        <f>C1090&amp;D1090</f>
        <v/>
      </c>
      <c r="C1090" s="6">
        <f>YEAR(E1090)</f>
        <v/>
      </c>
      <c r="D1090" s="6">
        <f>MONTH(E1090)</f>
        <v/>
      </c>
      <c r="E1090" s="267">
        <f>IFERROR(__xludf.DUMMYFUNCTION("""COMPUTED_VALUE"""),44678.6666666666)</f>
        <v/>
      </c>
      <c r="F1090" s="6">
        <f>IFERROR(__xludf.DUMMYFUNCTION("""COMPUTED_VALUE"""),4183.96)</f>
        <v/>
      </c>
      <c r="J1090" s="6">
        <f>K1090&amp;L1090</f>
        <v/>
      </c>
      <c r="K1090" s="6">
        <f>YEAR(M1090)</f>
        <v/>
      </c>
      <c r="L1090" s="6">
        <f>MONTH(M1090)</f>
        <v/>
      </c>
      <c r="M1090" s="267">
        <f>IFERROR(__xludf.DUMMYFUNCTION("""COMPUTED_VALUE"""),44671.6666666666)</f>
        <v/>
      </c>
      <c r="N1090" s="6">
        <f>IFERROR(__xludf.DUMMYFUNCTION("""COMPUTED_VALUE"""),13453.07)</f>
        <v/>
      </c>
      <c r="R1090" s="6">
        <f>S1090&amp;T1090</f>
        <v/>
      </c>
      <c r="S1090" s="6">
        <f>YEAR(U1090)</f>
        <v/>
      </c>
      <c r="T1090" s="6">
        <f>MONTH(U1090)</f>
        <v/>
      </c>
      <c r="U1090" s="267">
        <f>IFERROR(__xludf.DUMMYFUNCTION("""COMPUTED_VALUE"""),44721.6458333333)</f>
        <v/>
      </c>
      <c r="V1090" s="6">
        <f>IFERROR(__xludf.DUMMYFUNCTION("""COMPUTED_VALUE"""),2625.44)</f>
        <v/>
      </c>
      <c r="Z1090" s="6">
        <f>AA1090&amp;AB1090</f>
        <v/>
      </c>
      <c r="AA1090" s="6">
        <f>YEAR(AC1090)</f>
        <v/>
      </c>
      <c r="AB1090" s="6">
        <f>MONTH(AC1090)</f>
        <v/>
      </c>
      <c r="AC1090" s="267">
        <f>IFERROR(__xludf.DUMMYFUNCTION("""COMPUTED_VALUE"""),44235.9986111111)</f>
        <v/>
      </c>
      <c r="AD1090" s="6">
        <f>IFERROR(__xludf.DUMMYFUNCTION("""COMPUTED_VALUE"""),1116.33)</f>
        <v/>
      </c>
      <c r="AH1090" s="6">
        <f>AI1090&amp;AJ1090</f>
        <v/>
      </c>
      <c r="AI1090" s="6">
        <f>YEAR(AK1090)</f>
        <v/>
      </c>
      <c r="AJ1090" s="6">
        <f>MONTH(AK1090)</f>
        <v/>
      </c>
      <c r="AK1090" s="267">
        <f>IFERROR(__xludf.DUMMYFUNCTION("""COMPUTED_VALUE"""),44183.9986111111)</f>
        <v/>
      </c>
      <c r="AL1090" s="6">
        <f>IFERROR(__xludf.DUMMYFUNCTION("""COMPUTED_VALUE"""),23137.34)</f>
        <v/>
      </c>
      <c r="AP1090" s="6">
        <f>AQ1090&amp;AR1090</f>
        <v/>
      </c>
      <c r="AQ1090" s="6">
        <f>YEAR(AS1090)</f>
        <v/>
      </c>
      <c r="AR1090" s="6">
        <f>MONTH(AS1090)</f>
        <v/>
      </c>
      <c r="AS1090" s="267">
        <f>IFERROR(__xludf.DUMMYFUNCTION("""COMPUTED_VALUE"""),44686.9986111111)</f>
        <v/>
      </c>
      <c r="AT1090" s="6">
        <f>IFERROR(__xludf.DUMMYFUNCTION("""COMPUTED_VALUE"""),1875.7)</f>
        <v/>
      </c>
    </row>
    <row r="1091">
      <c r="B1091" s="6">
        <f>C1091&amp;D1091</f>
        <v/>
      </c>
      <c r="C1091" s="6">
        <f>YEAR(E1091)</f>
        <v/>
      </c>
      <c r="D1091" s="6">
        <f>MONTH(E1091)</f>
        <v/>
      </c>
      <c r="E1091" s="267">
        <f>IFERROR(__xludf.DUMMYFUNCTION("""COMPUTED_VALUE"""),44679.6666666666)</f>
        <v/>
      </c>
      <c r="F1091" s="6">
        <f>IFERROR(__xludf.DUMMYFUNCTION("""COMPUTED_VALUE"""),4287.5)</f>
        <v/>
      </c>
      <c r="J1091" s="6">
        <f>K1091&amp;L1091</f>
        <v/>
      </c>
      <c r="K1091" s="6">
        <f>YEAR(M1091)</f>
        <v/>
      </c>
      <c r="L1091" s="6">
        <f>MONTH(M1091)</f>
        <v/>
      </c>
      <c r="M1091" s="267">
        <f>IFERROR(__xludf.DUMMYFUNCTION("""COMPUTED_VALUE"""),44672.6666666666)</f>
        <v/>
      </c>
      <c r="N1091" s="6">
        <f>IFERROR(__xludf.DUMMYFUNCTION("""COMPUTED_VALUE"""),13174.65)</f>
        <v/>
      </c>
      <c r="R1091" s="6">
        <f>S1091&amp;T1091</f>
        <v/>
      </c>
      <c r="S1091" s="6">
        <f>YEAR(U1091)</f>
        <v/>
      </c>
      <c r="T1091" s="6">
        <f>MONTH(U1091)</f>
        <v/>
      </c>
      <c r="U1091" s="267">
        <f>IFERROR(__xludf.DUMMYFUNCTION("""COMPUTED_VALUE"""),44722.6458333333)</f>
        <v/>
      </c>
      <c r="V1091" s="6">
        <f>IFERROR(__xludf.DUMMYFUNCTION("""COMPUTED_VALUE"""),2595.87)</f>
        <v/>
      </c>
      <c r="Z1091" s="6">
        <f>AA1091&amp;AB1091</f>
        <v/>
      </c>
      <c r="AA1091" s="6">
        <f>YEAR(AC1091)</f>
        <v/>
      </c>
      <c r="AB1091" s="6">
        <f>MONTH(AC1091)</f>
        <v/>
      </c>
      <c r="AC1091" s="267">
        <f>IFERROR(__xludf.DUMMYFUNCTION("""COMPUTED_VALUE"""),44236.9986111111)</f>
        <v/>
      </c>
      <c r="AD1091" s="6">
        <f>IFERROR(__xludf.DUMMYFUNCTION("""COMPUTED_VALUE"""),1110)</f>
        <v/>
      </c>
      <c r="AH1091" s="6">
        <f>AI1091&amp;AJ1091</f>
        <v/>
      </c>
      <c r="AI1091" s="6">
        <f>YEAR(AK1091)</f>
        <v/>
      </c>
      <c r="AJ1091" s="6">
        <f>MONTH(AK1091)</f>
        <v/>
      </c>
      <c r="AK1091" s="267">
        <f>IFERROR(__xludf.DUMMYFUNCTION("""COMPUTED_VALUE"""),44184.9986111111)</f>
        <v/>
      </c>
      <c r="AL1091" s="6">
        <f>IFERROR(__xludf.DUMMYFUNCTION("""COMPUTED_VALUE"""),23841.97)</f>
        <v/>
      </c>
      <c r="AP1091" s="6">
        <f>AQ1091&amp;AR1091</f>
        <v/>
      </c>
      <c r="AQ1091" s="6">
        <f>YEAR(AS1091)</f>
        <v/>
      </c>
      <c r="AR1091" s="6">
        <f>MONTH(AS1091)</f>
        <v/>
      </c>
      <c r="AS1091" s="267">
        <f>IFERROR(__xludf.DUMMYFUNCTION("""COMPUTED_VALUE"""),44687.9986111111)</f>
        <v/>
      </c>
      <c r="AT1091" s="6">
        <f>IFERROR(__xludf.DUMMYFUNCTION("""COMPUTED_VALUE"""),1882.8)</f>
        <v/>
      </c>
    </row>
    <row r="1092">
      <c r="B1092" s="6">
        <f>C1092&amp;D1092</f>
        <v/>
      </c>
      <c r="C1092" s="6">
        <f>YEAR(E1092)</f>
        <v/>
      </c>
      <c r="D1092" s="6">
        <f>MONTH(E1092)</f>
        <v/>
      </c>
      <c r="E1092" s="267">
        <f>IFERROR(__xludf.DUMMYFUNCTION("""COMPUTED_VALUE"""),44680.6666666666)</f>
        <v/>
      </c>
      <c r="F1092" s="6">
        <f>IFERROR(__xludf.DUMMYFUNCTION("""COMPUTED_VALUE"""),4131.93)</f>
        <v/>
      </c>
      <c r="J1092" s="6">
        <f>K1092&amp;L1092</f>
        <v/>
      </c>
      <c r="K1092" s="6">
        <f>YEAR(M1092)</f>
        <v/>
      </c>
      <c r="L1092" s="6">
        <f>MONTH(M1092)</f>
        <v/>
      </c>
      <c r="M1092" s="267">
        <f>IFERROR(__xludf.DUMMYFUNCTION("""COMPUTED_VALUE"""),44673.6666666666)</f>
        <v/>
      </c>
      <c r="N1092" s="6">
        <f>IFERROR(__xludf.DUMMYFUNCTION("""COMPUTED_VALUE"""),12839.29)</f>
        <v/>
      </c>
      <c r="R1092" s="6">
        <f>S1092&amp;T1092</f>
        <v/>
      </c>
      <c r="S1092" s="6">
        <f>YEAR(U1092)</f>
        <v/>
      </c>
      <c r="T1092" s="6">
        <f>MONTH(U1092)</f>
        <v/>
      </c>
      <c r="U1092" s="267">
        <f>IFERROR(__xludf.DUMMYFUNCTION("""COMPUTED_VALUE"""),44725.6458333333)</f>
        <v/>
      </c>
      <c r="V1092" s="6">
        <f>IFERROR(__xludf.DUMMYFUNCTION("""COMPUTED_VALUE"""),2504.51)</f>
        <v/>
      </c>
      <c r="Z1092" s="6">
        <f>AA1092&amp;AB1092</f>
        <v/>
      </c>
      <c r="AA1092" s="6">
        <f>YEAR(AC1092)</f>
        <v/>
      </c>
      <c r="AB1092" s="6">
        <f>MONTH(AC1092)</f>
        <v/>
      </c>
      <c r="AC1092" s="267">
        <f>IFERROR(__xludf.DUMMYFUNCTION("""COMPUTED_VALUE"""),44237.9986111111)</f>
        <v/>
      </c>
      <c r="AD1092" s="6">
        <f>IFERROR(__xludf.DUMMYFUNCTION("""COMPUTED_VALUE"""),1103.98)</f>
        <v/>
      </c>
      <c r="AH1092" s="6">
        <f>AI1092&amp;AJ1092</f>
        <v/>
      </c>
      <c r="AI1092" s="6">
        <f>YEAR(AK1092)</f>
        <v/>
      </c>
      <c r="AJ1092" s="6">
        <f>MONTH(AK1092)</f>
        <v/>
      </c>
      <c r="AK1092" s="267">
        <f>IFERROR(__xludf.DUMMYFUNCTION("""COMPUTED_VALUE"""),44185.9986111111)</f>
        <v/>
      </c>
      <c r="AL1092" s="6">
        <f>IFERROR(__xludf.DUMMYFUNCTION("""COMPUTED_VALUE"""),23472.68)</f>
        <v/>
      </c>
      <c r="AP1092" s="6">
        <f>AQ1092&amp;AR1092</f>
        <v/>
      </c>
      <c r="AQ1092" s="6">
        <f>YEAR(AS1092)</f>
        <v/>
      </c>
      <c r="AR1092" s="6">
        <f>MONTH(AS1092)</f>
        <v/>
      </c>
      <c r="AS1092" s="267">
        <f>IFERROR(__xludf.DUMMYFUNCTION("""COMPUTED_VALUE"""),44690.9986111111)</f>
        <v/>
      </c>
      <c r="AT1092" s="6">
        <f>IFERROR(__xludf.DUMMYFUNCTION("""COMPUTED_VALUE"""),1858.6)</f>
        <v/>
      </c>
    </row>
    <row r="1093">
      <c r="B1093" s="6">
        <f>C1093&amp;D1093</f>
        <v/>
      </c>
      <c r="C1093" s="6">
        <f>YEAR(E1093)</f>
        <v/>
      </c>
      <c r="D1093" s="6">
        <f>MONTH(E1093)</f>
        <v/>
      </c>
      <c r="E1093" s="267">
        <f>IFERROR(__xludf.DUMMYFUNCTION("""COMPUTED_VALUE"""),44683.6666666666)</f>
        <v/>
      </c>
      <c r="F1093" s="6">
        <f>IFERROR(__xludf.DUMMYFUNCTION("""COMPUTED_VALUE"""),4155.38)</f>
        <v/>
      </c>
      <c r="J1093" s="6">
        <f>K1093&amp;L1093</f>
        <v/>
      </c>
      <c r="K1093" s="6">
        <f>YEAR(M1093)</f>
        <v/>
      </c>
      <c r="L1093" s="6">
        <f>MONTH(M1093)</f>
        <v/>
      </c>
      <c r="M1093" s="267">
        <f>IFERROR(__xludf.DUMMYFUNCTION("""COMPUTED_VALUE"""),44676.6666666666)</f>
        <v/>
      </c>
      <c r="N1093" s="6">
        <f>IFERROR(__xludf.DUMMYFUNCTION("""COMPUTED_VALUE"""),13004.85)</f>
        <v/>
      </c>
      <c r="R1093" s="6">
        <f>S1093&amp;T1093</f>
        <v/>
      </c>
      <c r="S1093" s="6">
        <f>YEAR(U1093)</f>
        <v/>
      </c>
      <c r="T1093" s="6">
        <f>MONTH(U1093)</f>
        <v/>
      </c>
      <c r="U1093" s="267">
        <f>IFERROR(__xludf.DUMMYFUNCTION("""COMPUTED_VALUE"""),44726.6458333333)</f>
        <v/>
      </c>
      <c r="V1093" s="6">
        <f>IFERROR(__xludf.DUMMYFUNCTION("""COMPUTED_VALUE"""),2492.97)</f>
        <v/>
      </c>
      <c r="Z1093" s="6">
        <f>AA1093&amp;AB1093</f>
        <v/>
      </c>
      <c r="AA1093" s="6">
        <f>YEAR(AC1093)</f>
        <v/>
      </c>
      <c r="AB1093" s="6">
        <f>MONTH(AC1093)</f>
        <v/>
      </c>
      <c r="AC1093" s="267">
        <f>IFERROR(__xludf.DUMMYFUNCTION("""COMPUTED_VALUE"""),44238.9986111111)</f>
        <v/>
      </c>
      <c r="AD1093" s="6">
        <f>IFERROR(__xludf.DUMMYFUNCTION("""COMPUTED_VALUE"""),1102.22)</f>
        <v/>
      </c>
      <c r="AH1093" s="6">
        <f>AI1093&amp;AJ1093</f>
        <v/>
      </c>
      <c r="AI1093" s="6">
        <f>YEAR(AK1093)</f>
        <v/>
      </c>
      <c r="AJ1093" s="6">
        <f>MONTH(AK1093)</f>
        <v/>
      </c>
      <c r="AK1093" s="267">
        <f>IFERROR(__xludf.DUMMYFUNCTION("""COMPUTED_VALUE"""),44186.9986111111)</f>
        <v/>
      </c>
      <c r="AL1093" s="6">
        <f>IFERROR(__xludf.DUMMYFUNCTION("""COMPUTED_VALUE"""),22709.7)</f>
        <v/>
      </c>
      <c r="AP1093" s="6">
        <f>AQ1093&amp;AR1093</f>
        <v/>
      </c>
      <c r="AQ1093" s="6">
        <f>YEAR(AS1093)</f>
        <v/>
      </c>
      <c r="AR1093" s="6">
        <f>MONTH(AS1093)</f>
        <v/>
      </c>
      <c r="AS1093" s="267">
        <f>IFERROR(__xludf.DUMMYFUNCTION("""COMPUTED_VALUE"""),44691.9986111111)</f>
        <v/>
      </c>
      <c r="AT1093" s="6">
        <f>IFERROR(__xludf.DUMMYFUNCTION("""COMPUTED_VALUE"""),1841)</f>
        <v/>
      </c>
    </row>
    <row r="1094">
      <c r="B1094" s="6">
        <f>C1094&amp;D1094</f>
        <v/>
      </c>
      <c r="C1094" s="6">
        <f>YEAR(E1094)</f>
        <v/>
      </c>
      <c r="D1094" s="6">
        <f>MONTH(E1094)</f>
        <v/>
      </c>
      <c r="E1094" s="267">
        <f>IFERROR(__xludf.DUMMYFUNCTION("""COMPUTED_VALUE"""),44684.6666666666)</f>
        <v/>
      </c>
      <c r="F1094" s="6">
        <f>IFERROR(__xludf.DUMMYFUNCTION("""COMPUTED_VALUE"""),4175.48)</f>
        <v/>
      </c>
      <c r="J1094" s="6">
        <f>K1094&amp;L1094</f>
        <v/>
      </c>
      <c r="K1094" s="6">
        <f>YEAR(M1094)</f>
        <v/>
      </c>
      <c r="L1094" s="6">
        <f>MONTH(M1094)</f>
        <v/>
      </c>
      <c r="M1094" s="267">
        <f>IFERROR(__xludf.DUMMYFUNCTION("""COMPUTED_VALUE"""),44677.6666666666)</f>
        <v/>
      </c>
      <c r="N1094" s="6">
        <f>IFERROR(__xludf.DUMMYFUNCTION("""COMPUTED_VALUE"""),12490.74)</f>
        <v/>
      </c>
      <c r="R1094" s="6">
        <f>S1094&amp;T1094</f>
        <v/>
      </c>
      <c r="S1094" s="6">
        <f>YEAR(U1094)</f>
        <v/>
      </c>
      <c r="T1094" s="6">
        <f>MONTH(U1094)</f>
        <v/>
      </c>
      <c r="U1094" s="267">
        <f>IFERROR(__xludf.DUMMYFUNCTION("""COMPUTED_VALUE"""),44727.6458333333)</f>
        <v/>
      </c>
      <c r="V1094" s="6">
        <f>IFERROR(__xludf.DUMMYFUNCTION("""COMPUTED_VALUE"""),2447.38)</f>
        <v/>
      </c>
      <c r="Z1094" s="6">
        <f>AA1094&amp;AB1094</f>
        <v/>
      </c>
      <c r="AA1094" s="6">
        <f>YEAR(AC1094)</f>
        <v/>
      </c>
      <c r="AB1094" s="6">
        <f>MONTH(AC1094)</f>
        <v/>
      </c>
      <c r="AC1094" s="267">
        <f>IFERROR(__xludf.DUMMYFUNCTION("""COMPUTED_VALUE"""),44239.9986111111)</f>
        <v/>
      </c>
      <c r="AD1094" s="6">
        <f>IFERROR(__xludf.DUMMYFUNCTION("""COMPUTED_VALUE"""),1103.37)</f>
        <v/>
      </c>
      <c r="AH1094" s="6">
        <f>AI1094&amp;AJ1094</f>
        <v/>
      </c>
      <c r="AI1094" s="6">
        <f>YEAR(AK1094)</f>
        <v/>
      </c>
      <c r="AJ1094" s="6">
        <f>MONTH(AK1094)</f>
        <v/>
      </c>
      <c r="AK1094" s="267">
        <f>IFERROR(__xludf.DUMMYFUNCTION("""COMPUTED_VALUE"""),44187.9986111111)</f>
        <v/>
      </c>
      <c r="AL1094" s="6">
        <f>IFERROR(__xludf.DUMMYFUNCTION("""COMPUTED_VALUE"""),23822.64)</f>
        <v/>
      </c>
      <c r="AP1094" s="6">
        <f>AQ1094&amp;AR1094</f>
        <v/>
      </c>
      <c r="AQ1094" s="6">
        <f>YEAR(AS1094)</f>
        <v/>
      </c>
      <c r="AR1094" s="6">
        <f>MONTH(AS1094)</f>
        <v/>
      </c>
      <c r="AS1094" s="267">
        <f>IFERROR(__xludf.DUMMYFUNCTION("""COMPUTED_VALUE"""),44692.9986111111)</f>
        <v/>
      </c>
      <c r="AT1094" s="6">
        <f>IFERROR(__xludf.DUMMYFUNCTION("""COMPUTED_VALUE"""),1853.7)</f>
        <v/>
      </c>
    </row>
    <row r="1095">
      <c r="B1095" s="6">
        <f>C1095&amp;D1095</f>
        <v/>
      </c>
      <c r="C1095" s="6">
        <f>YEAR(E1095)</f>
        <v/>
      </c>
      <c r="D1095" s="6">
        <f>MONTH(E1095)</f>
        <v/>
      </c>
      <c r="E1095" s="267">
        <f>IFERROR(__xludf.DUMMYFUNCTION("""COMPUTED_VALUE"""),44685.6666666666)</f>
        <v/>
      </c>
      <c r="F1095" s="6">
        <f>IFERROR(__xludf.DUMMYFUNCTION("""COMPUTED_VALUE"""),4300.17)</f>
        <v/>
      </c>
      <c r="J1095" s="6">
        <f>K1095&amp;L1095</f>
        <v/>
      </c>
      <c r="K1095" s="6">
        <f>YEAR(M1095)</f>
        <v/>
      </c>
      <c r="L1095" s="6">
        <f>MONTH(M1095)</f>
        <v/>
      </c>
      <c r="M1095" s="267">
        <f>IFERROR(__xludf.DUMMYFUNCTION("""COMPUTED_VALUE"""),44678.6666666666)</f>
        <v/>
      </c>
      <c r="N1095" s="6">
        <f>IFERROR(__xludf.DUMMYFUNCTION("""COMPUTED_VALUE"""),12488.93)</f>
        <v/>
      </c>
      <c r="R1095" s="6">
        <f>S1095&amp;T1095</f>
        <v/>
      </c>
      <c r="S1095" s="6">
        <f>YEAR(U1095)</f>
        <v/>
      </c>
      <c r="T1095" s="6">
        <f>MONTH(U1095)</f>
        <v/>
      </c>
      <c r="U1095" s="267">
        <f>IFERROR(__xludf.DUMMYFUNCTION("""COMPUTED_VALUE"""),44728.6458333333)</f>
        <v/>
      </c>
      <c r="V1095" s="6">
        <f>IFERROR(__xludf.DUMMYFUNCTION("""COMPUTED_VALUE"""),2451.41)</f>
        <v/>
      </c>
      <c r="Z1095" s="6">
        <f>AA1095&amp;AB1095</f>
        <v/>
      </c>
      <c r="AA1095" s="6">
        <f>YEAR(AC1095)</f>
        <v/>
      </c>
      <c r="AB1095" s="6">
        <f>MONTH(AC1095)</f>
        <v/>
      </c>
      <c r="AC1095" s="267">
        <f>IFERROR(__xludf.DUMMYFUNCTION("""COMPUTED_VALUE"""),44240.9986111111)</f>
        <v/>
      </c>
      <c r="AD1095" s="6">
        <f>IFERROR(__xludf.DUMMYFUNCTION("""COMPUTED_VALUE"""),1103.37)</f>
        <v/>
      </c>
      <c r="AH1095" s="6">
        <f>AI1095&amp;AJ1095</f>
        <v/>
      </c>
      <c r="AI1095" s="6">
        <f>YEAR(AK1095)</f>
        <v/>
      </c>
      <c r="AJ1095" s="6">
        <f>MONTH(AK1095)</f>
        <v/>
      </c>
      <c r="AK1095" s="267">
        <f>IFERROR(__xludf.DUMMYFUNCTION("""COMPUTED_VALUE"""),44188.9986111111)</f>
        <v/>
      </c>
      <c r="AL1095" s="6">
        <f>IFERROR(__xludf.DUMMYFUNCTION("""COMPUTED_VALUE"""),23234.12)</f>
        <v/>
      </c>
      <c r="AP1095" s="6">
        <f>AQ1095&amp;AR1095</f>
        <v/>
      </c>
      <c r="AQ1095" s="6">
        <f>YEAR(AS1095)</f>
        <v/>
      </c>
      <c r="AR1095" s="6">
        <f>MONTH(AS1095)</f>
        <v/>
      </c>
      <c r="AS1095" s="267">
        <f>IFERROR(__xludf.DUMMYFUNCTION("""COMPUTED_VALUE"""),44693.9986111111)</f>
        <v/>
      </c>
      <c r="AT1095" s="6">
        <f>IFERROR(__xludf.DUMMYFUNCTION("""COMPUTED_VALUE"""),1824.6)</f>
        <v/>
      </c>
    </row>
    <row r="1096">
      <c r="B1096" s="6">
        <f>C1096&amp;D1096</f>
        <v/>
      </c>
      <c r="C1096" s="6">
        <f>YEAR(E1096)</f>
        <v/>
      </c>
      <c r="D1096" s="6">
        <f>MONTH(E1096)</f>
        <v/>
      </c>
      <c r="E1096" s="267">
        <f>IFERROR(__xludf.DUMMYFUNCTION("""COMPUTED_VALUE"""),44686.6666666666)</f>
        <v/>
      </c>
      <c r="F1096" s="6">
        <f>IFERROR(__xludf.DUMMYFUNCTION("""COMPUTED_VALUE"""),4146.87)</f>
        <v/>
      </c>
      <c r="J1096" s="6">
        <f>K1096&amp;L1096</f>
        <v/>
      </c>
      <c r="K1096" s="6">
        <f>YEAR(M1096)</f>
        <v/>
      </c>
      <c r="L1096" s="6">
        <f>MONTH(M1096)</f>
        <v/>
      </c>
      <c r="M1096" s="267">
        <f>IFERROR(__xludf.DUMMYFUNCTION("""COMPUTED_VALUE"""),44679.6666666666)</f>
        <v/>
      </c>
      <c r="N1096" s="6">
        <f>IFERROR(__xludf.DUMMYFUNCTION("""COMPUTED_VALUE"""),12871.53)</f>
        <v/>
      </c>
      <c r="R1096" s="6">
        <f>S1096&amp;T1096</f>
        <v/>
      </c>
      <c r="S1096" s="6">
        <f>YEAR(U1096)</f>
        <v/>
      </c>
      <c r="T1096" s="6">
        <f>MONTH(U1096)</f>
        <v/>
      </c>
      <c r="U1096" s="267">
        <f>IFERROR(__xludf.DUMMYFUNCTION("""COMPUTED_VALUE"""),44729.6458333333)</f>
        <v/>
      </c>
      <c r="V1096" s="6">
        <f>IFERROR(__xludf.DUMMYFUNCTION("""COMPUTED_VALUE"""),2440.93)</f>
        <v/>
      </c>
      <c r="Z1096" s="6">
        <f>AA1096&amp;AB1096</f>
        <v/>
      </c>
      <c r="AA1096" s="6">
        <f>YEAR(AC1096)</f>
        <v/>
      </c>
      <c r="AB1096" s="6">
        <f>MONTH(AC1096)</f>
        <v/>
      </c>
      <c r="AC1096" s="267">
        <f>IFERROR(__xludf.DUMMYFUNCTION("""COMPUTED_VALUE"""),44241.9986111111)</f>
        <v/>
      </c>
      <c r="AD1096" s="6">
        <f>IFERROR(__xludf.DUMMYFUNCTION("""COMPUTED_VALUE"""),1103.37)</f>
        <v/>
      </c>
      <c r="AH1096" s="6">
        <f>AI1096&amp;AJ1096</f>
        <v/>
      </c>
      <c r="AI1096" s="6">
        <f>YEAR(AK1096)</f>
        <v/>
      </c>
      <c r="AJ1096" s="6">
        <f>MONTH(AK1096)</f>
        <v/>
      </c>
      <c r="AK1096" s="267">
        <f>IFERROR(__xludf.DUMMYFUNCTION("""COMPUTED_VALUE"""),44189.9986111111)</f>
        <v/>
      </c>
      <c r="AL1096" s="6">
        <f>IFERROR(__xludf.DUMMYFUNCTION("""COMPUTED_VALUE"""),23719.2)</f>
        <v/>
      </c>
      <c r="AP1096" s="6">
        <f>AQ1096&amp;AR1096</f>
        <v/>
      </c>
      <c r="AQ1096" s="6">
        <f>YEAR(AS1096)</f>
        <v/>
      </c>
      <c r="AR1096" s="6">
        <f>MONTH(AS1096)</f>
        <v/>
      </c>
      <c r="AS1096" s="267">
        <f>IFERROR(__xludf.DUMMYFUNCTION("""COMPUTED_VALUE"""),44694.9986111111)</f>
        <v/>
      </c>
      <c r="AT1096" s="6">
        <f>IFERROR(__xludf.DUMMYFUNCTION("""COMPUTED_VALUE"""),1808.2)</f>
        <v/>
      </c>
    </row>
    <row r="1097">
      <c r="B1097" s="6">
        <f>C1097&amp;D1097</f>
        <v/>
      </c>
      <c r="C1097" s="6">
        <f>YEAR(E1097)</f>
        <v/>
      </c>
      <c r="D1097" s="6">
        <f>MONTH(E1097)</f>
        <v/>
      </c>
      <c r="E1097" s="267">
        <f>IFERROR(__xludf.DUMMYFUNCTION("""COMPUTED_VALUE"""),44687.6666666666)</f>
        <v/>
      </c>
      <c r="F1097" s="6">
        <f>IFERROR(__xludf.DUMMYFUNCTION("""COMPUTED_VALUE"""),4123.34)</f>
        <v/>
      </c>
      <c r="J1097" s="6">
        <f>K1097&amp;L1097</f>
        <v/>
      </c>
      <c r="K1097" s="6">
        <f>YEAR(M1097)</f>
        <v/>
      </c>
      <c r="L1097" s="6">
        <f>MONTH(M1097)</f>
        <v/>
      </c>
      <c r="M1097" s="267">
        <f>IFERROR(__xludf.DUMMYFUNCTION("""COMPUTED_VALUE"""),44680.6666666666)</f>
        <v/>
      </c>
      <c r="N1097" s="6">
        <f>IFERROR(__xludf.DUMMYFUNCTION("""COMPUTED_VALUE"""),12334.64)</f>
        <v/>
      </c>
      <c r="R1097" s="6">
        <f>S1097&amp;T1097</f>
        <v/>
      </c>
      <c r="S1097" s="6">
        <f>YEAR(U1097)</f>
        <v/>
      </c>
      <c r="T1097" s="6">
        <f>MONTH(U1097)</f>
        <v/>
      </c>
      <c r="U1097" s="267">
        <f>IFERROR(__xludf.DUMMYFUNCTION("""COMPUTED_VALUE"""),44732.6458333333)</f>
        <v/>
      </c>
      <c r="V1097" s="6">
        <f>IFERROR(__xludf.DUMMYFUNCTION("""COMPUTED_VALUE"""),2391.03)</f>
        <v/>
      </c>
      <c r="Z1097" s="6">
        <f>AA1097&amp;AB1097</f>
        <v/>
      </c>
      <c r="AA1097" s="6">
        <f>YEAR(AC1097)</f>
        <v/>
      </c>
      <c r="AB1097" s="6">
        <f>MONTH(AC1097)</f>
        <v/>
      </c>
      <c r="AC1097" s="267">
        <f>IFERROR(__xludf.DUMMYFUNCTION("""COMPUTED_VALUE"""),44242.9986111111)</f>
        <v/>
      </c>
      <c r="AD1097" s="6">
        <f>IFERROR(__xludf.DUMMYFUNCTION("""COMPUTED_VALUE"""),1102.24)</f>
        <v/>
      </c>
      <c r="AH1097" s="6">
        <f>AI1097&amp;AJ1097</f>
        <v/>
      </c>
      <c r="AI1097" s="6">
        <f>YEAR(AK1097)</f>
        <v/>
      </c>
      <c r="AJ1097" s="6">
        <f>MONTH(AK1097)</f>
        <v/>
      </c>
      <c r="AK1097" s="267">
        <f>IFERROR(__xludf.DUMMYFUNCTION("""COMPUTED_VALUE"""),44190.9986111111)</f>
        <v/>
      </c>
      <c r="AL1097" s="6">
        <f>IFERROR(__xludf.DUMMYFUNCTION("""COMPUTED_VALUE"""),24703.38)</f>
        <v/>
      </c>
      <c r="AP1097" s="6">
        <f>AQ1097&amp;AR1097</f>
        <v/>
      </c>
      <c r="AQ1097" s="6">
        <f>YEAR(AS1097)</f>
        <v/>
      </c>
      <c r="AR1097" s="6">
        <f>MONTH(AS1097)</f>
        <v/>
      </c>
      <c r="AS1097" s="267">
        <f>IFERROR(__xludf.DUMMYFUNCTION("""COMPUTED_VALUE"""),44697.9986111111)</f>
        <v/>
      </c>
      <c r="AT1097" s="6">
        <f>IFERROR(__xludf.DUMMYFUNCTION("""COMPUTED_VALUE"""),1814)</f>
        <v/>
      </c>
    </row>
    <row r="1098">
      <c r="B1098" s="6">
        <f>C1098&amp;D1098</f>
        <v/>
      </c>
      <c r="C1098" s="6">
        <f>YEAR(E1098)</f>
        <v/>
      </c>
      <c r="D1098" s="6">
        <f>MONTH(E1098)</f>
        <v/>
      </c>
      <c r="E1098" s="267">
        <f>IFERROR(__xludf.DUMMYFUNCTION("""COMPUTED_VALUE"""),44690.6666666666)</f>
        <v/>
      </c>
      <c r="F1098" s="6">
        <f>IFERROR(__xludf.DUMMYFUNCTION("""COMPUTED_VALUE"""),3991.24)</f>
        <v/>
      </c>
      <c r="J1098" s="6">
        <f>K1098&amp;L1098</f>
        <v/>
      </c>
      <c r="K1098" s="6">
        <f>YEAR(M1098)</f>
        <v/>
      </c>
      <c r="L1098" s="6">
        <f>MONTH(M1098)</f>
        <v/>
      </c>
      <c r="M1098" s="267">
        <f>IFERROR(__xludf.DUMMYFUNCTION("""COMPUTED_VALUE"""),44683.6666666666)</f>
        <v/>
      </c>
      <c r="N1098" s="6">
        <f>IFERROR(__xludf.DUMMYFUNCTION("""COMPUTED_VALUE"""),12536.02)</f>
        <v/>
      </c>
      <c r="R1098" s="6">
        <f>S1098&amp;T1098</f>
        <v/>
      </c>
      <c r="S1098" s="6">
        <f>YEAR(U1098)</f>
        <v/>
      </c>
      <c r="T1098" s="6">
        <f>MONTH(U1098)</f>
        <v/>
      </c>
      <c r="U1098" s="267">
        <f>IFERROR(__xludf.DUMMYFUNCTION("""COMPUTED_VALUE"""),44733.6458333333)</f>
        <v/>
      </c>
      <c r="V1098" s="6">
        <f>IFERROR(__xludf.DUMMYFUNCTION("""COMPUTED_VALUE"""),2408.93)</f>
        <v/>
      </c>
      <c r="Z1098" s="6">
        <f>AA1098&amp;AB1098</f>
        <v/>
      </c>
      <c r="AA1098" s="6">
        <f>YEAR(AC1098)</f>
        <v/>
      </c>
      <c r="AB1098" s="6">
        <f>MONTH(AC1098)</f>
        <v/>
      </c>
      <c r="AC1098" s="267">
        <f>IFERROR(__xludf.DUMMYFUNCTION("""COMPUTED_VALUE"""),44243.9986111111)</f>
        <v/>
      </c>
      <c r="AD1098" s="6">
        <f>IFERROR(__xludf.DUMMYFUNCTION("""COMPUTED_VALUE"""),1106.46)</f>
        <v/>
      </c>
      <c r="AH1098" s="6">
        <f>AI1098&amp;AJ1098</f>
        <v/>
      </c>
      <c r="AI1098" s="6">
        <f>YEAR(AK1098)</f>
        <v/>
      </c>
      <c r="AJ1098" s="6">
        <f>MONTH(AK1098)</f>
        <v/>
      </c>
      <c r="AK1098" s="267">
        <f>IFERROR(__xludf.DUMMYFUNCTION("""COMPUTED_VALUE"""),44191.9986111111)</f>
        <v/>
      </c>
      <c r="AL1098" s="6">
        <f>IFERROR(__xludf.DUMMYFUNCTION("""COMPUTED_VALUE"""),26449.16)</f>
        <v/>
      </c>
      <c r="AP1098" s="6">
        <f>AQ1098&amp;AR1098</f>
        <v/>
      </c>
      <c r="AQ1098" s="6">
        <f>YEAR(AS1098)</f>
        <v/>
      </c>
      <c r="AR1098" s="6">
        <f>MONTH(AS1098)</f>
        <v/>
      </c>
      <c r="AS1098" s="267">
        <f>IFERROR(__xludf.DUMMYFUNCTION("""COMPUTED_VALUE"""),44698.9986111111)</f>
        <v/>
      </c>
      <c r="AT1098" s="6">
        <f>IFERROR(__xludf.DUMMYFUNCTION("""COMPUTED_VALUE"""),1818.9)</f>
        <v/>
      </c>
    </row>
    <row r="1099">
      <c r="B1099" s="6">
        <f>C1099&amp;D1099</f>
        <v/>
      </c>
      <c r="C1099" s="6">
        <f>YEAR(E1099)</f>
        <v/>
      </c>
      <c r="D1099" s="6">
        <f>MONTH(E1099)</f>
        <v/>
      </c>
      <c r="E1099" s="267">
        <f>IFERROR(__xludf.DUMMYFUNCTION("""COMPUTED_VALUE"""),44691.6666666666)</f>
        <v/>
      </c>
      <c r="F1099" s="6">
        <f>IFERROR(__xludf.DUMMYFUNCTION("""COMPUTED_VALUE"""),4001.05)</f>
        <v/>
      </c>
      <c r="J1099" s="6">
        <f>K1099&amp;L1099</f>
        <v/>
      </c>
      <c r="K1099" s="6">
        <f>YEAR(M1099)</f>
        <v/>
      </c>
      <c r="L1099" s="6">
        <f>MONTH(M1099)</f>
        <v/>
      </c>
      <c r="M1099" s="267">
        <f>IFERROR(__xludf.DUMMYFUNCTION("""COMPUTED_VALUE"""),44684.6666666666)</f>
        <v/>
      </c>
      <c r="N1099" s="6">
        <f>IFERROR(__xludf.DUMMYFUNCTION("""COMPUTED_VALUE"""),12563.76)</f>
        <v/>
      </c>
      <c r="R1099" s="6">
        <f>S1099&amp;T1099</f>
        <v/>
      </c>
      <c r="S1099" s="6">
        <f>YEAR(U1099)</f>
        <v/>
      </c>
      <c r="T1099" s="6">
        <f>MONTH(U1099)</f>
        <v/>
      </c>
      <c r="U1099" s="267">
        <f>IFERROR(__xludf.DUMMYFUNCTION("""COMPUTED_VALUE"""),44734.6458333333)</f>
        <v/>
      </c>
      <c r="V1099" s="6">
        <f>IFERROR(__xludf.DUMMYFUNCTION("""COMPUTED_VALUE"""),2342.81)</f>
        <v/>
      </c>
      <c r="Z1099" s="6">
        <f>AA1099&amp;AB1099</f>
        <v/>
      </c>
      <c r="AA1099" s="6">
        <f>YEAR(AC1099)</f>
        <v/>
      </c>
      <c r="AB1099" s="6">
        <f>MONTH(AC1099)</f>
        <v/>
      </c>
      <c r="AC1099" s="267">
        <f>IFERROR(__xludf.DUMMYFUNCTION("""COMPUTED_VALUE"""),44244.9986111111)</f>
        <v/>
      </c>
      <c r="AD1099" s="6">
        <f>IFERROR(__xludf.DUMMYFUNCTION("""COMPUTED_VALUE"""),1104.55)</f>
        <v/>
      </c>
      <c r="AH1099" s="6">
        <f>AI1099&amp;AJ1099</f>
        <v/>
      </c>
      <c r="AI1099" s="6">
        <f>YEAR(AK1099)</f>
        <v/>
      </c>
      <c r="AJ1099" s="6">
        <f>MONTH(AK1099)</f>
        <v/>
      </c>
      <c r="AK1099" s="267">
        <f>IFERROR(__xludf.DUMMYFUNCTION("""COMPUTED_VALUE"""),44192.9986111111)</f>
        <v/>
      </c>
      <c r="AL1099" s="6">
        <f>IFERROR(__xludf.DUMMYFUNCTION("""COMPUTED_VALUE"""),26239.31)</f>
        <v/>
      </c>
      <c r="AP1099" s="6">
        <f>AQ1099&amp;AR1099</f>
        <v/>
      </c>
      <c r="AQ1099" s="6">
        <f>YEAR(AS1099)</f>
        <v/>
      </c>
      <c r="AR1099" s="6">
        <f>MONTH(AS1099)</f>
        <v/>
      </c>
      <c r="AS1099" s="267">
        <f>IFERROR(__xludf.DUMMYFUNCTION("""COMPUTED_VALUE"""),44699.9986111111)</f>
        <v/>
      </c>
      <c r="AT1099" s="6">
        <f>IFERROR(__xludf.DUMMYFUNCTION("""COMPUTED_VALUE"""),1822.4)</f>
        <v/>
      </c>
    </row>
    <row r="1100">
      <c r="B1100" s="6">
        <f>C1100&amp;D1100</f>
        <v/>
      </c>
      <c r="C1100" s="6">
        <f>YEAR(E1100)</f>
        <v/>
      </c>
      <c r="D1100" s="6">
        <f>MONTH(E1100)</f>
        <v/>
      </c>
      <c r="E1100" s="267">
        <f>IFERROR(__xludf.DUMMYFUNCTION("""COMPUTED_VALUE"""),44692.6666666666)</f>
        <v/>
      </c>
      <c r="F1100" s="6">
        <f>IFERROR(__xludf.DUMMYFUNCTION("""COMPUTED_VALUE"""),3935.18)</f>
        <v/>
      </c>
      <c r="J1100" s="6">
        <f>K1100&amp;L1100</f>
        <v/>
      </c>
      <c r="K1100" s="6">
        <f>YEAR(M1100)</f>
        <v/>
      </c>
      <c r="L1100" s="6">
        <f>MONTH(M1100)</f>
        <v/>
      </c>
      <c r="M1100" s="267">
        <f>IFERROR(__xludf.DUMMYFUNCTION("""COMPUTED_VALUE"""),44685.6666666666)</f>
        <v/>
      </c>
      <c r="N1100" s="6">
        <f>IFERROR(__xludf.DUMMYFUNCTION("""COMPUTED_VALUE"""),12964.86)</f>
        <v/>
      </c>
      <c r="R1100" s="6">
        <f>S1100&amp;T1100</f>
        <v/>
      </c>
      <c r="S1100" s="6">
        <f>YEAR(U1100)</f>
        <v/>
      </c>
      <c r="T1100" s="6">
        <f>MONTH(U1100)</f>
        <v/>
      </c>
      <c r="U1100" s="267">
        <f>IFERROR(__xludf.DUMMYFUNCTION("""COMPUTED_VALUE"""),44735.6458333333)</f>
        <v/>
      </c>
      <c r="V1100" s="6">
        <f>IFERROR(__xludf.DUMMYFUNCTION("""COMPUTED_VALUE"""),2314.32)</f>
        <v/>
      </c>
      <c r="Z1100" s="6">
        <f>AA1100&amp;AB1100</f>
        <v/>
      </c>
      <c r="AA1100" s="6">
        <f>YEAR(AC1100)</f>
        <v/>
      </c>
      <c r="AB1100" s="6">
        <f>MONTH(AC1100)</f>
        <v/>
      </c>
      <c r="AC1100" s="267">
        <f>IFERROR(__xludf.DUMMYFUNCTION("""COMPUTED_VALUE"""),44245.9986111111)</f>
        <v/>
      </c>
      <c r="AD1100" s="6">
        <f>IFERROR(__xludf.DUMMYFUNCTION("""COMPUTED_VALUE"""),1106.22)</f>
        <v/>
      </c>
      <c r="AH1100" s="6">
        <f>AI1100&amp;AJ1100</f>
        <v/>
      </c>
      <c r="AI1100" s="6">
        <f>YEAR(AK1100)</f>
        <v/>
      </c>
      <c r="AJ1100" s="6">
        <f>MONTH(AK1100)</f>
        <v/>
      </c>
      <c r="AK1100" s="267">
        <f>IFERROR(__xludf.DUMMYFUNCTION("""COMPUTED_VALUE"""),44193.9986111111)</f>
        <v/>
      </c>
      <c r="AL1100" s="6">
        <f>IFERROR(__xludf.DUMMYFUNCTION("""COMPUTED_VALUE"""),27035.83)</f>
        <v/>
      </c>
      <c r="AP1100" s="6">
        <f>AQ1100&amp;AR1100</f>
        <v/>
      </c>
      <c r="AQ1100" s="6">
        <f>YEAR(AS1100)</f>
        <v/>
      </c>
      <c r="AR1100" s="6">
        <f>MONTH(AS1100)</f>
        <v/>
      </c>
      <c r="AS1100" s="267">
        <f>IFERROR(__xludf.DUMMYFUNCTION("""COMPUTED_VALUE"""),44700.9986111111)</f>
        <v/>
      </c>
      <c r="AT1100" s="6">
        <f>IFERROR(__xludf.DUMMYFUNCTION("""COMPUTED_VALUE"""),1847.8)</f>
        <v/>
      </c>
    </row>
    <row r="1101">
      <c r="B1101" s="6">
        <f>C1101&amp;D1101</f>
        <v/>
      </c>
      <c r="C1101" s="6">
        <f>YEAR(E1101)</f>
        <v/>
      </c>
      <c r="D1101" s="6">
        <f>MONTH(E1101)</f>
        <v/>
      </c>
      <c r="E1101" s="267">
        <f>IFERROR(__xludf.DUMMYFUNCTION("""COMPUTED_VALUE"""),44693.6666666666)</f>
        <v/>
      </c>
      <c r="F1101" s="6">
        <f>IFERROR(__xludf.DUMMYFUNCTION("""COMPUTED_VALUE"""),3930.08)</f>
        <v/>
      </c>
      <c r="J1101" s="6">
        <f>K1101&amp;L1101</f>
        <v/>
      </c>
      <c r="K1101" s="6">
        <f>YEAR(M1101)</f>
        <v/>
      </c>
      <c r="L1101" s="6">
        <f>MONTH(M1101)</f>
        <v/>
      </c>
      <c r="M1101" s="267">
        <f>IFERROR(__xludf.DUMMYFUNCTION("""COMPUTED_VALUE"""),44686.6666666666)</f>
        <v/>
      </c>
      <c r="N1101" s="6">
        <f>IFERROR(__xludf.DUMMYFUNCTION("""COMPUTED_VALUE"""),12317.69)</f>
        <v/>
      </c>
      <c r="R1101" s="6">
        <f>S1101&amp;T1101</f>
        <v/>
      </c>
      <c r="S1101" s="6">
        <f>YEAR(U1101)</f>
        <v/>
      </c>
      <c r="T1101" s="6">
        <f>MONTH(U1101)</f>
        <v/>
      </c>
      <c r="U1101" s="267">
        <f>IFERROR(__xludf.DUMMYFUNCTION("""COMPUTED_VALUE"""),44736.6458333333)</f>
        <v/>
      </c>
      <c r="V1101" s="6">
        <f>IFERROR(__xludf.DUMMYFUNCTION("""COMPUTED_VALUE"""),2366.6)</f>
        <v/>
      </c>
      <c r="Z1101" s="6">
        <f>AA1101&amp;AB1101</f>
        <v/>
      </c>
      <c r="AA1101" s="6">
        <f>YEAR(AC1101)</f>
        <v/>
      </c>
      <c r="AB1101" s="6">
        <f>MONTH(AC1101)</f>
        <v/>
      </c>
      <c r="AC1101" s="267">
        <f>IFERROR(__xludf.DUMMYFUNCTION("""COMPUTED_VALUE"""),44246.9986111111)</f>
        <v/>
      </c>
      <c r="AD1101" s="6">
        <f>IFERROR(__xludf.DUMMYFUNCTION("""COMPUTED_VALUE"""),1104.54)</f>
        <v/>
      </c>
      <c r="AH1101" s="6">
        <f>AI1101&amp;AJ1101</f>
        <v/>
      </c>
      <c r="AI1101" s="6">
        <f>YEAR(AK1101)</f>
        <v/>
      </c>
      <c r="AJ1101" s="6">
        <f>MONTH(AK1101)</f>
        <v/>
      </c>
      <c r="AK1101" s="267">
        <f>IFERROR(__xludf.DUMMYFUNCTION("""COMPUTED_VALUE"""),44194.9986111111)</f>
        <v/>
      </c>
      <c r="AL1101" s="6">
        <f>IFERROR(__xludf.DUMMYFUNCTION("""COMPUTED_VALUE"""),27360.16)</f>
        <v/>
      </c>
      <c r="AP1101" s="6">
        <f>AQ1101&amp;AR1101</f>
        <v/>
      </c>
      <c r="AQ1101" s="6">
        <f>YEAR(AS1101)</f>
        <v/>
      </c>
      <c r="AR1101" s="6">
        <f>MONTH(AS1101)</f>
        <v/>
      </c>
      <c r="AS1101" s="267">
        <f>IFERROR(__xludf.DUMMYFUNCTION("""COMPUTED_VALUE"""),44701.9986111111)</f>
        <v/>
      </c>
      <c r="AT1101" s="6">
        <f>IFERROR(__xludf.DUMMYFUNCTION("""COMPUTED_VALUE"""),1848.4)</f>
        <v/>
      </c>
    </row>
    <row r="1102">
      <c r="B1102" s="6">
        <f>C1102&amp;D1102</f>
        <v/>
      </c>
      <c r="C1102" s="6">
        <f>YEAR(E1102)</f>
        <v/>
      </c>
      <c r="D1102" s="6">
        <f>MONTH(E1102)</f>
        <v/>
      </c>
      <c r="E1102" s="267">
        <f>IFERROR(__xludf.DUMMYFUNCTION("""COMPUTED_VALUE"""),44694.6666666666)</f>
        <v/>
      </c>
      <c r="F1102" s="6">
        <f>IFERROR(__xludf.DUMMYFUNCTION("""COMPUTED_VALUE"""),4023.89)</f>
        <v/>
      </c>
      <c r="J1102" s="6">
        <f>K1102&amp;L1102</f>
        <v/>
      </c>
      <c r="K1102" s="6">
        <f>YEAR(M1102)</f>
        <v/>
      </c>
      <c r="L1102" s="6">
        <f>MONTH(M1102)</f>
        <v/>
      </c>
      <c r="M1102" s="267">
        <f>IFERROR(__xludf.DUMMYFUNCTION("""COMPUTED_VALUE"""),44687.6666666666)</f>
        <v/>
      </c>
      <c r="N1102" s="6">
        <f>IFERROR(__xludf.DUMMYFUNCTION("""COMPUTED_VALUE"""),12144.66)</f>
        <v/>
      </c>
      <c r="R1102" s="6">
        <f>S1102&amp;T1102</f>
        <v/>
      </c>
      <c r="S1102" s="6">
        <f>YEAR(U1102)</f>
        <v/>
      </c>
      <c r="T1102" s="6">
        <f>MONTH(U1102)</f>
        <v/>
      </c>
      <c r="U1102" s="267">
        <f>IFERROR(__xludf.DUMMYFUNCTION("""COMPUTED_VALUE"""),44739.6458333333)</f>
        <v/>
      </c>
      <c r="V1102" s="6">
        <f>IFERROR(__xludf.DUMMYFUNCTION("""COMPUTED_VALUE"""),2401.92)</f>
        <v/>
      </c>
      <c r="Z1102" s="6">
        <f>AA1102&amp;AB1102</f>
        <v/>
      </c>
      <c r="AA1102" s="6">
        <f>YEAR(AC1102)</f>
        <v/>
      </c>
      <c r="AB1102" s="6">
        <f>MONTH(AC1102)</f>
        <v/>
      </c>
      <c r="AC1102" s="267">
        <f>IFERROR(__xludf.DUMMYFUNCTION("""COMPUTED_VALUE"""),44247.9986111111)</f>
        <v/>
      </c>
      <c r="AD1102" s="6">
        <f>IFERROR(__xludf.DUMMYFUNCTION("""COMPUTED_VALUE"""),1103)</f>
        <v/>
      </c>
      <c r="AH1102" s="6">
        <f>AI1102&amp;AJ1102</f>
        <v/>
      </c>
      <c r="AI1102" s="6">
        <f>YEAR(AK1102)</f>
        <v/>
      </c>
      <c r="AJ1102" s="6">
        <f>MONTH(AK1102)</f>
        <v/>
      </c>
      <c r="AK1102" s="267">
        <f>IFERROR(__xludf.DUMMYFUNCTION("""COMPUTED_VALUE"""),44195.9986111111)</f>
        <v/>
      </c>
      <c r="AL1102" s="6">
        <f>IFERROR(__xludf.DUMMYFUNCTION("""COMPUTED_VALUE"""),28880.12)</f>
        <v/>
      </c>
      <c r="AP1102" s="6">
        <f>AQ1102&amp;AR1102</f>
        <v/>
      </c>
      <c r="AQ1102" s="6">
        <f>YEAR(AS1102)</f>
        <v/>
      </c>
      <c r="AR1102" s="6">
        <f>MONTH(AS1102)</f>
        <v/>
      </c>
      <c r="AS1102" s="267">
        <f>IFERROR(__xludf.DUMMYFUNCTION("""COMPUTED_VALUE"""),44704.9986111111)</f>
        <v/>
      </c>
      <c r="AT1102" s="6">
        <f>IFERROR(__xludf.DUMMYFUNCTION("""COMPUTED_VALUE"""),1853.9)</f>
        <v/>
      </c>
    </row>
    <row r="1103">
      <c r="B1103" s="6">
        <f>C1103&amp;D1103</f>
        <v/>
      </c>
      <c r="C1103" s="6">
        <f>YEAR(E1103)</f>
        <v/>
      </c>
      <c r="D1103" s="6">
        <f>MONTH(E1103)</f>
        <v/>
      </c>
      <c r="E1103" s="267">
        <f>IFERROR(__xludf.DUMMYFUNCTION("""COMPUTED_VALUE"""),44697.6666666666)</f>
        <v/>
      </c>
      <c r="F1103" s="6">
        <f>IFERROR(__xludf.DUMMYFUNCTION("""COMPUTED_VALUE"""),4008.01)</f>
        <v/>
      </c>
      <c r="J1103" s="6">
        <f>K1103&amp;L1103</f>
        <v/>
      </c>
      <c r="K1103" s="6">
        <f>YEAR(M1103)</f>
        <v/>
      </c>
      <c r="L1103" s="6">
        <f>MONTH(M1103)</f>
        <v/>
      </c>
      <c r="M1103" s="267">
        <f>IFERROR(__xludf.DUMMYFUNCTION("""COMPUTED_VALUE"""),44690.6666666666)</f>
        <v/>
      </c>
      <c r="N1103" s="6">
        <f>IFERROR(__xludf.DUMMYFUNCTION("""COMPUTED_VALUE"""),11623.25)</f>
        <v/>
      </c>
      <c r="R1103" s="6">
        <f>S1103&amp;T1103</f>
        <v/>
      </c>
      <c r="S1103" s="6">
        <f>YEAR(U1103)</f>
        <v/>
      </c>
      <c r="T1103" s="6">
        <f>MONTH(U1103)</f>
        <v/>
      </c>
      <c r="U1103" s="267">
        <f>IFERROR(__xludf.DUMMYFUNCTION("""COMPUTED_VALUE"""),44740.6458333333)</f>
        <v/>
      </c>
      <c r="V1103" s="6">
        <f>IFERROR(__xludf.DUMMYFUNCTION("""COMPUTED_VALUE"""),2422.09)</f>
        <v/>
      </c>
      <c r="Z1103" s="6">
        <f>AA1103&amp;AB1103</f>
        <v/>
      </c>
      <c r="AA1103" s="6">
        <f>YEAR(AC1103)</f>
        <v/>
      </c>
      <c r="AB1103" s="6">
        <f>MONTH(AC1103)</f>
        <v/>
      </c>
      <c r="AC1103" s="267">
        <f>IFERROR(__xludf.DUMMYFUNCTION("""COMPUTED_VALUE"""),44248.9986111111)</f>
        <v/>
      </c>
      <c r="AD1103" s="6">
        <f>IFERROR(__xludf.DUMMYFUNCTION("""COMPUTED_VALUE"""),1103.94)</f>
        <v/>
      </c>
      <c r="AH1103" s="6">
        <f>AI1103&amp;AJ1103</f>
        <v/>
      </c>
      <c r="AI1103" s="6">
        <f>YEAR(AK1103)</f>
        <v/>
      </c>
      <c r="AJ1103" s="6">
        <f>MONTH(AK1103)</f>
        <v/>
      </c>
      <c r="AK1103" s="267">
        <f>IFERROR(__xludf.DUMMYFUNCTION("""COMPUTED_VALUE"""),44196.9986111111)</f>
        <v/>
      </c>
      <c r="AL1103" s="6">
        <f>IFERROR(__xludf.DUMMYFUNCTION("""COMPUTED_VALUE"""),28943.58)</f>
        <v/>
      </c>
      <c r="AP1103" s="6">
        <f>AQ1103&amp;AR1103</f>
        <v/>
      </c>
      <c r="AQ1103" s="6">
        <f>YEAR(AS1103)</f>
        <v/>
      </c>
      <c r="AR1103" s="6">
        <f>MONTH(AS1103)</f>
        <v/>
      </c>
      <c r="AS1103" s="267">
        <f>IFERROR(__xludf.DUMMYFUNCTION("""COMPUTED_VALUE"""),44705.9986111111)</f>
        <v/>
      </c>
      <c r="AT1103" s="6">
        <f>IFERROR(__xludf.DUMMYFUNCTION("""COMPUTED_VALUE"""),1871.4)</f>
        <v/>
      </c>
    </row>
    <row r="1104">
      <c r="B1104" s="6">
        <f>C1104&amp;D1104</f>
        <v/>
      </c>
      <c r="C1104" s="6">
        <f>YEAR(E1104)</f>
        <v/>
      </c>
      <c r="D1104" s="6">
        <f>MONTH(E1104)</f>
        <v/>
      </c>
      <c r="E1104" s="267">
        <f>IFERROR(__xludf.DUMMYFUNCTION("""COMPUTED_VALUE"""),44698.6666666666)</f>
        <v/>
      </c>
      <c r="F1104" s="6">
        <f>IFERROR(__xludf.DUMMYFUNCTION("""COMPUTED_VALUE"""),4088.85)</f>
        <v/>
      </c>
      <c r="J1104" s="6">
        <f>K1104&amp;L1104</f>
        <v/>
      </c>
      <c r="K1104" s="6">
        <f>YEAR(M1104)</f>
        <v/>
      </c>
      <c r="L1104" s="6">
        <f>MONTH(M1104)</f>
        <v/>
      </c>
      <c r="M1104" s="267">
        <f>IFERROR(__xludf.DUMMYFUNCTION("""COMPUTED_VALUE"""),44691.6666666666)</f>
        <v/>
      </c>
      <c r="N1104" s="6">
        <f>IFERROR(__xludf.DUMMYFUNCTION("""COMPUTED_VALUE"""),11737.67)</f>
        <v/>
      </c>
      <c r="R1104" s="6">
        <f>S1104&amp;T1104</f>
        <v/>
      </c>
      <c r="S1104" s="6">
        <f>YEAR(U1104)</f>
        <v/>
      </c>
      <c r="T1104" s="6">
        <f>MONTH(U1104)</f>
        <v/>
      </c>
      <c r="U1104" s="267">
        <f>IFERROR(__xludf.DUMMYFUNCTION("""COMPUTED_VALUE"""),44741.6458333333)</f>
        <v/>
      </c>
      <c r="V1104" s="6">
        <f>IFERROR(__xludf.DUMMYFUNCTION("""COMPUTED_VALUE"""),2377.99)</f>
        <v/>
      </c>
      <c r="Z1104" s="6">
        <f>AA1104&amp;AB1104</f>
        <v/>
      </c>
      <c r="AA1104" s="6">
        <f>YEAR(AC1104)</f>
        <v/>
      </c>
      <c r="AB1104" s="6">
        <f>MONTH(AC1104)</f>
        <v/>
      </c>
      <c r="AC1104" s="267">
        <f>IFERROR(__xludf.DUMMYFUNCTION("""COMPUTED_VALUE"""),44249.9986111111)</f>
        <v/>
      </c>
      <c r="AD1104" s="6">
        <f>IFERROR(__xludf.DUMMYFUNCTION("""COMPUTED_VALUE"""),1110.67)</f>
        <v/>
      </c>
      <c r="AH1104" s="6">
        <f>AI1104&amp;AJ1104</f>
        <v/>
      </c>
      <c r="AI1104" s="6">
        <f>YEAR(AK1104)</f>
        <v/>
      </c>
      <c r="AJ1104" s="6">
        <f>MONTH(AK1104)</f>
        <v/>
      </c>
      <c r="AK1104" s="267">
        <f>IFERROR(__xludf.DUMMYFUNCTION("""COMPUTED_VALUE"""),44197.9986111111)</f>
        <v/>
      </c>
      <c r="AL1104" s="6">
        <f>IFERROR(__xludf.DUMMYFUNCTION("""COMPUTED_VALUE"""),29394.66)</f>
        <v/>
      </c>
      <c r="AP1104" s="6">
        <f>AQ1104&amp;AR1104</f>
        <v/>
      </c>
      <c r="AQ1104" s="6">
        <f>YEAR(AS1104)</f>
        <v/>
      </c>
      <c r="AR1104" s="6">
        <f>MONTH(AS1104)</f>
        <v/>
      </c>
      <c r="AS1104" s="267">
        <f>IFERROR(__xludf.DUMMYFUNCTION("""COMPUTED_VALUE"""),44706.9986111111)</f>
        <v/>
      </c>
      <c r="AT1104" s="6">
        <f>IFERROR(__xludf.DUMMYFUNCTION("""COMPUTED_VALUE"""),1852.5)</f>
        <v/>
      </c>
    </row>
    <row r="1105">
      <c r="B1105" s="6">
        <f>C1105&amp;D1105</f>
        <v/>
      </c>
      <c r="C1105" s="6">
        <f>YEAR(E1105)</f>
        <v/>
      </c>
      <c r="D1105" s="6">
        <f>MONTH(E1105)</f>
        <v/>
      </c>
      <c r="E1105" s="267">
        <f>IFERROR(__xludf.DUMMYFUNCTION("""COMPUTED_VALUE"""),44699.6666666666)</f>
        <v/>
      </c>
      <c r="F1105" s="6">
        <f>IFERROR(__xludf.DUMMYFUNCTION("""COMPUTED_VALUE"""),3923.68)</f>
        <v/>
      </c>
      <c r="J1105" s="6">
        <f>K1105&amp;L1105</f>
        <v/>
      </c>
      <c r="K1105" s="6">
        <f>YEAR(M1105)</f>
        <v/>
      </c>
      <c r="L1105" s="6">
        <f>MONTH(M1105)</f>
        <v/>
      </c>
      <c r="M1105" s="267">
        <f>IFERROR(__xludf.DUMMYFUNCTION("""COMPUTED_VALUE"""),44692.6666666666)</f>
        <v/>
      </c>
      <c r="N1105" s="6">
        <f>IFERROR(__xludf.DUMMYFUNCTION("""COMPUTED_VALUE"""),11364.24)</f>
        <v/>
      </c>
      <c r="R1105" s="6">
        <f>S1105&amp;T1105</f>
        <v/>
      </c>
      <c r="S1105" s="6">
        <f>YEAR(U1105)</f>
        <v/>
      </c>
      <c r="T1105" s="6">
        <f>MONTH(U1105)</f>
        <v/>
      </c>
      <c r="U1105" s="267">
        <f>IFERROR(__xludf.DUMMYFUNCTION("""COMPUTED_VALUE"""),44742.6458333333)</f>
        <v/>
      </c>
      <c r="V1105" s="6">
        <f>IFERROR(__xludf.DUMMYFUNCTION("""COMPUTED_VALUE"""),2332.64)</f>
        <v/>
      </c>
      <c r="Z1105" s="6">
        <f>AA1105&amp;AB1105</f>
        <v/>
      </c>
      <c r="AA1105" s="6">
        <f>YEAR(AC1105)</f>
        <v/>
      </c>
      <c r="AB1105" s="6">
        <f>MONTH(AC1105)</f>
        <v/>
      </c>
      <c r="AC1105" s="267">
        <f>IFERROR(__xludf.DUMMYFUNCTION("""COMPUTED_VALUE"""),44250.9986111111)</f>
        <v/>
      </c>
      <c r="AD1105" s="6">
        <f>IFERROR(__xludf.DUMMYFUNCTION("""COMPUTED_VALUE"""),1109.31)</f>
        <v/>
      </c>
      <c r="AH1105" s="6">
        <f>AI1105&amp;AJ1105</f>
        <v/>
      </c>
      <c r="AI1105" s="6">
        <f>YEAR(AK1105)</f>
        <v/>
      </c>
      <c r="AJ1105" s="6">
        <f>MONTH(AK1105)</f>
        <v/>
      </c>
      <c r="AK1105" s="267">
        <f>IFERROR(__xludf.DUMMYFUNCTION("""COMPUTED_VALUE"""),44198.9986111111)</f>
        <v/>
      </c>
      <c r="AL1105" s="6">
        <f>IFERROR(__xludf.DUMMYFUNCTION("""COMPUTED_VALUE"""),32183.46)</f>
        <v/>
      </c>
      <c r="AP1105" s="6">
        <f>AQ1105&amp;AR1105</f>
        <v/>
      </c>
      <c r="AQ1105" s="6">
        <f>YEAR(AS1105)</f>
        <v/>
      </c>
      <c r="AR1105" s="6">
        <f>MONTH(AS1105)</f>
        <v/>
      </c>
      <c r="AS1105" s="267">
        <f>IFERROR(__xludf.DUMMYFUNCTION("""COMPUTED_VALUE"""),44707.9986111111)</f>
        <v/>
      </c>
      <c r="AT1105" s="6">
        <f>IFERROR(__xludf.DUMMYFUNCTION("""COMPUTED_VALUE"""),1853.9)</f>
        <v/>
      </c>
    </row>
    <row r="1106">
      <c r="B1106" s="6">
        <f>C1106&amp;D1106</f>
        <v/>
      </c>
      <c r="C1106" s="6">
        <f>YEAR(E1106)</f>
        <v/>
      </c>
      <c r="D1106" s="6">
        <f>MONTH(E1106)</f>
        <v/>
      </c>
      <c r="E1106" s="267">
        <f>IFERROR(__xludf.DUMMYFUNCTION("""COMPUTED_VALUE"""),44700.6666666666)</f>
        <v/>
      </c>
      <c r="F1106" s="6">
        <f>IFERROR(__xludf.DUMMYFUNCTION("""COMPUTED_VALUE"""),3900.79)</f>
        <v/>
      </c>
      <c r="J1106" s="6">
        <f>K1106&amp;L1106</f>
        <v/>
      </c>
      <c r="K1106" s="6">
        <f>YEAR(M1106)</f>
        <v/>
      </c>
      <c r="L1106" s="6">
        <f>MONTH(M1106)</f>
        <v/>
      </c>
      <c r="M1106" s="267">
        <f>IFERROR(__xludf.DUMMYFUNCTION("""COMPUTED_VALUE"""),44693.6666666666)</f>
        <v/>
      </c>
      <c r="N1106" s="6">
        <f>IFERROR(__xludf.DUMMYFUNCTION("""COMPUTED_VALUE"""),11370.96)</f>
        <v/>
      </c>
      <c r="R1106" s="6">
        <f>S1106&amp;T1106</f>
        <v/>
      </c>
      <c r="S1106" s="6">
        <f>YEAR(U1106)</f>
        <v/>
      </c>
      <c r="T1106" s="6">
        <f>MONTH(U1106)</f>
        <v/>
      </c>
      <c r="U1106" s="267">
        <f>IFERROR(__xludf.DUMMYFUNCTION("""COMPUTED_VALUE"""),44743.6458333333)</f>
        <v/>
      </c>
      <c r="V1106" s="6">
        <f>IFERROR(__xludf.DUMMYFUNCTION("""COMPUTED_VALUE"""),2305.42)</f>
        <v/>
      </c>
      <c r="Z1106" s="6">
        <f>AA1106&amp;AB1106</f>
        <v/>
      </c>
      <c r="AA1106" s="6">
        <f>YEAR(AC1106)</f>
        <v/>
      </c>
      <c r="AB1106" s="6">
        <f>MONTH(AC1106)</f>
        <v/>
      </c>
      <c r="AC1106" s="267">
        <f>IFERROR(__xludf.DUMMYFUNCTION("""COMPUTED_VALUE"""),44251.9986111111)</f>
        <v/>
      </c>
      <c r="AD1106" s="6">
        <f>IFERROR(__xludf.DUMMYFUNCTION("""COMPUTED_VALUE"""),1107.21)</f>
        <v/>
      </c>
      <c r="AH1106" s="6">
        <f>AI1106&amp;AJ1106</f>
        <v/>
      </c>
      <c r="AI1106" s="6">
        <f>YEAR(AK1106)</f>
        <v/>
      </c>
      <c r="AJ1106" s="6">
        <f>MONTH(AK1106)</f>
        <v/>
      </c>
      <c r="AK1106" s="267">
        <f>IFERROR(__xludf.DUMMYFUNCTION("""COMPUTED_VALUE"""),44199.9986111111)</f>
        <v/>
      </c>
      <c r="AL1106" s="6">
        <f>IFERROR(__xludf.DUMMYFUNCTION("""COMPUTED_VALUE"""),32995.38)</f>
        <v/>
      </c>
      <c r="AP1106" s="6">
        <f>AQ1106&amp;AR1106</f>
        <v/>
      </c>
      <c r="AQ1106" s="6">
        <f>YEAR(AS1106)</f>
        <v/>
      </c>
      <c r="AR1106" s="6">
        <f>MONTH(AS1106)</f>
        <v/>
      </c>
      <c r="AS1106" s="267">
        <f>IFERROR(__xludf.DUMMYFUNCTION("""COMPUTED_VALUE"""),44708.9986111111)</f>
        <v/>
      </c>
      <c r="AT1106" s="6">
        <f>IFERROR(__xludf.DUMMYFUNCTION("""COMPUTED_VALUE"""),1857.3)</f>
        <v/>
      </c>
    </row>
    <row r="1107">
      <c r="B1107" s="6">
        <f>C1107&amp;D1107</f>
        <v/>
      </c>
      <c r="C1107" s="6">
        <f>YEAR(E1107)</f>
        <v/>
      </c>
      <c r="D1107" s="6">
        <f>MONTH(E1107)</f>
        <v/>
      </c>
      <c r="E1107" s="267">
        <f>IFERROR(__xludf.DUMMYFUNCTION("""COMPUTED_VALUE"""),44701.6666666666)</f>
        <v/>
      </c>
      <c r="F1107" s="6">
        <f>IFERROR(__xludf.DUMMYFUNCTION("""COMPUTED_VALUE"""),3901.36)</f>
        <v/>
      </c>
      <c r="J1107" s="6">
        <f>K1107&amp;L1107</f>
        <v/>
      </c>
      <c r="K1107" s="6">
        <f>YEAR(M1107)</f>
        <v/>
      </c>
      <c r="L1107" s="6">
        <f>MONTH(M1107)</f>
        <v/>
      </c>
      <c r="M1107" s="267">
        <f>IFERROR(__xludf.DUMMYFUNCTION("""COMPUTED_VALUE"""),44694.6666666666)</f>
        <v/>
      </c>
      <c r="N1107" s="6">
        <f>IFERROR(__xludf.DUMMYFUNCTION("""COMPUTED_VALUE"""),11805)</f>
        <v/>
      </c>
      <c r="R1107" s="6">
        <f>S1107&amp;T1107</f>
        <v/>
      </c>
      <c r="S1107" s="6">
        <f>YEAR(U1107)</f>
        <v/>
      </c>
      <c r="T1107" s="6">
        <f>MONTH(U1107)</f>
        <v/>
      </c>
      <c r="U1107" s="267">
        <f>IFERROR(__xludf.DUMMYFUNCTION("""COMPUTED_VALUE"""),44746.6458333333)</f>
        <v/>
      </c>
      <c r="V1107" s="6">
        <f>IFERROR(__xludf.DUMMYFUNCTION("""COMPUTED_VALUE"""),2300.34)</f>
        <v/>
      </c>
      <c r="Z1107" s="6">
        <f>AA1107&amp;AB1107</f>
        <v/>
      </c>
      <c r="AA1107" s="6">
        <f>YEAR(AC1107)</f>
        <v/>
      </c>
      <c r="AB1107" s="6">
        <f>MONTH(AC1107)</f>
        <v/>
      </c>
      <c r="AC1107" s="267">
        <f>IFERROR(__xludf.DUMMYFUNCTION("""COMPUTED_VALUE"""),44252.9986111111)</f>
        <v/>
      </c>
      <c r="AD1107" s="6">
        <f>IFERROR(__xludf.DUMMYFUNCTION("""COMPUTED_VALUE"""),1119.13)</f>
        <v/>
      </c>
      <c r="AH1107" s="6">
        <f>AI1107&amp;AJ1107</f>
        <v/>
      </c>
      <c r="AI1107" s="6">
        <f>YEAR(AK1107)</f>
        <v/>
      </c>
      <c r="AJ1107" s="6">
        <f>MONTH(AK1107)</f>
        <v/>
      </c>
      <c r="AK1107" s="267">
        <f>IFERROR(__xludf.DUMMYFUNCTION("""COMPUTED_VALUE"""),44200.9986111111)</f>
        <v/>
      </c>
      <c r="AL1107" s="6">
        <f>IFERROR(__xludf.DUMMYFUNCTION("""COMPUTED_VALUE"""),32022.43)</f>
        <v/>
      </c>
      <c r="AP1107" s="6">
        <f>AQ1107&amp;AR1107</f>
        <v/>
      </c>
      <c r="AQ1107" s="6">
        <f>YEAR(AS1107)</f>
        <v/>
      </c>
      <c r="AR1107" s="6">
        <f>MONTH(AS1107)</f>
        <v/>
      </c>
      <c r="AS1107" s="267">
        <f>IFERROR(__xludf.DUMMYFUNCTION("""COMPUTED_VALUE"""),44712.9986111111)</f>
        <v/>
      </c>
      <c r="AT1107" s="6">
        <f>IFERROR(__xludf.DUMMYFUNCTION("""COMPUTED_VALUE"""),1848.4)</f>
        <v/>
      </c>
    </row>
    <row r="1108">
      <c r="B1108" s="6">
        <f>C1108&amp;D1108</f>
        <v/>
      </c>
      <c r="C1108" s="6">
        <f>YEAR(E1108)</f>
        <v/>
      </c>
      <c r="D1108" s="6">
        <f>MONTH(E1108)</f>
        <v/>
      </c>
      <c r="E1108" s="267">
        <f>IFERROR(__xludf.DUMMYFUNCTION("""COMPUTED_VALUE"""),44704.6666666666)</f>
        <v/>
      </c>
      <c r="F1108" s="6">
        <f>IFERROR(__xludf.DUMMYFUNCTION("""COMPUTED_VALUE"""),3973.75)</f>
        <v/>
      </c>
      <c r="J1108" s="6">
        <f>K1108&amp;L1108</f>
        <v/>
      </c>
      <c r="K1108" s="6">
        <f>YEAR(M1108)</f>
        <v/>
      </c>
      <c r="L1108" s="6">
        <f>MONTH(M1108)</f>
        <v/>
      </c>
      <c r="M1108" s="267">
        <f>IFERROR(__xludf.DUMMYFUNCTION("""COMPUTED_VALUE"""),44697.6666666666)</f>
        <v/>
      </c>
      <c r="N1108" s="6">
        <f>IFERROR(__xludf.DUMMYFUNCTION("""COMPUTED_VALUE"""),11662.79)</f>
        <v/>
      </c>
      <c r="R1108" s="6">
        <f>S1108&amp;T1108</f>
        <v/>
      </c>
      <c r="S1108" s="6">
        <f>YEAR(U1108)</f>
        <v/>
      </c>
      <c r="T1108" s="6">
        <f>MONTH(U1108)</f>
        <v/>
      </c>
      <c r="U1108" s="267">
        <f>IFERROR(__xludf.DUMMYFUNCTION("""COMPUTED_VALUE"""),44747.6458333333)</f>
        <v/>
      </c>
      <c r="V1108" s="6">
        <f>IFERROR(__xludf.DUMMYFUNCTION("""COMPUTED_VALUE"""),2341.78)</f>
        <v/>
      </c>
      <c r="Z1108" s="6">
        <f>AA1108&amp;AB1108</f>
        <v/>
      </c>
      <c r="AA1108" s="6">
        <f>YEAR(AC1108)</f>
        <v/>
      </c>
      <c r="AB1108" s="6">
        <f>MONTH(AC1108)</f>
        <v/>
      </c>
      <c r="AC1108" s="267">
        <f>IFERROR(__xludf.DUMMYFUNCTION("""COMPUTED_VALUE"""),44253.9986111111)</f>
        <v/>
      </c>
      <c r="AD1108" s="6">
        <f>IFERROR(__xludf.DUMMYFUNCTION("""COMPUTED_VALUE"""),1123.37)</f>
        <v/>
      </c>
      <c r="AH1108" s="6">
        <f>AI1108&amp;AJ1108</f>
        <v/>
      </c>
      <c r="AI1108" s="6">
        <f>YEAR(AK1108)</f>
        <v/>
      </c>
      <c r="AJ1108" s="6">
        <f>MONTH(AK1108)</f>
        <v/>
      </c>
      <c r="AK1108" s="267">
        <f>IFERROR(__xludf.DUMMYFUNCTION("""COMPUTED_VALUE"""),44201.9986111111)</f>
        <v/>
      </c>
      <c r="AL1108" s="6">
        <f>IFERROR(__xludf.DUMMYFUNCTION("""COMPUTED_VALUE"""),33999.23)</f>
        <v/>
      </c>
      <c r="AP1108" s="6">
        <f>AQ1108&amp;AR1108</f>
        <v/>
      </c>
      <c r="AQ1108" s="6">
        <f>YEAR(AS1108)</f>
        <v/>
      </c>
      <c r="AR1108" s="6">
        <f>MONTH(AS1108)</f>
        <v/>
      </c>
      <c r="AS1108" s="267">
        <f>IFERROR(__xludf.DUMMYFUNCTION("""COMPUTED_VALUE"""),44713.9986111111)</f>
        <v/>
      </c>
      <c r="AT1108" s="6">
        <f>IFERROR(__xludf.DUMMYFUNCTION("""COMPUTED_VALUE"""),1848.7)</f>
        <v/>
      </c>
    </row>
    <row r="1109">
      <c r="B1109" s="6">
        <f>C1109&amp;D1109</f>
        <v/>
      </c>
      <c r="C1109" s="6">
        <f>YEAR(E1109)</f>
        <v/>
      </c>
      <c r="D1109" s="6">
        <f>MONTH(E1109)</f>
        <v/>
      </c>
      <c r="E1109" s="267">
        <f>IFERROR(__xludf.DUMMYFUNCTION("""COMPUTED_VALUE"""),44705.6666666666)</f>
        <v/>
      </c>
      <c r="F1109" s="6">
        <f>IFERROR(__xludf.DUMMYFUNCTION("""COMPUTED_VALUE"""),3941.48)</f>
        <v/>
      </c>
      <c r="J1109" s="6">
        <f>K1109&amp;L1109</f>
        <v/>
      </c>
      <c r="K1109" s="6">
        <f>YEAR(M1109)</f>
        <v/>
      </c>
      <c r="L1109" s="6">
        <f>MONTH(M1109)</f>
        <v/>
      </c>
      <c r="M1109" s="267">
        <f>IFERROR(__xludf.DUMMYFUNCTION("""COMPUTED_VALUE"""),44698.6666666666)</f>
        <v/>
      </c>
      <c r="N1109" s="6">
        <f>IFERROR(__xludf.DUMMYFUNCTION("""COMPUTED_VALUE"""),11984.52)</f>
        <v/>
      </c>
      <c r="R1109" s="6">
        <f>S1109&amp;T1109</f>
        <v/>
      </c>
      <c r="S1109" s="6">
        <f>YEAR(U1109)</f>
        <v/>
      </c>
      <c r="T1109" s="6">
        <f>MONTH(U1109)</f>
        <v/>
      </c>
      <c r="U1109" s="267">
        <f>IFERROR(__xludf.DUMMYFUNCTION("""COMPUTED_VALUE"""),44748.6458333333)</f>
        <v/>
      </c>
      <c r="V1109" s="6">
        <f>IFERROR(__xludf.DUMMYFUNCTION("""COMPUTED_VALUE"""),2292.01)</f>
        <v/>
      </c>
      <c r="Z1109" s="6">
        <f>AA1109&amp;AB1109</f>
        <v/>
      </c>
      <c r="AA1109" s="6">
        <f>YEAR(AC1109)</f>
        <v/>
      </c>
      <c r="AB1109" s="6">
        <f>MONTH(AC1109)</f>
        <v/>
      </c>
      <c r="AC1109" s="267">
        <f>IFERROR(__xludf.DUMMYFUNCTION("""COMPUTED_VALUE"""),44254.9986111111)</f>
        <v/>
      </c>
      <c r="AD1109" s="6">
        <f>IFERROR(__xludf.DUMMYFUNCTION("""COMPUTED_VALUE"""),1123.37)</f>
        <v/>
      </c>
      <c r="AH1109" s="6">
        <f>AI1109&amp;AJ1109</f>
        <v/>
      </c>
      <c r="AI1109" s="6">
        <f>YEAR(AK1109)</f>
        <v/>
      </c>
      <c r="AJ1109" s="6">
        <f>MONTH(AK1109)</f>
        <v/>
      </c>
      <c r="AK1109" s="267">
        <f>IFERROR(__xludf.DUMMYFUNCTION("""COMPUTED_VALUE"""),44202.9986111111)</f>
        <v/>
      </c>
      <c r="AL1109" s="6">
        <f>IFERROR(__xludf.DUMMYFUNCTION("""COMPUTED_VALUE"""),36812.19)</f>
        <v/>
      </c>
      <c r="AP1109" s="6">
        <f>AQ1109&amp;AR1109</f>
        <v/>
      </c>
      <c r="AQ1109" s="6">
        <f>YEAR(AS1109)</f>
        <v/>
      </c>
      <c r="AR1109" s="6">
        <f>MONTH(AS1109)</f>
        <v/>
      </c>
      <c r="AS1109" s="267">
        <f>IFERROR(__xludf.DUMMYFUNCTION("""COMPUTED_VALUE"""),44714.9986111111)</f>
        <v/>
      </c>
      <c r="AT1109" s="6">
        <f>IFERROR(__xludf.DUMMYFUNCTION("""COMPUTED_VALUE"""),1871.4)</f>
        <v/>
      </c>
    </row>
    <row r="1110">
      <c r="B1110" s="6">
        <f>C1110&amp;D1110</f>
        <v/>
      </c>
      <c r="C1110" s="6">
        <f>YEAR(E1110)</f>
        <v/>
      </c>
      <c r="D1110" s="6">
        <f>MONTH(E1110)</f>
        <v/>
      </c>
      <c r="E1110" s="267">
        <f>IFERROR(__xludf.DUMMYFUNCTION("""COMPUTED_VALUE"""),44706.6666666666)</f>
        <v/>
      </c>
      <c r="F1110" s="6">
        <f>IFERROR(__xludf.DUMMYFUNCTION("""COMPUTED_VALUE"""),3978.73)</f>
        <v/>
      </c>
      <c r="J1110" s="6">
        <f>K1110&amp;L1110</f>
        <v/>
      </c>
      <c r="K1110" s="6">
        <f>YEAR(M1110)</f>
        <v/>
      </c>
      <c r="L1110" s="6">
        <f>MONTH(M1110)</f>
        <v/>
      </c>
      <c r="M1110" s="267">
        <f>IFERROR(__xludf.DUMMYFUNCTION("""COMPUTED_VALUE"""),44699.6666666666)</f>
        <v/>
      </c>
      <c r="N1110" s="6">
        <f>IFERROR(__xludf.DUMMYFUNCTION("""COMPUTED_VALUE"""),11418.15)</f>
        <v/>
      </c>
      <c r="R1110" s="6">
        <f>S1110&amp;T1110</f>
        <v/>
      </c>
      <c r="S1110" s="6">
        <f>YEAR(U1110)</f>
        <v/>
      </c>
      <c r="T1110" s="6">
        <f>MONTH(U1110)</f>
        <v/>
      </c>
      <c r="U1110" s="267">
        <f>IFERROR(__xludf.DUMMYFUNCTION("""COMPUTED_VALUE"""),44749.6458333333)</f>
        <v/>
      </c>
      <c r="V1110" s="6">
        <f>IFERROR(__xludf.DUMMYFUNCTION("""COMPUTED_VALUE"""),2334.27)</f>
        <v/>
      </c>
      <c r="Z1110" s="6">
        <f>AA1110&amp;AB1110</f>
        <v/>
      </c>
      <c r="AA1110" s="6">
        <f>YEAR(AC1110)</f>
        <v/>
      </c>
      <c r="AB1110" s="6">
        <f>MONTH(AC1110)</f>
        <v/>
      </c>
      <c r="AC1110" s="267">
        <f>IFERROR(__xludf.DUMMYFUNCTION("""COMPUTED_VALUE"""),44255.9986111111)</f>
        <v/>
      </c>
      <c r="AD1110" s="6">
        <f>IFERROR(__xludf.DUMMYFUNCTION("""COMPUTED_VALUE"""),1123.37)</f>
        <v/>
      </c>
      <c r="AH1110" s="6">
        <f>AI1110&amp;AJ1110</f>
        <v/>
      </c>
      <c r="AI1110" s="6">
        <f>YEAR(AK1110)</f>
        <v/>
      </c>
      <c r="AJ1110" s="6">
        <f>MONTH(AK1110)</f>
        <v/>
      </c>
      <c r="AK1110" s="267">
        <f>IFERROR(__xludf.DUMMYFUNCTION("""COMPUTED_VALUE"""),44203.9986111111)</f>
        <v/>
      </c>
      <c r="AL1110" s="6">
        <f>IFERROR(__xludf.DUMMYFUNCTION("""COMPUTED_VALUE"""),39465)</f>
        <v/>
      </c>
      <c r="AP1110" s="6">
        <f>AQ1110&amp;AR1110</f>
        <v/>
      </c>
      <c r="AQ1110" s="6">
        <f>YEAR(AS1110)</f>
        <v/>
      </c>
      <c r="AR1110" s="6">
        <f>MONTH(AS1110)</f>
        <v/>
      </c>
      <c r="AS1110" s="267">
        <f>IFERROR(__xludf.DUMMYFUNCTION("""COMPUTED_VALUE"""),44715.9986111111)</f>
        <v/>
      </c>
      <c r="AT1110" s="6">
        <f>IFERROR(__xludf.DUMMYFUNCTION("""COMPUTED_VALUE"""),1850.2)</f>
        <v/>
      </c>
    </row>
    <row r="1111">
      <c r="B1111" s="6">
        <f>C1111&amp;D1111</f>
        <v/>
      </c>
      <c r="C1111" s="6">
        <f>YEAR(E1111)</f>
        <v/>
      </c>
      <c r="D1111" s="6">
        <f>MONTH(E1111)</f>
        <v/>
      </c>
      <c r="E1111" s="267">
        <f>IFERROR(__xludf.DUMMYFUNCTION("""COMPUTED_VALUE"""),44707.6666666666)</f>
        <v/>
      </c>
      <c r="F1111" s="6">
        <f>IFERROR(__xludf.DUMMYFUNCTION("""COMPUTED_VALUE"""),4057.84)</f>
        <v/>
      </c>
      <c r="J1111" s="6">
        <f>K1111&amp;L1111</f>
        <v/>
      </c>
      <c r="K1111" s="6">
        <f>YEAR(M1111)</f>
        <v/>
      </c>
      <c r="L1111" s="6">
        <f>MONTH(M1111)</f>
        <v/>
      </c>
      <c r="M1111" s="267">
        <f>IFERROR(__xludf.DUMMYFUNCTION("""COMPUTED_VALUE"""),44700.6666666666)</f>
        <v/>
      </c>
      <c r="N1111" s="6">
        <f>IFERROR(__xludf.DUMMYFUNCTION("""COMPUTED_VALUE"""),11388.5)</f>
        <v/>
      </c>
      <c r="R1111" s="6">
        <f>S1111&amp;T1111</f>
        <v/>
      </c>
      <c r="S1111" s="6">
        <f>YEAR(U1111)</f>
        <v/>
      </c>
      <c r="T1111" s="6">
        <f>MONTH(U1111)</f>
        <v/>
      </c>
      <c r="U1111" s="267">
        <f>IFERROR(__xludf.DUMMYFUNCTION("""COMPUTED_VALUE"""),44750.6458333333)</f>
        <v/>
      </c>
      <c r="V1111" s="6">
        <f>IFERROR(__xludf.DUMMYFUNCTION("""COMPUTED_VALUE"""),2350.61)</f>
        <v/>
      </c>
      <c r="Z1111" s="6">
        <f>AA1111&amp;AB1111</f>
        <v/>
      </c>
      <c r="AA1111" s="6">
        <f>YEAR(AC1111)</f>
        <v/>
      </c>
      <c r="AB1111" s="6">
        <f>MONTH(AC1111)</f>
        <v/>
      </c>
      <c r="AC1111" s="267">
        <f>IFERROR(__xludf.DUMMYFUNCTION("""COMPUTED_VALUE"""),44256.9986111111)</f>
        <v/>
      </c>
      <c r="AD1111" s="6">
        <f>IFERROR(__xludf.DUMMYFUNCTION("""COMPUTED_VALUE"""),1101.83)</f>
        <v/>
      </c>
      <c r="AH1111" s="6">
        <f>AI1111&amp;AJ1111</f>
        <v/>
      </c>
      <c r="AI1111" s="6">
        <f>YEAR(AK1111)</f>
        <v/>
      </c>
      <c r="AJ1111" s="6">
        <f>MONTH(AK1111)</f>
        <v/>
      </c>
      <c r="AK1111" s="267">
        <f>IFERROR(__xludf.DUMMYFUNCTION("""COMPUTED_VALUE"""),44204.9986111111)</f>
        <v/>
      </c>
      <c r="AL1111" s="6">
        <f>IFERROR(__xludf.DUMMYFUNCTION("""COMPUTED_VALUE"""),40641.98)</f>
        <v/>
      </c>
      <c r="AP1111" s="6">
        <f>AQ1111&amp;AR1111</f>
        <v/>
      </c>
      <c r="AQ1111" s="6">
        <f>YEAR(AS1111)</f>
        <v/>
      </c>
      <c r="AR1111" s="6">
        <f>MONTH(AS1111)</f>
        <v/>
      </c>
      <c r="AS1111" s="267">
        <f>IFERROR(__xludf.DUMMYFUNCTION("""COMPUTED_VALUE"""),44718.9986111111)</f>
        <v/>
      </c>
      <c r="AT1111" s="6">
        <f>IFERROR(__xludf.DUMMYFUNCTION("""COMPUTED_VALUE"""),1843.7)</f>
        <v/>
      </c>
    </row>
    <row r="1112">
      <c r="B1112" s="6">
        <f>C1112&amp;D1112</f>
        <v/>
      </c>
      <c r="C1112" s="6">
        <f>YEAR(E1112)</f>
        <v/>
      </c>
      <c r="D1112" s="6">
        <f>MONTH(E1112)</f>
        <v/>
      </c>
      <c r="E1112" s="267">
        <f>IFERROR(__xludf.DUMMYFUNCTION("""COMPUTED_VALUE"""),44708.6666666666)</f>
        <v/>
      </c>
      <c r="F1112" s="6">
        <f>IFERROR(__xludf.DUMMYFUNCTION("""COMPUTED_VALUE"""),4158.24)</f>
        <v/>
      </c>
      <c r="J1112" s="6">
        <f>K1112&amp;L1112</f>
        <v/>
      </c>
      <c r="K1112" s="6">
        <f>YEAR(M1112)</f>
        <v/>
      </c>
      <c r="L1112" s="6">
        <f>MONTH(M1112)</f>
        <v/>
      </c>
      <c r="M1112" s="267">
        <f>IFERROR(__xludf.DUMMYFUNCTION("""COMPUTED_VALUE"""),44701.6666666666)</f>
        <v/>
      </c>
      <c r="N1112" s="6">
        <f>IFERROR(__xludf.DUMMYFUNCTION("""COMPUTED_VALUE"""),11354.62)</f>
        <v/>
      </c>
      <c r="R1112" s="6">
        <f>S1112&amp;T1112</f>
        <v/>
      </c>
      <c r="S1112" s="6">
        <f>YEAR(U1112)</f>
        <v/>
      </c>
      <c r="T1112" s="6">
        <f>MONTH(U1112)</f>
        <v/>
      </c>
      <c r="U1112" s="267">
        <f>IFERROR(__xludf.DUMMYFUNCTION("""COMPUTED_VALUE"""),44753.6458333333)</f>
        <v/>
      </c>
      <c r="V1112" s="6">
        <f>IFERROR(__xludf.DUMMYFUNCTION("""COMPUTED_VALUE"""),2340.27)</f>
        <v/>
      </c>
      <c r="Z1112" s="6">
        <f>AA1112&amp;AB1112</f>
        <v/>
      </c>
      <c r="AA1112" s="6">
        <f>YEAR(AC1112)</f>
        <v/>
      </c>
      <c r="AB1112" s="6">
        <f>MONTH(AC1112)</f>
        <v/>
      </c>
      <c r="AC1112" s="267">
        <f>IFERROR(__xludf.DUMMYFUNCTION("""COMPUTED_VALUE"""),44257.9986111111)</f>
        <v/>
      </c>
      <c r="AD1112" s="6">
        <f>IFERROR(__xludf.DUMMYFUNCTION("""COMPUTED_VALUE"""),1124.33)</f>
        <v/>
      </c>
      <c r="AH1112" s="6">
        <f>AI1112&amp;AJ1112</f>
        <v/>
      </c>
      <c r="AI1112" s="6">
        <f>YEAR(AK1112)</f>
        <v/>
      </c>
      <c r="AJ1112" s="6">
        <f>MONTH(AK1112)</f>
        <v/>
      </c>
      <c r="AK1112" s="267">
        <f>IFERROR(__xludf.DUMMYFUNCTION("""COMPUTED_VALUE"""),44205.9986111111)</f>
        <v/>
      </c>
      <c r="AL1112" s="6">
        <f>IFERROR(__xludf.DUMMYFUNCTION("""COMPUTED_VALUE"""),40229.14)</f>
        <v/>
      </c>
      <c r="AP1112" s="6">
        <f>AQ1112&amp;AR1112</f>
        <v/>
      </c>
      <c r="AQ1112" s="6">
        <f>YEAR(AS1112)</f>
        <v/>
      </c>
      <c r="AR1112" s="6">
        <f>MONTH(AS1112)</f>
        <v/>
      </c>
      <c r="AS1112" s="267">
        <f>IFERROR(__xludf.DUMMYFUNCTION("""COMPUTED_VALUE"""),44719.9986111111)</f>
        <v/>
      </c>
      <c r="AT1112" s="6">
        <f>IFERROR(__xludf.DUMMYFUNCTION("""COMPUTED_VALUE"""),1852.1)</f>
        <v/>
      </c>
    </row>
    <row r="1113">
      <c r="B1113" s="6">
        <f>C1113&amp;D1113</f>
        <v/>
      </c>
      <c r="C1113" s="6">
        <f>YEAR(E1113)</f>
        <v/>
      </c>
      <c r="D1113" s="6">
        <f>MONTH(E1113)</f>
        <v/>
      </c>
      <c r="E1113" s="267">
        <f>IFERROR(__xludf.DUMMYFUNCTION("""COMPUTED_VALUE"""),44712.6666666666)</f>
        <v/>
      </c>
      <c r="F1113" s="6">
        <f>IFERROR(__xludf.DUMMYFUNCTION("""COMPUTED_VALUE"""),4132.15)</f>
        <v/>
      </c>
      <c r="J1113" s="6">
        <f>K1113&amp;L1113</f>
        <v/>
      </c>
      <c r="K1113" s="6">
        <f>YEAR(M1113)</f>
        <v/>
      </c>
      <c r="L1113" s="6">
        <f>MONTH(M1113)</f>
        <v/>
      </c>
      <c r="M1113" s="267">
        <f>IFERROR(__xludf.DUMMYFUNCTION("""COMPUTED_VALUE"""),44704.6666666666)</f>
        <v/>
      </c>
      <c r="N1113" s="6">
        <f>IFERROR(__xludf.DUMMYFUNCTION("""COMPUTED_VALUE"""),11535.28)</f>
        <v/>
      </c>
      <c r="R1113" s="6">
        <f>S1113&amp;T1113</f>
        <v/>
      </c>
      <c r="S1113" s="6">
        <f>YEAR(U1113)</f>
        <v/>
      </c>
      <c r="T1113" s="6">
        <f>MONTH(U1113)</f>
        <v/>
      </c>
      <c r="U1113" s="267">
        <f>IFERROR(__xludf.DUMMYFUNCTION("""COMPUTED_VALUE"""),44754.6458333333)</f>
        <v/>
      </c>
      <c r="V1113" s="6">
        <f>IFERROR(__xludf.DUMMYFUNCTION("""COMPUTED_VALUE"""),2317.76)</f>
        <v/>
      </c>
      <c r="Z1113" s="6">
        <f>AA1113&amp;AB1113</f>
        <v/>
      </c>
      <c r="AA1113" s="6">
        <f>YEAR(AC1113)</f>
        <v/>
      </c>
      <c r="AB1113" s="6">
        <f>MONTH(AC1113)</f>
        <v/>
      </c>
      <c r="AC1113" s="267">
        <f>IFERROR(__xludf.DUMMYFUNCTION("""COMPUTED_VALUE"""),44258.9986111111)</f>
        <v/>
      </c>
      <c r="AD1113" s="6">
        <f>IFERROR(__xludf.DUMMYFUNCTION("""COMPUTED_VALUE"""),1129.5)</f>
        <v/>
      </c>
      <c r="AH1113" s="6">
        <f>AI1113&amp;AJ1113</f>
        <v/>
      </c>
      <c r="AI1113" s="6">
        <f>YEAR(AK1113)</f>
        <v/>
      </c>
      <c r="AJ1113" s="6">
        <f>MONTH(AK1113)</f>
        <v/>
      </c>
      <c r="AK1113" s="267">
        <f>IFERROR(__xludf.DUMMYFUNCTION("""COMPUTED_VALUE"""),44206.9986111111)</f>
        <v/>
      </c>
      <c r="AL1113" s="6">
        <f>IFERROR(__xludf.DUMMYFUNCTION("""COMPUTED_VALUE"""),38212.04)</f>
        <v/>
      </c>
      <c r="AP1113" s="6">
        <f>AQ1113&amp;AR1113</f>
        <v/>
      </c>
      <c r="AQ1113" s="6">
        <f>YEAR(AS1113)</f>
        <v/>
      </c>
      <c r="AR1113" s="6">
        <f>MONTH(AS1113)</f>
        <v/>
      </c>
      <c r="AS1113" s="267">
        <f>IFERROR(__xludf.DUMMYFUNCTION("""COMPUTED_VALUE"""),44720.9986111111)</f>
        <v/>
      </c>
      <c r="AT1113" s="6">
        <f>IFERROR(__xludf.DUMMYFUNCTION("""COMPUTED_VALUE"""),1856.5)</f>
        <v/>
      </c>
    </row>
    <row r="1114">
      <c r="B1114" s="6">
        <f>C1114&amp;D1114</f>
        <v/>
      </c>
      <c r="C1114" s="6">
        <f>YEAR(E1114)</f>
        <v/>
      </c>
      <c r="D1114" s="6">
        <f>MONTH(E1114)</f>
        <v/>
      </c>
      <c r="E1114" s="267">
        <f>IFERROR(__xludf.DUMMYFUNCTION("""COMPUTED_VALUE"""),44713.6666666666)</f>
        <v/>
      </c>
      <c r="F1114" s="6">
        <f>IFERROR(__xludf.DUMMYFUNCTION("""COMPUTED_VALUE"""),4101.23)</f>
        <v/>
      </c>
      <c r="J1114" s="6">
        <f>K1114&amp;L1114</f>
        <v/>
      </c>
      <c r="K1114" s="6">
        <f>YEAR(M1114)</f>
        <v/>
      </c>
      <c r="L1114" s="6">
        <f>MONTH(M1114)</f>
        <v/>
      </c>
      <c r="M1114" s="267">
        <f>IFERROR(__xludf.DUMMYFUNCTION("""COMPUTED_VALUE"""),44705.6666666666)</f>
        <v/>
      </c>
      <c r="N1114" s="6">
        <f>IFERROR(__xludf.DUMMYFUNCTION("""COMPUTED_VALUE"""),11264.45)</f>
        <v/>
      </c>
      <c r="R1114" s="6">
        <f>S1114&amp;T1114</f>
        <v/>
      </c>
      <c r="S1114" s="6">
        <f>YEAR(U1114)</f>
        <v/>
      </c>
      <c r="T1114" s="6">
        <f>MONTH(U1114)</f>
        <v/>
      </c>
      <c r="U1114" s="267">
        <f>IFERROR(__xludf.DUMMYFUNCTION("""COMPUTED_VALUE"""),44755.6458333333)</f>
        <v/>
      </c>
      <c r="V1114" s="6">
        <f>IFERROR(__xludf.DUMMYFUNCTION("""COMPUTED_VALUE"""),2328.61)</f>
        <v/>
      </c>
      <c r="Z1114" s="6">
        <f>AA1114&amp;AB1114</f>
        <v/>
      </c>
      <c r="AA1114" s="6">
        <f>YEAR(AC1114)</f>
        <v/>
      </c>
      <c r="AB1114" s="6">
        <f>MONTH(AC1114)</f>
        <v/>
      </c>
      <c r="AC1114" s="267">
        <f>IFERROR(__xludf.DUMMYFUNCTION("""COMPUTED_VALUE"""),44259.9986111111)</f>
        <v/>
      </c>
      <c r="AD1114" s="6">
        <f>IFERROR(__xludf.DUMMYFUNCTION("""COMPUTED_VALUE"""),1133.35)</f>
        <v/>
      </c>
      <c r="AH1114" s="6">
        <f>AI1114&amp;AJ1114</f>
        <v/>
      </c>
      <c r="AI1114" s="6">
        <f>YEAR(AK1114)</f>
        <v/>
      </c>
      <c r="AJ1114" s="6">
        <f>MONTH(AK1114)</f>
        <v/>
      </c>
      <c r="AK1114" s="267">
        <f>IFERROR(__xludf.DUMMYFUNCTION("""COMPUTED_VALUE"""),44207.9986111111)</f>
        <v/>
      </c>
      <c r="AL1114" s="6">
        <f>IFERROR(__xludf.DUMMYFUNCTION("""COMPUTED_VALUE"""),35480.42)</f>
        <v/>
      </c>
      <c r="AP1114" s="6">
        <f>AQ1114&amp;AR1114</f>
        <v/>
      </c>
      <c r="AQ1114" s="6">
        <f>YEAR(AS1114)</f>
        <v/>
      </c>
      <c r="AR1114" s="6">
        <f>MONTH(AS1114)</f>
        <v/>
      </c>
      <c r="AS1114" s="267">
        <f>IFERROR(__xludf.DUMMYFUNCTION("""COMPUTED_VALUE"""),44721.9986111111)</f>
        <v/>
      </c>
      <c r="AT1114" s="6">
        <f>IFERROR(__xludf.DUMMYFUNCTION("""COMPUTED_VALUE"""),1852.8)</f>
        <v/>
      </c>
    </row>
    <row r="1115">
      <c r="B1115" s="6">
        <f>C1115&amp;D1115</f>
        <v/>
      </c>
      <c r="C1115" s="6">
        <f>YEAR(E1115)</f>
        <v/>
      </c>
      <c r="D1115" s="6">
        <f>MONTH(E1115)</f>
        <v/>
      </c>
      <c r="E1115" s="267">
        <f>IFERROR(__xludf.DUMMYFUNCTION("""COMPUTED_VALUE"""),44714.6666666666)</f>
        <v/>
      </c>
      <c r="F1115" s="6">
        <f>IFERROR(__xludf.DUMMYFUNCTION("""COMPUTED_VALUE"""),4176.82)</f>
        <v/>
      </c>
      <c r="J1115" s="6">
        <f>K1115&amp;L1115</f>
        <v/>
      </c>
      <c r="K1115" s="6">
        <f>YEAR(M1115)</f>
        <v/>
      </c>
      <c r="L1115" s="6">
        <f>MONTH(M1115)</f>
        <v/>
      </c>
      <c r="M1115" s="267">
        <f>IFERROR(__xludf.DUMMYFUNCTION("""COMPUTED_VALUE"""),44706.6666666666)</f>
        <v/>
      </c>
      <c r="N1115" s="6">
        <f>IFERROR(__xludf.DUMMYFUNCTION("""COMPUTED_VALUE"""),11434.74)</f>
        <v/>
      </c>
      <c r="R1115" s="6">
        <f>S1115&amp;T1115</f>
        <v/>
      </c>
      <c r="S1115" s="6">
        <f>YEAR(U1115)</f>
        <v/>
      </c>
      <c r="T1115" s="6">
        <f>MONTH(U1115)</f>
        <v/>
      </c>
      <c r="U1115" s="267">
        <f>IFERROR(__xludf.DUMMYFUNCTION("""COMPUTED_VALUE"""),44756.6458333333)</f>
        <v/>
      </c>
      <c r="V1115" s="6">
        <f>IFERROR(__xludf.DUMMYFUNCTION("""COMPUTED_VALUE"""),2322.32)</f>
        <v/>
      </c>
      <c r="Z1115" s="6">
        <f>AA1115&amp;AB1115</f>
        <v/>
      </c>
      <c r="AA1115" s="6">
        <f>YEAR(AC1115)</f>
        <v/>
      </c>
      <c r="AB1115" s="6">
        <f>MONTH(AC1115)</f>
        <v/>
      </c>
      <c r="AC1115" s="267">
        <f>IFERROR(__xludf.DUMMYFUNCTION("""COMPUTED_VALUE"""),44260.9986111111)</f>
        <v/>
      </c>
      <c r="AD1115" s="6">
        <f>IFERROR(__xludf.DUMMYFUNCTION("""COMPUTED_VALUE"""),1127.49)</f>
        <v/>
      </c>
      <c r="AH1115" s="6">
        <f>AI1115&amp;AJ1115</f>
        <v/>
      </c>
      <c r="AI1115" s="6">
        <f>YEAR(AK1115)</f>
        <v/>
      </c>
      <c r="AJ1115" s="6">
        <f>MONTH(AK1115)</f>
        <v/>
      </c>
      <c r="AK1115" s="267">
        <f>IFERROR(__xludf.DUMMYFUNCTION("""COMPUTED_VALUE"""),44208.9986111111)</f>
        <v/>
      </c>
      <c r="AL1115" s="6">
        <f>IFERROR(__xludf.DUMMYFUNCTION("""COMPUTED_VALUE"""),34051)</f>
        <v/>
      </c>
      <c r="AP1115" s="6">
        <f>AQ1115&amp;AR1115</f>
        <v/>
      </c>
      <c r="AQ1115" s="6">
        <f>YEAR(AS1115)</f>
        <v/>
      </c>
      <c r="AR1115" s="6">
        <f>MONTH(AS1115)</f>
        <v/>
      </c>
      <c r="AS1115" s="267">
        <f>IFERROR(__xludf.DUMMYFUNCTION("""COMPUTED_VALUE"""),44722.9986111111)</f>
        <v/>
      </c>
      <c r="AT1115" s="6">
        <f>IFERROR(__xludf.DUMMYFUNCTION("""COMPUTED_VALUE"""),1875.5)</f>
        <v/>
      </c>
    </row>
    <row r="1116">
      <c r="B1116" s="6">
        <f>C1116&amp;D1116</f>
        <v/>
      </c>
      <c r="C1116" s="6">
        <f>YEAR(E1116)</f>
        <v/>
      </c>
      <c r="D1116" s="6">
        <f>MONTH(E1116)</f>
        <v/>
      </c>
      <c r="E1116" s="267">
        <f>IFERROR(__xludf.DUMMYFUNCTION("""COMPUTED_VALUE"""),44715.6666666666)</f>
        <v/>
      </c>
      <c r="F1116" s="6">
        <f>IFERROR(__xludf.DUMMYFUNCTION("""COMPUTED_VALUE"""),4108.54)</f>
        <v/>
      </c>
      <c r="J1116" s="6">
        <f>K1116&amp;L1116</f>
        <v/>
      </c>
      <c r="K1116" s="6">
        <f>YEAR(M1116)</f>
        <v/>
      </c>
      <c r="L1116" s="6">
        <f>MONTH(M1116)</f>
        <v/>
      </c>
      <c r="M1116" s="267">
        <f>IFERROR(__xludf.DUMMYFUNCTION("""COMPUTED_VALUE"""),44707.6666666666)</f>
        <v/>
      </c>
      <c r="N1116" s="6">
        <f>IFERROR(__xludf.DUMMYFUNCTION("""COMPUTED_VALUE"""),11740.65)</f>
        <v/>
      </c>
      <c r="R1116" s="6">
        <f>S1116&amp;T1116</f>
        <v/>
      </c>
      <c r="S1116" s="6">
        <f>YEAR(U1116)</f>
        <v/>
      </c>
      <c r="T1116" s="6">
        <f>MONTH(U1116)</f>
        <v/>
      </c>
      <c r="U1116" s="267">
        <f>IFERROR(__xludf.DUMMYFUNCTION("""COMPUTED_VALUE"""),44757.6458333333)</f>
        <v/>
      </c>
      <c r="V1116" s="6">
        <f>IFERROR(__xludf.DUMMYFUNCTION("""COMPUTED_VALUE"""),2330.98)</f>
        <v/>
      </c>
      <c r="Z1116" s="6">
        <f>AA1116&amp;AB1116</f>
        <v/>
      </c>
      <c r="AA1116" s="6">
        <f>YEAR(AC1116)</f>
        <v/>
      </c>
      <c r="AB1116" s="6">
        <f>MONTH(AC1116)</f>
        <v/>
      </c>
      <c r="AC1116" s="267">
        <f>IFERROR(__xludf.DUMMYFUNCTION("""COMPUTED_VALUE"""),44261.9986111111)</f>
        <v/>
      </c>
      <c r="AD1116" s="6">
        <f>IFERROR(__xludf.DUMMYFUNCTION("""COMPUTED_VALUE"""),1127.49)</f>
        <v/>
      </c>
      <c r="AH1116" s="6">
        <f>AI1116&amp;AJ1116</f>
        <v/>
      </c>
      <c r="AI1116" s="6">
        <f>YEAR(AK1116)</f>
        <v/>
      </c>
      <c r="AJ1116" s="6">
        <f>MONTH(AK1116)</f>
        <v/>
      </c>
      <c r="AK1116" s="267">
        <f>IFERROR(__xludf.DUMMYFUNCTION("""COMPUTED_VALUE"""),44209.9986111111)</f>
        <v/>
      </c>
      <c r="AL1116" s="6">
        <f>IFERROR(__xludf.DUMMYFUNCTION("""COMPUTED_VALUE"""),37385.53)</f>
        <v/>
      </c>
      <c r="AP1116" s="6">
        <f>AQ1116&amp;AR1116</f>
        <v/>
      </c>
      <c r="AQ1116" s="6">
        <f>YEAR(AS1116)</f>
        <v/>
      </c>
      <c r="AR1116" s="6">
        <f>MONTH(AS1116)</f>
        <v/>
      </c>
      <c r="AS1116" s="267">
        <f>IFERROR(__xludf.DUMMYFUNCTION("""COMPUTED_VALUE"""),44725.9986111111)</f>
        <v/>
      </c>
      <c r="AT1116" s="6">
        <f>IFERROR(__xludf.DUMMYFUNCTION("""COMPUTED_VALUE"""),1831.8)</f>
        <v/>
      </c>
    </row>
    <row r="1117">
      <c r="B1117" s="6">
        <f>C1117&amp;D1117</f>
        <v/>
      </c>
      <c r="C1117" s="6">
        <f>YEAR(E1117)</f>
        <v/>
      </c>
      <c r="D1117" s="6">
        <f>MONTH(E1117)</f>
        <v/>
      </c>
      <c r="E1117" s="267">
        <f>IFERROR(__xludf.DUMMYFUNCTION("""COMPUTED_VALUE"""),44718.6666666666)</f>
        <v/>
      </c>
      <c r="F1117" s="6">
        <f>IFERROR(__xludf.DUMMYFUNCTION("""COMPUTED_VALUE"""),4121.43)</f>
        <v/>
      </c>
      <c r="J1117" s="6">
        <f>K1117&amp;L1117</f>
        <v/>
      </c>
      <c r="K1117" s="6">
        <f>YEAR(M1117)</f>
        <v/>
      </c>
      <c r="L1117" s="6">
        <f>MONTH(M1117)</f>
        <v/>
      </c>
      <c r="M1117" s="267">
        <f>IFERROR(__xludf.DUMMYFUNCTION("""COMPUTED_VALUE"""),44708.6666666666)</f>
        <v/>
      </c>
      <c r="N1117" s="6">
        <f>IFERROR(__xludf.DUMMYFUNCTION("""COMPUTED_VALUE"""),12131.13)</f>
        <v/>
      </c>
      <c r="R1117" s="6">
        <f>S1117&amp;T1117</f>
        <v/>
      </c>
      <c r="S1117" s="6">
        <f>YEAR(U1117)</f>
        <v/>
      </c>
      <c r="T1117" s="6">
        <f>MONTH(U1117)</f>
        <v/>
      </c>
      <c r="U1117" s="267">
        <f>IFERROR(__xludf.DUMMYFUNCTION("""COMPUTED_VALUE"""),44760.6458333333)</f>
        <v/>
      </c>
      <c r="V1117" s="6">
        <f>IFERROR(__xludf.DUMMYFUNCTION("""COMPUTED_VALUE"""),2375.25)</f>
        <v/>
      </c>
      <c r="Z1117" s="6">
        <f>AA1117&amp;AB1117</f>
        <v/>
      </c>
      <c r="AA1117" s="6">
        <f>YEAR(AC1117)</f>
        <v/>
      </c>
      <c r="AB1117" s="6">
        <f>MONTH(AC1117)</f>
        <v/>
      </c>
      <c r="AC1117" s="267">
        <f>IFERROR(__xludf.DUMMYFUNCTION("""COMPUTED_VALUE"""),44262.9986111111)</f>
        <v/>
      </c>
      <c r="AD1117" s="6">
        <f>IFERROR(__xludf.DUMMYFUNCTION("""COMPUTED_VALUE"""),1127.49)</f>
        <v/>
      </c>
      <c r="AH1117" s="6">
        <f>AI1117&amp;AJ1117</f>
        <v/>
      </c>
      <c r="AI1117" s="6">
        <f>YEAR(AK1117)</f>
        <v/>
      </c>
      <c r="AJ1117" s="6">
        <f>MONTH(AK1117)</f>
        <v/>
      </c>
      <c r="AK1117" s="267">
        <f>IFERROR(__xludf.DUMMYFUNCTION("""COMPUTED_VALUE"""),44210.9986111111)</f>
        <v/>
      </c>
      <c r="AL1117" s="6">
        <f>IFERROR(__xludf.DUMMYFUNCTION("""COMPUTED_VALUE"""),39152.59)</f>
        <v/>
      </c>
      <c r="AP1117" s="6">
        <f>AQ1117&amp;AR1117</f>
        <v/>
      </c>
      <c r="AQ1117" s="6">
        <f>YEAR(AS1117)</f>
        <v/>
      </c>
      <c r="AR1117" s="6">
        <f>MONTH(AS1117)</f>
        <v/>
      </c>
      <c r="AS1117" s="267">
        <f>IFERROR(__xludf.DUMMYFUNCTION("""COMPUTED_VALUE"""),44726.9986111111)</f>
        <v/>
      </c>
      <c r="AT1117" s="6">
        <f>IFERROR(__xludf.DUMMYFUNCTION("""COMPUTED_VALUE"""),1813.5)</f>
        <v/>
      </c>
    </row>
    <row r="1118">
      <c r="B1118" s="6">
        <f>C1118&amp;D1118</f>
        <v/>
      </c>
      <c r="C1118" s="6">
        <f>YEAR(E1118)</f>
        <v/>
      </c>
      <c r="D1118" s="6">
        <f>MONTH(E1118)</f>
        <v/>
      </c>
      <c r="E1118" s="267">
        <f>IFERROR(__xludf.DUMMYFUNCTION("""COMPUTED_VALUE"""),44719.6666666666)</f>
        <v/>
      </c>
      <c r="F1118" s="6">
        <f>IFERROR(__xludf.DUMMYFUNCTION("""COMPUTED_VALUE"""),4160.68)</f>
        <v/>
      </c>
      <c r="J1118" s="6">
        <f>K1118&amp;L1118</f>
        <v/>
      </c>
      <c r="K1118" s="6">
        <f>YEAR(M1118)</f>
        <v/>
      </c>
      <c r="L1118" s="6">
        <f>MONTH(M1118)</f>
        <v/>
      </c>
      <c r="M1118" s="267">
        <f>IFERROR(__xludf.DUMMYFUNCTION("""COMPUTED_VALUE"""),44712.6666666666)</f>
        <v/>
      </c>
      <c r="N1118" s="6">
        <f>IFERROR(__xludf.DUMMYFUNCTION("""COMPUTED_VALUE"""),12081.39)</f>
        <v/>
      </c>
      <c r="R1118" s="6">
        <f>S1118&amp;T1118</f>
        <v/>
      </c>
      <c r="S1118" s="6">
        <f>YEAR(U1118)</f>
        <v/>
      </c>
      <c r="T1118" s="6">
        <f>MONTH(U1118)</f>
        <v/>
      </c>
      <c r="U1118" s="267">
        <f>IFERROR(__xludf.DUMMYFUNCTION("""COMPUTED_VALUE"""),44761.6458333333)</f>
        <v/>
      </c>
      <c r="V1118" s="6">
        <f>IFERROR(__xludf.DUMMYFUNCTION("""COMPUTED_VALUE"""),2370.97)</f>
        <v/>
      </c>
      <c r="Z1118" s="6">
        <f>AA1118&amp;AB1118</f>
        <v/>
      </c>
      <c r="AA1118" s="6">
        <f>YEAR(AC1118)</f>
        <v/>
      </c>
      <c r="AB1118" s="6">
        <f>MONTH(AC1118)</f>
        <v/>
      </c>
      <c r="AC1118" s="267">
        <f>IFERROR(__xludf.DUMMYFUNCTION("""COMPUTED_VALUE"""),44263.9986111111)</f>
        <v/>
      </c>
      <c r="AD1118" s="6">
        <f>IFERROR(__xludf.DUMMYFUNCTION("""COMPUTED_VALUE"""),1140.23)</f>
        <v/>
      </c>
      <c r="AH1118" s="6">
        <f>AI1118&amp;AJ1118</f>
        <v/>
      </c>
      <c r="AI1118" s="6">
        <f>YEAR(AK1118)</f>
        <v/>
      </c>
      <c r="AJ1118" s="6">
        <f>MONTH(AK1118)</f>
        <v/>
      </c>
      <c r="AK1118" s="267">
        <f>IFERROR(__xludf.DUMMYFUNCTION("""COMPUTED_VALUE"""),44211.9986111111)</f>
        <v/>
      </c>
      <c r="AL1118" s="6">
        <f>IFERROR(__xludf.DUMMYFUNCTION("""COMPUTED_VALUE"""),36820.3)</f>
        <v/>
      </c>
      <c r="AP1118" s="6">
        <f>AQ1118&amp;AR1118</f>
        <v/>
      </c>
      <c r="AQ1118" s="6">
        <f>YEAR(AS1118)</f>
        <v/>
      </c>
      <c r="AR1118" s="6">
        <f>MONTH(AS1118)</f>
        <v/>
      </c>
      <c r="AS1118" s="267">
        <f>IFERROR(__xludf.DUMMYFUNCTION("""COMPUTED_VALUE"""),44727.9986111111)</f>
        <v/>
      </c>
      <c r="AT1118" s="6">
        <f>IFERROR(__xludf.DUMMYFUNCTION("""COMPUTED_VALUE"""),1819.6)</f>
        <v/>
      </c>
    </row>
    <row r="1119">
      <c r="B1119" s="6">
        <f>C1119&amp;D1119</f>
        <v/>
      </c>
      <c r="C1119" s="6">
        <f>YEAR(E1119)</f>
        <v/>
      </c>
      <c r="D1119" s="6">
        <f>MONTH(E1119)</f>
        <v/>
      </c>
      <c r="E1119" s="267">
        <f>IFERROR(__xludf.DUMMYFUNCTION("""COMPUTED_VALUE"""),44720.6666666666)</f>
        <v/>
      </c>
      <c r="F1119" s="6">
        <f>IFERROR(__xludf.DUMMYFUNCTION("""COMPUTED_VALUE"""),4115.77)</f>
        <v/>
      </c>
      <c r="J1119" s="6">
        <f>K1119&amp;L1119</f>
        <v/>
      </c>
      <c r="K1119" s="6">
        <f>YEAR(M1119)</f>
        <v/>
      </c>
      <c r="L1119" s="6">
        <f>MONTH(M1119)</f>
        <v/>
      </c>
      <c r="M1119" s="267">
        <f>IFERROR(__xludf.DUMMYFUNCTION("""COMPUTED_VALUE"""),44713.6666666666)</f>
        <v/>
      </c>
      <c r="N1119" s="6">
        <f>IFERROR(__xludf.DUMMYFUNCTION("""COMPUTED_VALUE"""),11994.46)</f>
        <v/>
      </c>
      <c r="R1119" s="6">
        <f>S1119&amp;T1119</f>
        <v/>
      </c>
      <c r="S1119" s="6">
        <f>YEAR(U1119)</f>
        <v/>
      </c>
      <c r="T1119" s="6">
        <f>MONTH(U1119)</f>
        <v/>
      </c>
      <c r="U1119" s="267">
        <f>IFERROR(__xludf.DUMMYFUNCTION("""COMPUTED_VALUE"""),44762.6458333333)</f>
        <v/>
      </c>
      <c r="V1119" s="6">
        <f>IFERROR(__xludf.DUMMYFUNCTION("""COMPUTED_VALUE"""),2386.85)</f>
        <v/>
      </c>
      <c r="Z1119" s="6">
        <f>AA1119&amp;AB1119</f>
        <v/>
      </c>
      <c r="AA1119" s="6">
        <f>YEAR(AC1119)</f>
        <v/>
      </c>
      <c r="AB1119" s="6">
        <f>MONTH(AC1119)</f>
        <v/>
      </c>
      <c r="AC1119" s="267">
        <f>IFERROR(__xludf.DUMMYFUNCTION("""COMPUTED_VALUE"""),44264.9986111111)</f>
        <v/>
      </c>
      <c r="AD1119" s="6">
        <f>IFERROR(__xludf.DUMMYFUNCTION("""COMPUTED_VALUE"""),1134.91)</f>
        <v/>
      </c>
      <c r="AH1119" s="6">
        <f>AI1119&amp;AJ1119</f>
        <v/>
      </c>
      <c r="AI1119" s="6">
        <f>YEAR(AK1119)</f>
        <v/>
      </c>
      <c r="AJ1119" s="6">
        <f>MONTH(AK1119)</f>
        <v/>
      </c>
      <c r="AK1119" s="267">
        <f>IFERROR(__xludf.DUMMYFUNCTION("""COMPUTED_VALUE"""),44212.9986111111)</f>
        <v/>
      </c>
      <c r="AL1119" s="6">
        <f>IFERROR(__xludf.DUMMYFUNCTION("""COMPUTED_VALUE"""),36022.09)</f>
        <v/>
      </c>
      <c r="AP1119" s="6">
        <f>AQ1119&amp;AR1119</f>
        <v/>
      </c>
      <c r="AQ1119" s="6">
        <f>YEAR(AS1119)</f>
        <v/>
      </c>
      <c r="AR1119" s="6">
        <f>MONTH(AS1119)</f>
        <v/>
      </c>
      <c r="AS1119" s="267">
        <f>IFERROR(__xludf.DUMMYFUNCTION("""COMPUTED_VALUE"""),44728.9986111111)</f>
        <v/>
      </c>
      <c r="AT1119" s="6">
        <f>IFERROR(__xludf.DUMMYFUNCTION("""COMPUTED_VALUE"""),1849.9)</f>
        <v/>
      </c>
    </row>
    <row r="1120">
      <c r="B1120" s="6">
        <f>C1120&amp;D1120</f>
        <v/>
      </c>
      <c r="C1120" s="6">
        <f>YEAR(E1120)</f>
        <v/>
      </c>
      <c r="D1120" s="6">
        <f>MONTH(E1120)</f>
        <v/>
      </c>
      <c r="E1120" s="267">
        <f>IFERROR(__xludf.DUMMYFUNCTION("""COMPUTED_VALUE"""),44721.6666666666)</f>
        <v/>
      </c>
      <c r="F1120" s="6">
        <f>IFERROR(__xludf.DUMMYFUNCTION("""COMPUTED_VALUE"""),4017.82)</f>
        <v/>
      </c>
      <c r="J1120" s="6">
        <f>K1120&amp;L1120</f>
        <v/>
      </c>
      <c r="K1120" s="6">
        <f>YEAR(M1120)</f>
        <v/>
      </c>
      <c r="L1120" s="6">
        <f>MONTH(M1120)</f>
        <v/>
      </c>
      <c r="M1120" s="267">
        <f>IFERROR(__xludf.DUMMYFUNCTION("""COMPUTED_VALUE"""),44714.6666666666)</f>
        <v/>
      </c>
      <c r="N1120" s="6">
        <f>IFERROR(__xludf.DUMMYFUNCTION("""COMPUTED_VALUE"""),12316.9)</f>
        <v/>
      </c>
      <c r="R1120" s="6">
        <f>S1120&amp;T1120</f>
        <v/>
      </c>
      <c r="S1120" s="6">
        <f>YEAR(U1120)</f>
        <v/>
      </c>
      <c r="T1120" s="6">
        <f>MONTH(U1120)</f>
        <v/>
      </c>
      <c r="U1120" s="267">
        <f>IFERROR(__xludf.DUMMYFUNCTION("""COMPUTED_VALUE"""),44763.6458333333)</f>
        <v/>
      </c>
      <c r="V1120" s="6">
        <f>IFERROR(__xludf.DUMMYFUNCTION("""COMPUTED_VALUE"""),2409.16)</f>
        <v/>
      </c>
      <c r="Z1120" s="6">
        <f>AA1120&amp;AB1120</f>
        <v/>
      </c>
      <c r="AA1120" s="6">
        <f>YEAR(AC1120)</f>
        <v/>
      </c>
      <c r="AB1120" s="6">
        <f>MONTH(AC1120)</f>
        <v/>
      </c>
      <c r="AC1120" s="267">
        <f>IFERROR(__xludf.DUMMYFUNCTION("""COMPUTED_VALUE"""),44265.9986111111)</f>
        <v/>
      </c>
      <c r="AD1120" s="6">
        <f>IFERROR(__xludf.DUMMYFUNCTION("""COMPUTED_VALUE"""),1136.01)</f>
        <v/>
      </c>
      <c r="AH1120" s="6">
        <f>AI1120&amp;AJ1120</f>
        <v/>
      </c>
      <c r="AI1120" s="6">
        <f>YEAR(AK1120)</f>
        <v/>
      </c>
      <c r="AJ1120" s="6">
        <f>MONTH(AK1120)</f>
        <v/>
      </c>
      <c r="AK1120" s="267">
        <f>IFERROR(__xludf.DUMMYFUNCTION("""COMPUTED_VALUE"""),44213.9986111111)</f>
        <v/>
      </c>
      <c r="AL1120" s="6">
        <f>IFERROR(__xludf.DUMMYFUNCTION("""COMPUTED_VALUE"""),35825.16)</f>
        <v/>
      </c>
      <c r="AP1120" s="6">
        <f>AQ1120&amp;AR1120</f>
        <v/>
      </c>
      <c r="AQ1120" s="6">
        <f>YEAR(AS1120)</f>
        <v/>
      </c>
      <c r="AR1120" s="6">
        <f>MONTH(AS1120)</f>
        <v/>
      </c>
      <c r="AS1120" s="267">
        <f>IFERROR(__xludf.DUMMYFUNCTION("""COMPUTED_VALUE"""),44729.9986111111)</f>
        <v/>
      </c>
      <c r="AT1120" s="6">
        <f>IFERROR(__xludf.DUMMYFUNCTION("""COMPUTED_VALUE"""),1840.6)</f>
        <v/>
      </c>
    </row>
    <row r="1121">
      <c r="B1121" s="6">
        <f>C1121&amp;D1121</f>
        <v/>
      </c>
      <c r="C1121" s="6">
        <f>YEAR(E1121)</f>
        <v/>
      </c>
      <c r="D1121" s="6">
        <f>MONTH(E1121)</f>
        <v/>
      </c>
      <c r="E1121" s="267">
        <f>IFERROR(__xludf.DUMMYFUNCTION("""COMPUTED_VALUE"""),44722.6666666666)</f>
        <v/>
      </c>
      <c r="F1121" s="6">
        <f>IFERROR(__xludf.DUMMYFUNCTION("""COMPUTED_VALUE"""),3900.86)</f>
        <v/>
      </c>
      <c r="J1121" s="6">
        <f>K1121&amp;L1121</f>
        <v/>
      </c>
      <c r="K1121" s="6">
        <f>YEAR(M1121)</f>
        <v/>
      </c>
      <c r="L1121" s="6">
        <f>MONTH(M1121)</f>
        <v/>
      </c>
      <c r="M1121" s="267">
        <f>IFERROR(__xludf.DUMMYFUNCTION("""COMPUTED_VALUE"""),44715.6666666666)</f>
        <v/>
      </c>
      <c r="N1121" s="6">
        <f>IFERROR(__xludf.DUMMYFUNCTION("""COMPUTED_VALUE"""),12012.73)</f>
        <v/>
      </c>
      <c r="R1121" s="6">
        <f>S1121&amp;T1121</f>
        <v/>
      </c>
      <c r="S1121" s="6">
        <f>YEAR(U1121)</f>
        <v/>
      </c>
      <c r="T1121" s="6">
        <f>MONTH(U1121)</f>
        <v/>
      </c>
      <c r="U1121" s="267">
        <f>IFERROR(__xludf.DUMMYFUNCTION("""COMPUTED_VALUE"""),44764.6458333333)</f>
        <v/>
      </c>
      <c r="V1121" s="6">
        <f>IFERROR(__xludf.DUMMYFUNCTION("""COMPUTED_VALUE"""),2393.14)</f>
        <v/>
      </c>
      <c r="Z1121" s="6">
        <f>AA1121&amp;AB1121</f>
        <v/>
      </c>
      <c r="AA1121" s="6">
        <f>YEAR(AC1121)</f>
        <v/>
      </c>
      <c r="AB1121" s="6">
        <f>MONTH(AC1121)</f>
        <v/>
      </c>
      <c r="AC1121" s="267">
        <f>IFERROR(__xludf.DUMMYFUNCTION("""COMPUTED_VALUE"""),44266.9986111111)</f>
        <v/>
      </c>
      <c r="AD1121" s="6">
        <f>IFERROR(__xludf.DUMMYFUNCTION("""COMPUTED_VALUE"""),1129.64)</f>
        <v/>
      </c>
      <c r="AH1121" s="6">
        <f>AI1121&amp;AJ1121</f>
        <v/>
      </c>
      <c r="AI1121" s="6">
        <f>YEAR(AK1121)</f>
        <v/>
      </c>
      <c r="AJ1121" s="6">
        <f>MONTH(AK1121)</f>
        <v/>
      </c>
      <c r="AK1121" s="267">
        <f>IFERROR(__xludf.DUMMYFUNCTION("""COMPUTED_VALUE"""),44214.9986111111)</f>
        <v/>
      </c>
      <c r="AL1121" s="6">
        <f>IFERROR(__xludf.DUMMYFUNCTION("""COMPUTED_VALUE"""),36625.9)</f>
        <v/>
      </c>
      <c r="AP1121" s="6">
        <f>AQ1121&amp;AR1121</f>
        <v/>
      </c>
      <c r="AQ1121" s="6">
        <f>YEAR(AS1121)</f>
        <v/>
      </c>
      <c r="AR1121" s="6">
        <f>MONTH(AS1121)</f>
        <v/>
      </c>
      <c r="AS1121" s="267">
        <f>IFERROR(__xludf.DUMMYFUNCTION("""COMPUTED_VALUE"""),44733.9986111111)</f>
        <v/>
      </c>
      <c r="AT1121" s="6">
        <f>IFERROR(__xludf.DUMMYFUNCTION("""COMPUTED_VALUE"""),1838.8)</f>
        <v/>
      </c>
    </row>
    <row r="1122">
      <c r="B1122" s="6">
        <f>C1122&amp;D1122</f>
        <v/>
      </c>
      <c r="C1122" s="6">
        <f>YEAR(E1122)</f>
        <v/>
      </c>
      <c r="D1122" s="6">
        <f>MONTH(E1122)</f>
        <v/>
      </c>
      <c r="E1122" s="267">
        <f>IFERROR(__xludf.DUMMYFUNCTION("""COMPUTED_VALUE"""),44725.6666666666)</f>
        <v/>
      </c>
      <c r="F1122" s="6">
        <f>IFERROR(__xludf.DUMMYFUNCTION("""COMPUTED_VALUE"""),3749.63)</f>
        <v/>
      </c>
      <c r="J1122" s="6">
        <f>K1122&amp;L1122</f>
        <v/>
      </c>
      <c r="K1122" s="6">
        <f>YEAR(M1122)</f>
        <v/>
      </c>
      <c r="L1122" s="6">
        <f>MONTH(M1122)</f>
        <v/>
      </c>
      <c r="M1122" s="267">
        <f>IFERROR(__xludf.DUMMYFUNCTION("""COMPUTED_VALUE"""),44718.6666666666)</f>
        <v/>
      </c>
      <c r="N1122" s="6">
        <f>IFERROR(__xludf.DUMMYFUNCTION("""COMPUTED_VALUE"""),12061.37)</f>
        <v/>
      </c>
      <c r="R1122" s="6">
        <f>S1122&amp;T1122</f>
        <v/>
      </c>
      <c r="S1122" s="6">
        <f>YEAR(U1122)</f>
        <v/>
      </c>
      <c r="T1122" s="6">
        <f>MONTH(U1122)</f>
        <v/>
      </c>
      <c r="U1122" s="267">
        <f>IFERROR(__xludf.DUMMYFUNCTION("""COMPUTED_VALUE"""),44767.6458333333)</f>
        <v/>
      </c>
      <c r="V1122" s="6">
        <f>IFERROR(__xludf.DUMMYFUNCTION("""COMPUTED_VALUE"""),2403.69)</f>
        <v/>
      </c>
      <c r="Z1122" s="6">
        <f>AA1122&amp;AB1122</f>
        <v/>
      </c>
      <c r="AA1122" s="6">
        <f>YEAR(AC1122)</f>
        <v/>
      </c>
      <c r="AB1122" s="6">
        <f>MONTH(AC1122)</f>
        <v/>
      </c>
      <c r="AC1122" s="267">
        <f>IFERROR(__xludf.DUMMYFUNCTION("""COMPUTED_VALUE"""),44267.9986111111)</f>
        <v/>
      </c>
      <c r="AD1122" s="6">
        <f>IFERROR(__xludf.DUMMYFUNCTION("""COMPUTED_VALUE"""),1135.39)</f>
        <v/>
      </c>
      <c r="AH1122" s="6">
        <f>AI1122&amp;AJ1122</f>
        <v/>
      </c>
      <c r="AI1122" s="6">
        <f>YEAR(AK1122)</f>
        <v/>
      </c>
      <c r="AJ1122" s="6">
        <f>MONTH(AK1122)</f>
        <v/>
      </c>
      <c r="AK1122" s="267">
        <f>IFERROR(__xludf.DUMMYFUNCTION("""COMPUTED_VALUE"""),44215.9986111111)</f>
        <v/>
      </c>
      <c r="AL1122" s="6">
        <f>IFERROR(__xludf.DUMMYFUNCTION("""COMPUTED_VALUE"""),35972.69)</f>
        <v/>
      </c>
      <c r="AP1122" s="6">
        <f>AQ1122&amp;AR1122</f>
        <v/>
      </c>
      <c r="AQ1122" s="6">
        <f>YEAR(AS1122)</f>
        <v/>
      </c>
      <c r="AR1122" s="6">
        <f>MONTH(AS1122)</f>
        <v/>
      </c>
      <c r="AS1122" s="267">
        <f>IFERROR(__xludf.DUMMYFUNCTION("""COMPUTED_VALUE"""),44734.9986111111)</f>
        <v/>
      </c>
      <c r="AT1122" s="6">
        <f>IFERROR(__xludf.DUMMYFUNCTION("""COMPUTED_VALUE"""),1838.4)</f>
        <v/>
      </c>
    </row>
    <row r="1123">
      <c r="B1123" s="6">
        <f>C1123&amp;D1123</f>
        <v/>
      </c>
      <c r="C1123" s="6">
        <f>YEAR(E1123)</f>
        <v/>
      </c>
      <c r="D1123" s="6">
        <f>MONTH(E1123)</f>
        <v/>
      </c>
      <c r="E1123" s="267">
        <f>IFERROR(__xludf.DUMMYFUNCTION("""COMPUTED_VALUE"""),44726.6666666666)</f>
        <v/>
      </c>
      <c r="F1123" s="6">
        <f>IFERROR(__xludf.DUMMYFUNCTION("""COMPUTED_VALUE"""),3735.48)</f>
        <v/>
      </c>
      <c r="J1123" s="6">
        <f>K1123&amp;L1123</f>
        <v/>
      </c>
      <c r="K1123" s="6">
        <f>YEAR(M1123)</f>
        <v/>
      </c>
      <c r="L1123" s="6">
        <f>MONTH(M1123)</f>
        <v/>
      </c>
      <c r="M1123" s="267">
        <f>IFERROR(__xludf.DUMMYFUNCTION("""COMPUTED_VALUE"""),44719.6666666666)</f>
        <v/>
      </c>
      <c r="N1123" s="6">
        <f>IFERROR(__xludf.DUMMYFUNCTION("""COMPUTED_VALUE"""),12175.23)</f>
        <v/>
      </c>
      <c r="R1123" s="6">
        <f>S1123&amp;T1123</f>
        <v/>
      </c>
      <c r="S1123" s="6">
        <f>YEAR(U1123)</f>
        <v/>
      </c>
      <c r="T1123" s="6">
        <f>MONTH(U1123)</f>
        <v/>
      </c>
      <c r="U1123" s="267">
        <f>IFERROR(__xludf.DUMMYFUNCTION("""COMPUTED_VALUE"""),44768.6458333333)</f>
        <v/>
      </c>
      <c r="V1123" s="6">
        <f>IFERROR(__xludf.DUMMYFUNCTION("""COMPUTED_VALUE"""),2412.96)</f>
        <v/>
      </c>
      <c r="Z1123" s="6">
        <f>AA1123&amp;AB1123</f>
        <v/>
      </c>
      <c r="AA1123" s="6">
        <f>YEAR(AC1123)</f>
        <v/>
      </c>
      <c r="AB1123" s="6">
        <f>MONTH(AC1123)</f>
        <v/>
      </c>
      <c r="AC1123" s="267">
        <f>IFERROR(__xludf.DUMMYFUNCTION("""COMPUTED_VALUE"""),44268.9986111111)</f>
        <v/>
      </c>
      <c r="AD1123" s="6">
        <f>IFERROR(__xludf.DUMMYFUNCTION("""COMPUTED_VALUE"""),1135.39)</f>
        <v/>
      </c>
      <c r="AH1123" s="6">
        <f>AI1123&amp;AJ1123</f>
        <v/>
      </c>
      <c r="AI1123" s="6">
        <f>YEAR(AK1123)</f>
        <v/>
      </c>
      <c r="AJ1123" s="6">
        <f>MONTH(AK1123)</f>
        <v/>
      </c>
      <c r="AK1123" s="267">
        <f>IFERROR(__xludf.DUMMYFUNCTION("""COMPUTED_VALUE"""),44216.9986111111)</f>
        <v/>
      </c>
      <c r="AL1123" s="6">
        <f>IFERROR(__xludf.DUMMYFUNCTION("""COMPUTED_VALUE"""),35501.85)</f>
        <v/>
      </c>
      <c r="AP1123" s="6">
        <f>AQ1123&amp;AR1123</f>
        <v/>
      </c>
      <c r="AQ1123" s="6">
        <f>YEAR(AS1123)</f>
        <v/>
      </c>
      <c r="AR1123" s="6">
        <f>MONTH(AS1123)</f>
        <v/>
      </c>
      <c r="AS1123" s="267">
        <f>IFERROR(__xludf.DUMMYFUNCTION("""COMPUTED_VALUE"""),44735.9986111111)</f>
        <v/>
      </c>
      <c r="AT1123" s="6">
        <f>IFERROR(__xludf.DUMMYFUNCTION("""COMPUTED_VALUE"""),1829.8)</f>
        <v/>
      </c>
    </row>
    <row r="1124">
      <c r="B1124" s="6">
        <f>C1124&amp;D1124</f>
        <v/>
      </c>
      <c r="C1124" s="6">
        <f>YEAR(E1124)</f>
        <v/>
      </c>
      <c r="D1124" s="6">
        <f>MONTH(E1124)</f>
        <v/>
      </c>
      <c r="E1124" s="267">
        <f>IFERROR(__xludf.DUMMYFUNCTION("""COMPUTED_VALUE"""),44727.6666666666)</f>
        <v/>
      </c>
      <c r="F1124" s="6">
        <f>IFERROR(__xludf.DUMMYFUNCTION("""COMPUTED_VALUE"""),3789.99)</f>
        <v/>
      </c>
      <c r="J1124" s="6">
        <f>K1124&amp;L1124</f>
        <v/>
      </c>
      <c r="K1124" s="6">
        <f>YEAR(M1124)</f>
        <v/>
      </c>
      <c r="L1124" s="6">
        <f>MONTH(M1124)</f>
        <v/>
      </c>
      <c r="M1124" s="267">
        <f>IFERROR(__xludf.DUMMYFUNCTION("""COMPUTED_VALUE"""),44720.6666666666)</f>
        <v/>
      </c>
      <c r="N1124" s="6">
        <f>IFERROR(__xludf.DUMMYFUNCTION("""COMPUTED_VALUE"""),12086.27)</f>
        <v/>
      </c>
      <c r="R1124" s="6">
        <f>S1124&amp;T1124</f>
        <v/>
      </c>
      <c r="S1124" s="6">
        <f>YEAR(U1124)</f>
        <v/>
      </c>
      <c r="T1124" s="6">
        <f>MONTH(U1124)</f>
        <v/>
      </c>
      <c r="U1124" s="267">
        <f>IFERROR(__xludf.DUMMYFUNCTION("""COMPUTED_VALUE"""),44769.6458333333)</f>
        <v/>
      </c>
      <c r="V1124" s="6">
        <f>IFERROR(__xludf.DUMMYFUNCTION("""COMPUTED_VALUE"""),2415.53)</f>
        <v/>
      </c>
      <c r="Z1124" s="6">
        <f>AA1124&amp;AB1124</f>
        <v/>
      </c>
      <c r="AA1124" s="6">
        <f>YEAR(AC1124)</f>
        <v/>
      </c>
      <c r="AB1124" s="6">
        <f>MONTH(AC1124)</f>
        <v/>
      </c>
      <c r="AC1124" s="267">
        <f>IFERROR(__xludf.DUMMYFUNCTION("""COMPUTED_VALUE"""),44269.9986111111)</f>
        <v/>
      </c>
      <c r="AD1124" s="6">
        <f>IFERROR(__xludf.DUMMYFUNCTION("""COMPUTED_VALUE"""),1134.5)</f>
        <v/>
      </c>
      <c r="AH1124" s="6">
        <f>AI1124&amp;AJ1124</f>
        <v/>
      </c>
      <c r="AI1124" s="6">
        <f>YEAR(AK1124)</f>
        <v/>
      </c>
      <c r="AJ1124" s="6">
        <f>MONTH(AK1124)</f>
        <v/>
      </c>
      <c r="AK1124" s="267">
        <f>IFERROR(__xludf.DUMMYFUNCTION("""COMPUTED_VALUE"""),44217.9986111111)</f>
        <v/>
      </c>
      <c r="AL1124" s="6">
        <f>IFERROR(__xludf.DUMMYFUNCTION("""COMPUTED_VALUE"""),30834.26)</f>
        <v/>
      </c>
      <c r="AP1124" s="6">
        <f>AQ1124&amp;AR1124</f>
        <v/>
      </c>
      <c r="AQ1124" s="6">
        <f>YEAR(AS1124)</f>
        <v/>
      </c>
      <c r="AR1124" s="6">
        <f>MONTH(AS1124)</f>
        <v/>
      </c>
      <c r="AS1124" s="267">
        <f>IFERROR(__xludf.DUMMYFUNCTION("""COMPUTED_VALUE"""),44736.9986111111)</f>
        <v/>
      </c>
      <c r="AT1124" s="6">
        <f>IFERROR(__xludf.DUMMYFUNCTION("""COMPUTED_VALUE"""),1830.3)</f>
        <v/>
      </c>
    </row>
    <row r="1125">
      <c r="B1125" s="6">
        <f>C1125&amp;D1125</f>
        <v/>
      </c>
      <c r="C1125" s="6">
        <f>YEAR(E1125)</f>
        <v/>
      </c>
      <c r="D1125" s="6">
        <f>MONTH(E1125)</f>
        <v/>
      </c>
      <c r="E1125" s="267">
        <f>IFERROR(__xludf.DUMMYFUNCTION("""COMPUTED_VALUE"""),44728.6666666666)</f>
        <v/>
      </c>
      <c r="F1125" s="6">
        <f>IFERROR(__xludf.DUMMYFUNCTION("""COMPUTED_VALUE"""),3666.77)</f>
        <v/>
      </c>
      <c r="J1125" s="6">
        <f>K1125&amp;L1125</f>
        <v/>
      </c>
      <c r="K1125" s="6">
        <f>YEAR(M1125)</f>
        <v/>
      </c>
      <c r="L1125" s="6">
        <f>MONTH(M1125)</f>
        <v/>
      </c>
      <c r="M1125" s="267">
        <f>IFERROR(__xludf.DUMMYFUNCTION("""COMPUTED_VALUE"""),44721.6666666666)</f>
        <v/>
      </c>
      <c r="N1125" s="6">
        <f>IFERROR(__xludf.DUMMYFUNCTION("""COMPUTED_VALUE"""),11754.23)</f>
        <v/>
      </c>
      <c r="R1125" s="6">
        <f>S1125&amp;T1125</f>
        <v/>
      </c>
      <c r="S1125" s="6">
        <f>YEAR(U1125)</f>
        <v/>
      </c>
      <c r="T1125" s="6">
        <f>MONTH(U1125)</f>
        <v/>
      </c>
      <c r="U1125" s="267">
        <f>IFERROR(__xludf.DUMMYFUNCTION("""COMPUTED_VALUE"""),44770.6458333333)</f>
        <v/>
      </c>
      <c r="V1125" s="6">
        <f>IFERROR(__xludf.DUMMYFUNCTION("""COMPUTED_VALUE"""),2435.27)</f>
        <v/>
      </c>
      <c r="Z1125" s="6">
        <f>AA1125&amp;AB1125</f>
        <v/>
      </c>
      <c r="AA1125" s="6">
        <f>YEAR(AC1125)</f>
        <v/>
      </c>
      <c r="AB1125" s="6">
        <f>MONTH(AC1125)</f>
        <v/>
      </c>
      <c r="AC1125" s="267">
        <f>IFERROR(__xludf.DUMMYFUNCTION("""COMPUTED_VALUE"""),44270.9986111111)</f>
        <v/>
      </c>
      <c r="AD1125" s="6">
        <f>IFERROR(__xludf.DUMMYFUNCTION("""COMPUTED_VALUE"""),1131.39)</f>
        <v/>
      </c>
      <c r="AH1125" s="6">
        <f>AI1125&amp;AJ1125</f>
        <v/>
      </c>
      <c r="AI1125" s="6">
        <f>YEAR(AK1125)</f>
        <v/>
      </c>
      <c r="AJ1125" s="6">
        <f>MONTH(AK1125)</f>
        <v/>
      </c>
      <c r="AK1125" s="267">
        <f>IFERROR(__xludf.DUMMYFUNCTION("""COMPUTED_VALUE"""),44218.9986111111)</f>
        <v/>
      </c>
      <c r="AL1125" s="6">
        <f>IFERROR(__xludf.DUMMYFUNCTION("""COMPUTED_VALUE"""),33010.61)</f>
        <v/>
      </c>
      <c r="AP1125" s="6">
        <f>AQ1125&amp;AR1125</f>
        <v/>
      </c>
      <c r="AQ1125" s="6">
        <f>YEAR(AS1125)</f>
        <v/>
      </c>
      <c r="AR1125" s="6">
        <f>MONTH(AS1125)</f>
        <v/>
      </c>
      <c r="AS1125" s="267">
        <f>IFERROR(__xludf.DUMMYFUNCTION("""COMPUTED_VALUE"""),44739.9986111111)</f>
        <v/>
      </c>
      <c r="AT1125" s="6">
        <f>IFERROR(__xludf.DUMMYFUNCTION("""COMPUTED_VALUE"""),1824.8)</f>
        <v/>
      </c>
    </row>
    <row r="1126">
      <c r="B1126" s="6">
        <f>C1126&amp;D1126</f>
        <v/>
      </c>
      <c r="C1126" s="6">
        <f>YEAR(E1126)</f>
        <v/>
      </c>
      <c r="D1126" s="6">
        <f>MONTH(E1126)</f>
        <v/>
      </c>
      <c r="E1126" s="267">
        <f>IFERROR(__xludf.DUMMYFUNCTION("""COMPUTED_VALUE"""),44729.6666666666)</f>
        <v/>
      </c>
      <c r="F1126" s="6">
        <f>IFERROR(__xludf.DUMMYFUNCTION("""COMPUTED_VALUE"""),3674.84)</f>
        <v/>
      </c>
      <c r="J1126" s="6">
        <f>K1126&amp;L1126</f>
        <v/>
      </c>
      <c r="K1126" s="6">
        <f>YEAR(M1126)</f>
        <v/>
      </c>
      <c r="L1126" s="6">
        <f>MONTH(M1126)</f>
        <v/>
      </c>
      <c r="M1126" s="267">
        <f>IFERROR(__xludf.DUMMYFUNCTION("""COMPUTED_VALUE"""),44722.6666666666)</f>
        <v/>
      </c>
      <c r="N1126" s="6">
        <f>IFERROR(__xludf.DUMMYFUNCTION("""COMPUTED_VALUE"""),11340.02)</f>
        <v/>
      </c>
      <c r="R1126" s="6">
        <f>S1126&amp;T1126</f>
        <v/>
      </c>
      <c r="S1126" s="6">
        <f>YEAR(U1126)</f>
        <v/>
      </c>
      <c r="T1126" s="6">
        <f>MONTH(U1126)</f>
        <v/>
      </c>
      <c r="U1126" s="267">
        <f>IFERROR(__xludf.DUMMYFUNCTION("""COMPUTED_VALUE"""),44771.6458333333)</f>
        <v/>
      </c>
      <c r="V1126" s="6">
        <f>IFERROR(__xludf.DUMMYFUNCTION("""COMPUTED_VALUE"""),2451.5)</f>
        <v/>
      </c>
      <c r="Z1126" s="6">
        <f>AA1126&amp;AB1126</f>
        <v/>
      </c>
      <c r="AA1126" s="6">
        <f>YEAR(AC1126)</f>
        <v/>
      </c>
      <c r="AB1126" s="6">
        <f>MONTH(AC1126)</f>
        <v/>
      </c>
      <c r="AC1126" s="267">
        <f>IFERROR(__xludf.DUMMYFUNCTION("""COMPUTED_VALUE"""),44271.9986111111)</f>
        <v/>
      </c>
      <c r="AD1126" s="6">
        <f>IFERROR(__xludf.DUMMYFUNCTION("""COMPUTED_VALUE"""),1129.84)</f>
        <v/>
      </c>
      <c r="AH1126" s="6">
        <f>AI1126&amp;AJ1126</f>
        <v/>
      </c>
      <c r="AI1126" s="6">
        <f>YEAR(AK1126)</f>
        <v/>
      </c>
      <c r="AJ1126" s="6">
        <f>MONTH(AK1126)</f>
        <v/>
      </c>
      <c r="AK1126" s="267">
        <f>IFERROR(__xludf.DUMMYFUNCTION("""COMPUTED_VALUE"""),44219.9986111111)</f>
        <v/>
      </c>
      <c r="AL1126" s="6">
        <f>IFERROR(__xludf.DUMMYFUNCTION("""COMPUTED_VALUE"""),32090.97)</f>
        <v/>
      </c>
      <c r="AP1126" s="6">
        <f>AQ1126&amp;AR1126</f>
        <v/>
      </c>
      <c r="AQ1126" s="6">
        <f>YEAR(AS1126)</f>
        <v/>
      </c>
      <c r="AR1126" s="6">
        <f>MONTH(AS1126)</f>
        <v/>
      </c>
      <c r="AS1126" s="267">
        <f>IFERROR(__xludf.DUMMYFUNCTION("""COMPUTED_VALUE"""),44740.9986111111)</f>
        <v/>
      </c>
      <c r="AT1126" s="6">
        <f>IFERROR(__xludf.DUMMYFUNCTION("""COMPUTED_VALUE"""),1821.2)</f>
        <v/>
      </c>
    </row>
    <row r="1127">
      <c r="B1127" s="6">
        <f>C1127&amp;D1127</f>
        <v/>
      </c>
      <c r="C1127" s="6">
        <f>YEAR(E1127)</f>
        <v/>
      </c>
      <c r="D1127" s="6">
        <f>MONTH(E1127)</f>
        <v/>
      </c>
      <c r="E1127" s="267">
        <f>IFERROR(__xludf.DUMMYFUNCTION("""COMPUTED_VALUE"""),44733.6666666666)</f>
        <v/>
      </c>
      <c r="F1127" s="6">
        <f>IFERROR(__xludf.DUMMYFUNCTION("""COMPUTED_VALUE"""),3764.79)</f>
        <v/>
      </c>
      <c r="J1127" s="6">
        <f>K1127&amp;L1127</f>
        <v/>
      </c>
      <c r="K1127" s="6">
        <f>YEAR(M1127)</f>
        <v/>
      </c>
      <c r="L1127" s="6">
        <f>MONTH(M1127)</f>
        <v/>
      </c>
      <c r="M1127" s="267">
        <f>IFERROR(__xludf.DUMMYFUNCTION("""COMPUTED_VALUE"""),44725.6666666666)</f>
        <v/>
      </c>
      <c r="N1127" s="6">
        <f>IFERROR(__xludf.DUMMYFUNCTION("""COMPUTED_VALUE"""),10809.23)</f>
        <v/>
      </c>
      <c r="R1127" s="6">
        <f>S1127&amp;T1127</f>
        <v/>
      </c>
      <c r="S1127" s="6">
        <f>YEAR(U1127)</f>
        <v/>
      </c>
      <c r="T1127" s="6">
        <f>MONTH(U1127)</f>
        <v/>
      </c>
      <c r="U1127" s="267">
        <f>IFERROR(__xludf.DUMMYFUNCTION("""COMPUTED_VALUE"""),44774.6458333333)</f>
        <v/>
      </c>
      <c r="V1127" s="6">
        <f>IFERROR(__xludf.DUMMYFUNCTION("""COMPUTED_VALUE"""),2452.25)</f>
        <v/>
      </c>
      <c r="Z1127" s="6">
        <f>AA1127&amp;AB1127</f>
        <v/>
      </c>
      <c r="AA1127" s="6">
        <f>YEAR(AC1127)</f>
        <v/>
      </c>
      <c r="AB1127" s="6">
        <f>MONTH(AC1127)</f>
        <v/>
      </c>
      <c r="AC1127" s="267">
        <f>IFERROR(__xludf.DUMMYFUNCTION("""COMPUTED_VALUE"""),44272.9986111111)</f>
        <v/>
      </c>
      <c r="AD1127" s="6">
        <f>IFERROR(__xludf.DUMMYFUNCTION("""COMPUTED_VALUE"""),1121.13)</f>
        <v/>
      </c>
      <c r="AH1127" s="6">
        <f>AI1127&amp;AJ1127</f>
        <v/>
      </c>
      <c r="AI1127" s="6">
        <f>YEAR(AK1127)</f>
        <v/>
      </c>
      <c r="AJ1127" s="6">
        <f>MONTH(AK1127)</f>
        <v/>
      </c>
      <c r="AK1127" s="267">
        <f>IFERROR(__xludf.DUMMYFUNCTION("""COMPUTED_VALUE"""),44220.9986111111)</f>
        <v/>
      </c>
      <c r="AL1127" s="6">
        <f>IFERROR(__xludf.DUMMYFUNCTION("""COMPUTED_VALUE"""),32260.85)</f>
        <v/>
      </c>
      <c r="AP1127" s="6">
        <f>AQ1127&amp;AR1127</f>
        <v/>
      </c>
      <c r="AQ1127" s="6">
        <f>YEAR(AS1127)</f>
        <v/>
      </c>
      <c r="AR1127" s="6">
        <f>MONTH(AS1127)</f>
        <v/>
      </c>
      <c r="AS1127" s="267">
        <f>IFERROR(__xludf.DUMMYFUNCTION("""COMPUTED_VALUE"""),44741.9986111111)</f>
        <v/>
      </c>
      <c r="AT1127" s="6">
        <f>IFERROR(__xludf.DUMMYFUNCTION("""COMPUTED_VALUE"""),1817.5)</f>
        <v/>
      </c>
    </row>
    <row r="1128">
      <c r="B1128" s="6">
        <f>C1128&amp;D1128</f>
        <v/>
      </c>
      <c r="C1128" s="6">
        <f>YEAR(E1128)</f>
        <v/>
      </c>
      <c r="D1128" s="6">
        <f>MONTH(E1128)</f>
        <v/>
      </c>
      <c r="E1128" s="267">
        <f>IFERROR(__xludf.DUMMYFUNCTION("""COMPUTED_VALUE"""),44734.6666666666)</f>
        <v/>
      </c>
      <c r="F1128" s="6">
        <f>IFERROR(__xludf.DUMMYFUNCTION("""COMPUTED_VALUE"""),3759.89)</f>
        <v/>
      </c>
      <c r="J1128" s="6">
        <f>K1128&amp;L1128</f>
        <v/>
      </c>
      <c r="K1128" s="6">
        <f>YEAR(M1128)</f>
        <v/>
      </c>
      <c r="L1128" s="6">
        <f>MONTH(M1128)</f>
        <v/>
      </c>
      <c r="M1128" s="267">
        <f>IFERROR(__xludf.DUMMYFUNCTION("""COMPUTED_VALUE"""),44726.6666666666)</f>
        <v/>
      </c>
      <c r="N1128" s="6">
        <f>IFERROR(__xludf.DUMMYFUNCTION("""COMPUTED_VALUE"""),10828.35)</f>
        <v/>
      </c>
      <c r="R1128" s="6">
        <f>S1128&amp;T1128</f>
        <v/>
      </c>
      <c r="S1128" s="6">
        <f>YEAR(U1128)</f>
        <v/>
      </c>
      <c r="T1128" s="6">
        <f>MONTH(U1128)</f>
        <v/>
      </c>
      <c r="U1128" s="267">
        <f>IFERROR(__xludf.DUMMYFUNCTION("""COMPUTED_VALUE"""),44775.6458333333)</f>
        <v/>
      </c>
      <c r="V1128" s="6">
        <f>IFERROR(__xludf.DUMMYFUNCTION("""COMPUTED_VALUE"""),2439.62)</f>
        <v/>
      </c>
      <c r="Z1128" s="6">
        <f>AA1128&amp;AB1128</f>
        <v/>
      </c>
      <c r="AA1128" s="6">
        <f>YEAR(AC1128)</f>
        <v/>
      </c>
      <c r="AB1128" s="6">
        <f>MONTH(AC1128)</f>
        <v/>
      </c>
      <c r="AC1128" s="267">
        <f>IFERROR(__xludf.DUMMYFUNCTION("""COMPUTED_VALUE"""),44273.9986111111)</f>
        <v/>
      </c>
      <c r="AD1128" s="6">
        <f>IFERROR(__xludf.DUMMYFUNCTION("""COMPUTED_VALUE"""),1126.11)</f>
        <v/>
      </c>
      <c r="AH1128" s="6">
        <f>AI1128&amp;AJ1128</f>
        <v/>
      </c>
      <c r="AI1128" s="6">
        <f>YEAR(AK1128)</f>
        <v/>
      </c>
      <c r="AJ1128" s="6">
        <f>MONTH(AK1128)</f>
        <v/>
      </c>
      <c r="AK1128" s="267">
        <f>IFERROR(__xludf.DUMMYFUNCTION("""COMPUTED_VALUE"""),44221.9986111111)</f>
        <v/>
      </c>
      <c r="AL1128" s="6">
        <f>IFERROR(__xludf.DUMMYFUNCTION("""COMPUTED_VALUE"""),32249.76)</f>
        <v/>
      </c>
      <c r="AP1128" s="6">
        <f>AQ1128&amp;AR1128</f>
        <v/>
      </c>
      <c r="AQ1128" s="6">
        <f>YEAR(AS1128)</f>
        <v/>
      </c>
      <c r="AR1128" s="6">
        <f>MONTH(AS1128)</f>
        <v/>
      </c>
      <c r="AS1128" s="267">
        <f>IFERROR(__xludf.DUMMYFUNCTION("""COMPUTED_VALUE"""),44742.9986111111)</f>
        <v/>
      </c>
      <c r="AT1128" s="6">
        <f>IFERROR(__xludf.DUMMYFUNCTION("""COMPUTED_VALUE"""),1807.3)</f>
        <v/>
      </c>
    </row>
    <row r="1129">
      <c r="B1129" s="6">
        <f>C1129&amp;D1129</f>
        <v/>
      </c>
      <c r="C1129" s="6">
        <f>YEAR(E1129)</f>
        <v/>
      </c>
      <c r="D1129" s="6">
        <f>MONTH(E1129)</f>
        <v/>
      </c>
      <c r="E1129" s="267">
        <f>IFERROR(__xludf.DUMMYFUNCTION("""COMPUTED_VALUE"""),44735.6666666666)</f>
        <v/>
      </c>
      <c r="F1129" s="6">
        <f>IFERROR(__xludf.DUMMYFUNCTION("""COMPUTED_VALUE"""),3795.73)</f>
        <v/>
      </c>
      <c r="J1129" s="6">
        <f>K1129&amp;L1129</f>
        <v/>
      </c>
      <c r="K1129" s="6">
        <f>YEAR(M1129)</f>
        <v/>
      </c>
      <c r="L1129" s="6">
        <f>MONTH(M1129)</f>
        <v/>
      </c>
      <c r="M1129" s="267">
        <f>IFERROR(__xludf.DUMMYFUNCTION("""COMPUTED_VALUE"""),44727.6666666666)</f>
        <v/>
      </c>
      <c r="N1129" s="6">
        <f>IFERROR(__xludf.DUMMYFUNCTION("""COMPUTED_VALUE"""),11099.16)</f>
        <v/>
      </c>
      <c r="R1129" s="6">
        <f>S1129&amp;T1129</f>
        <v/>
      </c>
      <c r="S1129" s="6">
        <f>YEAR(U1129)</f>
        <v/>
      </c>
      <c r="T1129" s="6">
        <f>MONTH(U1129)</f>
        <v/>
      </c>
      <c r="U1129" s="267">
        <f>IFERROR(__xludf.DUMMYFUNCTION("""COMPUTED_VALUE"""),44776.6458333333)</f>
        <v/>
      </c>
      <c r="V1129" s="6">
        <f>IFERROR(__xludf.DUMMYFUNCTION("""COMPUTED_VALUE"""),2461.45)</f>
        <v/>
      </c>
      <c r="Z1129" s="6">
        <f>AA1129&amp;AB1129</f>
        <v/>
      </c>
      <c r="AA1129" s="6">
        <f>YEAR(AC1129)</f>
        <v/>
      </c>
      <c r="AB1129" s="6">
        <f>MONTH(AC1129)</f>
        <v/>
      </c>
      <c r="AC1129" s="267">
        <f>IFERROR(__xludf.DUMMYFUNCTION("""COMPUTED_VALUE"""),44274.9986111111)</f>
        <v/>
      </c>
      <c r="AD1129" s="6">
        <f>IFERROR(__xludf.DUMMYFUNCTION("""COMPUTED_VALUE"""),1128.46)</f>
        <v/>
      </c>
      <c r="AH1129" s="6">
        <f>AI1129&amp;AJ1129</f>
        <v/>
      </c>
      <c r="AI1129" s="6">
        <f>YEAR(AK1129)</f>
        <v/>
      </c>
      <c r="AJ1129" s="6">
        <f>MONTH(AK1129)</f>
        <v/>
      </c>
      <c r="AK1129" s="267">
        <f>IFERROR(__xludf.DUMMYFUNCTION("""COMPUTED_VALUE"""),44222.9986111111)</f>
        <v/>
      </c>
      <c r="AL1129" s="6">
        <f>IFERROR(__xludf.DUMMYFUNCTION("""COMPUTED_VALUE"""),32507.34)</f>
        <v/>
      </c>
      <c r="AP1129" s="6">
        <f>AQ1129&amp;AR1129</f>
        <v/>
      </c>
      <c r="AQ1129" s="6">
        <f>YEAR(AS1129)</f>
        <v/>
      </c>
      <c r="AR1129" s="6">
        <f>MONTH(AS1129)</f>
        <v/>
      </c>
      <c r="AS1129" s="267">
        <f>IFERROR(__xludf.DUMMYFUNCTION("""COMPUTED_VALUE"""),44743.9986111111)</f>
        <v/>
      </c>
      <c r="AT1129" s="6">
        <f>IFERROR(__xludf.DUMMYFUNCTION("""COMPUTED_VALUE"""),1801.5)</f>
        <v/>
      </c>
    </row>
    <row r="1130">
      <c r="B1130" s="6">
        <f>C1130&amp;D1130</f>
        <v/>
      </c>
      <c r="C1130" s="6">
        <f>YEAR(E1130)</f>
        <v/>
      </c>
      <c r="D1130" s="6">
        <f>MONTH(E1130)</f>
        <v/>
      </c>
      <c r="E1130" s="267">
        <f>IFERROR(__xludf.DUMMYFUNCTION("""COMPUTED_VALUE"""),44736.6666666666)</f>
        <v/>
      </c>
      <c r="F1130" s="6">
        <f>IFERROR(__xludf.DUMMYFUNCTION("""COMPUTED_VALUE"""),3911.74)</f>
        <v/>
      </c>
      <c r="J1130" s="6">
        <f>K1130&amp;L1130</f>
        <v/>
      </c>
      <c r="K1130" s="6">
        <f>YEAR(M1130)</f>
        <v/>
      </c>
      <c r="L1130" s="6">
        <f>MONTH(M1130)</f>
        <v/>
      </c>
      <c r="M1130" s="267">
        <f>IFERROR(__xludf.DUMMYFUNCTION("""COMPUTED_VALUE"""),44728.6666666666)</f>
        <v/>
      </c>
      <c r="N1130" s="6">
        <f>IFERROR(__xludf.DUMMYFUNCTION("""COMPUTED_VALUE"""),10646.1)</f>
        <v/>
      </c>
      <c r="R1130" s="6">
        <f>S1130&amp;T1130</f>
        <v/>
      </c>
      <c r="S1130" s="6">
        <f>YEAR(U1130)</f>
        <v/>
      </c>
      <c r="T1130" s="6">
        <f>MONTH(U1130)</f>
        <v/>
      </c>
      <c r="U1130" s="267">
        <f>IFERROR(__xludf.DUMMYFUNCTION("""COMPUTED_VALUE"""),44777.6458333333)</f>
        <v/>
      </c>
      <c r="V1130" s="6">
        <f>IFERROR(__xludf.DUMMYFUNCTION("""COMPUTED_VALUE"""),2473.11)</f>
        <v/>
      </c>
      <c r="Z1130" s="6">
        <f>AA1130&amp;AB1130</f>
        <v/>
      </c>
      <c r="AA1130" s="6">
        <f>YEAR(AC1130)</f>
        <v/>
      </c>
      <c r="AB1130" s="6">
        <f>MONTH(AC1130)</f>
        <v/>
      </c>
      <c r="AC1130" s="267">
        <f>IFERROR(__xludf.DUMMYFUNCTION("""COMPUTED_VALUE"""),44275.9986111111)</f>
        <v/>
      </c>
      <c r="AD1130" s="6">
        <f>IFERROR(__xludf.DUMMYFUNCTION("""COMPUTED_VALUE"""),1128.46)</f>
        <v/>
      </c>
      <c r="AH1130" s="6">
        <f>AI1130&amp;AJ1130</f>
        <v/>
      </c>
      <c r="AI1130" s="6">
        <f>YEAR(AK1130)</f>
        <v/>
      </c>
      <c r="AJ1130" s="6">
        <f>MONTH(AK1130)</f>
        <v/>
      </c>
      <c r="AK1130" s="267">
        <f>IFERROR(__xludf.DUMMYFUNCTION("""COMPUTED_VALUE"""),44223.9986111111)</f>
        <v/>
      </c>
      <c r="AL1130" s="6">
        <f>IFERROR(__xludf.DUMMYFUNCTION("""COMPUTED_VALUE"""),30414.07)</f>
        <v/>
      </c>
      <c r="AP1130" s="6">
        <f>AQ1130&amp;AR1130</f>
        <v/>
      </c>
      <c r="AQ1130" s="6">
        <f>YEAR(AS1130)</f>
        <v/>
      </c>
      <c r="AR1130" s="6">
        <f>MONTH(AS1130)</f>
        <v/>
      </c>
      <c r="AS1130" s="267">
        <f>IFERROR(__xludf.DUMMYFUNCTION("""COMPUTED_VALUE"""),44747.9986111111)</f>
        <v/>
      </c>
      <c r="AT1130" s="6">
        <f>IFERROR(__xludf.DUMMYFUNCTION("""COMPUTED_VALUE"""),1763.9)</f>
        <v/>
      </c>
    </row>
    <row r="1131">
      <c r="B1131" s="6">
        <f>C1131&amp;D1131</f>
        <v/>
      </c>
      <c r="C1131" s="6">
        <f>YEAR(E1131)</f>
        <v/>
      </c>
      <c r="D1131" s="6">
        <f>MONTH(E1131)</f>
        <v/>
      </c>
      <c r="E1131" s="267">
        <f>IFERROR(__xludf.DUMMYFUNCTION("""COMPUTED_VALUE"""),44739.6666666666)</f>
        <v/>
      </c>
      <c r="F1131" s="6">
        <f>IFERROR(__xludf.DUMMYFUNCTION("""COMPUTED_VALUE"""),3900.11)</f>
        <v/>
      </c>
      <c r="J1131" s="6">
        <f>K1131&amp;L1131</f>
        <v/>
      </c>
      <c r="K1131" s="6">
        <f>YEAR(M1131)</f>
        <v/>
      </c>
      <c r="L1131" s="6">
        <f>MONTH(M1131)</f>
        <v/>
      </c>
      <c r="M1131" s="267">
        <f>IFERROR(__xludf.DUMMYFUNCTION("""COMPUTED_VALUE"""),44729.6666666666)</f>
        <v/>
      </c>
      <c r="N1131" s="6">
        <f>IFERROR(__xludf.DUMMYFUNCTION("""COMPUTED_VALUE"""),10798.35)</f>
        <v/>
      </c>
      <c r="R1131" s="6">
        <f>S1131&amp;T1131</f>
        <v/>
      </c>
      <c r="S1131" s="6">
        <f>YEAR(U1131)</f>
        <v/>
      </c>
      <c r="T1131" s="6">
        <f>MONTH(U1131)</f>
        <v/>
      </c>
      <c r="U1131" s="267">
        <f>IFERROR(__xludf.DUMMYFUNCTION("""COMPUTED_VALUE"""),44778.6458333333)</f>
        <v/>
      </c>
      <c r="V1131" s="6">
        <f>IFERROR(__xludf.DUMMYFUNCTION("""COMPUTED_VALUE"""),2490.8)</f>
        <v/>
      </c>
      <c r="Z1131" s="6">
        <f>AA1131&amp;AB1131</f>
        <v/>
      </c>
      <c r="AA1131" s="6">
        <f>YEAR(AC1131)</f>
        <v/>
      </c>
      <c r="AB1131" s="6">
        <f>MONTH(AC1131)</f>
        <v/>
      </c>
      <c r="AC1131" s="267">
        <f>IFERROR(__xludf.DUMMYFUNCTION("""COMPUTED_VALUE"""),44276.9986111111)</f>
        <v/>
      </c>
      <c r="AD1131" s="6">
        <f>IFERROR(__xludf.DUMMYFUNCTION("""COMPUTED_VALUE"""),1127.48)</f>
        <v/>
      </c>
      <c r="AH1131" s="6">
        <f>AI1131&amp;AJ1131</f>
        <v/>
      </c>
      <c r="AI1131" s="6">
        <f>YEAR(AK1131)</f>
        <v/>
      </c>
      <c r="AJ1131" s="6">
        <f>MONTH(AK1131)</f>
        <v/>
      </c>
      <c r="AK1131" s="267">
        <f>IFERROR(__xludf.DUMMYFUNCTION("""COMPUTED_VALUE"""),44224.9986111111)</f>
        <v/>
      </c>
      <c r="AL1131" s="6">
        <f>IFERROR(__xludf.DUMMYFUNCTION("""COMPUTED_VALUE"""),33404.69)</f>
        <v/>
      </c>
      <c r="AP1131" s="6">
        <f>AQ1131&amp;AR1131</f>
        <v/>
      </c>
      <c r="AQ1131" s="6">
        <f>YEAR(AS1131)</f>
        <v/>
      </c>
      <c r="AR1131" s="6">
        <f>MONTH(AS1131)</f>
        <v/>
      </c>
      <c r="AS1131" s="267">
        <f>IFERROR(__xludf.DUMMYFUNCTION("""COMPUTED_VALUE"""),44748.9986111111)</f>
        <v/>
      </c>
      <c r="AT1131" s="6">
        <f>IFERROR(__xludf.DUMMYFUNCTION("""COMPUTED_VALUE"""),1736.5)</f>
        <v/>
      </c>
    </row>
    <row r="1132">
      <c r="B1132" s="6">
        <f>C1132&amp;D1132</f>
        <v/>
      </c>
      <c r="C1132" s="6">
        <f>YEAR(E1132)</f>
        <v/>
      </c>
      <c r="D1132" s="6">
        <f>MONTH(E1132)</f>
        <v/>
      </c>
      <c r="E1132" s="267">
        <f>IFERROR(__xludf.DUMMYFUNCTION("""COMPUTED_VALUE"""),44740.6666666666)</f>
        <v/>
      </c>
      <c r="F1132" s="6">
        <f>IFERROR(__xludf.DUMMYFUNCTION("""COMPUTED_VALUE"""),3821.55)</f>
        <v/>
      </c>
      <c r="J1132" s="6">
        <f>K1132&amp;L1132</f>
        <v/>
      </c>
      <c r="K1132" s="6">
        <f>YEAR(M1132)</f>
        <v/>
      </c>
      <c r="L1132" s="6">
        <f>MONTH(M1132)</f>
        <v/>
      </c>
      <c r="M1132" s="267">
        <f>IFERROR(__xludf.DUMMYFUNCTION("""COMPUTED_VALUE"""),44733.6666666666)</f>
        <v/>
      </c>
      <c r="N1132" s="6">
        <f>IFERROR(__xludf.DUMMYFUNCTION("""COMPUTED_VALUE"""),11069.3)</f>
        <v/>
      </c>
      <c r="R1132" s="6">
        <f>S1132&amp;T1132</f>
        <v/>
      </c>
      <c r="S1132" s="6">
        <f>YEAR(U1132)</f>
        <v/>
      </c>
      <c r="T1132" s="6">
        <f>MONTH(U1132)</f>
        <v/>
      </c>
      <c r="U1132" s="267">
        <f>IFERROR(__xludf.DUMMYFUNCTION("""COMPUTED_VALUE"""),44781.6458333333)</f>
        <v/>
      </c>
      <c r="V1132" s="6">
        <f>IFERROR(__xludf.DUMMYFUNCTION("""COMPUTED_VALUE"""),2493.1)</f>
        <v/>
      </c>
      <c r="Z1132" s="6">
        <f>AA1132&amp;AB1132</f>
        <v/>
      </c>
      <c r="AA1132" s="6">
        <f>YEAR(AC1132)</f>
        <v/>
      </c>
      <c r="AB1132" s="6">
        <f>MONTH(AC1132)</f>
        <v/>
      </c>
      <c r="AC1132" s="267">
        <f>IFERROR(__xludf.DUMMYFUNCTION("""COMPUTED_VALUE"""),44277.9986111111)</f>
        <v/>
      </c>
      <c r="AD1132" s="6">
        <f>IFERROR(__xludf.DUMMYFUNCTION("""COMPUTED_VALUE"""),1125.12)</f>
        <v/>
      </c>
      <c r="AH1132" s="6">
        <f>AI1132&amp;AJ1132</f>
        <v/>
      </c>
      <c r="AI1132" s="6">
        <f>YEAR(AK1132)</f>
        <v/>
      </c>
      <c r="AJ1132" s="6">
        <f>MONTH(AK1132)</f>
        <v/>
      </c>
      <c r="AK1132" s="267">
        <f>IFERROR(__xludf.DUMMYFUNCTION("""COMPUTED_VALUE"""),44225.9986111111)</f>
        <v/>
      </c>
      <c r="AL1132" s="6">
        <f>IFERROR(__xludf.DUMMYFUNCTION("""COMPUTED_VALUE"""),34260.81)</f>
        <v/>
      </c>
      <c r="AP1132" s="6">
        <f>AQ1132&amp;AR1132</f>
        <v/>
      </c>
      <c r="AQ1132" s="6">
        <f>YEAR(AS1132)</f>
        <v/>
      </c>
      <c r="AR1132" s="6">
        <f>MONTH(AS1132)</f>
        <v/>
      </c>
      <c r="AS1132" s="267">
        <f>IFERROR(__xludf.DUMMYFUNCTION("""COMPUTED_VALUE"""),44749.9986111111)</f>
        <v/>
      </c>
      <c r="AT1132" s="6">
        <f>IFERROR(__xludf.DUMMYFUNCTION("""COMPUTED_VALUE"""),1739.7)</f>
        <v/>
      </c>
    </row>
    <row r="1133">
      <c r="B1133" s="6">
        <f>C1133&amp;D1133</f>
        <v/>
      </c>
      <c r="C1133" s="6">
        <f>YEAR(E1133)</f>
        <v/>
      </c>
      <c r="D1133" s="6">
        <f>MONTH(E1133)</f>
        <v/>
      </c>
      <c r="E1133" s="267">
        <f>IFERROR(__xludf.DUMMYFUNCTION("""COMPUTED_VALUE"""),44741.6666666666)</f>
        <v/>
      </c>
      <c r="F1133" s="6">
        <f>IFERROR(__xludf.DUMMYFUNCTION("""COMPUTED_VALUE"""),3818.83)</f>
        <v/>
      </c>
      <c r="J1133" s="6">
        <f>K1133&amp;L1133</f>
        <v/>
      </c>
      <c r="K1133" s="6">
        <f>YEAR(M1133)</f>
        <v/>
      </c>
      <c r="L1133" s="6">
        <f>MONTH(M1133)</f>
        <v/>
      </c>
      <c r="M1133" s="267">
        <f>IFERROR(__xludf.DUMMYFUNCTION("""COMPUTED_VALUE"""),44734.6666666666)</f>
        <v/>
      </c>
      <c r="N1133" s="6">
        <f>IFERROR(__xludf.DUMMYFUNCTION("""COMPUTED_VALUE"""),11053.08)</f>
        <v/>
      </c>
      <c r="R1133" s="6">
        <f>S1133&amp;T1133</f>
        <v/>
      </c>
      <c r="S1133" s="6">
        <f>YEAR(U1133)</f>
        <v/>
      </c>
      <c r="T1133" s="6">
        <f>MONTH(U1133)</f>
        <v/>
      </c>
      <c r="U1133" s="267">
        <f>IFERROR(__xludf.DUMMYFUNCTION("""COMPUTED_VALUE"""),44782.6458333333)</f>
        <v/>
      </c>
      <c r="V1133" s="6">
        <f>IFERROR(__xludf.DUMMYFUNCTION("""COMPUTED_VALUE"""),2503.46)</f>
        <v/>
      </c>
      <c r="Z1133" s="6">
        <f>AA1133&amp;AB1133</f>
        <v/>
      </c>
      <c r="AA1133" s="6">
        <f>YEAR(AC1133)</f>
        <v/>
      </c>
      <c r="AB1133" s="6">
        <f>MONTH(AC1133)</f>
        <v/>
      </c>
      <c r="AC1133" s="267">
        <f>IFERROR(__xludf.DUMMYFUNCTION("""COMPUTED_VALUE"""),44278.9986111111)</f>
        <v/>
      </c>
      <c r="AD1133" s="6">
        <f>IFERROR(__xludf.DUMMYFUNCTION("""COMPUTED_VALUE"""),1133.2)</f>
        <v/>
      </c>
      <c r="AH1133" s="6">
        <f>AI1133&amp;AJ1133</f>
        <v/>
      </c>
      <c r="AI1133" s="6">
        <f>YEAR(AK1133)</f>
        <v/>
      </c>
      <c r="AJ1133" s="6">
        <f>MONTH(AK1133)</f>
        <v/>
      </c>
      <c r="AK1133" s="267">
        <f>IFERROR(__xludf.DUMMYFUNCTION("""COMPUTED_VALUE"""),44226.9986111111)</f>
        <v/>
      </c>
      <c r="AL1133" s="6">
        <f>IFERROR(__xludf.DUMMYFUNCTION("""COMPUTED_VALUE"""),34293.02)</f>
        <v/>
      </c>
      <c r="AP1133" s="6">
        <f>AQ1133&amp;AR1133</f>
        <v/>
      </c>
      <c r="AQ1133" s="6">
        <f>YEAR(AS1133)</f>
        <v/>
      </c>
      <c r="AR1133" s="6">
        <f>MONTH(AS1133)</f>
        <v/>
      </c>
      <c r="AS1133" s="267">
        <f>IFERROR(__xludf.DUMMYFUNCTION("""COMPUTED_VALUE"""),44750.9986111111)</f>
        <v/>
      </c>
      <c r="AT1133" s="6">
        <f>IFERROR(__xludf.DUMMYFUNCTION("""COMPUTED_VALUE"""),1742.3)</f>
        <v/>
      </c>
    </row>
    <row r="1134">
      <c r="B1134" s="6">
        <f>C1134&amp;D1134</f>
        <v/>
      </c>
      <c r="C1134" s="6">
        <f>YEAR(E1134)</f>
        <v/>
      </c>
      <c r="D1134" s="6">
        <f>MONTH(E1134)</f>
        <v/>
      </c>
      <c r="E1134" s="267">
        <f>IFERROR(__xludf.DUMMYFUNCTION("""COMPUTED_VALUE"""),44742.6666666666)</f>
        <v/>
      </c>
      <c r="F1134" s="6">
        <f>IFERROR(__xludf.DUMMYFUNCTION("""COMPUTED_VALUE"""),3785.38)</f>
        <v/>
      </c>
      <c r="J1134" s="6">
        <f>K1134&amp;L1134</f>
        <v/>
      </c>
      <c r="K1134" s="6">
        <f>YEAR(M1134)</f>
        <v/>
      </c>
      <c r="L1134" s="6">
        <f>MONTH(M1134)</f>
        <v/>
      </c>
      <c r="M1134" s="267">
        <f>IFERROR(__xludf.DUMMYFUNCTION("""COMPUTED_VALUE"""),44735.6666666666)</f>
        <v/>
      </c>
      <c r="N1134" s="6">
        <f>IFERROR(__xludf.DUMMYFUNCTION("""COMPUTED_VALUE"""),11232.19)</f>
        <v/>
      </c>
      <c r="R1134" s="6">
        <f>S1134&amp;T1134</f>
        <v/>
      </c>
      <c r="S1134" s="6">
        <f>YEAR(U1134)</f>
        <v/>
      </c>
      <c r="T1134" s="6">
        <f>MONTH(U1134)</f>
        <v/>
      </c>
      <c r="U1134" s="267">
        <f>IFERROR(__xludf.DUMMYFUNCTION("""COMPUTED_VALUE"""),44783.6458333333)</f>
        <v/>
      </c>
      <c r="V1134" s="6">
        <f>IFERROR(__xludf.DUMMYFUNCTION("""COMPUTED_VALUE"""),2480.88)</f>
        <v/>
      </c>
      <c r="Z1134" s="6">
        <f>AA1134&amp;AB1134</f>
        <v/>
      </c>
      <c r="AA1134" s="6">
        <f>YEAR(AC1134)</f>
        <v/>
      </c>
      <c r="AB1134" s="6">
        <f>MONTH(AC1134)</f>
        <v/>
      </c>
      <c r="AC1134" s="267">
        <f>IFERROR(__xludf.DUMMYFUNCTION("""COMPUTED_VALUE"""),44279.9986111111)</f>
        <v/>
      </c>
      <c r="AD1134" s="6">
        <f>IFERROR(__xludf.DUMMYFUNCTION("""COMPUTED_VALUE"""),1134.48)</f>
        <v/>
      </c>
      <c r="AH1134" s="6">
        <f>AI1134&amp;AJ1134</f>
        <v/>
      </c>
      <c r="AI1134" s="6">
        <f>YEAR(AK1134)</f>
        <v/>
      </c>
      <c r="AJ1134" s="6">
        <f>MONTH(AK1134)</f>
        <v/>
      </c>
      <c r="AK1134" s="267">
        <f>IFERROR(__xludf.DUMMYFUNCTION("""COMPUTED_VALUE"""),44227.9986111111)</f>
        <v/>
      </c>
      <c r="AL1134" s="6">
        <f>IFERROR(__xludf.DUMMYFUNCTION("""COMPUTED_VALUE"""),33119.93)</f>
        <v/>
      </c>
      <c r="AP1134" s="6">
        <f>AQ1134&amp;AR1134</f>
        <v/>
      </c>
      <c r="AQ1134" s="6">
        <f>YEAR(AS1134)</f>
        <v/>
      </c>
      <c r="AR1134" s="6">
        <f>MONTH(AS1134)</f>
        <v/>
      </c>
      <c r="AS1134" s="267">
        <f>IFERROR(__xludf.DUMMYFUNCTION("""COMPUTED_VALUE"""),44753.9986111111)</f>
        <v/>
      </c>
      <c r="AT1134" s="6">
        <f>IFERROR(__xludf.DUMMYFUNCTION("""COMPUTED_VALUE"""),1731.7)</f>
        <v/>
      </c>
    </row>
    <row r="1135">
      <c r="B1135" s="6">
        <f>C1135&amp;D1135</f>
        <v/>
      </c>
      <c r="C1135" s="6">
        <f>YEAR(E1135)</f>
        <v/>
      </c>
      <c r="D1135" s="6">
        <f>MONTH(E1135)</f>
        <v/>
      </c>
      <c r="E1135" s="267">
        <f>IFERROR(__xludf.DUMMYFUNCTION("""COMPUTED_VALUE"""),44743.6666666666)</f>
        <v/>
      </c>
      <c r="F1135" s="6">
        <f>IFERROR(__xludf.DUMMYFUNCTION("""COMPUTED_VALUE"""),3825.33)</f>
        <v/>
      </c>
      <c r="J1135" s="6">
        <f>K1135&amp;L1135</f>
        <v/>
      </c>
      <c r="K1135" s="6">
        <f>YEAR(M1135)</f>
        <v/>
      </c>
      <c r="L1135" s="6">
        <f>MONTH(M1135)</f>
        <v/>
      </c>
      <c r="M1135" s="267">
        <f>IFERROR(__xludf.DUMMYFUNCTION("""COMPUTED_VALUE"""),44736.6666666666)</f>
        <v/>
      </c>
      <c r="N1135" s="6">
        <f>IFERROR(__xludf.DUMMYFUNCTION("""COMPUTED_VALUE"""),11607.62)</f>
        <v/>
      </c>
      <c r="R1135" s="6">
        <f>S1135&amp;T1135</f>
        <v/>
      </c>
      <c r="S1135" s="6">
        <f>YEAR(U1135)</f>
        <v/>
      </c>
      <c r="T1135" s="6">
        <f>MONTH(U1135)</f>
        <v/>
      </c>
      <c r="U1135" s="267">
        <f>IFERROR(__xludf.DUMMYFUNCTION("""COMPUTED_VALUE"""),44784.6458333333)</f>
        <v/>
      </c>
      <c r="V1135" s="6">
        <f>IFERROR(__xludf.DUMMYFUNCTION("""COMPUTED_VALUE"""),2523.78)</f>
        <v/>
      </c>
      <c r="Z1135" s="6">
        <f>AA1135&amp;AB1135</f>
        <v/>
      </c>
      <c r="AA1135" s="6">
        <f>YEAR(AC1135)</f>
        <v/>
      </c>
      <c r="AB1135" s="6">
        <f>MONTH(AC1135)</f>
        <v/>
      </c>
      <c r="AC1135" s="267">
        <f>IFERROR(__xludf.DUMMYFUNCTION("""COMPUTED_VALUE"""),44280.9986111111)</f>
        <v/>
      </c>
      <c r="AD1135" s="6">
        <f>IFERROR(__xludf.DUMMYFUNCTION("""COMPUTED_VALUE"""),1134.21)</f>
        <v/>
      </c>
      <c r="AH1135" s="6">
        <f>AI1135&amp;AJ1135</f>
        <v/>
      </c>
      <c r="AI1135" s="6">
        <f>YEAR(AK1135)</f>
        <v/>
      </c>
      <c r="AJ1135" s="6">
        <f>MONTH(AK1135)</f>
        <v/>
      </c>
      <c r="AK1135" s="267">
        <f>IFERROR(__xludf.DUMMYFUNCTION("""COMPUTED_VALUE"""),44228.9986111111)</f>
        <v/>
      </c>
      <c r="AL1135" s="6">
        <f>IFERROR(__xludf.DUMMYFUNCTION("""COMPUTED_VALUE"""),33538.11)</f>
        <v/>
      </c>
      <c r="AP1135" s="6">
        <f>AQ1135&amp;AR1135</f>
        <v/>
      </c>
      <c r="AQ1135" s="6">
        <f>YEAR(AS1135)</f>
        <v/>
      </c>
      <c r="AR1135" s="6">
        <f>MONTH(AS1135)</f>
        <v/>
      </c>
      <c r="AS1135" s="267">
        <f>IFERROR(__xludf.DUMMYFUNCTION("""COMPUTED_VALUE"""),44754.9986111111)</f>
        <v/>
      </c>
      <c r="AT1135" s="6">
        <f>IFERROR(__xludf.DUMMYFUNCTION("""COMPUTED_VALUE"""),1724.8)</f>
        <v/>
      </c>
    </row>
    <row r="1136">
      <c r="B1136" s="6">
        <f>C1136&amp;D1136</f>
        <v/>
      </c>
      <c r="C1136" s="6">
        <f>YEAR(E1136)</f>
        <v/>
      </c>
      <c r="D1136" s="6">
        <f>MONTH(E1136)</f>
        <v/>
      </c>
      <c r="E1136" s="267">
        <f>IFERROR(__xludf.DUMMYFUNCTION("""COMPUTED_VALUE"""),44747.6666666666)</f>
        <v/>
      </c>
      <c r="F1136" s="6">
        <f>IFERROR(__xludf.DUMMYFUNCTION("""COMPUTED_VALUE"""),3831.39)</f>
        <v/>
      </c>
      <c r="J1136" s="6">
        <f>K1136&amp;L1136</f>
        <v/>
      </c>
      <c r="K1136" s="6">
        <f>YEAR(M1136)</f>
        <v/>
      </c>
      <c r="L1136" s="6">
        <f>MONTH(M1136)</f>
        <v/>
      </c>
      <c r="M1136" s="267">
        <f>IFERROR(__xludf.DUMMYFUNCTION("""COMPUTED_VALUE"""),44739.6666666666)</f>
        <v/>
      </c>
      <c r="N1136" s="6">
        <f>IFERROR(__xludf.DUMMYFUNCTION("""COMPUTED_VALUE"""),11524.55)</f>
        <v/>
      </c>
      <c r="R1136" s="6">
        <f>S1136&amp;T1136</f>
        <v/>
      </c>
      <c r="S1136" s="6">
        <f>YEAR(U1136)</f>
        <v/>
      </c>
      <c r="T1136" s="6">
        <f>MONTH(U1136)</f>
        <v/>
      </c>
      <c r="U1136" s="267">
        <f>IFERROR(__xludf.DUMMYFUNCTION("""COMPUTED_VALUE"""),44785.6458333333)</f>
        <v/>
      </c>
      <c r="V1136" s="6">
        <f>IFERROR(__xludf.DUMMYFUNCTION("""COMPUTED_VALUE"""),2527.94)</f>
        <v/>
      </c>
      <c r="Z1136" s="6">
        <f>AA1136&amp;AB1136</f>
        <v/>
      </c>
      <c r="AA1136" s="6">
        <f>YEAR(AC1136)</f>
        <v/>
      </c>
      <c r="AB1136" s="6">
        <f>MONTH(AC1136)</f>
        <v/>
      </c>
      <c r="AC1136" s="267">
        <f>IFERROR(__xludf.DUMMYFUNCTION("""COMPUTED_VALUE"""),44281.9986111111)</f>
        <v/>
      </c>
      <c r="AD1136" s="6">
        <f>IFERROR(__xludf.DUMMYFUNCTION("""COMPUTED_VALUE"""),1127.96)</f>
        <v/>
      </c>
      <c r="AH1136" s="6">
        <f>AI1136&amp;AJ1136</f>
        <v/>
      </c>
      <c r="AI1136" s="6">
        <f>YEAR(AK1136)</f>
        <v/>
      </c>
      <c r="AJ1136" s="6">
        <f>MONTH(AK1136)</f>
        <v/>
      </c>
      <c r="AK1136" s="267">
        <f>IFERROR(__xludf.DUMMYFUNCTION("""COMPUTED_VALUE"""),44229.9986111111)</f>
        <v/>
      </c>
      <c r="AL1136" s="6">
        <f>IFERROR(__xludf.DUMMYFUNCTION("""COMPUTED_VALUE"""),35497.71)</f>
        <v/>
      </c>
      <c r="AP1136" s="6">
        <f>AQ1136&amp;AR1136</f>
        <v/>
      </c>
      <c r="AQ1136" s="6">
        <f>YEAR(AS1136)</f>
        <v/>
      </c>
      <c r="AR1136" s="6">
        <f>MONTH(AS1136)</f>
        <v/>
      </c>
      <c r="AS1136" s="267">
        <f>IFERROR(__xludf.DUMMYFUNCTION("""COMPUTED_VALUE"""),44755.9986111111)</f>
        <v/>
      </c>
      <c r="AT1136" s="6">
        <f>IFERROR(__xludf.DUMMYFUNCTION("""COMPUTED_VALUE"""),1735.5)</f>
        <v/>
      </c>
    </row>
    <row r="1137">
      <c r="B1137" s="6">
        <f>C1137&amp;D1137</f>
        <v/>
      </c>
      <c r="C1137" s="6">
        <f>YEAR(E1137)</f>
        <v/>
      </c>
      <c r="D1137" s="6">
        <f>MONTH(E1137)</f>
        <v/>
      </c>
      <c r="E1137" s="267">
        <f>IFERROR(__xludf.DUMMYFUNCTION("""COMPUTED_VALUE"""),44748.6666666666)</f>
        <v/>
      </c>
      <c r="F1137" s="6">
        <f>IFERROR(__xludf.DUMMYFUNCTION("""COMPUTED_VALUE"""),3845.08)</f>
        <v/>
      </c>
      <c r="J1137" s="6">
        <f>K1137&amp;L1137</f>
        <v/>
      </c>
      <c r="K1137" s="6">
        <f>YEAR(M1137)</f>
        <v/>
      </c>
      <c r="L1137" s="6">
        <f>MONTH(M1137)</f>
        <v/>
      </c>
      <c r="M1137" s="267">
        <f>IFERROR(__xludf.DUMMYFUNCTION("""COMPUTED_VALUE"""),44740.6666666666)</f>
        <v/>
      </c>
      <c r="N1137" s="6">
        <f>IFERROR(__xludf.DUMMYFUNCTION("""COMPUTED_VALUE"""),11181.54)</f>
        <v/>
      </c>
      <c r="R1137" s="6">
        <f>S1137&amp;T1137</f>
        <v/>
      </c>
      <c r="S1137" s="6">
        <f>YEAR(U1137)</f>
        <v/>
      </c>
      <c r="T1137" s="6">
        <f>MONTH(U1137)</f>
        <v/>
      </c>
      <c r="U1137" s="267">
        <f>IFERROR(__xludf.DUMMYFUNCTION("""COMPUTED_VALUE"""),44789.6458333333)</f>
        <v/>
      </c>
      <c r="V1137" s="6">
        <f>IFERROR(__xludf.DUMMYFUNCTION("""COMPUTED_VALUE"""),2533.52)</f>
        <v/>
      </c>
      <c r="Z1137" s="6">
        <f>AA1137&amp;AB1137</f>
        <v/>
      </c>
      <c r="AA1137" s="6">
        <f>YEAR(AC1137)</f>
        <v/>
      </c>
      <c r="AB1137" s="6">
        <f>MONTH(AC1137)</f>
        <v/>
      </c>
      <c r="AC1137" s="267">
        <f>IFERROR(__xludf.DUMMYFUNCTION("""COMPUTED_VALUE"""),44282.9986111111)</f>
        <v/>
      </c>
      <c r="AD1137" s="6">
        <f>IFERROR(__xludf.DUMMYFUNCTION("""COMPUTED_VALUE"""),1127.96)</f>
        <v/>
      </c>
      <c r="AH1137" s="6">
        <f>AI1137&amp;AJ1137</f>
        <v/>
      </c>
      <c r="AI1137" s="6">
        <f>YEAR(AK1137)</f>
        <v/>
      </c>
      <c r="AJ1137" s="6">
        <f>MONTH(AK1137)</f>
        <v/>
      </c>
      <c r="AK1137" s="267">
        <f>IFERROR(__xludf.DUMMYFUNCTION("""COMPUTED_VALUE"""),44230.9986111111)</f>
        <v/>
      </c>
      <c r="AL1137" s="6">
        <f>IFERROR(__xludf.DUMMYFUNCTION("""COMPUTED_VALUE"""),37664.11)</f>
        <v/>
      </c>
      <c r="AP1137" s="6">
        <f>AQ1137&amp;AR1137</f>
        <v/>
      </c>
      <c r="AQ1137" s="6">
        <f>YEAR(AS1137)</f>
        <v/>
      </c>
      <c r="AR1137" s="6">
        <f>MONTH(AS1137)</f>
        <v/>
      </c>
      <c r="AS1137" s="267">
        <f>IFERROR(__xludf.DUMMYFUNCTION("""COMPUTED_VALUE"""),44756.9986111111)</f>
        <v/>
      </c>
      <c r="AT1137" s="6">
        <f>IFERROR(__xludf.DUMMYFUNCTION("""COMPUTED_VALUE"""),1705.8)</f>
        <v/>
      </c>
    </row>
    <row r="1138">
      <c r="B1138" s="6">
        <f>C1138&amp;D1138</f>
        <v/>
      </c>
      <c r="C1138" s="6">
        <f>YEAR(E1138)</f>
        <v/>
      </c>
      <c r="D1138" s="6">
        <f>MONTH(E1138)</f>
        <v/>
      </c>
      <c r="E1138" s="267">
        <f>IFERROR(__xludf.DUMMYFUNCTION("""COMPUTED_VALUE"""),44749.6666666666)</f>
        <v/>
      </c>
      <c r="F1138" s="6">
        <f>IFERROR(__xludf.DUMMYFUNCTION("""COMPUTED_VALUE"""),3902.62)</f>
        <v/>
      </c>
      <c r="J1138" s="6">
        <f>K1138&amp;L1138</f>
        <v/>
      </c>
      <c r="K1138" s="6">
        <f>YEAR(M1138)</f>
        <v/>
      </c>
      <c r="L1138" s="6">
        <f>MONTH(M1138)</f>
        <v/>
      </c>
      <c r="M1138" s="267">
        <f>IFERROR(__xludf.DUMMYFUNCTION("""COMPUTED_VALUE"""),44741.6666666666)</f>
        <v/>
      </c>
      <c r="N1138" s="6">
        <f>IFERROR(__xludf.DUMMYFUNCTION("""COMPUTED_VALUE"""),11177.89)</f>
        <v/>
      </c>
      <c r="R1138" s="6">
        <f>S1138&amp;T1138</f>
        <v/>
      </c>
      <c r="S1138" s="6">
        <f>YEAR(U1138)</f>
        <v/>
      </c>
      <c r="T1138" s="6">
        <f>MONTH(U1138)</f>
        <v/>
      </c>
      <c r="U1138" s="267">
        <f>IFERROR(__xludf.DUMMYFUNCTION("""COMPUTED_VALUE"""),44790.6458333333)</f>
        <v/>
      </c>
      <c r="V1138" s="6">
        <f>IFERROR(__xludf.DUMMYFUNCTION("""COMPUTED_VALUE"""),2516.47)</f>
        <v/>
      </c>
      <c r="Z1138" s="6">
        <f>AA1138&amp;AB1138</f>
        <v/>
      </c>
      <c r="AA1138" s="6">
        <f>YEAR(AC1138)</f>
        <v/>
      </c>
      <c r="AB1138" s="6">
        <f>MONTH(AC1138)</f>
        <v/>
      </c>
      <c r="AC1138" s="267">
        <f>IFERROR(__xludf.DUMMYFUNCTION("""COMPUTED_VALUE"""),44283.9986111111)</f>
        <v/>
      </c>
      <c r="AD1138" s="6">
        <f>IFERROR(__xludf.DUMMYFUNCTION("""COMPUTED_VALUE"""),1127.96)</f>
        <v/>
      </c>
      <c r="AH1138" s="6">
        <f>AI1138&amp;AJ1138</f>
        <v/>
      </c>
      <c r="AI1138" s="6">
        <f>YEAR(AK1138)</f>
        <v/>
      </c>
      <c r="AJ1138" s="6">
        <f>MONTH(AK1138)</f>
        <v/>
      </c>
      <c r="AK1138" s="267">
        <f>IFERROR(__xludf.DUMMYFUNCTION("""COMPUTED_VALUE"""),44231.9986111111)</f>
        <v/>
      </c>
      <c r="AL1138" s="6">
        <f>IFERROR(__xludf.DUMMYFUNCTION("""COMPUTED_VALUE"""),36974.69)</f>
        <v/>
      </c>
      <c r="AP1138" s="6">
        <f>AQ1138&amp;AR1138</f>
        <v/>
      </c>
      <c r="AQ1138" s="6">
        <f>YEAR(AS1138)</f>
        <v/>
      </c>
      <c r="AR1138" s="6">
        <f>MONTH(AS1138)</f>
        <v/>
      </c>
      <c r="AS1138" s="267">
        <f>IFERROR(__xludf.DUMMYFUNCTION("""COMPUTED_VALUE"""),44757.9986111111)</f>
        <v/>
      </c>
      <c r="AT1138" s="6">
        <f>IFERROR(__xludf.DUMMYFUNCTION("""COMPUTED_VALUE"""),1703.6)</f>
        <v/>
      </c>
    </row>
    <row r="1139">
      <c r="B1139" s="6">
        <f>C1139&amp;D1139</f>
        <v/>
      </c>
      <c r="C1139" s="6">
        <f>YEAR(E1139)</f>
        <v/>
      </c>
      <c r="D1139" s="6">
        <f>MONTH(E1139)</f>
        <v/>
      </c>
      <c r="E1139" s="267">
        <f>IFERROR(__xludf.DUMMYFUNCTION("""COMPUTED_VALUE"""),44750.6666666666)</f>
        <v/>
      </c>
      <c r="F1139" s="6">
        <f>IFERROR(__xludf.DUMMYFUNCTION("""COMPUTED_VALUE"""),3899.38)</f>
        <v/>
      </c>
      <c r="J1139" s="6">
        <f>K1139&amp;L1139</f>
        <v/>
      </c>
      <c r="K1139" s="6">
        <f>YEAR(M1139)</f>
        <v/>
      </c>
      <c r="L1139" s="6">
        <f>MONTH(M1139)</f>
        <v/>
      </c>
      <c r="M1139" s="267">
        <f>IFERROR(__xludf.DUMMYFUNCTION("""COMPUTED_VALUE"""),44742.6666666666)</f>
        <v/>
      </c>
      <c r="N1139" s="6">
        <f>IFERROR(__xludf.DUMMYFUNCTION("""COMPUTED_VALUE"""),11028.74)</f>
        <v/>
      </c>
      <c r="R1139" s="6">
        <f>S1139&amp;T1139</f>
        <v/>
      </c>
      <c r="S1139" s="6">
        <f>YEAR(U1139)</f>
        <v/>
      </c>
      <c r="T1139" s="6">
        <f>MONTH(U1139)</f>
        <v/>
      </c>
      <c r="U1139" s="267">
        <f>IFERROR(__xludf.DUMMYFUNCTION("""COMPUTED_VALUE"""),44791.6458333333)</f>
        <v/>
      </c>
      <c r="V1139" s="6">
        <f>IFERROR(__xludf.DUMMYFUNCTION("""COMPUTED_VALUE"""),2508.05)</f>
        <v/>
      </c>
      <c r="Z1139" s="6">
        <f>AA1139&amp;AB1139</f>
        <v/>
      </c>
      <c r="AA1139" s="6">
        <f>YEAR(AC1139)</f>
        <v/>
      </c>
      <c r="AB1139" s="6">
        <f>MONTH(AC1139)</f>
        <v/>
      </c>
      <c r="AC1139" s="267">
        <f>IFERROR(__xludf.DUMMYFUNCTION("""COMPUTED_VALUE"""),44284.9986111111)</f>
        <v/>
      </c>
      <c r="AD1139" s="6">
        <f>IFERROR(__xludf.DUMMYFUNCTION("""COMPUTED_VALUE"""),1131.65)</f>
        <v/>
      </c>
      <c r="AH1139" s="6">
        <f>AI1139&amp;AJ1139</f>
        <v/>
      </c>
      <c r="AI1139" s="6">
        <f>YEAR(AK1139)</f>
        <v/>
      </c>
      <c r="AJ1139" s="6">
        <f>MONTH(AK1139)</f>
        <v/>
      </c>
      <c r="AK1139" s="267">
        <f>IFERROR(__xludf.DUMMYFUNCTION("""COMPUTED_VALUE"""),44232.9986111111)</f>
        <v/>
      </c>
      <c r="AL1139" s="6">
        <f>IFERROR(__xludf.DUMMYFUNCTION("""COMPUTED_VALUE"""),38277.3)</f>
        <v/>
      </c>
      <c r="AP1139" s="6">
        <f>AQ1139&amp;AR1139</f>
        <v/>
      </c>
      <c r="AQ1139" s="6">
        <f>YEAR(AS1139)</f>
        <v/>
      </c>
      <c r="AR1139" s="6">
        <f>MONTH(AS1139)</f>
        <v/>
      </c>
      <c r="AS1139" s="267">
        <f>IFERROR(__xludf.DUMMYFUNCTION("""COMPUTED_VALUE"""),44760.9986111111)</f>
        <v/>
      </c>
      <c r="AT1139" s="6">
        <f>IFERROR(__xludf.DUMMYFUNCTION("""COMPUTED_VALUE"""),1710.2)</f>
        <v/>
      </c>
    </row>
    <row r="1140">
      <c r="B1140" s="6">
        <f>C1140&amp;D1140</f>
        <v/>
      </c>
      <c r="C1140" s="6">
        <f>YEAR(E1140)</f>
        <v/>
      </c>
      <c r="D1140" s="6">
        <f>MONTH(E1140)</f>
        <v/>
      </c>
      <c r="E1140" s="267">
        <f>IFERROR(__xludf.DUMMYFUNCTION("""COMPUTED_VALUE"""),44753.6666666666)</f>
        <v/>
      </c>
      <c r="F1140" s="6">
        <f>IFERROR(__xludf.DUMMYFUNCTION("""COMPUTED_VALUE"""),3854.43)</f>
        <v/>
      </c>
      <c r="J1140" s="6">
        <f>K1140&amp;L1140</f>
        <v/>
      </c>
      <c r="K1140" s="6">
        <f>YEAR(M1140)</f>
        <v/>
      </c>
      <c r="L1140" s="6">
        <f>MONTH(M1140)</f>
        <v/>
      </c>
      <c r="M1140" s="267">
        <f>IFERROR(__xludf.DUMMYFUNCTION("""COMPUTED_VALUE"""),44743.6666666666)</f>
        <v/>
      </c>
      <c r="N1140" s="6">
        <f>IFERROR(__xludf.DUMMYFUNCTION("""COMPUTED_VALUE"""),11127.85)</f>
        <v/>
      </c>
      <c r="R1140" s="6">
        <f>S1140&amp;T1140</f>
        <v/>
      </c>
      <c r="S1140" s="6">
        <f>YEAR(U1140)</f>
        <v/>
      </c>
      <c r="T1140" s="6">
        <f>MONTH(U1140)</f>
        <v/>
      </c>
      <c r="U1140" s="267">
        <f>IFERROR(__xludf.DUMMYFUNCTION("""COMPUTED_VALUE"""),44792.6458333333)</f>
        <v/>
      </c>
      <c r="V1140" s="6">
        <f>IFERROR(__xludf.DUMMYFUNCTION("""COMPUTED_VALUE"""),2492.69)</f>
        <v/>
      </c>
      <c r="Z1140" s="6">
        <f>AA1140&amp;AB1140</f>
        <v/>
      </c>
      <c r="AA1140" s="6">
        <f>YEAR(AC1140)</f>
        <v/>
      </c>
      <c r="AB1140" s="6">
        <f>MONTH(AC1140)</f>
        <v/>
      </c>
      <c r="AC1140" s="267">
        <f>IFERROR(__xludf.DUMMYFUNCTION("""COMPUTED_VALUE"""),44285.9986111111)</f>
        <v/>
      </c>
      <c r="AD1140" s="6">
        <f>IFERROR(__xludf.DUMMYFUNCTION("""COMPUTED_VALUE"""),1132.32)</f>
        <v/>
      </c>
      <c r="AH1140" s="6">
        <f>AI1140&amp;AJ1140</f>
        <v/>
      </c>
      <c r="AI1140" s="6">
        <f>YEAR(AK1140)</f>
        <v/>
      </c>
      <c r="AJ1140" s="6">
        <f>MONTH(AK1140)</f>
        <v/>
      </c>
      <c r="AK1140" s="267">
        <f>IFERROR(__xludf.DUMMYFUNCTION("""COMPUTED_VALUE"""),44233.9986111111)</f>
        <v/>
      </c>
      <c r="AL1140" s="6">
        <f>IFERROR(__xludf.DUMMYFUNCTION("""COMPUTED_VALUE"""),39255.36)</f>
        <v/>
      </c>
      <c r="AP1140" s="6">
        <f>AQ1140&amp;AR1140</f>
        <v/>
      </c>
      <c r="AQ1140" s="6">
        <f>YEAR(AS1140)</f>
        <v/>
      </c>
      <c r="AR1140" s="6">
        <f>MONTH(AS1140)</f>
        <v/>
      </c>
      <c r="AS1140" s="267">
        <f>IFERROR(__xludf.DUMMYFUNCTION("""COMPUTED_VALUE"""),44761.9986111111)</f>
        <v/>
      </c>
      <c r="AT1140" s="6">
        <f>IFERROR(__xludf.DUMMYFUNCTION("""COMPUTED_VALUE"""),1728.1)</f>
        <v/>
      </c>
    </row>
    <row r="1141">
      <c r="B1141" s="6">
        <f>C1141&amp;D1141</f>
        <v/>
      </c>
      <c r="C1141" s="6">
        <f>YEAR(E1141)</f>
        <v/>
      </c>
      <c r="D1141" s="6">
        <f>MONTH(E1141)</f>
        <v/>
      </c>
      <c r="E1141" s="267">
        <f>IFERROR(__xludf.DUMMYFUNCTION("""COMPUTED_VALUE"""),44754.6666666666)</f>
        <v/>
      </c>
      <c r="F1141" s="6">
        <f>IFERROR(__xludf.DUMMYFUNCTION("""COMPUTED_VALUE"""),3818.8)</f>
        <v/>
      </c>
      <c r="J1141" s="6">
        <f>K1141&amp;L1141</f>
        <v/>
      </c>
      <c r="K1141" s="6">
        <f>YEAR(M1141)</f>
        <v/>
      </c>
      <c r="L1141" s="6">
        <f>MONTH(M1141)</f>
        <v/>
      </c>
      <c r="M1141" s="267">
        <f>IFERROR(__xludf.DUMMYFUNCTION("""COMPUTED_VALUE"""),44747.6666666666)</f>
        <v/>
      </c>
      <c r="N1141" s="6">
        <f>IFERROR(__xludf.DUMMYFUNCTION("""COMPUTED_VALUE"""),11322.24)</f>
        <v/>
      </c>
      <c r="R1141" s="6">
        <f>S1141&amp;T1141</f>
        <v/>
      </c>
      <c r="S1141" s="6">
        <f>YEAR(U1141)</f>
        <v/>
      </c>
      <c r="T1141" s="6">
        <f>MONTH(U1141)</f>
        <v/>
      </c>
      <c r="U1141" s="267">
        <f>IFERROR(__xludf.DUMMYFUNCTION("""COMPUTED_VALUE"""),44795.6458333333)</f>
        <v/>
      </c>
      <c r="V1141" s="6">
        <f>IFERROR(__xludf.DUMMYFUNCTION("""COMPUTED_VALUE"""),2462.5)</f>
        <v/>
      </c>
      <c r="Z1141" s="6">
        <f>AA1141&amp;AB1141</f>
        <v/>
      </c>
      <c r="AA1141" s="6">
        <f>YEAR(AC1141)</f>
        <v/>
      </c>
      <c r="AB1141" s="6">
        <f>MONTH(AC1141)</f>
        <v/>
      </c>
      <c r="AC1141" s="267">
        <f>IFERROR(__xludf.DUMMYFUNCTION("""COMPUTED_VALUE"""),44286.9986111111)</f>
        <v/>
      </c>
      <c r="AD1141" s="6">
        <f>IFERROR(__xludf.DUMMYFUNCTION("""COMPUTED_VALUE"""),1127.2)</f>
        <v/>
      </c>
      <c r="AH1141" s="6">
        <f>AI1141&amp;AJ1141</f>
        <v/>
      </c>
      <c r="AI1141" s="6">
        <f>YEAR(AK1141)</f>
        <v/>
      </c>
      <c r="AJ1141" s="6">
        <f>MONTH(AK1141)</f>
        <v/>
      </c>
      <c r="AK1141" s="267">
        <f>IFERROR(__xludf.DUMMYFUNCTION("""COMPUTED_VALUE"""),44234.9986111111)</f>
        <v/>
      </c>
      <c r="AL1141" s="6">
        <f>IFERROR(__xludf.DUMMYFUNCTION("""COMPUTED_VALUE"""),38840.28)</f>
        <v/>
      </c>
      <c r="AP1141" s="6">
        <f>AQ1141&amp;AR1141</f>
        <v/>
      </c>
      <c r="AQ1141" s="6">
        <f>YEAR(AS1141)</f>
        <v/>
      </c>
      <c r="AR1141" s="6">
        <f>MONTH(AS1141)</f>
        <v/>
      </c>
      <c r="AS1141" s="267">
        <f>IFERROR(__xludf.DUMMYFUNCTION("""COMPUTED_VALUE"""),44762.9986111111)</f>
        <v/>
      </c>
      <c r="AT1141" s="6">
        <f>IFERROR(__xludf.DUMMYFUNCTION("""COMPUTED_VALUE"""),1717.7)</f>
        <v/>
      </c>
    </row>
    <row r="1142">
      <c r="B1142" s="6">
        <f>C1142&amp;D1142</f>
        <v/>
      </c>
      <c r="C1142" s="6">
        <f>YEAR(E1142)</f>
        <v/>
      </c>
      <c r="D1142" s="6">
        <f>MONTH(E1142)</f>
        <v/>
      </c>
      <c r="E1142" s="267">
        <f>IFERROR(__xludf.DUMMYFUNCTION("""COMPUTED_VALUE"""),44755.6666666666)</f>
        <v/>
      </c>
      <c r="F1142" s="6">
        <f>IFERROR(__xludf.DUMMYFUNCTION("""COMPUTED_VALUE"""),3801.78)</f>
        <v/>
      </c>
      <c r="J1142" s="6">
        <f>K1142&amp;L1142</f>
        <v/>
      </c>
      <c r="K1142" s="6">
        <f>YEAR(M1142)</f>
        <v/>
      </c>
      <c r="L1142" s="6">
        <f>MONTH(M1142)</f>
        <v/>
      </c>
      <c r="M1142" s="267">
        <f>IFERROR(__xludf.DUMMYFUNCTION("""COMPUTED_VALUE"""),44748.6666666666)</f>
        <v/>
      </c>
      <c r="N1142" s="6">
        <f>IFERROR(__xludf.DUMMYFUNCTION("""COMPUTED_VALUE"""),11361.85)</f>
        <v/>
      </c>
      <c r="R1142" s="6">
        <f>S1142&amp;T1142</f>
        <v/>
      </c>
      <c r="S1142" s="6">
        <f>YEAR(U1142)</f>
        <v/>
      </c>
      <c r="T1142" s="6">
        <f>MONTH(U1142)</f>
        <v/>
      </c>
      <c r="U1142" s="267">
        <f>IFERROR(__xludf.DUMMYFUNCTION("""COMPUTED_VALUE"""),44796.6458333333)</f>
        <v/>
      </c>
      <c r="V1142" s="6">
        <f>IFERROR(__xludf.DUMMYFUNCTION("""COMPUTED_VALUE"""),2435.34)</f>
        <v/>
      </c>
      <c r="Z1142" s="6">
        <f>AA1142&amp;AB1142</f>
        <v/>
      </c>
      <c r="AA1142" s="6">
        <f>YEAR(AC1142)</f>
        <v/>
      </c>
      <c r="AB1142" s="6">
        <f>MONTH(AC1142)</f>
        <v/>
      </c>
      <c r="AC1142" s="267">
        <f>IFERROR(__xludf.DUMMYFUNCTION("""COMPUTED_VALUE"""),44287.9986111111)</f>
        <v/>
      </c>
      <c r="AD1142" s="6">
        <f>IFERROR(__xludf.DUMMYFUNCTION("""COMPUTED_VALUE"""),1128.06)</f>
        <v/>
      </c>
      <c r="AH1142" s="6">
        <f>AI1142&amp;AJ1142</f>
        <v/>
      </c>
      <c r="AI1142" s="6">
        <f>YEAR(AK1142)</f>
        <v/>
      </c>
      <c r="AJ1142" s="6">
        <f>MONTH(AK1142)</f>
        <v/>
      </c>
      <c r="AK1142" s="267">
        <f>IFERROR(__xludf.DUMMYFUNCTION("""COMPUTED_VALUE"""),44235.9986111111)</f>
        <v/>
      </c>
      <c r="AL1142" s="6">
        <f>IFERROR(__xludf.DUMMYFUNCTION("""COMPUTED_VALUE"""),46430.89)</f>
        <v/>
      </c>
      <c r="AP1142" s="6">
        <f>AQ1142&amp;AR1142</f>
        <v/>
      </c>
      <c r="AQ1142" s="6">
        <f>YEAR(AS1142)</f>
        <v/>
      </c>
      <c r="AR1142" s="6">
        <f>MONTH(AS1142)</f>
        <v/>
      </c>
      <c r="AS1142" s="267">
        <f>IFERROR(__xludf.DUMMYFUNCTION("""COMPUTED_VALUE"""),44763.9986111111)</f>
        <v/>
      </c>
      <c r="AT1142" s="6">
        <f>IFERROR(__xludf.DUMMYFUNCTION("""COMPUTED_VALUE"""),1731.3)</f>
        <v/>
      </c>
    </row>
    <row r="1143">
      <c r="B1143" s="6">
        <f>C1143&amp;D1143</f>
        <v/>
      </c>
      <c r="C1143" s="6">
        <f>YEAR(E1143)</f>
        <v/>
      </c>
      <c r="D1143" s="6">
        <f>MONTH(E1143)</f>
        <v/>
      </c>
      <c r="E1143" s="267">
        <f>IFERROR(__xludf.DUMMYFUNCTION("""COMPUTED_VALUE"""),44756.6666666666)</f>
        <v/>
      </c>
      <c r="F1143" s="6">
        <f>IFERROR(__xludf.DUMMYFUNCTION("""COMPUTED_VALUE"""),3790.38)</f>
        <v/>
      </c>
      <c r="J1143" s="6">
        <f>K1143&amp;L1143</f>
        <v/>
      </c>
      <c r="K1143" s="6">
        <f>YEAR(M1143)</f>
        <v/>
      </c>
      <c r="L1143" s="6">
        <f>MONTH(M1143)</f>
        <v/>
      </c>
      <c r="M1143" s="267">
        <f>IFERROR(__xludf.DUMMYFUNCTION("""COMPUTED_VALUE"""),44749.6666666666)</f>
        <v/>
      </c>
      <c r="N1143" s="6">
        <f>IFERROR(__xludf.DUMMYFUNCTION("""COMPUTED_VALUE"""),11621.35)</f>
        <v/>
      </c>
      <c r="R1143" s="6">
        <f>S1143&amp;T1143</f>
        <v/>
      </c>
      <c r="S1143" s="6">
        <f>YEAR(U1143)</f>
        <v/>
      </c>
      <c r="T1143" s="6">
        <f>MONTH(U1143)</f>
        <v/>
      </c>
      <c r="U1143" s="267">
        <f>IFERROR(__xludf.DUMMYFUNCTION("""COMPUTED_VALUE"""),44797.6458333333)</f>
        <v/>
      </c>
      <c r="V1143" s="6">
        <f>IFERROR(__xludf.DUMMYFUNCTION("""COMPUTED_VALUE"""),2447.45)</f>
        <v/>
      </c>
      <c r="Z1143" s="6">
        <f>AA1143&amp;AB1143</f>
        <v/>
      </c>
      <c r="AA1143" s="6">
        <f>YEAR(AC1143)</f>
        <v/>
      </c>
      <c r="AB1143" s="6">
        <f>MONTH(AC1143)</f>
        <v/>
      </c>
      <c r="AC1143" s="267">
        <f>IFERROR(__xludf.DUMMYFUNCTION("""COMPUTED_VALUE"""),44288.9986111111)</f>
        <v/>
      </c>
      <c r="AD1143" s="6">
        <f>IFERROR(__xludf.DUMMYFUNCTION("""COMPUTED_VALUE"""),1128.97)</f>
        <v/>
      </c>
      <c r="AH1143" s="6">
        <f>AI1143&amp;AJ1143</f>
        <v/>
      </c>
      <c r="AI1143" s="6">
        <f>YEAR(AK1143)</f>
        <v/>
      </c>
      <c r="AJ1143" s="6">
        <f>MONTH(AK1143)</f>
        <v/>
      </c>
      <c r="AK1143" s="267">
        <f>IFERROR(__xludf.DUMMYFUNCTION("""COMPUTED_VALUE"""),44236.9986111111)</f>
        <v/>
      </c>
      <c r="AL1143" s="6">
        <f>IFERROR(__xludf.DUMMYFUNCTION("""COMPUTED_VALUE"""),46533.69)</f>
        <v/>
      </c>
      <c r="AP1143" s="6">
        <f>AQ1143&amp;AR1143</f>
        <v/>
      </c>
      <c r="AQ1143" s="6">
        <f>YEAR(AS1143)</f>
        <v/>
      </c>
      <c r="AR1143" s="6">
        <f>MONTH(AS1143)</f>
        <v/>
      </c>
      <c r="AS1143" s="267">
        <f>IFERROR(__xludf.DUMMYFUNCTION("""COMPUTED_VALUE"""),44764.9986111111)</f>
        <v/>
      </c>
      <c r="AT1143" s="6">
        <f>IFERROR(__xludf.DUMMYFUNCTION("""COMPUTED_VALUE"""),1745.3)</f>
        <v/>
      </c>
    </row>
    <row r="1144">
      <c r="B1144" s="6">
        <f>C1144&amp;D1144</f>
        <v/>
      </c>
      <c r="C1144" s="6">
        <f>YEAR(E1144)</f>
        <v/>
      </c>
      <c r="D1144" s="6">
        <f>MONTH(E1144)</f>
        <v/>
      </c>
      <c r="E1144" s="267">
        <f>IFERROR(__xludf.DUMMYFUNCTION("""COMPUTED_VALUE"""),44757.6666666666)</f>
        <v/>
      </c>
      <c r="F1144" s="6">
        <f>IFERROR(__xludf.DUMMYFUNCTION("""COMPUTED_VALUE"""),3863.16)</f>
        <v/>
      </c>
      <c r="J1144" s="6">
        <f>K1144&amp;L1144</f>
        <v/>
      </c>
      <c r="K1144" s="6">
        <f>YEAR(M1144)</f>
        <v/>
      </c>
      <c r="L1144" s="6">
        <f>MONTH(M1144)</f>
        <v/>
      </c>
      <c r="M1144" s="267">
        <f>IFERROR(__xludf.DUMMYFUNCTION("""COMPUTED_VALUE"""),44750.6666666666)</f>
        <v/>
      </c>
      <c r="N1144" s="6">
        <f>IFERROR(__xludf.DUMMYFUNCTION("""COMPUTED_VALUE"""),11635.31)</f>
        <v/>
      </c>
      <c r="R1144" s="6">
        <f>S1144&amp;T1144</f>
        <v/>
      </c>
      <c r="S1144" s="6">
        <f>YEAR(U1144)</f>
        <v/>
      </c>
      <c r="T1144" s="6">
        <f>MONTH(U1144)</f>
        <v/>
      </c>
      <c r="U1144" s="267">
        <f>IFERROR(__xludf.DUMMYFUNCTION("""COMPUTED_VALUE"""),44798.6458333333)</f>
        <v/>
      </c>
      <c r="V1144" s="6">
        <f>IFERROR(__xludf.DUMMYFUNCTION("""COMPUTED_VALUE"""),2477.26)</f>
        <v/>
      </c>
      <c r="Z1144" s="6">
        <f>AA1144&amp;AB1144</f>
        <v/>
      </c>
      <c r="AA1144" s="6">
        <f>YEAR(AC1144)</f>
        <v/>
      </c>
      <c r="AB1144" s="6">
        <f>MONTH(AC1144)</f>
        <v/>
      </c>
      <c r="AC1144" s="267">
        <f>IFERROR(__xludf.DUMMYFUNCTION("""COMPUTED_VALUE"""),44289.9986111111)</f>
        <v/>
      </c>
      <c r="AD1144" s="6">
        <f>IFERROR(__xludf.DUMMYFUNCTION("""COMPUTED_VALUE"""),1128.97)</f>
        <v/>
      </c>
      <c r="AH1144" s="6">
        <f>AI1144&amp;AJ1144</f>
        <v/>
      </c>
      <c r="AI1144" s="6">
        <f>YEAR(AK1144)</f>
        <v/>
      </c>
      <c r="AJ1144" s="6">
        <f>MONTH(AK1144)</f>
        <v/>
      </c>
      <c r="AK1144" s="267">
        <f>IFERROR(__xludf.DUMMYFUNCTION("""COMPUTED_VALUE"""),44237.9986111111)</f>
        <v/>
      </c>
      <c r="AL1144" s="6">
        <f>IFERROR(__xludf.DUMMYFUNCTION("""COMPUTED_VALUE"""),44835.64)</f>
        <v/>
      </c>
      <c r="AP1144" s="6">
        <f>AQ1144&amp;AR1144</f>
        <v/>
      </c>
      <c r="AQ1144" s="6">
        <f>YEAR(AS1144)</f>
        <v/>
      </c>
      <c r="AR1144" s="6">
        <f>MONTH(AS1144)</f>
        <v/>
      </c>
      <c r="AS1144" s="267">
        <f>IFERROR(__xludf.DUMMYFUNCTION("""COMPUTED_VALUE"""),44767.9986111111)</f>
        <v/>
      </c>
      <c r="AT1144" s="6">
        <f>IFERROR(__xludf.DUMMYFUNCTION("""COMPUTED_VALUE"""),1737.1)</f>
        <v/>
      </c>
    </row>
    <row r="1145">
      <c r="B1145" s="6">
        <f>C1145&amp;D1145</f>
        <v/>
      </c>
      <c r="C1145" s="6">
        <f>YEAR(E1145)</f>
        <v/>
      </c>
      <c r="D1145" s="6">
        <f>MONTH(E1145)</f>
        <v/>
      </c>
      <c r="E1145" s="267">
        <f>IFERROR(__xludf.DUMMYFUNCTION("""COMPUTED_VALUE"""),44760.6666666666)</f>
        <v/>
      </c>
      <c r="F1145" s="6">
        <f>IFERROR(__xludf.DUMMYFUNCTION("""COMPUTED_VALUE"""),3830.85)</f>
        <v/>
      </c>
      <c r="J1145" s="6">
        <f>K1145&amp;L1145</f>
        <v/>
      </c>
      <c r="K1145" s="6">
        <f>YEAR(M1145)</f>
        <v/>
      </c>
      <c r="L1145" s="6">
        <f>MONTH(M1145)</f>
        <v/>
      </c>
      <c r="M1145" s="267">
        <f>IFERROR(__xludf.DUMMYFUNCTION("""COMPUTED_VALUE"""),44753.6666666666)</f>
        <v/>
      </c>
      <c r="N1145" s="6">
        <f>IFERROR(__xludf.DUMMYFUNCTION("""COMPUTED_VALUE"""),11372.6)</f>
        <v/>
      </c>
      <c r="R1145" s="6">
        <f>S1145&amp;T1145</f>
        <v/>
      </c>
      <c r="S1145" s="6">
        <f>YEAR(U1145)</f>
        <v/>
      </c>
      <c r="T1145" s="6">
        <f>MONTH(U1145)</f>
        <v/>
      </c>
      <c r="U1145" s="267">
        <f>IFERROR(__xludf.DUMMYFUNCTION("""COMPUTED_VALUE"""),44799.6458333333)</f>
        <v/>
      </c>
      <c r="V1145" s="6">
        <f>IFERROR(__xludf.DUMMYFUNCTION("""COMPUTED_VALUE"""),2481.03)</f>
        <v/>
      </c>
      <c r="Z1145" s="6">
        <f>AA1145&amp;AB1145</f>
        <v/>
      </c>
      <c r="AA1145" s="6">
        <f>YEAR(AC1145)</f>
        <v/>
      </c>
      <c r="AB1145" s="6">
        <f>MONTH(AC1145)</f>
        <v/>
      </c>
      <c r="AC1145" s="267">
        <f>IFERROR(__xludf.DUMMYFUNCTION("""COMPUTED_VALUE"""),44290.9986111111)</f>
        <v/>
      </c>
      <c r="AD1145" s="6">
        <f>IFERROR(__xludf.DUMMYFUNCTION("""COMPUTED_VALUE"""),1128.79)</f>
        <v/>
      </c>
      <c r="AH1145" s="6">
        <f>AI1145&amp;AJ1145</f>
        <v/>
      </c>
      <c r="AI1145" s="6">
        <f>YEAR(AK1145)</f>
        <v/>
      </c>
      <c r="AJ1145" s="6">
        <f>MONTH(AK1145)</f>
        <v/>
      </c>
      <c r="AK1145" s="267">
        <f>IFERROR(__xludf.DUMMYFUNCTION("""COMPUTED_VALUE"""),44238.9986111111)</f>
        <v/>
      </c>
      <c r="AL1145" s="6">
        <f>IFERROR(__xludf.DUMMYFUNCTION("""COMPUTED_VALUE"""),47987.46)</f>
        <v/>
      </c>
      <c r="AP1145" s="6">
        <f>AQ1145&amp;AR1145</f>
        <v/>
      </c>
      <c r="AQ1145" s="6">
        <f>YEAR(AS1145)</f>
        <v/>
      </c>
      <c r="AR1145" s="6">
        <f>MONTH(AS1145)</f>
        <v/>
      </c>
      <c r="AS1145" s="267">
        <f>IFERROR(__xludf.DUMMYFUNCTION("""COMPUTED_VALUE"""),44768.9986111111)</f>
        <v/>
      </c>
      <c r="AT1145" s="6">
        <f>IFERROR(__xludf.DUMMYFUNCTION("""COMPUTED_VALUE"""),1735.7)</f>
        <v/>
      </c>
    </row>
    <row r="1146">
      <c r="B1146" s="6">
        <f>C1146&amp;D1146</f>
        <v/>
      </c>
      <c r="C1146" s="6">
        <f>YEAR(E1146)</f>
        <v/>
      </c>
      <c r="D1146" s="6">
        <f>MONTH(E1146)</f>
        <v/>
      </c>
      <c r="E1146" s="267">
        <f>IFERROR(__xludf.DUMMYFUNCTION("""COMPUTED_VALUE"""),44761.6666666666)</f>
        <v/>
      </c>
      <c r="F1146" s="6">
        <f>IFERROR(__xludf.DUMMYFUNCTION("""COMPUTED_VALUE"""),3936.69)</f>
        <v/>
      </c>
      <c r="J1146" s="6">
        <f>K1146&amp;L1146</f>
        <v/>
      </c>
      <c r="K1146" s="6">
        <f>YEAR(M1146)</f>
        <v/>
      </c>
      <c r="L1146" s="6">
        <f>MONTH(M1146)</f>
        <v/>
      </c>
      <c r="M1146" s="267">
        <f>IFERROR(__xludf.DUMMYFUNCTION("""COMPUTED_VALUE"""),44754.6666666666)</f>
        <v/>
      </c>
      <c r="N1146" s="6">
        <f>IFERROR(__xludf.DUMMYFUNCTION("""COMPUTED_VALUE"""),11264.73)</f>
        <v/>
      </c>
      <c r="R1146" s="6">
        <f>S1146&amp;T1146</f>
        <v/>
      </c>
      <c r="S1146" s="6">
        <f>YEAR(U1146)</f>
        <v/>
      </c>
      <c r="T1146" s="6">
        <f>MONTH(U1146)</f>
        <v/>
      </c>
      <c r="U1146" s="267">
        <f>IFERROR(__xludf.DUMMYFUNCTION("""COMPUTED_VALUE"""),44802.6458333333)</f>
        <v/>
      </c>
      <c r="V1146" s="6">
        <f>IFERROR(__xludf.DUMMYFUNCTION("""COMPUTED_VALUE"""),2426.89)</f>
        <v/>
      </c>
      <c r="Z1146" s="6">
        <f>AA1146&amp;AB1146</f>
        <v/>
      </c>
      <c r="AA1146" s="6">
        <f>YEAR(AC1146)</f>
        <v/>
      </c>
      <c r="AB1146" s="6">
        <f>MONTH(AC1146)</f>
        <v/>
      </c>
      <c r="AC1146" s="267">
        <f>IFERROR(__xludf.DUMMYFUNCTION("""COMPUTED_VALUE"""),44291.9986111111)</f>
        <v/>
      </c>
      <c r="AD1146" s="6">
        <f>IFERROR(__xludf.DUMMYFUNCTION("""COMPUTED_VALUE"""),1124.11)</f>
        <v/>
      </c>
      <c r="AH1146" s="6">
        <f>AI1146&amp;AJ1146</f>
        <v/>
      </c>
      <c r="AI1146" s="6">
        <f>YEAR(AK1146)</f>
        <v/>
      </c>
      <c r="AJ1146" s="6">
        <f>MONTH(AK1146)</f>
        <v/>
      </c>
      <c r="AK1146" s="267">
        <f>IFERROR(__xludf.DUMMYFUNCTION("""COMPUTED_VALUE"""),44239.9986111111)</f>
        <v/>
      </c>
      <c r="AL1146" s="6">
        <f>IFERROR(__xludf.DUMMYFUNCTION("""COMPUTED_VALUE"""),47394.65)</f>
        <v/>
      </c>
      <c r="AP1146" s="6">
        <f>AQ1146&amp;AR1146</f>
        <v/>
      </c>
      <c r="AQ1146" s="6">
        <f>YEAR(AS1146)</f>
        <v/>
      </c>
      <c r="AR1146" s="6">
        <f>MONTH(AS1146)</f>
        <v/>
      </c>
      <c r="AS1146" s="267">
        <f>IFERROR(__xludf.DUMMYFUNCTION("""COMPUTED_VALUE"""),44769.9986111111)</f>
        <v/>
      </c>
      <c r="AT1146" s="6">
        <f>IFERROR(__xludf.DUMMYFUNCTION("""COMPUTED_VALUE"""),1737.5)</f>
        <v/>
      </c>
    </row>
    <row r="1147">
      <c r="B1147" s="6">
        <f>C1147&amp;D1147</f>
        <v/>
      </c>
      <c r="C1147" s="6">
        <f>YEAR(E1147)</f>
        <v/>
      </c>
      <c r="D1147" s="6">
        <f>MONTH(E1147)</f>
        <v/>
      </c>
      <c r="E1147" s="267">
        <f>IFERROR(__xludf.DUMMYFUNCTION("""COMPUTED_VALUE"""),44762.6666666666)</f>
        <v/>
      </c>
      <c r="F1147" s="6">
        <f>IFERROR(__xludf.DUMMYFUNCTION("""COMPUTED_VALUE"""),3959.9)</f>
        <v/>
      </c>
      <c r="J1147" s="6">
        <f>K1147&amp;L1147</f>
        <v/>
      </c>
      <c r="K1147" s="6">
        <f>YEAR(M1147)</f>
        <v/>
      </c>
      <c r="L1147" s="6">
        <f>MONTH(M1147)</f>
        <v/>
      </c>
      <c r="M1147" s="267">
        <f>IFERROR(__xludf.DUMMYFUNCTION("""COMPUTED_VALUE"""),44755.6666666666)</f>
        <v/>
      </c>
      <c r="N1147" s="6">
        <f>IFERROR(__xludf.DUMMYFUNCTION("""COMPUTED_VALUE"""),11247.58)</f>
        <v/>
      </c>
      <c r="R1147" s="6">
        <f>S1147&amp;T1147</f>
        <v/>
      </c>
      <c r="S1147" s="6">
        <f>YEAR(U1147)</f>
        <v/>
      </c>
      <c r="T1147" s="6">
        <f>MONTH(U1147)</f>
        <v/>
      </c>
      <c r="U1147" s="267">
        <f>IFERROR(__xludf.DUMMYFUNCTION("""COMPUTED_VALUE"""),44803.6458333333)</f>
        <v/>
      </c>
      <c r="V1147" s="6">
        <f>IFERROR(__xludf.DUMMYFUNCTION("""COMPUTED_VALUE"""),2450.93)</f>
        <v/>
      </c>
      <c r="Z1147" s="6">
        <f>AA1147&amp;AB1147</f>
        <v/>
      </c>
      <c r="AA1147" s="6">
        <f>YEAR(AC1147)</f>
        <v/>
      </c>
      <c r="AB1147" s="6">
        <f>MONTH(AC1147)</f>
        <v/>
      </c>
      <c r="AC1147" s="267">
        <f>IFERROR(__xludf.DUMMYFUNCTION("""COMPUTED_VALUE"""),44292.9986111111)</f>
        <v/>
      </c>
      <c r="AD1147" s="6">
        <f>IFERROR(__xludf.DUMMYFUNCTION("""COMPUTED_VALUE"""),1117.5)</f>
        <v/>
      </c>
      <c r="AH1147" s="6">
        <f>AI1147&amp;AJ1147</f>
        <v/>
      </c>
      <c r="AI1147" s="6">
        <f>YEAR(AK1147)</f>
        <v/>
      </c>
      <c r="AJ1147" s="6">
        <f>MONTH(AK1147)</f>
        <v/>
      </c>
      <c r="AK1147" s="267">
        <f>IFERROR(__xludf.DUMMYFUNCTION("""COMPUTED_VALUE"""),44240.9986111111)</f>
        <v/>
      </c>
      <c r="AL1147" s="6">
        <f>IFERROR(__xludf.DUMMYFUNCTION("""COMPUTED_VALUE"""),47169.87)</f>
        <v/>
      </c>
      <c r="AP1147" s="6">
        <f>AQ1147&amp;AR1147</f>
        <v/>
      </c>
      <c r="AQ1147" s="6">
        <f>YEAR(AS1147)</f>
        <v/>
      </c>
      <c r="AR1147" s="6">
        <f>MONTH(AS1147)</f>
        <v/>
      </c>
      <c r="AS1147" s="267">
        <f>IFERROR(__xludf.DUMMYFUNCTION("""COMPUTED_VALUE"""),44770.9986111111)</f>
        <v/>
      </c>
      <c r="AT1147" s="6">
        <f>IFERROR(__xludf.DUMMYFUNCTION("""COMPUTED_VALUE"""),1769.2)</f>
        <v/>
      </c>
    </row>
    <row r="1148">
      <c r="B1148" s="6">
        <f>C1148&amp;D1148</f>
        <v/>
      </c>
      <c r="C1148" s="6">
        <f>YEAR(E1148)</f>
        <v/>
      </c>
      <c r="D1148" s="6">
        <f>MONTH(E1148)</f>
        <v/>
      </c>
      <c r="E1148" s="267">
        <f>IFERROR(__xludf.DUMMYFUNCTION("""COMPUTED_VALUE"""),44763.6666666666)</f>
        <v/>
      </c>
      <c r="F1148" s="6">
        <f>IFERROR(__xludf.DUMMYFUNCTION("""COMPUTED_VALUE"""),3998.95)</f>
        <v/>
      </c>
      <c r="J1148" s="6">
        <f>K1148&amp;L1148</f>
        <v/>
      </c>
      <c r="K1148" s="6">
        <f>YEAR(M1148)</f>
        <v/>
      </c>
      <c r="L1148" s="6">
        <f>MONTH(M1148)</f>
        <v/>
      </c>
      <c r="M1148" s="267">
        <f>IFERROR(__xludf.DUMMYFUNCTION("""COMPUTED_VALUE"""),44756.6666666666)</f>
        <v/>
      </c>
      <c r="N1148" s="6">
        <f>IFERROR(__xludf.DUMMYFUNCTION("""COMPUTED_VALUE"""),11251.19)</f>
        <v/>
      </c>
      <c r="R1148" s="6">
        <f>S1148&amp;T1148</f>
        <v/>
      </c>
      <c r="S1148" s="6">
        <f>YEAR(U1148)</f>
        <v/>
      </c>
      <c r="T1148" s="6">
        <f>MONTH(U1148)</f>
        <v/>
      </c>
      <c r="U1148" s="267">
        <f>IFERROR(__xludf.DUMMYFUNCTION("""COMPUTED_VALUE"""),44804.6458333333)</f>
        <v/>
      </c>
      <c r="V1148" s="6">
        <f>IFERROR(__xludf.DUMMYFUNCTION("""COMPUTED_VALUE"""),2472.05)</f>
        <v/>
      </c>
      <c r="Z1148" s="6">
        <f>AA1148&amp;AB1148</f>
        <v/>
      </c>
      <c r="AA1148" s="6">
        <f>YEAR(AC1148)</f>
        <v/>
      </c>
      <c r="AB1148" s="6">
        <f>MONTH(AC1148)</f>
        <v/>
      </c>
      <c r="AC1148" s="267">
        <f>IFERROR(__xludf.DUMMYFUNCTION("""COMPUTED_VALUE"""),44293.9986111111)</f>
        <v/>
      </c>
      <c r="AD1148" s="6">
        <f>IFERROR(__xludf.DUMMYFUNCTION("""COMPUTED_VALUE"""),1117.86)</f>
        <v/>
      </c>
      <c r="AH1148" s="6">
        <f>AI1148&amp;AJ1148</f>
        <v/>
      </c>
      <c r="AI1148" s="6">
        <f>YEAR(AK1148)</f>
        <v/>
      </c>
      <c r="AJ1148" s="6">
        <f>MONTH(AK1148)</f>
        <v/>
      </c>
      <c r="AK1148" s="267">
        <f>IFERROR(__xludf.DUMMYFUNCTION("""COMPUTED_VALUE"""),44241.9986111111)</f>
        <v/>
      </c>
      <c r="AL1148" s="6">
        <f>IFERROR(__xludf.DUMMYFUNCTION("""COMPUTED_VALUE"""),48662.91)</f>
        <v/>
      </c>
      <c r="AP1148" s="6">
        <f>AQ1148&amp;AR1148</f>
        <v/>
      </c>
      <c r="AQ1148" s="6">
        <f>YEAR(AS1148)</f>
        <v/>
      </c>
      <c r="AR1148" s="6">
        <f>MONTH(AS1148)</f>
        <v/>
      </c>
      <c r="AS1148" s="267">
        <f>IFERROR(__xludf.DUMMYFUNCTION("""COMPUTED_VALUE"""),44771.9986111111)</f>
        <v/>
      </c>
      <c r="AT1148" s="6">
        <f>IFERROR(__xludf.DUMMYFUNCTION("""COMPUTED_VALUE"""),1781.8)</f>
        <v/>
      </c>
    </row>
    <row r="1149">
      <c r="B1149" s="6">
        <f>C1149&amp;D1149</f>
        <v/>
      </c>
      <c r="C1149" s="6">
        <f>YEAR(E1149)</f>
        <v/>
      </c>
      <c r="D1149" s="6">
        <f>MONTH(E1149)</f>
        <v/>
      </c>
      <c r="E1149" s="267">
        <f>IFERROR(__xludf.DUMMYFUNCTION("""COMPUTED_VALUE"""),44764.6666666666)</f>
        <v/>
      </c>
      <c r="F1149" s="6">
        <f>IFERROR(__xludf.DUMMYFUNCTION("""COMPUTED_VALUE"""),3961.63)</f>
        <v/>
      </c>
      <c r="J1149" s="6">
        <f>K1149&amp;L1149</f>
        <v/>
      </c>
      <c r="K1149" s="6">
        <f>YEAR(M1149)</f>
        <v/>
      </c>
      <c r="L1149" s="6">
        <f>MONTH(M1149)</f>
        <v/>
      </c>
      <c r="M1149" s="267">
        <f>IFERROR(__xludf.DUMMYFUNCTION("""COMPUTED_VALUE"""),44757.6666666666)</f>
        <v/>
      </c>
      <c r="N1149" s="6">
        <f>IFERROR(__xludf.DUMMYFUNCTION("""COMPUTED_VALUE"""),11452.42)</f>
        <v/>
      </c>
      <c r="R1149" s="6">
        <f>S1149&amp;T1149</f>
        <v/>
      </c>
      <c r="S1149" s="6">
        <f>YEAR(U1149)</f>
        <v/>
      </c>
      <c r="T1149" s="6">
        <f>MONTH(U1149)</f>
        <v/>
      </c>
      <c r="U1149" s="267">
        <f>IFERROR(__xludf.DUMMYFUNCTION("""COMPUTED_VALUE"""),44805.6458333333)</f>
        <v/>
      </c>
      <c r="V1149" s="6">
        <f>IFERROR(__xludf.DUMMYFUNCTION("""COMPUTED_VALUE"""),2415.61)</f>
        <v/>
      </c>
      <c r="Z1149" s="6">
        <f>AA1149&amp;AB1149</f>
        <v/>
      </c>
      <c r="AA1149" s="6">
        <f>YEAR(AC1149)</f>
        <v/>
      </c>
      <c r="AB1149" s="6">
        <f>MONTH(AC1149)</f>
        <v/>
      </c>
      <c r="AC1149" s="267">
        <f>IFERROR(__xludf.DUMMYFUNCTION("""COMPUTED_VALUE"""),44294.9986111111)</f>
        <v/>
      </c>
      <c r="AD1149" s="6">
        <f>IFERROR(__xludf.DUMMYFUNCTION("""COMPUTED_VALUE"""),1115.84)</f>
        <v/>
      </c>
      <c r="AH1149" s="6">
        <f>AI1149&amp;AJ1149</f>
        <v/>
      </c>
      <c r="AI1149" s="6">
        <f>YEAR(AK1149)</f>
        <v/>
      </c>
      <c r="AJ1149" s="6">
        <f>MONTH(AK1149)</f>
        <v/>
      </c>
      <c r="AK1149" s="267">
        <f>IFERROR(__xludf.DUMMYFUNCTION("""COMPUTED_VALUE"""),44242.9986111111)</f>
        <v/>
      </c>
      <c r="AL1149" s="6">
        <f>IFERROR(__xludf.DUMMYFUNCTION("""COMPUTED_VALUE"""),47924.53)</f>
        <v/>
      </c>
      <c r="AP1149" s="6">
        <f>AQ1149&amp;AR1149</f>
        <v/>
      </c>
      <c r="AQ1149" s="6">
        <f>YEAR(AS1149)</f>
        <v/>
      </c>
      <c r="AR1149" s="6">
        <f>MONTH(AS1149)</f>
        <v/>
      </c>
      <c r="AS1149" s="267">
        <f>IFERROR(__xludf.DUMMYFUNCTION("""COMPUTED_VALUE"""),44774.9986111111)</f>
        <v/>
      </c>
      <c r="AT1149" s="6">
        <f>IFERROR(__xludf.DUMMYFUNCTION("""COMPUTED_VALUE"""),1787.7)</f>
        <v/>
      </c>
    </row>
    <row r="1150">
      <c r="B1150" s="6">
        <f>C1150&amp;D1150</f>
        <v/>
      </c>
      <c r="C1150" s="6">
        <f>YEAR(E1150)</f>
        <v/>
      </c>
      <c r="D1150" s="6">
        <f>MONTH(E1150)</f>
        <v/>
      </c>
      <c r="E1150" s="267">
        <f>IFERROR(__xludf.DUMMYFUNCTION("""COMPUTED_VALUE"""),44767.6666666666)</f>
        <v/>
      </c>
      <c r="F1150" s="6">
        <f>IFERROR(__xludf.DUMMYFUNCTION("""COMPUTED_VALUE"""),3966.84)</f>
        <v/>
      </c>
      <c r="J1150" s="6">
        <f>K1150&amp;L1150</f>
        <v/>
      </c>
      <c r="K1150" s="6">
        <f>YEAR(M1150)</f>
        <v/>
      </c>
      <c r="L1150" s="6">
        <f>MONTH(M1150)</f>
        <v/>
      </c>
      <c r="M1150" s="267">
        <f>IFERROR(__xludf.DUMMYFUNCTION("""COMPUTED_VALUE"""),44760.6666666666)</f>
        <v/>
      </c>
      <c r="N1150" s="6">
        <f>IFERROR(__xludf.DUMMYFUNCTION("""COMPUTED_VALUE"""),11360.05)</f>
        <v/>
      </c>
      <c r="R1150" s="6">
        <f>S1150&amp;T1150</f>
        <v/>
      </c>
      <c r="S1150" s="6">
        <f>YEAR(U1150)</f>
        <v/>
      </c>
      <c r="T1150" s="6">
        <f>MONTH(U1150)</f>
        <v/>
      </c>
      <c r="U1150" s="267">
        <f>IFERROR(__xludf.DUMMYFUNCTION("""COMPUTED_VALUE"""),44806.6458333333)</f>
        <v/>
      </c>
      <c r="V1150" s="6">
        <f>IFERROR(__xludf.DUMMYFUNCTION("""COMPUTED_VALUE"""),2409.41)</f>
        <v/>
      </c>
      <c r="Z1150" s="6">
        <f>AA1150&amp;AB1150</f>
        <v/>
      </c>
      <c r="AA1150" s="6">
        <f>YEAR(AC1150)</f>
        <v/>
      </c>
      <c r="AB1150" s="6">
        <f>MONTH(AC1150)</f>
        <v/>
      </c>
      <c r="AC1150" s="267">
        <f>IFERROR(__xludf.DUMMYFUNCTION("""COMPUTED_VALUE"""),44295.9986111111)</f>
        <v/>
      </c>
      <c r="AD1150" s="6">
        <f>IFERROR(__xludf.DUMMYFUNCTION("""COMPUTED_VALUE"""),1120.02)</f>
        <v/>
      </c>
      <c r="AH1150" s="6">
        <f>AI1150&amp;AJ1150</f>
        <v/>
      </c>
      <c r="AI1150" s="6">
        <f>YEAR(AK1150)</f>
        <v/>
      </c>
      <c r="AJ1150" s="6">
        <f>MONTH(AK1150)</f>
        <v/>
      </c>
      <c r="AK1150" s="267">
        <f>IFERROR(__xludf.DUMMYFUNCTION("""COMPUTED_VALUE"""),44243.9986111111)</f>
        <v/>
      </c>
      <c r="AL1150" s="6">
        <f>IFERROR(__xludf.DUMMYFUNCTION("""COMPUTED_VALUE"""),49154.03)</f>
        <v/>
      </c>
      <c r="AP1150" s="6">
        <f>AQ1150&amp;AR1150</f>
        <v/>
      </c>
      <c r="AQ1150" s="6">
        <f>YEAR(AS1150)</f>
        <v/>
      </c>
      <c r="AR1150" s="6">
        <f>MONTH(AS1150)</f>
        <v/>
      </c>
      <c r="AS1150" s="267">
        <f>IFERROR(__xludf.DUMMYFUNCTION("""COMPUTED_VALUE"""),44775.9986111111)</f>
        <v/>
      </c>
      <c r="AT1150" s="6">
        <f>IFERROR(__xludf.DUMMYFUNCTION("""COMPUTED_VALUE"""),1789.7)</f>
        <v/>
      </c>
    </row>
    <row r="1151">
      <c r="B1151" s="6">
        <f>C1151&amp;D1151</f>
        <v/>
      </c>
      <c r="C1151" s="6">
        <f>YEAR(E1151)</f>
        <v/>
      </c>
      <c r="D1151" s="6">
        <f>MONTH(E1151)</f>
        <v/>
      </c>
      <c r="E1151" s="267">
        <f>IFERROR(__xludf.DUMMYFUNCTION("""COMPUTED_VALUE"""),44768.6666666666)</f>
        <v/>
      </c>
      <c r="F1151" s="6">
        <f>IFERROR(__xludf.DUMMYFUNCTION("""COMPUTED_VALUE"""),3921.05)</f>
        <v/>
      </c>
      <c r="J1151" s="6">
        <f>K1151&amp;L1151</f>
        <v/>
      </c>
      <c r="K1151" s="6">
        <f>YEAR(M1151)</f>
        <v/>
      </c>
      <c r="L1151" s="6">
        <f>MONTH(M1151)</f>
        <v/>
      </c>
      <c r="M1151" s="267">
        <f>IFERROR(__xludf.DUMMYFUNCTION("""COMPUTED_VALUE"""),44761.6666666666)</f>
        <v/>
      </c>
      <c r="N1151" s="6">
        <f>IFERROR(__xludf.DUMMYFUNCTION("""COMPUTED_VALUE"""),11713.15)</f>
        <v/>
      </c>
      <c r="R1151" s="6">
        <f>S1151&amp;T1151</f>
        <v/>
      </c>
      <c r="S1151" s="6">
        <f>YEAR(U1151)</f>
        <v/>
      </c>
      <c r="T1151" s="6">
        <f>MONTH(U1151)</f>
        <v/>
      </c>
      <c r="U1151" s="267">
        <f>IFERROR(__xludf.DUMMYFUNCTION("""COMPUTED_VALUE"""),44809.6458333333)</f>
        <v/>
      </c>
      <c r="V1151" s="6">
        <f>IFERROR(__xludf.DUMMYFUNCTION("""COMPUTED_VALUE"""),2403.68)</f>
        <v/>
      </c>
      <c r="Z1151" s="6">
        <f>AA1151&amp;AB1151</f>
        <v/>
      </c>
      <c r="AA1151" s="6">
        <f>YEAR(AC1151)</f>
        <v/>
      </c>
      <c r="AB1151" s="6">
        <f>MONTH(AC1151)</f>
        <v/>
      </c>
      <c r="AC1151" s="267">
        <f>IFERROR(__xludf.DUMMYFUNCTION("""COMPUTED_VALUE"""),44296.9986111111)</f>
        <v/>
      </c>
      <c r="AD1151" s="6">
        <f>IFERROR(__xludf.DUMMYFUNCTION("""COMPUTED_VALUE"""),1120)</f>
        <v/>
      </c>
      <c r="AH1151" s="6">
        <f>AI1151&amp;AJ1151</f>
        <v/>
      </c>
      <c r="AI1151" s="6">
        <f>YEAR(AK1151)</f>
        <v/>
      </c>
      <c r="AJ1151" s="6">
        <f>MONTH(AK1151)</f>
        <v/>
      </c>
      <c r="AK1151" s="267">
        <f>IFERROR(__xludf.DUMMYFUNCTION("""COMPUTED_VALUE"""),44244.9986111111)</f>
        <v/>
      </c>
      <c r="AL1151" s="6">
        <f>IFERROR(__xludf.DUMMYFUNCTION("""COMPUTED_VALUE"""),52115.98)</f>
        <v/>
      </c>
      <c r="AP1151" s="6">
        <f>AQ1151&amp;AR1151</f>
        <v/>
      </c>
      <c r="AQ1151" s="6">
        <f>YEAR(AS1151)</f>
        <v/>
      </c>
      <c r="AR1151" s="6">
        <f>MONTH(AS1151)</f>
        <v/>
      </c>
      <c r="AS1151" s="267">
        <f>IFERROR(__xludf.DUMMYFUNCTION("""COMPUTED_VALUE"""),44776.9986111111)</f>
        <v/>
      </c>
      <c r="AT1151" s="6">
        <f>IFERROR(__xludf.DUMMYFUNCTION("""COMPUTED_VALUE"""),1776.4)</f>
        <v/>
      </c>
    </row>
    <row r="1152">
      <c r="B1152" s="6">
        <f>C1152&amp;D1152</f>
        <v/>
      </c>
      <c r="C1152" s="6">
        <f>YEAR(E1152)</f>
        <v/>
      </c>
      <c r="D1152" s="6">
        <f>MONTH(E1152)</f>
        <v/>
      </c>
      <c r="E1152" s="267">
        <f>IFERROR(__xludf.DUMMYFUNCTION("""COMPUTED_VALUE"""),44769.6666666666)</f>
        <v/>
      </c>
      <c r="F1152" s="6">
        <f>IFERROR(__xludf.DUMMYFUNCTION("""COMPUTED_VALUE"""),4023.61)</f>
        <v/>
      </c>
      <c r="J1152" s="6">
        <f>K1152&amp;L1152</f>
        <v/>
      </c>
      <c r="K1152" s="6">
        <f>YEAR(M1152)</f>
        <v/>
      </c>
      <c r="L1152" s="6">
        <f>MONTH(M1152)</f>
        <v/>
      </c>
      <c r="M1152" s="267">
        <f>IFERROR(__xludf.DUMMYFUNCTION("""COMPUTED_VALUE"""),44762.6666666666)</f>
        <v/>
      </c>
      <c r="N1152" s="6">
        <f>IFERROR(__xludf.DUMMYFUNCTION("""COMPUTED_VALUE"""),11897.65)</f>
        <v/>
      </c>
      <c r="R1152" s="6">
        <f>S1152&amp;T1152</f>
        <v/>
      </c>
      <c r="S1152" s="6">
        <f>YEAR(U1152)</f>
        <v/>
      </c>
      <c r="T1152" s="6">
        <f>MONTH(U1152)</f>
        <v/>
      </c>
      <c r="U1152" s="267">
        <f>IFERROR(__xludf.DUMMYFUNCTION("""COMPUTED_VALUE"""),44810.6458333333)</f>
        <v/>
      </c>
      <c r="V1152" s="6">
        <f>IFERROR(__xludf.DUMMYFUNCTION("""COMPUTED_VALUE"""),2410.02)</f>
        <v/>
      </c>
      <c r="Z1152" s="6">
        <f>AA1152&amp;AB1152</f>
        <v/>
      </c>
      <c r="AA1152" s="6">
        <f>YEAR(AC1152)</f>
        <v/>
      </c>
      <c r="AB1152" s="6">
        <f>MONTH(AC1152)</f>
        <v/>
      </c>
      <c r="AC1152" s="267">
        <f>IFERROR(__xludf.DUMMYFUNCTION("""COMPUTED_VALUE"""),44297.9986111111)</f>
        <v/>
      </c>
      <c r="AD1152" s="6">
        <f>IFERROR(__xludf.DUMMYFUNCTION("""COMPUTED_VALUE"""),1122.06)</f>
        <v/>
      </c>
      <c r="AH1152" s="6">
        <f>AI1152&amp;AJ1152</f>
        <v/>
      </c>
      <c r="AI1152" s="6">
        <f>YEAR(AK1152)</f>
        <v/>
      </c>
      <c r="AJ1152" s="6">
        <f>MONTH(AK1152)</f>
        <v/>
      </c>
      <c r="AK1152" s="267">
        <f>IFERROR(__xludf.DUMMYFUNCTION("""COMPUTED_VALUE"""),44245.9986111111)</f>
        <v/>
      </c>
      <c r="AL1152" s="6">
        <f>IFERROR(__xludf.DUMMYFUNCTION("""COMPUTED_VALUE"""),51604.23)</f>
        <v/>
      </c>
      <c r="AP1152" s="6">
        <f>AQ1152&amp;AR1152</f>
        <v/>
      </c>
      <c r="AQ1152" s="6">
        <f>YEAR(AS1152)</f>
        <v/>
      </c>
      <c r="AR1152" s="6">
        <f>MONTH(AS1152)</f>
        <v/>
      </c>
      <c r="AS1152" s="267">
        <f>IFERROR(__xludf.DUMMYFUNCTION("""COMPUTED_VALUE"""),44777.9986111111)</f>
        <v/>
      </c>
      <c r="AT1152" s="6">
        <f>IFERROR(__xludf.DUMMYFUNCTION("""COMPUTED_VALUE"""),1806.9)</f>
        <v/>
      </c>
    </row>
    <row r="1153">
      <c r="B1153" s="6">
        <f>C1153&amp;D1153</f>
        <v/>
      </c>
      <c r="C1153" s="6">
        <f>YEAR(E1153)</f>
        <v/>
      </c>
      <c r="D1153" s="6">
        <f>MONTH(E1153)</f>
        <v/>
      </c>
      <c r="E1153" s="267">
        <f>IFERROR(__xludf.DUMMYFUNCTION("""COMPUTED_VALUE"""),44770.6666666666)</f>
        <v/>
      </c>
      <c r="F1153" s="6">
        <f>IFERROR(__xludf.DUMMYFUNCTION("""COMPUTED_VALUE"""),4072.43)</f>
        <v/>
      </c>
      <c r="J1153" s="6">
        <f>K1153&amp;L1153</f>
        <v/>
      </c>
      <c r="K1153" s="6">
        <f>YEAR(M1153)</f>
        <v/>
      </c>
      <c r="L1153" s="6">
        <f>MONTH(M1153)</f>
        <v/>
      </c>
      <c r="M1153" s="267">
        <f>IFERROR(__xludf.DUMMYFUNCTION("""COMPUTED_VALUE"""),44763.6666666666)</f>
        <v/>
      </c>
      <c r="N1153" s="6">
        <f>IFERROR(__xludf.DUMMYFUNCTION("""COMPUTED_VALUE"""),12059.61)</f>
        <v/>
      </c>
      <c r="R1153" s="6">
        <f>S1153&amp;T1153</f>
        <v/>
      </c>
      <c r="S1153" s="6">
        <f>YEAR(U1153)</f>
        <v/>
      </c>
      <c r="T1153" s="6">
        <f>MONTH(U1153)</f>
        <v/>
      </c>
      <c r="U1153" s="267">
        <f>IFERROR(__xludf.DUMMYFUNCTION("""COMPUTED_VALUE"""),44811.6458333333)</f>
        <v/>
      </c>
      <c r="V1153" s="6">
        <f>IFERROR(__xludf.DUMMYFUNCTION("""COMPUTED_VALUE"""),2376.46)</f>
        <v/>
      </c>
      <c r="Z1153" s="6">
        <f>AA1153&amp;AB1153</f>
        <v/>
      </c>
      <c r="AA1153" s="6">
        <f>YEAR(AC1153)</f>
        <v/>
      </c>
      <c r="AB1153" s="6">
        <f>MONTH(AC1153)</f>
        <v/>
      </c>
      <c r="AC1153" s="267">
        <f>IFERROR(__xludf.DUMMYFUNCTION("""COMPUTED_VALUE"""),44298.9986111111)</f>
        <v/>
      </c>
      <c r="AD1153" s="6">
        <f>IFERROR(__xludf.DUMMYFUNCTION("""COMPUTED_VALUE"""),1124.45)</f>
        <v/>
      </c>
      <c r="AH1153" s="6">
        <f>AI1153&amp;AJ1153</f>
        <v/>
      </c>
      <c r="AI1153" s="6">
        <f>YEAR(AK1153)</f>
        <v/>
      </c>
      <c r="AJ1153" s="6">
        <f>MONTH(AK1153)</f>
        <v/>
      </c>
      <c r="AK1153" s="267">
        <f>IFERROR(__xludf.DUMMYFUNCTION("""COMPUTED_VALUE"""),44246.9986111111)</f>
        <v/>
      </c>
      <c r="AL1153" s="6">
        <f>IFERROR(__xludf.DUMMYFUNCTION("""COMPUTED_VALUE"""),55905.4)</f>
        <v/>
      </c>
      <c r="AP1153" s="6">
        <f>AQ1153&amp;AR1153</f>
        <v/>
      </c>
      <c r="AQ1153" s="6">
        <f>YEAR(AS1153)</f>
        <v/>
      </c>
      <c r="AR1153" s="6">
        <f>MONTH(AS1153)</f>
        <v/>
      </c>
      <c r="AS1153" s="267">
        <f>IFERROR(__xludf.DUMMYFUNCTION("""COMPUTED_VALUE"""),44778.9986111111)</f>
        <v/>
      </c>
      <c r="AT1153" s="6">
        <f>IFERROR(__xludf.DUMMYFUNCTION("""COMPUTED_VALUE"""),1791.2)</f>
        <v/>
      </c>
    </row>
    <row r="1154">
      <c r="B1154" s="6">
        <f>C1154&amp;D1154</f>
        <v/>
      </c>
      <c r="C1154" s="6">
        <f>YEAR(E1154)</f>
        <v/>
      </c>
      <c r="D1154" s="6">
        <f>MONTH(E1154)</f>
        <v/>
      </c>
      <c r="E1154" s="267">
        <f>IFERROR(__xludf.DUMMYFUNCTION("""COMPUTED_VALUE"""),44771.6666666666)</f>
        <v/>
      </c>
      <c r="F1154" s="6">
        <f>IFERROR(__xludf.DUMMYFUNCTION("""COMPUTED_VALUE"""),4130.29)</f>
        <v/>
      </c>
      <c r="J1154" s="6">
        <f>K1154&amp;L1154</f>
        <v/>
      </c>
      <c r="K1154" s="6">
        <f>YEAR(M1154)</f>
        <v/>
      </c>
      <c r="L1154" s="6">
        <f>MONTH(M1154)</f>
        <v/>
      </c>
      <c r="M1154" s="267">
        <f>IFERROR(__xludf.DUMMYFUNCTION("""COMPUTED_VALUE"""),44764.6666666666)</f>
        <v/>
      </c>
      <c r="N1154" s="6">
        <f>IFERROR(__xludf.DUMMYFUNCTION("""COMPUTED_VALUE"""),11834.11)</f>
        <v/>
      </c>
      <c r="R1154" s="6">
        <f>S1154&amp;T1154</f>
        <v/>
      </c>
      <c r="S1154" s="6">
        <f>YEAR(U1154)</f>
        <v/>
      </c>
      <c r="T1154" s="6">
        <f>MONTH(U1154)</f>
        <v/>
      </c>
      <c r="U1154" s="267">
        <f>IFERROR(__xludf.DUMMYFUNCTION("""COMPUTED_VALUE"""),44812.6458333333)</f>
        <v/>
      </c>
      <c r="V1154" s="6">
        <f>IFERROR(__xludf.DUMMYFUNCTION("""COMPUTED_VALUE"""),2384.28)</f>
        <v/>
      </c>
      <c r="Z1154" s="6">
        <f>AA1154&amp;AB1154</f>
        <v/>
      </c>
      <c r="AA1154" s="6">
        <f>YEAR(AC1154)</f>
        <v/>
      </c>
      <c r="AB1154" s="6">
        <f>MONTH(AC1154)</f>
        <v/>
      </c>
      <c r="AC1154" s="267">
        <f>IFERROR(__xludf.DUMMYFUNCTION("""COMPUTED_VALUE"""),44299.9986111111)</f>
        <v/>
      </c>
      <c r="AD1154" s="6">
        <f>IFERROR(__xludf.DUMMYFUNCTION("""COMPUTED_VALUE"""),1120.69)</f>
        <v/>
      </c>
      <c r="AH1154" s="6">
        <f>AI1154&amp;AJ1154</f>
        <v/>
      </c>
      <c r="AI1154" s="6">
        <f>YEAR(AK1154)</f>
        <v/>
      </c>
      <c r="AJ1154" s="6">
        <f>MONTH(AK1154)</f>
        <v/>
      </c>
      <c r="AK1154" s="267">
        <f>IFERROR(__xludf.DUMMYFUNCTION("""COMPUTED_VALUE"""),44247.9986111111)</f>
        <v/>
      </c>
      <c r="AL1154" s="6">
        <f>IFERROR(__xludf.DUMMYFUNCTION("""COMPUTED_VALUE"""),55936.8)</f>
        <v/>
      </c>
      <c r="AP1154" s="6">
        <f>AQ1154&amp;AR1154</f>
        <v/>
      </c>
      <c r="AQ1154" s="6">
        <f>YEAR(AS1154)</f>
        <v/>
      </c>
      <c r="AR1154" s="6">
        <f>MONTH(AS1154)</f>
        <v/>
      </c>
      <c r="AS1154" s="267">
        <f>IFERROR(__xludf.DUMMYFUNCTION("""COMPUTED_VALUE"""),44781.9986111111)</f>
        <v/>
      </c>
      <c r="AT1154" s="6">
        <f>IFERROR(__xludf.DUMMYFUNCTION("""COMPUTED_VALUE"""),1805.2)</f>
        <v/>
      </c>
    </row>
    <row r="1155">
      <c r="B1155" s="6">
        <f>C1155&amp;D1155</f>
        <v/>
      </c>
      <c r="C1155" s="6">
        <f>YEAR(E1155)</f>
        <v/>
      </c>
      <c r="D1155" s="6">
        <f>MONTH(E1155)</f>
        <v/>
      </c>
      <c r="E1155" s="267">
        <f>IFERROR(__xludf.DUMMYFUNCTION("""COMPUTED_VALUE"""),44774.6666666666)</f>
        <v/>
      </c>
      <c r="F1155" s="6">
        <f>IFERROR(__xludf.DUMMYFUNCTION("""COMPUTED_VALUE"""),4118.63)</f>
        <v/>
      </c>
      <c r="J1155" s="6">
        <f>K1155&amp;L1155</f>
        <v/>
      </c>
      <c r="K1155" s="6">
        <f>YEAR(M1155)</f>
        <v/>
      </c>
      <c r="L1155" s="6">
        <f>MONTH(M1155)</f>
        <v/>
      </c>
      <c r="M1155" s="267">
        <f>IFERROR(__xludf.DUMMYFUNCTION("""COMPUTED_VALUE"""),44767.6666666666)</f>
        <v/>
      </c>
      <c r="N1155" s="6">
        <f>IFERROR(__xludf.DUMMYFUNCTION("""COMPUTED_VALUE"""),11782.67)</f>
        <v/>
      </c>
      <c r="R1155" s="6">
        <f>S1155&amp;T1155</f>
        <v/>
      </c>
      <c r="S1155" s="6">
        <f>YEAR(U1155)</f>
        <v/>
      </c>
      <c r="T1155" s="6">
        <f>MONTH(U1155)</f>
        <v/>
      </c>
      <c r="U1155" s="267">
        <f>IFERROR(__xludf.DUMMYFUNCTION("""COMPUTED_VALUE"""),44817.6458333333)</f>
        <v/>
      </c>
      <c r="V1155" s="6">
        <f>IFERROR(__xludf.DUMMYFUNCTION("""COMPUTED_VALUE"""),2449.54)</f>
        <v/>
      </c>
      <c r="Z1155" s="6">
        <f>AA1155&amp;AB1155</f>
        <v/>
      </c>
      <c r="AA1155" s="6">
        <f>YEAR(AC1155)</f>
        <v/>
      </c>
      <c r="AB1155" s="6">
        <f>MONTH(AC1155)</f>
        <v/>
      </c>
      <c r="AC1155" s="267">
        <f>IFERROR(__xludf.DUMMYFUNCTION("""COMPUTED_VALUE"""),44300.9986111111)</f>
        <v/>
      </c>
      <c r="AD1155" s="6">
        <f>IFERROR(__xludf.DUMMYFUNCTION("""COMPUTED_VALUE"""),1116.11)</f>
        <v/>
      </c>
      <c r="AH1155" s="6">
        <f>AI1155&amp;AJ1155</f>
        <v/>
      </c>
      <c r="AI1155" s="6">
        <f>YEAR(AK1155)</f>
        <v/>
      </c>
      <c r="AJ1155" s="6">
        <f>MONTH(AK1155)</f>
        <v/>
      </c>
      <c r="AK1155" s="267">
        <f>IFERROR(__xludf.DUMMYFUNCTION("""COMPUTED_VALUE"""),44248.9986111111)</f>
        <v/>
      </c>
      <c r="AL1155" s="6">
        <f>IFERROR(__xludf.DUMMYFUNCTION("""COMPUTED_VALUE"""),57443.79)</f>
        <v/>
      </c>
      <c r="AP1155" s="6">
        <f>AQ1155&amp;AR1155</f>
        <v/>
      </c>
      <c r="AQ1155" s="6">
        <f>YEAR(AS1155)</f>
        <v/>
      </c>
      <c r="AR1155" s="6">
        <f>MONTH(AS1155)</f>
        <v/>
      </c>
      <c r="AS1155" s="267">
        <f>IFERROR(__xludf.DUMMYFUNCTION("""COMPUTED_VALUE"""),44782.9986111111)</f>
        <v/>
      </c>
      <c r="AT1155" s="6">
        <f>IFERROR(__xludf.DUMMYFUNCTION("""COMPUTED_VALUE"""),1812.3)</f>
        <v/>
      </c>
    </row>
    <row r="1156">
      <c r="B1156" s="6">
        <f>C1156&amp;D1156</f>
        <v/>
      </c>
      <c r="C1156" s="6">
        <f>YEAR(E1156)</f>
        <v/>
      </c>
      <c r="D1156" s="6">
        <f>MONTH(E1156)</f>
        <v/>
      </c>
      <c r="E1156" s="267">
        <f>IFERROR(__xludf.DUMMYFUNCTION("""COMPUTED_VALUE"""),44775.6666666666)</f>
        <v/>
      </c>
      <c r="F1156" s="6">
        <f>IFERROR(__xludf.DUMMYFUNCTION("""COMPUTED_VALUE"""),4091.19)</f>
        <v/>
      </c>
      <c r="J1156" s="6">
        <f>K1156&amp;L1156</f>
        <v/>
      </c>
      <c r="K1156" s="6">
        <f>YEAR(M1156)</f>
        <v/>
      </c>
      <c r="L1156" s="6">
        <f>MONTH(M1156)</f>
        <v/>
      </c>
      <c r="M1156" s="267">
        <f>IFERROR(__xludf.DUMMYFUNCTION("""COMPUTED_VALUE"""),44768.6666666666)</f>
        <v/>
      </c>
      <c r="N1156" s="6">
        <f>IFERROR(__xludf.DUMMYFUNCTION("""COMPUTED_VALUE"""),11562.58)</f>
        <v/>
      </c>
      <c r="R1156" s="6">
        <f>S1156&amp;T1156</f>
        <v/>
      </c>
      <c r="S1156" s="6">
        <f>YEAR(U1156)</f>
        <v/>
      </c>
      <c r="T1156" s="6">
        <f>MONTH(U1156)</f>
        <v/>
      </c>
      <c r="U1156" s="267">
        <f>IFERROR(__xludf.DUMMYFUNCTION("""COMPUTED_VALUE"""),44818.6458333333)</f>
        <v/>
      </c>
      <c r="V1156" s="6">
        <f>IFERROR(__xludf.DUMMYFUNCTION("""COMPUTED_VALUE"""),2411.42)</f>
        <v/>
      </c>
      <c r="Z1156" s="6">
        <f>AA1156&amp;AB1156</f>
        <v/>
      </c>
      <c r="AA1156" s="6">
        <f>YEAR(AC1156)</f>
        <v/>
      </c>
      <c r="AB1156" s="6">
        <f>MONTH(AC1156)</f>
        <v/>
      </c>
      <c r="AC1156" s="267">
        <f>IFERROR(__xludf.DUMMYFUNCTION("""COMPUTED_VALUE"""),44301.9986111111)</f>
        <v/>
      </c>
      <c r="AD1156" s="6">
        <f>IFERROR(__xludf.DUMMYFUNCTION("""COMPUTED_VALUE"""),1115.67)</f>
        <v/>
      </c>
      <c r="AH1156" s="6">
        <f>AI1156&amp;AJ1156</f>
        <v/>
      </c>
      <c r="AI1156" s="6">
        <f>YEAR(AK1156)</f>
        <v/>
      </c>
      <c r="AJ1156" s="6">
        <f>MONTH(AK1156)</f>
        <v/>
      </c>
      <c r="AK1156" s="267">
        <f>IFERROR(__xludf.DUMMYFUNCTION("""COMPUTED_VALUE"""),44249.9986111111)</f>
        <v/>
      </c>
      <c r="AL1156" s="6">
        <f>IFERROR(__xludf.DUMMYFUNCTION("""COMPUTED_VALUE"""),54104.16)</f>
        <v/>
      </c>
      <c r="AP1156" s="6">
        <f>AQ1156&amp;AR1156</f>
        <v/>
      </c>
      <c r="AQ1156" s="6">
        <f>YEAR(AS1156)</f>
        <v/>
      </c>
      <c r="AR1156" s="6">
        <f>MONTH(AS1156)</f>
        <v/>
      </c>
      <c r="AS1156" s="267">
        <f>IFERROR(__xludf.DUMMYFUNCTION("""COMPUTED_VALUE"""),44783.9986111111)</f>
        <v/>
      </c>
      <c r="AT1156" s="6">
        <f>IFERROR(__xludf.DUMMYFUNCTION("""COMPUTED_VALUE"""),1813.7)</f>
        <v/>
      </c>
    </row>
    <row r="1157">
      <c r="B1157" s="6">
        <f>C1157&amp;D1157</f>
        <v/>
      </c>
      <c r="C1157" s="6">
        <f>YEAR(E1157)</f>
        <v/>
      </c>
      <c r="D1157" s="6">
        <f>MONTH(E1157)</f>
        <v/>
      </c>
      <c r="E1157" s="267">
        <f>IFERROR(__xludf.DUMMYFUNCTION("""COMPUTED_VALUE"""),44776.6666666666)</f>
        <v/>
      </c>
      <c r="F1157" s="6">
        <f>IFERROR(__xludf.DUMMYFUNCTION("""COMPUTED_VALUE"""),4155.17)</f>
        <v/>
      </c>
      <c r="J1157" s="6">
        <f>K1157&amp;L1157</f>
        <v/>
      </c>
      <c r="K1157" s="6">
        <f>YEAR(M1157)</f>
        <v/>
      </c>
      <c r="L1157" s="6">
        <f>MONTH(M1157)</f>
        <v/>
      </c>
      <c r="M1157" s="267">
        <f>IFERROR(__xludf.DUMMYFUNCTION("""COMPUTED_VALUE"""),44769.6666666666)</f>
        <v/>
      </c>
      <c r="N1157" s="6">
        <f>IFERROR(__xludf.DUMMYFUNCTION("""COMPUTED_VALUE"""),12032.42)</f>
        <v/>
      </c>
      <c r="R1157" s="6">
        <f>S1157&amp;T1157</f>
        <v/>
      </c>
      <c r="S1157" s="6">
        <f>YEAR(U1157)</f>
        <v/>
      </c>
      <c r="T1157" s="6">
        <f>MONTH(U1157)</f>
        <v/>
      </c>
      <c r="U1157" s="267">
        <f>IFERROR(__xludf.DUMMYFUNCTION("""COMPUTED_VALUE"""),44819.6458333333)</f>
        <v/>
      </c>
      <c r="V1157" s="6">
        <f>IFERROR(__xludf.DUMMYFUNCTION("""COMPUTED_VALUE"""),2401.83)</f>
        <v/>
      </c>
      <c r="Z1157" s="6">
        <f>AA1157&amp;AB1157</f>
        <v/>
      </c>
      <c r="AA1157" s="6">
        <f>YEAR(AC1157)</f>
        <v/>
      </c>
      <c r="AB1157" s="6">
        <f>MONTH(AC1157)</f>
        <v/>
      </c>
      <c r="AC1157" s="267">
        <f>IFERROR(__xludf.DUMMYFUNCTION("""COMPUTED_VALUE"""),44302.9986111111)</f>
        <v/>
      </c>
      <c r="AD1157" s="6">
        <f>IFERROR(__xludf.DUMMYFUNCTION("""COMPUTED_VALUE"""),1115.34)</f>
        <v/>
      </c>
      <c r="AH1157" s="6">
        <f>AI1157&amp;AJ1157</f>
        <v/>
      </c>
      <c r="AI1157" s="6">
        <f>YEAR(AK1157)</f>
        <v/>
      </c>
      <c r="AJ1157" s="6">
        <f>MONTH(AK1157)</f>
        <v/>
      </c>
      <c r="AK1157" s="267">
        <f>IFERROR(__xludf.DUMMYFUNCTION("""COMPUTED_VALUE"""),44250.9986111111)</f>
        <v/>
      </c>
      <c r="AL1157" s="6">
        <f>IFERROR(__xludf.DUMMYFUNCTION("""COMPUTED_VALUE"""),48894.62)</f>
        <v/>
      </c>
      <c r="AP1157" s="6">
        <f>AQ1157&amp;AR1157</f>
        <v/>
      </c>
      <c r="AQ1157" s="6">
        <f>YEAR(AS1157)</f>
        <v/>
      </c>
      <c r="AR1157" s="6">
        <f>MONTH(AS1157)</f>
        <v/>
      </c>
      <c r="AS1157" s="267">
        <f>IFERROR(__xludf.DUMMYFUNCTION("""COMPUTED_VALUE"""),44784.9986111111)</f>
        <v/>
      </c>
      <c r="AT1157" s="6">
        <f>IFERROR(__xludf.DUMMYFUNCTION("""COMPUTED_VALUE"""),1807.2)</f>
        <v/>
      </c>
    </row>
    <row r="1158">
      <c r="B1158" s="6">
        <f>C1158&amp;D1158</f>
        <v/>
      </c>
      <c r="C1158" s="6">
        <f>YEAR(E1158)</f>
        <v/>
      </c>
      <c r="D1158" s="6">
        <f>MONTH(E1158)</f>
        <v/>
      </c>
      <c r="E1158" s="267">
        <f>IFERROR(__xludf.DUMMYFUNCTION("""COMPUTED_VALUE"""),44777.6666666666)</f>
        <v/>
      </c>
      <c r="F1158" s="6">
        <f>IFERROR(__xludf.DUMMYFUNCTION("""COMPUTED_VALUE"""),4151.94)</f>
        <v/>
      </c>
      <c r="J1158" s="6">
        <f>K1158&amp;L1158</f>
        <v/>
      </c>
      <c r="K1158" s="6">
        <f>YEAR(M1158)</f>
        <v/>
      </c>
      <c r="L1158" s="6">
        <f>MONTH(M1158)</f>
        <v/>
      </c>
      <c r="M1158" s="267">
        <f>IFERROR(__xludf.DUMMYFUNCTION("""COMPUTED_VALUE"""),44770.6666666666)</f>
        <v/>
      </c>
      <c r="N1158" s="6">
        <f>IFERROR(__xludf.DUMMYFUNCTION("""COMPUTED_VALUE"""),12162.59)</f>
        <v/>
      </c>
      <c r="R1158" s="6">
        <f>S1158&amp;T1158</f>
        <v/>
      </c>
      <c r="S1158" s="6">
        <f>YEAR(U1158)</f>
        <v/>
      </c>
      <c r="T1158" s="6">
        <f>MONTH(U1158)</f>
        <v/>
      </c>
      <c r="U1158" s="267">
        <f>IFERROR(__xludf.DUMMYFUNCTION("""COMPUTED_VALUE"""),44820.6458333333)</f>
        <v/>
      </c>
      <c r="V1158" s="6">
        <f>IFERROR(__xludf.DUMMYFUNCTION("""COMPUTED_VALUE"""),2382.78)</f>
        <v/>
      </c>
      <c r="Z1158" s="6">
        <f>AA1158&amp;AB1158</f>
        <v/>
      </c>
      <c r="AA1158" s="6">
        <f>YEAR(AC1158)</f>
        <v/>
      </c>
      <c r="AB1158" s="6">
        <f>MONTH(AC1158)</f>
        <v/>
      </c>
      <c r="AC1158" s="267">
        <f>IFERROR(__xludf.DUMMYFUNCTION("""COMPUTED_VALUE"""),44303.9986111111)</f>
        <v/>
      </c>
      <c r="AD1158" s="6">
        <f>IFERROR(__xludf.DUMMYFUNCTION("""COMPUTED_VALUE"""),1114.65)</f>
        <v/>
      </c>
      <c r="AH1158" s="6">
        <f>AI1158&amp;AJ1158</f>
        <v/>
      </c>
      <c r="AI1158" s="6">
        <f>YEAR(AK1158)</f>
        <v/>
      </c>
      <c r="AJ1158" s="6">
        <f>MONTH(AK1158)</f>
        <v/>
      </c>
      <c r="AK1158" s="267">
        <f>IFERROR(__xludf.DUMMYFUNCTION("""COMPUTED_VALUE"""),44251.9986111111)</f>
        <v/>
      </c>
      <c r="AL1158" s="6">
        <f>IFERROR(__xludf.DUMMYFUNCTION("""COMPUTED_VALUE"""),49699.13)</f>
        <v/>
      </c>
      <c r="AP1158" s="6">
        <f>AQ1158&amp;AR1158</f>
        <v/>
      </c>
      <c r="AQ1158" s="6">
        <f>YEAR(AS1158)</f>
        <v/>
      </c>
      <c r="AR1158" s="6">
        <f>MONTH(AS1158)</f>
        <v/>
      </c>
      <c r="AS1158" s="267">
        <f>IFERROR(__xludf.DUMMYFUNCTION("""COMPUTED_VALUE"""),44785.9986111111)</f>
        <v/>
      </c>
      <c r="AT1158" s="6">
        <f>IFERROR(__xludf.DUMMYFUNCTION("""COMPUTED_VALUE"""),1815.5)</f>
        <v/>
      </c>
    </row>
    <row r="1159">
      <c r="B1159" s="6">
        <f>C1159&amp;D1159</f>
        <v/>
      </c>
      <c r="C1159" s="6">
        <f>YEAR(E1159)</f>
        <v/>
      </c>
      <c r="D1159" s="6">
        <f>MONTH(E1159)</f>
        <v/>
      </c>
      <c r="E1159" s="267">
        <f>IFERROR(__xludf.DUMMYFUNCTION("""COMPUTED_VALUE"""),44778.6666666666)</f>
        <v/>
      </c>
      <c r="F1159" s="6">
        <f>IFERROR(__xludf.DUMMYFUNCTION("""COMPUTED_VALUE"""),4145.19)</f>
        <v/>
      </c>
      <c r="J1159" s="6">
        <f>K1159&amp;L1159</f>
        <v/>
      </c>
      <c r="K1159" s="6">
        <f>YEAR(M1159)</f>
        <v/>
      </c>
      <c r="L1159" s="6">
        <f>MONTH(M1159)</f>
        <v/>
      </c>
      <c r="M1159" s="267">
        <f>IFERROR(__xludf.DUMMYFUNCTION("""COMPUTED_VALUE"""),44771.6666666666)</f>
        <v/>
      </c>
      <c r="N1159" s="6">
        <f>IFERROR(__xludf.DUMMYFUNCTION("""COMPUTED_VALUE"""),12390.69)</f>
        <v/>
      </c>
      <c r="R1159" s="6">
        <f>S1159&amp;T1159</f>
        <v/>
      </c>
      <c r="S1159" s="6">
        <f>YEAR(U1159)</f>
        <v/>
      </c>
      <c r="T1159" s="6">
        <f>MONTH(U1159)</f>
        <v/>
      </c>
      <c r="U1159" s="267">
        <f>IFERROR(__xludf.DUMMYFUNCTION("""COMPUTED_VALUE"""),44823.6458333333)</f>
        <v/>
      </c>
      <c r="V1159" s="6">
        <f>IFERROR(__xludf.DUMMYFUNCTION("""COMPUTED_VALUE"""),2355.66)</f>
        <v/>
      </c>
      <c r="Z1159" s="6">
        <f>AA1159&amp;AB1159</f>
        <v/>
      </c>
      <c r="AA1159" s="6">
        <f>YEAR(AC1159)</f>
        <v/>
      </c>
      <c r="AB1159" s="6">
        <f>MONTH(AC1159)</f>
        <v/>
      </c>
      <c r="AC1159" s="267">
        <f>IFERROR(__xludf.DUMMYFUNCTION("""COMPUTED_VALUE"""),44304.9986111111)</f>
        <v/>
      </c>
      <c r="AD1159" s="6">
        <f>IFERROR(__xludf.DUMMYFUNCTION("""COMPUTED_VALUE"""),1115.65)</f>
        <v/>
      </c>
      <c r="AH1159" s="6">
        <f>AI1159&amp;AJ1159</f>
        <v/>
      </c>
      <c r="AI1159" s="6">
        <f>YEAR(AK1159)</f>
        <v/>
      </c>
      <c r="AJ1159" s="6">
        <f>MONTH(AK1159)</f>
        <v/>
      </c>
      <c r="AK1159" s="267">
        <f>IFERROR(__xludf.DUMMYFUNCTION("""COMPUTED_VALUE"""),44252.9986111111)</f>
        <v/>
      </c>
      <c r="AL1159" s="6">
        <f>IFERROR(__xludf.DUMMYFUNCTION("""COMPUTED_VALUE"""),47045.93)</f>
        <v/>
      </c>
      <c r="AP1159" s="6">
        <f>AQ1159&amp;AR1159</f>
        <v/>
      </c>
      <c r="AQ1159" s="6">
        <f>YEAR(AS1159)</f>
        <v/>
      </c>
      <c r="AR1159" s="6">
        <f>MONTH(AS1159)</f>
        <v/>
      </c>
      <c r="AS1159" s="267">
        <f>IFERROR(__xludf.DUMMYFUNCTION("""COMPUTED_VALUE"""),44788.9986111111)</f>
        <v/>
      </c>
      <c r="AT1159" s="6">
        <f>IFERROR(__xludf.DUMMYFUNCTION("""COMPUTED_VALUE"""),1798.1)</f>
        <v/>
      </c>
    </row>
    <row r="1160">
      <c r="B1160" s="6">
        <f>C1160&amp;D1160</f>
        <v/>
      </c>
      <c r="C1160" s="6">
        <f>YEAR(E1160)</f>
        <v/>
      </c>
      <c r="D1160" s="6">
        <f>MONTH(E1160)</f>
        <v/>
      </c>
      <c r="E1160" s="267">
        <f>IFERROR(__xludf.DUMMYFUNCTION("""COMPUTED_VALUE"""),44781.6666666666)</f>
        <v/>
      </c>
      <c r="F1160" s="6">
        <f>IFERROR(__xludf.DUMMYFUNCTION("""COMPUTED_VALUE"""),4140.06)</f>
        <v/>
      </c>
      <c r="J1160" s="6">
        <f>K1160&amp;L1160</f>
        <v/>
      </c>
      <c r="K1160" s="6">
        <f>YEAR(M1160)</f>
        <v/>
      </c>
      <c r="L1160" s="6">
        <f>MONTH(M1160)</f>
        <v/>
      </c>
      <c r="M1160" s="267">
        <f>IFERROR(__xludf.DUMMYFUNCTION("""COMPUTED_VALUE"""),44774.6666666666)</f>
        <v/>
      </c>
      <c r="N1160" s="6">
        <f>IFERROR(__xludf.DUMMYFUNCTION("""COMPUTED_VALUE"""),12368.98)</f>
        <v/>
      </c>
      <c r="R1160" s="6">
        <f>S1160&amp;T1160</f>
        <v/>
      </c>
      <c r="S1160" s="6">
        <f>YEAR(U1160)</f>
        <v/>
      </c>
      <c r="T1160" s="6">
        <f>MONTH(U1160)</f>
        <v/>
      </c>
      <c r="U1160" s="267">
        <f>IFERROR(__xludf.DUMMYFUNCTION("""COMPUTED_VALUE"""),44824.6458333333)</f>
        <v/>
      </c>
      <c r="V1160" s="6">
        <f>IFERROR(__xludf.DUMMYFUNCTION("""COMPUTED_VALUE"""),2367.85)</f>
        <v/>
      </c>
      <c r="Z1160" s="6">
        <f>AA1160&amp;AB1160</f>
        <v/>
      </c>
      <c r="AA1160" s="6">
        <f>YEAR(AC1160)</f>
        <v/>
      </c>
      <c r="AB1160" s="6">
        <f>MONTH(AC1160)</f>
        <v/>
      </c>
      <c r="AC1160" s="267">
        <f>IFERROR(__xludf.DUMMYFUNCTION("""COMPUTED_VALUE"""),44305.9986111111)</f>
        <v/>
      </c>
      <c r="AD1160" s="6">
        <f>IFERROR(__xludf.DUMMYFUNCTION("""COMPUTED_VALUE"""),1114.47)</f>
        <v/>
      </c>
      <c r="AH1160" s="6">
        <f>AI1160&amp;AJ1160</f>
        <v/>
      </c>
      <c r="AI1160" s="6">
        <f>YEAR(AK1160)</f>
        <v/>
      </c>
      <c r="AJ1160" s="6">
        <f>MONTH(AK1160)</f>
        <v/>
      </c>
      <c r="AK1160" s="267">
        <f>IFERROR(__xludf.DUMMYFUNCTION("""COMPUTED_VALUE"""),44253.9986111111)</f>
        <v/>
      </c>
      <c r="AL1160" s="6">
        <f>IFERROR(__xludf.DUMMYFUNCTION("""COMPUTED_VALUE"""),46324.21)</f>
        <v/>
      </c>
      <c r="AP1160" s="6">
        <f>AQ1160&amp;AR1160</f>
        <v/>
      </c>
      <c r="AQ1160" s="6">
        <f>YEAR(AS1160)</f>
        <v/>
      </c>
      <c r="AR1160" s="6">
        <f>MONTH(AS1160)</f>
        <v/>
      </c>
      <c r="AS1160" s="267">
        <f>IFERROR(__xludf.DUMMYFUNCTION("""COMPUTED_VALUE"""),44789.9986111111)</f>
        <v/>
      </c>
      <c r="AT1160" s="6">
        <f>IFERROR(__xludf.DUMMYFUNCTION("""COMPUTED_VALUE"""),1789.7)</f>
        <v/>
      </c>
    </row>
    <row r="1161">
      <c r="B1161" s="6">
        <f>C1161&amp;D1161</f>
        <v/>
      </c>
      <c r="C1161" s="6">
        <f>YEAR(E1161)</f>
        <v/>
      </c>
      <c r="D1161" s="6">
        <f>MONTH(E1161)</f>
        <v/>
      </c>
      <c r="E1161" s="267">
        <f>IFERROR(__xludf.DUMMYFUNCTION("""COMPUTED_VALUE"""),44782.6666666666)</f>
        <v/>
      </c>
      <c r="F1161" s="6">
        <f>IFERROR(__xludf.DUMMYFUNCTION("""COMPUTED_VALUE"""),4122.47)</f>
        <v/>
      </c>
      <c r="J1161" s="6">
        <f>K1161&amp;L1161</f>
        <v/>
      </c>
      <c r="K1161" s="6">
        <f>YEAR(M1161)</f>
        <v/>
      </c>
      <c r="L1161" s="6">
        <f>MONTH(M1161)</f>
        <v/>
      </c>
      <c r="M1161" s="267">
        <f>IFERROR(__xludf.DUMMYFUNCTION("""COMPUTED_VALUE"""),44775.6666666666)</f>
        <v/>
      </c>
      <c r="N1161" s="6">
        <f>IFERROR(__xludf.DUMMYFUNCTION("""COMPUTED_VALUE"""),12348.76)</f>
        <v/>
      </c>
      <c r="R1161" s="6">
        <f>S1161&amp;T1161</f>
        <v/>
      </c>
      <c r="S1161" s="6">
        <f>YEAR(U1161)</f>
        <v/>
      </c>
      <c r="T1161" s="6">
        <f>MONTH(U1161)</f>
        <v/>
      </c>
      <c r="U1161" s="267">
        <f>IFERROR(__xludf.DUMMYFUNCTION("""COMPUTED_VALUE"""),44825.6458333333)</f>
        <v/>
      </c>
      <c r="V1161" s="6">
        <f>IFERROR(__xludf.DUMMYFUNCTION("""COMPUTED_VALUE"""),2347.21)</f>
        <v/>
      </c>
      <c r="Z1161" s="6">
        <f>AA1161&amp;AB1161</f>
        <v/>
      </c>
      <c r="AA1161" s="6">
        <f>YEAR(AC1161)</f>
        <v/>
      </c>
      <c r="AB1161" s="6">
        <f>MONTH(AC1161)</f>
        <v/>
      </c>
      <c r="AC1161" s="267">
        <f>IFERROR(__xludf.DUMMYFUNCTION("""COMPUTED_VALUE"""),44306.9986111111)</f>
        <v/>
      </c>
      <c r="AD1161" s="6">
        <f>IFERROR(__xludf.DUMMYFUNCTION("""COMPUTED_VALUE"""),1116.11)</f>
        <v/>
      </c>
      <c r="AH1161" s="6">
        <f>AI1161&amp;AJ1161</f>
        <v/>
      </c>
      <c r="AI1161" s="6">
        <f>YEAR(AK1161)</f>
        <v/>
      </c>
      <c r="AJ1161" s="6">
        <f>MONTH(AK1161)</f>
        <v/>
      </c>
      <c r="AK1161" s="267">
        <f>IFERROR(__xludf.DUMMYFUNCTION("""COMPUTED_VALUE"""),44254.9986111111)</f>
        <v/>
      </c>
      <c r="AL1161" s="6">
        <f>IFERROR(__xludf.DUMMYFUNCTION("""COMPUTED_VALUE"""),46158.54)</f>
        <v/>
      </c>
      <c r="AP1161" s="6">
        <f>AQ1161&amp;AR1161</f>
        <v/>
      </c>
      <c r="AQ1161" s="6">
        <f>YEAR(AS1161)</f>
        <v/>
      </c>
      <c r="AR1161" s="6">
        <f>MONTH(AS1161)</f>
        <v/>
      </c>
      <c r="AS1161" s="267">
        <f>IFERROR(__xludf.DUMMYFUNCTION("""COMPUTED_VALUE"""),44790.9986111111)</f>
        <v/>
      </c>
      <c r="AT1161" s="6">
        <f>IFERROR(__xludf.DUMMYFUNCTION("""COMPUTED_VALUE"""),1776.7)</f>
        <v/>
      </c>
    </row>
    <row r="1162">
      <c r="B1162" s="6">
        <f>C1162&amp;D1162</f>
        <v/>
      </c>
      <c r="C1162" s="6">
        <f>YEAR(E1162)</f>
        <v/>
      </c>
      <c r="D1162" s="6">
        <f>MONTH(E1162)</f>
        <v/>
      </c>
      <c r="E1162" s="267">
        <f>IFERROR(__xludf.DUMMYFUNCTION("""COMPUTED_VALUE"""),44783.6666666666)</f>
        <v/>
      </c>
      <c r="F1162" s="6">
        <f>IFERROR(__xludf.DUMMYFUNCTION("""COMPUTED_VALUE"""),4210.24)</f>
        <v/>
      </c>
      <c r="J1162" s="6">
        <f>K1162&amp;L1162</f>
        <v/>
      </c>
      <c r="K1162" s="6">
        <f>YEAR(M1162)</f>
        <v/>
      </c>
      <c r="L1162" s="6">
        <f>MONTH(M1162)</f>
        <v/>
      </c>
      <c r="M1162" s="267">
        <f>IFERROR(__xludf.DUMMYFUNCTION("""COMPUTED_VALUE"""),44776.6666666666)</f>
        <v/>
      </c>
      <c r="N1162" s="6">
        <f>IFERROR(__xludf.DUMMYFUNCTION("""COMPUTED_VALUE"""),12668.16)</f>
        <v/>
      </c>
      <c r="R1162" s="6">
        <f>S1162&amp;T1162</f>
        <v/>
      </c>
      <c r="S1162" s="6">
        <f>YEAR(U1162)</f>
        <v/>
      </c>
      <c r="T1162" s="6">
        <f>MONTH(U1162)</f>
        <v/>
      </c>
      <c r="U1162" s="267">
        <f>IFERROR(__xludf.DUMMYFUNCTION("""COMPUTED_VALUE"""),44826.6458333333)</f>
        <v/>
      </c>
      <c r="V1162" s="6">
        <f>IFERROR(__xludf.DUMMYFUNCTION("""COMPUTED_VALUE"""),2332.31)</f>
        <v/>
      </c>
      <c r="Z1162" s="6">
        <f>AA1162&amp;AB1162</f>
        <v/>
      </c>
      <c r="AA1162" s="6">
        <f>YEAR(AC1162)</f>
        <v/>
      </c>
      <c r="AB1162" s="6">
        <f>MONTH(AC1162)</f>
        <v/>
      </c>
      <c r="AC1162" s="267">
        <f>IFERROR(__xludf.DUMMYFUNCTION("""COMPUTED_VALUE"""),44307.9986111111)</f>
        <v/>
      </c>
      <c r="AD1162" s="6">
        <f>IFERROR(__xludf.DUMMYFUNCTION("""COMPUTED_VALUE"""),1115.66)</f>
        <v/>
      </c>
      <c r="AH1162" s="6">
        <f>AI1162&amp;AJ1162</f>
        <v/>
      </c>
      <c r="AI1162" s="6">
        <f>YEAR(AK1162)</f>
        <v/>
      </c>
      <c r="AJ1162" s="6">
        <f>MONTH(AK1162)</f>
        <v/>
      </c>
      <c r="AK1162" s="267">
        <f>IFERROR(__xludf.DUMMYFUNCTION("""COMPUTED_VALUE"""),44255.9986111111)</f>
        <v/>
      </c>
      <c r="AL1162" s="6">
        <f>IFERROR(__xludf.DUMMYFUNCTION("""COMPUTED_VALUE"""),45203.05)</f>
        <v/>
      </c>
      <c r="AP1162" s="6">
        <f>AQ1162&amp;AR1162</f>
        <v/>
      </c>
      <c r="AQ1162" s="6">
        <f>YEAR(AS1162)</f>
        <v/>
      </c>
      <c r="AR1162" s="6">
        <f>MONTH(AS1162)</f>
        <v/>
      </c>
      <c r="AS1162" s="267">
        <f>IFERROR(__xludf.DUMMYFUNCTION("""COMPUTED_VALUE"""),44791.9986111111)</f>
        <v/>
      </c>
      <c r="AT1162" s="6">
        <f>IFERROR(__xludf.DUMMYFUNCTION("""COMPUTED_VALUE"""),1771.2)</f>
        <v/>
      </c>
    </row>
    <row r="1163">
      <c r="B1163" s="6">
        <f>C1163&amp;D1163</f>
        <v/>
      </c>
      <c r="C1163" s="6">
        <f>YEAR(E1163)</f>
        <v/>
      </c>
      <c r="D1163" s="6">
        <f>MONTH(E1163)</f>
        <v/>
      </c>
      <c r="E1163" s="267">
        <f>IFERROR(__xludf.DUMMYFUNCTION("""COMPUTED_VALUE"""),44784.6666666666)</f>
        <v/>
      </c>
      <c r="F1163" s="6">
        <f>IFERROR(__xludf.DUMMYFUNCTION("""COMPUTED_VALUE"""),4207.27)</f>
        <v/>
      </c>
      <c r="J1163" s="6">
        <f>K1163&amp;L1163</f>
        <v/>
      </c>
      <c r="K1163" s="6">
        <f>YEAR(M1163)</f>
        <v/>
      </c>
      <c r="L1163" s="6">
        <f>MONTH(M1163)</f>
        <v/>
      </c>
      <c r="M1163" s="267">
        <f>IFERROR(__xludf.DUMMYFUNCTION("""COMPUTED_VALUE"""),44777.6666666666)</f>
        <v/>
      </c>
      <c r="N1163" s="6">
        <f>IFERROR(__xludf.DUMMYFUNCTION("""COMPUTED_VALUE"""),12720.58)</f>
        <v/>
      </c>
      <c r="R1163" s="6">
        <f>S1163&amp;T1163</f>
        <v/>
      </c>
      <c r="S1163" s="6">
        <f>YEAR(U1163)</f>
        <v/>
      </c>
      <c r="T1163" s="6">
        <f>MONTH(U1163)</f>
        <v/>
      </c>
      <c r="U1163" s="267">
        <f>IFERROR(__xludf.DUMMYFUNCTION("""COMPUTED_VALUE"""),44827.6458333333)</f>
        <v/>
      </c>
      <c r="V1163" s="6">
        <f>IFERROR(__xludf.DUMMYFUNCTION("""COMPUTED_VALUE"""),2290)</f>
        <v/>
      </c>
      <c r="Z1163" s="6">
        <f>AA1163&amp;AB1163</f>
        <v/>
      </c>
      <c r="AA1163" s="6">
        <f>YEAR(AC1163)</f>
        <v/>
      </c>
      <c r="AB1163" s="6">
        <f>MONTH(AC1163)</f>
        <v/>
      </c>
      <c r="AC1163" s="267">
        <f>IFERROR(__xludf.DUMMYFUNCTION("""COMPUTED_VALUE"""),44308.9986111111)</f>
        <v/>
      </c>
      <c r="AD1163" s="6">
        <f>IFERROR(__xludf.DUMMYFUNCTION("""COMPUTED_VALUE"""),1118.59)</f>
        <v/>
      </c>
      <c r="AH1163" s="6">
        <f>AI1163&amp;AJ1163</f>
        <v/>
      </c>
      <c r="AI1163" s="6">
        <f>YEAR(AK1163)</f>
        <v/>
      </c>
      <c r="AJ1163" s="6">
        <f>MONTH(AK1163)</f>
        <v/>
      </c>
      <c r="AK1163" s="267">
        <f>IFERROR(__xludf.DUMMYFUNCTION("""COMPUTED_VALUE"""),44256.9986111111)</f>
        <v/>
      </c>
      <c r="AL1163" s="6">
        <f>IFERROR(__xludf.DUMMYFUNCTION("""COMPUTED_VALUE"""),49612.21)</f>
        <v/>
      </c>
      <c r="AP1163" s="6">
        <f>AQ1163&amp;AR1163</f>
        <v/>
      </c>
      <c r="AQ1163" s="6">
        <f>YEAR(AS1163)</f>
        <v/>
      </c>
      <c r="AR1163" s="6">
        <f>MONTH(AS1163)</f>
        <v/>
      </c>
      <c r="AS1163" s="267">
        <f>IFERROR(__xludf.DUMMYFUNCTION("""COMPUTED_VALUE"""),44792.9986111111)</f>
        <v/>
      </c>
      <c r="AT1163" s="6">
        <f>IFERROR(__xludf.DUMMYFUNCTION("""COMPUTED_VALUE"""),1762.9)</f>
        <v/>
      </c>
    </row>
    <row r="1164">
      <c r="B1164" s="6">
        <f>C1164&amp;D1164</f>
        <v/>
      </c>
      <c r="C1164" s="6">
        <f>YEAR(E1164)</f>
        <v/>
      </c>
      <c r="D1164" s="6">
        <f>MONTH(E1164)</f>
        <v/>
      </c>
      <c r="E1164" s="267">
        <f>IFERROR(__xludf.DUMMYFUNCTION("""COMPUTED_VALUE"""),44785.6666666666)</f>
        <v/>
      </c>
      <c r="F1164" s="6">
        <f>IFERROR(__xludf.DUMMYFUNCTION("""COMPUTED_VALUE"""),4280.15)</f>
        <v/>
      </c>
      <c r="J1164" s="6">
        <f>K1164&amp;L1164</f>
        <v/>
      </c>
      <c r="K1164" s="6">
        <f>YEAR(M1164)</f>
        <v/>
      </c>
      <c r="L1164" s="6">
        <f>MONTH(M1164)</f>
        <v/>
      </c>
      <c r="M1164" s="267">
        <f>IFERROR(__xludf.DUMMYFUNCTION("""COMPUTED_VALUE"""),44778.6666666666)</f>
        <v/>
      </c>
      <c r="N1164" s="6">
        <f>IFERROR(__xludf.DUMMYFUNCTION("""COMPUTED_VALUE"""),12657.56)</f>
        <v/>
      </c>
      <c r="R1164" s="6">
        <f>S1164&amp;T1164</f>
        <v/>
      </c>
      <c r="S1164" s="6">
        <f>YEAR(U1164)</f>
        <v/>
      </c>
      <c r="T1164" s="6">
        <f>MONTH(U1164)</f>
        <v/>
      </c>
      <c r="U1164" s="267">
        <f>IFERROR(__xludf.DUMMYFUNCTION("""COMPUTED_VALUE"""),44830.6458333333)</f>
        <v/>
      </c>
      <c r="V1164" s="6">
        <f>IFERROR(__xludf.DUMMYFUNCTION("""COMPUTED_VALUE"""),2220.94)</f>
        <v/>
      </c>
      <c r="Z1164" s="6">
        <f>AA1164&amp;AB1164</f>
        <v/>
      </c>
      <c r="AA1164" s="6">
        <f>YEAR(AC1164)</f>
        <v/>
      </c>
      <c r="AB1164" s="6">
        <f>MONTH(AC1164)</f>
        <v/>
      </c>
      <c r="AC1164" s="267">
        <f>IFERROR(__xludf.DUMMYFUNCTION("""COMPUTED_VALUE"""),44309.9986111111)</f>
        <v/>
      </c>
      <c r="AD1164" s="6">
        <f>IFERROR(__xludf.DUMMYFUNCTION("""COMPUTED_VALUE"""),1113.83)</f>
        <v/>
      </c>
      <c r="AH1164" s="6">
        <f>AI1164&amp;AJ1164</f>
        <v/>
      </c>
      <c r="AI1164" s="6">
        <f>YEAR(AK1164)</f>
        <v/>
      </c>
      <c r="AJ1164" s="6">
        <f>MONTH(AK1164)</f>
        <v/>
      </c>
      <c r="AK1164" s="267">
        <f>IFERROR(__xludf.DUMMYFUNCTION("""COMPUTED_VALUE"""),44257.9986111111)</f>
        <v/>
      </c>
      <c r="AL1164" s="6">
        <f>IFERROR(__xludf.DUMMYFUNCTION("""COMPUTED_VALUE"""),48461.85)</f>
        <v/>
      </c>
      <c r="AP1164" s="6">
        <f>AQ1164&amp;AR1164</f>
        <v/>
      </c>
      <c r="AQ1164" s="6">
        <f>YEAR(AS1164)</f>
        <v/>
      </c>
      <c r="AR1164" s="6">
        <f>MONTH(AS1164)</f>
        <v/>
      </c>
      <c r="AS1164" s="267">
        <f>IFERROR(__xludf.DUMMYFUNCTION("""COMPUTED_VALUE"""),44795.9986111111)</f>
        <v/>
      </c>
      <c r="AT1164" s="6">
        <f>IFERROR(__xludf.DUMMYFUNCTION("""COMPUTED_VALUE"""),1748.4)</f>
        <v/>
      </c>
    </row>
    <row r="1165">
      <c r="B1165" s="6">
        <f>C1165&amp;D1165</f>
        <v/>
      </c>
      <c r="C1165" s="6">
        <f>YEAR(E1165)</f>
        <v/>
      </c>
      <c r="D1165" s="6">
        <f>MONTH(E1165)</f>
        <v/>
      </c>
      <c r="E1165" s="267">
        <f>IFERROR(__xludf.DUMMYFUNCTION("""COMPUTED_VALUE"""),44788.6666666666)</f>
        <v/>
      </c>
      <c r="F1165" s="6">
        <f>IFERROR(__xludf.DUMMYFUNCTION("""COMPUTED_VALUE"""),4297.14)</f>
        <v/>
      </c>
      <c r="J1165" s="6">
        <f>K1165&amp;L1165</f>
        <v/>
      </c>
      <c r="K1165" s="6">
        <f>YEAR(M1165)</f>
        <v/>
      </c>
      <c r="L1165" s="6">
        <f>MONTH(M1165)</f>
        <v/>
      </c>
      <c r="M1165" s="267">
        <f>IFERROR(__xludf.DUMMYFUNCTION("""COMPUTED_VALUE"""),44781.6666666666)</f>
        <v/>
      </c>
      <c r="N1165" s="6">
        <f>IFERROR(__xludf.DUMMYFUNCTION("""COMPUTED_VALUE"""),12644.46)</f>
        <v/>
      </c>
      <c r="R1165" s="6">
        <f>S1165&amp;T1165</f>
        <v/>
      </c>
      <c r="S1165" s="6">
        <f>YEAR(U1165)</f>
        <v/>
      </c>
      <c r="T1165" s="6">
        <f>MONTH(U1165)</f>
        <v/>
      </c>
      <c r="U1165" s="267">
        <f>IFERROR(__xludf.DUMMYFUNCTION("""COMPUTED_VALUE"""),44831.6458333333)</f>
        <v/>
      </c>
      <c r="V1165" s="6">
        <f>IFERROR(__xludf.DUMMYFUNCTION("""COMPUTED_VALUE"""),2223.86)</f>
        <v/>
      </c>
      <c r="Z1165" s="6">
        <f>AA1165&amp;AB1165</f>
        <v/>
      </c>
      <c r="AA1165" s="6">
        <f>YEAR(AC1165)</f>
        <v/>
      </c>
      <c r="AB1165" s="6">
        <f>MONTH(AC1165)</f>
        <v/>
      </c>
      <c r="AC1165" s="267">
        <f>IFERROR(__xludf.DUMMYFUNCTION("""COMPUTED_VALUE"""),44310.9986111111)</f>
        <v/>
      </c>
      <c r="AD1165" s="6">
        <f>IFERROR(__xludf.DUMMYFUNCTION("""COMPUTED_VALUE"""),1113.23)</f>
        <v/>
      </c>
      <c r="AH1165" s="6">
        <f>AI1165&amp;AJ1165</f>
        <v/>
      </c>
      <c r="AI1165" s="6">
        <f>YEAR(AK1165)</f>
        <v/>
      </c>
      <c r="AJ1165" s="6">
        <f>MONTH(AK1165)</f>
        <v/>
      </c>
      <c r="AK1165" s="267">
        <f>IFERROR(__xludf.DUMMYFUNCTION("""COMPUTED_VALUE"""),44258.9986111111)</f>
        <v/>
      </c>
      <c r="AL1165" s="6">
        <f>IFERROR(__xludf.DUMMYFUNCTION("""COMPUTED_VALUE"""),50428.79)</f>
        <v/>
      </c>
      <c r="AP1165" s="6">
        <f>AQ1165&amp;AR1165</f>
        <v/>
      </c>
      <c r="AQ1165" s="6">
        <f>YEAR(AS1165)</f>
        <v/>
      </c>
      <c r="AR1165" s="6">
        <f>MONTH(AS1165)</f>
        <v/>
      </c>
      <c r="AS1165" s="267">
        <f>IFERROR(__xludf.DUMMYFUNCTION("""COMPUTED_VALUE"""),44796.9986111111)</f>
        <v/>
      </c>
      <c r="AT1165" s="6">
        <f>IFERROR(__xludf.DUMMYFUNCTION("""COMPUTED_VALUE"""),1761.2)</f>
        <v/>
      </c>
    </row>
    <row r="1166">
      <c r="B1166" s="6">
        <f>C1166&amp;D1166</f>
        <v/>
      </c>
      <c r="C1166" s="6">
        <f>YEAR(E1166)</f>
        <v/>
      </c>
      <c r="D1166" s="6">
        <f>MONTH(E1166)</f>
        <v/>
      </c>
      <c r="E1166" s="267">
        <f>IFERROR(__xludf.DUMMYFUNCTION("""COMPUTED_VALUE"""),44789.6666666666)</f>
        <v/>
      </c>
      <c r="F1166" s="6">
        <f>IFERROR(__xludf.DUMMYFUNCTION("""COMPUTED_VALUE"""),4305.2)</f>
        <v/>
      </c>
      <c r="J1166" s="6">
        <f>K1166&amp;L1166</f>
        <v/>
      </c>
      <c r="K1166" s="6">
        <f>YEAR(M1166)</f>
        <v/>
      </c>
      <c r="L1166" s="6">
        <f>MONTH(M1166)</f>
        <v/>
      </c>
      <c r="M1166" s="267">
        <f>IFERROR(__xludf.DUMMYFUNCTION("""COMPUTED_VALUE"""),44782.6666666666)</f>
        <v/>
      </c>
      <c r="N1166" s="6">
        <f>IFERROR(__xludf.DUMMYFUNCTION("""COMPUTED_VALUE"""),12493.93)</f>
        <v/>
      </c>
      <c r="R1166" s="6">
        <f>S1166&amp;T1166</f>
        <v/>
      </c>
      <c r="S1166" s="6">
        <f>YEAR(U1166)</f>
        <v/>
      </c>
      <c r="T1166" s="6">
        <f>MONTH(U1166)</f>
        <v/>
      </c>
      <c r="U1166" s="267">
        <f>IFERROR(__xludf.DUMMYFUNCTION("""COMPUTED_VALUE"""),44832.6458333333)</f>
        <v/>
      </c>
      <c r="V1166" s="6">
        <f>IFERROR(__xludf.DUMMYFUNCTION("""COMPUTED_VALUE"""),2169.29)</f>
        <v/>
      </c>
      <c r="Z1166" s="6">
        <f>AA1166&amp;AB1166</f>
        <v/>
      </c>
      <c r="AA1166" s="6">
        <f>YEAR(AC1166)</f>
        <v/>
      </c>
      <c r="AB1166" s="6">
        <f>MONTH(AC1166)</f>
        <v/>
      </c>
      <c r="AC1166" s="267">
        <f>IFERROR(__xludf.DUMMYFUNCTION("""COMPUTED_VALUE"""),44311.9986111111)</f>
        <v/>
      </c>
      <c r="AD1166" s="6">
        <f>IFERROR(__xludf.DUMMYFUNCTION("""COMPUTED_VALUE"""),1114.13)</f>
        <v/>
      </c>
      <c r="AH1166" s="6">
        <f>AI1166&amp;AJ1166</f>
        <v/>
      </c>
      <c r="AI1166" s="6">
        <f>YEAR(AK1166)</f>
        <v/>
      </c>
      <c r="AJ1166" s="6">
        <f>MONTH(AK1166)</f>
        <v/>
      </c>
      <c r="AK1166" s="267">
        <f>IFERROR(__xludf.DUMMYFUNCTION("""COMPUTED_VALUE"""),44259.9986111111)</f>
        <v/>
      </c>
      <c r="AL1166" s="6">
        <f>IFERROR(__xludf.DUMMYFUNCTION("""COMPUTED_VALUE"""),48357.46)</f>
        <v/>
      </c>
      <c r="AP1166" s="6">
        <f>AQ1166&amp;AR1166</f>
        <v/>
      </c>
      <c r="AQ1166" s="6">
        <f>YEAR(AS1166)</f>
        <v/>
      </c>
      <c r="AR1166" s="6">
        <f>MONTH(AS1166)</f>
        <v/>
      </c>
      <c r="AS1166" s="267">
        <f>IFERROR(__xludf.DUMMYFUNCTION("""COMPUTED_VALUE"""),44797.9986111111)</f>
        <v/>
      </c>
      <c r="AT1166" s="6">
        <f>IFERROR(__xludf.DUMMYFUNCTION("""COMPUTED_VALUE"""),1761.5)</f>
        <v/>
      </c>
    </row>
    <row r="1167">
      <c r="B1167" s="6">
        <f>C1167&amp;D1167</f>
        <v/>
      </c>
      <c r="C1167" s="6">
        <f>YEAR(E1167)</f>
        <v/>
      </c>
      <c r="D1167" s="6">
        <f>MONTH(E1167)</f>
        <v/>
      </c>
      <c r="E1167" s="267">
        <f>IFERROR(__xludf.DUMMYFUNCTION("""COMPUTED_VALUE"""),44790.6666666666)</f>
        <v/>
      </c>
      <c r="F1167" s="6">
        <f>IFERROR(__xludf.DUMMYFUNCTION("""COMPUTED_VALUE"""),4274.04)</f>
        <v/>
      </c>
      <c r="J1167" s="6">
        <f>K1167&amp;L1167</f>
        <v/>
      </c>
      <c r="K1167" s="6">
        <f>YEAR(M1167)</f>
        <v/>
      </c>
      <c r="L1167" s="6">
        <f>MONTH(M1167)</f>
        <v/>
      </c>
      <c r="M1167" s="267">
        <f>IFERROR(__xludf.DUMMYFUNCTION("""COMPUTED_VALUE"""),44783.6666666666)</f>
        <v/>
      </c>
      <c r="N1167" s="6">
        <f>IFERROR(__xludf.DUMMYFUNCTION("""COMPUTED_VALUE"""),12854.81)</f>
        <v/>
      </c>
      <c r="R1167" s="6">
        <f>S1167&amp;T1167</f>
        <v/>
      </c>
      <c r="S1167" s="6">
        <f>YEAR(U1167)</f>
        <v/>
      </c>
      <c r="T1167" s="6">
        <f>MONTH(U1167)</f>
        <v/>
      </c>
      <c r="U1167" s="267">
        <f>IFERROR(__xludf.DUMMYFUNCTION("""COMPUTED_VALUE"""),44833.6458333333)</f>
        <v/>
      </c>
      <c r="V1167" s="6">
        <f>IFERROR(__xludf.DUMMYFUNCTION("""COMPUTED_VALUE"""),2170.93)</f>
        <v/>
      </c>
      <c r="Z1167" s="6">
        <f>AA1167&amp;AB1167</f>
        <v/>
      </c>
      <c r="AA1167" s="6">
        <f>YEAR(AC1167)</f>
        <v/>
      </c>
      <c r="AB1167" s="6">
        <f>MONTH(AC1167)</f>
        <v/>
      </c>
      <c r="AC1167" s="267">
        <f>IFERROR(__xludf.DUMMYFUNCTION("""COMPUTED_VALUE"""),44312.9986111111)</f>
        <v/>
      </c>
      <c r="AD1167" s="6">
        <f>IFERROR(__xludf.DUMMYFUNCTION("""COMPUTED_VALUE"""),1109.23)</f>
        <v/>
      </c>
      <c r="AH1167" s="6">
        <f>AI1167&amp;AJ1167</f>
        <v/>
      </c>
      <c r="AI1167" s="6">
        <f>YEAR(AK1167)</f>
        <v/>
      </c>
      <c r="AJ1167" s="6">
        <f>MONTH(AK1167)</f>
        <v/>
      </c>
      <c r="AK1167" s="267">
        <f>IFERROR(__xludf.DUMMYFUNCTION("""COMPUTED_VALUE"""),44260.9986111111)</f>
        <v/>
      </c>
      <c r="AL1167" s="6">
        <f>IFERROR(__xludf.DUMMYFUNCTION("""COMPUTED_VALUE"""),48766.28)</f>
        <v/>
      </c>
      <c r="AP1167" s="6">
        <f>AQ1167&amp;AR1167</f>
        <v/>
      </c>
      <c r="AQ1167" s="6">
        <f>YEAR(AS1167)</f>
        <v/>
      </c>
      <c r="AR1167" s="6">
        <f>MONTH(AS1167)</f>
        <v/>
      </c>
      <c r="AS1167" s="267">
        <f>IFERROR(__xludf.DUMMYFUNCTION("""COMPUTED_VALUE"""),44798.9986111111)</f>
        <v/>
      </c>
      <c r="AT1167" s="6">
        <f>IFERROR(__xludf.DUMMYFUNCTION("""COMPUTED_VALUE"""),1771.4)</f>
        <v/>
      </c>
    </row>
    <row r="1168">
      <c r="B1168" s="6">
        <f>C1168&amp;D1168</f>
        <v/>
      </c>
      <c r="C1168" s="6">
        <f>YEAR(E1168)</f>
        <v/>
      </c>
      <c r="D1168" s="6">
        <f>MONTH(E1168)</f>
        <v/>
      </c>
      <c r="E1168" s="267">
        <f>IFERROR(__xludf.DUMMYFUNCTION("""COMPUTED_VALUE"""),44791.6666666666)</f>
        <v/>
      </c>
      <c r="F1168" s="6">
        <f>IFERROR(__xludf.DUMMYFUNCTION("""COMPUTED_VALUE"""),4283.74)</f>
        <v/>
      </c>
      <c r="J1168" s="6">
        <f>K1168&amp;L1168</f>
        <v/>
      </c>
      <c r="K1168" s="6">
        <f>YEAR(M1168)</f>
        <v/>
      </c>
      <c r="L1168" s="6">
        <f>MONTH(M1168)</f>
        <v/>
      </c>
      <c r="M1168" s="267">
        <f>IFERROR(__xludf.DUMMYFUNCTION("""COMPUTED_VALUE"""),44784.6666666666)</f>
        <v/>
      </c>
      <c r="N1168" s="6">
        <f>IFERROR(__xludf.DUMMYFUNCTION("""COMPUTED_VALUE"""),12779.91)</f>
        <v/>
      </c>
      <c r="R1168" s="6">
        <f>S1168&amp;T1168</f>
        <v/>
      </c>
      <c r="S1168" s="6">
        <f>YEAR(U1168)</f>
        <v/>
      </c>
      <c r="T1168" s="6">
        <f>MONTH(U1168)</f>
        <v/>
      </c>
      <c r="U1168" s="267">
        <f>IFERROR(__xludf.DUMMYFUNCTION("""COMPUTED_VALUE"""),44834.6458333333)</f>
        <v/>
      </c>
      <c r="V1168" s="6">
        <f>IFERROR(__xludf.DUMMYFUNCTION("""COMPUTED_VALUE"""),2155.49)</f>
        <v/>
      </c>
      <c r="Z1168" s="6">
        <f>AA1168&amp;AB1168</f>
        <v/>
      </c>
      <c r="AA1168" s="6">
        <f>YEAR(AC1168)</f>
        <v/>
      </c>
      <c r="AB1168" s="6">
        <f>MONTH(AC1168)</f>
        <v/>
      </c>
      <c r="AC1168" s="267">
        <f>IFERROR(__xludf.DUMMYFUNCTION("""COMPUTED_VALUE"""),44313.9986111111)</f>
        <v/>
      </c>
      <c r="AD1168" s="6">
        <f>IFERROR(__xludf.DUMMYFUNCTION("""COMPUTED_VALUE"""),1112.15)</f>
        <v/>
      </c>
      <c r="AH1168" s="6">
        <f>AI1168&amp;AJ1168</f>
        <v/>
      </c>
      <c r="AI1168" s="6">
        <f>YEAR(AK1168)</f>
        <v/>
      </c>
      <c r="AJ1168" s="6">
        <f>MONTH(AK1168)</f>
        <v/>
      </c>
      <c r="AK1168" s="267">
        <f>IFERROR(__xludf.DUMMYFUNCTION("""COMPUTED_VALUE"""),44261.9986111111)</f>
        <v/>
      </c>
      <c r="AL1168" s="6">
        <f>IFERROR(__xludf.DUMMYFUNCTION("""COMPUTED_VALUE"""),48883.48)</f>
        <v/>
      </c>
      <c r="AP1168" s="6">
        <f>AQ1168&amp;AR1168</f>
        <v/>
      </c>
      <c r="AQ1168" s="6">
        <f>YEAR(AS1168)</f>
        <v/>
      </c>
      <c r="AR1168" s="6">
        <f>MONTH(AS1168)</f>
        <v/>
      </c>
      <c r="AS1168" s="267">
        <f>IFERROR(__xludf.DUMMYFUNCTION("""COMPUTED_VALUE"""),44799.9986111111)</f>
        <v/>
      </c>
      <c r="AT1168" s="6">
        <f>IFERROR(__xludf.DUMMYFUNCTION("""COMPUTED_VALUE"""),1749.8)</f>
        <v/>
      </c>
    </row>
    <row r="1169">
      <c r="B1169" s="6">
        <f>C1169&amp;D1169</f>
        <v/>
      </c>
      <c r="C1169" s="6">
        <f>YEAR(E1169)</f>
        <v/>
      </c>
      <c r="D1169" s="6">
        <f>MONTH(E1169)</f>
        <v/>
      </c>
      <c r="E1169" s="267">
        <f>IFERROR(__xludf.DUMMYFUNCTION("""COMPUTED_VALUE"""),44792.6666666666)</f>
        <v/>
      </c>
      <c r="F1169" s="6">
        <f>IFERROR(__xludf.DUMMYFUNCTION("""COMPUTED_VALUE"""),4228.48)</f>
        <v/>
      </c>
      <c r="J1169" s="6">
        <f>K1169&amp;L1169</f>
        <v/>
      </c>
      <c r="K1169" s="6">
        <f>YEAR(M1169)</f>
        <v/>
      </c>
      <c r="L1169" s="6">
        <f>MONTH(M1169)</f>
        <v/>
      </c>
      <c r="M1169" s="267">
        <f>IFERROR(__xludf.DUMMYFUNCTION("""COMPUTED_VALUE"""),44785.6666666666)</f>
        <v/>
      </c>
      <c r="N1169" s="6">
        <f>IFERROR(__xludf.DUMMYFUNCTION("""COMPUTED_VALUE"""),13047.19)</f>
        <v/>
      </c>
      <c r="R1169" s="6">
        <f>S1169&amp;T1169</f>
        <v/>
      </c>
      <c r="S1169" s="6">
        <f>YEAR(U1169)</f>
        <v/>
      </c>
      <c r="T1169" s="6">
        <f>MONTH(U1169)</f>
        <v/>
      </c>
      <c r="U1169" s="267">
        <f>IFERROR(__xludf.DUMMYFUNCTION("""COMPUTED_VALUE"""),44838.6458333333)</f>
        <v/>
      </c>
      <c r="V1169" s="6">
        <f>IFERROR(__xludf.DUMMYFUNCTION("""COMPUTED_VALUE"""),2209.38)</f>
        <v/>
      </c>
      <c r="Z1169" s="6">
        <f>AA1169&amp;AB1169</f>
        <v/>
      </c>
      <c r="AA1169" s="6">
        <f>YEAR(AC1169)</f>
        <v/>
      </c>
      <c r="AB1169" s="6">
        <f>MONTH(AC1169)</f>
        <v/>
      </c>
      <c r="AC1169" s="267">
        <f>IFERROR(__xludf.DUMMYFUNCTION("""COMPUTED_VALUE"""),44314.9986111111)</f>
        <v/>
      </c>
      <c r="AD1169" s="6">
        <f>IFERROR(__xludf.DUMMYFUNCTION("""COMPUTED_VALUE"""),1108.66)</f>
        <v/>
      </c>
      <c r="AH1169" s="6">
        <f>AI1169&amp;AJ1169</f>
        <v/>
      </c>
      <c r="AI1169" s="6">
        <f>YEAR(AK1169)</f>
        <v/>
      </c>
      <c r="AJ1169" s="6">
        <f>MONTH(AK1169)</f>
        <v/>
      </c>
      <c r="AK1169" s="267">
        <f>IFERROR(__xludf.DUMMYFUNCTION("""COMPUTED_VALUE"""),44262.9986111111)</f>
        <v/>
      </c>
      <c r="AL1169" s="6">
        <f>IFERROR(__xludf.DUMMYFUNCTION("""COMPUTED_VALUE"""),50958.3)</f>
        <v/>
      </c>
      <c r="AP1169" s="6">
        <f>AQ1169&amp;AR1169</f>
        <v/>
      </c>
      <c r="AQ1169" s="6">
        <f>YEAR(AS1169)</f>
        <v/>
      </c>
      <c r="AR1169" s="6">
        <f>MONTH(AS1169)</f>
        <v/>
      </c>
      <c r="AS1169" s="267">
        <f>IFERROR(__xludf.DUMMYFUNCTION("""COMPUTED_VALUE"""),44802.9986111111)</f>
        <v/>
      </c>
      <c r="AT1169" s="6">
        <f>IFERROR(__xludf.DUMMYFUNCTION("""COMPUTED_VALUE"""),1749.7)</f>
        <v/>
      </c>
    </row>
    <row r="1170">
      <c r="B1170" s="6">
        <f>C1170&amp;D1170</f>
        <v/>
      </c>
      <c r="C1170" s="6">
        <f>YEAR(E1170)</f>
        <v/>
      </c>
      <c r="D1170" s="6">
        <f>MONTH(E1170)</f>
        <v/>
      </c>
      <c r="E1170" s="267">
        <f>IFERROR(__xludf.DUMMYFUNCTION("""COMPUTED_VALUE"""),44795.6666666666)</f>
        <v/>
      </c>
      <c r="F1170" s="6">
        <f>IFERROR(__xludf.DUMMYFUNCTION("""COMPUTED_VALUE"""),4137.99)</f>
        <v/>
      </c>
      <c r="J1170" s="6">
        <f>K1170&amp;L1170</f>
        <v/>
      </c>
      <c r="K1170" s="6">
        <f>YEAR(M1170)</f>
        <v/>
      </c>
      <c r="L1170" s="6">
        <f>MONTH(M1170)</f>
        <v/>
      </c>
      <c r="M1170" s="267">
        <f>IFERROR(__xludf.DUMMYFUNCTION("""COMPUTED_VALUE"""),44788.6666666666)</f>
        <v/>
      </c>
      <c r="N1170" s="6">
        <f>IFERROR(__xludf.DUMMYFUNCTION("""COMPUTED_VALUE"""),13128.05)</f>
        <v/>
      </c>
      <c r="R1170" s="6">
        <f>S1170&amp;T1170</f>
        <v/>
      </c>
      <c r="S1170" s="6">
        <f>YEAR(U1170)</f>
        <v/>
      </c>
      <c r="T1170" s="6">
        <f>MONTH(U1170)</f>
        <v/>
      </c>
      <c r="U1170" s="267">
        <f>IFERROR(__xludf.DUMMYFUNCTION("""COMPUTED_VALUE"""),44839.6458333333)</f>
        <v/>
      </c>
      <c r="V1170" s="6">
        <f>IFERROR(__xludf.DUMMYFUNCTION("""COMPUTED_VALUE"""),2215.22)</f>
        <v/>
      </c>
      <c r="Z1170" s="6">
        <f>AA1170&amp;AB1170</f>
        <v/>
      </c>
      <c r="AA1170" s="6">
        <f>YEAR(AC1170)</f>
        <v/>
      </c>
      <c r="AB1170" s="6">
        <f>MONTH(AC1170)</f>
        <v/>
      </c>
      <c r="AC1170" s="267">
        <f>IFERROR(__xludf.DUMMYFUNCTION("""COMPUTED_VALUE"""),44315.9986111111)</f>
        <v/>
      </c>
      <c r="AD1170" s="6">
        <f>IFERROR(__xludf.DUMMYFUNCTION("""COMPUTED_VALUE"""),1106.63)</f>
        <v/>
      </c>
      <c r="AH1170" s="6">
        <f>AI1170&amp;AJ1170</f>
        <v/>
      </c>
      <c r="AI1170" s="6">
        <f>YEAR(AK1170)</f>
        <v/>
      </c>
      <c r="AJ1170" s="6">
        <f>MONTH(AK1170)</f>
        <v/>
      </c>
      <c r="AK1170" s="267">
        <f>IFERROR(__xludf.DUMMYFUNCTION("""COMPUTED_VALUE"""),44263.9986111111)</f>
        <v/>
      </c>
      <c r="AL1170" s="6">
        <f>IFERROR(__xludf.DUMMYFUNCTION("""COMPUTED_VALUE"""),52317.55)</f>
        <v/>
      </c>
      <c r="AP1170" s="6">
        <f>AQ1170&amp;AR1170</f>
        <v/>
      </c>
      <c r="AQ1170" s="6">
        <f>YEAR(AS1170)</f>
        <v/>
      </c>
      <c r="AR1170" s="6">
        <f>MONTH(AS1170)</f>
        <v/>
      </c>
      <c r="AS1170" s="267">
        <f>IFERROR(__xludf.DUMMYFUNCTION("""COMPUTED_VALUE"""),44803.9986111111)</f>
        <v/>
      </c>
      <c r="AT1170" s="6">
        <f>IFERROR(__xludf.DUMMYFUNCTION("""COMPUTED_VALUE"""),1736.3)</f>
        <v/>
      </c>
    </row>
    <row r="1171">
      <c r="B1171" s="6">
        <f>C1171&amp;D1171</f>
        <v/>
      </c>
      <c r="C1171" s="6">
        <f>YEAR(E1171)</f>
        <v/>
      </c>
      <c r="D1171" s="6">
        <f>MONTH(E1171)</f>
        <v/>
      </c>
      <c r="E1171" s="267">
        <f>IFERROR(__xludf.DUMMYFUNCTION("""COMPUTED_VALUE"""),44796.6666666666)</f>
        <v/>
      </c>
      <c r="F1171" s="6">
        <f>IFERROR(__xludf.DUMMYFUNCTION("""COMPUTED_VALUE"""),4128.73)</f>
        <v/>
      </c>
      <c r="J1171" s="6">
        <f>K1171&amp;L1171</f>
        <v/>
      </c>
      <c r="K1171" s="6">
        <f>YEAR(M1171)</f>
        <v/>
      </c>
      <c r="L1171" s="6">
        <f>MONTH(M1171)</f>
        <v/>
      </c>
      <c r="M1171" s="267">
        <f>IFERROR(__xludf.DUMMYFUNCTION("""COMPUTED_VALUE"""),44789.6666666666)</f>
        <v/>
      </c>
      <c r="N1171" s="6">
        <f>IFERROR(__xludf.DUMMYFUNCTION("""COMPUTED_VALUE"""),13102.55)</f>
        <v/>
      </c>
      <c r="R1171" s="6">
        <f>S1171&amp;T1171</f>
        <v/>
      </c>
      <c r="S1171" s="6">
        <f>YEAR(U1171)</f>
        <v/>
      </c>
      <c r="T1171" s="6">
        <f>MONTH(U1171)</f>
        <v/>
      </c>
      <c r="U1171" s="267">
        <f>IFERROR(__xludf.DUMMYFUNCTION("""COMPUTED_VALUE"""),44840.6458333333)</f>
        <v/>
      </c>
      <c r="V1171" s="6">
        <f>IFERROR(__xludf.DUMMYFUNCTION("""COMPUTED_VALUE"""),2237.86)</f>
        <v/>
      </c>
      <c r="Z1171" s="6">
        <f>AA1171&amp;AB1171</f>
        <v/>
      </c>
      <c r="AA1171" s="6">
        <f>YEAR(AC1171)</f>
        <v/>
      </c>
      <c r="AB1171" s="6">
        <f>MONTH(AC1171)</f>
        <v/>
      </c>
      <c r="AC1171" s="267">
        <f>IFERROR(__xludf.DUMMYFUNCTION("""COMPUTED_VALUE"""),44316.9986111111)</f>
        <v/>
      </c>
      <c r="AD1171" s="6">
        <f>IFERROR(__xludf.DUMMYFUNCTION("""COMPUTED_VALUE"""),1116.46)</f>
        <v/>
      </c>
      <c r="AH1171" s="6">
        <f>AI1171&amp;AJ1171</f>
        <v/>
      </c>
      <c r="AI1171" s="6">
        <f>YEAR(AK1171)</f>
        <v/>
      </c>
      <c r="AJ1171" s="6">
        <f>MONTH(AK1171)</f>
        <v/>
      </c>
      <c r="AK1171" s="267">
        <f>IFERROR(__xludf.DUMMYFUNCTION("""COMPUTED_VALUE"""),44264.9986111111)</f>
        <v/>
      </c>
      <c r="AL1171" s="6">
        <f>IFERROR(__xludf.DUMMYFUNCTION("""COMPUTED_VALUE"""),54898.67)</f>
        <v/>
      </c>
      <c r="AP1171" s="6">
        <f>AQ1171&amp;AR1171</f>
        <v/>
      </c>
      <c r="AQ1171" s="6">
        <f>YEAR(AS1171)</f>
        <v/>
      </c>
      <c r="AR1171" s="6">
        <f>MONTH(AS1171)</f>
        <v/>
      </c>
      <c r="AS1171" s="267">
        <f>IFERROR(__xludf.DUMMYFUNCTION("""COMPUTED_VALUE"""),44804.9986111111)</f>
        <v/>
      </c>
      <c r="AT1171" s="6">
        <f>IFERROR(__xludf.DUMMYFUNCTION("""COMPUTED_VALUE"""),1726.2)</f>
        <v/>
      </c>
    </row>
    <row r="1172">
      <c r="B1172" s="6">
        <f>C1172&amp;D1172</f>
        <v/>
      </c>
      <c r="C1172" s="6">
        <f>YEAR(E1172)</f>
        <v/>
      </c>
      <c r="D1172" s="6">
        <f>MONTH(E1172)</f>
        <v/>
      </c>
      <c r="E1172" s="267">
        <f>IFERROR(__xludf.DUMMYFUNCTION("""COMPUTED_VALUE"""),44797.6666666666)</f>
        <v/>
      </c>
      <c r="F1172" s="6">
        <f>IFERROR(__xludf.DUMMYFUNCTION("""COMPUTED_VALUE"""),4140.77)</f>
        <v/>
      </c>
      <c r="J1172" s="6">
        <f>K1172&amp;L1172</f>
        <v/>
      </c>
      <c r="K1172" s="6">
        <f>YEAR(M1172)</f>
        <v/>
      </c>
      <c r="L1172" s="6">
        <f>MONTH(M1172)</f>
        <v/>
      </c>
      <c r="M1172" s="267">
        <f>IFERROR(__xludf.DUMMYFUNCTION("""COMPUTED_VALUE"""),44790.6666666666)</f>
        <v/>
      </c>
      <c r="N1172" s="6">
        <f>IFERROR(__xludf.DUMMYFUNCTION("""COMPUTED_VALUE"""),12938.12)</f>
        <v/>
      </c>
      <c r="R1172" s="6">
        <f>S1172&amp;T1172</f>
        <v/>
      </c>
      <c r="S1172" s="6">
        <f>YEAR(U1172)</f>
        <v/>
      </c>
      <c r="T1172" s="6">
        <f>MONTH(U1172)</f>
        <v/>
      </c>
      <c r="U1172" s="267">
        <f>IFERROR(__xludf.DUMMYFUNCTION("""COMPUTED_VALUE"""),44841.6458333333)</f>
        <v/>
      </c>
      <c r="V1172" s="6">
        <f>IFERROR(__xludf.DUMMYFUNCTION("""COMPUTED_VALUE"""),2232.84)</f>
        <v/>
      </c>
      <c r="Z1172" s="6">
        <f>AA1172&amp;AB1172</f>
        <v/>
      </c>
      <c r="AA1172" s="6">
        <f>YEAR(AC1172)</f>
        <v/>
      </c>
      <c r="AB1172" s="6">
        <f>MONTH(AC1172)</f>
        <v/>
      </c>
      <c r="AC1172" s="267">
        <f>IFERROR(__xludf.DUMMYFUNCTION("""COMPUTED_VALUE"""),44317.9986111111)</f>
        <v/>
      </c>
      <c r="AD1172" s="6">
        <f>IFERROR(__xludf.DUMMYFUNCTION("""COMPUTED_VALUE"""),1115.86)</f>
        <v/>
      </c>
      <c r="AH1172" s="6">
        <f>AI1172&amp;AJ1172</f>
        <v/>
      </c>
      <c r="AI1172" s="6">
        <f>YEAR(AK1172)</f>
        <v/>
      </c>
      <c r="AJ1172" s="6">
        <f>MONTH(AK1172)</f>
        <v/>
      </c>
      <c r="AK1172" s="267">
        <f>IFERROR(__xludf.DUMMYFUNCTION("""COMPUTED_VALUE"""),44265.9986111111)</f>
        <v/>
      </c>
      <c r="AL1172" s="6">
        <f>IFERROR(__xludf.DUMMYFUNCTION("""COMPUTED_VALUE"""),55901.2)</f>
        <v/>
      </c>
      <c r="AP1172" s="6">
        <f>AQ1172&amp;AR1172</f>
        <v/>
      </c>
      <c r="AQ1172" s="6">
        <f>YEAR(AS1172)</f>
        <v/>
      </c>
      <c r="AR1172" s="6">
        <f>MONTH(AS1172)</f>
        <v/>
      </c>
      <c r="AS1172" s="267">
        <f>IFERROR(__xludf.DUMMYFUNCTION("""COMPUTED_VALUE"""),44805.9986111111)</f>
        <v/>
      </c>
      <c r="AT1172" s="6">
        <f>IFERROR(__xludf.DUMMYFUNCTION("""COMPUTED_VALUE"""),1709.3)</f>
        <v/>
      </c>
    </row>
    <row r="1173">
      <c r="B1173" s="6">
        <f>C1173&amp;D1173</f>
        <v/>
      </c>
      <c r="C1173" s="6">
        <f>YEAR(E1173)</f>
        <v/>
      </c>
      <c r="D1173" s="6">
        <f>MONTH(E1173)</f>
        <v/>
      </c>
      <c r="E1173" s="267">
        <f>IFERROR(__xludf.DUMMYFUNCTION("""COMPUTED_VALUE"""),44798.6666666666)</f>
        <v/>
      </c>
      <c r="F1173" s="6">
        <f>IFERROR(__xludf.DUMMYFUNCTION("""COMPUTED_VALUE"""),4199.12)</f>
        <v/>
      </c>
      <c r="J1173" s="6">
        <f>K1173&amp;L1173</f>
        <v/>
      </c>
      <c r="K1173" s="6">
        <f>YEAR(M1173)</f>
        <v/>
      </c>
      <c r="L1173" s="6">
        <f>MONTH(M1173)</f>
        <v/>
      </c>
      <c r="M1173" s="267">
        <f>IFERROR(__xludf.DUMMYFUNCTION("""COMPUTED_VALUE"""),44791.6666666666)</f>
        <v/>
      </c>
      <c r="N1173" s="6">
        <f>IFERROR(__xludf.DUMMYFUNCTION("""COMPUTED_VALUE"""),12965.34)</f>
        <v/>
      </c>
      <c r="R1173" s="6">
        <f>S1173&amp;T1173</f>
        <v/>
      </c>
      <c r="S1173" s="6">
        <f>YEAR(U1173)</f>
        <v/>
      </c>
      <c r="T1173" s="6">
        <f>MONTH(U1173)</f>
        <v/>
      </c>
      <c r="U1173" s="267">
        <f>IFERROR(__xludf.DUMMYFUNCTION("""COMPUTED_VALUE"""),44845.6458333333)</f>
        <v/>
      </c>
      <c r="V1173" s="6">
        <f>IFERROR(__xludf.DUMMYFUNCTION("""COMPUTED_VALUE"""),2192.07)</f>
        <v/>
      </c>
      <c r="Z1173" s="6">
        <f>AA1173&amp;AB1173</f>
        <v/>
      </c>
      <c r="AA1173" s="6">
        <f>YEAR(AC1173)</f>
        <v/>
      </c>
      <c r="AB1173" s="6">
        <f>MONTH(AC1173)</f>
        <v/>
      </c>
      <c r="AC1173" s="267">
        <f>IFERROR(__xludf.DUMMYFUNCTION("""COMPUTED_VALUE"""),44318.9986111111)</f>
        <v/>
      </c>
      <c r="AD1173" s="6">
        <f>IFERROR(__xludf.DUMMYFUNCTION("""COMPUTED_VALUE"""),1116.76)</f>
        <v/>
      </c>
      <c r="AH1173" s="6">
        <f>AI1173&amp;AJ1173</f>
        <v/>
      </c>
      <c r="AI1173" s="6">
        <f>YEAR(AK1173)</f>
        <v/>
      </c>
      <c r="AJ1173" s="6">
        <f>MONTH(AK1173)</f>
        <v/>
      </c>
      <c r="AK1173" s="267">
        <f>IFERROR(__xludf.DUMMYFUNCTION("""COMPUTED_VALUE"""),44266.9986111111)</f>
        <v/>
      </c>
      <c r="AL1173" s="6">
        <f>IFERROR(__xludf.DUMMYFUNCTION("""COMPUTED_VALUE"""),57794.57)</f>
        <v/>
      </c>
      <c r="AP1173" s="6">
        <f>AQ1173&amp;AR1173</f>
        <v/>
      </c>
      <c r="AQ1173" s="6">
        <f>YEAR(AS1173)</f>
        <v/>
      </c>
      <c r="AR1173" s="6">
        <f>MONTH(AS1173)</f>
        <v/>
      </c>
      <c r="AS1173" s="267">
        <f>IFERROR(__xludf.DUMMYFUNCTION("""COMPUTED_VALUE"""),44806.9986111111)</f>
        <v/>
      </c>
      <c r="AT1173" s="6">
        <f>IFERROR(__xludf.DUMMYFUNCTION("""COMPUTED_VALUE"""),1722.6)</f>
        <v/>
      </c>
    </row>
    <row r="1174">
      <c r="B1174" s="6">
        <f>C1174&amp;D1174</f>
        <v/>
      </c>
      <c r="C1174" s="6">
        <f>YEAR(E1174)</f>
        <v/>
      </c>
      <c r="D1174" s="6">
        <f>MONTH(E1174)</f>
        <v/>
      </c>
      <c r="E1174" s="267">
        <f>IFERROR(__xludf.DUMMYFUNCTION("""COMPUTED_VALUE"""),44799.6666666666)</f>
        <v/>
      </c>
      <c r="F1174" s="6">
        <f>IFERROR(__xludf.DUMMYFUNCTION("""COMPUTED_VALUE"""),4057.66)</f>
        <v/>
      </c>
      <c r="J1174" s="6">
        <f>K1174&amp;L1174</f>
        <v/>
      </c>
      <c r="K1174" s="6">
        <f>YEAR(M1174)</f>
        <v/>
      </c>
      <c r="L1174" s="6">
        <f>MONTH(M1174)</f>
        <v/>
      </c>
      <c r="M1174" s="267">
        <f>IFERROR(__xludf.DUMMYFUNCTION("""COMPUTED_VALUE"""),44792.6666666666)</f>
        <v/>
      </c>
      <c r="N1174" s="6">
        <f>IFERROR(__xludf.DUMMYFUNCTION("""COMPUTED_VALUE"""),12705.22)</f>
        <v/>
      </c>
      <c r="R1174" s="6">
        <f>S1174&amp;T1174</f>
        <v/>
      </c>
      <c r="S1174" s="6">
        <f>YEAR(U1174)</f>
        <v/>
      </c>
      <c r="T1174" s="6">
        <f>MONTH(U1174)</f>
        <v/>
      </c>
      <c r="U1174" s="267">
        <f>IFERROR(__xludf.DUMMYFUNCTION("""COMPUTED_VALUE"""),44846.6458333333)</f>
        <v/>
      </c>
      <c r="V1174" s="6">
        <f>IFERROR(__xludf.DUMMYFUNCTION("""COMPUTED_VALUE"""),2202.47)</f>
        <v/>
      </c>
      <c r="Z1174" s="6">
        <f>AA1174&amp;AB1174</f>
        <v/>
      </c>
      <c r="AA1174" s="6">
        <f>YEAR(AC1174)</f>
        <v/>
      </c>
      <c r="AB1174" s="6">
        <f>MONTH(AC1174)</f>
        <v/>
      </c>
      <c r="AC1174" s="267">
        <f>IFERROR(__xludf.DUMMYFUNCTION("""COMPUTED_VALUE"""),44319.9986111111)</f>
        <v/>
      </c>
      <c r="AD1174" s="6">
        <f>IFERROR(__xludf.DUMMYFUNCTION("""COMPUTED_VALUE"""),1120.4)</f>
        <v/>
      </c>
      <c r="AH1174" s="6">
        <f>AI1174&amp;AJ1174</f>
        <v/>
      </c>
      <c r="AI1174" s="6">
        <f>YEAR(AK1174)</f>
        <v/>
      </c>
      <c r="AJ1174" s="6">
        <f>MONTH(AK1174)</f>
        <v/>
      </c>
      <c r="AK1174" s="267">
        <f>IFERROR(__xludf.DUMMYFUNCTION("""COMPUTED_VALUE"""),44267.9986111111)</f>
        <v/>
      </c>
      <c r="AL1174" s="6">
        <f>IFERROR(__xludf.DUMMYFUNCTION("""COMPUTED_VALUE"""),57229.31)</f>
        <v/>
      </c>
      <c r="AP1174" s="6">
        <f>AQ1174&amp;AR1174</f>
        <v/>
      </c>
      <c r="AQ1174" s="6">
        <f>YEAR(AS1174)</f>
        <v/>
      </c>
      <c r="AR1174" s="6">
        <f>MONTH(AS1174)</f>
        <v/>
      </c>
      <c r="AS1174" s="267">
        <f>IFERROR(__xludf.DUMMYFUNCTION("""COMPUTED_VALUE"""),44810.9986111111)</f>
        <v/>
      </c>
      <c r="AT1174" s="6">
        <f>IFERROR(__xludf.DUMMYFUNCTION("""COMPUTED_VALUE"""),1712.9)</f>
        <v/>
      </c>
    </row>
    <row r="1175">
      <c r="B1175" s="6">
        <f>C1175&amp;D1175</f>
        <v/>
      </c>
      <c r="C1175" s="6">
        <f>YEAR(E1175)</f>
        <v/>
      </c>
      <c r="D1175" s="6">
        <f>MONTH(E1175)</f>
        <v/>
      </c>
      <c r="E1175" s="267">
        <f>IFERROR(__xludf.DUMMYFUNCTION("""COMPUTED_VALUE"""),44802.6666666666)</f>
        <v/>
      </c>
      <c r="F1175" s="6">
        <f>IFERROR(__xludf.DUMMYFUNCTION("""COMPUTED_VALUE"""),4030.61)</f>
        <v/>
      </c>
      <c r="J1175" s="6">
        <f>K1175&amp;L1175</f>
        <v/>
      </c>
      <c r="K1175" s="6">
        <f>YEAR(M1175)</f>
        <v/>
      </c>
      <c r="L1175" s="6">
        <f>MONTH(M1175)</f>
        <v/>
      </c>
      <c r="M1175" s="267">
        <f>IFERROR(__xludf.DUMMYFUNCTION("""COMPUTED_VALUE"""),44795.6666666666)</f>
        <v/>
      </c>
      <c r="N1175" s="6">
        <f>IFERROR(__xludf.DUMMYFUNCTION("""COMPUTED_VALUE"""),12381.57)</f>
        <v/>
      </c>
      <c r="R1175" s="6">
        <f>S1175&amp;T1175</f>
        <v/>
      </c>
      <c r="S1175" s="6">
        <f>YEAR(U1175)</f>
        <v/>
      </c>
      <c r="T1175" s="6">
        <f>MONTH(U1175)</f>
        <v/>
      </c>
      <c r="U1175" s="267">
        <f>IFERROR(__xludf.DUMMYFUNCTION("""COMPUTED_VALUE"""),44847.6458333333)</f>
        <v/>
      </c>
      <c r="V1175" s="6">
        <f>IFERROR(__xludf.DUMMYFUNCTION("""COMPUTED_VALUE"""),2162.87)</f>
        <v/>
      </c>
      <c r="Z1175" s="6">
        <f>AA1175&amp;AB1175</f>
        <v/>
      </c>
      <c r="AA1175" s="6">
        <f>YEAR(AC1175)</f>
        <v/>
      </c>
      <c r="AB1175" s="6">
        <f>MONTH(AC1175)</f>
        <v/>
      </c>
      <c r="AC1175" s="267">
        <f>IFERROR(__xludf.DUMMYFUNCTION("""COMPUTED_VALUE"""),44320.9986111111)</f>
        <v/>
      </c>
      <c r="AD1175" s="6">
        <f>IFERROR(__xludf.DUMMYFUNCTION("""COMPUTED_VALUE"""),1124.91)</f>
        <v/>
      </c>
      <c r="AH1175" s="6">
        <f>AI1175&amp;AJ1175</f>
        <v/>
      </c>
      <c r="AI1175" s="6">
        <f>YEAR(AK1175)</f>
        <v/>
      </c>
      <c r="AJ1175" s="6">
        <f>MONTH(AK1175)</f>
        <v/>
      </c>
      <c r="AK1175" s="267">
        <f>IFERROR(__xludf.DUMMYFUNCTION("""COMPUTED_VALUE"""),44268.9986111111)</f>
        <v/>
      </c>
      <c r="AL1175" s="6">
        <f>IFERROR(__xludf.DUMMYFUNCTION("""COMPUTED_VALUE"""),61190.87)</f>
        <v/>
      </c>
      <c r="AP1175" s="6">
        <f>AQ1175&amp;AR1175</f>
        <v/>
      </c>
      <c r="AQ1175" s="6">
        <f>YEAR(AS1175)</f>
        <v/>
      </c>
      <c r="AR1175" s="6">
        <f>MONTH(AS1175)</f>
        <v/>
      </c>
      <c r="AS1175" s="267">
        <f>IFERROR(__xludf.DUMMYFUNCTION("""COMPUTED_VALUE"""),44811.9986111111)</f>
        <v/>
      </c>
      <c r="AT1175" s="6">
        <f>IFERROR(__xludf.DUMMYFUNCTION("""COMPUTED_VALUE"""),1727.8)</f>
        <v/>
      </c>
    </row>
    <row r="1176">
      <c r="B1176" s="6">
        <f>C1176&amp;D1176</f>
        <v/>
      </c>
      <c r="C1176" s="6">
        <f>YEAR(E1176)</f>
        <v/>
      </c>
      <c r="D1176" s="6">
        <f>MONTH(E1176)</f>
        <v/>
      </c>
      <c r="E1176" s="267">
        <f>IFERROR(__xludf.DUMMYFUNCTION("""COMPUTED_VALUE"""),44803.6666666666)</f>
        <v/>
      </c>
      <c r="F1176" s="6">
        <f>IFERROR(__xludf.DUMMYFUNCTION("""COMPUTED_VALUE"""),3986.16)</f>
        <v/>
      </c>
      <c r="J1176" s="6">
        <f>K1176&amp;L1176</f>
        <v/>
      </c>
      <c r="K1176" s="6">
        <f>YEAR(M1176)</f>
        <v/>
      </c>
      <c r="L1176" s="6">
        <f>MONTH(M1176)</f>
        <v/>
      </c>
      <c r="M1176" s="267">
        <f>IFERROR(__xludf.DUMMYFUNCTION("""COMPUTED_VALUE"""),44796.6666666666)</f>
        <v/>
      </c>
      <c r="N1176" s="6">
        <f>IFERROR(__xludf.DUMMYFUNCTION("""COMPUTED_VALUE"""),12381.3)</f>
        <v/>
      </c>
      <c r="R1176" s="6">
        <f>S1176&amp;T1176</f>
        <v/>
      </c>
      <c r="S1176" s="6">
        <f>YEAR(U1176)</f>
        <v/>
      </c>
      <c r="T1176" s="6">
        <f>MONTH(U1176)</f>
        <v/>
      </c>
      <c r="U1176" s="267">
        <f>IFERROR(__xludf.DUMMYFUNCTION("""COMPUTED_VALUE"""),44848.6458333333)</f>
        <v/>
      </c>
      <c r="V1176" s="6">
        <f>IFERROR(__xludf.DUMMYFUNCTION("""COMPUTED_VALUE"""),2212.55)</f>
        <v/>
      </c>
      <c r="Z1176" s="6">
        <f>AA1176&amp;AB1176</f>
        <v/>
      </c>
      <c r="AA1176" s="6">
        <f>YEAR(AC1176)</f>
        <v/>
      </c>
      <c r="AB1176" s="6">
        <f>MONTH(AC1176)</f>
        <v/>
      </c>
      <c r="AC1176" s="267">
        <f>IFERROR(__xludf.DUMMYFUNCTION("""COMPUTED_VALUE"""),44321.9986111111)</f>
        <v/>
      </c>
      <c r="AD1176" s="6">
        <f>IFERROR(__xludf.DUMMYFUNCTION("""COMPUTED_VALUE"""),1123.99)</f>
        <v/>
      </c>
      <c r="AH1176" s="6">
        <f>AI1176&amp;AJ1176</f>
        <v/>
      </c>
      <c r="AI1176" s="6">
        <f>YEAR(AK1176)</f>
        <v/>
      </c>
      <c r="AJ1176" s="6">
        <f>MONTH(AK1176)</f>
        <v/>
      </c>
      <c r="AK1176" s="267">
        <f>IFERROR(__xludf.DUMMYFUNCTION("""COMPUTED_VALUE"""),44269.9986111111)</f>
        <v/>
      </c>
      <c r="AL1176" s="6">
        <f>IFERROR(__xludf.DUMMYFUNCTION("""COMPUTED_VALUE"""),59014.37)</f>
        <v/>
      </c>
      <c r="AP1176" s="6">
        <f>AQ1176&amp;AR1176</f>
        <v/>
      </c>
      <c r="AQ1176" s="6">
        <f>YEAR(AS1176)</f>
        <v/>
      </c>
      <c r="AR1176" s="6">
        <f>MONTH(AS1176)</f>
        <v/>
      </c>
      <c r="AS1176" s="267">
        <f>IFERROR(__xludf.DUMMYFUNCTION("""COMPUTED_VALUE"""),44812.9986111111)</f>
        <v/>
      </c>
      <c r="AT1176" s="6">
        <f>IFERROR(__xludf.DUMMYFUNCTION("""COMPUTED_VALUE"""),1720.2)</f>
        <v/>
      </c>
    </row>
    <row r="1177">
      <c r="B1177" s="6">
        <f>C1177&amp;D1177</f>
        <v/>
      </c>
      <c r="C1177" s="6">
        <f>YEAR(E1177)</f>
        <v/>
      </c>
      <c r="D1177" s="6">
        <f>MONTH(E1177)</f>
        <v/>
      </c>
      <c r="E1177" s="267">
        <f>IFERROR(__xludf.DUMMYFUNCTION("""COMPUTED_VALUE"""),44804.6666666666)</f>
        <v/>
      </c>
      <c r="F1177" s="6">
        <f>IFERROR(__xludf.DUMMYFUNCTION("""COMPUTED_VALUE"""),3955)</f>
        <v/>
      </c>
      <c r="J1177" s="6">
        <f>K1177&amp;L1177</f>
        <v/>
      </c>
      <c r="K1177" s="6">
        <f>YEAR(M1177)</f>
        <v/>
      </c>
      <c r="L1177" s="6">
        <f>MONTH(M1177)</f>
        <v/>
      </c>
      <c r="M1177" s="267">
        <f>IFERROR(__xludf.DUMMYFUNCTION("""COMPUTED_VALUE"""),44797.6666666666)</f>
        <v/>
      </c>
      <c r="N1177" s="6">
        <f>IFERROR(__xludf.DUMMYFUNCTION("""COMPUTED_VALUE"""),12431.53)</f>
        <v/>
      </c>
      <c r="R1177" s="6">
        <f>S1177&amp;T1177</f>
        <v/>
      </c>
      <c r="S1177" s="6">
        <f>YEAR(U1177)</f>
        <v/>
      </c>
      <c r="T1177" s="6">
        <f>MONTH(U1177)</f>
        <v/>
      </c>
      <c r="U1177" s="267">
        <f>IFERROR(__xludf.DUMMYFUNCTION("""COMPUTED_VALUE"""),44851.6458333333)</f>
        <v/>
      </c>
      <c r="V1177" s="6">
        <f>IFERROR(__xludf.DUMMYFUNCTION("""COMPUTED_VALUE"""),2219.71)</f>
        <v/>
      </c>
      <c r="Z1177" s="6">
        <f>AA1177&amp;AB1177</f>
        <v/>
      </c>
      <c r="AA1177" s="6">
        <f>YEAR(AC1177)</f>
        <v/>
      </c>
      <c r="AB1177" s="6">
        <f>MONTH(AC1177)</f>
        <v/>
      </c>
      <c r="AC1177" s="267">
        <f>IFERROR(__xludf.DUMMYFUNCTION("""COMPUTED_VALUE"""),44322.9986111111)</f>
        <v/>
      </c>
      <c r="AD1177" s="6">
        <f>IFERROR(__xludf.DUMMYFUNCTION("""COMPUTED_VALUE"""),1119.39)</f>
        <v/>
      </c>
      <c r="AH1177" s="6">
        <f>AI1177&amp;AJ1177</f>
        <v/>
      </c>
      <c r="AI1177" s="6">
        <f>YEAR(AK1177)</f>
        <v/>
      </c>
      <c r="AJ1177" s="6">
        <f>MONTH(AK1177)</f>
        <v/>
      </c>
      <c r="AK1177" s="267">
        <f>IFERROR(__xludf.DUMMYFUNCTION("""COMPUTED_VALUE"""),44270.9986111111)</f>
        <v/>
      </c>
      <c r="AL1177" s="6">
        <f>IFERROR(__xludf.DUMMYFUNCTION("""COMPUTED_VALUE"""),55608.05)</f>
        <v/>
      </c>
      <c r="AP1177" s="6">
        <f>AQ1177&amp;AR1177</f>
        <v/>
      </c>
      <c r="AQ1177" s="6">
        <f>YEAR(AS1177)</f>
        <v/>
      </c>
      <c r="AR1177" s="6">
        <f>MONTH(AS1177)</f>
        <v/>
      </c>
      <c r="AS1177" s="267">
        <f>IFERROR(__xludf.DUMMYFUNCTION("""COMPUTED_VALUE"""),44813.9986111111)</f>
        <v/>
      </c>
      <c r="AT1177" s="6">
        <f>IFERROR(__xludf.DUMMYFUNCTION("""COMPUTED_VALUE"""),1728.6)</f>
        <v/>
      </c>
    </row>
    <row r="1178">
      <c r="B1178" s="6">
        <f>C1178&amp;D1178</f>
        <v/>
      </c>
      <c r="C1178" s="6">
        <f>YEAR(E1178)</f>
        <v/>
      </c>
      <c r="D1178" s="6">
        <f>MONTH(E1178)</f>
        <v/>
      </c>
      <c r="E1178" s="267">
        <f>IFERROR(__xludf.DUMMYFUNCTION("""COMPUTED_VALUE"""),44805.6666666666)</f>
        <v/>
      </c>
      <c r="F1178" s="6">
        <f>IFERROR(__xludf.DUMMYFUNCTION("""COMPUTED_VALUE"""),3966.85)</f>
        <v/>
      </c>
      <c r="J1178" s="6">
        <f>K1178&amp;L1178</f>
        <v/>
      </c>
      <c r="K1178" s="6">
        <f>YEAR(M1178)</f>
        <v/>
      </c>
      <c r="L1178" s="6">
        <f>MONTH(M1178)</f>
        <v/>
      </c>
      <c r="M1178" s="267">
        <f>IFERROR(__xludf.DUMMYFUNCTION("""COMPUTED_VALUE"""),44798.6666666666)</f>
        <v/>
      </c>
      <c r="N1178" s="6">
        <f>IFERROR(__xludf.DUMMYFUNCTION("""COMPUTED_VALUE"""),12639.27)</f>
        <v/>
      </c>
      <c r="R1178" s="6">
        <f>S1178&amp;T1178</f>
        <v/>
      </c>
      <c r="S1178" s="6">
        <f>YEAR(U1178)</f>
        <v/>
      </c>
      <c r="T1178" s="6">
        <f>MONTH(U1178)</f>
        <v/>
      </c>
      <c r="U1178" s="267">
        <f>IFERROR(__xludf.DUMMYFUNCTION("""COMPUTED_VALUE"""),44852.6458333333)</f>
        <v/>
      </c>
      <c r="V1178" s="6">
        <f>IFERROR(__xludf.DUMMYFUNCTION("""COMPUTED_VALUE"""),2249.95)</f>
        <v/>
      </c>
      <c r="Z1178" s="6">
        <f>AA1178&amp;AB1178</f>
        <v/>
      </c>
      <c r="AA1178" s="6">
        <f>YEAR(AC1178)</f>
        <v/>
      </c>
      <c r="AB1178" s="6">
        <f>MONTH(AC1178)</f>
        <v/>
      </c>
      <c r="AC1178" s="267">
        <f>IFERROR(__xludf.DUMMYFUNCTION("""COMPUTED_VALUE"""),44323.9986111111)</f>
        <v/>
      </c>
      <c r="AD1178" s="6">
        <f>IFERROR(__xludf.DUMMYFUNCTION("""COMPUTED_VALUE"""),1111.87)</f>
        <v/>
      </c>
      <c r="AH1178" s="6">
        <f>AI1178&amp;AJ1178</f>
        <v/>
      </c>
      <c r="AI1178" s="6">
        <f>YEAR(AK1178)</f>
        <v/>
      </c>
      <c r="AJ1178" s="6">
        <f>MONTH(AK1178)</f>
        <v/>
      </c>
      <c r="AK1178" s="267">
        <f>IFERROR(__xludf.DUMMYFUNCTION("""COMPUTED_VALUE"""),44271.9986111111)</f>
        <v/>
      </c>
      <c r="AL1178" s="6">
        <f>IFERROR(__xludf.DUMMYFUNCTION("""COMPUTED_VALUE"""),56904.06)</f>
        <v/>
      </c>
      <c r="AP1178" s="6">
        <f>AQ1178&amp;AR1178</f>
        <v/>
      </c>
      <c r="AQ1178" s="6">
        <f>YEAR(AS1178)</f>
        <v/>
      </c>
      <c r="AR1178" s="6">
        <f>MONTH(AS1178)</f>
        <v/>
      </c>
      <c r="AS1178" s="267">
        <f>IFERROR(__xludf.DUMMYFUNCTION("""COMPUTED_VALUE"""),44816.9986111111)</f>
        <v/>
      </c>
      <c r="AT1178" s="6">
        <f>IFERROR(__xludf.DUMMYFUNCTION("""COMPUTED_VALUE"""),1740.6)</f>
        <v/>
      </c>
    </row>
    <row r="1179">
      <c r="B1179" s="6">
        <f>C1179&amp;D1179</f>
        <v/>
      </c>
      <c r="C1179" s="6">
        <f>YEAR(E1179)</f>
        <v/>
      </c>
      <c r="D1179" s="6">
        <f>MONTH(E1179)</f>
        <v/>
      </c>
      <c r="E1179" s="267">
        <f>IFERROR(__xludf.DUMMYFUNCTION("""COMPUTED_VALUE"""),44806.6666666666)</f>
        <v/>
      </c>
      <c r="F1179" s="6">
        <f>IFERROR(__xludf.DUMMYFUNCTION("""COMPUTED_VALUE"""),3924.26)</f>
        <v/>
      </c>
      <c r="J1179" s="6">
        <f>K1179&amp;L1179</f>
        <v/>
      </c>
      <c r="K1179" s="6">
        <f>YEAR(M1179)</f>
        <v/>
      </c>
      <c r="L1179" s="6">
        <f>MONTH(M1179)</f>
        <v/>
      </c>
      <c r="M1179" s="267">
        <f>IFERROR(__xludf.DUMMYFUNCTION("""COMPUTED_VALUE"""),44799.6666666666)</f>
        <v/>
      </c>
      <c r="N1179" s="6">
        <f>IFERROR(__xludf.DUMMYFUNCTION("""COMPUTED_VALUE"""),12141.71)</f>
        <v/>
      </c>
      <c r="R1179" s="6">
        <f>S1179&amp;T1179</f>
        <v/>
      </c>
      <c r="S1179" s="6">
        <f>YEAR(U1179)</f>
        <v/>
      </c>
      <c r="T1179" s="6">
        <f>MONTH(U1179)</f>
        <v/>
      </c>
      <c r="U1179" s="267">
        <f>IFERROR(__xludf.DUMMYFUNCTION("""COMPUTED_VALUE"""),44853.6458333333)</f>
        <v/>
      </c>
      <c r="V1179" s="6">
        <f>IFERROR(__xludf.DUMMYFUNCTION("""COMPUTED_VALUE"""),2237.44)</f>
        <v/>
      </c>
      <c r="Z1179" s="6">
        <f>AA1179&amp;AB1179</f>
        <v/>
      </c>
      <c r="AA1179" s="6">
        <f>YEAR(AC1179)</f>
        <v/>
      </c>
      <c r="AB1179" s="6">
        <f>MONTH(AC1179)</f>
        <v/>
      </c>
      <c r="AC1179" s="267">
        <f>IFERROR(__xludf.DUMMYFUNCTION("""COMPUTED_VALUE"""),44324.9986111111)</f>
        <v/>
      </c>
      <c r="AD1179" s="6">
        <f>IFERROR(__xludf.DUMMYFUNCTION("""COMPUTED_VALUE"""),1111.47)</f>
        <v/>
      </c>
      <c r="AH1179" s="6">
        <f>AI1179&amp;AJ1179</f>
        <v/>
      </c>
      <c r="AI1179" s="6">
        <f>YEAR(AK1179)</f>
        <v/>
      </c>
      <c r="AJ1179" s="6">
        <f>MONTH(AK1179)</f>
        <v/>
      </c>
      <c r="AK1179" s="267">
        <f>IFERROR(__xludf.DUMMYFUNCTION("""COMPUTED_VALUE"""),44272.9986111111)</f>
        <v/>
      </c>
      <c r="AL1179" s="6">
        <f>IFERROR(__xludf.DUMMYFUNCTION("""COMPUTED_VALUE"""),58898.21)</f>
        <v/>
      </c>
      <c r="AP1179" s="6">
        <f>AQ1179&amp;AR1179</f>
        <v/>
      </c>
      <c r="AQ1179" s="6">
        <f>YEAR(AS1179)</f>
        <v/>
      </c>
      <c r="AR1179" s="6">
        <f>MONTH(AS1179)</f>
        <v/>
      </c>
      <c r="AS1179" s="267">
        <f>IFERROR(__xludf.DUMMYFUNCTION("""COMPUTED_VALUE"""),44817.9986111111)</f>
        <v/>
      </c>
      <c r="AT1179" s="6">
        <f>IFERROR(__xludf.DUMMYFUNCTION("""COMPUTED_VALUE"""),1717.4)</f>
        <v/>
      </c>
    </row>
    <row r="1180">
      <c r="B1180" s="6">
        <f>C1180&amp;D1180</f>
        <v/>
      </c>
      <c r="C1180" s="6">
        <f>YEAR(E1180)</f>
        <v/>
      </c>
      <c r="D1180" s="6">
        <f>MONTH(E1180)</f>
        <v/>
      </c>
      <c r="E1180" s="267">
        <f>IFERROR(__xludf.DUMMYFUNCTION("""COMPUTED_VALUE"""),44810.6666666666)</f>
        <v/>
      </c>
      <c r="F1180" s="6">
        <f>IFERROR(__xludf.DUMMYFUNCTION("""COMPUTED_VALUE"""),3908.19)</f>
        <v/>
      </c>
      <c r="J1180" s="6">
        <f>K1180&amp;L1180</f>
        <v/>
      </c>
      <c r="K1180" s="6">
        <f>YEAR(M1180)</f>
        <v/>
      </c>
      <c r="L1180" s="6">
        <f>MONTH(M1180)</f>
        <v/>
      </c>
      <c r="M1180" s="267">
        <f>IFERROR(__xludf.DUMMYFUNCTION("""COMPUTED_VALUE"""),44802.6666666666)</f>
        <v/>
      </c>
      <c r="N1180" s="6">
        <f>IFERROR(__xludf.DUMMYFUNCTION("""COMPUTED_VALUE"""),12017.67)</f>
        <v/>
      </c>
      <c r="R1180" s="6">
        <f>S1180&amp;T1180</f>
        <v/>
      </c>
      <c r="S1180" s="6">
        <f>YEAR(U1180)</f>
        <v/>
      </c>
      <c r="T1180" s="6">
        <f>MONTH(U1180)</f>
        <v/>
      </c>
      <c r="U1180" s="267">
        <f>IFERROR(__xludf.DUMMYFUNCTION("""COMPUTED_VALUE"""),44854.6458333333)</f>
        <v/>
      </c>
      <c r="V1180" s="6">
        <f>IFERROR(__xludf.DUMMYFUNCTION("""COMPUTED_VALUE"""),2218.09)</f>
        <v/>
      </c>
      <c r="Z1180" s="6">
        <f>AA1180&amp;AB1180</f>
        <v/>
      </c>
      <c r="AA1180" s="6">
        <f>YEAR(AC1180)</f>
        <v/>
      </c>
      <c r="AB1180" s="6">
        <f>MONTH(AC1180)</f>
        <v/>
      </c>
      <c r="AC1180" s="267">
        <f>IFERROR(__xludf.DUMMYFUNCTION("""COMPUTED_VALUE"""),44325.9986111111)</f>
        <v/>
      </c>
      <c r="AD1180" s="6">
        <f>IFERROR(__xludf.DUMMYFUNCTION("""COMPUTED_VALUE"""),1111.97)</f>
        <v/>
      </c>
      <c r="AH1180" s="6">
        <f>AI1180&amp;AJ1180</f>
        <v/>
      </c>
      <c r="AI1180" s="6">
        <f>YEAR(AK1180)</f>
        <v/>
      </c>
      <c r="AJ1180" s="6">
        <f>MONTH(AK1180)</f>
        <v/>
      </c>
      <c r="AK1180" s="267">
        <f>IFERROR(__xludf.DUMMYFUNCTION("""COMPUTED_VALUE"""),44273.9986111111)</f>
        <v/>
      </c>
      <c r="AL1180" s="6">
        <f>IFERROR(__xludf.DUMMYFUNCTION("""COMPUTED_VALUE"""),57647.56)</f>
        <v/>
      </c>
      <c r="AP1180" s="6">
        <f>AQ1180&amp;AR1180</f>
        <v/>
      </c>
      <c r="AQ1180" s="6">
        <f>YEAR(AS1180)</f>
        <v/>
      </c>
      <c r="AR1180" s="6">
        <f>MONTH(AS1180)</f>
        <v/>
      </c>
      <c r="AS1180" s="267">
        <f>IFERROR(__xludf.DUMMYFUNCTION("""COMPUTED_VALUE"""),44818.9986111111)</f>
        <v/>
      </c>
      <c r="AT1180" s="6">
        <f>IFERROR(__xludf.DUMMYFUNCTION("""COMPUTED_VALUE"""),1709.1)</f>
        <v/>
      </c>
    </row>
    <row r="1181">
      <c r="B1181" s="6">
        <f>C1181&amp;D1181</f>
        <v/>
      </c>
      <c r="C1181" s="6">
        <f>YEAR(E1181)</f>
        <v/>
      </c>
      <c r="D1181" s="6">
        <f>MONTH(E1181)</f>
        <v/>
      </c>
      <c r="E1181" s="267">
        <f>IFERROR(__xludf.DUMMYFUNCTION("""COMPUTED_VALUE"""),44811.6666666666)</f>
        <v/>
      </c>
      <c r="F1181" s="6">
        <f>IFERROR(__xludf.DUMMYFUNCTION("""COMPUTED_VALUE"""),3979.87)</f>
        <v/>
      </c>
      <c r="J1181" s="6">
        <f>K1181&amp;L1181</f>
        <v/>
      </c>
      <c r="K1181" s="6">
        <f>YEAR(M1181)</f>
        <v/>
      </c>
      <c r="L1181" s="6">
        <f>MONTH(M1181)</f>
        <v/>
      </c>
      <c r="M1181" s="267">
        <f>IFERROR(__xludf.DUMMYFUNCTION("""COMPUTED_VALUE"""),44803.6666666666)</f>
        <v/>
      </c>
      <c r="N1181" s="6">
        <f>IFERROR(__xludf.DUMMYFUNCTION("""COMPUTED_VALUE"""),11883.14)</f>
        <v/>
      </c>
      <c r="R1181" s="6">
        <f>S1181&amp;T1181</f>
        <v/>
      </c>
      <c r="S1181" s="6">
        <f>YEAR(U1181)</f>
        <v/>
      </c>
      <c r="T1181" s="6">
        <f>MONTH(U1181)</f>
        <v/>
      </c>
      <c r="U1181" s="267">
        <f>IFERROR(__xludf.DUMMYFUNCTION("""COMPUTED_VALUE"""),44855.6458333333)</f>
        <v/>
      </c>
      <c r="V1181" s="6">
        <f>IFERROR(__xludf.DUMMYFUNCTION("""COMPUTED_VALUE"""),2213.12)</f>
        <v/>
      </c>
      <c r="Z1181" s="6">
        <f>AA1181&amp;AB1181</f>
        <v/>
      </c>
      <c r="AA1181" s="6">
        <f>YEAR(AC1181)</f>
        <v/>
      </c>
      <c r="AB1181" s="6">
        <f>MONTH(AC1181)</f>
        <v/>
      </c>
      <c r="AC1181" s="267">
        <f>IFERROR(__xludf.DUMMYFUNCTION("""COMPUTED_VALUE"""),44326.9986111111)</f>
        <v/>
      </c>
      <c r="AD1181" s="6">
        <f>IFERROR(__xludf.DUMMYFUNCTION("""COMPUTED_VALUE"""),1115.54)</f>
        <v/>
      </c>
      <c r="AH1181" s="6">
        <f>AI1181&amp;AJ1181</f>
        <v/>
      </c>
      <c r="AI1181" s="6">
        <f>YEAR(AK1181)</f>
        <v/>
      </c>
      <c r="AJ1181" s="6">
        <f>MONTH(AK1181)</f>
        <v/>
      </c>
      <c r="AK1181" s="267">
        <f>IFERROR(__xludf.DUMMYFUNCTION("""COMPUTED_VALUE"""),44274.9986111111)</f>
        <v/>
      </c>
      <c r="AL1181" s="6">
        <f>IFERROR(__xludf.DUMMYFUNCTION("""COMPUTED_VALUE"""),58083.82)</f>
        <v/>
      </c>
      <c r="AP1181" s="6">
        <f>AQ1181&amp;AR1181</f>
        <v/>
      </c>
      <c r="AQ1181" s="6">
        <f>YEAR(AS1181)</f>
        <v/>
      </c>
      <c r="AR1181" s="6">
        <f>MONTH(AS1181)</f>
        <v/>
      </c>
      <c r="AS1181" s="267">
        <f>IFERROR(__xludf.DUMMYFUNCTION("""COMPUTED_VALUE"""),44819.9986111111)</f>
        <v/>
      </c>
      <c r="AT1181" s="6">
        <f>IFERROR(__xludf.DUMMYFUNCTION("""COMPUTED_VALUE"""),1677.3)</f>
        <v/>
      </c>
    </row>
    <row r="1182">
      <c r="B1182" s="6">
        <f>C1182&amp;D1182</f>
        <v/>
      </c>
      <c r="C1182" s="6">
        <f>YEAR(E1182)</f>
        <v/>
      </c>
      <c r="D1182" s="6">
        <f>MONTH(E1182)</f>
        <v/>
      </c>
      <c r="E1182" s="267">
        <f>IFERROR(__xludf.DUMMYFUNCTION("""COMPUTED_VALUE"""),44812.6666666666)</f>
        <v/>
      </c>
      <c r="F1182" s="6">
        <f>IFERROR(__xludf.DUMMYFUNCTION("""COMPUTED_VALUE"""),4006.18)</f>
        <v/>
      </c>
      <c r="J1182" s="6">
        <f>K1182&amp;L1182</f>
        <v/>
      </c>
      <c r="K1182" s="6">
        <f>YEAR(M1182)</f>
        <v/>
      </c>
      <c r="L1182" s="6">
        <f>MONTH(M1182)</f>
        <v/>
      </c>
      <c r="M1182" s="267">
        <f>IFERROR(__xludf.DUMMYFUNCTION("""COMPUTED_VALUE"""),44804.6666666666)</f>
        <v/>
      </c>
      <c r="N1182" s="6">
        <f>IFERROR(__xludf.DUMMYFUNCTION("""COMPUTED_VALUE"""),11816.2)</f>
        <v/>
      </c>
      <c r="R1182" s="6">
        <f>S1182&amp;T1182</f>
        <v/>
      </c>
      <c r="S1182" s="6">
        <f>YEAR(U1182)</f>
        <v/>
      </c>
      <c r="T1182" s="6">
        <f>MONTH(U1182)</f>
        <v/>
      </c>
      <c r="U1182" s="267">
        <f>IFERROR(__xludf.DUMMYFUNCTION("""COMPUTED_VALUE"""),44858.6458333333)</f>
        <v/>
      </c>
      <c r="V1182" s="6">
        <f>IFERROR(__xludf.DUMMYFUNCTION("""COMPUTED_VALUE"""),2236.16)</f>
        <v/>
      </c>
      <c r="Z1182" s="6">
        <f>AA1182&amp;AB1182</f>
        <v/>
      </c>
      <c r="AA1182" s="6">
        <f>YEAR(AC1182)</f>
        <v/>
      </c>
      <c r="AB1182" s="6">
        <f>MONTH(AC1182)</f>
        <v/>
      </c>
      <c r="AC1182" s="267">
        <f>IFERROR(__xludf.DUMMYFUNCTION("""COMPUTED_VALUE"""),44327.9986111111)</f>
        <v/>
      </c>
      <c r="AD1182" s="6">
        <f>IFERROR(__xludf.DUMMYFUNCTION("""COMPUTED_VALUE"""),1118.23)</f>
        <v/>
      </c>
      <c r="AH1182" s="6">
        <f>AI1182&amp;AJ1182</f>
        <v/>
      </c>
      <c r="AI1182" s="6">
        <f>YEAR(AK1182)</f>
        <v/>
      </c>
      <c r="AJ1182" s="6">
        <f>MONTH(AK1182)</f>
        <v/>
      </c>
      <c r="AK1182" s="267">
        <f>IFERROR(__xludf.DUMMYFUNCTION("""COMPUTED_VALUE"""),44275.9986111111)</f>
        <v/>
      </c>
      <c r="AL1182" s="6">
        <f>IFERROR(__xludf.DUMMYFUNCTION("""COMPUTED_VALUE"""),58081.93)</f>
        <v/>
      </c>
      <c r="AP1182" s="6">
        <f>AQ1182&amp;AR1182</f>
        <v/>
      </c>
      <c r="AQ1182" s="6">
        <f>YEAR(AS1182)</f>
        <v/>
      </c>
      <c r="AR1182" s="6">
        <f>MONTH(AS1182)</f>
        <v/>
      </c>
      <c r="AS1182" s="267">
        <f>IFERROR(__xludf.DUMMYFUNCTION("""COMPUTED_VALUE"""),44820.9986111111)</f>
        <v/>
      </c>
      <c r="AT1182" s="6">
        <f>IFERROR(__xludf.DUMMYFUNCTION("""COMPUTED_VALUE"""),1683.5)</f>
        <v/>
      </c>
    </row>
    <row r="1183">
      <c r="B1183" s="6">
        <f>C1183&amp;D1183</f>
        <v/>
      </c>
      <c r="C1183" s="6">
        <f>YEAR(E1183)</f>
        <v/>
      </c>
      <c r="D1183" s="6">
        <f>MONTH(E1183)</f>
        <v/>
      </c>
      <c r="E1183" s="267">
        <f>IFERROR(__xludf.DUMMYFUNCTION("""COMPUTED_VALUE"""),44813.6666666666)</f>
        <v/>
      </c>
      <c r="F1183" s="6">
        <f>IFERROR(__xludf.DUMMYFUNCTION("""COMPUTED_VALUE"""),4067.36)</f>
        <v/>
      </c>
      <c r="J1183" s="6">
        <f>K1183&amp;L1183</f>
        <v/>
      </c>
      <c r="K1183" s="6">
        <f>YEAR(M1183)</f>
        <v/>
      </c>
      <c r="L1183" s="6">
        <f>MONTH(M1183)</f>
        <v/>
      </c>
      <c r="M1183" s="267">
        <f>IFERROR(__xludf.DUMMYFUNCTION("""COMPUTED_VALUE"""),44805.6666666666)</f>
        <v/>
      </c>
      <c r="N1183" s="6">
        <f>IFERROR(__xludf.DUMMYFUNCTION("""COMPUTED_VALUE"""),11785.13)</f>
        <v/>
      </c>
      <c r="R1183" s="6">
        <f>S1183&amp;T1183</f>
        <v/>
      </c>
      <c r="S1183" s="6">
        <f>YEAR(U1183)</f>
        <v/>
      </c>
      <c r="T1183" s="6">
        <f>MONTH(U1183)</f>
        <v/>
      </c>
      <c r="U1183" s="267">
        <f>IFERROR(__xludf.DUMMYFUNCTION("""COMPUTED_VALUE"""),44859.6458333333)</f>
        <v/>
      </c>
      <c r="V1183" s="6">
        <f>IFERROR(__xludf.DUMMYFUNCTION("""COMPUTED_VALUE"""),2235.07)</f>
        <v/>
      </c>
      <c r="Z1183" s="6">
        <f>AA1183&amp;AB1183</f>
        <v/>
      </c>
      <c r="AA1183" s="6">
        <f>YEAR(AC1183)</f>
        <v/>
      </c>
      <c r="AB1183" s="6">
        <f>MONTH(AC1183)</f>
        <v/>
      </c>
      <c r="AC1183" s="267">
        <f>IFERROR(__xludf.DUMMYFUNCTION("""COMPUTED_VALUE"""),44328.9986111111)</f>
        <v/>
      </c>
      <c r="AD1183" s="6">
        <f>IFERROR(__xludf.DUMMYFUNCTION("""COMPUTED_VALUE"""),1131.6)</f>
        <v/>
      </c>
      <c r="AH1183" s="6">
        <f>AI1183&amp;AJ1183</f>
        <v/>
      </c>
      <c r="AI1183" s="6">
        <f>YEAR(AK1183)</f>
        <v/>
      </c>
      <c r="AJ1183" s="6">
        <f>MONTH(AK1183)</f>
        <v/>
      </c>
      <c r="AK1183" s="267">
        <f>IFERROR(__xludf.DUMMYFUNCTION("""COMPUTED_VALUE"""),44276.9986111111)</f>
        <v/>
      </c>
      <c r="AL1183" s="6">
        <f>IFERROR(__xludf.DUMMYFUNCTION("""COMPUTED_VALUE"""),57357.46)</f>
        <v/>
      </c>
      <c r="AP1183" s="6">
        <f>AQ1183&amp;AR1183</f>
        <v/>
      </c>
      <c r="AQ1183" s="6">
        <f>YEAR(AS1183)</f>
        <v/>
      </c>
      <c r="AR1183" s="6">
        <f>MONTH(AS1183)</f>
        <v/>
      </c>
      <c r="AS1183" s="267">
        <f>IFERROR(__xludf.DUMMYFUNCTION("""COMPUTED_VALUE"""),44823.9986111111)</f>
        <v/>
      </c>
      <c r="AT1183" s="6">
        <f>IFERROR(__xludf.DUMMYFUNCTION("""COMPUTED_VALUE"""),1678.2)</f>
        <v/>
      </c>
    </row>
    <row r="1184">
      <c r="B1184" s="6">
        <f>C1184&amp;D1184</f>
        <v/>
      </c>
      <c r="C1184" s="6">
        <f>YEAR(E1184)</f>
        <v/>
      </c>
      <c r="D1184" s="6">
        <f>MONTH(E1184)</f>
        <v/>
      </c>
      <c r="E1184" s="267">
        <f>IFERROR(__xludf.DUMMYFUNCTION("""COMPUTED_VALUE"""),44816.6666666666)</f>
        <v/>
      </c>
      <c r="F1184" s="6">
        <f>IFERROR(__xludf.DUMMYFUNCTION("""COMPUTED_VALUE"""),4110.41)</f>
        <v/>
      </c>
      <c r="J1184" s="6">
        <f>K1184&amp;L1184</f>
        <v/>
      </c>
      <c r="K1184" s="6">
        <f>YEAR(M1184)</f>
        <v/>
      </c>
      <c r="L1184" s="6">
        <f>MONTH(M1184)</f>
        <v/>
      </c>
      <c r="M1184" s="267">
        <f>IFERROR(__xludf.DUMMYFUNCTION("""COMPUTED_VALUE"""),44806.6666666666)</f>
        <v/>
      </c>
      <c r="N1184" s="6">
        <f>IFERROR(__xludf.DUMMYFUNCTION("""COMPUTED_VALUE"""),11630.86)</f>
        <v/>
      </c>
      <c r="R1184" s="6">
        <f>S1184&amp;T1184</f>
        <v/>
      </c>
      <c r="S1184" s="6">
        <f>YEAR(U1184)</f>
        <v/>
      </c>
      <c r="T1184" s="6">
        <f>MONTH(U1184)</f>
        <v/>
      </c>
      <c r="U1184" s="267">
        <f>IFERROR(__xludf.DUMMYFUNCTION("""COMPUTED_VALUE"""),44860.6458333333)</f>
        <v/>
      </c>
      <c r="V1184" s="6">
        <f>IFERROR(__xludf.DUMMYFUNCTION("""COMPUTED_VALUE"""),2249.56)</f>
        <v/>
      </c>
      <c r="Z1184" s="6">
        <f>AA1184&amp;AB1184</f>
        <v/>
      </c>
      <c r="AA1184" s="6">
        <f>YEAR(AC1184)</f>
        <v/>
      </c>
      <c r="AB1184" s="6">
        <f>MONTH(AC1184)</f>
        <v/>
      </c>
      <c r="AC1184" s="267">
        <f>IFERROR(__xludf.DUMMYFUNCTION("""COMPUTED_VALUE"""),44329.9986111111)</f>
        <v/>
      </c>
      <c r="AD1184" s="6">
        <f>IFERROR(__xludf.DUMMYFUNCTION("""COMPUTED_VALUE"""),1125.7)</f>
        <v/>
      </c>
      <c r="AH1184" s="6">
        <f>AI1184&amp;AJ1184</f>
        <v/>
      </c>
      <c r="AI1184" s="6">
        <f>YEAR(AK1184)</f>
        <v/>
      </c>
      <c r="AJ1184" s="6">
        <f>MONTH(AK1184)</f>
        <v/>
      </c>
      <c r="AK1184" s="267">
        <f>IFERROR(__xludf.DUMMYFUNCTION("""COMPUTED_VALUE"""),44277.9986111111)</f>
        <v/>
      </c>
      <c r="AL1184" s="6">
        <f>IFERROR(__xludf.DUMMYFUNCTION("""COMPUTED_VALUE"""),54137.09)</f>
        <v/>
      </c>
      <c r="AP1184" s="6">
        <f>AQ1184&amp;AR1184</f>
        <v/>
      </c>
      <c r="AQ1184" s="6">
        <f>YEAR(AS1184)</f>
        <v/>
      </c>
      <c r="AR1184" s="6">
        <f>MONTH(AS1184)</f>
        <v/>
      </c>
      <c r="AS1184" s="267">
        <f>IFERROR(__xludf.DUMMYFUNCTION("""COMPUTED_VALUE"""),44824.9986111111)</f>
        <v/>
      </c>
      <c r="AT1184" s="6">
        <f>IFERROR(__xludf.DUMMYFUNCTION("""COMPUTED_VALUE"""),1671.1)</f>
        <v/>
      </c>
    </row>
    <row r="1185">
      <c r="B1185" s="6">
        <f>C1185&amp;D1185</f>
        <v/>
      </c>
      <c r="C1185" s="6">
        <f>YEAR(E1185)</f>
        <v/>
      </c>
      <c r="D1185" s="6">
        <f>MONTH(E1185)</f>
        <v/>
      </c>
      <c r="E1185" s="267">
        <f>IFERROR(__xludf.DUMMYFUNCTION("""COMPUTED_VALUE"""),44817.6666666666)</f>
        <v/>
      </c>
      <c r="F1185" s="6">
        <f>IFERROR(__xludf.DUMMYFUNCTION("""COMPUTED_VALUE"""),3932.69)</f>
        <v/>
      </c>
      <c r="J1185" s="6">
        <f>K1185&amp;L1185</f>
        <v/>
      </c>
      <c r="K1185" s="6">
        <f>YEAR(M1185)</f>
        <v/>
      </c>
      <c r="L1185" s="6">
        <f>MONTH(M1185)</f>
        <v/>
      </c>
      <c r="M1185" s="267">
        <f>IFERROR(__xludf.DUMMYFUNCTION("""COMPUTED_VALUE"""),44810.6666666666)</f>
        <v/>
      </c>
      <c r="N1185" s="6">
        <f>IFERROR(__xludf.DUMMYFUNCTION("""COMPUTED_VALUE"""),11544.91)</f>
        <v/>
      </c>
      <c r="R1185" s="6">
        <f>S1185&amp;T1185</f>
        <v/>
      </c>
      <c r="S1185" s="6">
        <f>YEAR(U1185)</f>
        <v/>
      </c>
      <c r="T1185" s="6">
        <f>MONTH(U1185)</f>
        <v/>
      </c>
      <c r="U1185" s="267">
        <f>IFERROR(__xludf.DUMMYFUNCTION("""COMPUTED_VALUE"""),44861.6458333333)</f>
        <v/>
      </c>
      <c r="V1185" s="6">
        <f>IFERROR(__xludf.DUMMYFUNCTION("""COMPUTED_VALUE"""),2288.78)</f>
        <v/>
      </c>
      <c r="Z1185" s="6">
        <f>AA1185&amp;AB1185</f>
        <v/>
      </c>
      <c r="AA1185" s="6">
        <f>YEAR(AC1185)</f>
        <v/>
      </c>
      <c r="AB1185" s="6">
        <f>MONTH(AC1185)</f>
        <v/>
      </c>
      <c r="AC1185" s="267">
        <f>IFERROR(__xludf.DUMMYFUNCTION("""COMPUTED_VALUE"""),44330.9986111111)</f>
        <v/>
      </c>
      <c r="AD1185" s="6">
        <f>IFERROR(__xludf.DUMMYFUNCTION("""COMPUTED_VALUE"""),1124.46)</f>
        <v/>
      </c>
      <c r="AH1185" s="6">
        <f>AI1185&amp;AJ1185</f>
        <v/>
      </c>
      <c r="AI1185" s="6">
        <f>YEAR(AK1185)</f>
        <v/>
      </c>
      <c r="AJ1185" s="6">
        <f>MONTH(AK1185)</f>
        <v/>
      </c>
      <c r="AK1185" s="267">
        <f>IFERROR(__xludf.DUMMYFUNCTION("""COMPUTED_VALUE"""),44278.9986111111)</f>
        <v/>
      </c>
      <c r="AL1185" s="6">
        <f>IFERROR(__xludf.DUMMYFUNCTION("""COMPUTED_VALUE"""),54407.55)</f>
        <v/>
      </c>
      <c r="AP1185" s="6">
        <f>AQ1185&amp;AR1185</f>
        <v/>
      </c>
      <c r="AQ1185" s="6">
        <f>YEAR(AS1185)</f>
        <v/>
      </c>
      <c r="AR1185" s="6">
        <f>MONTH(AS1185)</f>
        <v/>
      </c>
      <c r="AS1185" s="267">
        <f>IFERROR(__xludf.DUMMYFUNCTION("""COMPUTED_VALUE"""),44825.9986111111)</f>
        <v/>
      </c>
      <c r="AT1185" s="6">
        <f>IFERROR(__xludf.DUMMYFUNCTION("""COMPUTED_VALUE"""),1675.7)</f>
        <v/>
      </c>
    </row>
    <row r="1186">
      <c r="B1186" s="6">
        <f>C1186&amp;D1186</f>
        <v/>
      </c>
      <c r="C1186" s="6">
        <f>YEAR(E1186)</f>
        <v/>
      </c>
      <c r="D1186" s="6">
        <f>MONTH(E1186)</f>
        <v/>
      </c>
      <c r="E1186" s="267">
        <f>IFERROR(__xludf.DUMMYFUNCTION("""COMPUTED_VALUE"""),44818.6666666666)</f>
        <v/>
      </c>
      <c r="F1186" s="6">
        <f>IFERROR(__xludf.DUMMYFUNCTION("""COMPUTED_VALUE"""),3946.01)</f>
        <v/>
      </c>
      <c r="J1186" s="6">
        <f>K1186&amp;L1186</f>
        <v/>
      </c>
      <c r="K1186" s="6">
        <f>YEAR(M1186)</f>
        <v/>
      </c>
      <c r="L1186" s="6">
        <f>MONTH(M1186)</f>
        <v/>
      </c>
      <c r="M1186" s="267">
        <f>IFERROR(__xludf.DUMMYFUNCTION("""COMPUTED_VALUE"""),44811.6666666666)</f>
        <v/>
      </c>
      <c r="N1186" s="6">
        <f>IFERROR(__xludf.DUMMYFUNCTION("""COMPUTED_VALUE"""),11791.9)</f>
        <v/>
      </c>
      <c r="R1186" s="6">
        <f>S1186&amp;T1186</f>
        <v/>
      </c>
      <c r="S1186" s="6">
        <f>YEAR(U1186)</f>
        <v/>
      </c>
      <c r="T1186" s="6">
        <f>MONTH(U1186)</f>
        <v/>
      </c>
      <c r="U1186" s="267">
        <f>IFERROR(__xludf.DUMMYFUNCTION("""COMPUTED_VALUE"""),44862.6458333333)</f>
        <v/>
      </c>
      <c r="V1186" s="6">
        <f>IFERROR(__xludf.DUMMYFUNCTION("""COMPUTED_VALUE"""),2268.4)</f>
        <v/>
      </c>
      <c r="Z1186" s="6">
        <f>AA1186&amp;AB1186</f>
        <v/>
      </c>
      <c r="AA1186" s="6">
        <f>YEAR(AC1186)</f>
        <v/>
      </c>
      <c r="AB1186" s="6">
        <f>MONTH(AC1186)</f>
        <v/>
      </c>
      <c r="AC1186" s="267">
        <f>IFERROR(__xludf.DUMMYFUNCTION("""COMPUTED_VALUE"""),44331.9986111111)</f>
        <v/>
      </c>
      <c r="AD1186" s="6">
        <f>IFERROR(__xludf.DUMMYFUNCTION("""COMPUTED_VALUE"""),1124.46)</f>
        <v/>
      </c>
      <c r="AH1186" s="6">
        <f>AI1186&amp;AJ1186</f>
        <v/>
      </c>
      <c r="AI1186" s="6">
        <f>YEAR(AK1186)</f>
        <v/>
      </c>
      <c r="AJ1186" s="6">
        <f>MONTH(AK1186)</f>
        <v/>
      </c>
      <c r="AK1186" s="267">
        <f>IFERROR(__xludf.DUMMYFUNCTION("""COMPUTED_VALUE"""),44279.9986111111)</f>
        <v/>
      </c>
      <c r="AL1186" s="6">
        <f>IFERROR(__xludf.DUMMYFUNCTION("""COMPUTED_VALUE"""),52335.62)</f>
        <v/>
      </c>
      <c r="AP1186" s="6">
        <f>AQ1186&amp;AR1186</f>
        <v/>
      </c>
      <c r="AQ1186" s="6">
        <f>YEAR(AS1186)</f>
        <v/>
      </c>
      <c r="AR1186" s="6">
        <f>MONTH(AS1186)</f>
        <v/>
      </c>
      <c r="AS1186" s="267">
        <f>IFERROR(__xludf.DUMMYFUNCTION("""COMPUTED_VALUE"""),44826.9986111111)</f>
        <v/>
      </c>
      <c r="AT1186" s="6">
        <f>IFERROR(__xludf.DUMMYFUNCTION("""COMPUTED_VALUE"""),1681.1)</f>
        <v/>
      </c>
    </row>
    <row r="1187">
      <c r="B1187" s="6">
        <f>C1187&amp;D1187</f>
        <v/>
      </c>
      <c r="C1187" s="6">
        <f>YEAR(E1187)</f>
        <v/>
      </c>
      <c r="D1187" s="6">
        <f>MONTH(E1187)</f>
        <v/>
      </c>
      <c r="E1187" s="267">
        <f>IFERROR(__xludf.DUMMYFUNCTION("""COMPUTED_VALUE"""),44819.6666666666)</f>
        <v/>
      </c>
      <c r="F1187" s="6">
        <f>IFERROR(__xludf.DUMMYFUNCTION("""COMPUTED_VALUE"""),3901.35)</f>
        <v/>
      </c>
      <c r="J1187" s="6">
        <f>K1187&amp;L1187</f>
        <v/>
      </c>
      <c r="K1187" s="6">
        <f>YEAR(M1187)</f>
        <v/>
      </c>
      <c r="L1187" s="6">
        <f>MONTH(M1187)</f>
        <v/>
      </c>
      <c r="M1187" s="267">
        <f>IFERROR(__xludf.DUMMYFUNCTION("""COMPUTED_VALUE"""),44812.6666666666)</f>
        <v/>
      </c>
      <c r="N1187" s="6">
        <f>IFERROR(__xludf.DUMMYFUNCTION("""COMPUTED_VALUE"""),11862.13)</f>
        <v/>
      </c>
      <c r="R1187" s="6">
        <f>S1187&amp;T1187</f>
        <v/>
      </c>
      <c r="S1187" s="6">
        <f>YEAR(U1187)</f>
        <v/>
      </c>
      <c r="T1187" s="6">
        <f>MONTH(U1187)</f>
        <v/>
      </c>
      <c r="U1187" s="267">
        <f>IFERROR(__xludf.DUMMYFUNCTION("""COMPUTED_VALUE"""),44865.6458333333)</f>
        <v/>
      </c>
      <c r="V1187" s="6">
        <f>IFERROR(__xludf.DUMMYFUNCTION("""COMPUTED_VALUE"""),2293.61)</f>
        <v/>
      </c>
      <c r="Z1187" s="6">
        <f>AA1187&amp;AB1187</f>
        <v/>
      </c>
      <c r="AA1187" s="6">
        <f>YEAR(AC1187)</f>
        <v/>
      </c>
      <c r="AB1187" s="6">
        <f>MONTH(AC1187)</f>
        <v/>
      </c>
      <c r="AC1187" s="267">
        <f>IFERROR(__xludf.DUMMYFUNCTION("""COMPUTED_VALUE"""),44332.9986111111)</f>
        <v/>
      </c>
      <c r="AD1187" s="6">
        <f>IFERROR(__xludf.DUMMYFUNCTION("""COMPUTED_VALUE"""),1125.53)</f>
        <v/>
      </c>
      <c r="AH1187" s="6">
        <f>AI1187&amp;AJ1187</f>
        <v/>
      </c>
      <c r="AI1187" s="6">
        <f>YEAR(AK1187)</f>
        <v/>
      </c>
      <c r="AJ1187" s="6">
        <f>MONTH(AK1187)</f>
        <v/>
      </c>
      <c r="AK1187" s="267">
        <f>IFERROR(__xludf.DUMMYFUNCTION("""COMPUTED_VALUE"""),44280.9986111111)</f>
        <v/>
      </c>
      <c r="AL1187" s="6">
        <f>IFERROR(__xludf.DUMMYFUNCTION("""COMPUTED_VALUE"""),51342.9)</f>
        <v/>
      </c>
      <c r="AP1187" s="6">
        <f>AQ1187&amp;AR1187</f>
        <v/>
      </c>
      <c r="AQ1187" s="6">
        <f>YEAR(AS1187)</f>
        <v/>
      </c>
      <c r="AR1187" s="6">
        <f>MONTH(AS1187)</f>
        <v/>
      </c>
      <c r="AS1187" s="267">
        <f>IFERROR(__xludf.DUMMYFUNCTION("""COMPUTED_VALUE"""),44827.9986111111)</f>
        <v/>
      </c>
      <c r="AT1187" s="6">
        <f>IFERROR(__xludf.DUMMYFUNCTION("""COMPUTED_VALUE"""),1655.6)</f>
        <v/>
      </c>
    </row>
    <row r="1188">
      <c r="B1188" s="6">
        <f>C1188&amp;D1188</f>
        <v/>
      </c>
      <c r="C1188" s="6">
        <f>YEAR(E1188)</f>
        <v/>
      </c>
      <c r="D1188" s="6">
        <f>MONTH(E1188)</f>
        <v/>
      </c>
      <c r="E1188" s="267">
        <f>IFERROR(__xludf.DUMMYFUNCTION("""COMPUTED_VALUE"""),44820.6666666666)</f>
        <v/>
      </c>
      <c r="F1188" s="6">
        <f>IFERROR(__xludf.DUMMYFUNCTION("""COMPUTED_VALUE"""),3873.33)</f>
        <v/>
      </c>
      <c r="J1188" s="6">
        <f>K1188&amp;L1188</f>
        <v/>
      </c>
      <c r="K1188" s="6">
        <f>YEAR(M1188)</f>
        <v/>
      </c>
      <c r="L1188" s="6">
        <f>MONTH(M1188)</f>
        <v/>
      </c>
      <c r="M1188" s="267">
        <f>IFERROR(__xludf.DUMMYFUNCTION("""COMPUTED_VALUE"""),44813.6666666666)</f>
        <v/>
      </c>
      <c r="N1188" s="6">
        <f>IFERROR(__xludf.DUMMYFUNCTION("""COMPUTED_VALUE"""),12112.31)</f>
        <v/>
      </c>
      <c r="R1188" s="6">
        <f>S1188&amp;T1188</f>
        <v/>
      </c>
      <c r="S1188" s="6">
        <f>YEAR(U1188)</f>
        <v/>
      </c>
      <c r="T1188" s="6">
        <f>MONTH(U1188)</f>
        <v/>
      </c>
      <c r="U1188" s="267">
        <f>IFERROR(__xludf.DUMMYFUNCTION("""COMPUTED_VALUE"""),44866.6458333333)</f>
        <v/>
      </c>
      <c r="V1188" s="6">
        <f>IFERROR(__xludf.DUMMYFUNCTION("""COMPUTED_VALUE"""),2335.22)</f>
        <v/>
      </c>
      <c r="Z1188" s="6">
        <f>AA1188&amp;AB1188</f>
        <v/>
      </c>
      <c r="AA1188" s="6">
        <f>YEAR(AC1188)</f>
        <v/>
      </c>
      <c r="AB1188" s="6">
        <f>MONTH(AC1188)</f>
        <v/>
      </c>
      <c r="AC1188" s="267">
        <f>IFERROR(__xludf.DUMMYFUNCTION("""COMPUTED_VALUE"""),44333.9986111111)</f>
        <v/>
      </c>
      <c r="AD1188" s="6">
        <f>IFERROR(__xludf.DUMMYFUNCTION("""COMPUTED_VALUE"""),1135.51)</f>
        <v/>
      </c>
      <c r="AH1188" s="6">
        <f>AI1188&amp;AJ1188</f>
        <v/>
      </c>
      <c r="AI1188" s="6">
        <f>YEAR(AK1188)</f>
        <v/>
      </c>
      <c r="AJ1188" s="6">
        <f>MONTH(AK1188)</f>
        <v/>
      </c>
      <c r="AK1188" s="267">
        <f>IFERROR(__xludf.DUMMYFUNCTION("""COMPUTED_VALUE"""),44281.9986111111)</f>
        <v/>
      </c>
      <c r="AL1188" s="6">
        <f>IFERROR(__xludf.DUMMYFUNCTION("""COMPUTED_VALUE"""),55041.62)</f>
        <v/>
      </c>
      <c r="AP1188" s="6">
        <f>AQ1188&amp;AR1188</f>
        <v/>
      </c>
      <c r="AQ1188" s="6">
        <f>YEAR(AS1188)</f>
        <v/>
      </c>
      <c r="AR1188" s="6">
        <f>MONTH(AS1188)</f>
        <v/>
      </c>
      <c r="AS1188" s="267">
        <f>IFERROR(__xludf.DUMMYFUNCTION("""COMPUTED_VALUE"""),44830.9986111111)</f>
        <v/>
      </c>
      <c r="AT1188" s="6">
        <f>IFERROR(__xludf.DUMMYFUNCTION("""COMPUTED_VALUE"""),1633.4)</f>
        <v/>
      </c>
    </row>
    <row r="1189">
      <c r="B1189" s="6">
        <f>C1189&amp;D1189</f>
        <v/>
      </c>
      <c r="C1189" s="6">
        <f>YEAR(E1189)</f>
        <v/>
      </c>
      <c r="D1189" s="6">
        <f>MONTH(E1189)</f>
        <v/>
      </c>
      <c r="E1189" s="267">
        <f>IFERROR(__xludf.DUMMYFUNCTION("""COMPUTED_VALUE"""),44823.6666666666)</f>
        <v/>
      </c>
      <c r="F1189" s="6">
        <f>IFERROR(__xludf.DUMMYFUNCTION("""COMPUTED_VALUE"""),3899.89)</f>
        <v/>
      </c>
      <c r="J1189" s="6">
        <f>K1189&amp;L1189</f>
        <v/>
      </c>
      <c r="K1189" s="6">
        <f>YEAR(M1189)</f>
        <v/>
      </c>
      <c r="L1189" s="6">
        <f>MONTH(M1189)</f>
        <v/>
      </c>
      <c r="M1189" s="267">
        <f>IFERROR(__xludf.DUMMYFUNCTION("""COMPUTED_VALUE"""),44816.6666666666)</f>
        <v/>
      </c>
      <c r="N1189" s="6">
        <f>IFERROR(__xludf.DUMMYFUNCTION("""COMPUTED_VALUE"""),12266.41)</f>
        <v/>
      </c>
      <c r="R1189" s="6">
        <f>S1189&amp;T1189</f>
        <v/>
      </c>
      <c r="S1189" s="6">
        <f>YEAR(U1189)</f>
        <v/>
      </c>
      <c r="T1189" s="6">
        <f>MONTH(U1189)</f>
        <v/>
      </c>
      <c r="U1189" s="267">
        <f>IFERROR(__xludf.DUMMYFUNCTION("""COMPUTED_VALUE"""),44867.6458333333)</f>
        <v/>
      </c>
      <c r="V1189" s="6">
        <f>IFERROR(__xludf.DUMMYFUNCTION("""COMPUTED_VALUE"""),2336.87)</f>
        <v/>
      </c>
      <c r="Z1189" s="6">
        <f>AA1189&amp;AB1189</f>
        <v/>
      </c>
      <c r="AA1189" s="6">
        <f>YEAR(AC1189)</f>
        <v/>
      </c>
      <c r="AB1189" s="6">
        <f>MONTH(AC1189)</f>
        <v/>
      </c>
      <c r="AC1189" s="267">
        <f>IFERROR(__xludf.DUMMYFUNCTION("""COMPUTED_VALUE"""),44334.9986111111)</f>
        <v/>
      </c>
      <c r="AD1189" s="6">
        <f>IFERROR(__xludf.DUMMYFUNCTION("""COMPUTED_VALUE"""),1127.14)</f>
        <v/>
      </c>
      <c r="AH1189" s="6">
        <f>AI1189&amp;AJ1189</f>
        <v/>
      </c>
      <c r="AI1189" s="6">
        <f>YEAR(AK1189)</f>
        <v/>
      </c>
      <c r="AJ1189" s="6">
        <f>MONTH(AK1189)</f>
        <v/>
      </c>
      <c r="AK1189" s="267">
        <f>IFERROR(__xludf.DUMMYFUNCTION("""COMPUTED_VALUE"""),44282.9986111111)</f>
        <v/>
      </c>
      <c r="AL1189" s="6">
        <f>IFERROR(__xludf.DUMMYFUNCTION("""COMPUTED_VALUE"""),55870.88)</f>
        <v/>
      </c>
      <c r="AP1189" s="6">
        <f>AQ1189&amp;AR1189</f>
        <v/>
      </c>
      <c r="AQ1189" s="6">
        <f>YEAR(AS1189)</f>
        <v/>
      </c>
      <c r="AR1189" s="6">
        <f>MONTH(AS1189)</f>
        <v/>
      </c>
      <c r="AS1189" s="267">
        <f>IFERROR(__xludf.DUMMYFUNCTION("""COMPUTED_VALUE"""),44831.9986111111)</f>
        <v/>
      </c>
      <c r="AT1189" s="6">
        <f>IFERROR(__xludf.DUMMYFUNCTION("""COMPUTED_VALUE"""),1636.2)</f>
        <v/>
      </c>
    </row>
    <row r="1190">
      <c r="B1190" s="6">
        <f>C1190&amp;D1190</f>
        <v/>
      </c>
      <c r="C1190" s="6">
        <f>YEAR(E1190)</f>
        <v/>
      </c>
      <c r="D1190" s="6">
        <f>MONTH(E1190)</f>
        <v/>
      </c>
      <c r="E1190" s="267">
        <f>IFERROR(__xludf.DUMMYFUNCTION("""COMPUTED_VALUE"""),44824.6666666666)</f>
        <v/>
      </c>
      <c r="F1190" s="6">
        <f>IFERROR(__xludf.DUMMYFUNCTION("""COMPUTED_VALUE"""),3855.93)</f>
        <v/>
      </c>
      <c r="J1190" s="6">
        <f>K1190&amp;L1190</f>
        <v/>
      </c>
      <c r="K1190" s="6">
        <f>YEAR(M1190)</f>
        <v/>
      </c>
      <c r="L1190" s="6">
        <f>MONTH(M1190)</f>
        <v/>
      </c>
      <c r="M1190" s="267">
        <f>IFERROR(__xludf.DUMMYFUNCTION("""COMPUTED_VALUE"""),44817.6666666666)</f>
        <v/>
      </c>
      <c r="N1190" s="6">
        <f>IFERROR(__xludf.DUMMYFUNCTION("""COMPUTED_VALUE"""),11633.57)</f>
        <v/>
      </c>
      <c r="R1190" s="6">
        <f>S1190&amp;T1190</f>
        <v/>
      </c>
      <c r="S1190" s="6">
        <f>YEAR(U1190)</f>
        <v/>
      </c>
      <c r="T1190" s="6">
        <f>MONTH(U1190)</f>
        <v/>
      </c>
      <c r="U1190" s="267">
        <f>IFERROR(__xludf.DUMMYFUNCTION("""COMPUTED_VALUE"""),44868.6458333333)</f>
        <v/>
      </c>
      <c r="V1190" s="6">
        <f>IFERROR(__xludf.DUMMYFUNCTION("""COMPUTED_VALUE"""),2329.17)</f>
        <v/>
      </c>
      <c r="Z1190" s="6">
        <f>AA1190&amp;AB1190</f>
        <v/>
      </c>
      <c r="AA1190" s="6">
        <f>YEAR(AC1190)</f>
        <v/>
      </c>
      <c r="AB1190" s="6">
        <f>MONTH(AC1190)</f>
        <v/>
      </c>
      <c r="AC1190" s="267">
        <f>IFERROR(__xludf.DUMMYFUNCTION("""COMPUTED_VALUE"""),44335.9986111111)</f>
        <v/>
      </c>
      <c r="AD1190" s="6">
        <f>IFERROR(__xludf.DUMMYFUNCTION("""COMPUTED_VALUE"""),1130.37)</f>
        <v/>
      </c>
      <c r="AH1190" s="6">
        <f>AI1190&amp;AJ1190</f>
        <v/>
      </c>
      <c r="AI1190" s="6">
        <f>YEAR(AK1190)</f>
        <v/>
      </c>
      <c r="AJ1190" s="6">
        <f>MONTH(AK1190)</f>
        <v/>
      </c>
      <c r="AK1190" s="267">
        <f>IFERROR(__xludf.DUMMYFUNCTION("""COMPUTED_VALUE"""),44283.9986111111)</f>
        <v/>
      </c>
      <c r="AL1190" s="6">
        <f>IFERROR(__xludf.DUMMYFUNCTION("""COMPUTED_VALUE"""),55774.09)</f>
        <v/>
      </c>
      <c r="AP1190" s="6">
        <f>AQ1190&amp;AR1190</f>
        <v/>
      </c>
      <c r="AQ1190" s="6">
        <f>YEAR(AS1190)</f>
        <v/>
      </c>
      <c r="AR1190" s="6">
        <f>MONTH(AS1190)</f>
        <v/>
      </c>
      <c r="AS1190" s="267">
        <f>IFERROR(__xludf.DUMMYFUNCTION("""COMPUTED_VALUE"""),44832.9986111111)</f>
        <v/>
      </c>
      <c r="AT1190" s="6">
        <f>IFERROR(__xludf.DUMMYFUNCTION("""COMPUTED_VALUE"""),1670)</f>
        <v/>
      </c>
    </row>
    <row r="1191">
      <c r="B1191" s="6">
        <f>C1191&amp;D1191</f>
        <v/>
      </c>
      <c r="C1191" s="6">
        <f>YEAR(E1191)</f>
        <v/>
      </c>
      <c r="D1191" s="6">
        <f>MONTH(E1191)</f>
        <v/>
      </c>
      <c r="E1191" s="267">
        <f>IFERROR(__xludf.DUMMYFUNCTION("""COMPUTED_VALUE"""),44825.6666666666)</f>
        <v/>
      </c>
      <c r="F1191" s="6">
        <f>IFERROR(__xludf.DUMMYFUNCTION("""COMPUTED_VALUE"""),3789.93)</f>
        <v/>
      </c>
      <c r="J1191" s="6">
        <f>K1191&amp;L1191</f>
        <v/>
      </c>
      <c r="K1191" s="6">
        <f>YEAR(M1191)</f>
        <v/>
      </c>
      <c r="L1191" s="6">
        <f>MONTH(M1191)</f>
        <v/>
      </c>
      <c r="M1191" s="267">
        <f>IFERROR(__xludf.DUMMYFUNCTION("""COMPUTED_VALUE"""),44818.6666666666)</f>
        <v/>
      </c>
      <c r="N1191" s="6">
        <f>IFERROR(__xludf.DUMMYFUNCTION("""COMPUTED_VALUE"""),11719.68)</f>
        <v/>
      </c>
      <c r="R1191" s="6">
        <f>S1191&amp;T1191</f>
        <v/>
      </c>
      <c r="S1191" s="6">
        <f>YEAR(U1191)</f>
        <v/>
      </c>
      <c r="T1191" s="6">
        <f>MONTH(U1191)</f>
        <v/>
      </c>
      <c r="U1191" s="267">
        <f>IFERROR(__xludf.DUMMYFUNCTION("""COMPUTED_VALUE"""),44869.6458333333)</f>
        <v/>
      </c>
      <c r="V1191" s="6">
        <f>IFERROR(__xludf.DUMMYFUNCTION("""COMPUTED_VALUE"""),2348.43)</f>
        <v/>
      </c>
      <c r="Z1191" s="6">
        <f>AA1191&amp;AB1191</f>
        <v/>
      </c>
      <c r="AA1191" s="6">
        <f>YEAR(AC1191)</f>
        <v/>
      </c>
      <c r="AB1191" s="6">
        <f>MONTH(AC1191)</f>
        <v/>
      </c>
      <c r="AC1191" s="267">
        <f>IFERROR(__xludf.DUMMYFUNCTION("""COMPUTED_VALUE"""),44336.9986111111)</f>
        <v/>
      </c>
      <c r="AD1191" s="6">
        <f>IFERROR(__xludf.DUMMYFUNCTION("""COMPUTED_VALUE"""),1127.05)</f>
        <v/>
      </c>
      <c r="AH1191" s="6">
        <f>AI1191&amp;AJ1191</f>
        <v/>
      </c>
      <c r="AI1191" s="6">
        <f>YEAR(AK1191)</f>
        <v/>
      </c>
      <c r="AJ1191" s="6">
        <f>MONTH(AK1191)</f>
        <v/>
      </c>
      <c r="AK1191" s="267">
        <f>IFERROR(__xludf.DUMMYFUNCTION("""COMPUTED_VALUE"""),44284.9986111111)</f>
        <v/>
      </c>
      <c r="AL1191" s="6">
        <f>IFERROR(__xludf.DUMMYFUNCTION("""COMPUTED_VALUE"""),57611.63)</f>
        <v/>
      </c>
      <c r="AP1191" s="6">
        <f>AQ1191&amp;AR1191</f>
        <v/>
      </c>
      <c r="AQ1191" s="6">
        <f>YEAR(AS1191)</f>
        <v/>
      </c>
      <c r="AR1191" s="6">
        <f>MONTH(AS1191)</f>
        <v/>
      </c>
      <c r="AS1191" s="267">
        <f>IFERROR(__xludf.DUMMYFUNCTION("""COMPUTED_VALUE"""),44833.9986111111)</f>
        <v/>
      </c>
      <c r="AT1191" s="6">
        <f>IFERROR(__xludf.DUMMYFUNCTION("""COMPUTED_VALUE"""),1668.6)</f>
        <v/>
      </c>
    </row>
    <row r="1192">
      <c r="B1192" s="6">
        <f>C1192&amp;D1192</f>
        <v/>
      </c>
      <c r="C1192" s="6">
        <f>YEAR(E1192)</f>
        <v/>
      </c>
      <c r="D1192" s="6">
        <f>MONTH(E1192)</f>
        <v/>
      </c>
      <c r="E1192" s="267">
        <f>IFERROR(__xludf.DUMMYFUNCTION("""COMPUTED_VALUE"""),44826.6666666666)</f>
        <v/>
      </c>
      <c r="F1192" s="6">
        <f>IFERROR(__xludf.DUMMYFUNCTION("""COMPUTED_VALUE"""),3757.99)</f>
        <v/>
      </c>
      <c r="J1192" s="6">
        <f>K1192&amp;L1192</f>
        <v/>
      </c>
      <c r="K1192" s="6">
        <f>YEAR(M1192)</f>
        <v/>
      </c>
      <c r="L1192" s="6">
        <f>MONTH(M1192)</f>
        <v/>
      </c>
      <c r="M1192" s="267">
        <f>IFERROR(__xludf.DUMMYFUNCTION("""COMPUTED_VALUE"""),44819.6666666666)</f>
        <v/>
      </c>
      <c r="N1192" s="6">
        <f>IFERROR(__xludf.DUMMYFUNCTION("""COMPUTED_VALUE"""),11552.36)</f>
        <v/>
      </c>
      <c r="R1192" s="6">
        <f>S1192&amp;T1192</f>
        <v/>
      </c>
      <c r="S1192" s="6">
        <f>YEAR(U1192)</f>
        <v/>
      </c>
      <c r="T1192" s="6">
        <f>MONTH(U1192)</f>
        <v/>
      </c>
      <c r="U1192" s="267">
        <f>IFERROR(__xludf.DUMMYFUNCTION("""COMPUTED_VALUE"""),44872.6458333333)</f>
        <v/>
      </c>
      <c r="V1192" s="6">
        <f>IFERROR(__xludf.DUMMYFUNCTION("""COMPUTED_VALUE"""),2371.79)</f>
        <v/>
      </c>
      <c r="Z1192" s="6">
        <f>AA1192&amp;AB1192</f>
        <v/>
      </c>
      <c r="AA1192" s="6">
        <f>YEAR(AC1192)</f>
        <v/>
      </c>
      <c r="AB1192" s="6">
        <f>MONTH(AC1192)</f>
        <v/>
      </c>
      <c r="AC1192" s="267">
        <f>IFERROR(__xludf.DUMMYFUNCTION("""COMPUTED_VALUE"""),44337.9986111111)</f>
        <v/>
      </c>
      <c r="AD1192" s="6">
        <f>IFERROR(__xludf.DUMMYFUNCTION("""COMPUTED_VALUE"""),1126.29)</f>
        <v/>
      </c>
      <c r="AH1192" s="6">
        <f>AI1192&amp;AJ1192</f>
        <v/>
      </c>
      <c r="AI1192" s="6">
        <f>YEAR(AK1192)</f>
        <v/>
      </c>
      <c r="AJ1192" s="6">
        <f>MONTH(AK1192)</f>
        <v/>
      </c>
      <c r="AK1192" s="267">
        <f>IFERROR(__xludf.DUMMYFUNCTION("""COMPUTED_VALUE"""),44285.9986111111)</f>
        <v/>
      </c>
      <c r="AL1192" s="6">
        <f>IFERROR(__xludf.DUMMYFUNCTION("""COMPUTED_VALUE"""),58786.91)</f>
        <v/>
      </c>
      <c r="AP1192" s="6">
        <f>AQ1192&amp;AR1192</f>
        <v/>
      </c>
      <c r="AQ1192" s="6">
        <f>YEAR(AS1192)</f>
        <v/>
      </c>
      <c r="AR1192" s="6">
        <f>MONTH(AS1192)</f>
        <v/>
      </c>
      <c r="AS1192" s="267">
        <f>IFERROR(__xludf.DUMMYFUNCTION("""COMPUTED_VALUE"""),44834.9986111111)</f>
        <v/>
      </c>
      <c r="AT1192" s="6">
        <f>IFERROR(__xludf.DUMMYFUNCTION("""COMPUTED_VALUE"""),1672)</f>
        <v/>
      </c>
    </row>
    <row r="1193">
      <c r="B1193" s="6">
        <f>C1193&amp;D1193</f>
        <v/>
      </c>
      <c r="C1193" s="6">
        <f>YEAR(E1193)</f>
        <v/>
      </c>
      <c r="D1193" s="6">
        <f>MONTH(E1193)</f>
        <v/>
      </c>
      <c r="E1193" s="267">
        <f>IFERROR(__xludf.DUMMYFUNCTION("""COMPUTED_VALUE"""),44827.6666666666)</f>
        <v/>
      </c>
      <c r="F1193" s="6">
        <f>IFERROR(__xludf.DUMMYFUNCTION("""COMPUTED_VALUE"""),3693.23)</f>
        <v/>
      </c>
      <c r="J1193" s="6">
        <f>K1193&amp;L1193</f>
        <v/>
      </c>
      <c r="K1193" s="6">
        <f>YEAR(M1193)</f>
        <v/>
      </c>
      <c r="L1193" s="6">
        <f>MONTH(M1193)</f>
        <v/>
      </c>
      <c r="M1193" s="267">
        <f>IFERROR(__xludf.DUMMYFUNCTION("""COMPUTED_VALUE"""),44820.6666666666)</f>
        <v/>
      </c>
      <c r="N1193" s="6">
        <f>IFERROR(__xludf.DUMMYFUNCTION("""COMPUTED_VALUE"""),11448.4)</f>
        <v/>
      </c>
      <c r="R1193" s="6">
        <f>S1193&amp;T1193</f>
        <v/>
      </c>
      <c r="S1193" s="6">
        <f>YEAR(U1193)</f>
        <v/>
      </c>
      <c r="T1193" s="6">
        <f>MONTH(U1193)</f>
        <v/>
      </c>
      <c r="U1193" s="267">
        <f>IFERROR(__xludf.DUMMYFUNCTION("""COMPUTED_VALUE"""),44873.6458333333)</f>
        <v/>
      </c>
      <c r="V1193" s="6">
        <f>IFERROR(__xludf.DUMMYFUNCTION("""COMPUTED_VALUE"""),2399.04)</f>
        <v/>
      </c>
      <c r="Z1193" s="6">
        <f>AA1193&amp;AB1193</f>
        <v/>
      </c>
      <c r="AA1193" s="6">
        <f>YEAR(AC1193)</f>
        <v/>
      </c>
      <c r="AB1193" s="6">
        <f>MONTH(AC1193)</f>
        <v/>
      </c>
      <c r="AC1193" s="267">
        <f>IFERROR(__xludf.DUMMYFUNCTION("""COMPUTED_VALUE"""),44338.9986111111)</f>
        <v/>
      </c>
      <c r="AD1193" s="6">
        <f>IFERROR(__xludf.DUMMYFUNCTION("""COMPUTED_VALUE"""),1126.29)</f>
        <v/>
      </c>
      <c r="AH1193" s="6">
        <f>AI1193&amp;AJ1193</f>
        <v/>
      </c>
      <c r="AI1193" s="6">
        <f>YEAR(AK1193)</f>
        <v/>
      </c>
      <c r="AJ1193" s="6">
        <f>MONTH(AK1193)</f>
        <v/>
      </c>
      <c r="AK1193" s="267">
        <f>IFERROR(__xludf.DUMMYFUNCTION("""COMPUTED_VALUE"""),44286.9986111111)</f>
        <v/>
      </c>
      <c r="AL1193" s="6">
        <f>IFERROR(__xludf.DUMMYFUNCTION("""COMPUTED_VALUE"""),58794.94)</f>
        <v/>
      </c>
      <c r="AP1193" s="6">
        <f>AQ1193&amp;AR1193</f>
        <v/>
      </c>
      <c r="AQ1193" s="6">
        <f>YEAR(AS1193)</f>
        <v/>
      </c>
      <c r="AR1193" s="6">
        <f>MONTH(AS1193)</f>
        <v/>
      </c>
      <c r="AS1193" s="267">
        <f>IFERROR(__xludf.DUMMYFUNCTION("""COMPUTED_VALUE"""),44837.9986111111)</f>
        <v/>
      </c>
      <c r="AT1193" s="6">
        <f>IFERROR(__xludf.DUMMYFUNCTION("""COMPUTED_VALUE"""),1702)</f>
        <v/>
      </c>
    </row>
    <row r="1194">
      <c r="B1194" s="6">
        <f>C1194&amp;D1194</f>
        <v/>
      </c>
      <c r="C1194" s="6">
        <f>YEAR(E1194)</f>
        <v/>
      </c>
      <c r="D1194" s="6">
        <f>MONTH(E1194)</f>
        <v/>
      </c>
      <c r="E1194" s="267">
        <f>IFERROR(__xludf.DUMMYFUNCTION("""COMPUTED_VALUE"""),44830.6666666666)</f>
        <v/>
      </c>
      <c r="F1194" s="6">
        <f>IFERROR(__xludf.DUMMYFUNCTION("""COMPUTED_VALUE"""),3655.04)</f>
        <v/>
      </c>
      <c r="J1194" s="6">
        <f>K1194&amp;L1194</f>
        <v/>
      </c>
      <c r="K1194" s="6">
        <f>YEAR(M1194)</f>
        <v/>
      </c>
      <c r="L1194" s="6">
        <f>MONTH(M1194)</f>
        <v/>
      </c>
      <c r="M1194" s="267">
        <f>IFERROR(__xludf.DUMMYFUNCTION("""COMPUTED_VALUE"""),44823.6666666666)</f>
        <v/>
      </c>
      <c r="N1194" s="6">
        <f>IFERROR(__xludf.DUMMYFUNCTION("""COMPUTED_VALUE"""),11535.02)</f>
        <v/>
      </c>
      <c r="R1194" s="6">
        <f>S1194&amp;T1194</f>
        <v/>
      </c>
      <c r="S1194" s="6">
        <f>YEAR(U1194)</f>
        <v/>
      </c>
      <c r="T1194" s="6">
        <f>MONTH(U1194)</f>
        <v/>
      </c>
      <c r="U1194" s="267">
        <f>IFERROR(__xludf.DUMMYFUNCTION("""COMPUTED_VALUE"""),44874.6458333333)</f>
        <v/>
      </c>
      <c r="V1194" s="6">
        <f>IFERROR(__xludf.DUMMYFUNCTION("""COMPUTED_VALUE"""),2424.41)</f>
        <v/>
      </c>
      <c r="Z1194" s="6">
        <f>AA1194&amp;AB1194</f>
        <v/>
      </c>
      <c r="AA1194" s="6">
        <f>YEAR(AC1194)</f>
        <v/>
      </c>
      <c r="AB1194" s="6">
        <f>MONTH(AC1194)</f>
        <v/>
      </c>
      <c r="AC1194" s="267">
        <f>IFERROR(__xludf.DUMMYFUNCTION("""COMPUTED_VALUE"""),44339.9986111111)</f>
        <v/>
      </c>
      <c r="AD1194" s="6">
        <f>IFERROR(__xludf.DUMMYFUNCTION("""COMPUTED_VALUE"""),1126.79)</f>
        <v/>
      </c>
      <c r="AH1194" s="6">
        <f>AI1194&amp;AJ1194</f>
        <v/>
      </c>
      <c r="AI1194" s="6">
        <f>YEAR(AK1194)</f>
        <v/>
      </c>
      <c r="AJ1194" s="6">
        <f>MONTH(AK1194)</f>
        <v/>
      </c>
      <c r="AK1194" s="267">
        <f>IFERROR(__xludf.DUMMYFUNCTION("""COMPUTED_VALUE"""),44287.9986111111)</f>
        <v/>
      </c>
      <c r="AL1194" s="6">
        <f>IFERROR(__xludf.DUMMYFUNCTION("""COMPUTED_VALUE"""),58721.72)</f>
        <v/>
      </c>
      <c r="AP1194" s="6">
        <f>AQ1194&amp;AR1194</f>
        <v/>
      </c>
      <c r="AQ1194" s="6">
        <f>YEAR(AS1194)</f>
        <v/>
      </c>
      <c r="AR1194" s="6">
        <f>MONTH(AS1194)</f>
        <v/>
      </c>
      <c r="AS1194" s="267">
        <f>IFERROR(__xludf.DUMMYFUNCTION("""COMPUTED_VALUE"""),44838.9986111111)</f>
        <v/>
      </c>
      <c r="AT1194" s="6">
        <f>IFERROR(__xludf.DUMMYFUNCTION("""COMPUTED_VALUE"""),1730.5)</f>
        <v/>
      </c>
    </row>
    <row r="1195">
      <c r="B1195" s="6">
        <f>C1195&amp;D1195</f>
        <v/>
      </c>
      <c r="C1195" s="6">
        <f>YEAR(E1195)</f>
        <v/>
      </c>
      <c r="D1195" s="6">
        <f>MONTH(E1195)</f>
        <v/>
      </c>
      <c r="E1195" s="267">
        <f>IFERROR(__xludf.DUMMYFUNCTION("""COMPUTED_VALUE"""),44831.6666666666)</f>
        <v/>
      </c>
      <c r="F1195" s="6">
        <f>IFERROR(__xludf.DUMMYFUNCTION("""COMPUTED_VALUE"""),3647.29)</f>
        <v/>
      </c>
      <c r="J1195" s="6">
        <f>K1195&amp;L1195</f>
        <v/>
      </c>
      <c r="K1195" s="6">
        <f>YEAR(M1195)</f>
        <v/>
      </c>
      <c r="L1195" s="6">
        <f>MONTH(M1195)</f>
        <v/>
      </c>
      <c r="M1195" s="267">
        <f>IFERROR(__xludf.DUMMYFUNCTION("""COMPUTED_VALUE"""),44824.6666666666)</f>
        <v/>
      </c>
      <c r="N1195" s="6">
        <f>IFERROR(__xludf.DUMMYFUNCTION("""COMPUTED_VALUE"""),11425.05)</f>
        <v/>
      </c>
      <c r="R1195" s="6">
        <f>S1195&amp;T1195</f>
        <v/>
      </c>
      <c r="S1195" s="6">
        <f>YEAR(U1195)</f>
        <v/>
      </c>
      <c r="T1195" s="6">
        <f>MONTH(U1195)</f>
        <v/>
      </c>
      <c r="U1195" s="267">
        <f>IFERROR(__xludf.DUMMYFUNCTION("""COMPUTED_VALUE"""),44875.6458333333)</f>
        <v/>
      </c>
      <c r="V1195" s="6">
        <f>IFERROR(__xludf.DUMMYFUNCTION("""COMPUTED_VALUE"""),2402.23)</f>
        <v/>
      </c>
      <c r="Z1195" s="6">
        <f>AA1195&amp;AB1195</f>
        <v/>
      </c>
      <c r="AA1195" s="6">
        <f>YEAR(AC1195)</f>
        <v/>
      </c>
      <c r="AB1195" s="6">
        <f>MONTH(AC1195)</f>
        <v/>
      </c>
      <c r="AC1195" s="267">
        <f>IFERROR(__xludf.DUMMYFUNCTION("""COMPUTED_VALUE"""),44340.9986111111)</f>
        <v/>
      </c>
      <c r="AD1195" s="6">
        <f>IFERROR(__xludf.DUMMYFUNCTION("""COMPUTED_VALUE"""),1122.19)</f>
        <v/>
      </c>
      <c r="AH1195" s="6">
        <f>AI1195&amp;AJ1195</f>
        <v/>
      </c>
      <c r="AI1195" s="6">
        <f>YEAR(AK1195)</f>
        <v/>
      </c>
      <c r="AJ1195" s="6">
        <f>MONTH(AK1195)</f>
        <v/>
      </c>
      <c r="AK1195" s="267">
        <f>IFERROR(__xludf.DUMMYFUNCTION("""COMPUTED_VALUE"""),44288.9986111111)</f>
        <v/>
      </c>
      <c r="AL1195" s="6">
        <f>IFERROR(__xludf.DUMMYFUNCTION("""COMPUTED_VALUE"""),58987.56)</f>
        <v/>
      </c>
      <c r="AP1195" s="6">
        <f>AQ1195&amp;AR1195</f>
        <v/>
      </c>
      <c r="AQ1195" s="6">
        <f>YEAR(AS1195)</f>
        <v/>
      </c>
      <c r="AR1195" s="6">
        <f>MONTH(AS1195)</f>
        <v/>
      </c>
      <c r="AS1195" s="267">
        <f>IFERROR(__xludf.DUMMYFUNCTION("""COMPUTED_VALUE"""),44839.9986111111)</f>
        <v/>
      </c>
      <c r="AT1195" s="6">
        <f>IFERROR(__xludf.DUMMYFUNCTION("""COMPUTED_VALUE"""),1720.8)</f>
        <v/>
      </c>
    </row>
    <row r="1196">
      <c r="B1196" s="6">
        <f>C1196&amp;D1196</f>
        <v/>
      </c>
      <c r="C1196" s="6">
        <f>YEAR(E1196)</f>
        <v/>
      </c>
      <c r="D1196" s="6">
        <f>MONTH(E1196)</f>
        <v/>
      </c>
      <c r="E1196" s="267">
        <f>IFERROR(__xludf.DUMMYFUNCTION("""COMPUTED_VALUE"""),44832.6666666666)</f>
        <v/>
      </c>
      <c r="F1196" s="6">
        <f>IFERROR(__xludf.DUMMYFUNCTION("""COMPUTED_VALUE"""),3719.04)</f>
        <v/>
      </c>
      <c r="J1196" s="6">
        <f>K1196&amp;L1196</f>
        <v/>
      </c>
      <c r="K1196" s="6">
        <f>YEAR(M1196)</f>
        <v/>
      </c>
      <c r="L1196" s="6">
        <f>MONTH(M1196)</f>
        <v/>
      </c>
      <c r="M1196" s="267">
        <f>IFERROR(__xludf.DUMMYFUNCTION("""COMPUTED_VALUE"""),44825.6666666666)</f>
        <v/>
      </c>
      <c r="N1196" s="6">
        <f>IFERROR(__xludf.DUMMYFUNCTION("""COMPUTED_VALUE"""),11220.19)</f>
        <v/>
      </c>
      <c r="R1196" s="6">
        <f>S1196&amp;T1196</f>
        <v/>
      </c>
      <c r="S1196" s="6">
        <f>YEAR(U1196)</f>
        <v/>
      </c>
      <c r="T1196" s="6">
        <f>MONTH(U1196)</f>
        <v/>
      </c>
      <c r="U1196" s="267">
        <f>IFERROR(__xludf.DUMMYFUNCTION("""COMPUTED_VALUE"""),44876.6458333333)</f>
        <v/>
      </c>
      <c r="V1196" s="6">
        <f>IFERROR(__xludf.DUMMYFUNCTION("""COMPUTED_VALUE"""),2483.16)</f>
        <v/>
      </c>
      <c r="Z1196" s="6">
        <f>AA1196&amp;AB1196</f>
        <v/>
      </c>
      <c r="AA1196" s="6">
        <f>YEAR(AC1196)</f>
        <v/>
      </c>
      <c r="AB1196" s="6">
        <f>MONTH(AC1196)</f>
        <v/>
      </c>
      <c r="AC1196" s="267">
        <f>IFERROR(__xludf.DUMMYFUNCTION("""COMPUTED_VALUE"""),44341.9986111111)</f>
        <v/>
      </c>
      <c r="AD1196" s="6">
        <f>IFERROR(__xludf.DUMMYFUNCTION("""COMPUTED_VALUE"""),1121.38)</f>
        <v/>
      </c>
      <c r="AH1196" s="6">
        <f>AI1196&amp;AJ1196</f>
        <v/>
      </c>
      <c r="AI1196" s="6">
        <f>YEAR(AK1196)</f>
        <v/>
      </c>
      <c r="AJ1196" s="6">
        <f>MONTH(AK1196)</f>
        <v/>
      </c>
      <c r="AK1196" s="267">
        <f>IFERROR(__xludf.DUMMYFUNCTION("""COMPUTED_VALUE"""),44289.9986111111)</f>
        <v/>
      </c>
      <c r="AL1196" s="6">
        <f>IFERROR(__xludf.DUMMYFUNCTION("""COMPUTED_VALUE"""),57072.03)</f>
        <v/>
      </c>
      <c r="AP1196" s="6">
        <f>AQ1196&amp;AR1196</f>
        <v/>
      </c>
      <c r="AQ1196" s="6">
        <f>YEAR(AS1196)</f>
        <v/>
      </c>
      <c r="AR1196" s="6">
        <f>MONTH(AS1196)</f>
        <v/>
      </c>
      <c r="AS1196" s="267">
        <f>IFERROR(__xludf.DUMMYFUNCTION("""COMPUTED_VALUE"""),44840.9986111111)</f>
        <v/>
      </c>
      <c r="AT1196" s="6">
        <f>IFERROR(__xludf.DUMMYFUNCTION("""COMPUTED_VALUE"""),1720.8)</f>
        <v/>
      </c>
    </row>
    <row r="1197">
      <c r="B1197" s="6">
        <f>C1197&amp;D1197</f>
        <v/>
      </c>
      <c r="C1197" s="6">
        <f>YEAR(E1197)</f>
        <v/>
      </c>
      <c r="D1197" s="6">
        <f>MONTH(E1197)</f>
        <v/>
      </c>
      <c r="E1197" s="267">
        <f>IFERROR(__xludf.DUMMYFUNCTION("""COMPUTED_VALUE"""),44833.6666666666)</f>
        <v/>
      </c>
      <c r="F1197" s="6">
        <f>IFERROR(__xludf.DUMMYFUNCTION("""COMPUTED_VALUE"""),3640.47)</f>
        <v/>
      </c>
      <c r="J1197" s="6">
        <f>K1197&amp;L1197</f>
        <v/>
      </c>
      <c r="K1197" s="6">
        <f>YEAR(M1197)</f>
        <v/>
      </c>
      <c r="L1197" s="6">
        <f>MONTH(M1197)</f>
        <v/>
      </c>
      <c r="M1197" s="267">
        <f>IFERROR(__xludf.DUMMYFUNCTION("""COMPUTED_VALUE"""),44826.6666666666)</f>
        <v/>
      </c>
      <c r="N1197" s="6">
        <f>IFERROR(__xludf.DUMMYFUNCTION("""COMPUTED_VALUE"""),11066.81)</f>
        <v/>
      </c>
      <c r="R1197" s="6">
        <f>S1197&amp;T1197</f>
        <v/>
      </c>
      <c r="S1197" s="6">
        <f>YEAR(U1197)</f>
        <v/>
      </c>
      <c r="T1197" s="6">
        <f>MONTH(U1197)</f>
        <v/>
      </c>
      <c r="U1197" s="267">
        <f>IFERROR(__xludf.DUMMYFUNCTION("""COMPUTED_VALUE"""),44879.6458333333)</f>
        <v/>
      </c>
      <c r="V1197" s="6">
        <f>IFERROR(__xludf.DUMMYFUNCTION("""COMPUTED_VALUE"""),2474.65)</f>
        <v/>
      </c>
      <c r="Z1197" s="6">
        <f>AA1197&amp;AB1197</f>
        <v/>
      </c>
      <c r="AA1197" s="6">
        <f>YEAR(AC1197)</f>
        <v/>
      </c>
      <c r="AB1197" s="6">
        <f>MONTH(AC1197)</f>
        <v/>
      </c>
      <c r="AC1197" s="267">
        <f>IFERROR(__xludf.DUMMYFUNCTION("""COMPUTED_VALUE"""),44342.9986111111)</f>
        <v/>
      </c>
      <c r="AD1197" s="6">
        <f>IFERROR(__xludf.DUMMYFUNCTION("""COMPUTED_VALUE"""),1115.52)</f>
        <v/>
      </c>
      <c r="AH1197" s="6">
        <f>AI1197&amp;AJ1197</f>
        <v/>
      </c>
      <c r="AI1197" s="6">
        <f>YEAR(AK1197)</f>
        <v/>
      </c>
      <c r="AJ1197" s="6">
        <f>MONTH(AK1197)</f>
        <v/>
      </c>
      <c r="AK1197" s="267">
        <f>IFERROR(__xludf.DUMMYFUNCTION("""COMPUTED_VALUE"""),44290.9986111111)</f>
        <v/>
      </c>
      <c r="AL1197" s="6">
        <f>IFERROR(__xludf.DUMMYFUNCTION("""COMPUTED_VALUE"""),58218.89)</f>
        <v/>
      </c>
      <c r="AP1197" s="6">
        <f>AQ1197&amp;AR1197</f>
        <v/>
      </c>
      <c r="AQ1197" s="6">
        <f>YEAR(AS1197)</f>
        <v/>
      </c>
      <c r="AR1197" s="6">
        <f>MONTH(AS1197)</f>
        <v/>
      </c>
      <c r="AS1197" s="267">
        <f>IFERROR(__xludf.DUMMYFUNCTION("""COMPUTED_VALUE"""),44841.9986111111)</f>
        <v/>
      </c>
      <c r="AT1197" s="6">
        <f>IFERROR(__xludf.DUMMYFUNCTION("""COMPUTED_VALUE"""),1709.3)</f>
        <v/>
      </c>
    </row>
    <row r="1198">
      <c r="B1198" s="6">
        <f>C1198&amp;D1198</f>
        <v/>
      </c>
      <c r="C1198" s="6">
        <f>YEAR(E1198)</f>
        <v/>
      </c>
      <c r="D1198" s="6">
        <f>MONTH(E1198)</f>
        <v/>
      </c>
      <c r="E1198" s="267">
        <f>IFERROR(__xludf.DUMMYFUNCTION("""COMPUTED_VALUE"""),44834.6666666666)</f>
        <v/>
      </c>
      <c r="F1198" s="6">
        <f>IFERROR(__xludf.DUMMYFUNCTION("""COMPUTED_VALUE"""),3585.62)</f>
        <v/>
      </c>
      <c r="J1198" s="6">
        <f>K1198&amp;L1198</f>
        <v/>
      </c>
      <c r="K1198" s="6">
        <f>YEAR(M1198)</f>
        <v/>
      </c>
      <c r="L1198" s="6">
        <f>MONTH(M1198)</f>
        <v/>
      </c>
      <c r="M1198" s="267">
        <f>IFERROR(__xludf.DUMMYFUNCTION("""COMPUTED_VALUE"""),44827.6666666666)</f>
        <v/>
      </c>
      <c r="N1198" s="6">
        <f>IFERROR(__xludf.DUMMYFUNCTION("""COMPUTED_VALUE"""),10867.93)</f>
        <v/>
      </c>
      <c r="R1198" s="6">
        <f>S1198&amp;T1198</f>
        <v/>
      </c>
      <c r="S1198" s="6">
        <f>YEAR(U1198)</f>
        <v/>
      </c>
      <c r="T1198" s="6">
        <f>MONTH(U1198)</f>
        <v/>
      </c>
      <c r="U1198" s="267">
        <f>IFERROR(__xludf.DUMMYFUNCTION("""COMPUTED_VALUE"""),44880.6458333333)</f>
        <v/>
      </c>
      <c r="V1198" s="6">
        <f>IFERROR(__xludf.DUMMYFUNCTION("""COMPUTED_VALUE"""),2480.33)</f>
        <v/>
      </c>
      <c r="Z1198" s="6">
        <f>AA1198&amp;AB1198</f>
        <v/>
      </c>
      <c r="AA1198" s="6">
        <f>YEAR(AC1198)</f>
        <v/>
      </c>
      <c r="AB1198" s="6">
        <f>MONTH(AC1198)</f>
        <v/>
      </c>
      <c r="AC1198" s="267">
        <f>IFERROR(__xludf.DUMMYFUNCTION("""COMPUTED_VALUE"""),44343.9986111111)</f>
        <v/>
      </c>
      <c r="AD1198" s="6">
        <f>IFERROR(__xludf.DUMMYFUNCTION("""COMPUTED_VALUE"""),1117.3)</f>
        <v/>
      </c>
      <c r="AH1198" s="6">
        <f>AI1198&amp;AJ1198</f>
        <v/>
      </c>
      <c r="AI1198" s="6">
        <f>YEAR(AK1198)</f>
        <v/>
      </c>
      <c r="AJ1198" s="6">
        <f>MONTH(AK1198)</f>
        <v/>
      </c>
      <c r="AK1198" s="267">
        <f>IFERROR(__xludf.DUMMYFUNCTION("""COMPUTED_VALUE"""),44291.9986111111)</f>
        <v/>
      </c>
      <c r="AL1198" s="6">
        <f>IFERROR(__xludf.DUMMYFUNCTION("""COMPUTED_VALUE"""),59075.45)</f>
        <v/>
      </c>
      <c r="AP1198" s="6">
        <f>AQ1198&amp;AR1198</f>
        <v/>
      </c>
      <c r="AQ1198" s="6">
        <f>YEAR(AS1198)</f>
        <v/>
      </c>
      <c r="AR1198" s="6">
        <f>MONTH(AS1198)</f>
        <v/>
      </c>
      <c r="AS1198" s="267">
        <f>IFERROR(__xludf.DUMMYFUNCTION("""COMPUTED_VALUE"""),44844.9986111111)</f>
        <v/>
      </c>
      <c r="AT1198" s="6">
        <f>IFERROR(__xludf.DUMMYFUNCTION("""COMPUTED_VALUE"""),1675.2)</f>
        <v/>
      </c>
    </row>
    <row r="1199">
      <c r="B1199" s="6">
        <f>C1199&amp;D1199</f>
        <v/>
      </c>
      <c r="C1199" s="6">
        <f>YEAR(E1199)</f>
        <v/>
      </c>
      <c r="D1199" s="6">
        <f>MONTH(E1199)</f>
        <v/>
      </c>
      <c r="E1199" s="267">
        <f>IFERROR(__xludf.DUMMYFUNCTION("""COMPUTED_VALUE"""),44837.6666666666)</f>
        <v/>
      </c>
      <c r="F1199" s="6">
        <f>IFERROR(__xludf.DUMMYFUNCTION("""COMPUTED_VALUE"""),3678.43)</f>
        <v/>
      </c>
      <c r="J1199" s="6">
        <f>K1199&amp;L1199</f>
        <v/>
      </c>
      <c r="K1199" s="6">
        <f>YEAR(M1199)</f>
        <v/>
      </c>
      <c r="L1199" s="6">
        <f>MONTH(M1199)</f>
        <v/>
      </c>
      <c r="M1199" s="267">
        <f>IFERROR(__xludf.DUMMYFUNCTION("""COMPUTED_VALUE"""),44830.6666666666)</f>
        <v/>
      </c>
      <c r="N1199" s="6">
        <f>IFERROR(__xludf.DUMMYFUNCTION("""COMPUTED_VALUE"""),10802.92)</f>
        <v/>
      </c>
      <c r="R1199" s="6">
        <f>S1199&amp;T1199</f>
        <v/>
      </c>
      <c r="S1199" s="6">
        <f>YEAR(U1199)</f>
        <v/>
      </c>
      <c r="T1199" s="6">
        <f>MONTH(U1199)</f>
        <v/>
      </c>
      <c r="U1199" s="267">
        <f>IFERROR(__xludf.DUMMYFUNCTION("""COMPUTED_VALUE"""),44881.6458333333)</f>
        <v/>
      </c>
      <c r="V1199" s="6">
        <f>IFERROR(__xludf.DUMMYFUNCTION("""COMPUTED_VALUE"""),2477.45)</f>
        <v/>
      </c>
      <c r="Z1199" s="6">
        <f>AA1199&amp;AB1199</f>
        <v/>
      </c>
      <c r="AA1199" s="6">
        <f>YEAR(AC1199)</f>
        <v/>
      </c>
      <c r="AB1199" s="6">
        <f>MONTH(AC1199)</f>
        <v/>
      </c>
      <c r="AC1199" s="267">
        <f>IFERROR(__xludf.DUMMYFUNCTION("""COMPUTED_VALUE"""),44344.9986111111)</f>
        <v/>
      </c>
      <c r="AD1199" s="6">
        <f>IFERROR(__xludf.DUMMYFUNCTION("""COMPUTED_VALUE"""),1112.75)</f>
        <v/>
      </c>
      <c r="AH1199" s="6">
        <f>AI1199&amp;AJ1199</f>
        <v/>
      </c>
      <c r="AI1199" s="6">
        <f>YEAR(AK1199)</f>
        <v/>
      </c>
      <c r="AJ1199" s="6">
        <f>MONTH(AK1199)</f>
        <v/>
      </c>
      <c r="AK1199" s="267">
        <f>IFERROR(__xludf.DUMMYFUNCTION("""COMPUTED_VALUE"""),44292.9986111111)</f>
        <v/>
      </c>
      <c r="AL1199" s="6">
        <f>IFERROR(__xludf.DUMMYFUNCTION("""COMPUTED_VALUE"""),58005.9)</f>
        <v/>
      </c>
      <c r="AP1199" s="6">
        <f>AQ1199&amp;AR1199</f>
        <v/>
      </c>
      <c r="AQ1199" s="6">
        <f>YEAR(AS1199)</f>
        <v/>
      </c>
      <c r="AR1199" s="6">
        <f>MONTH(AS1199)</f>
        <v/>
      </c>
      <c r="AS1199" s="267">
        <f>IFERROR(__xludf.DUMMYFUNCTION("""COMPUTED_VALUE"""),44845.9986111111)</f>
        <v/>
      </c>
      <c r="AT1199" s="6">
        <f>IFERROR(__xludf.DUMMYFUNCTION("""COMPUTED_VALUE"""),1686)</f>
        <v/>
      </c>
    </row>
    <row r="1200">
      <c r="B1200" s="6">
        <f>C1200&amp;D1200</f>
        <v/>
      </c>
      <c r="C1200" s="6">
        <f>YEAR(E1200)</f>
        <v/>
      </c>
      <c r="D1200" s="6">
        <f>MONTH(E1200)</f>
        <v/>
      </c>
      <c r="E1200" s="267">
        <f>IFERROR(__xludf.DUMMYFUNCTION("""COMPUTED_VALUE"""),44838.6666666666)</f>
        <v/>
      </c>
      <c r="F1200" s="6">
        <f>IFERROR(__xludf.DUMMYFUNCTION("""COMPUTED_VALUE"""),3790.93)</f>
        <v/>
      </c>
      <c r="J1200" s="6">
        <f>K1200&amp;L1200</f>
        <v/>
      </c>
      <c r="K1200" s="6">
        <f>YEAR(M1200)</f>
        <v/>
      </c>
      <c r="L1200" s="6">
        <f>MONTH(M1200)</f>
        <v/>
      </c>
      <c r="M1200" s="267">
        <f>IFERROR(__xludf.DUMMYFUNCTION("""COMPUTED_VALUE"""),44831.6666666666)</f>
        <v/>
      </c>
      <c r="N1200" s="6">
        <f>IFERROR(__xludf.DUMMYFUNCTION("""COMPUTED_VALUE"""),10829.5)</f>
        <v/>
      </c>
      <c r="R1200" s="6">
        <f>S1200&amp;T1200</f>
        <v/>
      </c>
      <c r="S1200" s="6">
        <f>YEAR(U1200)</f>
        <v/>
      </c>
      <c r="T1200" s="6">
        <f>MONTH(U1200)</f>
        <v/>
      </c>
      <c r="U1200" s="267">
        <f>IFERROR(__xludf.DUMMYFUNCTION("""COMPUTED_VALUE"""),44882.6458333333)</f>
        <v/>
      </c>
      <c r="V1200" s="6">
        <f>IFERROR(__xludf.DUMMYFUNCTION("""COMPUTED_VALUE"""),2442.9)</f>
        <v/>
      </c>
      <c r="Z1200" s="6">
        <f>AA1200&amp;AB1200</f>
        <v/>
      </c>
      <c r="AA1200" s="6">
        <f>YEAR(AC1200)</f>
        <v/>
      </c>
      <c r="AB1200" s="6">
        <f>MONTH(AC1200)</f>
        <v/>
      </c>
      <c r="AC1200" s="267">
        <f>IFERROR(__xludf.DUMMYFUNCTION("""COMPUTED_VALUE"""),44345.9986111111)</f>
        <v/>
      </c>
      <c r="AD1200" s="6">
        <f>IFERROR(__xludf.DUMMYFUNCTION("""COMPUTED_VALUE"""),1112.75)</f>
        <v/>
      </c>
      <c r="AH1200" s="6">
        <f>AI1200&amp;AJ1200</f>
        <v/>
      </c>
      <c r="AI1200" s="6">
        <f>YEAR(AK1200)</f>
        <v/>
      </c>
      <c r="AJ1200" s="6">
        <f>MONTH(AK1200)</f>
        <v/>
      </c>
      <c r="AK1200" s="267">
        <f>IFERROR(__xludf.DUMMYFUNCTION("""COMPUTED_VALUE"""),44293.9986111111)</f>
        <v/>
      </c>
      <c r="AL1200" s="6">
        <f>IFERROR(__xludf.DUMMYFUNCTION("""COMPUTED_VALUE"""),55914.07)</f>
        <v/>
      </c>
      <c r="AP1200" s="6">
        <f>AQ1200&amp;AR1200</f>
        <v/>
      </c>
      <c r="AQ1200" s="6">
        <f>YEAR(AS1200)</f>
        <v/>
      </c>
      <c r="AR1200" s="6">
        <f>MONTH(AS1200)</f>
        <v/>
      </c>
      <c r="AS1200" s="267">
        <f>IFERROR(__xludf.DUMMYFUNCTION("""COMPUTED_VALUE"""),44846.9986111111)</f>
        <v/>
      </c>
      <c r="AT1200" s="6">
        <f>IFERROR(__xludf.DUMMYFUNCTION("""COMPUTED_VALUE"""),1677.5)</f>
        <v/>
      </c>
    </row>
    <row r="1201">
      <c r="B1201" s="6">
        <f>C1201&amp;D1201</f>
        <v/>
      </c>
      <c r="C1201" s="6">
        <f>YEAR(E1201)</f>
        <v/>
      </c>
      <c r="D1201" s="6">
        <f>MONTH(E1201)</f>
        <v/>
      </c>
      <c r="E1201" s="267">
        <f>IFERROR(__xludf.DUMMYFUNCTION("""COMPUTED_VALUE"""),44839.6666666666)</f>
        <v/>
      </c>
      <c r="F1201" s="6">
        <f>IFERROR(__xludf.DUMMYFUNCTION("""COMPUTED_VALUE"""),3783.28)</f>
        <v/>
      </c>
      <c r="J1201" s="6">
        <f>K1201&amp;L1201</f>
        <v/>
      </c>
      <c r="K1201" s="6">
        <f>YEAR(M1201)</f>
        <v/>
      </c>
      <c r="L1201" s="6">
        <f>MONTH(M1201)</f>
        <v/>
      </c>
      <c r="M1201" s="267">
        <f>IFERROR(__xludf.DUMMYFUNCTION("""COMPUTED_VALUE"""),44832.6666666666)</f>
        <v/>
      </c>
      <c r="N1201" s="6">
        <f>IFERROR(__xludf.DUMMYFUNCTION("""COMPUTED_VALUE"""),11051.64)</f>
        <v/>
      </c>
      <c r="R1201" s="6">
        <f>S1201&amp;T1201</f>
        <v/>
      </c>
      <c r="S1201" s="6">
        <f>YEAR(U1201)</f>
        <v/>
      </c>
      <c r="T1201" s="6">
        <f>MONTH(U1201)</f>
        <v/>
      </c>
      <c r="U1201" s="267">
        <f>IFERROR(__xludf.DUMMYFUNCTION("""COMPUTED_VALUE"""),44883.6458333333)</f>
        <v/>
      </c>
      <c r="V1201" s="6">
        <f>IFERROR(__xludf.DUMMYFUNCTION("""COMPUTED_VALUE"""),2444.48)</f>
        <v/>
      </c>
      <c r="Z1201" s="6">
        <f>AA1201&amp;AB1201</f>
        <v/>
      </c>
      <c r="AA1201" s="6">
        <f>YEAR(AC1201)</f>
        <v/>
      </c>
      <c r="AB1201" s="6">
        <f>MONTH(AC1201)</f>
        <v/>
      </c>
      <c r="AC1201" s="267">
        <f>IFERROR(__xludf.DUMMYFUNCTION("""COMPUTED_VALUE"""),44346.9986111111)</f>
        <v/>
      </c>
      <c r="AD1201" s="6">
        <f>IFERROR(__xludf.DUMMYFUNCTION("""COMPUTED_VALUE"""),1112.85)</f>
        <v/>
      </c>
      <c r="AH1201" s="6">
        <f>AI1201&amp;AJ1201</f>
        <v/>
      </c>
      <c r="AI1201" s="6">
        <f>YEAR(AK1201)</f>
        <v/>
      </c>
      <c r="AJ1201" s="6">
        <f>MONTH(AK1201)</f>
        <v/>
      </c>
      <c r="AK1201" s="267">
        <f>IFERROR(__xludf.DUMMYFUNCTION("""COMPUTED_VALUE"""),44294.9986111111)</f>
        <v/>
      </c>
      <c r="AL1201" s="6">
        <f>IFERROR(__xludf.DUMMYFUNCTION("""COMPUTED_VALUE"""),58063.47)</f>
        <v/>
      </c>
      <c r="AP1201" s="6">
        <f>AQ1201&amp;AR1201</f>
        <v/>
      </c>
      <c r="AQ1201" s="6">
        <f>YEAR(AS1201)</f>
        <v/>
      </c>
      <c r="AR1201" s="6">
        <f>MONTH(AS1201)</f>
        <v/>
      </c>
      <c r="AS1201" s="267">
        <f>IFERROR(__xludf.DUMMYFUNCTION("""COMPUTED_VALUE"""),44847.9986111111)</f>
        <v/>
      </c>
      <c r="AT1201" s="6">
        <f>IFERROR(__xludf.DUMMYFUNCTION("""COMPUTED_VALUE"""),1677)</f>
        <v/>
      </c>
    </row>
    <row r="1202">
      <c r="B1202" s="6">
        <f>C1202&amp;D1202</f>
        <v/>
      </c>
      <c r="C1202" s="6">
        <f>YEAR(E1202)</f>
        <v/>
      </c>
      <c r="D1202" s="6">
        <f>MONTH(E1202)</f>
        <v/>
      </c>
      <c r="E1202" s="267">
        <f>IFERROR(__xludf.DUMMYFUNCTION("""COMPUTED_VALUE"""),44840.6666666666)</f>
        <v/>
      </c>
      <c r="F1202" s="6">
        <f>IFERROR(__xludf.DUMMYFUNCTION("""COMPUTED_VALUE"""),3744.52)</f>
        <v/>
      </c>
      <c r="J1202" s="6">
        <f>K1202&amp;L1202</f>
        <v/>
      </c>
      <c r="K1202" s="6">
        <f>YEAR(M1202)</f>
        <v/>
      </c>
      <c r="L1202" s="6">
        <f>MONTH(M1202)</f>
        <v/>
      </c>
      <c r="M1202" s="267">
        <f>IFERROR(__xludf.DUMMYFUNCTION("""COMPUTED_VALUE"""),44833.6666666666)</f>
        <v/>
      </c>
      <c r="N1202" s="6">
        <f>IFERROR(__xludf.DUMMYFUNCTION("""COMPUTED_VALUE"""),10737.51)</f>
        <v/>
      </c>
      <c r="R1202" s="6">
        <f>S1202&amp;T1202</f>
        <v/>
      </c>
      <c r="S1202" s="6">
        <f>YEAR(U1202)</f>
        <v/>
      </c>
      <c r="T1202" s="6">
        <f>MONTH(U1202)</f>
        <v/>
      </c>
      <c r="U1202" s="267">
        <f>IFERROR(__xludf.DUMMYFUNCTION("""COMPUTED_VALUE"""),44886.6458333333)</f>
        <v/>
      </c>
      <c r="V1202" s="6">
        <f>IFERROR(__xludf.DUMMYFUNCTION("""COMPUTED_VALUE"""),2419.5)</f>
        <v/>
      </c>
      <c r="Z1202" s="6">
        <f>AA1202&amp;AB1202</f>
        <v/>
      </c>
      <c r="AA1202" s="6">
        <f>YEAR(AC1202)</f>
        <v/>
      </c>
      <c r="AB1202" s="6">
        <f>MONTH(AC1202)</f>
        <v/>
      </c>
      <c r="AC1202" s="267">
        <f>IFERROR(__xludf.DUMMYFUNCTION("""COMPUTED_VALUE"""),44347.9986111111)</f>
        <v/>
      </c>
      <c r="AD1202" s="6">
        <f>IFERROR(__xludf.DUMMYFUNCTION("""COMPUTED_VALUE"""),1106.98)</f>
        <v/>
      </c>
      <c r="AH1202" s="6">
        <f>AI1202&amp;AJ1202</f>
        <v/>
      </c>
      <c r="AI1202" s="6">
        <f>YEAR(AK1202)</f>
        <v/>
      </c>
      <c r="AJ1202" s="6">
        <f>MONTH(AK1202)</f>
        <v/>
      </c>
      <c r="AK1202" s="267">
        <f>IFERROR(__xludf.DUMMYFUNCTION("""COMPUTED_VALUE"""),44295.9986111111)</f>
        <v/>
      </c>
      <c r="AL1202" s="6">
        <f>IFERROR(__xludf.DUMMYFUNCTION("""COMPUTED_VALUE"""),58095.14)</f>
        <v/>
      </c>
      <c r="AP1202" s="6">
        <f>AQ1202&amp;AR1202</f>
        <v/>
      </c>
      <c r="AQ1202" s="6">
        <f>YEAR(AS1202)</f>
        <v/>
      </c>
      <c r="AR1202" s="6">
        <f>MONTH(AS1202)</f>
        <v/>
      </c>
      <c r="AS1202" s="267">
        <f>IFERROR(__xludf.DUMMYFUNCTION("""COMPUTED_VALUE"""),44848.9986111111)</f>
        <v/>
      </c>
      <c r="AT1202" s="6">
        <f>IFERROR(__xludf.DUMMYFUNCTION("""COMPUTED_VALUE"""),1648.9)</f>
        <v/>
      </c>
    </row>
    <row r="1203">
      <c r="B1203" s="6">
        <f>C1203&amp;D1203</f>
        <v/>
      </c>
      <c r="C1203" s="6">
        <f>YEAR(E1203)</f>
        <v/>
      </c>
      <c r="D1203" s="6">
        <f>MONTH(E1203)</f>
        <v/>
      </c>
      <c r="E1203" s="267">
        <f>IFERROR(__xludf.DUMMYFUNCTION("""COMPUTED_VALUE"""),44841.6666666666)</f>
        <v/>
      </c>
      <c r="F1203" s="6">
        <f>IFERROR(__xludf.DUMMYFUNCTION("""COMPUTED_VALUE"""),3639.66)</f>
        <v/>
      </c>
      <c r="J1203" s="6">
        <f>K1203&amp;L1203</f>
        <v/>
      </c>
      <c r="K1203" s="6">
        <f>YEAR(M1203)</f>
        <v/>
      </c>
      <c r="L1203" s="6">
        <f>MONTH(M1203)</f>
        <v/>
      </c>
      <c r="M1203" s="267">
        <f>IFERROR(__xludf.DUMMYFUNCTION("""COMPUTED_VALUE"""),44834.6666666666)</f>
        <v/>
      </c>
      <c r="N1203" s="6">
        <f>IFERROR(__xludf.DUMMYFUNCTION("""COMPUTED_VALUE"""),10575.62)</f>
        <v/>
      </c>
      <c r="R1203" s="6">
        <f>S1203&amp;T1203</f>
        <v/>
      </c>
      <c r="S1203" s="6">
        <f>YEAR(U1203)</f>
        <v/>
      </c>
      <c r="T1203" s="6">
        <f>MONTH(U1203)</f>
        <v/>
      </c>
      <c r="U1203" s="267">
        <f>IFERROR(__xludf.DUMMYFUNCTION("""COMPUTED_VALUE"""),44887.6458333333)</f>
        <v/>
      </c>
      <c r="V1203" s="6">
        <f>IFERROR(__xludf.DUMMYFUNCTION("""COMPUTED_VALUE"""),2405.27)</f>
        <v/>
      </c>
      <c r="Z1203" s="6">
        <f>AA1203&amp;AB1203</f>
        <v/>
      </c>
      <c r="AA1203" s="6">
        <f>YEAR(AC1203)</f>
        <v/>
      </c>
      <c r="AB1203" s="6">
        <f>MONTH(AC1203)</f>
        <v/>
      </c>
      <c r="AC1203" s="267">
        <f>IFERROR(__xludf.DUMMYFUNCTION("""COMPUTED_VALUE"""),44348.9986111111)</f>
        <v/>
      </c>
      <c r="AD1203" s="6">
        <f>IFERROR(__xludf.DUMMYFUNCTION("""COMPUTED_VALUE"""),1107.21)</f>
        <v/>
      </c>
      <c r="AH1203" s="6">
        <f>AI1203&amp;AJ1203</f>
        <v/>
      </c>
      <c r="AI1203" s="6">
        <f>YEAR(AK1203)</f>
        <v/>
      </c>
      <c r="AJ1203" s="6">
        <f>MONTH(AK1203)</f>
        <v/>
      </c>
      <c r="AK1203" s="267">
        <f>IFERROR(__xludf.DUMMYFUNCTION("""COMPUTED_VALUE"""),44296.9986111111)</f>
        <v/>
      </c>
      <c r="AL1203" s="6">
        <f>IFERROR(__xludf.DUMMYFUNCTION("""COMPUTED_VALUE"""),59778.52)</f>
        <v/>
      </c>
      <c r="AP1203" s="6">
        <f>AQ1203&amp;AR1203</f>
        <v/>
      </c>
      <c r="AQ1203" s="6">
        <f>YEAR(AS1203)</f>
        <v/>
      </c>
      <c r="AR1203" s="6">
        <f>MONTH(AS1203)</f>
        <v/>
      </c>
      <c r="AS1203" s="267">
        <f>IFERROR(__xludf.DUMMYFUNCTION("""COMPUTED_VALUE"""),44851.9986111111)</f>
        <v/>
      </c>
      <c r="AT1203" s="6">
        <f>IFERROR(__xludf.DUMMYFUNCTION("""COMPUTED_VALUE"""),1664)</f>
        <v/>
      </c>
    </row>
    <row r="1204">
      <c r="B1204" s="6">
        <f>C1204&amp;D1204</f>
        <v/>
      </c>
      <c r="C1204" s="6">
        <f>YEAR(E1204)</f>
        <v/>
      </c>
      <c r="D1204" s="6">
        <f>MONTH(E1204)</f>
        <v/>
      </c>
      <c r="E1204" s="267">
        <f>IFERROR(__xludf.DUMMYFUNCTION("""COMPUTED_VALUE"""),44844.6666666666)</f>
        <v/>
      </c>
      <c r="F1204" s="6">
        <f>IFERROR(__xludf.DUMMYFUNCTION("""COMPUTED_VALUE"""),3612.39)</f>
        <v/>
      </c>
      <c r="J1204" s="6">
        <f>K1204&amp;L1204</f>
        <v/>
      </c>
      <c r="K1204" s="6">
        <f>YEAR(M1204)</f>
        <v/>
      </c>
      <c r="L1204" s="6">
        <f>MONTH(M1204)</f>
        <v/>
      </c>
      <c r="M1204" s="267">
        <f>IFERROR(__xludf.DUMMYFUNCTION("""COMPUTED_VALUE"""),44837.6666666666)</f>
        <v/>
      </c>
      <c r="N1204" s="6">
        <f>IFERROR(__xludf.DUMMYFUNCTION("""COMPUTED_VALUE"""),10815.44)</f>
        <v/>
      </c>
      <c r="R1204" s="6">
        <f>S1204&amp;T1204</f>
        <v/>
      </c>
      <c r="S1204" s="6">
        <f>YEAR(U1204)</f>
        <v/>
      </c>
      <c r="T1204" s="6">
        <f>MONTH(U1204)</f>
        <v/>
      </c>
      <c r="U1204" s="267">
        <f>IFERROR(__xludf.DUMMYFUNCTION("""COMPUTED_VALUE"""),44888.6458333333)</f>
        <v/>
      </c>
      <c r="V1204" s="6">
        <f>IFERROR(__xludf.DUMMYFUNCTION("""COMPUTED_VALUE"""),2418.01)</f>
        <v/>
      </c>
      <c r="Z1204" s="6">
        <f>AA1204&amp;AB1204</f>
        <v/>
      </c>
      <c r="AA1204" s="6">
        <f>YEAR(AC1204)</f>
        <v/>
      </c>
      <c r="AB1204" s="6">
        <f>MONTH(AC1204)</f>
        <v/>
      </c>
      <c r="AC1204" s="267">
        <f>IFERROR(__xludf.DUMMYFUNCTION("""COMPUTED_VALUE"""),44349.9986111111)</f>
        <v/>
      </c>
      <c r="AD1204" s="6">
        <f>IFERROR(__xludf.DUMMYFUNCTION("""COMPUTED_VALUE"""),1109.88)</f>
        <v/>
      </c>
      <c r="AH1204" s="6">
        <f>AI1204&amp;AJ1204</f>
        <v/>
      </c>
      <c r="AI1204" s="6">
        <f>YEAR(AK1204)</f>
        <v/>
      </c>
      <c r="AJ1204" s="6">
        <f>MONTH(AK1204)</f>
        <v/>
      </c>
      <c r="AK1204" s="267">
        <f>IFERROR(__xludf.DUMMYFUNCTION("""COMPUTED_VALUE"""),44297.9986111111)</f>
        <v/>
      </c>
      <c r="AL1204" s="6">
        <f>IFERROR(__xludf.DUMMYFUNCTION("""COMPUTED_VALUE"""),59969.24)</f>
        <v/>
      </c>
      <c r="AP1204" s="6">
        <f>AQ1204&amp;AR1204</f>
        <v/>
      </c>
      <c r="AQ1204" s="6">
        <f>YEAR(AS1204)</f>
        <v/>
      </c>
      <c r="AR1204" s="6">
        <f>MONTH(AS1204)</f>
        <v/>
      </c>
      <c r="AS1204" s="267">
        <f>IFERROR(__xludf.DUMMYFUNCTION("""COMPUTED_VALUE"""),44852.9986111111)</f>
        <v/>
      </c>
      <c r="AT1204" s="6">
        <f>IFERROR(__xludf.DUMMYFUNCTION("""COMPUTED_VALUE"""),1655.8)</f>
        <v/>
      </c>
    </row>
    <row r="1205">
      <c r="B1205" s="6">
        <f>C1205&amp;D1205</f>
        <v/>
      </c>
      <c r="C1205" s="6">
        <f>YEAR(E1205)</f>
        <v/>
      </c>
      <c r="D1205" s="6">
        <f>MONTH(E1205)</f>
        <v/>
      </c>
      <c r="E1205" s="267">
        <f>IFERROR(__xludf.DUMMYFUNCTION("""COMPUTED_VALUE"""),44845.6666666666)</f>
        <v/>
      </c>
      <c r="F1205" s="6">
        <f>IFERROR(__xludf.DUMMYFUNCTION("""COMPUTED_VALUE"""),3588.84)</f>
        <v/>
      </c>
      <c r="J1205" s="6">
        <f>K1205&amp;L1205</f>
        <v/>
      </c>
      <c r="K1205" s="6">
        <f>YEAR(M1205)</f>
        <v/>
      </c>
      <c r="L1205" s="6">
        <f>MONTH(M1205)</f>
        <v/>
      </c>
      <c r="M1205" s="267">
        <f>IFERROR(__xludf.DUMMYFUNCTION("""COMPUTED_VALUE"""),44838.6666666666)</f>
        <v/>
      </c>
      <c r="N1205" s="6">
        <f>IFERROR(__xludf.DUMMYFUNCTION("""COMPUTED_VALUE"""),11176.41)</f>
        <v/>
      </c>
      <c r="R1205" s="6">
        <f>S1205&amp;T1205</f>
        <v/>
      </c>
      <c r="S1205" s="6">
        <f>YEAR(U1205)</f>
        <v/>
      </c>
      <c r="T1205" s="6">
        <f>MONTH(U1205)</f>
        <v/>
      </c>
      <c r="U1205" s="267">
        <f>IFERROR(__xludf.DUMMYFUNCTION("""COMPUTED_VALUE"""),44889.6458333333)</f>
        <v/>
      </c>
      <c r="V1205" s="6">
        <f>IFERROR(__xludf.DUMMYFUNCTION("""COMPUTED_VALUE"""),2441.33)</f>
        <v/>
      </c>
      <c r="Z1205" s="6">
        <f>AA1205&amp;AB1205</f>
        <v/>
      </c>
      <c r="AA1205" s="6">
        <f>YEAR(AC1205)</f>
        <v/>
      </c>
      <c r="AB1205" s="6">
        <f>MONTH(AC1205)</f>
        <v/>
      </c>
      <c r="AC1205" s="267">
        <f>IFERROR(__xludf.DUMMYFUNCTION("""COMPUTED_VALUE"""),44350.9986111111)</f>
        <v/>
      </c>
      <c r="AD1205" s="6">
        <f>IFERROR(__xludf.DUMMYFUNCTION("""COMPUTED_VALUE"""),1115.44)</f>
        <v/>
      </c>
      <c r="AH1205" s="6">
        <f>AI1205&amp;AJ1205</f>
        <v/>
      </c>
      <c r="AI1205" s="6">
        <f>YEAR(AK1205)</f>
        <v/>
      </c>
      <c r="AJ1205" s="6">
        <f>MONTH(AK1205)</f>
        <v/>
      </c>
      <c r="AK1205" s="267">
        <f>IFERROR(__xludf.DUMMYFUNCTION("""COMPUTED_VALUE"""),44298.9986111111)</f>
        <v/>
      </c>
      <c r="AL1205" s="6">
        <f>IFERROR(__xludf.DUMMYFUNCTION("""COMPUTED_VALUE"""),59855.68)</f>
        <v/>
      </c>
      <c r="AP1205" s="6">
        <f>AQ1205&amp;AR1205</f>
        <v/>
      </c>
      <c r="AQ1205" s="6">
        <f>YEAR(AS1205)</f>
        <v/>
      </c>
      <c r="AR1205" s="6">
        <f>MONTH(AS1205)</f>
        <v/>
      </c>
      <c r="AS1205" s="267">
        <f>IFERROR(__xludf.DUMMYFUNCTION("""COMPUTED_VALUE"""),44853.9986111111)</f>
        <v/>
      </c>
      <c r="AT1205" s="6">
        <f>IFERROR(__xludf.DUMMYFUNCTION("""COMPUTED_VALUE"""),1634.2)</f>
        <v/>
      </c>
    </row>
    <row r="1206">
      <c r="B1206" s="6">
        <f>C1206&amp;D1206</f>
        <v/>
      </c>
      <c r="C1206" s="6">
        <f>YEAR(E1206)</f>
        <v/>
      </c>
      <c r="D1206" s="6">
        <f>MONTH(E1206)</f>
        <v/>
      </c>
      <c r="E1206" s="267">
        <f>IFERROR(__xludf.DUMMYFUNCTION("""COMPUTED_VALUE"""),44846.6666666666)</f>
        <v/>
      </c>
      <c r="F1206" s="6">
        <f>IFERROR(__xludf.DUMMYFUNCTION("""COMPUTED_VALUE"""),3577.03)</f>
        <v/>
      </c>
      <c r="J1206" s="6">
        <f>K1206&amp;L1206</f>
        <v/>
      </c>
      <c r="K1206" s="6">
        <f>YEAR(M1206)</f>
        <v/>
      </c>
      <c r="L1206" s="6">
        <f>MONTH(M1206)</f>
        <v/>
      </c>
      <c r="M1206" s="267">
        <f>IFERROR(__xludf.DUMMYFUNCTION("""COMPUTED_VALUE"""),44839.6666666666)</f>
        <v/>
      </c>
      <c r="N1206" s="6">
        <f>IFERROR(__xludf.DUMMYFUNCTION("""COMPUTED_VALUE"""),11148.64)</f>
        <v/>
      </c>
      <c r="R1206" s="6">
        <f>S1206&amp;T1206</f>
        <v/>
      </c>
      <c r="S1206" s="6">
        <f>YEAR(U1206)</f>
        <v/>
      </c>
      <c r="T1206" s="6">
        <f>MONTH(U1206)</f>
        <v/>
      </c>
      <c r="U1206" s="267">
        <f>IFERROR(__xludf.DUMMYFUNCTION("""COMPUTED_VALUE"""),44890.6458333333)</f>
        <v/>
      </c>
      <c r="V1206" s="6">
        <f>IFERROR(__xludf.DUMMYFUNCTION("""COMPUTED_VALUE"""),2437.86)</f>
        <v/>
      </c>
      <c r="Z1206" s="6">
        <f>AA1206&amp;AB1206</f>
        <v/>
      </c>
      <c r="AA1206" s="6">
        <f>YEAR(AC1206)</f>
        <v/>
      </c>
      <c r="AB1206" s="6">
        <f>MONTH(AC1206)</f>
        <v/>
      </c>
      <c r="AC1206" s="267">
        <f>IFERROR(__xludf.DUMMYFUNCTION("""COMPUTED_VALUE"""),44351.9986111111)</f>
        <v/>
      </c>
      <c r="AD1206" s="6">
        <f>IFERROR(__xludf.DUMMYFUNCTION("""COMPUTED_VALUE"""),1109.58)</f>
        <v/>
      </c>
      <c r="AH1206" s="6">
        <f>AI1206&amp;AJ1206</f>
        <v/>
      </c>
      <c r="AI1206" s="6">
        <f>YEAR(AK1206)</f>
        <v/>
      </c>
      <c r="AJ1206" s="6">
        <f>MONTH(AK1206)</f>
        <v/>
      </c>
      <c r="AK1206" s="267">
        <f>IFERROR(__xludf.DUMMYFUNCTION("""COMPUTED_VALUE"""),44299.9986111111)</f>
        <v/>
      </c>
      <c r="AL1206" s="6">
        <f>IFERROR(__xludf.DUMMYFUNCTION("""COMPUTED_VALUE"""),63539.79)</f>
        <v/>
      </c>
      <c r="AP1206" s="6">
        <f>AQ1206&amp;AR1206</f>
        <v/>
      </c>
      <c r="AQ1206" s="6">
        <f>YEAR(AS1206)</f>
        <v/>
      </c>
      <c r="AR1206" s="6">
        <f>MONTH(AS1206)</f>
        <v/>
      </c>
      <c r="AS1206" s="267">
        <f>IFERROR(__xludf.DUMMYFUNCTION("""COMPUTED_VALUE"""),44854.9986111111)</f>
        <v/>
      </c>
      <c r="AT1206" s="6">
        <f>IFERROR(__xludf.DUMMYFUNCTION("""COMPUTED_VALUE"""),1636.8)</f>
        <v/>
      </c>
    </row>
    <row r="1207">
      <c r="B1207" s="6">
        <f>C1207&amp;D1207</f>
        <v/>
      </c>
      <c r="C1207" s="6">
        <f>YEAR(E1207)</f>
        <v/>
      </c>
      <c r="D1207" s="6">
        <f>MONTH(E1207)</f>
        <v/>
      </c>
      <c r="E1207" s="267">
        <f>IFERROR(__xludf.DUMMYFUNCTION("""COMPUTED_VALUE"""),44847.6666666666)</f>
        <v/>
      </c>
      <c r="F1207" s="6">
        <f>IFERROR(__xludf.DUMMYFUNCTION("""COMPUTED_VALUE"""),3669.91)</f>
        <v/>
      </c>
      <c r="J1207" s="6">
        <f>K1207&amp;L1207</f>
        <v/>
      </c>
      <c r="K1207" s="6">
        <f>YEAR(M1207)</f>
        <v/>
      </c>
      <c r="L1207" s="6">
        <f>MONTH(M1207)</f>
        <v/>
      </c>
      <c r="M1207" s="267">
        <f>IFERROR(__xludf.DUMMYFUNCTION("""COMPUTED_VALUE"""),44840.6666666666)</f>
        <v/>
      </c>
      <c r="N1207" s="6">
        <f>IFERROR(__xludf.DUMMYFUNCTION("""COMPUTED_VALUE"""),11073.31)</f>
        <v/>
      </c>
      <c r="R1207" s="6">
        <f>S1207&amp;T1207</f>
        <v/>
      </c>
      <c r="S1207" s="6">
        <f>YEAR(U1207)</f>
        <v/>
      </c>
      <c r="T1207" s="6">
        <f>MONTH(U1207)</f>
        <v/>
      </c>
      <c r="U1207" s="267">
        <f>IFERROR(__xludf.DUMMYFUNCTION("""COMPUTED_VALUE"""),44893.6458333333)</f>
        <v/>
      </c>
      <c r="V1207" s="6">
        <f>IFERROR(__xludf.DUMMYFUNCTION("""COMPUTED_VALUE"""),2408.27)</f>
        <v/>
      </c>
      <c r="Z1207" s="6">
        <f>AA1207&amp;AB1207</f>
        <v/>
      </c>
      <c r="AA1207" s="6">
        <f>YEAR(AC1207)</f>
        <v/>
      </c>
      <c r="AB1207" s="6">
        <f>MONTH(AC1207)</f>
        <v/>
      </c>
      <c r="AC1207" s="267">
        <f>IFERROR(__xludf.DUMMYFUNCTION("""COMPUTED_VALUE"""),44352.9986111111)</f>
        <v/>
      </c>
      <c r="AD1207" s="6">
        <f>IFERROR(__xludf.DUMMYFUNCTION("""COMPUTED_VALUE"""),1109.58)</f>
        <v/>
      </c>
      <c r="AH1207" s="6">
        <f>AI1207&amp;AJ1207</f>
        <v/>
      </c>
      <c r="AI1207" s="6">
        <f>YEAR(AK1207)</f>
        <v/>
      </c>
      <c r="AJ1207" s="6">
        <f>MONTH(AK1207)</f>
        <v/>
      </c>
      <c r="AK1207" s="267">
        <f>IFERROR(__xludf.DUMMYFUNCTION("""COMPUTED_VALUE"""),44300.9986111111)</f>
        <v/>
      </c>
      <c r="AL1207" s="6">
        <f>IFERROR(__xludf.DUMMYFUNCTION("""COMPUTED_VALUE"""),62990.01)</f>
        <v/>
      </c>
      <c r="AP1207" s="6">
        <f>AQ1207&amp;AR1207</f>
        <v/>
      </c>
      <c r="AQ1207" s="6">
        <f>YEAR(AS1207)</f>
        <v/>
      </c>
      <c r="AR1207" s="6">
        <f>MONTH(AS1207)</f>
        <v/>
      </c>
      <c r="AS1207" s="267">
        <f>IFERROR(__xludf.DUMMYFUNCTION("""COMPUTED_VALUE"""),44855.9986111111)</f>
        <v/>
      </c>
      <c r="AT1207" s="6">
        <f>IFERROR(__xludf.DUMMYFUNCTION("""COMPUTED_VALUE"""),1656.3)</f>
        <v/>
      </c>
    </row>
    <row r="1208">
      <c r="B1208" s="6">
        <f>C1208&amp;D1208</f>
        <v/>
      </c>
      <c r="C1208" s="6">
        <f>YEAR(E1208)</f>
        <v/>
      </c>
      <c r="D1208" s="6">
        <f>MONTH(E1208)</f>
        <v/>
      </c>
      <c r="E1208" s="267">
        <f>IFERROR(__xludf.DUMMYFUNCTION("""COMPUTED_VALUE"""),44848.6666666666)</f>
        <v/>
      </c>
      <c r="F1208" s="6">
        <f>IFERROR(__xludf.DUMMYFUNCTION("""COMPUTED_VALUE"""),3583.07)</f>
        <v/>
      </c>
      <c r="J1208" s="6">
        <f>K1208&amp;L1208</f>
        <v/>
      </c>
      <c r="K1208" s="6">
        <f>YEAR(M1208)</f>
        <v/>
      </c>
      <c r="L1208" s="6">
        <f>MONTH(M1208)</f>
        <v/>
      </c>
      <c r="M1208" s="267">
        <f>IFERROR(__xludf.DUMMYFUNCTION("""COMPUTED_VALUE"""),44841.6666666666)</f>
        <v/>
      </c>
      <c r="N1208" s="6">
        <f>IFERROR(__xludf.DUMMYFUNCTION("""COMPUTED_VALUE"""),10652.41)</f>
        <v/>
      </c>
      <c r="R1208" s="6">
        <f>S1208&amp;T1208</f>
        <v/>
      </c>
      <c r="S1208" s="6">
        <f>YEAR(U1208)</f>
        <v/>
      </c>
      <c r="T1208" s="6">
        <f>MONTH(U1208)</f>
        <v/>
      </c>
      <c r="U1208" s="267">
        <f>IFERROR(__xludf.DUMMYFUNCTION("""COMPUTED_VALUE"""),44894.6458333333)</f>
        <v/>
      </c>
      <c r="V1208" s="6">
        <f>IFERROR(__xludf.DUMMYFUNCTION("""COMPUTED_VALUE"""),2433.39)</f>
        <v/>
      </c>
      <c r="Z1208" s="6">
        <f>AA1208&amp;AB1208</f>
        <v/>
      </c>
      <c r="AA1208" s="6">
        <f>YEAR(AC1208)</f>
        <v/>
      </c>
      <c r="AB1208" s="6">
        <f>MONTH(AC1208)</f>
        <v/>
      </c>
      <c r="AC1208" s="267">
        <f>IFERROR(__xludf.DUMMYFUNCTION("""COMPUTED_VALUE"""),44353.9986111111)</f>
        <v/>
      </c>
      <c r="AD1208" s="6">
        <f>IFERROR(__xludf.DUMMYFUNCTION("""COMPUTED_VALUE"""),1109.68)</f>
        <v/>
      </c>
      <c r="AH1208" s="6">
        <f>AI1208&amp;AJ1208</f>
        <v/>
      </c>
      <c r="AI1208" s="6">
        <f>YEAR(AK1208)</f>
        <v/>
      </c>
      <c r="AJ1208" s="6">
        <f>MONTH(AK1208)</f>
        <v/>
      </c>
      <c r="AK1208" s="267">
        <f>IFERROR(__xludf.DUMMYFUNCTION("""COMPUTED_VALUE"""),44301.9986111111)</f>
        <v/>
      </c>
      <c r="AL1208" s="6">
        <f>IFERROR(__xludf.DUMMYFUNCTION("""COMPUTED_VALUE"""),63263.76)</f>
        <v/>
      </c>
      <c r="AP1208" s="6">
        <f>AQ1208&amp;AR1208</f>
        <v/>
      </c>
      <c r="AQ1208" s="6">
        <f>YEAR(AS1208)</f>
        <v/>
      </c>
      <c r="AR1208" s="6">
        <f>MONTH(AS1208)</f>
        <v/>
      </c>
      <c r="AS1208" s="267">
        <f>IFERROR(__xludf.DUMMYFUNCTION("""COMPUTED_VALUE"""),44858.9986111111)</f>
        <v/>
      </c>
      <c r="AT1208" s="6">
        <f>IFERROR(__xludf.DUMMYFUNCTION("""COMPUTED_VALUE"""),1654.1)</f>
        <v/>
      </c>
    </row>
    <row r="1209">
      <c r="B1209" s="6">
        <f>C1209&amp;D1209</f>
        <v/>
      </c>
      <c r="C1209" s="6">
        <f>YEAR(E1209)</f>
        <v/>
      </c>
      <c r="D1209" s="6">
        <f>MONTH(E1209)</f>
        <v/>
      </c>
      <c r="E1209" s="267">
        <f>IFERROR(__xludf.DUMMYFUNCTION("""COMPUTED_VALUE"""),44851.6666666666)</f>
        <v/>
      </c>
      <c r="F1209" s="6">
        <f>IFERROR(__xludf.DUMMYFUNCTION("""COMPUTED_VALUE"""),3677.95)</f>
        <v/>
      </c>
      <c r="J1209" s="6">
        <f>K1209&amp;L1209</f>
        <v/>
      </c>
      <c r="K1209" s="6">
        <f>YEAR(M1209)</f>
        <v/>
      </c>
      <c r="L1209" s="6">
        <f>MONTH(M1209)</f>
        <v/>
      </c>
      <c r="M1209" s="267">
        <f>IFERROR(__xludf.DUMMYFUNCTION("""COMPUTED_VALUE"""),44844.6666666666)</f>
        <v/>
      </c>
      <c r="N1209" s="6">
        <f>IFERROR(__xludf.DUMMYFUNCTION("""COMPUTED_VALUE"""),10542.1)</f>
        <v/>
      </c>
      <c r="R1209" s="6">
        <f>S1209&amp;T1209</f>
        <v/>
      </c>
      <c r="S1209" s="6">
        <f>YEAR(U1209)</f>
        <v/>
      </c>
      <c r="T1209" s="6">
        <f>MONTH(U1209)</f>
        <v/>
      </c>
      <c r="U1209" s="267">
        <f>IFERROR(__xludf.DUMMYFUNCTION("""COMPUTED_VALUE"""),44895.6458333333)</f>
        <v/>
      </c>
      <c r="V1209" s="6">
        <f>IFERROR(__xludf.DUMMYFUNCTION("""COMPUTED_VALUE"""),2472.53)</f>
        <v/>
      </c>
      <c r="Z1209" s="6">
        <f>AA1209&amp;AB1209</f>
        <v/>
      </c>
      <c r="AA1209" s="6">
        <f>YEAR(AC1209)</f>
        <v/>
      </c>
      <c r="AB1209" s="6">
        <f>MONTH(AC1209)</f>
        <v/>
      </c>
      <c r="AC1209" s="267">
        <f>IFERROR(__xludf.DUMMYFUNCTION("""COMPUTED_VALUE"""),44354.9986111111)</f>
        <v/>
      </c>
      <c r="AD1209" s="6">
        <f>IFERROR(__xludf.DUMMYFUNCTION("""COMPUTED_VALUE"""),1109.32)</f>
        <v/>
      </c>
      <c r="AH1209" s="6">
        <f>AI1209&amp;AJ1209</f>
        <v/>
      </c>
      <c r="AI1209" s="6">
        <f>YEAR(AK1209)</f>
        <v/>
      </c>
      <c r="AJ1209" s="6">
        <f>MONTH(AK1209)</f>
        <v/>
      </c>
      <c r="AK1209" s="267">
        <f>IFERROR(__xludf.DUMMYFUNCTION("""COMPUTED_VALUE"""),44302.9986111111)</f>
        <v/>
      </c>
      <c r="AL1209" s="6">
        <f>IFERROR(__xludf.DUMMYFUNCTION("""COMPUTED_VALUE"""),61404.21)</f>
        <v/>
      </c>
      <c r="AP1209" s="6">
        <f>AQ1209&amp;AR1209</f>
        <v/>
      </c>
      <c r="AQ1209" s="6">
        <f>YEAR(AS1209)</f>
        <v/>
      </c>
      <c r="AR1209" s="6">
        <f>MONTH(AS1209)</f>
        <v/>
      </c>
      <c r="AS1209" s="267">
        <f>IFERROR(__xludf.DUMMYFUNCTION("""COMPUTED_VALUE"""),44859.9986111111)</f>
        <v/>
      </c>
      <c r="AT1209" s="6">
        <f>IFERROR(__xludf.DUMMYFUNCTION("""COMPUTED_VALUE"""),1658)</f>
        <v/>
      </c>
    </row>
    <row r="1210">
      <c r="B1210" s="6">
        <f>C1210&amp;D1210</f>
        <v/>
      </c>
      <c r="C1210" s="6">
        <f>YEAR(E1210)</f>
        <v/>
      </c>
      <c r="D1210" s="6">
        <f>MONTH(E1210)</f>
        <v/>
      </c>
      <c r="E1210" s="267">
        <f>IFERROR(__xludf.DUMMYFUNCTION("""COMPUTED_VALUE"""),44852.6666666666)</f>
        <v/>
      </c>
      <c r="F1210" s="6">
        <f>IFERROR(__xludf.DUMMYFUNCTION("""COMPUTED_VALUE"""),3719.98)</f>
        <v/>
      </c>
      <c r="J1210" s="6">
        <f>K1210&amp;L1210</f>
        <v/>
      </c>
      <c r="K1210" s="6">
        <f>YEAR(M1210)</f>
        <v/>
      </c>
      <c r="L1210" s="6">
        <f>MONTH(M1210)</f>
        <v/>
      </c>
      <c r="M1210" s="267">
        <f>IFERROR(__xludf.DUMMYFUNCTION("""COMPUTED_VALUE"""),44845.6666666666)</f>
        <v/>
      </c>
      <c r="N1210" s="6">
        <f>IFERROR(__xludf.DUMMYFUNCTION("""COMPUTED_VALUE"""),10426.19)</f>
        <v/>
      </c>
      <c r="R1210" s="6">
        <f>S1210&amp;T1210</f>
        <v/>
      </c>
      <c r="S1210" s="6">
        <f>YEAR(U1210)</f>
        <v/>
      </c>
      <c r="T1210" s="6">
        <f>MONTH(U1210)</f>
        <v/>
      </c>
      <c r="U1210" s="267">
        <f>IFERROR(__xludf.DUMMYFUNCTION("""COMPUTED_VALUE"""),44896.6458333333)</f>
        <v/>
      </c>
      <c r="V1210" s="6">
        <f>IFERROR(__xludf.DUMMYFUNCTION("""COMPUTED_VALUE"""),2479.84)</f>
        <v/>
      </c>
      <c r="Z1210" s="6">
        <f>AA1210&amp;AB1210</f>
        <v/>
      </c>
      <c r="AA1210" s="6">
        <f>YEAR(AC1210)</f>
        <v/>
      </c>
      <c r="AB1210" s="6">
        <f>MONTH(AC1210)</f>
        <v/>
      </c>
      <c r="AC1210" s="267">
        <f>IFERROR(__xludf.DUMMYFUNCTION("""COMPUTED_VALUE"""),44355.9986111111)</f>
        <v/>
      </c>
      <c r="AD1210" s="6">
        <f>IFERROR(__xludf.DUMMYFUNCTION("""COMPUTED_VALUE"""),1116.89)</f>
        <v/>
      </c>
      <c r="AH1210" s="6">
        <f>AI1210&amp;AJ1210</f>
        <v/>
      </c>
      <c r="AI1210" s="6">
        <f>YEAR(AK1210)</f>
        <v/>
      </c>
      <c r="AJ1210" s="6">
        <f>MONTH(AK1210)</f>
        <v/>
      </c>
      <c r="AK1210" s="267">
        <f>IFERROR(__xludf.DUMMYFUNCTION("""COMPUTED_VALUE"""),44303.9986111111)</f>
        <v/>
      </c>
      <c r="AL1210" s="6">
        <f>IFERROR(__xludf.DUMMYFUNCTION("""COMPUTED_VALUE"""),60053.62)</f>
        <v/>
      </c>
      <c r="AP1210" s="6">
        <f>AQ1210&amp;AR1210</f>
        <v/>
      </c>
      <c r="AQ1210" s="6">
        <f>YEAR(AS1210)</f>
        <v/>
      </c>
      <c r="AR1210" s="6">
        <f>MONTH(AS1210)</f>
        <v/>
      </c>
      <c r="AS1210" s="267">
        <f>IFERROR(__xludf.DUMMYFUNCTION("""COMPUTED_VALUE"""),44860.9986111111)</f>
        <v/>
      </c>
      <c r="AT1210" s="6">
        <f>IFERROR(__xludf.DUMMYFUNCTION("""COMPUTED_VALUE"""),1669.2)</f>
        <v/>
      </c>
    </row>
    <row r="1211">
      <c r="B1211" s="6">
        <f>C1211&amp;D1211</f>
        <v/>
      </c>
      <c r="C1211" s="6">
        <f>YEAR(E1211)</f>
        <v/>
      </c>
      <c r="D1211" s="6">
        <f>MONTH(E1211)</f>
        <v/>
      </c>
      <c r="E1211" s="267">
        <f>IFERROR(__xludf.DUMMYFUNCTION("""COMPUTED_VALUE"""),44853.6666666666)</f>
        <v/>
      </c>
      <c r="F1211" s="6">
        <f>IFERROR(__xludf.DUMMYFUNCTION("""COMPUTED_VALUE"""),3695.16)</f>
        <v/>
      </c>
      <c r="J1211" s="6">
        <f>K1211&amp;L1211</f>
        <v/>
      </c>
      <c r="K1211" s="6">
        <f>YEAR(M1211)</f>
        <v/>
      </c>
      <c r="L1211" s="6">
        <f>MONTH(M1211)</f>
        <v/>
      </c>
      <c r="M1211" s="267">
        <f>IFERROR(__xludf.DUMMYFUNCTION("""COMPUTED_VALUE"""),44846.6666666666)</f>
        <v/>
      </c>
      <c r="N1211" s="6">
        <f>IFERROR(__xludf.DUMMYFUNCTION("""COMPUTED_VALUE"""),10417.1)</f>
        <v/>
      </c>
      <c r="R1211" s="6">
        <f>S1211&amp;T1211</f>
        <v/>
      </c>
      <c r="S1211" s="6">
        <f>YEAR(U1211)</f>
        <v/>
      </c>
      <c r="T1211" s="6">
        <f>MONTH(U1211)</f>
        <v/>
      </c>
      <c r="U1211" s="267">
        <f>IFERROR(__xludf.DUMMYFUNCTION("""COMPUTED_VALUE"""),44897.6458333333)</f>
        <v/>
      </c>
      <c r="V1211" s="6">
        <f>IFERROR(__xludf.DUMMYFUNCTION("""COMPUTED_VALUE"""),2434.33)</f>
        <v/>
      </c>
      <c r="Z1211" s="6">
        <f>AA1211&amp;AB1211</f>
        <v/>
      </c>
      <c r="AA1211" s="6">
        <f>YEAR(AC1211)</f>
        <v/>
      </c>
      <c r="AB1211" s="6">
        <f>MONTH(AC1211)</f>
        <v/>
      </c>
      <c r="AC1211" s="267">
        <f>IFERROR(__xludf.DUMMYFUNCTION("""COMPUTED_VALUE"""),44356.9986111111)</f>
        <v/>
      </c>
      <c r="AD1211" s="6">
        <f>IFERROR(__xludf.DUMMYFUNCTION("""COMPUTED_VALUE"""),1116.41)</f>
        <v/>
      </c>
      <c r="AH1211" s="6">
        <f>AI1211&amp;AJ1211</f>
        <v/>
      </c>
      <c r="AI1211" s="6">
        <f>YEAR(AK1211)</f>
        <v/>
      </c>
      <c r="AJ1211" s="6">
        <f>MONTH(AK1211)</f>
        <v/>
      </c>
      <c r="AK1211" s="267">
        <f>IFERROR(__xludf.DUMMYFUNCTION("""COMPUTED_VALUE"""),44304.9986111111)</f>
        <v/>
      </c>
      <c r="AL1211" s="6">
        <f>IFERROR(__xludf.DUMMYFUNCTION("""COMPUTED_VALUE"""),56245.47)</f>
        <v/>
      </c>
      <c r="AP1211" s="6">
        <f>AQ1211&amp;AR1211</f>
        <v/>
      </c>
      <c r="AQ1211" s="6">
        <f>YEAR(AS1211)</f>
        <v/>
      </c>
      <c r="AR1211" s="6">
        <f>MONTH(AS1211)</f>
        <v/>
      </c>
      <c r="AS1211" s="267">
        <f>IFERROR(__xludf.DUMMYFUNCTION("""COMPUTED_VALUE"""),44861.9986111111)</f>
        <v/>
      </c>
      <c r="AT1211" s="6">
        <f>IFERROR(__xludf.DUMMYFUNCTION("""COMPUTED_VALUE"""),1665.6)</f>
        <v/>
      </c>
    </row>
    <row r="1212">
      <c r="B1212" s="6">
        <f>C1212&amp;D1212</f>
        <v/>
      </c>
      <c r="C1212" s="6">
        <f>YEAR(E1212)</f>
        <v/>
      </c>
      <c r="D1212" s="6">
        <f>MONTH(E1212)</f>
        <v/>
      </c>
      <c r="E1212" s="267">
        <f>IFERROR(__xludf.DUMMYFUNCTION("""COMPUTED_VALUE"""),44854.6666666666)</f>
        <v/>
      </c>
      <c r="F1212" s="6">
        <f>IFERROR(__xludf.DUMMYFUNCTION("""COMPUTED_VALUE"""),3665.78)</f>
        <v/>
      </c>
      <c r="J1212" s="6">
        <f>K1212&amp;L1212</f>
        <v/>
      </c>
      <c r="K1212" s="6">
        <f>YEAR(M1212)</f>
        <v/>
      </c>
      <c r="L1212" s="6">
        <f>MONTH(M1212)</f>
        <v/>
      </c>
      <c r="M1212" s="267">
        <f>IFERROR(__xludf.DUMMYFUNCTION("""COMPUTED_VALUE"""),44847.6666666666)</f>
        <v/>
      </c>
      <c r="N1212" s="6">
        <f>IFERROR(__xludf.DUMMYFUNCTION("""COMPUTED_VALUE"""),10649.15)</f>
        <v/>
      </c>
      <c r="R1212" s="6">
        <f>S1212&amp;T1212</f>
        <v/>
      </c>
      <c r="S1212" s="6">
        <f>YEAR(U1212)</f>
        <v/>
      </c>
      <c r="T1212" s="6">
        <f>MONTH(U1212)</f>
        <v/>
      </c>
      <c r="U1212" s="267">
        <f>IFERROR(__xludf.DUMMYFUNCTION("""COMPUTED_VALUE"""),44900.6458333333)</f>
        <v/>
      </c>
      <c r="V1212" s="6">
        <f>IFERROR(__xludf.DUMMYFUNCTION("""COMPUTED_VALUE"""),2419.32)</f>
        <v/>
      </c>
      <c r="Z1212" s="6">
        <f>AA1212&amp;AB1212</f>
        <v/>
      </c>
      <c r="AA1212" s="6">
        <f>YEAR(AC1212)</f>
        <v/>
      </c>
      <c r="AB1212" s="6">
        <f>MONTH(AC1212)</f>
        <v/>
      </c>
      <c r="AC1212" s="267">
        <f>IFERROR(__xludf.DUMMYFUNCTION("""COMPUTED_VALUE"""),44357.9986111111)</f>
        <v/>
      </c>
      <c r="AD1212" s="6">
        <f>IFERROR(__xludf.DUMMYFUNCTION("""COMPUTED_VALUE"""),1111.26)</f>
        <v/>
      </c>
      <c r="AH1212" s="6">
        <f>AI1212&amp;AJ1212</f>
        <v/>
      </c>
      <c r="AI1212" s="6">
        <f>YEAR(AK1212)</f>
        <v/>
      </c>
      <c r="AJ1212" s="6">
        <f>MONTH(AK1212)</f>
        <v/>
      </c>
      <c r="AK1212" s="267">
        <f>IFERROR(__xludf.DUMMYFUNCTION("""COMPUTED_VALUE"""),44305.9986111111)</f>
        <v/>
      </c>
      <c r="AL1212" s="6">
        <f>IFERROR(__xludf.DUMMYFUNCTION("""COMPUTED_VALUE"""),55685.4)</f>
        <v/>
      </c>
      <c r="AP1212" s="6">
        <f>AQ1212&amp;AR1212</f>
        <v/>
      </c>
      <c r="AQ1212" s="6">
        <f>YEAR(AS1212)</f>
        <v/>
      </c>
      <c r="AR1212" s="6">
        <f>MONTH(AS1212)</f>
        <v/>
      </c>
      <c r="AS1212" s="267">
        <f>IFERROR(__xludf.DUMMYFUNCTION("""COMPUTED_VALUE"""),44862.9986111111)</f>
        <v/>
      </c>
      <c r="AT1212" s="6">
        <f>IFERROR(__xludf.DUMMYFUNCTION("""COMPUTED_VALUE"""),1644.8)</f>
        <v/>
      </c>
    </row>
    <row r="1213">
      <c r="B1213" s="6">
        <f>C1213&amp;D1213</f>
        <v/>
      </c>
      <c r="C1213" s="6">
        <f>YEAR(E1213)</f>
        <v/>
      </c>
      <c r="D1213" s="6">
        <f>MONTH(E1213)</f>
        <v/>
      </c>
      <c r="E1213" s="267">
        <f>IFERROR(__xludf.DUMMYFUNCTION("""COMPUTED_VALUE"""),44855.6666666666)</f>
        <v/>
      </c>
      <c r="F1213" s="6">
        <f>IFERROR(__xludf.DUMMYFUNCTION("""COMPUTED_VALUE"""),3752.75)</f>
        <v/>
      </c>
      <c r="J1213" s="6">
        <f>K1213&amp;L1213</f>
        <v/>
      </c>
      <c r="K1213" s="6">
        <f>YEAR(M1213)</f>
        <v/>
      </c>
      <c r="L1213" s="6">
        <f>MONTH(M1213)</f>
        <v/>
      </c>
      <c r="M1213" s="267">
        <f>IFERROR(__xludf.DUMMYFUNCTION("""COMPUTED_VALUE"""),44848.6666666666)</f>
        <v/>
      </c>
      <c r="N1213" s="6">
        <f>IFERROR(__xludf.DUMMYFUNCTION("""COMPUTED_VALUE"""),10321.39)</f>
        <v/>
      </c>
      <c r="R1213" s="6">
        <f>S1213&amp;T1213</f>
        <v/>
      </c>
      <c r="S1213" s="6">
        <f>YEAR(U1213)</f>
        <v/>
      </c>
      <c r="T1213" s="6">
        <f>MONTH(U1213)</f>
        <v/>
      </c>
      <c r="U1213" s="267">
        <f>IFERROR(__xludf.DUMMYFUNCTION("""COMPUTED_VALUE"""),44901.6458333333)</f>
        <v/>
      </c>
      <c r="V1213" s="6">
        <f>IFERROR(__xludf.DUMMYFUNCTION("""COMPUTED_VALUE"""),2393.16)</f>
        <v/>
      </c>
      <c r="Z1213" s="6">
        <f>AA1213&amp;AB1213</f>
        <v/>
      </c>
      <c r="AA1213" s="6">
        <f>YEAR(AC1213)</f>
        <v/>
      </c>
      <c r="AB1213" s="6">
        <f>MONTH(AC1213)</f>
        <v/>
      </c>
      <c r="AC1213" s="267">
        <f>IFERROR(__xludf.DUMMYFUNCTION("""COMPUTED_VALUE"""),44358.9986111111)</f>
        <v/>
      </c>
      <c r="AD1213" s="6">
        <f>IFERROR(__xludf.DUMMYFUNCTION("""COMPUTED_VALUE"""),1115.65)</f>
        <v/>
      </c>
      <c r="AH1213" s="6">
        <f>AI1213&amp;AJ1213</f>
        <v/>
      </c>
      <c r="AI1213" s="6">
        <f>YEAR(AK1213)</f>
        <v/>
      </c>
      <c r="AJ1213" s="6">
        <f>MONTH(AK1213)</f>
        <v/>
      </c>
      <c r="AK1213" s="267">
        <f>IFERROR(__xludf.DUMMYFUNCTION("""COMPUTED_VALUE"""),44306.9986111111)</f>
        <v/>
      </c>
      <c r="AL1213" s="6">
        <f>IFERROR(__xludf.DUMMYFUNCTION("""COMPUTED_VALUE"""),56481.9)</f>
        <v/>
      </c>
      <c r="AP1213" s="6">
        <f>AQ1213&amp;AR1213</f>
        <v/>
      </c>
      <c r="AQ1213" s="6">
        <f>YEAR(AS1213)</f>
        <v/>
      </c>
      <c r="AR1213" s="6">
        <f>MONTH(AS1213)</f>
        <v/>
      </c>
      <c r="AS1213" s="267">
        <f>IFERROR(__xludf.DUMMYFUNCTION("""COMPUTED_VALUE"""),44865.9986111111)</f>
        <v/>
      </c>
      <c r="AT1213" s="6">
        <f>IFERROR(__xludf.DUMMYFUNCTION("""COMPUTED_VALUE"""),1640.7)</f>
        <v/>
      </c>
    </row>
    <row r="1214">
      <c r="B1214" s="6">
        <f>C1214&amp;D1214</f>
        <v/>
      </c>
      <c r="C1214" s="6">
        <f>YEAR(E1214)</f>
        <v/>
      </c>
      <c r="D1214" s="6">
        <f>MONTH(E1214)</f>
        <v/>
      </c>
      <c r="E1214" s="267">
        <f>IFERROR(__xludf.DUMMYFUNCTION("""COMPUTED_VALUE"""),44858.6666666666)</f>
        <v/>
      </c>
      <c r="F1214" s="6">
        <f>IFERROR(__xludf.DUMMYFUNCTION("""COMPUTED_VALUE"""),3797.34)</f>
        <v/>
      </c>
      <c r="J1214" s="6">
        <f>K1214&amp;L1214</f>
        <v/>
      </c>
      <c r="K1214" s="6">
        <f>YEAR(M1214)</f>
        <v/>
      </c>
      <c r="L1214" s="6">
        <f>MONTH(M1214)</f>
        <v/>
      </c>
      <c r="M1214" s="267">
        <f>IFERROR(__xludf.DUMMYFUNCTION("""COMPUTED_VALUE"""),44851.6666666666)</f>
        <v/>
      </c>
      <c r="N1214" s="6">
        <f>IFERROR(__xludf.DUMMYFUNCTION("""COMPUTED_VALUE"""),10675.8)</f>
        <v/>
      </c>
      <c r="R1214" s="6">
        <f>S1214&amp;T1214</f>
        <v/>
      </c>
      <c r="S1214" s="6">
        <f>YEAR(U1214)</f>
        <v/>
      </c>
      <c r="T1214" s="6">
        <f>MONTH(U1214)</f>
        <v/>
      </c>
      <c r="U1214" s="267">
        <f>IFERROR(__xludf.DUMMYFUNCTION("""COMPUTED_VALUE"""),44902.6458333333)</f>
        <v/>
      </c>
      <c r="V1214" s="6">
        <f>IFERROR(__xludf.DUMMYFUNCTION("""COMPUTED_VALUE"""),2382.81)</f>
        <v/>
      </c>
      <c r="Z1214" s="6">
        <f>AA1214&amp;AB1214</f>
        <v/>
      </c>
      <c r="AA1214" s="6">
        <f>YEAR(AC1214)</f>
        <v/>
      </c>
      <c r="AB1214" s="6">
        <f>MONTH(AC1214)</f>
        <v/>
      </c>
      <c r="AC1214" s="267">
        <f>IFERROR(__xludf.DUMMYFUNCTION("""COMPUTED_VALUE"""),44359.9986111111)</f>
        <v/>
      </c>
      <c r="AD1214" s="6">
        <f>IFERROR(__xludf.DUMMYFUNCTION("""COMPUTED_VALUE"""),1115.65)</f>
        <v/>
      </c>
      <c r="AH1214" s="6">
        <f>AI1214&amp;AJ1214</f>
        <v/>
      </c>
      <c r="AI1214" s="6">
        <f>YEAR(AK1214)</f>
        <v/>
      </c>
      <c r="AJ1214" s="6">
        <f>MONTH(AK1214)</f>
        <v/>
      </c>
      <c r="AK1214" s="267">
        <f>IFERROR(__xludf.DUMMYFUNCTION("""COMPUTED_VALUE"""),44307.9986111111)</f>
        <v/>
      </c>
      <c r="AL1214" s="6">
        <f>IFERROR(__xludf.DUMMYFUNCTION("""COMPUTED_VALUE"""),53820.08)</f>
        <v/>
      </c>
      <c r="AP1214" s="6">
        <f>AQ1214&amp;AR1214</f>
        <v/>
      </c>
      <c r="AQ1214" s="6">
        <f>YEAR(AS1214)</f>
        <v/>
      </c>
      <c r="AR1214" s="6">
        <f>MONTH(AS1214)</f>
        <v/>
      </c>
      <c r="AS1214" s="267">
        <f>IFERROR(__xludf.DUMMYFUNCTION("""COMPUTED_VALUE"""),44866.9986111111)</f>
        <v/>
      </c>
      <c r="AT1214" s="6">
        <f>IFERROR(__xludf.DUMMYFUNCTION("""COMPUTED_VALUE"""),1649.7)</f>
        <v/>
      </c>
    </row>
    <row r="1215">
      <c r="B1215" s="6">
        <f>C1215&amp;D1215</f>
        <v/>
      </c>
      <c r="C1215" s="6">
        <f>YEAR(E1215)</f>
        <v/>
      </c>
      <c r="D1215" s="6">
        <f>MONTH(E1215)</f>
        <v/>
      </c>
      <c r="E1215" s="267">
        <f>IFERROR(__xludf.DUMMYFUNCTION("""COMPUTED_VALUE"""),44859.6666666666)</f>
        <v/>
      </c>
      <c r="F1215" s="6">
        <f>IFERROR(__xludf.DUMMYFUNCTION("""COMPUTED_VALUE"""),3859.11)</f>
        <v/>
      </c>
      <c r="J1215" s="6">
        <f>K1215&amp;L1215</f>
        <v/>
      </c>
      <c r="K1215" s="6">
        <f>YEAR(M1215)</f>
        <v/>
      </c>
      <c r="L1215" s="6">
        <f>MONTH(M1215)</f>
        <v/>
      </c>
      <c r="M1215" s="267">
        <f>IFERROR(__xludf.DUMMYFUNCTION("""COMPUTED_VALUE"""),44852.6666666666)</f>
        <v/>
      </c>
      <c r="N1215" s="6">
        <f>IFERROR(__xludf.DUMMYFUNCTION("""COMPUTED_VALUE"""),10772.4)</f>
        <v/>
      </c>
      <c r="R1215" s="6">
        <f>S1215&amp;T1215</f>
        <v/>
      </c>
      <c r="S1215" s="6">
        <f>YEAR(U1215)</f>
        <v/>
      </c>
      <c r="T1215" s="6">
        <f>MONTH(U1215)</f>
        <v/>
      </c>
      <c r="U1215" s="267">
        <f>IFERROR(__xludf.DUMMYFUNCTION("""COMPUTED_VALUE"""),44903.6458333333)</f>
        <v/>
      </c>
      <c r="V1215" s="6">
        <f>IFERROR(__xludf.DUMMYFUNCTION("""COMPUTED_VALUE"""),2371.08)</f>
        <v/>
      </c>
      <c r="Z1215" s="6">
        <f>AA1215&amp;AB1215</f>
        <v/>
      </c>
      <c r="AA1215" s="6">
        <f>YEAR(AC1215)</f>
        <v/>
      </c>
      <c r="AB1215" s="6">
        <f>MONTH(AC1215)</f>
        <v/>
      </c>
      <c r="AC1215" s="267">
        <f>IFERROR(__xludf.DUMMYFUNCTION("""COMPUTED_VALUE"""),44360.9986111111)</f>
        <v/>
      </c>
      <c r="AD1215" s="6">
        <f>IFERROR(__xludf.DUMMYFUNCTION("""COMPUTED_VALUE"""),1115.55)</f>
        <v/>
      </c>
      <c r="AH1215" s="6">
        <f>AI1215&amp;AJ1215</f>
        <v/>
      </c>
      <c r="AI1215" s="6">
        <f>YEAR(AK1215)</f>
        <v/>
      </c>
      <c r="AJ1215" s="6">
        <f>MONTH(AK1215)</f>
        <v/>
      </c>
      <c r="AK1215" s="267">
        <f>IFERROR(__xludf.DUMMYFUNCTION("""COMPUTED_VALUE"""),44308.9986111111)</f>
        <v/>
      </c>
      <c r="AL1215" s="6">
        <f>IFERROR(__xludf.DUMMYFUNCTION("""COMPUTED_VALUE"""),51774.63)</f>
        <v/>
      </c>
      <c r="AP1215" s="6">
        <f>AQ1215&amp;AR1215</f>
        <v/>
      </c>
      <c r="AQ1215" s="6">
        <f>YEAR(AS1215)</f>
        <v/>
      </c>
      <c r="AR1215" s="6">
        <f>MONTH(AS1215)</f>
        <v/>
      </c>
      <c r="AS1215" s="267">
        <f>IFERROR(__xludf.DUMMYFUNCTION("""COMPUTED_VALUE"""),44867.9986111111)</f>
        <v/>
      </c>
      <c r="AT1215" s="6">
        <f>IFERROR(__xludf.DUMMYFUNCTION("""COMPUTED_VALUE"""),1650)</f>
        <v/>
      </c>
    </row>
    <row r="1216">
      <c r="B1216" s="6">
        <f>C1216&amp;D1216</f>
        <v/>
      </c>
      <c r="C1216" s="6">
        <f>YEAR(E1216)</f>
        <v/>
      </c>
      <c r="D1216" s="6">
        <f>MONTH(E1216)</f>
        <v/>
      </c>
      <c r="E1216" s="267">
        <f>IFERROR(__xludf.DUMMYFUNCTION("""COMPUTED_VALUE"""),44860.6666666666)</f>
        <v/>
      </c>
      <c r="F1216" s="6">
        <f>IFERROR(__xludf.DUMMYFUNCTION("""COMPUTED_VALUE"""),3830.6)</f>
        <v/>
      </c>
      <c r="J1216" s="6">
        <f>K1216&amp;L1216</f>
        <v/>
      </c>
      <c r="K1216" s="6">
        <f>YEAR(M1216)</f>
        <v/>
      </c>
      <c r="L1216" s="6">
        <f>MONTH(M1216)</f>
        <v/>
      </c>
      <c r="M1216" s="267">
        <f>IFERROR(__xludf.DUMMYFUNCTION("""COMPUTED_VALUE"""),44853.6666666666)</f>
        <v/>
      </c>
      <c r="N1216" s="6">
        <f>IFERROR(__xludf.DUMMYFUNCTION("""COMPUTED_VALUE"""),10680.51)</f>
        <v/>
      </c>
      <c r="R1216" s="6">
        <f>S1216&amp;T1216</f>
        <v/>
      </c>
      <c r="S1216" s="6">
        <f>YEAR(U1216)</f>
        <v/>
      </c>
      <c r="T1216" s="6">
        <f>MONTH(U1216)</f>
        <v/>
      </c>
      <c r="U1216" s="267">
        <f>IFERROR(__xludf.DUMMYFUNCTION("""COMPUTED_VALUE"""),44904.6458333333)</f>
        <v/>
      </c>
      <c r="V1216" s="6">
        <f>IFERROR(__xludf.DUMMYFUNCTION("""COMPUTED_VALUE"""),2389.04)</f>
        <v/>
      </c>
      <c r="Z1216" s="6">
        <f>AA1216&amp;AB1216</f>
        <v/>
      </c>
      <c r="AA1216" s="6">
        <f>YEAR(AC1216)</f>
        <v/>
      </c>
      <c r="AB1216" s="6">
        <f>MONTH(AC1216)</f>
        <v/>
      </c>
      <c r="AC1216" s="267">
        <f>IFERROR(__xludf.DUMMYFUNCTION("""COMPUTED_VALUE"""),44361.9986111111)</f>
        <v/>
      </c>
      <c r="AD1216" s="6">
        <f>IFERROR(__xludf.DUMMYFUNCTION("""COMPUTED_VALUE"""),1116.32)</f>
        <v/>
      </c>
      <c r="AH1216" s="6">
        <f>AI1216&amp;AJ1216</f>
        <v/>
      </c>
      <c r="AI1216" s="6">
        <f>YEAR(AK1216)</f>
        <v/>
      </c>
      <c r="AJ1216" s="6">
        <f>MONTH(AK1216)</f>
        <v/>
      </c>
      <c r="AK1216" s="267">
        <f>IFERROR(__xludf.DUMMYFUNCTION("""COMPUTED_VALUE"""),44309.9986111111)</f>
        <v/>
      </c>
      <c r="AL1216" s="6">
        <f>IFERROR(__xludf.DUMMYFUNCTION("""COMPUTED_VALUE"""),51125.26)</f>
        <v/>
      </c>
      <c r="AP1216" s="6">
        <f>AQ1216&amp;AR1216</f>
        <v/>
      </c>
      <c r="AQ1216" s="6">
        <f>YEAR(AS1216)</f>
        <v/>
      </c>
      <c r="AR1216" s="6">
        <f>MONTH(AS1216)</f>
        <v/>
      </c>
      <c r="AS1216" s="267">
        <f>IFERROR(__xludf.DUMMYFUNCTION("""COMPUTED_VALUE"""),44868.9986111111)</f>
        <v/>
      </c>
      <c r="AT1216" s="6">
        <f>IFERROR(__xludf.DUMMYFUNCTION("""COMPUTED_VALUE"""),1630.9)</f>
        <v/>
      </c>
    </row>
    <row r="1217">
      <c r="B1217" s="6">
        <f>C1217&amp;D1217</f>
        <v/>
      </c>
      <c r="C1217" s="6">
        <f>YEAR(E1217)</f>
        <v/>
      </c>
      <c r="D1217" s="6">
        <f>MONTH(E1217)</f>
        <v/>
      </c>
      <c r="E1217" s="267">
        <f>IFERROR(__xludf.DUMMYFUNCTION("""COMPUTED_VALUE"""),44861.6666666666)</f>
        <v/>
      </c>
      <c r="F1217" s="6">
        <f>IFERROR(__xludf.DUMMYFUNCTION("""COMPUTED_VALUE"""),3807.3)</f>
        <v/>
      </c>
      <c r="J1217" s="6">
        <f>K1217&amp;L1217</f>
        <v/>
      </c>
      <c r="K1217" s="6">
        <f>YEAR(M1217)</f>
        <v/>
      </c>
      <c r="L1217" s="6">
        <f>MONTH(M1217)</f>
        <v/>
      </c>
      <c r="M1217" s="267">
        <f>IFERROR(__xludf.DUMMYFUNCTION("""COMPUTED_VALUE"""),44854.6666666666)</f>
        <v/>
      </c>
      <c r="N1217" s="6">
        <f>IFERROR(__xludf.DUMMYFUNCTION("""COMPUTED_VALUE"""),10614.84)</f>
        <v/>
      </c>
      <c r="R1217" s="6">
        <f>S1217&amp;T1217</f>
        <v/>
      </c>
      <c r="S1217" s="6">
        <f>YEAR(U1217)</f>
        <v/>
      </c>
      <c r="T1217" s="6">
        <f>MONTH(U1217)</f>
        <v/>
      </c>
      <c r="U1217" s="267">
        <f>IFERROR(__xludf.DUMMYFUNCTION("""COMPUTED_VALUE"""),44907.6458333333)</f>
        <v/>
      </c>
      <c r="V1217" s="6">
        <f>IFERROR(__xludf.DUMMYFUNCTION("""COMPUTED_VALUE"""),2373.02)</f>
        <v/>
      </c>
      <c r="Z1217" s="6">
        <f>AA1217&amp;AB1217</f>
        <v/>
      </c>
      <c r="AA1217" s="6">
        <f>YEAR(AC1217)</f>
        <v/>
      </c>
      <c r="AB1217" s="6">
        <f>MONTH(AC1217)</f>
        <v/>
      </c>
      <c r="AC1217" s="267">
        <f>IFERROR(__xludf.DUMMYFUNCTION("""COMPUTED_VALUE"""),44362.9986111111)</f>
        <v/>
      </c>
      <c r="AD1217" s="6">
        <f>IFERROR(__xludf.DUMMYFUNCTION("""COMPUTED_VALUE"""),1116.03)</f>
        <v/>
      </c>
      <c r="AH1217" s="6">
        <f>AI1217&amp;AJ1217</f>
        <v/>
      </c>
      <c r="AI1217" s="6">
        <f>YEAR(AK1217)</f>
        <v/>
      </c>
      <c r="AJ1217" s="6">
        <f>MONTH(AK1217)</f>
        <v/>
      </c>
      <c r="AK1217" s="267">
        <f>IFERROR(__xludf.DUMMYFUNCTION("""COMPUTED_VALUE"""),44310.9986111111)</f>
        <v/>
      </c>
      <c r="AL1217" s="6">
        <f>IFERROR(__xludf.DUMMYFUNCTION("""COMPUTED_VALUE"""),50102.7)</f>
        <v/>
      </c>
      <c r="AP1217" s="6">
        <f>AQ1217&amp;AR1217</f>
        <v/>
      </c>
      <c r="AQ1217" s="6">
        <f>YEAR(AS1217)</f>
        <v/>
      </c>
      <c r="AR1217" s="6">
        <f>MONTH(AS1217)</f>
        <v/>
      </c>
      <c r="AS1217" s="267">
        <f>IFERROR(__xludf.DUMMYFUNCTION("""COMPUTED_VALUE"""),44869.9986111111)</f>
        <v/>
      </c>
      <c r="AT1217" s="6">
        <f>IFERROR(__xludf.DUMMYFUNCTION("""COMPUTED_VALUE"""),1676.6)</f>
        <v/>
      </c>
    </row>
    <row r="1218">
      <c r="B1218" s="6">
        <f>C1218&amp;D1218</f>
        <v/>
      </c>
      <c r="C1218" s="6">
        <f>YEAR(E1218)</f>
        <v/>
      </c>
      <c r="D1218" s="6">
        <f>MONTH(E1218)</f>
        <v/>
      </c>
      <c r="E1218" s="267">
        <f>IFERROR(__xludf.DUMMYFUNCTION("""COMPUTED_VALUE"""),44862.6666666666)</f>
        <v/>
      </c>
      <c r="F1218" s="6">
        <f>IFERROR(__xludf.DUMMYFUNCTION("""COMPUTED_VALUE"""),3901.06)</f>
        <v/>
      </c>
      <c r="J1218" s="6">
        <f>K1218&amp;L1218</f>
        <v/>
      </c>
      <c r="K1218" s="6">
        <f>YEAR(M1218)</f>
        <v/>
      </c>
      <c r="L1218" s="6">
        <f>MONTH(M1218)</f>
        <v/>
      </c>
      <c r="M1218" s="267">
        <f>IFERROR(__xludf.DUMMYFUNCTION("""COMPUTED_VALUE"""),44855.6666666666)</f>
        <v/>
      </c>
      <c r="N1218" s="6">
        <f>IFERROR(__xludf.DUMMYFUNCTION("""COMPUTED_VALUE"""),10859.72)</f>
        <v/>
      </c>
      <c r="R1218" s="6">
        <f>S1218&amp;T1218</f>
        <v/>
      </c>
      <c r="S1218" s="6">
        <f>YEAR(U1218)</f>
        <v/>
      </c>
      <c r="T1218" s="6">
        <f>MONTH(U1218)</f>
        <v/>
      </c>
      <c r="U1218" s="267">
        <f>IFERROR(__xludf.DUMMYFUNCTION("""COMPUTED_VALUE"""),44908.6458333333)</f>
        <v/>
      </c>
      <c r="V1218" s="6">
        <f>IFERROR(__xludf.DUMMYFUNCTION("""COMPUTED_VALUE"""),2372.4)</f>
        <v/>
      </c>
      <c r="Z1218" s="6">
        <f>AA1218&amp;AB1218</f>
        <v/>
      </c>
      <c r="AA1218" s="6">
        <f>YEAR(AC1218)</f>
        <v/>
      </c>
      <c r="AB1218" s="6">
        <f>MONTH(AC1218)</f>
        <v/>
      </c>
      <c r="AC1218" s="267">
        <f>IFERROR(__xludf.DUMMYFUNCTION("""COMPUTED_VALUE"""),44363.9986111111)</f>
        <v/>
      </c>
      <c r="AD1218" s="6">
        <f>IFERROR(__xludf.DUMMYFUNCTION("""COMPUTED_VALUE"""),1131.95)</f>
        <v/>
      </c>
      <c r="AH1218" s="6">
        <f>AI1218&amp;AJ1218</f>
        <v/>
      </c>
      <c r="AI1218" s="6">
        <f>YEAR(AK1218)</f>
        <v/>
      </c>
      <c r="AJ1218" s="6">
        <f>MONTH(AK1218)</f>
        <v/>
      </c>
      <c r="AK1218" s="267">
        <f>IFERROR(__xludf.DUMMYFUNCTION("""COMPUTED_VALUE"""),44311.9986111111)</f>
        <v/>
      </c>
      <c r="AL1218" s="6">
        <f>IFERROR(__xludf.DUMMYFUNCTION("""COMPUTED_VALUE"""),49072.92)</f>
        <v/>
      </c>
      <c r="AP1218" s="6">
        <f>AQ1218&amp;AR1218</f>
        <v/>
      </c>
      <c r="AQ1218" s="6">
        <f>YEAR(AS1218)</f>
        <v/>
      </c>
      <c r="AR1218" s="6">
        <f>MONTH(AS1218)</f>
        <v/>
      </c>
      <c r="AS1218" s="267">
        <f>IFERROR(__xludf.DUMMYFUNCTION("""COMPUTED_VALUE"""),44872.9986111111)</f>
        <v/>
      </c>
      <c r="AT1218" s="6">
        <f>IFERROR(__xludf.DUMMYFUNCTION("""COMPUTED_VALUE"""),1680.5)</f>
        <v/>
      </c>
    </row>
    <row r="1219">
      <c r="B1219" s="6">
        <f>C1219&amp;D1219</f>
        <v/>
      </c>
      <c r="C1219" s="6">
        <f>YEAR(E1219)</f>
        <v/>
      </c>
      <c r="D1219" s="6">
        <f>MONTH(E1219)</f>
        <v/>
      </c>
      <c r="E1219" s="267">
        <f>IFERROR(__xludf.DUMMYFUNCTION("""COMPUTED_VALUE"""),44865.6666666666)</f>
        <v/>
      </c>
      <c r="F1219" s="6">
        <f>IFERROR(__xludf.DUMMYFUNCTION("""COMPUTED_VALUE"""),3871.98)</f>
        <v/>
      </c>
      <c r="J1219" s="6">
        <f>K1219&amp;L1219</f>
        <v/>
      </c>
      <c r="K1219" s="6">
        <f>YEAR(M1219)</f>
        <v/>
      </c>
      <c r="L1219" s="6">
        <f>MONTH(M1219)</f>
        <v/>
      </c>
      <c r="M1219" s="267">
        <f>IFERROR(__xludf.DUMMYFUNCTION("""COMPUTED_VALUE"""),44858.6666666666)</f>
        <v/>
      </c>
      <c r="N1219" s="6">
        <f>IFERROR(__xludf.DUMMYFUNCTION("""COMPUTED_VALUE"""),10952.61)</f>
        <v/>
      </c>
      <c r="R1219" s="6">
        <f>S1219&amp;T1219</f>
        <v/>
      </c>
      <c r="S1219" s="6">
        <f>YEAR(U1219)</f>
        <v/>
      </c>
      <c r="T1219" s="6">
        <f>MONTH(U1219)</f>
        <v/>
      </c>
      <c r="U1219" s="267">
        <f>IFERROR(__xludf.DUMMYFUNCTION("""COMPUTED_VALUE"""),44909.6458333333)</f>
        <v/>
      </c>
      <c r="V1219" s="6">
        <f>IFERROR(__xludf.DUMMYFUNCTION("""COMPUTED_VALUE"""),2399.25)</f>
        <v/>
      </c>
      <c r="Z1219" s="6">
        <f>AA1219&amp;AB1219</f>
        <v/>
      </c>
      <c r="AA1219" s="6">
        <f>YEAR(AC1219)</f>
        <v/>
      </c>
      <c r="AB1219" s="6">
        <f>MONTH(AC1219)</f>
        <v/>
      </c>
      <c r="AC1219" s="267">
        <f>IFERROR(__xludf.DUMMYFUNCTION("""COMPUTED_VALUE"""),44364.9986111111)</f>
        <v/>
      </c>
      <c r="AD1219" s="6">
        <f>IFERROR(__xludf.DUMMYFUNCTION("""COMPUTED_VALUE"""),1133.54)</f>
        <v/>
      </c>
      <c r="AH1219" s="6">
        <f>AI1219&amp;AJ1219</f>
        <v/>
      </c>
      <c r="AI1219" s="6">
        <f>YEAR(AK1219)</f>
        <v/>
      </c>
      <c r="AJ1219" s="6">
        <f>MONTH(AK1219)</f>
        <v/>
      </c>
      <c r="AK1219" s="267">
        <f>IFERROR(__xludf.DUMMYFUNCTION("""COMPUTED_VALUE"""),44312.9986111111)</f>
        <v/>
      </c>
      <c r="AL1219" s="6">
        <f>IFERROR(__xludf.DUMMYFUNCTION("""COMPUTED_VALUE"""),54037.3)</f>
        <v/>
      </c>
      <c r="AP1219" s="6">
        <f>AQ1219&amp;AR1219</f>
        <v/>
      </c>
      <c r="AQ1219" s="6">
        <f>YEAR(AS1219)</f>
        <v/>
      </c>
      <c r="AR1219" s="6">
        <f>MONTH(AS1219)</f>
        <v/>
      </c>
      <c r="AS1219" s="267">
        <f>IFERROR(__xludf.DUMMYFUNCTION("""COMPUTED_VALUE"""),44873.9986111111)</f>
        <v/>
      </c>
      <c r="AT1219" s="6">
        <f>IFERROR(__xludf.DUMMYFUNCTION("""COMPUTED_VALUE"""),1716)</f>
        <v/>
      </c>
    </row>
    <row r="1220">
      <c r="B1220" s="6">
        <f>C1220&amp;D1220</f>
        <v/>
      </c>
      <c r="C1220" s="6">
        <f>YEAR(E1220)</f>
        <v/>
      </c>
      <c r="D1220" s="6">
        <f>MONTH(E1220)</f>
        <v/>
      </c>
      <c r="E1220" s="267">
        <f>IFERROR(__xludf.DUMMYFUNCTION("""COMPUTED_VALUE"""),44866.6666666666)</f>
        <v/>
      </c>
      <c r="F1220" s="6">
        <f>IFERROR(__xludf.DUMMYFUNCTION("""COMPUTED_VALUE"""),3856.1)</f>
        <v/>
      </c>
      <c r="J1220" s="6">
        <f>K1220&amp;L1220</f>
        <v/>
      </c>
      <c r="K1220" s="6">
        <f>YEAR(M1220)</f>
        <v/>
      </c>
      <c r="L1220" s="6">
        <f>MONTH(M1220)</f>
        <v/>
      </c>
      <c r="M1220" s="267">
        <f>IFERROR(__xludf.DUMMYFUNCTION("""COMPUTED_VALUE"""),44859.6666666666)</f>
        <v/>
      </c>
      <c r="N1220" s="6">
        <f>IFERROR(__xludf.DUMMYFUNCTION("""COMPUTED_VALUE"""),11199.12)</f>
        <v/>
      </c>
      <c r="R1220" s="6">
        <f>S1220&amp;T1220</f>
        <v/>
      </c>
      <c r="S1220" s="6">
        <f>YEAR(U1220)</f>
        <v/>
      </c>
      <c r="T1220" s="6">
        <f>MONTH(U1220)</f>
        <v/>
      </c>
      <c r="U1220" s="267">
        <f>IFERROR(__xludf.DUMMYFUNCTION("""COMPUTED_VALUE"""),44910.6458333333)</f>
        <v/>
      </c>
      <c r="V1220" s="6">
        <f>IFERROR(__xludf.DUMMYFUNCTION("""COMPUTED_VALUE"""),2360.97)</f>
        <v/>
      </c>
      <c r="Z1220" s="6">
        <f>AA1220&amp;AB1220</f>
        <v/>
      </c>
      <c r="AA1220" s="6">
        <f>YEAR(AC1220)</f>
        <v/>
      </c>
      <c r="AB1220" s="6">
        <f>MONTH(AC1220)</f>
        <v/>
      </c>
      <c r="AC1220" s="267">
        <f>IFERROR(__xludf.DUMMYFUNCTION("""COMPUTED_VALUE"""),44365.9986111111)</f>
        <v/>
      </c>
      <c r="AD1220" s="6">
        <f>IFERROR(__xludf.DUMMYFUNCTION("""COMPUTED_VALUE"""),1134.25)</f>
        <v/>
      </c>
      <c r="AH1220" s="6">
        <f>AI1220&amp;AJ1220</f>
        <v/>
      </c>
      <c r="AI1220" s="6">
        <f>YEAR(AK1220)</f>
        <v/>
      </c>
      <c r="AJ1220" s="6">
        <f>MONTH(AK1220)</f>
        <v/>
      </c>
      <c r="AK1220" s="267">
        <f>IFERROR(__xludf.DUMMYFUNCTION("""COMPUTED_VALUE"""),44313.9986111111)</f>
        <v/>
      </c>
      <c r="AL1220" s="6">
        <f>IFERROR(__xludf.DUMMYFUNCTION("""COMPUTED_VALUE"""),55051.97)</f>
        <v/>
      </c>
      <c r="AP1220" s="6">
        <f>AQ1220&amp;AR1220</f>
        <v/>
      </c>
      <c r="AQ1220" s="6">
        <f>YEAR(AS1220)</f>
        <v/>
      </c>
      <c r="AR1220" s="6">
        <f>MONTH(AS1220)</f>
        <v/>
      </c>
      <c r="AS1220" s="267">
        <f>IFERROR(__xludf.DUMMYFUNCTION("""COMPUTED_VALUE"""),44874.9986111111)</f>
        <v/>
      </c>
      <c r="AT1220" s="6">
        <f>IFERROR(__xludf.DUMMYFUNCTION("""COMPUTED_VALUE"""),1713.7)</f>
        <v/>
      </c>
    </row>
    <row r="1221">
      <c r="B1221" s="6">
        <f>C1221&amp;D1221</f>
        <v/>
      </c>
      <c r="C1221" s="6">
        <f>YEAR(E1221)</f>
        <v/>
      </c>
      <c r="D1221" s="6">
        <f>MONTH(E1221)</f>
        <v/>
      </c>
      <c r="E1221" s="267">
        <f>IFERROR(__xludf.DUMMYFUNCTION("""COMPUTED_VALUE"""),44867.6666666666)</f>
        <v/>
      </c>
      <c r="F1221" s="6">
        <f>IFERROR(__xludf.DUMMYFUNCTION("""COMPUTED_VALUE"""),3759.69)</f>
        <v/>
      </c>
      <c r="J1221" s="6">
        <f>K1221&amp;L1221</f>
        <v/>
      </c>
      <c r="K1221" s="6">
        <f>YEAR(M1221)</f>
        <v/>
      </c>
      <c r="L1221" s="6">
        <f>MONTH(M1221)</f>
        <v/>
      </c>
      <c r="M1221" s="267">
        <f>IFERROR(__xludf.DUMMYFUNCTION("""COMPUTED_VALUE"""),44860.6666666666)</f>
        <v/>
      </c>
      <c r="N1221" s="6">
        <f>IFERROR(__xludf.DUMMYFUNCTION("""COMPUTED_VALUE"""),10970.99)</f>
        <v/>
      </c>
      <c r="R1221" s="6">
        <f>S1221&amp;T1221</f>
        <v/>
      </c>
      <c r="S1221" s="6">
        <f>YEAR(U1221)</f>
        <v/>
      </c>
      <c r="T1221" s="6">
        <f>MONTH(U1221)</f>
        <v/>
      </c>
      <c r="U1221" s="267">
        <f>IFERROR(__xludf.DUMMYFUNCTION("""COMPUTED_VALUE"""),44911.6458333333)</f>
        <v/>
      </c>
      <c r="V1221" s="6">
        <f>IFERROR(__xludf.DUMMYFUNCTION("""COMPUTED_VALUE"""),2360.02)</f>
        <v/>
      </c>
      <c r="Z1221" s="6">
        <f>AA1221&amp;AB1221</f>
        <v/>
      </c>
      <c r="AA1221" s="6">
        <f>YEAR(AC1221)</f>
        <v/>
      </c>
      <c r="AB1221" s="6">
        <f>MONTH(AC1221)</f>
        <v/>
      </c>
      <c r="AC1221" s="267">
        <f>IFERROR(__xludf.DUMMYFUNCTION("""COMPUTED_VALUE"""),44366.9986111111)</f>
        <v/>
      </c>
      <c r="AD1221" s="6">
        <f>IFERROR(__xludf.DUMMYFUNCTION("""COMPUTED_VALUE"""),1134.25)</f>
        <v/>
      </c>
      <c r="AH1221" s="6">
        <f>AI1221&amp;AJ1221</f>
        <v/>
      </c>
      <c r="AI1221" s="6">
        <f>YEAR(AK1221)</f>
        <v/>
      </c>
      <c r="AJ1221" s="6">
        <f>MONTH(AK1221)</f>
        <v/>
      </c>
      <c r="AK1221" s="267">
        <f>IFERROR(__xludf.DUMMYFUNCTION("""COMPUTED_VALUE"""),44314.9986111111)</f>
        <v/>
      </c>
      <c r="AL1221" s="6">
        <f>IFERROR(__xludf.DUMMYFUNCTION("""COMPUTED_VALUE"""),54856.06)</f>
        <v/>
      </c>
      <c r="AP1221" s="6">
        <f>AQ1221&amp;AR1221</f>
        <v/>
      </c>
      <c r="AQ1221" s="6">
        <f>YEAR(AS1221)</f>
        <v/>
      </c>
      <c r="AR1221" s="6">
        <f>MONTH(AS1221)</f>
        <v/>
      </c>
      <c r="AS1221" s="267">
        <f>IFERROR(__xludf.DUMMYFUNCTION("""COMPUTED_VALUE"""),44875.9986111111)</f>
        <v/>
      </c>
      <c r="AT1221" s="6">
        <f>IFERROR(__xludf.DUMMYFUNCTION("""COMPUTED_VALUE"""),1753.7)</f>
        <v/>
      </c>
    </row>
    <row r="1222">
      <c r="B1222" s="6">
        <f>C1222&amp;D1222</f>
        <v/>
      </c>
      <c r="C1222" s="6">
        <f>YEAR(E1222)</f>
        <v/>
      </c>
      <c r="D1222" s="6">
        <f>MONTH(E1222)</f>
        <v/>
      </c>
      <c r="E1222" s="267">
        <f>IFERROR(__xludf.DUMMYFUNCTION("""COMPUTED_VALUE"""),44868.6666666666)</f>
        <v/>
      </c>
      <c r="F1222" s="6">
        <f>IFERROR(__xludf.DUMMYFUNCTION("""COMPUTED_VALUE"""),3719.89)</f>
        <v/>
      </c>
      <c r="J1222" s="6">
        <f>K1222&amp;L1222</f>
        <v/>
      </c>
      <c r="K1222" s="6">
        <f>YEAR(M1222)</f>
        <v/>
      </c>
      <c r="L1222" s="6">
        <f>MONTH(M1222)</f>
        <v/>
      </c>
      <c r="M1222" s="267">
        <f>IFERROR(__xludf.DUMMYFUNCTION("""COMPUTED_VALUE"""),44861.6666666666)</f>
        <v/>
      </c>
      <c r="N1222" s="6">
        <f>IFERROR(__xludf.DUMMYFUNCTION("""COMPUTED_VALUE"""),10792.68)</f>
        <v/>
      </c>
      <c r="R1222" s="6">
        <f>S1222&amp;T1222</f>
        <v/>
      </c>
      <c r="S1222" s="6">
        <f>YEAR(U1222)</f>
        <v/>
      </c>
      <c r="T1222" s="6">
        <f>MONTH(U1222)</f>
        <v/>
      </c>
      <c r="U1222" s="267">
        <f>IFERROR(__xludf.DUMMYFUNCTION("""COMPUTED_VALUE"""),44914.6458333333)</f>
        <v/>
      </c>
      <c r="V1222" s="6">
        <f>IFERROR(__xludf.DUMMYFUNCTION("""COMPUTED_VALUE"""),2352.17)</f>
        <v/>
      </c>
      <c r="Z1222" s="6">
        <f>AA1222&amp;AB1222</f>
        <v/>
      </c>
      <c r="AA1222" s="6">
        <f>YEAR(AC1222)</f>
        <v/>
      </c>
      <c r="AB1222" s="6">
        <f>MONTH(AC1222)</f>
        <v/>
      </c>
      <c r="AC1222" s="267">
        <f>IFERROR(__xludf.DUMMYFUNCTION("""COMPUTED_VALUE"""),44367.9986111111)</f>
        <v/>
      </c>
      <c r="AD1222" s="6">
        <f>IFERROR(__xludf.DUMMYFUNCTION("""COMPUTED_VALUE"""),1134.25)</f>
        <v/>
      </c>
      <c r="AH1222" s="6">
        <f>AI1222&amp;AJ1222</f>
        <v/>
      </c>
      <c r="AI1222" s="6">
        <f>YEAR(AK1222)</f>
        <v/>
      </c>
      <c r="AJ1222" s="6">
        <f>MONTH(AK1222)</f>
        <v/>
      </c>
      <c r="AK1222" s="267">
        <f>IFERROR(__xludf.DUMMYFUNCTION("""COMPUTED_VALUE"""),44315.9986111111)</f>
        <v/>
      </c>
      <c r="AL1222" s="6">
        <f>IFERROR(__xludf.DUMMYFUNCTION("""COMPUTED_VALUE"""),53569.29)</f>
        <v/>
      </c>
      <c r="AP1222" s="6">
        <f>AQ1222&amp;AR1222</f>
        <v/>
      </c>
      <c r="AQ1222" s="6">
        <f>YEAR(AS1222)</f>
        <v/>
      </c>
      <c r="AR1222" s="6">
        <f>MONTH(AS1222)</f>
        <v/>
      </c>
      <c r="AS1222" s="267">
        <f>IFERROR(__xludf.DUMMYFUNCTION("""COMPUTED_VALUE"""),44876.9986111111)</f>
        <v/>
      </c>
      <c r="AT1222" s="6">
        <f>IFERROR(__xludf.DUMMYFUNCTION("""COMPUTED_VALUE"""),1769.4)</f>
        <v/>
      </c>
    </row>
    <row r="1223">
      <c r="B1223" s="6">
        <f>C1223&amp;D1223</f>
        <v/>
      </c>
      <c r="C1223" s="6">
        <f>YEAR(E1223)</f>
        <v/>
      </c>
      <c r="D1223" s="6">
        <f>MONTH(E1223)</f>
        <v/>
      </c>
      <c r="E1223" s="267">
        <f>IFERROR(__xludf.DUMMYFUNCTION("""COMPUTED_VALUE"""),44869.6666666666)</f>
        <v/>
      </c>
      <c r="F1223" s="6">
        <f>IFERROR(__xludf.DUMMYFUNCTION("""COMPUTED_VALUE"""),3770.55)</f>
        <v/>
      </c>
      <c r="J1223" s="6">
        <f>K1223&amp;L1223</f>
        <v/>
      </c>
      <c r="K1223" s="6">
        <f>YEAR(M1223)</f>
        <v/>
      </c>
      <c r="L1223" s="6">
        <f>MONTH(M1223)</f>
        <v/>
      </c>
      <c r="M1223" s="267">
        <f>IFERROR(__xludf.DUMMYFUNCTION("""COMPUTED_VALUE"""),44862.6666666666)</f>
        <v/>
      </c>
      <c r="N1223" s="6">
        <f>IFERROR(__xludf.DUMMYFUNCTION("""COMPUTED_VALUE"""),11102.45)</f>
        <v/>
      </c>
      <c r="R1223" s="6">
        <f>S1223&amp;T1223</f>
        <v/>
      </c>
      <c r="S1223" s="6">
        <f>YEAR(U1223)</f>
        <v/>
      </c>
      <c r="T1223" s="6">
        <f>MONTH(U1223)</f>
        <v/>
      </c>
      <c r="U1223" s="267">
        <f>IFERROR(__xludf.DUMMYFUNCTION("""COMPUTED_VALUE"""),44915.6458333333)</f>
        <v/>
      </c>
      <c r="V1223" s="6">
        <f>IFERROR(__xludf.DUMMYFUNCTION("""COMPUTED_VALUE"""),2333.29)</f>
        <v/>
      </c>
      <c r="Z1223" s="6">
        <f>AA1223&amp;AB1223</f>
        <v/>
      </c>
      <c r="AA1223" s="6">
        <f>YEAR(AC1223)</f>
        <v/>
      </c>
      <c r="AB1223" s="6">
        <f>MONTH(AC1223)</f>
        <v/>
      </c>
      <c r="AC1223" s="267">
        <f>IFERROR(__xludf.DUMMYFUNCTION("""COMPUTED_VALUE"""),44368.9986111111)</f>
        <v/>
      </c>
      <c r="AD1223" s="6">
        <f>IFERROR(__xludf.DUMMYFUNCTION("""COMPUTED_VALUE"""),1130.34)</f>
        <v/>
      </c>
      <c r="AH1223" s="6">
        <f>AI1223&amp;AJ1223</f>
        <v/>
      </c>
      <c r="AI1223" s="6">
        <f>YEAR(AK1223)</f>
        <v/>
      </c>
      <c r="AJ1223" s="6">
        <f>MONTH(AK1223)</f>
        <v/>
      </c>
      <c r="AK1223" s="267">
        <f>IFERROR(__xludf.DUMMYFUNCTION("""COMPUTED_VALUE"""),44316.9986111111)</f>
        <v/>
      </c>
      <c r="AL1223" s="6">
        <f>IFERROR(__xludf.DUMMYFUNCTION("""COMPUTED_VALUE"""),57766.05)</f>
        <v/>
      </c>
      <c r="AP1223" s="6">
        <f>AQ1223&amp;AR1223</f>
        <v/>
      </c>
      <c r="AQ1223" s="6">
        <f>YEAR(AS1223)</f>
        <v/>
      </c>
      <c r="AR1223" s="6">
        <f>MONTH(AS1223)</f>
        <v/>
      </c>
      <c r="AS1223" s="267">
        <f>IFERROR(__xludf.DUMMYFUNCTION("""COMPUTED_VALUE"""),44879.9986111111)</f>
        <v/>
      </c>
      <c r="AT1223" s="6">
        <f>IFERROR(__xludf.DUMMYFUNCTION("""COMPUTED_VALUE"""),1776.9)</f>
        <v/>
      </c>
    </row>
    <row r="1224">
      <c r="B1224" s="6">
        <f>C1224&amp;D1224</f>
        <v/>
      </c>
      <c r="C1224" s="6">
        <f>YEAR(E1224)</f>
        <v/>
      </c>
      <c r="D1224" s="6">
        <f>MONTH(E1224)</f>
        <v/>
      </c>
      <c r="E1224" s="267">
        <f>IFERROR(__xludf.DUMMYFUNCTION("""COMPUTED_VALUE"""),44872.6666666666)</f>
        <v/>
      </c>
      <c r="F1224" s="6">
        <f>IFERROR(__xludf.DUMMYFUNCTION("""COMPUTED_VALUE"""),3806.8)</f>
        <v/>
      </c>
      <c r="J1224" s="6">
        <f>K1224&amp;L1224</f>
        <v/>
      </c>
      <c r="K1224" s="6">
        <f>YEAR(M1224)</f>
        <v/>
      </c>
      <c r="L1224" s="6">
        <f>MONTH(M1224)</f>
        <v/>
      </c>
      <c r="M1224" s="267">
        <f>IFERROR(__xludf.DUMMYFUNCTION("""COMPUTED_VALUE"""),44865.6666666666)</f>
        <v/>
      </c>
      <c r="N1224" s="6">
        <f>IFERROR(__xludf.DUMMYFUNCTION("""COMPUTED_VALUE"""),10988.15)</f>
        <v/>
      </c>
      <c r="R1224" s="6">
        <f>S1224&amp;T1224</f>
        <v/>
      </c>
      <c r="S1224" s="6">
        <f>YEAR(U1224)</f>
        <v/>
      </c>
      <c r="T1224" s="6">
        <f>MONTH(U1224)</f>
        <v/>
      </c>
      <c r="U1224" s="267">
        <f>IFERROR(__xludf.DUMMYFUNCTION("""COMPUTED_VALUE"""),44916.6458333333)</f>
        <v/>
      </c>
      <c r="V1224" s="6">
        <f>IFERROR(__xludf.DUMMYFUNCTION("""COMPUTED_VALUE"""),2328.95)</f>
        <v/>
      </c>
      <c r="Z1224" s="6">
        <f>AA1224&amp;AB1224</f>
        <v/>
      </c>
      <c r="AA1224" s="6">
        <f>YEAR(AC1224)</f>
        <v/>
      </c>
      <c r="AB1224" s="6">
        <f>MONTH(AC1224)</f>
        <v/>
      </c>
      <c r="AC1224" s="267">
        <f>IFERROR(__xludf.DUMMYFUNCTION("""COMPUTED_VALUE"""),44369.9986111111)</f>
        <v/>
      </c>
      <c r="AD1224" s="6">
        <f>IFERROR(__xludf.DUMMYFUNCTION("""COMPUTED_VALUE"""),1132.51)</f>
        <v/>
      </c>
      <c r="AH1224" s="6">
        <f>AI1224&amp;AJ1224</f>
        <v/>
      </c>
      <c r="AI1224" s="6">
        <f>YEAR(AK1224)</f>
        <v/>
      </c>
      <c r="AJ1224" s="6">
        <f>MONTH(AK1224)</f>
        <v/>
      </c>
      <c r="AK1224" s="267">
        <f>IFERROR(__xludf.DUMMYFUNCTION("""COMPUTED_VALUE"""),44317.9986111111)</f>
        <v/>
      </c>
      <c r="AL1224" s="6">
        <f>IFERROR(__xludf.DUMMYFUNCTION("""COMPUTED_VALUE"""),57831.06)</f>
        <v/>
      </c>
      <c r="AP1224" s="6">
        <f>AQ1224&amp;AR1224</f>
        <v/>
      </c>
      <c r="AQ1224" s="6">
        <f>YEAR(AS1224)</f>
        <v/>
      </c>
      <c r="AR1224" s="6">
        <f>MONTH(AS1224)</f>
        <v/>
      </c>
      <c r="AS1224" s="267">
        <f>IFERROR(__xludf.DUMMYFUNCTION("""COMPUTED_VALUE"""),44880.9986111111)</f>
        <v/>
      </c>
      <c r="AT1224" s="6">
        <f>IFERROR(__xludf.DUMMYFUNCTION("""COMPUTED_VALUE"""),1776.8)</f>
        <v/>
      </c>
    </row>
    <row r="1225">
      <c r="B1225" s="6">
        <f>C1225&amp;D1225</f>
        <v/>
      </c>
      <c r="C1225" s="6">
        <f>YEAR(E1225)</f>
        <v/>
      </c>
      <c r="D1225" s="6">
        <f>MONTH(E1225)</f>
        <v/>
      </c>
      <c r="E1225" s="267">
        <f>IFERROR(__xludf.DUMMYFUNCTION("""COMPUTED_VALUE"""),44873.6666666666)</f>
        <v/>
      </c>
      <c r="F1225" s="6">
        <f>IFERROR(__xludf.DUMMYFUNCTION("""COMPUTED_VALUE"""),3828.11)</f>
        <v/>
      </c>
      <c r="J1225" s="6">
        <f>K1225&amp;L1225</f>
        <v/>
      </c>
      <c r="K1225" s="6">
        <f>YEAR(M1225)</f>
        <v/>
      </c>
      <c r="L1225" s="6">
        <f>MONTH(M1225)</f>
        <v/>
      </c>
      <c r="M1225" s="267">
        <f>IFERROR(__xludf.DUMMYFUNCTION("""COMPUTED_VALUE"""),44866.6666666666)</f>
        <v/>
      </c>
      <c r="N1225" s="6">
        <f>IFERROR(__xludf.DUMMYFUNCTION("""COMPUTED_VALUE"""),10890.85)</f>
        <v/>
      </c>
      <c r="R1225" s="6">
        <f>S1225&amp;T1225</f>
        <v/>
      </c>
      <c r="S1225" s="6">
        <f>YEAR(U1225)</f>
        <v/>
      </c>
      <c r="T1225" s="6">
        <f>MONTH(U1225)</f>
        <v/>
      </c>
      <c r="U1225" s="267">
        <f>IFERROR(__xludf.DUMMYFUNCTION("""COMPUTED_VALUE"""),44917.6458333333)</f>
        <v/>
      </c>
      <c r="V1225" s="6">
        <f>IFERROR(__xludf.DUMMYFUNCTION("""COMPUTED_VALUE"""),2356.73)</f>
        <v/>
      </c>
      <c r="Z1225" s="6">
        <f>AA1225&amp;AB1225</f>
        <v/>
      </c>
      <c r="AA1225" s="6">
        <f>YEAR(AC1225)</f>
        <v/>
      </c>
      <c r="AB1225" s="6">
        <f>MONTH(AC1225)</f>
        <v/>
      </c>
      <c r="AC1225" s="267">
        <f>IFERROR(__xludf.DUMMYFUNCTION("""COMPUTED_VALUE"""),44370.9986111111)</f>
        <v/>
      </c>
      <c r="AD1225" s="6">
        <f>IFERROR(__xludf.DUMMYFUNCTION("""COMPUTED_VALUE"""),1132.61)</f>
        <v/>
      </c>
      <c r="AH1225" s="6">
        <f>AI1225&amp;AJ1225</f>
        <v/>
      </c>
      <c r="AI1225" s="6">
        <f>YEAR(AK1225)</f>
        <v/>
      </c>
      <c r="AJ1225" s="6">
        <f>MONTH(AK1225)</f>
        <v/>
      </c>
      <c r="AK1225" s="267">
        <f>IFERROR(__xludf.DUMMYFUNCTION("""COMPUTED_VALUE"""),44318.9986111111)</f>
        <v/>
      </c>
      <c r="AL1225" s="6">
        <f>IFERROR(__xludf.DUMMYFUNCTION("""COMPUTED_VALUE"""),56613.92)</f>
        <v/>
      </c>
      <c r="AP1225" s="6">
        <f>AQ1225&amp;AR1225</f>
        <v/>
      </c>
      <c r="AQ1225" s="6">
        <f>YEAR(AS1225)</f>
        <v/>
      </c>
      <c r="AR1225" s="6">
        <f>MONTH(AS1225)</f>
        <v/>
      </c>
      <c r="AS1225" s="267">
        <f>IFERROR(__xludf.DUMMYFUNCTION("""COMPUTED_VALUE"""),44881.9986111111)</f>
        <v/>
      </c>
      <c r="AT1225" s="6">
        <f>IFERROR(__xludf.DUMMYFUNCTION("""COMPUTED_VALUE"""),1775.8)</f>
        <v/>
      </c>
    </row>
    <row r="1226">
      <c r="B1226" s="6">
        <f>C1226&amp;D1226</f>
        <v/>
      </c>
      <c r="C1226" s="6">
        <f>YEAR(E1226)</f>
        <v/>
      </c>
      <c r="D1226" s="6">
        <f>MONTH(E1226)</f>
        <v/>
      </c>
      <c r="E1226" s="267">
        <f>IFERROR(__xludf.DUMMYFUNCTION("""COMPUTED_VALUE"""),44874.6666666666)</f>
        <v/>
      </c>
      <c r="F1226" s="6">
        <f>IFERROR(__xludf.DUMMYFUNCTION("""COMPUTED_VALUE"""),3748.57)</f>
        <v/>
      </c>
      <c r="J1226" s="6">
        <f>K1226&amp;L1226</f>
        <v/>
      </c>
      <c r="K1226" s="6">
        <f>YEAR(M1226)</f>
        <v/>
      </c>
      <c r="L1226" s="6">
        <f>MONTH(M1226)</f>
        <v/>
      </c>
      <c r="M1226" s="267">
        <f>IFERROR(__xludf.DUMMYFUNCTION("""COMPUTED_VALUE"""),44867.6666666666)</f>
        <v/>
      </c>
      <c r="N1226" s="6">
        <f>IFERROR(__xludf.DUMMYFUNCTION("""COMPUTED_VALUE"""),10524.8)</f>
        <v/>
      </c>
      <c r="R1226" s="6">
        <f>S1226&amp;T1226</f>
        <v/>
      </c>
      <c r="S1226" s="6">
        <f>YEAR(U1226)</f>
        <v/>
      </c>
      <c r="T1226" s="6">
        <f>MONTH(U1226)</f>
        <v/>
      </c>
      <c r="U1226" s="267">
        <f>IFERROR(__xludf.DUMMYFUNCTION("""COMPUTED_VALUE"""),44918.6458333333)</f>
        <v/>
      </c>
      <c r="V1226" s="6">
        <f>IFERROR(__xludf.DUMMYFUNCTION("""COMPUTED_VALUE"""),2313.69)</f>
        <v/>
      </c>
      <c r="Z1226" s="6">
        <f>AA1226&amp;AB1226</f>
        <v/>
      </c>
      <c r="AA1226" s="6">
        <f>YEAR(AC1226)</f>
        <v/>
      </c>
      <c r="AB1226" s="6">
        <f>MONTH(AC1226)</f>
        <v/>
      </c>
      <c r="AC1226" s="267">
        <f>IFERROR(__xludf.DUMMYFUNCTION("""COMPUTED_VALUE"""),44371.9986111111)</f>
        <v/>
      </c>
      <c r="AD1226" s="6">
        <f>IFERROR(__xludf.DUMMYFUNCTION("""COMPUTED_VALUE"""),1130.8)</f>
        <v/>
      </c>
      <c r="AH1226" s="6">
        <f>AI1226&amp;AJ1226</f>
        <v/>
      </c>
      <c r="AI1226" s="6">
        <f>YEAR(AK1226)</f>
        <v/>
      </c>
      <c r="AJ1226" s="6">
        <f>MONTH(AK1226)</f>
        <v/>
      </c>
      <c r="AK1226" s="267">
        <f>IFERROR(__xludf.DUMMYFUNCTION("""COMPUTED_VALUE"""),44319.9986111111)</f>
        <v/>
      </c>
      <c r="AL1226" s="6">
        <f>IFERROR(__xludf.DUMMYFUNCTION("""COMPUTED_VALUE"""),57167.1)</f>
        <v/>
      </c>
      <c r="AP1226" s="6">
        <f>AQ1226&amp;AR1226</f>
        <v/>
      </c>
      <c r="AQ1226" s="6">
        <f>YEAR(AS1226)</f>
        <v/>
      </c>
      <c r="AR1226" s="6">
        <f>MONTH(AS1226)</f>
        <v/>
      </c>
      <c r="AS1226" s="267">
        <f>IFERROR(__xludf.DUMMYFUNCTION("""COMPUTED_VALUE"""),44882.9986111111)</f>
        <v/>
      </c>
      <c r="AT1226" s="6">
        <f>IFERROR(__xludf.DUMMYFUNCTION("""COMPUTED_VALUE"""),1777.8)</f>
        <v/>
      </c>
    </row>
    <row r="1227">
      <c r="B1227" s="6">
        <f>C1227&amp;D1227</f>
        <v/>
      </c>
      <c r="C1227" s="6">
        <f>YEAR(E1227)</f>
        <v/>
      </c>
      <c r="D1227" s="6">
        <f>MONTH(E1227)</f>
        <v/>
      </c>
      <c r="E1227" s="267">
        <f>IFERROR(__xludf.DUMMYFUNCTION("""COMPUTED_VALUE"""),44875.6666666666)</f>
        <v/>
      </c>
      <c r="F1227" s="6">
        <f>IFERROR(__xludf.DUMMYFUNCTION("""COMPUTED_VALUE"""),3956.37)</f>
        <v/>
      </c>
      <c r="J1227" s="6">
        <f>K1227&amp;L1227</f>
        <v/>
      </c>
      <c r="K1227" s="6">
        <f>YEAR(M1227)</f>
        <v/>
      </c>
      <c r="L1227" s="6">
        <f>MONTH(M1227)</f>
        <v/>
      </c>
      <c r="M1227" s="267">
        <f>IFERROR(__xludf.DUMMYFUNCTION("""COMPUTED_VALUE"""),44868.6666666666)</f>
        <v/>
      </c>
      <c r="N1227" s="6">
        <f>IFERROR(__xludf.DUMMYFUNCTION("""COMPUTED_VALUE"""),10342.94)</f>
        <v/>
      </c>
      <c r="R1227" s="6">
        <f>S1227&amp;T1227</f>
        <v/>
      </c>
      <c r="S1227" s="6">
        <f>YEAR(U1227)</f>
        <v/>
      </c>
      <c r="T1227" s="6">
        <f>MONTH(U1227)</f>
        <v/>
      </c>
      <c r="U1227" s="267">
        <f>IFERROR(__xludf.DUMMYFUNCTION("""COMPUTED_VALUE"""),44921.6458333333)</f>
        <v/>
      </c>
      <c r="V1227" s="6">
        <f>IFERROR(__xludf.DUMMYFUNCTION("""COMPUTED_VALUE"""),2317.14)</f>
        <v/>
      </c>
      <c r="Z1227" s="6">
        <f>AA1227&amp;AB1227</f>
        <v/>
      </c>
      <c r="AA1227" s="6">
        <f>YEAR(AC1227)</f>
        <v/>
      </c>
      <c r="AB1227" s="6">
        <f>MONTH(AC1227)</f>
        <v/>
      </c>
      <c r="AC1227" s="267">
        <f>IFERROR(__xludf.DUMMYFUNCTION("""COMPUTED_VALUE"""),44372.9986111111)</f>
        <v/>
      </c>
      <c r="AD1227" s="6">
        <f>IFERROR(__xludf.DUMMYFUNCTION("""COMPUTED_VALUE"""),1126.33)</f>
        <v/>
      </c>
      <c r="AH1227" s="6">
        <f>AI1227&amp;AJ1227</f>
        <v/>
      </c>
      <c r="AI1227" s="6">
        <f>YEAR(AK1227)</f>
        <v/>
      </c>
      <c r="AJ1227" s="6">
        <f>MONTH(AK1227)</f>
        <v/>
      </c>
      <c r="AK1227" s="267">
        <f>IFERROR(__xludf.DUMMYFUNCTION("""COMPUTED_VALUE"""),44320.9986111111)</f>
        <v/>
      </c>
      <c r="AL1227" s="6">
        <f>IFERROR(__xludf.DUMMYFUNCTION("""COMPUTED_VALUE"""),53253.62)</f>
        <v/>
      </c>
      <c r="AP1227" s="6">
        <f>AQ1227&amp;AR1227</f>
        <v/>
      </c>
      <c r="AQ1227" s="6">
        <f>YEAR(AS1227)</f>
        <v/>
      </c>
      <c r="AR1227" s="6">
        <f>MONTH(AS1227)</f>
        <v/>
      </c>
      <c r="AS1227" s="267">
        <f>IFERROR(__xludf.DUMMYFUNCTION("""COMPUTED_VALUE"""),44883.9986111111)</f>
        <v/>
      </c>
      <c r="AT1227" s="6">
        <f>IFERROR(__xludf.DUMMYFUNCTION("""COMPUTED_VALUE"""),1769)</f>
        <v/>
      </c>
    </row>
    <row r="1228">
      <c r="B1228" s="6">
        <f>C1228&amp;D1228</f>
        <v/>
      </c>
      <c r="C1228" s="6">
        <f>YEAR(E1228)</f>
        <v/>
      </c>
      <c r="D1228" s="6">
        <f>MONTH(E1228)</f>
        <v/>
      </c>
      <c r="E1228" s="267">
        <f>IFERROR(__xludf.DUMMYFUNCTION("""COMPUTED_VALUE"""),44876.6666666666)</f>
        <v/>
      </c>
      <c r="F1228" s="6">
        <f>IFERROR(__xludf.DUMMYFUNCTION("""COMPUTED_VALUE"""),3992.93)</f>
        <v/>
      </c>
      <c r="J1228" s="6">
        <f>K1228&amp;L1228</f>
        <v/>
      </c>
      <c r="K1228" s="6">
        <f>YEAR(M1228)</f>
        <v/>
      </c>
      <c r="L1228" s="6">
        <f>MONTH(M1228)</f>
        <v/>
      </c>
      <c r="M1228" s="267">
        <f>IFERROR(__xludf.DUMMYFUNCTION("""COMPUTED_VALUE"""),44869.6666666666)</f>
        <v/>
      </c>
      <c r="N1228" s="6">
        <f>IFERROR(__xludf.DUMMYFUNCTION("""COMPUTED_VALUE"""),10475.25)</f>
        <v/>
      </c>
      <c r="R1228" s="6">
        <f>S1228&amp;T1228</f>
        <v/>
      </c>
      <c r="S1228" s="6">
        <f>YEAR(U1228)</f>
        <v/>
      </c>
      <c r="T1228" s="6">
        <f>MONTH(U1228)</f>
        <v/>
      </c>
      <c r="U1228" s="267">
        <f>IFERROR(__xludf.DUMMYFUNCTION("""COMPUTED_VALUE"""),44922.6458333333)</f>
        <v/>
      </c>
      <c r="V1228" s="6">
        <f>IFERROR(__xludf.DUMMYFUNCTION("""COMPUTED_VALUE"""),2332.79)</f>
        <v/>
      </c>
      <c r="Z1228" s="6">
        <f>AA1228&amp;AB1228</f>
        <v/>
      </c>
      <c r="AA1228" s="6">
        <f>YEAR(AC1228)</f>
        <v/>
      </c>
      <c r="AB1228" s="6">
        <f>MONTH(AC1228)</f>
        <v/>
      </c>
      <c r="AC1228" s="267">
        <f>IFERROR(__xludf.DUMMYFUNCTION("""COMPUTED_VALUE"""),44373.9986111111)</f>
        <v/>
      </c>
      <c r="AD1228" s="6">
        <f>IFERROR(__xludf.DUMMYFUNCTION("""COMPUTED_VALUE"""),1126.33)</f>
        <v/>
      </c>
      <c r="AH1228" s="6">
        <f>AI1228&amp;AJ1228</f>
        <v/>
      </c>
      <c r="AI1228" s="6">
        <f>YEAR(AK1228)</f>
        <v/>
      </c>
      <c r="AJ1228" s="6">
        <f>MONTH(AK1228)</f>
        <v/>
      </c>
      <c r="AK1228" s="267">
        <f>IFERROR(__xludf.DUMMYFUNCTION("""COMPUTED_VALUE"""),44321.9986111111)</f>
        <v/>
      </c>
      <c r="AL1228" s="6">
        <f>IFERROR(__xludf.DUMMYFUNCTION("""COMPUTED_VALUE"""),57487.13)</f>
        <v/>
      </c>
      <c r="AP1228" s="6">
        <f>AQ1228&amp;AR1228</f>
        <v/>
      </c>
      <c r="AQ1228" s="6">
        <f>YEAR(AS1228)</f>
        <v/>
      </c>
      <c r="AR1228" s="6">
        <f>MONTH(AS1228)</f>
        <v/>
      </c>
      <c r="AS1228" s="267">
        <f>IFERROR(__xludf.DUMMYFUNCTION("""COMPUTED_VALUE"""),44886.9986111111)</f>
        <v/>
      </c>
      <c r="AT1228" s="6">
        <f>IFERROR(__xludf.DUMMYFUNCTION("""COMPUTED_VALUE"""),1754.6)</f>
        <v/>
      </c>
    </row>
    <row r="1229">
      <c r="B1229" s="6">
        <f>C1229&amp;D1229</f>
        <v/>
      </c>
      <c r="C1229" s="6">
        <f>YEAR(E1229)</f>
        <v/>
      </c>
      <c r="D1229" s="6">
        <f>MONTH(E1229)</f>
        <v/>
      </c>
      <c r="E1229" s="267">
        <f>IFERROR(__xludf.DUMMYFUNCTION("""COMPUTED_VALUE"""),44879.6666666666)</f>
        <v/>
      </c>
      <c r="F1229" s="6">
        <f>IFERROR(__xludf.DUMMYFUNCTION("""COMPUTED_VALUE"""),3957.25)</f>
        <v/>
      </c>
      <c r="J1229" s="6">
        <f>K1229&amp;L1229</f>
        <v/>
      </c>
      <c r="K1229" s="6">
        <f>YEAR(M1229)</f>
        <v/>
      </c>
      <c r="L1229" s="6">
        <f>MONTH(M1229)</f>
        <v/>
      </c>
      <c r="M1229" s="267">
        <f>IFERROR(__xludf.DUMMYFUNCTION("""COMPUTED_VALUE"""),44872.6666666666)</f>
        <v/>
      </c>
      <c r="N1229" s="6">
        <f>IFERROR(__xludf.DUMMYFUNCTION("""COMPUTED_VALUE"""),10564.52)</f>
        <v/>
      </c>
      <c r="R1229" s="6">
        <f>S1229&amp;T1229</f>
        <v/>
      </c>
      <c r="S1229" s="6">
        <f>YEAR(U1229)</f>
        <v/>
      </c>
      <c r="T1229" s="6">
        <f>MONTH(U1229)</f>
        <v/>
      </c>
      <c r="U1229" s="267">
        <f>IFERROR(__xludf.DUMMYFUNCTION("""COMPUTED_VALUE"""),44923.6458333333)</f>
        <v/>
      </c>
      <c r="V1229" s="6">
        <f>IFERROR(__xludf.DUMMYFUNCTION("""COMPUTED_VALUE"""),2280.45)</f>
        <v/>
      </c>
      <c r="Z1229" s="6">
        <f>AA1229&amp;AB1229</f>
        <v/>
      </c>
      <c r="AA1229" s="6">
        <f>YEAR(AC1229)</f>
        <v/>
      </c>
      <c r="AB1229" s="6">
        <f>MONTH(AC1229)</f>
        <v/>
      </c>
      <c r="AC1229" s="267">
        <f>IFERROR(__xludf.DUMMYFUNCTION("""COMPUTED_VALUE"""),44374.9986111111)</f>
        <v/>
      </c>
      <c r="AD1229" s="6">
        <f>IFERROR(__xludf.DUMMYFUNCTION("""COMPUTED_VALUE"""),1125.34)</f>
        <v/>
      </c>
      <c r="AH1229" s="6">
        <f>AI1229&amp;AJ1229</f>
        <v/>
      </c>
      <c r="AI1229" s="6">
        <f>YEAR(AK1229)</f>
        <v/>
      </c>
      <c r="AJ1229" s="6">
        <f>MONTH(AK1229)</f>
        <v/>
      </c>
      <c r="AK1229" s="267">
        <f>IFERROR(__xludf.DUMMYFUNCTION("""COMPUTED_VALUE"""),44322.9986111111)</f>
        <v/>
      </c>
      <c r="AL1229" s="6">
        <f>IFERROR(__xludf.DUMMYFUNCTION("""COMPUTED_VALUE"""),56418.45)</f>
        <v/>
      </c>
      <c r="AP1229" s="6">
        <f>AQ1229&amp;AR1229</f>
        <v/>
      </c>
      <c r="AQ1229" s="6">
        <f>YEAR(AS1229)</f>
        <v/>
      </c>
      <c r="AR1229" s="6">
        <f>MONTH(AS1229)</f>
        <v/>
      </c>
      <c r="AS1229" s="267">
        <f>IFERROR(__xludf.DUMMYFUNCTION("""COMPUTED_VALUE"""),44887.9986111111)</f>
        <v/>
      </c>
      <c r="AT1229" s="6">
        <f>IFERROR(__xludf.DUMMYFUNCTION("""COMPUTED_VALUE"""),1754.8)</f>
        <v/>
      </c>
    </row>
    <row r="1230">
      <c r="B1230" s="6">
        <f>C1230&amp;D1230</f>
        <v/>
      </c>
      <c r="C1230" s="6">
        <f>YEAR(E1230)</f>
        <v/>
      </c>
      <c r="D1230" s="6">
        <f>MONTH(E1230)</f>
        <v/>
      </c>
      <c r="E1230" s="267">
        <f>IFERROR(__xludf.DUMMYFUNCTION("""COMPUTED_VALUE"""),44880.6666666666)</f>
        <v/>
      </c>
      <c r="F1230" s="6">
        <f>IFERROR(__xludf.DUMMYFUNCTION("""COMPUTED_VALUE"""),3991.73)</f>
        <v/>
      </c>
      <c r="J1230" s="6">
        <f>K1230&amp;L1230</f>
        <v/>
      </c>
      <c r="K1230" s="6">
        <f>YEAR(M1230)</f>
        <v/>
      </c>
      <c r="L1230" s="6">
        <f>MONTH(M1230)</f>
        <v/>
      </c>
      <c r="M1230" s="267">
        <f>IFERROR(__xludf.DUMMYFUNCTION("""COMPUTED_VALUE"""),44873.6666666666)</f>
        <v/>
      </c>
      <c r="N1230" s="6">
        <f>IFERROR(__xludf.DUMMYFUNCTION("""COMPUTED_VALUE"""),10616.2)</f>
        <v/>
      </c>
      <c r="R1230" s="6">
        <f>S1230&amp;T1230</f>
        <v/>
      </c>
      <c r="S1230" s="6">
        <f>YEAR(U1230)</f>
        <v/>
      </c>
      <c r="T1230" s="6">
        <f>MONTH(U1230)</f>
        <v/>
      </c>
      <c r="U1230" s="267">
        <f>IFERROR(__xludf.DUMMYFUNCTION("""COMPUTED_VALUE"""),44924.6458333333)</f>
        <v/>
      </c>
      <c r="V1230" s="6">
        <f>IFERROR(__xludf.DUMMYFUNCTION("""COMPUTED_VALUE"""),2236.4)</f>
        <v/>
      </c>
      <c r="Z1230" s="6">
        <f>AA1230&amp;AB1230</f>
        <v/>
      </c>
      <c r="AA1230" s="6">
        <f>YEAR(AC1230)</f>
        <v/>
      </c>
      <c r="AB1230" s="6">
        <f>MONTH(AC1230)</f>
        <v/>
      </c>
      <c r="AC1230" s="267">
        <f>IFERROR(__xludf.DUMMYFUNCTION("""COMPUTED_VALUE"""),44375.9986111111)</f>
        <v/>
      </c>
      <c r="AD1230" s="6">
        <f>IFERROR(__xludf.DUMMYFUNCTION("""COMPUTED_VALUE"""),1129.04)</f>
        <v/>
      </c>
      <c r="AH1230" s="6">
        <f>AI1230&amp;AJ1230</f>
        <v/>
      </c>
      <c r="AI1230" s="6">
        <f>YEAR(AK1230)</f>
        <v/>
      </c>
      <c r="AJ1230" s="6">
        <f>MONTH(AK1230)</f>
        <v/>
      </c>
      <c r="AK1230" s="267">
        <f>IFERROR(__xludf.DUMMYFUNCTION("""COMPUTED_VALUE"""),44323.9986111111)</f>
        <v/>
      </c>
      <c r="AL1230" s="6">
        <f>IFERROR(__xludf.DUMMYFUNCTION("""COMPUTED_VALUE"""),57374.92)</f>
        <v/>
      </c>
      <c r="AP1230" s="6">
        <f>AQ1230&amp;AR1230</f>
        <v/>
      </c>
      <c r="AQ1230" s="6">
        <f>YEAR(AS1230)</f>
        <v/>
      </c>
      <c r="AR1230" s="6">
        <f>MONTH(AS1230)</f>
        <v/>
      </c>
      <c r="AS1230" s="267">
        <f>IFERROR(__xludf.DUMMYFUNCTION("""COMPUTED_VALUE"""),44888.9986111111)</f>
        <v/>
      </c>
      <c r="AT1230" s="6">
        <f>IFERROR(__xludf.DUMMYFUNCTION("""COMPUTED_VALUE"""),1760.4)</f>
        <v/>
      </c>
    </row>
    <row r="1231">
      <c r="B1231" s="6">
        <f>C1231&amp;D1231</f>
        <v/>
      </c>
      <c r="C1231" s="6">
        <f>YEAR(E1231)</f>
        <v/>
      </c>
      <c r="D1231" s="6">
        <f>MONTH(E1231)</f>
        <v/>
      </c>
      <c r="E1231" s="267">
        <f>IFERROR(__xludf.DUMMYFUNCTION("""COMPUTED_VALUE"""),44881.6666666666)</f>
        <v/>
      </c>
      <c r="F1231" s="6">
        <f>IFERROR(__xludf.DUMMYFUNCTION("""COMPUTED_VALUE"""),3958.79)</f>
        <v/>
      </c>
      <c r="J1231" s="6">
        <f>K1231&amp;L1231</f>
        <v/>
      </c>
      <c r="K1231" s="6">
        <f>YEAR(M1231)</f>
        <v/>
      </c>
      <c r="L1231" s="6">
        <f>MONTH(M1231)</f>
        <v/>
      </c>
      <c r="M1231" s="267">
        <f>IFERROR(__xludf.DUMMYFUNCTION("""COMPUTED_VALUE"""),44874.6666666666)</f>
        <v/>
      </c>
      <c r="N1231" s="6">
        <f>IFERROR(__xludf.DUMMYFUNCTION("""COMPUTED_VALUE"""),10353.17)</f>
        <v/>
      </c>
      <c r="R1231" s="6">
        <f>S1231&amp;T1231</f>
        <v/>
      </c>
      <c r="S1231" s="6">
        <f>YEAR(U1231)</f>
        <v/>
      </c>
      <c r="T1231" s="6">
        <f>MONTH(U1231)</f>
        <v/>
      </c>
      <c r="U1231" s="267">
        <f>IFERROR(__xludf.DUMMYFUNCTION("""COMPUTED_VALUE"""),44928.6458333333)</f>
        <v/>
      </c>
      <c r="V1231" s="6">
        <f>IFERROR(__xludf.DUMMYFUNCTION("""COMPUTED_VALUE"""),2225.67)</f>
        <v/>
      </c>
      <c r="Z1231" s="6">
        <f>AA1231&amp;AB1231</f>
        <v/>
      </c>
      <c r="AA1231" s="6">
        <f>YEAR(AC1231)</f>
        <v/>
      </c>
      <c r="AB1231" s="6">
        <f>MONTH(AC1231)</f>
        <v/>
      </c>
      <c r="AC1231" s="267">
        <f>IFERROR(__xludf.DUMMYFUNCTION("""COMPUTED_VALUE"""),44376.9986111111)</f>
        <v/>
      </c>
      <c r="AD1231" s="6">
        <f>IFERROR(__xludf.DUMMYFUNCTION("""COMPUTED_VALUE"""),1130.51)</f>
        <v/>
      </c>
      <c r="AH1231" s="6">
        <f>AI1231&amp;AJ1231</f>
        <v/>
      </c>
      <c r="AI1231" s="6">
        <f>YEAR(AK1231)</f>
        <v/>
      </c>
      <c r="AJ1231" s="6">
        <f>MONTH(AK1231)</f>
        <v/>
      </c>
      <c r="AK1231" s="267">
        <f>IFERROR(__xludf.DUMMYFUNCTION("""COMPUTED_VALUE"""),44324.9986111111)</f>
        <v/>
      </c>
      <c r="AL1231" s="6">
        <f>IFERROR(__xludf.DUMMYFUNCTION("""COMPUTED_VALUE"""),58851.15)</f>
        <v/>
      </c>
      <c r="AP1231" s="6">
        <f>AQ1231&amp;AR1231</f>
        <v/>
      </c>
      <c r="AQ1231" s="6">
        <f>YEAR(AS1231)</f>
        <v/>
      </c>
      <c r="AR1231" s="6">
        <f>MONTH(AS1231)</f>
        <v/>
      </c>
      <c r="AS1231" s="267">
        <f>IFERROR(__xludf.DUMMYFUNCTION("""COMPUTED_VALUE"""),44890.5416666666)</f>
        <v/>
      </c>
      <c r="AT1231" s="6">
        <f>IFERROR(__xludf.DUMMYFUNCTION("""COMPUTED_VALUE"""),1768.8)</f>
        <v/>
      </c>
    </row>
    <row r="1232">
      <c r="B1232" s="6">
        <f>C1232&amp;D1232</f>
        <v/>
      </c>
      <c r="C1232" s="6">
        <f>YEAR(E1232)</f>
        <v/>
      </c>
      <c r="D1232" s="6">
        <f>MONTH(E1232)</f>
        <v/>
      </c>
      <c r="E1232" s="267">
        <f>IFERROR(__xludf.DUMMYFUNCTION("""COMPUTED_VALUE"""),44882.6666666666)</f>
        <v/>
      </c>
      <c r="F1232" s="6">
        <f>IFERROR(__xludf.DUMMYFUNCTION("""COMPUTED_VALUE"""),3946.56)</f>
        <v/>
      </c>
      <c r="J1232" s="6">
        <f>K1232&amp;L1232</f>
        <v/>
      </c>
      <c r="K1232" s="6">
        <f>YEAR(M1232)</f>
        <v/>
      </c>
      <c r="L1232" s="6">
        <f>MONTH(M1232)</f>
        <v/>
      </c>
      <c r="M1232" s="267">
        <f>IFERROR(__xludf.DUMMYFUNCTION("""COMPUTED_VALUE"""),44875.6666666666)</f>
        <v/>
      </c>
      <c r="N1232" s="6">
        <f>IFERROR(__xludf.DUMMYFUNCTION("""COMPUTED_VALUE"""),11114.15)</f>
        <v/>
      </c>
      <c r="R1232" s="6">
        <f>S1232&amp;T1232</f>
        <v/>
      </c>
      <c r="S1232" s="6">
        <f>YEAR(U1232)</f>
        <v/>
      </c>
      <c r="T1232" s="6">
        <f>MONTH(U1232)</f>
        <v/>
      </c>
      <c r="U1232" s="267">
        <f>IFERROR(__xludf.DUMMYFUNCTION("""COMPUTED_VALUE"""),44929.6458333333)</f>
        <v/>
      </c>
      <c r="V1232" s="6">
        <f>IFERROR(__xludf.DUMMYFUNCTION("""COMPUTED_VALUE"""),2218.68)</f>
        <v/>
      </c>
      <c r="Z1232" s="6">
        <f>AA1232&amp;AB1232</f>
        <v/>
      </c>
      <c r="AA1232" s="6">
        <f>YEAR(AC1232)</f>
        <v/>
      </c>
      <c r="AB1232" s="6">
        <f>MONTH(AC1232)</f>
        <v/>
      </c>
      <c r="AC1232" s="267">
        <f>IFERROR(__xludf.DUMMYFUNCTION("""COMPUTED_VALUE"""),44377.9986111111)</f>
        <v/>
      </c>
      <c r="AD1232" s="6">
        <f>IFERROR(__xludf.DUMMYFUNCTION("""COMPUTED_VALUE"""),1129.6)</f>
        <v/>
      </c>
      <c r="AH1232" s="6">
        <f>AI1232&amp;AJ1232</f>
        <v/>
      </c>
      <c r="AI1232" s="6">
        <f>YEAR(AK1232)</f>
        <v/>
      </c>
      <c r="AJ1232" s="6">
        <f>MONTH(AK1232)</f>
        <v/>
      </c>
      <c r="AK1232" s="267">
        <f>IFERROR(__xludf.DUMMYFUNCTION("""COMPUTED_VALUE"""),44325.9986111111)</f>
        <v/>
      </c>
      <c r="AL1232" s="6">
        <f>IFERROR(__xludf.DUMMYFUNCTION("""COMPUTED_VALUE"""),58249.91)</f>
        <v/>
      </c>
      <c r="AP1232" s="6">
        <f>AQ1232&amp;AR1232</f>
        <v/>
      </c>
      <c r="AQ1232" s="6">
        <f>YEAR(AS1232)</f>
        <v/>
      </c>
      <c r="AR1232" s="6">
        <f>MONTH(AS1232)</f>
        <v/>
      </c>
      <c r="AS1232" s="267">
        <f>IFERROR(__xludf.DUMMYFUNCTION("""COMPUTED_VALUE"""),44893.9986111111)</f>
        <v/>
      </c>
      <c r="AT1232" s="6">
        <f>IFERROR(__xludf.DUMMYFUNCTION("""COMPUTED_VALUE"""),1755.3)</f>
        <v/>
      </c>
    </row>
    <row r="1233">
      <c r="B1233" s="6">
        <f>C1233&amp;D1233</f>
        <v/>
      </c>
      <c r="C1233" s="6">
        <f>YEAR(E1233)</f>
        <v/>
      </c>
      <c r="D1233" s="6">
        <f>MONTH(E1233)</f>
        <v/>
      </c>
      <c r="E1233" s="267">
        <f>IFERROR(__xludf.DUMMYFUNCTION("""COMPUTED_VALUE"""),44883.6666666666)</f>
        <v/>
      </c>
      <c r="F1233" s="6">
        <f>IFERROR(__xludf.DUMMYFUNCTION("""COMPUTED_VALUE"""),3965.34)</f>
        <v/>
      </c>
      <c r="J1233" s="6">
        <f>K1233&amp;L1233</f>
        <v/>
      </c>
      <c r="K1233" s="6">
        <f>YEAR(M1233)</f>
        <v/>
      </c>
      <c r="L1233" s="6">
        <f>MONTH(M1233)</f>
        <v/>
      </c>
      <c r="M1233" s="267">
        <f>IFERROR(__xludf.DUMMYFUNCTION("""COMPUTED_VALUE"""),44876.6666666666)</f>
        <v/>
      </c>
      <c r="N1233" s="6">
        <f>IFERROR(__xludf.DUMMYFUNCTION("""COMPUTED_VALUE"""),11323.33)</f>
        <v/>
      </c>
      <c r="R1233" s="6">
        <f>S1233&amp;T1233</f>
        <v/>
      </c>
      <c r="S1233" s="6">
        <f>YEAR(U1233)</f>
        <v/>
      </c>
      <c r="T1233" s="6">
        <f>MONTH(U1233)</f>
        <v/>
      </c>
      <c r="U1233" s="267">
        <f>IFERROR(__xludf.DUMMYFUNCTION("""COMPUTED_VALUE"""),44930.6458333333)</f>
        <v/>
      </c>
      <c r="V1233" s="6">
        <f>IFERROR(__xludf.DUMMYFUNCTION("""COMPUTED_VALUE"""),2255.98)</f>
        <v/>
      </c>
      <c r="Z1233" s="6">
        <f>AA1233&amp;AB1233</f>
        <v/>
      </c>
      <c r="AA1233" s="6">
        <f>YEAR(AC1233)</f>
        <v/>
      </c>
      <c r="AB1233" s="6">
        <f>MONTH(AC1233)</f>
        <v/>
      </c>
      <c r="AC1233" s="267">
        <f>IFERROR(__xludf.DUMMYFUNCTION("""COMPUTED_VALUE"""),44378.9986111111)</f>
        <v/>
      </c>
      <c r="AD1233" s="6">
        <f>IFERROR(__xludf.DUMMYFUNCTION("""COMPUTED_VALUE"""),1132.41)</f>
        <v/>
      </c>
      <c r="AH1233" s="6">
        <f>AI1233&amp;AJ1233</f>
        <v/>
      </c>
      <c r="AI1233" s="6">
        <f>YEAR(AK1233)</f>
        <v/>
      </c>
      <c r="AJ1233" s="6">
        <f>MONTH(AK1233)</f>
        <v/>
      </c>
      <c r="AK1233" s="267">
        <f>IFERROR(__xludf.DUMMYFUNCTION("""COMPUTED_VALUE"""),44326.9986111111)</f>
        <v/>
      </c>
      <c r="AL1233" s="6">
        <f>IFERROR(__xludf.DUMMYFUNCTION("""COMPUTED_VALUE"""),55873.81)</f>
        <v/>
      </c>
      <c r="AP1233" s="6">
        <f>AQ1233&amp;AR1233</f>
        <v/>
      </c>
      <c r="AQ1233" s="6">
        <f>YEAR(AS1233)</f>
        <v/>
      </c>
      <c r="AR1233" s="6">
        <f>MONTH(AS1233)</f>
        <v/>
      </c>
      <c r="AS1233" s="267">
        <f>IFERROR(__xludf.DUMMYFUNCTION("""COMPUTED_VALUE"""),44894.9986111111)</f>
        <v/>
      </c>
      <c r="AT1233" s="6">
        <f>IFERROR(__xludf.DUMMYFUNCTION("""COMPUTED_VALUE"""),1763.7)</f>
        <v/>
      </c>
    </row>
    <row r="1234">
      <c r="B1234" s="6">
        <f>C1234&amp;D1234</f>
        <v/>
      </c>
      <c r="C1234" s="6">
        <f>YEAR(E1234)</f>
        <v/>
      </c>
      <c r="D1234" s="6">
        <f>MONTH(E1234)</f>
        <v/>
      </c>
      <c r="E1234" s="267">
        <f>IFERROR(__xludf.DUMMYFUNCTION("""COMPUTED_VALUE"""),44886.6666666666)</f>
        <v/>
      </c>
      <c r="F1234" s="6">
        <f>IFERROR(__xludf.DUMMYFUNCTION("""COMPUTED_VALUE"""),3949.94)</f>
        <v/>
      </c>
      <c r="J1234" s="6">
        <f>K1234&amp;L1234</f>
        <v/>
      </c>
      <c r="K1234" s="6">
        <f>YEAR(M1234)</f>
        <v/>
      </c>
      <c r="L1234" s="6">
        <f>MONTH(M1234)</f>
        <v/>
      </c>
      <c r="M1234" s="267">
        <f>IFERROR(__xludf.DUMMYFUNCTION("""COMPUTED_VALUE"""),44879.6666666666)</f>
        <v/>
      </c>
      <c r="N1234" s="6">
        <f>IFERROR(__xludf.DUMMYFUNCTION("""COMPUTED_VALUE"""),11196.22)</f>
        <v/>
      </c>
      <c r="R1234" s="6">
        <f>S1234&amp;T1234</f>
        <v/>
      </c>
      <c r="S1234" s="6">
        <f>YEAR(U1234)</f>
        <v/>
      </c>
      <c r="T1234" s="6">
        <f>MONTH(U1234)</f>
        <v/>
      </c>
      <c r="U1234" s="267">
        <f>IFERROR(__xludf.DUMMYFUNCTION("""COMPUTED_VALUE"""),44931.6458333333)</f>
        <v/>
      </c>
      <c r="V1234" s="6">
        <f>IFERROR(__xludf.DUMMYFUNCTION("""COMPUTED_VALUE"""),2264.65)</f>
        <v/>
      </c>
      <c r="Z1234" s="6">
        <f>AA1234&amp;AB1234</f>
        <v/>
      </c>
      <c r="AA1234" s="6">
        <f>YEAR(AC1234)</f>
        <v/>
      </c>
      <c r="AB1234" s="6">
        <f>MONTH(AC1234)</f>
        <v/>
      </c>
      <c r="AC1234" s="267">
        <f>IFERROR(__xludf.DUMMYFUNCTION("""COMPUTED_VALUE"""),44379.9986111111)</f>
        <v/>
      </c>
      <c r="AD1234" s="6">
        <f>IFERROR(__xludf.DUMMYFUNCTION("""COMPUTED_VALUE"""),1129.67)</f>
        <v/>
      </c>
      <c r="AH1234" s="6">
        <f>AI1234&amp;AJ1234</f>
        <v/>
      </c>
      <c r="AI1234" s="6">
        <f>YEAR(AK1234)</f>
        <v/>
      </c>
      <c r="AJ1234" s="6">
        <f>MONTH(AK1234)</f>
        <v/>
      </c>
      <c r="AK1234" s="267">
        <f>IFERROR(__xludf.DUMMYFUNCTION("""COMPUTED_VALUE"""),44327.9986111111)</f>
        <v/>
      </c>
      <c r="AL1234" s="6">
        <f>IFERROR(__xludf.DUMMYFUNCTION("""COMPUTED_VALUE"""),56727.85)</f>
        <v/>
      </c>
      <c r="AP1234" s="6">
        <f>AQ1234&amp;AR1234</f>
        <v/>
      </c>
      <c r="AQ1234" s="6">
        <f>YEAR(AS1234)</f>
        <v/>
      </c>
      <c r="AR1234" s="6">
        <f>MONTH(AS1234)</f>
        <v/>
      </c>
      <c r="AS1234" s="267">
        <f>IFERROR(__xludf.DUMMYFUNCTION("""COMPUTED_VALUE"""),44895.9986111111)</f>
        <v/>
      </c>
      <c r="AT1234" s="6">
        <f>IFERROR(__xludf.DUMMYFUNCTION("""COMPUTED_VALUE"""),1759.9)</f>
        <v/>
      </c>
    </row>
    <row r="1235">
      <c r="B1235" s="6">
        <f>C1235&amp;D1235</f>
        <v/>
      </c>
      <c r="C1235" s="6">
        <f>YEAR(E1235)</f>
        <v/>
      </c>
      <c r="D1235" s="6">
        <f>MONTH(E1235)</f>
        <v/>
      </c>
      <c r="E1235" s="267">
        <f>IFERROR(__xludf.DUMMYFUNCTION("""COMPUTED_VALUE"""),44887.6666666666)</f>
        <v/>
      </c>
      <c r="F1235" s="6">
        <f>IFERROR(__xludf.DUMMYFUNCTION("""COMPUTED_VALUE"""),4003.58)</f>
        <v/>
      </c>
      <c r="J1235" s="6">
        <f>K1235&amp;L1235</f>
        <v/>
      </c>
      <c r="K1235" s="6">
        <f>YEAR(M1235)</f>
        <v/>
      </c>
      <c r="L1235" s="6">
        <f>MONTH(M1235)</f>
        <v/>
      </c>
      <c r="M1235" s="267">
        <f>IFERROR(__xludf.DUMMYFUNCTION("""COMPUTED_VALUE"""),44880.6666666666)</f>
        <v/>
      </c>
      <c r="N1235" s="6">
        <f>IFERROR(__xludf.DUMMYFUNCTION("""COMPUTED_VALUE"""),11358.41)</f>
        <v/>
      </c>
      <c r="R1235" s="6">
        <f>S1235&amp;T1235</f>
        <v/>
      </c>
      <c r="S1235" s="6">
        <f>YEAR(U1235)</f>
        <v/>
      </c>
      <c r="T1235" s="6">
        <f>MONTH(U1235)</f>
        <v/>
      </c>
      <c r="U1235" s="267">
        <f>IFERROR(__xludf.DUMMYFUNCTION("""COMPUTED_VALUE"""),44932.6458333333)</f>
        <v/>
      </c>
      <c r="V1235" s="6">
        <f>IFERROR(__xludf.DUMMYFUNCTION("""COMPUTED_VALUE"""),2289.97)</f>
        <v/>
      </c>
      <c r="Z1235" s="6">
        <f>AA1235&amp;AB1235</f>
        <v/>
      </c>
      <c r="AA1235" s="6">
        <f>YEAR(AC1235)</f>
        <v/>
      </c>
      <c r="AB1235" s="6">
        <f>MONTH(AC1235)</f>
        <v/>
      </c>
      <c r="AC1235" s="267">
        <f>IFERROR(__xludf.DUMMYFUNCTION("""COMPUTED_VALUE"""),44380.9986111111)</f>
        <v/>
      </c>
      <c r="AD1235" s="6">
        <f>IFERROR(__xludf.DUMMYFUNCTION("""COMPUTED_VALUE"""),1129.27)</f>
        <v/>
      </c>
      <c r="AH1235" s="6">
        <f>AI1235&amp;AJ1235</f>
        <v/>
      </c>
      <c r="AI1235" s="6">
        <f>YEAR(AK1235)</f>
        <v/>
      </c>
      <c r="AJ1235" s="6">
        <f>MONTH(AK1235)</f>
        <v/>
      </c>
      <c r="AK1235" s="267">
        <f>IFERROR(__xludf.DUMMYFUNCTION("""COMPUTED_VALUE"""),44328.9986111111)</f>
        <v/>
      </c>
      <c r="AL1235" s="6">
        <f>IFERROR(__xludf.DUMMYFUNCTION("""COMPUTED_VALUE"""),49317.21)</f>
        <v/>
      </c>
      <c r="AP1235" s="6">
        <f>AQ1235&amp;AR1235</f>
        <v/>
      </c>
      <c r="AQ1235" s="6">
        <f>YEAR(AS1235)</f>
        <v/>
      </c>
      <c r="AR1235" s="6">
        <f>MONTH(AS1235)</f>
        <v/>
      </c>
      <c r="AS1235" s="267">
        <f>IFERROR(__xludf.DUMMYFUNCTION("""COMPUTED_VALUE"""),44896.9986111111)</f>
        <v/>
      </c>
      <c r="AT1235" s="6">
        <f>IFERROR(__xludf.DUMMYFUNCTION("""COMPUTED_VALUE"""),1815.2)</f>
        <v/>
      </c>
    </row>
    <row r="1236">
      <c r="B1236" s="6">
        <f>C1236&amp;D1236</f>
        <v/>
      </c>
      <c r="C1236" s="6">
        <f>YEAR(E1236)</f>
        <v/>
      </c>
      <c r="D1236" s="6">
        <f>MONTH(E1236)</f>
        <v/>
      </c>
      <c r="E1236" s="267">
        <f>IFERROR(__xludf.DUMMYFUNCTION("""COMPUTED_VALUE"""),44890.5416666666)</f>
        <v/>
      </c>
      <c r="F1236" s="6">
        <f>IFERROR(__xludf.DUMMYFUNCTION("""COMPUTED_VALUE"""),4026.12)</f>
        <v/>
      </c>
      <c r="J1236" s="6">
        <f>K1236&amp;L1236</f>
        <v/>
      </c>
      <c r="K1236" s="6">
        <f>YEAR(M1236)</f>
        <v/>
      </c>
      <c r="L1236" s="6">
        <f>MONTH(M1236)</f>
        <v/>
      </c>
      <c r="M1236" s="267">
        <f>IFERROR(__xludf.DUMMYFUNCTION("""COMPUTED_VALUE"""),44881.6666666666)</f>
        <v/>
      </c>
      <c r="N1236" s="6">
        <f>IFERROR(__xludf.DUMMYFUNCTION("""COMPUTED_VALUE"""),11183.66)</f>
        <v/>
      </c>
      <c r="R1236" s="6">
        <f>S1236&amp;T1236</f>
        <v/>
      </c>
      <c r="S1236" s="6">
        <f>YEAR(U1236)</f>
        <v/>
      </c>
      <c r="T1236" s="6">
        <f>MONTH(U1236)</f>
        <v/>
      </c>
      <c r="U1236" s="267">
        <f>IFERROR(__xludf.DUMMYFUNCTION("""COMPUTED_VALUE"""),44935.6458333333)</f>
        <v/>
      </c>
      <c r="V1236" s="6">
        <f>IFERROR(__xludf.DUMMYFUNCTION("""COMPUTED_VALUE"""),2350.19)</f>
        <v/>
      </c>
      <c r="Z1236" s="6">
        <f>AA1236&amp;AB1236</f>
        <v/>
      </c>
      <c r="AA1236" s="6">
        <f>YEAR(AC1236)</f>
        <v/>
      </c>
      <c r="AB1236" s="6">
        <f>MONTH(AC1236)</f>
        <v/>
      </c>
      <c r="AC1236" s="267">
        <f>IFERROR(__xludf.DUMMYFUNCTION("""COMPUTED_VALUE"""),44381.9986111111)</f>
        <v/>
      </c>
      <c r="AD1236" s="6">
        <f>IFERROR(__xludf.DUMMYFUNCTION("""COMPUTED_VALUE"""),1129.77)</f>
        <v/>
      </c>
      <c r="AH1236" s="6">
        <f>AI1236&amp;AJ1236</f>
        <v/>
      </c>
      <c r="AI1236" s="6">
        <f>YEAR(AK1236)</f>
        <v/>
      </c>
      <c r="AJ1236" s="6">
        <f>MONTH(AK1236)</f>
        <v/>
      </c>
      <c r="AK1236" s="267">
        <f>IFERROR(__xludf.DUMMYFUNCTION("""COMPUTED_VALUE"""),44329.9986111111)</f>
        <v/>
      </c>
      <c r="AL1236" s="6">
        <f>IFERROR(__xludf.DUMMYFUNCTION("""COMPUTED_VALUE"""),49707.58)</f>
        <v/>
      </c>
      <c r="AP1236" s="6">
        <f>AQ1236&amp;AR1236</f>
        <v/>
      </c>
      <c r="AQ1236" s="6">
        <f>YEAR(AS1236)</f>
        <v/>
      </c>
      <c r="AR1236" s="6">
        <f>MONTH(AS1236)</f>
        <v/>
      </c>
      <c r="AS1236" s="267">
        <f>IFERROR(__xludf.DUMMYFUNCTION("""COMPUTED_VALUE"""),44897.9986111111)</f>
        <v/>
      </c>
      <c r="AT1236" s="6">
        <f>IFERROR(__xludf.DUMMYFUNCTION("""COMPUTED_VALUE"""),1809.6)</f>
        <v/>
      </c>
    </row>
    <row r="1237">
      <c r="B1237" s="6">
        <f>C1237&amp;D1237</f>
        <v/>
      </c>
      <c r="C1237" s="6">
        <f>YEAR(E1237)</f>
        <v/>
      </c>
      <c r="D1237" s="6">
        <f>MONTH(E1237)</f>
        <v/>
      </c>
      <c r="E1237" s="267">
        <f>IFERROR(__xludf.DUMMYFUNCTION("""COMPUTED_VALUE"""),44893.6666666666)</f>
        <v/>
      </c>
      <c r="F1237" s="6">
        <f>IFERROR(__xludf.DUMMYFUNCTION("""COMPUTED_VALUE"""),3963.94)</f>
        <v/>
      </c>
      <c r="J1237" s="6">
        <f>K1237&amp;L1237</f>
        <v/>
      </c>
      <c r="K1237" s="6">
        <f>YEAR(M1237)</f>
        <v/>
      </c>
      <c r="L1237" s="6">
        <f>MONTH(M1237)</f>
        <v/>
      </c>
      <c r="M1237" s="267">
        <f>IFERROR(__xludf.DUMMYFUNCTION("""COMPUTED_VALUE"""),44882.6666666666)</f>
        <v/>
      </c>
      <c r="N1237" s="6">
        <f>IFERROR(__xludf.DUMMYFUNCTION("""COMPUTED_VALUE"""),11144.96)</f>
        <v/>
      </c>
      <c r="R1237" s="6">
        <f>S1237&amp;T1237</f>
        <v/>
      </c>
      <c r="S1237" s="6">
        <f>YEAR(U1237)</f>
        <v/>
      </c>
      <c r="T1237" s="6">
        <f>MONTH(U1237)</f>
        <v/>
      </c>
      <c r="U1237" s="267">
        <f>IFERROR(__xludf.DUMMYFUNCTION("""COMPUTED_VALUE"""),44936.6458333333)</f>
        <v/>
      </c>
      <c r="V1237" s="6">
        <f>IFERROR(__xludf.DUMMYFUNCTION("""COMPUTED_VALUE"""),2351.31)</f>
        <v/>
      </c>
      <c r="Z1237" s="6">
        <f>AA1237&amp;AB1237</f>
        <v/>
      </c>
      <c r="AA1237" s="6">
        <f>YEAR(AC1237)</f>
        <v/>
      </c>
      <c r="AB1237" s="6">
        <f>MONTH(AC1237)</f>
        <v/>
      </c>
      <c r="AC1237" s="267">
        <f>IFERROR(__xludf.DUMMYFUNCTION("""COMPUTED_VALUE"""),44382.9986111111)</f>
        <v/>
      </c>
      <c r="AD1237" s="6">
        <f>IFERROR(__xludf.DUMMYFUNCTION("""COMPUTED_VALUE"""),1129.44)</f>
        <v/>
      </c>
      <c r="AH1237" s="6">
        <f>AI1237&amp;AJ1237</f>
        <v/>
      </c>
      <c r="AI1237" s="6">
        <f>YEAR(AK1237)</f>
        <v/>
      </c>
      <c r="AJ1237" s="6">
        <f>MONTH(AK1237)</f>
        <v/>
      </c>
      <c r="AK1237" s="267">
        <f>IFERROR(__xludf.DUMMYFUNCTION("""COMPUTED_VALUE"""),44330.9986111111)</f>
        <v/>
      </c>
      <c r="AL1237" s="6">
        <f>IFERROR(__xludf.DUMMYFUNCTION("""COMPUTED_VALUE"""),49889.86)</f>
        <v/>
      </c>
      <c r="AP1237" s="6">
        <f>AQ1237&amp;AR1237</f>
        <v/>
      </c>
      <c r="AQ1237" s="6">
        <f>YEAR(AS1237)</f>
        <v/>
      </c>
      <c r="AR1237" s="6">
        <f>MONTH(AS1237)</f>
        <v/>
      </c>
      <c r="AS1237" s="267">
        <f>IFERROR(__xludf.DUMMYFUNCTION("""COMPUTED_VALUE"""),44900.9986111111)</f>
        <v/>
      </c>
      <c r="AT1237" s="6">
        <f>IFERROR(__xludf.DUMMYFUNCTION("""COMPUTED_VALUE"""),1781.3)</f>
        <v/>
      </c>
    </row>
    <row r="1238">
      <c r="B1238" s="6">
        <f>C1238&amp;D1238</f>
        <v/>
      </c>
      <c r="C1238" s="6">
        <f>YEAR(E1238)</f>
        <v/>
      </c>
      <c r="D1238" s="6">
        <f>MONTH(E1238)</f>
        <v/>
      </c>
      <c r="E1238" s="267">
        <f>IFERROR(__xludf.DUMMYFUNCTION("""COMPUTED_VALUE"""),44894.6666666666)</f>
        <v/>
      </c>
      <c r="F1238" s="6">
        <f>IFERROR(__xludf.DUMMYFUNCTION("""COMPUTED_VALUE"""),3957.63)</f>
        <v/>
      </c>
      <c r="J1238" s="6">
        <f>K1238&amp;L1238</f>
        <v/>
      </c>
      <c r="K1238" s="6">
        <f>YEAR(M1238)</f>
        <v/>
      </c>
      <c r="L1238" s="6">
        <f>MONTH(M1238)</f>
        <v/>
      </c>
      <c r="M1238" s="267">
        <f>IFERROR(__xludf.DUMMYFUNCTION("""COMPUTED_VALUE"""),44883.6666666666)</f>
        <v/>
      </c>
      <c r="N1238" s="6">
        <f>IFERROR(__xludf.DUMMYFUNCTION("""COMPUTED_VALUE"""),11146.06)</f>
        <v/>
      </c>
      <c r="R1238" s="6">
        <f>S1238&amp;T1238</f>
        <v/>
      </c>
      <c r="S1238" s="6">
        <f>YEAR(U1238)</f>
        <v/>
      </c>
      <c r="T1238" s="6">
        <f>MONTH(U1238)</f>
        <v/>
      </c>
      <c r="U1238" s="267">
        <f>IFERROR(__xludf.DUMMYFUNCTION("""COMPUTED_VALUE"""),44937.6458333333)</f>
        <v/>
      </c>
      <c r="V1238" s="6">
        <f>IFERROR(__xludf.DUMMYFUNCTION("""COMPUTED_VALUE"""),2359.53)</f>
        <v/>
      </c>
      <c r="Z1238" s="6">
        <f>AA1238&amp;AB1238</f>
        <v/>
      </c>
      <c r="AA1238" s="6">
        <f>YEAR(AC1238)</f>
        <v/>
      </c>
      <c r="AB1238" s="6">
        <f>MONTH(AC1238)</f>
        <v/>
      </c>
      <c r="AC1238" s="267">
        <f>IFERROR(__xludf.DUMMYFUNCTION("""COMPUTED_VALUE"""),44383.9986111111)</f>
        <v/>
      </c>
      <c r="AD1238" s="6">
        <f>IFERROR(__xludf.DUMMYFUNCTION("""COMPUTED_VALUE"""),1135.48)</f>
        <v/>
      </c>
      <c r="AH1238" s="6">
        <f>AI1238&amp;AJ1238</f>
        <v/>
      </c>
      <c r="AI1238" s="6">
        <f>YEAR(AK1238)</f>
        <v/>
      </c>
      <c r="AJ1238" s="6">
        <f>MONTH(AK1238)</f>
        <v/>
      </c>
      <c r="AK1238" s="267">
        <f>IFERROR(__xludf.DUMMYFUNCTION("""COMPUTED_VALUE"""),44331.9986111111)</f>
        <v/>
      </c>
      <c r="AL1238" s="6">
        <f>IFERROR(__xludf.DUMMYFUNCTION("""COMPUTED_VALUE"""),46725.23)</f>
        <v/>
      </c>
      <c r="AP1238" s="6">
        <f>AQ1238&amp;AR1238</f>
        <v/>
      </c>
      <c r="AQ1238" s="6">
        <f>YEAR(AS1238)</f>
        <v/>
      </c>
      <c r="AR1238" s="6">
        <f>MONTH(AS1238)</f>
        <v/>
      </c>
      <c r="AS1238" s="267">
        <f>IFERROR(__xludf.DUMMYFUNCTION("""COMPUTED_VALUE"""),44901.9986111111)</f>
        <v/>
      </c>
      <c r="AT1238" s="6">
        <f>IFERROR(__xludf.DUMMYFUNCTION("""COMPUTED_VALUE"""),1782.4)</f>
        <v/>
      </c>
    </row>
    <row r="1239">
      <c r="B1239" s="6">
        <f>C1239&amp;D1239</f>
        <v/>
      </c>
      <c r="C1239" s="6">
        <f>YEAR(E1239)</f>
        <v/>
      </c>
      <c r="D1239" s="6">
        <f>MONTH(E1239)</f>
        <v/>
      </c>
      <c r="E1239" s="267">
        <f>IFERROR(__xludf.DUMMYFUNCTION("""COMPUTED_VALUE"""),44895.6666666666)</f>
        <v/>
      </c>
      <c r="F1239" s="6">
        <f>IFERROR(__xludf.DUMMYFUNCTION("""COMPUTED_VALUE"""),4080.11)</f>
        <v/>
      </c>
      <c r="J1239" s="6">
        <f>K1239&amp;L1239</f>
        <v/>
      </c>
      <c r="K1239" s="6">
        <f>YEAR(M1239)</f>
        <v/>
      </c>
      <c r="L1239" s="6">
        <f>MONTH(M1239)</f>
        <v/>
      </c>
      <c r="M1239" s="267">
        <f>IFERROR(__xludf.DUMMYFUNCTION("""COMPUTED_VALUE"""),44886.6666666666)</f>
        <v/>
      </c>
      <c r="N1239" s="6">
        <f>IFERROR(__xludf.DUMMYFUNCTION("""COMPUTED_VALUE"""),11024.51)</f>
        <v/>
      </c>
      <c r="R1239" s="6">
        <f>S1239&amp;T1239</f>
        <v/>
      </c>
      <c r="S1239" s="6">
        <f>YEAR(U1239)</f>
        <v/>
      </c>
      <c r="T1239" s="6">
        <f>MONTH(U1239)</f>
        <v/>
      </c>
      <c r="U1239" s="267">
        <f>IFERROR(__xludf.DUMMYFUNCTION("""COMPUTED_VALUE"""),44938.6458333333)</f>
        <v/>
      </c>
      <c r="V1239" s="6">
        <f>IFERROR(__xludf.DUMMYFUNCTION("""COMPUTED_VALUE"""),2365.1)</f>
        <v/>
      </c>
      <c r="Z1239" s="6">
        <f>AA1239&amp;AB1239</f>
        <v/>
      </c>
      <c r="AA1239" s="6">
        <f>YEAR(AC1239)</f>
        <v/>
      </c>
      <c r="AB1239" s="6">
        <f>MONTH(AC1239)</f>
        <v/>
      </c>
      <c r="AC1239" s="267">
        <f>IFERROR(__xludf.DUMMYFUNCTION("""COMPUTED_VALUE"""),44384.9986111111)</f>
        <v/>
      </c>
      <c r="AD1239" s="6">
        <f>IFERROR(__xludf.DUMMYFUNCTION("""COMPUTED_VALUE"""),1140.52)</f>
        <v/>
      </c>
      <c r="AH1239" s="6">
        <f>AI1239&amp;AJ1239</f>
        <v/>
      </c>
      <c r="AI1239" s="6">
        <f>YEAR(AK1239)</f>
        <v/>
      </c>
      <c r="AJ1239" s="6">
        <f>MONTH(AK1239)</f>
        <v/>
      </c>
      <c r="AK1239" s="267">
        <f>IFERROR(__xludf.DUMMYFUNCTION("""COMPUTED_VALUE"""),44332.9986111111)</f>
        <v/>
      </c>
      <c r="AL1239" s="6">
        <f>IFERROR(__xludf.DUMMYFUNCTION("""COMPUTED_VALUE"""),46439.3)</f>
        <v/>
      </c>
      <c r="AP1239" s="6">
        <f>AQ1239&amp;AR1239</f>
        <v/>
      </c>
      <c r="AQ1239" s="6">
        <f>YEAR(AS1239)</f>
        <v/>
      </c>
      <c r="AR1239" s="6">
        <f>MONTH(AS1239)</f>
        <v/>
      </c>
      <c r="AS1239" s="267">
        <f>IFERROR(__xludf.DUMMYFUNCTION("""COMPUTED_VALUE"""),44902.9986111111)</f>
        <v/>
      </c>
      <c r="AT1239" s="6">
        <f>IFERROR(__xludf.DUMMYFUNCTION("""COMPUTED_VALUE"""),1798)</f>
        <v/>
      </c>
    </row>
    <row r="1240">
      <c r="B1240" s="6">
        <f>C1240&amp;D1240</f>
        <v/>
      </c>
      <c r="C1240" s="6">
        <f>YEAR(E1240)</f>
        <v/>
      </c>
      <c r="D1240" s="6">
        <f>MONTH(E1240)</f>
        <v/>
      </c>
      <c r="E1240" s="267">
        <f>IFERROR(__xludf.DUMMYFUNCTION("""COMPUTED_VALUE"""),44896.6666666666)</f>
        <v/>
      </c>
      <c r="F1240" s="6">
        <f>IFERROR(__xludf.DUMMYFUNCTION("""COMPUTED_VALUE"""),4076.57)</f>
        <v/>
      </c>
      <c r="J1240" s="6">
        <f>K1240&amp;L1240</f>
        <v/>
      </c>
      <c r="K1240" s="6">
        <f>YEAR(M1240)</f>
        <v/>
      </c>
      <c r="L1240" s="6">
        <f>MONTH(M1240)</f>
        <v/>
      </c>
      <c r="M1240" s="267">
        <f>IFERROR(__xludf.DUMMYFUNCTION("""COMPUTED_VALUE"""),44887.6666666666)</f>
        <v/>
      </c>
      <c r="N1240" s="6">
        <f>IFERROR(__xludf.DUMMYFUNCTION("""COMPUTED_VALUE"""),11174.41)</f>
        <v/>
      </c>
      <c r="R1240" s="6">
        <f>S1240&amp;T1240</f>
        <v/>
      </c>
      <c r="S1240" s="6">
        <f>YEAR(U1240)</f>
        <v/>
      </c>
      <c r="T1240" s="6">
        <f>MONTH(U1240)</f>
        <v/>
      </c>
      <c r="U1240" s="267">
        <f>IFERROR(__xludf.DUMMYFUNCTION("""COMPUTED_VALUE"""),44939.6458333333)</f>
        <v/>
      </c>
      <c r="V1240" s="6">
        <f>IFERROR(__xludf.DUMMYFUNCTION("""COMPUTED_VALUE"""),2386.09)</f>
        <v/>
      </c>
      <c r="Z1240" s="6">
        <f>AA1240&amp;AB1240</f>
        <v/>
      </c>
      <c r="AA1240" s="6">
        <f>YEAR(AC1240)</f>
        <v/>
      </c>
      <c r="AB1240" s="6">
        <f>MONTH(AC1240)</f>
        <v/>
      </c>
      <c r="AC1240" s="267">
        <f>IFERROR(__xludf.DUMMYFUNCTION("""COMPUTED_VALUE"""),44385.9986111111)</f>
        <v/>
      </c>
      <c r="AD1240" s="6">
        <f>IFERROR(__xludf.DUMMYFUNCTION("""COMPUTED_VALUE"""),1146.28)</f>
        <v/>
      </c>
      <c r="AH1240" s="6">
        <f>AI1240&amp;AJ1240</f>
        <v/>
      </c>
      <c r="AI1240" s="6">
        <f>YEAR(AK1240)</f>
        <v/>
      </c>
      <c r="AJ1240" s="6">
        <f>MONTH(AK1240)</f>
        <v/>
      </c>
      <c r="AK1240" s="267">
        <f>IFERROR(__xludf.DUMMYFUNCTION("""COMPUTED_VALUE"""),44333.9986111111)</f>
        <v/>
      </c>
      <c r="AL1240" s="6">
        <f>IFERROR(__xludf.DUMMYFUNCTION("""COMPUTED_VALUE"""),43558.86)</f>
        <v/>
      </c>
      <c r="AP1240" s="6">
        <f>AQ1240&amp;AR1240</f>
        <v/>
      </c>
      <c r="AQ1240" s="6">
        <f>YEAR(AS1240)</f>
        <v/>
      </c>
      <c r="AR1240" s="6">
        <f>MONTH(AS1240)</f>
        <v/>
      </c>
      <c r="AS1240" s="267">
        <f>IFERROR(__xludf.DUMMYFUNCTION("""COMPUTED_VALUE"""),44903.9986111111)</f>
        <v/>
      </c>
      <c r="AT1240" s="6">
        <f>IFERROR(__xludf.DUMMYFUNCTION("""COMPUTED_VALUE"""),1801.5)</f>
        <v/>
      </c>
    </row>
    <row r="1241">
      <c r="B1241" s="6">
        <f>C1241&amp;D1241</f>
        <v/>
      </c>
      <c r="C1241" s="6">
        <f>YEAR(E1241)</f>
        <v/>
      </c>
      <c r="D1241" s="6">
        <f>MONTH(E1241)</f>
        <v/>
      </c>
      <c r="E1241" s="267">
        <f>IFERROR(__xludf.DUMMYFUNCTION("""COMPUTED_VALUE"""),44897.6666666666)</f>
        <v/>
      </c>
      <c r="F1241" s="6">
        <f>IFERROR(__xludf.DUMMYFUNCTION("""COMPUTED_VALUE"""),4071.7)</f>
        <v/>
      </c>
      <c r="J1241" s="6">
        <f>K1241&amp;L1241</f>
        <v/>
      </c>
      <c r="K1241" s="6">
        <f>YEAR(M1241)</f>
        <v/>
      </c>
      <c r="L1241" s="6">
        <f>MONTH(M1241)</f>
        <v/>
      </c>
      <c r="M1241" s="267">
        <f>IFERROR(__xludf.DUMMYFUNCTION("""COMPUTED_VALUE"""),44888.6666666666)</f>
        <v/>
      </c>
      <c r="N1241" s="6">
        <f>IFERROR(__xludf.DUMMYFUNCTION("""COMPUTED_VALUE"""),11285.32)</f>
        <v/>
      </c>
      <c r="R1241" s="6">
        <f>S1241&amp;T1241</f>
        <v/>
      </c>
      <c r="S1241" s="6">
        <f>YEAR(U1241)</f>
        <v/>
      </c>
      <c r="T1241" s="6">
        <f>MONTH(U1241)</f>
        <v/>
      </c>
      <c r="U1241" s="267">
        <f>IFERROR(__xludf.DUMMYFUNCTION("""COMPUTED_VALUE"""),44942.6458333333)</f>
        <v/>
      </c>
      <c r="V1241" s="6">
        <f>IFERROR(__xludf.DUMMYFUNCTION("""COMPUTED_VALUE"""),2399.86)</f>
        <v/>
      </c>
      <c r="Z1241" s="6">
        <f>AA1241&amp;AB1241</f>
        <v/>
      </c>
      <c r="AA1241" s="6">
        <f>YEAR(AC1241)</f>
        <v/>
      </c>
      <c r="AB1241" s="6">
        <f>MONTH(AC1241)</f>
        <v/>
      </c>
      <c r="AC1241" s="267">
        <f>IFERROR(__xludf.DUMMYFUNCTION("""COMPUTED_VALUE"""),44386.9986111111)</f>
        <v/>
      </c>
      <c r="AD1241" s="6">
        <f>IFERROR(__xludf.DUMMYFUNCTION("""COMPUTED_VALUE"""),1144.21)</f>
        <v/>
      </c>
      <c r="AH1241" s="6">
        <f>AI1241&amp;AJ1241</f>
        <v/>
      </c>
      <c r="AI1241" s="6">
        <f>YEAR(AK1241)</f>
        <v/>
      </c>
      <c r="AJ1241" s="6">
        <f>MONTH(AK1241)</f>
        <v/>
      </c>
      <c r="AK1241" s="267">
        <f>IFERROR(__xludf.DUMMYFUNCTION("""COMPUTED_VALUE"""),44334.9986111111)</f>
        <v/>
      </c>
      <c r="AL1241" s="6">
        <f>IFERROR(__xludf.DUMMYFUNCTION("""COMPUTED_VALUE"""),42901.26)</f>
        <v/>
      </c>
      <c r="AP1241" s="6">
        <f>AQ1241&amp;AR1241</f>
        <v/>
      </c>
      <c r="AQ1241" s="6">
        <f>YEAR(AS1241)</f>
        <v/>
      </c>
      <c r="AR1241" s="6">
        <f>MONTH(AS1241)</f>
        <v/>
      </c>
      <c r="AS1241" s="267">
        <f>IFERROR(__xludf.DUMMYFUNCTION("""COMPUTED_VALUE"""),44904.9986111111)</f>
        <v/>
      </c>
      <c r="AT1241" s="6">
        <f>IFERROR(__xludf.DUMMYFUNCTION("""COMPUTED_VALUE"""),1810.7)</f>
        <v/>
      </c>
    </row>
    <row r="1242">
      <c r="B1242" s="6">
        <f>C1242&amp;D1242</f>
        <v/>
      </c>
      <c r="C1242" s="6">
        <f>YEAR(E1242)</f>
        <v/>
      </c>
      <c r="D1242" s="6">
        <f>MONTH(E1242)</f>
        <v/>
      </c>
      <c r="E1242" s="267">
        <f>IFERROR(__xludf.DUMMYFUNCTION("""COMPUTED_VALUE"""),44900.6666666666)</f>
        <v/>
      </c>
      <c r="F1242" s="6">
        <f>IFERROR(__xludf.DUMMYFUNCTION("""COMPUTED_VALUE"""),3998.84)</f>
        <v/>
      </c>
      <c r="J1242" s="6">
        <f>K1242&amp;L1242</f>
        <v/>
      </c>
      <c r="K1242" s="6">
        <f>YEAR(M1242)</f>
        <v/>
      </c>
      <c r="L1242" s="6">
        <f>MONTH(M1242)</f>
        <v/>
      </c>
      <c r="M1242" s="267">
        <f>IFERROR(__xludf.DUMMYFUNCTION("""COMPUTED_VALUE"""),44890.5451388888)</f>
        <v/>
      </c>
      <c r="N1242" s="6">
        <f>IFERROR(__xludf.DUMMYFUNCTION("""COMPUTED_VALUE"""),11226.36)</f>
        <v/>
      </c>
      <c r="R1242" s="6">
        <f>S1242&amp;T1242</f>
        <v/>
      </c>
      <c r="S1242" s="6">
        <f>YEAR(U1242)</f>
        <v/>
      </c>
      <c r="T1242" s="6">
        <f>MONTH(U1242)</f>
        <v/>
      </c>
      <c r="U1242" s="267">
        <f>IFERROR(__xludf.DUMMYFUNCTION("""COMPUTED_VALUE"""),44943.6458333333)</f>
        <v/>
      </c>
      <c r="V1242" s="6">
        <f>IFERROR(__xludf.DUMMYFUNCTION("""COMPUTED_VALUE"""),2379.39)</f>
        <v/>
      </c>
      <c r="Z1242" s="6">
        <f>AA1242&amp;AB1242</f>
        <v/>
      </c>
      <c r="AA1242" s="6">
        <f>YEAR(AC1242)</f>
        <v/>
      </c>
      <c r="AB1242" s="6">
        <f>MONTH(AC1242)</f>
        <v/>
      </c>
      <c r="AC1242" s="267">
        <f>IFERROR(__xludf.DUMMYFUNCTION("""COMPUTED_VALUE"""),44387.9986111111)</f>
        <v/>
      </c>
      <c r="AD1242" s="6">
        <f>IFERROR(__xludf.DUMMYFUNCTION("""COMPUTED_VALUE"""),1143.81)</f>
        <v/>
      </c>
      <c r="AH1242" s="6">
        <f>AI1242&amp;AJ1242</f>
        <v/>
      </c>
      <c r="AI1242" s="6">
        <f>YEAR(AK1242)</f>
        <v/>
      </c>
      <c r="AJ1242" s="6">
        <f>MONTH(AK1242)</f>
        <v/>
      </c>
      <c r="AK1242" s="267">
        <f>IFERROR(__xludf.DUMMYFUNCTION("""COMPUTED_VALUE"""),44335.9986111111)</f>
        <v/>
      </c>
      <c r="AL1242" s="6">
        <f>IFERROR(__xludf.DUMMYFUNCTION("""COMPUTED_VALUE"""),36877.26)</f>
        <v/>
      </c>
      <c r="AP1242" s="6">
        <f>AQ1242&amp;AR1242</f>
        <v/>
      </c>
      <c r="AQ1242" s="6">
        <f>YEAR(AS1242)</f>
        <v/>
      </c>
      <c r="AR1242" s="6">
        <f>MONTH(AS1242)</f>
        <v/>
      </c>
      <c r="AS1242" s="267">
        <f>IFERROR(__xludf.DUMMYFUNCTION("""COMPUTED_VALUE"""),44907.9986111111)</f>
        <v/>
      </c>
      <c r="AT1242" s="6">
        <f>IFERROR(__xludf.DUMMYFUNCTION("""COMPUTED_VALUE"""),1792.3)</f>
        <v/>
      </c>
    </row>
    <row r="1243">
      <c r="B1243" s="6">
        <f>C1243&amp;D1243</f>
        <v/>
      </c>
      <c r="C1243" s="6">
        <f>YEAR(E1243)</f>
        <v/>
      </c>
      <c r="D1243" s="6">
        <f>MONTH(E1243)</f>
        <v/>
      </c>
      <c r="E1243" s="267">
        <f>IFERROR(__xludf.DUMMYFUNCTION("""COMPUTED_VALUE"""),44901.6666666666)</f>
        <v/>
      </c>
      <c r="F1243" s="6">
        <f>IFERROR(__xludf.DUMMYFUNCTION("""COMPUTED_VALUE"""),3941.26)</f>
        <v/>
      </c>
      <c r="J1243" s="6">
        <f>K1243&amp;L1243</f>
        <v/>
      </c>
      <c r="K1243" s="6">
        <f>YEAR(M1243)</f>
        <v/>
      </c>
      <c r="L1243" s="6">
        <f>MONTH(M1243)</f>
        <v/>
      </c>
      <c r="M1243" s="267">
        <f>IFERROR(__xludf.DUMMYFUNCTION("""COMPUTED_VALUE"""),44893.6666666666)</f>
        <v/>
      </c>
      <c r="N1243" s="6">
        <f>IFERROR(__xludf.DUMMYFUNCTION("""COMPUTED_VALUE"""),11049.5)</f>
        <v/>
      </c>
      <c r="R1243" s="6">
        <f>S1243&amp;T1243</f>
        <v/>
      </c>
      <c r="S1243" s="6">
        <f>YEAR(U1243)</f>
        <v/>
      </c>
      <c r="T1243" s="6">
        <f>MONTH(U1243)</f>
        <v/>
      </c>
      <c r="U1243" s="267">
        <f>IFERROR(__xludf.DUMMYFUNCTION("""COMPUTED_VALUE"""),44944.6458333333)</f>
        <v/>
      </c>
      <c r="V1243" s="6">
        <f>IFERROR(__xludf.DUMMYFUNCTION("""COMPUTED_VALUE"""),2368.32)</f>
        <v/>
      </c>
      <c r="Z1243" s="6">
        <f>AA1243&amp;AB1243</f>
        <v/>
      </c>
      <c r="AA1243" s="6">
        <f>YEAR(AC1243)</f>
        <v/>
      </c>
      <c r="AB1243" s="6">
        <f>MONTH(AC1243)</f>
        <v/>
      </c>
      <c r="AC1243" s="267">
        <f>IFERROR(__xludf.DUMMYFUNCTION("""COMPUTED_VALUE"""),44388.9986111111)</f>
        <v/>
      </c>
      <c r="AD1243" s="6">
        <f>IFERROR(__xludf.DUMMYFUNCTION("""COMPUTED_VALUE"""),1144.31)</f>
        <v/>
      </c>
      <c r="AH1243" s="6">
        <f>AI1243&amp;AJ1243</f>
        <v/>
      </c>
      <c r="AI1243" s="6">
        <f>YEAR(AK1243)</f>
        <v/>
      </c>
      <c r="AJ1243" s="6">
        <f>MONTH(AK1243)</f>
        <v/>
      </c>
      <c r="AK1243" s="267">
        <f>IFERROR(__xludf.DUMMYFUNCTION("""COMPUTED_VALUE"""),44336.9986111111)</f>
        <v/>
      </c>
      <c r="AL1243" s="6">
        <f>IFERROR(__xludf.DUMMYFUNCTION("""COMPUTED_VALUE"""),40743.69)</f>
        <v/>
      </c>
      <c r="AP1243" s="6">
        <f>AQ1243&amp;AR1243</f>
        <v/>
      </c>
      <c r="AQ1243" s="6">
        <f>YEAR(AS1243)</f>
        <v/>
      </c>
      <c r="AR1243" s="6">
        <f>MONTH(AS1243)</f>
        <v/>
      </c>
      <c r="AS1243" s="267">
        <f>IFERROR(__xludf.DUMMYFUNCTION("""COMPUTED_VALUE"""),44908.9986111111)</f>
        <v/>
      </c>
      <c r="AT1243" s="6">
        <f>IFERROR(__xludf.DUMMYFUNCTION("""COMPUTED_VALUE"""),1825.5)</f>
        <v/>
      </c>
    </row>
    <row r="1244">
      <c r="B1244" s="6">
        <f>C1244&amp;D1244</f>
        <v/>
      </c>
      <c r="C1244" s="6">
        <f>YEAR(E1244)</f>
        <v/>
      </c>
      <c r="D1244" s="6">
        <f>MONTH(E1244)</f>
        <v/>
      </c>
      <c r="E1244" s="267">
        <f>IFERROR(__xludf.DUMMYFUNCTION("""COMPUTED_VALUE"""),44902.6666666666)</f>
        <v/>
      </c>
      <c r="F1244" s="6">
        <f>IFERROR(__xludf.DUMMYFUNCTION("""COMPUTED_VALUE"""),3933.92)</f>
        <v/>
      </c>
      <c r="J1244" s="6">
        <f>K1244&amp;L1244</f>
        <v/>
      </c>
      <c r="K1244" s="6">
        <f>YEAR(M1244)</f>
        <v/>
      </c>
      <c r="L1244" s="6">
        <f>MONTH(M1244)</f>
        <v/>
      </c>
      <c r="M1244" s="267">
        <f>IFERROR(__xludf.DUMMYFUNCTION("""COMPUTED_VALUE"""),44894.6666666666)</f>
        <v/>
      </c>
      <c r="N1244" s="6">
        <f>IFERROR(__xludf.DUMMYFUNCTION("""COMPUTED_VALUE"""),10983.78)</f>
        <v/>
      </c>
      <c r="R1244" s="6">
        <f>S1244&amp;T1244</f>
        <v/>
      </c>
      <c r="S1244" s="6">
        <f>YEAR(U1244)</f>
        <v/>
      </c>
      <c r="T1244" s="6">
        <f>MONTH(U1244)</f>
        <v/>
      </c>
      <c r="U1244" s="267">
        <f>IFERROR(__xludf.DUMMYFUNCTION("""COMPUTED_VALUE"""),44945.6458333333)</f>
        <v/>
      </c>
      <c r="V1244" s="6">
        <f>IFERROR(__xludf.DUMMYFUNCTION("""COMPUTED_VALUE"""),2380.34)</f>
        <v/>
      </c>
      <c r="Z1244" s="6">
        <f>AA1244&amp;AB1244</f>
        <v/>
      </c>
      <c r="AA1244" s="6">
        <f>YEAR(AC1244)</f>
        <v/>
      </c>
      <c r="AB1244" s="6">
        <f>MONTH(AC1244)</f>
        <v/>
      </c>
      <c r="AC1244" s="267">
        <f>IFERROR(__xludf.DUMMYFUNCTION("""COMPUTED_VALUE"""),44389.9986111111)</f>
        <v/>
      </c>
      <c r="AD1244" s="6">
        <f>IFERROR(__xludf.DUMMYFUNCTION("""COMPUTED_VALUE"""),1141.1)</f>
        <v/>
      </c>
      <c r="AH1244" s="6">
        <f>AI1244&amp;AJ1244</f>
        <v/>
      </c>
      <c r="AI1244" s="6">
        <f>YEAR(AK1244)</f>
        <v/>
      </c>
      <c r="AJ1244" s="6">
        <f>MONTH(AK1244)</f>
        <v/>
      </c>
      <c r="AK1244" s="267">
        <f>IFERROR(__xludf.DUMMYFUNCTION("""COMPUTED_VALUE"""),44337.9986111111)</f>
        <v/>
      </c>
      <c r="AL1244" s="6">
        <f>IFERROR(__xludf.DUMMYFUNCTION("""COMPUTED_VALUE"""),37342.56)</f>
        <v/>
      </c>
      <c r="AP1244" s="6">
        <f>AQ1244&amp;AR1244</f>
        <v/>
      </c>
      <c r="AQ1244" s="6">
        <f>YEAR(AS1244)</f>
        <v/>
      </c>
      <c r="AR1244" s="6">
        <f>MONTH(AS1244)</f>
        <v/>
      </c>
      <c r="AS1244" s="267">
        <f>IFERROR(__xludf.DUMMYFUNCTION("""COMPUTED_VALUE"""),44909.9986111111)</f>
        <v/>
      </c>
      <c r="AT1244" s="6">
        <f>IFERROR(__xludf.DUMMYFUNCTION("""COMPUTED_VALUE"""),1818.7)</f>
        <v/>
      </c>
    </row>
    <row r="1245">
      <c r="B1245" s="6">
        <f>C1245&amp;D1245</f>
        <v/>
      </c>
      <c r="C1245" s="6">
        <f>YEAR(E1245)</f>
        <v/>
      </c>
      <c r="D1245" s="6">
        <f>MONTH(E1245)</f>
        <v/>
      </c>
      <c r="E1245" s="267">
        <f>IFERROR(__xludf.DUMMYFUNCTION("""COMPUTED_VALUE"""),44903.6666666666)</f>
        <v/>
      </c>
      <c r="F1245" s="6">
        <f>IFERROR(__xludf.DUMMYFUNCTION("""COMPUTED_VALUE"""),3963.51)</f>
        <v/>
      </c>
      <c r="J1245" s="6">
        <f>K1245&amp;L1245</f>
        <v/>
      </c>
      <c r="K1245" s="6">
        <f>YEAR(M1245)</f>
        <v/>
      </c>
      <c r="L1245" s="6">
        <f>MONTH(M1245)</f>
        <v/>
      </c>
      <c r="M1245" s="267">
        <f>IFERROR(__xludf.DUMMYFUNCTION("""COMPUTED_VALUE"""),44895.6666666666)</f>
        <v/>
      </c>
      <c r="N1245" s="6">
        <f>IFERROR(__xludf.DUMMYFUNCTION("""COMPUTED_VALUE"""),11468)</f>
        <v/>
      </c>
      <c r="R1245" s="6">
        <f>S1245&amp;T1245</f>
        <v/>
      </c>
      <c r="S1245" s="6">
        <f>YEAR(U1245)</f>
        <v/>
      </c>
      <c r="T1245" s="6">
        <f>MONTH(U1245)</f>
        <v/>
      </c>
      <c r="U1245" s="267">
        <f>IFERROR(__xludf.DUMMYFUNCTION("""COMPUTED_VALUE"""),44946.6458333333)</f>
        <v/>
      </c>
      <c r="V1245" s="6">
        <f>IFERROR(__xludf.DUMMYFUNCTION("""COMPUTED_VALUE"""),2395.26)</f>
        <v/>
      </c>
      <c r="Z1245" s="6">
        <f>AA1245&amp;AB1245</f>
        <v/>
      </c>
      <c r="AA1245" s="6">
        <f>YEAR(AC1245)</f>
        <v/>
      </c>
      <c r="AB1245" s="6">
        <f>MONTH(AC1245)</f>
        <v/>
      </c>
      <c r="AC1245" s="267">
        <f>IFERROR(__xludf.DUMMYFUNCTION("""COMPUTED_VALUE"""),44390.9986111111)</f>
        <v/>
      </c>
      <c r="AD1245" s="6">
        <f>IFERROR(__xludf.DUMMYFUNCTION("""COMPUTED_VALUE"""),1148.7)</f>
        <v/>
      </c>
      <c r="AH1245" s="6">
        <f>AI1245&amp;AJ1245</f>
        <v/>
      </c>
      <c r="AI1245" s="6">
        <f>YEAR(AK1245)</f>
        <v/>
      </c>
      <c r="AJ1245" s="6">
        <f>MONTH(AK1245)</f>
        <v/>
      </c>
      <c r="AK1245" s="267">
        <f>IFERROR(__xludf.DUMMYFUNCTION("""COMPUTED_VALUE"""),44338.9986111111)</f>
        <v/>
      </c>
      <c r="AL1245" s="6">
        <f>IFERROR(__xludf.DUMMYFUNCTION("""COMPUTED_VALUE"""),37482.21)</f>
        <v/>
      </c>
      <c r="AP1245" s="6">
        <f>AQ1245&amp;AR1245</f>
        <v/>
      </c>
      <c r="AQ1245" s="6">
        <f>YEAR(AS1245)</f>
        <v/>
      </c>
      <c r="AR1245" s="6">
        <f>MONTH(AS1245)</f>
        <v/>
      </c>
      <c r="AS1245" s="267">
        <f>IFERROR(__xludf.DUMMYFUNCTION("""COMPUTED_VALUE"""),44910.9986111111)</f>
        <v/>
      </c>
      <c r="AT1245" s="6">
        <f>IFERROR(__xludf.DUMMYFUNCTION("""COMPUTED_VALUE"""),1787.8)</f>
        <v/>
      </c>
    </row>
    <row r="1246">
      <c r="B1246" s="6">
        <f>C1246&amp;D1246</f>
        <v/>
      </c>
      <c r="C1246" s="6">
        <f>YEAR(E1246)</f>
        <v/>
      </c>
      <c r="D1246" s="6">
        <f>MONTH(E1246)</f>
        <v/>
      </c>
      <c r="E1246" s="267">
        <f>IFERROR(__xludf.DUMMYFUNCTION("""COMPUTED_VALUE"""),44904.6666666666)</f>
        <v/>
      </c>
      <c r="F1246" s="6">
        <f>IFERROR(__xludf.DUMMYFUNCTION("""COMPUTED_VALUE"""),3934.38)</f>
        <v/>
      </c>
      <c r="J1246" s="6">
        <f>K1246&amp;L1246</f>
        <v/>
      </c>
      <c r="K1246" s="6">
        <f>YEAR(M1246)</f>
        <v/>
      </c>
      <c r="L1246" s="6">
        <f>MONTH(M1246)</f>
        <v/>
      </c>
      <c r="M1246" s="267">
        <f>IFERROR(__xludf.DUMMYFUNCTION("""COMPUTED_VALUE"""),44896.6666666666)</f>
        <v/>
      </c>
      <c r="N1246" s="6">
        <f>IFERROR(__xludf.DUMMYFUNCTION("""COMPUTED_VALUE"""),11482.45)</f>
        <v/>
      </c>
      <c r="R1246" s="6">
        <f>S1246&amp;T1246</f>
        <v/>
      </c>
      <c r="S1246" s="6">
        <f>YEAR(U1246)</f>
        <v/>
      </c>
      <c r="T1246" s="6">
        <f>MONTH(U1246)</f>
        <v/>
      </c>
      <c r="U1246" s="267">
        <f>IFERROR(__xludf.DUMMYFUNCTION("""COMPUTED_VALUE"""),44951.6458333333)</f>
        <v/>
      </c>
      <c r="V1246" s="6">
        <f>IFERROR(__xludf.DUMMYFUNCTION("""COMPUTED_VALUE"""),2428.57)</f>
        <v/>
      </c>
      <c r="Z1246" s="6">
        <f>AA1246&amp;AB1246</f>
        <v/>
      </c>
      <c r="AA1246" s="6">
        <f>YEAR(AC1246)</f>
        <v/>
      </c>
      <c r="AB1246" s="6">
        <f>MONTH(AC1246)</f>
        <v/>
      </c>
      <c r="AC1246" s="267">
        <f>IFERROR(__xludf.DUMMYFUNCTION("""COMPUTED_VALUE"""),44391.9986111111)</f>
        <v/>
      </c>
      <c r="AD1246" s="6">
        <f>IFERROR(__xludf.DUMMYFUNCTION("""COMPUTED_VALUE"""),1143.41)</f>
        <v/>
      </c>
      <c r="AH1246" s="6">
        <f>AI1246&amp;AJ1246</f>
        <v/>
      </c>
      <c r="AI1246" s="6">
        <f>YEAR(AK1246)</f>
        <v/>
      </c>
      <c r="AJ1246" s="6">
        <f>MONTH(AK1246)</f>
        <v/>
      </c>
      <c r="AK1246" s="267">
        <f>IFERROR(__xludf.DUMMYFUNCTION("""COMPUTED_VALUE"""),44339.9986111111)</f>
        <v/>
      </c>
      <c r="AL1246" s="6">
        <f>IFERROR(__xludf.DUMMYFUNCTION("""COMPUTED_VALUE"""),34707.16)</f>
        <v/>
      </c>
      <c r="AP1246" s="6">
        <f>AQ1246&amp;AR1246</f>
        <v/>
      </c>
      <c r="AQ1246" s="6">
        <f>YEAR(AS1246)</f>
        <v/>
      </c>
      <c r="AR1246" s="6">
        <f>MONTH(AS1246)</f>
        <v/>
      </c>
      <c r="AS1246" s="267">
        <f>IFERROR(__xludf.DUMMYFUNCTION("""COMPUTED_VALUE"""),44911.9986111111)</f>
        <v/>
      </c>
      <c r="AT1246" s="6">
        <f>IFERROR(__xludf.DUMMYFUNCTION("""COMPUTED_VALUE"""),1800.2)</f>
        <v/>
      </c>
    </row>
    <row r="1247">
      <c r="B1247" s="6">
        <f>C1247&amp;D1247</f>
        <v/>
      </c>
      <c r="C1247" s="6">
        <f>YEAR(E1247)</f>
        <v/>
      </c>
      <c r="D1247" s="6">
        <f>MONTH(E1247)</f>
        <v/>
      </c>
      <c r="E1247" s="267">
        <f>IFERROR(__xludf.DUMMYFUNCTION("""COMPUTED_VALUE"""),44907.6666666666)</f>
        <v/>
      </c>
      <c r="F1247" s="6">
        <f>IFERROR(__xludf.DUMMYFUNCTION("""COMPUTED_VALUE"""),3990.56)</f>
        <v/>
      </c>
      <c r="J1247" s="6">
        <f>K1247&amp;L1247</f>
        <v/>
      </c>
      <c r="K1247" s="6">
        <f>YEAR(M1247)</f>
        <v/>
      </c>
      <c r="L1247" s="6">
        <f>MONTH(M1247)</f>
        <v/>
      </c>
      <c r="M1247" s="267">
        <f>IFERROR(__xludf.DUMMYFUNCTION("""COMPUTED_VALUE"""),44897.6666666666)</f>
        <v/>
      </c>
      <c r="N1247" s="6">
        <f>IFERROR(__xludf.DUMMYFUNCTION("""COMPUTED_VALUE"""),11461.5)</f>
        <v/>
      </c>
      <c r="R1247" s="6">
        <f>S1247&amp;T1247</f>
        <v/>
      </c>
      <c r="S1247" s="6">
        <f>YEAR(U1247)</f>
        <v/>
      </c>
      <c r="T1247" s="6">
        <f>MONTH(U1247)</f>
        <v/>
      </c>
      <c r="U1247" s="267">
        <f>IFERROR(__xludf.DUMMYFUNCTION("""COMPUTED_VALUE"""),44952.6458333333)</f>
        <v/>
      </c>
      <c r="V1247" s="6">
        <f>IFERROR(__xludf.DUMMYFUNCTION("""COMPUTED_VALUE"""),2468.65)</f>
        <v/>
      </c>
      <c r="Z1247" s="6">
        <f>AA1247&amp;AB1247</f>
        <v/>
      </c>
      <c r="AA1247" s="6">
        <f>YEAR(AC1247)</f>
        <v/>
      </c>
      <c r="AB1247" s="6">
        <f>MONTH(AC1247)</f>
        <v/>
      </c>
      <c r="AC1247" s="267">
        <f>IFERROR(__xludf.DUMMYFUNCTION("""COMPUTED_VALUE"""),44392.9986111111)</f>
        <v/>
      </c>
      <c r="AD1247" s="6">
        <f>IFERROR(__xludf.DUMMYFUNCTION("""COMPUTED_VALUE"""),1140.12)</f>
        <v/>
      </c>
      <c r="AH1247" s="6">
        <f>AI1247&amp;AJ1247</f>
        <v/>
      </c>
      <c r="AI1247" s="6">
        <f>YEAR(AK1247)</f>
        <v/>
      </c>
      <c r="AJ1247" s="6">
        <f>MONTH(AK1247)</f>
        <v/>
      </c>
      <c r="AK1247" s="267">
        <f>IFERROR(__xludf.DUMMYFUNCTION("""COMPUTED_VALUE"""),44340.9986111111)</f>
        <v/>
      </c>
      <c r="AL1247" s="6">
        <f>IFERROR(__xludf.DUMMYFUNCTION("""COMPUTED_VALUE"""),38751.12)</f>
        <v/>
      </c>
      <c r="AP1247" s="6">
        <f>AQ1247&amp;AR1247</f>
        <v/>
      </c>
      <c r="AQ1247" s="6">
        <f>YEAR(AS1247)</f>
        <v/>
      </c>
      <c r="AR1247" s="6">
        <f>MONTH(AS1247)</f>
        <v/>
      </c>
      <c r="AS1247" s="267">
        <f>IFERROR(__xludf.DUMMYFUNCTION("""COMPUTED_VALUE"""),44914.9986111111)</f>
        <v/>
      </c>
      <c r="AT1247" s="6">
        <f>IFERROR(__xludf.DUMMYFUNCTION("""COMPUTED_VALUE"""),1797.7)</f>
        <v/>
      </c>
    </row>
    <row r="1248">
      <c r="B1248" s="6">
        <f>C1248&amp;D1248</f>
        <v/>
      </c>
      <c r="C1248" s="6">
        <f>YEAR(E1248)</f>
        <v/>
      </c>
      <c r="D1248" s="6">
        <f>MONTH(E1248)</f>
        <v/>
      </c>
      <c r="E1248" s="267">
        <f>IFERROR(__xludf.DUMMYFUNCTION("""COMPUTED_VALUE"""),44908.6666666666)</f>
        <v/>
      </c>
      <c r="F1248" s="6">
        <f>IFERROR(__xludf.DUMMYFUNCTION("""COMPUTED_VALUE"""),4019.65)</f>
        <v/>
      </c>
      <c r="J1248" s="6">
        <f>K1248&amp;L1248</f>
        <v/>
      </c>
      <c r="K1248" s="6">
        <f>YEAR(M1248)</f>
        <v/>
      </c>
      <c r="L1248" s="6">
        <f>MONTH(M1248)</f>
        <v/>
      </c>
      <c r="M1248" s="267">
        <f>IFERROR(__xludf.DUMMYFUNCTION("""COMPUTED_VALUE"""),44900.6666666666)</f>
        <v/>
      </c>
      <c r="N1248" s="6">
        <f>IFERROR(__xludf.DUMMYFUNCTION("""COMPUTED_VALUE"""),11239.94)</f>
        <v/>
      </c>
      <c r="R1248" s="6">
        <f>S1248&amp;T1248</f>
        <v/>
      </c>
      <c r="S1248" s="6">
        <f>YEAR(U1248)</f>
        <v/>
      </c>
      <c r="T1248" s="6">
        <f>MONTH(U1248)</f>
        <v/>
      </c>
      <c r="U1248" s="267">
        <f>IFERROR(__xludf.DUMMYFUNCTION("""COMPUTED_VALUE"""),44953.6458333333)</f>
        <v/>
      </c>
      <c r="V1248" s="6">
        <f>IFERROR(__xludf.DUMMYFUNCTION("""COMPUTED_VALUE"""),2484.02)</f>
        <v/>
      </c>
      <c r="Z1248" s="6">
        <f>AA1248&amp;AB1248</f>
        <v/>
      </c>
      <c r="AA1248" s="6">
        <f>YEAR(AC1248)</f>
        <v/>
      </c>
      <c r="AB1248" s="6">
        <f>MONTH(AC1248)</f>
        <v/>
      </c>
      <c r="AC1248" s="267">
        <f>IFERROR(__xludf.DUMMYFUNCTION("""COMPUTED_VALUE"""),44393.9986111111)</f>
        <v/>
      </c>
      <c r="AD1248" s="6">
        <f>IFERROR(__xludf.DUMMYFUNCTION("""COMPUTED_VALUE"""),1141.4)</f>
        <v/>
      </c>
      <c r="AH1248" s="6">
        <f>AI1248&amp;AJ1248</f>
        <v/>
      </c>
      <c r="AI1248" s="6">
        <f>YEAR(AK1248)</f>
        <v/>
      </c>
      <c r="AJ1248" s="6">
        <f>MONTH(AK1248)</f>
        <v/>
      </c>
      <c r="AK1248" s="267">
        <f>IFERROR(__xludf.DUMMYFUNCTION("""COMPUTED_VALUE"""),44341.9986111111)</f>
        <v/>
      </c>
      <c r="AL1248" s="6">
        <f>IFERROR(__xludf.DUMMYFUNCTION("""COMPUTED_VALUE"""),38373.69)</f>
        <v/>
      </c>
      <c r="AP1248" s="6">
        <f>AQ1248&amp;AR1248</f>
        <v/>
      </c>
      <c r="AQ1248" s="6">
        <f>YEAR(AS1248)</f>
        <v/>
      </c>
      <c r="AR1248" s="6">
        <f>MONTH(AS1248)</f>
        <v/>
      </c>
      <c r="AS1248" s="267">
        <f>IFERROR(__xludf.DUMMYFUNCTION("""COMPUTED_VALUE"""),44915.9986111111)</f>
        <v/>
      </c>
      <c r="AT1248" s="6">
        <f>IFERROR(__xludf.DUMMYFUNCTION("""COMPUTED_VALUE"""),1825.4)</f>
        <v/>
      </c>
    </row>
    <row r="1249">
      <c r="B1249" s="6">
        <f>C1249&amp;D1249</f>
        <v/>
      </c>
      <c r="C1249" s="6">
        <f>YEAR(E1249)</f>
        <v/>
      </c>
      <c r="D1249" s="6">
        <f>MONTH(E1249)</f>
        <v/>
      </c>
      <c r="E1249" s="267">
        <f>IFERROR(__xludf.DUMMYFUNCTION("""COMPUTED_VALUE"""),44909.6666666666)</f>
        <v/>
      </c>
      <c r="F1249" s="6">
        <f>IFERROR(__xludf.DUMMYFUNCTION("""COMPUTED_VALUE"""),3995.32)</f>
        <v/>
      </c>
      <c r="J1249" s="6">
        <f>K1249&amp;L1249</f>
        <v/>
      </c>
      <c r="K1249" s="6">
        <f>YEAR(M1249)</f>
        <v/>
      </c>
      <c r="L1249" s="6">
        <f>MONTH(M1249)</f>
        <v/>
      </c>
      <c r="M1249" s="267">
        <f>IFERROR(__xludf.DUMMYFUNCTION("""COMPUTED_VALUE"""),44901.6666666666)</f>
        <v/>
      </c>
      <c r="N1249" s="6">
        <f>IFERROR(__xludf.DUMMYFUNCTION("""COMPUTED_VALUE"""),11014.89)</f>
        <v/>
      </c>
      <c r="R1249" s="6">
        <f>S1249&amp;T1249</f>
        <v/>
      </c>
      <c r="S1249" s="6">
        <f>YEAR(U1249)</f>
        <v/>
      </c>
      <c r="T1249" s="6">
        <f>MONTH(U1249)</f>
        <v/>
      </c>
      <c r="U1249" s="267">
        <f>IFERROR(__xludf.DUMMYFUNCTION("""COMPUTED_VALUE"""),44956.6458333333)</f>
        <v/>
      </c>
      <c r="V1249" s="6">
        <f>IFERROR(__xludf.DUMMYFUNCTION("""COMPUTED_VALUE"""),2450.47)</f>
        <v/>
      </c>
      <c r="Z1249" s="6">
        <f>AA1249&amp;AB1249</f>
        <v/>
      </c>
      <c r="AA1249" s="6">
        <f>YEAR(AC1249)</f>
        <v/>
      </c>
      <c r="AB1249" s="6">
        <f>MONTH(AC1249)</f>
        <v/>
      </c>
      <c r="AC1249" s="267">
        <f>IFERROR(__xludf.DUMMYFUNCTION("""COMPUTED_VALUE"""),44394.9986111111)</f>
        <v/>
      </c>
      <c r="AD1249" s="6">
        <f>IFERROR(__xludf.DUMMYFUNCTION("""COMPUTED_VALUE"""),1141)</f>
        <v/>
      </c>
      <c r="AH1249" s="6">
        <f>AI1249&amp;AJ1249</f>
        <v/>
      </c>
      <c r="AI1249" s="6">
        <f>YEAR(AK1249)</f>
        <v/>
      </c>
      <c r="AJ1249" s="6">
        <f>MONTH(AK1249)</f>
        <v/>
      </c>
      <c r="AK1249" s="267">
        <f>IFERROR(__xludf.DUMMYFUNCTION("""COMPUTED_VALUE"""),44342.9986111111)</f>
        <v/>
      </c>
      <c r="AL1249" s="6">
        <f>IFERROR(__xludf.DUMMYFUNCTION("""COMPUTED_VALUE"""),39259.6)</f>
        <v/>
      </c>
      <c r="AP1249" s="6">
        <f>AQ1249&amp;AR1249</f>
        <v/>
      </c>
      <c r="AQ1249" s="6">
        <f>YEAR(AS1249)</f>
        <v/>
      </c>
      <c r="AR1249" s="6">
        <f>MONTH(AS1249)</f>
        <v/>
      </c>
      <c r="AS1249" s="267">
        <f>IFERROR(__xludf.DUMMYFUNCTION("""COMPUTED_VALUE"""),44916.9986111111)</f>
        <v/>
      </c>
      <c r="AT1249" s="6">
        <f>IFERROR(__xludf.DUMMYFUNCTION("""COMPUTED_VALUE"""),1825.4)</f>
        <v/>
      </c>
    </row>
    <row r="1250">
      <c r="B1250" s="6">
        <f>C1250&amp;D1250</f>
        <v/>
      </c>
      <c r="C1250" s="6">
        <f>YEAR(E1250)</f>
        <v/>
      </c>
      <c r="D1250" s="6">
        <f>MONTH(E1250)</f>
        <v/>
      </c>
      <c r="E1250" s="267">
        <f>IFERROR(__xludf.DUMMYFUNCTION("""COMPUTED_VALUE"""),44910.6666666666)</f>
        <v/>
      </c>
      <c r="F1250" s="6">
        <f>IFERROR(__xludf.DUMMYFUNCTION("""COMPUTED_VALUE"""),3895.75)</f>
        <v/>
      </c>
      <c r="J1250" s="6">
        <f>K1250&amp;L1250</f>
        <v/>
      </c>
      <c r="K1250" s="6">
        <f>YEAR(M1250)</f>
        <v/>
      </c>
      <c r="L1250" s="6">
        <f>MONTH(M1250)</f>
        <v/>
      </c>
      <c r="M1250" s="267">
        <f>IFERROR(__xludf.DUMMYFUNCTION("""COMPUTED_VALUE"""),44902.6666666666)</f>
        <v/>
      </c>
      <c r="N1250" s="6">
        <f>IFERROR(__xludf.DUMMYFUNCTION("""COMPUTED_VALUE"""),10958.55)</f>
        <v/>
      </c>
      <c r="R1250" s="6">
        <f>S1250&amp;T1250</f>
        <v/>
      </c>
      <c r="S1250" s="6">
        <f>YEAR(U1250)</f>
        <v/>
      </c>
      <c r="T1250" s="6">
        <f>MONTH(U1250)</f>
        <v/>
      </c>
      <c r="U1250" s="267">
        <f>IFERROR(__xludf.DUMMYFUNCTION("""COMPUTED_VALUE"""),44957.6458333333)</f>
        <v/>
      </c>
      <c r="V1250" s="6">
        <f>IFERROR(__xludf.DUMMYFUNCTION("""COMPUTED_VALUE"""),2425.08)</f>
        <v/>
      </c>
      <c r="Z1250" s="6">
        <f>AA1250&amp;AB1250</f>
        <v/>
      </c>
      <c r="AA1250" s="6">
        <f>YEAR(AC1250)</f>
        <v/>
      </c>
      <c r="AB1250" s="6">
        <f>MONTH(AC1250)</f>
        <v/>
      </c>
      <c r="AC1250" s="267">
        <f>IFERROR(__xludf.DUMMYFUNCTION("""COMPUTED_VALUE"""),44395.9986111111)</f>
        <v/>
      </c>
      <c r="AD1250" s="6">
        <f>IFERROR(__xludf.DUMMYFUNCTION("""COMPUTED_VALUE"""),1141.5)</f>
        <v/>
      </c>
      <c r="AH1250" s="6">
        <f>AI1250&amp;AJ1250</f>
        <v/>
      </c>
      <c r="AI1250" s="6">
        <f>YEAR(AK1250)</f>
        <v/>
      </c>
      <c r="AJ1250" s="6">
        <f>MONTH(AK1250)</f>
        <v/>
      </c>
      <c r="AK1250" s="267">
        <f>IFERROR(__xludf.DUMMYFUNCTION("""COMPUTED_VALUE"""),44343.9986111111)</f>
        <v/>
      </c>
      <c r="AL1250" s="6">
        <f>IFERROR(__xludf.DUMMYFUNCTION("""COMPUTED_VALUE"""),38423.84)</f>
        <v/>
      </c>
      <c r="AP1250" s="6">
        <f>AQ1250&amp;AR1250</f>
        <v/>
      </c>
      <c r="AQ1250" s="6">
        <f>YEAR(AS1250)</f>
        <v/>
      </c>
      <c r="AR1250" s="6">
        <f>MONTH(AS1250)</f>
        <v/>
      </c>
      <c r="AS1250" s="267">
        <f>IFERROR(__xludf.DUMMYFUNCTION("""COMPUTED_VALUE"""),44917.9986111111)</f>
        <v/>
      </c>
      <c r="AT1250" s="6">
        <f>IFERROR(__xludf.DUMMYFUNCTION("""COMPUTED_VALUE"""),1795.3)</f>
        <v/>
      </c>
    </row>
    <row r="1251">
      <c r="B1251" s="6">
        <f>C1251&amp;D1251</f>
        <v/>
      </c>
      <c r="C1251" s="6">
        <f>YEAR(E1251)</f>
        <v/>
      </c>
      <c r="D1251" s="6">
        <f>MONTH(E1251)</f>
        <v/>
      </c>
      <c r="E1251" s="267">
        <f>IFERROR(__xludf.DUMMYFUNCTION("""COMPUTED_VALUE"""),44911.6666666666)</f>
        <v/>
      </c>
      <c r="F1251" s="6">
        <f>IFERROR(__xludf.DUMMYFUNCTION("""COMPUTED_VALUE"""),3852.36)</f>
        <v/>
      </c>
      <c r="J1251" s="6">
        <f>K1251&amp;L1251</f>
        <v/>
      </c>
      <c r="K1251" s="6">
        <f>YEAR(M1251)</f>
        <v/>
      </c>
      <c r="L1251" s="6">
        <f>MONTH(M1251)</f>
        <v/>
      </c>
      <c r="M1251" s="267">
        <f>IFERROR(__xludf.DUMMYFUNCTION("""COMPUTED_VALUE"""),44903.6666666666)</f>
        <v/>
      </c>
      <c r="N1251" s="6">
        <f>IFERROR(__xludf.DUMMYFUNCTION("""COMPUTED_VALUE"""),11082)</f>
        <v/>
      </c>
      <c r="R1251" s="6">
        <f>S1251&amp;T1251</f>
        <v/>
      </c>
      <c r="S1251" s="6">
        <f>YEAR(U1251)</f>
        <v/>
      </c>
      <c r="T1251" s="6">
        <f>MONTH(U1251)</f>
        <v/>
      </c>
      <c r="U1251" s="267">
        <f>IFERROR(__xludf.DUMMYFUNCTION("""COMPUTED_VALUE"""),44958.6458333333)</f>
        <v/>
      </c>
      <c r="V1251" s="6">
        <f>IFERROR(__xludf.DUMMYFUNCTION("""COMPUTED_VALUE"""),2449.8)</f>
        <v/>
      </c>
      <c r="Z1251" s="6">
        <f>AA1251&amp;AB1251</f>
        <v/>
      </c>
      <c r="AA1251" s="6">
        <f>YEAR(AC1251)</f>
        <v/>
      </c>
      <c r="AB1251" s="6">
        <f>MONTH(AC1251)</f>
        <v/>
      </c>
      <c r="AC1251" s="267">
        <f>IFERROR(__xludf.DUMMYFUNCTION("""COMPUTED_VALUE"""),44396.9986111111)</f>
        <v/>
      </c>
      <c r="AD1251" s="6">
        <f>IFERROR(__xludf.DUMMYFUNCTION("""COMPUTED_VALUE"""),1150.07)</f>
        <v/>
      </c>
      <c r="AH1251" s="6">
        <f>AI1251&amp;AJ1251</f>
        <v/>
      </c>
      <c r="AI1251" s="6">
        <f>YEAR(AK1251)</f>
        <v/>
      </c>
      <c r="AJ1251" s="6">
        <f>MONTH(AK1251)</f>
        <v/>
      </c>
      <c r="AK1251" s="267">
        <f>IFERROR(__xludf.DUMMYFUNCTION("""COMPUTED_VALUE"""),44344.9986111111)</f>
        <v/>
      </c>
      <c r="AL1251" s="6">
        <f>IFERROR(__xludf.DUMMYFUNCTION("""COMPUTED_VALUE"""),35671.04)</f>
        <v/>
      </c>
      <c r="AP1251" s="6">
        <f>AQ1251&amp;AR1251</f>
        <v/>
      </c>
      <c r="AQ1251" s="6">
        <f>YEAR(AS1251)</f>
        <v/>
      </c>
      <c r="AR1251" s="6">
        <f>MONTH(AS1251)</f>
        <v/>
      </c>
      <c r="AS1251" s="267">
        <f>IFERROR(__xludf.DUMMYFUNCTION("""COMPUTED_VALUE"""),44918.9986111111)</f>
        <v/>
      </c>
      <c r="AT1251" s="6">
        <f>IFERROR(__xludf.DUMMYFUNCTION("""COMPUTED_VALUE"""),1804.2)</f>
        <v/>
      </c>
    </row>
    <row r="1252">
      <c r="B1252" s="6">
        <f>C1252&amp;D1252</f>
        <v/>
      </c>
      <c r="C1252" s="6">
        <f>YEAR(E1252)</f>
        <v/>
      </c>
      <c r="D1252" s="6">
        <f>MONTH(E1252)</f>
        <v/>
      </c>
      <c r="E1252" s="267">
        <f>IFERROR(__xludf.DUMMYFUNCTION("""COMPUTED_VALUE"""),44914.6666666666)</f>
        <v/>
      </c>
      <c r="F1252" s="6">
        <f>IFERROR(__xludf.DUMMYFUNCTION("""COMPUTED_VALUE"""),3817.66)</f>
        <v/>
      </c>
      <c r="J1252" s="6">
        <f>K1252&amp;L1252</f>
        <v/>
      </c>
      <c r="K1252" s="6">
        <f>YEAR(M1252)</f>
        <v/>
      </c>
      <c r="L1252" s="6">
        <f>MONTH(M1252)</f>
        <v/>
      </c>
      <c r="M1252" s="267">
        <f>IFERROR(__xludf.DUMMYFUNCTION("""COMPUTED_VALUE"""),44904.6666666666)</f>
        <v/>
      </c>
      <c r="N1252" s="6">
        <f>IFERROR(__xludf.DUMMYFUNCTION("""COMPUTED_VALUE"""),11004.62)</f>
        <v/>
      </c>
      <c r="R1252" s="6">
        <f>S1252&amp;T1252</f>
        <v/>
      </c>
      <c r="S1252" s="6">
        <f>YEAR(U1252)</f>
        <v/>
      </c>
      <c r="T1252" s="6">
        <f>MONTH(U1252)</f>
        <v/>
      </c>
      <c r="U1252" s="267">
        <f>IFERROR(__xludf.DUMMYFUNCTION("""COMPUTED_VALUE"""),44959.6458333333)</f>
        <v/>
      </c>
      <c r="V1252" s="6">
        <f>IFERROR(__xludf.DUMMYFUNCTION("""COMPUTED_VALUE"""),2468.88)</f>
        <v/>
      </c>
      <c r="Z1252" s="6">
        <f>AA1252&amp;AB1252</f>
        <v/>
      </c>
      <c r="AA1252" s="6">
        <f>YEAR(AC1252)</f>
        <v/>
      </c>
      <c r="AB1252" s="6">
        <f>MONTH(AC1252)</f>
        <v/>
      </c>
      <c r="AC1252" s="267">
        <f>IFERROR(__xludf.DUMMYFUNCTION("""COMPUTED_VALUE"""),44397.9986111111)</f>
        <v/>
      </c>
      <c r="AD1252" s="6">
        <f>IFERROR(__xludf.DUMMYFUNCTION("""COMPUTED_VALUE"""),1147.48)</f>
        <v/>
      </c>
      <c r="AH1252" s="6">
        <f>AI1252&amp;AJ1252</f>
        <v/>
      </c>
      <c r="AI1252" s="6">
        <f>YEAR(AK1252)</f>
        <v/>
      </c>
      <c r="AJ1252" s="6">
        <f>MONTH(AK1252)</f>
        <v/>
      </c>
      <c r="AK1252" s="267">
        <f>IFERROR(__xludf.DUMMYFUNCTION("""COMPUTED_VALUE"""),44345.9986111111)</f>
        <v/>
      </c>
      <c r="AL1252" s="6">
        <f>IFERROR(__xludf.DUMMYFUNCTION("""COMPUTED_VALUE"""),34592.16)</f>
        <v/>
      </c>
      <c r="AP1252" s="6">
        <f>AQ1252&amp;AR1252</f>
        <v/>
      </c>
      <c r="AQ1252" s="6">
        <f>YEAR(AS1252)</f>
        <v/>
      </c>
      <c r="AR1252" s="6">
        <f>MONTH(AS1252)</f>
        <v/>
      </c>
      <c r="AS1252" s="267">
        <f>IFERROR(__xludf.DUMMYFUNCTION("""COMPUTED_VALUE"""),44922.9986111111)</f>
        <v/>
      </c>
      <c r="AT1252" s="6">
        <f>IFERROR(__xludf.DUMMYFUNCTION("""COMPUTED_VALUE"""),1823.1)</f>
        <v/>
      </c>
    </row>
    <row r="1253">
      <c r="B1253" s="6">
        <f>C1253&amp;D1253</f>
        <v/>
      </c>
      <c r="C1253" s="6">
        <f>YEAR(E1253)</f>
        <v/>
      </c>
      <c r="D1253" s="6">
        <f>MONTH(E1253)</f>
        <v/>
      </c>
      <c r="E1253" s="267">
        <f>IFERROR(__xludf.DUMMYFUNCTION("""COMPUTED_VALUE"""),44915.6666666666)</f>
        <v/>
      </c>
      <c r="F1253" s="6">
        <f>IFERROR(__xludf.DUMMYFUNCTION("""COMPUTED_VALUE"""),3821.62)</f>
        <v/>
      </c>
      <c r="J1253" s="6">
        <f>K1253&amp;L1253</f>
        <v/>
      </c>
      <c r="K1253" s="6">
        <f>YEAR(M1253)</f>
        <v/>
      </c>
      <c r="L1253" s="6">
        <f>MONTH(M1253)</f>
        <v/>
      </c>
      <c r="M1253" s="267">
        <f>IFERROR(__xludf.DUMMYFUNCTION("""COMPUTED_VALUE"""),44907.6666666666)</f>
        <v/>
      </c>
      <c r="N1253" s="6">
        <f>IFERROR(__xludf.DUMMYFUNCTION("""COMPUTED_VALUE"""),11143.74)</f>
        <v/>
      </c>
      <c r="R1253" s="6">
        <f>S1253&amp;T1253</f>
        <v/>
      </c>
      <c r="S1253" s="6">
        <f>YEAR(U1253)</f>
        <v/>
      </c>
      <c r="T1253" s="6">
        <f>MONTH(U1253)</f>
        <v/>
      </c>
      <c r="U1253" s="267">
        <f>IFERROR(__xludf.DUMMYFUNCTION("""COMPUTED_VALUE"""),44960.6458333333)</f>
        <v/>
      </c>
      <c r="V1253" s="6">
        <f>IFERROR(__xludf.DUMMYFUNCTION("""COMPUTED_VALUE"""),2480.4)</f>
        <v/>
      </c>
      <c r="Z1253" s="6">
        <f>AA1253&amp;AB1253</f>
        <v/>
      </c>
      <c r="AA1253" s="6">
        <f>YEAR(AC1253)</f>
        <v/>
      </c>
      <c r="AB1253" s="6">
        <f>MONTH(AC1253)</f>
        <v/>
      </c>
      <c r="AC1253" s="267">
        <f>IFERROR(__xludf.DUMMYFUNCTION("""COMPUTED_VALUE"""),44398.9986111111)</f>
        <v/>
      </c>
      <c r="AD1253" s="6">
        <f>IFERROR(__xludf.DUMMYFUNCTION("""COMPUTED_VALUE"""),1148.69)</f>
        <v/>
      </c>
      <c r="AH1253" s="6">
        <f>AI1253&amp;AJ1253</f>
        <v/>
      </c>
      <c r="AI1253" s="6">
        <f>YEAR(AK1253)</f>
        <v/>
      </c>
      <c r="AJ1253" s="6">
        <f>MONTH(AK1253)</f>
        <v/>
      </c>
      <c r="AK1253" s="267">
        <f>IFERROR(__xludf.DUMMYFUNCTION("""COMPUTED_VALUE"""),44346.9986111111)</f>
        <v/>
      </c>
      <c r="AL1253" s="6">
        <f>IFERROR(__xludf.DUMMYFUNCTION("""COMPUTED_VALUE"""),35654.29)</f>
        <v/>
      </c>
      <c r="AP1253" s="6">
        <f>AQ1253&amp;AR1253</f>
        <v/>
      </c>
      <c r="AQ1253" s="6">
        <f>YEAR(AS1253)</f>
        <v/>
      </c>
      <c r="AR1253" s="6">
        <f>MONTH(AS1253)</f>
        <v/>
      </c>
      <c r="AS1253" s="267">
        <f>IFERROR(__xludf.DUMMYFUNCTION("""COMPUTED_VALUE"""),44923.9986111111)</f>
        <v/>
      </c>
      <c r="AT1253" s="6">
        <f>IFERROR(__xludf.DUMMYFUNCTION("""COMPUTED_VALUE"""),1815.8)</f>
        <v/>
      </c>
    </row>
    <row r="1254">
      <c r="B1254" s="6">
        <f>C1254&amp;D1254</f>
        <v/>
      </c>
      <c r="C1254" s="6">
        <f>YEAR(E1254)</f>
        <v/>
      </c>
      <c r="D1254" s="6">
        <f>MONTH(E1254)</f>
        <v/>
      </c>
      <c r="E1254" s="267">
        <f>IFERROR(__xludf.DUMMYFUNCTION("""COMPUTED_VALUE"""),44916.6666666666)</f>
        <v/>
      </c>
      <c r="F1254" s="6">
        <f>IFERROR(__xludf.DUMMYFUNCTION("""COMPUTED_VALUE"""),3878.44)</f>
        <v/>
      </c>
      <c r="J1254" s="6">
        <f>K1254&amp;L1254</f>
        <v/>
      </c>
      <c r="K1254" s="6">
        <f>YEAR(M1254)</f>
        <v/>
      </c>
      <c r="L1254" s="6">
        <f>MONTH(M1254)</f>
        <v/>
      </c>
      <c r="M1254" s="267">
        <f>IFERROR(__xludf.DUMMYFUNCTION("""COMPUTED_VALUE"""),44908.6666666666)</f>
        <v/>
      </c>
      <c r="N1254" s="6">
        <f>IFERROR(__xludf.DUMMYFUNCTION("""COMPUTED_VALUE"""),11256.81)</f>
        <v/>
      </c>
      <c r="R1254" s="6">
        <f>S1254&amp;T1254</f>
        <v/>
      </c>
      <c r="S1254" s="6">
        <f>YEAR(U1254)</f>
        <v/>
      </c>
      <c r="T1254" s="6">
        <f>MONTH(U1254)</f>
        <v/>
      </c>
      <c r="U1254" s="267">
        <f>IFERROR(__xludf.DUMMYFUNCTION("""COMPUTED_VALUE"""),44963.6458333333)</f>
        <v/>
      </c>
      <c r="V1254" s="6">
        <f>IFERROR(__xludf.DUMMYFUNCTION("""COMPUTED_VALUE"""),2438.19)</f>
        <v/>
      </c>
      <c r="Z1254" s="6">
        <f>AA1254&amp;AB1254</f>
        <v/>
      </c>
      <c r="AA1254" s="6">
        <f>YEAR(AC1254)</f>
        <v/>
      </c>
      <c r="AB1254" s="6">
        <f>MONTH(AC1254)</f>
        <v/>
      </c>
      <c r="AC1254" s="267">
        <f>IFERROR(__xludf.DUMMYFUNCTION("""COMPUTED_VALUE"""),44399.9986111111)</f>
        <v/>
      </c>
      <c r="AD1254" s="6">
        <f>IFERROR(__xludf.DUMMYFUNCTION("""COMPUTED_VALUE"""),1149.91)</f>
        <v/>
      </c>
      <c r="AH1254" s="6">
        <f>AI1254&amp;AJ1254</f>
        <v/>
      </c>
      <c r="AI1254" s="6">
        <f>YEAR(AK1254)</f>
        <v/>
      </c>
      <c r="AJ1254" s="6">
        <f>MONTH(AK1254)</f>
        <v/>
      </c>
      <c r="AK1254" s="267">
        <f>IFERROR(__xludf.DUMMYFUNCTION("""COMPUTED_VALUE"""),44347.9986111111)</f>
        <v/>
      </c>
      <c r="AL1254" s="6">
        <f>IFERROR(__xludf.DUMMYFUNCTION("""COMPUTED_VALUE"""),37309.36)</f>
        <v/>
      </c>
      <c r="AP1254" s="6">
        <f>AQ1254&amp;AR1254</f>
        <v/>
      </c>
      <c r="AQ1254" s="6">
        <f>YEAR(AS1254)</f>
        <v/>
      </c>
      <c r="AR1254" s="6">
        <f>MONTH(AS1254)</f>
        <v/>
      </c>
      <c r="AS1254" s="267">
        <f>IFERROR(__xludf.DUMMYFUNCTION("""COMPUTED_VALUE"""),44924.9986111111)</f>
        <v/>
      </c>
      <c r="AT1254" s="6">
        <f>IFERROR(__xludf.DUMMYFUNCTION("""COMPUTED_VALUE"""),1826)</f>
        <v/>
      </c>
    </row>
    <row r="1255">
      <c r="B1255" s="6">
        <f>C1255&amp;D1255</f>
        <v/>
      </c>
      <c r="C1255" s="6">
        <f>YEAR(E1255)</f>
        <v/>
      </c>
      <c r="D1255" s="6">
        <f>MONTH(E1255)</f>
        <v/>
      </c>
      <c r="E1255" s="267">
        <f>IFERROR(__xludf.DUMMYFUNCTION("""COMPUTED_VALUE"""),44917.6666666666)</f>
        <v/>
      </c>
      <c r="F1255" s="6">
        <f>IFERROR(__xludf.DUMMYFUNCTION("""COMPUTED_VALUE"""),3822.39)</f>
        <v/>
      </c>
      <c r="J1255" s="6">
        <f>K1255&amp;L1255</f>
        <v/>
      </c>
      <c r="K1255" s="6">
        <f>YEAR(M1255)</f>
        <v/>
      </c>
      <c r="L1255" s="6">
        <f>MONTH(M1255)</f>
        <v/>
      </c>
      <c r="M1255" s="267">
        <f>IFERROR(__xludf.DUMMYFUNCTION("""COMPUTED_VALUE"""),44909.6666666666)</f>
        <v/>
      </c>
      <c r="N1255" s="6">
        <f>IFERROR(__xludf.DUMMYFUNCTION("""COMPUTED_VALUE"""),11170.89)</f>
        <v/>
      </c>
      <c r="R1255" s="6">
        <f>S1255&amp;T1255</f>
        <v/>
      </c>
      <c r="S1255" s="6">
        <f>YEAR(U1255)</f>
        <v/>
      </c>
      <c r="T1255" s="6">
        <f>MONTH(U1255)</f>
        <v/>
      </c>
      <c r="U1255" s="267">
        <f>IFERROR(__xludf.DUMMYFUNCTION("""COMPUTED_VALUE"""),44964.6458333333)</f>
        <v/>
      </c>
      <c r="V1255" s="6">
        <f>IFERROR(__xludf.DUMMYFUNCTION("""COMPUTED_VALUE"""),2451.71)</f>
        <v/>
      </c>
      <c r="Z1255" s="6">
        <f>AA1255&amp;AB1255</f>
        <v/>
      </c>
      <c r="AA1255" s="6">
        <f>YEAR(AC1255)</f>
        <v/>
      </c>
      <c r="AB1255" s="6">
        <f>MONTH(AC1255)</f>
        <v/>
      </c>
      <c r="AC1255" s="267">
        <f>IFERROR(__xludf.DUMMYFUNCTION("""COMPUTED_VALUE"""),44400.9986111111)</f>
        <v/>
      </c>
      <c r="AD1255" s="6">
        <f>IFERROR(__xludf.DUMMYFUNCTION("""COMPUTED_VALUE"""),1150.82)</f>
        <v/>
      </c>
      <c r="AH1255" s="6">
        <f>AI1255&amp;AJ1255</f>
        <v/>
      </c>
      <c r="AI1255" s="6">
        <f>YEAR(AK1255)</f>
        <v/>
      </c>
      <c r="AJ1255" s="6">
        <f>MONTH(AK1255)</f>
        <v/>
      </c>
      <c r="AK1255" s="267">
        <f>IFERROR(__xludf.DUMMYFUNCTION("""COMPUTED_VALUE"""),44348.9986111111)</f>
        <v/>
      </c>
      <c r="AL1255" s="6">
        <f>IFERROR(__xludf.DUMMYFUNCTION("""COMPUTED_VALUE"""),36682.96)</f>
        <v/>
      </c>
      <c r="AP1255" s="6">
        <f>AQ1255&amp;AR1255</f>
        <v/>
      </c>
      <c r="AQ1255" s="6">
        <f>YEAR(AS1255)</f>
        <v/>
      </c>
      <c r="AR1255" s="6">
        <f>MONTH(AS1255)</f>
        <v/>
      </c>
      <c r="AS1255" s="267">
        <f>IFERROR(__xludf.DUMMYFUNCTION("""COMPUTED_VALUE"""),44925.9986111111)</f>
        <v/>
      </c>
      <c r="AT1255" s="6">
        <f>IFERROR(__xludf.DUMMYFUNCTION("""COMPUTED_VALUE"""),1826.2)</f>
        <v/>
      </c>
    </row>
    <row r="1256">
      <c r="B1256" s="6">
        <f>C1256&amp;D1256</f>
        <v/>
      </c>
      <c r="C1256" s="6">
        <f>YEAR(E1256)</f>
        <v/>
      </c>
      <c r="D1256" s="6">
        <f>MONTH(E1256)</f>
        <v/>
      </c>
      <c r="E1256" s="267">
        <f>IFERROR(__xludf.DUMMYFUNCTION("""COMPUTED_VALUE"""),44918.6666666666)</f>
        <v/>
      </c>
      <c r="F1256" s="6">
        <f>IFERROR(__xludf.DUMMYFUNCTION("""COMPUTED_VALUE"""),3844.82)</f>
        <v/>
      </c>
      <c r="J1256" s="6">
        <f>K1256&amp;L1256</f>
        <v/>
      </c>
      <c r="K1256" s="6">
        <f>YEAR(M1256)</f>
        <v/>
      </c>
      <c r="L1256" s="6">
        <f>MONTH(M1256)</f>
        <v/>
      </c>
      <c r="M1256" s="267">
        <f>IFERROR(__xludf.DUMMYFUNCTION("""COMPUTED_VALUE"""),44910.6666666666)</f>
        <v/>
      </c>
      <c r="N1256" s="6">
        <f>IFERROR(__xludf.DUMMYFUNCTION("""COMPUTED_VALUE"""),10810.53)</f>
        <v/>
      </c>
      <c r="R1256" s="6">
        <f>S1256&amp;T1256</f>
        <v/>
      </c>
      <c r="S1256" s="6">
        <f>YEAR(U1256)</f>
        <v/>
      </c>
      <c r="T1256" s="6">
        <f>MONTH(U1256)</f>
        <v/>
      </c>
      <c r="U1256" s="267">
        <f>IFERROR(__xludf.DUMMYFUNCTION("""COMPUTED_VALUE"""),44965.6458333333)</f>
        <v/>
      </c>
      <c r="V1256" s="6">
        <f>IFERROR(__xludf.DUMMYFUNCTION("""COMPUTED_VALUE"""),2483.64)</f>
        <v/>
      </c>
      <c r="Z1256" s="6">
        <f>AA1256&amp;AB1256</f>
        <v/>
      </c>
      <c r="AA1256" s="6">
        <f>YEAR(AC1256)</f>
        <v/>
      </c>
      <c r="AB1256" s="6">
        <f>MONTH(AC1256)</f>
        <v/>
      </c>
      <c r="AC1256" s="267">
        <f>IFERROR(__xludf.DUMMYFUNCTION("""COMPUTED_VALUE"""),44401.9986111111)</f>
        <v/>
      </c>
      <c r="AD1256" s="6">
        <f>IFERROR(__xludf.DUMMYFUNCTION("""COMPUTED_VALUE"""),1150.22)</f>
        <v/>
      </c>
      <c r="AH1256" s="6">
        <f>AI1256&amp;AJ1256</f>
        <v/>
      </c>
      <c r="AI1256" s="6">
        <f>YEAR(AK1256)</f>
        <v/>
      </c>
      <c r="AJ1256" s="6">
        <f>MONTH(AK1256)</f>
        <v/>
      </c>
      <c r="AK1256" s="267">
        <f>IFERROR(__xludf.DUMMYFUNCTION("""COMPUTED_VALUE"""),44349.9986111111)</f>
        <v/>
      </c>
      <c r="AL1256" s="6">
        <f>IFERROR(__xludf.DUMMYFUNCTION("""COMPUTED_VALUE"""),37572.28)</f>
        <v/>
      </c>
      <c r="AP1256" s="6">
        <f>AQ1256&amp;AR1256</f>
        <v/>
      </c>
      <c r="AQ1256" s="6">
        <f>YEAR(AS1256)</f>
        <v/>
      </c>
      <c r="AR1256" s="6">
        <f>MONTH(AS1256)</f>
        <v/>
      </c>
      <c r="AS1256" s="267">
        <f>IFERROR(__xludf.DUMMYFUNCTION("""COMPUTED_VALUE"""),44929.9986111111)</f>
        <v/>
      </c>
      <c r="AT1256" s="6">
        <f>IFERROR(__xludf.DUMMYFUNCTION("""COMPUTED_VALUE"""),1846.1)</f>
        <v/>
      </c>
    </row>
    <row r="1257">
      <c r="B1257" s="6">
        <f>C1257&amp;D1257</f>
        <v/>
      </c>
      <c r="C1257" s="6">
        <f>YEAR(E1257)</f>
        <v/>
      </c>
      <c r="D1257" s="6">
        <f>MONTH(E1257)</f>
        <v/>
      </c>
      <c r="E1257" s="267">
        <f>IFERROR(__xludf.DUMMYFUNCTION("""COMPUTED_VALUE"""),44922.6666666666)</f>
        <v/>
      </c>
      <c r="F1257" s="6">
        <f>IFERROR(__xludf.DUMMYFUNCTION("""COMPUTED_VALUE"""),3829.25)</f>
        <v/>
      </c>
      <c r="J1257" s="6">
        <f>K1257&amp;L1257</f>
        <v/>
      </c>
      <c r="K1257" s="6">
        <f>YEAR(M1257)</f>
        <v/>
      </c>
      <c r="L1257" s="6">
        <f>MONTH(M1257)</f>
        <v/>
      </c>
      <c r="M1257" s="267">
        <f>IFERROR(__xludf.DUMMYFUNCTION("""COMPUTED_VALUE"""),44911.6666666666)</f>
        <v/>
      </c>
      <c r="N1257" s="6">
        <f>IFERROR(__xludf.DUMMYFUNCTION("""COMPUTED_VALUE"""),10705.41)</f>
        <v/>
      </c>
      <c r="R1257" s="6">
        <f>S1257&amp;T1257</f>
        <v/>
      </c>
      <c r="S1257" s="6">
        <f>YEAR(U1257)</f>
        <v/>
      </c>
      <c r="T1257" s="6">
        <f>MONTH(U1257)</f>
        <v/>
      </c>
      <c r="U1257" s="267">
        <f>IFERROR(__xludf.DUMMYFUNCTION("""COMPUTED_VALUE"""),44966.6458333333)</f>
        <v/>
      </c>
      <c r="V1257" s="6">
        <f>IFERROR(__xludf.DUMMYFUNCTION("""COMPUTED_VALUE"""),2481.52)</f>
        <v/>
      </c>
      <c r="Z1257" s="6">
        <f>AA1257&amp;AB1257</f>
        <v/>
      </c>
      <c r="AA1257" s="6">
        <f>YEAR(AC1257)</f>
        <v/>
      </c>
      <c r="AB1257" s="6">
        <f>MONTH(AC1257)</f>
        <v/>
      </c>
      <c r="AC1257" s="267">
        <f>IFERROR(__xludf.DUMMYFUNCTION("""COMPUTED_VALUE"""),44402.9986111111)</f>
        <v/>
      </c>
      <c r="AD1257" s="6">
        <f>IFERROR(__xludf.DUMMYFUNCTION("""COMPUTED_VALUE"""),1151.12)</f>
        <v/>
      </c>
      <c r="AH1257" s="6">
        <f>AI1257&amp;AJ1257</f>
        <v/>
      </c>
      <c r="AI1257" s="6">
        <f>YEAR(AK1257)</f>
        <v/>
      </c>
      <c r="AJ1257" s="6">
        <f>MONTH(AK1257)</f>
        <v/>
      </c>
      <c r="AK1257" s="267">
        <f>IFERROR(__xludf.DUMMYFUNCTION("""COMPUTED_VALUE"""),44350.9986111111)</f>
        <v/>
      </c>
      <c r="AL1257" s="6">
        <f>IFERROR(__xludf.DUMMYFUNCTION("""COMPUTED_VALUE"""),39184.57)</f>
        <v/>
      </c>
      <c r="AP1257" s="6">
        <f>AQ1257&amp;AR1257</f>
        <v/>
      </c>
      <c r="AQ1257" s="6">
        <f>YEAR(AS1257)</f>
        <v/>
      </c>
      <c r="AR1257" s="6">
        <f>MONTH(AS1257)</f>
        <v/>
      </c>
      <c r="AS1257" s="267">
        <f>IFERROR(__xludf.DUMMYFUNCTION("""COMPUTED_VALUE"""),44930.9986111111)</f>
        <v/>
      </c>
      <c r="AT1257" s="6">
        <f>IFERROR(__xludf.DUMMYFUNCTION("""COMPUTED_VALUE"""),1859)</f>
        <v/>
      </c>
    </row>
    <row r="1258">
      <c r="B1258" s="6">
        <f>C1258&amp;D1258</f>
        <v/>
      </c>
      <c r="C1258" s="6">
        <f>YEAR(E1258)</f>
        <v/>
      </c>
      <c r="D1258" s="6">
        <f>MONTH(E1258)</f>
        <v/>
      </c>
      <c r="E1258" s="267">
        <f>IFERROR(__xludf.DUMMYFUNCTION("""COMPUTED_VALUE"""),44923.6666666666)</f>
        <v/>
      </c>
      <c r="F1258" s="6">
        <f>IFERROR(__xludf.DUMMYFUNCTION("""COMPUTED_VALUE"""),3783.22)</f>
        <v/>
      </c>
      <c r="J1258" s="6">
        <f>K1258&amp;L1258</f>
        <v/>
      </c>
      <c r="K1258" s="6">
        <f>YEAR(M1258)</f>
        <v/>
      </c>
      <c r="L1258" s="6">
        <f>MONTH(M1258)</f>
        <v/>
      </c>
      <c r="M1258" s="267">
        <f>IFERROR(__xludf.DUMMYFUNCTION("""COMPUTED_VALUE"""),44914.6666666666)</f>
        <v/>
      </c>
      <c r="N1258" s="6">
        <f>IFERROR(__xludf.DUMMYFUNCTION("""COMPUTED_VALUE"""),10546.03)</f>
        <v/>
      </c>
      <c r="R1258" s="6">
        <f>S1258&amp;T1258</f>
        <v/>
      </c>
      <c r="S1258" s="6">
        <f>YEAR(U1258)</f>
        <v/>
      </c>
      <c r="T1258" s="6">
        <f>MONTH(U1258)</f>
        <v/>
      </c>
      <c r="U1258" s="267">
        <f>IFERROR(__xludf.DUMMYFUNCTION("""COMPUTED_VALUE"""),44967.6458333333)</f>
        <v/>
      </c>
      <c r="V1258" s="6">
        <f>IFERROR(__xludf.DUMMYFUNCTION("""COMPUTED_VALUE"""),2469.73)</f>
        <v/>
      </c>
      <c r="Z1258" s="6">
        <f>AA1258&amp;AB1258</f>
        <v/>
      </c>
      <c r="AA1258" s="6">
        <f>YEAR(AC1258)</f>
        <v/>
      </c>
      <c r="AB1258" s="6">
        <f>MONTH(AC1258)</f>
        <v/>
      </c>
      <c r="AC1258" s="267">
        <f>IFERROR(__xludf.DUMMYFUNCTION("""COMPUTED_VALUE"""),44403.9986111111)</f>
        <v/>
      </c>
      <c r="AD1258" s="6">
        <f>IFERROR(__xludf.DUMMYFUNCTION("""COMPUTED_VALUE"""),1151.76)</f>
        <v/>
      </c>
      <c r="AH1258" s="6">
        <f>AI1258&amp;AJ1258</f>
        <v/>
      </c>
      <c r="AI1258" s="6">
        <f>YEAR(AK1258)</f>
        <v/>
      </c>
      <c r="AJ1258" s="6">
        <f>MONTH(AK1258)</f>
        <v/>
      </c>
      <c r="AK1258" s="267">
        <f>IFERROR(__xludf.DUMMYFUNCTION("""COMPUTED_VALUE"""),44351.9986111111)</f>
        <v/>
      </c>
      <c r="AL1258" s="6">
        <f>IFERROR(__xludf.DUMMYFUNCTION("""COMPUTED_VALUE"""),36849.84)</f>
        <v/>
      </c>
      <c r="AP1258" s="6">
        <f>AQ1258&amp;AR1258</f>
        <v/>
      </c>
      <c r="AQ1258" s="6">
        <f>YEAR(AS1258)</f>
        <v/>
      </c>
      <c r="AR1258" s="6">
        <f>MONTH(AS1258)</f>
        <v/>
      </c>
      <c r="AS1258" s="267">
        <f>IFERROR(__xludf.DUMMYFUNCTION("""COMPUTED_VALUE"""),44931.9986111111)</f>
        <v/>
      </c>
      <c r="AT1258" s="6">
        <f>IFERROR(__xludf.DUMMYFUNCTION("""COMPUTED_VALUE"""),1840.6)</f>
        <v/>
      </c>
    </row>
    <row r="1259">
      <c r="B1259" s="6">
        <f>C1259&amp;D1259</f>
        <v/>
      </c>
      <c r="C1259" s="6">
        <f>YEAR(E1259)</f>
        <v/>
      </c>
      <c r="D1259" s="6">
        <f>MONTH(E1259)</f>
        <v/>
      </c>
      <c r="E1259" s="267">
        <f>IFERROR(__xludf.DUMMYFUNCTION("""COMPUTED_VALUE"""),44924.6666666666)</f>
        <v/>
      </c>
      <c r="F1259" s="6">
        <f>IFERROR(__xludf.DUMMYFUNCTION("""COMPUTED_VALUE"""),3849.28)</f>
        <v/>
      </c>
      <c r="J1259" s="6">
        <f>K1259&amp;L1259</f>
        <v/>
      </c>
      <c r="K1259" s="6">
        <f>YEAR(M1259)</f>
        <v/>
      </c>
      <c r="L1259" s="6">
        <f>MONTH(M1259)</f>
        <v/>
      </c>
      <c r="M1259" s="267">
        <f>IFERROR(__xludf.DUMMYFUNCTION("""COMPUTED_VALUE"""),44915.6666666666)</f>
        <v/>
      </c>
      <c r="N1259" s="6">
        <f>IFERROR(__xludf.DUMMYFUNCTION("""COMPUTED_VALUE"""),10547.11)</f>
        <v/>
      </c>
      <c r="R1259" s="6">
        <f>S1259&amp;T1259</f>
        <v/>
      </c>
      <c r="S1259" s="6">
        <f>YEAR(U1259)</f>
        <v/>
      </c>
      <c r="T1259" s="6">
        <f>MONTH(U1259)</f>
        <v/>
      </c>
      <c r="U1259" s="267">
        <f>IFERROR(__xludf.DUMMYFUNCTION("""COMPUTED_VALUE"""),44970.6458333333)</f>
        <v/>
      </c>
      <c r="V1259" s="6">
        <f>IFERROR(__xludf.DUMMYFUNCTION("""COMPUTED_VALUE"""),2452.7)</f>
        <v/>
      </c>
      <c r="Z1259" s="6">
        <f>AA1259&amp;AB1259</f>
        <v/>
      </c>
      <c r="AA1259" s="6">
        <f>YEAR(AC1259)</f>
        <v/>
      </c>
      <c r="AB1259" s="6">
        <f>MONTH(AC1259)</f>
        <v/>
      </c>
      <c r="AC1259" s="267">
        <f>IFERROR(__xludf.DUMMYFUNCTION("""COMPUTED_VALUE"""),44404.9986111111)</f>
        <v/>
      </c>
      <c r="AD1259" s="6">
        <f>IFERROR(__xludf.DUMMYFUNCTION("""COMPUTED_VALUE"""),1153.56)</f>
        <v/>
      </c>
      <c r="AH1259" s="6">
        <f>AI1259&amp;AJ1259</f>
        <v/>
      </c>
      <c r="AI1259" s="6">
        <f>YEAR(AK1259)</f>
        <v/>
      </c>
      <c r="AJ1259" s="6">
        <f>MONTH(AK1259)</f>
        <v/>
      </c>
      <c r="AK1259" s="267">
        <f>IFERROR(__xludf.DUMMYFUNCTION("""COMPUTED_VALUE"""),44352.9986111111)</f>
        <v/>
      </c>
      <c r="AL1259" s="6">
        <f>IFERROR(__xludf.DUMMYFUNCTION("""COMPUTED_VALUE"""),35522.9)</f>
        <v/>
      </c>
      <c r="AP1259" s="6">
        <f>AQ1259&amp;AR1259</f>
        <v/>
      </c>
      <c r="AQ1259" s="6">
        <f>YEAR(AS1259)</f>
        <v/>
      </c>
      <c r="AR1259" s="6">
        <f>MONTH(AS1259)</f>
        <v/>
      </c>
      <c r="AS1259" s="267">
        <f>IFERROR(__xludf.DUMMYFUNCTION("""COMPUTED_VALUE"""),44932.9986111111)</f>
        <v/>
      </c>
      <c r="AT1259" s="6">
        <f>IFERROR(__xludf.DUMMYFUNCTION("""COMPUTED_VALUE"""),1869.7)</f>
        <v/>
      </c>
    </row>
    <row r="1260">
      <c r="B1260" s="6">
        <f>C1260&amp;D1260</f>
        <v/>
      </c>
      <c r="C1260" s="6">
        <f>YEAR(E1260)</f>
        <v/>
      </c>
      <c r="D1260" s="6">
        <f>MONTH(E1260)</f>
        <v/>
      </c>
      <c r="E1260" s="267">
        <f>IFERROR(__xludf.DUMMYFUNCTION("""COMPUTED_VALUE"""),44925.6666666666)</f>
        <v/>
      </c>
      <c r="F1260" s="6">
        <f>IFERROR(__xludf.DUMMYFUNCTION("""COMPUTED_VALUE"""),3839.5)</f>
        <v/>
      </c>
      <c r="J1260" s="6">
        <f>K1260&amp;L1260</f>
        <v/>
      </c>
      <c r="K1260" s="6">
        <f>YEAR(M1260)</f>
        <v/>
      </c>
      <c r="L1260" s="6">
        <f>MONTH(M1260)</f>
        <v/>
      </c>
      <c r="M1260" s="267">
        <f>IFERROR(__xludf.DUMMYFUNCTION("""COMPUTED_VALUE"""),44916.6666666666)</f>
        <v/>
      </c>
      <c r="N1260" s="6">
        <f>IFERROR(__xludf.DUMMYFUNCTION("""COMPUTED_VALUE"""),10709.37)</f>
        <v/>
      </c>
      <c r="R1260" s="6">
        <f>S1260&amp;T1260</f>
        <v/>
      </c>
      <c r="S1260" s="6">
        <f>YEAR(U1260)</f>
        <v/>
      </c>
      <c r="T1260" s="6">
        <f>MONTH(U1260)</f>
        <v/>
      </c>
      <c r="U1260" s="267">
        <f>IFERROR(__xludf.DUMMYFUNCTION("""COMPUTED_VALUE"""),44971.6458333333)</f>
        <v/>
      </c>
      <c r="V1260" s="6">
        <f>IFERROR(__xludf.DUMMYFUNCTION("""COMPUTED_VALUE"""),2465.64)</f>
        <v/>
      </c>
      <c r="Z1260" s="6">
        <f>AA1260&amp;AB1260</f>
        <v/>
      </c>
      <c r="AA1260" s="6">
        <f>YEAR(AC1260)</f>
        <v/>
      </c>
      <c r="AB1260" s="6">
        <f>MONTH(AC1260)</f>
        <v/>
      </c>
      <c r="AC1260" s="267">
        <f>IFERROR(__xludf.DUMMYFUNCTION("""COMPUTED_VALUE"""),44405.9986111111)</f>
        <v/>
      </c>
      <c r="AD1260" s="6">
        <f>IFERROR(__xludf.DUMMYFUNCTION("""COMPUTED_VALUE"""),1149.41)</f>
        <v/>
      </c>
      <c r="AH1260" s="6">
        <f>AI1260&amp;AJ1260</f>
        <v/>
      </c>
      <c r="AI1260" s="6">
        <f>YEAR(AK1260)</f>
        <v/>
      </c>
      <c r="AJ1260" s="6">
        <f>MONTH(AK1260)</f>
        <v/>
      </c>
      <c r="AK1260" s="267">
        <f>IFERROR(__xludf.DUMMYFUNCTION("""COMPUTED_VALUE"""),44353.9986111111)</f>
        <v/>
      </c>
      <c r="AL1260" s="6">
        <f>IFERROR(__xludf.DUMMYFUNCTION("""COMPUTED_VALUE"""),35799.29)</f>
        <v/>
      </c>
      <c r="AP1260" s="6">
        <f>AQ1260&amp;AR1260</f>
        <v/>
      </c>
      <c r="AQ1260" s="6">
        <f>YEAR(AS1260)</f>
        <v/>
      </c>
      <c r="AR1260" s="6">
        <f>MONTH(AS1260)</f>
        <v/>
      </c>
      <c r="AS1260" s="267">
        <f>IFERROR(__xludf.DUMMYFUNCTION("""COMPUTED_VALUE"""),44935.9986111111)</f>
        <v/>
      </c>
      <c r="AT1260" s="6">
        <f>IFERROR(__xludf.DUMMYFUNCTION("""COMPUTED_VALUE"""),1877.8)</f>
        <v/>
      </c>
    </row>
    <row r="1261">
      <c r="B1261" s="6">
        <f>C1261&amp;D1261</f>
        <v/>
      </c>
      <c r="C1261" s="6">
        <f>YEAR(E1261)</f>
        <v/>
      </c>
      <c r="D1261" s="6">
        <f>MONTH(E1261)</f>
        <v/>
      </c>
      <c r="E1261" s="267">
        <f>IFERROR(__xludf.DUMMYFUNCTION("""COMPUTED_VALUE"""),44929.6666666666)</f>
        <v/>
      </c>
      <c r="F1261" s="6">
        <f>IFERROR(__xludf.DUMMYFUNCTION("""COMPUTED_VALUE"""),3824.14)</f>
        <v/>
      </c>
      <c r="J1261" s="6">
        <f>K1261&amp;L1261</f>
        <v/>
      </c>
      <c r="K1261" s="6">
        <f>YEAR(M1261)</f>
        <v/>
      </c>
      <c r="L1261" s="6">
        <f>MONTH(M1261)</f>
        <v/>
      </c>
      <c r="M1261" s="267">
        <f>IFERROR(__xludf.DUMMYFUNCTION("""COMPUTED_VALUE"""),44917.6666666666)</f>
        <v/>
      </c>
      <c r="N1261" s="6">
        <f>IFERROR(__xludf.DUMMYFUNCTION("""COMPUTED_VALUE"""),10476.12)</f>
        <v/>
      </c>
      <c r="R1261" s="6">
        <f>S1261&amp;T1261</f>
        <v/>
      </c>
      <c r="S1261" s="6">
        <f>YEAR(U1261)</f>
        <v/>
      </c>
      <c r="T1261" s="6">
        <f>MONTH(U1261)</f>
        <v/>
      </c>
      <c r="U1261" s="267">
        <f>IFERROR(__xludf.DUMMYFUNCTION("""COMPUTED_VALUE"""),44972.6458333333)</f>
        <v/>
      </c>
      <c r="V1261" s="6">
        <f>IFERROR(__xludf.DUMMYFUNCTION("""COMPUTED_VALUE"""),2427.9)</f>
        <v/>
      </c>
      <c r="Z1261" s="6">
        <f>AA1261&amp;AB1261</f>
        <v/>
      </c>
      <c r="AA1261" s="6">
        <f>YEAR(AC1261)</f>
        <v/>
      </c>
      <c r="AB1261" s="6">
        <f>MONTH(AC1261)</f>
        <v/>
      </c>
      <c r="AC1261" s="267">
        <f>IFERROR(__xludf.DUMMYFUNCTION("""COMPUTED_VALUE"""),44406.9986111111)</f>
        <v/>
      </c>
      <c r="AD1261" s="6">
        <f>IFERROR(__xludf.DUMMYFUNCTION("""COMPUTED_VALUE"""),1142.12)</f>
        <v/>
      </c>
      <c r="AH1261" s="6">
        <f>AI1261&amp;AJ1261</f>
        <v/>
      </c>
      <c r="AI1261" s="6">
        <f>YEAR(AK1261)</f>
        <v/>
      </c>
      <c r="AJ1261" s="6">
        <f>MONTH(AK1261)</f>
        <v/>
      </c>
      <c r="AK1261" s="267">
        <f>IFERROR(__xludf.DUMMYFUNCTION("""COMPUTED_VALUE"""),44354.9986111111)</f>
        <v/>
      </c>
      <c r="AL1261" s="6">
        <f>IFERROR(__xludf.DUMMYFUNCTION("""COMPUTED_VALUE"""),33577.22)</f>
        <v/>
      </c>
      <c r="AP1261" s="6">
        <f>AQ1261&amp;AR1261</f>
        <v/>
      </c>
      <c r="AQ1261" s="6">
        <f>YEAR(AS1261)</f>
        <v/>
      </c>
      <c r="AR1261" s="6">
        <f>MONTH(AS1261)</f>
        <v/>
      </c>
      <c r="AS1261" s="267">
        <f>IFERROR(__xludf.DUMMYFUNCTION("""COMPUTED_VALUE"""),44936.9986111111)</f>
        <v/>
      </c>
      <c r="AT1261" s="6">
        <f>IFERROR(__xludf.DUMMYFUNCTION("""COMPUTED_VALUE"""),1876.5)</f>
        <v/>
      </c>
    </row>
    <row r="1262">
      <c r="B1262" s="6">
        <f>C1262&amp;D1262</f>
        <v/>
      </c>
      <c r="C1262" s="6">
        <f>YEAR(E1262)</f>
        <v/>
      </c>
      <c r="D1262" s="6">
        <f>MONTH(E1262)</f>
        <v/>
      </c>
      <c r="E1262" s="267">
        <f>IFERROR(__xludf.DUMMYFUNCTION("""COMPUTED_VALUE"""),44930.6666666666)</f>
        <v/>
      </c>
      <c r="F1262" s="6">
        <f>IFERROR(__xludf.DUMMYFUNCTION("""COMPUTED_VALUE"""),3852.97)</f>
        <v/>
      </c>
      <c r="J1262" s="6">
        <f>K1262&amp;L1262</f>
        <v/>
      </c>
      <c r="K1262" s="6">
        <f>YEAR(M1262)</f>
        <v/>
      </c>
      <c r="L1262" s="6">
        <f>MONTH(M1262)</f>
        <v/>
      </c>
      <c r="M1262" s="267">
        <f>IFERROR(__xludf.DUMMYFUNCTION("""COMPUTED_VALUE"""),44918.6666666666)</f>
        <v/>
      </c>
      <c r="N1262" s="6">
        <f>IFERROR(__xludf.DUMMYFUNCTION("""COMPUTED_VALUE"""),10497.86)</f>
        <v/>
      </c>
      <c r="R1262" s="6">
        <f>S1262&amp;T1262</f>
        <v/>
      </c>
      <c r="S1262" s="6">
        <f>YEAR(U1262)</f>
        <v/>
      </c>
      <c r="T1262" s="6">
        <f>MONTH(U1262)</f>
        <v/>
      </c>
      <c r="U1262" s="267">
        <f>IFERROR(__xludf.DUMMYFUNCTION("""COMPUTED_VALUE"""),44973.6458333333)</f>
        <v/>
      </c>
      <c r="V1262" s="6">
        <f>IFERROR(__xludf.DUMMYFUNCTION("""COMPUTED_VALUE"""),2475.48)</f>
        <v/>
      </c>
      <c r="Z1262" s="6">
        <f>AA1262&amp;AB1262</f>
        <v/>
      </c>
      <c r="AA1262" s="6">
        <f>YEAR(AC1262)</f>
        <v/>
      </c>
      <c r="AB1262" s="6">
        <f>MONTH(AC1262)</f>
        <v/>
      </c>
      <c r="AC1262" s="267">
        <f>IFERROR(__xludf.DUMMYFUNCTION("""COMPUTED_VALUE"""),44407.9986111111)</f>
        <v/>
      </c>
      <c r="AD1262" s="6">
        <f>IFERROR(__xludf.DUMMYFUNCTION("""COMPUTED_VALUE"""),1150.63)</f>
        <v/>
      </c>
      <c r="AH1262" s="6">
        <f>AI1262&amp;AJ1262</f>
        <v/>
      </c>
      <c r="AI1262" s="6">
        <f>YEAR(AK1262)</f>
        <v/>
      </c>
      <c r="AJ1262" s="6">
        <f>MONTH(AK1262)</f>
        <v/>
      </c>
      <c r="AK1262" s="267">
        <f>IFERROR(__xludf.DUMMYFUNCTION("""COMPUTED_VALUE"""),44355.9986111111)</f>
        <v/>
      </c>
      <c r="AL1262" s="6">
        <f>IFERROR(__xludf.DUMMYFUNCTION("""COMPUTED_VALUE"""),33407.84)</f>
        <v/>
      </c>
      <c r="AP1262" s="6">
        <f>AQ1262&amp;AR1262</f>
        <v/>
      </c>
      <c r="AQ1262" s="6">
        <f>YEAR(AS1262)</f>
        <v/>
      </c>
      <c r="AR1262" s="6">
        <f>MONTH(AS1262)</f>
        <v/>
      </c>
      <c r="AS1262" s="267">
        <f>IFERROR(__xludf.DUMMYFUNCTION("""COMPUTED_VALUE"""),44937.9986111111)</f>
        <v/>
      </c>
      <c r="AT1262" s="6">
        <f>IFERROR(__xludf.DUMMYFUNCTION("""COMPUTED_VALUE"""),1878.9)</f>
        <v/>
      </c>
    </row>
    <row r="1263">
      <c r="B1263" s="6">
        <f>C1263&amp;D1263</f>
        <v/>
      </c>
      <c r="C1263" s="6">
        <f>YEAR(E1263)</f>
        <v/>
      </c>
      <c r="D1263" s="6">
        <f>MONTH(E1263)</f>
        <v/>
      </c>
      <c r="E1263" s="267">
        <f>IFERROR(__xludf.DUMMYFUNCTION("""COMPUTED_VALUE"""),44931.6666666666)</f>
        <v/>
      </c>
      <c r="F1263" s="6">
        <f>IFERROR(__xludf.DUMMYFUNCTION("""COMPUTED_VALUE"""),3808.1)</f>
        <v/>
      </c>
      <c r="J1263" s="6">
        <f>K1263&amp;L1263</f>
        <v/>
      </c>
      <c r="K1263" s="6">
        <f>YEAR(M1263)</f>
        <v/>
      </c>
      <c r="L1263" s="6">
        <f>MONTH(M1263)</f>
        <v/>
      </c>
      <c r="M1263" s="267">
        <f>IFERROR(__xludf.DUMMYFUNCTION("""COMPUTED_VALUE"""),44922.6666666666)</f>
        <v/>
      </c>
      <c r="N1263" s="6">
        <f>IFERROR(__xludf.DUMMYFUNCTION("""COMPUTED_VALUE"""),10353.23)</f>
        <v/>
      </c>
      <c r="R1263" s="6">
        <f>S1263&amp;T1263</f>
        <v/>
      </c>
      <c r="S1263" s="6">
        <f>YEAR(U1263)</f>
        <v/>
      </c>
      <c r="T1263" s="6">
        <f>MONTH(U1263)</f>
        <v/>
      </c>
      <c r="U1263" s="267">
        <f>IFERROR(__xludf.DUMMYFUNCTION("""COMPUTED_VALUE"""),44974.6458333333)</f>
        <v/>
      </c>
      <c r="V1263" s="6">
        <f>IFERROR(__xludf.DUMMYFUNCTION("""COMPUTED_VALUE"""),2451.21)</f>
        <v/>
      </c>
      <c r="Z1263" s="6">
        <f>AA1263&amp;AB1263</f>
        <v/>
      </c>
      <c r="AA1263" s="6">
        <f>YEAR(AC1263)</f>
        <v/>
      </c>
      <c r="AB1263" s="6">
        <f>MONTH(AC1263)</f>
        <v/>
      </c>
      <c r="AC1263" s="267">
        <f>IFERROR(__xludf.DUMMYFUNCTION("""COMPUTED_VALUE"""),44408.9986111111)</f>
        <v/>
      </c>
      <c r="AD1263" s="6">
        <f>IFERROR(__xludf.DUMMYFUNCTION("""COMPUTED_VALUE"""),1150.63)</f>
        <v/>
      </c>
      <c r="AH1263" s="6">
        <f>AI1263&amp;AJ1263</f>
        <v/>
      </c>
      <c r="AI1263" s="6">
        <f>YEAR(AK1263)</f>
        <v/>
      </c>
      <c r="AJ1263" s="6">
        <f>MONTH(AK1263)</f>
        <v/>
      </c>
      <c r="AK1263" s="267">
        <f>IFERROR(__xludf.DUMMYFUNCTION("""COMPUTED_VALUE"""),44356.9986111111)</f>
        <v/>
      </c>
      <c r="AL1263" s="6">
        <f>IFERROR(__xludf.DUMMYFUNCTION("""COMPUTED_VALUE"""),37341.97)</f>
        <v/>
      </c>
      <c r="AP1263" s="6">
        <f>AQ1263&amp;AR1263</f>
        <v/>
      </c>
      <c r="AQ1263" s="6">
        <f>YEAR(AS1263)</f>
        <v/>
      </c>
      <c r="AR1263" s="6">
        <f>MONTH(AS1263)</f>
        <v/>
      </c>
      <c r="AS1263" s="267">
        <f>IFERROR(__xludf.DUMMYFUNCTION("""COMPUTED_VALUE"""),44938.9986111111)</f>
        <v/>
      </c>
      <c r="AT1263" s="6">
        <f>IFERROR(__xludf.DUMMYFUNCTION("""COMPUTED_VALUE"""),1898.8)</f>
        <v/>
      </c>
    </row>
    <row r="1264">
      <c r="B1264" s="6">
        <f>C1264&amp;D1264</f>
        <v/>
      </c>
      <c r="C1264" s="6">
        <f>YEAR(E1264)</f>
        <v/>
      </c>
      <c r="D1264" s="6">
        <f>MONTH(E1264)</f>
        <v/>
      </c>
      <c r="E1264" s="267">
        <f>IFERROR(__xludf.DUMMYFUNCTION("""COMPUTED_VALUE"""),44932.6666666666)</f>
        <v/>
      </c>
      <c r="F1264" s="6">
        <f>IFERROR(__xludf.DUMMYFUNCTION("""COMPUTED_VALUE"""),3895.08)</f>
        <v/>
      </c>
      <c r="J1264" s="6">
        <f>K1264&amp;L1264</f>
        <v/>
      </c>
      <c r="K1264" s="6">
        <f>YEAR(M1264)</f>
        <v/>
      </c>
      <c r="L1264" s="6">
        <f>MONTH(M1264)</f>
        <v/>
      </c>
      <c r="M1264" s="267">
        <f>IFERROR(__xludf.DUMMYFUNCTION("""COMPUTED_VALUE"""),44923.6666666666)</f>
        <v/>
      </c>
      <c r="N1264" s="6">
        <f>IFERROR(__xludf.DUMMYFUNCTION("""COMPUTED_VALUE"""),10213.29)</f>
        <v/>
      </c>
      <c r="R1264" s="6">
        <f>S1264&amp;T1264</f>
        <v/>
      </c>
      <c r="S1264" s="6">
        <f>YEAR(U1264)</f>
        <v/>
      </c>
      <c r="T1264" s="6">
        <f>MONTH(U1264)</f>
        <v/>
      </c>
      <c r="U1264" s="267">
        <f>IFERROR(__xludf.DUMMYFUNCTION("""COMPUTED_VALUE"""),44977.6458333333)</f>
        <v/>
      </c>
      <c r="V1264" s="6">
        <f>IFERROR(__xludf.DUMMYFUNCTION("""COMPUTED_VALUE"""),2455.12)</f>
        <v/>
      </c>
      <c r="Z1264" s="6">
        <f>AA1264&amp;AB1264</f>
        <v/>
      </c>
      <c r="AA1264" s="6">
        <f>YEAR(AC1264)</f>
        <v/>
      </c>
      <c r="AB1264" s="6">
        <f>MONTH(AC1264)</f>
        <v/>
      </c>
      <c r="AC1264" s="267">
        <f>IFERROR(__xludf.DUMMYFUNCTION("""COMPUTED_VALUE"""),44409.9986111111)</f>
        <v/>
      </c>
      <c r="AD1264" s="6">
        <f>IFERROR(__xludf.DUMMYFUNCTION("""COMPUTED_VALUE"""),1150.93)</f>
        <v/>
      </c>
      <c r="AH1264" s="6">
        <f>AI1264&amp;AJ1264</f>
        <v/>
      </c>
      <c r="AI1264" s="6">
        <f>YEAR(AK1264)</f>
        <v/>
      </c>
      <c r="AJ1264" s="6">
        <f>MONTH(AK1264)</f>
        <v/>
      </c>
      <c r="AK1264" s="267">
        <f>IFERROR(__xludf.DUMMYFUNCTION("""COMPUTED_VALUE"""),44357.9986111111)</f>
        <v/>
      </c>
      <c r="AL1264" s="6">
        <f>IFERROR(__xludf.DUMMYFUNCTION("""COMPUTED_VALUE"""),36641.08)</f>
        <v/>
      </c>
      <c r="AP1264" s="6">
        <f>AQ1264&amp;AR1264</f>
        <v/>
      </c>
      <c r="AQ1264" s="6">
        <f>YEAR(AS1264)</f>
        <v/>
      </c>
      <c r="AR1264" s="6">
        <f>MONTH(AS1264)</f>
        <v/>
      </c>
      <c r="AS1264" s="267">
        <f>IFERROR(__xludf.DUMMYFUNCTION("""COMPUTED_VALUE"""),44939.9986111111)</f>
        <v/>
      </c>
      <c r="AT1264" s="6">
        <f>IFERROR(__xludf.DUMMYFUNCTION("""COMPUTED_VALUE"""),1921.7)</f>
        <v/>
      </c>
    </row>
    <row r="1265">
      <c r="B1265" s="6">
        <f>C1265&amp;D1265</f>
        <v/>
      </c>
      <c r="C1265" s="6">
        <f>YEAR(E1265)</f>
        <v/>
      </c>
      <c r="D1265" s="6">
        <f>MONTH(E1265)</f>
        <v/>
      </c>
      <c r="E1265" s="267">
        <f>IFERROR(__xludf.DUMMYFUNCTION("""COMPUTED_VALUE"""),44935.6666666666)</f>
        <v/>
      </c>
      <c r="F1265" s="6">
        <f>IFERROR(__xludf.DUMMYFUNCTION("""COMPUTED_VALUE"""),3892.09)</f>
        <v/>
      </c>
      <c r="J1265" s="6">
        <f>K1265&amp;L1265</f>
        <v/>
      </c>
      <c r="K1265" s="6">
        <f>YEAR(M1265)</f>
        <v/>
      </c>
      <c r="L1265" s="6">
        <f>MONTH(M1265)</f>
        <v/>
      </c>
      <c r="M1265" s="267">
        <f>IFERROR(__xludf.DUMMYFUNCTION("""COMPUTED_VALUE"""),44924.6666666666)</f>
        <v/>
      </c>
      <c r="N1265" s="6">
        <f>IFERROR(__xludf.DUMMYFUNCTION("""COMPUTED_VALUE"""),10478.09)</f>
        <v/>
      </c>
      <c r="R1265" s="6">
        <f>S1265&amp;T1265</f>
        <v/>
      </c>
      <c r="S1265" s="6">
        <f>YEAR(U1265)</f>
        <v/>
      </c>
      <c r="T1265" s="6">
        <f>MONTH(U1265)</f>
        <v/>
      </c>
      <c r="U1265" s="267">
        <f>IFERROR(__xludf.DUMMYFUNCTION("""COMPUTED_VALUE"""),44978.6458333333)</f>
        <v/>
      </c>
      <c r="V1265" s="6">
        <f>IFERROR(__xludf.DUMMYFUNCTION("""COMPUTED_VALUE"""),2458.96)</f>
        <v/>
      </c>
      <c r="Z1265" s="6">
        <f>AA1265&amp;AB1265</f>
        <v/>
      </c>
      <c r="AA1265" s="6">
        <f>YEAR(AC1265)</f>
        <v/>
      </c>
      <c r="AB1265" s="6">
        <f>MONTH(AC1265)</f>
        <v/>
      </c>
      <c r="AC1265" s="267">
        <f>IFERROR(__xludf.DUMMYFUNCTION("""COMPUTED_VALUE"""),44410.9986111111)</f>
        <v/>
      </c>
      <c r="AD1265" s="6">
        <f>IFERROR(__xludf.DUMMYFUNCTION("""COMPUTED_VALUE"""),1149.56)</f>
        <v/>
      </c>
      <c r="AH1265" s="6">
        <f>AI1265&amp;AJ1265</f>
        <v/>
      </c>
      <c r="AI1265" s="6">
        <f>YEAR(AK1265)</f>
        <v/>
      </c>
      <c r="AJ1265" s="6">
        <f>MONTH(AK1265)</f>
        <v/>
      </c>
      <c r="AK1265" s="267">
        <f>IFERROR(__xludf.DUMMYFUNCTION("""COMPUTED_VALUE"""),44358.9986111111)</f>
        <v/>
      </c>
      <c r="AL1265" s="6">
        <f>IFERROR(__xludf.DUMMYFUNCTION("""COMPUTED_VALUE"""),37333.82)</f>
        <v/>
      </c>
      <c r="AP1265" s="6">
        <f>AQ1265&amp;AR1265</f>
        <v/>
      </c>
      <c r="AQ1265" s="6">
        <f>YEAR(AS1265)</f>
        <v/>
      </c>
      <c r="AR1265" s="6">
        <f>MONTH(AS1265)</f>
        <v/>
      </c>
      <c r="AS1265" s="267">
        <f>IFERROR(__xludf.DUMMYFUNCTION("""COMPUTED_VALUE"""),44943.9986111111)</f>
        <v/>
      </c>
      <c r="AT1265" s="6">
        <f>IFERROR(__xludf.DUMMYFUNCTION("""COMPUTED_VALUE"""),1909.9)</f>
        <v/>
      </c>
    </row>
    <row r="1266">
      <c r="B1266" s="6">
        <f>C1266&amp;D1266</f>
        <v/>
      </c>
      <c r="C1266" s="6">
        <f>YEAR(E1266)</f>
        <v/>
      </c>
      <c r="D1266" s="6">
        <f>MONTH(E1266)</f>
        <v/>
      </c>
      <c r="E1266" s="267">
        <f>IFERROR(__xludf.DUMMYFUNCTION("""COMPUTED_VALUE"""),44936.6666666666)</f>
        <v/>
      </c>
      <c r="F1266" s="6">
        <f>IFERROR(__xludf.DUMMYFUNCTION("""COMPUTED_VALUE"""),3919.25)</f>
        <v/>
      </c>
      <c r="J1266" s="6">
        <f>K1266&amp;L1266</f>
        <v/>
      </c>
      <c r="K1266" s="6">
        <f>YEAR(M1266)</f>
        <v/>
      </c>
      <c r="L1266" s="6">
        <f>MONTH(M1266)</f>
        <v/>
      </c>
      <c r="M1266" s="267">
        <f>IFERROR(__xludf.DUMMYFUNCTION("""COMPUTED_VALUE"""),44925.6666666666)</f>
        <v/>
      </c>
      <c r="N1266" s="6">
        <f>IFERROR(__xludf.DUMMYFUNCTION("""COMPUTED_VALUE"""),10466.48)</f>
        <v/>
      </c>
      <c r="R1266" s="6">
        <f>S1266&amp;T1266</f>
        <v/>
      </c>
      <c r="S1266" s="6">
        <f>YEAR(U1266)</f>
        <v/>
      </c>
      <c r="T1266" s="6">
        <f>MONTH(U1266)</f>
        <v/>
      </c>
      <c r="U1266" s="267">
        <f>IFERROR(__xludf.DUMMYFUNCTION("""COMPUTED_VALUE"""),44979.6458333333)</f>
        <v/>
      </c>
      <c r="V1266" s="6">
        <f>IFERROR(__xludf.DUMMYFUNCTION("""COMPUTED_VALUE"""),2417.68)</f>
        <v/>
      </c>
      <c r="Z1266" s="6">
        <f>AA1266&amp;AB1266</f>
        <v/>
      </c>
      <c r="AA1266" s="6">
        <f>YEAR(AC1266)</f>
        <v/>
      </c>
      <c r="AB1266" s="6">
        <f>MONTH(AC1266)</f>
        <v/>
      </c>
      <c r="AC1266" s="267">
        <f>IFERROR(__xludf.DUMMYFUNCTION("""COMPUTED_VALUE"""),44411.9986111111)</f>
        <v/>
      </c>
      <c r="AD1266" s="6">
        <f>IFERROR(__xludf.DUMMYFUNCTION("""COMPUTED_VALUE"""),1148.58)</f>
        <v/>
      </c>
      <c r="AH1266" s="6">
        <f>AI1266&amp;AJ1266</f>
        <v/>
      </c>
      <c r="AI1266" s="6">
        <f>YEAR(AK1266)</f>
        <v/>
      </c>
      <c r="AJ1266" s="6">
        <f>MONTH(AK1266)</f>
        <v/>
      </c>
      <c r="AK1266" s="267">
        <f>IFERROR(__xludf.DUMMYFUNCTION("""COMPUTED_VALUE"""),44359.9986111111)</f>
        <v/>
      </c>
      <c r="AL1266" s="6">
        <f>IFERROR(__xludf.DUMMYFUNCTION("""COMPUTED_VALUE"""),35479.57)</f>
        <v/>
      </c>
      <c r="AP1266" s="6">
        <f>AQ1266&amp;AR1266</f>
        <v/>
      </c>
      <c r="AQ1266" s="6">
        <f>YEAR(AS1266)</f>
        <v/>
      </c>
      <c r="AR1266" s="6">
        <f>MONTH(AS1266)</f>
        <v/>
      </c>
      <c r="AS1266" s="267">
        <f>IFERROR(__xludf.DUMMYFUNCTION("""COMPUTED_VALUE"""),44944.9986111111)</f>
        <v/>
      </c>
      <c r="AT1266" s="6">
        <f>IFERROR(__xludf.DUMMYFUNCTION("""COMPUTED_VALUE"""),1907)</f>
        <v/>
      </c>
    </row>
    <row r="1267">
      <c r="B1267" s="6">
        <f>C1267&amp;D1267</f>
        <v/>
      </c>
      <c r="C1267" s="6">
        <f>YEAR(E1267)</f>
        <v/>
      </c>
      <c r="D1267" s="6">
        <f>MONTH(E1267)</f>
        <v/>
      </c>
      <c r="E1267" s="267">
        <f>IFERROR(__xludf.DUMMYFUNCTION("""COMPUTED_VALUE"""),44937.6666666666)</f>
        <v/>
      </c>
      <c r="F1267" s="6">
        <f>IFERROR(__xludf.DUMMYFUNCTION("""COMPUTED_VALUE"""),3969.61)</f>
        <v/>
      </c>
      <c r="J1267" s="6">
        <f>K1267&amp;L1267</f>
        <v/>
      </c>
      <c r="K1267" s="6">
        <f>YEAR(M1267)</f>
        <v/>
      </c>
      <c r="L1267" s="6">
        <f>MONTH(M1267)</f>
        <v/>
      </c>
      <c r="M1267" s="267">
        <f>IFERROR(__xludf.DUMMYFUNCTION("""COMPUTED_VALUE"""),44929.6666666666)</f>
        <v/>
      </c>
      <c r="N1267" s="6">
        <f>IFERROR(__xludf.DUMMYFUNCTION("""COMPUTED_VALUE"""),10386.99)</f>
        <v/>
      </c>
      <c r="R1267" s="6">
        <f>S1267&amp;T1267</f>
        <v/>
      </c>
      <c r="S1267" s="6">
        <f>YEAR(U1267)</f>
        <v/>
      </c>
      <c r="T1267" s="6">
        <f>MONTH(U1267)</f>
        <v/>
      </c>
      <c r="U1267" s="267">
        <f>IFERROR(__xludf.DUMMYFUNCTION("""COMPUTED_VALUE"""),44980.6458333333)</f>
        <v/>
      </c>
      <c r="V1267" s="6">
        <f>IFERROR(__xludf.DUMMYFUNCTION("""COMPUTED_VALUE"""),2439.09)</f>
        <v/>
      </c>
      <c r="Z1267" s="6">
        <f>AA1267&amp;AB1267</f>
        <v/>
      </c>
      <c r="AA1267" s="6">
        <f>YEAR(AC1267)</f>
        <v/>
      </c>
      <c r="AB1267" s="6">
        <f>MONTH(AC1267)</f>
        <v/>
      </c>
      <c r="AC1267" s="267">
        <f>IFERROR(__xludf.DUMMYFUNCTION("""COMPUTED_VALUE"""),44412.9986111111)</f>
        <v/>
      </c>
      <c r="AD1267" s="6">
        <f>IFERROR(__xludf.DUMMYFUNCTION("""COMPUTED_VALUE"""),1144.06)</f>
        <v/>
      </c>
      <c r="AH1267" s="6">
        <f>AI1267&amp;AJ1267</f>
        <v/>
      </c>
      <c r="AI1267" s="6">
        <f>YEAR(AK1267)</f>
        <v/>
      </c>
      <c r="AJ1267" s="6">
        <f>MONTH(AK1267)</f>
        <v/>
      </c>
      <c r="AK1267" s="267">
        <f>IFERROR(__xludf.DUMMYFUNCTION("""COMPUTED_VALUE"""),44360.9986111111)</f>
        <v/>
      </c>
      <c r="AL1267" s="6">
        <f>IFERROR(__xludf.DUMMYFUNCTION("""COMPUTED_VALUE"""),39038.67)</f>
        <v/>
      </c>
      <c r="AP1267" s="6">
        <f>AQ1267&amp;AR1267</f>
        <v/>
      </c>
      <c r="AQ1267" s="6">
        <f>YEAR(AS1267)</f>
        <v/>
      </c>
      <c r="AR1267" s="6">
        <f>MONTH(AS1267)</f>
        <v/>
      </c>
      <c r="AS1267" s="267">
        <f>IFERROR(__xludf.DUMMYFUNCTION("""COMPUTED_VALUE"""),44945.9986111111)</f>
        <v/>
      </c>
      <c r="AT1267" s="6">
        <f>IFERROR(__xludf.DUMMYFUNCTION("""COMPUTED_VALUE"""),1923.9)</f>
        <v/>
      </c>
    </row>
    <row r="1268">
      <c r="B1268" s="6">
        <f>C1268&amp;D1268</f>
        <v/>
      </c>
      <c r="C1268" s="6">
        <f>YEAR(E1268)</f>
        <v/>
      </c>
      <c r="D1268" s="6">
        <f>MONTH(E1268)</f>
        <v/>
      </c>
      <c r="E1268" s="267">
        <f>IFERROR(__xludf.DUMMYFUNCTION("""COMPUTED_VALUE"""),44938.6666666666)</f>
        <v/>
      </c>
      <c r="F1268" s="6">
        <f>IFERROR(__xludf.DUMMYFUNCTION("""COMPUTED_VALUE"""),3983.17)</f>
        <v/>
      </c>
      <c r="J1268" s="6">
        <f>K1268&amp;L1268</f>
        <v/>
      </c>
      <c r="K1268" s="6">
        <f>YEAR(M1268)</f>
        <v/>
      </c>
      <c r="L1268" s="6">
        <f>MONTH(M1268)</f>
        <v/>
      </c>
      <c r="M1268" s="267">
        <f>IFERROR(__xludf.DUMMYFUNCTION("""COMPUTED_VALUE"""),44930.6666666666)</f>
        <v/>
      </c>
      <c r="N1268" s="6">
        <f>IFERROR(__xludf.DUMMYFUNCTION("""COMPUTED_VALUE"""),10458.76)</f>
        <v/>
      </c>
      <c r="R1268" s="6">
        <f>S1268&amp;T1268</f>
        <v/>
      </c>
      <c r="S1268" s="6">
        <f>YEAR(U1268)</f>
        <v/>
      </c>
      <c r="T1268" s="6">
        <f>MONTH(U1268)</f>
        <v/>
      </c>
      <c r="U1268" s="267">
        <f>IFERROR(__xludf.DUMMYFUNCTION("""COMPUTED_VALUE"""),44981.6458333333)</f>
        <v/>
      </c>
      <c r="V1268" s="6">
        <f>IFERROR(__xludf.DUMMYFUNCTION("""COMPUTED_VALUE"""),2423.61)</f>
        <v/>
      </c>
      <c r="Z1268" s="6">
        <f>AA1268&amp;AB1268</f>
        <v/>
      </c>
      <c r="AA1268" s="6">
        <f>YEAR(AC1268)</f>
        <v/>
      </c>
      <c r="AB1268" s="6">
        <f>MONTH(AC1268)</f>
        <v/>
      </c>
      <c r="AC1268" s="267">
        <f>IFERROR(__xludf.DUMMYFUNCTION("""COMPUTED_VALUE"""),44413.9986111111)</f>
        <v/>
      </c>
      <c r="AD1268" s="6">
        <f>IFERROR(__xludf.DUMMYFUNCTION("""COMPUTED_VALUE"""),1143.12)</f>
        <v/>
      </c>
      <c r="AH1268" s="6">
        <f>AI1268&amp;AJ1268</f>
        <v/>
      </c>
      <c r="AI1268" s="6">
        <f>YEAR(AK1268)</f>
        <v/>
      </c>
      <c r="AJ1268" s="6">
        <f>MONTH(AK1268)</f>
        <v/>
      </c>
      <c r="AK1268" s="267">
        <f>IFERROR(__xludf.DUMMYFUNCTION("""COMPUTED_VALUE"""),44361.9986111111)</f>
        <v/>
      </c>
      <c r="AL1268" s="6">
        <f>IFERROR(__xludf.DUMMYFUNCTION("""COMPUTED_VALUE"""),40526.54)</f>
        <v/>
      </c>
      <c r="AP1268" s="6">
        <f>AQ1268&amp;AR1268</f>
        <v/>
      </c>
      <c r="AQ1268" s="6">
        <f>YEAR(AS1268)</f>
        <v/>
      </c>
      <c r="AR1268" s="6">
        <f>MONTH(AS1268)</f>
        <v/>
      </c>
      <c r="AS1268" s="267">
        <f>IFERROR(__xludf.DUMMYFUNCTION("""COMPUTED_VALUE"""),44946.9986111111)</f>
        <v/>
      </c>
      <c r="AT1268" s="6">
        <f>IFERROR(__xludf.DUMMYFUNCTION("""COMPUTED_VALUE"""),1944.9)</f>
        <v/>
      </c>
    </row>
    <row r="1269">
      <c r="B1269" s="6">
        <f>C1269&amp;D1269</f>
        <v/>
      </c>
      <c r="C1269" s="6">
        <f>YEAR(E1269)</f>
        <v/>
      </c>
      <c r="D1269" s="6">
        <f>MONTH(E1269)</f>
        <v/>
      </c>
      <c r="E1269" s="267">
        <f>IFERROR(__xludf.DUMMYFUNCTION("""COMPUTED_VALUE"""),44939.6666666666)</f>
        <v/>
      </c>
      <c r="F1269" s="6">
        <f>IFERROR(__xludf.DUMMYFUNCTION("""COMPUTED_VALUE"""),3999.09)</f>
        <v/>
      </c>
      <c r="J1269" s="6">
        <f>K1269&amp;L1269</f>
        <v/>
      </c>
      <c r="K1269" s="6">
        <f>YEAR(M1269)</f>
        <v/>
      </c>
      <c r="L1269" s="6">
        <f>MONTH(M1269)</f>
        <v/>
      </c>
      <c r="M1269" s="267">
        <f>IFERROR(__xludf.DUMMYFUNCTION("""COMPUTED_VALUE"""),44931.6666666666)</f>
        <v/>
      </c>
      <c r="N1269" s="6">
        <f>IFERROR(__xludf.DUMMYFUNCTION("""COMPUTED_VALUE"""),10305.24)</f>
        <v/>
      </c>
      <c r="R1269" s="6">
        <f>S1269&amp;T1269</f>
        <v/>
      </c>
      <c r="S1269" s="6">
        <f>YEAR(U1269)</f>
        <v/>
      </c>
      <c r="T1269" s="6">
        <f>MONTH(U1269)</f>
        <v/>
      </c>
      <c r="U1269" s="267">
        <f>IFERROR(__xludf.DUMMYFUNCTION("""COMPUTED_VALUE"""),44984.6458333333)</f>
        <v/>
      </c>
      <c r="V1269" s="6">
        <f>IFERROR(__xludf.DUMMYFUNCTION("""COMPUTED_VALUE"""),2402.64)</f>
        <v/>
      </c>
      <c r="Z1269" s="6">
        <f>AA1269&amp;AB1269</f>
        <v/>
      </c>
      <c r="AA1269" s="6">
        <f>YEAR(AC1269)</f>
        <v/>
      </c>
      <c r="AB1269" s="6">
        <f>MONTH(AC1269)</f>
        <v/>
      </c>
      <c r="AC1269" s="267">
        <f>IFERROR(__xludf.DUMMYFUNCTION("""COMPUTED_VALUE"""),44414.9986111111)</f>
        <v/>
      </c>
      <c r="AD1269" s="6">
        <f>IFERROR(__xludf.DUMMYFUNCTION("""COMPUTED_VALUE"""),1144.92)</f>
        <v/>
      </c>
      <c r="AH1269" s="6">
        <f>AI1269&amp;AJ1269</f>
        <v/>
      </c>
      <c r="AI1269" s="6">
        <f>YEAR(AK1269)</f>
        <v/>
      </c>
      <c r="AJ1269" s="6">
        <f>MONTH(AK1269)</f>
        <v/>
      </c>
      <c r="AK1269" s="267">
        <f>IFERROR(__xludf.DUMMYFUNCTION("""COMPUTED_VALUE"""),44362.9986111111)</f>
        <v/>
      </c>
      <c r="AL1269" s="6">
        <f>IFERROR(__xludf.DUMMYFUNCTION("""COMPUTED_VALUE"""),40152.96)</f>
        <v/>
      </c>
      <c r="AP1269" s="6">
        <f>AQ1269&amp;AR1269</f>
        <v/>
      </c>
      <c r="AQ1269" s="6">
        <f>YEAR(AS1269)</f>
        <v/>
      </c>
      <c r="AR1269" s="6">
        <f>MONTH(AS1269)</f>
        <v/>
      </c>
      <c r="AS1269" s="267">
        <f>IFERROR(__xludf.DUMMYFUNCTION("""COMPUTED_VALUE"""),44949.9986111111)</f>
        <v/>
      </c>
      <c r="AT1269" s="6">
        <f>IFERROR(__xludf.DUMMYFUNCTION("""COMPUTED_VALUE"""),1945.4)</f>
        <v/>
      </c>
    </row>
    <row r="1270">
      <c r="B1270" s="6">
        <f>C1270&amp;D1270</f>
        <v/>
      </c>
      <c r="C1270" s="6">
        <f>YEAR(E1270)</f>
        <v/>
      </c>
      <c r="D1270" s="6">
        <f>MONTH(E1270)</f>
        <v/>
      </c>
      <c r="E1270" s="267">
        <f>IFERROR(__xludf.DUMMYFUNCTION("""COMPUTED_VALUE"""),44943.6666666666)</f>
        <v/>
      </c>
      <c r="F1270" s="6">
        <f>IFERROR(__xludf.DUMMYFUNCTION("""COMPUTED_VALUE"""),3990.97)</f>
        <v/>
      </c>
      <c r="J1270" s="6">
        <f>K1270&amp;L1270</f>
        <v/>
      </c>
      <c r="K1270" s="6">
        <f>YEAR(M1270)</f>
        <v/>
      </c>
      <c r="L1270" s="6">
        <f>MONTH(M1270)</f>
        <v/>
      </c>
      <c r="M1270" s="267">
        <f>IFERROR(__xludf.DUMMYFUNCTION("""COMPUTED_VALUE"""),44932.6666666666)</f>
        <v/>
      </c>
      <c r="N1270" s="6">
        <f>IFERROR(__xludf.DUMMYFUNCTION("""COMPUTED_VALUE"""),10569.29)</f>
        <v/>
      </c>
      <c r="R1270" s="6">
        <f>S1270&amp;T1270</f>
        <v/>
      </c>
      <c r="S1270" s="6">
        <f>YEAR(U1270)</f>
        <v/>
      </c>
      <c r="T1270" s="6">
        <f>MONTH(U1270)</f>
        <v/>
      </c>
      <c r="U1270" s="267">
        <f>IFERROR(__xludf.DUMMYFUNCTION("""COMPUTED_VALUE"""),44985.6458333333)</f>
        <v/>
      </c>
      <c r="V1270" s="6">
        <f>IFERROR(__xludf.DUMMYFUNCTION("""COMPUTED_VALUE"""),2412.85)</f>
        <v/>
      </c>
      <c r="Z1270" s="6">
        <f>AA1270&amp;AB1270</f>
        <v/>
      </c>
      <c r="AA1270" s="6">
        <f>YEAR(AC1270)</f>
        <v/>
      </c>
      <c r="AB1270" s="6">
        <f>MONTH(AC1270)</f>
        <v/>
      </c>
      <c r="AC1270" s="267">
        <f>IFERROR(__xludf.DUMMYFUNCTION("""COMPUTED_VALUE"""),44415.9986111111)</f>
        <v/>
      </c>
      <c r="AD1270" s="6">
        <f>IFERROR(__xludf.DUMMYFUNCTION("""COMPUTED_VALUE"""),1144.14)</f>
        <v/>
      </c>
      <c r="AH1270" s="6">
        <f>AI1270&amp;AJ1270</f>
        <v/>
      </c>
      <c r="AI1270" s="6">
        <f>YEAR(AK1270)</f>
        <v/>
      </c>
      <c r="AJ1270" s="6">
        <f>MONTH(AK1270)</f>
        <v/>
      </c>
      <c r="AK1270" s="267">
        <f>IFERROR(__xludf.DUMMYFUNCTION("""COMPUTED_VALUE"""),44363.9986111111)</f>
        <v/>
      </c>
      <c r="AL1270" s="6">
        <f>IFERROR(__xludf.DUMMYFUNCTION("""COMPUTED_VALUE"""),38344.25)</f>
        <v/>
      </c>
      <c r="AP1270" s="6">
        <f>AQ1270&amp;AR1270</f>
        <v/>
      </c>
      <c r="AQ1270" s="6">
        <f>YEAR(AS1270)</f>
        <v/>
      </c>
      <c r="AR1270" s="6">
        <f>MONTH(AS1270)</f>
        <v/>
      </c>
      <c r="AS1270" s="267">
        <f>IFERROR(__xludf.DUMMYFUNCTION("""COMPUTED_VALUE"""),44950.9986111111)</f>
        <v/>
      </c>
      <c r="AT1270" s="6">
        <f>IFERROR(__xludf.DUMMYFUNCTION("""COMPUTED_VALUE"""),1952.2)</f>
        <v/>
      </c>
    </row>
    <row r="1271">
      <c r="B1271" s="6">
        <f>C1271&amp;D1271</f>
        <v/>
      </c>
      <c r="C1271" s="6">
        <f>YEAR(E1271)</f>
        <v/>
      </c>
      <c r="D1271" s="6">
        <f>MONTH(E1271)</f>
        <v/>
      </c>
      <c r="E1271" s="267">
        <f>IFERROR(__xludf.DUMMYFUNCTION("""COMPUTED_VALUE"""),44944.6666666666)</f>
        <v/>
      </c>
      <c r="F1271" s="6">
        <f>IFERROR(__xludf.DUMMYFUNCTION("""COMPUTED_VALUE"""),3928.86)</f>
        <v/>
      </c>
      <c r="J1271" s="6">
        <f>K1271&amp;L1271</f>
        <v/>
      </c>
      <c r="K1271" s="6">
        <f>YEAR(M1271)</f>
        <v/>
      </c>
      <c r="L1271" s="6">
        <f>MONTH(M1271)</f>
        <v/>
      </c>
      <c r="M1271" s="267">
        <f>IFERROR(__xludf.DUMMYFUNCTION("""COMPUTED_VALUE"""),44935.6666666666)</f>
        <v/>
      </c>
      <c r="N1271" s="6">
        <f>IFERROR(__xludf.DUMMYFUNCTION("""COMPUTED_VALUE"""),10635.65)</f>
        <v/>
      </c>
      <c r="R1271" s="6">
        <f>S1271&amp;T1271</f>
        <v/>
      </c>
      <c r="S1271" s="6">
        <f>YEAR(U1271)</f>
        <v/>
      </c>
      <c r="T1271" s="6">
        <f>MONTH(U1271)</f>
        <v/>
      </c>
      <c r="U1271" s="267">
        <f>IFERROR(__xludf.DUMMYFUNCTION("""COMPUTED_VALUE"""),44987.6458333333)</f>
        <v/>
      </c>
      <c r="V1271" s="6">
        <f>IFERROR(__xludf.DUMMYFUNCTION("""COMPUTED_VALUE"""),2427.85)</f>
        <v/>
      </c>
      <c r="Z1271" s="6">
        <f>AA1271&amp;AB1271</f>
        <v/>
      </c>
      <c r="AA1271" s="6">
        <f>YEAR(AC1271)</f>
        <v/>
      </c>
      <c r="AB1271" s="6">
        <f>MONTH(AC1271)</f>
        <v/>
      </c>
      <c r="AC1271" s="267">
        <f>IFERROR(__xludf.DUMMYFUNCTION("""COMPUTED_VALUE"""),44416.9986111111)</f>
        <v/>
      </c>
      <c r="AD1271" s="6">
        <f>IFERROR(__xludf.DUMMYFUNCTION("""COMPUTED_VALUE"""),1144.92)</f>
        <v/>
      </c>
      <c r="AH1271" s="6">
        <f>AI1271&amp;AJ1271</f>
        <v/>
      </c>
      <c r="AI1271" s="6">
        <f>YEAR(AK1271)</f>
        <v/>
      </c>
      <c r="AJ1271" s="6">
        <f>MONTH(AK1271)</f>
        <v/>
      </c>
      <c r="AK1271" s="267">
        <f>IFERROR(__xludf.DUMMYFUNCTION("""COMPUTED_VALUE"""),44364.9986111111)</f>
        <v/>
      </c>
      <c r="AL1271" s="6">
        <f>IFERROR(__xludf.DUMMYFUNCTION("""COMPUTED_VALUE"""),38065.94)</f>
        <v/>
      </c>
      <c r="AP1271" s="6">
        <f>AQ1271&amp;AR1271</f>
        <v/>
      </c>
      <c r="AQ1271" s="6">
        <f>YEAR(AS1271)</f>
        <v/>
      </c>
      <c r="AR1271" s="6">
        <f>MONTH(AS1271)</f>
        <v/>
      </c>
      <c r="AS1271" s="267">
        <f>IFERROR(__xludf.DUMMYFUNCTION("""COMPUTED_VALUE"""),44951.9986111111)</f>
        <v/>
      </c>
      <c r="AT1271" s="6">
        <f>IFERROR(__xludf.DUMMYFUNCTION("""COMPUTED_VALUE"""),1959.4)</f>
        <v/>
      </c>
    </row>
    <row r="1272">
      <c r="B1272" s="6">
        <f>C1272&amp;D1272</f>
        <v/>
      </c>
      <c r="C1272" s="6">
        <f>YEAR(E1272)</f>
        <v/>
      </c>
      <c r="D1272" s="6">
        <f>MONTH(E1272)</f>
        <v/>
      </c>
      <c r="E1272" s="267">
        <f>IFERROR(__xludf.DUMMYFUNCTION("""COMPUTED_VALUE"""),44945.6666666666)</f>
        <v/>
      </c>
      <c r="F1272" s="6">
        <f>IFERROR(__xludf.DUMMYFUNCTION("""COMPUTED_VALUE"""),3898.85)</f>
        <v/>
      </c>
      <c r="J1272" s="6">
        <f>K1272&amp;L1272</f>
        <v/>
      </c>
      <c r="K1272" s="6">
        <f>YEAR(M1272)</f>
        <v/>
      </c>
      <c r="L1272" s="6">
        <f>MONTH(M1272)</f>
        <v/>
      </c>
      <c r="M1272" s="267">
        <f>IFERROR(__xludf.DUMMYFUNCTION("""COMPUTED_VALUE"""),44936.6666666666)</f>
        <v/>
      </c>
      <c r="N1272" s="6">
        <f>IFERROR(__xludf.DUMMYFUNCTION("""COMPUTED_VALUE"""),10742.63)</f>
        <v/>
      </c>
      <c r="R1272" s="6">
        <f>S1272&amp;T1272</f>
        <v/>
      </c>
      <c r="S1272" s="6">
        <f>YEAR(U1272)</f>
        <v/>
      </c>
      <c r="T1272" s="6">
        <f>MONTH(U1272)</f>
        <v/>
      </c>
      <c r="U1272" s="267">
        <f>IFERROR(__xludf.DUMMYFUNCTION("""COMPUTED_VALUE"""),44988.6458333333)</f>
        <v/>
      </c>
      <c r="V1272" s="6">
        <f>IFERROR(__xludf.DUMMYFUNCTION("""COMPUTED_VALUE"""),2432.07)</f>
        <v/>
      </c>
      <c r="Z1272" s="6">
        <f>AA1272&amp;AB1272</f>
        <v/>
      </c>
      <c r="AA1272" s="6">
        <f>YEAR(AC1272)</f>
        <v/>
      </c>
      <c r="AB1272" s="6">
        <f>MONTH(AC1272)</f>
        <v/>
      </c>
      <c r="AC1272" s="267">
        <f>IFERROR(__xludf.DUMMYFUNCTION("""COMPUTED_VALUE"""),44417.9986111111)</f>
        <v/>
      </c>
      <c r="AD1272" s="6">
        <f>IFERROR(__xludf.DUMMYFUNCTION("""COMPUTED_VALUE"""),1145.89)</f>
        <v/>
      </c>
      <c r="AH1272" s="6">
        <f>AI1272&amp;AJ1272</f>
        <v/>
      </c>
      <c r="AI1272" s="6">
        <f>YEAR(AK1272)</f>
        <v/>
      </c>
      <c r="AJ1272" s="6">
        <f>MONTH(AK1272)</f>
        <v/>
      </c>
      <c r="AK1272" s="267">
        <f>IFERROR(__xludf.DUMMYFUNCTION("""COMPUTED_VALUE"""),44365.9986111111)</f>
        <v/>
      </c>
      <c r="AL1272" s="6">
        <f>IFERROR(__xludf.DUMMYFUNCTION("""COMPUTED_VALUE"""),35734.51)</f>
        <v/>
      </c>
      <c r="AP1272" s="6">
        <f>AQ1272&amp;AR1272</f>
        <v/>
      </c>
      <c r="AQ1272" s="6">
        <f>YEAR(AS1272)</f>
        <v/>
      </c>
      <c r="AR1272" s="6">
        <f>MONTH(AS1272)</f>
        <v/>
      </c>
      <c r="AS1272" s="267">
        <f>IFERROR(__xludf.DUMMYFUNCTION("""COMPUTED_VALUE"""),44952.9986111111)</f>
        <v/>
      </c>
      <c r="AT1272" s="6">
        <f>IFERROR(__xludf.DUMMYFUNCTION("""COMPUTED_VALUE"""),1946.7)</f>
        <v/>
      </c>
    </row>
    <row r="1273">
      <c r="B1273" s="6">
        <f>C1273&amp;D1273</f>
        <v/>
      </c>
      <c r="C1273" s="6">
        <f>YEAR(E1273)</f>
        <v/>
      </c>
      <c r="D1273" s="6">
        <f>MONTH(E1273)</f>
        <v/>
      </c>
      <c r="E1273" s="267">
        <f>IFERROR(__xludf.DUMMYFUNCTION("""COMPUTED_VALUE"""),44946.6666666666)</f>
        <v/>
      </c>
      <c r="F1273" s="6">
        <f>IFERROR(__xludf.DUMMYFUNCTION("""COMPUTED_VALUE"""),3972.61)</f>
        <v/>
      </c>
      <c r="J1273" s="6">
        <f>K1273&amp;L1273</f>
        <v/>
      </c>
      <c r="K1273" s="6">
        <f>YEAR(M1273)</f>
        <v/>
      </c>
      <c r="L1273" s="6">
        <f>MONTH(M1273)</f>
        <v/>
      </c>
      <c r="M1273" s="267">
        <f>IFERROR(__xludf.DUMMYFUNCTION("""COMPUTED_VALUE"""),44937.6666666666)</f>
        <v/>
      </c>
      <c r="N1273" s="6">
        <f>IFERROR(__xludf.DUMMYFUNCTION("""COMPUTED_VALUE"""),10931.67)</f>
        <v/>
      </c>
      <c r="R1273" s="6">
        <f>S1273&amp;T1273</f>
        <v/>
      </c>
      <c r="S1273" s="6">
        <f>YEAR(U1273)</f>
        <v/>
      </c>
      <c r="T1273" s="6">
        <f>MONTH(U1273)</f>
        <v/>
      </c>
      <c r="U1273" s="267">
        <f>IFERROR(__xludf.DUMMYFUNCTION("""COMPUTED_VALUE"""),44991.6458333333)</f>
        <v/>
      </c>
      <c r="V1273" s="6">
        <f>IFERROR(__xludf.DUMMYFUNCTION("""COMPUTED_VALUE"""),2462.62)</f>
        <v/>
      </c>
      <c r="Z1273" s="6">
        <f>AA1273&amp;AB1273</f>
        <v/>
      </c>
      <c r="AA1273" s="6">
        <f>YEAR(AC1273)</f>
        <v/>
      </c>
      <c r="AB1273" s="6">
        <f>MONTH(AC1273)</f>
        <v/>
      </c>
      <c r="AC1273" s="267">
        <f>IFERROR(__xludf.DUMMYFUNCTION("""COMPUTED_VALUE"""),44418.9986111111)</f>
        <v/>
      </c>
      <c r="AD1273" s="6">
        <f>IFERROR(__xludf.DUMMYFUNCTION("""COMPUTED_VALUE"""),1152.48)</f>
        <v/>
      </c>
      <c r="AH1273" s="6">
        <f>AI1273&amp;AJ1273</f>
        <v/>
      </c>
      <c r="AI1273" s="6">
        <f>YEAR(AK1273)</f>
        <v/>
      </c>
      <c r="AJ1273" s="6">
        <f>MONTH(AK1273)</f>
        <v/>
      </c>
      <c r="AK1273" s="267">
        <f>IFERROR(__xludf.DUMMYFUNCTION("""COMPUTED_VALUE"""),44366.9986111111)</f>
        <v/>
      </c>
      <c r="AL1273" s="6">
        <f>IFERROR(__xludf.DUMMYFUNCTION("""COMPUTED_VALUE"""),35525.93)</f>
        <v/>
      </c>
      <c r="AP1273" s="6">
        <f>AQ1273&amp;AR1273</f>
        <v/>
      </c>
      <c r="AQ1273" s="6">
        <f>YEAR(AS1273)</f>
        <v/>
      </c>
      <c r="AR1273" s="6">
        <f>MONTH(AS1273)</f>
        <v/>
      </c>
      <c r="AS1273" s="267">
        <f>IFERROR(__xludf.DUMMYFUNCTION("""COMPUTED_VALUE"""),44953.9986111111)</f>
        <v/>
      </c>
      <c r="AT1273" s="6">
        <f>IFERROR(__xludf.DUMMYFUNCTION("""COMPUTED_VALUE"""),1945.6)</f>
        <v/>
      </c>
    </row>
    <row r="1274">
      <c r="B1274" s="6">
        <f>C1274&amp;D1274</f>
        <v/>
      </c>
      <c r="C1274" s="6">
        <f>YEAR(E1274)</f>
        <v/>
      </c>
      <c r="D1274" s="6">
        <f>MONTH(E1274)</f>
        <v/>
      </c>
      <c r="E1274" s="267">
        <f>IFERROR(__xludf.DUMMYFUNCTION("""COMPUTED_VALUE"""),44949.6666666666)</f>
        <v/>
      </c>
      <c r="F1274" s="6">
        <f>IFERROR(__xludf.DUMMYFUNCTION("""COMPUTED_VALUE"""),4019.81)</f>
        <v/>
      </c>
      <c r="J1274" s="6">
        <f>K1274&amp;L1274</f>
        <v/>
      </c>
      <c r="K1274" s="6">
        <f>YEAR(M1274)</f>
        <v/>
      </c>
      <c r="L1274" s="6">
        <f>MONTH(M1274)</f>
        <v/>
      </c>
      <c r="M1274" s="267">
        <f>IFERROR(__xludf.DUMMYFUNCTION("""COMPUTED_VALUE"""),44938.6666666666)</f>
        <v/>
      </c>
      <c r="N1274" s="6">
        <f>IFERROR(__xludf.DUMMYFUNCTION("""COMPUTED_VALUE"""),11001.11)</f>
        <v/>
      </c>
      <c r="R1274" s="6">
        <f>S1274&amp;T1274</f>
        <v/>
      </c>
      <c r="S1274" s="6">
        <f>YEAR(U1274)</f>
        <v/>
      </c>
      <c r="T1274" s="6">
        <f>MONTH(U1274)</f>
        <v/>
      </c>
      <c r="U1274" s="267">
        <f>IFERROR(__xludf.DUMMYFUNCTION("""COMPUTED_VALUE"""),44992.6458333333)</f>
        <v/>
      </c>
      <c r="V1274" s="6">
        <f>IFERROR(__xludf.DUMMYFUNCTION("""COMPUTED_VALUE"""),2463.35)</f>
        <v/>
      </c>
      <c r="Z1274" s="6">
        <f>AA1274&amp;AB1274</f>
        <v/>
      </c>
      <c r="AA1274" s="6">
        <f>YEAR(AC1274)</f>
        <v/>
      </c>
      <c r="AB1274" s="6">
        <f>MONTH(AC1274)</f>
        <v/>
      </c>
      <c r="AC1274" s="267">
        <f>IFERROR(__xludf.DUMMYFUNCTION("""COMPUTED_VALUE"""),44419.9986111111)</f>
        <v/>
      </c>
      <c r="AD1274" s="6">
        <f>IFERROR(__xludf.DUMMYFUNCTION("""COMPUTED_VALUE"""),1152.85)</f>
        <v/>
      </c>
      <c r="AH1274" s="6">
        <f>AI1274&amp;AJ1274</f>
        <v/>
      </c>
      <c r="AI1274" s="6">
        <f>YEAR(AK1274)</f>
        <v/>
      </c>
      <c r="AJ1274" s="6">
        <f>MONTH(AK1274)</f>
        <v/>
      </c>
      <c r="AK1274" s="267">
        <f>IFERROR(__xludf.DUMMYFUNCTION("""COMPUTED_VALUE"""),44367.9986111111)</f>
        <v/>
      </c>
      <c r="AL1274" s="6">
        <f>IFERROR(__xludf.DUMMYFUNCTION("""COMPUTED_VALUE"""),35619.15)</f>
        <v/>
      </c>
      <c r="AP1274" s="6">
        <f>AQ1274&amp;AR1274</f>
        <v/>
      </c>
      <c r="AQ1274" s="6">
        <f>YEAR(AS1274)</f>
        <v/>
      </c>
      <c r="AR1274" s="6">
        <f>MONTH(AS1274)</f>
        <v/>
      </c>
      <c r="AS1274" s="267">
        <f>IFERROR(__xludf.DUMMYFUNCTION("""COMPUTED_VALUE"""),44956.9986111111)</f>
        <v/>
      </c>
      <c r="AT1274" s="6">
        <f>IFERROR(__xludf.DUMMYFUNCTION("""COMPUTED_VALUE"""),1939.2)</f>
        <v/>
      </c>
    </row>
    <row r="1275">
      <c r="B1275" s="6">
        <f>C1275&amp;D1275</f>
        <v/>
      </c>
      <c r="C1275" s="6">
        <f>YEAR(E1275)</f>
        <v/>
      </c>
      <c r="D1275" s="6">
        <f>MONTH(E1275)</f>
        <v/>
      </c>
      <c r="E1275" s="267">
        <f>IFERROR(__xludf.DUMMYFUNCTION("""COMPUTED_VALUE"""),44950.6666666666)</f>
        <v/>
      </c>
      <c r="F1275" s="6">
        <f>IFERROR(__xludf.DUMMYFUNCTION("""COMPUTED_VALUE"""),4016.95)</f>
        <v/>
      </c>
      <c r="J1275" s="6">
        <f>K1275&amp;L1275</f>
        <v/>
      </c>
      <c r="K1275" s="6">
        <f>YEAR(M1275)</f>
        <v/>
      </c>
      <c r="L1275" s="6">
        <f>MONTH(M1275)</f>
        <v/>
      </c>
      <c r="M1275" s="267">
        <f>IFERROR(__xludf.DUMMYFUNCTION("""COMPUTED_VALUE"""),44939.6666666666)</f>
        <v/>
      </c>
      <c r="N1275" s="6">
        <f>IFERROR(__xludf.DUMMYFUNCTION("""COMPUTED_VALUE"""),11079.16)</f>
        <v/>
      </c>
      <c r="R1275" s="6">
        <f>S1275&amp;T1275</f>
        <v/>
      </c>
      <c r="S1275" s="6">
        <f>YEAR(U1275)</f>
        <v/>
      </c>
      <c r="T1275" s="6">
        <f>MONTH(U1275)</f>
        <v/>
      </c>
      <c r="U1275" s="267">
        <f>IFERROR(__xludf.DUMMYFUNCTION("""COMPUTED_VALUE"""),44993.6458333333)</f>
        <v/>
      </c>
      <c r="V1275" s="6">
        <f>IFERROR(__xludf.DUMMYFUNCTION("""COMPUTED_VALUE"""),2431.91)</f>
        <v/>
      </c>
      <c r="Z1275" s="6">
        <f>AA1275&amp;AB1275</f>
        <v/>
      </c>
      <c r="AA1275" s="6">
        <f>YEAR(AC1275)</f>
        <v/>
      </c>
      <c r="AB1275" s="6">
        <f>MONTH(AC1275)</f>
        <v/>
      </c>
      <c r="AC1275" s="267">
        <f>IFERROR(__xludf.DUMMYFUNCTION("""COMPUTED_VALUE"""),44420.9986111111)</f>
        <v/>
      </c>
      <c r="AD1275" s="6">
        <f>IFERROR(__xludf.DUMMYFUNCTION("""COMPUTED_VALUE"""),1162.06)</f>
        <v/>
      </c>
      <c r="AH1275" s="6">
        <f>AI1275&amp;AJ1275</f>
        <v/>
      </c>
      <c r="AI1275" s="6">
        <f>YEAR(AK1275)</f>
        <v/>
      </c>
      <c r="AJ1275" s="6">
        <f>MONTH(AK1275)</f>
        <v/>
      </c>
      <c r="AK1275" s="267">
        <f>IFERROR(__xludf.DUMMYFUNCTION("""COMPUTED_VALUE"""),44368.9986111111)</f>
        <v/>
      </c>
      <c r="AL1275" s="6">
        <f>IFERROR(__xludf.DUMMYFUNCTION("""COMPUTED_VALUE"""),31687.18)</f>
        <v/>
      </c>
      <c r="AP1275" s="6">
        <f>AQ1275&amp;AR1275</f>
        <v/>
      </c>
      <c r="AQ1275" s="6">
        <f>YEAR(AS1275)</f>
        <v/>
      </c>
      <c r="AR1275" s="6">
        <f>MONTH(AS1275)</f>
        <v/>
      </c>
      <c r="AS1275" s="267">
        <f>IFERROR(__xludf.DUMMYFUNCTION("""COMPUTED_VALUE"""),44957.9986111111)</f>
        <v/>
      </c>
      <c r="AT1275" s="6">
        <f>IFERROR(__xludf.DUMMYFUNCTION("""COMPUTED_VALUE"""),1945.3)</f>
        <v/>
      </c>
    </row>
    <row r="1276">
      <c r="B1276" s="6">
        <f>C1276&amp;D1276</f>
        <v/>
      </c>
      <c r="C1276" s="6">
        <f>YEAR(E1276)</f>
        <v/>
      </c>
      <c r="D1276" s="6">
        <f>MONTH(E1276)</f>
        <v/>
      </c>
      <c r="E1276" s="267">
        <f>IFERROR(__xludf.DUMMYFUNCTION("""COMPUTED_VALUE"""),44951.6666666666)</f>
        <v/>
      </c>
      <c r="F1276" s="6">
        <f>IFERROR(__xludf.DUMMYFUNCTION("""COMPUTED_VALUE"""),4016.22)</f>
        <v/>
      </c>
      <c r="J1276" s="6">
        <f>K1276&amp;L1276</f>
        <v/>
      </c>
      <c r="K1276" s="6">
        <f>YEAR(M1276)</f>
        <v/>
      </c>
      <c r="L1276" s="6">
        <f>MONTH(M1276)</f>
        <v/>
      </c>
      <c r="M1276" s="267">
        <f>IFERROR(__xludf.DUMMYFUNCTION("""COMPUTED_VALUE"""),44943.6666666666)</f>
        <v/>
      </c>
      <c r="N1276" s="6">
        <f>IFERROR(__xludf.DUMMYFUNCTION("""COMPUTED_VALUE"""),11095.11)</f>
        <v/>
      </c>
      <c r="R1276" s="6">
        <f>S1276&amp;T1276</f>
        <v/>
      </c>
      <c r="S1276" s="6">
        <f>YEAR(U1276)</f>
        <v/>
      </c>
      <c r="T1276" s="6">
        <f>MONTH(U1276)</f>
        <v/>
      </c>
      <c r="U1276" s="267">
        <f>IFERROR(__xludf.DUMMYFUNCTION("""COMPUTED_VALUE"""),44994.6458333333)</f>
        <v/>
      </c>
      <c r="V1276" s="6">
        <f>IFERROR(__xludf.DUMMYFUNCTION("""COMPUTED_VALUE"""),2419.09)</f>
        <v/>
      </c>
      <c r="Z1276" s="6">
        <f>AA1276&amp;AB1276</f>
        <v/>
      </c>
      <c r="AA1276" s="6">
        <f>YEAR(AC1276)</f>
        <v/>
      </c>
      <c r="AB1276" s="6">
        <f>MONTH(AC1276)</f>
        <v/>
      </c>
      <c r="AC1276" s="267">
        <f>IFERROR(__xludf.DUMMYFUNCTION("""COMPUTED_VALUE"""),44421.9986111111)</f>
        <v/>
      </c>
      <c r="AD1276" s="6">
        <f>IFERROR(__xludf.DUMMYFUNCTION("""COMPUTED_VALUE"""),1161.08)</f>
        <v/>
      </c>
      <c r="AH1276" s="6">
        <f>AI1276&amp;AJ1276</f>
        <v/>
      </c>
      <c r="AI1276" s="6">
        <f>YEAR(AK1276)</f>
        <v/>
      </c>
      <c r="AJ1276" s="6">
        <f>MONTH(AK1276)</f>
        <v/>
      </c>
      <c r="AK1276" s="267">
        <f>IFERROR(__xludf.DUMMYFUNCTION("""COMPUTED_VALUE"""),44369.9986111111)</f>
        <v/>
      </c>
      <c r="AL1276" s="6">
        <f>IFERROR(__xludf.DUMMYFUNCTION("""COMPUTED_VALUE"""),32488.3)</f>
        <v/>
      </c>
      <c r="AP1276" s="6">
        <f>AQ1276&amp;AR1276</f>
        <v/>
      </c>
      <c r="AQ1276" s="6">
        <f>YEAR(AS1276)</f>
        <v/>
      </c>
      <c r="AR1276" s="6">
        <f>MONTH(AS1276)</f>
        <v/>
      </c>
      <c r="AS1276" s="267">
        <f>IFERROR(__xludf.DUMMYFUNCTION("""COMPUTED_VALUE"""),44958.9986111111)</f>
        <v/>
      </c>
      <c r="AT1276" s="6">
        <f>IFERROR(__xludf.DUMMYFUNCTION("""COMPUTED_VALUE"""),1942.8)</f>
        <v/>
      </c>
    </row>
    <row r="1277">
      <c r="B1277" s="6">
        <f>C1277&amp;D1277</f>
        <v/>
      </c>
      <c r="C1277" s="6">
        <f>YEAR(E1277)</f>
        <v/>
      </c>
      <c r="D1277" s="6">
        <f>MONTH(E1277)</f>
        <v/>
      </c>
      <c r="E1277" s="267">
        <f>IFERROR(__xludf.DUMMYFUNCTION("""COMPUTED_VALUE"""),44952.6666666666)</f>
        <v/>
      </c>
      <c r="F1277" s="6">
        <f>IFERROR(__xludf.DUMMYFUNCTION("""COMPUTED_VALUE"""),4060.43)</f>
        <v/>
      </c>
      <c r="J1277" s="6">
        <f>K1277&amp;L1277</f>
        <v/>
      </c>
      <c r="K1277" s="6">
        <f>YEAR(M1277)</f>
        <v/>
      </c>
      <c r="L1277" s="6">
        <f>MONTH(M1277)</f>
        <v/>
      </c>
      <c r="M1277" s="267">
        <f>IFERROR(__xludf.DUMMYFUNCTION("""COMPUTED_VALUE"""),44944.6666666666)</f>
        <v/>
      </c>
      <c r="N1277" s="6">
        <f>IFERROR(__xludf.DUMMYFUNCTION("""COMPUTED_VALUE"""),10957.01)</f>
        <v/>
      </c>
      <c r="R1277" s="6">
        <f>S1277&amp;T1277</f>
        <v/>
      </c>
      <c r="S1277" s="6">
        <f>YEAR(U1277)</f>
        <v/>
      </c>
      <c r="T1277" s="6">
        <f>MONTH(U1277)</f>
        <v/>
      </c>
      <c r="U1277" s="267">
        <f>IFERROR(__xludf.DUMMYFUNCTION("""COMPUTED_VALUE"""),44995.6458333333)</f>
        <v/>
      </c>
      <c r="V1277" s="6">
        <f>IFERROR(__xludf.DUMMYFUNCTION("""COMPUTED_VALUE"""),2394.59)</f>
        <v/>
      </c>
      <c r="Z1277" s="6">
        <f>AA1277&amp;AB1277</f>
        <v/>
      </c>
      <c r="AA1277" s="6">
        <f>YEAR(AC1277)</f>
        <v/>
      </c>
      <c r="AB1277" s="6">
        <f>MONTH(AC1277)</f>
        <v/>
      </c>
      <c r="AC1277" s="267">
        <f>IFERROR(__xludf.DUMMYFUNCTION("""COMPUTED_VALUE"""),44422.9986111111)</f>
        <v/>
      </c>
      <c r="AD1277" s="6">
        <f>IFERROR(__xludf.DUMMYFUNCTION("""COMPUTED_VALUE"""),1161.08)</f>
        <v/>
      </c>
      <c r="AH1277" s="6">
        <f>AI1277&amp;AJ1277</f>
        <v/>
      </c>
      <c r="AI1277" s="6">
        <f>YEAR(AK1277)</f>
        <v/>
      </c>
      <c r="AJ1277" s="6">
        <f>MONTH(AK1277)</f>
        <v/>
      </c>
      <c r="AK1277" s="267">
        <f>IFERROR(__xludf.DUMMYFUNCTION("""COMPUTED_VALUE"""),44370.9986111111)</f>
        <v/>
      </c>
      <c r="AL1277" s="6">
        <f>IFERROR(__xludf.DUMMYFUNCTION("""COMPUTED_VALUE"""),33661.74)</f>
        <v/>
      </c>
      <c r="AP1277" s="6">
        <f>AQ1277&amp;AR1277</f>
        <v/>
      </c>
      <c r="AQ1277" s="6">
        <f>YEAR(AS1277)</f>
        <v/>
      </c>
      <c r="AR1277" s="6">
        <f>MONTH(AS1277)</f>
        <v/>
      </c>
      <c r="AS1277" s="267">
        <f>IFERROR(__xludf.DUMMYFUNCTION("""COMPUTED_VALUE"""),44959.9986111111)</f>
        <v/>
      </c>
      <c r="AT1277" s="6">
        <f>IFERROR(__xludf.DUMMYFUNCTION("""COMPUTED_VALUE"""),1930.8)</f>
        <v/>
      </c>
    </row>
    <row r="1278">
      <c r="B1278" s="6">
        <f>C1278&amp;D1278</f>
        <v/>
      </c>
      <c r="C1278" s="6">
        <f>YEAR(E1278)</f>
        <v/>
      </c>
      <c r="D1278" s="6">
        <f>MONTH(E1278)</f>
        <v/>
      </c>
      <c r="E1278" s="267">
        <f>IFERROR(__xludf.DUMMYFUNCTION("""COMPUTED_VALUE"""),44953.6666666666)</f>
        <v/>
      </c>
      <c r="F1278" s="6">
        <f>IFERROR(__xludf.DUMMYFUNCTION("""COMPUTED_VALUE"""),4070.56)</f>
        <v/>
      </c>
      <c r="J1278" s="6">
        <f>K1278&amp;L1278</f>
        <v/>
      </c>
      <c r="K1278" s="6">
        <f>YEAR(M1278)</f>
        <v/>
      </c>
      <c r="L1278" s="6">
        <f>MONTH(M1278)</f>
        <v/>
      </c>
      <c r="M1278" s="267">
        <f>IFERROR(__xludf.DUMMYFUNCTION("""COMPUTED_VALUE"""),44945.6666666666)</f>
        <v/>
      </c>
      <c r="N1278" s="6">
        <f>IFERROR(__xludf.DUMMYFUNCTION("""COMPUTED_VALUE"""),10852.27)</f>
        <v/>
      </c>
      <c r="R1278" s="6">
        <f>S1278&amp;T1278</f>
        <v/>
      </c>
      <c r="S1278" s="6">
        <f>YEAR(U1278)</f>
        <v/>
      </c>
      <c r="T1278" s="6">
        <f>MONTH(U1278)</f>
        <v/>
      </c>
      <c r="U1278" s="267">
        <f>IFERROR(__xludf.DUMMYFUNCTION("""COMPUTED_VALUE"""),44998.6458333333)</f>
        <v/>
      </c>
      <c r="V1278" s="6">
        <f>IFERROR(__xludf.DUMMYFUNCTION("""COMPUTED_VALUE"""),2410.6)</f>
        <v/>
      </c>
      <c r="Z1278" s="6">
        <f>AA1278&amp;AB1278</f>
        <v/>
      </c>
      <c r="AA1278" s="6">
        <f>YEAR(AC1278)</f>
        <v/>
      </c>
      <c r="AB1278" s="6">
        <f>MONTH(AC1278)</f>
        <v/>
      </c>
      <c r="AC1278" s="267">
        <f>IFERROR(__xludf.DUMMYFUNCTION("""COMPUTED_VALUE"""),44423.9986111111)</f>
        <v/>
      </c>
      <c r="AD1278" s="6">
        <f>IFERROR(__xludf.DUMMYFUNCTION("""COMPUTED_VALUE"""),1161.38)</f>
        <v/>
      </c>
      <c r="AH1278" s="6">
        <f>AI1278&amp;AJ1278</f>
        <v/>
      </c>
      <c r="AI1278" s="6">
        <f>YEAR(AK1278)</f>
        <v/>
      </c>
      <c r="AJ1278" s="6">
        <f>MONTH(AK1278)</f>
        <v/>
      </c>
      <c r="AK1278" s="267">
        <f>IFERROR(__xludf.DUMMYFUNCTION("""COMPUTED_VALUE"""),44371.9986111111)</f>
        <v/>
      </c>
      <c r="AL1278" s="6">
        <f>IFERROR(__xludf.DUMMYFUNCTION("""COMPUTED_VALUE"""),34649.07)</f>
        <v/>
      </c>
      <c r="AP1278" s="6">
        <f>AQ1278&amp;AR1278</f>
        <v/>
      </c>
      <c r="AQ1278" s="6">
        <f>YEAR(AS1278)</f>
        <v/>
      </c>
      <c r="AR1278" s="6">
        <f>MONTH(AS1278)</f>
        <v/>
      </c>
      <c r="AS1278" s="267">
        <f>IFERROR(__xludf.DUMMYFUNCTION("""COMPUTED_VALUE"""),44960.9986111111)</f>
        <v/>
      </c>
      <c r="AT1278" s="6">
        <f>IFERROR(__xludf.DUMMYFUNCTION("""COMPUTED_VALUE"""),1876.6)</f>
        <v/>
      </c>
    </row>
    <row r="1279">
      <c r="B1279" s="6">
        <f>C1279&amp;D1279</f>
        <v/>
      </c>
      <c r="C1279" s="6">
        <f>YEAR(E1279)</f>
        <v/>
      </c>
      <c r="D1279" s="6">
        <f>MONTH(E1279)</f>
        <v/>
      </c>
      <c r="E1279" s="267">
        <f>IFERROR(__xludf.DUMMYFUNCTION("""COMPUTED_VALUE"""),44956.6666666666)</f>
        <v/>
      </c>
      <c r="F1279" s="6">
        <f>IFERROR(__xludf.DUMMYFUNCTION("""COMPUTED_VALUE"""),4017.77)</f>
        <v/>
      </c>
      <c r="J1279" s="6">
        <f>K1279&amp;L1279</f>
        <v/>
      </c>
      <c r="K1279" s="6">
        <f>YEAR(M1279)</f>
        <v/>
      </c>
      <c r="L1279" s="6">
        <f>MONTH(M1279)</f>
        <v/>
      </c>
      <c r="M1279" s="267">
        <f>IFERROR(__xludf.DUMMYFUNCTION("""COMPUTED_VALUE"""),44946.6666666666)</f>
        <v/>
      </c>
      <c r="N1279" s="6">
        <f>IFERROR(__xludf.DUMMYFUNCTION("""COMPUTED_VALUE"""),11140.43)</f>
        <v/>
      </c>
      <c r="R1279" s="6">
        <f>S1279&amp;T1279</f>
        <v/>
      </c>
      <c r="S1279" s="6">
        <f>YEAR(U1279)</f>
        <v/>
      </c>
      <c r="T1279" s="6">
        <f>MONTH(U1279)</f>
        <v/>
      </c>
      <c r="U1279" s="267">
        <f>IFERROR(__xludf.DUMMYFUNCTION("""COMPUTED_VALUE"""),44999.6458333333)</f>
        <v/>
      </c>
      <c r="V1279" s="6">
        <f>IFERROR(__xludf.DUMMYFUNCTION("""COMPUTED_VALUE"""),2348.97)</f>
        <v/>
      </c>
      <c r="Z1279" s="6">
        <f>AA1279&amp;AB1279</f>
        <v/>
      </c>
      <c r="AA1279" s="6">
        <f>YEAR(AC1279)</f>
        <v/>
      </c>
      <c r="AB1279" s="6">
        <f>MONTH(AC1279)</f>
        <v/>
      </c>
      <c r="AC1279" s="267">
        <f>IFERROR(__xludf.DUMMYFUNCTION("""COMPUTED_VALUE"""),44424.9986111111)</f>
        <v/>
      </c>
      <c r="AD1279" s="6">
        <f>IFERROR(__xludf.DUMMYFUNCTION("""COMPUTED_VALUE"""),1164.5)</f>
        <v/>
      </c>
      <c r="AH1279" s="6">
        <f>AI1279&amp;AJ1279</f>
        <v/>
      </c>
      <c r="AI1279" s="6">
        <f>YEAR(AK1279)</f>
        <v/>
      </c>
      <c r="AJ1279" s="6">
        <f>MONTH(AK1279)</f>
        <v/>
      </c>
      <c r="AK1279" s="267">
        <f>IFERROR(__xludf.DUMMYFUNCTION("""COMPUTED_VALUE"""),44372.9986111111)</f>
        <v/>
      </c>
      <c r="AL1279" s="6">
        <f>IFERROR(__xludf.DUMMYFUNCTION("""COMPUTED_VALUE"""),31597.98)</f>
        <v/>
      </c>
      <c r="AP1279" s="6">
        <f>AQ1279&amp;AR1279</f>
        <v/>
      </c>
      <c r="AQ1279" s="6">
        <f>YEAR(AS1279)</f>
        <v/>
      </c>
      <c r="AR1279" s="6">
        <f>MONTH(AS1279)</f>
        <v/>
      </c>
      <c r="AS1279" s="267">
        <f>IFERROR(__xludf.DUMMYFUNCTION("""COMPUTED_VALUE"""),44963.9986111111)</f>
        <v/>
      </c>
      <c r="AT1279" s="6">
        <f>IFERROR(__xludf.DUMMYFUNCTION("""COMPUTED_VALUE"""),1879.5)</f>
        <v/>
      </c>
    </row>
    <row r="1280">
      <c r="B1280" s="6">
        <f>C1280&amp;D1280</f>
        <v/>
      </c>
      <c r="C1280" s="6">
        <f>YEAR(E1280)</f>
        <v/>
      </c>
      <c r="D1280" s="6">
        <f>MONTH(E1280)</f>
        <v/>
      </c>
      <c r="E1280" s="267">
        <f>IFERROR(__xludf.DUMMYFUNCTION("""COMPUTED_VALUE"""),44957.6666666666)</f>
        <v/>
      </c>
      <c r="F1280" s="6">
        <f>IFERROR(__xludf.DUMMYFUNCTION("""COMPUTED_VALUE"""),4076.6)</f>
        <v/>
      </c>
      <c r="J1280" s="6">
        <f>K1280&amp;L1280</f>
        <v/>
      </c>
      <c r="K1280" s="6">
        <f>YEAR(M1280)</f>
        <v/>
      </c>
      <c r="L1280" s="6">
        <f>MONTH(M1280)</f>
        <v/>
      </c>
      <c r="M1280" s="267">
        <f>IFERROR(__xludf.DUMMYFUNCTION("""COMPUTED_VALUE"""),44949.6666666666)</f>
        <v/>
      </c>
      <c r="N1280" s="6">
        <f>IFERROR(__xludf.DUMMYFUNCTION("""COMPUTED_VALUE"""),11364.41)</f>
        <v/>
      </c>
      <c r="R1280" s="6">
        <f>S1280&amp;T1280</f>
        <v/>
      </c>
      <c r="S1280" s="6">
        <f>YEAR(U1280)</f>
        <v/>
      </c>
      <c r="T1280" s="6">
        <f>MONTH(U1280)</f>
        <v/>
      </c>
      <c r="U1280" s="267">
        <f>IFERROR(__xludf.DUMMYFUNCTION("""COMPUTED_VALUE"""),45000.6458333333)</f>
        <v/>
      </c>
      <c r="V1280" s="6">
        <f>IFERROR(__xludf.DUMMYFUNCTION("""COMPUTED_VALUE"""),2379.72)</f>
        <v/>
      </c>
      <c r="Z1280" s="6">
        <f>AA1280&amp;AB1280</f>
        <v/>
      </c>
      <c r="AA1280" s="6">
        <f>YEAR(AC1280)</f>
        <v/>
      </c>
      <c r="AB1280" s="6">
        <f>MONTH(AC1280)</f>
        <v/>
      </c>
      <c r="AC1280" s="267">
        <f>IFERROR(__xludf.DUMMYFUNCTION("""COMPUTED_VALUE"""),44425.9986111111)</f>
        <v/>
      </c>
      <c r="AD1280" s="6">
        <f>IFERROR(__xludf.DUMMYFUNCTION("""COMPUTED_VALUE"""),1176.45)</f>
        <v/>
      </c>
      <c r="AH1280" s="6">
        <f>AI1280&amp;AJ1280</f>
        <v/>
      </c>
      <c r="AI1280" s="6">
        <f>YEAR(AK1280)</f>
        <v/>
      </c>
      <c r="AJ1280" s="6">
        <f>MONTH(AK1280)</f>
        <v/>
      </c>
      <c r="AK1280" s="267">
        <f>IFERROR(__xludf.DUMMYFUNCTION("""COMPUTED_VALUE"""),44373.9986111111)</f>
        <v/>
      </c>
      <c r="AL1280" s="6">
        <f>IFERROR(__xludf.DUMMYFUNCTION("""COMPUTED_VALUE"""),32214.82)</f>
        <v/>
      </c>
      <c r="AP1280" s="6">
        <f>AQ1280&amp;AR1280</f>
        <v/>
      </c>
      <c r="AQ1280" s="6">
        <f>YEAR(AS1280)</f>
        <v/>
      </c>
      <c r="AR1280" s="6">
        <f>MONTH(AS1280)</f>
        <v/>
      </c>
      <c r="AS1280" s="267">
        <f>IFERROR(__xludf.DUMMYFUNCTION("""COMPUTED_VALUE"""),44964.9986111111)</f>
        <v/>
      </c>
      <c r="AT1280" s="6">
        <f>IFERROR(__xludf.DUMMYFUNCTION("""COMPUTED_VALUE"""),1884.8)</f>
        <v/>
      </c>
    </row>
    <row r="1281">
      <c r="B1281" s="6">
        <f>C1281&amp;D1281</f>
        <v/>
      </c>
      <c r="C1281" s="6">
        <f>YEAR(E1281)</f>
        <v/>
      </c>
      <c r="D1281" s="6">
        <f>MONTH(E1281)</f>
        <v/>
      </c>
      <c r="E1281" s="267">
        <f>IFERROR(__xludf.DUMMYFUNCTION("""COMPUTED_VALUE"""),44958.6666666666)</f>
        <v/>
      </c>
      <c r="F1281" s="6">
        <f>IFERROR(__xludf.DUMMYFUNCTION("""COMPUTED_VALUE"""),4119.21)</f>
        <v/>
      </c>
      <c r="J1281" s="6">
        <f>K1281&amp;L1281</f>
        <v/>
      </c>
      <c r="K1281" s="6">
        <f>YEAR(M1281)</f>
        <v/>
      </c>
      <c r="L1281" s="6">
        <f>MONTH(M1281)</f>
        <v/>
      </c>
      <c r="M1281" s="267">
        <f>IFERROR(__xludf.DUMMYFUNCTION("""COMPUTED_VALUE"""),44950.6666666666)</f>
        <v/>
      </c>
      <c r="N1281" s="6">
        <f>IFERROR(__xludf.DUMMYFUNCTION("""COMPUTED_VALUE"""),11334.27)</f>
        <v/>
      </c>
      <c r="R1281" s="6">
        <f>S1281&amp;T1281</f>
        <v/>
      </c>
      <c r="S1281" s="6">
        <f>YEAR(U1281)</f>
        <v/>
      </c>
      <c r="T1281" s="6">
        <f>MONTH(U1281)</f>
        <v/>
      </c>
      <c r="U1281" s="267">
        <f>IFERROR(__xludf.DUMMYFUNCTION("""COMPUTED_VALUE"""),45001.6458333333)</f>
        <v/>
      </c>
      <c r="V1281" s="6">
        <f>IFERROR(__xludf.DUMMYFUNCTION("""COMPUTED_VALUE"""),2377.91)</f>
        <v/>
      </c>
      <c r="Z1281" s="6">
        <f>AA1281&amp;AB1281</f>
        <v/>
      </c>
      <c r="AA1281" s="6">
        <f>YEAR(AC1281)</f>
        <v/>
      </c>
      <c r="AB1281" s="6">
        <f>MONTH(AC1281)</f>
        <v/>
      </c>
      <c r="AC1281" s="267">
        <f>IFERROR(__xludf.DUMMYFUNCTION("""COMPUTED_VALUE"""),44426.9986111111)</f>
        <v/>
      </c>
      <c r="AD1281" s="6">
        <f>IFERROR(__xludf.DUMMYFUNCTION("""COMPUTED_VALUE"""),1169.68)</f>
        <v/>
      </c>
      <c r="AH1281" s="6">
        <f>AI1281&amp;AJ1281</f>
        <v/>
      </c>
      <c r="AI1281" s="6">
        <f>YEAR(AK1281)</f>
        <v/>
      </c>
      <c r="AJ1281" s="6">
        <f>MONTH(AK1281)</f>
        <v/>
      </c>
      <c r="AK1281" s="267">
        <f>IFERROR(__xludf.DUMMYFUNCTION("""COMPUTED_VALUE"""),44374.9986111111)</f>
        <v/>
      </c>
      <c r="AL1281" s="6">
        <f>IFERROR(__xludf.DUMMYFUNCTION("""COMPUTED_VALUE"""),34668.56)</f>
        <v/>
      </c>
      <c r="AP1281" s="6">
        <f>AQ1281&amp;AR1281</f>
        <v/>
      </c>
      <c r="AQ1281" s="6">
        <f>YEAR(AS1281)</f>
        <v/>
      </c>
      <c r="AR1281" s="6">
        <f>MONTH(AS1281)</f>
        <v/>
      </c>
      <c r="AS1281" s="267">
        <f>IFERROR(__xludf.DUMMYFUNCTION("""COMPUTED_VALUE"""),44965.9986111111)</f>
        <v/>
      </c>
      <c r="AT1281" s="6">
        <f>IFERROR(__xludf.DUMMYFUNCTION("""COMPUTED_VALUE"""),1890.7)</f>
        <v/>
      </c>
    </row>
    <row r="1282">
      <c r="B1282" s="6">
        <f>C1282&amp;D1282</f>
        <v/>
      </c>
      <c r="C1282" s="6">
        <f>YEAR(E1282)</f>
        <v/>
      </c>
      <c r="D1282" s="6">
        <f>MONTH(E1282)</f>
        <v/>
      </c>
      <c r="E1282" s="267">
        <f>IFERROR(__xludf.DUMMYFUNCTION("""COMPUTED_VALUE"""),44959.6666666666)</f>
        <v/>
      </c>
      <c r="F1282" s="6">
        <f>IFERROR(__xludf.DUMMYFUNCTION("""COMPUTED_VALUE"""),4179.76)</f>
        <v/>
      </c>
      <c r="J1282" s="6">
        <f>K1282&amp;L1282</f>
        <v/>
      </c>
      <c r="K1282" s="6">
        <f>YEAR(M1282)</f>
        <v/>
      </c>
      <c r="L1282" s="6">
        <f>MONTH(M1282)</f>
        <v/>
      </c>
      <c r="M1282" s="267">
        <f>IFERROR(__xludf.DUMMYFUNCTION("""COMPUTED_VALUE"""),44951.6666666666)</f>
        <v/>
      </c>
      <c r="N1282" s="6">
        <f>IFERROR(__xludf.DUMMYFUNCTION("""COMPUTED_VALUE"""),11313.36)</f>
        <v/>
      </c>
      <c r="R1282" s="6">
        <f>S1282&amp;T1282</f>
        <v/>
      </c>
      <c r="S1282" s="6">
        <f>YEAR(U1282)</f>
        <v/>
      </c>
      <c r="T1282" s="6">
        <f>MONTH(U1282)</f>
        <v/>
      </c>
      <c r="U1282" s="267">
        <f>IFERROR(__xludf.DUMMYFUNCTION("""COMPUTED_VALUE"""),45002.6458333333)</f>
        <v/>
      </c>
      <c r="V1282" s="6">
        <f>IFERROR(__xludf.DUMMYFUNCTION("""COMPUTED_VALUE"""),2395.69)</f>
        <v/>
      </c>
      <c r="Z1282" s="6">
        <f>AA1282&amp;AB1282</f>
        <v/>
      </c>
      <c r="AA1282" s="6">
        <f>YEAR(AC1282)</f>
        <v/>
      </c>
      <c r="AB1282" s="6">
        <f>MONTH(AC1282)</f>
        <v/>
      </c>
      <c r="AC1282" s="267">
        <f>IFERROR(__xludf.DUMMYFUNCTION("""COMPUTED_VALUE"""),44427.9986111111)</f>
        <v/>
      </c>
      <c r="AD1282" s="6">
        <f>IFERROR(__xludf.DUMMYFUNCTION("""COMPUTED_VALUE"""),1175.39)</f>
        <v/>
      </c>
      <c r="AH1282" s="6">
        <f>AI1282&amp;AJ1282</f>
        <v/>
      </c>
      <c r="AI1282" s="6">
        <f>YEAR(AK1282)</f>
        <v/>
      </c>
      <c r="AJ1282" s="6">
        <f>MONTH(AK1282)</f>
        <v/>
      </c>
      <c r="AK1282" s="267">
        <f>IFERROR(__xludf.DUMMYFUNCTION("""COMPUTED_VALUE"""),44375.9986111111)</f>
        <v/>
      </c>
      <c r="AL1282" s="6">
        <f>IFERROR(__xludf.DUMMYFUNCTION("""COMPUTED_VALUE"""),34463.3)</f>
        <v/>
      </c>
      <c r="AP1282" s="6">
        <f>AQ1282&amp;AR1282</f>
        <v/>
      </c>
      <c r="AQ1282" s="6">
        <f>YEAR(AS1282)</f>
        <v/>
      </c>
      <c r="AR1282" s="6">
        <f>MONTH(AS1282)</f>
        <v/>
      </c>
      <c r="AS1282" s="267">
        <f>IFERROR(__xludf.DUMMYFUNCTION("""COMPUTED_VALUE"""),44966.9986111111)</f>
        <v/>
      </c>
      <c r="AT1282" s="6">
        <f>IFERROR(__xludf.DUMMYFUNCTION("""COMPUTED_VALUE"""),1878.5)</f>
        <v/>
      </c>
    </row>
    <row r="1283">
      <c r="B1283" s="6">
        <f>C1283&amp;D1283</f>
        <v/>
      </c>
      <c r="C1283" s="6">
        <f>YEAR(E1283)</f>
        <v/>
      </c>
      <c r="D1283" s="6">
        <f>MONTH(E1283)</f>
        <v/>
      </c>
      <c r="E1283" s="267">
        <f>IFERROR(__xludf.DUMMYFUNCTION("""COMPUTED_VALUE"""),44960.6666666666)</f>
        <v/>
      </c>
      <c r="F1283" s="6">
        <f>IFERROR(__xludf.DUMMYFUNCTION("""COMPUTED_VALUE"""),4136.48)</f>
        <v/>
      </c>
      <c r="J1283" s="6">
        <f>K1283&amp;L1283</f>
        <v/>
      </c>
      <c r="K1283" s="6">
        <f>YEAR(M1283)</f>
        <v/>
      </c>
      <c r="L1283" s="6">
        <f>MONTH(M1283)</f>
        <v/>
      </c>
      <c r="M1283" s="267">
        <f>IFERROR(__xludf.DUMMYFUNCTION("""COMPUTED_VALUE"""),44952.6666666666)</f>
        <v/>
      </c>
      <c r="N1283" s="6">
        <f>IFERROR(__xludf.DUMMYFUNCTION("""COMPUTED_VALUE"""),11512.41)</f>
        <v/>
      </c>
      <c r="R1283" s="6">
        <f>S1283&amp;T1283</f>
        <v/>
      </c>
      <c r="S1283" s="6">
        <f>YEAR(U1283)</f>
        <v/>
      </c>
      <c r="T1283" s="6">
        <f>MONTH(U1283)</f>
        <v/>
      </c>
      <c r="U1283" s="267">
        <f>IFERROR(__xludf.DUMMYFUNCTION("""COMPUTED_VALUE"""),45005.6458333333)</f>
        <v/>
      </c>
      <c r="V1283" s="6">
        <f>IFERROR(__xludf.DUMMYFUNCTION("""COMPUTED_VALUE"""),2379.2)</f>
        <v/>
      </c>
      <c r="Z1283" s="6">
        <f>AA1283&amp;AB1283</f>
        <v/>
      </c>
      <c r="AA1283" s="6">
        <f>YEAR(AC1283)</f>
        <v/>
      </c>
      <c r="AB1283" s="6">
        <f>MONTH(AC1283)</f>
        <v/>
      </c>
      <c r="AC1283" s="267">
        <f>IFERROR(__xludf.DUMMYFUNCTION("""COMPUTED_VALUE"""),44428.9986111111)</f>
        <v/>
      </c>
      <c r="AD1283" s="6">
        <f>IFERROR(__xludf.DUMMYFUNCTION("""COMPUTED_VALUE"""),1173.78)</f>
        <v/>
      </c>
      <c r="AH1283" s="6">
        <f>AI1283&amp;AJ1283</f>
        <v/>
      </c>
      <c r="AI1283" s="6">
        <f>YEAR(AK1283)</f>
        <v/>
      </c>
      <c r="AJ1283" s="6">
        <f>MONTH(AK1283)</f>
        <v/>
      </c>
      <c r="AK1283" s="267">
        <f>IFERROR(__xludf.DUMMYFUNCTION("""COMPUTED_VALUE"""),44376.9986111111)</f>
        <v/>
      </c>
      <c r="AL1283" s="6">
        <f>IFERROR(__xludf.DUMMYFUNCTION("""COMPUTED_VALUE"""),35852.64)</f>
        <v/>
      </c>
      <c r="AP1283" s="6">
        <f>AQ1283&amp;AR1283</f>
        <v/>
      </c>
      <c r="AQ1283" s="6">
        <f>YEAR(AS1283)</f>
        <v/>
      </c>
      <c r="AR1283" s="6">
        <f>MONTH(AS1283)</f>
        <v/>
      </c>
      <c r="AS1283" s="267">
        <f>IFERROR(__xludf.DUMMYFUNCTION("""COMPUTED_VALUE"""),44967.9986111111)</f>
        <v/>
      </c>
      <c r="AT1283" s="6">
        <f>IFERROR(__xludf.DUMMYFUNCTION("""COMPUTED_VALUE"""),1874.5)</f>
        <v/>
      </c>
    </row>
    <row r="1284">
      <c r="B1284" s="6">
        <f>C1284&amp;D1284</f>
        <v/>
      </c>
      <c r="C1284" s="6">
        <f>YEAR(E1284)</f>
        <v/>
      </c>
      <c r="D1284" s="6">
        <f>MONTH(E1284)</f>
        <v/>
      </c>
      <c r="E1284" s="267">
        <f>IFERROR(__xludf.DUMMYFUNCTION("""COMPUTED_VALUE"""),44963.6666666666)</f>
        <v/>
      </c>
      <c r="F1284" s="6">
        <f>IFERROR(__xludf.DUMMYFUNCTION("""COMPUTED_VALUE"""),4111.08)</f>
        <v/>
      </c>
      <c r="J1284" s="6">
        <f>K1284&amp;L1284</f>
        <v/>
      </c>
      <c r="K1284" s="6">
        <f>YEAR(M1284)</f>
        <v/>
      </c>
      <c r="L1284" s="6">
        <f>MONTH(M1284)</f>
        <v/>
      </c>
      <c r="M1284" s="267">
        <f>IFERROR(__xludf.DUMMYFUNCTION("""COMPUTED_VALUE"""),44953.6666666666)</f>
        <v/>
      </c>
      <c r="N1284" s="6">
        <f>IFERROR(__xludf.DUMMYFUNCTION("""COMPUTED_VALUE"""),11621.71)</f>
        <v/>
      </c>
      <c r="R1284" s="6">
        <f>S1284&amp;T1284</f>
        <v/>
      </c>
      <c r="S1284" s="6">
        <f>YEAR(U1284)</f>
        <v/>
      </c>
      <c r="T1284" s="6">
        <f>MONTH(U1284)</f>
        <v/>
      </c>
      <c r="U1284" s="267">
        <f>IFERROR(__xludf.DUMMYFUNCTION("""COMPUTED_VALUE"""),45006.6458333333)</f>
        <v/>
      </c>
      <c r="V1284" s="6">
        <f>IFERROR(__xludf.DUMMYFUNCTION("""COMPUTED_VALUE"""),2388.35)</f>
        <v/>
      </c>
      <c r="Z1284" s="6">
        <f>AA1284&amp;AB1284</f>
        <v/>
      </c>
      <c r="AA1284" s="6">
        <f>YEAR(AC1284)</f>
        <v/>
      </c>
      <c r="AB1284" s="6">
        <f>MONTH(AC1284)</f>
        <v/>
      </c>
      <c r="AC1284" s="267">
        <f>IFERROR(__xludf.DUMMYFUNCTION("""COMPUTED_VALUE"""),44429.9986111111)</f>
        <v/>
      </c>
      <c r="AD1284" s="6">
        <f>IFERROR(__xludf.DUMMYFUNCTION("""COMPUTED_VALUE"""),1173.18)</f>
        <v/>
      </c>
      <c r="AH1284" s="6">
        <f>AI1284&amp;AJ1284</f>
        <v/>
      </c>
      <c r="AI1284" s="6">
        <f>YEAR(AK1284)</f>
        <v/>
      </c>
      <c r="AJ1284" s="6">
        <f>MONTH(AK1284)</f>
        <v/>
      </c>
      <c r="AK1284" s="267">
        <f>IFERROR(__xludf.DUMMYFUNCTION("""COMPUTED_VALUE"""),44377.9986111111)</f>
        <v/>
      </c>
      <c r="AL1284" s="6">
        <f>IFERROR(__xludf.DUMMYFUNCTION("""COMPUTED_VALUE"""),35031.71)</f>
        <v/>
      </c>
      <c r="AP1284" s="6">
        <f>AQ1284&amp;AR1284</f>
        <v/>
      </c>
      <c r="AQ1284" s="6">
        <f>YEAR(AS1284)</f>
        <v/>
      </c>
      <c r="AR1284" s="6">
        <f>MONTH(AS1284)</f>
        <v/>
      </c>
      <c r="AS1284" s="267">
        <f>IFERROR(__xludf.DUMMYFUNCTION("""COMPUTED_VALUE"""),44970.9986111111)</f>
        <v/>
      </c>
      <c r="AT1284" s="6">
        <f>IFERROR(__xludf.DUMMYFUNCTION("""COMPUTED_VALUE"""),1863.5)</f>
        <v/>
      </c>
    </row>
    <row r="1285">
      <c r="B1285" s="6">
        <f>C1285&amp;D1285</f>
        <v/>
      </c>
      <c r="C1285" s="6">
        <f>YEAR(E1285)</f>
        <v/>
      </c>
      <c r="D1285" s="6">
        <f>MONTH(E1285)</f>
        <v/>
      </c>
      <c r="E1285" s="267">
        <f>IFERROR(__xludf.DUMMYFUNCTION("""COMPUTED_VALUE"""),44964.6666666666)</f>
        <v/>
      </c>
      <c r="F1285" s="6">
        <f>IFERROR(__xludf.DUMMYFUNCTION("""COMPUTED_VALUE"""),4164)</f>
        <v/>
      </c>
      <c r="J1285" s="6">
        <f>K1285&amp;L1285</f>
        <v/>
      </c>
      <c r="K1285" s="6">
        <f>YEAR(M1285)</f>
        <v/>
      </c>
      <c r="L1285" s="6">
        <f>MONTH(M1285)</f>
        <v/>
      </c>
      <c r="M1285" s="267">
        <f>IFERROR(__xludf.DUMMYFUNCTION("""COMPUTED_VALUE"""),44956.6666666666)</f>
        <v/>
      </c>
      <c r="N1285" s="6">
        <f>IFERROR(__xludf.DUMMYFUNCTION("""COMPUTED_VALUE"""),11393.81)</f>
        <v/>
      </c>
      <c r="R1285" s="6">
        <f>S1285&amp;T1285</f>
        <v/>
      </c>
      <c r="S1285" s="6">
        <f>YEAR(U1285)</f>
        <v/>
      </c>
      <c r="T1285" s="6">
        <f>MONTH(U1285)</f>
        <v/>
      </c>
      <c r="U1285" s="267">
        <f>IFERROR(__xludf.DUMMYFUNCTION("""COMPUTED_VALUE"""),45007.6458333333)</f>
        <v/>
      </c>
      <c r="V1285" s="6">
        <f>IFERROR(__xludf.DUMMYFUNCTION("""COMPUTED_VALUE"""),2416.96)</f>
        <v/>
      </c>
      <c r="Z1285" s="6">
        <f>AA1285&amp;AB1285</f>
        <v/>
      </c>
      <c r="AA1285" s="6">
        <f>YEAR(AC1285)</f>
        <v/>
      </c>
      <c r="AB1285" s="6">
        <f>MONTH(AC1285)</f>
        <v/>
      </c>
      <c r="AC1285" s="267">
        <f>IFERROR(__xludf.DUMMYFUNCTION("""COMPUTED_VALUE"""),44430.9986111111)</f>
        <v/>
      </c>
      <c r="AD1285" s="6">
        <f>IFERROR(__xludf.DUMMYFUNCTION("""COMPUTED_VALUE"""),1174.24)</f>
        <v/>
      </c>
      <c r="AH1285" s="6">
        <f>AI1285&amp;AJ1285</f>
        <v/>
      </c>
      <c r="AI1285" s="6">
        <f>YEAR(AK1285)</f>
        <v/>
      </c>
      <c r="AJ1285" s="6">
        <f>MONTH(AK1285)</f>
        <v/>
      </c>
      <c r="AK1285" s="267">
        <f>IFERROR(__xludf.DUMMYFUNCTION("""COMPUTED_VALUE"""),44378.9986111111)</f>
        <v/>
      </c>
      <c r="AL1285" s="6">
        <f>IFERROR(__xludf.DUMMYFUNCTION("""COMPUTED_VALUE"""),33548.11)</f>
        <v/>
      </c>
      <c r="AP1285" s="6">
        <f>AQ1285&amp;AR1285</f>
        <v/>
      </c>
      <c r="AQ1285" s="6">
        <f>YEAR(AS1285)</f>
        <v/>
      </c>
      <c r="AR1285" s="6">
        <f>MONTH(AS1285)</f>
        <v/>
      </c>
      <c r="AS1285" s="267">
        <f>IFERROR(__xludf.DUMMYFUNCTION("""COMPUTED_VALUE"""),44971.9986111111)</f>
        <v/>
      </c>
      <c r="AT1285" s="6">
        <f>IFERROR(__xludf.DUMMYFUNCTION("""COMPUTED_VALUE"""),1865.4)</f>
        <v/>
      </c>
    </row>
    <row r="1286">
      <c r="B1286" s="6">
        <f>C1286&amp;D1286</f>
        <v/>
      </c>
      <c r="C1286" s="6">
        <f>YEAR(E1286)</f>
        <v/>
      </c>
      <c r="D1286" s="6">
        <f>MONTH(E1286)</f>
        <v/>
      </c>
      <c r="E1286" s="267">
        <f>IFERROR(__xludf.DUMMYFUNCTION("""COMPUTED_VALUE"""),44965.6666666666)</f>
        <v/>
      </c>
      <c r="F1286" s="6">
        <f>IFERROR(__xludf.DUMMYFUNCTION("""COMPUTED_VALUE"""),4117.86)</f>
        <v/>
      </c>
      <c r="J1286" s="6">
        <f>K1286&amp;L1286</f>
        <v/>
      </c>
      <c r="K1286" s="6">
        <f>YEAR(M1286)</f>
        <v/>
      </c>
      <c r="L1286" s="6">
        <f>MONTH(M1286)</f>
        <v/>
      </c>
      <c r="M1286" s="267">
        <f>IFERROR(__xludf.DUMMYFUNCTION("""COMPUTED_VALUE"""),44957.6666666666)</f>
        <v/>
      </c>
      <c r="N1286" s="6">
        <f>IFERROR(__xludf.DUMMYFUNCTION("""COMPUTED_VALUE"""),11584.55)</f>
        <v/>
      </c>
      <c r="R1286" s="6">
        <f>S1286&amp;T1286</f>
        <v/>
      </c>
      <c r="S1286" s="6">
        <f>YEAR(U1286)</f>
        <v/>
      </c>
      <c r="T1286" s="6">
        <f>MONTH(U1286)</f>
        <v/>
      </c>
      <c r="U1286" s="267">
        <f>IFERROR(__xludf.DUMMYFUNCTION("""COMPUTED_VALUE"""),45008.6458333333)</f>
        <v/>
      </c>
      <c r="V1286" s="6">
        <f>IFERROR(__xludf.DUMMYFUNCTION("""COMPUTED_VALUE"""),2424.48)</f>
        <v/>
      </c>
      <c r="Z1286" s="6">
        <f>AA1286&amp;AB1286</f>
        <v/>
      </c>
      <c r="AA1286" s="6">
        <f>YEAR(AC1286)</f>
        <v/>
      </c>
      <c r="AB1286" s="6">
        <f>MONTH(AC1286)</f>
        <v/>
      </c>
      <c r="AC1286" s="267">
        <f>IFERROR(__xludf.DUMMYFUNCTION("""COMPUTED_VALUE"""),44431.9986111111)</f>
        <v/>
      </c>
      <c r="AD1286" s="6">
        <f>IFERROR(__xludf.DUMMYFUNCTION("""COMPUTED_VALUE"""),1167.61)</f>
        <v/>
      </c>
      <c r="AH1286" s="6">
        <f>AI1286&amp;AJ1286</f>
        <v/>
      </c>
      <c r="AI1286" s="6">
        <f>YEAR(AK1286)</f>
        <v/>
      </c>
      <c r="AJ1286" s="6">
        <f>MONTH(AK1286)</f>
        <v/>
      </c>
      <c r="AK1286" s="267">
        <f>IFERROR(__xludf.DUMMYFUNCTION("""COMPUTED_VALUE"""),44379.9986111111)</f>
        <v/>
      </c>
      <c r="AL1286" s="6">
        <f>IFERROR(__xludf.DUMMYFUNCTION("""COMPUTED_VALUE"""),33830.32)</f>
        <v/>
      </c>
      <c r="AP1286" s="6">
        <f>AQ1286&amp;AR1286</f>
        <v/>
      </c>
      <c r="AQ1286" s="6">
        <f>YEAR(AS1286)</f>
        <v/>
      </c>
      <c r="AR1286" s="6">
        <f>MONTH(AS1286)</f>
        <v/>
      </c>
      <c r="AS1286" s="267">
        <f>IFERROR(__xludf.DUMMYFUNCTION("""COMPUTED_VALUE"""),44972.9986111111)</f>
        <v/>
      </c>
      <c r="AT1286" s="6">
        <f>IFERROR(__xludf.DUMMYFUNCTION("""COMPUTED_VALUE"""),1845.3)</f>
        <v/>
      </c>
    </row>
    <row r="1287">
      <c r="B1287" s="6">
        <f>C1287&amp;D1287</f>
        <v/>
      </c>
      <c r="C1287" s="6">
        <f>YEAR(E1287)</f>
        <v/>
      </c>
      <c r="D1287" s="6">
        <f>MONTH(E1287)</f>
        <v/>
      </c>
      <c r="E1287" s="267">
        <f>IFERROR(__xludf.DUMMYFUNCTION("""COMPUTED_VALUE"""),44966.6666666666)</f>
        <v/>
      </c>
      <c r="F1287" s="6">
        <f>IFERROR(__xludf.DUMMYFUNCTION("""COMPUTED_VALUE"""),4081.5)</f>
        <v/>
      </c>
      <c r="J1287" s="6">
        <f>K1287&amp;L1287</f>
        <v/>
      </c>
      <c r="K1287" s="6">
        <f>YEAR(M1287)</f>
        <v/>
      </c>
      <c r="L1287" s="6">
        <f>MONTH(M1287)</f>
        <v/>
      </c>
      <c r="M1287" s="267">
        <f>IFERROR(__xludf.DUMMYFUNCTION("""COMPUTED_VALUE"""),44958.6666666666)</f>
        <v/>
      </c>
      <c r="N1287" s="6">
        <f>IFERROR(__xludf.DUMMYFUNCTION("""COMPUTED_VALUE"""),11816.32)</f>
        <v/>
      </c>
      <c r="R1287" s="6">
        <f>S1287&amp;T1287</f>
        <v/>
      </c>
      <c r="S1287" s="6">
        <f>YEAR(U1287)</f>
        <v/>
      </c>
      <c r="T1287" s="6">
        <f>MONTH(U1287)</f>
        <v/>
      </c>
      <c r="U1287" s="267">
        <f>IFERROR(__xludf.DUMMYFUNCTION("""COMPUTED_VALUE"""),45009.6458333333)</f>
        <v/>
      </c>
      <c r="V1287" s="6">
        <f>IFERROR(__xludf.DUMMYFUNCTION("""COMPUTED_VALUE"""),2414.96)</f>
        <v/>
      </c>
      <c r="Z1287" s="6">
        <f>AA1287&amp;AB1287</f>
        <v/>
      </c>
      <c r="AA1287" s="6">
        <f>YEAR(AC1287)</f>
        <v/>
      </c>
      <c r="AB1287" s="6">
        <f>MONTH(AC1287)</f>
        <v/>
      </c>
      <c r="AC1287" s="267">
        <f>IFERROR(__xludf.DUMMYFUNCTION("""COMPUTED_VALUE"""),44432.9986111111)</f>
        <v/>
      </c>
      <c r="AD1287" s="6">
        <f>IFERROR(__xludf.DUMMYFUNCTION("""COMPUTED_VALUE"""),1163.47)</f>
        <v/>
      </c>
      <c r="AH1287" s="6">
        <f>AI1287&amp;AJ1287</f>
        <v/>
      </c>
      <c r="AI1287" s="6">
        <f>YEAR(AK1287)</f>
        <v/>
      </c>
      <c r="AJ1287" s="6">
        <f>MONTH(AK1287)</f>
        <v/>
      </c>
      <c r="AK1287" s="267">
        <f>IFERROR(__xludf.DUMMYFUNCTION("""COMPUTED_VALUE"""),44380.9986111111)</f>
        <v/>
      </c>
      <c r="AL1287" s="6">
        <f>IFERROR(__xludf.DUMMYFUNCTION("""COMPUTED_VALUE"""),34681.76)</f>
        <v/>
      </c>
      <c r="AP1287" s="6">
        <f>AQ1287&amp;AR1287</f>
        <v/>
      </c>
      <c r="AQ1287" s="6">
        <f>YEAR(AS1287)</f>
        <v/>
      </c>
      <c r="AR1287" s="6">
        <f>MONTH(AS1287)</f>
        <v/>
      </c>
      <c r="AS1287" s="267">
        <f>IFERROR(__xludf.DUMMYFUNCTION("""COMPUTED_VALUE"""),44973.9986111111)</f>
        <v/>
      </c>
      <c r="AT1287" s="6">
        <f>IFERROR(__xludf.DUMMYFUNCTION("""COMPUTED_VALUE"""),1851.8)</f>
        <v/>
      </c>
    </row>
    <row r="1288">
      <c r="B1288" s="6">
        <f>C1288&amp;D1288</f>
        <v/>
      </c>
      <c r="C1288" s="6">
        <f>YEAR(E1288)</f>
        <v/>
      </c>
      <c r="D1288" s="6">
        <f>MONTH(E1288)</f>
        <v/>
      </c>
      <c r="E1288" s="267">
        <f>IFERROR(__xludf.DUMMYFUNCTION("""COMPUTED_VALUE"""),44967.6666666666)</f>
        <v/>
      </c>
      <c r="F1288" s="6">
        <f>IFERROR(__xludf.DUMMYFUNCTION("""COMPUTED_VALUE"""),4090.46)</f>
        <v/>
      </c>
      <c r="J1288" s="6">
        <f>K1288&amp;L1288</f>
        <v/>
      </c>
      <c r="K1288" s="6">
        <f>YEAR(M1288)</f>
        <v/>
      </c>
      <c r="L1288" s="6">
        <f>MONTH(M1288)</f>
        <v/>
      </c>
      <c r="M1288" s="267">
        <f>IFERROR(__xludf.DUMMYFUNCTION("""COMPUTED_VALUE"""),44959.6666666666)</f>
        <v/>
      </c>
      <c r="N1288" s="6">
        <f>IFERROR(__xludf.DUMMYFUNCTION("""COMPUTED_VALUE"""),12200.82)</f>
        <v/>
      </c>
      <c r="R1288" s="6">
        <f>S1288&amp;T1288</f>
        <v/>
      </c>
      <c r="S1288" s="6">
        <f>YEAR(U1288)</f>
        <v/>
      </c>
      <c r="T1288" s="6">
        <f>MONTH(U1288)</f>
        <v/>
      </c>
      <c r="U1288" s="267">
        <f>IFERROR(__xludf.DUMMYFUNCTION("""COMPUTED_VALUE"""),45012.6458333333)</f>
        <v/>
      </c>
      <c r="V1288" s="6">
        <f>IFERROR(__xludf.DUMMYFUNCTION("""COMPUTED_VALUE"""),2409.22)</f>
        <v/>
      </c>
      <c r="Z1288" s="6">
        <f>AA1288&amp;AB1288</f>
        <v/>
      </c>
      <c r="AA1288" s="6">
        <f>YEAR(AC1288)</f>
        <v/>
      </c>
      <c r="AB1288" s="6">
        <f>MONTH(AC1288)</f>
        <v/>
      </c>
      <c r="AC1288" s="267">
        <f>IFERROR(__xludf.DUMMYFUNCTION("""COMPUTED_VALUE"""),44433.9986111111)</f>
        <v/>
      </c>
      <c r="AD1288" s="6">
        <f>IFERROR(__xludf.DUMMYFUNCTION("""COMPUTED_VALUE"""),1163.33)</f>
        <v/>
      </c>
      <c r="AH1288" s="6">
        <f>AI1288&amp;AJ1288</f>
        <v/>
      </c>
      <c r="AI1288" s="6">
        <f>YEAR(AK1288)</f>
        <v/>
      </c>
      <c r="AJ1288" s="6">
        <f>MONTH(AK1288)</f>
        <v/>
      </c>
      <c r="AK1288" s="267">
        <f>IFERROR(__xludf.DUMMYFUNCTION("""COMPUTED_VALUE"""),44381.9986111111)</f>
        <v/>
      </c>
      <c r="AL1288" s="6">
        <f>IFERROR(__xludf.DUMMYFUNCTION("""COMPUTED_VALUE"""),35302.52)</f>
        <v/>
      </c>
      <c r="AP1288" s="6">
        <f>AQ1288&amp;AR1288</f>
        <v/>
      </c>
      <c r="AQ1288" s="6">
        <f>YEAR(AS1288)</f>
        <v/>
      </c>
      <c r="AR1288" s="6">
        <f>MONTH(AS1288)</f>
        <v/>
      </c>
      <c r="AS1288" s="267">
        <f>IFERROR(__xludf.DUMMYFUNCTION("""COMPUTED_VALUE"""),44974.9986111111)</f>
        <v/>
      </c>
      <c r="AT1288" s="6">
        <f>IFERROR(__xludf.DUMMYFUNCTION("""COMPUTED_VALUE"""),1850.2)</f>
        <v/>
      </c>
    </row>
    <row r="1289">
      <c r="B1289" s="6">
        <f>C1289&amp;D1289</f>
        <v/>
      </c>
      <c r="C1289" s="6">
        <f>YEAR(E1289)</f>
        <v/>
      </c>
      <c r="D1289" s="6">
        <f>MONTH(E1289)</f>
        <v/>
      </c>
      <c r="E1289" s="267">
        <f>IFERROR(__xludf.DUMMYFUNCTION("""COMPUTED_VALUE"""),44970.6666666666)</f>
        <v/>
      </c>
      <c r="F1289" s="6">
        <f>IFERROR(__xludf.DUMMYFUNCTION("""COMPUTED_VALUE"""),4137.29)</f>
        <v/>
      </c>
      <c r="J1289" s="6">
        <f>K1289&amp;L1289</f>
        <v/>
      </c>
      <c r="K1289" s="6">
        <f>YEAR(M1289)</f>
        <v/>
      </c>
      <c r="L1289" s="6">
        <f>MONTH(M1289)</f>
        <v/>
      </c>
      <c r="M1289" s="267">
        <f>IFERROR(__xludf.DUMMYFUNCTION("""COMPUTED_VALUE"""),44960.6666666666)</f>
        <v/>
      </c>
      <c r="N1289" s="6">
        <f>IFERROR(__xludf.DUMMYFUNCTION("""COMPUTED_VALUE"""),12006.96)</f>
        <v/>
      </c>
      <c r="R1289" s="6">
        <f>S1289&amp;T1289</f>
        <v/>
      </c>
      <c r="S1289" s="6">
        <f>YEAR(U1289)</f>
        <v/>
      </c>
      <c r="T1289" s="6">
        <f>MONTH(U1289)</f>
        <v/>
      </c>
      <c r="U1289" s="267">
        <f>IFERROR(__xludf.DUMMYFUNCTION("""COMPUTED_VALUE"""),45013.6458333333)</f>
        <v/>
      </c>
      <c r="V1289" s="6">
        <f>IFERROR(__xludf.DUMMYFUNCTION("""COMPUTED_VALUE"""),2434.94)</f>
        <v/>
      </c>
      <c r="Z1289" s="6">
        <f>AA1289&amp;AB1289</f>
        <v/>
      </c>
      <c r="AA1289" s="6">
        <f>YEAR(AC1289)</f>
        <v/>
      </c>
      <c r="AB1289" s="6">
        <f>MONTH(AC1289)</f>
        <v/>
      </c>
      <c r="AC1289" s="267">
        <f>IFERROR(__xludf.DUMMYFUNCTION("""COMPUTED_VALUE"""),44434.9986111111)</f>
        <v/>
      </c>
      <c r="AD1289" s="6">
        <f>IFERROR(__xludf.DUMMYFUNCTION("""COMPUTED_VALUE"""),1170)</f>
        <v/>
      </c>
      <c r="AH1289" s="6">
        <f>AI1289&amp;AJ1289</f>
        <v/>
      </c>
      <c r="AI1289" s="6">
        <f>YEAR(AK1289)</f>
        <v/>
      </c>
      <c r="AJ1289" s="6">
        <f>MONTH(AK1289)</f>
        <v/>
      </c>
      <c r="AK1289" s="267">
        <f>IFERROR(__xludf.DUMMYFUNCTION("""COMPUTED_VALUE"""),44382.9986111111)</f>
        <v/>
      </c>
      <c r="AL1289" s="6">
        <f>IFERROR(__xludf.DUMMYFUNCTION("""COMPUTED_VALUE"""),33707.41)</f>
        <v/>
      </c>
      <c r="AP1289" s="6">
        <f>AQ1289&amp;AR1289</f>
        <v/>
      </c>
      <c r="AQ1289" s="6">
        <f>YEAR(AS1289)</f>
        <v/>
      </c>
      <c r="AR1289" s="6">
        <f>MONTH(AS1289)</f>
        <v/>
      </c>
      <c r="AS1289" s="267">
        <f>IFERROR(__xludf.DUMMYFUNCTION("""COMPUTED_VALUE"""),44978.9986111111)</f>
        <v/>
      </c>
      <c r="AT1289" s="6">
        <f>IFERROR(__xludf.DUMMYFUNCTION("""COMPUTED_VALUE"""),1842.5)</f>
        <v/>
      </c>
    </row>
    <row r="1290">
      <c r="B1290" s="6">
        <f>C1290&amp;D1290</f>
        <v/>
      </c>
      <c r="C1290" s="6">
        <f>YEAR(E1290)</f>
        <v/>
      </c>
      <c r="D1290" s="6">
        <f>MONTH(E1290)</f>
        <v/>
      </c>
      <c r="E1290" s="267">
        <f>IFERROR(__xludf.DUMMYFUNCTION("""COMPUTED_VALUE"""),44971.6666666666)</f>
        <v/>
      </c>
      <c r="F1290" s="6">
        <f>IFERROR(__xludf.DUMMYFUNCTION("""COMPUTED_VALUE"""),4136.13)</f>
        <v/>
      </c>
      <c r="J1290" s="6">
        <f>K1290&amp;L1290</f>
        <v/>
      </c>
      <c r="K1290" s="6">
        <f>YEAR(M1290)</f>
        <v/>
      </c>
      <c r="L1290" s="6">
        <f>MONTH(M1290)</f>
        <v/>
      </c>
      <c r="M1290" s="267">
        <f>IFERROR(__xludf.DUMMYFUNCTION("""COMPUTED_VALUE"""),44963.6666666666)</f>
        <v/>
      </c>
      <c r="N1290" s="6">
        <f>IFERROR(__xludf.DUMMYFUNCTION("""COMPUTED_VALUE"""),11887.45)</f>
        <v/>
      </c>
      <c r="R1290" s="6">
        <f>S1290&amp;T1290</f>
        <v/>
      </c>
      <c r="S1290" s="6">
        <f>YEAR(U1290)</f>
        <v/>
      </c>
      <c r="T1290" s="6">
        <f>MONTH(U1290)</f>
        <v/>
      </c>
      <c r="U1290" s="267">
        <f>IFERROR(__xludf.DUMMYFUNCTION("""COMPUTED_VALUE"""),45014.6458333333)</f>
        <v/>
      </c>
      <c r="V1290" s="6">
        <f>IFERROR(__xludf.DUMMYFUNCTION("""COMPUTED_VALUE"""),2443.92)</f>
        <v/>
      </c>
      <c r="Z1290" s="6">
        <f>AA1290&amp;AB1290</f>
        <v/>
      </c>
      <c r="AA1290" s="6">
        <f>YEAR(AC1290)</f>
        <v/>
      </c>
      <c r="AB1290" s="6">
        <f>MONTH(AC1290)</f>
        <v/>
      </c>
      <c r="AC1290" s="267">
        <f>IFERROR(__xludf.DUMMYFUNCTION("""COMPUTED_VALUE"""),44435.9986111111)</f>
        <v/>
      </c>
      <c r="AD1290" s="6">
        <f>IFERROR(__xludf.DUMMYFUNCTION("""COMPUTED_VALUE"""),1161.4)</f>
        <v/>
      </c>
      <c r="AH1290" s="6">
        <f>AI1290&amp;AJ1290</f>
        <v/>
      </c>
      <c r="AI1290" s="6">
        <f>YEAR(AK1290)</f>
        <v/>
      </c>
      <c r="AJ1290" s="6">
        <f>MONTH(AK1290)</f>
        <v/>
      </c>
      <c r="AK1290" s="267">
        <f>IFERROR(__xludf.DUMMYFUNCTION("""COMPUTED_VALUE"""),44383.9986111111)</f>
        <v/>
      </c>
      <c r="AL1290" s="6">
        <f>IFERROR(__xludf.DUMMYFUNCTION("""COMPUTED_VALUE"""),34224.65)</f>
        <v/>
      </c>
      <c r="AP1290" s="6">
        <f>AQ1290&amp;AR1290</f>
        <v/>
      </c>
      <c r="AQ1290" s="6">
        <f>YEAR(AS1290)</f>
        <v/>
      </c>
      <c r="AR1290" s="6">
        <f>MONTH(AS1290)</f>
        <v/>
      </c>
      <c r="AS1290" s="267">
        <f>IFERROR(__xludf.DUMMYFUNCTION("""COMPUTED_VALUE"""),44979.9986111111)</f>
        <v/>
      </c>
      <c r="AT1290" s="6">
        <f>IFERROR(__xludf.DUMMYFUNCTION("""COMPUTED_VALUE"""),1841.5)</f>
        <v/>
      </c>
    </row>
    <row r="1291">
      <c r="B1291" s="6">
        <f>C1291&amp;D1291</f>
        <v/>
      </c>
      <c r="C1291" s="6">
        <f>YEAR(E1291)</f>
        <v/>
      </c>
      <c r="D1291" s="6">
        <f>MONTH(E1291)</f>
        <v/>
      </c>
      <c r="E1291" s="267">
        <f>IFERROR(__xludf.DUMMYFUNCTION("""COMPUTED_VALUE"""),44972.6666666666)</f>
        <v/>
      </c>
      <c r="F1291" s="6">
        <f>IFERROR(__xludf.DUMMYFUNCTION("""COMPUTED_VALUE"""),4147.6)</f>
        <v/>
      </c>
      <c r="J1291" s="6">
        <f>K1291&amp;L1291</f>
        <v/>
      </c>
      <c r="K1291" s="6">
        <f>YEAR(M1291)</f>
        <v/>
      </c>
      <c r="L1291" s="6">
        <f>MONTH(M1291)</f>
        <v/>
      </c>
      <c r="M1291" s="267">
        <f>IFERROR(__xludf.DUMMYFUNCTION("""COMPUTED_VALUE"""),44964.6666666666)</f>
        <v/>
      </c>
      <c r="N1291" s="6">
        <f>IFERROR(__xludf.DUMMYFUNCTION("""COMPUTED_VALUE"""),12113.79)</f>
        <v/>
      </c>
      <c r="R1291" s="6">
        <f>S1291&amp;T1291</f>
        <v/>
      </c>
      <c r="S1291" s="6">
        <f>YEAR(U1291)</f>
        <v/>
      </c>
      <c r="T1291" s="6">
        <f>MONTH(U1291)</f>
        <v/>
      </c>
      <c r="U1291" s="267">
        <f>IFERROR(__xludf.DUMMYFUNCTION("""COMPUTED_VALUE"""),45015.6458333333)</f>
        <v/>
      </c>
      <c r="V1291" s="6">
        <f>IFERROR(__xludf.DUMMYFUNCTION("""COMPUTED_VALUE"""),2453.16)</f>
        <v/>
      </c>
      <c r="Z1291" s="6">
        <f>AA1291&amp;AB1291</f>
        <v/>
      </c>
      <c r="AA1291" s="6">
        <f>YEAR(AC1291)</f>
        <v/>
      </c>
      <c r="AB1291" s="6">
        <f>MONTH(AC1291)</f>
        <v/>
      </c>
      <c r="AC1291" s="267">
        <f>IFERROR(__xludf.DUMMYFUNCTION("""COMPUTED_VALUE"""),44436.9986111111)</f>
        <v/>
      </c>
      <c r="AD1291" s="6">
        <f>IFERROR(__xludf.DUMMYFUNCTION("""COMPUTED_VALUE"""),1161.4)</f>
        <v/>
      </c>
      <c r="AH1291" s="6">
        <f>AI1291&amp;AJ1291</f>
        <v/>
      </c>
      <c r="AI1291" s="6">
        <f>YEAR(AK1291)</f>
        <v/>
      </c>
      <c r="AJ1291" s="6">
        <f>MONTH(AK1291)</f>
        <v/>
      </c>
      <c r="AK1291" s="267">
        <f>IFERROR(__xludf.DUMMYFUNCTION("""COMPUTED_VALUE"""),44384.9986111111)</f>
        <v/>
      </c>
      <c r="AL1291" s="6">
        <f>IFERROR(__xludf.DUMMYFUNCTION("""COMPUTED_VALUE"""),33876.87)</f>
        <v/>
      </c>
      <c r="AP1291" s="6">
        <f>AQ1291&amp;AR1291</f>
        <v/>
      </c>
      <c r="AQ1291" s="6">
        <f>YEAR(AS1291)</f>
        <v/>
      </c>
      <c r="AR1291" s="6">
        <f>MONTH(AS1291)</f>
        <v/>
      </c>
      <c r="AS1291" s="267">
        <f>IFERROR(__xludf.DUMMYFUNCTION("""COMPUTED_VALUE"""),44980.9986111111)</f>
        <v/>
      </c>
      <c r="AT1291" s="6">
        <f>IFERROR(__xludf.DUMMYFUNCTION("""COMPUTED_VALUE"""),1826.8)</f>
        <v/>
      </c>
    </row>
    <row r="1292">
      <c r="B1292" s="6">
        <f>C1292&amp;D1292</f>
        <v/>
      </c>
      <c r="C1292" s="6">
        <f>YEAR(E1292)</f>
        <v/>
      </c>
      <c r="D1292" s="6">
        <f>MONTH(E1292)</f>
        <v/>
      </c>
      <c r="E1292" s="267">
        <f>IFERROR(__xludf.DUMMYFUNCTION("""COMPUTED_VALUE"""),44973.6666666666)</f>
        <v/>
      </c>
      <c r="F1292" s="6">
        <f>IFERROR(__xludf.DUMMYFUNCTION("""COMPUTED_VALUE"""),4090.41)</f>
        <v/>
      </c>
      <c r="J1292" s="6">
        <f>K1292&amp;L1292</f>
        <v/>
      </c>
      <c r="K1292" s="6">
        <f>YEAR(M1292)</f>
        <v/>
      </c>
      <c r="L1292" s="6">
        <f>MONTH(M1292)</f>
        <v/>
      </c>
      <c r="M1292" s="267">
        <f>IFERROR(__xludf.DUMMYFUNCTION("""COMPUTED_VALUE"""),44965.6666666666)</f>
        <v/>
      </c>
      <c r="N1292" s="6">
        <f>IFERROR(__xludf.DUMMYFUNCTION("""COMPUTED_VALUE"""),11910.52)</f>
        <v/>
      </c>
      <c r="R1292" s="6">
        <f>S1292&amp;T1292</f>
        <v/>
      </c>
      <c r="S1292" s="6">
        <f>YEAR(U1292)</f>
        <v/>
      </c>
      <c r="T1292" s="6">
        <f>MONTH(U1292)</f>
        <v/>
      </c>
      <c r="U1292" s="267">
        <f>IFERROR(__xludf.DUMMYFUNCTION("""COMPUTED_VALUE"""),45016.6458333333)</f>
        <v/>
      </c>
      <c r="V1292" s="6">
        <f>IFERROR(__xludf.DUMMYFUNCTION("""COMPUTED_VALUE"""),2476.86)</f>
        <v/>
      </c>
      <c r="Z1292" s="6">
        <f>AA1292&amp;AB1292</f>
        <v/>
      </c>
      <c r="AA1292" s="6">
        <f>YEAR(AC1292)</f>
        <v/>
      </c>
      <c r="AB1292" s="6">
        <f>MONTH(AC1292)</f>
        <v/>
      </c>
      <c r="AC1292" s="267">
        <f>IFERROR(__xludf.DUMMYFUNCTION("""COMPUTED_VALUE"""),44437.9986111111)</f>
        <v/>
      </c>
      <c r="AD1292" s="6">
        <f>IFERROR(__xludf.DUMMYFUNCTION("""COMPUTED_VALUE"""),1161.33)</f>
        <v/>
      </c>
      <c r="AH1292" s="6">
        <f>AI1292&amp;AJ1292</f>
        <v/>
      </c>
      <c r="AI1292" s="6">
        <f>YEAR(AK1292)</f>
        <v/>
      </c>
      <c r="AJ1292" s="6">
        <f>MONTH(AK1292)</f>
        <v/>
      </c>
      <c r="AK1292" s="267">
        <f>IFERROR(__xludf.DUMMYFUNCTION("""COMPUTED_VALUE"""),44385.9986111111)</f>
        <v/>
      </c>
      <c r="AL1292" s="6">
        <f>IFERROR(__xludf.DUMMYFUNCTION("""COMPUTED_VALUE"""),32865.52)</f>
        <v/>
      </c>
      <c r="AP1292" s="6">
        <f>AQ1292&amp;AR1292</f>
        <v/>
      </c>
      <c r="AQ1292" s="6">
        <f>YEAR(AS1292)</f>
        <v/>
      </c>
      <c r="AR1292" s="6">
        <f>MONTH(AS1292)</f>
        <v/>
      </c>
      <c r="AS1292" s="267">
        <f>IFERROR(__xludf.DUMMYFUNCTION("""COMPUTED_VALUE"""),44981.9986111111)</f>
        <v/>
      </c>
      <c r="AT1292" s="6">
        <f>IFERROR(__xludf.DUMMYFUNCTION("""COMPUTED_VALUE"""),1817.1)</f>
        <v/>
      </c>
    </row>
    <row r="1293">
      <c r="B1293" s="6">
        <f>C1293&amp;D1293</f>
        <v/>
      </c>
      <c r="C1293" s="6">
        <f>YEAR(E1293)</f>
        <v/>
      </c>
      <c r="D1293" s="6">
        <f>MONTH(E1293)</f>
        <v/>
      </c>
      <c r="E1293" s="267">
        <f>IFERROR(__xludf.DUMMYFUNCTION("""COMPUTED_VALUE"""),44974.6666666666)</f>
        <v/>
      </c>
      <c r="F1293" s="6">
        <f>IFERROR(__xludf.DUMMYFUNCTION("""COMPUTED_VALUE"""),4079.09)</f>
        <v/>
      </c>
      <c r="J1293" s="6">
        <f>K1293&amp;L1293</f>
        <v/>
      </c>
      <c r="K1293" s="6">
        <f>YEAR(M1293)</f>
        <v/>
      </c>
      <c r="L1293" s="6">
        <f>MONTH(M1293)</f>
        <v/>
      </c>
      <c r="M1293" s="267">
        <f>IFERROR(__xludf.DUMMYFUNCTION("""COMPUTED_VALUE"""),44966.6666666666)</f>
        <v/>
      </c>
      <c r="N1293" s="6">
        <f>IFERROR(__xludf.DUMMYFUNCTION("""COMPUTED_VALUE"""),11789.58)</f>
        <v/>
      </c>
      <c r="R1293" s="6">
        <f>S1293&amp;T1293</f>
        <v/>
      </c>
      <c r="S1293" s="6">
        <f>YEAR(U1293)</f>
        <v/>
      </c>
      <c r="T1293" s="6">
        <f>MONTH(U1293)</f>
        <v/>
      </c>
      <c r="U1293" s="267">
        <f>IFERROR(__xludf.DUMMYFUNCTION("""COMPUTED_VALUE"""),45019.6458333333)</f>
        <v/>
      </c>
      <c r="V1293" s="6">
        <f>IFERROR(__xludf.DUMMYFUNCTION("""COMPUTED_VALUE"""),2472.34)</f>
        <v/>
      </c>
      <c r="Z1293" s="6">
        <f>AA1293&amp;AB1293</f>
        <v/>
      </c>
      <c r="AA1293" s="6">
        <f>YEAR(AC1293)</f>
        <v/>
      </c>
      <c r="AB1293" s="6">
        <f>MONTH(AC1293)</f>
        <v/>
      </c>
      <c r="AC1293" s="267">
        <f>IFERROR(__xludf.DUMMYFUNCTION("""COMPUTED_VALUE"""),44438.9986111111)</f>
        <v/>
      </c>
      <c r="AD1293" s="6">
        <f>IFERROR(__xludf.DUMMYFUNCTION("""COMPUTED_VALUE"""),1165.51)</f>
        <v/>
      </c>
      <c r="AH1293" s="6">
        <f>AI1293&amp;AJ1293</f>
        <v/>
      </c>
      <c r="AI1293" s="6">
        <f>YEAR(AK1293)</f>
        <v/>
      </c>
      <c r="AJ1293" s="6">
        <f>MONTH(AK1293)</f>
        <v/>
      </c>
      <c r="AK1293" s="267">
        <f>IFERROR(__xludf.DUMMYFUNCTION("""COMPUTED_VALUE"""),44386.9986111111)</f>
        <v/>
      </c>
      <c r="AL1293" s="6">
        <f>IFERROR(__xludf.DUMMYFUNCTION("""COMPUTED_VALUE"""),33803.7)</f>
        <v/>
      </c>
      <c r="AP1293" s="6">
        <f>AQ1293&amp;AR1293</f>
        <v/>
      </c>
      <c r="AQ1293" s="6">
        <f>YEAR(AS1293)</f>
        <v/>
      </c>
      <c r="AR1293" s="6">
        <f>MONTH(AS1293)</f>
        <v/>
      </c>
      <c r="AS1293" s="267">
        <f>IFERROR(__xludf.DUMMYFUNCTION("""COMPUTED_VALUE"""),44984.9986111111)</f>
        <v/>
      </c>
      <c r="AT1293" s="6">
        <f>IFERROR(__xludf.DUMMYFUNCTION("""COMPUTED_VALUE"""),1824.9)</f>
        <v/>
      </c>
    </row>
    <row r="1294">
      <c r="B1294" s="6">
        <f>C1294&amp;D1294</f>
        <v/>
      </c>
      <c r="C1294" s="6">
        <f>YEAR(E1294)</f>
        <v/>
      </c>
      <c r="D1294" s="6">
        <f>MONTH(E1294)</f>
        <v/>
      </c>
      <c r="E1294" s="267">
        <f>IFERROR(__xludf.DUMMYFUNCTION("""COMPUTED_VALUE"""),44978.6666666666)</f>
        <v/>
      </c>
      <c r="F1294" s="6">
        <f>IFERROR(__xludf.DUMMYFUNCTION("""COMPUTED_VALUE"""),3997.34)</f>
        <v/>
      </c>
      <c r="J1294" s="6">
        <f>K1294&amp;L1294</f>
        <v/>
      </c>
      <c r="K1294" s="6">
        <f>YEAR(M1294)</f>
        <v/>
      </c>
      <c r="L1294" s="6">
        <f>MONTH(M1294)</f>
        <v/>
      </c>
      <c r="M1294" s="267">
        <f>IFERROR(__xludf.DUMMYFUNCTION("""COMPUTED_VALUE"""),44967.6666666666)</f>
        <v/>
      </c>
      <c r="N1294" s="6">
        <f>IFERROR(__xludf.DUMMYFUNCTION("""COMPUTED_VALUE"""),11718.12)</f>
        <v/>
      </c>
      <c r="R1294" s="6">
        <f>S1294&amp;T1294</f>
        <v/>
      </c>
      <c r="S1294" s="6">
        <f>YEAR(U1294)</f>
        <v/>
      </c>
      <c r="T1294" s="6">
        <f>MONTH(U1294)</f>
        <v/>
      </c>
      <c r="U1294" s="267">
        <f>IFERROR(__xludf.DUMMYFUNCTION("""COMPUTED_VALUE"""),45020.6458333333)</f>
        <v/>
      </c>
      <c r="V1294" s="6">
        <f>IFERROR(__xludf.DUMMYFUNCTION("""COMPUTED_VALUE"""),2480.51)</f>
        <v/>
      </c>
      <c r="Z1294" s="6">
        <f>AA1294&amp;AB1294</f>
        <v/>
      </c>
      <c r="AA1294" s="6">
        <f>YEAR(AC1294)</f>
        <v/>
      </c>
      <c r="AB1294" s="6">
        <f>MONTH(AC1294)</f>
        <v/>
      </c>
      <c r="AC1294" s="267">
        <f>IFERROR(__xludf.DUMMYFUNCTION("""COMPUTED_VALUE"""),44439.9986111111)</f>
        <v/>
      </c>
      <c r="AD1294" s="6">
        <f>IFERROR(__xludf.DUMMYFUNCTION("""COMPUTED_VALUE"""),1158.41)</f>
        <v/>
      </c>
      <c r="AH1294" s="6">
        <f>AI1294&amp;AJ1294</f>
        <v/>
      </c>
      <c r="AI1294" s="6">
        <f>YEAR(AK1294)</f>
        <v/>
      </c>
      <c r="AJ1294" s="6">
        <f>MONTH(AK1294)</f>
        <v/>
      </c>
      <c r="AK1294" s="267">
        <f>IFERROR(__xludf.DUMMYFUNCTION("""COMPUTED_VALUE"""),44387.9986111111)</f>
        <v/>
      </c>
      <c r="AL1294" s="6">
        <f>IFERROR(__xludf.DUMMYFUNCTION("""COMPUTED_VALUE"""),33513.73)</f>
        <v/>
      </c>
      <c r="AP1294" s="6">
        <f>AQ1294&amp;AR1294</f>
        <v/>
      </c>
      <c r="AQ1294" s="6">
        <f>YEAR(AS1294)</f>
        <v/>
      </c>
      <c r="AR1294" s="6">
        <f>MONTH(AS1294)</f>
        <v/>
      </c>
      <c r="AS1294" s="267">
        <f>IFERROR(__xludf.DUMMYFUNCTION("""COMPUTED_VALUE"""),44985.9986111111)</f>
        <v/>
      </c>
      <c r="AT1294" s="6">
        <f>IFERROR(__xludf.DUMMYFUNCTION("""COMPUTED_VALUE"""),1836.7)</f>
        <v/>
      </c>
    </row>
    <row r="1295">
      <c r="B1295" s="6">
        <f>C1295&amp;D1295</f>
        <v/>
      </c>
      <c r="C1295" s="6">
        <f>YEAR(E1295)</f>
        <v/>
      </c>
      <c r="D1295" s="6">
        <f>MONTH(E1295)</f>
        <v/>
      </c>
      <c r="E1295" s="267">
        <f>IFERROR(__xludf.DUMMYFUNCTION("""COMPUTED_VALUE"""),44979.6666666666)</f>
        <v/>
      </c>
      <c r="F1295" s="6">
        <f>IFERROR(__xludf.DUMMYFUNCTION("""COMPUTED_VALUE"""),3991.05)</f>
        <v/>
      </c>
      <c r="J1295" s="6">
        <f>K1295&amp;L1295</f>
        <v/>
      </c>
      <c r="K1295" s="6">
        <f>YEAR(M1295)</f>
        <v/>
      </c>
      <c r="L1295" s="6">
        <f>MONTH(M1295)</f>
        <v/>
      </c>
      <c r="M1295" s="267">
        <f>IFERROR(__xludf.DUMMYFUNCTION("""COMPUTED_VALUE"""),44970.6666666666)</f>
        <v/>
      </c>
      <c r="N1295" s="6">
        <f>IFERROR(__xludf.DUMMYFUNCTION("""COMPUTED_VALUE"""),11891.79)</f>
        <v/>
      </c>
      <c r="R1295" s="6">
        <f>S1295&amp;T1295</f>
        <v/>
      </c>
      <c r="S1295" s="6">
        <f>YEAR(U1295)</f>
        <v/>
      </c>
      <c r="T1295" s="6">
        <f>MONTH(U1295)</f>
        <v/>
      </c>
      <c r="U1295" s="267">
        <f>IFERROR(__xludf.DUMMYFUNCTION("""COMPUTED_VALUE"""),45021.6458333333)</f>
        <v/>
      </c>
      <c r="V1295" s="6">
        <f>IFERROR(__xludf.DUMMYFUNCTION("""COMPUTED_VALUE"""),2495.21)</f>
        <v/>
      </c>
      <c r="Z1295" s="6">
        <f>AA1295&amp;AB1295</f>
        <v/>
      </c>
      <c r="AA1295" s="6">
        <f>YEAR(AC1295)</f>
        <v/>
      </c>
      <c r="AB1295" s="6">
        <f>MONTH(AC1295)</f>
        <v/>
      </c>
      <c r="AC1295" s="267">
        <f>IFERROR(__xludf.DUMMYFUNCTION("""COMPUTED_VALUE"""),44440.9986111111)</f>
        <v/>
      </c>
      <c r="AD1295" s="6">
        <f>IFERROR(__xludf.DUMMYFUNCTION("""COMPUTED_VALUE"""),1155.28)</f>
        <v/>
      </c>
      <c r="AH1295" s="6">
        <f>AI1295&amp;AJ1295</f>
        <v/>
      </c>
      <c r="AI1295" s="6">
        <f>YEAR(AK1295)</f>
        <v/>
      </c>
      <c r="AJ1295" s="6">
        <f>MONTH(AK1295)</f>
        <v/>
      </c>
      <c r="AK1295" s="267">
        <f>IFERROR(__xludf.DUMMYFUNCTION("""COMPUTED_VALUE"""),44388.9986111111)</f>
        <v/>
      </c>
      <c r="AL1295" s="6">
        <f>IFERROR(__xludf.DUMMYFUNCTION("""COMPUTED_VALUE"""),34246.41)</f>
        <v/>
      </c>
      <c r="AP1295" s="6">
        <f>AQ1295&amp;AR1295</f>
        <v/>
      </c>
      <c r="AQ1295" s="6">
        <f>YEAR(AS1295)</f>
        <v/>
      </c>
      <c r="AR1295" s="6">
        <f>MONTH(AS1295)</f>
        <v/>
      </c>
      <c r="AS1295" s="267">
        <f>IFERROR(__xludf.DUMMYFUNCTION("""COMPUTED_VALUE"""),44986.9986111111)</f>
        <v/>
      </c>
      <c r="AT1295" s="6">
        <f>IFERROR(__xludf.DUMMYFUNCTION("""COMPUTED_VALUE"""),1845.4)</f>
        <v/>
      </c>
    </row>
    <row r="1296">
      <c r="B1296" s="6">
        <f>C1296&amp;D1296</f>
        <v/>
      </c>
      <c r="C1296" s="6">
        <f>YEAR(E1296)</f>
        <v/>
      </c>
      <c r="D1296" s="6">
        <f>MONTH(E1296)</f>
        <v/>
      </c>
      <c r="E1296" s="267">
        <f>IFERROR(__xludf.DUMMYFUNCTION("""COMPUTED_VALUE"""),44980.6666666666)</f>
        <v/>
      </c>
      <c r="F1296" s="6">
        <f>IFERROR(__xludf.DUMMYFUNCTION("""COMPUTED_VALUE"""),4012.32)</f>
        <v/>
      </c>
      <c r="J1296" s="6">
        <f>K1296&amp;L1296</f>
        <v/>
      </c>
      <c r="K1296" s="6">
        <f>YEAR(M1296)</f>
        <v/>
      </c>
      <c r="L1296" s="6">
        <f>MONTH(M1296)</f>
        <v/>
      </c>
      <c r="M1296" s="267">
        <f>IFERROR(__xludf.DUMMYFUNCTION("""COMPUTED_VALUE"""),44971.6666666666)</f>
        <v/>
      </c>
      <c r="N1296" s="6">
        <f>IFERROR(__xludf.DUMMYFUNCTION("""COMPUTED_VALUE"""),11960.15)</f>
        <v/>
      </c>
      <c r="R1296" s="6">
        <f>S1296&amp;T1296</f>
        <v/>
      </c>
      <c r="S1296" s="6">
        <f>YEAR(U1296)</f>
        <v/>
      </c>
      <c r="T1296" s="6">
        <f>MONTH(U1296)</f>
        <v/>
      </c>
      <c r="U1296" s="267">
        <f>IFERROR(__xludf.DUMMYFUNCTION("""COMPUTED_VALUE"""),45022.6458333333)</f>
        <v/>
      </c>
      <c r="V1296" s="6">
        <f>IFERROR(__xludf.DUMMYFUNCTION("""COMPUTED_VALUE"""),2459.23)</f>
        <v/>
      </c>
      <c r="Z1296" s="6">
        <f>AA1296&amp;AB1296</f>
        <v/>
      </c>
      <c r="AA1296" s="6">
        <f>YEAR(AC1296)</f>
        <v/>
      </c>
      <c r="AB1296" s="6">
        <f>MONTH(AC1296)</f>
        <v/>
      </c>
      <c r="AC1296" s="267">
        <f>IFERROR(__xludf.DUMMYFUNCTION("""COMPUTED_VALUE"""),44441.9986111111)</f>
        <v/>
      </c>
      <c r="AD1296" s="6">
        <f>IFERROR(__xludf.DUMMYFUNCTION("""COMPUTED_VALUE"""),1157.13)</f>
        <v/>
      </c>
      <c r="AH1296" s="6">
        <f>AI1296&amp;AJ1296</f>
        <v/>
      </c>
      <c r="AI1296" s="6">
        <f>YEAR(AK1296)</f>
        <v/>
      </c>
      <c r="AJ1296" s="6">
        <f>MONTH(AK1296)</f>
        <v/>
      </c>
      <c r="AK1296" s="267">
        <f>IFERROR(__xludf.DUMMYFUNCTION("""COMPUTED_VALUE"""),44389.9986111111)</f>
        <v/>
      </c>
      <c r="AL1296" s="6">
        <f>IFERROR(__xludf.DUMMYFUNCTION("""COMPUTED_VALUE"""),33114.86)</f>
        <v/>
      </c>
      <c r="AP1296" s="6">
        <f>AQ1296&amp;AR1296</f>
        <v/>
      </c>
      <c r="AQ1296" s="6">
        <f>YEAR(AS1296)</f>
        <v/>
      </c>
      <c r="AR1296" s="6">
        <f>MONTH(AS1296)</f>
        <v/>
      </c>
      <c r="AS1296" s="267">
        <f>IFERROR(__xludf.DUMMYFUNCTION("""COMPUTED_VALUE"""),44987.9986111111)</f>
        <v/>
      </c>
      <c r="AT1296" s="6">
        <f>IFERROR(__xludf.DUMMYFUNCTION("""COMPUTED_VALUE"""),1840.5)</f>
        <v/>
      </c>
    </row>
    <row r="1297">
      <c r="B1297" s="6">
        <f>C1297&amp;D1297</f>
        <v/>
      </c>
      <c r="C1297" s="6">
        <f>YEAR(E1297)</f>
        <v/>
      </c>
      <c r="D1297" s="6">
        <f>MONTH(E1297)</f>
        <v/>
      </c>
      <c r="E1297" s="267">
        <f>IFERROR(__xludf.DUMMYFUNCTION("""COMPUTED_VALUE"""),44981.6666666666)</f>
        <v/>
      </c>
      <c r="F1297" s="6">
        <f>IFERROR(__xludf.DUMMYFUNCTION("""COMPUTED_VALUE"""),3970.04)</f>
        <v/>
      </c>
      <c r="J1297" s="6">
        <f>K1297&amp;L1297</f>
        <v/>
      </c>
      <c r="K1297" s="6">
        <f>YEAR(M1297)</f>
        <v/>
      </c>
      <c r="L1297" s="6">
        <f>MONTH(M1297)</f>
        <v/>
      </c>
      <c r="M1297" s="267">
        <f>IFERROR(__xludf.DUMMYFUNCTION("""COMPUTED_VALUE"""),44972.6666666666)</f>
        <v/>
      </c>
      <c r="N1297" s="6">
        <f>IFERROR(__xludf.DUMMYFUNCTION("""COMPUTED_VALUE"""),12070.59)</f>
        <v/>
      </c>
      <c r="R1297" s="6">
        <f>S1297&amp;T1297</f>
        <v/>
      </c>
      <c r="S1297" s="6">
        <f>YEAR(U1297)</f>
        <v/>
      </c>
      <c r="T1297" s="6">
        <f>MONTH(U1297)</f>
        <v/>
      </c>
      <c r="U1297" s="267">
        <f>IFERROR(__xludf.DUMMYFUNCTION("""COMPUTED_VALUE"""),45023.6458333333)</f>
        <v/>
      </c>
      <c r="V1297" s="6">
        <f>IFERROR(__xludf.DUMMYFUNCTION("""COMPUTED_VALUE"""),2490.41)</f>
        <v/>
      </c>
      <c r="Z1297" s="6">
        <f>AA1297&amp;AB1297</f>
        <v/>
      </c>
      <c r="AA1297" s="6">
        <f>YEAR(AC1297)</f>
        <v/>
      </c>
      <c r="AB1297" s="6">
        <f>MONTH(AC1297)</f>
        <v/>
      </c>
      <c r="AC1297" s="267">
        <f>IFERROR(__xludf.DUMMYFUNCTION("""COMPUTED_VALUE"""),44442.9986111111)</f>
        <v/>
      </c>
      <c r="AD1297" s="6">
        <f>IFERROR(__xludf.DUMMYFUNCTION("""COMPUTED_VALUE"""),1154.65)</f>
        <v/>
      </c>
      <c r="AH1297" s="6">
        <f>AI1297&amp;AJ1297</f>
        <v/>
      </c>
      <c r="AI1297" s="6">
        <f>YEAR(AK1297)</f>
        <v/>
      </c>
      <c r="AJ1297" s="6">
        <f>MONTH(AK1297)</f>
        <v/>
      </c>
      <c r="AK1297" s="267">
        <f>IFERROR(__xludf.DUMMYFUNCTION("""COMPUTED_VALUE"""),44390.9986111111)</f>
        <v/>
      </c>
      <c r="AL1297" s="6">
        <f>IFERROR(__xludf.DUMMYFUNCTION("""COMPUTED_VALUE"""),32724.95)</f>
        <v/>
      </c>
      <c r="AP1297" s="6">
        <f>AQ1297&amp;AR1297</f>
        <v/>
      </c>
      <c r="AQ1297" s="6">
        <f>YEAR(AS1297)</f>
        <v/>
      </c>
      <c r="AR1297" s="6">
        <f>MONTH(AS1297)</f>
        <v/>
      </c>
      <c r="AS1297" s="267">
        <f>IFERROR(__xludf.DUMMYFUNCTION("""COMPUTED_VALUE"""),44988.9986111111)</f>
        <v/>
      </c>
      <c r="AT1297" s="6">
        <f>IFERROR(__xludf.DUMMYFUNCTION("""COMPUTED_VALUE"""),1854.6)</f>
        <v/>
      </c>
    </row>
    <row r="1298">
      <c r="B1298" s="6">
        <f>C1298&amp;D1298</f>
        <v/>
      </c>
      <c r="C1298" s="6">
        <f>YEAR(E1298)</f>
        <v/>
      </c>
      <c r="D1298" s="6">
        <f>MONTH(E1298)</f>
        <v/>
      </c>
      <c r="E1298" s="267">
        <f>IFERROR(__xludf.DUMMYFUNCTION("""COMPUTED_VALUE"""),44984.6666666666)</f>
        <v/>
      </c>
      <c r="F1298" s="6">
        <f>IFERROR(__xludf.DUMMYFUNCTION("""COMPUTED_VALUE"""),3982.24)</f>
        <v/>
      </c>
      <c r="J1298" s="6">
        <f>K1298&amp;L1298</f>
        <v/>
      </c>
      <c r="K1298" s="6">
        <f>YEAR(M1298)</f>
        <v/>
      </c>
      <c r="L1298" s="6">
        <f>MONTH(M1298)</f>
        <v/>
      </c>
      <c r="M1298" s="267">
        <f>IFERROR(__xludf.DUMMYFUNCTION("""COMPUTED_VALUE"""),44973.6666666666)</f>
        <v/>
      </c>
      <c r="N1298" s="6">
        <f>IFERROR(__xludf.DUMMYFUNCTION("""COMPUTED_VALUE"""),11855.83)</f>
        <v/>
      </c>
      <c r="R1298" s="6">
        <f>S1298&amp;T1298</f>
        <v/>
      </c>
      <c r="S1298" s="6">
        <f>YEAR(U1298)</f>
        <v/>
      </c>
      <c r="T1298" s="6">
        <f>MONTH(U1298)</f>
        <v/>
      </c>
      <c r="U1298" s="267">
        <f>IFERROR(__xludf.DUMMYFUNCTION("""COMPUTED_VALUE"""),45026.6458333333)</f>
        <v/>
      </c>
      <c r="V1298" s="6">
        <f>IFERROR(__xludf.DUMMYFUNCTION("""COMPUTED_VALUE"""),2512.08)</f>
        <v/>
      </c>
      <c r="Z1298" s="6">
        <f>AA1298&amp;AB1298</f>
        <v/>
      </c>
      <c r="AA1298" s="6">
        <f>YEAR(AC1298)</f>
        <v/>
      </c>
      <c r="AB1298" s="6">
        <f>MONTH(AC1298)</f>
        <v/>
      </c>
      <c r="AC1298" s="267">
        <f>IFERROR(__xludf.DUMMYFUNCTION("""COMPUTED_VALUE"""),44443.9986111111)</f>
        <v/>
      </c>
      <c r="AD1298" s="6">
        <f>IFERROR(__xludf.DUMMYFUNCTION("""COMPUTED_VALUE"""),1154.65)</f>
        <v/>
      </c>
      <c r="AH1298" s="6">
        <f>AI1298&amp;AJ1298</f>
        <v/>
      </c>
      <c r="AI1298" s="6">
        <f>YEAR(AK1298)</f>
        <v/>
      </c>
      <c r="AJ1298" s="6">
        <f>MONTH(AK1298)</f>
        <v/>
      </c>
      <c r="AK1298" s="267">
        <f>IFERROR(__xludf.DUMMYFUNCTION("""COMPUTED_VALUE"""),44391.9986111111)</f>
        <v/>
      </c>
      <c r="AL1298" s="6">
        <f>IFERROR(__xludf.DUMMYFUNCTION("""COMPUTED_VALUE"""),32817.09)</f>
        <v/>
      </c>
      <c r="AP1298" s="6">
        <f>AQ1298&amp;AR1298</f>
        <v/>
      </c>
      <c r="AQ1298" s="6">
        <f>YEAR(AS1298)</f>
        <v/>
      </c>
      <c r="AR1298" s="6">
        <f>MONTH(AS1298)</f>
        <v/>
      </c>
      <c r="AS1298" s="267">
        <f>IFERROR(__xludf.DUMMYFUNCTION("""COMPUTED_VALUE"""),44991.9986111111)</f>
        <v/>
      </c>
      <c r="AT1298" s="6">
        <f>IFERROR(__xludf.DUMMYFUNCTION("""COMPUTED_VALUE"""),1854.6)</f>
        <v/>
      </c>
    </row>
    <row r="1299">
      <c r="B1299" s="6">
        <f>C1299&amp;D1299</f>
        <v/>
      </c>
      <c r="C1299" s="6">
        <f>YEAR(E1299)</f>
        <v/>
      </c>
      <c r="D1299" s="6">
        <f>MONTH(E1299)</f>
        <v/>
      </c>
      <c r="E1299" s="267">
        <f>IFERROR(__xludf.DUMMYFUNCTION("""COMPUTED_VALUE"""),44985.6666666666)</f>
        <v/>
      </c>
      <c r="F1299" s="6">
        <f>IFERROR(__xludf.DUMMYFUNCTION("""COMPUTED_VALUE"""),3970.15)</f>
        <v/>
      </c>
      <c r="J1299" s="6">
        <f>K1299&amp;L1299</f>
        <v/>
      </c>
      <c r="K1299" s="6">
        <f>YEAR(M1299)</f>
        <v/>
      </c>
      <c r="L1299" s="6">
        <f>MONTH(M1299)</f>
        <v/>
      </c>
      <c r="M1299" s="267">
        <f>IFERROR(__xludf.DUMMYFUNCTION("""COMPUTED_VALUE"""),44974.6666666666)</f>
        <v/>
      </c>
      <c r="N1299" s="6">
        <f>IFERROR(__xludf.DUMMYFUNCTION("""COMPUTED_VALUE"""),11787.27)</f>
        <v/>
      </c>
      <c r="R1299" s="6">
        <f>S1299&amp;T1299</f>
        <v/>
      </c>
      <c r="S1299" s="6">
        <f>YEAR(U1299)</f>
        <v/>
      </c>
      <c r="T1299" s="6">
        <f>MONTH(U1299)</f>
        <v/>
      </c>
      <c r="U1299" s="267">
        <f>IFERROR(__xludf.DUMMYFUNCTION("""COMPUTED_VALUE"""),45027.6458333333)</f>
        <v/>
      </c>
      <c r="V1299" s="6">
        <f>IFERROR(__xludf.DUMMYFUNCTION("""COMPUTED_VALUE"""),2547.86)</f>
        <v/>
      </c>
      <c r="Z1299" s="6">
        <f>AA1299&amp;AB1299</f>
        <v/>
      </c>
      <c r="AA1299" s="6">
        <f>YEAR(AC1299)</f>
        <v/>
      </c>
      <c r="AB1299" s="6">
        <f>MONTH(AC1299)</f>
        <v/>
      </c>
      <c r="AC1299" s="267">
        <f>IFERROR(__xludf.DUMMYFUNCTION("""COMPUTED_VALUE"""),44444.9986111111)</f>
        <v/>
      </c>
      <c r="AD1299" s="6">
        <f>IFERROR(__xludf.DUMMYFUNCTION("""COMPUTED_VALUE"""),1154.75)</f>
        <v/>
      </c>
      <c r="AH1299" s="6">
        <f>AI1299&amp;AJ1299</f>
        <v/>
      </c>
      <c r="AI1299" s="6">
        <f>YEAR(AK1299)</f>
        <v/>
      </c>
      <c r="AJ1299" s="6">
        <f>MONTH(AK1299)</f>
        <v/>
      </c>
      <c r="AK1299" s="267">
        <f>IFERROR(__xludf.DUMMYFUNCTION("""COMPUTED_VALUE"""),44392.9986111111)</f>
        <v/>
      </c>
      <c r="AL1299" s="6">
        <f>IFERROR(__xludf.DUMMYFUNCTION("""COMPUTED_VALUE"""),31848.45)</f>
        <v/>
      </c>
      <c r="AP1299" s="6">
        <f>AQ1299&amp;AR1299</f>
        <v/>
      </c>
      <c r="AQ1299" s="6">
        <f>YEAR(AS1299)</f>
        <v/>
      </c>
      <c r="AR1299" s="6">
        <f>MONTH(AS1299)</f>
        <v/>
      </c>
      <c r="AS1299" s="267">
        <f>IFERROR(__xludf.DUMMYFUNCTION("""COMPUTED_VALUE"""),44992.9986111111)</f>
        <v/>
      </c>
      <c r="AT1299" s="6">
        <f>IFERROR(__xludf.DUMMYFUNCTION("""COMPUTED_VALUE"""),1820)</f>
        <v/>
      </c>
    </row>
    <row r="1300">
      <c r="B1300" s="6">
        <f>C1300&amp;D1300</f>
        <v/>
      </c>
      <c r="C1300" s="6">
        <f>YEAR(E1300)</f>
        <v/>
      </c>
      <c r="D1300" s="6">
        <f>MONTH(E1300)</f>
        <v/>
      </c>
      <c r="E1300" s="267">
        <f>IFERROR(__xludf.DUMMYFUNCTION("""COMPUTED_VALUE"""),44986.6666666666)</f>
        <v/>
      </c>
      <c r="F1300" s="6">
        <f>IFERROR(__xludf.DUMMYFUNCTION("""COMPUTED_VALUE"""),3951.39)</f>
        <v/>
      </c>
      <c r="J1300" s="6">
        <f>K1300&amp;L1300</f>
        <v/>
      </c>
      <c r="K1300" s="6">
        <f>YEAR(M1300)</f>
        <v/>
      </c>
      <c r="L1300" s="6">
        <f>MONTH(M1300)</f>
        <v/>
      </c>
      <c r="M1300" s="267">
        <f>IFERROR(__xludf.DUMMYFUNCTION("""COMPUTED_VALUE"""),44978.6666666666)</f>
        <v/>
      </c>
      <c r="N1300" s="6">
        <f>IFERROR(__xludf.DUMMYFUNCTION("""COMPUTED_VALUE"""),11492.3)</f>
        <v/>
      </c>
      <c r="R1300" s="6">
        <f>S1300&amp;T1300</f>
        <v/>
      </c>
      <c r="S1300" s="6">
        <f>YEAR(U1300)</f>
        <v/>
      </c>
      <c r="T1300" s="6">
        <f>MONTH(U1300)</f>
        <v/>
      </c>
      <c r="U1300" s="267">
        <f>IFERROR(__xludf.DUMMYFUNCTION("""COMPUTED_VALUE"""),45028.6458333333)</f>
        <v/>
      </c>
      <c r="V1300" s="6">
        <f>IFERROR(__xludf.DUMMYFUNCTION("""COMPUTED_VALUE"""),2550.64)</f>
        <v/>
      </c>
      <c r="Z1300" s="6">
        <f>AA1300&amp;AB1300</f>
        <v/>
      </c>
      <c r="AA1300" s="6">
        <f>YEAR(AC1300)</f>
        <v/>
      </c>
      <c r="AB1300" s="6">
        <f>MONTH(AC1300)</f>
        <v/>
      </c>
      <c r="AC1300" s="267">
        <f>IFERROR(__xludf.DUMMYFUNCTION("""COMPUTED_VALUE"""),44445.9986111111)</f>
        <v/>
      </c>
      <c r="AD1300" s="6">
        <f>IFERROR(__xludf.DUMMYFUNCTION("""COMPUTED_VALUE"""),1155.54)</f>
        <v/>
      </c>
      <c r="AH1300" s="6">
        <f>AI1300&amp;AJ1300</f>
        <v/>
      </c>
      <c r="AI1300" s="6">
        <f>YEAR(AK1300)</f>
        <v/>
      </c>
      <c r="AJ1300" s="6">
        <f>MONTH(AK1300)</f>
        <v/>
      </c>
      <c r="AK1300" s="267">
        <f>IFERROR(__xludf.DUMMYFUNCTION("""COMPUTED_VALUE"""),44393.9986111111)</f>
        <v/>
      </c>
      <c r="AL1300" s="6">
        <f>IFERROR(__xludf.DUMMYFUNCTION("""COMPUTED_VALUE"""),31401.63)</f>
        <v/>
      </c>
      <c r="AP1300" s="6">
        <f>AQ1300&amp;AR1300</f>
        <v/>
      </c>
      <c r="AQ1300" s="6">
        <f>YEAR(AS1300)</f>
        <v/>
      </c>
      <c r="AR1300" s="6">
        <f>MONTH(AS1300)</f>
        <v/>
      </c>
      <c r="AS1300" s="267">
        <f>IFERROR(__xludf.DUMMYFUNCTION("""COMPUTED_VALUE"""),44993.9986111111)</f>
        <v/>
      </c>
      <c r="AT1300" s="6">
        <f>IFERROR(__xludf.DUMMYFUNCTION("""COMPUTED_VALUE"""),1818.6)</f>
        <v/>
      </c>
    </row>
    <row r="1301">
      <c r="B1301" s="6">
        <f>C1301&amp;D1301</f>
        <v/>
      </c>
      <c r="C1301" s="6">
        <f>YEAR(E1301)</f>
        <v/>
      </c>
      <c r="D1301" s="6">
        <f>MONTH(E1301)</f>
        <v/>
      </c>
      <c r="E1301" s="267">
        <f>IFERROR(__xludf.DUMMYFUNCTION("""COMPUTED_VALUE"""),44987.6666666666)</f>
        <v/>
      </c>
      <c r="F1301" s="6">
        <f>IFERROR(__xludf.DUMMYFUNCTION("""COMPUTED_VALUE"""),3981.35)</f>
        <v/>
      </c>
      <c r="J1301" s="6">
        <f>K1301&amp;L1301</f>
        <v/>
      </c>
      <c r="K1301" s="6">
        <f>YEAR(M1301)</f>
        <v/>
      </c>
      <c r="L1301" s="6">
        <f>MONTH(M1301)</f>
        <v/>
      </c>
      <c r="M1301" s="267">
        <f>IFERROR(__xludf.DUMMYFUNCTION("""COMPUTED_VALUE"""),44979.6666666666)</f>
        <v/>
      </c>
      <c r="N1301" s="6">
        <f>IFERROR(__xludf.DUMMYFUNCTION("""COMPUTED_VALUE"""),11507.07)</f>
        <v/>
      </c>
      <c r="R1301" s="6">
        <f>S1301&amp;T1301</f>
        <v/>
      </c>
      <c r="S1301" s="6">
        <f>YEAR(U1301)</f>
        <v/>
      </c>
      <c r="T1301" s="6">
        <f>MONTH(U1301)</f>
        <v/>
      </c>
      <c r="U1301" s="267">
        <f>IFERROR(__xludf.DUMMYFUNCTION("""COMPUTED_VALUE"""),45029.6458333333)</f>
        <v/>
      </c>
      <c r="V1301" s="6">
        <f>IFERROR(__xludf.DUMMYFUNCTION("""COMPUTED_VALUE"""),2561.66)</f>
        <v/>
      </c>
      <c r="Z1301" s="6">
        <f>AA1301&amp;AB1301</f>
        <v/>
      </c>
      <c r="AA1301" s="6">
        <f>YEAR(AC1301)</f>
        <v/>
      </c>
      <c r="AB1301" s="6">
        <f>MONTH(AC1301)</f>
        <v/>
      </c>
      <c r="AC1301" s="267">
        <f>IFERROR(__xludf.DUMMYFUNCTION("""COMPUTED_VALUE"""),44446.9986111111)</f>
        <v/>
      </c>
      <c r="AD1301" s="6">
        <f>IFERROR(__xludf.DUMMYFUNCTION("""COMPUTED_VALUE"""),1161)</f>
        <v/>
      </c>
      <c r="AH1301" s="6">
        <f>AI1301&amp;AJ1301</f>
        <v/>
      </c>
      <c r="AI1301" s="6">
        <f>YEAR(AK1301)</f>
        <v/>
      </c>
      <c r="AJ1301" s="6">
        <f>MONTH(AK1301)</f>
        <v/>
      </c>
      <c r="AK1301" s="267">
        <f>IFERROR(__xludf.DUMMYFUNCTION("""COMPUTED_VALUE"""),44394.9986111111)</f>
        <v/>
      </c>
      <c r="AL1301" s="6">
        <f>IFERROR(__xludf.DUMMYFUNCTION("""COMPUTED_VALUE"""),31539.02)</f>
        <v/>
      </c>
      <c r="AP1301" s="6">
        <f>AQ1301&amp;AR1301</f>
        <v/>
      </c>
      <c r="AQ1301" s="6">
        <f>YEAR(AS1301)</f>
        <v/>
      </c>
      <c r="AR1301" s="6">
        <f>MONTH(AS1301)</f>
        <v/>
      </c>
      <c r="AS1301" s="267">
        <f>IFERROR(__xludf.DUMMYFUNCTION("""COMPUTED_VALUE"""),44994.9986111111)</f>
        <v/>
      </c>
      <c r="AT1301" s="6">
        <f>IFERROR(__xludf.DUMMYFUNCTION("""COMPUTED_VALUE"""),1834.6)</f>
        <v/>
      </c>
    </row>
    <row r="1302">
      <c r="B1302" s="6">
        <f>C1302&amp;D1302</f>
        <v/>
      </c>
      <c r="C1302" s="6">
        <f>YEAR(E1302)</f>
        <v/>
      </c>
      <c r="D1302" s="6">
        <f>MONTH(E1302)</f>
        <v/>
      </c>
      <c r="E1302" s="267">
        <f>IFERROR(__xludf.DUMMYFUNCTION("""COMPUTED_VALUE"""),44988.6666666666)</f>
        <v/>
      </c>
      <c r="F1302" s="6">
        <f>IFERROR(__xludf.DUMMYFUNCTION("""COMPUTED_VALUE"""),4045.64)</f>
        <v/>
      </c>
      <c r="J1302" s="6">
        <f>K1302&amp;L1302</f>
        <v/>
      </c>
      <c r="K1302" s="6">
        <f>YEAR(M1302)</f>
        <v/>
      </c>
      <c r="L1302" s="6">
        <f>MONTH(M1302)</f>
        <v/>
      </c>
      <c r="M1302" s="267">
        <f>IFERROR(__xludf.DUMMYFUNCTION("""COMPUTED_VALUE"""),44980.6666666666)</f>
        <v/>
      </c>
      <c r="N1302" s="6">
        <f>IFERROR(__xludf.DUMMYFUNCTION("""COMPUTED_VALUE"""),11590.4)</f>
        <v/>
      </c>
      <c r="R1302" s="6">
        <f>S1302&amp;T1302</f>
        <v/>
      </c>
      <c r="S1302" s="6">
        <f>YEAR(U1302)</f>
        <v/>
      </c>
      <c r="T1302" s="6">
        <f>MONTH(U1302)</f>
        <v/>
      </c>
      <c r="U1302" s="267">
        <f>IFERROR(__xludf.DUMMYFUNCTION("""COMPUTED_VALUE"""),45030.6458333333)</f>
        <v/>
      </c>
      <c r="V1302" s="6">
        <f>IFERROR(__xludf.DUMMYFUNCTION("""COMPUTED_VALUE"""),2571.49)</f>
        <v/>
      </c>
      <c r="Z1302" s="6">
        <f>AA1302&amp;AB1302</f>
        <v/>
      </c>
      <c r="AA1302" s="6">
        <f>YEAR(AC1302)</f>
        <v/>
      </c>
      <c r="AB1302" s="6">
        <f>MONTH(AC1302)</f>
        <v/>
      </c>
      <c r="AC1302" s="267">
        <f>IFERROR(__xludf.DUMMYFUNCTION("""COMPUTED_VALUE"""),44447.9986111111)</f>
        <v/>
      </c>
      <c r="AD1302" s="6">
        <f>IFERROR(__xludf.DUMMYFUNCTION("""COMPUTED_VALUE"""),1166.49)</f>
        <v/>
      </c>
      <c r="AH1302" s="6">
        <f>AI1302&amp;AJ1302</f>
        <v/>
      </c>
      <c r="AI1302" s="6">
        <f>YEAR(AK1302)</f>
        <v/>
      </c>
      <c r="AJ1302" s="6">
        <f>MONTH(AK1302)</f>
        <v/>
      </c>
      <c r="AK1302" s="267">
        <f>IFERROR(__xludf.DUMMYFUNCTION("""COMPUTED_VALUE"""),44395.9986111111)</f>
        <v/>
      </c>
      <c r="AL1302" s="6">
        <f>IFERROR(__xludf.DUMMYFUNCTION("""COMPUTED_VALUE"""),31802.68)</f>
        <v/>
      </c>
      <c r="AP1302" s="6">
        <f>AQ1302&amp;AR1302</f>
        <v/>
      </c>
      <c r="AQ1302" s="6">
        <f>YEAR(AS1302)</f>
        <v/>
      </c>
      <c r="AR1302" s="6">
        <f>MONTH(AS1302)</f>
        <v/>
      </c>
      <c r="AS1302" s="267">
        <f>IFERROR(__xludf.DUMMYFUNCTION("""COMPUTED_VALUE"""),44995.9986111111)</f>
        <v/>
      </c>
      <c r="AT1302" s="6">
        <f>IFERROR(__xludf.DUMMYFUNCTION("""COMPUTED_VALUE"""),1867.2)</f>
        <v/>
      </c>
    </row>
    <row r="1303">
      <c r="B1303" s="6">
        <f>C1303&amp;D1303</f>
        <v/>
      </c>
      <c r="C1303" s="6">
        <f>YEAR(E1303)</f>
        <v/>
      </c>
      <c r="D1303" s="6">
        <f>MONTH(E1303)</f>
        <v/>
      </c>
      <c r="E1303" s="267">
        <f>IFERROR(__xludf.DUMMYFUNCTION("""COMPUTED_VALUE"""),44991.6666666666)</f>
        <v/>
      </c>
      <c r="F1303" s="6">
        <f>IFERROR(__xludf.DUMMYFUNCTION("""COMPUTED_VALUE"""),4048.42)</f>
        <v/>
      </c>
      <c r="J1303" s="6">
        <f>K1303&amp;L1303</f>
        <v/>
      </c>
      <c r="K1303" s="6">
        <f>YEAR(M1303)</f>
        <v/>
      </c>
      <c r="L1303" s="6">
        <f>MONTH(M1303)</f>
        <v/>
      </c>
      <c r="M1303" s="267">
        <f>IFERROR(__xludf.DUMMYFUNCTION("""COMPUTED_VALUE"""),44981.6666666666)</f>
        <v/>
      </c>
      <c r="N1303" s="6">
        <f>IFERROR(__xludf.DUMMYFUNCTION("""COMPUTED_VALUE"""),11394.94)</f>
        <v/>
      </c>
      <c r="R1303" s="6">
        <f>S1303&amp;T1303</f>
        <v/>
      </c>
      <c r="S1303" s="6">
        <f>YEAR(U1303)</f>
        <v/>
      </c>
      <c r="T1303" s="6">
        <f>MONTH(U1303)</f>
        <v/>
      </c>
      <c r="U1303" s="267">
        <f>IFERROR(__xludf.DUMMYFUNCTION("""COMPUTED_VALUE"""),45033.6458333333)</f>
        <v/>
      </c>
      <c r="V1303" s="6">
        <f>IFERROR(__xludf.DUMMYFUNCTION("""COMPUTED_VALUE"""),2575.91)</f>
        <v/>
      </c>
      <c r="Z1303" s="6">
        <f>AA1303&amp;AB1303</f>
        <v/>
      </c>
      <c r="AA1303" s="6">
        <f>YEAR(AC1303)</f>
        <v/>
      </c>
      <c r="AB1303" s="6">
        <f>MONTH(AC1303)</f>
        <v/>
      </c>
      <c r="AC1303" s="267">
        <f>IFERROR(__xludf.DUMMYFUNCTION("""COMPUTED_VALUE"""),44448.9986111111)</f>
        <v/>
      </c>
      <c r="AD1303" s="6">
        <f>IFERROR(__xludf.DUMMYFUNCTION("""COMPUTED_VALUE"""),1169.13)</f>
        <v/>
      </c>
      <c r="AH1303" s="6">
        <f>AI1303&amp;AJ1303</f>
        <v/>
      </c>
      <c r="AI1303" s="6">
        <f>YEAR(AK1303)</f>
        <v/>
      </c>
      <c r="AJ1303" s="6">
        <f>MONTH(AK1303)</f>
        <v/>
      </c>
      <c r="AK1303" s="267">
        <f>IFERROR(__xludf.DUMMYFUNCTION("""COMPUTED_VALUE"""),44396.9986111111)</f>
        <v/>
      </c>
      <c r="AL1303" s="6">
        <f>IFERROR(__xludf.DUMMYFUNCTION("""COMPUTED_VALUE"""),30838.26)</f>
        <v/>
      </c>
      <c r="AP1303" s="6">
        <f>AQ1303&amp;AR1303</f>
        <v/>
      </c>
      <c r="AQ1303" s="6">
        <f>YEAR(AS1303)</f>
        <v/>
      </c>
      <c r="AR1303" s="6">
        <f>MONTH(AS1303)</f>
        <v/>
      </c>
      <c r="AS1303" s="267">
        <f>IFERROR(__xludf.DUMMYFUNCTION("""COMPUTED_VALUE"""),44998.9986111111)</f>
        <v/>
      </c>
      <c r="AT1303" s="6">
        <f>IFERROR(__xludf.DUMMYFUNCTION("""COMPUTED_VALUE"""),1916.5)</f>
        <v/>
      </c>
    </row>
    <row r="1304">
      <c r="B1304" s="6">
        <f>C1304&amp;D1304</f>
        <v/>
      </c>
      <c r="C1304" s="6">
        <f>YEAR(E1304)</f>
        <v/>
      </c>
      <c r="D1304" s="6">
        <f>MONTH(E1304)</f>
        <v/>
      </c>
      <c r="E1304" s="267">
        <f>IFERROR(__xludf.DUMMYFUNCTION("""COMPUTED_VALUE"""),44992.6666666666)</f>
        <v/>
      </c>
      <c r="F1304" s="6">
        <f>IFERROR(__xludf.DUMMYFUNCTION("""COMPUTED_VALUE"""),3986.37)</f>
        <v/>
      </c>
      <c r="J1304" s="6">
        <f>K1304&amp;L1304</f>
        <v/>
      </c>
      <c r="K1304" s="6">
        <f>YEAR(M1304)</f>
        <v/>
      </c>
      <c r="L1304" s="6">
        <f>MONTH(M1304)</f>
        <v/>
      </c>
      <c r="M1304" s="267">
        <f>IFERROR(__xludf.DUMMYFUNCTION("""COMPUTED_VALUE"""),44984.6666666666)</f>
        <v/>
      </c>
      <c r="N1304" s="6">
        <f>IFERROR(__xludf.DUMMYFUNCTION("""COMPUTED_VALUE"""),11466.98)</f>
        <v/>
      </c>
      <c r="R1304" s="6">
        <f>S1304&amp;T1304</f>
        <v/>
      </c>
      <c r="S1304" s="6">
        <f>YEAR(U1304)</f>
        <v/>
      </c>
      <c r="T1304" s="6">
        <f>MONTH(U1304)</f>
        <v/>
      </c>
      <c r="U1304" s="267">
        <f>IFERROR(__xludf.DUMMYFUNCTION("""COMPUTED_VALUE"""),45034.6458333333)</f>
        <v/>
      </c>
      <c r="V1304" s="6">
        <f>IFERROR(__xludf.DUMMYFUNCTION("""COMPUTED_VALUE"""),2571.09)</f>
        <v/>
      </c>
      <c r="Z1304" s="6">
        <f>AA1304&amp;AB1304</f>
        <v/>
      </c>
      <c r="AA1304" s="6">
        <f>YEAR(AC1304)</f>
        <v/>
      </c>
      <c r="AB1304" s="6">
        <f>MONTH(AC1304)</f>
        <v/>
      </c>
      <c r="AC1304" s="267">
        <f>IFERROR(__xludf.DUMMYFUNCTION("""COMPUTED_VALUE"""),44449.9986111111)</f>
        <v/>
      </c>
      <c r="AD1304" s="6">
        <f>IFERROR(__xludf.DUMMYFUNCTION("""COMPUTED_VALUE"""),1169.88)</f>
        <v/>
      </c>
      <c r="AH1304" s="6">
        <f>AI1304&amp;AJ1304</f>
        <v/>
      </c>
      <c r="AI1304" s="6">
        <f>YEAR(AK1304)</f>
        <v/>
      </c>
      <c r="AJ1304" s="6">
        <f>MONTH(AK1304)</f>
        <v/>
      </c>
      <c r="AK1304" s="267">
        <f>IFERROR(__xludf.DUMMYFUNCTION("""COMPUTED_VALUE"""),44397.9986111111)</f>
        <v/>
      </c>
      <c r="AL1304" s="6">
        <f>IFERROR(__xludf.DUMMYFUNCTION("""COMPUTED_VALUE"""),29790.22)</f>
        <v/>
      </c>
      <c r="AP1304" s="6">
        <f>AQ1304&amp;AR1304</f>
        <v/>
      </c>
      <c r="AQ1304" s="6">
        <f>YEAR(AS1304)</f>
        <v/>
      </c>
      <c r="AR1304" s="6">
        <f>MONTH(AS1304)</f>
        <v/>
      </c>
      <c r="AS1304" s="267">
        <f>IFERROR(__xludf.DUMMYFUNCTION("""COMPUTED_VALUE"""),44999.9986111111)</f>
        <v/>
      </c>
      <c r="AT1304" s="6">
        <f>IFERROR(__xludf.DUMMYFUNCTION("""COMPUTED_VALUE"""),1910.9)</f>
        <v/>
      </c>
    </row>
    <row r="1305">
      <c r="B1305" s="6">
        <f>C1305&amp;D1305</f>
        <v/>
      </c>
      <c r="C1305" s="6">
        <f>YEAR(E1305)</f>
        <v/>
      </c>
      <c r="D1305" s="6">
        <f>MONTH(E1305)</f>
        <v/>
      </c>
      <c r="E1305" s="267">
        <f>IFERROR(__xludf.DUMMYFUNCTION("""COMPUTED_VALUE"""),44993.6666666666)</f>
        <v/>
      </c>
      <c r="F1305" s="6">
        <f>IFERROR(__xludf.DUMMYFUNCTION("""COMPUTED_VALUE"""),3992.01)</f>
        <v/>
      </c>
      <c r="J1305" s="6">
        <f>K1305&amp;L1305</f>
        <v/>
      </c>
      <c r="K1305" s="6">
        <f>YEAR(M1305)</f>
        <v/>
      </c>
      <c r="L1305" s="6">
        <f>MONTH(M1305)</f>
        <v/>
      </c>
      <c r="M1305" s="267">
        <f>IFERROR(__xludf.DUMMYFUNCTION("""COMPUTED_VALUE"""),44985.6666666666)</f>
        <v/>
      </c>
      <c r="N1305" s="6">
        <f>IFERROR(__xludf.DUMMYFUNCTION("""COMPUTED_VALUE"""),11455.54)</f>
        <v/>
      </c>
      <c r="R1305" s="6">
        <f>S1305&amp;T1305</f>
        <v/>
      </c>
      <c r="S1305" s="6">
        <f>YEAR(U1305)</f>
        <v/>
      </c>
      <c r="T1305" s="6">
        <f>MONTH(U1305)</f>
        <v/>
      </c>
      <c r="U1305" s="267">
        <f>IFERROR(__xludf.DUMMYFUNCTION("""COMPUTED_VALUE"""),45035.6458333333)</f>
        <v/>
      </c>
      <c r="V1305" s="6">
        <f>IFERROR(__xludf.DUMMYFUNCTION("""COMPUTED_VALUE"""),2575.08)</f>
        <v/>
      </c>
      <c r="Z1305" s="6">
        <f>AA1305&amp;AB1305</f>
        <v/>
      </c>
      <c r="AA1305" s="6">
        <f>YEAR(AC1305)</f>
        <v/>
      </c>
      <c r="AB1305" s="6">
        <f>MONTH(AC1305)</f>
        <v/>
      </c>
      <c r="AC1305" s="267">
        <f>IFERROR(__xludf.DUMMYFUNCTION("""COMPUTED_VALUE"""),44450.9986111111)</f>
        <v/>
      </c>
      <c r="AD1305" s="6">
        <f>IFERROR(__xludf.DUMMYFUNCTION("""COMPUTED_VALUE"""),1169.88)</f>
        <v/>
      </c>
      <c r="AH1305" s="6">
        <f>AI1305&amp;AJ1305</f>
        <v/>
      </c>
      <c r="AI1305" s="6">
        <f>YEAR(AK1305)</f>
        <v/>
      </c>
      <c r="AJ1305" s="6">
        <f>MONTH(AK1305)</f>
        <v/>
      </c>
      <c r="AK1305" s="267">
        <f>IFERROR(__xludf.DUMMYFUNCTION("""COMPUTED_VALUE"""),44398.9986111111)</f>
        <v/>
      </c>
      <c r="AL1305" s="6">
        <f>IFERROR(__xludf.DUMMYFUNCTION("""COMPUTED_VALUE"""),32121.27)</f>
        <v/>
      </c>
      <c r="AP1305" s="6">
        <f>AQ1305&amp;AR1305</f>
        <v/>
      </c>
      <c r="AQ1305" s="6">
        <f>YEAR(AS1305)</f>
        <v/>
      </c>
      <c r="AR1305" s="6">
        <f>MONTH(AS1305)</f>
        <v/>
      </c>
      <c r="AS1305" s="267">
        <f>IFERROR(__xludf.DUMMYFUNCTION("""COMPUTED_VALUE"""),45000.9986111111)</f>
        <v/>
      </c>
      <c r="AT1305" s="6">
        <f>IFERROR(__xludf.DUMMYFUNCTION("""COMPUTED_VALUE"""),1931.3)</f>
        <v/>
      </c>
    </row>
    <row r="1306">
      <c r="B1306" s="6">
        <f>C1306&amp;D1306</f>
        <v/>
      </c>
      <c r="C1306" s="6">
        <f>YEAR(E1306)</f>
        <v/>
      </c>
      <c r="D1306" s="6">
        <f>MONTH(E1306)</f>
        <v/>
      </c>
      <c r="E1306" s="267">
        <f>IFERROR(__xludf.DUMMYFUNCTION("""COMPUTED_VALUE"""),44994.6666666666)</f>
        <v/>
      </c>
      <c r="F1306" s="6">
        <f>IFERROR(__xludf.DUMMYFUNCTION("""COMPUTED_VALUE"""),3918.32)</f>
        <v/>
      </c>
      <c r="J1306" s="6">
        <f>K1306&amp;L1306</f>
        <v/>
      </c>
      <c r="K1306" s="6">
        <f>YEAR(M1306)</f>
        <v/>
      </c>
      <c r="L1306" s="6">
        <f>MONTH(M1306)</f>
        <v/>
      </c>
      <c r="M1306" s="267">
        <f>IFERROR(__xludf.DUMMYFUNCTION("""COMPUTED_VALUE"""),44986.6666666666)</f>
        <v/>
      </c>
      <c r="N1306" s="6">
        <f>IFERROR(__xludf.DUMMYFUNCTION("""COMPUTED_VALUE"""),11379.48)</f>
        <v/>
      </c>
      <c r="R1306" s="6">
        <f>S1306&amp;T1306</f>
        <v/>
      </c>
      <c r="S1306" s="6">
        <f>YEAR(U1306)</f>
        <v/>
      </c>
      <c r="T1306" s="6">
        <f>MONTH(U1306)</f>
        <v/>
      </c>
      <c r="U1306" s="267">
        <f>IFERROR(__xludf.DUMMYFUNCTION("""COMPUTED_VALUE"""),45036.6458333333)</f>
        <v/>
      </c>
      <c r="V1306" s="6">
        <f>IFERROR(__xludf.DUMMYFUNCTION("""COMPUTED_VALUE"""),2563.11)</f>
        <v/>
      </c>
      <c r="Z1306" s="6">
        <f>AA1306&amp;AB1306</f>
        <v/>
      </c>
      <c r="AA1306" s="6">
        <f>YEAR(AC1306)</f>
        <v/>
      </c>
      <c r="AB1306" s="6">
        <f>MONTH(AC1306)</f>
        <v/>
      </c>
      <c r="AC1306" s="267">
        <f>IFERROR(__xludf.DUMMYFUNCTION("""COMPUTED_VALUE"""),44451.9986111111)</f>
        <v/>
      </c>
      <c r="AD1306" s="6">
        <f>IFERROR(__xludf.DUMMYFUNCTION("""COMPUTED_VALUE"""),1169.38)</f>
        <v/>
      </c>
      <c r="AH1306" s="6">
        <f>AI1306&amp;AJ1306</f>
        <v/>
      </c>
      <c r="AI1306" s="6">
        <f>YEAR(AK1306)</f>
        <v/>
      </c>
      <c r="AJ1306" s="6">
        <f>MONTH(AK1306)</f>
        <v/>
      </c>
      <c r="AK1306" s="267">
        <f>IFERROR(__xludf.DUMMYFUNCTION("""COMPUTED_VALUE"""),44399.9986111111)</f>
        <v/>
      </c>
      <c r="AL1306" s="6">
        <f>IFERROR(__xludf.DUMMYFUNCTION("""COMPUTED_VALUE"""),32303.9)</f>
        <v/>
      </c>
      <c r="AP1306" s="6">
        <f>AQ1306&amp;AR1306</f>
        <v/>
      </c>
      <c r="AQ1306" s="6">
        <f>YEAR(AS1306)</f>
        <v/>
      </c>
      <c r="AR1306" s="6">
        <f>MONTH(AS1306)</f>
        <v/>
      </c>
      <c r="AS1306" s="267">
        <f>IFERROR(__xludf.DUMMYFUNCTION("""COMPUTED_VALUE"""),45001.9986111111)</f>
        <v/>
      </c>
      <c r="AT1306" s="6">
        <f>IFERROR(__xludf.DUMMYFUNCTION("""COMPUTED_VALUE"""),1939.7)</f>
        <v/>
      </c>
    </row>
    <row r="1307">
      <c r="B1307" s="6">
        <f>C1307&amp;D1307</f>
        <v/>
      </c>
      <c r="C1307" s="6">
        <f>YEAR(E1307)</f>
        <v/>
      </c>
      <c r="D1307" s="6">
        <f>MONTH(E1307)</f>
        <v/>
      </c>
      <c r="E1307" s="267">
        <f>IFERROR(__xludf.DUMMYFUNCTION("""COMPUTED_VALUE"""),44995.6666666666)</f>
        <v/>
      </c>
      <c r="F1307" s="6">
        <f>IFERROR(__xludf.DUMMYFUNCTION("""COMPUTED_VALUE"""),3861.59)</f>
        <v/>
      </c>
      <c r="J1307" s="6">
        <f>K1307&amp;L1307</f>
        <v/>
      </c>
      <c r="K1307" s="6">
        <f>YEAR(M1307)</f>
        <v/>
      </c>
      <c r="L1307" s="6">
        <f>MONTH(M1307)</f>
        <v/>
      </c>
      <c r="M1307" s="267">
        <f>IFERROR(__xludf.DUMMYFUNCTION("""COMPUTED_VALUE"""),44987.6666666666)</f>
        <v/>
      </c>
      <c r="N1307" s="6">
        <f>IFERROR(__xludf.DUMMYFUNCTION("""COMPUTED_VALUE"""),11462.98)</f>
        <v/>
      </c>
      <c r="R1307" s="6">
        <f>S1307&amp;T1307</f>
        <v/>
      </c>
      <c r="S1307" s="6">
        <f>YEAR(U1307)</f>
        <v/>
      </c>
      <c r="T1307" s="6">
        <f>MONTH(U1307)</f>
        <v/>
      </c>
      <c r="U1307" s="267">
        <f>IFERROR(__xludf.DUMMYFUNCTION("""COMPUTED_VALUE"""),45037.6458333333)</f>
        <v/>
      </c>
      <c r="V1307" s="6">
        <f>IFERROR(__xludf.DUMMYFUNCTION("""COMPUTED_VALUE"""),2544.4)</f>
        <v/>
      </c>
      <c r="Z1307" s="6">
        <f>AA1307&amp;AB1307</f>
        <v/>
      </c>
      <c r="AA1307" s="6">
        <f>YEAR(AC1307)</f>
        <v/>
      </c>
      <c r="AB1307" s="6">
        <f>MONTH(AC1307)</f>
        <v/>
      </c>
      <c r="AC1307" s="267">
        <f>IFERROR(__xludf.DUMMYFUNCTION("""COMPUTED_VALUE"""),44452.9986111111)</f>
        <v/>
      </c>
      <c r="AD1307" s="6">
        <f>IFERROR(__xludf.DUMMYFUNCTION("""COMPUTED_VALUE"""),1171.11)</f>
        <v/>
      </c>
      <c r="AH1307" s="6">
        <f>AI1307&amp;AJ1307</f>
        <v/>
      </c>
      <c r="AI1307" s="6">
        <f>YEAR(AK1307)</f>
        <v/>
      </c>
      <c r="AJ1307" s="6">
        <f>MONTH(AK1307)</f>
        <v/>
      </c>
      <c r="AK1307" s="267">
        <f>IFERROR(__xludf.DUMMYFUNCTION("""COMPUTED_VALUE"""),44400.9986111111)</f>
        <v/>
      </c>
      <c r="AL1307" s="6">
        <f>IFERROR(__xludf.DUMMYFUNCTION("""COMPUTED_VALUE"""),33604.89)</f>
        <v/>
      </c>
      <c r="AP1307" s="6">
        <f>AQ1307&amp;AR1307</f>
        <v/>
      </c>
      <c r="AQ1307" s="6">
        <f>YEAR(AS1307)</f>
        <v/>
      </c>
      <c r="AR1307" s="6">
        <f>MONTH(AS1307)</f>
        <v/>
      </c>
      <c r="AS1307" s="267">
        <f>IFERROR(__xludf.DUMMYFUNCTION("""COMPUTED_VALUE"""),45002.9986111111)</f>
        <v/>
      </c>
      <c r="AT1307" s="6">
        <f>IFERROR(__xludf.DUMMYFUNCTION("""COMPUTED_VALUE"""),1990.2)</f>
        <v/>
      </c>
    </row>
    <row r="1308">
      <c r="B1308" s="6">
        <f>C1308&amp;D1308</f>
        <v/>
      </c>
      <c r="C1308" s="6">
        <f>YEAR(E1308)</f>
        <v/>
      </c>
      <c r="D1308" s="6">
        <f>MONTH(E1308)</f>
        <v/>
      </c>
      <c r="E1308" s="267">
        <f>IFERROR(__xludf.DUMMYFUNCTION("""COMPUTED_VALUE"""),44998.6666666666)</f>
        <v/>
      </c>
      <c r="F1308" s="6">
        <f>IFERROR(__xludf.DUMMYFUNCTION("""COMPUTED_VALUE"""),3855.76)</f>
        <v/>
      </c>
      <c r="J1308" s="6">
        <f>K1308&amp;L1308</f>
        <v/>
      </c>
      <c r="K1308" s="6">
        <f>YEAR(M1308)</f>
        <v/>
      </c>
      <c r="L1308" s="6">
        <f>MONTH(M1308)</f>
        <v/>
      </c>
      <c r="M1308" s="267">
        <f>IFERROR(__xludf.DUMMYFUNCTION("""COMPUTED_VALUE"""),44988.6666666666)</f>
        <v/>
      </c>
      <c r="N1308" s="6">
        <f>IFERROR(__xludf.DUMMYFUNCTION("""COMPUTED_VALUE"""),11689.01)</f>
        <v/>
      </c>
      <c r="R1308" s="6">
        <f>S1308&amp;T1308</f>
        <v/>
      </c>
      <c r="S1308" s="6">
        <f>YEAR(U1308)</f>
        <v/>
      </c>
      <c r="T1308" s="6">
        <f>MONTH(U1308)</f>
        <v/>
      </c>
      <c r="U1308" s="267">
        <f>IFERROR(__xludf.DUMMYFUNCTION("""COMPUTED_VALUE"""),45040.6458333333)</f>
        <v/>
      </c>
      <c r="V1308" s="6">
        <f>IFERROR(__xludf.DUMMYFUNCTION("""COMPUTED_VALUE"""),2523.5)</f>
        <v/>
      </c>
      <c r="Z1308" s="6">
        <f>AA1308&amp;AB1308</f>
        <v/>
      </c>
      <c r="AA1308" s="6">
        <f>YEAR(AC1308)</f>
        <v/>
      </c>
      <c r="AB1308" s="6">
        <f>MONTH(AC1308)</f>
        <v/>
      </c>
      <c r="AC1308" s="267">
        <f>IFERROR(__xludf.DUMMYFUNCTION("""COMPUTED_VALUE"""),44453.9986111111)</f>
        <v/>
      </c>
      <c r="AD1308" s="6">
        <f>IFERROR(__xludf.DUMMYFUNCTION("""COMPUTED_VALUE"""),1170.8)</f>
        <v/>
      </c>
      <c r="AH1308" s="6">
        <f>AI1308&amp;AJ1308</f>
        <v/>
      </c>
      <c r="AI1308" s="6">
        <f>YEAR(AK1308)</f>
        <v/>
      </c>
      <c r="AJ1308" s="6">
        <f>MONTH(AK1308)</f>
        <v/>
      </c>
      <c r="AK1308" s="267">
        <f>IFERROR(__xludf.DUMMYFUNCTION("""COMPUTED_VALUE"""),44401.9986111111)</f>
        <v/>
      </c>
      <c r="AL1308" s="6">
        <f>IFERROR(__xludf.DUMMYFUNCTION("""COMPUTED_VALUE"""),34280.88)</f>
        <v/>
      </c>
      <c r="AP1308" s="6">
        <f>AQ1308&amp;AR1308</f>
        <v/>
      </c>
      <c r="AQ1308" s="6">
        <f>YEAR(AS1308)</f>
        <v/>
      </c>
      <c r="AR1308" s="6">
        <f>MONTH(AS1308)</f>
        <v/>
      </c>
      <c r="AS1308" s="267">
        <f>IFERROR(__xludf.DUMMYFUNCTION("""COMPUTED_VALUE"""),45005.9986111111)</f>
        <v/>
      </c>
      <c r="AT1308" s="6">
        <f>IFERROR(__xludf.DUMMYFUNCTION("""COMPUTED_VALUE"""),1999.7)</f>
        <v/>
      </c>
    </row>
    <row r="1309">
      <c r="B1309" s="6">
        <f>C1309&amp;D1309</f>
        <v/>
      </c>
      <c r="C1309" s="6">
        <f>YEAR(E1309)</f>
        <v/>
      </c>
      <c r="D1309" s="6">
        <f>MONTH(E1309)</f>
        <v/>
      </c>
      <c r="E1309" s="267">
        <f>IFERROR(__xludf.DUMMYFUNCTION("""COMPUTED_VALUE"""),44999.6666666666)</f>
        <v/>
      </c>
      <c r="F1309" s="6">
        <f>IFERROR(__xludf.DUMMYFUNCTION("""COMPUTED_VALUE"""),3919.29)</f>
        <v/>
      </c>
      <c r="J1309" s="6">
        <f>K1309&amp;L1309</f>
        <v/>
      </c>
      <c r="K1309" s="6">
        <f>YEAR(M1309)</f>
        <v/>
      </c>
      <c r="L1309" s="6">
        <f>MONTH(M1309)</f>
        <v/>
      </c>
      <c r="M1309" s="267">
        <f>IFERROR(__xludf.DUMMYFUNCTION("""COMPUTED_VALUE"""),44991.6666666666)</f>
        <v/>
      </c>
      <c r="N1309" s="6">
        <f>IFERROR(__xludf.DUMMYFUNCTION("""COMPUTED_VALUE"""),11675.74)</f>
        <v/>
      </c>
      <c r="R1309" s="6">
        <f>S1309&amp;T1309</f>
        <v/>
      </c>
      <c r="S1309" s="6">
        <f>YEAR(U1309)</f>
        <v/>
      </c>
      <c r="T1309" s="6">
        <f>MONTH(U1309)</f>
        <v/>
      </c>
      <c r="U1309" s="267">
        <f>IFERROR(__xludf.DUMMYFUNCTION("""COMPUTED_VALUE"""),45041.6458333333)</f>
        <v/>
      </c>
      <c r="V1309" s="6">
        <f>IFERROR(__xludf.DUMMYFUNCTION("""COMPUTED_VALUE"""),2489.02)</f>
        <v/>
      </c>
      <c r="Z1309" s="6">
        <f>AA1309&amp;AB1309</f>
        <v/>
      </c>
      <c r="AA1309" s="6">
        <f>YEAR(AC1309)</f>
        <v/>
      </c>
      <c r="AB1309" s="6">
        <f>MONTH(AC1309)</f>
        <v/>
      </c>
      <c r="AC1309" s="267">
        <f>IFERROR(__xludf.DUMMYFUNCTION("""COMPUTED_VALUE"""),44454.9986111111)</f>
        <v/>
      </c>
      <c r="AD1309" s="6">
        <f>IFERROR(__xludf.DUMMYFUNCTION("""COMPUTED_VALUE"""),1165.22)</f>
        <v/>
      </c>
      <c r="AH1309" s="6">
        <f>AI1309&amp;AJ1309</f>
        <v/>
      </c>
      <c r="AI1309" s="6">
        <f>YEAR(AK1309)</f>
        <v/>
      </c>
      <c r="AJ1309" s="6">
        <f>MONTH(AK1309)</f>
        <v/>
      </c>
      <c r="AK1309" s="267">
        <f>IFERROR(__xludf.DUMMYFUNCTION("""COMPUTED_VALUE"""),44402.9986111111)</f>
        <v/>
      </c>
      <c r="AL1309" s="6">
        <f>IFERROR(__xludf.DUMMYFUNCTION("""COMPUTED_VALUE"""),35412.74)</f>
        <v/>
      </c>
      <c r="AP1309" s="6">
        <f>AQ1309&amp;AR1309</f>
        <v/>
      </c>
      <c r="AQ1309" s="6">
        <f>YEAR(AS1309)</f>
        <v/>
      </c>
      <c r="AR1309" s="6">
        <f>MONTH(AS1309)</f>
        <v/>
      </c>
      <c r="AS1309" s="267">
        <f>IFERROR(__xludf.DUMMYFUNCTION("""COMPUTED_VALUE"""),45006.9986111111)</f>
        <v/>
      </c>
      <c r="AT1309" s="6">
        <f>IFERROR(__xludf.DUMMYFUNCTION("""COMPUTED_VALUE"""),1958.3)</f>
        <v/>
      </c>
    </row>
    <row r="1310">
      <c r="B1310" s="6">
        <f>C1310&amp;D1310</f>
        <v/>
      </c>
      <c r="C1310" s="6">
        <f>YEAR(E1310)</f>
        <v/>
      </c>
      <c r="D1310" s="6">
        <f>MONTH(E1310)</f>
        <v/>
      </c>
      <c r="E1310" s="267">
        <f>IFERROR(__xludf.DUMMYFUNCTION("""COMPUTED_VALUE"""),45000.6666666666)</f>
        <v/>
      </c>
      <c r="F1310" s="6">
        <f>IFERROR(__xludf.DUMMYFUNCTION("""COMPUTED_VALUE"""),3891.93)</f>
        <v/>
      </c>
      <c r="J1310" s="6">
        <f>K1310&amp;L1310</f>
        <v/>
      </c>
      <c r="K1310" s="6">
        <f>YEAR(M1310)</f>
        <v/>
      </c>
      <c r="L1310" s="6">
        <f>MONTH(M1310)</f>
        <v/>
      </c>
      <c r="M1310" s="267">
        <f>IFERROR(__xludf.DUMMYFUNCTION("""COMPUTED_VALUE"""),44992.6666666666)</f>
        <v/>
      </c>
      <c r="N1310" s="6">
        <f>IFERROR(__xludf.DUMMYFUNCTION("""COMPUTED_VALUE"""),11530.33)</f>
        <v/>
      </c>
      <c r="R1310" s="6">
        <f>S1310&amp;T1310</f>
        <v/>
      </c>
      <c r="S1310" s="6">
        <f>YEAR(U1310)</f>
        <v/>
      </c>
      <c r="T1310" s="6">
        <f>MONTH(U1310)</f>
        <v/>
      </c>
      <c r="U1310" s="267">
        <f>IFERROR(__xludf.DUMMYFUNCTION("""COMPUTED_VALUE"""),45042.6458333333)</f>
        <v/>
      </c>
      <c r="V1310" s="6">
        <f>IFERROR(__xludf.DUMMYFUNCTION("""COMPUTED_VALUE"""),2484.83)</f>
        <v/>
      </c>
      <c r="Z1310" s="6">
        <f>AA1310&amp;AB1310</f>
        <v/>
      </c>
      <c r="AA1310" s="6">
        <f>YEAR(AC1310)</f>
        <v/>
      </c>
      <c r="AB1310" s="6">
        <f>MONTH(AC1310)</f>
        <v/>
      </c>
      <c r="AC1310" s="267">
        <f>IFERROR(__xludf.DUMMYFUNCTION("""COMPUTED_VALUE"""),44455.9986111111)</f>
        <v/>
      </c>
      <c r="AD1310" s="6">
        <f>IFERROR(__xludf.DUMMYFUNCTION("""COMPUTED_VALUE"""),1174.42)</f>
        <v/>
      </c>
      <c r="AH1310" s="6">
        <f>AI1310&amp;AJ1310</f>
        <v/>
      </c>
      <c r="AI1310" s="6">
        <f>YEAR(AK1310)</f>
        <v/>
      </c>
      <c r="AJ1310" s="6">
        <f>MONTH(AK1310)</f>
        <v/>
      </c>
      <c r="AK1310" s="267">
        <f>IFERROR(__xludf.DUMMYFUNCTION("""COMPUTED_VALUE"""),44403.9986111111)</f>
        <v/>
      </c>
      <c r="AL1310" s="6">
        <f>IFERROR(__xludf.DUMMYFUNCTION("""COMPUTED_VALUE"""),37306.7)</f>
        <v/>
      </c>
      <c r="AP1310" s="6">
        <f>AQ1310&amp;AR1310</f>
        <v/>
      </c>
      <c r="AQ1310" s="6">
        <f>YEAR(AS1310)</f>
        <v/>
      </c>
      <c r="AR1310" s="6">
        <f>MONTH(AS1310)</f>
        <v/>
      </c>
      <c r="AS1310" s="267">
        <f>IFERROR(__xludf.DUMMYFUNCTION("""COMPUTED_VALUE"""),45007.9986111111)</f>
        <v/>
      </c>
      <c r="AT1310" s="6">
        <f>IFERROR(__xludf.DUMMYFUNCTION("""COMPUTED_VALUE"""),1966.6)</f>
        <v/>
      </c>
    </row>
    <row r="1311">
      <c r="B1311" s="6">
        <f>C1311&amp;D1311</f>
        <v/>
      </c>
      <c r="C1311" s="6">
        <f>YEAR(E1311)</f>
        <v/>
      </c>
      <c r="D1311" s="6">
        <f>MONTH(E1311)</f>
        <v/>
      </c>
      <c r="E1311" s="267">
        <f>IFERROR(__xludf.DUMMYFUNCTION("""COMPUTED_VALUE"""),45001.6666666666)</f>
        <v/>
      </c>
      <c r="F1311" s="6">
        <f>IFERROR(__xludf.DUMMYFUNCTION("""COMPUTED_VALUE"""),3960.28)</f>
        <v/>
      </c>
      <c r="J1311" s="6">
        <f>K1311&amp;L1311</f>
        <v/>
      </c>
      <c r="K1311" s="6">
        <f>YEAR(M1311)</f>
        <v/>
      </c>
      <c r="L1311" s="6">
        <f>MONTH(M1311)</f>
        <v/>
      </c>
      <c r="M1311" s="267">
        <f>IFERROR(__xludf.DUMMYFUNCTION("""COMPUTED_VALUE"""),44993.6666666666)</f>
        <v/>
      </c>
      <c r="N1311" s="6">
        <f>IFERROR(__xludf.DUMMYFUNCTION("""COMPUTED_VALUE"""),11576)</f>
        <v/>
      </c>
      <c r="R1311" s="6">
        <f>S1311&amp;T1311</f>
        <v/>
      </c>
      <c r="S1311" s="6">
        <f>YEAR(U1311)</f>
        <v/>
      </c>
      <c r="T1311" s="6">
        <f>MONTH(U1311)</f>
        <v/>
      </c>
      <c r="U1311" s="267">
        <f>IFERROR(__xludf.DUMMYFUNCTION("""COMPUTED_VALUE"""),45043.6458333333)</f>
        <v/>
      </c>
      <c r="V1311" s="6">
        <f>IFERROR(__xludf.DUMMYFUNCTION("""COMPUTED_VALUE"""),2495.81)</f>
        <v/>
      </c>
      <c r="Z1311" s="6">
        <f>AA1311&amp;AB1311</f>
        <v/>
      </c>
      <c r="AA1311" s="6">
        <f>YEAR(AC1311)</f>
        <v/>
      </c>
      <c r="AB1311" s="6">
        <f>MONTH(AC1311)</f>
        <v/>
      </c>
      <c r="AC1311" s="267">
        <f>IFERROR(__xludf.DUMMYFUNCTION("""COMPUTED_VALUE"""),44456.9986111111)</f>
        <v/>
      </c>
      <c r="AD1311" s="6">
        <f>IFERROR(__xludf.DUMMYFUNCTION("""COMPUTED_VALUE"""),1180.72)</f>
        <v/>
      </c>
      <c r="AH1311" s="6">
        <f>AI1311&amp;AJ1311</f>
        <v/>
      </c>
      <c r="AI1311" s="6">
        <f>YEAR(AK1311)</f>
        <v/>
      </c>
      <c r="AJ1311" s="6">
        <f>MONTH(AK1311)</f>
        <v/>
      </c>
      <c r="AK1311" s="267">
        <f>IFERROR(__xludf.DUMMYFUNCTION("""COMPUTED_VALUE"""),44404.9986111111)</f>
        <v/>
      </c>
      <c r="AL1311" s="6">
        <f>IFERROR(__xludf.DUMMYFUNCTION("""COMPUTED_VALUE"""),39430.78)</f>
        <v/>
      </c>
      <c r="AP1311" s="6">
        <f>AQ1311&amp;AR1311</f>
        <v/>
      </c>
      <c r="AQ1311" s="6">
        <f>YEAR(AS1311)</f>
        <v/>
      </c>
      <c r="AR1311" s="6">
        <f>MONTH(AS1311)</f>
        <v/>
      </c>
      <c r="AS1311" s="267">
        <f>IFERROR(__xludf.DUMMYFUNCTION("""COMPUTED_VALUE"""),45008.9986111111)</f>
        <v/>
      </c>
      <c r="AT1311" s="6">
        <f>IFERROR(__xludf.DUMMYFUNCTION("""COMPUTED_VALUE"""),2013.3)</f>
        <v/>
      </c>
    </row>
    <row r="1312">
      <c r="B1312" s="6">
        <f>C1312&amp;D1312</f>
        <v/>
      </c>
      <c r="C1312" s="6">
        <f>YEAR(E1312)</f>
        <v/>
      </c>
      <c r="D1312" s="6">
        <f>MONTH(E1312)</f>
        <v/>
      </c>
      <c r="E1312" s="267">
        <f>IFERROR(__xludf.DUMMYFUNCTION("""COMPUTED_VALUE"""),45002.6666666666)</f>
        <v/>
      </c>
      <c r="F1312" s="6">
        <f>IFERROR(__xludf.DUMMYFUNCTION("""COMPUTED_VALUE"""),3916.64)</f>
        <v/>
      </c>
      <c r="J1312" s="6">
        <f>K1312&amp;L1312</f>
        <v/>
      </c>
      <c r="K1312" s="6">
        <f>YEAR(M1312)</f>
        <v/>
      </c>
      <c r="L1312" s="6">
        <f>MONTH(M1312)</f>
        <v/>
      </c>
      <c r="M1312" s="267">
        <f>IFERROR(__xludf.DUMMYFUNCTION("""COMPUTED_VALUE"""),44994.6666666666)</f>
        <v/>
      </c>
      <c r="N1312" s="6">
        <f>IFERROR(__xludf.DUMMYFUNCTION("""COMPUTED_VALUE"""),11338.36)</f>
        <v/>
      </c>
      <c r="R1312" s="6">
        <f>S1312&amp;T1312</f>
        <v/>
      </c>
      <c r="S1312" s="6">
        <f>YEAR(U1312)</f>
        <v/>
      </c>
      <c r="T1312" s="6">
        <f>MONTH(U1312)</f>
        <v/>
      </c>
      <c r="U1312" s="267">
        <f>IFERROR(__xludf.DUMMYFUNCTION("""COMPUTED_VALUE"""),45044.6458333333)</f>
        <v/>
      </c>
      <c r="V1312" s="6">
        <f>IFERROR(__xludf.DUMMYFUNCTION("""COMPUTED_VALUE"""),2501.53)</f>
        <v/>
      </c>
      <c r="Z1312" s="6">
        <f>AA1312&amp;AB1312</f>
        <v/>
      </c>
      <c r="AA1312" s="6">
        <f>YEAR(AC1312)</f>
        <v/>
      </c>
      <c r="AB1312" s="6">
        <f>MONTH(AC1312)</f>
        <v/>
      </c>
      <c r="AC1312" s="267">
        <f>IFERROR(__xludf.DUMMYFUNCTION("""COMPUTED_VALUE"""),44457.9986111111)</f>
        <v/>
      </c>
      <c r="AD1312" s="6">
        <f>IFERROR(__xludf.DUMMYFUNCTION("""COMPUTED_VALUE"""),1180.72)</f>
        <v/>
      </c>
      <c r="AH1312" s="6">
        <f>AI1312&amp;AJ1312</f>
        <v/>
      </c>
      <c r="AI1312" s="6">
        <f>YEAR(AK1312)</f>
        <v/>
      </c>
      <c r="AJ1312" s="6">
        <f>MONTH(AK1312)</f>
        <v/>
      </c>
      <c r="AK1312" s="267">
        <f>IFERROR(__xludf.DUMMYFUNCTION("""COMPUTED_VALUE"""),44405.9986111111)</f>
        <v/>
      </c>
      <c r="AL1312" s="6">
        <f>IFERROR(__xludf.DUMMYFUNCTION("""COMPUTED_VALUE"""),40005.39)</f>
        <v/>
      </c>
      <c r="AP1312" s="6">
        <f>AQ1312&amp;AR1312</f>
        <v/>
      </c>
      <c r="AQ1312" s="6">
        <f>YEAR(AS1312)</f>
        <v/>
      </c>
      <c r="AR1312" s="6">
        <f>MONTH(AS1312)</f>
        <v/>
      </c>
      <c r="AS1312" s="267">
        <f>IFERROR(__xludf.DUMMYFUNCTION("""COMPUTED_VALUE"""),45009.9986111111)</f>
        <v/>
      </c>
      <c r="AT1312" s="6">
        <f>IFERROR(__xludf.DUMMYFUNCTION("""COMPUTED_VALUE"""),2001.7)</f>
        <v/>
      </c>
    </row>
    <row r="1313">
      <c r="B1313" s="6">
        <f>C1313&amp;D1313</f>
        <v/>
      </c>
      <c r="C1313" s="6">
        <f>YEAR(E1313)</f>
        <v/>
      </c>
      <c r="D1313" s="6">
        <f>MONTH(E1313)</f>
        <v/>
      </c>
      <c r="E1313" s="267">
        <f>IFERROR(__xludf.DUMMYFUNCTION("""COMPUTED_VALUE"""),45005.6666666666)</f>
        <v/>
      </c>
      <c r="F1313" s="6">
        <f>IFERROR(__xludf.DUMMYFUNCTION("""COMPUTED_VALUE"""),3951.57)</f>
        <v/>
      </c>
      <c r="J1313" s="6">
        <f>K1313&amp;L1313</f>
        <v/>
      </c>
      <c r="K1313" s="6">
        <f>YEAR(M1313)</f>
        <v/>
      </c>
      <c r="L1313" s="6">
        <f>MONTH(M1313)</f>
        <v/>
      </c>
      <c r="M1313" s="267">
        <f>IFERROR(__xludf.DUMMYFUNCTION("""COMPUTED_VALUE"""),44995.6666666666)</f>
        <v/>
      </c>
      <c r="N1313" s="6">
        <f>IFERROR(__xludf.DUMMYFUNCTION("""COMPUTED_VALUE"""),11138.89)</f>
        <v/>
      </c>
      <c r="R1313" s="6">
        <f>S1313&amp;T1313</f>
        <v/>
      </c>
      <c r="S1313" s="6">
        <f>YEAR(U1313)</f>
        <v/>
      </c>
      <c r="T1313" s="6">
        <f>MONTH(U1313)</f>
        <v/>
      </c>
      <c r="U1313" s="267">
        <f>IFERROR(__xludf.DUMMYFUNCTION("""COMPUTED_VALUE"""),45048.6458333333)</f>
        <v/>
      </c>
      <c r="V1313" s="6">
        <f>IFERROR(__xludf.DUMMYFUNCTION("""COMPUTED_VALUE"""),2524.39)</f>
        <v/>
      </c>
      <c r="Z1313" s="6">
        <f>AA1313&amp;AB1313</f>
        <v/>
      </c>
      <c r="AA1313" s="6">
        <f>YEAR(AC1313)</f>
        <v/>
      </c>
      <c r="AB1313" s="6">
        <f>MONTH(AC1313)</f>
        <v/>
      </c>
      <c r="AC1313" s="267">
        <f>IFERROR(__xludf.DUMMYFUNCTION("""COMPUTED_VALUE"""),44458.9986111111)</f>
        <v/>
      </c>
      <c r="AD1313" s="6">
        <f>IFERROR(__xludf.DUMMYFUNCTION("""COMPUTED_VALUE"""),1181.11)</f>
        <v/>
      </c>
      <c r="AH1313" s="6">
        <f>AI1313&amp;AJ1313</f>
        <v/>
      </c>
      <c r="AI1313" s="6">
        <f>YEAR(AK1313)</f>
        <v/>
      </c>
      <c r="AJ1313" s="6">
        <f>MONTH(AK1313)</f>
        <v/>
      </c>
      <c r="AK1313" s="267">
        <f>IFERROR(__xludf.DUMMYFUNCTION("""COMPUTED_VALUE"""),44406.9986111111)</f>
        <v/>
      </c>
      <c r="AL1313" s="6">
        <f>IFERROR(__xludf.DUMMYFUNCTION("""COMPUTED_VALUE"""),40028.84)</f>
        <v/>
      </c>
      <c r="AP1313" s="6">
        <f>AQ1313&amp;AR1313</f>
        <v/>
      </c>
      <c r="AQ1313" s="6">
        <f>YEAR(AS1313)</f>
        <v/>
      </c>
      <c r="AR1313" s="6">
        <f>MONTH(AS1313)</f>
        <v/>
      </c>
      <c r="AS1313" s="267">
        <f>IFERROR(__xludf.DUMMYFUNCTION("""COMPUTED_VALUE"""),45012.9986111111)</f>
        <v/>
      </c>
      <c r="AT1313" s="6">
        <f>IFERROR(__xludf.DUMMYFUNCTION("""COMPUTED_VALUE"""),1971.5)</f>
        <v/>
      </c>
    </row>
    <row r="1314">
      <c r="B1314" s="6">
        <f>C1314&amp;D1314</f>
        <v/>
      </c>
      <c r="C1314" s="6">
        <f>YEAR(E1314)</f>
        <v/>
      </c>
      <c r="D1314" s="6">
        <f>MONTH(E1314)</f>
        <v/>
      </c>
      <c r="E1314" s="267">
        <f>IFERROR(__xludf.DUMMYFUNCTION("""COMPUTED_VALUE"""),45006.6666666666)</f>
        <v/>
      </c>
      <c r="F1314" s="6">
        <f>IFERROR(__xludf.DUMMYFUNCTION("""COMPUTED_VALUE"""),4002.87)</f>
        <v/>
      </c>
      <c r="J1314" s="6">
        <f>K1314&amp;L1314</f>
        <v/>
      </c>
      <c r="K1314" s="6">
        <f>YEAR(M1314)</f>
        <v/>
      </c>
      <c r="L1314" s="6">
        <f>MONTH(M1314)</f>
        <v/>
      </c>
      <c r="M1314" s="267">
        <f>IFERROR(__xludf.DUMMYFUNCTION("""COMPUTED_VALUE"""),44998.6666666666)</f>
        <v/>
      </c>
      <c r="N1314" s="6">
        <f>IFERROR(__xludf.DUMMYFUNCTION("""COMPUTED_VALUE"""),11188.84)</f>
        <v/>
      </c>
      <c r="R1314" s="6">
        <f>S1314&amp;T1314</f>
        <v/>
      </c>
      <c r="S1314" s="6">
        <f>YEAR(U1314)</f>
        <v/>
      </c>
      <c r="T1314" s="6">
        <f>MONTH(U1314)</f>
        <v/>
      </c>
      <c r="U1314" s="267">
        <f>IFERROR(__xludf.DUMMYFUNCTION("""COMPUTED_VALUE"""),45049.6458333333)</f>
        <v/>
      </c>
      <c r="V1314" s="6">
        <f>IFERROR(__xludf.DUMMYFUNCTION("""COMPUTED_VALUE"""),2501.4)</f>
        <v/>
      </c>
      <c r="Z1314" s="6">
        <f>AA1314&amp;AB1314</f>
        <v/>
      </c>
      <c r="AA1314" s="6">
        <f>YEAR(AC1314)</f>
        <v/>
      </c>
      <c r="AB1314" s="6">
        <f>MONTH(AC1314)</f>
        <v/>
      </c>
      <c r="AC1314" s="267">
        <f>IFERROR(__xludf.DUMMYFUNCTION("""COMPUTED_VALUE"""),44459.9986111111)</f>
        <v/>
      </c>
      <c r="AD1314" s="6">
        <f>IFERROR(__xludf.DUMMYFUNCTION("""COMPUTED_VALUE"""),1186.32)</f>
        <v/>
      </c>
      <c r="AH1314" s="6">
        <f>AI1314&amp;AJ1314</f>
        <v/>
      </c>
      <c r="AI1314" s="6">
        <f>YEAR(AK1314)</f>
        <v/>
      </c>
      <c r="AJ1314" s="6">
        <f>MONTH(AK1314)</f>
        <v/>
      </c>
      <c r="AK1314" s="267">
        <f>IFERROR(__xludf.DUMMYFUNCTION("""COMPUTED_VALUE"""),44407.9986111111)</f>
        <v/>
      </c>
      <c r="AL1314" s="6">
        <f>IFERROR(__xludf.DUMMYFUNCTION("""COMPUTED_VALUE"""),42249.93)</f>
        <v/>
      </c>
      <c r="AP1314" s="6">
        <f>AQ1314&amp;AR1314</f>
        <v/>
      </c>
      <c r="AQ1314" s="6">
        <f>YEAR(AS1314)</f>
        <v/>
      </c>
      <c r="AR1314" s="6">
        <f>MONTH(AS1314)</f>
        <v/>
      </c>
      <c r="AS1314" s="267">
        <f>IFERROR(__xludf.DUMMYFUNCTION("""COMPUTED_VALUE"""),45013.9986111111)</f>
        <v/>
      </c>
      <c r="AT1314" s="6">
        <f>IFERROR(__xludf.DUMMYFUNCTION("""COMPUTED_VALUE"""),1990.4)</f>
        <v/>
      </c>
    </row>
    <row r="1315">
      <c r="B1315" s="6">
        <f>C1315&amp;D1315</f>
        <v/>
      </c>
      <c r="C1315" s="6">
        <f>YEAR(E1315)</f>
        <v/>
      </c>
      <c r="D1315" s="6">
        <f>MONTH(E1315)</f>
        <v/>
      </c>
      <c r="E1315" s="267">
        <f>IFERROR(__xludf.DUMMYFUNCTION("""COMPUTED_VALUE"""),45007.6666666666)</f>
        <v/>
      </c>
      <c r="F1315" s="6">
        <f>IFERROR(__xludf.DUMMYFUNCTION("""COMPUTED_VALUE"""),3936.97)</f>
        <v/>
      </c>
      <c r="J1315" s="6">
        <f>K1315&amp;L1315</f>
        <v/>
      </c>
      <c r="K1315" s="6">
        <f>YEAR(M1315)</f>
        <v/>
      </c>
      <c r="L1315" s="6">
        <f>MONTH(M1315)</f>
        <v/>
      </c>
      <c r="M1315" s="267">
        <f>IFERROR(__xludf.DUMMYFUNCTION("""COMPUTED_VALUE"""),44999.6666666666)</f>
        <v/>
      </c>
      <c r="N1315" s="6">
        <f>IFERROR(__xludf.DUMMYFUNCTION("""COMPUTED_VALUE"""),11428.15)</f>
        <v/>
      </c>
      <c r="R1315" s="6">
        <f>S1315&amp;T1315</f>
        <v/>
      </c>
      <c r="S1315" s="6">
        <f>YEAR(U1315)</f>
        <v/>
      </c>
      <c r="T1315" s="6">
        <f>MONTH(U1315)</f>
        <v/>
      </c>
      <c r="U1315" s="267">
        <f>IFERROR(__xludf.DUMMYFUNCTION("""COMPUTED_VALUE"""),45050.6458333333)</f>
        <v/>
      </c>
      <c r="V1315" s="6">
        <f>IFERROR(__xludf.DUMMYFUNCTION("""COMPUTED_VALUE"""),2500.94)</f>
        <v/>
      </c>
      <c r="Z1315" s="6">
        <f>AA1315&amp;AB1315</f>
        <v/>
      </c>
      <c r="AA1315" s="6">
        <f>YEAR(AC1315)</f>
        <v/>
      </c>
      <c r="AB1315" s="6">
        <f>MONTH(AC1315)</f>
        <v/>
      </c>
      <c r="AC1315" s="267">
        <f>IFERROR(__xludf.DUMMYFUNCTION("""COMPUTED_VALUE"""),44460.9986111111)</f>
        <v/>
      </c>
      <c r="AD1315" s="6">
        <f>IFERROR(__xludf.DUMMYFUNCTION("""COMPUTED_VALUE"""),1182.92)</f>
        <v/>
      </c>
      <c r="AH1315" s="6">
        <f>AI1315&amp;AJ1315</f>
        <v/>
      </c>
      <c r="AI1315" s="6">
        <f>YEAR(AK1315)</f>
        <v/>
      </c>
      <c r="AJ1315" s="6">
        <f>MONTH(AK1315)</f>
        <v/>
      </c>
      <c r="AK1315" s="267">
        <f>IFERROR(__xludf.DUMMYFUNCTION("""COMPUTED_VALUE"""),44408.9986111111)</f>
        <v/>
      </c>
      <c r="AL1315" s="6">
        <f>IFERROR(__xludf.DUMMYFUNCTION("""COMPUTED_VALUE"""),41538.9)</f>
        <v/>
      </c>
      <c r="AP1315" s="6">
        <f>AQ1315&amp;AR1315</f>
        <v/>
      </c>
      <c r="AQ1315" s="6">
        <f>YEAR(AS1315)</f>
        <v/>
      </c>
      <c r="AR1315" s="6">
        <f>MONTH(AS1315)</f>
        <v/>
      </c>
      <c r="AS1315" s="267">
        <f>IFERROR(__xludf.DUMMYFUNCTION("""COMPUTED_VALUE"""),45014.9986111111)</f>
        <v/>
      </c>
      <c r="AT1315" s="6">
        <f>IFERROR(__xludf.DUMMYFUNCTION("""COMPUTED_VALUE"""),1984.5)</f>
        <v/>
      </c>
    </row>
    <row r="1316">
      <c r="B1316" s="6">
        <f>C1316&amp;D1316</f>
        <v/>
      </c>
      <c r="C1316" s="6">
        <f>YEAR(E1316)</f>
        <v/>
      </c>
      <c r="D1316" s="6">
        <f>MONTH(E1316)</f>
        <v/>
      </c>
      <c r="E1316" s="267">
        <f>IFERROR(__xludf.DUMMYFUNCTION("""COMPUTED_VALUE"""),45008.6666666666)</f>
        <v/>
      </c>
      <c r="F1316" s="6">
        <f>IFERROR(__xludf.DUMMYFUNCTION("""COMPUTED_VALUE"""),3948.72)</f>
        <v/>
      </c>
      <c r="J1316" s="6">
        <f>K1316&amp;L1316</f>
        <v/>
      </c>
      <c r="K1316" s="6">
        <f>YEAR(M1316)</f>
        <v/>
      </c>
      <c r="L1316" s="6">
        <f>MONTH(M1316)</f>
        <v/>
      </c>
      <c r="M1316" s="267">
        <f>IFERROR(__xludf.DUMMYFUNCTION("""COMPUTED_VALUE"""),45000.6666666666)</f>
        <v/>
      </c>
      <c r="N1316" s="6">
        <f>IFERROR(__xludf.DUMMYFUNCTION("""COMPUTED_VALUE"""),11434.05)</f>
        <v/>
      </c>
      <c r="R1316" s="6">
        <f>S1316&amp;T1316</f>
        <v/>
      </c>
      <c r="S1316" s="6">
        <f>YEAR(U1316)</f>
        <v/>
      </c>
      <c r="T1316" s="6">
        <f>MONTH(U1316)</f>
        <v/>
      </c>
      <c r="U1316" s="267">
        <f>IFERROR(__xludf.DUMMYFUNCTION("""COMPUTED_VALUE"""),45054.6458333333)</f>
        <v/>
      </c>
      <c r="V1316" s="6">
        <f>IFERROR(__xludf.DUMMYFUNCTION("""COMPUTED_VALUE"""),2513.21)</f>
        <v/>
      </c>
      <c r="Z1316" s="6">
        <f>AA1316&amp;AB1316</f>
        <v/>
      </c>
      <c r="AA1316" s="6">
        <f>YEAR(AC1316)</f>
        <v/>
      </c>
      <c r="AB1316" s="6">
        <f>MONTH(AC1316)</f>
        <v/>
      </c>
      <c r="AC1316" s="267">
        <f>IFERROR(__xludf.DUMMYFUNCTION("""COMPUTED_VALUE"""),44461.9986111111)</f>
        <v/>
      </c>
      <c r="AD1316" s="6">
        <f>IFERROR(__xludf.DUMMYFUNCTION("""COMPUTED_VALUE"""),1181.03)</f>
        <v/>
      </c>
      <c r="AH1316" s="6">
        <f>AI1316&amp;AJ1316</f>
        <v/>
      </c>
      <c r="AI1316" s="6">
        <f>YEAR(AK1316)</f>
        <v/>
      </c>
      <c r="AJ1316" s="6">
        <f>MONTH(AK1316)</f>
        <v/>
      </c>
      <c r="AK1316" s="267">
        <f>IFERROR(__xludf.DUMMYFUNCTION("""COMPUTED_VALUE"""),44409.9986111111)</f>
        <v/>
      </c>
      <c r="AL1316" s="6">
        <f>IFERROR(__xludf.DUMMYFUNCTION("""COMPUTED_VALUE"""),39897.94)</f>
        <v/>
      </c>
      <c r="AP1316" s="6">
        <f>AQ1316&amp;AR1316</f>
        <v/>
      </c>
      <c r="AQ1316" s="6">
        <f>YEAR(AS1316)</f>
        <v/>
      </c>
      <c r="AR1316" s="6">
        <f>MONTH(AS1316)</f>
        <v/>
      </c>
      <c r="AS1316" s="267">
        <f>IFERROR(__xludf.DUMMYFUNCTION("""COMPUTED_VALUE"""),45015.9986111111)</f>
        <v/>
      </c>
      <c r="AT1316" s="6">
        <f>IFERROR(__xludf.DUMMYFUNCTION("""COMPUTED_VALUE"""),1997.7)</f>
        <v/>
      </c>
    </row>
    <row r="1317">
      <c r="B1317" s="6">
        <f>C1317&amp;D1317</f>
        <v/>
      </c>
      <c r="C1317" s="6">
        <f>YEAR(E1317)</f>
        <v/>
      </c>
      <c r="D1317" s="6">
        <f>MONTH(E1317)</f>
        <v/>
      </c>
      <c r="E1317" s="267">
        <f>IFERROR(__xludf.DUMMYFUNCTION("""COMPUTED_VALUE"""),45009.6666666666)</f>
        <v/>
      </c>
      <c r="F1317" s="6">
        <f>IFERROR(__xludf.DUMMYFUNCTION("""COMPUTED_VALUE"""),3970.99)</f>
        <v/>
      </c>
      <c r="J1317" s="6">
        <f>K1317&amp;L1317</f>
        <v/>
      </c>
      <c r="K1317" s="6">
        <f>YEAR(M1317)</f>
        <v/>
      </c>
      <c r="L1317" s="6">
        <f>MONTH(M1317)</f>
        <v/>
      </c>
      <c r="M1317" s="267">
        <f>IFERROR(__xludf.DUMMYFUNCTION("""COMPUTED_VALUE"""),45001.6666666666)</f>
        <v/>
      </c>
      <c r="N1317" s="6">
        <f>IFERROR(__xludf.DUMMYFUNCTION("""COMPUTED_VALUE"""),11717.28)</f>
        <v/>
      </c>
      <c r="R1317" s="6">
        <f>S1317&amp;T1317</f>
        <v/>
      </c>
      <c r="S1317" s="6">
        <f>YEAR(U1317)</f>
        <v/>
      </c>
      <c r="T1317" s="6">
        <f>MONTH(U1317)</f>
        <v/>
      </c>
      <c r="U1317" s="267">
        <f>IFERROR(__xludf.DUMMYFUNCTION("""COMPUTED_VALUE"""),45055.6458333333)</f>
        <v/>
      </c>
      <c r="V1317" s="6">
        <f>IFERROR(__xludf.DUMMYFUNCTION("""COMPUTED_VALUE"""),2510.06)</f>
        <v/>
      </c>
      <c r="Z1317" s="6">
        <f>AA1317&amp;AB1317</f>
        <v/>
      </c>
      <c r="AA1317" s="6">
        <f>YEAR(AC1317)</f>
        <v/>
      </c>
      <c r="AB1317" s="6">
        <f>MONTH(AC1317)</f>
        <v/>
      </c>
      <c r="AC1317" s="267">
        <f>IFERROR(__xludf.DUMMYFUNCTION("""COMPUTED_VALUE"""),44462.9986111111)</f>
        <v/>
      </c>
      <c r="AD1317" s="6">
        <f>IFERROR(__xludf.DUMMYFUNCTION("""COMPUTED_VALUE"""),1174.7)</f>
        <v/>
      </c>
      <c r="AH1317" s="6">
        <f>AI1317&amp;AJ1317</f>
        <v/>
      </c>
      <c r="AI1317" s="6">
        <f>YEAR(AK1317)</f>
        <v/>
      </c>
      <c r="AJ1317" s="6">
        <f>MONTH(AK1317)</f>
        <v/>
      </c>
      <c r="AK1317" s="267">
        <f>IFERROR(__xludf.DUMMYFUNCTION("""COMPUTED_VALUE"""),44410.9986111111)</f>
        <v/>
      </c>
      <c r="AL1317" s="6">
        <f>IFERROR(__xludf.DUMMYFUNCTION("""COMPUTED_VALUE"""),39179.12)</f>
        <v/>
      </c>
      <c r="AP1317" s="6">
        <f>AQ1317&amp;AR1317</f>
        <v/>
      </c>
      <c r="AQ1317" s="6">
        <f>YEAR(AS1317)</f>
        <v/>
      </c>
      <c r="AR1317" s="6">
        <f>MONTH(AS1317)</f>
        <v/>
      </c>
      <c r="AS1317" s="267">
        <f>IFERROR(__xludf.DUMMYFUNCTION("""COMPUTED_VALUE"""),45016.9986111111)</f>
        <v/>
      </c>
      <c r="AT1317" s="6">
        <f>IFERROR(__xludf.DUMMYFUNCTION("""COMPUTED_VALUE"""),1986.2)</f>
        <v/>
      </c>
    </row>
    <row r="1318">
      <c r="B1318" s="6">
        <f>C1318&amp;D1318</f>
        <v/>
      </c>
      <c r="C1318" s="6">
        <f>YEAR(E1318)</f>
        <v/>
      </c>
      <c r="D1318" s="6">
        <f>MONTH(E1318)</f>
        <v/>
      </c>
      <c r="E1318" s="267">
        <f>IFERROR(__xludf.DUMMYFUNCTION("""COMPUTED_VALUE"""),45012.6666666666)</f>
        <v/>
      </c>
      <c r="F1318" s="6">
        <f>IFERROR(__xludf.DUMMYFUNCTION("""COMPUTED_VALUE"""),3977.53)</f>
        <v/>
      </c>
      <c r="J1318" s="6">
        <f>K1318&amp;L1318</f>
        <v/>
      </c>
      <c r="K1318" s="6">
        <f>YEAR(M1318)</f>
        <v/>
      </c>
      <c r="L1318" s="6">
        <f>MONTH(M1318)</f>
        <v/>
      </c>
      <c r="M1318" s="267">
        <f>IFERROR(__xludf.DUMMYFUNCTION("""COMPUTED_VALUE"""),45002.6666666666)</f>
        <v/>
      </c>
      <c r="N1318" s="6">
        <f>IFERROR(__xludf.DUMMYFUNCTION("""COMPUTED_VALUE"""),11630.51)</f>
        <v/>
      </c>
      <c r="R1318" s="6">
        <f>S1318&amp;T1318</f>
        <v/>
      </c>
      <c r="S1318" s="6">
        <f>YEAR(U1318)</f>
        <v/>
      </c>
      <c r="T1318" s="6">
        <f>MONTH(U1318)</f>
        <v/>
      </c>
      <c r="U1318" s="267">
        <f>IFERROR(__xludf.DUMMYFUNCTION("""COMPUTED_VALUE"""),45056.6458333333)</f>
        <v/>
      </c>
      <c r="V1318" s="6">
        <f>IFERROR(__xludf.DUMMYFUNCTION("""COMPUTED_VALUE"""),2496.51)</f>
        <v/>
      </c>
      <c r="Z1318" s="6">
        <f>AA1318&amp;AB1318</f>
        <v/>
      </c>
      <c r="AA1318" s="6">
        <f>YEAR(AC1318)</f>
        <v/>
      </c>
      <c r="AB1318" s="6">
        <f>MONTH(AC1318)</f>
        <v/>
      </c>
      <c r="AC1318" s="267">
        <f>IFERROR(__xludf.DUMMYFUNCTION("""COMPUTED_VALUE"""),44463.9986111111)</f>
        <v/>
      </c>
      <c r="AD1318" s="6">
        <f>IFERROR(__xludf.DUMMYFUNCTION("""COMPUTED_VALUE"""),1179.16)</f>
        <v/>
      </c>
      <c r="AH1318" s="6">
        <f>AI1318&amp;AJ1318</f>
        <v/>
      </c>
      <c r="AI1318" s="6">
        <f>YEAR(AK1318)</f>
        <v/>
      </c>
      <c r="AJ1318" s="6">
        <f>MONTH(AK1318)</f>
        <v/>
      </c>
      <c r="AK1318" s="267">
        <f>IFERROR(__xludf.DUMMYFUNCTION("""COMPUTED_VALUE"""),44411.9986111111)</f>
        <v/>
      </c>
      <c r="AL1318" s="6">
        <f>IFERROR(__xludf.DUMMYFUNCTION("""COMPUTED_VALUE"""),38138.75)</f>
        <v/>
      </c>
      <c r="AP1318" s="6">
        <f>AQ1318&amp;AR1318</f>
        <v/>
      </c>
      <c r="AQ1318" s="6">
        <f>YEAR(AS1318)</f>
        <v/>
      </c>
      <c r="AR1318" s="6">
        <f>MONTH(AS1318)</f>
        <v/>
      </c>
      <c r="AS1318" s="267">
        <f>IFERROR(__xludf.DUMMYFUNCTION("""COMPUTED_VALUE"""),45019.9986111111)</f>
        <v/>
      </c>
      <c r="AT1318" s="6">
        <f>IFERROR(__xludf.DUMMYFUNCTION("""COMPUTED_VALUE"""),2000.4)</f>
        <v/>
      </c>
    </row>
    <row r="1319">
      <c r="B1319" s="6">
        <f>C1319&amp;D1319</f>
        <v/>
      </c>
      <c r="C1319" s="6">
        <f>YEAR(E1319)</f>
        <v/>
      </c>
      <c r="D1319" s="6">
        <f>MONTH(E1319)</f>
        <v/>
      </c>
      <c r="E1319" s="267">
        <f>IFERROR(__xludf.DUMMYFUNCTION("""COMPUTED_VALUE"""),45013.6666666666)</f>
        <v/>
      </c>
      <c r="F1319" s="6">
        <f>IFERROR(__xludf.DUMMYFUNCTION("""COMPUTED_VALUE"""),3971.27)</f>
        <v/>
      </c>
      <c r="J1319" s="6">
        <f>K1319&amp;L1319</f>
        <v/>
      </c>
      <c r="K1319" s="6">
        <f>YEAR(M1319)</f>
        <v/>
      </c>
      <c r="L1319" s="6">
        <f>MONTH(M1319)</f>
        <v/>
      </c>
      <c r="M1319" s="267">
        <f>IFERROR(__xludf.DUMMYFUNCTION("""COMPUTED_VALUE"""),45005.6666666666)</f>
        <v/>
      </c>
      <c r="N1319" s="6">
        <f>IFERROR(__xludf.DUMMYFUNCTION("""COMPUTED_VALUE"""),11675.54)</f>
        <v/>
      </c>
      <c r="R1319" s="6">
        <f>S1319&amp;T1319</f>
        <v/>
      </c>
      <c r="S1319" s="6">
        <f>YEAR(U1319)</f>
        <v/>
      </c>
      <c r="T1319" s="6">
        <f>MONTH(U1319)</f>
        <v/>
      </c>
      <c r="U1319" s="267">
        <f>IFERROR(__xludf.DUMMYFUNCTION("""COMPUTED_VALUE"""),45057.6458333333)</f>
        <v/>
      </c>
      <c r="V1319" s="6">
        <f>IFERROR(__xludf.DUMMYFUNCTION("""COMPUTED_VALUE"""),2491)</f>
        <v/>
      </c>
      <c r="Z1319" s="6">
        <f>AA1319&amp;AB1319</f>
        <v/>
      </c>
      <c r="AA1319" s="6">
        <f>YEAR(AC1319)</f>
        <v/>
      </c>
      <c r="AB1319" s="6">
        <f>MONTH(AC1319)</f>
        <v/>
      </c>
      <c r="AC1319" s="267">
        <f>IFERROR(__xludf.DUMMYFUNCTION("""COMPUTED_VALUE"""),44465.9986111111)</f>
        <v/>
      </c>
      <c r="AD1319" s="6">
        <f>IFERROR(__xludf.DUMMYFUNCTION("""COMPUTED_VALUE"""),1179.2)</f>
        <v/>
      </c>
      <c r="AH1319" s="6">
        <f>AI1319&amp;AJ1319</f>
        <v/>
      </c>
      <c r="AI1319" s="6">
        <f>YEAR(AK1319)</f>
        <v/>
      </c>
      <c r="AJ1319" s="6">
        <f>MONTH(AK1319)</f>
        <v/>
      </c>
      <c r="AK1319" s="267">
        <f>IFERROR(__xludf.DUMMYFUNCTION("""COMPUTED_VALUE"""),44412.9986111111)</f>
        <v/>
      </c>
      <c r="AL1319" s="6">
        <f>IFERROR(__xludf.DUMMYFUNCTION("""COMPUTED_VALUE"""),39730.27)</f>
        <v/>
      </c>
      <c r="AP1319" s="6">
        <f>AQ1319&amp;AR1319</f>
        <v/>
      </c>
      <c r="AQ1319" s="6">
        <f>YEAR(AS1319)</f>
        <v/>
      </c>
      <c r="AR1319" s="6">
        <f>MONTH(AS1319)</f>
        <v/>
      </c>
      <c r="AS1319" s="267">
        <f>IFERROR(__xludf.DUMMYFUNCTION("""COMPUTED_VALUE"""),45020.9986111111)</f>
        <v/>
      </c>
      <c r="AT1319" s="6">
        <f>IFERROR(__xludf.DUMMYFUNCTION("""COMPUTED_VALUE"""),2038.2)</f>
        <v/>
      </c>
    </row>
    <row r="1320">
      <c r="B1320" s="6">
        <f>C1320&amp;D1320</f>
        <v/>
      </c>
      <c r="C1320" s="6">
        <f>YEAR(E1320)</f>
        <v/>
      </c>
      <c r="D1320" s="6">
        <f>MONTH(E1320)</f>
        <v/>
      </c>
      <c r="E1320" s="267">
        <f>IFERROR(__xludf.DUMMYFUNCTION("""COMPUTED_VALUE"""),45014.6666666666)</f>
        <v/>
      </c>
      <c r="F1320" s="6">
        <f>IFERROR(__xludf.DUMMYFUNCTION("""COMPUTED_VALUE"""),4027.81)</f>
        <v/>
      </c>
      <c r="J1320" s="6">
        <f>K1320&amp;L1320</f>
        <v/>
      </c>
      <c r="K1320" s="6">
        <f>YEAR(M1320)</f>
        <v/>
      </c>
      <c r="L1320" s="6">
        <f>MONTH(M1320)</f>
        <v/>
      </c>
      <c r="M1320" s="267">
        <f>IFERROR(__xludf.DUMMYFUNCTION("""COMPUTED_VALUE"""),45006.6666666666)</f>
        <v/>
      </c>
      <c r="N1320" s="6">
        <f>IFERROR(__xludf.DUMMYFUNCTION("""COMPUTED_VALUE"""),11860.11)</f>
        <v/>
      </c>
      <c r="R1320" s="6">
        <f>S1320&amp;T1320</f>
        <v/>
      </c>
      <c r="S1320" s="6">
        <f>YEAR(U1320)</f>
        <v/>
      </c>
      <c r="T1320" s="6">
        <f>MONTH(U1320)</f>
        <v/>
      </c>
      <c r="U1320" s="267">
        <f>IFERROR(__xludf.DUMMYFUNCTION("""COMPUTED_VALUE"""),45058.6458333333)</f>
        <v/>
      </c>
      <c r="V1320" s="6">
        <f>IFERROR(__xludf.DUMMYFUNCTION("""COMPUTED_VALUE"""),2475.42)</f>
        <v/>
      </c>
      <c r="Z1320" s="6">
        <f>AA1320&amp;AB1320</f>
        <v/>
      </c>
      <c r="AA1320" s="6">
        <f>YEAR(AC1320)</f>
        <v/>
      </c>
      <c r="AB1320" s="6">
        <f>MONTH(AC1320)</f>
        <v/>
      </c>
      <c r="AC1320" s="267">
        <f>IFERROR(__xludf.DUMMYFUNCTION("""COMPUTED_VALUE"""),44466.9986111111)</f>
        <v/>
      </c>
      <c r="AD1320" s="6">
        <f>IFERROR(__xludf.DUMMYFUNCTION("""COMPUTED_VALUE"""),1176.96)</f>
        <v/>
      </c>
      <c r="AH1320" s="6">
        <f>AI1320&amp;AJ1320</f>
        <v/>
      </c>
      <c r="AI1320" s="6">
        <f>YEAR(AK1320)</f>
        <v/>
      </c>
      <c r="AJ1320" s="6">
        <f>MONTH(AK1320)</f>
        <v/>
      </c>
      <c r="AK1320" s="267">
        <f>IFERROR(__xludf.DUMMYFUNCTION("""COMPUTED_VALUE"""),44413.9986111111)</f>
        <v/>
      </c>
      <c r="AL1320" s="6">
        <f>IFERROR(__xludf.DUMMYFUNCTION("""COMPUTED_VALUE"""),40872.77)</f>
        <v/>
      </c>
      <c r="AP1320" s="6">
        <f>AQ1320&amp;AR1320</f>
        <v/>
      </c>
      <c r="AQ1320" s="6">
        <f>YEAR(AS1320)</f>
        <v/>
      </c>
      <c r="AR1320" s="6">
        <f>MONTH(AS1320)</f>
        <v/>
      </c>
      <c r="AS1320" s="267">
        <f>IFERROR(__xludf.DUMMYFUNCTION("""COMPUTED_VALUE"""),45021.9986111111)</f>
        <v/>
      </c>
      <c r="AT1320" s="6">
        <f>IFERROR(__xludf.DUMMYFUNCTION("""COMPUTED_VALUE"""),2035.6)</f>
        <v/>
      </c>
    </row>
    <row r="1321">
      <c r="B1321" s="6">
        <f>C1321&amp;D1321</f>
        <v/>
      </c>
      <c r="C1321" s="6">
        <f>YEAR(E1321)</f>
        <v/>
      </c>
      <c r="D1321" s="6">
        <f>MONTH(E1321)</f>
        <v/>
      </c>
      <c r="E1321" s="267">
        <f>IFERROR(__xludf.DUMMYFUNCTION("""COMPUTED_VALUE"""),45015.6666666666)</f>
        <v/>
      </c>
      <c r="F1321" s="6">
        <f>IFERROR(__xludf.DUMMYFUNCTION("""COMPUTED_VALUE"""),4050.83)</f>
        <v/>
      </c>
      <c r="J1321" s="6">
        <f>K1321&amp;L1321</f>
        <v/>
      </c>
      <c r="K1321" s="6">
        <f>YEAR(M1321)</f>
        <v/>
      </c>
      <c r="L1321" s="6">
        <f>MONTH(M1321)</f>
        <v/>
      </c>
      <c r="M1321" s="267">
        <f>IFERROR(__xludf.DUMMYFUNCTION("""COMPUTED_VALUE"""),45007.6666666666)</f>
        <v/>
      </c>
      <c r="N1321" s="6">
        <f>IFERROR(__xludf.DUMMYFUNCTION("""COMPUTED_VALUE"""),11669.96)</f>
        <v/>
      </c>
      <c r="R1321" s="6">
        <f>S1321&amp;T1321</f>
        <v/>
      </c>
      <c r="S1321" s="6">
        <f>YEAR(U1321)</f>
        <v/>
      </c>
      <c r="T1321" s="6">
        <f>MONTH(U1321)</f>
        <v/>
      </c>
      <c r="U1321" s="267">
        <f>IFERROR(__xludf.DUMMYFUNCTION("""COMPUTED_VALUE"""),45061.6458333333)</f>
        <v/>
      </c>
      <c r="V1321" s="6">
        <f>IFERROR(__xludf.DUMMYFUNCTION("""COMPUTED_VALUE"""),2479.35)</f>
        <v/>
      </c>
      <c r="Z1321" s="6">
        <f>AA1321&amp;AB1321</f>
        <v/>
      </c>
      <c r="AA1321" s="6">
        <f>YEAR(AC1321)</f>
        <v/>
      </c>
      <c r="AB1321" s="6">
        <f>MONTH(AC1321)</f>
        <v/>
      </c>
      <c r="AC1321" s="267">
        <f>IFERROR(__xludf.DUMMYFUNCTION("""COMPUTED_VALUE"""),44467.9986111111)</f>
        <v/>
      </c>
      <c r="AD1321" s="6">
        <f>IFERROR(__xludf.DUMMYFUNCTION("""COMPUTED_VALUE"""),1186.89)</f>
        <v/>
      </c>
      <c r="AH1321" s="6">
        <f>AI1321&amp;AJ1321</f>
        <v/>
      </c>
      <c r="AI1321" s="6">
        <f>YEAR(AK1321)</f>
        <v/>
      </c>
      <c r="AJ1321" s="6">
        <f>MONTH(AK1321)</f>
        <v/>
      </c>
      <c r="AK1321" s="267">
        <f>IFERROR(__xludf.DUMMYFUNCTION("""COMPUTED_VALUE"""),44414.9986111111)</f>
        <v/>
      </c>
      <c r="AL1321" s="6">
        <f>IFERROR(__xludf.DUMMYFUNCTION("""COMPUTED_VALUE"""),42839.67)</f>
        <v/>
      </c>
      <c r="AP1321" s="6">
        <f>AQ1321&amp;AR1321</f>
        <v/>
      </c>
      <c r="AQ1321" s="6">
        <f>YEAR(AS1321)</f>
        <v/>
      </c>
      <c r="AR1321" s="6">
        <f>MONTH(AS1321)</f>
        <v/>
      </c>
      <c r="AS1321" s="267">
        <f>IFERROR(__xludf.DUMMYFUNCTION("""COMPUTED_VALUE"""),45022.9986111111)</f>
        <v/>
      </c>
      <c r="AT1321" s="6">
        <f>IFERROR(__xludf.DUMMYFUNCTION("""COMPUTED_VALUE"""),2026.4)</f>
        <v/>
      </c>
    </row>
    <row r="1322">
      <c r="B1322" s="6">
        <f>C1322&amp;D1322</f>
        <v/>
      </c>
      <c r="C1322" s="6">
        <f>YEAR(E1322)</f>
        <v/>
      </c>
      <c r="D1322" s="6">
        <f>MONTH(E1322)</f>
        <v/>
      </c>
      <c r="E1322" s="267">
        <f>IFERROR(__xludf.DUMMYFUNCTION("""COMPUTED_VALUE"""),45016.6666666666)</f>
        <v/>
      </c>
      <c r="F1322" s="6">
        <f>IFERROR(__xludf.DUMMYFUNCTION("""COMPUTED_VALUE"""),4109.31)</f>
        <v/>
      </c>
      <c r="J1322" s="6">
        <f>K1322&amp;L1322</f>
        <v/>
      </c>
      <c r="K1322" s="6">
        <f>YEAR(M1322)</f>
        <v/>
      </c>
      <c r="L1322" s="6">
        <f>MONTH(M1322)</f>
        <v/>
      </c>
      <c r="M1322" s="267">
        <f>IFERROR(__xludf.DUMMYFUNCTION("""COMPUTED_VALUE"""),45008.6666666666)</f>
        <v/>
      </c>
      <c r="N1322" s="6">
        <f>IFERROR(__xludf.DUMMYFUNCTION("""COMPUTED_VALUE"""),11787.4)</f>
        <v/>
      </c>
      <c r="R1322" s="6">
        <f>S1322&amp;T1322</f>
        <v/>
      </c>
      <c r="S1322" s="6">
        <f>YEAR(U1322)</f>
        <v/>
      </c>
      <c r="T1322" s="6">
        <f>MONTH(U1322)</f>
        <v/>
      </c>
      <c r="U1322" s="267">
        <f>IFERROR(__xludf.DUMMYFUNCTION("""COMPUTED_VALUE"""),45062.6458333333)</f>
        <v/>
      </c>
      <c r="V1322" s="6">
        <f>IFERROR(__xludf.DUMMYFUNCTION("""COMPUTED_VALUE"""),2480.24)</f>
        <v/>
      </c>
      <c r="Z1322" s="6">
        <f>AA1322&amp;AB1322</f>
        <v/>
      </c>
      <c r="AA1322" s="6">
        <f>YEAR(AC1322)</f>
        <v/>
      </c>
      <c r="AB1322" s="6">
        <f>MONTH(AC1322)</f>
        <v/>
      </c>
      <c r="AC1322" s="267">
        <f>IFERROR(__xludf.DUMMYFUNCTION("""COMPUTED_VALUE"""),44468.9986111111)</f>
        <v/>
      </c>
      <c r="AD1322" s="6">
        <f>IFERROR(__xludf.DUMMYFUNCTION("""COMPUTED_VALUE"""),1187.43)</f>
        <v/>
      </c>
      <c r="AH1322" s="6">
        <f>AI1322&amp;AJ1322</f>
        <v/>
      </c>
      <c r="AI1322" s="6">
        <f>YEAR(AK1322)</f>
        <v/>
      </c>
      <c r="AJ1322" s="6">
        <f>MONTH(AK1322)</f>
        <v/>
      </c>
      <c r="AK1322" s="267">
        <f>IFERROR(__xludf.DUMMYFUNCTION("""COMPUTED_VALUE"""),44415.9986111111)</f>
        <v/>
      </c>
      <c r="AL1322" s="6">
        <f>IFERROR(__xludf.DUMMYFUNCTION("""COMPUTED_VALUE"""),44596.43)</f>
        <v/>
      </c>
      <c r="AP1322" s="6">
        <f>AQ1322&amp;AR1322</f>
        <v/>
      </c>
      <c r="AQ1322" s="6">
        <f>YEAR(AS1322)</f>
        <v/>
      </c>
      <c r="AR1322" s="6">
        <f>MONTH(AS1322)</f>
        <v/>
      </c>
      <c r="AS1322" s="267">
        <f>IFERROR(__xludf.DUMMYFUNCTION("""COMPUTED_VALUE"""),45026.9986111111)</f>
        <v/>
      </c>
      <c r="AT1322" s="6">
        <f>IFERROR(__xludf.DUMMYFUNCTION("""COMPUTED_VALUE"""),2003.8)</f>
        <v/>
      </c>
    </row>
    <row r="1323">
      <c r="B1323" s="6">
        <f>C1323&amp;D1323</f>
        <v/>
      </c>
      <c r="C1323" s="6">
        <f>YEAR(E1323)</f>
        <v/>
      </c>
      <c r="D1323" s="6">
        <f>MONTH(E1323)</f>
        <v/>
      </c>
      <c r="E1323" s="267">
        <f>IFERROR(__xludf.DUMMYFUNCTION("""COMPUTED_VALUE"""),45019.6666666666)</f>
        <v/>
      </c>
      <c r="F1323" s="6">
        <f>IFERROR(__xludf.DUMMYFUNCTION("""COMPUTED_VALUE"""),4124.51)</f>
        <v/>
      </c>
      <c r="J1323" s="6">
        <f>K1323&amp;L1323</f>
        <v/>
      </c>
      <c r="K1323" s="6">
        <f>YEAR(M1323)</f>
        <v/>
      </c>
      <c r="L1323" s="6">
        <f>MONTH(M1323)</f>
        <v/>
      </c>
      <c r="M1323" s="267">
        <f>IFERROR(__xludf.DUMMYFUNCTION("""COMPUTED_VALUE"""),45009.6666666666)</f>
        <v/>
      </c>
      <c r="N1323" s="6">
        <f>IFERROR(__xludf.DUMMYFUNCTION("""COMPUTED_VALUE"""),11823.96)</f>
        <v/>
      </c>
      <c r="R1323" s="6">
        <f>S1323&amp;T1323</f>
        <v/>
      </c>
      <c r="S1323" s="6">
        <f>YEAR(U1323)</f>
        <v/>
      </c>
      <c r="T1323" s="6">
        <f>MONTH(U1323)</f>
        <v/>
      </c>
      <c r="U1323" s="267">
        <f>IFERROR(__xludf.DUMMYFUNCTION("""COMPUTED_VALUE"""),45063.6458333333)</f>
        <v/>
      </c>
      <c r="V1323" s="6">
        <f>IFERROR(__xludf.DUMMYFUNCTION("""COMPUTED_VALUE"""),2494.66)</f>
        <v/>
      </c>
      <c r="Z1323" s="6">
        <f>AA1323&amp;AB1323</f>
        <v/>
      </c>
      <c r="AA1323" s="6">
        <f>YEAR(AC1323)</f>
        <v/>
      </c>
      <c r="AB1323" s="6">
        <f>MONTH(AC1323)</f>
        <v/>
      </c>
      <c r="AC1323" s="267">
        <f>IFERROR(__xludf.DUMMYFUNCTION("""COMPUTED_VALUE"""),44469.9986111111)</f>
        <v/>
      </c>
      <c r="AD1323" s="6">
        <f>IFERROR(__xludf.DUMMYFUNCTION("""COMPUTED_VALUE"""),1183.72)</f>
        <v/>
      </c>
      <c r="AH1323" s="6">
        <f>AI1323&amp;AJ1323</f>
        <v/>
      </c>
      <c r="AI1323" s="6">
        <f>YEAR(AK1323)</f>
        <v/>
      </c>
      <c r="AJ1323" s="6">
        <f>MONTH(AK1323)</f>
        <v/>
      </c>
      <c r="AK1323" s="267">
        <f>IFERROR(__xludf.DUMMYFUNCTION("""COMPUTED_VALUE"""),44416.9986111111)</f>
        <v/>
      </c>
      <c r="AL1323" s="6">
        <f>IFERROR(__xludf.DUMMYFUNCTION("""COMPUTED_VALUE"""),43804.42)</f>
        <v/>
      </c>
      <c r="AP1323" s="6">
        <f>AQ1323&amp;AR1323</f>
        <v/>
      </c>
      <c r="AQ1323" s="6">
        <f>YEAR(AS1323)</f>
        <v/>
      </c>
      <c r="AR1323" s="6">
        <f>MONTH(AS1323)</f>
        <v/>
      </c>
      <c r="AS1323" s="267">
        <f>IFERROR(__xludf.DUMMYFUNCTION("""COMPUTED_VALUE"""),45027.9986111111)</f>
        <v/>
      </c>
      <c r="AT1323" s="6">
        <f>IFERROR(__xludf.DUMMYFUNCTION("""COMPUTED_VALUE"""),2019)</f>
        <v/>
      </c>
    </row>
    <row r="1324">
      <c r="B1324" s="6">
        <f>C1324&amp;D1324</f>
        <v/>
      </c>
      <c r="C1324" s="6">
        <f>YEAR(E1324)</f>
        <v/>
      </c>
      <c r="D1324" s="6">
        <f>MONTH(E1324)</f>
        <v/>
      </c>
      <c r="E1324" s="267">
        <f>IFERROR(__xludf.DUMMYFUNCTION("""COMPUTED_VALUE"""),45020.6666666666)</f>
        <v/>
      </c>
      <c r="F1324" s="6">
        <f>IFERROR(__xludf.DUMMYFUNCTION("""COMPUTED_VALUE"""),4100.6)</f>
        <v/>
      </c>
      <c r="J1324" s="6">
        <f>K1324&amp;L1324</f>
        <v/>
      </c>
      <c r="K1324" s="6">
        <f>YEAR(M1324)</f>
        <v/>
      </c>
      <c r="L1324" s="6">
        <f>MONTH(M1324)</f>
        <v/>
      </c>
      <c r="M1324" s="267">
        <f>IFERROR(__xludf.DUMMYFUNCTION("""COMPUTED_VALUE"""),45012.6666666666)</f>
        <v/>
      </c>
      <c r="N1324" s="6">
        <f>IFERROR(__xludf.DUMMYFUNCTION("""COMPUTED_VALUE"""),11768.84)</f>
        <v/>
      </c>
      <c r="R1324" s="6">
        <f>S1324&amp;T1324</f>
        <v/>
      </c>
      <c r="S1324" s="6">
        <f>YEAR(U1324)</f>
        <v/>
      </c>
      <c r="T1324" s="6">
        <f>MONTH(U1324)</f>
        <v/>
      </c>
      <c r="U1324" s="267">
        <f>IFERROR(__xludf.DUMMYFUNCTION("""COMPUTED_VALUE"""),45064.6458333333)</f>
        <v/>
      </c>
      <c r="V1324" s="6">
        <f>IFERROR(__xludf.DUMMYFUNCTION("""COMPUTED_VALUE"""),2515.4)</f>
        <v/>
      </c>
      <c r="Z1324" s="6">
        <f>AA1324&amp;AB1324</f>
        <v/>
      </c>
      <c r="AA1324" s="6">
        <f>YEAR(AC1324)</f>
        <v/>
      </c>
      <c r="AB1324" s="6">
        <f>MONTH(AC1324)</f>
        <v/>
      </c>
      <c r="AC1324" s="267">
        <f>IFERROR(__xludf.DUMMYFUNCTION("""COMPUTED_VALUE"""),44470.9986111111)</f>
        <v/>
      </c>
      <c r="AD1324" s="6">
        <f>IFERROR(__xludf.DUMMYFUNCTION("""COMPUTED_VALUE"""),1183.45)</f>
        <v/>
      </c>
      <c r="AH1324" s="6">
        <f>AI1324&amp;AJ1324</f>
        <v/>
      </c>
      <c r="AI1324" s="6">
        <f>YEAR(AK1324)</f>
        <v/>
      </c>
      <c r="AJ1324" s="6">
        <f>MONTH(AK1324)</f>
        <v/>
      </c>
      <c r="AK1324" s="267">
        <f>IFERROR(__xludf.DUMMYFUNCTION("""COMPUTED_VALUE"""),44417.9986111111)</f>
        <v/>
      </c>
      <c r="AL1324" s="6">
        <f>IFERROR(__xludf.DUMMYFUNCTION("""COMPUTED_VALUE"""),46302.42)</f>
        <v/>
      </c>
      <c r="AP1324" s="6">
        <f>AQ1324&amp;AR1324</f>
        <v/>
      </c>
      <c r="AQ1324" s="6">
        <f>YEAR(AS1324)</f>
        <v/>
      </c>
      <c r="AR1324" s="6">
        <f>MONTH(AS1324)</f>
        <v/>
      </c>
      <c r="AS1324" s="267">
        <f>IFERROR(__xludf.DUMMYFUNCTION("""COMPUTED_VALUE"""),45028.9986111111)</f>
        <v/>
      </c>
      <c r="AT1324" s="6">
        <f>IFERROR(__xludf.DUMMYFUNCTION("""COMPUTED_VALUE"""),2024.9)</f>
        <v/>
      </c>
    </row>
    <row r="1325">
      <c r="B1325" s="6">
        <f>C1325&amp;D1325</f>
        <v/>
      </c>
      <c r="C1325" s="6">
        <f>YEAR(E1325)</f>
        <v/>
      </c>
      <c r="D1325" s="6">
        <f>MONTH(E1325)</f>
        <v/>
      </c>
      <c r="E1325" s="267">
        <f>IFERROR(__xludf.DUMMYFUNCTION("""COMPUTED_VALUE"""),45021.6666666666)</f>
        <v/>
      </c>
      <c r="F1325" s="6">
        <f>IFERROR(__xludf.DUMMYFUNCTION("""COMPUTED_VALUE"""),4090.38)</f>
        <v/>
      </c>
      <c r="J1325" s="6">
        <f>K1325&amp;L1325</f>
        <v/>
      </c>
      <c r="K1325" s="6">
        <f>YEAR(M1325)</f>
        <v/>
      </c>
      <c r="L1325" s="6">
        <f>MONTH(M1325)</f>
        <v/>
      </c>
      <c r="M1325" s="267">
        <f>IFERROR(__xludf.DUMMYFUNCTION("""COMPUTED_VALUE"""),45013.6666666666)</f>
        <v/>
      </c>
      <c r="N1325" s="6">
        <f>IFERROR(__xludf.DUMMYFUNCTION("""COMPUTED_VALUE"""),11716.08)</f>
        <v/>
      </c>
      <c r="R1325" s="6">
        <f>S1325&amp;T1325</f>
        <v/>
      </c>
      <c r="S1325" s="6">
        <f>YEAR(U1325)</f>
        <v/>
      </c>
      <c r="T1325" s="6">
        <f>MONTH(U1325)</f>
        <v/>
      </c>
      <c r="U1325" s="267">
        <f>IFERROR(__xludf.DUMMYFUNCTION("""COMPUTED_VALUE"""),45065.6458333333)</f>
        <v/>
      </c>
      <c r="V1325" s="6">
        <f>IFERROR(__xludf.DUMMYFUNCTION("""COMPUTED_VALUE"""),2537.79)</f>
        <v/>
      </c>
      <c r="Z1325" s="6">
        <f>AA1325&amp;AB1325</f>
        <v/>
      </c>
      <c r="AA1325" s="6">
        <f>YEAR(AC1325)</f>
        <v/>
      </c>
      <c r="AB1325" s="6">
        <f>MONTH(AC1325)</f>
        <v/>
      </c>
      <c r="AC1325" s="267">
        <f>IFERROR(__xludf.DUMMYFUNCTION("""COMPUTED_VALUE"""),44471.9986111111)</f>
        <v/>
      </c>
      <c r="AD1325" s="6">
        <f>IFERROR(__xludf.DUMMYFUNCTION("""COMPUTED_VALUE"""),1183.45)</f>
        <v/>
      </c>
      <c r="AH1325" s="6">
        <f>AI1325&amp;AJ1325</f>
        <v/>
      </c>
      <c r="AI1325" s="6">
        <f>YEAR(AK1325)</f>
        <v/>
      </c>
      <c r="AJ1325" s="6">
        <f>MONTH(AK1325)</f>
        <v/>
      </c>
      <c r="AK1325" s="267">
        <f>IFERROR(__xludf.DUMMYFUNCTION("""COMPUTED_VALUE"""),44418.9986111111)</f>
        <v/>
      </c>
      <c r="AL1325" s="6">
        <f>IFERROR(__xludf.DUMMYFUNCTION("""COMPUTED_VALUE"""),45597.24)</f>
        <v/>
      </c>
      <c r="AP1325" s="6">
        <f>AQ1325&amp;AR1325</f>
        <v/>
      </c>
      <c r="AQ1325" s="6">
        <f>YEAR(AS1325)</f>
        <v/>
      </c>
      <c r="AR1325" s="6">
        <f>MONTH(AS1325)</f>
        <v/>
      </c>
      <c r="AS1325" s="267">
        <f>IFERROR(__xludf.DUMMYFUNCTION("""COMPUTED_VALUE"""),45029.9986111111)</f>
        <v/>
      </c>
      <c r="AT1325" s="6">
        <f>IFERROR(__xludf.DUMMYFUNCTION("""COMPUTED_VALUE"""),2055.3)</f>
        <v/>
      </c>
    </row>
    <row r="1326">
      <c r="B1326" s="6">
        <f>C1326&amp;D1326</f>
        <v/>
      </c>
      <c r="C1326" s="6">
        <f>YEAR(E1326)</f>
        <v/>
      </c>
      <c r="D1326" s="6">
        <f>MONTH(E1326)</f>
        <v/>
      </c>
      <c r="E1326" s="267">
        <f>IFERROR(__xludf.DUMMYFUNCTION("""COMPUTED_VALUE"""),45022.6666666666)</f>
        <v/>
      </c>
      <c r="F1326" s="6">
        <f>IFERROR(__xludf.DUMMYFUNCTION("""COMPUTED_VALUE"""),4105.02)</f>
        <v/>
      </c>
      <c r="J1326" s="6">
        <f>K1326&amp;L1326</f>
        <v/>
      </c>
      <c r="K1326" s="6">
        <f>YEAR(M1326)</f>
        <v/>
      </c>
      <c r="L1326" s="6">
        <f>MONTH(M1326)</f>
        <v/>
      </c>
      <c r="M1326" s="267">
        <f>IFERROR(__xludf.DUMMYFUNCTION("""COMPUTED_VALUE"""),45014.6666666666)</f>
        <v/>
      </c>
      <c r="N1326" s="6">
        <f>IFERROR(__xludf.DUMMYFUNCTION("""COMPUTED_VALUE"""),11926.24)</f>
        <v/>
      </c>
      <c r="R1326" s="6">
        <f>S1326&amp;T1326</f>
        <v/>
      </c>
      <c r="S1326" s="6">
        <f>YEAR(U1326)</f>
        <v/>
      </c>
      <c r="T1326" s="6">
        <f>MONTH(U1326)</f>
        <v/>
      </c>
      <c r="U1326" s="267">
        <f>IFERROR(__xludf.DUMMYFUNCTION("""COMPUTED_VALUE"""),45068.6458333333)</f>
        <v/>
      </c>
      <c r="V1326" s="6">
        <f>IFERROR(__xludf.DUMMYFUNCTION("""COMPUTED_VALUE"""),2557.08)</f>
        <v/>
      </c>
      <c r="Z1326" s="6">
        <f>AA1326&amp;AB1326</f>
        <v/>
      </c>
      <c r="AA1326" s="6">
        <f>YEAR(AC1326)</f>
        <v/>
      </c>
      <c r="AB1326" s="6">
        <f>MONTH(AC1326)</f>
        <v/>
      </c>
      <c r="AC1326" s="267">
        <f>IFERROR(__xludf.DUMMYFUNCTION("""COMPUTED_VALUE"""),44472.9986111111)</f>
        <v/>
      </c>
      <c r="AD1326" s="6">
        <f>IFERROR(__xludf.DUMMYFUNCTION("""COMPUTED_VALUE"""),1180)</f>
        <v/>
      </c>
      <c r="AH1326" s="6">
        <f>AI1326&amp;AJ1326</f>
        <v/>
      </c>
      <c r="AI1326" s="6">
        <f>YEAR(AK1326)</f>
        <v/>
      </c>
      <c r="AJ1326" s="6">
        <f>MONTH(AK1326)</f>
        <v/>
      </c>
      <c r="AK1326" s="267">
        <f>IFERROR(__xludf.DUMMYFUNCTION("""COMPUTED_VALUE"""),44419.9986111111)</f>
        <v/>
      </c>
      <c r="AL1326" s="6">
        <f>IFERROR(__xludf.DUMMYFUNCTION("""COMPUTED_VALUE"""),45580.62)</f>
        <v/>
      </c>
      <c r="AP1326" s="6">
        <f>AQ1326&amp;AR1326</f>
        <v/>
      </c>
      <c r="AQ1326" s="6">
        <f>YEAR(AS1326)</f>
        <v/>
      </c>
      <c r="AR1326" s="6">
        <f>MONTH(AS1326)</f>
        <v/>
      </c>
      <c r="AS1326" s="267">
        <f>IFERROR(__xludf.DUMMYFUNCTION("""COMPUTED_VALUE"""),45030.9986111111)</f>
        <v/>
      </c>
      <c r="AT1326" s="6">
        <f>IFERROR(__xludf.DUMMYFUNCTION("""COMPUTED_VALUE"""),2015.8)</f>
        <v/>
      </c>
    </row>
    <row r="1327">
      <c r="B1327" s="6">
        <f>C1327&amp;D1327</f>
        <v/>
      </c>
      <c r="C1327" s="6">
        <f>YEAR(E1327)</f>
        <v/>
      </c>
      <c r="D1327" s="6">
        <f>MONTH(E1327)</f>
        <v/>
      </c>
      <c r="E1327" s="267">
        <f>IFERROR(__xludf.DUMMYFUNCTION("""COMPUTED_VALUE"""),45026.6666666666)</f>
        <v/>
      </c>
      <c r="F1327" s="6">
        <f>IFERROR(__xludf.DUMMYFUNCTION("""COMPUTED_VALUE"""),4109.11)</f>
        <v/>
      </c>
      <c r="J1327" s="6">
        <f>K1327&amp;L1327</f>
        <v/>
      </c>
      <c r="K1327" s="6">
        <f>YEAR(M1327)</f>
        <v/>
      </c>
      <c r="L1327" s="6">
        <f>MONTH(M1327)</f>
        <v/>
      </c>
      <c r="M1327" s="267">
        <f>IFERROR(__xludf.DUMMYFUNCTION("""COMPUTED_VALUE"""),45015.6666666666)</f>
        <v/>
      </c>
      <c r="N1327" s="6">
        <f>IFERROR(__xludf.DUMMYFUNCTION("""COMPUTED_VALUE"""),12013.47)</f>
        <v/>
      </c>
      <c r="R1327" s="6">
        <f>S1327&amp;T1327</f>
        <v/>
      </c>
      <c r="S1327" s="6">
        <f>YEAR(U1327)</f>
        <v/>
      </c>
      <c r="T1327" s="6">
        <f>MONTH(U1327)</f>
        <v/>
      </c>
      <c r="U1327" s="267">
        <f>IFERROR(__xludf.DUMMYFUNCTION("""COMPUTED_VALUE"""),45069.6458333333)</f>
        <v/>
      </c>
      <c r="V1327" s="6">
        <f>IFERROR(__xludf.DUMMYFUNCTION("""COMPUTED_VALUE"""),2567.55)</f>
        <v/>
      </c>
      <c r="Z1327" s="6">
        <f>AA1327&amp;AB1327</f>
        <v/>
      </c>
      <c r="AA1327" s="6">
        <f>YEAR(AC1327)</f>
        <v/>
      </c>
      <c r="AB1327" s="6">
        <f>MONTH(AC1327)</f>
        <v/>
      </c>
      <c r="AC1327" s="267">
        <f>IFERROR(__xludf.DUMMYFUNCTION("""COMPUTED_VALUE"""),44473.9986111111)</f>
        <v/>
      </c>
      <c r="AD1327" s="6">
        <f>IFERROR(__xludf.DUMMYFUNCTION("""COMPUTED_VALUE"""),1183.78)</f>
        <v/>
      </c>
      <c r="AH1327" s="6">
        <f>AI1327&amp;AJ1327</f>
        <v/>
      </c>
      <c r="AI1327" s="6">
        <f>YEAR(AK1327)</f>
        <v/>
      </c>
      <c r="AJ1327" s="6">
        <f>MONTH(AK1327)</f>
        <v/>
      </c>
      <c r="AK1327" s="267">
        <f>IFERROR(__xludf.DUMMYFUNCTION("""COMPUTED_VALUE"""),44420.9986111111)</f>
        <v/>
      </c>
      <c r="AL1327" s="6">
        <f>IFERROR(__xludf.DUMMYFUNCTION("""COMPUTED_VALUE"""),44422.31)</f>
        <v/>
      </c>
      <c r="AP1327" s="6">
        <f>AQ1327&amp;AR1327</f>
        <v/>
      </c>
      <c r="AQ1327" s="6">
        <f>YEAR(AS1327)</f>
        <v/>
      </c>
      <c r="AR1327" s="6">
        <f>MONTH(AS1327)</f>
        <v/>
      </c>
      <c r="AS1327" s="267">
        <f>IFERROR(__xludf.DUMMYFUNCTION("""COMPUTED_VALUE"""),45033.9986111111)</f>
        <v/>
      </c>
      <c r="AT1327" s="6">
        <f>IFERROR(__xludf.DUMMYFUNCTION("""COMPUTED_VALUE"""),2007)</f>
        <v/>
      </c>
    </row>
    <row r="1328">
      <c r="B1328" s="6">
        <f>C1328&amp;D1328</f>
        <v/>
      </c>
      <c r="C1328" s="6">
        <f>YEAR(E1328)</f>
        <v/>
      </c>
      <c r="D1328" s="6">
        <f>MONTH(E1328)</f>
        <v/>
      </c>
      <c r="E1328" s="267">
        <f>IFERROR(__xludf.DUMMYFUNCTION("""COMPUTED_VALUE"""),45027.6666666666)</f>
        <v/>
      </c>
      <c r="F1328" s="6">
        <f>IFERROR(__xludf.DUMMYFUNCTION("""COMPUTED_VALUE"""),4108.94)</f>
        <v/>
      </c>
      <c r="J1328" s="6">
        <f>K1328&amp;L1328</f>
        <v/>
      </c>
      <c r="K1328" s="6">
        <f>YEAR(M1328)</f>
        <v/>
      </c>
      <c r="L1328" s="6">
        <f>MONTH(M1328)</f>
        <v/>
      </c>
      <c r="M1328" s="267">
        <f>IFERROR(__xludf.DUMMYFUNCTION("""COMPUTED_VALUE"""),45016.6666666666)</f>
        <v/>
      </c>
      <c r="N1328" s="6">
        <f>IFERROR(__xludf.DUMMYFUNCTION("""COMPUTED_VALUE"""),12221.91)</f>
        <v/>
      </c>
      <c r="R1328" s="6">
        <f>S1328&amp;T1328</f>
        <v/>
      </c>
      <c r="S1328" s="6">
        <f>YEAR(U1328)</f>
        <v/>
      </c>
      <c r="T1328" s="6">
        <f>MONTH(U1328)</f>
        <v/>
      </c>
      <c r="U1328" s="267">
        <f>IFERROR(__xludf.DUMMYFUNCTION("""COMPUTED_VALUE"""),45070.6458333333)</f>
        <v/>
      </c>
      <c r="V1328" s="6">
        <f>IFERROR(__xludf.DUMMYFUNCTION("""COMPUTED_VALUE"""),2567.45)</f>
        <v/>
      </c>
      <c r="Z1328" s="6">
        <f>AA1328&amp;AB1328</f>
        <v/>
      </c>
      <c r="AA1328" s="6">
        <f>YEAR(AC1328)</f>
        <v/>
      </c>
      <c r="AB1328" s="6">
        <f>MONTH(AC1328)</f>
        <v/>
      </c>
      <c r="AC1328" s="267">
        <f>IFERROR(__xludf.DUMMYFUNCTION("""COMPUTED_VALUE"""),44474.9986111111)</f>
        <v/>
      </c>
      <c r="AD1328" s="6">
        <f>IFERROR(__xludf.DUMMYFUNCTION("""COMPUTED_VALUE"""),1187.17)</f>
        <v/>
      </c>
      <c r="AH1328" s="6">
        <f>AI1328&amp;AJ1328</f>
        <v/>
      </c>
      <c r="AI1328" s="6">
        <f>YEAR(AK1328)</f>
        <v/>
      </c>
      <c r="AJ1328" s="6">
        <f>MONTH(AK1328)</f>
        <v/>
      </c>
      <c r="AK1328" s="267">
        <f>IFERROR(__xludf.DUMMYFUNCTION("""COMPUTED_VALUE"""),44421.9986111111)</f>
        <v/>
      </c>
      <c r="AL1328" s="6">
        <f>IFERROR(__xludf.DUMMYFUNCTION("""COMPUTED_VALUE"""),47832.95)</f>
        <v/>
      </c>
      <c r="AP1328" s="6">
        <f>AQ1328&amp;AR1328</f>
        <v/>
      </c>
      <c r="AQ1328" s="6">
        <f>YEAR(AS1328)</f>
        <v/>
      </c>
      <c r="AR1328" s="6">
        <f>MONTH(AS1328)</f>
        <v/>
      </c>
      <c r="AS1328" s="267">
        <f>IFERROR(__xludf.DUMMYFUNCTION("""COMPUTED_VALUE"""),45034.9986111111)</f>
        <v/>
      </c>
      <c r="AT1328" s="6">
        <f>IFERROR(__xludf.DUMMYFUNCTION("""COMPUTED_VALUE"""),2019.7)</f>
        <v/>
      </c>
    </row>
    <row r="1329">
      <c r="B1329" s="6">
        <f>C1329&amp;D1329</f>
        <v/>
      </c>
      <c r="C1329" s="6">
        <f>YEAR(E1329)</f>
        <v/>
      </c>
      <c r="D1329" s="6">
        <f>MONTH(E1329)</f>
        <v/>
      </c>
      <c r="E1329" s="267">
        <f>IFERROR(__xludf.DUMMYFUNCTION("""COMPUTED_VALUE"""),45028.6666666666)</f>
        <v/>
      </c>
      <c r="F1329" s="6">
        <f>IFERROR(__xludf.DUMMYFUNCTION("""COMPUTED_VALUE"""),4091.95)</f>
        <v/>
      </c>
      <c r="J1329" s="6">
        <f>K1329&amp;L1329</f>
        <v/>
      </c>
      <c r="K1329" s="6">
        <f>YEAR(M1329)</f>
        <v/>
      </c>
      <c r="L1329" s="6">
        <f>MONTH(M1329)</f>
        <v/>
      </c>
      <c r="M1329" s="267">
        <f>IFERROR(__xludf.DUMMYFUNCTION("""COMPUTED_VALUE"""),45019.6666666666)</f>
        <v/>
      </c>
      <c r="N1329" s="6">
        <f>IFERROR(__xludf.DUMMYFUNCTION("""COMPUTED_VALUE"""),12189.45)</f>
        <v/>
      </c>
      <c r="R1329" s="6">
        <f>S1329&amp;T1329</f>
        <v/>
      </c>
      <c r="S1329" s="6">
        <f>YEAR(U1329)</f>
        <v/>
      </c>
      <c r="T1329" s="6">
        <f>MONTH(U1329)</f>
        <v/>
      </c>
      <c r="U1329" s="267">
        <f>IFERROR(__xludf.DUMMYFUNCTION("""COMPUTED_VALUE"""),45071.6458333333)</f>
        <v/>
      </c>
      <c r="V1329" s="6">
        <f>IFERROR(__xludf.DUMMYFUNCTION("""COMPUTED_VALUE"""),2554.69)</f>
        <v/>
      </c>
      <c r="Z1329" s="6">
        <f>AA1329&amp;AB1329</f>
        <v/>
      </c>
      <c r="AA1329" s="6">
        <f>YEAR(AC1329)</f>
        <v/>
      </c>
      <c r="AB1329" s="6">
        <f>MONTH(AC1329)</f>
        <v/>
      </c>
      <c r="AC1329" s="267">
        <f>IFERROR(__xludf.DUMMYFUNCTION("""COMPUTED_VALUE"""),44475.9986111111)</f>
        <v/>
      </c>
      <c r="AD1329" s="6">
        <f>IFERROR(__xludf.DUMMYFUNCTION("""COMPUTED_VALUE"""),1191.38)</f>
        <v/>
      </c>
      <c r="AH1329" s="6">
        <f>AI1329&amp;AJ1329</f>
        <v/>
      </c>
      <c r="AI1329" s="6">
        <f>YEAR(AK1329)</f>
        <v/>
      </c>
      <c r="AJ1329" s="6">
        <f>MONTH(AK1329)</f>
        <v/>
      </c>
      <c r="AK1329" s="267">
        <f>IFERROR(__xludf.DUMMYFUNCTION("""COMPUTED_VALUE"""),44422.9986111111)</f>
        <v/>
      </c>
      <c r="AL1329" s="6">
        <f>IFERROR(__xludf.DUMMYFUNCTION("""COMPUTED_VALUE"""),47103.48)</f>
        <v/>
      </c>
      <c r="AP1329" s="6">
        <f>AQ1329&amp;AR1329</f>
        <v/>
      </c>
      <c r="AQ1329" s="6">
        <f>YEAR(AS1329)</f>
        <v/>
      </c>
      <c r="AR1329" s="6">
        <f>MONTH(AS1329)</f>
        <v/>
      </c>
      <c r="AS1329" s="267">
        <f>IFERROR(__xludf.DUMMYFUNCTION("""COMPUTED_VALUE"""),45035.9986111111)</f>
        <v/>
      </c>
      <c r="AT1329" s="6">
        <f>IFERROR(__xludf.DUMMYFUNCTION("""COMPUTED_VALUE"""),2007.3)</f>
        <v/>
      </c>
    </row>
    <row r="1330">
      <c r="B1330" s="6">
        <f>C1330&amp;D1330</f>
        <v/>
      </c>
      <c r="C1330" s="6">
        <f>YEAR(E1330)</f>
        <v/>
      </c>
      <c r="D1330" s="6">
        <f>MONTH(E1330)</f>
        <v/>
      </c>
      <c r="E1330" s="267">
        <f>IFERROR(__xludf.DUMMYFUNCTION("""COMPUTED_VALUE"""),45029.6666666666)</f>
        <v/>
      </c>
      <c r="F1330" s="6">
        <f>IFERROR(__xludf.DUMMYFUNCTION("""COMPUTED_VALUE"""),4146.22)</f>
        <v/>
      </c>
      <c r="J1330" s="6">
        <f>K1330&amp;L1330</f>
        <v/>
      </c>
      <c r="K1330" s="6">
        <f>YEAR(M1330)</f>
        <v/>
      </c>
      <c r="L1330" s="6">
        <f>MONTH(M1330)</f>
        <v/>
      </c>
      <c r="M1330" s="267">
        <f>IFERROR(__xludf.DUMMYFUNCTION("""COMPUTED_VALUE"""),45020.6666666666)</f>
        <v/>
      </c>
      <c r="N1330" s="6">
        <f>IFERROR(__xludf.DUMMYFUNCTION("""COMPUTED_VALUE"""),12126.33)</f>
        <v/>
      </c>
      <c r="R1330" s="6">
        <f>S1330&amp;T1330</f>
        <v/>
      </c>
      <c r="S1330" s="6">
        <f>YEAR(U1330)</f>
        <v/>
      </c>
      <c r="T1330" s="6">
        <f>MONTH(U1330)</f>
        <v/>
      </c>
      <c r="U1330" s="267">
        <f>IFERROR(__xludf.DUMMYFUNCTION("""COMPUTED_VALUE"""),45072.6458333333)</f>
        <v/>
      </c>
      <c r="V1330" s="6">
        <f>IFERROR(__xludf.DUMMYFUNCTION("""COMPUTED_VALUE"""),2558.81)</f>
        <v/>
      </c>
      <c r="Z1330" s="6">
        <f>AA1330&amp;AB1330</f>
        <v/>
      </c>
      <c r="AA1330" s="6">
        <f>YEAR(AC1330)</f>
        <v/>
      </c>
      <c r="AB1330" s="6">
        <f>MONTH(AC1330)</f>
        <v/>
      </c>
      <c r="AC1330" s="267">
        <f>IFERROR(__xludf.DUMMYFUNCTION("""COMPUTED_VALUE"""),44476.9986111111)</f>
        <v/>
      </c>
      <c r="AD1330" s="6">
        <f>IFERROR(__xludf.DUMMYFUNCTION("""COMPUTED_VALUE"""),1191.15)</f>
        <v/>
      </c>
      <c r="AH1330" s="6">
        <f>AI1330&amp;AJ1330</f>
        <v/>
      </c>
      <c r="AI1330" s="6">
        <f>YEAR(AK1330)</f>
        <v/>
      </c>
      <c r="AJ1330" s="6">
        <f>MONTH(AK1330)</f>
        <v/>
      </c>
      <c r="AK1330" s="267">
        <f>IFERROR(__xludf.DUMMYFUNCTION("""COMPUTED_VALUE"""),44423.9986111111)</f>
        <v/>
      </c>
      <c r="AL1330" s="6">
        <f>IFERROR(__xludf.DUMMYFUNCTION("""COMPUTED_VALUE"""),47035.16)</f>
        <v/>
      </c>
      <c r="AP1330" s="6">
        <f>AQ1330&amp;AR1330</f>
        <v/>
      </c>
      <c r="AQ1330" s="6">
        <f>YEAR(AS1330)</f>
        <v/>
      </c>
      <c r="AR1330" s="6">
        <f>MONTH(AS1330)</f>
        <v/>
      </c>
      <c r="AS1330" s="267">
        <f>IFERROR(__xludf.DUMMYFUNCTION("""COMPUTED_VALUE"""),45036.9986111111)</f>
        <v/>
      </c>
      <c r="AT1330" s="6">
        <f>IFERROR(__xludf.DUMMYFUNCTION("""COMPUTED_VALUE"""),2019.1)</f>
        <v/>
      </c>
    </row>
    <row r="1331">
      <c r="B1331" s="6">
        <f>C1331&amp;D1331</f>
        <v/>
      </c>
      <c r="C1331" s="6">
        <f>YEAR(E1331)</f>
        <v/>
      </c>
      <c r="D1331" s="6">
        <f>MONTH(E1331)</f>
        <v/>
      </c>
      <c r="E1331" s="267">
        <f>IFERROR(__xludf.DUMMYFUNCTION("""COMPUTED_VALUE"""),45030.6666666666)</f>
        <v/>
      </c>
      <c r="F1331" s="6">
        <f>IFERROR(__xludf.DUMMYFUNCTION("""COMPUTED_VALUE"""),4137.64)</f>
        <v/>
      </c>
      <c r="J1331" s="6">
        <f>K1331&amp;L1331</f>
        <v/>
      </c>
      <c r="K1331" s="6">
        <f>YEAR(M1331)</f>
        <v/>
      </c>
      <c r="L1331" s="6">
        <f>MONTH(M1331)</f>
        <v/>
      </c>
      <c r="M1331" s="267">
        <f>IFERROR(__xludf.DUMMYFUNCTION("""COMPUTED_VALUE"""),45021.6666666666)</f>
        <v/>
      </c>
      <c r="N1331" s="6">
        <f>IFERROR(__xludf.DUMMYFUNCTION("""COMPUTED_VALUE"""),11996.86)</f>
        <v/>
      </c>
      <c r="R1331" s="6">
        <f>S1331&amp;T1331</f>
        <v/>
      </c>
      <c r="S1331" s="6">
        <f>YEAR(U1331)</f>
        <v/>
      </c>
      <c r="T1331" s="6">
        <f>MONTH(U1331)</f>
        <v/>
      </c>
      <c r="U1331" s="267">
        <f>IFERROR(__xludf.DUMMYFUNCTION("""COMPUTED_VALUE"""),45076.6458333333)</f>
        <v/>
      </c>
      <c r="V1331" s="6">
        <f>IFERROR(__xludf.DUMMYFUNCTION("""COMPUTED_VALUE"""),2585.52)</f>
        <v/>
      </c>
      <c r="Z1331" s="6">
        <f>AA1331&amp;AB1331</f>
        <v/>
      </c>
      <c r="AA1331" s="6">
        <f>YEAR(AC1331)</f>
        <v/>
      </c>
      <c r="AB1331" s="6">
        <f>MONTH(AC1331)</f>
        <v/>
      </c>
      <c r="AC1331" s="267">
        <f>IFERROR(__xludf.DUMMYFUNCTION("""COMPUTED_VALUE"""),44477.9986111111)</f>
        <v/>
      </c>
      <c r="AD1331" s="6">
        <f>IFERROR(__xludf.DUMMYFUNCTION("""COMPUTED_VALUE"""),1195.28)</f>
        <v/>
      </c>
      <c r="AH1331" s="6">
        <f>AI1331&amp;AJ1331</f>
        <v/>
      </c>
      <c r="AI1331" s="6">
        <f>YEAR(AK1331)</f>
        <v/>
      </c>
      <c r="AJ1331" s="6">
        <f>MONTH(AK1331)</f>
        <v/>
      </c>
      <c r="AK1331" s="267">
        <f>IFERROR(__xludf.DUMMYFUNCTION("""COMPUTED_VALUE"""),44424.9986111111)</f>
        <v/>
      </c>
      <c r="AL1331" s="6">
        <f>IFERROR(__xludf.DUMMYFUNCTION("""COMPUTED_VALUE"""),45962.85)</f>
        <v/>
      </c>
      <c r="AP1331" s="6">
        <f>AQ1331&amp;AR1331</f>
        <v/>
      </c>
      <c r="AQ1331" s="6">
        <f>YEAR(AS1331)</f>
        <v/>
      </c>
      <c r="AR1331" s="6">
        <f>MONTH(AS1331)</f>
        <v/>
      </c>
      <c r="AS1331" s="267">
        <f>IFERROR(__xludf.DUMMYFUNCTION("""COMPUTED_VALUE"""),45037.9986111111)</f>
        <v/>
      </c>
      <c r="AT1331" s="6">
        <f>IFERROR(__xludf.DUMMYFUNCTION("""COMPUTED_VALUE"""),1990.5)</f>
        <v/>
      </c>
    </row>
    <row r="1332">
      <c r="B1332" s="6">
        <f>C1332&amp;D1332</f>
        <v/>
      </c>
      <c r="C1332" s="6">
        <f>YEAR(E1332)</f>
        <v/>
      </c>
      <c r="D1332" s="6">
        <f>MONTH(E1332)</f>
        <v/>
      </c>
      <c r="E1332" s="267">
        <f>IFERROR(__xludf.DUMMYFUNCTION("""COMPUTED_VALUE"""),45033.6666666666)</f>
        <v/>
      </c>
      <c r="F1332" s="6">
        <f>IFERROR(__xludf.DUMMYFUNCTION("""COMPUTED_VALUE"""),4151.32)</f>
        <v/>
      </c>
      <c r="J1332" s="6">
        <f>K1332&amp;L1332</f>
        <v/>
      </c>
      <c r="K1332" s="6">
        <f>YEAR(M1332)</f>
        <v/>
      </c>
      <c r="L1332" s="6">
        <f>MONTH(M1332)</f>
        <v/>
      </c>
      <c r="M1332" s="267">
        <f>IFERROR(__xludf.DUMMYFUNCTION("""COMPUTED_VALUE"""),45022.6666666666)</f>
        <v/>
      </c>
      <c r="N1332" s="6">
        <f>IFERROR(__xludf.DUMMYFUNCTION("""COMPUTED_VALUE"""),12087.96)</f>
        <v/>
      </c>
      <c r="R1332" s="6">
        <f>S1332&amp;T1332</f>
        <v/>
      </c>
      <c r="S1332" s="6">
        <f>YEAR(U1332)</f>
        <v/>
      </c>
      <c r="T1332" s="6">
        <f>MONTH(U1332)</f>
        <v/>
      </c>
      <c r="U1332" s="267">
        <f>IFERROR(__xludf.DUMMYFUNCTION("""COMPUTED_VALUE"""),45077.6458333333)</f>
        <v/>
      </c>
      <c r="V1332" s="6">
        <f>IFERROR(__xludf.DUMMYFUNCTION("""COMPUTED_VALUE"""),2577.12)</f>
        <v/>
      </c>
      <c r="Z1332" s="6">
        <f>AA1332&amp;AB1332</f>
        <v/>
      </c>
      <c r="AA1332" s="6">
        <f>YEAR(AC1332)</f>
        <v/>
      </c>
      <c r="AB1332" s="6">
        <f>MONTH(AC1332)</f>
        <v/>
      </c>
      <c r="AC1332" s="267">
        <f>IFERROR(__xludf.DUMMYFUNCTION("""COMPUTED_VALUE"""),44478.9986111111)</f>
        <v/>
      </c>
      <c r="AD1332" s="6">
        <f>IFERROR(__xludf.DUMMYFUNCTION("""COMPUTED_VALUE"""),1194.68)</f>
        <v/>
      </c>
      <c r="AH1332" s="6">
        <f>AI1332&amp;AJ1332</f>
        <v/>
      </c>
      <c r="AI1332" s="6">
        <f>YEAR(AK1332)</f>
        <v/>
      </c>
      <c r="AJ1332" s="6">
        <f>MONTH(AK1332)</f>
        <v/>
      </c>
      <c r="AK1332" s="267">
        <f>IFERROR(__xludf.DUMMYFUNCTION("""COMPUTED_VALUE"""),44425.9986111111)</f>
        <v/>
      </c>
      <c r="AL1332" s="6">
        <f>IFERROR(__xludf.DUMMYFUNCTION("""COMPUTED_VALUE"""),44682.28)</f>
        <v/>
      </c>
      <c r="AP1332" s="6">
        <f>AQ1332&amp;AR1332</f>
        <v/>
      </c>
      <c r="AQ1332" s="6">
        <f>YEAR(AS1332)</f>
        <v/>
      </c>
      <c r="AR1332" s="6">
        <f>MONTH(AS1332)</f>
        <v/>
      </c>
      <c r="AS1332" s="267">
        <f>IFERROR(__xludf.DUMMYFUNCTION("""COMPUTED_VALUE"""),45040.9986111111)</f>
        <v/>
      </c>
      <c r="AT1332" s="6">
        <f>IFERROR(__xludf.DUMMYFUNCTION("""COMPUTED_VALUE"""),1999.8)</f>
        <v/>
      </c>
    </row>
    <row r="1333">
      <c r="B1333" s="6">
        <f>C1333&amp;D1333</f>
        <v/>
      </c>
      <c r="C1333" s="6">
        <f>YEAR(E1333)</f>
        <v/>
      </c>
      <c r="D1333" s="6">
        <f>MONTH(E1333)</f>
        <v/>
      </c>
      <c r="E1333" s="267">
        <f>IFERROR(__xludf.DUMMYFUNCTION("""COMPUTED_VALUE"""),45034.6666666666)</f>
        <v/>
      </c>
      <c r="F1333" s="6">
        <f>IFERROR(__xludf.DUMMYFUNCTION("""COMPUTED_VALUE"""),4154.87)</f>
        <v/>
      </c>
      <c r="J1333" s="6">
        <f>K1333&amp;L1333</f>
        <v/>
      </c>
      <c r="K1333" s="6">
        <f>YEAR(M1333)</f>
        <v/>
      </c>
      <c r="L1333" s="6">
        <f>MONTH(M1333)</f>
        <v/>
      </c>
      <c r="M1333" s="267">
        <f>IFERROR(__xludf.DUMMYFUNCTION("""COMPUTED_VALUE"""),45026.6666666666)</f>
        <v/>
      </c>
      <c r="N1333" s="6">
        <f>IFERROR(__xludf.DUMMYFUNCTION("""COMPUTED_VALUE"""),12084.36)</f>
        <v/>
      </c>
      <c r="R1333" s="6">
        <f>S1333&amp;T1333</f>
        <v/>
      </c>
      <c r="S1333" s="6">
        <f>YEAR(U1333)</f>
        <v/>
      </c>
      <c r="T1333" s="6">
        <f>MONTH(U1333)</f>
        <v/>
      </c>
      <c r="U1333" s="267">
        <f>IFERROR(__xludf.DUMMYFUNCTION("""COMPUTED_VALUE"""),45078.6458333333)</f>
        <v/>
      </c>
      <c r="V1333" s="6">
        <f>IFERROR(__xludf.DUMMYFUNCTION("""COMPUTED_VALUE"""),2569.17)</f>
        <v/>
      </c>
      <c r="Z1333" s="6">
        <f>AA1333&amp;AB1333</f>
        <v/>
      </c>
      <c r="AA1333" s="6">
        <f>YEAR(AC1333)</f>
        <v/>
      </c>
      <c r="AB1333" s="6">
        <f>MONTH(AC1333)</f>
        <v/>
      </c>
      <c r="AC1333" s="267">
        <f>IFERROR(__xludf.DUMMYFUNCTION("""COMPUTED_VALUE"""),44479.9986111111)</f>
        <v/>
      </c>
      <c r="AD1333" s="6">
        <f>IFERROR(__xludf.DUMMYFUNCTION("""COMPUTED_VALUE"""),1195.58)</f>
        <v/>
      </c>
      <c r="AH1333" s="6">
        <f>AI1333&amp;AJ1333</f>
        <v/>
      </c>
      <c r="AI1333" s="6">
        <f>YEAR(AK1333)</f>
        <v/>
      </c>
      <c r="AJ1333" s="6">
        <f>MONTH(AK1333)</f>
        <v/>
      </c>
      <c r="AK1333" s="267">
        <f>IFERROR(__xludf.DUMMYFUNCTION("""COMPUTED_VALUE"""),44426.9986111111)</f>
        <v/>
      </c>
      <c r="AL1333" s="6">
        <f>IFERROR(__xludf.DUMMYFUNCTION("""COMPUTED_VALUE"""),44747.16)</f>
        <v/>
      </c>
      <c r="AP1333" s="6">
        <f>AQ1333&amp;AR1333</f>
        <v/>
      </c>
      <c r="AQ1333" s="6">
        <f>YEAR(AS1333)</f>
        <v/>
      </c>
      <c r="AR1333" s="6">
        <f>MONTH(AS1333)</f>
        <v/>
      </c>
      <c r="AS1333" s="267">
        <f>IFERROR(__xludf.DUMMYFUNCTION("""COMPUTED_VALUE"""),45041.9986111111)</f>
        <v/>
      </c>
      <c r="AT1333" s="6">
        <f>IFERROR(__xludf.DUMMYFUNCTION("""COMPUTED_VALUE"""),2004.5)</f>
        <v/>
      </c>
    </row>
    <row r="1334">
      <c r="B1334" s="6">
        <f>C1334&amp;D1334</f>
        <v/>
      </c>
      <c r="C1334" s="6">
        <f>YEAR(E1334)</f>
        <v/>
      </c>
      <c r="D1334" s="6">
        <f>MONTH(E1334)</f>
        <v/>
      </c>
      <c r="E1334" s="267">
        <f>IFERROR(__xludf.DUMMYFUNCTION("""COMPUTED_VALUE"""),45035.6666666666)</f>
        <v/>
      </c>
      <c r="F1334" s="6">
        <f>IFERROR(__xludf.DUMMYFUNCTION("""COMPUTED_VALUE"""),4154.52)</f>
        <v/>
      </c>
      <c r="J1334" s="6">
        <f>K1334&amp;L1334</f>
        <v/>
      </c>
      <c r="K1334" s="6">
        <f>YEAR(M1334)</f>
        <v/>
      </c>
      <c r="L1334" s="6">
        <f>MONTH(M1334)</f>
        <v/>
      </c>
      <c r="M1334" s="267">
        <f>IFERROR(__xludf.DUMMYFUNCTION("""COMPUTED_VALUE"""),45027.6666666666)</f>
        <v/>
      </c>
      <c r="N1334" s="6">
        <f>IFERROR(__xludf.DUMMYFUNCTION("""COMPUTED_VALUE"""),12031.88)</f>
        <v/>
      </c>
      <c r="R1334" s="6">
        <f>S1334&amp;T1334</f>
        <v/>
      </c>
      <c r="S1334" s="6">
        <f>YEAR(U1334)</f>
        <v/>
      </c>
      <c r="T1334" s="6">
        <f>MONTH(U1334)</f>
        <v/>
      </c>
      <c r="U1334" s="267">
        <f>IFERROR(__xludf.DUMMYFUNCTION("""COMPUTED_VALUE"""),45079.6458333333)</f>
        <v/>
      </c>
      <c r="V1334" s="6">
        <f>IFERROR(__xludf.DUMMYFUNCTION("""COMPUTED_VALUE"""),2601.36)</f>
        <v/>
      </c>
      <c r="Z1334" s="6">
        <f>AA1334&amp;AB1334</f>
        <v/>
      </c>
      <c r="AA1334" s="6">
        <f>YEAR(AC1334)</f>
        <v/>
      </c>
      <c r="AB1334" s="6">
        <f>MONTH(AC1334)</f>
        <v/>
      </c>
      <c r="AC1334" s="267">
        <f>IFERROR(__xludf.DUMMYFUNCTION("""COMPUTED_VALUE"""),44480.9986111111)</f>
        <v/>
      </c>
      <c r="AD1334" s="6">
        <f>IFERROR(__xludf.DUMMYFUNCTION("""COMPUTED_VALUE"""),1195.8)</f>
        <v/>
      </c>
      <c r="AH1334" s="6">
        <f>AI1334&amp;AJ1334</f>
        <v/>
      </c>
      <c r="AI1334" s="6">
        <f>YEAR(AK1334)</f>
        <v/>
      </c>
      <c r="AJ1334" s="6">
        <f>MONTH(AK1334)</f>
        <v/>
      </c>
      <c r="AK1334" s="267">
        <f>IFERROR(__xludf.DUMMYFUNCTION("""COMPUTED_VALUE"""),44427.9986111111)</f>
        <v/>
      </c>
      <c r="AL1334" s="6">
        <f>IFERROR(__xludf.DUMMYFUNCTION("""COMPUTED_VALUE"""),46759.82)</f>
        <v/>
      </c>
      <c r="AP1334" s="6">
        <f>AQ1334&amp;AR1334</f>
        <v/>
      </c>
      <c r="AQ1334" s="6">
        <f>YEAR(AS1334)</f>
        <v/>
      </c>
      <c r="AR1334" s="6">
        <f>MONTH(AS1334)</f>
        <v/>
      </c>
      <c r="AS1334" s="267">
        <f>IFERROR(__xludf.DUMMYFUNCTION("""COMPUTED_VALUE"""),45042.9986111111)</f>
        <v/>
      </c>
      <c r="AT1334" s="6">
        <f>IFERROR(__xludf.DUMMYFUNCTION("""COMPUTED_VALUE"""),1996)</f>
        <v/>
      </c>
    </row>
    <row r="1335">
      <c r="B1335" s="6">
        <f>C1335&amp;D1335</f>
        <v/>
      </c>
      <c r="C1335" s="6">
        <f>YEAR(E1335)</f>
        <v/>
      </c>
      <c r="D1335" s="6">
        <f>MONTH(E1335)</f>
        <v/>
      </c>
      <c r="E1335" s="267">
        <f>IFERROR(__xludf.DUMMYFUNCTION("""COMPUTED_VALUE"""),45036.6666666666)</f>
        <v/>
      </c>
      <c r="F1335" s="6">
        <f>IFERROR(__xludf.DUMMYFUNCTION("""COMPUTED_VALUE"""),4129.79)</f>
        <v/>
      </c>
      <c r="J1335" s="6">
        <f>K1335&amp;L1335</f>
        <v/>
      </c>
      <c r="K1335" s="6">
        <f>YEAR(M1335)</f>
        <v/>
      </c>
      <c r="L1335" s="6">
        <f>MONTH(M1335)</f>
        <v/>
      </c>
      <c r="M1335" s="267">
        <f>IFERROR(__xludf.DUMMYFUNCTION("""COMPUTED_VALUE"""),45028.6666666666)</f>
        <v/>
      </c>
      <c r="N1335" s="6">
        <f>IFERROR(__xludf.DUMMYFUNCTION("""COMPUTED_VALUE"""),11929.34)</f>
        <v/>
      </c>
      <c r="R1335" s="6">
        <f>S1335&amp;T1335</f>
        <v/>
      </c>
      <c r="S1335" s="6">
        <f>YEAR(U1335)</f>
        <v/>
      </c>
      <c r="T1335" s="6">
        <f>MONTH(U1335)</f>
        <v/>
      </c>
      <c r="U1335" s="267">
        <f>IFERROR(__xludf.DUMMYFUNCTION("""COMPUTED_VALUE"""),45082.6458333333)</f>
        <v/>
      </c>
      <c r="V1335" s="6">
        <f>IFERROR(__xludf.DUMMYFUNCTION("""COMPUTED_VALUE"""),2615.41)</f>
        <v/>
      </c>
      <c r="Z1335" s="6">
        <f>AA1335&amp;AB1335</f>
        <v/>
      </c>
      <c r="AA1335" s="6">
        <f>YEAR(AC1335)</f>
        <v/>
      </c>
      <c r="AB1335" s="6">
        <f>MONTH(AC1335)</f>
        <v/>
      </c>
      <c r="AC1335" s="267">
        <f>IFERROR(__xludf.DUMMYFUNCTION("""COMPUTED_VALUE"""),44481.9986111111)</f>
        <v/>
      </c>
      <c r="AD1335" s="6">
        <f>IFERROR(__xludf.DUMMYFUNCTION("""COMPUTED_VALUE"""),1196.89)</f>
        <v/>
      </c>
      <c r="AH1335" s="6">
        <f>AI1335&amp;AJ1335</f>
        <v/>
      </c>
      <c r="AI1335" s="6">
        <f>YEAR(AK1335)</f>
        <v/>
      </c>
      <c r="AJ1335" s="6">
        <f>MONTH(AK1335)</f>
        <v/>
      </c>
      <c r="AK1335" s="267">
        <f>IFERROR(__xludf.DUMMYFUNCTION("""COMPUTED_VALUE"""),44428.9986111111)</f>
        <v/>
      </c>
      <c r="AL1335" s="6">
        <f>IFERROR(__xludf.DUMMYFUNCTION("""COMPUTED_VALUE"""),49328.58)</f>
        <v/>
      </c>
      <c r="AP1335" s="6">
        <f>AQ1335&amp;AR1335</f>
        <v/>
      </c>
      <c r="AQ1335" s="6">
        <f>YEAR(AS1335)</f>
        <v/>
      </c>
      <c r="AR1335" s="6">
        <f>MONTH(AS1335)</f>
        <v/>
      </c>
      <c r="AS1335" s="267">
        <f>IFERROR(__xludf.DUMMYFUNCTION("""COMPUTED_VALUE"""),45043.9986111111)</f>
        <v/>
      </c>
      <c r="AT1335" s="6">
        <f>IFERROR(__xludf.DUMMYFUNCTION("""COMPUTED_VALUE"""),1999)</f>
        <v/>
      </c>
    </row>
    <row r="1336">
      <c r="B1336" s="6">
        <f>C1336&amp;D1336</f>
        <v/>
      </c>
      <c r="C1336" s="6">
        <f>YEAR(E1336)</f>
        <v/>
      </c>
      <c r="D1336" s="6">
        <f>MONTH(E1336)</f>
        <v/>
      </c>
      <c r="E1336" s="267">
        <f>IFERROR(__xludf.DUMMYFUNCTION("""COMPUTED_VALUE"""),45037.6666666666)</f>
        <v/>
      </c>
      <c r="F1336" s="6">
        <f>IFERROR(__xludf.DUMMYFUNCTION("""COMPUTED_VALUE"""),4133.52)</f>
        <v/>
      </c>
      <c r="J1336" s="6">
        <f>K1336&amp;L1336</f>
        <v/>
      </c>
      <c r="K1336" s="6">
        <f>YEAR(M1336)</f>
        <v/>
      </c>
      <c r="L1336" s="6">
        <f>MONTH(M1336)</f>
        <v/>
      </c>
      <c r="M1336" s="267">
        <f>IFERROR(__xludf.DUMMYFUNCTION("""COMPUTED_VALUE"""),45029.6666666666)</f>
        <v/>
      </c>
      <c r="N1336" s="6">
        <f>IFERROR(__xludf.DUMMYFUNCTION("""COMPUTED_VALUE"""),12166.27)</f>
        <v/>
      </c>
      <c r="R1336" s="6">
        <f>S1336&amp;T1336</f>
        <v/>
      </c>
      <c r="S1336" s="6">
        <f>YEAR(U1336)</f>
        <v/>
      </c>
      <c r="T1336" s="6">
        <f>MONTH(U1336)</f>
        <v/>
      </c>
      <c r="U1336" s="267">
        <f>IFERROR(__xludf.DUMMYFUNCTION("""COMPUTED_VALUE"""),45084.6458333333)</f>
        <v/>
      </c>
      <c r="V1336" s="6">
        <f>IFERROR(__xludf.DUMMYFUNCTION("""COMPUTED_VALUE"""),2615.6)</f>
        <v/>
      </c>
      <c r="Z1336" s="6">
        <f>AA1336&amp;AB1336</f>
        <v/>
      </c>
      <c r="AA1336" s="6">
        <f>YEAR(AC1336)</f>
        <v/>
      </c>
      <c r="AB1336" s="6">
        <f>MONTH(AC1336)</f>
        <v/>
      </c>
      <c r="AC1336" s="267">
        <f>IFERROR(__xludf.DUMMYFUNCTION("""COMPUTED_VALUE"""),44482.9986111111)</f>
        <v/>
      </c>
      <c r="AD1336" s="6">
        <f>IFERROR(__xludf.DUMMYFUNCTION("""COMPUTED_VALUE"""),1186.71)</f>
        <v/>
      </c>
      <c r="AH1336" s="6">
        <f>AI1336&amp;AJ1336</f>
        <v/>
      </c>
      <c r="AI1336" s="6">
        <f>YEAR(AK1336)</f>
        <v/>
      </c>
      <c r="AJ1336" s="6">
        <f>MONTH(AK1336)</f>
        <v/>
      </c>
      <c r="AK1336" s="267">
        <f>IFERROR(__xludf.DUMMYFUNCTION("""COMPUTED_VALUE"""),44429.9986111111)</f>
        <v/>
      </c>
      <c r="AL1336" s="6">
        <f>IFERROR(__xludf.DUMMYFUNCTION("""COMPUTED_VALUE"""),48880.96)</f>
        <v/>
      </c>
      <c r="AP1336" s="6">
        <f>AQ1336&amp;AR1336</f>
        <v/>
      </c>
      <c r="AQ1336" s="6">
        <f>YEAR(AS1336)</f>
        <v/>
      </c>
      <c r="AR1336" s="6">
        <f>MONTH(AS1336)</f>
        <v/>
      </c>
      <c r="AS1336" s="267">
        <f>IFERROR(__xludf.DUMMYFUNCTION("""COMPUTED_VALUE"""),45044.9986111111)</f>
        <v/>
      </c>
      <c r="AT1336" s="6">
        <f>IFERROR(__xludf.DUMMYFUNCTION("""COMPUTED_VALUE"""),1999.1)</f>
        <v/>
      </c>
    </row>
    <row r="1337">
      <c r="B1337" s="6">
        <f>C1337&amp;D1337</f>
        <v/>
      </c>
      <c r="C1337" s="6">
        <f>YEAR(E1337)</f>
        <v/>
      </c>
      <c r="D1337" s="6">
        <f>MONTH(E1337)</f>
        <v/>
      </c>
      <c r="E1337" s="267">
        <f>IFERROR(__xludf.DUMMYFUNCTION("""COMPUTED_VALUE"""),45040.6666666666)</f>
        <v/>
      </c>
      <c r="F1337" s="6">
        <f>IFERROR(__xludf.DUMMYFUNCTION("""COMPUTED_VALUE"""),4137.04)</f>
        <v/>
      </c>
      <c r="J1337" s="6">
        <f>K1337&amp;L1337</f>
        <v/>
      </c>
      <c r="K1337" s="6">
        <f>YEAR(M1337)</f>
        <v/>
      </c>
      <c r="L1337" s="6">
        <f>MONTH(M1337)</f>
        <v/>
      </c>
      <c r="M1337" s="267">
        <f>IFERROR(__xludf.DUMMYFUNCTION("""COMPUTED_VALUE"""),45030.6666666666)</f>
        <v/>
      </c>
      <c r="N1337" s="6">
        <f>IFERROR(__xludf.DUMMYFUNCTION("""COMPUTED_VALUE"""),12123.47)</f>
        <v/>
      </c>
      <c r="R1337" s="6">
        <f>S1337&amp;T1337</f>
        <v/>
      </c>
      <c r="S1337" s="6">
        <f>YEAR(U1337)</f>
        <v/>
      </c>
      <c r="T1337" s="6">
        <f>MONTH(U1337)</f>
        <v/>
      </c>
      <c r="U1337" s="267">
        <f>IFERROR(__xludf.DUMMYFUNCTION("""COMPUTED_VALUE"""),45085.6458333333)</f>
        <v/>
      </c>
      <c r="V1337" s="6">
        <f>IFERROR(__xludf.DUMMYFUNCTION("""COMPUTED_VALUE"""),2610.85)</f>
        <v/>
      </c>
      <c r="Z1337" s="6">
        <f>AA1337&amp;AB1337</f>
        <v/>
      </c>
      <c r="AA1337" s="6">
        <f>YEAR(AC1337)</f>
        <v/>
      </c>
      <c r="AB1337" s="6">
        <f>MONTH(AC1337)</f>
        <v/>
      </c>
      <c r="AC1337" s="267">
        <f>IFERROR(__xludf.DUMMYFUNCTION("""COMPUTED_VALUE"""),44483.9986111111)</f>
        <v/>
      </c>
      <c r="AD1337" s="6">
        <f>IFERROR(__xludf.DUMMYFUNCTION("""COMPUTED_VALUE"""),1182.13)</f>
        <v/>
      </c>
      <c r="AH1337" s="6">
        <f>AI1337&amp;AJ1337</f>
        <v/>
      </c>
      <c r="AI1337" s="6">
        <f>YEAR(AK1337)</f>
        <v/>
      </c>
      <c r="AJ1337" s="6">
        <f>MONTH(AK1337)</f>
        <v/>
      </c>
      <c r="AK1337" s="267">
        <f>IFERROR(__xludf.DUMMYFUNCTION("""COMPUTED_VALUE"""),44430.9986111111)</f>
        <v/>
      </c>
      <c r="AL1337" s="6">
        <f>IFERROR(__xludf.DUMMYFUNCTION("""COMPUTED_VALUE"""),49280.35)</f>
        <v/>
      </c>
      <c r="AP1337" s="6">
        <f>AQ1337&amp;AR1337</f>
        <v/>
      </c>
      <c r="AQ1337" s="6">
        <f>YEAR(AS1337)</f>
        <v/>
      </c>
      <c r="AR1337" s="6">
        <f>MONTH(AS1337)</f>
        <v/>
      </c>
      <c r="AS1337" s="267">
        <f>IFERROR(__xludf.DUMMYFUNCTION("""COMPUTED_VALUE"""),45047.9986111111)</f>
        <v/>
      </c>
      <c r="AT1337" s="6">
        <f>IFERROR(__xludf.DUMMYFUNCTION("""COMPUTED_VALUE"""),1992.2)</f>
        <v/>
      </c>
    </row>
    <row r="1338">
      <c r="B1338" s="6">
        <f>C1338&amp;D1338</f>
        <v/>
      </c>
      <c r="C1338" s="6">
        <f>YEAR(E1338)</f>
        <v/>
      </c>
      <c r="D1338" s="6">
        <f>MONTH(E1338)</f>
        <v/>
      </c>
      <c r="E1338" s="267">
        <f>IFERROR(__xludf.DUMMYFUNCTION("""COMPUTED_VALUE"""),45041.6666666666)</f>
        <v/>
      </c>
      <c r="F1338" s="6">
        <f>IFERROR(__xludf.DUMMYFUNCTION("""COMPUTED_VALUE"""),4071.63)</f>
        <v/>
      </c>
      <c r="J1338" s="6">
        <f>K1338&amp;L1338</f>
        <v/>
      </c>
      <c r="K1338" s="6">
        <f>YEAR(M1338)</f>
        <v/>
      </c>
      <c r="L1338" s="6">
        <f>MONTH(M1338)</f>
        <v/>
      </c>
      <c r="M1338" s="267">
        <f>IFERROR(__xludf.DUMMYFUNCTION("""COMPUTED_VALUE"""),45033.6666666666)</f>
        <v/>
      </c>
      <c r="N1338" s="6">
        <f>IFERROR(__xludf.DUMMYFUNCTION("""COMPUTED_VALUE"""),12157.72)</f>
        <v/>
      </c>
      <c r="R1338" s="6">
        <f>S1338&amp;T1338</f>
        <v/>
      </c>
      <c r="S1338" s="6">
        <f>YEAR(U1338)</f>
        <v/>
      </c>
      <c r="T1338" s="6">
        <f>MONTH(U1338)</f>
        <v/>
      </c>
      <c r="U1338" s="267">
        <f>IFERROR(__xludf.DUMMYFUNCTION("""COMPUTED_VALUE"""),45086.6458333333)</f>
        <v/>
      </c>
      <c r="V1338" s="6">
        <f>IFERROR(__xludf.DUMMYFUNCTION("""COMPUTED_VALUE"""),2641.16)</f>
        <v/>
      </c>
      <c r="Z1338" s="6">
        <f>AA1338&amp;AB1338</f>
        <v/>
      </c>
      <c r="AA1338" s="6">
        <f>YEAR(AC1338)</f>
        <v/>
      </c>
      <c r="AB1338" s="6">
        <f>MONTH(AC1338)</f>
        <v/>
      </c>
      <c r="AC1338" s="267">
        <f>IFERROR(__xludf.DUMMYFUNCTION("""COMPUTED_VALUE"""),44484.9986111111)</f>
        <v/>
      </c>
      <c r="AD1338" s="6">
        <f>IFERROR(__xludf.DUMMYFUNCTION("""COMPUTED_VALUE"""),1181.69)</f>
        <v/>
      </c>
      <c r="AH1338" s="6">
        <f>AI1338&amp;AJ1338</f>
        <v/>
      </c>
      <c r="AI1338" s="6">
        <f>YEAR(AK1338)</f>
        <v/>
      </c>
      <c r="AJ1338" s="6">
        <f>MONTH(AK1338)</f>
        <v/>
      </c>
      <c r="AK1338" s="267">
        <f>IFERROR(__xludf.DUMMYFUNCTION("""COMPUTED_VALUE"""),44431.9986111111)</f>
        <v/>
      </c>
      <c r="AL1338" s="6">
        <f>IFERROR(__xludf.DUMMYFUNCTION("""COMPUTED_VALUE"""),49538.76)</f>
        <v/>
      </c>
      <c r="AP1338" s="6">
        <f>AQ1338&amp;AR1338</f>
        <v/>
      </c>
      <c r="AQ1338" s="6">
        <f>YEAR(AS1338)</f>
        <v/>
      </c>
      <c r="AR1338" s="6">
        <f>MONTH(AS1338)</f>
        <v/>
      </c>
      <c r="AS1338" s="267">
        <f>IFERROR(__xludf.DUMMYFUNCTION("""COMPUTED_VALUE"""),45048.9986111111)</f>
        <v/>
      </c>
      <c r="AT1338" s="6">
        <f>IFERROR(__xludf.DUMMYFUNCTION("""COMPUTED_VALUE"""),2023.3)</f>
        <v/>
      </c>
    </row>
    <row r="1339">
      <c r="B1339" s="6">
        <f>C1339&amp;D1339</f>
        <v/>
      </c>
      <c r="C1339" s="6">
        <f>YEAR(E1339)</f>
        <v/>
      </c>
      <c r="D1339" s="6">
        <f>MONTH(E1339)</f>
        <v/>
      </c>
      <c r="E1339" s="267">
        <f>IFERROR(__xludf.DUMMYFUNCTION("""COMPUTED_VALUE"""),45042.6666666666)</f>
        <v/>
      </c>
      <c r="F1339" s="6">
        <f>IFERROR(__xludf.DUMMYFUNCTION("""COMPUTED_VALUE"""),4055.99)</f>
        <v/>
      </c>
      <c r="J1339" s="6">
        <f>K1339&amp;L1339</f>
        <v/>
      </c>
      <c r="K1339" s="6">
        <f>YEAR(M1339)</f>
        <v/>
      </c>
      <c r="L1339" s="6">
        <f>MONTH(M1339)</f>
        <v/>
      </c>
      <c r="M1339" s="267">
        <f>IFERROR(__xludf.DUMMYFUNCTION("""COMPUTED_VALUE"""),45034.6666666666)</f>
        <v/>
      </c>
      <c r="N1339" s="6">
        <f>IFERROR(__xludf.DUMMYFUNCTION("""COMPUTED_VALUE"""),12153.41)</f>
        <v/>
      </c>
      <c r="R1339" s="6">
        <f>S1339&amp;T1339</f>
        <v/>
      </c>
      <c r="S1339" s="6">
        <f>YEAR(U1339)</f>
        <v/>
      </c>
      <c r="T1339" s="6">
        <f>MONTH(U1339)</f>
        <v/>
      </c>
      <c r="U1339" s="267">
        <f>IFERROR(__xludf.DUMMYFUNCTION("""COMPUTED_VALUE"""),45089.6458333333)</f>
        <v/>
      </c>
      <c r="V1339" s="6">
        <f>IFERROR(__xludf.DUMMYFUNCTION("""COMPUTED_VALUE"""),2629.35)</f>
        <v/>
      </c>
      <c r="Z1339" s="6">
        <f>AA1339&amp;AB1339</f>
        <v/>
      </c>
      <c r="AA1339" s="6">
        <f>YEAR(AC1339)</f>
        <v/>
      </c>
      <c r="AB1339" s="6">
        <f>MONTH(AC1339)</f>
        <v/>
      </c>
      <c r="AC1339" s="267">
        <f>IFERROR(__xludf.DUMMYFUNCTION("""COMPUTED_VALUE"""),44485.9986111111)</f>
        <v/>
      </c>
      <c r="AD1339" s="6">
        <f>IFERROR(__xludf.DUMMYFUNCTION("""COMPUTED_VALUE"""),1181.69)</f>
        <v/>
      </c>
      <c r="AH1339" s="6">
        <f>AI1339&amp;AJ1339</f>
        <v/>
      </c>
      <c r="AI1339" s="6">
        <f>YEAR(AK1339)</f>
        <v/>
      </c>
      <c r="AJ1339" s="6">
        <f>MONTH(AK1339)</f>
        <v/>
      </c>
      <c r="AK1339" s="267">
        <f>IFERROR(__xludf.DUMMYFUNCTION("""COMPUTED_VALUE"""),44432.9986111111)</f>
        <v/>
      </c>
      <c r="AL1339" s="6">
        <f>IFERROR(__xludf.DUMMYFUNCTION("""COMPUTED_VALUE"""),47720.25)</f>
        <v/>
      </c>
      <c r="AP1339" s="6">
        <f>AQ1339&amp;AR1339</f>
        <v/>
      </c>
      <c r="AQ1339" s="6">
        <f>YEAR(AS1339)</f>
        <v/>
      </c>
      <c r="AR1339" s="6">
        <f>MONTH(AS1339)</f>
        <v/>
      </c>
      <c r="AS1339" s="267">
        <f>IFERROR(__xludf.DUMMYFUNCTION("""COMPUTED_VALUE"""),45049.9986111111)</f>
        <v/>
      </c>
      <c r="AT1339" s="6">
        <f>IFERROR(__xludf.DUMMYFUNCTION("""COMPUTED_VALUE"""),2037)</f>
        <v/>
      </c>
    </row>
    <row r="1340">
      <c r="B1340" s="6">
        <f>C1340&amp;D1340</f>
        <v/>
      </c>
      <c r="C1340" s="6">
        <f>YEAR(E1340)</f>
        <v/>
      </c>
      <c r="D1340" s="6">
        <f>MONTH(E1340)</f>
        <v/>
      </c>
      <c r="E1340" s="267">
        <f>IFERROR(__xludf.DUMMYFUNCTION("""COMPUTED_VALUE"""),45043.6666666666)</f>
        <v/>
      </c>
      <c r="F1340" s="6">
        <f>IFERROR(__xludf.DUMMYFUNCTION("""COMPUTED_VALUE"""),4135.35)</f>
        <v/>
      </c>
      <c r="J1340" s="6">
        <f>K1340&amp;L1340</f>
        <v/>
      </c>
      <c r="K1340" s="6">
        <f>YEAR(M1340)</f>
        <v/>
      </c>
      <c r="L1340" s="6">
        <f>MONTH(M1340)</f>
        <v/>
      </c>
      <c r="M1340" s="267">
        <f>IFERROR(__xludf.DUMMYFUNCTION("""COMPUTED_VALUE"""),45035.6666666666)</f>
        <v/>
      </c>
      <c r="N1340" s="6">
        <f>IFERROR(__xludf.DUMMYFUNCTION("""COMPUTED_VALUE"""),12157.23)</f>
        <v/>
      </c>
      <c r="R1340" s="6">
        <f>S1340&amp;T1340</f>
        <v/>
      </c>
      <c r="S1340" s="6">
        <f>YEAR(U1340)</f>
        <v/>
      </c>
      <c r="T1340" s="6">
        <f>MONTH(U1340)</f>
        <v/>
      </c>
      <c r="U1340" s="267">
        <f>IFERROR(__xludf.DUMMYFUNCTION("""COMPUTED_VALUE"""),45090.6458333333)</f>
        <v/>
      </c>
      <c r="V1340" s="6">
        <f>IFERROR(__xludf.DUMMYFUNCTION("""COMPUTED_VALUE"""),2637.95)</f>
        <v/>
      </c>
      <c r="Z1340" s="6">
        <f>AA1340&amp;AB1340</f>
        <v/>
      </c>
      <c r="AA1340" s="6">
        <f>YEAR(AC1340)</f>
        <v/>
      </c>
      <c r="AB1340" s="6">
        <f>MONTH(AC1340)</f>
        <v/>
      </c>
      <c r="AC1340" s="267">
        <f>IFERROR(__xludf.DUMMYFUNCTION("""COMPUTED_VALUE"""),44486.9986111111)</f>
        <v/>
      </c>
      <c r="AD1340" s="6">
        <f>IFERROR(__xludf.DUMMYFUNCTION("""COMPUTED_VALUE"""),1181.79)</f>
        <v/>
      </c>
      <c r="AH1340" s="6">
        <f>AI1340&amp;AJ1340</f>
        <v/>
      </c>
      <c r="AI1340" s="6">
        <f>YEAR(AK1340)</f>
        <v/>
      </c>
      <c r="AJ1340" s="6">
        <f>MONTH(AK1340)</f>
        <v/>
      </c>
      <c r="AK1340" s="267">
        <f>IFERROR(__xludf.DUMMYFUNCTION("""COMPUTED_VALUE"""),44433.9986111111)</f>
        <v/>
      </c>
      <c r="AL1340" s="6">
        <f>IFERROR(__xludf.DUMMYFUNCTION("""COMPUTED_VALUE"""),49001.23)</f>
        <v/>
      </c>
      <c r="AP1340" s="6">
        <f>AQ1340&amp;AR1340</f>
        <v/>
      </c>
      <c r="AQ1340" s="6">
        <f>YEAR(AS1340)</f>
        <v/>
      </c>
      <c r="AR1340" s="6">
        <f>MONTH(AS1340)</f>
        <v/>
      </c>
      <c r="AS1340" s="267">
        <f>IFERROR(__xludf.DUMMYFUNCTION("""COMPUTED_VALUE"""),45050.9986111111)</f>
        <v/>
      </c>
      <c r="AT1340" s="6">
        <f>IFERROR(__xludf.DUMMYFUNCTION("""COMPUTED_VALUE"""),2055.7)</f>
        <v/>
      </c>
    </row>
    <row r="1341">
      <c r="B1341" s="6">
        <f>C1341&amp;D1341</f>
        <v/>
      </c>
      <c r="C1341" s="6">
        <f>YEAR(E1341)</f>
        <v/>
      </c>
      <c r="D1341" s="6">
        <f>MONTH(E1341)</f>
        <v/>
      </c>
      <c r="E1341" s="267">
        <f>IFERROR(__xludf.DUMMYFUNCTION("""COMPUTED_VALUE"""),45044.6666666666)</f>
        <v/>
      </c>
      <c r="F1341" s="6">
        <f>IFERROR(__xludf.DUMMYFUNCTION("""COMPUTED_VALUE"""),4169.48)</f>
        <v/>
      </c>
      <c r="J1341" s="6">
        <f>K1341&amp;L1341</f>
        <v/>
      </c>
      <c r="K1341" s="6">
        <f>YEAR(M1341)</f>
        <v/>
      </c>
      <c r="L1341" s="6">
        <f>MONTH(M1341)</f>
        <v/>
      </c>
      <c r="M1341" s="267">
        <f>IFERROR(__xludf.DUMMYFUNCTION("""COMPUTED_VALUE"""),45036.6666666666)</f>
        <v/>
      </c>
      <c r="N1341" s="6">
        <f>IFERROR(__xludf.DUMMYFUNCTION("""COMPUTED_VALUE"""),12059.56)</f>
        <v/>
      </c>
      <c r="R1341" s="6">
        <f>S1341&amp;T1341</f>
        <v/>
      </c>
      <c r="S1341" s="6">
        <f>YEAR(U1341)</f>
        <v/>
      </c>
      <c r="T1341" s="6">
        <f>MONTH(U1341)</f>
        <v/>
      </c>
      <c r="U1341" s="267">
        <f>IFERROR(__xludf.DUMMYFUNCTION("""COMPUTED_VALUE"""),45091.6458333333)</f>
        <v/>
      </c>
      <c r="V1341" s="6">
        <f>IFERROR(__xludf.DUMMYFUNCTION("""COMPUTED_VALUE"""),2619.08)</f>
        <v/>
      </c>
      <c r="Z1341" s="6">
        <f>AA1341&amp;AB1341</f>
        <v/>
      </c>
      <c r="AA1341" s="6">
        <f>YEAR(AC1341)</f>
        <v/>
      </c>
      <c r="AB1341" s="6">
        <f>MONTH(AC1341)</f>
        <v/>
      </c>
      <c r="AC1341" s="267">
        <f>IFERROR(__xludf.DUMMYFUNCTION("""COMPUTED_VALUE"""),44487.9986111111)</f>
        <v/>
      </c>
      <c r="AD1341" s="6">
        <f>IFERROR(__xludf.DUMMYFUNCTION("""COMPUTED_VALUE"""),1185.68)</f>
        <v/>
      </c>
      <c r="AH1341" s="6">
        <f>AI1341&amp;AJ1341</f>
        <v/>
      </c>
      <c r="AI1341" s="6">
        <f>YEAR(AK1341)</f>
        <v/>
      </c>
      <c r="AJ1341" s="6">
        <f>MONTH(AK1341)</f>
        <v/>
      </c>
      <c r="AK1341" s="267">
        <f>IFERROR(__xludf.DUMMYFUNCTION("""COMPUTED_VALUE"""),44434.9986111111)</f>
        <v/>
      </c>
      <c r="AL1341" s="6">
        <f>IFERROR(__xludf.DUMMYFUNCTION("""COMPUTED_VALUE"""),46855.93)</f>
        <v/>
      </c>
      <c r="AP1341" s="6">
        <f>AQ1341&amp;AR1341</f>
        <v/>
      </c>
      <c r="AQ1341" s="6">
        <f>YEAR(AS1341)</f>
        <v/>
      </c>
      <c r="AR1341" s="6">
        <f>MONTH(AS1341)</f>
        <v/>
      </c>
      <c r="AS1341" s="267">
        <f>IFERROR(__xludf.DUMMYFUNCTION("""COMPUTED_VALUE"""),45051.9986111111)</f>
        <v/>
      </c>
      <c r="AT1341" s="6">
        <f>IFERROR(__xludf.DUMMYFUNCTION("""COMPUTED_VALUE"""),2024.8)</f>
        <v/>
      </c>
    </row>
    <row r="1342">
      <c r="B1342" s="6">
        <f>C1342&amp;D1342</f>
        <v/>
      </c>
      <c r="C1342" s="6">
        <f>YEAR(E1342)</f>
        <v/>
      </c>
      <c r="D1342" s="6">
        <f>MONTH(E1342)</f>
        <v/>
      </c>
      <c r="E1342" s="267">
        <f>IFERROR(__xludf.DUMMYFUNCTION("""COMPUTED_VALUE"""),45047.6666666666)</f>
        <v/>
      </c>
      <c r="F1342" s="6">
        <f>IFERROR(__xludf.DUMMYFUNCTION("""COMPUTED_VALUE"""),4167.87)</f>
        <v/>
      </c>
      <c r="J1342" s="6">
        <f>K1342&amp;L1342</f>
        <v/>
      </c>
      <c r="K1342" s="6">
        <f>YEAR(M1342)</f>
        <v/>
      </c>
      <c r="L1342" s="6">
        <f>MONTH(M1342)</f>
        <v/>
      </c>
      <c r="M1342" s="267">
        <f>IFERROR(__xludf.DUMMYFUNCTION("""COMPUTED_VALUE"""),45037.6666666666)</f>
        <v/>
      </c>
      <c r="N1342" s="6">
        <f>IFERROR(__xludf.DUMMYFUNCTION("""COMPUTED_VALUE"""),12072.46)</f>
        <v/>
      </c>
      <c r="R1342" s="6">
        <f>S1342&amp;T1342</f>
        <v/>
      </c>
      <c r="S1342" s="6">
        <f>YEAR(U1342)</f>
        <v/>
      </c>
      <c r="T1342" s="6">
        <f>MONTH(U1342)</f>
        <v/>
      </c>
      <c r="U1342" s="267">
        <f>IFERROR(__xludf.DUMMYFUNCTION("""COMPUTED_VALUE"""),45092.6458333333)</f>
        <v/>
      </c>
      <c r="V1342" s="6">
        <f>IFERROR(__xludf.DUMMYFUNCTION("""COMPUTED_VALUE"""),2608.54)</f>
        <v/>
      </c>
      <c r="Z1342" s="6">
        <f>AA1342&amp;AB1342</f>
        <v/>
      </c>
      <c r="AA1342" s="6">
        <f>YEAR(AC1342)</f>
        <v/>
      </c>
      <c r="AB1342" s="6">
        <f>MONTH(AC1342)</f>
        <v/>
      </c>
      <c r="AC1342" s="267">
        <f>IFERROR(__xludf.DUMMYFUNCTION("""COMPUTED_VALUE"""),44488.9986111111)</f>
        <v/>
      </c>
      <c r="AD1342" s="6">
        <f>IFERROR(__xludf.DUMMYFUNCTION("""COMPUTED_VALUE"""),1175.65)</f>
        <v/>
      </c>
      <c r="AH1342" s="6">
        <f>AI1342&amp;AJ1342</f>
        <v/>
      </c>
      <c r="AI1342" s="6">
        <f>YEAR(AK1342)</f>
        <v/>
      </c>
      <c r="AJ1342" s="6">
        <f>MONTH(AK1342)</f>
        <v/>
      </c>
      <c r="AK1342" s="267">
        <f>IFERROR(__xludf.DUMMYFUNCTION("""COMPUTED_VALUE"""),44435.9986111111)</f>
        <v/>
      </c>
      <c r="AL1342" s="6">
        <f>IFERROR(__xludf.DUMMYFUNCTION("""COMPUTED_VALUE"""),49072.36)</f>
        <v/>
      </c>
      <c r="AP1342" s="6">
        <f>AQ1342&amp;AR1342</f>
        <v/>
      </c>
      <c r="AQ1342" s="6">
        <f>YEAR(AS1342)</f>
        <v/>
      </c>
      <c r="AR1342" s="6">
        <f>MONTH(AS1342)</f>
        <v/>
      </c>
      <c r="AS1342" s="267">
        <f>IFERROR(__xludf.DUMMYFUNCTION("""COMPUTED_VALUE"""),45054.9986111111)</f>
        <v/>
      </c>
      <c r="AT1342" s="6">
        <f>IFERROR(__xludf.DUMMYFUNCTION("""COMPUTED_VALUE"""),2033.2)</f>
        <v/>
      </c>
    </row>
    <row r="1343">
      <c r="B1343" s="6">
        <f>C1343&amp;D1343</f>
        <v/>
      </c>
      <c r="C1343" s="6">
        <f>YEAR(E1343)</f>
        <v/>
      </c>
      <c r="D1343" s="6">
        <f>MONTH(E1343)</f>
        <v/>
      </c>
      <c r="E1343" s="267">
        <f>IFERROR(__xludf.DUMMYFUNCTION("""COMPUTED_VALUE"""),45048.6666666666)</f>
        <v/>
      </c>
      <c r="F1343" s="6">
        <f>IFERROR(__xludf.DUMMYFUNCTION("""COMPUTED_VALUE"""),4119.58)</f>
        <v/>
      </c>
      <c r="J1343" s="6">
        <f>K1343&amp;L1343</f>
        <v/>
      </c>
      <c r="K1343" s="6">
        <f>YEAR(M1343)</f>
        <v/>
      </c>
      <c r="L1343" s="6">
        <f>MONTH(M1343)</f>
        <v/>
      </c>
      <c r="M1343" s="267">
        <f>IFERROR(__xludf.DUMMYFUNCTION("""COMPUTED_VALUE"""),45040.6666666666)</f>
        <v/>
      </c>
      <c r="N1343" s="6">
        <f>IFERROR(__xludf.DUMMYFUNCTION("""COMPUTED_VALUE"""),12037.2)</f>
        <v/>
      </c>
      <c r="R1343" s="6">
        <f>S1343&amp;T1343</f>
        <v/>
      </c>
      <c r="S1343" s="6">
        <f>YEAR(U1343)</f>
        <v/>
      </c>
      <c r="T1343" s="6">
        <f>MONTH(U1343)</f>
        <v/>
      </c>
      <c r="U1343" s="267">
        <f>IFERROR(__xludf.DUMMYFUNCTION("""COMPUTED_VALUE"""),45093.6458333333)</f>
        <v/>
      </c>
      <c r="V1343" s="6">
        <f>IFERROR(__xludf.DUMMYFUNCTION("""COMPUTED_VALUE"""),2625.79)</f>
        <v/>
      </c>
      <c r="Z1343" s="6">
        <f>AA1343&amp;AB1343</f>
        <v/>
      </c>
      <c r="AA1343" s="6">
        <f>YEAR(AC1343)</f>
        <v/>
      </c>
      <c r="AB1343" s="6">
        <f>MONTH(AC1343)</f>
        <v/>
      </c>
      <c r="AC1343" s="267">
        <f>IFERROR(__xludf.DUMMYFUNCTION("""COMPUTED_VALUE"""),44489.9986111111)</f>
        <v/>
      </c>
      <c r="AD1343" s="6">
        <f>IFERROR(__xludf.DUMMYFUNCTION("""COMPUTED_VALUE"""),1174.59)</f>
        <v/>
      </c>
      <c r="AH1343" s="6">
        <f>AI1343&amp;AJ1343</f>
        <v/>
      </c>
      <c r="AI1343" s="6">
        <f>YEAR(AK1343)</f>
        <v/>
      </c>
      <c r="AJ1343" s="6">
        <f>MONTH(AK1343)</f>
        <v/>
      </c>
      <c r="AK1343" s="267">
        <f>IFERROR(__xludf.DUMMYFUNCTION("""COMPUTED_VALUE"""),44436.9986111111)</f>
        <v/>
      </c>
      <c r="AL1343" s="6">
        <f>IFERROR(__xludf.DUMMYFUNCTION("""COMPUTED_VALUE"""),48915.17)</f>
        <v/>
      </c>
      <c r="AP1343" s="6">
        <f>AQ1343&amp;AR1343</f>
        <v/>
      </c>
      <c r="AQ1343" s="6">
        <f>YEAR(AS1343)</f>
        <v/>
      </c>
      <c r="AR1343" s="6">
        <f>MONTH(AS1343)</f>
        <v/>
      </c>
      <c r="AS1343" s="267">
        <f>IFERROR(__xludf.DUMMYFUNCTION("""COMPUTED_VALUE"""),45055.9986111111)</f>
        <v/>
      </c>
      <c r="AT1343" s="6">
        <f>IFERROR(__xludf.DUMMYFUNCTION("""COMPUTED_VALUE"""),2042.9)</f>
        <v/>
      </c>
    </row>
    <row r="1344">
      <c r="B1344" s="6">
        <f>C1344&amp;D1344</f>
        <v/>
      </c>
      <c r="C1344" s="6">
        <f>YEAR(E1344)</f>
        <v/>
      </c>
      <c r="D1344" s="6">
        <f>MONTH(E1344)</f>
        <v/>
      </c>
      <c r="E1344" s="267">
        <f>IFERROR(__xludf.DUMMYFUNCTION("""COMPUTED_VALUE"""),45049.6666666666)</f>
        <v/>
      </c>
      <c r="F1344" s="6">
        <f>IFERROR(__xludf.DUMMYFUNCTION("""COMPUTED_VALUE"""),4090.75)</f>
        <v/>
      </c>
      <c r="J1344" s="6">
        <f>K1344&amp;L1344</f>
        <v/>
      </c>
      <c r="K1344" s="6">
        <f>YEAR(M1344)</f>
        <v/>
      </c>
      <c r="L1344" s="6">
        <f>MONTH(M1344)</f>
        <v/>
      </c>
      <c r="M1344" s="267">
        <f>IFERROR(__xludf.DUMMYFUNCTION("""COMPUTED_VALUE"""),45041.6666666666)</f>
        <v/>
      </c>
      <c r="N1344" s="6">
        <f>IFERROR(__xludf.DUMMYFUNCTION("""COMPUTED_VALUE"""),11799.16)</f>
        <v/>
      </c>
      <c r="R1344" s="6">
        <f>S1344&amp;T1344</f>
        <v/>
      </c>
      <c r="S1344" s="6">
        <f>YEAR(U1344)</f>
        <v/>
      </c>
      <c r="T1344" s="6">
        <f>MONTH(U1344)</f>
        <v/>
      </c>
      <c r="U1344" s="267">
        <f>IFERROR(__xludf.DUMMYFUNCTION("""COMPUTED_VALUE"""),45096.6458333333)</f>
        <v/>
      </c>
      <c r="V1344" s="6">
        <f>IFERROR(__xludf.DUMMYFUNCTION("""COMPUTED_VALUE"""),2609.5)</f>
        <v/>
      </c>
      <c r="Z1344" s="6">
        <f>AA1344&amp;AB1344</f>
        <v/>
      </c>
      <c r="AA1344" s="6">
        <f>YEAR(AC1344)</f>
        <v/>
      </c>
      <c r="AB1344" s="6">
        <f>MONTH(AC1344)</f>
        <v/>
      </c>
      <c r="AC1344" s="267">
        <f>IFERROR(__xludf.DUMMYFUNCTION("""COMPUTED_VALUE"""),44490.9986111111)</f>
        <v/>
      </c>
      <c r="AD1344" s="6">
        <f>IFERROR(__xludf.DUMMYFUNCTION("""COMPUTED_VALUE"""),1176.55)</f>
        <v/>
      </c>
      <c r="AH1344" s="6">
        <f>AI1344&amp;AJ1344</f>
        <v/>
      </c>
      <c r="AI1344" s="6">
        <f>YEAR(AK1344)</f>
        <v/>
      </c>
      <c r="AJ1344" s="6">
        <f>MONTH(AK1344)</f>
        <v/>
      </c>
      <c r="AK1344" s="267">
        <f>IFERROR(__xludf.DUMMYFUNCTION("""COMPUTED_VALUE"""),44437.9986111111)</f>
        <v/>
      </c>
      <c r="AL1344" s="6">
        <f>IFERROR(__xludf.DUMMYFUNCTION("""COMPUTED_VALUE"""),48802.72)</f>
        <v/>
      </c>
      <c r="AP1344" s="6">
        <f>AQ1344&amp;AR1344</f>
        <v/>
      </c>
      <c r="AQ1344" s="6">
        <f>YEAR(AS1344)</f>
        <v/>
      </c>
      <c r="AR1344" s="6">
        <f>MONTH(AS1344)</f>
        <v/>
      </c>
      <c r="AS1344" s="267">
        <f>IFERROR(__xludf.DUMMYFUNCTION("""COMPUTED_VALUE"""),45056.9986111111)</f>
        <v/>
      </c>
      <c r="AT1344" s="6">
        <f>IFERROR(__xludf.DUMMYFUNCTION("""COMPUTED_VALUE"""),2037.1)</f>
        <v/>
      </c>
    </row>
    <row r="1345">
      <c r="B1345" s="6">
        <f>C1345&amp;D1345</f>
        <v/>
      </c>
      <c r="C1345" s="6">
        <f>YEAR(E1345)</f>
        <v/>
      </c>
      <c r="D1345" s="6">
        <f>MONTH(E1345)</f>
        <v/>
      </c>
      <c r="E1345" s="267">
        <f>IFERROR(__xludf.DUMMYFUNCTION("""COMPUTED_VALUE"""),45050.6666666666)</f>
        <v/>
      </c>
      <c r="F1345" s="6">
        <f>IFERROR(__xludf.DUMMYFUNCTION("""COMPUTED_VALUE"""),4061.22)</f>
        <v/>
      </c>
      <c r="J1345" s="6">
        <f>K1345&amp;L1345</f>
        <v/>
      </c>
      <c r="K1345" s="6">
        <f>YEAR(M1345)</f>
        <v/>
      </c>
      <c r="L1345" s="6">
        <f>MONTH(M1345)</f>
        <v/>
      </c>
      <c r="M1345" s="267">
        <f>IFERROR(__xludf.DUMMYFUNCTION("""COMPUTED_VALUE"""),45042.6666666666)</f>
        <v/>
      </c>
      <c r="N1345" s="6">
        <f>IFERROR(__xludf.DUMMYFUNCTION("""COMPUTED_VALUE"""),11854.35)</f>
        <v/>
      </c>
      <c r="R1345" s="6">
        <f>S1345&amp;T1345</f>
        <v/>
      </c>
      <c r="S1345" s="6">
        <f>YEAR(U1345)</f>
        <v/>
      </c>
      <c r="T1345" s="6">
        <f>MONTH(U1345)</f>
        <v/>
      </c>
      <c r="U1345" s="267">
        <f>IFERROR(__xludf.DUMMYFUNCTION("""COMPUTED_VALUE"""),45097.6458333333)</f>
        <v/>
      </c>
      <c r="V1345" s="6">
        <f>IFERROR(__xludf.DUMMYFUNCTION("""COMPUTED_VALUE"""),2604.91)</f>
        <v/>
      </c>
      <c r="Z1345" s="6">
        <f>AA1345&amp;AB1345</f>
        <v/>
      </c>
      <c r="AA1345" s="6">
        <f>YEAR(AC1345)</f>
        <v/>
      </c>
      <c r="AB1345" s="6">
        <f>MONTH(AC1345)</f>
        <v/>
      </c>
      <c r="AC1345" s="267">
        <f>IFERROR(__xludf.DUMMYFUNCTION("""COMPUTED_VALUE"""),44491.9986111111)</f>
        <v/>
      </c>
      <c r="AD1345" s="6">
        <f>IFERROR(__xludf.DUMMYFUNCTION("""COMPUTED_VALUE"""),1176.66)</f>
        <v/>
      </c>
      <c r="AH1345" s="6">
        <f>AI1345&amp;AJ1345</f>
        <v/>
      </c>
      <c r="AI1345" s="6">
        <f>YEAR(AK1345)</f>
        <v/>
      </c>
      <c r="AJ1345" s="6">
        <f>MONTH(AK1345)</f>
        <v/>
      </c>
      <c r="AK1345" s="267">
        <f>IFERROR(__xludf.DUMMYFUNCTION("""COMPUTED_VALUE"""),44438.9986111111)</f>
        <v/>
      </c>
      <c r="AL1345" s="6">
        <f>IFERROR(__xludf.DUMMYFUNCTION("""COMPUTED_VALUE"""),46996.51)</f>
        <v/>
      </c>
      <c r="AP1345" s="6">
        <f>AQ1345&amp;AR1345</f>
        <v/>
      </c>
      <c r="AQ1345" s="6">
        <f>YEAR(AS1345)</f>
        <v/>
      </c>
      <c r="AR1345" s="6">
        <f>MONTH(AS1345)</f>
        <v/>
      </c>
      <c r="AS1345" s="267">
        <f>IFERROR(__xludf.DUMMYFUNCTION("""COMPUTED_VALUE"""),45057.9986111111)</f>
        <v/>
      </c>
      <c r="AT1345" s="6">
        <f>IFERROR(__xludf.DUMMYFUNCTION("""COMPUTED_VALUE"""),2020.5)</f>
        <v/>
      </c>
    </row>
    <row r="1346">
      <c r="B1346" s="6">
        <f>C1346&amp;D1346</f>
        <v/>
      </c>
      <c r="C1346" s="6">
        <f>YEAR(E1346)</f>
        <v/>
      </c>
      <c r="D1346" s="6">
        <f>MONTH(E1346)</f>
        <v/>
      </c>
      <c r="E1346" s="267">
        <f>IFERROR(__xludf.DUMMYFUNCTION("""COMPUTED_VALUE"""),45051.6666666666)</f>
        <v/>
      </c>
      <c r="F1346" s="6">
        <f>IFERROR(__xludf.DUMMYFUNCTION("""COMPUTED_VALUE"""),4136.25)</f>
        <v/>
      </c>
      <c r="J1346" s="6">
        <f>K1346&amp;L1346</f>
        <v/>
      </c>
      <c r="K1346" s="6">
        <f>YEAR(M1346)</f>
        <v/>
      </c>
      <c r="L1346" s="6">
        <f>MONTH(M1346)</f>
        <v/>
      </c>
      <c r="M1346" s="267">
        <f>IFERROR(__xludf.DUMMYFUNCTION("""COMPUTED_VALUE"""),45043.6666666666)</f>
        <v/>
      </c>
      <c r="N1346" s="6">
        <f>IFERROR(__xludf.DUMMYFUNCTION("""COMPUTED_VALUE"""),12142.24)</f>
        <v/>
      </c>
      <c r="R1346" s="6">
        <f>S1346&amp;T1346</f>
        <v/>
      </c>
      <c r="S1346" s="6">
        <f>YEAR(U1346)</f>
        <v/>
      </c>
      <c r="T1346" s="6">
        <f>MONTH(U1346)</f>
        <v/>
      </c>
      <c r="U1346" s="267">
        <f>IFERROR(__xludf.DUMMYFUNCTION("""COMPUTED_VALUE"""),45098.6458333333)</f>
        <v/>
      </c>
      <c r="V1346" s="6">
        <f>IFERROR(__xludf.DUMMYFUNCTION("""COMPUTED_VALUE"""),2582.63)</f>
        <v/>
      </c>
      <c r="Z1346" s="6">
        <f>AA1346&amp;AB1346</f>
        <v/>
      </c>
      <c r="AA1346" s="6">
        <f>YEAR(AC1346)</f>
        <v/>
      </c>
      <c r="AB1346" s="6">
        <f>MONTH(AC1346)</f>
        <v/>
      </c>
      <c r="AC1346" s="267">
        <f>IFERROR(__xludf.DUMMYFUNCTION("""COMPUTED_VALUE"""),44492.9986111111)</f>
        <v/>
      </c>
      <c r="AD1346" s="6">
        <f>IFERROR(__xludf.DUMMYFUNCTION("""COMPUTED_VALUE"""),1175.4)</f>
        <v/>
      </c>
      <c r="AH1346" s="6">
        <f>AI1346&amp;AJ1346</f>
        <v/>
      </c>
      <c r="AI1346" s="6">
        <f>YEAR(AK1346)</f>
        <v/>
      </c>
      <c r="AJ1346" s="6">
        <f>MONTH(AK1346)</f>
        <v/>
      </c>
      <c r="AK1346" s="267">
        <f>IFERROR(__xludf.DUMMYFUNCTION("""COMPUTED_VALUE"""),44439.9986111111)</f>
        <v/>
      </c>
      <c r="AL1346" s="6">
        <f>IFERROR(__xludf.DUMMYFUNCTION("""COMPUTED_VALUE"""),47135.83)</f>
        <v/>
      </c>
      <c r="AP1346" s="6">
        <f>AQ1346&amp;AR1346</f>
        <v/>
      </c>
      <c r="AQ1346" s="6">
        <f>YEAR(AS1346)</f>
        <v/>
      </c>
      <c r="AR1346" s="6">
        <f>MONTH(AS1346)</f>
        <v/>
      </c>
      <c r="AS1346" s="267">
        <f>IFERROR(__xludf.DUMMYFUNCTION("""COMPUTED_VALUE"""),45058.9986111111)</f>
        <v/>
      </c>
      <c r="AT1346" s="6">
        <f>IFERROR(__xludf.DUMMYFUNCTION("""COMPUTED_VALUE"""),2019.8)</f>
        <v/>
      </c>
    </row>
    <row r="1347">
      <c r="B1347" s="6">
        <f>C1347&amp;D1347</f>
        <v/>
      </c>
      <c r="C1347" s="6">
        <f>YEAR(E1347)</f>
        <v/>
      </c>
      <c r="D1347" s="6">
        <f>MONTH(E1347)</f>
        <v/>
      </c>
      <c r="E1347" s="267">
        <f>IFERROR(__xludf.DUMMYFUNCTION("""COMPUTED_VALUE"""),45054.6666666666)</f>
        <v/>
      </c>
      <c r="F1347" s="6">
        <f>IFERROR(__xludf.DUMMYFUNCTION("""COMPUTED_VALUE"""),4138.12)</f>
        <v/>
      </c>
      <c r="J1347" s="6">
        <f>K1347&amp;L1347</f>
        <v/>
      </c>
      <c r="K1347" s="6">
        <f>YEAR(M1347)</f>
        <v/>
      </c>
      <c r="L1347" s="6">
        <f>MONTH(M1347)</f>
        <v/>
      </c>
      <c r="M1347" s="267">
        <f>IFERROR(__xludf.DUMMYFUNCTION("""COMPUTED_VALUE"""),45044.6666666666)</f>
        <v/>
      </c>
      <c r="N1347" s="6">
        <f>IFERROR(__xludf.DUMMYFUNCTION("""COMPUTED_VALUE"""),12226.58)</f>
        <v/>
      </c>
      <c r="R1347" s="6">
        <f>S1347&amp;T1347</f>
        <v/>
      </c>
      <c r="S1347" s="6">
        <f>YEAR(U1347)</f>
        <v/>
      </c>
      <c r="T1347" s="6">
        <f>MONTH(U1347)</f>
        <v/>
      </c>
      <c r="U1347" s="267">
        <f>IFERROR(__xludf.DUMMYFUNCTION("""COMPUTED_VALUE"""),45099.6458333333)</f>
        <v/>
      </c>
      <c r="V1347" s="6">
        <f>IFERROR(__xludf.DUMMYFUNCTION("""COMPUTED_VALUE"""),2593.7)</f>
        <v/>
      </c>
      <c r="Z1347" s="6">
        <f>AA1347&amp;AB1347</f>
        <v/>
      </c>
      <c r="AA1347" s="6">
        <f>YEAR(AC1347)</f>
        <v/>
      </c>
      <c r="AB1347" s="6">
        <f>MONTH(AC1347)</f>
        <v/>
      </c>
      <c r="AC1347" s="267">
        <f>IFERROR(__xludf.DUMMYFUNCTION("""COMPUTED_VALUE"""),44493.9986111111)</f>
        <v/>
      </c>
      <c r="AD1347" s="6">
        <f>IFERROR(__xludf.DUMMYFUNCTION("""COMPUTED_VALUE"""),1176.54)</f>
        <v/>
      </c>
      <c r="AH1347" s="6">
        <f>AI1347&amp;AJ1347</f>
        <v/>
      </c>
      <c r="AI1347" s="6">
        <f>YEAR(AK1347)</f>
        <v/>
      </c>
      <c r="AJ1347" s="6">
        <f>MONTH(AK1347)</f>
        <v/>
      </c>
      <c r="AK1347" s="267">
        <f>IFERROR(__xludf.DUMMYFUNCTION("""COMPUTED_VALUE"""),44440.9986111111)</f>
        <v/>
      </c>
      <c r="AL1347" s="6">
        <f>IFERROR(__xludf.DUMMYFUNCTION("""COMPUTED_VALUE"""),48864.18)</f>
        <v/>
      </c>
      <c r="AP1347" s="6">
        <f>AQ1347&amp;AR1347</f>
        <v/>
      </c>
      <c r="AQ1347" s="6">
        <f>YEAR(AS1347)</f>
        <v/>
      </c>
      <c r="AR1347" s="6">
        <f>MONTH(AS1347)</f>
        <v/>
      </c>
      <c r="AS1347" s="267">
        <f>IFERROR(__xludf.DUMMYFUNCTION("""COMPUTED_VALUE"""),45061.9986111111)</f>
        <v/>
      </c>
      <c r="AT1347" s="6">
        <f>IFERROR(__xludf.DUMMYFUNCTION("""COMPUTED_VALUE"""),2022.7)</f>
        <v/>
      </c>
    </row>
    <row r="1348">
      <c r="B1348" s="6">
        <f>C1348&amp;D1348</f>
        <v/>
      </c>
      <c r="C1348" s="6">
        <f>YEAR(E1348)</f>
        <v/>
      </c>
      <c r="D1348" s="6">
        <f>MONTH(E1348)</f>
        <v/>
      </c>
      <c r="E1348" s="267">
        <f>IFERROR(__xludf.DUMMYFUNCTION("""COMPUTED_VALUE"""),45055.6666666666)</f>
        <v/>
      </c>
      <c r="F1348" s="6">
        <f>IFERROR(__xludf.DUMMYFUNCTION("""COMPUTED_VALUE"""),4119.17)</f>
        <v/>
      </c>
      <c r="J1348" s="6">
        <f>K1348&amp;L1348</f>
        <v/>
      </c>
      <c r="K1348" s="6">
        <f>YEAR(M1348)</f>
        <v/>
      </c>
      <c r="L1348" s="6">
        <f>MONTH(M1348)</f>
        <v/>
      </c>
      <c r="M1348" s="267">
        <f>IFERROR(__xludf.DUMMYFUNCTION("""COMPUTED_VALUE"""),45047.6666666666)</f>
        <v/>
      </c>
      <c r="N1348" s="6">
        <f>IFERROR(__xludf.DUMMYFUNCTION("""COMPUTED_VALUE"""),12212.6)</f>
        <v/>
      </c>
      <c r="R1348" s="6">
        <f>S1348&amp;T1348</f>
        <v/>
      </c>
      <c r="S1348" s="6">
        <f>YEAR(U1348)</f>
        <v/>
      </c>
      <c r="T1348" s="6">
        <f>MONTH(U1348)</f>
        <v/>
      </c>
      <c r="U1348" s="267">
        <f>IFERROR(__xludf.DUMMYFUNCTION("""COMPUTED_VALUE"""),45100.6458333333)</f>
        <v/>
      </c>
      <c r="V1348" s="6">
        <f>IFERROR(__xludf.DUMMYFUNCTION("""COMPUTED_VALUE"""),2570.1)</f>
        <v/>
      </c>
      <c r="Z1348" s="6">
        <f>AA1348&amp;AB1348</f>
        <v/>
      </c>
      <c r="AA1348" s="6">
        <f>YEAR(AC1348)</f>
        <v/>
      </c>
      <c r="AB1348" s="6">
        <f>MONTH(AC1348)</f>
        <v/>
      </c>
      <c r="AC1348" s="267">
        <f>IFERROR(__xludf.DUMMYFUNCTION("""COMPUTED_VALUE"""),44494.9986111111)</f>
        <v/>
      </c>
      <c r="AD1348" s="6">
        <f>IFERROR(__xludf.DUMMYFUNCTION("""COMPUTED_VALUE"""),1167.06)</f>
        <v/>
      </c>
      <c r="AH1348" s="6">
        <f>AI1348&amp;AJ1348</f>
        <v/>
      </c>
      <c r="AI1348" s="6">
        <f>YEAR(AK1348)</f>
        <v/>
      </c>
      <c r="AJ1348" s="6">
        <f>MONTH(AK1348)</f>
        <v/>
      </c>
      <c r="AK1348" s="267">
        <f>IFERROR(__xludf.DUMMYFUNCTION("""COMPUTED_VALUE"""),44441.9986111111)</f>
        <v/>
      </c>
      <c r="AL1348" s="6">
        <f>IFERROR(__xludf.DUMMYFUNCTION("""COMPUTED_VALUE"""),49295.96)</f>
        <v/>
      </c>
      <c r="AP1348" s="6">
        <f>AQ1348&amp;AR1348</f>
        <v/>
      </c>
      <c r="AQ1348" s="6">
        <f>YEAR(AS1348)</f>
        <v/>
      </c>
      <c r="AR1348" s="6">
        <f>MONTH(AS1348)</f>
        <v/>
      </c>
      <c r="AS1348" s="267">
        <f>IFERROR(__xludf.DUMMYFUNCTION("""COMPUTED_VALUE"""),45062.9986111111)</f>
        <v/>
      </c>
      <c r="AT1348" s="6">
        <f>IFERROR(__xludf.DUMMYFUNCTION("""COMPUTED_VALUE"""),1993)</f>
        <v/>
      </c>
    </row>
    <row r="1349">
      <c r="B1349" s="6">
        <f>C1349&amp;D1349</f>
        <v/>
      </c>
      <c r="C1349" s="6">
        <f>YEAR(E1349)</f>
        <v/>
      </c>
      <c r="D1349" s="6">
        <f>MONTH(E1349)</f>
        <v/>
      </c>
      <c r="E1349" s="267">
        <f>IFERROR(__xludf.DUMMYFUNCTION("""COMPUTED_VALUE"""),45056.6666666666)</f>
        <v/>
      </c>
      <c r="F1349" s="6">
        <f>IFERROR(__xludf.DUMMYFUNCTION("""COMPUTED_VALUE"""),4137.64)</f>
        <v/>
      </c>
      <c r="J1349" s="6">
        <f>K1349&amp;L1349</f>
        <v/>
      </c>
      <c r="K1349" s="6">
        <f>YEAR(M1349)</f>
        <v/>
      </c>
      <c r="L1349" s="6">
        <f>MONTH(M1349)</f>
        <v/>
      </c>
      <c r="M1349" s="267">
        <f>IFERROR(__xludf.DUMMYFUNCTION("""COMPUTED_VALUE"""),45048.6666666666)</f>
        <v/>
      </c>
      <c r="N1349" s="6">
        <f>IFERROR(__xludf.DUMMYFUNCTION("""COMPUTED_VALUE"""),12080.51)</f>
        <v/>
      </c>
      <c r="R1349" s="6">
        <f>S1349&amp;T1349</f>
        <v/>
      </c>
      <c r="S1349" s="6">
        <f>YEAR(U1349)</f>
        <v/>
      </c>
      <c r="T1349" s="6">
        <f>MONTH(U1349)</f>
        <v/>
      </c>
      <c r="U1349" s="267">
        <f>IFERROR(__xludf.DUMMYFUNCTION("""COMPUTED_VALUE"""),45103.6458333333)</f>
        <v/>
      </c>
      <c r="V1349" s="6">
        <f>IFERROR(__xludf.DUMMYFUNCTION("""COMPUTED_VALUE"""),2582.2)</f>
        <v/>
      </c>
      <c r="Z1349" s="6">
        <f>AA1349&amp;AB1349</f>
        <v/>
      </c>
      <c r="AA1349" s="6">
        <f>YEAR(AC1349)</f>
        <v/>
      </c>
      <c r="AB1349" s="6">
        <f>MONTH(AC1349)</f>
        <v/>
      </c>
      <c r="AC1349" s="267">
        <f>IFERROR(__xludf.DUMMYFUNCTION("""COMPUTED_VALUE"""),44495.9986111111)</f>
        <v/>
      </c>
      <c r="AD1349" s="6">
        <f>IFERROR(__xludf.DUMMYFUNCTION("""COMPUTED_VALUE"""),1167.33)</f>
        <v/>
      </c>
      <c r="AH1349" s="6">
        <f>AI1349&amp;AJ1349</f>
        <v/>
      </c>
      <c r="AI1349" s="6">
        <f>YEAR(AK1349)</f>
        <v/>
      </c>
      <c r="AJ1349" s="6">
        <f>MONTH(AK1349)</f>
        <v/>
      </c>
      <c r="AK1349" s="267">
        <f>IFERROR(__xludf.DUMMYFUNCTION("""COMPUTED_VALUE"""),44442.9986111111)</f>
        <v/>
      </c>
      <c r="AL1349" s="6">
        <f>IFERROR(__xludf.DUMMYFUNCTION("""COMPUTED_VALUE"""),50014.34)</f>
        <v/>
      </c>
      <c r="AP1349" s="6">
        <f>AQ1349&amp;AR1349</f>
        <v/>
      </c>
      <c r="AQ1349" s="6">
        <f>YEAR(AS1349)</f>
        <v/>
      </c>
      <c r="AR1349" s="6">
        <f>MONTH(AS1349)</f>
        <v/>
      </c>
      <c r="AS1349" s="267">
        <f>IFERROR(__xludf.DUMMYFUNCTION("""COMPUTED_VALUE"""),45063.9986111111)</f>
        <v/>
      </c>
      <c r="AT1349" s="6">
        <f>IFERROR(__xludf.DUMMYFUNCTION("""COMPUTED_VALUE"""),1984.9)</f>
        <v/>
      </c>
    </row>
    <row r="1350">
      <c r="B1350" s="6">
        <f>C1350&amp;D1350</f>
        <v/>
      </c>
      <c r="C1350" s="6">
        <f>YEAR(E1350)</f>
        <v/>
      </c>
      <c r="D1350" s="6">
        <f>MONTH(E1350)</f>
        <v/>
      </c>
      <c r="E1350" s="267">
        <f>IFERROR(__xludf.DUMMYFUNCTION("""COMPUTED_VALUE"""),45057.6666666666)</f>
        <v/>
      </c>
      <c r="F1350" s="6">
        <f>IFERROR(__xludf.DUMMYFUNCTION("""COMPUTED_VALUE"""),4130.62)</f>
        <v/>
      </c>
      <c r="J1350" s="6">
        <f>K1350&amp;L1350</f>
        <v/>
      </c>
      <c r="K1350" s="6">
        <f>YEAR(M1350)</f>
        <v/>
      </c>
      <c r="L1350" s="6">
        <f>MONTH(M1350)</f>
        <v/>
      </c>
      <c r="M1350" s="267">
        <f>IFERROR(__xludf.DUMMYFUNCTION("""COMPUTED_VALUE"""),45049.6666666666)</f>
        <v/>
      </c>
      <c r="N1350" s="6">
        <f>IFERROR(__xludf.DUMMYFUNCTION("""COMPUTED_VALUE"""),12025.33)</f>
        <v/>
      </c>
      <c r="R1350" s="6">
        <f>S1350&amp;T1350</f>
        <v/>
      </c>
      <c r="S1350" s="6">
        <f>YEAR(U1350)</f>
        <v/>
      </c>
      <c r="T1350" s="6">
        <f>MONTH(U1350)</f>
        <v/>
      </c>
      <c r="U1350" s="267">
        <f>IFERROR(__xludf.DUMMYFUNCTION("""COMPUTED_VALUE"""),45104.6458333333)</f>
        <v/>
      </c>
      <c r="V1350" s="6">
        <f>IFERROR(__xludf.DUMMYFUNCTION("""COMPUTED_VALUE"""),2581.39)</f>
        <v/>
      </c>
      <c r="Z1350" s="6">
        <f>AA1350&amp;AB1350</f>
        <v/>
      </c>
      <c r="AA1350" s="6">
        <f>YEAR(AC1350)</f>
        <v/>
      </c>
      <c r="AB1350" s="6">
        <f>MONTH(AC1350)</f>
        <v/>
      </c>
      <c r="AC1350" s="267">
        <f>IFERROR(__xludf.DUMMYFUNCTION("""COMPUTED_VALUE"""),44496.9986111111)</f>
        <v/>
      </c>
      <c r="AD1350" s="6">
        <f>IFERROR(__xludf.DUMMYFUNCTION("""COMPUTED_VALUE"""),1172.17)</f>
        <v/>
      </c>
      <c r="AH1350" s="6">
        <f>AI1350&amp;AJ1350</f>
        <v/>
      </c>
      <c r="AI1350" s="6">
        <f>YEAR(AK1350)</f>
        <v/>
      </c>
      <c r="AJ1350" s="6">
        <f>MONTH(AK1350)</f>
        <v/>
      </c>
      <c r="AK1350" s="267">
        <f>IFERROR(__xludf.DUMMYFUNCTION("""COMPUTED_VALUE"""),44443.9986111111)</f>
        <v/>
      </c>
      <c r="AL1350" s="6">
        <f>IFERROR(__xludf.DUMMYFUNCTION("""COMPUTED_VALUE"""),49938.51)</f>
        <v/>
      </c>
      <c r="AP1350" s="6">
        <f>AQ1350&amp;AR1350</f>
        <v/>
      </c>
      <c r="AQ1350" s="6">
        <f>YEAR(AS1350)</f>
        <v/>
      </c>
      <c r="AR1350" s="6">
        <f>MONTH(AS1350)</f>
        <v/>
      </c>
      <c r="AS1350" s="267">
        <f>IFERROR(__xludf.DUMMYFUNCTION("""COMPUTED_VALUE"""),45064.9986111111)</f>
        <v/>
      </c>
      <c r="AT1350" s="6">
        <f>IFERROR(__xludf.DUMMYFUNCTION("""COMPUTED_VALUE"""),1978.3)</f>
        <v/>
      </c>
    </row>
    <row r="1351">
      <c r="B1351" s="6">
        <f>C1351&amp;D1351</f>
        <v/>
      </c>
      <c r="C1351" s="6">
        <f>YEAR(E1351)</f>
        <v/>
      </c>
      <c r="D1351" s="6">
        <f>MONTH(E1351)</f>
        <v/>
      </c>
      <c r="E1351" s="267">
        <f>IFERROR(__xludf.DUMMYFUNCTION("""COMPUTED_VALUE"""),45058.6666666666)</f>
        <v/>
      </c>
      <c r="F1351" s="6">
        <f>IFERROR(__xludf.DUMMYFUNCTION("""COMPUTED_VALUE"""),4124.08)</f>
        <v/>
      </c>
      <c r="J1351" s="6">
        <f>K1351&amp;L1351</f>
        <v/>
      </c>
      <c r="K1351" s="6">
        <f>YEAR(M1351)</f>
        <v/>
      </c>
      <c r="L1351" s="6">
        <f>MONTH(M1351)</f>
        <v/>
      </c>
      <c r="M1351" s="267">
        <f>IFERROR(__xludf.DUMMYFUNCTION("""COMPUTED_VALUE"""),45050.6666666666)</f>
        <v/>
      </c>
      <c r="N1351" s="6">
        <f>IFERROR(__xludf.DUMMYFUNCTION("""COMPUTED_VALUE"""),11966.4)</f>
        <v/>
      </c>
      <c r="R1351" s="6">
        <f>S1351&amp;T1351</f>
        <v/>
      </c>
      <c r="S1351" s="6">
        <f>YEAR(U1351)</f>
        <v/>
      </c>
      <c r="T1351" s="6">
        <f>MONTH(U1351)</f>
        <v/>
      </c>
      <c r="U1351" s="267">
        <f>IFERROR(__xludf.DUMMYFUNCTION("""COMPUTED_VALUE"""),45105.6458333333)</f>
        <v/>
      </c>
      <c r="V1351" s="6">
        <f>IFERROR(__xludf.DUMMYFUNCTION("""COMPUTED_VALUE"""),2564.19)</f>
        <v/>
      </c>
      <c r="Z1351" s="6">
        <f>AA1351&amp;AB1351</f>
        <v/>
      </c>
      <c r="AA1351" s="6">
        <f>YEAR(AC1351)</f>
        <v/>
      </c>
      <c r="AB1351" s="6">
        <f>MONTH(AC1351)</f>
        <v/>
      </c>
      <c r="AC1351" s="267">
        <f>IFERROR(__xludf.DUMMYFUNCTION("""COMPUTED_VALUE"""),44497.9986111111)</f>
        <v/>
      </c>
      <c r="AD1351" s="6">
        <f>IFERROR(__xludf.DUMMYFUNCTION("""COMPUTED_VALUE"""),1167.37)</f>
        <v/>
      </c>
      <c r="AH1351" s="6">
        <f>AI1351&amp;AJ1351</f>
        <v/>
      </c>
      <c r="AI1351" s="6">
        <f>YEAR(AK1351)</f>
        <v/>
      </c>
      <c r="AJ1351" s="6">
        <f>MONTH(AK1351)</f>
        <v/>
      </c>
      <c r="AK1351" s="267">
        <f>IFERROR(__xludf.DUMMYFUNCTION("""COMPUTED_VALUE"""),44444.9986111111)</f>
        <v/>
      </c>
      <c r="AL1351" s="6">
        <f>IFERROR(__xludf.DUMMYFUNCTION("""COMPUTED_VALUE"""),51783.77)</f>
        <v/>
      </c>
      <c r="AP1351" s="6">
        <f>AQ1351&amp;AR1351</f>
        <v/>
      </c>
      <c r="AQ1351" s="6">
        <f>YEAR(AS1351)</f>
        <v/>
      </c>
      <c r="AR1351" s="6">
        <f>MONTH(AS1351)</f>
        <v/>
      </c>
      <c r="AS1351" s="267">
        <f>IFERROR(__xludf.DUMMYFUNCTION("""COMPUTED_VALUE"""),45065.9986111111)</f>
        <v/>
      </c>
      <c r="AT1351" s="6">
        <f>IFERROR(__xludf.DUMMYFUNCTION("""COMPUTED_VALUE"""),2000.3)</f>
        <v/>
      </c>
    </row>
    <row r="1352">
      <c r="B1352" s="6">
        <f>C1352&amp;D1352</f>
        <v/>
      </c>
      <c r="C1352" s="6">
        <f>YEAR(E1352)</f>
        <v/>
      </c>
      <c r="D1352" s="6">
        <f>MONTH(E1352)</f>
        <v/>
      </c>
      <c r="E1352" s="267">
        <f>IFERROR(__xludf.DUMMYFUNCTION("""COMPUTED_VALUE"""),45061.6666666666)</f>
        <v/>
      </c>
      <c r="F1352" s="6">
        <f>IFERROR(__xludf.DUMMYFUNCTION("""COMPUTED_VALUE"""),4136.28)</f>
        <v/>
      </c>
      <c r="J1352" s="6">
        <f>K1352&amp;L1352</f>
        <v/>
      </c>
      <c r="K1352" s="6">
        <f>YEAR(M1352)</f>
        <v/>
      </c>
      <c r="L1352" s="6">
        <f>MONTH(M1352)</f>
        <v/>
      </c>
      <c r="M1352" s="267">
        <f>IFERROR(__xludf.DUMMYFUNCTION("""COMPUTED_VALUE"""),45051.6666666666)</f>
        <v/>
      </c>
      <c r="N1352" s="6">
        <f>IFERROR(__xludf.DUMMYFUNCTION("""COMPUTED_VALUE"""),12235.41)</f>
        <v/>
      </c>
      <c r="R1352" s="6">
        <f>S1352&amp;T1352</f>
        <v/>
      </c>
      <c r="S1352" s="6">
        <f>YEAR(U1352)</f>
        <v/>
      </c>
      <c r="T1352" s="6">
        <f>MONTH(U1352)</f>
        <v/>
      </c>
      <c r="U1352" s="267">
        <f>IFERROR(__xludf.DUMMYFUNCTION("""COMPUTED_VALUE"""),45106.6458333333)</f>
        <v/>
      </c>
      <c r="V1352" s="6">
        <f>IFERROR(__xludf.DUMMYFUNCTION("""COMPUTED_VALUE"""),2550.02)</f>
        <v/>
      </c>
      <c r="Z1352" s="6">
        <f>AA1352&amp;AB1352</f>
        <v/>
      </c>
      <c r="AA1352" s="6">
        <f>YEAR(AC1352)</f>
        <v/>
      </c>
      <c r="AB1352" s="6">
        <f>MONTH(AC1352)</f>
        <v/>
      </c>
      <c r="AC1352" s="267">
        <f>IFERROR(__xludf.DUMMYFUNCTION("""COMPUTED_VALUE"""),44498.9986111111)</f>
        <v/>
      </c>
      <c r="AD1352" s="6">
        <f>IFERROR(__xludf.DUMMYFUNCTION("""COMPUTED_VALUE"""),1174.38)</f>
        <v/>
      </c>
      <c r="AH1352" s="6">
        <f>AI1352&amp;AJ1352</f>
        <v/>
      </c>
      <c r="AI1352" s="6">
        <f>YEAR(AK1352)</f>
        <v/>
      </c>
      <c r="AJ1352" s="6">
        <f>MONTH(AK1352)</f>
        <v/>
      </c>
      <c r="AK1352" s="267">
        <f>IFERROR(__xludf.DUMMYFUNCTION("""COMPUTED_VALUE"""),44445.9986111111)</f>
        <v/>
      </c>
      <c r="AL1352" s="6">
        <f>IFERROR(__xludf.DUMMYFUNCTION("""COMPUTED_VALUE"""),52686.86)</f>
        <v/>
      </c>
      <c r="AP1352" s="6">
        <f>AQ1352&amp;AR1352</f>
        <v/>
      </c>
      <c r="AQ1352" s="6">
        <f>YEAR(AS1352)</f>
        <v/>
      </c>
      <c r="AR1352" s="6">
        <f>MONTH(AS1352)</f>
        <v/>
      </c>
      <c r="AS1352" s="267">
        <f>IFERROR(__xludf.DUMMYFUNCTION("""COMPUTED_VALUE"""),45068.9986111111)</f>
        <v/>
      </c>
      <c r="AT1352" s="6">
        <f>IFERROR(__xludf.DUMMYFUNCTION("""COMPUTED_VALUE"""),1995.7)</f>
        <v/>
      </c>
    </row>
    <row r="1353">
      <c r="B1353" s="6">
        <f>C1353&amp;D1353</f>
        <v/>
      </c>
      <c r="C1353" s="6">
        <f>YEAR(E1353)</f>
        <v/>
      </c>
      <c r="D1353" s="6">
        <f>MONTH(E1353)</f>
        <v/>
      </c>
      <c r="E1353" s="267">
        <f>IFERROR(__xludf.DUMMYFUNCTION("""COMPUTED_VALUE"""),45062.6666666666)</f>
        <v/>
      </c>
      <c r="F1353" s="6">
        <f>IFERROR(__xludf.DUMMYFUNCTION("""COMPUTED_VALUE"""),4109.9)</f>
        <v/>
      </c>
      <c r="J1353" s="6">
        <f>K1353&amp;L1353</f>
        <v/>
      </c>
      <c r="K1353" s="6">
        <f>YEAR(M1353)</f>
        <v/>
      </c>
      <c r="L1353" s="6">
        <f>MONTH(M1353)</f>
        <v/>
      </c>
      <c r="M1353" s="267">
        <f>IFERROR(__xludf.DUMMYFUNCTION("""COMPUTED_VALUE"""),45054.6666666666)</f>
        <v/>
      </c>
      <c r="N1353" s="6">
        <f>IFERROR(__xludf.DUMMYFUNCTION("""COMPUTED_VALUE"""),12256.92)</f>
        <v/>
      </c>
      <c r="R1353" s="6">
        <f>S1353&amp;T1353</f>
        <v/>
      </c>
      <c r="S1353" s="6">
        <f>YEAR(U1353)</f>
        <v/>
      </c>
      <c r="T1353" s="6">
        <f>MONTH(U1353)</f>
        <v/>
      </c>
      <c r="U1353" s="267">
        <f>IFERROR(__xludf.DUMMYFUNCTION("""COMPUTED_VALUE"""),45107.6458333333)</f>
        <v/>
      </c>
      <c r="V1353" s="6">
        <f>IFERROR(__xludf.DUMMYFUNCTION("""COMPUTED_VALUE"""),2564.28)</f>
        <v/>
      </c>
      <c r="Z1353" s="6">
        <f>AA1353&amp;AB1353</f>
        <v/>
      </c>
      <c r="AA1353" s="6">
        <f>YEAR(AC1353)</f>
        <v/>
      </c>
      <c r="AB1353" s="6">
        <f>MONTH(AC1353)</f>
        <v/>
      </c>
      <c r="AC1353" s="267">
        <f>IFERROR(__xludf.DUMMYFUNCTION("""COMPUTED_VALUE"""),44499.9986111111)</f>
        <v/>
      </c>
      <c r="AD1353" s="6">
        <f>IFERROR(__xludf.DUMMYFUNCTION("""COMPUTED_VALUE"""),1174.38)</f>
        <v/>
      </c>
      <c r="AH1353" s="6">
        <f>AI1353&amp;AJ1353</f>
        <v/>
      </c>
      <c r="AI1353" s="6">
        <f>YEAR(AK1353)</f>
        <v/>
      </c>
      <c r="AJ1353" s="6">
        <f>MONTH(AK1353)</f>
        <v/>
      </c>
      <c r="AK1353" s="267">
        <f>IFERROR(__xludf.DUMMYFUNCTION("""COMPUTED_VALUE"""),44446.9986111111)</f>
        <v/>
      </c>
      <c r="AL1353" s="6">
        <f>IFERROR(__xludf.DUMMYFUNCTION("""COMPUTED_VALUE"""),46796.45)</f>
        <v/>
      </c>
      <c r="AP1353" s="6">
        <f>AQ1353&amp;AR1353</f>
        <v/>
      </c>
      <c r="AQ1353" s="6">
        <f>YEAR(AS1353)</f>
        <v/>
      </c>
      <c r="AR1353" s="6">
        <f>MONTH(AS1353)</f>
        <v/>
      </c>
      <c r="AS1353" s="267">
        <f>IFERROR(__xludf.DUMMYFUNCTION("""COMPUTED_VALUE"""),45069.9986111111)</f>
        <v/>
      </c>
      <c r="AT1353" s="6">
        <f>IFERROR(__xludf.DUMMYFUNCTION("""COMPUTED_VALUE"""),1992.8)</f>
        <v/>
      </c>
    </row>
    <row r="1354">
      <c r="B1354" s="6">
        <f>C1354&amp;D1354</f>
        <v/>
      </c>
      <c r="C1354" s="6">
        <f>YEAR(E1354)</f>
        <v/>
      </c>
      <c r="D1354" s="6">
        <f>MONTH(E1354)</f>
        <v/>
      </c>
      <c r="E1354" s="267">
        <f>IFERROR(__xludf.DUMMYFUNCTION("""COMPUTED_VALUE"""),45063.6666666666)</f>
        <v/>
      </c>
      <c r="F1354" s="6">
        <f>IFERROR(__xludf.DUMMYFUNCTION("""COMPUTED_VALUE"""),4158.77)</f>
        <v/>
      </c>
      <c r="J1354" s="6">
        <f>K1354&amp;L1354</f>
        <v/>
      </c>
      <c r="K1354" s="6">
        <f>YEAR(M1354)</f>
        <v/>
      </c>
      <c r="L1354" s="6">
        <f>MONTH(M1354)</f>
        <v/>
      </c>
      <c r="M1354" s="267">
        <f>IFERROR(__xludf.DUMMYFUNCTION("""COMPUTED_VALUE"""),45055.6666666666)</f>
        <v/>
      </c>
      <c r="N1354" s="6">
        <f>IFERROR(__xludf.DUMMYFUNCTION("""COMPUTED_VALUE"""),12179.55)</f>
        <v/>
      </c>
      <c r="R1354" s="6">
        <f>S1354&amp;T1354</f>
        <v/>
      </c>
      <c r="S1354" s="6">
        <f>YEAR(U1354)</f>
        <v/>
      </c>
      <c r="T1354" s="6">
        <f>MONTH(U1354)</f>
        <v/>
      </c>
      <c r="U1354" s="267">
        <f>IFERROR(__xludf.DUMMYFUNCTION("""COMPUTED_VALUE"""),45110.6458333333)</f>
        <v/>
      </c>
      <c r="V1354" s="6">
        <f>IFERROR(__xludf.DUMMYFUNCTION("""COMPUTED_VALUE"""),2602.47)</f>
        <v/>
      </c>
      <c r="Z1354" s="6">
        <f>AA1354&amp;AB1354</f>
        <v/>
      </c>
      <c r="AA1354" s="6">
        <f>YEAR(AC1354)</f>
        <v/>
      </c>
      <c r="AB1354" s="6">
        <f>MONTH(AC1354)</f>
        <v/>
      </c>
      <c r="AC1354" s="267">
        <f>IFERROR(__xludf.DUMMYFUNCTION("""COMPUTED_VALUE"""),44500.9986111111)</f>
        <v/>
      </c>
      <c r="AD1354" s="6">
        <f>IFERROR(__xludf.DUMMYFUNCTION("""COMPUTED_VALUE"""),1174.38)</f>
        <v/>
      </c>
      <c r="AH1354" s="6">
        <f>AI1354&amp;AJ1354</f>
        <v/>
      </c>
      <c r="AI1354" s="6">
        <f>YEAR(AK1354)</f>
        <v/>
      </c>
      <c r="AJ1354" s="6">
        <f>MONTH(AK1354)</f>
        <v/>
      </c>
      <c r="AK1354" s="267">
        <f>IFERROR(__xludf.DUMMYFUNCTION("""COMPUTED_VALUE"""),44447.9986111111)</f>
        <v/>
      </c>
      <c r="AL1354" s="6">
        <f>IFERROR(__xludf.DUMMYFUNCTION("""COMPUTED_VALUE"""),46074.31)</f>
        <v/>
      </c>
      <c r="AP1354" s="6">
        <f>AQ1354&amp;AR1354</f>
        <v/>
      </c>
      <c r="AQ1354" s="6">
        <f>YEAR(AS1354)</f>
        <v/>
      </c>
      <c r="AR1354" s="6">
        <f>MONTH(AS1354)</f>
        <v/>
      </c>
      <c r="AS1354" s="267">
        <f>IFERROR(__xludf.DUMMYFUNCTION("""COMPUTED_VALUE"""),45070.9986111111)</f>
        <v/>
      </c>
      <c r="AT1354" s="6">
        <f>IFERROR(__xludf.DUMMYFUNCTION("""COMPUTED_VALUE"""),1983.1)</f>
        <v/>
      </c>
    </row>
    <row r="1355">
      <c r="B1355" s="6">
        <f>C1355&amp;D1355</f>
        <v/>
      </c>
      <c r="C1355" s="6">
        <f>YEAR(E1355)</f>
        <v/>
      </c>
      <c r="D1355" s="6">
        <f>MONTH(E1355)</f>
        <v/>
      </c>
      <c r="E1355" s="267">
        <f>IFERROR(__xludf.DUMMYFUNCTION("""COMPUTED_VALUE"""),45064.6666666666)</f>
        <v/>
      </c>
      <c r="F1355" s="6">
        <f>IFERROR(__xludf.DUMMYFUNCTION("""COMPUTED_VALUE"""),4198.05)</f>
        <v/>
      </c>
      <c r="J1355" s="6">
        <f>K1355&amp;L1355</f>
        <v/>
      </c>
      <c r="K1355" s="6">
        <f>YEAR(M1355)</f>
        <v/>
      </c>
      <c r="L1355" s="6">
        <f>MONTH(M1355)</f>
        <v/>
      </c>
      <c r="M1355" s="267">
        <f>IFERROR(__xludf.DUMMYFUNCTION("""COMPUTED_VALUE"""),45056.6666666666)</f>
        <v/>
      </c>
      <c r="N1355" s="6">
        <f>IFERROR(__xludf.DUMMYFUNCTION("""COMPUTED_VALUE"""),12306.44)</f>
        <v/>
      </c>
      <c r="R1355" s="6">
        <f>S1355&amp;T1355</f>
        <v/>
      </c>
      <c r="S1355" s="6">
        <f>YEAR(U1355)</f>
        <v/>
      </c>
      <c r="T1355" s="6">
        <f>MONTH(U1355)</f>
        <v/>
      </c>
      <c r="U1355" s="267">
        <f>IFERROR(__xludf.DUMMYFUNCTION("""COMPUTED_VALUE"""),45111.6458333333)</f>
        <v/>
      </c>
      <c r="V1355" s="6">
        <f>IFERROR(__xludf.DUMMYFUNCTION("""COMPUTED_VALUE"""),2593.31)</f>
        <v/>
      </c>
      <c r="Z1355" s="6">
        <f>AA1355&amp;AB1355</f>
        <v/>
      </c>
      <c r="AA1355" s="6">
        <f>YEAR(AC1355)</f>
        <v/>
      </c>
      <c r="AB1355" s="6">
        <f>MONTH(AC1355)</f>
        <v/>
      </c>
      <c r="AC1355" s="267">
        <f>IFERROR(__xludf.DUMMYFUNCTION("""COMPUTED_VALUE"""),44501.9986111111)</f>
        <v/>
      </c>
      <c r="AD1355" s="6">
        <f>IFERROR(__xludf.DUMMYFUNCTION("""COMPUTED_VALUE"""),1176.57)</f>
        <v/>
      </c>
      <c r="AH1355" s="6">
        <f>AI1355&amp;AJ1355</f>
        <v/>
      </c>
      <c r="AI1355" s="6">
        <f>YEAR(AK1355)</f>
        <v/>
      </c>
      <c r="AJ1355" s="6">
        <f>MONTH(AK1355)</f>
        <v/>
      </c>
      <c r="AK1355" s="267">
        <f>IFERROR(__xludf.DUMMYFUNCTION("""COMPUTED_VALUE"""),44448.9986111111)</f>
        <v/>
      </c>
      <c r="AL1355" s="6">
        <f>IFERROR(__xludf.DUMMYFUNCTION("""COMPUTED_VALUE"""),46386.34)</f>
        <v/>
      </c>
      <c r="AP1355" s="6">
        <f>AQ1355&amp;AR1355</f>
        <v/>
      </c>
      <c r="AQ1355" s="6">
        <f>YEAR(AS1355)</f>
        <v/>
      </c>
      <c r="AR1355" s="6">
        <f>MONTH(AS1355)</f>
        <v/>
      </c>
      <c r="AS1355" s="267">
        <f>IFERROR(__xludf.DUMMYFUNCTION("""COMPUTED_VALUE"""),45071.9986111111)</f>
        <v/>
      </c>
      <c r="AT1355" s="6">
        <f>IFERROR(__xludf.DUMMYFUNCTION("""COMPUTED_VALUE"""),1962.3)</f>
        <v/>
      </c>
    </row>
    <row r="1356">
      <c r="B1356" s="6">
        <f>C1356&amp;D1356</f>
        <v/>
      </c>
      <c r="C1356" s="6">
        <f>YEAR(E1356)</f>
        <v/>
      </c>
      <c r="D1356" s="6">
        <f>MONTH(E1356)</f>
        <v/>
      </c>
      <c r="E1356" s="267">
        <f>IFERROR(__xludf.DUMMYFUNCTION("""COMPUTED_VALUE"""),45065.6666666666)</f>
        <v/>
      </c>
      <c r="F1356" s="6">
        <f>IFERROR(__xludf.DUMMYFUNCTION("""COMPUTED_VALUE"""),4191.98)</f>
        <v/>
      </c>
      <c r="J1356" s="6">
        <f>K1356&amp;L1356</f>
        <v/>
      </c>
      <c r="K1356" s="6">
        <f>YEAR(M1356)</f>
        <v/>
      </c>
      <c r="L1356" s="6">
        <f>MONTH(M1356)</f>
        <v/>
      </c>
      <c r="M1356" s="267">
        <f>IFERROR(__xludf.DUMMYFUNCTION("""COMPUTED_VALUE"""),45057.6666666666)</f>
        <v/>
      </c>
      <c r="N1356" s="6">
        <f>IFERROR(__xludf.DUMMYFUNCTION("""COMPUTED_VALUE"""),12328.51)</f>
        <v/>
      </c>
      <c r="R1356" s="6">
        <f>S1356&amp;T1356</f>
        <v/>
      </c>
      <c r="S1356" s="6">
        <f>YEAR(U1356)</f>
        <v/>
      </c>
      <c r="T1356" s="6">
        <f>MONTH(U1356)</f>
        <v/>
      </c>
      <c r="U1356" s="267">
        <f>IFERROR(__xludf.DUMMYFUNCTION("""COMPUTED_VALUE"""),45112.6458333333)</f>
        <v/>
      </c>
      <c r="V1356" s="6">
        <f>IFERROR(__xludf.DUMMYFUNCTION("""COMPUTED_VALUE"""),2579)</f>
        <v/>
      </c>
      <c r="Z1356" s="6">
        <f>AA1356&amp;AB1356</f>
        <v/>
      </c>
      <c r="AA1356" s="6">
        <f>YEAR(AC1356)</f>
        <v/>
      </c>
      <c r="AB1356" s="6">
        <f>MONTH(AC1356)</f>
        <v/>
      </c>
      <c r="AC1356" s="267">
        <f>IFERROR(__xludf.DUMMYFUNCTION("""COMPUTED_VALUE"""),44502.9986111111)</f>
        <v/>
      </c>
      <c r="AD1356" s="6">
        <f>IFERROR(__xludf.DUMMYFUNCTION("""COMPUTED_VALUE"""),1178.04)</f>
        <v/>
      </c>
      <c r="AH1356" s="6">
        <f>AI1356&amp;AJ1356</f>
        <v/>
      </c>
      <c r="AI1356" s="6">
        <f>YEAR(AK1356)</f>
        <v/>
      </c>
      <c r="AJ1356" s="6">
        <f>MONTH(AK1356)</f>
        <v/>
      </c>
      <c r="AK1356" s="267">
        <f>IFERROR(__xludf.DUMMYFUNCTION("""COMPUTED_VALUE"""),44449.9986111111)</f>
        <v/>
      </c>
      <c r="AL1356" s="6">
        <f>IFERROR(__xludf.DUMMYFUNCTION("""COMPUTED_VALUE"""),44844.22)</f>
        <v/>
      </c>
      <c r="AP1356" s="6">
        <f>AQ1356&amp;AR1356</f>
        <v/>
      </c>
      <c r="AQ1356" s="6">
        <f>YEAR(AS1356)</f>
        <v/>
      </c>
      <c r="AR1356" s="6">
        <f>MONTH(AS1356)</f>
        <v/>
      </c>
      <c r="AS1356" s="267">
        <f>IFERROR(__xludf.DUMMYFUNCTION("""COMPUTED_VALUE"""),45072.9986111111)</f>
        <v/>
      </c>
      <c r="AT1356" s="6">
        <f>IFERROR(__xludf.DUMMYFUNCTION("""COMPUTED_VALUE"""),1963.1)</f>
        <v/>
      </c>
    </row>
    <row r="1357">
      <c r="B1357" s="6">
        <f>C1357&amp;D1357</f>
        <v/>
      </c>
      <c r="C1357" s="6">
        <f>YEAR(E1357)</f>
        <v/>
      </c>
      <c r="D1357" s="6">
        <f>MONTH(E1357)</f>
        <v/>
      </c>
      <c r="E1357" s="267">
        <f>IFERROR(__xludf.DUMMYFUNCTION("""COMPUTED_VALUE"""),45068.6666666666)</f>
        <v/>
      </c>
      <c r="F1357" s="6">
        <f>IFERROR(__xludf.DUMMYFUNCTION("""COMPUTED_VALUE"""),4192.63)</f>
        <v/>
      </c>
      <c r="J1357" s="6">
        <f>K1357&amp;L1357</f>
        <v/>
      </c>
      <c r="K1357" s="6">
        <f>YEAR(M1357)</f>
        <v/>
      </c>
      <c r="L1357" s="6">
        <f>MONTH(M1357)</f>
        <v/>
      </c>
      <c r="M1357" s="267">
        <f>IFERROR(__xludf.DUMMYFUNCTION("""COMPUTED_VALUE"""),45058.6666666666)</f>
        <v/>
      </c>
      <c r="N1357" s="6">
        <f>IFERROR(__xludf.DUMMYFUNCTION("""COMPUTED_VALUE"""),12284.74)</f>
        <v/>
      </c>
      <c r="R1357" s="6">
        <f>S1357&amp;T1357</f>
        <v/>
      </c>
      <c r="S1357" s="6">
        <f>YEAR(U1357)</f>
        <v/>
      </c>
      <c r="T1357" s="6">
        <f>MONTH(U1357)</f>
        <v/>
      </c>
      <c r="U1357" s="267">
        <f>IFERROR(__xludf.DUMMYFUNCTION("""COMPUTED_VALUE"""),45113.6458333333)</f>
        <v/>
      </c>
      <c r="V1357" s="6">
        <f>IFERROR(__xludf.DUMMYFUNCTION("""COMPUTED_VALUE"""),2556.29)</f>
        <v/>
      </c>
      <c r="Z1357" s="6">
        <f>AA1357&amp;AB1357</f>
        <v/>
      </c>
      <c r="AA1357" s="6">
        <f>YEAR(AC1357)</f>
        <v/>
      </c>
      <c r="AB1357" s="6">
        <f>MONTH(AC1357)</f>
        <v/>
      </c>
      <c r="AC1357" s="267">
        <f>IFERROR(__xludf.DUMMYFUNCTION("""COMPUTED_VALUE"""),44503.9986111111)</f>
        <v/>
      </c>
      <c r="AD1357" s="6">
        <f>IFERROR(__xludf.DUMMYFUNCTION("""COMPUTED_VALUE"""),1179.34)</f>
        <v/>
      </c>
      <c r="AH1357" s="6">
        <f>AI1357&amp;AJ1357</f>
        <v/>
      </c>
      <c r="AI1357" s="6">
        <f>YEAR(AK1357)</f>
        <v/>
      </c>
      <c r="AJ1357" s="6">
        <f>MONTH(AK1357)</f>
        <v/>
      </c>
      <c r="AK1357" s="267">
        <f>IFERROR(__xludf.DUMMYFUNCTION("""COMPUTED_VALUE"""),44450.9986111111)</f>
        <v/>
      </c>
      <c r="AL1357" s="6">
        <f>IFERROR(__xludf.DUMMYFUNCTION("""COMPUTED_VALUE"""),45164.73)</f>
        <v/>
      </c>
      <c r="AP1357" s="6">
        <f>AQ1357&amp;AR1357</f>
        <v/>
      </c>
      <c r="AQ1357" s="6">
        <f>YEAR(AS1357)</f>
        <v/>
      </c>
      <c r="AR1357" s="6">
        <f>MONTH(AS1357)</f>
        <v/>
      </c>
      <c r="AS1357" s="267">
        <f>IFERROR(__xludf.DUMMYFUNCTION("""COMPUTED_VALUE"""),45076.9986111111)</f>
        <v/>
      </c>
      <c r="AT1357" s="6">
        <f>IFERROR(__xludf.DUMMYFUNCTION("""COMPUTED_VALUE"""),1977.1)</f>
        <v/>
      </c>
    </row>
    <row r="1358">
      <c r="B1358" s="6">
        <f>C1358&amp;D1358</f>
        <v/>
      </c>
      <c r="C1358" s="6">
        <f>YEAR(E1358)</f>
        <v/>
      </c>
      <c r="D1358" s="6">
        <f>MONTH(E1358)</f>
        <v/>
      </c>
      <c r="E1358" s="267">
        <f>IFERROR(__xludf.DUMMYFUNCTION("""COMPUTED_VALUE"""),45069.6666666666)</f>
        <v/>
      </c>
      <c r="F1358" s="6">
        <f>IFERROR(__xludf.DUMMYFUNCTION("""COMPUTED_VALUE"""),4145.58)</f>
        <v/>
      </c>
      <c r="J1358" s="6">
        <f>K1358&amp;L1358</f>
        <v/>
      </c>
      <c r="K1358" s="6">
        <f>YEAR(M1358)</f>
        <v/>
      </c>
      <c r="L1358" s="6">
        <f>MONTH(M1358)</f>
        <v/>
      </c>
      <c r="M1358" s="267">
        <f>IFERROR(__xludf.DUMMYFUNCTION("""COMPUTED_VALUE"""),45061.6666666666)</f>
        <v/>
      </c>
      <c r="N1358" s="6">
        <f>IFERROR(__xludf.DUMMYFUNCTION("""COMPUTED_VALUE"""),12365.21)</f>
        <v/>
      </c>
      <c r="R1358" s="6">
        <f>S1358&amp;T1358</f>
        <v/>
      </c>
      <c r="S1358" s="6">
        <f>YEAR(U1358)</f>
        <v/>
      </c>
      <c r="T1358" s="6">
        <f>MONTH(U1358)</f>
        <v/>
      </c>
      <c r="U1358" s="267">
        <f>IFERROR(__xludf.DUMMYFUNCTION("""COMPUTED_VALUE"""),45114.6458333333)</f>
        <v/>
      </c>
      <c r="V1358" s="6">
        <f>IFERROR(__xludf.DUMMYFUNCTION("""COMPUTED_VALUE"""),2526.71)</f>
        <v/>
      </c>
      <c r="Z1358" s="6">
        <f>AA1358&amp;AB1358</f>
        <v/>
      </c>
      <c r="AA1358" s="6">
        <f>YEAR(AC1358)</f>
        <v/>
      </c>
      <c r="AB1358" s="6">
        <f>MONTH(AC1358)</f>
        <v/>
      </c>
      <c r="AC1358" s="267">
        <f>IFERROR(__xludf.DUMMYFUNCTION("""COMPUTED_VALUE"""),44504.9986111111)</f>
        <v/>
      </c>
      <c r="AD1358" s="6">
        <f>IFERROR(__xludf.DUMMYFUNCTION("""COMPUTED_VALUE"""),1185.83)</f>
        <v/>
      </c>
      <c r="AH1358" s="6">
        <f>AI1358&amp;AJ1358</f>
        <v/>
      </c>
      <c r="AI1358" s="6">
        <f>YEAR(AK1358)</f>
        <v/>
      </c>
      <c r="AJ1358" s="6">
        <f>MONTH(AK1358)</f>
        <v/>
      </c>
      <c r="AK1358" s="267">
        <f>IFERROR(__xludf.DUMMYFUNCTION("""COMPUTED_VALUE"""),44451.9986111111)</f>
        <v/>
      </c>
      <c r="AL1358" s="6">
        <f>IFERROR(__xludf.DUMMYFUNCTION("""COMPUTED_VALUE"""),46060.68)</f>
        <v/>
      </c>
      <c r="AP1358" s="6">
        <f>AQ1358&amp;AR1358</f>
        <v/>
      </c>
      <c r="AQ1358" s="6">
        <f>YEAR(AS1358)</f>
        <v/>
      </c>
      <c r="AR1358" s="6">
        <f>MONTH(AS1358)</f>
        <v/>
      </c>
      <c r="AS1358" s="267">
        <f>IFERROR(__xludf.DUMMYFUNCTION("""COMPUTED_VALUE"""),45077.9986111111)</f>
        <v/>
      </c>
      <c r="AT1358" s="6">
        <f>IFERROR(__xludf.DUMMYFUNCTION("""COMPUTED_VALUE"""),1982.1)</f>
        <v/>
      </c>
    </row>
    <row r="1359">
      <c r="B1359" s="6">
        <f>C1359&amp;D1359</f>
        <v/>
      </c>
      <c r="C1359" s="6">
        <f>YEAR(E1359)</f>
        <v/>
      </c>
      <c r="D1359" s="6">
        <f>MONTH(E1359)</f>
        <v/>
      </c>
      <c r="E1359" s="267">
        <f>IFERROR(__xludf.DUMMYFUNCTION("""COMPUTED_VALUE"""),45070.6666666666)</f>
        <v/>
      </c>
      <c r="F1359" s="6">
        <f>IFERROR(__xludf.DUMMYFUNCTION("""COMPUTED_VALUE"""),4115.24)</f>
        <v/>
      </c>
      <c r="J1359" s="6">
        <f>K1359&amp;L1359</f>
        <v/>
      </c>
      <c r="K1359" s="6">
        <f>YEAR(M1359)</f>
        <v/>
      </c>
      <c r="L1359" s="6">
        <f>MONTH(M1359)</f>
        <v/>
      </c>
      <c r="M1359" s="267">
        <f>IFERROR(__xludf.DUMMYFUNCTION("""COMPUTED_VALUE"""),45062.6666666666)</f>
        <v/>
      </c>
      <c r="N1359" s="6">
        <f>IFERROR(__xludf.DUMMYFUNCTION("""COMPUTED_VALUE"""),12343.05)</f>
        <v/>
      </c>
      <c r="R1359" s="6">
        <f>S1359&amp;T1359</f>
        <v/>
      </c>
      <c r="S1359" s="6">
        <f>YEAR(U1359)</f>
        <v/>
      </c>
      <c r="T1359" s="6">
        <f>MONTH(U1359)</f>
        <v/>
      </c>
      <c r="U1359" s="267">
        <f>IFERROR(__xludf.DUMMYFUNCTION("""COMPUTED_VALUE"""),45117.6458333333)</f>
        <v/>
      </c>
      <c r="V1359" s="6">
        <f>IFERROR(__xludf.DUMMYFUNCTION("""COMPUTED_VALUE"""),2520.7)</f>
        <v/>
      </c>
      <c r="Z1359" s="6">
        <f>AA1359&amp;AB1359</f>
        <v/>
      </c>
      <c r="AA1359" s="6">
        <f>YEAR(AC1359)</f>
        <v/>
      </c>
      <c r="AB1359" s="6">
        <f>MONTH(AC1359)</f>
        <v/>
      </c>
      <c r="AC1359" s="267">
        <f>IFERROR(__xludf.DUMMYFUNCTION("""COMPUTED_VALUE"""),44505.9986111111)</f>
        <v/>
      </c>
      <c r="AD1359" s="6">
        <f>IFERROR(__xludf.DUMMYFUNCTION("""COMPUTED_VALUE"""),1180.5)</f>
        <v/>
      </c>
      <c r="AH1359" s="6">
        <f>AI1359&amp;AJ1359</f>
        <v/>
      </c>
      <c r="AI1359" s="6">
        <f>YEAR(AK1359)</f>
        <v/>
      </c>
      <c r="AJ1359" s="6">
        <f>MONTH(AK1359)</f>
        <v/>
      </c>
      <c r="AK1359" s="267">
        <f>IFERROR(__xludf.DUMMYFUNCTION("""COMPUTED_VALUE"""),44452.9986111111)</f>
        <v/>
      </c>
      <c r="AL1359" s="6">
        <f>IFERROR(__xludf.DUMMYFUNCTION("""COMPUTED_VALUE"""),44949.85)</f>
        <v/>
      </c>
      <c r="AP1359" s="6">
        <f>AQ1359&amp;AR1359</f>
        <v/>
      </c>
      <c r="AQ1359" s="6">
        <f>YEAR(AS1359)</f>
        <v/>
      </c>
      <c r="AR1359" s="6">
        <f>MONTH(AS1359)</f>
        <v/>
      </c>
      <c r="AS1359" s="267">
        <f>IFERROR(__xludf.DUMMYFUNCTION("""COMPUTED_VALUE"""),45078.9986111111)</f>
        <v/>
      </c>
      <c r="AT1359" s="6">
        <f>IFERROR(__xludf.DUMMYFUNCTION("""COMPUTED_VALUE"""),1995.5)</f>
        <v/>
      </c>
    </row>
    <row r="1360">
      <c r="B1360" s="6">
        <f>C1360&amp;D1360</f>
        <v/>
      </c>
      <c r="C1360" s="6">
        <f>YEAR(E1360)</f>
        <v/>
      </c>
      <c r="D1360" s="6">
        <f>MONTH(E1360)</f>
        <v/>
      </c>
      <c r="E1360" s="267">
        <f>IFERROR(__xludf.DUMMYFUNCTION("""COMPUTED_VALUE"""),45071.6666666666)</f>
        <v/>
      </c>
      <c r="F1360" s="6">
        <f>IFERROR(__xludf.DUMMYFUNCTION("""COMPUTED_VALUE"""),4151.28)</f>
        <v/>
      </c>
      <c r="J1360" s="6">
        <f>K1360&amp;L1360</f>
        <v/>
      </c>
      <c r="K1360" s="6">
        <f>YEAR(M1360)</f>
        <v/>
      </c>
      <c r="L1360" s="6">
        <f>MONTH(M1360)</f>
        <v/>
      </c>
      <c r="M1360" s="267">
        <f>IFERROR(__xludf.DUMMYFUNCTION("""COMPUTED_VALUE"""),45063.6666666666)</f>
        <v/>
      </c>
      <c r="N1360" s="6">
        <f>IFERROR(__xludf.DUMMYFUNCTION("""COMPUTED_VALUE"""),12500.57)</f>
        <v/>
      </c>
      <c r="R1360" s="6">
        <f>S1360&amp;T1360</f>
        <v/>
      </c>
      <c r="S1360" s="6">
        <f>YEAR(U1360)</f>
        <v/>
      </c>
      <c r="T1360" s="6">
        <f>MONTH(U1360)</f>
        <v/>
      </c>
      <c r="U1360" s="267">
        <f>IFERROR(__xludf.DUMMYFUNCTION("""COMPUTED_VALUE"""),45118.6458333333)</f>
        <v/>
      </c>
      <c r="V1360" s="6">
        <f>IFERROR(__xludf.DUMMYFUNCTION("""COMPUTED_VALUE"""),2562.49)</f>
        <v/>
      </c>
      <c r="Z1360" s="6">
        <f>AA1360&amp;AB1360</f>
        <v/>
      </c>
      <c r="AA1360" s="6">
        <f>YEAR(AC1360)</f>
        <v/>
      </c>
      <c r="AB1360" s="6">
        <f>MONTH(AC1360)</f>
        <v/>
      </c>
      <c r="AC1360" s="267">
        <f>IFERROR(__xludf.DUMMYFUNCTION("""COMPUTED_VALUE"""),44506.9986111111)</f>
        <v/>
      </c>
      <c r="AD1360" s="6">
        <f>IFERROR(__xludf.DUMMYFUNCTION("""COMPUTED_VALUE"""),1180.5)</f>
        <v/>
      </c>
      <c r="AH1360" s="6">
        <f>AI1360&amp;AJ1360</f>
        <v/>
      </c>
      <c r="AI1360" s="6">
        <f>YEAR(AK1360)</f>
        <v/>
      </c>
      <c r="AJ1360" s="6">
        <f>MONTH(AK1360)</f>
        <v/>
      </c>
      <c r="AK1360" s="267">
        <f>IFERROR(__xludf.DUMMYFUNCTION("""COMPUTED_VALUE"""),44453.9986111111)</f>
        <v/>
      </c>
      <c r="AL1360" s="6">
        <f>IFERROR(__xludf.DUMMYFUNCTION("""COMPUTED_VALUE"""),47069.52)</f>
        <v/>
      </c>
      <c r="AP1360" s="6">
        <f>AQ1360&amp;AR1360</f>
        <v/>
      </c>
      <c r="AQ1360" s="6">
        <f>YEAR(AS1360)</f>
        <v/>
      </c>
      <c r="AR1360" s="6">
        <f>MONTH(AS1360)</f>
        <v/>
      </c>
      <c r="AS1360" s="267">
        <f>IFERROR(__xludf.DUMMYFUNCTION("""COMPUTED_VALUE"""),45079.9986111111)</f>
        <v/>
      </c>
      <c r="AT1360" s="6">
        <f>IFERROR(__xludf.DUMMYFUNCTION("""COMPUTED_VALUE"""),1969.6)</f>
        <v/>
      </c>
    </row>
    <row r="1361">
      <c r="B1361" s="6">
        <f>C1361&amp;D1361</f>
        <v/>
      </c>
      <c r="C1361" s="6">
        <f>YEAR(E1361)</f>
        <v/>
      </c>
      <c r="D1361" s="6">
        <f>MONTH(E1361)</f>
        <v/>
      </c>
      <c r="E1361" s="267">
        <f>IFERROR(__xludf.DUMMYFUNCTION("""COMPUTED_VALUE"""),45072.6666666666)</f>
        <v/>
      </c>
      <c r="F1361" s="6">
        <f>IFERROR(__xludf.DUMMYFUNCTION("""COMPUTED_VALUE"""),4205.45)</f>
        <v/>
      </c>
      <c r="J1361" s="6">
        <f>K1361&amp;L1361</f>
        <v/>
      </c>
      <c r="K1361" s="6">
        <f>YEAR(M1361)</f>
        <v/>
      </c>
      <c r="L1361" s="6">
        <f>MONTH(M1361)</f>
        <v/>
      </c>
      <c r="M1361" s="267">
        <f>IFERROR(__xludf.DUMMYFUNCTION("""COMPUTED_VALUE"""),45064.6666666666)</f>
        <v/>
      </c>
      <c r="N1361" s="6">
        <f>IFERROR(__xludf.DUMMYFUNCTION("""COMPUTED_VALUE"""),12688.84)</f>
        <v/>
      </c>
      <c r="R1361" s="6">
        <f>S1361&amp;T1361</f>
        <v/>
      </c>
      <c r="S1361" s="6">
        <f>YEAR(U1361)</f>
        <v/>
      </c>
      <c r="T1361" s="6">
        <f>MONTH(U1361)</f>
        <v/>
      </c>
      <c r="U1361" s="267">
        <f>IFERROR(__xludf.DUMMYFUNCTION("""COMPUTED_VALUE"""),45119.6458333333)</f>
        <v/>
      </c>
      <c r="V1361" s="6">
        <f>IFERROR(__xludf.DUMMYFUNCTION("""COMPUTED_VALUE"""),2574.72)</f>
        <v/>
      </c>
      <c r="Z1361" s="6">
        <f>AA1361&amp;AB1361</f>
        <v/>
      </c>
      <c r="AA1361" s="6">
        <f>YEAR(AC1361)</f>
        <v/>
      </c>
      <c r="AB1361" s="6">
        <f>MONTH(AC1361)</f>
        <v/>
      </c>
      <c r="AC1361" s="267">
        <f>IFERROR(__xludf.DUMMYFUNCTION("""COMPUTED_VALUE"""),44507.9986111111)</f>
        <v/>
      </c>
      <c r="AD1361" s="6">
        <f>IFERROR(__xludf.DUMMYFUNCTION("""COMPUTED_VALUE"""),1180.5)</f>
        <v/>
      </c>
      <c r="AH1361" s="6">
        <f>AI1361&amp;AJ1361</f>
        <v/>
      </c>
      <c r="AI1361" s="6">
        <f>YEAR(AK1361)</f>
        <v/>
      </c>
      <c r="AJ1361" s="6">
        <f>MONTH(AK1361)</f>
        <v/>
      </c>
      <c r="AK1361" s="267">
        <f>IFERROR(__xludf.DUMMYFUNCTION("""COMPUTED_VALUE"""),44454.9986111111)</f>
        <v/>
      </c>
      <c r="AL1361" s="6">
        <f>IFERROR(__xludf.DUMMYFUNCTION("""COMPUTED_VALUE"""),48143.54)</f>
        <v/>
      </c>
      <c r="AP1361" s="6">
        <f>AQ1361&amp;AR1361</f>
        <v/>
      </c>
      <c r="AQ1361" s="6">
        <f>YEAR(AS1361)</f>
        <v/>
      </c>
      <c r="AR1361" s="6">
        <f>MONTH(AS1361)</f>
        <v/>
      </c>
      <c r="AS1361" s="267">
        <f>IFERROR(__xludf.DUMMYFUNCTION("""COMPUTED_VALUE"""),45082.9986111111)</f>
        <v/>
      </c>
      <c r="AT1361" s="6">
        <f>IFERROR(__xludf.DUMMYFUNCTION("""COMPUTED_VALUE"""),1974.3)</f>
        <v/>
      </c>
    </row>
    <row r="1362">
      <c r="B1362" s="6">
        <f>C1362&amp;D1362</f>
        <v/>
      </c>
      <c r="C1362" s="6">
        <f>YEAR(E1362)</f>
        <v/>
      </c>
      <c r="D1362" s="6">
        <f>MONTH(E1362)</f>
        <v/>
      </c>
      <c r="E1362" s="267">
        <f>IFERROR(__xludf.DUMMYFUNCTION("""COMPUTED_VALUE"""),45076.6666666666)</f>
        <v/>
      </c>
      <c r="F1362" s="6">
        <f>IFERROR(__xludf.DUMMYFUNCTION("""COMPUTED_VALUE"""),4205.52)</f>
        <v/>
      </c>
      <c r="J1362" s="6">
        <f>K1362&amp;L1362</f>
        <v/>
      </c>
      <c r="K1362" s="6">
        <f>YEAR(M1362)</f>
        <v/>
      </c>
      <c r="L1362" s="6">
        <f>MONTH(M1362)</f>
        <v/>
      </c>
      <c r="M1362" s="267">
        <f>IFERROR(__xludf.DUMMYFUNCTION("""COMPUTED_VALUE"""),45065.6666666666)</f>
        <v/>
      </c>
      <c r="N1362" s="6">
        <f>IFERROR(__xludf.DUMMYFUNCTION("""COMPUTED_VALUE"""),12657.9)</f>
        <v/>
      </c>
      <c r="R1362" s="6">
        <f>S1362&amp;T1362</f>
        <v/>
      </c>
      <c r="S1362" s="6">
        <f>YEAR(U1362)</f>
        <v/>
      </c>
      <c r="T1362" s="6">
        <f>MONTH(U1362)</f>
        <v/>
      </c>
      <c r="U1362" s="267">
        <f>IFERROR(__xludf.DUMMYFUNCTION("""COMPUTED_VALUE"""),45120.6458333333)</f>
        <v/>
      </c>
      <c r="V1362" s="6">
        <f>IFERROR(__xludf.DUMMYFUNCTION("""COMPUTED_VALUE"""),2591.23)</f>
        <v/>
      </c>
      <c r="Z1362" s="6">
        <f>AA1362&amp;AB1362</f>
        <v/>
      </c>
      <c r="AA1362" s="6">
        <f>YEAR(AC1362)</f>
        <v/>
      </c>
      <c r="AB1362" s="6">
        <f>MONTH(AC1362)</f>
        <v/>
      </c>
      <c r="AC1362" s="267">
        <f>IFERROR(__xludf.DUMMYFUNCTION("""COMPUTED_VALUE"""),44508.9986111111)</f>
        <v/>
      </c>
      <c r="AD1362" s="6">
        <f>IFERROR(__xludf.DUMMYFUNCTION("""COMPUTED_VALUE"""),1199.86)</f>
        <v/>
      </c>
      <c r="AH1362" s="6">
        <f>AI1362&amp;AJ1362</f>
        <v/>
      </c>
      <c r="AI1362" s="6">
        <f>YEAR(AK1362)</f>
        <v/>
      </c>
      <c r="AJ1362" s="6">
        <f>MONTH(AK1362)</f>
        <v/>
      </c>
      <c r="AK1362" s="267">
        <f>IFERROR(__xludf.DUMMYFUNCTION("""COMPUTED_VALUE"""),44455.9986111111)</f>
        <v/>
      </c>
      <c r="AL1362" s="6">
        <f>IFERROR(__xludf.DUMMYFUNCTION("""COMPUTED_VALUE"""),47767.87)</f>
        <v/>
      </c>
      <c r="AP1362" s="6">
        <f>AQ1362&amp;AR1362</f>
        <v/>
      </c>
      <c r="AQ1362" s="6">
        <f>YEAR(AS1362)</f>
        <v/>
      </c>
      <c r="AR1362" s="6">
        <f>MONTH(AS1362)</f>
        <v/>
      </c>
      <c r="AS1362" s="267">
        <f>IFERROR(__xludf.DUMMYFUNCTION("""COMPUTED_VALUE"""),45083.9986111111)</f>
        <v/>
      </c>
      <c r="AT1362" s="6">
        <f>IFERROR(__xludf.DUMMYFUNCTION("""COMPUTED_VALUE"""),1981.5)</f>
        <v/>
      </c>
    </row>
    <row r="1363">
      <c r="B1363" s="6">
        <f>C1363&amp;D1363</f>
        <v/>
      </c>
      <c r="C1363" s="6">
        <f>YEAR(E1363)</f>
        <v/>
      </c>
      <c r="D1363" s="6">
        <f>MONTH(E1363)</f>
        <v/>
      </c>
      <c r="E1363" s="267">
        <f>IFERROR(__xludf.DUMMYFUNCTION("""COMPUTED_VALUE"""),45077.6666666666)</f>
        <v/>
      </c>
      <c r="F1363" s="6">
        <f>IFERROR(__xludf.DUMMYFUNCTION("""COMPUTED_VALUE"""),4179.83)</f>
        <v/>
      </c>
      <c r="J1363" s="6">
        <f>K1363&amp;L1363</f>
        <v/>
      </c>
      <c r="K1363" s="6">
        <f>YEAR(M1363)</f>
        <v/>
      </c>
      <c r="L1363" s="6">
        <f>MONTH(M1363)</f>
        <v/>
      </c>
      <c r="M1363" s="267">
        <f>IFERROR(__xludf.DUMMYFUNCTION("""COMPUTED_VALUE"""),45068.6666666666)</f>
        <v/>
      </c>
      <c r="N1363" s="6">
        <f>IFERROR(__xludf.DUMMYFUNCTION("""COMPUTED_VALUE"""),12720.78)</f>
        <v/>
      </c>
      <c r="R1363" s="6">
        <f>S1363&amp;T1363</f>
        <v/>
      </c>
      <c r="S1363" s="6">
        <f>YEAR(U1363)</f>
        <v/>
      </c>
      <c r="T1363" s="6">
        <f>MONTH(U1363)</f>
        <v/>
      </c>
      <c r="U1363" s="267">
        <f>IFERROR(__xludf.DUMMYFUNCTION("""COMPUTED_VALUE"""),45121.6458333333)</f>
        <v/>
      </c>
      <c r="V1363" s="6">
        <f>IFERROR(__xludf.DUMMYFUNCTION("""COMPUTED_VALUE"""),2628.3)</f>
        <v/>
      </c>
      <c r="Z1363" s="6">
        <f>AA1363&amp;AB1363</f>
        <v/>
      </c>
      <c r="AA1363" s="6">
        <f>YEAR(AC1363)</f>
        <v/>
      </c>
      <c r="AB1363" s="6">
        <f>MONTH(AC1363)</f>
        <v/>
      </c>
      <c r="AC1363" s="267">
        <f>IFERROR(__xludf.DUMMYFUNCTION("""COMPUTED_VALUE"""),44509.9986111111)</f>
        <v/>
      </c>
      <c r="AD1363" s="6">
        <f>IFERROR(__xludf.DUMMYFUNCTION("""COMPUTED_VALUE"""),1177.5)</f>
        <v/>
      </c>
      <c r="AH1363" s="6">
        <f>AI1363&amp;AJ1363</f>
        <v/>
      </c>
      <c r="AI1363" s="6">
        <f>YEAR(AK1363)</f>
        <v/>
      </c>
      <c r="AJ1363" s="6">
        <f>MONTH(AK1363)</f>
        <v/>
      </c>
      <c r="AK1363" s="267">
        <f>IFERROR(__xludf.DUMMYFUNCTION("""COMPUTED_VALUE"""),44456.9986111111)</f>
        <v/>
      </c>
      <c r="AL1363" s="6">
        <f>IFERROR(__xludf.DUMMYFUNCTION("""COMPUTED_VALUE"""),47282.57)</f>
        <v/>
      </c>
      <c r="AP1363" s="6">
        <f>AQ1363&amp;AR1363</f>
        <v/>
      </c>
      <c r="AQ1363" s="6">
        <f>YEAR(AS1363)</f>
        <v/>
      </c>
      <c r="AR1363" s="6">
        <f>MONTH(AS1363)</f>
        <v/>
      </c>
      <c r="AS1363" s="267">
        <f>IFERROR(__xludf.DUMMYFUNCTION("""COMPUTED_VALUE"""),45084.9986111111)</f>
        <v/>
      </c>
      <c r="AT1363" s="6">
        <f>IFERROR(__xludf.DUMMYFUNCTION("""COMPUTED_VALUE"""),1958.4)</f>
        <v/>
      </c>
    </row>
    <row r="1364">
      <c r="B1364" s="6">
        <f>C1364&amp;D1364</f>
        <v/>
      </c>
      <c r="C1364" s="6">
        <f>YEAR(E1364)</f>
        <v/>
      </c>
      <c r="D1364" s="6">
        <f>MONTH(E1364)</f>
        <v/>
      </c>
      <c r="E1364" s="267">
        <f>IFERROR(__xludf.DUMMYFUNCTION("""COMPUTED_VALUE"""),45078.6666666666)</f>
        <v/>
      </c>
      <c r="F1364" s="6">
        <f>IFERROR(__xludf.DUMMYFUNCTION("""COMPUTED_VALUE"""),4221.02)</f>
        <v/>
      </c>
      <c r="J1364" s="6">
        <f>K1364&amp;L1364</f>
        <v/>
      </c>
      <c r="K1364" s="6">
        <f>YEAR(M1364)</f>
        <v/>
      </c>
      <c r="L1364" s="6">
        <f>MONTH(M1364)</f>
        <v/>
      </c>
      <c r="M1364" s="267">
        <f>IFERROR(__xludf.DUMMYFUNCTION("""COMPUTED_VALUE"""),45069.6666666666)</f>
        <v/>
      </c>
      <c r="N1364" s="6">
        <f>IFERROR(__xludf.DUMMYFUNCTION("""COMPUTED_VALUE"""),12560.25)</f>
        <v/>
      </c>
      <c r="R1364" s="6">
        <f>S1364&amp;T1364</f>
        <v/>
      </c>
      <c r="S1364" s="6">
        <f>YEAR(U1364)</f>
        <v/>
      </c>
      <c r="T1364" s="6">
        <f>MONTH(U1364)</f>
        <v/>
      </c>
      <c r="U1364" s="267">
        <f>IFERROR(__xludf.DUMMYFUNCTION("""COMPUTED_VALUE"""),45124.6458333333)</f>
        <v/>
      </c>
      <c r="V1364" s="6">
        <f>IFERROR(__xludf.DUMMYFUNCTION("""COMPUTED_VALUE"""),2619)</f>
        <v/>
      </c>
      <c r="Z1364" s="6">
        <f>AA1364&amp;AB1364</f>
        <v/>
      </c>
      <c r="AA1364" s="6">
        <f>YEAR(AC1364)</f>
        <v/>
      </c>
      <c r="AB1364" s="6">
        <f>MONTH(AC1364)</f>
        <v/>
      </c>
      <c r="AC1364" s="267">
        <f>IFERROR(__xludf.DUMMYFUNCTION("""COMPUTED_VALUE"""),44510.9986111111)</f>
        <v/>
      </c>
      <c r="AD1364" s="6">
        <f>IFERROR(__xludf.DUMMYFUNCTION("""COMPUTED_VALUE"""),1184.14)</f>
        <v/>
      </c>
      <c r="AH1364" s="6">
        <f>AI1364&amp;AJ1364</f>
        <v/>
      </c>
      <c r="AI1364" s="6">
        <f>YEAR(AK1364)</f>
        <v/>
      </c>
      <c r="AJ1364" s="6">
        <f>MONTH(AK1364)</f>
        <v/>
      </c>
      <c r="AK1364" s="267">
        <f>IFERROR(__xludf.DUMMYFUNCTION("""COMPUTED_VALUE"""),44457.9986111111)</f>
        <v/>
      </c>
      <c r="AL1364" s="6">
        <f>IFERROR(__xludf.DUMMYFUNCTION("""COMPUTED_VALUE"""),48306.64)</f>
        <v/>
      </c>
      <c r="AP1364" s="6">
        <f>AQ1364&amp;AR1364</f>
        <v/>
      </c>
      <c r="AQ1364" s="6">
        <f>YEAR(AS1364)</f>
        <v/>
      </c>
      <c r="AR1364" s="6">
        <f>MONTH(AS1364)</f>
        <v/>
      </c>
      <c r="AS1364" s="267">
        <f>IFERROR(__xludf.DUMMYFUNCTION("""COMPUTED_VALUE"""),45085.9986111111)</f>
        <v/>
      </c>
      <c r="AT1364" s="6">
        <f>IFERROR(__xludf.DUMMYFUNCTION("""COMPUTED_VALUE"""),1978.6)</f>
        <v/>
      </c>
    </row>
    <row r="1365">
      <c r="B1365" s="6">
        <f>C1365&amp;D1365</f>
        <v/>
      </c>
      <c r="C1365" s="6">
        <f>YEAR(E1365)</f>
        <v/>
      </c>
      <c r="D1365" s="6">
        <f>MONTH(E1365)</f>
        <v/>
      </c>
      <c r="E1365" s="267">
        <f>IFERROR(__xludf.DUMMYFUNCTION("""COMPUTED_VALUE"""),45079.6666666666)</f>
        <v/>
      </c>
      <c r="F1365" s="6">
        <f>IFERROR(__xludf.DUMMYFUNCTION("""COMPUTED_VALUE"""),4282.37)</f>
        <v/>
      </c>
      <c r="J1365" s="6">
        <f>K1365&amp;L1365</f>
        <v/>
      </c>
      <c r="K1365" s="6">
        <f>YEAR(M1365)</f>
        <v/>
      </c>
      <c r="L1365" s="6">
        <f>MONTH(M1365)</f>
        <v/>
      </c>
      <c r="M1365" s="267">
        <f>IFERROR(__xludf.DUMMYFUNCTION("""COMPUTED_VALUE"""),45070.6666666666)</f>
        <v/>
      </c>
      <c r="N1365" s="6">
        <f>IFERROR(__xludf.DUMMYFUNCTION("""COMPUTED_VALUE"""),12484.16)</f>
        <v/>
      </c>
      <c r="R1365" s="6">
        <f>S1365&amp;T1365</f>
        <v/>
      </c>
      <c r="S1365" s="6">
        <f>YEAR(U1365)</f>
        <v/>
      </c>
      <c r="T1365" s="6">
        <f>MONTH(U1365)</f>
        <v/>
      </c>
      <c r="U1365" s="267">
        <f>IFERROR(__xludf.DUMMYFUNCTION("""COMPUTED_VALUE"""),45125.6458333333)</f>
        <v/>
      </c>
      <c r="V1365" s="6">
        <f>IFERROR(__xludf.DUMMYFUNCTION("""COMPUTED_VALUE"""),2607.62)</f>
        <v/>
      </c>
      <c r="Z1365" s="6">
        <f>AA1365&amp;AB1365</f>
        <v/>
      </c>
      <c r="AA1365" s="6">
        <f>YEAR(AC1365)</f>
        <v/>
      </c>
      <c r="AB1365" s="6">
        <f>MONTH(AC1365)</f>
        <v/>
      </c>
      <c r="AC1365" s="267">
        <f>IFERROR(__xludf.DUMMYFUNCTION("""COMPUTED_VALUE"""),44511.9986111111)</f>
        <v/>
      </c>
      <c r="AD1365" s="6">
        <f>IFERROR(__xludf.DUMMYFUNCTION("""COMPUTED_VALUE"""),1183.11)</f>
        <v/>
      </c>
      <c r="AH1365" s="6">
        <f>AI1365&amp;AJ1365</f>
        <v/>
      </c>
      <c r="AI1365" s="6">
        <f>YEAR(AK1365)</f>
        <v/>
      </c>
      <c r="AJ1365" s="6">
        <f>MONTH(AK1365)</f>
        <v/>
      </c>
      <c r="AK1365" s="267">
        <f>IFERROR(__xludf.DUMMYFUNCTION("""COMPUTED_VALUE"""),44458.9986111111)</f>
        <v/>
      </c>
      <c r="AL1365" s="6">
        <f>IFERROR(__xludf.DUMMYFUNCTION("""COMPUTED_VALUE"""),47246.58)</f>
        <v/>
      </c>
      <c r="AP1365" s="6">
        <f>AQ1365&amp;AR1365</f>
        <v/>
      </c>
      <c r="AQ1365" s="6">
        <f>YEAR(AS1365)</f>
        <v/>
      </c>
      <c r="AR1365" s="6">
        <f>MONTH(AS1365)</f>
        <v/>
      </c>
      <c r="AS1365" s="267">
        <f>IFERROR(__xludf.DUMMYFUNCTION("""COMPUTED_VALUE"""),45086.9986111111)</f>
        <v/>
      </c>
      <c r="AT1365" s="6">
        <f>IFERROR(__xludf.DUMMYFUNCTION("""COMPUTED_VALUE"""),1977.2)</f>
        <v/>
      </c>
    </row>
    <row r="1366">
      <c r="B1366" s="6">
        <f>C1366&amp;D1366</f>
        <v/>
      </c>
      <c r="C1366" s="6">
        <f>YEAR(E1366)</f>
        <v/>
      </c>
      <c r="D1366" s="6">
        <f>MONTH(E1366)</f>
        <v/>
      </c>
      <c r="E1366" s="267">
        <f>IFERROR(__xludf.DUMMYFUNCTION("""COMPUTED_VALUE"""),45082.6666666666)</f>
        <v/>
      </c>
      <c r="F1366" s="6">
        <f>IFERROR(__xludf.DUMMYFUNCTION("""COMPUTED_VALUE"""),4273.79)</f>
        <v/>
      </c>
      <c r="J1366" s="6">
        <f>K1366&amp;L1366</f>
        <v/>
      </c>
      <c r="K1366" s="6">
        <f>YEAR(M1366)</f>
        <v/>
      </c>
      <c r="L1366" s="6">
        <f>MONTH(M1366)</f>
        <v/>
      </c>
      <c r="M1366" s="267">
        <f>IFERROR(__xludf.DUMMYFUNCTION("""COMPUTED_VALUE"""),45071.6666666666)</f>
        <v/>
      </c>
      <c r="N1366" s="6">
        <f>IFERROR(__xludf.DUMMYFUNCTION("""COMPUTED_VALUE"""),12698.09)</f>
        <v/>
      </c>
      <c r="R1366" s="6">
        <f>S1366&amp;T1366</f>
        <v/>
      </c>
      <c r="S1366" s="6">
        <f>YEAR(U1366)</f>
        <v/>
      </c>
      <c r="T1366" s="6">
        <f>MONTH(U1366)</f>
        <v/>
      </c>
      <c r="U1366" s="267">
        <f>IFERROR(__xludf.DUMMYFUNCTION("""COMPUTED_VALUE"""),45126.6458333333)</f>
        <v/>
      </c>
      <c r="V1366" s="6">
        <f>IFERROR(__xludf.DUMMYFUNCTION("""COMPUTED_VALUE"""),2608.24)</f>
        <v/>
      </c>
      <c r="Z1366" s="6">
        <f>AA1366&amp;AB1366</f>
        <v/>
      </c>
      <c r="AA1366" s="6">
        <f>YEAR(AC1366)</f>
        <v/>
      </c>
      <c r="AB1366" s="6">
        <f>MONTH(AC1366)</f>
        <v/>
      </c>
      <c r="AC1366" s="267">
        <f>IFERROR(__xludf.DUMMYFUNCTION("""COMPUTED_VALUE"""),44512.9986111111)</f>
        <v/>
      </c>
      <c r="AD1366" s="6">
        <f>IFERROR(__xludf.DUMMYFUNCTION("""COMPUTED_VALUE"""),1179.11)</f>
        <v/>
      </c>
      <c r="AH1366" s="6">
        <f>AI1366&amp;AJ1366</f>
        <v/>
      </c>
      <c r="AI1366" s="6">
        <f>YEAR(AK1366)</f>
        <v/>
      </c>
      <c r="AJ1366" s="6">
        <f>MONTH(AK1366)</f>
        <v/>
      </c>
      <c r="AK1366" s="267">
        <f>IFERROR(__xludf.DUMMYFUNCTION("""COMPUTED_VALUE"""),44459.9986111111)</f>
        <v/>
      </c>
      <c r="AL1366" s="6">
        <f>IFERROR(__xludf.DUMMYFUNCTION("""COMPUTED_VALUE"""),42945.56)</f>
        <v/>
      </c>
      <c r="AP1366" s="6">
        <f>AQ1366&amp;AR1366</f>
        <v/>
      </c>
      <c r="AQ1366" s="6">
        <f>YEAR(AS1366)</f>
        <v/>
      </c>
      <c r="AR1366" s="6">
        <f>MONTH(AS1366)</f>
        <v/>
      </c>
      <c r="AS1366" s="267">
        <f>IFERROR(__xludf.DUMMYFUNCTION("""COMPUTED_VALUE"""),45089.9986111111)</f>
        <v/>
      </c>
      <c r="AT1366" s="6">
        <f>IFERROR(__xludf.DUMMYFUNCTION("""COMPUTED_VALUE"""),1969.7)</f>
        <v/>
      </c>
    </row>
    <row r="1367">
      <c r="B1367" s="6">
        <f>C1367&amp;D1367</f>
        <v/>
      </c>
      <c r="C1367" s="6">
        <f>YEAR(E1367)</f>
        <v/>
      </c>
      <c r="D1367" s="6">
        <f>MONTH(E1367)</f>
        <v/>
      </c>
      <c r="E1367" s="267">
        <f>IFERROR(__xludf.DUMMYFUNCTION("""COMPUTED_VALUE"""),45083.6666666666)</f>
        <v/>
      </c>
      <c r="F1367" s="6">
        <f>IFERROR(__xludf.DUMMYFUNCTION("""COMPUTED_VALUE"""),4283.85)</f>
        <v/>
      </c>
      <c r="J1367" s="6">
        <f>K1367&amp;L1367</f>
        <v/>
      </c>
      <c r="K1367" s="6">
        <f>YEAR(M1367)</f>
        <v/>
      </c>
      <c r="L1367" s="6">
        <f>MONTH(M1367)</f>
        <v/>
      </c>
      <c r="M1367" s="267">
        <f>IFERROR(__xludf.DUMMYFUNCTION("""COMPUTED_VALUE"""),45072.6666666666)</f>
        <v/>
      </c>
      <c r="N1367" s="6">
        <f>IFERROR(__xludf.DUMMYFUNCTION("""COMPUTED_VALUE"""),12975.69)</f>
        <v/>
      </c>
      <c r="R1367" s="6">
        <f>S1367&amp;T1367</f>
        <v/>
      </c>
      <c r="S1367" s="6">
        <f>YEAR(U1367)</f>
        <v/>
      </c>
      <c r="T1367" s="6">
        <f>MONTH(U1367)</f>
        <v/>
      </c>
      <c r="U1367" s="267">
        <f>IFERROR(__xludf.DUMMYFUNCTION("""COMPUTED_VALUE"""),45127.6458333333)</f>
        <v/>
      </c>
      <c r="V1367" s="6">
        <f>IFERROR(__xludf.DUMMYFUNCTION("""COMPUTED_VALUE"""),2600.23)</f>
        <v/>
      </c>
      <c r="Z1367" s="6">
        <f>AA1367&amp;AB1367</f>
        <v/>
      </c>
      <c r="AA1367" s="6">
        <f>YEAR(AC1367)</f>
        <v/>
      </c>
      <c r="AB1367" s="6">
        <f>MONTH(AC1367)</f>
        <v/>
      </c>
      <c r="AC1367" s="267">
        <f>IFERROR(__xludf.DUMMYFUNCTION("""COMPUTED_VALUE"""),44513.9986111111)</f>
        <v/>
      </c>
      <c r="AD1367" s="6">
        <f>IFERROR(__xludf.DUMMYFUNCTION("""COMPUTED_VALUE"""),1179.11)</f>
        <v/>
      </c>
      <c r="AH1367" s="6">
        <f>AI1367&amp;AJ1367</f>
        <v/>
      </c>
      <c r="AI1367" s="6">
        <f>YEAR(AK1367)</f>
        <v/>
      </c>
      <c r="AJ1367" s="6">
        <f>MONTH(AK1367)</f>
        <v/>
      </c>
      <c r="AK1367" s="267">
        <f>IFERROR(__xludf.DUMMYFUNCTION("""COMPUTED_VALUE"""),44460.9986111111)</f>
        <v/>
      </c>
      <c r="AL1367" s="6">
        <f>IFERROR(__xludf.DUMMYFUNCTION("""COMPUTED_VALUE"""),40585.24)</f>
        <v/>
      </c>
      <c r="AP1367" s="6">
        <f>AQ1367&amp;AR1367</f>
        <v/>
      </c>
      <c r="AQ1367" s="6">
        <f>YEAR(AS1367)</f>
        <v/>
      </c>
      <c r="AR1367" s="6">
        <f>MONTH(AS1367)</f>
        <v/>
      </c>
      <c r="AS1367" s="267">
        <f>IFERROR(__xludf.DUMMYFUNCTION("""COMPUTED_VALUE"""),45090.9986111111)</f>
        <v/>
      </c>
      <c r="AT1367" s="6">
        <f>IFERROR(__xludf.DUMMYFUNCTION("""COMPUTED_VALUE"""),1958.6)</f>
        <v/>
      </c>
    </row>
    <row r="1368">
      <c r="B1368" s="6">
        <f>C1368&amp;D1368</f>
        <v/>
      </c>
      <c r="C1368" s="6">
        <f>YEAR(E1368)</f>
        <v/>
      </c>
      <c r="D1368" s="6">
        <f>MONTH(E1368)</f>
        <v/>
      </c>
      <c r="E1368" s="267">
        <f>IFERROR(__xludf.DUMMYFUNCTION("""COMPUTED_VALUE"""),45084.6666666666)</f>
        <v/>
      </c>
      <c r="F1368" s="6">
        <f>IFERROR(__xludf.DUMMYFUNCTION("""COMPUTED_VALUE"""),4267.52)</f>
        <v/>
      </c>
      <c r="J1368" s="6">
        <f>K1368&amp;L1368</f>
        <v/>
      </c>
      <c r="K1368" s="6">
        <f>YEAR(M1368)</f>
        <v/>
      </c>
      <c r="L1368" s="6">
        <f>MONTH(M1368)</f>
        <v/>
      </c>
      <c r="M1368" s="267">
        <f>IFERROR(__xludf.DUMMYFUNCTION("""COMPUTED_VALUE"""),45076.6666666666)</f>
        <v/>
      </c>
      <c r="N1368" s="6">
        <f>IFERROR(__xludf.DUMMYFUNCTION("""COMPUTED_VALUE"""),13017.43)</f>
        <v/>
      </c>
      <c r="R1368" s="6">
        <f>S1368&amp;T1368</f>
        <v/>
      </c>
      <c r="S1368" s="6">
        <f>YEAR(U1368)</f>
        <v/>
      </c>
      <c r="T1368" s="6">
        <f>MONTH(U1368)</f>
        <v/>
      </c>
      <c r="U1368" s="267">
        <f>IFERROR(__xludf.DUMMYFUNCTION("""COMPUTED_VALUE"""),45128.6458333333)</f>
        <v/>
      </c>
      <c r="V1368" s="6">
        <f>IFERROR(__xludf.DUMMYFUNCTION("""COMPUTED_VALUE"""),2609.76)</f>
        <v/>
      </c>
      <c r="Z1368" s="6">
        <f>AA1368&amp;AB1368</f>
        <v/>
      </c>
      <c r="AA1368" s="6">
        <f>YEAR(AC1368)</f>
        <v/>
      </c>
      <c r="AB1368" s="6">
        <f>MONTH(AC1368)</f>
        <v/>
      </c>
      <c r="AC1368" s="267">
        <f>IFERROR(__xludf.DUMMYFUNCTION("""COMPUTED_VALUE"""),44514.9986111111)</f>
        <v/>
      </c>
      <c r="AD1368" s="6">
        <f>IFERROR(__xludf.DUMMYFUNCTION("""COMPUTED_VALUE"""),1179.11)</f>
        <v/>
      </c>
      <c r="AH1368" s="6">
        <f>AI1368&amp;AJ1368</f>
        <v/>
      </c>
      <c r="AI1368" s="6">
        <f>YEAR(AK1368)</f>
        <v/>
      </c>
      <c r="AJ1368" s="6">
        <f>MONTH(AK1368)</f>
        <v/>
      </c>
      <c r="AK1368" s="267">
        <f>IFERROR(__xludf.DUMMYFUNCTION("""COMPUTED_VALUE"""),44461.9986111111)</f>
        <v/>
      </c>
      <c r="AL1368" s="6">
        <f>IFERROR(__xludf.DUMMYFUNCTION("""COMPUTED_VALUE"""),43583.85)</f>
        <v/>
      </c>
      <c r="AP1368" s="6">
        <f>AQ1368&amp;AR1368</f>
        <v/>
      </c>
      <c r="AQ1368" s="6">
        <f>YEAR(AS1368)</f>
        <v/>
      </c>
      <c r="AR1368" s="6">
        <f>MONTH(AS1368)</f>
        <v/>
      </c>
      <c r="AS1368" s="267">
        <f>IFERROR(__xludf.DUMMYFUNCTION("""COMPUTED_VALUE"""),45091.9986111111)</f>
        <v/>
      </c>
      <c r="AT1368" s="6">
        <f>IFERROR(__xludf.DUMMYFUNCTION("""COMPUTED_VALUE"""),1968.9)</f>
        <v/>
      </c>
    </row>
    <row r="1369">
      <c r="B1369" s="6">
        <f>C1369&amp;D1369</f>
        <v/>
      </c>
      <c r="C1369" s="6">
        <f>YEAR(E1369)</f>
        <v/>
      </c>
      <c r="D1369" s="6">
        <f>MONTH(E1369)</f>
        <v/>
      </c>
      <c r="E1369" s="267">
        <f>IFERROR(__xludf.DUMMYFUNCTION("""COMPUTED_VALUE"""),45085.6666666666)</f>
        <v/>
      </c>
      <c r="F1369" s="6">
        <f>IFERROR(__xludf.DUMMYFUNCTION("""COMPUTED_VALUE"""),4293.93)</f>
        <v/>
      </c>
      <c r="J1369" s="6">
        <f>K1369&amp;L1369</f>
        <v/>
      </c>
      <c r="K1369" s="6">
        <f>YEAR(M1369)</f>
        <v/>
      </c>
      <c r="L1369" s="6">
        <f>MONTH(M1369)</f>
        <v/>
      </c>
      <c r="M1369" s="267">
        <f>IFERROR(__xludf.DUMMYFUNCTION("""COMPUTED_VALUE"""),45077.6666666666)</f>
        <v/>
      </c>
      <c r="N1369" s="6">
        <f>IFERROR(__xludf.DUMMYFUNCTION("""COMPUTED_VALUE"""),12935.29)</f>
        <v/>
      </c>
      <c r="R1369" s="6">
        <f>S1369&amp;T1369</f>
        <v/>
      </c>
      <c r="S1369" s="6">
        <f>YEAR(U1369)</f>
        <v/>
      </c>
      <c r="T1369" s="6">
        <f>MONTH(U1369)</f>
        <v/>
      </c>
      <c r="U1369" s="267">
        <f>IFERROR(__xludf.DUMMYFUNCTION("""COMPUTED_VALUE"""),45131.6458333333)</f>
        <v/>
      </c>
      <c r="V1369" s="6">
        <f>IFERROR(__xludf.DUMMYFUNCTION("""COMPUTED_VALUE"""),2628.53)</f>
        <v/>
      </c>
      <c r="Z1369" s="6">
        <f>AA1369&amp;AB1369</f>
        <v/>
      </c>
      <c r="AA1369" s="6">
        <f>YEAR(AC1369)</f>
        <v/>
      </c>
      <c r="AB1369" s="6">
        <f>MONTH(AC1369)</f>
        <v/>
      </c>
      <c r="AC1369" s="267">
        <f>IFERROR(__xludf.DUMMYFUNCTION("""COMPUTED_VALUE"""),44515.9986111111)</f>
        <v/>
      </c>
      <c r="AD1369" s="6">
        <f>IFERROR(__xludf.DUMMYFUNCTION("""COMPUTED_VALUE"""),1183.51)</f>
        <v/>
      </c>
      <c r="AH1369" s="6">
        <f>AI1369&amp;AJ1369</f>
        <v/>
      </c>
      <c r="AI1369" s="6">
        <f>YEAR(AK1369)</f>
        <v/>
      </c>
      <c r="AJ1369" s="6">
        <f>MONTH(AK1369)</f>
        <v/>
      </c>
      <c r="AK1369" s="267">
        <f>IFERROR(__xludf.DUMMYFUNCTION("""COMPUTED_VALUE"""),44462.9986111111)</f>
        <v/>
      </c>
      <c r="AL1369" s="6">
        <f>IFERROR(__xludf.DUMMYFUNCTION("""COMPUTED_VALUE"""),44888.98)</f>
        <v/>
      </c>
      <c r="AP1369" s="6">
        <f>AQ1369&amp;AR1369</f>
        <v/>
      </c>
      <c r="AQ1369" s="6">
        <f>YEAR(AS1369)</f>
        <v/>
      </c>
      <c r="AR1369" s="6">
        <f>MONTH(AS1369)</f>
        <v/>
      </c>
      <c r="AS1369" s="267">
        <f>IFERROR(__xludf.DUMMYFUNCTION("""COMPUTED_VALUE"""),45092.9986111111)</f>
        <v/>
      </c>
      <c r="AT1369" s="6">
        <f>IFERROR(__xludf.DUMMYFUNCTION("""COMPUTED_VALUE"""),1970.7)</f>
        <v/>
      </c>
    </row>
    <row r="1370">
      <c r="B1370" s="6">
        <f>C1370&amp;D1370</f>
        <v/>
      </c>
      <c r="C1370" s="6">
        <f>YEAR(E1370)</f>
        <v/>
      </c>
      <c r="D1370" s="6">
        <f>MONTH(E1370)</f>
        <v/>
      </c>
      <c r="E1370" s="267">
        <f>IFERROR(__xludf.DUMMYFUNCTION("""COMPUTED_VALUE"""),45086.6666666666)</f>
        <v/>
      </c>
      <c r="F1370" s="6">
        <f>IFERROR(__xludf.DUMMYFUNCTION("""COMPUTED_VALUE"""),4298.86)</f>
        <v/>
      </c>
      <c r="J1370" s="6">
        <f>K1370&amp;L1370</f>
        <v/>
      </c>
      <c r="K1370" s="6">
        <f>YEAR(M1370)</f>
        <v/>
      </c>
      <c r="L1370" s="6">
        <f>MONTH(M1370)</f>
        <v/>
      </c>
      <c r="M1370" s="267">
        <f>IFERROR(__xludf.DUMMYFUNCTION("""COMPUTED_VALUE"""),45078.6666666666)</f>
        <v/>
      </c>
      <c r="N1370" s="6">
        <f>IFERROR(__xludf.DUMMYFUNCTION("""COMPUTED_VALUE"""),13100.98)</f>
        <v/>
      </c>
      <c r="R1370" s="6">
        <f>S1370&amp;T1370</f>
        <v/>
      </c>
      <c r="S1370" s="6">
        <f>YEAR(U1370)</f>
        <v/>
      </c>
      <c r="T1370" s="6">
        <f>MONTH(U1370)</f>
        <v/>
      </c>
      <c r="U1370" s="267">
        <f>IFERROR(__xludf.DUMMYFUNCTION("""COMPUTED_VALUE"""),45132.6458333333)</f>
        <v/>
      </c>
      <c r="V1370" s="6">
        <f>IFERROR(__xludf.DUMMYFUNCTION("""COMPUTED_VALUE"""),2636.46)</f>
        <v/>
      </c>
      <c r="Z1370" s="6">
        <f>AA1370&amp;AB1370</f>
        <v/>
      </c>
      <c r="AA1370" s="6">
        <f>YEAR(AC1370)</f>
        <v/>
      </c>
      <c r="AB1370" s="6">
        <f>MONTH(AC1370)</f>
        <v/>
      </c>
      <c r="AC1370" s="267">
        <f>IFERROR(__xludf.DUMMYFUNCTION("""COMPUTED_VALUE"""),44516.9986111111)</f>
        <v/>
      </c>
      <c r="AD1370" s="6">
        <f>IFERROR(__xludf.DUMMYFUNCTION("""COMPUTED_VALUE"""),1184.05)</f>
        <v/>
      </c>
      <c r="AH1370" s="6">
        <f>AI1370&amp;AJ1370</f>
        <v/>
      </c>
      <c r="AI1370" s="6">
        <f>YEAR(AK1370)</f>
        <v/>
      </c>
      <c r="AJ1370" s="6">
        <f>MONTH(AK1370)</f>
        <v/>
      </c>
      <c r="AK1370" s="267">
        <f>IFERROR(__xludf.DUMMYFUNCTION("""COMPUTED_VALUE"""),44463.9986111111)</f>
        <v/>
      </c>
      <c r="AL1370" s="6">
        <f>IFERROR(__xludf.DUMMYFUNCTION("""COMPUTED_VALUE"""),42836.94)</f>
        <v/>
      </c>
      <c r="AP1370" s="6">
        <f>AQ1370&amp;AR1370</f>
        <v/>
      </c>
      <c r="AQ1370" s="6">
        <f>YEAR(AS1370)</f>
        <v/>
      </c>
      <c r="AR1370" s="6">
        <f>MONTH(AS1370)</f>
        <v/>
      </c>
      <c r="AS1370" s="267">
        <f>IFERROR(__xludf.DUMMYFUNCTION("""COMPUTED_VALUE"""),45093.9986111111)</f>
        <v/>
      </c>
      <c r="AT1370" s="6">
        <f>IFERROR(__xludf.DUMMYFUNCTION("""COMPUTED_VALUE"""),1971.2)</f>
        <v/>
      </c>
    </row>
    <row r="1371">
      <c r="B1371" s="6">
        <f>C1371&amp;D1371</f>
        <v/>
      </c>
      <c r="C1371" s="6">
        <f>YEAR(E1371)</f>
        <v/>
      </c>
      <c r="D1371" s="6">
        <f>MONTH(E1371)</f>
        <v/>
      </c>
      <c r="E1371" s="267">
        <f>IFERROR(__xludf.DUMMYFUNCTION("""COMPUTED_VALUE"""),45089.6666666666)</f>
        <v/>
      </c>
      <c r="F1371" s="6">
        <f>IFERROR(__xludf.DUMMYFUNCTION("""COMPUTED_VALUE"""),4338.93)</f>
        <v/>
      </c>
      <c r="J1371" s="6">
        <f>K1371&amp;L1371</f>
        <v/>
      </c>
      <c r="K1371" s="6">
        <f>YEAR(M1371)</f>
        <v/>
      </c>
      <c r="L1371" s="6">
        <f>MONTH(M1371)</f>
        <v/>
      </c>
      <c r="M1371" s="267">
        <f>IFERROR(__xludf.DUMMYFUNCTION("""COMPUTED_VALUE"""),45079.6666666666)</f>
        <v/>
      </c>
      <c r="N1371" s="6">
        <f>IFERROR(__xludf.DUMMYFUNCTION("""COMPUTED_VALUE"""),13240.77)</f>
        <v/>
      </c>
      <c r="R1371" s="6">
        <f>S1371&amp;T1371</f>
        <v/>
      </c>
      <c r="S1371" s="6">
        <f>YEAR(U1371)</f>
        <v/>
      </c>
      <c r="T1371" s="6">
        <f>MONTH(U1371)</f>
        <v/>
      </c>
      <c r="U1371" s="267">
        <f>IFERROR(__xludf.DUMMYFUNCTION("""COMPUTED_VALUE"""),45133.6458333333)</f>
        <v/>
      </c>
      <c r="V1371" s="6">
        <f>IFERROR(__xludf.DUMMYFUNCTION("""COMPUTED_VALUE"""),2592.36)</f>
        <v/>
      </c>
      <c r="Z1371" s="6">
        <f>AA1371&amp;AB1371</f>
        <v/>
      </c>
      <c r="AA1371" s="6">
        <f>YEAR(AC1371)</f>
        <v/>
      </c>
      <c r="AB1371" s="6">
        <f>MONTH(AC1371)</f>
        <v/>
      </c>
      <c r="AC1371" s="267">
        <f>IFERROR(__xludf.DUMMYFUNCTION("""COMPUTED_VALUE"""),44517.9986111111)</f>
        <v/>
      </c>
      <c r="AD1371" s="6">
        <f>IFERROR(__xludf.DUMMYFUNCTION("""COMPUTED_VALUE"""),1181.23)</f>
        <v/>
      </c>
      <c r="AH1371" s="6">
        <f>AI1371&amp;AJ1371</f>
        <v/>
      </c>
      <c r="AI1371" s="6">
        <f>YEAR(AK1371)</f>
        <v/>
      </c>
      <c r="AJ1371" s="6">
        <f>MONTH(AK1371)</f>
        <v/>
      </c>
      <c r="AK1371" s="267">
        <f>IFERROR(__xludf.DUMMYFUNCTION("""COMPUTED_VALUE"""),44464.9986111111)</f>
        <v/>
      </c>
      <c r="AL1371" s="6">
        <f>IFERROR(__xludf.DUMMYFUNCTION("""COMPUTED_VALUE"""),42707.03)</f>
        <v/>
      </c>
      <c r="AP1371" s="6">
        <f>AQ1371&amp;AR1371</f>
        <v/>
      </c>
      <c r="AQ1371" s="6">
        <f>YEAR(AS1371)</f>
        <v/>
      </c>
      <c r="AR1371" s="6">
        <f>MONTH(AS1371)</f>
        <v/>
      </c>
      <c r="AS1371" s="267">
        <f>IFERROR(__xludf.DUMMYFUNCTION("""COMPUTED_VALUE"""),45097.9986111111)</f>
        <v/>
      </c>
      <c r="AT1371" s="6">
        <f>IFERROR(__xludf.DUMMYFUNCTION("""COMPUTED_VALUE"""),1947.7)</f>
        <v/>
      </c>
    </row>
    <row r="1372">
      <c r="B1372" s="6">
        <f>C1372&amp;D1372</f>
        <v/>
      </c>
      <c r="C1372" s="6">
        <f>YEAR(E1372)</f>
        <v/>
      </c>
      <c r="D1372" s="6">
        <f>MONTH(E1372)</f>
        <v/>
      </c>
      <c r="E1372" s="267">
        <f>IFERROR(__xludf.DUMMYFUNCTION("""COMPUTED_VALUE"""),45090.6666666666)</f>
        <v/>
      </c>
      <c r="F1372" s="6">
        <f>IFERROR(__xludf.DUMMYFUNCTION("""COMPUTED_VALUE"""),4369.01)</f>
        <v/>
      </c>
      <c r="J1372" s="6">
        <f>K1372&amp;L1372</f>
        <v/>
      </c>
      <c r="K1372" s="6">
        <f>YEAR(M1372)</f>
        <v/>
      </c>
      <c r="L1372" s="6">
        <f>MONTH(M1372)</f>
        <v/>
      </c>
      <c r="M1372" s="267">
        <f>IFERROR(__xludf.DUMMYFUNCTION("""COMPUTED_VALUE"""),45082.6666666666)</f>
        <v/>
      </c>
      <c r="N1372" s="6">
        <f>IFERROR(__xludf.DUMMYFUNCTION("""COMPUTED_VALUE"""),13229.43)</f>
        <v/>
      </c>
      <c r="R1372" s="6">
        <f>S1372&amp;T1372</f>
        <v/>
      </c>
      <c r="S1372" s="6">
        <f>YEAR(U1372)</f>
        <v/>
      </c>
      <c r="T1372" s="6">
        <f>MONTH(U1372)</f>
        <v/>
      </c>
      <c r="U1372" s="267">
        <f>IFERROR(__xludf.DUMMYFUNCTION("""COMPUTED_VALUE"""),45134.6458333333)</f>
        <v/>
      </c>
      <c r="V1372" s="6">
        <f>IFERROR(__xludf.DUMMYFUNCTION("""COMPUTED_VALUE"""),2603.81)</f>
        <v/>
      </c>
      <c r="Z1372" s="6">
        <f>AA1372&amp;AB1372</f>
        <v/>
      </c>
      <c r="AA1372" s="6">
        <f>YEAR(AC1372)</f>
        <v/>
      </c>
      <c r="AB1372" s="6">
        <f>MONTH(AC1372)</f>
        <v/>
      </c>
      <c r="AC1372" s="267">
        <f>IFERROR(__xludf.DUMMYFUNCTION("""COMPUTED_VALUE"""),44518.9986111111)</f>
        <v/>
      </c>
      <c r="AD1372" s="6">
        <f>IFERROR(__xludf.DUMMYFUNCTION("""COMPUTED_VALUE"""),1182.9)</f>
        <v/>
      </c>
      <c r="AH1372" s="6">
        <f>AI1372&amp;AJ1372</f>
        <v/>
      </c>
      <c r="AI1372" s="6">
        <f>YEAR(AK1372)</f>
        <v/>
      </c>
      <c r="AJ1372" s="6">
        <f>MONTH(AK1372)</f>
        <v/>
      </c>
      <c r="AK1372" s="267">
        <f>IFERROR(__xludf.DUMMYFUNCTION("""COMPUTED_VALUE"""),44465.9986111111)</f>
        <v/>
      </c>
      <c r="AL1372" s="6">
        <f>IFERROR(__xludf.DUMMYFUNCTION("""COMPUTED_VALUE"""),43169.61)</f>
        <v/>
      </c>
      <c r="AP1372" s="6">
        <f>AQ1372&amp;AR1372</f>
        <v/>
      </c>
      <c r="AQ1372" s="6">
        <f>YEAR(AS1372)</f>
        <v/>
      </c>
      <c r="AR1372" s="6">
        <f>MONTH(AS1372)</f>
        <v/>
      </c>
      <c r="AS1372" s="267">
        <f>IFERROR(__xludf.DUMMYFUNCTION("""COMPUTED_VALUE"""),45098.9986111111)</f>
        <v/>
      </c>
      <c r="AT1372" s="6">
        <f>IFERROR(__xludf.DUMMYFUNCTION("""COMPUTED_VALUE"""),1944.9)</f>
        <v/>
      </c>
    </row>
    <row r="1373">
      <c r="B1373" s="6">
        <f>C1373&amp;D1373</f>
        <v/>
      </c>
      <c r="C1373" s="6">
        <f>YEAR(E1373)</f>
        <v/>
      </c>
      <c r="D1373" s="6">
        <f>MONTH(E1373)</f>
        <v/>
      </c>
      <c r="E1373" s="267">
        <f>IFERROR(__xludf.DUMMYFUNCTION("""COMPUTED_VALUE"""),45091.6666666666)</f>
        <v/>
      </c>
      <c r="F1373" s="6">
        <f>IFERROR(__xludf.DUMMYFUNCTION("""COMPUTED_VALUE"""),4372.59)</f>
        <v/>
      </c>
      <c r="J1373" s="6">
        <f>K1373&amp;L1373</f>
        <v/>
      </c>
      <c r="K1373" s="6">
        <f>YEAR(M1373)</f>
        <v/>
      </c>
      <c r="L1373" s="6">
        <f>MONTH(M1373)</f>
        <v/>
      </c>
      <c r="M1373" s="267">
        <f>IFERROR(__xludf.DUMMYFUNCTION("""COMPUTED_VALUE"""),45083.6666666666)</f>
        <v/>
      </c>
      <c r="N1373" s="6">
        <f>IFERROR(__xludf.DUMMYFUNCTION("""COMPUTED_VALUE"""),13276.42)</f>
        <v/>
      </c>
      <c r="R1373" s="6">
        <f>S1373&amp;T1373</f>
        <v/>
      </c>
      <c r="S1373" s="6">
        <f>YEAR(U1373)</f>
        <v/>
      </c>
      <c r="T1373" s="6">
        <f>MONTH(U1373)</f>
        <v/>
      </c>
      <c r="U1373" s="267">
        <f>IFERROR(__xludf.DUMMYFUNCTION("""COMPUTED_VALUE"""),45135.6458333333)</f>
        <v/>
      </c>
      <c r="V1373" s="6">
        <f>IFERROR(__xludf.DUMMYFUNCTION("""COMPUTED_VALUE"""),2608.32)</f>
        <v/>
      </c>
      <c r="Z1373" s="6">
        <f>AA1373&amp;AB1373</f>
        <v/>
      </c>
      <c r="AA1373" s="6">
        <f>YEAR(AC1373)</f>
        <v/>
      </c>
      <c r="AB1373" s="6">
        <f>MONTH(AC1373)</f>
        <v/>
      </c>
      <c r="AC1373" s="267">
        <f>IFERROR(__xludf.DUMMYFUNCTION("""COMPUTED_VALUE"""),44519.9986111111)</f>
        <v/>
      </c>
      <c r="AD1373" s="6">
        <f>IFERROR(__xludf.DUMMYFUNCTION("""COMPUTED_VALUE"""),1191.63)</f>
        <v/>
      </c>
      <c r="AH1373" s="6">
        <f>AI1373&amp;AJ1373</f>
        <v/>
      </c>
      <c r="AI1373" s="6">
        <f>YEAR(AK1373)</f>
        <v/>
      </c>
      <c r="AJ1373" s="6">
        <f>MONTH(AK1373)</f>
        <v/>
      </c>
      <c r="AK1373" s="267">
        <f>IFERROR(__xludf.DUMMYFUNCTION("""COMPUTED_VALUE"""),44466.9986111111)</f>
        <v/>
      </c>
      <c r="AL1373" s="6">
        <f>IFERROR(__xludf.DUMMYFUNCTION("""COMPUTED_VALUE"""),42204.58)</f>
        <v/>
      </c>
      <c r="AP1373" s="6">
        <f>AQ1373&amp;AR1373</f>
        <v/>
      </c>
      <c r="AQ1373" s="6">
        <f>YEAR(AS1373)</f>
        <v/>
      </c>
      <c r="AR1373" s="6">
        <f>MONTH(AS1373)</f>
        <v/>
      </c>
      <c r="AS1373" s="267">
        <f>IFERROR(__xludf.DUMMYFUNCTION("""COMPUTED_VALUE"""),45099.9986111111)</f>
        <v/>
      </c>
      <c r="AT1373" s="6">
        <f>IFERROR(__xludf.DUMMYFUNCTION("""COMPUTED_VALUE"""),1923.7)</f>
        <v/>
      </c>
    </row>
    <row r="1374">
      <c r="B1374" s="6">
        <f>C1374&amp;D1374</f>
        <v/>
      </c>
      <c r="C1374" s="6">
        <f>YEAR(E1374)</f>
        <v/>
      </c>
      <c r="D1374" s="6">
        <f>MONTH(E1374)</f>
        <v/>
      </c>
      <c r="E1374" s="267">
        <f>IFERROR(__xludf.DUMMYFUNCTION("""COMPUTED_VALUE"""),45092.6666666666)</f>
        <v/>
      </c>
      <c r="F1374" s="6">
        <f>IFERROR(__xludf.DUMMYFUNCTION("""COMPUTED_VALUE"""),4425.84)</f>
        <v/>
      </c>
      <c r="J1374" s="6">
        <f>K1374&amp;L1374</f>
        <v/>
      </c>
      <c r="K1374" s="6">
        <f>YEAR(M1374)</f>
        <v/>
      </c>
      <c r="L1374" s="6">
        <f>MONTH(M1374)</f>
        <v/>
      </c>
      <c r="M1374" s="267">
        <f>IFERROR(__xludf.DUMMYFUNCTION("""COMPUTED_VALUE"""),45084.6666666666)</f>
        <v/>
      </c>
      <c r="N1374" s="6">
        <f>IFERROR(__xludf.DUMMYFUNCTION("""COMPUTED_VALUE"""),13104.9)</f>
        <v/>
      </c>
      <c r="R1374" s="6">
        <f>S1374&amp;T1374</f>
        <v/>
      </c>
      <c r="S1374" s="6">
        <f>YEAR(U1374)</f>
        <v/>
      </c>
      <c r="T1374" s="6">
        <f>MONTH(U1374)</f>
        <v/>
      </c>
      <c r="U1374" s="267">
        <f>IFERROR(__xludf.DUMMYFUNCTION("""COMPUTED_VALUE"""),45138.6458333333)</f>
        <v/>
      </c>
      <c r="V1374" s="6">
        <f>IFERROR(__xludf.DUMMYFUNCTION("""COMPUTED_VALUE"""),2632.58)</f>
        <v/>
      </c>
      <c r="Z1374" s="6">
        <f>AA1374&amp;AB1374</f>
        <v/>
      </c>
      <c r="AA1374" s="6">
        <f>YEAR(AC1374)</f>
        <v/>
      </c>
      <c r="AB1374" s="6">
        <f>MONTH(AC1374)</f>
        <v/>
      </c>
      <c r="AC1374" s="267">
        <f>IFERROR(__xludf.DUMMYFUNCTION("""COMPUTED_VALUE"""),44522.9986111111)</f>
        <v/>
      </c>
      <c r="AD1374" s="6">
        <f>IFERROR(__xludf.DUMMYFUNCTION("""COMPUTED_VALUE"""),1189.5)</f>
        <v/>
      </c>
      <c r="AH1374" s="6">
        <f>AI1374&amp;AJ1374</f>
        <v/>
      </c>
      <c r="AI1374" s="6">
        <f>YEAR(AK1374)</f>
        <v/>
      </c>
      <c r="AJ1374" s="6">
        <f>MONTH(AK1374)</f>
        <v/>
      </c>
      <c r="AK1374" s="267">
        <f>IFERROR(__xludf.DUMMYFUNCTION("""COMPUTED_VALUE"""),44467.9986111111)</f>
        <v/>
      </c>
      <c r="AL1374" s="6">
        <f>IFERROR(__xludf.DUMMYFUNCTION("""COMPUTED_VALUE"""),41046.57)</f>
        <v/>
      </c>
      <c r="AP1374" s="6">
        <f>AQ1374&amp;AR1374</f>
        <v/>
      </c>
      <c r="AQ1374" s="6">
        <f>YEAR(AS1374)</f>
        <v/>
      </c>
      <c r="AR1374" s="6">
        <f>MONTH(AS1374)</f>
        <v/>
      </c>
      <c r="AS1374" s="267">
        <f>IFERROR(__xludf.DUMMYFUNCTION("""COMPUTED_VALUE"""),45100.9986111111)</f>
        <v/>
      </c>
      <c r="AT1374" s="6">
        <f>IFERROR(__xludf.DUMMYFUNCTION("""COMPUTED_VALUE"""),1929.6)</f>
        <v/>
      </c>
    </row>
    <row r="1375">
      <c r="B1375" s="6">
        <f>C1375&amp;D1375</f>
        <v/>
      </c>
      <c r="C1375" s="6">
        <f>YEAR(E1375)</f>
        <v/>
      </c>
      <c r="D1375" s="6">
        <f>MONTH(E1375)</f>
        <v/>
      </c>
      <c r="E1375" s="267">
        <f>IFERROR(__xludf.DUMMYFUNCTION("""COMPUTED_VALUE"""),45093.6666666666)</f>
        <v/>
      </c>
      <c r="F1375" s="6">
        <f>IFERROR(__xludf.DUMMYFUNCTION("""COMPUTED_VALUE"""),4409.59)</f>
        <v/>
      </c>
      <c r="J1375" s="6">
        <f>K1375&amp;L1375</f>
        <v/>
      </c>
      <c r="K1375" s="6">
        <f>YEAR(M1375)</f>
        <v/>
      </c>
      <c r="L1375" s="6">
        <f>MONTH(M1375)</f>
        <v/>
      </c>
      <c r="M1375" s="267">
        <f>IFERROR(__xludf.DUMMYFUNCTION("""COMPUTED_VALUE"""),45085.6666666666)</f>
        <v/>
      </c>
      <c r="N1375" s="6">
        <f>IFERROR(__xludf.DUMMYFUNCTION("""COMPUTED_VALUE"""),13238.52)</f>
        <v/>
      </c>
      <c r="R1375" s="6">
        <f>S1375&amp;T1375</f>
        <v/>
      </c>
      <c r="S1375" s="6">
        <f>YEAR(U1375)</f>
        <v/>
      </c>
      <c r="T1375" s="6">
        <f>MONTH(U1375)</f>
        <v/>
      </c>
      <c r="U1375" s="267">
        <f>IFERROR(__xludf.DUMMYFUNCTION("""COMPUTED_VALUE"""),45139.6458333333)</f>
        <v/>
      </c>
      <c r="V1375" s="6">
        <f>IFERROR(__xludf.DUMMYFUNCTION("""COMPUTED_VALUE"""),2667.07)</f>
        <v/>
      </c>
      <c r="Z1375" s="6">
        <f>AA1375&amp;AB1375</f>
        <v/>
      </c>
      <c r="AA1375" s="6">
        <f>YEAR(AC1375)</f>
        <v/>
      </c>
      <c r="AB1375" s="6">
        <f>MONTH(AC1375)</f>
        <v/>
      </c>
      <c r="AC1375" s="267">
        <f>IFERROR(__xludf.DUMMYFUNCTION("""COMPUTED_VALUE"""),44523.9986111111)</f>
        <v/>
      </c>
      <c r="AD1375" s="6">
        <f>IFERROR(__xludf.DUMMYFUNCTION("""COMPUTED_VALUE"""),1189.95)</f>
        <v/>
      </c>
      <c r="AH1375" s="6">
        <f>AI1375&amp;AJ1375</f>
        <v/>
      </c>
      <c r="AI1375" s="6">
        <f>YEAR(AK1375)</f>
        <v/>
      </c>
      <c r="AJ1375" s="6">
        <f>MONTH(AK1375)</f>
        <v/>
      </c>
      <c r="AK1375" s="267">
        <f>IFERROR(__xludf.DUMMYFUNCTION("""COMPUTED_VALUE"""),44468.9986111111)</f>
        <v/>
      </c>
      <c r="AL1375" s="6">
        <f>IFERROR(__xludf.DUMMYFUNCTION("""COMPUTED_VALUE"""),41540.94)</f>
        <v/>
      </c>
      <c r="AP1375" s="6">
        <f>AQ1375&amp;AR1375</f>
        <v/>
      </c>
      <c r="AQ1375" s="6">
        <f>YEAR(AS1375)</f>
        <v/>
      </c>
      <c r="AR1375" s="6">
        <f>MONTH(AS1375)</f>
        <v/>
      </c>
      <c r="AS1375" s="267">
        <f>IFERROR(__xludf.DUMMYFUNCTION("""COMPUTED_VALUE"""),45103.9986111111)</f>
        <v/>
      </c>
      <c r="AT1375" s="6">
        <f>IFERROR(__xludf.DUMMYFUNCTION("""COMPUTED_VALUE"""),1933.8)</f>
        <v/>
      </c>
    </row>
    <row r="1376">
      <c r="B1376" s="6">
        <f>C1376&amp;D1376</f>
        <v/>
      </c>
      <c r="C1376" s="6">
        <f>YEAR(E1376)</f>
        <v/>
      </c>
      <c r="D1376" s="6">
        <f>MONTH(E1376)</f>
        <v/>
      </c>
      <c r="E1376" s="267">
        <f>IFERROR(__xludf.DUMMYFUNCTION("""COMPUTED_VALUE"""),45097.6666666666)</f>
        <v/>
      </c>
      <c r="F1376" s="6">
        <f>IFERROR(__xludf.DUMMYFUNCTION("""COMPUTED_VALUE"""),4388.71)</f>
        <v/>
      </c>
      <c r="J1376" s="6">
        <f>K1376&amp;L1376</f>
        <v/>
      </c>
      <c r="K1376" s="6">
        <f>YEAR(M1376)</f>
        <v/>
      </c>
      <c r="L1376" s="6">
        <f>MONTH(M1376)</f>
        <v/>
      </c>
      <c r="M1376" s="267">
        <f>IFERROR(__xludf.DUMMYFUNCTION("""COMPUTED_VALUE"""),45086.6666666666)</f>
        <v/>
      </c>
      <c r="N1376" s="6">
        <f>IFERROR(__xludf.DUMMYFUNCTION("""COMPUTED_VALUE"""),13259.14)</f>
        <v/>
      </c>
      <c r="R1376" s="6">
        <f>S1376&amp;T1376</f>
        <v/>
      </c>
      <c r="S1376" s="6">
        <f>YEAR(U1376)</f>
        <v/>
      </c>
      <c r="T1376" s="6">
        <f>MONTH(U1376)</f>
        <v/>
      </c>
      <c r="U1376" s="267">
        <f>IFERROR(__xludf.DUMMYFUNCTION("""COMPUTED_VALUE"""),45140.6458333333)</f>
        <v/>
      </c>
      <c r="V1376" s="6">
        <f>IFERROR(__xludf.DUMMYFUNCTION("""COMPUTED_VALUE"""),2616.47)</f>
        <v/>
      </c>
      <c r="Z1376" s="6">
        <f>AA1376&amp;AB1376</f>
        <v/>
      </c>
      <c r="AA1376" s="6">
        <f>YEAR(AC1376)</f>
        <v/>
      </c>
      <c r="AB1376" s="6">
        <f>MONTH(AC1376)</f>
        <v/>
      </c>
      <c r="AC1376" s="267">
        <f>IFERROR(__xludf.DUMMYFUNCTION("""COMPUTED_VALUE"""),44524.9986111111)</f>
        <v/>
      </c>
      <c r="AD1376" s="6">
        <f>IFERROR(__xludf.DUMMYFUNCTION("""COMPUTED_VALUE"""),1187.88)</f>
        <v/>
      </c>
      <c r="AH1376" s="6">
        <f>AI1376&amp;AJ1376</f>
        <v/>
      </c>
      <c r="AI1376" s="6">
        <f>YEAR(AK1376)</f>
        <v/>
      </c>
      <c r="AJ1376" s="6">
        <f>MONTH(AK1376)</f>
        <v/>
      </c>
      <c r="AK1376" s="267">
        <f>IFERROR(__xludf.DUMMYFUNCTION("""COMPUTED_VALUE"""),44469.9986111111)</f>
        <v/>
      </c>
      <c r="AL1376" s="6">
        <f>IFERROR(__xludf.DUMMYFUNCTION("""COMPUTED_VALUE"""),43788.04)</f>
        <v/>
      </c>
      <c r="AP1376" s="6">
        <f>AQ1376&amp;AR1376</f>
        <v/>
      </c>
      <c r="AQ1376" s="6">
        <f>YEAR(AS1376)</f>
        <v/>
      </c>
      <c r="AR1376" s="6">
        <f>MONTH(AS1376)</f>
        <v/>
      </c>
      <c r="AS1376" s="267">
        <f>IFERROR(__xludf.DUMMYFUNCTION("""COMPUTED_VALUE"""),45104.9986111111)</f>
        <v/>
      </c>
      <c r="AT1376" s="6">
        <f>IFERROR(__xludf.DUMMYFUNCTION("""COMPUTED_VALUE"""),1923.8)</f>
        <v/>
      </c>
    </row>
    <row r="1377">
      <c r="B1377" s="6">
        <f>C1377&amp;D1377</f>
        <v/>
      </c>
      <c r="C1377" s="6">
        <f>YEAR(E1377)</f>
        <v/>
      </c>
      <c r="D1377" s="6">
        <f>MONTH(E1377)</f>
        <v/>
      </c>
      <c r="E1377" s="267">
        <f>IFERROR(__xludf.DUMMYFUNCTION("""COMPUTED_VALUE"""),45098.6666666666)</f>
        <v/>
      </c>
      <c r="F1377" s="6">
        <f>IFERROR(__xludf.DUMMYFUNCTION("""COMPUTED_VALUE"""),4365.69)</f>
        <v/>
      </c>
      <c r="J1377" s="6">
        <f>K1377&amp;L1377</f>
        <v/>
      </c>
      <c r="K1377" s="6">
        <f>YEAR(M1377)</f>
        <v/>
      </c>
      <c r="L1377" s="6">
        <f>MONTH(M1377)</f>
        <v/>
      </c>
      <c r="M1377" s="267">
        <f>IFERROR(__xludf.DUMMYFUNCTION("""COMPUTED_VALUE"""),45089.6666666666)</f>
        <v/>
      </c>
      <c r="N1377" s="6">
        <f>IFERROR(__xludf.DUMMYFUNCTION("""COMPUTED_VALUE"""),13461.92)</f>
        <v/>
      </c>
      <c r="R1377" s="6">
        <f>S1377&amp;T1377</f>
        <v/>
      </c>
      <c r="S1377" s="6">
        <f>YEAR(U1377)</f>
        <v/>
      </c>
      <c r="T1377" s="6">
        <f>MONTH(U1377)</f>
        <v/>
      </c>
      <c r="U1377" s="267">
        <f>IFERROR(__xludf.DUMMYFUNCTION("""COMPUTED_VALUE"""),45141.6458333333)</f>
        <v/>
      </c>
      <c r="V1377" s="6">
        <f>IFERROR(__xludf.DUMMYFUNCTION("""COMPUTED_VALUE"""),2605.39)</f>
        <v/>
      </c>
      <c r="Z1377" s="6">
        <f>AA1377&amp;AB1377</f>
        <v/>
      </c>
      <c r="AA1377" s="6">
        <f>YEAR(AC1377)</f>
        <v/>
      </c>
      <c r="AB1377" s="6">
        <f>MONTH(AC1377)</f>
        <v/>
      </c>
      <c r="AC1377" s="267">
        <f>IFERROR(__xludf.DUMMYFUNCTION("""COMPUTED_VALUE"""),44525.9986111111)</f>
        <v/>
      </c>
      <c r="AD1377" s="6">
        <f>IFERROR(__xludf.DUMMYFUNCTION("""COMPUTED_VALUE"""),1190.22)</f>
        <v/>
      </c>
      <c r="AH1377" s="6">
        <f>AI1377&amp;AJ1377</f>
        <v/>
      </c>
      <c r="AI1377" s="6">
        <f>YEAR(AK1377)</f>
        <v/>
      </c>
      <c r="AJ1377" s="6">
        <f>MONTH(AK1377)</f>
        <v/>
      </c>
      <c r="AK1377" s="267">
        <f>IFERROR(__xludf.DUMMYFUNCTION("""COMPUTED_VALUE"""),44470.9986111111)</f>
        <v/>
      </c>
      <c r="AL1377" s="6">
        <f>IFERROR(__xludf.DUMMYFUNCTION("""COMPUTED_VALUE"""),48144)</f>
        <v/>
      </c>
      <c r="AP1377" s="6">
        <f>AQ1377&amp;AR1377</f>
        <v/>
      </c>
      <c r="AQ1377" s="6">
        <f>YEAR(AS1377)</f>
        <v/>
      </c>
      <c r="AR1377" s="6">
        <f>MONTH(AS1377)</f>
        <v/>
      </c>
      <c r="AS1377" s="267">
        <f>IFERROR(__xludf.DUMMYFUNCTION("""COMPUTED_VALUE"""),45105.9986111111)</f>
        <v/>
      </c>
      <c r="AT1377" s="6">
        <f>IFERROR(__xludf.DUMMYFUNCTION("""COMPUTED_VALUE"""),1922.2)</f>
        <v/>
      </c>
    </row>
    <row r="1378">
      <c r="B1378" s="6">
        <f>C1378&amp;D1378</f>
        <v/>
      </c>
      <c r="C1378" s="6">
        <f>YEAR(E1378)</f>
        <v/>
      </c>
      <c r="D1378" s="6">
        <f>MONTH(E1378)</f>
        <v/>
      </c>
      <c r="E1378" s="267">
        <f>IFERROR(__xludf.DUMMYFUNCTION("""COMPUTED_VALUE"""),45099.6666666666)</f>
        <v/>
      </c>
      <c r="F1378" s="6">
        <f>IFERROR(__xludf.DUMMYFUNCTION("""COMPUTED_VALUE"""),4381.89)</f>
        <v/>
      </c>
      <c r="J1378" s="6">
        <f>K1378&amp;L1378</f>
        <v/>
      </c>
      <c r="K1378" s="6">
        <f>YEAR(M1378)</f>
        <v/>
      </c>
      <c r="L1378" s="6">
        <f>MONTH(M1378)</f>
        <v/>
      </c>
      <c r="M1378" s="267">
        <f>IFERROR(__xludf.DUMMYFUNCTION("""COMPUTED_VALUE"""),45090.6666666666)</f>
        <v/>
      </c>
      <c r="N1378" s="6">
        <f>IFERROR(__xludf.DUMMYFUNCTION("""COMPUTED_VALUE"""),13573.32)</f>
        <v/>
      </c>
      <c r="R1378" s="6">
        <f>S1378&amp;T1378</f>
        <v/>
      </c>
      <c r="S1378" s="6">
        <f>YEAR(U1378)</f>
        <v/>
      </c>
      <c r="T1378" s="6">
        <f>MONTH(U1378)</f>
        <v/>
      </c>
      <c r="U1378" s="267">
        <f>IFERROR(__xludf.DUMMYFUNCTION("""COMPUTED_VALUE"""),45142.6458333333)</f>
        <v/>
      </c>
      <c r="V1378" s="6">
        <f>IFERROR(__xludf.DUMMYFUNCTION("""COMPUTED_VALUE"""),2602.8)</f>
        <v/>
      </c>
      <c r="Z1378" s="6">
        <f>AA1378&amp;AB1378</f>
        <v/>
      </c>
      <c r="AA1378" s="6">
        <f>YEAR(AC1378)</f>
        <v/>
      </c>
      <c r="AB1378" s="6">
        <f>MONTH(AC1378)</f>
        <v/>
      </c>
      <c r="AC1378" s="267">
        <f>IFERROR(__xludf.DUMMYFUNCTION("""COMPUTED_VALUE"""),44526.9986111111)</f>
        <v/>
      </c>
      <c r="AD1378" s="6">
        <f>IFERROR(__xludf.DUMMYFUNCTION("""COMPUTED_VALUE"""),1194.61)</f>
        <v/>
      </c>
      <c r="AH1378" s="6">
        <f>AI1378&amp;AJ1378</f>
        <v/>
      </c>
      <c r="AI1378" s="6">
        <f>YEAR(AK1378)</f>
        <v/>
      </c>
      <c r="AJ1378" s="6">
        <f>MONTH(AK1378)</f>
        <v/>
      </c>
      <c r="AK1378" s="267">
        <f>IFERROR(__xludf.DUMMYFUNCTION("""COMPUTED_VALUE"""),44471.9986111111)</f>
        <v/>
      </c>
      <c r="AL1378" s="6">
        <f>IFERROR(__xludf.DUMMYFUNCTION("""COMPUTED_VALUE"""),47675.17)</f>
        <v/>
      </c>
      <c r="AP1378" s="6">
        <f>AQ1378&amp;AR1378</f>
        <v/>
      </c>
      <c r="AQ1378" s="6">
        <f>YEAR(AS1378)</f>
        <v/>
      </c>
      <c r="AR1378" s="6">
        <f>MONTH(AS1378)</f>
        <v/>
      </c>
      <c r="AS1378" s="267">
        <f>IFERROR(__xludf.DUMMYFUNCTION("""COMPUTED_VALUE"""),45106.9986111111)</f>
        <v/>
      </c>
      <c r="AT1378" s="6">
        <f>IFERROR(__xludf.DUMMYFUNCTION("""COMPUTED_VALUE"""),1917.9)</f>
        <v/>
      </c>
    </row>
    <row r="1379">
      <c r="B1379" s="6">
        <f>C1379&amp;D1379</f>
        <v/>
      </c>
      <c r="C1379" s="6">
        <f>YEAR(E1379)</f>
        <v/>
      </c>
      <c r="D1379" s="6">
        <f>MONTH(E1379)</f>
        <v/>
      </c>
      <c r="E1379" s="267">
        <f>IFERROR(__xludf.DUMMYFUNCTION("""COMPUTED_VALUE"""),45100.6666666666)</f>
        <v/>
      </c>
      <c r="F1379" s="6">
        <f>IFERROR(__xludf.DUMMYFUNCTION("""COMPUTED_VALUE"""),4348.33)</f>
        <v/>
      </c>
      <c r="J1379" s="6">
        <f>K1379&amp;L1379</f>
        <v/>
      </c>
      <c r="K1379" s="6">
        <f>YEAR(M1379)</f>
        <v/>
      </c>
      <c r="L1379" s="6">
        <f>MONTH(M1379)</f>
        <v/>
      </c>
      <c r="M1379" s="267">
        <f>IFERROR(__xludf.DUMMYFUNCTION("""COMPUTED_VALUE"""),45091.6666666666)</f>
        <v/>
      </c>
      <c r="N1379" s="6">
        <f>IFERROR(__xludf.DUMMYFUNCTION("""COMPUTED_VALUE"""),13626.48)</f>
        <v/>
      </c>
      <c r="R1379" s="6">
        <f>S1379&amp;T1379</f>
        <v/>
      </c>
      <c r="S1379" s="6">
        <f>YEAR(U1379)</f>
        <v/>
      </c>
      <c r="T1379" s="6">
        <f>MONTH(U1379)</f>
        <v/>
      </c>
      <c r="U1379" s="267">
        <f>IFERROR(__xludf.DUMMYFUNCTION("""COMPUTED_VALUE"""),45145.6458333333)</f>
        <v/>
      </c>
      <c r="V1379" s="6">
        <f>IFERROR(__xludf.DUMMYFUNCTION("""COMPUTED_VALUE"""),2580.71)</f>
        <v/>
      </c>
      <c r="Z1379" s="6">
        <f>AA1379&amp;AB1379</f>
        <v/>
      </c>
      <c r="AA1379" s="6">
        <f>YEAR(AC1379)</f>
        <v/>
      </c>
      <c r="AB1379" s="6">
        <f>MONTH(AC1379)</f>
        <v/>
      </c>
      <c r="AC1379" s="267">
        <f>IFERROR(__xludf.DUMMYFUNCTION("""COMPUTED_VALUE"""),44528.9986111111)</f>
        <v/>
      </c>
      <c r="AD1379" s="6">
        <f>IFERROR(__xludf.DUMMYFUNCTION("""COMPUTED_VALUE"""),1194.61)</f>
        <v/>
      </c>
      <c r="AH1379" s="6">
        <f>AI1379&amp;AJ1379</f>
        <v/>
      </c>
      <c r="AI1379" s="6">
        <f>YEAR(AK1379)</f>
        <v/>
      </c>
      <c r="AJ1379" s="6">
        <f>MONTH(AK1379)</f>
        <v/>
      </c>
      <c r="AK1379" s="267">
        <f>IFERROR(__xludf.DUMMYFUNCTION("""COMPUTED_VALUE"""),44472.9986111111)</f>
        <v/>
      </c>
      <c r="AL1379" s="6">
        <f>IFERROR(__xludf.DUMMYFUNCTION("""COMPUTED_VALUE"""),48228.48)</f>
        <v/>
      </c>
      <c r="AP1379" s="6">
        <f>AQ1379&amp;AR1379</f>
        <v/>
      </c>
      <c r="AQ1379" s="6">
        <f>YEAR(AS1379)</f>
        <v/>
      </c>
      <c r="AR1379" s="6">
        <f>MONTH(AS1379)</f>
        <v/>
      </c>
      <c r="AS1379" s="267">
        <f>IFERROR(__xludf.DUMMYFUNCTION("""COMPUTED_VALUE"""),45107.9986111111)</f>
        <v/>
      </c>
      <c r="AT1379" s="6">
        <f>IFERROR(__xludf.DUMMYFUNCTION("""COMPUTED_VALUE"""),1929.4)</f>
        <v/>
      </c>
    </row>
    <row r="1380">
      <c r="B1380" s="6">
        <f>C1380&amp;D1380</f>
        <v/>
      </c>
      <c r="C1380" s="6">
        <f>YEAR(E1380)</f>
        <v/>
      </c>
      <c r="D1380" s="6">
        <f>MONTH(E1380)</f>
        <v/>
      </c>
      <c r="E1380" s="267">
        <f>IFERROR(__xludf.DUMMYFUNCTION("""COMPUTED_VALUE"""),45103.6666666666)</f>
        <v/>
      </c>
      <c r="F1380" s="6">
        <f>IFERROR(__xludf.DUMMYFUNCTION("""COMPUTED_VALUE"""),4328.82)</f>
        <v/>
      </c>
      <c r="J1380" s="6">
        <f>K1380&amp;L1380</f>
        <v/>
      </c>
      <c r="K1380" s="6">
        <f>YEAR(M1380)</f>
        <v/>
      </c>
      <c r="L1380" s="6">
        <f>MONTH(M1380)</f>
        <v/>
      </c>
      <c r="M1380" s="267">
        <f>IFERROR(__xludf.DUMMYFUNCTION("""COMPUTED_VALUE"""),45092.6666666666)</f>
        <v/>
      </c>
      <c r="N1380" s="6">
        <f>IFERROR(__xludf.DUMMYFUNCTION("""COMPUTED_VALUE"""),13782.82)</f>
        <v/>
      </c>
      <c r="R1380" s="6">
        <f>S1380&amp;T1380</f>
        <v/>
      </c>
      <c r="S1380" s="6">
        <f>YEAR(U1380)</f>
        <v/>
      </c>
      <c r="T1380" s="6">
        <f>MONTH(U1380)</f>
        <v/>
      </c>
      <c r="U1380" s="267">
        <f>IFERROR(__xludf.DUMMYFUNCTION("""COMPUTED_VALUE"""),45146.6458333333)</f>
        <v/>
      </c>
      <c r="V1380" s="6">
        <f>IFERROR(__xludf.DUMMYFUNCTION("""COMPUTED_VALUE"""),2573.98)</f>
        <v/>
      </c>
      <c r="Z1380" s="6">
        <f>AA1380&amp;AB1380</f>
        <v/>
      </c>
      <c r="AA1380" s="6">
        <f>YEAR(AC1380)</f>
        <v/>
      </c>
      <c r="AB1380" s="6">
        <f>MONTH(AC1380)</f>
        <v/>
      </c>
      <c r="AC1380" s="267">
        <f>IFERROR(__xludf.DUMMYFUNCTION("""COMPUTED_VALUE"""),44529.9986111111)</f>
        <v/>
      </c>
      <c r="AD1380" s="6">
        <f>IFERROR(__xludf.DUMMYFUNCTION("""COMPUTED_VALUE"""),1190.74)</f>
        <v/>
      </c>
      <c r="AH1380" s="6">
        <f>AI1380&amp;AJ1380</f>
        <v/>
      </c>
      <c r="AI1380" s="6">
        <f>YEAR(AK1380)</f>
        <v/>
      </c>
      <c r="AJ1380" s="6">
        <f>MONTH(AK1380)</f>
        <v/>
      </c>
      <c r="AK1380" s="267">
        <f>IFERROR(__xludf.DUMMYFUNCTION("""COMPUTED_VALUE"""),44473.9986111111)</f>
        <v/>
      </c>
      <c r="AL1380" s="6">
        <f>IFERROR(__xludf.DUMMYFUNCTION("""COMPUTED_VALUE"""),49264.18)</f>
        <v/>
      </c>
      <c r="AP1380" s="6">
        <f>AQ1380&amp;AR1380</f>
        <v/>
      </c>
      <c r="AQ1380" s="6">
        <f>YEAR(AS1380)</f>
        <v/>
      </c>
      <c r="AR1380" s="6">
        <f>MONTH(AS1380)</f>
        <v/>
      </c>
      <c r="AS1380" s="267">
        <f>IFERROR(__xludf.DUMMYFUNCTION("""COMPUTED_VALUE"""),45110.5416666666)</f>
        <v/>
      </c>
      <c r="AT1380" s="6">
        <f>IFERROR(__xludf.DUMMYFUNCTION("""COMPUTED_VALUE"""),1929.5)</f>
        <v/>
      </c>
    </row>
    <row r="1381">
      <c r="B1381" s="6">
        <f>C1381&amp;D1381</f>
        <v/>
      </c>
      <c r="C1381" s="6">
        <f>YEAR(E1381)</f>
        <v/>
      </c>
      <c r="D1381" s="6">
        <f>MONTH(E1381)</f>
        <v/>
      </c>
      <c r="E1381" s="267">
        <f>IFERROR(__xludf.DUMMYFUNCTION("""COMPUTED_VALUE"""),45104.6666666666)</f>
        <v/>
      </c>
      <c r="F1381" s="6">
        <f>IFERROR(__xludf.DUMMYFUNCTION("""COMPUTED_VALUE"""),4378.41)</f>
        <v/>
      </c>
      <c r="J1381" s="6">
        <f>K1381&amp;L1381</f>
        <v/>
      </c>
      <c r="K1381" s="6">
        <f>YEAR(M1381)</f>
        <v/>
      </c>
      <c r="L1381" s="6">
        <f>MONTH(M1381)</f>
        <v/>
      </c>
      <c r="M1381" s="267">
        <f>IFERROR(__xludf.DUMMYFUNCTION("""COMPUTED_VALUE"""),45093.6666666666)</f>
        <v/>
      </c>
      <c r="N1381" s="6">
        <f>IFERROR(__xludf.DUMMYFUNCTION("""COMPUTED_VALUE"""),13689.57)</f>
        <v/>
      </c>
      <c r="R1381" s="6">
        <f>S1381&amp;T1381</f>
        <v/>
      </c>
      <c r="S1381" s="6">
        <f>YEAR(U1381)</f>
        <v/>
      </c>
      <c r="T1381" s="6">
        <f>MONTH(U1381)</f>
        <v/>
      </c>
      <c r="U1381" s="267">
        <f>IFERROR(__xludf.DUMMYFUNCTION("""COMPUTED_VALUE"""),45147.6458333333)</f>
        <v/>
      </c>
      <c r="V1381" s="6">
        <f>IFERROR(__xludf.DUMMYFUNCTION("""COMPUTED_VALUE"""),2605.12)</f>
        <v/>
      </c>
      <c r="Z1381" s="6">
        <f>AA1381&amp;AB1381</f>
        <v/>
      </c>
      <c r="AA1381" s="6">
        <f>YEAR(AC1381)</f>
        <v/>
      </c>
      <c r="AB1381" s="6">
        <f>MONTH(AC1381)</f>
        <v/>
      </c>
      <c r="AC1381" s="267">
        <f>IFERROR(__xludf.DUMMYFUNCTION("""COMPUTED_VALUE"""),44530.9986111111)</f>
        <v/>
      </c>
      <c r="AD1381" s="6">
        <f>IFERROR(__xludf.DUMMYFUNCTION("""COMPUTED_VALUE"""),1182.86)</f>
        <v/>
      </c>
      <c r="AH1381" s="6">
        <f>AI1381&amp;AJ1381</f>
        <v/>
      </c>
      <c r="AI1381" s="6">
        <f>YEAR(AK1381)</f>
        <v/>
      </c>
      <c r="AJ1381" s="6">
        <f>MONTH(AK1381)</f>
        <v/>
      </c>
      <c r="AK1381" s="267">
        <f>IFERROR(__xludf.DUMMYFUNCTION("""COMPUTED_VALUE"""),44474.9986111111)</f>
        <v/>
      </c>
      <c r="AL1381" s="6">
        <f>IFERROR(__xludf.DUMMYFUNCTION("""COMPUTED_VALUE"""),51490.58)</f>
        <v/>
      </c>
      <c r="AP1381" s="6">
        <f>AQ1381&amp;AR1381</f>
        <v/>
      </c>
      <c r="AQ1381" s="6">
        <f>YEAR(AS1381)</f>
        <v/>
      </c>
      <c r="AR1381" s="6">
        <f>MONTH(AS1381)</f>
        <v/>
      </c>
      <c r="AS1381" s="267">
        <f>IFERROR(__xludf.DUMMYFUNCTION("""COMPUTED_VALUE"""),45112.9986111111)</f>
        <v/>
      </c>
      <c r="AT1381" s="6">
        <f>IFERROR(__xludf.DUMMYFUNCTION("""COMPUTED_VALUE"""),1927.1)</f>
        <v/>
      </c>
    </row>
    <row r="1382">
      <c r="B1382" s="6">
        <f>C1382&amp;D1382</f>
        <v/>
      </c>
      <c r="C1382" s="6">
        <f>YEAR(E1382)</f>
        <v/>
      </c>
      <c r="D1382" s="6">
        <f>MONTH(E1382)</f>
        <v/>
      </c>
      <c r="E1382" s="267">
        <f>IFERROR(__xludf.DUMMYFUNCTION("""COMPUTED_VALUE"""),45105.6666666666)</f>
        <v/>
      </c>
      <c r="F1382" s="6">
        <f>IFERROR(__xludf.DUMMYFUNCTION("""COMPUTED_VALUE"""),4376.86)</f>
        <v/>
      </c>
      <c r="J1382" s="6">
        <f>K1382&amp;L1382</f>
        <v/>
      </c>
      <c r="K1382" s="6">
        <f>YEAR(M1382)</f>
        <v/>
      </c>
      <c r="L1382" s="6">
        <f>MONTH(M1382)</f>
        <v/>
      </c>
      <c r="M1382" s="267">
        <f>IFERROR(__xludf.DUMMYFUNCTION("""COMPUTED_VALUE"""),45097.6666666666)</f>
        <v/>
      </c>
      <c r="N1382" s="6">
        <f>IFERROR(__xludf.DUMMYFUNCTION("""COMPUTED_VALUE"""),13667.29)</f>
        <v/>
      </c>
      <c r="R1382" s="6">
        <f>S1382&amp;T1382</f>
        <v/>
      </c>
      <c r="S1382" s="6">
        <f>YEAR(U1382)</f>
        <v/>
      </c>
      <c r="T1382" s="6">
        <f>MONTH(U1382)</f>
        <v/>
      </c>
      <c r="U1382" s="267">
        <f>IFERROR(__xludf.DUMMYFUNCTION("""COMPUTED_VALUE"""),45148.6458333333)</f>
        <v/>
      </c>
      <c r="V1382" s="6">
        <f>IFERROR(__xludf.DUMMYFUNCTION("""COMPUTED_VALUE"""),2601.56)</f>
        <v/>
      </c>
      <c r="Z1382" s="6">
        <f>AA1382&amp;AB1382</f>
        <v/>
      </c>
      <c r="AA1382" s="6">
        <f>YEAR(AC1382)</f>
        <v/>
      </c>
      <c r="AB1382" s="6">
        <f>MONTH(AC1382)</f>
        <v/>
      </c>
      <c r="AC1382" s="267">
        <f>IFERROR(__xludf.DUMMYFUNCTION("""COMPUTED_VALUE"""),44531.9986111111)</f>
        <v/>
      </c>
      <c r="AD1382" s="6">
        <f>IFERROR(__xludf.DUMMYFUNCTION("""COMPUTED_VALUE"""),1177.11)</f>
        <v/>
      </c>
      <c r="AH1382" s="6">
        <f>AI1382&amp;AJ1382</f>
        <v/>
      </c>
      <c r="AI1382" s="6">
        <f>YEAR(AK1382)</f>
        <v/>
      </c>
      <c r="AJ1382" s="6">
        <f>MONTH(AK1382)</f>
        <v/>
      </c>
      <c r="AK1382" s="267">
        <f>IFERROR(__xludf.DUMMYFUNCTION("""COMPUTED_VALUE"""),44475.9986111111)</f>
        <v/>
      </c>
      <c r="AL1382" s="6">
        <f>IFERROR(__xludf.DUMMYFUNCTION("""COMPUTED_VALUE"""),55338.91)</f>
        <v/>
      </c>
      <c r="AP1382" s="6">
        <f>AQ1382&amp;AR1382</f>
        <v/>
      </c>
      <c r="AQ1382" s="6">
        <f>YEAR(AS1382)</f>
        <v/>
      </c>
      <c r="AR1382" s="6">
        <f>MONTH(AS1382)</f>
        <v/>
      </c>
      <c r="AS1382" s="267">
        <f>IFERROR(__xludf.DUMMYFUNCTION("""COMPUTED_VALUE"""),45113.9986111111)</f>
        <v/>
      </c>
      <c r="AT1382" s="6">
        <f>IFERROR(__xludf.DUMMYFUNCTION("""COMPUTED_VALUE"""),1915.4)</f>
        <v/>
      </c>
    </row>
    <row r="1383">
      <c r="B1383" s="6">
        <f>C1383&amp;D1383</f>
        <v/>
      </c>
      <c r="C1383" s="6">
        <f>YEAR(E1383)</f>
        <v/>
      </c>
      <c r="D1383" s="6">
        <f>MONTH(E1383)</f>
        <v/>
      </c>
      <c r="E1383" s="267">
        <f>IFERROR(__xludf.DUMMYFUNCTION("""COMPUTED_VALUE"""),45106.6666666666)</f>
        <v/>
      </c>
      <c r="F1383" s="6">
        <f>IFERROR(__xludf.DUMMYFUNCTION("""COMPUTED_VALUE"""),4396.44)</f>
        <v/>
      </c>
      <c r="J1383" s="6">
        <f>K1383&amp;L1383</f>
        <v/>
      </c>
      <c r="K1383" s="6">
        <f>YEAR(M1383)</f>
        <v/>
      </c>
      <c r="L1383" s="6">
        <f>MONTH(M1383)</f>
        <v/>
      </c>
      <c r="M1383" s="267">
        <f>IFERROR(__xludf.DUMMYFUNCTION("""COMPUTED_VALUE"""),45098.6666666666)</f>
        <v/>
      </c>
      <c r="N1383" s="6">
        <f>IFERROR(__xludf.DUMMYFUNCTION("""COMPUTED_VALUE"""),13502.2)</f>
        <v/>
      </c>
      <c r="R1383" s="6">
        <f>S1383&amp;T1383</f>
        <v/>
      </c>
      <c r="S1383" s="6">
        <f>YEAR(U1383)</f>
        <v/>
      </c>
      <c r="T1383" s="6">
        <f>MONTH(U1383)</f>
        <v/>
      </c>
      <c r="U1383" s="267">
        <f>IFERROR(__xludf.DUMMYFUNCTION("""COMPUTED_VALUE"""),45149.6458333333)</f>
        <v/>
      </c>
      <c r="V1383" s="6">
        <f>IFERROR(__xludf.DUMMYFUNCTION("""COMPUTED_VALUE"""),2591.26)</f>
        <v/>
      </c>
      <c r="Z1383" s="6">
        <f>AA1383&amp;AB1383</f>
        <v/>
      </c>
      <c r="AA1383" s="6">
        <f>YEAR(AC1383)</f>
        <v/>
      </c>
      <c r="AB1383" s="6">
        <f>MONTH(AC1383)</f>
        <v/>
      </c>
      <c r="AC1383" s="267">
        <f>IFERROR(__xludf.DUMMYFUNCTION("""COMPUTED_VALUE"""),44532.9986111111)</f>
        <v/>
      </c>
      <c r="AD1383" s="6">
        <f>IFERROR(__xludf.DUMMYFUNCTION("""COMPUTED_VALUE"""),1176.77)</f>
        <v/>
      </c>
      <c r="AH1383" s="6">
        <f>AI1383&amp;AJ1383</f>
        <v/>
      </c>
      <c r="AI1383" s="6">
        <f>YEAR(AK1383)</f>
        <v/>
      </c>
      <c r="AJ1383" s="6">
        <f>MONTH(AK1383)</f>
        <v/>
      </c>
      <c r="AK1383" s="267">
        <f>IFERROR(__xludf.DUMMYFUNCTION("""COMPUTED_VALUE"""),44476.9986111111)</f>
        <v/>
      </c>
      <c r="AL1383" s="6">
        <f>IFERROR(__xludf.DUMMYFUNCTION("""COMPUTED_VALUE"""),53781.91)</f>
        <v/>
      </c>
      <c r="AP1383" s="6">
        <f>AQ1383&amp;AR1383</f>
        <v/>
      </c>
      <c r="AQ1383" s="6">
        <f>YEAR(AS1383)</f>
        <v/>
      </c>
      <c r="AR1383" s="6">
        <f>MONTH(AS1383)</f>
        <v/>
      </c>
      <c r="AS1383" s="267">
        <f>IFERROR(__xludf.DUMMYFUNCTION("""COMPUTED_VALUE"""),45114.9986111111)</f>
        <v/>
      </c>
      <c r="AT1383" s="6">
        <f>IFERROR(__xludf.DUMMYFUNCTION("""COMPUTED_VALUE"""),1932.5)</f>
        <v/>
      </c>
    </row>
    <row r="1384">
      <c r="B1384" s="6">
        <f>C1384&amp;D1384</f>
        <v/>
      </c>
      <c r="C1384" s="6">
        <f>YEAR(E1384)</f>
        <v/>
      </c>
      <c r="D1384" s="6">
        <f>MONTH(E1384)</f>
        <v/>
      </c>
      <c r="E1384" s="267">
        <f>IFERROR(__xludf.DUMMYFUNCTION("""COMPUTED_VALUE"""),45107.6666666666)</f>
        <v/>
      </c>
      <c r="F1384" s="6">
        <f>IFERROR(__xludf.DUMMYFUNCTION("""COMPUTED_VALUE"""),4450.38)</f>
        <v/>
      </c>
      <c r="J1384" s="6">
        <f>K1384&amp;L1384</f>
        <v/>
      </c>
      <c r="K1384" s="6">
        <f>YEAR(M1384)</f>
        <v/>
      </c>
      <c r="L1384" s="6">
        <f>MONTH(M1384)</f>
        <v/>
      </c>
      <c r="M1384" s="267">
        <f>IFERROR(__xludf.DUMMYFUNCTION("""COMPUTED_VALUE"""),45099.6666666666)</f>
        <v/>
      </c>
      <c r="N1384" s="6">
        <f>IFERROR(__xludf.DUMMYFUNCTION("""COMPUTED_VALUE"""),13630.61)</f>
        <v/>
      </c>
      <c r="R1384" s="6">
        <f>S1384&amp;T1384</f>
        <v/>
      </c>
      <c r="S1384" s="6">
        <f>YEAR(U1384)</f>
        <v/>
      </c>
      <c r="T1384" s="6">
        <f>MONTH(U1384)</f>
        <v/>
      </c>
      <c r="U1384" s="267">
        <f>IFERROR(__xludf.DUMMYFUNCTION("""COMPUTED_VALUE"""),45152.6458333333)</f>
        <v/>
      </c>
      <c r="V1384" s="6">
        <f>IFERROR(__xludf.DUMMYFUNCTION("""COMPUTED_VALUE"""),2570.87)</f>
        <v/>
      </c>
      <c r="Z1384" s="6">
        <f>AA1384&amp;AB1384</f>
        <v/>
      </c>
      <c r="AA1384" s="6">
        <f>YEAR(AC1384)</f>
        <v/>
      </c>
      <c r="AB1384" s="6">
        <f>MONTH(AC1384)</f>
        <v/>
      </c>
      <c r="AC1384" s="267">
        <f>IFERROR(__xludf.DUMMYFUNCTION("""COMPUTED_VALUE"""),44533.9986111111)</f>
        <v/>
      </c>
      <c r="AD1384" s="6">
        <f>IFERROR(__xludf.DUMMYFUNCTION("""COMPUTED_VALUE"""),1183.24)</f>
        <v/>
      </c>
      <c r="AH1384" s="6">
        <f>AI1384&amp;AJ1384</f>
        <v/>
      </c>
      <c r="AI1384" s="6">
        <f>YEAR(AK1384)</f>
        <v/>
      </c>
      <c r="AJ1384" s="6">
        <f>MONTH(AK1384)</f>
        <v/>
      </c>
      <c r="AK1384" s="267">
        <f>IFERROR(__xludf.DUMMYFUNCTION("""COMPUTED_VALUE"""),44477.9986111111)</f>
        <v/>
      </c>
      <c r="AL1384" s="6">
        <f>IFERROR(__xludf.DUMMYFUNCTION("""COMPUTED_VALUE"""),53941.22)</f>
        <v/>
      </c>
      <c r="AP1384" s="6">
        <f>AQ1384&amp;AR1384</f>
        <v/>
      </c>
      <c r="AQ1384" s="6">
        <f>YEAR(AS1384)</f>
        <v/>
      </c>
      <c r="AR1384" s="6">
        <f>MONTH(AS1384)</f>
        <v/>
      </c>
      <c r="AS1384" s="267">
        <f>IFERROR(__xludf.DUMMYFUNCTION("""COMPUTED_VALUE"""),45117.9986111111)</f>
        <v/>
      </c>
      <c r="AT1384" s="6">
        <f>IFERROR(__xludf.DUMMYFUNCTION("""COMPUTED_VALUE"""),1931)</f>
        <v/>
      </c>
    </row>
    <row r="1385">
      <c r="B1385" s="6">
        <f>C1385&amp;D1385</f>
        <v/>
      </c>
      <c r="C1385" s="6">
        <f>YEAR(E1385)</f>
        <v/>
      </c>
      <c r="D1385" s="6">
        <f>MONTH(E1385)</f>
        <v/>
      </c>
      <c r="E1385" s="267">
        <f>IFERROR(__xludf.DUMMYFUNCTION("""COMPUTED_VALUE"""),45110.5416666666)</f>
        <v/>
      </c>
      <c r="F1385" s="6">
        <f>IFERROR(__xludf.DUMMYFUNCTION("""COMPUTED_VALUE"""),4455.59)</f>
        <v/>
      </c>
      <c r="J1385" s="6">
        <f>K1385&amp;L1385</f>
        <v/>
      </c>
      <c r="K1385" s="6">
        <f>YEAR(M1385)</f>
        <v/>
      </c>
      <c r="L1385" s="6">
        <f>MONTH(M1385)</f>
        <v/>
      </c>
      <c r="M1385" s="267">
        <f>IFERROR(__xludf.DUMMYFUNCTION("""COMPUTED_VALUE"""),45100.6666666666)</f>
        <v/>
      </c>
      <c r="N1385" s="6">
        <f>IFERROR(__xludf.DUMMYFUNCTION("""COMPUTED_VALUE"""),13492.52)</f>
        <v/>
      </c>
      <c r="R1385" s="6">
        <f>S1385&amp;T1385</f>
        <v/>
      </c>
      <c r="S1385" s="6">
        <f>YEAR(U1385)</f>
        <v/>
      </c>
      <c r="T1385" s="6">
        <f>MONTH(U1385)</f>
        <v/>
      </c>
      <c r="U1385" s="267">
        <f>IFERROR(__xludf.DUMMYFUNCTION("""COMPUTED_VALUE"""),45154.6458333333)</f>
        <v/>
      </c>
      <c r="V1385" s="6">
        <f>IFERROR(__xludf.DUMMYFUNCTION("""COMPUTED_VALUE"""),2525.64)</f>
        <v/>
      </c>
      <c r="Z1385" s="6">
        <f>AA1385&amp;AB1385</f>
        <v/>
      </c>
      <c r="AA1385" s="6">
        <f>YEAR(AC1385)</f>
        <v/>
      </c>
      <c r="AB1385" s="6">
        <f>MONTH(AC1385)</f>
        <v/>
      </c>
      <c r="AC1385" s="267">
        <f>IFERROR(__xludf.DUMMYFUNCTION("""COMPUTED_VALUE"""),44534.9986111111)</f>
        <v/>
      </c>
      <c r="AD1385" s="6">
        <f>IFERROR(__xludf.DUMMYFUNCTION("""COMPUTED_VALUE"""),1183.14)</f>
        <v/>
      </c>
      <c r="AH1385" s="6">
        <f>AI1385&amp;AJ1385</f>
        <v/>
      </c>
      <c r="AI1385" s="6">
        <f>YEAR(AK1385)</f>
        <v/>
      </c>
      <c r="AJ1385" s="6">
        <f>MONTH(AK1385)</f>
        <v/>
      </c>
      <c r="AK1385" s="267">
        <f>IFERROR(__xludf.DUMMYFUNCTION("""COMPUTED_VALUE"""),44478.9986111111)</f>
        <v/>
      </c>
      <c r="AL1385" s="6">
        <f>IFERROR(__xludf.DUMMYFUNCTION("""COMPUTED_VALUE"""),54963.55)</f>
        <v/>
      </c>
      <c r="AP1385" s="6">
        <f>AQ1385&amp;AR1385</f>
        <v/>
      </c>
      <c r="AQ1385" s="6">
        <f>YEAR(AS1385)</f>
        <v/>
      </c>
      <c r="AR1385" s="6">
        <f>MONTH(AS1385)</f>
        <v/>
      </c>
      <c r="AS1385" s="267">
        <f>IFERROR(__xludf.DUMMYFUNCTION("""COMPUTED_VALUE"""),45118.9986111111)</f>
        <v/>
      </c>
      <c r="AT1385" s="6">
        <f>IFERROR(__xludf.DUMMYFUNCTION("""COMPUTED_VALUE"""),1937.1)</f>
        <v/>
      </c>
    </row>
    <row r="1386">
      <c r="B1386" s="6">
        <f>C1386&amp;D1386</f>
        <v/>
      </c>
      <c r="C1386" s="6">
        <f>YEAR(E1386)</f>
        <v/>
      </c>
      <c r="D1386" s="6">
        <f>MONTH(E1386)</f>
        <v/>
      </c>
      <c r="E1386" s="267">
        <f>IFERROR(__xludf.DUMMYFUNCTION("""COMPUTED_VALUE"""),45112.6666666666)</f>
        <v/>
      </c>
      <c r="F1386" s="6">
        <f>IFERROR(__xludf.DUMMYFUNCTION("""COMPUTED_VALUE"""),4446.82)</f>
        <v/>
      </c>
      <c r="J1386" s="6">
        <f>K1386&amp;L1386</f>
        <v/>
      </c>
      <c r="K1386" s="6">
        <f>YEAR(M1386)</f>
        <v/>
      </c>
      <c r="L1386" s="6">
        <f>MONTH(M1386)</f>
        <v/>
      </c>
      <c r="M1386" s="267">
        <f>IFERROR(__xludf.DUMMYFUNCTION("""COMPUTED_VALUE"""),45103.6666666666)</f>
        <v/>
      </c>
      <c r="N1386" s="6">
        <f>IFERROR(__xludf.DUMMYFUNCTION("""COMPUTED_VALUE"""),13335.78)</f>
        <v/>
      </c>
      <c r="R1386" s="6">
        <f>S1386&amp;T1386</f>
        <v/>
      </c>
      <c r="S1386" s="6">
        <f>YEAR(U1386)</f>
        <v/>
      </c>
      <c r="T1386" s="6">
        <f>MONTH(U1386)</f>
        <v/>
      </c>
      <c r="U1386" s="267">
        <f>IFERROR(__xludf.DUMMYFUNCTION("""COMPUTED_VALUE"""),45155.6458333333)</f>
        <v/>
      </c>
      <c r="V1386" s="6">
        <f>IFERROR(__xludf.DUMMYFUNCTION("""COMPUTED_VALUE"""),2519.85)</f>
        <v/>
      </c>
      <c r="Z1386" s="6">
        <f>AA1386&amp;AB1386</f>
        <v/>
      </c>
      <c r="AA1386" s="6">
        <f>YEAR(AC1386)</f>
        <v/>
      </c>
      <c r="AB1386" s="6">
        <f>MONTH(AC1386)</f>
        <v/>
      </c>
      <c r="AC1386" s="267">
        <f>IFERROR(__xludf.DUMMYFUNCTION("""COMPUTED_VALUE"""),44535.9986111111)</f>
        <v/>
      </c>
      <c r="AD1386" s="6">
        <f>IFERROR(__xludf.DUMMYFUNCTION("""COMPUTED_VALUE"""),1183.14)</f>
        <v/>
      </c>
      <c r="AH1386" s="6">
        <f>AI1386&amp;AJ1386</f>
        <v/>
      </c>
      <c r="AI1386" s="6">
        <f>YEAR(AK1386)</f>
        <v/>
      </c>
      <c r="AJ1386" s="6">
        <f>MONTH(AK1386)</f>
        <v/>
      </c>
      <c r="AK1386" s="267">
        <f>IFERROR(__xludf.DUMMYFUNCTION("""COMPUTED_VALUE"""),44479.9986111111)</f>
        <v/>
      </c>
      <c r="AL1386" s="6">
        <f>IFERROR(__xludf.DUMMYFUNCTION("""COMPUTED_VALUE"""),54701.61)</f>
        <v/>
      </c>
      <c r="AP1386" s="6">
        <f>AQ1386&amp;AR1386</f>
        <v/>
      </c>
      <c r="AQ1386" s="6">
        <f>YEAR(AS1386)</f>
        <v/>
      </c>
      <c r="AR1386" s="6">
        <f>MONTH(AS1386)</f>
        <v/>
      </c>
      <c r="AS1386" s="267">
        <f>IFERROR(__xludf.DUMMYFUNCTION("""COMPUTED_VALUE"""),45119.9986111111)</f>
        <v/>
      </c>
      <c r="AT1386" s="6">
        <f>IFERROR(__xludf.DUMMYFUNCTION("""COMPUTED_VALUE"""),1961.7)</f>
        <v/>
      </c>
    </row>
    <row r="1387">
      <c r="B1387" s="6">
        <f>C1387&amp;D1387</f>
        <v/>
      </c>
      <c r="C1387" s="6">
        <f>YEAR(E1387)</f>
        <v/>
      </c>
      <c r="D1387" s="6">
        <f>MONTH(E1387)</f>
        <v/>
      </c>
      <c r="E1387" s="267">
        <f>IFERROR(__xludf.DUMMYFUNCTION("""COMPUTED_VALUE"""),45113.6666666666)</f>
        <v/>
      </c>
      <c r="F1387" s="6">
        <f>IFERROR(__xludf.DUMMYFUNCTION("""COMPUTED_VALUE"""),4411.59)</f>
        <v/>
      </c>
      <c r="J1387" s="6">
        <f>K1387&amp;L1387</f>
        <v/>
      </c>
      <c r="K1387" s="6">
        <f>YEAR(M1387)</f>
        <v/>
      </c>
      <c r="L1387" s="6">
        <f>MONTH(M1387)</f>
        <v/>
      </c>
      <c r="M1387" s="267">
        <f>IFERROR(__xludf.DUMMYFUNCTION("""COMPUTED_VALUE"""),45104.6666666666)</f>
        <v/>
      </c>
      <c r="N1387" s="6">
        <f>IFERROR(__xludf.DUMMYFUNCTION("""COMPUTED_VALUE"""),13555.67)</f>
        <v/>
      </c>
      <c r="R1387" s="6">
        <f>S1387&amp;T1387</f>
        <v/>
      </c>
      <c r="S1387" s="6">
        <f>YEAR(U1387)</f>
        <v/>
      </c>
      <c r="T1387" s="6">
        <f>MONTH(U1387)</f>
        <v/>
      </c>
      <c r="U1387" s="267">
        <f>IFERROR(__xludf.DUMMYFUNCTION("""COMPUTED_VALUE"""),45156.6458333333)</f>
        <v/>
      </c>
      <c r="V1387" s="6">
        <f>IFERROR(__xludf.DUMMYFUNCTION("""COMPUTED_VALUE"""),2504.5)</f>
        <v/>
      </c>
      <c r="Z1387" s="6">
        <f>AA1387&amp;AB1387</f>
        <v/>
      </c>
      <c r="AA1387" s="6">
        <f>YEAR(AC1387)</f>
        <v/>
      </c>
      <c r="AB1387" s="6">
        <f>MONTH(AC1387)</f>
        <v/>
      </c>
      <c r="AC1387" s="267">
        <f>IFERROR(__xludf.DUMMYFUNCTION("""COMPUTED_VALUE"""),44536.9986111111)</f>
        <v/>
      </c>
      <c r="AD1387" s="6">
        <f>IFERROR(__xludf.DUMMYFUNCTION("""COMPUTED_VALUE"""),1180.56)</f>
        <v/>
      </c>
      <c r="AH1387" s="6">
        <f>AI1387&amp;AJ1387</f>
        <v/>
      </c>
      <c r="AI1387" s="6">
        <f>YEAR(AK1387)</f>
        <v/>
      </c>
      <c r="AJ1387" s="6">
        <f>MONTH(AK1387)</f>
        <v/>
      </c>
      <c r="AK1387" s="267">
        <f>IFERROR(__xludf.DUMMYFUNCTION("""COMPUTED_VALUE"""),44480.9986111111)</f>
        <v/>
      </c>
      <c r="AL1387" s="6">
        <f>IFERROR(__xludf.DUMMYFUNCTION("""COMPUTED_VALUE"""),57489.84)</f>
        <v/>
      </c>
      <c r="AP1387" s="6">
        <f>AQ1387&amp;AR1387</f>
        <v/>
      </c>
      <c r="AQ1387" s="6">
        <f>YEAR(AS1387)</f>
        <v/>
      </c>
      <c r="AR1387" s="6">
        <f>MONTH(AS1387)</f>
        <v/>
      </c>
      <c r="AS1387" s="267">
        <f>IFERROR(__xludf.DUMMYFUNCTION("""COMPUTED_VALUE"""),45120.9986111111)</f>
        <v/>
      </c>
      <c r="AT1387" s="6">
        <f>IFERROR(__xludf.DUMMYFUNCTION("""COMPUTED_VALUE"""),1963.8)</f>
        <v/>
      </c>
    </row>
    <row r="1388">
      <c r="B1388" s="6">
        <f>C1388&amp;D1388</f>
        <v/>
      </c>
      <c r="C1388" s="6">
        <f>YEAR(E1388)</f>
        <v/>
      </c>
      <c r="D1388" s="6">
        <f>MONTH(E1388)</f>
        <v/>
      </c>
      <c r="E1388" s="267">
        <f>IFERROR(__xludf.DUMMYFUNCTION("""COMPUTED_VALUE"""),45114.6666666666)</f>
        <v/>
      </c>
      <c r="F1388" s="6">
        <f>IFERROR(__xludf.DUMMYFUNCTION("""COMPUTED_VALUE"""),4398.95)</f>
        <v/>
      </c>
      <c r="J1388" s="6">
        <f>K1388&amp;L1388</f>
        <v/>
      </c>
      <c r="K1388" s="6">
        <f>YEAR(M1388)</f>
        <v/>
      </c>
      <c r="L1388" s="6">
        <f>MONTH(M1388)</f>
        <v/>
      </c>
      <c r="M1388" s="267">
        <f>IFERROR(__xludf.DUMMYFUNCTION("""COMPUTED_VALUE"""),45105.6666666666)</f>
        <v/>
      </c>
      <c r="N1388" s="6">
        <f>IFERROR(__xludf.DUMMYFUNCTION("""COMPUTED_VALUE"""),13591.75)</f>
        <v/>
      </c>
      <c r="R1388" s="6">
        <f>S1388&amp;T1388</f>
        <v/>
      </c>
      <c r="S1388" s="6">
        <f>YEAR(U1388)</f>
        <v/>
      </c>
      <c r="T1388" s="6">
        <f>MONTH(U1388)</f>
        <v/>
      </c>
      <c r="U1388" s="267">
        <f>IFERROR(__xludf.DUMMYFUNCTION("""COMPUTED_VALUE"""),45159.6458333333)</f>
        <v/>
      </c>
      <c r="V1388" s="6">
        <f>IFERROR(__xludf.DUMMYFUNCTION("""COMPUTED_VALUE"""),2508.8)</f>
        <v/>
      </c>
      <c r="Z1388" s="6">
        <f>AA1388&amp;AB1388</f>
        <v/>
      </c>
      <c r="AA1388" s="6">
        <f>YEAR(AC1388)</f>
        <v/>
      </c>
      <c r="AB1388" s="6">
        <f>MONTH(AC1388)</f>
        <v/>
      </c>
      <c r="AC1388" s="267">
        <f>IFERROR(__xludf.DUMMYFUNCTION("""COMPUTED_VALUE"""),44537.9986111111)</f>
        <v/>
      </c>
      <c r="AD1388" s="6">
        <f>IFERROR(__xludf.DUMMYFUNCTION("""COMPUTED_VALUE"""),1176.84)</f>
        <v/>
      </c>
      <c r="AH1388" s="6">
        <f>AI1388&amp;AJ1388</f>
        <v/>
      </c>
      <c r="AI1388" s="6">
        <f>YEAR(AK1388)</f>
        <v/>
      </c>
      <c r="AJ1388" s="6">
        <f>MONTH(AK1388)</f>
        <v/>
      </c>
      <c r="AK1388" s="267">
        <f>IFERROR(__xludf.DUMMYFUNCTION("""COMPUTED_VALUE"""),44481.9986111111)</f>
        <v/>
      </c>
      <c r="AL1388" s="6">
        <f>IFERROR(__xludf.DUMMYFUNCTION("""COMPUTED_VALUE"""),56008.42)</f>
        <v/>
      </c>
      <c r="AP1388" s="6">
        <f>AQ1388&amp;AR1388</f>
        <v/>
      </c>
      <c r="AQ1388" s="6">
        <f>YEAR(AS1388)</f>
        <v/>
      </c>
      <c r="AR1388" s="6">
        <f>MONTH(AS1388)</f>
        <v/>
      </c>
      <c r="AS1388" s="267">
        <f>IFERROR(__xludf.DUMMYFUNCTION("""COMPUTED_VALUE"""),45121.9986111111)</f>
        <v/>
      </c>
      <c r="AT1388" s="6">
        <f>IFERROR(__xludf.DUMMYFUNCTION("""COMPUTED_VALUE"""),1964.4)</f>
        <v/>
      </c>
    </row>
    <row r="1389">
      <c r="B1389" s="6">
        <f>C1389&amp;D1389</f>
        <v/>
      </c>
      <c r="C1389" s="6">
        <f>YEAR(E1389)</f>
        <v/>
      </c>
      <c r="D1389" s="6">
        <f>MONTH(E1389)</f>
        <v/>
      </c>
      <c r="E1389" s="267">
        <f>IFERROR(__xludf.DUMMYFUNCTION("""COMPUTED_VALUE"""),45117.6666666666)</f>
        <v/>
      </c>
      <c r="F1389" s="6">
        <f>IFERROR(__xludf.DUMMYFUNCTION("""COMPUTED_VALUE"""),4409.53)</f>
        <v/>
      </c>
      <c r="J1389" s="6">
        <f>K1389&amp;L1389</f>
        <v/>
      </c>
      <c r="K1389" s="6">
        <f>YEAR(M1389)</f>
        <v/>
      </c>
      <c r="L1389" s="6">
        <f>MONTH(M1389)</f>
        <v/>
      </c>
      <c r="M1389" s="267">
        <f>IFERROR(__xludf.DUMMYFUNCTION("""COMPUTED_VALUE"""),45106.6666666666)</f>
        <v/>
      </c>
      <c r="N1389" s="6">
        <f>IFERROR(__xludf.DUMMYFUNCTION("""COMPUTED_VALUE"""),13591.33)</f>
        <v/>
      </c>
      <c r="R1389" s="6">
        <f>S1389&amp;T1389</f>
        <v/>
      </c>
      <c r="S1389" s="6">
        <f>YEAR(U1389)</f>
        <v/>
      </c>
      <c r="T1389" s="6">
        <f>MONTH(U1389)</f>
        <v/>
      </c>
      <c r="U1389" s="267">
        <f>IFERROR(__xludf.DUMMYFUNCTION("""COMPUTED_VALUE"""),45160.6458333333)</f>
        <v/>
      </c>
      <c r="V1389" s="6">
        <f>IFERROR(__xludf.DUMMYFUNCTION("""COMPUTED_VALUE"""),2515.74)</f>
        <v/>
      </c>
      <c r="Z1389" s="6">
        <f>AA1389&amp;AB1389</f>
        <v/>
      </c>
      <c r="AA1389" s="6">
        <f>YEAR(AC1389)</f>
        <v/>
      </c>
      <c r="AB1389" s="6">
        <f>MONTH(AC1389)</f>
        <v/>
      </c>
      <c r="AC1389" s="267">
        <f>IFERROR(__xludf.DUMMYFUNCTION("""COMPUTED_VALUE"""),44538.9986111111)</f>
        <v/>
      </c>
      <c r="AD1389" s="6">
        <f>IFERROR(__xludf.DUMMYFUNCTION("""COMPUTED_VALUE"""),1172.56)</f>
        <v/>
      </c>
      <c r="AH1389" s="6">
        <f>AI1389&amp;AJ1389</f>
        <v/>
      </c>
      <c r="AI1389" s="6">
        <f>YEAR(AK1389)</f>
        <v/>
      </c>
      <c r="AJ1389" s="6">
        <f>MONTH(AK1389)</f>
        <v/>
      </c>
      <c r="AK1389" s="267">
        <f>IFERROR(__xludf.DUMMYFUNCTION("""COMPUTED_VALUE"""),44482.9986111111)</f>
        <v/>
      </c>
      <c r="AL1389" s="6">
        <f>IFERROR(__xludf.DUMMYFUNCTION("""COMPUTED_VALUE"""),57383.79)</f>
        <v/>
      </c>
      <c r="AP1389" s="6">
        <f>AQ1389&amp;AR1389</f>
        <v/>
      </c>
      <c r="AQ1389" s="6">
        <f>YEAR(AS1389)</f>
        <v/>
      </c>
      <c r="AR1389" s="6">
        <f>MONTH(AS1389)</f>
        <v/>
      </c>
      <c r="AS1389" s="267">
        <f>IFERROR(__xludf.DUMMYFUNCTION("""COMPUTED_VALUE"""),45124.9986111111)</f>
        <v/>
      </c>
      <c r="AT1389" s="6">
        <f>IFERROR(__xludf.DUMMYFUNCTION("""COMPUTED_VALUE"""),1956.4)</f>
        <v/>
      </c>
    </row>
    <row r="1390">
      <c r="B1390" s="6">
        <f>C1390&amp;D1390</f>
        <v/>
      </c>
      <c r="C1390" s="6">
        <f>YEAR(E1390)</f>
        <v/>
      </c>
      <c r="D1390" s="6">
        <f>MONTH(E1390)</f>
        <v/>
      </c>
      <c r="E1390" s="267">
        <f>IFERROR(__xludf.DUMMYFUNCTION("""COMPUTED_VALUE"""),45118.6666666666)</f>
        <v/>
      </c>
      <c r="F1390" s="6">
        <f>IFERROR(__xludf.DUMMYFUNCTION("""COMPUTED_VALUE"""),4439.26)</f>
        <v/>
      </c>
      <c r="J1390" s="6">
        <f>K1390&amp;L1390</f>
        <v/>
      </c>
      <c r="K1390" s="6">
        <f>YEAR(M1390)</f>
        <v/>
      </c>
      <c r="L1390" s="6">
        <f>MONTH(M1390)</f>
        <v/>
      </c>
      <c r="M1390" s="267">
        <f>IFERROR(__xludf.DUMMYFUNCTION("""COMPUTED_VALUE"""),45107.6666666666)</f>
        <v/>
      </c>
      <c r="N1390" s="6">
        <f>IFERROR(__xludf.DUMMYFUNCTION("""COMPUTED_VALUE"""),13787.92)</f>
        <v/>
      </c>
      <c r="R1390" s="6">
        <f>S1390&amp;T1390</f>
        <v/>
      </c>
      <c r="S1390" s="6">
        <f>YEAR(U1390)</f>
        <v/>
      </c>
      <c r="T1390" s="6">
        <f>MONTH(U1390)</f>
        <v/>
      </c>
      <c r="U1390" s="267">
        <f>IFERROR(__xludf.DUMMYFUNCTION("""COMPUTED_VALUE"""),45161.6458333333)</f>
        <v/>
      </c>
      <c r="V1390" s="6">
        <f>IFERROR(__xludf.DUMMYFUNCTION("""COMPUTED_VALUE"""),2505.5)</f>
        <v/>
      </c>
      <c r="Z1390" s="6">
        <f>AA1390&amp;AB1390</f>
        <v/>
      </c>
      <c r="AA1390" s="6">
        <f>YEAR(AC1390)</f>
        <v/>
      </c>
      <c r="AB1390" s="6">
        <f>MONTH(AC1390)</f>
        <v/>
      </c>
      <c r="AC1390" s="267">
        <f>IFERROR(__xludf.DUMMYFUNCTION("""COMPUTED_VALUE"""),44539.9986111111)</f>
        <v/>
      </c>
      <c r="AD1390" s="6">
        <f>IFERROR(__xludf.DUMMYFUNCTION("""COMPUTED_VALUE"""),1177.33)</f>
        <v/>
      </c>
      <c r="AH1390" s="6">
        <f>AI1390&amp;AJ1390</f>
        <v/>
      </c>
      <c r="AI1390" s="6">
        <f>YEAR(AK1390)</f>
        <v/>
      </c>
      <c r="AJ1390" s="6">
        <f>MONTH(AK1390)</f>
        <v/>
      </c>
      <c r="AK1390" s="267">
        <f>IFERROR(__xludf.DUMMYFUNCTION("""COMPUTED_VALUE"""),44483.9986111111)</f>
        <v/>
      </c>
      <c r="AL1390" s="6">
        <f>IFERROR(__xludf.DUMMYFUNCTION("""COMPUTED_VALUE"""),57351.45)</f>
        <v/>
      </c>
      <c r="AP1390" s="6">
        <f>AQ1390&amp;AR1390</f>
        <v/>
      </c>
      <c r="AQ1390" s="6">
        <f>YEAR(AS1390)</f>
        <v/>
      </c>
      <c r="AR1390" s="6">
        <f>MONTH(AS1390)</f>
        <v/>
      </c>
      <c r="AS1390" s="267">
        <f>IFERROR(__xludf.DUMMYFUNCTION("""COMPUTED_VALUE"""),45125.9986111111)</f>
        <v/>
      </c>
      <c r="AT1390" s="6">
        <f>IFERROR(__xludf.DUMMYFUNCTION("""COMPUTED_VALUE"""),1980.8)</f>
        <v/>
      </c>
    </row>
    <row r="1391">
      <c r="B1391" s="6">
        <f>C1391&amp;D1391</f>
        <v/>
      </c>
      <c r="C1391" s="6">
        <f>YEAR(E1391)</f>
        <v/>
      </c>
      <c r="D1391" s="6">
        <f>MONTH(E1391)</f>
        <v/>
      </c>
      <c r="E1391" s="267">
        <f>IFERROR(__xludf.DUMMYFUNCTION("""COMPUTED_VALUE"""),45119.6666666666)</f>
        <v/>
      </c>
      <c r="F1391" s="6">
        <f>IFERROR(__xludf.DUMMYFUNCTION("""COMPUTED_VALUE"""),4472.16)</f>
        <v/>
      </c>
      <c r="J1391" s="6">
        <f>K1391&amp;L1391</f>
        <v/>
      </c>
      <c r="K1391" s="6">
        <f>YEAR(M1391)</f>
        <v/>
      </c>
      <c r="L1391" s="6">
        <f>MONTH(M1391)</f>
        <v/>
      </c>
      <c r="M1391" s="267">
        <f>IFERROR(__xludf.DUMMYFUNCTION("""COMPUTED_VALUE"""),45110.5451388888)</f>
        <v/>
      </c>
      <c r="N1391" s="6">
        <f>IFERROR(__xludf.DUMMYFUNCTION("""COMPUTED_VALUE"""),13816.77)</f>
        <v/>
      </c>
      <c r="R1391" s="6">
        <f>S1391&amp;T1391</f>
        <v/>
      </c>
      <c r="S1391" s="6">
        <f>YEAR(U1391)</f>
        <v/>
      </c>
      <c r="T1391" s="6">
        <f>MONTH(U1391)</f>
        <v/>
      </c>
      <c r="U1391" s="267">
        <f>IFERROR(__xludf.DUMMYFUNCTION("""COMPUTED_VALUE"""),45162.6458333333)</f>
        <v/>
      </c>
      <c r="V1391" s="6">
        <f>IFERROR(__xludf.DUMMYFUNCTION("""COMPUTED_VALUE"""),2537.68)</f>
        <v/>
      </c>
      <c r="Z1391" s="6">
        <f>AA1391&amp;AB1391</f>
        <v/>
      </c>
      <c r="AA1391" s="6">
        <f>YEAR(AC1391)</f>
        <v/>
      </c>
      <c r="AB1391" s="6">
        <f>MONTH(AC1391)</f>
        <v/>
      </c>
      <c r="AC1391" s="267">
        <f>IFERROR(__xludf.DUMMYFUNCTION("""COMPUTED_VALUE"""),44540.9986111111)</f>
        <v/>
      </c>
      <c r="AD1391" s="6">
        <f>IFERROR(__xludf.DUMMYFUNCTION("""COMPUTED_VALUE"""),1179.7)</f>
        <v/>
      </c>
      <c r="AH1391" s="6">
        <f>AI1391&amp;AJ1391</f>
        <v/>
      </c>
      <c r="AI1391" s="6">
        <f>YEAR(AK1391)</f>
        <v/>
      </c>
      <c r="AJ1391" s="6">
        <f>MONTH(AK1391)</f>
        <v/>
      </c>
      <c r="AK1391" s="267">
        <f>IFERROR(__xludf.DUMMYFUNCTION("""COMPUTED_VALUE"""),44484.9986111111)</f>
        <v/>
      </c>
      <c r="AL1391" s="6">
        <f>IFERROR(__xludf.DUMMYFUNCTION("""COMPUTED_VALUE"""),61663.95)</f>
        <v/>
      </c>
      <c r="AP1391" s="6">
        <f>AQ1391&amp;AR1391</f>
        <v/>
      </c>
      <c r="AQ1391" s="6">
        <f>YEAR(AS1391)</f>
        <v/>
      </c>
      <c r="AR1391" s="6">
        <f>MONTH(AS1391)</f>
        <v/>
      </c>
      <c r="AS1391" s="267">
        <f>IFERROR(__xludf.DUMMYFUNCTION("""COMPUTED_VALUE"""),45126.9986111111)</f>
        <v/>
      </c>
      <c r="AT1391" s="6">
        <f>IFERROR(__xludf.DUMMYFUNCTION("""COMPUTED_VALUE"""),2019.6)</f>
        <v/>
      </c>
    </row>
    <row r="1392">
      <c r="B1392" s="6">
        <f>C1392&amp;D1392</f>
        <v/>
      </c>
      <c r="C1392" s="6">
        <f>YEAR(E1392)</f>
        <v/>
      </c>
      <c r="D1392" s="6">
        <f>MONTH(E1392)</f>
        <v/>
      </c>
      <c r="E1392" s="267">
        <f>IFERROR(__xludf.DUMMYFUNCTION("""COMPUTED_VALUE"""),45120.6666666666)</f>
        <v/>
      </c>
      <c r="F1392" s="6">
        <f>IFERROR(__xludf.DUMMYFUNCTION("""COMPUTED_VALUE"""),4510.04)</f>
        <v/>
      </c>
      <c r="J1392" s="6">
        <f>K1392&amp;L1392</f>
        <v/>
      </c>
      <c r="K1392" s="6">
        <f>YEAR(M1392)</f>
        <v/>
      </c>
      <c r="L1392" s="6">
        <f>MONTH(M1392)</f>
        <v/>
      </c>
      <c r="M1392" s="267">
        <f>IFERROR(__xludf.DUMMYFUNCTION("""COMPUTED_VALUE"""),45112.6666666666)</f>
        <v/>
      </c>
      <c r="N1392" s="6">
        <f>IFERROR(__xludf.DUMMYFUNCTION("""COMPUTED_VALUE"""),13791.65)</f>
        <v/>
      </c>
      <c r="R1392" s="6">
        <f>S1392&amp;T1392</f>
        <v/>
      </c>
      <c r="S1392" s="6">
        <f>YEAR(U1392)</f>
        <v/>
      </c>
      <c r="T1392" s="6">
        <f>MONTH(U1392)</f>
        <v/>
      </c>
      <c r="U1392" s="267">
        <f>IFERROR(__xludf.DUMMYFUNCTION("""COMPUTED_VALUE"""),45163.6458333333)</f>
        <v/>
      </c>
      <c r="V1392" s="6">
        <f>IFERROR(__xludf.DUMMYFUNCTION("""COMPUTED_VALUE"""),2519.14)</f>
        <v/>
      </c>
      <c r="Z1392" s="6">
        <f>AA1392&amp;AB1392</f>
        <v/>
      </c>
      <c r="AA1392" s="6">
        <f>YEAR(AC1392)</f>
        <v/>
      </c>
      <c r="AB1392" s="6">
        <f>MONTH(AC1392)</f>
        <v/>
      </c>
      <c r="AC1392" s="267">
        <f>IFERROR(__xludf.DUMMYFUNCTION("""COMPUTED_VALUE"""),44541.9986111111)</f>
        <v/>
      </c>
      <c r="AD1392" s="6">
        <f>IFERROR(__xludf.DUMMYFUNCTION("""COMPUTED_VALUE"""),1179.1)</f>
        <v/>
      </c>
      <c r="AH1392" s="6">
        <f>AI1392&amp;AJ1392</f>
        <v/>
      </c>
      <c r="AI1392" s="6">
        <f>YEAR(AK1392)</f>
        <v/>
      </c>
      <c r="AJ1392" s="6">
        <f>MONTH(AK1392)</f>
        <v/>
      </c>
      <c r="AK1392" s="267">
        <f>IFERROR(__xludf.DUMMYFUNCTION("""COMPUTED_VALUE"""),44485.9986111111)</f>
        <v/>
      </c>
      <c r="AL1392" s="6">
        <f>IFERROR(__xludf.DUMMYFUNCTION("""COMPUTED_VALUE"""),60863.94)</f>
        <v/>
      </c>
      <c r="AP1392" s="6">
        <f>AQ1392&amp;AR1392</f>
        <v/>
      </c>
      <c r="AQ1392" s="6">
        <f>YEAR(AS1392)</f>
        <v/>
      </c>
      <c r="AR1392" s="6">
        <f>MONTH(AS1392)</f>
        <v/>
      </c>
      <c r="AS1392" s="267">
        <f>IFERROR(__xludf.DUMMYFUNCTION("""COMPUTED_VALUE"""),45127.9986111111)</f>
        <v/>
      </c>
      <c r="AT1392" s="6">
        <f>IFERROR(__xludf.DUMMYFUNCTION("""COMPUTED_VALUE"""),2009.8)</f>
        <v/>
      </c>
    </row>
    <row r="1393">
      <c r="B1393" s="6">
        <f>C1393&amp;D1393</f>
        <v/>
      </c>
      <c r="C1393" s="6">
        <f>YEAR(E1393)</f>
        <v/>
      </c>
      <c r="D1393" s="6">
        <f>MONTH(E1393)</f>
        <v/>
      </c>
      <c r="E1393" s="267">
        <f>IFERROR(__xludf.DUMMYFUNCTION("""COMPUTED_VALUE"""),45121.6666666666)</f>
        <v/>
      </c>
      <c r="F1393" s="6">
        <f>IFERROR(__xludf.DUMMYFUNCTION("""COMPUTED_VALUE"""),4505.42)</f>
        <v/>
      </c>
      <c r="J1393" s="6">
        <f>K1393&amp;L1393</f>
        <v/>
      </c>
      <c r="K1393" s="6">
        <f>YEAR(M1393)</f>
        <v/>
      </c>
      <c r="L1393" s="6">
        <f>MONTH(M1393)</f>
        <v/>
      </c>
      <c r="M1393" s="267">
        <f>IFERROR(__xludf.DUMMYFUNCTION("""COMPUTED_VALUE"""),45113.6666666666)</f>
        <v/>
      </c>
      <c r="N1393" s="6">
        <f>IFERROR(__xludf.DUMMYFUNCTION("""COMPUTED_VALUE"""),13679.04)</f>
        <v/>
      </c>
      <c r="R1393" s="6">
        <f>S1393&amp;T1393</f>
        <v/>
      </c>
      <c r="S1393" s="6">
        <f>YEAR(U1393)</f>
        <v/>
      </c>
      <c r="T1393" s="6">
        <f>MONTH(U1393)</f>
        <v/>
      </c>
      <c r="U1393" s="267">
        <f>IFERROR(__xludf.DUMMYFUNCTION("""COMPUTED_VALUE"""),45166.6458333333)</f>
        <v/>
      </c>
      <c r="V1393" s="6">
        <f>IFERROR(__xludf.DUMMYFUNCTION("""COMPUTED_VALUE"""),2543.41)</f>
        <v/>
      </c>
      <c r="Z1393" s="6">
        <f>AA1393&amp;AB1393</f>
        <v/>
      </c>
      <c r="AA1393" s="6">
        <f>YEAR(AC1393)</f>
        <v/>
      </c>
      <c r="AB1393" s="6">
        <f>MONTH(AC1393)</f>
        <v/>
      </c>
      <c r="AC1393" s="267">
        <f>IFERROR(__xludf.DUMMYFUNCTION("""COMPUTED_VALUE"""),44542.9986111111)</f>
        <v/>
      </c>
      <c r="AD1393" s="6">
        <f>IFERROR(__xludf.DUMMYFUNCTION("""COMPUTED_VALUE"""),1178.97)</f>
        <v/>
      </c>
      <c r="AH1393" s="6">
        <f>AI1393&amp;AJ1393</f>
        <v/>
      </c>
      <c r="AI1393" s="6">
        <f>YEAR(AK1393)</f>
        <v/>
      </c>
      <c r="AJ1393" s="6">
        <f>MONTH(AK1393)</f>
        <v/>
      </c>
      <c r="AK1393" s="267">
        <f>IFERROR(__xludf.DUMMYFUNCTION("""COMPUTED_VALUE"""),44486.9986111111)</f>
        <v/>
      </c>
      <c r="AL1393" s="6">
        <f>IFERROR(__xludf.DUMMYFUNCTION("""COMPUTED_VALUE"""),61522.43)</f>
        <v/>
      </c>
      <c r="AP1393" s="6">
        <f>AQ1393&amp;AR1393</f>
        <v/>
      </c>
      <c r="AQ1393" s="6">
        <f>YEAR(AS1393)</f>
        <v/>
      </c>
      <c r="AR1393" s="6">
        <f>MONTH(AS1393)</f>
        <v/>
      </c>
      <c r="AS1393" s="267">
        <f>IFERROR(__xludf.DUMMYFUNCTION("""COMPUTED_VALUE"""),45128.9986111111)</f>
        <v/>
      </c>
      <c r="AT1393" s="6">
        <f>IFERROR(__xludf.DUMMYFUNCTION("""COMPUTED_VALUE"""),2005.3)</f>
        <v/>
      </c>
    </row>
    <row r="1394">
      <c r="B1394" s="6">
        <f>C1394&amp;D1394</f>
        <v/>
      </c>
      <c r="C1394" s="6">
        <f>YEAR(E1394)</f>
        <v/>
      </c>
      <c r="D1394" s="6">
        <f>MONTH(E1394)</f>
        <v/>
      </c>
      <c r="E1394" s="267">
        <f>IFERROR(__xludf.DUMMYFUNCTION("""COMPUTED_VALUE"""),45124.6666666666)</f>
        <v/>
      </c>
      <c r="F1394" s="6">
        <f>IFERROR(__xludf.DUMMYFUNCTION("""COMPUTED_VALUE"""),4522.79)</f>
        <v/>
      </c>
      <c r="J1394" s="6">
        <f>K1394&amp;L1394</f>
        <v/>
      </c>
      <c r="K1394" s="6">
        <f>YEAR(M1394)</f>
        <v/>
      </c>
      <c r="L1394" s="6">
        <f>MONTH(M1394)</f>
        <v/>
      </c>
      <c r="M1394" s="267">
        <f>IFERROR(__xludf.DUMMYFUNCTION("""COMPUTED_VALUE"""),45114.6666666666)</f>
        <v/>
      </c>
      <c r="N1394" s="6">
        <f>IFERROR(__xludf.DUMMYFUNCTION("""COMPUTED_VALUE"""),13660.72)</f>
        <v/>
      </c>
      <c r="R1394" s="6">
        <f>S1394&amp;T1394</f>
        <v/>
      </c>
      <c r="S1394" s="6">
        <f>YEAR(U1394)</f>
        <v/>
      </c>
      <c r="T1394" s="6">
        <f>MONTH(U1394)</f>
        <v/>
      </c>
      <c r="U1394" s="267">
        <f>IFERROR(__xludf.DUMMYFUNCTION("""COMPUTED_VALUE"""),45167.6458333333)</f>
        <v/>
      </c>
      <c r="V1394" s="6">
        <f>IFERROR(__xludf.DUMMYFUNCTION("""COMPUTED_VALUE"""),2552.16)</f>
        <v/>
      </c>
      <c r="Z1394" s="6">
        <f>AA1394&amp;AB1394</f>
        <v/>
      </c>
      <c r="AA1394" s="6">
        <f>YEAR(AC1394)</f>
        <v/>
      </c>
      <c r="AB1394" s="6">
        <f>MONTH(AC1394)</f>
        <v/>
      </c>
      <c r="AC1394" s="267">
        <f>IFERROR(__xludf.DUMMYFUNCTION("""COMPUTED_VALUE"""),44543.9986111111)</f>
        <v/>
      </c>
      <c r="AD1394" s="6">
        <f>IFERROR(__xludf.DUMMYFUNCTION("""COMPUTED_VALUE"""),1185.1)</f>
        <v/>
      </c>
      <c r="AH1394" s="6">
        <f>AI1394&amp;AJ1394</f>
        <v/>
      </c>
      <c r="AI1394" s="6">
        <f>YEAR(AK1394)</f>
        <v/>
      </c>
      <c r="AJ1394" s="6">
        <f>MONTH(AK1394)</f>
        <v/>
      </c>
      <c r="AK1394" s="267">
        <f>IFERROR(__xludf.DUMMYFUNCTION("""COMPUTED_VALUE"""),44487.9986111111)</f>
        <v/>
      </c>
      <c r="AL1394" s="6">
        <f>IFERROR(__xludf.DUMMYFUNCTION("""COMPUTED_VALUE"""),62038.73)</f>
        <v/>
      </c>
      <c r="AP1394" s="6">
        <f>AQ1394&amp;AR1394</f>
        <v/>
      </c>
      <c r="AQ1394" s="6">
        <f>YEAR(AS1394)</f>
        <v/>
      </c>
      <c r="AR1394" s="6">
        <f>MONTH(AS1394)</f>
        <v/>
      </c>
      <c r="AS1394" s="267">
        <f>IFERROR(__xludf.DUMMYFUNCTION("""COMPUTED_VALUE"""),45131.9986111111)</f>
        <v/>
      </c>
      <c r="AT1394" s="6">
        <f>IFERROR(__xludf.DUMMYFUNCTION("""COMPUTED_VALUE"""),2001)</f>
        <v/>
      </c>
    </row>
    <row r="1395">
      <c r="B1395" s="6">
        <f>C1395&amp;D1395</f>
        <v/>
      </c>
      <c r="C1395" s="6">
        <f>YEAR(E1395)</f>
        <v/>
      </c>
      <c r="D1395" s="6">
        <f>MONTH(E1395)</f>
        <v/>
      </c>
      <c r="E1395" s="267">
        <f>IFERROR(__xludf.DUMMYFUNCTION("""COMPUTED_VALUE"""),45125.6666666666)</f>
        <v/>
      </c>
      <c r="F1395" s="6">
        <f>IFERROR(__xludf.DUMMYFUNCTION("""COMPUTED_VALUE"""),4554.98)</f>
        <v/>
      </c>
      <c r="J1395" s="6">
        <f>K1395&amp;L1395</f>
        <v/>
      </c>
      <c r="K1395" s="6">
        <f>YEAR(M1395)</f>
        <v/>
      </c>
      <c r="L1395" s="6">
        <f>MONTH(M1395)</f>
        <v/>
      </c>
      <c r="M1395" s="267">
        <f>IFERROR(__xludf.DUMMYFUNCTION("""COMPUTED_VALUE"""),45117.6666666666)</f>
        <v/>
      </c>
      <c r="N1395" s="6">
        <f>IFERROR(__xludf.DUMMYFUNCTION("""COMPUTED_VALUE"""),13685.48)</f>
        <v/>
      </c>
      <c r="R1395" s="6">
        <f>S1395&amp;T1395</f>
        <v/>
      </c>
      <c r="S1395" s="6">
        <f>YEAR(U1395)</f>
        <v/>
      </c>
      <c r="T1395" s="6">
        <f>MONTH(U1395)</f>
        <v/>
      </c>
      <c r="U1395" s="267">
        <f>IFERROR(__xludf.DUMMYFUNCTION("""COMPUTED_VALUE"""),45168.6458333333)</f>
        <v/>
      </c>
      <c r="V1395" s="6">
        <f>IFERROR(__xludf.DUMMYFUNCTION("""COMPUTED_VALUE"""),2561.22)</f>
        <v/>
      </c>
      <c r="Z1395" s="6">
        <f>AA1395&amp;AB1395</f>
        <v/>
      </c>
      <c r="AA1395" s="6">
        <f>YEAR(AC1395)</f>
        <v/>
      </c>
      <c r="AB1395" s="6">
        <f>MONTH(AC1395)</f>
        <v/>
      </c>
      <c r="AC1395" s="267">
        <f>IFERROR(__xludf.DUMMYFUNCTION("""COMPUTED_VALUE"""),44544.9986111111)</f>
        <v/>
      </c>
      <c r="AD1395" s="6">
        <f>IFERROR(__xludf.DUMMYFUNCTION("""COMPUTED_VALUE"""),1184.23)</f>
        <v/>
      </c>
      <c r="AH1395" s="6">
        <f>AI1395&amp;AJ1395</f>
        <v/>
      </c>
      <c r="AI1395" s="6">
        <f>YEAR(AK1395)</f>
        <v/>
      </c>
      <c r="AJ1395" s="6">
        <f>MONTH(AK1395)</f>
        <v/>
      </c>
      <c r="AK1395" s="267">
        <f>IFERROR(__xludf.DUMMYFUNCTION("""COMPUTED_VALUE"""),44488.9986111111)</f>
        <v/>
      </c>
      <c r="AL1395" s="6">
        <f>IFERROR(__xludf.DUMMYFUNCTION("""COMPUTED_VALUE"""),64244.74)</f>
        <v/>
      </c>
      <c r="AP1395" s="6">
        <f>AQ1395&amp;AR1395</f>
        <v/>
      </c>
      <c r="AQ1395" s="6">
        <f>YEAR(AS1395)</f>
        <v/>
      </c>
      <c r="AR1395" s="6">
        <f>MONTH(AS1395)</f>
        <v/>
      </c>
      <c r="AS1395" s="267">
        <f>IFERROR(__xludf.DUMMYFUNCTION("""COMPUTED_VALUE"""),45132.9986111111)</f>
        <v/>
      </c>
      <c r="AT1395" s="6">
        <f>IFERROR(__xludf.DUMMYFUNCTION("""COMPUTED_VALUE"""),2002.8)</f>
        <v/>
      </c>
    </row>
    <row r="1396">
      <c r="B1396" s="6">
        <f>C1396&amp;D1396</f>
        <v/>
      </c>
      <c r="C1396" s="6">
        <f>YEAR(E1396)</f>
        <v/>
      </c>
      <c r="D1396" s="6">
        <f>MONTH(E1396)</f>
        <v/>
      </c>
      <c r="E1396" s="267">
        <f>IFERROR(__xludf.DUMMYFUNCTION("""COMPUTED_VALUE"""),45126.6666666666)</f>
        <v/>
      </c>
      <c r="F1396" s="6">
        <f>IFERROR(__xludf.DUMMYFUNCTION("""COMPUTED_VALUE"""),4565.72)</f>
        <v/>
      </c>
      <c r="J1396" s="6">
        <f>K1396&amp;L1396</f>
        <v/>
      </c>
      <c r="K1396" s="6">
        <f>YEAR(M1396)</f>
        <v/>
      </c>
      <c r="L1396" s="6">
        <f>MONTH(M1396)</f>
        <v/>
      </c>
      <c r="M1396" s="267">
        <f>IFERROR(__xludf.DUMMYFUNCTION("""COMPUTED_VALUE"""),45118.6666666666)</f>
        <v/>
      </c>
      <c r="N1396" s="6">
        <f>IFERROR(__xludf.DUMMYFUNCTION("""COMPUTED_VALUE"""),13760.7)</f>
        <v/>
      </c>
      <c r="R1396" s="6">
        <f>S1396&amp;T1396</f>
        <v/>
      </c>
      <c r="S1396" s="6">
        <f>YEAR(U1396)</f>
        <v/>
      </c>
      <c r="T1396" s="6">
        <f>MONTH(U1396)</f>
        <v/>
      </c>
      <c r="U1396" s="267">
        <f>IFERROR(__xludf.DUMMYFUNCTION("""COMPUTED_VALUE"""),45169.6458333333)</f>
        <v/>
      </c>
      <c r="V1396" s="6">
        <f>IFERROR(__xludf.DUMMYFUNCTION("""COMPUTED_VALUE"""),2556.27)</f>
        <v/>
      </c>
      <c r="Z1396" s="6">
        <f>AA1396&amp;AB1396</f>
        <v/>
      </c>
      <c r="AA1396" s="6">
        <f>YEAR(AC1396)</f>
        <v/>
      </c>
      <c r="AB1396" s="6">
        <f>MONTH(AC1396)</f>
        <v/>
      </c>
      <c r="AC1396" s="267">
        <f>IFERROR(__xludf.DUMMYFUNCTION("""COMPUTED_VALUE"""),44545.9986111111)</f>
        <v/>
      </c>
      <c r="AD1396" s="6">
        <f>IFERROR(__xludf.DUMMYFUNCTION("""COMPUTED_VALUE"""),1184.4)</f>
        <v/>
      </c>
      <c r="AH1396" s="6">
        <f>AI1396&amp;AJ1396</f>
        <v/>
      </c>
      <c r="AI1396" s="6">
        <f>YEAR(AK1396)</f>
        <v/>
      </c>
      <c r="AJ1396" s="6">
        <f>MONTH(AK1396)</f>
        <v/>
      </c>
      <c r="AK1396" s="267">
        <f>IFERROR(__xludf.DUMMYFUNCTION("""COMPUTED_VALUE"""),44489.9986111111)</f>
        <v/>
      </c>
      <c r="AL1396" s="6">
        <f>IFERROR(__xludf.DUMMYFUNCTION("""COMPUTED_VALUE"""),65991.54)</f>
        <v/>
      </c>
      <c r="AP1396" s="6">
        <f>AQ1396&amp;AR1396</f>
        <v/>
      </c>
      <c r="AQ1396" s="6">
        <f>YEAR(AS1396)</f>
        <v/>
      </c>
      <c r="AR1396" s="6">
        <f>MONTH(AS1396)</f>
        <v/>
      </c>
      <c r="AS1396" s="267">
        <f>IFERROR(__xludf.DUMMYFUNCTION("""COMPUTED_VALUE"""),45133.9986111111)</f>
        <v/>
      </c>
      <c r="AT1396" s="6">
        <f>IFERROR(__xludf.DUMMYFUNCTION("""COMPUTED_VALUE"""),2009.5)</f>
        <v/>
      </c>
    </row>
    <row r="1397">
      <c r="B1397" s="6">
        <f>C1397&amp;D1397</f>
        <v/>
      </c>
      <c r="C1397" s="6">
        <f>YEAR(E1397)</f>
        <v/>
      </c>
      <c r="D1397" s="6">
        <f>MONTH(E1397)</f>
        <v/>
      </c>
      <c r="E1397" s="267">
        <f>IFERROR(__xludf.DUMMYFUNCTION("""COMPUTED_VALUE"""),45127.6666666666)</f>
        <v/>
      </c>
      <c r="F1397" s="6">
        <f>IFERROR(__xludf.DUMMYFUNCTION("""COMPUTED_VALUE"""),4534.87)</f>
        <v/>
      </c>
      <c r="J1397" s="6">
        <f>K1397&amp;L1397</f>
        <v/>
      </c>
      <c r="K1397" s="6">
        <f>YEAR(M1397)</f>
        <v/>
      </c>
      <c r="L1397" s="6">
        <f>MONTH(M1397)</f>
        <v/>
      </c>
      <c r="M1397" s="267">
        <f>IFERROR(__xludf.DUMMYFUNCTION("""COMPUTED_VALUE"""),45119.6666666666)</f>
        <v/>
      </c>
      <c r="N1397" s="6">
        <f>IFERROR(__xludf.DUMMYFUNCTION("""COMPUTED_VALUE"""),13918.96)</f>
        <v/>
      </c>
      <c r="R1397" s="6">
        <f>S1397&amp;T1397</f>
        <v/>
      </c>
      <c r="S1397" s="6">
        <f>YEAR(U1397)</f>
        <v/>
      </c>
      <c r="T1397" s="6">
        <f>MONTH(U1397)</f>
        <v/>
      </c>
      <c r="U1397" s="267">
        <f>IFERROR(__xludf.DUMMYFUNCTION("""COMPUTED_VALUE"""),45170.6458333333)</f>
        <v/>
      </c>
      <c r="V1397" s="6">
        <f>IFERROR(__xludf.DUMMYFUNCTION("""COMPUTED_VALUE"""),2563.71)</f>
        <v/>
      </c>
      <c r="Z1397" s="6">
        <f>AA1397&amp;AB1397</f>
        <v/>
      </c>
      <c r="AA1397" s="6">
        <f>YEAR(AC1397)</f>
        <v/>
      </c>
      <c r="AB1397" s="6">
        <f>MONTH(AC1397)</f>
        <v/>
      </c>
      <c r="AC1397" s="267">
        <f>IFERROR(__xludf.DUMMYFUNCTION("""COMPUTED_VALUE"""),44546.9986111111)</f>
        <v/>
      </c>
      <c r="AD1397" s="6">
        <f>IFERROR(__xludf.DUMMYFUNCTION("""COMPUTED_VALUE"""),1186.15)</f>
        <v/>
      </c>
      <c r="AH1397" s="6">
        <f>AI1397&amp;AJ1397</f>
        <v/>
      </c>
      <c r="AI1397" s="6">
        <f>YEAR(AK1397)</f>
        <v/>
      </c>
      <c r="AJ1397" s="6">
        <f>MONTH(AK1397)</f>
        <v/>
      </c>
      <c r="AK1397" s="267">
        <f>IFERROR(__xludf.DUMMYFUNCTION("""COMPUTED_VALUE"""),44490.9986111111)</f>
        <v/>
      </c>
      <c r="AL1397" s="6">
        <f>IFERROR(__xludf.DUMMYFUNCTION("""COMPUTED_VALUE"""),62199.87)</f>
        <v/>
      </c>
      <c r="AP1397" s="6">
        <f>AQ1397&amp;AR1397</f>
        <v/>
      </c>
      <c r="AQ1397" s="6">
        <f>YEAR(AS1397)</f>
        <v/>
      </c>
      <c r="AR1397" s="6">
        <f>MONTH(AS1397)</f>
        <v/>
      </c>
      <c r="AS1397" s="267">
        <f>IFERROR(__xludf.DUMMYFUNCTION("""COMPUTED_VALUE"""),45134.9986111111)</f>
        <v/>
      </c>
      <c r="AT1397" s="6">
        <f>IFERROR(__xludf.DUMMYFUNCTION("""COMPUTED_VALUE"""),1985.2)</f>
        <v/>
      </c>
    </row>
    <row r="1398">
      <c r="B1398" s="6">
        <f>C1398&amp;D1398</f>
        <v/>
      </c>
      <c r="C1398" s="6">
        <f>YEAR(E1398)</f>
        <v/>
      </c>
      <c r="D1398" s="6">
        <f>MONTH(E1398)</f>
        <v/>
      </c>
      <c r="E1398" s="267">
        <f>IFERROR(__xludf.DUMMYFUNCTION("""COMPUTED_VALUE"""),45128.6666666666)</f>
        <v/>
      </c>
      <c r="F1398" s="6">
        <f>IFERROR(__xludf.DUMMYFUNCTION("""COMPUTED_VALUE"""),4536.34)</f>
        <v/>
      </c>
      <c r="J1398" s="6">
        <f>K1398&amp;L1398</f>
        <v/>
      </c>
      <c r="K1398" s="6">
        <f>YEAR(M1398)</f>
        <v/>
      </c>
      <c r="L1398" s="6">
        <f>MONTH(M1398)</f>
        <v/>
      </c>
      <c r="M1398" s="267">
        <f>IFERROR(__xludf.DUMMYFUNCTION("""COMPUTED_VALUE"""),45120.6666666666)</f>
        <v/>
      </c>
      <c r="N1398" s="6">
        <f>IFERROR(__xludf.DUMMYFUNCTION("""COMPUTED_VALUE"""),14138.57)</f>
        <v/>
      </c>
      <c r="R1398" s="6">
        <f>S1398&amp;T1398</f>
        <v/>
      </c>
      <c r="S1398" s="6">
        <f>YEAR(U1398)</f>
        <v/>
      </c>
      <c r="T1398" s="6">
        <f>MONTH(U1398)</f>
        <v/>
      </c>
      <c r="U1398" s="267">
        <f>IFERROR(__xludf.DUMMYFUNCTION("""COMPUTED_VALUE"""),45173.6458333333)</f>
        <v/>
      </c>
      <c r="V1398" s="6">
        <f>IFERROR(__xludf.DUMMYFUNCTION("""COMPUTED_VALUE"""),2584.55)</f>
        <v/>
      </c>
      <c r="Z1398" s="6">
        <f>AA1398&amp;AB1398</f>
        <v/>
      </c>
      <c r="AA1398" s="6">
        <f>YEAR(AC1398)</f>
        <v/>
      </c>
      <c r="AB1398" s="6">
        <f>MONTH(AC1398)</f>
        <v/>
      </c>
      <c r="AC1398" s="267">
        <f>IFERROR(__xludf.DUMMYFUNCTION("""COMPUTED_VALUE"""),44547.9986111111)</f>
        <v/>
      </c>
      <c r="AD1398" s="6">
        <f>IFERROR(__xludf.DUMMYFUNCTION("""COMPUTED_VALUE"""),1186.79)</f>
        <v/>
      </c>
      <c r="AH1398" s="6">
        <f>AI1398&amp;AJ1398</f>
        <v/>
      </c>
      <c r="AI1398" s="6">
        <f>YEAR(AK1398)</f>
        <v/>
      </c>
      <c r="AJ1398" s="6">
        <f>MONTH(AK1398)</f>
        <v/>
      </c>
      <c r="AK1398" s="267">
        <f>IFERROR(__xludf.DUMMYFUNCTION("""COMPUTED_VALUE"""),44491.9986111111)</f>
        <v/>
      </c>
      <c r="AL1398" s="6">
        <f>IFERROR(__xludf.DUMMYFUNCTION("""COMPUTED_VALUE"""),60693.99)</f>
        <v/>
      </c>
      <c r="AP1398" s="6">
        <f>AQ1398&amp;AR1398</f>
        <v/>
      </c>
      <c r="AQ1398" s="6">
        <f>YEAR(AS1398)</f>
        <v/>
      </c>
      <c r="AR1398" s="6">
        <f>MONTH(AS1398)</f>
        <v/>
      </c>
      <c r="AS1398" s="267">
        <f>IFERROR(__xludf.DUMMYFUNCTION("""COMPUTED_VALUE"""),45135.9986111111)</f>
        <v/>
      </c>
      <c r="AT1398" s="6">
        <f>IFERROR(__xludf.DUMMYFUNCTION("""COMPUTED_VALUE"""),1999.9)</f>
        <v/>
      </c>
    </row>
    <row r="1399">
      <c r="B1399" s="6">
        <f>C1399&amp;D1399</f>
        <v/>
      </c>
      <c r="C1399" s="6">
        <f>YEAR(E1399)</f>
        <v/>
      </c>
      <c r="D1399" s="6">
        <f>MONTH(E1399)</f>
        <v/>
      </c>
      <c r="E1399" s="267">
        <f>IFERROR(__xludf.DUMMYFUNCTION("""COMPUTED_VALUE"""),45131.6666666666)</f>
        <v/>
      </c>
      <c r="F1399" s="6">
        <f>IFERROR(__xludf.DUMMYFUNCTION("""COMPUTED_VALUE"""),4554.64)</f>
        <v/>
      </c>
      <c r="J1399" s="6">
        <f>K1399&amp;L1399</f>
        <v/>
      </c>
      <c r="K1399" s="6">
        <f>YEAR(M1399)</f>
        <v/>
      </c>
      <c r="L1399" s="6">
        <f>MONTH(M1399)</f>
        <v/>
      </c>
      <c r="M1399" s="267">
        <f>IFERROR(__xludf.DUMMYFUNCTION("""COMPUTED_VALUE"""),45121.6666666666)</f>
        <v/>
      </c>
      <c r="N1399" s="6">
        <f>IFERROR(__xludf.DUMMYFUNCTION("""COMPUTED_VALUE"""),14113.7)</f>
        <v/>
      </c>
      <c r="R1399" s="6">
        <f>S1399&amp;T1399</f>
        <v/>
      </c>
      <c r="S1399" s="6">
        <f>YEAR(U1399)</f>
        <v/>
      </c>
      <c r="T1399" s="6">
        <f>MONTH(U1399)</f>
        <v/>
      </c>
      <c r="U1399" s="267">
        <f>IFERROR(__xludf.DUMMYFUNCTION("""COMPUTED_VALUE"""),45174.6458333333)</f>
        <v/>
      </c>
      <c r="V1399" s="6">
        <f>IFERROR(__xludf.DUMMYFUNCTION("""COMPUTED_VALUE"""),2582.18)</f>
        <v/>
      </c>
      <c r="Z1399" s="6">
        <f>AA1399&amp;AB1399</f>
        <v/>
      </c>
      <c r="AA1399" s="6">
        <f>YEAR(AC1399)</f>
        <v/>
      </c>
      <c r="AB1399" s="6">
        <f>MONTH(AC1399)</f>
        <v/>
      </c>
      <c r="AC1399" s="267">
        <f>IFERROR(__xludf.DUMMYFUNCTION("""COMPUTED_VALUE"""),44548.9986111111)</f>
        <v/>
      </c>
      <c r="AD1399" s="6">
        <f>IFERROR(__xludf.DUMMYFUNCTION("""COMPUTED_VALUE"""),1186.39)</f>
        <v/>
      </c>
      <c r="AH1399" s="6">
        <f>AI1399&amp;AJ1399</f>
        <v/>
      </c>
      <c r="AI1399" s="6">
        <f>YEAR(AK1399)</f>
        <v/>
      </c>
      <c r="AJ1399" s="6">
        <f>MONTH(AK1399)</f>
        <v/>
      </c>
      <c r="AK1399" s="267">
        <f>IFERROR(__xludf.DUMMYFUNCTION("""COMPUTED_VALUE"""),44492.9986111111)</f>
        <v/>
      </c>
      <c r="AL1399" s="6">
        <f>IFERROR(__xludf.DUMMYFUNCTION("""COMPUTED_VALUE"""),61334.3)</f>
        <v/>
      </c>
      <c r="AP1399" s="6">
        <f>AQ1399&amp;AR1399</f>
        <v/>
      </c>
      <c r="AQ1399" s="6">
        <f>YEAR(AS1399)</f>
        <v/>
      </c>
      <c r="AR1399" s="6">
        <f>MONTH(AS1399)</f>
        <v/>
      </c>
      <c r="AS1399" s="267">
        <f>IFERROR(__xludf.DUMMYFUNCTION("""COMPUTED_VALUE"""),45138.9986111111)</f>
        <v/>
      </c>
      <c r="AT1399" s="6">
        <f>IFERROR(__xludf.DUMMYFUNCTION("""COMPUTED_VALUE"""),2009.2)</f>
        <v/>
      </c>
    </row>
    <row r="1400">
      <c r="B1400" s="6">
        <f>C1400&amp;D1400</f>
        <v/>
      </c>
      <c r="C1400" s="6">
        <f>YEAR(E1400)</f>
        <v/>
      </c>
      <c r="D1400" s="6">
        <f>MONTH(E1400)</f>
        <v/>
      </c>
      <c r="E1400" s="267">
        <f>IFERROR(__xludf.DUMMYFUNCTION("""COMPUTED_VALUE"""),45132.6666666666)</f>
        <v/>
      </c>
      <c r="F1400" s="6">
        <f>IFERROR(__xludf.DUMMYFUNCTION("""COMPUTED_VALUE"""),4567.46)</f>
        <v/>
      </c>
      <c r="J1400" s="6">
        <f>K1400&amp;L1400</f>
        <v/>
      </c>
      <c r="K1400" s="6">
        <f>YEAR(M1400)</f>
        <v/>
      </c>
      <c r="L1400" s="6">
        <f>MONTH(M1400)</f>
        <v/>
      </c>
      <c r="M1400" s="267">
        <f>IFERROR(__xludf.DUMMYFUNCTION("""COMPUTED_VALUE"""),45124.6666666666)</f>
        <v/>
      </c>
      <c r="N1400" s="6">
        <f>IFERROR(__xludf.DUMMYFUNCTION("""COMPUTED_VALUE"""),14244.95)</f>
        <v/>
      </c>
      <c r="R1400" s="6">
        <f>S1400&amp;T1400</f>
        <v/>
      </c>
      <c r="S1400" s="6">
        <f>YEAR(U1400)</f>
        <v/>
      </c>
      <c r="T1400" s="6">
        <f>MONTH(U1400)</f>
        <v/>
      </c>
      <c r="U1400" s="267">
        <f>IFERROR(__xludf.DUMMYFUNCTION("""COMPUTED_VALUE"""),45175.6458333333)</f>
        <v/>
      </c>
      <c r="V1400" s="6">
        <f>IFERROR(__xludf.DUMMYFUNCTION("""COMPUTED_VALUE"""),2563.34)</f>
        <v/>
      </c>
      <c r="Z1400" s="6">
        <f>AA1400&amp;AB1400</f>
        <v/>
      </c>
      <c r="AA1400" s="6">
        <f>YEAR(AC1400)</f>
        <v/>
      </c>
      <c r="AB1400" s="6">
        <f>MONTH(AC1400)</f>
        <v/>
      </c>
      <c r="AC1400" s="267">
        <f>IFERROR(__xludf.DUMMYFUNCTION("""COMPUTED_VALUE"""),44549.9986111111)</f>
        <v/>
      </c>
      <c r="AD1400" s="6">
        <f>IFERROR(__xludf.DUMMYFUNCTION("""COMPUTED_VALUE"""),1186.39)</f>
        <v/>
      </c>
      <c r="AH1400" s="6">
        <f>AI1400&amp;AJ1400</f>
        <v/>
      </c>
      <c r="AI1400" s="6">
        <f>YEAR(AK1400)</f>
        <v/>
      </c>
      <c r="AJ1400" s="6">
        <f>MONTH(AK1400)</f>
        <v/>
      </c>
      <c r="AK1400" s="267">
        <f>IFERROR(__xludf.DUMMYFUNCTION("""COMPUTED_VALUE"""),44493.9986111111)</f>
        <v/>
      </c>
      <c r="AL1400" s="6">
        <f>IFERROR(__xludf.DUMMYFUNCTION("""COMPUTED_VALUE"""),60857.58)</f>
        <v/>
      </c>
      <c r="AP1400" s="6">
        <f>AQ1400&amp;AR1400</f>
        <v/>
      </c>
      <c r="AQ1400" s="6">
        <f>YEAR(AS1400)</f>
        <v/>
      </c>
      <c r="AR1400" s="6">
        <f>MONTH(AS1400)</f>
        <v/>
      </c>
      <c r="AS1400" s="267">
        <f>IFERROR(__xludf.DUMMYFUNCTION("""COMPUTED_VALUE"""),45139.9986111111)</f>
        <v/>
      </c>
      <c r="AT1400" s="6">
        <f>IFERROR(__xludf.DUMMYFUNCTION("""COMPUTED_VALUE"""),1978.8)</f>
        <v/>
      </c>
    </row>
    <row r="1401">
      <c r="B1401" s="6">
        <f>C1401&amp;D1401</f>
        <v/>
      </c>
      <c r="C1401" s="6">
        <f>YEAR(E1401)</f>
        <v/>
      </c>
      <c r="D1401" s="6">
        <f>MONTH(E1401)</f>
        <v/>
      </c>
      <c r="E1401" s="267">
        <f>IFERROR(__xludf.DUMMYFUNCTION("""COMPUTED_VALUE"""),45133.6666666666)</f>
        <v/>
      </c>
      <c r="F1401" s="6">
        <f>IFERROR(__xludf.DUMMYFUNCTION("""COMPUTED_VALUE"""),4566.75)</f>
        <v/>
      </c>
      <c r="J1401" s="6">
        <f>K1401&amp;L1401</f>
        <v/>
      </c>
      <c r="K1401" s="6">
        <f>YEAR(M1401)</f>
        <v/>
      </c>
      <c r="L1401" s="6">
        <f>MONTH(M1401)</f>
        <v/>
      </c>
      <c r="M1401" s="267">
        <f>IFERROR(__xludf.DUMMYFUNCTION("""COMPUTED_VALUE"""),45125.6666666666)</f>
        <v/>
      </c>
      <c r="N1401" s="6">
        <f>IFERROR(__xludf.DUMMYFUNCTION("""COMPUTED_VALUE"""),14353.64)</f>
        <v/>
      </c>
      <c r="R1401" s="6">
        <f>S1401&amp;T1401</f>
        <v/>
      </c>
      <c r="S1401" s="6">
        <f>YEAR(U1401)</f>
        <v/>
      </c>
      <c r="T1401" s="6">
        <f>MONTH(U1401)</f>
        <v/>
      </c>
      <c r="U1401" s="267">
        <f>IFERROR(__xludf.DUMMYFUNCTION("""COMPUTED_VALUE"""),45176.6458333333)</f>
        <v/>
      </c>
      <c r="V1401" s="6">
        <f>IFERROR(__xludf.DUMMYFUNCTION("""COMPUTED_VALUE"""),2548.26)</f>
        <v/>
      </c>
      <c r="Z1401" s="6">
        <f>AA1401&amp;AB1401</f>
        <v/>
      </c>
      <c r="AA1401" s="6">
        <f>YEAR(AC1401)</f>
        <v/>
      </c>
      <c r="AB1401" s="6">
        <f>MONTH(AC1401)</f>
        <v/>
      </c>
      <c r="AC1401" s="267">
        <f>IFERROR(__xludf.DUMMYFUNCTION("""COMPUTED_VALUE"""),44550.9986111111)</f>
        <v/>
      </c>
      <c r="AD1401" s="6">
        <f>IFERROR(__xludf.DUMMYFUNCTION("""COMPUTED_VALUE"""),1190.12)</f>
        <v/>
      </c>
      <c r="AH1401" s="6">
        <f>AI1401&amp;AJ1401</f>
        <v/>
      </c>
      <c r="AI1401" s="6">
        <f>YEAR(AK1401)</f>
        <v/>
      </c>
      <c r="AJ1401" s="6">
        <f>MONTH(AK1401)</f>
        <v/>
      </c>
      <c r="AK1401" s="267">
        <f>IFERROR(__xludf.DUMMYFUNCTION("""COMPUTED_VALUE"""),44494.9986111111)</f>
        <v/>
      </c>
      <c r="AL1401" s="6">
        <f>IFERROR(__xludf.DUMMYFUNCTION("""COMPUTED_VALUE"""),63069.98)</f>
        <v/>
      </c>
      <c r="AP1401" s="6">
        <f>AQ1401&amp;AR1401</f>
        <v/>
      </c>
      <c r="AQ1401" s="6">
        <f>YEAR(AS1401)</f>
        <v/>
      </c>
      <c r="AR1401" s="6">
        <f>MONTH(AS1401)</f>
        <v/>
      </c>
      <c r="AS1401" s="267">
        <f>IFERROR(__xludf.DUMMYFUNCTION("""COMPUTED_VALUE"""),45140.9986111111)</f>
        <v/>
      </c>
      <c r="AT1401" s="6">
        <f>IFERROR(__xludf.DUMMYFUNCTION("""COMPUTED_VALUE"""),1975)</f>
        <v/>
      </c>
    </row>
    <row r="1402">
      <c r="B1402" s="6">
        <f>C1402&amp;D1402</f>
        <v/>
      </c>
      <c r="C1402" s="6">
        <f>YEAR(E1402)</f>
        <v/>
      </c>
      <c r="D1402" s="6">
        <f>MONTH(E1402)</f>
        <v/>
      </c>
      <c r="E1402" s="267">
        <f>IFERROR(__xludf.DUMMYFUNCTION("""COMPUTED_VALUE"""),45134.6666666666)</f>
        <v/>
      </c>
      <c r="F1402" s="6">
        <f>IFERROR(__xludf.DUMMYFUNCTION("""COMPUTED_VALUE"""),4537.41)</f>
        <v/>
      </c>
      <c r="J1402" s="6">
        <f>K1402&amp;L1402</f>
        <v/>
      </c>
      <c r="K1402" s="6">
        <f>YEAR(M1402)</f>
        <v/>
      </c>
      <c r="L1402" s="6">
        <f>MONTH(M1402)</f>
        <v/>
      </c>
      <c r="M1402" s="267">
        <f>IFERROR(__xludf.DUMMYFUNCTION("""COMPUTED_VALUE"""),45126.6666666666)</f>
        <v/>
      </c>
      <c r="N1402" s="6">
        <f>IFERROR(__xludf.DUMMYFUNCTION("""COMPUTED_VALUE"""),14358.02)</f>
        <v/>
      </c>
      <c r="R1402" s="6">
        <f>S1402&amp;T1402</f>
        <v/>
      </c>
      <c r="S1402" s="6">
        <f>YEAR(U1402)</f>
        <v/>
      </c>
      <c r="T1402" s="6">
        <f>MONTH(U1402)</f>
        <v/>
      </c>
      <c r="U1402" s="267">
        <f>IFERROR(__xludf.DUMMYFUNCTION("""COMPUTED_VALUE"""),45177.6458333333)</f>
        <v/>
      </c>
      <c r="V1402" s="6">
        <f>IFERROR(__xludf.DUMMYFUNCTION("""COMPUTED_VALUE"""),2547.68)</f>
        <v/>
      </c>
      <c r="Z1402" s="6">
        <f>AA1402&amp;AB1402</f>
        <v/>
      </c>
      <c r="AA1402" s="6">
        <f>YEAR(AC1402)</f>
        <v/>
      </c>
      <c r="AB1402" s="6">
        <f>MONTH(AC1402)</f>
        <v/>
      </c>
      <c r="AC1402" s="267">
        <f>IFERROR(__xludf.DUMMYFUNCTION("""COMPUTED_VALUE"""),44551.9986111111)</f>
        <v/>
      </c>
      <c r="AD1402" s="6">
        <f>IFERROR(__xludf.DUMMYFUNCTION("""COMPUTED_VALUE"""),1191.27)</f>
        <v/>
      </c>
      <c r="AH1402" s="6">
        <f>AI1402&amp;AJ1402</f>
        <v/>
      </c>
      <c r="AI1402" s="6">
        <f>YEAR(AK1402)</f>
        <v/>
      </c>
      <c r="AJ1402" s="6">
        <f>MONTH(AK1402)</f>
        <v/>
      </c>
      <c r="AK1402" s="267">
        <f>IFERROR(__xludf.DUMMYFUNCTION("""COMPUTED_VALUE"""),44495.9986111111)</f>
        <v/>
      </c>
      <c r="AL1402" s="6">
        <f>IFERROR(__xludf.DUMMYFUNCTION("""COMPUTED_VALUE"""),60310.41)</f>
        <v/>
      </c>
      <c r="AP1402" s="6">
        <f>AQ1402&amp;AR1402</f>
        <v/>
      </c>
      <c r="AQ1402" s="6">
        <f>YEAR(AS1402)</f>
        <v/>
      </c>
      <c r="AR1402" s="6">
        <f>MONTH(AS1402)</f>
        <v/>
      </c>
      <c r="AS1402" s="267">
        <f>IFERROR(__xludf.DUMMYFUNCTION("""COMPUTED_VALUE"""),45141.9986111111)</f>
        <v/>
      </c>
      <c r="AT1402" s="6">
        <f>IFERROR(__xludf.DUMMYFUNCTION("""COMPUTED_VALUE"""),1968.8)</f>
        <v/>
      </c>
    </row>
    <row r="1403">
      <c r="B1403" s="6">
        <f>C1403&amp;D1403</f>
        <v/>
      </c>
      <c r="C1403" s="6">
        <f>YEAR(E1403)</f>
        <v/>
      </c>
      <c r="D1403" s="6">
        <f>MONTH(E1403)</f>
        <v/>
      </c>
      <c r="E1403" s="267">
        <f>IFERROR(__xludf.DUMMYFUNCTION("""COMPUTED_VALUE"""),45135.6666666666)</f>
        <v/>
      </c>
      <c r="F1403" s="6">
        <f>IFERROR(__xludf.DUMMYFUNCTION("""COMPUTED_VALUE"""),4582.23)</f>
        <v/>
      </c>
      <c r="J1403" s="6">
        <f>K1403&amp;L1403</f>
        <v/>
      </c>
      <c r="K1403" s="6">
        <f>YEAR(M1403)</f>
        <v/>
      </c>
      <c r="L1403" s="6">
        <f>MONTH(M1403)</f>
        <v/>
      </c>
      <c r="M1403" s="267">
        <f>IFERROR(__xludf.DUMMYFUNCTION("""COMPUTED_VALUE"""),45127.6666666666)</f>
        <v/>
      </c>
      <c r="N1403" s="6">
        <f>IFERROR(__xludf.DUMMYFUNCTION("""COMPUTED_VALUE"""),14063.31)</f>
        <v/>
      </c>
      <c r="R1403" s="6">
        <f>S1403&amp;T1403</f>
        <v/>
      </c>
      <c r="S1403" s="6">
        <f>YEAR(U1403)</f>
        <v/>
      </c>
      <c r="T1403" s="6">
        <f>MONTH(U1403)</f>
        <v/>
      </c>
      <c r="U1403" s="267">
        <f>IFERROR(__xludf.DUMMYFUNCTION("""COMPUTED_VALUE"""),45180.6458333333)</f>
        <v/>
      </c>
      <c r="V1403" s="6">
        <f>IFERROR(__xludf.DUMMYFUNCTION("""COMPUTED_VALUE"""),2556.88)</f>
        <v/>
      </c>
      <c r="Z1403" s="6">
        <f>AA1403&amp;AB1403</f>
        <v/>
      </c>
      <c r="AA1403" s="6">
        <f>YEAR(AC1403)</f>
        <v/>
      </c>
      <c r="AB1403" s="6">
        <f>MONTH(AC1403)</f>
        <v/>
      </c>
      <c r="AC1403" s="267">
        <f>IFERROR(__xludf.DUMMYFUNCTION("""COMPUTED_VALUE"""),44552.9986111111)</f>
        <v/>
      </c>
      <c r="AD1403" s="6">
        <f>IFERROR(__xludf.DUMMYFUNCTION("""COMPUTED_VALUE"""),1187.77)</f>
        <v/>
      </c>
      <c r="AH1403" s="6">
        <f>AI1403&amp;AJ1403</f>
        <v/>
      </c>
      <c r="AI1403" s="6">
        <f>YEAR(AK1403)</f>
        <v/>
      </c>
      <c r="AJ1403" s="6">
        <f>MONTH(AK1403)</f>
        <v/>
      </c>
      <c r="AK1403" s="267">
        <f>IFERROR(__xludf.DUMMYFUNCTION("""COMPUTED_VALUE"""),44496.9986111111)</f>
        <v/>
      </c>
      <c r="AL1403" s="6">
        <f>IFERROR(__xludf.DUMMYFUNCTION("""COMPUTED_VALUE"""),58446.06)</f>
        <v/>
      </c>
      <c r="AP1403" s="6">
        <f>AQ1403&amp;AR1403</f>
        <v/>
      </c>
      <c r="AQ1403" s="6">
        <f>YEAR(AS1403)</f>
        <v/>
      </c>
      <c r="AR1403" s="6">
        <f>MONTH(AS1403)</f>
        <v/>
      </c>
      <c r="AS1403" s="267">
        <f>IFERROR(__xludf.DUMMYFUNCTION("""COMPUTED_VALUE"""),45142.9986111111)</f>
        <v/>
      </c>
      <c r="AT1403" s="6">
        <f>IFERROR(__xludf.DUMMYFUNCTION("""COMPUTED_VALUE"""),1976.1)</f>
        <v/>
      </c>
    </row>
    <row r="1404">
      <c r="B1404" s="6">
        <f>C1404&amp;D1404</f>
        <v/>
      </c>
      <c r="C1404" s="6">
        <f>YEAR(E1404)</f>
        <v/>
      </c>
      <c r="D1404" s="6">
        <f>MONTH(E1404)</f>
        <v/>
      </c>
      <c r="E1404" s="267">
        <f>IFERROR(__xludf.DUMMYFUNCTION("""COMPUTED_VALUE"""),45138.6666666666)</f>
        <v/>
      </c>
      <c r="F1404" s="6">
        <f>IFERROR(__xludf.DUMMYFUNCTION("""COMPUTED_VALUE"""),4588.96)</f>
        <v/>
      </c>
      <c r="J1404" s="6">
        <f>K1404&amp;L1404</f>
        <v/>
      </c>
      <c r="K1404" s="6">
        <f>YEAR(M1404)</f>
        <v/>
      </c>
      <c r="L1404" s="6">
        <f>MONTH(M1404)</f>
        <v/>
      </c>
      <c r="M1404" s="267">
        <f>IFERROR(__xludf.DUMMYFUNCTION("""COMPUTED_VALUE"""),45128.6666666666)</f>
        <v/>
      </c>
      <c r="N1404" s="6">
        <f>IFERROR(__xludf.DUMMYFUNCTION("""COMPUTED_VALUE"""),14032.81)</f>
        <v/>
      </c>
      <c r="R1404" s="6">
        <f>S1404&amp;T1404</f>
        <v/>
      </c>
      <c r="S1404" s="6">
        <f>YEAR(U1404)</f>
        <v/>
      </c>
      <c r="T1404" s="6">
        <f>MONTH(U1404)</f>
        <v/>
      </c>
      <c r="U1404" s="267">
        <f>IFERROR(__xludf.DUMMYFUNCTION("""COMPUTED_VALUE"""),45181.6458333333)</f>
        <v/>
      </c>
      <c r="V1404" s="6">
        <f>IFERROR(__xludf.DUMMYFUNCTION("""COMPUTED_VALUE"""),2536.58)</f>
        <v/>
      </c>
      <c r="Z1404" s="6">
        <f>AA1404&amp;AB1404</f>
        <v/>
      </c>
      <c r="AA1404" s="6">
        <f>YEAR(AC1404)</f>
        <v/>
      </c>
      <c r="AB1404" s="6">
        <f>MONTH(AC1404)</f>
        <v/>
      </c>
      <c r="AC1404" s="267">
        <f>IFERROR(__xludf.DUMMYFUNCTION("""COMPUTED_VALUE"""),44553.9986111111)</f>
        <v/>
      </c>
      <c r="AD1404" s="6">
        <f>IFERROR(__xludf.DUMMYFUNCTION("""COMPUTED_VALUE"""),1185.5)</f>
        <v/>
      </c>
      <c r="AH1404" s="6">
        <f>AI1404&amp;AJ1404</f>
        <v/>
      </c>
      <c r="AI1404" s="6">
        <f>YEAR(AK1404)</f>
        <v/>
      </c>
      <c r="AJ1404" s="6">
        <f>MONTH(AK1404)</f>
        <v/>
      </c>
      <c r="AK1404" s="267">
        <f>IFERROR(__xludf.DUMMYFUNCTION("""COMPUTED_VALUE"""),44497.9986111111)</f>
        <v/>
      </c>
      <c r="AL1404" s="6">
        <f>IFERROR(__xludf.DUMMYFUNCTION("""COMPUTED_VALUE"""),60596.31)</f>
        <v/>
      </c>
      <c r="AP1404" s="6">
        <f>AQ1404&amp;AR1404</f>
        <v/>
      </c>
      <c r="AQ1404" s="6">
        <f>YEAR(AS1404)</f>
        <v/>
      </c>
      <c r="AR1404" s="6">
        <f>MONTH(AS1404)</f>
        <v/>
      </c>
      <c r="AS1404" s="267">
        <f>IFERROR(__xludf.DUMMYFUNCTION("""COMPUTED_VALUE"""),45145.9986111111)</f>
        <v/>
      </c>
      <c r="AT1404" s="6">
        <f>IFERROR(__xludf.DUMMYFUNCTION("""COMPUTED_VALUE"""),1970)</f>
        <v/>
      </c>
    </row>
    <row r="1405">
      <c r="B1405" s="6">
        <f>C1405&amp;D1405</f>
        <v/>
      </c>
      <c r="C1405" s="6">
        <f>YEAR(E1405)</f>
        <v/>
      </c>
      <c r="D1405" s="6">
        <f>MONTH(E1405)</f>
        <v/>
      </c>
      <c r="E1405" s="267">
        <f>IFERROR(__xludf.DUMMYFUNCTION("""COMPUTED_VALUE"""),45139.6666666666)</f>
        <v/>
      </c>
      <c r="F1405" s="6">
        <f>IFERROR(__xludf.DUMMYFUNCTION("""COMPUTED_VALUE"""),4576.73)</f>
        <v/>
      </c>
      <c r="J1405" s="6">
        <f>K1405&amp;L1405</f>
        <v/>
      </c>
      <c r="K1405" s="6">
        <f>YEAR(M1405)</f>
        <v/>
      </c>
      <c r="L1405" s="6">
        <f>MONTH(M1405)</f>
        <v/>
      </c>
      <c r="M1405" s="267">
        <f>IFERROR(__xludf.DUMMYFUNCTION("""COMPUTED_VALUE"""),45131.6666666666)</f>
        <v/>
      </c>
      <c r="N1405" s="6">
        <f>IFERROR(__xludf.DUMMYFUNCTION("""COMPUTED_VALUE"""),14058.87)</f>
        <v/>
      </c>
      <c r="R1405" s="6">
        <f>S1405&amp;T1405</f>
        <v/>
      </c>
      <c r="S1405" s="6">
        <f>YEAR(U1405)</f>
        <v/>
      </c>
      <c r="T1405" s="6">
        <f>MONTH(U1405)</f>
        <v/>
      </c>
      <c r="U1405" s="267">
        <f>IFERROR(__xludf.DUMMYFUNCTION("""COMPUTED_VALUE"""),45182.6458333333)</f>
        <v/>
      </c>
      <c r="V1405" s="6">
        <f>IFERROR(__xludf.DUMMYFUNCTION("""COMPUTED_VALUE"""),2534.7)</f>
        <v/>
      </c>
      <c r="Z1405" s="6">
        <f>AA1405&amp;AB1405</f>
        <v/>
      </c>
      <c r="AA1405" s="6">
        <f>YEAR(AC1405)</f>
        <v/>
      </c>
      <c r="AB1405" s="6">
        <f>MONTH(AC1405)</f>
        <v/>
      </c>
      <c r="AC1405" s="267">
        <f>IFERROR(__xludf.DUMMYFUNCTION("""COMPUTED_VALUE"""),44554.9986111111)</f>
        <v/>
      </c>
      <c r="AD1405" s="6">
        <f>IFERROR(__xludf.DUMMYFUNCTION("""COMPUTED_VALUE"""),1185.92)</f>
        <v/>
      </c>
      <c r="AH1405" s="6">
        <f>AI1405&amp;AJ1405</f>
        <v/>
      </c>
      <c r="AI1405" s="6">
        <f>YEAR(AK1405)</f>
        <v/>
      </c>
      <c r="AJ1405" s="6">
        <f>MONTH(AK1405)</f>
        <v/>
      </c>
      <c r="AK1405" s="267">
        <f>IFERROR(__xludf.DUMMYFUNCTION("""COMPUTED_VALUE"""),44498.9986111111)</f>
        <v/>
      </c>
      <c r="AL1405" s="6">
        <f>IFERROR(__xludf.DUMMYFUNCTION("""COMPUTED_VALUE"""),62247.62)</f>
        <v/>
      </c>
      <c r="AP1405" s="6">
        <f>AQ1405&amp;AR1405</f>
        <v/>
      </c>
      <c r="AQ1405" s="6">
        <f>YEAR(AS1405)</f>
        <v/>
      </c>
      <c r="AR1405" s="6">
        <f>MONTH(AS1405)</f>
        <v/>
      </c>
      <c r="AS1405" s="267">
        <f>IFERROR(__xludf.DUMMYFUNCTION("""COMPUTED_VALUE"""),45146.9986111111)</f>
        <v/>
      </c>
      <c r="AT1405" s="6">
        <f>IFERROR(__xludf.DUMMYFUNCTION("""COMPUTED_VALUE"""),1959.9)</f>
        <v/>
      </c>
    </row>
    <row r="1406">
      <c r="B1406" s="6">
        <f>C1406&amp;D1406</f>
        <v/>
      </c>
      <c r="C1406" s="6">
        <f>YEAR(E1406)</f>
        <v/>
      </c>
      <c r="D1406" s="6">
        <f>MONTH(E1406)</f>
        <v/>
      </c>
      <c r="E1406" s="267">
        <f>IFERROR(__xludf.DUMMYFUNCTION("""COMPUTED_VALUE"""),45140.6666666666)</f>
        <v/>
      </c>
      <c r="F1406" s="6">
        <f>IFERROR(__xludf.DUMMYFUNCTION("""COMPUTED_VALUE"""),4513.39)</f>
        <v/>
      </c>
      <c r="J1406" s="6">
        <f>K1406&amp;L1406</f>
        <v/>
      </c>
      <c r="K1406" s="6">
        <f>YEAR(M1406)</f>
        <v/>
      </c>
      <c r="L1406" s="6">
        <f>MONTH(M1406)</f>
        <v/>
      </c>
      <c r="M1406" s="267">
        <f>IFERROR(__xludf.DUMMYFUNCTION("""COMPUTED_VALUE"""),45132.6666666666)</f>
        <v/>
      </c>
      <c r="N1406" s="6">
        <f>IFERROR(__xludf.DUMMYFUNCTION("""COMPUTED_VALUE"""),14144.56)</f>
        <v/>
      </c>
      <c r="R1406" s="6">
        <f>S1406&amp;T1406</f>
        <v/>
      </c>
      <c r="S1406" s="6">
        <f>YEAR(U1406)</f>
        <v/>
      </c>
      <c r="T1406" s="6">
        <f>MONTH(U1406)</f>
        <v/>
      </c>
      <c r="U1406" s="267">
        <f>IFERROR(__xludf.DUMMYFUNCTION("""COMPUTED_VALUE"""),45183.6458333333)</f>
        <v/>
      </c>
      <c r="V1406" s="6">
        <f>IFERROR(__xludf.DUMMYFUNCTION("""COMPUTED_VALUE"""),2572.89)</f>
        <v/>
      </c>
      <c r="Z1406" s="6">
        <f>AA1406&amp;AB1406</f>
        <v/>
      </c>
      <c r="AA1406" s="6">
        <f>YEAR(AC1406)</f>
        <v/>
      </c>
      <c r="AB1406" s="6">
        <f>MONTH(AC1406)</f>
        <v/>
      </c>
      <c r="AC1406" s="267">
        <f>IFERROR(__xludf.DUMMYFUNCTION("""COMPUTED_VALUE"""),44555.9986111111)</f>
        <v/>
      </c>
      <c r="AD1406" s="6">
        <f>IFERROR(__xludf.DUMMYFUNCTION("""COMPUTED_VALUE"""),1185.92)</f>
        <v/>
      </c>
      <c r="AH1406" s="6">
        <f>AI1406&amp;AJ1406</f>
        <v/>
      </c>
      <c r="AI1406" s="6">
        <f>YEAR(AK1406)</f>
        <v/>
      </c>
      <c r="AJ1406" s="6">
        <f>MONTH(AK1406)</f>
        <v/>
      </c>
      <c r="AK1406" s="267">
        <f>IFERROR(__xludf.DUMMYFUNCTION("""COMPUTED_VALUE"""),44499.9986111111)</f>
        <v/>
      </c>
      <c r="AL1406" s="6">
        <f>IFERROR(__xludf.DUMMYFUNCTION("""COMPUTED_VALUE"""),61855.9)</f>
        <v/>
      </c>
      <c r="AP1406" s="6">
        <f>AQ1406&amp;AR1406</f>
        <v/>
      </c>
      <c r="AQ1406" s="6">
        <f>YEAR(AS1406)</f>
        <v/>
      </c>
      <c r="AR1406" s="6">
        <f>MONTH(AS1406)</f>
        <v/>
      </c>
      <c r="AS1406" s="267">
        <f>IFERROR(__xludf.DUMMYFUNCTION("""COMPUTED_VALUE"""),45147.9986111111)</f>
        <v/>
      </c>
      <c r="AT1406" s="6">
        <f>IFERROR(__xludf.DUMMYFUNCTION("""COMPUTED_VALUE"""),1950.6)</f>
        <v/>
      </c>
    </row>
    <row r="1407">
      <c r="B1407" s="6">
        <f>C1407&amp;D1407</f>
        <v/>
      </c>
      <c r="C1407" s="6">
        <f>YEAR(E1407)</f>
        <v/>
      </c>
      <c r="D1407" s="6">
        <f>MONTH(E1407)</f>
        <v/>
      </c>
      <c r="E1407" s="267">
        <f>IFERROR(__xludf.DUMMYFUNCTION("""COMPUTED_VALUE"""),45141.6666666666)</f>
        <v/>
      </c>
      <c r="F1407" s="6">
        <f>IFERROR(__xludf.DUMMYFUNCTION("""COMPUTED_VALUE"""),4501.89)</f>
        <v/>
      </c>
      <c r="J1407" s="6">
        <f>K1407&amp;L1407</f>
        <v/>
      </c>
      <c r="K1407" s="6">
        <f>YEAR(M1407)</f>
        <v/>
      </c>
      <c r="L1407" s="6">
        <f>MONTH(M1407)</f>
        <v/>
      </c>
      <c r="M1407" s="267">
        <f>IFERROR(__xludf.DUMMYFUNCTION("""COMPUTED_VALUE"""),45133.6666666666)</f>
        <v/>
      </c>
      <c r="N1407" s="6">
        <f>IFERROR(__xludf.DUMMYFUNCTION("""COMPUTED_VALUE"""),14127.28)</f>
        <v/>
      </c>
      <c r="R1407" s="6">
        <f>S1407&amp;T1407</f>
        <v/>
      </c>
      <c r="S1407" s="6">
        <f>YEAR(U1407)</f>
        <v/>
      </c>
      <c r="T1407" s="6">
        <f>MONTH(U1407)</f>
        <v/>
      </c>
      <c r="U1407" s="267">
        <f>IFERROR(__xludf.DUMMYFUNCTION("""COMPUTED_VALUE"""),45184.6458333333)</f>
        <v/>
      </c>
      <c r="V1407" s="6">
        <f>IFERROR(__xludf.DUMMYFUNCTION("""COMPUTED_VALUE"""),2601.28)</f>
        <v/>
      </c>
      <c r="Z1407" s="6">
        <f>AA1407&amp;AB1407</f>
        <v/>
      </c>
      <c r="AA1407" s="6">
        <f>YEAR(AC1407)</f>
        <v/>
      </c>
      <c r="AB1407" s="6">
        <f>MONTH(AC1407)</f>
        <v/>
      </c>
      <c r="AC1407" s="267">
        <f>IFERROR(__xludf.DUMMYFUNCTION("""COMPUTED_VALUE"""),44556.9986111111)</f>
        <v/>
      </c>
      <c r="AD1407" s="6">
        <f>IFERROR(__xludf.DUMMYFUNCTION("""COMPUTED_VALUE"""),1185.92)</f>
        <v/>
      </c>
      <c r="AH1407" s="6">
        <f>AI1407&amp;AJ1407</f>
        <v/>
      </c>
      <c r="AI1407" s="6">
        <f>YEAR(AK1407)</f>
        <v/>
      </c>
      <c r="AJ1407" s="6">
        <f>MONTH(AK1407)</f>
        <v/>
      </c>
      <c r="AK1407" s="267">
        <f>IFERROR(__xludf.DUMMYFUNCTION("""COMPUTED_VALUE"""),44500.9986111111)</f>
        <v/>
      </c>
      <c r="AL1407" s="6">
        <f>IFERROR(__xludf.DUMMYFUNCTION("""COMPUTED_VALUE"""),61340.66)</f>
        <v/>
      </c>
      <c r="AP1407" s="6">
        <f>AQ1407&amp;AR1407</f>
        <v/>
      </c>
      <c r="AQ1407" s="6">
        <f>YEAR(AS1407)</f>
        <v/>
      </c>
      <c r="AR1407" s="6">
        <f>MONTH(AS1407)</f>
        <v/>
      </c>
      <c r="AS1407" s="267">
        <f>IFERROR(__xludf.DUMMYFUNCTION("""COMPUTED_VALUE"""),45148.9986111111)</f>
        <v/>
      </c>
      <c r="AT1407" s="6">
        <f>IFERROR(__xludf.DUMMYFUNCTION("""COMPUTED_VALUE"""),1948.9)</f>
        <v/>
      </c>
    </row>
    <row r="1408">
      <c r="B1408" s="6">
        <f>C1408&amp;D1408</f>
        <v/>
      </c>
      <c r="C1408" s="6">
        <f>YEAR(E1408)</f>
        <v/>
      </c>
      <c r="D1408" s="6">
        <f>MONTH(E1408)</f>
        <v/>
      </c>
      <c r="E1408" s="267">
        <f>IFERROR(__xludf.DUMMYFUNCTION("""COMPUTED_VALUE"""),45142.6666666666)</f>
        <v/>
      </c>
      <c r="F1408" s="6">
        <f>IFERROR(__xludf.DUMMYFUNCTION("""COMPUTED_VALUE"""),4478.03)</f>
        <v/>
      </c>
      <c r="J1408" s="6">
        <f>K1408&amp;L1408</f>
        <v/>
      </c>
      <c r="K1408" s="6">
        <f>YEAR(M1408)</f>
        <v/>
      </c>
      <c r="L1408" s="6">
        <f>MONTH(M1408)</f>
        <v/>
      </c>
      <c r="M1408" s="267">
        <f>IFERROR(__xludf.DUMMYFUNCTION("""COMPUTED_VALUE"""),45134.6666666666)</f>
        <v/>
      </c>
      <c r="N1408" s="6">
        <f>IFERROR(__xludf.DUMMYFUNCTION("""COMPUTED_VALUE"""),14050.11)</f>
        <v/>
      </c>
      <c r="R1408" s="6">
        <f>S1408&amp;T1408</f>
        <v/>
      </c>
      <c r="S1408" s="6">
        <f>YEAR(U1408)</f>
        <v/>
      </c>
      <c r="T1408" s="6">
        <f>MONTH(U1408)</f>
        <v/>
      </c>
      <c r="U1408" s="267">
        <f>IFERROR(__xludf.DUMMYFUNCTION("""COMPUTED_VALUE"""),45187.6458333333)</f>
        <v/>
      </c>
      <c r="V1408" s="6">
        <f>IFERROR(__xludf.DUMMYFUNCTION("""COMPUTED_VALUE"""),2574.72)</f>
        <v/>
      </c>
      <c r="Z1408" s="6">
        <f>AA1408&amp;AB1408</f>
        <v/>
      </c>
      <c r="AA1408" s="6">
        <f>YEAR(AC1408)</f>
        <v/>
      </c>
      <c r="AB1408" s="6">
        <f>MONTH(AC1408)</f>
        <v/>
      </c>
      <c r="AC1408" s="267">
        <f>IFERROR(__xludf.DUMMYFUNCTION("""COMPUTED_VALUE"""),44557.9986111111)</f>
        <v/>
      </c>
      <c r="AD1408" s="6">
        <f>IFERROR(__xludf.DUMMYFUNCTION("""COMPUTED_VALUE"""),1185.65)</f>
        <v/>
      </c>
      <c r="AH1408" s="6">
        <f>AI1408&amp;AJ1408</f>
        <v/>
      </c>
      <c r="AI1408" s="6">
        <f>YEAR(AK1408)</f>
        <v/>
      </c>
      <c r="AJ1408" s="6">
        <f>MONTH(AK1408)</f>
        <v/>
      </c>
      <c r="AK1408" s="267">
        <f>IFERROR(__xludf.DUMMYFUNCTION("""COMPUTED_VALUE"""),44501.9986111111)</f>
        <v/>
      </c>
      <c r="AL1408" s="6">
        <f>IFERROR(__xludf.DUMMYFUNCTION("""COMPUTED_VALUE"""),60951.52)</f>
        <v/>
      </c>
      <c r="AP1408" s="6">
        <f>AQ1408&amp;AR1408</f>
        <v/>
      </c>
      <c r="AQ1408" s="6">
        <f>YEAR(AS1408)</f>
        <v/>
      </c>
      <c r="AR1408" s="6">
        <f>MONTH(AS1408)</f>
        <v/>
      </c>
      <c r="AS1408" s="267">
        <f>IFERROR(__xludf.DUMMYFUNCTION("""COMPUTED_VALUE"""),45149.9986111111)</f>
        <v/>
      </c>
      <c r="AT1408" s="6">
        <f>IFERROR(__xludf.DUMMYFUNCTION("""COMPUTED_VALUE"""),1946.6)</f>
        <v/>
      </c>
    </row>
    <row r="1409">
      <c r="B1409" s="6">
        <f>C1409&amp;D1409</f>
        <v/>
      </c>
      <c r="C1409" s="6">
        <f>YEAR(E1409)</f>
        <v/>
      </c>
      <c r="D1409" s="6">
        <f>MONTH(E1409)</f>
        <v/>
      </c>
      <c r="E1409" s="267">
        <f>IFERROR(__xludf.DUMMYFUNCTION("""COMPUTED_VALUE"""),45145.6666666666)</f>
        <v/>
      </c>
      <c r="F1409" s="6">
        <f>IFERROR(__xludf.DUMMYFUNCTION("""COMPUTED_VALUE"""),4518.44)</f>
        <v/>
      </c>
      <c r="J1409" s="6">
        <f>K1409&amp;L1409</f>
        <v/>
      </c>
      <c r="K1409" s="6">
        <f>YEAR(M1409)</f>
        <v/>
      </c>
      <c r="L1409" s="6">
        <f>MONTH(M1409)</f>
        <v/>
      </c>
      <c r="M1409" s="267">
        <f>IFERROR(__xludf.DUMMYFUNCTION("""COMPUTED_VALUE"""),45135.6666666666)</f>
        <v/>
      </c>
      <c r="N1409" s="6">
        <f>IFERROR(__xludf.DUMMYFUNCTION("""COMPUTED_VALUE"""),14316.66)</f>
        <v/>
      </c>
      <c r="R1409" s="6">
        <f>S1409&amp;T1409</f>
        <v/>
      </c>
      <c r="S1409" s="6">
        <f>YEAR(U1409)</f>
        <v/>
      </c>
      <c r="T1409" s="6">
        <f>MONTH(U1409)</f>
        <v/>
      </c>
      <c r="U1409" s="267">
        <f>IFERROR(__xludf.DUMMYFUNCTION("""COMPUTED_VALUE"""),45188.6458333333)</f>
        <v/>
      </c>
      <c r="V1409" s="6">
        <f>IFERROR(__xludf.DUMMYFUNCTION("""COMPUTED_VALUE"""),2559.21)</f>
        <v/>
      </c>
      <c r="Z1409" s="6">
        <f>AA1409&amp;AB1409</f>
        <v/>
      </c>
      <c r="AA1409" s="6">
        <f>YEAR(AC1409)</f>
        <v/>
      </c>
      <c r="AB1409" s="6">
        <f>MONTH(AC1409)</f>
        <v/>
      </c>
      <c r="AC1409" s="267">
        <f>IFERROR(__xludf.DUMMYFUNCTION("""COMPUTED_VALUE"""),44558.9986111111)</f>
        <v/>
      </c>
      <c r="AD1409" s="6">
        <f>IFERROR(__xludf.DUMMYFUNCTION("""COMPUTED_VALUE"""),1187.85)</f>
        <v/>
      </c>
      <c r="AH1409" s="6">
        <f>AI1409&amp;AJ1409</f>
        <v/>
      </c>
      <c r="AI1409" s="6">
        <f>YEAR(AK1409)</f>
        <v/>
      </c>
      <c r="AJ1409" s="6">
        <f>MONTH(AK1409)</f>
        <v/>
      </c>
      <c r="AK1409" s="267">
        <f>IFERROR(__xludf.DUMMYFUNCTION("""COMPUTED_VALUE"""),44502.9986111111)</f>
        <v/>
      </c>
      <c r="AL1409" s="6">
        <f>IFERROR(__xludf.DUMMYFUNCTION("""COMPUTED_VALUE"""),63234.6)</f>
        <v/>
      </c>
      <c r="AP1409" s="6">
        <f>AQ1409&amp;AR1409</f>
        <v/>
      </c>
      <c r="AQ1409" s="6">
        <f>YEAR(AS1409)</f>
        <v/>
      </c>
      <c r="AR1409" s="6">
        <f>MONTH(AS1409)</f>
        <v/>
      </c>
      <c r="AS1409" s="267">
        <f>IFERROR(__xludf.DUMMYFUNCTION("""COMPUTED_VALUE"""),45152.9986111111)</f>
        <v/>
      </c>
      <c r="AT1409" s="6">
        <f>IFERROR(__xludf.DUMMYFUNCTION("""COMPUTED_VALUE"""),1944)</f>
        <v/>
      </c>
    </row>
    <row r="1410">
      <c r="B1410" s="6">
        <f>C1410&amp;D1410</f>
        <v/>
      </c>
      <c r="C1410" s="6">
        <f>YEAR(E1410)</f>
        <v/>
      </c>
      <c r="D1410" s="6">
        <f>MONTH(E1410)</f>
        <v/>
      </c>
      <c r="E1410" s="267">
        <f>IFERROR(__xludf.DUMMYFUNCTION("""COMPUTED_VALUE"""),45146.6666666666)</f>
        <v/>
      </c>
      <c r="F1410" s="6">
        <f>IFERROR(__xludf.DUMMYFUNCTION("""COMPUTED_VALUE"""),4499.38)</f>
        <v/>
      </c>
      <c r="J1410" s="6">
        <f>K1410&amp;L1410</f>
        <v/>
      </c>
      <c r="K1410" s="6">
        <f>YEAR(M1410)</f>
        <v/>
      </c>
      <c r="L1410" s="6">
        <f>MONTH(M1410)</f>
        <v/>
      </c>
      <c r="M1410" s="267">
        <f>IFERROR(__xludf.DUMMYFUNCTION("""COMPUTED_VALUE"""),45138.6666666666)</f>
        <v/>
      </c>
      <c r="N1410" s="6">
        <f>IFERROR(__xludf.DUMMYFUNCTION("""COMPUTED_VALUE"""),14346.02)</f>
        <v/>
      </c>
      <c r="R1410" s="6">
        <f>S1410&amp;T1410</f>
        <v/>
      </c>
      <c r="S1410" s="6">
        <f>YEAR(U1410)</f>
        <v/>
      </c>
      <c r="T1410" s="6">
        <f>MONTH(U1410)</f>
        <v/>
      </c>
      <c r="U1410" s="267">
        <f>IFERROR(__xludf.DUMMYFUNCTION("""COMPUTED_VALUE"""),45189.6458333333)</f>
        <v/>
      </c>
      <c r="V1410" s="6">
        <f>IFERROR(__xludf.DUMMYFUNCTION("""COMPUTED_VALUE"""),2559.74)</f>
        <v/>
      </c>
      <c r="Z1410" s="6">
        <f>AA1410&amp;AB1410</f>
        <v/>
      </c>
      <c r="AA1410" s="6">
        <f>YEAR(AC1410)</f>
        <v/>
      </c>
      <c r="AB1410" s="6">
        <f>MONTH(AC1410)</f>
        <v/>
      </c>
      <c r="AC1410" s="267">
        <f>IFERROR(__xludf.DUMMYFUNCTION("""COMPUTED_VALUE"""),44559.9986111111)</f>
        <v/>
      </c>
      <c r="AD1410" s="6">
        <f>IFERROR(__xludf.DUMMYFUNCTION("""COMPUTED_VALUE"""),1183.67)</f>
        <v/>
      </c>
      <c r="AH1410" s="6">
        <f>AI1410&amp;AJ1410</f>
        <v/>
      </c>
      <c r="AI1410" s="6">
        <f>YEAR(AK1410)</f>
        <v/>
      </c>
      <c r="AJ1410" s="6">
        <f>MONTH(AK1410)</f>
        <v/>
      </c>
      <c r="AK1410" s="267">
        <f>IFERROR(__xludf.DUMMYFUNCTION("""COMPUTED_VALUE"""),44503.9986111111)</f>
        <v/>
      </c>
      <c r="AL1410" s="6">
        <f>IFERROR(__xludf.DUMMYFUNCTION("""COMPUTED_VALUE"""),62920.18)</f>
        <v/>
      </c>
      <c r="AP1410" s="6">
        <f>AQ1410&amp;AR1410</f>
        <v/>
      </c>
      <c r="AQ1410" s="6">
        <f>YEAR(AS1410)</f>
        <v/>
      </c>
      <c r="AR1410" s="6">
        <f>MONTH(AS1410)</f>
        <v/>
      </c>
      <c r="AS1410" s="267">
        <f>IFERROR(__xludf.DUMMYFUNCTION("""COMPUTED_VALUE"""),45153.9986111111)</f>
        <v/>
      </c>
      <c r="AT1410" s="6">
        <f>IFERROR(__xludf.DUMMYFUNCTION("""COMPUTED_VALUE"""),1935.2)</f>
        <v/>
      </c>
    </row>
    <row r="1411">
      <c r="B1411" s="6">
        <f>C1411&amp;D1411</f>
        <v/>
      </c>
      <c r="C1411" s="6">
        <f>YEAR(E1411)</f>
        <v/>
      </c>
      <c r="D1411" s="6">
        <f>MONTH(E1411)</f>
        <v/>
      </c>
      <c r="E1411" s="267">
        <f>IFERROR(__xludf.DUMMYFUNCTION("""COMPUTED_VALUE"""),45147.6666666666)</f>
        <v/>
      </c>
      <c r="F1411" s="6">
        <f>IFERROR(__xludf.DUMMYFUNCTION("""COMPUTED_VALUE"""),4467.71)</f>
        <v/>
      </c>
      <c r="J1411" s="6">
        <f>K1411&amp;L1411</f>
        <v/>
      </c>
      <c r="K1411" s="6">
        <f>YEAR(M1411)</f>
        <v/>
      </c>
      <c r="L1411" s="6">
        <f>MONTH(M1411)</f>
        <v/>
      </c>
      <c r="M1411" s="267">
        <f>IFERROR(__xludf.DUMMYFUNCTION("""COMPUTED_VALUE"""),45139.6666666666)</f>
        <v/>
      </c>
      <c r="N1411" s="6">
        <f>IFERROR(__xludf.DUMMYFUNCTION("""COMPUTED_VALUE"""),14283.91)</f>
        <v/>
      </c>
      <c r="R1411" s="6">
        <f>S1411&amp;T1411</f>
        <v/>
      </c>
      <c r="S1411" s="6">
        <f>YEAR(U1411)</f>
        <v/>
      </c>
      <c r="T1411" s="6">
        <f>MONTH(U1411)</f>
        <v/>
      </c>
      <c r="U1411" s="267">
        <f>IFERROR(__xludf.DUMMYFUNCTION("""COMPUTED_VALUE"""),45190.6458333333)</f>
        <v/>
      </c>
      <c r="V1411" s="6">
        <f>IFERROR(__xludf.DUMMYFUNCTION("""COMPUTED_VALUE"""),2514.97)</f>
        <v/>
      </c>
      <c r="Z1411" s="6">
        <f>AA1411&amp;AB1411</f>
        <v/>
      </c>
      <c r="AA1411" s="6">
        <f>YEAR(AC1411)</f>
        <v/>
      </c>
      <c r="AB1411" s="6">
        <f>MONTH(AC1411)</f>
        <v/>
      </c>
      <c r="AC1411" s="267">
        <f>IFERROR(__xludf.DUMMYFUNCTION("""COMPUTED_VALUE"""),44560.9986111111)</f>
        <v/>
      </c>
      <c r="AD1411" s="6">
        <f>IFERROR(__xludf.DUMMYFUNCTION("""COMPUTED_VALUE"""),1189.89)</f>
        <v/>
      </c>
      <c r="AH1411" s="6">
        <f>AI1411&amp;AJ1411</f>
        <v/>
      </c>
      <c r="AI1411" s="6">
        <f>YEAR(AK1411)</f>
        <v/>
      </c>
      <c r="AJ1411" s="6">
        <f>MONTH(AK1411)</f>
        <v/>
      </c>
      <c r="AK1411" s="267">
        <f>IFERROR(__xludf.DUMMYFUNCTION("""COMPUTED_VALUE"""),44504.9986111111)</f>
        <v/>
      </c>
      <c r="AL1411" s="6">
        <f>IFERROR(__xludf.DUMMYFUNCTION("""COMPUTED_VALUE"""),61440.53)</f>
        <v/>
      </c>
      <c r="AP1411" s="6">
        <f>AQ1411&amp;AR1411</f>
        <v/>
      </c>
      <c r="AQ1411" s="6">
        <f>YEAR(AS1411)</f>
        <v/>
      </c>
      <c r="AR1411" s="6">
        <f>MONTH(AS1411)</f>
        <v/>
      </c>
      <c r="AS1411" s="267">
        <f>IFERROR(__xludf.DUMMYFUNCTION("""COMPUTED_VALUE"""),45154.9986111111)</f>
        <v/>
      </c>
      <c r="AT1411" s="6">
        <f>IFERROR(__xludf.DUMMYFUNCTION("""COMPUTED_VALUE"""),1928.3)</f>
        <v/>
      </c>
    </row>
    <row r="1412">
      <c r="B1412" s="6">
        <f>C1412&amp;D1412</f>
        <v/>
      </c>
      <c r="C1412" s="6">
        <f>YEAR(E1412)</f>
        <v/>
      </c>
      <c r="D1412" s="6">
        <f>MONTH(E1412)</f>
        <v/>
      </c>
      <c r="E1412" s="267">
        <f>IFERROR(__xludf.DUMMYFUNCTION("""COMPUTED_VALUE"""),45148.6666666666)</f>
        <v/>
      </c>
      <c r="F1412" s="6">
        <f>IFERROR(__xludf.DUMMYFUNCTION("""COMPUTED_VALUE"""),4468.83)</f>
        <v/>
      </c>
      <c r="J1412" s="6">
        <f>K1412&amp;L1412</f>
        <v/>
      </c>
      <c r="K1412" s="6">
        <f>YEAR(M1412)</f>
        <v/>
      </c>
      <c r="L1412" s="6">
        <f>MONTH(M1412)</f>
        <v/>
      </c>
      <c r="M1412" s="267">
        <f>IFERROR(__xludf.DUMMYFUNCTION("""COMPUTED_VALUE"""),45140.6666666666)</f>
        <v/>
      </c>
      <c r="N1412" s="6">
        <f>IFERROR(__xludf.DUMMYFUNCTION("""COMPUTED_VALUE"""),13973.45)</f>
        <v/>
      </c>
      <c r="R1412" s="6">
        <f>S1412&amp;T1412</f>
        <v/>
      </c>
      <c r="S1412" s="6">
        <f>YEAR(U1412)</f>
        <v/>
      </c>
      <c r="T1412" s="6">
        <f>MONTH(U1412)</f>
        <v/>
      </c>
      <c r="U1412" s="267">
        <f>IFERROR(__xludf.DUMMYFUNCTION("""COMPUTED_VALUE"""),45191.6458333333)</f>
        <v/>
      </c>
      <c r="V1412" s="6">
        <f>IFERROR(__xludf.DUMMYFUNCTION("""COMPUTED_VALUE"""),2508.13)</f>
        <v/>
      </c>
      <c r="Z1412" s="6">
        <f>AA1412&amp;AB1412</f>
        <v/>
      </c>
      <c r="AA1412" s="6">
        <f>YEAR(AC1412)</f>
        <v/>
      </c>
      <c r="AB1412" s="6">
        <f>MONTH(AC1412)</f>
        <v/>
      </c>
      <c r="AC1412" s="267">
        <f>IFERROR(__xludf.DUMMYFUNCTION("""COMPUTED_VALUE"""),44561.9986111111)</f>
        <v/>
      </c>
      <c r="AD1412" s="6">
        <f>IFERROR(__xludf.DUMMYFUNCTION("""COMPUTED_VALUE"""),1187.78)</f>
        <v/>
      </c>
      <c r="AH1412" s="6">
        <f>AI1412&amp;AJ1412</f>
        <v/>
      </c>
      <c r="AI1412" s="6">
        <f>YEAR(AK1412)</f>
        <v/>
      </c>
      <c r="AJ1412" s="6">
        <f>MONTH(AK1412)</f>
        <v/>
      </c>
      <c r="AK1412" s="267">
        <f>IFERROR(__xludf.DUMMYFUNCTION("""COMPUTED_VALUE"""),44505.9986111111)</f>
        <v/>
      </c>
      <c r="AL1412" s="6">
        <f>IFERROR(__xludf.DUMMYFUNCTION("""COMPUTED_VALUE"""),60997.62)</f>
        <v/>
      </c>
      <c r="AP1412" s="6">
        <f>AQ1412&amp;AR1412</f>
        <v/>
      </c>
      <c r="AQ1412" s="6">
        <f>YEAR(AS1412)</f>
        <v/>
      </c>
      <c r="AR1412" s="6">
        <f>MONTH(AS1412)</f>
        <v/>
      </c>
      <c r="AS1412" s="267">
        <f>IFERROR(__xludf.DUMMYFUNCTION("""COMPUTED_VALUE"""),45155.9986111111)</f>
        <v/>
      </c>
      <c r="AT1412" s="6">
        <f>IFERROR(__xludf.DUMMYFUNCTION("""COMPUTED_VALUE"""),1915.2)</f>
        <v/>
      </c>
    </row>
    <row r="1413">
      <c r="B1413" s="6">
        <f>C1413&amp;D1413</f>
        <v/>
      </c>
      <c r="C1413" s="6">
        <f>YEAR(E1413)</f>
        <v/>
      </c>
      <c r="D1413" s="6">
        <f>MONTH(E1413)</f>
        <v/>
      </c>
      <c r="E1413" s="267">
        <f>IFERROR(__xludf.DUMMYFUNCTION("""COMPUTED_VALUE"""),45149.6666666666)</f>
        <v/>
      </c>
      <c r="F1413" s="6">
        <f>IFERROR(__xludf.DUMMYFUNCTION("""COMPUTED_VALUE"""),4464.05)</f>
        <v/>
      </c>
      <c r="J1413" s="6">
        <f>K1413&amp;L1413</f>
        <v/>
      </c>
      <c r="K1413" s="6">
        <f>YEAR(M1413)</f>
        <v/>
      </c>
      <c r="L1413" s="6">
        <f>MONTH(M1413)</f>
        <v/>
      </c>
      <c r="M1413" s="267">
        <f>IFERROR(__xludf.DUMMYFUNCTION("""COMPUTED_VALUE"""),45141.6666666666)</f>
        <v/>
      </c>
      <c r="N1413" s="6">
        <f>IFERROR(__xludf.DUMMYFUNCTION("""COMPUTED_VALUE"""),13959.72)</f>
        <v/>
      </c>
      <c r="R1413" s="6">
        <f>S1413&amp;T1413</f>
        <v/>
      </c>
      <c r="S1413" s="6">
        <f>YEAR(U1413)</f>
        <v/>
      </c>
      <c r="T1413" s="6">
        <f>MONTH(U1413)</f>
        <v/>
      </c>
      <c r="U1413" s="267">
        <f>IFERROR(__xludf.DUMMYFUNCTION("""COMPUTED_VALUE"""),45194.6458333333)</f>
        <v/>
      </c>
      <c r="V1413" s="6">
        <f>IFERROR(__xludf.DUMMYFUNCTION("""COMPUTED_VALUE"""),2495.76)</f>
        <v/>
      </c>
      <c r="Z1413" s="6">
        <f>AA1413&amp;AB1413</f>
        <v/>
      </c>
      <c r="AA1413" s="6">
        <f>YEAR(AC1413)</f>
        <v/>
      </c>
      <c r="AB1413" s="6">
        <f>MONTH(AC1413)</f>
        <v/>
      </c>
      <c r="AC1413" s="267">
        <f>IFERROR(__xludf.DUMMYFUNCTION("""COMPUTED_VALUE"""),44562.9986111111)</f>
        <v/>
      </c>
      <c r="AD1413" s="6">
        <f>IFERROR(__xludf.DUMMYFUNCTION("""COMPUTED_VALUE"""),1187.78)</f>
        <v/>
      </c>
      <c r="AH1413" s="6">
        <f>AI1413&amp;AJ1413</f>
        <v/>
      </c>
      <c r="AI1413" s="6">
        <f>YEAR(AK1413)</f>
        <v/>
      </c>
      <c r="AJ1413" s="6">
        <f>MONTH(AK1413)</f>
        <v/>
      </c>
      <c r="AK1413" s="267">
        <f>IFERROR(__xludf.DUMMYFUNCTION("""COMPUTED_VALUE"""),44506.9986111111)</f>
        <v/>
      </c>
      <c r="AL1413" s="6">
        <f>IFERROR(__xludf.DUMMYFUNCTION("""COMPUTED_VALUE"""),61517.57)</f>
        <v/>
      </c>
      <c r="AP1413" s="6">
        <f>AQ1413&amp;AR1413</f>
        <v/>
      </c>
      <c r="AQ1413" s="6">
        <f>YEAR(AS1413)</f>
        <v/>
      </c>
      <c r="AR1413" s="6">
        <f>MONTH(AS1413)</f>
        <v/>
      </c>
      <c r="AS1413" s="267">
        <f>IFERROR(__xludf.DUMMYFUNCTION("""COMPUTED_VALUE"""),45156.9986111111)</f>
        <v/>
      </c>
      <c r="AT1413" s="6">
        <f>IFERROR(__xludf.DUMMYFUNCTION("""COMPUTED_VALUE"""),1916.5)</f>
        <v/>
      </c>
    </row>
    <row r="1414">
      <c r="B1414" s="6">
        <f>C1414&amp;D1414</f>
        <v/>
      </c>
      <c r="C1414" s="6">
        <f>YEAR(E1414)</f>
        <v/>
      </c>
      <c r="D1414" s="6">
        <f>MONTH(E1414)</f>
        <v/>
      </c>
      <c r="E1414" s="267">
        <f>IFERROR(__xludf.DUMMYFUNCTION("""COMPUTED_VALUE"""),45152.6666666666)</f>
        <v/>
      </c>
      <c r="F1414" s="6">
        <f>IFERROR(__xludf.DUMMYFUNCTION("""COMPUTED_VALUE"""),4489.72)</f>
        <v/>
      </c>
      <c r="J1414" s="6">
        <f>K1414&amp;L1414</f>
        <v/>
      </c>
      <c r="K1414" s="6">
        <f>YEAR(M1414)</f>
        <v/>
      </c>
      <c r="L1414" s="6">
        <f>MONTH(M1414)</f>
        <v/>
      </c>
      <c r="M1414" s="267">
        <f>IFERROR(__xludf.DUMMYFUNCTION("""COMPUTED_VALUE"""),45142.6666666666)</f>
        <v/>
      </c>
      <c r="N1414" s="6">
        <f>IFERROR(__xludf.DUMMYFUNCTION("""COMPUTED_VALUE"""),13892.07)</f>
        <v/>
      </c>
      <c r="R1414" s="6">
        <f>S1414&amp;T1414</f>
        <v/>
      </c>
      <c r="S1414" s="6">
        <f>YEAR(U1414)</f>
        <v/>
      </c>
      <c r="T1414" s="6">
        <f>MONTH(U1414)</f>
        <v/>
      </c>
      <c r="U1414" s="267">
        <f>IFERROR(__xludf.DUMMYFUNCTION("""COMPUTED_VALUE"""),45195.6458333333)</f>
        <v/>
      </c>
      <c r="V1414" s="6">
        <f>IFERROR(__xludf.DUMMYFUNCTION("""COMPUTED_VALUE"""),2462.97)</f>
        <v/>
      </c>
      <c r="Z1414" s="6">
        <f>AA1414&amp;AB1414</f>
        <v/>
      </c>
      <c r="AA1414" s="6">
        <f>YEAR(AC1414)</f>
        <v/>
      </c>
      <c r="AB1414" s="6">
        <f>MONTH(AC1414)</f>
        <v/>
      </c>
      <c r="AC1414" s="267">
        <f>IFERROR(__xludf.DUMMYFUNCTION("""COMPUTED_VALUE"""),44563.9986111111)</f>
        <v/>
      </c>
      <c r="AD1414" s="6">
        <f>IFERROR(__xludf.DUMMYFUNCTION("""COMPUTED_VALUE"""),1187.78)</f>
        <v/>
      </c>
      <c r="AH1414" s="6">
        <f>AI1414&amp;AJ1414</f>
        <v/>
      </c>
      <c r="AI1414" s="6">
        <f>YEAR(AK1414)</f>
        <v/>
      </c>
      <c r="AJ1414" s="6">
        <f>MONTH(AK1414)</f>
        <v/>
      </c>
      <c r="AK1414" s="267">
        <f>IFERROR(__xludf.DUMMYFUNCTION("""COMPUTED_VALUE"""),44507.9986111111)</f>
        <v/>
      </c>
      <c r="AL1414" s="6">
        <f>IFERROR(__xludf.DUMMYFUNCTION("""COMPUTED_VALUE"""),63294.9)</f>
        <v/>
      </c>
      <c r="AP1414" s="6">
        <f>AQ1414&amp;AR1414</f>
        <v/>
      </c>
      <c r="AQ1414" s="6">
        <f>YEAR(AS1414)</f>
        <v/>
      </c>
      <c r="AR1414" s="6">
        <f>MONTH(AS1414)</f>
        <v/>
      </c>
      <c r="AS1414" s="267">
        <f>IFERROR(__xludf.DUMMYFUNCTION("""COMPUTED_VALUE"""),45159.9986111111)</f>
        <v/>
      </c>
      <c r="AT1414" s="6">
        <f>IFERROR(__xludf.DUMMYFUNCTION("""COMPUTED_VALUE"""),1923)</f>
        <v/>
      </c>
    </row>
    <row r="1415">
      <c r="B1415" s="6">
        <f>C1415&amp;D1415</f>
        <v/>
      </c>
      <c r="C1415" s="6">
        <f>YEAR(E1415)</f>
        <v/>
      </c>
      <c r="D1415" s="6">
        <f>MONTH(E1415)</f>
        <v/>
      </c>
      <c r="E1415" s="267">
        <f>IFERROR(__xludf.DUMMYFUNCTION("""COMPUTED_VALUE"""),45153.6666666666)</f>
        <v/>
      </c>
      <c r="F1415" s="6">
        <f>IFERROR(__xludf.DUMMYFUNCTION("""COMPUTED_VALUE"""),4437.86)</f>
        <v/>
      </c>
      <c r="J1415" s="6">
        <f>K1415&amp;L1415</f>
        <v/>
      </c>
      <c r="K1415" s="6">
        <f>YEAR(M1415)</f>
        <v/>
      </c>
      <c r="L1415" s="6">
        <f>MONTH(M1415)</f>
        <v/>
      </c>
      <c r="M1415" s="267">
        <f>IFERROR(__xludf.DUMMYFUNCTION("""COMPUTED_VALUE"""),45145.6666666666)</f>
        <v/>
      </c>
      <c r="N1415" s="6">
        <f>IFERROR(__xludf.DUMMYFUNCTION("""COMPUTED_VALUE"""),13977.12)</f>
        <v/>
      </c>
      <c r="R1415" s="6">
        <f>S1415&amp;T1415</f>
        <v/>
      </c>
      <c r="S1415" s="6">
        <f>YEAR(U1415)</f>
        <v/>
      </c>
      <c r="T1415" s="6">
        <f>MONTH(U1415)</f>
        <v/>
      </c>
      <c r="U1415" s="267">
        <f>IFERROR(__xludf.DUMMYFUNCTION("""COMPUTED_VALUE"""),45196.6458333333)</f>
        <v/>
      </c>
      <c r="V1415" s="6">
        <f>IFERROR(__xludf.DUMMYFUNCTION("""COMPUTED_VALUE"""),2465.07)</f>
        <v/>
      </c>
      <c r="Z1415" s="6">
        <f>AA1415&amp;AB1415</f>
        <v/>
      </c>
      <c r="AA1415" s="6">
        <f>YEAR(AC1415)</f>
        <v/>
      </c>
      <c r="AB1415" s="6">
        <f>MONTH(AC1415)</f>
        <v/>
      </c>
      <c r="AC1415" s="267">
        <f>IFERROR(__xludf.DUMMYFUNCTION("""COMPUTED_VALUE"""),44564.9986111111)</f>
        <v/>
      </c>
      <c r="AD1415" s="6">
        <f>IFERROR(__xludf.DUMMYFUNCTION("""COMPUTED_VALUE"""),1194.68)</f>
        <v/>
      </c>
      <c r="AH1415" s="6">
        <f>AI1415&amp;AJ1415</f>
        <v/>
      </c>
      <c r="AI1415" s="6">
        <f>YEAR(AK1415)</f>
        <v/>
      </c>
      <c r="AJ1415" s="6">
        <f>MONTH(AK1415)</f>
        <v/>
      </c>
      <c r="AK1415" s="267">
        <f>IFERROR(__xludf.DUMMYFUNCTION("""COMPUTED_VALUE"""),44508.9986111111)</f>
        <v/>
      </c>
      <c r="AL1415" s="6">
        <f>IFERROR(__xludf.DUMMYFUNCTION("""COMPUTED_VALUE"""),67544.06)</f>
        <v/>
      </c>
      <c r="AP1415" s="6">
        <f>AQ1415&amp;AR1415</f>
        <v/>
      </c>
      <c r="AQ1415" s="6">
        <f>YEAR(AS1415)</f>
        <v/>
      </c>
      <c r="AR1415" s="6">
        <f>MONTH(AS1415)</f>
        <v/>
      </c>
      <c r="AS1415" s="267">
        <f>IFERROR(__xludf.DUMMYFUNCTION("""COMPUTED_VALUE"""),45160.9986111111)</f>
        <v/>
      </c>
      <c r="AT1415" s="6">
        <f>IFERROR(__xludf.DUMMYFUNCTION("""COMPUTED_VALUE"""),1926)</f>
        <v/>
      </c>
    </row>
    <row r="1416">
      <c r="B1416" s="6">
        <f>C1416&amp;D1416</f>
        <v/>
      </c>
      <c r="C1416" s="6">
        <f>YEAR(E1416)</f>
        <v/>
      </c>
      <c r="D1416" s="6">
        <f>MONTH(E1416)</f>
        <v/>
      </c>
      <c r="E1416" s="267">
        <f>IFERROR(__xludf.DUMMYFUNCTION("""COMPUTED_VALUE"""),45154.6666666666)</f>
        <v/>
      </c>
      <c r="F1416" s="6">
        <f>IFERROR(__xludf.DUMMYFUNCTION("""COMPUTED_VALUE"""),4404.33)</f>
        <v/>
      </c>
      <c r="J1416" s="6">
        <f>K1416&amp;L1416</f>
        <v/>
      </c>
      <c r="K1416" s="6">
        <f>YEAR(M1416)</f>
        <v/>
      </c>
      <c r="L1416" s="6">
        <f>MONTH(M1416)</f>
        <v/>
      </c>
      <c r="M1416" s="267">
        <f>IFERROR(__xludf.DUMMYFUNCTION("""COMPUTED_VALUE"""),45146.6666666666)</f>
        <v/>
      </c>
      <c r="N1416" s="6">
        <f>IFERROR(__xludf.DUMMYFUNCTION("""COMPUTED_VALUE"""),13867.19)</f>
        <v/>
      </c>
      <c r="R1416" s="6">
        <f>S1416&amp;T1416</f>
        <v/>
      </c>
      <c r="S1416" s="6">
        <f>YEAR(U1416)</f>
        <v/>
      </c>
      <c r="T1416" s="6">
        <f>MONTH(U1416)</f>
        <v/>
      </c>
      <c r="U1416" s="267">
        <f>IFERROR(__xludf.DUMMYFUNCTION("""COMPUTED_VALUE"""),45203.6458333333)</f>
        <v/>
      </c>
      <c r="V1416" s="6">
        <f>IFERROR(__xludf.DUMMYFUNCTION("""COMPUTED_VALUE"""),2405.69)</f>
        <v/>
      </c>
      <c r="Z1416" s="6">
        <f>AA1416&amp;AB1416</f>
        <v/>
      </c>
      <c r="AA1416" s="6">
        <f>YEAR(AC1416)</f>
        <v/>
      </c>
      <c r="AB1416" s="6">
        <f>MONTH(AC1416)</f>
        <v/>
      </c>
      <c r="AC1416" s="267">
        <f>IFERROR(__xludf.DUMMYFUNCTION("""COMPUTED_VALUE"""),44565.9986111111)</f>
        <v/>
      </c>
      <c r="AD1416" s="6">
        <f>IFERROR(__xludf.DUMMYFUNCTION("""COMPUTED_VALUE"""),1196.5)</f>
        <v/>
      </c>
      <c r="AH1416" s="6">
        <f>AI1416&amp;AJ1416</f>
        <v/>
      </c>
      <c r="AI1416" s="6">
        <f>YEAR(AK1416)</f>
        <v/>
      </c>
      <c r="AJ1416" s="6">
        <f>MONTH(AK1416)</f>
        <v/>
      </c>
      <c r="AK1416" s="267">
        <f>IFERROR(__xludf.DUMMYFUNCTION("""COMPUTED_VALUE"""),44509.9986111111)</f>
        <v/>
      </c>
      <c r="AL1416" s="6">
        <f>IFERROR(__xludf.DUMMYFUNCTION("""COMPUTED_VALUE"""),66931.48)</f>
        <v/>
      </c>
      <c r="AP1416" s="6">
        <f>AQ1416&amp;AR1416</f>
        <v/>
      </c>
      <c r="AQ1416" s="6">
        <f>YEAR(AS1416)</f>
        <v/>
      </c>
      <c r="AR1416" s="6">
        <f>MONTH(AS1416)</f>
        <v/>
      </c>
      <c r="AS1416" s="267">
        <f>IFERROR(__xludf.DUMMYFUNCTION("""COMPUTED_VALUE"""),45161.9986111111)</f>
        <v/>
      </c>
      <c r="AT1416" s="6">
        <f>IFERROR(__xludf.DUMMYFUNCTION("""COMPUTED_VALUE"""),1948.1)</f>
        <v/>
      </c>
    </row>
    <row r="1417">
      <c r="B1417" s="6">
        <f>C1417&amp;D1417</f>
        <v/>
      </c>
      <c r="C1417" s="6">
        <f>YEAR(E1417)</f>
        <v/>
      </c>
      <c r="D1417" s="6">
        <f>MONTH(E1417)</f>
        <v/>
      </c>
      <c r="E1417" s="267">
        <f>IFERROR(__xludf.DUMMYFUNCTION("""COMPUTED_VALUE"""),45155.6666666666)</f>
        <v/>
      </c>
      <c r="F1417" s="6">
        <f>IFERROR(__xludf.DUMMYFUNCTION("""COMPUTED_VALUE"""),4370.36)</f>
        <v/>
      </c>
      <c r="J1417" s="6">
        <f>K1417&amp;L1417</f>
        <v/>
      </c>
      <c r="K1417" s="6">
        <f>YEAR(M1417)</f>
        <v/>
      </c>
      <c r="L1417" s="6">
        <f>MONTH(M1417)</f>
        <v/>
      </c>
      <c r="M1417" s="267">
        <f>IFERROR(__xludf.DUMMYFUNCTION("""COMPUTED_VALUE"""),45147.6666666666)</f>
        <v/>
      </c>
      <c r="N1417" s="6">
        <f>IFERROR(__xludf.DUMMYFUNCTION("""COMPUTED_VALUE"""),13705.08)</f>
        <v/>
      </c>
      <c r="R1417" s="6">
        <f>S1417&amp;T1417</f>
        <v/>
      </c>
      <c r="S1417" s="6">
        <f>YEAR(U1417)</f>
        <v/>
      </c>
      <c r="T1417" s="6">
        <f>MONTH(U1417)</f>
        <v/>
      </c>
      <c r="U1417" s="267">
        <f>IFERROR(__xludf.DUMMYFUNCTION("""COMPUTED_VALUE"""),45204.6458333333)</f>
        <v/>
      </c>
      <c r="V1417" s="6">
        <f>IFERROR(__xludf.DUMMYFUNCTION("""COMPUTED_VALUE"""),2403.6)</f>
        <v/>
      </c>
      <c r="Z1417" s="6">
        <f>AA1417&amp;AB1417</f>
        <v/>
      </c>
      <c r="AA1417" s="6">
        <f>YEAR(AC1417)</f>
        <v/>
      </c>
      <c r="AB1417" s="6">
        <f>MONTH(AC1417)</f>
        <v/>
      </c>
      <c r="AC1417" s="267">
        <f>IFERROR(__xludf.DUMMYFUNCTION("""COMPUTED_VALUE"""),44566.9986111111)</f>
        <v/>
      </c>
      <c r="AD1417" s="6">
        <f>IFERROR(__xludf.DUMMYFUNCTION("""COMPUTED_VALUE"""),1199.25)</f>
        <v/>
      </c>
      <c r="AH1417" s="6">
        <f>AI1417&amp;AJ1417</f>
        <v/>
      </c>
      <c r="AI1417" s="6">
        <f>YEAR(AK1417)</f>
        <v/>
      </c>
      <c r="AJ1417" s="6">
        <f>MONTH(AK1417)</f>
        <v/>
      </c>
      <c r="AK1417" s="267">
        <f>IFERROR(__xludf.DUMMYFUNCTION("""COMPUTED_VALUE"""),44510.9986111111)</f>
        <v/>
      </c>
      <c r="AL1417" s="6">
        <f>IFERROR(__xludf.DUMMYFUNCTION("""COMPUTED_VALUE"""),64966.11)</f>
        <v/>
      </c>
      <c r="AP1417" s="6">
        <f>AQ1417&amp;AR1417</f>
        <v/>
      </c>
      <c r="AQ1417" s="6">
        <f>YEAR(AS1417)</f>
        <v/>
      </c>
      <c r="AR1417" s="6">
        <f>MONTH(AS1417)</f>
        <v/>
      </c>
      <c r="AS1417" s="267">
        <f>IFERROR(__xludf.DUMMYFUNCTION("""COMPUTED_VALUE"""),45162.9986111111)</f>
        <v/>
      </c>
      <c r="AT1417" s="6">
        <f>IFERROR(__xludf.DUMMYFUNCTION("""COMPUTED_VALUE"""),1947.1)</f>
        <v/>
      </c>
    </row>
    <row r="1418">
      <c r="B1418" s="6">
        <f>C1418&amp;D1418</f>
        <v/>
      </c>
      <c r="C1418" s="6">
        <f>YEAR(E1418)</f>
        <v/>
      </c>
      <c r="D1418" s="6">
        <f>MONTH(E1418)</f>
        <v/>
      </c>
      <c r="E1418" s="267">
        <f>IFERROR(__xludf.DUMMYFUNCTION("""COMPUTED_VALUE"""),45156.6666666666)</f>
        <v/>
      </c>
      <c r="F1418" s="6">
        <f>IFERROR(__xludf.DUMMYFUNCTION("""COMPUTED_VALUE"""),4369.71)</f>
        <v/>
      </c>
      <c r="J1418" s="6">
        <f>K1418&amp;L1418</f>
        <v/>
      </c>
      <c r="K1418" s="6">
        <f>YEAR(M1418)</f>
        <v/>
      </c>
      <c r="L1418" s="6">
        <f>MONTH(M1418)</f>
        <v/>
      </c>
      <c r="M1418" s="267">
        <f>IFERROR(__xludf.DUMMYFUNCTION("""COMPUTED_VALUE"""),45148.6666666666)</f>
        <v/>
      </c>
      <c r="N1418" s="6">
        <f>IFERROR(__xludf.DUMMYFUNCTION("""COMPUTED_VALUE"""),13721.03)</f>
        <v/>
      </c>
      <c r="R1418" s="6">
        <f>S1418&amp;T1418</f>
        <v/>
      </c>
      <c r="S1418" s="6">
        <f>YEAR(U1418)</f>
        <v/>
      </c>
      <c r="T1418" s="6">
        <f>MONTH(U1418)</f>
        <v/>
      </c>
      <c r="U1418" s="267">
        <f>IFERROR(__xludf.DUMMYFUNCTION("""COMPUTED_VALUE"""),45205.6458333333)</f>
        <v/>
      </c>
      <c r="V1418" s="6">
        <f>IFERROR(__xludf.DUMMYFUNCTION("""COMPUTED_VALUE"""),2408.73)</f>
        <v/>
      </c>
      <c r="Z1418" s="6">
        <f>AA1418&amp;AB1418</f>
        <v/>
      </c>
      <c r="AA1418" s="6">
        <f>YEAR(AC1418)</f>
        <v/>
      </c>
      <c r="AB1418" s="6">
        <f>MONTH(AC1418)</f>
        <v/>
      </c>
      <c r="AC1418" s="267">
        <f>IFERROR(__xludf.DUMMYFUNCTION("""COMPUTED_VALUE"""),44567.9986111111)</f>
        <v/>
      </c>
      <c r="AD1418" s="6">
        <f>IFERROR(__xludf.DUMMYFUNCTION("""COMPUTED_VALUE"""),1205.78)</f>
        <v/>
      </c>
      <c r="AH1418" s="6">
        <f>AI1418&amp;AJ1418</f>
        <v/>
      </c>
      <c r="AI1418" s="6">
        <f>YEAR(AK1418)</f>
        <v/>
      </c>
      <c r="AJ1418" s="6">
        <f>MONTH(AK1418)</f>
        <v/>
      </c>
      <c r="AK1418" s="267">
        <f>IFERROR(__xludf.DUMMYFUNCTION("""COMPUTED_VALUE"""),44511.9986111111)</f>
        <v/>
      </c>
      <c r="AL1418" s="6">
        <f>IFERROR(__xludf.DUMMYFUNCTION("""COMPUTED_VALUE"""),64832.29)</f>
        <v/>
      </c>
      <c r="AP1418" s="6">
        <f>AQ1418&amp;AR1418</f>
        <v/>
      </c>
      <c r="AQ1418" s="6">
        <f>YEAR(AS1418)</f>
        <v/>
      </c>
      <c r="AR1418" s="6">
        <f>MONTH(AS1418)</f>
        <v/>
      </c>
      <c r="AS1418" s="267">
        <f>IFERROR(__xludf.DUMMYFUNCTION("""COMPUTED_VALUE"""),45163.9986111111)</f>
        <v/>
      </c>
      <c r="AT1418" s="6">
        <f>IFERROR(__xludf.DUMMYFUNCTION("""COMPUTED_VALUE"""),1939.9)</f>
        <v/>
      </c>
    </row>
    <row r="1419">
      <c r="B1419" s="6">
        <f>C1419&amp;D1419</f>
        <v/>
      </c>
      <c r="C1419" s="6">
        <f>YEAR(E1419)</f>
        <v/>
      </c>
      <c r="D1419" s="6">
        <f>MONTH(E1419)</f>
        <v/>
      </c>
      <c r="E1419" s="267">
        <f>IFERROR(__xludf.DUMMYFUNCTION("""COMPUTED_VALUE"""),45159.6666666666)</f>
        <v/>
      </c>
      <c r="F1419" s="6">
        <f>IFERROR(__xludf.DUMMYFUNCTION("""COMPUTED_VALUE"""),4399.77)</f>
        <v/>
      </c>
      <c r="J1419" s="6">
        <f>K1419&amp;L1419</f>
        <v/>
      </c>
      <c r="K1419" s="6">
        <f>YEAR(M1419)</f>
        <v/>
      </c>
      <c r="L1419" s="6">
        <f>MONTH(M1419)</f>
        <v/>
      </c>
      <c r="M1419" s="267">
        <f>IFERROR(__xludf.DUMMYFUNCTION("""COMPUTED_VALUE"""),45149.6666666666)</f>
        <v/>
      </c>
      <c r="N1419" s="6">
        <f>IFERROR(__xludf.DUMMYFUNCTION("""COMPUTED_VALUE"""),13644.85)</f>
        <v/>
      </c>
      <c r="R1419" s="6">
        <f>S1419&amp;T1419</f>
        <v/>
      </c>
      <c r="S1419" s="6">
        <f>YEAR(U1419)</f>
        <v/>
      </c>
      <c r="T1419" s="6">
        <f>MONTH(U1419)</f>
        <v/>
      </c>
      <c r="U1419" s="267">
        <f>IFERROR(__xludf.DUMMYFUNCTION("""COMPUTED_VALUE"""),45209.6458333333)</f>
        <v/>
      </c>
      <c r="V1419" s="6">
        <f>IFERROR(__xludf.DUMMYFUNCTION("""COMPUTED_VALUE"""),2402.58)</f>
        <v/>
      </c>
      <c r="Z1419" s="6">
        <f>AA1419&amp;AB1419</f>
        <v/>
      </c>
      <c r="AA1419" s="6">
        <f>YEAR(AC1419)</f>
        <v/>
      </c>
      <c r="AB1419" s="6">
        <f>MONTH(AC1419)</f>
        <v/>
      </c>
      <c r="AC1419" s="267">
        <f>IFERROR(__xludf.DUMMYFUNCTION("""COMPUTED_VALUE"""),44568.9986111111)</f>
        <v/>
      </c>
      <c r="AD1419" s="6">
        <f>IFERROR(__xludf.DUMMYFUNCTION("""COMPUTED_VALUE"""),1197.48)</f>
        <v/>
      </c>
      <c r="AH1419" s="6">
        <f>AI1419&amp;AJ1419</f>
        <v/>
      </c>
      <c r="AI1419" s="6">
        <f>YEAR(AK1419)</f>
        <v/>
      </c>
      <c r="AJ1419" s="6">
        <f>MONTH(AK1419)</f>
        <v/>
      </c>
      <c r="AK1419" s="267">
        <f>IFERROR(__xludf.DUMMYFUNCTION("""COMPUTED_VALUE"""),44512.9986111111)</f>
        <v/>
      </c>
      <c r="AL1419" s="6">
        <f>IFERROR(__xludf.DUMMYFUNCTION("""COMPUTED_VALUE"""),64186.21)</f>
        <v/>
      </c>
      <c r="AP1419" s="6">
        <f>AQ1419&amp;AR1419</f>
        <v/>
      </c>
      <c r="AQ1419" s="6">
        <f>YEAR(AS1419)</f>
        <v/>
      </c>
      <c r="AR1419" s="6">
        <f>MONTH(AS1419)</f>
        <v/>
      </c>
      <c r="AS1419" s="267">
        <f>IFERROR(__xludf.DUMMYFUNCTION("""COMPUTED_VALUE"""),45166.9986111111)</f>
        <v/>
      </c>
      <c r="AT1419" s="6">
        <f>IFERROR(__xludf.DUMMYFUNCTION("""COMPUTED_VALUE"""),1946.8)</f>
        <v/>
      </c>
    </row>
    <row r="1420">
      <c r="B1420" s="6">
        <f>C1420&amp;D1420</f>
        <v/>
      </c>
      <c r="C1420" s="6">
        <f>YEAR(E1420)</f>
        <v/>
      </c>
      <c r="D1420" s="6">
        <f>MONTH(E1420)</f>
        <v/>
      </c>
      <c r="E1420" s="267">
        <f>IFERROR(__xludf.DUMMYFUNCTION("""COMPUTED_VALUE"""),45160.6666666666)</f>
        <v/>
      </c>
      <c r="F1420" s="6">
        <f>IFERROR(__xludf.DUMMYFUNCTION("""COMPUTED_VALUE"""),4387.55)</f>
        <v/>
      </c>
      <c r="J1420" s="6">
        <f>K1420&amp;L1420</f>
        <v/>
      </c>
      <c r="K1420" s="6">
        <f>YEAR(M1420)</f>
        <v/>
      </c>
      <c r="L1420" s="6">
        <f>MONTH(M1420)</f>
        <v/>
      </c>
      <c r="M1420" s="267">
        <f>IFERROR(__xludf.DUMMYFUNCTION("""COMPUTED_VALUE"""),45152.6666666666)</f>
        <v/>
      </c>
      <c r="N1420" s="6">
        <f>IFERROR(__xludf.DUMMYFUNCTION("""COMPUTED_VALUE"""),13788.33)</f>
        <v/>
      </c>
      <c r="R1420" s="6">
        <f>S1420&amp;T1420</f>
        <v/>
      </c>
      <c r="S1420" s="6">
        <f>YEAR(U1420)</f>
        <v/>
      </c>
      <c r="T1420" s="6">
        <f>MONTH(U1420)</f>
        <v/>
      </c>
      <c r="U1420" s="267">
        <f>IFERROR(__xludf.DUMMYFUNCTION("""COMPUTED_VALUE"""),45210.6458333333)</f>
        <v/>
      </c>
      <c r="V1420" s="6">
        <f>IFERROR(__xludf.DUMMYFUNCTION("""COMPUTED_VALUE"""),2450.08)</f>
        <v/>
      </c>
      <c r="Z1420" s="6">
        <f>AA1420&amp;AB1420</f>
        <v/>
      </c>
      <c r="AA1420" s="6">
        <f>YEAR(AC1420)</f>
        <v/>
      </c>
      <c r="AB1420" s="6">
        <f>MONTH(AC1420)</f>
        <v/>
      </c>
      <c r="AC1420" s="267">
        <f>IFERROR(__xludf.DUMMYFUNCTION("""COMPUTED_VALUE"""),44569.9986111111)</f>
        <v/>
      </c>
      <c r="AD1420" s="6">
        <f>IFERROR(__xludf.DUMMYFUNCTION("""COMPUTED_VALUE"""),1196.88)</f>
        <v/>
      </c>
      <c r="AH1420" s="6">
        <f>AI1420&amp;AJ1420</f>
        <v/>
      </c>
      <c r="AI1420" s="6">
        <f>YEAR(AK1420)</f>
        <v/>
      </c>
      <c r="AJ1420" s="6">
        <f>MONTH(AK1420)</f>
        <v/>
      </c>
      <c r="AK1420" s="267">
        <f>IFERROR(__xludf.DUMMYFUNCTION("""COMPUTED_VALUE"""),44513.9986111111)</f>
        <v/>
      </c>
      <c r="AL1420" s="6">
        <f>IFERROR(__xludf.DUMMYFUNCTION("""COMPUTED_VALUE"""),64402.5)</f>
        <v/>
      </c>
      <c r="AP1420" s="6">
        <f>AQ1420&amp;AR1420</f>
        <v/>
      </c>
      <c r="AQ1420" s="6">
        <f>YEAR(AS1420)</f>
        <v/>
      </c>
      <c r="AR1420" s="6">
        <f>MONTH(AS1420)</f>
        <v/>
      </c>
      <c r="AS1420" s="267">
        <f>IFERROR(__xludf.DUMMYFUNCTION("""COMPUTED_VALUE"""),45167.9986111111)</f>
        <v/>
      </c>
      <c r="AT1420" s="6">
        <f>IFERROR(__xludf.DUMMYFUNCTION("""COMPUTED_VALUE"""),1965.1)</f>
        <v/>
      </c>
    </row>
    <row r="1421">
      <c r="B1421" s="6">
        <f>C1421&amp;D1421</f>
        <v/>
      </c>
      <c r="C1421" s="6">
        <f>YEAR(E1421)</f>
        <v/>
      </c>
      <c r="D1421" s="6">
        <f>MONTH(E1421)</f>
        <v/>
      </c>
      <c r="E1421" s="267">
        <f>IFERROR(__xludf.DUMMYFUNCTION("""COMPUTED_VALUE"""),45161.6666666666)</f>
        <v/>
      </c>
      <c r="F1421" s="6">
        <f>IFERROR(__xludf.DUMMYFUNCTION("""COMPUTED_VALUE"""),4436.01)</f>
        <v/>
      </c>
      <c r="J1421" s="6">
        <f>K1421&amp;L1421</f>
        <v/>
      </c>
      <c r="K1421" s="6">
        <f>YEAR(M1421)</f>
        <v/>
      </c>
      <c r="L1421" s="6">
        <f>MONTH(M1421)</f>
        <v/>
      </c>
      <c r="M1421" s="267">
        <f>IFERROR(__xludf.DUMMYFUNCTION("""COMPUTED_VALUE"""),45153.6666666666)</f>
        <v/>
      </c>
      <c r="N1421" s="6">
        <f>IFERROR(__xludf.DUMMYFUNCTION("""COMPUTED_VALUE"""),13631.05)</f>
        <v/>
      </c>
      <c r="R1421" s="6">
        <f>S1421&amp;T1421</f>
        <v/>
      </c>
      <c r="S1421" s="6">
        <f>YEAR(U1421)</f>
        <v/>
      </c>
      <c r="T1421" s="6">
        <f>MONTH(U1421)</f>
        <v/>
      </c>
      <c r="U1421" s="267">
        <f>IFERROR(__xludf.DUMMYFUNCTION("""COMPUTED_VALUE"""),45211.6458333333)</f>
        <v/>
      </c>
      <c r="V1421" s="6">
        <f>IFERROR(__xludf.DUMMYFUNCTION("""COMPUTED_VALUE"""),2479.82)</f>
        <v/>
      </c>
      <c r="Z1421" s="6">
        <f>AA1421&amp;AB1421</f>
        <v/>
      </c>
      <c r="AA1421" s="6">
        <f>YEAR(AC1421)</f>
        <v/>
      </c>
      <c r="AB1421" s="6">
        <f>MONTH(AC1421)</f>
        <v/>
      </c>
      <c r="AC1421" s="267">
        <f>IFERROR(__xludf.DUMMYFUNCTION("""COMPUTED_VALUE"""),44570.9986111111)</f>
        <v/>
      </c>
      <c r="AD1421" s="6">
        <f>IFERROR(__xludf.DUMMYFUNCTION("""COMPUTED_VALUE"""),1196.88)</f>
        <v/>
      </c>
      <c r="AH1421" s="6">
        <f>AI1421&amp;AJ1421</f>
        <v/>
      </c>
      <c r="AI1421" s="6">
        <f>YEAR(AK1421)</f>
        <v/>
      </c>
      <c r="AJ1421" s="6">
        <f>MONTH(AK1421)</f>
        <v/>
      </c>
      <c r="AK1421" s="267">
        <f>IFERROR(__xludf.DUMMYFUNCTION("""COMPUTED_VALUE"""),44514.9986111111)</f>
        <v/>
      </c>
      <c r="AL1421" s="6">
        <f>IFERROR(__xludf.DUMMYFUNCTION("""COMPUTED_VALUE"""),65476.68)</f>
        <v/>
      </c>
      <c r="AP1421" s="6">
        <f>AQ1421&amp;AR1421</f>
        <v/>
      </c>
      <c r="AQ1421" s="6">
        <f>YEAR(AS1421)</f>
        <v/>
      </c>
      <c r="AR1421" s="6">
        <f>MONTH(AS1421)</f>
        <v/>
      </c>
      <c r="AS1421" s="267">
        <f>IFERROR(__xludf.DUMMYFUNCTION("""COMPUTED_VALUE"""),45168.9986111111)</f>
        <v/>
      </c>
      <c r="AT1421" s="6">
        <f>IFERROR(__xludf.DUMMYFUNCTION("""COMPUTED_VALUE"""),1973)</f>
        <v/>
      </c>
    </row>
    <row r="1422">
      <c r="B1422" s="6">
        <f>C1422&amp;D1422</f>
        <v/>
      </c>
      <c r="C1422" s="6">
        <f>YEAR(E1422)</f>
        <v/>
      </c>
      <c r="D1422" s="6">
        <f>MONTH(E1422)</f>
        <v/>
      </c>
      <c r="E1422" s="267">
        <f>IFERROR(__xludf.DUMMYFUNCTION("""COMPUTED_VALUE"""),45162.6666666666)</f>
        <v/>
      </c>
      <c r="F1422" s="6">
        <f>IFERROR(__xludf.DUMMYFUNCTION("""COMPUTED_VALUE"""),4376.31)</f>
        <v/>
      </c>
      <c r="J1422" s="6">
        <f>K1422&amp;L1422</f>
        <v/>
      </c>
      <c r="K1422" s="6">
        <f>YEAR(M1422)</f>
        <v/>
      </c>
      <c r="L1422" s="6">
        <f>MONTH(M1422)</f>
        <v/>
      </c>
      <c r="M1422" s="267">
        <f>IFERROR(__xludf.DUMMYFUNCTION("""COMPUTED_VALUE"""),45154.6666666666)</f>
        <v/>
      </c>
      <c r="N1422" s="6">
        <f>IFERROR(__xludf.DUMMYFUNCTION("""COMPUTED_VALUE"""),13474.63)</f>
        <v/>
      </c>
      <c r="R1422" s="6">
        <f>S1422&amp;T1422</f>
        <v/>
      </c>
      <c r="S1422" s="6">
        <f>YEAR(U1422)</f>
        <v/>
      </c>
      <c r="T1422" s="6">
        <f>MONTH(U1422)</f>
        <v/>
      </c>
      <c r="U1422" s="267">
        <f>IFERROR(__xludf.DUMMYFUNCTION("""COMPUTED_VALUE"""),45212.6458333333)</f>
        <v/>
      </c>
      <c r="V1422" s="6">
        <f>IFERROR(__xludf.DUMMYFUNCTION("""COMPUTED_VALUE"""),2456.15)</f>
        <v/>
      </c>
      <c r="Z1422" s="6">
        <f>AA1422&amp;AB1422</f>
        <v/>
      </c>
      <c r="AA1422" s="6">
        <f>YEAR(AC1422)</f>
        <v/>
      </c>
      <c r="AB1422" s="6">
        <f>MONTH(AC1422)</f>
        <v/>
      </c>
      <c r="AC1422" s="267">
        <f>IFERROR(__xludf.DUMMYFUNCTION("""COMPUTED_VALUE"""),44571.9986111111)</f>
        <v/>
      </c>
      <c r="AD1422" s="6">
        <f>IFERROR(__xludf.DUMMYFUNCTION("""COMPUTED_VALUE"""),1198.09)</f>
        <v/>
      </c>
      <c r="AH1422" s="6">
        <f>AI1422&amp;AJ1422</f>
        <v/>
      </c>
      <c r="AI1422" s="6">
        <f>YEAR(AK1422)</f>
        <v/>
      </c>
      <c r="AJ1422" s="6">
        <f>MONTH(AK1422)</f>
        <v/>
      </c>
      <c r="AK1422" s="267">
        <f>IFERROR(__xludf.DUMMYFUNCTION("""COMPUTED_VALUE"""),44515.9986111111)</f>
        <v/>
      </c>
      <c r="AL1422" s="6">
        <f>IFERROR(__xludf.DUMMYFUNCTION("""COMPUTED_VALUE"""),63573.76)</f>
        <v/>
      </c>
      <c r="AP1422" s="6">
        <f>AQ1422&amp;AR1422</f>
        <v/>
      </c>
      <c r="AQ1422" s="6">
        <f>YEAR(AS1422)</f>
        <v/>
      </c>
      <c r="AR1422" s="6">
        <f>MONTH(AS1422)</f>
        <v/>
      </c>
      <c r="AS1422" s="267">
        <f>IFERROR(__xludf.DUMMYFUNCTION("""COMPUTED_VALUE"""),45169.9986111111)</f>
        <v/>
      </c>
      <c r="AT1422" s="6">
        <f>IFERROR(__xludf.DUMMYFUNCTION("""COMPUTED_VALUE"""),1965.9)</f>
        <v/>
      </c>
    </row>
    <row r="1423">
      <c r="B1423" s="6">
        <f>C1423&amp;D1423</f>
        <v/>
      </c>
      <c r="C1423" s="6">
        <f>YEAR(E1423)</f>
        <v/>
      </c>
      <c r="D1423" s="6">
        <f>MONTH(E1423)</f>
        <v/>
      </c>
      <c r="E1423" s="267">
        <f>IFERROR(__xludf.DUMMYFUNCTION("""COMPUTED_VALUE"""),45163.6666666666)</f>
        <v/>
      </c>
      <c r="F1423" s="6">
        <f>IFERROR(__xludf.DUMMYFUNCTION("""COMPUTED_VALUE"""),4405.71)</f>
        <v/>
      </c>
      <c r="J1423" s="6">
        <f>K1423&amp;L1423</f>
        <v/>
      </c>
      <c r="K1423" s="6">
        <f>YEAR(M1423)</f>
        <v/>
      </c>
      <c r="L1423" s="6">
        <f>MONTH(M1423)</f>
        <v/>
      </c>
      <c r="M1423" s="267">
        <f>IFERROR(__xludf.DUMMYFUNCTION("""COMPUTED_VALUE"""),45155.6666666666)</f>
        <v/>
      </c>
      <c r="N1423" s="6">
        <f>IFERROR(__xludf.DUMMYFUNCTION("""COMPUTED_VALUE"""),13316.93)</f>
        <v/>
      </c>
      <c r="R1423" s="6">
        <f>S1423&amp;T1423</f>
        <v/>
      </c>
      <c r="S1423" s="6">
        <f>YEAR(U1423)</f>
        <v/>
      </c>
      <c r="T1423" s="6">
        <f>MONTH(U1423)</f>
        <v/>
      </c>
      <c r="U1423" s="267">
        <f>IFERROR(__xludf.DUMMYFUNCTION("""COMPUTED_VALUE"""),45215.6458333333)</f>
        <v/>
      </c>
      <c r="V1423" s="6">
        <f>IFERROR(__xludf.DUMMYFUNCTION("""COMPUTED_VALUE"""),2436.24)</f>
        <v/>
      </c>
      <c r="Z1423" s="6">
        <f>AA1423&amp;AB1423</f>
        <v/>
      </c>
      <c r="AA1423" s="6">
        <f>YEAR(AC1423)</f>
        <v/>
      </c>
      <c r="AB1423" s="6">
        <f>MONTH(AC1423)</f>
        <v/>
      </c>
      <c r="AC1423" s="267">
        <f>IFERROR(__xludf.DUMMYFUNCTION("""COMPUTED_VALUE"""),44572.9986111111)</f>
        <v/>
      </c>
      <c r="AD1423" s="6">
        <f>IFERROR(__xludf.DUMMYFUNCTION("""COMPUTED_VALUE"""),1189.43)</f>
        <v/>
      </c>
      <c r="AH1423" s="6">
        <f>AI1423&amp;AJ1423</f>
        <v/>
      </c>
      <c r="AI1423" s="6">
        <f>YEAR(AK1423)</f>
        <v/>
      </c>
      <c r="AJ1423" s="6">
        <f>MONTH(AK1423)</f>
        <v/>
      </c>
      <c r="AK1423" s="267">
        <f>IFERROR(__xludf.DUMMYFUNCTION("""COMPUTED_VALUE"""),44516.9986111111)</f>
        <v/>
      </c>
      <c r="AL1423" s="6">
        <f>IFERROR(__xludf.DUMMYFUNCTION("""COMPUTED_VALUE"""),60137.48)</f>
        <v/>
      </c>
      <c r="AP1423" s="6">
        <f>AQ1423&amp;AR1423</f>
        <v/>
      </c>
      <c r="AQ1423" s="6">
        <f>YEAR(AS1423)</f>
        <v/>
      </c>
      <c r="AR1423" s="6">
        <f>MONTH(AS1423)</f>
        <v/>
      </c>
      <c r="AS1423" s="267">
        <f>IFERROR(__xludf.DUMMYFUNCTION("""COMPUTED_VALUE"""),45170.9986111111)</f>
        <v/>
      </c>
      <c r="AT1423" s="6">
        <f>IFERROR(__xludf.DUMMYFUNCTION("""COMPUTED_VALUE"""),1967.1)</f>
        <v/>
      </c>
    </row>
    <row r="1424">
      <c r="B1424" s="6">
        <f>C1424&amp;D1424</f>
        <v/>
      </c>
      <c r="C1424" s="6">
        <f>YEAR(E1424)</f>
        <v/>
      </c>
      <c r="D1424" s="6">
        <f>MONTH(E1424)</f>
        <v/>
      </c>
      <c r="E1424" s="267">
        <f>IFERROR(__xludf.DUMMYFUNCTION("""COMPUTED_VALUE"""),45166.6666666666)</f>
        <v/>
      </c>
      <c r="F1424" s="6">
        <f>IFERROR(__xludf.DUMMYFUNCTION("""COMPUTED_VALUE"""),4433.31)</f>
        <v/>
      </c>
      <c r="J1424" s="6">
        <f>K1424&amp;L1424</f>
        <v/>
      </c>
      <c r="K1424" s="6">
        <f>YEAR(M1424)</f>
        <v/>
      </c>
      <c r="L1424" s="6">
        <f>MONTH(M1424)</f>
        <v/>
      </c>
      <c r="M1424" s="267">
        <f>IFERROR(__xludf.DUMMYFUNCTION("""COMPUTED_VALUE"""),45156.6666666666)</f>
        <v/>
      </c>
      <c r="N1424" s="6">
        <f>IFERROR(__xludf.DUMMYFUNCTION("""COMPUTED_VALUE"""),13290.78)</f>
        <v/>
      </c>
      <c r="R1424" s="6">
        <f>S1424&amp;T1424</f>
        <v/>
      </c>
      <c r="S1424" s="6">
        <f>YEAR(U1424)</f>
        <v/>
      </c>
      <c r="T1424" s="6">
        <f>MONTH(U1424)</f>
        <v/>
      </c>
      <c r="U1424" s="267">
        <f>IFERROR(__xludf.DUMMYFUNCTION("""COMPUTED_VALUE"""),45216.6458333333)</f>
        <v/>
      </c>
      <c r="V1424" s="6">
        <f>IFERROR(__xludf.DUMMYFUNCTION("""COMPUTED_VALUE"""),2460.17)</f>
        <v/>
      </c>
      <c r="Z1424" s="6">
        <f>AA1424&amp;AB1424</f>
        <v/>
      </c>
      <c r="AA1424" s="6">
        <f>YEAR(AC1424)</f>
        <v/>
      </c>
      <c r="AB1424" s="6">
        <f>MONTH(AC1424)</f>
        <v/>
      </c>
      <c r="AC1424" s="267">
        <f>IFERROR(__xludf.DUMMYFUNCTION("""COMPUTED_VALUE"""),44573.9986111111)</f>
        <v/>
      </c>
      <c r="AD1424" s="6">
        <f>IFERROR(__xludf.DUMMYFUNCTION("""COMPUTED_VALUE"""),1185.88)</f>
        <v/>
      </c>
      <c r="AH1424" s="6">
        <f>AI1424&amp;AJ1424</f>
        <v/>
      </c>
      <c r="AI1424" s="6">
        <f>YEAR(AK1424)</f>
        <v/>
      </c>
      <c r="AJ1424" s="6">
        <f>MONTH(AK1424)</f>
        <v/>
      </c>
      <c r="AK1424" s="267">
        <f>IFERROR(__xludf.DUMMYFUNCTION("""COMPUTED_VALUE"""),44517.9986111111)</f>
        <v/>
      </c>
      <c r="AL1424" s="6">
        <f>IFERROR(__xludf.DUMMYFUNCTION("""COMPUTED_VALUE"""),60369.67)</f>
        <v/>
      </c>
      <c r="AP1424" s="6">
        <f>AQ1424&amp;AR1424</f>
        <v/>
      </c>
      <c r="AQ1424" s="6">
        <f>YEAR(AS1424)</f>
        <v/>
      </c>
      <c r="AR1424" s="6">
        <f>MONTH(AS1424)</f>
        <v/>
      </c>
      <c r="AS1424" s="267">
        <f>IFERROR(__xludf.DUMMYFUNCTION("""COMPUTED_VALUE"""),45174.9986111111)</f>
        <v/>
      </c>
      <c r="AT1424" s="6">
        <f>IFERROR(__xludf.DUMMYFUNCTION("""COMPUTED_VALUE"""),1952.6)</f>
        <v/>
      </c>
    </row>
    <row r="1425">
      <c r="B1425" s="6">
        <f>C1425&amp;D1425</f>
        <v/>
      </c>
      <c r="C1425" s="6">
        <f>YEAR(E1425)</f>
        <v/>
      </c>
      <c r="D1425" s="6">
        <f>MONTH(E1425)</f>
        <v/>
      </c>
      <c r="E1425" s="267">
        <f>IFERROR(__xludf.DUMMYFUNCTION("""COMPUTED_VALUE"""),45167.6666666666)</f>
        <v/>
      </c>
      <c r="F1425" s="6">
        <f>IFERROR(__xludf.DUMMYFUNCTION("""COMPUTED_VALUE"""),4497.63)</f>
        <v/>
      </c>
      <c r="J1425" s="6">
        <f>K1425&amp;L1425</f>
        <v/>
      </c>
      <c r="K1425" s="6">
        <f>YEAR(M1425)</f>
        <v/>
      </c>
      <c r="L1425" s="6">
        <f>MONTH(M1425)</f>
        <v/>
      </c>
      <c r="M1425" s="267">
        <f>IFERROR(__xludf.DUMMYFUNCTION("""COMPUTED_VALUE"""),45159.6666666666)</f>
        <v/>
      </c>
      <c r="N1425" s="6">
        <f>IFERROR(__xludf.DUMMYFUNCTION("""COMPUTED_VALUE"""),13497.59)</f>
        <v/>
      </c>
      <c r="R1425" s="6">
        <f>S1425&amp;T1425</f>
        <v/>
      </c>
      <c r="S1425" s="6">
        <f>YEAR(U1425)</f>
        <v/>
      </c>
      <c r="T1425" s="6">
        <f>MONTH(U1425)</f>
        <v/>
      </c>
      <c r="U1425" s="267">
        <f>IFERROR(__xludf.DUMMYFUNCTION("""COMPUTED_VALUE"""),45217.6458333333)</f>
        <v/>
      </c>
      <c r="V1425" s="6">
        <f>IFERROR(__xludf.DUMMYFUNCTION("""COMPUTED_VALUE"""),2462.6)</f>
        <v/>
      </c>
      <c r="Z1425" s="6">
        <f>AA1425&amp;AB1425</f>
        <v/>
      </c>
      <c r="AA1425" s="6">
        <f>YEAR(AC1425)</f>
        <v/>
      </c>
      <c r="AB1425" s="6">
        <f>MONTH(AC1425)</f>
        <v/>
      </c>
      <c r="AC1425" s="267">
        <f>IFERROR(__xludf.DUMMYFUNCTION("""COMPUTED_VALUE"""),44574.9986111111)</f>
        <v/>
      </c>
      <c r="AD1425" s="6">
        <f>IFERROR(__xludf.DUMMYFUNCTION("""COMPUTED_VALUE"""),1186.61)</f>
        <v/>
      </c>
      <c r="AH1425" s="6">
        <f>AI1425&amp;AJ1425</f>
        <v/>
      </c>
      <c r="AI1425" s="6">
        <f>YEAR(AK1425)</f>
        <v/>
      </c>
      <c r="AJ1425" s="6">
        <f>MONTH(AK1425)</f>
        <v/>
      </c>
      <c r="AK1425" s="267">
        <f>IFERROR(__xludf.DUMMYFUNCTION("""COMPUTED_VALUE"""),44518.9986111111)</f>
        <v/>
      </c>
      <c r="AL1425" s="6">
        <f>IFERROR(__xludf.DUMMYFUNCTION("""COMPUTED_VALUE"""),56908.25)</f>
        <v/>
      </c>
      <c r="AP1425" s="6">
        <f>AQ1425&amp;AR1425</f>
        <v/>
      </c>
      <c r="AQ1425" s="6">
        <f>YEAR(AS1425)</f>
        <v/>
      </c>
      <c r="AR1425" s="6">
        <f>MONTH(AS1425)</f>
        <v/>
      </c>
      <c r="AS1425" s="267">
        <f>IFERROR(__xludf.DUMMYFUNCTION("""COMPUTED_VALUE"""),45175.9986111111)</f>
        <v/>
      </c>
      <c r="AT1425" s="6">
        <f>IFERROR(__xludf.DUMMYFUNCTION("""COMPUTED_VALUE"""),1944.2)</f>
        <v/>
      </c>
    </row>
    <row r="1426">
      <c r="B1426" s="6">
        <f>C1426&amp;D1426</f>
        <v/>
      </c>
      <c r="C1426" s="6">
        <f>YEAR(E1426)</f>
        <v/>
      </c>
      <c r="D1426" s="6">
        <f>MONTH(E1426)</f>
        <v/>
      </c>
      <c r="E1426" s="267">
        <f>IFERROR(__xludf.DUMMYFUNCTION("""COMPUTED_VALUE"""),45168.6666666666)</f>
        <v/>
      </c>
      <c r="F1426" s="6">
        <f>IFERROR(__xludf.DUMMYFUNCTION("""COMPUTED_VALUE"""),4514.87)</f>
        <v/>
      </c>
      <c r="J1426" s="6">
        <f>K1426&amp;L1426</f>
        <v/>
      </c>
      <c r="K1426" s="6">
        <f>YEAR(M1426)</f>
        <v/>
      </c>
      <c r="L1426" s="6">
        <f>MONTH(M1426)</f>
        <v/>
      </c>
      <c r="M1426" s="267">
        <f>IFERROR(__xludf.DUMMYFUNCTION("""COMPUTED_VALUE"""),45160.6666666666)</f>
        <v/>
      </c>
      <c r="N1426" s="6">
        <f>IFERROR(__xludf.DUMMYFUNCTION("""COMPUTED_VALUE"""),13505.87)</f>
        <v/>
      </c>
      <c r="R1426" s="6">
        <f>S1426&amp;T1426</f>
        <v/>
      </c>
      <c r="S1426" s="6">
        <f>YEAR(U1426)</f>
        <v/>
      </c>
      <c r="T1426" s="6">
        <f>MONTH(U1426)</f>
        <v/>
      </c>
      <c r="U1426" s="267">
        <f>IFERROR(__xludf.DUMMYFUNCTION("""COMPUTED_VALUE"""),45218.6458333333)</f>
        <v/>
      </c>
      <c r="V1426" s="6">
        <f>IFERROR(__xludf.DUMMYFUNCTION("""COMPUTED_VALUE"""),2415.8)</f>
        <v/>
      </c>
      <c r="Z1426" s="6">
        <f>AA1426&amp;AB1426</f>
        <v/>
      </c>
      <c r="AA1426" s="6">
        <f>YEAR(AC1426)</f>
        <v/>
      </c>
      <c r="AB1426" s="6">
        <f>MONTH(AC1426)</f>
        <v/>
      </c>
      <c r="AC1426" s="267">
        <f>IFERROR(__xludf.DUMMYFUNCTION("""COMPUTED_VALUE"""),44575.9986111111)</f>
        <v/>
      </c>
      <c r="AD1426" s="6">
        <f>IFERROR(__xludf.DUMMYFUNCTION("""COMPUTED_VALUE"""),1188.96)</f>
        <v/>
      </c>
      <c r="AH1426" s="6">
        <f>AI1426&amp;AJ1426</f>
        <v/>
      </c>
      <c r="AI1426" s="6">
        <f>YEAR(AK1426)</f>
        <v/>
      </c>
      <c r="AJ1426" s="6">
        <f>MONTH(AK1426)</f>
        <v/>
      </c>
      <c r="AK1426" s="267">
        <f>IFERROR(__xludf.DUMMYFUNCTION("""COMPUTED_VALUE"""),44519.9986111111)</f>
        <v/>
      </c>
      <c r="AL1426" s="6">
        <f>IFERROR(__xludf.DUMMYFUNCTION("""COMPUTED_VALUE"""),58125.86)</f>
        <v/>
      </c>
      <c r="AP1426" s="6">
        <f>AQ1426&amp;AR1426</f>
        <v/>
      </c>
      <c r="AQ1426" s="6">
        <f>YEAR(AS1426)</f>
        <v/>
      </c>
      <c r="AR1426" s="6">
        <f>MONTH(AS1426)</f>
        <v/>
      </c>
      <c r="AS1426" s="267">
        <f>IFERROR(__xludf.DUMMYFUNCTION("""COMPUTED_VALUE"""),45176.9986111111)</f>
        <v/>
      </c>
      <c r="AT1426" s="6">
        <f>IFERROR(__xludf.DUMMYFUNCTION("""COMPUTED_VALUE"""),1942.5)</f>
        <v/>
      </c>
    </row>
    <row r="1427">
      <c r="B1427" s="6">
        <f>C1427&amp;D1427</f>
        <v/>
      </c>
      <c r="C1427" s="6">
        <f>YEAR(E1427)</f>
        <v/>
      </c>
      <c r="D1427" s="6">
        <f>MONTH(E1427)</f>
        <v/>
      </c>
      <c r="E1427" s="267">
        <f>IFERROR(__xludf.DUMMYFUNCTION("""COMPUTED_VALUE"""),45169.6666666666)</f>
        <v/>
      </c>
      <c r="F1427" s="6">
        <f>IFERROR(__xludf.DUMMYFUNCTION("""COMPUTED_VALUE"""),4507.66)</f>
        <v/>
      </c>
      <c r="J1427" s="6">
        <f>K1427&amp;L1427</f>
        <v/>
      </c>
      <c r="K1427" s="6">
        <f>YEAR(M1427)</f>
        <v/>
      </c>
      <c r="L1427" s="6">
        <f>MONTH(M1427)</f>
        <v/>
      </c>
      <c r="M1427" s="267">
        <f>IFERROR(__xludf.DUMMYFUNCTION("""COMPUTED_VALUE"""),45161.6666666666)</f>
        <v/>
      </c>
      <c r="N1427" s="6">
        <f>IFERROR(__xludf.DUMMYFUNCTION("""COMPUTED_VALUE"""),13721.03)</f>
        <v/>
      </c>
      <c r="R1427" s="6">
        <f>S1427&amp;T1427</f>
        <v/>
      </c>
      <c r="S1427" s="6">
        <f>YEAR(U1427)</f>
        <v/>
      </c>
      <c r="T1427" s="6">
        <f>MONTH(U1427)</f>
        <v/>
      </c>
      <c r="U1427" s="267">
        <f>IFERROR(__xludf.DUMMYFUNCTION("""COMPUTED_VALUE"""),45219.6458333333)</f>
        <v/>
      </c>
      <c r="V1427" s="6">
        <f>IFERROR(__xludf.DUMMYFUNCTION("""COMPUTED_VALUE"""),2375)</f>
        <v/>
      </c>
      <c r="Z1427" s="6">
        <f>AA1427&amp;AB1427</f>
        <v/>
      </c>
      <c r="AA1427" s="6">
        <f>YEAR(AC1427)</f>
        <v/>
      </c>
      <c r="AB1427" s="6">
        <f>MONTH(AC1427)</f>
        <v/>
      </c>
      <c r="AC1427" s="267">
        <f>IFERROR(__xludf.DUMMYFUNCTION("""COMPUTED_VALUE"""),44576.9986111111)</f>
        <v/>
      </c>
      <c r="AD1427" s="6">
        <f>IFERROR(__xludf.DUMMYFUNCTION("""COMPUTED_VALUE"""),1188.96)</f>
        <v/>
      </c>
      <c r="AH1427" s="6">
        <f>AI1427&amp;AJ1427</f>
        <v/>
      </c>
      <c r="AI1427" s="6">
        <f>YEAR(AK1427)</f>
        <v/>
      </c>
      <c r="AJ1427" s="6">
        <f>MONTH(AK1427)</f>
        <v/>
      </c>
      <c r="AK1427" s="267">
        <f>IFERROR(__xludf.DUMMYFUNCTION("""COMPUTED_VALUE"""),44520.9986111111)</f>
        <v/>
      </c>
      <c r="AL1427" s="6">
        <f>IFERROR(__xludf.DUMMYFUNCTION("""COMPUTED_VALUE"""),59747.74)</f>
        <v/>
      </c>
      <c r="AP1427" s="6">
        <f>AQ1427&amp;AR1427</f>
        <v/>
      </c>
      <c r="AQ1427" s="6">
        <f>YEAR(AS1427)</f>
        <v/>
      </c>
      <c r="AR1427" s="6">
        <f>MONTH(AS1427)</f>
        <v/>
      </c>
      <c r="AS1427" s="267">
        <f>IFERROR(__xludf.DUMMYFUNCTION("""COMPUTED_VALUE"""),45177.9986111111)</f>
        <v/>
      </c>
      <c r="AT1427" s="6">
        <f>IFERROR(__xludf.DUMMYFUNCTION("""COMPUTED_VALUE"""),1942.7)</f>
        <v/>
      </c>
    </row>
    <row r="1428">
      <c r="B1428" s="6">
        <f>C1428&amp;D1428</f>
        <v/>
      </c>
      <c r="C1428" s="6">
        <f>YEAR(E1428)</f>
        <v/>
      </c>
      <c r="D1428" s="6">
        <f>MONTH(E1428)</f>
        <v/>
      </c>
      <c r="E1428" s="267">
        <f>IFERROR(__xludf.DUMMYFUNCTION("""COMPUTED_VALUE"""),45170.6666666666)</f>
        <v/>
      </c>
      <c r="F1428" s="6">
        <f>IFERROR(__xludf.DUMMYFUNCTION("""COMPUTED_VALUE"""),4515.77)</f>
        <v/>
      </c>
      <c r="J1428" s="6">
        <f>K1428&amp;L1428</f>
        <v/>
      </c>
      <c r="K1428" s="6">
        <f>YEAR(M1428)</f>
        <v/>
      </c>
      <c r="L1428" s="6">
        <f>MONTH(M1428)</f>
        <v/>
      </c>
      <c r="M1428" s="267">
        <f>IFERROR(__xludf.DUMMYFUNCTION("""COMPUTED_VALUE"""),45162.6666666666)</f>
        <v/>
      </c>
      <c r="N1428" s="6">
        <f>IFERROR(__xludf.DUMMYFUNCTION("""COMPUTED_VALUE"""),13463.97)</f>
        <v/>
      </c>
      <c r="R1428" s="6">
        <f>S1428&amp;T1428</f>
        <v/>
      </c>
      <c r="S1428" s="6">
        <f>YEAR(U1428)</f>
        <v/>
      </c>
      <c r="T1428" s="6">
        <f>MONTH(U1428)</f>
        <v/>
      </c>
      <c r="U1428" s="267">
        <f>IFERROR(__xludf.DUMMYFUNCTION("""COMPUTED_VALUE"""),45222.6458333333)</f>
        <v/>
      </c>
      <c r="V1428" s="6">
        <f>IFERROR(__xludf.DUMMYFUNCTION("""COMPUTED_VALUE"""),2357.02)</f>
        <v/>
      </c>
      <c r="Z1428" s="6">
        <f>AA1428&amp;AB1428</f>
        <v/>
      </c>
      <c r="AA1428" s="6">
        <f>YEAR(AC1428)</f>
        <v/>
      </c>
      <c r="AB1428" s="6">
        <f>MONTH(AC1428)</f>
        <v/>
      </c>
      <c r="AC1428" s="267">
        <f>IFERROR(__xludf.DUMMYFUNCTION("""COMPUTED_VALUE"""),44577.9986111111)</f>
        <v/>
      </c>
      <c r="AD1428" s="6">
        <f>IFERROR(__xludf.DUMMYFUNCTION("""COMPUTED_VALUE"""),1188.96)</f>
        <v/>
      </c>
      <c r="AH1428" s="6">
        <f>AI1428&amp;AJ1428</f>
        <v/>
      </c>
      <c r="AI1428" s="6">
        <f>YEAR(AK1428)</f>
        <v/>
      </c>
      <c r="AJ1428" s="6">
        <f>MONTH(AK1428)</f>
        <v/>
      </c>
      <c r="AK1428" s="267">
        <f>IFERROR(__xludf.DUMMYFUNCTION("""COMPUTED_VALUE"""),44521.9986111111)</f>
        <v/>
      </c>
      <c r="AL1428" s="6">
        <f>IFERROR(__xludf.DUMMYFUNCTION("""COMPUTED_VALUE"""),58770.96)</f>
        <v/>
      </c>
      <c r="AP1428" s="6">
        <f>AQ1428&amp;AR1428</f>
        <v/>
      </c>
      <c r="AQ1428" s="6">
        <f>YEAR(AS1428)</f>
        <v/>
      </c>
      <c r="AR1428" s="6">
        <f>MONTH(AS1428)</f>
        <v/>
      </c>
      <c r="AS1428" s="267">
        <f>IFERROR(__xludf.DUMMYFUNCTION("""COMPUTED_VALUE"""),45180.9986111111)</f>
        <v/>
      </c>
      <c r="AT1428" s="6">
        <f>IFERROR(__xludf.DUMMYFUNCTION("""COMPUTED_VALUE"""),1947.2)</f>
        <v/>
      </c>
    </row>
    <row r="1429">
      <c r="B1429" s="6">
        <f>C1429&amp;D1429</f>
        <v/>
      </c>
      <c r="C1429" s="6">
        <f>YEAR(E1429)</f>
        <v/>
      </c>
      <c r="D1429" s="6">
        <f>MONTH(E1429)</f>
        <v/>
      </c>
      <c r="E1429" s="267">
        <f>IFERROR(__xludf.DUMMYFUNCTION("""COMPUTED_VALUE"""),45174.6666666666)</f>
        <v/>
      </c>
      <c r="F1429" s="6">
        <f>IFERROR(__xludf.DUMMYFUNCTION("""COMPUTED_VALUE"""),4496.83)</f>
        <v/>
      </c>
      <c r="J1429" s="6">
        <f>K1429&amp;L1429</f>
        <v/>
      </c>
      <c r="K1429" s="6">
        <f>YEAR(M1429)</f>
        <v/>
      </c>
      <c r="L1429" s="6">
        <f>MONTH(M1429)</f>
        <v/>
      </c>
      <c r="M1429" s="267">
        <f>IFERROR(__xludf.DUMMYFUNCTION("""COMPUTED_VALUE"""),45163.6666666666)</f>
        <v/>
      </c>
      <c r="N1429" s="6">
        <f>IFERROR(__xludf.DUMMYFUNCTION("""COMPUTED_VALUE"""),13590.65)</f>
        <v/>
      </c>
      <c r="R1429" s="6">
        <f>S1429&amp;T1429</f>
        <v/>
      </c>
      <c r="S1429" s="6">
        <f>YEAR(U1429)</f>
        <v/>
      </c>
      <c r="T1429" s="6">
        <f>MONTH(U1429)</f>
        <v/>
      </c>
      <c r="U1429" s="267">
        <f>IFERROR(__xludf.DUMMYFUNCTION("""COMPUTED_VALUE"""),45223.6458333333)</f>
        <v/>
      </c>
      <c r="V1429" s="6">
        <f>IFERROR(__xludf.DUMMYFUNCTION("""COMPUTED_VALUE"""),2383.51)</f>
        <v/>
      </c>
      <c r="Z1429" s="6">
        <f>AA1429&amp;AB1429</f>
        <v/>
      </c>
      <c r="AA1429" s="6">
        <f>YEAR(AC1429)</f>
        <v/>
      </c>
      <c r="AB1429" s="6">
        <f>MONTH(AC1429)</f>
        <v/>
      </c>
      <c r="AC1429" s="267">
        <f>IFERROR(__xludf.DUMMYFUNCTION("""COMPUTED_VALUE"""),44578.9986111111)</f>
        <v/>
      </c>
      <c r="AD1429" s="6">
        <f>IFERROR(__xludf.DUMMYFUNCTION("""COMPUTED_VALUE"""),1190.06)</f>
        <v/>
      </c>
      <c r="AH1429" s="6">
        <f>AI1429&amp;AJ1429</f>
        <v/>
      </c>
      <c r="AI1429" s="6">
        <f>YEAR(AK1429)</f>
        <v/>
      </c>
      <c r="AJ1429" s="6">
        <f>MONTH(AK1429)</f>
        <v/>
      </c>
      <c r="AK1429" s="267">
        <f>IFERROR(__xludf.DUMMYFUNCTION("""COMPUTED_VALUE"""),44522.9986111111)</f>
        <v/>
      </c>
      <c r="AL1429" s="6">
        <f>IFERROR(__xludf.DUMMYFUNCTION("""COMPUTED_VALUE"""),56293.69)</f>
        <v/>
      </c>
      <c r="AP1429" s="6">
        <f>AQ1429&amp;AR1429</f>
        <v/>
      </c>
      <c r="AQ1429" s="6">
        <f>YEAR(AS1429)</f>
        <v/>
      </c>
      <c r="AR1429" s="6">
        <f>MONTH(AS1429)</f>
        <v/>
      </c>
      <c r="AS1429" s="267">
        <f>IFERROR(__xludf.DUMMYFUNCTION("""COMPUTED_VALUE"""),45181.9986111111)</f>
        <v/>
      </c>
      <c r="AT1429" s="6">
        <f>IFERROR(__xludf.DUMMYFUNCTION("""COMPUTED_VALUE"""),1935.1)</f>
        <v/>
      </c>
    </row>
    <row r="1430">
      <c r="B1430" s="6">
        <f>C1430&amp;D1430</f>
        <v/>
      </c>
      <c r="C1430" s="6">
        <f>YEAR(E1430)</f>
        <v/>
      </c>
      <c r="D1430" s="6">
        <f>MONTH(E1430)</f>
        <v/>
      </c>
      <c r="E1430" s="267">
        <f>IFERROR(__xludf.DUMMYFUNCTION("""COMPUTED_VALUE"""),45175.6666666666)</f>
        <v/>
      </c>
      <c r="F1430" s="6">
        <f>IFERROR(__xludf.DUMMYFUNCTION("""COMPUTED_VALUE"""),4465.48)</f>
        <v/>
      </c>
      <c r="J1430" s="6">
        <f>K1430&amp;L1430</f>
        <v/>
      </c>
      <c r="K1430" s="6">
        <f>YEAR(M1430)</f>
        <v/>
      </c>
      <c r="L1430" s="6">
        <f>MONTH(M1430)</f>
        <v/>
      </c>
      <c r="M1430" s="267">
        <f>IFERROR(__xludf.DUMMYFUNCTION("""COMPUTED_VALUE"""),45166.6666666666)</f>
        <v/>
      </c>
      <c r="N1430" s="6">
        <f>IFERROR(__xludf.DUMMYFUNCTION("""COMPUTED_VALUE"""),13705.13)</f>
        <v/>
      </c>
      <c r="R1430" s="6">
        <f>S1430&amp;T1430</f>
        <v/>
      </c>
      <c r="S1430" s="6">
        <f>YEAR(U1430)</f>
        <v/>
      </c>
      <c r="T1430" s="6">
        <f>MONTH(U1430)</f>
        <v/>
      </c>
      <c r="U1430" s="267">
        <f>IFERROR(__xludf.DUMMYFUNCTION("""COMPUTED_VALUE"""),45224.6458333333)</f>
        <v/>
      </c>
      <c r="V1430" s="6">
        <f>IFERROR(__xludf.DUMMYFUNCTION("""COMPUTED_VALUE"""),2363.17)</f>
        <v/>
      </c>
      <c r="Z1430" s="6">
        <f>AA1430&amp;AB1430</f>
        <v/>
      </c>
      <c r="AA1430" s="6">
        <f>YEAR(AC1430)</f>
        <v/>
      </c>
      <c r="AB1430" s="6">
        <f>MONTH(AC1430)</f>
        <v/>
      </c>
      <c r="AC1430" s="267">
        <f>IFERROR(__xludf.DUMMYFUNCTION("""COMPUTED_VALUE"""),44579.9986111111)</f>
        <v/>
      </c>
      <c r="AD1430" s="6">
        <f>IFERROR(__xludf.DUMMYFUNCTION("""COMPUTED_VALUE"""),1192.98)</f>
        <v/>
      </c>
      <c r="AH1430" s="6">
        <f>AI1430&amp;AJ1430</f>
        <v/>
      </c>
      <c r="AI1430" s="6">
        <f>YEAR(AK1430)</f>
        <v/>
      </c>
      <c r="AJ1430" s="6">
        <f>MONTH(AK1430)</f>
        <v/>
      </c>
      <c r="AK1430" s="267">
        <f>IFERROR(__xludf.DUMMYFUNCTION("""COMPUTED_VALUE"""),44523.9986111111)</f>
        <v/>
      </c>
      <c r="AL1430" s="6">
        <f>IFERROR(__xludf.DUMMYFUNCTION("""COMPUTED_VALUE"""),57576.93)</f>
        <v/>
      </c>
      <c r="AP1430" s="6">
        <f>AQ1430&amp;AR1430</f>
        <v/>
      </c>
      <c r="AQ1430" s="6">
        <f>YEAR(AS1430)</f>
        <v/>
      </c>
      <c r="AR1430" s="6">
        <f>MONTH(AS1430)</f>
        <v/>
      </c>
      <c r="AS1430" s="267">
        <f>IFERROR(__xludf.DUMMYFUNCTION("""COMPUTED_VALUE"""),45182.9986111111)</f>
        <v/>
      </c>
      <c r="AT1430" s="6">
        <f>IFERROR(__xludf.DUMMYFUNCTION("""COMPUTED_VALUE"""),1932.5)</f>
        <v/>
      </c>
    </row>
    <row r="1431">
      <c r="B1431" s="6">
        <f>C1431&amp;D1431</f>
        <v/>
      </c>
      <c r="C1431" s="6">
        <f>YEAR(E1431)</f>
        <v/>
      </c>
      <c r="D1431" s="6">
        <f>MONTH(E1431)</f>
        <v/>
      </c>
      <c r="E1431" s="267">
        <f>IFERROR(__xludf.DUMMYFUNCTION("""COMPUTED_VALUE"""),45176.6666666666)</f>
        <v/>
      </c>
      <c r="F1431" s="6">
        <f>IFERROR(__xludf.DUMMYFUNCTION("""COMPUTED_VALUE"""),4451.14)</f>
        <v/>
      </c>
      <c r="J1431" s="6">
        <f>K1431&amp;L1431</f>
        <v/>
      </c>
      <c r="K1431" s="6">
        <f>YEAR(M1431)</f>
        <v/>
      </c>
      <c r="L1431" s="6">
        <f>MONTH(M1431)</f>
        <v/>
      </c>
      <c r="M1431" s="267">
        <f>IFERROR(__xludf.DUMMYFUNCTION("""COMPUTED_VALUE"""),45167.6666666666)</f>
        <v/>
      </c>
      <c r="N1431" s="6">
        <f>IFERROR(__xludf.DUMMYFUNCTION("""COMPUTED_VALUE"""),13943.76)</f>
        <v/>
      </c>
      <c r="R1431" s="6">
        <f>S1431&amp;T1431</f>
        <v/>
      </c>
      <c r="S1431" s="6">
        <f>YEAR(U1431)</f>
        <v/>
      </c>
      <c r="T1431" s="6">
        <f>MONTH(U1431)</f>
        <v/>
      </c>
      <c r="U1431" s="267">
        <f>IFERROR(__xludf.DUMMYFUNCTION("""COMPUTED_VALUE"""),45225.6458333333)</f>
        <v/>
      </c>
      <c r="V1431" s="6">
        <f>IFERROR(__xludf.DUMMYFUNCTION("""COMPUTED_VALUE"""),2299.08)</f>
        <v/>
      </c>
      <c r="Z1431" s="6">
        <f>AA1431&amp;AB1431</f>
        <v/>
      </c>
      <c r="AA1431" s="6">
        <f>YEAR(AC1431)</f>
        <v/>
      </c>
      <c r="AB1431" s="6">
        <f>MONTH(AC1431)</f>
        <v/>
      </c>
      <c r="AC1431" s="267">
        <f>IFERROR(__xludf.DUMMYFUNCTION("""COMPUTED_VALUE"""),44580.9986111111)</f>
        <v/>
      </c>
      <c r="AD1431" s="6">
        <f>IFERROR(__xludf.DUMMYFUNCTION("""COMPUTED_VALUE"""),1188.16)</f>
        <v/>
      </c>
      <c r="AH1431" s="6">
        <f>AI1431&amp;AJ1431</f>
        <v/>
      </c>
      <c r="AI1431" s="6">
        <f>YEAR(AK1431)</f>
        <v/>
      </c>
      <c r="AJ1431" s="6">
        <f>MONTH(AK1431)</f>
        <v/>
      </c>
      <c r="AK1431" s="267">
        <f>IFERROR(__xludf.DUMMYFUNCTION("""COMPUTED_VALUE"""),44524.9986111111)</f>
        <v/>
      </c>
      <c r="AL1431" s="6">
        <f>IFERROR(__xludf.DUMMYFUNCTION("""COMPUTED_VALUE"""),57191.11)</f>
        <v/>
      </c>
      <c r="AP1431" s="6">
        <f>AQ1431&amp;AR1431</f>
        <v/>
      </c>
      <c r="AQ1431" s="6">
        <f>YEAR(AS1431)</f>
        <v/>
      </c>
      <c r="AR1431" s="6">
        <f>MONTH(AS1431)</f>
        <v/>
      </c>
      <c r="AS1431" s="267">
        <f>IFERROR(__xludf.DUMMYFUNCTION("""COMPUTED_VALUE"""),45183.9986111111)</f>
        <v/>
      </c>
      <c r="AT1431" s="6">
        <f>IFERROR(__xludf.DUMMYFUNCTION("""COMPUTED_VALUE"""),1932.8)</f>
        <v/>
      </c>
    </row>
    <row r="1432">
      <c r="B1432" s="6">
        <f>C1432&amp;D1432</f>
        <v/>
      </c>
      <c r="C1432" s="6">
        <f>YEAR(E1432)</f>
        <v/>
      </c>
      <c r="D1432" s="6">
        <f>MONTH(E1432)</f>
        <v/>
      </c>
      <c r="E1432" s="267">
        <f>IFERROR(__xludf.DUMMYFUNCTION("""COMPUTED_VALUE"""),45177.6666666666)</f>
        <v/>
      </c>
      <c r="F1432" s="6">
        <f>IFERROR(__xludf.DUMMYFUNCTION("""COMPUTED_VALUE"""),4457.49)</f>
        <v/>
      </c>
      <c r="J1432" s="6">
        <f>K1432&amp;L1432</f>
        <v/>
      </c>
      <c r="K1432" s="6">
        <f>YEAR(M1432)</f>
        <v/>
      </c>
      <c r="L1432" s="6">
        <f>MONTH(M1432)</f>
        <v/>
      </c>
      <c r="M1432" s="267">
        <f>IFERROR(__xludf.DUMMYFUNCTION("""COMPUTED_VALUE"""),45168.6666666666)</f>
        <v/>
      </c>
      <c r="N1432" s="6">
        <f>IFERROR(__xludf.DUMMYFUNCTION("""COMPUTED_VALUE"""),14019.31)</f>
        <v/>
      </c>
      <c r="R1432" s="6">
        <f>S1432&amp;T1432</f>
        <v/>
      </c>
      <c r="S1432" s="6">
        <f>YEAR(U1432)</f>
        <v/>
      </c>
      <c r="T1432" s="6">
        <f>MONTH(U1432)</f>
        <v/>
      </c>
      <c r="U1432" s="267">
        <f>IFERROR(__xludf.DUMMYFUNCTION("""COMPUTED_VALUE"""),45226.6458333333)</f>
        <v/>
      </c>
      <c r="V1432" s="6">
        <f>IFERROR(__xludf.DUMMYFUNCTION("""COMPUTED_VALUE"""),2302.81)</f>
        <v/>
      </c>
      <c r="Z1432" s="6">
        <f>AA1432&amp;AB1432</f>
        <v/>
      </c>
      <c r="AA1432" s="6">
        <f>YEAR(AC1432)</f>
        <v/>
      </c>
      <c r="AB1432" s="6">
        <f>MONTH(AC1432)</f>
        <v/>
      </c>
      <c r="AC1432" s="267">
        <f>IFERROR(__xludf.DUMMYFUNCTION("""COMPUTED_VALUE"""),44581.9986111111)</f>
        <v/>
      </c>
      <c r="AD1432" s="6">
        <f>IFERROR(__xludf.DUMMYFUNCTION("""COMPUTED_VALUE"""),1192.43)</f>
        <v/>
      </c>
      <c r="AH1432" s="6">
        <f>AI1432&amp;AJ1432</f>
        <v/>
      </c>
      <c r="AI1432" s="6">
        <f>YEAR(AK1432)</f>
        <v/>
      </c>
      <c r="AJ1432" s="6">
        <f>MONTH(AK1432)</f>
        <v/>
      </c>
      <c r="AK1432" s="267">
        <f>IFERROR(__xludf.DUMMYFUNCTION("""COMPUTED_VALUE"""),44525.9986111111)</f>
        <v/>
      </c>
      <c r="AL1432" s="6">
        <f>IFERROR(__xludf.DUMMYFUNCTION("""COMPUTED_VALUE"""),58957.91)</f>
        <v/>
      </c>
      <c r="AP1432" s="6">
        <f>AQ1432&amp;AR1432</f>
        <v/>
      </c>
      <c r="AQ1432" s="6">
        <f>YEAR(AS1432)</f>
        <v/>
      </c>
      <c r="AR1432" s="6">
        <f>MONTH(AS1432)</f>
        <v/>
      </c>
      <c r="AS1432" s="267">
        <f>IFERROR(__xludf.DUMMYFUNCTION("""COMPUTED_VALUE"""),45184.9986111111)</f>
        <v/>
      </c>
      <c r="AT1432" s="6">
        <f>IFERROR(__xludf.DUMMYFUNCTION("""COMPUTED_VALUE"""),1946.2)</f>
        <v/>
      </c>
    </row>
    <row r="1433">
      <c r="B1433" s="6">
        <f>C1433&amp;D1433</f>
        <v/>
      </c>
      <c r="C1433" s="6">
        <f>YEAR(E1433)</f>
        <v/>
      </c>
      <c r="D1433" s="6">
        <f>MONTH(E1433)</f>
        <v/>
      </c>
      <c r="E1433" s="267">
        <f>IFERROR(__xludf.DUMMYFUNCTION("""COMPUTED_VALUE"""),45180.6666666666)</f>
        <v/>
      </c>
      <c r="F1433" s="6">
        <f>IFERROR(__xludf.DUMMYFUNCTION("""COMPUTED_VALUE"""),4487.46)</f>
        <v/>
      </c>
      <c r="J1433" s="6">
        <f>K1433&amp;L1433</f>
        <v/>
      </c>
      <c r="K1433" s="6">
        <f>YEAR(M1433)</f>
        <v/>
      </c>
      <c r="L1433" s="6">
        <f>MONTH(M1433)</f>
        <v/>
      </c>
      <c r="M1433" s="267">
        <f>IFERROR(__xludf.DUMMYFUNCTION("""COMPUTED_VALUE"""),45169.6666666666)</f>
        <v/>
      </c>
      <c r="N1433" s="6">
        <f>IFERROR(__xludf.DUMMYFUNCTION("""COMPUTED_VALUE"""),14034.97)</f>
        <v/>
      </c>
      <c r="R1433" s="6">
        <f>S1433&amp;T1433</f>
        <v/>
      </c>
      <c r="S1433" s="6">
        <f>YEAR(U1433)</f>
        <v/>
      </c>
      <c r="T1433" s="6">
        <f>MONTH(U1433)</f>
        <v/>
      </c>
      <c r="U1433" s="267">
        <f>IFERROR(__xludf.DUMMYFUNCTION("""COMPUTED_VALUE"""),45229.6458333333)</f>
        <v/>
      </c>
      <c r="V1433" s="6">
        <f>IFERROR(__xludf.DUMMYFUNCTION("""COMPUTED_VALUE"""),2310.55)</f>
        <v/>
      </c>
      <c r="Z1433" s="6">
        <f>AA1433&amp;AB1433</f>
        <v/>
      </c>
      <c r="AA1433" s="6">
        <f>YEAR(AC1433)</f>
        <v/>
      </c>
      <c r="AB1433" s="6">
        <f>MONTH(AC1433)</f>
        <v/>
      </c>
      <c r="AC1433" s="267">
        <f>IFERROR(__xludf.DUMMYFUNCTION("""COMPUTED_VALUE"""),44582.9986111111)</f>
        <v/>
      </c>
      <c r="AD1433" s="6">
        <f>IFERROR(__xludf.DUMMYFUNCTION("""COMPUTED_VALUE"""),1191.5)</f>
        <v/>
      </c>
      <c r="AH1433" s="6">
        <f>AI1433&amp;AJ1433</f>
        <v/>
      </c>
      <c r="AI1433" s="6">
        <f>YEAR(AK1433)</f>
        <v/>
      </c>
      <c r="AJ1433" s="6">
        <f>MONTH(AK1433)</f>
        <v/>
      </c>
      <c r="AK1433" s="267">
        <f>IFERROR(__xludf.DUMMYFUNCTION("""COMPUTED_VALUE"""),44526.9986111111)</f>
        <v/>
      </c>
      <c r="AL1433" s="6">
        <f>IFERROR(__xludf.DUMMYFUNCTION("""COMPUTED_VALUE"""),53634.31)</f>
        <v/>
      </c>
      <c r="AP1433" s="6">
        <f>AQ1433&amp;AR1433</f>
        <v/>
      </c>
      <c r="AQ1433" s="6">
        <f>YEAR(AS1433)</f>
        <v/>
      </c>
      <c r="AR1433" s="6">
        <f>MONTH(AS1433)</f>
        <v/>
      </c>
      <c r="AS1433" s="267">
        <f>IFERROR(__xludf.DUMMYFUNCTION("""COMPUTED_VALUE"""),45187.9986111111)</f>
        <v/>
      </c>
      <c r="AT1433" s="6">
        <f>IFERROR(__xludf.DUMMYFUNCTION("""COMPUTED_VALUE"""),1953.4)</f>
        <v/>
      </c>
    </row>
    <row r="1434">
      <c r="B1434" s="6">
        <f>C1434&amp;D1434</f>
        <v/>
      </c>
      <c r="C1434" s="6">
        <f>YEAR(E1434)</f>
        <v/>
      </c>
      <c r="D1434" s="6">
        <f>MONTH(E1434)</f>
        <v/>
      </c>
      <c r="E1434" s="267">
        <f>IFERROR(__xludf.DUMMYFUNCTION("""COMPUTED_VALUE"""),45181.6666666666)</f>
        <v/>
      </c>
      <c r="F1434" s="6">
        <f>IFERROR(__xludf.DUMMYFUNCTION("""COMPUTED_VALUE"""),4461.9)</f>
        <v/>
      </c>
      <c r="J1434" s="6">
        <f>K1434&amp;L1434</f>
        <v/>
      </c>
      <c r="K1434" s="6">
        <f>YEAR(M1434)</f>
        <v/>
      </c>
      <c r="L1434" s="6">
        <f>MONTH(M1434)</f>
        <v/>
      </c>
      <c r="M1434" s="267">
        <f>IFERROR(__xludf.DUMMYFUNCTION("""COMPUTED_VALUE"""),45170.6666666666)</f>
        <v/>
      </c>
      <c r="N1434" s="6">
        <f>IFERROR(__xludf.DUMMYFUNCTION("""COMPUTED_VALUE"""),14031.82)</f>
        <v/>
      </c>
      <c r="R1434" s="6">
        <f>S1434&amp;T1434</f>
        <v/>
      </c>
      <c r="S1434" s="6">
        <f>YEAR(U1434)</f>
        <v/>
      </c>
      <c r="T1434" s="6">
        <f>MONTH(U1434)</f>
        <v/>
      </c>
      <c r="U1434" s="267">
        <f>IFERROR(__xludf.DUMMYFUNCTION("""COMPUTED_VALUE"""),45230.6458333333)</f>
        <v/>
      </c>
      <c r="V1434" s="6">
        <f>IFERROR(__xludf.DUMMYFUNCTION("""COMPUTED_VALUE"""),2277.99)</f>
        <v/>
      </c>
      <c r="Z1434" s="6">
        <f>AA1434&amp;AB1434</f>
        <v/>
      </c>
      <c r="AA1434" s="6">
        <f>YEAR(AC1434)</f>
        <v/>
      </c>
      <c r="AB1434" s="6">
        <f>MONTH(AC1434)</f>
        <v/>
      </c>
      <c r="AC1434" s="267">
        <f>IFERROR(__xludf.DUMMYFUNCTION("""COMPUTED_VALUE"""),44583.9986111111)</f>
        <v/>
      </c>
      <c r="AD1434" s="6">
        <f>IFERROR(__xludf.DUMMYFUNCTION("""COMPUTED_VALUE"""),1191.5)</f>
        <v/>
      </c>
      <c r="AH1434" s="6">
        <f>AI1434&amp;AJ1434</f>
        <v/>
      </c>
      <c r="AI1434" s="6">
        <f>YEAR(AK1434)</f>
        <v/>
      </c>
      <c r="AJ1434" s="6">
        <f>MONTH(AK1434)</f>
        <v/>
      </c>
      <c r="AK1434" s="267">
        <f>IFERROR(__xludf.DUMMYFUNCTION("""COMPUTED_VALUE"""),44527.9986111111)</f>
        <v/>
      </c>
      <c r="AL1434" s="6">
        <f>IFERROR(__xludf.DUMMYFUNCTION("""COMPUTED_VALUE"""),54809.76)</f>
        <v/>
      </c>
      <c r="AP1434" s="6">
        <f>AQ1434&amp;AR1434</f>
        <v/>
      </c>
      <c r="AQ1434" s="6">
        <f>YEAR(AS1434)</f>
        <v/>
      </c>
      <c r="AR1434" s="6">
        <f>MONTH(AS1434)</f>
        <v/>
      </c>
      <c r="AS1434" s="267">
        <f>IFERROR(__xludf.DUMMYFUNCTION("""COMPUTED_VALUE"""),45188.9986111111)</f>
        <v/>
      </c>
      <c r="AT1434" s="6">
        <f>IFERROR(__xludf.DUMMYFUNCTION("""COMPUTED_VALUE"""),1953.7)</f>
        <v/>
      </c>
    </row>
    <row r="1435">
      <c r="B1435" s="6">
        <f>C1435&amp;D1435</f>
        <v/>
      </c>
      <c r="C1435" s="6">
        <f>YEAR(E1435)</f>
        <v/>
      </c>
      <c r="D1435" s="6">
        <f>MONTH(E1435)</f>
        <v/>
      </c>
      <c r="E1435" s="267">
        <f>IFERROR(__xludf.DUMMYFUNCTION("""COMPUTED_VALUE"""),45182.6666666666)</f>
        <v/>
      </c>
      <c r="F1435" s="6">
        <f>IFERROR(__xludf.DUMMYFUNCTION("""COMPUTED_VALUE"""),4467.44)</f>
        <v/>
      </c>
      <c r="J1435" s="6">
        <f>K1435&amp;L1435</f>
        <v/>
      </c>
      <c r="K1435" s="6">
        <f>YEAR(M1435)</f>
        <v/>
      </c>
      <c r="L1435" s="6">
        <f>MONTH(M1435)</f>
        <v/>
      </c>
      <c r="M1435" s="267">
        <f>IFERROR(__xludf.DUMMYFUNCTION("""COMPUTED_VALUE"""),45174.6666666666)</f>
        <v/>
      </c>
      <c r="N1435" s="6">
        <f>IFERROR(__xludf.DUMMYFUNCTION("""COMPUTED_VALUE"""),14020.95)</f>
        <v/>
      </c>
      <c r="R1435" s="6">
        <f>S1435&amp;T1435</f>
        <v/>
      </c>
      <c r="S1435" s="6">
        <f>YEAR(U1435)</f>
        <v/>
      </c>
      <c r="T1435" s="6">
        <f>MONTH(U1435)</f>
        <v/>
      </c>
      <c r="U1435" s="267">
        <f>IFERROR(__xludf.DUMMYFUNCTION("""COMPUTED_VALUE"""),45231.6458333333)</f>
        <v/>
      </c>
      <c r="V1435" s="6">
        <f>IFERROR(__xludf.DUMMYFUNCTION("""COMPUTED_VALUE"""),2301.56)</f>
        <v/>
      </c>
      <c r="Z1435" s="6">
        <f>AA1435&amp;AB1435</f>
        <v/>
      </c>
      <c r="AA1435" s="6">
        <f>YEAR(AC1435)</f>
        <v/>
      </c>
      <c r="AB1435" s="6">
        <f>MONTH(AC1435)</f>
        <v/>
      </c>
      <c r="AC1435" s="267">
        <f>IFERROR(__xludf.DUMMYFUNCTION("""COMPUTED_VALUE"""),44584.9986111111)</f>
        <v/>
      </c>
      <c r="AD1435" s="6">
        <f>IFERROR(__xludf.DUMMYFUNCTION("""COMPUTED_VALUE"""),1191.5)</f>
        <v/>
      </c>
      <c r="AH1435" s="6">
        <f>AI1435&amp;AJ1435</f>
        <v/>
      </c>
      <c r="AI1435" s="6">
        <f>YEAR(AK1435)</f>
        <v/>
      </c>
      <c r="AJ1435" s="6">
        <f>MONTH(AK1435)</f>
        <v/>
      </c>
      <c r="AK1435" s="267">
        <f>IFERROR(__xludf.DUMMYFUNCTION("""COMPUTED_VALUE"""),44528.9986111111)</f>
        <v/>
      </c>
      <c r="AL1435" s="6">
        <f>IFERROR(__xludf.DUMMYFUNCTION("""COMPUTED_VALUE"""),57270.1)</f>
        <v/>
      </c>
      <c r="AP1435" s="6">
        <f>AQ1435&amp;AR1435</f>
        <v/>
      </c>
      <c r="AQ1435" s="6">
        <f>YEAR(AS1435)</f>
        <v/>
      </c>
      <c r="AR1435" s="6">
        <f>MONTH(AS1435)</f>
        <v/>
      </c>
      <c r="AS1435" s="267">
        <f>IFERROR(__xludf.DUMMYFUNCTION("""COMPUTED_VALUE"""),45189.9986111111)</f>
        <v/>
      </c>
      <c r="AT1435" s="6">
        <f>IFERROR(__xludf.DUMMYFUNCTION("""COMPUTED_VALUE"""),1967.1)</f>
        <v/>
      </c>
    </row>
    <row r="1436">
      <c r="B1436" s="6">
        <f>C1436&amp;D1436</f>
        <v/>
      </c>
      <c r="C1436" s="6">
        <f>YEAR(E1436)</f>
        <v/>
      </c>
      <c r="D1436" s="6">
        <f>MONTH(E1436)</f>
        <v/>
      </c>
      <c r="E1436" s="267">
        <f>IFERROR(__xludf.DUMMYFUNCTION("""COMPUTED_VALUE"""),45183.6666666666)</f>
        <v/>
      </c>
      <c r="F1436" s="6">
        <f>IFERROR(__xludf.DUMMYFUNCTION("""COMPUTED_VALUE"""),4505.1)</f>
        <v/>
      </c>
      <c r="J1436" s="6">
        <f>K1436&amp;L1436</f>
        <v/>
      </c>
      <c r="K1436" s="6">
        <f>YEAR(M1436)</f>
        <v/>
      </c>
      <c r="L1436" s="6">
        <f>MONTH(M1436)</f>
        <v/>
      </c>
      <c r="M1436" s="267">
        <f>IFERROR(__xludf.DUMMYFUNCTION("""COMPUTED_VALUE"""),45175.6666666666)</f>
        <v/>
      </c>
      <c r="N1436" s="6">
        <f>IFERROR(__xludf.DUMMYFUNCTION("""COMPUTED_VALUE"""),13872.47)</f>
        <v/>
      </c>
      <c r="R1436" s="6">
        <f>S1436&amp;T1436</f>
        <v/>
      </c>
      <c r="S1436" s="6">
        <f>YEAR(U1436)</f>
        <v/>
      </c>
      <c r="T1436" s="6">
        <f>MONTH(U1436)</f>
        <v/>
      </c>
      <c r="U1436" s="267">
        <f>IFERROR(__xludf.DUMMYFUNCTION("""COMPUTED_VALUE"""),45232.6458333333)</f>
        <v/>
      </c>
      <c r="V1436" s="6">
        <f>IFERROR(__xludf.DUMMYFUNCTION("""COMPUTED_VALUE"""),2343.12)</f>
        <v/>
      </c>
      <c r="Z1436" s="6">
        <f>AA1436&amp;AB1436</f>
        <v/>
      </c>
      <c r="AA1436" s="6">
        <f>YEAR(AC1436)</f>
        <v/>
      </c>
      <c r="AB1436" s="6">
        <f>MONTH(AC1436)</f>
        <v/>
      </c>
      <c r="AC1436" s="267">
        <f>IFERROR(__xludf.DUMMYFUNCTION("""COMPUTED_VALUE"""),44585.9986111111)</f>
        <v/>
      </c>
      <c r="AD1436" s="6">
        <f>IFERROR(__xludf.DUMMYFUNCTION("""COMPUTED_VALUE"""),1195.66)</f>
        <v/>
      </c>
      <c r="AH1436" s="6">
        <f>AI1436&amp;AJ1436</f>
        <v/>
      </c>
      <c r="AI1436" s="6">
        <f>YEAR(AK1436)</f>
        <v/>
      </c>
      <c r="AJ1436" s="6">
        <f>MONTH(AK1436)</f>
        <v/>
      </c>
      <c r="AK1436" s="267">
        <f>IFERROR(__xludf.DUMMYFUNCTION("""COMPUTED_VALUE"""),44529.9986111111)</f>
        <v/>
      </c>
      <c r="AL1436" s="6">
        <f>IFERROR(__xludf.DUMMYFUNCTION("""COMPUTED_VALUE"""),57837.01)</f>
        <v/>
      </c>
      <c r="AP1436" s="6">
        <f>AQ1436&amp;AR1436</f>
        <v/>
      </c>
      <c r="AQ1436" s="6">
        <f>YEAR(AS1436)</f>
        <v/>
      </c>
      <c r="AR1436" s="6">
        <f>MONTH(AS1436)</f>
        <v/>
      </c>
      <c r="AS1436" s="267">
        <f>IFERROR(__xludf.DUMMYFUNCTION("""COMPUTED_VALUE"""),45190.9986111111)</f>
        <v/>
      </c>
      <c r="AT1436" s="6">
        <f>IFERROR(__xludf.DUMMYFUNCTION("""COMPUTED_VALUE"""),1939.6)</f>
        <v/>
      </c>
    </row>
    <row r="1437">
      <c r="B1437" s="6">
        <f>C1437&amp;D1437</f>
        <v/>
      </c>
      <c r="C1437" s="6">
        <f>YEAR(E1437)</f>
        <v/>
      </c>
      <c r="D1437" s="6">
        <f>MONTH(E1437)</f>
        <v/>
      </c>
      <c r="E1437" s="267">
        <f>IFERROR(__xludf.DUMMYFUNCTION("""COMPUTED_VALUE"""),45184.6666666666)</f>
        <v/>
      </c>
      <c r="F1437" s="6">
        <f>IFERROR(__xludf.DUMMYFUNCTION("""COMPUTED_VALUE"""),4450.32)</f>
        <v/>
      </c>
      <c r="J1437" s="6">
        <f>K1437&amp;L1437</f>
        <v/>
      </c>
      <c r="K1437" s="6">
        <f>YEAR(M1437)</f>
        <v/>
      </c>
      <c r="L1437" s="6">
        <f>MONTH(M1437)</f>
        <v/>
      </c>
      <c r="M1437" s="267">
        <f>IFERROR(__xludf.DUMMYFUNCTION("""COMPUTED_VALUE"""),45176.6666666666)</f>
        <v/>
      </c>
      <c r="N1437" s="6">
        <f>IFERROR(__xludf.DUMMYFUNCTION("""COMPUTED_VALUE"""),13748.83)</f>
        <v/>
      </c>
      <c r="R1437" s="6">
        <f>S1437&amp;T1437</f>
        <v/>
      </c>
      <c r="S1437" s="6">
        <f>YEAR(U1437)</f>
        <v/>
      </c>
      <c r="T1437" s="6">
        <f>MONTH(U1437)</f>
        <v/>
      </c>
      <c r="U1437" s="267">
        <f>IFERROR(__xludf.DUMMYFUNCTION("""COMPUTED_VALUE"""),45233.6458333333)</f>
        <v/>
      </c>
      <c r="V1437" s="6">
        <f>IFERROR(__xludf.DUMMYFUNCTION("""COMPUTED_VALUE"""),2368.34)</f>
        <v/>
      </c>
      <c r="Z1437" s="6">
        <f>AA1437&amp;AB1437</f>
        <v/>
      </c>
      <c r="AA1437" s="6">
        <f>YEAR(AC1437)</f>
        <v/>
      </c>
      <c r="AB1437" s="6">
        <f>MONTH(AC1437)</f>
        <v/>
      </c>
      <c r="AC1437" s="267">
        <f>IFERROR(__xludf.DUMMYFUNCTION("""COMPUTED_VALUE"""),44586.9986111111)</f>
        <v/>
      </c>
      <c r="AD1437" s="6">
        <f>IFERROR(__xludf.DUMMYFUNCTION("""COMPUTED_VALUE"""),1196.1)</f>
        <v/>
      </c>
      <c r="AH1437" s="6">
        <f>AI1437&amp;AJ1437</f>
        <v/>
      </c>
      <c r="AI1437" s="6">
        <f>YEAR(AK1437)</f>
        <v/>
      </c>
      <c r="AJ1437" s="6">
        <f>MONTH(AK1437)</f>
        <v/>
      </c>
      <c r="AK1437" s="267">
        <f>IFERROR(__xludf.DUMMYFUNCTION("""COMPUTED_VALUE"""),44530.9986111111)</f>
        <v/>
      </c>
      <c r="AL1437" s="6">
        <f>IFERROR(__xludf.DUMMYFUNCTION("""COMPUTED_VALUE"""),56959.33)</f>
        <v/>
      </c>
      <c r="AP1437" s="6">
        <f>AQ1437&amp;AR1437</f>
        <v/>
      </c>
      <c r="AQ1437" s="6">
        <f>YEAR(AS1437)</f>
        <v/>
      </c>
      <c r="AR1437" s="6">
        <f>MONTH(AS1437)</f>
        <v/>
      </c>
      <c r="AS1437" s="267">
        <f>IFERROR(__xludf.DUMMYFUNCTION("""COMPUTED_VALUE"""),45191.9986111111)</f>
        <v/>
      </c>
      <c r="AT1437" s="6">
        <f>IFERROR(__xludf.DUMMYFUNCTION("""COMPUTED_VALUE"""),1945.6)</f>
        <v/>
      </c>
    </row>
    <row r="1438">
      <c r="B1438" s="6">
        <f>C1438&amp;D1438</f>
        <v/>
      </c>
      <c r="C1438" s="6">
        <f>YEAR(E1438)</f>
        <v/>
      </c>
      <c r="D1438" s="6">
        <f>MONTH(E1438)</f>
        <v/>
      </c>
      <c r="E1438" s="267">
        <f>IFERROR(__xludf.DUMMYFUNCTION("""COMPUTED_VALUE"""),45187.6666666666)</f>
        <v/>
      </c>
      <c r="F1438" s="6">
        <f>IFERROR(__xludf.DUMMYFUNCTION("""COMPUTED_VALUE"""),4453.53)</f>
        <v/>
      </c>
      <c r="J1438" s="6">
        <f>K1438&amp;L1438</f>
        <v/>
      </c>
      <c r="K1438" s="6">
        <f>YEAR(M1438)</f>
        <v/>
      </c>
      <c r="L1438" s="6">
        <f>MONTH(M1438)</f>
        <v/>
      </c>
      <c r="M1438" s="267">
        <f>IFERROR(__xludf.DUMMYFUNCTION("""COMPUTED_VALUE"""),45177.6666666666)</f>
        <v/>
      </c>
      <c r="N1438" s="6">
        <f>IFERROR(__xludf.DUMMYFUNCTION("""COMPUTED_VALUE"""),13761.53)</f>
        <v/>
      </c>
      <c r="R1438" s="6">
        <f>S1438&amp;T1438</f>
        <v/>
      </c>
      <c r="S1438" s="6">
        <f>YEAR(U1438)</f>
        <v/>
      </c>
      <c r="T1438" s="6">
        <f>MONTH(U1438)</f>
        <v/>
      </c>
      <c r="U1438" s="267">
        <f>IFERROR(__xludf.DUMMYFUNCTION("""COMPUTED_VALUE"""),45236.6458333333)</f>
        <v/>
      </c>
      <c r="V1438" s="6">
        <f>IFERROR(__xludf.DUMMYFUNCTION("""COMPUTED_VALUE"""),2502.37)</f>
        <v/>
      </c>
      <c r="Z1438" s="6">
        <f>AA1438&amp;AB1438</f>
        <v/>
      </c>
      <c r="AA1438" s="6">
        <f>YEAR(AC1438)</f>
        <v/>
      </c>
      <c r="AB1438" s="6">
        <f>MONTH(AC1438)</f>
        <v/>
      </c>
      <c r="AC1438" s="267">
        <f>IFERROR(__xludf.DUMMYFUNCTION("""COMPUTED_VALUE"""),44587.9986111111)</f>
        <v/>
      </c>
      <c r="AD1438" s="6">
        <f>IFERROR(__xludf.DUMMYFUNCTION("""COMPUTED_VALUE"""),1200.63)</f>
        <v/>
      </c>
      <c r="AH1438" s="6">
        <f>AI1438&amp;AJ1438</f>
        <v/>
      </c>
      <c r="AI1438" s="6">
        <f>YEAR(AK1438)</f>
        <v/>
      </c>
      <c r="AJ1438" s="6">
        <f>MONTH(AK1438)</f>
        <v/>
      </c>
      <c r="AK1438" s="267">
        <f>IFERROR(__xludf.DUMMYFUNCTION("""COMPUTED_VALUE"""),44531.9986111111)</f>
        <v/>
      </c>
      <c r="AL1438" s="6">
        <f>IFERROR(__xludf.DUMMYFUNCTION("""COMPUTED_VALUE"""),57228.96)</f>
        <v/>
      </c>
      <c r="AP1438" s="6">
        <f>AQ1438&amp;AR1438</f>
        <v/>
      </c>
      <c r="AQ1438" s="6">
        <f>YEAR(AS1438)</f>
        <v/>
      </c>
      <c r="AR1438" s="6">
        <f>MONTH(AS1438)</f>
        <v/>
      </c>
      <c r="AS1438" s="267">
        <f>IFERROR(__xludf.DUMMYFUNCTION("""COMPUTED_VALUE"""),45194.9986111111)</f>
        <v/>
      </c>
      <c r="AT1438" s="6">
        <f>IFERROR(__xludf.DUMMYFUNCTION("""COMPUTED_VALUE"""),1936.6)</f>
        <v/>
      </c>
    </row>
    <row r="1439">
      <c r="B1439" s="6">
        <f>C1439&amp;D1439</f>
        <v/>
      </c>
      <c r="C1439" s="6">
        <f>YEAR(E1439)</f>
        <v/>
      </c>
      <c r="D1439" s="6">
        <f>MONTH(E1439)</f>
        <v/>
      </c>
      <c r="E1439" s="267">
        <f>IFERROR(__xludf.DUMMYFUNCTION("""COMPUTED_VALUE"""),45188.6666666666)</f>
        <v/>
      </c>
      <c r="F1439" s="6">
        <f>IFERROR(__xludf.DUMMYFUNCTION("""COMPUTED_VALUE"""),4443.95)</f>
        <v/>
      </c>
      <c r="J1439" s="6">
        <f>K1439&amp;L1439</f>
        <v/>
      </c>
      <c r="K1439" s="6">
        <f>YEAR(M1439)</f>
        <v/>
      </c>
      <c r="L1439" s="6">
        <f>MONTH(M1439)</f>
        <v/>
      </c>
      <c r="M1439" s="267">
        <f>IFERROR(__xludf.DUMMYFUNCTION("""COMPUTED_VALUE"""),45180.6666666666)</f>
        <v/>
      </c>
      <c r="N1439" s="6">
        <f>IFERROR(__xludf.DUMMYFUNCTION("""COMPUTED_VALUE"""),13917.91)</f>
        <v/>
      </c>
      <c r="R1439" s="6">
        <f>S1439&amp;T1439</f>
        <v/>
      </c>
      <c r="S1439" s="6">
        <f>YEAR(U1439)</f>
        <v/>
      </c>
      <c r="T1439" s="6">
        <f>MONTH(U1439)</f>
        <v/>
      </c>
      <c r="U1439" s="267">
        <f>IFERROR(__xludf.DUMMYFUNCTION("""COMPUTED_VALUE"""),45237.6458333333)</f>
        <v/>
      </c>
      <c r="V1439" s="6">
        <f>IFERROR(__xludf.DUMMYFUNCTION("""COMPUTED_VALUE"""),2443.96)</f>
        <v/>
      </c>
      <c r="Z1439" s="6">
        <f>AA1439&amp;AB1439</f>
        <v/>
      </c>
      <c r="AA1439" s="6">
        <f>YEAR(AC1439)</f>
        <v/>
      </c>
      <c r="AB1439" s="6">
        <f>MONTH(AC1439)</f>
        <v/>
      </c>
      <c r="AC1439" s="267">
        <f>IFERROR(__xludf.DUMMYFUNCTION("""COMPUTED_VALUE"""),44588.9986111111)</f>
        <v/>
      </c>
      <c r="AD1439" s="6">
        <f>IFERROR(__xludf.DUMMYFUNCTION("""COMPUTED_VALUE"""),1203.46)</f>
        <v/>
      </c>
      <c r="AH1439" s="6">
        <f>AI1439&amp;AJ1439</f>
        <v/>
      </c>
      <c r="AI1439" s="6">
        <f>YEAR(AK1439)</f>
        <v/>
      </c>
      <c r="AJ1439" s="6">
        <f>MONTH(AK1439)</f>
        <v/>
      </c>
      <c r="AK1439" s="267">
        <f>IFERROR(__xludf.DUMMYFUNCTION("""COMPUTED_VALUE"""),44532.9986111111)</f>
        <v/>
      </c>
      <c r="AL1439" s="6">
        <f>IFERROR(__xludf.DUMMYFUNCTION("""COMPUTED_VALUE"""),56518.51)</f>
        <v/>
      </c>
      <c r="AP1439" s="6">
        <f>AQ1439&amp;AR1439</f>
        <v/>
      </c>
      <c r="AQ1439" s="6">
        <f>YEAR(AS1439)</f>
        <v/>
      </c>
      <c r="AR1439" s="6">
        <f>MONTH(AS1439)</f>
        <v/>
      </c>
      <c r="AS1439" s="267">
        <f>IFERROR(__xludf.DUMMYFUNCTION("""COMPUTED_VALUE"""),45195.9986111111)</f>
        <v/>
      </c>
      <c r="AT1439" s="6">
        <f>IFERROR(__xludf.DUMMYFUNCTION("""COMPUTED_VALUE"""),1919.8)</f>
        <v/>
      </c>
    </row>
    <row r="1440">
      <c r="B1440" s="6">
        <f>C1440&amp;D1440</f>
        <v/>
      </c>
      <c r="C1440" s="6">
        <f>YEAR(E1440)</f>
        <v/>
      </c>
      <c r="D1440" s="6">
        <f>MONTH(E1440)</f>
        <v/>
      </c>
      <c r="E1440" s="267">
        <f>IFERROR(__xludf.DUMMYFUNCTION("""COMPUTED_VALUE"""),45189.6666666666)</f>
        <v/>
      </c>
      <c r="F1440" s="6">
        <f>IFERROR(__xludf.DUMMYFUNCTION("""COMPUTED_VALUE"""),4402.2)</f>
        <v/>
      </c>
      <c r="J1440" s="6">
        <f>K1440&amp;L1440</f>
        <v/>
      </c>
      <c r="K1440" s="6">
        <f>YEAR(M1440)</f>
        <v/>
      </c>
      <c r="L1440" s="6">
        <f>MONTH(M1440)</f>
        <v/>
      </c>
      <c r="M1440" s="267">
        <f>IFERROR(__xludf.DUMMYFUNCTION("""COMPUTED_VALUE"""),45181.6666666666)</f>
        <v/>
      </c>
      <c r="N1440" s="6">
        <f>IFERROR(__xludf.DUMMYFUNCTION("""COMPUTED_VALUE"""),13773.63)</f>
        <v/>
      </c>
      <c r="R1440" s="6">
        <f>S1440&amp;T1440</f>
        <v/>
      </c>
      <c r="S1440" s="6">
        <f>YEAR(U1440)</f>
        <v/>
      </c>
      <c r="T1440" s="6">
        <f>MONTH(U1440)</f>
        <v/>
      </c>
      <c r="U1440" s="267">
        <f>IFERROR(__xludf.DUMMYFUNCTION("""COMPUTED_VALUE"""),45238.6458333333)</f>
        <v/>
      </c>
      <c r="V1440" s="6">
        <f>IFERROR(__xludf.DUMMYFUNCTION("""COMPUTED_VALUE"""),2421.62)</f>
        <v/>
      </c>
      <c r="Z1440" s="6">
        <f>AA1440&amp;AB1440</f>
        <v/>
      </c>
      <c r="AA1440" s="6">
        <f>YEAR(AC1440)</f>
        <v/>
      </c>
      <c r="AB1440" s="6">
        <f>MONTH(AC1440)</f>
        <v/>
      </c>
      <c r="AC1440" s="267">
        <f>IFERROR(__xludf.DUMMYFUNCTION("""COMPUTED_VALUE"""),44589.9986111111)</f>
        <v/>
      </c>
      <c r="AD1440" s="6">
        <f>IFERROR(__xludf.DUMMYFUNCTION("""COMPUTED_VALUE"""),1208.71)</f>
        <v/>
      </c>
      <c r="AH1440" s="6">
        <f>AI1440&amp;AJ1440</f>
        <v/>
      </c>
      <c r="AI1440" s="6">
        <f>YEAR(AK1440)</f>
        <v/>
      </c>
      <c r="AJ1440" s="6">
        <f>MONTH(AK1440)</f>
        <v/>
      </c>
      <c r="AK1440" s="267">
        <f>IFERROR(__xludf.DUMMYFUNCTION("""COMPUTED_VALUE"""),44533.9986111111)</f>
        <v/>
      </c>
      <c r="AL1440" s="6">
        <f>IFERROR(__xludf.DUMMYFUNCTION("""COMPUTED_VALUE"""),53662.35)</f>
        <v/>
      </c>
      <c r="AP1440" s="6">
        <f>AQ1440&amp;AR1440</f>
        <v/>
      </c>
      <c r="AQ1440" s="6">
        <f>YEAR(AS1440)</f>
        <v/>
      </c>
      <c r="AR1440" s="6">
        <f>MONTH(AS1440)</f>
        <v/>
      </c>
      <c r="AS1440" s="267">
        <f>IFERROR(__xludf.DUMMYFUNCTION("""COMPUTED_VALUE"""),45196.9986111111)</f>
        <v/>
      </c>
      <c r="AT1440" s="6">
        <f>IFERROR(__xludf.DUMMYFUNCTION("""COMPUTED_VALUE"""),1890.9)</f>
        <v/>
      </c>
    </row>
    <row r="1441">
      <c r="B1441" s="6">
        <f>C1441&amp;D1441</f>
        <v/>
      </c>
      <c r="C1441" s="6">
        <f>YEAR(E1441)</f>
        <v/>
      </c>
      <c r="D1441" s="6">
        <f>MONTH(E1441)</f>
        <v/>
      </c>
      <c r="E1441" s="267">
        <f>IFERROR(__xludf.DUMMYFUNCTION("""COMPUTED_VALUE"""),45190.6666666666)</f>
        <v/>
      </c>
      <c r="F1441" s="6">
        <f>IFERROR(__xludf.DUMMYFUNCTION("""COMPUTED_VALUE"""),4330)</f>
        <v/>
      </c>
      <c r="J1441" s="6">
        <f>K1441&amp;L1441</f>
        <v/>
      </c>
      <c r="K1441" s="6">
        <f>YEAR(M1441)</f>
        <v/>
      </c>
      <c r="L1441" s="6">
        <f>MONTH(M1441)</f>
        <v/>
      </c>
      <c r="M1441" s="267">
        <f>IFERROR(__xludf.DUMMYFUNCTION("""COMPUTED_VALUE"""),45182.6666666666)</f>
        <v/>
      </c>
      <c r="N1441" s="6">
        <f>IFERROR(__xludf.DUMMYFUNCTION("""COMPUTED_VALUE"""),13813.59)</f>
        <v/>
      </c>
      <c r="R1441" s="6">
        <f>S1441&amp;T1441</f>
        <v/>
      </c>
      <c r="S1441" s="6">
        <f>YEAR(U1441)</f>
        <v/>
      </c>
      <c r="T1441" s="6">
        <f>MONTH(U1441)</f>
        <v/>
      </c>
      <c r="U1441" s="267">
        <f>IFERROR(__xludf.DUMMYFUNCTION("""COMPUTED_VALUE"""),45239.6458333333)</f>
        <v/>
      </c>
      <c r="V1441" s="6">
        <f>IFERROR(__xludf.DUMMYFUNCTION("""COMPUTED_VALUE"""),2427.08)</f>
        <v/>
      </c>
      <c r="Z1441" s="6">
        <f>AA1441&amp;AB1441</f>
        <v/>
      </c>
      <c r="AA1441" s="6">
        <f>YEAR(AC1441)</f>
        <v/>
      </c>
      <c r="AB1441" s="6">
        <f>MONTH(AC1441)</f>
        <v/>
      </c>
      <c r="AC1441" s="267">
        <f>IFERROR(__xludf.DUMMYFUNCTION("""COMPUTED_VALUE"""),44590.9986111111)</f>
        <v/>
      </c>
      <c r="AD1441" s="6">
        <f>IFERROR(__xludf.DUMMYFUNCTION("""COMPUTED_VALUE"""),1208.71)</f>
        <v/>
      </c>
      <c r="AH1441" s="6">
        <f>AI1441&amp;AJ1441</f>
        <v/>
      </c>
      <c r="AI1441" s="6">
        <f>YEAR(AK1441)</f>
        <v/>
      </c>
      <c r="AJ1441" s="6">
        <f>MONTH(AK1441)</f>
        <v/>
      </c>
      <c r="AK1441" s="267">
        <f>IFERROR(__xludf.DUMMYFUNCTION("""COMPUTED_VALUE"""),44534.9986111111)</f>
        <v/>
      </c>
      <c r="AL1441" s="6">
        <f>IFERROR(__xludf.DUMMYFUNCTION("""COMPUTED_VALUE"""),49258.04)</f>
        <v/>
      </c>
      <c r="AP1441" s="6">
        <f>AQ1441&amp;AR1441</f>
        <v/>
      </c>
      <c r="AQ1441" s="6">
        <f>YEAR(AS1441)</f>
        <v/>
      </c>
      <c r="AR1441" s="6">
        <f>MONTH(AS1441)</f>
        <v/>
      </c>
      <c r="AS1441" s="267">
        <f>IFERROR(__xludf.DUMMYFUNCTION("""COMPUTED_VALUE"""),45197.9986111111)</f>
        <v/>
      </c>
      <c r="AT1441" s="6">
        <f>IFERROR(__xludf.DUMMYFUNCTION("""COMPUTED_VALUE"""),1878.6)</f>
        <v/>
      </c>
    </row>
    <row r="1442">
      <c r="B1442" s="6">
        <f>C1442&amp;D1442</f>
        <v/>
      </c>
      <c r="C1442" s="6">
        <f>YEAR(E1442)</f>
        <v/>
      </c>
      <c r="D1442" s="6">
        <f>MONTH(E1442)</f>
        <v/>
      </c>
      <c r="E1442" s="267">
        <f>IFERROR(__xludf.DUMMYFUNCTION("""COMPUTED_VALUE"""),45191.6666666666)</f>
        <v/>
      </c>
      <c r="F1442" s="6">
        <f>IFERROR(__xludf.DUMMYFUNCTION("""COMPUTED_VALUE"""),4320.06)</f>
        <v/>
      </c>
      <c r="J1442" s="6">
        <f>K1442&amp;L1442</f>
        <v/>
      </c>
      <c r="K1442" s="6">
        <f>YEAR(M1442)</f>
        <v/>
      </c>
      <c r="L1442" s="6">
        <f>MONTH(M1442)</f>
        <v/>
      </c>
      <c r="M1442" s="267">
        <f>IFERROR(__xludf.DUMMYFUNCTION("""COMPUTED_VALUE"""),45183.6666666666)</f>
        <v/>
      </c>
      <c r="N1442" s="6">
        <f>IFERROR(__xludf.DUMMYFUNCTION("""COMPUTED_VALUE"""),13926.05)</f>
        <v/>
      </c>
      <c r="R1442" s="6">
        <f>S1442&amp;T1442</f>
        <v/>
      </c>
      <c r="S1442" s="6">
        <f>YEAR(U1442)</f>
        <v/>
      </c>
      <c r="T1442" s="6">
        <f>MONTH(U1442)</f>
        <v/>
      </c>
      <c r="U1442" s="267">
        <f>IFERROR(__xludf.DUMMYFUNCTION("""COMPUTED_VALUE"""),45240.6458333333)</f>
        <v/>
      </c>
      <c r="V1442" s="6">
        <f>IFERROR(__xludf.DUMMYFUNCTION("""COMPUTED_VALUE"""),2409.66)</f>
        <v/>
      </c>
      <c r="Z1442" s="6">
        <f>AA1442&amp;AB1442</f>
        <v/>
      </c>
      <c r="AA1442" s="6">
        <f>YEAR(AC1442)</f>
        <v/>
      </c>
      <c r="AB1442" s="6">
        <f>MONTH(AC1442)</f>
        <v/>
      </c>
      <c r="AC1442" s="267">
        <f>IFERROR(__xludf.DUMMYFUNCTION("""COMPUTED_VALUE"""),44591.9986111111)</f>
        <v/>
      </c>
      <c r="AD1442" s="6">
        <f>IFERROR(__xludf.DUMMYFUNCTION("""COMPUTED_VALUE"""),1207.71)</f>
        <v/>
      </c>
      <c r="AH1442" s="6">
        <f>AI1442&amp;AJ1442</f>
        <v/>
      </c>
      <c r="AI1442" s="6">
        <f>YEAR(AK1442)</f>
        <v/>
      </c>
      <c r="AJ1442" s="6">
        <f>MONTH(AK1442)</f>
        <v/>
      </c>
      <c r="AK1442" s="267">
        <f>IFERROR(__xludf.DUMMYFUNCTION("""COMPUTED_VALUE"""),44535.9986111111)</f>
        <v/>
      </c>
      <c r="AL1442" s="6">
        <f>IFERROR(__xludf.DUMMYFUNCTION("""COMPUTED_VALUE"""),49453.48)</f>
        <v/>
      </c>
      <c r="AP1442" s="6">
        <f>AQ1442&amp;AR1442</f>
        <v/>
      </c>
      <c r="AQ1442" s="6">
        <f>YEAR(AS1442)</f>
        <v/>
      </c>
      <c r="AR1442" s="6">
        <f>MONTH(AS1442)</f>
        <v/>
      </c>
      <c r="AS1442" s="267">
        <f>IFERROR(__xludf.DUMMYFUNCTION("""COMPUTED_VALUE"""),45198.9986111111)</f>
        <v/>
      </c>
      <c r="AT1442" s="6">
        <f>IFERROR(__xludf.DUMMYFUNCTION("""COMPUTED_VALUE"""),1866.1)</f>
        <v/>
      </c>
    </row>
    <row r="1443">
      <c r="B1443" s="6">
        <f>C1443&amp;D1443</f>
        <v/>
      </c>
      <c r="C1443" s="6">
        <f>YEAR(E1443)</f>
        <v/>
      </c>
      <c r="D1443" s="6">
        <f>MONTH(E1443)</f>
        <v/>
      </c>
      <c r="E1443" s="267">
        <f>IFERROR(__xludf.DUMMYFUNCTION("""COMPUTED_VALUE"""),45194.6666666666)</f>
        <v/>
      </c>
      <c r="F1443" s="6">
        <f>IFERROR(__xludf.DUMMYFUNCTION("""COMPUTED_VALUE"""),4337.44)</f>
        <v/>
      </c>
      <c r="J1443" s="6">
        <f>K1443&amp;L1443</f>
        <v/>
      </c>
      <c r="K1443" s="6">
        <f>YEAR(M1443)</f>
        <v/>
      </c>
      <c r="L1443" s="6">
        <f>MONTH(M1443)</f>
        <v/>
      </c>
      <c r="M1443" s="267">
        <f>IFERROR(__xludf.DUMMYFUNCTION("""COMPUTED_VALUE"""),45184.6666666666)</f>
        <v/>
      </c>
      <c r="N1443" s="6">
        <f>IFERROR(__xludf.DUMMYFUNCTION("""COMPUTED_VALUE"""),13708.34)</f>
        <v/>
      </c>
      <c r="R1443" s="6">
        <f>S1443&amp;T1443</f>
        <v/>
      </c>
      <c r="S1443" s="6">
        <f>YEAR(U1443)</f>
        <v/>
      </c>
      <c r="T1443" s="6">
        <f>MONTH(U1443)</f>
        <v/>
      </c>
      <c r="U1443" s="267">
        <f>IFERROR(__xludf.DUMMYFUNCTION("""COMPUTED_VALUE"""),45243.6458333333)</f>
        <v/>
      </c>
      <c r="V1443" s="6">
        <f>IFERROR(__xludf.DUMMYFUNCTION("""COMPUTED_VALUE"""),2403.76)</f>
        <v/>
      </c>
      <c r="Z1443" s="6">
        <f>AA1443&amp;AB1443</f>
        <v/>
      </c>
      <c r="AA1443" s="6">
        <f>YEAR(AC1443)</f>
        <v/>
      </c>
      <c r="AB1443" s="6">
        <f>MONTH(AC1443)</f>
        <v/>
      </c>
      <c r="AC1443" s="267">
        <f>IFERROR(__xludf.DUMMYFUNCTION("""COMPUTED_VALUE"""),44592.9986111111)</f>
        <v/>
      </c>
      <c r="AD1443" s="6">
        <f>IFERROR(__xludf.DUMMYFUNCTION("""COMPUTED_VALUE"""),1205.12)</f>
        <v/>
      </c>
      <c r="AH1443" s="6">
        <f>AI1443&amp;AJ1443</f>
        <v/>
      </c>
      <c r="AI1443" s="6">
        <f>YEAR(AK1443)</f>
        <v/>
      </c>
      <c r="AJ1443" s="6">
        <f>MONTH(AK1443)</f>
        <v/>
      </c>
      <c r="AK1443" s="267">
        <f>IFERROR(__xludf.DUMMYFUNCTION("""COMPUTED_VALUE"""),44536.9986111111)</f>
        <v/>
      </c>
      <c r="AL1443" s="6">
        <f>IFERROR(__xludf.DUMMYFUNCTION("""COMPUTED_VALUE"""),50594.02)</f>
        <v/>
      </c>
      <c r="AP1443" s="6">
        <f>AQ1443&amp;AR1443</f>
        <v/>
      </c>
      <c r="AQ1443" s="6">
        <f>YEAR(AS1443)</f>
        <v/>
      </c>
      <c r="AR1443" s="6">
        <f>MONTH(AS1443)</f>
        <v/>
      </c>
      <c r="AS1443" s="267">
        <f>IFERROR(__xludf.DUMMYFUNCTION("""COMPUTED_VALUE"""),45201.9986111111)</f>
        <v/>
      </c>
      <c r="AT1443" s="6">
        <f>IFERROR(__xludf.DUMMYFUNCTION("""COMPUTED_VALUE"""),1847.2)</f>
        <v/>
      </c>
    </row>
    <row r="1444">
      <c r="B1444" s="6">
        <f>C1444&amp;D1444</f>
        <v/>
      </c>
      <c r="C1444" s="6">
        <f>YEAR(E1444)</f>
        <v/>
      </c>
      <c r="D1444" s="6">
        <f>MONTH(E1444)</f>
        <v/>
      </c>
      <c r="E1444" s="267">
        <f>IFERROR(__xludf.DUMMYFUNCTION("""COMPUTED_VALUE"""),45195.6666666666)</f>
        <v/>
      </c>
      <c r="F1444" s="6">
        <f>IFERROR(__xludf.DUMMYFUNCTION("""COMPUTED_VALUE"""),4273.53)</f>
        <v/>
      </c>
      <c r="J1444" s="6">
        <f>K1444&amp;L1444</f>
        <v/>
      </c>
      <c r="K1444" s="6">
        <f>YEAR(M1444)</f>
        <v/>
      </c>
      <c r="L1444" s="6">
        <f>MONTH(M1444)</f>
        <v/>
      </c>
      <c r="M1444" s="267">
        <f>IFERROR(__xludf.DUMMYFUNCTION("""COMPUTED_VALUE"""),45187.6666666666)</f>
        <v/>
      </c>
      <c r="N1444" s="6">
        <f>IFERROR(__xludf.DUMMYFUNCTION("""COMPUTED_VALUE"""),13710.24)</f>
        <v/>
      </c>
      <c r="R1444" s="6">
        <f>S1444&amp;T1444</f>
        <v/>
      </c>
      <c r="S1444" s="6">
        <f>YEAR(U1444)</f>
        <v/>
      </c>
      <c r="T1444" s="6">
        <f>MONTH(U1444)</f>
        <v/>
      </c>
      <c r="U1444" s="267">
        <f>IFERROR(__xludf.DUMMYFUNCTION("""COMPUTED_VALUE"""),45244.6458333333)</f>
        <v/>
      </c>
      <c r="V1444" s="6">
        <f>IFERROR(__xludf.DUMMYFUNCTION("""COMPUTED_VALUE"""),2433.25)</f>
        <v/>
      </c>
      <c r="Z1444" s="6">
        <f>AA1444&amp;AB1444</f>
        <v/>
      </c>
      <c r="AA1444" s="6">
        <f>YEAR(AC1444)</f>
        <v/>
      </c>
      <c r="AB1444" s="6">
        <f>MONTH(AC1444)</f>
        <v/>
      </c>
      <c r="AC1444" s="267">
        <f>IFERROR(__xludf.DUMMYFUNCTION("""COMPUTED_VALUE"""),44593.9986111111)</f>
        <v/>
      </c>
      <c r="AD1444" s="6">
        <f>IFERROR(__xludf.DUMMYFUNCTION("""COMPUTED_VALUE"""),1202.5)</f>
        <v/>
      </c>
      <c r="AH1444" s="6">
        <f>AI1444&amp;AJ1444</f>
        <v/>
      </c>
      <c r="AI1444" s="6">
        <f>YEAR(AK1444)</f>
        <v/>
      </c>
      <c r="AJ1444" s="6">
        <f>MONTH(AK1444)</f>
        <v/>
      </c>
      <c r="AK1444" s="267">
        <f>IFERROR(__xludf.DUMMYFUNCTION("""COMPUTED_VALUE"""),44537.9986111111)</f>
        <v/>
      </c>
      <c r="AL1444" s="6">
        <f>IFERROR(__xludf.DUMMYFUNCTION("""COMPUTED_VALUE"""),50631.88)</f>
        <v/>
      </c>
      <c r="AP1444" s="6">
        <f>AQ1444&amp;AR1444</f>
        <v/>
      </c>
      <c r="AQ1444" s="6">
        <f>YEAR(AS1444)</f>
        <v/>
      </c>
      <c r="AR1444" s="6">
        <f>MONTH(AS1444)</f>
        <v/>
      </c>
      <c r="AS1444" s="267">
        <f>IFERROR(__xludf.DUMMYFUNCTION("""COMPUTED_VALUE"""),45202.9986111111)</f>
        <v/>
      </c>
      <c r="AT1444" s="6">
        <f>IFERROR(__xludf.DUMMYFUNCTION("""COMPUTED_VALUE"""),1841.5)</f>
        <v/>
      </c>
    </row>
    <row r="1445">
      <c r="B1445" s="6">
        <f>C1445&amp;D1445</f>
        <v/>
      </c>
      <c r="C1445" s="6">
        <f>YEAR(E1445)</f>
        <v/>
      </c>
      <c r="D1445" s="6">
        <f>MONTH(E1445)</f>
        <v/>
      </c>
      <c r="E1445" s="267">
        <f>IFERROR(__xludf.DUMMYFUNCTION("""COMPUTED_VALUE"""),45196.6666666666)</f>
        <v/>
      </c>
      <c r="F1445" s="6">
        <f>IFERROR(__xludf.DUMMYFUNCTION("""COMPUTED_VALUE"""),4274.51)</f>
        <v/>
      </c>
      <c r="J1445" s="6">
        <f>K1445&amp;L1445</f>
        <v/>
      </c>
      <c r="K1445" s="6">
        <f>YEAR(M1445)</f>
        <v/>
      </c>
      <c r="L1445" s="6">
        <f>MONTH(M1445)</f>
        <v/>
      </c>
      <c r="M1445" s="267">
        <f>IFERROR(__xludf.DUMMYFUNCTION("""COMPUTED_VALUE"""),45188.6666666666)</f>
        <v/>
      </c>
      <c r="N1445" s="6">
        <f>IFERROR(__xludf.DUMMYFUNCTION("""COMPUTED_VALUE"""),13678.19)</f>
        <v/>
      </c>
      <c r="R1445" s="6">
        <f>S1445&amp;T1445</f>
        <v/>
      </c>
      <c r="S1445" s="6">
        <f>YEAR(U1445)</f>
        <v/>
      </c>
      <c r="T1445" s="6">
        <f>MONTH(U1445)</f>
        <v/>
      </c>
      <c r="U1445" s="267">
        <f>IFERROR(__xludf.DUMMYFUNCTION("""COMPUTED_VALUE"""),45245.6458333333)</f>
        <v/>
      </c>
      <c r="V1445" s="6">
        <f>IFERROR(__xludf.DUMMYFUNCTION("""COMPUTED_VALUE"""),2486.67)</f>
        <v/>
      </c>
      <c r="Z1445" s="6">
        <f>AA1445&amp;AB1445</f>
        <v/>
      </c>
      <c r="AA1445" s="6">
        <f>YEAR(AC1445)</f>
        <v/>
      </c>
      <c r="AB1445" s="6">
        <f>MONTH(AC1445)</f>
        <v/>
      </c>
      <c r="AC1445" s="267">
        <f>IFERROR(__xludf.DUMMYFUNCTION("""COMPUTED_VALUE"""),44594.9986111111)</f>
        <v/>
      </c>
      <c r="AD1445" s="6">
        <f>IFERROR(__xludf.DUMMYFUNCTION("""COMPUTED_VALUE"""),1199.96)</f>
        <v/>
      </c>
      <c r="AH1445" s="6">
        <f>AI1445&amp;AJ1445</f>
        <v/>
      </c>
      <c r="AI1445" s="6">
        <f>YEAR(AK1445)</f>
        <v/>
      </c>
      <c r="AJ1445" s="6">
        <f>MONTH(AK1445)</f>
        <v/>
      </c>
      <c r="AK1445" s="267">
        <f>IFERROR(__xludf.DUMMYFUNCTION("""COMPUTED_VALUE"""),44538.9986111111)</f>
        <v/>
      </c>
      <c r="AL1445" s="6">
        <f>IFERROR(__xludf.DUMMYFUNCTION("""COMPUTED_VALUE"""),50495.16)</f>
        <v/>
      </c>
      <c r="AP1445" s="6">
        <f>AQ1445&amp;AR1445</f>
        <v/>
      </c>
      <c r="AQ1445" s="6">
        <f>YEAR(AS1445)</f>
        <v/>
      </c>
      <c r="AR1445" s="6">
        <f>MONTH(AS1445)</f>
        <v/>
      </c>
      <c r="AS1445" s="267">
        <f>IFERROR(__xludf.DUMMYFUNCTION("""COMPUTED_VALUE"""),45203.9986111111)</f>
        <v/>
      </c>
      <c r="AT1445" s="6">
        <f>IFERROR(__xludf.DUMMYFUNCTION("""COMPUTED_VALUE"""),1834.8)</f>
        <v/>
      </c>
    </row>
    <row r="1446">
      <c r="B1446" s="6">
        <f>C1446&amp;D1446</f>
        <v/>
      </c>
      <c r="C1446" s="6">
        <f>YEAR(E1446)</f>
        <v/>
      </c>
      <c r="D1446" s="6">
        <f>MONTH(E1446)</f>
        <v/>
      </c>
      <c r="E1446" s="267">
        <f>IFERROR(__xludf.DUMMYFUNCTION("""COMPUTED_VALUE"""),45197.6666666666)</f>
        <v/>
      </c>
      <c r="F1446" s="6">
        <f>IFERROR(__xludf.DUMMYFUNCTION("""COMPUTED_VALUE"""),4299.7)</f>
        <v/>
      </c>
      <c r="J1446" s="6">
        <f>K1446&amp;L1446</f>
        <v/>
      </c>
      <c r="K1446" s="6">
        <f>YEAR(M1446)</f>
        <v/>
      </c>
      <c r="L1446" s="6">
        <f>MONTH(M1446)</f>
        <v/>
      </c>
      <c r="M1446" s="267">
        <f>IFERROR(__xludf.DUMMYFUNCTION("""COMPUTED_VALUE"""),45189.6666666666)</f>
        <v/>
      </c>
      <c r="N1446" s="6">
        <f>IFERROR(__xludf.DUMMYFUNCTION("""COMPUTED_VALUE"""),13469.13)</f>
        <v/>
      </c>
      <c r="R1446" s="6">
        <f>S1446&amp;T1446</f>
        <v/>
      </c>
      <c r="S1446" s="6">
        <f>YEAR(U1446)</f>
        <v/>
      </c>
      <c r="T1446" s="6">
        <f>MONTH(U1446)</f>
        <v/>
      </c>
      <c r="U1446" s="267">
        <f>IFERROR(__xludf.DUMMYFUNCTION("""COMPUTED_VALUE"""),45246.6458333333)</f>
        <v/>
      </c>
      <c r="V1446" s="6">
        <f>IFERROR(__xludf.DUMMYFUNCTION("""COMPUTED_VALUE"""),2488.18)</f>
        <v/>
      </c>
      <c r="Z1446" s="6">
        <f>AA1446&amp;AB1446</f>
        <v/>
      </c>
      <c r="AA1446" s="6">
        <f>YEAR(AC1446)</f>
        <v/>
      </c>
      <c r="AB1446" s="6">
        <f>MONTH(AC1446)</f>
        <v/>
      </c>
      <c r="AC1446" s="267">
        <f>IFERROR(__xludf.DUMMYFUNCTION("""COMPUTED_VALUE"""),44595.9986111111)</f>
        <v/>
      </c>
      <c r="AD1446" s="6">
        <f>IFERROR(__xludf.DUMMYFUNCTION("""COMPUTED_VALUE"""),1200.33)</f>
        <v/>
      </c>
      <c r="AH1446" s="6">
        <f>AI1446&amp;AJ1446</f>
        <v/>
      </c>
      <c r="AI1446" s="6">
        <f>YEAR(AK1446)</f>
        <v/>
      </c>
      <c r="AJ1446" s="6">
        <f>MONTH(AK1446)</f>
        <v/>
      </c>
      <c r="AK1446" s="267">
        <f>IFERROR(__xludf.DUMMYFUNCTION("""COMPUTED_VALUE"""),44539.9986111111)</f>
        <v/>
      </c>
      <c r="AL1446" s="6">
        <f>IFERROR(__xludf.DUMMYFUNCTION("""COMPUTED_VALUE"""),47605.4)</f>
        <v/>
      </c>
      <c r="AP1446" s="6">
        <f>AQ1446&amp;AR1446</f>
        <v/>
      </c>
      <c r="AQ1446" s="6">
        <f>YEAR(AS1446)</f>
        <v/>
      </c>
      <c r="AR1446" s="6">
        <f>MONTH(AS1446)</f>
        <v/>
      </c>
      <c r="AS1446" s="267">
        <f>IFERROR(__xludf.DUMMYFUNCTION("""COMPUTED_VALUE"""),45204.9986111111)</f>
        <v/>
      </c>
      <c r="AT1446" s="6">
        <f>IFERROR(__xludf.DUMMYFUNCTION("""COMPUTED_VALUE"""),1831.8)</f>
        <v/>
      </c>
    </row>
    <row r="1447">
      <c r="B1447" s="6">
        <f>C1447&amp;D1447</f>
        <v/>
      </c>
      <c r="C1447" s="6">
        <f>YEAR(E1447)</f>
        <v/>
      </c>
      <c r="D1447" s="6">
        <f>MONTH(E1447)</f>
        <v/>
      </c>
      <c r="E1447" s="267">
        <f>IFERROR(__xludf.DUMMYFUNCTION("""COMPUTED_VALUE"""),45198.6666666666)</f>
        <v/>
      </c>
      <c r="F1447" s="6">
        <f>IFERROR(__xludf.DUMMYFUNCTION("""COMPUTED_VALUE"""),4288.05)</f>
        <v/>
      </c>
      <c r="J1447" s="6">
        <f>K1447&amp;L1447</f>
        <v/>
      </c>
      <c r="K1447" s="6">
        <f>YEAR(M1447)</f>
        <v/>
      </c>
      <c r="L1447" s="6">
        <f>MONTH(M1447)</f>
        <v/>
      </c>
      <c r="M1447" s="267">
        <f>IFERROR(__xludf.DUMMYFUNCTION("""COMPUTED_VALUE"""),45190.6666666666)</f>
        <v/>
      </c>
      <c r="N1447" s="6">
        <f>IFERROR(__xludf.DUMMYFUNCTION("""COMPUTED_VALUE"""),13223.99)</f>
        <v/>
      </c>
      <c r="R1447" s="6">
        <f>S1447&amp;T1447</f>
        <v/>
      </c>
      <c r="S1447" s="6">
        <f>YEAR(U1447)</f>
        <v/>
      </c>
      <c r="T1447" s="6">
        <f>MONTH(U1447)</f>
        <v/>
      </c>
      <c r="U1447" s="267">
        <f>IFERROR(__xludf.DUMMYFUNCTION("""COMPUTED_VALUE"""),45247.6458333333)</f>
        <v/>
      </c>
      <c r="V1447" s="6">
        <f>IFERROR(__xludf.DUMMYFUNCTION("""COMPUTED_VALUE"""),2469.85)</f>
        <v/>
      </c>
      <c r="Z1447" s="6">
        <f>AA1447&amp;AB1447</f>
        <v/>
      </c>
      <c r="AA1447" s="6">
        <f>YEAR(AC1447)</f>
        <v/>
      </c>
      <c r="AB1447" s="6">
        <f>MONTH(AC1447)</f>
        <v/>
      </c>
      <c r="AC1447" s="267">
        <f>IFERROR(__xludf.DUMMYFUNCTION("""COMPUTED_VALUE"""),44596.9986111111)</f>
        <v/>
      </c>
      <c r="AD1447" s="6">
        <f>IFERROR(__xludf.DUMMYFUNCTION("""COMPUTED_VALUE"""),1197.09)</f>
        <v/>
      </c>
      <c r="AH1447" s="6">
        <f>AI1447&amp;AJ1447</f>
        <v/>
      </c>
      <c r="AI1447" s="6">
        <f>YEAR(AK1447)</f>
        <v/>
      </c>
      <c r="AJ1447" s="6">
        <f>MONTH(AK1447)</f>
        <v/>
      </c>
      <c r="AK1447" s="267">
        <f>IFERROR(__xludf.DUMMYFUNCTION("""COMPUTED_VALUE"""),44540.9986111111)</f>
        <v/>
      </c>
      <c r="AL1447" s="6">
        <f>IFERROR(__xludf.DUMMYFUNCTION("""COMPUTED_VALUE"""),47157.46)</f>
        <v/>
      </c>
      <c r="AP1447" s="6">
        <f>AQ1447&amp;AR1447</f>
        <v/>
      </c>
      <c r="AQ1447" s="6">
        <f>YEAR(AS1447)</f>
        <v/>
      </c>
      <c r="AR1447" s="6">
        <f>MONTH(AS1447)</f>
        <v/>
      </c>
      <c r="AS1447" s="267">
        <f>IFERROR(__xludf.DUMMYFUNCTION("""COMPUTED_VALUE"""),45205.9986111111)</f>
        <v/>
      </c>
      <c r="AT1447" s="6">
        <f>IFERROR(__xludf.DUMMYFUNCTION("""COMPUTED_VALUE"""),1845.2)</f>
        <v/>
      </c>
    </row>
    <row r="1448">
      <c r="B1448" s="6">
        <f>C1448&amp;D1448</f>
        <v/>
      </c>
      <c r="C1448" s="6">
        <f>YEAR(E1448)</f>
        <v/>
      </c>
      <c r="D1448" s="6">
        <f>MONTH(E1448)</f>
        <v/>
      </c>
      <c r="E1448" s="267">
        <f>IFERROR(__xludf.DUMMYFUNCTION("""COMPUTED_VALUE"""),45201.6666666666)</f>
        <v/>
      </c>
      <c r="F1448" s="6">
        <f>IFERROR(__xludf.DUMMYFUNCTION("""COMPUTED_VALUE"""),4288.39)</f>
        <v/>
      </c>
      <c r="J1448" s="6">
        <f>K1448&amp;L1448</f>
        <v/>
      </c>
      <c r="K1448" s="6">
        <f>YEAR(M1448)</f>
        <v/>
      </c>
      <c r="L1448" s="6">
        <f>MONTH(M1448)</f>
        <v/>
      </c>
      <c r="M1448" s="267">
        <f>IFERROR(__xludf.DUMMYFUNCTION("""COMPUTED_VALUE"""),45191.6666666666)</f>
        <v/>
      </c>
      <c r="N1448" s="6">
        <f>IFERROR(__xludf.DUMMYFUNCTION("""COMPUTED_VALUE"""),13211.81)</f>
        <v/>
      </c>
      <c r="R1448" s="6">
        <f>S1448&amp;T1448</f>
        <v/>
      </c>
      <c r="S1448" s="6">
        <f>YEAR(U1448)</f>
        <v/>
      </c>
      <c r="T1448" s="6">
        <f>MONTH(U1448)</f>
        <v/>
      </c>
      <c r="U1448" s="267">
        <f>IFERROR(__xludf.DUMMYFUNCTION("""COMPUTED_VALUE"""),45250.6458333333)</f>
        <v/>
      </c>
      <c r="V1448" s="6">
        <f>IFERROR(__xludf.DUMMYFUNCTION("""COMPUTED_VALUE"""),2491.2)</f>
        <v/>
      </c>
      <c r="Z1448" s="6">
        <f>AA1448&amp;AB1448</f>
        <v/>
      </c>
      <c r="AA1448" s="6">
        <f>YEAR(AC1448)</f>
        <v/>
      </c>
      <c r="AB1448" s="6">
        <f>MONTH(AC1448)</f>
        <v/>
      </c>
      <c r="AC1448" s="267">
        <f>IFERROR(__xludf.DUMMYFUNCTION("""COMPUTED_VALUE"""),44597.9986111111)</f>
        <v/>
      </c>
      <c r="AD1448" s="6">
        <f>IFERROR(__xludf.DUMMYFUNCTION("""COMPUTED_VALUE"""),1197.09)</f>
        <v/>
      </c>
      <c r="AH1448" s="6">
        <f>AI1448&amp;AJ1448</f>
        <v/>
      </c>
      <c r="AI1448" s="6">
        <f>YEAR(AK1448)</f>
        <v/>
      </c>
      <c r="AJ1448" s="6">
        <f>MONTH(AK1448)</f>
        <v/>
      </c>
      <c r="AK1448" s="267">
        <f>IFERROR(__xludf.DUMMYFUNCTION("""COMPUTED_VALUE"""),44541.9986111111)</f>
        <v/>
      </c>
      <c r="AL1448" s="6">
        <f>IFERROR(__xludf.DUMMYFUNCTION("""COMPUTED_VALUE"""),49340.38)</f>
        <v/>
      </c>
      <c r="AP1448" s="6">
        <f>AQ1448&amp;AR1448</f>
        <v/>
      </c>
      <c r="AQ1448" s="6">
        <f>YEAR(AS1448)</f>
        <v/>
      </c>
      <c r="AR1448" s="6">
        <f>MONTH(AS1448)</f>
        <v/>
      </c>
      <c r="AS1448" s="267">
        <f>IFERROR(__xludf.DUMMYFUNCTION("""COMPUTED_VALUE"""),45208.9986111111)</f>
        <v/>
      </c>
      <c r="AT1448" s="6">
        <f>IFERROR(__xludf.DUMMYFUNCTION("""COMPUTED_VALUE"""),1864.3)</f>
        <v/>
      </c>
    </row>
    <row r="1449">
      <c r="B1449" s="6">
        <f>C1449&amp;D1449</f>
        <v/>
      </c>
      <c r="C1449" s="6">
        <f>YEAR(E1449)</f>
        <v/>
      </c>
      <c r="D1449" s="6">
        <f>MONTH(E1449)</f>
        <v/>
      </c>
      <c r="E1449" s="267">
        <f>IFERROR(__xludf.DUMMYFUNCTION("""COMPUTED_VALUE"""),45202.6666666666)</f>
        <v/>
      </c>
      <c r="F1449" s="6">
        <f>IFERROR(__xludf.DUMMYFUNCTION("""COMPUTED_VALUE"""),4229.45)</f>
        <v/>
      </c>
      <c r="J1449" s="6">
        <f>K1449&amp;L1449</f>
        <v/>
      </c>
      <c r="K1449" s="6">
        <f>YEAR(M1449)</f>
        <v/>
      </c>
      <c r="L1449" s="6">
        <f>MONTH(M1449)</f>
        <v/>
      </c>
      <c r="M1449" s="267">
        <f>IFERROR(__xludf.DUMMYFUNCTION("""COMPUTED_VALUE"""),45194.6666666666)</f>
        <v/>
      </c>
      <c r="N1449" s="6">
        <f>IFERROR(__xludf.DUMMYFUNCTION("""COMPUTED_VALUE"""),13271.32)</f>
        <v/>
      </c>
      <c r="R1449" s="6">
        <f>S1449&amp;T1449</f>
        <v/>
      </c>
      <c r="S1449" s="6">
        <f>YEAR(U1449)</f>
        <v/>
      </c>
      <c r="T1449" s="6">
        <f>MONTH(U1449)</f>
        <v/>
      </c>
      <c r="U1449" s="267">
        <f>IFERROR(__xludf.DUMMYFUNCTION("""COMPUTED_VALUE"""),45251.6458333333)</f>
        <v/>
      </c>
      <c r="V1449" s="6">
        <f>IFERROR(__xludf.DUMMYFUNCTION("""COMPUTED_VALUE"""),2510.42)</f>
        <v/>
      </c>
      <c r="Z1449" s="6">
        <f>AA1449&amp;AB1449</f>
        <v/>
      </c>
      <c r="AA1449" s="6">
        <f>YEAR(AC1449)</f>
        <v/>
      </c>
      <c r="AB1449" s="6">
        <f>MONTH(AC1449)</f>
        <v/>
      </c>
      <c r="AC1449" s="267">
        <f>IFERROR(__xludf.DUMMYFUNCTION("""COMPUTED_VALUE"""),44598.9986111111)</f>
        <v/>
      </c>
      <c r="AD1449" s="6">
        <f>IFERROR(__xludf.DUMMYFUNCTION("""COMPUTED_VALUE"""),1197.09)</f>
        <v/>
      </c>
      <c r="AH1449" s="6">
        <f>AI1449&amp;AJ1449</f>
        <v/>
      </c>
      <c r="AI1449" s="6">
        <f>YEAR(AK1449)</f>
        <v/>
      </c>
      <c r="AJ1449" s="6">
        <f>MONTH(AK1449)</f>
        <v/>
      </c>
      <c r="AK1449" s="267">
        <f>IFERROR(__xludf.DUMMYFUNCTION("""COMPUTED_VALUE"""),44542.9986111111)</f>
        <v/>
      </c>
      <c r="AL1449" s="6">
        <f>IFERROR(__xludf.DUMMYFUNCTION("""COMPUTED_VALUE"""),50096.77)</f>
        <v/>
      </c>
      <c r="AP1449" s="6">
        <f>AQ1449&amp;AR1449</f>
        <v/>
      </c>
      <c r="AQ1449" s="6">
        <f>YEAR(AS1449)</f>
        <v/>
      </c>
      <c r="AR1449" s="6">
        <f>MONTH(AS1449)</f>
        <v/>
      </c>
      <c r="AS1449" s="267">
        <f>IFERROR(__xludf.DUMMYFUNCTION("""COMPUTED_VALUE"""),45209.9986111111)</f>
        <v/>
      </c>
      <c r="AT1449" s="6">
        <f>IFERROR(__xludf.DUMMYFUNCTION("""COMPUTED_VALUE"""),1875.3)</f>
        <v/>
      </c>
    </row>
    <row r="1450">
      <c r="B1450" s="6">
        <f>C1450&amp;D1450</f>
        <v/>
      </c>
      <c r="C1450" s="6">
        <f>YEAR(E1450)</f>
        <v/>
      </c>
      <c r="D1450" s="6">
        <f>MONTH(E1450)</f>
        <v/>
      </c>
      <c r="E1450" s="267">
        <f>IFERROR(__xludf.DUMMYFUNCTION("""COMPUTED_VALUE"""),45203.6666666666)</f>
        <v/>
      </c>
      <c r="F1450" s="6">
        <f>IFERROR(__xludf.DUMMYFUNCTION("""COMPUTED_VALUE"""),4263.75)</f>
        <v/>
      </c>
      <c r="J1450" s="6">
        <f>K1450&amp;L1450</f>
        <v/>
      </c>
      <c r="K1450" s="6">
        <f>YEAR(M1450)</f>
        <v/>
      </c>
      <c r="L1450" s="6">
        <f>MONTH(M1450)</f>
        <v/>
      </c>
      <c r="M1450" s="267">
        <f>IFERROR(__xludf.DUMMYFUNCTION("""COMPUTED_VALUE"""),45195.6666666666)</f>
        <v/>
      </c>
      <c r="N1450" s="6">
        <f>IFERROR(__xludf.DUMMYFUNCTION("""COMPUTED_VALUE"""),13063.61)</f>
        <v/>
      </c>
      <c r="R1450" s="6">
        <f>S1450&amp;T1450</f>
        <v/>
      </c>
      <c r="S1450" s="6">
        <f>YEAR(U1450)</f>
        <v/>
      </c>
      <c r="T1450" s="6">
        <f>MONTH(U1450)</f>
        <v/>
      </c>
      <c r="U1450" s="267">
        <f>IFERROR(__xludf.DUMMYFUNCTION("""COMPUTED_VALUE"""),45252.6458333333)</f>
        <v/>
      </c>
      <c r="V1450" s="6">
        <f>IFERROR(__xludf.DUMMYFUNCTION("""COMPUTED_VALUE"""),2511.7)</f>
        <v/>
      </c>
      <c r="Z1450" s="6">
        <f>AA1450&amp;AB1450</f>
        <v/>
      </c>
      <c r="AA1450" s="6">
        <f>YEAR(AC1450)</f>
        <v/>
      </c>
      <c r="AB1450" s="6">
        <f>MONTH(AC1450)</f>
        <v/>
      </c>
      <c r="AC1450" s="267">
        <f>IFERROR(__xludf.DUMMYFUNCTION("""COMPUTED_VALUE"""),44599.9986111111)</f>
        <v/>
      </c>
      <c r="AD1450" s="6">
        <f>IFERROR(__xludf.DUMMYFUNCTION("""COMPUTED_VALUE"""),1196.85)</f>
        <v/>
      </c>
      <c r="AH1450" s="6">
        <f>AI1450&amp;AJ1450</f>
        <v/>
      </c>
      <c r="AI1450" s="6">
        <f>YEAR(AK1450)</f>
        <v/>
      </c>
      <c r="AJ1450" s="6">
        <f>MONTH(AK1450)</f>
        <v/>
      </c>
      <c r="AK1450" s="267">
        <f>IFERROR(__xludf.DUMMYFUNCTION("""COMPUTED_VALUE"""),44543.9986111111)</f>
        <v/>
      </c>
      <c r="AL1450" s="6">
        <f>IFERROR(__xludf.DUMMYFUNCTION("""COMPUTED_VALUE"""),46725.26)</f>
        <v/>
      </c>
      <c r="AP1450" s="6">
        <f>AQ1450&amp;AR1450</f>
        <v/>
      </c>
      <c r="AQ1450" s="6">
        <f>YEAR(AS1450)</f>
        <v/>
      </c>
      <c r="AR1450" s="6">
        <f>MONTH(AS1450)</f>
        <v/>
      </c>
      <c r="AS1450" s="267">
        <f>IFERROR(__xludf.DUMMYFUNCTION("""COMPUTED_VALUE"""),45210.9986111111)</f>
        <v/>
      </c>
      <c r="AT1450" s="6">
        <f>IFERROR(__xludf.DUMMYFUNCTION("""COMPUTED_VALUE"""),1887.3)</f>
        <v/>
      </c>
    </row>
    <row r="1451">
      <c r="B1451" s="6">
        <f>C1451&amp;D1451</f>
        <v/>
      </c>
      <c r="C1451" s="6">
        <f>YEAR(E1451)</f>
        <v/>
      </c>
      <c r="D1451" s="6">
        <f>MONTH(E1451)</f>
        <v/>
      </c>
      <c r="E1451" s="267">
        <f>IFERROR(__xludf.DUMMYFUNCTION("""COMPUTED_VALUE"""),45204.6666666666)</f>
        <v/>
      </c>
      <c r="F1451" s="6">
        <f>IFERROR(__xludf.DUMMYFUNCTION("""COMPUTED_VALUE"""),4258.19)</f>
        <v/>
      </c>
      <c r="J1451" s="6">
        <f>K1451&amp;L1451</f>
        <v/>
      </c>
      <c r="K1451" s="6">
        <f>YEAR(M1451)</f>
        <v/>
      </c>
      <c r="L1451" s="6">
        <f>MONTH(M1451)</f>
        <v/>
      </c>
      <c r="M1451" s="267">
        <f>IFERROR(__xludf.DUMMYFUNCTION("""COMPUTED_VALUE"""),45196.6666666666)</f>
        <v/>
      </c>
      <c r="N1451" s="6">
        <f>IFERROR(__xludf.DUMMYFUNCTION("""COMPUTED_VALUE"""),13092.85)</f>
        <v/>
      </c>
      <c r="R1451" s="6">
        <f>S1451&amp;T1451</f>
        <v/>
      </c>
      <c r="S1451" s="6">
        <f>YEAR(U1451)</f>
        <v/>
      </c>
      <c r="T1451" s="6">
        <f>MONTH(U1451)</f>
        <v/>
      </c>
      <c r="U1451" s="267">
        <f>IFERROR(__xludf.DUMMYFUNCTION("""COMPUTED_VALUE"""),45253.6458333333)</f>
        <v/>
      </c>
      <c r="V1451" s="6">
        <f>IFERROR(__xludf.DUMMYFUNCTION("""COMPUTED_VALUE"""),2514.96)</f>
        <v/>
      </c>
      <c r="Z1451" s="6">
        <f>AA1451&amp;AB1451</f>
        <v/>
      </c>
      <c r="AA1451" s="6">
        <f>YEAR(AC1451)</f>
        <v/>
      </c>
      <c r="AB1451" s="6">
        <f>MONTH(AC1451)</f>
        <v/>
      </c>
      <c r="AC1451" s="267">
        <f>IFERROR(__xludf.DUMMYFUNCTION("""COMPUTED_VALUE"""),44600.9986111111)</f>
        <v/>
      </c>
      <c r="AD1451" s="6">
        <f>IFERROR(__xludf.DUMMYFUNCTION("""COMPUTED_VALUE"""),1196.36)</f>
        <v/>
      </c>
      <c r="AH1451" s="6">
        <f>AI1451&amp;AJ1451</f>
        <v/>
      </c>
      <c r="AI1451" s="6">
        <f>YEAR(AK1451)</f>
        <v/>
      </c>
      <c r="AJ1451" s="6">
        <f>MONTH(AK1451)</f>
        <v/>
      </c>
      <c r="AK1451" s="267">
        <f>IFERROR(__xludf.DUMMYFUNCTION("""COMPUTED_VALUE"""),44544.9986111111)</f>
        <v/>
      </c>
      <c r="AL1451" s="6">
        <f>IFERROR(__xludf.DUMMYFUNCTION("""COMPUTED_VALUE"""),48387.72)</f>
        <v/>
      </c>
      <c r="AP1451" s="6">
        <f>AQ1451&amp;AR1451</f>
        <v/>
      </c>
      <c r="AQ1451" s="6">
        <f>YEAR(AS1451)</f>
        <v/>
      </c>
      <c r="AR1451" s="6">
        <f>MONTH(AS1451)</f>
        <v/>
      </c>
      <c r="AS1451" s="267">
        <f>IFERROR(__xludf.DUMMYFUNCTION("""COMPUTED_VALUE"""),45211.9986111111)</f>
        <v/>
      </c>
      <c r="AT1451" s="6">
        <f>IFERROR(__xludf.DUMMYFUNCTION("""COMPUTED_VALUE"""),1883)</f>
        <v/>
      </c>
    </row>
    <row r="1452">
      <c r="B1452" s="6">
        <f>C1452&amp;D1452</f>
        <v/>
      </c>
      <c r="C1452" s="6">
        <f>YEAR(E1452)</f>
        <v/>
      </c>
      <c r="D1452" s="6">
        <f>MONTH(E1452)</f>
        <v/>
      </c>
      <c r="E1452" s="267">
        <f>IFERROR(__xludf.DUMMYFUNCTION("""COMPUTED_VALUE"""),45205.6666666666)</f>
        <v/>
      </c>
      <c r="F1452" s="6">
        <f>IFERROR(__xludf.DUMMYFUNCTION("""COMPUTED_VALUE"""),4308.5)</f>
        <v/>
      </c>
      <c r="J1452" s="6">
        <f>K1452&amp;L1452</f>
        <v/>
      </c>
      <c r="K1452" s="6">
        <f>YEAR(M1452)</f>
        <v/>
      </c>
      <c r="L1452" s="6">
        <f>MONTH(M1452)</f>
        <v/>
      </c>
      <c r="M1452" s="267">
        <f>IFERROR(__xludf.DUMMYFUNCTION("""COMPUTED_VALUE"""),45197.6666666666)</f>
        <v/>
      </c>
      <c r="N1452" s="6">
        <f>IFERROR(__xludf.DUMMYFUNCTION("""COMPUTED_VALUE"""),13201.28)</f>
        <v/>
      </c>
      <c r="R1452" s="6">
        <f>S1452&amp;T1452</f>
        <v/>
      </c>
      <c r="S1452" s="6">
        <f>YEAR(U1452)</f>
        <v/>
      </c>
      <c r="T1452" s="6">
        <f>MONTH(U1452)</f>
        <v/>
      </c>
      <c r="U1452" s="267">
        <f>IFERROR(__xludf.DUMMYFUNCTION("""COMPUTED_VALUE"""),45254.6458333333)</f>
        <v/>
      </c>
      <c r="V1452" s="6">
        <f>IFERROR(__xludf.DUMMYFUNCTION("""COMPUTED_VALUE"""),2496.63)</f>
        <v/>
      </c>
      <c r="Z1452" s="6">
        <f>AA1452&amp;AB1452</f>
        <v/>
      </c>
      <c r="AA1452" s="6">
        <f>YEAR(AC1452)</f>
        <v/>
      </c>
      <c r="AB1452" s="6">
        <f>MONTH(AC1452)</f>
        <v/>
      </c>
      <c r="AC1452" s="267">
        <f>IFERROR(__xludf.DUMMYFUNCTION("""COMPUTED_VALUE"""),44601.9986111111)</f>
        <v/>
      </c>
      <c r="AD1452" s="6">
        <f>IFERROR(__xludf.DUMMYFUNCTION("""COMPUTED_VALUE"""),1194.03)</f>
        <v/>
      </c>
      <c r="AH1452" s="6">
        <f>AI1452&amp;AJ1452</f>
        <v/>
      </c>
      <c r="AI1452" s="6">
        <f>YEAR(AK1452)</f>
        <v/>
      </c>
      <c r="AJ1452" s="6">
        <f>MONTH(AK1452)</f>
        <v/>
      </c>
      <c r="AK1452" s="267">
        <f>IFERROR(__xludf.DUMMYFUNCTION("""COMPUTED_VALUE"""),44545.9986111111)</f>
        <v/>
      </c>
      <c r="AL1452" s="6">
        <f>IFERROR(__xludf.DUMMYFUNCTION("""COMPUTED_VALUE"""),48874.04)</f>
        <v/>
      </c>
      <c r="AP1452" s="6">
        <f>AQ1452&amp;AR1452</f>
        <v/>
      </c>
      <c r="AQ1452" s="6">
        <f>YEAR(AS1452)</f>
        <v/>
      </c>
      <c r="AR1452" s="6">
        <f>MONTH(AS1452)</f>
        <v/>
      </c>
      <c r="AS1452" s="267">
        <f>IFERROR(__xludf.DUMMYFUNCTION("""COMPUTED_VALUE"""),45212.9986111111)</f>
        <v/>
      </c>
      <c r="AT1452" s="6">
        <f>IFERROR(__xludf.DUMMYFUNCTION("""COMPUTED_VALUE"""),1941.5)</f>
        <v/>
      </c>
    </row>
    <row r="1453">
      <c r="B1453" s="6">
        <f>C1453&amp;D1453</f>
        <v/>
      </c>
      <c r="C1453" s="6">
        <f>YEAR(E1453)</f>
        <v/>
      </c>
      <c r="D1453" s="6">
        <f>MONTH(E1453)</f>
        <v/>
      </c>
      <c r="E1453" s="267">
        <f>IFERROR(__xludf.DUMMYFUNCTION("""COMPUTED_VALUE"""),45208.6666666666)</f>
        <v/>
      </c>
      <c r="F1453" s="6">
        <f>IFERROR(__xludf.DUMMYFUNCTION("""COMPUTED_VALUE"""),4335.66)</f>
        <v/>
      </c>
      <c r="J1453" s="6">
        <f>K1453&amp;L1453</f>
        <v/>
      </c>
      <c r="K1453" s="6">
        <f>YEAR(M1453)</f>
        <v/>
      </c>
      <c r="L1453" s="6">
        <f>MONTH(M1453)</f>
        <v/>
      </c>
      <c r="M1453" s="267">
        <f>IFERROR(__xludf.DUMMYFUNCTION("""COMPUTED_VALUE"""),45198.6666666666)</f>
        <v/>
      </c>
      <c r="N1453" s="6">
        <f>IFERROR(__xludf.DUMMYFUNCTION("""COMPUTED_VALUE"""),13219.32)</f>
        <v/>
      </c>
      <c r="R1453" s="6">
        <f>S1453&amp;T1453</f>
        <v/>
      </c>
      <c r="S1453" s="6">
        <f>YEAR(U1453)</f>
        <v/>
      </c>
      <c r="T1453" s="6">
        <f>MONTH(U1453)</f>
        <v/>
      </c>
      <c r="U1453" s="267">
        <f>IFERROR(__xludf.DUMMYFUNCTION("""COMPUTED_VALUE"""),45257.6458333333)</f>
        <v/>
      </c>
      <c r="V1453" s="6">
        <f>IFERROR(__xludf.DUMMYFUNCTION("""COMPUTED_VALUE"""),2495.66)</f>
        <v/>
      </c>
      <c r="Z1453" s="6">
        <f>AA1453&amp;AB1453</f>
        <v/>
      </c>
      <c r="AA1453" s="6">
        <f>YEAR(AC1453)</f>
        <v/>
      </c>
      <c r="AB1453" s="6">
        <f>MONTH(AC1453)</f>
        <v/>
      </c>
      <c r="AC1453" s="267">
        <f>IFERROR(__xludf.DUMMYFUNCTION("""COMPUTED_VALUE"""),44602.9986111111)</f>
        <v/>
      </c>
      <c r="AD1453" s="6">
        <f>IFERROR(__xludf.DUMMYFUNCTION("""COMPUTED_VALUE"""),1199.35)</f>
        <v/>
      </c>
      <c r="AH1453" s="6">
        <f>AI1453&amp;AJ1453</f>
        <v/>
      </c>
      <c r="AI1453" s="6">
        <f>YEAR(AK1453)</f>
        <v/>
      </c>
      <c r="AJ1453" s="6">
        <f>MONTH(AK1453)</f>
        <v/>
      </c>
      <c r="AK1453" s="267">
        <f>IFERROR(__xludf.DUMMYFUNCTION("""COMPUTED_VALUE"""),44546.9986111111)</f>
        <v/>
      </c>
      <c r="AL1453" s="6">
        <f>IFERROR(__xludf.DUMMYFUNCTION("""COMPUTED_VALUE"""),47619.86)</f>
        <v/>
      </c>
      <c r="AP1453" s="6">
        <f>AQ1453&amp;AR1453</f>
        <v/>
      </c>
      <c r="AQ1453" s="6">
        <f>YEAR(AS1453)</f>
        <v/>
      </c>
      <c r="AR1453" s="6">
        <f>MONTH(AS1453)</f>
        <v/>
      </c>
      <c r="AS1453" s="267">
        <f>IFERROR(__xludf.DUMMYFUNCTION("""COMPUTED_VALUE"""),45215.9986111111)</f>
        <v/>
      </c>
      <c r="AT1453" s="6">
        <f>IFERROR(__xludf.DUMMYFUNCTION("""COMPUTED_VALUE"""),1934.3)</f>
        <v/>
      </c>
    </row>
    <row r="1454">
      <c r="B1454" s="6">
        <f>C1454&amp;D1454</f>
        <v/>
      </c>
      <c r="C1454" s="6">
        <f>YEAR(E1454)</f>
        <v/>
      </c>
      <c r="D1454" s="6">
        <f>MONTH(E1454)</f>
        <v/>
      </c>
      <c r="E1454" s="267">
        <f>IFERROR(__xludf.DUMMYFUNCTION("""COMPUTED_VALUE"""),45209.6666666666)</f>
        <v/>
      </c>
      <c r="F1454" s="6">
        <f>IFERROR(__xludf.DUMMYFUNCTION("""COMPUTED_VALUE"""),4358.24)</f>
        <v/>
      </c>
      <c r="J1454" s="6">
        <f>K1454&amp;L1454</f>
        <v/>
      </c>
      <c r="K1454" s="6">
        <f>YEAR(M1454)</f>
        <v/>
      </c>
      <c r="L1454" s="6">
        <f>MONTH(M1454)</f>
        <v/>
      </c>
      <c r="M1454" s="267">
        <f>IFERROR(__xludf.DUMMYFUNCTION("""COMPUTED_VALUE"""),45201.6666666666)</f>
        <v/>
      </c>
      <c r="N1454" s="6">
        <f>IFERROR(__xludf.DUMMYFUNCTION("""COMPUTED_VALUE"""),13307.77)</f>
        <v/>
      </c>
      <c r="R1454" s="6">
        <f>S1454&amp;T1454</f>
        <v/>
      </c>
      <c r="S1454" s="6">
        <f>YEAR(U1454)</f>
        <v/>
      </c>
      <c r="T1454" s="6">
        <f>MONTH(U1454)</f>
        <v/>
      </c>
      <c r="U1454" s="267">
        <f>IFERROR(__xludf.DUMMYFUNCTION("""COMPUTED_VALUE"""),45258.6458333333)</f>
        <v/>
      </c>
      <c r="V1454" s="6">
        <f>IFERROR(__xludf.DUMMYFUNCTION("""COMPUTED_VALUE"""),2521.76)</f>
        <v/>
      </c>
      <c r="Z1454" s="6">
        <f>AA1454&amp;AB1454</f>
        <v/>
      </c>
      <c r="AA1454" s="6">
        <f>YEAR(AC1454)</f>
        <v/>
      </c>
      <c r="AB1454" s="6">
        <f>MONTH(AC1454)</f>
        <v/>
      </c>
      <c r="AC1454" s="267">
        <f>IFERROR(__xludf.DUMMYFUNCTION("""COMPUTED_VALUE"""),44603.9986111111)</f>
        <v/>
      </c>
      <c r="AD1454" s="6">
        <f>IFERROR(__xludf.DUMMYFUNCTION("""COMPUTED_VALUE"""),1199.64)</f>
        <v/>
      </c>
      <c r="AH1454" s="6">
        <f>AI1454&amp;AJ1454</f>
        <v/>
      </c>
      <c r="AI1454" s="6">
        <f>YEAR(AK1454)</f>
        <v/>
      </c>
      <c r="AJ1454" s="6">
        <f>MONTH(AK1454)</f>
        <v/>
      </c>
      <c r="AK1454" s="267">
        <f>IFERROR(__xludf.DUMMYFUNCTION("""COMPUTED_VALUE"""),44547.9986111111)</f>
        <v/>
      </c>
      <c r="AL1454" s="6">
        <f>IFERROR(__xludf.DUMMYFUNCTION("""COMPUTED_VALUE"""),46180)</f>
        <v/>
      </c>
      <c r="AP1454" s="6">
        <f>AQ1454&amp;AR1454</f>
        <v/>
      </c>
      <c r="AQ1454" s="6">
        <f>YEAR(AS1454)</f>
        <v/>
      </c>
      <c r="AR1454" s="6">
        <f>MONTH(AS1454)</f>
        <v/>
      </c>
      <c r="AS1454" s="267">
        <f>IFERROR(__xludf.DUMMYFUNCTION("""COMPUTED_VALUE"""),45216.9986111111)</f>
        <v/>
      </c>
      <c r="AT1454" s="6">
        <f>IFERROR(__xludf.DUMMYFUNCTION("""COMPUTED_VALUE"""),1935.7)</f>
        <v/>
      </c>
    </row>
    <row r="1455">
      <c r="B1455" s="6">
        <f>C1455&amp;D1455</f>
        <v/>
      </c>
      <c r="C1455" s="6">
        <f>YEAR(E1455)</f>
        <v/>
      </c>
      <c r="D1455" s="6">
        <f>MONTH(E1455)</f>
        <v/>
      </c>
      <c r="E1455" s="267">
        <f>IFERROR(__xludf.DUMMYFUNCTION("""COMPUTED_VALUE"""),45210.6666666666)</f>
        <v/>
      </c>
      <c r="F1455" s="6">
        <f>IFERROR(__xludf.DUMMYFUNCTION("""COMPUTED_VALUE"""),4376.95)</f>
        <v/>
      </c>
      <c r="J1455" s="6">
        <f>K1455&amp;L1455</f>
        <v/>
      </c>
      <c r="K1455" s="6">
        <f>YEAR(M1455)</f>
        <v/>
      </c>
      <c r="L1455" s="6">
        <f>MONTH(M1455)</f>
        <v/>
      </c>
      <c r="M1455" s="267">
        <f>IFERROR(__xludf.DUMMYFUNCTION("""COMPUTED_VALUE"""),45202.6666666666)</f>
        <v/>
      </c>
      <c r="N1455" s="6">
        <f>IFERROR(__xludf.DUMMYFUNCTION("""COMPUTED_VALUE"""),13059.47)</f>
        <v/>
      </c>
      <c r="R1455" s="6">
        <f>S1455&amp;T1455</f>
        <v/>
      </c>
      <c r="S1455" s="6">
        <f>YEAR(U1455)</f>
        <v/>
      </c>
      <c r="T1455" s="6">
        <f>MONTH(U1455)</f>
        <v/>
      </c>
      <c r="U1455" s="267">
        <f>IFERROR(__xludf.DUMMYFUNCTION("""COMPUTED_VALUE"""),45259.6458333333)</f>
        <v/>
      </c>
      <c r="V1455" s="6">
        <f>IFERROR(__xludf.DUMMYFUNCTION("""COMPUTED_VALUE"""),2519.81)</f>
        <v/>
      </c>
      <c r="Z1455" s="6">
        <f>AA1455&amp;AB1455</f>
        <v/>
      </c>
      <c r="AA1455" s="6">
        <f>YEAR(AC1455)</f>
        <v/>
      </c>
      <c r="AB1455" s="6">
        <f>MONTH(AC1455)</f>
        <v/>
      </c>
      <c r="AC1455" s="267">
        <f>IFERROR(__xludf.DUMMYFUNCTION("""COMPUTED_VALUE"""),44604.9986111111)</f>
        <v/>
      </c>
      <c r="AD1455" s="6">
        <f>IFERROR(__xludf.DUMMYFUNCTION("""COMPUTED_VALUE"""),1199.24)</f>
        <v/>
      </c>
      <c r="AH1455" s="6">
        <f>AI1455&amp;AJ1455</f>
        <v/>
      </c>
      <c r="AI1455" s="6">
        <f>YEAR(AK1455)</f>
        <v/>
      </c>
      <c r="AJ1455" s="6">
        <f>MONTH(AK1455)</f>
        <v/>
      </c>
      <c r="AK1455" s="267">
        <f>IFERROR(__xludf.DUMMYFUNCTION("""COMPUTED_VALUE"""),44548.9986111111)</f>
        <v/>
      </c>
      <c r="AL1455" s="6">
        <f>IFERROR(__xludf.DUMMYFUNCTION("""COMPUTED_VALUE"""),46862.54)</f>
        <v/>
      </c>
      <c r="AP1455" s="6">
        <f>AQ1455&amp;AR1455</f>
        <v/>
      </c>
      <c r="AQ1455" s="6">
        <f>YEAR(AS1455)</f>
        <v/>
      </c>
      <c r="AR1455" s="6">
        <f>MONTH(AS1455)</f>
        <v/>
      </c>
      <c r="AS1455" s="267">
        <f>IFERROR(__xludf.DUMMYFUNCTION("""COMPUTED_VALUE"""),45217.9986111111)</f>
        <v/>
      </c>
      <c r="AT1455" s="6">
        <f>IFERROR(__xludf.DUMMYFUNCTION("""COMPUTED_VALUE"""),1968.3)</f>
        <v/>
      </c>
    </row>
    <row r="1456">
      <c r="B1456" s="6">
        <f>C1456&amp;D1456</f>
        <v/>
      </c>
      <c r="C1456" s="6">
        <f>YEAR(E1456)</f>
        <v/>
      </c>
      <c r="D1456" s="6">
        <f>MONTH(E1456)</f>
        <v/>
      </c>
      <c r="E1456" s="267">
        <f>IFERROR(__xludf.DUMMYFUNCTION("""COMPUTED_VALUE"""),45211.6666666666)</f>
        <v/>
      </c>
      <c r="F1456" s="6">
        <f>IFERROR(__xludf.DUMMYFUNCTION("""COMPUTED_VALUE"""),4349.61)</f>
        <v/>
      </c>
      <c r="J1456" s="6">
        <f>K1456&amp;L1456</f>
        <v/>
      </c>
      <c r="K1456" s="6">
        <f>YEAR(M1456)</f>
        <v/>
      </c>
      <c r="L1456" s="6">
        <f>MONTH(M1456)</f>
        <v/>
      </c>
      <c r="M1456" s="267">
        <f>IFERROR(__xludf.DUMMYFUNCTION("""COMPUTED_VALUE"""),45203.6666666666)</f>
        <v/>
      </c>
      <c r="N1456" s="6">
        <f>IFERROR(__xludf.DUMMYFUNCTION("""COMPUTED_VALUE"""),13236.01)</f>
        <v/>
      </c>
      <c r="R1456" s="6">
        <f>S1456&amp;T1456</f>
        <v/>
      </c>
      <c r="S1456" s="6">
        <f>YEAR(U1456)</f>
        <v/>
      </c>
      <c r="T1456" s="6">
        <f>MONTH(U1456)</f>
        <v/>
      </c>
      <c r="U1456" s="267">
        <f>IFERROR(__xludf.DUMMYFUNCTION("""COMPUTED_VALUE"""),45260.6458333333)</f>
        <v/>
      </c>
      <c r="V1456" s="6">
        <f>IFERROR(__xludf.DUMMYFUNCTION("""COMPUTED_VALUE"""),2535.29)</f>
        <v/>
      </c>
      <c r="Z1456" s="6">
        <f>AA1456&amp;AB1456</f>
        <v/>
      </c>
      <c r="AA1456" s="6">
        <f>YEAR(AC1456)</f>
        <v/>
      </c>
      <c r="AB1456" s="6">
        <f>MONTH(AC1456)</f>
        <v/>
      </c>
      <c r="AC1456" s="267">
        <f>IFERROR(__xludf.DUMMYFUNCTION("""COMPUTED_VALUE"""),44605.9986111111)</f>
        <v/>
      </c>
      <c r="AD1456" s="6">
        <f>IFERROR(__xludf.DUMMYFUNCTION("""COMPUTED_VALUE"""),1199.24)</f>
        <v/>
      </c>
      <c r="AH1456" s="6">
        <f>AI1456&amp;AJ1456</f>
        <v/>
      </c>
      <c r="AI1456" s="6">
        <f>YEAR(AK1456)</f>
        <v/>
      </c>
      <c r="AJ1456" s="6">
        <f>MONTH(AK1456)</f>
        <v/>
      </c>
      <c r="AK1456" s="267">
        <f>IFERROR(__xludf.DUMMYFUNCTION("""COMPUTED_VALUE"""),44549.9986111111)</f>
        <v/>
      </c>
      <c r="AL1456" s="6">
        <f>IFERROR(__xludf.DUMMYFUNCTION("""COMPUTED_VALUE"""),46697.18)</f>
        <v/>
      </c>
      <c r="AP1456" s="6">
        <f>AQ1456&amp;AR1456</f>
        <v/>
      </c>
      <c r="AQ1456" s="6">
        <f>YEAR(AS1456)</f>
        <v/>
      </c>
      <c r="AR1456" s="6">
        <f>MONTH(AS1456)</f>
        <v/>
      </c>
      <c r="AS1456" s="267">
        <f>IFERROR(__xludf.DUMMYFUNCTION("""COMPUTED_VALUE"""),45218.9986111111)</f>
        <v/>
      </c>
      <c r="AT1456" s="6">
        <f>IFERROR(__xludf.DUMMYFUNCTION("""COMPUTED_VALUE"""),1980.5)</f>
        <v/>
      </c>
    </row>
    <row r="1457">
      <c r="B1457" s="6">
        <f>C1457&amp;D1457</f>
        <v/>
      </c>
      <c r="C1457" s="6">
        <f>YEAR(E1457)</f>
        <v/>
      </c>
      <c r="D1457" s="6">
        <f>MONTH(E1457)</f>
        <v/>
      </c>
      <c r="E1457" s="267">
        <f>IFERROR(__xludf.DUMMYFUNCTION("""COMPUTED_VALUE"""),45212.6666666666)</f>
        <v/>
      </c>
      <c r="F1457" s="6">
        <f>IFERROR(__xludf.DUMMYFUNCTION("""COMPUTED_VALUE"""),4327.78)</f>
        <v/>
      </c>
      <c r="J1457" s="6">
        <f>K1457&amp;L1457</f>
        <v/>
      </c>
      <c r="K1457" s="6">
        <f>YEAR(M1457)</f>
        <v/>
      </c>
      <c r="L1457" s="6">
        <f>MONTH(M1457)</f>
        <v/>
      </c>
      <c r="M1457" s="267">
        <f>IFERROR(__xludf.DUMMYFUNCTION("""COMPUTED_VALUE"""),45204.6666666666)</f>
        <v/>
      </c>
      <c r="N1457" s="6">
        <f>IFERROR(__xludf.DUMMYFUNCTION("""COMPUTED_VALUE"""),13219.83)</f>
        <v/>
      </c>
      <c r="R1457" s="6">
        <f>S1457&amp;T1457</f>
        <v/>
      </c>
      <c r="S1457" s="6">
        <f>YEAR(U1457)</f>
        <v/>
      </c>
      <c r="T1457" s="6">
        <f>MONTH(U1457)</f>
        <v/>
      </c>
      <c r="U1457" s="267">
        <f>IFERROR(__xludf.DUMMYFUNCTION("""COMPUTED_VALUE"""),45261.6458333333)</f>
        <v/>
      </c>
      <c r="V1457" s="6">
        <f>IFERROR(__xludf.DUMMYFUNCTION("""COMPUTED_VALUE"""),2505.01)</f>
        <v/>
      </c>
      <c r="Z1457" s="6">
        <f>AA1457&amp;AB1457</f>
        <v/>
      </c>
      <c r="AA1457" s="6">
        <f>YEAR(AC1457)</f>
        <v/>
      </c>
      <c r="AB1457" s="6">
        <f>MONTH(AC1457)</f>
        <v/>
      </c>
      <c r="AC1457" s="267">
        <f>IFERROR(__xludf.DUMMYFUNCTION("""COMPUTED_VALUE"""),44606.9986111111)</f>
        <v/>
      </c>
      <c r="AD1457" s="6">
        <f>IFERROR(__xludf.DUMMYFUNCTION("""COMPUTED_VALUE"""),1197.36)</f>
        <v/>
      </c>
      <c r="AH1457" s="6">
        <f>AI1457&amp;AJ1457</f>
        <v/>
      </c>
      <c r="AI1457" s="6">
        <f>YEAR(AK1457)</f>
        <v/>
      </c>
      <c r="AJ1457" s="6">
        <f>MONTH(AK1457)</f>
        <v/>
      </c>
      <c r="AK1457" s="267">
        <f>IFERROR(__xludf.DUMMYFUNCTION("""COMPUTED_VALUE"""),44550.9986111111)</f>
        <v/>
      </c>
      <c r="AL1457" s="6">
        <f>IFERROR(__xludf.DUMMYFUNCTION("""COMPUTED_VALUE"""),46900.94)</f>
        <v/>
      </c>
      <c r="AP1457" s="6">
        <f>AQ1457&amp;AR1457</f>
        <v/>
      </c>
      <c r="AQ1457" s="6">
        <f>YEAR(AS1457)</f>
        <v/>
      </c>
      <c r="AR1457" s="6">
        <f>MONTH(AS1457)</f>
        <v/>
      </c>
      <c r="AS1457" s="267">
        <f>IFERROR(__xludf.DUMMYFUNCTION("""COMPUTED_VALUE"""),45219.9986111111)</f>
        <v/>
      </c>
      <c r="AT1457" s="6">
        <f>IFERROR(__xludf.DUMMYFUNCTION("""COMPUTED_VALUE"""),1994.4)</f>
        <v/>
      </c>
    </row>
    <row r="1458">
      <c r="B1458" s="6">
        <f>C1458&amp;D1458</f>
        <v/>
      </c>
      <c r="C1458" s="6">
        <f>YEAR(E1458)</f>
        <v/>
      </c>
      <c r="D1458" s="6">
        <f>MONTH(E1458)</f>
        <v/>
      </c>
      <c r="E1458" s="267">
        <f>IFERROR(__xludf.DUMMYFUNCTION("""COMPUTED_VALUE"""),45215.6666666666)</f>
        <v/>
      </c>
      <c r="F1458" s="6">
        <f>IFERROR(__xludf.DUMMYFUNCTION("""COMPUTED_VALUE"""),4373.63)</f>
        <v/>
      </c>
      <c r="J1458" s="6">
        <f>K1458&amp;L1458</f>
        <v/>
      </c>
      <c r="K1458" s="6">
        <f>YEAR(M1458)</f>
        <v/>
      </c>
      <c r="L1458" s="6">
        <f>MONTH(M1458)</f>
        <v/>
      </c>
      <c r="M1458" s="267">
        <f>IFERROR(__xludf.DUMMYFUNCTION("""COMPUTED_VALUE"""),45205.6666666666)</f>
        <v/>
      </c>
      <c r="N1458" s="6">
        <f>IFERROR(__xludf.DUMMYFUNCTION("""COMPUTED_VALUE"""),13431.34)</f>
        <v/>
      </c>
      <c r="R1458" s="6">
        <f>S1458&amp;T1458</f>
        <v/>
      </c>
      <c r="S1458" s="6">
        <f>YEAR(U1458)</f>
        <v/>
      </c>
      <c r="T1458" s="6">
        <f>MONTH(U1458)</f>
        <v/>
      </c>
      <c r="U1458" s="267">
        <f>IFERROR(__xludf.DUMMYFUNCTION("""COMPUTED_VALUE"""),45264.6458333333)</f>
        <v/>
      </c>
      <c r="V1458" s="6">
        <f>IFERROR(__xludf.DUMMYFUNCTION("""COMPUTED_VALUE"""),2514.95)</f>
        <v/>
      </c>
      <c r="Z1458" s="6">
        <f>AA1458&amp;AB1458</f>
        <v/>
      </c>
      <c r="AA1458" s="6">
        <f>YEAR(AC1458)</f>
        <v/>
      </c>
      <c r="AB1458" s="6">
        <f>MONTH(AC1458)</f>
        <v/>
      </c>
      <c r="AC1458" s="267">
        <f>IFERROR(__xludf.DUMMYFUNCTION("""COMPUTED_VALUE"""),44607.9986111111)</f>
        <v/>
      </c>
      <c r="AD1458" s="6">
        <f>IFERROR(__xludf.DUMMYFUNCTION("""COMPUTED_VALUE"""),1196.83)</f>
        <v/>
      </c>
      <c r="AH1458" s="6">
        <f>AI1458&amp;AJ1458</f>
        <v/>
      </c>
      <c r="AI1458" s="6">
        <f>YEAR(AK1458)</f>
        <v/>
      </c>
      <c r="AJ1458" s="6">
        <f>MONTH(AK1458)</f>
        <v/>
      </c>
      <c r="AK1458" s="267">
        <f>IFERROR(__xludf.DUMMYFUNCTION("""COMPUTED_VALUE"""),44551.9986111111)</f>
        <v/>
      </c>
      <c r="AL1458" s="6">
        <f>IFERROR(__xludf.DUMMYFUNCTION("""COMPUTED_VALUE"""),48903.38)</f>
        <v/>
      </c>
      <c r="AP1458" s="6">
        <f>AQ1458&amp;AR1458</f>
        <v/>
      </c>
      <c r="AQ1458" s="6">
        <f>YEAR(AS1458)</f>
        <v/>
      </c>
      <c r="AR1458" s="6">
        <f>MONTH(AS1458)</f>
        <v/>
      </c>
      <c r="AS1458" s="267">
        <f>IFERROR(__xludf.DUMMYFUNCTION("""COMPUTED_VALUE"""),45222.9986111111)</f>
        <v/>
      </c>
      <c r="AT1458" s="6">
        <f>IFERROR(__xludf.DUMMYFUNCTION("""COMPUTED_VALUE"""),1987.8)</f>
        <v/>
      </c>
    </row>
    <row r="1459">
      <c r="B1459" s="6">
        <f>C1459&amp;D1459</f>
        <v/>
      </c>
      <c r="C1459" s="6">
        <f>YEAR(E1459)</f>
        <v/>
      </c>
      <c r="D1459" s="6">
        <f>MONTH(E1459)</f>
        <v/>
      </c>
      <c r="E1459" s="267">
        <f>IFERROR(__xludf.DUMMYFUNCTION("""COMPUTED_VALUE"""),45216.6666666666)</f>
        <v/>
      </c>
      <c r="F1459" s="6">
        <f>IFERROR(__xludf.DUMMYFUNCTION("""COMPUTED_VALUE"""),4373.2)</f>
        <v/>
      </c>
      <c r="J1459" s="6">
        <f>K1459&amp;L1459</f>
        <v/>
      </c>
      <c r="K1459" s="6">
        <f>YEAR(M1459)</f>
        <v/>
      </c>
      <c r="L1459" s="6">
        <f>MONTH(M1459)</f>
        <v/>
      </c>
      <c r="M1459" s="267">
        <f>IFERROR(__xludf.DUMMYFUNCTION("""COMPUTED_VALUE"""),45208.6666666666)</f>
        <v/>
      </c>
      <c r="N1459" s="6">
        <f>IFERROR(__xludf.DUMMYFUNCTION("""COMPUTED_VALUE"""),13484.24)</f>
        <v/>
      </c>
      <c r="R1459" s="6">
        <f>S1459&amp;T1459</f>
        <v/>
      </c>
      <c r="S1459" s="6">
        <f>YEAR(U1459)</f>
        <v/>
      </c>
      <c r="T1459" s="6">
        <f>MONTH(U1459)</f>
        <v/>
      </c>
      <c r="U1459" s="267">
        <f>IFERROR(__xludf.DUMMYFUNCTION("""COMPUTED_VALUE"""),45265.6458333333)</f>
        <v/>
      </c>
      <c r="V1459" s="6">
        <f>IFERROR(__xludf.DUMMYFUNCTION("""COMPUTED_VALUE"""),2494.28)</f>
        <v/>
      </c>
      <c r="Z1459" s="6">
        <f>AA1459&amp;AB1459</f>
        <v/>
      </c>
      <c r="AA1459" s="6">
        <f>YEAR(AC1459)</f>
        <v/>
      </c>
      <c r="AB1459" s="6">
        <f>MONTH(AC1459)</f>
        <v/>
      </c>
      <c r="AC1459" s="267">
        <f>IFERROR(__xludf.DUMMYFUNCTION("""COMPUTED_VALUE"""),44608.9986111111)</f>
        <v/>
      </c>
      <c r="AD1459" s="6">
        <f>IFERROR(__xludf.DUMMYFUNCTION("""COMPUTED_VALUE"""),1196.75)</f>
        <v/>
      </c>
      <c r="AH1459" s="6">
        <f>AI1459&amp;AJ1459</f>
        <v/>
      </c>
      <c r="AI1459" s="6">
        <f>YEAR(AK1459)</f>
        <v/>
      </c>
      <c r="AJ1459" s="6">
        <f>MONTH(AK1459)</f>
        <v/>
      </c>
      <c r="AK1459" s="267">
        <f>IFERROR(__xludf.DUMMYFUNCTION("""COMPUTED_VALUE"""),44552.9986111111)</f>
        <v/>
      </c>
      <c r="AL1459" s="6">
        <f>IFERROR(__xludf.DUMMYFUNCTION("""COMPUTED_VALUE"""),48603.92)</f>
        <v/>
      </c>
      <c r="AP1459" s="6">
        <f>AQ1459&amp;AR1459</f>
        <v/>
      </c>
      <c r="AQ1459" s="6">
        <f>YEAR(AS1459)</f>
        <v/>
      </c>
      <c r="AR1459" s="6">
        <f>MONTH(AS1459)</f>
        <v/>
      </c>
      <c r="AS1459" s="267">
        <f>IFERROR(__xludf.DUMMYFUNCTION("""COMPUTED_VALUE"""),45223.9986111111)</f>
        <v/>
      </c>
      <c r="AT1459" s="6">
        <f>IFERROR(__xludf.DUMMYFUNCTION("""COMPUTED_VALUE"""),1986.1)</f>
        <v/>
      </c>
    </row>
    <row r="1460">
      <c r="B1460" s="6">
        <f>C1460&amp;D1460</f>
        <v/>
      </c>
      <c r="C1460" s="6">
        <f>YEAR(E1460)</f>
        <v/>
      </c>
      <c r="D1460" s="6">
        <f>MONTH(E1460)</f>
        <v/>
      </c>
      <c r="E1460" s="267">
        <f>IFERROR(__xludf.DUMMYFUNCTION("""COMPUTED_VALUE"""),45217.6666666666)</f>
        <v/>
      </c>
      <c r="F1460" s="6">
        <f>IFERROR(__xludf.DUMMYFUNCTION("""COMPUTED_VALUE"""),4314.6)</f>
        <v/>
      </c>
      <c r="J1460" s="6">
        <f>K1460&amp;L1460</f>
        <v/>
      </c>
      <c r="K1460" s="6">
        <f>YEAR(M1460)</f>
        <v/>
      </c>
      <c r="L1460" s="6">
        <f>MONTH(M1460)</f>
        <v/>
      </c>
      <c r="M1460" s="267">
        <f>IFERROR(__xludf.DUMMYFUNCTION("""COMPUTED_VALUE"""),45209.6666666666)</f>
        <v/>
      </c>
      <c r="N1460" s="6">
        <f>IFERROR(__xludf.DUMMYFUNCTION("""COMPUTED_VALUE"""),13562.84)</f>
        <v/>
      </c>
      <c r="R1460" s="6">
        <f>S1460&amp;T1460</f>
        <v/>
      </c>
      <c r="S1460" s="6">
        <f>YEAR(U1460)</f>
        <v/>
      </c>
      <c r="T1460" s="6">
        <f>MONTH(U1460)</f>
        <v/>
      </c>
      <c r="U1460" s="267">
        <f>IFERROR(__xludf.DUMMYFUNCTION("""COMPUTED_VALUE"""),45266.6458333333)</f>
        <v/>
      </c>
      <c r="V1460" s="6">
        <f>IFERROR(__xludf.DUMMYFUNCTION("""COMPUTED_VALUE"""),2495.38)</f>
        <v/>
      </c>
      <c r="Z1460" s="6">
        <f>AA1460&amp;AB1460</f>
        <v/>
      </c>
      <c r="AA1460" s="6">
        <f>YEAR(AC1460)</f>
        <v/>
      </c>
      <c r="AB1460" s="6">
        <f>MONTH(AC1460)</f>
        <v/>
      </c>
      <c r="AC1460" s="267">
        <f>IFERROR(__xludf.DUMMYFUNCTION("""COMPUTED_VALUE"""),44609.9986111111)</f>
        <v/>
      </c>
      <c r="AD1460" s="6">
        <f>IFERROR(__xludf.DUMMYFUNCTION("""COMPUTED_VALUE"""),1198.66)</f>
        <v/>
      </c>
      <c r="AH1460" s="6">
        <f>AI1460&amp;AJ1460</f>
        <v/>
      </c>
      <c r="AI1460" s="6">
        <f>YEAR(AK1460)</f>
        <v/>
      </c>
      <c r="AJ1460" s="6">
        <f>MONTH(AK1460)</f>
        <v/>
      </c>
      <c r="AK1460" s="267">
        <f>IFERROR(__xludf.DUMMYFUNCTION("""COMPUTED_VALUE"""),44553.9986111111)</f>
        <v/>
      </c>
      <c r="AL1460" s="6">
        <f>IFERROR(__xludf.DUMMYFUNCTION("""COMPUTED_VALUE"""),50798.09)</f>
        <v/>
      </c>
      <c r="AP1460" s="6">
        <f>AQ1460&amp;AR1460</f>
        <v/>
      </c>
      <c r="AQ1460" s="6">
        <f>YEAR(AS1460)</f>
        <v/>
      </c>
      <c r="AR1460" s="6">
        <f>MONTH(AS1460)</f>
        <v/>
      </c>
      <c r="AS1460" s="267">
        <f>IFERROR(__xludf.DUMMYFUNCTION("""COMPUTED_VALUE"""),45224.9986111111)</f>
        <v/>
      </c>
      <c r="AT1460" s="6">
        <f>IFERROR(__xludf.DUMMYFUNCTION("""COMPUTED_VALUE"""),1994.9)</f>
        <v/>
      </c>
    </row>
    <row r="1461">
      <c r="B1461" s="6">
        <f>C1461&amp;D1461</f>
        <v/>
      </c>
      <c r="C1461" s="6">
        <f>YEAR(E1461)</f>
        <v/>
      </c>
      <c r="D1461" s="6">
        <f>MONTH(E1461)</f>
        <v/>
      </c>
      <c r="E1461" s="267">
        <f>IFERROR(__xludf.DUMMYFUNCTION("""COMPUTED_VALUE"""),45218.6666666666)</f>
        <v/>
      </c>
      <c r="F1461" s="6">
        <f>IFERROR(__xludf.DUMMYFUNCTION("""COMPUTED_VALUE"""),4278)</f>
        <v/>
      </c>
      <c r="J1461" s="6">
        <f>K1461&amp;L1461</f>
        <v/>
      </c>
      <c r="K1461" s="6">
        <f>YEAR(M1461)</f>
        <v/>
      </c>
      <c r="L1461" s="6">
        <f>MONTH(M1461)</f>
        <v/>
      </c>
      <c r="M1461" s="267">
        <f>IFERROR(__xludf.DUMMYFUNCTION("""COMPUTED_VALUE"""),45210.6666666666)</f>
        <v/>
      </c>
      <c r="N1461" s="6">
        <f>IFERROR(__xludf.DUMMYFUNCTION("""COMPUTED_VALUE"""),13659.68)</f>
        <v/>
      </c>
      <c r="R1461" s="6">
        <f>S1461&amp;T1461</f>
        <v/>
      </c>
      <c r="S1461" s="6">
        <f>YEAR(U1461)</f>
        <v/>
      </c>
      <c r="T1461" s="6">
        <f>MONTH(U1461)</f>
        <v/>
      </c>
      <c r="U1461" s="267">
        <f>IFERROR(__xludf.DUMMYFUNCTION("""COMPUTED_VALUE"""),45267.6458333333)</f>
        <v/>
      </c>
      <c r="V1461" s="6">
        <f>IFERROR(__xludf.DUMMYFUNCTION("""COMPUTED_VALUE"""),2492.07)</f>
        <v/>
      </c>
      <c r="Z1461" s="6">
        <f>AA1461&amp;AB1461</f>
        <v/>
      </c>
      <c r="AA1461" s="6">
        <f>YEAR(AC1461)</f>
        <v/>
      </c>
      <c r="AB1461" s="6">
        <f>MONTH(AC1461)</f>
        <v/>
      </c>
      <c r="AC1461" s="267">
        <f>IFERROR(__xludf.DUMMYFUNCTION("""COMPUTED_VALUE"""),44610.9986111111)</f>
        <v/>
      </c>
      <c r="AD1461" s="6">
        <f>IFERROR(__xludf.DUMMYFUNCTION("""COMPUTED_VALUE"""),1195.07)</f>
        <v/>
      </c>
      <c r="AH1461" s="6">
        <f>AI1461&amp;AJ1461</f>
        <v/>
      </c>
      <c r="AI1461" s="6">
        <f>YEAR(AK1461)</f>
        <v/>
      </c>
      <c r="AJ1461" s="6">
        <f>MONTH(AK1461)</f>
        <v/>
      </c>
      <c r="AK1461" s="267">
        <f>IFERROR(__xludf.DUMMYFUNCTION("""COMPUTED_VALUE"""),44554.9986111111)</f>
        <v/>
      </c>
      <c r="AL1461" s="6">
        <f>IFERROR(__xludf.DUMMYFUNCTION("""COMPUTED_VALUE"""),50802.95)</f>
        <v/>
      </c>
      <c r="AP1461" s="6">
        <f>AQ1461&amp;AR1461</f>
        <v/>
      </c>
      <c r="AQ1461" s="6">
        <f>YEAR(AS1461)</f>
        <v/>
      </c>
      <c r="AR1461" s="6">
        <f>MONTH(AS1461)</f>
        <v/>
      </c>
      <c r="AS1461" s="267">
        <f>IFERROR(__xludf.DUMMYFUNCTION("""COMPUTED_VALUE"""),45225.9986111111)</f>
        <v/>
      </c>
      <c r="AT1461" s="6">
        <f>IFERROR(__xludf.DUMMYFUNCTION("""COMPUTED_VALUE"""),1997.4)</f>
        <v/>
      </c>
    </row>
    <row r="1462">
      <c r="B1462" s="6">
        <f>C1462&amp;D1462</f>
        <v/>
      </c>
      <c r="C1462" s="6">
        <f>YEAR(E1462)</f>
        <v/>
      </c>
      <c r="D1462" s="6">
        <f>MONTH(E1462)</f>
        <v/>
      </c>
      <c r="E1462" s="267">
        <f>IFERROR(__xludf.DUMMYFUNCTION("""COMPUTED_VALUE"""),45219.6666666666)</f>
        <v/>
      </c>
      <c r="F1462" s="6">
        <f>IFERROR(__xludf.DUMMYFUNCTION("""COMPUTED_VALUE"""),4224.16)</f>
        <v/>
      </c>
      <c r="J1462" s="6">
        <f>K1462&amp;L1462</f>
        <v/>
      </c>
      <c r="K1462" s="6">
        <f>YEAR(M1462)</f>
        <v/>
      </c>
      <c r="L1462" s="6">
        <f>MONTH(M1462)</f>
        <v/>
      </c>
      <c r="M1462" s="267">
        <f>IFERROR(__xludf.DUMMYFUNCTION("""COMPUTED_VALUE"""),45211.6666666666)</f>
        <v/>
      </c>
      <c r="N1462" s="6">
        <f>IFERROR(__xludf.DUMMYFUNCTION("""COMPUTED_VALUE"""),13574.22)</f>
        <v/>
      </c>
      <c r="R1462" s="6">
        <f>S1462&amp;T1462</f>
        <v/>
      </c>
      <c r="S1462" s="6">
        <f>YEAR(U1462)</f>
        <v/>
      </c>
      <c r="T1462" s="6">
        <f>MONTH(U1462)</f>
        <v/>
      </c>
      <c r="U1462" s="267">
        <f>IFERROR(__xludf.DUMMYFUNCTION("""COMPUTED_VALUE"""),45268.6458333333)</f>
        <v/>
      </c>
      <c r="V1462" s="6">
        <f>IFERROR(__xludf.DUMMYFUNCTION("""COMPUTED_VALUE"""),2517.85)</f>
        <v/>
      </c>
      <c r="Z1462" s="6">
        <f>AA1462&amp;AB1462</f>
        <v/>
      </c>
      <c r="AA1462" s="6">
        <f>YEAR(AC1462)</f>
        <v/>
      </c>
      <c r="AB1462" s="6">
        <f>MONTH(AC1462)</f>
        <v/>
      </c>
      <c r="AC1462" s="267">
        <f>IFERROR(__xludf.DUMMYFUNCTION("""COMPUTED_VALUE"""),44611.9986111111)</f>
        <v/>
      </c>
      <c r="AD1462" s="6">
        <f>IFERROR(__xludf.DUMMYFUNCTION("""COMPUTED_VALUE"""),1195.07)</f>
        <v/>
      </c>
      <c r="AH1462" s="6">
        <f>AI1462&amp;AJ1462</f>
        <v/>
      </c>
      <c r="AI1462" s="6">
        <f>YEAR(AK1462)</f>
        <v/>
      </c>
      <c r="AJ1462" s="6">
        <f>MONTH(AK1462)</f>
        <v/>
      </c>
      <c r="AK1462" s="267">
        <f>IFERROR(__xludf.DUMMYFUNCTION("""COMPUTED_VALUE"""),44555.9986111111)</f>
        <v/>
      </c>
      <c r="AL1462" s="6">
        <f>IFERROR(__xludf.DUMMYFUNCTION("""COMPUTED_VALUE"""),50441.71)</f>
        <v/>
      </c>
      <c r="AP1462" s="6">
        <f>AQ1462&amp;AR1462</f>
        <v/>
      </c>
      <c r="AQ1462" s="6">
        <f>YEAR(AS1462)</f>
        <v/>
      </c>
      <c r="AR1462" s="6">
        <f>MONTH(AS1462)</f>
        <v/>
      </c>
      <c r="AS1462" s="267">
        <f>IFERROR(__xludf.DUMMYFUNCTION("""COMPUTED_VALUE"""),45226.9986111111)</f>
        <v/>
      </c>
      <c r="AT1462" s="6">
        <f>IFERROR(__xludf.DUMMYFUNCTION("""COMPUTED_VALUE"""),1998.5)</f>
        <v/>
      </c>
    </row>
    <row r="1463">
      <c r="B1463" s="6">
        <f>C1463&amp;D1463</f>
        <v/>
      </c>
      <c r="C1463" s="6">
        <f>YEAR(E1463)</f>
        <v/>
      </c>
      <c r="D1463" s="6">
        <f>MONTH(E1463)</f>
        <v/>
      </c>
      <c r="E1463" s="267">
        <f>IFERROR(__xludf.DUMMYFUNCTION("""COMPUTED_VALUE"""),45222.6666666666)</f>
        <v/>
      </c>
      <c r="F1463" s="6">
        <f>IFERROR(__xludf.DUMMYFUNCTION("""COMPUTED_VALUE"""),4217.04)</f>
        <v/>
      </c>
      <c r="J1463" s="6">
        <f>K1463&amp;L1463</f>
        <v/>
      </c>
      <c r="K1463" s="6">
        <f>YEAR(M1463)</f>
        <v/>
      </c>
      <c r="L1463" s="6">
        <f>MONTH(M1463)</f>
        <v/>
      </c>
      <c r="M1463" s="267">
        <f>IFERROR(__xludf.DUMMYFUNCTION("""COMPUTED_VALUE"""),45212.6666666666)</f>
        <v/>
      </c>
      <c r="N1463" s="6">
        <f>IFERROR(__xludf.DUMMYFUNCTION("""COMPUTED_VALUE"""),13407.23)</f>
        <v/>
      </c>
      <c r="R1463" s="6">
        <f>S1463&amp;T1463</f>
        <v/>
      </c>
      <c r="S1463" s="6">
        <f>YEAR(U1463)</f>
        <v/>
      </c>
      <c r="T1463" s="6">
        <f>MONTH(U1463)</f>
        <v/>
      </c>
      <c r="U1463" s="267">
        <f>IFERROR(__xludf.DUMMYFUNCTION("""COMPUTED_VALUE"""),45271.6458333333)</f>
        <v/>
      </c>
      <c r="V1463" s="6">
        <f>IFERROR(__xludf.DUMMYFUNCTION("""COMPUTED_VALUE"""),2525.36)</f>
        <v/>
      </c>
      <c r="Z1463" s="6">
        <f>AA1463&amp;AB1463</f>
        <v/>
      </c>
      <c r="AA1463" s="6">
        <f>YEAR(AC1463)</f>
        <v/>
      </c>
      <c r="AB1463" s="6">
        <f>MONTH(AC1463)</f>
        <v/>
      </c>
      <c r="AC1463" s="267">
        <f>IFERROR(__xludf.DUMMYFUNCTION("""COMPUTED_VALUE"""),44612.9986111111)</f>
        <v/>
      </c>
      <c r="AD1463" s="6">
        <f>IFERROR(__xludf.DUMMYFUNCTION("""COMPUTED_VALUE"""),1195.07)</f>
        <v/>
      </c>
      <c r="AH1463" s="6">
        <f>AI1463&amp;AJ1463</f>
        <v/>
      </c>
      <c r="AI1463" s="6">
        <f>YEAR(AK1463)</f>
        <v/>
      </c>
      <c r="AJ1463" s="6">
        <f>MONTH(AK1463)</f>
        <v/>
      </c>
      <c r="AK1463" s="267">
        <f>IFERROR(__xludf.DUMMYFUNCTION("""COMPUTED_VALUE"""),44556.9986111111)</f>
        <v/>
      </c>
      <c r="AL1463" s="6">
        <f>IFERROR(__xludf.DUMMYFUNCTION("""COMPUTED_VALUE"""),50789.87)</f>
        <v/>
      </c>
      <c r="AP1463" s="6">
        <f>AQ1463&amp;AR1463</f>
        <v/>
      </c>
      <c r="AQ1463" s="6">
        <f>YEAR(AS1463)</f>
        <v/>
      </c>
      <c r="AR1463" s="6">
        <f>MONTH(AS1463)</f>
        <v/>
      </c>
      <c r="AS1463" s="267">
        <f>IFERROR(__xludf.DUMMYFUNCTION("""COMPUTED_VALUE"""),45229.9986111111)</f>
        <v/>
      </c>
      <c r="AT1463" s="6">
        <f>IFERROR(__xludf.DUMMYFUNCTION("""COMPUTED_VALUE"""),2005.6)</f>
        <v/>
      </c>
    </row>
    <row r="1464">
      <c r="B1464" s="6">
        <f>C1464&amp;D1464</f>
        <v/>
      </c>
      <c r="C1464" s="6">
        <f>YEAR(E1464)</f>
        <v/>
      </c>
      <c r="D1464" s="6">
        <f>MONTH(E1464)</f>
        <v/>
      </c>
      <c r="E1464" s="267">
        <f>IFERROR(__xludf.DUMMYFUNCTION("""COMPUTED_VALUE"""),45223.6666666666)</f>
        <v/>
      </c>
      <c r="F1464" s="6">
        <f>IFERROR(__xludf.DUMMYFUNCTION("""COMPUTED_VALUE"""),4247.68)</f>
        <v/>
      </c>
      <c r="J1464" s="6">
        <f>K1464&amp;L1464</f>
        <v/>
      </c>
      <c r="K1464" s="6">
        <f>YEAR(M1464)</f>
        <v/>
      </c>
      <c r="L1464" s="6">
        <f>MONTH(M1464)</f>
        <v/>
      </c>
      <c r="M1464" s="267">
        <f>IFERROR(__xludf.DUMMYFUNCTION("""COMPUTED_VALUE"""),45215.6666666666)</f>
        <v/>
      </c>
      <c r="N1464" s="6">
        <f>IFERROR(__xludf.DUMMYFUNCTION("""COMPUTED_VALUE"""),13567.98)</f>
        <v/>
      </c>
      <c r="R1464" s="6">
        <f>S1464&amp;T1464</f>
        <v/>
      </c>
      <c r="S1464" s="6">
        <f>YEAR(U1464)</f>
        <v/>
      </c>
      <c r="T1464" s="6">
        <f>MONTH(U1464)</f>
        <v/>
      </c>
      <c r="U1464" s="267">
        <f>IFERROR(__xludf.DUMMYFUNCTION("""COMPUTED_VALUE"""),45272.6458333333)</f>
        <v/>
      </c>
      <c r="V1464" s="6">
        <f>IFERROR(__xludf.DUMMYFUNCTION("""COMPUTED_VALUE"""),2535.27)</f>
        <v/>
      </c>
      <c r="Z1464" s="6">
        <f>AA1464&amp;AB1464</f>
        <v/>
      </c>
      <c r="AA1464" s="6">
        <f>YEAR(AC1464)</f>
        <v/>
      </c>
      <c r="AB1464" s="6">
        <f>MONTH(AC1464)</f>
        <v/>
      </c>
      <c r="AC1464" s="267">
        <f>IFERROR(__xludf.DUMMYFUNCTION("""COMPUTED_VALUE"""),44613.9986111111)</f>
        <v/>
      </c>
      <c r="AD1464" s="6">
        <f>IFERROR(__xludf.DUMMYFUNCTION("""COMPUTED_VALUE"""),1194.68)</f>
        <v/>
      </c>
      <c r="AH1464" s="6">
        <f>AI1464&amp;AJ1464</f>
        <v/>
      </c>
      <c r="AI1464" s="6">
        <f>YEAR(AK1464)</f>
        <v/>
      </c>
      <c r="AJ1464" s="6">
        <f>MONTH(AK1464)</f>
        <v/>
      </c>
      <c r="AK1464" s="267">
        <f>IFERROR(__xludf.DUMMYFUNCTION("""COMPUTED_VALUE"""),44557.9986111111)</f>
        <v/>
      </c>
      <c r="AL1464" s="6">
        <f>IFERROR(__xludf.DUMMYFUNCTION("""COMPUTED_VALUE"""),50681.65)</f>
        <v/>
      </c>
      <c r="AP1464" s="6">
        <f>AQ1464&amp;AR1464</f>
        <v/>
      </c>
      <c r="AQ1464" s="6">
        <f>YEAR(AS1464)</f>
        <v/>
      </c>
      <c r="AR1464" s="6">
        <f>MONTH(AS1464)</f>
        <v/>
      </c>
      <c r="AS1464" s="267">
        <f>IFERROR(__xludf.DUMMYFUNCTION("""COMPUTED_VALUE"""),45230.9986111111)</f>
        <v/>
      </c>
      <c r="AT1464" s="6">
        <f>IFERROR(__xludf.DUMMYFUNCTION("""COMPUTED_VALUE"""),1994.3)</f>
        <v/>
      </c>
    </row>
    <row r="1465">
      <c r="B1465" s="6">
        <f>C1465&amp;D1465</f>
        <v/>
      </c>
      <c r="C1465" s="6">
        <f>YEAR(E1465)</f>
        <v/>
      </c>
      <c r="D1465" s="6">
        <f>MONTH(E1465)</f>
        <v/>
      </c>
      <c r="E1465" s="267">
        <f>IFERROR(__xludf.DUMMYFUNCTION("""COMPUTED_VALUE"""),45224.6666666666)</f>
        <v/>
      </c>
      <c r="F1465" s="6">
        <f>IFERROR(__xludf.DUMMYFUNCTION("""COMPUTED_VALUE"""),4186.77)</f>
        <v/>
      </c>
      <c r="J1465" s="6">
        <f>K1465&amp;L1465</f>
        <v/>
      </c>
      <c r="K1465" s="6">
        <f>YEAR(M1465)</f>
        <v/>
      </c>
      <c r="L1465" s="6">
        <f>MONTH(M1465)</f>
        <v/>
      </c>
      <c r="M1465" s="267">
        <f>IFERROR(__xludf.DUMMYFUNCTION("""COMPUTED_VALUE"""),45216.6666666666)</f>
        <v/>
      </c>
      <c r="N1465" s="6">
        <f>IFERROR(__xludf.DUMMYFUNCTION("""COMPUTED_VALUE"""),13533.75)</f>
        <v/>
      </c>
      <c r="R1465" s="6">
        <f>S1465&amp;T1465</f>
        <v/>
      </c>
      <c r="S1465" s="6">
        <f>YEAR(U1465)</f>
        <v/>
      </c>
      <c r="T1465" s="6">
        <f>MONTH(U1465)</f>
        <v/>
      </c>
      <c r="U1465" s="267">
        <f>IFERROR(__xludf.DUMMYFUNCTION("""COMPUTED_VALUE"""),45273.6458333333)</f>
        <v/>
      </c>
      <c r="V1465" s="6">
        <f>IFERROR(__xludf.DUMMYFUNCTION("""COMPUTED_VALUE"""),2510.66)</f>
        <v/>
      </c>
      <c r="Z1465" s="6">
        <f>AA1465&amp;AB1465</f>
        <v/>
      </c>
      <c r="AA1465" s="6">
        <f>YEAR(AC1465)</f>
        <v/>
      </c>
      <c r="AB1465" s="6">
        <f>MONTH(AC1465)</f>
        <v/>
      </c>
      <c r="AC1465" s="267">
        <f>IFERROR(__xludf.DUMMYFUNCTION("""COMPUTED_VALUE"""),44614.9986111111)</f>
        <v/>
      </c>
      <c r="AD1465" s="6">
        <f>IFERROR(__xludf.DUMMYFUNCTION("""COMPUTED_VALUE"""),1192.68)</f>
        <v/>
      </c>
      <c r="AH1465" s="6">
        <f>AI1465&amp;AJ1465</f>
        <v/>
      </c>
      <c r="AI1465" s="6">
        <f>YEAR(AK1465)</f>
        <v/>
      </c>
      <c r="AJ1465" s="6">
        <f>MONTH(AK1465)</f>
        <v/>
      </c>
      <c r="AK1465" s="267">
        <f>IFERROR(__xludf.DUMMYFUNCTION("""COMPUTED_VALUE"""),44558.9986111111)</f>
        <v/>
      </c>
      <c r="AL1465" s="6">
        <f>IFERROR(__xludf.DUMMYFUNCTION("""COMPUTED_VALUE"""),47538.2)</f>
        <v/>
      </c>
      <c r="AP1465" s="6">
        <f>AQ1465&amp;AR1465</f>
        <v/>
      </c>
      <c r="AQ1465" s="6">
        <f>YEAR(AS1465)</f>
        <v/>
      </c>
      <c r="AR1465" s="6">
        <f>MONTH(AS1465)</f>
        <v/>
      </c>
      <c r="AS1465" s="267">
        <f>IFERROR(__xludf.DUMMYFUNCTION("""COMPUTED_VALUE"""),45231.9986111111)</f>
        <v/>
      </c>
      <c r="AT1465" s="6">
        <f>IFERROR(__xludf.DUMMYFUNCTION("""COMPUTED_VALUE"""),1987.5)</f>
        <v/>
      </c>
    </row>
    <row r="1466">
      <c r="B1466" s="6">
        <f>C1466&amp;D1466</f>
        <v/>
      </c>
      <c r="C1466" s="6">
        <f>YEAR(E1466)</f>
        <v/>
      </c>
      <c r="D1466" s="6">
        <f>MONTH(E1466)</f>
        <v/>
      </c>
      <c r="E1466" s="267">
        <f>IFERROR(__xludf.DUMMYFUNCTION("""COMPUTED_VALUE"""),45225.6666666666)</f>
        <v/>
      </c>
      <c r="F1466" s="6">
        <f>IFERROR(__xludf.DUMMYFUNCTION("""COMPUTED_VALUE"""),4137.23)</f>
        <v/>
      </c>
      <c r="J1466" s="6">
        <f>K1466&amp;L1466</f>
        <v/>
      </c>
      <c r="K1466" s="6">
        <f>YEAR(M1466)</f>
        <v/>
      </c>
      <c r="L1466" s="6">
        <f>MONTH(M1466)</f>
        <v/>
      </c>
      <c r="M1466" s="267">
        <f>IFERROR(__xludf.DUMMYFUNCTION("""COMPUTED_VALUE"""),45217.6666666666)</f>
        <v/>
      </c>
      <c r="N1466" s="6">
        <f>IFERROR(__xludf.DUMMYFUNCTION("""COMPUTED_VALUE"""),13314.3)</f>
        <v/>
      </c>
      <c r="R1466" s="6">
        <f>S1466&amp;T1466</f>
        <v/>
      </c>
      <c r="S1466" s="6">
        <f>YEAR(U1466)</f>
        <v/>
      </c>
      <c r="T1466" s="6">
        <f>MONTH(U1466)</f>
        <v/>
      </c>
      <c r="U1466" s="267">
        <f>IFERROR(__xludf.DUMMYFUNCTION("""COMPUTED_VALUE"""),45274.6458333333)</f>
        <v/>
      </c>
      <c r="V1466" s="6">
        <f>IFERROR(__xludf.DUMMYFUNCTION("""COMPUTED_VALUE"""),2544.18)</f>
        <v/>
      </c>
      <c r="Z1466" s="6">
        <f>AA1466&amp;AB1466</f>
        <v/>
      </c>
      <c r="AA1466" s="6">
        <f>YEAR(AC1466)</f>
        <v/>
      </c>
      <c r="AB1466" s="6">
        <f>MONTH(AC1466)</f>
        <v/>
      </c>
      <c r="AC1466" s="267">
        <f>IFERROR(__xludf.DUMMYFUNCTION("""COMPUTED_VALUE"""),44615.9986111111)</f>
        <v/>
      </c>
      <c r="AD1466" s="6">
        <f>IFERROR(__xludf.DUMMYFUNCTION("""COMPUTED_VALUE"""),1192.4)</f>
        <v/>
      </c>
      <c r="AH1466" s="6">
        <f>AI1466&amp;AJ1466</f>
        <v/>
      </c>
      <c r="AI1466" s="6">
        <f>YEAR(AK1466)</f>
        <v/>
      </c>
      <c r="AJ1466" s="6">
        <f>MONTH(AK1466)</f>
        <v/>
      </c>
      <c r="AK1466" s="267">
        <f>IFERROR(__xludf.DUMMYFUNCTION("""COMPUTED_VALUE"""),44559.9986111111)</f>
        <v/>
      </c>
      <c r="AL1466" s="6">
        <f>IFERROR(__xludf.DUMMYFUNCTION("""COMPUTED_VALUE"""),46438.42)</f>
        <v/>
      </c>
      <c r="AP1466" s="6">
        <f>AQ1466&amp;AR1466</f>
        <v/>
      </c>
      <c r="AQ1466" s="6">
        <f>YEAR(AS1466)</f>
        <v/>
      </c>
      <c r="AR1466" s="6">
        <f>MONTH(AS1466)</f>
        <v/>
      </c>
      <c r="AS1466" s="267">
        <f>IFERROR(__xludf.DUMMYFUNCTION("""COMPUTED_VALUE"""),45232.9986111111)</f>
        <v/>
      </c>
      <c r="AT1466" s="6">
        <f>IFERROR(__xludf.DUMMYFUNCTION("""COMPUTED_VALUE"""),1993.5)</f>
        <v/>
      </c>
    </row>
    <row r="1467">
      <c r="B1467" s="6">
        <f>C1467&amp;D1467</f>
        <v/>
      </c>
      <c r="C1467" s="6">
        <f>YEAR(E1467)</f>
        <v/>
      </c>
      <c r="D1467" s="6">
        <f>MONTH(E1467)</f>
        <v/>
      </c>
      <c r="E1467" s="267">
        <f>IFERROR(__xludf.DUMMYFUNCTION("""COMPUTED_VALUE"""),45226.6666666666)</f>
        <v/>
      </c>
      <c r="F1467" s="6">
        <f>IFERROR(__xludf.DUMMYFUNCTION("""COMPUTED_VALUE"""),4117.37)</f>
        <v/>
      </c>
      <c r="J1467" s="6">
        <f>K1467&amp;L1467</f>
        <v/>
      </c>
      <c r="K1467" s="6">
        <f>YEAR(M1467)</f>
        <v/>
      </c>
      <c r="L1467" s="6">
        <f>MONTH(M1467)</f>
        <v/>
      </c>
      <c r="M1467" s="267">
        <f>IFERROR(__xludf.DUMMYFUNCTION("""COMPUTED_VALUE"""),45218.6666666666)</f>
        <v/>
      </c>
      <c r="N1467" s="6">
        <f>IFERROR(__xludf.DUMMYFUNCTION("""COMPUTED_VALUE"""),13186.18)</f>
        <v/>
      </c>
      <c r="R1467" s="6">
        <f>S1467&amp;T1467</f>
        <v/>
      </c>
      <c r="S1467" s="6">
        <f>YEAR(U1467)</f>
        <v/>
      </c>
      <c r="T1467" s="6">
        <f>MONTH(U1467)</f>
        <v/>
      </c>
      <c r="U1467" s="267">
        <f>IFERROR(__xludf.DUMMYFUNCTION("""COMPUTED_VALUE"""),45275.6458333333)</f>
        <v/>
      </c>
      <c r="V1467" s="6">
        <f>IFERROR(__xludf.DUMMYFUNCTION("""COMPUTED_VALUE"""),2563.56)</f>
        <v/>
      </c>
      <c r="Z1467" s="6">
        <f>AA1467&amp;AB1467</f>
        <v/>
      </c>
      <c r="AA1467" s="6">
        <f>YEAR(AC1467)</f>
        <v/>
      </c>
      <c r="AB1467" s="6">
        <f>MONTH(AC1467)</f>
        <v/>
      </c>
      <c r="AC1467" s="267">
        <f>IFERROR(__xludf.DUMMYFUNCTION("""COMPUTED_VALUE"""),44616.9986111111)</f>
        <v/>
      </c>
      <c r="AD1467" s="6">
        <f>IFERROR(__xludf.DUMMYFUNCTION("""COMPUTED_VALUE"""),1206)</f>
        <v/>
      </c>
      <c r="AH1467" s="6">
        <f>AI1467&amp;AJ1467</f>
        <v/>
      </c>
      <c r="AI1467" s="6">
        <f>YEAR(AK1467)</f>
        <v/>
      </c>
      <c r="AJ1467" s="6">
        <f>MONTH(AK1467)</f>
        <v/>
      </c>
      <c r="AK1467" s="267">
        <f>IFERROR(__xludf.DUMMYFUNCTION("""COMPUTED_VALUE"""),44560.9986111111)</f>
        <v/>
      </c>
      <c r="AL1467" s="6">
        <f>IFERROR(__xludf.DUMMYFUNCTION("""COMPUTED_VALUE"""),47129.15)</f>
        <v/>
      </c>
      <c r="AP1467" s="6">
        <f>AQ1467&amp;AR1467</f>
        <v/>
      </c>
      <c r="AQ1467" s="6">
        <f>YEAR(AS1467)</f>
        <v/>
      </c>
      <c r="AR1467" s="6">
        <f>MONTH(AS1467)</f>
        <v/>
      </c>
      <c r="AS1467" s="267">
        <f>IFERROR(__xludf.DUMMYFUNCTION("""COMPUTED_VALUE"""),45233.9986111111)</f>
        <v/>
      </c>
      <c r="AT1467" s="6">
        <f>IFERROR(__xludf.DUMMYFUNCTION("""COMPUTED_VALUE"""),1999.2)</f>
        <v/>
      </c>
    </row>
    <row r="1468">
      <c r="B1468" s="6">
        <f>C1468&amp;D1468</f>
        <v/>
      </c>
      <c r="C1468" s="6">
        <f>YEAR(E1468)</f>
        <v/>
      </c>
      <c r="D1468" s="6">
        <f>MONTH(E1468)</f>
        <v/>
      </c>
      <c r="E1468" s="267">
        <f>IFERROR(__xludf.DUMMYFUNCTION("""COMPUTED_VALUE"""),45229.6666666666)</f>
        <v/>
      </c>
      <c r="F1468" s="6">
        <f>IFERROR(__xludf.DUMMYFUNCTION("""COMPUTED_VALUE"""),4166.82)</f>
        <v/>
      </c>
      <c r="J1468" s="6">
        <f>K1468&amp;L1468</f>
        <v/>
      </c>
      <c r="K1468" s="6">
        <f>YEAR(M1468)</f>
        <v/>
      </c>
      <c r="L1468" s="6">
        <f>MONTH(M1468)</f>
        <v/>
      </c>
      <c r="M1468" s="267">
        <f>IFERROR(__xludf.DUMMYFUNCTION("""COMPUTED_VALUE"""),45219.6666666666)</f>
        <v/>
      </c>
      <c r="N1468" s="6">
        <f>IFERROR(__xludf.DUMMYFUNCTION("""COMPUTED_VALUE"""),12983.81)</f>
        <v/>
      </c>
      <c r="R1468" s="6">
        <f>S1468&amp;T1468</f>
        <v/>
      </c>
      <c r="S1468" s="6">
        <f>YEAR(U1468)</f>
        <v/>
      </c>
      <c r="T1468" s="6">
        <f>MONTH(U1468)</f>
        <v/>
      </c>
      <c r="U1468" s="267">
        <f>IFERROR(__xludf.DUMMYFUNCTION("""COMPUTED_VALUE"""),45278.6458333333)</f>
        <v/>
      </c>
      <c r="V1468" s="6">
        <f>IFERROR(__xludf.DUMMYFUNCTION("""COMPUTED_VALUE"""),2566.86)</f>
        <v/>
      </c>
      <c r="Z1468" s="6">
        <f>AA1468&amp;AB1468</f>
        <v/>
      </c>
      <c r="AA1468" s="6">
        <f>YEAR(AC1468)</f>
        <v/>
      </c>
      <c r="AB1468" s="6">
        <f>MONTH(AC1468)</f>
        <v/>
      </c>
      <c r="AC1468" s="267">
        <f>IFERROR(__xludf.DUMMYFUNCTION("""COMPUTED_VALUE"""),44617.9986111111)</f>
        <v/>
      </c>
      <c r="AD1468" s="6">
        <f>IFERROR(__xludf.DUMMYFUNCTION("""COMPUTED_VALUE"""),1197.69)</f>
        <v/>
      </c>
      <c r="AH1468" s="6">
        <f>AI1468&amp;AJ1468</f>
        <v/>
      </c>
      <c r="AI1468" s="6">
        <f>YEAR(AK1468)</f>
        <v/>
      </c>
      <c r="AJ1468" s="6">
        <f>MONTH(AK1468)</f>
        <v/>
      </c>
      <c r="AK1468" s="267">
        <f>IFERROR(__xludf.DUMMYFUNCTION("""COMPUTED_VALUE"""),44561.9986111111)</f>
        <v/>
      </c>
      <c r="AL1468" s="6">
        <f>IFERROR(__xludf.DUMMYFUNCTION("""COMPUTED_VALUE"""),46203.3)</f>
        <v/>
      </c>
      <c r="AP1468" s="6">
        <f>AQ1468&amp;AR1468</f>
        <v/>
      </c>
      <c r="AQ1468" s="6">
        <f>YEAR(AS1468)</f>
        <v/>
      </c>
      <c r="AR1468" s="6">
        <f>MONTH(AS1468)</f>
        <v/>
      </c>
      <c r="AS1468" s="267">
        <f>IFERROR(__xludf.DUMMYFUNCTION("""COMPUTED_VALUE"""),45236.9986111111)</f>
        <v/>
      </c>
      <c r="AT1468" s="6">
        <f>IFERROR(__xludf.DUMMYFUNCTION("""COMPUTED_VALUE"""),1988.6)</f>
        <v/>
      </c>
    </row>
    <row r="1469">
      <c r="B1469" s="6">
        <f>C1469&amp;D1469</f>
        <v/>
      </c>
      <c r="C1469" s="6">
        <f>YEAR(E1469)</f>
        <v/>
      </c>
      <c r="D1469" s="6">
        <f>MONTH(E1469)</f>
        <v/>
      </c>
      <c r="E1469" s="267">
        <f>IFERROR(__xludf.DUMMYFUNCTION("""COMPUTED_VALUE"""),45230.6666666666)</f>
        <v/>
      </c>
      <c r="F1469" s="6">
        <f>IFERROR(__xludf.DUMMYFUNCTION("""COMPUTED_VALUE"""),4193.8)</f>
        <v/>
      </c>
      <c r="J1469" s="6">
        <f>K1469&amp;L1469</f>
        <v/>
      </c>
      <c r="K1469" s="6">
        <f>YEAR(M1469)</f>
        <v/>
      </c>
      <c r="L1469" s="6">
        <f>MONTH(M1469)</f>
        <v/>
      </c>
      <c r="M1469" s="267">
        <f>IFERROR(__xludf.DUMMYFUNCTION("""COMPUTED_VALUE"""),45222.6666666666)</f>
        <v/>
      </c>
      <c r="N1469" s="6">
        <f>IFERROR(__xludf.DUMMYFUNCTION("""COMPUTED_VALUE"""),13018.33)</f>
        <v/>
      </c>
      <c r="R1469" s="6">
        <f>S1469&amp;T1469</f>
        <v/>
      </c>
      <c r="S1469" s="6">
        <f>YEAR(U1469)</f>
        <v/>
      </c>
      <c r="T1469" s="6">
        <f>MONTH(U1469)</f>
        <v/>
      </c>
      <c r="U1469" s="267">
        <f>IFERROR(__xludf.DUMMYFUNCTION("""COMPUTED_VALUE"""),45279.6458333333)</f>
        <v/>
      </c>
      <c r="V1469" s="6">
        <f>IFERROR(__xludf.DUMMYFUNCTION("""COMPUTED_VALUE"""),2568.55)</f>
        <v/>
      </c>
      <c r="Z1469" s="6">
        <f>AA1469&amp;AB1469</f>
        <v/>
      </c>
      <c r="AA1469" s="6">
        <f>YEAR(AC1469)</f>
        <v/>
      </c>
      <c r="AB1469" s="6">
        <f>MONTH(AC1469)</f>
        <v/>
      </c>
      <c r="AC1469" s="267">
        <f>IFERROR(__xludf.DUMMYFUNCTION("""COMPUTED_VALUE"""),44618.9986111111)</f>
        <v/>
      </c>
      <c r="AD1469" s="6">
        <f>IFERROR(__xludf.DUMMYFUNCTION("""COMPUTED_VALUE"""),1195.92)</f>
        <v/>
      </c>
      <c r="AH1469" s="6">
        <f>AI1469&amp;AJ1469</f>
        <v/>
      </c>
      <c r="AI1469" s="6">
        <f>YEAR(AK1469)</f>
        <v/>
      </c>
      <c r="AJ1469" s="6">
        <f>MONTH(AK1469)</f>
        <v/>
      </c>
      <c r="AK1469" s="267">
        <f>IFERROR(__xludf.DUMMYFUNCTION("""COMPUTED_VALUE"""),44562.9986111111)</f>
        <v/>
      </c>
      <c r="AL1469" s="6">
        <f>IFERROR(__xludf.DUMMYFUNCTION("""COMPUTED_VALUE"""),47740.14)</f>
        <v/>
      </c>
      <c r="AP1469" s="6">
        <f>AQ1469&amp;AR1469</f>
        <v/>
      </c>
      <c r="AQ1469" s="6">
        <f>YEAR(AS1469)</f>
        <v/>
      </c>
      <c r="AR1469" s="6">
        <f>MONTH(AS1469)</f>
        <v/>
      </c>
      <c r="AS1469" s="267">
        <f>IFERROR(__xludf.DUMMYFUNCTION("""COMPUTED_VALUE"""),45237.9986111111)</f>
        <v/>
      </c>
      <c r="AT1469" s="6">
        <f>IFERROR(__xludf.DUMMYFUNCTION("""COMPUTED_VALUE"""),1973.5)</f>
        <v/>
      </c>
    </row>
    <row r="1470">
      <c r="B1470" s="6">
        <f>C1470&amp;D1470</f>
        <v/>
      </c>
      <c r="C1470" s="6">
        <f>YEAR(E1470)</f>
        <v/>
      </c>
      <c r="D1470" s="6">
        <f>MONTH(E1470)</f>
        <v/>
      </c>
      <c r="E1470" s="267">
        <f>IFERROR(__xludf.DUMMYFUNCTION("""COMPUTED_VALUE"""),45231.6666666666)</f>
        <v/>
      </c>
      <c r="F1470" s="6">
        <f>IFERROR(__xludf.DUMMYFUNCTION("""COMPUTED_VALUE"""),4237.86)</f>
        <v/>
      </c>
      <c r="J1470" s="6">
        <f>K1470&amp;L1470</f>
        <v/>
      </c>
      <c r="K1470" s="6">
        <f>YEAR(M1470)</f>
        <v/>
      </c>
      <c r="L1470" s="6">
        <f>MONTH(M1470)</f>
        <v/>
      </c>
      <c r="M1470" s="267">
        <f>IFERROR(__xludf.DUMMYFUNCTION("""COMPUTED_VALUE"""),45223.6666666666)</f>
        <v/>
      </c>
      <c r="N1470" s="6">
        <f>IFERROR(__xludf.DUMMYFUNCTION("""COMPUTED_VALUE"""),13139.88)</f>
        <v/>
      </c>
      <c r="R1470" s="6">
        <f>S1470&amp;T1470</f>
        <v/>
      </c>
      <c r="S1470" s="6">
        <f>YEAR(U1470)</f>
        <v/>
      </c>
      <c r="T1470" s="6">
        <f>MONTH(U1470)</f>
        <v/>
      </c>
      <c r="U1470" s="267">
        <f>IFERROR(__xludf.DUMMYFUNCTION("""COMPUTED_VALUE"""),45280.6458333333)</f>
        <v/>
      </c>
      <c r="V1470" s="6">
        <f>IFERROR(__xludf.DUMMYFUNCTION("""COMPUTED_VALUE"""),2614.3)</f>
        <v/>
      </c>
      <c r="Z1470" s="6">
        <f>AA1470&amp;AB1470</f>
        <v/>
      </c>
      <c r="AA1470" s="6">
        <f>YEAR(AC1470)</f>
        <v/>
      </c>
      <c r="AB1470" s="6">
        <f>MONTH(AC1470)</f>
        <v/>
      </c>
      <c r="AC1470" s="267">
        <f>IFERROR(__xludf.DUMMYFUNCTION("""COMPUTED_VALUE"""),44619.9986111111)</f>
        <v/>
      </c>
      <c r="AD1470" s="6">
        <f>IFERROR(__xludf.DUMMYFUNCTION("""COMPUTED_VALUE"""),1197.59)</f>
        <v/>
      </c>
      <c r="AH1470" s="6">
        <f>AI1470&amp;AJ1470</f>
        <v/>
      </c>
      <c r="AI1470" s="6">
        <f>YEAR(AK1470)</f>
        <v/>
      </c>
      <c r="AJ1470" s="6">
        <f>MONTH(AK1470)</f>
        <v/>
      </c>
      <c r="AK1470" s="267">
        <f>IFERROR(__xludf.DUMMYFUNCTION("""COMPUTED_VALUE"""),44563.9986111111)</f>
        <v/>
      </c>
      <c r="AL1470" s="6">
        <f>IFERROR(__xludf.DUMMYFUNCTION("""COMPUTED_VALUE"""),47311.28)</f>
        <v/>
      </c>
      <c r="AP1470" s="6">
        <f>AQ1470&amp;AR1470</f>
        <v/>
      </c>
      <c r="AQ1470" s="6">
        <f>YEAR(AS1470)</f>
        <v/>
      </c>
      <c r="AR1470" s="6">
        <f>MONTH(AS1470)</f>
        <v/>
      </c>
      <c r="AS1470" s="267">
        <f>IFERROR(__xludf.DUMMYFUNCTION("""COMPUTED_VALUE"""),45238.9986111111)</f>
        <v/>
      </c>
      <c r="AT1470" s="6">
        <f>IFERROR(__xludf.DUMMYFUNCTION("""COMPUTED_VALUE"""),1957.8)</f>
        <v/>
      </c>
    </row>
    <row r="1471">
      <c r="B1471" s="6">
        <f>C1471&amp;D1471</f>
        <v/>
      </c>
      <c r="C1471" s="6">
        <f>YEAR(E1471)</f>
        <v/>
      </c>
      <c r="D1471" s="6">
        <f>MONTH(E1471)</f>
        <v/>
      </c>
      <c r="E1471" s="267">
        <f>IFERROR(__xludf.DUMMYFUNCTION("""COMPUTED_VALUE"""),45232.6666666666)</f>
        <v/>
      </c>
      <c r="F1471" s="6">
        <f>IFERROR(__xludf.DUMMYFUNCTION("""COMPUTED_VALUE"""),4317.78)</f>
        <v/>
      </c>
      <c r="J1471" s="6">
        <f>K1471&amp;L1471</f>
        <v/>
      </c>
      <c r="K1471" s="6">
        <f>YEAR(M1471)</f>
        <v/>
      </c>
      <c r="L1471" s="6">
        <f>MONTH(M1471)</f>
        <v/>
      </c>
      <c r="M1471" s="267">
        <f>IFERROR(__xludf.DUMMYFUNCTION("""COMPUTED_VALUE"""),45224.6666666666)</f>
        <v/>
      </c>
      <c r="N1471" s="6">
        <f>IFERROR(__xludf.DUMMYFUNCTION("""COMPUTED_VALUE"""),12821.22)</f>
        <v/>
      </c>
      <c r="R1471" s="6">
        <f>S1471&amp;T1471</f>
        <v/>
      </c>
      <c r="S1471" s="6">
        <f>YEAR(U1471)</f>
        <v/>
      </c>
      <c r="T1471" s="6">
        <f>MONTH(U1471)</f>
        <v/>
      </c>
      <c r="U1471" s="267">
        <f>IFERROR(__xludf.DUMMYFUNCTION("""COMPUTED_VALUE"""),45281.6458333333)</f>
        <v/>
      </c>
      <c r="V1471" s="6">
        <f>IFERROR(__xludf.DUMMYFUNCTION("""COMPUTED_VALUE"""),2600.02)</f>
        <v/>
      </c>
      <c r="Z1471" s="6">
        <f>AA1471&amp;AB1471</f>
        <v/>
      </c>
      <c r="AA1471" s="6">
        <f>YEAR(AC1471)</f>
        <v/>
      </c>
      <c r="AB1471" s="6">
        <f>MONTH(AC1471)</f>
        <v/>
      </c>
      <c r="AC1471" s="267">
        <f>IFERROR(__xludf.DUMMYFUNCTION("""COMPUTED_VALUE"""),44620.9986111111)</f>
        <v/>
      </c>
      <c r="AD1471" s="6">
        <f>IFERROR(__xludf.DUMMYFUNCTION("""COMPUTED_VALUE"""),1200.93)</f>
        <v/>
      </c>
      <c r="AH1471" s="6">
        <f>AI1471&amp;AJ1471</f>
        <v/>
      </c>
      <c r="AI1471" s="6">
        <f>YEAR(AK1471)</f>
        <v/>
      </c>
      <c r="AJ1471" s="6">
        <f>MONTH(AK1471)</f>
        <v/>
      </c>
      <c r="AK1471" s="267">
        <f>IFERROR(__xludf.DUMMYFUNCTION("""COMPUTED_VALUE"""),44564.9986111111)</f>
        <v/>
      </c>
      <c r="AL1471" s="6">
        <f>IFERROR(__xludf.DUMMYFUNCTION("""COMPUTED_VALUE"""),46428.77)</f>
        <v/>
      </c>
      <c r="AP1471" s="6">
        <f>AQ1471&amp;AR1471</f>
        <v/>
      </c>
      <c r="AQ1471" s="6">
        <f>YEAR(AS1471)</f>
        <v/>
      </c>
      <c r="AR1471" s="6">
        <f>MONTH(AS1471)</f>
        <v/>
      </c>
      <c r="AS1471" s="267">
        <f>IFERROR(__xludf.DUMMYFUNCTION("""COMPUTED_VALUE"""),45239.9986111111)</f>
        <v/>
      </c>
      <c r="AT1471" s="6">
        <f>IFERROR(__xludf.DUMMYFUNCTION("""COMPUTED_VALUE"""),1969.8)</f>
        <v/>
      </c>
    </row>
    <row r="1472">
      <c r="B1472" s="6">
        <f>C1472&amp;D1472</f>
        <v/>
      </c>
      <c r="C1472" s="6">
        <f>YEAR(E1472)</f>
        <v/>
      </c>
      <c r="D1472" s="6">
        <f>MONTH(E1472)</f>
        <v/>
      </c>
      <c r="E1472" s="267">
        <f>IFERROR(__xludf.DUMMYFUNCTION("""COMPUTED_VALUE"""),45233.6666666666)</f>
        <v/>
      </c>
      <c r="F1472" s="6">
        <f>IFERROR(__xludf.DUMMYFUNCTION("""COMPUTED_VALUE"""),4358.34)</f>
        <v/>
      </c>
      <c r="J1472" s="6">
        <f>K1472&amp;L1472</f>
        <v/>
      </c>
      <c r="K1472" s="6">
        <f>YEAR(M1472)</f>
        <v/>
      </c>
      <c r="L1472" s="6">
        <f>MONTH(M1472)</f>
        <v/>
      </c>
      <c r="M1472" s="267">
        <f>IFERROR(__xludf.DUMMYFUNCTION("""COMPUTED_VALUE"""),45225.6666666666)</f>
        <v/>
      </c>
      <c r="N1472" s="6">
        <f>IFERROR(__xludf.DUMMYFUNCTION("""COMPUTED_VALUE"""),12595.61)</f>
        <v/>
      </c>
      <c r="R1472" s="6">
        <f>S1472&amp;T1472</f>
        <v/>
      </c>
      <c r="S1472" s="6">
        <f>YEAR(U1472)</f>
        <v/>
      </c>
      <c r="T1472" s="6">
        <f>MONTH(U1472)</f>
        <v/>
      </c>
      <c r="U1472" s="267">
        <f>IFERROR(__xludf.DUMMYFUNCTION("""COMPUTED_VALUE"""),45282.6458333333)</f>
        <v/>
      </c>
      <c r="V1472" s="6">
        <f>IFERROR(__xludf.DUMMYFUNCTION("""COMPUTED_VALUE"""),2599.51)</f>
        <v/>
      </c>
      <c r="Z1472" s="6">
        <f>AA1472&amp;AB1472</f>
        <v/>
      </c>
      <c r="AA1472" s="6">
        <f>YEAR(AC1472)</f>
        <v/>
      </c>
      <c r="AB1472" s="6">
        <f>MONTH(AC1472)</f>
        <v/>
      </c>
      <c r="AC1472" s="267">
        <f>IFERROR(__xludf.DUMMYFUNCTION("""COMPUTED_VALUE"""),44621.9986111111)</f>
        <v/>
      </c>
      <c r="AD1472" s="6">
        <f>IFERROR(__xludf.DUMMYFUNCTION("""COMPUTED_VALUE"""),1205.37)</f>
        <v/>
      </c>
      <c r="AH1472" s="6">
        <f>AI1472&amp;AJ1472</f>
        <v/>
      </c>
      <c r="AI1472" s="6">
        <f>YEAR(AK1472)</f>
        <v/>
      </c>
      <c r="AJ1472" s="6">
        <f>MONTH(AK1472)</f>
        <v/>
      </c>
      <c r="AK1472" s="267">
        <f>IFERROR(__xludf.DUMMYFUNCTION("""COMPUTED_VALUE"""),44565.9986111111)</f>
        <v/>
      </c>
      <c r="AL1472" s="6">
        <f>IFERROR(__xludf.DUMMYFUNCTION("""COMPUTED_VALUE"""),45843.78)</f>
        <v/>
      </c>
      <c r="AP1472" s="6">
        <f>AQ1472&amp;AR1472</f>
        <v/>
      </c>
      <c r="AQ1472" s="6">
        <f>YEAR(AS1472)</f>
        <v/>
      </c>
      <c r="AR1472" s="6">
        <f>MONTH(AS1472)</f>
        <v/>
      </c>
      <c r="AS1472" s="267">
        <f>IFERROR(__xludf.DUMMYFUNCTION("""COMPUTED_VALUE"""),45240.9986111111)</f>
        <v/>
      </c>
      <c r="AT1472" s="6">
        <f>IFERROR(__xludf.DUMMYFUNCTION("""COMPUTED_VALUE"""),1937.7)</f>
        <v/>
      </c>
    </row>
    <row r="1473">
      <c r="B1473" s="6">
        <f>C1473&amp;D1473</f>
        <v/>
      </c>
      <c r="C1473" s="6">
        <f>YEAR(E1473)</f>
        <v/>
      </c>
      <c r="D1473" s="6">
        <f>MONTH(E1473)</f>
        <v/>
      </c>
      <c r="E1473" s="267">
        <f>IFERROR(__xludf.DUMMYFUNCTION("""COMPUTED_VALUE"""),45236.6666666666)</f>
        <v/>
      </c>
      <c r="F1473" s="6">
        <f>IFERROR(__xludf.DUMMYFUNCTION("""COMPUTED_VALUE"""),4365.98)</f>
        <v/>
      </c>
      <c r="J1473" s="6">
        <f>K1473&amp;L1473</f>
        <v/>
      </c>
      <c r="K1473" s="6">
        <f>YEAR(M1473)</f>
        <v/>
      </c>
      <c r="L1473" s="6">
        <f>MONTH(M1473)</f>
        <v/>
      </c>
      <c r="M1473" s="267">
        <f>IFERROR(__xludf.DUMMYFUNCTION("""COMPUTED_VALUE"""),45226.6666666666)</f>
        <v/>
      </c>
      <c r="N1473" s="6">
        <f>IFERROR(__xludf.DUMMYFUNCTION("""COMPUTED_VALUE"""),12643.01)</f>
        <v/>
      </c>
      <c r="R1473" s="6">
        <f>S1473&amp;T1473</f>
        <v/>
      </c>
      <c r="S1473" s="6">
        <f>YEAR(U1473)</f>
        <v/>
      </c>
      <c r="T1473" s="6">
        <f>MONTH(U1473)</f>
        <v/>
      </c>
      <c r="U1473" s="267">
        <f>IFERROR(__xludf.DUMMYFUNCTION("""COMPUTED_VALUE"""),45286.6458333333)</f>
        <v/>
      </c>
      <c r="V1473" s="6">
        <f>IFERROR(__xludf.DUMMYFUNCTION("""COMPUTED_VALUE"""),2602.59)</f>
        <v/>
      </c>
      <c r="Z1473" s="6">
        <f>AA1473&amp;AB1473</f>
        <v/>
      </c>
      <c r="AA1473" s="6">
        <f>YEAR(AC1473)</f>
        <v/>
      </c>
      <c r="AB1473" s="6">
        <f>MONTH(AC1473)</f>
        <v/>
      </c>
      <c r="AC1473" s="267">
        <f>IFERROR(__xludf.DUMMYFUNCTION("""COMPUTED_VALUE"""),44622.9986111111)</f>
        <v/>
      </c>
      <c r="AD1473" s="6">
        <f>IFERROR(__xludf.DUMMYFUNCTION("""COMPUTED_VALUE"""),1203.15)</f>
        <v/>
      </c>
      <c r="AH1473" s="6">
        <f>AI1473&amp;AJ1473</f>
        <v/>
      </c>
      <c r="AI1473" s="6">
        <f>YEAR(AK1473)</f>
        <v/>
      </c>
      <c r="AJ1473" s="6">
        <f>MONTH(AK1473)</f>
        <v/>
      </c>
      <c r="AK1473" s="267">
        <f>IFERROR(__xludf.DUMMYFUNCTION("""COMPUTED_VALUE"""),44566.9986111111)</f>
        <v/>
      </c>
      <c r="AL1473" s="6">
        <f>IFERROR(__xludf.DUMMYFUNCTION("""COMPUTED_VALUE"""),43443.79)</f>
        <v/>
      </c>
      <c r="AP1473" s="6">
        <f>AQ1473&amp;AR1473</f>
        <v/>
      </c>
      <c r="AQ1473" s="6">
        <f>YEAR(AS1473)</f>
        <v/>
      </c>
      <c r="AR1473" s="6">
        <f>MONTH(AS1473)</f>
        <v/>
      </c>
      <c r="AS1473" s="267">
        <f>IFERROR(__xludf.DUMMYFUNCTION("""COMPUTED_VALUE"""),45243.9986111111)</f>
        <v/>
      </c>
      <c r="AT1473" s="6">
        <f>IFERROR(__xludf.DUMMYFUNCTION("""COMPUTED_VALUE"""),1950.2)</f>
        <v/>
      </c>
    </row>
    <row r="1474">
      <c r="B1474" s="6">
        <f>C1474&amp;D1474</f>
        <v/>
      </c>
      <c r="C1474" s="6">
        <f>YEAR(E1474)</f>
        <v/>
      </c>
      <c r="D1474" s="6">
        <f>MONTH(E1474)</f>
        <v/>
      </c>
      <c r="E1474" s="267">
        <f>IFERROR(__xludf.DUMMYFUNCTION("""COMPUTED_VALUE"""),45237.6666666666)</f>
        <v/>
      </c>
      <c r="F1474" s="6">
        <f>IFERROR(__xludf.DUMMYFUNCTION("""COMPUTED_VALUE"""),4378.38)</f>
        <v/>
      </c>
      <c r="J1474" s="6">
        <f>K1474&amp;L1474</f>
        <v/>
      </c>
      <c r="K1474" s="6">
        <f>YEAR(M1474)</f>
        <v/>
      </c>
      <c r="L1474" s="6">
        <f>MONTH(M1474)</f>
        <v/>
      </c>
      <c r="M1474" s="267">
        <f>IFERROR(__xludf.DUMMYFUNCTION("""COMPUTED_VALUE"""),45229.6666666666)</f>
        <v/>
      </c>
      <c r="N1474" s="6">
        <f>IFERROR(__xludf.DUMMYFUNCTION("""COMPUTED_VALUE"""),12789.48)</f>
        <v/>
      </c>
      <c r="R1474" s="6">
        <f>S1474&amp;T1474</f>
        <v/>
      </c>
      <c r="S1474" s="6">
        <f>YEAR(U1474)</f>
        <v/>
      </c>
      <c r="T1474" s="6">
        <f>MONTH(U1474)</f>
        <v/>
      </c>
      <c r="U1474" s="267">
        <f>IFERROR(__xludf.DUMMYFUNCTION("""COMPUTED_VALUE"""),45287.6458333333)</f>
        <v/>
      </c>
      <c r="V1474" s="6">
        <f>IFERROR(__xludf.DUMMYFUNCTION("""COMPUTED_VALUE"""),2613.5)</f>
        <v/>
      </c>
      <c r="Z1474" s="6">
        <f>AA1474&amp;AB1474</f>
        <v/>
      </c>
      <c r="AA1474" s="6">
        <f>YEAR(AC1474)</f>
        <v/>
      </c>
      <c r="AB1474" s="6">
        <f>MONTH(AC1474)</f>
        <v/>
      </c>
      <c r="AC1474" s="267">
        <f>IFERROR(__xludf.DUMMYFUNCTION("""COMPUTED_VALUE"""),44623.9986111111)</f>
        <v/>
      </c>
      <c r="AD1474" s="6">
        <f>IFERROR(__xludf.DUMMYFUNCTION("""COMPUTED_VALUE"""),1205.99)</f>
        <v/>
      </c>
      <c r="AH1474" s="6">
        <f>AI1474&amp;AJ1474</f>
        <v/>
      </c>
      <c r="AI1474" s="6">
        <f>YEAR(AK1474)</f>
        <v/>
      </c>
      <c r="AJ1474" s="6">
        <f>MONTH(AK1474)</f>
        <v/>
      </c>
      <c r="AK1474" s="267">
        <f>IFERROR(__xludf.DUMMYFUNCTION("""COMPUTED_VALUE"""),44567.9986111111)</f>
        <v/>
      </c>
      <c r="AL1474" s="6">
        <f>IFERROR(__xludf.DUMMYFUNCTION("""COMPUTED_VALUE"""),43108.58)</f>
        <v/>
      </c>
      <c r="AP1474" s="6">
        <f>AQ1474&amp;AR1474</f>
        <v/>
      </c>
      <c r="AQ1474" s="6">
        <f>YEAR(AS1474)</f>
        <v/>
      </c>
      <c r="AR1474" s="6">
        <f>MONTH(AS1474)</f>
        <v/>
      </c>
      <c r="AS1474" s="267">
        <f>IFERROR(__xludf.DUMMYFUNCTION("""COMPUTED_VALUE"""),45244.9986111111)</f>
        <v/>
      </c>
      <c r="AT1474" s="6">
        <f>IFERROR(__xludf.DUMMYFUNCTION("""COMPUTED_VALUE"""),1966.5)</f>
        <v/>
      </c>
    </row>
    <row r="1475">
      <c r="B1475" s="6">
        <f>C1475&amp;D1475</f>
        <v/>
      </c>
      <c r="C1475" s="6">
        <f>YEAR(E1475)</f>
        <v/>
      </c>
      <c r="D1475" s="6">
        <f>MONTH(E1475)</f>
        <v/>
      </c>
      <c r="E1475" s="267">
        <f>IFERROR(__xludf.DUMMYFUNCTION("""COMPUTED_VALUE"""),45238.6666666666)</f>
        <v/>
      </c>
      <c r="F1475" s="6">
        <f>IFERROR(__xludf.DUMMYFUNCTION("""COMPUTED_VALUE"""),4382.78)</f>
        <v/>
      </c>
      <c r="J1475" s="6">
        <f>K1475&amp;L1475</f>
        <v/>
      </c>
      <c r="K1475" s="6">
        <f>YEAR(M1475)</f>
        <v/>
      </c>
      <c r="L1475" s="6">
        <f>MONTH(M1475)</f>
        <v/>
      </c>
      <c r="M1475" s="267">
        <f>IFERROR(__xludf.DUMMYFUNCTION("""COMPUTED_VALUE"""),45230.6666666666)</f>
        <v/>
      </c>
      <c r="N1475" s="6">
        <f>IFERROR(__xludf.DUMMYFUNCTION("""COMPUTED_VALUE"""),12851.24)</f>
        <v/>
      </c>
      <c r="R1475" s="6">
        <f>S1475&amp;T1475</f>
        <v/>
      </c>
      <c r="S1475" s="6">
        <f>YEAR(U1475)</f>
        <v/>
      </c>
      <c r="T1475" s="6">
        <f>MONTH(U1475)</f>
        <v/>
      </c>
      <c r="U1475" s="267">
        <f>IFERROR(__xludf.DUMMYFUNCTION("""COMPUTED_VALUE"""),45288.6458333333)</f>
        <v/>
      </c>
      <c r="V1475" s="6">
        <f>IFERROR(__xludf.DUMMYFUNCTION("""COMPUTED_VALUE"""),2655.28)</f>
        <v/>
      </c>
      <c r="Z1475" s="6">
        <f>AA1475&amp;AB1475</f>
        <v/>
      </c>
      <c r="AA1475" s="6">
        <f>YEAR(AC1475)</f>
        <v/>
      </c>
      <c r="AB1475" s="6">
        <f>MONTH(AC1475)</f>
        <v/>
      </c>
      <c r="AC1475" s="267">
        <f>IFERROR(__xludf.DUMMYFUNCTION("""COMPUTED_VALUE"""),44624.9986111111)</f>
        <v/>
      </c>
      <c r="AD1475" s="6">
        <f>IFERROR(__xludf.DUMMYFUNCTION("""COMPUTED_VALUE"""),1216.71)</f>
        <v/>
      </c>
      <c r="AH1475" s="6">
        <f>AI1475&amp;AJ1475</f>
        <v/>
      </c>
      <c r="AI1475" s="6">
        <f>YEAR(AK1475)</f>
        <v/>
      </c>
      <c r="AJ1475" s="6">
        <f>MONTH(AK1475)</f>
        <v/>
      </c>
      <c r="AK1475" s="267">
        <f>IFERROR(__xludf.DUMMYFUNCTION("""COMPUTED_VALUE"""),44568.9986111111)</f>
        <v/>
      </c>
      <c r="AL1475" s="6">
        <f>IFERROR(__xludf.DUMMYFUNCTION("""COMPUTED_VALUE"""),41535.77)</f>
        <v/>
      </c>
      <c r="AP1475" s="6">
        <f>AQ1475&amp;AR1475</f>
        <v/>
      </c>
      <c r="AQ1475" s="6">
        <f>YEAR(AS1475)</f>
        <v/>
      </c>
      <c r="AR1475" s="6">
        <f>MONTH(AS1475)</f>
        <v/>
      </c>
      <c r="AS1475" s="267">
        <f>IFERROR(__xludf.DUMMYFUNCTION("""COMPUTED_VALUE"""),45245.9986111111)</f>
        <v/>
      </c>
      <c r="AT1475" s="6">
        <f>IFERROR(__xludf.DUMMYFUNCTION("""COMPUTED_VALUE"""),1964.3)</f>
        <v/>
      </c>
    </row>
    <row r="1476">
      <c r="B1476" s="6">
        <f>C1476&amp;D1476</f>
        <v/>
      </c>
      <c r="C1476" s="6">
        <f>YEAR(E1476)</f>
        <v/>
      </c>
      <c r="D1476" s="6">
        <f>MONTH(E1476)</f>
        <v/>
      </c>
      <c r="E1476" s="267">
        <f>IFERROR(__xludf.DUMMYFUNCTION("""COMPUTED_VALUE"""),45239.6666666666)</f>
        <v/>
      </c>
      <c r="F1476" s="6">
        <f>IFERROR(__xludf.DUMMYFUNCTION("""COMPUTED_VALUE"""),4347.35)</f>
        <v/>
      </c>
      <c r="J1476" s="6">
        <f>K1476&amp;L1476</f>
        <v/>
      </c>
      <c r="K1476" s="6">
        <f>YEAR(M1476)</f>
        <v/>
      </c>
      <c r="L1476" s="6">
        <f>MONTH(M1476)</f>
        <v/>
      </c>
      <c r="M1476" s="267">
        <f>IFERROR(__xludf.DUMMYFUNCTION("""COMPUTED_VALUE"""),45231.6666666666)</f>
        <v/>
      </c>
      <c r="N1476" s="6">
        <f>IFERROR(__xludf.DUMMYFUNCTION("""COMPUTED_VALUE"""),13061.47)</f>
        <v/>
      </c>
      <c r="R1476" s="6">
        <f>S1476&amp;T1476</f>
        <v/>
      </c>
      <c r="S1476" s="6">
        <f>YEAR(U1476)</f>
        <v/>
      </c>
      <c r="T1476" s="6">
        <f>MONTH(U1476)</f>
        <v/>
      </c>
      <c r="U1476" s="267">
        <f>IFERROR(__xludf.DUMMYFUNCTION("""COMPUTED_VALUE"""),45293.6458333333)</f>
        <v/>
      </c>
      <c r="V1476" s="6">
        <f>IFERROR(__xludf.DUMMYFUNCTION("""COMPUTED_VALUE"""),2669.81)</f>
        <v/>
      </c>
      <c r="Z1476" s="6">
        <f>AA1476&amp;AB1476</f>
        <v/>
      </c>
      <c r="AA1476" s="6">
        <f>YEAR(AC1476)</f>
        <v/>
      </c>
      <c r="AB1476" s="6">
        <f>MONTH(AC1476)</f>
        <v/>
      </c>
      <c r="AC1476" s="267">
        <f>IFERROR(__xludf.DUMMYFUNCTION("""COMPUTED_VALUE"""),44625.9986111111)</f>
        <v/>
      </c>
      <c r="AD1476" s="6">
        <f>IFERROR(__xludf.DUMMYFUNCTION("""COMPUTED_VALUE"""),1215.82)</f>
        <v/>
      </c>
      <c r="AH1476" s="6">
        <f>AI1476&amp;AJ1476</f>
        <v/>
      </c>
      <c r="AI1476" s="6">
        <f>YEAR(AK1476)</f>
        <v/>
      </c>
      <c r="AJ1476" s="6">
        <f>MONTH(AK1476)</f>
        <v/>
      </c>
      <c r="AK1476" s="267">
        <f>IFERROR(__xludf.DUMMYFUNCTION("""COMPUTED_VALUE"""),44569.9986111111)</f>
        <v/>
      </c>
      <c r="AL1476" s="6">
        <f>IFERROR(__xludf.DUMMYFUNCTION("""COMPUTED_VALUE"""),41678.56)</f>
        <v/>
      </c>
      <c r="AP1476" s="6">
        <f>AQ1476&amp;AR1476</f>
        <v/>
      </c>
      <c r="AQ1476" s="6">
        <f>YEAR(AS1476)</f>
        <v/>
      </c>
      <c r="AR1476" s="6">
        <f>MONTH(AS1476)</f>
        <v/>
      </c>
      <c r="AS1476" s="267">
        <f>IFERROR(__xludf.DUMMYFUNCTION("""COMPUTED_VALUE"""),45246.9986111111)</f>
        <v/>
      </c>
      <c r="AT1476" s="6">
        <f>IFERROR(__xludf.DUMMYFUNCTION("""COMPUTED_VALUE"""),1987.3)</f>
        <v/>
      </c>
    </row>
    <row r="1477">
      <c r="B1477" s="6">
        <f>C1477&amp;D1477</f>
        <v/>
      </c>
      <c r="C1477" s="6">
        <f>YEAR(E1477)</f>
        <v/>
      </c>
      <c r="D1477" s="6">
        <f>MONTH(E1477)</f>
        <v/>
      </c>
      <c r="E1477" s="267">
        <f>IFERROR(__xludf.DUMMYFUNCTION("""COMPUTED_VALUE"""),45240.6666666666)</f>
        <v/>
      </c>
      <c r="F1477" s="6">
        <f>IFERROR(__xludf.DUMMYFUNCTION("""COMPUTED_VALUE"""),4415.24)</f>
        <v/>
      </c>
      <c r="J1477" s="6">
        <f>K1477&amp;L1477</f>
        <v/>
      </c>
      <c r="K1477" s="6">
        <f>YEAR(M1477)</f>
        <v/>
      </c>
      <c r="L1477" s="6">
        <f>MONTH(M1477)</f>
        <v/>
      </c>
      <c r="M1477" s="267">
        <f>IFERROR(__xludf.DUMMYFUNCTION("""COMPUTED_VALUE"""),45232.6666666666)</f>
        <v/>
      </c>
      <c r="N1477" s="6">
        <f>IFERROR(__xludf.DUMMYFUNCTION("""COMPUTED_VALUE"""),13294.19)</f>
        <v/>
      </c>
      <c r="R1477" s="6">
        <f>S1477&amp;T1477</f>
        <v/>
      </c>
      <c r="S1477" s="6">
        <f>YEAR(U1477)</f>
        <v/>
      </c>
      <c r="T1477" s="6">
        <f>MONTH(U1477)</f>
        <v/>
      </c>
      <c r="U1477" s="267">
        <f>IFERROR(__xludf.DUMMYFUNCTION("""COMPUTED_VALUE"""),45294.6458333333)</f>
        <v/>
      </c>
      <c r="V1477" s="6">
        <f>IFERROR(__xludf.DUMMYFUNCTION("""COMPUTED_VALUE"""),2607.31)</f>
        <v/>
      </c>
      <c r="Z1477" s="6">
        <f>AA1477&amp;AB1477</f>
        <v/>
      </c>
      <c r="AA1477" s="6">
        <f>YEAR(AC1477)</f>
        <v/>
      </c>
      <c r="AB1477" s="6">
        <f>MONTH(AC1477)</f>
        <v/>
      </c>
      <c r="AC1477" s="267">
        <f>IFERROR(__xludf.DUMMYFUNCTION("""COMPUTED_VALUE"""),44626.9986111111)</f>
        <v/>
      </c>
      <c r="AD1477" s="6">
        <f>IFERROR(__xludf.DUMMYFUNCTION("""COMPUTED_VALUE"""),1216.71)</f>
        <v/>
      </c>
      <c r="AH1477" s="6">
        <f>AI1477&amp;AJ1477</f>
        <v/>
      </c>
      <c r="AI1477" s="6">
        <f>YEAR(AK1477)</f>
        <v/>
      </c>
      <c r="AJ1477" s="6">
        <f>MONTH(AK1477)</f>
        <v/>
      </c>
      <c r="AK1477" s="267">
        <f>IFERROR(__xludf.DUMMYFUNCTION("""COMPUTED_VALUE"""),44570.9986111111)</f>
        <v/>
      </c>
      <c r="AL1477" s="6">
        <f>IFERROR(__xludf.DUMMYFUNCTION("""COMPUTED_VALUE"""),41857.12)</f>
        <v/>
      </c>
      <c r="AP1477" s="6">
        <f>AQ1477&amp;AR1477</f>
        <v/>
      </c>
      <c r="AQ1477" s="6">
        <f>YEAR(AS1477)</f>
        <v/>
      </c>
      <c r="AR1477" s="6">
        <f>MONTH(AS1477)</f>
        <v/>
      </c>
      <c r="AS1477" s="267">
        <f>IFERROR(__xludf.DUMMYFUNCTION("""COMPUTED_VALUE"""),45247.9986111111)</f>
        <v/>
      </c>
      <c r="AT1477" s="6">
        <f>IFERROR(__xludf.DUMMYFUNCTION("""COMPUTED_VALUE"""),1984.7)</f>
        <v/>
      </c>
    </row>
    <row r="1478">
      <c r="B1478" s="6">
        <f>C1478&amp;D1478</f>
        <v/>
      </c>
      <c r="C1478" s="6">
        <f>YEAR(E1478)</f>
        <v/>
      </c>
      <c r="D1478" s="6">
        <f>MONTH(E1478)</f>
        <v/>
      </c>
      <c r="E1478" s="267">
        <f>IFERROR(__xludf.DUMMYFUNCTION("""COMPUTED_VALUE"""),45243.6666666666)</f>
        <v/>
      </c>
      <c r="F1478" s="6">
        <f>IFERROR(__xludf.DUMMYFUNCTION("""COMPUTED_VALUE"""),4411.55)</f>
        <v/>
      </c>
      <c r="J1478" s="6">
        <f>K1478&amp;L1478</f>
        <v/>
      </c>
      <c r="K1478" s="6">
        <f>YEAR(M1478)</f>
        <v/>
      </c>
      <c r="L1478" s="6">
        <f>MONTH(M1478)</f>
        <v/>
      </c>
      <c r="M1478" s="267">
        <f>IFERROR(__xludf.DUMMYFUNCTION("""COMPUTED_VALUE"""),45233.6666666666)</f>
        <v/>
      </c>
      <c r="N1478" s="6">
        <f>IFERROR(__xludf.DUMMYFUNCTION("""COMPUTED_VALUE"""),13478.28)</f>
        <v/>
      </c>
      <c r="R1478" s="6">
        <f>S1478&amp;T1478</f>
        <v/>
      </c>
      <c r="S1478" s="6">
        <f>YEAR(U1478)</f>
        <v/>
      </c>
      <c r="T1478" s="6">
        <f>MONTH(U1478)</f>
        <v/>
      </c>
      <c r="U1478" s="267">
        <f>IFERROR(__xludf.DUMMYFUNCTION("""COMPUTED_VALUE"""),45295.6458333333)</f>
        <v/>
      </c>
      <c r="V1478" s="6">
        <f>IFERROR(__xludf.DUMMYFUNCTION("""COMPUTED_VALUE"""),2587.02)</f>
        <v/>
      </c>
      <c r="Z1478" s="6">
        <f>AA1478&amp;AB1478</f>
        <v/>
      </c>
      <c r="AA1478" s="6">
        <f>YEAR(AC1478)</f>
        <v/>
      </c>
      <c r="AB1478" s="6">
        <f>MONTH(AC1478)</f>
        <v/>
      </c>
      <c r="AC1478" s="267">
        <f>IFERROR(__xludf.DUMMYFUNCTION("""COMPUTED_VALUE"""),44627.9986111111)</f>
        <v/>
      </c>
      <c r="AD1478" s="6">
        <f>IFERROR(__xludf.DUMMYFUNCTION("""COMPUTED_VALUE"""),1232.3)</f>
        <v/>
      </c>
      <c r="AH1478" s="6">
        <f>AI1478&amp;AJ1478</f>
        <v/>
      </c>
      <c r="AI1478" s="6">
        <f>YEAR(AK1478)</f>
        <v/>
      </c>
      <c r="AJ1478" s="6">
        <f>MONTH(AK1478)</f>
        <v/>
      </c>
      <c r="AK1478" s="267">
        <f>IFERROR(__xludf.DUMMYFUNCTION("""COMPUTED_VALUE"""),44571.9986111111)</f>
        <v/>
      </c>
      <c r="AL1478" s="6">
        <f>IFERROR(__xludf.DUMMYFUNCTION("""COMPUTED_VALUE"""),41827.6)</f>
        <v/>
      </c>
      <c r="AP1478" s="6">
        <f>AQ1478&amp;AR1478</f>
        <v/>
      </c>
      <c r="AQ1478" s="6">
        <f>YEAR(AS1478)</f>
        <v/>
      </c>
      <c r="AR1478" s="6">
        <f>MONTH(AS1478)</f>
        <v/>
      </c>
      <c r="AS1478" s="267">
        <f>IFERROR(__xludf.DUMMYFUNCTION("""COMPUTED_VALUE"""),45250.9986111111)</f>
        <v/>
      </c>
      <c r="AT1478" s="6">
        <f>IFERROR(__xludf.DUMMYFUNCTION("""COMPUTED_VALUE"""),2000.4)</f>
        <v/>
      </c>
    </row>
    <row r="1479">
      <c r="B1479" s="6">
        <f>C1479&amp;D1479</f>
        <v/>
      </c>
      <c r="C1479" s="6">
        <f>YEAR(E1479)</f>
        <v/>
      </c>
      <c r="D1479" s="6">
        <f>MONTH(E1479)</f>
        <v/>
      </c>
      <c r="E1479" s="267">
        <f>IFERROR(__xludf.DUMMYFUNCTION("""COMPUTED_VALUE"""),45244.6666666666)</f>
        <v/>
      </c>
      <c r="F1479" s="6">
        <f>IFERROR(__xludf.DUMMYFUNCTION("""COMPUTED_VALUE"""),4495.7)</f>
        <v/>
      </c>
      <c r="J1479" s="6">
        <f>K1479&amp;L1479</f>
        <v/>
      </c>
      <c r="K1479" s="6">
        <f>YEAR(M1479)</f>
        <v/>
      </c>
      <c r="L1479" s="6">
        <f>MONTH(M1479)</f>
        <v/>
      </c>
      <c r="M1479" s="267">
        <f>IFERROR(__xludf.DUMMYFUNCTION("""COMPUTED_VALUE"""),45236.6666666666)</f>
        <v/>
      </c>
      <c r="N1479" s="6">
        <f>IFERROR(__xludf.DUMMYFUNCTION("""COMPUTED_VALUE"""),13518.78)</f>
        <v/>
      </c>
      <c r="R1479" s="6">
        <f>S1479&amp;T1479</f>
        <v/>
      </c>
      <c r="S1479" s="6">
        <f>YEAR(U1479)</f>
        <v/>
      </c>
      <c r="T1479" s="6">
        <f>MONTH(U1479)</f>
        <v/>
      </c>
      <c r="U1479" s="267">
        <f>IFERROR(__xludf.DUMMYFUNCTION("""COMPUTED_VALUE"""),45296.6458333333)</f>
        <v/>
      </c>
      <c r="V1479" s="6">
        <f>IFERROR(__xludf.DUMMYFUNCTION("""COMPUTED_VALUE"""),2578.08)</f>
        <v/>
      </c>
      <c r="Z1479" s="6">
        <f>AA1479&amp;AB1479</f>
        <v/>
      </c>
      <c r="AA1479" s="6">
        <f>YEAR(AC1479)</f>
        <v/>
      </c>
      <c r="AB1479" s="6">
        <f>MONTH(AC1479)</f>
        <v/>
      </c>
      <c r="AC1479" s="267">
        <f>IFERROR(__xludf.DUMMYFUNCTION("""COMPUTED_VALUE"""),44628.9986111111)</f>
        <v/>
      </c>
      <c r="AD1479" s="6">
        <f>IFERROR(__xludf.DUMMYFUNCTION("""COMPUTED_VALUE"""),1233.11)</f>
        <v/>
      </c>
      <c r="AH1479" s="6">
        <f>AI1479&amp;AJ1479</f>
        <v/>
      </c>
      <c r="AI1479" s="6">
        <f>YEAR(AK1479)</f>
        <v/>
      </c>
      <c r="AJ1479" s="6">
        <f>MONTH(AK1479)</f>
        <v/>
      </c>
      <c r="AK1479" s="267">
        <f>IFERROR(__xludf.DUMMYFUNCTION("""COMPUTED_VALUE"""),44572.9986111111)</f>
        <v/>
      </c>
      <c r="AL1479" s="6">
        <f>IFERROR(__xludf.DUMMYFUNCTION("""COMPUTED_VALUE"""),42730.86)</f>
        <v/>
      </c>
      <c r="AP1479" s="6">
        <f>AQ1479&amp;AR1479</f>
        <v/>
      </c>
      <c r="AQ1479" s="6">
        <f>YEAR(AS1479)</f>
        <v/>
      </c>
      <c r="AR1479" s="6">
        <f>MONTH(AS1479)</f>
        <v/>
      </c>
      <c r="AS1479" s="267">
        <f>IFERROR(__xludf.DUMMYFUNCTION("""COMPUTED_VALUE"""),45251.9986111111)</f>
        <v/>
      </c>
      <c r="AT1479" s="6">
        <f>IFERROR(__xludf.DUMMYFUNCTION("""COMPUTED_VALUE"""),2021.8)</f>
        <v/>
      </c>
    </row>
    <row r="1480">
      <c r="B1480" s="6">
        <f>C1480&amp;D1480</f>
        <v/>
      </c>
      <c r="C1480" s="6">
        <f>YEAR(E1480)</f>
        <v/>
      </c>
      <c r="D1480" s="6">
        <f>MONTH(E1480)</f>
        <v/>
      </c>
      <c r="E1480" s="267">
        <f>IFERROR(__xludf.DUMMYFUNCTION("""COMPUTED_VALUE"""),45245.6666666666)</f>
        <v/>
      </c>
      <c r="F1480" s="6">
        <f>IFERROR(__xludf.DUMMYFUNCTION("""COMPUTED_VALUE"""),4502.88)</f>
        <v/>
      </c>
      <c r="J1480" s="6">
        <f>K1480&amp;L1480</f>
        <v/>
      </c>
      <c r="K1480" s="6">
        <f>YEAR(M1480)</f>
        <v/>
      </c>
      <c r="L1480" s="6">
        <f>MONTH(M1480)</f>
        <v/>
      </c>
      <c r="M1480" s="267">
        <f>IFERROR(__xludf.DUMMYFUNCTION("""COMPUTED_VALUE"""),45237.6666666666)</f>
        <v/>
      </c>
      <c r="N1480" s="6">
        <f>IFERROR(__xludf.DUMMYFUNCTION("""COMPUTED_VALUE"""),13639.86)</f>
        <v/>
      </c>
      <c r="R1480" s="6">
        <f>S1480&amp;T1480</f>
        <v/>
      </c>
      <c r="S1480" s="6">
        <f>YEAR(U1480)</f>
        <v/>
      </c>
      <c r="T1480" s="6">
        <f>MONTH(U1480)</f>
        <v/>
      </c>
      <c r="U1480" s="267">
        <f>IFERROR(__xludf.DUMMYFUNCTION("""COMPUTED_VALUE"""),45299.6458333333)</f>
        <v/>
      </c>
      <c r="V1480" s="6">
        <f>IFERROR(__xludf.DUMMYFUNCTION("""COMPUTED_VALUE"""),2567.82)</f>
        <v/>
      </c>
      <c r="Z1480" s="6">
        <f>AA1480&amp;AB1480</f>
        <v/>
      </c>
      <c r="AA1480" s="6">
        <f>YEAR(AC1480)</f>
        <v/>
      </c>
      <c r="AB1480" s="6">
        <f>MONTH(AC1480)</f>
        <v/>
      </c>
      <c r="AC1480" s="267">
        <f>IFERROR(__xludf.DUMMYFUNCTION("""COMPUTED_VALUE"""),44629.9986111111)</f>
        <v/>
      </c>
      <c r="AD1480" s="6">
        <f>IFERROR(__xludf.DUMMYFUNCTION("""COMPUTED_VALUE"""),1223.23)</f>
        <v/>
      </c>
      <c r="AH1480" s="6">
        <f>AI1480&amp;AJ1480</f>
        <v/>
      </c>
      <c r="AI1480" s="6">
        <f>YEAR(AK1480)</f>
        <v/>
      </c>
      <c r="AJ1480" s="6">
        <f>MONTH(AK1480)</f>
        <v/>
      </c>
      <c r="AK1480" s="267">
        <f>IFERROR(__xludf.DUMMYFUNCTION("""COMPUTED_VALUE"""),44573.9986111111)</f>
        <v/>
      </c>
      <c r="AL1480" s="6">
        <f>IFERROR(__xludf.DUMMYFUNCTION("""COMPUTED_VALUE"""),43901.55)</f>
        <v/>
      </c>
      <c r="AP1480" s="6">
        <f>AQ1480&amp;AR1480</f>
        <v/>
      </c>
      <c r="AQ1480" s="6">
        <f>YEAR(AS1480)</f>
        <v/>
      </c>
      <c r="AR1480" s="6">
        <f>MONTH(AS1480)</f>
        <v/>
      </c>
      <c r="AS1480" s="267">
        <f>IFERROR(__xludf.DUMMYFUNCTION("""COMPUTED_VALUE"""),45252.9986111111)</f>
        <v/>
      </c>
      <c r="AT1480" s="6">
        <f>IFERROR(__xludf.DUMMYFUNCTION("""COMPUTED_VALUE"""),2013.2)</f>
        <v/>
      </c>
    </row>
    <row r="1481">
      <c r="B1481" s="6">
        <f>C1481&amp;D1481</f>
        <v/>
      </c>
      <c r="C1481" s="6">
        <f>YEAR(E1481)</f>
        <v/>
      </c>
      <c r="D1481" s="6">
        <f>MONTH(E1481)</f>
        <v/>
      </c>
      <c r="E1481" s="267">
        <f>IFERROR(__xludf.DUMMYFUNCTION("""COMPUTED_VALUE"""),45246.6666666666)</f>
        <v/>
      </c>
      <c r="F1481" s="6">
        <f>IFERROR(__xludf.DUMMYFUNCTION("""COMPUTED_VALUE"""),4508.24)</f>
        <v/>
      </c>
      <c r="J1481" s="6">
        <f>K1481&amp;L1481</f>
        <v/>
      </c>
      <c r="K1481" s="6">
        <f>YEAR(M1481)</f>
        <v/>
      </c>
      <c r="L1481" s="6">
        <f>MONTH(M1481)</f>
        <v/>
      </c>
      <c r="M1481" s="267">
        <f>IFERROR(__xludf.DUMMYFUNCTION("""COMPUTED_VALUE"""),45238.6666666666)</f>
        <v/>
      </c>
      <c r="N1481" s="6">
        <f>IFERROR(__xludf.DUMMYFUNCTION("""COMPUTED_VALUE"""),13650.41)</f>
        <v/>
      </c>
      <c r="R1481" s="6">
        <f>S1481&amp;T1481</f>
        <v/>
      </c>
      <c r="S1481" s="6">
        <f>YEAR(U1481)</f>
        <v/>
      </c>
      <c r="T1481" s="6">
        <f>MONTH(U1481)</f>
        <v/>
      </c>
      <c r="U1481" s="267">
        <f>IFERROR(__xludf.DUMMYFUNCTION("""COMPUTED_VALUE"""),45300.6458333333)</f>
        <v/>
      </c>
      <c r="V1481" s="6">
        <f>IFERROR(__xludf.DUMMYFUNCTION("""COMPUTED_VALUE"""),2561.24)</f>
        <v/>
      </c>
      <c r="Z1481" s="6">
        <f>AA1481&amp;AB1481</f>
        <v/>
      </c>
      <c r="AA1481" s="6">
        <f>YEAR(AC1481)</f>
        <v/>
      </c>
      <c r="AB1481" s="6">
        <f>MONTH(AC1481)</f>
        <v/>
      </c>
      <c r="AC1481" s="267">
        <f>IFERROR(__xludf.DUMMYFUNCTION("""COMPUTED_VALUE"""),44630.9986111111)</f>
        <v/>
      </c>
      <c r="AD1481" s="6">
        <f>IFERROR(__xludf.DUMMYFUNCTION("""COMPUTED_VALUE"""),1228.6)</f>
        <v/>
      </c>
      <c r="AH1481" s="6">
        <f>AI1481&amp;AJ1481</f>
        <v/>
      </c>
      <c r="AI1481" s="6">
        <f>YEAR(AK1481)</f>
        <v/>
      </c>
      <c r="AJ1481" s="6">
        <f>MONTH(AK1481)</f>
        <v/>
      </c>
      <c r="AK1481" s="267">
        <f>IFERROR(__xludf.DUMMYFUNCTION("""COMPUTED_VALUE"""),44574.9986111111)</f>
        <v/>
      </c>
      <c r="AL1481" s="6">
        <f>IFERROR(__xludf.DUMMYFUNCTION("""COMPUTED_VALUE"""),42537.42)</f>
        <v/>
      </c>
      <c r="AP1481" s="6">
        <f>AQ1481&amp;AR1481</f>
        <v/>
      </c>
      <c r="AQ1481" s="6">
        <f>YEAR(AS1481)</f>
        <v/>
      </c>
      <c r="AR1481" s="6">
        <f>MONTH(AS1481)</f>
        <v/>
      </c>
      <c r="AS1481" s="267">
        <f>IFERROR(__xludf.DUMMYFUNCTION("""COMPUTED_VALUE"""),45254.5416666666)</f>
        <v/>
      </c>
      <c r="AT1481" s="6">
        <f>IFERROR(__xludf.DUMMYFUNCTION("""COMPUTED_VALUE"""),2023.5)</f>
        <v/>
      </c>
    </row>
    <row r="1482">
      <c r="B1482" s="6">
        <f>C1482&amp;D1482</f>
        <v/>
      </c>
      <c r="C1482" s="6">
        <f>YEAR(E1482)</f>
        <v/>
      </c>
      <c r="D1482" s="6">
        <f>MONTH(E1482)</f>
        <v/>
      </c>
      <c r="E1482" s="267">
        <f>IFERROR(__xludf.DUMMYFUNCTION("""COMPUTED_VALUE"""),45247.6666666666)</f>
        <v/>
      </c>
      <c r="F1482" s="6">
        <f>IFERROR(__xludf.DUMMYFUNCTION("""COMPUTED_VALUE"""),4514.02)</f>
        <v/>
      </c>
      <c r="J1482" s="6">
        <f>K1482&amp;L1482</f>
        <v/>
      </c>
      <c r="K1482" s="6">
        <f>YEAR(M1482)</f>
        <v/>
      </c>
      <c r="L1482" s="6">
        <f>MONTH(M1482)</f>
        <v/>
      </c>
      <c r="M1482" s="267">
        <f>IFERROR(__xludf.DUMMYFUNCTION("""COMPUTED_VALUE"""),45239.6666666666)</f>
        <v/>
      </c>
      <c r="N1482" s="6">
        <f>IFERROR(__xludf.DUMMYFUNCTION("""COMPUTED_VALUE"""),13521.45)</f>
        <v/>
      </c>
      <c r="R1482" s="6">
        <f>S1482&amp;T1482</f>
        <v/>
      </c>
      <c r="S1482" s="6">
        <f>YEAR(U1482)</f>
        <v/>
      </c>
      <c r="T1482" s="6">
        <f>MONTH(U1482)</f>
        <v/>
      </c>
      <c r="U1482" s="267">
        <f>IFERROR(__xludf.DUMMYFUNCTION("""COMPUTED_VALUE"""),45301.6458333333)</f>
        <v/>
      </c>
      <c r="V1482" s="6">
        <f>IFERROR(__xludf.DUMMYFUNCTION("""COMPUTED_VALUE"""),2541.98)</f>
        <v/>
      </c>
      <c r="Z1482" s="6">
        <f>AA1482&amp;AB1482</f>
        <v/>
      </c>
      <c r="AA1482" s="6">
        <f>YEAR(AC1482)</f>
        <v/>
      </c>
      <c r="AB1482" s="6">
        <f>MONTH(AC1482)</f>
        <v/>
      </c>
      <c r="AC1482" s="267">
        <f>IFERROR(__xludf.DUMMYFUNCTION("""COMPUTED_VALUE"""),44631.9986111111)</f>
        <v/>
      </c>
      <c r="AD1482" s="6">
        <f>IFERROR(__xludf.DUMMYFUNCTION("""COMPUTED_VALUE"""),1236.89)</f>
        <v/>
      </c>
      <c r="AH1482" s="6">
        <f>AI1482&amp;AJ1482</f>
        <v/>
      </c>
      <c r="AI1482" s="6">
        <f>YEAR(AK1482)</f>
        <v/>
      </c>
      <c r="AJ1482" s="6">
        <f>MONTH(AK1482)</f>
        <v/>
      </c>
      <c r="AK1482" s="267">
        <f>IFERROR(__xludf.DUMMYFUNCTION("""COMPUTED_VALUE"""),44575.9986111111)</f>
        <v/>
      </c>
      <c r="AL1482" s="6">
        <f>IFERROR(__xludf.DUMMYFUNCTION("""COMPUTED_VALUE"""),43083.03)</f>
        <v/>
      </c>
      <c r="AP1482" s="6">
        <f>AQ1482&amp;AR1482</f>
        <v/>
      </c>
      <c r="AQ1482" s="6">
        <f>YEAR(AS1482)</f>
        <v/>
      </c>
      <c r="AR1482" s="6">
        <f>MONTH(AS1482)</f>
        <v/>
      </c>
      <c r="AS1482" s="267">
        <f>IFERROR(__xludf.DUMMYFUNCTION("""COMPUTED_VALUE"""),45257.9986111111)</f>
        <v/>
      </c>
      <c r="AT1482" s="6">
        <f>IFERROR(__xludf.DUMMYFUNCTION("""COMPUTED_VALUE"""),2033)</f>
        <v/>
      </c>
    </row>
    <row r="1483">
      <c r="B1483" s="6">
        <f>C1483&amp;D1483</f>
        <v/>
      </c>
      <c r="C1483" s="6">
        <f>YEAR(E1483)</f>
        <v/>
      </c>
      <c r="D1483" s="6">
        <f>MONTH(E1483)</f>
        <v/>
      </c>
      <c r="E1483" s="267">
        <f>IFERROR(__xludf.DUMMYFUNCTION("""COMPUTED_VALUE"""),45250.6666666666)</f>
        <v/>
      </c>
      <c r="F1483" s="6">
        <f>IFERROR(__xludf.DUMMYFUNCTION("""COMPUTED_VALUE"""),4547.38)</f>
        <v/>
      </c>
      <c r="J1483" s="6">
        <f>K1483&amp;L1483</f>
        <v/>
      </c>
      <c r="K1483" s="6">
        <f>YEAR(M1483)</f>
        <v/>
      </c>
      <c r="L1483" s="6">
        <f>MONTH(M1483)</f>
        <v/>
      </c>
      <c r="M1483" s="267">
        <f>IFERROR(__xludf.DUMMYFUNCTION("""COMPUTED_VALUE"""),45240.6666666666)</f>
        <v/>
      </c>
      <c r="N1483" s="6">
        <f>IFERROR(__xludf.DUMMYFUNCTION("""COMPUTED_VALUE"""),13798.11)</f>
        <v/>
      </c>
      <c r="R1483" s="6">
        <f>S1483&amp;T1483</f>
        <v/>
      </c>
      <c r="S1483" s="6">
        <f>YEAR(U1483)</f>
        <v/>
      </c>
      <c r="T1483" s="6">
        <f>MONTH(U1483)</f>
        <v/>
      </c>
      <c r="U1483" s="267">
        <f>IFERROR(__xludf.DUMMYFUNCTION("""COMPUTED_VALUE"""),45302.6458333333)</f>
        <v/>
      </c>
      <c r="V1483" s="6">
        <f>IFERROR(__xludf.DUMMYFUNCTION("""COMPUTED_VALUE"""),2540.27)</f>
        <v/>
      </c>
      <c r="Z1483" s="6">
        <f>AA1483&amp;AB1483</f>
        <v/>
      </c>
      <c r="AA1483" s="6">
        <f>YEAR(AC1483)</f>
        <v/>
      </c>
      <c r="AB1483" s="6">
        <f>MONTH(AC1483)</f>
        <v/>
      </c>
      <c r="AC1483" s="267">
        <f>IFERROR(__xludf.DUMMYFUNCTION("""COMPUTED_VALUE"""),44632.9986111111)</f>
        <v/>
      </c>
      <c r="AD1483" s="6">
        <f>IFERROR(__xludf.DUMMYFUNCTION("""COMPUTED_VALUE"""),1236.89)</f>
        <v/>
      </c>
      <c r="AH1483" s="6">
        <f>AI1483&amp;AJ1483</f>
        <v/>
      </c>
      <c r="AI1483" s="6">
        <f>YEAR(AK1483)</f>
        <v/>
      </c>
      <c r="AJ1483" s="6">
        <f>MONTH(AK1483)</f>
        <v/>
      </c>
      <c r="AK1483" s="267">
        <f>IFERROR(__xludf.DUMMYFUNCTION("""COMPUTED_VALUE"""),44576.9986111111)</f>
        <v/>
      </c>
      <c r="AL1483" s="6">
        <f>IFERROR(__xludf.DUMMYFUNCTION("""COMPUTED_VALUE"""),43093.38)</f>
        <v/>
      </c>
      <c r="AP1483" s="6">
        <f>AQ1483&amp;AR1483</f>
        <v/>
      </c>
      <c r="AQ1483" s="6">
        <f>YEAR(AS1483)</f>
        <v/>
      </c>
      <c r="AR1483" s="6">
        <f>MONTH(AS1483)</f>
        <v/>
      </c>
      <c r="AS1483" s="267">
        <f>IFERROR(__xludf.DUMMYFUNCTION("""COMPUTED_VALUE"""),45258.9986111111)</f>
        <v/>
      </c>
      <c r="AT1483" s="6">
        <f>IFERROR(__xludf.DUMMYFUNCTION("""COMPUTED_VALUE"""),2060.2)</f>
        <v/>
      </c>
    </row>
    <row r="1484">
      <c r="B1484" s="6">
        <f>C1484&amp;D1484</f>
        <v/>
      </c>
      <c r="C1484" s="6">
        <f>YEAR(E1484)</f>
        <v/>
      </c>
      <c r="D1484" s="6">
        <f>MONTH(E1484)</f>
        <v/>
      </c>
      <c r="E1484" s="267">
        <f>IFERROR(__xludf.DUMMYFUNCTION("""COMPUTED_VALUE"""),45251.6666666666)</f>
        <v/>
      </c>
      <c r="F1484" s="6">
        <f>IFERROR(__xludf.DUMMYFUNCTION("""COMPUTED_VALUE"""),4538.19)</f>
        <v/>
      </c>
      <c r="J1484" s="6">
        <f>K1484&amp;L1484</f>
        <v/>
      </c>
      <c r="K1484" s="6">
        <f>YEAR(M1484)</f>
        <v/>
      </c>
      <c r="L1484" s="6">
        <f>MONTH(M1484)</f>
        <v/>
      </c>
      <c r="M1484" s="267">
        <f>IFERROR(__xludf.DUMMYFUNCTION("""COMPUTED_VALUE"""),45243.6666666666)</f>
        <v/>
      </c>
      <c r="N1484" s="6">
        <f>IFERROR(__xludf.DUMMYFUNCTION("""COMPUTED_VALUE"""),13767.74)</f>
        <v/>
      </c>
      <c r="R1484" s="6">
        <f>S1484&amp;T1484</f>
        <v/>
      </c>
      <c r="S1484" s="6">
        <f>YEAR(U1484)</f>
        <v/>
      </c>
      <c r="T1484" s="6">
        <f>MONTH(U1484)</f>
        <v/>
      </c>
      <c r="U1484" s="267">
        <f>IFERROR(__xludf.DUMMYFUNCTION("""COMPUTED_VALUE"""),45303.6458333333)</f>
        <v/>
      </c>
      <c r="V1484" s="6">
        <f>IFERROR(__xludf.DUMMYFUNCTION("""COMPUTED_VALUE"""),2525.05)</f>
        <v/>
      </c>
      <c r="Z1484" s="6">
        <f>AA1484&amp;AB1484</f>
        <v/>
      </c>
      <c r="AA1484" s="6">
        <f>YEAR(AC1484)</f>
        <v/>
      </c>
      <c r="AB1484" s="6">
        <f>MONTH(AC1484)</f>
        <v/>
      </c>
      <c r="AC1484" s="267">
        <f>IFERROR(__xludf.DUMMYFUNCTION("""COMPUTED_VALUE"""),44633.9986111111)</f>
        <v/>
      </c>
      <c r="AD1484" s="6">
        <f>IFERROR(__xludf.DUMMYFUNCTION("""COMPUTED_VALUE"""),1236.89)</f>
        <v/>
      </c>
      <c r="AH1484" s="6">
        <f>AI1484&amp;AJ1484</f>
        <v/>
      </c>
      <c r="AI1484" s="6">
        <f>YEAR(AK1484)</f>
        <v/>
      </c>
      <c r="AJ1484" s="6">
        <f>MONTH(AK1484)</f>
        <v/>
      </c>
      <c r="AK1484" s="267">
        <f>IFERROR(__xludf.DUMMYFUNCTION("""COMPUTED_VALUE"""),44577.9986111111)</f>
        <v/>
      </c>
      <c r="AL1484" s="6">
        <f>IFERROR(__xludf.DUMMYFUNCTION("""COMPUTED_VALUE"""),43086.08)</f>
        <v/>
      </c>
      <c r="AP1484" s="6">
        <f>AQ1484&amp;AR1484</f>
        <v/>
      </c>
      <c r="AQ1484" s="6">
        <f>YEAR(AS1484)</f>
        <v/>
      </c>
      <c r="AR1484" s="6">
        <f>MONTH(AS1484)</f>
        <v/>
      </c>
      <c r="AS1484" s="267">
        <f>IFERROR(__xludf.DUMMYFUNCTION("""COMPUTED_VALUE"""),45259.9986111111)</f>
        <v/>
      </c>
      <c r="AT1484" s="6">
        <f>IFERROR(__xludf.DUMMYFUNCTION("""COMPUTED_VALUE"""),2067.1)</f>
        <v/>
      </c>
    </row>
    <row r="1485">
      <c r="B1485" s="6">
        <f>C1485&amp;D1485</f>
        <v/>
      </c>
      <c r="C1485" s="6">
        <f>YEAR(E1485)</f>
        <v/>
      </c>
      <c r="D1485" s="6">
        <f>MONTH(E1485)</f>
        <v/>
      </c>
      <c r="E1485" s="267">
        <f>IFERROR(__xludf.DUMMYFUNCTION("""COMPUTED_VALUE"""),45252.6666666666)</f>
        <v/>
      </c>
      <c r="F1485" s="6">
        <f>IFERROR(__xludf.DUMMYFUNCTION("""COMPUTED_VALUE"""),4556.62)</f>
        <v/>
      </c>
      <c r="J1485" s="6">
        <f>K1485&amp;L1485</f>
        <v/>
      </c>
      <c r="K1485" s="6">
        <f>YEAR(M1485)</f>
        <v/>
      </c>
      <c r="L1485" s="6">
        <f>MONTH(M1485)</f>
        <v/>
      </c>
      <c r="M1485" s="267">
        <f>IFERROR(__xludf.DUMMYFUNCTION("""COMPUTED_VALUE"""),45244.6666666666)</f>
        <v/>
      </c>
      <c r="N1485" s="6">
        <f>IFERROR(__xludf.DUMMYFUNCTION("""COMPUTED_VALUE"""),14094.38)</f>
        <v/>
      </c>
      <c r="R1485" s="6">
        <f>S1485&amp;T1485</f>
        <v/>
      </c>
      <c r="S1485" s="6">
        <f>YEAR(U1485)</f>
        <v/>
      </c>
      <c r="T1485" s="6">
        <f>MONTH(U1485)</f>
        <v/>
      </c>
      <c r="U1485" s="267">
        <f>IFERROR(__xludf.DUMMYFUNCTION("""COMPUTED_VALUE"""),45306.6458333333)</f>
        <v/>
      </c>
      <c r="V1485" s="6">
        <f>IFERROR(__xludf.DUMMYFUNCTION("""COMPUTED_VALUE"""),2525.99)</f>
        <v/>
      </c>
      <c r="Z1485" s="6">
        <f>AA1485&amp;AB1485</f>
        <v/>
      </c>
      <c r="AA1485" s="6">
        <f>YEAR(AC1485)</f>
        <v/>
      </c>
      <c r="AB1485" s="6">
        <f>MONTH(AC1485)</f>
        <v/>
      </c>
      <c r="AC1485" s="267">
        <f>IFERROR(__xludf.DUMMYFUNCTION("""COMPUTED_VALUE"""),44634.9986111111)</f>
        <v/>
      </c>
      <c r="AD1485" s="6">
        <f>IFERROR(__xludf.DUMMYFUNCTION("""COMPUTED_VALUE"""),1242.05)</f>
        <v/>
      </c>
      <c r="AH1485" s="6">
        <f>AI1485&amp;AJ1485</f>
        <v/>
      </c>
      <c r="AI1485" s="6">
        <f>YEAR(AK1485)</f>
        <v/>
      </c>
      <c r="AJ1485" s="6">
        <f>MONTH(AK1485)</f>
        <v/>
      </c>
      <c r="AK1485" s="267">
        <f>IFERROR(__xludf.DUMMYFUNCTION("""COMPUTED_VALUE"""),44578.9986111111)</f>
        <v/>
      </c>
      <c r="AL1485" s="6">
        <f>IFERROR(__xludf.DUMMYFUNCTION("""COMPUTED_VALUE"""),42237.48)</f>
        <v/>
      </c>
      <c r="AP1485" s="6">
        <f>AQ1485&amp;AR1485</f>
        <v/>
      </c>
      <c r="AQ1485" s="6">
        <f>YEAR(AS1485)</f>
        <v/>
      </c>
      <c r="AR1485" s="6">
        <f>MONTH(AS1485)</f>
        <v/>
      </c>
      <c r="AS1485" s="267">
        <f>IFERROR(__xludf.DUMMYFUNCTION("""COMPUTED_VALUE"""),45260.9986111111)</f>
        <v/>
      </c>
      <c r="AT1485" s="6">
        <f>IFERROR(__xludf.DUMMYFUNCTION("""COMPUTED_VALUE"""),2057.2)</f>
        <v/>
      </c>
    </row>
    <row r="1486">
      <c r="B1486" s="6">
        <f>C1486&amp;D1486</f>
        <v/>
      </c>
      <c r="C1486" s="6">
        <f>YEAR(E1486)</f>
        <v/>
      </c>
      <c r="D1486" s="6">
        <f>MONTH(E1486)</f>
        <v/>
      </c>
      <c r="E1486" s="267">
        <f>IFERROR(__xludf.DUMMYFUNCTION("""COMPUTED_VALUE"""),45254.5416666666)</f>
        <v/>
      </c>
      <c r="F1486" s="6">
        <f>IFERROR(__xludf.DUMMYFUNCTION("""COMPUTED_VALUE"""),4559.34)</f>
        <v/>
      </c>
      <c r="J1486" s="6">
        <f>K1486&amp;L1486</f>
        <v/>
      </c>
      <c r="K1486" s="6">
        <f>YEAR(M1486)</f>
        <v/>
      </c>
      <c r="L1486" s="6">
        <f>MONTH(M1486)</f>
        <v/>
      </c>
      <c r="M1486" s="267">
        <f>IFERROR(__xludf.DUMMYFUNCTION("""COMPUTED_VALUE"""),45245.6666666666)</f>
        <v/>
      </c>
      <c r="N1486" s="6">
        <f>IFERROR(__xludf.DUMMYFUNCTION("""COMPUTED_VALUE"""),14103.84)</f>
        <v/>
      </c>
      <c r="R1486" s="6">
        <f>S1486&amp;T1486</f>
        <v/>
      </c>
      <c r="S1486" s="6">
        <f>YEAR(U1486)</f>
        <v/>
      </c>
      <c r="T1486" s="6">
        <f>MONTH(U1486)</f>
        <v/>
      </c>
      <c r="U1486" s="267">
        <f>IFERROR(__xludf.DUMMYFUNCTION("""COMPUTED_VALUE"""),45307.6458333333)</f>
        <v/>
      </c>
      <c r="V1486" s="6">
        <f>IFERROR(__xludf.DUMMYFUNCTION("""COMPUTED_VALUE"""),2497.59)</f>
        <v/>
      </c>
      <c r="Z1486" s="6">
        <f>AA1486&amp;AB1486</f>
        <v/>
      </c>
      <c r="AA1486" s="6">
        <f>YEAR(AC1486)</f>
        <v/>
      </c>
      <c r="AB1486" s="6">
        <f>MONTH(AC1486)</f>
        <v/>
      </c>
      <c r="AC1486" s="267">
        <f>IFERROR(__xludf.DUMMYFUNCTION("""COMPUTED_VALUE"""),44635.9986111111)</f>
        <v/>
      </c>
      <c r="AD1486" s="6">
        <f>IFERROR(__xludf.DUMMYFUNCTION("""COMPUTED_VALUE"""),1241.68)</f>
        <v/>
      </c>
      <c r="AH1486" s="6">
        <f>AI1486&amp;AJ1486</f>
        <v/>
      </c>
      <c r="AI1486" s="6">
        <f>YEAR(AK1486)</f>
        <v/>
      </c>
      <c r="AJ1486" s="6">
        <f>MONTH(AK1486)</f>
        <v/>
      </c>
      <c r="AK1486" s="267">
        <f>IFERROR(__xludf.DUMMYFUNCTION("""COMPUTED_VALUE"""),44579.9986111111)</f>
        <v/>
      </c>
      <c r="AL1486" s="6">
        <f>IFERROR(__xludf.DUMMYFUNCTION("""COMPUTED_VALUE"""),42367.78)</f>
        <v/>
      </c>
      <c r="AP1486" s="6">
        <f>AQ1486&amp;AR1486</f>
        <v/>
      </c>
      <c r="AQ1486" s="6">
        <f>YEAR(AS1486)</f>
        <v/>
      </c>
      <c r="AR1486" s="6">
        <f>MONTH(AS1486)</f>
        <v/>
      </c>
      <c r="AS1486" s="267">
        <f>IFERROR(__xludf.DUMMYFUNCTION("""COMPUTED_VALUE"""),45261.9986111111)</f>
        <v/>
      </c>
      <c r="AT1486" s="6">
        <f>IFERROR(__xludf.DUMMYFUNCTION("""COMPUTED_VALUE"""),2089.7)</f>
        <v/>
      </c>
    </row>
    <row r="1487">
      <c r="B1487" s="6">
        <f>C1487&amp;D1487</f>
        <v/>
      </c>
      <c r="C1487" s="6">
        <f>YEAR(E1487)</f>
        <v/>
      </c>
      <c r="D1487" s="6">
        <f>MONTH(E1487)</f>
        <v/>
      </c>
      <c r="E1487" s="267">
        <f>IFERROR(__xludf.DUMMYFUNCTION("""COMPUTED_VALUE"""),45257.6666666666)</f>
        <v/>
      </c>
      <c r="F1487" s="6">
        <f>IFERROR(__xludf.DUMMYFUNCTION("""COMPUTED_VALUE"""),4550.43)</f>
        <v/>
      </c>
      <c r="J1487" s="6">
        <f>K1487&amp;L1487</f>
        <v/>
      </c>
      <c r="K1487" s="6">
        <f>YEAR(M1487)</f>
        <v/>
      </c>
      <c r="L1487" s="6">
        <f>MONTH(M1487)</f>
        <v/>
      </c>
      <c r="M1487" s="267">
        <f>IFERROR(__xludf.DUMMYFUNCTION("""COMPUTED_VALUE"""),45246.6666666666)</f>
        <v/>
      </c>
      <c r="N1487" s="6">
        <f>IFERROR(__xludf.DUMMYFUNCTION("""COMPUTED_VALUE"""),14113.67)</f>
        <v/>
      </c>
      <c r="R1487" s="6">
        <f>S1487&amp;T1487</f>
        <v/>
      </c>
      <c r="S1487" s="6">
        <f>YEAR(U1487)</f>
        <v/>
      </c>
      <c r="T1487" s="6">
        <f>MONTH(U1487)</f>
        <v/>
      </c>
      <c r="U1487" s="267">
        <f>IFERROR(__xludf.DUMMYFUNCTION("""COMPUTED_VALUE"""),45308.6458333333)</f>
        <v/>
      </c>
      <c r="V1487" s="6">
        <f>IFERROR(__xludf.DUMMYFUNCTION("""COMPUTED_VALUE"""),2435.9)</f>
        <v/>
      </c>
      <c r="Z1487" s="6">
        <f>AA1487&amp;AB1487</f>
        <v/>
      </c>
      <c r="AA1487" s="6">
        <f>YEAR(AC1487)</f>
        <v/>
      </c>
      <c r="AB1487" s="6">
        <f>MONTH(AC1487)</f>
        <v/>
      </c>
      <c r="AC1487" s="267">
        <f>IFERROR(__xludf.DUMMYFUNCTION("""COMPUTED_VALUE"""),44636.9986111111)</f>
        <v/>
      </c>
      <c r="AD1487" s="6">
        <f>IFERROR(__xludf.DUMMYFUNCTION("""COMPUTED_VALUE"""),1223)</f>
        <v/>
      </c>
      <c r="AH1487" s="6">
        <f>AI1487&amp;AJ1487</f>
        <v/>
      </c>
      <c r="AI1487" s="6">
        <f>YEAR(AK1487)</f>
        <v/>
      </c>
      <c r="AJ1487" s="6">
        <f>MONTH(AK1487)</f>
        <v/>
      </c>
      <c r="AK1487" s="267">
        <f>IFERROR(__xludf.DUMMYFUNCTION("""COMPUTED_VALUE"""),44580.9986111111)</f>
        <v/>
      </c>
      <c r="AL1487" s="6">
        <f>IFERROR(__xludf.DUMMYFUNCTION("""COMPUTED_VALUE"""),41690.65)</f>
        <v/>
      </c>
      <c r="AP1487" s="6">
        <f>AQ1487&amp;AR1487</f>
        <v/>
      </c>
      <c r="AQ1487" s="6">
        <f>YEAR(AS1487)</f>
        <v/>
      </c>
      <c r="AR1487" s="6">
        <f>MONTH(AS1487)</f>
        <v/>
      </c>
      <c r="AS1487" s="267">
        <f>IFERROR(__xludf.DUMMYFUNCTION("""COMPUTED_VALUE"""),45264.9986111111)</f>
        <v/>
      </c>
      <c r="AT1487" s="6">
        <f>IFERROR(__xludf.DUMMYFUNCTION("""COMPUTED_VALUE"""),2042.2)</f>
        <v/>
      </c>
    </row>
    <row r="1488">
      <c r="B1488" s="6">
        <f>C1488&amp;D1488</f>
        <v/>
      </c>
      <c r="C1488" s="6">
        <f>YEAR(E1488)</f>
        <v/>
      </c>
      <c r="D1488" s="6">
        <f>MONTH(E1488)</f>
        <v/>
      </c>
      <c r="E1488" s="267">
        <f>IFERROR(__xludf.DUMMYFUNCTION("""COMPUTED_VALUE"""),45258.6666666666)</f>
        <v/>
      </c>
      <c r="F1488" s="6">
        <f>IFERROR(__xludf.DUMMYFUNCTION("""COMPUTED_VALUE"""),4554.89)</f>
        <v/>
      </c>
      <c r="J1488" s="6">
        <f>K1488&amp;L1488</f>
        <v/>
      </c>
      <c r="K1488" s="6">
        <f>YEAR(M1488)</f>
        <v/>
      </c>
      <c r="L1488" s="6">
        <f>MONTH(M1488)</f>
        <v/>
      </c>
      <c r="M1488" s="267">
        <f>IFERROR(__xludf.DUMMYFUNCTION("""COMPUTED_VALUE"""),45247.6666666666)</f>
        <v/>
      </c>
      <c r="N1488" s="6">
        <f>IFERROR(__xludf.DUMMYFUNCTION("""COMPUTED_VALUE"""),14125.48)</f>
        <v/>
      </c>
      <c r="R1488" s="6">
        <f>S1488&amp;T1488</f>
        <v/>
      </c>
      <c r="S1488" s="6">
        <f>YEAR(U1488)</f>
        <v/>
      </c>
      <c r="T1488" s="6">
        <f>MONTH(U1488)</f>
        <v/>
      </c>
      <c r="U1488" s="267">
        <f>IFERROR(__xludf.DUMMYFUNCTION("""COMPUTED_VALUE"""),45309.6458333333)</f>
        <v/>
      </c>
      <c r="V1488" s="6">
        <f>IFERROR(__xludf.DUMMYFUNCTION("""COMPUTED_VALUE"""),2440.04)</f>
        <v/>
      </c>
      <c r="Z1488" s="6">
        <f>AA1488&amp;AB1488</f>
        <v/>
      </c>
      <c r="AA1488" s="6">
        <f>YEAR(AC1488)</f>
        <v/>
      </c>
      <c r="AB1488" s="6">
        <f>MONTH(AC1488)</f>
        <v/>
      </c>
      <c r="AC1488" s="267">
        <f>IFERROR(__xludf.DUMMYFUNCTION("""COMPUTED_VALUE"""),44637.9986111111)</f>
        <v/>
      </c>
      <c r="AD1488" s="6">
        <f>IFERROR(__xludf.DUMMYFUNCTION("""COMPUTED_VALUE"""),1210.33)</f>
        <v/>
      </c>
      <c r="AH1488" s="6">
        <f>AI1488&amp;AJ1488</f>
        <v/>
      </c>
      <c r="AI1488" s="6">
        <f>YEAR(AK1488)</f>
        <v/>
      </c>
      <c r="AJ1488" s="6">
        <f>MONTH(AK1488)</f>
        <v/>
      </c>
      <c r="AK1488" s="267">
        <f>IFERROR(__xludf.DUMMYFUNCTION("""COMPUTED_VALUE"""),44581.9986111111)</f>
        <v/>
      </c>
      <c r="AL1488" s="6">
        <f>IFERROR(__xludf.DUMMYFUNCTION("""COMPUTED_VALUE"""),40726.07)</f>
        <v/>
      </c>
      <c r="AP1488" s="6">
        <f>AQ1488&amp;AR1488</f>
        <v/>
      </c>
      <c r="AQ1488" s="6">
        <f>YEAR(AS1488)</f>
        <v/>
      </c>
      <c r="AR1488" s="6">
        <f>MONTH(AS1488)</f>
        <v/>
      </c>
      <c r="AS1488" s="267">
        <f>IFERROR(__xludf.DUMMYFUNCTION("""COMPUTED_VALUE"""),45265.9986111111)</f>
        <v/>
      </c>
      <c r="AT1488" s="6">
        <f>IFERROR(__xludf.DUMMYFUNCTION("""COMPUTED_VALUE"""),2036.3)</f>
        <v/>
      </c>
    </row>
    <row r="1489">
      <c r="B1489" s="6">
        <f>C1489&amp;D1489</f>
        <v/>
      </c>
      <c r="C1489" s="6">
        <f>YEAR(E1489)</f>
        <v/>
      </c>
      <c r="D1489" s="6">
        <f>MONTH(E1489)</f>
        <v/>
      </c>
      <c r="E1489" s="267">
        <f>IFERROR(__xludf.DUMMYFUNCTION("""COMPUTED_VALUE"""),45259.6666666666)</f>
        <v/>
      </c>
      <c r="F1489" s="6">
        <f>IFERROR(__xludf.DUMMYFUNCTION("""COMPUTED_VALUE"""),4550.58)</f>
        <v/>
      </c>
      <c r="J1489" s="6">
        <f>K1489&amp;L1489</f>
        <v/>
      </c>
      <c r="K1489" s="6">
        <f>YEAR(M1489)</f>
        <v/>
      </c>
      <c r="L1489" s="6">
        <f>MONTH(M1489)</f>
        <v/>
      </c>
      <c r="M1489" s="267">
        <f>IFERROR(__xludf.DUMMYFUNCTION("""COMPUTED_VALUE"""),45250.6666666666)</f>
        <v/>
      </c>
      <c r="N1489" s="6">
        <f>IFERROR(__xludf.DUMMYFUNCTION("""COMPUTED_VALUE"""),14284.53)</f>
        <v/>
      </c>
      <c r="R1489" s="6">
        <f>S1489&amp;T1489</f>
        <v/>
      </c>
      <c r="S1489" s="6">
        <f>YEAR(U1489)</f>
        <v/>
      </c>
      <c r="T1489" s="6">
        <f>MONTH(U1489)</f>
        <v/>
      </c>
      <c r="U1489" s="267">
        <f>IFERROR(__xludf.DUMMYFUNCTION("""COMPUTED_VALUE"""),45310.6458333333)</f>
        <v/>
      </c>
      <c r="V1489" s="6">
        <f>IFERROR(__xludf.DUMMYFUNCTION("""COMPUTED_VALUE"""),2472.74)</f>
        <v/>
      </c>
      <c r="Z1489" s="6">
        <f>AA1489&amp;AB1489</f>
        <v/>
      </c>
      <c r="AA1489" s="6">
        <f>YEAR(AC1489)</f>
        <v/>
      </c>
      <c r="AB1489" s="6">
        <f>MONTH(AC1489)</f>
        <v/>
      </c>
      <c r="AC1489" s="267">
        <f>IFERROR(__xludf.DUMMYFUNCTION("""COMPUTED_VALUE"""),44638.9986111111)</f>
        <v/>
      </c>
      <c r="AD1489" s="6">
        <f>IFERROR(__xludf.DUMMYFUNCTION("""COMPUTED_VALUE"""),1210.37)</f>
        <v/>
      </c>
      <c r="AH1489" s="6">
        <f>AI1489&amp;AJ1489</f>
        <v/>
      </c>
      <c r="AI1489" s="6">
        <f>YEAR(AK1489)</f>
        <v/>
      </c>
      <c r="AJ1489" s="6">
        <f>MONTH(AK1489)</f>
        <v/>
      </c>
      <c r="AK1489" s="267">
        <f>IFERROR(__xludf.DUMMYFUNCTION("""COMPUTED_VALUE"""),44582.9986111111)</f>
        <v/>
      </c>
      <c r="AL1489" s="6">
        <f>IFERROR(__xludf.DUMMYFUNCTION("""COMPUTED_VALUE"""),36493.02)</f>
        <v/>
      </c>
      <c r="AP1489" s="6">
        <f>AQ1489&amp;AR1489</f>
        <v/>
      </c>
      <c r="AQ1489" s="6">
        <f>YEAR(AS1489)</f>
        <v/>
      </c>
      <c r="AR1489" s="6">
        <f>MONTH(AS1489)</f>
        <v/>
      </c>
      <c r="AS1489" s="267">
        <f>IFERROR(__xludf.DUMMYFUNCTION("""COMPUTED_VALUE"""),45266.9986111111)</f>
        <v/>
      </c>
      <c r="AT1489" s="6">
        <f>IFERROR(__xludf.DUMMYFUNCTION("""COMPUTED_VALUE"""),2047.9)</f>
        <v/>
      </c>
    </row>
    <row r="1490">
      <c r="B1490" s="6">
        <f>C1490&amp;D1490</f>
        <v/>
      </c>
      <c r="C1490" s="6">
        <f>YEAR(E1490)</f>
        <v/>
      </c>
      <c r="D1490" s="6">
        <f>MONTH(E1490)</f>
        <v/>
      </c>
      <c r="E1490" s="267">
        <f>IFERROR(__xludf.DUMMYFUNCTION("""COMPUTED_VALUE"""),45260.6666666666)</f>
        <v/>
      </c>
      <c r="F1490" s="6">
        <f>IFERROR(__xludf.DUMMYFUNCTION("""COMPUTED_VALUE"""),4567.8)</f>
        <v/>
      </c>
      <c r="J1490" s="6">
        <f>K1490&amp;L1490</f>
        <v/>
      </c>
      <c r="K1490" s="6">
        <f>YEAR(M1490)</f>
        <v/>
      </c>
      <c r="L1490" s="6">
        <f>MONTH(M1490)</f>
        <v/>
      </c>
      <c r="M1490" s="267">
        <f>IFERROR(__xludf.DUMMYFUNCTION("""COMPUTED_VALUE"""),45251.6666666666)</f>
        <v/>
      </c>
      <c r="N1490" s="6">
        <f>IFERROR(__xludf.DUMMYFUNCTION("""COMPUTED_VALUE"""),14199.98)</f>
        <v/>
      </c>
      <c r="R1490" s="6">
        <f>S1490&amp;T1490</f>
        <v/>
      </c>
      <c r="S1490" s="6">
        <f>YEAR(U1490)</f>
        <v/>
      </c>
      <c r="T1490" s="6">
        <f>MONTH(U1490)</f>
        <v/>
      </c>
      <c r="U1490" s="267">
        <f>IFERROR(__xludf.DUMMYFUNCTION("""COMPUTED_VALUE"""),45313.6458333333)</f>
        <v/>
      </c>
      <c r="V1490" s="6">
        <f>IFERROR(__xludf.DUMMYFUNCTION("""COMPUTED_VALUE"""),2464.35)</f>
        <v/>
      </c>
      <c r="Z1490" s="6">
        <f>AA1490&amp;AB1490</f>
        <v/>
      </c>
      <c r="AA1490" s="6">
        <f>YEAR(AC1490)</f>
        <v/>
      </c>
      <c r="AB1490" s="6">
        <f>MONTH(AC1490)</f>
        <v/>
      </c>
      <c r="AC1490" s="267">
        <f>IFERROR(__xludf.DUMMYFUNCTION("""COMPUTED_VALUE"""),44639.9986111111)</f>
        <v/>
      </c>
      <c r="AD1490" s="6">
        <f>IFERROR(__xludf.DUMMYFUNCTION("""COMPUTED_VALUE"""),1210.37)</f>
        <v/>
      </c>
      <c r="AH1490" s="6">
        <f>AI1490&amp;AJ1490</f>
        <v/>
      </c>
      <c r="AI1490" s="6">
        <f>YEAR(AK1490)</f>
        <v/>
      </c>
      <c r="AJ1490" s="6">
        <f>MONTH(AK1490)</f>
        <v/>
      </c>
      <c r="AK1490" s="267">
        <f>IFERROR(__xludf.DUMMYFUNCTION("""COMPUTED_VALUE"""),44583.9986111111)</f>
        <v/>
      </c>
      <c r="AL1490" s="6">
        <f>IFERROR(__xludf.DUMMYFUNCTION("""COMPUTED_VALUE"""),35058.68)</f>
        <v/>
      </c>
      <c r="AP1490" s="6">
        <f>AQ1490&amp;AR1490</f>
        <v/>
      </c>
      <c r="AQ1490" s="6">
        <f>YEAR(AS1490)</f>
        <v/>
      </c>
      <c r="AR1490" s="6">
        <f>MONTH(AS1490)</f>
        <v/>
      </c>
      <c r="AS1490" s="267">
        <f>IFERROR(__xludf.DUMMYFUNCTION("""COMPUTED_VALUE"""),45267.9986111111)</f>
        <v/>
      </c>
      <c r="AT1490" s="6">
        <f>IFERROR(__xludf.DUMMYFUNCTION("""COMPUTED_VALUE"""),2046.4)</f>
        <v/>
      </c>
    </row>
    <row r="1491">
      <c r="B1491" s="6">
        <f>C1491&amp;D1491</f>
        <v/>
      </c>
      <c r="C1491" s="6">
        <f>YEAR(E1491)</f>
        <v/>
      </c>
      <c r="D1491" s="6">
        <f>MONTH(E1491)</f>
        <v/>
      </c>
      <c r="E1491" s="267">
        <f>IFERROR(__xludf.DUMMYFUNCTION("""COMPUTED_VALUE"""),45261.6666666666)</f>
        <v/>
      </c>
      <c r="F1491" s="6">
        <f>IFERROR(__xludf.DUMMYFUNCTION("""COMPUTED_VALUE"""),4594.63)</f>
        <v/>
      </c>
      <c r="J1491" s="6">
        <f>K1491&amp;L1491</f>
        <v/>
      </c>
      <c r="K1491" s="6">
        <f>YEAR(M1491)</f>
        <v/>
      </c>
      <c r="L1491" s="6">
        <f>MONTH(M1491)</f>
        <v/>
      </c>
      <c r="M1491" s="267">
        <f>IFERROR(__xludf.DUMMYFUNCTION("""COMPUTED_VALUE"""),45252.6666666666)</f>
        <v/>
      </c>
      <c r="N1491" s="6">
        <f>IFERROR(__xludf.DUMMYFUNCTION("""COMPUTED_VALUE"""),14265.86)</f>
        <v/>
      </c>
      <c r="R1491" s="6">
        <f>S1491&amp;T1491</f>
        <v/>
      </c>
      <c r="S1491" s="6">
        <f>YEAR(U1491)</f>
        <v/>
      </c>
      <c r="T1491" s="6">
        <f>MONTH(U1491)</f>
        <v/>
      </c>
      <c r="U1491" s="267">
        <f>IFERROR(__xludf.DUMMYFUNCTION("""COMPUTED_VALUE"""),45314.6458333333)</f>
        <v/>
      </c>
      <c r="V1491" s="6">
        <f>IFERROR(__xludf.DUMMYFUNCTION("""COMPUTED_VALUE"""),2478.61)</f>
        <v/>
      </c>
      <c r="Z1491" s="6">
        <f>AA1491&amp;AB1491</f>
        <v/>
      </c>
      <c r="AA1491" s="6">
        <f>YEAR(AC1491)</f>
        <v/>
      </c>
      <c r="AB1491" s="6">
        <f>MONTH(AC1491)</f>
        <v/>
      </c>
      <c r="AC1491" s="267">
        <f>IFERROR(__xludf.DUMMYFUNCTION("""COMPUTED_VALUE"""),44640.9986111111)</f>
        <v/>
      </c>
      <c r="AD1491" s="6">
        <f>IFERROR(__xludf.DUMMYFUNCTION("""COMPUTED_VALUE"""),1210.37)</f>
        <v/>
      </c>
      <c r="AH1491" s="6">
        <f>AI1491&amp;AJ1491</f>
        <v/>
      </c>
      <c r="AI1491" s="6">
        <f>YEAR(AK1491)</f>
        <v/>
      </c>
      <c r="AJ1491" s="6">
        <f>MONTH(AK1491)</f>
        <v/>
      </c>
      <c r="AK1491" s="267">
        <f>IFERROR(__xludf.DUMMYFUNCTION("""COMPUTED_VALUE"""),44584.9986111111)</f>
        <v/>
      </c>
      <c r="AL1491" s="6">
        <f>IFERROR(__xludf.DUMMYFUNCTION("""COMPUTED_VALUE"""),36269.66)</f>
        <v/>
      </c>
      <c r="AP1491" s="6">
        <f>AQ1491&amp;AR1491</f>
        <v/>
      </c>
      <c r="AQ1491" s="6">
        <f>YEAR(AS1491)</f>
        <v/>
      </c>
      <c r="AR1491" s="6">
        <f>MONTH(AS1491)</f>
        <v/>
      </c>
      <c r="AS1491" s="267">
        <f>IFERROR(__xludf.DUMMYFUNCTION("""COMPUTED_VALUE"""),45268.9986111111)</f>
        <v/>
      </c>
      <c r="AT1491" s="6">
        <f>IFERROR(__xludf.DUMMYFUNCTION("""COMPUTED_VALUE"""),2014.5)</f>
        <v/>
      </c>
    </row>
    <row r="1492">
      <c r="B1492" s="6">
        <f>C1492&amp;D1492</f>
        <v/>
      </c>
      <c r="C1492" s="6">
        <f>YEAR(E1492)</f>
        <v/>
      </c>
      <c r="D1492" s="6">
        <f>MONTH(E1492)</f>
        <v/>
      </c>
      <c r="E1492" s="267">
        <f>IFERROR(__xludf.DUMMYFUNCTION("""COMPUTED_VALUE"""),45264.6666666666)</f>
        <v/>
      </c>
      <c r="F1492" s="6">
        <f>IFERROR(__xludf.DUMMYFUNCTION("""COMPUTED_VALUE"""),4569.78)</f>
        <v/>
      </c>
      <c r="J1492" s="6">
        <f>K1492&amp;L1492</f>
        <v/>
      </c>
      <c r="K1492" s="6">
        <f>YEAR(M1492)</f>
        <v/>
      </c>
      <c r="L1492" s="6">
        <f>MONTH(M1492)</f>
        <v/>
      </c>
      <c r="M1492" s="267">
        <f>IFERROR(__xludf.DUMMYFUNCTION("""COMPUTED_VALUE"""),45254.5451388888)</f>
        <v/>
      </c>
      <c r="N1492" s="6">
        <f>IFERROR(__xludf.DUMMYFUNCTION("""COMPUTED_VALUE"""),14250.86)</f>
        <v/>
      </c>
      <c r="R1492" s="6">
        <f>S1492&amp;T1492</f>
        <v/>
      </c>
      <c r="S1492" s="6">
        <f>YEAR(U1492)</f>
        <v/>
      </c>
      <c r="T1492" s="6">
        <f>MONTH(U1492)</f>
        <v/>
      </c>
      <c r="U1492" s="267">
        <f>IFERROR(__xludf.DUMMYFUNCTION("""COMPUTED_VALUE"""),45315.6458333333)</f>
        <v/>
      </c>
      <c r="V1492" s="6">
        <f>IFERROR(__xludf.DUMMYFUNCTION("""COMPUTED_VALUE"""),2469.69)</f>
        <v/>
      </c>
      <c r="Z1492" s="6">
        <f>AA1492&amp;AB1492</f>
        <v/>
      </c>
      <c r="AA1492" s="6">
        <f>YEAR(AC1492)</f>
        <v/>
      </c>
      <c r="AB1492" s="6">
        <f>MONTH(AC1492)</f>
        <v/>
      </c>
      <c r="AC1492" s="267">
        <f>IFERROR(__xludf.DUMMYFUNCTION("""COMPUTED_VALUE"""),44641.9986111111)</f>
        <v/>
      </c>
      <c r="AD1492" s="6">
        <f>IFERROR(__xludf.DUMMYFUNCTION("""COMPUTED_VALUE"""),1219.78)</f>
        <v/>
      </c>
      <c r="AH1492" s="6">
        <f>AI1492&amp;AJ1492</f>
        <v/>
      </c>
      <c r="AI1492" s="6">
        <f>YEAR(AK1492)</f>
        <v/>
      </c>
      <c r="AJ1492" s="6">
        <f>MONTH(AK1492)</f>
        <v/>
      </c>
      <c r="AK1492" s="267">
        <f>IFERROR(__xludf.DUMMYFUNCTION("""COMPUTED_VALUE"""),44585.9986111111)</f>
        <v/>
      </c>
      <c r="AL1492" s="6">
        <f>IFERROR(__xludf.DUMMYFUNCTION("""COMPUTED_VALUE"""),36686.15)</f>
        <v/>
      </c>
      <c r="AP1492" s="6">
        <f>AQ1492&amp;AR1492</f>
        <v/>
      </c>
      <c r="AQ1492" s="6">
        <f>YEAR(AS1492)</f>
        <v/>
      </c>
      <c r="AR1492" s="6">
        <f>MONTH(AS1492)</f>
        <v/>
      </c>
      <c r="AS1492" s="267">
        <f>IFERROR(__xludf.DUMMYFUNCTION("""COMPUTED_VALUE"""),45271.9986111111)</f>
        <v/>
      </c>
      <c r="AT1492" s="6">
        <f>IFERROR(__xludf.DUMMYFUNCTION("""COMPUTED_VALUE"""),1993.7)</f>
        <v/>
      </c>
    </row>
    <row r="1493">
      <c r="B1493" s="6">
        <f>C1493&amp;D1493</f>
        <v/>
      </c>
      <c r="C1493" s="6">
        <f>YEAR(E1493)</f>
        <v/>
      </c>
      <c r="D1493" s="6">
        <f>MONTH(E1493)</f>
        <v/>
      </c>
      <c r="E1493" s="267">
        <f>IFERROR(__xludf.DUMMYFUNCTION("""COMPUTED_VALUE"""),45265.6666666666)</f>
        <v/>
      </c>
      <c r="F1493" s="6">
        <f>IFERROR(__xludf.DUMMYFUNCTION("""COMPUTED_VALUE"""),4567.18)</f>
        <v/>
      </c>
      <c r="J1493" s="6">
        <f>K1493&amp;L1493</f>
        <v/>
      </c>
      <c r="K1493" s="6">
        <f>YEAR(M1493)</f>
        <v/>
      </c>
      <c r="L1493" s="6">
        <f>MONTH(M1493)</f>
        <v/>
      </c>
      <c r="M1493" s="267">
        <f>IFERROR(__xludf.DUMMYFUNCTION("""COMPUTED_VALUE"""),45257.6666666666)</f>
        <v/>
      </c>
      <c r="N1493" s="6">
        <f>IFERROR(__xludf.DUMMYFUNCTION("""COMPUTED_VALUE"""),14241.02)</f>
        <v/>
      </c>
      <c r="R1493" s="6">
        <f>S1493&amp;T1493</f>
        <v/>
      </c>
      <c r="S1493" s="6">
        <f>YEAR(U1493)</f>
        <v/>
      </c>
      <c r="T1493" s="6">
        <f>MONTH(U1493)</f>
        <v/>
      </c>
      <c r="U1493" s="267">
        <f>IFERROR(__xludf.DUMMYFUNCTION("""COMPUTED_VALUE"""),45316.6458333333)</f>
        <v/>
      </c>
      <c r="V1493" s="6">
        <f>IFERROR(__xludf.DUMMYFUNCTION("""COMPUTED_VALUE"""),2470.34)</f>
        <v/>
      </c>
      <c r="Z1493" s="6">
        <f>AA1493&amp;AB1493</f>
        <v/>
      </c>
      <c r="AA1493" s="6">
        <f>YEAR(AC1493)</f>
        <v/>
      </c>
      <c r="AB1493" s="6">
        <f>MONTH(AC1493)</f>
        <v/>
      </c>
      <c r="AC1493" s="267">
        <f>IFERROR(__xludf.DUMMYFUNCTION("""COMPUTED_VALUE"""),44642.9986111111)</f>
        <v/>
      </c>
      <c r="AD1493" s="6">
        <f>IFERROR(__xludf.DUMMYFUNCTION("""COMPUTED_VALUE"""),1214.95)</f>
        <v/>
      </c>
      <c r="AH1493" s="6">
        <f>AI1493&amp;AJ1493</f>
        <v/>
      </c>
      <c r="AI1493" s="6">
        <f>YEAR(AK1493)</f>
        <v/>
      </c>
      <c r="AJ1493" s="6">
        <f>MONTH(AK1493)</f>
        <v/>
      </c>
      <c r="AK1493" s="267">
        <f>IFERROR(__xludf.DUMMYFUNCTION("""COMPUTED_VALUE"""),44586.9986111111)</f>
        <v/>
      </c>
      <c r="AL1493" s="6">
        <f>IFERROR(__xludf.DUMMYFUNCTION("""COMPUTED_VALUE"""),36954.33)</f>
        <v/>
      </c>
      <c r="AP1493" s="6">
        <f>AQ1493&amp;AR1493</f>
        <v/>
      </c>
      <c r="AQ1493" s="6">
        <f>YEAR(AS1493)</f>
        <v/>
      </c>
      <c r="AR1493" s="6">
        <f>MONTH(AS1493)</f>
        <v/>
      </c>
      <c r="AS1493" s="267">
        <f>IFERROR(__xludf.DUMMYFUNCTION("""COMPUTED_VALUE"""),45272.9986111111)</f>
        <v/>
      </c>
      <c r="AT1493" s="6">
        <f>IFERROR(__xludf.DUMMYFUNCTION("""COMPUTED_VALUE"""),1993.2)</f>
        <v/>
      </c>
    </row>
    <row r="1494">
      <c r="B1494" s="6">
        <f>C1494&amp;D1494</f>
        <v/>
      </c>
      <c r="C1494" s="6">
        <f>YEAR(E1494)</f>
        <v/>
      </c>
      <c r="D1494" s="6">
        <f>MONTH(E1494)</f>
        <v/>
      </c>
      <c r="E1494" s="267">
        <f>IFERROR(__xludf.DUMMYFUNCTION("""COMPUTED_VALUE"""),45266.6666666666)</f>
        <v/>
      </c>
      <c r="F1494" s="6">
        <f>IFERROR(__xludf.DUMMYFUNCTION("""COMPUTED_VALUE"""),4549.34)</f>
        <v/>
      </c>
      <c r="J1494" s="6">
        <f>K1494&amp;L1494</f>
        <v/>
      </c>
      <c r="K1494" s="6">
        <f>YEAR(M1494)</f>
        <v/>
      </c>
      <c r="L1494" s="6">
        <f>MONTH(M1494)</f>
        <v/>
      </c>
      <c r="M1494" s="267">
        <f>IFERROR(__xludf.DUMMYFUNCTION("""COMPUTED_VALUE"""),45258.6666666666)</f>
        <v/>
      </c>
      <c r="N1494" s="6">
        <f>IFERROR(__xludf.DUMMYFUNCTION("""COMPUTED_VALUE"""),14281.76)</f>
        <v/>
      </c>
      <c r="R1494" s="6">
        <f>S1494&amp;T1494</f>
        <v/>
      </c>
      <c r="S1494" s="6">
        <f>YEAR(U1494)</f>
        <v/>
      </c>
      <c r="T1494" s="6">
        <f>MONTH(U1494)</f>
        <v/>
      </c>
      <c r="U1494" s="267">
        <f>IFERROR(__xludf.DUMMYFUNCTION("""COMPUTED_VALUE"""),45317.6458333333)</f>
        <v/>
      </c>
      <c r="V1494" s="6">
        <f>IFERROR(__xludf.DUMMYFUNCTION("""COMPUTED_VALUE"""),2478.56)</f>
        <v/>
      </c>
      <c r="Z1494" s="6">
        <f>AA1494&amp;AB1494</f>
        <v/>
      </c>
      <c r="AA1494" s="6">
        <f>YEAR(AC1494)</f>
        <v/>
      </c>
      <c r="AB1494" s="6">
        <f>MONTH(AC1494)</f>
        <v/>
      </c>
      <c r="AC1494" s="267">
        <f>IFERROR(__xludf.DUMMYFUNCTION("""COMPUTED_VALUE"""),44643.9986111111)</f>
        <v/>
      </c>
      <c r="AD1494" s="6">
        <f>IFERROR(__xludf.DUMMYFUNCTION("""COMPUTED_VALUE"""),1218.01)</f>
        <v/>
      </c>
      <c r="AH1494" s="6">
        <f>AI1494&amp;AJ1494</f>
        <v/>
      </c>
      <c r="AI1494" s="6">
        <f>YEAR(AK1494)</f>
        <v/>
      </c>
      <c r="AJ1494" s="6">
        <f>MONTH(AK1494)</f>
        <v/>
      </c>
      <c r="AK1494" s="267">
        <f>IFERROR(__xludf.DUMMYFUNCTION("""COMPUTED_VALUE"""),44587.9986111111)</f>
        <v/>
      </c>
      <c r="AL1494" s="6">
        <f>IFERROR(__xludf.DUMMYFUNCTION("""COMPUTED_VALUE"""),36820.86)</f>
        <v/>
      </c>
      <c r="AP1494" s="6">
        <f>AQ1494&amp;AR1494</f>
        <v/>
      </c>
      <c r="AQ1494" s="6">
        <f>YEAR(AS1494)</f>
        <v/>
      </c>
      <c r="AR1494" s="6">
        <f>MONTH(AS1494)</f>
        <v/>
      </c>
      <c r="AS1494" s="267">
        <f>IFERROR(__xludf.DUMMYFUNCTION("""COMPUTED_VALUE"""),45273.9986111111)</f>
        <v/>
      </c>
      <c r="AT1494" s="6">
        <f>IFERROR(__xludf.DUMMYFUNCTION("""COMPUTED_VALUE"""),1997.3)</f>
        <v/>
      </c>
    </row>
    <row r="1495">
      <c r="B1495" s="6">
        <f>C1495&amp;D1495</f>
        <v/>
      </c>
      <c r="C1495" s="6">
        <f>YEAR(E1495)</f>
        <v/>
      </c>
      <c r="D1495" s="6">
        <f>MONTH(E1495)</f>
        <v/>
      </c>
      <c r="E1495" s="267">
        <f>IFERROR(__xludf.DUMMYFUNCTION("""COMPUTED_VALUE"""),45267.6666666666)</f>
        <v/>
      </c>
      <c r="F1495" s="6">
        <f>IFERROR(__xludf.DUMMYFUNCTION("""COMPUTED_VALUE"""),4585.59)</f>
        <v/>
      </c>
      <c r="J1495" s="6">
        <f>K1495&amp;L1495</f>
        <v/>
      </c>
      <c r="K1495" s="6">
        <f>YEAR(M1495)</f>
        <v/>
      </c>
      <c r="L1495" s="6">
        <f>MONTH(M1495)</f>
        <v/>
      </c>
      <c r="M1495" s="267">
        <f>IFERROR(__xludf.DUMMYFUNCTION("""COMPUTED_VALUE"""),45259.6666666666)</f>
        <v/>
      </c>
      <c r="N1495" s="6">
        <f>IFERROR(__xludf.DUMMYFUNCTION("""COMPUTED_VALUE"""),14258.49)</f>
        <v/>
      </c>
      <c r="R1495" s="6">
        <f>S1495&amp;T1495</f>
        <v/>
      </c>
      <c r="S1495" s="6">
        <f>YEAR(U1495)</f>
        <v/>
      </c>
      <c r="T1495" s="6">
        <f>MONTH(U1495)</f>
        <v/>
      </c>
      <c r="U1495" s="267">
        <f>IFERROR(__xludf.DUMMYFUNCTION("""COMPUTED_VALUE"""),45320.6458333333)</f>
        <v/>
      </c>
      <c r="V1495" s="6">
        <f>IFERROR(__xludf.DUMMYFUNCTION("""COMPUTED_VALUE"""),2500.65)</f>
        <v/>
      </c>
      <c r="Z1495" s="6">
        <f>AA1495&amp;AB1495</f>
        <v/>
      </c>
      <c r="AA1495" s="6">
        <f>YEAR(AC1495)</f>
        <v/>
      </c>
      <c r="AB1495" s="6">
        <f>MONTH(AC1495)</f>
        <v/>
      </c>
      <c r="AC1495" s="267">
        <f>IFERROR(__xludf.DUMMYFUNCTION("""COMPUTED_VALUE"""),44644.9986111111)</f>
        <v/>
      </c>
      <c r="AD1495" s="6">
        <f>IFERROR(__xludf.DUMMYFUNCTION("""COMPUTED_VALUE"""),1217.55)</f>
        <v/>
      </c>
      <c r="AH1495" s="6">
        <f>AI1495&amp;AJ1495</f>
        <v/>
      </c>
      <c r="AI1495" s="6">
        <f>YEAR(AK1495)</f>
        <v/>
      </c>
      <c r="AJ1495" s="6">
        <f>MONTH(AK1495)</f>
        <v/>
      </c>
      <c r="AK1495" s="267">
        <f>IFERROR(__xludf.DUMMYFUNCTION("""COMPUTED_VALUE"""),44588.9986111111)</f>
        <v/>
      </c>
      <c r="AL1495" s="6">
        <f>IFERROR(__xludf.DUMMYFUNCTION("""COMPUTED_VALUE"""),37121.69)</f>
        <v/>
      </c>
      <c r="AP1495" s="6">
        <f>AQ1495&amp;AR1495</f>
        <v/>
      </c>
      <c r="AQ1495" s="6">
        <f>YEAR(AS1495)</f>
        <v/>
      </c>
      <c r="AR1495" s="6">
        <f>MONTH(AS1495)</f>
        <v/>
      </c>
      <c r="AS1495" s="267">
        <f>IFERROR(__xludf.DUMMYFUNCTION("""COMPUTED_VALUE"""),45274.9986111111)</f>
        <v/>
      </c>
      <c r="AT1495" s="6">
        <f>IFERROR(__xludf.DUMMYFUNCTION("""COMPUTED_VALUE"""),2044.9)</f>
        <v/>
      </c>
    </row>
    <row r="1496">
      <c r="B1496" s="6">
        <f>C1496&amp;D1496</f>
        <v/>
      </c>
      <c r="C1496" s="6">
        <f>YEAR(E1496)</f>
        <v/>
      </c>
      <c r="D1496" s="6">
        <f>MONTH(E1496)</f>
        <v/>
      </c>
      <c r="E1496" s="267">
        <f>IFERROR(__xludf.DUMMYFUNCTION("""COMPUTED_VALUE"""),45268.6666666666)</f>
        <v/>
      </c>
      <c r="F1496" s="6">
        <f>IFERROR(__xludf.DUMMYFUNCTION("""COMPUTED_VALUE"""),4604.37)</f>
        <v/>
      </c>
      <c r="J1496" s="6">
        <f>K1496&amp;L1496</f>
        <v/>
      </c>
      <c r="K1496" s="6">
        <f>YEAR(M1496)</f>
        <v/>
      </c>
      <c r="L1496" s="6">
        <f>MONTH(M1496)</f>
        <v/>
      </c>
      <c r="M1496" s="267">
        <f>IFERROR(__xludf.DUMMYFUNCTION("""COMPUTED_VALUE"""),45260.6666666666)</f>
        <v/>
      </c>
      <c r="N1496" s="6">
        <f>IFERROR(__xludf.DUMMYFUNCTION("""COMPUTED_VALUE"""),14226.22)</f>
        <v/>
      </c>
      <c r="R1496" s="6">
        <f>S1496&amp;T1496</f>
        <v/>
      </c>
      <c r="S1496" s="6">
        <f>YEAR(U1496)</f>
        <v/>
      </c>
      <c r="T1496" s="6">
        <f>MONTH(U1496)</f>
        <v/>
      </c>
      <c r="U1496" s="267">
        <f>IFERROR(__xludf.DUMMYFUNCTION("""COMPUTED_VALUE"""),45321.6458333333)</f>
        <v/>
      </c>
      <c r="V1496" s="6">
        <f>IFERROR(__xludf.DUMMYFUNCTION("""COMPUTED_VALUE"""),2498.81)</f>
        <v/>
      </c>
      <c r="Z1496" s="6">
        <f>AA1496&amp;AB1496</f>
        <v/>
      </c>
      <c r="AA1496" s="6">
        <f>YEAR(AC1496)</f>
        <v/>
      </c>
      <c r="AB1496" s="6">
        <f>MONTH(AC1496)</f>
        <v/>
      </c>
      <c r="AC1496" s="267">
        <f>IFERROR(__xludf.DUMMYFUNCTION("""COMPUTED_VALUE"""),44645.9986111111)</f>
        <v/>
      </c>
      <c r="AD1496" s="6">
        <f>IFERROR(__xludf.DUMMYFUNCTION("""COMPUTED_VALUE"""),1224.45)</f>
        <v/>
      </c>
      <c r="AH1496" s="6">
        <f>AI1496&amp;AJ1496</f>
        <v/>
      </c>
      <c r="AI1496" s="6">
        <f>YEAR(AK1496)</f>
        <v/>
      </c>
      <c r="AJ1496" s="6">
        <f>MONTH(AK1496)</f>
        <v/>
      </c>
      <c r="AK1496" s="267">
        <f>IFERROR(__xludf.DUMMYFUNCTION("""COMPUTED_VALUE"""),44589.9986111111)</f>
        <v/>
      </c>
      <c r="AL1496" s="6">
        <f>IFERROR(__xludf.DUMMYFUNCTION("""COMPUTED_VALUE"""),37739.55)</f>
        <v/>
      </c>
      <c r="AP1496" s="6">
        <f>AQ1496&amp;AR1496</f>
        <v/>
      </c>
      <c r="AQ1496" s="6">
        <f>YEAR(AS1496)</f>
        <v/>
      </c>
      <c r="AR1496" s="6">
        <f>MONTH(AS1496)</f>
        <v/>
      </c>
      <c r="AS1496" s="267">
        <f>IFERROR(__xludf.DUMMYFUNCTION("""COMPUTED_VALUE"""),45275.9986111111)</f>
        <v/>
      </c>
      <c r="AT1496" s="6">
        <f>IFERROR(__xludf.DUMMYFUNCTION("""COMPUTED_VALUE"""),2035.7)</f>
        <v/>
      </c>
    </row>
    <row r="1497">
      <c r="B1497" s="6">
        <f>C1497&amp;D1497</f>
        <v/>
      </c>
      <c r="C1497" s="6">
        <f>YEAR(E1497)</f>
        <v/>
      </c>
      <c r="D1497" s="6">
        <f>MONTH(E1497)</f>
        <v/>
      </c>
      <c r="E1497" s="267">
        <f>IFERROR(__xludf.DUMMYFUNCTION("""COMPUTED_VALUE"""),45271.6666666666)</f>
        <v/>
      </c>
      <c r="F1497" s="6">
        <f>IFERROR(__xludf.DUMMYFUNCTION("""COMPUTED_VALUE"""),4622.44)</f>
        <v/>
      </c>
      <c r="J1497" s="6">
        <f>K1497&amp;L1497</f>
        <v/>
      </c>
      <c r="K1497" s="6">
        <f>YEAR(M1497)</f>
        <v/>
      </c>
      <c r="L1497" s="6">
        <f>MONTH(M1497)</f>
        <v/>
      </c>
      <c r="M1497" s="267">
        <f>IFERROR(__xludf.DUMMYFUNCTION("""COMPUTED_VALUE"""),45261.6666666666)</f>
        <v/>
      </c>
      <c r="N1497" s="6">
        <f>IFERROR(__xludf.DUMMYFUNCTION("""COMPUTED_VALUE"""),14305.03)</f>
        <v/>
      </c>
      <c r="R1497" s="6">
        <f>S1497&amp;T1497</f>
        <v/>
      </c>
      <c r="S1497" s="6">
        <f>YEAR(U1497)</f>
        <v/>
      </c>
      <c r="T1497" s="6">
        <f>MONTH(U1497)</f>
        <v/>
      </c>
      <c r="U1497" s="267">
        <f>IFERROR(__xludf.DUMMYFUNCTION("""COMPUTED_VALUE"""),45322.6458333333)</f>
        <v/>
      </c>
      <c r="V1497" s="6">
        <f>IFERROR(__xludf.DUMMYFUNCTION("""COMPUTED_VALUE"""),2497.09)</f>
        <v/>
      </c>
      <c r="Z1497" s="6">
        <f>AA1497&amp;AB1497</f>
        <v/>
      </c>
      <c r="AA1497" s="6">
        <f>YEAR(AC1497)</f>
        <v/>
      </c>
      <c r="AB1497" s="6">
        <f>MONTH(AC1497)</f>
        <v/>
      </c>
      <c r="AC1497" s="267">
        <f>IFERROR(__xludf.DUMMYFUNCTION("""COMPUTED_VALUE"""),44646.9986111111)</f>
        <v/>
      </c>
      <c r="AD1497" s="6">
        <f>IFERROR(__xludf.DUMMYFUNCTION("""COMPUTED_VALUE"""),1224.35)</f>
        <v/>
      </c>
      <c r="AH1497" s="6">
        <f>AI1497&amp;AJ1497</f>
        <v/>
      </c>
      <c r="AI1497" s="6">
        <f>YEAR(AK1497)</f>
        <v/>
      </c>
      <c r="AJ1497" s="6">
        <f>MONTH(AK1497)</f>
        <v/>
      </c>
      <c r="AK1497" s="267">
        <f>IFERROR(__xludf.DUMMYFUNCTION("""COMPUTED_VALUE"""),44590.9986111111)</f>
        <v/>
      </c>
      <c r="AL1497" s="6">
        <f>IFERROR(__xludf.DUMMYFUNCTION("""COMPUTED_VALUE"""),38172.41)</f>
        <v/>
      </c>
      <c r="AP1497" s="6">
        <f>AQ1497&amp;AR1497</f>
        <v/>
      </c>
      <c r="AQ1497" s="6">
        <f>YEAR(AS1497)</f>
        <v/>
      </c>
      <c r="AR1497" s="6">
        <f>MONTH(AS1497)</f>
        <v/>
      </c>
      <c r="AS1497" s="267">
        <f>IFERROR(__xludf.DUMMYFUNCTION("""COMPUTED_VALUE"""),45278.9986111111)</f>
        <v/>
      </c>
      <c r="AT1497" s="6">
        <f>IFERROR(__xludf.DUMMYFUNCTION("""COMPUTED_VALUE"""),2040.5)</f>
        <v/>
      </c>
    </row>
    <row r="1498">
      <c r="B1498" s="6">
        <f>C1498&amp;D1498</f>
        <v/>
      </c>
      <c r="C1498" s="6">
        <f>YEAR(E1498)</f>
        <v/>
      </c>
      <c r="D1498" s="6">
        <f>MONTH(E1498)</f>
        <v/>
      </c>
      <c r="E1498" s="267">
        <f>IFERROR(__xludf.DUMMYFUNCTION("""COMPUTED_VALUE"""),45272.6666666666)</f>
        <v/>
      </c>
      <c r="F1498" s="6">
        <f>IFERROR(__xludf.DUMMYFUNCTION("""COMPUTED_VALUE"""),4643.7)</f>
        <v/>
      </c>
      <c r="J1498" s="6">
        <f>K1498&amp;L1498</f>
        <v/>
      </c>
      <c r="K1498" s="6">
        <f>YEAR(M1498)</f>
        <v/>
      </c>
      <c r="L1498" s="6">
        <f>MONTH(M1498)</f>
        <v/>
      </c>
      <c r="M1498" s="267">
        <f>IFERROR(__xludf.DUMMYFUNCTION("""COMPUTED_VALUE"""),45264.6666666666)</f>
        <v/>
      </c>
      <c r="N1498" s="6">
        <f>IFERROR(__xludf.DUMMYFUNCTION("""COMPUTED_VALUE"""),14185.49)</f>
        <v/>
      </c>
      <c r="R1498" s="6">
        <f>S1498&amp;T1498</f>
        <v/>
      </c>
      <c r="S1498" s="6">
        <f>YEAR(U1498)</f>
        <v/>
      </c>
      <c r="T1498" s="6">
        <f>MONTH(U1498)</f>
        <v/>
      </c>
      <c r="U1498" s="267">
        <f>IFERROR(__xludf.DUMMYFUNCTION("""COMPUTED_VALUE"""),45323.6458333333)</f>
        <v/>
      </c>
      <c r="V1498" s="6">
        <f>IFERROR(__xludf.DUMMYFUNCTION("""COMPUTED_VALUE"""),2542.46)</f>
        <v/>
      </c>
      <c r="Z1498" s="6">
        <f>AA1498&amp;AB1498</f>
        <v/>
      </c>
      <c r="AA1498" s="6">
        <f>YEAR(AC1498)</f>
        <v/>
      </c>
      <c r="AB1498" s="6">
        <f>MONTH(AC1498)</f>
        <v/>
      </c>
      <c r="AC1498" s="267">
        <f>IFERROR(__xludf.DUMMYFUNCTION("""COMPUTED_VALUE"""),44647.9986111111)</f>
        <v/>
      </c>
      <c r="AD1498" s="6">
        <f>IFERROR(__xludf.DUMMYFUNCTION("""COMPUTED_VALUE"""),1224.38)</f>
        <v/>
      </c>
      <c r="AH1498" s="6">
        <f>AI1498&amp;AJ1498</f>
        <v/>
      </c>
      <c r="AI1498" s="6">
        <f>YEAR(AK1498)</f>
        <v/>
      </c>
      <c r="AJ1498" s="6">
        <f>MONTH(AK1498)</f>
        <v/>
      </c>
      <c r="AK1498" s="267">
        <f>IFERROR(__xludf.DUMMYFUNCTION("""COMPUTED_VALUE"""),44591.9986111111)</f>
        <v/>
      </c>
      <c r="AL1498" s="6">
        <f>IFERROR(__xludf.DUMMYFUNCTION("""COMPUTED_VALUE"""),37911.92)</f>
        <v/>
      </c>
      <c r="AP1498" s="6">
        <f>AQ1498&amp;AR1498</f>
        <v/>
      </c>
      <c r="AQ1498" s="6">
        <f>YEAR(AS1498)</f>
        <v/>
      </c>
      <c r="AR1498" s="6">
        <f>MONTH(AS1498)</f>
        <v/>
      </c>
      <c r="AS1498" s="267">
        <f>IFERROR(__xludf.DUMMYFUNCTION("""COMPUTED_VALUE"""),45279.9986111111)</f>
        <v/>
      </c>
      <c r="AT1498" s="6">
        <f>IFERROR(__xludf.DUMMYFUNCTION("""COMPUTED_VALUE"""),2052.1)</f>
        <v/>
      </c>
    </row>
    <row r="1499">
      <c r="B1499" s="6">
        <f>C1499&amp;D1499</f>
        <v/>
      </c>
      <c r="C1499" s="6">
        <f>YEAR(E1499)</f>
        <v/>
      </c>
      <c r="D1499" s="6">
        <f>MONTH(E1499)</f>
        <v/>
      </c>
      <c r="E1499" s="267">
        <f>IFERROR(__xludf.DUMMYFUNCTION("""COMPUTED_VALUE"""),45273.6666666666)</f>
        <v/>
      </c>
      <c r="F1499" s="6">
        <f>IFERROR(__xludf.DUMMYFUNCTION("""COMPUTED_VALUE"""),4707.09)</f>
        <v/>
      </c>
      <c r="J1499" s="6">
        <f>K1499&amp;L1499</f>
        <v/>
      </c>
      <c r="K1499" s="6">
        <f>YEAR(M1499)</f>
        <v/>
      </c>
      <c r="L1499" s="6">
        <f>MONTH(M1499)</f>
        <v/>
      </c>
      <c r="M1499" s="267">
        <f>IFERROR(__xludf.DUMMYFUNCTION("""COMPUTED_VALUE"""),45265.6666666666)</f>
        <v/>
      </c>
      <c r="N1499" s="6">
        <f>IFERROR(__xludf.DUMMYFUNCTION("""COMPUTED_VALUE"""),14229.91)</f>
        <v/>
      </c>
      <c r="R1499" s="6">
        <f>S1499&amp;T1499</f>
        <v/>
      </c>
      <c r="S1499" s="6">
        <f>YEAR(U1499)</f>
        <v/>
      </c>
      <c r="T1499" s="6">
        <f>MONTH(U1499)</f>
        <v/>
      </c>
      <c r="U1499" s="267">
        <f>IFERROR(__xludf.DUMMYFUNCTION("""COMPUTED_VALUE"""),45324.6458333333)</f>
        <v/>
      </c>
      <c r="V1499" s="6">
        <f>IFERROR(__xludf.DUMMYFUNCTION("""COMPUTED_VALUE"""),2615.31)</f>
        <v/>
      </c>
      <c r="Z1499" s="6">
        <f>AA1499&amp;AB1499</f>
        <v/>
      </c>
      <c r="AA1499" s="6">
        <f>YEAR(AC1499)</f>
        <v/>
      </c>
      <c r="AB1499" s="6">
        <f>MONTH(AC1499)</f>
        <v/>
      </c>
      <c r="AC1499" s="267">
        <f>IFERROR(__xludf.DUMMYFUNCTION("""COMPUTED_VALUE"""),44648.9986111111)</f>
        <v/>
      </c>
      <c r="AD1499" s="6">
        <f>IFERROR(__xludf.DUMMYFUNCTION("""COMPUTED_VALUE"""),1223.66)</f>
        <v/>
      </c>
      <c r="AH1499" s="6">
        <f>AI1499&amp;AJ1499</f>
        <v/>
      </c>
      <c r="AI1499" s="6">
        <f>YEAR(AK1499)</f>
        <v/>
      </c>
      <c r="AJ1499" s="6">
        <f>MONTH(AK1499)</f>
        <v/>
      </c>
      <c r="AK1499" s="267">
        <f>IFERROR(__xludf.DUMMYFUNCTION("""COMPUTED_VALUE"""),44592.9986111111)</f>
        <v/>
      </c>
      <c r="AL1499" s="6">
        <f>IFERROR(__xludf.DUMMYFUNCTION("""COMPUTED_VALUE"""),38494.39)</f>
        <v/>
      </c>
      <c r="AP1499" s="6">
        <f>AQ1499&amp;AR1499</f>
        <v/>
      </c>
      <c r="AQ1499" s="6">
        <f>YEAR(AS1499)</f>
        <v/>
      </c>
      <c r="AR1499" s="6">
        <f>MONTH(AS1499)</f>
        <v/>
      </c>
      <c r="AS1499" s="267">
        <f>IFERROR(__xludf.DUMMYFUNCTION("""COMPUTED_VALUE"""),45280.9986111111)</f>
        <v/>
      </c>
      <c r="AT1499" s="6">
        <f>IFERROR(__xludf.DUMMYFUNCTION("""COMPUTED_VALUE"""),2047.7)</f>
        <v/>
      </c>
    </row>
    <row r="1500">
      <c r="B1500" s="6">
        <f>C1500&amp;D1500</f>
        <v/>
      </c>
      <c r="C1500" s="6">
        <f>YEAR(E1500)</f>
        <v/>
      </c>
      <c r="D1500" s="6">
        <f>MONTH(E1500)</f>
        <v/>
      </c>
      <c r="E1500" s="267">
        <f>IFERROR(__xludf.DUMMYFUNCTION("""COMPUTED_VALUE"""),45274.6666666666)</f>
        <v/>
      </c>
      <c r="F1500" s="6">
        <f>IFERROR(__xludf.DUMMYFUNCTION("""COMPUTED_VALUE"""),4719.55)</f>
        <v/>
      </c>
      <c r="J1500" s="6">
        <f>K1500&amp;L1500</f>
        <v/>
      </c>
      <c r="K1500" s="6">
        <f>YEAR(M1500)</f>
        <v/>
      </c>
      <c r="L1500" s="6">
        <f>MONTH(M1500)</f>
        <v/>
      </c>
      <c r="M1500" s="267">
        <f>IFERROR(__xludf.DUMMYFUNCTION("""COMPUTED_VALUE"""),45266.6666666666)</f>
        <v/>
      </c>
      <c r="N1500" s="6">
        <f>IFERROR(__xludf.DUMMYFUNCTION("""COMPUTED_VALUE"""),14146.71)</f>
        <v/>
      </c>
      <c r="R1500" s="6">
        <f>S1500&amp;T1500</f>
        <v/>
      </c>
      <c r="S1500" s="6">
        <f>YEAR(U1500)</f>
        <v/>
      </c>
      <c r="T1500" s="6">
        <f>MONTH(U1500)</f>
        <v/>
      </c>
      <c r="U1500" s="267">
        <f>IFERROR(__xludf.DUMMYFUNCTION("""COMPUTED_VALUE"""),45327.6458333333)</f>
        <v/>
      </c>
      <c r="V1500" s="6">
        <f>IFERROR(__xludf.DUMMYFUNCTION("""COMPUTED_VALUE"""),2591.31)</f>
        <v/>
      </c>
      <c r="Z1500" s="6">
        <f>AA1500&amp;AB1500</f>
        <v/>
      </c>
      <c r="AA1500" s="6">
        <f>YEAR(AC1500)</f>
        <v/>
      </c>
      <c r="AB1500" s="6">
        <f>MONTH(AC1500)</f>
        <v/>
      </c>
      <c r="AC1500" s="267">
        <f>IFERROR(__xludf.DUMMYFUNCTION("""COMPUTED_VALUE"""),44649.9986111111)</f>
        <v/>
      </c>
      <c r="AD1500" s="6">
        <f>IFERROR(__xludf.DUMMYFUNCTION("""COMPUTED_VALUE"""),1209.13)</f>
        <v/>
      </c>
      <c r="AH1500" s="6">
        <f>AI1500&amp;AJ1500</f>
        <v/>
      </c>
      <c r="AI1500" s="6">
        <f>YEAR(AK1500)</f>
        <v/>
      </c>
      <c r="AJ1500" s="6">
        <f>MONTH(AK1500)</f>
        <v/>
      </c>
      <c r="AK1500" s="267">
        <f>IFERROR(__xludf.DUMMYFUNCTION("""COMPUTED_VALUE"""),44593.9986111111)</f>
        <v/>
      </c>
      <c r="AL1500" s="6">
        <f>IFERROR(__xludf.DUMMYFUNCTION("""COMPUTED_VALUE"""),38715.46)</f>
        <v/>
      </c>
      <c r="AP1500" s="6">
        <f>AQ1500&amp;AR1500</f>
        <v/>
      </c>
      <c r="AQ1500" s="6">
        <f>YEAR(AS1500)</f>
        <v/>
      </c>
      <c r="AR1500" s="6">
        <f>MONTH(AS1500)</f>
        <v/>
      </c>
      <c r="AS1500" s="267">
        <f>IFERROR(__xludf.DUMMYFUNCTION("""COMPUTED_VALUE"""),45281.9986111111)</f>
        <v/>
      </c>
      <c r="AT1500" s="6">
        <f>IFERROR(__xludf.DUMMYFUNCTION("""COMPUTED_VALUE"""),2051.3)</f>
        <v/>
      </c>
    </row>
    <row r="1501">
      <c r="B1501" s="6">
        <f>C1501&amp;D1501</f>
        <v/>
      </c>
      <c r="C1501" s="6">
        <f>YEAR(E1501)</f>
        <v/>
      </c>
      <c r="D1501" s="6">
        <f>MONTH(E1501)</f>
        <v/>
      </c>
      <c r="E1501" s="267">
        <f>IFERROR(__xludf.DUMMYFUNCTION("""COMPUTED_VALUE"""),45275.6666666666)</f>
        <v/>
      </c>
      <c r="F1501" s="6">
        <f>IFERROR(__xludf.DUMMYFUNCTION("""COMPUTED_VALUE"""),4719.19)</f>
        <v/>
      </c>
      <c r="J1501" s="6">
        <f>K1501&amp;L1501</f>
        <v/>
      </c>
      <c r="K1501" s="6">
        <f>YEAR(M1501)</f>
        <v/>
      </c>
      <c r="L1501" s="6">
        <f>MONTH(M1501)</f>
        <v/>
      </c>
      <c r="M1501" s="267">
        <f>IFERROR(__xludf.DUMMYFUNCTION("""COMPUTED_VALUE"""),45267.6666666666)</f>
        <v/>
      </c>
      <c r="N1501" s="6">
        <f>IFERROR(__xludf.DUMMYFUNCTION("""COMPUTED_VALUE"""),14339.99)</f>
        <v/>
      </c>
      <c r="R1501" s="6">
        <f>S1501&amp;T1501</f>
        <v/>
      </c>
      <c r="S1501" s="6">
        <f>YEAR(U1501)</f>
        <v/>
      </c>
      <c r="T1501" s="6">
        <f>MONTH(U1501)</f>
        <v/>
      </c>
      <c r="U1501" s="267">
        <f>IFERROR(__xludf.DUMMYFUNCTION("""COMPUTED_VALUE"""),45328.6458333333)</f>
        <v/>
      </c>
      <c r="V1501" s="6">
        <f>IFERROR(__xludf.DUMMYFUNCTION("""COMPUTED_VALUE"""),2576.2)</f>
        <v/>
      </c>
      <c r="Z1501" s="6">
        <f>AA1501&amp;AB1501</f>
        <v/>
      </c>
      <c r="AA1501" s="6">
        <f>YEAR(AC1501)</f>
        <v/>
      </c>
      <c r="AB1501" s="6">
        <f>MONTH(AC1501)</f>
        <v/>
      </c>
      <c r="AC1501" s="267">
        <f>IFERROR(__xludf.DUMMYFUNCTION("""COMPUTED_VALUE"""),44650.9986111111)</f>
        <v/>
      </c>
      <c r="AD1501" s="6">
        <f>IFERROR(__xludf.DUMMYFUNCTION("""COMPUTED_VALUE"""),1210.44)</f>
        <v/>
      </c>
      <c r="AH1501" s="6">
        <f>AI1501&amp;AJ1501</f>
        <v/>
      </c>
      <c r="AI1501" s="6">
        <f>YEAR(AK1501)</f>
        <v/>
      </c>
      <c r="AJ1501" s="6">
        <f>MONTH(AK1501)</f>
        <v/>
      </c>
      <c r="AK1501" s="267">
        <f>IFERROR(__xludf.DUMMYFUNCTION("""COMPUTED_VALUE"""),44594.9986111111)</f>
        <v/>
      </c>
      <c r="AL1501" s="6">
        <f>IFERROR(__xludf.DUMMYFUNCTION("""COMPUTED_VALUE"""),36908.75)</f>
        <v/>
      </c>
      <c r="AP1501" s="6">
        <f>AQ1501&amp;AR1501</f>
        <v/>
      </c>
      <c r="AQ1501" s="6">
        <f>YEAR(AS1501)</f>
        <v/>
      </c>
      <c r="AR1501" s="6">
        <f>MONTH(AS1501)</f>
        <v/>
      </c>
      <c r="AS1501" s="267">
        <f>IFERROR(__xludf.DUMMYFUNCTION("""COMPUTED_VALUE"""),45282.9986111111)</f>
        <v/>
      </c>
      <c r="AT1501" s="6">
        <f>IFERROR(__xludf.DUMMYFUNCTION("""COMPUTED_VALUE"""),2069.1)</f>
        <v/>
      </c>
    </row>
    <row r="1502">
      <c r="B1502" s="6">
        <f>C1502&amp;D1502</f>
        <v/>
      </c>
      <c r="C1502" s="6">
        <f>YEAR(E1502)</f>
        <v/>
      </c>
      <c r="D1502" s="6">
        <f>MONTH(E1502)</f>
        <v/>
      </c>
      <c r="E1502" s="267">
        <f>IFERROR(__xludf.DUMMYFUNCTION("""COMPUTED_VALUE"""),45278.6666666666)</f>
        <v/>
      </c>
      <c r="F1502" s="6">
        <f>IFERROR(__xludf.DUMMYFUNCTION("""COMPUTED_VALUE"""),4740.56)</f>
        <v/>
      </c>
      <c r="J1502" s="6">
        <f>K1502&amp;L1502</f>
        <v/>
      </c>
      <c r="K1502" s="6">
        <f>YEAR(M1502)</f>
        <v/>
      </c>
      <c r="L1502" s="6">
        <f>MONTH(M1502)</f>
        <v/>
      </c>
      <c r="M1502" s="267">
        <f>IFERROR(__xludf.DUMMYFUNCTION("""COMPUTED_VALUE"""),45268.6666666666)</f>
        <v/>
      </c>
      <c r="N1502" s="6">
        <f>IFERROR(__xludf.DUMMYFUNCTION("""COMPUTED_VALUE"""),14403.97)</f>
        <v/>
      </c>
      <c r="R1502" s="6">
        <f>S1502&amp;T1502</f>
        <v/>
      </c>
      <c r="S1502" s="6">
        <f>YEAR(U1502)</f>
        <v/>
      </c>
      <c r="T1502" s="6">
        <f>MONTH(U1502)</f>
        <v/>
      </c>
      <c r="U1502" s="267">
        <f>IFERROR(__xludf.DUMMYFUNCTION("""COMPUTED_VALUE"""),45329.6458333333)</f>
        <v/>
      </c>
      <c r="V1502" s="6">
        <f>IFERROR(__xludf.DUMMYFUNCTION("""COMPUTED_VALUE"""),2609.58)</f>
        <v/>
      </c>
      <c r="Z1502" s="6">
        <f>AA1502&amp;AB1502</f>
        <v/>
      </c>
      <c r="AA1502" s="6">
        <f>YEAR(AC1502)</f>
        <v/>
      </c>
      <c r="AB1502" s="6">
        <f>MONTH(AC1502)</f>
        <v/>
      </c>
      <c r="AC1502" s="267">
        <f>IFERROR(__xludf.DUMMYFUNCTION("""COMPUTED_VALUE"""),44651.9986111111)</f>
        <v/>
      </c>
      <c r="AD1502" s="6">
        <f>IFERROR(__xludf.DUMMYFUNCTION("""COMPUTED_VALUE"""),1214.5)</f>
        <v/>
      </c>
      <c r="AH1502" s="6">
        <f>AI1502&amp;AJ1502</f>
        <v/>
      </c>
      <c r="AI1502" s="6">
        <f>YEAR(AK1502)</f>
        <v/>
      </c>
      <c r="AJ1502" s="6">
        <f>MONTH(AK1502)</f>
        <v/>
      </c>
      <c r="AK1502" s="267">
        <f>IFERROR(__xludf.DUMMYFUNCTION("""COMPUTED_VALUE"""),44595.9986111111)</f>
        <v/>
      </c>
      <c r="AL1502" s="6">
        <f>IFERROR(__xludf.DUMMYFUNCTION("""COMPUTED_VALUE"""),37283.13)</f>
        <v/>
      </c>
      <c r="AP1502" s="6">
        <f>AQ1502&amp;AR1502</f>
        <v/>
      </c>
      <c r="AQ1502" s="6">
        <f>YEAR(AS1502)</f>
        <v/>
      </c>
      <c r="AR1502" s="6">
        <f>MONTH(AS1502)</f>
        <v/>
      </c>
      <c r="AS1502" s="267">
        <f>IFERROR(__xludf.DUMMYFUNCTION("""COMPUTED_VALUE"""),45286.9986111111)</f>
        <v/>
      </c>
      <c r="AT1502" s="6">
        <f>IFERROR(__xludf.DUMMYFUNCTION("""COMPUTED_VALUE"""),2069.8)</f>
        <v/>
      </c>
    </row>
    <row r="1503">
      <c r="B1503" s="6">
        <f>C1503&amp;D1503</f>
        <v/>
      </c>
      <c r="C1503" s="6">
        <f>YEAR(E1503)</f>
        <v/>
      </c>
      <c r="D1503" s="6">
        <f>MONTH(E1503)</f>
        <v/>
      </c>
      <c r="E1503" s="267">
        <f>IFERROR(__xludf.DUMMYFUNCTION("""COMPUTED_VALUE"""),45279.6666666666)</f>
        <v/>
      </c>
      <c r="F1503" s="6">
        <f>IFERROR(__xludf.DUMMYFUNCTION("""COMPUTED_VALUE"""),4768.37)</f>
        <v/>
      </c>
      <c r="J1503" s="6">
        <f>K1503&amp;L1503</f>
        <v/>
      </c>
      <c r="K1503" s="6">
        <f>YEAR(M1503)</f>
        <v/>
      </c>
      <c r="L1503" s="6">
        <f>MONTH(M1503)</f>
        <v/>
      </c>
      <c r="M1503" s="267">
        <f>IFERROR(__xludf.DUMMYFUNCTION("""COMPUTED_VALUE"""),45271.6666666666)</f>
        <v/>
      </c>
      <c r="N1503" s="6">
        <f>IFERROR(__xludf.DUMMYFUNCTION("""COMPUTED_VALUE"""),14432.49)</f>
        <v/>
      </c>
      <c r="R1503" s="6">
        <f>S1503&amp;T1503</f>
        <v/>
      </c>
      <c r="S1503" s="6">
        <f>YEAR(U1503)</f>
        <v/>
      </c>
      <c r="T1503" s="6">
        <f>MONTH(U1503)</f>
        <v/>
      </c>
      <c r="U1503" s="267">
        <f>IFERROR(__xludf.DUMMYFUNCTION("""COMPUTED_VALUE"""),45330.6458333333)</f>
        <v/>
      </c>
      <c r="V1503" s="6">
        <f>IFERROR(__xludf.DUMMYFUNCTION("""COMPUTED_VALUE"""),2620.32)</f>
        <v/>
      </c>
      <c r="Z1503" s="6">
        <f>AA1503&amp;AB1503</f>
        <v/>
      </c>
      <c r="AA1503" s="6">
        <f>YEAR(AC1503)</f>
        <v/>
      </c>
      <c r="AB1503" s="6">
        <f>MONTH(AC1503)</f>
        <v/>
      </c>
      <c r="AC1503" s="267">
        <f>IFERROR(__xludf.DUMMYFUNCTION("""COMPUTED_VALUE"""),44652.9986111111)</f>
        <v/>
      </c>
      <c r="AD1503" s="6">
        <f>IFERROR(__xludf.DUMMYFUNCTION("""COMPUTED_VALUE"""),1218.47)</f>
        <v/>
      </c>
      <c r="AH1503" s="6">
        <f>AI1503&amp;AJ1503</f>
        <v/>
      </c>
      <c r="AI1503" s="6">
        <f>YEAR(AK1503)</f>
        <v/>
      </c>
      <c r="AJ1503" s="6">
        <f>MONTH(AK1503)</f>
        <v/>
      </c>
      <c r="AK1503" s="267">
        <f>IFERROR(__xludf.DUMMYFUNCTION("""COMPUTED_VALUE"""),44596.9986111111)</f>
        <v/>
      </c>
      <c r="AL1503" s="6">
        <f>IFERROR(__xludf.DUMMYFUNCTION("""COMPUTED_VALUE"""),41567.76)</f>
        <v/>
      </c>
      <c r="AP1503" s="6">
        <f>AQ1503&amp;AR1503</f>
        <v/>
      </c>
      <c r="AQ1503" s="6">
        <f>YEAR(AS1503)</f>
        <v/>
      </c>
      <c r="AR1503" s="6">
        <f>MONTH(AS1503)</f>
        <v/>
      </c>
      <c r="AS1503" s="267">
        <f>IFERROR(__xludf.DUMMYFUNCTION("""COMPUTED_VALUE"""),45287.9986111111)</f>
        <v/>
      </c>
      <c r="AT1503" s="6">
        <f>IFERROR(__xludf.DUMMYFUNCTION("""COMPUTED_VALUE"""),2093.1)</f>
        <v/>
      </c>
    </row>
    <row r="1504">
      <c r="B1504" s="6">
        <f>C1504&amp;D1504</f>
        <v/>
      </c>
      <c r="C1504" s="6">
        <f>YEAR(E1504)</f>
        <v/>
      </c>
      <c r="D1504" s="6">
        <f>MONTH(E1504)</f>
        <v/>
      </c>
      <c r="E1504" s="267">
        <f>IFERROR(__xludf.DUMMYFUNCTION("""COMPUTED_VALUE"""),45280.6666666666)</f>
        <v/>
      </c>
      <c r="F1504" s="6">
        <f>IFERROR(__xludf.DUMMYFUNCTION("""COMPUTED_VALUE"""),4698.35)</f>
        <v/>
      </c>
      <c r="J1504" s="6">
        <f>K1504&amp;L1504</f>
        <v/>
      </c>
      <c r="K1504" s="6">
        <f>YEAR(M1504)</f>
        <v/>
      </c>
      <c r="L1504" s="6">
        <f>MONTH(M1504)</f>
        <v/>
      </c>
      <c r="M1504" s="267">
        <f>IFERROR(__xludf.DUMMYFUNCTION("""COMPUTED_VALUE"""),45272.6666666666)</f>
        <v/>
      </c>
      <c r="N1504" s="6">
        <f>IFERROR(__xludf.DUMMYFUNCTION("""COMPUTED_VALUE"""),14533.4)</f>
        <v/>
      </c>
      <c r="R1504" s="6">
        <f>S1504&amp;T1504</f>
        <v/>
      </c>
      <c r="S1504" s="6">
        <f>YEAR(U1504)</f>
        <v/>
      </c>
      <c r="T1504" s="6">
        <f>MONTH(U1504)</f>
        <v/>
      </c>
      <c r="U1504" s="267">
        <f>IFERROR(__xludf.DUMMYFUNCTION("""COMPUTED_VALUE"""),45335.6458333333)</f>
        <v/>
      </c>
      <c r="V1504" s="6">
        <f>IFERROR(__xludf.DUMMYFUNCTION("""COMPUTED_VALUE"""),2649.64)</f>
        <v/>
      </c>
      <c r="Z1504" s="6">
        <f>AA1504&amp;AB1504</f>
        <v/>
      </c>
      <c r="AA1504" s="6">
        <f>YEAR(AC1504)</f>
        <v/>
      </c>
      <c r="AB1504" s="6">
        <f>MONTH(AC1504)</f>
        <v/>
      </c>
      <c r="AC1504" s="267">
        <f>IFERROR(__xludf.DUMMYFUNCTION("""COMPUTED_VALUE"""),44653.9986111111)</f>
        <v/>
      </c>
      <c r="AD1504" s="6">
        <f>IFERROR(__xludf.DUMMYFUNCTION("""COMPUTED_VALUE"""),1217.87)</f>
        <v/>
      </c>
      <c r="AH1504" s="6">
        <f>AI1504&amp;AJ1504</f>
        <v/>
      </c>
      <c r="AI1504" s="6">
        <f>YEAR(AK1504)</f>
        <v/>
      </c>
      <c r="AJ1504" s="6">
        <f>MONTH(AK1504)</f>
        <v/>
      </c>
      <c r="AK1504" s="267">
        <f>IFERROR(__xludf.DUMMYFUNCTION("""COMPUTED_VALUE"""),44597.9986111111)</f>
        <v/>
      </c>
      <c r="AL1504" s="6">
        <f>IFERROR(__xludf.DUMMYFUNCTION("""COMPUTED_VALUE"""),41432.18)</f>
        <v/>
      </c>
      <c r="AP1504" s="6">
        <f>AQ1504&amp;AR1504</f>
        <v/>
      </c>
      <c r="AQ1504" s="6">
        <f>YEAR(AS1504)</f>
        <v/>
      </c>
      <c r="AR1504" s="6">
        <f>MONTH(AS1504)</f>
        <v/>
      </c>
      <c r="AS1504" s="267">
        <f>IFERROR(__xludf.DUMMYFUNCTION("""COMPUTED_VALUE"""),45288.9986111111)</f>
        <v/>
      </c>
      <c r="AT1504" s="6">
        <f>IFERROR(__xludf.DUMMYFUNCTION("""COMPUTED_VALUE"""),2083.5)</f>
        <v/>
      </c>
    </row>
    <row r="1505">
      <c r="B1505" s="6">
        <f>C1505&amp;D1505</f>
        <v/>
      </c>
      <c r="C1505" s="6">
        <f>YEAR(E1505)</f>
        <v/>
      </c>
      <c r="D1505" s="6">
        <f>MONTH(E1505)</f>
        <v/>
      </c>
      <c r="E1505" s="267">
        <f>IFERROR(__xludf.DUMMYFUNCTION("""COMPUTED_VALUE"""),45281.6666666666)</f>
        <v/>
      </c>
      <c r="F1505" s="6">
        <f>IFERROR(__xludf.DUMMYFUNCTION("""COMPUTED_VALUE"""),4746.75)</f>
        <v/>
      </c>
      <c r="J1505" s="6">
        <f>K1505&amp;L1505</f>
        <v/>
      </c>
      <c r="K1505" s="6">
        <f>YEAR(M1505)</f>
        <v/>
      </c>
      <c r="L1505" s="6">
        <f>MONTH(M1505)</f>
        <v/>
      </c>
      <c r="M1505" s="267">
        <f>IFERROR(__xludf.DUMMYFUNCTION("""COMPUTED_VALUE"""),45273.6666666666)</f>
        <v/>
      </c>
      <c r="N1505" s="6">
        <f>IFERROR(__xludf.DUMMYFUNCTION("""COMPUTED_VALUE"""),14733.96)</f>
        <v/>
      </c>
      <c r="R1505" s="6">
        <f>S1505&amp;T1505</f>
        <v/>
      </c>
      <c r="S1505" s="6">
        <f>YEAR(U1505)</f>
        <v/>
      </c>
      <c r="T1505" s="6">
        <f>MONTH(U1505)</f>
        <v/>
      </c>
      <c r="U1505" s="267">
        <f>IFERROR(__xludf.DUMMYFUNCTION("""COMPUTED_VALUE"""),45336.6458333333)</f>
        <v/>
      </c>
      <c r="V1505" s="6">
        <f>IFERROR(__xludf.DUMMYFUNCTION("""COMPUTED_VALUE"""),2620.42)</f>
        <v/>
      </c>
      <c r="Z1505" s="6">
        <f>AA1505&amp;AB1505</f>
        <v/>
      </c>
      <c r="AA1505" s="6">
        <f>YEAR(AC1505)</f>
        <v/>
      </c>
      <c r="AB1505" s="6">
        <f>MONTH(AC1505)</f>
        <v/>
      </c>
      <c r="AC1505" s="267">
        <f>IFERROR(__xludf.DUMMYFUNCTION("""COMPUTED_VALUE"""),44654.9986111111)</f>
        <v/>
      </c>
      <c r="AD1505" s="6">
        <f>IFERROR(__xludf.DUMMYFUNCTION("""COMPUTED_VALUE"""),1218.78)</f>
        <v/>
      </c>
      <c r="AH1505" s="6">
        <f>AI1505&amp;AJ1505</f>
        <v/>
      </c>
      <c r="AI1505" s="6">
        <f>YEAR(AK1505)</f>
        <v/>
      </c>
      <c r="AJ1505" s="6">
        <f>MONTH(AK1505)</f>
        <v/>
      </c>
      <c r="AK1505" s="267">
        <f>IFERROR(__xludf.DUMMYFUNCTION("""COMPUTED_VALUE"""),44598.9986111111)</f>
        <v/>
      </c>
      <c r="AL1505" s="6">
        <f>IFERROR(__xludf.DUMMYFUNCTION("""COMPUTED_VALUE"""),42397.85)</f>
        <v/>
      </c>
      <c r="AP1505" s="6">
        <f>AQ1505&amp;AR1505</f>
        <v/>
      </c>
      <c r="AQ1505" s="6">
        <f>YEAR(AS1505)</f>
        <v/>
      </c>
      <c r="AR1505" s="6">
        <f>MONTH(AS1505)</f>
        <v/>
      </c>
      <c r="AS1505" s="267">
        <f>IFERROR(__xludf.DUMMYFUNCTION("""COMPUTED_VALUE"""),45289.9986111111)</f>
        <v/>
      </c>
      <c r="AT1505" s="6">
        <f>IFERROR(__xludf.DUMMYFUNCTION("""COMPUTED_VALUE"""),2071.8)</f>
        <v/>
      </c>
    </row>
    <row r="1506">
      <c r="B1506" s="6">
        <f>C1506&amp;D1506</f>
        <v/>
      </c>
      <c r="C1506" s="6">
        <f>YEAR(E1506)</f>
        <v/>
      </c>
      <c r="D1506" s="6">
        <f>MONTH(E1506)</f>
        <v/>
      </c>
      <c r="E1506" s="267">
        <f>IFERROR(__xludf.DUMMYFUNCTION("""COMPUTED_VALUE"""),45282.6666666666)</f>
        <v/>
      </c>
      <c r="F1506" s="6">
        <f>IFERROR(__xludf.DUMMYFUNCTION("""COMPUTED_VALUE"""),4754.63)</f>
        <v/>
      </c>
      <c r="J1506" s="6">
        <f>K1506&amp;L1506</f>
        <v/>
      </c>
      <c r="K1506" s="6">
        <f>YEAR(M1506)</f>
        <v/>
      </c>
      <c r="L1506" s="6">
        <f>MONTH(M1506)</f>
        <v/>
      </c>
      <c r="M1506" s="267">
        <f>IFERROR(__xludf.DUMMYFUNCTION("""COMPUTED_VALUE"""),45274.6666666666)</f>
        <v/>
      </c>
      <c r="N1506" s="6">
        <f>IFERROR(__xludf.DUMMYFUNCTION("""COMPUTED_VALUE"""),14761.56)</f>
        <v/>
      </c>
      <c r="R1506" s="6">
        <f>S1506&amp;T1506</f>
        <v/>
      </c>
      <c r="S1506" s="6">
        <f>YEAR(U1506)</f>
        <v/>
      </c>
      <c r="T1506" s="6">
        <f>MONTH(U1506)</f>
        <v/>
      </c>
      <c r="U1506" s="267">
        <f>IFERROR(__xludf.DUMMYFUNCTION("""COMPUTED_VALUE"""),45337.6458333333)</f>
        <v/>
      </c>
      <c r="V1506" s="6">
        <f>IFERROR(__xludf.DUMMYFUNCTION("""COMPUTED_VALUE"""),2613.8)</f>
        <v/>
      </c>
      <c r="Z1506" s="6">
        <f>AA1506&amp;AB1506</f>
        <v/>
      </c>
      <c r="AA1506" s="6">
        <f>YEAR(AC1506)</f>
        <v/>
      </c>
      <c r="AB1506" s="6">
        <f>MONTH(AC1506)</f>
        <v/>
      </c>
      <c r="AC1506" s="267">
        <f>IFERROR(__xludf.DUMMYFUNCTION("""COMPUTED_VALUE"""),44655.9986111111)</f>
        <v/>
      </c>
      <c r="AD1506" s="6">
        <f>IFERROR(__xludf.DUMMYFUNCTION("""COMPUTED_VALUE"""),1213.9)</f>
        <v/>
      </c>
      <c r="AH1506" s="6">
        <f>AI1506&amp;AJ1506</f>
        <v/>
      </c>
      <c r="AI1506" s="6">
        <f>YEAR(AK1506)</f>
        <v/>
      </c>
      <c r="AJ1506" s="6">
        <f>MONTH(AK1506)</f>
        <v/>
      </c>
      <c r="AK1506" s="267">
        <f>IFERROR(__xludf.DUMMYFUNCTION("""COMPUTED_VALUE"""),44599.9986111111)</f>
        <v/>
      </c>
      <c r="AL1506" s="6">
        <f>IFERROR(__xludf.DUMMYFUNCTION("""COMPUTED_VALUE"""),43853.76)</f>
        <v/>
      </c>
      <c r="AP1506" s="6">
        <f>AQ1506&amp;AR1506</f>
        <v/>
      </c>
      <c r="AQ1506" s="6">
        <f>YEAR(AS1506)</f>
        <v/>
      </c>
      <c r="AR1506" s="6">
        <f>MONTH(AS1506)</f>
        <v/>
      </c>
      <c r="AS1506" s="267">
        <f>IFERROR(__xludf.DUMMYFUNCTION("""COMPUTED_VALUE"""),45293.9986111111)</f>
        <v/>
      </c>
      <c r="AT1506" s="6">
        <f>IFERROR(__xludf.DUMMYFUNCTION("""COMPUTED_VALUE"""),2073.4)</f>
        <v/>
      </c>
    </row>
    <row r="1507">
      <c r="B1507" s="6">
        <f>C1507&amp;D1507</f>
        <v/>
      </c>
      <c r="C1507" s="6">
        <f>YEAR(E1507)</f>
        <v/>
      </c>
      <c r="D1507" s="6">
        <f>MONTH(E1507)</f>
        <v/>
      </c>
      <c r="E1507" s="267">
        <f>IFERROR(__xludf.DUMMYFUNCTION("""COMPUTED_VALUE"""),45286.6666666666)</f>
        <v/>
      </c>
      <c r="F1507" s="6">
        <f>IFERROR(__xludf.DUMMYFUNCTION("""COMPUTED_VALUE"""),4774.75)</f>
        <v/>
      </c>
      <c r="J1507" s="6">
        <f>K1507&amp;L1507</f>
        <v/>
      </c>
      <c r="K1507" s="6">
        <f>YEAR(M1507)</f>
        <v/>
      </c>
      <c r="L1507" s="6">
        <f>MONTH(M1507)</f>
        <v/>
      </c>
      <c r="M1507" s="267">
        <f>IFERROR(__xludf.DUMMYFUNCTION("""COMPUTED_VALUE"""),45275.6666666666)</f>
        <v/>
      </c>
      <c r="N1507" s="6">
        <f>IFERROR(__xludf.DUMMYFUNCTION("""COMPUTED_VALUE"""),14813.92)</f>
        <v/>
      </c>
      <c r="R1507" s="6">
        <f>S1507&amp;T1507</f>
        <v/>
      </c>
      <c r="S1507" s="6">
        <f>YEAR(U1507)</f>
        <v/>
      </c>
      <c r="T1507" s="6">
        <f>MONTH(U1507)</f>
        <v/>
      </c>
      <c r="U1507" s="267">
        <f>IFERROR(__xludf.DUMMYFUNCTION("""COMPUTED_VALUE"""),45338.6458333333)</f>
        <v/>
      </c>
      <c r="V1507" s="6">
        <f>IFERROR(__xludf.DUMMYFUNCTION("""COMPUTED_VALUE"""),2648.76)</f>
        <v/>
      </c>
      <c r="Z1507" s="6">
        <f>AA1507&amp;AB1507</f>
        <v/>
      </c>
      <c r="AA1507" s="6">
        <f>YEAR(AC1507)</f>
        <v/>
      </c>
      <c r="AB1507" s="6">
        <f>MONTH(AC1507)</f>
        <v/>
      </c>
      <c r="AC1507" s="267">
        <f>IFERROR(__xludf.DUMMYFUNCTION("""COMPUTED_VALUE"""),44656.9986111111)</f>
        <v/>
      </c>
      <c r="AD1507" s="6">
        <f>IFERROR(__xludf.DUMMYFUNCTION("""COMPUTED_VALUE"""),1218.75)</f>
        <v/>
      </c>
      <c r="AH1507" s="6">
        <f>AI1507&amp;AJ1507</f>
        <v/>
      </c>
      <c r="AI1507" s="6">
        <f>YEAR(AK1507)</f>
        <v/>
      </c>
      <c r="AJ1507" s="6">
        <f>MONTH(AK1507)</f>
        <v/>
      </c>
      <c r="AK1507" s="267">
        <f>IFERROR(__xludf.DUMMYFUNCTION("""COMPUTED_VALUE"""),44600.9986111111)</f>
        <v/>
      </c>
      <c r="AL1507" s="6">
        <f>IFERROR(__xludf.DUMMYFUNCTION("""COMPUTED_VALUE"""),44064.49)</f>
        <v/>
      </c>
      <c r="AP1507" s="6">
        <f>AQ1507&amp;AR1507</f>
        <v/>
      </c>
      <c r="AQ1507" s="6">
        <f>YEAR(AS1507)</f>
        <v/>
      </c>
      <c r="AR1507" s="6">
        <f>MONTH(AS1507)</f>
        <v/>
      </c>
      <c r="AS1507" s="267">
        <f>IFERROR(__xludf.DUMMYFUNCTION("""COMPUTED_VALUE"""),45294.9986111111)</f>
        <v/>
      </c>
      <c r="AT1507" s="6">
        <f>IFERROR(__xludf.DUMMYFUNCTION("""COMPUTED_VALUE"""),2042.8)</f>
        <v/>
      </c>
    </row>
    <row r="1508">
      <c r="B1508" s="6">
        <f>C1508&amp;D1508</f>
        <v/>
      </c>
      <c r="C1508" s="6">
        <f>YEAR(E1508)</f>
        <v/>
      </c>
      <c r="D1508" s="6">
        <f>MONTH(E1508)</f>
        <v/>
      </c>
      <c r="E1508" s="267">
        <f>IFERROR(__xludf.DUMMYFUNCTION("""COMPUTED_VALUE"""),45287.6666666666)</f>
        <v/>
      </c>
      <c r="F1508" s="6">
        <f>IFERROR(__xludf.DUMMYFUNCTION("""COMPUTED_VALUE"""),4781.58)</f>
        <v/>
      </c>
      <c r="J1508" s="6">
        <f>K1508&amp;L1508</f>
        <v/>
      </c>
      <c r="K1508" s="6">
        <f>YEAR(M1508)</f>
        <v/>
      </c>
      <c r="L1508" s="6">
        <f>MONTH(M1508)</f>
        <v/>
      </c>
      <c r="M1508" s="267">
        <f>IFERROR(__xludf.DUMMYFUNCTION("""COMPUTED_VALUE"""),45278.6666666666)</f>
        <v/>
      </c>
      <c r="N1508" s="6">
        <f>IFERROR(__xludf.DUMMYFUNCTION("""COMPUTED_VALUE"""),14905.19)</f>
        <v/>
      </c>
      <c r="R1508" s="6">
        <f>S1508&amp;T1508</f>
        <v/>
      </c>
      <c r="S1508" s="6">
        <f>YEAR(U1508)</f>
        <v/>
      </c>
      <c r="T1508" s="6">
        <f>MONTH(U1508)</f>
        <v/>
      </c>
      <c r="U1508" s="267">
        <f>IFERROR(__xludf.DUMMYFUNCTION("""COMPUTED_VALUE"""),45341.6458333333)</f>
        <v/>
      </c>
      <c r="V1508" s="6">
        <f>IFERROR(__xludf.DUMMYFUNCTION("""COMPUTED_VALUE"""),2680.26)</f>
        <v/>
      </c>
      <c r="Z1508" s="6">
        <f>AA1508&amp;AB1508</f>
        <v/>
      </c>
      <c r="AA1508" s="6">
        <f>YEAR(AC1508)</f>
        <v/>
      </c>
      <c r="AB1508" s="6">
        <f>MONTH(AC1508)</f>
        <v/>
      </c>
      <c r="AC1508" s="267">
        <f>IFERROR(__xludf.DUMMYFUNCTION("""COMPUTED_VALUE"""),44657.9986111111)</f>
        <v/>
      </c>
      <c r="AD1508" s="6">
        <f>IFERROR(__xludf.DUMMYFUNCTION("""COMPUTED_VALUE"""),1217.6)</f>
        <v/>
      </c>
      <c r="AH1508" s="6">
        <f>AI1508&amp;AJ1508</f>
        <v/>
      </c>
      <c r="AI1508" s="6">
        <f>YEAR(AK1508)</f>
        <v/>
      </c>
      <c r="AJ1508" s="6">
        <f>MONTH(AK1508)</f>
        <v/>
      </c>
      <c r="AK1508" s="267">
        <f>IFERROR(__xludf.DUMMYFUNCTION("""COMPUTED_VALUE"""),44601.9986111111)</f>
        <v/>
      </c>
      <c r="AL1508" s="6">
        <f>IFERROR(__xludf.DUMMYFUNCTION("""COMPUTED_VALUE"""),44404.75)</f>
        <v/>
      </c>
      <c r="AP1508" s="6">
        <f>AQ1508&amp;AR1508</f>
        <v/>
      </c>
      <c r="AQ1508" s="6">
        <f>YEAR(AS1508)</f>
        <v/>
      </c>
      <c r="AR1508" s="6">
        <f>MONTH(AS1508)</f>
        <v/>
      </c>
      <c r="AS1508" s="267">
        <f>IFERROR(__xludf.DUMMYFUNCTION("""COMPUTED_VALUE"""),45295.9986111111)</f>
        <v/>
      </c>
      <c r="AT1508" s="6">
        <f>IFERROR(__xludf.DUMMYFUNCTION("""COMPUTED_VALUE"""),2050)</f>
        <v/>
      </c>
    </row>
    <row r="1509">
      <c r="B1509" s="6">
        <f>C1509&amp;D1509</f>
        <v/>
      </c>
      <c r="C1509" s="6">
        <f>YEAR(E1509)</f>
        <v/>
      </c>
      <c r="D1509" s="6">
        <f>MONTH(E1509)</f>
        <v/>
      </c>
      <c r="E1509" s="267">
        <f>IFERROR(__xludf.DUMMYFUNCTION("""COMPUTED_VALUE"""),45288.6666666666)</f>
        <v/>
      </c>
      <c r="F1509" s="6">
        <f>IFERROR(__xludf.DUMMYFUNCTION("""COMPUTED_VALUE"""),4783.35)</f>
        <v/>
      </c>
      <c r="J1509" s="6">
        <f>K1509&amp;L1509</f>
        <v/>
      </c>
      <c r="K1509" s="6">
        <f>YEAR(M1509)</f>
        <v/>
      </c>
      <c r="L1509" s="6">
        <f>MONTH(M1509)</f>
        <v/>
      </c>
      <c r="M1509" s="267">
        <f>IFERROR(__xludf.DUMMYFUNCTION("""COMPUTED_VALUE"""),45279.6666666666)</f>
        <v/>
      </c>
      <c r="N1509" s="6">
        <f>IFERROR(__xludf.DUMMYFUNCTION("""COMPUTED_VALUE"""),15003.22)</f>
        <v/>
      </c>
      <c r="R1509" s="6">
        <f>S1509&amp;T1509</f>
        <v/>
      </c>
      <c r="S1509" s="6">
        <f>YEAR(U1509)</f>
        <v/>
      </c>
      <c r="T1509" s="6">
        <f>MONTH(U1509)</f>
        <v/>
      </c>
      <c r="U1509" s="267">
        <f>IFERROR(__xludf.DUMMYFUNCTION("""COMPUTED_VALUE"""),45342.6458333333)</f>
        <v/>
      </c>
      <c r="V1509" s="6">
        <f>IFERROR(__xludf.DUMMYFUNCTION("""COMPUTED_VALUE"""),2657.79)</f>
        <v/>
      </c>
      <c r="Z1509" s="6">
        <f>AA1509&amp;AB1509</f>
        <v/>
      </c>
      <c r="AA1509" s="6">
        <f>YEAR(AC1509)</f>
        <v/>
      </c>
      <c r="AB1509" s="6">
        <f>MONTH(AC1509)</f>
        <v/>
      </c>
      <c r="AC1509" s="267">
        <f>IFERROR(__xludf.DUMMYFUNCTION("""COMPUTED_VALUE"""),44658.9986111111)</f>
        <v/>
      </c>
      <c r="AD1509" s="6">
        <f>IFERROR(__xludf.DUMMYFUNCTION("""COMPUTED_VALUE"""),1222.66)</f>
        <v/>
      </c>
      <c r="AH1509" s="6">
        <f>AI1509&amp;AJ1509</f>
        <v/>
      </c>
      <c r="AI1509" s="6">
        <f>YEAR(AK1509)</f>
        <v/>
      </c>
      <c r="AJ1509" s="6">
        <f>MONTH(AK1509)</f>
        <v/>
      </c>
      <c r="AK1509" s="267">
        <f>IFERROR(__xludf.DUMMYFUNCTION("""COMPUTED_VALUE"""),44602.9986111111)</f>
        <v/>
      </c>
      <c r="AL1509" s="6">
        <f>IFERROR(__xludf.DUMMYFUNCTION("""COMPUTED_VALUE"""),43517.06)</f>
        <v/>
      </c>
      <c r="AP1509" s="6">
        <f>AQ1509&amp;AR1509</f>
        <v/>
      </c>
      <c r="AQ1509" s="6">
        <f>YEAR(AS1509)</f>
        <v/>
      </c>
      <c r="AR1509" s="6">
        <f>MONTH(AS1509)</f>
        <v/>
      </c>
      <c r="AS1509" s="267">
        <f>IFERROR(__xludf.DUMMYFUNCTION("""COMPUTED_VALUE"""),45296.9986111111)</f>
        <v/>
      </c>
      <c r="AT1509" s="6">
        <f>IFERROR(__xludf.DUMMYFUNCTION("""COMPUTED_VALUE"""),2049.8)</f>
        <v/>
      </c>
    </row>
    <row r="1510">
      <c r="B1510" s="6">
        <f>C1510&amp;D1510</f>
        <v/>
      </c>
      <c r="C1510" s="6">
        <f>YEAR(E1510)</f>
        <v/>
      </c>
      <c r="D1510" s="6">
        <f>MONTH(E1510)</f>
        <v/>
      </c>
      <c r="E1510" s="267">
        <f>IFERROR(__xludf.DUMMYFUNCTION("""COMPUTED_VALUE"""),45289.6666666666)</f>
        <v/>
      </c>
      <c r="F1510" s="6">
        <f>IFERROR(__xludf.DUMMYFUNCTION("""COMPUTED_VALUE"""),4769.83)</f>
        <v/>
      </c>
      <c r="J1510" s="6">
        <f>K1510&amp;L1510</f>
        <v/>
      </c>
      <c r="K1510" s="6">
        <f>YEAR(M1510)</f>
        <v/>
      </c>
      <c r="L1510" s="6">
        <f>MONTH(M1510)</f>
        <v/>
      </c>
      <c r="M1510" s="267">
        <f>IFERROR(__xludf.DUMMYFUNCTION("""COMPUTED_VALUE"""),45280.6666666666)</f>
        <v/>
      </c>
      <c r="N1510" s="6">
        <f>IFERROR(__xludf.DUMMYFUNCTION("""COMPUTED_VALUE"""),14777.94)</f>
        <v/>
      </c>
      <c r="R1510" s="6">
        <f>S1510&amp;T1510</f>
        <v/>
      </c>
      <c r="S1510" s="6">
        <f>YEAR(U1510)</f>
        <v/>
      </c>
      <c r="T1510" s="6">
        <f>MONTH(U1510)</f>
        <v/>
      </c>
      <c r="U1510" s="267">
        <f>IFERROR(__xludf.DUMMYFUNCTION("""COMPUTED_VALUE"""),45343.6458333333)</f>
        <v/>
      </c>
      <c r="V1510" s="6">
        <f>IFERROR(__xludf.DUMMYFUNCTION("""COMPUTED_VALUE"""),2653.31)</f>
        <v/>
      </c>
      <c r="Z1510" s="6">
        <f>AA1510&amp;AB1510</f>
        <v/>
      </c>
      <c r="AA1510" s="6">
        <f>YEAR(AC1510)</f>
        <v/>
      </c>
      <c r="AB1510" s="6">
        <f>MONTH(AC1510)</f>
        <v/>
      </c>
      <c r="AC1510" s="267">
        <f>IFERROR(__xludf.DUMMYFUNCTION("""COMPUTED_VALUE"""),44659.9986111111)</f>
        <v/>
      </c>
      <c r="AD1510" s="6">
        <f>IFERROR(__xludf.DUMMYFUNCTION("""COMPUTED_VALUE"""),1228.93)</f>
        <v/>
      </c>
      <c r="AH1510" s="6">
        <f>AI1510&amp;AJ1510</f>
        <v/>
      </c>
      <c r="AI1510" s="6">
        <f>YEAR(AK1510)</f>
        <v/>
      </c>
      <c r="AJ1510" s="6">
        <f>MONTH(AK1510)</f>
        <v/>
      </c>
      <c r="AK1510" s="267">
        <f>IFERROR(__xludf.DUMMYFUNCTION("""COMPUTED_VALUE"""),44603.9986111111)</f>
        <v/>
      </c>
      <c r="AL1510" s="6">
        <f>IFERROR(__xludf.DUMMYFUNCTION("""COMPUTED_VALUE"""),42391.13)</f>
        <v/>
      </c>
      <c r="AP1510" s="6">
        <f>AQ1510&amp;AR1510</f>
        <v/>
      </c>
      <c r="AQ1510" s="6">
        <f>YEAR(AS1510)</f>
        <v/>
      </c>
      <c r="AR1510" s="6">
        <f>MONTH(AS1510)</f>
        <v/>
      </c>
      <c r="AS1510" s="267">
        <f>IFERROR(__xludf.DUMMYFUNCTION("""COMPUTED_VALUE"""),45299.9986111111)</f>
        <v/>
      </c>
      <c r="AT1510" s="6">
        <f>IFERROR(__xludf.DUMMYFUNCTION("""COMPUTED_VALUE"""),2033.5)</f>
        <v/>
      </c>
    </row>
    <row r="1511">
      <c r="B1511" s="6">
        <f>C1511&amp;D1511</f>
        <v/>
      </c>
      <c r="C1511" s="6">
        <f>YEAR(E1511)</f>
        <v/>
      </c>
      <c r="D1511" s="6">
        <f>MONTH(E1511)</f>
        <v/>
      </c>
      <c r="E1511" s="267">
        <f>IFERROR(__xludf.DUMMYFUNCTION("""COMPUTED_VALUE"""),45293.6666666666)</f>
        <v/>
      </c>
      <c r="F1511" s="6">
        <f>IFERROR(__xludf.DUMMYFUNCTION("""COMPUTED_VALUE"""),4742.83)</f>
        <v/>
      </c>
      <c r="J1511" s="6">
        <f>K1511&amp;L1511</f>
        <v/>
      </c>
      <c r="K1511" s="6">
        <f>YEAR(M1511)</f>
        <v/>
      </c>
      <c r="L1511" s="6">
        <f>MONTH(M1511)</f>
        <v/>
      </c>
      <c r="M1511" s="267">
        <f>IFERROR(__xludf.DUMMYFUNCTION("""COMPUTED_VALUE"""),45281.6666666666)</f>
        <v/>
      </c>
      <c r="N1511" s="6">
        <f>IFERROR(__xludf.DUMMYFUNCTION("""COMPUTED_VALUE"""),14963.87)</f>
        <v/>
      </c>
      <c r="R1511" s="6">
        <f>S1511&amp;T1511</f>
        <v/>
      </c>
      <c r="S1511" s="6">
        <f>YEAR(U1511)</f>
        <v/>
      </c>
      <c r="T1511" s="6">
        <f>MONTH(U1511)</f>
        <v/>
      </c>
      <c r="U1511" s="267">
        <f>IFERROR(__xludf.DUMMYFUNCTION("""COMPUTED_VALUE"""),45344.6458333333)</f>
        <v/>
      </c>
      <c r="V1511" s="6">
        <f>IFERROR(__xludf.DUMMYFUNCTION("""COMPUTED_VALUE"""),2664.27)</f>
        <v/>
      </c>
      <c r="Z1511" s="6">
        <f>AA1511&amp;AB1511</f>
        <v/>
      </c>
      <c r="AA1511" s="6">
        <f>YEAR(AC1511)</f>
        <v/>
      </c>
      <c r="AB1511" s="6">
        <f>MONTH(AC1511)</f>
        <v/>
      </c>
      <c r="AC1511" s="267">
        <f>IFERROR(__xludf.DUMMYFUNCTION("""COMPUTED_VALUE"""),44660.9986111111)</f>
        <v/>
      </c>
      <c r="AD1511" s="6">
        <f>IFERROR(__xludf.DUMMYFUNCTION("""COMPUTED_VALUE"""),1228.93)</f>
        <v/>
      </c>
      <c r="AH1511" s="6">
        <f>AI1511&amp;AJ1511</f>
        <v/>
      </c>
      <c r="AI1511" s="6">
        <f>YEAR(AK1511)</f>
        <v/>
      </c>
      <c r="AJ1511" s="6">
        <f>MONTH(AK1511)</f>
        <v/>
      </c>
      <c r="AK1511" s="267">
        <f>IFERROR(__xludf.DUMMYFUNCTION("""COMPUTED_VALUE"""),44604.9986111111)</f>
        <v/>
      </c>
      <c r="AL1511" s="6">
        <f>IFERROR(__xludf.DUMMYFUNCTION("""COMPUTED_VALUE"""),42222.13)</f>
        <v/>
      </c>
      <c r="AP1511" s="6">
        <f>AQ1511&amp;AR1511</f>
        <v/>
      </c>
      <c r="AQ1511" s="6">
        <f>YEAR(AS1511)</f>
        <v/>
      </c>
      <c r="AR1511" s="6">
        <f>MONTH(AS1511)</f>
        <v/>
      </c>
      <c r="AS1511" s="267">
        <f>IFERROR(__xludf.DUMMYFUNCTION("""COMPUTED_VALUE"""),45300.9986111111)</f>
        <v/>
      </c>
      <c r="AT1511" s="6">
        <f>IFERROR(__xludf.DUMMYFUNCTION("""COMPUTED_VALUE"""),2033)</f>
        <v/>
      </c>
    </row>
    <row r="1512">
      <c r="B1512" s="6">
        <f>C1512&amp;D1512</f>
        <v/>
      </c>
      <c r="C1512" s="6">
        <f>YEAR(E1512)</f>
        <v/>
      </c>
      <c r="D1512" s="6">
        <f>MONTH(E1512)</f>
        <v/>
      </c>
      <c r="E1512" s="267">
        <f>IFERROR(__xludf.DUMMYFUNCTION("""COMPUTED_VALUE"""),45294.6666666666)</f>
        <v/>
      </c>
      <c r="F1512" s="6">
        <f>IFERROR(__xludf.DUMMYFUNCTION("""COMPUTED_VALUE"""),4704.81)</f>
        <v/>
      </c>
      <c r="J1512" s="6">
        <f>K1512&amp;L1512</f>
        <v/>
      </c>
      <c r="K1512" s="6">
        <f>YEAR(M1512)</f>
        <v/>
      </c>
      <c r="L1512" s="6">
        <f>MONTH(M1512)</f>
        <v/>
      </c>
      <c r="M1512" s="267">
        <f>IFERROR(__xludf.DUMMYFUNCTION("""COMPUTED_VALUE"""),45282.6666666666)</f>
        <v/>
      </c>
      <c r="N1512" s="6">
        <f>IFERROR(__xludf.DUMMYFUNCTION("""COMPUTED_VALUE"""),14992.97)</f>
        <v/>
      </c>
      <c r="R1512" s="6">
        <f>S1512&amp;T1512</f>
        <v/>
      </c>
      <c r="S1512" s="6">
        <f>YEAR(U1512)</f>
        <v/>
      </c>
      <c r="T1512" s="6">
        <f>MONTH(U1512)</f>
        <v/>
      </c>
      <c r="U1512" s="267">
        <f>IFERROR(__xludf.DUMMYFUNCTION("""COMPUTED_VALUE"""),45345.6458333333)</f>
        <v/>
      </c>
      <c r="V1512" s="6">
        <f>IFERROR(__xludf.DUMMYFUNCTION("""COMPUTED_VALUE"""),2667.7)</f>
        <v/>
      </c>
      <c r="Z1512" s="6">
        <f>AA1512&amp;AB1512</f>
        <v/>
      </c>
      <c r="AA1512" s="6">
        <f>YEAR(AC1512)</f>
        <v/>
      </c>
      <c r="AB1512" s="6">
        <f>MONTH(AC1512)</f>
        <v/>
      </c>
      <c r="AC1512" s="267">
        <f>IFERROR(__xludf.DUMMYFUNCTION("""COMPUTED_VALUE"""),44661.9986111111)</f>
        <v/>
      </c>
      <c r="AD1512" s="6">
        <f>IFERROR(__xludf.DUMMYFUNCTION("""COMPUTED_VALUE"""),1228.24)</f>
        <v/>
      </c>
      <c r="AH1512" s="6">
        <f>AI1512&amp;AJ1512</f>
        <v/>
      </c>
      <c r="AI1512" s="6">
        <f>YEAR(AK1512)</f>
        <v/>
      </c>
      <c r="AJ1512" s="6">
        <f>MONTH(AK1512)</f>
        <v/>
      </c>
      <c r="AK1512" s="267">
        <f>IFERROR(__xludf.DUMMYFUNCTION("""COMPUTED_VALUE"""),44605.9986111111)</f>
        <v/>
      </c>
      <c r="AL1512" s="6">
        <f>IFERROR(__xludf.DUMMYFUNCTION("""COMPUTED_VALUE"""),42053.36)</f>
        <v/>
      </c>
      <c r="AP1512" s="6">
        <f>AQ1512&amp;AR1512</f>
        <v/>
      </c>
      <c r="AQ1512" s="6">
        <f>YEAR(AS1512)</f>
        <v/>
      </c>
      <c r="AR1512" s="6">
        <f>MONTH(AS1512)</f>
        <v/>
      </c>
      <c r="AS1512" s="267">
        <f>IFERROR(__xludf.DUMMYFUNCTION("""COMPUTED_VALUE"""),45301.9986111111)</f>
        <v/>
      </c>
      <c r="AT1512" s="6">
        <f>IFERROR(__xludf.DUMMYFUNCTION("""COMPUTED_VALUE"""),2027.8)</f>
        <v/>
      </c>
    </row>
    <row r="1513">
      <c r="B1513" s="6">
        <f>C1513&amp;D1513</f>
        <v/>
      </c>
      <c r="C1513" s="6">
        <f>YEAR(E1513)</f>
        <v/>
      </c>
      <c r="D1513" s="6">
        <f>MONTH(E1513)</f>
        <v/>
      </c>
      <c r="E1513" s="267">
        <f>IFERROR(__xludf.DUMMYFUNCTION("""COMPUTED_VALUE"""),45295.6666666666)</f>
        <v/>
      </c>
      <c r="F1513" s="6">
        <f>IFERROR(__xludf.DUMMYFUNCTION("""COMPUTED_VALUE"""),4688.68)</f>
        <v/>
      </c>
      <c r="J1513" s="6">
        <f>K1513&amp;L1513</f>
        <v/>
      </c>
      <c r="K1513" s="6">
        <f>YEAR(M1513)</f>
        <v/>
      </c>
      <c r="L1513" s="6">
        <f>MONTH(M1513)</f>
        <v/>
      </c>
      <c r="M1513" s="267">
        <f>IFERROR(__xludf.DUMMYFUNCTION("""COMPUTED_VALUE"""),45286.6666666666)</f>
        <v/>
      </c>
      <c r="N1513" s="6">
        <f>IFERROR(__xludf.DUMMYFUNCTION("""COMPUTED_VALUE"""),15074.57)</f>
        <v/>
      </c>
      <c r="R1513" s="6">
        <f>S1513&amp;T1513</f>
        <v/>
      </c>
      <c r="S1513" s="6">
        <f>YEAR(U1513)</f>
        <v/>
      </c>
      <c r="T1513" s="6">
        <f>MONTH(U1513)</f>
        <v/>
      </c>
      <c r="U1513" s="267">
        <f>IFERROR(__xludf.DUMMYFUNCTION("""COMPUTED_VALUE"""),45348.6458333333)</f>
        <v/>
      </c>
      <c r="V1513" s="6">
        <f>IFERROR(__xludf.DUMMYFUNCTION("""COMPUTED_VALUE"""),2647.08)</f>
        <v/>
      </c>
      <c r="Z1513" s="6">
        <f>AA1513&amp;AB1513</f>
        <v/>
      </c>
      <c r="AA1513" s="6">
        <f>YEAR(AC1513)</f>
        <v/>
      </c>
      <c r="AB1513" s="6">
        <f>MONTH(AC1513)</f>
        <v/>
      </c>
      <c r="AC1513" s="267">
        <f>IFERROR(__xludf.DUMMYFUNCTION("""COMPUTED_VALUE"""),44662.9986111111)</f>
        <v/>
      </c>
      <c r="AD1513" s="6">
        <f>IFERROR(__xludf.DUMMYFUNCTION("""COMPUTED_VALUE"""),1235.05)</f>
        <v/>
      </c>
      <c r="AH1513" s="6">
        <f>AI1513&amp;AJ1513</f>
        <v/>
      </c>
      <c r="AI1513" s="6">
        <f>YEAR(AK1513)</f>
        <v/>
      </c>
      <c r="AJ1513" s="6">
        <f>MONTH(AK1513)</f>
        <v/>
      </c>
      <c r="AK1513" s="267">
        <f>IFERROR(__xludf.DUMMYFUNCTION("""COMPUTED_VALUE"""),44606.9986111111)</f>
        <v/>
      </c>
      <c r="AL1513" s="6">
        <f>IFERROR(__xludf.DUMMYFUNCTION("""COMPUTED_VALUE"""),42550.43)</f>
        <v/>
      </c>
      <c r="AP1513" s="6">
        <f>AQ1513&amp;AR1513</f>
        <v/>
      </c>
      <c r="AQ1513" s="6">
        <f>YEAR(AS1513)</f>
        <v/>
      </c>
      <c r="AR1513" s="6">
        <f>MONTH(AS1513)</f>
        <v/>
      </c>
      <c r="AS1513" s="267">
        <f>IFERROR(__xludf.DUMMYFUNCTION("""COMPUTED_VALUE"""),45302.9986111111)</f>
        <v/>
      </c>
      <c r="AT1513" s="6">
        <f>IFERROR(__xludf.DUMMYFUNCTION("""COMPUTED_VALUE"""),2019.2)</f>
        <v/>
      </c>
    </row>
    <row r="1514">
      <c r="B1514" s="6">
        <f>C1514&amp;D1514</f>
        <v/>
      </c>
      <c r="C1514" s="6">
        <f>YEAR(E1514)</f>
        <v/>
      </c>
      <c r="D1514" s="6">
        <f>MONTH(E1514)</f>
        <v/>
      </c>
      <c r="E1514" s="267">
        <f>IFERROR(__xludf.DUMMYFUNCTION("""COMPUTED_VALUE"""),45296.6666666666)</f>
        <v/>
      </c>
      <c r="F1514" s="6">
        <f>IFERROR(__xludf.DUMMYFUNCTION("""COMPUTED_VALUE"""),4697.24)</f>
        <v/>
      </c>
      <c r="J1514" s="6">
        <f>K1514&amp;L1514</f>
        <v/>
      </c>
      <c r="K1514" s="6">
        <f>YEAR(M1514)</f>
        <v/>
      </c>
      <c r="L1514" s="6">
        <f>MONTH(M1514)</f>
        <v/>
      </c>
      <c r="M1514" s="267">
        <f>IFERROR(__xludf.DUMMYFUNCTION("""COMPUTED_VALUE"""),45287.6666666666)</f>
        <v/>
      </c>
      <c r="N1514" s="6">
        <f>IFERROR(__xludf.DUMMYFUNCTION("""COMPUTED_VALUE"""),15099.18)</f>
        <v/>
      </c>
      <c r="R1514" s="6">
        <f>S1514&amp;T1514</f>
        <v/>
      </c>
      <c r="S1514" s="6">
        <f>YEAR(U1514)</f>
        <v/>
      </c>
      <c r="T1514" s="6">
        <f>MONTH(U1514)</f>
        <v/>
      </c>
      <c r="U1514" s="267">
        <f>IFERROR(__xludf.DUMMYFUNCTION("""COMPUTED_VALUE"""),45349.6458333333)</f>
        <v/>
      </c>
      <c r="V1514" s="6">
        <f>IFERROR(__xludf.DUMMYFUNCTION("""COMPUTED_VALUE"""),2625.05)</f>
        <v/>
      </c>
      <c r="Z1514" s="6">
        <f>AA1514&amp;AB1514</f>
        <v/>
      </c>
      <c r="AA1514" s="6">
        <f>YEAR(AC1514)</f>
        <v/>
      </c>
      <c r="AB1514" s="6">
        <f>MONTH(AC1514)</f>
        <v/>
      </c>
      <c r="AC1514" s="267">
        <f>IFERROR(__xludf.DUMMYFUNCTION("""COMPUTED_VALUE"""),44663.9986111111)</f>
        <v/>
      </c>
      <c r="AD1514" s="6">
        <f>IFERROR(__xludf.DUMMYFUNCTION("""COMPUTED_VALUE"""),1228.6)</f>
        <v/>
      </c>
      <c r="AH1514" s="6">
        <f>AI1514&amp;AJ1514</f>
        <v/>
      </c>
      <c r="AI1514" s="6">
        <f>YEAR(AK1514)</f>
        <v/>
      </c>
      <c r="AJ1514" s="6">
        <f>MONTH(AK1514)</f>
        <v/>
      </c>
      <c r="AK1514" s="267">
        <f>IFERROR(__xludf.DUMMYFUNCTION("""COMPUTED_VALUE"""),44607.9986111111)</f>
        <v/>
      </c>
      <c r="AL1514" s="6">
        <f>IFERROR(__xludf.DUMMYFUNCTION("""COMPUTED_VALUE"""),44542.77)</f>
        <v/>
      </c>
      <c r="AP1514" s="6">
        <f>AQ1514&amp;AR1514</f>
        <v/>
      </c>
      <c r="AQ1514" s="6">
        <f>YEAR(AS1514)</f>
        <v/>
      </c>
      <c r="AR1514" s="6">
        <f>MONTH(AS1514)</f>
        <v/>
      </c>
      <c r="AS1514" s="267">
        <f>IFERROR(__xludf.DUMMYFUNCTION("""COMPUTED_VALUE"""),45303.9986111111)</f>
        <v/>
      </c>
      <c r="AT1514" s="6">
        <f>IFERROR(__xludf.DUMMYFUNCTION("""COMPUTED_VALUE"""),2051.6)</f>
        <v/>
      </c>
    </row>
    <row r="1515">
      <c r="B1515" s="6">
        <f>C1515&amp;D1515</f>
        <v/>
      </c>
      <c r="C1515" s="6">
        <f>YEAR(E1515)</f>
        <v/>
      </c>
      <c r="D1515" s="6">
        <f>MONTH(E1515)</f>
        <v/>
      </c>
      <c r="E1515" s="267">
        <f>IFERROR(__xludf.DUMMYFUNCTION("""COMPUTED_VALUE"""),45299.6666666666)</f>
        <v/>
      </c>
      <c r="F1515" s="6">
        <f>IFERROR(__xludf.DUMMYFUNCTION("""COMPUTED_VALUE"""),4763.54)</f>
        <v/>
      </c>
      <c r="J1515" s="6">
        <f>K1515&amp;L1515</f>
        <v/>
      </c>
      <c r="K1515" s="6">
        <f>YEAR(M1515)</f>
        <v/>
      </c>
      <c r="L1515" s="6">
        <f>MONTH(M1515)</f>
        <v/>
      </c>
      <c r="M1515" s="267">
        <f>IFERROR(__xludf.DUMMYFUNCTION("""COMPUTED_VALUE"""),45288.6666666666)</f>
        <v/>
      </c>
      <c r="N1515" s="6">
        <f>IFERROR(__xludf.DUMMYFUNCTION("""COMPUTED_VALUE"""),15095.14)</f>
        <v/>
      </c>
      <c r="R1515" s="6">
        <f>S1515&amp;T1515</f>
        <v/>
      </c>
      <c r="S1515" s="6">
        <f>YEAR(U1515)</f>
        <v/>
      </c>
      <c r="T1515" s="6">
        <f>MONTH(U1515)</f>
        <v/>
      </c>
      <c r="U1515" s="267">
        <f>IFERROR(__xludf.DUMMYFUNCTION("""COMPUTED_VALUE"""),45350.6458333333)</f>
        <v/>
      </c>
      <c r="V1515" s="6">
        <f>IFERROR(__xludf.DUMMYFUNCTION("""COMPUTED_VALUE"""),2652.29)</f>
        <v/>
      </c>
      <c r="Z1515" s="6">
        <f>AA1515&amp;AB1515</f>
        <v/>
      </c>
      <c r="AA1515" s="6">
        <f>YEAR(AC1515)</f>
        <v/>
      </c>
      <c r="AB1515" s="6">
        <f>MONTH(AC1515)</f>
        <v/>
      </c>
      <c r="AC1515" s="267">
        <f>IFERROR(__xludf.DUMMYFUNCTION("""COMPUTED_VALUE"""),44664.9986111111)</f>
        <v/>
      </c>
      <c r="AD1515" s="6">
        <f>IFERROR(__xludf.DUMMYFUNCTION("""COMPUTED_VALUE"""),1223.12)</f>
        <v/>
      </c>
      <c r="AH1515" s="6">
        <f>AI1515&amp;AJ1515</f>
        <v/>
      </c>
      <c r="AI1515" s="6">
        <f>YEAR(AK1515)</f>
        <v/>
      </c>
      <c r="AJ1515" s="6">
        <f>MONTH(AK1515)</f>
        <v/>
      </c>
      <c r="AK1515" s="267">
        <f>IFERROR(__xludf.DUMMYFUNCTION("""COMPUTED_VALUE"""),44608.9986111111)</f>
        <v/>
      </c>
      <c r="AL1515" s="6">
        <f>IFERROR(__xludf.DUMMYFUNCTION("""COMPUTED_VALUE"""),43867.82)</f>
        <v/>
      </c>
      <c r="AP1515" s="6">
        <f>AQ1515&amp;AR1515</f>
        <v/>
      </c>
      <c r="AQ1515" s="6">
        <f>YEAR(AS1515)</f>
        <v/>
      </c>
      <c r="AR1515" s="6">
        <f>MONTH(AS1515)</f>
        <v/>
      </c>
      <c r="AS1515" s="267">
        <f>IFERROR(__xludf.DUMMYFUNCTION("""COMPUTED_VALUE"""),45307.9986111111)</f>
        <v/>
      </c>
      <c r="AT1515" s="6">
        <f>IFERROR(__xludf.DUMMYFUNCTION("""COMPUTED_VALUE"""),2030.2)</f>
        <v/>
      </c>
    </row>
    <row r="1516">
      <c r="B1516" s="6">
        <f>C1516&amp;D1516</f>
        <v/>
      </c>
      <c r="C1516" s="6">
        <f>YEAR(E1516)</f>
        <v/>
      </c>
      <c r="D1516" s="6">
        <f>MONTH(E1516)</f>
        <v/>
      </c>
      <c r="E1516" s="267">
        <f>IFERROR(__xludf.DUMMYFUNCTION("""COMPUTED_VALUE"""),45300.6666666666)</f>
        <v/>
      </c>
      <c r="F1516" s="6">
        <f>IFERROR(__xludf.DUMMYFUNCTION("""COMPUTED_VALUE"""),4756.5)</f>
        <v/>
      </c>
      <c r="J1516" s="6">
        <f>K1516&amp;L1516</f>
        <v/>
      </c>
      <c r="K1516" s="6">
        <f>YEAR(M1516)</f>
        <v/>
      </c>
      <c r="L1516" s="6">
        <f>MONTH(M1516)</f>
        <v/>
      </c>
      <c r="M1516" s="267">
        <f>IFERROR(__xludf.DUMMYFUNCTION("""COMPUTED_VALUE"""),45289.6666666666)</f>
        <v/>
      </c>
      <c r="N1516" s="6">
        <f>IFERROR(__xludf.DUMMYFUNCTION("""COMPUTED_VALUE"""),15011.35)</f>
        <v/>
      </c>
      <c r="R1516" s="6">
        <f>S1516&amp;T1516</f>
        <v/>
      </c>
      <c r="S1516" s="6">
        <f>YEAR(U1516)</f>
        <v/>
      </c>
      <c r="T1516" s="6">
        <f>MONTH(U1516)</f>
        <v/>
      </c>
      <c r="U1516" s="267">
        <f>IFERROR(__xludf.DUMMYFUNCTION("""COMPUTED_VALUE"""),45351.6458333333)</f>
        <v/>
      </c>
      <c r="V1516" s="6">
        <f>IFERROR(__xludf.DUMMYFUNCTION("""COMPUTED_VALUE"""),2642.36)</f>
        <v/>
      </c>
      <c r="Z1516" s="6">
        <f>AA1516&amp;AB1516</f>
        <v/>
      </c>
      <c r="AA1516" s="6">
        <f>YEAR(AC1516)</f>
        <v/>
      </c>
      <c r="AB1516" s="6">
        <f>MONTH(AC1516)</f>
        <v/>
      </c>
      <c r="AC1516" s="267">
        <f>IFERROR(__xludf.DUMMYFUNCTION("""COMPUTED_VALUE"""),44665.9986111111)</f>
        <v/>
      </c>
      <c r="AD1516" s="6">
        <f>IFERROR(__xludf.DUMMYFUNCTION("""COMPUTED_VALUE"""),1230.1)</f>
        <v/>
      </c>
      <c r="AH1516" s="6">
        <f>AI1516&amp;AJ1516</f>
        <v/>
      </c>
      <c r="AI1516" s="6">
        <f>YEAR(AK1516)</f>
        <v/>
      </c>
      <c r="AJ1516" s="6">
        <f>MONTH(AK1516)</f>
        <v/>
      </c>
      <c r="AK1516" s="267">
        <f>IFERROR(__xludf.DUMMYFUNCTION("""COMPUTED_VALUE"""),44609.9986111111)</f>
        <v/>
      </c>
      <c r="AL1516" s="6">
        <f>IFERROR(__xludf.DUMMYFUNCTION("""COMPUTED_VALUE"""),40552.88)</f>
        <v/>
      </c>
      <c r="AP1516" s="6">
        <f>AQ1516&amp;AR1516</f>
        <v/>
      </c>
      <c r="AQ1516" s="6">
        <f>YEAR(AS1516)</f>
        <v/>
      </c>
      <c r="AR1516" s="6">
        <f>MONTH(AS1516)</f>
        <v/>
      </c>
      <c r="AS1516" s="267">
        <f>IFERROR(__xludf.DUMMYFUNCTION("""COMPUTED_VALUE"""),45308.9986111111)</f>
        <v/>
      </c>
      <c r="AT1516" s="6">
        <f>IFERROR(__xludf.DUMMYFUNCTION("""COMPUTED_VALUE"""),2006.5)</f>
        <v/>
      </c>
    </row>
    <row r="1517">
      <c r="B1517" s="6">
        <f>C1517&amp;D1517</f>
        <v/>
      </c>
      <c r="C1517" s="6">
        <f>YEAR(E1517)</f>
        <v/>
      </c>
      <c r="D1517" s="6">
        <f>MONTH(E1517)</f>
        <v/>
      </c>
      <c r="E1517" s="267">
        <f>IFERROR(__xludf.DUMMYFUNCTION("""COMPUTED_VALUE"""),45301.6666666666)</f>
        <v/>
      </c>
      <c r="F1517" s="6">
        <f>IFERROR(__xludf.DUMMYFUNCTION("""COMPUTED_VALUE"""),4783.45)</f>
        <v/>
      </c>
      <c r="J1517" s="6">
        <f>K1517&amp;L1517</f>
        <v/>
      </c>
      <c r="K1517" s="6">
        <f>YEAR(M1517)</f>
        <v/>
      </c>
      <c r="L1517" s="6">
        <f>MONTH(M1517)</f>
        <v/>
      </c>
      <c r="M1517" s="267">
        <f>IFERROR(__xludf.DUMMYFUNCTION("""COMPUTED_VALUE"""),45293.6666666666)</f>
        <v/>
      </c>
      <c r="N1517" s="6">
        <f>IFERROR(__xludf.DUMMYFUNCTION("""COMPUTED_VALUE"""),14765.94)</f>
        <v/>
      </c>
      <c r="R1517" s="6">
        <f>S1517&amp;T1517</f>
        <v/>
      </c>
      <c r="S1517" s="6">
        <f>YEAR(U1517)</f>
        <v/>
      </c>
      <c r="T1517" s="6">
        <f>MONTH(U1517)</f>
        <v/>
      </c>
      <c r="U1517" s="267">
        <f>IFERROR(__xludf.DUMMYFUNCTION("""COMPUTED_VALUE"""),45355.6458333333)</f>
        <v/>
      </c>
      <c r="V1517" s="6">
        <f>IFERROR(__xludf.DUMMYFUNCTION("""COMPUTED_VALUE"""),2674.27)</f>
        <v/>
      </c>
      <c r="Z1517" s="6">
        <f>AA1517&amp;AB1517</f>
        <v/>
      </c>
      <c r="AA1517" s="6">
        <f>YEAR(AC1517)</f>
        <v/>
      </c>
      <c r="AB1517" s="6">
        <f>MONTH(AC1517)</f>
        <v/>
      </c>
      <c r="AC1517" s="267">
        <f>IFERROR(__xludf.DUMMYFUNCTION("""COMPUTED_VALUE"""),44666.9986111111)</f>
        <v/>
      </c>
      <c r="AD1517" s="6">
        <f>IFERROR(__xludf.DUMMYFUNCTION("""COMPUTED_VALUE"""),1228.19)</f>
        <v/>
      </c>
      <c r="AH1517" s="6">
        <f>AI1517&amp;AJ1517</f>
        <v/>
      </c>
      <c r="AI1517" s="6">
        <f>YEAR(AK1517)</f>
        <v/>
      </c>
      <c r="AJ1517" s="6">
        <f>MONTH(AK1517)</f>
        <v/>
      </c>
      <c r="AK1517" s="267">
        <f>IFERROR(__xludf.DUMMYFUNCTION("""COMPUTED_VALUE"""),44610.9986111111)</f>
        <v/>
      </c>
      <c r="AL1517" s="6">
        <f>IFERROR(__xludf.DUMMYFUNCTION("""COMPUTED_VALUE"""),40003.39)</f>
        <v/>
      </c>
      <c r="AP1517" s="6">
        <f>AQ1517&amp;AR1517</f>
        <v/>
      </c>
      <c r="AQ1517" s="6">
        <f>YEAR(AS1517)</f>
        <v/>
      </c>
      <c r="AR1517" s="6">
        <f>MONTH(AS1517)</f>
        <v/>
      </c>
      <c r="AS1517" s="267">
        <f>IFERROR(__xludf.DUMMYFUNCTION("""COMPUTED_VALUE"""),45309.9986111111)</f>
        <v/>
      </c>
      <c r="AT1517" s="6">
        <f>IFERROR(__xludf.DUMMYFUNCTION("""COMPUTED_VALUE"""),2021.6)</f>
        <v/>
      </c>
    </row>
    <row r="1518">
      <c r="B1518" s="6">
        <f>C1518&amp;D1518</f>
        <v/>
      </c>
      <c r="C1518" s="6">
        <f>YEAR(E1518)</f>
        <v/>
      </c>
      <c r="D1518" s="6">
        <f>MONTH(E1518)</f>
        <v/>
      </c>
      <c r="E1518" s="267">
        <f>IFERROR(__xludf.DUMMYFUNCTION("""COMPUTED_VALUE"""),45302.6666666666)</f>
        <v/>
      </c>
      <c r="F1518" s="6">
        <f>IFERROR(__xludf.DUMMYFUNCTION("""COMPUTED_VALUE"""),4780.24)</f>
        <v/>
      </c>
      <c r="J1518" s="6">
        <f>K1518&amp;L1518</f>
        <v/>
      </c>
      <c r="K1518" s="6">
        <f>YEAR(M1518)</f>
        <v/>
      </c>
      <c r="L1518" s="6">
        <f>MONTH(M1518)</f>
        <v/>
      </c>
      <c r="M1518" s="267">
        <f>IFERROR(__xludf.DUMMYFUNCTION("""COMPUTED_VALUE"""),45294.6666666666)</f>
        <v/>
      </c>
      <c r="N1518" s="6">
        <f>IFERROR(__xludf.DUMMYFUNCTION("""COMPUTED_VALUE"""),14592.21)</f>
        <v/>
      </c>
      <c r="R1518" s="6">
        <f>S1518&amp;T1518</f>
        <v/>
      </c>
      <c r="S1518" s="6">
        <f>YEAR(U1518)</f>
        <v/>
      </c>
      <c r="T1518" s="6">
        <f>MONTH(U1518)</f>
        <v/>
      </c>
      <c r="U1518" s="267">
        <f>IFERROR(__xludf.DUMMYFUNCTION("""COMPUTED_VALUE"""),45356.6458333333)</f>
        <v/>
      </c>
      <c r="V1518" s="6">
        <f>IFERROR(__xludf.DUMMYFUNCTION("""COMPUTED_VALUE"""),2649.4)</f>
        <v/>
      </c>
      <c r="Z1518" s="6">
        <f>AA1518&amp;AB1518</f>
        <v/>
      </c>
      <c r="AA1518" s="6">
        <f>YEAR(AC1518)</f>
        <v/>
      </c>
      <c r="AB1518" s="6">
        <f>MONTH(AC1518)</f>
        <v/>
      </c>
      <c r="AC1518" s="267">
        <f>IFERROR(__xludf.DUMMYFUNCTION("""COMPUTED_VALUE"""),44667.9986111111)</f>
        <v/>
      </c>
      <c r="AD1518" s="6">
        <f>IFERROR(__xludf.DUMMYFUNCTION("""COMPUTED_VALUE"""),1228.19)</f>
        <v/>
      </c>
      <c r="AH1518" s="6">
        <f>AI1518&amp;AJ1518</f>
        <v/>
      </c>
      <c r="AI1518" s="6">
        <f>YEAR(AK1518)</f>
        <v/>
      </c>
      <c r="AJ1518" s="6">
        <f>MONTH(AK1518)</f>
        <v/>
      </c>
      <c r="AK1518" s="267">
        <f>IFERROR(__xludf.DUMMYFUNCTION("""COMPUTED_VALUE"""),44611.9986111111)</f>
        <v/>
      </c>
      <c r="AL1518" s="6">
        <f>IFERROR(__xludf.DUMMYFUNCTION("""COMPUTED_VALUE"""),40094.09)</f>
        <v/>
      </c>
      <c r="AP1518" s="6">
        <f>AQ1518&amp;AR1518</f>
        <v/>
      </c>
      <c r="AQ1518" s="6">
        <f>YEAR(AS1518)</f>
        <v/>
      </c>
      <c r="AR1518" s="6">
        <f>MONTH(AS1518)</f>
        <v/>
      </c>
      <c r="AS1518" s="267">
        <f>IFERROR(__xludf.DUMMYFUNCTION("""COMPUTED_VALUE"""),45310.9986111111)</f>
        <v/>
      </c>
      <c r="AT1518" s="6">
        <f>IFERROR(__xludf.DUMMYFUNCTION("""COMPUTED_VALUE"""),2048.6)</f>
        <v/>
      </c>
    </row>
    <row r="1519">
      <c r="B1519" s="6">
        <f>C1519&amp;D1519</f>
        <v/>
      </c>
      <c r="C1519" s="6">
        <f>YEAR(E1519)</f>
        <v/>
      </c>
      <c r="D1519" s="6">
        <f>MONTH(E1519)</f>
        <v/>
      </c>
      <c r="E1519" s="267">
        <f>IFERROR(__xludf.DUMMYFUNCTION("""COMPUTED_VALUE"""),45303.6666666666)</f>
        <v/>
      </c>
      <c r="F1519" s="6">
        <f>IFERROR(__xludf.DUMMYFUNCTION("""COMPUTED_VALUE"""),4783.83)</f>
        <v/>
      </c>
      <c r="J1519" s="6">
        <f>K1519&amp;L1519</f>
        <v/>
      </c>
      <c r="K1519" s="6">
        <f>YEAR(M1519)</f>
        <v/>
      </c>
      <c r="L1519" s="6">
        <f>MONTH(M1519)</f>
        <v/>
      </c>
      <c r="M1519" s="267">
        <f>IFERROR(__xludf.DUMMYFUNCTION("""COMPUTED_VALUE"""),45295.6666666666)</f>
        <v/>
      </c>
      <c r="N1519" s="6">
        <f>IFERROR(__xludf.DUMMYFUNCTION("""COMPUTED_VALUE"""),14510.3)</f>
        <v/>
      </c>
      <c r="R1519" s="6">
        <f>S1519&amp;T1519</f>
        <v/>
      </c>
      <c r="S1519" s="6">
        <f>YEAR(U1519)</f>
        <v/>
      </c>
      <c r="T1519" s="6">
        <f>MONTH(U1519)</f>
        <v/>
      </c>
      <c r="U1519" s="267">
        <f>IFERROR(__xludf.DUMMYFUNCTION("""COMPUTED_VALUE"""),45357.6458333333)</f>
        <v/>
      </c>
      <c r="V1519" s="6">
        <f>IFERROR(__xludf.DUMMYFUNCTION("""COMPUTED_VALUE"""),2641.49)</f>
        <v/>
      </c>
      <c r="Z1519" s="6">
        <f>AA1519&amp;AB1519</f>
        <v/>
      </c>
      <c r="AA1519" s="6">
        <f>YEAR(AC1519)</f>
        <v/>
      </c>
      <c r="AB1519" s="6">
        <f>MONTH(AC1519)</f>
        <v/>
      </c>
      <c r="AC1519" s="267">
        <f>IFERROR(__xludf.DUMMYFUNCTION("""COMPUTED_VALUE"""),44668.9986111111)</f>
        <v/>
      </c>
      <c r="AD1519" s="6">
        <f>IFERROR(__xludf.DUMMYFUNCTION("""COMPUTED_VALUE"""),1228.09)</f>
        <v/>
      </c>
      <c r="AH1519" s="6">
        <f>AI1519&amp;AJ1519</f>
        <v/>
      </c>
      <c r="AI1519" s="6">
        <f>YEAR(AK1519)</f>
        <v/>
      </c>
      <c r="AJ1519" s="6">
        <f>MONTH(AK1519)</f>
        <v/>
      </c>
      <c r="AK1519" s="267">
        <f>IFERROR(__xludf.DUMMYFUNCTION("""COMPUTED_VALUE"""),44612.9986111111)</f>
        <v/>
      </c>
      <c r="AL1519" s="6">
        <f>IFERROR(__xludf.DUMMYFUNCTION("""COMPUTED_VALUE"""),38378.47)</f>
        <v/>
      </c>
      <c r="AP1519" s="6">
        <f>AQ1519&amp;AR1519</f>
        <v/>
      </c>
      <c r="AQ1519" s="6">
        <f>YEAR(AS1519)</f>
        <v/>
      </c>
      <c r="AR1519" s="6">
        <f>MONTH(AS1519)</f>
        <v/>
      </c>
      <c r="AS1519" s="267">
        <f>IFERROR(__xludf.DUMMYFUNCTION("""COMPUTED_VALUE"""),45313.9986111111)</f>
        <v/>
      </c>
      <c r="AT1519" s="6">
        <f>IFERROR(__xludf.DUMMYFUNCTION("""COMPUTED_VALUE"""),2041.6)</f>
        <v/>
      </c>
    </row>
    <row r="1520">
      <c r="B1520" s="6">
        <f>C1520&amp;D1520</f>
        <v/>
      </c>
      <c r="C1520" s="6">
        <f>YEAR(E1520)</f>
        <v/>
      </c>
      <c r="D1520" s="6">
        <f>MONTH(E1520)</f>
        <v/>
      </c>
      <c r="E1520" s="267">
        <f>IFERROR(__xludf.DUMMYFUNCTION("""COMPUTED_VALUE"""),45307.6666666666)</f>
        <v/>
      </c>
      <c r="F1520" s="6">
        <f>IFERROR(__xludf.DUMMYFUNCTION("""COMPUTED_VALUE"""),4765.98)</f>
        <v/>
      </c>
      <c r="J1520" s="6">
        <f>K1520&amp;L1520</f>
        <v/>
      </c>
      <c r="K1520" s="6">
        <f>YEAR(M1520)</f>
        <v/>
      </c>
      <c r="L1520" s="6">
        <f>MONTH(M1520)</f>
        <v/>
      </c>
      <c r="M1520" s="267">
        <f>IFERROR(__xludf.DUMMYFUNCTION("""COMPUTED_VALUE"""),45296.6666666666)</f>
        <v/>
      </c>
      <c r="N1520" s="6">
        <f>IFERROR(__xludf.DUMMYFUNCTION("""COMPUTED_VALUE"""),14524.07)</f>
        <v/>
      </c>
      <c r="R1520" s="6">
        <f>S1520&amp;T1520</f>
        <v/>
      </c>
      <c r="S1520" s="6">
        <f>YEAR(U1520)</f>
        <v/>
      </c>
      <c r="T1520" s="6">
        <f>MONTH(U1520)</f>
        <v/>
      </c>
      <c r="U1520" s="267">
        <f>IFERROR(__xludf.DUMMYFUNCTION("""COMPUTED_VALUE"""),45358.6458333333)</f>
        <v/>
      </c>
      <c r="V1520" s="6">
        <f>IFERROR(__xludf.DUMMYFUNCTION("""COMPUTED_VALUE"""),2647.62)</f>
        <v/>
      </c>
      <c r="Z1520" s="6">
        <f>AA1520&amp;AB1520</f>
        <v/>
      </c>
      <c r="AA1520" s="6">
        <f>YEAR(AC1520)</f>
        <v/>
      </c>
      <c r="AB1520" s="6">
        <f>MONTH(AC1520)</f>
        <v/>
      </c>
      <c r="AC1520" s="267">
        <f>IFERROR(__xludf.DUMMYFUNCTION("""COMPUTED_VALUE"""),44669.9986111111)</f>
        <v/>
      </c>
      <c r="AD1520" s="6">
        <f>IFERROR(__xludf.DUMMYFUNCTION("""COMPUTED_VALUE"""),1235.35)</f>
        <v/>
      </c>
      <c r="AH1520" s="6">
        <f>AI1520&amp;AJ1520</f>
        <v/>
      </c>
      <c r="AI1520" s="6">
        <f>YEAR(AK1520)</f>
        <v/>
      </c>
      <c r="AJ1520" s="6">
        <f>MONTH(AK1520)</f>
        <v/>
      </c>
      <c r="AK1520" s="267">
        <f>IFERROR(__xludf.DUMMYFUNCTION("""COMPUTED_VALUE"""),44613.9986111111)</f>
        <v/>
      </c>
      <c r="AL1520" s="6">
        <f>IFERROR(__xludf.DUMMYFUNCTION("""COMPUTED_VALUE"""),37032.1)</f>
        <v/>
      </c>
      <c r="AP1520" s="6">
        <f>AQ1520&amp;AR1520</f>
        <v/>
      </c>
      <c r="AQ1520" s="6">
        <f>YEAR(AS1520)</f>
        <v/>
      </c>
      <c r="AR1520" s="6">
        <f>MONTH(AS1520)</f>
        <v/>
      </c>
      <c r="AS1520" s="267">
        <f>IFERROR(__xludf.DUMMYFUNCTION("""COMPUTED_VALUE"""),45314.9986111111)</f>
        <v/>
      </c>
      <c r="AT1520" s="6">
        <f>IFERROR(__xludf.DUMMYFUNCTION("""COMPUTED_VALUE"""),2045.2)</f>
        <v/>
      </c>
    </row>
    <row r="1521">
      <c r="B1521" s="6">
        <f>C1521&amp;D1521</f>
        <v/>
      </c>
      <c r="C1521" s="6">
        <f>YEAR(E1521)</f>
        <v/>
      </c>
      <c r="D1521" s="6">
        <f>MONTH(E1521)</f>
        <v/>
      </c>
      <c r="E1521" s="267">
        <f>IFERROR(__xludf.DUMMYFUNCTION("""COMPUTED_VALUE"""),45308.6666666666)</f>
        <v/>
      </c>
      <c r="F1521" s="6">
        <f>IFERROR(__xludf.DUMMYFUNCTION("""COMPUTED_VALUE"""),4739.21)</f>
        <v/>
      </c>
      <c r="J1521" s="6">
        <f>K1521&amp;L1521</f>
        <v/>
      </c>
      <c r="K1521" s="6">
        <f>YEAR(M1521)</f>
        <v/>
      </c>
      <c r="L1521" s="6">
        <f>MONTH(M1521)</f>
        <v/>
      </c>
      <c r="M1521" s="267">
        <f>IFERROR(__xludf.DUMMYFUNCTION("""COMPUTED_VALUE"""),45299.6666666666)</f>
        <v/>
      </c>
      <c r="N1521" s="6">
        <f>IFERROR(__xludf.DUMMYFUNCTION("""COMPUTED_VALUE"""),14843.77)</f>
        <v/>
      </c>
      <c r="R1521" s="6">
        <f>S1521&amp;T1521</f>
        <v/>
      </c>
      <c r="S1521" s="6">
        <f>YEAR(U1521)</f>
        <v/>
      </c>
      <c r="T1521" s="6">
        <f>MONTH(U1521)</f>
        <v/>
      </c>
      <c r="U1521" s="267">
        <f>IFERROR(__xludf.DUMMYFUNCTION("""COMPUTED_VALUE"""),45359.6458333333)</f>
        <v/>
      </c>
      <c r="V1521" s="6">
        <f>IFERROR(__xludf.DUMMYFUNCTION("""COMPUTED_VALUE"""),2680.35)</f>
        <v/>
      </c>
      <c r="Z1521" s="6">
        <f>AA1521&amp;AB1521</f>
        <v/>
      </c>
      <c r="AA1521" s="6">
        <f>YEAR(AC1521)</f>
        <v/>
      </c>
      <c r="AB1521" s="6">
        <f>MONTH(AC1521)</f>
        <v/>
      </c>
      <c r="AC1521" s="267">
        <f>IFERROR(__xludf.DUMMYFUNCTION("""COMPUTED_VALUE"""),44670.9986111111)</f>
        <v/>
      </c>
      <c r="AD1521" s="6">
        <f>IFERROR(__xludf.DUMMYFUNCTION("""COMPUTED_VALUE"""),1239.6)</f>
        <v/>
      </c>
      <c r="AH1521" s="6">
        <f>AI1521&amp;AJ1521</f>
        <v/>
      </c>
      <c r="AI1521" s="6">
        <f>YEAR(AK1521)</f>
        <v/>
      </c>
      <c r="AJ1521" s="6">
        <f>MONTH(AK1521)</f>
        <v/>
      </c>
      <c r="AK1521" s="267">
        <f>IFERROR(__xludf.DUMMYFUNCTION("""COMPUTED_VALUE"""),44614.9986111111)</f>
        <v/>
      </c>
      <c r="AL1521" s="6">
        <f>IFERROR(__xludf.DUMMYFUNCTION("""COMPUTED_VALUE"""),38247.22)</f>
        <v/>
      </c>
      <c r="AP1521" s="6">
        <f>AQ1521&amp;AR1521</f>
        <v/>
      </c>
      <c r="AQ1521" s="6">
        <f>YEAR(AS1521)</f>
        <v/>
      </c>
      <c r="AR1521" s="6">
        <f>MONTH(AS1521)</f>
        <v/>
      </c>
      <c r="AS1521" s="267">
        <f>IFERROR(__xludf.DUMMYFUNCTION("""COMPUTED_VALUE"""),45315.9986111111)</f>
        <v/>
      </c>
      <c r="AT1521" s="6">
        <f>IFERROR(__xludf.DUMMYFUNCTION("""COMPUTED_VALUE"""),2035.2)</f>
        <v/>
      </c>
    </row>
    <row r="1522">
      <c r="B1522" s="6">
        <f>C1522&amp;D1522</f>
        <v/>
      </c>
      <c r="C1522" s="6">
        <f>YEAR(E1522)</f>
        <v/>
      </c>
      <c r="D1522" s="6">
        <f>MONTH(E1522)</f>
        <v/>
      </c>
      <c r="E1522" s="267">
        <f>IFERROR(__xludf.DUMMYFUNCTION("""COMPUTED_VALUE"""),45309.6666666666)</f>
        <v/>
      </c>
      <c r="F1522" s="6">
        <f>IFERROR(__xludf.DUMMYFUNCTION("""COMPUTED_VALUE"""),4780.94)</f>
        <v/>
      </c>
      <c r="J1522" s="6">
        <f>K1522&amp;L1522</f>
        <v/>
      </c>
      <c r="K1522" s="6">
        <f>YEAR(M1522)</f>
        <v/>
      </c>
      <c r="L1522" s="6">
        <f>MONTH(M1522)</f>
        <v/>
      </c>
      <c r="M1522" s="267">
        <f>IFERROR(__xludf.DUMMYFUNCTION("""COMPUTED_VALUE"""),45300.6666666666)</f>
        <v/>
      </c>
      <c r="N1522" s="6">
        <f>IFERROR(__xludf.DUMMYFUNCTION("""COMPUTED_VALUE"""),14857.71)</f>
        <v/>
      </c>
      <c r="R1522" s="6">
        <f>S1522&amp;T1522</f>
        <v/>
      </c>
      <c r="S1522" s="6">
        <f>YEAR(U1522)</f>
        <v/>
      </c>
      <c r="T1522" s="6">
        <f>MONTH(U1522)</f>
        <v/>
      </c>
      <c r="U1522" s="267">
        <f>IFERROR(__xludf.DUMMYFUNCTION("""COMPUTED_VALUE"""),45362.6458333333)</f>
        <v/>
      </c>
      <c r="V1522" s="6">
        <f>IFERROR(__xludf.DUMMYFUNCTION("""COMPUTED_VALUE"""),2659.84)</f>
        <v/>
      </c>
      <c r="Z1522" s="6">
        <f>AA1522&amp;AB1522</f>
        <v/>
      </c>
      <c r="AA1522" s="6">
        <f>YEAR(AC1522)</f>
        <v/>
      </c>
      <c r="AB1522" s="6">
        <f>MONTH(AC1522)</f>
        <v/>
      </c>
      <c r="AC1522" s="267">
        <f>IFERROR(__xludf.DUMMYFUNCTION("""COMPUTED_VALUE"""),44671.9986111111)</f>
        <v/>
      </c>
      <c r="AD1522" s="6">
        <f>IFERROR(__xludf.DUMMYFUNCTION("""COMPUTED_VALUE"""),1234.09)</f>
        <v/>
      </c>
      <c r="AH1522" s="6">
        <f>AI1522&amp;AJ1522</f>
        <v/>
      </c>
      <c r="AI1522" s="6">
        <f>YEAR(AK1522)</f>
        <v/>
      </c>
      <c r="AJ1522" s="6">
        <f>MONTH(AK1522)</f>
        <v/>
      </c>
      <c r="AK1522" s="267">
        <f>IFERROR(__xludf.DUMMYFUNCTION("""COMPUTED_VALUE"""),44615.9986111111)</f>
        <v/>
      </c>
      <c r="AL1522" s="6">
        <f>IFERROR(__xludf.DUMMYFUNCTION("""COMPUTED_VALUE"""),37242.74)</f>
        <v/>
      </c>
      <c r="AP1522" s="6">
        <f>AQ1522&amp;AR1522</f>
        <v/>
      </c>
      <c r="AQ1522" s="6">
        <f>YEAR(AS1522)</f>
        <v/>
      </c>
      <c r="AR1522" s="6">
        <f>MONTH(AS1522)</f>
        <v/>
      </c>
      <c r="AS1522" s="267">
        <f>IFERROR(__xludf.DUMMYFUNCTION("""COMPUTED_VALUE"""),45316.9986111111)</f>
        <v/>
      </c>
      <c r="AT1522" s="6">
        <f>IFERROR(__xludf.DUMMYFUNCTION("""COMPUTED_VALUE"""),2036.8)</f>
        <v/>
      </c>
    </row>
    <row r="1523">
      <c r="B1523" s="6">
        <f>C1523&amp;D1523</f>
        <v/>
      </c>
      <c r="C1523" s="6">
        <f>YEAR(E1523)</f>
        <v/>
      </c>
      <c r="D1523" s="6">
        <f>MONTH(E1523)</f>
        <v/>
      </c>
      <c r="E1523" s="267">
        <f>IFERROR(__xludf.DUMMYFUNCTION("""COMPUTED_VALUE"""),45310.6666666666)</f>
        <v/>
      </c>
      <c r="F1523" s="6">
        <f>IFERROR(__xludf.DUMMYFUNCTION("""COMPUTED_VALUE"""),4839.81)</f>
        <v/>
      </c>
      <c r="J1523" s="6">
        <f>K1523&amp;L1523</f>
        <v/>
      </c>
      <c r="K1523" s="6">
        <f>YEAR(M1523)</f>
        <v/>
      </c>
      <c r="L1523" s="6">
        <f>MONTH(M1523)</f>
        <v/>
      </c>
      <c r="M1523" s="267">
        <f>IFERROR(__xludf.DUMMYFUNCTION("""COMPUTED_VALUE"""),45301.6666666666)</f>
        <v/>
      </c>
      <c r="N1523" s="6">
        <f>IFERROR(__xludf.DUMMYFUNCTION("""COMPUTED_VALUE"""),14969.65)</f>
        <v/>
      </c>
      <c r="R1523" s="6">
        <f>S1523&amp;T1523</f>
        <v/>
      </c>
      <c r="S1523" s="6">
        <f>YEAR(U1523)</f>
        <v/>
      </c>
      <c r="T1523" s="6">
        <f>MONTH(U1523)</f>
        <v/>
      </c>
      <c r="U1523" s="267">
        <f>IFERROR(__xludf.DUMMYFUNCTION("""COMPUTED_VALUE"""),45363.6458333333)</f>
        <v/>
      </c>
      <c r="V1523" s="6">
        <f>IFERROR(__xludf.DUMMYFUNCTION("""COMPUTED_VALUE"""),2681.81)</f>
        <v/>
      </c>
      <c r="Z1523" s="6">
        <f>AA1523&amp;AB1523</f>
        <v/>
      </c>
      <c r="AA1523" s="6">
        <f>YEAR(AC1523)</f>
        <v/>
      </c>
      <c r="AB1523" s="6">
        <f>MONTH(AC1523)</f>
        <v/>
      </c>
      <c r="AC1523" s="267">
        <f>IFERROR(__xludf.DUMMYFUNCTION("""COMPUTED_VALUE"""),44672.9986111111)</f>
        <v/>
      </c>
      <c r="AD1523" s="6">
        <f>IFERROR(__xludf.DUMMYFUNCTION("""COMPUTED_VALUE"""),1242.49)</f>
        <v/>
      </c>
      <c r="AH1523" s="6">
        <f>AI1523&amp;AJ1523</f>
        <v/>
      </c>
      <c r="AI1523" s="6">
        <f>YEAR(AK1523)</f>
        <v/>
      </c>
      <c r="AJ1523" s="6">
        <f>MONTH(AK1523)</f>
        <v/>
      </c>
      <c r="AK1523" s="267">
        <f>IFERROR(__xludf.DUMMYFUNCTION("""COMPUTED_VALUE"""),44616.9986111111)</f>
        <v/>
      </c>
      <c r="AL1523" s="6">
        <f>IFERROR(__xludf.DUMMYFUNCTION("""COMPUTED_VALUE"""),38344.11)</f>
        <v/>
      </c>
      <c r="AP1523" s="6">
        <f>AQ1523&amp;AR1523</f>
        <v/>
      </c>
      <c r="AQ1523" s="6">
        <f>YEAR(AS1523)</f>
        <v/>
      </c>
      <c r="AR1523" s="6">
        <f>MONTH(AS1523)</f>
        <v/>
      </c>
      <c r="AS1523" s="267">
        <f>IFERROR(__xludf.DUMMYFUNCTION("""COMPUTED_VALUE"""),45317.9986111111)</f>
        <v/>
      </c>
      <c r="AT1523" s="6">
        <f>IFERROR(__xludf.DUMMYFUNCTION("""COMPUTED_VALUE"""),2036.1)</f>
        <v/>
      </c>
    </row>
    <row r="1524">
      <c r="B1524" s="6">
        <f>C1524&amp;D1524</f>
        <v/>
      </c>
      <c r="C1524" s="6">
        <f>YEAR(E1524)</f>
        <v/>
      </c>
      <c r="D1524" s="6">
        <f>MONTH(E1524)</f>
        <v/>
      </c>
      <c r="E1524" s="267">
        <f>IFERROR(__xludf.DUMMYFUNCTION("""COMPUTED_VALUE"""),45313.6666666666)</f>
        <v/>
      </c>
      <c r="F1524" s="6">
        <f>IFERROR(__xludf.DUMMYFUNCTION("""COMPUTED_VALUE"""),4850.43)</f>
        <v/>
      </c>
      <c r="J1524" s="6">
        <f>K1524&amp;L1524</f>
        <v/>
      </c>
      <c r="K1524" s="6">
        <f>YEAR(M1524)</f>
        <v/>
      </c>
      <c r="L1524" s="6">
        <f>MONTH(M1524)</f>
        <v/>
      </c>
      <c r="M1524" s="267">
        <f>IFERROR(__xludf.DUMMYFUNCTION("""COMPUTED_VALUE"""),45302.6666666666)</f>
        <v/>
      </c>
      <c r="N1524" s="6">
        <f>IFERROR(__xludf.DUMMYFUNCTION("""COMPUTED_VALUE"""),14970.19)</f>
        <v/>
      </c>
      <c r="R1524" s="6">
        <f>S1524&amp;T1524</f>
        <v/>
      </c>
      <c r="S1524" s="6">
        <f>YEAR(U1524)</f>
        <v/>
      </c>
      <c r="T1524" s="6">
        <f>MONTH(U1524)</f>
        <v/>
      </c>
      <c r="U1524" s="267">
        <f>IFERROR(__xludf.DUMMYFUNCTION("""COMPUTED_VALUE"""),45364.6458333333)</f>
        <v/>
      </c>
      <c r="V1524" s="6">
        <f>IFERROR(__xludf.DUMMYFUNCTION("""COMPUTED_VALUE"""),2693.57)</f>
        <v/>
      </c>
      <c r="Z1524" s="6">
        <f>AA1524&amp;AB1524</f>
        <v/>
      </c>
      <c r="AA1524" s="6">
        <f>YEAR(AC1524)</f>
        <v/>
      </c>
      <c r="AB1524" s="6">
        <f>MONTH(AC1524)</f>
        <v/>
      </c>
      <c r="AC1524" s="267">
        <f>IFERROR(__xludf.DUMMYFUNCTION("""COMPUTED_VALUE"""),44673.9986111111)</f>
        <v/>
      </c>
      <c r="AD1524" s="6">
        <f>IFERROR(__xludf.DUMMYFUNCTION("""COMPUTED_VALUE"""),1242.33)</f>
        <v/>
      </c>
      <c r="AH1524" s="6">
        <f>AI1524&amp;AJ1524</f>
        <v/>
      </c>
      <c r="AI1524" s="6">
        <f>YEAR(AK1524)</f>
        <v/>
      </c>
      <c r="AJ1524" s="6">
        <f>MONTH(AK1524)</f>
        <v/>
      </c>
      <c r="AK1524" s="267">
        <f>IFERROR(__xludf.DUMMYFUNCTION("""COMPUTED_VALUE"""),44617.9986111111)</f>
        <v/>
      </c>
      <c r="AL1524" s="6">
        <f>IFERROR(__xludf.DUMMYFUNCTION("""COMPUTED_VALUE"""),39226.82)</f>
        <v/>
      </c>
      <c r="AP1524" s="6">
        <f>AQ1524&amp;AR1524</f>
        <v/>
      </c>
      <c r="AQ1524" s="6">
        <f>YEAR(AS1524)</f>
        <v/>
      </c>
      <c r="AR1524" s="6">
        <f>MONTH(AS1524)</f>
        <v/>
      </c>
      <c r="AS1524" s="267">
        <f>IFERROR(__xludf.DUMMYFUNCTION("""COMPUTED_VALUE"""),45320.9986111111)</f>
        <v/>
      </c>
      <c r="AT1524" s="6">
        <f>IFERROR(__xludf.DUMMYFUNCTION("""COMPUTED_VALUE"""),2044.6)</f>
        <v/>
      </c>
    </row>
    <row r="1525">
      <c r="B1525" s="6">
        <f>C1525&amp;D1525</f>
        <v/>
      </c>
      <c r="C1525" s="6">
        <f>YEAR(E1525)</f>
        <v/>
      </c>
      <c r="D1525" s="6">
        <f>MONTH(E1525)</f>
        <v/>
      </c>
      <c r="E1525" s="267">
        <f>IFERROR(__xludf.DUMMYFUNCTION("""COMPUTED_VALUE"""),45314.6666666666)</f>
        <v/>
      </c>
      <c r="F1525" s="6">
        <f>IFERROR(__xludf.DUMMYFUNCTION("""COMPUTED_VALUE"""),4864.6)</f>
        <v/>
      </c>
      <c r="J1525" s="6">
        <f>K1525&amp;L1525</f>
        <v/>
      </c>
      <c r="K1525" s="6">
        <f>YEAR(M1525)</f>
        <v/>
      </c>
      <c r="L1525" s="6">
        <f>MONTH(M1525)</f>
        <v/>
      </c>
      <c r="M1525" s="267">
        <f>IFERROR(__xludf.DUMMYFUNCTION("""COMPUTED_VALUE"""),45303.6666666666)</f>
        <v/>
      </c>
      <c r="N1525" s="6">
        <f>IFERROR(__xludf.DUMMYFUNCTION("""COMPUTED_VALUE"""),14972.76)</f>
        <v/>
      </c>
      <c r="R1525" s="6">
        <f>S1525&amp;T1525</f>
        <v/>
      </c>
      <c r="S1525" s="6">
        <f>YEAR(U1525)</f>
        <v/>
      </c>
      <c r="T1525" s="6">
        <f>MONTH(U1525)</f>
        <v/>
      </c>
      <c r="U1525" s="267">
        <f>IFERROR(__xludf.DUMMYFUNCTION("""COMPUTED_VALUE"""),45365.6458333333)</f>
        <v/>
      </c>
      <c r="V1525" s="6">
        <f>IFERROR(__xludf.DUMMYFUNCTION("""COMPUTED_VALUE"""),2718.76)</f>
        <v/>
      </c>
      <c r="Z1525" s="6">
        <f>AA1525&amp;AB1525</f>
        <v/>
      </c>
      <c r="AA1525" s="6">
        <f>YEAR(AC1525)</f>
        <v/>
      </c>
      <c r="AB1525" s="6">
        <f>MONTH(AC1525)</f>
        <v/>
      </c>
      <c r="AC1525" s="267">
        <f>IFERROR(__xludf.DUMMYFUNCTION("""COMPUTED_VALUE"""),44674.9986111111)</f>
        <v/>
      </c>
      <c r="AD1525" s="6">
        <f>IFERROR(__xludf.DUMMYFUNCTION("""COMPUTED_VALUE"""),1243.33)</f>
        <v/>
      </c>
      <c r="AH1525" s="6">
        <f>AI1525&amp;AJ1525</f>
        <v/>
      </c>
      <c r="AI1525" s="6">
        <f>YEAR(AK1525)</f>
        <v/>
      </c>
      <c r="AJ1525" s="6">
        <f>MONTH(AK1525)</f>
        <v/>
      </c>
      <c r="AK1525" s="267">
        <f>IFERROR(__xludf.DUMMYFUNCTION("""COMPUTED_VALUE"""),44618.9986111111)</f>
        <v/>
      </c>
      <c r="AL1525" s="6">
        <f>IFERROR(__xludf.DUMMYFUNCTION("""COMPUTED_VALUE"""),39115.22)</f>
        <v/>
      </c>
      <c r="AP1525" s="6">
        <f>AQ1525&amp;AR1525</f>
        <v/>
      </c>
      <c r="AQ1525" s="6">
        <f>YEAR(AS1525)</f>
        <v/>
      </c>
      <c r="AR1525" s="6">
        <f>MONTH(AS1525)</f>
        <v/>
      </c>
      <c r="AS1525" s="267">
        <f>IFERROR(__xludf.DUMMYFUNCTION("""COMPUTED_VALUE"""),45321.9986111111)</f>
        <v/>
      </c>
      <c r="AT1525" s="6">
        <f>IFERROR(__xludf.DUMMYFUNCTION("""COMPUTED_VALUE"""),2050.9)</f>
        <v/>
      </c>
    </row>
    <row r="1526">
      <c r="B1526" s="6">
        <f>C1526&amp;D1526</f>
        <v/>
      </c>
      <c r="C1526" s="6">
        <f>YEAR(E1526)</f>
        <v/>
      </c>
      <c r="D1526" s="6">
        <f>MONTH(E1526)</f>
        <v/>
      </c>
      <c r="E1526" s="267">
        <f>IFERROR(__xludf.DUMMYFUNCTION("""COMPUTED_VALUE"""),45315.6666666666)</f>
        <v/>
      </c>
      <c r="F1526" s="6">
        <f>IFERROR(__xludf.DUMMYFUNCTION("""COMPUTED_VALUE"""),4868.55)</f>
        <v/>
      </c>
      <c r="J1526" s="6">
        <f>K1526&amp;L1526</f>
        <v/>
      </c>
      <c r="K1526" s="6">
        <f>YEAR(M1526)</f>
        <v/>
      </c>
      <c r="L1526" s="6">
        <f>MONTH(M1526)</f>
        <v/>
      </c>
      <c r="M1526" s="267">
        <f>IFERROR(__xludf.DUMMYFUNCTION("""COMPUTED_VALUE"""),45307.6666666666)</f>
        <v/>
      </c>
      <c r="N1526" s="6">
        <f>IFERROR(__xludf.DUMMYFUNCTION("""COMPUTED_VALUE"""),14944.35)</f>
        <v/>
      </c>
      <c r="R1526" s="6">
        <f>S1526&amp;T1526</f>
        <v/>
      </c>
      <c r="S1526" s="6">
        <f>YEAR(U1526)</f>
        <v/>
      </c>
      <c r="T1526" s="6">
        <f>MONTH(U1526)</f>
        <v/>
      </c>
      <c r="U1526" s="267">
        <f>IFERROR(__xludf.DUMMYFUNCTION("""COMPUTED_VALUE"""),45366.6458333333)</f>
        <v/>
      </c>
      <c r="V1526" s="6">
        <f>IFERROR(__xludf.DUMMYFUNCTION("""COMPUTED_VALUE"""),2666.84)</f>
        <v/>
      </c>
      <c r="Z1526" s="6">
        <f>AA1526&amp;AB1526</f>
        <v/>
      </c>
      <c r="AA1526" s="6">
        <f>YEAR(AC1526)</f>
        <v/>
      </c>
      <c r="AB1526" s="6">
        <f>MONTH(AC1526)</f>
        <v/>
      </c>
      <c r="AC1526" s="267">
        <f>IFERROR(__xludf.DUMMYFUNCTION("""COMPUTED_VALUE"""),44675.9986111111)</f>
        <v/>
      </c>
      <c r="AD1526" s="6">
        <f>IFERROR(__xludf.DUMMYFUNCTION("""COMPUTED_VALUE"""),1243.16)</f>
        <v/>
      </c>
      <c r="AH1526" s="6">
        <f>AI1526&amp;AJ1526</f>
        <v/>
      </c>
      <c r="AI1526" s="6">
        <f>YEAR(AK1526)</f>
        <v/>
      </c>
      <c r="AJ1526" s="6">
        <f>MONTH(AK1526)</f>
        <v/>
      </c>
      <c r="AK1526" s="267">
        <f>IFERROR(__xludf.DUMMYFUNCTION("""COMPUTED_VALUE"""),44619.9986111111)</f>
        <v/>
      </c>
      <c r="AL1526" s="6">
        <f>IFERROR(__xludf.DUMMYFUNCTION("""COMPUTED_VALUE"""),37710.46)</f>
        <v/>
      </c>
      <c r="AP1526" s="6">
        <f>AQ1526&amp;AR1526</f>
        <v/>
      </c>
      <c r="AQ1526" s="6">
        <f>YEAR(AS1526)</f>
        <v/>
      </c>
      <c r="AR1526" s="6">
        <f>MONTH(AS1526)</f>
        <v/>
      </c>
      <c r="AS1526" s="267">
        <f>IFERROR(__xludf.DUMMYFUNCTION("""COMPUTED_VALUE"""),45322.9986111111)</f>
        <v/>
      </c>
      <c r="AT1526" s="6">
        <f>IFERROR(__xludf.DUMMYFUNCTION("""COMPUTED_VALUE"""),2067.4)</f>
        <v/>
      </c>
    </row>
    <row r="1527">
      <c r="B1527" s="6">
        <f>C1527&amp;D1527</f>
        <v/>
      </c>
      <c r="C1527" s="6">
        <f>YEAR(E1527)</f>
        <v/>
      </c>
      <c r="D1527" s="6">
        <f>MONTH(E1527)</f>
        <v/>
      </c>
      <c r="E1527" s="267">
        <f>IFERROR(__xludf.DUMMYFUNCTION("""COMPUTED_VALUE"""),45316.6666666666)</f>
        <v/>
      </c>
      <c r="F1527" s="6">
        <f>IFERROR(__xludf.DUMMYFUNCTION("""COMPUTED_VALUE"""),4894.16)</f>
        <v/>
      </c>
      <c r="J1527" s="6">
        <f>K1527&amp;L1527</f>
        <v/>
      </c>
      <c r="K1527" s="6">
        <f>YEAR(M1527)</f>
        <v/>
      </c>
      <c r="L1527" s="6">
        <f>MONTH(M1527)</f>
        <v/>
      </c>
      <c r="M1527" s="267">
        <f>IFERROR(__xludf.DUMMYFUNCTION("""COMPUTED_VALUE"""),45308.6666666666)</f>
        <v/>
      </c>
      <c r="N1527" s="6">
        <f>IFERROR(__xludf.DUMMYFUNCTION("""COMPUTED_VALUE"""),14855.62)</f>
        <v/>
      </c>
      <c r="R1527" s="6">
        <f>S1527&amp;T1527</f>
        <v/>
      </c>
      <c r="S1527" s="6">
        <f>YEAR(U1527)</f>
        <v/>
      </c>
      <c r="T1527" s="6">
        <f>MONTH(U1527)</f>
        <v/>
      </c>
      <c r="U1527" s="267">
        <f>IFERROR(__xludf.DUMMYFUNCTION("""COMPUTED_VALUE"""),45369.6458333333)</f>
        <v/>
      </c>
      <c r="V1527" s="6">
        <f>IFERROR(__xludf.DUMMYFUNCTION("""COMPUTED_VALUE"""),2685.84)</f>
        <v/>
      </c>
      <c r="Z1527" s="6">
        <f>AA1527&amp;AB1527</f>
        <v/>
      </c>
      <c r="AA1527" s="6">
        <f>YEAR(AC1527)</f>
        <v/>
      </c>
      <c r="AB1527" s="6">
        <f>MONTH(AC1527)</f>
        <v/>
      </c>
      <c r="AC1527" s="267">
        <f>IFERROR(__xludf.DUMMYFUNCTION("""COMPUTED_VALUE"""),44676.9986111111)</f>
        <v/>
      </c>
      <c r="AD1527" s="6">
        <f>IFERROR(__xludf.DUMMYFUNCTION("""COMPUTED_VALUE"""),1249.21)</f>
        <v/>
      </c>
      <c r="AH1527" s="6">
        <f>AI1527&amp;AJ1527</f>
        <v/>
      </c>
      <c r="AI1527" s="6">
        <f>YEAR(AK1527)</f>
        <v/>
      </c>
      <c r="AJ1527" s="6">
        <f>MONTH(AK1527)</f>
        <v/>
      </c>
      <c r="AK1527" s="267">
        <f>IFERROR(__xludf.DUMMYFUNCTION("""COMPUTED_VALUE"""),44620.9986111111)</f>
        <v/>
      </c>
      <c r="AL1527" s="6">
        <f>IFERROR(__xludf.DUMMYFUNCTION("""COMPUTED_VALUE"""),43193.8)</f>
        <v/>
      </c>
      <c r="AP1527" s="6">
        <f>AQ1527&amp;AR1527</f>
        <v/>
      </c>
      <c r="AQ1527" s="6">
        <f>YEAR(AS1527)</f>
        <v/>
      </c>
      <c r="AR1527" s="6">
        <f>MONTH(AS1527)</f>
        <v/>
      </c>
      <c r="AS1527" s="267">
        <f>IFERROR(__xludf.DUMMYFUNCTION("""COMPUTED_VALUE"""),45323.9986111111)</f>
        <v/>
      </c>
      <c r="AT1527" s="6">
        <f>IFERROR(__xludf.DUMMYFUNCTION("""COMPUTED_VALUE"""),2071.1)</f>
        <v/>
      </c>
    </row>
    <row r="1528">
      <c r="B1528" s="6">
        <f>C1528&amp;D1528</f>
        <v/>
      </c>
      <c r="C1528" s="6">
        <f>YEAR(E1528)</f>
        <v/>
      </c>
      <c r="D1528" s="6">
        <f>MONTH(E1528)</f>
        <v/>
      </c>
      <c r="E1528" s="267">
        <f>IFERROR(__xludf.DUMMYFUNCTION("""COMPUTED_VALUE"""),45317.6666666666)</f>
        <v/>
      </c>
      <c r="F1528" s="6">
        <f>IFERROR(__xludf.DUMMYFUNCTION("""COMPUTED_VALUE"""),4890.97)</f>
        <v/>
      </c>
      <c r="J1528" s="6">
        <f>K1528&amp;L1528</f>
        <v/>
      </c>
      <c r="K1528" s="6">
        <f>YEAR(M1528)</f>
        <v/>
      </c>
      <c r="L1528" s="6">
        <f>MONTH(M1528)</f>
        <v/>
      </c>
      <c r="M1528" s="267">
        <f>IFERROR(__xludf.DUMMYFUNCTION("""COMPUTED_VALUE"""),45309.6666666666)</f>
        <v/>
      </c>
      <c r="N1528" s="6">
        <f>IFERROR(__xludf.DUMMYFUNCTION("""COMPUTED_VALUE"""),15055.65)</f>
        <v/>
      </c>
      <c r="R1528" s="6">
        <f>S1528&amp;T1528</f>
        <v/>
      </c>
      <c r="S1528" s="6">
        <f>YEAR(U1528)</f>
        <v/>
      </c>
      <c r="T1528" s="6">
        <f>MONTH(U1528)</f>
        <v/>
      </c>
      <c r="U1528" s="267">
        <f>IFERROR(__xludf.DUMMYFUNCTION("""COMPUTED_VALUE"""),45370.6458333333)</f>
        <v/>
      </c>
      <c r="V1528" s="6">
        <f>IFERROR(__xludf.DUMMYFUNCTION("""COMPUTED_VALUE"""),2656.17)</f>
        <v/>
      </c>
      <c r="Z1528" s="6">
        <f>AA1528&amp;AB1528</f>
        <v/>
      </c>
      <c r="AA1528" s="6">
        <f>YEAR(AC1528)</f>
        <v/>
      </c>
      <c r="AB1528" s="6">
        <f>MONTH(AC1528)</f>
        <v/>
      </c>
      <c r="AC1528" s="267">
        <f>IFERROR(__xludf.DUMMYFUNCTION("""COMPUTED_VALUE"""),44677.9986111111)</f>
        <v/>
      </c>
      <c r="AD1528" s="6">
        <f>IFERROR(__xludf.DUMMYFUNCTION("""COMPUTED_VALUE"""),1260.71)</f>
        <v/>
      </c>
      <c r="AH1528" s="6">
        <f>AI1528&amp;AJ1528</f>
        <v/>
      </c>
      <c r="AI1528" s="6">
        <f>YEAR(AK1528)</f>
        <v/>
      </c>
      <c r="AJ1528" s="6">
        <f>MONTH(AK1528)</f>
        <v/>
      </c>
      <c r="AK1528" s="267">
        <f>IFERROR(__xludf.DUMMYFUNCTION("""COMPUTED_VALUE"""),44621.9986111111)</f>
        <v/>
      </c>
      <c r="AL1528" s="6">
        <f>IFERROR(__xludf.DUMMYFUNCTION("""COMPUTED_VALUE"""),44427.58)</f>
        <v/>
      </c>
      <c r="AP1528" s="6">
        <f>AQ1528&amp;AR1528</f>
        <v/>
      </c>
      <c r="AQ1528" s="6">
        <f>YEAR(AS1528)</f>
        <v/>
      </c>
      <c r="AR1528" s="6">
        <f>MONTH(AS1528)</f>
        <v/>
      </c>
      <c r="AS1528" s="267">
        <f>IFERROR(__xludf.DUMMYFUNCTION("""COMPUTED_VALUE"""),45324.9986111111)</f>
        <v/>
      </c>
      <c r="AT1528" s="6">
        <f>IFERROR(__xludf.DUMMYFUNCTION("""COMPUTED_VALUE"""),2053.7)</f>
        <v/>
      </c>
    </row>
    <row r="1529">
      <c r="B1529" s="6">
        <f>C1529&amp;D1529</f>
        <v/>
      </c>
      <c r="C1529" s="6">
        <f>YEAR(E1529)</f>
        <v/>
      </c>
      <c r="D1529" s="6">
        <f>MONTH(E1529)</f>
        <v/>
      </c>
      <c r="E1529" s="267">
        <f>IFERROR(__xludf.DUMMYFUNCTION("""COMPUTED_VALUE"""),45320.6666666666)</f>
        <v/>
      </c>
      <c r="F1529" s="6">
        <f>IFERROR(__xludf.DUMMYFUNCTION("""COMPUTED_VALUE"""),4927.93)</f>
        <v/>
      </c>
      <c r="J1529" s="6">
        <f>K1529&amp;L1529</f>
        <v/>
      </c>
      <c r="K1529" s="6">
        <f>YEAR(M1529)</f>
        <v/>
      </c>
      <c r="L1529" s="6">
        <f>MONTH(M1529)</f>
        <v/>
      </c>
      <c r="M1529" s="267">
        <f>IFERROR(__xludf.DUMMYFUNCTION("""COMPUTED_VALUE"""),45310.6666666666)</f>
        <v/>
      </c>
      <c r="N1529" s="6">
        <f>IFERROR(__xludf.DUMMYFUNCTION("""COMPUTED_VALUE"""),15310.97)</f>
        <v/>
      </c>
      <c r="R1529" s="6">
        <f>S1529&amp;T1529</f>
        <v/>
      </c>
      <c r="S1529" s="6">
        <f>YEAR(U1529)</f>
        <v/>
      </c>
      <c r="T1529" s="6">
        <f>MONTH(U1529)</f>
        <v/>
      </c>
      <c r="U1529" s="267">
        <f>IFERROR(__xludf.DUMMYFUNCTION("""COMPUTED_VALUE"""),45371.6458333333)</f>
        <v/>
      </c>
      <c r="V1529" s="6">
        <f>IFERROR(__xludf.DUMMYFUNCTION("""COMPUTED_VALUE"""),2690.14)</f>
        <v/>
      </c>
      <c r="Z1529" s="6">
        <f>AA1529&amp;AB1529</f>
        <v/>
      </c>
      <c r="AA1529" s="6">
        <f>YEAR(AC1529)</f>
        <v/>
      </c>
      <c r="AB1529" s="6">
        <f>MONTH(AC1529)</f>
        <v/>
      </c>
      <c r="AC1529" s="267">
        <f>IFERROR(__xludf.DUMMYFUNCTION("""COMPUTED_VALUE"""),44678.9986111111)</f>
        <v/>
      </c>
      <c r="AD1529" s="6">
        <f>IFERROR(__xludf.DUMMYFUNCTION("""COMPUTED_VALUE"""),1266.28)</f>
        <v/>
      </c>
      <c r="AH1529" s="6">
        <f>AI1529&amp;AJ1529</f>
        <v/>
      </c>
      <c r="AI1529" s="6">
        <f>YEAR(AK1529)</f>
        <v/>
      </c>
      <c r="AJ1529" s="6">
        <f>MONTH(AK1529)</f>
        <v/>
      </c>
      <c r="AK1529" s="267">
        <f>IFERROR(__xludf.DUMMYFUNCTION("""COMPUTED_VALUE"""),44622.9986111111)</f>
        <v/>
      </c>
      <c r="AL1529" s="6">
        <f>IFERROR(__xludf.DUMMYFUNCTION("""COMPUTED_VALUE"""),43920.23)</f>
        <v/>
      </c>
      <c r="AP1529" s="6">
        <f>AQ1529&amp;AR1529</f>
        <v/>
      </c>
      <c r="AQ1529" s="6">
        <f>YEAR(AS1529)</f>
        <v/>
      </c>
      <c r="AR1529" s="6">
        <f>MONTH(AS1529)</f>
        <v/>
      </c>
      <c r="AS1529" s="267">
        <f>IFERROR(__xludf.DUMMYFUNCTION("""COMPUTED_VALUE"""),45327.9986111111)</f>
        <v/>
      </c>
      <c r="AT1529" s="6">
        <f>IFERROR(__xludf.DUMMYFUNCTION("""COMPUTED_VALUE"""),2042.9)</f>
        <v/>
      </c>
    </row>
    <row r="1530">
      <c r="B1530" s="6">
        <f>C1530&amp;D1530</f>
        <v/>
      </c>
      <c r="C1530" s="6">
        <f>YEAR(E1530)</f>
        <v/>
      </c>
      <c r="D1530" s="6">
        <f>MONTH(E1530)</f>
        <v/>
      </c>
      <c r="E1530" s="267">
        <f>IFERROR(__xludf.DUMMYFUNCTION("""COMPUTED_VALUE"""),45321.6666666666)</f>
        <v/>
      </c>
      <c r="F1530" s="6">
        <f>IFERROR(__xludf.DUMMYFUNCTION("""COMPUTED_VALUE"""),4924.97)</f>
        <v/>
      </c>
      <c r="J1530" s="6">
        <f>K1530&amp;L1530</f>
        <v/>
      </c>
      <c r="K1530" s="6">
        <f>YEAR(M1530)</f>
        <v/>
      </c>
      <c r="L1530" s="6">
        <f>MONTH(M1530)</f>
        <v/>
      </c>
      <c r="M1530" s="267">
        <f>IFERROR(__xludf.DUMMYFUNCTION("""COMPUTED_VALUE"""),45313.6666666666)</f>
        <v/>
      </c>
      <c r="N1530" s="6">
        <f>IFERROR(__xludf.DUMMYFUNCTION("""COMPUTED_VALUE"""),15360.29)</f>
        <v/>
      </c>
      <c r="R1530" s="6">
        <f>S1530&amp;T1530</f>
        <v/>
      </c>
      <c r="S1530" s="6">
        <f>YEAR(U1530)</f>
        <v/>
      </c>
      <c r="T1530" s="6">
        <f>MONTH(U1530)</f>
        <v/>
      </c>
      <c r="U1530" s="267">
        <f>IFERROR(__xludf.DUMMYFUNCTION("""COMPUTED_VALUE"""),45372.6458333333)</f>
        <v/>
      </c>
      <c r="V1530" s="6">
        <f>IFERROR(__xludf.DUMMYFUNCTION("""COMPUTED_VALUE"""),2754.86)</f>
        <v/>
      </c>
      <c r="Z1530" s="6">
        <f>AA1530&amp;AB1530</f>
        <v/>
      </c>
      <c r="AA1530" s="6">
        <f>YEAR(AC1530)</f>
        <v/>
      </c>
      <c r="AB1530" s="6">
        <f>MONTH(AC1530)</f>
        <v/>
      </c>
      <c r="AC1530" s="267">
        <f>IFERROR(__xludf.DUMMYFUNCTION("""COMPUTED_VALUE"""),44679.9986111111)</f>
        <v/>
      </c>
      <c r="AD1530" s="6">
        <f>IFERROR(__xludf.DUMMYFUNCTION("""COMPUTED_VALUE"""),1272.29)</f>
        <v/>
      </c>
      <c r="AH1530" s="6">
        <f>AI1530&amp;AJ1530</f>
        <v/>
      </c>
      <c r="AI1530" s="6">
        <f>YEAR(AK1530)</f>
        <v/>
      </c>
      <c r="AJ1530" s="6">
        <f>MONTH(AK1530)</f>
        <v/>
      </c>
      <c r="AK1530" s="267">
        <f>IFERROR(__xludf.DUMMYFUNCTION("""COMPUTED_VALUE"""),44623.9986111111)</f>
        <v/>
      </c>
      <c r="AL1530" s="6">
        <f>IFERROR(__xludf.DUMMYFUNCTION("""COMPUTED_VALUE"""),42464.19)</f>
        <v/>
      </c>
      <c r="AP1530" s="6">
        <f>AQ1530&amp;AR1530</f>
        <v/>
      </c>
      <c r="AQ1530" s="6">
        <f>YEAR(AS1530)</f>
        <v/>
      </c>
      <c r="AR1530" s="6">
        <f>MONTH(AS1530)</f>
        <v/>
      </c>
      <c r="AS1530" s="267">
        <f>IFERROR(__xludf.DUMMYFUNCTION("""COMPUTED_VALUE"""),45328.9986111111)</f>
        <v/>
      </c>
      <c r="AT1530" s="6">
        <f>IFERROR(__xludf.DUMMYFUNCTION("""COMPUTED_VALUE"""),2051.4)</f>
        <v/>
      </c>
    </row>
    <row r="1531">
      <c r="B1531" s="6">
        <f>C1531&amp;D1531</f>
        <v/>
      </c>
      <c r="C1531" s="6">
        <f>YEAR(E1531)</f>
        <v/>
      </c>
      <c r="D1531" s="6">
        <f>MONTH(E1531)</f>
        <v/>
      </c>
      <c r="E1531" s="267">
        <f>IFERROR(__xludf.DUMMYFUNCTION("""COMPUTED_VALUE"""),45322.6666666666)</f>
        <v/>
      </c>
      <c r="F1531" s="6">
        <f>IFERROR(__xludf.DUMMYFUNCTION("""COMPUTED_VALUE"""),4845.65)</f>
        <v/>
      </c>
      <c r="J1531" s="6">
        <f>K1531&amp;L1531</f>
        <v/>
      </c>
      <c r="K1531" s="6">
        <f>YEAR(M1531)</f>
        <v/>
      </c>
      <c r="L1531" s="6">
        <f>MONTH(M1531)</f>
        <v/>
      </c>
      <c r="M1531" s="267">
        <f>IFERROR(__xludf.DUMMYFUNCTION("""COMPUTED_VALUE"""),45314.6666666666)</f>
        <v/>
      </c>
      <c r="N1531" s="6">
        <f>IFERROR(__xludf.DUMMYFUNCTION("""COMPUTED_VALUE"""),15425.94)</f>
        <v/>
      </c>
      <c r="R1531" s="6">
        <f>S1531&amp;T1531</f>
        <v/>
      </c>
      <c r="S1531" s="6">
        <f>YEAR(U1531)</f>
        <v/>
      </c>
      <c r="T1531" s="6">
        <f>MONTH(U1531)</f>
        <v/>
      </c>
      <c r="U1531" s="267">
        <f>IFERROR(__xludf.DUMMYFUNCTION("""COMPUTED_VALUE"""),45373.6458333333)</f>
        <v/>
      </c>
      <c r="V1531" s="6">
        <f>IFERROR(__xludf.DUMMYFUNCTION("""COMPUTED_VALUE"""),2748.56)</f>
        <v/>
      </c>
      <c r="Z1531" s="6">
        <f>AA1531&amp;AB1531</f>
        <v/>
      </c>
      <c r="AA1531" s="6">
        <f>YEAR(AC1531)</f>
        <v/>
      </c>
      <c r="AB1531" s="6">
        <f>MONTH(AC1531)</f>
        <v/>
      </c>
      <c r="AC1531" s="267">
        <f>IFERROR(__xludf.DUMMYFUNCTION("""COMPUTED_VALUE"""),44680.9986111111)</f>
        <v/>
      </c>
      <c r="AD1531" s="6">
        <f>IFERROR(__xludf.DUMMYFUNCTION("""COMPUTED_VALUE"""),1263.38)</f>
        <v/>
      </c>
      <c r="AH1531" s="6">
        <f>AI1531&amp;AJ1531</f>
        <v/>
      </c>
      <c r="AI1531" s="6">
        <f>YEAR(AK1531)</f>
        <v/>
      </c>
      <c r="AJ1531" s="6">
        <f>MONTH(AK1531)</f>
        <v/>
      </c>
      <c r="AK1531" s="267">
        <f>IFERROR(__xludf.DUMMYFUNCTION("""COMPUTED_VALUE"""),44624.9986111111)</f>
        <v/>
      </c>
      <c r="AL1531" s="6">
        <f>IFERROR(__xludf.DUMMYFUNCTION("""COMPUTED_VALUE"""),39151.55)</f>
        <v/>
      </c>
      <c r="AP1531" s="6">
        <f>AQ1531&amp;AR1531</f>
        <v/>
      </c>
      <c r="AQ1531" s="6">
        <f>YEAR(AS1531)</f>
        <v/>
      </c>
      <c r="AR1531" s="6">
        <f>MONTH(AS1531)</f>
        <v/>
      </c>
      <c r="AS1531" s="267">
        <f>IFERROR(__xludf.DUMMYFUNCTION("""COMPUTED_VALUE"""),45329.9986111111)</f>
        <v/>
      </c>
      <c r="AT1531" s="6">
        <f>IFERROR(__xludf.DUMMYFUNCTION("""COMPUTED_VALUE"""),2051.7)</f>
        <v/>
      </c>
    </row>
    <row r="1532">
      <c r="B1532" s="6">
        <f>C1532&amp;D1532</f>
        <v/>
      </c>
      <c r="C1532" s="6">
        <f>YEAR(E1532)</f>
        <v/>
      </c>
      <c r="D1532" s="6">
        <f>MONTH(E1532)</f>
        <v/>
      </c>
      <c r="E1532" s="267">
        <f>IFERROR(__xludf.DUMMYFUNCTION("""COMPUTED_VALUE"""),45323.6666666666)</f>
        <v/>
      </c>
      <c r="F1532" s="6">
        <f>IFERROR(__xludf.DUMMYFUNCTION("""COMPUTED_VALUE"""),4906.19)</f>
        <v/>
      </c>
      <c r="J1532" s="6">
        <f>K1532&amp;L1532</f>
        <v/>
      </c>
      <c r="K1532" s="6">
        <f>YEAR(M1532)</f>
        <v/>
      </c>
      <c r="L1532" s="6">
        <f>MONTH(M1532)</f>
        <v/>
      </c>
      <c r="M1532" s="267">
        <f>IFERROR(__xludf.DUMMYFUNCTION("""COMPUTED_VALUE"""),45315.6666666666)</f>
        <v/>
      </c>
      <c r="N1532" s="6">
        <f>IFERROR(__xludf.DUMMYFUNCTION("""COMPUTED_VALUE"""),15481.92)</f>
        <v/>
      </c>
      <c r="R1532" s="6">
        <f>S1532&amp;T1532</f>
        <v/>
      </c>
      <c r="S1532" s="6">
        <f>YEAR(U1532)</f>
        <v/>
      </c>
      <c r="T1532" s="6">
        <f>MONTH(U1532)</f>
        <v/>
      </c>
      <c r="U1532" s="267">
        <f>IFERROR(__xludf.DUMMYFUNCTION("""COMPUTED_VALUE"""),45376.6458333333)</f>
        <v/>
      </c>
      <c r="V1532" s="6">
        <f>IFERROR(__xludf.DUMMYFUNCTION("""COMPUTED_VALUE"""),2737.57)</f>
        <v/>
      </c>
      <c r="Z1532" s="6">
        <f>AA1532&amp;AB1532</f>
        <v/>
      </c>
      <c r="AA1532" s="6">
        <f>YEAR(AC1532)</f>
        <v/>
      </c>
      <c r="AB1532" s="6">
        <f>MONTH(AC1532)</f>
        <v/>
      </c>
      <c r="AC1532" s="267">
        <f>IFERROR(__xludf.DUMMYFUNCTION("""COMPUTED_VALUE"""),44681.9986111111)</f>
        <v/>
      </c>
      <c r="AD1532" s="6">
        <f>IFERROR(__xludf.DUMMYFUNCTION("""COMPUTED_VALUE"""),1263.38)</f>
        <v/>
      </c>
      <c r="AH1532" s="6">
        <f>AI1532&amp;AJ1532</f>
        <v/>
      </c>
      <c r="AI1532" s="6">
        <f>YEAR(AK1532)</f>
        <v/>
      </c>
      <c r="AJ1532" s="6">
        <f>MONTH(AK1532)</f>
        <v/>
      </c>
      <c r="AK1532" s="267">
        <f>IFERROR(__xludf.DUMMYFUNCTION("""COMPUTED_VALUE"""),44625.9986111111)</f>
        <v/>
      </c>
      <c r="AL1532" s="6">
        <f>IFERROR(__xludf.DUMMYFUNCTION("""COMPUTED_VALUE"""),39397.01)</f>
        <v/>
      </c>
      <c r="AP1532" s="6">
        <f>AQ1532&amp;AR1532</f>
        <v/>
      </c>
      <c r="AQ1532" s="6">
        <f>YEAR(AS1532)</f>
        <v/>
      </c>
      <c r="AR1532" s="6">
        <f>MONTH(AS1532)</f>
        <v/>
      </c>
      <c r="AS1532" s="267">
        <f>IFERROR(__xludf.DUMMYFUNCTION("""COMPUTED_VALUE"""),45330.9986111111)</f>
        <v/>
      </c>
      <c r="AT1532" s="6">
        <f>IFERROR(__xludf.DUMMYFUNCTION("""COMPUTED_VALUE"""),2047.9)</f>
        <v/>
      </c>
    </row>
    <row r="1533">
      <c r="B1533" s="6">
        <f>C1533&amp;D1533</f>
        <v/>
      </c>
      <c r="C1533" s="6">
        <f>YEAR(E1533)</f>
        <v/>
      </c>
      <c r="D1533" s="6">
        <f>MONTH(E1533)</f>
        <v/>
      </c>
      <c r="E1533" s="267">
        <f>IFERROR(__xludf.DUMMYFUNCTION("""COMPUTED_VALUE"""),45324.6666666666)</f>
        <v/>
      </c>
      <c r="F1533" s="6">
        <f>IFERROR(__xludf.DUMMYFUNCTION("""COMPUTED_VALUE"""),4958.61)</f>
        <v/>
      </c>
      <c r="J1533" s="6">
        <f>K1533&amp;L1533</f>
        <v/>
      </c>
      <c r="K1533" s="6">
        <f>YEAR(M1533)</f>
        <v/>
      </c>
      <c r="L1533" s="6">
        <f>MONTH(M1533)</f>
        <v/>
      </c>
      <c r="M1533" s="267">
        <f>IFERROR(__xludf.DUMMYFUNCTION("""COMPUTED_VALUE"""),45316.6666666666)</f>
        <v/>
      </c>
      <c r="N1533" s="6">
        <f>IFERROR(__xludf.DUMMYFUNCTION("""COMPUTED_VALUE"""),15510.5)</f>
        <v/>
      </c>
      <c r="R1533" s="6">
        <f>S1533&amp;T1533</f>
        <v/>
      </c>
      <c r="S1533" s="6">
        <f>YEAR(U1533)</f>
        <v/>
      </c>
      <c r="T1533" s="6">
        <f>MONTH(U1533)</f>
        <v/>
      </c>
      <c r="U1533" s="267">
        <f>IFERROR(__xludf.DUMMYFUNCTION("""COMPUTED_VALUE"""),45377.6458333333)</f>
        <v/>
      </c>
      <c r="V1533" s="6">
        <f>IFERROR(__xludf.DUMMYFUNCTION("""COMPUTED_VALUE"""),2757.09)</f>
        <v/>
      </c>
      <c r="Z1533" s="6">
        <f>AA1533&amp;AB1533</f>
        <v/>
      </c>
      <c r="AA1533" s="6">
        <f>YEAR(AC1533)</f>
        <v/>
      </c>
      <c r="AB1533" s="6">
        <f>MONTH(AC1533)</f>
        <v/>
      </c>
      <c r="AC1533" s="267">
        <f>IFERROR(__xludf.DUMMYFUNCTION("""COMPUTED_VALUE"""),44682.9986111111)</f>
        <v/>
      </c>
      <c r="AD1533" s="6">
        <f>IFERROR(__xludf.DUMMYFUNCTION("""COMPUTED_VALUE"""),1262.53)</f>
        <v/>
      </c>
      <c r="AH1533" s="6">
        <f>AI1533&amp;AJ1533</f>
        <v/>
      </c>
      <c r="AI1533" s="6">
        <f>YEAR(AK1533)</f>
        <v/>
      </c>
      <c r="AJ1533" s="6">
        <f>MONTH(AK1533)</f>
        <v/>
      </c>
      <c r="AK1533" s="267">
        <f>IFERROR(__xludf.DUMMYFUNCTION("""COMPUTED_VALUE"""),44626.9986111111)</f>
        <v/>
      </c>
      <c r="AL1533" s="6">
        <f>IFERROR(__xludf.DUMMYFUNCTION("""COMPUTED_VALUE"""),38414.21)</f>
        <v/>
      </c>
      <c r="AP1533" s="6">
        <f>AQ1533&amp;AR1533</f>
        <v/>
      </c>
      <c r="AQ1533" s="6">
        <f>YEAR(AS1533)</f>
        <v/>
      </c>
      <c r="AR1533" s="6">
        <f>MONTH(AS1533)</f>
        <v/>
      </c>
      <c r="AS1533" s="267">
        <f>IFERROR(__xludf.DUMMYFUNCTION("""COMPUTED_VALUE"""),45331.9986111111)</f>
        <v/>
      </c>
      <c r="AT1533" s="6">
        <f>IFERROR(__xludf.DUMMYFUNCTION("""COMPUTED_VALUE"""),2038.7)</f>
        <v/>
      </c>
    </row>
    <row r="1534">
      <c r="B1534" s="6">
        <f>C1534&amp;D1534</f>
        <v/>
      </c>
      <c r="C1534" s="6">
        <f>YEAR(E1534)</f>
        <v/>
      </c>
      <c r="D1534" s="6">
        <f>MONTH(E1534)</f>
        <v/>
      </c>
      <c r="E1534" s="267">
        <f>IFERROR(__xludf.DUMMYFUNCTION("""COMPUTED_VALUE"""),45327.6666666666)</f>
        <v/>
      </c>
      <c r="F1534" s="6">
        <f>IFERROR(__xludf.DUMMYFUNCTION("""COMPUTED_VALUE"""),4942.81)</f>
        <v/>
      </c>
      <c r="J1534" s="6">
        <f>K1534&amp;L1534</f>
        <v/>
      </c>
      <c r="K1534" s="6">
        <f>YEAR(M1534)</f>
        <v/>
      </c>
      <c r="L1534" s="6">
        <f>MONTH(M1534)</f>
        <v/>
      </c>
      <c r="M1534" s="267">
        <f>IFERROR(__xludf.DUMMYFUNCTION("""COMPUTED_VALUE"""),45317.6666666666)</f>
        <v/>
      </c>
      <c r="N1534" s="6">
        <f>IFERROR(__xludf.DUMMYFUNCTION("""COMPUTED_VALUE"""),15455.36)</f>
        <v/>
      </c>
      <c r="R1534" s="6">
        <f>S1534&amp;T1534</f>
        <v/>
      </c>
      <c r="S1534" s="6">
        <f>YEAR(U1534)</f>
        <v/>
      </c>
      <c r="T1534" s="6">
        <f>MONTH(U1534)</f>
        <v/>
      </c>
      <c r="U1534" s="267">
        <f>IFERROR(__xludf.DUMMYFUNCTION("""COMPUTED_VALUE"""),45378.6458333333)</f>
        <v/>
      </c>
      <c r="V1534" s="6">
        <f>IFERROR(__xludf.DUMMYFUNCTION("""COMPUTED_VALUE"""),2755.11)</f>
        <v/>
      </c>
      <c r="Z1534" s="6">
        <f>AA1534&amp;AB1534</f>
        <v/>
      </c>
      <c r="AA1534" s="6">
        <f>YEAR(AC1534)</f>
        <v/>
      </c>
      <c r="AB1534" s="6">
        <f>MONTH(AC1534)</f>
        <v/>
      </c>
      <c r="AC1534" s="267">
        <f>IFERROR(__xludf.DUMMYFUNCTION("""COMPUTED_VALUE"""),44683.9986111111)</f>
        <v/>
      </c>
      <c r="AD1534" s="6">
        <f>IFERROR(__xludf.DUMMYFUNCTION("""COMPUTED_VALUE"""),1266.75)</f>
        <v/>
      </c>
      <c r="AH1534" s="6">
        <f>AI1534&amp;AJ1534</f>
        <v/>
      </c>
      <c r="AI1534" s="6">
        <f>YEAR(AK1534)</f>
        <v/>
      </c>
      <c r="AJ1534" s="6">
        <f>MONTH(AK1534)</f>
        <v/>
      </c>
      <c r="AK1534" s="267">
        <f>IFERROR(__xludf.DUMMYFUNCTION("""COMPUTED_VALUE"""),44627.9986111111)</f>
        <v/>
      </c>
      <c r="AL1534" s="6">
        <f>IFERROR(__xludf.DUMMYFUNCTION("""COMPUTED_VALUE"""),38033.56)</f>
        <v/>
      </c>
      <c r="AP1534" s="6">
        <f>AQ1534&amp;AR1534</f>
        <v/>
      </c>
      <c r="AQ1534" s="6">
        <f>YEAR(AS1534)</f>
        <v/>
      </c>
      <c r="AR1534" s="6">
        <f>MONTH(AS1534)</f>
        <v/>
      </c>
      <c r="AS1534" s="267">
        <f>IFERROR(__xludf.DUMMYFUNCTION("""COMPUTED_VALUE"""),45334.9986111111)</f>
        <v/>
      </c>
      <c r="AT1534" s="6">
        <f>IFERROR(__xludf.DUMMYFUNCTION("""COMPUTED_VALUE"""),2033)</f>
        <v/>
      </c>
    </row>
    <row r="1535">
      <c r="B1535" s="6">
        <f>C1535&amp;D1535</f>
        <v/>
      </c>
      <c r="C1535" s="6">
        <f>YEAR(E1535)</f>
        <v/>
      </c>
      <c r="D1535" s="6">
        <f>MONTH(E1535)</f>
        <v/>
      </c>
      <c r="E1535" s="267">
        <f>IFERROR(__xludf.DUMMYFUNCTION("""COMPUTED_VALUE"""),45328.6666666666)</f>
        <v/>
      </c>
      <c r="F1535" s="6">
        <f>IFERROR(__xludf.DUMMYFUNCTION("""COMPUTED_VALUE"""),4954.23)</f>
        <v/>
      </c>
      <c r="J1535" s="6">
        <f>K1535&amp;L1535</f>
        <v/>
      </c>
      <c r="K1535" s="6">
        <f>YEAR(M1535)</f>
        <v/>
      </c>
      <c r="L1535" s="6">
        <f>MONTH(M1535)</f>
        <v/>
      </c>
      <c r="M1535" s="267">
        <f>IFERROR(__xludf.DUMMYFUNCTION("""COMPUTED_VALUE"""),45320.6666666666)</f>
        <v/>
      </c>
      <c r="N1535" s="6">
        <f>IFERROR(__xludf.DUMMYFUNCTION("""COMPUTED_VALUE"""),15628.04)</f>
        <v/>
      </c>
      <c r="R1535" s="6">
        <f>S1535&amp;T1535</f>
        <v/>
      </c>
      <c r="S1535" s="6">
        <f>YEAR(U1535)</f>
        <v/>
      </c>
      <c r="T1535" s="6">
        <f>MONTH(U1535)</f>
        <v/>
      </c>
      <c r="U1535" s="267">
        <f>IFERROR(__xludf.DUMMYFUNCTION("""COMPUTED_VALUE"""),45379.6458333333)</f>
        <v/>
      </c>
      <c r="V1535" s="6">
        <f>IFERROR(__xludf.DUMMYFUNCTION("""COMPUTED_VALUE"""),2745.82)</f>
        <v/>
      </c>
      <c r="Z1535" s="6">
        <f>AA1535&amp;AB1535</f>
        <v/>
      </c>
      <c r="AA1535" s="6">
        <f>YEAR(AC1535)</f>
        <v/>
      </c>
      <c r="AB1535" s="6">
        <f>MONTH(AC1535)</f>
        <v/>
      </c>
      <c r="AC1535" s="267">
        <f>IFERROR(__xludf.DUMMYFUNCTION("""COMPUTED_VALUE"""),44684.9986111111)</f>
        <v/>
      </c>
      <c r="AD1535" s="6">
        <f>IFERROR(__xludf.DUMMYFUNCTION("""COMPUTED_VALUE"""),1261.06)</f>
        <v/>
      </c>
      <c r="AH1535" s="6">
        <f>AI1535&amp;AJ1535</f>
        <v/>
      </c>
      <c r="AI1535" s="6">
        <f>YEAR(AK1535)</f>
        <v/>
      </c>
      <c r="AJ1535" s="6">
        <f>MONTH(AK1535)</f>
        <v/>
      </c>
      <c r="AK1535" s="267">
        <f>IFERROR(__xludf.DUMMYFUNCTION("""COMPUTED_VALUE"""),44628.9986111111)</f>
        <v/>
      </c>
      <c r="AL1535" s="6">
        <f>IFERROR(__xludf.DUMMYFUNCTION("""COMPUTED_VALUE"""),38751.03)</f>
        <v/>
      </c>
      <c r="AP1535" s="6">
        <f>AQ1535&amp;AR1535</f>
        <v/>
      </c>
      <c r="AQ1535" s="6">
        <f>YEAR(AS1535)</f>
        <v/>
      </c>
      <c r="AR1535" s="6">
        <f>MONTH(AS1535)</f>
        <v/>
      </c>
      <c r="AS1535" s="267">
        <f>IFERROR(__xludf.DUMMYFUNCTION("""COMPUTED_VALUE"""),45335.9986111111)</f>
        <v/>
      </c>
      <c r="AT1535" s="6">
        <f>IFERROR(__xludf.DUMMYFUNCTION("""COMPUTED_VALUE"""),2007.2)</f>
        <v/>
      </c>
    </row>
    <row r="1536">
      <c r="B1536" s="6">
        <f>C1536&amp;D1536</f>
        <v/>
      </c>
      <c r="C1536" s="6">
        <f>YEAR(E1536)</f>
        <v/>
      </c>
      <c r="D1536" s="6">
        <f>MONTH(E1536)</f>
        <v/>
      </c>
      <c r="E1536" s="267">
        <f>IFERROR(__xludf.DUMMYFUNCTION("""COMPUTED_VALUE"""),45329.6666666666)</f>
        <v/>
      </c>
      <c r="F1536" s="6">
        <f>IFERROR(__xludf.DUMMYFUNCTION("""COMPUTED_VALUE"""),4995.06)</f>
        <v/>
      </c>
      <c r="J1536" s="6">
        <f>K1536&amp;L1536</f>
        <v/>
      </c>
      <c r="K1536" s="6">
        <f>YEAR(M1536)</f>
        <v/>
      </c>
      <c r="L1536" s="6">
        <f>MONTH(M1536)</f>
        <v/>
      </c>
      <c r="M1536" s="267">
        <f>IFERROR(__xludf.DUMMYFUNCTION("""COMPUTED_VALUE"""),45321.6666666666)</f>
        <v/>
      </c>
      <c r="N1536" s="6">
        <f>IFERROR(__xludf.DUMMYFUNCTION("""COMPUTED_VALUE"""),15509.9)</f>
        <v/>
      </c>
      <c r="R1536" s="6">
        <f>S1536&amp;T1536</f>
        <v/>
      </c>
      <c r="S1536" s="6">
        <f>YEAR(U1536)</f>
        <v/>
      </c>
      <c r="T1536" s="6">
        <f>MONTH(U1536)</f>
        <v/>
      </c>
      <c r="U1536" s="267">
        <f>IFERROR(__xludf.DUMMYFUNCTION("""COMPUTED_VALUE"""),45380.6458333333)</f>
        <v/>
      </c>
      <c r="V1536" s="6">
        <f>IFERROR(__xludf.DUMMYFUNCTION("""COMPUTED_VALUE"""),2746.63)</f>
        <v/>
      </c>
      <c r="Z1536" s="6">
        <f>AA1536&amp;AB1536</f>
        <v/>
      </c>
      <c r="AA1536" s="6">
        <f>YEAR(AC1536)</f>
        <v/>
      </c>
      <c r="AB1536" s="6">
        <f>MONTH(AC1536)</f>
        <v/>
      </c>
      <c r="AC1536" s="267">
        <f>IFERROR(__xludf.DUMMYFUNCTION("""COMPUTED_VALUE"""),44685.9986111111)</f>
        <v/>
      </c>
      <c r="AD1536" s="6">
        <f>IFERROR(__xludf.DUMMYFUNCTION("""COMPUTED_VALUE"""),1251.5)</f>
        <v/>
      </c>
      <c r="AH1536" s="6">
        <f>AI1536&amp;AJ1536</f>
        <v/>
      </c>
      <c r="AI1536" s="6">
        <f>YEAR(AK1536)</f>
        <v/>
      </c>
      <c r="AJ1536" s="6">
        <f>MONTH(AK1536)</f>
        <v/>
      </c>
      <c r="AK1536" s="267">
        <f>IFERROR(__xludf.DUMMYFUNCTION("""COMPUTED_VALUE"""),44629.9986111111)</f>
        <v/>
      </c>
      <c r="AL1536" s="6">
        <f>IFERROR(__xludf.DUMMYFUNCTION("""COMPUTED_VALUE"""),41935.94)</f>
        <v/>
      </c>
      <c r="AP1536" s="6">
        <f>AQ1536&amp;AR1536</f>
        <v/>
      </c>
      <c r="AQ1536" s="6">
        <f>YEAR(AS1536)</f>
        <v/>
      </c>
      <c r="AR1536" s="6">
        <f>MONTH(AS1536)</f>
        <v/>
      </c>
      <c r="AS1536" s="267">
        <f>IFERROR(__xludf.DUMMYFUNCTION("""COMPUTED_VALUE"""),45336.9986111111)</f>
        <v/>
      </c>
      <c r="AT1536" s="6">
        <f>IFERROR(__xludf.DUMMYFUNCTION("""COMPUTED_VALUE"""),2004.3)</f>
        <v/>
      </c>
    </row>
    <row r="1537">
      <c r="B1537" s="6">
        <f>C1537&amp;D1537</f>
        <v/>
      </c>
      <c r="C1537" s="6">
        <f>YEAR(E1537)</f>
        <v/>
      </c>
      <c r="D1537" s="6">
        <f>MONTH(E1537)</f>
        <v/>
      </c>
      <c r="E1537" s="267">
        <f>IFERROR(__xludf.DUMMYFUNCTION("""COMPUTED_VALUE"""),45330.6666666666)</f>
        <v/>
      </c>
      <c r="F1537" s="6">
        <f>IFERROR(__xludf.DUMMYFUNCTION("""COMPUTED_VALUE"""),4997.91)</f>
        <v/>
      </c>
      <c r="J1537" s="6">
        <f>K1537&amp;L1537</f>
        <v/>
      </c>
      <c r="K1537" s="6">
        <f>YEAR(M1537)</f>
        <v/>
      </c>
      <c r="L1537" s="6">
        <f>MONTH(M1537)</f>
        <v/>
      </c>
      <c r="M1537" s="267">
        <f>IFERROR(__xludf.DUMMYFUNCTION("""COMPUTED_VALUE"""),45322.6666666666)</f>
        <v/>
      </c>
      <c r="N1537" s="6">
        <f>IFERROR(__xludf.DUMMYFUNCTION("""COMPUTED_VALUE"""),15164.01)</f>
        <v/>
      </c>
      <c r="R1537" s="6">
        <f>S1537&amp;T1537</f>
        <v/>
      </c>
      <c r="S1537" s="6">
        <f>YEAR(U1537)</f>
        <v/>
      </c>
      <c r="T1537" s="6">
        <f>MONTH(U1537)</f>
        <v/>
      </c>
      <c r="U1537" s="267">
        <f>IFERROR(__xludf.DUMMYFUNCTION("""COMPUTED_VALUE"""),45383.6458333333)</f>
        <v/>
      </c>
      <c r="V1537" s="6">
        <f>IFERROR(__xludf.DUMMYFUNCTION("""COMPUTED_VALUE"""),2747.86)</f>
        <v/>
      </c>
      <c r="Z1537" s="6">
        <f>AA1537&amp;AB1537</f>
        <v/>
      </c>
      <c r="AA1537" s="6">
        <f>YEAR(AC1537)</f>
        <v/>
      </c>
      <c r="AB1537" s="6">
        <f>MONTH(AC1537)</f>
        <v/>
      </c>
      <c r="AC1537" s="267">
        <f>IFERROR(__xludf.DUMMYFUNCTION("""COMPUTED_VALUE"""),44686.9986111111)</f>
        <v/>
      </c>
      <c r="AD1537" s="6">
        <f>IFERROR(__xludf.DUMMYFUNCTION("""COMPUTED_VALUE"""),1268.7)</f>
        <v/>
      </c>
      <c r="AH1537" s="6">
        <f>AI1537&amp;AJ1537</f>
        <v/>
      </c>
      <c r="AI1537" s="6">
        <f>YEAR(AK1537)</f>
        <v/>
      </c>
      <c r="AJ1537" s="6">
        <f>MONTH(AK1537)</f>
        <v/>
      </c>
      <c r="AK1537" s="267">
        <f>IFERROR(__xludf.DUMMYFUNCTION("""COMPUTED_VALUE"""),44630.9986111111)</f>
        <v/>
      </c>
      <c r="AL1537" s="6">
        <f>IFERROR(__xludf.DUMMYFUNCTION("""COMPUTED_VALUE"""),39431.6)</f>
        <v/>
      </c>
      <c r="AP1537" s="6">
        <f>AQ1537&amp;AR1537</f>
        <v/>
      </c>
      <c r="AQ1537" s="6">
        <f>YEAR(AS1537)</f>
        <v/>
      </c>
      <c r="AR1537" s="6">
        <f>MONTH(AS1537)</f>
        <v/>
      </c>
      <c r="AS1537" s="267">
        <f>IFERROR(__xludf.DUMMYFUNCTION("""COMPUTED_VALUE"""),45337.9986111111)</f>
        <v/>
      </c>
      <c r="AT1537" s="6">
        <f>IFERROR(__xludf.DUMMYFUNCTION("""COMPUTED_VALUE"""),2014.9)</f>
        <v/>
      </c>
    </row>
    <row r="1538">
      <c r="B1538" s="6">
        <f>C1538&amp;D1538</f>
        <v/>
      </c>
      <c r="C1538" s="6">
        <f>YEAR(E1538)</f>
        <v/>
      </c>
      <c r="D1538" s="6">
        <f>MONTH(E1538)</f>
        <v/>
      </c>
      <c r="E1538" s="267">
        <f>IFERROR(__xludf.DUMMYFUNCTION("""COMPUTED_VALUE"""),45331.6666666666)</f>
        <v/>
      </c>
      <c r="F1538" s="6">
        <f>IFERROR(__xludf.DUMMYFUNCTION("""COMPUTED_VALUE"""),5026.61)</f>
        <v/>
      </c>
      <c r="J1538" s="6">
        <f>K1538&amp;L1538</f>
        <v/>
      </c>
      <c r="K1538" s="6">
        <f>YEAR(M1538)</f>
        <v/>
      </c>
      <c r="L1538" s="6">
        <f>MONTH(M1538)</f>
        <v/>
      </c>
      <c r="M1538" s="267">
        <f>IFERROR(__xludf.DUMMYFUNCTION("""COMPUTED_VALUE"""),45323.6666666666)</f>
        <v/>
      </c>
      <c r="N1538" s="6">
        <f>IFERROR(__xludf.DUMMYFUNCTION("""COMPUTED_VALUE"""),15361.64)</f>
        <v/>
      </c>
      <c r="R1538" s="6">
        <f>S1538&amp;T1538</f>
        <v/>
      </c>
      <c r="S1538" s="6">
        <f>YEAR(U1538)</f>
        <v/>
      </c>
      <c r="T1538" s="6">
        <f>MONTH(U1538)</f>
        <v/>
      </c>
      <c r="U1538" s="267">
        <f>IFERROR(__xludf.DUMMYFUNCTION("""COMPUTED_VALUE"""),45384.6458333333)</f>
        <v/>
      </c>
      <c r="V1538" s="6">
        <f>IFERROR(__xludf.DUMMYFUNCTION("""COMPUTED_VALUE"""),2753.16)</f>
        <v/>
      </c>
      <c r="Z1538" s="6">
        <f>AA1538&amp;AB1538</f>
        <v/>
      </c>
      <c r="AA1538" s="6">
        <f>YEAR(AC1538)</f>
        <v/>
      </c>
      <c r="AB1538" s="6">
        <f>MONTH(AC1538)</f>
        <v/>
      </c>
      <c r="AC1538" s="267">
        <f>IFERROR(__xludf.DUMMYFUNCTION("""COMPUTED_VALUE"""),44687.9986111111)</f>
        <v/>
      </c>
      <c r="AD1538" s="6">
        <f>IFERROR(__xludf.DUMMYFUNCTION("""COMPUTED_VALUE"""),1271.14)</f>
        <v/>
      </c>
      <c r="AH1538" s="6">
        <f>AI1538&amp;AJ1538</f>
        <v/>
      </c>
      <c r="AI1538" s="6">
        <f>YEAR(AK1538)</f>
        <v/>
      </c>
      <c r="AJ1538" s="6">
        <f>MONTH(AK1538)</f>
        <v/>
      </c>
      <c r="AK1538" s="267">
        <f>IFERROR(__xludf.DUMMYFUNCTION("""COMPUTED_VALUE"""),44631.9986111111)</f>
        <v/>
      </c>
      <c r="AL1538" s="6">
        <f>IFERROR(__xludf.DUMMYFUNCTION("""COMPUTED_VALUE"""),38735.91)</f>
        <v/>
      </c>
      <c r="AP1538" s="6">
        <f>AQ1538&amp;AR1538</f>
        <v/>
      </c>
      <c r="AQ1538" s="6">
        <f>YEAR(AS1538)</f>
        <v/>
      </c>
      <c r="AR1538" s="6">
        <f>MONTH(AS1538)</f>
        <v/>
      </c>
      <c r="AS1538" s="267">
        <f>IFERROR(__xludf.DUMMYFUNCTION("""COMPUTED_VALUE"""),45338.9986111111)</f>
        <v/>
      </c>
      <c r="AT1538" s="6">
        <f>IFERROR(__xludf.DUMMYFUNCTION("""COMPUTED_VALUE"""),2024.1)</f>
        <v/>
      </c>
    </row>
    <row r="1539">
      <c r="B1539" s="6">
        <f>C1539&amp;D1539</f>
        <v/>
      </c>
      <c r="C1539" s="6">
        <f>YEAR(E1539)</f>
        <v/>
      </c>
      <c r="D1539" s="6">
        <f>MONTH(E1539)</f>
        <v/>
      </c>
      <c r="E1539" s="267">
        <f>IFERROR(__xludf.DUMMYFUNCTION("""COMPUTED_VALUE"""),45334.6666666666)</f>
        <v/>
      </c>
      <c r="F1539" s="6">
        <f>IFERROR(__xludf.DUMMYFUNCTION("""COMPUTED_VALUE"""),5021.84)</f>
        <v/>
      </c>
      <c r="J1539" s="6">
        <f>K1539&amp;L1539</f>
        <v/>
      </c>
      <c r="K1539" s="6">
        <f>YEAR(M1539)</f>
        <v/>
      </c>
      <c r="L1539" s="6">
        <f>MONTH(M1539)</f>
        <v/>
      </c>
      <c r="M1539" s="267">
        <f>IFERROR(__xludf.DUMMYFUNCTION("""COMPUTED_VALUE"""),45324.6666666666)</f>
        <v/>
      </c>
      <c r="N1539" s="6">
        <f>IFERROR(__xludf.DUMMYFUNCTION("""COMPUTED_VALUE"""),15628.95)</f>
        <v/>
      </c>
      <c r="R1539" s="6">
        <f>S1539&amp;T1539</f>
        <v/>
      </c>
      <c r="S1539" s="6">
        <f>YEAR(U1539)</f>
        <v/>
      </c>
      <c r="T1539" s="6">
        <f>MONTH(U1539)</f>
        <v/>
      </c>
      <c r="U1539" s="267">
        <f>IFERROR(__xludf.DUMMYFUNCTION("""COMPUTED_VALUE"""),45385.6458333333)</f>
        <v/>
      </c>
      <c r="V1539" s="6">
        <f>IFERROR(__xludf.DUMMYFUNCTION("""COMPUTED_VALUE"""),2706.97)</f>
        <v/>
      </c>
      <c r="Z1539" s="6">
        <f>AA1539&amp;AB1539</f>
        <v/>
      </c>
      <c r="AA1539" s="6">
        <f>YEAR(AC1539)</f>
        <v/>
      </c>
      <c r="AB1539" s="6">
        <f>MONTH(AC1539)</f>
        <v/>
      </c>
      <c r="AC1539" s="267">
        <f>IFERROR(__xludf.DUMMYFUNCTION("""COMPUTED_VALUE"""),44688.9986111111)</f>
        <v/>
      </c>
      <c r="AD1539" s="6">
        <f>IFERROR(__xludf.DUMMYFUNCTION("""COMPUTED_VALUE"""),1271.14)</f>
        <v/>
      </c>
      <c r="AH1539" s="6">
        <f>AI1539&amp;AJ1539</f>
        <v/>
      </c>
      <c r="AI1539" s="6">
        <f>YEAR(AK1539)</f>
        <v/>
      </c>
      <c r="AJ1539" s="6">
        <f>MONTH(AK1539)</f>
        <v/>
      </c>
      <c r="AK1539" s="267">
        <f>IFERROR(__xludf.DUMMYFUNCTION("""COMPUTED_VALUE"""),44632.9986111111)</f>
        <v/>
      </c>
      <c r="AL1539" s="6">
        <f>IFERROR(__xludf.DUMMYFUNCTION("""COMPUTED_VALUE"""),38807.06)</f>
        <v/>
      </c>
      <c r="AP1539" s="6">
        <f>AQ1539&amp;AR1539</f>
        <v/>
      </c>
      <c r="AQ1539" s="6">
        <f>YEAR(AS1539)</f>
        <v/>
      </c>
      <c r="AR1539" s="6">
        <f>MONTH(AS1539)</f>
        <v/>
      </c>
      <c r="AS1539" s="267">
        <f>IFERROR(__xludf.DUMMYFUNCTION("""COMPUTED_VALUE"""),45342.9986111111)</f>
        <v/>
      </c>
      <c r="AT1539" s="6">
        <f>IFERROR(__xludf.DUMMYFUNCTION("""COMPUTED_VALUE"""),2039.8)</f>
        <v/>
      </c>
    </row>
    <row r="1540">
      <c r="B1540" s="6">
        <f>C1540&amp;D1540</f>
        <v/>
      </c>
      <c r="C1540" s="6">
        <f>YEAR(E1540)</f>
        <v/>
      </c>
      <c r="D1540" s="6">
        <f>MONTH(E1540)</f>
        <v/>
      </c>
      <c r="E1540" s="267">
        <f>IFERROR(__xludf.DUMMYFUNCTION("""COMPUTED_VALUE"""),45335.6666666666)</f>
        <v/>
      </c>
      <c r="F1540" s="6">
        <f>IFERROR(__xludf.DUMMYFUNCTION("""COMPUTED_VALUE"""),4953.17)</f>
        <v/>
      </c>
      <c r="J1540" s="6">
        <f>K1540&amp;L1540</f>
        <v/>
      </c>
      <c r="K1540" s="6">
        <f>YEAR(M1540)</f>
        <v/>
      </c>
      <c r="L1540" s="6">
        <f>MONTH(M1540)</f>
        <v/>
      </c>
      <c r="M1540" s="267">
        <f>IFERROR(__xludf.DUMMYFUNCTION("""COMPUTED_VALUE"""),45327.6666666666)</f>
        <v/>
      </c>
      <c r="N1540" s="6">
        <f>IFERROR(__xludf.DUMMYFUNCTION("""COMPUTED_VALUE"""),15597.68)</f>
        <v/>
      </c>
      <c r="R1540" s="6">
        <f>S1540&amp;T1540</f>
        <v/>
      </c>
      <c r="S1540" s="6">
        <f>YEAR(U1540)</f>
        <v/>
      </c>
      <c r="T1540" s="6">
        <f>MONTH(U1540)</f>
        <v/>
      </c>
      <c r="U1540" s="267">
        <f>IFERROR(__xludf.DUMMYFUNCTION("""COMPUTED_VALUE"""),45386.6458333333)</f>
        <v/>
      </c>
      <c r="V1540" s="6">
        <f>IFERROR(__xludf.DUMMYFUNCTION("""COMPUTED_VALUE"""),2742)</f>
        <v/>
      </c>
      <c r="Z1540" s="6">
        <f>AA1540&amp;AB1540</f>
        <v/>
      </c>
      <c r="AA1540" s="6">
        <f>YEAR(AC1540)</f>
        <v/>
      </c>
      <c r="AB1540" s="6">
        <f>MONTH(AC1540)</f>
        <v/>
      </c>
      <c r="AC1540" s="267">
        <f>IFERROR(__xludf.DUMMYFUNCTION("""COMPUTED_VALUE"""),44689.9986111111)</f>
        <v/>
      </c>
      <c r="AD1540" s="6">
        <f>IFERROR(__xludf.DUMMYFUNCTION("""COMPUTED_VALUE"""),1270.13)</f>
        <v/>
      </c>
      <c r="AH1540" s="6">
        <f>AI1540&amp;AJ1540</f>
        <v/>
      </c>
      <c r="AI1540" s="6">
        <f>YEAR(AK1540)</f>
        <v/>
      </c>
      <c r="AJ1540" s="6">
        <f>MONTH(AK1540)</f>
        <v/>
      </c>
      <c r="AK1540" s="267">
        <f>IFERROR(__xludf.DUMMYFUNCTION("""COMPUTED_VALUE"""),44633.9986111111)</f>
        <v/>
      </c>
      <c r="AL1540" s="6">
        <f>IFERROR(__xludf.DUMMYFUNCTION("""COMPUTED_VALUE"""),37807)</f>
        <v/>
      </c>
      <c r="AP1540" s="6">
        <f>AQ1540&amp;AR1540</f>
        <v/>
      </c>
      <c r="AQ1540" s="6">
        <f>YEAR(AS1540)</f>
        <v/>
      </c>
      <c r="AR1540" s="6">
        <f>MONTH(AS1540)</f>
        <v/>
      </c>
      <c r="AS1540" s="267">
        <f>IFERROR(__xludf.DUMMYFUNCTION("""COMPUTED_VALUE"""),45343.9986111111)</f>
        <v/>
      </c>
      <c r="AT1540" s="6">
        <f>IFERROR(__xludf.DUMMYFUNCTION("""COMPUTED_VALUE"""),2034.3)</f>
        <v/>
      </c>
    </row>
    <row r="1541">
      <c r="B1541" s="6">
        <f>C1541&amp;D1541</f>
        <v/>
      </c>
      <c r="C1541" s="6">
        <f>YEAR(E1541)</f>
        <v/>
      </c>
      <c r="D1541" s="6">
        <f>MONTH(E1541)</f>
        <v/>
      </c>
      <c r="E1541" s="267">
        <f>IFERROR(__xludf.DUMMYFUNCTION("""COMPUTED_VALUE"""),45336.6666666666)</f>
        <v/>
      </c>
      <c r="F1541" s="6">
        <f>IFERROR(__xludf.DUMMYFUNCTION("""COMPUTED_VALUE"""),5000.62)</f>
        <v/>
      </c>
      <c r="J1541" s="6">
        <f>K1541&amp;L1541</f>
        <v/>
      </c>
      <c r="K1541" s="6">
        <f>YEAR(M1541)</f>
        <v/>
      </c>
      <c r="L1541" s="6">
        <f>MONTH(M1541)</f>
        <v/>
      </c>
      <c r="M1541" s="267">
        <f>IFERROR(__xludf.DUMMYFUNCTION("""COMPUTED_VALUE"""),45328.6666666666)</f>
        <v/>
      </c>
      <c r="N1541" s="6">
        <f>IFERROR(__xludf.DUMMYFUNCTION("""COMPUTED_VALUE"""),15609)</f>
        <v/>
      </c>
      <c r="R1541" s="6">
        <f>S1541&amp;T1541</f>
        <v/>
      </c>
      <c r="S1541" s="6">
        <f>YEAR(U1541)</f>
        <v/>
      </c>
      <c r="T1541" s="6">
        <f>MONTH(U1541)</f>
        <v/>
      </c>
      <c r="U1541" s="267">
        <f>IFERROR(__xludf.DUMMYFUNCTION("""COMPUTED_VALUE"""),45387.6458333333)</f>
        <v/>
      </c>
      <c r="V1541" s="6">
        <f>IFERROR(__xludf.DUMMYFUNCTION("""COMPUTED_VALUE"""),2714.21)</f>
        <v/>
      </c>
      <c r="Z1541" s="6">
        <f>AA1541&amp;AB1541</f>
        <v/>
      </c>
      <c r="AA1541" s="6">
        <f>YEAR(AC1541)</f>
        <v/>
      </c>
      <c r="AB1541" s="6">
        <f>MONTH(AC1541)</f>
        <v/>
      </c>
      <c r="AC1541" s="267">
        <f>IFERROR(__xludf.DUMMYFUNCTION("""COMPUTED_VALUE"""),44690.9986111111)</f>
        <v/>
      </c>
      <c r="AD1541" s="6">
        <f>IFERROR(__xludf.DUMMYFUNCTION("""COMPUTED_VALUE"""),1274.86)</f>
        <v/>
      </c>
      <c r="AH1541" s="6">
        <f>AI1541&amp;AJ1541</f>
        <v/>
      </c>
      <c r="AI1541" s="6">
        <f>YEAR(AK1541)</f>
        <v/>
      </c>
      <c r="AJ1541" s="6">
        <f>MONTH(AK1541)</f>
        <v/>
      </c>
      <c r="AK1541" s="267">
        <f>IFERROR(__xludf.DUMMYFUNCTION("""COMPUTED_VALUE"""),44634.9986111111)</f>
        <v/>
      </c>
      <c r="AL1541" s="6">
        <f>IFERROR(__xludf.DUMMYFUNCTION("""COMPUTED_VALUE"""),39678.98)</f>
        <v/>
      </c>
      <c r="AP1541" s="6">
        <f>AQ1541&amp;AR1541</f>
        <v/>
      </c>
      <c r="AQ1541" s="6">
        <f>YEAR(AS1541)</f>
        <v/>
      </c>
      <c r="AR1541" s="6">
        <f>MONTH(AS1541)</f>
        <v/>
      </c>
      <c r="AS1541" s="267">
        <f>IFERROR(__xludf.DUMMYFUNCTION("""COMPUTED_VALUE"""),45344.9986111111)</f>
        <v/>
      </c>
      <c r="AT1541" s="6">
        <f>IFERROR(__xludf.DUMMYFUNCTION("""COMPUTED_VALUE"""),2030.7)</f>
        <v/>
      </c>
    </row>
    <row r="1542">
      <c r="B1542" s="6">
        <f>C1542&amp;D1542</f>
        <v/>
      </c>
      <c r="C1542" s="6">
        <f>YEAR(E1542)</f>
        <v/>
      </c>
      <c r="D1542" s="6">
        <f>MONTH(E1542)</f>
        <v/>
      </c>
      <c r="E1542" s="267">
        <f>IFERROR(__xludf.DUMMYFUNCTION("""COMPUTED_VALUE"""),45337.6666666666)</f>
        <v/>
      </c>
      <c r="F1542" s="6">
        <f>IFERROR(__xludf.DUMMYFUNCTION("""COMPUTED_VALUE"""),5029.73)</f>
        <v/>
      </c>
      <c r="J1542" s="6">
        <f>K1542&amp;L1542</f>
        <v/>
      </c>
      <c r="K1542" s="6">
        <f>YEAR(M1542)</f>
        <v/>
      </c>
      <c r="L1542" s="6">
        <f>MONTH(M1542)</f>
        <v/>
      </c>
      <c r="M1542" s="267">
        <f>IFERROR(__xludf.DUMMYFUNCTION("""COMPUTED_VALUE"""),45329.6666666666)</f>
        <v/>
      </c>
      <c r="N1542" s="6">
        <f>IFERROR(__xludf.DUMMYFUNCTION("""COMPUTED_VALUE"""),15756.64)</f>
        <v/>
      </c>
      <c r="R1542" s="6">
        <f>S1542&amp;T1542</f>
        <v/>
      </c>
      <c r="S1542" s="6">
        <f>YEAR(U1542)</f>
        <v/>
      </c>
      <c r="T1542" s="6">
        <f>MONTH(U1542)</f>
        <v/>
      </c>
      <c r="U1542" s="267">
        <f>IFERROR(__xludf.DUMMYFUNCTION("""COMPUTED_VALUE"""),45390.6458333333)</f>
        <v/>
      </c>
      <c r="V1542" s="6">
        <f>IFERROR(__xludf.DUMMYFUNCTION("""COMPUTED_VALUE"""),2717.65)</f>
        <v/>
      </c>
      <c r="Z1542" s="6">
        <f>AA1542&amp;AB1542</f>
        <v/>
      </c>
      <c r="AA1542" s="6">
        <f>YEAR(AC1542)</f>
        <v/>
      </c>
      <c r="AB1542" s="6">
        <f>MONTH(AC1542)</f>
        <v/>
      </c>
      <c r="AC1542" s="267">
        <f>IFERROR(__xludf.DUMMYFUNCTION("""COMPUTED_VALUE"""),44691.9986111111)</f>
        <v/>
      </c>
      <c r="AD1542" s="6">
        <f>IFERROR(__xludf.DUMMYFUNCTION("""COMPUTED_VALUE"""),1276.55)</f>
        <v/>
      </c>
      <c r="AH1542" s="6">
        <f>AI1542&amp;AJ1542</f>
        <v/>
      </c>
      <c r="AI1542" s="6">
        <f>YEAR(AK1542)</f>
        <v/>
      </c>
      <c r="AJ1542" s="6">
        <f>MONTH(AK1542)</f>
        <v/>
      </c>
      <c r="AK1542" s="267">
        <f>IFERROR(__xludf.DUMMYFUNCTION("""COMPUTED_VALUE"""),44635.9986111111)</f>
        <v/>
      </c>
      <c r="AL1542" s="6">
        <f>IFERROR(__xludf.DUMMYFUNCTION("""COMPUTED_VALUE"""),39301.8)</f>
        <v/>
      </c>
      <c r="AP1542" s="6">
        <f>AQ1542&amp;AR1542</f>
        <v/>
      </c>
      <c r="AQ1542" s="6">
        <f>YEAR(AS1542)</f>
        <v/>
      </c>
      <c r="AR1542" s="6">
        <f>MONTH(AS1542)</f>
        <v/>
      </c>
      <c r="AS1542" s="267">
        <f>IFERROR(__xludf.DUMMYFUNCTION("""COMPUTED_VALUE"""),45345.9986111111)</f>
        <v/>
      </c>
      <c r="AT1542" s="6">
        <f>IFERROR(__xludf.DUMMYFUNCTION("""COMPUTED_VALUE"""),2049.4)</f>
        <v/>
      </c>
    </row>
    <row r="1543">
      <c r="B1543" s="6">
        <f>C1543&amp;D1543</f>
        <v/>
      </c>
      <c r="C1543" s="6">
        <f>YEAR(E1543)</f>
        <v/>
      </c>
      <c r="D1543" s="6">
        <f>MONTH(E1543)</f>
        <v/>
      </c>
      <c r="E1543" s="267">
        <f>IFERROR(__xludf.DUMMYFUNCTION("""COMPUTED_VALUE"""),45338.6666666666)</f>
        <v/>
      </c>
      <c r="F1543" s="6">
        <f>IFERROR(__xludf.DUMMYFUNCTION("""COMPUTED_VALUE"""),5005.57)</f>
        <v/>
      </c>
      <c r="J1543" s="6">
        <f>K1543&amp;L1543</f>
        <v/>
      </c>
      <c r="K1543" s="6">
        <f>YEAR(M1543)</f>
        <v/>
      </c>
      <c r="L1543" s="6">
        <f>MONTH(M1543)</f>
        <v/>
      </c>
      <c r="M1543" s="267">
        <f>IFERROR(__xludf.DUMMYFUNCTION("""COMPUTED_VALUE"""),45330.6666666666)</f>
        <v/>
      </c>
      <c r="N1543" s="6">
        <f>IFERROR(__xludf.DUMMYFUNCTION("""COMPUTED_VALUE"""),15793.72)</f>
        <v/>
      </c>
      <c r="R1543" s="6">
        <f>S1543&amp;T1543</f>
        <v/>
      </c>
      <c r="S1543" s="6">
        <f>YEAR(U1543)</f>
        <v/>
      </c>
      <c r="T1543" s="6">
        <f>MONTH(U1543)</f>
        <v/>
      </c>
      <c r="U1543" s="267">
        <f>IFERROR(__xludf.DUMMYFUNCTION("""COMPUTED_VALUE"""),45391.6458333333)</f>
        <v/>
      </c>
      <c r="V1543" s="6">
        <f>IFERROR(__xludf.DUMMYFUNCTION("""COMPUTED_VALUE"""),2705.16)</f>
        <v/>
      </c>
      <c r="Z1543" s="6">
        <f>AA1543&amp;AB1543</f>
        <v/>
      </c>
      <c r="AA1543" s="6">
        <f>YEAR(AC1543)</f>
        <v/>
      </c>
      <c r="AB1543" s="6">
        <f>MONTH(AC1543)</f>
        <v/>
      </c>
      <c r="AC1543" s="267">
        <f>IFERROR(__xludf.DUMMYFUNCTION("""COMPUTED_VALUE"""),44692.9986111111)</f>
        <v/>
      </c>
      <c r="AD1543" s="6">
        <f>IFERROR(__xludf.DUMMYFUNCTION("""COMPUTED_VALUE"""),1278.15)</f>
        <v/>
      </c>
      <c r="AH1543" s="6">
        <f>AI1543&amp;AJ1543</f>
        <v/>
      </c>
      <c r="AI1543" s="6">
        <f>YEAR(AK1543)</f>
        <v/>
      </c>
      <c r="AJ1543" s="6">
        <f>MONTH(AK1543)</f>
        <v/>
      </c>
      <c r="AK1543" s="267">
        <f>IFERROR(__xludf.DUMMYFUNCTION("""COMPUTED_VALUE"""),44636.9986111111)</f>
        <v/>
      </c>
      <c r="AL1543" s="6">
        <f>IFERROR(__xludf.DUMMYFUNCTION("""COMPUTED_VALUE"""),41119.14)</f>
        <v/>
      </c>
      <c r="AP1543" s="6">
        <f>AQ1543&amp;AR1543</f>
        <v/>
      </c>
      <c r="AQ1543" s="6">
        <f>YEAR(AS1543)</f>
        <v/>
      </c>
      <c r="AR1543" s="6">
        <f>MONTH(AS1543)</f>
        <v/>
      </c>
      <c r="AS1543" s="267">
        <f>IFERROR(__xludf.DUMMYFUNCTION("""COMPUTED_VALUE"""),45348.9986111111)</f>
        <v/>
      </c>
      <c r="AT1543" s="6">
        <f>IFERROR(__xludf.DUMMYFUNCTION("""COMPUTED_VALUE"""),2038.9)</f>
        <v/>
      </c>
    </row>
    <row r="1544">
      <c r="B1544" s="6">
        <f>C1544&amp;D1544</f>
        <v/>
      </c>
      <c r="C1544" s="6">
        <f>YEAR(E1544)</f>
        <v/>
      </c>
      <c r="D1544" s="6">
        <f>MONTH(E1544)</f>
        <v/>
      </c>
      <c r="E1544" s="267">
        <f>IFERROR(__xludf.DUMMYFUNCTION("""COMPUTED_VALUE"""),45342.6666666666)</f>
        <v/>
      </c>
      <c r="F1544" s="6">
        <f>IFERROR(__xludf.DUMMYFUNCTION("""COMPUTED_VALUE"""),4975.51)</f>
        <v/>
      </c>
      <c r="J1544" s="6">
        <f>K1544&amp;L1544</f>
        <v/>
      </c>
      <c r="K1544" s="6">
        <f>YEAR(M1544)</f>
        <v/>
      </c>
      <c r="L1544" s="6">
        <f>MONTH(M1544)</f>
        <v/>
      </c>
      <c r="M1544" s="267">
        <f>IFERROR(__xludf.DUMMYFUNCTION("""COMPUTED_VALUE"""),45331.6666666666)</f>
        <v/>
      </c>
      <c r="N1544" s="6">
        <f>IFERROR(__xludf.DUMMYFUNCTION("""COMPUTED_VALUE"""),15990.66)</f>
        <v/>
      </c>
      <c r="R1544" s="6">
        <f>S1544&amp;T1544</f>
        <v/>
      </c>
      <c r="S1544" s="6">
        <f>YEAR(U1544)</f>
        <v/>
      </c>
      <c r="T1544" s="6">
        <f>MONTH(U1544)</f>
        <v/>
      </c>
      <c r="U1544" s="267">
        <f>IFERROR(__xludf.DUMMYFUNCTION("""COMPUTED_VALUE"""),45393.6458333333)</f>
        <v/>
      </c>
      <c r="V1544" s="6">
        <f>IFERROR(__xludf.DUMMYFUNCTION("""COMPUTED_VALUE"""),2706.96)</f>
        <v/>
      </c>
      <c r="Z1544" s="6">
        <f>AA1544&amp;AB1544</f>
        <v/>
      </c>
      <c r="AA1544" s="6">
        <f>YEAR(AC1544)</f>
        <v/>
      </c>
      <c r="AB1544" s="6">
        <f>MONTH(AC1544)</f>
        <v/>
      </c>
      <c r="AC1544" s="267">
        <f>IFERROR(__xludf.DUMMYFUNCTION("""COMPUTED_VALUE"""),44693.9986111111)</f>
        <v/>
      </c>
      <c r="AD1544" s="6">
        <f>IFERROR(__xludf.DUMMYFUNCTION("""COMPUTED_VALUE"""),1290.75)</f>
        <v/>
      </c>
      <c r="AH1544" s="6">
        <f>AI1544&amp;AJ1544</f>
        <v/>
      </c>
      <c r="AI1544" s="6">
        <f>YEAR(AK1544)</f>
        <v/>
      </c>
      <c r="AJ1544" s="6">
        <f>MONTH(AK1544)</f>
        <v/>
      </c>
      <c r="AK1544" s="267">
        <f>IFERROR(__xludf.DUMMYFUNCTION("""COMPUTED_VALUE"""),44637.9986111111)</f>
        <v/>
      </c>
      <c r="AL1544" s="6">
        <f>IFERROR(__xludf.DUMMYFUNCTION("""COMPUTED_VALUE"""),40939.39)</f>
        <v/>
      </c>
      <c r="AP1544" s="6">
        <f>AQ1544&amp;AR1544</f>
        <v/>
      </c>
      <c r="AQ1544" s="6">
        <f>YEAR(AS1544)</f>
        <v/>
      </c>
      <c r="AR1544" s="6">
        <f>MONTH(AS1544)</f>
        <v/>
      </c>
      <c r="AS1544" s="267">
        <f>IFERROR(__xludf.DUMMYFUNCTION("""COMPUTED_VALUE"""),45349.9986111111)</f>
        <v/>
      </c>
      <c r="AT1544" s="6">
        <f>IFERROR(__xludf.DUMMYFUNCTION("""COMPUTED_VALUE"""),2044.1)</f>
        <v/>
      </c>
    </row>
    <row r="1545">
      <c r="B1545" s="6">
        <f>C1545&amp;D1545</f>
        <v/>
      </c>
      <c r="C1545" s="6">
        <f>YEAR(E1545)</f>
        <v/>
      </c>
      <c r="D1545" s="6">
        <f>MONTH(E1545)</f>
        <v/>
      </c>
      <c r="E1545" s="267">
        <f>IFERROR(__xludf.DUMMYFUNCTION("""COMPUTED_VALUE"""),45343.6666666666)</f>
        <v/>
      </c>
      <c r="F1545" s="6">
        <f>IFERROR(__xludf.DUMMYFUNCTION("""COMPUTED_VALUE"""),4981.8)</f>
        <v/>
      </c>
      <c r="J1545" s="6">
        <f>K1545&amp;L1545</f>
        <v/>
      </c>
      <c r="K1545" s="6">
        <f>YEAR(M1545)</f>
        <v/>
      </c>
      <c r="L1545" s="6">
        <f>MONTH(M1545)</f>
        <v/>
      </c>
      <c r="M1545" s="267">
        <f>IFERROR(__xludf.DUMMYFUNCTION("""COMPUTED_VALUE"""),45334.6666666666)</f>
        <v/>
      </c>
      <c r="N1545" s="6">
        <f>IFERROR(__xludf.DUMMYFUNCTION("""COMPUTED_VALUE"""),15942.55)</f>
        <v/>
      </c>
      <c r="R1545" s="6">
        <f>S1545&amp;T1545</f>
        <v/>
      </c>
      <c r="S1545" s="6">
        <f>YEAR(U1545)</f>
        <v/>
      </c>
      <c r="T1545" s="6">
        <f>MONTH(U1545)</f>
        <v/>
      </c>
      <c r="U1545" s="267">
        <f>IFERROR(__xludf.DUMMYFUNCTION("""COMPUTED_VALUE"""),45394.6458333333)</f>
        <v/>
      </c>
      <c r="V1545" s="6">
        <f>IFERROR(__xludf.DUMMYFUNCTION("""COMPUTED_VALUE"""),2681.82)</f>
        <v/>
      </c>
      <c r="Z1545" s="6">
        <f>AA1545&amp;AB1545</f>
        <v/>
      </c>
      <c r="AA1545" s="6">
        <f>YEAR(AC1545)</f>
        <v/>
      </c>
      <c r="AB1545" s="6">
        <f>MONTH(AC1545)</f>
        <v/>
      </c>
      <c r="AC1545" s="267">
        <f>IFERROR(__xludf.DUMMYFUNCTION("""COMPUTED_VALUE"""),44694.9986111111)</f>
        <v/>
      </c>
      <c r="AD1545" s="6">
        <f>IFERROR(__xludf.DUMMYFUNCTION("""COMPUTED_VALUE"""),1278.36)</f>
        <v/>
      </c>
      <c r="AH1545" s="6">
        <f>AI1545&amp;AJ1545</f>
        <v/>
      </c>
      <c r="AI1545" s="6">
        <f>YEAR(AK1545)</f>
        <v/>
      </c>
      <c r="AJ1545" s="6">
        <f>MONTH(AK1545)</f>
        <v/>
      </c>
      <c r="AK1545" s="267">
        <f>IFERROR(__xludf.DUMMYFUNCTION("""COMPUTED_VALUE"""),44638.9986111111)</f>
        <v/>
      </c>
      <c r="AL1545" s="6">
        <f>IFERROR(__xludf.DUMMYFUNCTION("""COMPUTED_VALUE"""),41768.4)</f>
        <v/>
      </c>
      <c r="AP1545" s="6">
        <f>AQ1545&amp;AR1545</f>
        <v/>
      </c>
      <c r="AQ1545" s="6">
        <f>YEAR(AS1545)</f>
        <v/>
      </c>
      <c r="AR1545" s="6">
        <f>MONTH(AS1545)</f>
        <v/>
      </c>
      <c r="AS1545" s="267">
        <f>IFERROR(__xludf.DUMMYFUNCTION("""COMPUTED_VALUE"""),45350.9986111111)</f>
        <v/>
      </c>
      <c r="AT1545" s="6">
        <f>IFERROR(__xludf.DUMMYFUNCTION("""COMPUTED_VALUE"""),2042.7)</f>
        <v/>
      </c>
    </row>
    <row r="1546">
      <c r="B1546" s="6">
        <f>C1546&amp;D1546</f>
        <v/>
      </c>
      <c r="C1546" s="6">
        <f>YEAR(E1546)</f>
        <v/>
      </c>
      <c r="D1546" s="6">
        <f>MONTH(E1546)</f>
        <v/>
      </c>
      <c r="E1546" s="267">
        <f>IFERROR(__xludf.DUMMYFUNCTION("""COMPUTED_VALUE"""),45344.6666666666)</f>
        <v/>
      </c>
      <c r="F1546" s="6">
        <f>IFERROR(__xludf.DUMMYFUNCTION("""COMPUTED_VALUE"""),5087.03)</f>
        <v/>
      </c>
      <c r="J1546" s="6">
        <f>K1546&amp;L1546</f>
        <v/>
      </c>
      <c r="K1546" s="6">
        <f>YEAR(M1546)</f>
        <v/>
      </c>
      <c r="L1546" s="6">
        <f>MONTH(M1546)</f>
        <v/>
      </c>
      <c r="M1546" s="267">
        <f>IFERROR(__xludf.DUMMYFUNCTION("""COMPUTED_VALUE"""),45335.6666666666)</f>
        <v/>
      </c>
      <c r="N1546" s="6">
        <f>IFERROR(__xludf.DUMMYFUNCTION("""COMPUTED_VALUE"""),15655.6)</f>
        <v/>
      </c>
      <c r="R1546" s="6">
        <f>S1546&amp;T1546</f>
        <v/>
      </c>
      <c r="S1546" s="6">
        <f>YEAR(U1546)</f>
        <v/>
      </c>
      <c r="T1546" s="6">
        <f>MONTH(U1546)</f>
        <v/>
      </c>
      <c r="U1546" s="267">
        <f>IFERROR(__xludf.DUMMYFUNCTION("""COMPUTED_VALUE"""),45397.6458333333)</f>
        <v/>
      </c>
      <c r="V1546" s="6">
        <f>IFERROR(__xludf.DUMMYFUNCTION("""COMPUTED_VALUE"""),2670.43)</f>
        <v/>
      </c>
      <c r="Z1546" s="6">
        <f>AA1546&amp;AB1546</f>
        <v/>
      </c>
      <c r="AA1546" s="6">
        <f>YEAR(AC1546)</f>
        <v/>
      </c>
      <c r="AB1546" s="6">
        <f>MONTH(AC1546)</f>
        <v/>
      </c>
      <c r="AC1546" s="267">
        <f>IFERROR(__xludf.DUMMYFUNCTION("""COMPUTED_VALUE"""),44695.9986111111)</f>
        <v/>
      </c>
      <c r="AD1546" s="6">
        <f>IFERROR(__xludf.DUMMYFUNCTION("""COMPUTED_VALUE"""),1278.36)</f>
        <v/>
      </c>
      <c r="AH1546" s="6">
        <f>AI1546&amp;AJ1546</f>
        <v/>
      </c>
      <c r="AI1546" s="6">
        <f>YEAR(AK1546)</f>
        <v/>
      </c>
      <c r="AJ1546" s="6">
        <f>MONTH(AK1546)</f>
        <v/>
      </c>
      <c r="AK1546" s="267">
        <f>IFERROR(__xludf.DUMMYFUNCTION("""COMPUTED_VALUE"""),44639.9986111111)</f>
        <v/>
      </c>
      <c r="AL1546" s="6">
        <f>IFERROR(__xludf.DUMMYFUNCTION("""COMPUTED_VALUE"""),42216.27)</f>
        <v/>
      </c>
      <c r="AP1546" s="6">
        <f>AQ1546&amp;AR1546</f>
        <v/>
      </c>
      <c r="AQ1546" s="6">
        <f>YEAR(AS1546)</f>
        <v/>
      </c>
      <c r="AR1546" s="6">
        <f>MONTH(AS1546)</f>
        <v/>
      </c>
      <c r="AS1546" s="267">
        <f>IFERROR(__xludf.DUMMYFUNCTION("""COMPUTED_VALUE"""),45351.9986111111)</f>
        <v/>
      </c>
      <c r="AT1546" s="6">
        <f>IFERROR(__xludf.DUMMYFUNCTION("""COMPUTED_VALUE"""),2054.7)</f>
        <v/>
      </c>
    </row>
    <row r="1547">
      <c r="B1547" s="6">
        <f>C1547&amp;D1547</f>
        <v/>
      </c>
      <c r="C1547" s="6">
        <f>YEAR(E1547)</f>
        <v/>
      </c>
      <c r="D1547" s="6">
        <f>MONTH(E1547)</f>
        <v/>
      </c>
      <c r="E1547" s="267">
        <f>IFERROR(__xludf.DUMMYFUNCTION("""COMPUTED_VALUE"""),45345.6666666666)</f>
        <v/>
      </c>
      <c r="F1547" s="6">
        <f>IFERROR(__xludf.DUMMYFUNCTION("""COMPUTED_VALUE"""),5088.8)</f>
        <v/>
      </c>
      <c r="J1547" s="6">
        <f>K1547&amp;L1547</f>
        <v/>
      </c>
      <c r="K1547" s="6">
        <f>YEAR(M1547)</f>
        <v/>
      </c>
      <c r="L1547" s="6">
        <f>MONTH(M1547)</f>
        <v/>
      </c>
      <c r="M1547" s="267">
        <f>IFERROR(__xludf.DUMMYFUNCTION("""COMPUTED_VALUE"""),45336.6666666666)</f>
        <v/>
      </c>
      <c r="N1547" s="6">
        <f>IFERROR(__xludf.DUMMYFUNCTION("""COMPUTED_VALUE"""),15859.15)</f>
        <v/>
      </c>
      <c r="R1547" s="6">
        <f>S1547&amp;T1547</f>
        <v/>
      </c>
      <c r="S1547" s="6">
        <f>YEAR(U1547)</f>
        <v/>
      </c>
      <c r="T1547" s="6">
        <f>MONTH(U1547)</f>
        <v/>
      </c>
      <c r="U1547" s="267">
        <f>IFERROR(__xludf.DUMMYFUNCTION("""COMPUTED_VALUE"""),45398.6458333333)</f>
        <v/>
      </c>
      <c r="V1547" s="6">
        <f>IFERROR(__xludf.DUMMYFUNCTION("""COMPUTED_VALUE"""),2609.63)</f>
        <v/>
      </c>
      <c r="Z1547" s="6">
        <f>AA1547&amp;AB1547</f>
        <v/>
      </c>
      <c r="AA1547" s="6">
        <f>YEAR(AC1547)</f>
        <v/>
      </c>
      <c r="AB1547" s="6">
        <f>MONTH(AC1547)</f>
        <v/>
      </c>
      <c r="AC1547" s="267">
        <f>IFERROR(__xludf.DUMMYFUNCTION("""COMPUTED_VALUE"""),44696.9986111111)</f>
        <v/>
      </c>
      <c r="AD1547" s="6">
        <f>IFERROR(__xludf.DUMMYFUNCTION("""COMPUTED_VALUE"""),1277.57)</f>
        <v/>
      </c>
      <c r="AH1547" s="6">
        <f>AI1547&amp;AJ1547</f>
        <v/>
      </c>
      <c r="AI1547" s="6">
        <f>YEAR(AK1547)</f>
        <v/>
      </c>
      <c r="AJ1547" s="6">
        <f>MONTH(AK1547)</f>
        <v/>
      </c>
      <c r="AK1547" s="267">
        <f>IFERROR(__xludf.DUMMYFUNCTION("""COMPUTED_VALUE"""),44640.9986111111)</f>
        <v/>
      </c>
      <c r="AL1547" s="6">
        <f>IFERROR(__xludf.DUMMYFUNCTION("""COMPUTED_VALUE"""),41255.24)</f>
        <v/>
      </c>
      <c r="AP1547" s="6">
        <f>AQ1547&amp;AR1547</f>
        <v/>
      </c>
      <c r="AQ1547" s="6">
        <f>YEAR(AS1547)</f>
        <v/>
      </c>
      <c r="AR1547" s="6">
        <f>MONTH(AS1547)</f>
        <v/>
      </c>
      <c r="AS1547" s="267">
        <f>IFERROR(__xludf.DUMMYFUNCTION("""COMPUTED_VALUE"""),45352.9986111111)</f>
        <v/>
      </c>
      <c r="AT1547" s="6">
        <f>IFERROR(__xludf.DUMMYFUNCTION("""COMPUTED_VALUE"""),2095.7)</f>
        <v/>
      </c>
    </row>
    <row r="1548">
      <c r="B1548" s="6">
        <f>C1548&amp;D1548</f>
        <v/>
      </c>
      <c r="C1548" s="6">
        <f>YEAR(E1548)</f>
        <v/>
      </c>
      <c r="D1548" s="6">
        <f>MONTH(E1548)</f>
        <v/>
      </c>
      <c r="E1548" s="267">
        <f>IFERROR(__xludf.DUMMYFUNCTION("""COMPUTED_VALUE"""),45348.6666666666)</f>
        <v/>
      </c>
      <c r="F1548" s="6">
        <f>IFERROR(__xludf.DUMMYFUNCTION("""COMPUTED_VALUE"""),5069.53)</f>
        <v/>
      </c>
      <c r="J1548" s="6">
        <f>K1548&amp;L1548</f>
        <v/>
      </c>
      <c r="K1548" s="6">
        <f>YEAR(M1548)</f>
        <v/>
      </c>
      <c r="L1548" s="6">
        <f>MONTH(M1548)</f>
        <v/>
      </c>
      <c r="M1548" s="267">
        <f>IFERROR(__xludf.DUMMYFUNCTION("""COMPUTED_VALUE"""),45337.6666666666)</f>
        <v/>
      </c>
      <c r="N1548" s="6">
        <f>IFERROR(__xludf.DUMMYFUNCTION("""COMPUTED_VALUE"""),15906.17)</f>
        <v/>
      </c>
      <c r="R1548" s="6">
        <f>S1548&amp;T1548</f>
        <v/>
      </c>
      <c r="S1548" s="6">
        <f>YEAR(U1548)</f>
        <v/>
      </c>
      <c r="T1548" s="6">
        <f>MONTH(U1548)</f>
        <v/>
      </c>
      <c r="U1548" s="267">
        <f>IFERROR(__xludf.DUMMYFUNCTION("""COMPUTED_VALUE"""),45399.6458333333)</f>
        <v/>
      </c>
      <c r="V1548" s="6">
        <f>IFERROR(__xludf.DUMMYFUNCTION("""COMPUTED_VALUE"""),2584.18)</f>
        <v/>
      </c>
      <c r="Z1548" s="6">
        <f>AA1548&amp;AB1548</f>
        <v/>
      </c>
      <c r="AA1548" s="6">
        <f>YEAR(AC1548)</f>
        <v/>
      </c>
      <c r="AB1548" s="6">
        <f>MONTH(AC1548)</f>
        <v/>
      </c>
      <c r="AC1548" s="267">
        <f>IFERROR(__xludf.DUMMYFUNCTION("""COMPUTED_VALUE"""),44697.9986111111)</f>
        <v/>
      </c>
      <c r="AD1548" s="6">
        <f>IFERROR(__xludf.DUMMYFUNCTION("""COMPUTED_VALUE"""),1279.85)</f>
        <v/>
      </c>
      <c r="AH1548" s="6">
        <f>AI1548&amp;AJ1548</f>
        <v/>
      </c>
      <c r="AI1548" s="6">
        <f>YEAR(AK1548)</f>
        <v/>
      </c>
      <c r="AJ1548" s="6">
        <f>MONTH(AK1548)</f>
        <v/>
      </c>
      <c r="AK1548" s="267">
        <f>IFERROR(__xludf.DUMMYFUNCTION("""COMPUTED_VALUE"""),44641.9986111111)</f>
        <v/>
      </c>
      <c r="AL1548" s="6">
        <f>IFERROR(__xludf.DUMMYFUNCTION("""COMPUTED_VALUE"""),41035.93)</f>
        <v/>
      </c>
      <c r="AP1548" s="6">
        <f>AQ1548&amp;AR1548</f>
        <v/>
      </c>
      <c r="AQ1548" s="6">
        <f>YEAR(AS1548)</f>
        <v/>
      </c>
      <c r="AR1548" s="6">
        <f>MONTH(AS1548)</f>
        <v/>
      </c>
      <c r="AS1548" s="267">
        <f>IFERROR(__xludf.DUMMYFUNCTION("""COMPUTED_VALUE"""),45355.9986111111)</f>
        <v/>
      </c>
      <c r="AT1548" s="6">
        <f>IFERROR(__xludf.DUMMYFUNCTION("""COMPUTED_VALUE"""),2126.3)</f>
        <v/>
      </c>
    </row>
    <row r="1549">
      <c r="B1549" s="6">
        <f>C1549&amp;D1549</f>
        <v/>
      </c>
      <c r="C1549" s="6">
        <f>YEAR(E1549)</f>
        <v/>
      </c>
      <c r="D1549" s="6">
        <f>MONTH(E1549)</f>
        <v/>
      </c>
      <c r="E1549" s="267">
        <f>IFERROR(__xludf.DUMMYFUNCTION("""COMPUTED_VALUE"""),45349.6666666666)</f>
        <v/>
      </c>
      <c r="F1549" s="6">
        <f>IFERROR(__xludf.DUMMYFUNCTION("""COMPUTED_VALUE"""),5078.18)</f>
        <v/>
      </c>
      <c r="J1549" s="6">
        <f>K1549&amp;L1549</f>
        <v/>
      </c>
      <c r="K1549" s="6">
        <f>YEAR(M1549)</f>
        <v/>
      </c>
      <c r="L1549" s="6">
        <f>MONTH(M1549)</f>
        <v/>
      </c>
      <c r="M1549" s="267">
        <f>IFERROR(__xludf.DUMMYFUNCTION("""COMPUTED_VALUE"""),45338.6666666666)</f>
        <v/>
      </c>
      <c r="N1549" s="6">
        <f>IFERROR(__xludf.DUMMYFUNCTION("""COMPUTED_VALUE"""),15775.65)</f>
        <v/>
      </c>
      <c r="R1549" s="6">
        <f>S1549&amp;T1549</f>
        <v/>
      </c>
      <c r="S1549" s="6">
        <f>YEAR(U1549)</f>
        <v/>
      </c>
      <c r="T1549" s="6">
        <f>MONTH(U1549)</f>
        <v/>
      </c>
      <c r="U1549" s="267">
        <f>IFERROR(__xludf.DUMMYFUNCTION("""COMPUTED_VALUE"""),45400.6458333333)</f>
        <v/>
      </c>
      <c r="V1549" s="6">
        <f>IFERROR(__xludf.DUMMYFUNCTION("""COMPUTED_VALUE"""),2634.7)</f>
        <v/>
      </c>
      <c r="Z1549" s="6">
        <f>AA1549&amp;AB1549</f>
        <v/>
      </c>
      <c r="AA1549" s="6">
        <f>YEAR(AC1549)</f>
        <v/>
      </c>
      <c r="AB1549" s="6">
        <f>MONTH(AC1549)</f>
        <v/>
      </c>
      <c r="AC1549" s="267">
        <f>IFERROR(__xludf.DUMMYFUNCTION("""COMPUTED_VALUE"""),44698.9986111111)</f>
        <v/>
      </c>
      <c r="AD1549" s="6">
        <f>IFERROR(__xludf.DUMMYFUNCTION("""COMPUTED_VALUE"""),1266.66)</f>
        <v/>
      </c>
      <c r="AH1549" s="6">
        <f>AI1549&amp;AJ1549</f>
        <v/>
      </c>
      <c r="AI1549" s="6">
        <f>YEAR(AK1549)</f>
        <v/>
      </c>
      <c r="AJ1549" s="6">
        <f>MONTH(AK1549)</f>
        <v/>
      </c>
      <c r="AK1549" s="267">
        <f>IFERROR(__xludf.DUMMYFUNCTION("""COMPUTED_VALUE"""),44642.9986111111)</f>
        <v/>
      </c>
      <c r="AL1549" s="6">
        <f>IFERROR(__xludf.DUMMYFUNCTION("""COMPUTED_VALUE"""),42370.4)</f>
        <v/>
      </c>
      <c r="AP1549" s="6">
        <f>AQ1549&amp;AR1549</f>
        <v/>
      </c>
      <c r="AQ1549" s="6">
        <f>YEAR(AS1549)</f>
        <v/>
      </c>
      <c r="AR1549" s="6">
        <f>MONTH(AS1549)</f>
        <v/>
      </c>
      <c r="AS1549" s="267">
        <f>IFERROR(__xludf.DUMMYFUNCTION("""COMPUTED_VALUE"""),45356.9986111111)</f>
        <v/>
      </c>
      <c r="AT1549" s="6">
        <f>IFERROR(__xludf.DUMMYFUNCTION("""COMPUTED_VALUE"""),2141.9)</f>
        <v/>
      </c>
    </row>
    <row r="1550">
      <c r="B1550" s="6">
        <f>C1550&amp;D1550</f>
        <v/>
      </c>
      <c r="C1550" s="6">
        <f>YEAR(E1550)</f>
        <v/>
      </c>
      <c r="D1550" s="6">
        <f>MONTH(E1550)</f>
        <v/>
      </c>
      <c r="E1550" s="267">
        <f>IFERROR(__xludf.DUMMYFUNCTION("""COMPUTED_VALUE"""),45350.6666666666)</f>
        <v/>
      </c>
      <c r="F1550" s="6">
        <f>IFERROR(__xludf.DUMMYFUNCTION("""COMPUTED_VALUE"""),5069.76)</f>
        <v/>
      </c>
      <c r="J1550" s="6">
        <f>K1550&amp;L1550</f>
        <v/>
      </c>
      <c r="K1550" s="6">
        <f>YEAR(M1550)</f>
        <v/>
      </c>
      <c r="L1550" s="6">
        <f>MONTH(M1550)</f>
        <v/>
      </c>
      <c r="M1550" s="267">
        <f>IFERROR(__xludf.DUMMYFUNCTION("""COMPUTED_VALUE"""),45342.6666666666)</f>
        <v/>
      </c>
      <c r="N1550" s="6">
        <f>IFERROR(__xludf.DUMMYFUNCTION("""COMPUTED_VALUE"""),15630.78)</f>
        <v/>
      </c>
      <c r="R1550" s="6">
        <f>S1550&amp;T1550</f>
        <v/>
      </c>
      <c r="S1550" s="6">
        <f>YEAR(U1550)</f>
        <v/>
      </c>
      <c r="T1550" s="6">
        <f>MONTH(U1550)</f>
        <v/>
      </c>
      <c r="U1550" s="267">
        <f>IFERROR(__xludf.DUMMYFUNCTION("""COMPUTED_VALUE"""),45401.6458333333)</f>
        <v/>
      </c>
      <c r="V1550" s="6">
        <f>IFERROR(__xludf.DUMMYFUNCTION("""COMPUTED_VALUE"""),2591.86)</f>
        <v/>
      </c>
      <c r="Z1550" s="6">
        <f>AA1550&amp;AB1550</f>
        <v/>
      </c>
      <c r="AA1550" s="6">
        <f>YEAR(AC1550)</f>
        <v/>
      </c>
      <c r="AB1550" s="6">
        <f>MONTH(AC1550)</f>
        <v/>
      </c>
      <c r="AC1550" s="267">
        <f>IFERROR(__xludf.DUMMYFUNCTION("""COMPUTED_VALUE"""),44699.9986111111)</f>
        <v/>
      </c>
      <c r="AD1550" s="6">
        <f>IFERROR(__xludf.DUMMYFUNCTION("""COMPUTED_VALUE"""),1275.58)</f>
        <v/>
      </c>
      <c r="AH1550" s="6">
        <f>AI1550&amp;AJ1550</f>
        <v/>
      </c>
      <c r="AI1550" s="6">
        <f>YEAR(AK1550)</f>
        <v/>
      </c>
      <c r="AJ1550" s="6">
        <f>MONTH(AK1550)</f>
        <v/>
      </c>
      <c r="AK1550" s="267">
        <f>IFERROR(__xludf.DUMMYFUNCTION("""COMPUTED_VALUE"""),44643.9986111111)</f>
        <v/>
      </c>
      <c r="AL1550" s="6">
        <f>IFERROR(__xludf.DUMMYFUNCTION("""COMPUTED_VALUE"""),42906.23)</f>
        <v/>
      </c>
      <c r="AP1550" s="6">
        <f>AQ1550&amp;AR1550</f>
        <v/>
      </c>
      <c r="AQ1550" s="6">
        <f>YEAR(AS1550)</f>
        <v/>
      </c>
      <c r="AR1550" s="6">
        <f>MONTH(AS1550)</f>
        <v/>
      </c>
      <c r="AS1550" s="267">
        <f>IFERROR(__xludf.DUMMYFUNCTION("""COMPUTED_VALUE"""),45357.9986111111)</f>
        <v/>
      </c>
      <c r="AT1550" s="6">
        <f>IFERROR(__xludf.DUMMYFUNCTION("""COMPUTED_VALUE"""),2158.2)</f>
        <v/>
      </c>
    </row>
    <row r="1551">
      <c r="B1551" s="6">
        <f>C1551&amp;D1551</f>
        <v/>
      </c>
      <c r="C1551" s="6">
        <f>YEAR(E1551)</f>
        <v/>
      </c>
      <c r="D1551" s="6">
        <f>MONTH(E1551)</f>
        <v/>
      </c>
      <c r="E1551" s="267">
        <f>IFERROR(__xludf.DUMMYFUNCTION("""COMPUTED_VALUE"""),45351.6666666666)</f>
        <v/>
      </c>
      <c r="F1551" s="6">
        <f>IFERROR(__xludf.DUMMYFUNCTION("""COMPUTED_VALUE"""),5096.27)</f>
        <v/>
      </c>
      <c r="J1551" s="6">
        <f>K1551&amp;L1551</f>
        <v/>
      </c>
      <c r="K1551" s="6">
        <f>YEAR(M1551)</f>
        <v/>
      </c>
      <c r="L1551" s="6">
        <f>MONTH(M1551)</f>
        <v/>
      </c>
      <c r="M1551" s="267">
        <f>IFERROR(__xludf.DUMMYFUNCTION("""COMPUTED_VALUE"""),45343.6666666666)</f>
        <v/>
      </c>
      <c r="N1551" s="6">
        <f>IFERROR(__xludf.DUMMYFUNCTION("""COMPUTED_VALUE"""),15580.87)</f>
        <v/>
      </c>
      <c r="R1551" s="6">
        <f>S1551&amp;T1551</f>
        <v/>
      </c>
      <c r="S1551" s="6">
        <f>YEAR(U1551)</f>
        <v/>
      </c>
      <c r="T1551" s="6">
        <f>MONTH(U1551)</f>
        <v/>
      </c>
      <c r="U1551" s="267">
        <f>IFERROR(__xludf.DUMMYFUNCTION("""COMPUTED_VALUE"""),45404.6458333333)</f>
        <v/>
      </c>
      <c r="V1551" s="6">
        <f>IFERROR(__xludf.DUMMYFUNCTION("""COMPUTED_VALUE"""),2629.44)</f>
        <v/>
      </c>
      <c r="Z1551" s="6">
        <f>AA1551&amp;AB1551</f>
        <v/>
      </c>
      <c r="AA1551" s="6">
        <f>YEAR(AC1551)</f>
        <v/>
      </c>
      <c r="AB1551" s="6">
        <f>MONTH(AC1551)</f>
        <v/>
      </c>
      <c r="AC1551" s="267">
        <f>IFERROR(__xludf.DUMMYFUNCTION("""COMPUTED_VALUE"""),44700.9986111111)</f>
        <v/>
      </c>
      <c r="AD1551" s="6">
        <f>IFERROR(__xludf.DUMMYFUNCTION("""COMPUTED_VALUE"""),1263.55)</f>
        <v/>
      </c>
      <c r="AH1551" s="6">
        <f>AI1551&amp;AJ1551</f>
        <v/>
      </c>
      <c r="AI1551" s="6">
        <f>YEAR(AK1551)</f>
        <v/>
      </c>
      <c r="AJ1551" s="6">
        <f>MONTH(AK1551)</f>
        <v/>
      </c>
      <c r="AK1551" s="267">
        <f>IFERROR(__xludf.DUMMYFUNCTION("""COMPUTED_VALUE"""),44644.9986111111)</f>
        <v/>
      </c>
      <c r="AL1551" s="6">
        <f>IFERROR(__xludf.DUMMYFUNCTION("""COMPUTED_VALUE"""),44008.34)</f>
        <v/>
      </c>
      <c r="AP1551" s="6">
        <f>AQ1551&amp;AR1551</f>
        <v/>
      </c>
      <c r="AQ1551" s="6">
        <f>YEAR(AS1551)</f>
        <v/>
      </c>
      <c r="AR1551" s="6">
        <f>MONTH(AS1551)</f>
        <v/>
      </c>
      <c r="AS1551" s="267">
        <f>IFERROR(__xludf.DUMMYFUNCTION("""COMPUTED_VALUE"""),45358.9986111111)</f>
        <v/>
      </c>
      <c r="AT1551" s="6">
        <f>IFERROR(__xludf.DUMMYFUNCTION("""COMPUTED_VALUE"""),2165.2)</f>
        <v/>
      </c>
    </row>
    <row r="1552">
      <c r="B1552" s="6">
        <f>C1552&amp;D1552</f>
        <v/>
      </c>
      <c r="C1552" s="6">
        <f>YEAR(E1552)</f>
        <v/>
      </c>
      <c r="D1552" s="6">
        <f>MONTH(E1552)</f>
        <v/>
      </c>
      <c r="E1552" s="267">
        <f>IFERROR(__xludf.DUMMYFUNCTION("""COMPUTED_VALUE"""),45352.6666666666)</f>
        <v/>
      </c>
      <c r="F1552" s="6">
        <f>IFERROR(__xludf.DUMMYFUNCTION("""COMPUTED_VALUE"""),5137.08)</f>
        <v/>
      </c>
      <c r="J1552" s="6">
        <f>K1552&amp;L1552</f>
        <v/>
      </c>
      <c r="K1552" s="6">
        <f>YEAR(M1552)</f>
        <v/>
      </c>
      <c r="L1552" s="6">
        <f>MONTH(M1552)</f>
        <v/>
      </c>
      <c r="M1552" s="267">
        <f>IFERROR(__xludf.DUMMYFUNCTION("""COMPUTED_VALUE"""),45344.6666666666)</f>
        <v/>
      </c>
      <c r="N1552" s="6">
        <f>IFERROR(__xludf.DUMMYFUNCTION("""COMPUTED_VALUE"""),16041.62)</f>
        <v/>
      </c>
      <c r="R1552" s="6">
        <f>S1552&amp;T1552</f>
        <v/>
      </c>
      <c r="S1552" s="6">
        <f>YEAR(U1552)</f>
        <v/>
      </c>
      <c r="T1552" s="6">
        <f>MONTH(U1552)</f>
        <v/>
      </c>
      <c r="U1552" s="267">
        <f>IFERROR(__xludf.DUMMYFUNCTION("""COMPUTED_VALUE"""),45405.6458333333)</f>
        <v/>
      </c>
      <c r="V1552" s="6">
        <f>IFERROR(__xludf.DUMMYFUNCTION("""COMPUTED_VALUE"""),2623.02)</f>
        <v/>
      </c>
      <c r="Z1552" s="6">
        <f>AA1552&amp;AB1552</f>
        <v/>
      </c>
      <c r="AA1552" s="6">
        <f>YEAR(AC1552)</f>
        <v/>
      </c>
      <c r="AB1552" s="6">
        <f>MONTH(AC1552)</f>
        <v/>
      </c>
      <c r="AC1552" s="267">
        <f>IFERROR(__xludf.DUMMYFUNCTION("""COMPUTED_VALUE"""),44701.9986111111)</f>
        <v/>
      </c>
      <c r="AD1552" s="6">
        <f>IFERROR(__xludf.DUMMYFUNCTION("""COMPUTED_VALUE"""),1273.64)</f>
        <v/>
      </c>
      <c r="AH1552" s="6">
        <f>AI1552&amp;AJ1552</f>
        <v/>
      </c>
      <c r="AI1552" s="6">
        <f>YEAR(AK1552)</f>
        <v/>
      </c>
      <c r="AJ1552" s="6">
        <f>MONTH(AK1552)</f>
        <v/>
      </c>
      <c r="AK1552" s="267">
        <f>IFERROR(__xludf.DUMMYFUNCTION("""COMPUTED_VALUE"""),44645.9986111111)</f>
        <v/>
      </c>
      <c r="AL1552" s="6">
        <f>IFERROR(__xludf.DUMMYFUNCTION("""COMPUTED_VALUE"""),44334.06)</f>
        <v/>
      </c>
      <c r="AP1552" s="6">
        <f>AQ1552&amp;AR1552</f>
        <v/>
      </c>
      <c r="AQ1552" s="6">
        <f>YEAR(AS1552)</f>
        <v/>
      </c>
      <c r="AR1552" s="6">
        <f>MONTH(AS1552)</f>
        <v/>
      </c>
      <c r="AS1552" s="267">
        <f>IFERROR(__xludf.DUMMYFUNCTION("""COMPUTED_VALUE"""),45359.9986111111)</f>
        <v/>
      </c>
      <c r="AT1552" s="6">
        <f>IFERROR(__xludf.DUMMYFUNCTION("""COMPUTED_VALUE"""),2185.5)</f>
        <v/>
      </c>
    </row>
    <row r="1553">
      <c r="B1553" s="6">
        <f>C1553&amp;D1553</f>
        <v/>
      </c>
      <c r="C1553" s="6">
        <f>YEAR(E1553)</f>
        <v/>
      </c>
      <c r="D1553" s="6">
        <f>MONTH(E1553)</f>
        <v/>
      </c>
      <c r="E1553" s="267">
        <f>IFERROR(__xludf.DUMMYFUNCTION("""COMPUTED_VALUE"""),45355.6666666666)</f>
        <v/>
      </c>
      <c r="F1553" s="6">
        <f>IFERROR(__xludf.DUMMYFUNCTION("""COMPUTED_VALUE"""),5130.95)</f>
        <v/>
      </c>
      <c r="J1553" s="6">
        <f>K1553&amp;L1553</f>
        <v/>
      </c>
      <c r="K1553" s="6">
        <f>YEAR(M1553)</f>
        <v/>
      </c>
      <c r="L1553" s="6">
        <f>MONTH(M1553)</f>
        <v/>
      </c>
      <c r="M1553" s="267">
        <f>IFERROR(__xludf.DUMMYFUNCTION("""COMPUTED_VALUE"""),45345.6666666666)</f>
        <v/>
      </c>
      <c r="N1553" s="6">
        <f>IFERROR(__xludf.DUMMYFUNCTION("""COMPUTED_VALUE"""),15996.82)</f>
        <v/>
      </c>
      <c r="R1553" s="6">
        <f>S1553&amp;T1553</f>
        <v/>
      </c>
      <c r="S1553" s="6">
        <f>YEAR(U1553)</f>
        <v/>
      </c>
      <c r="T1553" s="6">
        <f>MONTH(U1553)</f>
        <v/>
      </c>
      <c r="U1553" s="267">
        <f>IFERROR(__xludf.DUMMYFUNCTION("""COMPUTED_VALUE"""),45406.6458333333)</f>
        <v/>
      </c>
      <c r="V1553" s="6">
        <f>IFERROR(__xludf.DUMMYFUNCTION("""COMPUTED_VALUE"""),2675.75)</f>
        <v/>
      </c>
      <c r="Z1553" s="6">
        <f>AA1553&amp;AB1553</f>
        <v/>
      </c>
      <c r="AA1553" s="6">
        <f>YEAR(AC1553)</f>
        <v/>
      </c>
      <c r="AB1553" s="6">
        <f>MONTH(AC1553)</f>
        <v/>
      </c>
      <c r="AC1553" s="267">
        <f>IFERROR(__xludf.DUMMYFUNCTION("""COMPUTED_VALUE"""),44702.9986111111)</f>
        <v/>
      </c>
      <c r="AD1553" s="6">
        <f>IFERROR(__xludf.DUMMYFUNCTION("""COMPUTED_VALUE"""),1273.64)</f>
        <v/>
      </c>
      <c r="AH1553" s="6">
        <f>AI1553&amp;AJ1553</f>
        <v/>
      </c>
      <c r="AI1553" s="6">
        <f>YEAR(AK1553)</f>
        <v/>
      </c>
      <c r="AJ1553" s="6">
        <f>MONTH(AK1553)</f>
        <v/>
      </c>
      <c r="AK1553" s="267">
        <f>IFERROR(__xludf.DUMMYFUNCTION("""COMPUTED_VALUE"""),44646.9986111111)</f>
        <v/>
      </c>
      <c r="AL1553" s="6">
        <f>IFERROR(__xludf.DUMMYFUNCTION("""COMPUTED_VALUE"""),44550.53)</f>
        <v/>
      </c>
      <c r="AP1553" s="6">
        <f>AQ1553&amp;AR1553</f>
        <v/>
      </c>
      <c r="AQ1553" s="6">
        <f>YEAR(AS1553)</f>
        <v/>
      </c>
      <c r="AR1553" s="6">
        <f>MONTH(AS1553)</f>
        <v/>
      </c>
      <c r="AS1553" s="267">
        <f>IFERROR(__xludf.DUMMYFUNCTION("""COMPUTED_VALUE"""),45362.9986111111)</f>
        <v/>
      </c>
      <c r="AT1553" s="6">
        <f>IFERROR(__xludf.DUMMYFUNCTION("""COMPUTED_VALUE"""),2188.6)</f>
        <v/>
      </c>
    </row>
    <row r="1554">
      <c r="B1554" s="6">
        <f>C1554&amp;D1554</f>
        <v/>
      </c>
      <c r="C1554" s="6">
        <f>YEAR(E1554)</f>
        <v/>
      </c>
      <c r="D1554" s="6">
        <f>MONTH(E1554)</f>
        <v/>
      </c>
      <c r="E1554" s="267">
        <f>IFERROR(__xludf.DUMMYFUNCTION("""COMPUTED_VALUE"""),45356.6666666666)</f>
        <v/>
      </c>
      <c r="F1554" s="6">
        <f>IFERROR(__xludf.DUMMYFUNCTION("""COMPUTED_VALUE"""),5078.65)</f>
        <v/>
      </c>
      <c r="J1554" s="6">
        <f>K1554&amp;L1554</f>
        <v/>
      </c>
      <c r="K1554" s="6">
        <f>YEAR(M1554)</f>
        <v/>
      </c>
      <c r="L1554" s="6">
        <f>MONTH(M1554)</f>
        <v/>
      </c>
      <c r="M1554" s="267">
        <f>IFERROR(__xludf.DUMMYFUNCTION("""COMPUTED_VALUE"""),45348.6666666666)</f>
        <v/>
      </c>
      <c r="N1554" s="6">
        <f>IFERROR(__xludf.DUMMYFUNCTION("""COMPUTED_VALUE"""),15976.25)</f>
        <v/>
      </c>
      <c r="R1554" s="6">
        <f>S1554&amp;T1554</f>
        <v/>
      </c>
      <c r="S1554" s="6">
        <f>YEAR(U1554)</f>
        <v/>
      </c>
      <c r="T1554" s="6">
        <f>MONTH(U1554)</f>
        <v/>
      </c>
      <c r="U1554" s="267">
        <f>IFERROR(__xludf.DUMMYFUNCTION("""COMPUTED_VALUE"""),45407.6458333333)</f>
        <v/>
      </c>
      <c r="V1554" s="6">
        <f>IFERROR(__xludf.DUMMYFUNCTION("""COMPUTED_VALUE"""),2628.62)</f>
        <v/>
      </c>
      <c r="Z1554" s="6">
        <f>AA1554&amp;AB1554</f>
        <v/>
      </c>
      <c r="AA1554" s="6">
        <f>YEAR(AC1554)</f>
        <v/>
      </c>
      <c r="AB1554" s="6">
        <f>MONTH(AC1554)</f>
        <v/>
      </c>
      <c r="AC1554" s="267">
        <f>IFERROR(__xludf.DUMMYFUNCTION("""COMPUTED_VALUE"""),44703.9986111111)</f>
        <v/>
      </c>
      <c r="AD1554" s="6">
        <f>IFERROR(__xludf.DUMMYFUNCTION("""COMPUTED_VALUE"""),1273.21)</f>
        <v/>
      </c>
      <c r="AH1554" s="6">
        <f>AI1554&amp;AJ1554</f>
        <v/>
      </c>
      <c r="AI1554" s="6">
        <f>YEAR(AK1554)</f>
        <v/>
      </c>
      <c r="AJ1554" s="6">
        <f>MONTH(AK1554)</f>
        <v/>
      </c>
      <c r="AK1554" s="267">
        <f>IFERROR(__xludf.DUMMYFUNCTION("""COMPUTED_VALUE"""),44647.9986111111)</f>
        <v/>
      </c>
      <c r="AL1554" s="6">
        <f>IFERROR(__xludf.DUMMYFUNCTION("""COMPUTED_VALUE"""),46843.74)</f>
        <v/>
      </c>
      <c r="AP1554" s="6">
        <f>AQ1554&amp;AR1554</f>
        <v/>
      </c>
      <c r="AQ1554" s="6">
        <f>YEAR(AS1554)</f>
        <v/>
      </c>
      <c r="AR1554" s="6">
        <f>MONTH(AS1554)</f>
        <v/>
      </c>
      <c r="AS1554" s="267">
        <f>IFERROR(__xludf.DUMMYFUNCTION("""COMPUTED_VALUE"""),45363.9986111111)</f>
        <v/>
      </c>
      <c r="AT1554" s="6">
        <f>IFERROR(__xludf.DUMMYFUNCTION("""COMPUTED_VALUE"""),2166.1)</f>
        <v/>
      </c>
    </row>
    <row r="1555">
      <c r="B1555" s="6">
        <f>C1555&amp;D1555</f>
        <v/>
      </c>
      <c r="C1555" s="6">
        <f>YEAR(E1555)</f>
        <v/>
      </c>
      <c r="D1555" s="6">
        <f>MONTH(E1555)</f>
        <v/>
      </c>
      <c r="E1555" s="267">
        <f>IFERROR(__xludf.DUMMYFUNCTION("""COMPUTED_VALUE"""),45357.6666666666)</f>
        <v/>
      </c>
      <c r="F1555" s="6">
        <f>IFERROR(__xludf.DUMMYFUNCTION("""COMPUTED_VALUE"""),5104.76)</f>
        <v/>
      </c>
      <c r="J1555" s="6">
        <f>K1555&amp;L1555</f>
        <v/>
      </c>
      <c r="K1555" s="6">
        <f>YEAR(M1555)</f>
        <v/>
      </c>
      <c r="L1555" s="6">
        <f>MONTH(M1555)</f>
        <v/>
      </c>
      <c r="M1555" s="267">
        <f>IFERROR(__xludf.DUMMYFUNCTION("""COMPUTED_VALUE"""),45349.6666666666)</f>
        <v/>
      </c>
      <c r="N1555" s="6">
        <f>IFERROR(__xludf.DUMMYFUNCTION("""COMPUTED_VALUE"""),16035.3)</f>
        <v/>
      </c>
      <c r="R1555" s="6">
        <f>S1555&amp;T1555</f>
        <v/>
      </c>
      <c r="S1555" s="6">
        <f>YEAR(U1555)</f>
        <v/>
      </c>
      <c r="T1555" s="6">
        <f>MONTH(U1555)</f>
        <v/>
      </c>
      <c r="U1555" s="267">
        <f>IFERROR(__xludf.DUMMYFUNCTION("""COMPUTED_VALUE"""),45408.6458333333)</f>
        <v/>
      </c>
      <c r="V1555" s="6">
        <f>IFERROR(__xludf.DUMMYFUNCTION("""COMPUTED_VALUE"""),2656.33)</f>
        <v/>
      </c>
      <c r="Z1555" s="6">
        <f>AA1555&amp;AB1555</f>
        <v/>
      </c>
      <c r="AA1555" s="6">
        <f>YEAR(AC1555)</f>
        <v/>
      </c>
      <c r="AB1555" s="6">
        <f>MONTH(AC1555)</f>
        <v/>
      </c>
      <c r="AC1555" s="267">
        <f>IFERROR(__xludf.DUMMYFUNCTION("""COMPUTED_VALUE"""),44704.9986111111)</f>
        <v/>
      </c>
      <c r="AD1555" s="6">
        <f>IFERROR(__xludf.DUMMYFUNCTION("""COMPUTED_VALUE"""),1258.82)</f>
        <v/>
      </c>
      <c r="AH1555" s="6">
        <f>AI1555&amp;AJ1555</f>
        <v/>
      </c>
      <c r="AI1555" s="6">
        <f>YEAR(AK1555)</f>
        <v/>
      </c>
      <c r="AJ1555" s="6">
        <f>MONTH(AK1555)</f>
        <v/>
      </c>
      <c r="AK1555" s="267">
        <f>IFERROR(__xludf.DUMMYFUNCTION("""COMPUTED_VALUE"""),44648.9986111111)</f>
        <v/>
      </c>
      <c r="AL1555" s="6">
        <f>IFERROR(__xludf.DUMMYFUNCTION("""COMPUTED_VALUE"""),47102.41)</f>
        <v/>
      </c>
      <c r="AP1555" s="6">
        <f>AQ1555&amp;AR1555</f>
        <v/>
      </c>
      <c r="AQ1555" s="6">
        <f>YEAR(AS1555)</f>
        <v/>
      </c>
      <c r="AR1555" s="6">
        <f>MONTH(AS1555)</f>
        <v/>
      </c>
      <c r="AS1555" s="267">
        <f>IFERROR(__xludf.DUMMYFUNCTION("""COMPUTED_VALUE"""),45364.9986111111)</f>
        <v/>
      </c>
      <c r="AT1555" s="6">
        <f>IFERROR(__xludf.DUMMYFUNCTION("""COMPUTED_VALUE"""),2180.8)</f>
        <v/>
      </c>
    </row>
    <row r="1556">
      <c r="B1556" s="6">
        <f>C1556&amp;D1556</f>
        <v/>
      </c>
      <c r="C1556" s="6">
        <f>YEAR(E1556)</f>
        <v/>
      </c>
      <c r="D1556" s="6">
        <f>MONTH(E1556)</f>
        <v/>
      </c>
      <c r="E1556" s="267">
        <f>IFERROR(__xludf.DUMMYFUNCTION("""COMPUTED_VALUE"""),45358.6666666666)</f>
        <v/>
      </c>
      <c r="F1556" s="6">
        <f>IFERROR(__xludf.DUMMYFUNCTION("""COMPUTED_VALUE"""),5157.36)</f>
        <v/>
      </c>
      <c r="J1556" s="6">
        <f>K1556&amp;L1556</f>
        <v/>
      </c>
      <c r="K1556" s="6">
        <f>YEAR(M1556)</f>
        <v/>
      </c>
      <c r="L1556" s="6">
        <f>MONTH(M1556)</f>
        <v/>
      </c>
      <c r="M1556" s="267">
        <f>IFERROR(__xludf.DUMMYFUNCTION("""COMPUTED_VALUE"""),45350.6666666666)</f>
        <v/>
      </c>
      <c r="N1556" s="6">
        <f>IFERROR(__xludf.DUMMYFUNCTION("""COMPUTED_VALUE"""),15947.74)</f>
        <v/>
      </c>
      <c r="R1556" s="6">
        <f>S1556&amp;T1556</f>
        <v/>
      </c>
      <c r="S1556" s="6">
        <f>YEAR(U1556)</f>
        <v/>
      </c>
      <c r="T1556" s="6">
        <f>MONTH(U1556)</f>
        <v/>
      </c>
      <c r="U1556" s="267">
        <f>IFERROR(__xludf.DUMMYFUNCTION("""COMPUTED_VALUE"""),45411.6458333333)</f>
        <v/>
      </c>
      <c r="V1556" s="6">
        <f>IFERROR(__xludf.DUMMYFUNCTION("""COMPUTED_VALUE"""),2687.44)</f>
        <v/>
      </c>
      <c r="Z1556" s="6">
        <f>AA1556&amp;AB1556</f>
        <v/>
      </c>
      <c r="AA1556" s="6">
        <f>YEAR(AC1556)</f>
        <v/>
      </c>
      <c r="AB1556" s="6">
        <f>MONTH(AC1556)</f>
        <v/>
      </c>
      <c r="AC1556" s="267">
        <f>IFERROR(__xludf.DUMMYFUNCTION("""COMPUTED_VALUE"""),44705.9986111111)</f>
        <v/>
      </c>
      <c r="AD1556" s="6">
        <f>IFERROR(__xludf.DUMMYFUNCTION("""COMPUTED_VALUE"""),1260.99)</f>
        <v/>
      </c>
      <c r="AH1556" s="6">
        <f>AI1556&amp;AJ1556</f>
        <v/>
      </c>
      <c r="AI1556" s="6">
        <f>YEAR(AK1556)</f>
        <v/>
      </c>
      <c r="AJ1556" s="6">
        <f>MONTH(AK1556)</f>
        <v/>
      </c>
      <c r="AK1556" s="267">
        <f>IFERROR(__xludf.DUMMYFUNCTION("""COMPUTED_VALUE"""),44649.9986111111)</f>
        <v/>
      </c>
      <c r="AL1556" s="6">
        <f>IFERROR(__xludf.DUMMYFUNCTION("""COMPUTED_VALUE"""),47451.56)</f>
        <v/>
      </c>
      <c r="AP1556" s="6">
        <f>AQ1556&amp;AR1556</f>
        <v/>
      </c>
      <c r="AQ1556" s="6">
        <f>YEAR(AS1556)</f>
        <v/>
      </c>
      <c r="AR1556" s="6">
        <f>MONTH(AS1556)</f>
        <v/>
      </c>
      <c r="AS1556" s="267">
        <f>IFERROR(__xludf.DUMMYFUNCTION("""COMPUTED_VALUE"""),45365.9986111111)</f>
        <v/>
      </c>
      <c r="AT1556" s="6">
        <f>IFERROR(__xludf.DUMMYFUNCTION("""COMPUTED_VALUE"""),2167.5)</f>
        <v/>
      </c>
    </row>
    <row r="1557">
      <c r="B1557" s="6">
        <f>C1557&amp;D1557</f>
        <v/>
      </c>
      <c r="C1557" s="6">
        <f>YEAR(E1557)</f>
        <v/>
      </c>
      <c r="D1557" s="6">
        <f>MONTH(E1557)</f>
        <v/>
      </c>
      <c r="E1557" s="267">
        <f>IFERROR(__xludf.DUMMYFUNCTION("""COMPUTED_VALUE"""),45359.6666666666)</f>
        <v/>
      </c>
      <c r="F1557" s="6">
        <f>IFERROR(__xludf.DUMMYFUNCTION("""COMPUTED_VALUE"""),5123.69)</f>
        <v/>
      </c>
      <c r="J1557" s="6">
        <f>K1557&amp;L1557</f>
        <v/>
      </c>
      <c r="K1557" s="6">
        <f>YEAR(M1557)</f>
        <v/>
      </c>
      <c r="L1557" s="6">
        <f>MONTH(M1557)</f>
        <v/>
      </c>
      <c r="M1557" s="267">
        <f>IFERROR(__xludf.DUMMYFUNCTION("""COMPUTED_VALUE"""),45351.6666666666)</f>
        <v/>
      </c>
      <c r="N1557" s="6">
        <f>IFERROR(__xludf.DUMMYFUNCTION("""COMPUTED_VALUE"""),16091.92)</f>
        <v/>
      </c>
      <c r="R1557" s="6">
        <f>S1557&amp;T1557</f>
        <v/>
      </c>
      <c r="S1557" s="6">
        <f>YEAR(U1557)</f>
        <v/>
      </c>
      <c r="T1557" s="6">
        <f>MONTH(U1557)</f>
        <v/>
      </c>
      <c r="U1557" s="267">
        <f>IFERROR(__xludf.DUMMYFUNCTION("""COMPUTED_VALUE"""),45412.6458333333)</f>
        <v/>
      </c>
      <c r="V1557" s="6">
        <f>IFERROR(__xludf.DUMMYFUNCTION("""COMPUTED_VALUE"""),2692.06)</f>
        <v/>
      </c>
      <c r="Z1557" s="6">
        <f>AA1557&amp;AB1557</f>
        <v/>
      </c>
      <c r="AA1557" s="6">
        <f>YEAR(AC1557)</f>
        <v/>
      </c>
      <c r="AB1557" s="6">
        <f>MONTH(AC1557)</f>
        <v/>
      </c>
      <c r="AC1557" s="267">
        <f>IFERROR(__xludf.DUMMYFUNCTION("""COMPUTED_VALUE"""),44706.9986111111)</f>
        <v/>
      </c>
      <c r="AD1557" s="6">
        <f>IFERROR(__xludf.DUMMYFUNCTION("""COMPUTED_VALUE"""),1266.6)</f>
        <v/>
      </c>
      <c r="AH1557" s="6">
        <f>AI1557&amp;AJ1557</f>
        <v/>
      </c>
      <c r="AI1557" s="6">
        <f>YEAR(AK1557)</f>
        <v/>
      </c>
      <c r="AJ1557" s="6">
        <f>MONTH(AK1557)</f>
        <v/>
      </c>
      <c r="AK1557" s="267">
        <f>IFERROR(__xludf.DUMMYFUNCTION("""COMPUTED_VALUE"""),44650.9986111111)</f>
        <v/>
      </c>
      <c r="AL1557" s="6">
        <f>IFERROR(__xludf.DUMMYFUNCTION("""COMPUTED_VALUE"""),47049.11)</f>
        <v/>
      </c>
      <c r="AP1557" s="6">
        <f>AQ1557&amp;AR1557</f>
        <v/>
      </c>
      <c r="AQ1557" s="6">
        <f>YEAR(AS1557)</f>
        <v/>
      </c>
      <c r="AR1557" s="6">
        <f>MONTH(AS1557)</f>
        <v/>
      </c>
      <c r="AS1557" s="267">
        <f>IFERROR(__xludf.DUMMYFUNCTION("""COMPUTED_VALUE"""),45366.9986111111)</f>
        <v/>
      </c>
      <c r="AT1557" s="6">
        <f>IFERROR(__xludf.DUMMYFUNCTION("""COMPUTED_VALUE"""),2161.5)</f>
        <v/>
      </c>
    </row>
    <row r="1558">
      <c r="B1558" s="6">
        <f>C1558&amp;D1558</f>
        <v/>
      </c>
      <c r="C1558" s="6">
        <f>YEAR(E1558)</f>
        <v/>
      </c>
      <c r="D1558" s="6">
        <f>MONTH(E1558)</f>
        <v/>
      </c>
      <c r="E1558" s="267">
        <f>IFERROR(__xludf.DUMMYFUNCTION("""COMPUTED_VALUE"""),45362.6666666666)</f>
        <v/>
      </c>
      <c r="F1558" s="6">
        <f>IFERROR(__xludf.DUMMYFUNCTION("""COMPUTED_VALUE"""),5117.94)</f>
        <v/>
      </c>
      <c r="J1558" s="6">
        <f>K1558&amp;L1558</f>
        <v/>
      </c>
      <c r="K1558" s="6">
        <f>YEAR(M1558)</f>
        <v/>
      </c>
      <c r="L1558" s="6">
        <f>MONTH(M1558)</f>
        <v/>
      </c>
      <c r="M1558" s="267">
        <f>IFERROR(__xludf.DUMMYFUNCTION("""COMPUTED_VALUE"""),45352.6666666666)</f>
        <v/>
      </c>
      <c r="N1558" s="6">
        <f>IFERROR(__xludf.DUMMYFUNCTION("""COMPUTED_VALUE"""),16274.94)</f>
        <v/>
      </c>
      <c r="R1558" s="6">
        <f>S1558&amp;T1558</f>
        <v/>
      </c>
      <c r="S1558" s="6">
        <f>YEAR(U1558)</f>
        <v/>
      </c>
      <c r="T1558" s="6">
        <f>MONTH(U1558)</f>
        <v/>
      </c>
      <c r="U1558" s="267">
        <f>IFERROR(__xludf.DUMMYFUNCTION("""COMPUTED_VALUE"""),45414.6458333333)</f>
        <v/>
      </c>
      <c r="V1558" s="6">
        <f>IFERROR(__xludf.DUMMYFUNCTION("""COMPUTED_VALUE"""),2683.65)</f>
        <v/>
      </c>
      <c r="Z1558" s="6">
        <f>AA1558&amp;AB1558</f>
        <v/>
      </c>
      <c r="AA1558" s="6">
        <f>YEAR(AC1558)</f>
        <v/>
      </c>
      <c r="AB1558" s="6">
        <f>MONTH(AC1558)</f>
        <v/>
      </c>
      <c r="AC1558" s="267">
        <f>IFERROR(__xludf.DUMMYFUNCTION("""COMPUTED_VALUE"""),44707.9986111111)</f>
        <v/>
      </c>
      <c r="AD1558" s="6">
        <f>IFERROR(__xludf.DUMMYFUNCTION("""COMPUTED_VALUE"""),1258.89)</f>
        <v/>
      </c>
      <c r="AH1558" s="6">
        <f>AI1558&amp;AJ1558</f>
        <v/>
      </c>
      <c r="AI1558" s="6">
        <f>YEAR(AK1558)</f>
        <v/>
      </c>
      <c r="AJ1558" s="6">
        <f>MONTH(AK1558)</f>
        <v/>
      </c>
      <c r="AK1558" s="267">
        <f>IFERROR(__xludf.DUMMYFUNCTION("""COMPUTED_VALUE"""),44651.9986111111)</f>
        <v/>
      </c>
      <c r="AL1558" s="6">
        <f>IFERROR(__xludf.DUMMYFUNCTION("""COMPUTED_VALUE"""),45521.5)</f>
        <v/>
      </c>
      <c r="AP1558" s="6">
        <f>AQ1558&amp;AR1558</f>
        <v/>
      </c>
      <c r="AQ1558" s="6">
        <f>YEAR(AS1558)</f>
        <v/>
      </c>
      <c r="AR1558" s="6">
        <f>MONTH(AS1558)</f>
        <v/>
      </c>
      <c r="AS1558" s="267">
        <f>IFERROR(__xludf.DUMMYFUNCTION("""COMPUTED_VALUE"""),45369.9986111111)</f>
        <v/>
      </c>
      <c r="AT1558" s="6">
        <f>IFERROR(__xludf.DUMMYFUNCTION("""COMPUTED_VALUE"""),2164.3)</f>
        <v/>
      </c>
    </row>
    <row r="1559">
      <c r="B1559" s="6">
        <f>C1559&amp;D1559</f>
        <v/>
      </c>
      <c r="C1559" s="6">
        <f>YEAR(E1559)</f>
        <v/>
      </c>
      <c r="D1559" s="6">
        <f>MONTH(E1559)</f>
        <v/>
      </c>
      <c r="E1559" s="267">
        <f>IFERROR(__xludf.DUMMYFUNCTION("""COMPUTED_VALUE"""),45363.6666666666)</f>
        <v/>
      </c>
      <c r="F1559" s="6">
        <f>IFERROR(__xludf.DUMMYFUNCTION("""COMPUTED_VALUE"""),5175.27)</f>
        <v/>
      </c>
      <c r="J1559" s="6">
        <f>K1559&amp;L1559</f>
        <v/>
      </c>
      <c r="K1559" s="6">
        <f>YEAR(M1559)</f>
        <v/>
      </c>
      <c r="L1559" s="6">
        <f>MONTH(M1559)</f>
        <v/>
      </c>
      <c r="M1559" s="267">
        <f>IFERROR(__xludf.DUMMYFUNCTION("""COMPUTED_VALUE"""),45355.6666666666)</f>
        <v/>
      </c>
      <c r="N1559" s="6">
        <f>IFERROR(__xludf.DUMMYFUNCTION("""COMPUTED_VALUE"""),16207.51)</f>
        <v/>
      </c>
      <c r="R1559" s="6">
        <f>S1559&amp;T1559</f>
        <v/>
      </c>
      <c r="S1559" s="6">
        <f>YEAR(U1559)</f>
        <v/>
      </c>
      <c r="T1559" s="6">
        <f>MONTH(U1559)</f>
        <v/>
      </c>
      <c r="U1559" s="267">
        <f>IFERROR(__xludf.DUMMYFUNCTION("""COMPUTED_VALUE"""),45415.6458333333)</f>
        <v/>
      </c>
      <c r="V1559" s="6">
        <f>IFERROR(__xludf.DUMMYFUNCTION("""COMPUTED_VALUE"""),2676.63)</f>
        <v/>
      </c>
      <c r="Z1559" s="6">
        <f>AA1559&amp;AB1559</f>
        <v/>
      </c>
      <c r="AA1559" s="6">
        <f>YEAR(AC1559)</f>
        <v/>
      </c>
      <c r="AB1559" s="6">
        <f>MONTH(AC1559)</f>
        <v/>
      </c>
      <c r="AC1559" s="267">
        <f>IFERROR(__xludf.DUMMYFUNCTION("""COMPUTED_VALUE"""),44708.9986111111)</f>
        <v/>
      </c>
      <c r="AD1559" s="6">
        <f>IFERROR(__xludf.DUMMYFUNCTION("""COMPUTED_VALUE"""),1252.7)</f>
        <v/>
      </c>
      <c r="AH1559" s="6">
        <f>AI1559&amp;AJ1559</f>
        <v/>
      </c>
      <c r="AI1559" s="6">
        <f>YEAR(AK1559)</f>
        <v/>
      </c>
      <c r="AJ1559" s="6">
        <f>MONTH(AK1559)</f>
        <v/>
      </c>
      <c r="AK1559" s="267">
        <f>IFERROR(__xludf.DUMMYFUNCTION("""COMPUTED_VALUE"""),44652.9986111111)</f>
        <v/>
      </c>
      <c r="AL1559" s="6">
        <f>IFERROR(__xludf.DUMMYFUNCTION("""COMPUTED_VALUE"""),46304)</f>
        <v/>
      </c>
      <c r="AP1559" s="6">
        <f>AQ1559&amp;AR1559</f>
        <v/>
      </c>
      <c r="AQ1559" s="6">
        <f>YEAR(AS1559)</f>
        <v/>
      </c>
      <c r="AR1559" s="6">
        <f>MONTH(AS1559)</f>
        <v/>
      </c>
      <c r="AS1559" s="267">
        <f>IFERROR(__xludf.DUMMYFUNCTION("""COMPUTED_VALUE"""),45370.9986111111)</f>
        <v/>
      </c>
      <c r="AT1559" s="6">
        <f>IFERROR(__xludf.DUMMYFUNCTION("""COMPUTED_VALUE"""),2181.2)</f>
        <v/>
      </c>
    </row>
    <row r="1560">
      <c r="B1560" s="6">
        <f>C1560&amp;D1560</f>
        <v/>
      </c>
      <c r="C1560" s="6">
        <f>YEAR(E1560)</f>
        <v/>
      </c>
      <c r="D1560" s="6">
        <f>MONTH(E1560)</f>
        <v/>
      </c>
      <c r="E1560" s="267">
        <f>IFERROR(__xludf.DUMMYFUNCTION("""COMPUTED_VALUE"""),45364.6666666666)</f>
        <v/>
      </c>
      <c r="F1560" s="6">
        <f>IFERROR(__xludf.DUMMYFUNCTION("""COMPUTED_VALUE"""),5165.31)</f>
        <v/>
      </c>
      <c r="J1560" s="6">
        <f>K1560&amp;L1560</f>
        <v/>
      </c>
      <c r="K1560" s="6">
        <f>YEAR(M1560)</f>
        <v/>
      </c>
      <c r="L1560" s="6">
        <f>MONTH(M1560)</f>
        <v/>
      </c>
      <c r="M1560" s="267">
        <f>IFERROR(__xludf.DUMMYFUNCTION("""COMPUTED_VALUE"""),45356.6666666666)</f>
        <v/>
      </c>
      <c r="N1560" s="6">
        <f>IFERROR(__xludf.DUMMYFUNCTION("""COMPUTED_VALUE"""),15939.59)</f>
        <v/>
      </c>
      <c r="R1560" s="6">
        <f>S1560&amp;T1560</f>
        <v/>
      </c>
      <c r="S1560" s="6">
        <f>YEAR(U1560)</f>
        <v/>
      </c>
      <c r="T1560" s="6">
        <f>MONTH(U1560)</f>
        <v/>
      </c>
      <c r="U1560" s="267">
        <f>IFERROR(__xludf.DUMMYFUNCTION("""COMPUTED_VALUE"""),45419.6458333333)</f>
        <v/>
      </c>
      <c r="V1560" s="6">
        <f>IFERROR(__xludf.DUMMYFUNCTION("""COMPUTED_VALUE"""),2734.36)</f>
        <v/>
      </c>
      <c r="Z1560" s="6">
        <f>AA1560&amp;AB1560</f>
        <v/>
      </c>
      <c r="AA1560" s="6">
        <f>YEAR(AC1560)</f>
        <v/>
      </c>
      <c r="AB1560" s="6">
        <f>MONTH(AC1560)</f>
        <v/>
      </c>
      <c r="AC1560" s="267">
        <f>IFERROR(__xludf.DUMMYFUNCTION("""COMPUTED_VALUE"""),44709.9986111111)</f>
        <v/>
      </c>
      <c r="AD1560" s="6">
        <f>IFERROR(__xludf.DUMMYFUNCTION("""COMPUTED_VALUE"""),1252.7)</f>
        <v/>
      </c>
      <c r="AH1560" s="6">
        <f>AI1560&amp;AJ1560</f>
        <v/>
      </c>
      <c r="AI1560" s="6">
        <f>YEAR(AK1560)</f>
        <v/>
      </c>
      <c r="AJ1560" s="6">
        <f>MONTH(AK1560)</f>
        <v/>
      </c>
      <c r="AK1560" s="267">
        <f>IFERROR(__xludf.DUMMYFUNCTION("""COMPUTED_VALUE"""),44653.9986111111)</f>
        <v/>
      </c>
      <c r="AL1560" s="6">
        <f>IFERROR(__xludf.DUMMYFUNCTION("""COMPUTED_VALUE"""),45806.01)</f>
        <v/>
      </c>
      <c r="AP1560" s="6">
        <f>AQ1560&amp;AR1560</f>
        <v/>
      </c>
      <c r="AQ1560" s="6">
        <f>YEAR(AS1560)</f>
        <v/>
      </c>
      <c r="AR1560" s="6">
        <f>MONTH(AS1560)</f>
        <v/>
      </c>
      <c r="AS1560" s="267">
        <f>IFERROR(__xludf.DUMMYFUNCTION("""COMPUTED_VALUE"""),45371.9986111111)</f>
        <v/>
      </c>
      <c r="AT1560" s="6">
        <f>IFERROR(__xludf.DUMMYFUNCTION("""COMPUTED_VALUE"""),2182.4)</f>
        <v/>
      </c>
    </row>
    <row r="1561">
      <c r="B1561" s="6">
        <f>C1561&amp;D1561</f>
        <v/>
      </c>
      <c r="C1561" s="6">
        <f>YEAR(E1561)</f>
        <v/>
      </c>
      <c r="D1561" s="6">
        <f>MONTH(E1561)</f>
        <v/>
      </c>
      <c r="E1561" s="267">
        <f>IFERROR(__xludf.DUMMYFUNCTION("""COMPUTED_VALUE"""),45365.6666666666)</f>
        <v/>
      </c>
      <c r="F1561" s="6">
        <f>IFERROR(__xludf.DUMMYFUNCTION("""COMPUTED_VALUE"""),5150.48)</f>
        <v/>
      </c>
      <c r="J1561" s="6">
        <f>K1561&amp;L1561</f>
        <v/>
      </c>
      <c r="K1561" s="6">
        <f>YEAR(M1561)</f>
        <v/>
      </c>
      <c r="L1561" s="6">
        <f>MONTH(M1561)</f>
        <v/>
      </c>
      <c r="M1561" s="267">
        <f>IFERROR(__xludf.DUMMYFUNCTION("""COMPUTED_VALUE"""),45357.6666666666)</f>
        <v/>
      </c>
      <c r="N1561" s="6">
        <f>IFERROR(__xludf.DUMMYFUNCTION("""COMPUTED_VALUE"""),16031.54)</f>
        <v/>
      </c>
      <c r="R1561" s="6">
        <f>S1561&amp;T1561</f>
        <v/>
      </c>
      <c r="S1561" s="6">
        <f>YEAR(U1561)</f>
        <v/>
      </c>
      <c r="T1561" s="6">
        <f>MONTH(U1561)</f>
        <v/>
      </c>
      <c r="U1561" s="267">
        <f>IFERROR(__xludf.DUMMYFUNCTION("""COMPUTED_VALUE"""),45420.6458333333)</f>
        <v/>
      </c>
      <c r="V1561" s="6">
        <f>IFERROR(__xludf.DUMMYFUNCTION("""COMPUTED_VALUE"""),2745.05)</f>
        <v/>
      </c>
      <c r="Z1561" s="6">
        <f>AA1561&amp;AB1561</f>
        <v/>
      </c>
      <c r="AA1561" s="6">
        <f>YEAR(AC1561)</f>
        <v/>
      </c>
      <c r="AB1561" s="6">
        <f>MONTH(AC1561)</f>
        <v/>
      </c>
      <c r="AC1561" s="267">
        <f>IFERROR(__xludf.DUMMYFUNCTION("""COMPUTED_VALUE"""),44710.9986111111)</f>
        <v/>
      </c>
      <c r="AD1561" s="6">
        <f>IFERROR(__xludf.DUMMYFUNCTION("""COMPUTED_VALUE"""),1251.59)</f>
        <v/>
      </c>
      <c r="AH1561" s="6">
        <f>AI1561&amp;AJ1561</f>
        <v/>
      </c>
      <c r="AI1561" s="6">
        <f>YEAR(AK1561)</f>
        <v/>
      </c>
      <c r="AJ1561" s="6">
        <f>MONTH(AK1561)</f>
        <v/>
      </c>
      <c r="AK1561" s="267">
        <f>IFERROR(__xludf.DUMMYFUNCTION("""COMPUTED_VALUE"""),44654.9986111111)</f>
        <v/>
      </c>
      <c r="AL1561" s="6">
        <f>IFERROR(__xludf.DUMMYFUNCTION("""COMPUTED_VALUE"""),46401.85)</f>
        <v/>
      </c>
      <c r="AP1561" s="6">
        <f>AQ1561&amp;AR1561</f>
        <v/>
      </c>
      <c r="AQ1561" s="6">
        <f>YEAR(AS1561)</f>
        <v/>
      </c>
      <c r="AR1561" s="6">
        <f>MONTH(AS1561)</f>
        <v/>
      </c>
      <c r="AS1561" s="267">
        <f>IFERROR(__xludf.DUMMYFUNCTION("""COMPUTED_VALUE"""),45372.9986111111)</f>
        <v/>
      </c>
      <c r="AT1561" s="6">
        <f>IFERROR(__xludf.DUMMYFUNCTION("""COMPUTED_VALUE"""),2206.5)</f>
        <v/>
      </c>
    </row>
    <row r="1562">
      <c r="B1562" s="6">
        <f>C1562&amp;D1562</f>
        <v/>
      </c>
      <c r="C1562" s="6">
        <f>YEAR(E1562)</f>
        <v/>
      </c>
      <c r="D1562" s="6">
        <f>MONTH(E1562)</f>
        <v/>
      </c>
      <c r="E1562" s="267">
        <f>IFERROR(__xludf.DUMMYFUNCTION("""COMPUTED_VALUE"""),45366.6666666666)</f>
        <v/>
      </c>
      <c r="F1562" s="6">
        <f>IFERROR(__xludf.DUMMYFUNCTION("""COMPUTED_VALUE"""),5117.09)</f>
        <v/>
      </c>
      <c r="J1562" s="6">
        <f>K1562&amp;L1562</f>
        <v/>
      </c>
      <c r="K1562" s="6">
        <f>YEAR(M1562)</f>
        <v/>
      </c>
      <c r="L1562" s="6">
        <f>MONTH(M1562)</f>
        <v/>
      </c>
      <c r="M1562" s="267">
        <f>IFERROR(__xludf.DUMMYFUNCTION("""COMPUTED_VALUE"""),45358.6666666666)</f>
        <v/>
      </c>
      <c r="N1562" s="6">
        <f>IFERROR(__xludf.DUMMYFUNCTION("""COMPUTED_VALUE"""),16273.38)</f>
        <v/>
      </c>
      <c r="R1562" s="6">
        <f>S1562&amp;T1562</f>
        <v/>
      </c>
      <c r="S1562" s="6">
        <f>YEAR(U1562)</f>
        <v/>
      </c>
      <c r="T1562" s="6">
        <f>MONTH(U1562)</f>
        <v/>
      </c>
      <c r="U1562" s="267">
        <f>IFERROR(__xludf.DUMMYFUNCTION("""COMPUTED_VALUE"""),45421.6458333333)</f>
        <v/>
      </c>
      <c r="V1562" s="6">
        <f>IFERROR(__xludf.DUMMYFUNCTION("""COMPUTED_VALUE"""),2712.14)</f>
        <v/>
      </c>
      <c r="Z1562" s="6">
        <f>AA1562&amp;AB1562</f>
        <v/>
      </c>
      <c r="AA1562" s="6">
        <f>YEAR(AC1562)</f>
        <v/>
      </c>
      <c r="AB1562" s="6">
        <f>MONTH(AC1562)</f>
        <v/>
      </c>
      <c r="AC1562" s="267">
        <f>IFERROR(__xludf.DUMMYFUNCTION("""COMPUTED_VALUE"""),44711.9986111111)</f>
        <v/>
      </c>
      <c r="AD1562" s="6">
        <f>IFERROR(__xludf.DUMMYFUNCTION("""COMPUTED_VALUE"""),1236.17)</f>
        <v/>
      </c>
      <c r="AH1562" s="6">
        <f>AI1562&amp;AJ1562</f>
        <v/>
      </c>
      <c r="AI1562" s="6">
        <f>YEAR(AK1562)</f>
        <v/>
      </c>
      <c r="AJ1562" s="6">
        <f>MONTH(AK1562)</f>
        <v/>
      </c>
      <c r="AK1562" s="267">
        <f>IFERROR(__xludf.DUMMYFUNCTION("""COMPUTED_VALUE"""),44655.9986111111)</f>
        <v/>
      </c>
      <c r="AL1562" s="6">
        <f>IFERROR(__xludf.DUMMYFUNCTION("""COMPUTED_VALUE"""),46603.81)</f>
        <v/>
      </c>
      <c r="AP1562" s="6">
        <f>AQ1562&amp;AR1562</f>
        <v/>
      </c>
      <c r="AQ1562" s="6">
        <f>YEAR(AS1562)</f>
        <v/>
      </c>
      <c r="AR1562" s="6">
        <f>MONTH(AS1562)</f>
        <v/>
      </c>
      <c r="AS1562" s="267">
        <f>IFERROR(__xludf.DUMMYFUNCTION("""COMPUTED_VALUE"""),45373.9986111111)</f>
        <v/>
      </c>
      <c r="AT1562" s="6">
        <f>IFERROR(__xludf.DUMMYFUNCTION("""COMPUTED_VALUE"""),2181.6)</f>
        <v/>
      </c>
    </row>
    <row r="1563">
      <c r="B1563" s="6">
        <f>C1563&amp;D1563</f>
        <v/>
      </c>
      <c r="C1563" s="6">
        <f>YEAR(E1563)</f>
        <v/>
      </c>
      <c r="D1563" s="6">
        <f>MONTH(E1563)</f>
        <v/>
      </c>
      <c r="E1563" s="267">
        <f>IFERROR(__xludf.DUMMYFUNCTION("""COMPUTED_VALUE"""),45369.6666666666)</f>
        <v/>
      </c>
      <c r="F1563" s="6">
        <f>IFERROR(__xludf.DUMMYFUNCTION("""COMPUTED_VALUE"""),5149.42)</f>
        <v/>
      </c>
      <c r="J1563" s="6">
        <f>K1563&amp;L1563</f>
        <v/>
      </c>
      <c r="K1563" s="6">
        <f>YEAR(M1563)</f>
        <v/>
      </c>
      <c r="L1563" s="6">
        <f>MONTH(M1563)</f>
        <v/>
      </c>
      <c r="M1563" s="267">
        <f>IFERROR(__xludf.DUMMYFUNCTION("""COMPUTED_VALUE"""),45359.6666666666)</f>
        <v/>
      </c>
      <c r="N1563" s="6">
        <f>IFERROR(__xludf.DUMMYFUNCTION("""COMPUTED_VALUE"""),16085.11)</f>
        <v/>
      </c>
      <c r="R1563" s="6">
        <f>S1563&amp;T1563</f>
        <v/>
      </c>
      <c r="S1563" s="6">
        <f>YEAR(U1563)</f>
        <v/>
      </c>
      <c r="T1563" s="6">
        <f>MONTH(U1563)</f>
        <v/>
      </c>
      <c r="U1563" s="267">
        <f>IFERROR(__xludf.DUMMYFUNCTION("""COMPUTED_VALUE"""),45422.6458333333)</f>
        <v/>
      </c>
      <c r="V1563" s="6">
        <f>IFERROR(__xludf.DUMMYFUNCTION("""COMPUTED_VALUE"""),2727.63)</f>
        <v/>
      </c>
      <c r="Z1563" s="6">
        <f>AA1563&amp;AB1563</f>
        <v/>
      </c>
      <c r="AA1563" s="6">
        <f>YEAR(AC1563)</f>
        <v/>
      </c>
      <c r="AB1563" s="6">
        <f>MONTH(AC1563)</f>
        <v/>
      </c>
      <c r="AC1563" s="267">
        <f>IFERROR(__xludf.DUMMYFUNCTION("""COMPUTED_VALUE"""),44712.9986111111)</f>
        <v/>
      </c>
      <c r="AD1563" s="6">
        <f>IFERROR(__xludf.DUMMYFUNCTION("""COMPUTED_VALUE"""),1241.74)</f>
        <v/>
      </c>
      <c r="AH1563" s="6">
        <f>AI1563&amp;AJ1563</f>
        <v/>
      </c>
      <c r="AI1563" s="6">
        <f>YEAR(AK1563)</f>
        <v/>
      </c>
      <c r="AJ1563" s="6">
        <f>MONTH(AK1563)</f>
        <v/>
      </c>
      <c r="AK1563" s="267">
        <f>IFERROR(__xludf.DUMMYFUNCTION("""COMPUTED_VALUE"""),44656.9986111111)</f>
        <v/>
      </c>
      <c r="AL1563" s="6">
        <f>IFERROR(__xludf.DUMMYFUNCTION("""COMPUTED_VALUE"""),45500.39)</f>
        <v/>
      </c>
      <c r="AP1563" s="6">
        <f>AQ1563&amp;AR1563</f>
        <v/>
      </c>
      <c r="AQ1563" s="6">
        <f>YEAR(AS1563)</f>
        <v/>
      </c>
      <c r="AR1563" s="6">
        <f>MONTH(AS1563)</f>
        <v/>
      </c>
      <c r="AS1563" s="267">
        <f>IFERROR(__xludf.DUMMYFUNCTION("""COMPUTED_VALUE"""),45376.9986111111)</f>
        <v/>
      </c>
      <c r="AT1563" s="6">
        <f>IFERROR(__xludf.DUMMYFUNCTION("""COMPUTED_VALUE"""),2198.2)</f>
        <v/>
      </c>
    </row>
    <row r="1564">
      <c r="B1564" s="6">
        <f>C1564&amp;D1564</f>
        <v/>
      </c>
      <c r="C1564" s="6">
        <f>YEAR(E1564)</f>
        <v/>
      </c>
      <c r="D1564" s="6">
        <f>MONTH(E1564)</f>
        <v/>
      </c>
      <c r="E1564" s="267">
        <f>IFERROR(__xludf.DUMMYFUNCTION("""COMPUTED_VALUE"""),45370.6666666666)</f>
        <v/>
      </c>
      <c r="F1564" s="6">
        <f>IFERROR(__xludf.DUMMYFUNCTION("""COMPUTED_VALUE"""),5178.51)</f>
        <v/>
      </c>
      <c r="J1564" s="6">
        <f>K1564&amp;L1564</f>
        <v/>
      </c>
      <c r="K1564" s="6">
        <f>YEAR(M1564)</f>
        <v/>
      </c>
      <c r="L1564" s="6">
        <f>MONTH(M1564)</f>
        <v/>
      </c>
      <c r="M1564" s="267">
        <f>IFERROR(__xludf.DUMMYFUNCTION("""COMPUTED_VALUE"""),45362.6666666666)</f>
        <v/>
      </c>
      <c r="N1564" s="6">
        <f>IFERROR(__xludf.DUMMYFUNCTION("""COMPUTED_VALUE"""),16019.27)</f>
        <v/>
      </c>
      <c r="R1564" s="6">
        <f>S1564&amp;T1564</f>
        <v/>
      </c>
      <c r="S1564" s="6">
        <f>YEAR(U1564)</f>
        <v/>
      </c>
      <c r="T1564" s="6">
        <f>MONTH(U1564)</f>
        <v/>
      </c>
      <c r="U1564" s="267">
        <f>IFERROR(__xludf.DUMMYFUNCTION("""COMPUTED_VALUE"""),45425.6458333333)</f>
        <v/>
      </c>
      <c r="V1564" s="6">
        <f>IFERROR(__xludf.DUMMYFUNCTION("""COMPUTED_VALUE"""),2727.21)</f>
        <v/>
      </c>
      <c r="Z1564" s="6">
        <f>AA1564&amp;AB1564</f>
        <v/>
      </c>
      <c r="AA1564" s="6">
        <f>YEAR(AC1564)</f>
        <v/>
      </c>
      <c r="AB1564" s="6">
        <f>MONTH(AC1564)</f>
        <v/>
      </c>
      <c r="AC1564" s="267">
        <f>IFERROR(__xludf.DUMMYFUNCTION("""COMPUTED_VALUE"""),44713.9986111111)</f>
        <v/>
      </c>
      <c r="AD1564" s="6">
        <f>IFERROR(__xludf.DUMMYFUNCTION("""COMPUTED_VALUE"""),1246.95)</f>
        <v/>
      </c>
      <c r="AH1564" s="6">
        <f>AI1564&amp;AJ1564</f>
        <v/>
      </c>
      <c r="AI1564" s="6">
        <f>YEAR(AK1564)</f>
        <v/>
      </c>
      <c r="AJ1564" s="6">
        <f>MONTH(AK1564)</f>
        <v/>
      </c>
      <c r="AK1564" s="267">
        <f>IFERROR(__xludf.DUMMYFUNCTION("""COMPUTED_VALUE"""),44657.9986111111)</f>
        <v/>
      </c>
      <c r="AL1564" s="6">
        <f>IFERROR(__xludf.DUMMYFUNCTION("""COMPUTED_VALUE"""),43185.37)</f>
        <v/>
      </c>
      <c r="AP1564" s="6">
        <f>AQ1564&amp;AR1564</f>
        <v/>
      </c>
      <c r="AQ1564" s="6">
        <f>YEAR(AS1564)</f>
        <v/>
      </c>
      <c r="AR1564" s="6">
        <f>MONTH(AS1564)</f>
        <v/>
      </c>
      <c r="AS1564" s="267">
        <f>IFERROR(__xludf.DUMMYFUNCTION("""COMPUTED_VALUE"""),45377.9986111111)</f>
        <v/>
      </c>
      <c r="AT1564" s="6">
        <f>IFERROR(__xludf.DUMMYFUNCTION("""COMPUTED_VALUE"""),2199.2)</f>
        <v/>
      </c>
    </row>
    <row r="1565">
      <c r="B1565" s="6">
        <f>C1565&amp;D1565</f>
        <v/>
      </c>
      <c r="C1565" s="6">
        <f>YEAR(E1565)</f>
        <v/>
      </c>
      <c r="D1565" s="6">
        <f>MONTH(E1565)</f>
        <v/>
      </c>
      <c r="E1565" s="267">
        <f>IFERROR(__xludf.DUMMYFUNCTION("""COMPUTED_VALUE"""),45371.6666666666)</f>
        <v/>
      </c>
      <c r="F1565" s="6">
        <f>IFERROR(__xludf.DUMMYFUNCTION("""COMPUTED_VALUE"""),5224.62)</f>
        <v/>
      </c>
      <c r="J1565" s="6">
        <f>K1565&amp;L1565</f>
        <v/>
      </c>
      <c r="K1565" s="6">
        <f>YEAR(M1565)</f>
        <v/>
      </c>
      <c r="L1565" s="6">
        <f>MONTH(M1565)</f>
        <v/>
      </c>
      <c r="M1565" s="267">
        <f>IFERROR(__xludf.DUMMYFUNCTION("""COMPUTED_VALUE"""),45363.6666666666)</f>
        <v/>
      </c>
      <c r="N1565" s="6">
        <f>IFERROR(__xludf.DUMMYFUNCTION("""COMPUTED_VALUE"""),16265.64)</f>
        <v/>
      </c>
      <c r="R1565" s="6">
        <f>S1565&amp;T1565</f>
        <v/>
      </c>
      <c r="S1565" s="6">
        <f>YEAR(U1565)</f>
        <v/>
      </c>
      <c r="T1565" s="6">
        <f>MONTH(U1565)</f>
        <v/>
      </c>
      <c r="U1565" s="267">
        <f>IFERROR(__xludf.DUMMYFUNCTION("""COMPUTED_VALUE"""),45426.6458333333)</f>
        <v/>
      </c>
      <c r="V1565" s="6">
        <f>IFERROR(__xludf.DUMMYFUNCTION("""COMPUTED_VALUE"""),2730.34)</f>
        <v/>
      </c>
      <c r="Z1565" s="6">
        <f>AA1565&amp;AB1565</f>
        <v/>
      </c>
      <c r="AA1565" s="6">
        <f>YEAR(AC1565)</f>
        <v/>
      </c>
      <c r="AB1565" s="6">
        <f>MONTH(AC1565)</f>
        <v/>
      </c>
      <c r="AC1565" s="267">
        <f>IFERROR(__xludf.DUMMYFUNCTION("""COMPUTED_VALUE"""),44714.9986111111)</f>
        <v/>
      </c>
      <c r="AD1565" s="6">
        <f>IFERROR(__xludf.DUMMYFUNCTION("""COMPUTED_VALUE"""),1240.84)</f>
        <v/>
      </c>
      <c r="AH1565" s="6">
        <f>AI1565&amp;AJ1565</f>
        <v/>
      </c>
      <c r="AI1565" s="6">
        <f>YEAR(AK1565)</f>
        <v/>
      </c>
      <c r="AJ1565" s="6">
        <f>MONTH(AK1565)</f>
        <v/>
      </c>
      <c r="AK1565" s="267">
        <f>IFERROR(__xludf.DUMMYFUNCTION("""COMPUTED_VALUE"""),44658.9986111111)</f>
        <v/>
      </c>
      <c r="AL1565" s="6">
        <f>IFERROR(__xludf.DUMMYFUNCTION("""COMPUTED_VALUE"""),43464.14)</f>
        <v/>
      </c>
      <c r="AP1565" s="6">
        <f>AQ1565&amp;AR1565</f>
        <v/>
      </c>
      <c r="AQ1565" s="6">
        <f>YEAR(AS1565)</f>
        <v/>
      </c>
      <c r="AR1565" s="6">
        <f>MONTH(AS1565)</f>
        <v/>
      </c>
      <c r="AS1565" s="267">
        <f>IFERROR(__xludf.DUMMYFUNCTION("""COMPUTED_VALUE"""),45378.9986111111)</f>
        <v/>
      </c>
      <c r="AT1565" s="6">
        <f>IFERROR(__xludf.DUMMYFUNCTION("""COMPUTED_VALUE"""),2212.7)</f>
        <v/>
      </c>
    </row>
    <row r="1566">
      <c r="B1566" s="6">
        <f>C1566&amp;D1566</f>
        <v/>
      </c>
      <c r="C1566" s="6">
        <f>YEAR(E1566)</f>
        <v/>
      </c>
      <c r="D1566" s="6">
        <f>MONTH(E1566)</f>
        <v/>
      </c>
      <c r="E1566" s="267">
        <f>IFERROR(__xludf.DUMMYFUNCTION("""COMPUTED_VALUE"""),45372.6666666666)</f>
        <v/>
      </c>
      <c r="F1566" s="6">
        <f>IFERROR(__xludf.DUMMYFUNCTION("""COMPUTED_VALUE"""),5241.53)</f>
        <v/>
      </c>
      <c r="J1566" s="6">
        <f>K1566&amp;L1566</f>
        <v/>
      </c>
      <c r="K1566" s="6">
        <f>YEAR(M1566)</f>
        <v/>
      </c>
      <c r="L1566" s="6">
        <f>MONTH(M1566)</f>
        <v/>
      </c>
      <c r="M1566" s="267">
        <f>IFERROR(__xludf.DUMMYFUNCTION("""COMPUTED_VALUE"""),45364.6666666666)</f>
        <v/>
      </c>
      <c r="N1566" s="6">
        <f>IFERROR(__xludf.DUMMYFUNCTION("""COMPUTED_VALUE"""),16177.77)</f>
        <v/>
      </c>
      <c r="R1566" s="6">
        <f>S1566&amp;T1566</f>
        <v/>
      </c>
      <c r="S1566" s="6">
        <f>YEAR(U1566)</f>
        <v/>
      </c>
      <c r="T1566" s="6">
        <f>MONTH(U1566)</f>
        <v/>
      </c>
      <c r="U1566" s="267">
        <f>IFERROR(__xludf.DUMMYFUNCTION("""COMPUTED_VALUE"""),45428.6458333333)</f>
        <v/>
      </c>
      <c r="V1566" s="6">
        <f>IFERROR(__xludf.DUMMYFUNCTION("""COMPUTED_VALUE"""),2753)</f>
        <v/>
      </c>
      <c r="Z1566" s="6">
        <f>AA1566&amp;AB1566</f>
        <v/>
      </c>
      <c r="AA1566" s="6">
        <f>YEAR(AC1566)</f>
        <v/>
      </c>
      <c r="AB1566" s="6">
        <f>MONTH(AC1566)</f>
        <v/>
      </c>
      <c r="AC1566" s="267">
        <f>IFERROR(__xludf.DUMMYFUNCTION("""COMPUTED_VALUE"""),44715.9986111111)</f>
        <v/>
      </c>
      <c r="AD1566" s="6">
        <f>IFERROR(__xludf.DUMMYFUNCTION("""COMPUTED_VALUE"""),1251.4)</f>
        <v/>
      </c>
      <c r="AH1566" s="6">
        <f>AI1566&amp;AJ1566</f>
        <v/>
      </c>
      <c r="AI1566" s="6">
        <f>YEAR(AK1566)</f>
        <v/>
      </c>
      <c r="AJ1566" s="6">
        <f>MONTH(AK1566)</f>
        <v/>
      </c>
      <c r="AK1566" s="267">
        <f>IFERROR(__xludf.DUMMYFUNCTION("""COMPUTED_VALUE"""),44659.9986111111)</f>
        <v/>
      </c>
      <c r="AL1566" s="6">
        <f>IFERROR(__xludf.DUMMYFUNCTION("""COMPUTED_VALUE"""),42265.17)</f>
        <v/>
      </c>
      <c r="AP1566" s="6">
        <f>AQ1566&amp;AR1566</f>
        <v/>
      </c>
      <c r="AQ1566" s="6">
        <f>YEAR(AS1566)</f>
        <v/>
      </c>
      <c r="AR1566" s="6">
        <f>MONTH(AS1566)</f>
        <v/>
      </c>
      <c r="AS1566" s="267">
        <f>IFERROR(__xludf.DUMMYFUNCTION("""COMPUTED_VALUE"""),45379.9986111111)</f>
        <v/>
      </c>
      <c r="AT1566" s="6">
        <f>IFERROR(__xludf.DUMMYFUNCTION("""COMPUTED_VALUE"""),2238.4)</f>
        <v/>
      </c>
    </row>
    <row r="1567">
      <c r="B1567" s="6">
        <f>C1567&amp;D1567</f>
        <v/>
      </c>
      <c r="C1567" s="6">
        <f>YEAR(E1567)</f>
        <v/>
      </c>
      <c r="D1567" s="6">
        <f>MONTH(E1567)</f>
        <v/>
      </c>
      <c r="E1567" s="267">
        <f>IFERROR(__xludf.DUMMYFUNCTION("""COMPUTED_VALUE"""),45373.6666666666)</f>
        <v/>
      </c>
      <c r="F1567" s="6">
        <f>IFERROR(__xludf.DUMMYFUNCTION("""COMPUTED_VALUE"""),5234.18)</f>
        <v/>
      </c>
      <c r="J1567" s="6">
        <f>K1567&amp;L1567</f>
        <v/>
      </c>
      <c r="K1567" s="6">
        <f>YEAR(M1567)</f>
        <v/>
      </c>
      <c r="L1567" s="6">
        <f>MONTH(M1567)</f>
        <v/>
      </c>
      <c r="M1567" s="267">
        <f>IFERROR(__xludf.DUMMYFUNCTION("""COMPUTED_VALUE"""),45365.6666666666)</f>
        <v/>
      </c>
      <c r="N1567" s="6">
        <f>IFERROR(__xludf.DUMMYFUNCTION("""COMPUTED_VALUE"""),16128.53)</f>
        <v/>
      </c>
      <c r="R1567" s="6">
        <f>S1567&amp;T1567</f>
        <v/>
      </c>
      <c r="S1567" s="6">
        <f>YEAR(U1567)</f>
        <v/>
      </c>
      <c r="T1567" s="6">
        <f>MONTH(U1567)</f>
        <v/>
      </c>
      <c r="U1567" s="267">
        <f>IFERROR(__xludf.DUMMYFUNCTION("""COMPUTED_VALUE"""),45429.6458333333)</f>
        <v/>
      </c>
      <c r="V1567" s="6">
        <f>IFERROR(__xludf.DUMMYFUNCTION("""COMPUTED_VALUE"""),2724.62)</f>
        <v/>
      </c>
      <c r="Z1567" s="6">
        <f>AA1567&amp;AB1567</f>
        <v/>
      </c>
      <c r="AA1567" s="6">
        <f>YEAR(AC1567)</f>
        <v/>
      </c>
      <c r="AB1567" s="6">
        <f>MONTH(AC1567)</f>
        <v/>
      </c>
      <c r="AC1567" s="267">
        <f>IFERROR(__xludf.DUMMYFUNCTION("""COMPUTED_VALUE"""),44716.9986111111)</f>
        <v/>
      </c>
      <c r="AD1567" s="6">
        <f>IFERROR(__xludf.DUMMYFUNCTION("""COMPUTED_VALUE"""),1250.4)</f>
        <v/>
      </c>
      <c r="AH1567" s="6">
        <f>AI1567&amp;AJ1567</f>
        <v/>
      </c>
      <c r="AI1567" s="6">
        <f>YEAR(AK1567)</f>
        <v/>
      </c>
      <c r="AJ1567" s="6">
        <f>MONTH(AK1567)</f>
        <v/>
      </c>
      <c r="AK1567" s="267">
        <f>IFERROR(__xludf.DUMMYFUNCTION("""COMPUTED_VALUE"""),44660.9986111111)</f>
        <v/>
      </c>
      <c r="AL1567" s="6">
        <f>IFERROR(__xludf.DUMMYFUNCTION("""COMPUTED_VALUE"""),42761.67)</f>
        <v/>
      </c>
      <c r="AP1567" s="6">
        <f>AQ1567&amp;AR1567</f>
        <v/>
      </c>
      <c r="AQ1567" s="6">
        <f>YEAR(AS1567)</f>
        <v/>
      </c>
      <c r="AR1567" s="6">
        <f>MONTH(AS1567)</f>
        <v/>
      </c>
      <c r="AS1567" s="267">
        <f>IFERROR(__xludf.DUMMYFUNCTION("""COMPUTED_VALUE"""),45383.9986111111)</f>
        <v/>
      </c>
      <c r="AT1567" s="6">
        <f>IFERROR(__xludf.DUMMYFUNCTION("""COMPUTED_VALUE"""),2257.1)</f>
        <v/>
      </c>
    </row>
    <row r="1568">
      <c r="B1568" s="6">
        <f>C1568&amp;D1568</f>
        <v/>
      </c>
      <c r="C1568" s="6">
        <f>YEAR(E1568)</f>
        <v/>
      </c>
      <c r="D1568" s="6">
        <f>MONTH(E1568)</f>
        <v/>
      </c>
      <c r="E1568" s="267">
        <f>IFERROR(__xludf.DUMMYFUNCTION("""COMPUTED_VALUE"""),45376.6666666666)</f>
        <v/>
      </c>
      <c r="F1568" s="6">
        <f>IFERROR(__xludf.DUMMYFUNCTION("""COMPUTED_VALUE"""),5218.19)</f>
        <v/>
      </c>
      <c r="J1568" s="6">
        <f>K1568&amp;L1568</f>
        <v/>
      </c>
      <c r="K1568" s="6">
        <f>YEAR(M1568)</f>
        <v/>
      </c>
      <c r="L1568" s="6">
        <f>MONTH(M1568)</f>
        <v/>
      </c>
      <c r="M1568" s="267">
        <f>IFERROR(__xludf.DUMMYFUNCTION("""COMPUTED_VALUE"""),45366.6666666666)</f>
        <v/>
      </c>
      <c r="N1568" s="6">
        <f>IFERROR(__xludf.DUMMYFUNCTION("""COMPUTED_VALUE"""),15973.17)</f>
        <v/>
      </c>
      <c r="R1568" s="6">
        <f>S1568&amp;T1568</f>
        <v/>
      </c>
      <c r="S1568" s="6">
        <f>YEAR(U1568)</f>
        <v/>
      </c>
      <c r="T1568" s="6">
        <f>MONTH(U1568)</f>
        <v/>
      </c>
      <c r="U1568" s="267">
        <f>IFERROR(__xludf.DUMMYFUNCTION("""COMPUTED_VALUE"""),45432.6458333333)</f>
        <v/>
      </c>
      <c r="V1568" s="6">
        <f>IFERROR(__xludf.DUMMYFUNCTION("""COMPUTED_VALUE"""),2742.14)</f>
        <v/>
      </c>
      <c r="Z1568" s="6">
        <f>AA1568&amp;AB1568</f>
        <v/>
      </c>
      <c r="AA1568" s="6">
        <f>YEAR(AC1568)</f>
        <v/>
      </c>
      <c r="AB1568" s="6">
        <f>MONTH(AC1568)</f>
        <v/>
      </c>
      <c r="AC1568" s="267">
        <f>IFERROR(__xludf.DUMMYFUNCTION("""COMPUTED_VALUE"""),44717.9986111111)</f>
        <v/>
      </c>
      <c r="AD1568" s="6">
        <f>IFERROR(__xludf.DUMMYFUNCTION("""COMPUTED_VALUE"""),1250.53)</f>
        <v/>
      </c>
      <c r="AH1568" s="6">
        <f>AI1568&amp;AJ1568</f>
        <v/>
      </c>
      <c r="AI1568" s="6">
        <f>YEAR(AK1568)</f>
        <v/>
      </c>
      <c r="AJ1568" s="6">
        <f>MONTH(AK1568)</f>
        <v/>
      </c>
      <c r="AK1568" s="267">
        <f>IFERROR(__xludf.DUMMYFUNCTION("""COMPUTED_VALUE"""),44661.9986111111)</f>
        <v/>
      </c>
      <c r="AL1568" s="6">
        <f>IFERROR(__xludf.DUMMYFUNCTION("""COMPUTED_VALUE"""),42152.54)</f>
        <v/>
      </c>
      <c r="AP1568" s="6">
        <f>AQ1568&amp;AR1568</f>
        <v/>
      </c>
      <c r="AQ1568" s="6">
        <f>YEAR(AS1568)</f>
        <v/>
      </c>
      <c r="AR1568" s="6">
        <f>MONTH(AS1568)</f>
        <v/>
      </c>
      <c r="AS1568" s="267">
        <f>IFERROR(__xludf.DUMMYFUNCTION("""COMPUTED_VALUE"""),45384.9986111111)</f>
        <v/>
      </c>
      <c r="AT1568" s="6">
        <f>IFERROR(__xludf.DUMMYFUNCTION("""COMPUTED_VALUE"""),2281.8)</f>
        <v/>
      </c>
    </row>
    <row r="1569">
      <c r="B1569" s="6">
        <f>C1569&amp;D1569</f>
        <v/>
      </c>
      <c r="C1569" s="6">
        <f>YEAR(E1569)</f>
        <v/>
      </c>
      <c r="D1569" s="6">
        <f>MONTH(E1569)</f>
        <v/>
      </c>
      <c r="E1569" s="267">
        <f>IFERROR(__xludf.DUMMYFUNCTION("""COMPUTED_VALUE"""),45377.6666666666)</f>
        <v/>
      </c>
      <c r="F1569" s="6">
        <f>IFERROR(__xludf.DUMMYFUNCTION("""COMPUTED_VALUE"""),5203.58)</f>
        <v/>
      </c>
      <c r="J1569" s="6">
        <f>K1569&amp;L1569</f>
        <v/>
      </c>
      <c r="K1569" s="6">
        <f>YEAR(M1569)</f>
        <v/>
      </c>
      <c r="L1569" s="6">
        <f>MONTH(M1569)</f>
        <v/>
      </c>
      <c r="M1569" s="267">
        <f>IFERROR(__xludf.DUMMYFUNCTION("""COMPUTED_VALUE"""),45369.6666666666)</f>
        <v/>
      </c>
      <c r="N1569" s="6">
        <f>IFERROR(__xludf.DUMMYFUNCTION("""COMPUTED_VALUE"""),16103.45)</f>
        <v/>
      </c>
      <c r="R1569" s="6">
        <f>S1569&amp;T1569</f>
        <v/>
      </c>
      <c r="S1569" s="6">
        <f>YEAR(U1569)</f>
        <v/>
      </c>
      <c r="T1569" s="6">
        <f>MONTH(U1569)</f>
        <v/>
      </c>
      <c r="U1569" s="267">
        <f>IFERROR(__xludf.DUMMYFUNCTION("""COMPUTED_VALUE"""),45433.6458333333)</f>
        <v/>
      </c>
      <c r="V1569" s="6">
        <f>IFERROR(__xludf.DUMMYFUNCTION("""COMPUTED_VALUE"""),2724.18)</f>
        <v/>
      </c>
      <c r="Z1569" s="6">
        <f>AA1569&amp;AB1569</f>
        <v/>
      </c>
      <c r="AA1569" s="6">
        <f>YEAR(AC1569)</f>
        <v/>
      </c>
      <c r="AB1569" s="6">
        <f>MONTH(AC1569)</f>
        <v/>
      </c>
      <c r="AC1569" s="267">
        <f>IFERROR(__xludf.DUMMYFUNCTION("""COMPUTED_VALUE"""),44718.9986111111)</f>
        <v/>
      </c>
      <c r="AD1569" s="6">
        <f>IFERROR(__xludf.DUMMYFUNCTION("""COMPUTED_VALUE"""),1254.48)</f>
        <v/>
      </c>
      <c r="AH1569" s="6">
        <f>AI1569&amp;AJ1569</f>
        <v/>
      </c>
      <c r="AI1569" s="6">
        <f>YEAR(AK1569)</f>
        <v/>
      </c>
      <c r="AJ1569" s="6">
        <f>MONTH(AK1569)</f>
        <v/>
      </c>
      <c r="AK1569" s="267">
        <f>IFERROR(__xludf.DUMMYFUNCTION("""COMPUTED_VALUE"""),44662.9986111111)</f>
        <v/>
      </c>
      <c r="AL1569" s="6">
        <f>IFERROR(__xludf.DUMMYFUNCTION("""COMPUTED_VALUE"""),39497.65)</f>
        <v/>
      </c>
      <c r="AP1569" s="6">
        <f>AQ1569&amp;AR1569</f>
        <v/>
      </c>
      <c r="AQ1569" s="6">
        <f>YEAR(AS1569)</f>
        <v/>
      </c>
      <c r="AR1569" s="6">
        <f>MONTH(AS1569)</f>
        <v/>
      </c>
      <c r="AS1569" s="267">
        <f>IFERROR(__xludf.DUMMYFUNCTION("""COMPUTED_VALUE"""),45385.9986111111)</f>
        <v/>
      </c>
      <c r="AT1569" s="6">
        <f>IFERROR(__xludf.DUMMYFUNCTION("""COMPUTED_VALUE"""),2315)</f>
        <v/>
      </c>
    </row>
    <row r="1570">
      <c r="B1570" s="6">
        <f>C1570&amp;D1570</f>
        <v/>
      </c>
      <c r="C1570" s="6">
        <f>YEAR(E1570)</f>
        <v/>
      </c>
      <c r="D1570" s="6">
        <f>MONTH(E1570)</f>
        <v/>
      </c>
      <c r="E1570" s="267">
        <f>IFERROR(__xludf.DUMMYFUNCTION("""COMPUTED_VALUE"""),45378.6666666666)</f>
        <v/>
      </c>
      <c r="F1570" s="6">
        <f>IFERROR(__xludf.DUMMYFUNCTION("""COMPUTED_VALUE"""),5248.49)</f>
        <v/>
      </c>
      <c r="J1570" s="6">
        <f>K1570&amp;L1570</f>
        <v/>
      </c>
      <c r="K1570" s="6">
        <f>YEAR(M1570)</f>
        <v/>
      </c>
      <c r="L1570" s="6">
        <f>MONTH(M1570)</f>
        <v/>
      </c>
      <c r="M1570" s="267">
        <f>IFERROR(__xludf.DUMMYFUNCTION("""COMPUTED_VALUE"""),45370.6666666666)</f>
        <v/>
      </c>
      <c r="N1570" s="6">
        <f>IFERROR(__xludf.DUMMYFUNCTION("""COMPUTED_VALUE"""),16166.79)</f>
        <v/>
      </c>
      <c r="R1570" s="6">
        <f>S1570&amp;T1570</f>
        <v/>
      </c>
      <c r="S1570" s="6">
        <f>YEAR(U1570)</f>
        <v/>
      </c>
      <c r="T1570" s="6">
        <f>MONTH(U1570)</f>
        <v/>
      </c>
      <c r="U1570" s="267">
        <f>IFERROR(__xludf.DUMMYFUNCTION("""COMPUTED_VALUE"""),45434.6458333333)</f>
        <v/>
      </c>
      <c r="V1570" s="6">
        <f>IFERROR(__xludf.DUMMYFUNCTION("""COMPUTED_VALUE"""),2723.46)</f>
        <v/>
      </c>
      <c r="Z1570" s="6">
        <f>AA1570&amp;AB1570</f>
        <v/>
      </c>
      <c r="AA1570" s="6">
        <f>YEAR(AC1570)</f>
        <v/>
      </c>
      <c r="AB1570" s="6">
        <f>MONTH(AC1570)</f>
        <v/>
      </c>
      <c r="AC1570" s="267">
        <f>IFERROR(__xludf.DUMMYFUNCTION("""COMPUTED_VALUE"""),44719.9986111111)</f>
        <v/>
      </c>
      <c r="AD1570" s="6">
        <f>IFERROR(__xludf.DUMMYFUNCTION("""COMPUTED_VALUE"""),1254.58)</f>
        <v/>
      </c>
      <c r="AH1570" s="6">
        <f>AI1570&amp;AJ1570</f>
        <v/>
      </c>
      <c r="AI1570" s="6">
        <f>YEAR(AK1570)</f>
        <v/>
      </c>
      <c r="AJ1570" s="6">
        <f>MONTH(AK1570)</f>
        <v/>
      </c>
      <c r="AK1570" s="267">
        <f>IFERROR(__xludf.DUMMYFUNCTION("""COMPUTED_VALUE"""),44663.9986111111)</f>
        <v/>
      </c>
      <c r="AL1570" s="6">
        <f>IFERROR(__xludf.DUMMYFUNCTION("""COMPUTED_VALUE"""),40079.43)</f>
        <v/>
      </c>
      <c r="AP1570" s="6">
        <f>AQ1570&amp;AR1570</f>
        <v/>
      </c>
      <c r="AQ1570" s="6">
        <f>YEAR(AS1570)</f>
        <v/>
      </c>
      <c r="AR1570" s="6">
        <f>MONTH(AS1570)</f>
        <v/>
      </c>
      <c r="AS1570" s="267">
        <f>IFERROR(__xludf.DUMMYFUNCTION("""COMPUTED_VALUE"""),45386.9986111111)</f>
        <v/>
      </c>
      <c r="AT1570" s="6">
        <f>IFERROR(__xludf.DUMMYFUNCTION("""COMPUTED_VALUE"""),2308.5)</f>
        <v/>
      </c>
    </row>
    <row r="1571">
      <c r="B1571" s="6">
        <f>C1571&amp;D1571</f>
        <v/>
      </c>
      <c r="C1571" s="6">
        <f>YEAR(E1571)</f>
        <v/>
      </c>
      <c r="D1571" s="6">
        <f>MONTH(E1571)</f>
        <v/>
      </c>
      <c r="E1571" s="267">
        <f>IFERROR(__xludf.DUMMYFUNCTION("""COMPUTED_VALUE"""),45379.6666666666)</f>
        <v/>
      </c>
      <c r="F1571" s="6">
        <f>IFERROR(__xludf.DUMMYFUNCTION("""COMPUTED_VALUE"""),5254.35)</f>
        <v/>
      </c>
      <c r="J1571" s="6">
        <f>K1571&amp;L1571</f>
        <v/>
      </c>
      <c r="K1571" s="6">
        <f>YEAR(M1571)</f>
        <v/>
      </c>
      <c r="L1571" s="6">
        <f>MONTH(M1571)</f>
        <v/>
      </c>
      <c r="M1571" s="267">
        <f>IFERROR(__xludf.DUMMYFUNCTION("""COMPUTED_VALUE"""),45371.6666666666)</f>
        <v/>
      </c>
      <c r="N1571" s="6">
        <f>IFERROR(__xludf.DUMMYFUNCTION("""COMPUTED_VALUE"""),16369.41)</f>
        <v/>
      </c>
      <c r="R1571" s="6">
        <f>S1571&amp;T1571</f>
        <v/>
      </c>
      <c r="S1571" s="6">
        <f>YEAR(U1571)</f>
        <v/>
      </c>
      <c r="T1571" s="6">
        <f>MONTH(U1571)</f>
        <v/>
      </c>
      <c r="U1571" s="267">
        <f>IFERROR(__xludf.DUMMYFUNCTION("""COMPUTED_VALUE"""),45435.6458333333)</f>
        <v/>
      </c>
      <c r="V1571" s="6">
        <f>IFERROR(__xludf.DUMMYFUNCTION("""COMPUTED_VALUE"""),2721.81)</f>
        <v/>
      </c>
      <c r="Z1571" s="6">
        <f>AA1571&amp;AB1571</f>
        <v/>
      </c>
      <c r="AA1571" s="6">
        <f>YEAR(AC1571)</f>
        <v/>
      </c>
      <c r="AB1571" s="6">
        <f>MONTH(AC1571)</f>
        <v/>
      </c>
      <c r="AC1571" s="267">
        <f>IFERROR(__xludf.DUMMYFUNCTION("""COMPUTED_VALUE"""),44720.9986111111)</f>
        <v/>
      </c>
      <c r="AD1571" s="6">
        <f>IFERROR(__xludf.DUMMYFUNCTION("""COMPUTED_VALUE"""),1256.74)</f>
        <v/>
      </c>
      <c r="AH1571" s="6">
        <f>AI1571&amp;AJ1571</f>
        <v/>
      </c>
      <c r="AI1571" s="6">
        <f>YEAR(AK1571)</f>
        <v/>
      </c>
      <c r="AJ1571" s="6">
        <f>MONTH(AK1571)</f>
        <v/>
      </c>
      <c r="AK1571" s="267">
        <f>IFERROR(__xludf.DUMMYFUNCTION("""COMPUTED_VALUE"""),44664.9986111111)</f>
        <v/>
      </c>
      <c r="AL1571" s="6">
        <f>IFERROR(__xludf.DUMMYFUNCTION("""COMPUTED_VALUE"""),41139.08)</f>
        <v/>
      </c>
      <c r="AP1571" s="6">
        <f>AQ1571&amp;AR1571</f>
        <v/>
      </c>
      <c r="AQ1571" s="6">
        <f>YEAR(AS1571)</f>
        <v/>
      </c>
      <c r="AR1571" s="6">
        <f>MONTH(AS1571)</f>
        <v/>
      </c>
      <c r="AS1571" s="267">
        <f>IFERROR(__xludf.DUMMYFUNCTION("""COMPUTED_VALUE"""),45387.9986111111)</f>
        <v/>
      </c>
      <c r="AT1571" s="6">
        <f>IFERROR(__xludf.DUMMYFUNCTION("""COMPUTED_VALUE"""),2345.4)</f>
        <v/>
      </c>
    </row>
    <row r="1572">
      <c r="B1572" s="6">
        <f>C1572&amp;D1572</f>
        <v/>
      </c>
      <c r="C1572" s="6">
        <f>YEAR(E1572)</f>
        <v/>
      </c>
      <c r="D1572" s="6">
        <f>MONTH(E1572)</f>
        <v/>
      </c>
      <c r="E1572" s="267">
        <f>IFERROR(__xludf.DUMMYFUNCTION("""COMPUTED_VALUE"""),45383.6666666666)</f>
        <v/>
      </c>
      <c r="F1572" s="6">
        <f>IFERROR(__xludf.DUMMYFUNCTION("""COMPUTED_VALUE"""),5243.77)</f>
        <v/>
      </c>
      <c r="J1572" s="6">
        <f>K1572&amp;L1572</f>
        <v/>
      </c>
      <c r="K1572" s="6">
        <f>YEAR(M1572)</f>
        <v/>
      </c>
      <c r="L1572" s="6">
        <f>MONTH(M1572)</f>
        <v/>
      </c>
      <c r="M1572" s="267">
        <f>IFERROR(__xludf.DUMMYFUNCTION("""COMPUTED_VALUE"""),45372.6666666666)</f>
        <v/>
      </c>
      <c r="N1572" s="6">
        <f>IFERROR(__xludf.DUMMYFUNCTION("""COMPUTED_VALUE"""),16401.84)</f>
        <v/>
      </c>
      <c r="R1572" s="6">
        <f>S1572&amp;T1572</f>
        <v/>
      </c>
      <c r="S1572" s="6">
        <f>YEAR(U1572)</f>
        <v/>
      </c>
      <c r="T1572" s="6">
        <f>MONTH(U1572)</f>
        <v/>
      </c>
      <c r="U1572" s="267">
        <f>IFERROR(__xludf.DUMMYFUNCTION("""COMPUTED_VALUE"""),45436.6458333333)</f>
        <v/>
      </c>
      <c r="V1572" s="6">
        <f>IFERROR(__xludf.DUMMYFUNCTION("""COMPUTED_VALUE"""),2687.6)</f>
        <v/>
      </c>
      <c r="Z1572" s="6">
        <f>AA1572&amp;AB1572</f>
        <v/>
      </c>
      <c r="AA1572" s="6">
        <f>YEAR(AC1572)</f>
        <v/>
      </c>
      <c r="AB1572" s="6">
        <f>MONTH(AC1572)</f>
        <v/>
      </c>
      <c r="AC1572" s="267">
        <f>IFERROR(__xludf.DUMMYFUNCTION("""COMPUTED_VALUE"""),44721.9986111111)</f>
        <v/>
      </c>
      <c r="AD1572" s="6">
        <f>IFERROR(__xludf.DUMMYFUNCTION("""COMPUTED_VALUE"""),1264.02)</f>
        <v/>
      </c>
      <c r="AH1572" s="6">
        <f>AI1572&amp;AJ1572</f>
        <v/>
      </c>
      <c r="AI1572" s="6">
        <f>YEAR(AK1572)</f>
        <v/>
      </c>
      <c r="AJ1572" s="6">
        <f>MONTH(AK1572)</f>
        <v/>
      </c>
      <c r="AK1572" s="267">
        <f>IFERROR(__xludf.DUMMYFUNCTION("""COMPUTED_VALUE"""),44665.9986111111)</f>
        <v/>
      </c>
      <c r="AL1572" s="6">
        <f>IFERROR(__xludf.DUMMYFUNCTION("""COMPUTED_VALUE"""),39940.07)</f>
        <v/>
      </c>
      <c r="AP1572" s="6">
        <f>AQ1572&amp;AR1572</f>
        <v/>
      </c>
      <c r="AQ1572" s="6">
        <f>YEAR(AS1572)</f>
        <v/>
      </c>
      <c r="AR1572" s="6">
        <f>MONTH(AS1572)</f>
        <v/>
      </c>
      <c r="AS1572" s="267">
        <f>IFERROR(__xludf.DUMMYFUNCTION("""COMPUTED_VALUE"""),45390.9986111111)</f>
        <v/>
      </c>
      <c r="AT1572" s="6">
        <f>IFERROR(__xludf.DUMMYFUNCTION("""COMPUTED_VALUE"""),2351)</f>
        <v/>
      </c>
    </row>
    <row r="1573">
      <c r="B1573" s="6">
        <f>C1573&amp;D1573</f>
        <v/>
      </c>
      <c r="C1573" s="6">
        <f>YEAR(E1573)</f>
        <v/>
      </c>
      <c r="D1573" s="6">
        <f>MONTH(E1573)</f>
        <v/>
      </c>
      <c r="E1573" s="267">
        <f>IFERROR(__xludf.DUMMYFUNCTION("""COMPUTED_VALUE"""),45384.6666666666)</f>
        <v/>
      </c>
      <c r="F1573" s="6">
        <f>IFERROR(__xludf.DUMMYFUNCTION("""COMPUTED_VALUE"""),5205.81)</f>
        <v/>
      </c>
      <c r="J1573" s="6">
        <f>K1573&amp;L1573</f>
        <v/>
      </c>
      <c r="K1573" s="6">
        <f>YEAR(M1573)</f>
        <v/>
      </c>
      <c r="L1573" s="6">
        <f>MONTH(M1573)</f>
        <v/>
      </c>
      <c r="M1573" s="267">
        <f>IFERROR(__xludf.DUMMYFUNCTION("""COMPUTED_VALUE"""),45373.6666666666)</f>
        <v/>
      </c>
      <c r="N1573" s="6">
        <f>IFERROR(__xludf.DUMMYFUNCTION("""COMPUTED_VALUE"""),16428.82)</f>
        <v/>
      </c>
      <c r="R1573" s="6">
        <f>S1573&amp;T1573</f>
        <v/>
      </c>
      <c r="S1573" s="6">
        <f>YEAR(U1573)</f>
        <v/>
      </c>
      <c r="T1573" s="6">
        <f>MONTH(U1573)</f>
        <v/>
      </c>
      <c r="U1573" s="267">
        <f>IFERROR(__xludf.DUMMYFUNCTION("""COMPUTED_VALUE"""),45439.6458333333)</f>
        <v/>
      </c>
      <c r="V1573" s="6">
        <f>IFERROR(__xludf.DUMMYFUNCTION("""COMPUTED_VALUE"""),2722.99)</f>
        <v/>
      </c>
      <c r="Z1573" s="6">
        <f>AA1573&amp;AB1573</f>
        <v/>
      </c>
      <c r="AA1573" s="6">
        <f>YEAR(AC1573)</f>
        <v/>
      </c>
      <c r="AB1573" s="6">
        <f>MONTH(AC1573)</f>
        <v/>
      </c>
      <c r="AC1573" s="267">
        <f>IFERROR(__xludf.DUMMYFUNCTION("""COMPUTED_VALUE"""),44722.9986111111)</f>
        <v/>
      </c>
      <c r="AD1573" s="6">
        <f>IFERROR(__xludf.DUMMYFUNCTION("""COMPUTED_VALUE"""),1278.36)</f>
        <v/>
      </c>
      <c r="AH1573" s="6">
        <f>AI1573&amp;AJ1573</f>
        <v/>
      </c>
      <c r="AI1573" s="6">
        <f>YEAR(AK1573)</f>
        <v/>
      </c>
      <c r="AJ1573" s="6">
        <f>MONTH(AK1573)</f>
        <v/>
      </c>
      <c r="AK1573" s="267">
        <f>IFERROR(__xludf.DUMMYFUNCTION("""COMPUTED_VALUE"""),44666.9986111111)</f>
        <v/>
      </c>
      <c r="AL1573" s="6">
        <f>IFERROR(__xludf.DUMMYFUNCTION("""COMPUTED_VALUE"""),40557.21)</f>
        <v/>
      </c>
      <c r="AP1573" s="6">
        <f>AQ1573&amp;AR1573</f>
        <v/>
      </c>
      <c r="AQ1573" s="6">
        <f>YEAR(AS1573)</f>
        <v/>
      </c>
      <c r="AR1573" s="6">
        <f>MONTH(AS1573)</f>
        <v/>
      </c>
      <c r="AS1573" s="267">
        <f>IFERROR(__xludf.DUMMYFUNCTION("""COMPUTED_VALUE"""),45391.9986111111)</f>
        <v/>
      </c>
      <c r="AT1573" s="6">
        <f>IFERROR(__xludf.DUMMYFUNCTION("""COMPUTED_VALUE"""),2362.4)</f>
        <v/>
      </c>
    </row>
    <row r="1574">
      <c r="B1574" s="6">
        <f>C1574&amp;D1574</f>
        <v/>
      </c>
      <c r="C1574" s="6">
        <f>YEAR(E1574)</f>
        <v/>
      </c>
      <c r="D1574" s="6">
        <f>MONTH(E1574)</f>
        <v/>
      </c>
      <c r="E1574" s="267">
        <f>IFERROR(__xludf.DUMMYFUNCTION("""COMPUTED_VALUE"""),45385.6666666666)</f>
        <v/>
      </c>
      <c r="F1574" s="6">
        <f>IFERROR(__xludf.DUMMYFUNCTION("""COMPUTED_VALUE"""),5211.49)</f>
        <v/>
      </c>
      <c r="J1574" s="6">
        <f>K1574&amp;L1574</f>
        <v/>
      </c>
      <c r="K1574" s="6">
        <f>YEAR(M1574)</f>
        <v/>
      </c>
      <c r="L1574" s="6">
        <f>MONTH(M1574)</f>
        <v/>
      </c>
      <c r="M1574" s="267">
        <f>IFERROR(__xludf.DUMMYFUNCTION("""COMPUTED_VALUE"""),45376.6666666666)</f>
        <v/>
      </c>
      <c r="N1574" s="6">
        <f>IFERROR(__xludf.DUMMYFUNCTION("""COMPUTED_VALUE"""),16384.47)</f>
        <v/>
      </c>
      <c r="R1574" s="6">
        <f>S1574&amp;T1574</f>
        <v/>
      </c>
      <c r="S1574" s="6">
        <f>YEAR(U1574)</f>
        <v/>
      </c>
      <c r="T1574" s="6">
        <f>MONTH(U1574)</f>
        <v/>
      </c>
      <c r="U1574" s="267">
        <f>IFERROR(__xludf.DUMMYFUNCTION("""COMPUTED_VALUE"""),45440.6458333333)</f>
        <v/>
      </c>
      <c r="V1574" s="6">
        <f>IFERROR(__xludf.DUMMYFUNCTION("""COMPUTED_VALUE"""),2722.85)</f>
        <v/>
      </c>
      <c r="Z1574" s="6">
        <f>AA1574&amp;AB1574</f>
        <v/>
      </c>
      <c r="AA1574" s="6">
        <f>YEAR(AC1574)</f>
        <v/>
      </c>
      <c r="AB1574" s="6">
        <f>MONTH(AC1574)</f>
        <v/>
      </c>
      <c r="AC1574" s="267">
        <f>IFERROR(__xludf.DUMMYFUNCTION("""COMPUTED_VALUE"""),44723.9986111111)</f>
        <v/>
      </c>
      <c r="AD1574" s="6">
        <f>IFERROR(__xludf.DUMMYFUNCTION("""COMPUTED_VALUE"""),1277.76)</f>
        <v/>
      </c>
      <c r="AH1574" s="6">
        <f>AI1574&amp;AJ1574</f>
        <v/>
      </c>
      <c r="AI1574" s="6">
        <f>YEAR(AK1574)</f>
        <v/>
      </c>
      <c r="AJ1574" s="6">
        <f>MONTH(AK1574)</f>
        <v/>
      </c>
      <c r="AK1574" s="267">
        <f>IFERROR(__xludf.DUMMYFUNCTION("""COMPUTED_VALUE"""),44667.9986111111)</f>
        <v/>
      </c>
      <c r="AL1574" s="6">
        <f>IFERROR(__xludf.DUMMYFUNCTION("""COMPUTED_VALUE"""),40390.67)</f>
        <v/>
      </c>
      <c r="AP1574" s="6">
        <f>AQ1574&amp;AR1574</f>
        <v/>
      </c>
      <c r="AQ1574" s="6">
        <f>YEAR(AS1574)</f>
        <v/>
      </c>
      <c r="AR1574" s="6">
        <f>MONTH(AS1574)</f>
        <v/>
      </c>
      <c r="AS1574" s="267">
        <f>IFERROR(__xludf.DUMMYFUNCTION("""COMPUTED_VALUE"""),45392.9986111111)</f>
        <v/>
      </c>
      <c r="AT1574" s="6">
        <f>IFERROR(__xludf.DUMMYFUNCTION("""COMPUTED_VALUE"""),2348.4)</f>
        <v/>
      </c>
    </row>
    <row r="1575">
      <c r="B1575" s="6">
        <f>C1575&amp;D1575</f>
        <v/>
      </c>
      <c r="C1575" s="6">
        <f>YEAR(E1575)</f>
        <v/>
      </c>
      <c r="D1575" s="6">
        <f>MONTH(E1575)</f>
        <v/>
      </c>
      <c r="E1575" s="267">
        <f>IFERROR(__xludf.DUMMYFUNCTION("""COMPUTED_VALUE"""),45386.6666666666)</f>
        <v/>
      </c>
      <c r="F1575" s="6">
        <f>IFERROR(__xludf.DUMMYFUNCTION("""COMPUTED_VALUE"""),5147.21)</f>
        <v/>
      </c>
      <c r="J1575" s="6">
        <f>K1575&amp;L1575</f>
        <v/>
      </c>
      <c r="K1575" s="6">
        <f>YEAR(M1575)</f>
        <v/>
      </c>
      <c r="L1575" s="6">
        <f>MONTH(M1575)</f>
        <v/>
      </c>
      <c r="M1575" s="267">
        <f>IFERROR(__xludf.DUMMYFUNCTION("""COMPUTED_VALUE"""),45377.6666666666)</f>
        <v/>
      </c>
      <c r="N1575" s="6">
        <f>IFERROR(__xludf.DUMMYFUNCTION("""COMPUTED_VALUE"""),16315.7)</f>
        <v/>
      </c>
      <c r="R1575" s="6">
        <f>S1575&amp;T1575</f>
        <v/>
      </c>
      <c r="S1575" s="6">
        <f>YEAR(U1575)</f>
        <v/>
      </c>
      <c r="T1575" s="6">
        <f>MONTH(U1575)</f>
        <v/>
      </c>
      <c r="U1575" s="267">
        <f>IFERROR(__xludf.DUMMYFUNCTION("""COMPUTED_VALUE"""),45441.6458333333)</f>
        <v/>
      </c>
      <c r="V1575" s="6">
        <f>IFERROR(__xludf.DUMMYFUNCTION("""COMPUTED_VALUE"""),2677.3)</f>
        <v/>
      </c>
      <c r="Z1575" s="6">
        <f>AA1575&amp;AB1575</f>
        <v/>
      </c>
      <c r="AA1575" s="6">
        <f>YEAR(AC1575)</f>
        <v/>
      </c>
      <c r="AB1575" s="6">
        <f>MONTH(AC1575)</f>
        <v/>
      </c>
      <c r="AC1575" s="267">
        <f>IFERROR(__xludf.DUMMYFUNCTION("""COMPUTED_VALUE"""),44724.9986111111)</f>
        <v/>
      </c>
      <c r="AD1575" s="6">
        <f>IFERROR(__xludf.DUMMYFUNCTION("""COMPUTED_VALUE"""),1278.28)</f>
        <v/>
      </c>
      <c r="AH1575" s="6">
        <f>AI1575&amp;AJ1575</f>
        <v/>
      </c>
      <c r="AI1575" s="6">
        <f>YEAR(AK1575)</f>
        <v/>
      </c>
      <c r="AJ1575" s="6">
        <f>MONTH(AK1575)</f>
        <v/>
      </c>
      <c r="AK1575" s="267">
        <f>IFERROR(__xludf.DUMMYFUNCTION("""COMPUTED_VALUE"""),44668.9986111111)</f>
        <v/>
      </c>
      <c r="AL1575" s="6">
        <f>IFERROR(__xludf.DUMMYFUNCTION("""COMPUTED_VALUE"""),39692.88)</f>
        <v/>
      </c>
      <c r="AP1575" s="6">
        <f>AQ1575&amp;AR1575</f>
        <v/>
      </c>
      <c r="AQ1575" s="6">
        <f>YEAR(AS1575)</f>
        <v/>
      </c>
      <c r="AR1575" s="6">
        <f>MONTH(AS1575)</f>
        <v/>
      </c>
      <c r="AS1575" s="267">
        <f>IFERROR(__xludf.DUMMYFUNCTION("""COMPUTED_VALUE"""),45393.9986111111)</f>
        <v/>
      </c>
      <c r="AT1575" s="6">
        <f>IFERROR(__xludf.DUMMYFUNCTION("""COMPUTED_VALUE"""),2372.7)</f>
        <v/>
      </c>
    </row>
    <row r="1576">
      <c r="B1576" s="6">
        <f>C1576&amp;D1576</f>
        <v/>
      </c>
      <c r="C1576" s="6">
        <f>YEAR(E1576)</f>
        <v/>
      </c>
      <c r="D1576" s="6">
        <f>MONTH(E1576)</f>
        <v/>
      </c>
      <c r="E1576" s="267">
        <f>IFERROR(__xludf.DUMMYFUNCTION("""COMPUTED_VALUE"""),45387.6666666666)</f>
        <v/>
      </c>
      <c r="F1576" s="6">
        <f>IFERROR(__xludf.DUMMYFUNCTION("""COMPUTED_VALUE"""),5204.34)</f>
        <v/>
      </c>
      <c r="J1576" s="6">
        <f>K1576&amp;L1576</f>
        <v/>
      </c>
      <c r="K1576" s="6">
        <f>YEAR(M1576)</f>
        <v/>
      </c>
      <c r="L1576" s="6">
        <f>MONTH(M1576)</f>
        <v/>
      </c>
      <c r="M1576" s="267">
        <f>IFERROR(__xludf.DUMMYFUNCTION("""COMPUTED_VALUE"""),45378.6666666666)</f>
        <v/>
      </c>
      <c r="N1576" s="6">
        <f>IFERROR(__xludf.DUMMYFUNCTION("""COMPUTED_VALUE"""),16399.52)</f>
        <v/>
      </c>
      <c r="R1576" s="6">
        <f>S1576&amp;T1576</f>
        <v/>
      </c>
      <c r="S1576" s="6">
        <f>YEAR(U1576)</f>
        <v/>
      </c>
      <c r="T1576" s="6">
        <f>MONTH(U1576)</f>
        <v/>
      </c>
      <c r="U1576" s="267">
        <f>IFERROR(__xludf.DUMMYFUNCTION("""COMPUTED_VALUE"""),45442.6458333333)</f>
        <v/>
      </c>
      <c r="V1576" s="6">
        <f>IFERROR(__xludf.DUMMYFUNCTION("""COMPUTED_VALUE"""),2635.44)</f>
        <v/>
      </c>
      <c r="Z1576" s="6">
        <f>AA1576&amp;AB1576</f>
        <v/>
      </c>
      <c r="AA1576" s="6">
        <f>YEAR(AC1576)</f>
        <v/>
      </c>
      <c r="AB1576" s="6">
        <f>MONTH(AC1576)</f>
        <v/>
      </c>
      <c r="AC1576" s="267">
        <f>IFERROR(__xludf.DUMMYFUNCTION("""COMPUTED_VALUE"""),44725.9986111111)</f>
        <v/>
      </c>
      <c r="AD1576" s="6">
        <f>IFERROR(__xludf.DUMMYFUNCTION("""COMPUTED_VALUE"""),1291.8)</f>
        <v/>
      </c>
      <c r="AH1576" s="6">
        <f>AI1576&amp;AJ1576</f>
        <v/>
      </c>
      <c r="AI1576" s="6">
        <f>YEAR(AK1576)</f>
        <v/>
      </c>
      <c r="AJ1576" s="6">
        <f>MONTH(AK1576)</f>
        <v/>
      </c>
      <c r="AK1576" s="267">
        <f>IFERROR(__xludf.DUMMYFUNCTION("""COMPUTED_VALUE"""),44669.9986111111)</f>
        <v/>
      </c>
      <c r="AL1576" s="6">
        <f>IFERROR(__xludf.DUMMYFUNCTION("""COMPUTED_VALUE"""),40802.55)</f>
        <v/>
      </c>
      <c r="AP1576" s="6">
        <f>AQ1576&amp;AR1576</f>
        <v/>
      </c>
      <c r="AQ1576" s="6">
        <f>YEAR(AS1576)</f>
        <v/>
      </c>
      <c r="AR1576" s="6">
        <f>MONTH(AS1576)</f>
        <v/>
      </c>
      <c r="AS1576" s="267">
        <f>IFERROR(__xludf.DUMMYFUNCTION("""COMPUTED_VALUE"""),45394.9986111111)</f>
        <v/>
      </c>
      <c r="AT1576" s="6">
        <f>IFERROR(__xludf.DUMMYFUNCTION("""COMPUTED_VALUE"""),2374.1)</f>
        <v/>
      </c>
    </row>
    <row r="1577">
      <c r="B1577" s="6">
        <f>C1577&amp;D1577</f>
        <v/>
      </c>
      <c r="C1577" s="6">
        <f>YEAR(E1577)</f>
        <v/>
      </c>
      <c r="D1577" s="6">
        <f>MONTH(E1577)</f>
        <v/>
      </c>
      <c r="E1577" s="267">
        <f>IFERROR(__xludf.DUMMYFUNCTION("""COMPUTED_VALUE"""),45390.6666666666)</f>
        <v/>
      </c>
      <c r="F1577" s="6">
        <f>IFERROR(__xludf.DUMMYFUNCTION("""COMPUTED_VALUE"""),5202.39)</f>
        <v/>
      </c>
      <c r="J1577" s="6">
        <f>K1577&amp;L1577</f>
        <v/>
      </c>
      <c r="K1577" s="6">
        <f>YEAR(M1577)</f>
        <v/>
      </c>
      <c r="L1577" s="6">
        <f>MONTH(M1577)</f>
        <v/>
      </c>
      <c r="M1577" s="267">
        <f>IFERROR(__xludf.DUMMYFUNCTION("""COMPUTED_VALUE"""),45379.6666666666)</f>
        <v/>
      </c>
      <c r="N1577" s="6">
        <f>IFERROR(__xludf.DUMMYFUNCTION("""COMPUTED_VALUE"""),16379.46)</f>
        <v/>
      </c>
      <c r="R1577" s="6">
        <f>S1577&amp;T1577</f>
        <v/>
      </c>
      <c r="S1577" s="6">
        <f>YEAR(U1577)</f>
        <v/>
      </c>
      <c r="T1577" s="6">
        <f>MONTH(U1577)</f>
        <v/>
      </c>
      <c r="U1577" s="267">
        <f>IFERROR(__xludf.DUMMYFUNCTION("""COMPUTED_VALUE"""),45443.6458333333)</f>
        <v/>
      </c>
      <c r="V1577" s="6">
        <f>IFERROR(__xludf.DUMMYFUNCTION("""COMPUTED_VALUE"""),2636.52)</f>
        <v/>
      </c>
      <c r="Z1577" s="6">
        <f>AA1577&amp;AB1577</f>
        <v/>
      </c>
      <c r="AA1577" s="6">
        <f>YEAR(AC1577)</f>
        <v/>
      </c>
      <c r="AB1577" s="6">
        <f>MONTH(AC1577)</f>
        <v/>
      </c>
      <c r="AC1577" s="267">
        <f>IFERROR(__xludf.DUMMYFUNCTION("""COMPUTED_VALUE"""),44726.9986111111)</f>
        <v/>
      </c>
      <c r="AD1577" s="6">
        <f>IFERROR(__xludf.DUMMYFUNCTION("""COMPUTED_VALUE"""),1289.48)</f>
        <v/>
      </c>
      <c r="AH1577" s="6">
        <f>AI1577&amp;AJ1577</f>
        <v/>
      </c>
      <c r="AI1577" s="6">
        <f>YEAR(AK1577)</f>
        <v/>
      </c>
      <c r="AJ1577" s="6">
        <f>MONTH(AK1577)</f>
        <v/>
      </c>
      <c r="AK1577" s="267">
        <f>IFERROR(__xludf.DUMMYFUNCTION("""COMPUTED_VALUE"""),44670.9986111111)</f>
        <v/>
      </c>
      <c r="AL1577" s="6">
        <f>IFERROR(__xludf.DUMMYFUNCTION("""COMPUTED_VALUE"""),41498.5)</f>
        <v/>
      </c>
      <c r="AP1577" s="6">
        <f>AQ1577&amp;AR1577</f>
        <v/>
      </c>
      <c r="AQ1577" s="6">
        <f>YEAR(AS1577)</f>
        <v/>
      </c>
      <c r="AR1577" s="6">
        <f>MONTH(AS1577)</f>
        <v/>
      </c>
      <c r="AS1577" s="267">
        <f>IFERROR(__xludf.DUMMYFUNCTION("""COMPUTED_VALUE"""),45397.9986111111)</f>
        <v/>
      </c>
      <c r="AT1577" s="6">
        <f>IFERROR(__xludf.DUMMYFUNCTION("""COMPUTED_VALUE"""),2383)</f>
        <v/>
      </c>
    </row>
    <row r="1578">
      <c r="B1578" s="6">
        <f>C1578&amp;D1578</f>
        <v/>
      </c>
      <c r="C1578" s="6">
        <f>YEAR(E1578)</f>
        <v/>
      </c>
      <c r="D1578" s="6">
        <f>MONTH(E1578)</f>
        <v/>
      </c>
      <c r="E1578" s="267">
        <f>IFERROR(__xludf.DUMMYFUNCTION("""COMPUTED_VALUE"""),45391.6666666666)</f>
        <v/>
      </c>
      <c r="F1578" s="6">
        <f>IFERROR(__xludf.DUMMYFUNCTION("""COMPUTED_VALUE"""),5209.91)</f>
        <v/>
      </c>
      <c r="J1578" s="6">
        <f>K1578&amp;L1578</f>
        <v/>
      </c>
      <c r="K1578" s="6">
        <f>YEAR(M1578)</f>
        <v/>
      </c>
      <c r="L1578" s="6">
        <f>MONTH(M1578)</f>
        <v/>
      </c>
      <c r="M1578" s="267">
        <f>IFERROR(__xludf.DUMMYFUNCTION("""COMPUTED_VALUE"""),45383.6666666666)</f>
        <v/>
      </c>
      <c r="N1578" s="6">
        <f>IFERROR(__xludf.DUMMYFUNCTION("""COMPUTED_VALUE"""),16396.83)</f>
        <v/>
      </c>
      <c r="R1578" s="6">
        <f>S1578&amp;T1578</f>
        <v/>
      </c>
      <c r="S1578" s="6">
        <f>YEAR(U1578)</f>
        <v/>
      </c>
      <c r="T1578" s="6">
        <f>MONTH(U1578)</f>
        <v/>
      </c>
      <c r="U1578" s="267">
        <f>IFERROR(__xludf.DUMMYFUNCTION("""COMPUTED_VALUE"""),45446.6458333333)</f>
        <v/>
      </c>
      <c r="V1578" s="6">
        <f>IFERROR(__xludf.DUMMYFUNCTION("""COMPUTED_VALUE"""),2682.52)</f>
        <v/>
      </c>
      <c r="Z1578" s="6">
        <f>AA1578&amp;AB1578</f>
        <v/>
      </c>
      <c r="AA1578" s="6">
        <f>YEAR(AC1578)</f>
        <v/>
      </c>
      <c r="AB1578" s="6">
        <f>MONTH(AC1578)</f>
        <v/>
      </c>
      <c r="AC1578" s="267">
        <f>IFERROR(__xludf.DUMMYFUNCTION("""COMPUTED_VALUE"""),44727.9986111111)</f>
        <v/>
      </c>
      <c r="AD1578" s="6">
        <f>IFERROR(__xludf.DUMMYFUNCTION("""COMPUTED_VALUE"""),1278.16)</f>
        <v/>
      </c>
      <c r="AH1578" s="6">
        <f>AI1578&amp;AJ1578</f>
        <v/>
      </c>
      <c r="AI1578" s="6">
        <f>YEAR(AK1578)</f>
        <v/>
      </c>
      <c r="AJ1578" s="6">
        <f>MONTH(AK1578)</f>
        <v/>
      </c>
      <c r="AK1578" s="267">
        <f>IFERROR(__xludf.DUMMYFUNCTION("""COMPUTED_VALUE"""),44671.9986111111)</f>
        <v/>
      </c>
      <c r="AL1578" s="6">
        <f>IFERROR(__xludf.DUMMYFUNCTION("""COMPUTED_VALUE"""),41362.92)</f>
        <v/>
      </c>
      <c r="AP1578" s="6">
        <f>AQ1578&amp;AR1578</f>
        <v/>
      </c>
      <c r="AQ1578" s="6">
        <f>YEAR(AS1578)</f>
        <v/>
      </c>
      <c r="AR1578" s="6">
        <f>MONTH(AS1578)</f>
        <v/>
      </c>
      <c r="AS1578" s="267">
        <f>IFERROR(__xludf.DUMMYFUNCTION("""COMPUTED_VALUE"""),45398.9986111111)</f>
        <v/>
      </c>
      <c r="AT1578" s="6">
        <f>IFERROR(__xludf.DUMMYFUNCTION("""COMPUTED_VALUE"""),2407.8)</f>
        <v/>
      </c>
    </row>
    <row r="1579">
      <c r="B1579" s="6">
        <f>C1579&amp;D1579</f>
        <v/>
      </c>
      <c r="C1579" s="6">
        <f>YEAR(E1579)</f>
        <v/>
      </c>
      <c r="D1579" s="6">
        <f>MONTH(E1579)</f>
        <v/>
      </c>
      <c r="E1579" s="267">
        <f>IFERROR(__xludf.DUMMYFUNCTION("""COMPUTED_VALUE"""),45392.6666666666)</f>
        <v/>
      </c>
      <c r="F1579" s="6">
        <f>IFERROR(__xludf.DUMMYFUNCTION("""COMPUTED_VALUE"""),5160.64)</f>
        <v/>
      </c>
      <c r="J1579" s="6">
        <f>K1579&amp;L1579</f>
        <v/>
      </c>
      <c r="K1579" s="6">
        <f>YEAR(M1579)</f>
        <v/>
      </c>
      <c r="L1579" s="6">
        <f>MONTH(M1579)</f>
        <v/>
      </c>
      <c r="M1579" s="267">
        <f>IFERROR(__xludf.DUMMYFUNCTION("""COMPUTED_VALUE"""),45384.6666666666)</f>
        <v/>
      </c>
      <c r="N1579" s="6">
        <f>IFERROR(__xludf.DUMMYFUNCTION("""COMPUTED_VALUE"""),16240.45)</f>
        <v/>
      </c>
      <c r="R1579" s="6">
        <f>S1579&amp;T1579</f>
        <v/>
      </c>
      <c r="S1579" s="6">
        <f>YEAR(U1579)</f>
        <v/>
      </c>
      <c r="T1579" s="6">
        <f>MONTH(U1579)</f>
        <v/>
      </c>
      <c r="U1579" s="267">
        <f>IFERROR(__xludf.DUMMYFUNCTION("""COMPUTED_VALUE"""),45447.6458333333)</f>
        <v/>
      </c>
      <c r="V1579" s="6">
        <f>IFERROR(__xludf.DUMMYFUNCTION("""COMPUTED_VALUE"""),2662.1)</f>
        <v/>
      </c>
      <c r="Z1579" s="6">
        <f>AA1579&amp;AB1579</f>
        <v/>
      </c>
      <c r="AA1579" s="6">
        <f>YEAR(AC1579)</f>
        <v/>
      </c>
      <c r="AB1579" s="6">
        <f>MONTH(AC1579)</f>
        <v/>
      </c>
      <c r="AC1579" s="267">
        <f>IFERROR(__xludf.DUMMYFUNCTION("""COMPUTED_VALUE"""),44728.9986111111)</f>
        <v/>
      </c>
      <c r="AD1579" s="6">
        <f>IFERROR(__xludf.DUMMYFUNCTION("""COMPUTED_VALUE"""),1288.18)</f>
        <v/>
      </c>
      <c r="AH1579" s="6">
        <f>AI1579&amp;AJ1579</f>
        <v/>
      </c>
      <c r="AI1579" s="6">
        <f>YEAR(AK1579)</f>
        <v/>
      </c>
      <c r="AJ1579" s="6">
        <f>MONTH(AK1579)</f>
        <v/>
      </c>
      <c r="AK1579" s="267">
        <f>IFERROR(__xludf.DUMMYFUNCTION("""COMPUTED_VALUE"""),44672.9986111111)</f>
        <v/>
      </c>
      <c r="AL1579" s="6">
        <f>IFERROR(__xludf.DUMMYFUNCTION("""COMPUTED_VALUE"""),40475.13)</f>
        <v/>
      </c>
      <c r="AP1579" s="6">
        <f>AQ1579&amp;AR1579</f>
        <v/>
      </c>
      <c r="AQ1579" s="6">
        <f>YEAR(AS1579)</f>
        <v/>
      </c>
      <c r="AR1579" s="6">
        <f>MONTH(AS1579)</f>
        <v/>
      </c>
      <c r="AS1579" s="267">
        <f>IFERROR(__xludf.DUMMYFUNCTION("""COMPUTED_VALUE"""),45399.9986111111)</f>
        <v/>
      </c>
      <c r="AT1579" s="6">
        <f>IFERROR(__xludf.DUMMYFUNCTION("""COMPUTED_VALUE"""),2388.4)</f>
        <v/>
      </c>
    </row>
    <row r="1580">
      <c r="B1580" s="6">
        <f>C1580&amp;D1580</f>
        <v/>
      </c>
      <c r="C1580" s="6">
        <f>YEAR(E1580)</f>
        <v/>
      </c>
      <c r="D1580" s="6">
        <f>MONTH(E1580)</f>
        <v/>
      </c>
      <c r="E1580" s="267">
        <f>IFERROR(__xludf.DUMMYFUNCTION("""COMPUTED_VALUE"""),45393.6666666666)</f>
        <v/>
      </c>
      <c r="F1580" s="6">
        <f>IFERROR(__xludf.DUMMYFUNCTION("""COMPUTED_VALUE"""),5199.06)</f>
        <v/>
      </c>
      <c r="J1580" s="6">
        <f>K1580&amp;L1580</f>
        <v/>
      </c>
      <c r="K1580" s="6">
        <f>YEAR(M1580)</f>
        <v/>
      </c>
      <c r="L1580" s="6">
        <f>MONTH(M1580)</f>
        <v/>
      </c>
      <c r="M1580" s="267">
        <f>IFERROR(__xludf.DUMMYFUNCTION("""COMPUTED_VALUE"""),45385.6666666666)</f>
        <v/>
      </c>
      <c r="N1580" s="6">
        <f>IFERROR(__xludf.DUMMYFUNCTION("""COMPUTED_VALUE"""),16277.46)</f>
        <v/>
      </c>
      <c r="R1580" s="6">
        <f>S1580&amp;T1580</f>
        <v/>
      </c>
      <c r="S1580" s="6">
        <f>YEAR(U1580)</f>
        <v/>
      </c>
      <c r="T1580" s="6">
        <f>MONTH(U1580)</f>
        <v/>
      </c>
      <c r="U1580" s="267">
        <f>IFERROR(__xludf.DUMMYFUNCTION("""COMPUTED_VALUE"""),45448.6458333333)</f>
        <v/>
      </c>
      <c r="V1580" s="6">
        <f>IFERROR(__xludf.DUMMYFUNCTION("""COMPUTED_VALUE"""),2689.5)</f>
        <v/>
      </c>
      <c r="Z1580" s="6">
        <f>AA1580&amp;AB1580</f>
        <v/>
      </c>
      <c r="AA1580" s="6">
        <f>YEAR(AC1580)</f>
        <v/>
      </c>
      <c r="AB1580" s="6">
        <f>MONTH(AC1580)</f>
        <v/>
      </c>
      <c r="AC1580" s="267">
        <f>IFERROR(__xludf.DUMMYFUNCTION("""COMPUTED_VALUE"""),44729.9986111111)</f>
        <v/>
      </c>
      <c r="AD1580" s="6">
        <f>IFERROR(__xludf.DUMMYFUNCTION("""COMPUTED_VALUE"""),1290.46)</f>
        <v/>
      </c>
      <c r="AH1580" s="6">
        <f>AI1580&amp;AJ1580</f>
        <v/>
      </c>
      <c r="AI1580" s="6">
        <f>YEAR(AK1580)</f>
        <v/>
      </c>
      <c r="AJ1580" s="6">
        <f>MONTH(AK1580)</f>
        <v/>
      </c>
      <c r="AK1580" s="267">
        <f>IFERROR(__xludf.DUMMYFUNCTION("""COMPUTED_VALUE"""),44673.9986111111)</f>
        <v/>
      </c>
      <c r="AL1580" s="6">
        <f>IFERROR(__xludf.DUMMYFUNCTION("""COMPUTED_VALUE"""),39707.38)</f>
        <v/>
      </c>
      <c r="AP1580" s="6">
        <f>AQ1580&amp;AR1580</f>
        <v/>
      </c>
      <c r="AQ1580" s="6">
        <f>YEAR(AS1580)</f>
        <v/>
      </c>
      <c r="AR1580" s="6">
        <f>MONTH(AS1580)</f>
        <v/>
      </c>
      <c r="AS1580" s="267">
        <f>IFERROR(__xludf.DUMMYFUNCTION("""COMPUTED_VALUE"""),45400.9986111111)</f>
        <v/>
      </c>
      <c r="AT1580" s="6">
        <f>IFERROR(__xludf.DUMMYFUNCTION("""COMPUTED_VALUE"""),2398)</f>
        <v/>
      </c>
    </row>
    <row r="1581">
      <c r="B1581" s="6">
        <f>C1581&amp;D1581</f>
        <v/>
      </c>
      <c r="C1581" s="6">
        <f>YEAR(E1581)</f>
        <v/>
      </c>
      <c r="D1581" s="6">
        <f>MONTH(E1581)</f>
        <v/>
      </c>
      <c r="E1581" s="267">
        <f>IFERROR(__xludf.DUMMYFUNCTION("""COMPUTED_VALUE"""),45394.6666666666)</f>
        <v/>
      </c>
      <c r="F1581" s="6">
        <f>IFERROR(__xludf.DUMMYFUNCTION("""COMPUTED_VALUE"""),5123.41)</f>
        <v/>
      </c>
      <c r="J1581" s="6">
        <f>K1581&amp;L1581</f>
        <v/>
      </c>
      <c r="K1581" s="6">
        <f>YEAR(M1581)</f>
        <v/>
      </c>
      <c r="L1581" s="6">
        <f>MONTH(M1581)</f>
        <v/>
      </c>
      <c r="M1581" s="267">
        <f>IFERROR(__xludf.DUMMYFUNCTION("""COMPUTED_VALUE"""),45386.6666666666)</f>
        <v/>
      </c>
      <c r="N1581" s="6">
        <f>IFERROR(__xludf.DUMMYFUNCTION("""COMPUTED_VALUE"""),16049.08)</f>
        <v/>
      </c>
      <c r="R1581" s="6">
        <f>S1581&amp;T1581</f>
        <v/>
      </c>
      <c r="S1581" s="6">
        <f>YEAR(U1581)</f>
        <v/>
      </c>
      <c r="T1581" s="6">
        <f>MONTH(U1581)</f>
        <v/>
      </c>
      <c r="U1581" s="267">
        <f>IFERROR(__xludf.DUMMYFUNCTION("""COMPUTED_VALUE"""),45450.6458333333)</f>
        <v/>
      </c>
      <c r="V1581" s="6">
        <f>IFERROR(__xludf.DUMMYFUNCTION("""COMPUTED_VALUE"""),2722.67)</f>
        <v/>
      </c>
      <c r="Z1581" s="6">
        <f>AA1581&amp;AB1581</f>
        <v/>
      </c>
      <c r="AA1581" s="6">
        <f>YEAR(AC1581)</f>
        <v/>
      </c>
      <c r="AB1581" s="6">
        <f>MONTH(AC1581)</f>
        <v/>
      </c>
      <c r="AC1581" s="267">
        <f>IFERROR(__xludf.DUMMYFUNCTION("""COMPUTED_VALUE"""),44730.9986111111)</f>
        <v/>
      </c>
      <c r="AD1581" s="6">
        <f>IFERROR(__xludf.DUMMYFUNCTION("""COMPUTED_VALUE"""),1289.5)</f>
        <v/>
      </c>
      <c r="AH1581" s="6">
        <f>AI1581&amp;AJ1581</f>
        <v/>
      </c>
      <c r="AI1581" s="6">
        <f>YEAR(AK1581)</f>
        <v/>
      </c>
      <c r="AJ1581" s="6">
        <f>MONTH(AK1581)</f>
        <v/>
      </c>
      <c r="AK1581" s="267">
        <f>IFERROR(__xludf.DUMMYFUNCTION("""COMPUTED_VALUE"""),44674.9986111111)</f>
        <v/>
      </c>
      <c r="AL1581" s="6">
        <f>IFERROR(__xludf.DUMMYFUNCTION("""COMPUTED_VALUE"""),39444.2)</f>
        <v/>
      </c>
      <c r="AP1581" s="6">
        <f>AQ1581&amp;AR1581</f>
        <v/>
      </c>
      <c r="AQ1581" s="6">
        <f>YEAR(AS1581)</f>
        <v/>
      </c>
      <c r="AR1581" s="6">
        <f>MONTH(AS1581)</f>
        <v/>
      </c>
      <c r="AS1581" s="267">
        <f>IFERROR(__xludf.DUMMYFUNCTION("""COMPUTED_VALUE"""),45401.9986111111)</f>
        <v/>
      </c>
      <c r="AT1581" s="6">
        <f>IFERROR(__xludf.DUMMYFUNCTION("""COMPUTED_VALUE"""),2413.8)</f>
        <v/>
      </c>
    </row>
    <row r="1582">
      <c r="B1582" s="6">
        <f>C1582&amp;D1582</f>
        <v/>
      </c>
      <c r="C1582" s="6">
        <f>YEAR(E1582)</f>
        <v/>
      </c>
      <c r="D1582" s="6">
        <f>MONTH(E1582)</f>
        <v/>
      </c>
      <c r="E1582" s="267">
        <f>IFERROR(__xludf.DUMMYFUNCTION("""COMPUTED_VALUE"""),45397.6666666666)</f>
        <v/>
      </c>
      <c r="F1582" s="6">
        <f>IFERROR(__xludf.DUMMYFUNCTION("""COMPUTED_VALUE"""),5061.82)</f>
        <v/>
      </c>
      <c r="J1582" s="6">
        <f>K1582&amp;L1582</f>
        <v/>
      </c>
      <c r="K1582" s="6">
        <f>YEAR(M1582)</f>
        <v/>
      </c>
      <c r="L1582" s="6">
        <f>MONTH(M1582)</f>
        <v/>
      </c>
      <c r="M1582" s="267">
        <f>IFERROR(__xludf.DUMMYFUNCTION("""COMPUTED_VALUE"""),45387.6666666666)</f>
        <v/>
      </c>
      <c r="N1582" s="6">
        <f>IFERROR(__xludf.DUMMYFUNCTION("""COMPUTED_VALUE"""),16248.52)</f>
        <v/>
      </c>
      <c r="R1582" s="6">
        <f>S1582&amp;T1582</f>
        <v/>
      </c>
      <c r="S1582" s="6">
        <f>YEAR(U1582)</f>
        <v/>
      </c>
      <c r="T1582" s="6">
        <f>MONTH(U1582)</f>
        <v/>
      </c>
      <c r="U1582" s="267">
        <f>IFERROR(__xludf.DUMMYFUNCTION("""COMPUTED_VALUE"""),45453.6458333333)</f>
        <v/>
      </c>
      <c r="V1582" s="6">
        <f>IFERROR(__xludf.DUMMYFUNCTION("""COMPUTED_VALUE"""),2701.17)</f>
        <v/>
      </c>
      <c r="Z1582" s="6">
        <f>AA1582&amp;AB1582</f>
        <v/>
      </c>
      <c r="AA1582" s="6">
        <f>YEAR(AC1582)</f>
        <v/>
      </c>
      <c r="AB1582" s="6">
        <f>MONTH(AC1582)</f>
        <v/>
      </c>
      <c r="AC1582" s="267">
        <f>IFERROR(__xludf.DUMMYFUNCTION("""COMPUTED_VALUE"""),44731.9986111111)</f>
        <v/>
      </c>
      <c r="AD1582" s="6">
        <f>IFERROR(__xludf.DUMMYFUNCTION("""COMPUTED_VALUE"""),1290.5)</f>
        <v/>
      </c>
      <c r="AH1582" s="6">
        <f>AI1582&amp;AJ1582</f>
        <v/>
      </c>
      <c r="AI1582" s="6">
        <f>YEAR(AK1582)</f>
        <v/>
      </c>
      <c r="AJ1582" s="6">
        <f>MONTH(AK1582)</f>
        <v/>
      </c>
      <c r="AK1582" s="267">
        <f>IFERROR(__xludf.DUMMYFUNCTION("""COMPUTED_VALUE"""),44675.9986111111)</f>
        <v/>
      </c>
      <c r="AL1582" s="6">
        <f>IFERROR(__xludf.DUMMYFUNCTION("""COMPUTED_VALUE"""),39467.37)</f>
        <v/>
      </c>
      <c r="AP1582" s="6">
        <f>AQ1582&amp;AR1582</f>
        <v/>
      </c>
      <c r="AQ1582" s="6">
        <f>YEAR(AS1582)</f>
        <v/>
      </c>
      <c r="AR1582" s="6">
        <f>MONTH(AS1582)</f>
        <v/>
      </c>
      <c r="AS1582" s="267">
        <f>IFERROR(__xludf.DUMMYFUNCTION("""COMPUTED_VALUE"""),45404.9986111111)</f>
        <v/>
      </c>
      <c r="AT1582" s="6">
        <f>IFERROR(__xludf.DUMMYFUNCTION("""COMPUTED_VALUE"""),2346.4)</f>
        <v/>
      </c>
    </row>
    <row r="1583">
      <c r="B1583" s="6">
        <f>C1583&amp;D1583</f>
        <v/>
      </c>
      <c r="C1583" s="6">
        <f>YEAR(E1583)</f>
        <v/>
      </c>
      <c r="D1583" s="6">
        <f>MONTH(E1583)</f>
        <v/>
      </c>
      <c r="E1583" s="267">
        <f>IFERROR(__xludf.DUMMYFUNCTION("""COMPUTED_VALUE"""),45398.6666666666)</f>
        <v/>
      </c>
      <c r="F1583" s="6">
        <f>IFERROR(__xludf.DUMMYFUNCTION("""COMPUTED_VALUE"""),5051.41)</f>
        <v/>
      </c>
      <c r="J1583" s="6">
        <f>K1583&amp;L1583</f>
        <v/>
      </c>
      <c r="K1583" s="6">
        <f>YEAR(M1583)</f>
        <v/>
      </c>
      <c r="L1583" s="6">
        <f>MONTH(M1583)</f>
        <v/>
      </c>
      <c r="M1583" s="267">
        <f>IFERROR(__xludf.DUMMYFUNCTION("""COMPUTED_VALUE"""),45390.6666666666)</f>
        <v/>
      </c>
      <c r="N1583" s="6">
        <f>IFERROR(__xludf.DUMMYFUNCTION("""COMPUTED_VALUE"""),16253.96)</f>
        <v/>
      </c>
      <c r="R1583" s="6">
        <f>S1583&amp;T1583</f>
        <v/>
      </c>
      <c r="S1583" s="6">
        <f>YEAR(U1583)</f>
        <v/>
      </c>
      <c r="T1583" s="6">
        <f>MONTH(U1583)</f>
        <v/>
      </c>
      <c r="U1583" s="267">
        <f>IFERROR(__xludf.DUMMYFUNCTION("""COMPUTED_VALUE"""),45454.6458333333)</f>
        <v/>
      </c>
      <c r="V1583" s="6">
        <f>IFERROR(__xludf.DUMMYFUNCTION("""COMPUTED_VALUE"""),2705.32)</f>
        <v/>
      </c>
      <c r="Z1583" s="6">
        <f>AA1583&amp;AB1583</f>
        <v/>
      </c>
      <c r="AA1583" s="6">
        <f>YEAR(AC1583)</f>
        <v/>
      </c>
      <c r="AB1583" s="6">
        <f>MONTH(AC1583)</f>
        <v/>
      </c>
      <c r="AC1583" s="267">
        <f>IFERROR(__xludf.DUMMYFUNCTION("""COMPUTED_VALUE"""),44732.9986111111)</f>
        <v/>
      </c>
      <c r="AD1583" s="6">
        <f>IFERROR(__xludf.DUMMYFUNCTION("""COMPUTED_VALUE"""),1292.38)</f>
        <v/>
      </c>
      <c r="AH1583" s="6">
        <f>AI1583&amp;AJ1583</f>
        <v/>
      </c>
      <c r="AI1583" s="6">
        <f>YEAR(AK1583)</f>
        <v/>
      </c>
      <c r="AJ1583" s="6">
        <f>MONTH(AK1583)</f>
        <v/>
      </c>
      <c r="AK1583" s="267">
        <f>IFERROR(__xludf.DUMMYFUNCTION("""COMPUTED_VALUE"""),44676.9986111111)</f>
        <v/>
      </c>
      <c r="AL1583" s="6">
        <f>IFERROR(__xludf.DUMMYFUNCTION("""COMPUTED_VALUE"""),40433.51)</f>
        <v/>
      </c>
      <c r="AP1583" s="6">
        <f>AQ1583&amp;AR1583</f>
        <v/>
      </c>
      <c r="AQ1583" s="6">
        <f>YEAR(AS1583)</f>
        <v/>
      </c>
      <c r="AR1583" s="6">
        <f>MONTH(AS1583)</f>
        <v/>
      </c>
      <c r="AS1583" s="267">
        <f>IFERROR(__xludf.DUMMYFUNCTION("""COMPUTED_VALUE"""),45405.9986111111)</f>
        <v/>
      </c>
      <c r="AT1583" s="6">
        <f>IFERROR(__xludf.DUMMYFUNCTION("""COMPUTED_VALUE"""),2342.1)</f>
        <v/>
      </c>
    </row>
    <row r="1584">
      <c r="B1584" s="6">
        <f>C1584&amp;D1584</f>
        <v/>
      </c>
      <c r="C1584" s="6">
        <f>YEAR(E1584)</f>
        <v/>
      </c>
      <c r="D1584" s="6">
        <f>MONTH(E1584)</f>
        <v/>
      </c>
      <c r="E1584" s="267">
        <f>IFERROR(__xludf.DUMMYFUNCTION("""COMPUTED_VALUE"""),45399.6666666666)</f>
        <v/>
      </c>
      <c r="F1584" s="6">
        <f>IFERROR(__xludf.DUMMYFUNCTION("""COMPUTED_VALUE"""),5022.21)</f>
        <v/>
      </c>
      <c r="J1584" s="6">
        <f>K1584&amp;L1584</f>
        <v/>
      </c>
      <c r="K1584" s="6">
        <f>YEAR(M1584)</f>
        <v/>
      </c>
      <c r="L1584" s="6">
        <f>MONTH(M1584)</f>
        <v/>
      </c>
      <c r="M1584" s="267">
        <f>IFERROR(__xludf.DUMMYFUNCTION("""COMPUTED_VALUE"""),45391.6666666666)</f>
        <v/>
      </c>
      <c r="N1584" s="6">
        <f>IFERROR(__xludf.DUMMYFUNCTION("""COMPUTED_VALUE"""),16306.64)</f>
        <v/>
      </c>
      <c r="R1584" s="6">
        <f>S1584&amp;T1584</f>
        <v/>
      </c>
      <c r="S1584" s="6">
        <f>YEAR(U1584)</f>
        <v/>
      </c>
      <c r="T1584" s="6">
        <f>MONTH(U1584)</f>
        <v/>
      </c>
      <c r="U1584" s="267">
        <f>IFERROR(__xludf.DUMMYFUNCTION("""COMPUTED_VALUE"""),45455.6458333333)</f>
        <v/>
      </c>
      <c r="V1584" s="6">
        <f>IFERROR(__xludf.DUMMYFUNCTION("""COMPUTED_VALUE"""),2728.17)</f>
        <v/>
      </c>
      <c r="Z1584" s="6">
        <f>AA1584&amp;AB1584</f>
        <v/>
      </c>
      <c r="AA1584" s="6">
        <f>YEAR(AC1584)</f>
        <v/>
      </c>
      <c r="AB1584" s="6">
        <f>MONTH(AC1584)</f>
        <v/>
      </c>
      <c r="AC1584" s="267">
        <f>IFERROR(__xludf.DUMMYFUNCTION("""COMPUTED_VALUE"""),44733.9986111111)</f>
        <v/>
      </c>
      <c r="AD1584" s="6">
        <f>IFERROR(__xludf.DUMMYFUNCTION("""COMPUTED_VALUE"""),1291.6)</f>
        <v/>
      </c>
      <c r="AH1584" s="6">
        <f>AI1584&amp;AJ1584</f>
        <v/>
      </c>
      <c r="AI1584" s="6">
        <f>YEAR(AK1584)</f>
        <v/>
      </c>
      <c r="AJ1584" s="6">
        <f>MONTH(AK1584)</f>
        <v/>
      </c>
      <c r="AK1584" s="267">
        <f>IFERROR(__xludf.DUMMYFUNCTION("""COMPUTED_VALUE"""),44677.9986111111)</f>
        <v/>
      </c>
      <c r="AL1584" s="6">
        <f>IFERROR(__xludf.DUMMYFUNCTION("""COMPUTED_VALUE"""),38126.08)</f>
        <v/>
      </c>
      <c r="AP1584" s="6">
        <f>AQ1584&amp;AR1584</f>
        <v/>
      </c>
      <c r="AQ1584" s="6">
        <f>YEAR(AS1584)</f>
        <v/>
      </c>
      <c r="AR1584" s="6">
        <f>MONTH(AS1584)</f>
        <v/>
      </c>
      <c r="AS1584" s="267">
        <f>IFERROR(__xludf.DUMMYFUNCTION("""COMPUTED_VALUE"""),45406.9986111111)</f>
        <v/>
      </c>
      <c r="AT1584" s="6">
        <f>IFERROR(__xludf.DUMMYFUNCTION("""COMPUTED_VALUE"""),2338.4)</f>
        <v/>
      </c>
    </row>
    <row r="1585">
      <c r="B1585" s="6">
        <f>C1585&amp;D1585</f>
        <v/>
      </c>
      <c r="C1585" s="6">
        <f>YEAR(E1585)</f>
        <v/>
      </c>
      <c r="D1585" s="6">
        <f>MONTH(E1585)</f>
        <v/>
      </c>
      <c r="E1585" s="267">
        <f>IFERROR(__xludf.DUMMYFUNCTION("""COMPUTED_VALUE"""),45400.6666666666)</f>
        <v/>
      </c>
      <c r="F1585" s="6">
        <f>IFERROR(__xludf.DUMMYFUNCTION("""COMPUTED_VALUE"""),5011.12)</f>
        <v/>
      </c>
      <c r="J1585" s="6">
        <f>K1585&amp;L1585</f>
        <v/>
      </c>
      <c r="K1585" s="6">
        <f>YEAR(M1585)</f>
        <v/>
      </c>
      <c r="L1585" s="6">
        <f>MONTH(M1585)</f>
        <v/>
      </c>
      <c r="M1585" s="267">
        <f>IFERROR(__xludf.DUMMYFUNCTION("""COMPUTED_VALUE"""),45392.6666666666)</f>
        <v/>
      </c>
      <c r="N1585" s="6">
        <f>IFERROR(__xludf.DUMMYFUNCTION("""COMPUTED_VALUE"""),16170.36)</f>
        <v/>
      </c>
      <c r="R1585" s="6">
        <f>S1585&amp;T1585</f>
        <v/>
      </c>
      <c r="S1585" s="6">
        <f>YEAR(U1585)</f>
        <v/>
      </c>
      <c r="T1585" s="6">
        <f>MONTH(U1585)</f>
        <v/>
      </c>
      <c r="U1585" s="267">
        <f>IFERROR(__xludf.DUMMYFUNCTION("""COMPUTED_VALUE"""),45456.6458333333)</f>
        <v/>
      </c>
      <c r="V1585" s="6">
        <f>IFERROR(__xludf.DUMMYFUNCTION("""COMPUTED_VALUE"""),2754.89)</f>
        <v/>
      </c>
      <c r="Z1585" s="6">
        <f>AA1585&amp;AB1585</f>
        <v/>
      </c>
      <c r="AA1585" s="6">
        <f>YEAR(AC1585)</f>
        <v/>
      </c>
      <c r="AB1585" s="6">
        <f>MONTH(AC1585)</f>
        <v/>
      </c>
      <c r="AC1585" s="267">
        <f>IFERROR(__xludf.DUMMYFUNCTION("""COMPUTED_VALUE"""),44734.9986111111)</f>
        <v/>
      </c>
      <c r="AD1585" s="6">
        <f>IFERROR(__xludf.DUMMYFUNCTION("""COMPUTED_VALUE"""),1297.68)</f>
        <v/>
      </c>
      <c r="AH1585" s="6">
        <f>AI1585&amp;AJ1585</f>
        <v/>
      </c>
      <c r="AI1585" s="6">
        <f>YEAR(AK1585)</f>
        <v/>
      </c>
      <c r="AJ1585" s="6">
        <f>MONTH(AK1585)</f>
        <v/>
      </c>
      <c r="AK1585" s="267">
        <f>IFERROR(__xludf.DUMMYFUNCTION("""COMPUTED_VALUE"""),44678.9986111111)</f>
        <v/>
      </c>
      <c r="AL1585" s="6">
        <f>IFERROR(__xludf.DUMMYFUNCTION("""COMPUTED_VALUE"""),39242.54)</f>
        <v/>
      </c>
      <c r="AP1585" s="6">
        <f>AQ1585&amp;AR1585</f>
        <v/>
      </c>
      <c r="AQ1585" s="6">
        <f>YEAR(AS1585)</f>
        <v/>
      </c>
      <c r="AR1585" s="6">
        <f>MONTH(AS1585)</f>
        <v/>
      </c>
      <c r="AS1585" s="267">
        <f>IFERROR(__xludf.DUMMYFUNCTION("""COMPUTED_VALUE"""),45407.9986111111)</f>
        <v/>
      </c>
      <c r="AT1585" s="6">
        <f>IFERROR(__xludf.DUMMYFUNCTION("""COMPUTED_VALUE"""),2342.5)</f>
        <v/>
      </c>
    </row>
    <row r="1586">
      <c r="B1586" s="6">
        <f>C1586&amp;D1586</f>
        <v/>
      </c>
      <c r="C1586" s="6">
        <f>YEAR(E1586)</f>
        <v/>
      </c>
      <c r="D1586" s="6">
        <f>MONTH(E1586)</f>
        <v/>
      </c>
      <c r="E1586" s="267">
        <f>IFERROR(__xludf.DUMMYFUNCTION("""COMPUTED_VALUE"""),45401.6666666666)</f>
        <v/>
      </c>
      <c r="F1586" s="6">
        <f>IFERROR(__xludf.DUMMYFUNCTION("""COMPUTED_VALUE"""),4967.23)</f>
        <v/>
      </c>
      <c r="J1586" s="6">
        <f>K1586&amp;L1586</f>
        <v/>
      </c>
      <c r="K1586" s="6">
        <f>YEAR(M1586)</f>
        <v/>
      </c>
      <c r="L1586" s="6">
        <f>MONTH(M1586)</f>
        <v/>
      </c>
      <c r="M1586" s="267">
        <f>IFERROR(__xludf.DUMMYFUNCTION("""COMPUTED_VALUE"""),45393.6666666666)</f>
        <v/>
      </c>
      <c r="N1586" s="6">
        <f>IFERROR(__xludf.DUMMYFUNCTION("""COMPUTED_VALUE"""),16442.2)</f>
        <v/>
      </c>
      <c r="R1586" s="6">
        <f>S1586&amp;T1586</f>
        <v/>
      </c>
      <c r="S1586" s="6">
        <f>YEAR(U1586)</f>
        <v/>
      </c>
      <c r="T1586" s="6">
        <f>MONTH(U1586)</f>
        <v/>
      </c>
      <c r="U1586" s="267">
        <f>IFERROR(__xludf.DUMMYFUNCTION("""COMPUTED_VALUE"""),45457.6458333333)</f>
        <v/>
      </c>
      <c r="V1586" s="6">
        <f>IFERROR(__xludf.DUMMYFUNCTION("""COMPUTED_VALUE"""),2758.42)</f>
        <v/>
      </c>
      <c r="Z1586" s="6">
        <f>AA1586&amp;AB1586</f>
        <v/>
      </c>
      <c r="AA1586" s="6">
        <f>YEAR(AC1586)</f>
        <v/>
      </c>
      <c r="AB1586" s="6">
        <f>MONTH(AC1586)</f>
        <v/>
      </c>
      <c r="AC1586" s="267">
        <f>IFERROR(__xludf.DUMMYFUNCTION("""COMPUTED_VALUE"""),44735.9986111111)</f>
        <v/>
      </c>
      <c r="AD1586" s="6">
        <f>IFERROR(__xludf.DUMMYFUNCTION("""COMPUTED_VALUE"""),1299.81)</f>
        <v/>
      </c>
      <c r="AH1586" s="6">
        <f>AI1586&amp;AJ1586</f>
        <v/>
      </c>
      <c r="AI1586" s="6">
        <f>YEAR(AK1586)</f>
        <v/>
      </c>
      <c r="AJ1586" s="6">
        <f>MONTH(AK1586)</f>
        <v/>
      </c>
      <c r="AK1586" s="267">
        <f>IFERROR(__xludf.DUMMYFUNCTION("""COMPUTED_VALUE"""),44679.9986111111)</f>
        <v/>
      </c>
      <c r="AL1586" s="6">
        <f>IFERROR(__xludf.DUMMYFUNCTION("""COMPUTED_VALUE"""),39749.89)</f>
        <v/>
      </c>
      <c r="AP1586" s="6">
        <f>AQ1586&amp;AR1586</f>
        <v/>
      </c>
      <c r="AQ1586" s="6">
        <f>YEAR(AS1586)</f>
        <v/>
      </c>
      <c r="AR1586" s="6">
        <f>MONTH(AS1586)</f>
        <v/>
      </c>
      <c r="AS1586" s="267">
        <f>IFERROR(__xludf.DUMMYFUNCTION("""COMPUTED_VALUE"""),45408.9986111111)</f>
        <v/>
      </c>
      <c r="AT1586" s="6">
        <f>IFERROR(__xludf.DUMMYFUNCTION("""COMPUTED_VALUE"""),2347.2)</f>
        <v/>
      </c>
    </row>
    <row r="1587">
      <c r="B1587" s="6">
        <f>C1587&amp;D1587</f>
        <v/>
      </c>
      <c r="C1587" s="6">
        <f>YEAR(E1587)</f>
        <v/>
      </c>
      <c r="D1587" s="6">
        <f>MONTH(E1587)</f>
        <v/>
      </c>
      <c r="E1587" s="267">
        <f>IFERROR(__xludf.DUMMYFUNCTION("""COMPUTED_VALUE"""),45404.6666666666)</f>
        <v/>
      </c>
      <c r="F1587" s="6">
        <f>IFERROR(__xludf.DUMMYFUNCTION("""COMPUTED_VALUE"""),5010.6)</f>
        <v/>
      </c>
      <c r="J1587" s="6">
        <f>K1587&amp;L1587</f>
        <v/>
      </c>
      <c r="K1587" s="6">
        <f>YEAR(M1587)</f>
        <v/>
      </c>
      <c r="L1587" s="6">
        <f>MONTH(M1587)</f>
        <v/>
      </c>
      <c r="M1587" s="267">
        <f>IFERROR(__xludf.DUMMYFUNCTION("""COMPUTED_VALUE"""),45394.6666666666)</f>
        <v/>
      </c>
      <c r="N1587" s="6">
        <f>IFERROR(__xludf.DUMMYFUNCTION("""COMPUTED_VALUE"""),16175.09)</f>
        <v/>
      </c>
      <c r="R1587" s="6">
        <f>S1587&amp;T1587</f>
        <v/>
      </c>
      <c r="S1587" s="6">
        <f>YEAR(U1587)</f>
        <v/>
      </c>
      <c r="T1587" s="6">
        <f>MONTH(U1587)</f>
        <v/>
      </c>
      <c r="U1587" s="267">
        <f>IFERROR(__xludf.DUMMYFUNCTION("""COMPUTED_VALUE"""),45460.6458333333)</f>
        <v/>
      </c>
      <c r="V1587" s="6">
        <f>IFERROR(__xludf.DUMMYFUNCTION("""COMPUTED_VALUE"""),2744.1)</f>
        <v/>
      </c>
      <c r="Z1587" s="6">
        <f>AA1587&amp;AB1587</f>
        <v/>
      </c>
      <c r="AA1587" s="6">
        <f>YEAR(AC1587)</f>
        <v/>
      </c>
      <c r="AB1587" s="6">
        <f>MONTH(AC1587)</f>
        <v/>
      </c>
      <c r="AC1587" s="267">
        <f>IFERROR(__xludf.DUMMYFUNCTION("""COMPUTED_VALUE"""),44736.9986111111)</f>
        <v/>
      </c>
      <c r="AD1587" s="6">
        <f>IFERROR(__xludf.DUMMYFUNCTION("""COMPUTED_VALUE"""),1288.8)</f>
        <v/>
      </c>
      <c r="AH1587" s="6">
        <f>AI1587&amp;AJ1587</f>
        <v/>
      </c>
      <c r="AI1587" s="6">
        <f>YEAR(AK1587)</f>
        <v/>
      </c>
      <c r="AJ1587" s="6">
        <f>MONTH(AK1587)</f>
        <v/>
      </c>
      <c r="AK1587" s="267">
        <f>IFERROR(__xludf.DUMMYFUNCTION("""COMPUTED_VALUE"""),44680.9986111111)</f>
        <v/>
      </c>
      <c r="AL1587" s="6">
        <f>IFERROR(__xludf.DUMMYFUNCTION("""COMPUTED_VALUE"""),38586.69)</f>
        <v/>
      </c>
      <c r="AP1587" s="6">
        <f>AQ1587&amp;AR1587</f>
        <v/>
      </c>
      <c r="AQ1587" s="6">
        <f>YEAR(AS1587)</f>
        <v/>
      </c>
      <c r="AR1587" s="6">
        <f>MONTH(AS1587)</f>
        <v/>
      </c>
      <c r="AS1587" s="267">
        <f>IFERROR(__xludf.DUMMYFUNCTION("""COMPUTED_VALUE"""),45411.9986111111)</f>
        <v/>
      </c>
      <c r="AT1587" s="6">
        <f>IFERROR(__xludf.DUMMYFUNCTION("""COMPUTED_VALUE"""),2357.7)</f>
        <v/>
      </c>
    </row>
    <row r="1588">
      <c r="B1588" s="6">
        <f>C1588&amp;D1588</f>
        <v/>
      </c>
      <c r="C1588" s="6">
        <f>YEAR(E1588)</f>
        <v/>
      </c>
      <c r="D1588" s="6">
        <f>MONTH(E1588)</f>
        <v/>
      </c>
      <c r="E1588" s="267">
        <f>IFERROR(__xludf.DUMMYFUNCTION("""COMPUTED_VALUE"""),45405.6666666666)</f>
        <v/>
      </c>
      <c r="F1588" s="6">
        <f>IFERROR(__xludf.DUMMYFUNCTION("""COMPUTED_VALUE"""),5070.55)</f>
        <v/>
      </c>
      <c r="J1588" s="6">
        <f>K1588&amp;L1588</f>
        <v/>
      </c>
      <c r="K1588" s="6">
        <f>YEAR(M1588)</f>
        <v/>
      </c>
      <c r="L1588" s="6">
        <f>MONTH(M1588)</f>
        <v/>
      </c>
      <c r="M1588" s="267">
        <f>IFERROR(__xludf.DUMMYFUNCTION("""COMPUTED_VALUE"""),45397.6666666666)</f>
        <v/>
      </c>
      <c r="N1588" s="6">
        <f>IFERROR(__xludf.DUMMYFUNCTION("""COMPUTED_VALUE"""),15885.02)</f>
        <v/>
      </c>
      <c r="R1588" s="6">
        <f>S1588&amp;T1588</f>
        <v/>
      </c>
      <c r="S1588" s="6">
        <f>YEAR(U1588)</f>
        <v/>
      </c>
      <c r="T1588" s="6">
        <f>MONTH(U1588)</f>
        <v/>
      </c>
      <c r="U1588" s="267">
        <f>IFERROR(__xludf.DUMMYFUNCTION("""COMPUTED_VALUE"""),45461.6458333333)</f>
        <v/>
      </c>
      <c r="V1588" s="6">
        <f>IFERROR(__xludf.DUMMYFUNCTION("""COMPUTED_VALUE"""),2763.92)</f>
        <v/>
      </c>
      <c r="Z1588" s="6">
        <f>AA1588&amp;AB1588</f>
        <v/>
      </c>
      <c r="AA1588" s="6">
        <f>YEAR(AC1588)</f>
        <v/>
      </c>
      <c r="AB1588" s="6">
        <f>MONTH(AC1588)</f>
        <v/>
      </c>
      <c r="AC1588" s="267">
        <f>IFERROR(__xludf.DUMMYFUNCTION("""COMPUTED_VALUE"""),44737.9986111111)</f>
        <v/>
      </c>
      <c r="AD1588" s="6">
        <f>IFERROR(__xludf.DUMMYFUNCTION("""COMPUTED_VALUE"""),1288.8)</f>
        <v/>
      </c>
      <c r="AH1588" s="6">
        <f>AI1588&amp;AJ1588</f>
        <v/>
      </c>
      <c r="AI1588" s="6">
        <f>YEAR(AK1588)</f>
        <v/>
      </c>
      <c r="AJ1588" s="6">
        <f>MONTH(AK1588)</f>
        <v/>
      </c>
      <c r="AK1588" s="267">
        <f>IFERROR(__xludf.DUMMYFUNCTION("""COMPUTED_VALUE"""),44681.9986111111)</f>
        <v/>
      </c>
      <c r="AL1588" s="6">
        <f>IFERROR(__xludf.DUMMYFUNCTION("""COMPUTED_VALUE"""),37648.9)</f>
        <v/>
      </c>
      <c r="AP1588" s="6">
        <f>AQ1588&amp;AR1588</f>
        <v/>
      </c>
      <c r="AQ1588" s="6">
        <f>YEAR(AS1588)</f>
        <v/>
      </c>
      <c r="AR1588" s="6">
        <f>MONTH(AS1588)</f>
        <v/>
      </c>
      <c r="AS1588" s="267">
        <f>IFERROR(__xludf.DUMMYFUNCTION("""COMPUTED_VALUE"""),45412.9986111111)</f>
        <v/>
      </c>
      <c r="AT1588" s="6">
        <f>IFERROR(__xludf.DUMMYFUNCTION("""COMPUTED_VALUE"""),2302.9)</f>
        <v/>
      </c>
    </row>
    <row r="1589">
      <c r="B1589" s="6">
        <f>C1589&amp;D1589</f>
        <v/>
      </c>
      <c r="C1589" s="6">
        <f>YEAR(E1589)</f>
        <v/>
      </c>
      <c r="D1589" s="6">
        <f>MONTH(E1589)</f>
        <v/>
      </c>
      <c r="E1589" s="267">
        <f>IFERROR(__xludf.DUMMYFUNCTION("""COMPUTED_VALUE"""),45406.6666666666)</f>
        <v/>
      </c>
      <c r="F1589" s="6">
        <f>IFERROR(__xludf.DUMMYFUNCTION("""COMPUTED_VALUE"""),5071.63)</f>
        <v/>
      </c>
      <c r="J1589" s="6">
        <f>K1589&amp;L1589</f>
        <v/>
      </c>
      <c r="K1589" s="6">
        <f>YEAR(M1589)</f>
        <v/>
      </c>
      <c r="L1589" s="6">
        <f>MONTH(M1589)</f>
        <v/>
      </c>
      <c r="M1589" s="267">
        <f>IFERROR(__xludf.DUMMYFUNCTION("""COMPUTED_VALUE"""),45398.6666666666)</f>
        <v/>
      </c>
      <c r="N1589" s="6">
        <f>IFERROR(__xludf.DUMMYFUNCTION("""COMPUTED_VALUE"""),15865.25)</f>
        <v/>
      </c>
      <c r="R1589" s="6">
        <f>S1589&amp;T1589</f>
        <v/>
      </c>
      <c r="S1589" s="6">
        <f>YEAR(U1589)</f>
        <v/>
      </c>
      <c r="T1589" s="6">
        <f>MONTH(U1589)</f>
        <v/>
      </c>
      <c r="U1589" s="267">
        <f>IFERROR(__xludf.DUMMYFUNCTION("""COMPUTED_VALUE"""),45462.6458333333)</f>
        <v/>
      </c>
      <c r="V1589" s="6">
        <f>IFERROR(__xludf.DUMMYFUNCTION("""COMPUTED_VALUE"""),2797.33)</f>
        <v/>
      </c>
      <c r="Z1589" s="6">
        <f>AA1589&amp;AB1589</f>
        <v/>
      </c>
      <c r="AA1589" s="6">
        <f>YEAR(AC1589)</f>
        <v/>
      </c>
      <c r="AB1589" s="6">
        <f>MONTH(AC1589)</f>
        <v/>
      </c>
      <c r="AC1589" s="267">
        <f>IFERROR(__xludf.DUMMYFUNCTION("""COMPUTED_VALUE"""),44738.9986111111)</f>
        <v/>
      </c>
      <c r="AD1589" s="6">
        <f>IFERROR(__xludf.DUMMYFUNCTION("""COMPUTED_VALUE"""),1288.29)</f>
        <v/>
      </c>
      <c r="AH1589" s="6">
        <f>AI1589&amp;AJ1589</f>
        <v/>
      </c>
      <c r="AI1589" s="6">
        <f>YEAR(AK1589)</f>
        <v/>
      </c>
      <c r="AJ1589" s="6">
        <f>MONTH(AK1589)</f>
        <v/>
      </c>
      <c r="AK1589" s="267">
        <f>IFERROR(__xludf.DUMMYFUNCTION("""COMPUTED_VALUE"""),44682.9986111111)</f>
        <v/>
      </c>
      <c r="AL1589" s="6">
        <f>IFERROR(__xludf.DUMMYFUNCTION("""COMPUTED_VALUE"""),38481.88)</f>
        <v/>
      </c>
      <c r="AP1589" s="6">
        <f>AQ1589&amp;AR1589</f>
        <v/>
      </c>
      <c r="AQ1589" s="6">
        <f>YEAR(AS1589)</f>
        <v/>
      </c>
      <c r="AR1589" s="6">
        <f>MONTH(AS1589)</f>
        <v/>
      </c>
      <c r="AS1589" s="267">
        <f>IFERROR(__xludf.DUMMYFUNCTION("""COMPUTED_VALUE"""),45413.9986111111)</f>
        <v/>
      </c>
      <c r="AT1589" s="6">
        <f>IFERROR(__xludf.DUMMYFUNCTION("""COMPUTED_VALUE"""),2311)</f>
        <v/>
      </c>
    </row>
    <row r="1590">
      <c r="B1590" s="6">
        <f>C1590&amp;D1590</f>
        <v/>
      </c>
      <c r="C1590" s="6">
        <f>YEAR(E1590)</f>
        <v/>
      </c>
      <c r="D1590" s="6">
        <f>MONTH(E1590)</f>
        <v/>
      </c>
      <c r="E1590" s="267">
        <f>IFERROR(__xludf.DUMMYFUNCTION("""COMPUTED_VALUE"""),45407.6666666666)</f>
        <v/>
      </c>
      <c r="F1590" s="6">
        <f>IFERROR(__xludf.DUMMYFUNCTION("""COMPUTED_VALUE"""),5048.42)</f>
        <v/>
      </c>
      <c r="J1590" s="6">
        <f>K1590&amp;L1590</f>
        <v/>
      </c>
      <c r="K1590" s="6">
        <f>YEAR(M1590)</f>
        <v/>
      </c>
      <c r="L1590" s="6">
        <f>MONTH(M1590)</f>
        <v/>
      </c>
      <c r="M1590" s="267">
        <f>IFERROR(__xludf.DUMMYFUNCTION("""COMPUTED_VALUE"""),45399.6666666666)</f>
        <v/>
      </c>
      <c r="N1590" s="6">
        <f>IFERROR(__xludf.DUMMYFUNCTION("""COMPUTED_VALUE"""),15683.37)</f>
        <v/>
      </c>
      <c r="R1590" s="6">
        <f>S1590&amp;T1590</f>
        <v/>
      </c>
      <c r="S1590" s="6">
        <f>YEAR(U1590)</f>
        <v/>
      </c>
      <c r="T1590" s="6">
        <f>MONTH(U1590)</f>
        <v/>
      </c>
      <c r="U1590" s="267">
        <f>IFERROR(__xludf.DUMMYFUNCTION("""COMPUTED_VALUE"""),45463.6458333333)</f>
        <v/>
      </c>
      <c r="V1590" s="6">
        <f>IFERROR(__xludf.DUMMYFUNCTION("""COMPUTED_VALUE"""),2807.63)</f>
        <v/>
      </c>
      <c r="Z1590" s="6">
        <f>AA1590&amp;AB1590</f>
        <v/>
      </c>
      <c r="AA1590" s="6">
        <f>YEAR(AC1590)</f>
        <v/>
      </c>
      <c r="AB1590" s="6">
        <f>MONTH(AC1590)</f>
        <v/>
      </c>
      <c r="AC1590" s="267">
        <f>IFERROR(__xludf.DUMMYFUNCTION("""COMPUTED_VALUE"""),44739.9986111111)</f>
        <v/>
      </c>
      <c r="AD1590" s="6">
        <f>IFERROR(__xludf.DUMMYFUNCTION("""COMPUTED_VALUE"""),1286.2)</f>
        <v/>
      </c>
      <c r="AH1590" s="6">
        <f>AI1590&amp;AJ1590</f>
        <v/>
      </c>
      <c r="AI1590" s="6">
        <f>YEAR(AK1590)</f>
        <v/>
      </c>
      <c r="AJ1590" s="6">
        <f>MONTH(AK1590)</f>
        <v/>
      </c>
      <c r="AK1590" s="267">
        <f>IFERROR(__xludf.DUMMYFUNCTION("""COMPUTED_VALUE"""),44683.9986111111)</f>
        <v/>
      </c>
      <c r="AL1590" s="6">
        <f>IFERROR(__xludf.DUMMYFUNCTION("""COMPUTED_VALUE"""),38508.14)</f>
        <v/>
      </c>
      <c r="AP1590" s="6">
        <f>AQ1590&amp;AR1590</f>
        <v/>
      </c>
      <c r="AQ1590" s="6">
        <f>YEAR(AS1590)</f>
        <v/>
      </c>
      <c r="AR1590" s="6">
        <f>MONTH(AS1590)</f>
        <v/>
      </c>
      <c r="AS1590" s="267">
        <f>IFERROR(__xludf.DUMMYFUNCTION("""COMPUTED_VALUE"""),45414.9986111111)</f>
        <v/>
      </c>
      <c r="AT1590" s="6">
        <f>IFERROR(__xludf.DUMMYFUNCTION("""COMPUTED_VALUE"""),2309.6)</f>
        <v/>
      </c>
    </row>
    <row r="1591">
      <c r="B1591" s="6">
        <f>C1591&amp;D1591</f>
        <v/>
      </c>
      <c r="C1591" s="6">
        <f>YEAR(E1591)</f>
        <v/>
      </c>
      <c r="D1591" s="6">
        <f>MONTH(E1591)</f>
        <v/>
      </c>
      <c r="E1591" s="267">
        <f>IFERROR(__xludf.DUMMYFUNCTION("""COMPUTED_VALUE"""),45408.6666666666)</f>
        <v/>
      </c>
      <c r="F1591" s="6">
        <f>IFERROR(__xludf.DUMMYFUNCTION("""COMPUTED_VALUE"""),5099.96)</f>
        <v/>
      </c>
      <c r="J1591" s="6">
        <f>K1591&amp;L1591</f>
        <v/>
      </c>
      <c r="K1591" s="6">
        <f>YEAR(M1591)</f>
        <v/>
      </c>
      <c r="L1591" s="6">
        <f>MONTH(M1591)</f>
        <v/>
      </c>
      <c r="M1591" s="267">
        <f>IFERROR(__xludf.DUMMYFUNCTION("""COMPUTED_VALUE"""),45400.6666666666)</f>
        <v/>
      </c>
      <c r="N1591" s="6">
        <f>IFERROR(__xludf.DUMMYFUNCTION("""COMPUTED_VALUE"""),15601.5)</f>
        <v/>
      </c>
      <c r="R1591" s="6">
        <f>S1591&amp;T1591</f>
        <v/>
      </c>
      <c r="S1591" s="6">
        <f>YEAR(U1591)</f>
        <v/>
      </c>
      <c r="T1591" s="6">
        <f>MONTH(U1591)</f>
        <v/>
      </c>
      <c r="U1591" s="267">
        <f>IFERROR(__xludf.DUMMYFUNCTION("""COMPUTED_VALUE"""),45464.6458333333)</f>
        <v/>
      </c>
      <c r="V1591" s="6">
        <f>IFERROR(__xludf.DUMMYFUNCTION("""COMPUTED_VALUE"""),2784.26)</f>
        <v/>
      </c>
      <c r="Z1591" s="6">
        <f>AA1591&amp;AB1591</f>
        <v/>
      </c>
      <c r="AA1591" s="6">
        <f>YEAR(AC1591)</f>
        <v/>
      </c>
      <c r="AB1591" s="6">
        <f>MONTH(AC1591)</f>
        <v/>
      </c>
      <c r="AC1591" s="267">
        <f>IFERROR(__xludf.DUMMYFUNCTION("""COMPUTED_VALUE"""),44740.9986111111)</f>
        <v/>
      </c>
      <c r="AD1591" s="6">
        <f>IFERROR(__xludf.DUMMYFUNCTION("""COMPUTED_VALUE"""),1292.03)</f>
        <v/>
      </c>
      <c r="AH1591" s="6">
        <f>AI1591&amp;AJ1591</f>
        <v/>
      </c>
      <c r="AI1591" s="6">
        <f>YEAR(AK1591)</f>
        <v/>
      </c>
      <c r="AJ1591" s="6">
        <f>MONTH(AK1591)</f>
        <v/>
      </c>
      <c r="AK1591" s="267">
        <f>IFERROR(__xludf.DUMMYFUNCTION("""COMPUTED_VALUE"""),44684.9986111111)</f>
        <v/>
      </c>
      <c r="AL1591" s="6">
        <f>IFERROR(__xludf.DUMMYFUNCTION("""COMPUTED_VALUE"""),37719.81)</f>
        <v/>
      </c>
      <c r="AP1591" s="6">
        <f>AQ1591&amp;AR1591</f>
        <v/>
      </c>
      <c r="AQ1591" s="6">
        <f>YEAR(AS1591)</f>
        <v/>
      </c>
      <c r="AR1591" s="6">
        <f>MONTH(AS1591)</f>
        <v/>
      </c>
      <c r="AS1591" s="267">
        <f>IFERROR(__xludf.DUMMYFUNCTION("""COMPUTED_VALUE"""),45415.9986111111)</f>
        <v/>
      </c>
      <c r="AT1591" s="6">
        <f>IFERROR(__xludf.DUMMYFUNCTION("""COMPUTED_VALUE"""),2308.6)</f>
        <v/>
      </c>
    </row>
    <row r="1592">
      <c r="B1592" s="6">
        <f>C1592&amp;D1592</f>
        <v/>
      </c>
      <c r="C1592" s="6">
        <f>YEAR(E1592)</f>
        <v/>
      </c>
      <c r="D1592" s="6">
        <f>MONTH(E1592)</f>
        <v/>
      </c>
      <c r="E1592" s="267">
        <f>IFERROR(__xludf.DUMMYFUNCTION("""COMPUTED_VALUE"""),45411.6666666666)</f>
        <v/>
      </c>
      <c r="F1592" s="6">
        <f>IFERROR(__xludf.DUMMYFUNCTION("""COMPUTED_VALUE"""),5116.17)</f>
        <v/>
      </c>
      <c r="J1592" s="6">
        <f>K1592&amp;L1592</f>
        <v/>
      </c>
      <c r="K1592" s="6">
        <f>YEAR(M1592)</f>
        <v/>
      </c>
      <c r="L1592" s="6">
        <f>MONTH(M1592)</f>
        <v/>
      </c>
      <c r="M1592" s="267">
        <f>IFERROR(__xludf.DUMMYFUNCTION("""COMPUTED_VALUE"""),45401.6666666666)</f>
        <v/>
      </c>
      <c r="N1592" s="6">
        <f>IFERROR(__xludf.DUMMYFUNCTION("""COMPUTED_VALUE"""),15282.01)</f>
        <v/>
      </c>
      <c r="R1592" s="6">
        <f>S1592&amp;T1592</f>
        <v/>
      </c>
      <c r="S1592" s="6">
        <f>YEAR(U1592)</f>
        <v/>
      </c>
      <c r="T1592" s="6">
        <f>MONTH(U1592)</f>
        <v/>
      </c>
      <c r="U1592" s="267">
        <f>IFERROR(__xludf.DUMMYFUNCTION("""COMPUTED_VALUE"""),45467.6458333333)</f>
        <v/>
      </c>
      <c r="V1592" s="6">
        <f>IFERROR(__xludf.DUMMYFUNCTION("""COMPUTED_VALUE"""),2764.73)</f>
        <v/>
      </c>
      <c r="Z1592" s="6">
        <f>AA1592&amp;AB1592</f>
        <v/>
      </c>
      <c r="AA1592" s="6">
        <f>YEAR(AC1592)</f>
        <v/>
      </c>
      <c r="AB1592" s="6">
        <f>MONTH(AC1592)</f>
        <v/>
      </c>
      <c r="AC1592" s="267">
        <f>IFERROR(__xludf.DUMMYFUNCTION("""COMPUTED_VALUE"""),44741.9986111111)</f>
        <v/>
      </c>
      <c r="AD1592" s="6">
        <f>IFERROR(__xludf.DUMMYFUNCTION("""COMPUTED_VALUE"""),1301.73)</f>
        <v/>
      </c>
      <c r="AH1592" s="6">
        <f>AI1592&amp;AJ1592</f>
        <v/>
      </c>
      <c r="AI1592" s="6">
        <f>YEAR(AK1592)</f>
        <v/>
      </c>
      <c r="AJ1592" s="6">
        <f>MONTH(AK1592)</f>
        <v/>
      </c>
      <c r="AK1592" s="267">
        <f>IFERROR(__xludf.DUMMYFUNCTION("""COMPUTED_VALUE"""),44685.9986111111)</f>
        <v/>
      </c>
      <c r="AL1592" s="6">
        <f>IFERROR(__xludf.DUMMYFUNCTION("""COMPUTED_VALUE"""),39680.81)</f>
        <v/>
      </c>
      <c r="AP1592" s="6">
        <f>AQ1592&amp;AR1592</f>
        <v/>
      </c>
      <c r="AQ1592" s="6">
        <f>YEAR(AS1592)</f>
        <v/>
      </c>
      <c r="AR1592" s="6">
        <f>MONTH(AS1592)</f>
        <v/>
      </c>
      <c r="AS1592" s="267">
        <f>IFERROR(__xludf.DUMMYFUNCTION("""COMPUTED_VALUE"""),45418.9986111111)</f>
        <v/>
      </c>
      <c r="AT1592" s="6">
        <f>IFERROR(__xludf.DUMMYFUNCTION("""COMPUTED_VALUE"""),2331.2)</f>
        <v/>
      </c>
    </row>
    <row r="1593">
      <c r="B1593" s="6">
        <f>C1593&amp;D1593</f>
        <v/>
      </c>
      <c r="C1593" s="6">
        <f>YEAR(E1593)</f>
        <v/>
      </c>
      <c r="D1593" s="6">
        <f>MONTH(E1593)</f>
        <v/>
      </c>
      <c r="E1593" s="267">
        <f>IFERROR(__xludf.DUMMYFUNCTION("""COMPUTED_VALUE"""),45412.6666666666)</f>
        <v/>
      </c>
      <c r="F1593" s="6">
        <f>IFERROR(__xludf.DUMMYFUNCTION("""COMPUTED_VALUE"""),5035.69)</f>
        <v/>
      </c>
      <c r="J1593" s="6">
        <f>K1593&amp;L1593</f>
        <v/>
      </c>
      <c r="K1593" s="6">
        <f>YEAR(M1593)</f>
        <v/>
      </c>
      <c r="L1593" s="6">
        <f>MONTH(M1593)</f>
        <v/>
      </c>
      <c r="M1593" s="267">
        <f>IFERROR(__xludf.DUMMYFUNCTION("""COMPUTED_VALUE"""),45404.6666666666)</f>
        <v/>
      </c>
      <c r="N1593" s="6">
        <f>IFERROR(__xludf.DUMMYFUNCTION("""COMPUTED_VALUE"""),15451.31)</f>
        <v/>
      </c>
      <c r="R1593" s="6">
        <f>S1593&amp;T1593</f>
        <v/>
      </c>
      <c r="S1593" s="6">
        <f>YEAR(U1593)</f>
        <v/>
      </c>
      <c r="T1593" s="6">
        <f>MONTH(U1593)</f>
        <v/>
      </c>
      <c r="U1593" s="267">
        <f>IFERROR(__xludf.DUMMYFUNCTION("""COMPUTED_VALUE"""),45468.6458333333)</f>
        <v/>
      </c>
      <c r="V1593" s="6">
        <f>IFERROR(__xludf.DUMMYFUNCTION("""COMPUTED_VALUE"""),2774.39)</f>
        <v/>
      </c>
      <c r="Z1593" s="6">
        <f>AA1593&amp;AB1593</f>
        <v/>
      </c>
      <c r="AA1593" s="6">
        <f>YEAR(AC1593)</f>
        <v/>
      </c>
      <c r="AB1593" s="6">
        <f>MONTH(AC1593)</f>
        <v/>
      </c>
      <c r="AC1593" s="267">
        <f>IFERROR(__xludf.DUMMYFUNCTION("""COMPUTED_VALUE"""),44742.9986111111)</f>
        <v/>
      </c>
      <c r="AD1593" s="6">
        <f>IFERROR(__xludf.DUMMYFUNCTION("""COMPUTED_VALUE"""),1287.71)</f>
        <v/>
      </c>
      <c r="AH1593" s="6">
        <f>AI1593&amp;AJ1593</f>
        <v/>
      </c>
      <c r="AI1593" s="6">
        <f>YEAR(AK1593)</f>
        <v/>
      </c>
      <c r="AJ1593" s="6">
        <f>MONTH(AK1593)</f>
        <v/>
      </c>
      <c r="AK1593" s="267">
        <f>IFERROR(__xludf.DUMMYFUNCTION("""COMPUTED_VALUE"""),44686.9986111111)</f>
        <v/>
      </c>
      <c r="AL1593" s="6">
        <f>IFERROR(__xludf.DUMMYFUNCTION("""COMPUTED_VALUE"""),36544.63)</f>
        <v/>
      </c>
      <c r="AP1593" s="6">
        <f>AQ1593&amp;AR1593</f>
        <v/>
      </c>
      <c r="AQ1593" s="6">
        <f>YEAR(AS1593)</f>
        <v/>
      </c>
      <c r="AR1593" s="6">
        <f>MONTH(AS1593)</f>
        <v/>
      </c>
      <c r="AS1593" s="267">
        <f>IFERROR(__xludf.DUMMYFUNCTION("""COMPUTED_VALUE"""),45419.9986111111)</f>
        <v/>
      </c>
      <c r="AT1593" s="6">
        <f>IFERROR(__xludf.DUMMYFUNCTION("""COMPUTED_VALUE"""),2324.2)</f>
        <v/>
      </c>
    </row>
    <row r="1594">
      <c r="B1594" s="6">
        <f>C1594&amp;D1594</f>
        <v/>
      </c>
      <c r="C1594" s="6">
        <f>YEAR(E1594)</f>
        <v/>
      </c>
      <c r="D1594" s="6">
        <f>MONTH(E1594)</f>
        <v/>
      </c>
      <c r="E1594" s="267">
        <f>IFERROR(__xludf.DUMMYFUNCTION("""COMPUTED_VALUE"""),45413.6666666666)</f>
        <v/>
      </c>
      <c r="F1594" s="6">
        <f>IFERROR(__xludf.DUMMYFUNCTION("""COMPUTED_VALUE"""),5018.39)</f>
        <v/>
      </c>
      <c r="J1594" s="6">
        <f>K1594&amp;L1594</f>
        <v/>
      </c>
      <c r="K1594" s="6">
        <f>YEAR(M1594)</f>
        <v/>
      </c>
      <c r="L1594" s="6">
        <f>MONTH(M1594)</f>
        <v/>
      </c>
      <c r="M1594" s="267">
        <f>IFERROR(__xludf.DUMMYFUNCTION("""COMPUTED_VALUE"""),45405.6666666666)</f>
        <v/>
      </c>
      <c r="N1594" s="6">
        <f>IFERROR(__xludf.DUMMYFUNCTION("""COMPUTED_VALUE"""),15696.64)</f>
        <v/>
      </c>
      <c r="R1594" s="6">
        <f>S1594&amp;T1594</f>
        <v/>
      </c>
      <c r="S1594" s="6">
        <f>YEAR(U1594)</f>
        <v/>
      </c>
      <c r="T1594" s="6">
        <f>MONTH(U1594)</f>
        <v/>
      </c>
      <c r="U1594" s="267">
        <f>IFERROR(__xludf.DUMMYFUNCTION("""COMPUTED_VALUE"""),45469.6458333333)</f>
        <v/>
      </c>
      <c r="V1594" s="6">
        <f>IFERROR(__xludf.DUMMYFUNCTION("""COMPUTED_VALUE"""),2792.05)</f>
        <v/>
      </c>
      <c r="Z1594" s="6">
        <f>AA1594&amp;AB1594</f>
        <v/>
      </c>
      <c r="AA1594" s="6">
        <f>YEAR(AC1594)</f>
        <v/>
      </c>
      <c r="AB1594" s="6">
        <f>MONTH(AC1594)</f>
        <v/>
      </c>
      <c r="AC1594" s="267">
        <f>IFERROR(__xludf.DUMMYFUNCTION("""COMPUTED_VALUE"""),44743.9986111111)</f>
        <v/>
      </c>
      <c r="AD1594" s="6">
        <f>IFERROR(__xludf.DUMMYFUNCTION("""COMPUTED_VALUE"""),1297.79)</f>
        <v/>
      </c>
      <c r="AH1594" s="6">
        <f>AI1594&amp;AJ1594</f>
        <v/>
      </c>
      <c r="AI1594" s="6">
        <f>YEAR(AK1594)</f>
        <v/>
      </c>
      <c r="AJ1594" s="6">
        <f>MONTH(AK1594)</f>
        <v/>
      </c>
      <c r="AK1594" s="267">
        <f>IFERROR(__xludf.DUMMYFUNCTION("""COMPUTED_VALUE"""),44687.9986111111)</f>
        <v/>
      </c>
      <c r="AL1594" s="6">
        <f>IFERROR(__xludf.DUMMYFUNCTION("""COMPUTED_VALUE"""),36008.08)</f>
        <v/>
      </c>
      <c r="AP1594" s="6">
        <f>AQ1594&amp;AR1594</f>
        <v/>
      </c>
      <c r="AQ1594" s="6">
        <f>YEAR(AS1594)</f>
        <v/>
      </c>
      <c r="AR1594" s="6">
        <f>MONTH(AS1594)</f>
        <v/>
      </c>
      <c r="AS1594" s="267">
        <f>IFERROR(__xludf.DUMMYFUNCTION("""COMPUTED_VALUE"""),45420.9986111111)</f>
        <v/>
      </c>
      <c r="AT1594" s="6">
        <f>IFERROR(__xludf.DUMMYFUNCTION("""COMPUTED_VALUE"""),2322.3)</f>
        <v/>
      </c>
    </row>
    <row r="1595">
      <c r="B1595" s="6">
        <f>C1595&amp;D1595</f>
        <v/>
      </c>
      <c r="C1595" s="6">
        <f>YEAR(E1595)</f>
        <v/>
      </c>
      <c r="D1595" s="6">
        <f>MONTH(E1595)</f>
        <v/>
      </c>
      <c r="E1595" s="267">
        <f>IFERROR(__xludf.DUMMYFUNCTION("""COMPUTED_VALUE"""),45414.6666666666)</f>
        <v/>
      </c>
      <c r="F1595" s="6">
        <f>IFERROR(__xludf.DUMMYFUNCTION("""COMPUTED_VALUE"""),5064.2)</f>
        <v/>
      </c>
      <c r="J1595" s="6">
        <f>K1595&amp;L1595</f>
        <v/>
      </c>
      <c r="K1595" s="6">
        <f>YEAR(M1595)</f>
        <v/>
      </c>
      <c r="L1595" s="6">
        <f>MONTH(M1595)</f>
        <v/>
      </c>
      <c r="M1595" s="267">
        <f>IFERROR(__xludf.DUMMYFUNCTION("""COMPUTED_VALUE"""),45406.6666666666)</f>
        <v/>
      </c>
      <c r="N1595" s="6">
        <f>IFERROR(__xludf.DUMMYFUNCTION("""COMPUTED_VALUE"""),15712.75)</f>
        <v/>
      </c>
      <c r="R1595" s="6">
        <f>S1595&amp;T1595</f>
        <v/>
      </c>
      <c r="S1595" s="6">
        <f>YEAR(U1595)</f>
        <v/>
      </c>
      <c r="T1595" s="6">
        <f>MONTH(U1595)</f>
        <v/>
      </c>
      <c r="U1595" s="267">
        <f>IFERROR(__xludf.DUMMYFUNCTION("""COMPUTED_VALUE"""),45470.6458333333)</f>
        <v/>
      </c>
      <c r="V1595" s="6">
        <f>IFERROR(__xludf.DUMMYFUNCTION("""COMPUTED_VALUE"""),2784.06)</f>
        <v/>
      </c>
      <c r="Z1595" s="6">
        <f>AA1595&amp;AB1595</f>
        <v/>
      </c>
      <c r="AA1595" s="6">
        <f>YEAR(AC1595)</f>
        <v/>
      </c>
      <c r="AB1595" s="6">
        <f>MONTH(AC1595)</f>
        <v/>
      </c>
      <c r="AC1595" s="267">
        <f>IFERROR(__xludf.DUMMYFUNCTION("""COMPUTED_VALUE"""),44744.9986111111)</f>
        <v/>
      </c>
      <c r="AD1595" s="6">
        <f>IFERROR(__xludf.DUMMYFUNCTION("""COMPUTED_VALUE"""),1297.79)</f>
        <v/>
      </c>
      <c r="AH1595" s="6">
        <f>AI1595&amp;AJ1595</f>
        <v/>
      </c>
      <c r="AI1595" s="6">
        <f>YEAR(AK1595)</f>
        <v/>
      </c>
      <c r="AJ1595" s="6">
        <f>MONTH(AK1595)</f>
        <v/>
      </c>
      <c r="AK1595" s="267">
        <f>IFERROR(__xludf.DUMMYFUNCTION("""COMPUTED_VALUE"""),44688.9986111111)</f>
        <v/>
      </c>
      <c r="AL1595" s="6">
        <f>IFERROR(__xludf.DUMMYFUNCTION("""COMPUTED_VALUE"""),35468.61)</f>
        <v/>
      </c>
      <c r="AP1595" s="6">
        <f>AQ1595&amp;AR1595</f>
        <v/>
      </c>
      <c r="AQ1595" s="6">
        <f>YEAR(AS1595)</f>
        <v/>
      </c>
      <c r="AR1595" s="6">
        <f>MONTH(AS1595)</f>
        <v/>
      </c>
      <c r="AS1595" s="267">
        <f>IFERROR(__xludf.DUMMYFUNCTION("""COMPUTED_VALUE"""),45421.9986111111)</f>
        <v/>
      </c>
      <c r="AT1595" s="6">
        <f>IFERROR(__xludf.DUMMYFUNCTION("""COMPUTED_VALUE"""),2340.3)</f>
        <v/>
      </c>
    </row>
    <row r="1596">
      <c r="B1596" s="6">
        <f>C1596&amp;D1596</f>
        <v/>
      </c>
      <c r="C1596" s="6">
        <f>YEAR(E1596)</f>
        <v/>
      </c>
      <c r="D1596" s="6">
        <f>MONTH(E1596)</f>
        <v/>
      </c>
      <c r="E1596" s="267">
        <f>IFERROR(__xludf.DUMMYFUNCTION("""COMPUTED_VALUE"""),45415.6666666666)</f>
        <v/>
      </c>
      <c r="F1596" s="6">
        <f>IFERROR(__xludf.DUMMYFUNCTION("""COMPUTED_VALUE"""),5127.79)</f>
        <v/>
      </c>
      <c r="J1596" s="6">
        <f>K1596&amp;L1596</f>
        <v/>
      </c>
      <c r="K1596" s="6">
        <f>YEAR(M1596)</f>
        <v/>
      </c>
      <c r="L1596" s="6">
        <f>MONTH(M1596)</f>
        <v/>
      </c>
      <c r="M1596" s="267">
        <f>IFERROR(__xludf.DUMMYFUNCTION("""COMPUTED_VALUE"""),45407.6666666666)</f>
        <v/>
      </c>
      <c r="N1596" s="6">
        <f>IFERROR(__xludf.DUMMYFUNCTION("""COMPUTED_VALUE"""),15611.76)</f>
        <v/>
      </c>
      <c r="R1596" s="6">
        <f>S1596&amp;T1596</f>
        <v/>
      </c>
      <c r="S1596" s="6">
        <f>YEAR(U1596)</f>
        <v/>
      </c>
      <c r="T1596" s="6">
        <f>MONTH(U1596)</f>
        <v/>
      </c>
      <c r="U1596" s="267">
        <f>IFERROR(__xludf.DUMMYFUNCTION("""COMPUTED_VALUE"""),45471.6458333333)</f>
        <v/>
      </c>
      <c r="V1596" s="6">
        <f>IFERROR(__xludf.DUMMYFUNCTION("""COMPUTED_VALUE"""),2797.82)</f>
        <v/>
      </c>
      <c r="Z1596" s="6">
        <f>AA1596&amp;AB1596</f>
        <v/>
      </c>
      <c r="AA1596" s="6">
        <f>YEAR(AC1596)</f>
        <v/>
      </c>
      <c r="AB1596" s="6">
        <f>MONTH(AC1596)</f>
        <v/>
      </c>
      <c r="AC1596" s="267">
        <f>IFERROR(__xludf.DUMMYFUNCTION("""COMPUTED_VALUE"""),44745.9986111111)</f>
        <v/>
      </c>
      <c r="AD1596" s="6">
        <f>IFERROR(__xludf.DUMMYFUNCTION("""COMPUTED_VALUE"""),1297.89)</f>
        <v/>
      </c>
      <c r="AH1596" s="6">
        <f>AI1596&amp;AJ1596</f>
        <v/>
      </c>
      <c r="AI1596" s="6">
        <f>YEAR(AK1596)</f>
        <v/>
      </c>
      <c r="AJ1596" s="6">
        <f>MONTH(AK1596)</f>
        <v/>
      </c>
      <c r="AK1596" s="267">
        <f>IFERROR(__xludf.DUMMYFUNCTION("""COMPUTED_VALUE"""),44689.9986111111)</f>
        <v/>
      </c>
      <c r="AL1596" s="6">
        <f>IFERROR(__xludf.DUMMYFUNCTION("""COMPUTED_VALUE"""),34036.79)</f>
        <v/>
      </c>
      <c r="AP1596" s="6">
        <f>AQ1596&amp;AR1596</f>
        <v/>
      </c>
      <c r="AQ1596" s="6">
        <f>YEAR(AS1596)</f>
        <v/>
      </c>
      <c r="AR1596" s="6">
        <f>MONTH(AS1596)</f>
        <v/>
      </c>
      <c r="AS1596" s="267">
        <f>IFERROR(__xludf.DUMMYFUNCTION("""COMPUTED_VALUE"""),45422.9986111111)</f>
        <v/>
      </c>
      <c r="AT1596" s="6">
        <f>IFERROR(__xludf.DUMMYFUNCTION("""COMPUTED_VALUE"""),2375)</f>
        <v/>
      </c>
    </row>
    <row r="1597">
      <c r="B1597" s="6">
        <f>C1597&amp;D1597</f>
        <v/>
      </c>
      <c r="C1597" s="6">
        <f>YEAR(E1597)</f>
        <v/>
      </c>
      <c r="D1597" s="6">
        <f>MONTH(E1597)</f>
        <v/>
      </c>
      <c r="E1597" s="267">
        <f>IFERROR(__xludf.DUMMYFUNCTION("""COMPUTED_VALUE"""),45418.6666666666)</f>
        <v/>
      </c>
      <c r="F1597" s="6">
        <f>IFERROR(__xludf.DUMMYFUNCTION("""COMPUTED_VALUE"""),5180.74)</f>
        <v/>
      </c>
      <c r="J1597" s="6">
        <f>K1597&amp;L1597</f>
        <v/>
      </c>
      <c r="K1597" s="6">
        <f>YEAR(M1597)</f>
        <v/>
      </c>
      <c r="L1597" s="6">
        <f>MONTH(M1597)</f>
        <v/>
      </c>
      <c r="M1597" s="267">
        <f>IFERROR(__xludf.DUMMYFUNCTION("""COMPUTED_VALUE"""),45408.6666666666)</f>
        <v/>
      </c>
      <c r="N1597" s="6">
        <f>IFERROR(__xludf.DUMMYFUNCTION("""COMPUTED_VALUE"""),15927.9)</f>
        <v/>
      </c>
      <c r="R1597" s="6">
        <f>S1597&amp;T1597</f>
        <v/>
      </c>
      <c r="S1597" s="6">
        <f>YEAR(U1597)</f>
        <v/>
      </c>
      <c r="T1597" s="6">
        <f>MONTH(U1597)</f>
        <v/>
      </c>
      <c r="U1597" s="267">
        <f>IFERROR(__xludf.DUMMYFUNCTION("""COMPUTED_VALUE"""),45474.6458333333)</f>
        <v/>
      </c>
      <c r="V1597" s="6">
        <f>IFERROR(__xludf.DUMMYFUNCTION("""COMPUTED_VALUE"""),2804.31)</f>
        <v/>
      </c>
      <c r="Z1597" s="6">
        <f>AA1597&amp;AB1597</f>
        <v/>
      </c>
      <c r="AA1597" s="6">
        <f>YEAR(AC1597)</f>
        <v/>
      </c>
      <c r="AB1597" s="6">
        <f>MONTH(AC1597)</f>
        <v/>
      </c>
      <c r="AC1597" s="267">
        <f>IFERROR(__xludf.DUMMYFUNCTION("""COMPUTED_VALUE"""),44746.9986111111)</f>
        <v/>
      </c>
      <c r="AD1597" s="6">
        <f>IFERROR(__xludf.DUMMYFUNCTION("""COMPUTED_VALUE"""),1295.68)</f>
        <v/>
      </c>
      <c r="AH1597" s="6">
        <f>AI1597&amp;AJ1597</f>
        <v/>
      </c>
      <c r="AI1597" s="6">
        <f>YEAR(AK1597)</f>
        <v/>
      </c>
      <c r="AJ1597" s="6">
        <f>MONTH(AK1597)</f>
        <v/>
      </c>
      <c r="AK1597" s="267">
        <f>IFERROR(__xludf.DUMMYFUNCTION("""COMPUTED_VALUE"""),44690.9986111111)</f>
        <v/>
      </c>
      <c r="AL1597" s="6">
        <f>IFERROR(__xludf.DUMMYFUNCTION("""COMPUTED_VALUE"""),30082.03)</f>
        <v/>
      </c>
      <c r="AP1597" s="6">
        <f>AQ1597&amp;AR1597</f>
        <v/>
      </c>
      <c r="AQ1597" s="6">
        <f>YEAR(AS1597)</f>
        <v/>
      </c>
      <c r="AR1597" s="6">
        <f>MONTH(AS1597)</f>
        <v/>
      </c>
      <c r="AS1597" s="267">
        <f>IFERROR(__xludf.DUMMYFUNCTION("""COMPUTED_VALUE"""),45425.9986111111)</f>
        <v/>
      </c>
      <c r="AT1597" s="6">
        <f>IFERROR(__xludf.DUMMYFUNCTION("""COMPUTED_VALUE"""),2343)</f>
        <v/>
      </c>
    </row>
    <row r="1598">
      <c r="B1598" s="6">
        <f>C1598&amp;D1598</f>
        <v/>
      </c>
      <c r="C1598" s="6">
        <f>YEAR(E1598)</f>
        <v/>
      </c>
      <c r="D1598" s="6">
        <f>MONTH(E1598)</f>
        <v/>
      </c>
      <c r="E1598" s="267">
        <f>IFERROR(__xludf.DUMMYFUNCTION("""COMPUTED_VALUE"""),45419.6666666666)</f>
        <v/>
      </c>
      <c r="F1598" s="6">
        <f>IFERROR(__xludf.DUMMYFUNCTION("""COMPUTED_VALUE"""),5187.7)</f>
        <v/>
      </c>
      <c r="J1598" s="6">
        <f>K1598&amp;L1598</f>
        <v/>
      </c>
      <c r="K1598" s="6">
        <f>YEAR(M1598)</f>
        <v/>
      </c>
      <c r="L1598" s="6">
        <f>MONTH(M1598)</f>
        <v/>
      </c>
      <c r="M1598" s="267">
        <f>IFERROR(__xludf.DUMMYFUNCTION("""COMPUTED_VALUE"""),45411.6666666666)</f>
        <v/>
      </c>
      <c r="N1598" s="6">
        <f>IFERROR(__xludf.DUMMYFUNCTION("""COMPUTED_VALUE"""),15983.08)</f>
        <v/>
      </c>
      <c r="R1598" s="6">
        <f>S1598&amp;T1598</f>
        <v/>
      </c>
      <c r="S1598" s="6">
        <f>YEAR(U1598)</f>
        <v/>
      </c>
      <c r="T1598" s="6">
        <f>MONTH(U1598)</f>
        <v/>
      </c>
      <c r="U1598" s="267">
        <f>IFERROR(__xludf.DUMMYFUNCTION("""COMPUTED_VALUE"""),45475.6458333333)</f>
        <v/>
      </c>
      <c r="V1598" s="6">
        <f>IFERROR(__xludf.DUMMYFUNCTION("""COMPUTED_VALUE"""),2780.86)</f>
        <v/>
      </c>
      <c r="Z1598" s="6">
        <f>AA1598&amp;AB1598</f>
        <v/>
      </c>
      <c r="AA1598" s="6">
        <f>YEAR(AC1598)</f>
        <v/>
      </c>
      <c r="AB1598" s="6">
        <f>MONTH(AC1598)</f>
        <v/>
      </c>
      <c r="AC1598" s="267">
        <f>IFERROR(__xludf.DUMMYFUNCTION("""COMPUTED_VALUE"""),44747.9986111111)</f>
        <v/>
      </c>
      <c r="AD1598" s="6">
        <f>IFERROR(__xludf.DUMMYFUNCTION("""COMPUTED_VALUE"""),1308.66)</f>
        <v/>
      </c>
      <c r="AH1598" s="6">
        <f>AI1598&amp;AJ1598</f>
        <v/>
      </c>
      <c r="AI1598" s="6">
        <f>YEAR(AK1598)</f>
        <v/>
      </c>
      <c r="AJ1598" s="6">
        <f>MONTH(AK1598)</f>
        <v/>
      </c>
      <c r="AK1598" s="267">
        <f>IFERROR(__xludf.DUMMYFUNCTION("""COMPUTED_VALUE"""),44691.9986111111)</f>
        <v/>
      </c>
      <c r="AL1598" s="6">
        <f>IFERROR(__xludf.DUMMYFUNCTION("""COMPUTED_VALUE"""),31004.42)</f>
        <v/>
      </c>
      <c r="AP1598" s="6">
        <f>AQ1598&amp;AR1598</f>
        <v/>
      </c>
      <c r="AQ1598" s="6">
        <f>YEAR(AS1598)</f>
        <v/>
      </c>
      <c r="AR1598" s="6">
        <f>MONTH(AS1598)</f>
        <v/>
      </c>
      <c r="AS1598" s="267">
        <f>IFERROR(__xludf.DUMMYFUNCTION("""COMPUTED_VALUE"""),45426.9986111111)</f>
        <v/>
      </c>
      <c r="AT1598" s="6">
        <f>IFERROR(__xludf.DUMMYFUNCTION("""COMPUTED_VALUE"""),2359.9)</f>
        <v/>
      </c>
    </row>
    <row r="1599">
      <c r="B1599" s="6">
        <f>C1599&amp;D1599</f>
        <v/>
      </c>
      <c r="C1599" s="6">
        <f>YEAR(E1599)</f>
        <v/>
      </c>
      <c r="D1599" s="6">
        <f>MONTH(E1599)</f>
        <v/>
      </c>
      <c r="E1599" s="267">
        <f>IFERROR(__xludf.DUMMYFUNCTION("""COMPUTED_VALUE"""),45420.6666666666)</f>
        <v/>
      </c>
      <c r="F1599" s="6">
        <f>IFERROR(__xludf.DUMMYFUNCTION("""COMPUTED_VALUE"""),5187.67)</f>
        <v/>
      </c>
      <c r="J1599" s="6">
        <f>K1599&amp;L1599</f>
        <v/>
      </c>
      <c r="K1599" s="6">
        <f>YEAR(M1599)</f>
        <v/>
      </c>
      <c r="L1599" s="6">
        <f>MONTH(M1599)</f>
        <v/>
      </c>
      <c r="M1599" s="267">
        <f>IFERROR(__xludf.DUMMYFUNCTION("""COMPUTED_VALUE"""),45412.6666666666)</f>
        <v/>
      </c>
      <c r="N1599" s="6">
        <f>IFERROR(__xludf.DUMMYFUNCTION("""COMPUTED_VALUE"""),15657.82)</f>
        <v/>
      </c>
      <c r="R1599" s="6">
        <f>S1599&amp;T1599</f>
        <v/>
      </c>
      <c r="S1599" s="6">
        <f>YEAR(U1599)</f>
        <v/>
      </c>
      <c r="T1599" s="6">
        <f>MONTH(U1599)</f>
        <v/>
      </c>
      <c r="U1599" s="267">
        <f>IFERROR(__xludf.DUMMYFUNCTION("""COMPUTED_VALUE"""),45476.6458333333)</f>
        <v/>
      </c>
      <c r="V1599" s="6">
        <f>IFERROR(__xludf.DUMMYFUNCTION("""COMPUTED_VALUE"""),2794.01)</f>
        <v/>
      </c>
      <c r="Z1599" s="6">
        <f>AA1599&amp;AB1599</f>
        <v/>
      </c>
      <c r="AA1599" s="6">
        <f>YEAR(AC1599)</f>
        <v/>
      </c>
      <c r="AB1599" s="6">
        <f>MONTH(AC1599)</f>
        <v/>
      </c>
      <c r="AC1599" s="267">
        <f>IFERROR(__xludf.DUMMYFUNCTION("""COMPUTED_VALUE"""),44748.9986111111)</f>
        <v/>
      </c>
      <c r="AD1599" s="6">
        <f>IFERROR(__xludf.DUMMYFUNCTION("""COMPUTED_VALUE"""),1304.85)</f>
        <v/>
      </c>
      <c r="AH1599" s="6">
        <f>AI1599&amp;AJ1599</f>
        <v/>
      </c>
      <c r="AI1599" s="6">
        <f>YEAR(AK1599)</f>
        <v/>
      </c>
      <c r="AJ1599" s="6">
        <f>MONTH(AK1599)</f>
        <v/>
      </c>
      <c r="AK1599" s="267">
        <f>IFERROR(__xludf.DUMMYFUNCTION("""COMPUTED_VALUE"""),44692.9986111111)</f>
        <v/>
      </c>
      <c r="AL1599" s="6">
        <f>IFERROR(__xludf.DUMMYFUNCTION("""COMPUTED_VALUE"""),28977.96)</f>
        <v/>
      </c>
      <c r="AP1599" s="6">
        <f>AQ1599&amp;AR1599</f>
        <v/>
      </c>
      <c r="AQ1599" s="6">
        <f>YEAR(AS1599)</f>
        <v/>
      </c>
      <c r="AR1599" s="6">
        <f>MONTH(AS1599)</f>
        <v/>
      </c>
      <c r="AS1599" s="267">
        <f>IFERROR(__xludf.DUMMYFUNCTION("""COMPUTED_VALUE"""),45427.9986111111)</f>
        <v/>
      </c>
      <c r="AT1599" s="6">
        <f>IFERROR(__xludf.DUMMYFUNCTION("""COMPUTED_VALUE"""),2394.9)</f>
        <v/>
      </c>
    </row>
    <row r="1600">
      <c r="B1600" s="6">
        <f>C1600&amp;D1600</f>
        <v/>
      </c>
      <c r="C1600" s="6">
        <f>YEAR(E1600)</f>
        <v/>
      </c>
      <c r="D1600" s="6">
        <f>MONTH(E1600)</f>
        <v/>
      </c>
      <c r="E1600" s="267">
        <f>IFERROR(__xludf.DUMMYFUNCTION("""COMPUTED_VALUE"""),45421.6666666666)</f>
        <v/>
      </c>
      <c r="F1600" s="6">
        <f>IFERROR(__xludf.DUMMYFUNCTION("""COMPUTED_VALUE"""),5214.08)</f>
        <v/>
      </c>
      <c r="J1600" s="6">
        <f>K1600&amp;L1600</f>
        <v/>
      </c>
      <c r="K1600" s="6">
        <f>YEAR(M1600)</f>
        <v/>
      </c>
      <c r="L1600" s="6">
        <f>MONTH(M1600)</f>
        <v/>
      </c>
      <c r="M1600" s="267">
        <f>IFERROR(__xludf.DUMMYFUNCTION("""COMPUTED_VALUE"""),45413.6666666666)</f>
        <v/>
      </c>
      <c r="N1600" s="6">
        <f>IFERROR(__xludf.DUMMYFUNCTION("""COMPUTED_VALUE"""),15605.48)</f>
        <v/>
      </c>
      <c r="R1600" s="6">
        <f>S1600&amp;T1600</f>
        <v/>
      </c>
      <c r="S1600" s="6">
        <f>YEAR(U1600)</f>
        <v/>
      </c>
      <c r="T1600" s="6">
        <f>MONTH(U1600)</f>
        <v/>
      </c>
      <c r="U1600" s="267">
        <f>IFERROR(__xludf.DUMMYFUNCTION("""COMPUTED_VALUE"""),45477.6458333333)</f>
        <v/>
      </c>
      <c r="V1600" s="6">
        <f>IFERROR(__xludf.DUMMYFUNCTION("""COMPUTED_VALUE"""),2824.94)</f>
        <v/>
      </c>
      <c r="Z1600" s="6">
        <f>AA1600&amp;AB1600</f>
        <v/>
      </c>
      <c r="AA1600" s="6">
        <f>YEAR(AC1600)</f>
        <v/>
      </c>
      <c r="AB1600" s="6">
        <f>MONTH(AC1600)</f>
        <v/>
      </c>
      <c r="AC1600" s="267">
        <f>IFERROR(__xludf.DUMMYFUNCTION("""COMPUTED_VALUE"""),44749.9986111111)</f>
        <v/>
      </c>
      <c r="AD1600" s="6">
        <f>IFERROR(__xludf.DUMMYFUNCTION("""COMPUTED_VALUE"""),1297.65)</f>
        <v/>
      </c>
      <c r="AH1600" s="6">
        <f>AI1600&amp;AJ1600</f>
        <v/>
      </c>
      <c r="AI1600" s="6">
        <f>YEAR(AK1600)</f>
        <v/>
      </c>
      <c r="AJ1600" s="6">
        <f>MONTH(AK1600)</f>
        <v/>
      </c>
      <c r="AK1600" s="267">
        <f>IFERROR(__xludf.DUMMYFUNCTION("""COMPUTED_VALUE"""),44693.9986111111)</f>
        <v/>
      </c>
      <c r="AL1600" s="6">
        <f>IFERROR(__xludf.DUMMYFUNCTION("""COMPUTED_VALUE"""),28979.68)</f>
        <v/>
      </c>
      <c r="AP1600" s="6">
        <f>AQ1600&amp;AR1600</f>
        <v/>
      </c>
      <c r="AQ1600" s="6">
        <f>YEAR(AS1600)</f>
        <v/>
      </c>
      <c r="AR1600" s="6">
        <f>MONTH(AS1600)</f>
        <v/>
      </c>
      <c r="AS1600" s="267">
        <f>IFERROR(__xludf.DUMMYFUNCTION("""COMPUTED_VALUE"""),45428.9986111111)</f>
        <v/>
      </c>
      <c r="AT1600" s="6">
        <f>IFERROR(__xludf.DUMMYFUNCTION("""COMPUTED_VALUE"""),2385.5)</f>
        <v/>
      </c>
    </row>
    <row r="1601">
      <c r="B1601" s="6">
        <f>C1601&amp;D1601</f>
        <v/>
      </c>
      <c r="C1601" s="6">
        <f>YEAR(E1601)</f>
        <v/>
      </c>
      <c r="D1601" s="6">
        <f>MONTH(E1601)</f>
        <v/>
      </c>
      <c r="E1601" s="267">
        <f>IFERROR(__xludf.DUMMYFUNCTION("""COMPUTED_VALUE"""),45422.6666666666)</f>
        <v/>
      </c>
      <c r="F1601" s="6">
        <f>IFERROR(__xludf.DUMMYFUNCTION("""COMPUTED_VALUE"""),5222.68)</f>
        <v/>
      </c>
      <c r="J1601" s="6">
        <f>K1601&amp;L1601</f>
        <v/>
      </c>
      <c r="K1601" s="6">
        <f>YEAR(M1601)</f>
        <v/>
      </c>
      <c r="L1601" s="6">
        <f>MONTH(M1601)</f>
        <v/>
      </c>
      <c r="M1601" s="267">
        <f>IFERROR(__xludf.DUMMYFUNCTION("""COMPUTED_VALUE"""),45414.6666666666)</f>
        <v/>
      </c>
      <c r="N1601" s="6">
        <f>IFERROR(__xludf.DUMMYFUNCTION("""COMPUTED_VALUE"""),15840.96)</f>
        <v/>
      </c>
      <c r="R1601" s="6">
        <f>S1601&amp;T1601</f>
        <v/>
      </c>
      <c r="S1601" s="6">
        <f>YEAR(U1601)</f>
        <v/>
      </c>
      <c r="T1601" s="6">
        <f>MONTH(U1601)</f>
        <v/>
      </c>
      <c r="U1601" s="267">
        <f>IFERROR(__xludf.DUMMYFUNCTION("""COMPUTED_VALUE"""),45478.6458333333)</f>
        <v/>
      </c>
      <c r="V1601" s="6">
        <f>IFERROR(__xludf.DUMMYFUNCTION("""COMPUTED_VALUE"""),2862.23)</f>
        <v/>
      </c>
      <c r="Z1601" s="6">
        <f>AA1601&amp;AB1601</f>
        <v/>
      </c>
      <c r="AA1601" s="6">
        <f>YEAR(AC1601)</f>
        <v/>
      </c>
      <c r="AB1601" s="6">
        <f>MONTH(AC1601)</f>
        <v/>
      </c>
      <c r="AC1601" s="267">
        <f>IFERROR(__xludf.DUMMYFUNCTION("""COMPUTED_VALUE"""),44750.9986111111)</f>
        <v/>
      </c>
      <c r="AD1601" s="6">
        <f>IFERROR(__xludf.DUMMYFUNCTION("""COMPUTED_VALUE"""),1293.89)</f>
        <v/>
      </c>
      <c r="AH1601" s="6">
        <f>AI1601&amp;AJ1601</f>
        <v/>
      </c>
      <c r="AI1601" s="6">
        <f>YEAR(AK1601)</f>
        <v/>
      </c>
      <c r="AJ1601" s="6">
        <f>MONTH(AK1601)</f>
        <v/>
      </c>
      <c r="AK1601" s="267">
        <f>IFERROR(__xludf.DUMMYFUNCTION("""COMPUTED_VALUE"""),44694.9986111111)</f>
        <v/>
      </c>
      <c r="AL1601" s="6">
        <f>IFERROR(__xludf.DUMMYFUNCTION("""COMPUTED_VALUE"""),29247.62)</f>
        <v/>
      </c>
      <c r="AP1601" s="6">
        <f>AQ1601&amp;AR1601</f>
        <v/>
      </c>
      <c r="AQ1601" s="6">
        <f>YEAR(AS1601)</f>
        <v/>
      </c>
      <c r="AR1601" s="6">
        <f>MONTH(AS1601)</f>
        <v/>
      </c>
      <c r="AS1601" s="267">
        <f>IFERROR(__xludf.DUMMYFUNCTION("""COMPUTED_VALUE"""),45429.9986111111)</f>
        <v/>
      </c>
      <c r="AT1601" s="6">
        <f>IFERROR(__xludf.DUMMYFUNCTION("""COMPUTED_VALUE"""),2417.4)</f>
        <v/>
      </c>
    </row>
    <row r="1602">
      <c r="B1602" s="6">
        <f>C1602&amp;D1602</f>
        <v/>
      </c>
      <c r="C1602" s="6">
        <f>YEAR(E1602)</f>
        <v/>
      </c>
      <c r="D1602" s="6">
        <f>MONTH(E1602)</f>
        <v/>
      </c>
      <c r="E1602" s="267">
        <f>IFERROR(__xludf.DUMMYFUNCTION("""COMPUTED_VALUE"""),45425.6666666666)</f>
        <v/>
      </c>
      <c r="F1602" s="6">
        <f>IFERROR(__xludf.DUMMYFUNCTION("""COMPUTED_VALUE"""),5221.42)</f>
        <v/>
      </c>
      <c r="J1602" s="6">
        <f>K1602&amp;L1602</f>
        <v/>
      </c>
      <c r="K1602" s="6">
        <f>YEAR(M1602)</f>
        <v/>
      </c>
      <c r="L1602" s="6">
        <f>MONTH(M1602)</f>
        <v/>
      </c>
      <c r="M1602" s="267">
        <f>IFERROR(__xludf.DUMMYFUNCTION("""COMPUTED_VALUE"""),45415.6666666666)</f>
        <v/>
      </c>
      <c r="N1602" s="6">
        <f>IFERROR(__xludf.DUMMYFUNCTION("""COMPUTED_VALUE"""),16156.33)</f>
        <v/>
      </c>
      <c r="R1602" s="6">
        <f>S1602&amp;T1602</f>
        <v/>
      </c>
      <c r="S1602" s="6">
        <f>YEAR(U1602)</f>
        <v/>
      </c>
      <c r="T1602" s="6">
        <f>MONTH(U1602)</f>
        <v/>
      </c>
      <c r="U1602" s="267">
        <f>IFERROR(__xludf.DUMMYFUNCTION("""COMPUTED_VALUE"""),45481.6458333333)</f>
        <v/>
      </c>
      <c r="V1602" s="6">
        <f>IFERROR(__xludf.DUMMYFUNCTION("""COMPUTED_VALUE"""),2857.76)</f>
        <v/>
      </c>
      <c r="Z1602" s="6">
        <f>AA1602&amp;AB1602</f>
        <v/>
      </c>
      <c r="AA1602" s="6">
        <f>YEAR(AC1602)</f>
        <v/>
      </c>
      <c r="AB1602" s="6">
        <f>MONTH(AC1602)</f>
        <v/>
      </c>
      <c r="AC1602" s="267">
        <f>IFERROR(__xludf.DUMMYFUNCTION("""COMPUTED_VALUE"""),44751.9986111111)</f>
        <v/>
      </c>
      <c r="AD1602" s="6">
        <f>IFERROR(__xludf.DUMMYFUNCTION("""COMPUTED_VALUE"""),1293.49)</f>
        <v/>
      </c>
      <c r="AH1602" s="6">
        <f>AI1602&amp;AJ1602</f>
        <v/>
      </c>
      <c r="AI1602" s="6">
        <f>YEAR(AK1602)</f>
        <v/>
      </c>
      <c r="AJ1602" s="6">
        <f>MONTH(AK1602)</f>
        <v/>
      </c>
      <c r="AK1602" s="267">
        <f>IFERROR(__xludf.DUMMYFUNCTION("""COMPUTED_VALUE"""),44695.9986111111)</f>
        <v/>
      </c>
      <c r="AL1602" s="6">
        <f>IFERROR(__xludf.DUMMYFUNCTION("""COMPUTED_VALUE"""),30054.1)</f>
        <v/>
      </c>
      <c r="AP1602" s="6">
        <f>AQ1602&amp;AR1602</f>
        <v/>
      </c>
      <c r="AQ1602" s="6">
        <f>YEAR(AS1602)</f>
        <v/>
      </c>
      <c r="AR1602" s="6">
        <f>MONTH(AS1602)</f>
        <v/>
      </c>
      <c r="AS1602" s="267">
        <f>IFERROR(__xludf.DUMMYFUNCTION("""COMPUTED_VALUE"""),45432.9986111111)</f>
        <v/>
      </c>
      <c r="AT1602" s="6">
        <f>IFERROR(__xludf.DUMMYFUNCTION("""COMPUTED_VALUE"""),2438.5)</f>
        <v/>
      </c>
    </row>
    <row r="1603">
      <c r="B1603" s="6">
        <f>C1603&amp;D1603</f>
        <v/>
      </c>
      <c r="C1603" s="6">
        <f>YEAR(E1603)</f>
        <v/>
      </c>
      <c r="D1603" s="6">
        <f>MONTH(E1603)</f>
        <v/>
      </c>
      <c r="E1603" s="267">
        <f>IFERROR(__xludf.DUMMYFUNCTION("""COMPUTED_VALUE"""),45426.6666666666)</f>
        <v/>
      </c>
      <c r="F1603" s="6">
        <f>IFERROR(__xludf.DUMMYFUNCTION("""COMPUTED_VALUE"""),5246.68)</f>
        <v/>
      </c>
      <c r="J1603" s="6">
        <f>K1603&amp;L1603</f>
        <v/>
      </c>
      <c r="K1603" s="6">
        <f>YEAR(M1603)</f>
        <v/>
      </c>
      <c r="L1603" s="6">
        <f>MONTH(M1603)</f>
        <v/>
      </c>
      <c r="M1603" s="267">
        <f>IFERROR(__xludf.DUMMYFUNCTION("""COMPUTED_VALUE"""),45418.6666666666)</f>
        <v/>
      </c>
      <c r="N1603" s="6">
        <f>IFERROR(__xludf.DUMMYFUNCTION("""COMPUTED_VALUE"""),16349.25)</f>
        <v/>
      </c>
      <c r="R1603" s="6">
        <f>S1603&amp;T1603</f>
        <v/>
      </c>
      <c r="S1603" s="6">
        <f>YEAR(U1603)</f>
        <v/>
      </c>
      <c r="T1603" s="6">
        <f>MONTH(U1603)</f>
        <v/>
      </c>
      <c r="U1603" s="267">
        <f>IFERROR(__xludf.DUMMYFUNCTION("""COMPUTED_VALUE"""),45482.6458333333)</f>
        <v/>
      </c>
      <c r="V1603" s="6">
        <f>IFERROR(__xludf.DUMMYFUNCTION("""COMPUTED_VALUE"""),2867.38)</f>
        <v/>
      </c>
      <c r="Z1603" s="6">
        <f>AA1603&amp;AB1603</f>
        <v/>
      </c>
      <c r="AA1603" s="6">
        <f>YEAR(AC1603)</f>
        <v/>
      </c>
      <c r="AB1603" s="6">
        <f>MONTH(AC1603)</f>
        <v/>
      </c>
      <c r="AC1603" s="267">
        <f>IFERROR(__xludf.DUMMYFUNCTION("""COMPUTED_VALUE"""),44752.9986111111)</f>
        <v/>
      </c>
      <c r="AD1603" s="6">
        <f>IFERROR(__xludf.DUMMYFUNCTION("""COMPUTED_VALUE"""),1293.79)</f>
        <v/>
      </c>
      <c r="AH1603" s="6">
        <f>AI1603&amp;AJ1603</f>
        <v/>
      </c>
      <c r="AI1603" s="6">
        <f>YEAR(AK1603)</f>
        <v/>
      </c>
      <c r="AJ1603" s="6">
        <f>MONTH(AK1603)</f>
        <v/>
      </c>
      <c r="AK1603" s="267">
        <f>IFERROR(__xludf.DUMMYFUNCTION("""COMPUTED_VALUE"""),44696.9986111111)</f>
        <v/>
      </c>
      <c r="AL1603" s="6">
        <f>IFERROR(__xludf.DUMMYFUNCTION("""COMPUTED_VALUE"""),31290.31)</f>
        <v/>
      </c>
      <c r="AP1603" s="6">
        <f>AQ1603&amp;AR1603</f>
        <v/>
      </c>
      <c r="AQ1603" s="6">
        <f>YEAR(AS1603)</f>
        <v/>
      </c>
      <c r="AR1603" s="6">
        <f>MONTH(AS1603)</f>
        <v/>
      </c>
      <c r="AS1603" s="267">
        <f>IFERROR(__xludf.DUMMYFUNCTION("""COMPUTED_VALUE"""),45433.9986111111)</f>
        <v/>
      </c>
      <c r="AT1603" s="6">
        <f>IFERROR(__xludf.DUMMYFUNCTION("""COMPUTED_VALUE"""),2449.1)</f>
        <v/>
      </c>
    </row>
    <row r="1604">
      <c r="B1604" s="6">
        <f>C1604&amp;D1604</f>
        <v/>
      </c>
      <c r="C1604" s="6">
        <f>YEAR(E1604)</f>
        <v/>
      </c>
      <c r="D1604" s="6">
        <f>MONTH(E1604)</f>
        <v/>
      </c>
      <c r="E1604" s="267">
        <f>IFERROR(__xludf.DUMMYFUNCTION("""COMPUTED_VALUE"""),45427.6666666666)</f>
        <v/>
      </c>
      <c r="F1604" s="6">
        <f>IFERROR(__xludf.DUMMYFUNCTION("""COMPUTED_VALUE"""),5308.15)</f>
        <v/>
      </c>
      <c r="J1604" s="6">
        <f>K1604&amp;L1604</f>
        <v/>
      </c>
      <c r="K1604" s="6">
        <f>YEAR(M1604)</f>
        <v/>
      </c>
      <c r="L1604" s="6">
        <f>MONTH(M1604)</f>
        <v/>
      </c>
      <c r="M1604" s="267">
        <f>IFERROR(__xludf.DUMMYFUNCTION("""COMPUTED_VALUE"""),45419.6666666666)</f>
        <v/>
      </c>
      <c r="N1604" s="6">
        <f>IFERROR(__xludf.DUMMYFUNCTION("""COMPUTED_VALUE"""),16332.56)</f>
        <v/>
      </c>
      <c r="R1604" s="6">
        <f>S1604&amp;T1604</f>
        <v/>
      </c>
      <c r="S1604" s="6">
        <f>YEAR(U1604)</f>
        <v/>
      </c>
      <c r="T1604" s="6">
        <f>MONTH(U1604)</f>
        <v/>
      </c>
      <c r="U1604" s="267">
        <f>IFERROR(__xludf.DUMMYFUNCTION("""COMPUTED_VALUE"""),45483.6458333333)</f>
        <v/>
      </c>
      <c r="V1604" s="6">
        <f>IFERROR(__xludf.DUMMYFUNCTION("""COMPUTED_VALUE"""),2867.99)</f>
        <v/>
      </c>
      <c r="Z1604" s="6">
        <f>AA1604&amp;AB1604</f>
        <v/>
      </c>
      <c r="AA1604" s="6">
        <f>YEAR(AC1604)</f>
        <v/>
      </c>
      <c r="AB1604" s="6">
        <f>MONTH(AC1604)</f>
        <v/>
      </c>
      <c r="AC1604" s="267">
        <f>IFERROR(__xludf.DUMMYFUNCTION("""COMPUTED_VALUE"""),44753.9986111111)</f>
        <v/>
      </c>
      <c r="AD1604" s="6">
        <f>IFERROR(__xludf.DUMMYFUNCTION("""COMPUTED_VALUE"""),1310.86)</f>
        <v/>
      </c>
      <c r="AH1604" s="6">
        <f>AI1604&amp;AJ1604</f>
        <v/>
      </c>
      <c r="AI1604" s="6">
        <f>YEAR(AK1604)</f>
        <v/>
      </c>
      <c r="AJ1604" s="6">
        <f>MONTH(AK1604)</f>
        <v/>
      </c>
      <c r="AK1604" s="267">
        <f>IFERROR(__xludf.DUMMYFUNCTION("""COMPUTED_VALUE"""),44697.9986111111)</f>
        <v/>
      </c>
      <c r="AL1604" s="6">
        <f>IFERROR(__xludf.DUMMYFUNCTION("""COMPUTED_VALUE"""),29833.7)</f>
        <v/>
      </c>
      <c r="AP1604" s="6">
        <f>AQ1604&amp;AR1604</f>
        <v/>
      </c>
      <c r="AQ1604" s="6">
        <f>YEAR(AS1604)</f>
        <v/>
      </c>
      <c r="AR1604" s="6">
        <f>MONTH(AS1604)</f>
        <v/>
      </c>
      <c r="AS1604" s="267">
        <f>IFERROR(__xludf.DUMMYFUNCTION("""COMPUTED_VALUE"""),45434.9986111111)</f>
        <v/>
      </c>
      <c r="AT1604" s="6">
        <f>IFERROR(__xludf.DUMMYFUNCTION("""COMPUTED_VALUE"""),2415.7)</f>
        <v/>
      </c>
    </row>
    <row r="1605">
      <c r="B1605" s="6">
        <f>C1605&amp;D1605</f>
        <v/>
      </c>
      <c r="C1605" s="6">
        <f>YEAR(E1605)</f>
        <v/>
      </c>
      <c r="D1605" s="6">
        <f>MONTH(E1605)</f>
        <v/>
      </c>
      <c r="E1605" s="267">
        <f>IFERROR(__xludf.DUMMYFUNCTION("""COMPUTED_VALUE"""),45428.6666666666)</f>
        <v/>
      </c>
      <c r="F1605" s="6">
        <f>IFERROR(__xludf.DUMMYFUNCTION("""COMPUTED_VALUE"""),5297.1)</f>
        <v/>
      </c>
      <c r="J1605" s="6">
        <f>K1605&amp;L1605</f>
        <v/>
      </c>
      <c r="K1605" s="6">
        <f>YEAR(M1605)</f>
        <v/>
      </c>
      <c r="L1605" s="6">
        <f>MONTH(M1605)</f>
        <v/>
      </c>
      <c r="M1605" s="267">
        <f>IFERROR(__xludf.DUMMYFUNCTION("""COMPUTED_VALUE"""),45420.6666666666)</f>
        <v/>
      </c>
      <c r="N1605" s="6">
        <f>IFERROR(__xludf.DUMMYFUNCTION("""COMPUTED_VALUE"""),16302.76)</f>
        <v/>
      </c>
      <c r="R1605" s="6">
        <f>S1605&amp;T1605</f>
        <v/>
      </c>
      <c r="S1605" s="6">
        <f>YEAR(U1605)</f>
        <v/>
      </c>
      <c r="T1605" s="6">
        <f>MONTH(U1605)</f>
        <v/>
      </c>
      <c r="U1605" s="267">
        <f>IFERROR(__xludf.DUMMYFUNCTION("""COMPUTED_VALUE"""),45484.6458333333)</f>
        <v/>
      </c>
      <c r="V1605" s="6">
        <f>IFERROR(__xludf.DUMMYFUNCTION("""COMPUTED_VALUE"""),2891.35)</f>
        <v/>
      </c>
      <c r="Z1605" s="6">
        <f>AA1605&amp;AB1605</f>
        <v/>
      </c>
      <c r="AA1605" s="6">
        <f>YEAR(AC1605)</f>
        <v/>
      </c>
      <c r="AB1605" s="6">
        <f>MONTH(AC1605)</f>
        <v/>
      </c>
      <c r="AC1605" s="267">
        <f>IFERROR(__xludf.DUMMYFUNCTION("""COMPUTED_VALUE"""),44754.9986111111)</f>
        <v/>
      </c>
      <c r="AD1605" s="6">
        <f>IFERROR(__xludf.DUMMYFUNCTION("""COMPUTED_VALUE"""),1305.83)</f>
        <v/>
      </c>
      <c r="AH1605" s="6">
        <f>AI1605&amp;AJ1605</f>
        <v/>
      </c>
      <c r="AI1605" s="6">
        <f>YEAR(AK1605)</f>
        <v/>
      </c>
      <c r="AJ1605" s="6">
        <f>MONTH(AK1605)</f>
        <v/>
      </c>
      <c r="AK1605" s="267">
        <f>IFERROR(__xludf.DUMMYFUNCTION("""COMPUTED_VALUE"""),44698.9986111111)</f>
        <v/>
      </c>
      <c r="AL1605" s="6">
        <f>IFERROR(__xludf.DUMMYFUNCTION("""COMPUTED_VALUE"""),30416.16)</f>
        <v/>
      </c>
      <c r="AP1605" s="6">
        <f>AQ1605&amp;AR1605</f>
        <v/>
      </c>
      <c r="AQ1605" s="6">
        <f>YEAR(AS1605)</f>
        <v/>
      </c>
      <c r="AR1605" s="6">
        <f>MONTH(AS1605)</f>
        <v/>
      </c>
      <c r="AS1605" s="267">
        <f>IFERROR(__xludf.DUMMYFUNCTION("""COMPUTED_VALUE"""),45435.9986111111)</f>
        <v/>
      </c>
      <c r="AT1605" s="6">
        <f>IFERROR(__xludf.DUMMYFUNCTION("""COMPUTED_VALUE"""),2359.7)</f>
        <v/>
      </c>
    </row>
    <row r="1606">
      <c r="B1606" s="6">
        <f>C1606&amp;D1606</f>
        <v/>
      </c>
      <c r="C1606" s="6">
        <f>YEAR(E1606)</f>
        <v/>
      </c>
      <c r="D1606" s="6">
        <f>MONTH(E1606)</f>
        <v/>
      </c>
      <c r="E1606" s="267">
        <f>IFERROR(__xludf.DUMMYFUNCTION("""COMPUTED_VALUE"""),45429.6666666666)</f>
        <v/>
      </c>
      <c r="F1606" s="6">
        <f>IFERROR(__xludf.DUMMYFUNCTION("""COMPUTED_VALUE"""),5303.27)</f>
        <v/>
      </c>
      <c r="J1606" s="6">
        <f>K1606&amp;L1606</f>
        <v/>
      </c>
      <c r="K1606" s="6">
        <f>YEAR(M1606)</f>
        <v/>
      </c>
      <c r="L1606" s="6">
        <f>MONTH(M1606)</f>
        <v/>
      </c>
      <c r="M1606" s="267">
        <f>IFERROR(__xludf.DUMMYFUNCTION("""COMPUTED_VALUE"""),45421.6666666666)</f>
        <v/>
      </c>
      <c r="N1606" s="6">
        <f>IFERROR(__xludf.DUMMYFUNCTION("""COMPUTED_VALUE"""),16346.27)</f>
        <v/>
      </c>
      <c r="R1606" s="6">
        <f>S1606&amp;T1606</f>
        <v/>
      </c>
      <c r="S1606" s="6">
        <f>YEAR(U1606)</f>
        <v/>
      </c>
      <c r="T1606" s="6">
        <f>MONTH(U1606)</f>
        <v/>
      </c>
      <c r="U1606" s="267">
        <f>IFERROR(__xludf.DUMMYFUNCTION("""COMPUTED_VALUE"""),45485.6458333333)</f>
        <v/>
      </c>
      <c r="V1606" s="6">
        <f>IFERROR(__xludf.DUMMYFUNCTION("""COMPUTED_VALUE"""),2857)</f>
        <v/>
      </c>
      <c r="Z1606" s="6">
        <f>AA1606&amp;AB1606</f>
        <v/>
      </c>
      <c r="AA1606" s="6">
        <f>YEAR(AC1606)</f>
        <v/>
      </c>
      <c r="AB1606" s="6">
        <f>MONTH(AC1606)</f>
        <v/>
      </c>
      <c r="AC1606" s="267">
        <f>IFERROR(__xludf.DUMMYFUNCTION("""COMPUTED_VALUE"""),44755.9986111111)</f>
        <v/>
      </c>
      <c r="AD1606" s="6">
        <f>IFERROR(__xludf.DUMMYFUNCTION("""COMPUTED_VALUE"""),1304.85)</f>
        <v/>
      </c>
      <c r="AH1606" s="6">
        <f>AI1606&amp;AJ1606</f>
        <v/>
      </c>
      <c r="AI1606" s="6">
        <f>YEAR(AK1606)</f>
        <v/>
      </c>
      <c r="AJ1606" s="6">
        <f>MONTH(AK1606)</f>
        <v/>
      </c>
      <c r="AK1606" s="267">
        <f>IFERROR(__xludf.DUMMYFUNCTION("""COMPUTED_VALUE"""),44699.9986111111)</f>
        <v/>
      </c>
      <c r="AL1606" s="6">
        <f>IFERROR(__xludf.DUMMYFUNCTION("""COMPUTED_VALUE"""),28664.44)</f>
        <v/>
      </c>
      <c r="AP1606" s="6">
        <f>AQ1606&amp;AR1606</f>
        <v/>
      </c>
      <c r="AQ1606" s="6">
        <f>YEAR(AS1606)</f>
        <v/>
      </c>
      <c r="AR1606" s="6">
        <f>MONTH(AS1606)</f>
        <v/>
      </c>
      <c r="AS1606" s="267">
        <f>IFERROR(__xludf.DUMMYFUNCTION("""COMPUTED_VALUE"""),45436.9986111111)</f>
        <v/>
      </c>
      <c r="AT1606" s="6">
        <f>IFERROR(__xludf.DUMMYFUNCTION("""COMPUTED_VALUE"""),2356.9)</f>
        <v/>
      </c>
    </row>
    <row r="1607">
      <c r="B1607" s="6">
        <f>C1607&amp;D1607</f>
        <v/>
      </c>
      <c r="C1607" s="6">
        <f>YEAR(E1607)</f>
        <v/>
      </c>
      <c r="D1607" s="6">
        <f>MONTH(E1607)</f>
        <v/>
      </c>
      <c r="E1607" s="267">
        <f>IFERROR(__xludf.DUMMYFUNCTION("""COMPUTED_VALUE"""),45432.6666666666)</f>
        <v/>
      </c>
      <c r="F1607" s="6">
        <f>IFERROR(__xludf.DUMMYFUNCTION("""COMPUTED_VALUE"""),5308.13)</f>
        <v/>
      </c>
      <c r="J1607" s="6">
        <f>K1607&amp;L1607</f>
        <v/>
      </c>
      <c r="K1607" s="6">
        <f>YEAR(M1607)</f>
        <v/>
      </c>
      <c r="L1607" s="6">
        <f>MONTH(M1607)</f>
        <v/>
      </c>
      <c r="M1607" s="267">
        <f>IFERROR(__xludf.DUMMYFUNCTION("""COMPUTED_VALUE"""),45422.6666666666)</f>
        <v/>
      </c>
      <c r="N1607" s="6">
        <f>IFERROR(__xludf.DUMMYFUNCTION("""COMPUTED_VALUE"""),16340.87)</f>
        <v/>
      </c>
      <c r="R1607" s="6">
        <f>S1607&amp;T1607</f>
        <v/>
      </c>
      <c r="S1607" s="6">
        <f>YEAR(U1607)</f>
        <v/>
      </c>
      <c r="T1607" s="6">
        <f>MONTH(U1607)</f>
        <v/>
      </c>
      <c r="U1607" s="267">
        <f>IFERROR(__xludf.DUMMYFUNCTION("""COMPUTED_VALUE"""),45488.6458333333)</f>
        <v/>
      </c>
      <c r="V1607" s="6">
        <f>IFERROR(__xludf.DUMMYFUNCTION("""COMPUTED_VALUE"""),2860.92)</f>
        <v/>
      </c>
      <c r="Z1607" s="6">
        <f>AA1607&amp;AB1607</f>
        <v/>
      </c>
      <c r="AA1607" s="6">
        <f>YEAR(AC1607)</f>
        <v/>
      </c>
      <c r="AB1607" s="6">
        <f>MONTH(AC1607)</f>
        <v/>
      </c>
      <c r="AC1607" s="267">
        <f>IFERROR(__xludf.DUMMYFUNCTION("""COMPUTED_VALUE"""),44756.9986111111)</f>
        <v/>
      </c>
      <c r="AD1607" s="6">
        <f>IFERROR(__xludf.DUMMYFUNCTION("""COMPUTED_VALUE"""),1316.18)</f>
        <v/>
      </c>
      <c r="AH1607" s="6">
        <f>AI1607&amp;AJ1607</f>
        <v/>
      </c>
      <c r="AI1607" s="6">
        <f>YEAR(AK1607)</f>
        <v/>
      </c>
      <c r="AJ1607" s="6">
        <f>MONTH(AK1607)</f>
        <v/>
      </c>
      <c r="AK1607" s="267">
        <f>IFERROR(__xludf.DUMMYFUNCTION("""COMPUTED_VALUE"""),44700.9986111111)</f>
        <v/>
      </c>
      <c r="AL1607" s="6">
        <f>IFERROR(__xludf.DUMMYFUNCTION("""COMPUTED_VALUE"""),30280.26)</f>
        <v/>
      </c>
      <c r="AP1607" s="6">
        <f>AQ1607&amp;AR1607</f>
        <v/>
      </c>
      <c r="AQ1607" s="6">
        <f>YEAR(AS1607)</f>
        <v/>
      </c>
      <c r="AR1607" s="6">
        <f>MONTH(AS1607)</f>
        <v/>
      </c>
      <c r="AS1607" s="267">
        <f>IFERROR(__xludf.DUMMYFUNCTION("""COMPUTED_VALUE"""),45440.9986111111)</f>
        <v/>
      </c>
      <c r="AT1607" s="6">
        <f>IFERROR(__xludf.DUMMYFUNCTION("""COMPUTED_VALUE"""),2379.3)</f>
        <v/>
      </c>
    </row>
    <row r="1608">
      <c r="B1608" s="6">
        <f>C1608&amp;D1608</f>
        <v/>
      </c>
      <c r="C1608" s="6">
        <f>YEAR(E1608)</f>
        <v/>
      </c>
      <c r="D1608" s="6">
        <f>MONTH(E1608)</f>
        <v/>
      </c>
      <c r="E1608" s="267">
        <f>IFERROR(__xludf.DUMMYFUNCTION("""COMPUTED_VALUE"""),45433.6666666666)</f>
        <v/>
      </c>
      <c r="F1608" s="6">
        <f>IFERROR(__xludf.DUMMYFUNCTION("""COMPUTED_VALUE"""),5321.41)</f>
        <v/>
      </c>
      <c r="J1608" s="6">
        <f>K1608&amp;L1608</f>
        <v/>
      </c>
      <c r="K1608" s="6">
        <f>YEAR(M1608)</f>
        <v/>
      </c>
      <c r="L1608" s="6">
        <f>MONTH(M1608)</f>
        <v/>
      </c>
      <c r="M1608" s="267">
        <f>IFERROR(__xludf.DUMMYFUNCTION("""COMPUTED_VALUE"""),45425.6666666666)</f>
        <v/>
      </c>
      <c r="N1608" s="6">
        <f>IFERROR(__xludf.DUMMYFUNCTION("""COMPUTED_VALUE"""),16388.24)</f>
        <v/>
      </c>
      <c r="R1608" s="6">
        <f>S1608&amp;T1608</f>
        <v/>
      </c>
      <c r="S1608" s="6">
        <f>YEAR(U1608)</f>
        <v/>
      </c>
      <c r="T1608" s="6">
        <f>MONTH(U1608)</f>
        <v/>
      </c>
      <c r="U1608" s="267">
        <f>IFERROR(__xludf.DUMMYFUNCTION("""COMPUTED_VALUE"""),45489.6458333333)</f>
        <v/>
      </c>
      <c r="V1608" s="6">
        <f>IFERROR(__xludf.DUMMYFUNCTION("""COMPUTED_VALUE"""),2866.09)</f>
        <v/>
      </c>
      <c r="Z1608" s="6">
        <f>AA1608&amp;AB1608</f>
        <v/>
      </c>
      <c r="AA1608" s="6">
        <f>YEAR(AC1608)</f>
        <v/>
      </c>
      <c r="AB1608" s="6">
        <f>MONTH(AC1608)</f>
        <v/>
      </c>
      <c r="AC1608" s="267">
        <f>IFERROR(__xludf.DUMMYFUNCTION("""COMPUTED_VALUE"""),44757.9986111111)</f>
        <v/>
      </c>
      <c r="AD1608" s="6">
        <f>IFERROR(__xludf.DUMMYFUNCTION("""COMPUTED_VALUE"""),1317.9)</f>
        <v/>
      </c>
      <c r="AH1608" s="6">
        <f>AI1608&amp;AJ1608</f>
        <v/>
      </c>
      <c r="AI1608" s="6">
        <f>YEAR(AK1608)</f>
        <v/>
      </c>
      <c r="AJ1608" s="6">
        <f>MONTH(AK1608)</f>
        <v/>
      </c>
      <c r="AK1608" s="267">
        <f>IFERROR(__xludf.DUMMYFUNCTION("""COMPUTED_VALUE"""),44701.9986111111)</f>
        <v/>
      </c>
      <c r="AL1608" s="6">
        <f>IFERROR(__xludf.DUMMYFUNCTION("""COMPUTED_VALUE"""),29160.5)</f>
        <v/>
      </c>
      <c r="AP1608" s="6">
        <f>AQ1608&amp;AR1608</f>
        <v/>
      </c>
      <c r="AQ1608" s="6">
        <f>YEAR(AS1608)</f>
        <v/>
      </c>
      <c r="AR1608" s="6">
        <f>MONTH(AS1608)</f>
        <v/>
      </c>
      <c r="AS1608" s="267">
        <f>IFERROR(__xludf.DUMMYFUNCTION("""COMPUTED_VALUE"""),45441.9986111111)</f>
        <v/>
      </c>
      <c r="AT1608" s="6">
        <f>IFERROR(__xludf.DUMMYFUNCTION("""COMPUTED_VALUE"""),2364.1)</f>
        <v/>
      </c>
    </row>
    <row r="1609">
      <c r="B1609" s="6">
        <f>C1609&amp;D1609</f>
        <v/>
      </c>
      <c r="C1609" s="6">
        <f>YEAR(E1609)</f>
        <v/>
      </c>
      <c r="D1609" s="6">
        <f>MONTH(E1609)</f>
        <v/>
      </c>
      <c r="E1609" s="267">
        <f>IFERROR(__xludf.DUMMYFUNCTION("""COMPUTED_VALUE"""),45434.6666666666)</f>
        <v/>
      </c>
      <c r="F1609" s="6">
        <f>IFERROR(__xludf.DUMMYFUNCTION("""COMPUTED_VALUE"""),5307.01)</f>
        <v/>
      </c>
      <c r="J1609" s="6">
        <f>K1609&amp;L1609</f>
        <v/>
      </c>
      <c r="K1609" s="6">
        <f>YEAR(M1609)</f>
        <v/>
      </c>
      <c r="L1609" s="6">
        <f>MONTH(M1609)</f>
        <v/>
      </c>
      <c r="M1609" s="267">
        <f>IFERROR(__xludf.DUMMYFUNCTION("""COMPUTED_VALUE"""),45426.6666666666)</f>
        <v/>
      </c>
      <c r="N1609" s="6">
        <f>IFERROR(__xludf.DUMMYFUNCTION("""COMPUTED_VALUE"""),16511.18)</f>
        <v/>
      </c>
      <c r="R1609" s="6">
        <f>S1609&amp;T1609</f>
        <v/>
      </c>
      <c r="S1609" s="6">
        <f>YEAR(U1609)</f>
        <v/>
      </c>
      <c r="T1609" s="6">
        <f>MONTH(U1609)</f>
        <v/>
      </c>
      <c r="U1609" s="267">
        <f>IFERROR(__xludf.DUMMYFUNCTION("""COMPUTED_VALUE"""),45490.6458333333)</f>
        <v/>
      </c>
      <c r="V1609" s="6">
        <f>IFERROR(__xludf.DUMMYFUNCTION("""COMPUTED_VALUE"""),2843.29)</f>
        <v/>
      </c>
      <c r="Z1609" s="6">
        <f>AA1609&amp;AB1609</f>
        <v/>
      </c>
      <c r="AA1609" s="6">
        <f>YEAR(AC1609)</f>
        <v/>
      </c>
      <c r="AB1609" s="6">
        <f>MONTH(AC1609)</f>
        <v/>
      </c>
      <c r="AC1609" s="267">
        <f>IFERROR(__xludf.DUMMYFUNCTION("""COMPUTED_VALUE"""),44758.9986111111)</f>
        <v/>
      </c>
      <c r="AD1609" s="6">
        <f>IFERROR(__xludf.DUMMYFUNCTION("""COMPUTED_VALUE"""),1317.23)</f>
        <v/>
      </c>
      <c r="AH1609" s="6">
        <f>AI1609&amp;AJ1609</f>
        <v/>
      </c>
      <c r="AI1609" s="6">
        <f>YEAR(AK1609)</f>
        <v/>
      </c>
      <c r="AJ1609" s="6">
        <f>MONTH(AK1609)</f>
        <v/>
      </c>
      <c r="AK1609" s="267">
        <f>IFERROR(__xludf.DUMMYFUNCTION("""COMPUTED_VALUE"""),44702.9986111111)</f>
        <v/>
      </c>
      <c r="AL1609" s="6">
        <f>IFERROR(__xludf.DUMMYFUNCTION("""COMPUTED_VALUE"""),29410.01)</f>
        <v/>
      </c>
      <c r="AP1609" s="6">
        <f>AQ1609&amp;AR1609</f>
        <v/>
      </c>
      <c r="AQ1609" s="6">
        <f>YEAR(AS1609)</f>
        <v/>
      </c>
      <c r="AR1609" s="6">
        <f>MONTH(AS1609)</f>
        <v/>
      </c>
      <c r="AS1609" s="267">
        <f>IFERROR(__xludf.DUMMYFUNCTION("""COMPUTED_VALUE"""),45442.9986111111)</f>
        <v/>
      </c>
      <c r="AT1609" s="6">
        <f>IFERROR(__xludf.DUMMYFUNCTION("""COMPUTED_VALUE"""),2366.5)</f>
        <v/>
      </c>
    </row>
    <row r="1610">
      <c r="B1610" s="6">
        <f>C1610&amp;D1610</f>
        <v/>
      </c>
      <c r="C1610" s="6">
        <f>YEAR(E1610)</f>
        <v/>
      </c>
      <c r="D1610" s="6">
        <f>MONTH(E1610)</f>
        <v/>
      </c>
      <c r="E1610" s="267">
        <f>IFERROR(__xludf.DUMMYFUNCTION("""COMPUTED_VALUE"""),45435.6666666666)</f>
        <v/>
      </c>
      <c r="F1610" s="6">
        <f>IFERROR(__xludf.DUMMYFUNCTION("""COMPUTED_VALUE"""),5267.84)</f>
        <v/>
      </c>
      <c r="J1610" s="6">
        <f>K1610&amp;L1610</f>
        <v/>
      </c>
      <c r="K1610" s="6">
        <f>YEAR(M1610)</f>
        <v/>
      </c>
      <c r="L1610" s="6">
        <f>MONTH(M1610)</f>
        <v/>
      </c>
      <c r="M1610" s="267">
        <f>IFERROR(__xludf.DUMMYFUNCTION("""COMPUTED_VALUE"""),45427.6666666666)</f>
        <v/>
      </c>
      <c r="N1610" s="6">
        <f>IFERROR(__xludf.DUMMYFUNCTION("""COMPUTED_VALUE"""),16742.39)</f>
        <v/>
      </c>
      <c r="R1610" s="6">
        <f>S1610&amp;T1610</f>
        <v/>
      </c>
      <c r="S1610" s="6">
        <f>YEAR(U1610)</f>
        <v/>
      </c>
      <c r="T1610" s="6">
        <f>MONTH(U1610)</f>
        <v/>
      </c>
      <c r="U1610" s="267">
        <f>IFERROR(__xludf.DUMMYFUNCTION("""COMPUTED_VALUE"""),45491.6458333333)</f>
        <v/>
      </c>
      <c r="V1610" s="6">
        <f>IFERROR(__xludf.DUMMYFUNCTION("""COMPUTED_VALUE"""),2824.35)</f>
        <v/>
      </c>
      <c r="Z1610" s="6">
        <f>AA1610&amp;AB1610</f>
        <v/>
      </c>
      <c r="AA1610" s="6">
        <f>YEAR(AC1610)</f>
        <v/>
      </c>
      <c r="AB1610" s="6">
        <f>MONTH(AC1610)</f>
        <v/>
      </c>
      <c r="AC1610" s="267">
        <f>IFERROR(__xludf.DUMMYFUNCTION("""COMPUTED_VALUE"""),44759.9986111111)</f>
        <v/>
      </c>
      <c r="AD1610" s="6">
        <f>IFERROR(__xludf.DUMMYFUNCTION("""COMPUTED_VALUE"""),1318.12)</f>
        <v/>
      </c>
      <c r="AH1610" s="6">
        <f>AI1610&amp;AJ1610</f>
        <v/>
      </c>
      <c r="AI1610" s="6">
        <f>YEAR(AK1610)</f>
        <v/>
      </c>
      <c r="AJ1610" s="6">
        <f>MONTH(AK1610)</f>
        <v/>
      </c>
      <c r="AK1610" s="267">
        <f>IFERROR(__xludf.DUMMYFUNCTION("""COMPUTED_VALUE"""),44703.9986111111)</f>
        <v/>
      </c>
      <c r="AL1610" s="6">
        <f>IFERROR(__xludf.DUMMYFUNCTION("""COMPUTED_VALUE"""),30264.81)</f>
        <v/>
      </c>
      <c r="AP1610" s="6">
        <f>AQ1610&amp;AR1610</f>
        <v/>
      </c>
      <c r="AQ1610" s="6">
        <f>YEAR(AS1610)</f>
        <v/>
      </c>
      <c r="AR1610" s="6">
        <f>MONTH(AS1610)</f>
        <v/>
      </c>
      <c r="AS1610" s="267">
        <f>IFERROR(__xludf.DUMMYFUNCTION("""COMPUTED_VALUE"""),45443.9986111111)</f>
        <v/>
      </c>
      <c r="AT1610" s="6">
        <f>IFERROR(__xludf.DUMMYFUNCTION("""COMPUTED_VALUE"""),2345.8)</f>
        <v/>
      </c>
    </row>
    <row r="1611">
      <c r="B1611" s="6">
        <f>C1611&amp;D1611</f>
        <v/>
      </c>
      <c r="C1611" s="6">
        <f>YEAR(E1611)</f>
        <v/>
      </c>
      <c r="D1611" s="6">
        <f>MONTH(E1611)</f>
        <v/>
      </c>
      <c r="E1611" s="267">
        <f>IFERROR(__xludf.DUMMYFUNCTION("""COMPUTED_VALUE"""),45436.6666666666)</f>
        <v/>
      </c>
      <c r="F1611" s="6">
        <f>IFERROR(__xludf.DUMMYFUNCTION("""COMPUTED_VALUE"""),5304.72)</f>
        <v/>
      </c>
      <c r="J1611" s="6">
        <f>K1611&amp;L1611</f>
        <v/>
      </c>
      <c r="K1611" s="6">
        <f>YEAR(M1611)</f>
        <v/>
      </c>
      <c r="L1611" s="6">
        <f>MONTH(M1611)</f>
        <v/>
      </c>
      <c r="M1611" s="267">
        <f>IFERROR(__xludf.DUMMYFUNCTION("""COMPUTED_VALUE"""),45428.6666666666)</f>
        <v/>
      </c>
      <c r="N1611" s="6">
        <f>IFERROR(__xludf.DUMMYFUNCTION("""COMPUTED_VALUE"""),16698.32)</f>
        <v/>
      </c>
      <c r="R1611" s="6">
        <f>S1611&amp;T1611</f>
        <v/>
      </c>
      <c r="S1611" s="6">
        <f>YEAR(U1611)</f>
        <v/>
      </c>
      <c r="T1611" s="6">
        <f>MONTH(U1611)</f>
        <v/>
      </c>
      <c r="U1611" s="267">
        <f>IFERROR(__xludf.DUMMYFUNCTION("""COMPUTED_VALUE"""),45492.6458333333)</f>
        <v/>
      </c>
      <c r="V1611" s="6">
        <f>IFERROR(__xludf.DUMMYFUNCTION("""COMPUTED_VALUE"""),2795.46)</f>
        <v/>
      </c>
      <c r="Z1611" s="6">
        <f>AA1611&amp;AB1611</f>
        <v/>
      </c>
      <c r="AA1611" s="6">
        <f>YEAR(AC1611)</f>
        <v/>
      </c>
      <c r="AB1611" s="6">
        <f>MONTH(AC1611)</f>
        <v/>
      </c>
      <c r="AC1611" s="267">
        <f>IFERROR(__xludf.DUMMYFUNCTION("""COMPUTED_VALUE"""),44760.9986111111)</f>
        <v/>
      </c>
      <c r="AD1611" s="6">
        <f>IFERROR(__xludf.DUMMYFUNCTION("""COMPUTED_VALUE"""),1318.91)</f>
        <v/>
      </c>
      <c r="AH1611" s="6">
        <f>AI1611&amp;AJ1611</f>
        <v/>
      </c>
      <c r="AI1611" s="6">
        <f>YEAR(AK1611)</f>
        <v/>
      </c>
      <c r="AJ1611" s="6">
        <f>MONTH(AK1611)</f>
        <v/>
      </c>
      <c r="AK1611" s="267">
        <f>IFERROR(__xludf.DUMMYFUNCTION("""COMPUTED_VALUE"""),44704.9986111111)</f>
        <v/>
      </c>
      <c r="AL1611" s="6">
        <f>IFERROR(__xludf.DUMMYFUNCTION("""COMPUTED_VALUE"""),29075.09)</f>
        <v/>
      </c>
      <c r="AP1611" s="6">
        <f>AQ1611&amp;AR1611</f>
        <v/>
      </c>
      <c r="AQ1611" s="6">
        <f>YEAR(AS1611)</f>
        <v/>
      </c>
      <c r="AR1611" s="6">
        <f>MONTH(AS1611)</f>
        <v/>
      </c>
      <c r="AS1611" s="267">
        <f>IFERROR(__xludf.DUMMYFUNCTION("""COMPUTED_VALUE"""),45446.9986111111)</f>
        <v/>
      </c>
      <c r="AT1611" s="6">
        <f>IFERROR(__xludf.DUMMYFUNCTION("""COMPUTED_VALUE"""),2369.3)</f>
        <v/>
      </c>
    </row>
    <row r="1612">
      <c r="B1612" s="6">
        <f>C1612&amp;D1612</f>
        <v/>
      </c>
      <c r="C1612" s="6">
        <f>YEAR(E1612)</f>
        <v/>
      </c>
      <c r="D1612" s="6">
        <f>MONTH(E1612)</f>
        <v/>
      </c>
      <c r="E1612" s="267">
        <f>IFERROR(__xludf.DUMMYFUNCTION("""COMPUTED_VALUE"""),45440.6666666666)</f>
        <v/>
      </c>
      <c r="F1612" s="6">
        <f>IFERROR(__xludf.DUMMYFUNCTION("""COMPUTED_VALUE"""),5306.04)</f>
        <v/>
      </c>
      <c r="J1612" s="6">
        <f>K1612&amp;L1612</f>
        <v/>
      </c>
      <c r="K1612" s="6">
        <f>YEAR(M1612)</f>
        <v/>
      </c>
      <c r="L1612" s="6">
        <f>MONTH(M1612)</f>
        <v/>
      </c>
      <c r="M1612" s="267">
        <f>IFERROR(__xludf.DUMMYFUNCTION("""COMPUTED_VALUE"""),45429.6666666666)</f>
        <v/>
      </c>
      <c r="N1612" s="6">
        <f>IFERROR(__xludf.DUMMYFUNCTION("""COMPUTED_VALUE"""),16685.97)</f>
        <v/>
      </c>
      <c r="R1612" s="6">
        <f>S1612&amp;T1612</f>
        <v/>
      </c>
      <c r="S1612" s="6">
        <f>YEAR(U1612)</f>
        <v/>
      </c>
      <c r="T1612" s="6">
        <f>MONTH(U1612)</f>
        <v/>
      </c>
      <c r="U1612" s="267">
        <f>IFERROR(__xludf.DUMMYFUNCTION("""COMPUTED_VALUE"""),45495.6458333333)</f>
        <v/>
      </c>
      <c r="V1612" s="6">
        <f>IFERROR(__xludf.DUMMYFUNCTION("""COMPUTED_VALUE"""),2763.51)</f>
        <v/>
      </c>
      <c r="Z1612" s="6">
        <f>AA1612&amp;AB1612</f>
        <v/>
      </c>
      <c r="AA1612" s="6">
        <f>YEAR(AC1612)</f>
        <v/>
      </c>
      <c r="AB1612" s="6">
        <f>MONTH(AC1612)</f>
        <v/>
      </c>
      <c r="AC1612" s="267">
        <f>IFERROR(__xludf.DUMMYFUNCTION("""COMPUTED_VALUE"""),44761.9986111111)</f>
        <v/>
      </c>
      <c r="AD1612" s="6">
        <f>IFERROR(__xludf.DUMMYFUNCTION("""COMPUTED_VALUE"""),1305.5)</f>
        <v/>
      </c>
      <c r="AH1612" s="6">
        <f>AI1612&amp;AJ1612</f>
        <v/>
      </c>
      <c r="AI1612" s="6">
        <f>YEAR(AK1612)</f>
        <v/>
      </c>
      <c r="AJ1612" s="6">
        <f>MONTH(AK1612)</f>
        <v/>
      </c>
      <c r="AK1612" s="267">
        <f>IFERROR(__xludf.DUMMYFUNCTION("""COMPUTED_VALUE"""),44705.9986111111)</f>
        <v/>
      </c>
      <c r="AL1612" s="6">
        <f>IFERROR(__xludf.DUMMYFUNCTION("""COMPUTED_VALUE"""),29631.11)</f>
        <v/>
      </c>
      <c r="AP1612" s="6">
        <f>AQ1612&amp;AR1612</f>
        <v/>
      </c>
      <c r="AQ1612" s="6">
        <f>YEAR(AS1612)</f>
        <v/>
      </c>
      <c r="AR1612" s="6">
        <f>MONTH(AS1612)</f>
        <v/>
      </c>
      <c r="AS1612" s="267">
        <f>IFERROR(__xludf.DUMMYFUNCTION("""COMPUTED_VALUE"""),45447.9986111111)</f>
        <v/>
      </c>
      <c r="AT1612" s="6">
        <f>IFERROR(__xludf.DUMMYFUNCTION("""COMPUTED_VALUE"""),2347.4)</f>
        <v/>
      </c>
    </row>
    <row r="1613">
      <c r="B1613" s="6">
        <f>C1613&amp;D1613</f>
        <v/>
      </c>
      <c r="C1613" s="6">
        <f>YEAR(E1613)</f>
        <v/>
      </c>
      <c r="D1613" s="6">
        <f>MONTH(E1613)</f>
        <v/>
      </c>
      <c r="E1613" s="267">
        <f>IFERROR(__xludf.DUMMYFUNCTION("""COMPUTED_VALUE"""),45441.6666666666)</f>
        <v/>
      </c>
      <c r="F1613" s="6">
        <f>IFERROR(__xludf.DUMMYFUNCTION("""COMPUTED_VALUE"""),5266.95)</f>
        <v/>
      </c>
      <c r="J1613" s="6">
        <f>K1613&amp;L1613</f>
        <v/>
      </c>
      <c r="K1613" s="6">
        <f>YEAR(M1613)</f>
        <v/>
      </c>
      <c r="L1613" s="6">
        <f>MONTH(M1613)</f>
        <v/>
      </c>
      <c r="M1613" s="267">
        <f>IFERROR(__xludf.DUMMYFUNCTION("""COMPUTED_VALUE"""),45432.6666666666)</f>
        <v/>
      </c>
      <c r="N1613" s="6">
        <f>IFERROR(__xludf.DUMMYFUNCTION("""COMPUTED_VALUE"""),16794.87)</f>
        <v/>
      </c>
      <c r="R1613" s="6">
        <f>S1613&amp;T1613</f>
        <v/>
      </c>
      <c r="S1613" s="6">
        <f>YEAR(U1613)</f>
        <v/>
      </c>
      <c r="T1613" s="6">
        <f>MONTH(U1613)</f>
        <v/>
      </c>
      <c r="U1613" s="267">
        <f>IFERROR(__xludf.DUMMYFUNCTION("""COMPUTED_VALUE"""),45496.6458333333)</f>
        <v/>
      </c>
      <c r="V1613" s="6">
        <f>IFERROR(__xludf.DUMMYFUNCTION("""COMPUTED_VALUE"""),2774.29)</f>
        <v/>
      </c>
      <c r="Z1613" s="6">
        <f>AA1613&amp;AB1613</f>
        <v/>
      </c>
      <c r="AA1613" s="6">
        <f>YEAR(AC1613)</f>
        <v/>
      </c>
      <c r="AB1613" s="6">
        <f>MONTH(AC1613)</f>
        <v/>
      </c>
      <c r="AC1613" s="267">
        <f>IFERROR(__xludf.DUMMYFUNCTION("""COMPUTED_VALUE"""),44762.9986111111)</f>
        <v/>
      </c>
      <c r="AD1613" s="6">
        <f>IFERROR(__xludf.DUMMYFUNCTION("""COMPUTED_VALUE"""),1312.87)</f>
        <v/>
      </c>
      <c r="AH1613" s="6">
        <f>AI1613&amp;AJ1613</f>
        <v/>
      </c>
      <c r="AI1613" s="6">
        <f>YEAR(AK1613)</f>
        <v/>
      </c>
      <c r="AJ1613" s="6">
        <f>MONTH(AK1613)</f>
        <v/>
      </c>
      <c r="AK1613" s="267">
        <f>IFERROR(__xludf.DUMMYFUNCTION("""COMPUTED_VALUE"""),44706.9986111111)</f>
        <v/>
      </c>
      <c r="AL1613" s="6">
        <f>IFERROR(__xludf.DUMMYFUNCTION("""COMPUTED_VALUE"""),29506.05)</f>
        <v/>
      </c>
      <c r="AP1613" s="6">
        <f>AQ1613&amp;AR1613</f>
        <v/>
      </c>
      <c r="AQ1613" s="6">
        <f>YEAR(AS1613)</f>
        <v/>
      </c>
      <c r="AR1613" s="6">
        <f>MONTH(AS1613)</f>
        <v/>
      </c>
      <c r="AS1613" s="267">
        <f>IFERROR(__xludf.DUMMYFUNCTION("""COMPUTED_VALUE"""),45448.9986111111)</f>
        <v/>
      </c>
      <c r="AT1613" s="6">
        <f>IFERROR(__xludf.DUMMYFUNCTION("""COMPUTED_VALUE"""),2375.5)</f>
        <v/>
      </c>
    </row>
    <row r="1614">
      <c r="B1614" s="6">
        <f>C1614&amp;D1614</f>
        <v/>
      </c>
      <c r="C1614" s="6">
        <f>YEAR(E1614)</f>
        <v/>
      </c>
      <c r="D1614" s="6">
        <f>MONTH(E1614)</f>
        <v/>
      </c>
      <c r="E1614" s="267">
        <f>IFERROR(__xludf.DUMMYFUNCTION("""COMPUTED_VALUE"""),45442.6666666666)</f>
        <v/>
      </c>
      <c r="F1614" s="6">
        <f>IFERROR(__xludf.DUMMYFUNCTION("""COMPUTED_VALUE"""),5235.48)</f>
        <v/>
      </c>
      <c r="J1614" s="6">
        <f>K1614&amp;L1614</f>
        <v/>
      </c>
      <c r="K1614" s="6">
        <f>YEAR(M1614)</f>
        <v/>
      </c>
      <c r="L1614" s="6">
        <f>MONTH(M1614)</f>
        <v/>
      </c>
      <c r="M1614" s="267">
        <f>IFERROR(__xludf.DUMMYFUNCTION("""COMPUTED_VALUE"""),45433.6666666666)</f>
        <v/>
      </c>
      <c r="N1614" s="6">
        <f>IFERROR(__xludf.DUMMYFUNCTION("""COMPUTED_VALUE"""),16832.62)</f>
        <v/>
      </c>
      <c r="R1614" s="6">
        <f>S1614&amp;T1614</f>
        <v/>
      </c>
      <c r="S1614" s="6">
        <f>YEAR(U1614)</f>
        <v/>
      </c>
      <c r="T1614" s="6">
        <f>MONTH(U1614)</f>
        <v/>
      </c>
      <c r="U1614" s="267">
        <f>IFERROR(__xludf.DUMMYFUNCTION("""COMPUTED_VALUE"""),45497.6458333333)</f>
        <v/>
      </c>
      <c r="V1614" s="6">
        <f>IFERROR(__xludf.DUMMYFUNCTION("""COMPUTED_VALUE"""),2758.71)</f>
        <v/>
      </c>
      <c r="Z1614" s="6">
        <f>AA1614&amp;AB1614</f>
        <v/>
      </c>
      <c r="AA1614" s="6">
        <f>YEAR(AC1614)</f>
        <v/>
      </c>
      <c r="AB1614" s="6">
        <f>MONTH(AC1614)</f>
        <v/>
      </c>
      <c r="AC1614" s="267">
        <f>IFERROR(__xludf.DUMMYFUNCTION("""COMPUTED_VALUE"""),44763.9986111111)</f>
        <v/>
      </c>
      <c r="AD1614" s="6">
        <f>IFERROR(__xludf.DUMMYFUNCTION("""COMPUTED_VALUE"""),1306.85)</f>
        <v/>
      </c>
      <c r="AH1614" s="6">
        <f>AI1614&amp;AJ1614</f>
        <v/>
      </c>
      <c r="AI1614" s="6">
        <f>YEAR(AK1614)</f>
        <v/>
      </c>
      <c r="AJ1614" s="6">
        <f>MONTH(AK1614)</f>
        <v/>
      </c>
      <c r="AK1614" s="267">
        <f>IFERROR(__xludf.DUMMYFUNCTION("""COMPUTED_VALUE"""),44707.9986111111)</f>
        <v/>
      </c>
      <c r="AL1614" s="6">
        <f>IFERROR(__xludf.DUMMYFUNCTION("""COMPUTED_VALUE"""),29187.76)</f>
        <v/>
      </c>
      <c r="AP1614" s="6">
        <f>AQ1614&amp;AR1614</f>
        <v/>
      </c>
      <c r="AQ1614" s="6">
        <f>YEAR(AS1614)</f>
        <v/>
      </c>
      <c r="AR1614" s="6">
        <f>MONTH(AS1614)</f>
        <v/>
      </c>
      <c r="AS1614" s="267">
        <f>IFERROR(__xludf.DUMMYFUNCTION("""COMPUTED_VALUE"""),45449.9986111111)</f>
        <v/>
      </c>
      <c r="AT1614" s="6">
        <f>IFERROR(__xludf.DUMMYFUNCTION("""COMPUTED_VALUE"""),2390.9)</f>
        <v/>
      </c>
    </row>
    <row r="1615">
      <c r="B1615" s="6">
        <f>C1615&amp;D1615</f>
        <v/>
      </c>
      <c r="C1615" s="6">
        <f>YEAR(E1615)</f>
        <v/>
      </c>
      <c r="D1615" s="6">
        <f>MONTH(E1615)</f>
        <v/>
      </c>
      <c r="E1615" s="267">
        <f>IFERROR(__xludf.DUMMYFUNCTION("""COMPUTED_VALUE"""),45443.6666666666)</f>
        <v/>
      </c>
      <c r="F1615" s="6">
        <f>IFERROR(__xludf.DUMMYFUNCTION("""COMPUTED_VALUE"""),5277.51)</f>
        <v/>
      </c>
      <c r="J1615" s="6">
        <f>K1615&amp;L1615</f>
        <v/>
      </c>
      <c r="K1615" s="6">
        <f>YEAR(M1615)</f>
        <v/>
      </c>
      <c r="L1615" s="6">
        <f>MONTH(M1615)</f>
        <v/>
      </c>
      <c r="M1615" s="267">
        <f>IFERROR(__xludf.DUMMYFUNCTION("""COMPUTED_VALUE"""),45434.6666666666)</f>
        <v/>
      </c>
      <c r="N1615" s="6">
        <f>IFERROR(__xludf.DUMMYFUNCTION("""COMPUTED_VALUE"""),16801.54)</f>
        <v/>
      </c>
      <c r="R1615" s="6">
        <f>S1615&amp;T1615</f>
        <v/>
      </c>
      <c r="S1615" s="6">
        <f>YEAR(U1615)</f>
        <v/>
      </c>
      <c r="T1615" s="6">
        <f>MONTH(U1615)</f>
        <v/>
      </c>
      <c r="U1615" s="267">
        <f>IFERROR(__xludf.DUMMYFUNCTION("""COMPUTED_VALUE"""),45498.6458333333)</f>
        <v/>
      </c>
      <c r="V1615" s="6">
        <f>IFERROR(__xludf.DUMMYFUNCTION("""COMPUTED_VALUE"""),2710.65)</f>
        <v/>
      </c>
      <c r="Z1615" s="6">
        <f>AA1615&amp;AB1615</f>
        <v/>
      </c>
      <c r="AA1615" s="6">
        <f>YEAR(AC1615)</f>
        <v/>
      </c>
      <c r="AB1615" s="6">
        <f>MONTH(AC1615)</f>
        <v/>
      </c>
      <c r="AC1615" s="267">
        <f>IFERROR(__xludf.DUMMYFUNCTION("""COMPUTED_VALUE"""),44764.9986111111)</f>
        <v/>
      </c>
      <c r="AD1615" s="6">
        <f>IFERROR(__xludf.DUMMYFUNCTION("""COMPUTED_VALUE"""),1309.23)</f>
        <v/>
      </c>
      <c r="AH1615" s="6">
        <f>AI1615&amp;AJ1615</f>
        <v/>
      </c>
      <c r="AI1615" s="6">
        <f>YEAR(AK1615)</f>
        <v/>
      </c>
      <c r="AJ1615" s="6">
        <f>MONTH(AK1615)</f>
        <v/>
      </c>
      <c r="AK1615" s="267">
        <f>IFERROR(__xludf.DUMMYFUNCTION("""COMPUTED_VALUE"""),44708.9986111111)</f>
        <v/>
      </c>
      <c r="AL1615" s="6">
        <f>IFERROR(__xludf.DUMMYFUNCTION("""COMPUTED_VALUE"""),28594.66)</f>
        <v/>
      </c>
      <c r="AP1615" s="6">
        <f>AQ1615&amp;AR1615</f>
        <v/>
      </c>
      <c r="AQ1615" s="6">
        <f>YEAR(AS1615)</f>
        <v/>
      </c>
      <c r="AR1615" s="6">
        <f>MONTH(AS1615)</f>
        <v/>
      </c>
      <c r="AS1615" s="267">
        <f>IFERROR(__xludf.DUMMYFUNCTION("""COMPUTED_VALUE"""),45450.9986111111)</f>
        <v/>
      </c>
      <c r="AT1615" s="6">
        <f>IFERROR(__xludf.DUMMYFUNCTION("""COMPUTED_VALUE"""),2325)</f>
        <v/>
      </c>
    </row>
    <row r="1616">
      <c r="B1616" s="6">
        <f>C1616&amp;D1616</f>
        <v/>
      </c>
      <c r="C1616" s="6">
        <f>YEAR(E1616)</f>
        <v/>
      </c>
      <c r="D1616" s="6">
        <f>MONTH(E1616)</f>
        <v/>
      </c>
      <c r="E1616" s="267">
        <f>IFERROR(__xludf.DUMMYFUNCTION("""COMPUTED_VALUE"""),45446.6666666666)</f>
        <v/>
      </c>
      <c r="F1616" s="6">
        <f>IFERROR(__xludf.DUMMYFUNCTION("""COMPUTED_VALUE"""),5283.4)</f>
        <v/>
      </c>
      <c r="J1616" s="6">
        <f>K1616&amp;L1616</f>
        <v/>
      </c>
      <c r="K1616" s="6">
        <f>YEAR(M1616)</f>
        <v/>
      </c>
      <c r="L1616" s="6">
        <f>MONTH(M1616)</f>
        <v/>
      </c>
      <c r="M1616" s="267">
        <f>IFERROR(__xludf.DUMMYFUNCTION("""COMPUTED_VALUE"""),45435.6666666666)</f>
        <v/>
      </c>
      <c r="N1616" s="6">
        <f>IFERROR(__xludf.DUMMYFUNCTION("""COMPUTED_VALUE"""),16736.03)</f>
        <v/>
      </c>
      <c r="R1616" s="6">
        <f>S1616&amp;T1616</f>
        <v/>
      </c>
      <c r="S1616" s="6">
        <f>YEAR(U1616)</f>
        <v/>
      </c>
      <c r="T1616" s="6">
        <f>MONTH(U1616)</f>
        <v/>
      </c>
      <c r="U1616" s="267">
        <f>IFERROR(__xludf.DUMMYFUNCTION("""COMPUTED_VALUE"""),45499.6458333333)</f>
        <v/>
      </c>
      <c r="V1616" s="6">
        <f>IFERROR(__xludf.DUMMYFUNCTION("""COMPUTED_VALUE"""),2731.9)</f>
        <v/>
      </c>
      <c r="Z1616" s="6">
        <f>AA1616&amp;AB1616</f>
        <v/>
      </c>
      <c r="AA1616" s="6">
        <f>YEAR(AC1616)</f>
        <v/>
      </c>
      <c r="AB1616" s="6">
        <f>MONTH(AC1616)</f>
        <v/>
      </c>
      <c r="AC1616" s="267">
        <f>IFERROR(__xludf.DUMMYFUNCTION("""COMPUTED_VALUE"""),44765.9986111111)</f>
        <v/>
      </c>
      <c r="AD1616" s="6">
        <f>IFERROR(__xludf.DUMMYFUNCTION("""COMPUTED_VALUE"""),1308.63)</f>
        <v/>
      </c>
      <c r="AH1616" s="6">
        <f>AI1616&amp;AJ1616</f>
        <v/>
      </c>
      <c r="AI1616" s="6">
        <f>YEAR(AK1616)</f>
        <v/>
      </c>
      <c r="AJ1616" s="6">
        <f>MONTH(AK1616)</f>
        <v/>
      </c>
      <c r="AK1616" s="267">
        <f>IFERROR(__xludf.DUMMYFUNCTION("""COMPUTED_VALUE"""),44709.9986111111)</f>
        <v/>
      </c>
      <c r="AL1616" s="6">
        <f>IFERROR(__xludf.DUMMYFUNCTION("""COMPUTED_VALUE"""),29013.92)</f>
        <v/>
      </c>
      <c r="AP1616" s="6">
        <f>AQ1616&amp;AR1616</f>
        <v/>
      </c>
      <c r="AQ1616" s="6">
        <f>YEAR(AS1616)</f>
        <v/>
      </c>
      <c r="AR1616" s="6">
        <f>MONTH(AS1616)</f>
        <v/>
      </c>
      <c r="AS1616" s="267">
        <f>IFERROR(__xludf.DUMMYFUNCTION("""COMPUTED_VALUE"""),45453.9986111111)</f>
        <v/>
      </c>
      <c r="AT1616" s="6">
        <f>IFERROR(__xludf.DUMMYFUNCTION("""COMPUTED_VALUE"""),2327)</f>
        <v/>
      </c>
    </row>
    <row r="1617">
      <c r="B1617" s="6">
        <f>C1617&amp;D1617</f>
        <v/>
      </c>
      <c r="C1617" s="6">
        <f>YEAR(E1617)</f>
        <v/>
      </c>
      <c r="D1617" s="6">
        <f>MONTH(E1617)</f>
        <v/>
      </c>
      <c r="E1617" s="267">
        <f>IFERROR(__xludf.DUMMYFUNCTION("""COMPUTED_VALUE"""),45447.6666666666)</f>
        <v/>
      </c>
      <c r="F1617" s="6">
        <f>IFERROR(__xludf.DUMMYFUNCTION("""COMPUTED_VALUE"""),5291.34)</f>
        <v/>
      </c>
      <c r="J1617" s="6">
        <f>K1617&amp;L1617</f>
        <v/>
      </c>
      <c r="K1617" s="6">
        <f>YEAR(M1617)</f>
        <v/>
      </c>
      <c r="L1617" s="6">
        <f>MONTH(M1617)</f>
        <v/>
      </c>
      <c r="M1617" s="267">
        <f>IFERROR(__xludf.DUMMYFUNCTION("""COMPUTED_VALUE"""),45436.6666666666)</f>
        <v/>
      </c>
      <c r="N1617" s="6">
        <f>IFERROR(__xludf.DUMMYFUNCTION("""COMPUTED_VALUE"""),16920.79)</f>
        <v/>
      </c>
      <c r="R1617" s="6">
        <f>S1617&amp;T1617</f>
        <v/>
      </c>
      <c r="S1617" s="6">
        <f>YEAR(U1617)</f>
        <v/>
      </c>
      <c r="T1617" s="6">
        <f>MONTH(U1617)</f>
        <v/>
      </c>
      <c r="U1617" s="267">
        <f>IFERROR(__xludf.DUMMYFUNCTION("""COMPUTED_VALUE"""),45502.6458333333)</f>
        <v/>
      </c>
      <c r="V1617" s="6">
        <f>IFERROR(__xludf.DUMMYFUNCTION("""COMPUTED_VALUE"""),2765.53)</f>
        <v/>
      </c>
      <c r="Z1617" s="6">
        <f>AA1617&amp;AB1617</f>
        <v/>
      </c>
      <c r="AA1617" s="6">
        <f>YEAR(AC1617)</f>
        <v/>
      </c>
      <c r="AB1617" s="6">
        <f>MONTH(AC1617)</f>
        <v/>
      </c>
      <c r="AC1617" s="267">
        <f>IFERROR(__xludf.DUMMYFUNCTION("""COMPUTED_VALUE"""),44766.9986111111)</f>
        <v/>
      </c>
      <c r="AD1617" s="6">
        <f>IFERROR(__xludf.DUMMYFUNCTION("""COMPUTED_VALUE"""),1309.32)</f>
        <v/>
      </c>
      <c r="AH1617" s="6">
        <f>AI1617&amp;AJ1617</f>
        <v/>
      </c>
      <c r="AI1617" s="6">
        <f>YEAR(AK1617)</f>
        <v/>
      </c>
      <c r="AJ1617" s="6">
        <f>MONTH(AK1617)</f>
        <v/>
      </c>
      <c r="AK1617" s="267">
        <f>IFERROR(__xludf.DUMMYFUNCTION("""COMPUTED_VALUE"""),44710.9986111111)</f>
        <v/>
      </c>
      <c r="AL1617" s="6">
        <f>IFERROR(__xludf.DUMMYFUNCTION("""COMPUTED_VALUE"""),29453.97)</f>
        <v/>
      </c>
      <c r="AP1617" s="6">
        <f>AQ1617&amp;AR1617</f>
        <v/>
      </c>
      <c r="AQ1617" s="6">
        <f>YEAR(AS1617)</f>
        <v/>
      </c>
      <c r="AR1617" s="6">
        <f>MONTH(AS1617)</f>
        <v/>
      </c>
      <c r="AS1617" s="267">
        <f>IFERROR(__xludf.DUMMYFUNCTION("""COMPUTED_VALUE"""),45454.9986111111)</f>
        <v/>
      </c>
      <c r="AT1617" s="6">
        <f>IFERROR(__xludf.DUMMYFUNCTION("""COMPUTED_VALUE"""),2326.6)</f>
        <v/>
      </c>
    </row>
    <row r="1618">
      <c r="B1618" s="6">
        <f>C1618&amp;D1618</f>
        <v/>
      </c>
      <c r="C1618" s="6">
        <f>YEAR(E1618)</f>
        <v/>
      </c>
      <c r="D1618" s="6">
        <f>MONTH(E1618)</f>
        <v/>
      </c>
      <c r="E1618" s="267">
        <f>IFERROR(__xludf.DUMMYFUNCTION("""COMPUTED_VALUE"""),45448.6666666666)</f>
        <v/>
      </c>
      <c r="F1618" s="6">
        <f>IFERROR(__xludf.DUMMYFUNCTION("""COMPUTED_VALUE"""),5354.03)</f>
        <v/>
      </c>
      <c r="J1618" s="6">
        <f>K1618&amp;L1618</f>
        <v/>
      </c>
      <c r="K1618" s="6">
        <f>YEAR(M1618)</f>
        <v/>
      </c>
      <c r="L1618" s="6">
        <f>MONTH(M1618)</f>
        <v/>
      </c>
      <c r="M1618" s="267">
        <f>IFERROR(__xludf.DUMMYFUNCTION("""COMPUTED_VALUE"""),45440.6666666666)</f>
        <v/>
      </c>
      <c r="N1618" s="6">
        <f>IFERROR(__xludf.DUMMYFUNCTION("""COMPUTED_VALUE"""),17019.88)</f>
        <v/>
      </c>
      <c r="R1618" s="6">
        <f>S1618&amp;T1618</f>
        <v/>
      </c>
      <c r="S1618" s="6">
        <f>YEAR(U1618)</f>
        <v/>
      </c>
      <c r="T1618" s="6">
        <f>MONTH(U1618)</f>
        <v/>
      </c>
      <c r="U1618" s="267">
        <f>IFERROR(__xludf.DUMMYFUNCTION("""COMPUTED_VALUE"""),45503.6458333333)</f>
        <v/>
      </c>
      <c r="V1618" s="6">
        <f>IFERROR(__xludf.DUMMYFUNCTION("""COMPUTED_VALUE"""),2738.19)</f>
        <v/>
      </c>
      <c r="Z1618" s="6">
        <f>AA1618&amp;AB1618</f>
        <v/>
      </c>
      <c r="AA1618" s="6">
        <f>YEAR(AC1618)</f>
        <v/>
      </c>
      <c r="AB1618" s="6">
        <f>MONTH(AC1618)</f>
        <v/>
      </c>
      <c r="AC1618" s="267">
        <f>IFERROR(__xludf.DUMMYFUNCTION("""COMPUTED_VALUE"""),44767.9986111111)</f>
        <v/>
      </c>
      <c r="AD1618" s="6">
        <f>IFERROR(__xludf.DUMMYFUNCTION("""COMPUTED_VALUE"""),1310.4)</f>
        <v/>
      </c>
      <c r="AH1618" s="6">
        <f>AI1618&amp;AJ1618</f>
        <v/>
      </c>
      <c r="AI1618" s="6">
        <f>YEAR(AK1618)</f>
        <v/>
      </c>
      <c r="AJ1618" s="6">
        <f>MONTH(AK1618)</f>
        <v/>
      </c>
      <c r="AK1618" s="267">
        <f>IFERROR(__xludf.DUMMYFUNCTION("""COMPUTED_VALUE"""),44711.9986111111)</f>
        <v/>
      </c>
      <c r="AL1618" s="6">
        <f>IFERROR(__xludf.DUMMYFUNCTION("""COMPUTED_VALUE"""),31716.84)</f>
        <v/>
      </c>
      <c r="AP1618" s="6">
        <f>AQ1618&amp;AR1618</f>
        <v/>
      </c>
      <c r="AQ1618" s="6">
        <f>YEAR(AS1618)</f>
        <v/>
      </c>
      <c r="AR1618" s="6">
        <f>MONTH(AS1618)</f>
        <v/>
      </c>
      <c r="AS1618" s="267">
        <f>IFERROR(__xludf.DUMMYFUNCTION("""COMPUTED_VALUE"""),45455.9986111111)</f>
        <v/>
      </c>
      <c r="AT1618" s="6">
        <f>IFERROR(__xludf.DUMMYFUNCTION("""COMPUTED_VALUE"""),2354.8)</f>
        <v/>
      </c>
    </row>
    <row r="1619">
      <c r="B1619" s="6">
        <f>C1619&amp;D1619</f>
        <v/>
      </c>
      <c r="C1619" s="6">
        <f>YEAR(E1619)</f>
        <v/>
      </c>
      <c r="D1619" s="6">
        <f>MONTH(E1619)</f>
        <v/>
      </c>
      <c r="E1619" s="267">
        <f>IFERROR(__xludf.DUMMYFUNCTION("""COMPUTED_VALUE"""),45449.6666666666)</f>
        <v/>
      </c>
      <c r="F1619" s="6">
        <f>IFERROR(__xludf.DUMMYFUNCTION("""COMPUTED_VALUE"""),5352.96)</f>
        <v/>
      </c>
      <c r="J1619" s="6">
        <f>K1619&amp;L1619</f>
        <v/>
      </c>
      <c r="K1619" s="6">
        <f>YEAR(M1619)</f>
        <v/>
      </c>
      <c r="L1619" s="6">
        <f>MONTH(M1619)</f>
        <v/>
      </c>
      <c r="M1619" s="267">
        <f>IFERROR(__xludf.DUMMYFUNCTION("""COMPUTED_VALUE"""),45441.6666666666)</f>
        <v/>
      </c>
      <c r="N1619" s="6">
        <f>IFERROR(__xludf.DUMMYFUNCTION("""COMPUTED_VALUE"""),16920.58)</f>
        <v/>
      </c>
      <c r="R1619" s="6">
        <f>S1619&amp;T1619</f>
        <v/>
      </c>
      <c r="S1619" s="6">
        <f>YEAR(U1619)</f>
        <v/>
      </c>
      <c r="T1619" s="6">
        <f>MONTH(U1619)</f>
        <v/>
      </c>
      <c r="U1619" s="267">
        <f>IFERROR(__xludf.DUMMYFUNCTION("""COMPUTED_VALUE"""),45504.6458333333)</f>
        <v/>
      </c>
      <c r="V1619" s="6">
        <f>IFERROR(__xludf.DUMMYFUNCTION("""COMPUTED_VALUE"""),2770.69)</f>
        <v/>
      </c>
      <c r="Z1619" s="6">
        <f>AA1619&amp;AB1619</f>
        <v/>
      </c>
      <c r="AA1619" s="6">
        <f>YEAR(AC1619)</f>
        <v/>
      </c>
      <c r="AB1619" s="6">
        <f>MONTH(AC1619)</f>
        <v/>
      </c>
      <c r="AC1619" s="267">
        <f>IFERROR(__xludf.DUMMYFUNCTION("""COMPUTED_VALUE"""),44768.9986111111)</f>
        <v/>
      </c>
      <c r="AD1619" s="6">
        <f>IFERROR(__xludf.DUMMYFUNCTION("""COMPUTED_VALUE"""),1310.9)</f>
        <v/>
      </c>
      <c r="AH1619" s="6">
        <f>AI1619&amp;AJ1619</f>
        <v/>
      </c>
      <c r="AI1619" s="6">
        <f>YEAR(AK1619)</f>
        <v/>
      </c>
      <c r="AJ1619" s="6">
        <f>MONTH(AK1619)</f>
        <v/>
      </c>
      <c r="AK1619" s="267">
        <f>IFERROR(__xludf.DUMMYFUNCTION("""COMPUTED_VALUE"""),44712.9986111111)</f>
        <v/>
      </c>
      <c r="AL1619" s="6">
        <f>IFERROR(__xludf.DUMMYFUNCTION("""COMPUTED_VALUE"""),31772.85)</f>
        <v/>
      </c>
      <c r="AP1619" s="6">
        <f>AQ1619&amp;AR1619</f>
        <v/>
      </c>
      <c r="AQ1619" s="6">
        <f>YEAR(AS1619)</f>
        <v/>
      </c>
      <c r="AR1619" s="6">
        <f>MONTH(AS1619)</f>
        <v/>
      </c>
      <c r="AS1619" s="267">
        <f>IFERROR(__xludf.DUMMYFUNCTION("""COMPUTED_VALUE"""),45456.9986111111)</f>
        <v/>
      </c>
      <c r="AT1619" s="6">
        <f>IFERROR(__xludf.DUMMYFUNCTION("""COMPUTED_VALUE"""),2318)</f>
        <v/>
      </c>
    </row>
    <row r="1620">
      <c r="B1620" s="6">
        <f>C1620&amp;D1620</f>
        <v/>
      </c>
      <c r="C1620" s="6">
        <f>YEAR(E1620)</f>
        <v/>
      </c>
      <c r="D1620" s="6">
        <f>MONTH(E1620)</f>
        <v/>
      </c>
      <c r="E1620" s="267">
        <f>IFERROR(__xludf.DUMMYFUNCTION("""COMPUTED_VALUE"""),45450.6666666666)</f>
        <v/>
      </c>
      <c r="F1620" s="6">
        <f>IFERROR(__xludf.DUMMYFUNCTION("""COMPUTED_VALUE"""),5346.99)</f>
        <v/>
      </c>
      <c r="J1620" s="6">
        <f>K1620&amp;L1620</f>
        <v/>
      </c>
      <c r="K1620" s="6">
        <f>YEAR(M1620)</f>
        <v/>
      </c>
      <c r="L1620" s="6">
        <f>MONTH(M1620)</f>
        <v/>
      </c>
      <c r="M1620" s="267">
        <f>IFERROR(__xludf.DUMMYFUNCTION("""COMPUTED_VALUE"""),45442.6666666666)</f>
        <v/>
      </c>
      <c r="N1620" s="6">
        <f>IFERROR(__xludf.DUMMYFUNCTION("""COMPUTED_VALUE"""),16737.08)</f>
        <v/>
      </c>
      <c r="R1620" s="6">
        <f>S1620&amp;T1620</f>
        <v/>
      </c>
      <c r="S1620" s="6">
        <f>YEAR(U1620)</f>
        <v/>
      </c>
      <c r="T1620" s="6">
        <f>MONTH(U1620)</f>
        <v/>
      </c>
      <c r="U1620" s="267">
        <f>IFERROR(__xludf.DUMMYFUNCTION("""COMPUTED_VALUE"""),45505.6458333333)</f>
        <v/>
      </c>
      <c r="V1620" s="6">
        <f>IFERROR(__xludf.DUMMYFUNCTION("""COMPUTED_VALUE"""),2777.68)</f>
        <v/>
      </c>
      <c r="Z1620" s="6">
        <f>AA1620&amp;AB1620</f>
        <v/>
      </c>
      <c r="AA1620" s="6">
        <f>YEAR(AC1620)</f>
        <v/>
      </c>
      <c r="AB1620" s="6">
        <f>MONTH(AC1620)</f>
        <v/>
      </c>
      <c r="AC1620" s="267">
        <f>IFERROR(__xludf.DUMMYFUNCTION("""COMPUTED_VALUE"""),44769.9986111111)</f>
        <v/>
      </c>
      <c r="AD1620" s="6">
        <f>IFERROR(__xludf.DUMMYFUNCTION("""COMPUTED_VALUE"""),1305.95)</f>
        <v/>
      </c>
      <c r="AH1620" s="6">
        <f>AI1620&amp;AJ1620</f>
        <v/>
      </c>
      <c r="AI1620" s="6">
        <f>YEAR(AK1620)</f>
        <v/>
      </c>
      <c r="AJ1620" s="6">
        <f>MONTH(AK1620)</f>
        <v/>
      </c>
      <c r="AK1620" s="267">
        <f>IFERROR(__xludf.DUMMYFUNCTION("""COMPUTED_VALUE"""),44713.9986111111)</f>
        <v/>
      </c>
      <c r="AL1620" s="6">
        <f>IFERROR(__xludf.DUMMYFUNCTION("""COMPUTED_VALUE"""),29789.13)</f>
        <v/>
      </c>
      <c r="AP1620" s="6">
        <f>AQ1620&amp;AR1620</f>
        <v/>
      </c>
      <c r="AQ1620" s="6">
        <f>YEAR(AS1620)</f>
        <v/>
      </c>
      <c r="AR1620" s="6">
        <f>MONTH(AS1620)</f>
        <v/>
      </c>
      <c r="AS1620" s="267">
        <f>IFERROR(__xludf.DUMMYFUNCTION("""COMPUTED_VALUE"""),45457.9986111111)</f>
        <v/>
      </c>
      <c r="AT1620" s="6">
        <f>IFERROR(__xludf.DUMMYFUNCTION("""COMPUTED_VALUE"""),2349.1)</f>
        <v/>
      </c>
    </row>
    <row r="1621">
      <c r="B1621" s="6">
        <f>C1621&amp;D1621</f>
        <v/>
      </c>
      <c r="C1621" s="6">
        <f>YEAR(E1621)</f>
        <v/>
      </c>
      <c r="D1621" s="6">
        <f>MONTH(E1621)</f>
        <v/>
      </c>
      <c r="E1621" s="267">
        <f>IFERROR(__xludf.DUMMYFUNCTION("""COMPUTED_VALUE"""),45453.6666666666)</f>
        <v/>
      </c>
      <c r="F1621" s="6">
        <f>IFERROR(__xludf.DUMMYFUNCTION("""COMPUTED_VALUE"""),5360.79)</f>
        <v/>
      </c>
      <c r="J1621" s="6">
        <f>K1621&amp;L1621</f>
        <v/>
      </c>
      <c r="K1621" s="6">
        <f>YEAR(M1621)</f>
        <v/>
      </c>
      <c r="L1621" s="6">
        <f>MONTH(M1621)</f>
        <v/>
      </c>
      <c r="M1621" s="267">
        <f>IFERROR(__xludf.DUMMYFUNCTION("""COMPUTED_VALUE"""),45443.6666666666)</f>
        <v/>
      </c>
      <c r="N1621" s="6">
        <f>IFERROR(__xludf.DUMMYFUNCTION("""COMPUTED_VALUE"""),16735.02)</f>
        <v/>
      </c>
      <c r="R1621" s="6">
        <f>S1621&amp;T1621</f>
        <v/>
      </c>
      <c r="S1621" s="6">
        <f>YEAR(U1621)</f>
        <v/>
      </c>
      <c r="T1621" s="6">
        <f>MONTH(U1621)</f>
        <v/>
      </c>
      <c r="U1621" s="267">
        <f>IFERROR(__xludf.DUMMYFUNCTION("""COMPUTED_VALUE"""),45506.6458333333)</f>
        <v/>
      </c>
      <c r="V1621" s="6">
        <f>IFERROR(__xludf.DUMMYFUNCTION("""COMPUTED_VALUE"""),2676.19)</f>
        <v/>
      </c>
      <c r="Z1621" s="6">
        <f>AA1621&amp;AB1621</f>
        <v/>
      </c>
      <c r="AA1621" s="6">
        <f>YEAR(AC1621)</f>
        <v/>
      </c>
      <c r="AB1621" s="6">
        <f>MONTH(AC1621)</f>
        <v/>
      </c>
      <c r="AC1621" s="267">
        <f>IFERROR(__xludf.DUMMYFUNCTION("""COMPUTED_VALUE"""),44770.9986111111)</f>
        <v/>
      </c>
      <c r="AD1621" s="6">
        <f>IFERROR(__xludf.DUMMYFUNCTION("""COMPUTED_VALUE"""),1295.15)</f>
        <v/>
      </c>
      <c r="AH1621" s="6">
        <f>AI1621&amp;AJ1621</f>
        <v/>
      </c>
      <c r="AI1621" s="6">
        <f>YEAR(AK1621)</f>
        <v/>
      </c>
      <c r="AJ1621" s="6">
        <f>MONTH(AK1621)</f>
        <v/>
      </c>
      <c r="AK1621" s="267">
        <f>IFERROR(__xludf.DUMMYFUNCTION("""COMPUTED_VALUE"""),44714.9986111111)</f>
        <v/>
      </c>
      <c r="AL1621" s="6">
        <f>IFERROR(__xludf.DUMMYFUNCTION("""COMPUTED_VALUE"""),30441.68)</f>
        <v/>
      </c>
      <c r="AP1621" s="6">
        <f>AQ1621&amp;AR1621</f>
        <v/>
      </c>
      <c r="AQ1621" s="6">
        <f>YEAR(AS1621)</f>
        <v/>
      </c>
      <c r="AR1621" s="6">
        <f>MONTH(AS1621)</f>
        <v/>
      </c>
      <c r="AS1621" s="267">
        <f>IFERROR(__xludf.DUMMYFUNCTION("""COMPUTED_VALUE"""),45460.9986111111)</f>
        <v/>
      </c>
      <c r="AT1621" s="6">
        <f>IFERROR(__xludf.DUMMYFUNCTION("""COMPUTED_VALUE"""),2329)</f>
        <v/>
      </c>
    </row>
    <row r="1622">
      <c r="B1622" s="6">
        <f>C1622&amp;D1622</f>
        <v/>
      </c>
      <c r="C1622" s="6">
        <f>YEAR(E1622)</f>
        <v/>
      </c>
      <c r="D1622" s="6">
        <f>MONTH(E1622)</f>
        <v/>
      </c>
      <c r="E1622" s="267">
        <f>IFERROR(__xludf.DUMMYFUNCTION("""COMPUTED_VALUE"""),45454.6666666666)</f>
        <v/>
      </c>
      <c r="F1622" s="6">
        <f>IFERROR(__xludf.DUMMYFUNCTION("""COMPUTED_VALUE"""),5375.32)</f>
        <v/>
      </c>
      <c r="J1622" s="6">
        <f>K1622&amp;L1622</f>
        <v/>
      </c>
      <c r="K1622" s="6">
        <f>YEAR(M1622)</f>
        <v/>
      </c>
      <c r="L1622" s="6">
        <f>MONTH(M1622)</f>
        <v/>
      </c>
      <c r="M1622" s="267">
        <f>IFERROR(__xludf.DUMMYFUNCTION("""COMPUTED_VALUE"""),45446.6666666666)</f>
        <v/>
      </c>
      <c r="N1622" s="6">
        <f>IFERROR(__xludf.DUMMYFUNCTION("""COMPUTED_VALUE"""),16828.67)</f>
        <v/>
      </c>
      <c r="R1622" s="6">
        <f>S1622&amp;T1622</f>
        <v/>
      </c>
      <c r="S1622" s="6">
        <f>YEAR(U1622)</f>
        <v/>
      </c>
      <c r="T1622" s="6">
        <f>MONTH(U1622)</f>
        <v/>
      </c>
      <c r="U1622" s="267">
        <f>IFERROR(__xludf.DUMMYFUNCTION("""COMPUTED_VALUE"""),45509.6458333333)</f>
        <v/>
      </c>
      <c r="V1622" s="6">
        <f>IFERROR(__xludf.DUMMYFUNCTION("""COMPUTED_VALUE"""),2441.55)</f>
        <v/>
      </c>
      <c r="Z1622" s="6">
        <f>AA1622&amp;AB1622</f>
        <v/>
      </c>
      <c r="AA1622" s="6">
        <f>YEAR(AC1622)</f>
        <v/>
      </c>
      <c r="AB1622" s="6">
        <f>MONTH(AC1622)</f>
        <v/>
      </c>
      <c r="AC1622" s="267">
        <f>IFERROR(__xludf.DUMMYFUNCTION("""COMPUTED_VALUE"""),44771.9986111111)</f>
        <v/>
      </c>
      <c r="AD1622" s="6">
        <f>IFERROR(__xludf.DUMMYFUNCTION("""COMPUTED_VALUE"""),1302.87)</f>
        <v/>
      </c>
      <c r="AH1622" s="6">
        <f>AI1622&amp;AJ1622</f>
        <v/>
      </c>
      <c r="AI1622" s="6">
        <f>YEAR(AK1622)</f>
        <v/>
      </c>
      <c r="AJ1622" s="6">
        <f>MONTH(AK1622)</f>
        <v/>
      </c>
      <c r="AK1622" s="267">
        <f>IFERROR(__xludf.DUMMYFUNCTION("""COMPUTED_VALUE"""),44715.9986111111)</f>
        <v/>
      </c>
      <c r="AL1622" s="6">
        <f>IFERROR(__xludf.DUMMYFUNCTION("""COMPUTED_VALUE"""),29681.62)</f>
        <v/>
      </c>
      <c r="AP1622" s="6">
        <f>AQ1622&amp;AR1622</f>
        <v/>
      </c>
      <c r="AQ1622" s="6">
        <f>YEAR(AS1622)</f>
        <v/>
      </c>
      <c r="AR1622" s="6">
        <f>MONTH(AS1622)</f>
        <v/>
      </c>
      <c r="AS1622" s="267">
        <f>IFERROR(__xludf.DUMMYFUNCTION("""COMPUTED_VALUE"""),45461.9986111111)</f>
        <v/>
      </c>
      <c r="AT1622" s="6">
        <f>IFERROR(__xludf.DUMMYFUNCTION("""COMPUTED_VALUE"""),2346.9)</f>
        <v/>
      </c>
    </row>
    <row r="1623">
      <c r="B1623" s="6">
        <f>C1623&amp;D1623</f>
        <v/>
      </c>
      <c r="C1623" s="6">
        <f>YEAR(E1623)</f>
        <v/>
      </c>
      <c r="D1623" s="6">
        <f>MONTH(E1623)</f>
        <v/>
      </c>
      <c r="E1623" s="267">
        <f>IFERROR(__xludf.DUMMYFUNCTION("""COMPUTED_VALUE"""),45455.6666666666)</f>
        <v/>
      </c>
      <c r="F1623" s="6">
        <f>IFERROR(__xludf.DUMMYFUNCTION("""COMPUTED_VALUE"""),5421.03)</f>
        <v/>
      </c>
      <c r="J1623" s="6">
        <f>K1623&amp;L1623</f>
        <v/>
      </c>
      <c r="K1623" s="6">
        <f>YEAR(M1623)</f>
        <v/>
      </c>
      <c r="L1623" s="6">
        <f>MONTH(M1623)</f>
        <v/>
      </c>
      <c r="M1623" s="267">
        <f>IFERROR(__xludf.DUMMYFUNCTION("""COMPUTED_VALUE"""),45447.6666666666)</f>
        <v/>
      </c>
      <c r="N1623" s="6">
        <f>IFERROR(__xludf.DUMMYFUNCTION("""COMPUTED_VALUE"""),16857.05)</f>
        <v/>
      </c>
      <c r="R1623" s="6">
        <f>S1623&amp;T1623</f>
        <v/>
      </c>
      <c r="S1623" s="6">
        <f>YEAR(U1623)</f>
        <v/>
      </c>
      <c r="T1623" s="6">
        <f>MONTH(U1623)</f>
        <v/>
      </c>
      <c r="U1623" s="267">
        <f>IFERROR(__xludf.DUMMYFUNCTION("""COMPUTED_VALUE"""),45510.6458333333)</f>
        <v/>
      </c>
      <c r="V1623" s="6">
        <f>IFERROR(__xludf.DUMMYFUNCTION("""COMPUTED_VALUE"""),2522.15)</f>
        <v/>
      </c>
      <c r="Z1623" s="6">
        <f>AA1623&amp;AB1623</f>
        <v/>
      </c>
      <c r="AA1623" s="6">
        <f>YEAR(AC1623)</f>
        <v/>
      </c>
      <c r="AB1623" s="6">
        <f>MONTH(AC1623)</f>
        <v/>
      </c>
      <c r="AC1623" s="267">
        <f>IFERROR(__xludf.DUMMYFUNCTION("""COMPUTED_VALUE"""),44772.9986111111)</f>
        <v/>
      </c>
      <c r="AD1623" s="6">
        <f>IFERROR(__xludf.DUMMYFUNCTION("""COMPUTED_VALUE"""),1302.87)</f>
        <v/>
      </c>
      <c r="AH1623" s="6">
        <f>AI1623&amp;AJ1623</f>
        <v/>
      </c>
      <c r="AI1623" s="6">
        <f>YEAR(AK1623)</f>
        <v/>
      </c>
      <c r="AJ1623" s="6">
        <f>MONTH(AK1623)</f>
        <v/>
      </c>
      <c r="AK1623" s="267">
        <f>IFERROR(__xludf.DUMMYFUNCTION("""COMPUTED_VALUE"""),44716.9986111111)</f>
        <v/>
      </c>
      <c r="AL1623" s="6">
        <f>IFERROR(__xludf.DUMMYFUNCTION("""COMPUTED_VALUE"""),29849.81)</f>
        <v/>
      </c>
      <c r="AP1623" s="6">
        <f>AQ1623&amp;AR1623</f>
        <v/>
      </c>
      <c r="AQ1623" s="6">
        <f>YEAR(AS1623)</f>
        <v/>
      </c>
      <c r="AR1623" s="6">
        <f>MONTH(AS1623)</f>
        <v/>
      </c>
      <c r="AS1623" s="267">
        <f>IFERROR(__xludf.DUMMYFUNCTION("""COMPUTED_VALUE"""),45463.9986111111)</f>
        <v/>
      </c>
      <c r="AT1623" s="6">
        <f>IFERROR(__xludf.DUMMYFUNCTION("""COMPUTED_VALUE"""),2369)</f>
        <v/>
      </c>
    </row>
    <row r="1624">
      <c r="B1624" s="6">
        <f>C1624&amp;D1624</f>
        <v/>
      </c>
      <c r="C1624" s="6">
        <f>YEAR(E1624)</f>
        <v/>
      </c>
      <c r="D1624" s="6">
        <f>MONTH(E1624)</f>
        <v/>
      </c>
      <c r="E1624" s="267">
        <f>IFERROR(__xludf.DUMMYFUNCTION("""COMPUTED_VALUE"""),45456.6666666666)</f>
        <v/>
      </c>
      <c r="F1624" s="6">
        <f>IFERROR(__xludf.DUMMYFUNCTION("""COMPUTED_VALUE"""),5433.74)</f>
        <v/>
      </c>
      <c r="J1624" s="6">
        <f>K1624&amp;L1624</f>
        <v/>
      </c>
      <c r="K1624" s="6">
        <f>YEAR(M1624)</f>
        <v/>
      </c>
      <c r="L1624" s="6">
        <f>MONTH(M1624)</f>
        <v/>
      </c>
      <c r="M1624" s="267">
        <f>IFERROR(__xludf.DUMMYFUNCTION("""COMPUTED_VALUE"""),45448.6666666666)</f>
        <v/>
      </c>
      <c r="N1624" s="6">
        <f>IFERROR(__xludf.DUMMYFUNCTION("""COMPUTED_VALUE"""),17187.91)</f>
        <v/>
      </c>
      <c r="R1624" s="6">
        <f>S1624&amp;T1624</f>
        <v/>
      </c>
      <c r="S1624" s="6">
        <f>YEAR(U1624)</f>
        <v/>
      </c>
      <c r="T1624" s="6">
        <f>MONTH(U1624)</f>
        <v/>
      </c>
      <c r="U1624" s="267">
        <f>IFERROR(__xludf.DUMMYFUNCTION("""COMPUTED_VALUE"""),45511.6458333333)</f>
        <v/>
      </c>
      <c r="V1624" s="6">
        <f>IFERROR(__xludf.DUMMYFUNCTION("""COMPUTED_VALUE"""),2568.41)</f>
        <v/>
      </c>
      <c r="Z1624" s="6">
        <f>AA1624&amp;AB1624</f>
        <v/>
      </c>
      <c r="AA1624" s="6">
        <f>YEAR(AC1624)</f>
        <v/>
      </c>
      <c r="AB1624" s="6">
        <f>MONTH(AC1624)</f>
        <v/>
      </c>
      <c r="AC1624" s="267">
        <f>IFERROR(__xludf.DUMMYFUNCTION("""COMPUTED_VALUE"""),44773.9986111111)</f>
        <v/>
      </c>
      <c r="AD1624" s="6">
        <f>IFERROR(__xludf.DUMMYFUNCTION("""COMPUTED_VALUE"""),1302.28)</f>
        <v/>
      </c>
      <c r="AH1624" s="6">
        <f>AI1624&amp;AJ1624</f>
        <v/>
      </c>
      <c r="AI1624" s="6">
        <f>YEAR(AK1624)</f>
        <v/>
      </c>
      <c r="AJ1624" s="6">
        <f>MONTH(AK1624)</f>
        <v/>
      </c>
      <c r="AK1624" s="267">
        <f>IFERROR(__xludf.DUMMYFUNCTION("""COMPUTED_VALUE"""),44717.9986111111)</f>
        <v/>
      </c>
      <c r="AL1624" s="6">
        <f>IFERROR(__xludf.DUMMYFUNCTION("""COMPUTED_VALUE"""),29904.38)</f>
        <v/>
      </c>
      <c r="AP1624" s="6">
        <f>AQ1624&amp;AR1624</f>
        <v/>
      </c>
      <c r="AQ1624" s="6">
        <f>YEAR(AS1624)</f>
        <v/>
      </c>
      <c r="AR1624" s="6">
        <f>MONTH(AS1624)</f>
        <v/>
      </c>
      <c r="AS1624" s="267">
        <f>IFERROR(__xludf.DUMMYFUNCTION("""COMPUTED_VALUE"""),45464.9986111111)</f>
        <v/>
      </c>
      <c r="AT1624" s="6">
        <f>IFERROR(__xludf.DUMMYFUNCTION("""COMPUTED_VALUE"""),2331.2)</f>
        <v/>
      </c>
    </row>
    <row r="1625">
      <c r="B1625" s="6">
        <f>C1625&amp;D1625</f>
        <v/>
      </c>
      <c r="C1625" s="6">
        <f>YEAR(E1625)</f>
        <v/>
      </c>
      <c r="D1625" s="6">
        <f>MONTH(E1625)</f>
        <v/>
      </c>
      <c r="E1625" s="267">
        <f>IFERROR(__xludf.DUMMYFUNCTION("""COMPUTED_VALUE"""),45457.6666666666)</f>
        <v/>
      </c>
      <c r="F1625" s="6">
        <f>IFERROR(__xludf.DUMMYFUNCTION("""COMPUTED_VALUE"""),5431.6)</f>
        <v/>
      </c>
      <c r="J1625" s="6">
        <f>K1625&amp;L1625</f>
        <v/>
      </c>
      <c r="K1625" s="6">
        <f>YEAR(M1625)</f>
        <v/>
      </c>
      <c r="L1625" s="6">
        <f>MONTH(M1625)</f>
        <v/>
      </c>
      <c r="M1625" s="267">
        <f>IFERROR(__xludf.DUMMYFUNCTION("""COMPUTED_VALUE"""),45449.6666666666)</f>
        <v/>
      </c>
      <c r="N1625" s="6">
        <f>IFERROR(__xludf.DUMMYFUNCTION("""COMPUTED_VALUE"""),17173.12)</f>
        <v/>
      </c>
      <c r="R1625" s="6">
        <f>S1625&amp;T1625</f>
        <v/>
      </c>
      <c r="S1625" s="6">
        <f>YEAR(U1625)</f>
        <v/>
      </c>
      <c r="T1625" s="6">
        <f>MONTH(U1625)</f>
        <v/>
      </c>
      <c r="U1625" s="267">
        <f>IFERROR(__xludf.DUMMYFUNCTION("""COMPUTED_VALUE"""),45512.6458333333)</f>
        <v/>
      </c>
      <c r="V1625" s="6">
        <f>IFERROR(__xludf.DUMMYFUNCTION("""COMPUTED_VALUE"""),2556.73)</f>
        <v/>
      </c>
      <c r="Z1625" s="6">
        <f>AA1625&amp;AB1625</f>
        <v/>
      </c>
      <c r="AA1625" s="6">
        <f>YEAR(AC1625)</f>
        <v/>
      </c>
      <c r="AB1625" s="6">
        <f>MONTH(AC1625)</f>
        <v/>
      </c>
      <c r="AC1625" s="267">
        <f>IFERROR(__xludf.DUMMYFUNCTION("""COMPUTED_VALUE"""),44774.9986111111)</f>
        <v/>
      </c>
      <c r="AD1625" s="6">
        <f>IFERROR(__xludf.DUMMYFUNCTION("""COMPUTED_VALUE"""),1306.75)</f>
        <v/>
      </c>
      <c r="AH1625" s="6">
        <f>AI1625&amp;AJ1625</f>
        <v/>
      </c>
      <c r="AI1625" s="6">
        <f>YEAR(AK1625)</f>
        <v/>
      </c>
      <c r="AJ1625" s="6">
        <f>MONTH(AK1625)</f>
        <v/>
      </c>
      <c r="AK1625" s="267">
        <f>IFERROR(__xludf.DUMMYFUNCTION("""COMPUTED_VALUE"""),44718.9986111111)</f>
        <v/>
      </c>
      <c r="AL1625" s="6">
        <f>IFERROR(__xludf.DUMMYFUNCTION("""COMPUTED_VALUE"""),31363.37)</f>
        <v/>
      </c>
      <c r="AP1625" s="6">
        <f>AQ1625&amp;AR1625</f>
        <v/>
      </c>
      <c r="AQ1625" s="6">
        <f>YEAR(AS1625)</f>
        <v/>
      </c>
      <c r="AR1625" s="6">
        <f>MONTH(AS1625)</f>
        <v/>
      </c>
      <c r="AS1625" s="267">
        <f>IFERROR(__xludf.DUMMYFUNCTION("""COMPUTED_VALUE"""),45467.9986111111)</f>
        <v/>
      </c>
      <c r="AT1625" s="6">
        <f>IFERROR(__xludf.DUMMYFUNCTION("""COMPUTED_VALUE"""),2344.4)</f>
        <v/>
      </c>
    </row>
    <row r="1626">
      <c r="B1626" s="6">
        <f>C1626&amp;D1626</f>
        <v/>
      </c>
      <c r="C1626" s="6">
        <f>YEAR(E1626)</f>
        <v/>
      </c>
      <c r="D1626" s="6">
        <f>MONTH(E1626)</f>
        <v/>
      </c>
      <c r="E1626" s="267">
        <f>IFERROR(__xludf.DUMMYFUNCTION("""COMPUTED_VALUE"""),45460.6666666666)</f>
        <v/>
      </c>
      <c r="F1626" s="6">
        <f>IFERROR(__xludf.DUMMYFUNCTION("""COMPUTED_VALUE"""),5473.23)</f>
        <v/>
      </c>
      <c r="J1626" s="6">
        <f>K1626&amp;L1626</f>
        <v/>
      </c>
      <c r="K1626" s="6">
        <f>YEAR(M1626)</f>
        <v/>
      </c>
      <c r="L1626" s="6">
        <f>MONTH(M1626)</f>
        <v/>
      </c>
      <c r="M1626" s="267">
        <f>IFERROR(__xludf.DUMMYFUNCTION("""COMPUTED_VALUE"""),45450.6666666666)</f>
        <v/>
      </c>
      <c r="N1626" s="6">
        <f>IFERROR(__xludf.DUMMYFUNCTION("""COMPUTED_VALUE"""),17133.13)</f>
        <v/>
      </c>
      <c r="R1626" s="6">
        <f>S1626&amp;T1626</f>
        <v/>
      </c>
      <c r="S1626" s="6">
        <f>YEAR(U1626)</f>
        <v/>
      </c>
      <c r="T1626" s="6">
        <f>MONTH(U1626)</f>
        <v/>
      </c>
      <c r="U1626" s="267">
        <f>IFERROR(__xludf.DUMMYFUNCTION("""COMPUTED_VALUE"""),45513.6458333333)</f>
        <v/>
      </c>
      <c r="V1626" s="6">
        <f>IFERROR(__xludf.DUMMYFUNCTION("""COMPUTED_VALUE"""),2588.43)</f>
        <v/>
      </c>
      <c r="Z1626" s="6">
        <f>AA1626&amp;AB1626</f>
        <v/>
      </c>
      <c r="AA1626" s="6">
        <f>YEAR(AC1626)</f>
        <v/>
      </c>
      <c r="AB1626" s="6">
        <f>MONTH(AC1626)</f>
        <v/>
      </c>
      <c r="AC1626" s="267">
        <f>IFERROR(__xludf.DUMMYFUNCTION("""COMPUTED_VALUE"""),44775.9986111111)</f>
        <v/>
      </c>
      <c r="AD1626" s="6">
        <f>IFERROR(__xludf.DUMMYFUNCTION("""COMPUTED_VALUE"""),1314.63)</f>
        <v/>
      </c>
      <c r="AH1626" s="6">
        <f>AI1626&amp;AJ1626</f>
        <v/>
      </c>
      <c r="AI1626" s="6">
        <f>YEAR(AK1626)</f>
        <v/>
      </c>
      <c r="AJ1626" s="6">
        <f>MONTH(AK1626)</f>
        <v/>
      </c>
      <c r="AK1626" s="267">
        <f>IFERROR(__xludf.DUMMYFUNCTION("""COMPUTED_VALUE"""),44719.9986111111)</f>
        <v/>
      </c>
      <c r="AL1626" s="6">
        <f>IFERROR(__xludf.DUMMYFUNCTION("""COMPUTED_VALUE"""),31110.29)</f>
        <v/>
      </c>
      <c r="AP1626" s="6">
        <f>AQ1626&amp;AR1626</f>
        <v/>
      </c>
      <c r="AQ1626" s="6">
        <f>YEAR(AS1626)</f>
        <v/>
      </c>
      <c r="AR1626" s="6">
        <f>MONTH(AS1626)</f>
        <v/>
      </c>
      <c r="AS1626" s="267">
        <f>IFERROR(__xludf.DUMMYFUNCTION("""COMPUTED_VALUE"""),45468.9986111111)</f>
        <v/>
      </c>
      <c r="AT1626" s="6">
        <f>IFERROR(__xludf.DUMMYFUNCTION("""COMPUTED_VALUE"""),2330.8)</f>
        <v/>
      </c>
    </row>
    <row r="1627">
      <c r="B1627" s="6">
        <f>C1627&amp;D1627</f>
        <v/>
      </c>
      <c r="C1627" s="6">
        <f>YEAR(E1627)</f>
        <v/>
      </c>
      <c r="D1627" s="6">
        <f>MONTH(E1627)</f>
        <v/>
      </c>
      <c r="E1627" s="267">
        <f>IFERROR(__xludf.DUMMYFUNCTION("""COMPUTED_VALUE"""),45461.6666666666)</f>
        <v/>
      </c>
      <c r="F1627" s="6">
        <f>IFERROR(__xludf.DUMMYFUNCTION("""COMPUTED_VALUE"""),5487.03)</f>
        <v/>
      </c>
      <c r="J1627" s="6">
        <f>K1627&amp;L1627</f>
        <v/>
      </c>
      <c r="K1627" s="6">
        <f>YEAR(M1627)</f>
        <v/>
      </c>
      <c r="L1627" s="6">
        <f>MONTH(M1627)</f>
        <v/>
      </c>
      <c r="M1627" s="267">
        <f>IFERROR(__xludf.DUMMYFUNCTION("""COMPUTED_VALUE"""),45453.6666666666)</f>
        <v/>
      </c>
      <c r="N1627" s="6">
        <f>IFERROR(__xludf.DUMMYFUNCTION("""COMPUTED_VALUE"""),17192.53)</f>
        <v/>
      </c>
      <c r="R1627" s="6">
        <f>S1627&amp;T1627</f>
        <v/>
      </c>
      <c r="S1627" s="6">
        <f>YEAR(U1627)</f>
        <v/>
      </c>
      <c r="T1627" s="6">
        <f>MONTH(U1627)</f>
        <v/>
      </c>
      <c r="U1627" s="267">
        <f>IFERROR(__xludf.DUMMYFUNCTION("""COMPUTED_VALUE"""),45516.6458333333)</f>
        <v/>
      </c>
      <c r="V1627" s="6">
        <f>IFERROR(__xludf.DUMMYFUNCTION("""COMPUTED_VALUE"""),2618.3)</f>
        <v/>
      </c>
      <c r="Z1627" s="6">
        <f>AA1627&amp;AB1627</f>
        <v/>
      </c>
      <c r="AA1627" s="6">
        <f>YEAR(AC1627)</f>
        <v/>
      </c>
      <c r="AB1627" s="6">
        <f>MONTH(AC1627)</f>
        <v/>
      </c>
      <c r="AC1627" s="267">
        <f>IFERROR(__xludf.DUMMYFUNCTION("""COMPUTED_VALUE"""),44776.9986111111)</f>
        <v/>
      </c>
      <c r="AD1627" s="6">
        <f>IFERROR(__xludf.DUMMYFUNCTION("""COMPUTED_VALUE"""),1307.38)</f>
        <v/>
      </c>
      <c r="AH1627" s="6">
        <f>AI1627&amp;AJ1627</f>
        <v/>
      </c>
      <c r="AI1627" s="6">
        <f>YEAR(AK1627)</f>
        <v/>
      </c>
      <c r="AJ1627" s="6">
        <f>MONTH(AK1627)</f>
        <v/>
      </c>
      <c r="AK1627" s="267">
        <f>IFERROR(__xludf.DUMMYFUNCTION("""COMPUTED_VALUE"""),44720.9986111111)</f>
        <v/>
      </c>
      <c r="AL1627" s="6">
        <f>IFERROR(__xludf.DUMMYFUNCTION("""COMPUTED_VALUE"""),30197.43)</f>
        <v/>
      </c>
      <c r="AP1627" s="6">
        <f>AQ1627&amp;AR1627</f>
        <v/>
      </c>
      <c r="AQ1627" s="6">
        <f>YEAR(AS1627)</f>
        <v/>
      </c>
      <c r="AR1627" s="6">
        <f>MONTH(AS1627)</f>
        <v/>
      </c>
      <c r="AS1627" s="267">
        <f>IFERROR(__xludf.DUMMYFUNCTION("""COMPUTED_VALUE"""),45469.9986111111)</f>
        <v/>
      </c>
      <c r="AT1627" s="6">
        <f>IFERROR(__xludf.DUMMYFUNCTION("""COMPUTED_VALUE"""),2313.2)</f>
        <v/>
      </c>
    </row>
    <row r="1628">
      <c r="B1628" s="6">
        <f>C1628&amp;D1628</f>
        <v/>
      </c>
      <c r="C1628" s="6">
        <f>YEAR(E1628)</f>
        <v/>
      </c>
      <c r="D1628" s="6">
        <f>MONTH(E1628)</f>
        <v/>
      </c>
      <c r="E1628" s="267">
        <f>IFERROR(__xludf.DUMMYFUNCTION("""COMPUTED_VALUE"""),45463.6666666666)</f>
        <v/>
      </c>
      <c r="F1628" s="6">
        <f>IFERROR(__xludf.DUMMYFUNCTION("""COMPUTED_VALUE"""),5473.17)</f>
        <v/>
      </c>
      <c r="J1628" s="6">
        <f>K1628&amp;L1628</f>
        <v/>
      </c>
      <c r="K1628" s="6">
        <f>YEAR(M1628)</f>
        <v/>
      </c>
      <c r="L1628" s="6">
        <f>MONTH(M1628)</f>
        <v/>
      </c>
      <c r="M1628" s="267">
        <f>IFERROR(__xludf.DUMMYFUNCTION("""COMPUTED_VALUE"""),45454.6666666666)</f>
        <v/>
      </c>
      <c r="N1628" s="6">
        <f>IFERROR(__xludf.DUMMYFUNCTION("""COMPUTED_VALUE"""),17343.55)</f>
        <v/>
      </c>
      <c r="R1628" s="6">
        <f>S1628&amp;T1628</f>
        <v/>
      </c>
      <c r="S1628" s="6">
        <f>YEAR(U1628)</f>
        <v/>
      </c>
      <c r="T1628" s="6">
        <f>MONTH(U1628)</f>
        <v/>
      </c>
      <c r="U1628" s="267">
        <f>IFERROR(__xludf.DUMMYFUNCTION("""COMPUTED_VALUE"""),45517.6458333333)</f>
        <v/>
      </c>
      <c r="V1628" s="6">
        <f>IFERROR(__xludf.DUMMYFUNCTION("""COMPUTED_VALUE"""),2621.5)</f>
        <v/>
      </c>
      <c r="Z1628" s="6">
        <f>AA1628&amp;AB1628</f>
        <v/>
      </c>
      <c r="AA1628" s="6">
        <f>YEAR(AC1628)</f>
        <v/>
      </c>
      <c r="AB1628" s="6">
        <f>MONTH(AC1628)</f>
        <v/>
      </c>
      <c r="AC1628" s="267">
        <f>IFERROR(__xludf.DUMMYFUNCTION("""COMPUTED_VALUE"""),44777.9986111111)</f>
        <v/>
      </c>
      <c r="AD1628" s="6">
        <f>IFERROR(__xludf.DUMMYFUNCTION("""COMPUTED_VALUE"""),1302.08)</f>
        <v/>
      </c>
      <c r="AH1628" s="6">
        <f>AI1628&amp;AJ1628</f>
        <v/>
      </c>
      <c r="AI1628" s="6">
        <f>YEAR(AK1628)</f>
        <v/>
      </c>
      <c r="AJ1628" s="6">
        <f>MONTH(AK1628)</f>
        <v/>
      </c>
      <c r="AK1628" s="267">
        <f>IFERROR(__xludf.DUMMYFUNCTION("""COMPUTED_VALUE"""),44721.9986111111)</f>
        <v/>
      </c>
      <c r="AL1628" s="6">
        <f>IFERROR(__xludf.DUMMYFUNCTION("""COMPUTED_VALUE"""),30090.58)</f>
        <v/>
      </c>
      <c r="AP1628" s="6">
        <f>AQ1628&amp;AR1628</f>
        <v/>
      </c>
      <c r="AQ1628" s="6">
        <f>YEAR(AS1628)</f>
        <v/>
      </c>
      <c r="AR1628" s="6">
        <f>MONTH(AS1628)</f>
        <v/>
      </c>
      <c r="AS1628" s="267">
        <f>IFERROR(__xludf.DUMMYFUNCTION("""COMPUTED_VALUE"""),45470.9986111111)</f>
        <v/>
      </c>
      <c r="AT1628" s="6">
        <f>IFERROR(__xludf.DUMMYFUNCTION("""COMPUTED_VALUE"""),2336.6)</f>
        <v/>
      </c>
    </row>
    <row r="1629">
      <c r="B1629" s="6">
        <f>C1629&amp;D1629</f>
        <v/>
      </c>
      <c r="C1629" s="6">
        <f>YEAR(E1629)</f>
        <v/>
      </c>
      <c r="D1629" s="6">
        <f>MONTH(E1629)</f>
        <v/>
      </c>
      <c r="E1629" s="267">
        <f>IFERROR(__xludf.DUMMYFUNCTION("""COMPUTED_VALUE"""),45464.6666666666)</f>
        <v/>
      </c>
      <c r="F1629" s="6">
        <f>IFERROR(__xludf.DUMMYFUNCTION("""COMPUTED_VALUE"""),5464.62)</f>
        <v/>
      </c>
      <c r="J1629" s="6">
        <f>K1629&amp;L1629</f>
        <v/>
      </c>
      <c r="K1629" s="6">
        <f>YEAR(M1629)</f>
        <v/>
      </c>
      <c r="L1629" s="6">
        <f>MONTH(M1629)</f>
        <v/>
      </c>
      <c r="M1629" s="267">
        <f>IFERROR(__xludf.DUMMYFUNCTION("""COMPUTED_VALUE"""),45455.6666666666)</f>
        <v/>
      </c>
      <c r="N1629" s="6">
        <f>IFERROR(__xludf.DUMMYFUNCTION("""COMPUTED_VALUE"""),17608.44)</f>
        <v/>
      </c>
      <c r="R1629" s="6">
        <f>S1629&amp;T1629</f>
        <v/>
      </c>
      <c r="S1629" s="6">
        <f>YEAR(U1629)</f>
        <v/>
      </c>
      <c r="T1629" s="6">
        <f>MONTH(U1629)</f>
        <v/>
      </c>
      <c r="U1629" s="267">
        <f>IFERROR(__xludf.DUMMYFUNCTION("""COMPUTED_VALUE"""),45518.6458333333)</f>
        <v/>
      </c>
      <c r="V1629" s="6">
        <f>IFERROR(__xludf.DUMMYFUNCTION("""COMPUTED_VALUE"""),2644.5)</f>
        <v/>
      </c>
      <c r="Z1629" s="6">
        <f>AA1629&amp;AB1629</f>
        <v/>
      </c>
      <c r="AA1629" s="6">
        <f>YEAR(AC1629)</f>
        <v/>
      </c>
      <c r="AB1629" s="6">
        <f>MONTH(AC1629)</f>
        <v/>
      </c>
      <c r="AC1629" s="267">
        <f>IFERROR(__xludf.DUMMYFUNCTION("""COMPUTED_VALUE"""),44778.9986111111)</f>
        <v/>
      </c>
      <c r="AD1629" s="6">
        <f>IFERROR(__xludf.DUMMYFUNCTION("""COMPUTED_VALUE"""),1302.64)</f>
        <v/>
      </c>
      <c r="AH1629" s="6">
        <f>AI1629&amp;AJ1629</f>
        <v/>
      </c>
      <c r="AI1629" s="6">
        <f>YEAR(AK1629)</f>
        <v/>
      </c>
      <c r="AJ1629" s="6">
        <f>MONTH(AK1629)</f>
        <v/>
      </c>
      <c r="AK1629" s="267">
        <f>IFERROR(__xludf.DUMMYFUNCTION("""COMPUTED_VALUE"""),44722.9986111111)</f>
        <v/>
      </c>
      <c r="AL1629" s="6">
        <f>IFERROR(__xludf.DUMMYFUNCTION("""COMPUTED_VALUE"""),29061.1)</f>
        <v/>
      </c>
      <c r="AP1629" s="6">
        <f>AQ1629&amp;AR1629</f>
        <v/>
      </c>
      <c r="AQ1629" s="6">
        <f>YEAR(AS1629)</f>
        <v/>
      </c>
      <c r="AR1629" s="6">
        <f>MONTH(AS1629)</f>
        <v/>
      </c>
      <c r="AS1629" s="267">
        <f>IFERROR(__xludf.DUMMYFUNCTION("""COMPUTED_VALUE"""),45471.9986111111)</f>
        <v/>
      </c>
      <c r="AT1629" s="6">
        <f>IFERROR(__xludf.DUMMYFUNCTION("""COMPUTED_VALUE"""),2339.6)</f>
        <v/>
      </c>
    </row>
    <row r="1630">
      <c r="B1630" s="6">
        <f>C1630&amp;D1630</f>
        <v/>
      </c>
      <c r="C1630" s="6">
        <f>YEAR(E1630)</f>
        <v/>
      </c>
      <c r="D1630" s="6">
        <f>MONTH(E1630)</f>
        <v/>
      </c>
      <c r="E1630" s="267">
        <f>IFERROR(__xludf.DUMMYFUNCTION("""COMPUTED_VALUE"""),45467.6666666666)</f>
        <v/>
      </c>
      <c r="F1630" s="6">
        <f>IFERROR(__xludf.DUMMYFUNCTION("""COMPUTED_VALUE"""),5447.87)</f>
        <v/>
      </c>
      <c r="J1630" s="6">
        <f>K1630&amp;L1630</f>
        <v/>
      </c>
      <c r="K1630" s="6">
        <f>YEAR(M1630)</f>
        <v/>
      </c>
      <c r="L1630" s="6">
        <f>MONTH(M1630)</f>
        <v/>
      </c>
      <c r="M1630" s="267">
        <f>IFERROR(__xludf.DUMMYFUNCTION("""COMPUTED_VALUE"""),45456.6666666666)</f>
        <v/>
      </c>
      <c r="N1630" s="6">
        <f>IFERROR(__xludf.DUMMYFUNCTION("""COMPUTED_VALUE"""),17667.56)</f>
        <v/>
      </c>
      <c r="R1630" s="6">
        <f>S1630&amp;T1630</f>
        <v/>
      </c>
      <c r="S1630" s="6">
        <f>YEAR(U1630)</f>
        <v/>
      </c>
      <c r="T1630" s="6">
        <f>MONTH(U1630)</f>
        <v/>
      </c>
      <c r="U1630" s="267">
        <f>IFERROR(__xludf.DUMMYFUNCTION("""COMPUTED_VALUE"""),45520.6458333333)</f>
        <v/>
      </c>
      <c r="V1630" s="6">
        <f>IFERROR(__xludf.DUMMYFUNCTION("""COMPUTED_VALUE"""),2697.23)</f>
        <v/>
      </c>
      <c r="Z1630" s="6">
        <f>AA1630&amp;AB1630</f>
        <v/>
      </c>
      <c r="AA1630" s="6">
        <f>YEAR(AC1630)</f>
        <v/>
      </c>
      <c r="AB1630" s="6">
        <f>MONTH(AC1630)</f>
        <v/>
      </c>
      <c r="AC1630" s="267">
        <f>IFERROR(__xludf.DUMMYFUNCTION("""COMPUTED_VALUE"""),44779.9986111111)</f>
        <v/>
      </c>
      <c r="AD1630" s="6">
        <f>IFERROR(__xludf.DUMMYFUNCTION("""COMPUTED_VALUE"""),1302.24)</f>
        <v/>
      </c>
      <c r="AH1630" s="6">
        <f>AI1630&amp;AJ1630</f>
        <v/>
      </c>
      <c r="AI1630" s="6">
        <f>YEAR(AK1630)</f>
        <v/>
      </c>
      <c r="AJ1630" s="6">
        <f>MONTH(AK1630)</f>
        <v/>
      </c>
      <c r="AK1630" s="267">
        <f>IFERROR(__xludf.DUMMYFUNCTION("""COMPUTED_VALUE"""),44723.9986111111)</f>
        <v/>
      </c>
      <c r="AL1630" s="6">
        <f>IFERROR(__xludf.DUMMYFUNCTION("""COMPUTED_VALUE"""),28384.03)</f>
        <v/>
      </c>
      <c r="AP1630" s="6">
        <f>AQ1630&amp;AR1630</f>
        <v/>
      </c>
      <c r="AQ1630" s="6">
        <f>YEAR(AS1630)</f>
        <v/>
      </c>
      <c r="AR1630" s="6">
        <f>MONTH(AS1630)</f>
        <v/>
      </c>
      <c r="AS1630" s="267">
        <f>IFERROR(__xludf.DUMMYFUNCTION("""COMPUTED_VALUE"""),45474.9986111111)</f>
        <v/>
      </c>
      <c r="AT1630" s="6">
        <f>IFERROR(__xludf.DUMMYFUNCTION("""COMPUTED_VALUE"""),2338.9)</f>
        <v/>
      </c>
    </row>
    <row r="1631">
      <c r="B1631" s="6">
        <f>C1631&amp;D1631</f>
        <v/>
      </c>
      <c r="C1631" s="6">
        <f>YEAR(E1631)</f>
        <v/>
      </c>
      <c r="D1631" s="6">
        <f>MONTH(E1631)</f>
        <v/>
      </c>
      <c r="E1631" s="267">
        <f>IFERROR(__xludf.DUMMYFUNCTION("""COMPUTED_VALUE"""),45468.6666666666)</f>
        <v/>
      </c>
      <c r="F1631" s="6">
        <f>IFERROR(__xludf.DUMMYFUNCTION("""COMPUTED_VALUE"""),5469.3)</f>
        <v/>
      </c>
      <c r="J1631" s="6">
        <f>K1631&amp;L1631</f>
        <v/>
      </c>
      <c r="K1631" s="6">
        <f>YEAR(M1631)</f>
        <v/>
      </c>
      <c r="L1631" s="6">
        <f>MONTH(M1631)</f>
        <v/>
      </c>
      <c r="M1631" s="267">
        <f>IFERROR(__xludf.DUMMYFUNCTION("""COMPUTED_VALUE"""),45457.6666666666)</f>
        <v/>
      </c>
      <c r="N1631" s="6">
        <f>IFERROR(__xludf.DUMMYFUNCTION("""COMPUTED_VALUE"""),17688.88)</f>
        <v/>
      </c>
      <c r="R1631" s="6">
        <f>S1631&amp;T1631</f>
        <v/>
      </c>
      <c r="S1631" s="6">
        <f>YEAR(U1631)</f>
        <v/>
      </c>
      <c r="T1631" s="6">
        <f>MONTH(U1631)</f>
        <v/>
      </c>
      <c r="U1631" s="267">
        <f>IFERROR(__xludf.DUMMYFUNCTION("""COMPUTED_VALUE"""),45523.6458333333)</f>
        <v/>
      </c>
      <c r="V1631" s="6">
        <f>IFERROR(__xludf.DUMMYFUNCTION("""COMPUTED_VALUE"""),2674.36)</f>
        <v/>
      </c>
      <c r="Z1631" s="6">
        <f>AA1631&amp;AB1631</f>
        <v/>
      </c>
      <c r="AA1631" s="6">
        <f>YEAR(AC1631)</f>
        <v/>
      </c>
      <c r="AB1631" s="6">
        <f>MONTH(AC1631)</f>
        <v/>
      </c>
      <c r="AC1631" s="267">
        <f>IFERROR(__xludf.DUMMYFUNCTION("""COMPUTED_VALUE"""),44780.9986111111)</f>
        <v/>
      </c>
      <c r="AD1631" s="6">
        <f>IFERROR(__xludf.DUMMYFUNCTION("""COMPUTED_VALUE"""),1302.74)</f>
        <v/>
      </c>
      <c r="AH1631" s="6">
        <f>AI1631&amp;AJ1631</f>
        <v/>
      </c>
      <c r="AI1631" s="6">
        <f>YEAR(AK1631)</f>
        <v/>
      </c>
      <c r="AJ1631" s="6">
        <f>MONTH(AK1631)</f>
        <v/>
      </c>
      <c r="AK1631" s="267">
        <f>IFERROR(__xludf.DUMMYFUNCTION("""COMPUTED_VALUE"""),44724.9986111111)</f>
        <v/>
      </c>
      <c r="AL1631" s="6">
        <f>IFERROR(__xludf.DUMMYFUNCTION("""COMPUTED_VALUE"""),26599.2)</f>
        <v/>
      </c>
      <c r="AP1631" s="6">
        <f>AQ1631&amp;AR1631</f>
        <v/>
      </c>
      <c r="AQ1631" s="6">
        <f>YEAR(AS1631)</f>
        <v/>
      </c>
      <c r="AR1631" s="6">
        <f>MONTH(AS1631)</f>
        <v/>
      </c>
      <c r="AS1631" s="267">
        <f>IFERROR(__xludf.DUMMYFUNCTION("""COMPUTED_VALUE"""),45475.9986111111)</f>
        <v/>
      </c>
      <c r="AT1631" s="6">
        <f>IFERROR(__xludf.DUMMYFUNCTION("""COMPUTED_VALUE"""),2333.4)</f>
        <v/>
      </c>
    </row>
    <row r="1632">
      <c r="B1632" s="6">
        <f>C1632&amp;D1632</f>
        <v/>
      </c>
      <c r="C1632" s="6">
        <f>YEAR(E1632)</f>
        <v/>
      </c>
      <c r="D1632" s="6">
        <f>MONTH(E1632)</f>
        <v/>
      </c>
      <c r="E1632" s="267">
        <f>IFERROR(__xludf.DUMMYFUNCTION("""COMPUTED_VALUE"""),45469.6666666666)</f>
        <v/>
      </c>
      <c r="F1632" s="6">
        <f>IFERROR(__xludf.DUMMYFUNCTION("""COMPUTED_VALUE"""),5477.9)</f>
        <v/>
      </c>
      <c r="J1632" s="6">
        <f>K1632&amp;L1632</f>
        <v/>
      </c>
      <c r="K1632" s="6">
        <f>YEAR(M1632)</f>
        <v/>
      </c>
      <c r="L1632" s="6">
        <f>MONTH(M1632)</f>
        <v/>
      </c>
      <c r="M1632" s="267">
        <f>IFERROR(__xludf.DUMMYFUNCTION("""COMPUTED_VALUE"""),45460.6666666666)</f>
        <v/>
      </c>
      <c r="N1632" s="6">
        <f>IFERROR(__xludf.DUMMYFUNCTION("""COMPUTED_VALUE"""),17857.02)</f>
        <v/>
      </c>
      <c r="R1632" s="6">
        <f>S1632&amp;T1632</f>
        <v/>
      </c>
      <c r="S1632" s="6">
        <f>YEAR(U1632)</f>
        <v/>
      </c>
      <c r="T1632" s="6">
        <f>MONTH(U1632)</f>
        <v/>
      </c>
      <c r="U1632" s="267">
        <f>IFERROR(__xludf.DUMMYFUNCTION("""COMPUTED_VALUE"""),45524.6458333333)</f>
        <v/>
      </c>
      <c r="V1632" s="6">
        <f>IFERROR(__xludf.DUMMYFUNCTION("""COMPUTED_VALUE"""),2696.63)</f>
        <v/>
      </c>
      <c r="Z1632" s="6">
        <f>AA1632&amp;AB1632</f>
        <v/>
      </c>
      <c r="AA1632" s="6">
        <f>YEAR(AC1632)</f>
        <v/>
      </c>
      <c r="AB1632" s="6">
        <f>MONTH(AC1632)</f>
        <v/>
      </c>
      <c r="AC1632" s="267">
        <f>IFERROR(__xludf.DUMMYFUNCTION("""COMPUTED_VALUE"""),44781.9986111111)</f>
        <v/>
      </c>
      <c r="AD1632" s="6">
        <f>IFERROR(__xludf.DUMMYFUNCTION("""COMPUTED_VALUE"""),1299.03)</f>
        <v/>
      </c>
      <c r="AH1632" s="6">
        <f>AI1632&amp;AJ1632</f>
        <v/>
      </c>
      <c r="AI1632" s="6">
        <f>YEAR(AK1632)</f>
        <v/>
      </c>
      <c r="AJ1632" s="6">
        <f>MONTH(AK1632)</f>
        <v/>
      </c>
      <c r="AK1632" s="267">
        <f>IFERROR(__xludf.DUMMYFUNCTION("""COMPUTED_VALUE"""),44725.9986111111)</f>
        <v/>
      </c>
      <c r="AL1632" s="6">
        <f>IFERROR(__xludf.DUMMYFUNCTION("""COMPUTED_VALUE"""),22439.37)</f>
        <v/>
      </c>
      <c r="AP1632" s="6">
        <f>AQ1632&amp;AR1632</f>
        <v/>
      </c>
      <c r="AQ1632" s="6">
        <f>YEAR(AS1632)</f>
        <v/>
      </c>
      <c r="AR1632" s="6">
        <f>MONTH(AS1632)</f>
        <v/>
      </c>
      <c r="AS1632" s="267">
        <f>IFERROR(__xludf.DUMMYFUNCTION("""COMPUTED_VALUE"""),45476.5416666666)</f>
        <v/>
      </c>
      <c r="AT1632" s="6">
        <f>IFERROR(__xludf.DUMMYFUNCTION("""COMPUTED_VALUE"""),2369.4)</f>
        <v/>
      </c>
    </row>
    <row r="1633">
      <c r="B1633" s="6">
        <f>C1633&amp;D1633</f>
        <v/>
      </c>
      <c r="C1633" s="6">
        <f>YEAR(E1633)</f>
        <v/>
      </c>
      <c r="D1633" s="6">
        <f>MONTH(E1633)</f>
        <v/>
      </c>
      <c r="E1633" s="267">
        <f>IFERROR(__xludf.DUMMYFUNCTION("""COMPUTED_VALUE"""),45470.6666666666)</f>
        <v/>
      </c>
      <c r="F1633" s="6">
        <f>IFERROR(__xludf.DUMMYFUNCTION("""COMPUTED_VALUE"""),5482.87)</f>
        <v/>
      </c>
      <c r="J1633" s="6">
        <f>K1633&amp;L1633</f>
        <v/>
      </c>
      <c r="K1633" s="6">
        <f>YEAR(M1633)</f>
        <v/>
      </c>
      <c r="L1633" s="6">
        <f>MONTH(M1633)</f>
        <v/>
      </c>
      <c r="M1633" s="267">
        <f>IFERROR(__xludf.DUMMYFUNCTION("""COMPUTED_VALUE"""),45461.6666666666)</f>
        <v/>
      </c>
      <c r="N1633" s="6">
        <f>IFERROR(__xludf.DUMMYFUNCTION("""COMPUTED_VALUE"""),17862.23)</f>
        <v/>
      </c>
      <c r="R1633" s="6">
        <f>S1633&amp;T1633</f>
        <v/>
      </c>
      <c r="S1633" s="6">
        <f>YEAR(U1633)</f>
        <v/>
      </c>
      <c r="T1633" s="6">
        <f>MONTH(U1633)</f>
        <v/>
      </c>
      <c r="U1633" s="267">
        <f>IFERROR(__xludf.DUMMYFUNCTION("""COMPUTED_VALUE"""),45525.6458333333)</f>
        <v/>
      </c>
      <c r="V1633" s="6">
        <f>IFERROR(__xludf.DUMMYFUNCTION("""COMPUTED_VALUE"""),2701.13)</f>
        <v/>
      </c>
      <c r="Z1633" s="6">
        <f>AA1633&amp;AB1633</f>
        <v/>
      </c>
      <c r="AA1633" s="6">
        <f>YEAR(AC1633)</f>
        <v/>
      </c>
      <c r="AB1633" s="6">
        <f>MONTH(AC1633)</f>
        <v/>
      </c>
      <c r="AC1633" s="267">
        <f>IFERROR(__xludf.DUMMYFUNCTION("""COMPUTED_VALUE"""),44782.9986111111)</f>
        <v/>
      </c>
      <c r="AD1633" s="6">
        <f>IFERROR(__xludf.DUMMYFUNCTION("""COMPUTED_VALUE"""),1307.56)</f>
        <v/>
      </c>
      <c r="AH1633" s="6">
        <f>AI1633&amp;AJ1633</f>
        <v/>
      </c>
      <c r="AI1633" s="6">
        <f>YEAR(AK1633)</f>
        <v/>
      </c>
      <c r="AJ1633" s="6">
        <f>MONTH(AK1633)</f>
        <v/>
      </c>
      <c r="AK1633" s="267">
        <f>IFERROR(__xludf.DUMMYFUNCTION("""COMPUTED_VALUE"""),44726.9986111111)</f>
        <v/>
      </c>
      <c r="AL1633" s="6">
        <f>IFERROR(__xludf.DUMMYFUNCTION("""COMPUTED_VALUE"""),22145.76)</f>
        <v/>
      </c>
      <c r="AP1633" s="6">
        <f>AQ1633&amp;AR1633</f>
        <v/>
      </c>
      <c r="AQ1633" s="6">
        <f>YEAR(AS1633)</f>
        <v/>
      </c>
      <c r="AR1633" s="6">
        <f>MONTH(AS1633)</f>
        <v/>
      </c>
      <c r="AS1633" s="267">
        <f>IFERROR(__xludf.DUMMYFUNCTION("""COMPUTED_VALUE"""),45478.9986111111)</f>
        <v/>
      </c>
      <c r="AT1633" s="6">
        <f>IFERROR(__xludf.DUMMYFUNCTION("""COMPUTED_VALUE"""),2397.7)</f>
        <v/>
      </c>
    </row>
    <row r="1634">
      <c r="B1634" s="6">
        <f>C1634&amp;D1634</f>
        <v/>
      </c>
      <c r="C1634" s="6">
        <f>YEAR(E1634)</f>
        <v/>
      </c>
      <c r="D1634" s="6">
        <f>MONTH(E1634)</f>
        <v/>
      </c>
      <c r="E1634" s="267">
        <f>IFERROR(__xludf.DUMMYFUNCTION("""COMPUTED_VALUE"""),45471.6666666666)</f>
        <v/>
      </c>
      <c r="F1634" s="6">
        <f>IFERROR(__xludf.DUMMYFUNCTION("""COMPUTED_VALUE"""),5460.48)</f>
        <v/>
      </c>
      <c r="J1634" s="6">
        <f>K1634&amp;L1634</f>
        <v/>
      </c>
      <c r="K1634" s="6">
        <f>YEAR(M1634)</f>
        <v/>
      </c>
      <c r="L1634" s="6">
        <f>MONTH(M1634)</f>
        <v/>
      </c>
      <c r="M1634" s="267">
        <f>IFERROR(__xludf.DUMMYFUNCTION("""COMPUTED_VALUE"""),45463.6666666666)</f>
        <v/>
      </c>
      <c r="N1634" s="6">
        <f>IFERROR(__xludf.DUMMYFUNCTION("""COMPUTED_VALUE"""),17721.59)</f>
        <v/>
      </c>
      <c r="R1634" s="6">
        <f>S1634&amp;T1634</f>
        <v/>
      </c>
      <c r="S1634" s="6">
        <f>YEAR(U1634)</f>
        <v/>
      </c>
      <c r="T1634" s="6">
        <f>MONTH(U1634)</f>
        <v/>
      </c>
      <c r="U1634" s="267">
        <f>IFERROR(__xludf.DUMMYFUNCTION("""COMPUTED_VALUE"""),45526.6458333333)</f>
        <v/>
      </c>
      <c r="V1634" s="6">
        <f>IFERROR(__xludf.DUMMYFUNCTION("""COMPUTED_VALUE"""),2707.67)</f>
        <v/>
      </c>
      <c r="Z1634" s="6">
        <f>AA1634&amp;AB1634</f>
        <v/>
      </c>
      <c r="AA1634" s="6">
        <f>YEAR(AC1634)</f>
        <v/>
      </c>
      <c r="AB1634" s="6">
        <f>MONTH(AC1634)</f>
        <v/>
      </c>
      <c r="AC1634" s="267">
        <f>IFERROR(__xludf.DUMMYFUNCTION("""COMPUTED_VALUE"""),44783.9986111111)</f>
        <v/>
      </c>
      <c r="AD1634" s="6">
        <f>IFERROR(__xludf.DUMMYFUNCTION("""COMPUTED_VALUE"""),1296.7)</f>
        <v/>
      </c>
      <c r="AH1634" s="6">
        <f>AI1634&amp;AJ1634</f>
        <v/>
      </c>
      <c r="AI1634" s="6">
        <f>YEAR(AK1634)</f>
        <v/>
      </c>
      <c r="AJ1634" s="6">
        <f>MONTH(AK1634)</f>
        <v/>
      </c>
      <c r="AK1634" s="267">
        <f>IFERROR(__xludf.DUMMYFUNCTION("""COMPUTED_VALUE"""),44727.9986111111)</f>
        <v/>
      </c>
      <c r="AL1634" s="6">
        <f>IFERROR(__xludf.DUMMYFUNCTION("""COMPUTED_VALUE"""),22567.14)</f>
        <v/>
      </c>
      <c r="AP1634" s="6">
        <f>AQ1634&amp;AR1634</f>
        <v/>
      </c>
      <c r="AQ1634" s="6">
        <f>YEAR(AS1634)</f>
        <v/>
      </c>
      <c r="AR1634" s="6">
        <f>MONTH(AS1634)</f>
        <v/>
      </c>
      <c r="AS1634" s="267">
        <f>IFERROR(__xludf.DUMMYFUNCTION("""COMPUTED_VALUE"""),45481.9986111111)</f>
        <v/>
      </c>
      <c r="AT1634" s="6">
        <f>IFERROR(__xludf.DUMMYFUNCTION("""COMPUTED_VALUE"""),2363.5)</f>
        <v/>
      </c>
    </row>
    <row r="1635">
      <c r="B1635" s="6">
        <f>C1635&amp;D1635</f>
        <v/>
      </c>
      <c r="C1635" s="6">
        <f>YEAR(E1635)</f>
        <v/>
      </c>
      <c r="D1635" s="6">
        <f>MONTH(E1635)</f>
        <v/>
      </c>
      <c r="E1635" s="267">
        <f>IFERROR(__xludf.DUMMYFUNCTION("""COMPUTED_VALUE"""),45474.6666666666)</f>
        <v/>
      </c>
      <c r="F1635" s="6">
        <f>IFERROR(__xludf.DUMMYFUNCTION("""COMPUTED_VALUE"""),5475.09)</f>
        <v/>
      </c>
      <c r="J1635" s="6">
        <f>K1635&amp;L1635</f>
        <v/>
      </c>
      <c r="K1635" s="6">
        <f>YEAR(M1635)</f>
        <v/>
      </c>
      <c r="L1635" s="6">
        <f>MONTH(M1635)</f>
        <v/>
      </c>
      <c r="M1635" s="267">
        <f>IFERROR(__xludf.DUMMYFUNCTION("""COMPUTED_VALUE"""),45464.6666666666)</f>
        <v/>
      </c>
      <c r="N1635" s="6">
        <f>IFERROR(__xludf.DUMMYFUNCTION("""COMPUTED_VALUE"""),17689.36)</f>
        <v/>
      </c>
      <c r="R1635" s="6">
        <f>S1635&amp;T1635</f>
        <v/>
      </c>
      <c r="S1635" s="6">
        <f>YEAR(U1635)</f>
        <v/>
      </c>
      <c r="T1635" s="6">
        <f>MONTH(U1635)</f>
        <v/>
      </c>
      <c r="U1635" s="267">
        <f>IFERROR(__xludf.DUMMYFUNCTION("""COMPUTED_VALUE"""),45527.6458333333)</f>
        <v/>
      </c>
      <c r="V1635" s="6">
        <f>IFERROR(__xludf.DUMMYFUNCTION("""COMPUTED_VALUE"""),2701.69)</f>
        <v/>
      </c>
      <c r="Z1635" s="6">
        <f>AA1635&amp;AB1635</f>
        <v/>
      </c>
      <c r="AA1635" s="6">
        <f>YEAR(AC1635)</f>
        <v/>
      </c>
      <c r="AB1635" s="6">
        <f>MONTH(AC1635)</f>
        <v/>
      </c>
      <c r="AC1635" s="267">
        <f>IFERROR(__xludf.DUMMYFUNCTION("""COMPUTED_VALUE"""),44784.9986111111)</f>
        <v/>
      </c>
      <c r="AD1635" s="6">
        <f>IFERROR(__xludf.DUMMYFUNCTION("""COMPUTED_VALUE"""),1306.83)</f>
        <v/>
      </c>
      <c r="AH1635" s="6">
        <f>AI1635&amp;AJ1635</f>
        <v/>
      </c>
      <c r="AI1635" s="6">
        <f>YEAR(AK1635)</f>
        <v/>
      </c>
      <c r="AJ1635" s="6">
        <f>MONTH(AK1635)</f>
        <v/>
      </c>
      <c r="AK1635" s="267">
        <f>IFERROR(__xludf.DUMMYFUNCTION("""COMPUTED_VALUE"""),44728.9986111111)</f>
        <v/>
      </c>
      <c r="AL1635" s="6">
        <f>IFERROR(__xludf.DUMMYFUNCTION("""COMPUTED_VALUE"""),20375.4)</f>
        <v/>
      </c>
      <c r="AP1635" s="6">
        <f>AQ1635&amp;AR1635</f>
        <v/>
      </c>
      <c r="AQ1635" s="6">
        <f>YEAR(AS1635)</f>
        <v/>
      </c>
      <c r="AR1635" s="6">
        <f>MONTH(AS1635)</f>
        <v/>
      </c>
      <c r="AS1635" s="267">
        <f>IFERROR(__xludf.DUMMYFUNCTION("""COMPUTED_VALUE"""),45482.9986111111)</f>
        <v/>
      </c>
      <c r="AT1635" s="6">
        <f>IFERROR(__xludf.DUMMYFUNCTION("""COMPUTED_VALUE"""),2367.9)</f>
        <v/>
      </c>
    </row>
    <row r="1636">
      <c r="B1636" s="6">
        <f>C1636&amp;D1636</f>
        <v/>
      </c>
      <c r="C1636" s="6">
        <f>YEAR(E1636)</f>
        <v/>
      </c>
      <c r="D1636" s="6">
        <f>MONTH(E1636)</f>
        <v/>
      </c>
      <c r="E1636" s="267">
        <f>IFERROR(__xludf.DUMMYFUNCTION("""COMPUTED_VALUE"""),45475.6666666666)</f>
        <v/>
      </c>
      <c r="F1636" s="6">
        <f>IFERROR(__xludf.DUMMYFUNCTION("""COMPUTED_VALUE"""),5509.01)</f>
        <v/>
      </c>
      <c r="J1636" s="6">
        <f>K1636&amp;L1636</f>
        <v/>
      </c>
      <c r="K1636" s="6">
        <f>YEAR(M1636)</f>
        <v/>
      </c>
      <c r="L1636" s="6">
        <f>MONTH(M1636)</f>
        <v/>
      </c>
      <c r="M1636" s="267">
        <f>IFERROR(__xludf.DUMMYFUNCTION("""COMPUTED_VALUE"""),45467.6666666666)</f>
        <v/>
      </c>
      <c r="N1636" s="6">
        <f>IFERROR(__xludf.DUMMYFUNCTION("""COMPUTED_VALUE"""),17496.82)</f>
        <v/>
      </c>
      <c r="R1636" s="6">
        <f>S1636&amp;T1636</f>
        <v/>
      </c>
      <c r="S1636" s="6">
        <f>YEAR(U1636)</f>
        <v/>
      </c>
      <c r="T1636" s="6">
        <f>MONTH(U1636)</f>
        <v/>
      </c>
      <c r="U1636" s="267">
        <f>IFERROR(__xludf.DUMMYFUNCTION("""COMPUTED_VALUE"""),45530.6458333333)</f>
        <v/>
      </c>
      <c r="V1636" s="6">
        <f>IFERROR(__xludf.DUMMYFUNCTION("""COMPUTED_VALUE"""),2698.01)</f>
        <v/>
      </c>
      <c r="Z1636" s="6">
        <f>AA1636&amp;AB1636</f>
        <v/>
      </c>
      <c r="AA1636" s="6">
        <f>YEAR(AC1636)</f>
        <v/>
      </c>
      <c r="AB1636" s="6">
        <f>MONTH(AC1636)</f>
        <v/>
      </c>
      <c r="AC1636" s="267">
        <f>IFERROR(__xludf.DUMMYFUNCTION("""COMPUTED_VALUE"""),44785.9986111111)</f>
        <v/>
      </c>
      <c r="AD1636" s="6">
        <f>IFERROR(__xludf.DUMMYFUNCTION("""COMPUTED_VALUE"""),1301.28)</f>
        <v/>
      </c>
      <c r="AH1636" s="6">
        <f>AI1636&amp;AJ1636</f>
        <v/>
      </c>
      <c r="AI1636" s="6">
        <f>YEAR(AK1636)</f>
        <v/>
      </c>
      <c r="AJ1636" s="6">
        <f>MONTH(AK1636)</f>
        <v/>
      </c>
      <c r="AK1636" s="267">
        <f>IFERROR(__xludf.DUMMYFUNCTION("""COMPUTED_VALUE"""),44729.9986111111)</f>
        <v/>
      </c>
      <c r="AL1636" s="6">
        <f>IFERROR(__xludf.DUMMYFUNCTION("""COMPUTED_VALUE"""),20437.65)</f>
        <v/>
      </c>
      <c r="AP1636" s="6">
        <f>AQ1636&amp;AR1636</f>
        <v/>
      </c>
      <c r="AQ1636" s="6">
        <f>YEAR(AS1636)</f>
        <v/>
      </c>
      <c r="AR1636" s="6">
        <f>MONTH(AS1636)</f>
        <v/>
      </c>
      <c r="AS1636" s="267">
        <f>IFERROR(__xludf.DUMMYFUNCTION("""COMPUTED_VALUE"""),45483.9986111111)</f>
        <v/>
      </c>
      <c r="AT1636" s="6">
        <f>IFERROR(__xludf.DUMMYFUNCTION("""COMPUTED_VALUE"""),2379.7)</f>
        <v/>
      </c>
    </row>
    <row r="1637">
      <c r="B1637" s="6">
        <f>C1637&amp;D1637</f>
        <v/>
      </c>
      <c r="C1637" s="6">
        <f>YEAR(E1637)</f>
        <v/>
      </c>
      <c r="D1637" s="6">
        <f>MONTH(E1637)</f>
        <v/>
      </c>
      <c r="E1637" s="267">
        <f>IFERROR(__xludf.DUMMYFUNCTION("""COMPUTED_VALUE"""),45476.5416666666)</f>
        <v/>
      </c>
      <c r="F1637" s="6">
        <f>IFERROR(__xludf.DUMMYFUNCTION("""COMPUTED_VALUE"""),5537.02)</f>
        <v/>
      </c>
      <c r="J1637" s="6">
        <f>K1637&amp;L1637</f>
        <v/>
      </c>
      <c r="K1637" s="6">
        <f>YEAR(M1637)</f>
        <v/>
      </c>
      <c r="L1637" s="6">
        <f>MONTH(M1637)</f>
        <v/>
      </c>
      <c r="M1637" s="267">
        <f>IFERROR(__xludf.DUMMYFUNCTION("""COMPUTED_VALUE"""),45468.6666666666)</f>
        <v/>
      </c>
      <c r="N1637" s="6">
        <f>IFERROR(__xludf.DUMMYFUNCTION("""COMPUTED_VALUE"""),17717.65)</f>
        <v/>
      </c>
      <c r="R1637" s="6">
        <f>S1637&amp;T1637</f>
        <v/>
      </c>
      <c r="S1637" s="6">
        <f>YEAR(U1637)</f>
        <v/>
      </c>
      <c r="T1637" s="6">
        <f>MONTH(U1637)</f>
        <v/>
      </c>
      <c r="U1637" s="267">
        <f>IFERROR(__xludf.DUMMYFUNCTION("""COMPUTED_VALUE"""),45531.6458333333)</f>
        <v/>
      </c>
      <c r="V1637" s="6">
        <f>IFERROR(__xludf.DUMMYFUNCTION("""COMPUTED_VALUE"""),2689.25)</f>
        <v/>
      </c>
      <c r="Z1637" s="6">
        <f>AA1637&amp;AB1637</f>
        <v/>
      </c>
      <c r="AA1637" s="6">
        <f>YEAR(AC1637)</f>
        <v/>
      </c>
      <c r="AB1637" s="6">
        <f>MONTH(AC1637)</f>
        <v/>
      </c>
      <c r="AC1637" s="267">
        <f>IFERROR(__xludf.DUMMYFUNCTION("""COMPUTED_VALUE"""),44786.9986111111)</f>
        <v/>
      </c>
      <c r="AD1637" s="6">
        <f>IFERROR(__xludf.DUMMYFUNCTION("""COMPUTED_VALUE"""),1301.28)</f>
        <v/>
      </c>
      <c r="AH1637" s="6">
        <f>AI1637&amp;AJ1637</f>
        <v/>
      </c>
      <c r="AI1637" s="6">
        <f>YEAR(AK1637)</f>
        <v/>
      </c>
      <c r="AJ1637" s="6">
        <f>MONTH(AK1637)</f>
        <v/>
      </c>
      <c r="AK1637" s="267">
        <f>IFERROR(__xludf.DUMMYFUNCTION("""COMPUTED_VALUE"""),44730.9986111111)</f>
        <v/>
      </c>
      <c r="AL1637" s="6">
        <f>IFERROR(__xludf.DUMMYFUNCTION("""COMPUTED_VALUE"""),18971.42)</f>
        <v/>
      </c>
      <c r="AP1637" s="6">
        <f>AQ1637&amp;AR1637</f>
        <v/>
      </c>
      <c r="AQ1637" s="6">
        <f>YEAR(AS1637)</f>
        <v/>
      </c>
      <c r="AR1637" s="6">
        <f>MONTH(AS1637)</f>
        <v/>
      </c>
      <c r="AS1637" s="267">
        <f>IFERROR(__xludf.DUMMYFUNCTION("""COMPUTED_VALUE"""),45484.9986111111)</f>
        <v/>
      </c>
      <c r="AT1637" s="6">
        <f>IFERROR(__xludf.DUMMYFUNCTION("""COMPUTED_VALUE"""),2421.9)</f>
        <v/>
      </c>
    </row>
    <row r="1638">
      <c r="B1638" s="6">
        <f>C1638&amp;D1638</f>
        <v/>
      </c>
      <c r="C1638" s="6">
        <f>YEAR(E1638)</f>
        <v/>
      </c>
      <c r="D1638" s="6">
        <f>MONTH(E1638)</f>
        <v/>
      </c>
      <c r="E1638" s="267">
        <f>IFERROR(__xludf.DUMMYFUNCTION("""COMPUTED_VALUE"""),45478.6666666666)</f>
        <v/>
      </c>
      <c r="F1638" s="6">
        <f>IFERROR(__xludf.DUMMYFUNCTION("""COMPUTED_VALUE"""),5567.19)</f>
        <v/>
      </c>
      <c r="J1638" s="6">
        <f>K1638&amp;L1638</f>
        <v/>
      </c>
      <c r="K1638" s="6">
        <f>YEAR(M1638)</f>
        <v/>
      </c>
      <c r="L1638" s="6">
        <f>MONTH(M1638)</f>
        <v/>
      </c>
      <c r="M1638" s="267">
        <f>IFERROR(__xludf.DUMMYFUNCTION("""COMPUTED_VALUE"""),45469.6666666666)</f>
        <v/>
      </c>
      <c r="N1638" s="6">
        <f>IFERROR(__xludf.DUMMYFUNCTION("""COMPUTED_VALUE"""),17805.16)</f>
        <v/>
      </c>
      <c r="R1638" s="6">
        <f>S1638&amp;T1638</f>
        <v/>
      </c>
      <c r="S1638" s="6">
        <f>YEAR(U1638)</f>
        <v/>
      </c>
      <c r="T1638" s="6">
        <f>MONTH(U1638)</f>
        <v/>
      </c>
      <c r="U1638" s="267">
        <f>IFERROR(__xludf.DUMMYFUNCTION("""COMPUTED_VALUE"""),45532.6458333333)</f>
        <v/>
      </c>
      <c r="V1638" s="6">
        <f>IFERROR(__xludf.DUMMYFUNCTION("""COMPUTED_VALUE"""),2689.83)</f>
        <v/>
      </c>
      <c r="Z1638" s="6">
        <f>AA1638&amp;AB1638</f>
        <v/>
      </c>
      <c r="AA1638" s="6">
        <f>YEAR(AC1638)</f>
        <v/>
      </c>
      <c r="AB1638" s="6">
        <f>MONTH(AC1638)</f>
        <v/>
      </c>
      <c r="AC1638" s="267">
        <f>IFERROR(__xludf.DUMMYFUNCTION("""COMPUTED_VALUE"""),44787.9986111111)</f>
        <v/>
      </c>
      <c r="AD1638" s="6">
        <f>IFERROR(__xludf.DUMMYFUNCTION("""COMPUTED_VALUE"""),1301.38)</f>
        <v/>
      </c>
      <c r="AH1638" s="6">
        <f>AI1638&amp;AJ1638</f>
        <v/>
      </c>
      <c r="AI1638" s="6">
        <f>YEAR(AK1638)</f>
        <v/>
      </c>
      <c r="AJ1638" s="6">
        <f>MONTH(AK1638)</f>
        <v/>
      </c>
      <c r="AK1638" s="267">
        <f>IFERROR(__xludf.DUMMYFUNCTION("""COMPUTED_VALUE"""),44731.9986111111)</f>
        <v/>
      </c>
      <c r="AL1638" s="6">
        <f>IFERROR(__xludf.DUMMYFUNCTION("""COMPUTED_VALUE"""),20559.79)</f>
        <v/>
      </c>
      <c r="AP1638" s="6">
        <f>AQ1638&amp;AR1638</f>
        <v/>
      </c>
      <c r="AQ1638" s="6">
        <f>YEAR(AS1638)</f>
        <v/>
      </c>
      <c r="AR1638" s="6">
        <f>MONTH(AS1638)</f>
        <v/>
      </c>
      <c r="AS1638" s="267">
        <f>IFERROR(__xludf.DUMMYFUNCTION("""COMPUTED_VALUE"""),45485.9986111111)</f>
        <v/>
      </c>
      <c r="AT1638" s="6">
        <f>IFERROR(__xludf.DUMMYFUNCTION("""COMPUTED_VALUE"""),2420.7)</f>
        <v/>
      </c>
    </row>
    <row r="1639">
      <c r="B1639" s="6">
        <f>C1639&amp;D1639</f>
        <v/>
      </c>
      <c r="C1639" s="6">
        <f>YEAR(E1639)</f>
        <v/>
      </c>
      <c r="D1639" s="6">
        <f>MONTH(E1639)</f>
        <v/>
      </c>
      <c r="E1639" s="267">
        <f>IFERROR(__xludf.DUMMYFUNCTION("""COMPUTED_VALUE"""),45481.6666666666)</f>
        <v/>
      </c>
      <c r="F1639" s="6">
        <f>IFERROR(__xludf.DUMMYFUNCTION("""COMPUTED_VALUE"""),5572.85)</f>
        <v/>
      </c>
      <c r="J1639" s="6">
        <f>K1639&amp;L1639</f>
        <v/>
      </c>
      <c r="K1639" s="6">
        <f>YEAR(M1639)</f>
        <v/>
      </c>
      <c r="L1639" s="6">
        <f>MONTH(M1639)</f>
        <v/>
      </c>
      <c r="M1639" s="267">
        <f>IFERROR(__xludf.DUMMYFUNCTION("""COMPUTED_VALUE"""),45470.6666666666)</f>
        <v/>
      </c>
      <c r="N1639" s="6">
        <f>IFERROR(__xludf.DUMMYFUNCTION("""COMPUTED_VALUE"""),17858.68)</f>
        <v/>
      </c>
      <c r="R1639" s="6">
        <f>S1639&amp;T1639</f>
        <v/>
      </c>
      <c r="S1639" s="6">
        <f>YEAR(U1639)</f>
        <v/>
      </c>
      <c r="T1639" s="6">
        <f>MONTH(U1639)</f>
        <v/>
      </c>
      <c r="U1639" s="267">
        <f>IFERROR(__xludf.DUMMYFUNCTION("""COMPUTED_VALUE"""),45533.6458333333)</f>
        <v/>
      </c>
      <c r="V1639" s="6">
        <f>IFERROR(__xludf.DUMMYFUNCTION("""COMPUTED_VALUE"""),2662.28)</f>
        <v/>
      </c>
      <c r="Z1639" s="6">
        <f>AA1639&amp;AB1639</f>
        <v/>
      </c>
      <c r="AA1639" s="6">
        <f>YEAR(AC1639)</f>
        <v/>
      </c>
      <c r="AB1639" s="6">
        <f>MONTH(AC1639)</f>
        <v/>
      </c>
      <c r="AC1639" s="267">
        <f>IFERROR(__xludf.DUMMYFUNCTION("""COMPUTED_VALUE"""),44788.9986111111)</f>
        <v/>
      </c>
      <c r="AD1639" s="6">
        <f>IFERROR(__xludf.DUMMYFUNCTION("""COMPUTED_VALUE"""),1313.18)</f>
        <v/>
      </c>
      <c r="AH1639" s="6">
        <f>AI1639&amp;AJ1639</f>
        <v/>
      </c>
      <c r="AI1639" s="6">
        <f>YEAR(AK1639)</f>
        <v/>
      </c>
      <c r="AJ1639" s="6">
        <f>MONTH(AK1639)</f>
        <v/>
      </c>
      <c r="AK1639" s="267">
        <f>IFERROR(__xludf.DUMMYFUNCTION("""COMPUTED_VALUE"""),44732.9986111111)</f>
        <v/>
      </c>
      <c r="AL1639" s="6">
        <f>IFERROR(__xludf.DUMMYFUNCTION("""COMPUTED_VALUE"""),20568.29)</f>
        <v/>
      </c>
      <c r="AP1639" s="6">
        <f>AQ1639&amp;AR1639</f>
        <v/>
      </c>
      <c r="AQ1639" s="6">
        <f>YEAR(AS1639)</f>
        <v/>
      </c>
      <c r="AR1639" s="6">
        <f>MONTH(AS1639)</f>
        <v/>
      </c>
      <c r="AS1639" s="267">
        <f>IFERROR(__xludf.DUMMYFUNCTION("""COMPUTED_VALUE"""),45488.9986111111)</f>
        <v/>
      </c>
      <c r="AT1639" s="6">
        <f>IFERROR(__xludf.DUMMYFUNCTION("""COMPUTED_VALUE"""),2428.9)</f>
        <v/>
      </c>
    </row>
    <row r="1640">
      <c r="B1640" s="6">
        <f>C1640&amp;D1640</f>
        <v/>
      </c>
      <c r="C1640" s="6">
        <f>YEAR(E1640)</f>
        <v/>
      </c>
      <c r="D1640" s="6">
        <f>MONTH(E1640)</f>
        <v/>
      </c>
      <c r="E1640" s="267">
        <f>IFERROR(__xludf.DUMMYFUNCTION("""COMPUTED_VALUE"""),45482.6666666666)</f>
        <v/>
      </c>
      <c r="F1640" s="6">
        <f>IFERROR(__xludf.DUMMYFUNCTION("""COMPUTED_VALUE"""),5576.98)</f>
        <v/>
      </c>
      <c r="J1640" s="6">
        <f>K1640&amp;L1640</f>
        <v/>
      </c>
      <c r="K1640" s="6">
        <f>YEAR(M1640)</f>
        <v/>
      </c>
      <c r="L1640" s="6">
        <f>MONTH(M1640)</f>
        <v/>
      </c>
      <c r="M1640" s="267">
        <f>IFERROR(__xludf.DUMMYFUNCTION("""COMPUTED_VALUE"""),45471.6666666666)</f>
        <v/>
      </c>
      <c r="N1640" s="6">
        <f>IFERROR(__xludf.DUMMYFUNCTION("""COMPUTED_VALUE"""),17732.6)</f>
        <v/>
      </c>
      <c r="R1640" s="6">
        <f>S1640&amp;T1640</f>
        <v/>
      </c>
      <c r="S1640" s="6">
        <f>YEAR(U1640)</f>
        <v/>
      </c>
      <c r="T1640" s="6">
        <f>MONTH(U1640)</f>
        <v/>
      </c>
      <c r="U1640" s="267">
        <f>IFERROR(__xludf.DUMMYFUNCTION("""COMPUTED_VALUE"""),45534.6458333333)</f>
        <v/>
      </c>
      <c r="V1640" s="6">
        <f>IFERROR(__xludf.DUMMYFUNCTION("""COMPUTED_VALUE"""),2674.31)</f>
        <v/>
      </c>
      <c r="Z1640" s="6">
        <f>AA1640&amp;AB1640</f>
        <v/>
      </c>
      <c r="AA1640" s="6">
        <f>YEAR(AC1640)</f>
        <v/>
      </c>
      <c r="AB1640" s="6">
        <f>MONTH(AC1640)</f>
        <v/>
      </c>
      <c r="AC1640" s="267">
        <f>IFERROR(__xludf.DUMMYFUNCTION("""COMPUTED_VALUE"""),44789.9986111111)</f>
        <v/>
      </c>
      <c r="AD1640" s="6">
        <f>IFERROR(__xludf.DUMMYFUNCTION("""COMPUTED_VALUE"""),1311)</f>
        <v/>
      </c>
      <c r="AH1640" s="6">
        <f>AI1640&amp;AJ1640</f>
        <v/>
      </c>
      <c r="AI1640" s="6">
        <f>YEAR(AK1640)</f>
        <v/>
      </c>
      <c r="AJ1640" s="6">
        <f>MONTH(AK1640)</f>
        <v/>
      </c>
      <c r="AK1640" s="267">
        <f>IFERROR(__xludf.DUMMYFUNCTION("""COMPUTED_VALUE"""),44733.9986111111)</f>
        <v/>
      </c>
      <c r="AL1640" s="6">
        <f>IFERROR(__xludf.DUMMYFUNCTION("""COMPUTED_VALUE"""),20702.51)</f>
        <v/>
      </c>
      <c r="AP1640" s="6">
        <f>AQ1640&amp;AR1640</f>
        <v/>
      </c>
      <c r="AQ1640" s="6">
        <f>YEAR(AS1640)</f>
        <v/>
      </c>
      <c r="AR1640" s="6">
        <f>MONTH(AS1640)</f>
        <v/>
      </c>
      <c r="AS1640" s="267">
        <f>IFERROR(__xludf.DUMMYFUNCTION("""COMPUTED_VALUE"""),45489.9986111111)</f>
        <v/>
      </c>
      <c r="AT1640" s="6">
        <f>IFERROR(__xludf.DUMMYFUNCTION("""COMPUTED_VALUE"""),2467.8)</f>
        <v/>
      </c>
    </row>
    <row r="1641">
      <c r="B1641" s="6">
        <f>C1641&amp;D1641</f>
        <v/>
      </c>
      <c r="C1641" s="6">
        <f>YEAR(E1641)</f>
        <v/>
      </c>
      <c r="D1641" s="6">
        <f>MONTH(E1641)</f>
        <v/>
      </c>
      <c r="E1641" s="267">
        <f>IFERROR(__xludf.DUMMYFUNCTION("""COMPUTED_VALUE"""),45483.6666666666)</f>
        <v/>
      </c>
      <c r="F1641" s="6">
        <f>IFERROR(__xludf.DUMMYFUNCTION("""COMPUTED_VALUE"""),5633.91)</f>
        <v/>
      </c>
      <c r="J1641" s="6">
        <f>K1641&amp;L1641</f>
        <v/>
      </c>
      <c r="K1641" s="6">
        <f>YEAR(M1641)</f>
        <v/>
      </c>
      <c r="L1641" s="6">
        <f>MONTH(M1641)</f>
        <v/>
      </c>
      <c r="M1641" s="267">
        <f>IFERROR(__xludf.DUMMYFUNCTION("""COMPUTED_VALUE"""),45474.6666666666)</f>
        <v/>
      </c>
      <c r="N1641" s="6">
        <f>IFERROR(__xludf.DUMMYFUNCTION("""COMPUTED_VALUE"""),17879.3)</f>
        <v/>
      </c>
      <c r="R1641" s="6">
        <f>S1641&amp;T1641</f>
        <v/>
      </c>
      <c r="S1641" s="6">
        <f>YEAR(U1641)</f>
        <v/>
      </c>
      <c r="T1641" s="6">
        <f>MONTH(U1641)</f>
        <v/>
      </c>
      <c r="U1641" s="267">
        <f>IFERROR(__xludf.DUMMYFUNCTION("""COMPUTED_VALUE"""),45537.6458333333)</f>
        <v/>
      </c>
      <c r="V1641" s="6">
        <f>IFERROR(__xludf.DUMMYFUNCTION("""COMPUTED_VALUE"""),2681)</f>
        <v/>
      </c>
      <c r="Z1641" s="6">
        <f>AA1641&amp;AB1641</f>
        <v/>
      </c>
      <c r="AA1641" s="6">
        <f>YEAR(AC1641)</f>
        <v/>
      </c>
      <c r="AB1641" s="6">
        <f>MONTH(AC1641)</f>
        <v/>
      </c>
      <c r="AC1641" s="267">
        <f>IFERROR(__xludf.DUMMYFUNCTION("""COMPUTED_VALUE"""),44790.9986111111)</f>
        <v/>
      </c>
      <c r="AD1641" s="6">
        <f>IFERROR(__xludf.DUMMYFUNCTION("""COMPUTED_VALUE"""),1314.83)</f>
        <v/>
      </c>
      <c r="AH1641" s="6">
        <f>AI1641&amp;AJ1641</f>
        <v/>
      </c>
      <c r="AI1641" s="6">
        <f>YEAR(AK1641)</f>
        <v/>
      </c>
      <c r="AJ1641" s="6">
        <f>MONTH(AK1641)</f>
        <v/>
      </c>
      <c r="AK1641" s="267">
        <f>IFERROR(__xludf.DUMMYFUNCTION("""COMPUTED_VALUE"""),44734.9986111111)</f>
        <v/>
      </c>
      <c r="AL1641" s="6">
        <f>IFERROR(__xludf.DUMMYFUNCTION("""COMPUTED_VALUE"""),19960.41)</f>
        <v/>
      </c>
      <c r="AP1641" s="6">
        <f>AQ1641&amp;AR1641</f>
        <v/>
      </c>
      <c r="AQ1641" s="6">
        <f>YEAR(AS1641)</f>
        <v/>
      </c>
      <c r="AR1641" s="6">
        <f>MONTH(AS1641)</f>
        <v/>
      </c>
      <c r="AS1641" s="267">
        <f>IFERROR(__xludf.DUMMYFUNCTION("""COMPUTED_VALUE"""),45490.9986111111)</f>
        <v/>
      </c>
      <c r="AT1641" s="6">
        <f>IFERROR(__xludf.DUMMYFUNCTION("""COMPUTED_VALUE"""),2459.9)</f>
        <v/>
      </c>
    </row>
    <row r="1642">
      <c r="B1642" s="6">
        <f>C1642&amp;D1642</f>
        <v/>
      </c>
      <c r="C1642" s="6">
        <f>YEAR(E1642)</f>
        <v/>
      </c>
      <c r="D1642" s="6">
        <f>MONTH(E1642)</f>
        <v/>
      </c>
      <c r="E1642" s="267">
        <f>IFERROR(__xludf.DUMMYFUNCTION("""COMPUTED_VALUE"""),45484.6666666666)</f>
        <v/>
      </c>
      <c r="F1642" s="6">
        <f>IFERROR(__xludf.DUMMYFUNCTION("""COMPUTED_VALUE"""),5584.54)</f>
        <v/>
      </c>
      <c r="J1642" s="6">
        <f>K1642&amp;L1642</f>
        <v/>
      </c>
      <c r="K1642" s="6">
        <f>YEAR(M1642)</f>
        <v/>
      </c>
      <c r="L1642" s="6">
        <f>MONTH(M1642)</f>
        <v/>
      </c>
      <c r="M1642" s="267">
        <f>IFERROR(__xludf.DUMMYFUNCTION("""COMPUTED_VALUE"""),45475.6666666666)</f>
        <v/>
      </c>
      <c r="N1642" s="6">
        <f>IFERROR(__xludf.DUMMYFUNCTION("""COMPUTED_VALUE"""),18028.76)</f>
        <v/>
      </c>
      <c r="R1642" s="6">
        <f>S1642&amp;T1642</f>
        <v/>
      </c>
      <c r="S1642" s="6">
        <f>YEAR(U1642)</f>
        <v/>
      </c>
      <c r="T1642" s="6">
        <f>MONTH(U1642)</f>
        <v/>
      </c>
      <c r="U1642" s="267">
        <f>IFERROR(__xludf.DUMMYFUNCTION("""COMPUTED_VALUE"""),45538.6458333333)</f>
        <v/>
      </c>
      <c r="V1642" s="6">
        <f>IFERROR(__xludf.DUMMYFUNCTION("""COMPUTED_VALUE"""),2664.63)</f>
        <v/>
      </c>
      <c r="Z1642" s="6">
        <f>AA1642&amp;AB1642</f>
        <v/>
      </c>
      <c r="AA1642" s="6">
        <f>YEAR(AC1642)</f>
        <v/>
      </c>
      <c r="AB1642" s="6">
        <f>MONTH(AC1642)</f>
        <v/>
      </c>
      <c r="AC1642" s="267">
        <f>IFERROR(__xludf.DUMMYFUNCTION("""COMPUTED_VALUE"""),44791.9986111111)</f>
        <v/>
      </c>
      <c r="AD1642" s="6">
        <f>IFERROR(__xludf.DUMMYFUNCTION("""COMPUTED_VALUE"""),1326.91)</f>
        <v/>
      </c>
      <c r="AH1642" s="6">
        <f>AI1642&amp;AJ1642</f>
        <v/>
      </c>
      <c r="AI1642" s="6">
        <f>YEAR(AK1642)</f>
        <v/>
      </c>
      <c r="AJ1642" s="6">
        <f>MONTH(AK1642)</f>
        <v/>
      </c>
      <c r="AK1642" s="267">
        <f>IFERROR(__xludf.DUMMYFUNCTION("""COMPUTED_VALUE"""),44735.9986111111)</f>
        <v/>
      </c>
      <c r="AL1642" s="6">
        <f>IFERROR(__xludf.DUMMYFUNCTION("""COMPUTED_VALUE"""),21088.29)</f>
        <v/>
      </c>
      <c r="AP1642" s="6">
        <f>AQ1642&amp;AR1642</f>
        <v/>
      </c>
      <c r="AQ1642" s="6">
        <f>YEAR(AS1642)</f>
        <v/>
      </c>
      <c r="AR1642" s="6">
        <f>MONTH(AS1642)</f>
        <v/>
      </c>
      <c r="AS1642" s="267">
        <f>IFERROR(__xludf.DUMMYFUNCTION("""COMPUTED_VALUE"""),45491.9986111111)</f>
        <v/>
      </c>
      <c r="AT1642" s="6">
        <f>IFERROR(__xludf.DUMMYFUNCTION("""COMPUTED_VALUE"""),2456.4)</f>
        <v/>
      </c>
    </row>
    <row r="1643">
      <c r="B1643" s="6">
        <f>C1643&amp;D1643</f>
        <v/>
      </c>
      <c r="C1643" s="6">
        <f>YEAR(E1643)</f>
        <v/>
      </c>
      <c r="D1643" s="6">
        <f>MONTH(E1643)</f>
        <v/>
      </c>
      <c r="E1643" s="267">
        <f>IFERROR(__xludf.DUMMYFUNCTION("""COMPUTED_VALUE"""),45485.6666666666)</f>
        <v/>
      </c>
      <c r="F1643" s="6">
        <f>IFERROR(__xludf.DUMMYFUNCTION("""COMPUTED_VALUE"""),5615.35)</f>
        <v/>
      </c>
      <c r="J1643" s="6">
        <f>K1643&amp;L1643</f>
        <v/>
      </c>
      <c r="K1643" s="6">
        <f>YEAR(M1643)</f>
        <v/>
      </c>
      <c r="L1643" s="6">
        <f>MONTH(M1643)</f>
        <v/>
      </c>
      <c r="M1643" s="267">
        <f>IFERROR(__xludf.DUMMYFUNCTION("""COMPUTED_VALUE"""),45476.5451388888)</f>
        <v/>
      </c>
      <c r="N1643" s="6">
        <f>IFERROR(__xludf.DUMMYFUNCTION("""COMPUTED_VALUE"""),18188.3)</f>
        <v/>
      </c>
      <c r="R1643" s="6">
        <f>S1643&amp;T1643</f>
        <v/>
      </c>
      <c r="S1643" s="6">
        <f>YEAR(U1643)</f>
        <v/>
      </c>
      <c r="T1643" s="6">
        <f>MONTH(U1643)</f>
        <v/>
      </c>
      <c r="U1643" s="267">
        <f>IFERROR(__xludf.DUMMYFUNCTION("""COMPUTED_VALUE"""),45539.6458333333)</f>
        <v/>
      </c>
      <c r="V1643" s="6">
        <f>IFERROR(__xludf.DUMMYFUNCTION("""COMPUTED_VALUE"""),2580.8)</f>
        <v/>
      </c>
      <c r="Z1643" s="6">
        <f>AA1643&amp;AB1643</f>
        <v/>
      </c>
      <c r="AA1643" s="6">
        <f>YEAR(AC1643)</f>
        <v/>
      </c>
      <c r="AB1643" s="6">
        <f>MONTH(AC1643)</f>
        <v/>
      </c>
      <c r="AC1643" s="267">
        <f>IFERROR(__xludf.DUMMYFUNCTION("""COMPUTED_VALUE"""),44792.9986111111)</f>
        <v/>
      </c>
      <c r="AD1643" s="6">
        <f>IFERROR(__xludf.DUMMYFUNCTION("""COMPUTED_VALUE"""),1334.76)</f>
        <v/>
      </c>
      <c r="AH1643" s="6">
        <f>AI1643&amp;AJ1643</f>
        <v/>
      </c>
      <c r="AI1643" s="6">
        <f>YEAR(AK1643)</f>
        <v/>
      </c>
      <c r="AJ1643" s="6">
        <f>MONTH(AK1643)</f>
        <v/>
      </c>
      <c r="AK1643" s="267">
        <f>IFERROR(__xludf.DUMMYFUNCTION("""COMPUTED_VALUE"""),44736.9986111111)</f>
        <v/>
      </c>
      <c r="AL1643" s="6">
        <f>IFERROR(__xludf.DUMMYFUNCTION("""COMPUTED_VALUE"""),21218.06)</f>
        <v/>
      </c>
      <c r="AP1643" s="6">
        <f>AQ1643&amp;AR1643</f>
        <v/>
      </c>
      <c r="AQ1643" s="6">
        <f>YEAR(AS1643)</f>
        <v/>
      </c>
      <c r="AR1643" s="6">
        <f>MONTH(AS1643)</f>
        <v/>
      </c>
      <c r="AS1643" s="267">
        <f>IFERROR(__xludf.DUMMYFUNCTION("""COMPUTED_VALUE"""),45492.9986111111)</f>
        <v/>
      </c>
      <c r="AT1643" s="6">
        <f>IFERROR(__xludf.DUMMYFUNCTION("""COMPUTED_VALUE"""),2399.1)</f>
        <v/>
      </c>
    </row>
    <row r="1644">
      <c r="B1644" s="6">
        <f>C1644&amp;D1644</f>
        <v/>
      </c>
      <c r="C1644" s="6">
        <f>YEAR(E1644)</f>
        <v/>
      </c>
      <c r="D1644" s="6">
        <f>MONTH(E1644)</f>
        <v/>
      </c>
      <c r="E1644" s="267">
        <f>IFERROR(__xludf.DUMMYFUNCTION("""COMPUTED_VALUE"""),45488.6666666666)</f>
        <v/>
      </c>
      <c r="F1644" s="6">
        <f>IFERROR(__xludf.DUMMYFUNCTION("""COMPUTED_VALUE"""),5631.22)</f>
        <v/>
      </c>
      <c r="J1644" s="6">
        <f>K1644&amp;L1644</f>
        <v/>
      </c>
      <c r="K1644" s="6">
        <f>YEAR(M1644)</f>
        <v/>
      </c>
      <c r="L1644" s="6">
        <f>MONTH(M1644)</f>
        <v/>
      </c>
      <c r="M1644" s="267">
        <f>IFERROR(__xludf.DUMMYFUNCTION("""COMPUTED_VALUE"""),45478.6666666666)</f>
        <v/>
      </c>
      <c r="N1644" s="6">
        <f>IFERROR(__xludf.DUMMYFUNCTION("""COMPUTED_VALUE"""),18352.76)</f>
        <v/>
      </c>
      <c r="R1644" s="6">
        <f>S1644&amp;T1644</f>
        <v/>
      </c>
      <c r="S1644" s="6">
        <f>YEAR(U1644)</f>
        <v/>
      </c>
      <c r="T1644" s="6">
        <f>MONTH(U1644)</f>
        <v/>
      </c>
      <c r="U1644" s="267">
        <f>IFERROR(__xludf.DUMMYFUNCTION("""COMPUTED_VALUE"""),45540.6458333333)</f>
        <v/>
      </c>
      <c r="V1644" s="6">
        <f>IFERROR(__xludf.DUMMYFUNCTION("""COMPUTED_VALUE"""),2575.5)</f>
        <v/>
      </c>
      <c r="Z1644" s="6">
        <f>AA1644&amp;AB1644</f>
        <v/>
      </c>
      <c r="AA1644" s="6">
        <f>YEAR(AC1644)</f>
        <v/>
      </c>
      <c r="AB1644" s="6">
        <f>MONTH(AC1644)</f>
        <v/>
      </c>
      <c r="AC1644" s="267">
        <f>IFERROR(__xludf.DUMMYFUNCTION("""COMPUTED_VALUE"""),44793.9986111111)</f>
        <v/>
      </c>
      <c r="AD1644" s="6">
        <f>IFERROR(__xludf.DUMMYFUNCTION("""COMPUTED_VALUE"""),1334.36)</f>
        <v/>
      </c>
      <c r="AH1644" s="6">
        <f>AI1644&amp;AJ1644</f>
        <v/>
      </c>
      <c r="AI1644" s="6">
        <f>YEAR(AK1644)</f>
        <v/>
      </c>
      <c r="AJ1644" s="6">
        <f>MONTH(AK1644)</f>
        <v/>
      </c>
      <c r="AK1644" s="267">
        <f>IFERROR(__xludf.DUMMYFUNCTION("""COMPUTED_VALUE"""),44737.9986111111)</f>
        <v/>
      </c>
      <c r="AL1644" s="6">
        <f>IFERROR(__xludf.DUMMYFUNCTION("""COMPUTED_VALUE"""),21483.74)</f>
        <v/>
      </c>
      <c r="AP1644" s="6">
        <f>AQ1644&amp;AR1644</f>
        <v/>
      </c>
      <c r="AQ1644" s="6">
        <f>YEAR(AS1644)</f>
        <v/>
      </c>
      <c r="AR1644" s="6">
        <f>MONTH(AS1644)</f>
        <v/>
      </c>
      <c r="AS1644" s="267">
        <f>IFERROR(__xludf.DUMMYFUNCTION("""COMPUTED_VALUE"""),45495.9986111111)</f>
        <v/>
      </c>
      <c r="AT1644" s="6">
        <f>IFERROR(__xludf.DUMMYFUNCTION("""COMPUTED_VALUE"""),2442.1)</f>
        <v/>
      </c>
    </row>
    <row r="1645">
      <c r="B1645" s="6">
        <f>C1645&amp;D1645</f>
        <v/>
      </c>
      <c r="C1645" s="6">
        <f>YEAR(E1645)</f>
        <v/>
      </c>
      <c r="D1645" s="6">
        <f>MONTH(E1645)</f>
        <v/>
      </c>
      <c r="E1645" s="267">
        <f>IFERROR(__xludf.DUMMYFUNCTION("""COMPUTED_VALUE"""),45489.6666666666)</f>
        <v/>
      </c>
      <c r="F1645" s="6">
        <f>IFERROR(__xludf.DUMMYFUNCTION("""COMPUTED_VALUE"""),5667.2)</f>
        <v/>
      </c>
      <c r="J1645" s="6">
        <f>K1645&amp;L1645</f>
        <v/>
      </c>
      <c r="K1645" s="6">
        <f>YEAR(M1645)</f>
        <v/>
      </c>
      <c r="L1645" s="6">
        <f>MONTH(M1645)</f>
        <v/>
      </c>
      <c r="M1645" s="267">
        <f>IFERROR(__xludf.DUMMYFUNCTION("""COMPUTED_VALUE"""),45481.6666666666)</f>
        <v/>
      </c>
      <c r="N1645" s="6">
        <f>IFERROR(__xludf.DUMMYFUNCTION("""COMPUTED_VALUE"""),18403.74)</f>
        <v/>
      </c>
      <c r="R1645" s="6">
        <f>S1645&amp;T1645</f>
        <v/>
      </c>
      <c r="S1645" s="6">
        <f>YEAR(U1645)</f>
        <v/>
      </c>
      <c r="T1645" s="6">
        <f>MONTH(U1645)</f>
        <v/>
      </c>
      <c r="U1645" s="267">
        <f>IFERROR(__xludf.DUMMYFUNCTION("""COMPUTED_VALUE"""),45541.6458333333)</f>
        <v/>
      </c>
      <c r="V1645" s="6">
        <f>IFERROR(__xludf.DUMMYFUNCTION("""COMPUTED_VALUE"""),2544.28)</f>
        <v/>
      </c>
      <c r="Z1645" s="6">
        <f>AA1645&amp;AB1645</f>
        <v/>
      </c>
      <c r="AA1645" s="6">
        <f>YEAR(AC1645)</f>
        <v/>
      </c>
      <c r="AB1645" s="6">
        <f>MONTH(AC1645)</f>
        <v/>
      </c>
      <c r="AC1645" s="267">
        <f>IFERROR(__xludf.DUMMYFUNCTION("""COMPUTED_VALUE"""),44794.9986111111)</f>
        <v/>
      </c>
      <c r="AD1645" s="6">
        <f>IFERROR(__xludf.DUMMYFUNCTION("""COMPUTED_VALUE"""),1334.86)</f>
        <v/>
      </c>
      <c r="AH1645" s="6">
        <f>AI1645&amp;AJ1645</f>
        <v/>
      </c>
      <c r="AI1645" s="6">
        <f>YEAR(AK1645)</f>
        <v/>
      </c>
      <c r="AJ1645" s="6">
        <f>MONTH(AK1645)</f>
        <v/>
      </c>
      <c r="AK1645" s="267">
        <f>IFERROR(__xludf.DUMMYFUNCTION("""COMPUTED_VALUE"""),44738.9986111111)</f>
        <v/>
      </c>
      <c r="AL1645" s="6">
        <f>IFERROR(__xludf.DUMMYFUNCTION("""COMPUTED_VALUE"""),21036.57)</f>
        <v/>
      </c>
      <c r="AP1645" s="6">
        <f>AQ1645&amp;AR1645</f>
        <v/>
      </c>
      <c r="AQ1645" s="6">
        <f>YEAR(AS1645)</f>
        <v/>
      </c>
      <c r="AR1645" s="6">
        <f>MONTH(AS1645)</f>
        <v/>
      </c>
      <c r="AS1645" s="267">
        <f>IFERROR(__xludf.DUMMYFUNCTION("""COMPUTED_VALUE"""),45496.9986111111)</f>
        <v/>
      </c>
      <c r="AT1645" s="6">
        <f>IFERROR(__xludf.DUMMYFUNCTION("""COMPUTED_VALUE"""),2455.2)</f>
        <v/>
      </c>
    </row>
    <row r="1646">
      <c r="B1646" s="6">
        <f>C1646&amp;D1646</f>
        <v/>
      </c>
      <c r="C1646" s="6">
        <f>YEAR(E1646)</f>
        <v/>
      </c>
      <c r="D1646" s="6">
        <f>MONTH(E1646)</f>
        <v/>
      </c>
      <c r="E1646" s="267">
        <f>IFERROR(__xludf.DUMMYFUNCTION("""COMPUTED_VALUE"""),45490.6666666666)</f>
        <v/>
      </c>
      <c r="F1646" s="6">
        <f>IFERROR(__xludf.DUMMYFUNCTION("""COMPUTED_VALUE"""),5588.27)</f>
        <v/>
      </c>
      <c r="J1646" s="6">
        <f>K1646&amp;L1646</f>
        <v/>
      </c>
      <c r="K1646" s="6">
        <f>YEAR(M1646)</f>
        <v/>
      </c>
      <c r="L1646" s="6">
        <f>MONTH(M1646)</f>
        <v/>
      </c>
      <c r="M1646" s="267">
        <f>IFERROR(__xludf.DUMMYFUNCTION("""COMPUTED_VALUE"""),45482.6666666666)</f>
        <v/>
      </c>
      <c r="N1646" s="6">
        <f>IFERROR(__xludf.DUMMYFUNCTION("""COMPUTED_VALUE"""),18429.29)</f>
        <v/>
      </c>
      <c r="R1646" s="6">
        <f>S1646&amp;T1646</f>
        <v/>
      </c>
      <c r="S1646" s="6">
        <f>YEAR(U1646)</f>
        <v/>
      </c>
      <c r="T1646" s="6">
        <f>MONTH(U1646)</f>
        <v/>
      </c>
      <c r="U1646" s="267">
        <f>IFERROR(__xludf.DUMMYFUNCTION("""COMPUTED_VALUE"""),45544.6458333333)</f>
        <v/>
      </c>
      <c r="V1646" s="6">
        <f>IFERROR(__xludf.DUMMYFUNCTION("""COMPUTED_VALUE"""),2535.93)</f>
        <v/>
      </c>
      <c r="Z1646" s="6">
        <f>AA1646&amp;AB1646</f>
        <v/>
      </c>
      <c r="AA1646" s="6">
        <f>YEAR(AC1646)</f>
        <v/>
      </c>
      <c r="AB1646" s="6">
        <f>MONTH(AC1646)</f>
        <v/>
      </c>
      <c r="AC1646" s="267">
        <f>IFERROR(__xludf.DUMMYFUNCTION("""COMPUTED_VALUE"""),44795.9986111111)</f>
        <v/>
      </c>
      <c r="AD1646" s="6">
        <f>IFERROR(__xludf.DUMMYFUNCTION("""COMPUTED_VALUE"""),1343.36)</f>
        <v/>
      </c>
      <c r="AH1646" s="6">
        <f>AI1646&amp;AJ1646</f>
        <v/>
      </c>
      <c r="AI1646" s="6">
        <f>YEAR(AK1646)</f>
        <v/>
      </c>
      <c r="AJ1646" s="6">
        <f>MONTH(AK1646)</f>
        <v/>
      </c>
      <c r="AK1646" s="267">
        <f>IFERROR(__xludf.DUMMYFUNCTION("""COMPUTED_VALUE"""),44739.9986111111)</f>
        <v/>
      </c>
      <c r="AL1646" s="6">
        <f>IFERROR(__xludf.DUMMYFUNCTION("""COMPUTED_VALUE"""),20709.37)</f>
        <v/>
      </c>
      <c r="AP1646" s="6">
        <f>AQ1646&amp;AR1646</f>
        <v/>
      </c>
      <c r="AQ1646" s="6">
        <f>YEAR(AS1646)</f>
        <v/>
      </c>
      <c r="AR1646" s="6">
        <f>MONTH(AS1646)</f>
        <v/>
      </c>
      <c r="AS1646" s="267">
        <f>IFERROR(__xludf.DUMMYFUNCTION("""COMPUTED_VALUE"""),45497.9986111111)</f>
        <v/>
      </c>
      <c r="AT1646" s="6">
        <f>IFERROR(__xludf.DUMMYFUNCTION("""COMPUTED_VALUE"""),2464)</f>
        <v/>
      </c>
    </row>
    <row r="1647">
      <c r="B1647" s="6">
        <f>C1647&amp;D1647</f>
        <v/>
      </c>
      <c r="C1647" s="6">
        <f>YEAR(E1647)</f>
        <v/>
      </c>
      <c r="D1647" s="6">
        <f>MONTH(E1647)</f>
        <v/>
      </c>
      <c r="E1647" s="267">
        <f>IFERROR(__xludf.DUMMYFUNCTION("""COMPUTED_VALUE"""),45491.6666666666)</f>
        <v/>
      </c>
      <c r="F1647" s="6">
        <f>IFERROR(__xludf.DUMMYFUNCTION("""COMPUTED_VALUE"""),5544.59)</f>
        <v/>
      </c>
      <c r="J1647" s="6">
        <f>K1647&amp;L1647</f>
        <v/>
      </c>
      <c r="K1647" s="6">
        <f>YEAR(M1647)</f>
        <v/>
      </c>
      <c r="L1647" s="6">
        <f>MONTH(M1647)</f>
        <v/>
      </c>
      <c r="M1647" s="267">
        <f>IFERROR(__xludf.DUMMYFUNCTION("""COMPUTED_VALUE"""),45483.6666666666)</f>
        <v/>
      </c>
      <c r="N1647" s="6">
        <f>IFERROR(__xludf.DUMMYFUNCTION("""COMPUTED_VALUE"""),18647.45)</f>
        <v/>
      </c>
      <c r="R1647" s="6">
        <f>S1647&amp;T1647</f>
        <v/>
      </c>
      <c r="S1647" s="6">
        <f>YEAR(U1647)</f>
        <v/>
      </c>
      <c r="T1647" s="6">
        <f>MONTH(U1647)</f>
        <v/>
      </c>
      <c r="U1647" s="267">
        <f>IFERROR(__xludf.DUMMYFUNCTION("""COMPUTED_VALUE"""),45545.6458333333)</f>
        <v/>
      </c>
      <c r="V1647" s="6">
        <f>IFERROR(__xludf.DUMMYFUNCTION("""COMPUTED_VALUE"""),2523.43)</f>
        <v/>
      </c>
      <c r="Z1647" s="6">
        <f>AA1647&amp;AB1647</f>
        <v/>
      </c>
      <c r="AA1647" s="6">
        <f>YEAR(AC1647)</f>
        <v/>
      </c>
      <c r="AB1647" s="6">
        <f>MONTH(AC1647)</f>
        <v/>
      </c>
      <c r="AC1647" s="267">
        <f>IFERROR(__xludf.DUMMYFUNCTION("""COMPUTED_VALUE"""),44796.9986111111)</f>
        <v/>
      </c>
      <c r="AD1647" s="6">
        <f>IFERROR(__xludf.DUMMYFUNCTION("""COMPUTED_VALUE"""),1339.08)</f>
        <v/>
      </c>
      <c r="AH1647" s="6">
        <f>AI1647&amp;AJ1647</f>
        <v/>
      </c>
      <c r="AI1647" s="6">
        <f>YEAR(AK1647)</f>
        <v/>
      </c>
      <c r="AJ1647" s="6">
        <f>MONTH(AK1647)</f>
        <v/>
      </c>
      <c r="AK1647" s="267">
        <f>IFERROR(__xludf.DUMMYFUNCTION("""COMPUTED_VALUE"""),44740.9986111111)</f>
        <v/>
      </c>
      <c r="AL1647" s="6">
        <f>IFERROR(__xludf.DUMMYFUNCTION("""COMPUTED_VALUE"""),20261.63)</f>
        <v/>
      </c>
      <c r="AP1647" s="6">
        <f>AQ1647&amp;AR1647</f>
        <v/>
      </c>
      <c r="AQ1647" s="6">
        <f>YEAR(AS1647)</f>
        <v/>
      </c>
      <c r="AR1647" s="6">
        <f>MONTH(AS1647)</f>
        <v/>
      </c>
      <c r="AS1647" s="267">
        <f>IFERROR(__xludf.DUMMYFUNCTION("""COMPUTED_VALUE"""),45498.9986111111)</f>
        <v/>
      </c>
      <c r="AT1647" s="6">
        <f>IFERROR(__xludf.DUMMYFUNCTION("""COMPUTED_VALUE"""),2399.9)</f>
        <v/>
      </c>
    </row>
    <row r="1648">
      <c r="B1648" s="6">
        <f>C1648&amp;D1648</f>
        <v/>
      </c>
      <c r="C1648" s="6">
        <f>YEAR(E1648)</f>
        <v/>
      </c>
      <c r="D1648" s="6">
        <f>MONTH(E1648)</f>
        <v/>
      </c>
      <c r="E1648" s="267">
        <f>IFERROR(__xludf.DUMMYFUNCTION("""COMPUTED_VALUE"""),45492.6666666666)</f>
        <v/>
      </c>
      <c r="F1648" s="6">
        <f>IFERROR(__xludf.DUMMYFUNCTION("""COMPUTED_VALUE"""),5505)</f>
        <v/>
      </c>
      <c r="J1648" s="6">
        <f>K1648&amp;L1648</f>
        <v/>
      </c>
      <c r="K1648" s="6">
        <f>YEAR(M1648)</f>
        <v/>
      </c>
      <c r="L1648" s="6">
        <f>MONTH(M1648)</f>
        <v/>
      </c>
      <c r="M1648" s="267">
        <f>IFERROR(__xludf.DUMMYFUNCTION("""COMPUTED_VALUE"""),45484.6666666666)</f>
        <v/>
      </c>
      <c r="N1648" s="6">
        <f>IFERROR(__xludf.DUMMYFUNCTION("""COMPUTED_VALUE"""),18283.41)</f>
        <v/>
      </c>
      <c r="R1648" s="6">
        <f>S1648&amp;T1648</f>
        <v/>
      </c>
      <c r="S1648" s="6">
        <f>YEAR(U1648)</f>
        <v/>
      </c>
      <c r="T1648" s="6">
        <f>MONTH(U1648)</f>
        <v/>
      </c>
      <c r="U1648" s="267">
        <f>IFERROR(__xludf.DUMMYFUNCTION("""COMPUTED_VALUE"""),45546.6458333333)</f>
        <v/>
      </c>
      <c r="V1648" s="6">
        <f>IFERROR(__xludf.DUMMYFUNCTION("""COMPUTED_VALUE"""),2513.37)</f>
        <v/>
      </c>
      <c r="Z1648" s="6">
        <f>AA1648&amp;AB1648</f>
        <v/>
      </c>
      <c r="AA1648" s="6">
        <f>YEAR(AC1648)</f>
        <v/>
      </c>
      <c r="AB1648" s="6">
        <f>MONTH(AC1648)</f>
        <v/>
      </c>
      <c r="AC1648" s="267">
        <f>IFERROR(__xludf.DUMMYFUNCTION("""COMPUTED_VALUE"""),44797.9986111111)</f>
        <v/>
      </c>
      <c r="AD1648" s="6">
        <f>IFERROR(__xludf.DUMMYFUNCTION("""COMPUTED_VALUE"""),1340)</f>
        <v/>
      </c>
      <c r="AH1648" s="6">
        <f>AI1648&amp;AJ1648</f>
        <v/>
      </c>
      <c r="AI1648" s="6">
        <f>YEAR(AK1648)</f>
        <v/>
      </c>
      <c r="AJ1648" s="6">
        <f>MONTH(AK1648)</f>
        <v/>
      </c>
      <c r="AK1648" s="267">
        <f>IFERROR(__xludf.DUMMYFUNCTION("""COMPUTED_VALUE"""),44741.9986111111)</f>
        <v/>
      </c>
      <c r="AL1648" s="6">
        <f>IFERROR(__xludf.DUMMYFUNCTION("""COMPUTED_VALUE"""),20097.49)</f>
        <v/>
      </c>
      <c r="AP1648" s="6">
        <f>AQ1648&amp;AR1648</f>
        <v/>
      </c>
      <c r="AQ1648" s="6">
        <f>YEAR(AS1648)</f>
        <v/>
      </c>
      <c r="AR1648" s="6">
        <f>MONTH(AS1648)</f>
        <v/>
      </c>
      <c r="AS1648" s="267">
        <f>IFERROR(__xludf.DUMMYFUNCTION("""COMPUTED_VALUE"""),45499.9986111111)</f>
        <v/>
      </c>
      <c r="AT1648" s="6">
        <f>IFERROR(__xludf.DUMMYFUNCTION("""COMPUTED_VALUE"""),2427.9)</f>
        <v/>
      </c>
    </row>
    <row r="1649">
      <c r="B1649" s="6">
        <f>C1649&amp;D1649</f>
        <v/>
      </c>
      <c r="C1649" s="6">
        <f>YEAR(E1649)</f>
        <v/>
      </c>
      <c r="D1649" s="6">
        <f>MONTH(E1649)</f>
        <v/>
      </c>
      <c r="E1649" s="267">
        <f>IFERROR(__xludf.DUMMYFUNCTION("""COMPUTED_VALUE"""),45495.6666666666)</f>
        <v/>
      </c>
      <c r="F1649" s="6">
        <f>IFERROR(__xludf.DUMMYFUNCTION("""COMPUTED_VALUE"""),5564.41)</f>
        <v/>
      </c>
      <c r="J1649" s="6">
        <f>K1649&amp;L1649</f>
        <v/>
      </c>
      <c r="K1649" s="6">
        <f>YEAR(M1649)</f>
        <v/>
      </c>
      <c r="L1649" s="6">
        <f>MONTH(M1649)</f>
        <v/>
      </c>
      <c r="M1649" s="267">
        <f>IFERROR(__xludf.DUMMYFUNCTION("""COMPUTED_VALUE"""),45485.6666666666)</f>
        <v/>
      </c>
      <c r="N1649" s="6">
        <f>IFERROR(__xludf.DUMMYFUNCTION("""COMPUTED_VALUE"""),18398.45)</f>
        <v/>
      </c>
      <c r="R1649" s="6">
        <f>S1649&amp;T1649</f>
        <v/>
      </c>
      <c r="S1649" s="6">
        <f>YEAR(U1649)</f>
        <v/>
      </c>
      <c r="T1649" s="6">
        <f>MONTH(U1649)</f>
        <v/>
      </c>
      <c r="U1649" s="267">
        <f>IFERROR(__xludf.DUMMYFUNCTION("""COMPUTED_VALUE"""),45547.6458333333)</f>
        <v/>
      </c>
      <c r="V1649" s="6">
        <f>IFERROR(__xludf.DUMMYFUNCTION("""COMPUTED_VALUE"""),2572.09)</f>
        <v/>
      </c>
      <c r="Z1649" s="6">
        <f>AA1649&amp;AB1649</f>
        <v/>
      </c>
      <c r="AA1649" s="6">
        <f>YEAR(AC1649)</f>
        <v/>
      </c>
      <c r="AB1649" s="6">
        <f>MONTH(AC1649)</f>
        <v/>
      </c>
      <c r="AC1649" s="267">
        <f>IFERROR(__xludf.DUMMYFUNCTION("""COMPUTED_VALUE"""),44798.9986111111)</f>
        <v/>
      </c>
      <c r="AD1649" s="6">
        <f>IFERROR(__xludf.DUMMYFUNCTION("""COMPUTED_VALUE"""),1334.44)</f>
        <v/>
      </c>
      <c r="AH1649" s="6">
        <f>AI1649&amp;AJ1649</f>
        <v/>
      </c>
      <c r="AI1649" s="6">
        <f>YEAR(AK1649)</f>
        <v/>
      </c>
      <c r="AJ1649" s="6">
        <f>MONTH(AK1649)</f>
        <v/>
      </c>
      <c r="AK1649" s="267">
        <f>IFERROR(__xludf.DUMMYFUNCTION("""COMPUTED_VALUE"""),44742.9986111111)</f>
        <v/>
      </c>
      <c r="AL1649" s="6">
        <f>IFERROR(__xludf.DUMMYFUNCTION("""COMPUTED_VALUE"""),19913.14)</f>
        <v/>
      </c>
      <c r="AP1649" s="6">
        <f>AQ1649&amp;AR1649</f>
        <v/>
      </c>
      <c r="AQ1649" s="6">
        <f>YEAR(AS1649)</f>
        <v/>
      </c>
      <c r="AR1649" s="6">
        <f>MONTH(AS1649)</f>
        <v/>
      </c>
      <c r="AS1649" s="267">
        <f>IFERROR(__xludf.DUMMYFUNCTION("""COMPUTED_VALUE"""),45502.9986111111)</f>
        <v/>
      </c>
      <c r="AT1649" s="6">
        <f>IFERROR(__xludf.DUMMYFUNCTION("""COMPUTED_VALUE"""),2425.5)</f>
        <v/>
      </c>
    </row>
    <row r="1650">
      <c r="B1650" s="6">
        <f>C1650&amp;D1650</f>
        <v/>
      </c>
      <c r="C1650" s="6">
        <f>YEAR(E1650)</f>
        <v/>
      </c>
      <c r="D1650" s="6">
        <f>MONTH(E1650)</f>
        <v/>
      </c>
      <c r="E1650" s="267">
        <f>IFERROR(__xludf.DUMMYFUNCTION("""COMPUTED_VALUE"""),45496.6666666666)</f>
        <v/>
      </c>
      <c r="F1650" s="6">
        <f>IFERROR(__xludf.DUMMYFUNCTION("""COMPUTED_VALUE"""),5555.74)</f>
        <v/>
      </c>
      <c r="J1650" s="6">
        <f>K1650&amp;L1650</f>
        <v/>
      </c>
      <c r="K1650" s="6">
        <f>YEAR(M1650)</f>
        <v/>
      </c>
      <c r="L1650" s="6">
        <f>MONTH(M1650)</f>
        <v/>
      </c>
      <c r="M1650" s="267">
        <f>IFERROR(__xludf.DUMMYFUNCTION("""COMPUTED_VALUE"""),45488.6666666666)</f>
        <v/>
      </c>
      <c r="N1650" s="6">
        <f>IFERROR(__xludf.DUMMYFUNCTION("""COMPUTED_VALUE"""),18472.57)</f>
        <v/>
      </c>
      <c r="R1650" s="6">
        <f>S1650&amp;T1650</f>
        <v/>
      </c>
      <c r="S1650" s="6">
        <f>YEAR(U1650)</f>
        <v/>
      </c>
      <c r="T1650" s="6">
        <f>MONTH(U1650)</f>
        <v/>
      </c>
      <c r="U1650" s="267">
        <f>IFERROR(__xludf.DUMMYFUNCTION("""COMPUTED_VALUE"""),45548.6458333333)</f>
        <v/>
      </c>
      <c r="V1650" s="6">
        <f>IFERROR(__xludf.DUMMYFUNCTION("""COMPUTED_VALUE"""),2575.41)</f>
        <v/>
      </c>
      <c r="Z1650" s="6">
        <f>AA1650&amp;AB1650</f>
        <v/>
      </c>
      <c r="AA1650" s="6">
        <f>YEAR(AC1650)</f>
        <v/>
      </c>
      <c r="AB1650" s="6">
        <f>MONTH(AC1650)</f>
        <v/>
      </c>
      <c r="AC1650" s="267">
        <f>IFERROR(__xludf.DUMMYFUNCTION("""COMPUTED_VALUE"""),44799.9986111111)</f>
        <v/>
      </c>
      <c r="AD1650" s="6">
        <f>IFERROR(__xludf.DUMMYFUNCTION("""COMPUTED_VALUE"""),1341.82)</f>
        <v/>
      </c>
      <c r="AH1650" s="6">
        <f>AI1650&amp;AJ1650</f>
        <v/>
      </c>
      <c r="AI1650" s="6">
        <f>YEAR(AK1650)</f>
        <v/>
      </c>
      <c r="AJ1650" s="6">
        <f>MONTH(AK1650)</f>
        <v/>
      </c>
      <c r="AK1650" s="267">
        <f>IFERROR(__xludf.DUMMYFUNCTION("""COMPUTED_VALUE"""),44743.9986111111)</f>
        <v/>
      </c>
      <c r="AL1650" s="6">
        <f>IFERROR(__xludf.DUMMYFUNCTION("""COMPUTED_VALUE"""),19249.26)</f>
        <v/>
      </c>
      <c r="AP1650" s="6">
        <f>AQ1650&amp;AR1650</f>
        <v/>
      </c>
      <c r="AQ1650" s="6">
        <f>YEAR(AS1650)</f>
        <v/>
      </c>
      <c r="AR1650" s="6">
        <f>MONTH(AS1650)</f>
        <v/>
      </c>
      <c r="AS1650" s="267">
        <f>IFERROR(__xludf.DUMMYFUNCTION("""COMPUTED_VALUE"""),45503.9986111111)</f>
        <v/>
      </c>
      <c r="AT1650" s="6">
        <f>IFERROR(__xludf.DUMMYFUNCTION("""COMPUTED_VALUE"""),2451.9)</f>
        <v/>
      </c>
    </row>
    <row r="1651">
      <c r="B1651" s="6">
        <f>C1651&amp;D1651</f>
        <v/>
      </c>
      <c r="C1651" s="6">
        <f>YEAR(E1651)</f>
        <v/>
      </c>
      <c r="D1651" s="6">
        <f>MONTH(E1651)</f>
        <v/>
      </c>
      <c r="E1651" s="267">
        <f>IFERROR(__xludf.DUMMYFUNCTION("""COMPUTED_VALUE"""),45497.6666666666)</f>
        <v/>
      </c>
      <c r="F1651" s="6">
        <f>IFERROR(__xludf.DUMMYFUNCTION("""COMPUTED_VALUE"""),5427.13)</f>
        <v/>
      </c>
      <c r="J1651" s="6">
        <f>K1651&amp;L1651</f>
        <v/>
      </c>
      <c r="K1651" s="6">
        <f>YEAR(M1651)</f>
        <v/>
      </c>
      <c r="L1651" s="6">
        <f>MONTH(M1651)</f>
        <v/>
      </c>
      <c r="M1651" s="267">
        <f>IFERROR(__xludf.DUMMYFUNCTION("""COMPUTED_VALUE"""),45489.6666666666)</f>
        <v/>
      </c>
      <c r="N1651" s="6">
        <f>IFERROR(__xludf.DUMMYFUNCTION("""COMPUTED_VALUE"""),18509.34)</f>
        <v/>
      </c>
      <c r="R1651" s="6">
        <f>S1651&amp;T1651</f>
        <v/>
      </c>
      <c r="S1651" s="6">
        <f>YEAR(U1651)</f>
        <v/>
      </c>
      <c r="T1651" s="6">
        <f>MONTH(U1651)</f>
        <v/>
      </c>
      <c r="U1651" s="267">
        <f>IFERROR(__xludf.DUMMYFUNCTION("""COMPUTED_VALUE"""),45554.6458333333)</f>
        <v/>
      </c>
      <c r="V1651" s="6">
        <f>IFERROR(__xludf.DUMMYFUNCTION("""COMPUTED_VALUE"""),2580.8)</f>
        <v/>
      </c>
      <c r="Z1651" s="6">
        <f>AA1651&amp;AB1651</f>
        <v/>
      </c>
      <c r="AA1651" s="6">
        <f>YEAR(AC1651)</f>
        <v/>
      </c>
      <c r="AB1651" s="6">
        <f>MONTH(AC1651)</f>
        <v/>
      </c>
      <c r="AC1651" s="267">
        <f>IFERROR(__xludf.DUMMYFUNCTION("""COMPUTED_VALUE"""),44800.9986111111)</f>
        <v/>
      </c>
      <c r="AD1651" s="6">
        <f>IFERROR(__xludf.DUMMYFUNCTION("""COMPUTED_VALUE"""),1341.72)</f>
        <v/>
      </c>
      <c r="AH1651" s="6">
        <f>AI1651&amp;AJ1651</f>
        <v/>
      </c>
      <c r="AI1651" s="6">
        <f>YEAR(AK1651)</f>
        <v/>
      </c>
      <c r="AJ1651" s="6">
        <f>MONTH(AK1651)</f>
        <v/>
      </c>
      <c r="AK1651" s="267">
        <f>IFERROR(__xludf.DUMMYFUNCTION("""COMPUTED_VALUE"""),44744.9986111111)</f>
        <v/>
      </c>
      <c r="AL1651" s="6">
        <f>IFERROR(__xludf.DUMMYFUNCTION("""COMPUTED_VALUE"""),19228.16)</f>
        <v/>
      </c>
      <c r="AP1651" s="6">
        <f>AQ1651&amp;AR1651</f>
        <v/>
      </c>
      <c r="AQ1651" s="6">
        <f>YEAR(AS1651)</f>
        <v/>
      </c>
      <c r="AR1651" s="6">
        <f>MONTH(AS1651)</f>
        <v/>
      </c>
      <c r="AS1651" s="267">
        <f>IFERROR(__xludf.DUMMYFUNCTION("""COMPUTED_VALUE"""),45504.9986111111)</f>
        <v/>
      </c>
      <c r="AT1651" s="6">
        <f>IFERROR(__xludf.DUMMYFUNCTION("""COMPUTED_VALUE"""),2473)</f>
        <v/>
      </c>
    </row>
    <row r="1652">
      <c r="B1652" s="6">
        <f>C1652&amp;D1652</f>
        <v/>
      </c>
      <c r="C1652" s="6">
        <f>YEAR(E1652)</f>
        <v/>
      </c>
      <c r="D1652" s="6">
        <f>MONTH(E1652)</f>
        <v/>
      </c>
      <c r="E1652" s="267">
        <f>IFERROR(__xludf.DUMMYFUNCTION("""COMPUTED_VALUE"""),45498.6666666666)</f>
        <v/>
      </c>
      <c r="F1652" s="6">
        <f>IFERROR(__xludf.DUMMYFUNCTION("""COMPUTED_VALUE"""),5399.22)</f>
        <v/>
      </c>
      <c r="J1652" s="6">
        <f>K1652&amp;L1652</f>
        <v/>
      </c>
      <c r="K1652" s="6">
        <f>YEAR(M1652)</f>
        <v/>
      </c>
      <c r="L1652" s="6">
        <f>MONTH(M1652)</f>
        <v/>
      </c>
      <c r="M1652" s="267">
        <f>IFERROR(__xludf.DUMMYFUNCTION("""COMPUTED_VALUE"""),45490.6666666666)</f>
        <v/>
      </c>
      <c r="N1652" s="6">
        <f>IFERROR(__xludf.DUMMYFUNCTION("""COMPUTED_VALUE"""),17996.93)</f>
        <v/>
      </c>
      <c r="R1652" s="6">
        <f>S1652&amp;T1652</f>
        <v/>
      </c>
      <c r="S1652" s="6">
        <f>YEAR(U1652)</f>
        <v/>
      </c>
      <c r="T1652" s="6">
        <f>MONTH(U1652)</f>
        <v/>
      </c>
      <c r="U1652" s="267">
        <f>IFERROR(__xludf.DUMMYFUNCTION("""COMPUTED_VALUE"""),45555.6458333333)</f>
        <v/>
      </c>
      <c r="V1652" s="6">
        <f>IFERROR(__xludf.DUMMYFUNCTION("""COMPUTED_VALUE"""),2593.37)</f>
        <v/>
      </c>
      <c r="Z1652" s="6">
        <f>AA1652&amp;AB1652</f>
        <v/>
      </c>
      <c r="AA1652" s="6">
        <f>YEAR(AC1652)</f>
        <v/>
      </c>
      <c r="AB1652" s="6">
        <f>MONTH(AC1652)</f>
        <v/>
      </c>
      <c r="AC1652" s="267">
        <f>IFERROR(__xludf.DUMMYFUNCTION("""COMPUTED_VALUE"""),44801.9986111111)</f>
        <v/>
      </c>
      <c r="AD1652" s="6">
        <f>IFERROR(__xludf.DUMMYFUNCTION("""COMPUTED_VALUE"""),1341.18)</f>
        <v/>
      </c>
      <c r="AH1652" s="6">
        <f>AI1652&amp;AJ1652</f>
        <v/>
      </c>
      <c r="AI1652" s="6">
        <f>YEAR(AK1652)</f>
        <v/>
      </c>
      <c r="AJ1652" s="6">
        <f>MONTH(AK1652)</f>
        <v/>
      </c>
      <c r="AK1652" s="267">
        <f>IFERROR(__xludf.DUMMYFUNCTION("""COMPUTED_VALUE"""),44745.9986111111)</f>
        <v/>
      </c>
      <c r="AL1652" s="6">
        <f>IFERROR(__xludf.DUMMYFUNCTION("""COMPUTED_VALUE"""),19296.46)</f>
        <v/>
      </c>
      <c r="AP1652" s="6">
        <f>AQ1652&amp;AR1652</f>
        <v/>
      </c>
      <c r="AQ1652" s="6">
        <f>YEAR(AS1652)</f>
        <v/>
      </c>
      <c r="AR1652" s="6">
        <f>MONTH(AS1652)</f>
        <v/>
      </c>
      <c r="AS1652" s="267">
        <f>IFERROR(__xludf.DUMMYFUNCTION("""COMPUTED_VALUE"""),45505.9986111111)</f>
        <v/>
      </c>
      <c r="AT1652" s="6">
        <f>IFERROR(__xludf.DUMMYFUNCTION("""COMPUTED_VALUE"""),2480.8)</f>
        <v/>
      </c>
    </row>
    <row r="1653">
      <c r="B1653" s="6">
        <f>C1653&amp;D1653</f>
        <v/>
      </c>
      <c r="C1653" s="6">
        <f>YEAR(E1653)</f>
        <v/>
      </c>
      <c r="D1653" s="6">
        <f>MONTH(E1653)</f>
        <v/>
      </c>
      <c r="E1653" s="267">
        <f>IFERROR(__xludf.DUMMYFUNCTION("""COMPUTED_VALUE"""),45499.6666666666)</f>
        <v/>
      </c>
      <c r="F1653" s="6">
        <f>IFERROR(__xludf.DUMMYFUNCTION("""COMPUTED_VALUE"""),5459.1)</f>
        <v/>
      </c>
      <c r="J1653" s="6">
        <f>K1653&amp;L1653</f>
        <v/>
      </c>
      <c r="K1653" s="6">
        <f>YEAR(M1653)</f>
        <v/>
      </c>
      <c r="L1653" s="6">
        <f>MONTH(M1653)</f>
        <v/>
      </c>
      <c r="M1653" s="267">
        <f>IFERROR(__xludf.DUMMYFUNCTION("""COMPUTED_VALUE"""),45491.6666666666)</f>
        <v/>
      </c>
      <c r="N1653" s="6">
        <f>IFERROR(__xludf.DUMMYFUNCTION("""COMPUTED_VALUE"""),17871.22)</f>
        <v/>
      </c>
      <c r="R1653" s="6">
        <f>S1653&amp;T1653</f>
        <v/>
      </c>
      <c r="S1653" s="6">
        <f>YEAR(U1653)</f>
        <v/>
      </c>
      <c r="T1653" s="6">
        <f>MONTH(U1653)</f>
        <v/>
      </c>
      <c r="U1653" s="267">
        <f>IFERROR(__xludf.DUMMYFUNCTION("""COMPUTED_VALUE"""),45558.6458333333)</f>
        <v/>
      </c>
      <c r="V1653" s="6">
        <f>IFERROR(__xludf.DUMMYFUNCTION("""COMPUTED_VALUE"""),2602.01)</f>
        <v/>
      </c>
      <c r="Z1653" s="6">
        <f>AA1653&amp;AB1653</f>
        <v/>
      </c>
      <c r="AA1653" s="6">
        <f>YEAR(AC1653)</f>
        <v/>
      </c>
      <c r="AB1653" s="6">
        <f>MONTH(AC1653)</f>
        <v/>
      </c>
      <c r="AC1653" s="267">
        <f>IFERROR(__xludf.DUMMYFUNCTION("""COMPUTED_VALUE"""),44802.9986111111)</f>
        <v/>
      </c>
      <c r="AD1653" s="6">
        <f>IFERROR(__xludf.DUMMYFUNCTION("""COMPUTED_VALUE"""),1345.73)</f>
        <v/>
      </c>
      <c r="AH1653" s="6">
        <f>AI1653&amp;AJ1653</f>
        <v/>
      </c>
      <c r="AI1653" s="6">
        <f>YEAR(AK1653)</f>
        <v/>
      </c>
      <c r="AJ1653" s="6">
        <f>MONTH(AK1653)</f>
        <v/>
      </c>
      <c r="AK1653" s="267">
        <f>IFERROR(__xludf.DUMMYFUNCTION("""COMPUTED_VALUE"""),44746.9986111111)</f>
        <v/>
      </c>
      <c r="AL1653" s="6">
        <f>IFERROR(__xludf.DUMMYFUNCTION("""COMPUTED_VALUE"""),20212.47)</f>
        <v/>
      </c>
      <c r="AP1653" s="6">
        <f>AQ1653&amp;AR1653</f>
        <v/>
      </c>
      <c r="AQ1653" s="6">
        <f>YEAR(AS1653)</f>
        <v/>
      </c>
      <c r="AR1653" s="6">
        <f>MONTH(AS1653)</f>
        <v/>
      </c>
      <c r="AS1653" s="267">
        <f>IFERROR(__xludf.DUMMYFUNCTION("""COMPUTED_VALUE"""),45506.9986111111)</f>
        <v/>
      </c>
      <c r="AT1653" s="6">
        <f>IFERROR(__xludf.DUMMYFUNCTION("""COMPUTED_VALUE"""),2469.8)</f>
        <v/>
      </c>
    </row>
    <row r="1654">
      <c r="B1654" s="6">
        <f>C1654&amp;D1654</f>
        <v/>
      </c>
      <c r="C1654" s="6">
        <f>YEAR(E1654)</f>
        <v/>
      </c>
      <c r="D1654" s="6">
        <f>MONTH(E1654)</f>
        <v/>
      </c>
      <c r="E1654" s="267">
        <f>IFERROR(__xludf.DUMMYFUNCTION("""COMPUTED_VALUE"""),45502.6666666666)</f>
        <v/>
      </c>
      <c r="F1654" s="6">
        <f>IFERROR(__xludf.DUMMYFUNCTION("""COMPUTED_VALUE"""),5463.54)</f>
        <v/>
      </c>
      <c r="J1654" s="6">
        <f>K1654&amp;L1654</f>
        <v/>
      </c>
      <c r="K1654" s="6">
        <f>YEAR(M1654)</f>
        <v/>
      </c>
      <c r="L1654" s="6">
        <f>MONTH(M1654)</f>
        <v/>
      </c>
      <c r="M1654" s="267">
        <f>IFERROR(__xludf.DUMMYFUNCTION("""COMPUTED_VALUE"""),45492.6666666666)</f>
        <v/>
      </c>
      <c r="N1654" s="6">
        <f>IFERROR(__xludf.DUMMYFUNCTION("""COMPUTED_VALUE"""),17726.94)</f>
        <v/>
      </c>
      <c r="R1654" s="6">
        <f>S1654&amp;T1654</f>
        <v/>
      </c>
      <c r="S1654" s="6">
        <f>YEAR(U1654)</f>
        <v/>
      </c>
      <c r="T1654" s="6">
        <f>MONTH(U1654)</f>
        <v/>
      </c>
      <c r="U1654" s="267">
        <f>IFERROR(__xludf.DUMMYFUNCTION("""COMPUTED_VALUE"""),45559.6458333333)</f>
        <v/>
      </c>
      <c r="V1654" s="6">
        <f>IFERROR(__xludf.DUMMYFUNCTION("""COMPUTED_VALUE"""),2631.68)</f>
        <v/>
      </c>
      <c r="Z1654" s="6">
        <f>AA1654&amp;AB1654</f>
        <v/>
      </c>
      <c r="AA1654" s="6">
        <f>YEAR(AC1654)</f>
        <v/>
      </c>
      <c r="AB1654" s="6">
        <f>MONTH(AC1654)</f>
        <v/>
      </c>
      <c r="AC1654" s="267">
        <f>IFERROR(__xludf.DUMMYFUNCTION("""COMPUTED_VALUE"""),44803.9986111111)</f>
        <v/>
      </c>
      <c r="AD1654" s="6">
        <f>IFERROR(__xludf.DUMMYFUNCTION("""COMPUTED_VALUE"""),1350.19)</f>
        <v/>
      </c>
      <c r="AH1654" s="6">
        <f>AI1654&amp;AJ1654</f>
        <v/>
      </c>
      <c r="AI1654" s="6">
        <f>YEAR(AK1654)</f>
        <v/>
      </c>
      <c r="AJ1654" s="6">
        <f>MONTH(AK1654)</f>
        <v/>
      </c>
      <c r="AK1654" s="267">
        <f>IFERROR(__xludf.DUMMYFUNCTION("""COMPUTED_VALUE"""),44747.9986111111)</f>
        <v/>
      </c>
      <c r="AL1654" s="6">
        <f>IFERROR(__xludf.DUMMYFUNCTION("""COMPUTED_VALUE"""),20175)</f>
        <v/>
      </c>
      <c r="AP1654" s="6">
        <f>AQ1654&amp;AR1654</f>
        <v/>
      </c>
      <c r="AQ1654" s="6">
        <f>YEAR(AS1654)</f>
        <v/>
      </c>
      <c r="AR1654" s="6">
        <f>MONTH(AS1654)</f>
        <v/>
      </c>
      <c r="AS1654" s="267">
        <f>IFERROR(__xludf.DUMMYFUNCTION("""COMPUTED_VALUE"""),45509.9986111111)</f>
        <v/>
      </c>
      <c r="AT1654" s="6">
        <f>IFERROR(__xludf.DUMMYFUNCTION("""COMPUTED_VALUE"""),2444.4)</f>
        <v/>
      </c>
    </row>
    <row r="1655">
      <c r="B1655" s="6">
        <f>C1655&amp;D1655</f>
        <v/>
      </c>
      <c r="C1655" s="6">
        <f>YEAR(E1655)</f>
        <v/>
      </c>
      <c r="D1655" s="6">
        <f>MONTH(E1655)</f>
        <v/>
      </c>
      <c r="E1655" s="267">
        <f>IFERROR(__xludf.DUMMYFUNCTION("""COMPUTED_VALUE"""),45503.6666666666)</f>
        <v/>
      </c>
      <c r="F1655" s="6">
        <f>IFERROR(__xludf.DUMMYFUNCTION("""COMPUTED_VALUE"""),5436.44)</f>
        <v/>
      </c>
      <c r="J1655" s="6">
        <f>K1655&amp;L1655</f>
        <v/>
      </c>
      <c r="K1655" s="6">
        <f>YEAR(M1655)</f>
        <v/>
      </c>
      <c r="L1655" s="6">
        <f>MONTH(M1655)</f>
        <v/>
      </c>
      <c r="M1655" s="267">
        <f>IFERROR(__xludf.DUMMYFUNCTION("""COMPUTED_VALUE"""),45495.6666666666)</f>
        <v/>
      </c>
      <c r="N1655" s="6">
        <f>IFERROR(__xludf.DUMMYFUNCTION("""COMPUTED_VALUE"""),18007.57)</f>
        <v/>
      </c>
      <c r="R1655" s="6">
        <f>S1655&amp;T1655</f>
        <v/>
      </c>
      <c r="S1655" s="6">
        <f>YEAR(U1655)</f>
        <v/>
      </c>
      <c r="T1655" s="6">
        <f>MONTH(U1655)</f>
        <v/>
      </c>
      <c r="U1655" s="267">
        <f>IFERROR(__xludf.DUMMYFUNCTION("""COMPUTED_VALUE"""),45560.6458333333)</f>
        <v/>
      </c>
      <c r="V1655" s="6">
        <f>IFERROR(__xludf.DUMMYFUNCTION("""COMPUTED_VALUE"""),2596.32)</f>
        <v/>
      </c>
      <c r="Z1655" s="6">
        <f>AA1655&amp;AB1655</f>
        <v/>
      </c>
      <c r="AA1655" s="6">
        <f>YEAR(AC1655)</f>
        <v/>
      </c>
      <c r="AB1655" s="6">
        <f>MONTH(AC1655)</f>
        <v/>
      </c>
      <c r="AC1655" s="267">
        <f>IFERROR(__xludf.DUMMYFUNCTION("""COMPUTED_VALUE"""),44804.9986111111)</f>
        <v/>
      </c>
      <c r="AD1655" s="6">
        <f>IFERROR(__xludf.DUMMYFUNCTION("""COMPUTED_VALUE"""),1342.26)</f>
        <v/>
      </c>
      <c r="AH1655" s="6">
        <f>AI1655&amp;AJ1655</f>
        <v/>
      </c>
      <c r="AI1655" s="6">
        <f>YEAR(AK1655)</f>
        <v/>
      </c>
      <c r="AJ1655" s="6">
        <f>MONTH(AK1655)</f>
        <v/>
      </c>
      <c r="AK1655" s="267">
        <f>IFERROR(__xludf.DUMMYFUNCTION("""COMPUTED_VALUE"""),44748.9986111111)</f>
        <v/>
      </c>
      <c r="AL1655" s="6">
        <f>IFERROR(__xludf.DUMMYFUNCTION("""COMPUTED_VALUE"""),20548.82)</f>
        <v/>
      </c>
      <c r="AP1655" s="6">
        <f>AQ1655&amp;AR1655</f>
        <v/>
      </c>
      <c r="AQ1655" s="6">
        <f>YEAR(AS1655)</f>
        <v/>
      </c>
      <c r="AR1655" s="6">
        <f>MONTH(AS1655)</f>
        <v/>
      </c>
      <c r="AS1655" s="267">
        <f>IFERROR(__xludf.DUMMYFUNCTION("""COMPUTED_VALUE"""),45510.9986111111)</f>
        <v/>
      </c>
      <c r="AT1655" s="6">
        <f>IFERROR(__xludf.DUMMYFUNCTION("""COMPUTED_VALUE"""),2431.6)</f>
        <v/>
      </c>
    </row>
    <row r="1656">
      <c r="B1656" s="6">
        <f>C1656&amp;D1656</f>
        <v/>
      </c>
      <c r="C1656" s="6">
        <f>YEAR(E1656)</f>
        <v/>
      </c>
      <c r="D1656" s="6">
        <f>MONTH(E1656)</f>
        <v/>
      </c>
      <c r="E1656" s="267">
        <f>IFERROR(__xludf.DUMMYFUNCTION("""COMPUTED_VALUE"""),45504.6666666666)</f>
        <v/>
      </c>
      <c r="F1656" s="6">
        <f>IFERROR(__xludf.DUMMYFUNCTION("""COMPUTED_VALUE"""),5522.3)</f>
        <v/>
      </c>
      <c r="J1656" s="6">
        <f>K1656&amp;L1656</f>
        <v/>
      </c>
      <c r="K1656" s="6">
        <f>YEAR(M1656)</f>
        <v/>
      </c>
      <c r="L1656" s="6">
        <f>MONTH(M1656)</f>
        <v/>
      </c>
      <c r="M1656" s="267">
        <f>IFERROR(__xludf.DUMMYFUNCTION("""COMPUTED_VALUE"""),45496.6666666666)</f>
        <v/>
      </c>
      <c r="N1656" s="6">
        <f>IFERROR(__xludf.DUMMYFUNCTION("""COMPUTED_VALUE"""),17997.35)</f>
        <v/>
      </c>
      <c r="R1656" s="6">
        <f>S1656&amp;T1656</f>
        <v/>
      </c>
      <c r="S1656" s="6">
        <f>YEAR(U1656)</f>
        <v/>
      </c>
      <c r="T1656" s="6">
        <f>MONTH(U1656)</f>
        <v/>
      </c>
      <c r="U1656" s="267">
        <f>IFERROR(__xludf.DUMMYFUNCTION("""COMPUTED_VALUE"""),45561.6458333333)</f>
        <v/>
      </c>
      <c r="V1656" s="6">
        <f>IFERROR(__xludf.DUMMYFUNCTION("""COMPUTED_VALUE"""),2671.57)</f>
        <v/>
      </c>
      <c r="Z1656" s="6">
        <f>AA1656&amp;AB1656</f>
        <v/>
      </c>
      <c r="AA1656" s="6">
        <f>YEAR(AC1656)</f>
        <v/>
      </c>
      <c r="AB1656" s="6">
        <f>MONTH(AC1656)</f>
        <v/>
      </c>
      <c r="AC1656" s="267">
        <f>IFERROR(__xludf.DUMMYFUNCTION("""COMPUTED_VALUE"""),44805.9986111111)</f>
        <v/>
      </c>
      <c r="AD1656" s="6">
        <f>IFERROR(__xludf.DUMMYFUNCTION("""COMPUTED_VALUE"""),1355.1)</f>
        <v/>
      </c>
      <c r="AH1656" s="6">
        <f>AI1656&amp;AJ1656</f>
        <v/>
      </c>
      <c r="AI1656" s="6">
        <f>YEAR(AK1656)</f>
        <v/>
      </c>
      <c r="AJ1656" s="6">
        <f>MONTH(AK1656)</f>
        <v/>
      </c>
      <c r="AK1656" s="267">
        <f>IFERROR(__xludf.DUMMYFUNCTION("""COMPUTED_VALUE"""),44749.9986111111)</f>
        <v/>
      </c>
      <c r="AL1656" s="6">
        <f>IFERROR(__xludf.DUMMYFUNCTION("""COMPUTED_VALUE"""),21631.71)</f>
        <v/>
      </c>
      <c r="AP1656" s="6">
        <f>AQ1656&amp;AR1656</f>
        <v/>
      </c>
      <c r="AQ1656" s="6">
        <f>YEAR(AS1656)</f>
        <v/>
      </c>
      <c r="AR1656" s="6">
        <f>MONTH(AS1656)</f>
        <v/>
      </c>
      <c r="AS1656" s="267">
        <f>IFERROR(__xludf.DUMMYFUNCTION("""COMPUTED_VALUE"""),45511.9986111111)</f>
        <v/>
      </c>
      <c r="AT1656" s="6">
        <f>IFERROR(__xludf.DUMMYFUNCTION("""COMPUTED_VALUE"""),2432.4)</f>
        <v/>
      </c>
    </row>
    <row r="1657">
      <c r="B1657" s="6">
        <f>C1657&amp;D1657</f>
        <v/>
      </c>
      <c r="C1657" s="6">
        <f>YEAR(E1657)</f>
        <v/>
      </c>
      <c r="D1657" s="6">
        <f>MONTH(E1657)</f>
        <v/>
      </c>
      <c r="E1657" s="267">
        <f>IFERROR(__xludf.DUMMYFUNCTION("""COMPUTED_VALUE"""),45505.6666666666)</f>
        <v/>
      </c>
      <c r="F1657" s="6">
        <f>IFERROR(__xludf.DUMMYFUNCTION("""COMPUTED_VALUE"""),5446.68)</f>
        <v/>
      </c>
      <c r="J1657" s="6">
        <f>K1657&amp;L1657</f>
        <v/>
      </c>
      <c r="K1657" s="6">
        <f>YEAR(M1657)</f>
        <v/>
      </c>
      <c r="L1657" s="6">
        <f>MONTH(M1657)</f>
        <v/>
      </c>
      <c r="M1657" s="267">
        <f>IFERROR(__xludf.DUMMYFUNCTION("""COMPUTED_VALUE"""),45497.6666666666)</f>
        <v/>
      </c>
      <c r="N1657" s="6">
        <f>IFERROR(__xludf.DUMMYFUNCTION("""COMPUTED_VALUE"""),17342.41)</f>
        <v/>
      </c>
      <c r="R1657" s="6">
        <f>S1657&amp;T1657</f>
        <v/>
      </c>
      <c r="S1657" s="6">
        <f>YEAR(U1657)</f>
        <v/>
      </c>
      <c r="T1657" s="6">
        <f>MONTH(U1657)</f>
        <v/>
      </c>
      <c r="U1657" s="267">
        <f>IFERROR(__xludf.DUMMYFUNCTION("""COMPUTED_VALUE"""),45562.6458333333)</f>
        <v/>
      </c>
      <c r="V1657" s="6">
        <f>IFERROR(__xludf.DUMMYFUNCTION("""COMPUTED_VALUE"""),2649.78)</f>
        <v/>
      </c>
      <c r="Z1657" s="6">
        <f>AA1657&amp;AB1657</f>
        <v/>
      </c>
      <c r="AA1657" s="6">
        <f>YEAR(AC1657)</f>
        <v/>
      </c>
      <c r="AB1657" s="6">
        <f>MONTH(AC1657)</f>
        <v/>
      </c>
      <c r="AC1657" s="267">
        <f>IFERROR(__xludf.DUMMYFUNCTION("""COMPUTED_VALUE"""),44806.9986111111)</f>
        <v/>
      </c>
      <c r="AD1657" s="6">
        <f>IFERROR(__xludf.DUMMYFUNCTION("""COMPUTED_VALUE"""),1360.91)</f>
        <v/>
      </c>
      <c r="AH1657" s="6">
        <f>AI1657&amp;AJ1657</f>
        <v/>
      </c>
      <c r="AI1657" s="6">
        <f>YEAR(AK1657)</f>
        <v/>
      </c>
      <c r="AJ1657" s="6">
        <f>MONTH(AK1657)</f>
        <v/>
      </c>
      <c r="AK1657" s="267">
        <f>IFERROR(__xludf.DUMMYFUNCTION("""COMPUTED_VALUE"""),44750.9986111111)</f>
        <v/>
      </c>
      <c r="AL1657" s="6">
        <f>IFERROR(__xludf.DUMMYFUNCTION("""COMPUTED_VALUE"""),21606.68)</f>
        <v/>
      </c>
      <c r="AP1657" s="6">
        <f>AQ1657&amp;AR1657</f>
        <v/>
      </c>
      <c r="AQ1657" s="6">
        <f>YEAR(AS1657)</f>
        <v/>
      </c>
      <c r="AR1657" s="6">
        <f>MONTH(AS1657)</f>
        <v/>
      </c>
      <c r="AS1657" s="267">
        <f>IFERROR(__xludf.DUMMYFUNCTION("""COMPUTED_VALUE"""),45512.9986111111)</f>
        <v/>
      </c>
      <c r="AT1657" s="6">
        <f>IFERROR(__xludf.DUMMYFUNCTION("""COMPUTED_VALUE"""),2463.3)</f>
        <v/>
      </c>
    </row>
    <row r="1658">
      <c r="B1658" s="6">
        <f>C1658&amp;D1658</f>
        <v/>
      </c>
      <c r="C1658" s="6">
        <f>YEAR(E1658)</f>
        <v/>
      </c>
      <c r="D1658" s="6">
        <f>MONTH(E1658)</f>
        <v/>
      </c>
      <c r="E1658" s="267">
        <f>IFERROR(__xludf.DUMMYFUNCTION("""COMPUTED_VALUE"""),45506.6666666666)</f>
        <v/>
      </c>
      <c r="F1658" s="6">
        <f>IFERROR(__xludf.DUMMYFUNCTION("""COMPUTED_VALUE"""),5346.56)</f>
        <v/>
      </c>
      <c r="J1658" s="6">
        <f>K1658&amp;L1658</f>
        <v/>
      </c>
      <c r="K1658" s="6">
        <f>YEAR(M1658)</f>
        <v/>
      </c>
      <c r="L1658" s="6">
        <f>MONTH(M1658)</f>
        <v/>
      </c>
      <c r="M1658" s="267">
        <f>IFERROR(__xludf.DUMMYFUNCTION("""COMPUTED_VALUE"""),45498.6666666666)</f>
        <v/>
      </c>
      <c r="N1658" s="6">
        <f>IFERROR(__xludf.DUMMYFUNCTION("""COMPUTED_VALUE"""),17181.72)</f>
        <v/>
      </c>
      <c r="R1658" s="6">
        <f>S1658&amp;T1658</f>
        <v/>
      </c>
      <c r="S1658" s="6">
        <f>YEAR(U1658)</f>
        <v/>
      </c>
      <c r="T1658" s="6">
        <f>MONTH(U1658)</f>
        <v/>
      </c>
      <c r="U1658" s="267">
        <f>IFERROR(__xludf.DUMMYFUNCTION("""COMPUTED_VALUE"""),45565.6458333333)</f>
        <v/>
      </c>
      <c r="V1658" s="6">
        <f>IFERROR(__xludf.DUMMYFUNCTION("""COMPUTED_VALUE"""),2593.27)</f>
        <v/>
      </c>
      <c r="Z1658" s="6">
        <f>AA1658&amp;AB1658</f>
        <v/>
      </c>
      <c r="AA1658" s="6">
        <f>YEAR(AC1658)</f>
        <v/>
      </c>
      <c r="AB1658" s="6">
        <f>MONTH(AC1658)</f>
        <v/>
      </c>
      <c r="AC1658" s="267">
        <f>IFERROR(__xludf.DUMMYFUNCTION("""COMPUTED_VALUE"""),44807.9986111111)</f>
        <v/>
      </c>
      <c r="AD1658" s="6">
        <f>IFERROR(__xludf.DUMMYFUNCTION("""COMPUTED_VALUE"""),1360.91)</f>
        <v/>
      </c>
      <c r="AH1658" s="6">
        <f>AI1658&amp;AJ1658</f>
        <v/>
      </c>
      <c r="AI1658" s="6">
        <f>YEAR(AK1658)</f>
        <v/>
      </c>
      <c r="AJ1658" s="6">
        <f>MONTH(AK1658)</f>
        <v/>
      </c>
      <c r="AK1658" s="267">
        <f>IFERROR(__xludf.DUMMYFUNCTION("""COMPUTED_VALUE"""),44751.9986111111)</f>
        <v/>
      </c>
      <c r="AL1658" s="6">
        <f>IFERROR(__xludf.DUMMYFUNCTION("""COMPUTED_VALUE"""),21581.61)</f>
        <v/>
      </c>
      <c r="AP1658" s="6">
        <f>AQ1658&amp;AR1658</f>
        <v/>
      </c>
      <c r="AQ1658" s="6">
        <f>YEAR(AS1658)</f>
        <v/>
      </c>
      <c r="AR1658" s="6">
        <f>MONTH(AS1658)</f>
        <v/>
      </c>
      <c r="AS1658" s="267">
        <f>IFERROR(__xludf.DUMMYFUNCTION("""COMPUTED_VALUE"""),45513.9986111111)</f>
        <v/>
      </c>
      <c r="AT1658" s="6">
        <f>IFERROR(__xludf.DUMMYFUNCTION("""COMPUTED_VALUE"""),2473.4)</f>
        <v/>
      </c>
    </row>
    <row r="1659">
      <c r="B1659" s="6">
        <f>C1659&amp;D1659</f>
        <v/>
      </c>
      <c r="C1659" s="6">
        <f>YEAR(E1659)</f>
        <v/>
      </c>
      <c r="D1659" s="6">
        <f>MONTH(E1659)</f>
        <v/>
      </c>
      <c r="E1659" s="267">
        <f>IFERROR(__xludf.DUMMYFUNCTION("""COMPUTED_VALUE"""),45509.6666666666)</f>
        <v/>
      </c>
      <c r="F1659" s="6">
        <f>IFERROR(__xludf.DUMMYFUNCTION("""COMPUTED_VALUE"""),5186.33)</f>
        <v/>
      </c>
      <c r="J1659" s="6">
        <f>K1659&amp;L1659</f>
        <v/>
      </c>
      <c r="K1659" s="6">
        <f>YEAR(M1659)</f>
        <v/>
      </c>
      <c r="L1659" s="6">
        <f>MONTH(M1659)</f>
        <v/>
      </c>
      <c r="M1659" s="267">
        <f>IFERROR(__xludf.DUMMYFUNCTION("""COMPUTED_VALUE"""),45499.6666666666)</f>
        <v/>
      </c>
      <c r="N1659" s="6">
        <f>IFERROR(__xludf.DUMMYFUNCTION("""COMPUTED_VALUE"""),17357.88)</f>
        <v/>
      </c>
      <c r="R1659" s="6">
        <f>S1659&amp;T1659</f>
        <v/>
      </c>
      <c r="S1659" s="6">
        <f>YEAR(U1659)</f>
        <v/>
      </c>
      <c r="T1659" s="6">
        <f>MONTH(U1659)</f>
        <v/>
      </c>
      <c r="U1659" s="267">
        <f>IFERROR(__xludf.DUMMYFUNCTION("""COMPUTED_VALUE"""),45567.6458333333)</f>
        <v/>
      </c>
      <c r="V1659" s="6">
        <f>IFERROR(__xludf.DUMMYFUNCTION("""COMPUTED_VALUE"""),2561.69)</f>
        <v/>
      </c>
      <c r="Z1659" s="6">
        <f>AA1659&amp;AB1659</f>
        <v/>
      </c>
      <c r="AA1659" s="6">
        <f>YEAR(AC1659)</f>
        <v/>
      </c>
      <c r="AB1659" s="6">
        <f>MONTH(AC1659)</f>
        <v/>
      </c>
      <c r="AC1659" s="267">
        <f>IFERROR(__xludf.DUMMYFUNCTION("""COMPUTED_VALUE"""),44808.9986111111)</f>
        <v/>
      </c>
      <c r="AD1659" s="6">
        <f>IFERROR(__xludf.DUMMYFUNCTION("""COMPUTED_VALUE"""),1361.51)</f>
        <v/>
      </c>
      <c r="AH1659" s="6">
        <f>AI1659&amp;AJ1659</f>
        <v/>
      </c>
      <c r="AI1659" s="6">
        <f>YEAR(AK1659)</f>
        <v/>
      </c>
      <c r="AJ1659" s="6">
        <f>MONTH(AK1659)</f>
        <v/>
      </c>
      <c r="AK1659" s="267">
        <f>IFERROR(__xludf.DUMMYFUNCTION("""COMPUTED_VALUE"""),44752.9986111111)</f>
        <v/>
      </c>
      <c r="AL1659" s="6">
        <f>IFERROR(__xludf.DUMMYFUNCTION("""COMPUTED_VALUE"""),20843.7)</f>
        <v/>
      </c>
      <c r="AP1659" s="6">
        <f>AQ1659&amp;AR1659</f>
        <v/>
      </c>
      <c r="AQ1659" s="6">
        <f>YEAR(AS1659)</f>
        <v/>
      </c>
      <c r="AR1659" s="6">
        <f>MONTH(AS1659)</f>
        <v/>
      </c>
      <c r="AS1659" s="267">
        <f>IFERROR(__xludf.DUMMYFUNCTION("""COMPUTED_VALUE"""),45516.9986111111)</f>
        <v/>
      </c>
      <c r="AT1659" s="6">
        <f>IFERROR(__xludf.DUMMYFUNCTION("""COMPUTED_VALUE"""),2504)</f>
        <v/>
      </c>
    </row>
    <row r="1660">
      <c r="B1660" s="6">
        <f>C1660&amp;D1660</f>
        <v/>
      </c>
      <c r="C1660" s="6">
        <f>YEAR(E1660)</f>
        <v/>
      </c>
      <c r="D1660" s="6">
        <f>MONTH(E1660)</f>
        <v/>
      </c>
      <c r="E1660" s="267">
        <f>IFERROR(__xludf.DUMMYFUNCTION("""COMPUTED_VALUE"""),45510.6666666666)</f>
        <v/>
      </c>
      <c r="F1660" s="6">
        <f>IFERROR(__xludf.DUMMYFUNCTION("""COMPUTED_VALUE"""),5240.03)</f>
        <v/>
      </c>
      <c r="J1660" s="6">
        <f>K1660&amp;L1660</f>
        <v/>
      </c>
      <c r="K1660" s="6">
        <f>YEAR(M1660)</f>
        <v/>
      </c>
      <c r="L1660" s="6">
        <f>MONTH(M1660)</f>
        <v/>
      </c>
      <c r="M1660" s="267">
        <f>IFERROR(__xludf.DUMMYFUNCTION("""COMPUTED_VALUE"""),45502.6666666666)</f>
        <v/>
      </c>
      <c r="N1660" s="6">
        <f>IFERROR(__xludf.DUMMYFUNCTION("""COMPUTED_VALUE"""),17370.2)</f>
        <v/>
      </c>
      <c r="R1660" s="6">
        <f>S1660&amp;T1660</f>
        <v/>
      </c>
      <c r="S1660" s="6">
        <f>YEAR(U1660)</f>
        <v/>
      </c>
      <c r="T1660" s="6">
        <f>MONTH(U1660)</f>
        <v/>
      </c>
      <c r="U1660" s="267">
        <f>IFERROR(__xludf.DUMMYFUNCTION("""COMPUTED_VALUE"""),45569.6458333333)</f>
        <v/>
      </c>
      <c r="V1660" s="6">
        <f>IFERROR(__xludf.DUMMYFUNCTION("""COMPUTED_VALUE"""),2569.71)</f>
        <v/>
      </c>
      <c r="Z1660" s="6">
        <f>AA1660&amp;AB1660</f>
        <v/>
      </c>
      <c r="AA1660" s="6">
        <f>YEAR(AC1660)</f>
        <v/>
      </c>
      <c r="AB1660" s="6">
        <f>MONTH(AC1660)</f>
        <v/>
      </c>
      <c r="AC1660" s="267">
        <f>IFERROR(__xludf.DUMMYFUNCTION("""COMPUTED_VALUE"""),44809.9986111111)</f>
        <v/>
      </c>
      <c r="AD1660" s="6">
        <f>IFERROR(__xludf.DUMMYFUNCTION("""COMPUTED_VALUE"""),1361.81)</f>
        <v/>
      </c>
      <c r="AH1660" s="6">
        <f>AI1660&amp;AJ1660</f>
        <v/>
      </c>
      <c r="AI1660" s="6">
        <f>YEAR(AK1660)</f>
        <v/>
      </c>
      <c r="AJ1660" s="6">
        <f>MONTH(AK1660)</f>
        <v/>
      </c>
      <c r="AK1660" s="267">
        <f>IFERROR(__xludf.DUMMYFUNCTION("""COMPUTED_VALUE"""),44753.9986111111)</f>
        <v/>
      </c>
      <c r="AL1660" s="6">
        <f>IFERROR(__xludf.DUMMYFUNCTION("""COMPUTED_VALUE"""),19947.45)</f>
        <v/>
      </c>
      <c r="AP1660" s="6">
        <f>AQ1660&amp;AR1660</f>
        <v/>
      </c>
      <c r="AQ1660" s="6">
        <f>YEAR(AS1660)</f>
        <v/>
      </c>
      <c r="AR1660" s="6">
        <f>MONTH(AS1660)</f>
        <v/>
      </c>
      <c r="AS1660" s="267">
        <f>IFERROR(__xludf.DUMMYFUNCTION("""COMPUTED_VALUE"""),45517.9986111111)</f>
        <v/>
      </c>
      <c r="AT1660" s="6">
        <f>IFERROR(__xludf.DUMMYFUNCTION("""COMPUTED_VALUE"""),2507.8)</f>
        <v/>
      </c>
    </row>
    <row r="1661">
      <c r="B1661" s="6">
        <f>C1661&amp;D1661</f>
        <v/>
      </c>
      <c r="C1661" s="6">
        <f>YEAR(E1661)</f>
        <v/>
      </c>
      <c r="D1661" s="6">
        <f>MONTH(E1661)</f>
        <v/>
      </c>
      <c r="E1661" s="267">
        <f>IFERROR(__xludf.DUMMYFUNCTION("""COMPUTED_VALUE"""),45511.6666666666)</f>
        <v/>
      </c>
      <c r="F1661" s="6">
        <f>IFERROR(__xludf.DUMMYFUNCTION("""COMPUTED_VALUE"""),5199.5)</f>
        <v/>
      </c>
      <c r="J1661" s="6">
        <f>K1661&amp;L1661</f>
        <v/>
      </c>
      <c r="K1661" s="6">
        <f>YEAR(M1661)</f>
        <v/>
      </c>
      <c r="L1661" s="6">
        <f>MONTH(M1661)</f>
        <v/>
      </c>
      <c r="M1661" s="267">
        <f>IFERROR(__xludf.DUMMYFUNCTION("""COMPUTED_VALUE"""),45503.6666666666)</f>
        <v/>
      </c>
      <c r="N1661" s="6">
        <f>IFERROR(__xludf.DUMMYFUNCTION("""COMPUTED_VALUE"""),17147.42)</f>
        <v/>
      </c>
      <c r="R1661" s="6">
        <f>S1661&amp;T1661</f>
        <v/>
      </c>
      <c r="S1661" s="6">
        <f>YEAR(U1661)</f>
        <v/>
      </c>
      <c r="T1661" s="6">
        <f>MONTH(U1661)</f>
        <v/>
      </c>
      <c r="U1661" s="267">
        <f>IFERROR(__xludf.DUMMYFUNCTION("""COMPUTED_VALUE"""),45572.6458333333)</f>
        <v/>
      </c>
      <c r="V1661" s="6">
        <f>IFERROR(__xludf.DUMMYFUNCTION("""COMPUTED_VALUE"""),2610.38)</f>
        <v/>
      </c>
      <c r="Z1661" s="6">
        <f>AA1661&amp;AB1661</f>
        <v/>
      </c>
      <c r="AA1661" s="6">
        <f>YEAR(AC1661)</f>
        <v/>
      </c>
      <c r="AB1661" s="6">
        <f>MONTH(AC1661)</f>
        <v/>
      </c>
      <c r="AC1661" s="267">
        <f>IFERROR(__xludf.DUMMYFUNCTION("""COMPUTED_VALUE"""),44810.9986111111)</f>
        <v/>
      </c>
      <c r="AD1661" s="6">
        <f>IFERROR(__xludf.DUMMYFUNCTION("""COMPUTED_VALUE"""),1378.11)</f>
        <v/>
      </c>
      <c r="AH1661" s="6">
        <f>AI1661&amp;AJ1661</f>
        <v/>
      </c>
      <c r="AI1661" s="6">
        <f>YEAR(AK1661)</f>
        <v/>
      </c>
      <c r="AJ1661" s="6">
        <f>MONTH(AK1661)</f>
        <v/>
      </c>
      <c r="AK1661" s="267">
        <f>IFERROR(__xludf.DUMMYFUNCTION("""COMPUTED_VALUE"""),44754.9986111111)</f>
        <v/>
      </c>
      <c r="AL1661" s="6">
        <f>IFERROR(__xludf.DUMMYFUNCTION("""COMPUTED_VALUE"""),19316.26)</f>
        <v/>
      </c>
      <c r="AP1661" s="6">
        <f>AQ1661&amp;AR1661</f>
        <v/>
      </c>
      <c r="AQ1661" s="6">
        <f>YEAR(AS1661)</f>
        <v/>
      </c>
      <c r="AR1661" s="6">
        <f>MONTH(AS1661)</f>
        <v/>
      </c>
      <c r="AS1661" s="267">
        <f>IFERROR(__xludf.DUMMYFUNCTION("""COMPUTED_VALUE"""),45518.9986111111)</f>
        <v/>
      </c>
      <c r="AT1661" s="6">
        <f>IFERROR(__xludf.DUMMYFUNCTION("""COMPUTED_VALUE"""),2479.7)</f>
        <v/>
      </c>
    </row>
    <row r="1662">
      <c r="B1662" s="6">
        <f>C1662&amp;D1662</f>
        <v/>
      </c>
      <c r="C1662" s="6">
        <f>YEAR(E1662)</f>
        <v/>
      </c>
      <c r="D1662" s="6">
        <f>MONTH(E1662)</f>
        <v/>
      </c>
      <c r="E1662" s="267">
        <f>IFERROR(__xludf.DUMMYFUNCTION("""COMPUTED_VALUE"""),45512.6666666666)</f>
        <v/>
      </c>
      <c r="F1662" s="6">
        <f>IFERROR(__xludf.DUMMYFUNCTION("""COMPUTED_VALUE"""),5319.31)</f>
        <v/>
      </c>
      <c r="J1662" s="6">
        <f>K1662&amp;L1662</f>
        <v/>
      </c>
      <c r="K1662" s="6">
        <f>YEAR(M1662)</f>
        <v/>
      </c>
      <c r="L1662" s="6">
        <f>MONTH(M1662)</f>
        <v/>
      </c>
      <c r="M1662" s="267">
        <f>IFERROR(__xludf.DUMMYFUNCTION("""COMPUTED_VALUE"""),45504.6666666666)</f>
        <v/>
      </c>
      <c r="N1662" s="6">
        <f>IFERROR(__xludf.DUMMYFUNCTION("""COMPUTED_VALUE"""),17599.4)</f>
        <v/>
      </c>
      <c r="R1662" s="6">
        <f>S1662&amp;T1662</f>
        <v/>
      </c>
      <c r="S1662" s="6">
        <f>YEAR(U1662)</f>
        <v/>
      </c>
      <c r="T1662" s="6">
        <f>MONTH(U1662)</f>
        <v/>
      </c>
      <c r="U1662" s="267">
        <f>IFERROR(__xludf.DUMMYFUNCTION("""COMPUTED_VALUE"""),45573.6458333333)</f>
        <v/>
      </c>
      <c r="V1662" s="6">
        <f>IFERROR(__xludf.DUMMYFUNCTION("""COMPUTED_VALUE"""),2594.36)</f>
        <v/>
      </c>
      <c r="Z1662" s="6">
        <f>AA1662&amp;AB1662</f>
        <v/>
      </c>
      <c r="AA1662" s="6">
        <f>YEAR(AC1662)</f>
        <v/>
      </c>
      <c r="AB1662" s="6">
        <f>MONTH(AC1662)</f>
        <v/>
      </c>
      <c r="AC1662" s="267">
        <f>IFERROR(__xludf.DUMMYFUNCTION("""COMPUTED_VALUE"""),44811.9986111111)</f>
        <v/>
      </c>
      <c r="AD1662" s="6">
        <f>IFERROR(__xludf.DUMMYFUNCTION("""COMPUTED_VALUE"""),1374.31)</f>
        <v/>
      </c>
      <c r="AH1662" s="6">
        <f>AI1662&amp;AJ1662</f>
        <v/>
      </c>
      <c r="AI1662" s="6">
        <f>YEAR(AK1662)</f>
        <v/>
      </c>
      <c r="AJ1662" s="6">
        <f>MONTH(AK1662)</f>
        <v/>
      </c>
      <c r="AK1662" s="267">
        <f>IFERROR(__xludf.DUMMYFUNCTION("""COMPUTED_VALUE"""),44755.9986111111)</f>
        <v/>
      </c>
      <c r="AL1662" s="6">
        <f>IFERROR(__xludf.DUMMYFUNCTION("""COMPUTED_VALUE"""),20240.1)</f>
        <v/>
      </c>
      <c r="AP1662" s="6">
        <f>AQ1662&amp;AR1662</f>
        <v/>
      </c>
      <c r="AQ1662" s="6">
        <f>YEAR(AS1662)</f>
        <v/>
      </c>
      <c r="AR1662" s="6">
        <f>MONTH(AS1662)</f>
        <v/>
      </c>
      <c r="AS1662" s="267">
        <f>IFERROR(__xludf.DUMMYFUNCTION("""COMPUTED_VALUE"""),45519.9986111111)</f>
        <v/>
      </c>
      <c r="AT1662" s="6">
        <f>IFERROR(__xludf.DUMMYFUNCTION("""COMPUTED_VALUE"""),2492.4)</f>
        <v/>
      </c>
    </row>
    <row r="1663">
      <c r="B1663" s="6">
        <f>C1663&amp;D1663</f>
        <v/>
      </c>
      <c r="C1663" s="6">
        <f>YEAR(E1663)</f>
        <v/>
      </c>
      <c r="D1663" s="6">
        <f>MONTH(E1663)</f>
        <v/>
      </c>
      <c r="E1663" s="267">
        <f>IFERROR(__xludf.DUMMYFUNCTION("""COMPUTED_VALUE"""),45513.6666666666)</f>
        <v/>
      </c>
      <c r="F1663" s="6">
        <f>IFERROR(__xludf.DUMMYFUNCTION("""COMPUTED_VALUE"""),5344.16)</f>
        <v/>
      </c>
      <c r="J1663" s="6">
        <f>K1663&amp;L1663</f>
        <v/>
      </c>
      <c r="K1663" s="6">
        <f>YEAR(M1663)</f>
        <v/>
      </c>
      <c r="L1663" s="6">
        <f>MONTH(M1663)</f>
        <v/>
      </c>
      <c r="M1663" s="267">
        <f>IFERROR(__xludf.DUMMYFUNCTION("""COMPUTED_VALUE"""),45505.6666666666)</f>
        <v/>
      </c>
      <c r="N1663" s="6">
        <f>IFERROR(__xludf.DUMMYFUNCTION("""COMPUTED_VALUE"""),17194.15)</f>
        <v/>
      </c>
      <c r="R1663" s="6">
        <f>S1663&amp;T1663</f>
        <v/>
      </c>
      <c r="S1663" s="6">
        <f>YEAR(U1663)</f>
        <v/>
      </c>
      <c r="T1663" s="6">
        <f>MONTH(U1663)</f>
        <v/>
      </c>
      <c r="U1663" s="267">
        <f>IFERROR(__xludf.DUMMYFUNCTION("""COMPUTED_VALUE"""),45575.6458333333)</f>
        <v/>
      </c>
      <c r="V1663" s="6">
        <f>IFERROR(__xludf.DUMMYFUNCTION("""COMPUTED_VALUE"""),2599.16)</f>
        <v/>
      </c>
      <c r="Z1663" s="6">
        <f>AA1663&amp;AB1663</f>
        <v/>
      </c>
      <c r="AA1663" s="6">
        <f>YEAR(AC1663)</f>
        <v/>
      </c>
      <c r="AB1663" s="6">
        <f>MONTH(AC1663)</f>
        <v/>
      </c>
      <c r="AC1663" s="267">
        <f>IFERROR(__xludf.DUMMYFUNCTION("""COMPUTED_VALUE"""),44812.9986111111)</f>
        <v/>
      </c>
      <c r="AD1663" s="6">
        <f>IFERROR(__xludf.DUMMYFUNCTION("""COMPUTED_VALUE"""),1383)</f>
        <v/>
      </c>
      <c r="AH1663" s="6">
        <f>AI1663&amp;AJ1663</f>
        <v/>
      </c>
      <c r="AI1663" s="6">
        <f>YEAR(AK1663)</f>
        <v/>
      </c>
      <c r="AJ1663" s="6">
        <f>MONTH(AK1663)</f>
        <v/>
      </c>
      <c r="AK1663" s="267">
        <f>IFERROR(__xludf.DUMMYFUNCTION("""COMPUTED_VALUE"""),44756.9986111111)</f>
        <v/>
      </c>
      <c r="AL1663" s="6">
        <f>IFERROR(__xludf.DUMMYFUNCTION("""COMPUTED_VALUE"""),20577.69)</f>
        <v/>
      </c>
      <c r="AP1663" s="6">
        <f>AQ1663&amp;AR1663</f>
        <v/>
      </c>
      <c r="AQ1663" s="6">
        <f>YEAR(AS1663)</f>
        <v/>
      </c>
      <c r="AR1663" s="6">
        <f>MONTH(AS1663)</f>
        <v/>
      </c>
      <c r="AS1663" s="267">
        <f>IFERROR(__xludf.DUMMYFUNCTION("""COMPUTED_VALUE"""),45520.9986111111)</f>
        <v/>
      </c>
      <c r="AT1663" s="6">
        <f>IFERROR(__xludf.DUMMYFUNCTION("""COMPUTED_VALUE"""),2537.8)</f>
        <v/>
      </c>
    </row>
    <row r="1664">
      <c r="B1664" s="6">
        <f>C1664&amp;D1664</f>
        <v/>
      </c>
      <c r="C1664" s="6">
        <f>YEAR(E1664)</f>
        <v/>
      </c>
      <c r="D1664" s="6">
        <f>MONTH(E1664)</f>
        <v/>
      </c>
      <c r="E1664" s="267">
        <f>IFERROR(__xludf.DUMMYFUNCTION("""COMPUTED_VALUE"""),45516.6666666666)</f>
        <v/>
      </c>
      <c r="F1664" s="6">
        <f>IFERROR(__xludf.DUMMYFUNCTION("""COMPUTED_VALUE"""),5344.39)</f>
        <v/>
      </c>
      <c r="J1664" s="6">
        <f>K1664&amp;L1664</f>
        <v/>
      </c>
      <c r="K1664" s="6">
        <f>YEAR(M1664)</f>
        <v/>
      </c>
      <c r="L1664" s="6">
        <f>MONTH(M1664)</f>
        <v/>
      </c>
      <c r="M1664" s="267">
        <f>IFERROR(__xludf.DUMMYFUNCTION("""COMPUTED_VALUE"""),45506.6666666666)</f>
        <v/>
      </c>
      <c r="N1664" s="6">
        <f>IFERROR(__xludf.DUMMYFUNCTION("""COMPUTED_VALUE"""),16776.16)</f>
        <v/>
      </c>
      <c r="R1664" s="6">
        <f>S1664&amp;T1664</f>
        <v/>
      </c>
      <c r="S1664" s="6">
        <f>YEAR(U1664)</f>
        <v/>
      </c>
      <c r="T1664" s="6">
        <f>MONTH(U1664)</f>
        <v/>
      </c>
      <c r="U1664" s="267">
        <f>IFERROR(__xludf.DUMMYFUNCTION("""COMPUTED_VALUE"""),45576.6458333333)</f>
        <v/>
      </c>
      <c r="V1664" s="6">
        <f>IFERROR(__xludf.DUMMYFUNCTION("""COMPUTED_VALUE"""),2596.91)</f>
        <v/>
      </c>
      <c r="Z1664" s="6">
        <f>AA1664&amp;AB1664</f>
        <v/>
      </c>
      <c r="AA1664" s="6">
        <f>YEAR(AC1664)</f>
        <v/>
      </c>
      <c r="AB1664" s="6">
        <f>MONTH(AC1664)</f>
        <v/>
      </c>
      <c r="AC1664" s="267">
        <f>IFERROR(__xludf.DUMMYFUNCTION("""COMPUTED_VALUE"""),44813.9986111111)</f>
        <v/>
      </c>
      <c r="AD1664" s="6">
        <f>IFERROR(__xludf.DUMMYFUNCTION("""COMPUTED_VALUE"""),1379.06)</f>
        <v/>
      </c>
      <c r="AH1664" s="6">
        <f>AI1664&amp;AJ1664</f>
        <v/>
      </c>
      <c r="AI1664" s="6">
        <f>YEAR(AK1664)</f>
        <v/>
      </c>
      <c r="AJ1664" s="6">
        <f>MONTH(AK1664)</f>
        <v/>
      </c>
      <c r="AK1664" s="267">
        <f>IFERROR(__xludf.DUMMYFUNCTION("""COMPUTED_VALUE"""),44757.9986111111)</f>
        <v/>
      </c>
      <c r="AL1664" s="6">
        <f>IFERROR(__xludf.DUMMYFUNCTION("""COMPUTED_VALUE"""),20825.41)</f>
        <v/>
      </c>
      <c r="AP1664" s="6">
        <f>AQ1664&amp;AR1664</f>
        <v/>
      </c>
      <c r="AQ1664" s="6">
        <f>YEAR(AS1664)</f>
        <v/>
      </c>
      <c r="AR1664" s="6">
        <f>MONTH(AS1664)</f>
        <v/>
      </c>
      <c r="AS1664" s="267">
        <f>IFERROR(__xludf.DUMMYFUNCTION("""COMPUTED_VALUE"""),45523.9986111111)</f>
        <v/>
      </c>
      <c r="AT1664" s="6">
        <f>IFERROR(__xludf.DUMMYFUNCTION("""COMPUTED_VALUE"""),2541.3)</f>
        <v/>
      </c>
    </row>
    <row r="1665">
      <c r="B1665" s="6">
        <f>C1665&amp;D1665</f>
        <v/>
      </c>
      <c r="C1665" s="6">
        <f>YEAR(E1665)</f>
        <v/>
      </c>
      <c r="D1665" s="6">
        <f>MONTH(E1665)</f>
        <v/>
      </c>
      <c r="E1665" s="267">
        <f>IFERROR(__xludf.DUMMYFUNCTION("""COMPUTED_VALUE"""),45517.6666666666)</f>
        <v/>
      </c>
      <c r="F1665" s="6">
        <f>IFERROR(__xludf.DUMMYFUNCTION("""COMPUTED_VALUE"""),5434.43)</f>
        <v/>
      </c>
      <c r="J1665" s="6">
        <f>K1665&amp;L1665</f>
        <v/>
      </c>
      <c r="K1665" s="6">
        <f>YEAR(M1665)</f>
        <v/>
      </c>
      <c r="L1665" s="6">
        <f>MONTH(M1665)</f>
        <v/>
      </c>
      <c r="M1665" s="267">
        <f>IFERROR(__xludf.DUMMYFUNCTION("""COMPUTED_VALUE"""),45509.6666666666)</f>
        <v/>
      </c>
      <c r="N1665" s="6">
        <f>IFERROR(__xludf.DUMMYFUNCTION("""COMPUTED_VALUE"""),16200.08)</f>
        <v/>
      </c>
      <c r="R1665" s="6">
        <f>S1665&amp;T1665</f>
        <v/>
      </c>
      <c r="S1665" s="6">
        <f>YEAR(U1665)</f>
        <v/>
      </c>
      <c r="T1665" s="6">
        <f>MONTH(U1665)</f>
        <v/>
      </c>
      <c r="U1665" s="267">
        <f>IFERROR(__xludf.DUMMYFUNCTION("""COMPUTED_VALUE"""),45579.6458333333)</f>
        <v/>
      </c>
      <c r="V1665" s="6">
        <f>IFERROR(__xludf.DUMMYFUNCTION("""COMPUTED_VALUE"""),2623.29)</f>
        <v/>
      </c>
      <c r="Z1665" s="6">
        <f>AA1665&amp;AB1665</f>
        <v/>
      </c>
      <c r="AA1665" s="6">
        <f>YEAR(AC1665)</f>
        <v/>
      </c>
      <c r="AB1665" s="6">
        <f>MONTH(AC1665)</f>
        <v/>
      </c>
      <c r="AC1665" s="267">
        <f>IFERROR(__xludf.DUMMYFUNCTION("""COMPUTED_VALUE"""),44814.9986111111)</f>
        <v/>
      </c>
      <c r="AD1665" s="6">
        <f>IFERROR(__xludf.DUMMYFUNCTION("""COMPUTED_VALUE"""),1378.96)</f>
        <v/>
      </c>
      <c r="AH1665" s="6">
        <f>AI1665&amp;AJ1665</f>
        <v/>
      </c>
      <c r="AI1665" s="6">
        <f>YEAR(AK1665)</f>
        <v/>
      </c>
      <c r="AJ1665" s="6">
        <f>MONTH(AK1665)</f>
        <v/>
      </c>
      <c r="AK1665" s="267">
        <f>IFERROR(__xludf.DUMMYFUNCTION("""COMPUTED_VALUE"""),44758.9986111111)</f>
        <v/>
      </c>
      <c r="AL1665" s="6">
        <f>IFERROR(__xludf.DUMMYFUNCTION("""COMPUTED_VALUE"""),21198.3)</f>
        <v/>
      </c>
      <c r="AP1665" s="6">
        <f>AQ1665&amp;AR1665</f>
        <v/>
      </c>
      <c r="AQ1665" s="6">
        <f>YEAR(AS1665)</f>
        <v/>
      </c>
      <c r="AR1665" s="6">
        <f>MONTH(AS1665)</f>
        <v/>
      </c>
      <c r="AS1665" s="267">
        <f>IFERROR(__xludf.DUMMYFUNCTION("""COMPUTED_VALUE"""),45524.9986111111)</f>
        <v/>
      </c>
      <c r="AT1665" s="6">
        <f>IFERROR(__xludf.DUMMYFUNCTION("""COMPUTED_VALUE"""),2550.6)</f>
        <v/>
      </c>
    </row>
    <row r="1666">
      <c r="B1666" s="6">
        <f>C1666&amp;D1666</f>
        <v/>
      </c>
      <c r="C1666" s="6">
        <f>YEAR(E1666)</f>
        <v/>
      </c>
      <c r="D1666" s="6">
        <f>MONTH(E1666)</f>
        <v/>
      </c>
      <c r="E1666" s="267">
        <f>IFERROR(__xludf.DUMMYFUNCTION("""COMPUTED_VALUE"""),45518.6666666666)</f>
        <v/>
      </c>
      <c r="F1666" s="6">
        <f>IFERROR(__xludf.DUMMYFUNCTION("""COMPUTED_VALUE"""),5455.21)</f>
        <v/>
      </c>
      <c r="J1666" s="6">
        <f>K1666&amp;L1666</f>
        <v/>
      </c>
      <c r="K1666" s="6">
        <f>YEAR(M1666)</f>
        <v/>
      </c>
      <c r="L1666" s="6">
        <f>MONTH(M1666)</f>
        <v/>
      </c>
      <c r="M1666" s="267">
        <f>IFERROR(__xludf.DUMMYFUNCTION("""COMPUTED_VALUE"""),45510.6666666666)</f>
        <v/>
      </c>
      <c r="N1666" s="6">
        <f>IFERROR(__xludf.DUMMYFUNCTION("""COMPUTED_VALUE"""),16366.86)</f>
        <v/>
      </c>
      <c r="R1666" s="6">
        <f>S1666&amp;T1666</f>
        <v/>
      </c>
      <c r="S1666" s="6">
        <f>YEAR(U1666)</f>
        <v/>
      </c>
      <c r="T1666" s="6">
        <f>MONTH(U1666)</f>
        <v/>
      </c>
      <c r="U1666" s="267">
        <f>IFERROR(__xludf.DUMMYFUNCTION("""COMPUTED_VALUE"""),45580.6458333333)</f>
        <v/>
      </c>
      <c r="V1666" s="6">
        <f>IFERROR(__xludf.DUMMYFUNCTION("""COMPUTED_VALUE"""),2633.45)</f>
        <v/>
      </c>
      <c r="Z1666" s="6">
        <f>AA1666&amp;AB1666</f>
        <v/>
      </c>
      <c r="AA1666" s="6">
        <f>YEAR(AC1666)</f>
        <v/>
      </c>
      <c r="AB1666" s="6">
        <f>MONTH(AC1666)</f>
        <v/>
      </c>
      <c r="AC1666" s="267">
        <f>IFERROR(__xludf.DUMMYFUNCTION("""COMPUTED_VALUE"""),44815.9986111111)</f>
        <v/>
      </c>
      <c r="AD1666" s="6">
        <f>IFERROR(__xludf.DUMMYFUNCTION("""COMPUTED_VALUE"""),1379.06)</f>
        <v/>
      </c>
      <c r="AH1666" s="6">
        <f>AI1666&amp;AJ1666</f>
        <v/>
      </c>
      <c r="AI1666" s="6">
        <f>YEAR(AK1666)</f>
        <v/>
      </c>
      <c r="AJ1666" s="6">
        <f>MONTH(AK1666)</f>
        <v/>
      </c>
      <c r="AK1666" s="267">
        <f>IFERROR(__xludf.DUMMYFUNCTION("""COMPUTED_VALUE"""),44759.9986111111)</f>
        <v/>
      </c>
      <c r="AL1666" s="6">
        <f>IFERROR(__xludf.DUMMYFUNCTION("""COMPUTED_VALUE"""),20788.07)</f>
        <v/>
      </c>
      <c r="AP1666" s="6">
        <f>AQ1666&amp;AR1666</f>
        <v/>
      </c>
      <c r="AQ1666" s="6">
        <f>YEAR(AS1666)</f>
        <v/>
      </c>
      <c r="AR1666" s="6">
        <f>MONTH(AS1666)</f>
        <v/>
      </c>
      <c r="AS1666" s="267">
        <f>IFERROR(__xludf.DUMMYFUNCTION("""COMPUTED_VALUE"""),45525.9986111111)</f>
        <v/>
      </c>
      <c r="AT1666" s="6">
        <f>IFERROR(__xludf.DUMMYFUNCTION("""COMPUTED_VALUE"""),2547.5)</f>
        <v/>
      </c>
    </row>
    <row r="1667">
      <c r="B1667" s="6">
        <f>C1667&amp;D1667</f>
        <v/>
      </c>
      <c r="C1667" s="6">
        <f>YEAR(E1667)</f>
        <v/>
      </c>
      <c r="D1667" s="6">
        <f>MONTH(E1667)</f>
        <v/>
      </c>
      <c r="E1667" s="267">
        <f>IFERROR(__xludf.DUMMYFUNCTION("""COMPUTED_VALUE"""),45519.6666666666)</f>
        <v/>
      </c>
      <c r="F1667" s="6">
        <f>IFERROR(__xludf.DUMMYFUNCTION("""COMPUTED_VALUE"""),5543.22)</f>
        <v/>
      </c>
      <c r="J1667" s="6">
        <f>K1667&amp;L1667</f>
        <v/>
      </c>
      <c r="K1667" s="6">
        <f>YEAR(M1667)</f>
        <v/>
      </c>
      <c r="L1667" s="6">
        <f>MONTH(M1667)</f>
        <v/>
      </c>
      <c r="M1667" s="267">
        <f>IFERROR(__xludf.DUMMYFUNCTION("""COMPUTED_VALUE"""),45511.6666666666)</f>
        <v/>
      </c>
      <c r="N1667" s="6">
        <f>IFERROR(__xludf.DUMMYFUNCTION("""COMPUTED_VALUE"""),16195.81)</f>
        <v/>
      </c>
      <c r="R1667" s="6">
        <f>S1667&amp;T1667</f>
        <v/>
      </c>
      <c r="S1667" s="6">
        <f>YEAR(U1667)</f>
        <v/>
      </c>
      <c r="T1667" s="6">
        <f>MONTH(U1667)</f>
        <v/>
      </c>
      <c r="U1667" s="267">
        <f>IFERROR(__xludf.DUMMYFUNCTION("""COMPUTED_VALUE"""),45581.6458333333)</f>
        <v/>
      </c>
      <c r="V1667" s="6">
        <f>IFERROR(__xludf.DUMMYFUNCTION("""COMPUTED_VALUE"""),2610.36)</f>
        <v/>
      </c>
      <c r="Z1667" s="6">
        <f>AA1667&amp;AB1667</f>
        <v/>
      </c>
      <c r="AA1667" s="6">
        <f>YEAR(AC1667)</f>
        <v/>
      </c>
      <c r="AB1667" s="6">
        <f>MONTH(AC1667)</f>
        <v/>
      </c>
      <c r="AC1667" s="267">
        <f>IFERROR(__xludf.DUMMYFUNCTION("""COMPUTED_VALUE"""),44816.9986111111)</f>
        <v/>
      </c>
      <c r="AD1667" s="6">
        <f>IFERROR(__xludf.DUMMYFUNCTION("""COMPUTED_VALUE"""),1375.81)</f>
        <v/>
      </c>
      <c r="AH1667" s="6">
        <f>AI1667&amp;AJ1667</f>
        <v/>
      </c>
      <c r="AI1667" s="6">
        <f>YEAR(AK1667)</f>
        <v/>
      </c>
      <c r="AJ1667" s="6">
        <f>MONTH(AK1667)</f>
        <v/>
      </c>
      <c r="AK1667" s="267">
        <f>IFERROR(__xludf.DUMMYFUNCTION("""COMPUTED_VALUE"""),44760.9986111111)</f>
        <v/>
      </c>
      <c r="AL1667" s="6">
        <f>IFERROR(__xludf.DUMMYFUNCTION("""COMPUTED_VALUE"""),22495.43)</f>
        <v/>
      </c>
      <c r="AP1667" s="6">
        <f>AQ1667&amp;AR1667</f>
        <v/>
      </c>
      <c r="AQ1667" s="6">
        <f>YEAR(AS1667)</f>
        <v/>
      </c>
      <c r="AR1667" s="6">
        <f>MONTH(AS1667)</f>
        <v/>
      </c>
      <c r="AS1667" s="267">
        <f>IFERROR(__xludf.DUMMYFUNCTION("""COMPUTED_VALUE"""),45526.9986111111)</f>
        <v/>
      </c>
      <c r="AT1667" s="6">
        <f>IFERROR(__xludf.DUMMYFUNCTION("""COMPUTED_VALUE"""),2516.7)</f>
        <v/>
      </c>
    </row>
    <row r="1668">
      <c r="B1668" s="6">
        <f>C1668&amp;D1668</f>
        <v/>
      </c>
      <c r="C1668" s="6">
        <f>YEAR(E1668)</f>
        <v/>
      </c>
      <c r="D1668" s="6">
        <f>MONTH(E1668)</f>
        <v/>
      </c>
      <c r="E1668" s="267">
        <f>IFERROR(__xludf.DUMMYFUNCTION("""COMPUTED_VALUE"""),45520.6666666666)</f>
        <v/>
      </c>
      <c r="F1668" s="6">
        <f>IFERROR(__xludf.DUMMYFUNCTION("""COMPUTED_VALUE"""),5554.25)</f>
        <v/>
      </c>
      <c r="J1668" s="6">
        <f>K1668&amp;L1668</f>
        <v/>
      </c>
      <c r="K1668" s="6">
        <f>YEAR(M1668)</f>
        <v/>
      </c>
      <c r="L1668" s="6">
        <f>MONTH(M1668)</f>
        <v/>
      </c>
      <c r="M1668" s="267">
        <f>IFERROR(__xludf.DUMMYFUNCTION("""COMPUTED_VALUE"""),45512.6666666666)</f>
        <v/>
      </c>
      <c r="N1668" s="6">
        <f>IFERROR(__xludf.DUMMYFUNCTION("""COMPUTED_VALUE"""),16660.02)</f>
        <v/>
      </c>
      <c r="R1668" s="6">
        <f>S1668&amp;T1668</f>
        <v/>
      </c>
      <c r="S1668" s="6">
        <f>YEAR(U1668)</f>
        <v/>
      </c>
      <c r="T1668" s="6">
        <f>MONTH(U1668)</f>
        <v/>
      </c>
      <c r="U1668" s="267">
        <f>IFERROR(__xludf.DUMMYFUNCTION("""COMPUTED_VALUE"""),45582.6458333333)</f>
        <v/>
      </c>
      <c r="V1668" s="6">
        <f>IFERROR(__xludf.DUMMYFUNCTION("""COMPUTED_VALUE"""),2609.3)</f>
        <v/>
      </c>
      <c r="Z1668" s="6">
        <f>AA1668&amp;AB1668</f>
        <v/>
      </c>
      <c r="AA1668" s="6">
        <f>YEAR(AC1668)</f>
        <v/>
      </c>
      <c r="AB1668" s="6">
        <f>MONTH(AC1668)</f>
        <v/>
      </c>
      <c r="AC1668" s="267">
        <f>IFERROR(__xludf.DUMMYFUNCTION("""COMPUTED_VALUE"""),44817.9986111111)</f>
        <v/>
      </c>
      <c r="AD1668" s="6">
        <f>IFERROR(__xludf.DUMMYFUNCTION("""COMPUTED_VALUE"""),1393.47)</f>
        <v/>
      </c>
      <c r="AH1668" s="6">
        <f>AI1668&amp;AJ1668</f>
        <v/>
      </c>
      <c r="AI1668" s="6">
        <f>YEAR(AK1668)</f>
        <v/>
      </c>
      <c r="AJ1668" s="6">
        <f>MONTH(AK1668)</f>
        <v/>
      </c>
      <c r="AK1668" s="267">
        <f>IFERROR(__xludf.DUMMYFUNCTION("""COMPUTED_VALUE"""),44761.9986111111)</f>
        <v/>
      </c>
      <c r="AL1668" s="6">
        <f>IFERROR(__xludf.DUMMYFUNCTION("""COMPUTED_VALUE"""),23405.52)</f>
        <v/>
      </c>
      <c r="AP1668" s="6">
        <f>AQ1668&amp;AR1668</f>
        <v/>
      </c>
      <c r="AQ1668" s="6">
        <f>YEAR(AS1668)</f>
        <v/>
      </c>
      <c r="AR1668" s="6">
        <f>MONTH(AS1668)</f>
        <v/>
      </c>
      <c r="AS1668" s="267">
        <f>IFERROR(__xludf.DUMMYFUNCTION("""COMPUTED_VALUE"""),45527.9986111111)</f>
        <v/>
      </c>
      <c r="AT1668" s="6">
        <f>IFERROR(__xludf.DUMMYFUNCTION("""COMPUTED_VALUE"""),2546.3)</f>
        <v/>
      </c>
    </row>
    <row r="1669">
      <c r="B1669" s="6">
        <f>C1669&amp;D1669</f>
        <v/>
      </c>
      <c r="C1669" s="6">
        <f>YEAR(E1669)</f>
        <v/>
      </c>
      <c r="D1669" s="6">
        <f>MONTH(E1669)</f>
        <v/>
      </c>
      <c r="E1669" s="267">
        <f>IFERROR(__xludf.DUMMYFUNCTION("""COMPUTED_VALUE"""),45523.6666666666)</f>
        <v/>
      </c>
      <c r="F1669" s="6">
        <f>IFERROR(__xludf.DUMMYFUNCTION("""COMPUTED_VALUE"""),5608.25)</f>
        <v/>
      </c>
      <c r="J1669" s="6">
        <f>K1669&amp;L1669</f>
        <v/>
      </c>
      <c r="K1669" s="6">
        <f>YEAR(M1669)</f>
        <v/>
      </c>
      <c r="L1669" s="6">
        <f>MONTH(M1669)</f>
        <v/>
      </c>
      <c r="M1669" s="267">
        <f>IFERROR(__xludf.DUMMYFUNCTION("""COMPUTED_VALUE"""),45513.6666666666)</f>
        <v/>
      </c>
      <c r="N1669" s="6">
        <f>IFERROR(__xludf.DUMMYFUNCTION("""COMPUTED_VALUE"""),16745.3)</f>
        <v/>
      </c>
      <c r="R1669" s="6">
        <f>S1669&amp;T1669</f>
        <v/>
      </c>
      <c r="S1669" s="6">
        <f>YEAR(U1669)</f>
        <v/>
      </c>
      <c r="T1669" s="6">
        <f>MONTH(U1669)</f>
        <v/>
      </c>
      <c r="U1669" s="267">
        <f>IFERROR(__xludf.DUMMYFUNCTION("""COMPUTED_VALUE"""),45583.6458333333)</f>
        <v/>
      </c>
      <c r="V1669" s="6">
        <f>IFERROR(__xludf.DUMMYFUNCTION("""COMPUTED_VALUE"""),2593.82)</f>
        <v/>
      </c>
      <c r="Z1669" s="6">
        <f>AA1669&amp;AB1669</f>
        <v/>
      </c>
      <c r="AA1669" s="6">
        <f>YEAR(AC1669)</f>
        <v/>
      </c>
      <c r="AB1669" s="6">
        <f>MONTH(AC1669)</f>
        <v/>
      </c>
      <c r="AC1669" s="267">
        <f>IFERROR(__xludf.DUMMYFUNCTION("""COMPUTED_VALUE"""),44818.9986111111)</f>
        <v/>
      </c>
      <c r="AD1669" s="6">
        <f>IFERROR(__xludf.DUMMYFUNCTION("""COMPUTED_VALUE"""),1391.18)</f>
        <v/>
      </c>
      <c r="AH1669" s="6">
        <f>AI1669&amp;AJ1669</f>
        <v/>
      </c>
      <c r="AI1669" s="6">
        <f>YEAR(AK1669)</f>
        <v/>
      </c>
      <c r="AJ1669" s="6">
        <f>MONTH(AK1669)</f>
        <v/>
      </c>
      <c r="AK1669" s="267">
        <f>IFERROR(__xludf.DUMMYFUNCTION("""COMPUTED_VALUE"""),44762.9986111111)</f>
        <v/>
      </c>
      <c r="AL1669" s="6">
        <f>IFERROR(__xludf.DUMMYFUNCTION("""COMPUTED_VALUE"""),23221.96)</f>
        <v/>
      </c>
      <c r="AP1669" s="6">
        <f>AQ1669&amp;AR1669</f>
        <v/>
      </c>
      <c r="AQ1669" s="6">
        <f>YEAR(AS1669)</f>
        <v/>
      </c>
      <c r="AR1669" s="6">
        <f>MONTH(AS1669)</f>
        <v/>
      </c>
      <c r="AS1669" s="267">
        <f>IFERROR(__xludf.DUMMYFUNCTION("""COMPUTED_VALUE"""),45530.9986111111)</f>
        <v/>
      </c>
      <c r="AT1669" s="6">
        <f>IFERROR(__xludf.DUMMYFUNCTION("""COMPUTED_VALUE"""),2555.2)</f>
        <v/>
      </c>
    </row>
    <row r="1670">
      <c r="B1670" s="6">
        <f>C1670&amp;D1670</f>
        <v/>
      </c>
      <c r="C1670" s="6">
        <f>YEAR(E1670)</f>
        <v/>
      </c>
      <c r="D1670" s="6">
        <f>MONTH(E1670)</f>
        <v/>
      </c>
      <c r="E1670" s="267">
        <f>IFERROR(__xludf.DUMMYFUNCTION("""COMPUTED_VALUE"""),45524.6666666666)</f>
        <v/>
      </c>
      <c r="F1670" s="6">
        <f>IFERROR(__xludf.DUMMYFUNCTION("""COMPUTED_VALUE"""),5597.12)</f>
        <v/>
      </c>
      <c r="J1670" s="6">
        <f>K1670&amp;L1670</f>
        <v/>
      </c>
      <c r="K1670" s="6">
        <f>YEAR(M1670)</f>
        <v/>
      </c>
      <c r="L1670" s="6">
        <f>MONTH(M1670)</f>
        <v/>
      </c>
      <c r="M1670" s="267">
        <f>IFERROR(__xludf.DUMMYFUNCTION("""COMPUTED_VALUE"""),45516.6666666666)</f>
        <v/>
      </c>
      <c r="N1670" s="6">
        <f>IFERROR(__xludf.DUMMYFUNCTION("""COMPUTED_VALUE"""),16780.61)</f>
        <v/>
      </c>
      <c r="R1670" s="6">
        <f>S1670&amp;T1670</f>
        <v/>
      </c>
      <c r="S1670" s="6">
        <f>YEAR(U1670)</f>
        <v/>
      </c>
      <c r="T1670" s="6">
        <f>MONTH(U1670)</f>
        <v/>
      </c>
      <c r="U1670" s="267">
        <f>IFERROR(__xludf.DUMMYFUNCTION("""COMPUTED_VALUE"""),45586.6458333333)</f>
        <v/>
      </c>
      <c r="V1670" s="6">
        <f>IFERROR(__xludf.DUMMYFUNCTION("""COMPUTED_VALUE"""),2604.92)</f>
        <v/>
      </c>
      <c r="Z1670" s="6">
        <f>AA1670&amp;AB1670</f>
        <v/>
      </c>
      <c r="AA1670" s="6">
        <f>YEAR(AC1670)</f>
        <v/>
      </c>
      <c r="AB1670" s="6">
        <f>MONTH(AC1670)</f>
        <v/>
      </c>
      <c r="AC1670" s="267">
        <f>IFERROR(__xludf.DUMMYFUNCTION("""COMPUTED_VALUE"""),44819.9986111111)</f>
        <v/>
      </c>
      <c r="AD1670" s="6">
        <f>IFERROR(__xludf.DUMMYFUNCTION("""COMPUTED_VALUE"""),1398.63)</f>
        <v/>
      </c>
      <c r="AH1670" s="6">
        <f>AI1670&amp;AJ1670</f>
        <v/>
      </c>
      <c r="AI1670" s="6">
        <f>YEAR(AK1670)</f>
        <v/>
      </c>
      <c r="AJ1670" s="6">
        <f>MONTH(AK1670)</f>
        <v/>
      </c>
      <c r="AK1670" s="267">
        <f>IFERROR(__xludf.DUMMYFUNCTION("""COMPUTED_VALUE"""),44763.9986111111)</f>
        <v/>
      </c>
      <c r="AL1670" s="6">
        <f>IFERROR(__xludf.DUMMYFUNCTION("""COMPUTED_VALUE"""),23145.74)</f>
        <v/>
      </c>
      <c r="AP1670" s="6">
        <f>AQ1670&amp;AR1670</f>
        <v/>
      </c>
      <c r="AQ1670" s="6">
        <f>YEAR(AS1670)</f>
        <v/>
      </c>
      <c r="AR1670" s="6">
        <f>MONTH(AS1670)</f>
        <v/>
      </c>
      <c r="AS1670" s="267">
        <f>IFERROR(__xludf.DUMMYFUNCTION("""COMPUTED_VALUE"""),45531.9986111111)</f>
        <v/>
      </c>
      <c r="AT1670" s="6">
        <f>IFERROR(__xludf.DUMMYFUNCTION("""COMPUTED_VALUE"""),2552.9)</f>
        <v/>
      </c>
    </row>
    <row r="1671">
      <c r="B1671" s="6">
        <f>C1671&amp;D1671</f>
        <v/>
      </c>
      <c r="C1671" s="6">
        <f>YEAR(E1671)</f>
        <v/>
      </c>
      <c r="D1671" s="6">
        <f>MONTH(E1671)</f>
        <v/>
      </c>
      <c r="E1671" s="267">
        <f>IFERROR(__xludf.DUMMYFUNCTION("""COMPUTED_VALUE"""),45525.6666666666)</f>
        <v/>
      </c>
      <c r="F1671" s="6">
        <f>IFERROR(__xludf.DUMMYFUNCTION("""COMPUTED_VALUE"""),5620.85)</f>
        <v/>
      </c>
      <c r="J1671" s="6">
        <f>K1671&amp;L1671</f>
        <v/>
      </c>
      <c r="K1671" s="6">
        <f>YEAR(M1671)</f>
        <v/>
      </c>
      <c r="L1671" s="6">
        <f>MONTH(M1671)</f>
        <v/>
      </c>
      <c r="M1671" s="267">
        <f>IFERROR(__xludf.DUMMYFUNCTION("""COMPUTED_VALUE"""),45517.6666666666)</f>
        <v/>
      </c>
      <c r="N1671" s="6">
        <f>IFERROR(__xludf.DUMMYFUNCTION("""COMPUTED_VALUE"""),17187.61)</f>
        <v/>
      </c>
      <c r="R1671" s="6">
        <f>S1671&amp;T1671</f>
        <v/>
      </c>
      <c r="S1671" s="6">
        <f>YEAR(U1671)</f>
        <v/>
      </c>
      <c r="T1671" s="6">
        <f>MONTH(U1671)</f>
        <v/>
      </c>
      <c r="U1671" s="267">
        <f>IFERROR(__xludf.DUMMYFUNCTION("""COMPUTED_VALUE"""),45587.6458333333)</f>
        <v/>
      </c>
      <c r="V1671" s="6">
        <f>IFERROR(__xludf.DUMMYFUNCTION("""COMPUTED_VALUE"""),2570.7)</f>
        <v/>
      </c>
      <c r="Z1671" s="6">
        <f>AA1671&amp;AB1671</f>
        <v/>
      </c>
      <c r="AA1671" s="6">
        <f>YEAR(AC1671)</f>
        <v/>
      </c>
      <c r="AB1671" s="6">
        <f>MONTH(AC1671)</f>
        <v/>
      </c>
      <c r="AC1671" s="267">
        <f>IFERROR(__xludf.DUMMYFUNCTION("""COMPUTED_VALUE"""),44820.9986111111)</f>
        <v/>
      </c>
      <c r="AD1671" s="6">
        <f>IFERROR(__xludf.DUMMYFUNCTION("""COMPUTED_VALUE"""),1386.11)</f>
        <v/>
      </c>
      <c r="AH1671" s="6">
        <f>AI1671&amp;AJ1671</f>
        <v/>
      </c>
      <c r="AI1671" s="6">
        <f>YEAR(AK1671)</f>
        <v/>
      </c>
      <c r="AJ1671" s="6">
        <f>MONTH(AK1671)</f>
        <v/>
      </c>
      <c r="AK1671" s="267">
        <f>IFERROR(__xludf.DUMMYFUNCTION("""COMPUTED_VALUE"""),44764.9986111111)</f>
        <v/>
      </c>
      <c r="AL1671" s="6">
        <f>IFERROR(__xludf.DUMMYFUNCTION("""COMPUTED_VALUE"""),22680.97)</f>
        <v/>
      </c>
      <c r="AP1671" s="6">
        <f>AQ1671&amp;AR1671</f>
        <v/>
      </c>
      <c r="AQ1671" s="6">
        <f>YEAR(AS1671)</f>
        <v/>
      </c>
      <c r="AR1671" s="6">
        <f>MONTH(AS1671)</f>
        <v/>
      </c>
      <c r="AS1671" s="267">
        <f>IFERROR(__xludf.DUMMYFUNCTION("""COMPUTED_VALUE"""),45532.9986111111)</f>
        <v/>
      </c>
      <c r="AT1671" s="6">
        <f>IFERROR(__xludf.DUMMYFUNCTION("""COMPUTED_VALUE"""),2537.8)</f>
        <v/>
      </c>
    </row>
    <row r="1672">
      <c r="B1672" s="6">
        <f>C1672&amp;D1672</f>
        <v/>
      </c>
      <c r="C1672" s="6">
        <f>YEAR(E1672)</f>
        <v/>
      </c>
      <c r="D1672" s="6">
        <f>MONTH(E1672)</f>
        <v/>
      </c>
      <c r="E1672" s="267">
        <f>IFERROR(__xludf.DUMMYFUNCTION("""COMPUTED_VALUE"""),45526.6666666666)</f>
        <v/>
      </c>
      <c r="F1672" s="6">
        <f>IFERROR(__xludf.DUMMYFUNCTION("""COMPUTED_VALUE"""),5570.64)</f>
        <v/>
      </c>
      <c r="J1672" s="6">
        <f>K1672&amp;L1672</f>
        <v/>
      </c>
      <c r="K1672" s="6">
        <f>YEAR(M1672)</f>
        <v/>
      </c>
      <c r="L1672" s="6">
        <f>MONTH(M1672)</f>
        <v/>
      </c>
      <c r="M1672" s="267">
        <f>IFERROR(__xludf.DUMMYFUNCTION("""COMPUTED_VALUE"""),45518.6666666666)</f>
        <v/>
      </c>
      <c r="N1672" s="6">
        <f>IFERROR(__xludf.DUMMYFUNCTION("""COMPUTED_VALUE"""),17192.6)</f>
        <v/>
      </c>
      <c r="R1672" s="6">
        <f>S1672&amp;T1672</f>
        <v/>
      </c>
      <c r="S1672" s="6">
        <f>YEAR(U1672)</f>
        <v/>
      </c>
      <c r="T1672" s="6">
        <f>MONTH(U1672)</f>
        <v/>
      </c>
      <c r="U1672" s="267">
        <f>IFERROR(__xludf.DUMMYFUNCTION("""COMPUTED_VALUE"""),45588.6458333333)</f>
        <v/>
      </c>
      <c r="V1672" s="6">
        <f>IFERROR(__xludf.DUMMYFUNCTION("""COMPUTED_VALUE"""),2599.62)</f>
        <v/>
      </c>
      <c r="Z1672" s="6">
        <f>AA1672&amp;AB1672</f>
        <v/>
      </c>
      <c r="AA1672" s="6">
        <f>YEAR(AC1672)</f>
        <v/>
      </c>
      <c r="AB1672" s="6">
        <f>MONTH(AC1672)</f>
        <v/>
      </c>
      <c r="AC1672" s="267">
        <f>IFERROR(__xludf.DUMMYFUNCTION("""COMPUTED_VALUE"""),44821.9986111111)</f>
        <v/>
      </c>
      <c r="AD1672" s="6">
        <f>IFERROR(__xludf.DUMMYFUNCTION("""COMPUTED_VALUE"""),1385.51)</f>
        <v/>
      </c>
      <c r="AH1672" s="6">
        <f>AI1672&amp;AJ1672</f>
        <v/>
      </c>
      <c r="AI1672" s="6">
        <f>YEAR(AK1672)</f>
        <v/>
      </c>
      <c r="AJ1672" s="6">
        <f>MONTH(AK1672)</f>
        <v/>
      </c>
      <c r="AK1672" s="267">
        <f>IFERROR(__xludf.DUMMYFUNCTION("""COMPUTED_VALUE"""),44765.9986111111)</f>
        <v/>
      </c>
      <c r="AL1672" s="6">
        <f>IFERROR(__xludf.DUMMYFUNCTION("""COMPUTED_VALUE"""),22450.51)</f>
        <v/>
      </c>
      <c r="AP1672" s="6">
        <f>AQ1672&amp;AR1672</f>
        <v/>
      </c>
      <c r="AQ1672" s="6">
        <f>YEAR(AS1672)</f>
        <v/>
      </c>
      <c r="AR1672" s="6">
        <f>MONTH(AS1672)</f>
        <v/>
      </c>
      <c r="AS1672" s="267">
        <f>IFERROR(__xludf.DUMMYFUNCTION("""COMPUTED_VALUE"""),45533.9986111111)</f>
        <v/>
      </c>
      <c r="AT1672" s="6">
        <f>IFERROR(__xludf.DUMMYFUNCTION("""COMPUTED_VALUE"""),2560.3)</f>
        <v/>
      </c>
    </row>
    <row r="1673">
      <c r="B1673" s="6">
        <f>C1673&amp;D1673</f>
        <v/>
      </c>
      <c r="C1673" s="6">
        <f>YEAR(E1673)</f>
        <v/>
      </c>
      <c r="D1673" s="6">
        <f>MONTH(E1673)</f>
        <v/>
      </c>
      <c r="E1673" s="267">
        <f>IFERROR(__xludf.DUMMYFUNCTION("""COMPUTED_VALUE"""),45527.6666666666)</f>
        <v/>
      </c>
      <c r="F1673" s="6">
        <f>IFERROR(__xludf.DUMMYFUNCTION("""COMPUTED_VALUE"""),5634.61)</f>
        <v/>
      </c>
      <c r="J1673" s="6">
        <f>K1673&amp;L1673</f>
        <v/>
      </c>
      <c r="K1673" s="6">
        <f>YEAR(M1673)</f>
        <v/>
      </c>
      <c r="L1673" s="6">
        <f>MONTH(M1673)</f>
        <v/>
      </c>
      <c r="M1673" s="267">
        <f>IFERROR(__xludf.DUMMYFUNCTION("""COMPUTED_VALUE"""),45519.6666666666)</f>
        <v/>
      </c>
      <c r="N1673" s="6">
        <f>IFERROR(__xludf.DUMMYFUNCTION("""COMPUTED_VALUE"""),17594.5)</f>
        <v/>
      </c>
      <c r="R1673" s="6">
        <f>S1673&amp;T1673</f>
        <v/>
      </c>
      <c r="S1673" s="6">
        <f>YEAR(U1673)</f>
        <v/>
      </c>
      <c r="T1673" s="6">
        <f>MONTH(U1673)</f>
        <v/>
      </c>
      <c r="U1673" s="267">
        <f>IFERROR(__xludf.DUMMYFUNCTION("""COMPUTED_VALUE"""),45589.6458333333)</f>
        <v/>
      </c>
      <c r="V1673" s="6">
        <f>IFERROR(__xludf.DUMMYFUNCTION("""COMPUTED_VALUE"""),2581.03)</f>
        <v/>
      </c>
      <c r="Z1673" s="6">
        <f>AA1673&amp;AB1673</f>
        <v/>
      </c>
      <c r="AA1673" s="6">
        <f>YEAR(AC1673)</f>
        <v/>
      </c>
      <c r="AB1673" s="6">
        <f>MONTH(AC1673)</f>
        <v/>
      </c>
      <c r="AC1673" s="267">
        <f>IFERROR(__xludf.DUMMYFUNCTION("""COMPUTED_VALUE"""),44822.9986111111)</f>
        <v/>
      </c>
      <c r="AD1673" s="6">
        <f>IFERROR(__xludf.DUMMYFUNCTION("""COMPUTED_VALUE"""),1385.23)</f>
        <v/>
      </c>
      <c r="AH1673" s="6">
        <f>AI1673&amp;AJ1673</f>
        <v/>
      </c>
      <c r="AI1673" s="6">
        <f>YEAR(AK1673)</f>
        <v/>
      </c>
      <c r="AJ1673" s="6">
        <f>MONTH(AK1673)</f>
        <v/>
      </c>
      <c r="AK1673" s="267">
        <f>IFERROR(__xludf.DUMMYFUNCTION("""COMPUTED_VALUE"""),44766.9986111111)</f>
        <v/>
      </c>
      <c r="AL1673" s="6">
        <f>IFERROR(__xludf.DUMMYFUNCTION("""COMPUTED_VALUE"""),22582.44)</f>
        <v/>
      </c>
      <c r="AP1673" s="6">
        <f>AQ1673&amp;AR1673</f>
        <v/>
      </c>
      <c r="AQ1673" s="6">
        <f>YEAR(AS1673)</f>
        <v/>
      </c>
      <c r="AR1673" s="6">
        <f>MONTH(AS1673)</f>
        <v/>
      </c>
      <c r="AS1673" s="267">
        <f>IFERROR(__xludf.DUMMYFUNCTION("""COMPUTED_VALUE"""),45534.9986111111)</f>
        <v/>
      </c>
      <c r="AT1673" s="6">
        <f>IFERROR(__xludf.DUMMYFUNCTION("""COMPUTED_VALUE"""),2527.6)</f>
        <v/>
      </c>
    </row>
    <row r="1674">
      <c r="B1674" s="6">
        <f>C1674&amp;D1674</f>
        <v/>
      </c>
      <c r="C1674" s="6">
        <f>YEAR(E1674)</f>
        <v/>
      </c>
      <c r="D1674" s="6">
        <f>MONTH(E1674)</f>
        <v/>
      </c>
      <c r="E1674" s="267">
        <f>IFERROR(__xludf.DUMMYFUNCTION("""COMPUTED_VALUE"""),45530.6666666666)</f>
        <v/>
      </c>
      <c r="F1674" s="6">
        <f>IFERROR(__xludf.DUMMYFUNCTION("""COMPUTED_VALUE"""),5616.84)</f>
        <v/>
      </c>
      <c r="J1674" s="6">
        <f>K1674&amp;L1674</f>
        <v/>
      </c>
      <c r="K1674" s="6">
        <f>YEAR(M1674)</f>
        <v/>
      </c>
      <c r="L1674" s="6">
        <f>MONTH(M1674)</f>
        <v/>
      </c>
      <c r="M1674" s="267">
        <f>IFERROR(__xludf.DUMMYFUNCTION("""COMPUTED_VALUE"""),45520.6666666666)</f>
        <v/>
      </c>
      <c r="N1674" s="6">
        <f>IFERROR(__xludf.DUMMYFUNCTION("""COMPUTED_VALUE"""),17631.72)</f>
        <v/>
      </c>
      <c r="R1674" s="6">
        <f>S1674&amp;T1674</f>
        <v/>
      </c>
      <c r="S1674" s="6">
        <f>YEAR(U1674)</f>
        <v/>
      </c>
      <c r="T1674" s="6">
        <f>MONTH(U1674)</f>
        <v/>
      </c>
      <c r="U1674" s="267">
        <f>IFERROR(__xludf.DUMMYFUNCTION("""COMPUTED_VALUE"""),45590.6458333333)</f>
        <v/>
      </c>
      <c r="V1674" s="6">
        <f>IFERROR(__xludf.DUMMYFUNCTION("""COMPUTED_VALUE"""),2583.27)</f>
        <v/>
      </c>
      <c r="Z1674" s="6">
        <f>AA1674&amp;AB1674</f>
        <v/>
      </c>
      <c r="AA1674" s="6">
        <f>YEAR(AC1674)</f>
        <v/>
      </c>
      <c r="AB1674" s="6">
        <f>MONTH(AC1674)</f>
        <v/>
      </c>
      <c r="AC1674" s="267">
        <f>IFERROR(__xludf.DUMMYFUNCTION("""COMPUTED_VALUE"""),44823.9986111111)</f>
        <v/>
      </c>
      <c r="AD1674" s="6">
        <f>IFERROR(__xludf.DUMMYFUNCTION("""COMPUTED_VALUE"""),1390.11)</f>
        <v/>
      </c>
      <c r="AH1674" s="6">
        <f>AI1674&amp;AJ1674</f>
        <v/>
      </c>
      <c r="AI1674" s="6">
        <f>YEAR(AK1674)</f>
        <v/>
      </c>
      <c r="AJ1674" s="6">
        <f>MONTH(AK1674)</f>
        <v/>
      </c>
      <c r="AK1674" s="267">
        <f>IFERROR(__xludf.DUMMYFUNCTION("""COMPUTED_VALUE"""),44767.9986111111)</f>
        <v/>
      </c>
      <c r="AL1674" s="6">
        <f>IFERROR(__xludf.DUMMYFUNCTION("""COMPUTED_VALUE"""),21296.21)</f>
        <v/>
      </c>
      <c r="AP1674" s="6">
        <f>AQ1674&amp;AR1674</f>
        <v/>
      </c>
      <c r="AQ1674" s="6">
        <f>YEAR(AS1674)</f>
        <v/>
      </c>
      <c r="AR1674" s="6">
        <f>MONTH(AS1674)</f>
        <v/>
      </c>
      <c r="AS1674" s="267">
        <f>IFERROR(__xludf.DUMMYFUNCTION("""COMPUTED_VALUE"""),45538.9986111111)</f>
        <v/>
      </c>
      <c r="AT1674" s="6">
        <f>IFERROR(__xludf.DUMMYFUNCTION("""COMPUTED_VALUE"""),2523)</f>
        <v/>
      </c>
    </row>
    <row r="1675">
      <c r="B1675" s="6">
        <f>C1675&amp;D1675</f>
        <v/>
      </c>
      <c r="C1675" s="6">
        <f>YEAR(E1675)</f>
        <v/>
      </c>
      <c r="D1675" s="6">
        <f>MONTH(E1675)</f>
        <v/>
      </c>
      <c r="E1675" s="267">
        <f>IFERROR(__xludf.DUMMYFUNCTION("""COMPUTED_VALUE"""),45531.6666666666)</f>
        <v/>
      </c>
      <c r="F1675" s="6">
        <f>IFERROR(__xludf.DUMMYFUNCTION("""COMPUTED_VALUE"""),5625.8)</f>
        <v/>
      </c>
      <c r="J1675" s="6">
        <f>K1675&amp;L1675</f>
        <v/>
      </c>
      <c r="K1675" s="6">
        <f>YEAR(M1675)</f>
        <v/>
      </c>
      <c r="L1675" s="6">
        <f>MONTH(M1675)</f>
        <v/>
      </c>
      <c r="M1675" s="267">
        <f>IFERROR(__xludf.DUMMYFUNCTION("""COMPUTED_VALUE"""),45523.6666666666)</f>
        <v/>
      </c>
      <c r="N1675" s="6">
        <f>IFERROR(__xludf.DUMMYFUNCTION("""COMPUTED_VALUE"""),17876.77)</f>
        <v/>
      </c>
      <c r="R1675" s="6">
        <f>S1675&amp;T1675</f>
        <v/>
      </c>
      <c r="S1675" s="6">
        <f>YEAR(U1675)</f>
        <v/>
      </c>
      <c r="T1675" s="6">
        <f>MONTH(U1675)</f>
        <v/>
      </c>
      <c r="U1675" s="267">
        <f>IFERROR(__xludf.DUMMYFUNCTION("""COMPUTED_VALUE"""),45593.6458333333)</f>
        <v/>
      </c>
      <c r="V1675" s="6">
        <f>IFERROR(__xludf.DUMMYFUNCTION("""COMPUTED_VALUE"""),2612.43)</f>
        <v/>
      </c>
      <c r="Z1675" s="6">
        <f>AA1675&amp;AB1675</f>
        <v/>
      </c>
      <c r="AA1675" s="6">
        <f>YEAR(AC1675)</f>
        <v/>
      </c>
      <c r="AB1675" s="6">
        <f>MONTH(AC1675)</f>
        <v/>
      </c>
      <c r="AC1675" s="267">
        <f>IFERROR(__xludf.DUMMYFUNCTION("""COMPUTED_VALUE"""),44824.9986111111)</f>
        <v/>
      </c>
      <c r="AD1675" s="6">
        <f>IFERROR(__xludf.DUMMYFUNCTION("""COMPUTED_VALUE"""),1392.51)</f>
        <v/>
      </c>
      <c r="AH1675" s="6">
        <f>AI1675&amp;AJ1675</f>
        <v/>
      </c>
      <c r="AI1675" s="6">
        <f>YEAR(AK1675)</f>
        <v/>
      </c>
      <c r="AJ1675" s="6">
        <f>MONTH(AK1675)</f>
        <v/>
      </c>
      <c r="AK1675" s="267">
        <f>IFERROR(__xludf.DUMMYFUNCTION("""COMPUTED_VALUE"""),44768.9986111111)</f>
        <v/>
      </c>
      <c r="AL1675" s="6">
        <f>IFERROR(__xludf.DUMMYFUNCTION("""COMPUTED_VALUE"""),21265.27)</f>
        <v/>
      </c>
      <c r="AP1675" s="6">
        <f>AQ1675&amp;AR1675</f>
        <v/>
      </c>
      <c r="AQ1675" s="6">
        <f>YEAR(AS1675)</f>
        <v/>
      </c>
      <c r="AR1675" s="6">
        <f>MONTH(AS1675)</f>
        <v/>
      </c>
      <c r="AS1675" s="267">
        <f>IFERROR(__xludf.DUMMYFUNCTION("""COMPUTED_VALUE"""),45539.9986111111)</f>
        <v/>
      </c>
      <c r="AT1675" s="6">
        <f>IFERROR(__xludf.DUMMYFUNCTION("""COMPUTED_VALUE"""),2526)</f>
        <v/>
      </c>
    </row>
    <row r="1676">
      <c r="B1676" s="6">
        <f>C1676&amp;D1676</f>
        <v/>
      </c>
      <c r="C1676" s="6">
        <f>YEAR(E1676)</f>
        <v/>
      </c>
      <c r="D1676" s="6">
        <f>MONTH(E1676)</f>
        <v/>
      </c>
      <c r="E1676" s="267">
        <f>IFERROR(__xludf.DUMMYFUNCTION("""COMPUTED_VALUE"""),45532.6666666666)</f>
        <v/>
      </c>
      <c r="F1676" s="6">
        <f>IFERROR(__xludf.DUMMYFUNCTION("""COMPUTED_VALUE"""),5592.18)</f>
        <v/>
      </c>
      <c r="J1676" s="6">
        <f>K1676&amp;L1676</f>
        <v/>
      </c>
      <c r="K1676" s="6">
        <f>YEAR(M1676)</f>
        <v/>
      </c>
      <c r="L1676" s="6">
        <f>MONTH(M1676)</f>
        <v/>
      </c>
      <c r="M1676" s="267">
        <f>IFERROR(__xludf.DUMMYFUNCTION("""COMPUTED_VALUE"""),45524.6666666666)</f>
        <v/>
      </c>
      <c r="N1676" s="6">
        <f>IFERROR(__xludf.DUMMYFUNCTION("""COMPUTED_VALUE"""),17816.94)</f>
        <v/>
      </c>
      <c r="R1676" s="6">
        <f>S1676&amp;T1676</f>
        <v/>
      </c>
      <c r="S1676" s="6">
        <f>YEAR(U1676)</f>
        <v/>
      </c>
      <c r="T1676" s="6">
        <f>MONTH(U1676)</f>
        <v/>
      </c>
      <c r="U1676" s="267">
        <f>IFERROR(__xludf.DUMMYFUNCTION("""COMPUTED_VALUE"""),45594.6458333333)</f>
        <v/>
      </c>
      <c r="V1676" s="6">
        <f>IFERROR(__xludf.DUMMYFUNCTION("""COMPUTED_VALUE"""),2617.8)</f>
        <v/>
      </c>
      <c r="Z1676" s="6">
        <f>AA1676&amp;AB1676</f>
        <v/>
      </c>
      <c r="AA1676" s="6">
        <f>YEAR(AC1676)</f>
        <v/>
      </c>
      <c r="AB1676" s="6">
        <f>MONTH(AC1676)</f>
        <v/>
      </c>
      <c r="AC1676" s="267">
        <f>IFERROR(__xludf.DUMMYFUNCTION("""COMPUTED_VALUE"""),44825.9986111111)</f>
        <v/>
      </c>
      <c r="AD1676" s="6">
        <f>IFERROR(__xludf.DUMMYFUNCTION("""COMPUTED_VALUE"""),1397.56)</f>
        <v/>
      </c>
      <c r="AH1676" s="6">
        <f>AI1676&amp;AJ1676</f>
        <v/>
      </c>
      <c r="AI1676" s="6">
        <f>YEAR(AK1676)</f>
        <v/>
      </c>
      <c r="AJ1676" s="6">
        <f>MONTH(AK1676)</f>
        <v/>
      </c>
      <c r="AK1676" s="267">
        <f>IFERROR(__xludf.DUMMYFUNCTION("""COMPUTED_VALUE"""),44769.9986111111)</f>
        <v/>
      </c>
      <c r="AL1676" s="6">
        <f>IFERROR(__xludf.DUMMYFUNCTION("""COMPUTED_VALUE"""),22956.37)</f>
        <v/>
      </c>
      <c r="AP1676" s="6">
        <f>AQ1676&amp;AR1676</f>
        <v/>
      </c>
      <c r="AQ1676" s="6">
        <f>YEAR(AS1676)</f>
        <v/>
      </c>
      <c r="AR1676" s="6">
        <f>MONTH(AS1676)</f>
        <v/>
      </c>
      <c r="AS1676" s="267">
        <f>IFERROR(__xludf.DUMMYFUNCTION("""COMPUTED_VALUE"""),45540.9986111111)</f>
        <v/>
      </c>
      <c r="AT1676" s="6">
        <f>IFERROR(__xludf.DUMMYFUNCTION("""COMPUTED_VALUE"""),2543.1)</f>
        <v/>
      </c>
    </row>
    <row r="1677">
      <c r="B1677" s="6">
        <f>C1677&amp;D1677</f>
        <v/>
      </c>
      <c r="C1677" s="6">
        <f>YEAR(E1677)</f>
        <v/>
      </c>
      <c r="D1677" s="6">
        <f>MONTH(E1677)</f>
        <v/>
      </c>
      <c r="E1677" s="267">
        <f>IFERROR(__xludf.DUMMYFUNCTION("""COMPUTED_VALUE"""),45533.6666666666)</f>
        <v/>
      </c>
      <c r="F1677" s="6">
        <f>IFERROR(__xludf.DUMMYFUNCTION("""COMPUTED_VALUE"""),5591.96)</f>
        <v/>
      </c>
      <c r="J1677" s="6">
        <f>K1677&amp;L1677</f>
        <v/>
      </c>
      <c r="K1677" s="6">
        <f>YEAR(M1677)</f>
        <v/>
      </c>
      <c r="L1677" s="6">
        <f>MONTH(M1677)</f>
        <v/>
      </c>
      <c r="M1677" s="267">
        <f>IFERROR(__xludf.DUMMYFUNCTION("""COMPUTED_VALUE"""),45525.6666666666)</f>
        <v/>
      </c>
      <c r="N1677" s="6">
        <f>IFERROR(__xludf.DUMMYFUNCTION("""COMPUTED_VALUE"""),17918.99)</f>
        <v/>
      </c>
      <c r="R1677" s="6">
        <f>S1677&amp;T1677</f>
        <v/>
      </c>
      <c r="S1677" s="6">
        <f>YEAR(U1677)</f>
        <v/>
      </c>
      <c r="T1677" s="6">
        <f>MONTH(U1677)</f>
        <v/>
      </c>
      <c r="U1677" s="267">
        <f>IFERROR(__xludf.DUMMYFUNCTION("""COMPUTED_VALUE"""),45595.6458333333)</f>
        <v/>
      </c>
      <c r="V1677" s="6">
        <f>IFERROR(__xludf.DUMMYFUNCTION("""COMPUTED_VALUE"""),2593.79)</f>
        <v/>
      </c>
      <c r="Z1677" s="6">
        <f>AA1677&amp;AB1677</f>
        <v/>
      </c>
      <c r="AA1677" s="6">
        <f>YEAR(AC1677)</f>
        <v/>
      </c>
      <c r="AB1677" s="6">
        <f>MONTH(AC1677)</f>
        <v/>
      </c>
      <c r="AC1677" s="267">
        <f>IFERROR(__xludf.DUMMYFUNCTION("""COMPUTED_VALUE"""),44826.9986111111)</f>
        <v/>
      </c>
      <c r="AD1677" s="6">
        <f>IFERROR(__xludf.DUMMYFUNCTION("""COMPUTED_VALUE"""),1403.66)</f>
        <v/>
      </c>
      <c r="AH1677" s="6">
        <f>AI1677&amp;AJ1677</f>
        <v/>
      </c>
      <c r="AI1677" s="6">
        <f>YEAR(AK1677)</f>
        <v/>
      </c>
      <c r="AJ1677" s="6">
        <f>MONTH(AK1677)</f>
        <v/>
      </c>
      <c r="AK1677" s="267">
        <f>IFERROR(__xludf.DUMMYFUNCTION("""COMPUTED_VALUE"""),44770.9986111111)</f>
        <v/>
      </c>
      <c r="AL1677" s="6">
        <f>IFERROR(__xludf.DUMMYFUNCTION("""COMPUTED_VALUE"""),23853.65)</f>
        <v/>
      </c>
      <c r="AP1677" s="6">
        <f>AQ1677&amp;AR1677</f>
        <v/>
      </c>
      <c r="AQ1677" s="6">
        <f>YEAR(AS1677)</f>
        <v/>
      </c>
      <c r="AR1677" s="6">
        <f>MONTH(AS1677)</f>
        <v/>
      </c>
      <c r="AS1677" s="267">
        <f>IFERROR(__xludf.DUMMYFUNCTION("""COMPUTED_VALUE"""),45541.9986111111)</f>
        <v/>
      </c>
      <c r="AT1677" s="6">
        <f>IFERROR(__xludf.DUMMYFUNCTION("""COMPUTED_VALUE"""),2524.6)</f>
        <v/>
      </c>
    </row>
    <row r="1678">
      <c r="B1678" s="6">
        <f>C1678&amp;D1678</f>
        <v/>
      </c>
      <c r="C1678" s="6">
        <f>YEAR(E1678)</f>
        <v/>
      </c>
      <c r="D1678" s="6">
        <f>MONTH(E1678)</f>
        <v/>
      </c>
      <c r="E1678" s="267">
        <f>IFERROR(__xludf.DUMMYFUNCTION("""COMPUTED_VALUE"""),45534.6666666666)</f>
        <v/>
      </c>
      <c r="F1678" s="6">
        <f>IFERROR(__xludf.DUMMYFUNCTION("""COMPUTED_VALUE"""),5648.4)</f>
        <v/>
      </c>
      <c r="J1678" s="6">
        <f>K1678&amp;L1678</f>
        <v/>
      </c>
      <c r="K1678" s="6">
        <f>YEAR(M1678)</f>
        <v/>
      </c>
      <c r="L1678" s="6">
        <f>MONTH(M1678)</f>
        <v/>
      </c>
      <c r="M1678" s="267">
        <f>IFERROR(__xludf.DUMMYFUNCTION("""COMPUTED_VALUE"""),45526.6666666666)</f>
        <v/>
      </c>
      <c r="N1678" s="6">
        <f>IFERROR(__xludf.DUMMYFUNCTION("""COMPUTED_VALUE"""),17619.35)</f>
        <v/>
      </c>
      <c r="R1678" s="6">
        <f>S1678&amp;T1678</f>
        <v/>
      </c>
      <c r="S1678" s="6">
        <f>YEAR(U1678)</f>
        <v/>
      </c>
      <c r="T1678" s="6">
        <f>MONTH(U1678)</f>
        <v/>
      </c>
      <c r="U1678" s="267">
        <f>IFERROR(__xludf.DUMMYFUNCTION("""COMPUTED_VALUE"""),45596.6458333333)</f>
        <v/>
      </c>
      <c r="V1678" s="6">
        <f>IFERROR(__xludf.DUMMYFUNCTION("""COMPUTED_VALUE"""),2556.15)</f>
        <v/>
      </c>
      <c r="Z1678" s="6">
        <f>AA1678&amp;AB1678</f>
        <v/>
      </c>
      <c r="AA1678" s="6">
        <f>YEAR(AC1678)</f>
        <v/>
      </c>
      <c r="AB1678" s="6">
        <f>MONTH(AC1678)</f>
        <v/>
      </c>
      <c r="AC1678" s="267">
        <f>IFERROR(__xludf.DUMMYFUNCTION("""COMPUTED_VALUE"""),44827.9986111111)</f>
        <v/>
      </c>
      <c r="AD1678" s="6">
        <f>IFERROR(__xludf.DUMMYFUNCTION("""COMPUTED_VALUE"""),1420.32)</f>
        <v/>
      </c>
      <c r="AH1678" s="6">
        <f>AI1678&amp;AJ1678</f>
        <v/>
      </c>
      <c r="AI1678" s="6">
        <f>YEAR(AK1678)</f>
        <v/>
      </c>
      <c r="AJ1678" s="6">
        <f>MONTH(AK1678)</f>
        <v/>
      </c>
      <c r="AK1678" s="267">
        <f>IFERROR(__xludf.DUMMYFUNCTION("""COMPUTED_VALUE"""),44771.9986111111)</f>
        <v/>
      </c>
      <c r="AL1678" s="6">
        <f>IFERROR(__xludf.DUMMYFUNCTION("""COMPUTED_VALUE"""),23776.16)</f>
        <v/>
      </c>
      <c r="AP1678" s="6">
        <f>AQ1678&amp;AR1678</f>
        <v/>
      </c>
      <c r="AQ1678" s="6">
        <f>YEAR(AS1678)</f>
        <v/>
      </c>
      <c r="AR1678" s="6">
        <f>MONTH(AS1678)</f>
        <v/>
      </c>
      <c r="AS1678" s="267">
        <f>IFERROR(__xludf.DUMMYFUNCTION("""COMPUTED_VALUE"""),45544.9986111111)</f>
        <v/>
      </c>
      <c r="AT1678" s="6">
        <f>IFERROR(__xludf.DUMMYFUNCTION("""COMPUTED_VALUE"""),2532.7)</f>
        <v/>
      </c>
    </row>
    <row r="1679">
      <c r="B1679" s="6">
        <f>C1679&amp;D1679</f>
        <v/>
      </c>
      <c r="C1679" s="6">
        <f>YEAR(E1679)</f>
        <v/>
      </c>
      <c r="D1679" s="6">
        <f>MONTH(E1679)</f>
        <v/>
      </c>
      <c r="E1679" s="267">
        <f>IFERROR(__xludf.DUMMYFUNCTION("""COMPUTED_VALUE"""),45538.6666666666)</f>
        <v/>
      </c>
      <c r="F1679" s="6">
        <f>IFERROR(__xludf.DUMMYFUNCTION("""COMPUTED_VALUE"""),5528.93)</f>
        <v/>
      </c>
      <c r="J1679" s="6">
        <f>K1679&amp;L1679</f>
        <v/>
      </c>
      <c r="K1679" s="6">
        <f>YEAR(M1679)</f>
        <v/>
      </c>
      <c r="L1679" s="6">
        <f>MONTH(M1679)</f>
        <v/>
      </c>
      <c r="M1679" s="267">
        <f>IFERROR(__xludf.DUMMYFUNCTION("""COMPUTED_VALUE"""),45527.6666666666)</f>
        <v/>
      </c>
      <c r="N1679" s="6">
        <f>IFERROR(__xludf.DUMMYFUNCTION("""COMPUTED_VALUE"""),17877.79)</f>
        <v/>
      </c>
      <c r="R1679" s="6">
        <f>S1679&amp;T1679</f>
        <v/>
      </c>
      <c r="S1679" s="6">
        <f>YEAR(U1679)</f>
        <v/>
      </c>
      <c r="T1679" s="6">
        <f>MONTH(U1679)</f>
        <v/>
      </c>
      <c r="U1679" s="267">
        <f>IFERROR(__xludf.DUMMYFUNCTION("""COMPUTED_VALUE"""),45597.6458333333)</f>
        <v/>
      </c>
      <c r="V1679" s="6">
        <f>IFERROR(__xludf.DUMMYFUNCTION("""COMPUTED_VALUE"""),2542.36)</f>
        <v/>
      </c>
      <c r="Z1679" s="6">
        <f>AA1679&amp;AB1679</f>
        <v/>
      </c>
      <c r="AA1679" s="6">
        <f>YEAR(AC1679)</f>
        <v/>
      </c>
      <c r="AB1679" s="6">
        <f>MONTH(AC1679)</f>
        <v/>
      </c>
      <c r="AC1679" s="267">
        <f>IFERROR(__xludf.DUMMYFUNCTION("""COMPUTED_VALUE"""),44828.9986111111)</f>
        <v/>
      </c>
      <c r="AD1679" s="6">
        <f>IFERROR(__xludf.DUMMYFUNCTION("""COMPUTED_VALUE"""),1420.26)</f>
        <v/>
      </c>
      <c r="AH1679" s="6">
        <f>AI1679&amp;AJ1679</f>
        <v/>
      </c>
      <c r="AI1679" s="6">
        <f>YEAR(AK1679)</f>
        <v/>
      </c>
      <c r="AJ1679" s="6">
        <f>MONTH(AK1679)</f>
        <v/>
      </c>
      <c r="AK1679" s="267">
        <f>IFERROR(__xludf.DUMMYFUNCTION("""COMPUTED_VALUE"""),44772.9986111111)</f>
        <v/>
      </c>
      <c r="AL1679" s="6">
        <f>IFERROR(__xludf.DUMMYFUNCTION("""COMPUTED_VALUE"""),23643.25)</f>
        <v/>
      </c>
      <c r="AP1679" s="6">
        <f>AQ1679&amp;AR1679</f>
        <v/>
      </c>
      <c r="AQ1679" s="6">
        <f>YEAR(AS1679)</f>
        <v/>
      </c>
      <c r="AR1679" s="6">
        <f>MONTH(AS1679)</f>
        <v/>
      </c>
      <c r="AS1679" s="267">
        <f>IFERROR(__xludf.DUMMYFUNCTION("""COMPUTED_VALUE"""),45545.9986111111)</f>
        <v/>
      </c>
      <c r="AT1679" s="6">
        <f>IFERROR(__xludf.DUMMYFUNCTION("""COMPUTED_VALUE"""),2543.1)</f>
        <v/>
      </c>
    </row>
    <row r="1680">
      <c r="B1680" s="6">
        <f>C1680&amp;D1680</f>
        <v/>
      </c>
      <c r="C1680" s="6">
        <f>YEAR(E1680)</f>
        <v/>
      </c>
      <c r="D1680" s="6">
        <f>MONTH(E1680)</f>
        <v/>
      </c>
      <c r="E1680" s="267">
        <f>IFERROR(__xludf.DUMMYFUNCTION("""COMPUTED_VALUE"""),45539.6666666666)</f>
        <v/>
      </c>
      <c r="F1680" s="6">
        <f>IFERROR(__xludf.DUMMYFUNCTION("""COMPUTED_VALUE"""),5520.07)</f>
        <v/>
      </c>
      <c r="J1680" s="6">
        <f>K1680&amp;L1680</f>
        <v/>
      </c>
      <c r="K1680" s="6">
        <f>YEAR(M1680)</f>
        <v/>
      </c>
      <c r="L1680" s="6">
        <f>MONTH(M1680)</f>
        <v/>
      </c>
      <c r="M1680" s="267">
        <f>IFERROR(__xludf.DUMMYFUNCTION("""COMPUTED_VALUE"""),45530.6666666666)</f>
        <v/>
      </c>
      <c r="N1680" s="6">
        <f>IFERROR(__xludf.DUMMYFUNCTION("""COMPUTED_VALUE"""),17725.77)</f>
        <v/>
      </c>
      <c r="R1680" s="6">
        <f>S1680&amp;T1680</f>
        <v/>
      </c>
      <c r="S1680" s="6">
        <f>YEAR(U1680)</f>
        <v/>
      </c>
      <c r="T1680" s="6">
        <f>MONTH(U1680)</f>
        <v/>
      </c>
      <c r="U1680" s="267">
        <f>IFERROR(__xludf.DUMMYFUNCTION("""COMPUTED_VALUE"""),45600.6458333333)</f>
        <v/>
      </c>
      <c r="V1680" s="6">
        <f>IFERROR(__xludf.DUMMYFUNCTION("""COMPUTED_VALUE"""),2588.97)</f>
        <v/>
      </c>
      <c r="Z1680" s="6">
        <f>AA1680&amp;AB1680</f>
        <v/>
      </c>
      <c r="AA1680" s="6">
        <f>YEAR(AC1680)</f>
        <v/>
      </c>
      <c r="AB1680" s="6">
        <f>MONTH(AC1680)</f>
        <v/>
      </c>
      <c r="AC1680" s="267">
        <f>IFERROR(__xludf.DUMMYFUNCTION("""COMPUTED_VALUE"""),44829.9986111111)</f>
        <v/>
      </c>
      <c r="AD1680" s="6">
        <f>IFERROR(__xludf.DUMMYFUNCTION("""COMPUTED_VALUE"""),1421.81)</f>
        <v/>
      </c>
      <c r="AH1680" s="6">
        <f>AI1680&amp;AJ1680</f>
        <v/>
      </c>
      <c r="AI1680" s="6">
        <f>YEAR(AK1680)</f>
        <v/>
      </c>
      <c r="AJ1680" s="6">
        <f>MONTH(AK1680)</f>
        <v/>
      </c>
      <c r="AK1680" s="267">
        <f>IFERROR(__xludf.DUMMYFUNCTION("""COMPUTED_VALUE"""),44773.9986111111)</f>
        <v/>
      </c>
      <c r="AL1680" s="6">
        <f>IFERROR(__xludf.DUMMYFUNCTION("""COMPUTED_VALUE"""),23308.66)</f>
        <v/>
      </c>
      <c r="AP1680" s="6">
        <f>AQ1680&amp;AR1680</f>
        <v/>
      </c>
      <c r="AQ1680" s="6">
        <f>YEAR(AS1680)</f>
        <v/>
      </c>
      <c r="AR1680" s="6">
        <f>MONTH(AS1680)</f>
        <v/>
      </c>
      <c r="AS1680" s="267">
        <f>IFERROR(__xludf.DUMMYFUNCTION("""COMPUTED_VALUE"""),45546.9986111111)</f>
        <v/>
      </c>
      <c r="AT1680" s="6">
        <f>IFERROR(__xludf.DUMMYFUNCTION("""COMPUTED_VALUE"""),2542.4)</f>
        <v/>
      </c>
    </row>
    <row r="1681">
      <c r="B1681" s="6">
        <f>C1681&amp;D1681</f>
        <v/>
      </c>
      <c r="C1681" s="6">
        <f>YEAR(E1681)</f>
        <v/>
      </c>
      <c r="D1681" s="6">
        <f>MONTH(E1681)</f>
        <v/>
      </c>
      <c r="E1681" s="267">
        <f>IFERROR(__xludf.DUMMYFUNCTION("""COMPUTED_VALUE"""),45540.6666666666)</f>
        <v/>
      </c>
      <c r="F1681" s="6">
        <f>IFERROR(__xludf.DUMMYFUNCTION("""COMPUTED_VALUE"""),5503.41)</f>
        <v/>
      </c>
      <c r="J1681" s="6">
        <f>K1681&amp;L1681</f>
        <v/>
      </c>
      <c r="K1681" s="6">
        <f>YEAR(M1681)</f>
        <v/>
      </c>
      <c r="L1681" s="6">
        <f>MONTH(M1681)</f>
        <v/>
      </c>
      <c r="M1681" s="267">
        <f>IFERROR(__xludf.DUMMYFUNCTION("""COMPUTED_VALUE"""),45531.6666666666)</f>
        <v/>
      </c>
      <c r="N1681" s="6">
        <f>IFERROR(__xludf.DUMMYFUNCTION("""COMPUTED_VALUE"""),17754.82)</f>
        <v/>
      </c>
      <c r="R1681" s="6">
        <f>S1681&amp;T1681</f>
        <v/>
      </c>
      <c r="S1681" s="6">
        <f>YEAR(U1681)</f>
        <v/>
      </c>
      <c r="T1681" s="6">
        <f>MONTH(U1681)</f>
        <v/>
      </c>
      <c r="U1681" s="267">
        <f>IFERROR(__xludf.DUMMYFUNCTION("""COMPUTED_VALUE"""),45601.6458333333)</f>
        <v/>
      </c>
      <c r="V1681" s="6">
        <f>IFERROR(__xludf.DUMMYFUNCTION("""COMPUTED_VALUE"""),2576.88)</f>
        <v/>
      </c>
      <c r="Z1681" s="6">
        <f>AA1681&amp;AB1681</f>
        <v/>
      </c>
      <c r="AA1681" s="6">
        <f>YEAR(AC1681)</f>
        <v/>
      </c>
      <c r="AB1681" s="6">
        <f>MONTH(AC1681)</f>
        <v/>
      </c>
      <c r="AC1681" s="267">
        <f>IFERROR(__xludf.DUMMYFUNCTION("""COMPUTED_VALUE"""),44830.9986111111)</f>
        <v/>
      </c>
      <c r="AD1681" s="6">
        <f>IFERROR(__xludf.DUMMYFUNCTION("""COMPUTED_VALUE"""),1429.77)</f>
        <v/>
      </c>
      <c r="AH1681" s="6">
        <f>AI1681&amp;AJ1681</f>
        <v/>
      </c>
      <c r="AI1681" s="6">
        <f>YEAR(AK1681)</f>
        <v/>
      </c>
      <c r="AJ1681" s="6">
        <f>MONTH(AK1681)</f>
        <v/>
      </c>
      <c r="AK1681" s="267">
        <f>IFERROR(__xludf.DUMMYFUNCTION("""COMPUTED_VALUE"""),44774.9986111111)</f>
        <v/>
      </c>
      <c r="AL1681" s="6">
        <f>IFERROR(__xludf.DUMMYFUNCTION("""COMPUTED_VALUE"""),23274.66)</f>
        <v/>
      </c>
      <c r="AP1681" s="6">
        <f>AQ1681&amp;AR1681</f>
        <v/>
      </c>
      <c r="AQ1681" s="6">
        <f>YEAR(AS1681)</f>
        <v/>
      </c>
      <c r="AR1681" s="6">
        <f>MONTH(AS1681)</f>
        <v/>
      </c>
      <c r="AS1681" s="267">
        <f>IFERROR(__xludf.DUMMYFUNCTION("""COMPUTED_VALUE"""),45547.9986111111)</f>
        <v/>
      </c>
      <c r="AT1681" s="6">
        <f>IFERROR(__xludf.DUMMYFUNCTION("""COMPUTED_VALUE"""),2580.6)</f>
        <v/>
      </c>
    </row>
    <row r="1682">
      <c r="B1682" s="6">
        <f>C1682&amp;D1682</f>
        <v/>
      </c>
      <c r="C1682" s="6">
        <f>YEAR(E1682)</f>
        <v/>
      </c>
      <c r="D1682" s="6">
        <f>MONTH(E1682)</f>
        <v/>
      </c>
      <c r="E1682" s="267">
        <f>IFERROR(__xludf.DUMMYFUNCTION("""COMPUTED_VALUE"""),45541.6666666666)</f>
        <v/>
      </c>
      <c r="F1682" s="6">
        <f>IFERROR(__xludf.DUMMYFUNCTION("""COMPUTED_VALUE"""),5408.42)</f>
        <v/>
      </c>
      <c r="J1682" s="6">
        <f>K1682&amp;L1682</f>
        <v/>
      </c>
      <c r="K1682" s="6">
        <f>YEAR(M1682)</f>
        <v/>
      </c>
      <c r="L1682" s="6">
        <f>MONTH(M1682)</f>
        <v/>
      </c>
      <c r="M1682" s="267">
        <f>IFERROR(__xludf.DUMMYFUNCTION("""COMPUTED_VALUE"""),45532.6666666666)</f>
        <v/>
      </c>
      <c r="N1682" s="6">
        <f>IFERROR(__xludf.DUMMYFUNCTION("""COMPUTED_VALUE"""),17556.03)</f>
        <v/>
      </c>
      <c r="R1682" s="6">
        <f>S1682&amp;T1682</f>
        <v/>
      </c>
      <c r="S1682" s="6">
        <f>YEAR(U1682)</f>
        <v/>
      </c>
      <c r="T1682" s="6">
        <f>MONTH(U1682)</f>
        <v/>
      </c>
      <c r="U1682" s="267">
        <f>IFERROR(__xludf.DUMMYFUNCTION("""COMPUTED_VALUE"""),45602.6458333333)</f>
        <v/>
      </c>
      <c r="V1682" s="6">
        <f>IFERROR(__xludf.DUMMYFUNCTION("""COMPUTED_VALUE"""),2563.51)</f>
        <v/>
      </c>
      <c r="Z1682" s="6">
        <f>AA1682&amp;AB1682</f>
        <v/>
      </c>
      <c r="AA1682" s="6">
        <f>YEAR(AC1682)</f>
        <v/>
      </c>
      <c r="AB1682" s="6">
        <f>MONTH(AC1682)</f>
        <v/>
      </c>
      <c r="AC1682" s="267">
        <f>IFERROR(__xludf.DUMMYFUNCTION("""COMPUTED_VALUE"""),44831.9986111111)</f>
        <v/>
      </c>
      <c r="AD1682" s="6">
        <f>IFERROR(__xludf.DUMMYFUNCTION("""COMPUTED_VALUE"""),1426.26)</f>
        <v/>
      </c>
      <c r="AH1682" s="6">
        <f>AI1682&amp;AJ1682</f>
        <v/>
      </c>
      <c r="AI1682" s="6">
        <f>YEAR(AK1682)</f>
        <v/>
      </c>
      <c r="AJ1682" s="6">
        <f>MONTH(AK1682)</f>
        <v/>
      </c>
      <c r="AK1682" s="267">
        <f>IFERROR(__xludf.DUMMYFUNCTION("""COMPUTED_VALUE"""),44775.9986111111)</f>
        <v/>
      </c>
      <c r="AL1682" s="6">
        <f>IFERROR(__xludf.DUMMYFUNCTION("""COMPUTED_VALUE"""),22990.85)</f>
        <v/>
      </c>
      <c r="AP1682" s="6">
        <f>AQ1682&amp;AR1682</f>
        <v/>
      </c>
      <c r="AQ1682" s="6">
        <f>YEAR(AS1682)</f>
        <v/>
      </c>
      <c r="AR1682" s="6">
        <f>MONTH(AS1682)</f>
        <v/>
      </c>
      <c r="AS1682" s="267">
        <f>IFERROR(__xludf.DUMMYFUNCTION("""COMPUTED_VALUE"""),45548.9986111111)</f>
        <v/>
      </c>
      <c r="AT1682" s="6">
        <f>IFERROR(__xludf.DUMMYFUNCTION("""COMPUTED_VALUE"""),2610.7)</f>
        <v/>
      </c>
    </row>
    <row r="1683">
      <c r="B1683" s="6">
        <f>C1683&amp;D1683</f>
        <v/>
      </c>
      <c r="C1683" s="6">
        <f>YEAR(E1683)</f>
        <v/>
      </c>
      <c r="D1683" s="6">
        <f>MONTH(E1683)</f>
        <v/>
      </c>
      <c r="E1683" s="267">
        <f>IFERROR(__xludf.DUMMYFUNCTION("""COMPUTED_VALUE"""),45544.6666666666)</f>
        <v/>
      </c>
      <c r="F1683" s="6">
        <f>IFERROR(__xludf.DUMMYFUNCTION("""COMPUTED_VALUE"""),5471.05)</f>
        <v/>
      </c>
      <c r="J1683" s="6">
        <f>K1683&amp;L1683</f>
        <v/>
      </c>
      <c r="K1683" s="6">
        <f>YEAR(M1683)</f>
        <v/>
      </c>
      <c r="L1683" s="6">
        <f>MONTH(M1683)</f>
        <v/>
      </c>
      <c r="M1683" s="267">
        <f>IFERROR(__xludf.DUMMYFUNCTION("""COMPUTED_VALUE"""),45533.6666666666)</f>
        <v/>
      </c>
      <c r="N1683" s="6">
        <f>IFERROR(__xludf.DUMMYFUNCTION("""COMPUTED_VALUE"""),17516.43)</f>
        <v/>
      </c>
      <c r="R1683" s="6">
        <f>S1683&amp;T1683</f>
        <v/>
      </c>
      <c r="S1683" s="6">
        <f>YEAR(U1683)</f>
        <v/>
      </c>
      <c r="T1683" s="6">
        <f>MONTH(U1683)</f>
        <v/>
      </c>
      <c r="U1683" s="267">
        <f>IFERROR(__xludf.DUMMYFUNCTION("""COMPUTED_VALUE"""),45603.6458333333)</f>
        <v/>
      </c>
      <c r="V1683" s="6">
        <f>IFERROR(__xludf.DUMMYFUNCTION("""COMPUTED_VALUE"""),2564.63)</f>
        <v/>
      </c>
      <c r="Z1683" s="6">
        <f>AA1683&amp;AB1683</f>
        <v/>
      </c>
      <c r="AA1683" s="6">
        <f>YEAR(AC1683)</f>
        <v/>
      </c>
      <c r="AB1683" s="6">
        <f>MONTH(AC1683)</f>
        <v/>
      </c>
      <c r="AC1683" s="267">
        <f>IFERROR(__xludf.DUMMYFUNCTION("""COMPUTED_VALUE"""),44832.9986111111)</f>
        <v/>
      </c>
      <c r="AD1683" s="6">
        <f>IFERROR(__xludf.DUMMYFUNCTION("""COMPUTED_VALUE"""),1421.95)</f>
        <v/>
      </c>
      <c r="AH1683" s="6">
        <f>AI1683&amp;AJ1683</f>
        <v/>
      </c>
      <c r="AI1683" s="6">
        <f>YEAR(AK1683)</f>
        <v/>
      </c>
      <c r="AJ1683" s="6">
        <f>MONTH(AK1683)</f>
        <v/>
      </c>
      <c r="AK1683" s="267">
        <f>IFERROR(__xludf.DUMMYFUNCTION("""COMPUTED_VALUE"""),44776.9986111111)</f>
        <v/>
      </c>
      <c r="AL1683" s="6">
        <f>IFERROR(__xludf.DUMMYFUNCTION("""COMPUTED_VALUE"""),22829.02)</f>
        <v/>
      </c>
      <c r="AP1683" s="6">
        <f>AQ1683&amp;AR1683</f>
        <v/>
      </c>
      <c r="AQ1683" s="6">
        <f>YEAR(AS1683)</f>
        <v/>
      </c>
      <c r="AR1683" s="6">
        <f>MONTH(AS1683)</f>
        <v/>
      </c>
      <c r="AS1683" s="267">
        <f>IFERROR(__xludf.DUMMYFUNCTION("""COMPUTED_VALUE"""),45551.9986111111)</f>
        <v/>
      </c>
      <c r="AT1683" s="6">
        <f>IFERROR(__xludf.DUMMYFUNCTION("""COMPUTED_VALUE"""),2608.9)</f>
        <v/>
      </c>
    </row>
    <row r="1684">
      <c r="B1684" s="6">
        <f>C1684&amp;D1684</f>
        <v/>
      </c>
      <c r="C1684" s="6">
        <f>YEAR(E1684)</f>
        <v/>
      </c>
      <c r="D1684" s="6">
        <f>MONTH(E1684)</f>
        <v/>
      </c>
      <c r="E1684" s="267">
        <f>IFERROR(__xludf.DUMMYFUNCTION("""COMPUTED_VALUE"""),45545.6666666666)</f>
        <v/>
      </c>
      <c r="F1684" s="6">
        <f>IFERROR(__xludf.DUMMYFUNCTION("""COMPUTED_VALUE"""),5495.52)</f>
        <v/>
      </c>
      <c r="J1684" s="6">
        <f>K1684&amp;L1684</f>
        <v/>
      </c>
      <c r="K1684" s="6">
        <f>YEAR(M1684)</f>
        <v/>
      </c>
      <c r="L1684" s="6">
        <f>MONTH(M1684)</f>
        <v/>
      </c>
      <c r="M1684" s="267">
        <f>IFERROR(__xludf.DUMMYFUNCTION("""COMPUTED_VALUE"""),45534.6666666666)</f>
        <v/>
      </c>
      <c r="N1684" s="6">
        <f>IFERROR(__xludf.DUMMYFUNCTION("""COMPUTED_VALUE"""),17713.62)</f>
        <v/>
      </c>
      <c r="R1684" s="6">
        <f>S1684&amp;T1684</f>
        <v/>
      </c>
      <c r="S1684" s="6">
        <f>YEAR(U1684)</f>
        <v/>
      </c>
      <c r="T1684" s="6">
        <f>MONTH(U1684)</f>
        <v/>
      </c>
      <c r="U1684" s="267">
        <f>IFERROR(__xludf.DUMMYFUNCTION("""COMPUTED_VALUE"""),45604.6458333333)</f>
        <v/>
      </c>
      <c r="V1684" s="6">
        <f>IFERROR(__xludf.DUMMYFUNCTION("""COMPUTED_VALUE"""),2561.15)</f>
        <v/>
      </c>
      <c r="Z1684" s="6">
        <f>AA1684&amp;AB1684</f>
        <v/>
      </c>
      <c r="AA1684" s="6">
        <f>YEAR(AC1684)</f>
        <v/>
      </c>
      <c r="AB1684" s="6">
        <f>MONTH(AC1684)</f>
        <v/>
      </c>
      <c r="AC1684" s="267">
        <f>IFERROR(__xludf.DUMMYFUNCTION("""COMPUTED_VALUE"""),44833.9986111111)</f>
        <v/>
      </c>
      <c r="AD1684" s="6">
        <f>IFERROR(__xludf.DUMMYFUNCTION("""COMPUTED_VALUE"""),1430.17)</f>
        <v/>
      </c>
      <c r="AH1684" s="6">
        <f>AI1684&amp;AJ1684</f>
        <v/>
      </c>
      <c r="AI1684" s="6">
        <f>YEAR(AK1684)</f>
        <v/>
      </c>
      <c r="AJ1684" s="6">
        <f>MONTH(AK1684)</f>
        <v/>
      </c>
      <c r="AK1684" s="267">
        <f>IFERROR(__xludf.DUMMYFUNCTION("""COMPUTED_VALUE"""),44777.9986111111)</f>
        <v/>
      </c>
      <c r="AL1684" s="6">
        <f>IFERROR(__xludf.DUMMYFUNCTION("""COMPUTED_VALUE"""),22611.98)</f>
        <v/>
      </c>
      <c r="AP1684" s="6">
        <f>AQ1684&amp;AR1684</f>
        <v/>
      </c>
      <c r="AQ1684" s="6">
        <f>YEAR(AS1684)</f>
        <v/>
      </c>
      <c r="AR1684" s="6">
        <f>MONTH(AS1684)</f>
        <v/>
      </c>
      <c r="AS1684" s="267">
        <f>IFERROR(__xludf.DUMMYFUNCTION("""COMPUTED_VALUE"""),45552.9986111111)</f>
        <v/>
      </c>
      <c r="AT1684" s="6">
        <f>IFERROR(__xludf.DUMMYFUNCTION("""COMPUTED_VALUE"""),2592.4)</f>
        <v/>
      </c>
    </row>
    <row r="1685">
      <c r="B1685" s="6">
        <f>C1685&amp;D1685</f>
        <v/>
      </c>
      <c r="C1685" s="6">
        <f>YEAR(E1685)</f>
        <v/>
      </c>
      <c r="D1685" s="6">
        <f>MONTH(E1685)</f>
        <v/>
      </c>
      <c r="E1685" s="267">
        <f>IFERROR(__xludf.DUMMYFUNCTION("""COMPUTED_VALUE"""),45546.6666666666)</f>
        <v/>
      </c>
      <c r="F1685" s="6">
        <f>IFERROR(__xludf.DUMMYFUNCTION("""COMPUTED_VALUE"""),5554.13)</f>
        <v/>
      </c>
      <c r="J1685" s="6">
        <f>K1685&amp;L1685</f>
        <v/>
      </c>
      <c r="K1685" s="6">
        <f>YEAR(M1685)</f>
        <v/>
      </c>
      <c r="L1685" s="6">
        <f>MONTH(M1685)</f>
        <v/>
      </c>
      <c r="M1685" s="267">
        <f>IFERROR(__xludf.DUMMYFUNCTION("""COMPUTED_VALUE"""),45538.6666666666)</f>
        <v/>
      </c>
      <c r="N1685" s="6">
        <f>IFERROR(__xludf.DUMMYFUNCTION("""COMPUTED_VALUE"""),17136.3)</f>
        <v/>
      </c>
      <c r="R1685" s="6">
        <f>S1685&amp;T1685</f>
        <v/>
      </c>
      <c r="S1685" s="6">
        <f>YEAR(U1685)</f>
        <v/>
      </c>
      <c r="T1685" s="6">
        <f>MONTH(U1685)</f>
        <v/>
      </c>
      <c r="U1685" s="267">
        <f>IFERROR(__xludf.DUMMYFUNCTION("""COMPUTED_VALUE"""),45607.6458333333)</f>
        <v/>
      </c>
      <c r="V1685" s="6">
        <f>IFERROR(__xludf.DUMMYFUNCTION("""COMPUTED_VALUE"""),2531.66)</f>
        <v/>
      </c>
      <c r="Z1685" s="6">
        <f>AA1685&amp;AB1685</f>
        <v/>
      </c>
      <c r="AA1685" s="6">
        <f>YEAR(AC1685)</f>
        <v/>
      </c>
      <c r="AB1685" s="6">
        <f>MONTH(AC1685)</f>
        <v/>
      </c>
      <c r="AC1685" s="267">
        <f>IFERROR(__xludf.DUMMYFUNCTION("""COMPUTED_VALUE"""),44834.9986111111)</f>
        <v/>
      </c>
      <c r="AD1685" s="6">
        <f>IFERROR(__xludf.DUMMYFUNCTION("""COMPUTED_VALUE"""),1439.13)</f>
        <v/>
      </c>
      <c r="AH1685" s="6">
        <f>AI1685&amp;AJ1685</f>
        <v/>
      </c>
      <c r="AI1685" s="6">
        <f>YEAR(AK1685)</f>
        <v/>
      </c>
      <c r="AJ1685" s="6">
        <f>MONTH(AK1685)</f>
        <v/>
      </c>
      <c r="AK1685" s="267">
        <f>IFERROR(__xludf.DUMMYFUNCTION("""COMPUTED_VALUE"""),44778.9986111111)</f>
        <v/>
      </c>
      <c r="AL1685" s="6">
        <f>IFERROR(__xludf.DUMMYFUNCTION("""COMPUTED_VALUE"""),23295.85)</f>
        <v/>
      </c>
      <c r="AP1685" s="6">
        <f>AQ1685&amp;AR1685</f>
        <v/>
      </c>
      <c r="AQ1685" s="6">
        <f>YEAR(AS1685)</f>
        <v/>
      </c>
      <c r="AR1685" s="6">
        <f>MONTH(AS1685)</f>
        <v/>
      </c>
      <c r="AS1685" s="267">
        <f>IFERROR(__xludf.DUMMYFUNCTION("""COMPUTED_VALUE"""),45553.9986111111)</f>
        <v/>
      </c>
      <c r="AT1685" s="6">
        <f>IFERROR(__xludf.DUMMYFUNCTION("""COMPUTED_VALUE"""),2598.6)</f>
        <v/>
      </c>
    </row>
    <row r="1686">
      <c r="B1686" s="6">
        <f>C1686&amp;D1686</f>
        <v/>
      </c>
      <c r="C1686" s="6">
        <f>YEAR(E1686)</f>
        <v/>
      </c>
      <c r="D1686" s="6">
        <f>MONTH(E1686)</f>
        <v/>
      </c>
      <c r="E1686" s="267">
        <f>IFERROR(__xludf.DUMMYFUNCTION("""COMPUTED_VALUE"""),45547.6666666666)</f>
        <v/>
      </c>
      <c r="F1686" s="6">
        <f>IFERROR(__xludf.DUMMYFUNCTION("""COMPUTED_VALUE"""),5595.76)</f>
        <v/>
      </c>
      <c r="J1686" s="6">
        <f>K1686&amp;L1686</f>
        <v/>
      </c>
      <c r="K1686" s="6">
        <f>YEAR(M1686)</f>
        <v/>
      </c>
      <c r="L1686" s="6">
        <f>MONTH(M1686)</f>
        <v/>
      </c>
      <c r="M1686" s="267">
        <f>IFERROR(__xludf.DUMMYFUNCTION("""COMPUTED_VALUE"""),45539.6666666666)</f>
        <v/>
      </c>
      <c r="N1686" s="6">
        <f>IFERROR(__xludf.DUMMYFUNCTION("""COMPUTED_VALUE"""),17084.3)</f>
        <v/>
      </c>
      <c r="R1686" s="6">
        <f>S1686&amp;T1686</f>
        <v/>
      </c>
      <c r="S1686" s="6">
        <f>YEAR(U1686)</f>
        <v/>
      </c>
      <c r="T1686" s="6">
        <f>MONTH(U1686)</f>
        <v/>
      </c>
      <c r="U1686" s="267">
        <f>IFERROR(__xludf.DUMMYFUNCTION("""COMPUTED_VALUE"""),45608.6458333333)</f>
        <v/>
      </c>
      <c r="V1686" s="6">
        <f>IFERROR(__xludf.DUMMYFUNCTION("""COMPUTED_VALUE"""),2482.57)</f>
        <v/>
      </c>
      <c r="Z1686" s="6">
        <f>AA1686&amp;AB1686</f>
        <v/>
      </c>
      <c r="AA1686" s="6">
        <f>YEAR(AC1686)</f>
        <v/>
      </c>
      <c r="AB1686" s="6">
        <f>MONTH(AC1686)</f>
        <v/>
      </c>
      <c r="AC1686" s="267">
        <f>IFERROR(__xludf.DUMMYFUNCTION("""COMPUTED_VALUE"""),44835.9986111111)</f>
        <v/>
      </c>
      <c r="AD1686" s="6">
        <f>IFERROR(__xludf.DUMMYFUNCTION("""COMPUTED_VALUE"""),1439.13)</f>
        <v/>
      </c>
      <c r="AH1686" s="6">
        <f>AI1686&amp;AJ1686</f>
        <v/>
      </c>
      <c r="AI1686" s="6">
        <f>YEAR(AK1686)</f>
        <v/>
      </c>
      <c r="AJ1686" s="6">
        <f>MONTH(AK1686)</f>
        <v/>
      </c>
      <c r="AK1686" s="267">
        <f>IFERROR(__xludf.DUMMYFUNCTION("""COMPUTED_VALUE"""),44779.9986111111)</f>
        <v/>
      </c>
      <c r="AL1686" s="6">
        <f>IFERROR(__xludf.DUMMYFUNCTION("""COMPUTED_VALUE"""),22947)</f>
        <v/>
      </c>
      <c r="AP1686" s="6">
        <f>AQ1686&amp;AR1686</f>
        <v/>
      </c>
      <c r="AQ1686" s="6">
        <f>YEAR(AS1686)</f>
        <v/>
      </c>
      <c r="AR1686" s="6">
        <f>MONTH(AS1686)</f>
        <v/>
      </c>
      <c r="AS1686" s="267">
        <f>IFERROR(__xludf.DUMMYFUNCTION("""COMPUTED_VALUE"""),45554.9986111111)</f>
        <v/>
      </c>
      <c r="AT1686" s="6">
        <f>IFERROR(__xludf.DUMMYFUNCTION("""COMPUTED_VALUE"""),2614.6)</f>
        <v/>
      </c>
    </row>
    <row r="1687">
      <c r="B1687" s="6">
        <f>C1687&amp;D1687</f>
        <v/>
      </c>
      <c r="C1687" s="6">
        <f>YEAR(E1687)</f>
        <v/>
      </c>
      <c r="D1687" s="6">
        <f>MONTH(E1687)</f>
        <v/>
      </c>
      <c r="E1687" s="267">
        <f>IFERROR(__xludf.DUMMYFUNCTION("""COMPUTED_VALUE"""),45548.6666666666)</f>
        <v/>
      </c>
      <c r="F1687" s="6">
        <f>IFERROR(__xludf.DUMMYFUNCTION("""COMPUTED_VALUE"""),5626.02)</f>
        <v/>
      </c>
      <c r="J1687" s="6">
        <f>K1687&amp;L1687</f>
        <v/>
      </c>
      <c r="K1687" s="6">
        <f>YEAR(M1687)</f>
        <v/>
      </c>
      <c r="L1687" s="6">
        <f>MONTH(M1687)</f>
        <v/>
      </c>
      <c r="M1687" s="267">
        <f>IFERROR(__xludf.DUMMYFUNCTION("""COMPUTED_VALUE"""),45540.6666666666)</f>
        <v/>
      </c>
      <c r="N1687" s="6">
        <f>IFERROR(__xludf.DUMMYFUNCTION("""COMPUTED_VALUE"""),17127.66)</f>
        <v/>
      </c>
      <c r="R1687" s="6">
        <f>S1687&amp;T1687</f>
        <v/>
      </c>
      <c r="S1687" s="6">
        <f>YEAR(U1687)</f>
        <v/>
      </c>
      <c r="T1687" s="6">
        <f>MONTH(U1687)</f>
        <v/>
      </c>
      <c r="U1687" s="267">
        <f>IFERROR(__xludf.DUMMYFUNCTION("""COMPUTED_VALUE"""),45609.6458333333)</f>
        <v/>
      </c>
      <c r="V1687" s="6">
        <f>IFERROR(__xludf.DUMMYFUNCTION("""COMPUTED_VALUE"""),2417.08)</f>
        <v/>
      </c>
      <c r="Z1687" s="6">
        <f>AA1687&amp;AB1687</f>
        <v/>
      </c>
      <c r="AA1687" s="6">
        <f>YEAR(AC1687)</f>
        <v/>
      </c>
      <c r="AB1687" s="6">
        <f>MONTH(AC1687)</f>
        <v/>
      </c>
      <c r="AC1687" s="267">
        <f>IFERROR(__xludf.DUMMYFUNCTION("""COMPUTED_VALUE"""),44836.9986111111)</f>
        <v/>
      </c>
      <c r="AD1687" s="6">
        <f>IFERROR(__xludf.DUMMYFUNCTION("""COMPUTED_VALUE"""),1439.23)</f>
        <v/>
      </c>
      <c r="AH1687" s="6">
        <f>AI1687&amp;AJ1687</f>
        <v/>
      </c>
      <c r="AI1687" s="6">
        <f>YEAR(AK1687)</f>
        <v/>
      </c>
      <c r="AJ1687" s="6">
        <f>MONTH(AK1687)</f>
        <v/>
      </c>
      <c r="AK1687" s="267">
        <f>IFERROR(__xludf.DUMMYFUNCTION("""COMPUTED_VALUE"""),44780.9986111111)</f>
        <v/>
      </c>
      <c r="AL1687" s="6">
        <f>IFERROR(__xludf.DUMMYFUNCTION("""COMPUTED_VALUE"""),23176.28)</f>
        <v/>
      </c>
      <c r="AP1687" s="6">
        <f>AQ1687&amp;AR1687</f>
        <v/>
      </c>
      <c r="AQ1687" s="6">
        <f>YEAR(AS1687)</f>
        <v/>
      </c>
      <c r="AR1687" s="6">
        <f>MONTH(AS1687)</f>
        <v/>
      </c>
      <c r="AS1687" s="267">
        <f>IFERROR(__xludf.DUMMYFUNCTION("""COMPUTED_VALUE"""),45555.9986111111)</f>
        <v/>
      </c>
      <c r="AT1687" s="6">
        <f>IFERROR(__xludf.DUMMYFUNCTION("""COMPUTED_VALUE"""),2646.2)</f>
        <v/>
      </c>
    </row>
    <row r="1688">
      <c r="B1688" s="6">
        <f>C1688&amp;D1688</f>
        <v/>
      </c>
      <c r="C1688" s="6">
        <f>YEAR(E1688)</f>
        <v/>
      </c>
      <c r="D1688" s="6">
        <f>MONTH(E1688)</f>
        <v/>
      </c>
      <c r="E1688" s="267">
        <f>IFERROR(__xludf.DUMMYFUNCTION("""COMPUTED_VALUE"""),45551.6666666666)</f>
        <v/>
      </c>
      <c r="F1688" s="6">
        <f>IFERROR(__xludf.DUMMYFUNCTION("""COMPUTED_VALUE"""),5633.09)</f>
        <v/>
      </c>
      <c r="J1688" s="6">
        <f>K1688&amp;L1688</f>
        <v/>
      </c>
      <c r="K1688" s="6">
        <f>YEAR(M1688)</f>
        <v/>
      </c>
      <c r="L1688" s="6">
        <f>MONTH(M1688)</f>
        <v/>
      </c>
      <c r="M1688" s="267">
        <f>IFERROR(__xludf.DUMMYFUNCTION("""COMPUTED_VALUE"""),45541.6666666666)</f>
        <v/>
      </c>
      <c r="N1688" s="6">
        <f>IFERROR(__xludf.DUMMYFUNCTION("""COMPUTED_VALUE"""),16690.83)</f>
        <v/>
      </c>
      <c r="R1688" s="6">
        <f>S1688&amp;T1688</f>
        <v/>
      </c>
      <c r="S1688" s="6">
        <f>YEAR(U1688)</f>
        <v/>
      </c>
      <c r="T1688" s="6">
        <f>MONTH(U1688)</f>
        <v/>
      </c>
      <c r="U1688" s="267">
        <f>IFERROR(__xludf.DUMMYFUNCTION("""COMPUTED_VALUE"""),45610.6458333333)</f>
        <v/>
      </c>
      <c r="V1688" s="6">
        <f>IFERROR(__xludf.DUMMYFUNCTION("""COMPUTED_VALUE"""),2418.86)</f>
        <v/>
      </c>
      <c r="Z1688" s="6">
        <f>AA1688&amp;AB1688</f>
        <v/>
      </c>
      <c r="AA1688" s="6">
        <f>YEAR(AC1688)</f>
        <v/>
      </c>
      <c r="AB1688" s="6">
        <f>MONTH(AC1688)</f>
        <v/>
      </c>
      <c r="AC1688" s="267">
        <f>IFERROR(__xludf.DUMMYFUNCTION("""COMPUTED_VALUE"""),44837.9986111111)</f>
        <v/>
      </c>
      <c r="AD1688" s="6">
        <f>IFERROR(__xludf.DUMMYFUNCTION("""COMPUTED_VALUE"""),1433.34)</f>
        <v/>
      </c>
      <c r="AH1688" s="6">
        <f>AI1688&amp;AJ1688</f>
        <v/>
      </c>
      <c r="AI1688" s="6">
        <f>YEAR(AK1688)</f>
        <v/>
      </c>
      <c r="AJ1688" s="6">
        <f>MONTH(AK1688)</f>
        <v/>
      </c>
      <c r="AK1688" s="267">
        <f>IFERROR(__xludf.DUMMYFUNCTION("""COMPUTED_VALUE"""),44781.9986111111)</f>
        <v/>
      </c>
      <c r="AL1688" s="6">
        <f>IFERROR(__xludf.DUMMYFUNCTION("""COMPUTED_VALUE"""),23814.56)</f>
        <v/>
      </c>
      <c r="AP1688" s="6">
        <f>AQ1688&amp;AR1688</f>
        <v/>
      </c>
      <c r="AQ1688" s="6">
        <f>YEAR(AS1688)</f>
        <v/>
      </c>
      <c r="AR1688" s="6">
        <f>MONTH(AS1688)</f>
        <v/>
      </c>
      <c r="AS1688" s="267">
        <f>IFERROR(__xludf.DUMMYFUNCTION("""COMPUTED_VALUE"""),45558.9986111111)</f>
        <v/>
      </c>
      <c r="AT1688" s="6">
        <f>IFERROR(__xludf.DUMMYFUNCTION("""COMPUTED_VALUE"""),2652.5)</f>
        <v/>
      </c>
    </row>
    <row r="1689">
      <c r="B1689" s="6">
        <f>C1689&amp;D1689</f>
        <v/>
      </c>
      <c r="C1689" s="6">
        <f>YEAR(E1689)</f>
        <v/>
      </c>
      <c r="D1689" s="6">
        <f>MONTH(E1689)</f>
        <v/>
      </c>
      <c r="E1689" s="267">
        <f>IFERROR(__xludf.DUMMYFUNCTION("""COMPUTED_VALUE"""),45552.6666666666)</f>
        <v/>
      </c>
      <c r="F1689" s="6">
        <f>IFERROR(__xludf.DUMMYFUNCTION("""COMPUTED_VALUE"""),5634.58)</f>
        <v/>
      </c>
      <c r="J1689" s="6">
        <f>K1689&amp;L1689</f>
        <v/>
      </c>
      <c r="K1689" s="6">
        <f>YEAR(M1689)</f>
        <v/>
      </c>
      <c r="L1689" s="6">
        <f>MONTH(M1689)</f>
        <v/>
      </c>
      <c r="M1689" s="267">
        <f>IFERROR(__xludf.DUMMYFUNCTION("""COMPUTED_VALUE"""),45544.6666666666)</f>
        <v/>
      </c>
      <c r="N1689" s="6">
        <f>IFERROR(__xludf.DUMMYFUNCTION("""COMPUTED_VALUE"""),16884.6)</f>
        <v/>
      </c>
      <c r="R1689" s="6">
        <f>S1689&amp;T1689</f>
        <v/>
      </c>
      <c r="S1689" s="6">
        <f>YEAR(U1689)</f>
        <v/>
      </c>
      <c r="T1689" s="6">
        <f>MONTH(U1689)</f>
        <v/>
      </c>
      <c r="U1689" s="267">
        <f>IFERROR(__xludf.DUMMYFUNCTION("""COMPUTED_VALUE"""),45611.6458333333)</f>
        <v/>
      </c>
      <c r="V1689" s="6">
        <f>IFERROR(__xludf.DUMMYFUNCTION("""COMPUTED_VALUE"""),2416.86)</f>
        <v/>
      </c>
      <c r="Z1689" s="6">
        <f>AA1689&amp;AB1689</f>
        <v/>
      </c>
      <c r="AA1689" s="6">
        <f>YEAR(AC1689)</f>
        <v/>
      </c>
      <c r="AB1689" s="6">
        <f>MONTH(AC1689)</f>
        <v/>
      </c>
      <c r="AC1689" s="267">
        <f>IFERROR(__xludf.DUMMYFUNCTION("""COMPUTED_VALUE"""),44838.9986111111)</f>
        <v/>
      </c>
      <c r="AD1689" s="6">
        <f>IFERROR(__xludf.DUMMYFUNCTION("""COMPUTED_VALUE"""),1416.53)</f>
        <v/>
      </c>
      <c r="AH1689" s="6">
        <f>AI1689&amp;AJ1689</f>
        <v/>
      </c>
      <c r="AI1689" s="6">
        <f>YEAR(AK1689)</f>
        <v/>
      </c>
      <c r="AJ1689" s="6">
        <f>MONTH(AK1689)</f>
        <v/>
      </c>
      <c r="AK1689" s="267">
        <f>IFERROR(__xludf.DUMMYFUNCTION("""COMPUTED_VALUE"""),44782.9986111111)</f>
        <v/>
      </c>
      <c r="AL1689" s="6">
        <f>IFERROR(__xludf.DUMMYFUNCTION("""COMPUTED_VALUE"""),23151.76)</f>
        <v/>
      </c>
      <c r="AP1689" s="6">
        <f>AQ1689&amp;AR1689</f>
        <v/>
      </c>
      <c r="AQ1689" s="6">
        <f>YEAR(AS1689)</f>
        <v/>
      </c>
      <c r="AR1689" s="6">
        <f>MONTH(AS1689)</f>
        <v/>
      </c>
      <c r="AS1689" s="267">
        <f>IFERROR(__xludf.DUMMYFUNCTION("""COMPUTED_VALUE"""),45559.9986111111)</f>
        <v/>
      </c>
      <c r="AT1689" s="6">
        <f>IFERROR(__xludf.DUMMYFUNCTION("""COMPUTED_VALUE"""),2677)</f>
        <v/>
      </c>
    </row>
    <row r="1690">
      <c r="B1690" s="6">
        <f>C1690&amp;D1690</f>
        <v/>
      </c>
      <c r="C1690" s="6">
        <f>YEAR(E1690)</f>
        <v/>
      </c>
      <c r="D1690" s="6">
        <f>MONTH(E1690)</f>
        <v/>
      </c>
      <c r="E1690" s="267">
        <f>IFERROR(__xludf.DUMMYFUNCTION("""COMPUTED_VALUE"""),45553.6666666666)</f>
        <v/>
      </c>
      <c r="F1690" s="6">
        <f>IFERROR(__xludf.DUMMYFUNCTION("""COMPUTED_VALUE"""),5618.26)</f>
        <v/>
      </c>
      <c r="J1690" s="6">
        <f>K1690&amp;L1690</f>
        <v/>
      </c>
      <c r="K1690" s="6">
        <f>YEAR(M1690)</f>
        <v/>
      </c>
      <c r="L1690" s="6">
        <f>MONTH(M1690)</f>
        <v/>
      </c>
      <c r="M1690" s="267">
        <f>IFERROR(__xludf.DUMMYFUNCTION("""COMPUTED_VALUE"""),45545.6666666666)</f>
        <v/>
      </c>
      <c r="N1690" s="6">
        <f>IFERROR(__xludf.DUMMYFUNCTION("""COMPUTED_VALUE"""),17025.88)</f>
        <v/>
      </c>
      <c r="R1690" s="6">
        <f>S1690&amp;T1690</f>
        <v/>
      </c>
      <c r="S1690" s="6">
        <f>YEAR(U1690)</f>
        <v/>
      </c>
      <c r="T1690" s="6">
        <f>MONTH(U1690)</f>
        <v/>
      </c>
      <c r="U1690" s="267">
        <f>IFERROR(__xludf.DUMMYFUNCTION("""COMPUTED_VALUE"""),45614.6458333333)</f>
        <v/>
      </c>
      <c r="V1690" s="6">
        <f>IFERROR(__xludf.DUMMYFUNCTION("""COMPUTED_VALUE"""),2469.07)</f>
        <v/>
      </c>
      <c r="Z1690" s="6">
        <f>AA1690&amp;AB1690</f>
        <v/>
      </c>
      <c r="AA1690" s="6">
        <f>YEAR(AC1690)</f>
        <v/>
      </c>
      <c r="AB1690" s="6">
        <f>MONTH(AC1690)</f>
        <v/>
      </c>
      <c r="AC1690" s="267">
        <f>IFERROR(__xludf.DUMMYFUNCTION("""COMPUTED_VALUE"""),44839.9986111111)</f>
        <v/>
      </c>
      <c r="AD1690" s="6">
        <f>IFERROR(__xludf.DUMMYFUNCTION("""COMPUTED_VALUE"""),1416.76)</f>
        <v/>
      </c>
      <c r="AH1690" s="6">
        <f>AI1690&amp;AJ1690</f>
        <v/>
      </c>
      <c r="AI1690" s="6">
        <f>YEAR(AK1690)</f>
        <v/>
      </c>
      <c r="AJ1690" s="6">
        <f>MONTH(AK1690)</f>
        <v/>
      </c>
      <c r="AK1690" s="267">
        <f>IFERROR(__xludf.DUMMYFUNCTION("""COMPUTED_VALUE"""),44783.9986111111)</f>
        <v/>
      </c>
      <c r="AL1690" s="6">
        <f>IFERROR(__xludf.DUMMYFUNCTION("""COMPUTED_VALUE"""),23955.45)</f>
        <v/>
      </c>
      <c r="AP1690" s="6">
        <f>AQ1690&amp;AR1690</f>
        <v/>
      </c>
      <c r="AQ1690" s="6">
        <f>YEAR(AS1690)</f>
        <v/>
      </c>
      <c r="AR1690" s="6">
        <f>MONTH(AS1690)</f>
        <v/>
      </c>
      <c r="AS1690" s="267">
        <f>IFERROR(__xludf.DUMMYFUNCTION("""COMPUTED_VALUE"""),45560.9986111111)</f>
        <v/>
      </c>
      <c r="AT1690" s="6">
        <f>IFERROR(__xludf.DUMMYFUNCTION("""COMPUTED_VALUE"""),2684.7)</f>
        <v/>
      </c>
    </row>
    <row r="1691">
      <c r="B1691" s="6">
        <f>C1691&amp;D1691</f>
        <v/>
      </c>
      <c r="C1691" s="6">
        <f>YEAR(E1691)</f>
        <v/>
      </c>
      <c r="D1691" s="6">
        <f>MONTH(E1691)</f>
        <v/>
      </c>
      <c r="E1691" s="267">
        <f>IFERROR(__xludf.DUMMYFUNCTION("""COMPUTED_VALUE"""),45554.6666666666)</f>
        <v/>
      </c>
      <c r="F1691" s="6">
        <f>IFERROR(__xludf.DUMMYFUNCTION("""COMPUTED_VALUE"""),5713.64)</f>
        <v/>
      </c>
      <c r="J1691" s="6">
        <f>K1691&amp;L1691</f>
        <v/>
      </c>
      <c r="K1691" s="6">
        <f>YEAR(M1691)</f>
        <v/>
      </c>
      <c r="L1691" s="6">
        <f>MONTH(M1691)</f>
        <v/>
      </c>
      <c r="M1691" s="267">
        <f>IFERROR(__xludf.DUMMYFUNCTION("""COMPUTED_VALUE"""),45546.6666666666)</f>
        <v/>
      </c>
      <c r="N1691" s="6">
        <f>IFERROR(__xludf.DUMMYFUNCTION("""COMPUTED_VALUE"""),17395.53)</f>
        <v/>
      </c>
      <c r="R1691" s="6">
        <f>S1691&amp;T1691</f>
        <v/>
      </c>
      <c r="S1691" s="6">
        <f>YEAR(U1691)</f>
        <v/>
      </c>
      <c r="T1691" s="6">
        <f>MONTH(U1691)</f>
        <v/>
      </c>
      <c r="U1691" s="267">
        <f>IFERROR(__xludf.DUMMYFUNCTION("""COMPUTED_VALUE"""),45615.6458333333)</f>
        <v/>
      </c>
      <c r="V1691" s="6">
        <f>IFERROR(__xludf.DUMMYFUNCTION("""COMPUTED_VALUE"""),2471.95)</f>
        <v/>
      </c>
      <c r="Z1691" s="6">
        <f>AA1691&amp;AB1691</f>
        <v/>
      </c>
      <c r="AA1691" s="6">
        <f>YEAR(AC1691)</f>
        <v/>
      </c>
      <c r="AB1691" s="6">
        <f>MONTH(AC1691)</f>
        <v/>
      </c>
      <c r="AC1691" s="267">
        <f>IFERROR(__xludf.DUMMYFUNCTION("""COMPUTED_VALUE"""),44840.9986111111)</f>
        <v/>
      </c>
      <c r="AD1691" s="6">
        <f>IFERROR(__xludf.DUMMYFUNCTION("""COMPUTED_VALUE"""),1408.45)</f>
        <v/>
      </c>
      <c r="AH1691" s="6">
        <f>AI1691&amp;AJ1691</f>
        <v/>
      </c>
      <c r="AI1691" s="6">
        <f>YEAR(AK1691)</f>
        <v/>
      </c>
      <c r="AJ1691" s="6">
        <f>MONTH(AK1691)</f>
        <v/>
      </c>
      <c r="AK1691" s="267">
        <f>IFERROR(__xludf.DUMMYFUNCTION("""COMPUTED_VALUE"""),44784.9986111111)</f>
        <v/>
      </c>
      <c r="AL1691" s="6">
        <f>IFERROR(__xludf.DUMMYFUNCTION("""COMPUTED_VALUE"""),23940.98)</f>
        <v/>
      </c>
      <c r="AP1691" s="6">
        <f>AQ1691&amp;AR1691</f>
        <v/>
      </c>
      <c r="AQ1691" s="6">
        <f>YEAR(AS1691)</f>
        <v/>
      </c>
      <c r="AR1691" s="6">
        <f>MONTH(AS1691)</f>
        <v/>
      </c>
      <c r="AS1691" s="267">
        <f>IFERROR(__xludf.DUMMYFUNCTION("""COMPUTED_VALUE"""),45561.9986111111)</f>
        <v/>
      </c>
      <c r="AT1691" s="6">
        <f>IFERROR(__xludf.DUMMYFUNCTION("""COMPUTED_VALUE"""),2694.9)</f>
        <v/>
      </c>
    </row>
    <row r="1692">
      <c r="B1692" s="6">
        <f>C1692&amp;D1692</f>
        <v/>
      </c>
      <c r="C1692" s="6">
        <f>YEAR(E1692)</f>
        <v/>
      </c>
      <c r="D1692" s="6">
        <f>MONTH(E1692)</f>
        <v/>
      </c>
      <c r="E1692" s="267">
        <f>IFERROR(__xludf.DUMMYFUNCTION("""COMPUTED_VALUE"""),45555.6666666666)</f>
        <v/>
      </c>
      <c r="F1692" s="6">
        <f>IFERROR(__xludf.DUMMYFUNCTION("""COMPUTED_VALUE"""),5702.55)</f>
        <v/>
      </c>
      <c r="J1692" s="6">
        <f>K1692&amp;L1692</f>
        <v/>
      </c>
      <c r="K1692" s="6">
        <f>YEAR(M1692)</f>
        <v/>
      </c>
      <c r="L1692" s="6">
        <f>MONTH(M1692)</f>
        <v/>
      </c>
      <c r="M1692" s="267">
        <f>IFERROR(__xludf.DUMMYFUNCTION("""COMPUTED_VALUE"""),45547.6666666666)</f>
        <v/>
      </c>
      <c r="N1692" s="6">
        <f>IFERROR(__xludf.DUMMYFUNCTION("""COMPUTED_VALUE"""),17569.68)</f>
        <v/>
      </c>
      <c r="R1692" s="6">
        <f>S1692&amp;T1692</f>
        <v/>
      </c>
      <c r="S1692" s="6">
        <f>YEAR(U1692)</f>
        <v/>
      </c>
      <c r="T1692" s="6">
        <f>MONTH(U1692)</f>
        <v/>
      </c>
      <c r="U1692" s="267">
        <f>IFERROR(__xludf.DUMMYFUNCTION("""COMPUTED_VALUE"""),45616.6458333333)</f>
        <v/>
      </c>
      <c r="V1692" s="6">
        <f>IFERROR(__xludf.DUMMYFUNCTION("""COMPUTED_VALUE"""),2482.29)</f>
        <v/>
      </c>
      <c r="Z1692" s="6">
        <f>AA1692&amp;AB1692</f>
        <v/>
      </c>
      <c r="AA1692" s="6">
        <f>YEAR(AC1692)</f>
        <v/>
      </c>
      <c r="AB1692" s="6">
        <f>MONTH(AC1692)</f>
        <v/>
      </c>
      <c r="AC1692" s="267">
        <f>IFERROR(__xludf.DUMMYFUNCTION("""COMPUTED_VALUE"""),44841.9986111111)</f>
        <v/>
      </c>
      <c r="AD1692" s="6">
        <f>IFERROR(__xludf.DUMMYFUNCTION("""COMPUTED_VALUE"""),1424.66)</f>
        <v/>
      </c>
      <c r="AH1692" s="6">
        <f>AI1692&amp;AJ1692</f>
        <v/>
      </c>
      <c r="AI1692" s="6">
        <f>YEAR(AK1692)</f>
        <v/>
      </c>
      <c r="AJ1692" s="6">
        <f>MONTH(AK1692)</f>
        <v/>
      </c>
      <c r="AK1692" s="267">
        <f>IFERROR(__xludf.DUMMYFUNCTION("""COMPUTED_VALUE"""),44785.9986111111)</f>
        <v/>
      </c>
      <c r="AL1692" s="6">
        <f>IFERROR(__xludf.DUMMYFUNCTION("""COMPUTED_VALUE"""),24406.11)</f>
        <v/>
      </c>
      <c r="AP1692" s="6">
        <f>AQ1692&amp;AR1692</f>
        <v/>
      </c>
      <c r="AQ1692" s="6">
        <f>YEAR(AS1692)</f>
        <v/>
      </c>
      <c r="AR1692" s="6">
        <f>MONTH(AS1692)</f>
        <v/>
      </c>
      <c r="AS1692" s="267">
        <f>IFERROR(__xludf.DUMMYFUNCTION("""COMPUTED_VALUE"""),45562.9986111111)</f>
        <v/>
      </c>
      <c r="AT1692" s="6">
        <f>IFERROR(__xludf.DUMMYFUNCTION("""COMPUTED_VALUE"""),2668.1)</f>
        <v/>
      </c>
    </row>
    <row r="1693">
      <c r="B1693" s="6">
        <f>C1693&amp;D1693</f>
        <v/>
      </c>
      <c r="C1693" s="6">
        <f>YEAR(E1693)</f>
        <v/>
      </c>
      <c r="D1693" s="6">
        <f>MONTH(E1693)</f>
        <v/>
      </c>
      <c r="E1693" s="267">
        <f>IFERROR(__xludf.DUMMYFUNCTION("""COMPUTED_VALUE"""),45558.6666666666)</f>
        <v/>
      </c>
      <c r="F1693" s="6">
        <f>IFERROR(__xludf.DUMMYFUNCTION("""COMPUTED_VALUE"""),5718.57)</f>
        <v/>
      </c>
      <c r="J1693" s="6">
        <f>K1693&amp;L1693</f>
        <v/>
      </c>
      <c r="K1693" s="6">
        <f>YEAR(M1693)</f>
        <v/>
      </c>
      <c r="L1693" s="6">
        <f>MONTH(M1693)</f>
        <v/>
      </c>
      <c r="M1693" s="267">
        <f>IFERROR(__xludf.DUMMYFUNCTION("""COMPUTED_VALUE"""),45548.6666666666)</f>
        <v/>
      </c>
      <c r="N1693" s="6">
        <f>IFERROR(__xludf.DUMMYFUNCTION("""COMPUTED_VALUE"""),17683.98)</f>
        <v/>
      </c>
      <c r="R1693" s="6">
        <f>S1693&amp;T1693</f>
        <v/>
      </c>
      <c r="S1693" s="6">
        <f>YEAR(U1693)</f>
        <v/>
      </c>
      <c r="T1693" s="6">
        <f>MONTH(U1693)</f>
        <v/>
      </c>
      <c r="U1693" s="267">
        <f>IFERROR(__xludf.DUMMYFUNCTION("""COMPUTED_VALUE"""),45617.6458333333)</f>
        <v/>
      </c>
      <c r="V1693" s="6">
        <f>IFERROR(__xludf.DUMMYFUNCTION("""COMPUTED_VALUE"""),2480.63)</f>
        <v/>
      </c>
      <c r="Z1693" s="6">
        <f>AA1693&amp;AB1693</f>
        <v/>
      </c>
      <c r="AA1693" s="6">
        <f>YEAR(AC1693)</f>
        <v/>
      </c>
      <c r="AB1693" s="6">
        <f>MONTH(AC1693)</f>
        <v/>
      </c>
      <c r="AC1693" s="267">
        <f>IFERROR(__xludf.DUMMYFUNCTION("""COMPUTED_VALUE"""),44842.9986111111)</f>
        <v/>
      </c>
      <c r="AD1693" s="6">
        <f>IFERROR(__xludf.DUMMYFUNCTION("""COMPUTED_VALUE"""),1424.56)</f>
        <v/>
      </c>
      <c r="AH1693" s="6">
        <f>AI1693&amp;AJ1693</f>
        <v/>
      </c>
      <c r="AI1693" s="6">
        <f>YEAR(AK1693)</f>
        <v/>
      </c>
      <c r="AJ1693" s="6">
        <f>MONTH(AK1693)</f>
        <v/>
      </c>
      <c r="AK1693" s="267">
        <f>IFERROR(__xludf.DUMMYFUNCTION("""COMPUTED_VALUE"""),44786.9986111111)</f>
        <v/>
      </c>
      <c r="AL1693" s="6">
        <f>IFERROR(__xludf.DUMMYFUNCTION("""COMPUTED_VALUE"""),24445.89)</f>
        <v/>
      </c>
      <c r="AP1693" s="6">
        <f>AQ1693&amp;AR1693</f>
        <v/>
      </c>
      <c r="AQ1693" s="6">
        <f>YEAR(AS1693)</f>
        <v/>
      </c>
      <c r="AR1693" s="6">
        <f>MONTH(AS1693)</f>
        <v/>
      </c>
      <c r="AS1693" s="267">
        <f>IFERROR(__xludf.DUMMYFUNCTION("""COMPUTED_VALUE"""),45565.9986111111)</f>
        <v/>
      </c>
      <c r="AT1693" s="6">
        <f>IFERROR(__xludf.DUMMYFUNCTION("""COMPUTED_VALUE"""),2659.4)</f>
        <v/>
      </c>
    </row>
    <row r="1694">
      <c r="B1694" s="6">
        <f>C1694&amp;D1694</f>
        <v/>
      </c>
      <c r="C1694" s="6">
        <f>YEAR(E1694)</f>
        <v/>
      </c>
      <c r="D1694" s="6">
        <f>MONTH(E1694)</f>
        <v/>
      </c>
      <c r="E1694" s="267">
        <f>IFERROR(__xludf.DUMMYFUNCTION("""COMPUTED_VALUE"""),45559.6666666666)</f>
        <v/>
      </c>
      <c r="F1694" s="6">
        <f>IFERROR(__xludf.DUMMYFUNCTION("""COMPUTED_VALUE"""),5732.93)</f>
        <v/>
      </c>
      <c r="J1694" s="6">
        <f>K1694&amp;L1694</f>
        <v/>
      </c>
      <c r="K1694" s="6">
        <f>YEAR(M1694)</f>
        <v/>
      </c>
      <c r="L1694" s="6">
        <f>MONTH(M1694)</f>
        <v/>
      </c>
      <c r="M1694" s="267">
        <f>IFERROR(__xludf.DUMMYFUNCTION("""COMPUTED_VALUE"""),45551.6666666666)</f>
        <v/>
      </c>
      <c r="N1694" s="6">
        <f>IFERROR(__xludf.DUMMYFUNCTION("""COMPUTED_VALUE"""),17592.13)</f>
        <v/>
      </c>
      <c r="R1694" s="6">
        <f>S1694&amp;T1694</f>
        <v/>
      </c>
      <c r="S1694" s="6">
        <f>YEAR(U1694)</f>
        <v/>
      </c>
      <c r="T1694" s="6">
        <f>MONTH(U1694)</f>
        <v/>
      </c>
      <c r="U1694" s="267">
        <f>IFERROR(__xludf.DUMMYFUNCTION("""COMPUTED_VALUE"""),45618.6458333333)</f>
        <v/>
      </c>
      <c r="V1694" s="6">
        <f>IFERROR(__xludf.DUMMYFUNCTION("""COMPUTED_VALUE"""),2501.24)</f>
        <v/>
      </c>
      <c r="Z1694" s="6">
        <f>AA1694&amp;AB1694</f>
        <v/>
      </c>
      <c r="AA1694" s="6">
        <f>YEAR(AC1694)</f>
        <v/>
      </c>
      <c r="AB1694" s="6">
        <f>MONTH(AC1694)</f>
        <v/>
      </c>
      <c r="AC1694" s="267">
        <f>IFERROR(__xludf.DUMMYFUNCTION("""COMPUTED_VALUE"""),44843.9986111111)</f>
        <v/>
      </c>
      <c r="AD1694" s="6">
        <f>IFERROR(__xludf.DUMMYFUNCTION("""COMPUTED_VALUE"""),1415.98)</f>
        <v/>
      </c>
      <c r="AH1694" s="6">
        <f>AI1694&amp;AJ1694</f>
        <v/>
      </c>
      <c r="AI1694" s="6">
        <f>YEAR(AK1694)</f>
        <v/>
      </c>
      <c r="AJ1694" s="6">
        <f>MONTH(AK1694)</f>
        <v/>
      </c>
      <c r="AK1694" s="267">
        <f>IFERROR(__xludf.DUMMYFUNCTION("""COMPUTED_VALUE"""),44787.9986111111)</f>
        <v/>
      </c>
      <c r="AL1694" s="6">
        <f>IFERROR(__xludf.DUMMYFUNCTION("""COMPUTED_VALUE"""),24310.07)</f>
        <v/>
      </c>
      <c r="AP1694" s="6">
        <f>AQ1694&amp;AR1694</f>
        <v/>
      </c>
      <c r="AQ1694" s="6">
        <f>YEAR(AS1694)</f>
        <v/>
      </c>
      <c r="AR1694" s="6">
        <f>MONTH(AS1694)</f>
        <v/>
      </c>
      <c r="AS1694" s="267">
        <f>IFERROR(__xludf.DUMMYFUNCTION("""COMPUTED_VALUE"""),45566.9986111111)</f>
        <v/>
      </c>
      <c r="AT1694" s="6">
        <f>IFERROR(__xludf.DUMMYFUNCTION("""COMPUTED_VALUE"""),2690.3)</f>
        <v/>
      </c>
    </row>
    <row r="1695">
      <c r="B1695" s="6">
        <f>C1695&amp;D1695</f>
        <v/>
      </c>
      <c r="C1695" s="6">
        <f>YEAR(E1695)</f>
        <v/>
      </c>
      <c r="D1695" s="6">
        <f>MONTH(E1695)</f>
        <v/>
      </c>
      <c r="E1695" s="267">
        <f>IFERROR(__xludf.DUMMYFUNCTION("""COMPUTED_VALUE"""),45560.6666666666)</f>
        <v/>
      </c>
      <c r="F1695" s="6">
        <f>IFERROR(__xludf.DUMMYFUNCTION("""COMPUTED_VALUE"""),5722.26)</f>
        <v/>
      </c>
      <c r="J1695" s="6">
        <f>K1695&amp;L1695</f>
        <v/>
      </c>
      <c r="K1695" s="6">
        <f>YEAR(M1695)</f>
        <v/>
      </c>
      <c r="L1695" s="6">
        <f>MONTH(M1695)</f>
        <v/>
      </c>
      <c r="M1695" s="267">
        <f>IFERROR(__xludf.DUMMYFUNCTION("""COMPUTED_VALUE"""),45552.6666666666)</f>
        <v/>
      </c>
      <c r="N1695" s="6">
        <f>IFERROR(__xludf.DUMMYFUNCTION("""COMPUTED_VALUE"""),17628.06)</f>
        <v/>
      </c>
      <c r="R1695" s="6">
        <f>S1695&amp;T1695</f>
        <v/>
      </c>
      <c r="S1695" s="6">
        <f>YEAR(U1695)</f>
        <v/>
      </c>
      <c r="T1695" s="6">
        <f>MONTH(U1695)</f>
        <v/>
      </c>
      <c r="U1695" s="267">
        <f>IFERROR(__xludf.DUMMYFUNCTION("""COMPUTED_VALUE"""),45621.6458333333)</f>
        <v/>
      </c>
      <c r="V1695" s="6">
        <f>IFERROR(__xludf.DUMMYFUNCTION("""COMPUTED_VALUE"""),2534.34)</f>
        <v/>
      </c>
      <c r="Z1695" s="6">
        <f>AA1695&amp;AB1695</f>
        <v/>
      </c>
      <c r="AA1695" s="6">
        <f>YEAR(AC1695)</f>
        <v/>
      </c>
      <c r="AB1695" s="6">
        <f>MONTH(AC1695)</f>
        <v/>
      </c>
      <c r="AC1695" s="267">
        <f>IFERROR(__xludf.DUMMYFUNCTION("""COMPUTED_VALUE"""),44844.9986111111)</f>
        <v/>
      </c>
      <c r="AD1695" s="6">
        <f>IFERROR(__xludf.DUMMYFUNCTION("""COMPUTED_VALUE"""),1428.35)</f>
        <v/>
      </c>
      <c r="AH1695" s="6">
        <f>AI1695&amp;AJ1695</f>
        <v/>
      </c>
      <c r="AI1695" s="6">
        <f>YEAR(AK1695)</f>
        <v/>
      </c>
      <c r="AJ1695" s="6">
        <f>MONTH(AK1695)</f>
        <v/>
      </c>
      <c r="AK1695" s="267">
        <f>IFERROR(__xludf.DUMMYFUNCTION("""COMPUTED_VALUE"""),44788.9986111111)</f>
        <v/>
      </c>
      <c r="AL1695" s="6">
        <f>IFERROR(__xludf.DUMMYFUNCTION("""COMPUTED_VALUE"""),24101.31)</f>
        <v/>
      </c>
      <c r="AP1695" s="6">
        <f>AQ1695&amp;AR1695</f>
        <v/>
      </c>
      <c r="AQ1695" s="6">
        <f>YEAR(AS1695)</f>
        <v/>
      </c>
      <c r="AR1695" s="6">
        <f>MONTH(AS1695)</f>
        <v/>
      </c>
      <c r="AS1695" s="267">
        <f>IFERROR(__xludf.DUMMYFUNCTION("""COMPUTED_VALUE"""),45567.9986111111)</f>
        <v/>
      </c>
      <c r="AT1695" s="6">
        <f>IFERROR(__xludf.DUMMYFUNCTION("""COMPUTED_VALUE"""),2669.7)</f>
        <v/>
      </c>
    </row>
    <row r="1696">
      <c r="B1696" s="6">
        <f>C1696&amp;D1696</f>
        <v/>
      </c>
      <c r="C1696" s="6">
        <f>YEAR(E1696)</f>
        <v/>
      </c>
      <c r="D1696" s="6">
        <f>MONTH(E1696)</f>
        <v/>
      </c>
      <c r="E1696" s="267">
        <f>IFERROR(__xludf.DUMMYFUNCTION("""COMPUTED_VALUE"""),45561.6666666666)</f>
        <v/>
      </c>
      <c r="F1696" s="6">
        <f>IFERROR(__xludf.DUMMYFUNCTION("""COMPUTED_VALUE"""),5745.37)</f>
        <v/>
      </c>
      <c r="J1696" s="6">
        <f>K1696&amp;L1696</f>
        <v/>
      </c>
      <c r="K1696" s="6">
        <f>YEAR(M1696)</f>
        <v/>
      </c>
      <c r="L1696" s="6">
        <f>MONTH(M1696)</f>
        <v/>
      </c>
      <c r="M1696" s="267">
        <f>IFERROR(__xludf.DUMMYFUNCTION("""COMPUTED_VALUE"""),45553.6666666666)</f>
        <v/>
      </c>
      <c r="N1696" s="6">
        <f>IFERROR(__xludf.DUMMYFUNCTION("""COMPUTED_VALUE"""),17573.3)</f>
        <v/>
      </c>
      <c r="R1696" s="6">
        <f>S1696&amp;T1696</f>
        <v/>
      </c>
      <c r="S1696" s="6">
        <f>YEAR(U1696)</f>
        <v/>
      </c>
      <c r="T1696" s="6">
        <f>MONTH(U1696)</f>
        <v/>
      </c>
      <c r="U1696" s="267">
        <f>IFERROR(__xludf.DUMMYFUNCTION("""COMPUTED_VALUE"""),45622.6458333333)</f>
        <v/>
      </c>
      <c r="V1696" s="6">
        <f>IFERROR(__xludf.DUMMYFUNCTION("""COMPUTED_VALUE"""),2520.36)</f>
        <v/>
      </c>
      <c r="Z1696" s="6">
        <f>AA1696&amp;AB1696</f>
        <v/>
      </c>
      <c r="AA1696" s="6">
        <f>YEAR(AC1696)</f>
        <v/>
      </c>
      <c r="AB1696" s="6">
        <f>MONTH(AC1696)</f>
        <v/>
      </c>
      <c r="AC1696" s="267">
        <f>IFERROR(__xludf.DUMMYFUNCTION("""COMPUTED_VALUE"""),44845.9986111111)</f>
        <v/>
      </c>
      <c r="AD1696" s="6">
        <f>IFERROR(__xludf.DUMMYFUNCTION("""COMPUTED_VALUE"""),1430.8)</f>
        <v/>
      </c>
      <c r="AH1696" s="6">
        <f>AI1696&amp;AJ1696</f>
        <v/>
      </c>
      <c r="AI1696" s="6">
        <f>YEAR(AK1696)</f>
        <v/>
      </c>
      <c r="AJ1696" s="6">
        <f>MONTH(AK1696)</f>
        <v/>
      </c>
      <c r="AK1696" s="267">
        <f>IFERROR(__xludf.DUMMYFUNCTION("""COMPUTED_VALUE"""),44789.9986111111)</f>
        <v/>
      </c>
      <c r="AL1696" s="6">
        <f>IFERROR(__xludf.DUMMYFUNCTION("""COMPUTED_VALUE"""),23859.28)</f>
        <v/>
      </c>
      <c r="AP1696" s="6">
        <f>AQ1696&amp;AR1696</f>
        <v/>
      </c>
      <c r="AQ1696" s="6">
        <f>YEAR(AS1696)</f>
        <v/>
      </c>
      <c r="AR1696" s="6">
        <f>MONTH(AS1696)</f>
        <v/>
      </c>
      <c r="AS1696" s="267">
        <f>IFERROR(__xludf.DUMMYFUNCTION("""COMPUTED_VALUE"""),45568.9986111111)</f>
        <v/>
      </c>
      <c r="AT1696" s="6">
        <f>IFERROR(__xludf.DUMMYFUNCTION("""COMPUTED_VALUE"""),2679.2)</f>
        <v/>
      </c>
    </row>
    <row r="1697">
      <c r="B1697" s="6">
        <f>C1697&amp;D1697</f>
        <v/>
      </c>
      <c r="C1697" s="6">
        <f>YEAR(E1697)</f>
        <v/>
      </c>
      <c r="D1697" s="6">
        <f>MONTH(E1697)</f>
        <v/>
      </c>
      <c r="E1697" s="267">
        <f>IFERROR(__xludf.DUMMYFUNCTION("""COMPUTED_VALUE"""),45562.6666666666)</f>
        <v/>
      </c>
      <c r="F1697" s="6">
        <f>IFERROR(__xludf.DUMMYFUNCTION("""COMPUTED_VALUE"""),5738.17)</f>
        <v/>
      </c>
      <c r="J1697" s="6">
        <f>K1697&amp;L1697</f>
        <v/>
      </c>
      <c r="K1697" s="6">
        <f>YEAR(M1697)</f>
        <v/>
      </c>
      <c r="L1697" s="6">
        <f>MONTH(M1697)</f>
        <v/>
      </c>
      <c r="M1697" s="267">
        <f>IFERROR(__xludf.DUMMYFUNCTION("""COMPUTED_VALUE"""),45554.6666666666)</f>
        <v/>
      </c>
      <c r="N1697" s="6">
        <f>IFERROR(__xludf.DUMMYFUNCTION("""COMPUTED_VALUE"""),18013.98)</f>
        <v/>
      </c>
      <c r="R1697" s="6">
        <f>S1697&amp;T1697</f>
        <v/>
      </c>
      <c r="S1697" s="6">
        <f>YEAR(U1697)</f>
        <v/>
      </c>
      <c r="T1697" s="6">
        <f>MONTH(U1697)</f>
        <v/>
      </c>
      <c r="U1697" s="267">
        <f>IFERROR(__xludf.DUMMYFUNCTION("""COMPUTED_VALUE"""),45623.6458333333)</f>
        <v/>
      </c>
      <c r="V1697" s="6">
        <f>IFERROR(__xludf.DUMMYFUNCTION("""COMPUTED_VALUE"""),2503.06)</f>
        <v/>
      </c>
      <c r="Z1697" s="6">
        <f>AA1697&amp;AB1697</f>
        <v/>
      </c>
      <c r="AA1697" s="6">
        <f>YEAR(AC1697)</f>
        <v/>
      </c>
      <c r="AB1697" s="6">
        <f>MONTH(AC1697)</f>
        <v/>
      </c>
      <c r="AC1697" s="267">
        <f>IFERROR(__xludf.DUMMYFUNCTION("""COMPUTED_VALUE"""),44846.9986111111)</f>
        <v/>
      </c>
      <c r="AD1697" s="6">
        <f>IFERROR(__xludf.DUMMYFUNCTION("""COMPUTED_VALUE"""),1423.9)</f>
        <v/>
      </c>
      <c r="AH1697" s="6">
        <f>AI1697&amp;AJ1697</f>
        <v/>
      </c>
      <c r="AI1697" s="6">
        <f>YEAR(AK1697)</f>
        <v/>
      </c>
      <c r="AJ1697" s="6">
        <f>MONTH(AK1697)</f>
        <v/>
      </c>
      <c r="AK1697" s="267">
        <f>IFERROR(__xludf.DUMMYFUNCTION("""COMPUTED_VALUE"""),44790.9986111111)</f>
        <v/>
      </c>
      <c r="AL1697" s="6">
        <f>IFERROR(__xludf.DUMMYFUNCTION("""COMPUTED_VALUE"""),23336.89)</f>
        <v/>
      </c>
      <c r="AP1697" s="6">
        <f>AQ1697&amp;AR1697</f>
        <v/>
      </c>
      <c r="AQ1697" s="6">
        <f>YEAR(AS1697)</f>
        <v/>
      </c>
      <c r="AR1697" s="6">
        <f>MONTH(AS1697)</f>
        <v/>
      </c>
      <c r="AS1697" s="267">
        <f>IFERROR(__xludf.DUMMYFUNCTION("""COMPUTED_VALUE"""),45569.9986111111)</f>
        <v/>
      </c>
      <c r="AT1697" s="6">
        <f>IFERROR(__xludf.DUMMYFUNCTION("""COMPUTED_VALUE"""),2667.8)</f>
        <v/>
      </c>
    </row>
    <row r="1698">
      <c r="B1698" s="6">
        <f>C1698&amp;D1698</f>
        <v/>
      </c>
      <c r="C1698" s="6">
        <f>YEAR(E1698)</f>
        <v/>
      </c>
      <c r="D1698" s="6">
        <f>MONTH(E1698)</f>
        <v/>
      </c>
      <c r="E1698" s="267">
        <f>IFERROR(__xludf.DUMMYFUNCTION("""COMPUTED_VALUE"""),45565.6666666666)</f>
        <v/>
      </c>
      <c r="F1698" s="6">
        <f>IFERROR(__xludf.DUMMYFUNCTION("""COMPUTED_VALUE"""),5762.48)</f>
        <v/>
      </c>
      <c r="J1698" s="6">
        <f>K1698&amp;L1698</f>
        <v/>
      </c>
      <c r="K1698" s="6">
        <f>YEAR(M1698)</f>
        <v/>
      </c>
      <c r="L1698" s="6">
        <f>MONTH(M1698)</f>
        <v/>
      </c>
      <c r="M1698" s="267">
        <f>IFERROR(__xludf.DUMMYFUNCTION("""COMPUTED_VALUE"""),45555.6666666666)</f>
        <v/>
      </c>
      <c r="N1698" s="6">
        <f>IFERROR(__xludf.DUMMYFUNCTION("""COMPUTED_VALUE"""),17948.32)</f>
        <v/>
      </c>
      <c r="R1698" s="6">
        <f>S1698&amp;T1698</f>
        <v/>
      </c>
      <c r="S1698" s="6">
        <f>YEAR(U1698)</f>
        <v/>
      </c>
      <c r="T1698" s="6">
        <f>MONTH(U1698)</f>
        <v/>
      </c>
      <c r="U1698" s="267">
        <f>IFERROR(__xludf.DUMMYFUNCTION("""COMPUTED_VALUE"""),45624.6458333333)</f>
        <v/>
      </c>
      <c r="V1698" s="6">
        <f>IFERROR(__xludf.DUMMYFUNCTION("""COMPUTED_VALUE"""),2504.67)</f>
        <v/>
      </c>
      <c r="Z1698" s="6">
        <f>AA1698&amp;AB1698</f>
        <v/>
      </c>
      <c r="AA1698" s="6">
        <f>YEAR(AC1698)</f>
        <v/>
      </c>
      <c r="AB1698" s="6">
        <f>MONTH(AC1698)</f>
        <v/>
      </c>
      <c r="AC1698" s="267">
        <f>IFERROR(__xludf.DUMMYFUNCTION("""COMPUTED_VALUE"""),44847.9986111111)</f>
        <v/>
      </c>
      <c r="AD1698" s="6">
        <f>IFERROR(__xludf.DUMMYFUNCTION("""COMPUTED_VALUE"""),1430.3)</f>
        <v/>
      </c>
      <c r="AH1698" s="6">
        <f>AI1698&amp;AJ1698</f>
        <v/>
      </c>
      <c r="AI1698" s="6">
        <f>YEAR(AK1698)</f>
        <v/>
      </c>
      <c r="AJ1698" s="6">
        <f>MONTH(AK1698)</f>
        <v/>
      </c>
      <c r="AK1698" s="267">
        <f>IFERROR(__xludf.DUMMYFUNCTION("""COMPUTED_VALUE"""),44791.9986111111)</f>
        <v/>
      </c>
      <c r="AL1698" s="6">
        <f>IFERROR(__xludf.DUMMYFUNCTION("""COMPUTED_VALUE"""),23200.79)</f>
        <v/>
      </c>
      <c r="AP1698" s="6">
        <f>AQ1698&amp;AR1698</f>
        <v/>
      </c>
      <c r="AQ1698" s="6">
        <f>YEAR(AS1698)</f>
        <v/>
      </c>
      <c r="AR1698" s="6">
        <f>MONTH(AS1698)</f>
        <v/>
      </c>
      <c r="AS1698" s="267">
        <f>IFERROR(__xludf.DUMMYFUNCTION("""COMPUTED_VALUE"""),45572.9986111111)</f>
        <v/>
      </c>
      <c r="AT1698" s="6">
        <f>IFERROR(__xludf.DUMMYFUNCTION("""COMPUTED_VALUE"""),2666)</f>
        <v/>
      </c>
    </row>
    <row r="1699">
      <c r="B1699" s="6">
        <f>C1699&amp;D1699</f>
        <v/>
      </c>
      <c r="C1699" s="6">
        <f>YEAR(E1699)</f>
        <v/>
      </c>
      <c r="D1699" s="6">
        <f>MONTH(E1699)</f>
        <v/>
      </c>
      <c r="E1699" s="267">
        <f>IFERROR(__xludf.DUMMYFUNCTION("""COMPUTED_VALUE"""),45566.6666666666)</f>
        <v/>
      </c>
      <c r="F1699" s="6">
        <f>IFERROR(__xludf.DUMMYFUNCTION("""COMPUTED_VALUE"""),5708.75)</f>
        <v/>
      </c>
      <c r="J1699" s="6">
        <f>K1699&amp;L1699</f>
        <v/>
      </c>
      <c r="K1699" s="6">
        <f>YEAR(M1699)</f>
        <v/>
      </c>
      <c r="L1699" s="6">
        <f>MONTH(M1699)</f>
        <v/>
      </c>
      <c r="M1699" s="267">
        <f>IFERROR(__xludf.DUMMYFUNCTION("""COMPUTED_VALUE"""),45558.6666666666)</f>
        <v/>
      </c>
      <c r="N1699" s="6">
        <f>IFERROR(__xludf.DUMMYFUNCTION("""COMPUTED_VALUE"""),17974.27)</f>
        <v/>
      </c>
      <c r="R1699" s="6">
        <f>S1699&amp;T1699</f>
        <v/>
      </c>
      <c r="S1699" s="6">
        <f>YEAR(U1699)</f>
        <v/>
      </c>
      <c r="T1699" s="6">
        <f>MONTH(U1699)</f>
        <v/>
      </c>
      <c r="U1699" s="267">
        <f>IFERROR(__xludf.DUMMYFUNCTION("""COMPUTED_VALUE"""),45625.6458333333)</f>
        <v/>
      </c>
      <c r="V1699" s="6">
        <f>IFERROR(__xludf.DUMMYFUNCTION("""COMPUTED_VALUE"""),2455.91)</f>
        <v/>
      </c>
      <c r="Z1699" s="6">
        <f>AA1699&amp;AB1699</f>
        <v/>
      </c>
      <c r="AA1699" s="6">
        <f>YEAR(AC1699)</f>
        <v/>
      </c>
      <c r="AB1699" s="6">
        <f>MONTH(AC1699)</f>
        <v/>
      </c>
      <c r="AC1699" s="267">
        <f>IFERROR(__xludf.DUMMYFUNCTION("""COMPUTED_VALUE"""),44848.9986111111)</f>
        <v/>
      </c>
      <c r="AD1699" s="6">
        <f>IFERROR(__xludf.DUMMYFUNCTION("""COMPUTED_VALUE"""),1440.59)</f>
        <v/>
      </c>
      <c r="AH1699" s="6">
        <f>AI1699&amp;AJ1699</f>
        <v/>
      </c>
      <c r="AI1699" s="6">
        <f>YEAR(AK1699)</f>
        <v/>
      </c>
      <c r="AJ1699" s="6">
        <f>MONTH(AK1699)</f>
        <v/>
      </c>
      <c r="AK1699" s="267">
        <f>IFERROR(__xludf.DUMMYFUNCTION("""COMPUTED_VALUE"""),44792.9986111111)</f>
        <v/>
      </c>
      <c r="AL1699" s="6">
        <f>IFERROR(__xludf.DUMMYFUNCTION("""COMPUTED_VALUE"""),20832.04)</f>
        <v/>
      </c>
      <c r="AP1699" s="6">
        <f>AQ1699&amp;AR1699</f>
        <v/>
      </c>
      <c r="AQ1699" s="6">
        <f>YEAR(AS1699)</f>
        <v/>
      </c>
      <c r="AR1699" s="6">
        <f>MONTH(AS1699)</f>
        <v/>
      </c>
      <c r="AS1699" s="267">
        <f>IFERROR(__xludf.DUMMYFUNCTION("""COMPUTED_VALUE"""),45573.9986111111)</f>
        <v/>
      </c>
      <c r="AT1699" s="6">
        <f>IFERROR(__xludf.DUMMYFUNCTION("""COMPUTED_VALUE"""),2635.4)</f>
        <v/>
      </c>
    </row>
    <row r="1700">
      <c r="B1700" s="6">
        <f>C1700&amp;D1700</f>
        <v/>
      </c>
      <c r="C1700" s="6">
        <f>YEAR(E1700)</f>
        <v/>
      </c>
      <c r="D1700" s="6">
        <f>MONTH(E1700)</f>
        <v/>
      </c>
      <c r="E1700" s="267">
        <f>IFERROR(__xludf.DUMMYFUNCTION("""COMPUTED_VALUE"""),45567.6666666666)</f>
        <v/>
      </c>
      <c r="F1700" s="6">
        <f>IFERROR(__xludf.DUMMYFUNCTION("""COMPUTED_VALUE"""),5709.54)</f>
        <v/>
      </c>
      <c r="J1700" s="6">
        <f>K1700&amp;L1700</f>
        <v/>
      </c>
      <c r="K1700" s="6">
        <f>YEAR(M1700)</f>
        <v/>
      </c>
      <c r="L1700" s="6">
        <f>MONTH(M1700)</f>
        <v/>
      </c>
      <c r="M1700" s="267">
        <f>IFERROR(__xludf.DUMMYFUNCTION("""COMPUTED_VALUE"""),45559.6666666666)</f>
        <v/>
      </c>
      <c r="N1700" s="6">
        <f>IFERROR(__xludf.DUMMYFUNCTION("""COMPUTED_VALUE"""),18074.52)</f>
        <v/>
      </c>
      <c r="R1700" s="6">
        <f>S1700&amp;T1700</f>
        <v/>
      </c>
      <c r="S1700" s="6">
        <f>YEAR(U1700)</f>
        <v/>
      </c>
      <c r="T1700" s="6">
        <f>MONTH(U1700)</f>
        <v/>
      </c>
      <c r="U1700" s="267">
        <f>IFERROR(__xludf.DUMMYFUNCTION("""COMPUTED_VALUE"""),45628.6458333333)</f>
        <v/>
      </c>
      <c r="V1700" s="6">
        <f>IFERROR(__xludf.DUMMYFUNCTION("""COMPUTED_VALUE"""),2454.48)</f>
        <v/>
      </c>
      <c r="Z1700" s="6">
        <f>AA1700&amp;AB1700</f>
        <v/>
      </c>
      <c r="AA1700" s="6">
        <f>YEAR(AC1700)</f>
        <v/>
      </c>
      <c r="AB1700" s="6">
        <f>MONTH(AC1700)</f>
        <v/>
      </c>
      <c r="AC1700" s="267">
        <f>IFERROR(__xludf.DUMMYFUNCTION("""COMPUTED_VALUE"""),44849.9986111111)</f>
        <v/>
      </c>
      <c r="AD1700" s="6">
        <f>IFERROR(__xludf.DUMMYFUNCTION("""COMPUTED_VALUE"""),1440.59)</f>
        <v/>
      </c>
      <c r="AH1700" s="6">
        <f>AI1700&amp;AJ1700</f>
        <v/>
      </c>
      <c r="AI1700" s="6">
        <f>YEAR(AK1700)</f>
        <v/>
      </c>
      <c r="AJ1700" s="6">
        <f>MONTH(AK1700)</f>
        <v/>
      </c>
      <c r="AK1700" s="267">
        <f>IFERROR(__xludf.DUMMYFUNCTION("""COMPUTED_VALUE"""),44793.9986111111)</f>
        <v/>
      </c>
      <c r="AL1700" s="6">
        <f>IFERROR(__xludf.DUMMYFUNCTION("""COMPUTED_VALUE"""),21139.86)</f>
        <v/>
      </c>
      <c r="AP1700" s="6">
        <f>AQ1700&amp;AR1700</f>
        <v/>
      </c>
      <c r="AQ1700" s="6">
        <f>YEAR(AS1700)</f>
        <v/>
      </c>
      <c r="AR1700" s="6">
        <f>MONTH(AS1700)</f>
        <v/>
      </c>
      <c r="AS1700" s="267">
        <f>IFERROR(__xludf.DUMMYFUNCTION("""COMPUTED_VALUE"""),45574.9986111111)</f>
        <v/>
      </c>
      <c r="AT1700" s="6">
        <f>IFERROR(__xludf.DUMMYFUNCTION("""COMPUTED_VALUE"""),2626)</f>
        <v/>
      </c>
    </row>
    <row r="1701">
      <c r="B1701" s="6">
        <f>C1701&amp;D1701</f>
        <v/>
      </c>
      <c r="C1701" s="6">
        <f>YEAR(E1701)</f>
        <v/>
      </c>
      <c r="D1701" s="6">
        <f>MONTH(E1701)</f>
        <v/>
      </c>
      <c r="E1701" s="267">
        <f>IFERROR(__xludf.DUMMYFUNCTION("""COMPUTED_VALUE"""),45568.6666666666)</f>
        <v/>
      </c>
      <c r="F1701" s="6">
        <f>IFERROR(__xludf.DUMMYFUNCTION("""COMPUTED_VALUE"""),5699.94)</f>
        <v/>
      </c>
      <c r="J1701" s="6">
        <f>K1701&amp;L1701</f>
        <v/>
      </c>
      <c r="K1701" s="6">
        <f>YEAR(M1701)</f>
        <v/>
      </c>
      <c r="L1701" s="6">
        <f>MONTH(M1701)</f>
        <v/>
      </c>
      <c r="M1701" s="267">
        <f>IFERROR(__xludf.DUMMYFUNCTION("""COMPUTED_VALUE"""),45560.6666666666)</f>
        <v/>
      </c>
      <c r="N1701" s="6">
        <f>IFERROR(__xludf.DUMMYFUNCTION("""COMPUTED_VALUE"""),18082.21)</f>
        <v/>
      </c>
      <c r="R1701" s="6">
        <f>S1701&amp;T1701</f>
        <v/>
      </c>
      <c r="S1701" s="6">
        <f>YEAR(U1701)</f>
        <v/>
      </c>
      <c r="T1701" s="6">
        <f>MONTH(U1701)</f>
        <v/>
      </c>
      <c r="U1701" s="267">
        <f>IFERROR(__xludf.DUMMYFUNCTION("""COMPUTED_VALUE"""),45629.6458333333)</f>
        <v/>
      </c>
      <c r="V1701" s="6">
        <f>IFERROR(__xludf.DUMMYFUNCTION("""COMPUTED_VALUE"""),2500.1)</f>
        <v/>
      </c>
      <c r="Z1701" s="6">
        <f>AA1701&amp;AB1701</f>
        <v/>
      </c>
      <c r="AA1701" s="6">
        <f>YEAR(AC1701)</f>
        <v/>
      </c>
      <c r="AB1701" s="6">
        <f>MONTH(AC1701)</f>
        <v/>
      </c>
      <c r="AC1701" s="267">
        <f>IFERROR(__xludf.DUMMYFUNCTION("""COMPUTED_VALUE"""),44850.9986111111)</f>
        <v/>
      </c>
      <c r="AD1701" s="6">
        <f>IFERROR(__xludf.DUMMYFUNCTION("""COMPUTED_VALUE"""),1440.76)</f>
        <v/>
      </c>
      <c r="AH1701" s="6">
        <f>AI1701&amp;AJ1701</f>
        <v/>
      </c>
      <c r="AI1701" s="6">
        <f>YEAR(AK1701)</f>
        <v/>
      </c>
      <c r="AJ1701" s="6">
        <f>MONTH(AK1701)</f>
        <v/>
      </c>
      <c r="AK1701" s="267">
        <f>IFERROR(__xludf.DUMMYFUNCTION("""COMPUTED_VALUE"""),44794.9986111111)</f>
        <v/>
      </c>
      <c r="AL1701" s="6">
        <f>IFERROR(__xludf.DUMMYFUNCTION("""COMPUTED_VALUE"""),21514.74)</f>
        <v/>
      </c>
      <c r="AP1701" s="6">
        <f>AQ1701&amp;AR1701</f>
        <v/>
      </c>
      <c r="AQ1701" s="6">
        <f>YEAR(AS1701)</f>
        <v/>
      </c>
      <c r="AR1701" s="6">
        <f>MONTH(AS1701)</f>
        <v/>
      </c>
      <c r="AS1701" s="267">
        <f>IFERROR(__xludf.DUMMYFUNCTION("""COMPUTED_VALUE"""),45575.9986111111)</f>
        <v/>
      </c>
      <c r="AT1701" s="6">
        <f>IFERROR(__xludf.DUMMYFUNCTION("""COMPUTED_VALUE"""),2639.3)</f>
        <v/>
      </c>
    </row>
    <row r="1702">
      <c r="B1702" s="6">
        <f>C1702&amp;D1702</f>
        <v/>
      </c>
      <c r="C1702" s="6">
        <f>YEAR(E1702)</f>
        <v/>
      </c>
      <c r="D1702" s="6">
        <f>MONTH(E1702)</f>
        <v/>
      </c>
      <c r="E1702" s="267">
        <f>IFERROR(__xludf.DUMMYFUNCTION("""COMPUTED_VALUE"""),45569.6666666666)</f>
        <v/>
      </c>
      <c r="F1702" s="6">
        <f>IFERROR(__xludf.DUMMYFUNCTION("""COMPUTED_VALUE"""),5751.07)</f>
        <v/>
      </c>
      <c r="J1702" s="6">
        <f>K1702&amp;L1702</f>
        <v/>
      </c>
      <c r="K1702" s="6">
        <f>YEAR(M1702)</f>
        <v/>
      </c>
      <c r="L1702" s="6">
        <f>MONTH(M1702)</f>
        <v/>
      </c>
      <c r="M1702" s="267">
        <f>IFERROR(__xludf.DUMMYFUNCTION("""COMPUTED_VALUE"""),45561.6666666666)</f>
        <v/>
      </c>
      <c r="N1702" s="6">
        <f>IFERROR(__xludf.DUMMYFUNCTION("""COMPUTED_VALUE"""),18190.29)</f>
        <v/>
      </c>
      <c r="R1702" s="6">
        <f>S1702&amp;T1702</f>
        <v/>
      </c>
      <c r="S1702" s="6">
        <f>YEAR(U1702)</f>
        <v/>
      </c>
      <c r="T1702" s="6">
        <f>MONTH(U1702)</f>
        <v/>
      </c>
      <c r="U1702" s="267">
        <f>IFERROR(__xludf.DUMMYFUNCTION("""COMPUTED_VALUE"""),45630.6458333333)</f>
        <v/>
      </c>
      <c r="V1702" s="6">
        <f>IFERROR(__xludf.DUMMYFUNCTION("""COMPUTED_VALUE"""),2464)</f>
        <v/>
      </c>
      <c r="Z1702" s="6">
        <f>AA1702&amp;AB1702</f>
        <v/>
      </c>
      <c r="AA1702" s="6">
        <f>YEAR(AC1702)</f>
        <v/>
      </c>
      <c r="AB1702" s="6">
        <f>MONTH(AC1702)</f>
        <v/>
      </c>
      <c r="AC1702" s="267">
        <f>IFERROR(__xludf.DUMMYFUNCTION("""COMPUTED_VALUE"""),44851.9986111111)</f>
        <v/>
      </c>
      <c r="AD1702" s="6">
        <f>IFERROR(__xludf.DUMMYFUNCTION("""COMPUTED_VALUE"""),1430.15)</f>
        <v/>
      </c>
      <c r="AH1702" s="6">
        <f>AI1702&amp;AJ1702</f>
        <v/>
      </c>
      <c r="AI1702" s="6">
        <f>YEAR(AK1702)</f>
        <v/>
      </c>
      <c r="AJ1702" s="6">
        <f>MONTH(AK1702)</f>
        <v/>
      </c>
      <c r="AK1702" s="267">
        <f>IFERROR(__xludf.DUMMYFUNCTION("""COMPUTED_VALUE"""),44795.9986111111)</f>
        <v/>
      </c>
      <c r="AL1702" s="6">
        <f>IFERROR(__xludf.DUMMYFUNCTION("""COMPUTED_VALUE"""),21405.4)</f>
        <v/>
      </c>
      <c r="AP1702" s="6">
        <f>AQ1702&amp;AR1702</f>
        <v/>
      </c>
      <c r="AQ1702" s="6">
        <f>YEAR(AS1702)</f>
        <v/>
      </c>
      <c r="AR1702" s="6">
        <f>MONTH(AS1702)</f>
        <v/>
      </c>
      <c r="AS1702" s="267">
        <f>IFERROR(__xludf.DUMMYFUNCTION("""COMPUTED_VALUE"""),45576.9986111111)</f>
        <v/>
      </c>
      <c r="AT1702" s="6">
        <f>IFERROR(__xludf.DUMMYFUNCTION("""COMPUTED_VALUE"""),2676.3)</f>
        <v/>
      </c>
    </row>
    <row r="1703">
      <c r="B1703" s="6">
        <f>C1703&amp;D1703</f>
        <v/>
      </c>
      <c r="C1703" s="6">
        <f>YEAR(E1703)</f>
        <v/>
      </c>
      <c r="D1703" s="6">
        <f>MONTH(E1703)</f>
        <v/>
      </c>
      <c r="E1703" s="267">
        <f>IFERROR(__xludf.DUMMYFUNCTION("""COMPUTED_VALUE"""),45572.6666666666)</f>
        <v/>
      </c>
      <c r="F1703" s="6">
        <f>IFERROR(__xludf.DUMMYFUNCTION("""COMPUTED_VALUE"""),5695.94)</f>
        <v/>
      </c>
      <c r="J1703" s="6">
        <f>K1703&amp;L1703</f>
        <v/>
      </c>
      <c r="K1703" s="6">
        <f>YEAR(M1703)</f>
        <v/>
      </c>
      <c r="L1703" s="6">
        <f>MONTH(M1703)</f>
        <v/>
      </c>
      <c r="M1703" s="267">
        <f>IFERROR(__xludf.DUMMYFUNCTION("""COMPUTED_VALUE"""),45562.6666666666)</f>
        <v/>
      </c>
      <c r="N1703" s="6">
        <f>IFERROR(__xludf.DUMMYFUNCTION("""COMPUTED_VALUE"""),18119.59)</f>
        <v/>
      </c>
      <c r="R1703" s="6">
        <f>S1703&amp;T1703</f>
        <v/>
      </c>
      <c r="S1703" s="6">
        <f>YEAR(U1703)</f>
        <v/>
      </c>
      <c r="T1703" s="6">
        <f>MONTH(U1703)</f>
        <v/>
      </c>
      <c r="U1703" s="267">
        <f>IFERROR(__xludf.DUMMYFUNCTION("""COMPUTED_VALUE"""),45631.6458333333)</f>
        <v/>
      </c>
      <c r="V1703" s="6">
        <f>IFERROR(__xludf.DUMMYFUNCTION("""COMPUTED_VALUE"""),2441.85)</f>
        <v/>
      </c>
      <c r="Z1703" s="6">
        <f>AA1703&amp;AB1703</f>
        <v/>
      </c>
      <c r="AA1703" s="6">
        <f>YEAR(AC1703)</f>
        <v/>
      </c>
      <c r="AB1703" s="6">
        <f>MONTH(AC1703)</f>
        <v/>
      </c>
      <c r="AC1703" s="267">
        <f>IFERROR(__xludf.DUMMYFUNCTION("""COMPUTED_VALUE"""),44852.9986111111)</f>
        <v/>
      </c>
      <c r="AD1703" s="6">
        <f>IFERROR(__xludf.DUMMYFUNCTION("""COMPUTED_VALUE"""),1425.02)</f>
        <v/>
      </c>
      <c r="AH1703" s="6">
        <f>AI1703&amp;AJ1703</f>
        <v/>
      </c>
      <c r="AI1703" s="6">
        <f>YEAR(AK1703)</f>
        <v/>
      </c>
      <c r="AJ1703" s="6">
        <f>MONTH(AK1703)</f>
        <v/>
      </c>
      <c r="AK1703" s="267">
        <f>IFERROR(__xludf.DUMMYFUNCTION("""COMPUTED_VALUE"""),44796.9986111111)</f>
        <v/>
      </c>
      <c r="AL1703" s="6">
        <f>IFERROR(__xludf.DUMMYFUNCTION("""COMPUTED_VALUE"""),21520.98)</f>
        <v/>
      </c>
      <c r="AP1703" s="6">
        <f>AQ1703&amp;AR1703</f>
        <v/>
      </c>
      <c r="AQ1703" s="6">
        <f>YEAR(AS1703)</f>
        <v/>
      </c>
      <c r="AR1703" s="6">
        <f>MONTH(AS1703)</f>
        <v/>
      </c>
      <c r="AS1703" s="267">
        <f>IFERROR(__xludf.DUMMYFUNCTION("""COMPUTED_VALUE"""),45579.9986111111)</f>
        <v/>
      </c>
      <c r="AT1703" s="6">
        <f>IFERROR(__xludf.DUMMYFUNCTION("""COMPUTED_VALUE"""),2665.6)</f>
        <v/>
      </c>
    </row>
    <row r="1704">
      <c r="B1704" s="6">
        <f>C1704&amp;D1704</f>
        <v/>
      </c>
      <c r="C1704" s="6">
        <f>YEAR(E1704)</f>
        <v/>
      </c>
      <c r="D1704" s="6">
        <f>MONTH(E1704)</f>
        <v/>
      </c>
      <c r="E1704" s="267">
        <f>IFERROR(__xludf.DUMMYFUNCTION("""COMPUTED_VALUE"""),45573.6666666666)</f>
        <v/>
      </c>
      <c r="F1704" s="6">
        <f>IFERROR(__xludf.DUMMYFUNCTION("""COMPUTED_VALUE"""),5751.13)</f>
        <v/>
      </c>
      <c r="J1704" s="6">
        <f>K1704&amp;L1704</f>
        <v/>
      </c>
      <c r="K1704" s="6">
        <f>YEAR(M1704)</f>
        <v/>
      </c>
      <c r="L1704" s="6">
        <f>MONTH(M1704)</f>
        <v/>
      </c>
      <c r="M1704" s="267">
        <f>IFERROR(__xludf.DUMMYFUNCTION("""COMPUTED_VALUE"""),45565.6666666666)</f>
        <v/>
      </c>
      <c r="N1704" s="6">
        <f>IFERROR(__xludf.DUMMYFUNCTION("""COMPUTED_VALUE"""),18189.17)</f>
        <v/>
      </c>
      <c r="R1704" s="6">
        <f>S1704&amp;T1704</f>
        <v/>
      </c>
      <c r="S1704" s="6">
        <f>YEAR(U1704)</f>
        <v/>
      </c>
      <c r="T1704" s="6">
        <f>MONTH(U1704)</f>
        <v/>
      </c>
      <c r="U1704" s="267">
        <f>IFERROR(__xludf.DUMMYFUNCTION("""COMPUTED_VALUE"""),45632.6458333333)</f>
        <v/>
      </c>
      <c r="V1704" s="6">
        <f>IFERROR(__xludf.DUMMYFUNCTION("""COMPUTED_VALUE"""),2428.16)</f>
        <v/>
      </c>
      <c r="Z1704" s="6">
        <f>AA1704&amp;AB1704</f>
        <v/>
      </c>
      <c r="AA1704" s="6">
        <f>YEAR(AC1704)</f>
        <v/>
      </c>
      <c r="AB1704" s="6">
        <f>MONTH(AC1704)</f>
        <v/>
      </c>
      <c r="AC1704" s="267">
        <f>IFERROR(__xludf.DUMMYFUNCTION("""COMPUTED_VALUE"""),44853.9986111111)</f>
        <v/>
      </c>
      <c r="AD1704" s="6">
        <f>IFERROR(__xludf.DUMMYFUNCTION("""COMPUTED_VALUE"""),1435.01)</f>
        <v/>
      </c>
      <c r="AH1704" s="6">
        <f>AI1704&amp;AJ1704</f>
        <v/>
      </c>
      <c r="AI1704" s="6">
        <f>YEAR(AK1704)</f>
        <v/>
      </c>
      <c r="AJ1704" s="6">
        <f>MONTH(AK1704)</f>
        <v/>
      </c>
      <c r="AK1704" s="267">
        <f>IFERROR(__xludf.DUMMYFUNCTION("""COMPUTED_VALUE"""),44797.9986111111)</f>
        <v/>
      </c>
      <c r="AL1704" s="6">
        <f>IFERROR(__xludf.DUMMYFUNCTION("""COMPUTED_VALUE"""),21366.2)</f>
        <v/>
      </c>
      <c r="AP1704" s="6">
        <f>AQ1704&amp;AR1704</f>
        <v/>
      </c>
      <c r="AQ1704" s="6">
        <f>YEAR(AS1704)</f>
        <v/>
      </c>
      <c r="AR1704" s="6">
        <f>MONTH(AS1704)</f>
        <v/>
      </c>
      <c r="AS1704" s="267">
        <f>IFERROR(__xludf.DUMMYFUNCTION("""COMPUTED_VALUE"""),45580.9986111111)</f>
        <v/>
      </c>
      <c r="AT1704" s="6">
        <f>IFERROR(__xludf.DUMMYFUNCTION("""COMPUTED_VALUE"""),2678.9)</f>
        <v/>
      </c>
    </row>
    <row r="1705">
      <c r="B1705" s="6">
        <f>C1705&amp;D1705</f>
        <v/>
      </c>
      <c r="C1705" s="6">
        <f>YEAR(E1705)</f>
        <v/>
      </c>
      <c r="D1705" s="6">
        <f>MONTH(E1705)</f>
        <v/>
      </c>
      <c r="E1705" s="267">
        <f>IFERROR(__xludf.DUMMYFUNCTION("""COMPUTED_VALUE"""),45574.6666666666)</f>
        <v/>
      </c>
      <c r="F1705" s="6">
        <f>IFERROR(__xludf.DUMMYFUNCTION("""COMPUTED_VALUE"""),5792.04)</f>
        <v/>
      </c>
      <c r="J1705" s="6">
        <f>K1705&amp;L1705</f>
        <v/>
      </c>
      <c r="K1705" s="6">
        <f>YEAR(M1705)</f>
        <v/>
      </c>
      <c r="L1705" s="6">
        <f>MONTH(M1705)</f>
        <v/>
      </c>
      <c r="M1705" s="267">
        <f>IFERROR(__xludf.DUMMYFUNCTION("""COMPUTED_VALUE"""),45566.6666666666)</f>
        <v/>
      </c>
      <c r="N1705" s="6">
        <f>IFERROR(__xludf.DUMMYFUNCTION("""COMPUTED_VALUE"""),17910.36)</f>
        <v/>
      </c>
      <c r="R1705" s="6">
        <f>S1705&amp;T1705</f>
        <v/>
      </c>
      <c r="S1705" s="6">
        <f>YEAR(U1705)</f>
        <v/>
      </c>
      <c r="T1705" s="6">
        <f>MONTH(U1705)</f>
        <v/>
      </c>
      <c r="U1705" s="267">
        <f>IFERROR(__xludf.DUMMYFUNCTION("""COMPUTED_VALUE"""),45635.6458333333)</f>
        <v/>
      </c>
      <c r="V1705" s="6">
        <f>IFERROR(__xludf.DUMMYFUNCTION("""COMPUTED_VALUE"""),2360.58)</f>
        <v/>
      </c>
      <c r="Z1705" s="6">
        <f>AA1705&amp;AB1705</f>
        <v/>
      </c>
      <c r="AA1705" s="6">
        <f>YEAR(AC1705)</f>
        <v/>
      </c>
      <c r="AB1705" s="6">
        <f>MONTH(AC1705)</f>
        <v/>
      </c>
      <c r="AC1705" s="267">
        <f>IFERROR(__xludf.DUMMYFUNCTION("""COMPUTED_VALUE"""),44854.9986111111)</f>
        <v/>
      </c>
      <c r="AD1705" s="6">
        <f>IFERROR(__xludf.DUMMYFUNCTION("""COMPUTED_VALUE"""),1430.31)</f>
        <v/>
      </c>
      <c r="AH1705" s="6">
        <f>AI1705&amp;AJ1705</f>
        <v/>
      </c>
      <c r="AI1705" s="6">
        <f>YEAR(AK1705)</f>
        <v/>
      </c>
      <c r="AJ1705" s="6">
        <f>MONTH(AK1705)</f>
        <v/>
      </c>
      <c r="AK1705" s="267">
        <f>IFERROR(__xludf.DUMMYFUNCTION("""COMPUTED_VALUE"""),44798.9986111111)</f>
        <v/>
      </c>
      <c r="AL1705" s="6">
        <f>IFERROR(__xludf.DUMMYFUNCTION("""COMPUTED_VALUE"""),21565.53)</f>
        <v/>
      </c>
      <c r="AP1705" s="6">
        <f>AQ1705&amp;AR1705</f>
        <v/>
      </c>
      <c r="AQ1705" s="6">
        <f>YEAR(AS1705)</f>
        <v/>
      </c>
      <c r="AR1705" s="6">
        <f>MONTH(AS1705)</f>
        <v/>
      </c>
      <c r="AS1705" s="267">
        <f>IFERROR(__xludf.DUMMYFUNCTION("""COMPUTED_VALUE"""),45581.9986111111)</f>
        <v/>
      </c>
      <c r="AT1705" s="6">
        <f>IFERROR(__xludf.DUMMYFUNCTION("""COMPUTED_VALUE"""),2691.3)</f>
        <v/>
      </c>
    </row>
    <row r="1706">
      <c r="B1706" s="6">
        <f>C1706&amp;D1706</f>
        <v/>
      </c>
      <c r="C1706" s="6">
        <f>YEAR(E1706)</f>
        <v/>
      </c>
      <c r="D1706" s="6">
        <f>MONTH(E1706)</f>
        <v/>
      </c>
      <c r="E1706" s="267">
        <f>IFERROR(__xludf.DUMMYFUNCTION("""COMPUTED_VALUE"""),45575.6666666666)</f>
        <v/>
      </c>
      <c r="F1706" s="6">
        <f>IFERROR(__xludf.DUMMYFUNCTION("""COMPUTED_VALUE"""),5780.05)</f>
        <v/>
      </c>
      <c r="J1706" s="6">
        <f>K1706&amp;L1706</f>
        <v/>
      </c>
      <c r="K1706" s="6">
        <f>YEAR(M1706)</f>
        <v/>
      </c>
      <c r="L1706" s="6">
        <f>MONTH(M1706)</f>
        <v/>
      </c>
      <c r="M1706" s="267">
        <f>IFERROR(__xludf.DUMMYFUNCTION("""COMPUTED_VALUE"""),45567.6666666666)</f>
        <v/>
      </c>
      <c r="N1706" s="6">
        <f>IFERROR(__xludf.DUMMYFUNCTION("""COMPUTED_VALUE"""),17925.12)</f>
        <v/>
      </c>
      <c r="R1706" s="6">
        <f>S1706&amp;T1706</f>
        <v/>
      </c>
      <c r="S1706" s="6">
        <f>YEAR(U1706)</f>
        <v/>
      </c>
      <c r="T1706" s="6">
        <f>MONTH(U1706)</f>
        <v/>
      </c>
      <c r="U1706" s="267">
        <f>IFERROR(__xludf.DUMMYFUNCTION("""COMPUTED_VALUE"""),45636.6458333333)</f>
        <v/>
      </c>
      <c r="V1706" s="6">
        <f>IFERROR(__xludf.DUMMYFUNCTION("""COMPUTED_VALUE"""),2417.84)</f>
        <v/>
      </c>
      <c r="Z1706" s="6">
        <f>AA1706&amp;AB1706</f>
        <v/>
      </c>
      <c r="AA1706" s="6">
        <f>YEAR(AC1706)</f>
        <v/>
      </c>
      <c r="AB1706" s="6">
        <f>MONTH(AC1706)</f>
        <v/>
      </c>
      <c r="AC1706" s="267">
        <f>IFERROR(__xludf.DUMMYFUNCTION("""COMPUTED_VALUE"""),44855.9986111111)</f>
        <v/>
      </c>
      <c r="AD1706" s="6">
        <f>IFERROR(__xludf.DUMMYFUNCTION("""COMPUTED_VALUE"""),1429.04)</f>
        <v/>
      </c>
      <c r="AH1706" s="6">
        <f>AI1706&amp;AJ1706</f>
        <v/>
      </c>
      <c r="AI1706" s="6">
        <f>YEAR(AK1706)</f>
        <v/>
      </c>
      <c r="AJ1706" s="6">
        <f>MONTH(AK1706)</f>
        <v/>
      </c>
      <c r="AK1706" s="267">
        <f>IFERROR(__xludf.DUMMYFUNCTION("""COMPUTED_VALUE"""),44799.9986111111)</f>
        <v/>
      </c>
      <c r="AL1706" s="6">
        <f>IFERROR(__xludf.DUMMYFUNCTION("""COMPUTED_VALUE"""),20248.2)</f>
        <v/>
      </c>
      <c r="AP1706" s="6">
        <f>AQ1706&amp;AR1706</f>
        <v/>
      </c>
      <c r="AQ1706" s="6">
        <f>YEAR(AS1706)</f>
        <v/>
      </c>
      <c r="AR1706" s="6">
        <f>MONTH(AS1706)</f>
        <v/>
      </c>
      <c r="AS1706" s="267">
        <f>IFERROR(__xludf.DUMMYFUNCTION("""COMPUTED_VALUE"""),45582.9986111111)</f>
        <v/>
      </c>
      <c r="AT1706" s="6">
        <f>IFERROR(__xludf.DUMMYFUNCTION("""COMPUTED_VALUE"""),2707.5)</f>
        <v/>
      </c>
    </row>
    <row r="1707">
      <c r="B1707" s="6">
        <f>C1707&amp;D1707</f>
        <v/>
      </c>
      <c r="C1707" s="6">
        <f>YEAR(E1707)</f>
        <v/>
      </c>
      <c r="D1707" s="6">
        <f>MONTH(E1707)</f>
        <v/>
      </c>
      <c r="E1707" s="267">
        <f>IFERROR(__xludf.DUMMYFUNCTION("""COMPUTED_VALUE"""),45576.6666666666)</f>
        <v/>
      </c>
      <c r="F1707" s="6">
        <f>IFERROR(__xludf.DUMMYFUNCTION("""COMPUTED_VALUE"""),5815.03)</f>
        <v/>
      </c>
      <c r="J1707" s="6">
        <f>K1707&amp;L1707</f>
        <v/>
      </c>
      <c r="K1707" s="6">
        <f>YEAR(M1707)</f>
        <v/>
      </c>
      <c r="L1707" s="6">
        <f>MONTH(M1707)</f>
        <v/>
      </c>
      <c r="M1707" s="267">
        <f>IFERROR(__xludf.DUMMYFUNCTION("""COMPUTED_VALUE"""),45568.6666666666)</f>
        <v/>
      </c>
      <c r="N1707" s="6">
        <f>IFERROR(__xludf.DUMMYFUNCTION("""COMPUTED_VALUE"""),17918.48)</f>
        <v/>
      </c>
      <c r="R1707" s="6">
        <f>S1707&amp;T1707</f>
        <v/>
      </c>
      <c r="S1707" s="6">
        <f>YEAR(U1707)</f>
        <v/>
      </c>
      <c r="T1707" s="6">
        <f>MONTH(U1707)</f>
        <v/>
      </c>
      <c r="U1707" s="267">
        <f>IFERROR(__xludf.DUMMYFUNCTION("""COMPUTED_VALUE"""),45637.6458333333)</f>
        <v/>
      </c>
      <c r="V1707" s="6">
        <f>IFERROR(__xludf.DUMMYFUNCTION("""COMPUTED_VALUE"""),2442.51)</f>
        <v/>
      </c>
      <c r="Z1707" s="6">
        <f>AA1707&amp;AB1707</f>
        <v/>
      </c>
      <c r="AA1707" s="6">
        <f>YEAR(AC1707)</f>
        <v/>
      </c>
      <c r="AB1707" s="6">
        <f>MONTH(AC1707)</f>
        <v/>
      </c>
      <c r="AC1707" s="267">
        <f>IFERROR(__xludf.DUMMYFUNCTION("""COMPUTED_VALUE"""),44856.9986111111)</f>
        <v/>
      </c>
      <c r="AD1707" s="6">
        <f>IFERROR(__xludf.DUMMYFUNCTION("""COMPUTED_VALUE"""),1428.94)</f>
        <v/>
      </c>
      <c r="AH1707" s="6">
        <f>AI1707&amp;AJ1707</f>
        <v/>
      </c>
      <c r="AI1707" s="6">
        <f>YEAR(AK1707)</f>
        <v/>
      </c>
      <c r="AJ1707" s="6">
        <f>MONTH(AK1707)</f>
        <v/>
      </c>
      <c r="AK1707" s="267">
        <f>IFERROR(__xludf.DUMMYFUNCTION("""COMPUTED_VALUE"""),44800.9986111111)</f>
        <v/>
      </c>
      <c r="AL1707" s="6">
        <f>IFERROR(__xludf.DUMMYFUNCTION("""COMPUTED_VALUE"""),20032.95)</f>
        <v/>
      </c>
      <c r="AP1707" s="6">
        <f>AQ1707&amp;AR1707</f>
        <v/>
      </c>
      <c r="AQ1707" s="6">
        <f>YEAR(AS1707)</f>
        <v/>
      </c>
      <c r="AR1707" s="6">
        <f>MONTH(AS1707)</f>
        <v/>
      </c>
      <c r="AS1707" s="267">
        <f>IFERROR(__xludf.DUMMYFUNCTION("""COMPUTED_VALUE"""),45583.9986111111)</f>
        <v/>
      </c>
      <c r="AT1707" s="6">
        <f>IFERROR(__xludf.DUMMYFUNCTION("""COMPUTED_VALUE"""),2730)</f>
        <v/>
      </c>
    </row>
    <row r="1708">
      <c r="B1708" s="6">
        <f>C1708&amp;D1708</f>
        <v/>
      </c>
      <c r="C1708" s="6">
        <f>YEAR(E1708)</f>
        <v/>
      </c>
      <c r="D1708" s="6">
        <f>MONTH(E1708)</f>
        <v/>
      </c>
      <c r="E1708" s="267">
        <f>IFERROR(__xludf.DUMMYFUNCTION("""COMPUTED_VALUE"""),45579.6666666666)</f>
        <v/>
      </c>
      <c r="F1708" s="6">
        <f>IFERROR(__xludf.DUMMYFUNCTION("""COMPUTED_VALUE"""),5859.85)</f>
        <v/>
      </c>
      <c r="J1708" s="6">
        <f>K1708&amp;L1708</f>
        <v/>
      </c>
      <c r="K1708" s="6">
        <f>YEAR(M1708)</f>
        <v/>
      </c>
      <c r="L1708" s="6">
        <f>MONTH(M1708)</f>
        <v/>
      </c>
      <c r="M1708" s="267">
        <f>IFERROR(__xludf.DUMMYFUNCTION("""COMPUTED_VALUE"""),45569.6666666666)</f>
        <v/>
      </c>
      <c r="N1708" s="6">
        <f>IFERROR(__xludf.DUMMYFUNCTION("""COMPUTED_VALUE"""),18137.85)</f>
        <v/>
      </c>
      <c r="R1708" s="6">
        <f>S1708&amp;T1708</f>
        <v/>
      </c>
      <c r="S1708" s="6">
        <f>YEAR(U1708)</f>
        <v/>
      </c>
      <c r="T1708" s="6">
        <f>MONTH(U1708)</f>
        <v/>
      </c>
      <c r="U1708" s="267">
        <f>IFERROR(__xludf.DUMMYFUNCTION("""COMPUTED_VALUE"""),45638.6458333333)</f>
        <v/>
      </c>
      <c r="V1708" s="6">
        <f>IFERROR(__xludf.DUMMYFUNCTION("""COMPUTED_VALUE"""),2482.12)</f>
        <v/>
      </c>
      <c r="Z1708" s="6">
        <f>AA1708&amp;AB1708</f>
        <v/>
      </c>
      <c r="AA1708" s="6">
        <f>YEAR(AC1708)</f>
        <v/>
      </c>
      <c r="AB1708" s="6">
        <f>MONTH(AC1708)</f>
        <v/>
      </c>
      <c r="AC1708" s="267">
        <f>IFERROR(__xludf.DUMMYFUNCTION("""COMPUTED_VALUE"""),44857.9986111111)</f>
        <v/>
      </c>
      <c r="AD1708" s="6">
        <f>IFERROR(__xludf.DUMMYFUNCTION("""COMPUTED_VALUE"""),1428.11)</f>
        <v/>
      </c>
      <c r="AH1708" s="6">
        <f>AI1708&amp;AJ1708</f>
        <v/>
      </c>
      <c r="AI1708" s="6">
        <f>YEAR(AK1708)</f>
        <v/>
      </c>
      <c r="AJ1708" s="6">
        <f>MONTH(AK1708)</f>
        <v/>
      </c>
      <c r="AK1708" s="267">
        <f>IFERROR(__xludf.DUMMYFUNCTION("""COMPUTED_VALUE"""),44801.9986111111)</f>
        <v/>
      </c>
      <c r="AL1708" s="6">
        <f>IFERROR(__xludf.DUMMYFUNCTION("""COMPUTED_VALUE"""),19549.44)</f>
        <v/>
      </c>
      <c r="AP1708" s="6">
        <f>AQ1708&amp;AR1708</f>
        <v/>
      </c>
      <c r="AQ1708" s="6">
        <f>YEAR(AS1708)</f>
        <v/>
      </c>
      <c r="AR1708" s="6">
        <f>MONTH(AS1708)</f>
        <v/>
      </c>
      <c r="AS1708" s="267">
        <f>IFERROR(__xludf.DUMMYFUNCTION("""COMPUTED_VALUE"""),45586.9986111111)</f>
        <v/>
      </c>
      <c r="AT1708" s="6">
        <f>IFERROR(__xludf.DUMMYFUNCTION("""COMPUTED_VALUE"""),2738.9)</f>
        <v/>
      </c>
    </row>
    <row r="1709">
      <c r="B1709" s="6">
        <f>C1709&amp;D1709</f>
        <v/>
      </c>
      <c r="C1709" s="6">
        <f>YEAR(E1709)</f>
        <v/>
      </c>
      <c r="D1709" s="6">
        <f>MONTH(E1709)</f>
        <v/>
      </c>
      <c r="E1709" s="267">
        <f>IFERROR(__xludf.DUMMYFUNCTION("""COMPUTED_VALUE"""),45580.6666666666)</f>
        <v/>
      </c>
      <c r="F1709" s="6">
        <f>IFERROR(__xludf.DUMMYFUNCTION("""COMPUTED_VALUE"""),5815.26)</f>
        <v/>
      </c>
      <c r="J1709" s="6">
        <f>K1709&amp;L1709</f>
        <v/>
      </c>
      <c r="K1709" s="6">
        <f>YEAR(M1709)</f>
        <v/>
      </c>
      <c r="L1709" s="6">
        <f>MONTH(M1709)</f>
        <v/>
      </c>
      <c r="M1709" s="267">
        <f>IFERROR(__xludf.DUMMYFUNCTION("""COMPUTED_VALUE"""),45572.6666666666)</f>
        <v/>
      </c>
      <c r="N1709" s="6">
        <f>IFERROR(__xludf.DUMMYFUNCTION("""COMPUTED_VALUE"""),17923.9)</f>
        <v/>
      </c>
      <c r="R1709" s="6">
        <f>S1709&amp;T1709</f>
        <v/>
      </c>
      <c r="S1709" s="6">
        <f>YEAR(U1709)</f>
        <v/>
      </c>
      <c r="T1709" s="6">
        <f>MONTH(U1709)</f>
        <v/>
      </c>
      <c r="U1709" s="267">
        <f>IFERROR(__xludf.DUMMYFUNCTION("""COMPUTED_VALUE"""),45639.6458333333)</f>
        <v/>
      </c>
      <c r="V1709" s="6">
        <f>IFERROR(__xludf.DUMMYFUNCTION("""COMPUTED_VALUE"""),2494.46)</f>
        <v/>
      </c>
      <c r="Z1709" s="6">
        <f>AA1709&amp;AB1709</f>
        <v/>
      </c>
      <c r="AA1709" s="6">
        <f>YEAR(AC1709)</f>
        <v/>
      </c>
      <c r="AB1709" s="6">
        <f>MONTH(AC1709)</f>
        <v/>
      </c>
      <c r="AC1709" s="267">
        <f>IFERROR(__xludf.DUMMYFUNCTION("""COMPUTED_VALUE"""),44858.9986111111)</f>
        <v/>
      </c>
      <c r="AD1709" s="6">
        <f>IFERROR(__xludf.DUMMYFUNCTION("""COMPUTED_VALUE"""),1443.96)</f>
        <v/>
      </c>
      <c r="AH1709" s="6">
        <f>AI1709&amp;AJ1709</f>
        <v/>
      </c>
      <c r="AI1709" s="6">
        <f>YEAR(AK1709)</f>
        <v/>
      </c>
      <c r="AJ1709" s="6">
        <f>MONTH(AK1709)</f>
        <v/>
      </c>
      <c r="AK1709" s="267">
        <f>IFERROR(__xludf.DUMMYFUNCTION("""COMPUTED_VALUE"""),44802.9986111111)</f>
        <v/>
      </c>
      <c r="AL1709" s="6">
        <f>IFERROR(__xludf.DUMMYFUNCTION("""COMPUTED_VALUE"""),20295.56)</f>
        <v/>
      </c>
      <c r="AP1709" s="6">
        <f>AQ1709&amp;AR1709</f>
        <v/>
      </c>
      <c r="AQ1709" s="6">
        <f>YEAR(AS1709)</f>
        <v/>
      </c>
      <c r="AR1709" s="6">
        <f>MONTH(AS1709)</f>
        <v/>
      </c>
      <c r="AS1709" s="267">
        <f>IFERROR(__xludf.DUMMYFUNCTION("""COMPUTED_VALUE"""),45587.9986111111)</f>
        <v/>
      </c>
      <c r="AT1709" s="6">
        <f>IFERROR(__xludf.DUMMYFUNCTION("""COMPUTED_VALUE"""),2759.8)</f>
        <v/>
      </c>
    </row>
    <row r="1710">
      <c r="B1710" s="6">
        <f>C1710&amp;D1710</f>
        <v/>
      </c>
      <c r="C1710" s="6">
        <f>YEAR(E1710)</f>
        <v/>
      </c>
      <c r="D1710" s="6">
        <f>MONTH(E1710)</f>
        <v/>
      </c>
      <c r="E1710" s="267">
        <f>IFERROR(__xludf.DUMMYFUNCTION("""COMPUTED_VALUE"""),45581.6666666666)</f>
        <v/>
      </c>
      <c r="F1710" s="6">
        <f>IFERROR(__xludf.DUMMYFUNCTION("""COMPUTED_VALUE"""),5842.47)</f>
        <v/>
      </c>
      <c r="J1710" s="6">
        <f>K1710&amp;L1710</f>
        <v/>
      </c>
      <c r="K1710" s="6">
        <f>YEAR(M1710)</f>
        <v/>
      </c>
      <c r="L1710" s="6">
        <f>MONTH(M1710)</f>
        <v/>
      </c>
      <c r="M1710" s="267">
        <f>IFERROR(__xludf.DUMMYFUNCTION("""COMPUTED_VALUE"""),45573.6666666666)</f>
        <v/>
      </c>
      <c r="N1710" s="6">
        <f>IFERROR(__xludf.DUMMYFUNCTION("""COMPUTED_VALUE"""),18182.92)</f>
        <v/>
      </c>
      <c r="R1710" s="6">
        <f>S1710&amp;T1710</f>
        <v/>
      </c>
      <c r="S1710" s="6">
        <f>YEAR(U1710)</f>
        <v/>
      </c>
      <c r="T1710" s="6">
        <f>MONTH(U1710)</f>
        <v/>
      </c>
      <c r="U1710" s="267">
        <f>IFERROR(__xludf.DUMMYFUNCTION("""COMPUTED_VALUE"""),45642.6458333333)</f>
        <v/>
      </c>
      <c r="V1710" s="6">
        <f>IFERROR(__xludf.DUMMYFUNCTION("""COMPUTED_VALUE"""),2488.97)</f>
        <v/>
      </c>
      <c r="Z1710" s="6">
        <f>AA1710&amp;AB1710</f>
        <v/>
      </c>
      <c r="AA1710" s="6">
        <f>YEAR(AC1710)</f>
        <v/>
      </c>
      <c r="AB1710" s="6">
        <f>MONTH(AC1710)</f>
        <v/>
      </c>
      <c r="AC1710" s="267">
        <f>IFERROR(__xludf.DUMMYFUNCTION("""COMPUTED_VALUE"""),44859.9986111111)</f>
        <v/>
      </c>
      <c r="AD1710" s="6">
        <f>IFERROR(__xludf.DUMMYFUNCTION("""COMPUTED_VALUE"""),1426.93)</f>
        <v/>
      </c>
      <c r="AH1710" s="6">
        <f>AI1710&amp;AJ1710</f>
        <v/>
      </c>
      <c r="AI1710" s="6">
        <f>YEAR(AK1710)</f>
        <v/>
      </c>
      <c r="AJ1710" s="6">
        <f>MONTH(AK1710)</f>
        <v/>
      </c>
      <c r="AK1710" s="267">
        <f>IFERROR(__xludf.DUMMYFUNCTION("""COMPUTED_VALUE"""),44803.9986111111)</f>
        <v/>
      </c>
      <c r="AL1710" s="6">
        <f>IFERROR(__xludf.DUMMYFUNCTION("""COMPUTED_VALUE"""),19809.94)</f>
        <v/>
      </c>
      <c r="AP1710" s="6">
        <f>AQ1710&amp;AR1710</f>
        <v/>
      </c>
      <c r="AQ1710" s="6">
        <f>YEAR(AS1710)</f>
        <v/>
      </c>
      <c r="AR1710" s="6">
        <f>MONTH(AS1710)</f>
        <v/>
      </c>
      <c r="AS1710" s="267">
        <f>IFERROR(__xludf.DUMMYFUNCTION("""COMPUTED_VALUE"""),45588.9986111111)</f>
        <v/>
      </c>
      <c r="AT1710" s="6">
        <f>IFERROR(__xludf.DUMMYFUNCTION("""COMPUTED_VALUE"""),2729.4)</f>
        <v/>
      </c>
    </row>
    <row r="1711">
      <c r="B1711" s="6">
        <f>C1711&amp;D1711</f>
        <v/>
      </c>
      <c r="C1711" s="6">
        <f>YEAR(E1711)</f>
        <v/>
      </c>
      <c r="D1711" s="6">
        <f>MONTH(E1711)</f>
        <v/>
      </c>
      <c r="E1711" s="267">
        <f>IFERROR(__xludf.DUMMYFUNCTION("""COMPUTED_VALUE"""),45582.6666666666)</f>
        <v/>
      </c>
      <c r="F1711" s="6">
        <f>IFERROR(__xludf.DUMMYFUNCTION("""COMPUTED_VALUE"""),5841.47)</f>
        <v/>
      </c>
      <c r="J1711" s="6">
        <f>K1711&amp;L1711</f>
        <v/>
      </c>
      <c r="K1711" s="6">
        <f>YEAR(M1711)</f>
        <v/>
      </c>
      <c r="L1711" s="6">
        <f>MONTH(M1711)</f>
        <v/>
      </c>
      <c r="M1711" s="267">
        <f>IFERROR(__xludf.DUMMYFUNCTION("""COMPUTED_VALUE"""),45574.6666666666)</f>
        <v/>
      </c>
      <c r="N1711" s="6">
        <f>IFERROR(__xludf.DUMMYFUNCTION("""COMPUTED_VALUE"""),18291.62)</f>
        <v/>
      </c>
      <c r="R1711" s="6">
        <f>S1711&amp;T1711</f>
        <v/>
      </c>
      <c r="S1711" s="6">
        <f>YEAR(U1711)</f>
        <v/>
      </c>
      <c r="T1711" s="6">
        <f>MONTH(U1711)</f>
        <v/>
      </c>
      <c r="U1711" s="267">
        <f>IFERROR(__xludf.DUMMYFUNCTION("""COMPUTED_VALUE"""),45643.6458333333)</f>
        <v/>
      </c>
      <c r="V1711" s="6">
        <f>IFERROR(__xludf.DUMMYFUNCTION("""COMPUTED_VALUE"""),2456.81)</f>
        <v/>
      </c>
      <c r="Z1711" s="6">
        <f>AA1711&amp;AB1711</f>
        <v/>
      </c>
      <c r="AA1711" s="6">
        <f>YEAR(AC1711)</f>
        <v/>
      </c>
      <c r="AB1711" s="6">
        <f>MONTH(AC1711)</f>
        <v/>
      </c>
      <c r="AC1711" s="267">
        <f>IFERROR(__xludf.DUMMYFUNCTION("""COMPUTED_VALUE"""),44860.9986111111)</f>
        <v/>
      </c>
      <c r="AD1711" s="6">
        <f>IFERROR(__xludf.DUMMYFUNCTION("""COMPUTED_VALUE"""),1412.69)</f>
        <v/>
      </c>
      <c r="AH1711" s="6">
        <f>AI1711&amp;AJ1711</f>
        <v/>
      </c>
      <c r="AI1711" s="6">
        <f>YEAR(AK1711)</f>
        <v/>
      </c>
      <c r="AJ1711" s="6">
        <f>MONTH(AK1711)</f>
        <v/>
      </c>
      <c r="AK1711" s="267">
        <f>IFERROR(__xludf.DUMMYFUNCTION("""COMPUTED_VALUE"""),44804.9986111111)</f>
        <v/>
      </c>
      <c r="AL1711" s="6">
        <f>IFERROR(__xludf.DUMMYFUNCTION("""COMPUTED_VALUE"""),20049.38)</f>
        <v/>
      </c>
      <c r="AP1711" s="6">
        <f>AQ1711&amp;AR1711</f>
        <v/>
      </c>
      <c r="AQ1711" s="6">
        <f>YEAR(AS1711)</f>
        <v/>
      </c>
      <c r="AR1711" s="6">
        <f>MONTH(AS1711)</f>
        <v/>
      </c>
      <c r="AS1711" s="267">
        <f>IFERROR(__xludf.DUMMYFUNCTION("""COMPUTED_VALUE"""),45589.9986111111)</f>
        <v/>
      </c>
      <c r="AT1711" s="6">
        <f>IFERROR(__xludf.DUMMYFUNCTION("""COMPUTED_VALUE"""),2748.9)</f>
        <v/>
      </c>
    </row>
    <row r="1712">
      <c r="B1712" s="6">
        <f>C1712&amp;D1712</f>
        <v/>
      </c>
      <c r="C1712" s="6">
        <f>YEAR(E1712)</f>
        <v/>
      </c>
      <c r="D1712" s="6">
        <f>MONTH(E1712)</f>
        <v/>
      </c>
      <c r="E1712" s="267">
        <f>IFERROR(__xludf.DUMMYFUNCTION("""COMPUTED_VALUE"""),45583.6666666666)</f>
        <v/>
      </c>
      <c r="F1712" s="6">
        <f>IFERROR(__xludf.DUMMYFUNCTION("""COMPUTED_VALUE"""),5864.67)</f>
        <v/>
      </c>
      <c r="J1712" s="6">
        <f>K1712&amp;L1712</f>
        <v/>
      </c>
      <c r="K1712" s="6">
        <f>YEAR(M1712)</f>
        <v/>
      </c>
      <c r="L1712" s="6">
        <f>MONTH(M1712)</f>
        <v/>
      </c>
      <c r="M1712" s="267">
        <f>IFERROR(__xludf.DUMMYFUNCTION("""COMPUTED_VALUE"""),45575.6666666666)</f>
        <v/>
      </c>
      <c r="N1712" s="6">
        <f>IFERROR(__xludf.DUMMYFUNCTION("""COMPUTED_VALUE"""),18282.05)</f>
        <v/>
      </c>
      <c r="R1712" s="6">
        <f>S1712&amp;T1712</f>
        <v/>
      </c>
      <c r="S1712" s="6">
        <f>YEAR(U1712)</f>
        <v/>
      </c>
      <c r="T1712" s="6">
        <f>MONTH(U1712)</f>
        <v/>
      </c>
      <c r="U1712" s="267">
        <f>IFERROR(__xludf.DUMMYFUNCTION("""COMPUTED_VALUE"""),45644.6458333333)</f>
        <v/>
      </c>
      <c r="V1712" s="6">
        <f>IFERROR(__xludf.DUMMYFUNCTION("""COMPUTED_VALUE"""),2484.43)</f>
        <v/>
      </c>
      <c r="Z1712" s="6">
        <f>AA1712&amp;AB1712</f>
        <v/>
      </c>
      <c r="AA1712" s="6">
        <f>YEAR(AC1712)</f>
        <v/>
      </c>
      <c r="AB1712" s="6">
        <f>MONTH(AC1712)</f>
        <v/>
      </c>
      <c r="AC1712" s="267">
        <f>IFERROR(__xludf.DUMMYFUNCTION("""COMPUTED_VALUE"""),44861.9986111111)</f>
        <v/>
      </c>
      <c r="AD1712" s="6">
        <f>IFERROR(__xludf.DUMMYFUNCTION("""COMPUTED_VALUE"""),1420.65)</f>
        <v/>
      </c>
      <c r="AH1712" s="6">
        <f>AI1712&amp;AJ1712</f>
        <v/>
      </c>
      <c r="AI1712" s="6">
        <f>YEAR(AK1712)</f>
        <v/>
      </c>
      <c r="AJ1712" s="6">
        <f>MONTH(AK1712)</f>
        <v/>
      </c>
      <c r="AK1712" s="267">
        <f>IFERROR(__xludf.DUMMYFUNCTION("""COMPUTED_VALUE"""),44805.9986111111)</f>
        <v/>
      </c>
      <c r="AL1712" s="6">
        <f>IFERROR(__xludf.DUMMYFUNCTION("""COMPUTED_VALUE"""),20126.31)</f>
        <v/>
      </c>
      <c r="AP1712" s="6">
        <f>AQ1712&amp;AR1712</f>
        <v/>
      </c>
      <c r="AQ1712" s="6">
        <f>YEAR(AS1712)</f>
        <v/>
      </c>
      <c r="AR1712" s="6">
        <f>MONTH(AS1712)</f>
        <v/>
      </c>
      <c r="AS1712" s="267">
        <f>IFERROR(__xludf.DUMMYFUNCTION("""COMPUTED_VALUE"""),45590.9986111111)</f>
        <v/>
      </c>
      <c r="AT1712" s="6">
        <f>IFERROR(__xludf.DUMMYFUNCTION("""COMPUTED_VALUE"""),2754.6)</f>
        <v/>
      </c>
    </row>
    <row r="1713">
      <c r="B1713" s="6">
        <f>C1713&amp;D1713</f>
        <v/>
      </c>
      <c r="C1713" s="6">
        <f>YEAR(E1713)</f>
        <v/>
      </c>
      <c r="D1713" s="6">
        <f>MONTH(E1713)</f>
        <v/>
      </c>
      <c r="E1713" s="267">
        <f>IFERROR(__xludf.DUMMYFUNCTION("""COMPUTED_VALUE"""),45586.6666666666)</f>
        <v/>
      </c>
      <c r="F1713" s="6">
        <f>IFERROR(__xludf.DUMMYFUNCTION("""COMPUTED_VALUE"""),5853.98)</f>
        <v/>
      </c>
      <c r="J1713" s="6">
        <f>K1713&amp;L1713</f>
        <v/>
      </c>
      <c r="K1713" s="6">
        <f>YEAR(M1713)</f>
        <v/>
      </c>
      <c r="L1713" s="6">
        <f>MONTH(M1713)</f>
        <v/>
      </c>
      <c r="M1713" s="267">
        <f>IFERROR(__xludf.DUMMYFUNCTION("""COMPUTED_VALUE"""),45576.6666666666)</f>
        <v/>
      </c>
      <c r="N1713" s="6">
        <f>IFERROR(__xludf.DUMMYFUNCTION("""COMPUTED_VALUE"""),18342.94)</f>
        <v/>
      </c>
      <c r="R1713" s="6">
        <f>S1713&amp;T1713</f>
        <v/>
      </c>
      <c r="S1713" s="6">
        <f>YEAR(U1713)</f>
        <v/>
      </c>
      <c r="T1713" s="6">
        <f>MONTH(U1713)</f>
        <v/>
      </c>
      <c r="U1713" s="267">
        <f>IFERROR(__xludf.DUMMYFUNCTION("""COMPUTED_VALUE"""),45645.6458333333)</f>
        <v/>
      </c>
      <c r="V1713" s="6">
        <f>IFERROR(__xludf.DUMMYFUNCTION("""COMPUTED_VALUE"""),2435.93)</f>
        <v/>
      </c>
      <c r="Z1713" s="6">
        <f>AA1713&amp;AB1713</f>
        <v/>
      </c>
      <c r="AA1713" s="6">
        <f>YEAR(AC1713)</f>
        <v/>
      </c>
      <c r="AB1713" s="6">
        <f>MONTH(AC1713)</f>
        <v/>
      </c>
      <c r="AC1713" s="267">
        <f>IFERROR(__xludf.DUMMYFUNCTION("""COMPUTED_VALUE"""),44862.9986111111)</f>
        <v/>
      </c>
      <c r="AD1713" s="6">
        <f>IFERROR(__xludf.DUMMYFUNCTION("""COMPUTED_VALUE"""),1421.65)</f>
        <v/>
      </c>
      <c r="AH1713" s="6">
        <f>AI1713&amp;AJ1713</f>
        <v/>
      </c>
      <c r="AI1713" s="6">
        <f>YEAR(AK1713)</f>
        <v/>
      </c>
      <c r="AJ1713" s="6">
        <f>MONTH(AK1713)</f>
        <v/>
      </c>
      <c r="AK1713" s="267">
        <f>IFERROR(__xludf.DUMMYFUNCTION("""COMPUTED_VALUE"""),44806.9986111111)</f>
        <v/>
      </c>
      <c r="AL1713" s="6">
        <f>IFERROR(__xludf.DUMMYFUNCTION("""COMPUTED_VALUE"""),19954.64)</f>
        <v/>
      </c>
      <c r="AP1713" s="6">
        <f>AQ1713&amp;AR1713</f>
        <v/>
      </c>
      <c r="AQ1713" s="6">
        <f>YEAR(AS1713)</f>
        <v/>
      </c>
      <c r="AR1713" s="6">
        <f>MONTH(AS1713)</f>
        <v/>
      </c>
      <c r="AS1713" s="267">
        <f>IFERROR(__xludf.DUMMYFUNCTION("""COMPUTED_VALUE"""),45593.9986111111)</f>
        <v/>
      </c>
      <c r="AT1713" s="6">
        <f>IFERROR(__xludf.DUMMYFUNCTION("""COMPUTED_VALUE"""),2755.9)</f>
        <v/>
      </c>
    </row>
    <row r="1714">
      <c r="B1714" s="6">
        <f>C1714&amp;D1714</f>
        <v/>
      </c>
      <c r="C1714" s="6">
        <f>YEAR(E1714)</f>
        <v/>
      </c>
      <c r="D1714" s="6">
        <f>MONTH(E1714)</f>
        <v/>
      </c>
      <c r="E1714" s="267">
        <f>IFERROR(__xludf.DUMMYFUNCTION("""COMPUTED_VALUE"""),45587.6666666666)</f>
        <v/>
      </c>
      <c r="F1714" s="6">
        <f>IFERROR(__xludf.DUMMYFUNCTION("""COMPUTED_VALUE"""),5851.2)</f>
        <v/>
      </c>
      <c r="J1714" s="6">
        <f>K1714&amp;L1714</f>
        <v/>
      </c>
      <c r="K1714" s="6">
        <f>YEAR(M1714)</f>
        <v/>
      </c>
      <c r="L1714" s="6">
        <f>MONTH(M1714)</f>
        <v/>
      </c>
      <c r="M1714" s="267">
        <f>IFERROR(__xludf.DUMMYFUNCTION("""COMPUTED_VALUE"""),45579.6666666666)</f>
        <v/>
      </c>
      <c r="N1714" s="6">
        <f>IFERROR(__xludf.DUMMYFUNCTION("""COMPUTED_VALUE"""),18502.69)</f>
        <v/>
      </c>
      <c r="R1714" s="6">
        <f>S1714&amp;T1714</f>
        <v/>
      </c>
      <c r="S1714" s="6">
        <f>YEAR(U1714)</f>
        <v/>
      </c>
      <c r="T1714" s="6">
        <f>MONTH(U1714)</f>
        <v/>
      </c>
      <c r="U1714" s="267">
        <f>IFERROR(__xludf.DUMMYFUNCTION("""COMPUTED_VALUE"""),45646.6458333333)</f>
        <v/>
      </c>
      <c r="V1714" s="6">
        <f>IFERROR(__xludf.DUMMYFUNCTION("""COMPUTED_VALUE"""),2404.15)</f>
        <v/>
      </c>
      <c r="Z1714" s="6">
        <f>AA1714&amp;AB1714</f>
        <v/>
      </c>
      <c r="AA1714" s="6">
        <f>YEAR(AC1714)</f>
        <v/>
      </c>
      <c r="AB1714" s="6">
        <f>MONTH(AC1714)</f>
        <v/>
      </c>
      <c r="AC1714" s="267">
        <f>IFERROR(__xludf.DUMMYFUNCTION("""COMPUTED_VALUE"""),44863.9986111111)</f>
        <v/>
      </c>
      <c r="AD1714" s="6">
        <f>IFERROR(__xludf.DUMMYFUNCTION("""COMPUTED_VALUE"""),1421.65)</f>
        <v/>
      </c>
      <c r="AH1714" s="6">
        <f>AI1714&amp;AJ1714</f>
        <v/>
      </c>
      <c r="AI1714" s="6">
        <f>YEAR(AK1714)</f>
        <v/>
      </c>
      <c r="AJ1714" s="6">
        <f>MONTH(AK1714)</f>
        <v/>
      </c>
      <c r="AK1714" s="267">
        <f>IFERROR(__xludf.DUMMYFUNCTION("""COMPUTED_VALUE"""),44807.9986111111)</f>
        <v/>
      </c>
      <c r="AL1714" s="6">
        <f>IFERROR(__xludf.DUMMYFUNCTION("""COMPUTED_VALUE"""),19831.3)</f>
        <v/>
      </c>
      <c r="AP1714" s="6">
        <f>AQ1714&amp;AR1714</f>
        <v/>
      </c>
      <c r="AQ1714" s="6">
        <f>YEAR(AS1714)</f>
        <v/>
      </c>
      <c r="AR1714" s="6">
        <f>MONTH(AS1714)</f>
        <v/>
      </c>
      <c r="AS1714" s="267">
        <f>IFERROR(__xludf.DUMMYFUNCTION("""COMPUTED_VALUE"""),45594.9986111111)</f>
        <v/>
      </c>
      <c r="AT1714" s="6">
        <f>IFERROR(__xludf.DUMMYFUNCTION("""COMPUTED_VALUE"""),2781.1)</f>
        <v/>
      </c>
    </row>
    <row r="1715">
      <c r="B1715" s="6">
        <f>C1715&amp;D1715</f>
        <v/>
      </c>
      <c r="C1715" s="6">
        <f>YEAR(E1715)</f>
        <v/>
      </c>
      <c r="D1715" s="6">
        <f>MONTH(E1715)</f>
        <v/>
      </c>
      <c r="E1715" s="267">
        <f>IFERROR(__xludf.DUMMYFUNCTION("""COMPUTED_VALUE"""),45588.6666666666)</f>
        <v/>
      </c>
      <c r="F1715" s="6">
        <f>IFERROR(__xludf.DUMMYFUNCTION("""COMPUTED_VALUE"""),5797.42)</f>
        <v/>
      </c>
      <c r="J1715" s="6">
        <f>K1715&amp;L1715</f>
        <v/>
      </c>
      <c r="K1715" s="6">
        <f>YEAR(M1715)</f>
        <v/>
      </c>
      <c r="L1715" s="6">
        <f>MONTH(M1715)</f>
        <v/>
      </c>
      <c r="M1715" s="267">
        <f>IFERROR(__xludf.DUMMYFUNCTION("""COMPUTED_VALUE"""),45580.6666666666)</f>
        <v/>
      </c>
      <c r="N1715" s="6">
        <f>IFERROR(__xludf.DUMMYFUNCTION("""COMPUTED_VALUE"""),18315.59)</f>
        <v/>
      </c>
      <c r="R1715" s="6">
        <f>S1715&amp;T1715</f>
        <v/>
      </c>
      <c r="S1715" s="6">
        <f>YEAR(U1715)</f>
        <v/>
      </c>
      <c r="T1715" s="6">
        <f>MONTH(U1715)</f>
        <v/>
      </c>
      <c r="U1715" s="267">
        <f>IFERROR(__xludf.DUMMYFUNCTION("""COMPUTED_VALUE"""),45649.6458333333)</f>
        <v/>
      </c>
      <c r="V1715" s="6">
        <f>IFERROR(__xludf.DUMMYFUNCTION("""COMPUTED_VALUE"""),2442.01)</f>
        <v/>
      </c>
      <c r="Z1715" s="6">
        <f>AA1715&amp;AB1715</f>
        <v/>
      </c>
      <c r="AA1715" s="6">
        <f>YEAR(AC1715)</f>
        <v/>
      </c>
      <c r="AB1715" s="6">
        <f>MONTH(AC1715)</f>
        <v/>
      </c>
      <c r="AC1715" s="267">
        <f>IFERROR(__xludf.DUMMYFUNCTION("""COMPUTED_VALUE"""),44864.9986111111)</f>
        <v/>
      </c>
      <c r="AD1715" s="6">
        <f>IFERROR(__xludf.DUMMYFUNCTION("""COMPUTED_VALUE"""),1421.65)</f>
        <v/>
      </c>
      <c r="AH1715" s="6">
        <f>AI1715&amp;AJ1715</f>
        <v/>
      </c>
      <c r="AI1715" s="6">
        <f>YEAR(AK1715)</f>
        <v/>
      </c>
      <c r="AJ1715" s="6">
        <f>MONTH(AK1715)</f>
        <v/>
      </c>
      <c r="AK1715" s="267">
        <f>IFERROR(__xludf.DUMMYFUNCTION("""COMPUTED_VALUE"""),44808.9986111111)</f>
        <v/>
      </c>
      <c r="AL1715" s="6">
        <f>IFERROR(__xludf.DUMMYFUNCTION("""COMPUTED_VALUE"""),19999.47)</f>
        <v/>
      </c>
      <c r="AP1715" s="6">
        <f>AQ1715&amp;AR1715</f>
        <v/>
      </c>
      <c r="AQ1715" s="6">
        <f>YEAR(AS1715)</f>
        <v/>
      </c>
      <c r="AR1715" s="6">
        <f>MONTH(AS1715)</f>
        <v/>
      </c>
      <c r="AS1715" s="267">
        <f>IFERROR(__xludf.DUMMYFUNCTION("""COMPUTED_VALUE"""),45595.9986111111)</f>
        <v/>
      </c>
      <c r="AT1715" s="6">
        <f>IFERROR(__xludf.DUMMYFUNCTION("""COMPUTED_VALUE"""),2800.8)</f>
        <v/>
      </c>
    </row>
    <row r="1716">
      <c r="B1716" s="6">
        <f>C1716&amp;D1716</f>
        <v/>
      </c>
      <c r="C1716" s="6">
        <f>YEAR(E1716)</f>
        <v/>
      </c>
      <c r="D1716" s="6">
        <f>MONTH(E1716)</f>
        <v/>
      </c>
      <c r="E1716" s="267">
        <f>IFERROR(__xludf.DUMMYFUNCTION("""COMPUTED_VALUE"""),45589.6666666666)</f>
        <v/>
      </c>
      <c r="F1716" s="6">
        <f>IFERROR(__xludf.DUMMYFUNCTION("""COMPUTED_VALUE"""),5809.86)</f>
        <v/>
      </c>
      <c r="J1716" s="6">
        <f>K1716&amp;L1716</f>
        <v/>
      </c>
      <c r="K1716" s="6">
        <f>YEAR(M1716)</f>
        <v/>
      </c>
      <c r="L1716" s="6">
        <f>MONTH(M1716)</f>
        <v/>
      </c>
      <c r="M1716" s="267">
        <f>IFERROR(__xludf.DUMMYFUNCTION("""COMPUTED_VALUE"""),45581.6666666666)</f>
        <v/>
      </c>
      <c r="N1716" s="6">
        <f>IFERROR(__xludf.DUMMYFUNCTION("""COMPUTED_VALUE"""),18367.08)</f>
        <v/>
      </c>
      <c r="R1716" s="6">
        <f>S1716&amp;T1716</f>
        <v/>
      </c>
      <c r="S1716" s="6">
        <f>YEAR(U1716)</f>
        <v/>
      </c>
      <c r="T1716" s="6">
        <f>MONTH(U1716)</f>
        <v/>
      </c>
      <c r="U1716" s="267">
        <f>IFERROR(__xludf.DUMMYFUNCTION("""COMPUTED_VALUE"""),45650.6458333333)</f>
        <v/>
      </c>
      <c r="V1716" s="6">
        <f>IFERROR(__xludf.DUMMYFUNCTION("""COMPUTED_VALUE"""),2440.52)</f>
        <v/>
      </c>
      <c r="Z1716" s="6">
        <f>AA1716&amp;AB1716</f>
        <v/>
      </c>
      <c r="AA1716" s="6">
        <f>YEAR(AC1716)</f>
        <v/>
      </c>
      <c r="AB1716" s="6">
        <f>MONTH(AC1716)</f>
        <v/>
      </c>
      <c r="AC1716" s="267">
        <f>IFERROR(__xludf.DUMMYFUNCTION("""COMPUTED_VALUE"""),44865.9986111111)</f>
        <v/>
      </c>
      <c r="AD1716" s="6">
        <f>IFERROR(__xludf.DUMMYFUNCTION("""COMPUTED_VALUE"""),1424.67)</f>
        <v/>
      </c>
      <c r="AH1716" s="6">
        <f>AI1716&amp;AJ1716</f>
        <v/>
      </c>
      <c r="AI1716" s="6">
        <f>YEAR(AK1716)</f>
        <v/>
      </c>
      <c r="AJ1716" s="6">
        <f>MONTH(AK1716)</f>
        <v/>
      </c>
      <c r="AK1716" s="267">
        <f>IFERROR(__xludf.DUMMYFUNCTION("""COMPUTED_VALUE"""),44809.9986111111)</f>
        <v/>
      </c>
      <c r="AL1716" s="6">
        <f>IFERROR(__xludf.DUMMYFUNCTION("""COMPUTED_VALUE"""),19793.39)</f>
        <v/>
      </c>
      <c r="AP1716" s="6">
        <f>AQ1716&amp;AR1716</f>
        <v/>
      </c>
      <c r="AQ1716" s="6">
        <f>YEAR(AS1716)</f>
        <v/>
      </c>
      <c r="AR1716" s="6">
        <f>MONTH(AS1716)</f>
        <v/>
      </c>
      <c r="AS1716" s="267">
        <f>IFERROR(__xludf.DUMMYFUNCTION("""COMPUTED_VALUE"""),45596.9986111111)</f>
        <v/>
      </c>
      <c r="AT1716" s="6">
        <f>IFERROR(__xludf.DUMMYFUNCTION("""COMPUTED_VALUE"""),2749.3)</f>
        <v/>
      </c>
    </row>
    <row r="1717">
      <c r="B1717" s="6">
        <f>C1717&amp;D1717</f>
        <v/>
      </c>
      <c r="C1717" s="6">
        <f>YEAR(E1717)</f>
        <v/>
      </c>
      <c r="D1717" s="6">
        <f>MONTH(E1717)</f>
        <v/>
      </c>
      <c r="E1717" s="267">
        <f>IFERROR(__xludf.DUMMYFUNCTION("""COMPUTED_VALUE"""),45590.6666666666)</f>
        <v/>
      </c>
      <c r="F1717" s="6">
        <f>IFERROR(__xludf.DUMMYFUNCTION("""COMPUTED_VALUE"""),5808.12)</f>
        <v/>
      </c>
      <c r="J1717" s="6">
        <f>K1717&amp;L1717</f>
        <v/>
      </c>
      <c r="K1717" s="6">
        <f>YEAR(M1717)</f>
        <v/>
      </c>
      <c r="L1717" s="6">
        <f>MONTH(M1717)</f>
        <v/>
      </c>
      <c r="M1717" s="267">
        <f>IFERROR(__xludf.DUMMYFUNCTION("""COMPUTED_VALUE"""),45582.6666666666)</f>
        <v/>
      </c>
      <c r="N1717" s="6">
        <f>IFERROR(__xludf.DUMMYFUNCTION("""COMPUTED_VALUE"""),18373.61)</f>
        <v/>
      </c>
      <c r="R1717" s="6">
        <f>S1717&amp;T1717</f>
        <v/>
      </c>
      <c r="S1717" s="6">
        <f>YEAR(U1717)</f>
        <v/>
      </c>
      <c r="T1717" s="6">
        <f>MONTH(U1717)</f>
        <v/>
      </c>
      <c r="U1717" s="267">
        <f>IFERROR(__xludf.DUMMYFUNCTION("""COMPUTED_VALUE"""),45652.6458333333)</f>
        <v/>
      </c>
      <c r="V1717" s="6">
        <f>IFERROR(__xludf.DUMMYFUNCTION("""COMPUTED_VALUE"""),2429.67)</f>
        <v/>
      </c>
      <c r="Z1717" s="6">
        <f>AA1717&amp;AB1717</f>
        <v/>
      </c>
      <c r="AA1717" s="6">
        <f>YEAR(AC1717)</f>
        <v/>
      </c>
      <c r="AB1717" s="6">
        <f>MONTH(AC1717)</f>
        <v/>
      </c>
      <c r="AC1717" s="267">
        <f>IFERROR(__xludf.DUMMYFUNCTION("""COMPUTED_VALUE"""),44866.9986111111)</f>
        <v/>
      </c>
      <c r="AD1717" s="6">
        <f>IFERROR(__xludf.DUMMYFUNCTION("""COMPUTED_VALUE"""),1416.6)</f>
        <v/>
      </c>
      <c r="AH1717" s="6">
        <f>AI1717&amp;AJ1717</f>
        <v/>
      </c>
      <c r="AI1717" s="6">
        <f>YEAR(AK1717)</f>
        <v/>
      </c>
      <c r="AJ1717" s="6">
        <f>MONTH(AK1717)</f>
        <v/>
      </c>
      <c r="AK1717" s="267">
        <f>IFERROR(__xludf.DUMMYFUNCTION("""COMPUTED_VALUE"""),44810.9986111111)</f>
        <v/>
      </c>
      <c r="AL1717" s="6">
        <f>IFERROR(__xludf.DUMMYFUNCTION("""COMPUTED_VALUE"""),18786.95)</f>
        <v/>
      </c>
      <c r="AP1717" s="6">
        <f>AQ1717&amp;AR1717</f>
        <v/>
      </c>
      <c r="AQ1717" s="6">
        <f>YEAR(AS1717)</f>
        <v/>
      </c>
      <c r="AR1717" s="6">
        <f>MONTH(AS1717)</f>
        <v/>
      </c>
      <c r="AS1717" s="267">
        <f>IFERROR(__xludf.DUMMYFUNCTION("""COMPUTED_VALUE"""),45597.9986111111)</f>
        <v/>
      </c>
      <c r="AT1717" s="6">
        <f>IFERROR(__xludf.DUMMYFUNCTION("""COMPUTED_VALUE"""),2749.2)</f>
        <v/>
      </c>
    </row>
    <row r="1718">
      <c r="B1718" s="6">
        <f>C1718&amp;D1718</f>
        <v/>
      </c>
      <c r="C1718" s="6">
        <f>YEAR(E1718)</f>
        <v/>
      </c>
      <c r="D1718" s="6">
        <f>MONTH(E1718)</f>
        <v/>
      </c>
      <c r="E1718" s="267">
        <f>IFERROR(__xludf.DUMMYFUNCTION("""COMPUTED_VALUE"""),45593.6666666666)</f>
        <v/>
      </c>
      <c r="F1718" s="6">
        <f>IFERROR(__xludf.DUMMYFUNCTION("""COMPUTED_VALUE"""),5823.52)</f>
        <v/>
      </c>
      <c r="J1718" s="6">
        <f>K1718&amp;L1718</f>
        <v/>
      </c>
      <c r="K1718" s="6">
        <f>YEAR(M1718)</f>
        <v/>
      </c>
      <c r="L1718" s="6">
        <f>MONTH(M1718)</f>
        <v/>
      </c>
      <c r="M1718" s="267">
        <f>IFERROR(__xludf.DUMMYFUNCTION("""COMPUTED_VALUE"""),45583.6666666666)</f>
        <v/>
      </c>
      <c r="N1718" s="6">
        <f>IFERROR(__xludf.DUMMYFUNCTION("""COMPUTED_VALUE"""),18489.55)</f>
        <v/>
      </c>
      <c r="R1718" s="6">
        <f>S1718&amp;T1718</f>
        <v/>
      </c>
      <c r="S1718" s="6">
        <f>YEAR(U1718)</f>
        <v/>
      </c>
      <c r="T1718" s="6">
        <f>MONTH(U1718)</f>
        <v/>
      </c>
      <c r="U1718" s="267">
        <f>IFERROR(__xludf.DUMMYFUNCTION("""COMPUTED_VALUE"""),45653.6458333333)</f>
        <v/>
      </c>
      <c r="V1718" s="6">
        <f>IFERROR(__xludf.DUMMYFUNCTION("""COMPUTED_VALUE"""),2404.77)</f>
        <v/>
      </c>
      <c r="Z1718" s="6">
        <f>AA1718&amp;AB1718</f>
        <v/>
      </c>
      <c r="AA1718" s="6">
        <f>YEAR(AC1718)</f>
        <v/>
      </c>
      <c r="AB1718" s="6">
        <f>MONTH(AC1718)</f>
        <v/>
      </c>
      <c r="AC1718" s="267">
        <f>IFERROR(__xludf.DUMMYFUNCTION("""COMPUTED_VALUE"""),44867.9986111111)</f>
        <v/>
      </c>
      <c r="AD1718" s="6">
        <f>IFERROR(__xludf.DUMMYFUNCTION("""COMPUTED_VALUE"""),1423.1)</f>
        <v/>
      </c>
      <c r="AH1718" s="6">
        <f>AI1718&amp;AJ1718</f>
        <v/>
      </c>
      <c r="AI1718" s="6">
        <f>YEAR(AK1718)</f>
        <v/>
      </c>
      <c r="AJ1718" s="6">
        <f>MONTH(AK1718)</f>
        <v/>
      </c>
      <c r="AK1718" s="267">
        <f>IFERROR(__xludf.DUMMYFUNCTION("""COMPUTED_VALUE"""),44811.9986111111)</f>
        <v/>
      </c>
      <c r="AL1718" s="6">
        <f>IFERROR(__xludf.DUMMYFUNCTION("""COMPUTED_VALUE"""),19285.02)</f>
        <v/>
      </c>
      <c r="AP1718" s="6">
        <f>AQ1718&amp;AR1718</f>
        <v/>
      </c>
      <c r="AQ1718" s="6">
        <f>YEAR(AS1718)</f>
        <v/>
      </c>
      <c r="AR1718" s="6">
        <f>MONTH(AS1718)</f>
        <v/>
      </c>
      <c r="AS1718" s="267">
        <f>IFERROR(__xludf.DUMMYFUNCTION("""COMPUTED_VALUE"""),45600.9986111111)</f>
        <v/>
      </c>
      <c r="AT1718" s="6">
        <f>IFERROR(__xludf.DUMMYFUNCTION("""COMPUTED_VALUE"""),2746.2)</f>
        <v/>
      </c>
    </row>
    <row r="1719">
      <c r="B1719" s="6">
        <f>C1719&amp;D1719</f>
        <v/>
      </c>
      <c r="C1719" s="6">
        <f>YEAR(E1719)</f>
        <v/>
      </c>
      <c r="D1719" s="6">
        <f>MONTH(E1719)</f>
        <v/>
      </c>
      <c r="E1719" s="267">
        <f>IFERROR(__xludf.DUMMYFUNCTION("""COMPUTED_VALUE"""),45594.6666666666)</f>
        <v/>
      </c>
      <c r="F1719" s="6">
        <f>IFERROR(__xludf.DUMMYFUNCTION("""COMPUTED_VALUE"""),5832.92)</f>
        <v/>
      </c>
      <c r="J1719" s="6">
        <f>K1719&amp;L1719</f>
        <v/>
      </c>
      <c r="K1719" s="6">
        <f>YEAR(M1719)</f>
        <v/>
      </c>
      <c r="L1719" s="6">
        <f>MONTH(M1719)</f>
        <v/>
      </c>
      <c r="M1719" s="267">
        <f>IFERROR(__xludf.DUMMYFUNCTION("""COMPUTED_VALUE"""),45586.6666666666)</f>
        <v/>
      </c>
      <c r="N1719" s="6">
        <f>IFERROR(__xludf.DUMMYFUNCTION("""COMPUTED_VALUE"""),18540.01)</f>
        <v/>
      </c>
      <c r="R1719" s="6">
        <f>S1719&amp;T1719</f>
        <v/>
      </c>
      <c r="S1719" s="6">
        <f>YEAR(U1719)</f>
        <v/>
      </c>
      <c r="T1719" s="6">
        <f>MONTH(U1719)</f>
        <v/>
      </c>
      <c r="U1719" s="267">
        <f>IFERROR(__xludf.DUMMYFUNCTION("""COMPUTED_VALUE"""),45656.6458333333)</f>
        <v/>
      </c>
      <c r="V1719" s="6">
        <f>IFERROR(__xludf.DUMMYFUNCTION("""COMPUTED_VALUE"""),2399.49)</f>
        <v/>
      </c>
      <c r="Z1719" s="6">
        <f>AA1719&amp;AB1719</f>
        <v/>
      </c>
      <c r="AA1719" s="6">
        <f>YEAR(AC1719)</f>
        <v/>
      </c>
      <c r="AB1719" s="6">
        <f>MONTH(AC1719)</f>
        <v/>
      </c>
      <c r="AC1719" s="267">
        <f>IFERROR(__xludf.DUMMYFUNCTION("""COMPUTED_VALUE"""),44868.9986111111)</f>
        <v/>
      </c>
      <c r="AD1719" s="6">
        <f>IFERROR(__xludf.DUMMYFUNCTION("""COMPUTED_VALUE"""),1423.65)</f>
        <v/>
      </c>
      <c r="AH1719" s="6">
        <f>AI1719&amp;AJ1719</f>
        <v/>
      </c>
      <c r="AI1719" s="6">
        <f>YEAR(AK1719)</f>
        <v/>
      </c>
      <c r="AJ1719" s="6">
        <f>MONTH(AK1719)</f>
        <v/>
      </c>
      <c r="AK1719" s="267">
        <f>IFERROR(__xludf.DUMMYFUNCTION("""COMPUTED_VALUE"""),44812.9986111111)</f>
        <v/>
      </c>
      <c r="AL1719" s="6">
        <f>IFERROR(__xludf.DUMMYFUNCTION("""COMPUTED_VALUE"""),19319.55)</f>
        <v/>
      </c>
      <c r="AP1719" s="6">
        <f>AQ1719&amp;AR1719</f>
        <v/>
      </c>
      <c r="AQ1719" s="6">
        <f>YEAR(AS1719)</f>
        <v/>
      </c>
      <c r="AR1719" s="6">
        <f>MONTH(AS1719)</f>
        <v/>
      </c>
      <c r="AS1719" s="267">
        <f>IFERROR(__xludf.DUMMYFUNCTION("""COMPUTED_VALUE"""),45601.9986111111)</f>
        <v/>
      </c>
      <c r="AT1719" s="6">
        <f>IFERROR(__xludf.DUMMYFUNCTION("""COMPUTED_VALUE"""),2749.7)</f>
        <v/>
      </c>
    </row>
    <row r="1720">
      <c r="B1720" s="6">
        <f>C1720&amp;D1720</f>
        <v/>
      </c>
      <c r="C1720" s="6">
        <f>YEAR(E1720)</f>
        <v/>
      </c>
      <c r="D1720" s="6">
        <f>MONTH(E1720)</f>
        <v/>
      </c>
      <c r="E1720" s="267">
        <f>IFERROR(__xludf.DUMMYFUNCTION("""COMPUTED_VALUE"""),45595.6666666666)</f>
        <v/>
      </c>
      <c r="F1720" s="6">
        <f>IFERROR(__xludf.DUMMYFUNCTION("""COMPUTED_VALUE"""),5813.67)</f>
        <v/>
      </c>
      <c r="J1720" s="6">
        <f>K1720&amp;L1720</f>
        <v/>
      </c>
      <c r="K1720" s="6">
        <f>YEAR(M1720)</f>
        <v/>
      </c>
      <c r="L1720" s="6">
        <f>MONTH(M1720)</f>
        <v/>
      </c>
      <c r="M1720" s="267">
        <f>IFERROR(__xludf.DUMMYFUNCTION("""COMPUTED_VALUE"""),45587.6666666666)</f>
        <v/>
      </c>
      <c r="N1720" s="6">
        <f>IFERROR(__xludf.DUMMYFUNCTION("""COMPUTED_VALUE"""),18573.13)</f>
        <v/>
      </c>
      <c r="R1720" s="6">
        <f>S1720&amp;T1720</f>
        <v/>
      </c>
      <c r="S1720" s="6">
        <f>YEAR(U1720)</f>
        <v/>
      </c>
      <c r="T1720" s="6">
        <f>MONTH(U1720)</f>
        <v/>
      </c>
      <c r="U1720" s="267">
        <f>IFERROR(__xludf.DUMMYFUNCTION("""COMPUTED_VALUE"""),45659.6458333333)</f>
        <v/>
      </c>
      <c r="V1720" s="6">
        <f>IFERROR(__xludf.DUMMYFUNCTION("""COMPUTED_VALUE"""),2398.94)</f>
        <v/>
      </c>
      <c r="Z1720" s="6">
        <f>AA1720&amp;AB1720</f>
        <v/>
      </c>
      <c r="AA1720" s="6">
        <f>YEAR(AC1720)</f>
        <v/>
      </c>
      <c r="AB1720" s="6">
        <f>MONTH(AC1720)</f>
        <v/>
      </c>
      <c r="AC1720" s="267">
        <f>IFERROR(__xludf.DUMMYFUNCTION("""COMPUTED_VALUE"""),44869.9986111111)</f>
        <v/>
      </c>
      <c r="AD1720" s="6">
        <f>IFERROR(__xludf.DUMMYFUNCTION("""COMPUTED_VALUE"""),1402.81)</f>
        <v/>
      </c>
      <c r="AH1720" s="6">
        <f>AI1720&amp;AJ1720</f>
        <v/>
      </c>
      <c r="AI1720" s="6">
        <f>YEAR(AK1720)</f>
        <v/>
      </c>
      <c r="AJ1720" s="6">
        <f>MONTH(AK1720)</f>
        <v/>
      </c>
      <c r="AK1720" s="267">
        <f>IFERROR(__xludf.DUMMYFUNCTION("""COMPUTED_VALUE"""),44813.9986111111)</f>
        <v/>
      </c>
      <c r="AL1720" s="6">
        <f>IFERROR(__xludf.DUMMYFUNCTION("""COMPUTED_VALUE"""),21369.86)</f>
        <v/>
      </c>
      <c r="AP1720" s="6">
        <f>AQ1720&amp;AR1720</f>
        <v/>
      </c>
      <c r="AQ1720" s="6">
        <f>YEAR(AS1720)</f>
        <v/>
      </c>
      <c r="AR1720" s="6">
        <f>MONTH(AS1720)</f>
        <v/>
      </c>
      <c r="AS1720" s="267">
        <f>IFERROR(__xludf.DUMMYFUNCTION("""COMPUTED_VALUE"""),45602.9986111111)</f>
        <v/>
      </c>
      <c r="AT1720" s="6">
        <f>IFERROR(__xludf.DUMMYFUNCTION("""COMPUTED_VALUE"""),2676.3)</f>
        <v/>
      </c>
    </row>
    <row r="1721">
      <c r="B1721" s="6">
        <f>C1721&amp;D1721</f>
        <v/>
      </c>
      <c r="C1721" s="6">
        <f>YEAR(E1721)</f>
        <v/>
      </c>
      <c r="D1721" s="6">
        <f>MONTH(E1721)</f>
        <v/>
      </c>
      <c r="E1721" s="267">
        <f>IFERROR(__xludf.DUMMYFUNCTION("""COMPUTED_VALUE"""),45596.6666666666)</f>
        <v/>
      </c>
      <c r="F1721" s="6">
        <f>IFERROR(__xludf.DUMMYFUNCTION("""COMPUTED_VALUE"""),5705.45)</f>
        <v/>
      </c>
      <c r="J1721" s="6">
        <f>K1721&amp;L1721</f>
        <v/>
      </c>
      <c r="K1721" s="6">
        <f>YEAR(M1721)</f>
        <v/>
      </c>
      <c r="L1721" s="6">
        <f>MONTH(M1721)</f>
        <v/>
      </c>
      <c r="M1721" s="267">
        <f>IFERROR(__xludf.DUMMYFUNCTION("""COMPUTED_VALUE"""),45588.6666666666)</f>
        <v/>
      </c>
      <c r="N1721" s="6">
        <f>IFERROR(__xludf.DUMMYFUNCTION("""COMPUTED_VALUE"""),18276.65)</f>
        <v/>
      </c>
      <c r="R1721" s="6">
        <f>S1721&amp;T1721</f>
        <v/>
      </c>
      <c r="S1721" s="6">
        <f>YEAR(U1721)</f>
        <v/>
      </c>
      <c r="T1721" s="6">
        <f>MONTH(U1721)</f>
        <v/>
      </c>
      <c r="U1721" s="267">
        <f>IFERROR(__xludf.DUMMYFUNCTION("""COMPUTED_VALUE"""),45660.6458333333)</f>
        <v/>
      </c>
      <c r="V1721" s="6">
        <f>IFERROR(__xludf.DUMMYFUNCTION("""COMPUTED_VALUE"""),2441.92)</f>
        <v/>
      </c>
      <c r="Z1721" s="6">
        <f>AA1721&amp;AB1721</f>
        <v/>
      </c>
      <c r="AA1721" s="6">
        <f>YEAR(AC1721)</f>
        <v/>
      </c>
      <c r="AB1721" s="6">
        <f>MONTH(AC1721)</f>
        <v/>
      </c>
      <c r="AC1721" s="267">
        <f>IFERROR(__xludf.DUMMYFUNCTION("""COMPUTED_VALUE"""),44870.9986111111)</f>
        <v/>
      </c>
      <c r="AD1721" s="6">
        <f>IFERROR(__xludf.DUMMYFUNCTION("""COMPUTED_VALUE"""),1403.01)</f>
        <v/>
      </c>
      <c r="AH1721" s="6">
        <f>AI1721&amp;AJ1721</f>
        <v/>
      </c>
      <c r="AI1721" s="6">
        <f>YEAR(AK1721)</f>
        <v/>
      </c>
      <c r="AJ1721" s="6">
        <f>MONTH(AK1721)</f>
        <v/>
      </c>
      <c r="AK1721" s="267">
        <f>IFERROR(__xludf.DUMMYFUNCTION("""COMPUTED_VALUE"""),44814.9986111111)</f>
        <v/>
      </c>
      <c r="AL1721" s="6">
        <f>IFERROR(__xludf.DUMMYFUNCTION("""COMPUTED_VALUE"""),21659.33)</f>
        <v/>
      </c>
      <c r="AP1721" s="6">
        <f>AQ1721&amp;AR1721</f>
        <v/>
      </c>
      <c r="AQ1721" s="6">
        <f>YEAR(AS1721)</f>
        <v/>
      </c>
      <c r="AR1721" s="6">
        <f>MONTH(AS1721)</f>
        <v/>
      </c>
      <c r="AS1721" s="267">
        <f>IFERROR(__xludf.DUMMYFUNCTION("""COMPUTED_VALUE"""),45603.9986111111)</f>
        <v/>
      </c>
      <c r="AT1721" s="6">
        <f>IFERROR(__xludf.DUMMYFUNCTION("""COMPUTED_VALUE"""),2705.8)</f>
        <v/>
      </c>
    </row>
    <row r="1722">
      <c r="B1722" s="6">
        <f>C1722&amp;D1722</f>
        <v/>
      </c>
      <c r="C1722" s="6">
        <f>YEAR(E1722)</f>
        <v/>
      </c>
      <c r="D1722" s="6">
        <f>MONTH(E1722)</f>
        <v/>
      </c>
      <c r="E1722" s="267">
        <f>IFERROR(__xludf.DUMMYFUNCTION("""COMPUTED_VALUE"""),45597.6666666666)</f>
        <v/>
      </c>
      <c r="F1722" s="6">
        <f>IFERROR(__xludf.DUMMYFUNCTION("""COMPUTED_VALUE"""),5728.8)</f>
        <v/>
      </c>
      <c r="J1722" s="6">
        <f>K1722&amp;L1722</f>
        <v/>
      </c>
      <c r="K1722" s="6">
        <f>YEAR(M1722)</f>
        <v/>
      </c>
      <c r="L1722" s="6">
        <f>MONTH(M1722)</f>
        <v/>
      </c>
      <c r="M1722" s="267">
        <f>IFERROR(__xludf.DUMMYFUNCTION("""COMPUTED_VALUE"""),45589.6666666666)</f>
        <v/>
      </c>
      <c r="N1722" s="6">
        <f>IFERROR(__xludf.DUMMYFUNCTION("""COMPUTED_VALUE"""),18415.49)</f>
        <v/>
      </c>
      <c r="R1722" s="6">
        <f>S1722&amp;T1722</f>
        <v/>
      </c>
      <c r="S1722" s="6">
        <f>YEAR(U1722)</f>
        <v/>
      </c>
      <c r="T1722" s="6">
        <f>MONTH(U1722)</f>
        <v/>
      </c>
      <c r="U1722" s="267">
        <f>IFERROR(__xludf.DUMMYFUNCTION("""COMPUTED_VALUE"""),45663.6458333333)</f>
        <v/>
      </c>
      <c r="V1722" s="6">
        <f>IFERROR(__xludf.DUMMYFUNCTION("""COMPUTED_VALUE"""),2488.64)</f>
        <v/>
      </c>
      <c r="Z1722" s="6">
        <f>AA1722&amp;AB1722</f>
        <v/>
      </c>
      <c r="AA1722" s="6">
        <f>YEAR(AC1722)</f>
        <v/>
      </c>
      <c r="AB1722" s="6">
        <f>MONTH(AC1722)</f>
        <v/>
      </c>
      <c r="AC1722" s="267">
        <f>IFERROR(__xludf.DUMMYFUNCTION("""COMPUTED_VALUE"""),44871.9986111111)</f>
        <v/>
      </c>
      <c r="AD1722" s="6">
        <f>IFERROR(__xludf.DUMMYFUNCTION("""COMPUTED_VALUE"""),1402.11)</f>
        <v/>
      </c>
      <c r="AH1722" s="6">
        <f>AI1722&amp;AJ1722</f>
        <v/>
      </c>
      <c r="AI1722" s="6">
        <f>YEAR(AK1722)</f>
        <v/>
      </c>
      <c r="AJ1722" s="6">
        <f>MONTH(AK1722)</f>
        <v/>
      </c>
      <c r="AK1722" s="267">
        <f>IFERROR(__xludf.DUMMYFUNCTION("""COMPUTED_VALUE"""),44815.9986111111)</f>
        <v/>
      </c>
      <c r="AL1722" s="6">
        <f>IFERROR(__xludf.DUMMYFUNCTION("""COMPUTED_VALUE"""),21819.66)</f>
        <v/>
      </c>
      <c r="AP1722" s="6">
        <f>AQ1722&amp;AR1722</f>
        <v/>
      </c>
      <c r="AQ1722" s="6">
        <f>YEAR(AS1722)</f>
        <v/>
      </c>
      <c r="AR1722" s="6">
        <f>MONTH(AS1722)</f>
        <v/>
      </c>
      <c r="AS1722" s="267">
        <f>IFERROR(__xludf.DUMMYFUNCTION("""COMPUTED_VALUE"""),45604.9986111111)</f>
        <v/>
      </c>
      <c r="AT1722" s="6">
        <f>IFERROR(__xludf.DUMMYFUNCTION("""COMPUTED_VALUE"""),2694.8)</f>
        <v/>
      </c>
    </row>
    <row r="1723">
      <c r="B1723" s="6">
        <f>C1723&amp;D1723</f>
        <v/>
      </c>
      <c r="C1723" s="6">
        <f>YEAR(E1723)</f>
        <v/>
      </c>
      <c r="D1723" s="6">
        <f>MONTH(E1723)</f>
        <v/>
      </c>
      <c r="E1723" s="267">
        <f>IFERROR(__xludf.DUMMYFUNCTION("""COMPUTED_VALUE"""),45600.6666666666)</f>
        <v/>
      </c>
      <c r="F1723" s="6">
        <f>IFERROR(__xludf.DUMMYFUNCTION("""COMPUTED_VALUE"""),5712.69)</f>
        <v/>
      </c>
      <c r="J1723" s="6">
        <f>K1723&amp;L1723</f>
        <v/>
      </c>
      <c r="K1723" s="6">
        <f>YEAR(M1723)</f>
        <v/>
      </c>
      <c r="L1723" s="6">
        <f>MONTH(M1723)</f>
        <v/>
      </c>
      <c r="M1723" s="267">
        <f>IFERROR(__xludf.DUMMYFUNCTION("""COMPUTED_VALUE"""),45590.6666666666)</f>
        <v/>
      </c>
      <c r="N1723" s="6">
        <f>IFERROR(__xludf.DUMMYFUNCTION("""COMPUTED_VALUE"""),18518.61)</f>
        <v/>
      </c>
      <c r="R1723" s="6">
        <f>S1723&amp;T1723</f>
        <v/>
      </c>
      <c r="S1723" s="6">
        <f>YEAR(U1723)</f>
        <v/>
      </c>
      <c r="T1723" s="6">
        <f>MONTH(U1723)</f>
        <v/>
      </c>
      <c r="U1723" s="267">
        <f>IFERROR(__xludf.DUMMYFUNCTION("""COMPUTED_VALUE"""),45664.6458333333)</f>
        <v/>
      </c>
      <c r="V1723" s="6">
        <f>IFERROR(__xludf.DUMMYFUNCTION("""COMPUTED_VALUE"""),2492.1)</f>
        <v/>
      </c>
      <c r="Z1723" s="6">
        <f>AA1723&amp;AB1723</f>
        <v/>
      </c>
      <c r="AA1723" s="6">
        <f>YEAR(AC1723)</f>
        <v/>
      </c>
      <c r="AB1723" s="6">
        <f>MONTH(AC1723)</f>
        <v/>
      </c>
      <c r="AC1723" s="267">
        <f>IFERROR(__xludf.DUMMYFUNCTION("""COMPUTED_VALUE"""),44872.9986111111)</f>
        <v/>
      </c>
      <c r="AD1723" s="6">
        <f>IFERROR(__xludf.DUMMYFUNCTION("""COMPUTED_VALUE"""),1392.7)</f>
        <v/>
      </c>
      <c r="AH1723" s="6">
        <f>AI1723&amp;AJ1723</f>
        <v/>
      </c>
      <c r="AI1723" s="6">
        <f>YEAR(AK1723)</f>
        <v/>
      </c>
      <c r="AJ1723" s="6">
        <f>MONTH(AK1723)</f>
        <v/>
      </c>
      <c r="AK1723" s="267">
        <f>IFERROR(__xludf.DUMMYFUNCTION("""COMPUTED_VALUE"""),44816.9986111111)</f>
        <v/>
      </c>
      <c r="AL1723" s="6">
        <f>IFERROR(__xludf.DUMMYFUNCTION("""COMPUTED_VALUE"""),22394.26)</f>
        <v/>
      </c>
      <c r="AP1723" s="6">
        <f>AQ1723&amp;AR1723</f>
        <v/>
      </c>
      <c r="AQ1723" s="6">
        <f>YEAR(AS1723)</f>
        <v/>
      </c>
      <c r="AR1723" s="6">
        <f>MONTH(AS1723)</f>
        <v/>
      </c>
      <c r="AS1723" s="267">
        <f>IFERROR(__xludf.DUMMYFUNCTION("""COMPUTED_VALUE"""),45607.9986111111)</f>
        <v/>
      </c>
      <c r="AT1723" s="6">
        <f>IFERROR(__xludf.DUMMYFUNCTION("""COMPUTED_VALUE"""),2617.7)</f>
        <v/>
      </c>
    </row>
    <row r="1724">
      <c r="B1724" s="6">
        <f>C1724&amp;D1724</f>
        <v/>
      </c>
      <c r="C1724" s="6">
        <f>YEAR(E1724)</f>
        <v/>
      </c>
      <c r="D1724" s="6">
        <f>MONTH(E1724)</f>
        <v/>
      </c>
      <c r="E1724" s="267">
        <f>IFERROR(__xludf.DUMMYFUNCTION("""COMPUTED_VALUE"""),45601.6666666666)</f>
        <v/>
      </c>
      <c r="F1724" s="6">
        <f>IFERROR(__xludf.DUMMYFUNCTION("""COMPUTED_VALUE"""),5782.76)</f>
        <v/>
      </c>
      <c r="J1724" s="6">
        <f>K1724&amp;L1724</f>
        <v/>
      </c>
      <c r="K1724" s="6">
        <f>YEAR(M1724)</f>
        <v/>
      </c>
      <c r="L1724" s="6">
        <f>MONTH(M1724)</f>
        <v/>
      </c>
      <c r="M1724" s="267">
        <f>IFERROR(__xludf.DUMMYFUNCTION("""COMPUTED_VALUE"""),45593.6666666666)</f>
        <v/>
      </c>
      <c r="N1724" s="6">
        <f>IFERROR(__xludf.DUMMYFUNCTION("""COMPUTED_VALUE"""),18518.61)</f>
        <v/>
      </c>
      <c r="R1724" s="6">
        <f>S1724&amp;T1724</f>
        <v/>
      </c>
      <c r="S1724" s="6">
        <f>YEAR(U1724)</f>
        <v/>
      </c>
      <c r="T1724" s="6">
        <f>MONTH(U1724)</f>
        <v/>
      </c>
      <c r="U1724" s="267">
        <f>IFERROR(__xludf.DUMMYFUNCTION("""COMPUTED_VALUE"""),45665.6458333333)</f>
        <v/>
      </c>
      <c r="V1724" s="6">
        <f>IFERROR(__xludf.DUMMYFUNCTION("""COMPUTED_VALUE"""),2521.05)</f>
        <v/>
      </c>
      <c r="Z1724" s="6">
        <f>AA1724&amp;AB1724</f>
        <v/>
      </c>
      <c r="AA1724" s="6">
        <f>YEAR(AC1724)</f>
        <v/>
      </c>
      <c r="AB1724" s="6">
        <f>MONTH(AC1724)</f>
        <v/>
      </c>
      <c r="AC1724" s="267">
        <f>IFERROR(__xludf.DUMMYFUNCTION("""COMPUTED_VALUE"""),44873.9986111111)</f>
        <v/>
      </c>
      <c r="AD1724" s="6">
        <f>IFERROR(__xludf.DUMMYFUNCTION("""COMPUTED_VALUE"""),1374.15)</f>
        <v/>
      </c>
      <c r="AH1724" s="6">
        <f>AI1724&amp;AJ1724</f>
        <v/>
      </c>
      <c r="AI1724" s="6">
        <f>YEAR(AK1724)</f>
        <v/>
      </c>
      <c r="AJ1724" s="6">
        <f>MONTH(AK1724)</f>
        <v/>
      </c>
      <c r="AK1724" s="267">
        <f>IFERROR(__xludf.DUMMYFUNCTION("""COMPUTED_VALUE"""),44817.9986111111)</f>
        <v/>
      </c>
      <c r="AL1724" s="6">
        <f>IFERROR(__xludf.DUMMYFUNCTION("""COMPUTED_VALUE"""),20172.65)</f>
        <v/>
      </c>
      <c r="AP1724" s="6">
        <f>AQ1724&amp;AR1724</f>
        <v/>
      </c>
      <c r="AQ1724" s="6">
        <f>YEAR(AS1724)</f>
        <v/>
      </c>
      <c r="AR1724" s="6">
        <f>MONTH(AS1724)</f>
        <v/>
      </c>
      <c r="AS1724" s="267">
        <f>IFERROR(__xludf.DUMMYFUNCTION("""COMPUTED_VALUE"""),45608.9986111111)</f>
        <v/>
      </c>
      <c r="AT1724" s="6">
        <f>IFERROR(__xludf.DUMMYFUNCTION("""COMPUTED_VALUE"""),2606.3)</f>
        <v/>
      </c>
    </row>
    <row r="1725">
      <c r="B1725" s="6">
        <f>C1725&amp;D1725</f>
        <v/>
      </c>
      <c r="C1725" s="6">
        <f>YEAR(E1725)</f>
        <v/>
      </c>
      <c r="D1725" s="6">
        <f>MONTH(E1725)</f>
        <v/>
      </c>
      <c r="E1725" s="267">
        <f>IFERROR(__xludf.DUMMYFUNCTION("""COMPUTED_VALUE"""),45602.6666666666)</f>
        <v/>
      </c>
      <c r="F1725" s="6">
        <f>IFERROR(__xludf.DUMMYFUNCTION("""COMPUTED_VALUE"""),5929.04)</f>
        <v/>
      </c>
      <c r="J1725" s="6">
        <f>K1725&amp;L1725</f>
        <v/>
      </c>
      <c r="K1725" s="6">
        <f>YEAR(M1725)</f>
        <v/>
      </c>
      <c r="L1725" s="6">
        <f>MONTH(M1725)</f>
        <v/>
      </c>
      <c r="M1725" s="267">
        <f>IFERROR(__xludf.DUMMYFUNCTION("""COMPUTED_VALUE"""),45595.6666666666)</f>
        <v/>
      </c>
      <c r="N1725" s="6">
        <f>IFERROR(__xludf.DUMMYFUNCTION("""COMPUTED_VALUE"""),18607.93)</f>
        <v/>
      </c>
      <c r="R1725" s="6">
        <f>S1725&amp;T1725</f>
        <v/>
      </c>
      <c r="S1725" s="6">
        <f>YEAR(U1725)</f>
        <v/>
      </c>
      <c r="T1725" s="6">
        <f>MONTH(U1725)</f>
        <v/>
      </c>
      <c r="U1725" s="267">
        <f>IFERROR(__xludf.DUMMYFUNCTION("""COMPUTED_VALUE"""),45666.6458333333)</f>
        <v/>
      </c>
      <c r="V1725" s="6">
        <f>IFERROR(__xludf.DUMMYFUNCTION("""COMPUTED_VALUE"""),2521.9)</f>
        <v/>
      </c>
      <c r="Z1725" s="6">
        <f>AA1725&amp;AB1725</f>
        <v/>
      </c>
      <c r="AA1725" s="6">
        <f>YEAR(AC1725)</f>
        <v/>
      </c>
      <c r="AB1725" s="6">
        <f>MONTH(AC1725)</f>
        <v/>
      </c>
      <c r="AC1725" s="267">
        <f>IFERROR(__xludf.DUMMYFUNCTION("""COMPUTED_VALUE"""),44874.9986111111)</f>
        <v/>
      </c>
      <c r="AD1725" s="6">
        <f>IFERROR(__xludf.DUMMYFUNCTION("""COMPUTED_VALUE"""),1370.55)</f>
        <v/>
      </c>
      <c r="AH1725" s="6">
        <f>AI1725&amp;AJ1725</f>
        <v/>
      </c>
      <c r="AI1725" s="6">
        <f>YEAR(AK1725)</f>
        <v/>
      </c>
      <c r="AJ1725" s="6">
        <f>MONTH(AK1725)</f>
        <v/>
      </c>
      <c r="AK1725" s="267">
        <f>IFERROR(__xludf.DUMMYFUNCTION("""COMPUTED_VALUE"""),44818.9986111111)</f>
        <v/>
      </c>
      <c r="AL1725" s="6">
        <f>IFERROR(__xludf.DUMMYFUNCTION("""COMPUTED_VALUE"""),20222.53)</f>
        <v/>
      </c>
      <c r="AP1725" s="6">
        <f>AQ1725&amp;AR1725</f>
        <v/>
      </c>
      <c r="AQ1725" s="6">
        <f>YEAR(AS1725)</f>
        <v/>
      </c>
      <c r="AR1725" s="6">
        <f>MONTH(AS1725)</f>
        <v/>
      </c>
      <c r="AS1725" s="267">
        <f>IFERROR(__xludf.DUMMYFUNCTION("""COMPUTED_VALUE"""),45609.9986111111)</f>
        <v/>
      </c>
      <c r="AT1725" s="6">
        <f>IFERROR(__xludf.DUMMYFUNCTION("""COMPUTED_VALUE"""),2586.5)</f>
        <v/>
      </c>
    </row>
    <row r="1726">
      <c r="B1726" s="6">
        <f>C1726&amp;D1726</f>
        <v/>
      </c>
      <c r="C1726" s="6">
        <f>YEAR(E1726)</f>
        <v/>
      </c>
      <c r="D1726" s="6">
        <f>MONTH(E1726)</f>
        <v/>
      </c>
      <c r="E1726" s="267">
        <f>IFERROR(__xludf.DUMMYFUNCTION("""COMPUTED_VALUE"""),45603.6666666666)</f>
        <v/>
      </c>
      <c r="F1726" s="6">
        <f>IFERROR(__xludf.DUMMYFUNCTION("""COMPUTED_VALUE"""),5973.1)</f>
        <v/>
      </c>
      <c r="J1726" s="6">
        <f>K1726&amp;L1726</f>
        <v/>
      </c>
      <c r="K1726" s="6">
        <f>YEAR(M1726)</f>
        <v/>
      </c>
      <c r="L1726" s="6">
        <f>MONTH(M1726)</f>
        <v/>
      </c>
      <c r="M1726" s="267">
        <f>IFERROR(__xludf.DUMMYFUNCTION("""COMPUTED_VALUE"""),45596.6666666666)</f>
        <v/>
      </c>
      <c r="N1726" s="6">
        <f>IFERROR(__xludf.DUMMYFUNCTION("""COMPUTED_VALUE"""),18095.15)</f>
        <v/>
      </c>
      <c r="R1726" s="6">
        <f>S1726&amp;T1726</f>
        <v/>
      </c>
      <c r="S1726" s="6">
        <f>YEAR(U1726)</f>
        <v/>
      </c>
      <c r="T1726" s="6">
        <f>MONTH(U1726)</f>
        <v/>
      </c>
      <c r="U1726" s="267">
        <f>IFERROR(__xludf.DUMMYFUNCTION("""COMPUTED_VALUE"""),45667.6458333333)</f>
        <v/>
      </c>
      <c r="V1726" s="6">
        <f>IFERROR(__xludf.DUMMYFUNCTION("""COMPUTED_VALUE"""),2515.78)</f>
        <v/>
      </c>
      <c r="Z1726" s="6">
        <f>AA1726&amp;AB1726</f>
        <v/>
      </c>
      <c r="AA1726" s="6">
        <f>YEAR(AC1726)</f>
        <v/>
      </c>
      <c r="AB1726" s="6">
        <f>MONTH(AC1726)</f>
        <v/>
      </c>
      <c r="AC1726" s="267">
        <f>IFERROR(__xludf.DUMMYFUNCTION("""COMPUTED_VALUE"""),44875.9986111111)</f>
        <v/>
      </c>
      <c r="AD1726" s="6">
        <f>IFERROR(__xludf.DUMMYFUNCTION("""COMPUTED_VALUE"""),1349.37)</f>
        <v/>
      </c>
      <c r="AH1726" s="6">
        <f>AI1726&amp;AJ1726</f>
        <v/>
      </c>
      <c r="AI1726" s="6">
        <f>YEAR(AK1726)</f>
        <v/>
      </c>
      <c r="AJ1726" s="6">
        <f>MONTH(AK1726)</f>
        <v/>
      </c>
      <c r="AK1726" s="267">
        <f>IFERROR(__xludf.DUMMYFUNCTION("""COMPUTED_VALUE"""),44819.9986111111)</f>
        <v/>
      </c>
      <c r="AL1726" s="6">
        <f>IFERROR(__xludf.DUMMYFUNCTION("""COMPUTED_VALUE"""),19698.31)</f>
        <v/>
      </c>
      <c r="AP1726" s="6">
        <f>AQ1726&amp;AR1726</f>
        <v/>
      </c>
      <c r="AQ1726" s="6">
        <f>YEAR(AS1726)</f>
        <v/>
      </c>
      <c r="AR1726" s="6">
        <f>MONTH(AS1726)</f>
        <v/>
      </c>
      <c r="AS1726" s="267">
        <f>IFERROR(__xludf.DUMMYFUNCTION("""COMPUTED_VALUE"""),45610.9986111111)</f>
        <v/>
      </c>
      <c r="AT1726" s="6">
        <f>IFERROR(__xludf.DUMMYFUNCTION("""COMPUTED_VALUE"""),2572.9)</f>
        <v/>
      </c>
    </row>
    <row r="1727">
      <c r="B1727" s="6">
        <f>C1727&amp;D1727</f>
        <v/>
      </c>
      <c r="C1727" s="6">
        <f>YEAR(E1727)</f>
        <v/>
      </c>
      <c r="D1727" s="6">
        <f>MONTH(E1727)</f>
        <v/>
      </c>
      <c r="E1727" s="267">
        <f>IFERROR(__xludf.DUMMYFUNCTION("""COMPUTED_VALUE"""),45604.6666666666)</f>
        <v/>
      </c>
      <c r="F1727" s="6">
        <f>IFERROR(__xludf.DUMMYFUNCTION("""COMPUTED_VALUE"""),5995.54)</f>
        <v/>
      </c>
      <c r="J1727" s="6">
        <f>K1727&amp;L1727</f>
        <v/>
      </c>
      <c r="K1727" s="6">
        <f>YEAR(M1727)</f>
        <v/>
      </c>
      <c r="L1727" s="6">
        <f>MONTH(M1727)</f>
        <v/>
      </c>
      <c r="M1727" s="267">
        <f>IFERROR(__xludf.DUMMYFUNCTION("""COMPUTED_VALUE"""),45597.6666666666)</f>
        <v/>
      </c>
      <c r="N1727" s="6">
        <f>IFERROR(__xludf.DUMMYFUNCTION("""COMPUTED_VALUE"""),18239.92)</f>
        <v/>
      </c>
      <c r="R1727" s="6">
        <f>S1727&amp;T1727</f>
        <v/>
      </c>
      <c r="S1727" s="6">
        <f>YEAR(U1727)</f>
        <v/>
      </c>
      <c r="T1727" s="6">
        <f>MONTH(U1727)</f>
        <v/>
      </c>
      <c r="U1727" s="267">
        <f>IFERROR(__xludf.DUMMYFUNCTION("""COMPUTED_VALUE"""),45670.6458333333)</f>
        <v/>
      </c>
      <c r="V1727" s="6">
        <f>IFERROR(__xludf.DUMMYFUNCTION("""COMPUTED_VALUE"""),2489.56)</f>
        <v/>
      </c>
      <c r="Z1727" s="6">
        <f>AA1727&amp;AB1727</f>
        <v/>
      </c>
      <c r="AA1727" s="6">
        <f>YEAR(AC1727)</f>
        <v/>
      </c>
      <c r="AB1727" s="6">
        <f>MONTH(AC1727)</f>
        <v/>
      </c>
      <c r="AC1727" s="267">
        <f>IFERROR(__xludf.DUMMYFUNCTION("""COMPUTED_VALUE"""),44876.9986111111)</f>
        <v/>
      </c>
      <c r="AD1727" s="6">
        <f>IFERROR(__xludf.DUMMYFUNCTION("""COMPUTED_VALUE"""),1313.6)</f>
        <v/>
      </c>
      <c r="AH1727" s="6">
        <f>AI1727&amp;AJ1727</f>
        <v/>
      </c>
      <c r="AI1727" s="6">
        <f>YEAR(AK1727)</f>
        <v/>
      </c>
      <c r="AJ1727" s="6">
        <f>MONTH(AK1727)</f>
        <v/>
      </c>
      <c r="AK1727" s="267">
        <f>IFERROR(__xludf.DUMMYFUNCTION("""COMPUTED_VALUE"""),44820.9986111111)</f>
        <v/>
      </c>
      <c r="AL1727" s="6">
        <f>IFERROR(__xludf.DUMMYFUNCTION("""COMPUTED_VALUE"""),19800.92)</f>
        <v/>
      </c>
      <c r="AP1727" s="6">
        <f>AQ1727&amp;AR1727</f>
        <v/>
      </c>
      <c r="AQ1727" s="6">
        <f>YEAR(AS1727)</f>
        <v/>
      </c>
      <c r="AR1727" s="6">
        <f>MONTH(AS1727)</f>
        <v/>
      </c>
      <c r="AS1727" s="267">
        <f>IFERROR(__xludf.DUMMYFUNCTION("""COMPUTED_VALUE"""),45611.9986111111)</f>
        <v/>
      </c>
      <c r="AT1727" s="6">
        <f>IFERROR(__xludf.DUMMYFUNCTION("""COMPUTED_VALUE"""),2570.1)</f>
        <v/>
      </c>
    </row>
    <row r="1728">
      <c r="B1728" s="6">
        <f>C1728&amp;D1728</f>
        <v/>
      </c>
      <c r="C1728" s="6">
        <f>YEAR(E1728)</f>
        <v/>
      </c>
      <c r="D1728" s="6">
        <f>MONTH(E1728)</f>
        <v/>
      </c>
      <c r="E1728" s="267">
        <f>IFERROR(__xludf.DUMMYFUNCTION("""COMPUTED_VALUE"""),45607.6666666666)</f>
        <v/>
      </c>
      <c r="F1728" s="6">
        <f>IFERROR(__xludf.DUMMYFUNCTION("""COMPUTED_VALUE"""),6001.35)</f>
        <v/>
      </c>
      <c r="J1728" s="6">
        <f>K1728&amp;L1728</f>
        <v/>
      </c>
      <c r="K1728" s="6">
        <f>YEAR(M1728)</f>
        <v/>
      </c>
      <c r="L1728" s="6">
        <f>MONTH(M1728)</f>
        <v/>
      </c>
      <c r="M1728" s="267">
        <f>IFERROR(__xludf.DUMMYFUNCTION("""COMPUTED_VALUE"""),45600.6666666666)</f>
        <v/>
      </c>
      <c r="N1728" s="6">
        <f>IFERROR(__xludf.DUMMYFUNCTION("""COMPUTED_VALUE"""),18179.98)</f>
        <v/>
      </c>
      <c r="R1728" s="6">
        <f>S1728&amp;T1728</f>
        <v/>
      </c>
      <c r="S1728" s="6">
        <f>YEAR(U1728)</f>
        <v/>
      </c>
      <c r="T1728" s="6">
        <f>MONTH(U1728)</f>
        <v/>
      </c>
      <c r="U1728" s="267">
        <f>IFERROR(__xludf.DUMMYFUNCTION("""COMPUTED_VALUE"""),45671.6458333333)</f>
        <v/>
      </c>
      <c r="V1728" s="6">
        <f>IFERROR(__xludf.DUMMYFUNCTION("""COMPUTED_VALUE"""),2497.4)</f>
        <v/>
      </c>
      <c r="Z1728" s="6">
        <f>AA1728&amp;AB1728</f>
        <v/>
      </c>
      <c r="AA1728" s="6">
        <f>YEAR(AC1728)</f>
        <v/>
      </c>
      <c r="AB1728" s="6">
        <f>MONTH(AC1728)</f>
        <v/>
      </c>
      <c r="AC1728" s="267">
        <f>IFERROR(__xludf.DUMMYFUNCTION("""COMPUTED_VALUE"""),44877.9986111111)</f>
        <v/>
      </c>
      <c r="AD1728" s="6">
        <f>IFERROR(__xludf.DUMMYFUNCTION("""COMPUTED_VALUE"""),1313.03)</f>
        <v/>
      </c>
      <c r="AH1728" s="6">
        <f>AI1728&amp;AJ1728</f>
        <v/>
      </c>
      <c r="AI1728" s="6">
        <f>YEAR(AK1728)</f>
        <v/>
      </c>
      <c r="AJ1728" s="6">
        <f>MONTH(AK1728)</f>
        <v/>
      </c>
      <c r="AK1728" s="267">
        <f>IFERROR(__xludf.DUMMYFUNCTION("""COMPUTED_VALUE"""),44821.9986111111)</f>
        <v/>
      </c>
      <c r="AL1728" s="6">
        <f>IFERROR(__xludf.DUMMYFUNCTION("""COMPUTED_VALUE"""),20116.79)</f>
        <v/>
      </c>
      <c r="AP1728" s="6">
        <f>AQ1728&amp;AR1728</f>
        <v/>
      </c>
      <c r="AQ1728" s="6">
        <f>YEAR(AS1728)</f>
        <v/>
      </c>
      <c r="AR1728" s="6">
        <f>MONTH(AS1728)</f>
        <v/>
      </c>
      <c r="AS1728" s="267">
        <f>IFERROR(__xludf.DUMMYFUNCTION("""COMPUTED_VALUE"""),45614.9986111111)</f>
        <v/>
      </c>
      <c r="AT1728" s="6">
        <f>IFERROR(__xludf.DUMMYFUNCTION("""COMPUTED_VALUE"""),2614.6)</f>
        <v/>
      </c>
    </row>
    <row r="1729">
      <c r="B1729" s="6">
        <f>C1729&amp;D1729</f>
        <v/>
      </c>
      <c r="C1729" s="6">
        <f>YEAR(E1729)</f>
        <v/>
      </c>
      <c r="D1729" s="6">
        <f>MONTH(E1729)</f>
        <v/>
      </c>
      <c r="E1729" s="267">
        <f>IFERROR(__xludf.DUMMYFUNCTION("""COMPUTED_VALUE"""),45608.6666666666)</f>
        <v/>
      </c>
      <c r="F1729" s="6">
        <f>IFERROR(__xludf.DUMMYFUNCTION("""COMPUTED_VALUE"""),5983.99)</f>
        <v/>
      </c>
      <c r="J1729" s="6">
        <f>K1729&amp;L1729</f>
        <v/>
      </c>
      <c r="K1729" s="6">
        <f>YEAR(M1729)</f>
        <v/>
      </c>
      <c r="L1729" s="6">
        <f>MONTH(M1729)</f>
        <v/>
      </c>
      <c r="M1729" s="267">
        <f>IFERROR(__xludf.DUMMYFUNCTION("""COMPUTED_VALUE"""),45601.6666666666)</f>
        <v/>
      </c>
      <c r="N1729" s="6">
        <f>IFERROR(__xludf.DUMMYFUNCTION("""COMPUTED_VALUE"""),18439.17)</f>
        <v/>
      </c>
      <c r="R1729" s="6">
        <f>S1729&amp;T1729</f>
        <v/>
      </c>
      <c r="S1729" s="6">
        <f>YEAR(U1729)</f>
        <v/>
      </c>
      <c r="T1729" s="6">
        <f>MONTH(U1729)</f>
        <v/>
      </c>
      <c r="U1729" s="267">
        <f>IFERROR(__xludf.DUMMYFUNCTION("""COMPUTED_VALUE"""),45672.6458333333)</f>
        <v/>
      </c>
      <c r="V1729" s="6">
        <f>IFERROR(__xludf.DUMMYFUNCTION("""COMPUTED_VALUE"""),2496.81)</f>
        <v/>
      </c>
      <c r="Z1729" s="6">
        <f>AA1729&amp;AB1729</f>
        <v/>
      </c>
      <c r="AA1729" s="6">
        <f>YEAR(AC1729)</f>
        <v/>
      </c>
      <c r="AB1729" s="6">
        <f>MONTH(AC1729)</f>
        <v/>
      </c>
      <c r="AC1729" s="267">
        <f>IFERROR(__xludf.DUMMYFUNCTION("""COMPUTED_VALUE"""),44878.9986111111)</f>
        <v/>
      </c>
      <c r="AD1729" s="6">
        <f>IFERROR(__xludf.DUMMYFUNCTION("""COMPUTED_VALUE"""),1313.03)</f>
        <v/>
      </c>
      <c r="AH1729" s="6">
        <f>AI1729&amp;AJ1729</f>
        <v/>
      </c>
      <c r="AI1729" s="6">
        <f>YEAR(AK1729)</f>
        <v/>
      </c>
      <c r="AJ1729" s="6">
        <f>MONTH(AK1729)</f>
        <v/>
      </c>
      <c r="AK1729" s="267">
        <f>IFERROR(__xludf.DUMMYFUNCTION("""COMPUTED_VALUE"""),44822.9986111111)</f>
        <v/>
      </c>
      <c r="AL1729" s="6">
        <f>IFERROR(__xludf.DUMMYFUNCTION("""COMPUTED_VALUE"""),19417.64)</f>
        <v/>
      </c>
      <c r="AP1729" s="6">
        <f>AQ1729&amp;AR1729</f>
        <v/>
      </c>
      <c r="AQ1729" s="6">
        <f>YEAR(AS1729)</f>
        <v/>
      </c>
      <c r="AR1729" s="6">
        <f>MONTH(AS1729)</f>
        <v/>
      </c>
      <c r="AS1729" s="267">
        <f>IFERROR(__xludf.DUMMYFUNCTION("""COMPUTED_VALUE"""),45615.9986111111)</f>
        <v/>
      </c>
      <c r="AT1729" s="6">
        <f>IFERROR(__xludf.DUMMYFUNCTION("""COMPUTED_VALUE"""),2631)</f>
        <v/>
      </c>
    </row>
    <row r="1730">
      <c r="B1730" s="6">
        <f>C1730&amp;D1730</f>
        <v/>
      </c>
      <c r="C1730" s="6">
        <f>YEAR(E1730)</f>
        <v/>
      </c>
      <c r="D1730" s="6">
        <f>MONTH(E1730)</f>
        <v/>
      </c>
      <c r="E1730" s="267">
        <f>IFERROR(__xludf.DUMMYFUNCTION("""COMPUTED_VALUE"""),45609.6666666666)</f>
        <v/>
      </c>
      <c r="F1730" s="6">
        <f>IFERROR(__xludf.DUMMYFUNCTION("""COMPUTED_VALUE"""),5985.38)</f>
        <v/>
      </c>
      <c r="J1730" s="6">
        <f>K1730&amp;L1730</f>
        <v/>
      </c>
      <c r="K1730" s="6">
        <f>YEAR(M1730)</f>
        <v/>
      </c>
      <c r="L1730" s="6">
        <f>MONTH(M1730)</f>
        <v/>
      </c>
      <c r="M1730" s="267">
        <f>IFERROR(__xludf.DUMMYFUNCTION("""COMPUTED_VALUE"""),45602.6666666666)</f>
        <v/>
      </c>
      <c r="N1730" s="6">
        <f>IFERROR(__xludf.DUMMYFUNCTION("""COMPUTED_VALUE"""),18983.47)</f>
        <v/>
      </c>
      <c r="R1730" s="6">
        <f>S1730&amp;T1730</f>
        <v/>
      </c>
      <c r="S1730" s="6">
        <f>YEAR(U1730)</f>
        <v/>
      </c>
      <c r="T1730" s="6">
        <f>MONTH(U1730)</f>
        <v/>
      </c>
      <c r="U1730" s="267">
        <f>IFERROR(__xludf.DUMMYFUNCTION("""COMPUTED_VALUE"""),45673.6458333333)</f>
        <v/>
      </c>
      <c r="V1730" s="6">
        <f>IFERROR(__xludf.DUMMYFUNCTION("""COMPUTED_VALUE"""),2527.49)</f>
        <v/>
      </c>
      <c r="Z1730" s="6">
        <f>AA1730&amp;AB1730</f>
        <v/>
      </c>
      <c r="AA1730" s="6">
        <f>YEAR(AC1730)</f>
        <v/>
      </c>
      <c r="AB1730" s="6">
        <f>MONTH(AC1730)</f>
        <v/>
      </c>
      <c r="AC1730" s="267">
        <f>IFERROR(__xludf.DUMMYFUNCTION("""COMPUTED_VALUE"""),44879.9986111111)</f>
        <v/>
      </c>
      <c r="AD1730" s="6">
        <f>IFERROR(__xludf.DUMMYFUNCTION("""COMPUTED_VALUE"""),1324.08)</f>
        <v/>
      </c>
      <c r="AH1730" s="6">
        <f>AI1730&amp;AJ1730</f>
        <v/>
      </c>
      <c r="AI1730" s="6">
        <f>YEAR(AK1730)</f>
        <v/>
      </c>
      <c r="AJ1730" s="6">
        <f>MONTH(AK1730)</f>
        <v/>
      </c>
      <c r="AK1730" s="267">
        <f>IFERROR(__xludf.DUMMYFUNCTION("""COMPUTED_VALUE"""),44823.9986111111)</f>
        <v/>
      </c>
      <c r="AL1730" s="6">
        <f>IFERROR(__xludf.DUMMYFUNCTION("""COMPUTED_VALUE"""),19536.58)</f>
        <v/>
      </c>
      <c r="AP1730" s="6">
        <f>AQ1730&amp;AR1730</f>
        <v/>
      </c>
      <c r="AQ1730" s="6">
        <f>YEAR(AS1730)</f>
        <v/>
      </c>
      <c r="AR1730" s="6">
        <f>MONTH(AS1730)</f>
        <v/>
      </c>
      <c r="AS1730" s="267">
        <f>IFERROR(__xludf.DUMMYFUNCTION("""COMPUTED_VALUE"""),45616.9986111111)</f>
        <v/>
      </c>
      <c r="AT1730" s="6">
        <f>IFERROR(__xludf.DUMMYFUNCTION("""COMPUTED_VALUE"""),2651.7)</f>
        <v/>
      </c>
    </row>
    <row r="1731">
      <c r="B1731" s="6">
        <f>C1731&amp;D1731</f>
        <v/>
      </c>
      <c r="C1731" s="6">
        <f>YEAR(E1731)</f>
        <v/>
      </c>
      <c r="D1731" s="6">
        <f>MONTH(E1731)</f>
        <v/>
      </c>
      <c r="E1731" s="267">
        <f>IFERROR(__xludf.DUMMYFUNCTION("""COMPUTED_VALUE"""),45610.6666666666)</f>
        <v/>
      </c>
      <c r="F1731" s="6">
        <f>IFERROR(__xludf.DUMMYFUNCTION("""COMPUTED_VALUE"""),5949.17)</f>
        <v/>
      </c>
      <c r="J1731" s="6">
        <f>K1731&amp;L1731</f>
        <v/>
      </c>
      <c r="K1731" s="6">
        <f>YEAR(M1731)</f>
        <v/>
      </c>
      <c r="L1731" s="6">
        <f>MONTH(M1731)</f>
        <v/>
      </c>
      <c r="M1731" s="267">
        <f>IFERROR(__xludf.DUMMYFUNCTION("""COMPUTED_VALUE"""),45603.6666666666)</f>
        <v/>
      </c>
      <c r="N1731" s="6">
        <f>IFERROR(__xludf.DUMMYFUNCTION("""COMPUTED_VALUE"""),19269.46)</f>
        <v/>
      </c>
      <c r="R1731" s="6">
        <f>S1731&amp;T1731</f>
        <v/>
      </c>
      <c r="S1731" s="6">
        <f>YEAR(U1731)</f>
        <v/>
      </c>
      <c r="T1731" s="6">
        <f>MONTH(U1731)</f>
        <v/>
      </c>
      <c r="U1731" s="267">
        <f>IFERROR(__xludf.DUMMYFUNCTION("""COMPUTED_VALUE"""),45674.6458333333)</f>
        <v/>
      </c>
      <c r="V1731" s="6">
        <f>IFERROR(__xludf.DUMMYFUNCTION("""COMPUTED_VALUE"""),2523.55)</f>
        <v/>
      </c>
      <c r="Z1731" s="6">
        <f>AA1731&amp;AB1731</f>
        <v/>
      </c>
      <c r="AA1731" s="6">
        <f>YEAR(AC1731)</f>
        <v/>
      </c>
      <c r="AB1731" s="6">
        <f>MONTH(AC1731)</f>
        <v/>
      </c>
      <c r="AC1731" s="267">
        <f>IFERROR(__xludf.DUMMYFUNCTION("""COMPUTED_VALUE"""),44880.9986111111)</f>
        <v/>
      </c>
      <c r="AD1731" s="6">
        <f>IFERROR(__xludf.DUMMYFUNCTION("""COMPUTED_VALUE"""),1316.26)</f>
        <v/>
      </c>
      <c r="AH1731" s="6">
        <f>AI1731&amp;AJ1731</f>
        <v/>
      </c>
      <c r="AI1731" s="6">
        <f>YEAR(AK1731)</f>
        <v/>
      </c>
      <c r="AJ1731" s="6">
        <f>MONTH(AK1731)</f>
        <v/>
      </c>
      <c r="AK1731" s="267">
        <f>IFERROR(__xludf.DUMMYFUNCTION("""COMPUTED_VALUE"""),44824.9986111111)</f>
        <v/>
      </c>
      <c r="AL1731" s="6">
        <f>IFERROR(__xludf.DUMMYFUNCTION("""COMPUTED_VALUE"""),18875.99)</f>
        <v/>
      </c>
      <c r="AP1731" s="6">
        <f>AQ1731&amp;AR1731</f>
        <v/>
      </c>
      <c r="AQ1731" s="6">
        <f>YEAR(AS1731)</f>
        <v/>
      </c>
      <c r="AR1731" s="6">
        <f>MONTH(AS1731)</f>
        <v/>
      </c>
      <c r="AS1731" s="267">
        <f>IFERROR(__xludf.DUMMYFUNCTION("""COMPUTED_VALUE"""),45617.9986111111)</f>
        <v/>
      </c>
      <c r="AT1731" s="6">
        <f>IFERROR(__xludf.DUMMYFUNCTION("""COMPUTED_VALUE"""),2699.3)</f>
        <v/>
      </c>
    </row>
    <row r="1732">
      <c r="B1732" s="6">
        <f>C1732&amp;D1732</f>
        <v/>
      </c>
      <c r="C1732" s="6">
        <f>YEAR(E1732)</f>
        <v/>
      </c>
      <c r="D1732" s="6">
        <f>MONTH(E1732)</f>
        <v/>
      </c>
      <c r="E1732" s="267">
        <f>IFERROR(__xludf.DUMMYFUNCTION("""COMPUTED_VALUE"""),45611.6666666666)</f>
        <v/>
      </c>
      <c r="F1732" s="6">
        <f>IFERROR(__xludf.DUMMYFUNCTION("""COMPUTED_VALUE"""),5870.62)</f>
        <v/>
      </c>
      <c r="J1732" s="6">
        <f>K1732&amp;L1732</f>
        <v/>
      </c>
      <c r="K1732" s="6">
        <f>YEAR(M1732)</f>
        <v/>
      </c>
      <c r="L1732" s="6">
        <f>MONTH(M1732)</f>
        <v/>
      </c>
      <c r="M1732" s="267">
        <f>IFERROR(__xludf.DUMMYFUNCTION("""COMPUTED_VALUE"""),45604.6666666666)</f>
        <v/>
      </c>
      <c r="N1732" s="6">
        <f>IFERROR(__xludf.DUMMYFUNCTION("""COMPUTED_VALUE"""),19286.78)</f>
        <v/>
      </c>
      <c r="R1732" s="6">
        <f>S1732&amp;T1732</f>
        <v/>
      </c>
      <c r="S1732" s="6">
        <f>YEAR(U1732)</f>
        <v/>
      </c>
      <c r="T1732" s="6">
        <f>MONTH(U1732)</f>
        <v/>
      </c>
      <c r="U1732" s="267">
        <f>IFERROR(__xludf.DUMMYFUNCTION("""COMPUTED_VALUE"""),45677.6458333333)</f>
        <v/>
      </c>
      <c r="V1732" s="6">
        <f>IFERROR(__xludf.DUMMYFUNCTION("""COMPUTED_VALUE"""),2520.05)</f>
        <v/>
      </c>
      <c r="Z1732" s="6">
        <f>AA1732&amp;AB1732</f>
        <v/>
      </c>
      <c r="AA1732" s="6">
        <f>YEAR(AC1732)</f>
        <v/>
      </c>
      <c r="AB1732" s="6">
        <f>MONTH(AC1732)</f>
        <v/>
      </c>
      <c r="AC1732" s="267">
        <f>IFERROR(__xludf.DUMMYFUNCTION("""COMPUTED_VALUE"""),44881.9986111111)</f>
        <v/>
      </c>
      <c r="AD1732" s="6">
        <f>IFERROR(__xludf.DUMMYFUNCTION("""COMPUTED_VALUE"""),1336.43)</f>
        <v/>
      </c>
      <c r="AH1732" s="6">
        <f>AI1732&amp;AJ1732</f>
        <v/>
      </c>
      <c r="AI1732" s="6">
        <f>YEAR(AK1732)</f>
        <v/>
      </c>
      <c r="AJ1732" s="6">
        <f>MONTH(AK1732)</f>
        <v/>
      </c>
      <c r="AK1732" s="267">
        <f>IFERROR(__xludf.DUMMYFUNCTION("""COMPUTED_VALUE"""),44825.9986111111)</f>
        <v/>
      </c>
      <c r="AL1732" s="6">
        <f>IFERROR(__xludf.DUMMYFUNCTION("""COMPUTED_VALUE"""),18489.82)</f>
        <v/>
      </c>
      <c r="AP1732" s="6">
        <f>AQ1732&amp;AR1732</f>
        <v/>
      </c>
      <c r="AQ1732" s="6">
        <f>YEAR(AS1732)</f>
        <v/>
      </c>
      <c r="AR1732" s="6">
        <f>MONTH(AS1732)</f>
        <v/>
      </c>
      <c r="AS1732" s="267">
        <f>IFERROR(__xludf.DUMMYFUNCTION("""COMPUTED_VALUE"""),45618.9986111111)</f>
        <v/>
      </c>
      <c r="AT1732" s="6">
        <f>IFERROR(__xludf.DUMMYFUNCTION("""COMPUTED_VALUE"""),2737.2)</f>
        <v/>
      </c>
    </row>
    <row r="1733">
      <c r="B1733" s="6">
        <f>C1733&amp;D1733</f>
        <v/>
      </c>
      <c r="C1733" s="6">
        <f>YEAR(E1733)</f>
        <v/>
      </c>
      <c r="D1733" s="6">
        <f>MONTH(E1733)</f>
        <v/>
      </c>
      <c r="E1733" s="267">
        <f>IFERROR(__xludf.DUMMYFUNCTION("""COMPUTED_VALUE"""),45614.6666666666)</f>
        <v/>
      </c>
      <c r="F1733" s="6">
        <f>IFERROR(__xludf.DUMMYFUNCTION("""COMPUTED_VALUE"""),5893.62)</f>
        <v/>
      </c>
      <c r="J1733" s="6">
        <f>K1733&amp;L1733</f>
        <v/>
      </c>
      <c r="K1733" s="6">
        <f>YEAR(M1733)</f>
        <v/>
      </c>
      <c r="L1733" s="6">
        <f>MONTH(M1733)</f>
        <v/>
      </c>
      <c r="M1733" s="267">
        <f>IFERROR(__xludf.DUMMYFUNCTION("""COMPUTED_VALUE"""),45607.6666666666)</f>
        <v/>
      </c>
      <c r="N1733" s="6">
        <f>IFERROR(__xludf.DUMMYFUNCTION("""COMPUTED_VALUE"""),19298.76)</f>
        <v/>
      </c>
      <c r="R1733" s="6">
        <f>S1733&amp;T1733</f>
        <v/>
      </c>
      <c r="S1733" s="6">
        <f>YEAR(U1733)</f>
        <v/>
      </c>
      <c r="T1733" s="6">
        <f>MONTH(U1733)</f>
        <v/>
      </c>
      <c r="U1733" s="267">
        <f>IFERROR(__xludf.DUMMYFUNCTION("""COMPUTED_VALUE"""),45678.6458333333)</f>
        <v/>
      </c>
      <c r="V1733" s="6">
        <f>IFERROR(__xludf.DUMMYFUNCTION("""COMPUTED_VALUE"""),2518.03)</f>
        <v/>
      </c>
      <c r="Z1733" s="6">
        <f>AA1733&amp;AB1733</f>
        <v/>
      </c>
      <c r="AA1733" s="6">
        <f>YEAR(AC1733)</f>
        <v/>
      </c>
      <c r="AB1733" s="6">
        <f>MONTH(AC1733)</f>
        <v/>
      </c>
      <c r="AC1733" s="267">
        <f>IFERROR(__xludf.DUMMYFUNCTION("""COMPUTED_VALUE"""),44882.9986111111)</f>
        <v/>
      </c>
      <c r="AD1733" s="6">
        <f>IFERROR(__xludf.DUMMYFUNCTION("""COMPUTED_VALUE"""),1342.75)</f>
        <v/>
      </c>
      <c r="AH1733" s="6">
        <f>AI1733&amp;AJ1733</f>
        <v/>
      </c>
      <c r="AI1733" s="6">
        <f>YEAR(AK1733)</f>
        <v/>
      </c>
      <c r="AJ1733" s="6">
        <f>MONTH(AK1733)</f>
        <v/>
      </c>
      <c r="AK1733" s="267">
        <f>IFERROR(__xludf.DUMMYFUNCTION("""COMPUTED_VALUE"""),44826.9986111111)</f>
        <v/>
      </c>
      <c r="AL1733" s="6">
        <f>IFERROR(__xludf.DUMMYFUNCTION("""COMPUTED_VALUE"""),19405.05)</f>
        <v/>
      </c>
      <c r="AP1733" s="6">
        <f>AQ1733&amp;AR1733</f>
        <v/>
      </c>
      <c r="AQ1733" s="6">
        <f>YEAR(AS1733)</f>
        <v/>
      </c>
      <c r="AR1733" s="6">
        <f>MONTH(AS1733)</f>
        <v/>
      </c>
      <c r="AS1733" s="267">
        <f>IFERROR(__xludf.DUMMYFUNCTION("""COMPUTED_VALUE"""),45621.9986111111)</f>
        <v/>
      </c>
      <c r="AT1733" s="6">
        <f>IFERROR(__xludf.DUMMYFUNCTION("""COMPUTED_VALUE"""),2642.6)</f>
        <v/>
      </c>
    </row>
    <row r="1734">
      <c r="B1734" s="6">
        <f>C1734&amp;D1734</f>
        <v/>
      </c>
      <c r="C1734" s="6">
        <f>YEAR(E1734)</f>
        <v/>
      </c>
      <c r="D1734" s="6">
        <f>MONTH(E1734)</f>
        <v/>
      </c>
      <c r="E1734" s="267">
        <f>IFERROR(__xludf.DUMMYFUNCTION("""COMPUTED_VALUE"""),45615.6666666666)</f>
        <v/>
      </c>
      <c r="F1734" s="6">
        <f>IFERROR(__xludf.DUMMYFUNCTION("""COMPUTED_VALUE"""),5916.98)</f>
        <v/>
      </c>
      <c r="J1734" s="6">
        <f>K1734&amp;L1734</f>
        <v/>
      </c>
      <c r="K1734" s="6">
        <f>YEAR(M1734)</f>
        <v/>
      </c>
      <c r="L1734" s="6">
        <f>MONTH(M1734)</f>
        <v/>
      </c>
      <c r="M1734" s="267">
        <f>IFERROR(__xludf.DUMMYFUNCTION("""COMPUTED_VALUE"""),45608.6666666666)</f>
        <v/>
      </c>
      <c r="N1734" s="6">
        <f>IFERROR(__xludf.DUMMYFUNCTION("""COMPUTED_VALUE"""),19281.4)</f>
        <v/>
      </c>
      <c r="R1734" s="6">
        <f>S1734&amp;T1734</f>
        <v/>
      </c>
      <c r="S1734" s="6">
        <f>YEAR(U1734)</f>
        <v/>
      </c>
      <c r="T1734" s="6">
        <f>MONTH(U1734)</f>
        <v/>
      </c>
      <c r="U1734" s="267">
        <f>IFERROR(__xludf.DUMMYFUNCTION("""COMPUTED_VALUE"""),45679.6458333333)</f>
        <v/>
      </c>
      <c r="V1734" s="6">
        <f>IFERROR(__xludf.DUMMYFUNCTION("""COMPUTED_VALUE"""),2547.06)</f>
        <v/>
      </c>
      <c r="Z1734" s="6">
        <f>AA1734&amp;AB1734</f>
        <v/>
      </c>
      <c r="AA1734" s="6">
        <f>YEAR(AC1734)</f>
        <v/>
      </c>
      <c r="AB1734" s="6">
        <f>MONTH(AC1734)</f>
        <v/>
      </c>
      <c r="AC1734" s="267">
        <f>IFERROR(__xludf.DUMMYFUNCTION("""COMPUTED_VALUE"""),44883.9986111111)</f>
        <v/>
      </c>
      <c r="AD1734" s="6">
        <f>IFERROR(__xludf.DUMMYFUNCTION("""COMPUTED_VALUE"""),1339.01)</f>
        <v/>
      </c>
      <c r="AH1734" s="6">
        <f>AI1734&amp;AJ1734</f>
        <v/>
      </c>
      <c r="AI1734" s="6">
        <f>YEAR(AK1734)</f>
        <v/>
      </c>
      <c r="AJ1734" s="6">
        <f>MONTH(AK1734)</f>
        <v/>
      </c>
      <c r="AK1734" s="267">
        <f>IFERROR(__xludf.DUMMYFUNCTION("""COMPUTED_VALUE"""),44827.9986111111)</f>
        <v/>
      </c>
      <c r="AL1734" s="6">
        <f>IFERROR(__xludf.DUMMYFUNCTION("""COMPUTED_VALUE"""),19291.41)</f>
        <v/>
      </c>
      <c r="AP1734" s="6">
        <f>AQ1734&amp;AR1734</f>
        <v/>
      </c>
      <c r="AQ1734" s="6">
        <f>YEAR(AS1734)</f>
        <v/>
      </c>
      <c r="AR1734" s="6">
        <f>MONTH(AS1734)</f>
        <v/>
      </c>
      <c r="AS1734" s="267">
        <f>IFERROR(__xludf.DUMMYFUNCTION("""COMPUTED_VALUE"""),45622.9986111111)</f>
        <v/>
      </c>
      <c r="AT1734" s="6">
        <f>IFERROR(__xludf.DUMMYFUNCTION("""COMPUTED_VALUE"""),2646.3)</f>
        <v/>
      </c>
    </row>
    <row r="1735">
      <c r="B1735" s="6">
        <f>C1735&amp;D1735</f>
        <v/>
      </c>
      <c r="C1735" s="6">
        <f>YEAR(E1735)</f>
        <v/>
      </c>
      <c r="D1735" s="6">
        <f>MONTH(E1735)</f>
        <v/>
      </c>
      <c r="E1735" s="267">
        <f>IFERROR(__xludf.DUMMYFUNCTION("""COMPUTED_VALUE"""),45616.6666666666)</f>
        <v/>
      </c>
      <c r="F1735" s="6">
        <f>IFERROR(__xludf.DUMMYFUNCTION("""COMPUTED_VALUE"""),5917.11)</f>
        <v/>
      </c>
      <c r="J1735" s="6">
        <f>K1735&amp;L1735</f>
        <v/>
      </c>
      <c r="K1735" s="6">
        <f>YEAR(M1735)</f>
        <v/>
      </c>
      <c r="L1735" s="6">
        <f>MONTH(M1735)</f>
        <v/>
      </c>
      <c r="M1735" s="267">
        <f>IFERROR(__xludf.DUMMYFUNCTION("""COMPUTED_VALUE"""),45609.6666666666)</f>
        <v/>
      </c>
      <c r="N1735" s="6">
        <f>IFERROR(__xludf.DUMMYFUNCTION("""COMPUTED_VALUE"""),19230.72)</f>
        <v/>
      </c>
      <c r="R1735" s="6">
        <f>S1735&amp;T1735</f>
        <v/>
      </c>
      <c r="S1735" s="6">
        <f>YEAR(U1735)</f>
        <v/>
      </c>
      <c r="T1735" s="6">
        <f>MONTH(U1735)</f>
        <v/>
      </c>
      <c r="U1735" s="267">
        <f>IFERROR(__xludf.DUMMYFUNCTION("""COMPUTED_VALUE"""),45680.6458333333)</f>
        <v/>
      </c>
      <c r="V1735" s="6">
        <f>IFERROR(__xludf.DUMMYFUNCTION("""COMPUTED_VALUE"""),2515.49)</f>
        <v/>
      </c>
      <c r="Z1735" s="6">
        <f>AA1735&amp;AB1735</f>
        <v/>
      </c>
      <c r="AA1735" s="6">
        <f>YEAR(AC1735)</f>
        <v/>
      </c>
      <c r="AB1735" s="6">
        <f>MONTH(AC1735)</f>
        <v/>
      </c>
      <c r="AC1735" s="267">
        <f>IFERROR(__xludf.DUMMYFUNCTION("""COMPUTED_VALUE"""),44884.9986111111)</f>
        <v/>
      </c>
      <c r="AD1735" s="6">
        <f>IFERROR(__xludf.DUMMYFUNCTION("""COMPUTED_VALUE"""),1339.03)</f>
        <v/>
      </c>
      <c r="AH1735" s="6">
        <f>AI1735&amp;AJ1735</f>
        <v/>
      </c>
      <c r="AI1735" s="6">
        <f>YEAR(AK1735)</f>
        <v/>
      </c>
      <c r="AJ1735" s="6">
        <f>MONTH(AK1735)</f>
        <v/>
      </c>
      <c r="AK1735" s="267">
        <f>IFERROR(__xludf.DUMMYFUNCTION("""COMPUTED_VALUE"""),44828.9986111111)</f>
        <v/>
      </c>
      <c r="AL1735" s="6">
        <f>IFERROR(__xludf.DUMMYFUNCTION("""COMPUTED_VALUE"""),18921.97)</f>
        <v/>
      </c>
      <c r="AP1735" s="6">
        <f>AQ1735&amp;AR1735</f>
        <v/>
      </c>
      <c r="AQ1735" s="6">
        <f>YEAR(AS1735)</f>
        <v/>
      </c>
      <c r="AR1735" s="6">
        <f>MONTH(AS1735)</f>
        <v/>
      </c>
      <c r="AS1735" s="267">
        <f>IFERROR(__xludf.DUMMYFUNCTION("""COMPUTED_VALUE"""),45623.9986111111)</f>
        <v/>
      </c>
      <c r="AT1735" s="6">
        <f>IFERROR(__xludf.DUMMYFUNCTION("""COMPUTED_VALUE"""),2664.8)</f>
        <v/>
      </c>
    </row>
    <row r="1736">
      <c r="B1736" s="6">
        <f>C1736&amp;D1736</f>
        <v/>
      </c>
      <c r="C1736" s="6">
        <f>YEAR(E1736)</f>
        <v/>
      </c>
      <c r="D1736" s="6">
        <f>MONTH(E1736)</f>
        <v/>
      </c>
      <c r="E1736" s="267">
        <f>IFERROR(__xludf.DUMMYFUNCTION("""COMPUTED_VALUE"""),45617.6666666666)</f>
        <v/>
      </c>
      <c r="F1736" s="6">
        <f>IFERROR(__xludf.DUMMYFUNCTION("""COMPUTED_VALUE"""),5948.71)</f>
        <v/>
      </c>
      <c r="J1736" s="6">
        <f>K1736&amp;L1736</f>
        <v/>
      </c>
      <c r="K1736" s="6">
        <f>YEAR(M1736)</f>
        <v/>
      </c>
      <c r="L1736" s="6">
        <f>MONTH(M1736)</f>
        <v/>
      </c>
      <c r="M1736" s="267">
        <f>IFERROR(__xludf.DUMMYFUNCTION("""COMPUTED_VALUE"""),45610.6666666666)</f>
        <v/>
      </c>
      <c r="N1736" s="6">
        <f>IFERROR(__xludf.DUMMYFUNCTION("""COMPUTED_VALUE"""),19107.65)</f>
        <v/>
      </c>
      <c r="R1736" s="6">
        <f>S1736&amp;T1736</f>
        <v/>
      </c>
      <c r="S1736" s="6">
        <f>YEAR(U1736)</f>
        <v/>
      </c>
      <c r="T1736" s="6">
        <f>MONTH(U1736)</f>
        <v/>
      </c>
      <c r="U1736" s="267">
        <f>IFERROR(__xludf.DUMMYFUNCTION("""COMPUTED_VALUE"""),45681.6458333333)</f>
        <v/>
      </c>
      <c r="V1736" s="6">
        <f>IFERROR(__xludf.DUMMYFUNCTION("""COMPUTED_VALUE"""),2536.8)</f>
        <v/>
      </c>
      <c r="Z1736" s="6">
        <f>AA1736&amp;AB1736</f>
        <v/>
      </c>
      <c r="AA1736" s="6">
        <f>YEAR(AC1736)</f>
        <v/>
      </c>
      <c r="AB1736" s="6">
        <f>MONTH(AC1736)</f>
        <v/>
      </c>
      <c r="AC1736" s="267">
        <f>IFERROR(__xludf.DUMMYFUNCTION("""COMPUTED_VALUE"""),44885.9986111111)</f>
        <v/>
      </c>
      <c r="AD1736" s="6">
        <f>IFERROR(__xludf.DUMMYFUNCTION("""COMPUTED_VALUE"""),1339.03)</f>
        <v/>
      </c>
      <c r="AH1736" s="6">
        <f>AI1736&amp;AJ1736</f>
        <v/>
      </c>
      <c r="AI1736" s="6">
        <f>YEAR(AK1736)</f>
        <v/>
      </c>
      <c r="AJ1736" s="6">
        <f>MONTH(AK1736)</f>
        <v/>
      </c>
      <c r="AK1736" s="267">
        <f>IFERROR(__xludf.DUMMYFUNCTION("""COMPUTED_VALUE"""),44829.9986111111)</f>
        <v/>
      </c>
      <c r="AL1736" s="6">
        <f>IFERROR(__xludf.DUMMYFUNCTION("""COMPUTED_VALUE"""),18802.33)</f>
        <v/>
      </c>
      <c r="AP1736" s="6">
        <f>AQ1736&amp;AR1736</f>
        <v/>
      </c>
      <c r="AQ1736" s="6">
        <f>YEAR(AS1736)</f>
        <v/>
      </c>
      <c r="AR1736" s="6">
        <f>MONTH(AS1736)</f>
        <v/>
      </c>
      <c r="AS1736" s="267">
        <f>IFERROR(__xludf.DUMMYFUNCTION("""COMPUTED_VALUE"""),45625.5416666666)</f>
        <v/>
      </c>
      <c r="AT1736" s="6">
        <f>IFERROR(__xludf.DUMMYFUNCTION("""COMPUTED_VALUE"""),2681)</f>
        <v/>
      </c>
    </row>
    <row r="1737">
      <c r="B1737" s="6">
        <f>C1737&amp;D1737</f>
        <v/>
      </c>
      <c r="C1737" s="6">
        <f>YEAR(E1737)</f>
        <v/>
      </c>
      <c r="D1737" s="6">
        <f>MONTH(E1737)</f>
        <v/>
      </c>
      <c r="E1737" s="267">
        <f>IFERROR(__xludf.DUMMYFUNCTION("""COMPUTED_VALUE"""),45618.6666666666)</f>
        <v/>
      </c>
      <c r="F1737" s="6">
        <f>IFERROR(__xludf.DUMMYFUNCTION("""COMPUTED_VALUE"""),5969.34)</f>
        <v/>
      </c>
      <c r="J1737" s="6">
        <f>K1737&amp;L1737</f>
        <v/>
      </c>
      <c r="K1737" s="6">
        <f>YEAR(M1737)</f>
        <v/>
      </c>
      <c r="L1737" s="6">
        <f>MONTH(M1737)</f>
        <v/>
      </c>
      <c r="M1737" s="267">
        <f>IFERROR(__xludf.DUMMYFUNCTION("""COMPUTED_VALUE"""),45611.6666666666)</f>
        <v/>
      </c>
      <c r="N1737" s="6">
        <f>IFERROR(__xludf.DUMMYFUNCTION("""COMPUTED_VALUE"""),18680.12)</f>
        <v/>
      </c>
      <c r="R1737" s="6">
        <f>S1737&amp;T1737</f>
        <v/>
      </c>
      <c r="S1737" s="6">
        <f>YEAR(U1737)</f>
        <v/>
      </c>
      <c r="T1737" s="6">
        <f>MONTH(U1737)</f>
        <v/>
      </c>
      <c r="U1737" s="267">
        <f>IFERROR(__xludf.DUMMYFUNCTION("""COMPUTED_VALUE"""),45688.6458333333)</f>
        <v/>
      </c>
      <c r="V1737" s="6">
        <f>IFERROR(__xludf.DUMMYFUNCTION("""COMPUTED_VALUE"""),2517.37)</f>
        <v/>
      </c>
      <c r="Z1737" s="6">
        <f>AA1737&amp;AB1737</f>
        <v/>
      </c>
      <c r="AA1737" s="6">
        <f>YEAR(AC1737)</f>
        <v/>
      </c>
      <c r="AB1737" s="6">
        <f>MONTH(AC1737)</f>
        <v/>
      </c>
      <c r="AC1737" s="267">
        <f>IFERROR(__xludf.DUMMYFUNCTION("""COMPUTED_VALUE"""),44886.9986111111)</f>
        <v/>
      </c>
      <c r="AD1737" s="6">
        <f>IFERROR(__xludf.DUMMYFUNCTION("""COMPUTED_VALUE"""),1359.75)</f>
        <v/>
      </c>
      <c r="AH1737" s="6">
        <f>AI1737&amp;AJ1737</f>
        <v/>
      </c>
      <c r="AI1737" s="6">
        <f>YEAR(AK1737)</f>
        <v/>
      </c>
      <c r="AJ1737" s="6">
        <f>MONTH(AK1737)</f>
        <v/>
      </c>
      <c r="AK1737" s="267">
        <f>IFERROR(__xludf.DUMMYFUNCTION("""COMPUTED_VALUE"""),44830.9986111111)</f>
        <v/>
      </c>
      <c r="AL1737" s="6">
        <f>IFERROR(__xludf.DUMMYFUNCTION("""COMPUTED_VALUE"""),19225.28)</f>
        <v/>
      </c>
      <c r="AP1737" s="6">
        <f>AQ1737&amp;AR1737</f>
        <v/>
      </c>
      <c r="AQ1737" s="6">
        <f>YEAR(AS1737)</f>
        <v/>
      </c>
      <c r="AR1737" s="6">
        <f>MONTH(AS1737)</f>
        <v/>
      </c>
      <c r="AS1737" s="267">
        <f>IFERROR(__xludf.DUMMYFUNCTION("""COMPUTED_VALUE"""),45628.9986111111)</f>
        <v/>
      </c>
      <c r="AT1737" s="6">
        <f>IFERROR(__xludf.DUMMYFUNCTION("""COMPUTED_VALUE"""),2658.5)</f>
        <v/>
      </c>
    </row>
    <row r="1738">
      <c r="B1738" s="6">
        <f>C1738&amp;D1738</f>
        <v/>
      </c>
      <c r="C1738" s="6">
        <f>YEAR(E1738)</f>
        <v/>
      </c>
      <c r="D1738" s="6">
        <f>MONTH(E1738)</f>
        <v/>
      </c>
      <c r="E1738" s="267">
        <f>IFERROR(__xludf.DUMMYFUNCTION("""COMPUTED_VALUE"""),45621.6666666666)</f>
        <v/>
      </c>
      <c r="F1738" s="6">
        <f>IFERROR(__xludf.DUMMYFUNCTION("""COMPUTED_VALUE"""),5987.37)</f>
        <v/>
      </c>
      <c r="J1738" s="6">
        <f>K1738&amp;L1738</f>
        <v/>
      </c>
      <c r="K1738" s="6">
        <f>YEAR(M1738)</f>
        <v/>
      </c>
      <c r="L1738" s="6">
        <f>MONTH(M1738)</f>
        <v/>
      </c>
      <c r="M1738" s="267">
        <f>IFERROR(__xludf.DUMMYFUNCTION("""COMPUTED_VALUE"""),45614.6666666666)</f>
        <v/>
      </c>
      <c r="N1738" s="6">
        <f>IFERROR(__xludf.DUMMYFUNCTION("""COMPUTED_VALUE"""),18791.81)</f>
        <v/>
      </c>
      <c r="R1738" s="6">
        <f>S1738&amp;T1738</f>
        <v/>
      </c>
      <c r="S1738" s="6">
        <f>YEAR(U1738)</f>
        <v/>
      </c>
      <c r="T1738" s="6">
        <f>MONTH(U1738)</f>
        <v/>
      </c>
      <c r="U1738" s="267">
        <f>IFERROR(__xludf.DUMMYFUNCTION("""COMPUTED_VALUE"""),45691.6458333333)</f>
        <v/>
      </c>
      <c r="V1738" s="6">
        <f>IFERROR(__xludf.DUMMYFUNCTION("""COMPUTED_VALUE"""),2453.95)</f>
        <v/>
      </c>
      <c r="Z1738" s="6">
        <f>AA1738&amp;AB1738</f>
        <v/>
      </c>
      <c r="AA1738" s="6">
        <f>YEAR(AC1738)</f>
        <v/>
      </c>
      <c r="AB1738" s="6">
        <f>MONTH(AC1738)</f>
        <v/>
      </c>
      <c r="AC1738" s="267">
        <f>IFERROR(__xludf.DUMMYFUNCTION("""COMPUTED_VALUE"""),44887.9986111111)</f>
        <v/>
      </c>
      <c r="AD1738" s="6">
        <f>IFERROR(__xludf.DUMMYFUNCTION("""COMPUTED_VALUE"""),1352.69)</f>
        <v/>
      </c>
      <c r="AH1738" s="6">
        <f>AI1738&amp;AJ1738</f>
        <v/>
      </c>
      <c r="AI1738" s="6">
        <f>YEAR(AK1738)</f>
        <v/>
      </c>
      <c r="AJ1738" s="6">
        <f>MONTH(AK1738)</f>
        <v/>
      </c>
      <c r="AK1738" s="267">
        <f>IFERROR(__xludf.DUMMYFUNCTION("""COMPUTED_VALUE"""),44831.9986111111)</f>
        <v/>
      </c>
      <c r="AL1738" s="6">
        <f>IFERROR(__xludf.DUMMYFUNCTION("""COMPUTED_VALUE"""),19081.24)</f>
        <v/>
      </c>
      <c r="AP1738" s="6">
        <f>AQ1738&amp;AR1738</f>
        <v/>
      </c>
      <c r="AQ1738" s="6">
        <f>YEAR(AS1738)</f>
        <v/>
      </c>
      <c r="AR1738" s="6">
        <f>MONTH(AS1738)</f>
        <v/>
      </c>
      <c r="AS1738" s="267">
        <f>IFERROR(__xludf.DUMMYFUNCTION("""COMPUTED_VALUE"""),45629.9986111111)</f>
        <v/>
      </c>
      <c r="AT1738" s="6">
        <f>IFERROR(__xludf.DUMMYFUNCTION("""COMPUTED_VALUE"""),2667.9)</f>
        <v/>
      </c>
    </row>
    <row r="1739">
      <c r="B1739" s="6">
        <f>C1739&amp;D1739</f>
        <v/>
      </c>
      <c r="C1739" s="6">
        <f>YEAR(E1739)</f>
        <v/>
      </c>
      <c r="D1739" s="6">
        <f>MONTH(E1739)</f>
        <v/>
      </c>
      <c r="E1739" s="267">
        <f>IFERROR(__xludf.DUMMYFUNCTION("""COMPUTED_VALUE"""),45622.6666666666)</f>
        <v/>
      </c>
      <c r="F1739" s="6">
        <f>IFERROR(__xludf.DUMMYFUNCTION("""COMPUTED_VALUE"""),6021.63)</f>
        <v/>
      </c>
      <c r="J1739" s="6">
        <f>K1739&amp;L1739</f>
        <v/>
      </c>
      <c r="K1739" s="6">
        <f>YEAR(M1739)</f>
        <v/>
      </c>
      <c r="L1739" s="6">
        <f>MONTH(M1739)</f>
        <v/>
      </c>
      <c r="M1739" s="267">
        <f>IFERROR(__xludf.DUMMYFUNCTION("""COMPUTED_VALUE"""),45615.6666666666)</f>
        <v/>
      </c>
      <c r="N1739" s="6">
        <f>IFERROR(__xludf.DUMMYFUNCTION("""COMPUTED_VALUE"""),18987.47)</f>
        <v/>
      </c>
      <c r="R1739" s="6">
        <f>S1739&amp;T1739</f>
        <v/>
      </c>
      <c r="S1739" s="6">
        <f>YEAR(U1739)</f>
        <v/>
      </c>
      <c r="T1739" s="6">
        <f>MONTH(U1739)</f>
        <v/>
      </c>
      <c r="U1739" s="267">
        <f>IFERROR(__xludf.DUMMYFUNCTION("""COMPUTED_VALUE"""),45692.6458333333)</f>
        <v/>
      </c>
      <c r="V1739" s="6">
        <f>IFERROR(__xludf.DUMMYFUNCTION("""COMPUTED_VALUE"""),2481.69)</f>
        <v/>
      </c>
      <c r="Z1739" s="6">
        <f>AA1739&amp;AB1739</f>
        <v/>
      </c>
      <c r="AA1739" s="6">
        <f>YEAR(AC1739)</f>
        <v/>
      </c>
      <c r="AB1739" s="6">
        <f>MONTH(AC1739)</f>
        <v/>
      </c>
      <c r="AC1739" s="267">
        <f>IFERROR(__xludf.DUMMYFUNCTION("""COMPUTED_VALUE"""),44888.9986111111)</f>
        <v/>
      </c>
      <c r="AD1739" s="6">
        <f>IFERROR(__xludf.DUMMYFUNCTION("""COMPUTED_VALUE"""),1336.81)</f>
        <v/>
      </c>
      <c r="AH1739" s="6">
        <f>AI1739&amp;AJ1739</f>
        <v/>
      </c>
      <c r="AI1739" s="6">
        <f>YEAR(AK1739)</f>
        <v/>
      </c>
      <c r="AJ1739" s="6">
        <f>MONTH(AK1739)</f>
        <v/>
      </c>
      <c r="AK1739" s="267">
        <f>IFERROR(__xludf.DUMMYFUNCTION("""COMPUTED_VALUE"""),44832.9986111111)</f>
        <v/>
      </c>
      <c r="AL1739" s="6">
        <f>IFERROR(__xludf.DUMMYFUNCTION("""COMPUTED_VALUE"""),19413.34)</f>
        <v/>
      </c>
      <c r="AP1739" s="6">
        <f>AQ1739&amp;AR1739</f>
        <v/>
      </c>
      <c r="AQ1739" s="6">
        <f>YEAR(AS1739)</f>
        <v/>
      </c>
      <c r="AR1739" s="6">
        <f>MONTH(AS1739)</f>
        <v/>
      </c>
      <c r="AS1739" s="267">
        <f>IFERROR(__xludf.DUMMYFUNCTION("""COMPUTED_VALUE"""),45630.9986111111)</f>
        <v/>
      </c>
      <c r="AT1739" s="6">
        <f>IFERROR(__xludf.DUMMYFUNCTION("""COMPUTED_VALUE"""),2676.2)</f>
        <v/>
      </c>
    </row>
    <row r="1740">
      <c r="B1740" s="6">
        <f>C1740&amp;D1740</f>
        <v/>
      </c>
      <c r="C1740" s="6">
        <f>YEAR(E1740)</f>
        <v/>
      </c>
      <c r="D1740" s="6">
        <f>MONTH(E1740)</f>
        <v/>
      </c>
      <c r="E1740" s="267">
        <f>IFERROR(__xludf.DUMMYFUNCTION("""COMPUTED_VALUE"""),45623.6666666666)</f>
        <v/>
      </c>
      <c r="F1740" s="6">
        <f>IFERROR(__xludf.DUMMYFUNCTION("""COMPUTED_VALUE"""),5998.74)</f>
        <v/>
      </c>
      <c r="J1740" s="6">
        <f>K1740&amp;L1740</f>
        <v/>
      </c>
      <c r="K1740" s="6">
        <f>YEAR(M1740)</f>
        <v/>
      </c>
      <c r="L1740" s="6">
        <f>MONTH(M1740)</f>
        <v/>
      </c>
      <c r="M1740" s="267">
        <f>IFERROR(__xludf.DUMMYFUNCTION("""COMPUTED_VALUE"""),45616.6666666666)</f>
        <v/>
      </c>
      <c r="N1740" s="6">
        <f>IFERROR(__xludf.DUMMYFUNCTION("""COMPUTED_VALUE"""),18966.14)</f>
        <v/>
      </c>
      <c r="R1740" s="6">
        <f>S1740&amp;T1740</f>
        <v/>
      </c>
      <c r="S1740" s="6">
        <f>YEAR(U1740)</f>
        <v/>
      </c>
      <c r="T1740" s="6">
        <f>MONTH(U1740)</f>
        <v/>
      </c>
      <c r="U1740" s="267">
        <f>IFERROR(__xludf.DUMMYFUNCTION("""COMPUTED_VALUE"""),45693.6458333333)</f>
        <v/>
      </c>
      <c r="V1740" s="6">
        <f>IFERROR(__xludf.DUMMYFUNCTION("""COMPUTED_VALUE"""),2509.27)</f>
        <v/>
      </c>
      <c r="Z1740" s="6">
        <f>AA1740&amp;AB1740</f>
        <v/>
      </c>
      <c r="AA1740" s="6">
        <f>YEAR(AC1740)</f>
        <v/>
      </c>
      <c r="AB1740" s="6">
        <f>MONTH(AC1740)</f>
        <v/>
      </c>
      <c r="AC1740" s="267">
        <f>IFERROR(__xludf.DUMMYFUNCTION("""COMPUTED_VALUE"""),44889.9986111111)</f>
        <v/>
      </c>
      <c r="AD1740" s="6">
        <f>IFERROR(__xludf.DUMMYFUNCTION("""COMPUTED_VALUE"""),1317.89)</f>
        <v/>
      </c>
      <c r="AH1740" s="6">
        <f>AI1740&amp;AJ1740</f>
        <v/>
      </c>
      <c r="AI1740" s="6">
        <f>YEAR(AK1740)</f>
        <v/>
      </c>
      <c r="AJ1740" s="6">
        <f>MONTH(AK1740)</f>
        <v/>
      </c>
      <c r="AK1740" s="267">
        <f>IFERROR(__xludf.DUMMYFUNCTION("""COMPUTED_VALUE"""),44833.9986111111)</f>
        <v/>
      </c>
      <c r="AL1740" s="6">
        <f>IFERROR(__xludf.DUMMYFUNCTION("""COMPUTED_VALUE"""),19592.01)</f>
        <v/>
      </c>
      <c r="AP1740" s="6">
        <f>AQ1740&amp;AR1740</f>
        <v/>
      </c>
      <c r="AQ1740" s="6">
        <f>YEAR(AS1740)</f>
        <v/>
      </c>
      <c r="AR1740" s="6">
        <f>MONTH(AS1740)</f>
        <v/>
      </c>
      <c r="AS1740" s="267">
        <f>IFERROR(__xludf.DUMMYFUNCTION("""COMPUTED_VALUE"""),45631.9986111111)</f>
        <v/>
      </c>
      <c r="AT1740" s="6">
        <f>IFERROR(__xludf.DUMMYFUNCTION("""COMPUTED_VALUE"""),2648.4)</f>
        <v/>
      </c>
    </row>
    <row r="1741">
      <c r="B1741" s="6">
        <f>C1741&amp;D1741</f>
        <v/>
      </c>
      <c r="C1741" s="6">
        <f>YEAR(E1741)</f>
        <v/>
      </c>
      <c r="D1741" s="6">
        <f>MONTH(E1741)</f>
        <v/>
      </c>
      <c r="E1741" s="267">
        <f>IFERROR(__xludf.DUMMYFUNCTION("""COMPUTED_VALUE"""),45625.5416666666)</f>
        <v/>
      </c>
      <c r="F1741" s="6">
        <f>IFERROR(__xludf.DUMMYFUNCTION("""COMPUTED_VALUE"""),6032.38)</f>
        <v/>
      </c>
      <c r="J1741" s="6">
        <f>K1741&amp;L1741</f>
        <v/>
      </c>
      <c r="K1741" s="6">
        <f>YEAR(M1741)</f>
        <v/>
      </c>
      <c r="L1741" s="6">
        <f>MONTH(M1741)</f>
        <v/>
      </c>
      <c r="M1741" s="267">
        <f>IFERROR(__xludf.DUMMYFUNCTION("""COMPUTED_VALUE"""),45617.6666666666)</f>
        <v/>
      </c>
      <c r="N1741" s="6">
        <f>IFERROR(__xludf.DUMMYFUNCTION("""COMPUTED_VALUE"""),18972.42)</f>
        <v/>
      </c>
      <c r="R1741" s="6">
        <f>S1741&amp;T1741</f>
        <v/>
      </c>
      <c r="S1741" s="6">
        <f>YEAR(U1741)</f>
        <v/>
      </c>
      <c r="T1741" s="6">
        <f>MONTH(U1741)</f>
        <v/>
      </c>
      <c r="U1741" s="267">
        <f>IFERROR(__xludf.DUMMYFUNCTION("""COMPUTED_VALUE"""),45694.6458333333)</f>
        <v/>
      </c>
      <c r="V1741" s="6">
        <f>IFERROR(__xludf.DUMMYFUNCTION("""COMPUTED_VALUE"""),2536.75)</f>
        <v/>
      </c>
      <c r="Z1741" s="6">
        <f>AA1741&amp;AB1741</f>
        <v/>
      </c>
      <c r="AA1741" s="6">
        <f>YEAR(AC1741)</f>
        <v/>
      </c>
      <c r="AB1741" s="6">
        <f>MONTH(AC1741)</f>
        <v/>
      </c>
      <c r="AC1741" s="267">
        <f>IFERROR(__xludf.DUMMYFUNCTION("""COMPUTED_VALUE"""),44890.9986111111)</f>
        <v/>
      </c>
      <c r="AD1741" s="6">
        <f>IFERROR(__xludf.DUMMYFUNCTION("""COMPUTED_VALUE"""),1334.56)</f>
        <v/>
      </c>
      <c r="AH1741" s="6">
        <f>AI1741&amp;AJ1741</f>
        <v/>
      </c>
      <c r="AI1741" s="6">
        <f>YEAR(AK1741)</f>
        <v/>
      </c>
      <c r="AJ1741" s="6">
        <f>MONTH(AK1741)</f>
        <v/>
      </c>
      <c r="AK1741" s="267">
        <f>IFERROR(__xludf.DUMMYFUNCTION("""COMPUTED_VALUE"""),44834.9986111111)</f>
        <v/>
      </c>
      <c r="AL1741" s="6">
        <f>IFERROR(__xludf.DUMMYFUNCTION("""COMPUTED_VALUE"""),19424.58)</f>
        <v/>
      </c>
      <c r="AP1741" s="6">
        <f>AQ1741&amp;AR1741</f>
        <v/>
      </c>
      <c r="AQ1741" s="6">
        <f>YEAR(AS1741)</f>
        <v/>
      </c>
      <c r="AR1741" s="6">
        <f>MONTH(AS1741)</f>
        <v/>
      </c>
      <c r="AS1741" s="267">
        <f>IFERROR(__xludf.DUMMYFUNCTION("""COMPUTED_VALUE"""),45632.9986111111)</f>
        <v/>
      </c>
      <c r="AT1741" s="6">
        <f>IFERROR(__xludf.DUMMYFUNCTION("""COMPUTED_VALUE"""),2659.6)</f>
        <v/>
      </c>
    </row>
    <row r="1742">
      <c r="B1742" s="6">
        <f>C1742&amp;D1742</f>
        <v/>
      </c>
      <c r="C1742" s="6">
        <f>YEAR(E1742)</f>
        <v/>
      </c>
      <c r="D1742" s="6">
        <f>MONTH(E1742)</f>
        <v/>
      </c>
      <c r="E1742" s="267">
        <f>IFERROR(__xludf.DUMMYFUNCTION("""COMPUTED_VALUE"""),45628.6666666666)</f>
        <v/>
      </c>
      <c r="F1742" s="6">
        <f>IFERROR(__xludf.DUMMYFUNCTION("""COMPUTED_VALUE"""),6047.15)</f>
        <v/>
      </c>
      <c r="J1742" s="6">
        <f>K1742&amp;L1742</f>
        <v/>
      </c>
      <c r="K1742" s="6">
        <f>YEAR(M1742)</f>
        <v/>
      </c>
      <c r="L1742" s="6">
        <f>MONTH(M1742)</f>
        <v/>
      </c>
      <c r="M1742" s="267">
        <f>IFERROR(__xludf.DUMMYFUNCTION("""COMPUTED_VALUE"""),45618.6666666666)</f>
        <v/>
      </c>
      <c r="N1742" s="6">
        <f>IFERROR(__xludf.DUMMYFUNCTION("""COMPUTED_VALUE"""),19003.65)</f>
        <v/>
      </c>
      <c r="R1742" s="6">
        <f>S1742&amp;T1742</f>
        <v/>
      </c>
      <c r="S1742" s="6">
        <f>YEAR(U1742)</f>
        <v/>
      </c>
      <c r="T1742" s="6">
        <f>MONTH(U1742)</f>
        <v/>
      </c>
      <c r="U1742" s="267">
        <f>IFERROR(__xludf.DUMMYFUNCTION("""COMPUTED_VALUE"""),45695.6458333333)</f>
        <v/>
      </c>
      <c r="V1742" s="6">
        <f>IFERROR(__xludf.DUMMYFUNCTION("""COMPUTED_VALUE"""),2521.92)</f>
        <v/>
      </c>
      <c r="Z1742" s="6">
        <f>AA1742&amp;AB1742</f>
        <v/>
      </c>
      <c r="AA1742" s="6">
        <f>YEAR(AC1742)</f>
        <v/>
      </c>
      <c r="AB1742" s="6">
        <f>MONTH(AC1742)</f>
        <v/>
      </c>
      <c r="AC1742" s="267">
        <f>IFERROR(__xludf.DUMMYFUNCTION("""COMPUTED_VALUE"""),44891.9986111111)</f>
        <v/>
      </c>
      <c r="AD1742" s="6">
        <f>IFERROR(__xludf.DUMMYFUNCTION("""COMPUTED_VALUE"""),1334.56)</f>
        <v/>
      </c>
      <c r="AH1742" s="6">
        <f>AI1742&amp;AJ1742</f>
        <v/>
      </c>
      <c r="AI1742" s="6">
        <f>YEAR(AK1742)</f>
        <v/>
      </c>
      <c r="AJ1742" s="6">
        <f>MONTH(AK1742)</f>
        <v/>
      </c>
      <c r="AK1742" s="267">
        <f>IFERROR(__xludf.DUMMYFUNCTION("""COMPUTED_VALUE"""),44835.9986111111)</f>
        <v/>
      </c>
      <c r="AL1742" s="6">
        <f>IFERROR(__xludf.DUMMYFUNCTION("""COMPUTED_VALUE"""),19313.35)</f>
        <v/>
      </c>
      <c r="AP1742" s="6">
        <f>AQ1742&amp;AR1742</f>
        <v/>
      </c>
      <c r="AQ1742" s="6">
        <f>YEAR(AS1742)</f>
        <v/>
      </c>
      <c r="AR1742" s="6">
        <f>MONTH(AS1742)</f>
        <v/>
      </c>
      <c r="AS1742" s="267">
        <f>IFERROR(__xludf.DUMMYFUNCTION("""COMPUTED_VALUE"""),45635.9986111111)</f>
        <v/>
      </c>
      <c r="AT1742" s="6">
        <f>IFERROR(__xludf.DUMMYFUNCTION("""COMPUTED_VALUE"""),2685.8)</f>
        <v/>
      </c>
    </row>
    <row r="1743">
      <c r="B1743" s="6">
        <f>C1743&amp;D1743</f>
        <v/>
      </c>
      <c r="C1743" s="6">
        <f>YEAR(E1743)</f>
        <v/>
      </c>
      <c r="D1743" s="6">
        <f>MONTH(E1743)</f>
        <v/>
      </c>
      <c r="E1743" s="267">
        <f>IFERROR(__xludf.DUMMYFUNCTION("""COMPUTED_VALUE"""),45629.6666666666)</f>
        <v/>
      </c>
      <c r="F1743" s="6">
        <f>IFERROR(__xludf.DUMMYFUNCTION("""COMPUTED_VALUE"""),6049.88)</f>
        <v/>
      </c>
      <c r="J1743" s="6">
        <f>K1743&amp;L1743</f>
        <v/>
      </c>
      <c r="K1743" s="6">
        <f>YEAR(M1743)</f>
        <v/>
      </c>
      <c r="L1743" s="6">
        <f>MONTH(M1743)</f>
        <v/>
      </c>
      <c r="M1743" s="267">
        <f>IFERROR(__xludf.DUMMYFUNCTION("""COMPUTED_VALUE"""),45621.6666666666)</f>
        <v/>
      </c>
      <c r="N1743" s="6">
        <f>IFERROR(__xludf.DUMMYFUNCTION("""COMPUTED_VALUE"""),19054.84)</f>
        <v/>
      </c>
      <c r="R1743" s="6">
        <f>S1743&amp;T1743</f>
        <v/>
      </c>
      <c r="S1743" s="6">
        <f>YEAR(U1743)</f>
        <v/>
      </c>
      <c r="T1743" s="6">
        <f>MONTH(U1743)</f>
        <v/>
      </c>
      <c r="U1743" s="267">
        <f>IFERROR(__xludf.DUMMYFUNCTION("""COMPUTED_VALUE"""),45698.6458333333)</f>
        <v/>
      </c>
      <c r="V1743" s="6">
        <f>IFERROR(__xludf.DUMMYFUNCTION("""COMPUTED_VALUE"""),2521.27)</f>
        <v/>
      </c>
      <c r="Z1743" s="6">
        <f>AA1743&amp;AB1743</f>
        <v/>
      </c>
      <c r="AA1743" s="6">
        <f>YEAR(AC1743)</f>
        <v/>
      </c>
      <c r="AB1743" s="6">
        <f>MONTH(AC1743)</f>
        <v/>
      </c>
      <c r="AC1743" s="267">
        <f>IFERROR(__xludf.DUMMYFUNCTION("""COMPUTED_VALUE"""),44892.9986111111)</f>
        <v/>
      </c>
      <c r="AD1743" s="6">
        <f>IFERROR(__xludf.DUMMYFUNCTION("""COMPUTED_VALUE"""),1334.56)</f>
        <v/>
      </c>
      <c r="AH1743" s="6">
        <f>AI1743&amp;AJ1743</f>
        <v/>
      </c>
      <c r="AI1743" s="6">
        <f>YEAR(AK1743)</f>
        <v/>
      </c>
      <c r="AJ1743" s="6">
        <f>MONTH(AK1743)</f>
        <v/>
      </c>
      <c r="AK1743" s="267">
        <f>IFERROR(__xludf.DUMMYFUNCTION("""COMPUTED_VALUE"""),44836.9986111111)</f>
        <v/>
      </c>
      <c r="AL1743" s="6">
        <f>IFERROR(__xludf.DUMMYFUNCTION("""COMPUTED_VALUE"""),19049.65)</f>
        <v/>
      </c>
      <c r="AP1743" s="6">
        <f>AQ1743&amp;AR1743</f>
        <v/>
      </c>
      <c r="AQ1743" s="6">
        <f>YEAR(AS1743)</f>
        <v/>
      </c>
      <c r="AR1743" s="6">
        <f>MONTH(AS1743)</f>
        <v/>
      </c>
      <c r="AS1743" s="267">
        <f>IFERROR(__xludf.DUMMYFUNCTION("""COMPUTED_VALUE"""),45636.9986111111)</f>
        <v/>
      </c>
      <c r="AT1743" s="6">
        <f>IFERROR(__xludf.DUMMYFUNCTION("""COMPUTED_VALUE"""),2718.4)</f>
        <v/>
      </c>
    </row>
    <row r="1744">
      <c r="B1744" s="6">
        <f>C1744&amp;D1744</f>
        <v/>
      </c>
      <c r="C1744" s="6">
        <f>YEAR(E1744)</f>
        <v/>
      </c>
      <c r="D1744" s="6">
        <f>MONTH(E1744)</f>
        <v/>
      </c>
      <c r="E1744" s="267">
        <f>IFERROR(__xludf.DUMMYFUNCTION("""COMPUTED_VALUE"""),45630.6666666666)</f>
        <v/>
      </c>
      <c r="F1744" s="6">
        <f>IFERROR(__xludf.DUMMYFUNCTION("""COMPUTED_VALUE"""),6086.49)</f>
        <v/>
      </c>
      <c r="J1744" s="6">
        <f>K1744&amp;L1744</f>
        <v/>
      </c>
      <c r="K1744" s="6">
        <f>YEAR(M1744)</f>
        <v/>
      </c>
      <c r="L1744" s="6">
        <f>MONTH(M1744)</f>
        <v/>
      </c>
      <c r="M1744" s="267">
        <f>IFERROR(__xludf.DUMMYFUNCTION("""COMPUTED_VALUE"""),45622.6666666666)</f>
        <v/>
      </c>
      <c r="N1744" s="6">
        <f>IFERROR(__xludf.DUMMYFUNCTION("""COMPUTED_VALUE"""),19175.58)</f>
        <v/>
      </c>
      <c r="R1744" s="6">
        <f>S1744&amp;T1744</f>
        <v/>
      </c>
      <c r="S1744" s="6">
        <f>YEAR(U1744)</f>
        <v/>
      </c>
      <c r="T1744" s="6">
        <f>MONTH(U1744)</f>
        <v/>
      </c>
      <c r="U1744" s="267">
        <f>IFERROR(__xludf.DUMMYFUNCTION("""COMPUTED_VALUE"""),45699.6458333333)</f>
        <v/>
      </c>
      <c r="V1744" s="6">
        <f>IFERROR(__xludf.DUMMYFUNCTION("""COMPUTED_VALUE"""),2539.05)</f>
        <v/>
      </c>
      <c r="Z1744" s="6">
        <f>AA1744&amp;AB1744</f>
        <v/>
      </c>
      <c r="AA1744" s="6">
        <f>YEAR(AC1744)</f>
        <v/>
      </c>
      <c r="AB1744" s="6">
        <f>MONTH(AC1744)</f>
        <v/>
      </c>
      <c r="AC1744" s="267">
        <f>IFERROR(__xludf.DUMMYFUNCTION("""COMPUTED_VALUE"""),44893.9986111111)</f>
        <v/>
      </c>
      <c r="AD1744" s="6">
        <f>IFERROR(__xludf.DUMMYFUNCTION("""COMPUTED_VALUE"""),1340.12)</f>
        <v/>
      </c>
      <c r="AH1744" s="6">
        <f>AI1744&amp;AJ1744</f>
        <v/>
      </c>
      <c r="AI1744" s="6">
        <f>YEAR(AK1744)</f>
        <v/>
      </c>
      <c r="AJ1744" s="6">
        <f>MONTH(AK1744)</f>
        <v/>
      </c>
      <c r="AK1744" s="267">
        <f>IFERROR(__xludf.DUMMYFUNCTION("""COMPUTED_VALUE"""),44837.9986111111)</f>
        <v/>
      </c>
      <c r="AL1744" s="6">
        <f>IFERROR(__xludf.DUMMYFUNCTION("""COMPUTED_VALUE"""),19628.51)</f>
        <v/>
      </c>
      <c r="AP1744" s="6">
        <f>AQ1744&amp;AR1744</f>
        <v/>
      </c>
      <c r="AQ1744" s="6">
        <f>YEAR(AS1744)</f>
        <v/>
      </c>
      <c r="AR1744" s="6">
        <f>MONTH(AS1744)</f>
        <v/>
      </c>
      <c r="AS1744" s="267">
        <f>IFERROR(__xludf.DUMMYFUNCTION("""COMPUTED_VALUE"""),45637.9986111111)</f>
        <v/>
      </c>
      <c r="AT1744" s="6">
        <f>IFERROR(__xludf.DUMMYFUNCTION("""COMPUTED_VALUE"""),2756.7)</f>
        <v/>
      </c>
    </row>
    <row r="1745">
      <c r="B1745" s="6">
        <f>C1745&amp;D1745</f>
        <v/>
      </c>
      <c r="C1745" s="6">
        <f>YEAR(E1745)</f>
        <v/>
      </c>
      <c r="D1745" s="6">
        <f>MONTH(E1745)</f>
        <v/>
      </c>
      <c r="E1745" s="267">
        <f>IFERROR(__xludf.DUMMYFUNCTION("""COMPUTED_VALUE"""),45631.6666666666)</f>
        <v/>
      </c>
      <c r="F1745" s="6">
        <f>IFERROR(__xludf.DUMMYFUNCTION("""COMPUTED_VALUE"""),6075.11)</f>
        <v/>
      </c>
      <c r="J1745" s="6">
        <f>K1745&amp;L1745</f>
        <v/>
      </c>
      <c r="K1745" s="6">
        <f>YEAR(M1745)</f>
        <v/>
      </c>
      <c r="L1745" s="6">
        <f>MONTH(M1745)</f>
        <v/>
      </c>
      <c r="M1745" s="267">
        <f>IFERROR(__xludf.DUMMYFUNCTION("""COMPUTED_VALUE"""),45623.6666666666)</f>
        <v/>
      </c>
      <c r="N1745" s="6">
        <f>IFERROR(__xludf.DUMMYFUNCTION("""COMPUTED_VALUE"""),19060.48)</f>
        <v/>
      </c>
      <c r="R1745" s="6">
        <f>S1745&amp;T1745</f>
        <v/>
      </c>
      <c r="S1745" s="6">
        <f>YEAR(U1745)</f>
        <v/>
      </c>
      <c r="T1745" s="6">
        <f>MONTH(U1745)</f>
        <v/>
      </c>
      <c r="U1745" s="267">
        <f>IFERROR(__xludf.DUMMYFUNCTION("""COMPUTED_VALUE"""),45700.6458333333)</f>
        <v/>
      </c>
      <c r="V1745" s="6">
        <f>IFERROR(__xludf.DUMMYFUNCTION("""COMPUTED_VALUE"""),2548.39)</f>
        <v/>
      </c>
      <c r="Z1745" s="6">
        <f>AA1745&amp;AB1745</f>
        <v/>
      </c>
      <c r="AA1745" s="6">
        <f>YEAR(AC1745)</f>
        <v/>
      </c>
      <c r="AB1745" s="6">
        <f>MONTH(AC1745)</f>
        <v/>
      </c>
      <c r="AC1745" s="267">
        <f>IFERROR(__xludf.DUMMYFUNCTION("""COMPUTED_VALUE"""),44894.9986111111)</f>
        <v/>
      </c>
      <c r="AD1745" s="6">
        <f>IFERROR(__xludf.DUMMYFUNCTION("""COMPUTED_VALUE"""),1325.37)</f>
        <v/>
      </c>
      <c r="AH1745" s="6">
        <f>AI1745&amp;AJ1745</f>
        <v/>
      </c>
      <c r="AI1745" s="6">
        <f>YEAR(AK1745)</f>
        <v/>
      </c>
      <c r="AJ1745" s="6">
        <f>MONTH(AK1745)</f>
        <v/>
      </c>
      <c r="AK1745" s="267">
        <f>IFERROR(__xludf.DUMMYFUNCTION("""COMPUTED_VALUE"""),44838.9986111111)</f>
        <v/>
      </c>
      <c r="AL1745" s="6">
        <f>IFERROR(__xludf.DUMMYFUNCTION("""COMPUTED_VALUE"""),20339.85)</f>
        <v/>
      </c>
      <c r="AP1745" s="6">
        <f>AQ1745&amp;AR1745</f>
        <v/>
      </c>
      <c r="AQ1745" s="6">
        <f>YEAR(AS1745)</f>
        <v/>
      </c>
      <c r="AR1745" s="6">
        <f>MONTH(AS1745)</f>
        <v/>
      </c>
      <c r="AS1745" s="267">
        <f>IFERROR(__xludf.DUMMYFUNCTION("""COMPUTED_VALUE"""),45638.9986111111)</f>
        <v/>
      </c>
      <c r="AT1745" s="6">
        <f>IFERROR(__xludf.DUMMYFUNCTION("""COMPUTED_VALUE"""),2709.4)</f>
        <v/>
      </c>
    </row>
    <row r="1746">
      <c r="B1746" s="6">
        <f>C1746&amp;D1746</f>
        <v/>
      </c>
      <c r="C1746" s="6">
        <f>YEAR(E1746)</f>
        <v/>
      </c>
      <c r="D1746" s="6">
        <f>MONTH(E1746)</f>
        <v/>
      </c>
      <c r="E1746" s="267">
        <f>IFERROR(__xludf.DUMMYFUNCTION("""COMPUTED_VALUE"""),45632.6666666666)</f>
        <v/>
      </c>
      <c r="F1746" s="6">
        <f>IFERROR(__xludf.DUMMYFUNCTION("""COMPUTED_VALUE"""),6090.27)</f>
        <v/>
      </c>
      <c r="J1746" s="6">
        <f>K1746&amp;L1746</f>
        <v/>
      </c>
      <c r="K1746" s="6">
        <f>YEAR(M1746)</f>
        <v/>
      </c>
      <c r="L1746" s="6">
        <f>MONTH(M1746)</f>
        <v/>
      </c>
      <c r="M1746" s="267">
        <f>IFERROR(__xludf.DUMMYFUNCTION("""COMPUTED_VALUE"""),45625.5451388888)</f>
        <v/>
      </c>
      <c r="N1746" s="6">
        <f>IFERROR(__xludf.DUMMYFUNCTION("""COMPUTED_VALUE"""),19218.17)</f>
        <v/>
      </c>
      <c r="R1746" s="6">
        <f>S1746&amp;T1746</f>
        <v/>
      </c>
      <c r="S1746" s="6">
        <f>YEAR(U1746)</f>
        <v/>
      </c>
      <c r="T1746" s="6">
        <f>MONTH(U1746)</f>
        <v/>
      </c>
      <c r="U1746" s="267">
        <f>IFERROR(__xludf.DUMMYFUNCTION("""COMPUTED_VALUE"""),45701.6458333333)</f>
        <v/>
      </c>
      <c r="V1746" s="6">
        <f>IFERROR(__xludf.DUMMYFUNCTION("""COMPUTED_VALUE"""),2583.17)</f>
        <v/>
      </c>
      <c r="Z1746" s="6">
        <f>AA1746&amp;AB1746</f>
        <v/>
      </c>
      <c r="AA1746" s="6">
        <f>YEAR(AC1746)</f>
        <v/>
      </c>
      <c r="AB1746" s="6">
        <f>MONTH(AC1746)</f>
        <v/>
      </c>
      <c r="AC1746" s="267">
        <f>IFERROR(__xludf.DUMMYFUNCTION("""COMPUTED_VALUE"""),44895.9986111111)</f>
        <v/>
      </c>
      <c r="AD1746" s="6">
        <f>IFERROR(__xludf.DUMMYFUNCTION("""COMPUTED_VALUE"""),1279.8)</f>
        <v/>
      </c>
      <c r="AH1746" s="6">
        <f>AI1746&amp;AJ1746</f>
        <v/>
      </c>
      <c r="AI1746" s="6">
        <f>YEAR(AK1746)</f>
        <v/>
      </c>
      <c r="AJ1746" s="6">
        <f>MONTH(AK1746)</f>
        <v/>
      </c>
      <c r="AK1746" s="267">
        <f>IFERROR(__xludf.DUMMYFUNCTION("""COMPUTED_VALUE"""),44839.9986111111)</f>
        <v/>
      </c>
      <c r="AL1746" s="6">
        <f>IFERROR(__xludf.DUMMYFUNCTION("""COMPUTED_VALUE"""),20159.57)</f>
        <v/>
      </c>
      <c r="AP1746" s="6">
        <f>AQ1746&amp;AR1746</f>
        <v/>
      </c>
      <c r="AQ1746" s="6">
        <f>YEAR(AS1746)</f>
        <v/>
      </c>
      <c r="AR1746" s="6">
        <f>MONTH(AS1746)</f>
        <v/>
      </c>
      <c r="AS1746" s="267">
        <f>IFERROR(__xludf.DUMMYFUNCTION("""COMPUTED_VALUE"""),45639.9986111111)</f>
        <v/>
      </c>
      <c r="AT1746" s="6">
        <f>IFERROR(__xludf.DUMMYFUNCTION("""COMPUTED_VALUE"""),2675.8)</f>
        <v/>
      </c>
    </row>
    <row r="1747">
      <c r="B1747" s="6">
        <f>C1747&amp;D1747</f>
        <v/>
      </c>
      <c r="C1747" s="6">
        <f>YEAR(E1747)</f>
        <v/>
      </c>
      <c r="D1747" s="6">
        <f>MONTH(E1747)</f>
        <v/>
      </c>
      <c r="E1747" s="267">
        <f>IFERROR(__xludf.DUMMYFUNCTION("""COMPUTED_VALUE"""),45635.6666666666)</f>
        <v/>
      </c>
      <c r="F1747" s="6">
        <f>IFERROR(__xludf.DUMMYFUNCTION("""COMPUTED_VALUE"""),6052.85)</f>
        <v/>
      </c>
      <c r="J1747" s="6">
        <f>K1747&amp;L1747</f>
        <v/>
      </c>
      <c r="K1747" s="6">
        <f>YEAR(M1747)</f>
        <v/>
      </c>
      <c r="L1747" s="6">
        <f>MONTH(M1747)</f>
        <v/>
      </c>
      <c r="M1747" s="267">
        <f>IFERROR(__xludf.DUMMYFUNCTION("""COMPUTED_VALUE"""),45628.6666666666)</f>
        <v/>
      </c>
      <c r="N1747" s="6">
        <f>IFERROR(__xludf.DUMMYFUNCTION("""COMPUTED_VALUE"""),19403.95)</f>
        <v/>
      </c>
      <c r="R1747" s="6">
        <f>S1747&amp;T1747</f>
        <v/>
      </c>
      <c r="S1747" s="6">
        <f>YEAR(U1747)</f>
        <v/>
      </c>
      <c r="T1747" s="6">
        <f>MONTH(U1747)</f>
        <v/>
      </c>
      <c r="U1747" s="267">
        <f>IFERROR(__xludf.DUMMYFUNCTION("""COMPUTED_VALUE"""),45702.6458333333)</f>
        <v/>
      </c>
      <c r="V1747" s="6">
        <f>IFERROR(__xludf.DUMMYFUNCTION("""COMPUTED_VALUE"""),2591.05)</f>
        <v/>
      </c>
      <c r="Z1747" s="6">
        <f>AA1747&amp;AB1747</f>
        <v/>
      </c>
      <c r="AA1747" s="6">
        <f>YEAR(AC1747)</f>
        <v/>
      </c>
      <c r="AB1747" s="6">
        <f>MONTH(AC1747)</f>
        <v/>
      </c>
      <c r="AC1747" s="267">
        <f>IFERROR(__xludf.DUMMYFUNCTION("""COMPUTED_VALUE"""),44896.9986111111)</f>
        <v/>
      </c>
      <c r="AD1747" s="6">
        <f>IFERROR(__xludf.DUMMYFUNCTION("""COMPUTED_VALUE"""),1303.25)</f>
        <v/>
      </c>
      <c r="AH1747" s="6">
        <f>AI1747&amp;AJ1747</f>
        <v/>
      </c>
      <c r="AI1747" s="6">
        <f>YEAR(AK1747)</f>
        <v/>
      </c>
      <c r="AJ1747" s="6">
        <f>MONTH(AK1747)</f>
        <v/>
      </c>
      <c r="AK1747" s="267">
        <f>IFERROR(__xludf.DUMMYFUNCTION("""COMPUTED_VALUE"""),44840.9986111111)</f>
        <v/>
      </c>
      <c r="AL1747" s="6">
        <f>IFERROR(__xludf.DUMMYFUNCTION("""COMPUTED_VALUE"""),19961.14)</f>
        <v/>
      </c>
      <c r="AP1747" s="6">
        <f>AQ1747&amp;AR1747</f>
        <v/>
      </c>
      <c r="AQ1747" s="6">
        <f>YEAR(AS1747)</f>
        <v/>
      </c>
      <c r="AR1747" s="6">
        <f>MONTH(AS1747)</f>
        <v/>
      </c>
      <c r="AS1747" s="267">
        <f>IFERROR(__xludf.DUMMYFUNCTION("""COMPUTED_VALUE"""),45642.9986111111)</f>
        <v/>
      </c>
      <c r="AT1747" s="6">
        <f>IFERROR(__xludf.DUMMYFUNCTION("""COMPUTED_VALUE"""),2670)</f>
        <v/>
      </c>
    </row>
    <row r="1748">
      <c r="B1748" s="6">
        <f>C1748&amp;D1748</f>
        <v/>
      </c>
      <c r="C1748" s="6">
        <f>YEAR(E1748)</f>
        <v/>
      </c>
      <c r="D1748" s="6">
        <f>MONTH(E1748)</f>
        <v/>
      </c>
      <c r="E1748" s="267">
        <f>IFERROR(__xludf.DUMMYFUNCTION("""COMPUTED_VALUE"""),45636.6666666666)</f>
        <v/>
      </c>
      <c r="F1748" s="6">
        <f>IFERROR(__xludf.DUMMYFUNCTION("""COMPUTED_VALUE"""),6034.91)</f>
        <v/>
      </c>
      <c r="J1748" s="6">
        <f>K1748&amp;L1748</f>
        <v/>
      </c>
      <c r="K1748" s="6">
        <f>YEAR(M1748)</f>
        <v/>
      </c>
      <c r="L1748" s="6">
        <f>MONTH(M1748)</f>
        <v/>
      </c>
      <c r="M1748" s="267">
        <f>IFERROR(__xludf.DUMMYFUNCTION("""COMPUTED_VALUE"""),45629.6666666666)</f>
        <v/>
      </c>
      <c r="N1748" s="6">
        <f>IFERROR(__xludf.DUMMYFUNCTION("""COMPUTED_VALUE"""),19480.91)</f>
        <v/>
      </c>
      <c r="R1748" s="6">
        <f>S1748&amp;T1748</f>
        <v/>
      </c>
      <c r="S1748" s="6">
        <f>YEAR(U1748)</f>
        <v/>
      </c>
      <c r="T1748" s="6">
        <f>MONTH(U1748)</f>
        <v/>
      </c>
      <c r="U1748" s="267">
        <f>IFERROR(__xludf.DUMMYFUNCTION("""COMPUTED_VALUE"""),45705.6458333333)</f>
        <v/>
      </c>
      <c r="V1748" s="6">
        <f>IFERROR(__xludf.DUMMYFUNCTION("""COMPUTED_VALUE"""),2610.42)</f>
        <v/>
      </c>
      <c r="Z1748" s="6">
        <f>AA1748&amp;AB1748</f>
        <v/>
      </c>
      <c r="AA1748" s="6">
        <f>YEAR(AC1748)</f>
        <v/>
      </c>
      <c r="AB1748" s="6">
        <f>MONTH(AC1748)</f>
        <v/>
      </c>
      <c r="AC1748" s="267">
        <f>IFERROR(__xludf.DUMMYFUNCTION("""COMPUTED_VALUE"""),44897.9986111111)</f>
        <v/>
      </c>
      <c r="AD1748" s="6">
        <f>IFERROR(__xludf.DUMMYFUNCTION("""COMPUTED_VALUE"""),1297.8)</f>
        <v/>
      </c>
      <c r="AH1748" s="6">
        <f>AI1748&amp;AJ1748</f>
        <v/>
      </c>
      <c r="AI1748" s="6">
        <f>YEAR(AK1748)</f>
        <v/>
      </c>
      <c r="AJ1748" s="6">
        <f>MONTH(AK1748)</f>
        <v/>
      </c>
      <c r="AK1748" s="267">
        <f>IFERROR(__xludf.DUMMYFUNCTION("""COMPUTED_VALUE"""),44841.9986111111)</f>
        <v/>
      </c>
      <c r="AL1748" s="6">
        <f>IFERROR(__xludf.DUMMYFUNCTION("""COMPUTED_VALUE"""),19531.26)</f>
        <v/>
      </c>
      <c r="AP1748" s="6">
        <f>AQ1748&amp;AR1748</f>
        <v/>
      </c>
      <c r="AQ1748" s="6">
        <f>YEAR(AS1748)</f>
        <v/>
      </c>
      <c r="AR1748" s="6">
        <f>MONTH(AS1748)</f>
        <v/>
      </c>
      <c r="AS1748" s="267">
        <f>IFERROR(__xludf.DUMMYFUNCTION("""COMPUTED_VALUE"""),45643.9986111111)</f>
        <v/>
      </c>
      <c r="AT1748" s="6">
        <f>IFERROR(__xludf.DUMMYFUNCTION("""COMPUTED_VALUE"""),2662)</f>
        <v/>
      </c>
    </row>
    <row r="1749">
      <c r="B1749" s="6">
        <f>C1749&amp;D1749</f>
        <v/>
      </c>
      <c r="C1749" s="6">
        <f>YEAR(E1749)</f>
        <v/>
      </c>
      <c r="D1749" s="6">
        <f>MONTH(E1749)</f>
        <v/>
      </c>
      <c r="E1749" s="267">
        <f>IFERROR(__xludf.DUMMYFUNCTION("""COMPUTED_VALUE"""),45637.6666666666)</f>
        <v/>
      </c>
      <c r="F1749" s="6">
        <f>IFERROR(__xludf.DUMMYFUNCTION("""COMPUTED_VALUE"""),6084.19)</f>
        <v/>
      </c>
      <c r="J1749" s="6">
        <f>K1749&amp;L1749</f>
        <v/>
      </c>
      <c r="K1749" s="6">
        <f>YEAR(M1749)</f>
        <v/>
      </c>
      <c r="L1749" s="6">
        <f>MONTH(M1749)</f>
        <v/>
      </c>
      <c r="M1749" s="267">
        <f>IFERROR(__xludf.DUMMYFUNCTION("""COMPUTED_VALUE"""),45630.6666666666)</f>
        <v/>
      </c>
      <c r="N1749" s="6">
        <f>IFERROR(__xludf.DUMMYFUNCTION("""COMPUTED_VALUE"""),19735.12)</f>
        <v/>
      </c>
      <c r="R1749" s="6">
        <f>S1749&amp;T1749</f>
        <v/>
      </c>
      <c r="S1749" s="6">
        <f>YEAR(U1749)</f>
        <v/>
      </c>
      <c r="T1749" s="6">
        <f>MONTH(U1749)</f>
        <v/>
      </c>
      <c r="U1749" s="267">
        <f>IFERROR(__xludf.DUMMYFUNCTION("""COMPUTED_VALUE"""),45706.6458333333)</f>
        <v/>
      </c>
      <c r="V1749" s="6">
        <f>IFERROR(__xludf.DUMMYFUNCTION("""COMPUTED_VALUE"""),2626.81)</f>
        <v/>
      </c>
      <c r="Z1749" s="6">
        <f>AA1749&amp;AB1749</f>
        <v/>
      </c>
      <c r="AA1749" s="6">
        <f>YEAR(AC1749)</f>
        <v/>
      </c>
      <c r="AB1749" s="6">
        <f>MONTH(AC1749)</f>
        <v/>
      </c>
      <c r="AC1749" s="267">
        <f>IFERROR(__xludf.DUMMYFUNCTION("""COMPUTED_VALUE"""),44898.9986111111)</f>
        <v/>
      </c>
      <c r="AD1749" s="6">
        <f>IFERROR(__xludf.DUMMYFUNCTION("""COMPUTED_VALUE"""),1298)</f>
        <v/>
      </c>
      <c r="AH1749" s="6">
        <f>AI1749&amp;AJ1749</f>
        <v/>
      </c>
      <c r="AI1749" s="6">
        <f>YEAR(AK1749)</f>
        <v/>
      </c>
      <c r="AJ1749" s="6">
        <f>MONTH(AK1749)</f>
        <v/>
      </c>
      <c r="AK1749" s="267">
        <f>IFERROR(__xludf.DUMMYFUNCTION("""COMPUTED_VALUE"""),44842.9986111111)</f>
        <v/>
      </c>
      <c r="AL1749" s="6">
        <f>IFERROR(__xludf.DUMMYFUNCTION("""COMPUTED_VALUE"""),19415.62)</f>
        <v/>
      </c>
      <c r="AP1749" s="6">
        <f>AQ1749&amp;AR1749</f>
        <v/>
      </c>
      <c r="AQ1749" s="6">
        <f>YEAR(AS1749)</f>
        <v/>
      </c>
      <c r="AR1749" s="6">
        <f>MONTH(AS1749)</f>
        <v/>
      </c>
      <c r="AS1749" s="267">
        <f>IFERROR(__xludf.DUMMYFUNCTION("""COMPUTED_VALUE"""),45644.9986111111)</f>
        <v/>
      </c>
      <c r="AT1749" s="6">
        <f>IFERROR(__xludf.DUMMYFUNCTION("""COMPUTED_VALUE"""),2653.3)</f>
        <v/>
      </c>
    </row>
    <row r="1750">
      <c r="B1750" s="6">
        <f>C1750&amp;D1750</f>
        <v/>
      </c>
      <c r="C1750" s="6">
        <f>YEAR(E1750)</f>
        <v/>
      </c>
      <c r="D1750" s="6">
        <f>MONTH(E1750)</f>
        <v/>
      </c>
      <c r="E1750" s="267">
        <f>IFERROR(__xludf.DUMMYFUNCTION("""COMPUTED_VALUE"""),45638.6666666666)</f>
        <v/>
      </c>
      <c r="F1750" s="6">
        <f>IFERROR(__xludf.DUMMYFUNCTION("""COMPUTED_VALUE"""),6051.25)</f>
        <v/>
      </c>
      <c r="J1750" s="6">
        <f>K1750&amp;L1750</f>
        <v/>
      </c>
      <c r="K1750" s="6">
        <f>YEAR(M1750)</f>
        <v/>
      </c>
      <c r="L1750" s="6">
        <f>MONTH(M1750)</f>
        <v/>
      </c>
      <c r="M1750" s="267">
        <f>IFERROR(__xludf.DUMMYFUNCTION("""COMPUTED_VALUE"""),45631.6666666666)</f>
        <v/>
      </c>
      <c r="N1750" s="6">
        <f>IFERROR(__xludf.DUMMYFUNCTION("""COMPUTED_VALUE"""),19700.72)</f>
        <v/>
      </c>
      <c r="R1750" s="6">
        <f>S1750&amp;T1750</f>
        <v/>
      </c>
      <c r="S1750" s="6">
        <f>YEAR(U1750)</f>
        <v/>
      </c>
      <c r="T1750" s="6">
        <f>MONTH(U1750)</f>
        <v/>
      </c>
      <c r="U1750" s="267">
        <f>IFERROR(__xludf.DUMMYFUNCTION("""COMPUTED_VALUE"""),45707.6458333333)</f>
        <v/>
      </c>
      <c r="V1750" s="6">
        <f>IFERROR(__xludf.DUMMYFUNCTION("""COMPUTED_VALUE"""),2671.52)</f>
        <v/>
      </c>
      <c r="Z1750" s="6">
        <f>AA1750&amp;AB1750</f>
        <v/>
      </c>
      <c r="AA1750" s="6">
        <f>YEAR(AC1750)</f>
        <v/>
      </c>
      <c r="AB1750" s="6">
        <f>MONTH(AC1750)</f>
        <v/>
      </c>
      <c r="AC1750" s="267">
        <f>IFERROR(__xludf.DUMMYFUNCTION("""COMPUTED_VALUE"""),44899.9986111111)</f>
        <v/>
      </c>
      <c r="AD1750" s="6">
        <f>IFERROR(__xludf.DUMMYFUNCTION("""COMPUTED_VALUE"""),1299.17)</f>
        <v/>
      </c>
      <c r="AH1750" s="6">
        <f>AI1750&amp;AJ1750</f>
        <v/>
      </c>
      <c r="AI1750" s="6">
        <f>YEAR(AK1750)</f>
        <v/>
      </c>
      <c r="AJ1750" s="6">
        <f>MONTH(AK1750)</f>
        <v/>
      </c>
      <c r="AK1750" s="267">
        <f>IFERROR(__xludf.DUMMYFUNCTION("""COMPUTED_VALUE"""),44843.9986111111)</f>
        <v/>
      </c>
      <c r="AL1750" s="6">
        <f>IFERROR(__xludf.DUMMYFUNCTION("""COMPUTED_VALUE"""),19442.08)</f>
        <v/>
      </c>
      <c r="AP1750" s="6">
        <f>AQ1750&amp;AR1750</f>
        <v/>
      </c>
      <c r="AQ1750" s="6">
        <f>YEAR(AS1750)</f>
        <v/>
      </c>
      <c r="AR1750" s="6">
        <f>MONTH(AS1750)</f>
        <v/>
      </c>
      <c r="AS1750" s="267">
        <f>IFERROR(__xludf.DUMMYFUNCTION("""COMPUTED_VALUE"""),45645.9986111111)</f>
        <v/>
      </c>
      <c r="AT1750" s="6">
        <f>IFERROR(__xludf.DUMMYFUNCTION("""COMPUTED_VALUE"""),2608.1)</f>
        <v/>
      </c>
    </row>
    <row r="1751">
      <c r="B1751" s="6">
        <f>C1751&amp;D1751</f>
        <v/>
      </c>
      <c r="C1751" s="6">
        <f>YEAR(E1751)</f>
        <v/>
      </c>
      <c r="D1751" s="6">
        <f>MONTH(E1751)</f>
        <v/>
      </c>
      <c r="E1751" s="267">
        <f>IFERROR(__xludf.DUMMYFUNCTION("""COMPUTED_VALUE"""),45639.6666666666)</f>
        <v/>
      </c>
      <c r="F1751" s="6">
        <f>IFERROR(__xludf.DUMMYFUNCTION("""COMPUTED_VALUE"""),6051.09)</f>
        <v/>
      </c>
      <c r="J1751" s="6">
        <f>K1751&amp;L1751</f>
        <v/>
      </c>
      <c r="K1751" s="6">
        <f>YEAR(M1751)</f>
        <v/>
      </c>
      <c r="L1751" s="6">
        <f>MONTH(M1751)</f>
        <v/>
      </c>
      <c r="M1751" s="267">
        <f>IFERROR(__xludf.DUMMYFUNCTION("""COMPUTED_VALUE"""),45632.6666666666)</f>
        <v/>
      </c>
      <c r="N1751" s="6">
        <f>IFERROR(__xludf.DUMMYFUNCTION("""COMPUTED_VALUE"""),19859.77)</f>
        <v/>
      </c>
      <c r="R1751" s="6">
        <f>S1751&amp;T1751</f>
        <v/>
      </c>
      <c r="S1751" s="6">
        <f>YEAR(U1751)</f>
        <v/>
      </c>
      <c r="T1751" s="6">
        <f>MONTH(U1751)</f>
        <v/>
      </c>
      <c r="U1751" s="267">
        <f>IFERROR(__xludf.DUMMYFUNCTION("""COMPUTED_VALUE"""),45708.6458333333)</f>
        <v/>
      </c>
      <c r="V1751" s="6">
        <f>IFERROR(__xludf.DUMMYFUNCTION("""COMPUTED_VALUE"""),2654.06)</f>
        <v/>
      </c>
      <c r="Z1751" s="6">
        <f>AA1751&amp;AB1751</f>
        <v/>
      </c>
      <c r="AA1751" s="6">
        <f>YEAR(AC1751)</f>
        <v/>
      </c>
      <c r="AB1751" s="6">
        <f>MONTH(AC1751)</f>
        <v/>
      </c>
      <c r="AC1751" s="267">
        <f>IFERROR(__xludf.DUMMYFUNCTION("""COMPUTED_VALUE"""),44900.9986111111)</f>
        <v/>
      </c>
      <c r="AD1751" s="6">
        <f>IFERROR(__xludf.DUMMYFUNCTION("""COMPUTED_VALUE"""),1304.37)</f>
        <v/>
      </c>
      <c r="AH1751" s="6">
        <f>AI1751&amp;AJ1751</f>
        <v/>
      </c>
      <c r="AI1751" s="6">
        <f>YEAR(AK1751)</f>
        <v/>
      </c>
      <c r="AJ1751" s="6">
        <f>MONTH(AK1751)</f>
        <v/>
      </c>
      <c r="AK1751" s="267">
        <f>IFERROR(__xludf.DUMMYFUNCTION("""COMPUTED_VALUE"""),44844.9986111111)</f>
        <v/>
      </c>
      <c r="AL1751" s="6">
        <f>IFERROR(__xludf.DUMMYFUNCTION("""COMPUTED_VALUE"""),19130.02)</f>
        <v/>
      </c>
      <c r="AP1751" s="6">
        <f>AQ1751&amp;AR1751</f>
        <v/>
      </c>
      <c r="AQ1751" s="6">
        <f>YEAR(AS1751)</f>
        <v/>
      </c>
      <c r="AR1751" s="6">
        <f>MONTH(AS1751)</f>
        <v/>
      </c>
      <c r="AS1751" s="267">
        <f>IFERROR(__xludf.DUMMYFUNCTION("""COMPUTED_VALUE"""),45646.9986111111)</f>
        <v/>
      </c>
      <c r="AT1751" s="6">
        <f>IFERROR(__xludf.DUMMYFUNCTION("""COMPUTED_VALUE"""),2645.1)</f>
        <v/>
      </c>
    </row>
    <row r="1752">
      <c r="B1752" s="6">
        <f>C1752&amp;D1752</f>
        <v/>
      </c>
      <c r="C1752" s="6">
        <f>YEAR(E1752)</f>
        <v/>
      </c>
      <c r="D1752" s="6">
        <f>MONTH(E1752)</f>
        <v/>
      </c>
      <c r="E1752" s="267">
        <f>IFERROR(__xludf.DUMMYFUNCTION("""COMPUTED_VALUE"""),45642.6666666666)</f>
        <v/>
      </c>
      <c r="F1752" s="6">
        <f>IFERROR(__xludf.DUMMYFUNCTION("""COMPUTED_VALUE"""),6074.08)</f>
        <v/>
      </c>
      <c r="J1752" s="6">
        <f>K1752&amp;L1752</f>
        <v/>
      </c>
      <c r="K1752" s="6">
        <f>YEAR(M1752)</f>
        <v/>
      </c>
      <c r="L1752" s="6">
        <f>MONTH(M1752)</f>
        <v/>
      </c>
      <c r="M1752" s="267">
        <f>IFERROR(__xludf.DUMMYFUNCTION("""COMPUTED_VALUE"""),45635.6666666666)</f>
        <v/>
      </c>
      <c r="N1752" s="6">
        <f>IFERROR(__xludf.DUMMYFUNCTION("""COMPUTED_VALUE"""),19736.69)</f>
        <v/>
      </c>
      <c r="R1752" s="6">
        <f>S1752&amp;T1752</f>
        <v/>
      </c>
      <c r="S1752" s="6">
        <f>YEAR(U1752)</f>
        <v/>
      </c>
      <c r="T1752" s="6">
        <f>MONTH(U1752)</f>
        <v/>
      </c>
      <c r="U1752" s="267">
        <f>IFERROR(__xludf.DUMMYFUNCTION("""COMPUTED_VALUE"""),45709.6458333333)</f>
        <v/>
      </c>
      <c r="V1752" s="6">
        <f>IFERROR(__xludf.DUMMYFUNCTION("""COMPUTED_VALUE"""),2654.58)</f>
        <v/>
      </c>
      <c r="Z1752" s="6">
        <f>AA1752&amp;AB1752</f>
        <v/>
      </c>
      <c r="AA1752" s="6">
        <f>YEAR(AC1752)</f>
        <v/>
      </c>
      <c r="AB1752" s="6">
        <f>MONTH(AC1752)</f>
        <v/>
      </c>
      <c r="AC1752" s="267">
        <f>IFERROR(__xludf.DUMMYFUNCTION("""COMPUTED_VALUE"""),44901.9986111111)</f>
        <v/>
      </c>
      <c r="AD1752" s="6">
        <f>IFERROR(__xludf.DUMMYFUNCTION("""COMPUTED_VALUE"""),1319.71)</f>
        <v/>
      </c>
      <c r="AH1752" s="6">
        <f>AI1752&amp;AJ1752</f>
        <v/>
      </c>
      <c r="AI1752" s="6">
        <f>YEAR(AK1752)</f>
        <v/>
      </c>
      <c r="AJ1752" s="6">
        <f>MONTH(AK1752)</f>
        <v/>
      </c>
      <c r="AK1752" s="267">
        <f>IFERROR(__xludf.DUMMYFUNCTION("""COMPUTED_VALUE"""),44845.9986111111)</f>
        <v/>
      </c>
      <c r="AL1752" s="6">
        <f>IFERROR(__xludf.DUMMYFUNCTION("""COMPUTED_VALUE"""),19058.85)</f>
        <v/>
      </c>
      <c r="AP1752" s="6">
        <f>AQ1752&amp;AR1752</f>
        <v/>
      </c>
      <c r="AQ1752" s="6">
        <f>YEAR(AS1752)</f>
        <v/>
      </c>
      <c r="AR1752" s="6">
        <f>MONTH(AS1752)</f>
        <v/>
      </c>
      <c r="AS1752" s="267">
        <f>IFERROR(__xludf.DUMMYFUNCTION("""COMPUTED_VALUE"""),45649.9986111111)</f>
        <v/>
      </c>
      <c r="AT1752" s="6">
        <f>IFERROR(__xludf.DUMMYFUNCTION("""COMPUTED_VALUE"""),2628.2)</f>
        <v/>
      </c>
    </row>
    <row r="1753">
      <c r="B1753" s="6">
        <f>C1753&amp;D1753</f>
        <v/>
      </c>
      <c r="C1753" s="6">
        <f>YEAR(E1753)</f>
        <v/>
      </c>
      <c r="D1753" s="6">
        <f>MONTH(E1753)</f>
        <v/>
      </c>
      <c r="E1753" s="267">
        <f>IFERROR(__xludf.DUMMYFUNCTION("""COMPUTED_VALUE"""),45643.6666666666)</f>
        <v/>
      </c>
      <c r="F1753" s="6">
        <f>IFERROR(__xludf.DUMMYFUNCTION("""COMPUTED_VALUE"""),6050.61)</f>
        <v/>
      </c>
      <c r="J1753" s="6">
        <f>K1753&amp;L1753</f>
        <v/>
      </c>
      <c r="K1753" s="6">
        <f>YEAR(M1753)</f>
        <v/>
      </c>
      <c r="L1753" s="6">
        <f>MONTH(M1753)</f>
        <v/>
      </c>
      <c r="M1753" s="267">
        <f>IFERROR(__xludf.DUMMYFUNCTION("""COMPUTED_VALUE"""),45636.6666666666)</f>
        <v/>
      </c>
      <c r="N1753" s="6">
        <f>IFERROR(__xludf.DUMMYFUNCTION("""COMPUTED_VALUE"""),19687.24)</f>
        <v/>
      </c>
      <c r="R1753" s="6">
        <f>S1753&amp;T1753</f>
        <v/>
      </c>
      <c r="S1753" s="6">
        <f>YEAR(U1753)</f>
        <v/>
      </c>
      <c r="T1753" s="6">
        <f>MONTH(U1753)</f>
        <v/>
      </c>
      <c r="U1753" s="267">
        <f>IFERROR(__xludf.DUMMYFUNCTION("""COMPUTED_VALUE"""),45712.6458333333)</f>
        <v/>
      </c>
      <c r="V1753" s="6">
        <f>IFERROR(__xludf.DUMMYFUNCTION("""COMPUTED_VALUE"""),2645.27)</f>
        <v/>
      </c>
      <c r="Z1753" s="6">
        <f>AA1753&amp;AB1753</f>
        <v/>
      </c>
      <c r="AA1753" s="6">
        <f>YEAR(AC1753)</f>
        <v/>
      </c>
      <c r="AB1753" s="6">
        <f>MONTH(AC1753)</f>
        <v/>
      </c>
      <c r="AC1753" s="267">
        <f>IFERROR(__xludf.DUMMYFUNCTION("""COMPUTED_VALUE"""),44902.9986111111)</f>
        <v/>
      </c>
      <c r="AD1753" s="6">
        <f>IFERROR(__xludf.DUMMYFUNCTION("""COMPUTED_VALUE"""),1314.1)</f>
        <v/>
      </c>
      <c r="AH1753" s="6">
        <f>AI1753&amp;AJ1753</f>
        <v/>
      </c>
      <c r="AI1753" s="6">
        <f>YEAR(AK1753)</f>
        <v/>
      </c>
      <c r="AJ1753" s="6">
        <f>MONTH(AK1753)</f>
        <v/>
      </c>
      <c r="AK1753" s="267">
        <f>IFERROR(__xludf.DUMMYFUNCTION("""COMPUTED_VALUE"""),44846.9986111111)</f>
        <v/>
      </c>
      <c r="AL1753" s="6">
        <f>IFERROR(__xludf.DUMMYFUNCTION("""COMPUTED_VALUE"""),19154.69)</f>
        <v/>
      </c>
      <c r="AP1753" s="6">
        <f>AQ1753&amp;AR1753</f>
        <v/>
      </c>
      <c r="AQ1753" s="6">
        <f>YEAR(AS1753)</f>
        <v/>
      </c>
      <c r="AR1753" s="6">
        <f>MONTH(AS1753)</f>
        <v/>
      </c>
      <c r="AS1753" s="267">
        <f>IFERROR(__xludf.DUMMYFUNCTION("""COMPUTED_VALUE"""),45650.5416666666)</f>
        <v/>
      </c>
      <c r="AT1753" s="6">
        <f>IFERROR(__xludf.DUMMYFUNCTION("""COMPUTED_VALUE"""),2635.5)</f>
        <v/>
      </c>
    </row>
    <row r="1754">
      <c r="B1754" s="6">
        <f>C1754&amp;D1754</f>
        <v/>
      </c>
      <c r="C1754" s="6">
        <f>YEAR(E1754)</f>
        <v/>
      </c>
      <c r="D1754" s="6">
        <f>MONTH(E1754)</f>
        <v/>
      </c>
      <c r="E1754" s="267">
        <f>IFERROR(__xludf.DUMMYFUNCTION("""COMPUTED_VALUE"""),45644.6666666666)</f>
        <v/>
      </c>
      <c r="F1754" s="6">
        <f>IFERROR(__xludf.DUMMYFUNCTION("""COMPUTED_VALUE"""),5872.16)</f>
        <v/>
      </c>
      <c r="J1754" s="6">
        <f>K1754&amp;L1754</f>
        <v/>
      </c>
      <c r="K1754" s="6">
        <f>YEAR(M1754)</f>
        <v/>
      </c>
      <c r="L1754" s="6">
        <f>MONTH(M1754)</f>
        <v/>
      </c>
      <c r="M1754" s="267">
        <f>IFERROR(__xludf.DUMMYFUNCTION("""COMPUTED_VALUE"""),45637.6666666666)</f>
        <v/>
      </c>
      <c r="N1754" s="6">
        <f>IFERROR(__xludf.DUMMYFUNCTION("""COMPUTED_VALUE"""),20034.89)</f>
        <v/>
      </c>
      <c r="R1754" s="6">
        <f>S1754&amp;T1754</f>
        <v/>
      </c>
      <c r="S1754" s="6">
        <f>YEAR(U1754)</f>
        <v/>
      </c>
      <c r="T1754" s="6">
        <f>MONTH(U1754)</f>
        <v/>
      </c>
      <c r="U1754" s="267">
        <f>IFERROR(__xludf.DUMMYFUNCTION("""COMPUTED_VALUE"""),45713.6458333333)</f>
        <v/>
      </c>
      <c r="V1754" s="6">
        <f>IFERROR(__xludf.DUMMYFUNCTION("""COMPUTED_VALUE"""),2630.29)</f>
        <v/>
      </c>
      <c r="Z1754" s="6">
        <f>AA1754&amp;AB1754</f>
        <v/>
      </c>
      <c r="AA1754" s="6">
        <f>YEAR(AC1754)</f>
        <v/>
      </c>
      <c r="AB1754" s="6">
        <f>MONTH(AC1754)</f>
        <v/>
      </c>
      <c r="AC1754" s="267">
        <f>IFERROR(__xludf.DUMMYFUNCTION("""COMPUTED_VALUE"""),44903.9986111111)</f>
        <v/>
      </c>
      <c r="AD1754" s="6">
        <f>IFERROR(__xludf.DUMMYFUNCTION("""COMPUTED_VALUE"""),1316.63)</f>
        <v/>
      </c>
      <c r="AH1754" s="6">
        <f>AI1754&amp;AJ1754</f>
        <v/>
      </c>
      <c r="AI1754" s="6">
        <f>YEAR(AK1754)</f>
        <v/>
      </c>
      <c r="AJ1754" s="6">
        <f>MONTH(AK1754)</f>
        <v/>
      </c>
      <c r="AK1754" s="267">
        <f>IFERROR(__xludf.DUMMYFUNCTION("""COMPUTED_VALUE"""),44847.9986111111)</f>
        <v/>
      </c>
      <c r="AL1754" s="6">
        <f>IFERROR(__xludf.DUMMYFUNCTION("""COMPUTED_VALUE"""),19379.66)</f>
        <v/>
      </c>
      <c r="AP1754" s="6">
        <f>AQ1754&amp;AR1754</f>
        <v/>
      </c>
      <c r="AQ1754" s="6">
        <f>YEAR(AS1754)</f>
        <v/>
      </c>
      <c r="AR1754" s="6">
        <f>MONTH(AS1754)</f>
        <v/>
      </c>
      <c r="AS1754" s="267">
        <f>IFERROR(__xludf.DUMMYFUNCTION("""COMPUTED_VALUE"""),45652.9986111111)</f>
        <v/>
      </c>
      <c r="AT1754" s="6">
        <f>IFERROR(__xludf.DUMMYFUNCTION("""COMPUTED_VALUE"""),2653.9)</f>
        <v/>
      </c>
    </row>
    <row r="1755">
      <c r="B1755" s="6">
        <f>C1755&amp;D1755</f>
        <v/>
      </c>
      <c r="C1755" s="6">
        <f>YEAR(E1755)</f>
        <v/>
      </c>
      <c r="D1755" s="6">
        <f>MONTH(E1755)</f>
        <v/>
      </c>
      <c r="E1755" s="267">
        <f>IFERROR(__xludf.DUMMYFUNCTION("""COMPUTED_VALUE"""),45645.6666666666)</f>
        <v/>
      </c>
      <c r="F1755" s="6">
        <f>IFERROR(__xludf.DUMMYFUNCTION("""COMPUTED_VALUE"""),5867.08)</f>
        <v/>
      </c>
      <c r="J1755" s="6">
        <f>K1755&amp;L1755</f>
        <v/>
      </c>
      <c r="K1755" s="6">
        <f>YEAR(M1755)</f>
        <v/>
      </c>
      <c r="L1755" s="6">
        <f>MONTH(M1755)</f>
        <v/>
      </c>
      <c r="M1755" s="267">
        <f>IFERROR(__xludf.DUMMYFUNCTION("""COMPUTED_VALUE"""),45638.6666666666)</f>
        <v/>
      </c>
      <c r="N1755" s="6">
        <f>IFERROR(__xludf.DUMMYFUNCTION("""COMPUTED_VALUE"""),19902.84)</f>
        <v/>
      </c>
      <c r="R1755" s="6">
        <f>S1755&amp;T1755</f>
        <v/>
      </c>
      <c r="S1755" s="6">
        <f>YEAR(U1755)</f>
        <v/>
      </c>
      <c r="T1755" s="6">
        <f>MONTH(U1755)</f>
        <v/>
      </c>
      <c r="U1755" s="267">
        <f>IFERROR(__xludf.DUMMYFUNCTION("""COMPUTED_VALUE"""),45714.6458333333)</f>
        <v/>
      </c>
      <c r="V1755" s="6">
        <f>IFERROR(__xludf.DUMMYFUNCTION("""COMPUTED_VALUE"""),2641.09)</f>
        <v/>
      </c>
      <c r="Z1755" s="6">
        <f>AA1755&amp;AB1755</f>
        <v/>
      </c>
      <c r="AA1755" s="6">
        <f>YEAR(AC1755)</f>
        <v/>
      </c>
      <c r="AB1755" s="6">
        <f>MONTH(AC1755)</f>
        <v/>
      </c>
      <c r="AC1755" s="267">
        <f>IFERROR(__xludf.DUMMYFUNCTION("""COMPUTED_VALUE"""),44904.9986111111)</f>
        <v/>
      </c>
      <c r="AD1755" s="6">
        <f>IFERROR(__xludf.DUMMYFUNCTION("""COMPUTED_VALUE"""),1303.17)</f>
        <v/>
      </c>
      <c r="AH1755" s="6">
        <f>AI1755&amp;AJ1755</f>
        <v/>
      </c>
      <c r="AI1755" s="6">
        <f>YEAR(AK1755)</f>
        <v/>
      </c>
      <c r="AJ1755" s="6">
        <f>MONTH(AK1755)</f>
        <v/>
      </c>
      <c r="AK1755" s="267">
        <f>IFERROR(__xludf.DUMMYFUNCTION("""COMPUTED_VALUE"""),44848.9986111111)</f>
        <v/>
      </c>
      <c r="AL1755" s="6">
        <f>IFERROR(__xludf.DUMMYFUNCTION("""COMPUTED_VALUE"""),19179.87)</f>
        <v/>
      </c>
      <c r="AP1755" s="6">
        <f>AQ1755&amp;AR1755</f>
        <v/>
      </c>
      <c r="AQ1755" s="6">
        <f>YEAR(AS1755)</f>
        <v/>
      </c>
      <c r="AR1755" s="6">
        <f>MONTH(AS1755)</f>
        <v/>
      </c>
      <c r="AS1755" s="267">
        <f>IFERROR(__xludf.DUMMYFUNCTION("""COMPUTED_VALUE"""),45653.9986111111)</f>
        <v/>
      </c>
      <c r="AT1755" s="6">
        <f>IFERROR(__xludf.DUMMYFUNCTION("""COMPUTED_VALUE"""),2631.9)</f>
        <v/>
      </c>
    </row>
    <row r="1756">
      <c r="B1756" s="6">
        <f>C1756&amp;D1756</f>
        <v/>
      </c>
      <c r="C1756" s="6">
        <f>YEAR(E1756)</f>
        <v/>
      </c>
      <c r="D1756" s="6">
        <f>MONTH(E1756)</f>
        <v/>
      </c>
      <c r="E1756" s="267">
        <f>IFERROR(__xludf.DUMMYFUNCTION("""COMPUTED_VALUE"""),45646.6666666666)</f>
        <v/>
      </c>
      <c r="F1756" s="6">
        <f>IFERROR(__xludf.DUMMYFUNCTION("""COMPUTED_VALUE"""),5930.85)</f>
        <v/>
      </c>
      <c r="J1756" s="6">
        <f>K1756&amp;L1756</f>
        <v/>
      </c>
      <c r="K1756" s="6">
        <f>YEAR(M1756)</f>
        <v/>
      </c>
      <c r="L1756" s="6">
        <f>MONTH(M1756)</f>
        <v/>
      </c>
      <c r="M1756" s="267">
        <f>IFERROR(__xludf.DUMMYFUNCTION("""COMPUTED_VALUE"""),45639.6666666666)</f>
        <v/>
      </c>
      <c r="N1756" s="6">
        <f>IFERROR(__xludf.DUMMYFUNCTION("""COMPUTED_VALUE"""),19926.72)</f>
        <v/>
      </c>
      <c r="R1756" s="6">
        <f>S1756&amp;T1756</f>
        <v/>
      </c>
      <c r="S1756" s="6">
        <f>YEAR(U1756)</f>
        <v/>
      </c>
      <c r="T1756" s="6">
        <f>MONTH(U1756)</f>
        <v/>
      </c>
      <c r="U1756" s="267">
        <f>IFERROR(__xludf.DUMMYFUNCTION("""COMPUTED_VALUE"""),45715.6458333333)</f>
        <v/>
      </c>
      <c r="V1756" s="6">
        <f>IFERROR(__xludf.DUMMYFUNCTION("""COMPUTED_VALUE"""),2621.75)</f>
        <v/>
      </c>
      <c r="Z1756" s="6">
        <f>AA1756&amp;AB1756</f>
        <v/>
      </c>
      <c r="AA1756" s="6">
        <f>YEAR(AC1756)</f>
        <v/>
      </c>
      <c r="AB1756" s="6">
        <f>MONTH(AC1756)</f>
        <v/>
      </c>
      <c r="AC1756" s="267">
        <f>IFERROR(__xludf.DUMMYFUNCTION("""COMPUTED_VALUE"""),44905.9986111111)</f>
        <v/>
      </c>
      <c r="AD1756" s="6">
        <f>IFERROR(__xludf.DUMMYFUNCTION("""COMPUTED_VALUE"""),1303.17)</f>
        <v/>
      </c>
      <c r="AH1756" s="6">
        <f>AI1756&amp;AJ1756</f>
        <v/>
      </c>
      <c r="AI1756" s="6">
        <f>YEAR(AK1756)</f>
        <v/>
      </c>
      <c r="AJ1756" s="6">
        <f>MONTH(AK1756)</f>
        <v/>
      </c>
      <c r="AK1756" s="267">
        <f>IFERROR(__xludf.DUMMYFUNCTION("""COMPUTED_VALUE"""),44849.9986111111)</f>
        <v/>
      </c>
      <c r="AL1756" s="6">
        <f>IFERROR(__xludf.DUMMYFUNCTION("""COMPUTED_VALUE"""),19067.66)</f>
        <v/>
      </c>
      <c r="AP1756" s="6">
        <f>AQ1756&amp;AR1756</f>
        <v/>
      </c>
      <c r="AQ1756" s="6">
        <f>YEAR(AS1756)</f>
        <v/>
      </c>
      <c r="AR1756" s="6">
        <f>MONTH(AS1756)</f>
        <v/>
      </c>
      <c r="AS1756" s="267">
        <f>IFERROR(__xludf.DUMMYFUNCTION("""COMPUTED_VALUE"""),45656.9986111111)</f>
        <v/>
      </c>
      <c r="AT1756" s="6">
        <f>IFERROR(__xludf.DUMMYFUNCTION("""COMPUTED_VALUE"""),2618.1)</f>
        <v/>
      </c>
    </row>
    <row r="1757">
      <c r="B1757" s="6">
        <f>C1757&amp;D1757</f>
        <v/>
      </c>
      <c r="C1757" s="6">
        <f>YEAR(E1757)</f>
        <v/>
      </c>
      <c r="D1757" s="6">
        <f>MONTH(E1757)</f>
        <v/>
      </c>
      <c r="E1757" s="267">
        <f>IFERROR(__xludf.DUMMYFUNCTION("""COMPUTED_VALUE"""),45649.6666666666)</f>
        <v/>
      </c>
      <c r="F1757" s="6">
        <f>IFERROR(__xludf.DUMMYFUNCTION("""COMPUTED_VALUE"""),5974.07)</f>
        <v/>
      </c>
      <c r="J1757" s="6">
        <f>K1757&amp;L1757</f>
        <v/>
      </c>
      <c r="K1757" s="6">
        <f>YEAR(M1757)</f>
        <v/>
      </c>
      <c r="L1757" s="6">
        <f>MONTH(M1757)</f>
        <v/>
      </c>
      <c r="M1757" s="267">
        <f>IFERROR(__xludf.DUMMYFUNCTION("""COMPUTED_VALUE"""),45642.6666666666)</f>
        <v/>
      </c>
      <c r="N1757" s="6">
        <f>IFERROR(__xludf.DUMMYFUNCTION("""COMPUTED_VALUE"""),20173.89)</f>
        <v/>
      </c>
      <c r="R1757" s="6">
        <f>S1757&amp;T1757</f>
        <v/>
      </c>
      <c r="S1757" s="6">
        <f>YEAR(U1757)</f>
        <v/>
      </c>
      <c r="T1757" s="6">
        <f>MONTH(U1757)</f>
        <v/>
      </c>
      <c r="U1757" s="267">
        <f>IFERROR(__xludf.DUMMYFUNCTION("""COMPUTED_VALUE"""),45716.6458333333)</f>
        <v/>
      </c>
      <c r="V1757" s="6">
        <f>IFERROR(__xludf.DUMMYFUNCTION("""COMPUTED_VALUE"""),2532.78)</f>
        <v/>
      </c>
      <c r="Z1757" s="6">
        <f>AA1757&amp;AB1757</f>
        <v/>
      </c>
      <c r="AA1757" s="6">
        <f>YEAR(AC1757)</f>
        <v/>
      </c>
      <c r="AB1757" s="6">
        <f>MONTH(AC1757)</f>
        <v/>
      </c>
      <c r="AC1757" s="267">
        <f>IFERROR(__xludf.DUMMYFUNCTION("""COMPUTED_VALUE"""),44906.9986111111)</f>
        <v/>
      </c>
      <c r="AD1757" s="6">
        <f>IFERROR(__xludf.DUMMYFUNCTION("""COMPUTED_VALUE"""),1303.17)</f>
        <v/>
      </c>
      <c r="AH1757" s="6">
        <f>AI1757&amp;AJ1757</f>
        <v/>
      </c>
      <c r="AI1757" s="6">
        <f>YEAR(AK1757)</f>
        <v/>
      </c>
      <c r="AJ1757" s="6">
        <f>MONTH(AK1757)</f>
        <v/>
      </c>
      <c r="AK1757" s="267">
        <f>IFERROR(__xludf.DUMMYFUNCTION("""COMPUTED_VALUE"""),44850.9986111111)</f>
        <v/>
      </c>
      <c r="AL1757" s="6">
        <f>IFERROR(__xludf.DUMMYFUNCTION("""COMPUTED_VALUE"""),19262.56)</f>
        <v/>
      </c>
      <c r="AP1757" s="6">
        <f>AQ1757&amp;AR1757</f>
        <v/>
      </c>
      <c r="AQ1757" s="6">
        <f>YEAR(AS1757)</f>
        <v/>
      </c>
      <c r="AR1757" s="6">
        <f>MONTH(AS1757)</f>
        <v/>
      </c>
      <c r="AS1757" s="267">
        <f>IFERROR(__xludf.DUMMYFUNCTION("""COMPUTED_VALUE"""),45657.9986111111)</f>
        <v/>
      </c>
      <c r="AT1757" s="6">
        <f>IFERROR(__xludf.DUMMYFUNCTION("""COMPUTED_VALUE"""),2641)</f>
        <v/>
      </c>
    </row>
    <row r="1758">
      <c r="B1758" s="6">
        <f>C1758&amp;D1758</f>
        <v/>
      </c>
      <c r="C1758" s="6">
        <f>YEAR(E1758)</f>
        <v/>
      </c>
      <c r="D1758" s="6">
        <f>MONTH(E1758)</f>
        <v/>
      </c>
      <c r="E1758" s="267">
        <f>IFERROR(__xludf.DUMMYFUNCTION("""COMPUTED_VALUE"""),45650.5416666666)</f>
        <v/>
      </c>
      <c r="F1758" s="6">
        <f>IFERROR(__xludf.DUMMYFUNCTION("""COMPUTED_VALUE"""),6040.04)</f>
        <v/>
      </c>
      <c r="J1758" s="6">
        <f>K1758&amp;L1758</f>
        <v/>
      </c>
      <c r="K1758" s="6">
        <f>YEAR(M1758)</f>
        <v/>
      </c>
      <c r="L1758" s="6">
        <f>MONTH(M1758)</f>
        <v/>
      </c>
      <c r="M1758" s="267">
        <f>IFERROR(__xludf.DUMMYFUNCTION("""COMPUTED_VALUE"""),45643.6666666666)</f>
        <v/>
      </c>
      <c r="N1758" s="6">
        <f>IFERROR(__xludf.DUMMYFUNCTION("""COMPUTED_VALUE"""),20109.06)</f>
        <v/>
      </c>
      <c r="R1758" s="6">
        <f>S1758&amp;T1758</f>
        <v/>
      </c>
      <c r="S1758" s="6">
        <f>YEAR(U1758)</f>
        <v/>
      </c>
      <c r="T1758" s="6">
        <f>MONTH(U1758)</f>
        <v/>
      </c>
      <c r="U1758" s="267">
        <f>IFERROR(__xludf.DUMMYFUNCTION("""COMPUTED_VALUE"""),45720.6458333333)</f>
        <v/>
      </c>
      <c r="V1758" s="6">
        <f>IFERROR(__xludf.DUMMYFUNCTION("""COMPUTED_VALUE"""),2528.92)</f>
        <v/>
      </c>
      <c r="Z1758" s="6">
        <f>AA1758&amp;AB1758</f>
        <v/>
      </c>
      <c r="AA1758" s="6">
        <f>YEAR(AC1758)</f>
        <v/>
      </c>
      <c r="AB1758" s="6">
        <f>MONTH(AC1758)</f>
        <v/>
      </c>
      <c r="AC1758" s="267">
        <f>IFERROR(__xludf.DUMMYFUNCTION("""COMPUTED_VALUE"""),44907.9986111111)</f>
        <v/>
      </c>
      <c r="AD1758" s="6">
        <f>IFERROR(__xludf.DUMMYFUNCTION("""COMPUTED_VALUE"""),1305.92)</f>
        <v/>
      </c>
      <c r="AH1758" s="6">
        <f>AI1758&amp;AJ1758</f>
        <v/>
      </c>
      <c r="AI1758" s="6">
        <f>YEAR(AK1758)</f>
        <v/>
      </c>
      <c r="AJ1758" s="6">
        <f>MONTH(AK1758)</f>
        <v/>
      </c>
      <c r="AK1758" s="267">
        <f>IFERROR(__xludf.DUMMYFUNCTION("""COMPUTED_VALUE"""),44851.9986111111)</f>
        <v/>
      </c>
      <c r="AL1758" s="6">
        <f>IFERROR(__xludf.DUMMYFUNCTION("""COMPUTED_VALUE"""),19548.49)</f>
        <v/>
      </c>
      <c r="AP1758" s="6">
        <f>AQ1758&amp;AR1758</f>
        <v/>
      </c>
      <c r="AQ1758" s="6">
        <f>YEAR(AS1758)</f>
        <v/>
      </c>
      <c r="AR1758" s="6">
        <f>MONTH(AS1758)</f>
        <v/>
      </c>
      <c r="AS1758" s="267">
        <f>IFERROR(__xludf.DUMMYFUNCTION("""COMPUTED_VALUE"""),45659.9986111111)</f>
        <v/>
      </c>
      <c r="AT1758" s="6">
        <f>IFERROR(__xludf.DUMMYFUNCTION("""COMPUTED_VALUE"""),2669)</f>
        <v/>
      </c>
    </row>
    <row r="1759">
      <c r="B1759" s="6">
        <f>C1759&amp;D1759</f>
        <v/>
      </c>
      <c r="C1759" s="6">
        <f>YEAR(E1759)</f>
        <v/>
      </c>
      <c r="D1759" s="6">
        <f>MONTH(E1759)</f>
        <v/>
      </c>
      <c r="E1759" s="267">
        <f>IFERROR(__xludf.DUMMYFUNCTION("""COMPUTED_VALUE"""),45652.6666666666)</f>
        <v/>
      </c>
      <c r="F1759" s="6">
        <f>IFERROR(__xludf.DUMMYFUNCTION("""COMPUTED_VALUE"""),6037.59)</f>
        <v/>
      </c>
      <c r="J1759" s="6">
        <f>K1759&amp;L1759</f>
        <v/>
      </c>
      <c r="K1759" s="6">
        <f>YEAR(M1759)</f>
        <v/>
      </c>
      <c r="L1759" s="6">
        <f>MONTH(M1759)</f>
        <v/>
      </c>
      <c r="M1759" s="267">
        <f>IFERROR(__xludf.DUMMYFUNCTION("""COMPUTED_VALUE"""),45644.6666666666)</f>
        <v/>
      </c>
      <c r="N1759" s="6">
        <f>IFERROR(__xludf.DUMMYFUNCTION("""COMPUTED_VALUE"""),19392.69)</f>
        <v/>
      </c>
      <c r="R1759" s="6">
        <f>S1759&amp;T1759</f>
        <v/>
      </c>
      <c r="S1759" s="6">
        <f>YEAR(U1759)</f>
        <v/>
      </c>
      <c r="T1759" s="6">
        <f>MONTH(U1759)</f>
        <v/>
      </c>
      <c r="U1759" s="267">
        <f>IFERROR(__xludf.DUMMYFUNCTION("""COMPUTED_VALUE"""),45721.6458333333)</f>
        <v/>
      </c>
      <c r="V1759" s="6">
        <f>IFERROR(__xludf.DUMMYFUNCTION("""COMPUTED_VALUE"""),2558.13)</f>
        <v/>
      </c>
      <c r="Z1759" s="6">
        <f>AA1759&amp;AB1759</f>
        <v/>
      </c>
      <c r="AA1759" s="6">
        <f>YEAR(AC1759)</f>
        <v/>
      </c>
      <c r="AB1759" s="6">
        <f>MONTH(AC1759)</f>
        <v/>
      </c>
      <c r="AC1759" s="267">
        <f>IFERROR(__xludf.DUMMYFUNCTION("""COMPUTED_VALUE"""),44908.9986111111)</f>
        <v/>
      </c>
      <c r="AD1759" s="6">
        <f>IFERROR(__xludf.DUMMYFUNCTION("""COMPUTED_VALUE"""),1288.98)</f>
        <v/>
      </c>
      <c r="AH1759" s="6">
        <f>AI1759&amp;AJ1759</f>
        <v/>
      </c>
      <c r="AI1759" s="6">
        <f>YEAR(AK1759)</f>
        <v/>
      </c>
      <c r="AJ1759" s="6">
        <f>MONTH(AK1759)</f>
        <v/>
      </c>
      <c r="AK1759" s="267">
        <f>IFERROR(__xludf.DUMMYFUNCTION("""COMPUTED_VALUE"""),44852.9986111111)</f>
        <v/>
      </c>
      <c r="AL1759" s="6">
        <f>IFERROR(__xludf.DUMMYFUNCTION("""COMPUTED_VALUE"""),19328.7)</f>
        <v/>
      </c>
      <c r="AP1759" s="6">
        <f>AQ1759&amp;AR1759</f>
        <v/>
      </c>
      <c r="AQ1759" s="6">
        <f>YEAR(AS1759)</f>
        <v/>
      </c>
      <c r="AR1759" s="6">
        <f>MONTH(AS1759)</f>
        <v/>
      </c>
      <c r="AS1759" s="267">
        <f>IFERROR(__xludf.DUMMYFUNCTION("""COMPUTED_VALUE"""),45660.9986111111)</f>
        <v/>
      </c>
      <c r="AT1759" s="6">
        <f>IFERROR(__xludf.DUMMYFUNCTION("""COMPUTED_VALUE"""),2654.7)</f>
        <v/>
      </c>
    </row>
    <row r="1760">
      <c r="B1760" s="6">
        <f>C1760&amp;D1760</f>
        <v/>
      </c>
      <c r="C1760" s="6">
        <f>YEAR(E1760)</f>
        <v/>
      </c>
      <c r="D1760" s="6">
        <f>MONTH(E1760)</f>
        <v/>
      </c>
      <c r="E1760" s="267">
        <f>IFERROR(__xludf.DUMMYFUNCTION("""COMPUTED_VALUE"""),45653.6666666666)</f>
        <v/>
      </c>
      <c r="F1760" s="6">
        <f>IFERROR(__xludf.DUMMYFUNCTION("""COMPUTED_VALUE"""),5970.84)</f>
        <v/>
      </c>
      <c r="J1760" s="6">
        <f>K1760&amp;L1760</f>
        <v/>
      </c>
      <c r="K1760" s="6">
        <f>YEAR(M1760)</f>
        <v/>
      </c>
      <c r="L1760" s="6">
        <f>MONTH(M1760)</f>
        <v/>
      </c>
      <c r="M1760" s="267">
        <f>IFERROR(__xludf.DUMMYFUNCTION("""COMPUTED_VALUE"""),45645.6666666666)</f>
        <v/>
      </c>
      <c r="N1760" s="6">
        <f>IFERROR(__xludf.DUMMYFUNCTION("""COMPUTED_VALUE"""),19372.77)</f>
        <v/>
      </c>
      <c r="R1760" s="6">
        <f>S1760&amp;T1760</f>
        <v/>
      </c>
      <c r="S1760" s="6">
        <f>YEAR(U1760)</f>
        <v/>
      </c>
      <c r="T1760" s="6">
        <f>MONTH(U1760)</f>
        <v/>
      </c>
      <c r="U1760" s="267">
        <f>IFERROR(__xludf.DUMMYFUNCTION("""COMPUTED_VALUE"""),45722.6458333333)</f>
        <v/>
      </c>
      <c r="V1760" s="6">
        <f>IFERROR(__xludf.DUMMYFUNCTION("""COMPUTED_VALUE"""),2576.16)</f>
        <v/>
      </c>
      <c r="Z1760" s="6">
        <f>AA1760&amp;AB1760</f>
        <v/>
      </c>
      <c r="AA1760" s="6">
        <f>YEAR(AC1760)</f>
        <v/>
      </c>
      <c r="AB1760" s="6">
        <f>MONTH(AC1760)</f>
        <v/>
      </c>
      <c r="AC1760" s="267">
        <f>IFERROR(__xludf.DUMMYFUNCTION("""COMPUTED_VALUE"""),44909.9986111111)</f>
        <v/>
      </c>
      <c r="AD1760" s="6">
        <f>IFERROR(__xludf.DUMMYFUNCTION("""COMPUTED_VALUE"""),1295.68)</f>
        <v/>
      </c>
      <c r="AH1760" s="6">
        <f>AI1760&amp;AJ1760</f>
        <v/>
      </c>
      <c r="AI1760" s="6">
        <f>YEAR(AK1760)</f>
        <v/>
      </c>
      <c r="AJ1760" s="6">
        <f>MONTH(AK1760)</f>
        <v/>
      </c>
      <c r="AK1760" s="267">
        <f>IFERROR(__xludf.DUMMYFUNCTION("""COMPUTED_VALUE"""),44853.9986111111)</f>
        <v/>
      </c>
      <c r="AL1760" s="6">
        <f>IFERROR(__xludf.DUMMYFUNCTION("""COMPUTED_VALUE"""),19124.24)</f>
        <v/>
      </c>
      <c r="AP1760" s="6">
        <f>AQ1760&amp;AR1760</f>
        <v/>
      </c>
      <c r="AQ1760" s="6">
        <f>YEAR(AS1760)</f>
        <v/>
      </c>
      <c r="AR1760" s="6">
        <f>MONTH(AS1760)</f>
        <v/>
      </c>
      <c r="AS1760" s="267">
        <f>IFERROR(__xludf.DUMMYFUNCTION("""COMPUTED_VALUE"""),45663.9986111111)</f>
        <v/>
      </c>
      <c r="AT1760" s="6">
        <f>IFERROR(__xludf.DUMMYFUNCTION("""COMPUTED_VALUE"""),2647.4)</f>
        <v/>
      </c>
    </row>
    <row r="1761">
      <c r="B1761" s="6">
        <f>C1761&amp;D1761</f>
        <v/>
      </c>
      <c r="C1761" s="6">
        <f>YEAR(E1761)</f>
        <v/>
      </c>
      <c r="D1761" s="6">
        <f>MONTH(E1761)</f>
        <v/>
      </c>
      <c r="E1761" s="267">
        <f>IFERROR(__xludf.DUMMYFUNCTION("""COMPUTED_VALUE"""),45656.6666666666)</f>
        <v/>
      </c>
      <c r="F1761" s="6">
        <f>IFERROR(__xludf.DUMMYFUNCTION("""COMPUTED_VALUE"""),5906.94)</f>
        <v/>
      </c>
      <c r="J1761" s="6">
        <f>K1761&amp;L1761</f>
        <v/>
      </c>
      <c r="K1761" s="6">
        <f>YEAR(M1761)</f>
        <v/>
      </c>
      <c r="L1761" s="6">
        <f>MONTH(M1761)</f>
        <v/>
      </c>
      <c r="M1761" s="267">
        <f>IFERROR(__xludf.DUMMYFUNCTION("""COMPUTED_VALUE"""),45646.6666666666)</f>
        <v/>
      </c>
      <c r="N1761" s="6">
        <f>IFERROR(__xludf.DUMMYFUNCTION("""COMPUTED_VALUE"""),19572.6)</f>
        <v/>
      </c>
      <c r="R1761" s="6">
        <f>S1761&amp;T1761</f>
        <v/>
      </c>
      <c r="S1761" s="6">
        <f>YEAR(U1761)</f>
        <v/>
      </c>
      <c r="T1761" s="6">
        <f>MONTH(U1761)</f>
        <v/>
      </c>
      <c r="U1761" s="267">
        <f>IFERROR(__xludf.DUMMYFUNCTION("""COMPUTED_VALUE"""),45723.6458333333)</f>
        <v/>
      </c>
      <c r="V1761" s="6">
        <f>IFERROR(__xludf.DUMMYFUNCTION("""COMPUTED_VALUE"""),2563.48)</f>
        <v/>
      </c>
      <c r="Z1761" s="6">
        <f>AA1761&amp;AB1761</f>
        <v/>
      </c>
      <c r="AA1761" s="6">
        <f>YEAR(AC1761)</f>
        <v/>
      </c>
      <c r="AB1761" s="6">
        <f>MONTH(AC1761)</f>
        <v/>
      </c>
      <c r="AC1761" s="267">
        <f>IFERROR(__xludf.DUMMYFUNCTION("""COMPUTED_VALUE"""),44910.9986111111)</f>
        <v/>
      </c>
      <c r="AD1761" s="6">
        <f>IFERROR(__xludf.DUMMYFUNCTION("""COMPUTED_VALUE"""),1317.1)</f>
        <v/>
      </c>
      <c r="AH1761" s="6">
        <f>AI1761&amp;AJ1761</f>
        <v/>
      </c>
      <c r="AI1761" s="6">
        <f>YEAR(AK1761)</f>
        <v/>
      </c>
      <c r="AJ1761" s="6">
        <f>MONTH(AK1761)</f>
        <v/>
      </c>
      <c r="AK1761" s="267">
        <f>IFERROR(__xludf.DUMMYFUNCTION("""COMPUTED_VALUE"""),44854.9986111111)</f>
        <v/>
      </c>
      <c r="AL1761" s="6">
        <f>IFERROR(__xludf.DUMMYFUNCTION("""COMPUTED_VALUE"""),19042.79)</f>
        <v/>
      </c>
      <c r="AP1761" s="6">
        <f>AQ1761&amp;AR1761</f>
        <v/>
      </c>
      <c r="AQ1761" s="6">
        <f>YEAR(AS1761)</f>
        <v/>
      </c>
      <c r="AR1761" s="6">
        <f>MONTH(AS1761)</f>
        <v/>
      </c>
      <c r="AS1761" s="267">
        <f>IFERROR(__xludf.DUMMYFUNCTION("""COMPUTED_VALUE"""),45664.9986111111)</f>
        <v/>
      </c>
      <c r="AT1761" s="6">
        <f>IFERROR(__xludf.DUMMYFUNCTION("""COMPUTED_VALUE"""),2665.4)</f>
        <v/>
      </c>
    </row>
    <row r="1762">
      <c r="B1762" s="6">
        <f>C1762&amp;D1762</f>
        <v/>
      </c>
      <c r="C1762" s="6">
        <f>YEAR(E1762)</f>
        <v/>
      </c>
      <c r="D1762" s="6">
        <f>MONTH(E1762)</f>
        <v/>
      </c>
      <c r="E1762" s="267">
        <f>IFERROR(__xludf.DUMMYFUNCTION("""COMPUTED_VALUE"""),45657.6666666666)</f>
        <v/>
      </c>
      <c r="F1762" s="6">
        <f>IFERROR(__xludf.DUMMYFUNCTION("""COMPUTED_VALUE"""),5881.63)</f>
        <v/>
      </c>
      <c r="J1762" s="6">
        <f>K1762&amp;L1762</f>
        <v/>
      </c>
      <c r="K1762" s="6">
        <f>YEAR(M1762)</f>
        <v/>
      </c>
      <c r="L1762" s="6">
        <f>MONTH(M1762)</f>
        <v/>
      </c>
      <c r="M1762" s="267">
        <f>IFERROR(__xludf.DUMMYFUNCTION("""COMPUTED_VALUE"""),45649.6666666666)</f>
        <v/>
      </c>
      <c r="N1762" s="6">
        <f>IFERROR(__xludf.DUMMYFUNCTION("""COMPUTED_VALUE"""),19764.88)</f>
        <v/>
      </c>
      <c r="R1762" s="6">
        <f>S1762&amp;T1762</f>
        <v/>
      </c>
      <c r="S1762" s="6">
        <f>YEAR(U1762)</f>
        <v/>
      </c>
      <c r="T1762" s="6">
        <f>MONTH(U1762)</f>
        <v/>
      </c>
      <c r="U1762" s="267">
        <f>IFERROR(__xludf.DUMMYFUNCTION("""COMPUTED_VALUE"""),45726.6458333333)</f>
        <v/>
      </c>
      <c r="V1762" s="6">
        <f>IFERROR(__xludf.DUMMYFUNCTION("""COMPUTED_VALUE"""),2570.39)</f>
        <v/>
      </c>
      <c r="Z1762" s="6">
        <f>AA1762&amp;AB1762</f>
        <v/>
      </c>
      <c r="AA1762" s="6">
        <f>YEAR(AC1762)</f>
        <v/>
      </c>
      <c r="AB1762" s="6">
        <f>MONTH(AC1762)</f>
        <v/>
      </c>
      <c r="AC1762" s="267">
        <f>IFERROR(__xludf.DUMMYFUNCTION("""COMPUTED_VALUE"""),44911.9986111111)</f>
        <v/>
      </c>
      <c r="AD1762" s="6">
        <f>IFERROR(__xludf.DUMMYFUNCTION("""COMPUTED_VALUE"""),1308.96)</f>
        <v/>
      </c>
      <c r="AH1762" s="6">
        <f>AI1762&amp;AJ1762</f>
        <v/>
      </c>
      <c r="AI1762" s="6">
        <f>YEAR(AK1762)</f>
        <v/>
      </c>
      <c r="AJ1762" s="6">
        <f>MONTH(AK1762)</f>
        <v/>
      </c>
      <c r="AK1762" s="267">
        <f>IFERROR(__xludf.DUMMYFUNCTION("""COMPUTED_VALUE"""),44855.9986111111)</f>
        <v/>
      </c>
      <c r="AL1762" s="6">
        <f>IFERROR(__xludf.DUMMYFUNCTION("""COMPUTED_VALUE"""),19163.11)</f>
        <v/>
      </c>
      <c r="AP1762" s="6">
        <f>AQ1762&amp;AR1762</f>
        <v/>
      </c>
      <c r="AQ1762" s="6">
        <f>YEAR(AS1762)</f>
        <v/>
      </c>
      <c r="AR1762" s="6">
        <f>MONTH(AS1762)</f>
        <v/>
      </c>
      <c r="AS1762" s="267">
        <f>IFERROR(__xludf.DUMMYFUNCTION("""COMPUTED_VALUE"""),45665.9986111111)</f>
        <v/>
      </c>
      <c r="AT1762" s="6">
        <f>IFERROR(__xludf.DUMMYFUNCTION("""COMPUTED_VALUE"""),2672.4)</f>
        <v/>
      </c>
    </row>
    <row r="1763">
      <c r="B1763" s="6">
        <f>C1763&amp;D1763</f>
        <v/>
      </c>
      <c r="C1763" s="6">
        <f>YEAR(E1763)</f>
        <v/>
      </c>
      <c r="D1763" s="6">
        <f>MONTH(E1763)</f>
        <v/>
      </c>
      <c r="E1763" s="267">
        <f>IFERROR(__xludf.DUMMYFUNCTION("""COMPUTED_VALUE"""),45659.6666666666)</f>
        <v/>
      </c>
      <c r="F1763" s="6">
        <f>IFERROR(__xludf.DUMMYFUNCTION("""COMPUTED_VALUE"""),5868.55)</f>
        <v/>
      </c>
      <c r="J1763" s="6">
        <f>K1763&amp;L1763</f>
        <v/>
      </c>
      <c r="K1763" s="6">
        <f>YEAR(M1763)</f>
        <v/>
      </c>
      <c r="L1763" s="6">
        <f>MONTH(M1763)</f>
        <v/>
      </c>
      <c r="M1763" s="267">
        <f>IFERROR(__xludf.DUMMYFUNCTION("""COMPUTED_VALUE"""),45650.5451388888)</f>
        <v/>
      </c>
      <c r="N1763" s="6">
        <f>IFERROR(__xludf.DUMMYFUNCTION("""COMPUTED_VALUE"""),20031.13)</f>
        <v/>
      </c>
      <c r="R1763" s="6">
        <f>S1763&amp;T1763</f>
        <v/>
      </c>
      <c r="S1763" s="6">
        <f>YEAR(U1763)</f>
        <v/>
      </c>
      <c r="T1763" s="6">
        <f>MONTH(U1763)</f>
        <v/>
      </c>
      <c r="U1763" s="267">
        <f>IFERROR(__xludf.DUMMYFUNCTION("""COMPUTED_VALUE"""),45727.6458333333)</f>
        <v/>
      </c>
      <c r="V1763" s="6">
        <f>IFERROR(__xludf.DUMMYFUNCTION("""COMPUTED_VALUE"""),2537.6)</f>
        <v/>
      </c>
      <c r="Z1763" s="6">
        <f>AA1763&amp;AB1763</f>
        <v/>
      </c>
      <c r="AA1763" s="6">
        <f>YEAR(AC1763)</f>
        <v/>
      </c>
      <c r="AB1763" s="6">
        <f>MONTH(AC1763)</f>
        <v/>
      </c>
      <c r="AC1763" s="267">
        <f>IFERROR(__xludf.DUMMYFUNCTION("""COMPUTED_VALUE"""),44912.9986111111)</f>
        <v/>
      </c>
      <c r="AD1763" s="6">
        <f>IFERROR(__xludf.DUMMYFUNCTION("""COMPUTED_VALUE"""),1308.86)</f>
        <v/>
      </c>
      <c r="AH1763" s="6">
        <f>AI1763&amp;AJ1763</f>
        <v/>
      </c>
      <c r="AI1763" s="6">
        <f>YEAR(AK1763)</f>
        <v/>
      </c>
      <c r="AJ1763" s="6">
        <f>MONTH(AK1763)</f>
        <v/>
      </c>
      <c r="AK1763" s="267">
        <f>IFERROR(__xludf.DUMMYFUNCTION("""COMPUTED_VALUE"""),44856.9986111111)</f>
        <v/>
      </c>
      <c r="AL1763" s="6">
        <f>IFERROR(__xludf.DUMMYFUNCTION("""COMPUTED_VALUE"""),19205.42)</f>
        <v/>
      </c>
      <c r="AP1763" s="6">
        <f>AQ1763&amp;AR1763</f>
        <v/>
      </c>
      <c r="AQ1763" s="6">
        <f>YEAR(AS1763)</f>
        <v/>
      </c>
      <c r="AR1763" s="6">
        <f>MONTH(AS1763)</f>
        <v/>
      </c>
      <c r="AS1763" s="267">
        <f>IFERROR(__xludf.DUMMYFUNCTION("""COMPUTED_VALUE"""),45667.9986111111)</f>
        <v/>
      </c>
      <c r="AT1763" s="6">
        <f>IFERROR(__xludf.DUMMYFUNCTION("""COMPUTED_VALUE"""),2715)</f>
        <v/>
      </c>
    </row>
    <row r="1764">
      <c r="B1764" s="6">
        <f>C1764&amp;D1764</f>
        <v/>
      </c>
      <c r="C1764" s="6">
        <f>YEAR(E1764)</f>
        <v/>
      </c>
      <c r="D1764" s="6">
        <f>MONTH(E1764)</f>
        <v/>
      </c>
      <c r="E1764" s="267">
        <f>IFERROR(__xludf.DUMMYFUNCTION("""COMPUTED_VALUE"""),45660.6666666666)</f>
        <v/>
      </c>
      <c r="F1764" s="6">
        <f>IFERROR(__xludf.DUMMYFUNCTION("""COMPUTED_VALUE"""),5942.47)</f>
        <v/>
      </c>
      <c r="J1764" s="6">
        <f>K1764&amp;L1764</f>
        <v/>
      </c>
      <c r="K1764" s="6">
        <f>YEAR(M1764)</f>
        <v/>
      </c>
      <c r="L1764" s="6">
        <f>MONTH(M1764)</f>
        <v/>
      </c>
      <c r="M1764" s="267">
        <f>IFERROR(__xludf.DUMMYFUNCTION("""COMPUTED_VALUE"""),45652.6666666666)</f>
        <v/>
      </c>
      <c r="N1764" s="6">
        <f>IFERROR(__xludf.DUMMYFUNCTION("""COMPUTED_VALUE"""),20020.36)</f>
        <v/>
      </c>
      <c r="R1764" s="6">
        <f>S1764&amp;T1764</f>
        <v/>
      </c>
      <c r="S1764" s="6">
        <f>YEAR(U1764)</f>
        <v/>
      </c>
      <c r="T1764" s="6">
        <f>MONTH(U1764)</f>
        <v/>
      </c>
      <c r="U1764" s="267">
        <f>IFERROR(__xludf.DUMMYFUNCTION("""COMPUTED_VALUE"""),45728.6458333333)</f>
        <v/>
      </c>
      <c r="V1764" s="6">
        <f>IFERROR(__xludf.DUMMYFUNCTION("""COMPUTED_VALUE"""),2574.82)</f>
        <v/>
      </c>
      <c r="Z1764" s="6">
        <f>AA1764&amp;AB1764</f>
        <v/>
      </c>
      <c r="AA1764" s="6">
        <f>YEAR(AC1764)</f>
        <v/>
      </c>
      <c r="AB1764" s="6">
        <f>MONTH(AC1764)</f>
        <v/>
      </c>
      <c r="AC1764" s="267">
        <f>IFERROR(__xludf.DUMMYFUNCTION("""COMPUTED_VALUE"""),44913.9986111111)</f>
        <v/>
      </c>
      <c r="AD1764" s="6">
        <f>IFERROR(__xludf.DUMMYFUNCTION("""COMPUTED_VALUE"""),1308.86)</f>
        <v/>
      </c>
      <c r="AH1764" s="6">
        <f>AI1764&amp;AJ1764</f>
        <v/>
      </c>
      <c r="AI1764" s="6">
        <f>YEAR(AK1764)</f>
        <v/>
      </c>
      <c r="AJ1764" s="6">
        <f>MONTH(AK1764)</f>
        <v/>
      </c>
      <c r="AK1764" s="267">
        <f>IFERROR(__xludf.DUMMYFUNCTION("""COMPUTED_VALUE"""),44857.9986111111)</f>
        <v/>
      </c>
      <c r="AL1764" s="6">
        <f>IFERROR(__xludf.DUMMYFUNCTION("""COMPUTED_VALUE"""),19567.69)</f>
        <v/>
      </c>
      <c r="AP1764" s="6">
        <f>AQ1764&amp;AR1764</f>
        <v/>
      </c>
      <c r="AQ1764" s="6">
        <f>YEAR(AS1764)</f>
        <v/>
      </c>
      <c r="AR1764" s="6">
        <f>MONTH(AS1764)</f>
        <v/>
      </c>
      <c r="AS1764" s="267">
        <f>IFERROR(__xludf.DUMMYFUNCTION("""COMPUTED_VALUE"""),45670.9986111111)</f>
        <v/>
      </c>
      <c r="AT1764" s="6">
        <f>IFERROR(__xludf.DUMMYFUNCTION("""COMPUTED_VALUE"""),2678.6)</f>
        <v/>
      </c>
    </row>
    <row r="1765">
      <c r="B1765" s="6">
        <f>C1765&amp;D1765</f>
        <v/>
      </c>
      <c r="C1765" s="6">
        <f>YEAR(E1765)</f>
        <v/>
      </c>
      <c r="D1765" s="6">
        <f>MONTH(E1765)</f>
        <v/>
      </c>
      <c r="E1765" s="267">
        <f>IFERROR(__xludf.DUMMYFUNCTION("""COMPUTED_VALUE"""),45663.6666666666)</f>
        <v/>
      </c>
      <c r="F1765" s="6">
        <f>IFERROR(__xludf.DUMMYFUNCTION("""COMPUTED_VALUE"""),5975.38)</f>
        <v/>
      </c>
      <c r="J1765" s="6">
        <f>K1765&amp;L1765</f>
        <v/>
      </c>
      <c r="K1765" s="6">
        <f>YEAR(M1765)</f>
        <v/>
      </c>
      <c r="L1765" s="6">
        <f>MONTH(M1765)</f>
        <v/>
      </c>
      <c r="M1765" s="267">
        <f>IFERROR(__xludf.DUMMYFUNCTION("""COMPUTED_VALUE"""),45653.6666666666)</f>
        <v/>
      </c>
      <c r="N1765" s="6">
        <f>IFERROR(__xludf.DUMMYFUNCTION("""COMPUTED_VALUE"""),19722.03)</f>
        <v/>
      </c>
      <c r="R1765" s="6">
        <f>S1765&amp;T1765</f>
        <v/>
      </c>
      <c r="S1765" s="6">
        <f>YEAR(U1765)</f>
        <v/>
      </c>
      <c r="T1765" s="6">
        <f>MONTH(U1765)</f>
        <v/>
      </c>
      <c r="U1765" s="267">
        <f>IFERROR(__xludf.DUMMYFUNCTION("""COMPUTED_VALUE"""),45729.6458333333)</f>
        <v/>
      </c>
      <c r="V1765" s="6">
        <f>IFERROR(__xludf.DUMMYFUNCTION("""COMPUTED_VALUE"""),2573.64)</f>
        <v/>
      </c>
      <c r="Z1765" s="6">
        <f>AA1765&amp;AB1765</f>
        <v/>
      </c>
      <c r="AA1765" s="6">
        <f>YEAR(AC1765)</f>
        <v/>
      </c>
      <c r="AB1765" s="6">
        <f>MONTH(AC1765)</f>
        <v/>
      </c>
      <c r="AC1765" s="267">
        <f>IFERROR(__xludf.DUMMYFUNCTION("""COMPUTED_VALUE"""),44914.9986111111)</f>
        <v/>
      </c>
      <c r="AD1765" s="6">
        <f>IFERROR(__xludf.DUMMYFUNCTION("""COMPUTED_VALUE"""),1301.33)</f>
        <v/>
      </c>
      <c r="AH1765" s="6">
        <f>AI1765&amp;AJ1765</f>
        <v/>
      </c>
      <c r="AI1765" s="6">
        <f>YEAR(AK1765)</f>
        <v/>
      </c>
      <c r="AJ1765" s="6">
        <f>MONTH(AK1765)</f>
        <v/>
      </c>
      <c r="AK1765" s="267">
        <f>IFERROR(__xludf.DUMMYFUNCTION("""COMPUTED_VALUE"""),44858.9986111111)</f>
        <v/>
      </c>
      <c r="AL1765" s="6">
        <f>IFERROR(__xludf.DUMMYFUNCTION("""COMPUTED_VALUE"""),19328.92)</f>
        <v/>
      </c>
      <c r="AP1765" s="6">
        <f>AQ1765&amp;AR1765</f>
        <v/>
      </c>
      <c r="AQ1765" s="6">
        <f>YEAR(AS1765)</f>
        <v/>
      </c>
      <c r="AR1765" s="6">
        <f>MONTH(AS1765)</f>
        <v/>
      </c>
      <c r="AS1765" s="267">
        <f>IFERROR(__xludf.DUMMYFUNCTION("""COMPUTED_VALUE"""),45671.9986111111)</f>
        <v/>
      </c>
      <c r="AT1765" s="6">
        <f>IFERROR(__xludf.DUMMYFUNCTION("""COMPUTED_VALUE"""),2682.3)</f>
        <v/>
      </c>
    </row>
    <row r="1766">
      <c r="B1766" s="6">
        <f>C1766&amp;D1766</f>
        <v/>
      </c>
      <c r="C1766" s="6">
        <f>YEAR(E1766)</f>
        <v/>
      </c>
      <c r="D1766" s="6">
        <f>MONTH(E1766)</f>
        <v/>
      </c>
      <c r="E1766" s="267">
        <f>IFERROR(__xludf.DUMMYFUNCTION("""COMPUTED_VALUE"""),45664.6666666666)</f>
        <v/>
      </c>
      <c r="F1766" s="6">
        <f>IFERROR(__xludf.DUMMYFUNCTION("""COMPUTED_VALUE"""),5909.03)</f>
        <v/>
      </c>
      <c r="J1766" s="6">
        <f>K1766&amp;L1766</f>
        <v/>
      </c>
      <c r="K1766" s="6">
        <f>YEAR(M1766)</f>
        <v/>
      </c>
      <c r="L1766" s="6">
        <f>MONTH(M1766)</f>
        <v/>
      </c>
      <c r="M1766" s="267">
        <f>IFERROR(__xludf.DUMMYFUNCTION("""COMPUTED_VALUE"""),45656.6666666666)</f>
        <v/>
      </c>
      <c r="N1766" s="6">
        <f>IFERROR(__xludf.DUMMYFUNCTION("""COMPUTED_VALUE"""),19486.79)</f>
        <v/>
      </c>
      <c r="R1766" s="6">
        <f>S1766&amp;T1766</f>
        <v/>
      </c>
      <c r="S1766" s="6">
        <f>YEAR(U1766)</f>
        <v/>
      </c>
      <c r="T1766" s="6">
        <f>MONTH(U1766)</f>
        <v/>
      </c>
      <c r="U1766" s="267">
        <f>IFERROR(__xludf.DUMMYFUNCTION("""COMPUTED_VALUE"""),45730.6458333333)</f>
        <v/>
      </c>
      <c r="V1766" s="6">
        <f>IFERROR(__xludf.DUMMYFUNCTION("""COMPUTED_VALUE"""),2566.36)</f>
        <v/>
      </c>
      <c r="Z1766" s="6">
        <f>AA1766&amp;AB1766</f>
        <v/>
      </c>
      <c r="AA1766" s="6">
        <f>YEAR(AC1766)</f>
        <v/>
      </c>
      <c r="AB1766" s="6">
        <f>MONTH(AC1766)</f>
        <v/>
      </c>
      <c r="AC1766" s="267">
        <f>IFERROR(__xludf.DUMMYFUNCTION("""COMPUTED_VALUE"""),44915.9986111111)</f>
        <v/>
      </c>
      <c r="AD1766" s="6">
        <f>IFERROR(__xludf.DUMMYFUNCTION("""COMPUTED_VALUE"""),1283.64)</f>
        <v/>
      </c>
      <c r="AH1766" s="6">
        <f>AI1766&amp;AJ1766</f>
        <v/>
      </c>
      <c r="AI1766" s="6">
        <f>YEAR(AK1766)</f>
        <v/>
      </c>
      <c r="AJ1766" s="6">
        <f>MONTH(AK1766)</f>
        <v/>
      </c>
      <c r="AK1766" s="267">
        <f>IFERROR(__xludf.DUMMYFUNCTION("""COMPUTED_VALUE"""),44859.9986111111)</f>
        <v/>
      </c>
      <c r="AL1766" s="6">
        <f>IFERROR(__xludf.DUMMYFUNCTION("""COMPUTED_VALUE"""),20083.96)</f>
        <v/>
      </c>
      <c r="AP1766" s="6">
        <f>AQ1766&amp;AR1766</f>
        <v/>
      </c>
      <c r="AQ1766" s="6">
        <f>YEAR(AS1766)</f>
        <v/>
      </c>
      <c r="AR1766" s="6">
        <f>MONTH(AS1766)</f>
        <v/>
      </c>
      <c r="AS1766" s="267">
        <f>IFERROR(__xludf.DUMMYFUNCTION("""COMPUTED_VALUE"""),45672.9986111111)</f>
        <v/>
      </c>
      <c r="AT1766" s="6">
        <f>IFERROR(__xludf.DUMMYFUNCTION("""COMPUTED_VALUE"""),2717.8)</f>
        <v/>
      </c>
    </row>
    <row r="1767">
      <c r="B1767" s="6">
        <f>C1767&amp;D1767</f>
        <v/>
      </c>
      <c r="C1767" s="6">
        <f>YEAR(E1767)</f>
        <v/>
      </c>
      <c r="D1767" s="6">
        <f>MONTH(E1767)</f>
        <v/>
      </c>
      <c r="E1767" s="267">
        <f>IFERROR(__xludf.DUMMYFUNCTION("""COMPUTED_VALUE"""),45665.6666666666)</f>
        <v/>
      </c>
      <c r="F1767" s="6">
        <f>IFERROR(__xludf.DUMMYFUNCTION("""COMPUTED_VALUE"""),5918.25)</f>
        <v/>
      </c>
      <c r="J1767" s="6">
        <f>K1767&amp;L1767</f>
        <v/>
      </c>
      <c r="K1767" s="6">
        <f>YEAR(M1767)</f>
        <v/>
      </c>
      <c r="L1767" s="6">
        <f>MONTH(M1767)</f>
        <v/>
      </c>
      <c r="M1767" s="267">
        <f>IFERROR(__xludf.DUMMYFUNCTION("""COMPUTED_VALUE"""),45657.6666666666)</f>
        <v/>
      </c>
      <c r="N1767" s="6">
        <f>IFERROR(__xludf.DUMMYFUNCTION("""COMPUTED_VALUE"""),19310.79)</f>
        <v/>
      </c>
      <c r="R1767" s="6">
        <f>S1767&amp;T1767</f>
        <v/>
      </c>
      <c r="S1767" s="6">
        <f>YEAR(U1767)</f>
        <v/>
      </c>
      <c r="T1767" s="6">
        <f>MONTH(U1767)</f>
        <v/>
      </c>
      <c r="U1767" s="267">
        <f>IFERROR(__xludf.DUMMYFUNCTION("""COMPUTED_VALUE"""),45733.6458333333)</f>
        <v/>
      </c>
      <c r="V1767" s="6">
        <f>IFERROR(__xludf.DUMMYFUNCTION("""COMPUTED_VALUE"""),2610.69)</f>
        <v/>
      </c>
      <c r="Z1767" s="6">
        <f>AA1767&amp;AB1767</f>
        <v/>
      </c>
      <c r="AA1767" s="6">
        <f>YEAR(AC1767)</f>
        <v/>
      </c>
      <c r="AB1767" s="6">
        <f>MONTH(AC1767)</f>
        <v/>
      </c>
      <c r="AC1767" s="267">
        <f>IFERROR(__xludf.DUMMYFUNCTION("""COMPUTED_VALUE"""),44916.9986111111)</f>
        <v/>
      </c>
      <c r="AD1767" s="6">
        <f>IFERROR(__xludf.DUMMYFUNCTION("""COMPUTED_VALUE"""),1280.77)</f>
        <v/>
      </c>
      <c r="AH1767" s="6">
        <f>AI1767&amp;AJ1767</f>
        <v/>
      </c>
      <c r="AI1767" s="6">
        <f>YEAR(AK1767)</f>
        <v/>
      </c>
      <c r="AJ1767" s="6">
        <f>MONTH(AK1767)</f>
        <v/>
      </c>
      <c r="AK1767" s="267">
        <f>IFERROR(__xludf.DUMMYFUNCTION("""COMPUTED_VALUE"""),44860.9986111111)</f>
        <v/>
      </c>
      <c r="AL1767" s="6">
        <f>IFERROR(__xludf.DUMMYFUNCTION("""COMPUTED_VALUE"""),20775.2)</f>
        <v/>
      </c>
      <c r="AP1767" s="6">
        <f>AQ1767&amp;AR1767</f>
        <v/>
      </c>
      <c r="AQ1767" s="6">
        <f>YEAR(AS1767)</f>
        <v/>
      </c>
      <c r="AR1767" s="6">
        <f>MONTH(AS1767)</f>
        <v/>
      </c>
      <c r="AS1767" s="267">
        <f>IFERROR(__xludf.DUMMYFUNCTION("""COMPUTED_VALUE"""),45673.9986111111)</f>
        <v/>
      </c>
      <c r="AT1767" s="6">
        <f>IFERROR(__xludf.DUMMYFUNCTION("""COMPUTED_VALUE"""),2750.9)</f>
        <v/>
      </c>
    </row>
    <row r="1768">
      <c r="B1768" s="6">
        <f>C1768&amp;D1768</f>
        <v/>
      </c>
      <c r="C1768" s="6">
        <f>YEAR(E1768)</f>
        <v/>
      </c>
      <c r="D1768" s="6">
        <f>MONTH(E1768)</f>
        <v/>
      </c>
      <c r="E1768" s="267">
        <f>IFERROR(__xludf.DUMMYFUNCTION("""COMPUTED_VALUE"""),45667.6666666666)</f>
        <v/>
      </c>
      <c r="F1768" s="6">
        <f>IFERROR(__xludf.DUMMYFUNCTION("""COMPUTED_VALUE"""),5827.04)</f>
        <v/>
      </c>
      <c r="J1768" s="6">
        <f>K1768&amp;L1768</f>
        <v/>
      </c>
      <c r="K1768" s="6">
        <f>YEAR(M1768)</f>
        <v/>
      </c>
      <c r="L1768" s="6">
        <f>MONTH(M1768)</f>
        <v/>
      </c>
      <c r="M1768" s="267">
        <f>IFERROR(__xludf.DUMMYFUNCTION("""COMPUTED_VALUE"""),45659.6666666666)</f>
        <v/>
      </c>
      <c r="N1768" s="6">
        <f>IFERROR(__xludf.DUMMYFUNCTION("""COMPUTED_VALUE"""),19280.79)</f>
        <v/>
      </c>
      <c r="R1768" s="6">
        <f>S1768&amp;T1768</f>
        <v/>
      </c>
      <c r="S1768" s="6">
        <f>YEAR(U1768)</f>
        <v/>
      </c>
      <c r="T1768" s="6">
        <f>MONTH(U1768)</f>
        <v/>
      </c>
      <c r="U1768" s="267">
        <f>IFERROR(__xludf.DUMMYFUNCTION("""COMPUTED_VALUE"""),45734.6458333333)</f>
        <v/>
      </c>
      <c r="V1768" s="6">
        <f>IFERROR(__xludf.DUMMYFUNCTION("""COMPUTED_VALUE"""),2612.34)</f>
        <v/>
      </c>
      <c r="Z1768" s="6">
        <f>AA1768&amp;AB1768</f>
        <v/>
      </c>
      <c r="AA1768" s="6">
        <f>YEAR(AC1768)</f>
        <v/>
      </c>
      <c r="AB1768" s="6">
        <f>MONTH(AC1768)</f>
        <v/>
      </c>
      <c r="AC1768" s="267">
        <f>IFERROR(__xludf.DUMMYFUNCTION("""COMPUTED_VALUE"""),44917.9986111111)</f>
        <v/>
      </c>
      <c r="AD1768" s="6">
        <f>IFERROR(__xludf.DUMMYFUNCTION("""COMPUTED_VALUE"""),1290.2)</f>
        <v/>
      </c>
      <c r="AH1768" s="6">
        <f>AI1768&amp;AJ1768</f>
        <v/>
      </c>
      <c r="AI1768" s="6">
        <f>YEAR(AK1768)</f>
        <v/>
      </c>
      <c r="AJ1768" s="6">
        <f>MONTH(AK1768)</f>
        <v/>
      </c>
      <c r="AK1768" s="267">
        <f>IFERROR(__xludf.DUMMYFUNCTION("""COMPUTED_VALUE"""),44861.9986111111)</f>
        <v/>
      </c>
      <c r="AL1768" s="6">
        <f>IFERROR(__xludf.DUMMYFUNCTION("""COMPUTED_VALUE"""),20290.61)</f>
        <v/>
      </c>
      <c r="AP1768" s="6">
        <f>AQ1768&amp;AR1768</f>
        <v/>
      </c>
      <c r="AQ1768" s="6">
        <f>YEAR(AS1768)</f>
        <v/>
      </c>
      <c r="AR1768" s="6">
        <f>MONTH(AS1768)</f>
        <v/>
      </c>
      <c r="AS1768" s="267">
        <f>IFERROR(__xludf.DUMMYFUNCTION("""COMPUTED_VALUE"""),45674.9986111111)</f>
        <v/>
      </c>
      <c r="AT1768" s="6">
        <f>IFERROR(__xludf.DUMMYFUNCTION("""COMPUTED_VALUE"""),2748.7)</f>
        <v/>
      </c>
    </row>
    <row r="1769">
      <c r="B1769" s="6">
        <f>C1769&amp;D1769</f>
        <v/>
      </c>
      <c r="C1769" s="6">
        <f>YEAR(E1769)</f>
        <v/>
      </c>
      <c r="D1769" s="6">
        <f>MONTH(E1769)</f>
        <v/>
      </c>
      <c r="E1769" s="267">
        <f>IFERROR(__xludf.DUMMYFUNCTION("""COMPUTED_VALUE"""),45670.6666666666)</f>
        <v/>
      </c>
      <c r="F1769" s="6">
        <f>IFERROR(__xludf.DUMMYFUNCTION("""COMPUTED_VALUE"""),5836.22)</f>
        <v/>
      </c>
      <c r="J1769" s="6">
        <f>K1769&amp;L1769</f>
        <v/>
      </c>
      <c r="K1769" s="6">
        <f>YEAR(M1769)</f>
        <v/>
      </c>
      <c r="L1769" s="6">
        <f>MONTH(M1769)</f>
        <v/>
      </c>
      <c r="M1769" s="267">
        <f>IFERROR(__xludf.DUMMYFUNCTION("""COMPUTED_VALUE"""),45660.6666666666)</f>
        <v/>
      </c>
      <c r="N1769" s="6">
        <f>IFERROR(__xludf.DUMMYFUNCTION("""COMPUTED_VALUE"""),19621.68)</f>
        <v/>
      </c>
      <c r="R1769" s="6">
        <f>S1769&amp;T1769</f>
        <v/>
      </c>
      <c r="S1769" s="6">
        <f>YEAR(U1769)</f>
        <v/>
      </c>
      <c r="T1769" s="6">
        <f>MONTH(U1769)</f>
        <v/>
      </c>
      <c r="U1769" s="267">
        <f>IFERROR(__xludf.DUMMYFUNCTION("""COMPUTED_VALUE"""),45735.6458333333)</f>
        <v/>
      </c>
      <c r="V1769" s="6">
        <f>IFERROR(__xludf.DUMMYFUNCTION("""COMPUTED_VALUE"""),2628.62)</f>
        <v/>
      </c>
      <c r="Z1769" s="6">
        <f>AA1769&amp;AB1769</f>
        <v/>
      </c>
      <c r="AA1769" s="6">
        <f>YEAR(AC1769)</f>
        <v/>
      </c>
      <c r="AB1769" s="6">
        <f>MONTH(AC1769)</f>
        <v/>
      </c>
      <c r="AC1769" s="267">
        <f>IFERROR(__xludf.DUMMYFUNCTION("""COMPUTED_VALUE"""),44918.9986111111)</f>
        <v/>
      </c>
      <c r="AD1769" s="6">
        <f>IFERROR(__xludf.DUMMYFUNCTION("""COMPUTED_VALUE"""),1279.24)</f>
        <v/>
      </c>
      <c r="AH1769" s="6">
        <f>AI1769&amp;AJ1769</f>
        <v/>
      </c>
      <c r="AI1769" s="6">
        <f>YEAR(AK1769)</f>
        <v/>
      </c>
      <c r="AJ1769" s="6">
        <f>MONTH(AK1769)</f>
        <v/>
      </c>
      <c r="AK1769" s="267">
        <f>IFERROR(__xludf.DUMMYFUNCTION("""COMPUTED_VALUE"""),44862.9986111111)</f>
        <v/>
      </c>
      <c r="AL1769" s="6">
        <f>IFERROR(__xludf.DUMMYFUNCTION("""COMPUTED_VALUE"""),20596.03)</f>
        <v/>
      </c>
      <c r="AP1769" s="6">
        <f>AQ1769&amp;AR1769</f>
        <v/>
      </c>
      <c r="AQ1769" s="6">
        <f>YEAR(AS1769)</f>
        <v/>
      </c>
      <c r="AR1769" s="6">
        <f>MONTH(AS1769)</f>
        <v/>
      </c>
      <c r="AS1769" s="267">
        <f>IFERROR(__xludf.DUMMYFUNCTION("""COMPUTED_VALUE"""),45678.9986111111)</f>
        <v/>
      </c>
      <c r="AT1769" s="6">
        <f>IFERROR(__xludf.DUMMYFUNCTION("""COMPUTED_VALUE"""),2759.2)</f>
        <v/>
      </c>
    </row>
    <row r="1770">
      <c r="B1770" s="6">
        <f>C1770&amp;D1770</f>
        <v/>
      </c>
      <c r="C1770" s="6">
        <f>YEAR(E1770)</f>
        <v/>
      </c>
      <c r="D1770" s="6">
        <f>MONTH(E1770)</f>
        <v/>
      </c>
      <c r="E1770" s="267">
        <f>IFERROR(__xludf.DUMMYFUNCTION("""COMPUTED_VALUE"""),45671.6666666666)</f>
        <v/>
      </c>
      <c r="F1770" s="6">
        <f>IFERROR(__xludf.DUMMYFUNCTION("""COMPUTED_VALUE"""),5842.91)</f>
        <v/>
      </c>
      <c r="J1770" s="6">
        <f>K1770&amp;L1770</f>
        <v/>
      </c>
      <c r="K1770" s="6">
        <f>YEAR(M1770)</f>
        <v/>
      </c>
      <c r="L1770" s="6">
        <f>MONTH(M1770)</f>
        <v/>
      </c>
      <c r="M1770" s="267">
        <f>IFERROR(__xludf.DUMMYFUNCTION("""COMPUTED_VALUE"""),45663.6666666666)</f>
        <v/>
      </c>
      <c r="N1770" s="6">
        <f>IFERROR(__xludf.DUMMYFUNCTION("""COMPUTED_VALUE"""),19864.98)</f>
        <v/>
      </c>
      <c r="R1770" s="6">
        <f>S1770&amp;T1770</f>
        <v/>
      </c>
      <c r="S1770" s="6">
        <f>YEAR(U1770)</f>
        <v/>
      </c>
      <c r="T1770" s="6">
        <f>MONTH(U1770)</f>
        <v/>
      </c>
      <c r="U1770" s="267">
        <f>IFERROR(__xludf.DUMMYFUNCTION("""COMPUTED_VALUE"""),45736.6458333333)</f>
        <v/>
      </c>
      <c r="V1770" s="6">
        <f>IFERROR(__xludf.DUMMYFUNCTION("""COMPUTED_VALUE"""),2637.1)</f>
        <v/>
      </c>
      <c r="Z1770" s="6">
        <f>AA1770&amp;AB1770</f>
        <v/>
      </c>
      <c r="AA1770" s="6">
        <f>YEAR(AC1770)</f>
        <v/>
      </c>
      <c r="AB1770" s="6">
        <f>MONTH(AC1770)</f>
        <v/>
      </c>
      <c r="AC1770" s="267">
        <f>IFERROR(__xludf.DUMMYFUNCTION("""COMPUTED_VALUE"""),44919.9986111111)</f>
        <v/>
      </c>
      <c r="AD1770" s="6">
        <f>IFERROR(__xludf.DUMMYFUNCTION("""COMPUTED_VALUE"""),1279.24)</f>
        <v/>
      </c>
      <c r="AH1770" s="6">
        <f>AI1770&amp;AJ1770</f>
        <v/>
      </c>
      <c r="AI1770" s="6">
        <f>YEAR(AK1770)</f>
        <v/>
      </c>
      <c r="AJ1770" s="6">
        <f>MONTH(AK1770)</f>
        <v/>
      </c>
      <c r="AK1770" s="267">
        <f>IFERROR(__xludf.DUMMYFUNCTION("""COMPUTED_VALUE"""),44863.9986111111)</f>
        <v/>
      </c>
      <c r="AL1770" s="6">
        <f>IFERROR(__xludf.DUMMYFUNCTION("""COMPUTED_VALUE"""),20813.51)</f>
        <v/>
      </c>
      <c r="AP1770" s="6">
        <f>AQ1770&amp;AR1770</f>
        <v/>
      </c>
      <c r="AQ1770" s="6">
        <f>YEAR(AS1770)</f>
        <v/>
      </c>
      <c r="AR1770" s="6">
        <f>MONTH(AS1770)</f>
        <v/>
      </c>
      <c r="AS1770" s="267">
        <f>IFERROR(__xludf.DUMMYFUNCTION("""COMPUTED_VALUE"""),45679.9986111111)</f>
        <v/>
      </c>
      <c r="AT1770" s="6">
        <f>IFERROR(__xludf.DUMMYFUNCTION("""COMPUTED_VALUE"""),2770.9)</f>
        <v/>
      </c>
    </row>
    <row r="1771">
      <c r="B1771" s="6">
        <f>C1771&amp;D1771</f>
        <v/>
      </c>
      <c r="C1771" s="6">
        <f>YEAR(E1771)</f>
        <v/>
      </c>
      <c r="D1771" s="6">
        <f>MONTH(E1771)</f>
        <v/>
      </c>
      <c r="E1771" s="267">
        <f>IFERROR(__xludf.DUMMYFUNCTION("""COMPUTED_VALUE"""),45672.6666666666)</f>
        <v/>
      </c>
      <c r="F1771" s="6">
        <f>IFERROR(__xludf.DUMMYFUNCTION("""COMPUTED_VALUE"""),5949.91)</f>
        <v/>
      </c>
      <c r="J1771" s="6">
        <f>K1771&amp;L1771</f>
        <v/>
      </c>
      <c r="K1771" s="6">
        <f>YEAR(M1771)</f>
        <v/>
      </c>
      <c r="L1771" s="6">
        <f>MONTH(M1771)</f>
        <v/>
      </c>
      <c r="M1771" s="267">
        <f>IFERROR(__xludf.DUMMYFUNCTION("""COMPUTED_VALUE"""),45664.6666666666)</f>
        <v/>
      </c>
      <c r="N1771" s="6">
        <f>IFERROR(__xludf.DUMMYFUNCTION("""COMPUTED_VALUE"""),19489.68)</f>
        <v/>
      </c>
      <c r="R1771" s="6">
        <f>S1771&amp;T1771</f>
        <v/>
      </c>
      <c r="S1771" s="6">
        <f>YEAR(U1771)</f>
        <v/>
      </c>
      <c r="T1771" s="6">
        <f>MONTH(U1771)</f>
        <v/>
      </c>
      <c r="U1771" s="267">
        <f>IFERROR(__xludf.DUMMYFUNCTION("""COMPUTED_VALUE"""),45737.6458333333)</f>
        <v/>
      </c>
      <c r="V1771" s="6">
        <f>IFERROR(__xludf.DUMMYFUNCTION("""COMPUTED_VALUE"""),2643.13)</f>
        <v/>
      </c>
      <c r="Z1771" s="6">
        <f>AA1771&amp;AB1771</f>
        <v/>
      </c>
      <c r="AA1771" s="6">
        <f>YEAR(AC1771)</f>
        <v/>
      </c>
      <c r="AB1771" s="6">
        <f>MONTH(AC1771)</f>
        <v/>
      </c>
      <c r="AC1771" s="267">
        <f>IFERROR(__xludf.DUMMYFUNCTION("""COMPUTED_VALUE"""),44920.9986111111)</f>
        <v/>
      </c>
      <c r="AD1771" s="6">
        <f>IFERROR(__xludf.DUMMYFUNCTION("""COMPUTED_VALUE"""),1279.24)</f>
        <v/>
      </c>
      <c r="AH1771" s="6">
        <f>AI1771&amp;AJ1771</f>
        <v/>
      </c>
      <c r="AI1771" s="6">
        <f>YEAR(AK1771)</f>
        <v/>
      </c>
      <c r="AJ1771" s="6">
        <f>MONTH(AK1771)</f>
        <v/>
      </c>
      <c r="AK1771" s="267">
        <f>IFERROR(__xludf.DUMMYFUNCTION("""COMPUTED_VALUE"""),44864.9986111111)</f>
        <v/>
      </c>
      <c r="AL1771" s="6">
        <f>IFERROR(__xludf.DUMMYFUNCTION("""COMPUTED_VALUE"""),20624.13)</f>
        <v/>
      </c>
      <c r="AP1771" s="6">
        <f>AQ1771&amp;AR1771</f>
        <v/>
      </c>
      <c r="AQ1771" s="6">
        <f>YEAR(AS1771)</f>
        <v/>
      </c>
      <c r="AR1771" s="6">
        <f>MONTH(AS1771)</f>
        <v/>
      </c>
      <c r="AS1771" s="267">
        <f>IFERROR(__xludf.DUMMYFUNCTION("""COMPUTED_VALUE"""),45680.9986111111)</f>
        <v/>
      </c>
      <c r="AT1771" s="6">
        <f>IFERROR(__xludf.DUMMYFUNCTION("""COMPUTED_VALUE"""),2765)</f>
        <v/>
      </c>
    </row>
    <row r="1772">
      <c r="B1772" s="6">
        <f>C1772&amp;D1772</f>
        <v/>
      </c>
      <c r="C1772" s="6">
        <f>YEAR(E1772)</f>
        <v/>
      </c>
      <c r="D1772" s="6">
        <f>MONTH(E1772)</f>
        <v/>
      </c>
      <c r="E1772" s="267">
        <f>IFERROR(__xludf.DUMMYFUNCTION("""COMPUTED_VALUE"""),45673.6666666666)</f>
        <v/>
      </c>
      <c r="F1772" s="6">
        <f>IFERROR(__xludf.DUMMYFUNCTION("""COMPUTED_VALUE"""),5937.34)</f>
        <v/>
      </c>
      <c r="J1772" s="6">
        <f>K1772&amp;L1772</f>
        <v/>
      </c>
      <c r="K1772" s="6">
        <f>YEAR(M1772)</f>
        <v/>
      </c>
      <c r="L1772" s="6">
        <f>MONTH(M1772)</f>
        <v/>
      </c>
      <c r="M1772" s="267">
        <f>IFERROR(__xludf.DUMMYFUNCTION("""COMPUTED_VALUE"""),45665.6666666666)</f>
        <v/>
      </c>
      <c r="N1772" s="6">
        <f>IFERROR(__xludf.DUMMYFUNCTION("""COMPUTED_VALUE"""),19478.88)</f>
        <v/>
      </c>
      <c r="R1772" s="6">
        <f>S1772&amp;T1772</f>
        <v/>
      </c>
      <c r="S1772" s="6">
        <f>YEAR(U1772)</f>
        <v/>
      </c>
      <c r="T1772" s="6">
        <f>MONTH(U1772)</f>
        <v/>
      </c>
      <c r="U1772" s="267">
        <f>IFERROR(__xludf.DUMMYFUNCTION("""COMPUTED_VALUE"""),45740.6458333333)</f>
        <v/>
      </c>
      <c r="V1772" s="6">
        <f>IFERROR(__xludf.DUMMYFUNCTION("""COMPUTED_VALUE"""),2632.07)</f>
        <v/>
      </c>
      <c r="Z1772" s="6">
        <f>AA1772&amp;AB1772</f>
        <v/>
      </c>
      <c r="AA1772" s="6">
        <f>YEAR(AC1772)</f>
        <v/>
      </c>
      <c r="AB1772" s="6">
        <f>MONTH(AC1772)</f>
        <v/>
      </c>
      <c r="AC1772" s="267">
        <f>IFERROR(__xludf.DUMMYFUNCTION("""COMPUTED_VALUE"""),44921.9986111111)</f>
        <v/>
      </c>
      <c r="AD1772" s="6">
        <f>IFERROR(__xludf.DUMMYFUNCTION("""COMPUTED_VALUE"""),1275.13)</f>
        <v/>
      </c>
      <c r="AH1772" s="6">
        <f>AI1772&amp;AJ1772</f>
        <v/>
      </c>
      <c r="AI1772" s="6">
        <f>YEAR(AK1772)</f>
        <v/>
      </c>
      <c r="AJ1772" s="6">
        <f>MONTH(AK1772)</f>
        <v/>
      </c>
      <c r="AK1772" s="267">
        <f>IFERROR(__xludf.DUMMYFUNCTION("""COMPUTED_VALUE"""),44865.9986111111)</f>
        <v/>
      </c>
      <c r="AL1772" s="6">
        <f>IFERROR(__xludf.DUMMYFUNCTION("""COMPUTED_VALUE"""),20492.16)</f>
        <v/>
      </c>
      <c r="AP1772" s="6">
        <f>AQ1772&amp;AR1772</f>
        <v/>
      </c>
      <c r="AQ1772" s="6">
        <f>YEAR(AS1772)</f>
        <v/>
      </c>
      <c r="AR1772" s="6">
        <f>MONTH(AS1772)</f>
        <v/>
      </c>
      <c r="AS1772" s="267">
        <f>IFERROR(__xludf.DUMMYFUNCTION("""COMPUTED_VALUE"""),45681.9986111111)</f>
        <v/>
      </c>
      <c r="AT1772" s="6">
        <f>IFERROR(__xludf.DUMMYFUNCTION("""COMPUTED_VALUE"""),2778.9)</f>
        <v/>
      </c>
    </row>
    <row r="1773">
      <c r="B1773" s="6">
        <f>C1773&amp;D1773</f>
        <v/>
      </c>
      <c r="C1773" s="6">
        <f>YEAR(E1773)</f>
        <v/>
      </c>
      <c r="D1773" s="6">
        <f>MONTH(E1773)</f>
        <v/>
      </c>
      <c r="E1773" s="267">
        <f>IFERROR(__xludf.DUMMYFUNCTION("""COMPUTED_VALUE"""),45674.6666666666)</f>
        <v/>
      </c>
      <c r="F1773" s="6">
        <f>IFERROR(__xludf.DUMMYFUNCTION("""COMPUTED_VALUE"""),5996.66)</f>
        <v/>
      </c>
      <c r="J1773" s="6">
        <f>K1773&amp;L1773</f>
        <v/>
      </c>
      <c r="K1773" s="6">
        <f>YEAR(M1773)</f>
        <v/>
      </c>
      <c r="L1773" s="6">
        <f>MONTH(M1773)</f>
        <v/>
      </c>
      <c r="M1773" s="267">
        <f>IFERROR(__xludf.DUMMYFUNCTION("""COMPUTED_VALUE"""),45667.6666666666)</f>
        <v/>
      </c>
      <c r="N1773" s="6">
        <f>IFERROR(__xludf.DUMMYFUNCTION("""COMPUTED_VALUE"""),19161.63)</f>
        <v/>
      </c>
      <c r="R1773" s="6">
        <f>S1773&amp;T1773</f>
        <v/>
      </c>
      <c r="S1773" s="6">
        <f>YEAR(U1773)</f>
        <v/>
      </c>
      <c r="T1773" s="6">
        <f>MONTH(U1773)</f>
        <v/>
      </c>
      <c r="U1773" s="267">
        <f>IFERROR(__xludf.DUMMYFUNCTION("""COMPUTED_VALUE"""),45741.6458333333)</f>
        <v/>
      </c>
      <c r="V1773" s="6">
        <f>IFERROR(__xludf.DUMMYFUNCTION("""COMPUTED_VALUE"""),2615.81)</f>
        <v/>
      </c>
      <c r="Z1773" s="6">
        <f>AA1773&amp;AB1773</f>
        <v/>
      </c>
      <c r="AA1773" s="6">
        <f>YEAR(AC1773)</f>
        <v/>
      </c>
      <c r="AB1773" s="6">
        <f>MONTH(AC1773)</f>
        <v/>
      </c>
      <c r="AC1773" s="267">
        <f>IFERROR(__xludf.DUMMYFUNCTION("""COMPUTED_VALUE"""),44922.9986111111)</f>
        <v/>
      </c>
      <c r="AD1773" s="6">
        <f>IFERROR(__xludf.DUMMYFUNCTION("""COMPUTED_VALUE"""),1272.28)</f>
        <v/>
      </c>
      <c r="AH1773" s="6">
        <f>AI1773&amp;AJ1773</f>
        <v/>
      </c>
      <c r="AI1773" s="6">
        <f>YEAR(AK1773)</f>
        <v/>
      </c>
      <c r="AJ1773" s="6">
        <f>MONTH(AK1773)</f>
        <v/>
      </c>
      <c r="AK1773" s="267">
        <f>IFERROR(__xludf.DUMMYFUNCTION("""COMPUTED_VALUE"""),44866.9986111111)</f>
        <v/>
      </c>
      <c r="AL1773" s="6">
        <f>IFERROR(__xludf.DUMMYFUNCTION("""COMPUTED_VALUE"""),20480.07)</f>
        <v/>
      </c>
      <c r="AP1773" s="6">
        <f>AQ1773&amp;AR1773</f>
        <v/>
      </c>
      <c r="AQ1773" s="6">
        <f>YEAR(AS1773)</f>
        <v/>
      </c>
      <c r="AR1773" s="6">
        <f>MONTH(AS1773)</f>
        <v/>
      </c>
      <c r="AS1773" s="267">
        <f>IFERROR(__xludf.DUMMYFUNCTION("""COMPUTED_VALUE"""),45684.9986111111)</f>
        <v/>
      </c>
      <c r="AT1773" s="6">
        <f>IFERROR(__xludf.DUMMYFUNCTION("""COMPUTED_VALUE"""),2766.2)</f>
        <v/>
      </c>
    </row>
    <row r="1774">
      <c r="B1774" s="6">
        <f>C1774&amp;D1774</f>
        <v/>
      </c>
      <c r="C1774" s="6">
        <f>YEAR(E1774)</f>
        <v/>
      </c>
      <c r="D1774" s="6">
        <f>MONTH(E1774)</f>
        <v/>
      </c>
      <c r="E1774" s="267">
        <f>IFERROR(__xludf.DUMMYFUNCTION("""COMPUTED_VALUE"""),45678.6666666666)</f>
        <v/>
      </c>
      <c r="F1774" s="6">
        <f>IFERROR(__xludf.DUMMYFUNCTION("""COMPUTED_VALUE"""),6049.24)</f>
        <v/>
      </c>
      <c r="J1774" s="6">
        <f>K1774&amp;L1774</f>
        <v/>
      </c>
      <c r="K1774" s="6">
        <f>YEAR(M1774)</f>
        <v/>
      </c>
      <c r="L1774" s="6">
        <f>MONTH(M1774)</f>
        <v/>
      </c>
      <c r="M1774" s="267">
        <f>IFERROR(__xludf.DUMMYFUNCTION("""COMPUTED_VALUE"""),45670.6666666666)</f>
        <v/>
      </c>
      <c r="N1774" s="6">
        <f>IFERROR(__xludf.DUMMYFUNCTION("""COMPUTED_VALUE"""),19088.1)</f>
        <v/>
      </c>
      <c r="R1774" s="6">
        <f>S1774&amp;T1774</f>
        <v/>
      </c>
      <c r="S1774" s="6">
        <f>YEAR(U1774)</f>
        <v/>
      </c>
      <c r="T1774" s="6">
        <f>MONTH(U1774)</f>
        <v/>
      </c>
      <c r="U1774" s="267">
        <f>IFERROR(__xludf.DUMMYFUNCTION("""COMPUTED_VALUE"""),45742.6458333333)</f>
        <v/>
      </c>
      <c r="V1774" s="6">
        <f>IFERROR(__xludf.DUMMYFUNCTION("""COMPUTED_VALUE"""),2643.94)</f>
        <v/>
      </c>
      <c r="Z1774" s="6">
        <f>AA1774&amp;AB1774</f>
        <v/>
      </c>
      <c r="AA1774" s="6">
        <f>YEAR(AC1774)</f>
        <v/>
      </c>
      <c r="AB1774" s="6">
        <f>MONTH(AC1774)</f>
        <v/>
      </c>
      <c r="AC1774" s="267">
        <f>IFERROR(__xludf.DUMMYFUNCTION("""COMPUTED_VALUE"""),44923.9986111111)</f>
        <v/>
      </c>
      <c r="AD1774" s="6">
        <f>IFERROR(__xludf.DUMMYFUNCTION("""COMPUTED_VALUE"""),1274.32)</f>
        <v/>
      </c>
      <c r="AH1774" s="6">
        <f>AI1774&amp;AJ1774</f>
        <v/>
      </c>
      <c r="AI1774" s="6">
        <f>YEAR(AK1774)</f>
        <v/>
      </c>
      <c r="AJ1774" s="6">
        <f>MONTH(AK1774)</f>
        <v/>
      </c>
      <c r="AK1774" s="267">
        <f>IFERROR(__xludf.DUMMYFUNCTION("""COMPUTED_VALUE"""),44867.9986111111)</f>
        <v/>
      </c>
      <c r="AL1774" s="6">
        <f>IFERROR(__xludf.DUMMYFUNCTION("""COMPUTED_VALUE"""),20151.43)</f>
        <v/>
      </c>
      <c r="AP1774" s="6">
        <f>AQ1774&amp;AR1774</f>
        <v/>
      </c>
      <c r="AQ1774" s="6">
        <f>YEAR(AS1774)</f>
        <v/>
      </c>
      <c r="AR1774" s="6">
        <f>MONTH(AS1774)</f>
        <v/>
      </c>
      <c r="AS1774" s="267">
        <f>IFERROR(__xludf.DUMMYFUNCTION("""COMPUTED_VALUE"""),45685.9986111111)</f>
        <v/>
      </c>
      <c r="AT1774" s="6">
        <f>IFERROR(__xludf.DUMMYFUNCTION("""COMPUTED_VALUE"""),2794.6)</f>
        <v/>
      </c>
    </row>
    <row r="1775">
      <c r="B1775" s="6">
        <f>C1775&amp;D1775</f>
        <v/>
      </c>
      <c r="C1775" s="6">
        <f>YEAR(E1775)</f>
        <v/>
      </c>
      <c r="D1775" s="6">
        <f>MONTH(E1775)</f>
        <v/>
      </c>
      <c r="E1775" s="267">
        <f>IFERROR(__xludf.DUMMYFUNCTION("""COMPUTED_VALUE"""),45679.6666666666)</f>
        <v/>
      </c>
      <c r="F1775" s="6">
        <f>IFERROR(__xludf.DUMMYFUNCTION("""COMPUTED_VALUE"""),6086.37)</f>
        <v/>
      </c>
      <c r="J1775" s="6">
        <f>K1775&amp;L1775</f>
        <v/>
      </c>
      <c r="K1775" s="6">
        <f>YEAR(M1775)</f>
        <v/>
      </c>
      <c r="L1775" s="6">
        <f>MONTH(M1775)</f>
        <v/>
      </c>
      <c r="M1775" s="267">
        <f>IFERROR(__xludf.DUMMYFUNCTION("""COMPUTED_VALUE"""),45671.6666666666)</f>
        <v/>
      </c>
      <c r="N1775" s="6">
        <f>IFERROR(__xludf.DUMMYFUNCTION("""COMPUTED_VALUE"""),19044.39)</f>
        <v/>
      </c>
      <c r="R1775" s="6">
        <f>S1775&amp;T1775</f>
        <v/>
      </c>
      <c r="S1775" s="6">
        <f>YEAR(U1775)</f>
        <v/>
      </c>
      <c r="T1775" s="6">
        <f>MONTH(U1775)</f>
        <v/>
      </c>
      <c r="U1775" s="267">
        <f>IFERROR(__xludf.DUMMYFUNCTION("""COMPUTED_VALUE"""),45743.6458333333)</f>
        <v/>
      </c>
      <c r="V1775" s="6">
        <f>IFERROR(__xludf.DUMMYFUNCTION("""COMPUTED_VALUE"""),2607.15)</f>
        <v/>
      </c>
      <c r="Z1775" s="6">
        <f>AA1775&amp;AB1775</f>
        <v/>
      </c>
      <c r="AA1775" s="6">
        <f>YEAR(AC1775)</f>
        <v/>
      </c>
      <c r="AB1775" s="6">
        <f>MONTH(AC1775)</f>
        <v/>
      </c>
      <c r="AC1775" s="267">
        <f>IFERROR(__xludf.DUMMYFUNCTION("""COMPUTED_VALUE"""),44924.9986111111)</f>
        <v/>
      </c>
      <c r="AD1775" s="6">
        <f>IFERROR(__xludf.DUMMYFUNCTION("""COMPUTED_VALUE"""),1260.26)</f>
        <v/>
      </c>
      <c r="AH1775" s="6">
        <f>AI1775&amp;AJ1775</f>
        <v/>
      </c>
      <c r="AI1775" s="6">
        <f>YEAR(AK1775)</f>
        <v/>
      </c>
      <c r="AJ1775" s="6">
        <f>MONTH(AK1775)</f>
        <v/>
      </c>
      <c r="AK1775" s="267">
        <f>IFERROR(__xludf.DUMMYFUNCTION("""COMPUTED_VALUE"""),44868.9986111111)</f>
        <v/>
      </c>
      <c r="AL1775" s="6">
        <f>IFERROR(__xludf.DUMMYFUNCTION("""COMPUTED_VALUE"""),20206.75)</f>
        <v/>
      </c>
      <c r="AP1775" s="6">
        <f>AQ1775&amp;AR1775</f>
        <v/>
      </c>
      <c r="AQ1775" s="6">
        <f>YEAR(AS1775)</f>
        <v/>
      </c>
      <c r="AR1775" s="6">
        <f>MONTH(AS1775)</f>
        <v/>
      </c>
      <c r="AS1775" s="267">
        <f>IFERROR(__xludf.DUMMYFUNCTION("""COMPUTED_VALUE"""),45686.9986111111)</f>
        <v/>
      </c>
      <c r="AT1775" s="6">
        <f>IFERROR(__xludf.DUMMYFUNCTION("""COMPUTED_VALUE"""),2793.5)</f>
        <v/>
      </c>
    </row>
    <row r="1776">
      <c r="B1776" s="6">
        <f>C1776&amp;D1776</f>
        <v/>
      </c>
      <c r="C1776" s="6">
        <f>YEAR(E1776)</f>
        <v/>
      </c>
      <c r="D1776" s="6">
        <f>MONTH(E1776)</f>
        <v/>
      </c>
      <c r="E1776" s="267">
        <f>IFERROR(__xludf.DUMMYFUNCTION("""COMPUTED_VALUE"""),45680.6666666666)</f>
        <v/>
      </c>
      <c r="F1776" s="6">
        <f>IFERROR(__xludf.DUMMYFUNCTION("""COMPUTED_VALUE"""),6118.71)</f>
        <v/>
      </c>
      <c r="J1776" s="6">
        <f>K1776&amp;L1776</f>
        <v/>
      </c>
      <c r="K1776" s="6">
        <f>YEAR(M1776)</f>
        <v/>
      </c>
      <c r="L1776" s="6">
        <f>MONTH(M1776)</f>
        <v/>
      </c>
      <c r="M1776" s="267">
        <f>IFERROR(__xludf.DUMMYFUNCTION("""COMPUTED_VALUE"""),45672.6666666666)</f>
        <v/>
      </c>
      <c r="N1776" s="6">
        <f>IFERROR(__xludf.DUMMYFUNCTION("""COMPUTED_VALUE"""),19511.23)</f>
        <v/>
      </c>
      <c r="R1776" s="6">
        <f>S1776&amp;T1776</f>
        <v/>
      </c>
      <c r="S1776" s="6">
        <f>YEAR(U1776)</f>
        <v/>
      </c>
      <c r="T1776" s="6">
        <f>MONTH(U1776)</f>
        <v/>
      </c>
      <c r="U1776" s="267">
        <f>IFERROR(__xludf.DUMMYFUNCTION("""COMPUTED_VALUE"""),45744.6458333333)</f>
        <v/>
      </c>
      <c r="V1776" s="6">
        <f>IFERROR(__xludf.DUMMYFUNCTION("""COMPUTED_VALUE"""),2557.98)</f>
        <v/>
      </c>
      <c r="Z1776" s="6">
        <f>AA1776&amp;AB1776</f>
        <v/>
      </c>
      <c r="AA1776" s="6">
        <f>YEAR(AC1776)</f>
        <v/>
      </c>
      <c r="AB1776" s="6">
        <f>MONTH(AC1776)</f>
        <v/>
      </c>
      <c r="AC1776" s="267">
        <f>IFERROR(__xludf.DUMMYFUNCTION("""COMPUTED_VALUE"""),44925.9986111111)</f>
        <v/>
      </c>
      <c r="AD1776" s="6">
        <f>IFERROR(__xludf.DUMMYFUNCTION("""COMPUTED_VALUE"""),1260.91)</f>
        <v/>
      </c>
      <c r="AH1776" s="6">
        <f>AI1776&amp;AJ1776</f>
        <v/>
      </c>
      <c r="AI1776" s="6">
        <f>YEAR(AK1776)</f>
        <v/>
      </c>
      <c r="AJ1776" s="6">
        <f>MONTH(AK1776)</f>
        <v/>
      </c>
      <c r="AK1776" s="267">
        <f>IFERROR(__xludf.DUMMYFUNCTION("""COMPUTED_VALUE"""),44869.9986111111)</f>
        <v/>
      </c>
      <c r="AL1776" s="6">
        <f>IFERROR(__xludf.DUMMYFUNCTION("""COMPUTED_VALUE"""),21147.78)</f>
        <v/>
      </c>
      <c r="AP1776" s="6">
        <f>AQ1776&amp;AR1776</f>
        <v/>
      </c>
      <c r="AQ1776" s="6">
        <f>YEAR(AS1776)</f>
        <v/>
      </c>
      <c r="AR1776" s="6">
        <f>MONTH(AS1776)</f>
        <v/>
      </c>
      <c r="AS1776" s="267">
        <f>IFERROR(__xludf.DUMMYFUNCTION("""COMPUTED_VALUE"""),45687.9986111111)</f>
        <v/>
      </c>
      <c r="AT1776" s="6">
        <f>IFERROR(__xludf.DUMMYFUNCTION("""COMPUTED_VALUE"""),2845.2)</f>
        <v/>
      </c>
    </row>
    <row r="1777">
      <c r="B1777" s="6">
        <f>C1777&amp;D1777</f>
        <v/>
      </c>
      <c r="C1777" s="6">
        <f>YEAR(E1777)</f>
        <v/>
      </c>
      <c r="D1777" s="6">
        <f>MONTH(E1777)</f>
        <v/>
      </c>
      <c r="E1777" s="267">
        <f>IFERROR(__xludf.DUMMYFUNCTION("""COMPUTED_VALUE"""),45681.6666666666)</f>
        <v/>
      </c>
      <c r="F1777" s="6">
        <f>IFERROR(__xludf.DUMMYFUNCTION("""COMPUTED_VALUE"""),6101.24)</f>
        <v/>
      </c>
      <c r="J1777" s="6">
        <f>K1777&amp;L1777</f>
        <v/>
      </c>
      <c r="K1777" s="6">
        <f>YEAR(M1777)</f>
        <v/>
      </c>
      <c r="L1777" s="6">
        <f>MONTH(M1777)</f>
        <v/>
      </c>
      <c r="M1777" s="267">
        <f>IFERROR(__xludf.DUMMYFUNCTION("""COMPUTED_VALUE"""),45673.6666666666)</f>
        <v/>
      </c>
      <c r="N1777" s="6">
        <f>IFERROR(__xludf.DUMMYFUNCTION("""COMPUTED_VALUE"""),19338.29)</f>
        <v/>
      </c>
      <c r="R1777" s="6">
        <f>S1777&amp;T1777</f>
        <v/>
      </c>
      <c r="S1777" s="6">
        <f>YEAR(U1777)</f>
        <v/>
      </c>
      <c r="T1777" s="6">
        <f>MONTH(U1777)</f>
        <v/>
      </c>
      <c r="U1777" s="267">
        <f>IFERROR(__xludf.DUMMYFUNCTION("""COMPUTED_VALUE"""),45747.6458333333)</f>
        <v/>
      </c>
      <c r="V1777" s="6">
        <f>IFERROR(__xludf.DUMMYFUNCTION("""COMPUTED_VALUE"""),2481.12)</f>
        <v/>
      </c>
      <c r="Z1777" s="6">
        <f>AA1777&amp;AB1777</f>
        <v/>
      </c>
      <c r="AA1777" s="6">
        <f>YEAR(AC1777)</f>
        <v/>
      </c>
      <c r="AB1777" s="6">
        <f>MONTH(AC1777)</f>
        <v/>
      </c>
      <c r="AC1777" s="267">
        <f>IFERROR(__xludf.DUMMYFUNCTION("""COMPUTED_VALUE"""),44926.9986111111)</f>
        <v/>
      </c>
      <c r="AD1777" s="6">
        <f>IFERROR(__xludf.DUMMYFUNCTION("""COMPUTED_VALUE"""),1260.91)</f>
        <v/>
      </c>
      <c r="AH1777" s="6">
        <f>AI1777&amp;AJ1777</f>
        <v/>
      </c>
      <c r="AI1777" s="6">
        <f>YEAR(AK1777)</f>
        <v/>
      </c>
      <c r="AJ1777" s="6">
        <f>MONTH(AK1777)</f>
        <v/>
      </c>
      <c r="AK1777" s="267">
        <f>IFERROR(__xludf.DUMMYFUNCTION("""COMPUTED_VALUE"""),44870.9986111111)</f>
        <v/>
      </c>
      <c r="AL1777" s="6">
        <f>IFERROR(__xludf.DUMMYFUNCTION("""COMPUTED_VALUE"""),21298.16)</f>
        <v/>
      </c>
      <c r="AP1777" s="6">
        <f>AQ1777&amp;AR1777</f>
        <v/>
      </c>
      <c r="AQ1777" s="6">
        <f>YEAR(AS1777)</f>
        <v/>
      </c>
      <c r="AR1777" s="6">
        <f>MONTH(AS1777)</f>
        <v/>
      </c>
      <c r="AS1777" s="267">
        <f>IFERROR(__xludf.DUMMYFUNCTION("""COMPUTED_VALUE"""),45688.9986111111)</f>
        <v/>
      </c>
      <c r="AT1777" s="6">
        <f>IFERROR(__xludf.DUMMYFUNCTION("""COMPUTED_VALUE"""),2835)</f>
        <v/>
      </c>
    </row>
    <row r="1778">
      <c r="B1778" s="6">
        <f>C1778&amp;D1778</f>
        <v/>
      </c>
      <c r="C1778" s="6">
        <f>YEAR(E1778)</f>
        <v/>
      </c>
      <c r="D1778" s="6">
        <f>MONTH(E1778)</f>
        <v/>
      </c>
      <c r="E1778" s="267">
        <f>IFERROR(__xludf.DUMMYFUNCTION("""COMPUTED_VALUE"""),45684.6666666666)</f>
        <v/>
      </c>
      <c r="F1778" s="6">
        <f>IFERROR(__xludf.DUMMYFUNCTION("""COMPUTED_VALUE"""),6012.28)</f>
        <v/>
      </c>
      <c r="J1778" s="6">
        <f>K1778&amp;L1778</f>
        <v/>
      </c>
      <c r="K1778" s="6">
        <f>YEAR(M1778)</f>
        <v/>
      </c>
      <c r="L1778" s="6">
        <f>MONTH(M1778)</f>
        <v/>
      </c>
      <c r="M1778" s="267">
        <f>IFERROR(__xludf.DUMMYFUNCTION("""COMPUTED_VALUE"""),45674.6666666666)</f>
        <v/>
      </c>
      <c r="N1778" s="6">
        <f>IFERROR(__xludf.DUMMYFUNCTION("""COMPUTED_VALUE"""),19630.2)</f>
        <v/>
      </c>
      <c r="R1778" s="6">
        <f>S1778&amp;T1778</f>
        <v/>
      </c>
      <c r="S1778" s="6">
        <f>YEAR(U1778)</f>
        <v/>
      </c>
      <c r="T1778" s="6">
        <f>MONTH(U1778)</f>
        <v/>
      </c>
      <c r="U1778" s="267">
        <f>IFERROR(__xludf.DUMMYFUNCTION("""COMPUTED_VALUE"""),45748.6458333333)</f>
        <v/>
      </c>
      <c r="V1778" s="6">
        <f>IFERROR(__xludf.DUMMYFUNCTION("""COMPUTED_VALUE"""),2521.39)</f>
        <v/>
      </c>
      <c r="Z1778" s="6">
        <f>AA1778&amp;AB1778</f>
        <v/>
      </c>
      <c r="AA1778" s="6">
        <f>YEAR(AC1778)</f>
        <v/>
      </c>
      <c r="AB1778" s="6">
        <f>MONTH(AC1778)</f>
        <v/>
      </c>
      <c r="AC1778" s="267">
        <f>IFERROR(__xludf.DUMMYFUNCTION("""COMPUTED_VALUE"""),44927.9986111111)</f>
        <v/>
      </c>
      <c r="AD1778" s="6">
        <f>IFERROR(__xludf.DUMMYFUNCTION("""COMPUTED_VALUE"""),1260.91)</f>
        <v/>
      </c>
      <c r="AH1778" s="6">
        <f>AI1778&amp;AJ1778</f>
        <v/>
      </c>
      <c r="AI1778" s="6">
        <f>YEAR(AK1778)</f>
        <v/>
      </c>
      <c r="AJ1778" s="6">
        <f>MONTH(AK1778)</f>
        <v/>
      </c>
      <c r="AK1778" s="267">
        <f>IFERROR(__xludf.DUMMYFUNCTION("""COMPUTED_VALUE"""),44871.9986111111)</f>
        <v/>
      </c>
      <c r="AL1778" s="6">
        <f>IFERROR(__xludf.DUMMYFUNCTION("""COMPUTED_VALUE"""),20912.94)</f>
        <v/>
      </c>
      <c r="AP1778" s="6">
        <f>AQ1778&amp;AR1778</f>
        <v/>
      </c>
      <c r="AQ1778" s="6">
        <f>YEAR(AS1778)</f>
        <v/>
      </c>
      <c r="AR1778" s="6">
        <f>MONTH(AS1778)</f>
        <v/>
      </c>
      <c r="AS1778" s="267">
        <f>IFERROR(__xludf.DUMMYFUNCTION("""COMPUTED_VALUE"""),45691.9986111111)</f>
        <v/>
      </c>
      <c r="AT1778" s="6">
        <f>IFERROR(__xludf.DUMMYFUNCTION("""COMPUTED_VALUE"""),2857.1)</f>
        <v/>
      </c>
    </row>
    <row r="1779">
      <c r="B1779" s="6">
        <f>C1779&amp;D1779</f>
        <v/>
      </c>
      <c r="C1779" s="6">
        <f>YEAR(E1779)</f>
        <v/>
      </c>
      <c r="D1779" s="6">
        <f>MONTH(E1779)</f>
        <v/>
      </c>
      <c r="E1779" s="267">
        <f>IFERROR(__xludf.DUMMYFUNCTION("""COMPUTED_VALUE"""),45685.6666666666)</f>
        <v/>
      </c>
      <c r="F1779" s="6">
        <f>IFERROR(__xludf.DUMMYFUNCTION("""COMPUTED_VALUE"""),6067.7)</f>
        <v/>
      </c>
      <c r="J1779" s="6">
        <f>K1779&amp;L1779</f>
        <v/>
      </c>
      <c r="K1779" s="6">
        <f>YEAR(M1779)</f>
        <v/>
      </c>
      <c r="L1779" s="6">
        <f>MONTH(M1779)</f>
        <v/>
      </c>
      <c r="M1779" s="267">
        <f>IFERROR(__xludf.DUMMYFUNCTION("""COMPUTED_VALUE"""),45678.6666666666)</f>
        <v/>
      </c>
      <c r="N1779" s="6">
        <f>IFERROR(__xludf.DUMMYFUNCTION("""COMPUTED_VALUE"""),19756.78)</f>
        <v/>
      </c>
      <c r="R1779" s="6">
        <f>S1779&amp;T1779</f>
        <v/>
      </c>
      <c r="S1779" s="6">
        <f>YEAR(U1779)</f>
        <v/>
      </c>
      <c r="T1779" s="6">
        <f>MONTH(U1779)</f>
        <v/>
      </c>
      <c r="U1779" s="267">
        <f>IFERROR(__xludf.DUMMYFUNCTION("""COMPUTED_VALUE"""),45749.6458333333)</f>
        <v/>
      </c>
      <c r="V1779" s="6">
        <f>IFERROR(__xludf.DUMMYFUNCTION("""COMPUTED_VALUE"""),2505.86)</f>
        <v/>
      </c>
      <c r="Z1779" s="6">
        <f>AA1779&amp;AB1779</f>
        <v/>
      </c>
      <c r="AA1779" s="6">
        <f>YEAR(AC1779)</f>
        <v/>
      </c>
      <c r="AB1779" s="6">
        <f>MONTH(AC1779)</f>
        <v/>
      </c>
      <c r="AC1779" s="267">
        <f>IFERROR(__xludf.DUMMYFUNCTION("""COMPUTED_VALUE"""),44928.9986111111)</f>
        <v/>
      </c>
      <c r="AD1779" s="6">
        <f>IFERROR(__xludf.DUMMYFUNCTION("""COMPUTED_VALUE"""),1270.1)</f>
        <v/>
      </c>
      <c r="AH1779" s="6">
        <f>AI1779&amp;AJ1779</f>
        <v/>
      </c>
      <c r="AI1779" s="6">
        <f>YEAR(AK1779)</f>
        <v/>
      </c>
      <c r="AJ1779" s="6">
        <f>MONTH(AK1779)</f>
        <v/>
      </c>
      <c r="AK1779" s="267">
        <f>IFERROR(__xludf.DUMMYFUNCTION("""COMPUTED_VALUE"""),44872.9986111111)</f>
        <v/>
      </c>
      <c r="AL1779" s="6">
        <f>IFERROR(__xludf.DUMMYFUNCTION("""COMPUTED_VALUE"""),20588.9)</f>
        <v/>
      </c>
      <c r="AP1779" s="6">
        <f>AQ1779&amp;AR1779</f>
        <v/>
      </c>
      <c r="AQ1779" s="6">
        <f>YEAR(AS1779)</f>
        <v/>
      </c>
      <c r="AR1779" s="6">
        <f>MONTH(AS1779)</f>
        <v/>
      </c>
      <c r="AS1779" s="267">
        <f>IFERROR(__xludf.DUMMYFUNCTION("""COMPUTED_VALUE"""),45692.9986111111)</f>
        <v/>
      </c>
      <c r="AT1779" s="6">
        <f>IFERROR(__xludf.DUMMYFUNCTION("""COMPUTED_VALUE"""),2875.8)</f>
        <v/>
      </c>
    </row>
    <row r="1780">
      <c r="B1780" s="6">
        <f>C1780&amp;D1780</f>
        <v/>
      </c>
      <c r="C1780" s="6">
        <f>YEAR(E1780)</f>
        <v/>
      </c>
      <c r="D1780" s="6">
        <f>MONTH(E1780)</f>
        <v/>
      </c>
      <c r="E1780" s="267">
        <f>IFERROR(__xludf.DUMMYFUNCTION("""COMPUTED_VALUE"""),45686.6666666666)</f>
        <v/>
      </c>
      <c r="F1780" s="6">
        <f>IFERROR(__xludf.DUMMYFUNCTION("""COMPUTED_VALUE"""),6039.31)</f>
        <v/>
      </c>
      <c r="J1780" s="6">
        <f>K1780&amp;L1780</f>
        <v/>
      </c>
      <c r="K1780" s="6">
        <f>YEAR(M1780)</f>
        <v/>
      </c>
      <c r="L1780" s="6">
        <f>MONTH(M1780)</f>
        <v/>
      </c>
      <c r="M1780" s="267">
        <f>IFERROR(__xludf.DUMMYFUNCTION("""COMPUTED_VALUE"""),45679.6666666666)</f>
        <v/>
      </c>
      <c r="N1780" s="6">
        <f>IFERROR(__xludf.DUMMYFUNCTION("""COMPUTED_VALUE"""),20009.34)</f>
        <v/>
      </c>
      <c r="R1780" s="6">
        <f>S1780&amp;T1780</f>
        <v/>
      </c>
      <c r="S1780" s="6">
        <f>YEAR(U1780)</f>
        <v/>
      </c>
      <c r="T1780" s="6">
        <f>MONTH(U1780)</f>
        <v/>
      </c>
      <c r="U1780" s="267">
        <f>IFERROR(__xludf.DUMMYFUNCTION("""COMPUTED_VALUE"""),45750.6458333333)</f>
        <v/>
      </c>
      <c r="V1780" s="6">
        <f>IFERROR(__xludf.DUMMYFUNCTION("""COMPUTED_VALUE"""),2486.7)</f>
        <v/>
      </c>
      <c r="Z1780" s="6">
        <f>AA1780&amp;AB1780</f>
        <v/>
      </c>
      <c r="AA1780" s="6">
        <f>YEAR(AC1780)</f>
        <v/>
      </c>
      <c r="AB1780" s="6">
        <f>MONTH(AC1780)</f>
        <v/>
      </c>
      <c r="AC1780" s="267">
        <f>IFERROR(__xludf.DUMMYFUNCTION("""COMPUTED_VALUE"""),44929.9986111111)</f>
        <v/>
      </c>
      <c r="AD1780" s="6">
        <f>IFERROR(__xludf.DUMMYFUNCTION("""COMPUTED_VALUE"""),1279.08)</f>
        <v/>
      </c>
      <c r="AH1780" s="6">
        <f>AI1780&amp;AJ1780</f>
        <v/>
      </c>
      <c r="AI1780" s="6">
        <f>YEAR(AK1780)</f>
        <v/>
      </c>
      <c r="AJ1780" s="6">
        <f>MONTH(AK1780)</f>
        <v/>
      </c>
      <c r="AK1780" s="267">
        <f>IFERROR(__xludf.DUMMYFUNCTION("""COMPUTED_VALUE"""),44873.9986111111)</f>
        <v/>
      </c>
      <c r="AL1780" s="6">
        <f>IFERROR(__xludf.DUMMYFUNCTION("""COMPUTED_VALUE"""),18525.02)</f>
        <v/>
      </c>
      <c r="AP1780" s="6">
        <f>AQ1780&amp;AR1780</f>
        <v/>
      </c>
      <c r="AQ1780" s="6">
        <f>YEAR(AS1780)</f>
        <v/>
      </c>
      <c r="AR1780" s="6">
        <f>MONTH(AS1780)</f>
        <v/>
      </c>
      <c r="AS1780" s="267">
        <f>IFERROR(__xludf.DUMMYFUNCTION("""COMPUTED_VALUE"""),45693.9986111111)</f>
        <v/>
      </c>
      <c r="AT1780" s="6">
        <f>IFERROR(__xludf.DUMMYFUNCTION("""COMPUTED_VALUE"""),2893)</f>
        <v/>
      </c>
    </row>
    <row r="1781">
      <c r="B1781" s="6">
        <f>C1781&amp;D1781</f>
        <v/>
      </c>
      <c r="C1781" s="6">
        <f>YEAR(E1781)</f>
        <v/>
      </c>
      <c r="D1781" s="6">
        <f>MONTH(E1781)</f>
        <v/>
      </c>
      <c r="E1781" s="267">
        <f>IFERROR(__xludf.DUMMYFUNCTION("""COMPUTED_VALUE"""),45687.6666666666)</f>
        <v/>
      </c>
      <c r="F1781" s="6">
        <f>IFERROR(__xludf.DUMMYFUNCTION("""COMPUTED_VALUE"""),6071.17)</f>
        <v/>
      </c>
      <c r="J1781" s="6">
        <f>K1781&amp;L1781</f>
        <v/>
      </c>
      <c r="K1781" s="6">
        <f>YEAR(M1781)</f>
        <v/>
      </c>
      <c r="L1781" s="6">
        <f>MONTH(M1781)</f>
        <v/>
      </c>
      <c r="M1781" s="267">
        <f>IFERROR(__xludf.DUMMYFUNCTION("""COMPUTED_VALUE"""),45680.6666666666)</f>
        <v/>
      </c>
      <c r="N1781" s="6">
        <f>IFERROR(__xludf.DUMMYFUNCTION("""COMPUTED_VALUE"""),20053.68)</f>
        <v/>
      </c>
      <c r="R1781" s="6">
        <f>S1781&amp;T1781</f>
        <v/>
      </c>
      <c r="S1781" s="6">
        <f>YEAR(U1781)</f>
        <v/>
      </c>
      <c r="T1781" s="6">
        <f>MONTH(U1781)</f>
        <v/>
      </c>
      <c r="U1781" s="267">
        <f>IFERROR(__xludf.DUMMYFUNCTION("""COMPUTED_VALUE"""),45751.6458333333)</f>
        <v/>
      </c>
      <c r="V1781" s="6">
        <f>IFERROR(__xludf.DUMMYFUNCTION("""COMPUTED_VALUE"""),2465.42)</f>
        <v/>
      </c>
      <c r="Z1781" s="6">
        <f>AA1781&amp;AB1781</f>
        <v/>
      </c>
      <c r="AA1781" s="6">
        <f>YEAR(AC1781)</f>
        <v/>
      </c>
      <c r="AB1781" s="6">
        <f>MONTH(AC1781)</f>
        <v/>
      </c>
      <c r="AC1781" s="267">
        <f>IFERROR(__xludf.DUMMYFUNCTION("""COMPUTED_VALUE"""),44930.9986111111)</f>
        <v/>
      </c>
      <c r="AD1781" s="6">
        <f>IFERROR(__xludf.DUMMYFUNCTION("""COMPUTED_VALUE"""),1271.08)</f>
        <v/>
      </c>
      <c r="AH1781" s="6">
        <f>AI1781&amp;AJ1781</f>
        <v/>
      </c>
      <c r="AI1781" s="6">
        <f>YEAR(AK1781)</f>
        <v/>
      </c>
      <c r="AJ1781" s="6">
        <f>MONTH(AK1781)</f>
        <v/>
      </c>
      <c r="AK1781" s="267">
        <f>IFERROR(__xludf.DUMMYFUNCTION("""COMPUTED_VALUE"""),44874.9986111111)</f>
        <v/>
      </c>
      <c r="AL1781" s="6">
        <f>IFERROR(__xludf.DUMMYFUNCTION("""COMPUTED_VALUE"""),15866.11)</f>
        <v/>
      </c>
      <c r="AP1781" s="6">
        <f>AQ1781&amp;AR1781</f>
        <v/>
      </c>
      <c r="AQ1781" s="6">
        <f>YEAR(AS1781)</f>
        <v/>
      </c>
      <c r="AR1781" s="6">
        <f>MONTH(AS1781)</f>
        <v/>
      </c>
      <c r="AS1781" s="267">
        <f>IFERROR(__xludf.DUMMYFUNCTION("""COMPUTED_VALUE"""),45694.9986111111)</f>
        <v/>
      </c>
      <c r="AT1781" s="6">
        <f>IFERROR(__xludf.DUMMYFUNCTION("""COMPUTED_VALUE"""),2876.7)</f>
        <v/>
      </c>
    </row>
    <row r="1782">
      <c r="B1782" s="6">
        <f>C1782&amp;D1782</f>
        <v/>
      </c>
      <c r="C1782" s="6">
        <f>YEAR(E1782)</f>
        <v/>
      </c>
      <c r="D1782" s="6">
        <f>MONTH(E1782)</f>
        <v/>
      </c>
      <c r="E1782" s="267">
        <f>IFERROR(__xludf.DUMMYFUNCTION("""COMPUTED_VALUE"""),45688.6666666666)</f>
        <v/>
      </c>
      <c r="F1782" s="6">
        <f>IFERROR(__xludf.DUMMYFUNCTION("""COMPUTED_VALUE"""),6040.53)</f>
        <v/>
      </c>
      <c r="J1782" s="6">
        <f>K1782&amp;L1782</f>
        <v/>
      </c>
      <c r="K1782" s="6">
        <f>YEAR(M1782)</f>
        <v/>
      </c>
      <c r="L1782" s="6">
        <f>MONTH(M1782)</f>
        <v/>
      </c>
      <c r="M1782" s="267">
        <f>IFERROR(__xludf.DUMMYFUNCTION("""COMPUTED_VALUE"""),45681.6666666666)</f>
        <v/>
      </c>
      <c r="N1782" s="6">
        <f>IFERROR(__xludf.DUMMYFUNCTION("""COMPUTED_VALUE"""),19954.3)</f>
        <v/>
      </c>
      <c r="R1782" s="6">
        <f>S1782&amp;T1782</f>
        <v/>
      </c>
      <c r="S1782" s="6">
        <f>YEAR(U1782)</f>
        <v/>
      </c>
      <c r="T1782" s="6">
        <f>MONTH(U1782)</f>
        <v/>
      </c>
      <c r="U1782" s="267">
        <f>IFERROR(__xludf.DUMMYFUNCTION("""COMPUTED_VALUE"""),45754.6458333333)</f>
        <v/>
      </c>
      <c r="V1782" s="6">
        <f>IFERROR(__xludf.DUMMYFUNCTION("""COMPUTED_VALUE"""),2328.2)</f>
        <v/>
      </c>
      <c r="Z1782" s="6">
        <f>AA1782&amp;AB1782</f>
        <v/>
      </c>
      <c r="AA1782" s="6">
        <f>YEAR(AC1782)</f>
        <v/>
      </c>
      <c r="AB1782" s="6">
        <f>MONTH(AC1782)</f>
        <v/>
      </c>
      <c r="AC1782" s="267">
        <f>IFERROR(__xludf.DUMMYFUNCTION("""COMPUTED_VALUE"""),44931.9986111111)</f>
        <v/>
      </c>
      <c r="AD1782" s="6">
        <f>IFERROR(__xludf.DUMMYFUNCTION("""COMPUTED_VALUE"""),1274.18)</f>
        <v/>
      </c>
      <c r="AH1782" s="6">
        <f>AI1782&amp;AJ1782</f>
        <v/>
      </c>
      <c r="AI1782" s="6">
        <f>YEAR(AK1782)</f>
        <v/>
      </c>
      <c r="AJ1782" s="6">
        <f>MONTH(AK1782)</f>
        <v/>
      </c>
      <c r="AK1782" s="267">
        <f>IFERROR(__xludf.DUMMYFUNCTION("""COMPUTED_VALUE"""),44875.9986111111)</f>
        <v/>
      </c>
      <c r="AL1782" s="6">
        <f>IFERROR(__xludf.DUMMYFUNCTION("""COMPUTED_VALUE"""),17565.25)</f>
        <v/>
      </c>
      <c r="AP1782" s="6">
        <f>AQ1782&amp;AR1782</f>
        <v/>
      </c>
      <c r="AQ1782" s="6">
        <f>YEAR(AS1782)</f>
        <v/>
      </c>
      <c r="AR1782" s="6">
        <f>MONTH(AS1782)</f>
        <v/>
      </c>
      <c r="AS1782" s="267">
        <f>IFERROR(__xludf.DUMMYFUNCTION("""COMPUTED_VALUE"""),45695.9986111111)</f>
        <v/>
      </c>
      <c r="AT1782" s="6">
        <f>IFERROR(__xludf.DUMMYFUNCTION("""COMPUTED_VALUE"""),2887.6)</f>
        <v/>
      </c>
    </row>
    <row r="1783">
      <c r="B1783" s="6">
        <f>C1783&amp;D1783</f>
        <v/>
      </c>
      <c r="C1783" s="6">
        <f>YEAR(E1783)</f>
        <v/>
      </c>
      <c r="D1783" s="6">
        <f>MONTH(E1783)</f>
        <v/>
      </c>
      <c r="E1783" s="267">
        <f>IFERROR(__xludf.DUMMYFUNCTION("""COMPUTED_VALUE"""),45691.6666666666)</f>
        <v/>
      </c>
      <c r="F1783" s="6">
        <f>IFERROR(__xludf.DUMMYFUNCTION("""COMPUTED_VALUE"""),5994.57)</f>
        <v/>
      </c>
      <c r="J1783" s="6">
        <f>K1783&amp;L1783</f>
        <v/>
      </c>
      <c r="K1783" s="6">
        <f>YEAR(M1783)</f>
        <v/>
      </c>
      <c r="L1783" s="6">
        <f>MONTH(M1783)</f>
        <v/>
      </c>
      <c r="M1783" s="267">
        <f>IFERROR(__xludf.DUMMYFUNCTION("""COMPUTED_VALUE"""),45684.6666666666)</f>
        <v/>
      </c>
      <c r="N1783" s="6">
        <f>IFERROR(__xludf.DUMMYFUNCTION("""COMPUTED_VALUE"""),19341.83)</f>
        <v/>
      </c>
      <c r="R1783" s="6">
        <f>S1783&amp;T1783</f>
        <v/>
      </c>
      <c r="S1783" s="6">
        <f>YEAR(U1783)</f>
        <v/>
      </c>
      <c r="T1783" s="6">
        <f>MONTH(U1783)</f>
        <v/>
      </c>
      <c r="U1783" s="267">
        <f>IFERROR(__xludf.DUMMYFUNCTION("""COMPUTED_VALUE"""),45755.6458333333)</f>
        <v/>
      </c>
      <c r="V1783" s="6">
        <f>IFERROR(__xludf.DUMMYFUNCTION("""COMPUTED_VALUE"""),2334.23)</f>
        <v/>
      </c>
      <c r="Z1783" s="6">
        <f>AA1783&amp;AB1783</f>
        <v/>
      </c>
      <c r="AA1783" s="6">
        <f>YEAR(AC1783)</f>
        <v/>
      </c>
      <c r="AB1783" s="6">
        <f>MONTH(AC1783)</f>
        <v/>
      </c>
      <c r="AC1783" s="267">
        <f>IFERROR(__xludf.DUMMYFUNCTION("""COMPUTED_VALUE"""),44932.9986111111)</f>
        <v/>
      </c>
      <c r="AD1783" s="6">
        <f>IFERROR(__xludf.DUMMYFUNCTION("""COMPUTED_VALUE"""),1252.88)</f>
        <v/>
      </c>
      <c r="AH1783" s="6">
        <f>AI1783&amp;AJ1783</f>
        <v/>
      </c>
      <c r="AI1783" s="6">
        <f>YEAR(AK1783)</f>
        <v/>
      </c>
      <c r="AJ1783" s="6">
        <f>MONTH(AK1783)</f>
        <v/>
      </c>
      <c r="AK1783" s="267">
        <f>IFERROR(__xludf.DUMMYFUNCTION("""COMPUTED_VALUE"""),44876.9986111111)</f>
        <v/>
      </c>
      <c r="AL1783" s="6">
        <f>IFERROR(__xludf.DUMMYFUNCTION("""COMPUTED_VALUE"""),17011.75)</f>
        <v/>
      </c>
      <c r="AP1783" s="6">
        <f>AQ1783&amp;AR1783</f>
        <v/>
      </c>
      <c r="AQ1783" s="6">
        <f>YEAR(AS1783)</f>
        <v/>
      </c>
      <c r="AR1783" s="6">
        <f>MONTH(AS1783)</f>
        <v/>
      </c>
      <c r="AS1783" s="267">
        <f>IFERROR(__xludf.DUMMYFUNCTION("""COMPUTED_VALUE"""),45698.9986111111)</f>
        <v/>
      </c>
      <c r="AT1783" s="6">
        <f>IFERROR(__xludf.DUMMYFUNCTION("""COMPUTED_VALUE"""),2934.4)</f>
        <v/>
      </c>
    </row>
    <row r="1784">
      <c r="B1784" s="6">
        <f>C1784&amp;D1784</f>
        <v/>
      </c>
      <c r="C1784" s="6">
        <f>YEAR(E1784)</f>
        <v/>
      </c>
      <c r="D1784" s="6">
        <f>MONTH(E1784)</f>
        <v/>
      </c>
      <c r="E1784" s="267">
        <f>IFERROR(__xludf.DUMMYFUNCTION("""COMPUTED_VALUE"""),45692.6666666666)</f>
        <v/>
      </c>
      <c r="F1784" s="6">
        <f>IFERROR(__xludf.DUMMYFUNCTION("""COMPUTED_VALUE"""),6037.88)</f>
        <v/>
      </c>
      <c r="J1784" s="6">
        <f>K1784&amp;L1784</f>
        <v/>
      </c>
      <c r="K1784" s="6">
        <f>YEAR(M1784)</f>
        <v/>
      </c>
      <c r="L1784" s="6">
        <f>MONTH(M1784)</f>
        <v/>
      </c>
      <c r="M1784" s="267">
        <f>IFERROR(__xludf.DUMMYFUNCTION("""COMPUTED_VALUE"""),45685.6666666666)</f>
        <v/>
      </c>
      <c r="N1784" s="6">
        <f>IFERROR(__xludf.DUMMYFUNCTION("""COMPUTED_VALUE"""),19733.59)</f>
        <v/>
      </c>
      <c r="R1784" s="6">
        <f>S1784&amp;T1784</f>
        <v/>
      </c>
      <c r="S1784" s="6">
        <f>YEAR(U1784)</f>
        <v/>
      </c>
      <c r="T1784" s="6">
        <f>MONTH(U1784)</f>
        <v/>
      </c>
      <c r="U1784" s="267">
        <f>IFERROR(__xludf.DUMMYFUNCTION("""COMPUTED_VALUE"""),45756.6458333333)</f>
        <v/>
      </c>
      <c r="V1784" s="6">
        <f>IFERROR(__xludf.DUMMYFUNCTION("""COMPUTED_VALUE"""),2293.7)</f>
        <v/>
      </c>
      <c r="Z1784" s="6">
        <f>AA1784&amp;AB1784</f>
        <v/>
      </c>
      <c r="AA1784" s="6">
        <f>YEAR(AC1784)</f>
        <v/>
      </c>
      <c r="AB1784" s="6">
        <f>MONTH(AC1784)</f>
        <v/>
      </c>
      <c r="AC1784" s="267">
        <f>IFERROR(__xludf.DUMMYFUNCTION("""COMPUTED_VALUE"""),44933.9986111111)</f>
        <v/>
      </c>
      <c r="AD1784" s="6">
        <f>IFERROR(__xludf.DUMMYFUNCTION("""COMPUTED_VALUE"""),1252.88)</f>
        <v/>
      </c>
      <c r="AH1784" s="6">
        <f>AI1784&amp;AJ1784</f>
        <v/>
      </c>
      <c r="AI1784" s="6">
        <f>YEAR(AK1784)</f>
        <v/>
      </c>
      <c r="AJ1784" s="6">
        <f>MONTH(AK1784)</f>
        <v/>
      </c>
      <c r="AK1784" s="267">
        <f>IFERROR(__xludf.DUMMYFUNCTION("""COMPUTED_VALUE"""),44877.9986111111)</f>
        <v/>
      </c>
      <c r="AL1784" s="6">
        <f>IFERROR(__xludf.DUMMYFUNCTION("""COMPUTED_VALUE"""),16782.38)</f>
        <v/>
      </c>
      <c r="AP1784" s="6">
        <f>AQ1784&amp;AR1784</f>
        <v/>
      </c>
      <c r="AQ1784" s="6">
        <f>YEAR(AS1784)</f>
        <v/>
      </c>
      <c r="AR1784" s="6">
        <f>MONTH(AS1784)</f>
        <v/>
      </c>
      <c r="AS1784" s="267">
        <f>IFERROR(__xludf.DUMMYFUNCTION("""COMPUTED_VALUE"""),45699.9986111111)</f>
        <v/>
      </c>
      <c r="AT1784" s="6">
        <f>IFERROR(__xludf.DUMMYFUNCTION("""COMPUTED_VALUE"""),2932.6)</f>
        <v/>
      </c>
    </row>
    <row r="1785">
      <c r="B1785" s="6">
        <f>C1785&amp;D1785</f>
        <v/>
      </c>
      <c r="C1785" s="6">
        <f>YEAR(E1785)</f>
        <v/>
      </c>
      <c r="D1785" s="6">
        <f>MONTH(E1785)</f>
        <v/>
      </c>
      <c r="E1785" s="267">
        <f>IFERROR(__xludf.DUMMYFUNCTION("""COMPUTED_VALUE"""),45693.6666666666)</f>
        <v/>
      </c>
      <c r="F1785" s="6">
        <f>IFERROR(__xludf.DUMMYFUNCTION("""COMPUTED_VALUE"""),6061.48)</f>
        <v/>
      </c>
      <c r="J1785" s="6">
        <f>K1785&amp;L1785</f>
        <v/>
      </c>
      <c r="K1785" s="6">
        <f>YEAR(M1785)</f>
        <v/>
      </c>
      <c r="L1785" s="6">
        <f>MONTH(M1785)</f>
        <v/>
      </c>
      <c r="M1785" s="267">
        <f>IFERROR(__xludf.DUMMYFUNCTION("""COMPUTED_VALUE"""),45686.6666666666)</f>
        <v/>
      </c>
      <c r="N1785" s="6">
        <f>IFERROR(__xludf.DUMMYFUNCTION("""COMPUTED_VALUE"""),19632.32)</f>
        <v/>
      </c>
      <c r="R1785" s="6">
        <f>S1785&amp;T1785</f>
        <v/>
      </c>
      <c r="S1785" s="6">
        <f>YEAR(U1785)</f>
        <v/>
      </c>
      <c r="T1785" s="6">
        <f>MONTH(U1785)</f>
        <v/>
      </c>
      <c r="U1785" s="267">
        <f>IFERROR(__xludf.DUMMYFUNCTION("""COMPUTED_VALUE"""),45757.6458333333)</f>
        <v/>
      </c>
      <c r="V1785" s="6">
        <f>IFERROR(__xludf.DUMMYFUNCTION("""COMPUTED_VALUE"""),2445.06)</f>
        <v/>
      </c>
      <c r="Z1785" s="6">
        <f>AA1785&amp;AB1785</f>
        <v/>
      </c>
      <c r="AA1785" s="6">
        <f>YEAR(AC1785)</f>
        <v/>
      </c>
      <c r="AB1785" s="6">
        <f>MONTH(AC1785)</f>
        <v/>
      </c>
      <c r="AC1785" s="267">
        <f>IFERROR(__xludf.DUMMYFUNCTION("""COMPUTED_VALUE"""),44934.9986111111)</f>
        <v/>
      </c>
      <c r="AD1785" s="6">
        <f>IFERROR(__xludf.DUMMYFUNCTION("""COMPUTED_VALUE"""),1252.88)</f>
        <v/>
      </c>
      <c r="AH1785" s="6">
        <f>AI1785&amp;AJ1785</f>
        <v/>
      </c>
      <c r="AI1785" s="6">
        <f>YEAR(AK1785)</f>
        <v/>
      </c>
      <c r="AJ1785" s="6">
        <f>MONTH(AK1785)</f>
        <v/>
      </c>
      <c r="AK1785" s="267">
        <f>IFERROR(__xludf.DUMMYFUNCTION("""COMPUTED_VALUE"""),44878.9986111111)</f>
        <v/>
      </c>
      <c r="AL1785" s="6">
        <f>IFERROR(__xludf.DUMMYFUNCTION("""COMPUTED_VALUE"""),16305.44)</f>
        <v/>
      </c>
      <c r="AP1785" s="6">
        <f>AQ1785&amp;AR1785</f>
        <v/>
      </c>
      <c r="AQ1785" s="6">
        <f>YEAR(AS1785)</f>
        <v/>
      </c>
      <c r="AR1785" s="6">
        <f>MONTH(AS1785)</f>
        <v/>
      </c>
      <c r="AS1785" s="267">
        <f>IFERROR(__xludf.DUMMYFUNCTION("""COMPUTED_VALUE"""),45700.9986111111)</f>
        <v/>
      </c>
      <c r="AT1785" s="6">
        <f>IFERROR(__xludf.DUMMYFUNCTION("""COMPUTED_VALUE"""),2928.7)</f>
        <v/>
      </c>
    </row>
    <row r="1786">
      <c r="B1786" s="6">
        <f>C1786&amp;D1786</f>
        <v/>
      </c>
      <c r="C1786" s="6">
        <f>YEAR(E1786)</f>
        <v/>
      </c>
      <c r="D1786" s="6">
        <f>MONTH(E1786)</f>
        <v/>
      </c>
      <c r="E1786" s="267">
        <f>IFERROR(__xludf.DUMMYFUNCTION("""COMPUTED_VALUE"""),45694.6666666666)</f>
        <v/>
      </c>
      <c r="F1786" s="6">
        <f>IFERROR(__xludf.DUMMYFUNCTION("""COMPUTED_VALUE"""),6083.57)</f>
        <v/>
      </c>
      <c r="J1786" s="6">
        <f>K1786&amp;L1786</f>
        <v/>
      </c>
      <c r="K1786" s="6">
        <f>YEAR(M1786)</f>
        <v/>
      </c>
      <c r="L1786" s="6">
        <f>MONTH(M1786)</f>
        <v/>
      </c>
      <c r="M1786" s="267">
        <f>IFERROR(__xludf.DUMMYFUNCTION("""COMPUTED_VALUE"""),45687.6666666666)</f>
        <v/>
      </c>
      <c r="N1786" s="6">
        <f>IFERROR(__xludf.DUMMYFUNCTION("""COMPUTED_VALUE"""),19681.75)</f>
        <v/>
      </c>
      <c r="R1786" s="6">
        <f>S1786&amp;T1786</f>
        <v/>
      </c>
      <c r="S1786" s="6">
        <f>YEAR(U1786)</f>
        <v/>
      </c>
      <c r="T1786" s="6">
        <f>MONTH(U1786)</f>
        <v/>
      </c>
      <c r="U1786" s="267">
        <f>IFERROR(__xludf.DUMMYFUNCTION("""COMPUTED_VALUE"""),45758.6458333333)</f>
        <v/>
      </c>
      <c r="V1786" s="6">
        <f>IFERROR(__xludf.DUMMYFUNCTION("""COMPUTED_VALUE"""),2432.72)</f>
        <v/>
      </c>
      <c r="Z1786" s="6">
        <f>AA1786&amp;AB1786</f>
        <v/>
      </c>
      <c r="AA1786" s="6">
        <f>YEAR(AC1786)</f>
        <v/>
      </c>
      <c r="AB1786" s="6">
        <f>MONTH(AC1786)</f>
        <v/>
      </c>
      <c r="AC1786" s="267">
        <f>IFERROR(__xludf.DUMMYFUNCTION("""COMPUTED_VALUE"""),44935.9986111111)</f>
        <v/>
      </c>
      <c r="AD1786" s="6">
        <f>IFERROR(__xludf.DUMMYFUNCTION("""COMPUTED_VALUE"""),1239.28)</f>
        <v/>
      </c>
      <c r="AH1786" s="6">
        <f>AI1786&amp;AJ1786</f>
        <v/>
      </c>
      <c r="AI1786" s="6">
        <f>YEAR(AK1786)</f>
        <v/>
      </c>
      <c r="AJ1786" s="6">
        <f>MONTH(AK1786)</f>
        <v/>
      </c>
      <c r="AK1786" s="267">
        <f>IFERROR(__xludf.DUMMYFUNCTION("""COMPUTED_VALUE"""),44879.9986111111)</f>
        <v/>
      </c>
      <c r="AL1786" s="6">
        <f>IFERROR(__xludf.DUMMYFUNCTION("""COMPUTED_VALUE"""),16597.69)</f>
        <v/>
      </c>
      <c r="AP1786" s="6">
        <f>AQ1786&amp;AR1786</f>
        <v/>
      </c>
      <c r="AQ1786" s="6">
        <f>YEAR(AS1786)</f>
        <v/>
      </c>
      <c r="AR1786" s="6">
        <f>MONTH(AS1786)</f>
        <v/>
      </c>
      <c r="AS1786" s="267">
        <f>IFERROR(__xludf.DUMMYFUNCTION("""COMPUTED_VALUE"""),45701.9986111111)</f>
        <v/>
      </c>
      <c r="AT1786" s="6">
        <f>IFERROR(__xludf.DUMMYFUNCTION("""COMPUTED_VALUE"""),2945.4)</f>
        <v/>
      </c>
    </row>
    <row r="1787">
      <c r="B1787" s="6">
        <f>C1787&amp;D1787</f>
        <v/>
      </c>
      <c r="C1787" s="6">
        <f>YEAR(E1787)</f>
        <v/>
      </c>
      <c r="D1787" s="6">
        <f>MONTH(E1787)</f>
        <v/>
      </c>
      <c r="E1787" s="267">
        <f>IFERROR(__xludf.DUMMYFUNCTION("""COMPUTED_VALUE"""),45695.6666666666)</f>
        <v/>
      </c>
      <c r="F1787" s="6">
        <f>IFERROR(__xludf.DUMMYFUNCTION("""COMPUTED_VALUE"""),6025.99)</f>
        <v/>
      </c>
      <c r="J1787" s="6">
        <f>K1787&amp;L1787</f>
        <v/>
      </c>
      <c r="K1787" s="6">
        <f>YEAR(M1787)</f>
        <v/>
      </c>
      <c r="L1787" s="6">
        <f>MONTH(M1787)</f>
        <v/>
      </c>
      <c r="M1787" s="267">
        <f>IFERROR(__xludf.DUMMYFUNCTION("""COMPUTED_VALUE"""),45688.6666666666)</f>
        <v/>
      </c>
      <c r="N1787" s="6">
        <f>IFERROR(__xludf.DUMMYFUNCTION("""COMPUTED_VALUE"""),19627.44)</f>
        <v/>
      </c>
      <c r="R1787" s="6">
        <f>S1787&amp;T1787</f>
        <v/>
      </c>
      <c r="S1787" s="6">
        <f>YEAR(U1787)</f>
        <v/>
      </c>
      <c r="T1787" s="6">
        <f>MONTH(U1787)</f>
        <v/>
      </c>
      <c r="U1787" s="267">
        <f>IFERROR(__xludf.DUMMYFUNCTION("""COMPUTED_VALUE"""),45761.6458333333)</f>
        <v/>
      </c>
      <c r="V1787" s="6">
        <f>IFERROR(__xludf.DUMMYFUNCTION("""COMPUTED_VALUE"""),2455.89)</f>
        <v/>
      </c>
      <c r="Z1787" s="6">
        <f>AA1787&amp;AB1787</f>
        <v/>
      </c>
      <c r="AA1787" s="6">
        <f>YEAR(AC1787)</f>
        <v/>
      </c>
      <c r="AB1787" s="6">
        <f>MONTH(AC1787)</f>
        <v/>
      </c>
      <c r="AC1787" s="267">
        <f>IFERROR(__xludf.DUMMYFUNCTION("""COMPUTED_VALUE"""),44936.9986111111)</f>
        <v/>
      </c>
      <c r="AD1787" s="6">
        <f>IFERROR(__xludf.DUMMYFUNCTION("""COMPUTED_VALUE"""),1240.16)</f>
        <v/>
      </c>
      <c r="AH1787" s="6">
        <f>AI1787&amp;AJ1787</f>
        <v/>
      </c>
      <c r="AI1787" s="6">
        <f>YEAR(AK1787)</f>
        <v/>
      </c>
      <c r="AJ1787" s="6">
        <f>MONTH(AK1787)</f>
        <v/>
      </c>
      <c r="AK1787" s="267">
        <f>IFERROR(__xludf.DUMMYFUNCTION("""COMPUTED_VALUE"""),44880.9986111111)</f>
        <v/>
      </c>
      <c r="AL1787" s="6">
        <f>IFERROR(__xludf.DUMMYFUNCTION("""COMPUTED_VALUE"""),16877.02)</f>
        <v/>
      </c>
      <c r="AP1787" s="6">
        <f>AQ1787&amp;AR1787</f>
        <v/>
      </c>
      <c r="AQ1787" s="6">
        <f>YEAR(AS1787)</f>
        <v/>
      </c>
      <c r="AR1787" s="6">
        <f>MONTH(AS1787)</f>
        <v/>
      </c>
      <c r="AS1787" s="267">
        <f>IFERROR(__xludf.DUMMYFUNCTION("""COMPUTED_VALUE"""),45702.9986111111)</f>
        <v/>
      </c>
      <c r="AT1787" s="6">
        <f>IFERROR(__xludf.DUMMYFUNCTION("""COMPUTED_VALUE"""),2900.7)</f>
        <v/>
      </c>
    </row>
    <row r="1788">
      <c r="B1788" s="6">
        <f>C1788&amp;D1788</f>
        <v/>
      </c>
      <c r="C1788" s="6">
        <f>YEAR(E1788)</f>
        <v/>
      </c>
      <c r="D1788" s="6">
        <f>MONTH(E1788)</f>
        <v/>
      </c>
      <c r="E1788" s="267">
        <f>IFERROR(__xludf.DUMMYFUNCTION("""COMPUTED_VALUE"""),45698.6666666666)</f>
        <v/>
      </c>
      <c r="F1788" s="6">
        <f>IFERROR(__xludf.DUMMYFUNCTION("""COMPUTED_VALUE"""),6066.44)</f>
        <v/>
      </c>
      <c r="J1788" s="6">
        <f>K1788&amp;L1788</f>
        <v/>
      </c>
      <c r="K1788" s="6">
        <f>YEAR(M1788)</f>
        <v/>
      </c>
      <c r="L1788" s="6">
        <f>MONTH(M1788)</f>
        <v/>
      </c>
      <c r="M1788" s="267">
        <f>IFERROR(__xludf.DUMMYFUNCTION("""COMPUTED_VALUE"""),45691.6666666666)</f>
        <v/>
      </c>
      <c r="N1788" s="6">
        <f>IFERROR(__xludf.DUMMYFUNCTION("""COMPUTED_VALUE"""),19391.96)</f>
        <v/>
      </c>
      <c r="R1788" s="6">
        <f>S1788&amp;T1788</f>
        <v/>
      </c>
      <c r="S1788" s="6">
        <f>YEAR(U1788)</f>
        <v/>
      </c>
      <c r="T1788" s="6">
        <f>MONTH(U1788)</f>
        <v/>
      </c>
      <c r="U1788" s="267">
        <f>IFERROR(__xludf.DUMMYFUNCTION("""COMPUTED_VALUE"""),45762.6458333333)</f>
        <v/>
      </c>
      <c r="V1788" s="6">
        <f>IFERROR(__xludf.DUMMYFUNCTION("""COMPUTED_VALUE"""),2477.41)</f>
        <v/>
      </c>
      <c r="Z1788" s="6">
        <f>AA1788&amp;AB1788</f>
        <v/>
      </c>
      <c r="AA1788" s="6">
        <f>YEAR(AC1788)</f>
        <v/>
      </c>
      <c r="AB1788" s="6">
        <f>MONTH(AC1788)</f>
        <v/>
      </c>
      <c r="AC1788" s="267">
        <f>IFERROR(__xludf.DUMMYFUNCTION("""COMPUTED_VALUE"""),44937.9986111111)</f>
        <v/>
      </c>
      <c r="AD1788" s="6">
        <f>IFERROR(__xludf.DUMMYFUNCTION("""COMPUTED_VALUE"""),1241.6)</f>
        <v/>
      </c>
      <c r="AH1788" s="6">
        <f>AI1788&amp;AJ1788</f>
        <v/>
      </c>
      <c r="AI1788" s="6">
        <f>YEAR(AK1788)</f>
        <v/>
      </c>
      <c r="AJ1788" s="6">
        <f>MONTH(AK1788)</f>
        <v/>
      </c>
      <c r="AK1788" s="267">
        <f>IFERROR(__xludf.DUMMYFUNCTION("""COMPUTED_VALUE"""),44881.9986111111)</f>
        <v/>
      </c>
      <c r="AL1788" s="6">
        <f>IFERROR(__xludf.DUMMYFUNCTION("""COMPUTED_VALUE"""),16659.37)</f>
        <v/>
      </c>
      <c r="AP1788" s="6">
        <f>AQ1788&amp;AR1788</f>
        <v/>
      </c>
      <c r="AQ1788" s="6">
        <f>YEAR(AS1788)</f>
        <v/>
      </c>
      <c r="AR1788" s="6">
        <f>MONTH(AS1788)</f>
        <v/>
      </c>
      <c r="AS1788" s="267">
        <f>IFERROR(__xludf.DUMMYFUNCTION("""COMPUTED_VALUE"""),45706.9986111111)</f>
        <v/>
      </c>
      <c r="AT1788" s="6">
        <f>IFERROR(__xludf.DUMMYFUNCTION("""COMPUTED_VALUE"""),2949)</f>
        <v/>
      </c>
    </row>
    <row r="1789">
      <c r="B1789" s="6">
        <f>C1789&amp;D1789</f>
        <v/>
      </c>
      <c r="C1789" s="6">
        <f>YEAR(E1789)</f>
        <v/>
      </c>
      <c r="D1789" s="6">
        <f>MONTH(E1789)</f>
        <v/>
      </c>
      <c r="E1789" s="267">
        <f>IFERROR(__xludf.DUMMYFUNCTION("""COMPUTED_VALUE"""),45699.6666666666)</f>
        <v/>
      </c>
      <c r="F1789" s="6">
        <f>IFERROR(__xludf.DUMMYFUNCTION("""COMPUTED_VALUE"""),6068.5)</f>
        <v/>
      </c>
      <c r="J1789" s="6">
        <f>K1789&amp;L1789</f>
        <v/>
      </c>
      <c r="K1789" s="6">
        <f>YEAR(M1789)</f>
        <v/>
      </c>
      <c r="L1789" s="6">
        <f>MONTH(M1789)</f>
        <v/>
      </c>
      <c r="M1789" s="267">
        <f>IFERROR(__xludf.DUMMYFUNCTION("""COMPUTED_VALUE"""),45692.6666666666)</f>
        <v/>
      </c>
      <c r="N1789" s="6">
        <f>IFERROR(__xludf.DUMMYFUNCTION("""COMPUTED_VALUE"""),19654.02)</f>
        <v/>
      </c>
      <c r="R1789" s="6">
        <f>S1789&amp;T1789</f>
        <v/>
      </c>
      <c r="S1789" s="6">
        <f>YEAR(U1789)</f>
        <v/>
      </c>
      <c r="T1789" s="6">
        <f>MONTH(U1789)</f>
        <v/>
      </c>
      <c r="U1789" s="267">
        <f>IFERROR(__xludf.DUMMYFUNCTION("""COMPUTED_VALUE"""),45763.6458333333)</f>
        <v/>
      </c>
      <c r="V1789" s="6">
        <f>IFERROR(__xludf.DUMMYFUNCTION("""COMPUTED_VALUE"""),2447.43)</f>
        <v/>
      </c>
      <c r="Z1789" s="6">
        <f>AA1789&amp;AB1789</f>
        <v/>
      </c>
      <c r="AA1789" s="6">
        <f>YEAR(AC1789)</f>
        <v/>
      </c>
      <c r="AB1789" s="6">
        <f>MONTH(AC1789)</f>
        <v/>
      </c>
      <c r="AC1789" s="267">
        <f>IFERROR(__xludf.DUMMYFUNCTION("""COMPUTED_VALUE"""),44938.9986111111)</f>
        <v/>
      </c>
      <c r="AD1789" s="6">
        <f>IFERROR(__xludf.DUMMYFUNCTION("""COMPUTED_VALUE"""),1239.13)</f>
        <v/>
      </c>
      <c r="AH1789" s="6">
        <f>AI1789&amp;AJ1789</f>
        <v/>
      </c>
      <c r="AI1789" s="6">
        <f>YEAR(AK1789)</f>
        <v/>
      </c>
      <c r="AJ1789" s="6">
        <f>MONTH(AK1789)</f>
        <v/>
      </c>
      <c r="AK1789" s="267">
        <f>IFERROR(__xludf.DUMMYFUNCTION("""COMPUTED_VALUE"""),44882.9986111111)</f>
        <v/>
      </c>
      <c r="AL1789" s="6">
        <f>IFERROR(__xludf.DUMMYFUNCTION("""COMPUTED_VALUE"""),16681.11)</f>
        <v/>
      </c>
      <c r="AP1789" s="6">
        <f>AQ1789&amp;AR1789</f>
        <v/>
      </c>
      <c r="AQ1789" s="6">
        <f>YEAR(AS1789)</f>
        <v/>
      </c>
      <c r="AR1789" s="6">
        <f>MONTH(AS1789)</f>
        <v/>
      </c>
      <c r="AS1789" s="267">
        <f>IFERROR(__xludf.DUMMYFUNCTION("""COMPUTED_VALUE"""),45707.9986111111)</f>
        <v/>
      </c>
      <c r="AT1789" s="6">
        <f>IFERROR(__xludf.DUMMYFUNCTION("""COMPUTED_VALUE"""),2936.1)</f>
        <v/>
      </c>
    </row>
    <row r="1790">
      <c r="B1790" s="6">
        <f>C1790&amp;D1790</f>
        <v/>
      </c>
      <c r="C1790" s="6">
        <f>YEAR(E1790)</f>
        <v/>
      </c>
      <c r="D1790" s="6">
        <f>MONTH(E1790)</f>
        <v/>
      </c>
      <c r="E1790" s="267">
        <f>IFERROR(__xludf.DUMMYFUNCTION("""COMPUTED_VALUE"""),45700.6666666666)</f>
        <v/>
      </c>
      <c r="F1790" s="6">
        <f>IFERROR(__xludf.DUMMYFUNCTION("""COMPUTED_VALUE"""),6051.97)</f>
        <v/>
      </c>
      <c r="J1790" s="6">
        <f>K1790&amp;L1790</f>
        <v/>
      </c>
      <c r="K1790" s="6">
        <f>YEAR(M1790)</f>
        <v/>
      </c>
      <c r="L1790" s="6">
        <f>MONTH(M1790)</f>
        <v/>
      </c>
      <c r="M1790" s="267">
        <f>IFERROR(__xludf.DUMMYFUNCTION("""COMPUTED_VALUE"""),45693.6666666666)</f>
        <v/>
      </c>
      <c r="N1790" s="6">
        <f>IFERROR(__xludf.DUMMYFUNCTION("""COMPUTED_VALUE"""),19692.33)</f>
        <v/>
      </c>
      <c r="R1790" s="6">
        <f>S1790&amp;T1790</f>
        <v/>
      </c>
      <c r="S1790" s="6">
        <f>YEAR(U1790)</f>
        <v/>
      </c>
      <c r="T1790" s="6">
        <f>MONTH(U1790)</f>
        <v/>
      </c>
      <c r="U1790" s="267">
        <f>IFERROR(__xludf.DUMMYFUNCTION("""COMPUTED_VALUE"""),45764.6458333333)</f>
        <v/>
      </c>
      <c r="V1790" s="6">
        <f>IFERROR(__xludf.DUMMYFUNCTION("""COMPUTED_VALUE"""),2470.41)</f>
        <v/>
      </c>
      <c r="Z1790" s="6">
        <f>AA1790&amp;AB1790</f>
        <v/>
      </c>
      <c r="AA1790" s="6">
        <f>YEAR(AC1790)</f>
        <v/>
      </c>
      <c r="AB1790" s="6">
        <f>MONTH(AC1790)</f>
        <v/>
      </c>
      <c r="AC1790" s="267">
        <f>IFERROR(__xludf.DUMMYFUNCTION("""COMPUTED_VALUE"""),44939.9986111111)</f>
        <v/>
      </c>
      <c r="AD1790" s="6">
        <f>IFERROR(__xludf.DUMMYFUNCTION("""COMPUTED_VALUE"""),1237.31)</f>
        <v/>
      </c>
      <c r="AH1790" s="6">
        <f>AI1790&amp;AJ1790</f>
        <v/>
      </c>
      <c r="AI1790" s="6">
        <f>YEAR(AK1790)</f>
        <v/>
      </c>
      <c r="AJ1790" s="6">
        <f>MONTH(AK1790)</f>
        <v/>
      </c>
      <c r="AK1790" s="267">
        <f>IFERROR(__xludf.DUMMYFUNCTION("""COMPUTED_VALUE"""),44883.9986111111)</f>
        <v/>
      </c>
      <c r="AL1790" s="6">
        <f>IFERROR(__xludf.DUMMYFUNCTION("""COMPUTED_VALUE"""),16683.38)</f>
        <v/>
      </c>
      <c r="AP1790" s="6">
        <f>AQ1790&amp;AR1790</f>
        <v/>
      </c>
      <c r="AQ1790" s="6">
        <f>YEAR(AS1790)</f>
        <v/>
      </c>
      <c r="AR1790" s="6">
        <f>MONTH(AS1790)</f>
        <v/>
      </c>
      <c r="AS1790" s="267">
        <f>IFERROR(__xludf.DUMMYFUNCTION("""COMPUTED_VALUE"""),45708.9986111111)</f>
        <v/>
      </c>
      <c r="AT1790" s="6">
        <f>IFERROR(__xludf.DUMMYFUNCTION("""COMPUTED_VALUE"""),2956.1)</f>
        <v/>
      </c>
    </row>
    <row r="1791">
      <c r="B1791" s="6">
        <f>C1791&amp;D1791</f>
        <v/>
      </c>
      <c r="C1791" s="6">
        <f>YEAR(E1791)</f>
        <v/>
      </c>
      <c r="D1791" s="6">
        <f>MONTH(E1791)</f>
        <v/>
      </c>
      <c r="E1791" s="267">
        <f>IFERROR(__xludf.DUMMYFUNCTION("""COMPUTED_VALUE"""),45701.6666666666)</f>
        <v/>
      </c>
      <c r="F1791" s="6">
        <f>IFERROR(__xludf.DUMMYFUNCTION("""COMPUTED_VALUE"""),6115.07)</f>
        <v/>
      </c>
      <c r="J1791" s="6">
        <f>K1791&amp;L1791</f>
        <v/>
      </c>
      <c r="K1791" s="6">
        <f>YEAR(M1791)</f>
        <v/>
      </c>
      <c r="L1791" s="6">
        <f>MONTH(M1791)</f>
        <v/>
      </c>
      <c r="M1791" s="267">
        <f>IFERROR(__xludf.DUMMYFUNCTION("""COMPUTED_VALUE"""),45694.6666666666)</f>
        <v/>
      </c>
      <c r="N1791" s="6">
        <f>IFERROR(__xludf.DUMMYFUNCTION("""COMPUTED_VALUE"""),19791.99)</f>
        <v/>
      </c>
      <c r="R1791" s="6">
        <f>S1791&amp;T1791</f>
        <v/>
      </c>
      <c r="S1791" s="6">
        <f>YEAR(U1791)</f>
        <v/>
      </c>
      <c r="T1791" s="6">
        <f>MONTH(U1791)</f>
        <v/>
      </c>
      <c r="U1791" s="267">
        <f>IFERROR(__xludf.DUMMYFUNCTION("""COMPUTED_VALUE"""),45765.6458333333)</f>
        <v/>
      </c>
      <c r="V1791" s="6">
        <f>IFERROR(__xludf.DUMMYFUNCTION("""COMPUTED_VALUE"""),2483.42)</f>
        <v/>
      </c>
      <c r="Z1791" s="6">
        <f>AA1791&amp;AB1791</f>
        <v/>
      </c>
      <c r="AA1791" s="6">
        <f>YEAR(AC1791)</f>
        <v/>
      </c>
      <c r="AB1791" s="6">
        <f>MONTH(AC1791)</f>
        <v/>
      </c>
      <c r="AC1791" s="267">
        <f>IFERROR(__xludf.DUMMYFUNCTION("""COMPUTED_VALUE"""),44940.9986111111)</f>
        <v/>
      </c>
      <c r="AD1791" s="6">
        <f>IFERROR(__xludf.DUMMYFUNCTION("""COMPUTED_VALUE"""),1236.59)</f>
        <v/>
      </c>
      <c r="AH1791" s="6">
        <f>AI1791&amp;AJ1791</f>
        <v/>
      </c>
      <c r="AI1791" s="6">
        <f>YEAR(AK1791)</f>
        <v/>
      </c>
      <c r="AJ1791" s="6">
        <f>MONTH(AK1791)</f>
        <v/>
      </c>
      <c r="AK1791" s="267">
        <f>IFERROR(__xludf.DUMMYFUNCTION("""COMPUTED_VALUE"""),44884.9986111111)</f>
        <v/>
      </c>
      <c r="AL1791" s="6">
        <f>IFERROR(__xludf.DUMMYFUNCTION("""COMPUTED_VALUE"""),16692.46)</f>
        <v/>
      </c>
      <c r="AP1791" s="6">
        <f>AQ1791&amp;AR1791</f>
        <v/>
      </c>
      <c r="AQ1791" s="6">
        <f>YEAR(AS1791)</f>
        <v/>
      </c>
      <c r="AR1791" s="6">
        <f>MONTH(AS1791)</f>
        <v/>
      </c>
      <c r="AS1791" s="267">
        <f>IFERROR(__xludf.DUMMYFUNCTION("""COMPUTED_VALUE"""),45709.9986111111)</f>
        <v/>
      </c>
      <c r="AT1791" s="6">
        <f>IFERROR(__xludf.DUMMYFUNCTION("""COMPUTED_VALUE"""),2953.2)</f>
        <v/>
      </c>
    </row>
    <row r="1792">
      <c r="B1792" s="6">
        <f>C1792&amp;D1792</f>
        <v/>
      </c>
      <c r="C1792" s="6">
        <f>YEAR(E1792)</f>
        <v/>
      </c>
      <c r="D1792" s="6">
        <f>MONTH(E1792)</f>
        <v/>
      </c>
      <c r="E1792" s="267">
        <f>IFERROR(__xludf.DUMMYFUNCTION("""COMPUTED_VALUE"""),45702.6666666666)</f>
        <v/>
      </c>
      <c r="F1792" s="6">
        <f>IFERROR(__xludf.DUMMYFUNCTION("""COMPUTED_VALUE"""),6114.63)</f>
        <v/>
      </c>
      <c r="J1792" s="6">
        <f>K1792&amp;L1792</f>
        <v/>
      </c>
      <c r="K1792" s="6">
        <f>YEAR(M1792)</f>
        <v/>
      </c>
      <c r="L1792" s="6">
        <f>MONTH(M1792)</f>
        <v/>
      </c>
      <c r="M1792" s="267">
        <f>IFERROR(__xludf.DUMMYFUNCTION("""COMPUTED_VALUE"""),45695.6666666666)</f>
        <v/>
      </c>
      <c r="N1792" s="6">
        <f>IFERROR(__xludf.DUMMYFUNCTION("""COMPUTED_VALUE"""),19523.4)</f>
        <v/>
      </c>
      <c r="R1792" s="6">
        <f>S1792&amp;T1792</f>
        <v/>
      </c>
      <c r="S1792" s="6">
        <f>YEAR(U1792)</f>
        <v/>
      </c>
      <c r="T1792" s="6">
        <f>MONTH(U1792)</f>
        <v/>
      </c>
      <c r="U1792" s="267">
        <f>IFERROR(__xludf.DUMMYFUNCTION("""COMPUTED_VALUE"""),45768.6458333333)</f>
        <v/>
      </c>
      <c r="V1792" s="6">
        <f>IFERROR(__xludf.DUMMYFUNCTION("""COMPUTED_VALUE"""),2488.42)</f>
        <v/>
      </c>
      <c r="Z1792" s="6">
        <f>AA1792&amp;AB1792</f>
        <v/>
      </c>
      <c r="AA1792" s="6">
        <f>YEAR(AC1792)</f>
        <v/>
      </c>
      <c r="AB1792" s="6">
        <f>MONTH(AC1792)</f>
        <v/>
      </c>
      <c r="AC1792" s="267">
        <f>IFERROR(__xludf.DUMMYFUNCTION("""COMPUTED_VALUE"""),44941.9986111111)</f>
        <v/>
      </c>
      <c r="AD1792" s="6">
        <f>IFERROR(__xludf.DUMMYFUNCTION("""COMPUTED_VALUE"""),1236.59)</f>
        <v/>
      </c>
      <c r="AH1792" s="6">
        <f>AI1792&amp;AJ1792</f>
        <v/>
      </c>
      <c r="AI1792" s="6">
        <f>YEAR(AK1792)</f>
        <v/>
      </c>
      <c r="AJ1792" s="6">
        <f>MONTH(AK1792)</f>
        <v/>
      </c>
      <c r="AK1792" s="267">
        <f>IFERROR(__xludf.DUMMYFUNCTION("""COMPUTED_VALUE"""),44885.9986111111)</f>
        <v/>
      </c>
      <c r="AL1792" s="6">
        <f>IFERROR(__xludf.DUMMYFUNCTION("""COMPUTED_VALUE"""),16263.55)</f>
        <v/>
      </c>
      <c r="AP1792" s="6">
        <f>AQ1792&amp;AR1792</f>
        <v/>
      </c>
      <c r="AQ1792" s="6">
        <f>YEAR(AS1792)</f>
        <v/>
      </c>
      <c r="AR1792" s="6">
        <f>MONTH(AS1792)</f>
        <v/>
      </c>
      <c r="AS1792" s="267">
        <f>IFERROR(__xludf.DUMMYFUNCTION("""COMPUTED_VALUE"""),45712.9986111111)</f>
        <v/>
      </c>
      <c r="AT1792" s="6">
        <f>IFERROR(__xludf.DUMMYFUNCTION("""COMPUTED_VALUE"""),2963.2)</f>
        <v/>
      </c>
    </row>
    <row r="1793">
      <c r="B1793" s="6">
        <f>C1793&amp;D1793</f>
        <v/>
      </c>
      <c r="C1793" s="6">
        <f>YEAR(E1793)</f>
        <v/>
      </c>
      <c r="D1793" s="6">
        <f>MONTH(E1793)</f>
        <v/>
      </c>
      <c r="E1793" s="267">
        <f>IFERROR(__xludf.DUMMYFUNCTION("""COMPUTED_VALUE"""),45706.6666666666)</f>
        <v/>
      </c>
      <c r="F1793" s="6">
        <f>IFERROR(__xludf.DUMMYFUNCTION("""COMPUTED_VALUE"""),6129.58)</f>
        <v/>
      </c>
      <c r="J1793" s="6">
        <f>K1793&amp;L1793</f>
        <v/>
      </c>
      <c r="K1793" s="6">
        <f>YEAR(M1793)</f>
        <v/>
      </c>
      <c r="L1793" s="6">
        <f>MONTH(M1793)</f>
        <v/>
      </c>
      <c r="M1793" s="267">
        <f>IFERROR(__xludf.DUMMYFUNCTION("""COMPUTED_VALUE"""),45698.6666666666)</f>
        <v/>
      </c>
      <c r="N1793" s="6">
        <f>IFERROR(__xludf.DUMMYFUNCTION("""COMPUTED_VALUE"""),19714.27)</f>
        <v/>
      </c>
      <c r="R1793" s="6">
        <f>S1793&amp;T1793</f>
        <v/>
      </c>
      <c r="S1793" s="6">
        <f>YEAR(U1793)</f>
        <v/>
      </c>
      <c r="T1793" s="6">
        <f>MONTH(U1793)</f>
        <v/>
      </c>
      <c r="U1793" s="267">
        <f>IFERROR(__xludf.DUMMYFUNCTION("""COMPUTED_VALUE"""),45769.6458333333)</f>
        <v/>
      </c>
      <c r="V1793" s="6">
        <f>IFERROR(__xludf.DUMMYFUNCTION("""COMPUTED_VALUE"""),2486.64)</f>
        <v/>
      </c>
      <c r="Z1793" s="6">
        <f>AA1793&amp;AB1793</f>
        <v/>
      </c>
      <c r="AA1793" s="6">
        <f>YEAR(AC1793)</f>
        <v/>
      </c>
      <c r="AB1793" s="6">
        <f>MONTH(AC1793)</f>
        <v/>
      </c>
      <c r="AC1793" s="267">
        <f>IFERROR(__xludf.DUMMYFUNCTION("""COMPUTED_VALUE"""),44942.9986111111)</f>
        <v/>
      </c>
      <c r="AD1793" s="6">
        <f>IFERROR(__xludf.DUMMYFUNCTION("""COMPUTED_VALUE"""),1240.71)</f>
        <v/>
      </c>
      <c r="AH1793" s="6">
        <f>AI1793&amp;AJ1793</f>
        <v/>
      </c>
      <c r="AI1793" s="6">
        <f>YEAR(AK1793)</f>
        <v/>
      </c>
      <c r="AJ1793" s="6">
        <f>MONTH(AK1793)</f>
        <v/>
      </c>
      <c r="AK1793" s="267">
        <f>IFERROR(__xludf.DUMMYFUNCTION("""COMPUTED_VALUE"""),44886.9986111111)</f>
        <v/>
      </c>
      <c r="AL1793" s="6">
        <f>IFERROR(__xludf.DUMMYFUNCTION("""COMPUTED_VALUE"""),15768.67)</f>
        <v/>
      </c>
      <c r="AP1793" s="6">
        <f>AQ1793&amp;AR1793</f>
        <v/>
      </c>
      <c r="AQ1793" s="6">
        <f>YEAR(AS1793)</f>
        <v/>
      </c>
      <c r="AR1793" s="6">
        <f>MONTH(AS1793)</f>
        <v/>
      </c>
      <c r="AS1793" s="267">
        <f>IFERROR(__xludf.DUMMYFUNCTION("""COMPUTED_VALUE"""),45713.9986111111)</f>
        <v/>
      </c>
      <c r="AT1793" s="6">
        <f>IFERROR(__xludf.DUMMYFUNCTION("""COMPUTED_VALUE"""),2918.8)</f>
        <v/>
      </c>
    </row>
    <row r="1794">
      <c r="B1794" s="6">
        <f>C1794&amp;D1794</f>
        <v/>
      </c>
      <c r="C1794" s="6">
        <f>YEAR(E1794)</f>
        <v/>
      </c>
      <c r="D1794" s="6">
        <f>MONTH(E1794)</f>
        <v/>
      </c>
      <c r="E1794" s="267">
        <f>IFERROR(__xludf.DUMMYFUNCTION("""COMPUTED_VALUE"""),45707.6666666666)</f>
        <v/>
      </c>
      <c r="F1794" s="6">
        <f>IFERROR(__xludf.DUMMYFUNCTION("""COMPUTED_VALUE"""),6144.15)</f>
        <v/>
      </c>
      <c r="J1794" s="6">
        <f>K1794&amp;L1794</f>
        <v/>
      </c>
      <c r="K1794" s="6">
        <f>YEAR(M1794)</f>
        <v/>
      </c>
      <c r="L1794" s="6">
        <f>MONTH(M1794)</f>
        <v/>
      </c>
      <c r="M1794" s="267">
        <f>IFERROR(__xludf.DUMMYFUNCTION("""COMPUTED_VALUE"""),45699.6666666666)</f>
        <v/>
      </c>
      <c r="N1794" s="6">
        <f>IFERROR(__xludf.DUMMYFUNCTION("""COMPUTED_VALUE"""),19643.86)</f>
        <v/>
      </c>
      <c r="R1794" s="6">
        <f>S1794&amp;T1794</f>
        <v/>
      </c>
      <c r="S1794" s="6">
        <f>YEAR(U1794)</f>
        <v/>
      </c>
      <c r="T1794" s="6">
        <f>MONTH(U1794)</f>
        <v/>
      </c>
      <c r="U1794" s="267">
        <f>IFERROR(__xludf.DUMMYFUNCTION("""COMPUTED_VALUE"""),45770.6458333333)</f>
        <v/>
      </c>
      <c r="V1794" s="6">
        <f>IFERROR(__xludf.DUMMYFUNCTION("""COMPUTED_VALUE"""),2525.56)</f>
        <v/>
      </c>
      <c r="Z1794" s="6">
        <f>AA1794&amp;AB1794</f>
        <v/>
      </c>
      <c r="AA1794" s="6">
        <f>YEAR(AC1794)</f>
        <v/>
      </c>
      <c r="AB1794" s="6">
        <f>MONTH(AC1794)</f>
        <v/>
      </c>
      <c r="AC1794" s="267">
        <f>IFERROR(__xludf.DUMMYFUNCTION("""COMPUTED_VALUE"""),44943.9986111111)</f>
        <v/>
      </c>
      <c r="AD1794" s="6">
        <f>IFERROR(__xludf.DUMMYFUNCTION("""COMPUTED_VALUE"""),1237)</f>
        <v/>
      </c>
      <c r="AH1794" s="6">
        <f>AI1794&amp;AJ1794</f>
        <v/>
      </c>
      <c r="AI1794" s="6">
        <f>YEAR(AK1794)</f>
        <v/>
      </c>
      <c r="AJ1794" s="6">
        <f>MONTH(AK1794)</f>
        <v/>
      </c>
      <c r="AK1794" s="267">
        <f>IFERROR(__xludf.DUMMYFUNCTION("""COMPUTED_VALUE"""),44887.9986111111)</f>
        <v/>
      </c>
      <c r="AL1794" s="6">
        <f>IFERROR(__xludf.DUMMYFUNCTION("""COMPUTED_VALUE"""),16195.35)</f>
        <v/>
      </c>
      <c r="AP1794" s="6">
        <f>AQ1794&amp;AR1794</f>
        <v/>
      </c>
      <c r="AQ1794" s="6">
        <f>YEAR(AS1794)</f>
        <v/>
      </c>
      <c r="AR1794" s="6">
        <f>MONTH(AS1794)</f>
        <v/>
      </c>
      <c r="AS1794" s="267">
        <f>IFERROR(__xludf.DUMMYFUNCTION("""COMPUTED_VALUE"""),45714.9986111111)</f>
        <v/>
      </c>
      <c r="AT1794" s="6">
        <f>IFERROR(__xludf.DUMMYFUNCTION("""COMPUTED_VALUE"""),2930.6)</f>
        <v/>
      </c>
    </row>
    <row r="1795">
      <c r="B1795" s="6">
        <f>C1795&amp;D1795</f>
        <v/>
      </c>
      <c r="C1795" s="6">
        <f>YEAR(E1795)</f>
        <v/>
      </c>
      <c r="D1795" s="6">
        <f>MONTH(E1795)</f>
        <v/>
      </c>
      <c r="E1795" s="267">
        <f>IFERROR(__xludf.DUMMYFUNCTION("""COMPUTED_VALUE"""),45708.6666666666)</f>
        <v/>
      </c>
      <c r="F1795" s="6">
        <f>IFERROR(__xludf.DUMMYFUNCTION("""COMPUTED_VALUE"""),6117.52)</f>
        <v/>
      </c>
      <c r="J1795" s="6">
        <f>K1795&amp;L1795</f>
        <v/>
      </c>
      <c r="K1795" s="6">
        <f>YEAR(M1795)</f>
        <v/>
      </c>
      <c r="L1795" s="6">
        <f>MONTH(M1795)</f>
        <v/>
      </c>
      <c r="M1795" s="267">
        <f>IFERROR(__xludf.DUMMYFUNCTION("""COMPUTED_VALUE"""),45700.6666666666)</f>
        <v/>
      </c>
      <c r="N1795" s="6">
        <f>IFERROR(__xludf.DUMMYFUNCTION("""COMPUTED_VALUE"""),19649.95)</f>
        <v/>
      </c>
      <c r="R1795" s="6">
        <f>S1795&amp;T1795</f>
        <v/>
      </c>
      <c r="S1795" s="6">
        <f>YEAR(U1795)</f>
        <v/>
      </c>
      <c r="T1795" s="6">
        <f>MONTH(U1795)</f>
        <v/>
      </c>
      <c r="U1795" s="267">
        <f>IFERROR(__xludf.DUMMYFUNCTION("""COMPUTED_VALUE"""),45771.6458333333)</f>
        <v/>
      </c>
      <c r="V1795" s="6">
        <f>IFERROR(__xludf.DUMMYFUNCTION("""COMPUTED_VALUE"""),2522.33)</f>
        <v/>
      </c>
      <c r="Z1795" s="6">
        <f>AA1795&amp;AB1795</f>
        <v/>
      </c>
      <c r="AA1795" s="6">
        <f>YEAR(AC1795)</f>
        <v/>
      </c>
      <c r="AB1795" s="6">
        <f>MONTH(AC1795)</f>
        <v/>
      </c>
      <c r="AC1795" s="267">
        <f>IFERROR(__xludf.DUMMYFUNCTION("""COMPUTED_VALUE"""),44944.9986111111)</f>
        <v/>
      </c>
      <c r="AD1795" s="6">
        <f>IFERROR(__xludf.DUMMYFUNCTION("""COMPUTED_VALUE"""),1237.88)</f>
        <v/>
      </c>
      <c r="AH1795" s="6">
        <f>AI1795&amp;AJ1795</f>
        <v/>
      </c>
      <c r="AI1795" s="6">
        <f>YEAR(AK1795)</f>
        <v/>
      </c>
      <c r="AJ1795" s="6">
        <f>MONTH(AK1795)</f>
        <v/>
      </c>
      <c r="AK1795" s="267">
        <f>IFERROR(__xludf.DUMMYFUNCTION("""COMPUTED_VALUE"""),44888.9986111111)</f>
        <v/>
      </c>
      <c r="AL1795" s="6">
        <f>IFERROR(__xludf.DUMMYFUNCTION("""COMPUTED_VALUE"""),16598.29)</f>
        <v/>
      </c>
      <c r="AP1795" s="6">
        <f>AQ1795&amp;AR1795</f>
        <v/>
      </c>
      <c r="AQ1795" s="6">
        <f>YEAR(AS1795)</f>
        <v/>
      </c>
      <c r="AR1795" s="6">
        <f>MONTH(AS1795)</f>
        <v/>
      </c>
      <c r="AS1795" s="267">
        <f>IFERROR(__xludf.DUMMYFUNCTION("""COMPUTED_VALUE"""),45715.9986111111)</f>
        <v/>
      </c>
      <c r="AT1795" s="6">
        <f>IFERROR(__xludf.DUMMYFUNCTION("""COMPUTED_VALUE"""),2895.9)</f>
        <v/>
      </c>
    </row>
    <row r="1796">
      <c r="B1796" s="6">
        <f>C1796&amp;D1796</f>
        <v/>
      </c>
      <c r="C1796" s="6">
        <f>YEAR(E1796)</f>
        <v/>
      </c>
      <c r="D1796" s="6">
        <f>MONTH(E1796)</f>
        <v/>
      </c>
      <c r="E1796" s="267">
        <f>IFERROR(__xludf.DUMMYFUNCTION("""COMPUTED_VALUE"""),45709.6666666666)</f>
        <v/>
      </c>
      <c r="F1796" s="6">
        <f>IFERROR(__xludf.DUMMYFUNCTION("""COMPUTED_VALUE"""),6013.13)</f>
        <v/>
      </c>
      <c r="J1796" s="6">
        <f>K1796&amp;L1796</f>
        <v/>
      </c>
      <c r="K1796" s="6">
        <f>YEAR(M1796)</f>
        <v/>
      </c>
      <c r="L1796" s="6">
        <f>MONTH(M1796)</f>
        <v/>
      </c>
      <c r="M1796" s="267">
        <f>IFERROR(__xludf.DUMMYFUNCTION("""COMPUTED_VALUE"""),45701.6666666666)</f>
        <v/>
      </c>
      <c r="N1796" s="6">
        <f>IFERROR(__xludf.DUMMYFUNCTION("""COMPUTED_VALUE"""),19945.64)</f>
        <v/>
      </c>
      <c r="R1796" s="6">
        <f>S1796&amp;T1796</f>
        <v/>
      </c>
      <c r="S1796" s="6">
        <f>YEAR(U1796)</f>
        <v/>
      </c>
      <c r="T1796" s="6">
        <f>MONTH(U1796)</f>
        <v/>
      </c>
      <c r="U1796" s="267">
        <f>IFERROR(__xludf.DUMMYFUNCTION("""COMPUTED_VALUE"""),45772.6458333333)</f>
        <v/>
      </c>
      <c r="V1796" s="6">
        <f>IFERROR(__xludf.DUMMYFUNCTION("""COMPUTED_VALUE"""),2546.3)</f>
        <v/>
      </c>
      <c r="Z1796" s="6">
        <f>AA1796&amp;AB1796</f>
        <v/>
      </c>
      <c r="AA1796" s="6">
        <f>YEAR(AC1796)</f>
        <v/>
      </c>
      <c r="AB1796" s="6">
        <f>MONTH(AC1796)</f>
        <v/>
      </c>
      <c r="AC1796" s="267">
        <f>IFERROR(__xludf.DUMMYFUNCTION("""COMPUTED_VALUE"""),44945.9986111111)</f>
        <v/>
      </c>
      <c r="AD1796" s="6">
        <f>IFERROR(__xludf.DUMMYFUNCTION("""COMPUTED_VALUE"""),1232.18)</f>
        <v/>
      </c>
      <c r="AH1796" s="6">
        <f>AI1796&amp;AJ1796</f>
        <v/>
      </c>
      <c r="AI1796" s="6">
        <f>YEAR(AK1796)</f>
        <v/>
      </c>
      <c r="AJ1796" s="6">
        <f>MONTH(AK1796)</f>
        <v/>
      </c>
      <c r="AK1796" s="267">
        <f>IFERROR(__xludf.DUMMYFUNCTION("""COMPUTED_VALUE"""),44889.9986111111)</f>
        <v/>
      </c>
      <c r="AL1796" s="6">
        <f>IFERROR(__xludf.DUMMYFUNCTION("""COMPUTED_VALUE"""),16593.78)</f>
        <v/>
      </c>
      <c r="AP1796" s="6">
        <f>AQ1796&amp;AR1796</f>
        <v/>
      </c>
      <c r="AQ1796" s="6">
        <f>YEAR(AS1796)</f>
        <v/>
      </c>
      <c r="AR1796" s="6">
        <f>MONTH(AS1796)</f>
        <v/>
      </c>
      <c r="AS1796" s="267">
        <f>IFERROR(__xludf.DUMMYFUNCTION("""COMPUTED_VALUE"""),45716.9986111111)</f>
        <v/>
      </c>
      <c r="AT1796" s="6">
        <f>IFERROR(__xludf.DUMMYFUNCTION("""COMPUTED_VALUE"""),2848.5)</f>
        <v/>
      </c>
    </row>
    <row r="1797">
      <c r="B1797" s="6">
        <f>C1797&amp;D1797</f>
        <v/>
      </c>
      <c r="C1797" s="6">
        <f>YEAR(E1797)</f>
        <v/>
      </c>
      <c r="D1797" s="6">
        <f>MONTH(E1797)</f>
        <v/>
      </c>
      <c r="E1797" s="267">
        <f>IFERROR(__xludf.DUMMYFUNCTION("""COMPUTED_VALUE"""),45712.6666666666)</f>
        <v/>
      </c>
      <c r="F1797" s="6">
        <f>IFERROR(__xludf.DUMMYFUNCTION("""COMPUTED_VALUE"""),5983.25)</f>
        <v/>
      </c>
      <c r="J1797" s="6">
        <f>K1797&amp;L1797</f>
        <v/>
      </c>
      <c r="K1797" s="6">
        <f>YEAR(M1797)</f>
        <v/>
      </c>
      <c r="L1797" s="6">
        <f>MONTH(M1797)</f>
        <v/>
      </c>
      <c r="M1797" s="267">
        <f>IFERROR(__xludf.DUMMYFUNCTION("""COMPUTED_VALUE"""),45702.6666666666)</f>
        <v/>
      </c>
      <c r="N1797" s="6">
        <f>IFERROR(__xludf.DUMMYFUNCTION("""COMPUTED_VALUE"""),20026.77)</f>
        <v/>
      </c>
      <c r="R1797" s="6">
        <f>S1797&amp;T1797</f>
        <v/>
      </c>
      <c r="S1797" s="6">
        <f>YEAR(U1797)</f>
        <v/>
      </c>
      <c r="T1797" s="6">
        <f>MONTH(U1797)</f>
        <v/>
      </c>
      <c r="U1797" s="267">
        <f>IFERROR(__xludf.DUMMYFUNCTION("""COMPUTED_VALUE"""),45775.6458333333)</f>
        <v/>
      </c>
      <c r="V1797" s="6">
        <f>IFERROR(__xludf.DUMMYFUNCTION("""COMPUTED_VALUE"""),2548.86)</f>
        <v/>
      </c>
      <c r="Z1797" s="6">
        <f>AA1797&amp;AB1797</f>
        <v/>
      </c>
      <c r="AA1797" s="6">
        <f>YEAR(AC1797)</f>
        <v/>
      </c>
      <c r="AB1797" s="6">
        <f>MONTH(AC1797)</f>
        <v/>
      </c>
      <c r="AC1797" s="267">
        <f>IFERROR(__xludf.DUMMYFUNCTION("""COMPUTED_VALUE"""),44946.9986111111)</f>
        <v/>
      </c>
      <c r="AD1797" s="6">
        <f>IFERROR(__xludf.DUMMYFUNCTION("""COMPUTED_VALUE"""),1228.6)</f>
        <v/>
      </c>
      <c r="AH1797" s="6">
        <f>AI1797&amp;AJ1797</f>
        <v/>
      </c>
      <c r="AI1797" s="6">
        <f>YEAR(AK1797)</f>
        <v/>
      </c>
      <c r="AJ1797" s="6">
        <f>MONTH(AK1797)</f>
        <v/>
      </c>
      <c r="AK1797" s="267">
        <f>IFERROR(__xludf.DUMMYFUNCTION("""COMPUTED_VALUE"""),44890.9986111111)</f>
        <v/>
      </c>
      <c r="AL1797" s="6">
        <f>IFERROR(__xludf.DUMMYFUNCTION("""COMPUTED_VALUE"""),16507.52)</f>
        <v/>
      </c>
      <c r="AP1797" s="6">
        <f>AQ1797&amp;AR1797</f>
        <v/>
      </c>
      <c r="AQ1797" s="6">
        <f>YEAR(AS1797)</f>
        <v/>
      </c>
      <c r="AR1797" s="6">
        <f>MONTH(AS1797)</f>
        <v/>
      </c>
      <c r="AS1797" s="267">
        <f>IFERROR(__xludf.DUMMYFUNCTION("""COMPUTED_VALUE"""),45719.9986111111)</f>
        <v/>
      </c>
      <c r="AT1797" s="6">
        <f>IFERROR(__xludf.DUMMYFUNCTION("""COMPUTED_VALUE"""),2901.1)</f>
        <v/>
      </c>
    </row>
    <row r="1798">
      <c r="B1798" s="6">
        <f>C1798&amp;D1798</f>
        <v/>
      </c>
      <c r="C1798" s="6">
        <f>YEAR(E1798)</f>
        <v/>
      </c>
      <c r="D1798" s="6">
        <f>MONTH(E1798)</f>
        <v/>
      </c>
      <c r="E1798" s="267">
        <f>IFERROR(__xludf.DUMMYFUNCTION("""COMPUTED_VALUE"""),45713.6666666666)</f>
        <v/>
      </c>
      <c r="F1798" s="6">
        <f>IFERROR(__xludf.DUMMYFUNCTION("""COMPUTED_VALUE"""),5955.25)</f>
        <v/>
      </c>
      <c r="J1798" s="6">
        <f>K1798&amp;L1798</f>
        <v/>
      </c>
      <c r="K1798" s="6">
        <f>YEAR(M1798)</f>
        <v/>
      </c>
      <c r="L1798" s="6">
        <f>MONTH(M1798)</f>
        <v/>
      </c>
      <c r="M1798" s="267">
        <f>IFERROR(__xludf.DUMMYFUNCTION("""COMPUTED_VALUE"""),45706.6666666666)</f>
        <v/>
      </c>
      <c r="N1798" s="6">
        <f>IFERROR(__xludf.DUMMYFUNCTION("""COMPUTED_VALUE"""),20041.26)</f>
        <v/>
      </c>
      <c r="R1798" s="6">
        <f>S1798&amp;T1798</f>
        <v/>
      </c>
      <c r="S1798" s="6">
        <f>YEAR(U1798)</f>
        <v/>
      </c>
      <c r="T1798" s="6">
        <f>MONTH(U1798)</f>
        <v/>
      </c>
      <c r="U1798" s="267">
        <f>IFERROR(__xludf.DUMMYFUNCTION("""COMPUTED_VALUE"""),45776.6458333333)</f>
        <v/>
      </c>
      <c r="V1798" s="6">
        <f>IFERROR(__xludf.DUMMYFUNCTION("""COMPUTED_VALUE"""),2565.42)</f>
        <v/>
      </c>
      <c r="Z1798" s="6">
        <f>AA1798&amp;AB1798</f>
        <v/>
      </c>
      <c r="AA1798" s="6">
        <f>YEAR(AC1798)</f>
        <v/>
      </c>
      <c r="AB1798" s="6">
        <f>MONTH(AC1798)</f>
        <v/>
      </c>
      <c r="AC1798" s="267">
        <f>IFERROR(__xludf.DUMMYFUNCTION("""COMPUTED_VALUE"""),44947.9986111111)</f>
        <v/>
      </c>
      <c r="AD1798" s="6">
        <f>IFERROR(__xludf.DUMMYFUNCTION("""COMPUTED_VALUE"""),1230.03)</f>
        <v/>
      </c>
      <c r="AH1798" s="6">
        <f>AI1798&amp;AJ1798</f>
        <v/>
      </c>
      <c r="AI1798" s="6">
        <f>YEAR(AK1798)</f>
        <v/>
      </c>
      <c r="AJ1798" s="6">
        <f>MONTH(AK1798)</f>
        <v/>
      </c>
      <c r="AK1798" s="267">
        <f>IFERROR(__xludf.DUMMYFUNCTION("""COMPUTED_VALUE"""),44891.9986111111)</f>
        <v/>
      </c>
      <c r="AL1798" s="6">
        <f>IFERROR(__xludf.DUMMYFUNCTION("""COMPUTED_VALUE"""),16449.59)</f>
        <v/>
      </c>
      <c r="AP1798" s="6">
        <f>AQ1798&amp;AR1798</f>
        <v/>
      </c>
      <c r="AQ1798" s="6">
        <f>YEAR(AS1798)</f>
        <v/>
      </c>
      <c r="AR1798" s="6">
        <f>MONTH(AS1798)</f>
        <v/>
      </c>
      <c r="AS1798" s="267">
        <f>IFERROR(__xludf.DUMMYFUNCTION("""COMPUTED_VALUE"""),45720.9986111111)</f>
        <v/>
      </c>
      <c r="AT1798" s="6">
        <f>IFERROR(__xludf.DUMMYFUNCTION("""COMPUTED_VALUE"""),2920.6)</f>
        <v/>
      </c>
    </row>
    <row r="1799">
      <c r="B1799" s="6">
        <f>C1799&amp;D1799</f>
        <v/>
      </c>
      <c r="C1799" s="6">
        <f>YEAR(E1799)</f>
        <v/>
      </c>
      <c r="D1799" s="6">
        <f>MONTH(E1799)</f>
        <v/>
      </c>
      <c r="E1799" s="267">
        <f>IFERROR(__xludf.DUMMYFUNCTION("""COMPUTED_VALUE"""),45714.6666666666)</f>
        <v/>
      </c>
      <c r="F1799" s="6">
        <f>IFERROR(__xludf.DUMMYFUNCTION("""COMPUTED_VALUE"""),5956.06)</f>
        <v/>
      </c>
      <c r="J1799" s="6">
        <f>K1799&amp;L1799</f>
        <v/>
      </c>
      <c r="K1799" s="6">
        <f>YEAR(M1799)</f>
        <v/>
      </c>
      <c r="L1799" s="6">
        <f>MONTH(M1799)</f>
        <v/>
      </c>
      <c r="M1799" s="267">
        <f>IFERROR(__xludf.DUMMYFUNCTION("""COMPUTED_VALUE"""),45707.6666666666)</f>
        <v/>
      </c>
      <c r="N1799" s="6">
        <f>IFERROR(__xludf.DUMMYFUNCTION("""COMPUTED_VALUE"""),20056.25)</f>
        <v/>
      </c>
      <c r="R1799" s="6">
        <f>S1799&amp;T1799</f>
        <v/>
      </c>
      <c r="S1799" s="6">
        <f>YEAR(U1799)</f>
        <v/>
      </c>
      <c r="T1799" s="6">
        <f>MONTH(U1799)</f>
        <v/>
      </c>
      <c r="U1799" s="267">
        <f>IFERROR(__xludf.DUMMYFUNCTION("""COMPUTED_VALUE"""),45777.6458333333)</f>
        <v/>
      </c>
      <c r="V1799" s="6">
        <f>IFERROR(__xludf.DUMMYFUNCTION("""COMPUTED_VALUE"""),2556.61)</f>
        <v/>
      </c>
      <c r="Z1799" s="6">
        <f>AA1799&amp;AB1799</f>
        <v/>
      </c>
      <c r="AA1799" s="6">
        <f>YEAR(AC1799)</f>
        <v/>
      </c>
      <c r="AB1799" s="6">
        <f>MONTH(AC1799)</f>
        <v/>
      </c>
      <c r="AC1799" s="267">
        <f>IFERROR(__xludf.DUMMYFUNCTION("""COMPUTED_VALUE"""),44948.9986111111)</f>
        <v/>
      </c>
      <c r="AD1799" s="6">
        <f>IFERROR(__xludf.DUMMYFUNCTION("""COMPUTED_VALUE"""),1230.03)</f>
        <v/>
      </c>
      <c r="AH1799" s="6">
        <f>AI1799&amp;AJ1799</f>
        <v/>
      </c>
      <c r="AI1799" s="6">
        <f>YEAR(AK1799)</f>
        <v/>
      </c>
      <c r="AJ1799" s="6">
        <f>MONTH(AK1799)</f>
        <v/>
      </c>
      <c r="AK1799" s="267">
        <f>IFERROR(__xludf.DUMMYFUNCTION("""COMPUTED_VALUE"""),44892.9986111111)</f>
        <v/>
      </c>
      <c r="AL1799" s="6">
        <f>IFERROR(__xludf.DUMMYFUNCTION("""COMPUTED_VALUE"""),16419.52)</f>
        <v/>
      </c>
      <c r="AP1799" s="6">
        <f>AQ1799&amp;AR1799</f>
        <v/>
      </c>
      <c r="AQ1799" s="6">
        <f>YEAR(AS1799)</f>
        <v/>
      </c>
      <c r="AR1799" s="6">
        <f>MONTH(AS1799)</f>
        <v/>
      </c>
      <c r="AS1799" s="267">
        <f>IFERROR(__xludf.DUMMYFUNCTION("""COMPUTED_VALUE"""),45721.9986111111)</f>
        <v/>
      </c>
      <c r="AT1799" s="6">
        <f>IFERROR(__xludf.DUMMYFUNCTION("""COMPUTED_VALUE"""),2926)</f>
        <v/>
      </c>
    </row>
    <row r="1800">
      <c r="B1800" s="6">
        <f>C1800&amp;D1800</f>
        <v/>
      </c>
      <c r="C1800" s="6">
        <f>YEAR(E1800)</f>
        <v/>
      </c>
      <c r="D1800" s="6">
        <f>MONTH(E1800)</f>
        <v/>
      </c>
      <c r="E1800" s="267">
        <f>IFERROR(__xludf.DUMMYFUNCTION("""COMPUTED_VALUE"""),45715.6666666666)</f>
        <v/>
      </c>
      <c r="F1800" s="6">
        <f>IFERROR(__xludf.DUMMYFUNCTION("""COMPUTED_VALUE"""),5861.57)</f>
        <v/>
      </c>
      <c r="J1800" s="6">
        <f>K1800&amp;L1800</f>
        <v/>
      </c>
      <c r="K1800" s="6">
        <f>YEAR(M1800)</f>
        <v/>
      </c>
      <c r="L1800" s="6">
        <f>MONTH(M1800)</f>
        <v/>
      </c>
      <c r="M1800" s="267">
        <f>IFERROR(__xludf.DUMMYFUNCTION("""COMPUTED_VALUE"""),45708.6666666666)</f>
        <v/>
      </c>
      <c r="N1800" s="6">
        <f>IFERROR(__xludf.DUMMYFUNCTION("""COMPUTED_VALUE"""),19962.36)</f>
        <v/>
      </c>
      <c r="R1800" s="6">
        <f>S1800&amp;T1800</f>
        <v/>
      </c>
      <c r="S1800" s="6">
        <f>YEAR(U1800)</f>
        <v/>
      </c>
      <c r="T1800" s="6">
        <f>MONTH(U1800)</f>
        <v/>
      </c>
      <c r="U1800" s="267">
        <f>IFERROR(__xludf.DUMMYFUNCTION("""COMPUTED_VALUE"""),45779.6458333333)</f>
        <v/>
      </c>
      <c r="V1800" s="6">
        <f>IFERROR(__xludf.DUMMYFUNCTION("""COMPUTED_VALUE"""),2559.79)</f>
        <v/>
      </c>
      <c r="Z1800" s="6">
        <f>AA1800&amp;AB1800</f>
        <v/>
      </c>
      <c r="AA1800" s="6">
        <f>YEAR(AC1800)</f>
        <v/>
      </c>
      <c r="AB1800" s="6">
        <f>MONTH(AC1800)</f>
        <v/>
      </c>
      <c r="AC1800" s="267">
        <f>IFERROR(__xludf.DUMMYFUNCTION("""COMPUTED_VALUE"""),44949.9986111111)</f>
        <v/>
      </c>
      <c r="AD1800" s="6">
        <f>IFERROR(__xludf.DUMMYFUNCTION("""COMPUTED_VALUE"""),1229.28)</f>
        <v/>
      </c>
      <c r="AH1800" s="6">
        <f>AI1800&amp;AJ1800</f>
        <v/>
      </c>
      <c r="AI1800" s="6">
        <f>YEAR(AK1800)</f>
        <v/>
      </c>
      <c r="AJ1800" s="6">
        <f>MONTH(AK1800)</f>
        <v/>
      </c>
      <c r="AK1800" s="267">
        <f>IFERROR(__xludf.DUMMYFUNCTION("""COMPUTED_VALUE"""),44893.9986111111)</f>
        <v/>
      </c>
      <c r="AL1800" s="6">
        <f>IFERROR(__xludf.DUMMYFUNCTION("""COMPUTED_VALUE"""),16206.38)</f>
        <v/>
      </c>
      <c r="AP1800" s="6">
        <f>AQ1800&amp;AR1800</f>
        <v/>
      </c>
      <c r="AQ1800" s="6">
        <f>YEAR(AS1800)</f>
        <v/>
      </c>
      <c r="AR1800" s="6">
        <f>MONTH(AS1800)</f>
        <v/>
      </c>
      <c r="AS1800" s="267">
        <f>IFERROR(__xludf.DUMMYFUNCTION("""COMPUTED_VALUE"""),45722.9986111111)</f>
        <v/>
      </c>
      <c r="AT1800" s="6">
        <f>IFERROR(__xludf.DUMMYFUNCTION("""COMPUTED_VALUE"""),2926.6)</f>
        <v/>
      </c>
    </row>
    <row r="1801">
      <c r="B1801" s="6">
        <f>C1801&amp;D1801</f>
        <v/>
      </c>
      <c r="C1801" s="6">
        <f>YEAR(E1801)</f>
        <v/>
      </c>
      <c r="D1801" s="6">
        <f>MONTH(E1801)</f>
        <v/>
      </c>
      <c r="E1801" s="267">
        <f>IFERROR(__xludf.DUMMYFUNCTION("""COMPUTED_VALUE"""),45716.6666666666)</f>
        <v/>
      </c>
      <c r="F1801" s="6">
        <f>IFERROR(__xludf.DUMMYFUNCTION("""COMPUTED_VALUE"""),5954.5)</f>
        <v/>
      </c>
      <c r="J1801" s="6">
        <f>K1801&amp;L1801</f>
        <v/>
      </c>
      <c r="K1801" s="6">
        <f>YEAR(M1801)</f>
        <v/>
      </c>
      <c r="L1801" s="6">
        <f>MONTH(M1801)</f>
        <v/>
      </c>
      <c r="M1801" s="267">
        <f>IFERROR(__xludf.DUMMYFUNCTION("""COMPUTED_VALUE"""),45709.6666666666)</f>
        <v/>
      </c>
      <c r="N1801" s="6">
        <f>IFERROR(__xludf.DUMMYFUNCTION("""COMPUTED_VALUE"""),19524.01)</f>
        <v/>
      </c>
      <c r="R1801" s="6">
        <f>S1801&amp;T1801</f>
        <v/>
      </c>
      <c r="S1801" s="6">
        <f>YEAR(U1801)</f>
        <v/>
      </c>
      <c r="T1801" s="6">
        <f>MONTH(U1801)</f>
        <v/>
      </c>
      <c r="U1801" s="267">
        <f>IFERROR(__xludf.DUMMYFUNCTION("""COMPUTED_VALUE"""),45784.6458333333)</f>
        <v/>
      </c>
      <c r="V1801" s="6">
        <f>IFERROR(__xludf.DUMMYFUNCTION("""COMPUTED_VALUE"""),2573.8)</f>
        <v/>
      </c>
      <c r="Z1801" s="6">
        <f>AA1801&amp;AB1801</f>
        <v/>
      </c>
      <c r="AA1801" s="6">
        <f>YEAR(AC1801)</f>
        <v/>
      </c>
      <c r="AB1801" s="6">
        <f>MONTH(AC1801)</f>
        <v/>
      </c>
      <c r="AC1801" s="267">
        <f>IFERROR(__xludf.DUMMYFUNCTION("""COMPUTED_VALUE"""),44950.9986111111)</f>
        <v/>
      </c>
      <c r="AD1801" s="6">
        <f>IFERROR(__xludf.DUMMYFUNCTION("""COMPUTED_VALUE"""),1232.66)</f>
        <v/>
      </c>
      <c r="AH1801" s="6">
        <f>AI1801&amp;AJ1801</f>
        <v/>
      </c>
      <c r="AI1801" s="6">
        <f>YEAR(AK1801)</f>
        <v/>
      </c>
      <c r="AJ1801" s="6">
        <f>MONTH(AK1801)</f>
        <v/>
      </c>
      <c r="AK1801" s="267">
        <f>IFERROR(__xludf.DUMMYFUNCTION("""COMPUTED_VALUE"""),44894.9986111111)</f>
        <v/>
      </c>
      <c r="AL1801" s="6">
        <f>IFERROR(__xludf.DUMMYFUNCTION("""COMPUTED_VALUE"""),16433.22)</f>
        <v/>
      </c>
      <c r="AP1801" s="6">
        <f>AQ1801&amp;AR1801</f>
        <v/>
      </c>
      <c r="AQ1801" s="6">
        <f>YEAR(AS1801)</f>
        <v/>
      </c>
      <c r="AR1801" s="6">
        <f>MONTH(AS1801)</f>
        <v/>
      </c>
      <c r="AS1801" s="267">
        <f>IFERROR(__xludf.DUMMYFUNCTION("""COMPUTED_VALUE"""),45723.9986111111)</f>
        <v/>
      </c>
      <c r="AT1801" s="6">
        <f>IFERROR(__xludf.DUMMYFUNCTION("""COMPUTED_VALUE"""),2914.1)</f>
        <v/>
      </c>
    </row>
    <row r="1802">
      <c r="B1802" s="6">
        <f>C1802&amp;D1802</f>
        <v/>
      </c>
      <c r="C1802" s="6">
        <f>YEAR(E1802)</f>
        <v/>
      </c>
      <c r="D1802" s="6">
        <f>MONTH(E1802)</f>
        <v/>
      </c>
      <c r="E1802" s="267">
        <f>IFERROR(__xludf.DUMMYFUNCTION("""COMPUTED_VALUE"""),45719.6666666666)</f>
        <v/>
      </c>
      <c r="F1802" s="6">
        <f>IFERROR(__xludf.DUMMYFUNCTION("""COMPUTED_VALUE"""),5849.72)</f>
        <v/>
      </c>
      <c r="J1802" s="6">
        <f>K1802&amp;L1802</f>
        <v/>
      </c>
      <c r="K1802" s="6">
        <f>YEAR(M1802)</f>
        <v/>
      </c>
      <c r="L1802" s="6">
        <f>MONTH(M1802)</f>
        <v/>
      </c>
      <c r="M1802" s="267">
        <f>IFERROR(__xludf.DUMMYFUNCTION("""COMPUTED_VALUE"""),45712.6666666666)</f>
        <v/>
      </c>
      <c r="N1802" s="6">
        <f>IFERROR(__xludf.DUMMYFUNCTION("""COMPUTED_VALUE"""),19286.93)</f>
        <v/>
      </c>
      <c r="R1802" s="6">
        <f>S1802&amp;T1802</f>
        <v/>
      </c>
      <c r="S1802" s="6">
        <f>YEAR(U1802)</f>
        <v/>
      </c>
      <c r="T1802" s="6">
        <f>MONTH(U1802)</f>
        <v/>
      </c>
      <c r="U1802" s="267">
        <f>IFERROR(__xludf.DUMMYFUNCTION("""COMPUTED_VALUE"""),45785.6458333333)</f>
        <v/>
      </c>
      <c r="V1802" s="6">
        <f>IFERROR(__xludf.DUMMYFUNCTION("""COMPUTED_VALUE"""),2579.48)</f>
        <v/>
      </c>
      <c r="Z1802" s="6">
        <f>AA1802&amp;AB1802</f>
        <v/>
      </c>
      <c r="AA1802" s="6">
        <f>YEAR(AC1802)</f>
        <v/>
      </c>
      <c r="AB1802" s="6">
        <f>MONTH(AC1802)</f>
        <v/>
      </c>
      <c r="AC1802" s="267">
        <f>IFERROR(__xludf.DUMMYFUNCTION("""COMPUTED_VALUE"""),44951.9986111111)</f>
        <v/>
      </c>
      <c r="AD1802" s="6">
        <f>IFERROR(__xludf.DUMMYFUNCTION("""COMPUTED_VALUE"""),1232.59)</f>
        <v/>
      </c>
      <c r="AH1802" s="6">
        <f>AI1802&amp;AJ1802</f>
        <v/>
      </c>
      <c r="AI1802" s="6">
        <f>YEAR(AK1802)</f>
        <v/>
      </c>
      <c r="AJ1802" s="6">
        <f>MONTH(AK1802)</f>
        <v/>
      </c>
      <c r="AK1802" s="267">
        <f>IFERROR(__xludf.DUMMYFUNCTION("""COMPUTED_VALUE"""),44895.9986111111)</f>
        <v/>
      </c>
      <c r="AL1802" s="6">
        <f>IFERROR(__xludf.DUMMYFUNCTION("""COMPUTED_VALUE"""),17162.97)</f>
        <v/>
      </c>
      <c r="AP1802" s="6">
        <f>AQ1802&amp;AR1802</f>
        <v/>
      </c>
      <c r="AQ1802" s="6">
        <f>YEAR(AS1802)</f>
        <v/>
      </c>
      <c r="AR1802" s="6">
        <f>MONTH(AS1802)</f>
        <v/>
      </c>
      <c r="AS1802" s="267">
        <f>IFERROR(__xludf.DUMMYFUNCTION("""COMPUTED_VALUE"""),45726.9986111111)</f>
        <v/>
      </c>
      <c r="AT1802" s="6">
        <f>IFERROR(__xludf.DUMMYFUNCTION("""COMPUTED_VALUE"""),2899.4)</f>
        <v/>
      </c>
    </row>
    <row r="1803">
      <c r="B1803" s="6">
        <f>C1803&amp;D1803</f>
        <v/>
      </c>
      <c r="C1803" s="6">
        <f>YEAR(E1803)</f>
        <v/>
      </c>
      <c r="D1803" s="6">
        <f>MONTH(E1803)</f>
        <v/>
      </c>
      <c r="E1803" s="267">
        <f>IFERROR(__xludf.DUMMYFUNCTION("""COMPUTED_VALUE"""),45720.6666666666)</f>
        <v/>
      </c>
      <c r="F1803" s="6">
        <f>IFERROR(__xludf.DUMMYFUNCTION("""COMPUTED_VALUE"""),5778.15)</f>
        <v/>
      </c>
      <c r="J1803" s="6">
        <f>K1803&amp;L1803</f>
        <v/>
      </c>
      <c r="K1803" s="6">
        <f>YEAR(M1803)</f>
        <v/>
      </c>
      <c r="L1803" s="6">
        <f>MONTH(M1803)</f>
        <v/>
      </c>
      <c r="M1803" s="267">
        <f>IFERROR(__xludf.DUMMYFUNCTION("""COMPUTED_VALUE"""),45713.6666666666)</f>
        <v/>
      </c>
      <c r="N1803" s="6">
        <f>IFERROR(__xludf.DUMMYFUNCTION("""COMPUTED_VALUE"""),19026.39)</f>
        <v/>
      </c>
      <c r="R1803" s="6">
        <f>S1803&amp;T1803</f>
        <v/>
      </c>
      <c r="S1803" s="6">
        <f>YEAR(U1803)</f>
        <v/>
      </c>
      <c r="T1803" s="6">
        <f>MONTH(U1803)</f>
        <v/>
      </c>
      <c r="U1803" s="267">
        <f>IFERROR(__xludf.DUMMYFUNCTION("""COMPUTED_VALUE"""),45786.6458333333)</f>
        <v/>
      </c>
      <c r="V1803" s="6">
        <f>IFERROR(__xludf.DUMMYFUNCTION("""COMPUTED_VALUE"""),2577.27)</f>
        <v/>
      </c>
      <c r="Z1803" s="6">
        <f>AA1803&amp;AB1803</f>
        <v/>
      </c>
      <c r="AA1803" s="6">
        <f>YEAR(AC1803)</f>
        <v/>
      </c>
      <c r="AB1803" s="6">
        <f>MONTH(AC1803)</f>
        <v/>
      </c>
      <c r="AC1803" s="267">
        <f>IFERROR(__xludf.DUMMYFUNCTION("""COMPUTED_VALUE"""),44952.9986111111)</f>
        <v/>
      </c>
      <c r="AD1803" s="6">
        <f>IFERROR(__xludf.DUMMYFUNCTION("""COMPUTED_VALUE"""),1231.85)</f>
        <v/>
      </c>
      <c r="AH1803" s="6">
        <f>AI1803&amp;AJ1803</f>
        <v/>
      </c>
      <c r="AI1803" s="6">
        <f>YEAR(AK1803)</f>
        <v/>
      </c>
      <c r="AJ1803" s="6">
        <f>MONTH(AK1803)</f>
        <v/>
      </c>
      <c r="AK1803" s="267">
        <f>IFERROR(__xludf.DUMMYFUNCTION("""COMPUTED_VALUE"""),44896.9986111111)</f>
        <v/>
      </c>
      <c r="AL1803" s="6">
        <f>IFERROR(__xludf.DUMMYFUNCTION("""COMPUTED_VALUE"""),16969.37)</f>
        <v/>
      </c>
      <c r="AP1803" s="6">
        <f>AQ1803&amp;AR1803</f>
        <v/>
      </c>
      <c r="AQ1803" s="6">
        <f>YEAR(AS1803)</f>
        <v/>
      </c>
      <c r="AR1803" s="6">
        <f>MONTH(AS1803)</f>
        <v/>
      </c>
      <c r="AS1803" s="267">
        <f>IFERROR(__xludf.DUMMYFUNCTION("""COMPUTED_VALUE"""),45727.9986111111)</f>
        <v/>
      </c>
      <c r="AT1803" s="6">
        <f>IFERROR(__xludf.DUMMYFUNCTION("""COMPUTED_VALUE"""),2920.9)</f>
        <v/>
      </c>
    </row>
    <row r="1804">
      <c r="B1804" s="6">
        <f>C1804&amp;D1804</f>
        <v/>
      </c>
      <c r="C1804" s="6">
        <f>YEAR(E1804)</f>
        <v/>
      </c>
      <c r="D1804" s="6">
        <f>MONTH(E1804)</f>
        <v/>
      </c>
      <c r="E1804" s="267">
        <f>IFERROR(__xludf.DUMMYFUNCTION("""COMPUTED_VALUE"""),45721.6666666666)</f>
        <v/>
      </c>
      <c r="F1804" s="6">
        <f>IFERROR(__xludf.DUMMYFUNCTION("""COMPUTED_VALUE"""),5842.63)</f>
        <v/>
      </c>
      <c r="J1804" s="6">
        <f>K1804&amp;L1804</f>
        <v/>
      </c>
      <c r="K1804" s="6">
        <f>YEAR(M1804)</f>
        <v/>
      </c>
      <c r="L1804" s="6">
        <f>MONTH(M1804)</f>
        <v/>
      </c>
      <c r="M1804" s="267">
        <f>IFERROR(__xludf.DUMMYFUNCTION("""COMPUTED_VALUE"""),45714.6666666666)</f>
        <v/>
      </c>
      <c r="N1804" s="6">
        <f>IFERROR(__xludf.DUMMYFUNCTION("""COMPUTED_VALUE"""),19075.26)</f>
        <v/>
      </c>
      <c r="R1804" s="6">
        <f>S1804&amp;T1804</f>
        <v/>
      </c>
      <c r="S1804" s="6">
        <f>YEAR(U1804)</f>
        <v/>
      </c>
      <c r="T1804" s="6">
        <f>MONTH(U1804)</f>
        <v/>
      </c>
      <c r="U1804" s="267">
        <f>IFERROR(__xludf.DUMMYFUNCTION("""COMPUTED_VALUE"""),45789.6458333333)</f>
        <v/>
      </c>
      <c r="V1804" s="6">
        <f>IFERROR(__xludf.DUMMYFUNCTION("""COMPUTED_VALUE"""),2607.33)</f>
        <v/>
      </c>
      <c r="Z1804" s="6">
        <f>AA1804&amp;AB1804</f>
        <v/>
      </c>
      <c r="AA1804" s="6">
        <f>YEAR(AC1804)</f>
        <v/>
      </c>
      <c r="AB1804" s="6">
        <f>MONTH(AC1804)</f>
        <v/>
      </c>
      <c r="AC1804" s="267">
        <f>IFERROR(__xludf.DUMMYFUNCTION("""COMPUTED_VALUE"""),44953.9986111111)</f>
        <v/>
      </c>
      <c r="AD1804" s="6">
        <f>IFERROR(__xludf.DUMMYFUNCTION("""COMPUTED_VALUE"""),1228.95)</f>
        <v/>
      </c>
      <c r="AH1804" s="6">
        <f>AI1804&amp;AJ1804</f>
        <v/>
      </c>
      <c r="AI1804" s="6">
        <f>YEAR(AK1804)</f>
        <v/>
      </c>
      <c r="AJ1804" s="6">
        <f>MONTH(AK1804)</f>
        <v/>
      </c>
      <c r="AK1804" s="267">
        <f>IFERROR(__xludf.DUMMYFUNCTION("""COMPUTED_VALUE"""),44897.9986111111)</f>
        <v/>
      </c>
      <c r="AL1804" s="6">
        <f>IFERROR(__xludf.DUMMYFUNCTION("""COMPUTED_VALUE"""),17089.62)</f>
        <v/>
      </c>
      <c r="AP1804" s="6">
        <f>AQ1804&amp;AR1804</f>
        <v/>
      </c>
      <c r="AQ1804" s="6">
        <f>YEAR(AS1804)</f>
        <v/>
      </c>
      <c r="AR1804" s="6">
        <f>MONTH(AS1804)</f>
        <v/>
      </c>
      <c r="AS1804" s="267">
        <f>IFERROR(__xludf.DUMMYFUNCTION("""COMPUTED_VALUE"""),45728.9986111111)</f>
        <v/>
      </c>
      <c r="AT1804" s="6">
        <f>IFERROR(__xludf.DUMMYFUNCTION("""COMPUTED_VALUE"""),2946.8)</f>
        <v/>
      </c>
    </row>
    <row r="1805">
      <c r="B1805" s="6">
        <f>C1805&amp;D1805</f>
        <v/>
      </c>
      <c r="C1805" s="6">
        <f>YEAR(E1805)</f>
        <v/>
      </c>
      <c r="D1805" s="6">
        <f>MONTH(E1805)</f>
        <v/>
      </c>
      <c r="E1805" s="267">
        <f>IFERROR(__xludf.DUMMYFUNCTION("""COMPUTED_VALUE"""),45722.6666666666)</f>
        <v/>
      </c>
      <c r="F1805" s="6">
        <f>IFERROR(__xludf.DUMMYFUNCTION("""COMPUTED_VALUE"""),5738.52)</f>
        <v/>
      </c>
      <c r="J1805" s="6">
        <f>K1805&amp;L1805</f>
        <v/>
      </c>
      <c r="K1805" s="6">
        <f>YEAR(M1805)</f>
        <v/>
      </c>
      <c r="L1805" s="6">
        <f>MONTH(M1805)</f>
        <v/>
      </c>
      <c r="M1805" s="267">
        <f>IFERROR(__xludf.DUMMYFUNCTION("""COMPUTED_VALUE"""),45715.6666666666)</f>
        <v/>
      </c>
      <c r="N1805" s="6">
        <f>IFERROR(__xludf.DUMMYFUNCTION("""COMPUTED_VALUE"""),18544.42)</f>
        <v/>
      </c>
      <c r="R1805" s="6">
        <f>S1805&amp;T1805</f>
        <v/>
      </c>
      <c r="S1805" s="6">
        <f>YEAR(U1805)</f>
        <v/>
      </c>
      <c r="T1805" s="6">
        <f>MONTH(U1805)</f>
        <v/>
      </c>
      <c r="U1805" s="267">
        <f>IFERROR(__xludf.DUMMYFUNCTION("""COMPUTED_VALUE"""),45790.6458333333)</f>
        <v/>
      </c>
      <c r="V1805" s="6">
        <f>IFERROR(__xludf.DUMMYFUNCTION("""COMPUTED_VALUE"""),2608.42)</f>
        <v/>
      </c>
      <c r="Z1805" s="6">
        <f>AA1805&amp;AB1805</f>
        <v/>
      </c>
      <c r="AA1805" s="6">
        <f>YEAR(AC1805)</f>
        <v/>
      </c>
      <c r="AB1805" s="6">
        <f>MONTH(AC1805)</f>
        <v/>
      </c>
      <c r="AC1805" s="267">
        <f>IFERROR(__xludf.DUMMYFUNCTION("""COMPUTED_VALUE"""),44954.9986111111)</f>
        <v/>
      </c>
      <c r="AD1805" s="6">
        <f>IFERROR(__xludf.DUMMYFUNCTION("""COMPUTED_VALUE"""),1228.95)</f>
        <v/>
      </c>
      <c r="AH1805" s="6">
        <f>AI1805&amp;AJ1805</f>
        <v/>
      </c>
      <c r="AI1805" s="6">
        <f>YEAR(AK1805)</f>
        <v/>
      </c>
      <c r="AJ1805" s="6">
        <f>MONTH(AK1805)</f>
        <v/>
      </c>
      <c r="AK1805" s="267">
        <f>IFERROR(__xludf.DUMMYFUNCTION("""COMPUTED_VALUE"""),44898.9986111111)</f>
        <v/>
      </c>
      <c r="AL1805" s="6">
        <f>IFERROR(__xludf.DUMMYFUNCTION("""COMPUTED_VALUE"""),16884)</f>
        <v/>
      </c>
      <c r="AP1805" s="6">
        <f>AQ1805&amp;AR1805</f>
        <v/>
      </c>
      <c r="AQ1805" s="6">
        <f>YEAR(AS1805)</f>
        <v/>
      </c>
      <c r="AR1805" s="6">
        <f>MONTH(AS1805)</f>
        <v/>
      </c>
      <c r="AS1805" s="267">
        <f>IFERROR(__xludf.DUMMYFUNCTION("""COMPUTED_VALUE"""),45729.9986111111)</f>
        <v/>
      </c>
      <c r="AT1805" s="6">
        <f>IFERROR(__xludf.DUMMYFUNCTION("""COMPUTED_VALUE"""),2991.3)</f>
        <v/>
      </c>
    </row>
    <row r="1806">
      <c r="B1806" s="6">
        <f>C1806&amp;D1806</f>
        <v/>
      </c>
      <c r="C1806" s="6">
        <f>YEAR(E1806)</f>
        <v/>
      </c>
      <c r="D1806" s="6">
        <f>MONTH(E1806)</f>
        <v/>
      </c>
      <c r="E1806" s="267">
        <f>IFERROR(__xludf.DUMMYFUNCTION("""COMPUTED_VALUE"""),45723.6666666666)</f>
        <v/>
      </c>
      <c r="F1806" s="6">
        <f>IFERROR(__xludf.DUMMYFUNCTION("""COMPUTED_VALUE"""),5770.2)</f>
        <v/>
      </c>
      <c r="J1806" s="6">
        <f>K1806&amp;L1806</f>
        <v/>
      </c>
      <c r="K1806" s="6">
        <f>YEAR(M1806)</f>
        <v/>
      </c>
      <c r="L1806" s="6">
        <f>MONTH(M1806)</f>
        <v/>
      </c>
      <c r="M1806" s="267">
        <f>IFERROR(__xludf.DUMMYFUNCTION("""COMPUTED_VALUE"""),45716.6666666666)</f>
        <v/>
      </c>
      <c r="N1806" s="6">
        <f>IFERROR(__xludf.DUMMYFUNCTION("""COMPUTED_VALUE"""),18847.28)</f>
        <v/>
      </c>
      <c r="R1806" s="6">
        <f>S1806&amp;T1806</f>
        <v/>
      </c>
      <c r="S1806" s="6">
        <f>YEAR(U1806)</f>
        <v/>
      </c>
      <c r="T1806" s="6">
        <f>MONTH(U1806)</f>
        <v/>
      </c>
      <c r="U1806" s="267">
        <f>IFERROR(__xludf.DUMMYFUNCTION("""COMPUTED_VALUE"""),45791.6458333333)</f>
        <v/>
      </c>
      <c r="V1806" s="6">
        <f>IFERROR(__xludf.DUMMYFUNCTION("""COMPUTED_VALUE"""),2640.57)</f>
        <v/>
      </c>
      <c r="Z1806" s="6">
        <f>AA1806&amp;AB1806</f>
        <v/>
      </c>
      <c r="AA1806" s="6">
        <f>YEAR(AC1806)</f>
        <v/>
      </c>
      <c r="AB1806" s="6">
        <f>MONTH(AC1806)</f>
        <v/>
      </c>
      <c r="AC1806" s="267">
        <f>IFERROR(__xludf.DUMMYFUNCTION("""COMPUTED_VALUE"""),44955.9986111111)</f>
        <v/>
      </c>
      <c r="AD1806" s="6">
        <f>IFERROR(__xludf.DUMMYFUNCTION("""COMPUTED_VALUE"""),1228.95)</f>
        <v/>
      </c>
      <c r="AH1806" s="6">
        <f>AI1806&amp;AJ1806</f>
        <v/>
      </c>
      <c r="AI1806" s="6">
        <f>YEAR(AK1806)</f>
        <v/>
      </c>
      <c r="AJ1806" s="6">
        <f>MONTH(AK1806)</f>
        <v/>
      </c>
      <c r="AK1806" s="267">
        <f>IFERROR(__xludf.DUMMYFUNCTION("""COMPUTED_VALUE"""),44899.9986111111)</f>
        <v/>
      </c>
      <c r="AL1806" s="6">
        <f>IFERROR(__xludf.DUMMYFUNCTION("""COMPUTED_VALUE"""),17107.33)</f>
        <v/>
      </c>
      <c r="AP1806" s="6">
        <f>AQ1806&amp;AR1806</f>
        <v/>
      </c>
      <c r="AQ1806" s="6">
        <f>YEAR(AS1806)</f>
        <v/>
      </c>
      <c r="AR1806" s="6">
        <f>MONTH(AS1806)</f>
        <v/>
      </c>
      <c r="AS1806" s="267">
        <f>IFERROR(__xludf.DUMMYFUNCTION("""COMPUTED_VALUE"""),45730.9986111111)</f>
        <v/>
      </c>
      <c r="AT1806" s="6">
        <f>IFERROR(__xludf.DUMMYFUNCTION("""COMPUTED_VALUE"""),3001.1)</f>
        <v/>
      </c>
    </row>
    <row r="1807">
      <c r="B1807" s="6">
        <f>C1807&amp;D1807</f>
        <v/>
      </c>
      <c r="C1807" s="6">
        <f>YEAR(E1807)</f>
        <v/>
      </c>
      <c r="D1807" s="6">
        <f>MONTH(E1807)</f>
        <v/>
      </c>
      <c r="E1807" s="267">
        <f>IFERROR(__xludf.DUMMYFUNCTION("""COMPUTED_VALUE"""),45726.6666666666)</f>
        <v/>
      </c>
      <c r="F1807" s="6">
        <f>IFERROR(__xludf.DUMMYFUNCTION("""COMPUTED_VALUE"""),5614.56)</f>
        <v/>
      </c>
      <c r="J1807" s="6">
        <f>K1807&amp;L1807</f>
        <v/>
      </c>
      <c r="K1807" s="6">
        <f>YEAR(M1807)</f>
        <v/>
      </c>
      <c r="L1807" s="6">
        <f>MONTH(M1807)</f>
        <v/>
      </c>
      <c r="M1807" s="267">
        <f>IFERROR(__xludf.DUMMYFUNCTION("""COMPUTED_VALUE"""),45719.6666666666)</f>
        <v/>
      </c>
      <c r="N1807" s="6">
        <f>IFERROR(__xludf.DUMMYFUNCTION("""COMPUTED_VALUE"""),18350.19)</f>
        <v/>
      </c>
      <c r="R1807" s="6">
        <f>S1807&amp;T1807</f>
        <v/>
      </c>
      <c r="S1807" s="6">
        <f>YEAR(U1807)</f>
        <v/>
      </c>
      <c r="T1807" s="6">
        <f>MONTH(U1807)</f>
        <v/>
      </c>
      <c r="U1807" s="267">
        <f>IFERROR(__xludf.DUMMYFUNCTION("""COMPUTED_VALUE"""),45792.6458333333)</f>
        <v/>
      </c>
      <c r="V1807" s="6">
        <f>IFERROR(__xludf.DUMMYFUNCTION("""COMPUTED_VALUE"""),2621.36)</f>
        <v/>
      </c>
      <c r="Z1807" s="6">
        <f>AA1807&amp;AB1807</f>
        <v/>
      </c>
      <c r="AA1807" s="6">
        <f>YEAR(AC1807)</f>
        <v/>
      </c>
      <c r="AB1807" s="6">
        <f>MONTH(AC1807)</f>
        <v/>
      </c>
      <c r="AC1807" s="267">
        <f>IFERROR(__xludf.DUMMYFUNCTION("""COMPUTED_VALUE"""),44956.9986111111)</f>
        <v/>
      </c>
      <c r="AD1807" s="6">
        <f>IFERROR(__xludf.DUMMYFUNCTION("""COMPUTED_VALUE"""),1231.5)</f>
        <v/>
      </c>
      <c r="AH1807" s="6">
        <f>AI1807&amp;AJ1807</f>
        <v/>
      </c>
      <c r="AI1807" s="6">
        <f>YEAR(AK1807)</f>
        <v/>
      </c>
      <c r="AJ1807" s="6">
        <f>MONTH(AK1807)</f>
        <v/>
      </c>
      <c r="AK1807" s="267">
        <f>IFERROR(__xludf.DUMMYFUNCTION("""COMPUTED_VALUE"""),44900.9986111111)</f>
        <v/>
      </c>
      <c r="AL1807" s="6">
        <f>IFERROR(__xludf.DUMMYFUNCTION("""COMPUTED_VALUE"""),16965.47)</f>
        <v/>
      </c>
      <c r="AP1807" s="6">
        <f>AQ1807&amp;AR1807</f>
        <v/>
      </c>
      <c r="AQ1807" s="6">
        <f>YEAR(AS1807)</f>
        <v/>
      </c>
      <c r="AR1807" s="6">
        <f>MONTH(AS1807)</f>
        <v/>
      </c>
      <c r="AS1807" s="267">
        <f>IFERROR(__xludf.DUMMYFUNCTION("""COMPUTED_VALUE"""),45733.9986111111)</f>
        <v/>
      </c>
      <c r="AT1807" s="6">
        <f>IFERROR(__xludf.DUMMYFUNCTION("""COMPUTED_VALUE"""),3006.1)</f>
        <v/>
      </c>
    </row>
    <row r="1808">
      <c r="B1808" s="6">
        <f>C1808&amp;D1808</f>
        <v/>
      </c>
      <c r="C1808" s="6">
        <f>YEAR(E1808)</f>
        <v/>
      </c>
      <c r="D1808" s="6">
        <f>MONTH(E1808)</f>
        <v/>
      </c>
      <c r="E1808" s="267">
        <f>IFERROR(__xludf.DUMMYFUNCTION("""COMPUTED_VALUE"""),45727.6666666666)</f>
        <v/>
      </c>
      <c r="F1808" s="6">
        <f>IFERROR(__xludf.DUMMYFUNCTION("""COMPUTED_VALUE"""),5572.07)</f>
        <v/>
      </c>
      <c r="J1808" s="6">
        <f>K1808&amp;L1808</f>
        <v/>
      </c>
      <c r="K1808" s="6">
        <f>YEAR(M1808)</f>
        <v/>
      </c>
      <c r="L1808" s="6">
        <f>MONTH(M1808)</f>
        <v/>
      </c>
      <c r="M1808" s="267">
        <f>IFERROR(__xludf.DUMMYFUNCTION("""COMPUTED_VALUE"""),45720.6666666666)</f>
        <v/>
      </c>
      <c r="N1808" s="6">
        <f>IFERROR(__xludf.DUMMYFUNCTION("""COMPUTED_VALUE"""),18285.16)</f>
        <v/>
      </c>
      <c r="R1808" s="6">
        <f>S1808&amp;T1808</f>
        <v/>
      </c>
      <c r="S1808" s="6">
        <f>YEAR(U1808)</f>
        <v/>
      </c>
      <c r="T1808" s="6">
        <f>MONTH(U1808)</f>
        <v/>
      </c>
      <c r="U1808" s="267">
        <f>IFERROR(__xludf.DUMMYFUNCTION("""COMPUTED_VALUE"""),45793.6458333333)</f>
        <v/>
      </c>
      <c r="V1808" s="6">
        <f>IFERROR(__xludf.DUMMYFUNCTION("""COMPUTED_VALUE"""),2626.87)</f>
        <v/>
      </c>
      <c r="Z1808" s="6">
        <f>AA1808&amp;AB1808</f>
        <v/>
      </c>
      <c r="AA1808" s="6">
        <f>YEAR(AC1808)</f>
        <v/>
      </c>
      <c r="AB1808" s="6">
        <f>MONTH(AC1808)</f>
        <v/>
      </c>
      <c r="AC1808" s="267">
        <f>IFERROR(__xludf.DUMMYFUNCTION("""COMPUTED_VALUE"""),44957.9986111111)</f>
        <v/>
      </c>
      <c r="AD1808" s="6">
        <f>IFERROR(__xludf.DUMMYFUNCTION("""COMPUTED_VALUE"""),1232.15)</f>
        <v/>
      </c>
      <c r="AH1808" s="6">
        <f>AI1808&amp;AJ1808</f>
        <v/>
      </c>
      <c r="AI1808" s="6">
        <f>YEAR(AK1808)</f>
        <v/>
      </c>
      <c r="AJ1808" s="6">
        <f>MONTH(AK1808)</f>
        <v/>
      </c>
      <c r="AK1808" s="267">
        <f>IFERROR(__xludf.DUMMYFUNCTION("""COMPUTED_VALUE"""),44901.9986111111)</f>
        <v/>
      </c>
      <c r="AL1808" s="6">
        <f>IFERROR(__xludf.DUMMYFUNCTION("""COMPUTED_VALUE"""),17083.02)</f>
        <v/>
      </c>
      <c r="AP1808" s="6">
        <f>AQ1808&amp;AR1808</f>
        <v/>
      </c>
      <c r="AQ1808" s="6">
        <f>YEAR(AS1808)</f>
        <v/>
      </c>
      <c r="AR1808" s="6">
        <f>MONTH(AS1808)</f>
        <v/>
      </c>
      <c r="AS1808" s="267">
        <f>IFERROR(__xludf.DUMMYFUNCTION("""COMPUTED_VALUE"""),45734.9986111111)</f>
        <v/>
      </c>
      <c r="AT1808" s="6">
        <f>IFERROR(__xludf.DUMMYFUNCTION("""COMPUTED_VALUE"""),3040.8)</f>
        <v/>
      </c>
    </row>
    <row r="1809">
      <c r="B1809" s="6">
        <f>C1809&amp;D1809</f>
        <v/>
      </c>
      <c r="C1809" s="6">
        <f>YEAR(E1809)</f>
        <v/>
      </c>
      <c r="D1809" s="6">
        <f>MONTH(E1809)</f>
        <v/>
      </c>
      <c r="E1809" s="267">
        <f>IFERROR(__xludf.DUMMYFUNCTION("""COMPUTED_VALUE"""),45728.6666666666)</f>
        <v/>
      </c>
      <c r="F1809" s="6">
        <f>IFERROR(__xludf.DUMMYFUNCTION("""COMPUTED_VALUE"""),5599.3)</f>
        <v/>
      </c>
      <c r="J1809" s="6">
        <f>K1809&amp;L1809</f>
        <v/>
      </c>
      <c r="K1809" s="6">
        <f>YEAR(M1809)</f>
        <v/>
      </c>
      <c r="L1809" s="6">
        <f>MONTH(M1809)</f>
        <v/>
      </c>
      <c r="M1809" s="267">
        <f>IFERROR(__xludf.DUMMYFUNCTION("""COMPUTED_VALUE"""),45721.6666666666)</f>
        <v/>
      </c>
      <c r="N1809" s="6">
        <f>IFERROR(__xludf.DUMMYFUNCTION("""COMPUTED_VALUE"""),18552.73)</f>
        <v/>
      </c>
      <c r="R1809" s="6">
        <f>S1809&amp;T1809</f>
        <v/>
      </c>
      <c r="S1809" s="6">
        <f>YEAR(U1809)</f>
        <v/>
      </c>
      <c r="T1809" s="6">
        <f>MONTH(U1809)</f>
        <v/>
      </c>
      <c r="U1809" s="267">
        <f>IFERROR(__xludf.DUMMYFUNCTION("""COMPUTED_VALUE"""),45796.6458333333)</f>
        <v/>
      </c>
      <c r="V1809" s="6">
        <f>IFERROR(__xludf.DUMMYFUNCTION("""COMPUTED_VALUE"""),2603.42)</f>
        <v/>
      </c>
      <c r="Z1809" s="6">
        <f>AA1809&amp;AB1809</f>
        <v/>
      </c>
      <c r="AA1809" s="6">
        <f>YEAR(AC1809)</f>
        <v/>
      </c>
      <c r="AB1809" s="6">
        <f>MONTH(AC1809)</f>
        <v/>
      </c>
      <c r="AC1809" s="267">
        <f>IFERROR(__xludf.DUMMYFUNCTION("""COMPUTED_VALUE"""),44958.9986111111)</f>
        <v/>
      </c>
      <c r="AD1809" s="6">
        <f>IFERROR(__xludf.DUMMYFUNCTION("""COMPUTED_VALUE"""),1221.95)</f>
        <v/>
      </c>
      <c r="AH1809" s="6">
        <f>AI1809&amp;AJ1809</f>
        <v/>
      </c>
      <c r="AI1809" s="6">
        <f>YEAR(AK1809)</f>
        <v/>
      </c>
      <c r="AJ1809" s="6">
        <f>MONTH(AK1809)</f>
        <v/>
      </c>
      <c r="AK1809" s="267">
        <f>IFERROR(__xludf.DUMMYFUNCTION("""COMPUTED_VALUE"""),44902.9986111111)</f>
        <v/>
      </c>
      <c r="AL1809" s="6">
        <f>IFERROR(__xludf.DUMMYFUNCTION("""COMPUTED_VALUE"""),16836.91)</f>
        <v/>
      </c>
      <c r="AP1809" s="6">
        <f>AQ1809&amp;AR1809</f>
        <v/>
      </c>
      <c r="AQ1809" s="6">
        <f>YEAR(AS1809)</f>
        <v/>
      </c>
      <c r="AR1809" s="6">
        <f>MONTH(AS1809)</f>
        <v/>
      </c>
      <c r="AS1809" s="267">
        <f>IFERROR(__xludf.DUMMYFUNCTION("""COMPUTED_VALUE"""),45735.9986111111)</f>
        <v/>
      </c>
      <c r="AT1809" s="6">
        <f>IFERROR(__xludf.DUMMYFUNCTION("""COMPUTED_VALUE"""),3041.2)</f>
        <v/>
      </c>
    </row>
    <row r="1810">
      <c r="B1810" s="6">
        <f>C1810&amp;D1810</f>
        <v/>
      </c>
      <c r="C1810" s="6">
        <f>YEAR(E1810)</f>
        <v/>
      </c>
      <c r="D1810" s="6">
        <f>MONTH(E1810)</f>
        <v/>
      </c>
      <c r="E1810" s="267">
        <f>IFERROR(__xludf.DUMMYFUNCTION("""COMPUTED_VALUE"""),45729.6666666666)</f>
        <v/>
      </c>
      <c r="F1810" s="6">
        <f>IFERROR(__xludf.DUMMYFUNCTION("""COMPUTED_VALUE"""),5521.52)</f>
        <v/>
      </c>
      <c r="J1810" s="6">
        <f>K1810&amp;L1810</f>
        <v/>
      </c>
      <c r="K1810" s="6">
        <f>YEAR(M1810)</f>
        <v/>
      </c>
      <c r="L1810" s="6">
        <f>MONTH(M1810)</f>
        <v/>
      </c>
      <c r="M1810" s="267">
        <f>IFERROR(__xludf.DUMMYFUNCTION("""COMPUTED_VALUE"""),45722.6666666666)</f>
        <v/>
      </c>
      <c r="N1810" s="6">
        <f>IFERROR(__xludf.DUMMYFUNCTION("""COMPUTED_VALUE"""),18069.26)</f>
        <v/>
      </c>
      <c r="R1810" s="6">
        <f>S1810&amp;T1810</f>
        <v/>
      </c>
      <c r="S1810" s="6">
        <f>YEAR(U1810)</f>
        <v/>
      </c>
      <c r="T1810" s="6">
        <f>MONTH(U1810)</f>
        <v/>
      </c>
      <c r="U1810" s="267">
        <f>IFERROR(__xludf.DUMMYFUNCTION("""COMPUTED_VALUE"""),45797.6458333333)</f>
        <v/>
      </c>
      <c r="V1810" s="6">
        <f>IFERROR(__xludf.DUMMYFUNCTION("""COMPUTED_VALUE"""),2601.8)</f>
        <v/>
      </c>
      <c r="Z1810" s="6">
        <f>AA1810&amp;AB1810</f>
        <v/>
      </c>
      <c r="AA1810" s="6">
        <f>YEAR(AC1810)</f>
        <v/>
      </c>
      <c r="AB1810" s="6">
        <f>MONTH(AC1810)</f>
        <v/>
      </c>
      <c r="AC1810" s="267">
        <f>IFERROR(__xludf.DUMMYFUNCTION("""COMPUTED_VALUE"""),44959.9986111111)</f>
        <v/>
      </c>
      <c r="AD1810" s="6">
        <f>IFERROR(__xludf.DUMMYFUNCTION("""COMPUTED_VALUE"""),1224.9)</f>
        <v/>
      </c>
      <c r="AH1810" s="6">
        <f>AI1810&amp;AJ1810</f>
        <v/>
      </c>
      <c r="AI1810" s="6">
        <f>YEAR(AK1810)</f>
        <v/>
      </c>
      <c r="AJ1810" s="6">
        <f>MONTH(AK1810)</f>
        <v/>
      </c>
      <c r="AK1810" s="267">
        <f>IFERROR(__xludf.DUMMYFUNCTION("""COMPUTED_VALUE"""),44903.9986111111)</f>
        <v/>
      </c>
      <c r="AL1810" s="6">
        <f>IFERROR(__xludf.DUMMYFUNCTION("""COMPUTED_VALUE"""),17227.73)</f>
        <v/>
      </c>
      <c r="AP1810" s="6">
        <f>AQ1810&amp;AR1810</f>
        <v/>
      </c>
      <c r="AQ1810" s="6">
        <f>YEAR(AS1810)</f>
        <v/>
      </c>
      <c r="AR1810" s="6">
        <f>MONTH(AS1810)</f>
        <v/>
      </c>
      <c r="AS1810" s="267">
        <f>IFERROR(__xludf.DUMMYFUNCTION("""COMPUTED_VALUE"""),45736.9986111111)</f>
        <v/>
      </c>
      <c r="AT1810" s="6">
        <f>IFERROR(__xludf.DUMMYFUNCTION("""COMPUTED_VALUE"""),3043.8)</f>
        <v/>
      </c>
    </row>
    <row r="1811">
      <c r="B1811" s="6">
        <f>C1811&amp;D1811</f>
        <v/>
      </c>
      <c r="C1811" s="6">
        <f>YEAR(E1811)</f>
        <v/>
      </c>
      <c r="D1811" s="6">
        <f>MONTH(E1811)</f>
        <v/>
      </c>
      <c r="E1811" s="267">
        <f>IFERROR(__xludf.DUMMYFUNCTION("""COMPUTED_VALUE"""),45730.6666666666)</f>
        <v/>
      </c>
      <c r="F1811" s="6">
        <f>IFERROR(__xludf.DUMMYFUNCTION("""COMPUTED_VALUE"""),5638.94)</f>
        <v/>
      </c>
      <c r="J1811" s="6">
        <f>K1811&amp;L1811</f>
        <v/>
      </c>
      <c r="K1811" s="6">
        <f>YEAR(M1811)</f>
        <v/>
      </c>
      <c r="L1811" s="6">
        <f>MONTH(M1811)</f>
        <v/>
      </c>
      <c r="M1811" s="267">
        <f>IFERROR(__xludf.DUMMYFUNCTION("""COMPUTED_VALUE"""),45723.6666666666)</f>
        <v/>
      </c>
      <c r="N1811" s="6">
        <f>IFERROR(__xludf.DUMMYFUNCTION("""COMPUTED_VALUE"""),18196.22)</f>
        <v/>
      </c>
      <c r="R1811" s="6">
        <f>S1811&amp;T1811</f>
        <v/>
      </c>
      <c r="S1811" s="6">
        <f>YEAR(U1811)</f>
        <v/>
      </c>
      <c r="T1811" s="6">
        <f>MONTH(U1811)</f>
        <v/>
      </c>
      <c r="U1811" s="267">
        <f>IFERROR(__xludf.DUMMYFUNCTION("""COMPUTED_VALUE"""),45798.6458333333)</f>
        <v/>
      </c>
      <c r="V1811" s="6">
        <f>IFERROR(__xludf.DUMMYFUNCTION("""COMPUTED_VALUE"""),2625.58)</f>
        <v/>
      </c>
      <c r="Z1811" s="6">
        <f>AA1811&amp;AB1811</f>
        <v/>
      </c>
      <c r="AA1811" s="6">
        <f>YEAR(AC1811)</f>
        <v/>
      </c>
      <c r="AB1811" s="6">
        <f>MONTH(AC1811)</f>
        <v/>
      </c>
      <c r="AC1811" s="267">
        <f>IFERROR(__xludf.DUMMYFUNCTION("""COMPUTED_VALUE"""),44960.9986111111)</f>
        <v/>
      </c>
      <c r="AD1811" s="6">
        <f>IFERROR(__xludf.DUMMYFUNCTION("""COMPUTED_VALUE"""),1246.92)</f>
        <v/>
      </c>
      <c r="AH1811" s="6">
        <f>AI1811&amp;AJ1811</f>
        <v/>
      </c>
      <c r="AI1811" s="6">
        <f>YEAR(AK1811)</f>
        <v/>
      </c>
      <c r="AJ1811" s="6">
        <f>MONTH(AK1811)</f>
        <v/>
      </c>
      <c r="AK1811" s="267">
        <f>IFERROR(__xludf.DUMMYFUNCTION("""COMPUTED_VALUE"""),44904.9986111111)</f>
        <v/>
      </c>
      <c r="AL1811" s="6">
        <f>IFERROR(__xludf.DUMMYFUNCTION("""COMPUTED_VALUE"""),17126.82)</f>
        <v/>
      </c>
      <c r="AP1811" s="6">
        <f>AQ1811&amp;AR1811</f>
        <v/>
      </c>
      <c r="AQ1811" s="6">
        <f>YEAR(AS1811)</f>
        <v/>
      </c>
      <c r="AR1811" s="6">
        <f>MONTH(AS1811)</f>
        <v/>
      </c>
      <c r="AS1811" s="267">
        <f>IFERROR(__xludf.DUMMYFUNCTION("""COMPUTED_VALUE"""),45737.9986111111)</f>
        <v/>
      </c>
      <c r="AT1811" s="6">
        <f>IFERROR(__xludf.DUMMYFUNCTION("""COMPUTED_VALUE"""),3021.4)</f>
        <v/>
      </c>
    </row>
    <row r="1812">
      <c r="B1812" s="6">
        <f>C1812&amp;D1812</f>
        <v/>
      </c>
      <c r="C1812" s="6">
        <f>YEAR(E1812)</f>
        <v/>
      </c>
      <c r="D1812" s="6">
        <f>MONTH(E1812)</f>
        <v/>
      </c>
      <c r="E1812" s="267">
        <f>IFERROR(__xludf.DUMMYFUNCTION("""COMPUTED_VALUE"""),45733.6666666666)</f>
        <v/>
      </c>
      <c r="F1812" s="6">
        <f>IFERROR(__xludf.DUMMYFUNCTION("""COMPUTED_VALUE"""),5675.12)</f>
        <v/>
      </c>
      <c r="J1812" s="6">
        <f>K1812&amp;L1812</f>
        <v/>
      </c>
      <c r="K1812" s="6">
        <f>YEAR(M1812)</f>
        <v/>
      </c>
      <c r="L1812" s="6">
        <f>MONTH(M1812)</f>
        <v/>
      </c>
      <c r="M1812" s="267">
        <f>IFERROR(__xludf.DUMMYFUNCTION("""COMPUTED_VALUE"""),45726.6666666666)</f>
        <v/>
      </c>
      <c r="N1812" s="6">
        <f>IFERROR(__xludf.DUMMYFUNCTION("""COMPUTED_VALUE"""),17468.32)</f>
        <v/>
      </c>
      <c r="R1812" s="6">
        <f>S1812&amp;T1812</f>
        <v/>
      </c>
      <c r="S1812" s="6">
        <f>YEAR(U1812)</f>
        <v/>
      </c>
      <c r="T1812" s="6">
        <f>MONTH(U1812)</f>
        <v/>
      </c>
      <c r="U1812" s="267">
        <f>IFERROR(__xludf.DUMMYFUNCTION("""COMPUTED_VALUE"""),45799.6458333333)</f>
        <v/>
      </c>
      <c r="V1812" s="6">
        <f>IFERROR(__xludf.DUMMYFUNCTION("""COMPUTED_VALUE"""),2593.67)</f>
        <v/>
      </c>
      <c r="Z1812" s="6">
        <f>AA1812&amp;AB1812</f>
        <v/>
      </c>
      <c r="AA1812" s="6">
        <f>YEAR(AC1812)</f>
        <v/>
      </c>
      <c r="AB1812" s="6">
        <f>MONTH(AC1812)</f>
        <v/>
      </c>
      <c r="AC1812" s="267">
        <f>IFERROR(__xludf.DUMMYFUNCTION("""COMPUTED_VALUE"""),44961.9986111111)</f>
        <v/>
      </c>
      <c r="AD1812" s="6">
        <f>IFERROR(__xludf.DUMMYFUNCTION("""COMPUTED_VALUE"""),1246.75)</f>
        <v/>
      </c>
      <c r="AH1812" s="6">
        <f>AI1812&amp;AJ1812</f>
        <v/>
      </c>
      <c r="AI1812" s="6">
        <f>YEAR(AK1812)</f>
        <v/>
      </c>
      <c r="AJ1812" s="6">
        <f>MONTH(AK1812)</f>
        <v/>
      </c>
      <c r="AK1812" s="267">
        <f>IFERROR(__xludf.DUMMYFUNCTION("""COMPUTED_VALUE"""),44905.9986111111)</f>
        <v/>
      </c>
      <c r="AL1812" s="6">
        <f>IFERROR(__xludf.DUMMYFUNCTION("""COMPUTED_VALUE"""),17126.43)</f>
        <v/>
      </c>
      <c r="AP1812" s="6">
        <f>AQ1812&amp;AR1812</f>
        <v/>
      </c>
      <c r="AQ1812" s="6">
        <f>YEAR(AS1812)</f>
        <v/>
      </c>
      <c r="AR1812" s="6">
        <f>MONTH(AS1812)</f>
        <v/>
      </c>
      <c r="AS1812" s="267">
        <f>IFERROR(__xludf.DUMMYFUNCTION("""COMPUTED_VALUE"""),45740.9986111111)</f>
        <v/>
      </c>
      <c r="AT1812" s="6">
        <f>IFERROR(__xludf.DUMMYFUNCTION("""COMPUTED_VALUE"""),3015.6)</f>
        <v/>
      </c>
    </row>
    <row r="1813">
      <c r="B1813" s="6">
        <f>C1813&amp;D1813</f>
        <v/>
      </c>
      <c r="C1813" s="6">
        <f>YEAR(E1813)</f>
        <v/>
      </c>
      <c r="D1813" s="6">
        <f>MONTH(E1813)</f>
        <v/>
      </c>
      <c r="E1813" s="267">
        <f>IFERROR(__xludf.DUMMYFUNCTION("""COMPUTED_VALUE"""),45734.6666666666)</f>
        <v/>
      </c>
      <c r="F1813" s="6">
        <f>IFERROR(__xludf.DUMMYFUNCTION("""COMPUTED_VALUE"""),5614.66)</f>
        <v/>
      </c>
      <c r="J1813" s="6">
        <f>K1813&amp;L1813</f>
        <v/>
      </c>
      <c r="K1813" s="6">
        <f>YEAR(M1813)</f>
        <v/>
      </c>
      <c r="L1813" s="6">
        <f>MONTH(M1813)</f>
        <v/>
      </c>
      <c r="M1813" s="267">
        <f>IFERROR(__xludf.DUMMYFUNCTION("""COMPUTED_VALUE"""),45727.6666666666)</f>
        <v/>
      </c>
      <c r="N1813" s="6">
        <f>IFERROR(__xludf.DUMMYFUNCTION("""COMPUTED_VALUE"""),17436.1)</f>
        <v/>
      </c>
      <c r="R1813" s="6">
        <f>S1813&amp;T1813</f>
        <v/>
      </c>
      <c r="S1813" s="6">
        <f>YEAR(U1813)</f>
        <v/>
      </c>
      <c r="T1813" s="6">
        <f>MONTH(U1813)</f>
        <v/>
      </c>
      <c r="U1813" s="267">
        <f>IFERROR(__xludf.DUMMYFUNCTION("""COMPUTED_VALUE"""),45800.6458333333)</f>
        <v/>
      </c>
      <c r="V1813" s="6">
        <f>IFERROR(__xludf.DUMMYFUNCTION("""COMPUTED_VALUE"""),2592.09)</f>
        <v/>
      </c>
      <c r="Z1813" s="6">
        <f>AA1813&amp;AB1813</f>
        <v/>
      </c>
      <c r="AA1813" s="6">
        <f>YEAR(AC1813)</f>
        <v/>
      </c>
      <c r="AB1813" s="6">
        <f>MONTH(AC1813)</f>
        <v/>
      </c>
      <c r="AC1813" s="267">
        <f>IFERROR(__xludf.DUMMYFUNCTION("""COMPUTED_VALUE"""),44962.9986111111)</f>
        <v/>
      </c>
      <c r="AD1813" s="6">
        <f>IFERROR(__xludf.DUMMYFUNCTION("""COMPUTED_VALUE"""),1246.75)</f>
        <v/>
      </c>
      <c r="AH1813" s="6">
        <f>AI1813&amp;AJ1813</f>
        <v/>
      </c>
      <c r="AI1813" s="6">
        <f>YEAR(AK1813)</f>
        <v/>
      </c>
      <c r="AJ1813" s="6">
        <f>MONTH(AK1813)</f>
        <v/>
      </c>
      <c r="AK1813" s="267">
        <f>IFERROR(__xludf.DUMMYFUNCTION("""COMPUTED_VALUE"""),44906.9986111111)</f>
        <v/>
      </c>
      <c r="AL1813" s="6">
        <f>IFERROR(__xludf.DUMMYFUNCTION("""COMPUTED_VALUE"""),17092.67)</f>
        <v/>
      </c>
      <c r="AP1813" s="6">
        <f>AQ1813&amp;AR1813</f>
        <v/>
      </c>
      <c r="AQ1813" s="6">
        <f>YEAR(AS1813)</f>
        <v/>
      </c>
      <c r="AR1813" s="6">
        <f>MONTH(AS1813)</f>
        <v/>
      </c>
      <c r="AS1813" s="267">
        <f>IFERROR(__xludf.DUMMYFUNCTION("""COMPUTED_VALUE"""),45741.9986111111)</f>
        <v/>
      </c>
      <c r="AT1813" s="6">
        <f>IFERROR(__xludf.DUMMYFUNCTION("""COMPUTED_VALUE"""),3054.3)</f>
        <v/>
      </c>
    </row>
    <row r="1814">
      <c r="B1814" s="6">
        <f>C1814&amp;D1814</f>
        <v/>
      </c>
      <c r="C1814" s="6">
        <f>YEAR(E1814)</f>
        <v/>
      </c>
      <c r="D1814" s="6">
        <f>MONTH(E1814)</f>
        <v/>
      </c>
      <c r="E1814" s="267">
        <f>IFERROR(__xludf.DUMMYFUNCTION("""COMPUTED_VALUE"""),45735.6666666666)</f>
        <v/>
      </c>
      <c r="F1814" s="6">
        <f>IFERROR(__xludf.DUMMYFUNCTION("""COMPUTED_VALUE"""),5675.29)</f>
        <v/>
      </c>
      <c r="J1814" s="6">
        <f>K1814&amp;L1814</f>
        <v/>
      </c>
      <c r="K1814" s="6">
        <f>YEAR(M1814)</f>
        <v/>
      </c>
      <c r="L1814" s="6">
        <f>MONTH(M1814)</f>
        <v/>
      </c>
      <c r="M1814" s="267">
        <f>IFERROR(__xludf.DUMMYFUNCTION("""COMPUTED_VALUE"""),45728.6666666666)</f>
        <v/>
      </c>
      <c r="N1814" s="6">
        <f>IFERROR(__xludf.DUMMYFUNCTION("""COMPUTED_VALUE"""),17648.45)</f>
        <v/>
      </c>
      <c r="R1814" s="6">
        <f>S1814&amp;T1814</f>
        <v/>
      </c>
      <c r="S1814" s="6">
        <f>YEAR(U1814)</f>
        <v/>
      </c>
      <c r="T1814" s="6">
        <f>MONTH(U1814)</f>
        <v/>
      </c>
      <c r="U1814" s="267">
        <f>IFERROR(__xludf.DUMMYFUNCTION("""COMPUTED_VALUE"""),45803.6458333333)</f>
        <v/>
      </c>
      <c r="V1814" s="6">
        <f>IFERROR(__xludf.DUMMYFUNCTION("""COMPUTED_VALUE"""),2644.4)</f>
        <v/>
      </c>
      <c r="Z1814" s="6">
        <f>AA1814&amp;AB1814</f>
        <v/>
      </c>
      <c r="AA1814" s="6">
        <f>YEAR(AC1814)</f>
        <v/>
      </c>
      <c r="AB1814" s="6">
        <f>MONTH(AC1814)</f>
        <v/>
      </c>
      <c r="AC1814" s="267">
        <f>IFERROR(__xludf.DUMMYFUNCTION("""COMPUTED_VALUE"""),44963.9986111111)</f>
        <v/>
      </c>
      <c r="AD1814" s="6">
        <f>IFERROR(__xludf.DUMMYFUNCTION("""COMPUTED_VALUE"""),1261.23)</f>
        <v/>
      </c>
      <c r="AH1814" s="6">
        <f>AI1814&amp;AJ1814</f>
        <v/>
      </c>
      <c r="AI1814" s="6">
        <f>YEAR(AK1814)</f>
        <v/>
      </c>
      <c r="AJ1814" s="6">
        <f>MONTH(AK1814)</f>
        <v/>
      </c>
      <c r="AK1814" s="267">
        <f>IFERROR(__xludf.DUMMYFUNCTION("""COMPUTED_VALUE"""),44907.9986111111)</f>
        <v/>
      </c>
      <c r="AL1814" s="6">
        <f>IFERROR(__xludf.DUMMYFUNCTION("""COMPUTED_VALUE"""),17206.42)</f>
        <v/>
      </c>
      <c r="AP1814" s="6">
        <f>AQ1814&amp;AR1814</f>
        <v/>
      </c>
      <c r="AQ1814" s="6">
        <f>YEAR(AS1814)</f>
        <v/>
      </c>
      <c r="AR1814" s="6">
        <f>MONTH(AS1814)</f>
        <v/>
      </c>
      <c r="AS1814" s="267">
        <f>IFERROR(__xludf.DUMMYFUNCTION("""COMPUTED_VALUE"""),45742.9986111111)</f>
        <v/>
      </c>
      <c r="AT1814" s="6">
        <f>IFERROR(__xludf.DUMMYFUNCTION("""COMPUTED_VALUE"""),3052.3)</f>
        <v/>
      </c>
    </row>
    <row r="1815">
      <c r="B1815" s="6">
        <f>C1815&amp;D1815</f>
        <v/>
      </c>
      <c r="C1815" s="6">
        <f>YEAR(E1815)</f>
        <v/>
      </c>
      <c r="D1815" s="6">
        <f>MONTH(E1815)</f>
        <v/>
      </c>
      <c r="E1815" s="267">
        <f>IFERROR(__xludf.DUMMYFUNCTION("""COMPUTED_VALUE"""),45736.6666666666)</f>
        <v/>
      </c>
      <c r="F1815" s="6">
        <f>IFERROR(__xludf.DUMMYFUNCTION("""COMPUTED_VALUE"""),5662.89)</f>
        <v/>
      </c>
      <c r="J1815" s="6">
        <f>K1815&amp;L1815</f>
        <v/>
      </c>
      <c r="K1815" s="6">
        <f>YEAR(M1815)</f>
        <v/>
      </c>
      <c r="L1815" s="6">
        <f>MONTH(M1815)</f>
        <v/>
      </c>
      <c r="M1815" s="267">
        <f>IFERROR(__xludf.DUMMYFUNCTION("""COMPUTED_VALUE"""),45729.6666666666)</f>
        <v/>
      </c>
      <c r="N1815" s="6">
        <f>IFERROR(__xludf.DUMMYFUNCTION("""COMPUTED_VALUE"""),17303.01)</f>
        <v/>
      </c>
      <c r="R1815" s="6">
        <f>S1815&amp;T1815</f>
        <v/>
      </c>
      <c r="S1815" s="6">
        <f>YEAR(U1815)</f>
        <v/>
      </c>
      <c r="T1815" s="6">
        <f>MONTH(U1815)</f>
        <v/>
      </c>
      <c r="U1815" s="267">
        <f>IFERROR(__xludf.DUMMYFUNCTION("""COMPUTED_VALUE"""),45804.6458333333)</f>
        <v/>
      </c>
      <c r="V1815" s="6">
        <f>IFERROR(__xludf.DUMMYFUNCTION("""COMPUTED_VALUE"""),2637.22)</f>
        <v/>
      </c>
      <c r="Z1815" s="6">
        <f>AA1815&amp;AB1815</f>
        <v/>
      </c>
      <c r="AA1815" s="6">
        <f>YEAR(AC1815)</f>
        <v/>
      </c>
      <c r="AB1815" s="6">
        <f>MONTH(AC1815)</f>
        <v/>
      </c>
      <c r="AC1815" s="267">
        <f>IFERROR(__xludf.DUMMYFUNCTION("""COMPUTED_VALUE"""),44964.9986111111)</f>
        <v/>
      </c>
      <c r="AD1815" s="6">
        <f>IFERROR(__xludf.DUMMYFUNCTION("""COMPUTED_VALUE"""),1255.35)</f>
        <v/>
      </c>
      <c r="AH1815" s="6">
        <f>AI1815&amp;AJ1815</f>
        <v/>
      </c>
      <c r="AI1815" s="6">
        <f>YEAR(AK1815)</f>
        <v/>
      </c>
      <c r="AJ1815" s="6">
        <f>MONTH(AK1815)</f>
        <v/>
      </c>
      <c r="AK1815" s="267">
        <f>IFERROR(__xludf.DUMMYFUNCTION("""COMPUTED_VALUE"""),44908.9986111111)</f>
        <v/>
      </c>
      <c r="AL1815" s="6">
        <f>IFERROR(__xludf.DUMMYFUNCTION("""COMPUTED_VALUE"""),17777.01)</f>
        <v/>
      </c>
      <c r="AP1815" s="6">
        <f>AQ1815&amp;AR1815</f>
        <v/>
      </c>
      <c r="AQ1815" s="6">
        <f>YEAR(AS1815)</f>
        <v/>
      </c>
      <c r="AR1815" s="6">
        <f>MONTH(AS1815)</f>
        <v/>
      </c>
      <c r="AS1815" s="267">
        <f>IFERROR(__xludf.DUMMYFUNCTION("""COMPUTED_VALUE"""),45743.9986111111)</f>
        <v/>
      </c>
      <c r="AT1815" s="6">
        <f>IFERROR(__xludf.DUMMYFUNCTION("""COMPUTED_VALUE"""),3090.9)</f>
        <v/>
      </c>
    </row>
    <row r="1816">
      <c r="B1816" s="6">
        <f>C1816&amp;D1816</f>
        <v/>
      </c>
      <c r="C1816" s="6">
        <f>YEAR(E1816)</f>
        <v/>
      </c>
      <c r="D1816" s="6">
        <f>MONTH(E1816)</f>
        <v/>
      </c>
      <c r="E1816" s="267">
        <f>IFERROR(__xludf.DUMMYFUNCTION("""COMPUTED_VALUE"""),45737.6666666666)</f>
        <v/>
      </c>
      <c r="F1816" s="6">
        <f>IFERROR(__xludf.DUMMYFUNCTION("""COMPUTED_VALUE"""),5667.56)</f>
        <v/>
      </c>
      <c r="J1816" s="6">
        <f>K1816&amp;L1816</f>
        <v/>
      </c>
      <c r="K1816" s="6">
        <f>YEAR(M1816)</f>
        <v/>
      </c>
      <c r="L1816" s="6">
        <f>MONTH(M1816)</f>
        <v/>
      </c>
      <c r="M1816" s="267">
        <f>IFERROR(__xludf.DUMMYFUNCTION("""COMPUTED_VALUE"""),45730.6666666666)</f>
        <v/>
      </c>
      <c r="N1816" s="6">
        <f>IFERROR(__xludf.DUMMYFUNCTION("""COMPUTED_VALUE"""),17754.09)</f>
        <v/>
      </c>
      <c r="R1816" s="6">
        <f>S1816&amp;T1816</f>
        <v/>
      </c>
      <c r="S1816" s="6">
        <f>YEAR(U1816)</f>
        <v/>
      </c>
      <c r="T1816" s="6">
        <f>MONTH(U1816)</f>
        <v/>
      </c>
      <c r="U1816" s="267">
        <f>IFERROR(__xludf.DUMMYFUNCTION("""COMPUTED_VALUE"""),45805.6458333333)</f>
        <v/>
      </c>
      <c r="V1816" s="6">
        <f>IFERROR(__xludf.DUMMYFUNCTION("""COMPUTED_VALUE"""),2670.15)</f>
        <v/>
      </c>
      <c r="Z1816" s="6">
        <f>AA1816&amp;AB1816</f>
        <v/>
      </c>
      <c r="AA1816" s="6">
        <f>YEAR(AC1816)</f>
        <v/>
      </c>
      <c r="AB1816" s="6">
        <f>MONTH(AC1816)</f>
        <v/>
      </c>
      <c r="AC1816" s="267">
        <f>IFERROR(__xludf.DUMMYFUNCTION("""COMPUTED_VALUE"""),44965.9986111111)</f>
        <v/>
      </c>
      <c r="AD1816" s="6">
        <f>IFERROR(__xludf.DUMMYFUNCTION("""COMPUTED_VALUE"""),1260.47)</f>
        <v/>
      </c>
      <c r="AH1816" s="6">
        <f>AI1816&amp;AJ1816</f>
        <v/>
      </c>
      <c r="AI1816" s="6">
        <f>YEAR(AK1816)</f>
        <v/>
      </c>
      <c r="AJ1816" s="6">
        <f>MONTH(AK1816)</f>
        <v/>
      </c>
      <c r="AK1816" s="267">
        <f>IFERROR(__xludf.DUMMYFUNCTION("""COMPUTED_VALUE"""),44909.9986111111)</f>
        <v/>
      </c>
      <c r="AL1816" s="6">
        <f>IFERROR(__xludf.DUMMYFUNCTION("""COMPUTED_VALUE"""),17800.52)</f>
        <v/>
      </c>
      <c r="AP1816" s="6">
        <f>AQ1816&amp;AR1816</f>
        <v/>
      </c>
      <c r="AQ1816" s="6">
        <f>YEAR(AS1816)</f>
        <v/>
      </c>
      <c r="AR1816" s="6">
        <f>MONTH(AS1816)</f>
        <v/>
      </c>
      <c r="AS1816" s="267">
        <f>IFERROR(__xludf.DUMMYFUNCTION("""COMPUTED_VALUE"""),45744.9986111111)</f>
        <v/>
      </c>
      <c r="AT1816" s="6">
        <f>IFERROR(__xludf.DUMMYFUNCTION("""COMPUTED_VALUE"""),3114.3)</f>
        <v/>
      </c>
    </row>
    <row r="1817">
      <c r="B1817" s="6">
        <f>C1817&amp;D1817</f>
        <v/>
      </c>
      <c r="C1817" s="6">
        <f>YEAR(E1817)</f>
        <v/>
      </c>
      <c r="D1817" s="6">
        <f>MONTH(E1817)</f>
        <v/>
      </c>
      <c r="E1817" s="267">
        <f>IFERROR(__xludf.DUMMYFUNCTION("""COMPUTED_VALUE"""),45740.6666666666)</f>
        <v/>
      </c>
      <c r="F1817" s="6">
        <f>IFERROR(__xludf.DUMMYFUNCTION("""COMPUTED_VALUE"""),5767.57)</f>
        <v/>
      </c>
      <c r="J1817" s="6">
        <f>K1817&amp;L1817</f>
        <v/>
      </c>
      <c r="K1817" s="6">
        <f>YEAR(M1817)</f>
        <v/>
      </c>
      <c r="L1817" s="6">
        <f>MONTH(M1817)</f>
        <v/>
      </c>
      <c r="M1817" s="267">
        <f>IFERROR(__xludf.DUMMYFUNCTION("""COMPUTED_VALUE"""),45733.6666666666)</f>
        <v/>
      </c>
      <c r="N1817" s="6">
        <f>IFERROR(__xludf.DUMMYFUNCTION("""COMPUTED_VALUE"""),17808.66)</f>
        <v/>
      </c>
      <c r="R1817" s="6">
        <f>S1817&amp;T1817</f>
        <v/>
      </c>
      <c r="S1817" s="6">
        <f>YEAR(U1817)</f>
        <v/>
      </c>
      <c r="T1817" s="6">
        <f>MONTH(U1817)</f>
        <v/>
      </c>
      <c r="U1817" s="267">
        <f>IFERROR(__xludf.DUMMYFUNCTION("""COMPUTED_VALUE"""),45806.6458333333)</f>
        <v/>
      </c>
      <c r="V1817" s="6">
        <f>IFERROR(__xludf.DUMMYFUNCTION("""COMPUTED_VALUE"""),2720.64)</f>
        <v/>
      </c>
      <c r="Z1817" s="6">
        <f>AA1817&amp;AB1817</f>
        <v/>
      </c>
      <c r="AA1817" s="6">
        <f>YEAR(AC1817)</f>
        <v/>
      </c>
      <c r="AB1817" s="6">
        <f>MONTH(AC1817)</f>
        <v/>
      </c>
      <c r="AC1817" s="267">
        <f>IFERROR(__xludf.DUMMYFUNCTION("""COMPUTED_VALUE"""),44966.9986111111)</f>
        <v/>
      </c>
      <c r="AD1817" s="6">
        <f>IFERROR(__xludf.DUMMYFUNCTION("""COMPUTED_VALUE"""),1264.55)</f>
        <v/>
      </c>
      <c r="AH1817" s="6">
        <f>AI1817&amp;AJ1817</f>
        <v/>
      </c>
      <c r="AI1817" s="6">
        <f>YEAR(AK1817)</f>
        <v/>
      </c>
      <c r="AJ1817" s="6">
        <f>MONTH(AK1817)</f>
        <v/>
      </c>
      <c r="AK1817" s="267">
        <f>IFERROR(__xludf.DUMMYFUNCTION("""COMPUTED_VALUE"""),44910.9986111111)</f>
        <v/>
      </c>
      <c r="AL1817" s="6">
        <f>IFERROR(__xludf.DUMMYFUNCTION("""COMPUTED_VALUE"""),17356.58)</f>
        <v/>
      </c>
      <c r="AP1817" s="6">
        <f>AQ1817&amp;AR1817</f>
        <v/>
      </c>
      <c r="AQ1817" s="6">
        <f>YEAR(AS1817)</f>
        <v/>
      </c>
      <c r="AR1817" s="6">
        <f>MONTH(AS1817)</f>
        <v/>
      </c>
      <c r="AS1817" s="267">
        <f>IFERROR(__xludf.DUMMYFUNCTION("""COMPUTED_VALUE"""),45747.9986111111)</f>
        <v/>
      </c>
      <c r="AT1817" s="6">
        <f>IFERROR(__xludf.DUMMYFUNCTION("""COMPUTED_VALUE"""),3150.3)</f>
        <v/>
      </c>
    </row>
    <row r="1818">
      <c r="B1818" s="6">
        <f>C1818&amp;D1818</f>
        <v/>
      </c>
      <c r="C1818" s="6">
        <f>YEAR(E1818)</f>
        <v/>
      </c>
      <c r="D1818" s="6">
        <f>MONTH(E1818)</f>
        <v/>
      </c>
      <c r="E1818" s="267">
        <f>IFERROR(__xludf.DUMMYFUNCTION("""COMPUTED_VALUE"""),45741.6666666666)</f>
        <v/>
      </c>
      <c r="F1818" s="6">
        <f>IFERROR(__xludf.DUMMYFUNCTION("""COMPUTED_VALUE"""),5776.65)</f>
        <v/>
      </c>
      <c r="J1818" s="6">
        <f>K1818&amp;L1818</f>
        <v/>
      </c>
      <c r="K1818" s="6">
        <f>YEAR(M1818)</f>
        <v/>
      </c>
      <c r="L1818" s="6">
        <f>MONTH(M1818)</f>
        <v/>
      </c>
      <c r="M1818" s="267">
        <f>IFERROR(__xludf.DUMMYFUNCTION("""COMPUTED_VALUE"""),45734.6666666666)</f>
        <v/>
      </c>
      <c r="N1818" s="6">
        <f>IFERROR(__xludf.DUMMYFUNCTION("""COMPUTED_VALUE"""),17504.12)</f>
        <v/>
      </c>
      <c r="R1818" s="6">
        <f>S1818&amp;T1818</f>
        <v/>
      </c>
      <c r="S1818" s="6">
        <f>YEAR(U1818)</f>
        <v/>
      </c>
      <c r="T1818" s="6">
        <f>MONTH(U1818)</f>
        <v/>
      </c>
      <c r="U1818" s="267">
        <f>IFERROR(__xludf.DUMMYFUNCTION("""COMPUTED_VALUE"""),45807.6458333333)</f>
        <v/>
      </c>
      <c r="V1818" s="6">
        <f>IFERROR(__xludf.DUMMYFUNCTION("""COMPUTED_VALUE"""),2697.67)</f>
        <v/>
      </c>
      <c r="Z1818" s="6">
        <f>AA1818&amp;AB1818</f>
        <v/>
      </c>
      <c r="AA1818" s="6">
        <f>YEAR(AC1818)</f>
        <v/>
      </c>
      <c r="AB1818" s="6">
        <f>MONTH(AC1818)</f>
        <v/>
      </c>
      <c r="AC1818" s="267">
        <f>IFERROR(__xludf.DUMMYFUNCTION("""COMPUTED_VALUE"""),44967.9986111111)</f>
        <v/>
      </c>
      <c r="AD1818" s="6">
        <f>IFERROR(__xludf.DUMMYFUNCTION("""COMPUTED_VALUE"""),1267.51)</f>
        <v/>
      </c>
      <c r="AH1818" s="6">
        <f>AI1818&amp;AJ1818</f>
        <v/>
      </c>
      <c r="AI1818" s="6">
        <f>YEAR(AK1818)</f>
        <v/>
      </c>
      <c r="AJ1818" s="6">
        <f>MONTH(AK1818)</f>
        <v/>
      </c>
      <c r="AK1818" s="267">
        <f>IFERROR(__xludf.DUMMYFUNCTION("""COMPUTED_VALUE"""),44911.9986111111)</f>
        <v/>
      </c>
      <c r="AL1818" s="6">
        <f>IFERROR(__xludf.DUMMYFUNCTION("""COMPUTED_VALUE"""),16630.27)</f>
        <v/>
      </c>
      <c r="AP1818" s="6">
        <f>AQ1818&amp;AR1818</f>
        <v/>
      </c>
      <c r="AQ1818" s="6">
        <f>YEAR(AS1818)</f>
        <v/>
      </c>
      <c r="AR1818" s="6">
        <f>MONTH(AS1818)</f>
        <v/>
      </c>
      <c r="AS1818" s="267">
        <f>IFERROR(__xludf.DUMMYFUNCTION("""COMPUTED_VALUE"""),45748.9986111111)</f>
        <v/>
      </c>
      <c r="AT1818" s="6">
        <f>IFERROR(__xludf.DUMMYFUNCTION("""COMPUTED_VALUE"""),3146)</f>
        <v/>
      </c>
    </row>
    <row r="1819">
      <c r="B1819" s="6">
        <f>C1819&amp;D1819</f>
        <v/>
      </c>
      <c r="C1819" s="6">
        <f>YEAR(E1819)</f>
        <v/>
      </c>
      <c r="D1819" s="6">
        <f>MONTH(E1819)</f>
        <v/>
      </c>
      <c r="E1819" s="267">
        <f>IFERROR(__xludf.DUMMYFUNCTION("""COMPUTED_VALUE"""),45742.6666666666)</f>
        <v/>
      </c>
      <c r="F1819" s="6">
        <f>IFERROR(__xludf.DUMMYFUNCTION("""COMPUTED_VALUE"""),5712.2)</f>
        <v/>
      </c>
      <c r="J1819" s="6">
        <f>K1819&amp;L1819</f>
        <v/>
      </c>
      <c r="K1819" s="6">
        <f>YEAR(M1819)</f>
        <v/>
      </c>
      <c r="L1819" s="6">
        <f>MONTH(M1819)</f>
        <v/>
      </c>
      <c r="M1819" s="267">
        <f>IFERROR(__xludf.DUMMYFUNCTION("""COMPUTED_VALUE"""),45735.6666666666)</f>
        <v/>
      </c>
      <c r="N1819" s="6">
        <f>IFERROR(__xludf.DUMMYFUNCTION("""COMPUTED_VALUE"""),17750.79)</f>
        <v/>
      </c>
      <c r="R1819" s="6">
        <f>S1819&amp;T1819</f>
        <v/>
      </c>
      <c r="S1819" s="6">
        <f>YEAR(U1819)</f>
        <v/>
      </c>
      <c r="T1819" s="6">
        <f>MONTH(U1819)</f>
        <v/>
      </c>
      <c r="U1819" s="267">
        <f>IFERROR(__xludf.DUMMYFUNCTION("""COMPUTED_VALUE"""),45810.6458333333)</f>
        <v/>
      </c>
      <c r="V1819" s="6">
        <f>IFERROR(__xludf.DUMMYFUNCTION("""COMPUTED_VALUE"""),2698.97)</f>
        <v/>
      </c>
      <c r="Z1819" s="6">
        <f>AA1819&amp;AB1819</f>
        <v/>
      </c>
      <c r="AA1819" s="6">
        <f>YEAR(AC1819)</f>
        <v/>
      </c>
      <c r="AB1819" s="6">
        <f>MONTH(AC1819)</f>
        <v/>
      </c>
      <c r="AC1819" s="267">
        <f>IFERROR(__xludf.DUMMYFUNCTION("""COMPUTED_VALUE"""),44968.9986111111)</f>
        <v/>
      </c>
      <c r="AD1819" s="6">
        <f>IFERROR(__xludf.DUMMYFUNCTION("""COMPUTED_VALUE"""),1266.87)</f>
        <v/>
      </c>
      <c r="AH1819" s="6">
        <f>AI1819&amp;AJ1819</f>
        <v/>
      </c>
      <c r="AI1819" s="6">
        <f>YEAR(AK1819)</f>
        <v/>
      </c>
      <c r="AJ1819" s="6">
        <f>MONTH(AK1819)</f>
        <v/>
      </c>
      <c r="AK1819" s="267">
        <f>IFERROR(__xludf.DUMMYFUNCTION("""COMPUTED_VALUE"""),44912.9986111111)</f>
        <v/>
      </c>
      <c r="AL1819" s="6">
        <f>IFERROR(__xludf.DUMMYFUNCTION("""COMPUTED_VALUE"""),16778.62)</f>
        <v/>
      </c>
      <c r="AP1819" s="6">
        <f>AQ1819&amp;AR1819</f>
        <v/>
      </c>
      <c r="AQ1819" s="6">
        <f>YEAR(AS1819)</f>
        <v/>
      </c>
      <c r="AR1819" s="6">
        <f>MONTH(AS1819)</f>
        <v/>
      </c>
      <c r="AS1819" s="267">
        <f>IFERROR(__xludf.DUMMYFUNCTION("""COMPUTED_VALUE"""),45749.9986111111)</f>
        <v/>
      </c>
      <c r="AT1819" s="6">
        <f>IFERROR(__xludf.DUMMYFUNCTION("""COMPUTED_VALUE"""),3166.2)</f>
        <v/>
      </c>
    </row>
    <row r="1820">
      <c r="B1820" s="6">
        <f>C1820&amp;D1820</f>
        <v/>
      </c>
      <c r="C1820" s="6">
        <f>YEAR(E1820)</f>
        <v/>
      </c>
      <c r="D1820" s="6">
        <f>MONTH(E1820)</f>
        <v/>
      </c>
      <c r="E1820" s="267">
        <f>IFERROR(__xludf.DUMMYFUNCTION("""COMPUTED_VALUE"""),45743.6666666666)</f>
        <v/>
      </c>
      <c r="F1820" s="6">
        <f>IFERROR(__xludf.DUMMYFUNCTION("""COMPUTED_VALUE"""),5693.31)</f>
        <v/>
      </c>
      <c r="J1820" s="6">
        <f>K1820&amp;L1820</f>
        <v/>
      </c>
      <c r="K1820" s="6">
        <f>YEAR(M1820)</f>
        <v/>
      </c>
      <c r="L1820" s="6">
        <f>MONTH(M1820)</f>
        <v/>
      </c>
      <c r="M1820" s="267">
        <f>IFERROR(__xludf.DUMMYFUNCTION("""COMPUTED_VALUE"""),45736.6666666666)</f>
        <v/>
      </c>
      <c r="N1820" s="6">
        <f>IFERROR(__xludf.DUMMYFUNCTION("""COMPUTED_VALUE"""),17691.63)</f>
        <v/>
      </c>
      <c r="R1820" s="6">
        <f>S1820&amp;T1820</f>
        <v/>
      </c>
      <c r="S1820" s="6">
        <f>YEAR(U1820)</f>
        <v/>
      </c>
      <c r="T1820" s="6">
        <f>MONTH(U1820)</f>
        <v/>
      </c>
      <c r="U1820" s="267">
        <f>IFERROR(__xludf.DUMMYFUNCTION("""COMPUTED_VALUE"""),45812.6458333333)</f>
        <v/>
      </c>
      <c r="V1820" s="6">
        <f>IFERROR(__xludf.DUMMYFUNCTION("""COMPUTED_VALUE"""),2770.84)</f>
        <v/>
      </c>
      <c r="Z1820" s="6">
        <f>AA1820&amp;AB1820</f>
        <v/>
      </c>
      <c r="AA1820" s="6">
        <f>YEAR(AC1820)</f>
        <v/>
      </c>
      <c r="AB1820" s="6">
        <f>MONTH(AC1820)</f>
        <v/>
      </c>
      <c r="AC1820" s="267">
        <f>IFERROR(__xludf.DUMMYFUNCTION("""COMPUTED_VALUE"""),44969.9986111111)</f>
        <v/>
      </c>
      <c r="AD1820" s="6">
        <f>IFERROR(__xludf.DUMMYFUNCTION("""COMPUTED_VALUE"""),1266.87)</f>
        <v/>
      </c>
      <c r="AH1820" s="6">
        <f>AI1820&amp;AJ1820</f>
        <v/>
      </c>
      <c r="AI1820" s="6">
        <f>YEAR(AK1820)</f>
        <v/>
      </c>
      <c r="AJ1820" s="6">
        <f>MONTH(AK1820)</f>
        <v/>
      </c>
      <c r="AK1820" s="267">
        <f>IFERROR(__xludf.DUMMYFUNCTION("""COMPUTED_VALUE"""),44913.9986111111)</f>
        <v/>
      </c>
      <c r="AL1820" s="6">
        <f>IFERROR(__xludf.DUMMYFUNCTION("""COMPUTED_VALUE"""),16742.15)</f>
        <v/>
      </c>
      <c r="AP1820" s="6">
        <f>AQ1820&amp;AR1820</f>
        <v/>
      </c>
      <c r="AQ1820" s="6">
        <f>YEAR(AS1820)</f>
        <v/>
      </c>
      <c r="AR1820" s="6">
        <f>MONTH(AS1820)</f>
        <v/>
      </c>
      <c r="AS1820" s="267">
        <f>IFERROR(__xludf.DUMMYFUNCTION("""COMPUTED_VALUE"""),45750.9986111111)</f>
        <v/>
      </c>
      <c r="AT1820" s="6">
        <f>IFERROR(__xludf.DUMMYFUNCTION("""COMPUTED_VALUE"""),3121.7)</f>
        <v/>
      </c>
    </row>
    <row r="1821">
      <c r="B1821" s="6">
        <f>C1821&amp;D1821</f>
        <v/>
      </c>
      <c r="C1821" s="6">
        <f>YEAR(E1821)</f>
        <v/>
      </c>
      <c r="D1821" s="6">
        <f>MONTH(E1821)</f>
        <v/>
      </c>
      <c r="E1821" s="267">
        <f>IFERROR(__xludf.DUMMYFUNCTION("""COMPUTED_VALUE"""),45744.6666666666)</f>
        <v/>
      </c>
      <c r="F1821" s="6">
        <f>IFERROR(__xludf.DUMMYFUNCTION("""COMPUTED_VALUE"""),5580.94)</f>
        <v/>
      </c>
      <c r="J1821" s="6">
        <f>K1821&amp;L1821</f>
        <v/>
      </c>
      <c r="K1821" s="6">
        <f>YEAR(M1821)</f>
        <v/>
      </c>
      <c r="L1821" s="6">
        <f>MONTH(M1821)</f>
        <v/>
      </c>
      <c r="M1821" s="267">
        <f>IFERROR(__xludf.DUMMYFUNCTION("""COMPUTED_VALUE"""),45737.6666666666)</f>
        <v/>
      </c>
      <c r="N1821" s="6">
        <f>IFERROR(__xludf.DUMMYFUNCTION("""COMPUTED_VALUE"""),17784.05)</f>
        <v/>
      </c>
      <c r="R1821" s="6">
        <f>S1821&amp;T1821</f>
        <v/>
      </c>
      <c r="S1821" s="6">
        <f>YEAR(U1821)</f>
        <v/>
      </c>
      <c r="T1821" s="6">
        <f>MONTH(U1821)</f>
        <v/>
      </c>
      <c r="U1821" s="267">
        <f>IFERROR(__xludf.DUMMYFUNCTION("""COMPUTED_VALUE"""),45813.6458333333)</f>
        <v/>
      </c>
      <c r="V1821" s="6">
        <f>IFERROR(__xludf.DUMMYFUNCTION("""COMPUTED_VALUE"""),2812.05)</f>
        <v/>
      </c>
      <c r="Z1821" s="6">
        <f>AA1821&amp;AB1821</f>
        <v/>
      </c>
      <c r="AA1821" s="6">
        <f>YEAR(AC1821)</f>
        <v/>
      </c>
      <c r="AB1821" s="6">
        <f>MONTH(AC1821)</f>
        <v/>
      </c>
      <c r="AC1821" s="267">
        <f>IFERROR(__xludf.DUMMYFUNCTION("""COMPUTED_VALUE"""),44970.9986111111)</f>
        <v/>
      </c>
      <c r="AD1821" s="6">
        <f>IFERROR(__xludf.DUMMYFUNCTION("""COMPUTED_VALUE"""),1272.94)</f>
        <v/>
      </c>
      <c r="AH1821" s="6">
        <f>AI1821&amp;AJ1821</f>
        <v/>
      </c>
      <c r="AI1821" s="6">
        <f>YEAR(AK1821)</f>
        <v/>
      </c>
      <c r="AJ1821" s="6">
        <f>MONTH(AK1821)</f>
        <v/>
      </c>
      <c r="AK1821" s="267">
        <f>IFERROR(__xludf.DUMMYFUNCTION("""COMPUTED_VALUE"""),44914.9986111111)</f>
        <v/>
      </c>
      <c r="AL1821" s="6">
        <f>IFERROR(__xludf.DUMMYFUNCTION("""COMPUTED_VALUE"""),16440.61)</f>
        <v/>
      </c>
      <c r="AP1821" s="6">
        <f>AQ1821&amp;AR1821</f>
        <v/>
      </c>
      <c r="AQ1821" s="6">
        <f>YEAR(AS1821)</f>
        <v/>
      </c>
      <c r="AR1821" s="6">
        <f>MONTH(AS1821)</f>
        <v/>
      </c>
      <c r="AS1821" s="267">
        <f>IFERROR(__xludf.DUMMYFUNCTION("""COMPUTED_VALUE"""),45751.9986111111)</f>
        <v/>
      </c>
      <c r="AT1821" s="6">
        <f>IFERROR(__xludf.DUMMYFUNCTION("""COMPUTED_VALUE"""),3035.4)</f>
        <v/>
      </c>
    </row>
    <row r="1822">
      <c r="B1822" s="6">
        <f>C1822&amp;D1822</f>
        <v/>
      </c>
      <c r="C1822" s="6">
        <f>YEAR(E1822)</f>
        <v/>
      </c>
      <c r="D1822" s="6">
        <f>MONTH(E1822)</f>
        <v/>
      </c>
      <c r="E1822" s="267">
        <f>IFERROR(__xludf.DUMMYFUNCTION("""COMPUTED_VALUE"""),45747.6666666666)</f>
        <v/>
      </c>
      <c r="F1822" s="6">
        <f>IFERROR(__xludf.DUMMYFUNCTION("""COMPUTED_VALUE"""),5611.85)</f>
        <v/>
      </c>
      <c r="J1822" s="6">
        <f>K1822&amp;L1822</f>
        <v/>
      </c>
      <c r="K1822" s="6">
        <f>YEAR(M1822)</f>
        <v/>
      </c>
      <c r="L1822" s="6">
        <f>MONTH(M1822)</f>
        <v/>
      </c>
      <c r="M1822" s="267">
        <f>IFERROR(__xludf.DUMMYFUNCTION("""COMPUTED_VALUE"""),45740.6666666666)</f>
        <v/>
      </c>
      <c r="N1822" s="6">
        <f>IFERROR(__xludf.DUMMYFUNCTION("""COMPUTED_VALUE"""),18188.59)</f>
        <v/>
      </c>
      <c r="R1822" s="6">
        <f>S1822&amp;T1822</f>
        <v/>
      </c>
      <c r="S1822" s="6">
        <f>YEAR(U1822)</f>
        <v/>
      </c>
      <c r="T1822" s="6">
        <f>MONTH(U1822)</f>
        <v/>
      </c>
      <c r="U1822" s="267">
        <f>IFERROR(__xludf.DUMMYFUNCTION("""COMPUTED_VALUE"""),45817.6458333333)</f>
        <v/>
      </c>
      <c r="V1822" s="6">
        <f>IFERROR(__xludf.DUMMYFUNCTION("""COMPUTED_VALUE"""),2855.77)</f>
        <v/>
      </c>
      <c r="Z1822" s="6">
        <f>AA1822&amp;AB1822</f>
        <v/>
      </c>
      <c r="AA1822" s="6">
        <f>YEAR(AC1822)</f>
        <v/>
      </c>
      <c r="AB1822" s="6">
        <f>MONTH(AC1822)</f>
        <v/>
      </c>
      <c r="AC1822" s="267">
        <f>IFERROR(__xludf.DUMMYFUNCTION("""COMPUTED_VALUE"""),44971.9986111111)</f>
        <v/>
      </c>
      <c r="AD1822" s="6">
        <f>IFERROR(__xludf.DUMMYFUNCTION("""COMPUTED_VALUE"""),1272.25)</f>
        <v/>
      </c>
      <c r="AH1822" s="6">
        <f>AI1822&amp;AJ1822</f>
        <v/>
      </c>
      <c r="AI1822" s="6">
        <f>YEAR(AK1822)</f>
        <v/>
      </c>
      <c r="AJ1822" s="6">
        <f>MONTH(AK1822)</f>
        <v/>
      </c>
      <c r="AK1822" s="267">
        <f>IFERROR(__xludf.DUMMYFUNCTION("""COMPUTED_VALUE"""),44915.9986111111)</f>
        <v/>
      </c>
      <c r="AL1822" s="6">
        <f>IFERROR(__xludf.DUMMYFUNCTION("""COMPUTED_VALUE"""),16900.58)</f>
        <v/>
      </c>
      <c r="AP1822" s="6">
        <f>AQ1822&amp;AR1822</f>
        <v/>
      </c>
      <c r="AQ1822" s="6">
        <f>YEAR(AS1822)</f>
        <v/>
      </c>
      <c r="AR1822" s="6">
        <f>MONTH(AS1822)</f>
        <v/>
      </c>
      <c r="AS1822" s="267">
        <f>IFERROR(__xludf.DUMMYFUNCTION("""COMPUTED_VALUE"""),45754.9986111111)</f>
        <v/>
      </c>
      <c r="AT1822" s="6">
        <f>IFERROR(__xludf.DUMMYFUNCTION("""COMPUTED_VALUE"""),2973.6)</f>
        <v/>
      </c>
    </row>
    <row r="1823">
      <c r="B1823" s="6">
        <f>C1823&amp;D1823</f>
        <v/>
      </c>
      <c r="C1823" s="6">
        <f>YEAR(E1823)</f>
        <v/>
      </c>
      <c r="D1823" s="6">
        <f>MONTH(E1823)</f>
        <v/>
      </c>
      <c r="E1823" s="267">
        <f>IFERROR(__xludf.DUMMYFUNCTION("""COMPUTED_VALUE"""),45748.6666666666)</f>
        <v/>
      </c>
      <c r="F1823" s="6">
        <f>IFERROR(__xludf.DUMMYFUNCTION("""COMPUTED_VALUE"""),5633.07)</f>
        <v/>
      </c>
      <c r="J1823" s="6">
        <f>K1823&amp;L1823</f>
        <v/>
      </c>
      <c r="K1823" s="6">
        <f>YEAR(M1823)</f>
        <v/>
      </c>
      <c r="L1823" s="6">
        <f>MONTH(M1823)</f>
        <v/>
      </c>
      <c r="M1823" s="267">
        <f>IFERROR(__xludf.DUMMYFUNCTION("""COMPUTED_VALUE"""),45741.6666666666)</f>
        <v/>
      </c>
      <c r="N1823" s="6">
        <f>IFERROR(__xludf.DUMMYFUNCTION("""COMPUTED_VALUE"""),18271.86)</f>
        <v/>
      </c>
      <c r="R1823" s="6">
        <f>S1823&amp;T1823</f>
        <v/>
      </c>
      <c r="S1823" s="6">
        <f>YEAR(U1823)</f>
        <v/>
      </c>
      <c r="T1823" s="6">
        <f>MONTH(U1823)</f>
        <v/>
      </c>
      <c r="U1823" s="267">
        <f>IFERROR(__xludf.DUMMYFUNCTION("""COMPUTED_VALUE"""),45818.6458333333)</f>
        <v/>
      </c>
      <c r="V1823" s="6">
        <f>IFERROR(__xludf.DUMMYFUNCTION("""COMPUTED_VALUE"""),2871.85)</f>
        <v/>
      </c>
      <c r="Z1823" s="6">
        <f>AA1823&amp;AB1823</f>
        <v/>
      </c>
      <c r="AA1823" s="6">
        <f>YEAR(AC1823)</f>
        <v/>
      </c>
      <c r="AB1823" s="6">
        <f>MONTH(AC1823)</f>
        <v/>
      </c>
      <c r="AC1823" s="267">
        <f>IFERROR(__xludf.DUMMYFUNCTION("""COMPUTED_VALUE"""),44972.9986111111)</f>
        <v/>
      </c>
      <c r="AD1823" s="6">
        <f>IFERROR(__xludf.DUMMYFUNCTION("""COMPUTED_VALUE"""),1283.72)</f>
        <v/>
      </c>
      <c r="AH1823" s="6">
        <f>AI1823&amp;AJ1823</f>
        <v/>
      </c>
      <c r="AI1823" s="6">
        <f>YEAR(AK1823)</f>
        <v/>
      </c>
      <c r="AJ1823" s="6">
        <f>MONTH(AK1823)</f>
        <v/>
      </c>
      <c r="AK1823" s="267">
        <f>IFERROR(__xludf.DUMMYFUNCTION("""COMPUTED_VALUE"""),44916.9986111111)</f>
        <v/>
      </c>
      <c r="AL1823" s="6">
        <f>IFERROR(__xludf.DUMMYFUNCTION("""COMPUTED_VALUE"""),16825.72)</f>
        <v/>
      </c>
      <c r="AP1823" s="6">
        <f>AQ1823&amp;AR1823</f>
        <v/>
      </c>
      <c r="AQ1823" s="6">
        <f>YEAR(AS1823)</f>
        <v/>
      </c>
      <c r="AR1823" s="6">
        <f>MONTH(AS1823)</f>
        <v/>
      </c>
      <c r="AS1823" s="267">
        <f>IFERROR(__xludf.DUMMYFUNCTION("""COMPUTED_VALUE"""),45755.9986111111)</f>
        <v/>
      </c>
      <c r="AT1823" s="6">
        <f>IFERROR(__xludf.DUMMYFUNCTION("""COMPUTED_VALUE"""),2990.2)</f>
        <v/>
      </c>
    </row>
    <row r="1824">
      <c r="B1824" s="6">
        <f>C1824&amp;D1824</f>
        <v/>
      </c>
      <c r="C1824" s="6">
        <f>YEAR(E1824)</f>
        <v/>
      </c>
      <c r="D1824" s="6">
        <f>MONTH(E1824)</f>
        <v/>
      </c>
      <c r="E1824" s="267">
        <f>IFERROR(__xludf.DUMMYFUNCTION("""COMPUTED_VALUE"""),45749.6666666666)</f>
        <v/>
      </c>
      <c r="F1824" s="6">
        <f>IFERROR(__xludf.DUMMYFUNCTION("""COMPUTED_VALUE"""),5670.97)</f>
        <v/>
      </c>
      <c r="J1824" s="6">
        <f>K1824&amp;L1824</f>
        <v/>
      </c>
      <c r="K1824" s="6">
        <f>YEAR(M1824)</f>
        <v/>
      </c>
      <c r="L1824" s="6">
        <f>MONTH(M1824)</f>
        <v/>
      </c>
      <c r="M1824" s="267">
        <f>IFERROR(__xludf.DUMMYFUNCTION("""COMPUTED_VALUE"""),45742.6666666666)</f>
        <v/>
      </c>
      <c r="N1824" s="6">
        <f>IFERROR(__xludf.DUMMYFUNCTION("""COMPUTED_VALUE"""),17899.02)</f>
        <v/>
      </c>
      <c r="R1824" s="6">
        <f>S1824&amp;T1824</f>
        <v/>
      </c>
      <c r="S1824" s="6">
        <f>YEAR(U1824)</f>
        <v/>
      </c>
      <c r="T1824" s="6">
        <f>MONTH(U1824)</f>
        <v/>
      </c>
      <c r="U1824" s="267">
        <f>IFERROR(__xludf.DUMMYFUNCTION("""COMPUTED_VALUE"""),45819.6458333333)</f>
        <v/>
      </c>
      <c r="V1824" s="6">
        <f>IFERROR(__xludf.DUMMYFUNCTION("""COMPUTED_VALUE"""),2907.04)</f>
        <v/>
      </c>
      <c r="Z1824" s="6">
        <f>AA1824&amp;AB1824</f>
        <v/>
      </c>
      <c r="AA1824" s="6">
        <f>YEAR(AC1824)</f>
        <v/>
      </c>
      <c r="AB1824" s="6">
        <f>MONTH(AC1824)</f>
        <v/>
      </c>
      <c r="AC1824" s="267">
        <f>IFERROR(__xludf.DUMMYFUNCTION("""COMPUTED_VALUE"""),44973.9986111111)</f>
        <v/>
      </c>
      <c r="AD1824" s="6">
        <f>IFERROR(__xludf.DUMMYFUNCTION("""COMPUTED_VALUE"""),1288.96)</f>
        <v/>
      </c>
      <c r="AH1824" s="6">
        <f>AI1824&amp;AJ1824</f>
        <v/>
      </c>
      <c r="AI1824" s="6">
        <f>YEAR(AK1824)</f>
        <v/>
      </c>
      <c r="AJ1824" s="6">
        <f>MONTH(AK1824)</f>
        <v/>
      </c>
      <c r="AK1824" s="267">
        <f>IFERROR(__xludf.DUMMYFUNCTION("""COMPUTED_VALUE"""),44917.9986111111)</f>
        <v/>
      </c>
      <c r="AL1824" s="6">
        <f>IFERROR(__xludf.DUMMYFUNCTION("""COMPUTED_VALUE"""),16816.22)</f>
        <v/>
      </c>
      <c r="AP1824" s="6">
        <f>AQ1824&amp;AR1824</f>
        <v/>
      </c>
      <c r="AQ1824" s="6">
        <f>YEAR(AS1824)</f>
        <v/>
      </c>
      <c r="AR1824" s="6">
        <f>MONTH(AS1824)</f>
        <v/>
      </c>
      <c r="AS1824" s="267">
        <f>IFERROR(__xludf.DUMMYFUNCTION("""COMPUTED_VALUE"""),45756.9986111111)</f>
        <v/>
      </c>
      <c r="AT1824" s="6">
        <f>IFERROR(__xludf.DUMMYFUNCTION("""COMPUTED_VALUE"""),3079.4)</f>
        <v/>
      </c>
    </row>
    <row r="1825">
      <c r="B1825" s="6">
        <f>C1825&amp;D1825</f>
        <v/>
      </c>
      <c r="C1825" s="6">
        <f>YEAR(E1825)</f>
        <v/>
      </c>
      <c r="D1825" s="6">
        <f>MONTH(E1825)</f>
        <v/>
      </c>
      <c r="E1825" s="267">
        <f>IFERROR(__xludf.DUMMYFUNCTION("""COMPUTED_VALUE"""),45750.6666666666)</f>
        <v/>
      </c>
      <c r="F1825" s="6">
        <f>IFERROR(__xludf.DUMMYFUNCTION("""COMPUTED_VALUE"""),5396.52)</f>
        <v/>
      </c>
      <c r="J1825" s="6">
        <f>K1825&amp;L1825</f>
        <v/>
      </c>
      <c r="K1825" s="6">
        <f>YEAR(M1825)</f>
        <v/>
      </c>
      <c r="L1825" s="6">
        <f>MONTH(M1825)</f>
        <v/>
      </c>
      <c r="M1825" s="267">
        <f>IFERROR(__xludf.DUMMYFUNCTION("""COMPUTED_VALUE"""),45743.6666666666)</f>
        <v/>
      </c>
      <c r="N1825" s="6">
        <f>IFERROR(__xludf.DUMMYFUNCTION("""COMPUTED_VALUE"""),17804.03)</f>
        <v/>
      </c>
      <c r="R1825" s="6">
        <f>S1825&amp;T1825</f>
        <v/>
      </c>
      <c r="S1825" s="6">
        <f>YEAR(U1825)</f>
        <v/>
      </c>
      <c r="T1825" s="6">
        <f>MONTH(U1825)</f>
        <v/>
      </c>
      <c r="U1825" s="267">
        <f>IFERROR(__xludf.DUMMYFUNCTION("""COMPUTED_VALUE"""),45820.6458333333)</f>
        <v/>
      </c>
      <c r="V1825" s="6">
        <f>IFERROR(__xludf.DUMMYFUNCTION("""COMPUTED_VALUE"""),2920.03)</f>
        <v/>
      </c>
      <c r="Z1825" s="6">
        <f>AA1825&amp;AB1825</f>
        <v/>
      </c>
      <c r="AA1825" s="6">
        <f>YEAR(AC1825)</f>
        <v/>
      </c>
      <c r="AB1825" s="6">
        <f>MONTH(AC1825)</f>
        <v/>
      </c>
      <c r="AC1825" s="267">
        <f>IFERROR(__xludf.DUMMYFUNCTION("""COMPUTED_VALUE"""),44974.9986111111)</f>
        <v/>
      </c>
      <c r="AD1825" s="6">
        <f>IFERROR(__xludf.DUMMYFUNCTION("""COMPUTED_VALUE"""),1294.9)</f>
        <v/>
      </c>
      <c r="AH1825" s="6">
        <f>AI1825&amp;AJ1825</f>
        <v/>
      </c>
      <c r="AI1825" s="6">
        <f>YEAR(AK1825)</f>
        <v/>
      </c>
      <c r="AJ1825" s="6">
        <f>MONTH(AK1825)</f>
        <v/>
      </c>
      <c r="AK1825" s="267">
        <f>IFERROR(__xludf.DUMMYFUNCTION("""COMPUTED_VALUE"""),44918.9986111111)</f>
        <v/>
      </c>
      <c r="AL1825" s="6">
        <f>IFERROR(__xludf.DUMMYFUNCTION("""COMPUTED_VALUE"""),16780.65)</f>
        <v/>
      </c>
      <c r="AP1825" s="6">
        <f>AQ1825&amp;AR1825</f>
        <v/>
      </c>
      <c r="AQ1825" s="6">
        <f>YEAR(AS1825)</f>
        <v/>
      </c>
      <c r="AR1825" s="6">
        <f>MONTH(AS1825)</f>
        <v/>
      </c>
      <c r="AS1825" s="267">
        <f>IFERROR(__xludf.DUMMYFUNCTION("""COMPUTED_VALUE"""),45757.9986111111)</f>
        <v/>
      </c>
      <c r="AT1825" s="6">
        <f>IFERROR(__xludf.DUMMYFUNCTION("""COMPUTED_VALUE"""),3177.5)</f>
        <v/>
      </c>
    </row>
    <row r="1826">
      <c r="B1826" s="6">
        <f>C1826&amp;D1826</f>
        <v/>
      </c>
      <c r="C1826" s="6">
        <f>YEAR(E1826)</f>
        <v/>
      </c>
      <c r="D1826" s="6">
        <f>MONTH(E1826)</f>
        <v/>
      </c>
      <c r="E1826" s="267">
        <f>IFERROR(__xludf.DUMMYFUNCTION("""COMPUTED_VALUE"""),45751.6666666666)</f>
        <v/>
      </c>
      <c r="F1826" s="6">
        <f>IFERROR(__xludf.DUMMYFUNCTION("""COMPUTED_VALUE"""),5074.08)</f>
        <v/>
      </c>
      <c r="J1826" s="6">
        <f>K1826&amp;L1826</f>
        <v/>
      </c>
      <c r="K1826" s="6">
        <f>YEAR(M1826)</f>
        <v/>
      </c>
      <c r="L1826" s="6">
        <f>MONTH(M1826)</f>
        <v/>
      </c>
      <c r="M1826" s="267">
        <f>IFERROR(__xludf.DUMMYFUNCTION("""COMPUTED_VALUE"""),45744.6666666666)</f>
        <v/>
      </c>
      <c r="N1826" s="6">
        <f>IFERROR(__xludf.DUMMYFUNCTION("""COMPUTED_VALUE"""),17322.99)</f>
        <v/>
      </c>
      <c r="R1826" s="6">
        <f>S1826&amp;T1826</f>
        <v/>
      </c>
      <c r="S1826" s="6">
        <f>YEAR(U1826)</f>
        <v/>
      </c>
      <c r="T1826" s="6">
        <f>MONTH(U1826)</f>
        <v/>
      </c>
      <c r="U1826" s="267">
        <f>IFERROR(__xludf.DUMMYFUNCTION("""COMPUTED_VALUE"""),45821.6458333333)</f>
        <v/>
      </c>
      <c r="V1826" s="6">
        <f>IFERROR(__xludf.DUMMYFUNCTION("""COMPUTED_VALUE"""),2894.62)</f>
        <v/>
      </c>
      <c r="Z1826" s="6">
        <f>AA1826&amp;AB1826</f>
        <v/>
      </c>
      <c r="AA1826" s="6">
        <f>YEAR(AC1826)</f>
        <v/>
      </c>
      <c r="AB1826" s="6">
        <f>MONTH(AC1826)</f>
        <v/>
      </c>
      <c r="AC1826" s="267">
        <f>IFERROR(__xludf.DUMMYFUNCTION("""COMPUTED_VALUE"""),44975.9986111111)</f>
        <v/>
      </c>
      <c r="AD1826" s="6">
        <f>IFERROR(__xludf.DUMMYFUNCTION("""COMPUTED_VALUE"""),1294.8)</f>
        <v/>
      </c>
      <c r="AH1826" s="6">
        <f>AI1826&amp;AJ1826</f>
        <v/>
      </c>
      <c r="AI1826" s="6">
        <f>YEAR(AK1826)</f>
        <v/>
      </c>
      <c r="AJ1826" s="6">
        <f>MONTH(AK1826)</f>
        <v/>
      </c>
      <c r="AK1826" s="267">
        <f>IFERROR(__xludf.DUMMYFUNCTION("""COMPUTED_VALUE"""),44919.9986111111)</f>
        <v/>
      </c>
      <c r="AL1826" s="6">
        <f>IFERROR(__xludf.DUMMYFUNCTION("""COMPUTED_VALUE"""),16835.31)</f>
        <v/>
      </c>
      <c r="AP1826" s="6">
        <f>AQ1826&amp;AR1826</f>
        <v/>
      </c>
      <c r="AQ1826" s="6">
        <f>YEAR(AS1826)</f>
        <v/>
      </c>
      <c r="AR1826" s="6">
        <f>MONTH(AS1826)</f>
        <v/>
      </c>
      <c r="AS1826" s="267">
        <f>IFERROR(__xludf.DUMMYFUNCTION("""COMPUTED_VALUE"""),45758.9986111111)</f>
        <v/>
      </c>
      <c r="AT1826" s="6">
        <f>IFERROR(__xludf.DUMMYFUNCTION("""COMPUTED_VALUE"""),3244.6)</f>
        <v/>
      </c>
    </row>
    <row r="1827">
      <c r="B1827" s="6">
        <f>C1827&amp;D1827</f>
        <v/>
      </c>
      <c r="C1827" s="6">
        <f>YEAR(E1827)</f>
        <v/>
      </c>
      <c r="D1827" s="6">
        <f>MONTH(E1827)</f>
        <v/>
      </c>
      <c r="E1827" s="267">
        <f>IFERROR(__xludf.DUMMYFUNCTION("""COMPUTED_VALUE"""),45754.6666666666)</f>
        <v/>
      </c>
      <c r="F1827" s="6">
        <f>IFERROR(__xludf.DUMMYFUNCTION("""COMPUTED_VALUE"""),5062.25)</f>
        <v/>
      </c>
      <c r="J1827" s="6">
        <f>K1827&amp;L1827</f>
        <v/>
      </c>
      <c r="K1827" s="6">
        <f>YEAR(M1827)</f>
        <v/>
      </c>
      <c r="L1827" s="6">
        <f>MONTH(M1827)</f>
        <v/>
      </c>
      <c r="M1827" s="267">
        <f>IFERROR(__xludf.DUMMYFUNCTION("""COMPUTED_VALUE"""),45747.6666666666)</f>
        <v/>
      </c>
      <c r="N1827" s="6">
        <f>IFERROR(__xludf.DUMMYFUNCTION("""COMPUTED_VALUE"""),17299.29)</f>
        <v/>
      </c>
      <c r="R1827" s="6">
        <f>S1827&amp;T1827</f>
        <v/>
      </c>
      <c r="S1827" s="6">
        <f>YEAR(U1827)</f>
        <v/>
      </c>
      <c r="T1827" s="6">
        <f>MONTH(U1827)</f>
        <v/>
      </c>
      <c r="U1827" s="267">
        <f>IFERROR(__xludf.DUMMYFUNCTION("""COMPUTED_VALUE"""),45824.6458333333)</f>
        <v/>
      </c>
      <c r="V1827" s="6">
        <f>IFERROR(__xludf.DUMMYFUNCTION("""COMPUTED_VALUE"""),2946.66)</f>
        <v/>
      </c>
      <c r="Z1827" s="6">
        <f>AA1827&amp;AB1827</f>
        <v/>
      </c>
      <c r="AA1827" s="6">
        <f>YEAR(AC1827)</f>
        <v/>
      </c>
      <c r="AB1827" s="6">
        <f>MONTH(AC1827)</f>
        <v/>
      </c>
      <c r="AC1827" s="267">
        <f>IFERROR(__xludf.DUMMYFUNCTION("""COMPUTED_VALUE"""),44976.9986111111)</f>
        <v/>
      </c>
      <c r="AD1827" s="6">
        <f>IFERROR(__xludf.DUMMYFUNCTION("""COMPUTED_VALUE"""),1293.92)</f>
        <v/>
      </c>
      <c r="AH1827" s="6">
        <f>AI1827&amp;AJ1827</f>
        <v/>
      </c>
      <c r="AI1827" s="6">
        <f>YEAR(AK1827)</f>
        <v/>
      </c>
      <c r="AJ1827" s="6">
        <f>MONTH(AK1827)</f>
        <v/>
      </c>
      <c r="AK1827" s="267">
        <f>IFERROR(__xludf.DUMMYFUNCTION("""COMPUTED_VALUE"""),44920.9986111111)</f>
        <v/>
      </c>
      <c r="AL1827" s="6">
        <f>IFERROR(__xludf.DUMMYFUNCTION("""COMPUTED_VALUE"""),16827.57)</f>
        <v/>
      </c>
      <c r="AP1827" s="6">
        <f>AQ1827&amp;AR1827</f>
        <v/>
      </c>
      <c r="AQ1827" s="6">
        <f>YEAR(AS1827)</f>
        <v/>
      </c>
      <c r="AR1827" s="6">
        <f>MONTH(AS1827)</f>
        <v/>
      </c>
      <c r="AS1827" s="267">
        <f>IFERROR(__xludf.DUMMYFUNCTION("""COMPUTED_VALUE"""),45761.9986111111)</f>
        <v/>
      </c>
      <c r="AT1827" s="6">
        <f>IFERROR(__xludf.DUMMYFUNCTION("""COMPUTED_VALUE"""),3226.3)</f>
        <v/>
      </c>
    </row>
    <row r="1828">
      <c r="B1828" s="6">
        <f>C1828&amp;D1828</f>
        <v/>
      </c>
      <c r="C1828" s="6">
        <f>YEAR(E1828)</f>
        <v/>
      </c>
      <c r="D1828" s="6">
        <f>MONTH(E1828)</f>
        <v/>
      </c>
      <c r="E1828" s="267">
        <f>IFERROR(__xludf.DUMMYFUNCTION("""COMPUTED_VALUE"""),45755.6666666666)</f>
        <v/>
      </c>
      <c r="F1828" s="6">
        <f>IFERROR(__xludf.DUMMYFUNCTION("""COMPUTED_VALUE"""),4982.77)</f>
        <v/>
      </c>
      <c r="J1828" s="6">
        <f>K1828&amp;L1828</f>
        <v/>
      </c>
      <c r="K1828" s="6">
        <f>YEAR(M1828)</f>
        <v/>
      </c>
      <c r="L1828" s="6">
        <f>MONTH(M1828)</f>
        <v/>
      </c>
      <c r="M1828" s="267">
        <f>IFERROR(__xludf.DUMMYFUNCTION("""COMPUTED_VALUE"""),45748.6666666666)</f>
        <v/>
      </c>
      <c r="N1828" s="6">
        <f>IFERROR(__xludf.DUMMYFUNCTION("""COMPUTED_VALUE"""),17449.89)</f>
        <v/>
      </c>
      <c r="R1828" s="6">
        <f>S1828&amp;T1828</f>
        <v/>
      </c>
      <c r="S1828" s="6">
        <f>YEAR(U1828)</f>
        <v/>
      </c>
      <c r="T1828" s="6">
        <f>MONTH(U1828)</f>
        <v/>
      </c>
      <c r="U1828" s="267">
        <f>IFERROR(__xludf.DUMMYFUNCTION("""COMPUTED_VALUE"""),45825.6458333333)</f>
        <v/>
      </c>
      <c r="V1828" s="6">
        <f>IFERROR(__xludf.DUMMYFUNCTION("""COMPUTED_VALUE"""),2950.3)</f>
        <v/>
      </c>
      <c r="Z1828" s="6">
        <f>AA1828&amp;AB1828</f>
        <v/>
      </c>
      <c r="AA1828" s="6">
        <f>YEAR(AC1828)</f>
        <v/>
      </c>
      <c r="AB1828" s="6">
        <f>MONTH(AC1828)</f>
        <v/>
      </c>
      <c r="AC1828" s="267">
        <f>IFERROR(__xludf.DUMMYFUNCTION("""COMPUTED_VALUE"""),44977.9986111111)</f>
        <v/>
      </c>
      <c r="AD1828" s="6">
        <f>IFERROR(__xludf.DUMMYFUNCTION("""COMPUTED_VALUE"""),1296.11)</f>
        <v/>
      </c>
      <c r="AH1828" s="6">
        <f>AI1828&amp;AJ1828</f>
        <v/>
      </c>
      <c r="AI1828" s="6">
        <f>YEAR(AK1828)</f>
        <v/>
      </c>
      <c r="AJ1828" s="6">
        <f>MONTH(AK1828)</f>
        <v/>
      </c>
      <c r="AK1828" s="267">
        <f>IFERROR(__xludf.DUMMYFUNCTION("""COMPUTED_VALUE"""),44921.9986111111)</f>
        <v/>
      </c>
      <c r="AL1828" s="6">
        <f>IFERROR(__xludf.DUMMYFUNCTION("""COMPUTED_VALUE"""),16915.04)</f>
        <v/>
      </c>
      <c r="AP1828" s="6">
        <f>AQ1828&amp;AR1828</f>
        <v/>
      </c>
      <c r="AQ1828" s="6">
        <f>YEAR(AS1828)</f>
        <v/>
      </c>
      <c r="AR1828" s="6">
        <f>MONTH(AS1828)</f>
        <v/>
      </c>
      <c r="AS1828" s="267">
        <f>IFERROR(__xludf.DUMMYFUNCTION("""COMPUTED_VALUE"""),45762.9986111111)</f>
        <v/>
      </c>
      <c r="AT1828" s="6">
        <f>IFERROR(__xludf.DUMMYFUNCTION("""COMPUTED_VALUE"""),3240.4)</f>
        <v/>
      </c>
    </row>
    <row r="1829">
      <c r="B1829" s="6">
        <f>C1829&amp;D1829</f>
        <v/>
      </c>
      <c r="C1829" s="6">
        <f>YEAR(E1829)</f>
        <v/>
      </c>
      <c r="D1829" s="6">
        <f>MONTH(E1829)</f>
        <v/>
      </c>
      <c r="E1829" s="267">
        <f>IFERROR(__xludf.DUMMYFUNCTION("""COMPUTED_VALUE"""),45756.6666666666)</f>
        <v/>
      </c>
      <c r="F1829" s="6">
        <f>IFERROR(__xludf.DUMMYFUNCTION("""COMPUTED_VALUE"""),5456.9)</f>
        <v/>
      </c>
      <c r="J1829" s="6">
        <f>K1829&amp;L1829</f>
        <v/>
      </c>
      <c r="K1829" s="6">
        <f>YEAR(M1829)</f>
        <v/>
      </c>
      <c r="L1829" s="6">
        <f>MONTH(M1829)</f>
        <v/>
      </c>
      <c r="M1829" s="267">
        <f>IFERROR(__xludf.DUMMYFUNCTION("""COMPUTED_VALUE"""),45749.6666666666)</f>
        <v/>
      </c>
      <c r="N1829" s="6">
        <f>IFERROR(__xludf.DUMMYFUNCTION("""COMPUTED_VALUE"""),17601.05)</f>
        <v/>
      </c>
      <c r="R1829" s="6">
        <f>S1829&amp;T1829</f>
        <v/>
      </c>
      <c r="S1829" s="6">
        <f>YEAR(U1829)</f>
        <v/>
      </c>
      <c r="T1829" s="6">
        <f>MONTH(U1829)</f>
        <v/>
      </c>
      <c r="U1829" s="267">
        <f>IFERROR(__xludf.DUMMYFUNCTION("""COMPUTED_VALUE"""),45826.6458333333)</f>
        <v/>
      </c>
      <c r="V1829" s="6">
        <f>IFERROR(__xludf.DUMMYFUNCTION("""COMPUTED_VALUE"""),2972.19)</f>
        <v/>
      </c>
      <c r="Z1829" s="6">
        <f>AA1829&amp;AB1829</f>
        <v/>
      </c>
      <c r="AA1829" s="6">
        <f>YEAR(AC1829)</f>
        <v/>
      </c>
      <c r="AB1829" s="6">
        <f>MONTH(AC1829)</f>
        <v/>
      </c>
      <c r="AC1829" s="267">
        <f>IFERROR(__xludf.DUMMYFUNCTION("""COMPUTED_VALUE"""),44978.9986111111)</f>
        <v/>
      </c>
      <c r="AD1829" s="6">
        <f>IFERROR(__xludf.DUMMYFUNCTION("""COMPUTED_VALUE"""),1305.83)</f>
        <v/>
      </c>
      <c r="AH1829" s="6">
        <f>AI1829&amp;AJ1829</f>
        <v/>
      </c>
      <c r="AI1829" s="6">
        <f>YEAR(AK1829)</f>
        <v/>
      </c>
      <c r="AJ1829" s="6">
        <f>MONTH(AK1829)</f>
        <v/>
      </c>
      <c r="AK1829" s="267">
        <f>IFERROR(__xludf.DUMMYFUNCTION("""COMPUTED_VALUE"""),44922.9986111111)</f>
        <v/>
      </c>
      <c r="AL1829" s="6">
        <f>IFERROR(__xludf.DUMMYFUNCTION("""COMPUTED_VALUE"""),16701.23)</f>
        <v/>
      </c>
      <c r="AP1829" s="6">
        <f>AQ1829&amp;AR1829</f>
        <v/>
      </c>
      <c r="AQ1829" s="6">
        <f>YEAR(AS1829)</f>
        <v/>
      </c>
      <c r="AR1829" s="6">
        <f>MONTH(AS1829)</f>
        <v/>
      </c>
      <c r="AS1829" s="267">
        <f>IFERROR(__xludf.DUMMYFUNCTION("""COMPUTED_VALUE"""),45763.9986111111)</f>
        <v/>
      </c>
      <c r="AT1829" s="6">
        <f>IFERROR(__xludf.DUMMYFUNCTION("""COMPUTED_VALUE"""),3346.4)</f>
        <v/>
      </c>
    </row>
    <row r="1830">
      <c r="B1830" s="6">
        <f>C1830&amp;D1830</f>
        <v/>
      </c>
      <c r="C1830" s="6">
        <f>YEAR(E1830)</f>
        <v/>
      </c>
      <c r="D1830" s="6">
        <f>MONTH(E1830)</f>
        <v/>
      </c>
      <c r="E1830" s="267">
        <f>IFERROR(__xludf.DUMMYFUNCTION("""COMPUTED_VALUE"""),45757.6666666666)</f>
        <v/>
      </c>
      <c r="F1830" s="6">
        <f>IFERROR(__xludf.DUMMYFUNCTION("""COMPUTED_VALUE"""),5268.05)</f>
        <v/>
      </c>
      <c r="J1830" s="6">
        <f>K1830&amp;L1830</f>
        <v/>
      </c>
      <c r="K1830" s="6">
        <f>YEAR(M1830)</f>
        <v/>
      </c>
      <c r="L1830" s="6">
        <f>MONTH(M1830)</f>
        <v/>
      </c>
      <c r="M1830" s="267">
        <f>IFERROR(__xludf.DUMMYFUNCTION("""COMPUTED_VALUE"""),45750.6666666666)</f>
        <v/>
      </c>
      <c r="N1830" s="6">
        <f>IFERROR(__xludf.DUMMYFUNCTION("""COMPUTED_VALUE"""),16550.61)</f>
        <v/>
      </c>
      <c r="R1830" s="6">
        <f>S1830&amp;T1830</f>
        <v/>
      </c>
      <c r="S1830" s="6">
        <f>YEAR(U1830)</f>
        <v/>
      </c>
      <c r="T1830" s="6">
        <f>MONTH(U1830)</f>
        <v/>
      </c>
      <c r="U1830" s="267">
        <f>IFERROR(__xludf.DUMMYFUNCTION("""COMPUTED_VALUE"""),45827.6458333333)</f>
        <v/>
      </c>
      <c r="V1830" s="6">
        <f>IFERROR(__xludf.DUMMYFUNCTION("""COMPUTED_VALUE"""),2977.74)</f>
        <v/>
      </c>
      <c r="Z1830" s="6">
        <f>AA1830&amp;AB1830</f>
        <v/>
      </c>
      <c r="AA1830" s="6">
        <f>YEAR(AC1830)</f>
        <v/>
      </c>
      <c r="AB1830" s="6">
        <f>MONTH(AC1830)</f>
        <v/>
      </c>
      <c r="AC1830" s="267">
        <f>IFERROR(__xludf.DUMMYFUNCTION("""COMPUTED_VALUE"""),44979.9986111111)</f>
        <v/>
      </c>
      <c r="AD1830" s="6">
        <f>IFERROR(__xludf.DUMMYFUNCTION("""COMPUTED_VALUE"""),1302.83)</f>
        <v/>
      </c>
      <c r="AH1830" s="6">
        <f>AI1830&amp;AJ1830</f>
        <v/>
      </c>
      <c r="AI1830" s="6">
        <f>YEAR(AK1830)</f>
        <v/>
      </c>
      <c r="AJ1830" s="6">
        <f>MONTH(AK1830)</f>
        <v/>
      </c>
      <c r="AK1830" s="267">
        <f>IFERROR(__xludf.DUMMYFUNCTION("""COMPUTED_VALUE"""),44923.9986111111)</f>
        <v/>
      </c>
      <c r="AL1830" s="6">
        <f>IFERROR(__xludf.DUMMYFUNCTION("""COMPUTED_VALUE"""),16540.76)</f>
        <v/>
      </c>
      <c r="AP1830" s="6">
        <f>AQ1830&amp;AR1830</f>
        <v/>
      </c>
      <c r="AQ1830" s="6">
        <f>YEAR(AS1830)</f>
        <v/>
      </c>
      <c r="AR1830" s="6">
        <f>MONTH(AS1830)</f>
        <v/>
      </c>
      <c r="AS1830" s="267">
        <f>IFERROR(__xludf.DUMMYFUNCTION("""COMPUTED_VALUE"""),45764.9986111111)</f>
        <v/>
      </c>
      <c r="AT1830" s="6">
        <f>IFERROR(__xludf.DUMMYFUNCTION("""COMPUTED_VALUE"""),3328.4)</f>
        <v/>
      </c>
    </row>
    <row r="1831">
      <c r="B1831" s="6">
        <f>C1831&amp;D1831</f>
        <v/>
      </c>
      <c r="C1831" s="6">
        <f>YEAR(E1831)</f>
        <v/>
      </c>
      <c r="D1831" s="6">
        <f>MONTH(E1831)</f>
        <v/>
      </c>
      <c r="E1831" s="267">
        <f>IFERROR(__xludf.DUMMYFUNCTION("""COMPUTED_VALUE"""),45758.6666666666)</f>
        <v/>
      </c>
      <c r="F1831" s="6">
        <f>IFERROR(__xludf.DUMMYFUNCTION("""COMPUTED_VALUE"""),5363.36)</f>
        <v/>
      </c>
      <c r="J1831" s="6">
        <f>K1831&amp;L1831</f>
        <v/>
      </c>
      <c r="K1831" s="6">
        <f>YEAR(M1831)</f>
        <v/>
      </c>
      <c r="L1831" s="6">
        <f>MONTH(M1831)</f>
        <v/>
      </c>
      <c r="M1831" s="267">
        <f>IFERROR(__xludf.DUMMYFUNCTION("""COMPUTED_VALUE"""),45751.6666666666)</f>
        <v/>
      </c>
      <c r="N1831" s="6">
        <f>IFERROR(__xludf.DUMMYFUNCTION("""COMPUTED_VALUE"""),15587.79)</f>
        <v/>
      </c>
      <c r="R1831" s="6">
        <f>S1831&amp;T1831</f>
        <v/>
      </c>
      <c r="S1831" s="6">
        <f>YEAR(U1831)</f>
        <v/>
      </c>
      <c r="T1831" s="6">
        <f>MONTH(U1831)</f>
        <v/>
      </c>
      <c r="U1831" s="267">
        <f>IFERROR(__xludf.DUMMYFUNCTION("""COMPUTED_VALUE"""),45828.6458333333)</f>
        <v/>
      </c>
      <c r="V1831" s="6">
        <f>IFERROR(__xludf.DUMMYFUNCTION("""COMPUTED_VALUE"""),3021.84)</f>
        <v/>
      </c>
      <c r="Z1831" s="6">
        <f>AA1831&amp;AB1831</f>
        <v/>
      </c>
      <c r="AA1831" s="6">
        <f>YEAR(AC1831)</f>
        <v/>
      </c>
      <c r="AB1831" s="6">
        <f>MONTH(AC1831)</f>
        <v/>
      </c>
      <c r="AC1831" s="267">
        <f>IFERROR(__xludf.DUMMYFUNCTION("""COMPUTED_VALUE"""),44980.9986111111)</f>
        <v/>
      </c>
      <c r="AD1831" s="6">
        <f>IFERROR(__xludf.DUMMYFUNCTION("""COMPUTED_VALUE"""),1298.08)</f>
        <v/>
      </c>
      <c r="AH1831" s="6">
        <f>AI1831&amp;AJ1831</f>
        <v/>
      </c>
      <c r="AI1831" s="6">
        <f>YEAR(AK1831)</f>
        <v/>
      </c>
      <c r="AJ1831" s="6">
        <f>MONTH(AK1831)</f>
        <v/>
      </c>
      <c r="AK1831" s="267">
        <f>IFERROR(__xludf.DUMMYFUNCTION("""COMPUTED_VALUE"""),44924.9986111111)</f>
        <v/>
      </c>
      <c r="AL1831" s="6">
        <f>IFERROR(__xludf.DUMMYFUNCTION("""COMPUTED_VALUE"""),16632.69)</f>
        <v/>
      </c>
      <c r="AP1831" s="6">
        <f>AQ1831&amp;AR1831</f>
        <v/>
      </c>
      <c r="AQ1831" s="6">
        <f>YEAR(AS1831)</f>
        <v/>
      </c>
      <c r="AR1831" s="6">
        <f>MONTH(AS1831)</f>
        <v/>
      </c>
      <c r="AS1831" s="267">
        <f>IFERROR(__xludf.DUMMYFUNCTION("""COMPUTED_VALUE"""),45768.9986111111)</f>
        <v/>
      </c>
      <c r="AT1831" s="6">
        <f>IFERROR(__xludf.DUMMYFUNCTION("""COMPUTED_VALUE"""),3425.3)</f>
        <v/>
      </c>
    </row>
    <row r="1832">
      <c r="B1832" s="6">
        <f>C1832&amp;D1832</f>
        <v/>
      </c>
      <c r="C1832" s="6">
        <f>YEAR(E1832)</f>
        <v/>
      </c>
      <c r="D1832" s="6">
        <f>MONTH(E1832)</f>
        <v/>
      </c>
      <c r="E1832" s="267">
        <f>IFERROR(__xludf.DUMMYFUNCTION("""COMPUTED_VALUE"""),45761.6666666666)</f>
        <v/>
      </c>
      <c r="F1832" s="6">
        <f>IFERROR(__xludf.DUMMYFUNCTION("""COMPUTED_VALUE"""),5405.97)</f>
        <v/>
      </c>
      <c r="J1832" s="6">
        <f>K1832&amp;L1832</f>
        <v/>
      </c>
      <c r="K1832" s="6">
        <f>YEAR(M1832)</f>
        <v/>
      </c>
      <c r="L1832" s="6">
        <f>MONTH(M1832)</f>
        <v/>
      </c>
      <c r="M1832" s="267">
        <f>IFERROR(__xludf.DUMMYFUNCTION("""COMPUTED_VALUE"""),45754.6666666666)</f>
        <v/>
      </c>
      <c r="N1832" s="6">
        <f>IFERROR(__xludf.DUMMYFUNCTION("""COMPUTED_VALUE"""),15603.26)</f>
        <v/>
      </c>
      <c r="R1832" s="6">
        <f>S1832&amp;T1832</f>
        <v/>
      </c>
      <c r="S1832" s="6">
        <f>YEAR(U1832)</f>
        <v/>
      </c>
      <c r="T1832" s="6">
        <f>MONTH(U1832)</f>
        <v/>
      </c>
      <c r="U1832" s="267">
        <f>IFERROR(__xludf.DUMMYFUNCTION("""COMPUTED_VALUE"""),45831.6458333333)</f>
        <v/>
      </c>
      <c r="V1832" s="6">
        <f>IFERROR(__xludf.DUMMYFUNCTION("""COMPUTED_VALUE"""),3014.47)</f>
        <v/>
      </c>
      <c r="Z1832" s="6">
        <f>AA1832&amp;AB1832</f>
        <v/>
      </c>
      <c r="AA1832" s="6">
        <f>YEAR(AC1832)</f>
        <v/>
      </c>
      <c r="AB1832" s="6">
        <f>MONTH(AC1832)</f>
        <v/>
      </c>
      <c r="AC1832" s="267">
        <f>IFERROR(__xludf.DUMMYFUNCTION("""COMPUTED_VALUE"""),44981.9986111111)</f>
        <v/>
      </c>
      <c r="AD1832" s="6">
        <f>IFERROR(__xludf.DUMMYFUNCTION("""COMPUTED_VALUE"""),1313.8)</f>
        <v/>
      </c>
      <c r="AH1832" s="6">
        <f>AI1832&amp;AJ1832</f>
        <v/>
      </c>
      <c r="AI1832" s="6">
        <f>YEAR(AK1832)</f>
        <v/>
      </c>
      <c r="AJ1832" s="6">
        <f>MONTH(AK1832)</f>
        <v/>
      </c>
      <c r="AK1832" s="267">
        <f>IFERROR(__xludf.DUMMYFUNCTION("""COMPUTED_VALUE"""),44925.9986111111)</f>
        <v/>
      </c>
      <c r="AL1832" s="6">
        <f>IFERROR(__xludf.DUMMYFUNCTION("""COMPUTED_VALUE"""),16601.38)</f>
        <v/>
      </c>
      <c r="AP1832" s="6">
        <f>AQ1832&amp;AR1832</f>
        <v/>
      </c>
      <c r="AQ1832" s="6">
        <f>YEAR(AS1832)</f>
        <v/>
      </c>
      <c r="AR1832" s="6">
        <f>MONTH(AS1832)</f>
        <v/>
      </c>
      <c r="AS1832" s="267">
        <f>IFERROR(__xludf.DUMMYFUNCTION("""COMPUTED_VALUE"""),45769.9986111111)</f>
        <v/>
      </c>
      <c r="AT1832" s="6">
        <f>IFERROR(__xludf.DUMMYFUNCTION("""COMPUTED_VALUE"""),3419.4)</f>
        <v/>
      </c>
    </row>
    <row r="1833">
      <c r="B1833" s="6">
        <f>C1833&amp;D1833</f>
        <v/>
      </c>
      <c r="C1833" s="6">
        <f>YEAR(E1833)</f>
        <v/>
      </c>
      <c r="D1833" s="6">
        <f>MONTH(E1833)</f>
        <v/>
      </c>
      <c r="E1833" s="267">
        <f>IFERROR(__xludf.DUMMYFUNCTION("""COMPUTED_VALUE"""),45762.6666666666)</f>
        <v/>
      </c>
      <c r="F1833" s="6">
        <f>IFERROR(__xludf.DUMMYFUNCTION("""COMPUTED_VALUE"""),5396.63)</f>
        <v/>
      </c>
      <c r="J1833" s="6">
        <f>K1833&amp;L1833</f>
        <v/>
      </c>
      <c r="K1833" s="6">
        <f>YEAR(M1833)</f>
        <v/>
      </c>
      <c r="L1833" s="6">
        <f>MONTH(M1833)</f>
        <v/>
      </c>
      <c r="M1833" s="267">
        <f>IFERROR(__xludf.DUMMYFUNCTION("""COMPUTED_VALUE"""),45755.6666666666)</f>
        <v/>
      </c>
      <c r="N1833" s="6">
        <f>IFERROR(__xludf.DUMMYFUNCTION("""COMPUTED_VALUE"""),15267.91)</f>
        <v/>
      </c>
      <c r="R1833" s="6">
        <f>S1833&amp;T1833</f>
        <v/>
      </c>
      <c r="S1833" s="6">
        <f>YEAR(U1833)</f>
        <v/>
      </c>
      <c r="T1833" s="6">
        <f>MONTH(U1833)</f>
        <v/>
      </c>
      <c r="U1833" s="267">
        <f>IFERROR(__xludf.DUMMYFUNCTION("""COMPUTED_VALUE"""),45832.6458333333)</f>
        <v/>
      </c>
      <c r="V1833" s="6">
        <f>IFERROR(__xludf.DUMMYFUNCTION("""COMPUTED_VALUE"""),3103.64)</f>
        <v/>
      </c>
      <c r="Z1833" s="6">
        <f>AA1833&amp;AB1833</f>
        <v/>
      </c>
      <c r="AA1833" s="6">
        <f>YEAR(AC1833)</f>
        <v/>
      </c>
      <c r="AB1833" s="6">
        <f>MONTH(AC1833)</f>
        <v/>
      </c>
      <c r="AC1833" s="267">
        <f>IFERROR(__xludf.DUMMYFUNCTION("""COMPUTED_VALUE"""),44982.9986111111)</f>
        <v/>
      </c>
      <c r="AD1833" s="6">
        <f>IFERROR(__xludf.DUMMYFUNCTION("""COMPUTED_VALUE"""),1313.7)</f>
        <v/>
      </c>
      <c r="AH1833" s="6">
        <f>AI1833&amp;AJ1833</f>
        <v/>
      </c>
      <c r="AI1833" s="6">
        <f>YEAR(AK1833)</f>
        <v/>
      </c>
      <c r="AJ1833" s="6">
        <f>MONTH(AK1833)</f>
        <v/>
      </c>
      <c r="AK1833" s="267">
        <f>IFERROR(__xludf.DUMMYFUNCTION("""COMPUTED_VALUE"""),44926.9986111111)</f>
        <v/>
      </c>
      <c r="AL1833" s="6">
        <f>IFERROR(__xludf.DUMMYFUNCTION("""COMPUTED_VALUE"""),16529.2)</f>
        <v/>
      </c>
      <c r="AP1833" s="6">
        <f>AQ1833&amp;AR1833</f>
        <v/>
      </c>
      <c r="AQ1833" s="6">
        <f>YEAR(AS1833)</f>
        <v/>
      </c>
      <c r="AR1833" s="6">
        <f>MONTH(AS1833)</f>
        <v/>
      </c>
      <c r="AS1833" s="267">
        <f>IFERROR(__xludf.DUMMYFUNCTION("""COMPUTED_VALUE"""),45770.9986111111)</f>
        <v/>
      </c>
      <c r="AT1833" s="6">
        <f>IFERROR(__xludf.DUMMYFUNCTION("""COMPUTED_VALUE"""),3294.1)</f>
        <v/>
      </c>
    </row>
    <row r="1834">
      <c r="B1834" s="6">
        <f>C1834&amp;D1834</f>
        <v/>
      </c>
      <c r="C1834" s="6">
        <f>YEAR(E1834)</f>
        <v/>
      </c>
      <c r="D1834" s="6">
        <f>MONTH(E1834)</f>
        <v/>
      </c>
      <c r="E1834" s="267">
        <f>IFERROR(__xludf.DUMMYFUNCTION("""COMPUTED_VALUE"""),45763.6666666666)</f>
        <v/>
      </c>
      <c r="F1834" s="6">
        <f>IFERROR(__xludf.DUMMYFUNCTION("""COMPUTED_VALUE"""),5275.7)</f>
        <v/>
      </c>
      <c r="J1834" s="6">
        <f>K1834&amp;L1834</f>
        <v/>
      </c>
      <c r="K1834" s="6">
        <f>YEAR(M1834)</f>
        <v/>
      </c>
      <c r="L1834" s="6">
        <f>MONTH(M1834)</f>
        <v/>
      </c>
      <c r="M1834" s="267">
        <f>IFERROR(__xludf.DUMMYFUNCTION("""COMPUTED_VALUE"""),45756.6666666666)</f>
        <v/>
      </c>
      <c r="N1834" s="6">
        <f>IFERROR(__xludf.DUMMYFUNCTION("""COMPUTED_VALUE"""),17124.97)</f>
        <v/>
      </c>
      <c r="R1834" s="6">
        <f>S1834&amp;T1834</f>
        <v/>
      </c>
      <c r="S1834" s="6">
        <f>YEAR(U1834)</f>
        <v/>
      </c>
      <c r="T1834" s="6">
        <f>MONTH(U1834)</f>
        <v/>
      </c>
      <c r="U1834" s="267">
        <f>IFERROR(__xludf.DUMMYFUNCTION("""COMPUTED_VALUE"""),45833.6458333333)</f>
        <v/>
      </c>
      <c r="V1834" s="6">
        <f>IFERROR(__xludf.DUMMYFUNCTION("""COMPUTED_VALUE"""),3108.25)</f>
        <v/>
      </c>
      <c r="Z1834" s="6">
        <f>AA1834&amp;AB1834</f>
        <v/>
      </c>
      <c r="AA1834" s="6">
        <f>YEAR(AC1834)</f>
        <v/>
      </c>
      <c r="AB1834" s="6">
        <f>MONTH(AC1834)</f>
        <v/>
      </c>
      <c r="AC1834" s="267">
        <f>IFERROR(__xludf.DUMMYFUNCTION("""COMPUTED_VALUE"""),44983.9986111111)</f>
        <v/>
      </c>
      <c r="AD1834" s="6">
        <f>IFERROR(__xludf.DUMMYFUNCTION("""COMPUTED_VALUE"""),1313.7)</f>
        <v/>
      </c>
      <c r="AH1834" s="6">
        <f>AI1834&amp;AJ1834</f>
        <v/>
      </c>
      <c r="AI1834" s="6">
        <f>YEAR(AK1834)</f>
        <v/>
      </c>
      <c r="AJ1834" s="6">
        <f>MONTH(AK1834)</f>
        <v/>
      </c>
      <c r="AK1834" s="267">
        <f>IFERROR(__xludf.DUMMYFUNCTION("""COMPUTED_VALUE"""),44927.9986111111)</f>
        <v/>
      </c>
      <c r="AL1834" s="6">
        <f>IFERROR(__xludf.DUMMYFUNCTION("""COMPUTED_VALUE"""),16613.4)</f>
        <v/>
      </c>
      <c r="AP1834" s="6">
        <f>AQ1834&amp;AR1834</f>
        <v/>
      </c>
      <c r="AQ1834" s="6">
        <f>YEAR(AS1834)</f>
        <v/>
      </c>
      <c r="AR1834" s="6">
        <f>MONTH(AS1834)</f>
        <v/>
      </c>
      <c r="AS1834" s="267">
        <f>IFERROR(__xludf.DUMMYFUNCTION("""COMPUTED_VALUE"""),45771.9986111111)</f>
        <v/>
      </c>
      <c r="AT1834" s="6">
        <f>IFERROR(__xludf.DUMMYFUNCTION("""COMPUTED_VALUE"""),3348.6)</f>
        <v/>
      </c>
    </row>
    <row r="1835">
      <c r="B1835" s="6">
        <f>C1835&amp;D1835</f>
        <v/>
      </c>
      <c r="C1835" s="6">
        <f>YEAR(E1835)</f>
        <v/>
      </c>
      <c r="D1835" s="6">
        <f>MONTH(E1835)</f>
        <v/>
      </c>
      <c r="E1835" s="267">
        <f>IFERROR(__xludf.DUMMYFUNCTION("""COMPUTED_VALUE"""),45764.6666666666)</f>
        <v/>
      </c>
      <c r="F1835" s="6">
        <f>IFERROR(__xludf.DUMMYFUNCTION("""COMPUTED_VALUE"""),5282.7)</f>
        <v/>
      </c>
      <c r="J1835" s="6">
        <f>K1835&amp;L1835</f>
        <v/>
      </c>
      <c r="K1835" s="6">
        <f>YEAR(M1835)</f>
        <v/>
      </c>
      <c r="L1835" s="6">
        <f>MONTH(M1835)</f>
        <v/>
      </c>
      <c r="M1835" s="267">
        <f>IFERROR(__xludf.DUMMYFUNCTION("""COMPUTED_VALUE"""),45757.6666666666)</f>
        <v/>
      </c>
      <c r="N1835" s="6">
        <f>IFERROR(__xludf.DUMMYFUNCTION("""COMPUTED_VALUE"""),16387.31)</f>
        <v/>
      </c>
      <c r="R1835" s="6">
        <f>S1835&amp;T1835</f>
        <v/>
      </c>
      <c r="S1835" s="6">
        <f>YEAR(U1835)</f>
        <v/>
      </c>
      <c r="T1835" s="6">
        <f>MONTH(U1835)</f>
        <v/>
      </c>
      <c r="U1835" s="267">
        <f>IFERROR(__xludf.DUMMYFUNCTION("""COMPUTED_VALUE"""),45834.6458333333)</f>
        <v/>
      </c>
      <c r="V1835" s="6">
        <f>IFERROR(__xludf.DUMMYFUNCTION("""COMPUTED_VALUE"""),3079.56)</f>
        <v/>
      </c>
      <c r="Z1835" s="6">
        <f>AA1835&amp;AB1835</f>
        <v/>
      </c>
      <c r="AA1835" s="6">
        <f>YEAR(AC1835)</f>
        <v/>
      </c>
      <c r="AB1835" s="6">
        <f>MONTH(AC1835)</f>
        <v/>
      </c>
      <c r="AC1835" s="267">
        <f>IFERROR(__xludf.DUMMYFUNCTION("""COMPUTED_VALUE"""),44984.9986111111)</f>
        <v/>
      </c>
      <c r="AD1835" s="6">
        <f>IFERROR(__xludf.DUMMYFUNCTION("""COMPUTED_VALUE"""),1318.35)</f>
        <v/>
      </c>
      <c r="AH1835" s="6">
        <f>AI1835&amp;AJ1835</f>
        <v/>
      </c>
      <c r="AI1835" s="6">
        <f>YEAR(AK1835)</f>
        <v/>
      </c>
      <c r="AJ1835" s="6">
        <f>MONTH(AK1835)</f>
        <v/>
      </c>
      <c r="AK1835" s="267">
        <f>IFERROR(__xludf.DUMMYFUNCTION("""COMPUTED_VALUE"""),44928.9986111111)</f>
        <v/>
      </c>
      <c r="AL1835" s="6">
        <f>IFERROR(__xludf.DUMMYFUNCTION("""COMPUTED_VALUE"""),16670.31)</f>
        <v/>
      </c>
      <c r="AP1835" s="6">
        <f>AQ1835&amp;AR1835</f>
        <v/>
      </c>
      <c r="AQ1835" s="6">
        <f>YEAR(AS1835)</f>
        <v/>
      </c>
      <c r="AR1835" s="6">
        <f>MONTH(AS1835)</f>
        <v/>
      </c>
      <c r="AS1835" s="267">
        <f>IFERROR(__xludf.DUMMYFUNCTION("""COMPUTED_VALUE"""),45772.9986111111)</f>
        <v/>
      </c>
      <c r="AT1835" s="6">
        <f>IFERROR(__xludf.DUMMYFUNCTION("""COMPUTED_VALUE"""),3298.4)</f>
        <v/>
      </c>
    </row>
    <row r="1836">
      <c r="B1836" s="6">
        <f>C1836&amp;D1836</f>
        <v/>
      </c>
      <c r="C1836" s="6">
        <f>YEAR(E1836)</f>
        <v/>
      </c>
      <c r="D1836" s="6">
        <f>MONTH(E1836)</f>
        <v/>
      </c>
      <c r="E1836" s="267">
        <f>IFERROR(__xludf.DUMMYFUNCTION("""COMPUTED_VALUE"""),45768.6666666666)</f>
        <v/>
      </c>
      <c r="F1836" s="6">
        <f>IFERROR(__xludf.DUMMYFUNCTION("""COMPUTED_VALUE"""),5158.2)</f>
        <v/>
      </c>
      <c r="J1836" s="6">
        <f>K1836&amp;L1836</f>
        <v/>
      </c>
      <c r="K1836" s="6">
        <f>YEAR(M1836)</f>
        <v/>
      </c>
      <c r="L1836" s="6">
        <f>MONTH(M1836)</f>
        <v/>
      </c>
      <c r="M1836" s="267">
        <f>IFERROR(__xludf.DUMMYFUNCTION("""COMPUTED_VALUE"""),45758.6666666666)</f>
        <v/>
      </c>
      <c r="N1836" s="6">
        <f>IFERROR(__xludf.DUMMYFUNCTION("""COMPUTED_VALUE"""),16724.46)</f>
        <v/>
      </c>
      <c r="R1836" s="6">
        <f>S1836&amp;T1836</f>
        <v/>
      </c>
      <c r="S1836" s="6">
        <f>YEAR(U1836)</f>
        <v/>
      </c>
      <c r="T1836" s="6">
        <f>MONTH(U1836)</f>
        <v/>
      </c>
      <c r="U1836" s="267">
        <f>IFERROR(__xludf.DUMMYFUNCTION("""COMPUTED_VALUE"""),45835.6458333333)</f>
        <v/>
      </c>
      <c r="V1836" s="6">
        <f>IFERROR(__xludf.DUMMYFUNCTION("""COMPUTED_VALUE"""),3055.94)</f>
        <v/>
      </c>
      <c r="Z1836" s="6">
        <f>AA1836&amp;AB1836</f>
        <v/>
      </c>
      <c r="AA1836" s="6">
        <f>YEAR(AC1836)</f>
        <v/>
      </c>
      <c r="AB1836" s="6">
        <f>MONTH(AC1836)</f>
        <v/>
      </c>
      <c r="AC1836" s="267">
        <f>IFERROR(__xludf.DUMMYFUNCTION("""COMPUTED_VALUE"""),44985.9986111111)</f>
        <v/>
      </c>
      <c r="AD1836" s="6">
        <f>IFERROR(__xludf.DUMMYFUNCTION("""COMPUTED_VALUE"""),1321.6)</f>
        <v/>
      </c>
      <c r="AH1836" s="6">
        <f>AI1836&amp;AJ1836</f>
        <v/>
      </c>
      <c r="AI1836" s="6">
        <f>YEAR(AK1836)</f>
        <v/>
      </c>
      <c r="AJ1836" s="6">
        <f>MONTH(AK1836)</f>
        <v/>
      </c>
      <c r="AK1836" s="267">
        <f>IFERROR(__xludf.DUMMYFUNCTION("""COMPUTED_VALUE"""),44929.9986111111)</f>
        <v/>
      </c>
      <c r="AL1836" s="6">
        <f>IFERROR(__xludf.DUMMYFUNCTION("""COMPUTED_VALUE"""),16670.35)</f>
        <v/>
      </c>
      <c r="AP1836" s="6">
        <f>AQ1836&amp;AR1836</f>
        <v/>
      </c>
      <c r="AQ1836" s="6">
        <f>YEAR(AS1836)</f>
        <v/>
      </c>
      <c r="AR1836" s="6">
        <f>MONTH(AS1836)</f>
        <v/>
      </c>
      <c r="AS1836" s="267">
        <f>IFERROR(__xludf.DUMMYFUNCTION("""COMPUTED_VALUE"""),45775.9986111111)</f>
        <v/>
      </c>
      <c r="AT1836" s="6">
        <f>IFERROR(__xludf.DUMMYFUNCTION("""COMPUTED_VALUE"""),3347.7)</f>
        <v/>
      </c>
    </row>
    <row r="1837">
      <c r="B1837" s="6">
        <f>C1837&amp;D1837</f>
        <v/>
      </c>
      <c r="C1837" s="6">
        <f>YEAR(E1837)</f>
        <v/>
      </c>
      <c r="D1837" s="6">
        <f>MONTH(E1837)</f>
        <v/>
      </c>
      <c r="E1837" s="267">
        <f>IFERROR(__xludf.DUMMYFUNCTION("""COMPUTED_VALUE"""),45769.6666666666)</f>
        <v/>
      </c>
      <c r="F1837" s="6">
        <f>IFERROR(__xludf.DUMMYFUNCTION("""COMPUTED_VALUE"""),5287.76)</f>
        <v/>
      </c>
      <c r="J1837" s="6">
        <f>K1837&amp;L1837</f>
        <v/>
      </c>
      <c r="K1837" s="6">
        <f>YEAR(M1837)</f>
        <v/>
      </c>
      <c r="L1837" s="6">
        <f>MONTH(M1837)</f>
        <v/>
      </c>
      <c r="M1837" s="267">
        <f>IFERROR(__xludf.DUMMYFUNCTION("""COMPUTED_VALUE"""),45761.6666666666)</f>
        <v/>
      </c>
      <c r="N1837" s="6">
        <f>IFERROR(__xludf.DUMMYFUNCTION("""COMPUTED_VALUE"""),16831.48)</f>
        <v/>
      </c>
      <c r="R1837" s="6">
        <f>S1837&amp;T1837</f>
        <v/>
      </c>
      <c r="S1837" s="6">
        <f>YEAR(U1837)</f>
        <v/>
      </c>
      <c r="T1837" s="6">
        <f>MONTH(U1837)</f>
        <v/>
      </c>
      <c r="U1837" s="267">
        <f>IFERROR(__xludf.DUMMYFUNCTION("""COMPUTED_VALUE"""),45838.6458333333)</f>
        <v/>
      </c>
      <c r="V1837" s="6">
        <f>IFERROR(__xludf.DUMMYFUNCTION("""COMPUTED_VALUE"""),3071.7)</f>
        <v/>
      </c>
      <c r="Z1837" s="6">
        <f>AA1837&amp;AB1837</f>
        <v/>
      </c>
      <c r="AA1837" s="6">
        <f>YEAR(AC1837)</f>
        <v/>
      </c>
      <c r="AB1837" s="6">
        <f>MONTH(AC1837)</f>
        <v/>
      </c>
      <c r="AC1837" s="267">
        <f>IFERROR(__xludf.DUMMYFUNCTION("""COMPUTED_VALUE"""),44986.9986111111)</f>
        <v/>
      </c>
      <c r="AD1837" s="6">
        <f>IFERROR(__xludf.DUMMYFUNCTION("""COMPUTED_VALUE"""),1305.73)</f>
        <v/>
      </c>
      <c r="AH1837" s="6">
        <f>AI1837&amp;AJ1837</f>
        <v/>
      </c>
      <c r="AI1837" s="6">
        <f>YEAR(AK1837)</f>
        <v/>
      </c>
      <c r="AJ1837" s="6">
        <f>MONTH(AK1837)</f>
        <v/>
      </c>
      <c r="AK1837" s="267">
        <f>IFERROR(__xludf.DUMMYFUNCTION("""COMPUTED_VALUE"""),44930.9986111111)</f>
        <v/>
      </c>
      <c r="AL1837" s="6">
        <f>IFERROR(__xludf.DUMMYFUNCTION("""COMPUTED_VALUE"""),16847.59)</f>
        <v/>
      </c>
      <c r="AP1837" s="6">
        <f>AQ1837&amp;AR1837</f>
        <v/>
      </c>
      <c r="AQ1837" s="6">
        <f>YEAR(AS1837)</f>
        <v/>
      </c>
      <c r="AR1837" s="6">
        <f>MONTH(AS1837)</f>
        <v/>
      </c>
      <c r="AS1837" s="267">
        <f>IFERROR(__xludf.DUMMYFUNCTION("""COMPUTED_VALUE"""),45776.9986111111)</f>
        <v/>
      </c>
      <c r="AT1837" s="6">
        <f>IFERROR(__xludf.DUMMYFUNCTION("""COMPUTED_VALUE"""),3333.6)</f>
        <v/>
      </c>
    </row>
    <row r="1838">
      <c r="B1838" s="6">
        <f>C1838&amp;D1838</f>
        <v/>
      </c>
      <c r="C1838" s="6">
        <f>YEAR(E1838)</f>
        <v/>
      </c>
      <c r="D1838" s="6">
        <f>MONTH(E1838)</f>
        <v/>
      </c>
      <c r="E1838" s="267">
        <f>IFERROR(__xludf.DUMMYFUNCTION("""COMPUTED_VALUE"""),45770.6666666666)</f>
        <v/>
      </c>
      <c r="F1838" s="6">
        <f>IFERROR(__xludf.DUMMYFUNCTION("""COMPUTED_VALUE"""),5375.86)</f>
        <v/>
      </c>
      <c r="J1838" s="6">
        <f>K1838&amp;L1838</f>
        <v/>
      </c>
      <c r="K1838" s="6">
        <f>YEAR(M1838)</f>
        <v/>
      </c>
      <c r="L1838" s="6">
        <f>MONTH(M1838)</f>
        <v/>
      </c>
      <c r="M1838" s="267">
        <f>IFERROR(__xludf.DUMMYFUNCTION("""COMPUTED_VALUE"""),45762.6666666666)</f>
        <v/>
      </c>
      <c r="N1838" s="6">
        <f>IFERROR(__xludf.DUMMYFUNCTION("""COMPUTED_VALUE"""),16823.17)</f>
        <v/>
      </c>
      <c r="R1838" s="6">
        <f>S1838&amp;T1838</f>
        <v/>
      </c>
      <c r="S1838" s="6">
        <f>YEAR(U1838)</f>
        <v/>
      </c>
      <c r="T1838" s="6">
        <f>MONTH(U1838)</f>
        <v/>
      </c>
      <c r="U1838" s="267">
        <f>IFERROR(__xludf.DUMMYFUNCTION("""COMPUTED_VALUE"""),45839.6458333333)</f>
        <v/>
      </c>
      <c r="V1838" s="6">
        <f>IFERROR(__xludf.DUMMYFUNCTION("""COMPUTED_VALUE"""),3089.65)</f>
        <v/>
      </c>
      <c r="Z1838" s="6">
        <f>AA1838&amp;AB1838</f>
        <v/>
      </c>
      <c r="AA1838" s="6">
        <f>YEAR(AC1838)</f>
        <v/>
      </c>
      <c r="AB1838" s="6">
        <f>MONTH(AC1838)</f>
        <v/>
      </c>
      <c r="AC1838" s="267">
        <f>IFERROR(__xludf.DUMMYFUNCTION("""COMPUTED_VALUE"""),44987.9986111111)</f>
        <v/>
      </c>
      <c r="AD1838" s="6">
        <f>IFERROR(__xludf.DUMMYFUNCTION("""COMPUTED_VALUE"""),1311.06)</f>
        <v/>
      </c>
      <c r="AH1838" s="6">
        <f>AI1838&amp;AJ1838</f>
        <v/>
      </c>
      <c r="AI1838" s="6">
        <f>YEAR(AK1838)</f>
        <v/>
      </c>
      <c r="AJ1838" s="6">
        <f>MONTH(AK1838)</f>
        <v/>
      </c>
      <c r="AK1838" s="267">
        <f>IFERROR(__xludf.DUMMYFUNCTION("""COMPUTED_VALUE"""),44931.9986111111)</f>
        <v/>
      </c>
      <c r="AL1838" s="6">
        <f>IFERROR(__xludf.DUMMYFUNCTION("""COMPUTED_VALUE"""),16825.97)</f>
        <v/>
      </c>
      <c r="AP1838" s="6">
        <f>AQ1838&amp;AR1838</f>
        <v/>
      </c>
      <c r="AQ1838" s="6">
        <f>YEAR(AS1838)</f>
        <v/>
      </c>
      <c r="AR1838" s="6">
        <f>MONTH(AS1838)</f>
        <v/>
      </c>
      <c r="AS1838" s="267">
        <f>IFERROR(__xludf.DUMMYFUNCTION("""COMPUTED_VALUE"""),45777.9986111111)</f>
        <v/>
      </c>
      <c r="AT1838" s="6">
        <f>IFERROR(__xludf.DUMMYFUNCTION("""COMPUTED_VALUE"""),3319.1)</f>
        <v/>
      </c>
    </row>
    <row r="1839">
      <c r="B1839" s="6">
        <f>C1839&amp;D1839</f>
        <v/>
      </c>
      <c r="C1839" s="6">
        <f>YEAR(E1839)</f>
        <v/>
      </c>
      <c r="D1839" s="6">
        <f>MONTH(E1839)</f>
        <v/>
      </c>
      <c r="E1839" s="267">
        <f>IFERROR(__xludf.DUMMYFUNCTION("""COMPUTED_VALUE"""),45771.6666666666)</f>
        <v/>
      </c>
      <c r="F1839" s="6">
        <f>IFERROR(__xludf.DUMMYFUNCTION("""COMPUTED_VALUE"""),5484.77)</f>
        <v/>
      </c>
      <c r="J1839" s="6">
        <f>K1839&amp;L1839</f>
        <v/>
      </c>
      <c r="K1839" s="6">
        <f>YEAR(M1839)</f>
        <v/>
      </c>
      <c r="L1839" s="6">
        <f>MONTH(M1839)</f>
        <v/>
      </c>
      <c r="M1839" s="267">
        <f>IFERROR(__xludf.DUMMYFUNCTION("""COMPUTED_VALUE"""),45763.6666666666)</f>
        <v/>
      </c>
      <c r="N1839" s="6">
        <f>IFERROR(__xludf.DUMMYFUNCTION("""COMPUTED_VALUE"""),16307.16)</f>
        <v/>
      </c>
      <c r="R1839" s="6">
        <f>S1839&amp;T1839</f>
        <v/>
      </c>
      <c r="S1839" s="6">
        <f>YEAR(U1839)</f>
        <v/>
      </c>
      <c r="T1839" s="6">
        <f>MONTH(U1839)</f>
        <v/>
      </c>
      <c r="U1839" s="267">
        <f>IFERROR(__xludf.DUMMYFUNCTION("""COMPUTED_VALUE"""),45840.6458333333)</f>
        <v/>
      </c>
      <c r="V1839" s="6">
        <f>IFERROR(__xludf.DUMMYFUNCTION("""COMPUTED_VALUE"""),3075.06)</f>
        <v/>
      </c>
      <c r="Z1839" s="6">
        <f>AA1839&amp;AB1839</f>
        <v/>
      </c>
      <c r="AA1839" s="6">
        <f>YEAR(AC1839)</f>
        <v/>
      </c>
      <c r="AB1839" s="6">
        <f>MONTH(AC1839)</f>
        <v/>
      </c>
      <c r="AC1839" s="267">
        <f>IFERROR(__xludf.DUMMYFUNCTION("""COMPUTED_VALUE"""),44988.9986111111)</f>
        <v/>
      </c>
      <c r="AD1839" s="6">
        <f>IFERROR(__xludf.DUMMYFUNCTION("""COMPUTED_VALUE"""),1294.78)</f>
        <v/>
      </c>
      <c r="AH1839" s="6">
        <f>AI1839&amp;AJ1839</f>
        <v/>
      </c>
      <c r="AI1839" s="6">
        <f>YEAR(AK1839)</f>
        <v/>
      </c>
      <c r="AJ1839" s="6">
        <f>MONTH(AK1839)</f>
        <v/>
      </c>
      <c r="AK1839" s="267">
        <f>IFERROR(__xludf.DUMMYFUNCTION("""COMPUTED_VALUE"""),44932.9986111111)</f>
        <v/>
      </c>
      <c r="AL1839" s="6">
        <f>IFERROR(__xludf.DUMMYFUNCTION("""COMPUTED_VALUE"""),16949.97)</f>
        <v/>
      </c>
      <c r="AP1839" s="6">
        <f>AQ1839&amp;AR1839</f>
        <v/>
      </c>
      <c r="AQ1839" s="6">
        <f>YEAR(AS1839)</f>
        <v/>
      </c>
      <c r="AR1839" s="6">
        <f>MONTH(AS1839)</f>
        <v/>
      </c>
      <c r="AS1839" s="267">
        <f>IFERROR(__xludf.DUMMYFUNCTION("""COMPUTED_VALUE"""),45778.9986111111)</f>
        <v/>
      </c>
      <c r="AT1839" s="6">
        <f>IFERROR(__xludf.DUMMYFUNCTION("""COMPUTED_VALUE"""),3222.2)</f>
        <v/>
      </c>
    </row>
    <row r="1840">
      <c r="B1840" s="6">
        <f>C1840&amp;D1840</f>
        <v/>
      </c>
      <c r="C1840" s="6">
        <f>YEAR(E1840)</f>
        <v/>
      </c>
      <c r="D1840" s="6">
        <f>MONTH(E1840)</f>
        <v/>
      </c>
      <c r="E1840" s="267">
        <f>IFERROR(__xludf.DUMMYFUNCTION("""COMPUTED_VALUE"""),45772.6666666666)</f>
        <v/>
      </c>
      <c r="F1840" s="6">
        <f>IFERROR(__xludf.DUMMYFUNCTION("""COMPUTED_VALUE"""),5525.21)</f>
        <v/>
      </c>
      <c r="J1840" s="6">
        <f>K1840&amp;L1840</f>
        <v/>
      </c>
      <c r="K1840" s="6">
        <f>YEAR(M1840)</f>
        <v/>
      </c>
      <c r="L1840" s="6">
        <f>MONTH(M1840)</f>
        <v/>
      </c>
      <c r="M1840" s="267">
        <f>IFERROR(__xludf.DUMMYFUNCTION("""COMPUTED_VALUE"""),45764.6666666666)</f>
        <v/>
      </c>
      <c r="N1840" s="6">
        <f>IFERROR(__xludf.DUMMYFUNCTION("""COMPUTED_VALUE"""),16286.45)</f>
        <v/>
      </c>
      <c r="R1840" s="6">
        <f>S1840&amp;T1840</f>
        <v/>
      </c>
      <c r="S1840" s="6">
        <f>YEAR(U1840)</f>
        <v/>
      </c>
      <c r="T1840" s="6">
        <f>MONTH(U1840)</f>
        <v/>
      </c>
      <c r="U1840" s="267">
        <f>IFERROR(__xludf.DUMMYFUNCTION("""COMPUTED_VALUE"""),45841.6458333333)</f>
        <v/>
      </c>
      <c r="V1840" s="6">
        <f>IFERROR(__xludf.DUMMYFUNCTION("""COMPUTED_VALUE"""),3116.27)</f>
        <v/>
      </c>
      <c r="Z1840" s="6">
        <f>AA1840&amp;AB1840</f>
        <v/>
      </c>
      <c r="AA1840" s="6">
        <f>YEAR(AC1840)</f>
        <v/>
      </c>
      <c r="AB1840" s="6">
        <f>MONTH(AC1840)</f>
        <v/>
      </c>
      <c r="AC1840" s="267">
        <f>IFERROR(__xludf.DUMMYFUNCTION("""COMPUTED_VALUE"""),44989.9986111111)</f>
        <v/>
      </c>
      <c r="AD1840" s="6">
        <f>IFERROR(__xludf.DUMMYFUNCTION("""COMPUTED_VALUE"""),1294.78)</f>
        <v/>
      </c>
      <c r="AH1840" s="6">
        <f>AI1840&amp;AJ1840</f>
        <v/>
      </c>
      <c r="AI1840" s="6">
        <f>YEAR(AK1840)</f>
        <v/>
      </c>
      <c r="AJ1840" s="6">
        <f>MONTH(AK1840)</f>
        <v/>
      </c>
      <c r="AK1840" s="267">
        <f>IFERROR(__xludf.DUMMYFUNCTION("""COMPUTED_VALUE"""),44933.9986111111)</f>
        <v/>
      </c>
      <c r="AL1840" s="6">
        <f>IFERROR(__xludf.DUMMYFUNCTION("""COMPUTED_VALUE"""),16942.31)</f>
        <v/>
      </c>
      <c r="AP1840" s="6">
        <f>AQ1840&amp;AR1840</f>
        <v/>
      </c>
      <c r="AQ1840" s="6">
        <f>YEAR(AS1840)</f>
        <v/>
      </c>
      <c r="AR1840" s="6">
        <f>MONTH(AS1840)</f>
        <v/>
      </c>
      <c r="AS1840" s="267">
        <f>IFERROR(__xludf.DUMMYFUNCTION("""COMPUTED_VALUE"""),45779.9986111111)</f>
        <v/>
      </c>
      <c r="AT1840" s="6">
        <f>IFERROR(__xludf.DUMMYFUNCTION("""COMPUTED_VALUE"""),3243.3)</f>
        <v/>
      </c>
    </row>
    <row r="1841">
      <c r="B1841" s="6">
        <f>C1841&amp;D1841</f>
        <v/>
      </c>
      <c r="C1841" s="6">
        <f>YEAR(E1841)</f>
        <v/>
      </c>
      <c r="D1841" s="6">
        <f>MONTH(E1841)</f>
        <v/>
      </c>
      <c r="E1841" s="267">
        <f>IFERROR(__xludf.DUMMYFUNCTION("""COMPUTED_VALUE"""),45775.6666666666)</f>
        <v/>
      </c>
      <c r="F1841" s="6">
        <f>IFERROR(__xludf.DUMMYFUNCTION("""COMPUTED_VALUE"""),5528.75)</f>
        <v/>
      </c>
      <c r="J1841" s="6">
        <f>K1841&amp;L1841</f>
        <v/>
      </c>
      <c r="K1841" s="6">
        <f>YEAR(M1841)</f>
        <v/>
      </c>
      <c r="L1841" s="6">
        <f>MONTH(M1841)</f>
        <v/>
      </c>
      <c r="M1841" s="267">
        <f>IFERROR(__xludf.DUMMYFUNCTION("""COMPUTED_VALUE"""),45768.6666666666)</f>
        <v/>
      </c>
      <c r="N1841" s="6">
        <f>IFERROR(__xludf.DUMMYFUNCTION("""COMPUTED_VALUE"""),15870.9)</f>
        <v/>
      </c>
      <c r="R1841" s="6">
        <f>S1841&amp;T1841</f>
        <v/>
      </c>
      <c r="S1841" s="6">
        <f>YEAR(U1841)</f>
        <v/>
      </c>
      <c r="T1841" s="6">
        <f>MONTH(U1841)</f>
        <v/>
      </c>
      <c r="U1841" s="267">
        <f>IFERROR(__xludf.DUMMYFUNCTION("""COMPUTED_VALUE"""),45842.6458333333)</f>
        <v/>
      </c>
      <c r="V1841" s="6">
        <f>IFERROR(__xludf.DUMMYFUNCTION("""COMPUTED_VALUE"""),3054.28)</f>
        <v/>
      </c>
      <c r="Z1841" s="6">
        <f>AA1841&amp;AB1841</f>
        <v/>
      </c>
      <c r="AA1841" s="6">
        <f>YEAR(AC1841)</f>
        <v/>
      </c>
      <c r="AB1841" s="6">
        <f>MONTH(AC1841)</f>
        <v/>
      </c>
      <c r="AC1841" s="267">
        <f>IFERROR(__xludf.DUMMYFUNCTION("""COMPUTED_VALUE"""),44990.9986111111)</f>
        <v/>
      </c>
      <c r="AD1841" s="6">
        <f>IFERROR(__xludf.DUMMYFUNCTION("""COMPUTED_VALUE"""),1294.78)</f>
        <v/>
      </c>
      <c r="AH1841" s="6">
        <f>AI1841&amp;AJ1841</f>
        <v/>
      </c>
      <c r="AI1841" s="6">
        <f>YEAR(AK1841)</f>
        <v/>
      </c>
      <c r="AJ1841" s="6">
        <f>MONTH(AK1841)</f>
        <v/>
      </c>
      <c r="AK1841" s="267">
        <f>IFERROR(__xludf.DUMMYFUNCTION("""COMPUTED_VALUE"""),44934.9986111111)</f>
        <v/>
      </c>
      <c r="AL1841" s="6">
        <f>IFERROR(__xludf.DUMMYFUNCTION("""COMPUTED_VALUE"""),17115.5)</f>
        <v/>
      </c>
      <c r="AP1841" s="6">
        <f>AQ1841&amp;AR1841</f>
        <v/>
      </c>
      <c r="AQ1841" s="6">
        <f>YEAR(AS1841)</f>
        <v/>
      </c>
      <c r="AR1841" s="6">
        <f>MONTH(AS1841)</f>
        <v/>
      </c>
      <c r="AS1841" s="267">
        <f>IFERROR(__xludf.DUMMYFUNCTION("""COMPUTED_VALUE"""),45782.9986111111)</f>
        <v/>
      </c>
      <c r="AT1841" s="6">
        <f>IFERROR(__xludf.DUMMYFUNCTION("""COMPUTED_VALUE"""),3322.3)</f>
        <v/>
      </c>
    </row>
    <row r="1842">
      <c r="B1842" s="6">
        <f>C1842&amp;D1842</f>
        <v/>
      </c>
      <c r="C1842" s="6">
        <f>YEAR(E1842)</f>
        <v/>
      </c>
      <c r="D1842" s="6">
        <f>MONTH(E1842)</f>
        <v/>
      </c>
      <c r="E1842" s="267">
        <f>IFERROR(__xludf.DUMMYFUNCTION("""COMPUTED_VALUE"""),45776.6666666666)</f>
        <v/>
      </c>
      <c r="F1842" s="6">
        <f>IFERROR(__xludf.DUMMYFUNCTION("""COMPUTED_VALUE"""),5560.83)</f>
        <v/>
      </c>
      <c r="J1842" s="6">
        <f>K1842&amp;L1842</f>
        <v/>
      </c>
      <c r="K1842" s="6">
        <f>YEAR(M1842)</f>
        <v/>
      </c>
      <c r="L1842" s="6">
        <f>MONTH(M1842)</f>
        <v/>
      </c>
      <c r="M1842" s="267">
        <f>IFERROR(__xludf.DUMMYFUNCTION("""COMPUTED_VALUE"""),45769.6666666666)</f>
        <v/>
      </c>
      <c r="N1842" s="6">
        <f>IFERROR(__xludf.DUMMYFUNCTION("""COMPUTED_VALUE"""),16300.42)</f>
        <v/>
      </c>
      <c r="R1842" s="6">
        <f>S1842&amp;T1842</f>
        <v/>
      </c>
      <c r="S1842" s="6">
        <f>YEAR(U1842)</f>
        <v/>
      </c>
      <c r="T1842" s="6">
        <f>MONTH(U1842)</f>
        <v/>
      </c>
      <c r="U1842" s="267">
        <f>IFERROR(__xludf.DUMMYFUNCTION("""COMPUTED_VALUE"""),45845.6458333333)</f>
        <v/>
      </c>
      <c r="V1842" s="6">
        <f>IFERROR(__xludf.DUMMYFUNCTION("""COMPUTED_VALUE"""),3059.47)</f>
        <v/>
      </c>
      <c r="Z1842" s="6">
        <f>AA1842&amp;AB1842</f>
        <v/>
      </c>
      <c r="AA1842" s="6">
        <f>YEAR(AC1842)</f>
        <v/>
      </c>
      <c r="AB1842" s="6">
        <f>MONTH(AC1842)</f>
        <v/>
      </c>
      <c r="AC1842" s="267">
        <f>IFERROR(__xludf.DUMMYFUNCTION("""COMPUTED_VALUE"""),44991.9986111111)</f>
        <v/>
      </c>
      <c r="AD1842" s="6">
        <f>IFERROR(__xludf.DUMMYFUNCTION("""COMPUTED_VALUE"""),1299)</f>
        <v/>
      </c>
      <c r="AH1842" s="6">
        <f>AI1842&amp;AJ1842</f>
        <v/>
      </c>
      <c r="AI1842" s="6">
        <f>YEAR(AK1842)</f>
        <v/>
      </c>
      <c r="AJ1842" s="6">
        <f>MONTH(AK1842)</f>
        <v/>
      </c>
      <c r="AK1842" s="267">
        <f>IFERROR(__xludf.DUMMYFUNCTION("""COMPUTED_VALUE"""),44935.9986111111)</f>
        <v/>
      </c>
      <c r="AL1842" s="6">
        <f>IFERROR(__xludf.DUMMYFUNCTION("""COMPUTED_VALUE"""),17184.72)</f>
        <v/>
      </c>
      <c r="AP1842" s="6">
        <f>AQ1842&amp;AR1842</f>
        <v/>
      </c>
      <c r="AQ1842" s="6">
        <f>YEAR(AS1842)</f>
        <v/>
      </c>
      <c r="AR1842" s="6">
        <f>MONTH(AS1842)</f>
        <v/>
      </c>
      <c r="AS1842" s="267">
        <f>IFERROR(__xludf.DUMMYFUNCTION("""COMPUTED_VALUE"""),45783.9986111111)</f>
        <v/>
      </c>
      <c r="AT1842" s="6">
        <f>IFERROR(__xludf.DUMMYFUNCTION("""COMPUTED_VALUE"""),3422.8)</f>
        <v/>
      </c>
    </row>
    <row r="1843">
      <c r="B1843" s="6">
        <f>C1843&amp;D1843</f>
        <v/>
      </c>
      <c r="C1843" s="6">
        <f>YEAR(E1843)</f>
        <v/>
      </c>
      <c r="D1843" s="6">
        <f>MONTH(E1843)</f>
        <v/>
      </c>
      <c r="E1843" s="267">
        <f>IFERROR(__xludf.DUMMYFUNCTION("""COMPUTED_VALUE"""),45777.6666666666)</f>
        <v/>
      </c>
      <c r="F1843" s="6">
        <f>IFERROR(__xludf.DUMMYFUNCTION("""COMPUTED_VALUE"""),5569.06)</f>
        <v/>
      </c>
      <c r="J1843" s="6">
        <f>K1843&amp;L1843</f>
        <v/>
      </c>
      <c r="K1843" s="6">
        <f>YEAR(M1843)</f>
        <v/>
      </c>
      <c r="L1843" s="6">
        <f>MONTH(M1843)</f>
        <v/>
      </c>
      <c r="M1843" s="267">
        <f>IFERROR(__xludf.DUMMYFUNCTION("""COMPUTED_VALUE"""),45770.6666666666)</f>
        <v/>
      </c>
      <c r="N1843" s="6">
        <f>IFERROR(__xludf.DUMMYFUNCTION("""COMPUTED_VALUE"""),16708.05)</f>
        <v/>
      </c>
      <c r="R1843" s="6">
        <f>S1843&amp;T1843</f>
        <v/>
      </c>
      <c r="S1843" s="6">
        <f>YEAR(U1843)</f>
        <v/>
      </c>
      <c r="T1843" s="6">
        <f>MONTH(U1843)</f>
        <v/>
      </c>
      <c r="U1843" s="267">
        <f>IFERROR(__xludf.DUMMYFUNCTION("""COMPUTED_VALUE"""),45846.6458333333)</f>
        <v/>
      </c>
      <c r="V1843" s="6">
        <f>IFERROR(__xludf.DUMMYFUNCTION("""COMPUTED_VALUE"""),3114.95)</f>
        <v/>
      </c>
      <c r="Z1843" s="6">
        <f>AA1843&amp;AB1843</f>
        <v/>
      </c>
      <c r="AA1843" s="6">
        <f>YEAR(AC1843)</f>
        <v/>
      </c>
      <c r="AB1843" s="6">
        <f>MONTH(AC1843)</f>
        <v/>
      </c>
      <c r="AC1843" s="267">
        <f>IFERROR(__xludf.DUMMYFUNCTION("""COMPUTED_VALUE"""),44992.9986111111)</f>
        <v/>
      </c>
      <c r="AD1843" s="6">
        <f>IFERROR(__xludf.DUMMYFUNCTION("""COMPUTED_VALUE"""),1317.9)</f>
        <v/>
      </c>
      <c r="AH1843" s="6">
        <f>AI1843&amp;AJ1843</f>
        <v/>
      </c>
      <c r="AI1843" s="6">
        <f>YEAR(AK1843)</f>
        <v/>
      </c>
      <c r="AJ1843" s="6">
        <f>MONTH(AK1843)</f>
        <v/>
      </c>
      <c r="AK1843" s="267">
        <f>IFERROR(__xludf.DUMMYFUNCTION("""COMPUTED_VALUE"""),44936.9986111111)</f>
        <v/>
      </c>
      <c r="AL1843" s="6">
        <f>IFERROR(__xludf.DUMMYFUNCTION("""COMPUTED_VALUE"""),17441.84)</f>
        <v/>
      </c>
      <c r="AP1843" s="6">
        <f>AQ1843&amp;AR1843</f>
        <v/>
      </c>
      <c r="AQ1843" s="6">
        <f>YEAR(AS1843)</f>
        <v/>
      </c>
      <c r="AR1843" s="6">
        <f>MONTH(AS1843)</f>
        <v/>
      </c>
      <c r="AS1843" s="267">
        <f>IFERROR(__xludf.DUMMYFUNCTION("""COMPUTED_VALUE"""),45784.9986111111)</f>
        <v/>
      </c>
      <c r="AT1843" s="6">
        <f>IFERROR(__xludf.DUMMYFUNCTION("""COMPUTED_VALUE"""),3391.9)</f>
        <v/>
      </c>
    </row>
    <row r="1844">
      <c r="B1844" s="6">
        <f>C1844&amp;D1844</f>
        <v/>
      </c>
      <c r="C1844" s="6">
        <f>YEAR(E1844)</f>
        <v/>
      </c>
      <c r="D1844" s="6">
        <f>MONTH(E1844)</f>
        <v/>
      </c>
      <c r="E1844" s="267">
        <f>IFERROR(__xludf.DUMMYFUNCTION("""COMPUTED_VALUE"""),45778.6666666666)</f>
        <v/>
      </c>
      <c r="F1844" s="6">
        <f>IFERROR(__xludf.DUMMYFUNCTION("""COMPUTED_VALUE"""),5604.14)</f>
        <v/>
      </c>
      <c r="J1844" s="6">
        <f>K1844&amp;L1844</f>
        <v/>
      </c>
      <c r="K1844" s="6">
        <f>YEAR(M1844)</f>
        <v/>
      </c>
      <c r="L1844" s="6">
        <f>MONTH(M1844)</f>
        <v/>
      </c>
      <c r="M1844" s="267">
        <f>IFERROR(__xludf.DUMMYFUNCTION("""COMPUTED_VALUE"""),45771.6666666666)</f>
        <v/>
      </c>
      <c r="N1844" s="6">
        <f>IFERROR(__xludf.DUMMYFUNCTION("""COMPUTED_VALUE"""),17166.04)</f>
        <v/>
      </c>
      <c r="R1844" s="6">
        <f>S1844&amp;T1844</f>
        <v/>
      </c>
      <c r="S1844" s="6">
        <f>YEAR(U1844)</f>
        <v/>
      </c>
      <c r="T1844" s="6">
        <f>MONTH(U1844)</f>
        <v/>
      </c>
      <c r="U1844" s="267">
        <f>IFERROR(__xludf.DUMMYFUNCTION("""COMPUTED_VALUE"""),45847.6458333333)</f>
        <v/>
      </c>
      <c r="V1844" s="6">
        <f>IFERROR(__xludf.DUMMYFUNCTION("""COMPUTED_VALUE"""),3133.74)</f>
        <v/>
      </c>
      <c r="Z1844" s="6">
        <f>AA1844&amp;AB1844</f>
        <v/>
      </c>
      <c r="AA1844" s="6">
        <f>YEAR(AC1844)</f>
        <v/>
      </c>
      <c r="AB1844" s="6">
        <f>MONTH(AC1844)</f>
        <v/>
      </c>
      <c r="AC1844" s="267">
        <f>IFERROR(__xludf.DUMMYFUNCTION("""COMPUTED_VALUE"""),44993.9986111111)</f>
        <v/>
      </c>
      <c r="AD1844" s="6">
        <f>IFERROR(__xludf.DUMMYFUNCTION("""COMPUTED_VALUE"""),1316.45)</f>
        <v/>
      </c>
      <c r="AH1844" s="6">
        <f>AI1844&amp;AJ1844</f>
        <v/>
      </c>
      <c r="AI1844" s="6">
        <f>YEAR(AK1844)</f>
        <v/>
      </c>
      <c r="AJ1844" s="6">
        <f>MONTH(AK1844)</f>
        <v/>
      </c>
      <c r="AK1844" s="267">
        <f>IFERROR(__xludf.DUMMYFUNCTION("""COMPUTED_VALUE"""),44937.9986111111)</f>
        <v/>
      </c>
      <c r="AL1844" s="6">
        <f>IFERROR(__xludf.DUMMYFUNCTION("""COMPUTED_VALUE"""),17933.75)</f>
        <v/>
      </c>
      <c r="AP1844" s="6">
        <f>AQ1844&amp;AR1844</f>
        <v/>
      </c>
      <c r="AQ1844" s="6">
        <f>YEAR(AS1844)</f>
        <v/>
      </c>
      <c r="AR1844" s="6">
        <f>MONTH(AS1844)</f>
        <v/>
      </c>
      <c r="AS1844" s="267">
        <f>IFERROR(__xludf.DUMMYFUNCTION("""COMPUTED_VALUE"""),45785.9986111111)</f>
        <v/>
      </c>
      <c r="AT1844" s="6">
        <f>IFERROR(__xludf.DUMMYFUNCTION("""COMPUTED_VALUE"""),3306)</f>
        <v/>
      </c>
    </row>
    <row r="1845">
      <c r="B1845" s="6">
        <f>C1845&amp;D1845</f>
        <v/>
      </c>
      <c r="C1845" s="6">
        <f>YEAR(E1845)</f>
        <v/>
      </c>
      <c r="D1845" s="6">
        <f>MONTH(E1845)</f>
        <v/>
      </c>
      <c r="E1845" s="267">
        <f>IFERROR(__xludf.DUMMYFUNCTION("""COMPUTED_VALUE"""),45779.6666666666)</f>
        <v/>
      </c>
      <c r="F1845" s="6">
        <f>IFERROR(__xludf.DUMMYFUNCTION("""COMPUTED_VALUE"""),5686.67)</f>
        <v/>
      </c>
      <c r="J1845" s="6">
        <f>K1845&amp;L1845</f>
        <v/>
      </c>
      <c r="K1845" s="6">
        <f>YEAR(M1845)</f>
        <v/>
      </c>
      <c r="L1845" s="6">
        <f>MONTH(M1845)</f>
        <v/>
      </c>
      <c r="M1845" s="267">
        <f>IFERROR(__xludf.DUMMYFUNCTION("""COMPUTED_VALUE"""),45772.6666666666)</f>
        <v/>
      </c>
      <c r="N1845" s="6">
        <f>IFERROR(__xludf.DUMMYFUNCTION("""COMPUTED_VALUE"""),17382.94)</f>
        <v/>
      </c>
      <c r="R1845" s="6">
        <f>S1845&amp;T1845</f>
        <v/>
      </c>
      <c r="S1845" s="6">
        <f>YEAR(U1845)</f>
        <v/>
      </c>
      <c r="T1845" s="6">
        <f>MONTH(U1845)</f>
        <v/>
      </c>
      <c r="U1845" s="267">
        <f>IFERROR(__xludf.DUMMYFUNCTION("""COMPUTED_VALUE"""),45848.6458333333)</f>
        <v/>
      </c>
      <c r="V1845" s="6">
        <f>IFERROR(__xludf.DUMMYFUNCTION("""COMPUTED_VALUE"""),3183.23)</f>
        <v/>
      </c>
      <c r="Z1845" s="6">
        <f>AA1845&amp;AB1845</f>
        <v/>
      </c>
      <c r="AA1845" s="6">
        <f>YEAR(AC1845)</f>
        <v/>
      </c>
      <c r="AB1845" s="6">
        <f>MONTH(AC1845)</f>
        <v/>
      </c>
      <c r="AC1845" s="267">
        <f>IFERROR(__xludf.DUMMYFUNCTION("""COMPUTED_VALUE"""),44994.9986111111)</f>
        <v/>
      </c>
      <c r="AD1845" s="6">
        <f>IFERROR(__xludf.DUMMYFUNCTION("""COMPUTED_VALUE"""),1325.55)</f>
        <v/>
      </c>
      <c r="AH1845" s="6">
        <f>AI1845&amp;AJ1845</f>
        <v/>
      </c>
      <c r="AI1845" s="6">
        <f>YEAR(AK1845)</f>
        <v/>
      </c>
      <c r="AJ1845" s="6">
        <f>MONTH(AK1845)</f>
        <v/>
      </c>
      <c r="AK1845" s="267">
        <f>IFERROR(__xludf.DUMMYFUNCTION("""COMPUTED_VALUE"""),44938.9986111111)</f>
        <v/>
      </c>
      <c r="AL1845" s="6">
        <f>IFERROR(__xludf.DUMMYFUNCTION("""COMPUTED_VALUE"""),18849.24)</f>
        <v/>
      </c>
      <c r="AP1845" s="6">
        <f>AQ1845&amp;AR1845</f>
        <v/>
      </c>
      <c r="AQ1845" s="6">
        <f>YEAR(AS1845)</f>
        <v/>
      </c>
      <c r="AR1845" s="6">
        <f>MONTH(AS1845)</f>
        <v/>
      </c>
      <c r="AS1845" s="267">
        <f>IFERROR(__xludf.DUMMYFUNCTION("""COMPUTED_VALUE"""),45786.9986111111)</f>
        <v/>
      </c>
      <c r="AT1845" s="6">
        <f>IFERROR(__xludf.DUMMYFUNCTION("""COMPUTED_VALUE"""),3344)</f>
        <v/>
      </c>
    </row>
    <row r="1846">
      <c r="B1846" s="6">
        <f>C1846&amp;D1846</f>
        <v/>
      </c>
      <c r="C1846" s="6">
        <f>YEAR(E1846)</f>
        <v/>
      </c>
      <c r="D1846" s="6">
        <f>MONTH(E1846)</f>
        <v/>
      </c>
      <c r="E1846" s="267">
        <f>IFERROR(__xludf.DUMMYFUNCTION("""COMPUTED_VALUE"""),45782.6666666666)</f>
        <v/>
      </c>
      <c r="F1846" s="6">
        <f>IFERROR(__xludf.DUMMYFUNCTION("""COMPUTED_VALUE"""),5650.38)</f>
        <v/>
      </c>
      <c r="J1846" s="6">
        <f>K1846&amp;L1846</f>
        <v/>
      </c>
      <c r="K1846" s="6">
        <f>YEAR(M1846)</f>
        <v/>
      </c>
      <c r="L1846" s="6">
        <f>MONTH(M1846)</f>
        <v/>
      </c>
      <c r="M1846" s="267">
        <f>IFERROR(__xludf.DUMMYFUNCTION("""COMPUTED_VALUE"""),45775.6666666666)</f>
        <v/>
      </c>
      <c r="N1846" s="6">
        <f>IFERROR(__xludf.DUMMYFUNCTION("""COMPUTED_VALUE"""),17366.13)</f>
        <v/>
      </c>
      <c r="R1846" s="6">
        <f>S1846&amp;T1846</f>
        <v/>
      </c>
      <c r="S1846" s="6">
        <f>YEAR(U1846)</f>
        <v/>
      </c>
      <c r="T1846" s="6">
        <f>MONTH(U1846)</f>
        <v/>
      </c>
      <c r="U1846" s="267">
        <f>IFERROR(__xludf.DUMMYFUNCTION("""COMPUTED_VALUE"""),45849.6458333333)</f>
        <v/>
      </c>
      <c r="V1846" s="6">
        <f>IFERROR(__xludf.DUMMYFUNCTION("""COMPUTED_VALUE"""),3175.77)</f>
        <v/>
      </c>
      <c r="Z1846" s="6">
        <f>AA1846&amp;AB1846</f>
        <v/>
      </c>
      <c r="AA1846" s="6">
        <f>YEAR(AC1846)</f>
        <v/>
      </c>
      <c r="AB1846" s="6">
        <f>MONTH(AC1846)</f>
        <v/>
      </c>
      <c r="AC1846" s="267">
        <f>IFERROR(__xludf.DUMMYFUNCTION("""COMPUTED_VALUE"""),44995.9986111111)</f>
        <v/>
      </c>
      <c r="AD1846" s="6">
        <f>IFERROR(__xludf.DUMMYFUNCTION("""COMPUTED_VALUE"""),1320.19)</f>
        <v/>
      </c>
      <c r="AH1846" s="6">
        <f>AI1846&amp;AJ1846</f>
        <v/>
      </c>
      <c r="AI1846" s="6">
        <f>YEAR(AK1846)</f>
        <v/>
      </c>
      <c r="AJ1846" s="6">
        <f>MONTH(AK1846)</f>
        <v/>
      </c>
      <c r="AK1846" s="267">
        <f>IFERROR(__xludf.DUMMYFUNCTION("""COMPUTED_VALUE"""),44939.9986111111)</f>
        <v/>
      </c>
      <c r="AL1846" s="6">
        <f>IFERROR(__xludf.DUMMYFUNCTION("""COMPUTED_VALUE"""),19932.03)</f>
        <v/>
      </c>
      <c r="AP1846" s="6">
        <f>AQ1846&amp;AR1846</f>
        <v/>
      </c>
      <c r="AQ1846" s="6">
        <f>YEAR(AS1846)</f>
        <v/>
      </c>
      <c r="AR1846" s="6">
        <f>MONTH(AS1846)</f>
        <v/>
      </c>
      <c r="AS1846" s="267">
        <f>IFERROR(__xludf.DUMMYFUNCTION("""COMPUTED_VALUE"""),45789.9986111111)</f>
        <v/>
      </c>
      <c r="AT1846" s="6">
        <f>IFERROR(__xludf.DUMMYFUNCTION("""COMPUTED_VALUE"""),3228)</f>
        <v/>
      </c>
    </row>
    <row r="1847">
      <c r="B1847" s="6">
        <f>C1847&amp;D1847</f>
        <v/>
      </c>
      <c r="C1847" s="6">
        <f>YEAR(E1847)</f>
        <v/>
      </c>
      <c r="D1847" s="6">
        <f>MONTH(E1847)</f>
        <v/>
      </c>
      <c r="E1847" s="267">
        <f>IFERROR(__xludf.DUMMYFUNCTION("""COMPUTED_VALUE"""),45783.6666666666)</f>
        <v/>
      </c>
      <c r="F1847" s="6">
        <f>IFERROR(__xludf.DUMMYFUNCTION("""COMPUTED_VALUE"""),5606.91)</f>
        <v/>
      </c>
      <c r="J1847" s="6">
        <f>K1847&amp;L1847</f>
        <v/>
      </c>
      <c r="K1847" s="6">
        <f>YEAR(M1847)</f>
        <v/>
      </c>
      <c r="L1847" s="6">
        <f>MONTH(M1847)</f>
        <v/>
      </c>
      <c r="M1847" s="267">
        <f>IFERROR(__xludf.DUMMYFUNCTION("""COMPUTED_VALUE"""),45776.6666666666)</f>
        <v/>
      </c>
      <c r="N1847" s="6">
        <f>IFERROR(__xludf.DUMMYFUNCTION("""COMPUTED_VALUE"""),17461.32)</f>
        <v/>
      </c>
      <c r="R1847" s="6">
        <f>S1847&amp;T1847</f>
        <v/>
      </c>
      <c r="S1847" s="6">
        <f>YEAR(U1847)</f>
        <v/>
      </c>
      <c r="T1847" s="6">
        <f>MONTH(U1847)</f>
        <v/>
      </c>
      <c r="U1847" s="267">
        <f>IFERROR(__xludf.DUMMYFUNCTION("""COMPUTED_VALUE"""),45852.6458333333)</f>
        <v/>
      </c>
      <c r="V1847" s="6">
        <f>IFERROR(__xludf.DUMMYFUNCTION("""COMPUTED_VALUE"""),3202.03)</f>
        <v/>
      </c>
      <c r="Z1847" s="6">
        <f>AA1847&amp;AB1847</f>
        <v/>
      </c>
      <c r="AA1847" s="6">
        <f>YEAR(AC1847)</f>
        <v/>
      </c>
      <c r="AB1847" s="6">
        <f>MONTH(AC1847)</f>
        <v/>
      </c>
      <c r="AC1847" s="267">
        <f>IFERROR(__xludf.DUMMYFUNCTION("""COMPUTED_VALUE"""),44996.9986111111)</f>
        <v/>
      </c>
      <c r="AD1847" s="6">
        <f>IFERROR(__xludf.DUMMYFUNCTION("""COMPUTED_VALUE"""),1319.54)</f>
        <v/>
      </c>
      <c r="AH1847" s="6">
        <f>AI1847&amp;AJ1847</f>
        <v/>
      </c>
      <c r="AI1847" s="6">
        <f>YEAR(AK1847)</f>
        <v/>
      </c>
      <c r="AJ1847" s="6">
        <f>MONTH(AK1847)</f>
        <v/>
      </c>
      <c r="AK1847" s="267">
        <f>IFERROR(__xludf.DUMMYFUNCTION("""COMPUTED_VALUE"""),44940.9986111111)</f>
        <v/>
      </c>
      <c r="AL1847" s="6">
        <f>IFERROR(__xludf.DUMMYFUNCTION("""COMPUTED_VALUE"""),20959.2)</f>
        <v/>
      </c>
      <c r="AP1847" s="6">
        <f>AQ1847&amp;AR1847</f>
        <v/>
      </c>
      <c r="AQ1847" s="6">
        <f>YEAR(AS1847)</f>
        <v/>
      </c>
      <c r="AR1847" s="6">
        <f>MONTH(AS1847)</f>
        <v/>
      </c>
      <c r="AS1847" s="267">
        <f>IFERROR(__xludf.DUMMYFUNCTION("""COMPUTED_VALUE"""),45790.9986111111)</f>
        <v/>
      </c>
      <c r="AT1847" s="6">
        <f>IFERROR(__xludf.DUMMYFUNCTION("""COMPUTED_VALUE"""),3247.8)</f>
        <v/>
      </c>
    </row>
    <row r="1848">
      <c r="B1848" s="6">
        <f>C1848&amp;D1848</f>
        <v/>
      </c>
      <c r="C1848" s="6">
        <f>YEAR(E1848)</f>
        <v/>
      </c>
      <c r="D1848" s="6">
        <f>MONTH(E1848)</f>
        <v/>
      </c>
      <c r="E1848" s="267">
        <f>IFERROR(__xludf.DUMMYFUNCTION("""COMPUTED_VALUE"""),45784.6666666666)</f>
        <v/>
      </c>
      <c r="F1848" s="6">
        <f>IFERROR(__xludf.DUMMYFUNCTION("""COMPUTED_VALUE"""),5631.28)</f>
        <v/>
      </c>
      <c r="J1848" s="6">
        <f>K1848&amp;L1848</f>
        <v/>
      </c>
      <c r="K1848" s="6">
        <f>YEAR(M1848)</f>
        <v/>
      </c>
      <c r="L1848" s="6">
        <f>MONTH(M1848)</f>
        <v/>
      </c>
      <c r="M1848" s="267">
        <f>IFERROR(__xludf.DUMMYFUNCTION("""COMPUTED_VALUE"""),45777.6666666666)</f>
        <v/>
      </c>
      <c r="N1848" s="6">
        <f>IFERROR(__xludf.DUMMYFUNCTION("""COMPUTED_VALUE"""),17446.34)</f>
        <v/>
      </c>
      <c r="R1848" s="6">
        <f>S1848&amp;T1848</f>
        <v/>
      </c>
      <c r="S1848" s="6">
        <f>YEAR(U1848)</f>
        <v/>
      </c>
      <c r="T1848" s="6">
        <f>MONTH(U1848)</f>
        <v/>
      </c>
      <c r="U1848" s="267">
        <f>IFERROR(__xludf.DUMMYFUNCTION("""COMPUTED_VALUE"""),45853.6458333333)</f>
        <v/>
      </c>
      <c r="V1848" s="6">
        <f>IFERROR(__xludf.DUMMYFUNCTION("""COMPUTED_VALUE"""),3215.28)</f>
        <v/>
      </c>
      <c r="Z1848" s="6">
        <f>AA1848&amp;AB1848</f>
        <v/>
      </c>
      <c r="AA1848" s="6">
        <f>YEAR(AC1848)</f>
        <v/>
      </c>
      <c r="AB1848" s="6">
        <f>MONTH(AC1848)</f>
        <v/>
      </c>
      <c r="AC1848" s="267">
        <f>IFERROR(__xludf.DUMMYFUNCTION("""COMPUTED_VALUE"""),44997.9986111111)</f>
        <v/>
      </c>
      <c r="AD1848" s="6">
        <f>IFERROR(__xludf.DUMMYFUNCTION("""COMPUTED_VALUE"""),1319.54)</f>
        <v/>
      </c>
      <c r="AH1848" s="6">
        <f>AI1848&amp;AJ1848</f>
        <v/>
      </c>
      <c r="AI1848" s="6">
        <f>YEAR(AK1848)</f>
        <v/>
      </c>
      <c r="AJ1848" s="6">
        <f>MONTH(AK1848)</f>
        <v/>
      </c>
      <c r="AK1848" s="267">
        <f>IFERROR(__xludf.DUMMYFUNCTION("""COMPUTED_VALUE"""),44941.9986111111)</f>
        <v/>
      </c>
      <c r="AL1848" s="6">
        <f>IFERROR(__xludf.DUMMYFUNCTION("""COMPUTED_VALUE"""),20874.57)</f>
        <v/>
      </c>
      <c r="AP1848" s="6">
        <f>AQ1848&amp;AR1848</f>
        <v/>
      </c>
      <c r="AQ1848" s="6">
        <f>YEAR(AS1848)</f>
        <v/>
      </c>
      <c r="AR1848" s="6">
        <f>MONTH(AS1848)</f>
        <v/>
      </c>
      <c r="AS1848" s="267">
        <f>IFERROR(__xludf.DUMMYFUNCTION("""COMPUTED_VALUE"""),45791.9986111111)</f>
        <v/>
      </c>
      <c r="AT1848" s="6">
        <f>IFERROR(__xludf.DUMMYFUNCTION("""COMPUTED_VALUE"""),3188.3)</f>
        <v/>
      </c>
    </row>
    <row r="1849">
      <c r="B1849" s="6">
        <f>C1849&amp;D1849</f>
        <v/>
      </c>
      <c r="C1849" s="6">
        <f>YEAR(E1849)</f>
        <v/>
      </c>
      <c r="D1849" s="6">
        <f>MONTH(E1849)</f>
        <v/>
      </c>
      <c r="E1849" s="267">
        <f>IFERROR(__xludf.DUMMYFUNCTION("""COMPUTED_VALUE"""),45785.6666666666)</f>
        <v/>
      </c>
      <c r="F1849" s="6">
        <f>IFERROR(__xludf.DUMMYFUNCTION("""COMPUTED_VALUE"""),5663.94)</f>
        <v/>
      </c>
      <c r="J1849" s="6">
        <f>K1849&amp;L1849</f>
        <v/>
      </c>
      <c r="K1849" s="6">
        <f>YEAR(M1849)</f>
        <v/>
      </c>
      <c r="L1849" s="6">
        <f>MONTH(M1849)</f>
        <v/>
      </c>
      <c r="M1849" s="267">
        <f>IFERROR(__xludf.DUMMYFUNCTION("""COMPUTED_VALUE"""),45778.6666666666)</f>
        <v/>
      </c>
      <c r="N1849" s="6">
        <f>IFERROR(__xludf.DUMMYFUNCTION("""COMPUTED_VALUE"""),17710.74)</f>
        <v/>
      </c>
      <c r="R1849" s="6">
        <f>S1849&amp;T1849</f>
        <v/>
      </c>
      <c r="S1849" s="6">
        <f>YEAR(U1849)</f>
        <v/>
      </c>
      <c r="T1849" s="6">
        <f>MONTH(U1849)</f>
        <v/>
      </c>
      <c r="U1849" s="267">
        <f>IFERROR(__xludf.DUMMYFUNCTION("""COMPUTED_VALUE"""),45854.6458333333)</f>
        <v/>
      </c>
      <c r="V1849" s="6">
        <f>IFERROR(__xludf.DUMMYFUNCTION("""COMPUTED_VALUE"""),3186.38)</f>
        <v/>
      </c>
      <c r="Z1849" s="6">
        <f>AA1849&amp;AB1849</f>
        <v/>
      </c>
      <c r="AA1849" s="6">
        <f>YEAR(AC1849)</f>
        <v/>
      </c>
      <c r="AB1849" s="6">
        <f>MONTH(AC1849)</f>
        <v/>
      </c>
      <c r="AC1849" s="267">
        <f>IFERROR(__xludf.DUMMYFUNCTION("""COMPUTED_VALUE"""),44998.9986111111)</f>
        <v/>
      </c>
      <c r="AD1849" s="6">
        <f>IFERROR(__xludf.DUMMYFUNCTION("""COMPUTED_VALUE"""),1296.38)</f>
        <v/>
      </c>
      <c r="AH1849" s="6">
        <f>AI1849&amp;AJ1849</f>
        <v/>
      </c>
      <c r="AI1849" s="6">
        <f>YEAR(AK1849)</f>
        <v/>
      </c>
      <c r="AJ1849" s="6">
        <f>MONTH(AK1849)</f>
        <v/>
      </c>
      <c r="AK1849" s="267">
        <f>IFERROR(__xludf.DUMMYFUNCTION("""COMPUTED_VALUE"""),44942.9986111111)</f>
        <v/>
      </c>
      <c r="AL1849" s="6">
        <f>IFERROR(__xludf.DUMMYFUNCTION("""COMPUTED_VALUE"""),21185.93)</f>
        <v/>
      </c>
      <c r="AP1849" s="6">
        <f>AQ1849&amp;AR1849</f>
        <v/>
      </c>
      <c r="AQ1849" s="6">
        <f>YEAR(AS1849)</f>
        <v/>
      </c>
      <c r="AR1849" s="6">
        <f>MONTH(AS1849)</f>
        <v/>
      </c>
      <c r="AS1849" s="267">
        <f>IFERROR(__xludf.DUMMYFUNCTION("""COMPUTED_VALUE"""),45792.9986111111)</f>
        <v/>
      </c>
      <c r="AT1849" s="6">
        <f>IFERROR(__xludf.DUMMYFUNCTION("""COMPUTED_VALUE"""),3226.6)</f>
        <v/>
      </c>
    </row>
    <row r="1850">
      <c r="B1850" s="6">
        <f>C1850&amp;D1850</f>
        <v/>
      </c>
      <c r="C1850" s="6">
        <f>YEAR(E1850)</f>
        <v/>
      </c>
      <c r="D1850" s="6">
        <f>MONTH(E1850)</f>
        <v/>
      </c>
      <c r="E1850" s="267">
        <f>IFERROR(__xludf.DUMMYFUNCTION("""COMPUTED_VALUE"""),45786.6666666666)</f>
        <v/>
      </c>
      <c r="F1850" s="6">
        <f>IFERROR(__xludf.DUMMYFUNCTION("""COMPUTED_VALUE"""),5659.91)</f>
        <v/>
      </c>
      <c r="J1850" s="6">
        <f>K1850&amp;L1850</f>
        <v/>
      </c>
      <c r="K1850" s="6">
        <f>YEAR(M1850)</f>
        <v/>
      </c>
      <c r="L1850" s="6">
        <f>MONTH(M1850)</f>
        <v/>
      </c>
      <c r="M1850" s="267">
        <f>IFERROR(__xludf.DUMMYFUNCTION("""COMPUTED_VALUE"""),45779.6666666666)</f>
        <v/>
      </c>
      <c r="N1850" s="6">
        <f>IFERROR(__xludf.DUMMYFUNCTION("""COMPUTED_VALUE"""),17977.73)</f>
        <v/>
      </c>
      <c r="R1850" s="6">
        <f>S1850&amp;T1850</f>
        <v/>
      </c>
      <c r="S1850" s="6">
        <f>YEAR(U1850)</f>
        <v/>
      </c>
      <c r="T1850" s="6">
        <f>MONTH(U1850)</f>
        <v/>
      </c>
      <c r="U1850" s="267">
        <f>IFERROR(__xludf.DUMMYFUNCTION("""COMPUTED_VALUE"""),45855.6458333333)</f>
        <v/>
      </c>
      <c r="V1850" s="6">
        <f>IFERROR(__xludf.DUMMYFUNCTION("""COMPUTED_VALUE"""),3192.29)</f>
        <v/>
      </c>
      <c r="Z1850" s="6">
        <f>AA1850&amp;AB1850</f>
        <v/>
      </c>
      <c r="AA1850" s="6">
        <f>YEAR(AC1850)</f>
        <v/>
      </c>
      <c r="AB1850" s="6">
        <f>MONTH(AC1850)</f>
        <v/>
      </c>
      <c r="AC1850" s="267">
        <f>IFERROR(__xludf.DUMMYFUNCTION("""COMPUTED_VALUE"""),44999.9986111111)</f>
        <v/>
      </c>
      <c r="AD1850" s="6">
        <f>IFERROR(__xludf.DUMMYFUNCTION("""COMPUTED_VALUE"""),1304.58)</f>
        <v/>
      </c>
      <c r="AH1850" s="6">
        <f>AI1850&amp;AJ1850</f>
        <v/>
      </c>
      <c r="AI1850" s="6">
        <f>YEAR(AK1850)</f>
        <v/>
      </c>
      <c r="AJ1850" s="6">
        <f>MONTH(AK1850)</f>
        <v/>
      </c>
      <c r="AK1850" s="267">
        <f>IFERROR(__xludf.DUMMYFUNCTION("""COMPUTED_VALUE"""),44943.9986111111)</f>
        <v/>
      </c>
      <c r="AL1850" s="6">
        <f>IFERROR(__xludf.DUMMYFUNCTION("""COMPUTED_VALUE"""),21131.81)</f>
        <v/>
      </c>
      <c r="AP1850" s="6">
        <f>AQ1850&amp;AR1850</f>
        <v/>
      </c>
      <c r="AQ1850" s="6">
        <f>YEAR(AS1850)</f>
        <v/>
      </c>
      <c r="AR1850" s="6">
        <f>MONTH(AS1850)</f>
        <v/>
      </c>
      <c r="AS1850" s="267">
        <f>IFERROR(__xludf.DUMMYFUNCTION("""COMPUTED_VALUE"""),45793.9986111111)</f>
        <v/>
      </c>
      <c r="AT1850" s="6">
        <f>IFERROR(__xludf.DUMMYFUNCTION("""COMPUTED_VALUE"""),3187.2)</f>
        <v/>
      </c>
    </row>
    <row r="1851">
      <c r="B1851" s="6">
        <f>C1851&amp;D1851</f>
        <v/>
      </c>
      <c r="C1851" s="6">
        <f>YEAR(E1851)</f>
        <v/>
      </c>
      <c r="D1851" s="6">
        <f>MONTH(E1851)</f>
        <v/>
      </c>
      <c r="E1851" s="267">
        <f>IFERROR(__xludf.DUMMYFUNCTION("""COMPUTED_VALUE"""),45789.6666666666)</f>
        <v/>
      </c>
      <c r="F1851" s="6">
        <f>IFERROR(__xludf.DUMMYFUNCTION("""COMPUTED_VALUE"""),5844.19)</f>
        <v/>
      </c>
      <c r="J1851" s="6">
        <f>K1851&amp;L1851</f>
        <v/>
      </c>
      <c r="K1851" s="6">
        <f>YEAR(M1851)</f>
        <v/>
      </c>
      <c r="L1851" s="6">
        <f>MONTH(M1851)</f>
        <v/>
      </c>
      <c r="M1851" s="267">
        <f>IFERROR(__xludf.DUMMYFUNCTION("""COMPUTED_VALUE"""),45782.6666666666)</f>
        <v/>
      </c>
      <c r="N1851" s="6">
        <f>IFERROR(__xludf.DUMMYFUNCTION("""COMPUTED_VALUE"""),17844.24)</f>
        <v/>
      </c>
      <c r="R1851" s="6">
        <f>S1851&amp;T1851</f>
        <v/>
      </c>
      <c r="S1851" s="6">
        <f>YEAR(U1851)</f>
        <v/>
      </c>
      <c r="T1851" s="6">
        <f>MONTH(U1851)</f>
        <v/>
      </c>
      <c r="U1851" s="267">
        <f>IFERROR(__xludf.DUMMYFUNCTION("""COMPUTED_VALUE"""),45856.6458333333)</f>
        <v/>
      </c>
      <c r="V1851" s="6">
        <f>IFERROR(__xludf.DUMMYFUNCTION("""COMPUTED_VALUE"""),3188.07)</f>
        <v/>
      </c>
      <c r="Z1851" s="6">
        <f>AA1851&amp;AB1851</f>
        <v/>
      </c>
      <c r="AA1851" s="6">
        <f>YEAR(AC1851)</f>
        <v/>
      </c>
      <c r="AB1851" s="6">
        <f>MONTH(AC1851)</f>
        <v/>
      </c>
      <c r="AC1851" s="267">
        <f>IFERROR(__xludf.DUMMYFUNCTION("""COMPUTED_VALUE"""),45000.9986111111)</f>
        <v/>
      </c>
      <c r="AD1851" s="6">
        <f>IFERROR(__xludf.DUMMYFUNCTION("""COMPUTED_VALUE"""),1311.74)</f>
        <v/>
      </c>
      <c r="AH1851" s="6">
        <f>AI1851&amp;AJ1851</f>
        <v/>
      </c>
      <c r="AI1851" s="6">
        <f>YEAR(AK1851)</f>
        <v/>
      </c>
      <c r="AJ1851" s="6">
        <f>MONTH(AK1851)</f>
        <v/>
      </c>
      <c r="AK1851" s="267">
        <f>IFERROR(__xludf.DUMMYFUNCTION("""COMPUTED_VALUE"""),44944.9986111111)</f>
        <v/>
      </c>
      <c r="AL1851" s="6">
        <f>IFERROR(__xludf.DUMMYFUNCTION("""COMPUTED_VALUE"""),20676.36)</f>
        <v/>
      </c>
      <c r="AP1851" s="6">
        <f>AQ1851&amp;AR1851</f>
        <v/>
      </c>
      <c r="AQ1851" s="6">
        <f>YEAR(AS1851)</f>
        <v/>
      </c>
      <c r="AR1851" s="6">
        <f>MONTH(AS1851)</f>
        <v/>
      </c>
      <c r="AS1851" s="267">
        <f>IFERROR(__xludf.DUMMYFUNCTION("""COMPUTED_VALUE"""),45796.9986111111)</f>
        <v/>
      </c>
      <c r="AT1851" s="6">
        <f>IFERROR(__xludf.DUMMYFUNCTION("""COMPUTED_VALUE"""),3233.5)</f>
        <v/>
      </c>
    </row>
    <row r="1852">
      <c r="B1852" s="6">
        <f>C1852&amp;D1852</f>
        <v/>
      </c>
      <c r="C1852" s="6">
        <f>YEAR(E1852)</f>
        <v/>
      </c>
      <c r="D1852" s="6">
        <f>MONTH(E1852)</f>
        <v/>
      </c>
      <c r="E1852" s="267">
        <f>IFERROR(__xludf.DUMMYFUNCTION("""COMPUTED_VALUE"""),45790.6666666666)</f>
        <v/>
      </c>
      <c r="F1852" s="6">
        <f>IFERROR(__xludf.DUMMYFUNCTION("""COMPUTED_VALUE"""),5886.55)</f>
        <v/>
      </c>
      <c r="J1852" s="6">
        <f>K1852&amp;L1852</f>
        <v/>
      </c>
      <c r="K1852" s="6">
        <f>YEAR(M1852)</f>
        <v/>
      </c>
      <c r="L1852" s="6">
        <f>MONTH(M1852)</f>
        <v/>
      </c>
      <c r="M1852" s="267">
        <f>IFERROR(__xludf.DUMMYFUNCTION("""COMPUTED_VALUE"""),45783.6666666666)</f>
        <v/>
      </c>
      <c r="N1852" s="6">
        <f>IFERROR(__xludf.DUMMYFUNCTION("""COMPUTED_VALUE"""),17689.66)</f>
        <v/>
      </c>
      <c r="R1852" s="6">
        <f>S1852&amp;T1852</f>
        <v/>
      </c>
      <c r="S1852" s="6">
        <f>YEAR(U1852)</f>
        <v/>
      </c>
      <c r="T1852" s="6">
        <f>MONTH(U1852)</f>
        <v/>
      </c>
      <c r="U1852" s="267">
        <f>IFERROR(__xludf.DUMMYFUNCTION("""COMPUTED_VALUE"""),45859.6458333333)</f>
        <v/>
      </c>
      <c r="V1852" s="6">
        <f>IFERROR(__xludf.DUMMYFUNCTION("""COMPUTED_VALUE"""),3210.81)</f>
        <v/>
      </c>
      <c r="Z1852" s="6">
        <f>AA1852&amp;AB1852</f>
        <v/>
      </c>
      <c r="AA1852" s="6">
        <f>YEAR(AC1852)</f>
        <v/>
      </c>
      <c r="AB1852" s="6">
        <f>MONTH(AC1852)</f>
        <v/>
      </c>
      <c r="AC1852" s="267">
        <f>IFERROR(__xludf.DUMMYFUNCTION("""COMPUTED_VALUE"""),45001.9986111111)</f>
        <v/>
      </c>
      <c r="AD1852" s="6">
        <f>IFERROR(__xludf.DUMMYFUNCTION("""COMPUTED_VALUE"""),1301.62)</f>
        <v/>
      </c>
      <c r="AH1852" s="6">
        <f>AI1852&amp;AJ1852</f>
        <v/>
      </c>
      <c r="AI1852" s="6">
        <f>YEAR(AK1852)</f>
        <v/>
      </c>
      <c r="AJ1852" s="6">
        <f>MONTH(AK1852)</f>
        <v/>
      </c>
      <c r="AK1852" s="267">
        <f>IFERROR(__xludf.DUMMYFUNCTION("""COMPUTED_VALUE"""),44945.9986111111)</f>
        <v/>
      </c>
      <c r="AL1852" s="6">
        <f>IFERROR(__xludf.DUMMYFUNCTION("""COMPUTED_VALUE"""),21082.08)</f>
        <v/>
      </c>
      <c r="AP1852" s="6">
        <f>AQ1852&amp;AR1852</f>
        <v/>
      </c>
      <c r="AQ1852" s="6">
        <f>YEAR(AS1852)</f>
        <v/>
      </c>
      <c r="AR1852" s="6">
        <f>MONTH(AS1852)</f>
        <v/>
      </c>
      <c r="AS1852" s="267">
        <f>IFERROR(__xludf.DUMMYFUNCTION("""COMPUTED_VALUE"""),45797.9986111111)</f>
        <v/>
      </c>
      <c r="AT1852" s="6">
        <f>IFERROR(__xludf.DUMMYFUNCTION("""COMPUTED_VALUE"""),3312.6)</f>
        <v/>
      </c>
    </row>
    <row r="1853">
      <c r="B1853" s="6">
        <f>C1853&amp;D1853</f>
        <v/>
      </c>
      <c r="C1853" s="6">
        <f>YEAR(E1853)</f>
        <v/>
      </c>
      <c r="D1853" s="6">
        <f>MONTH(E1853)</f>
        <v/>
      </c>
      <c r="E1853" s="267">
        <f>IFERROR(__xludf.DUMMYFUNCTION("""COMPUTED_VALUE"""),45791.6666666666)</f>
        <v/>
      </c>
      <c r="F1853" s="6">
        <f>IFERROR(__xludf.DUMMYFUNCTION("""COMPUTED_VALUE"""),5892.58)</f>
        <v/>
      </c>
      <c r="J1853" s="6">
        <f>K1853&amp;L1853</f>
        <v/>
      </c>
      <c r="K1853" s="6">
        <f>YEAR(M1853)</f>
        <v/>
      </c>
      <c r="L1853" s="6">
        <f>MONTH(M1853)</f>
        <v/>
      </c>
      <c r="M1853" s="267">
        <f>IFERROR(__xludf.DUMMYFUNCTION("""COMPUTED_VALUE"""),45784.6666666666)</f>
        <v/>
      </c>
      <c r="N1853" s="6">
        <f>IFERROR(__xludf.DUMMYFUNCTION("""COMPUTED_VALUE"""),17738.16)</f>
        <v/>
      </c>
      <c r="R1853" s="6">
        <f>S1853&amp;T1853</f>
        <v/>
      </c>
      <c r="S1853" s="6">
        <f>YEAR(U1853)</f>
        <v/>
      </c>
      <c r="T1853" s="6">
        <f>MONTH(U1853)</f>
        <v/>
      </c>
      <c r="U1853" s="267">
        <f>IFERROR(__xludf.DUMMYFUNCTION("""COMPUTED_VALUE"""),45860.6458333333)</f>
        <v/>
      </c>
      <c r="V1853" s="6">
        <f>IFERROR(__xludf.DUMMYFUNCTION("""COMPUTED_VALUE"""),3169.94)</f>
        <v/>
      </c>
      <c r="Z1853" s="6">
        <f>AA1853&amp;AB1853</f>
        <v/>
      </c>
      <c r="AA1853" s="6">
        <f>YEAR(AC1853)</f>
        <v/>
      </c>
      <c r="AB1853" s="6">
        <f>MONTH(AC1853)</f>
        <v/>
      </c>
      <c r="AC1853" s="267">
        <f>IFERROR(__xludf.DUMMYFUNCTION("""COMPUTED_VALUE"""),45002.9986111111)</f>
        <v/>
      </c>
      <c r="AD1853" s="6">
        <f>IFERROR(__xludf.DUMMYFUNCTION("""COMPUTED_VALUE"""),1307.75)</f>
        <v/>
      </c>
      <c r="AH1853" s="6">
        <f>AI1853&amp;AJ1853</f>
        <v/>
      </c>
      <c r="AI1853" s="6">
        <f>YEAR(AK1853)</f>
        <v/>
      </c>
      <c r="AJ1853" s="6">
        <f>MONTH(AK1853)</f>
        <v/>
      </c>
      <c r="AK1853" s="267">
        <f>IFERROR(__xludf.DUMMYFUNCTION("""COMPUTED_VALUE"""),44946.9986111111)</f>
        <v/>
      </c>
      <c r="AL1853" s="6">
        <f>IFERROR(__xludf.DUMMYFUNCTION("""COMPUTED_VALUE"""),22690.95)</f>
        <v/>
      </c>
      <c r="AP1853" s="6">
        <f>AQ1853&amp;AR1853</f>
        <v/>
      </c>
      <c r="AQ1853" s="6">
        <f>YEAR(AS1853)</f>
        <v/>
      </c>
      <c r="AR1853" s="6">
        <f>MONTH(AS1853)</f>
        <v/>
      </c>
      <c r="AS1853" s="267">
        <f>IFERROR(__xludf.DUMMYFUNCTION("""COMPUTED_VALUE"""),45798.9986111111)</f>
        <v/>
      </c>
      <c r="AT1853" s="6">
        <f>IFERROR(__xludf.DUMMYFUNCTION("""COMPUTED_VALUE"""),3341.9)</f>
        <v/>
      </c>
    </row>
    <row r="1854">
      <c r="B1854" s="6">
        <f>C1854&amp;D1854</f>
        <v/>
      </c>
      <c r="C1854" s="6">
        <f>YEAR(E1854)</f>
        <v/>
      </c>
      <c r="D1854" s="6">
        <f>MONTH(E1854)</f>
        <v/>
      </c>
      <c r="E1854" s="267">
        <f>IFERROR(__xludf.DUMMYFUNCTION("""COMPUTED_VALUE"""),45792.6666666666)</f>
        <v/>
      </c>
      <c r="F1854" s="6">
        <f>IFERROR(__xludf.DUMMYFUNCTION("""COMPUTED_VALUE"""),5916.93)</f>
        <v/>
      </c>
      <c r="J1854" s="6">
        <f>K1854&amp;L1854</f>
        <v/>
      </c>
      <c r="K1854" s="6">
        <f>YEAR(M1854)</f>
        <v/>
      </c>
      <c r="L1854" s="6">
        <f>MONTH(M1854)</f>
        <v/>
      </c>
      <c r="M1854" s="267">
        <f>IFERROR(__xludf.DUMMYFUNCTION("""COMPUTED_VALUE"""),45785.6666666666)</f>
        <v/>
      </c>
      <c r="N1854" s="6">
        <f>IFERROR(__xludf.DUMMYFUNCTION("""COMPUTED_VALUE"""),17928.14)</f>
        <v/>
      </c>
      <c r="R1854" s="6">
        <f>S1854&amp;T1854</f>
        <v/>
      </c>
      <c r="S1854" s="6">
        <f>YEAR(U1854)</f>
        <v/>
      </c>
      <c r="T1854" s="6">
        <f>MONTH(U1854)</f>
        <v/>
      </c>
      <c r="U1854" s="267">
        <f>IFERROR(__xludf.DUMMYFUNCTION("""COMPUTED_VALUE"""),45861.6458333333)</f>
        <v/>
      </c>
      <c r="V1854" s="6">
        <f>IFERROR(__xludf.DUMMYFUNCTION("""COMPUTED_VALUE"""),3183.77)</f>
        <v/>
      </c>
      <c r="Z1854" s="6">
        <f>AA1854&amp;AB1854</f>
        <v/>
      </c>
      <c r="AA1854" s="6">
        <f>YEAR(AC1854)</f>
        <v/>
      </c>
      <c r="AB1854" s="6">
        <f>MONTH(AC1854)</f>
        <v/>
      </c>
      <c r="AC1854" s="267">
        <f>IFERROR(__xludf.DUMMYFUNCTION("""COMPUTED_VALUE"""),45003.9986111111)</f>
        <v/>
      </c>
      <c r="AD1854" s="6">
        <f>IFERROR(__xludf.DUMMYFUNCTION("""COMPUTED_VALUE"""),1307.65)</f>
        <v/>
      </c>
      <c r="AH1854" s="6">
        <f>AI1854&amp;AJ1854</f>
        <v/>
      </c>
      <c r="AI1854" s="6">
        <f>YEAR(AK1854)</f>
        <v/>
      </c>
      <c r="AJ1854" s="6">
        <f>MONTH(AK1854)</f>
        <v/>
      </c>
      <c r="AK1854" s="267">
        <f>IFERROR(__xludf.DUMMYFUNCTION("""COMPUTED_VALUE"""),44947.9986111111)</f>
        <v/>
      </c>
      <c r="AL1854" s="6">
        <f>IFERROR(__xludf.DUMMYFUNCTION("""COMPUTED_VALUE"""),22776.37)</f>
        <v/>
      </c>
      <c r="AP1854" s="6">
        <f>AQ1854&amp;AR1854</f>
        <v/>
      </c>
      <c r="AQ1854" s="6">
        <f>YEAR(AS1854)</f>
        <v/>
      </c>
      <c r="AR1854" s="6">
        <f>MONTH(AS1854)</f>
        <v/>
      </c>
      <c r="AS1854" s="267">
        <f>IFERROR(__xludf.DUMMYFUNCTION("""COMPUTED_VALUE"""),45799.9986111111)</f>
        <v/>
      </c>
      <c r="AT1854" s="6">
        <f>IFERROR(__xludf.DUMMYFUNCTION("""COMPUTED_VALUE"""),3323.6)</f>
        <v/>
      </c>
    </row>
    <row r="1855">
      <c r="B1855" s="6">
        <f>C1855&amp;D1855</f>
        <v/>
      </c>
      <c r="C1855" s="6">
        <f>YEAR(E1855)</f>
        <v/>
      </c>
      <c r="D1855" s="6">
        <f>MONTH(E1855)</f>
        <v/>
      </c>
      <c r="E1855" s="267">
        <f>IFERROR(__xludf.DUMMYFUNCTION("""COMPUTED_VALUE"""),45793.6666666666)</f>
        <v/>
      </c>
      <c r="F1855" s="6">
        <f>IFERROR(__xludf.DUMMYFUNCTION("""COMPUTED_VALUE"""),5958.38)</f>
        <v/>
      </c>
      <c r="J1855" s="6">
        <f>K1855&amp;L1855</f>
        <v/>
      </c>
      <c r="K1855" s="6">
        <f>YEAR(M1855)</f>
        <v/>
      </c>
      <c r="L1855" s="6">
        <f>MONTH(M1855)</f>
        <v/>
      </c>
      <c r="M1855" s="267">
        <f>IFERROR(__xludf.DUMMYFUNCTION("""COMPUTED_VALUE"""),45786.6666666666)</f>
        <v/>
      </c>
      <c r="N1855" s="6">
        <f>IFERROR(__xludf.DUMMYFUNCTION("""COMPUTED_VALUE"""),17928.92)</f>
        <v/>
      </c>
      <c r="R1855" s="6">
        <f>S1855&amp;T1855</f>
        <v/>
      </c>
      <c r="S1855" s="6">
        <f>YEAR(U1855)</f>
        <v/>
      </c>
      <c r="T1855" s="6">
        <f>MONTH(U1855)</f>
        <v/>
      </c>
      <c r="U1855" s="267">
        <f>IFERROR(__xludf.DUMMYFUNCTION("""COMPUTED_VALUE"""),45862.6458333333)</f>
        <v/>
      </c>
      <c r="V1855" s="6">
        <f>IFERROR(__xludf.DUMMYFUNCTION("""COMPUTED_VALUE"""),3190.45)</f>
        <v/>
      </c>
      <c r="Z1855" s="6">
        <f>AA1855&amp;AB1855</f>
        <v/>
      </c>
      <c r="AA1855" s="6">
        <f>YEAR(AC1855)</f>
        <v/>
      </c>
      <c r="AB1855" s="6">
        <f>MONTH(AC1855)</f>
        <v/>
      </c>
      <c r="AC1855" s="267">
        <f>IFERROR(__xludf.DUMMYFUNCTION("""COMPUTED_VALUE"""),45004.9986111111)</f>
        <v/>
      </c>
      <c r="AD1855" s="6">
        <f>IFERROR(__xludf.DUMMYFUNCTION("""COMPUTED_VALUE"""),1307.65)</f>
        <v/>
      </c>
      <c r="AH1855" s="6">
        <f>AI1855&amp;AJ1855</f>
        <v/>
      </c>
      <c r="AI1855" s="6">
        <f>YEAR(AK1855)</f>
        <v/>
      </c>
      <c r="AJ1855" s="6">
        <f>MONTH(AK1855)</f>
        <v/>
      </c>
      <c r="AK1855" s="267">
        <f>IFERROR(__xludf.DUMMYFUNCTION("""COMPUTED_VALUE"""),44948.9986111111)</f>
        <v/>
      </c>
      <c r="AL1855" s="6">
        <f>IFERROR(__xludf.DUMMYFUNCTION("""COMPUTED_VALUE"""),22717.66)</f>
        <v/>
      </c>
      <c r="AP1855" s="6">
        <f>AQ1855&amp;AR1855</f>
        <v/>
      </c>
      <c r="AQ1855" s="6">
        <f>YEAR(AS1855)</f>
        <v/>
      </c>
      <c r="AR1855" s="6">
        <f>MONTH(AS1855)</f>
        <v/>
      </c>
      <c r="AS1855" s="267">
        <f>IFERROR(__xludf.DUMMYFUNCTION("""COMPUTED_VALUE"""),45800.9986111111)</f>
        <v/>
      </c>
      <c r="AT1855" s="6">
        <f>IFERROR(__xludf.DUMMYFUNCTION("""COMPUTED_VALUE"""),3394.5)</f>
        <v/>
      </c>
    </row>
    <row r="1856">
      <c r="B1856" s="6">
        <f>C1856&amp;D1856</f>
        <v/>
      </c>
      <c r="C1856" s="6">
        <f>YEAR(E1856)</f>
        <v/>
      </c>
      <c r="D1856" s="6">
        <f>MONTH(E1856)</f>
        <v/>
      </c>
      <c r="E1856" s="267">
        <f>IFERROR(__xludf.DUMMYFUNCTION("""COMPUTED_VALUE"""),45796.6666666666)</f>
        <v/>
      </c>
      <c r="F1856" s="6">
        <f>IFERROR(__xludf.DUMMYFUNCTION("""COMPUTED_VALUE"""),5963.6)</f>
        <v/>
      </c>
      <c r="J1856" s="6">
        <f>K1856&amp;L1856</f>
        <v/>
      </c>
      <c r="K1856" s="6">
        <f>YEAR(M1856)</f>
        <v/>
      </c>
      <c r="L1856" s="6">
        <f>MONTH(M1856)</f>
        <v/>
      </c>
      <c r="M1856" s="267">
        <f>IFERROR(__xludf.DUMMYFUNCTION("""COMPUTED_VALUE"""),45789.6666666666)</f>
        <v/>
      </c>
      <c r="N1856" s="6">
        <f>IFERROR(__xludf.DUMMYFUNCTION("""COMPUTED_VALUE"""),18708.34)</f>
        <v/>
      </c>
      <c r="R1856" s="6">
        <f>S1856&amp;T1856</f>
        <v/>
      </c>
      <c r="S1856" s="6">
        <f>YEAR(U1856)</f>
        <v/>
      </c>
      <c r="T1856" s="6">
        <f>MONTH(U1856)</f>
        <v/>
      </c>
      <c r="U1856" s="267">
        <f>IFERROR(__xludf.DUMMYFUNCTION("""COMPUTED_VALUE"""),45863.6458333333)</f>
        <v/>
      </c>
      <c r="V1856" s="6">
        <f>IFERROR(__xludf.DUMMYFUNCTION("""COMPUTED_VALUE"""),3196.05)</f>
        <v/>
      </c>
      <c r="Z1856" s="6">
        <f>AA1856&amp;AB1856</f>
        <v/>
      </c>
      <c r="AA1856" s="6">
        <f>YEAR(AC1856)</f>
        <v/>
      </c>
      <c r="AB1856" s="6">
        <f>MONTH(AC1856)</f>
        <v/>
      </c>
      <c r="AC1856" s="267">
        <f>IFERROR(__xludf.DUMMYFUNCTION("""COMPUTED_VALUE"""),45005.9986111111)</f>
        <v/>
      </c>
      <c r="AD1856" s="6">
        <f>IFERROR(__xludf.DUMMYFUNCTION("""COMPUTED_VALUE"""),1304.94)</f>
        <v/>
      </c>
      <c r="AH1856" s="6">
        <f>AI1856&amp;AJ1856</f>
        <v/>
      </c>
      <c r="AI1856" s="6">
        <f>YEAR(AK1856)</f>
        <v/>
      </c>
      <c r="AJ1856" s="6">
        <f>MONTH(AK1856)</f>
        <v/>
      </c>
      <c r="AK1856" s="267">
        <f>IFERROR(__xludf.DUMMYFUNCTION("""COMPUTED_VALUE"""),44949.9986111111)</f>
        <v/>
      </c>
      <c r="AL1856" s="6">
        <f>IFERROR(__xludf.DUMMYFUNCTION("""COMPUTED_VALUE"""),22915.43)</f>
        <v/>
      </c>
      <c r="AP1856" s="6">
        <f>AQ1856&amp;AR1856</f>
        <v/>
      </c>
      <c r="AQ1856" s="6">
        <f>YEAR(AS1856)</f>
        <v/>
      </c>
      <c r="AR1856" s="6">
        <f>MONTH(AS1856)</f>
        <v/>
      </c>
      <c r="AS1856" s="267">
        <f>IFERROR(__xludf.DUMMYFUNCTION("""COMPUTED_VALUE"""),45804.9986111111)</f>
        <v/>
      </c>
      <c r="AT1856" s="6">
        <f>IFERROR(__xludf.DUMMYFUNCTION("""COMPUTED_VALUE"""),3328.3)</f>
        <v/>
      </c>
    </row>
    <row r="1857">
      <c r="B1857" s="6">
        <f>C1857&amp;D1857</f>
        <v/>
      </c>
      <c r="C1857" s="6">
        <f>YEAR(E1857)</f>
        <v/>
      </c>
      <c r="D1857" s="6">
        <f>MONTH(E1857)</f>
        <v/>
      </c>
      <c r="E1857" s="267">
        <f>IFERROR(__xludf.DUMMYFUNCTION("""COMPUTED_VALUE"""),45797.6666666666)</f>
        <v/>
      </c>
      <c r="F1857" s="6">
        <f>IFERROR(__xludf.DUMMYFUNCTION("""COMPUTED_VALUE"""),5940.46)</f>
        <v/>
      </c>
      <c r="J1857" s="6">
        <f>K1857&amp;L1857</f>
        <v/>
      </c>
      <c r="K1857" s="6">
        <f>YEAR(M1857)</f>
        <v/>
      </c>
      <c r="L1857" s="6">
        <f>MONTH(M1857)</f>
        <v/>
      </c>
      <c r="M1857" s="267">
        <f>IFERROR(__xludf.DUMMYFUNCTION("""COMPUTED_VALUE"""),45790.6666666666)</f>
        <v/>
      </c>
      <c r="N1857" s="6">
        <f>IFERROR(__xludf.DUMMYFUNCTION("""COMPUTED_VALUE"""),19010.09)</f>
        <v/>
      </c>
      <c r="R1857" s="6">
        <f>S1857&amp;T1857</f>
        <v/>
      </c>
      <c r="S1857" s="6">
        <f>YEAR(U1857)</f>
        <v/>
      </c>
      <c r="T1857" s="6">
        <f>MONTH(U1857)</f>
        <v/>
      </c>
      <c r="U1857" s="267">
        <f>IFERROR(__xludf.DUMMYFUNCTION("""COMPUTED_VALUE"""),45866.6458333333)</f>
        <v/>
      </c>
      <c r="V1857" s="6">
        <f>IFERROR(__xludf.DUMMYFUNCTION("""COMPUTED_VALUE"""),3209.52)</f>
        <v/>
      </c>
      <c r="Z1857" s="6">
        <f>AA1857&amp;AB1857</f>
        <v/>
      </c>
      <c r="AA1857" s="6">
        <f>YEAR(AC1857)</f>
        <v/>
      </c>
      <c r="AB1857" s="6">
        <f>MONTH(AC1857)</f>
        <v/>
      </c>
      <c r="AC1857" s="267">
        <f>IFERROR(__xludf.DUMMYFUNCTION("""COMPUTED_VALUE"""),45006.9986111111)</f>
        <v/>
      </c>
      <c r="AD1857" s="6">
        <f>IFERROR(__xludf.DUMMYFUNCTION("""COMPUTED_VALUE"""),1303.44)</f>
        <v/>
      </c>
      <c r="AH1857" s="6">
        <f>AI1857&amp;AJ1857</f>
        <v/>
      </c>
      <c r="AI1857" s="6">
        <f>YEAR(AK1857)</f>
        <v/>
      </c>
      <c r="AJ1857" s="6">
        <f>MONTH(AK1857)</f>
        <v/>
      </c>
      <c r="AK1857" s="267">
        <f>IFERROR(__xludf.DUMMYFUNCTION("""COMPUTED_VALUE"""),44950.9986111111)</f>
        <v/>
      </c>
      <c r="AL1857" s="6">
        <f>IFERROR(__xludf.DUMMYFUNCTION("""COMPUTED_VALUE"""),22632.03)</f>
        <v/>
      </c>
      <c r="AP1857" s="6">
        <f>AQ1857&amp;AR1857</f>
        <v/>
      </c>
      <c r="AQ1857" s="6">
        <f>YEAR(AS1857)</f>
        <v/>
      </c>
      <c r="AR1857" s="6">
        <f>MONTH(AS1857)</f>
        <v/>
      </c>
      <c r="AS1857" s="267">
        <f>IFERROR(__xludf.DUMMYFUNCTION("""COMPUTED_VALUE"""),45805.9986111111)</f>
        <v/>
      </c>
      <c r="AT1857" s="6">
        <f>IFERROR(__xludf.DUMMYFUNCTION("""COMPUTED_VALUE"""),3322.4)</f>
        <v/>
      </c>
    </row>
    <row r="1858">
      <c r="B1858" s="6">
        <f>C1858&amp;D1858</f>
        <v/>
      </c>
      <c r="C1858" s="6">
        <f>YEAR(E1858)</f>
        <v/>
      </c>
      <c r="D1858" s="6">
        <f>MONTH(E1858)</f>
        <v/>
      </c>
      <c r="E1858" s="267">
        <f>IFERROR(__xludf.DUMMYFUNCTION("""COMPUTED_VALUE"""),45798.6666666666)</f>
        <v/>
      </c>
      <c r="F1858" s="6">
        <f>IFERROR(__xludf.DUMMYFUNCTION("""COMPUTED_VALUE"""),5844.61)</f>
        <v/>
      </c>
      <c r="J1858" s="6">
        <f>K1858&amp;L1858</f>
        <v/>
      </c>
      <c r="K1858" s="6">
        <f>YEAR(M1858)</f>
        <v/>
      </c>
      <c r="L1858" s="6">
        <f>MONTH(M1858)</f>
        <v/>
      </c>
      <c r="M1858" s="267">
        <f>IFERROR(__xludf.DUMMYFUNCTION("""COMPUTED_VALUE"""),45791.6666666666)</f>
        <v/>
      </c>
      <c r="N1858" s="6">
        <f>IFERROR(__xludf.DUMMYFUNCTION("""COMPUTED_VALUE"""),19146.81)</f>
        <v/>
      </c>
      <c r="R1858" s="6">
        <f>S1858&amp;T1858</f>
        <v/>
      </c>
      <c r="S1858" s="6">
        <f>YEAR(U1858)</f>
        <v/>
      </c>
      <c r="T1858" s="6">
        <f>MONTH(U1858)</f>
        <v/>
      </c>
      <c r="U1858" s="267">
        <f>IFERROR(__xludf.DUMMYFUNCTION("""COMPUTED_VALUE"""),45867.6458333333)</f>
        <v/>
      </c>
      <c r="V1858" s="6">
        <f>IFERROR(__xludf.DUMMYFUNCTION("""COMPUTED_VALUE"""),3230.57)</f>
        <v/>
      </c>
      <c r="Z1858" s="6">
        <f>AA1858&amp;AB1858</f>
        <v/>
      </c>
      <c r="AA1858" s="6">
        <f>YEAR(AC1858)</f>
        <v/>
      </c>
      <c r="AB1858" s="6">
        <f>MONTH(AC1858)</f>
        <v/>
      </c>
      <c r="AC1858" s="267">
        <f>IFERROR(__xludf.DUMMYFUNCTION("""COMPUTED_VALUE"""),45007.9986111111)</f>
        <v/>
      </c>
      <c r="AD1858" s="6">
        <f>IFERROR(__xludf.DUMMYFUNCTION("""COMPUTED_VALUE"""),1298.25)</f>
        <v/>
      </c>
      <c r="AH1858" s="6">
        <f>AI1858&amp;AJ1858</f>
        <v/>
      </c>
      <c r="AI1858" s="6">
        <f>YEAR(AK1858)</f>
        <v/>
      </c>
      <c r="AJ1858" s="6">
        <f>MONTH(AK1858)</f>
        <v/>
      </c>
      <c r="AK1858" s="267">
        <f>IFERROR(__xludf.DUMMYFUNCTION("""COMPUTED_VALUE"""),44951.9986111111)</f>
        <v/>
      </c>
      <c r="AL1858" s="6">
        <f>IFERROR(__xludf.DUMMYFUNCTION("""COMPUTED_VALUE"""),23042.07)</f>
        <v/>
      </c>
      <c r="AP1858" s="6">
        <f>AQ1858&amp;AR1858</f>
        <v/>
      </c>
      <c r="AQ1858" s="6">
        <f>YEAR(AS1858)</f>
        <v/>
      </c>
      <c r="AR1858" s="6">
        <f>MONTH(AS1858)</f>
        <v/>
      </c>
      <c r="AS1858" s="267">
        <f>IFERROR(__xludf.DUMMYFUNCTION("""COMPUTED_VALUE"""),45806.9986111111)</f>
        <v/>
      </c>
      <c r="AT1858" s="6">
        <f>IFERROR(__xludf.DUMMYFUNCTION("""COMPUTED_VALUE"""),3343.9)</f>
        <v/>
      </c>
    </row>
    <row r="1859">
      <c r="B1859" s="6">
        <f>C1859&amp;D1859</f>
        <v/>
      </c>
      <c r="C1859" s="6">
        <f>YEAR(E1859)</f>
        <v/>
      </c>
      <c r="D1859" s="6">
        <f>MONTH(E1859)</f>
        <v/>
      </c>
      <c r="E1859" s="267">
        <f>IFERROR(__xludf.DUMMYFUNCTION("""COMPUTED_VALUE"""),45799.6666666666)</f>
        <v/>
      </c>
      <c r="F1859" s="6">
        <f>IFERROR(__xludf.DUMMYFUNCTION("""COMPUTED_VALUE"""),5842.01)</f>
        <v/>
      </c>
      <c r="J1859" s="6">
        <f>K1859&amp;L1859</f>
        <v/>
      </c>
      <c r="K1859" s="6">
        <f>YEAR(M1859)</f>
        <v/>
      </c>
      <c r="L1859" s="6">
        <f>MONTH(M1859)</f>
        <v/>
      </c>
      <c r="M1859" s="267">
        <f>IFERROR(__xludf.DUMMYFUNCTION("""COMPUTED_VALUE"""),45792.6666666666)</f>
        <v/>
      </c>
      <c r="N1859" s="6">
        <f>IFERROR(__xludf.DUMMYFUNCTION("""COMPUTED_VALUE"""),19112.32)</f>
        <v/>
      </c>
      <c r="R1859" s="6">
        <f>S1859&amp;T1859</f>
        <v/>
      </c>
      <c r="S1859" s="6">
        <f>YEAR(U1859)</f>
        <v/>
      </c>
      <c r="T1859" s="6">
        <f>MONTH(U1859)</f>
        <v/>
      </c>
      <c r="U1859" s="267">
        <f>IFERROR(__xludf.DUMMYFUNCTION("""COMPUTED_VALUE"""),45868.6458333333)</f>
        <v/>
      </c>
      <c r="V1859" s="6">
        <f>IFERROR(__xludf.DUMMYFUNCTION("""COMPUTED_VALUE"""),3254.47)</f>
        <v/>
      </c>
      <c r="Z1859" s="6">
        <f>AA1859&amp;AB1859</f>
        <v/>
      </c>
      <c r="AA1859" s="6">
        <f>YEAR(AC1859)</f>
        <v/>
      </c>
      <c r="AB1859" s="6">
        <f>MONTH(AC1859)</f>
        <v/>
      </c>
      <c r="AC1859" s="267">
        <f>IFERROR(__xludf.DUMMYFUNCTION("""COMPUTED_VALUE"""),45008.9986111111)</f>
        <v/>
      </c>
      <c r="AD1859" s="6">
        <f>IFERROR(__xludf.DUMMYFUNCTION("""COMPUTED_VALUE"""),1286.29)</f>
        <v/>
      </c>
      <c r="AH1859" s="6">
        <f>AI1859&amp;AJ1859</f>
        <v/>
      </c>
      <c r="AI1859" s="6">
        <f>YEAR(AK1859)</f>
        <v/>
      </c>
      <c r="AJ1859" s="6">
        <f>MONTH(AK1859)</f>
        <v/>
      </c>
      <c r="AK1859" s="267">
        <f>IFERROR(__xludf.DUMMYFUNCTION("""COMPUTED_VALUE"""),44952.9986111111)</f>
        <v/>
      </c>
      <c r="AL1859" s="6">
        <f>IFERROR(__xludf.DUMMYFUNCTION("""COMPUTED_VALUE"""),23011.24)</f>
        <v/>
      </c>
      <c r="AP1859" s="6">
        <f>AQ1859&amp;AR1859</f>
        <v/>
      </c>
      <c r="AQ1859" s="6">
        <f>YEAR(AS1859)</f>
        <v/>
      </c>
      <c r="AR1859" s="6">
        <f>MONTH(AS1859)</f>
        <v/>
      </c>
      <c r="AS1859" s="267">
        <f>IFERROR(__xludf.DUMMYFUNCTION("""COMPUTED_VALUE"""),45807.9986111111)</f>
        <v/>
      </c>
      <c r="AT1859" s="6">
        <f>IFERROR(__xludf.DUMMYFUNCTION("""COMPUTED_VALUE"""),3315.4)</f>
        <v/>
      </c>
    </row>
    <row r="1860">
      <c r="B1860" s="6">
        <f>C1860&amp;D1860</f>
        <v/>
      </c>
      <c r="C1860" s="6">
        <f>YEAR(E1860)</f>
        <v/>
      </c>
      <c r="D1860" s="6">
        <f>MONTH(E1860)</f>
        <v/>
      </c>
      <c r="E1860" s="267">
        <f>IFERROR(__xludf.DUMMYFUNCTION("""COMPUTED_VALUE"""),45800.6666666666)</f>
        <v/>
      </c>
      <c r="F1860" s="6">
        <f>IFERROR(__xludf.DUMMYFUNCTION("""COMPUTED_VALUE"""),5802.82)</f>
        <v/>
      </c>
      <c r="J1860" s="6">
        <f>K1860&amp;L1860</f>
        <v/>
      </c>
      <c r="K1860" s="6">
        <f>YEAR(M1860)</f>
        <v/>
      </c>
      <c r="L1860" s="6">
        <f>MONTH(M1860)</f>
        <v/>
      </c>
      <c r="M1860" s="267">
        <f>IFERROR(__xludf.DUMMYFUNCTION("""COMPUTED_VALUE"""),45793.6666666666)</f>
        <v/>
      </c>
      <c r="N1860" s="6">
        <f>IFERROR(__xludf.DUMMYFUNCTION("""COMPUTED_VALUE"""),19211.1)</f>
        <v/>
      </c>
      <c r="R1860" s="6">
        <f>S1860&amp;T1860</f>
        <v/>
      </c>
      <c r="S1860" s="6">
        <f>YEAR(U1860)</f>
        <v/>
      </c>
      <c r="T1860" s="6">
        <f>MONTH(U1860)</f>
        <v/>
      </c>
      <c r="U1860" s="267">
        <f>IFERROR(__xludf.DUMMYFUNCTION("""COMPUTED_VALUE"""),45869.6458333333)</f>
        <v/>
      </c>
      <c r="V1860" s="6">
        <f>IFERROR(__xludf.DUMMYFUNCTION("""COMPUTED_VALUE"""),3245.44)</f>
        <v/>
      </c>
      <c r="Z1860" s="6">
        <f>AA1860&amp;AB1860</f>
        <v/>
      </c>
      <c r="AA1860" s="6">
        <f>YEAR(AC1860)</f>
        <v/>
      </c>
      <c r="AB1860" s="6">
        <f>MONTH(AC1860)</f>
        <v/>
      </c>
      <c r="AC1860" s="267">
        <f>IFERROR(__xludf.DUMMYFUNCTION("""COMPUTED_VALUE"""),45009.9986111111)</f>
        <v/>
      </c>
      <c r="AD1860" s="6">
        <f>IFERROR(__xludf.DUMMYFUNCTION("""COMPUTED_VALUE"""),1294.83)</f>
        <v/>
      </c>
      <c r="AH1860" s="6">
        <f>AI1860&amp;AJ1860</f>
        <v/>
      </c>
      <c r="AI1860" s="6">
        <f>YEAR(AK1860)</f>
        <v/>
      </c>
      <c r="AJ1860" s="6">
        <f>MONTH(AK1860)</f>
        <v/>
      </c>
      <c r="AK1860" s="267">
        <f>IFERROR(__xludf.DUMMYFUNCTION("""COMPUTED_VALUE"""),44953.9986111111)</f>
        <v/>
      </c>
      <c r="AL1860" s="6">
        <f>IFERROR(__xludf.DUMMYFUNCTION("""COMPUTED_VALUE"""),23076.87)</f>
        <v/>
      </c>
      <c r="AP1860" s="6">
        <f>AQ1860&amp;AR1860</f>
        <v/>
      </c>
      <c r="AQ1860" s="6">
        <f>YEAR(AS1860)</f>
        <v/>
      </c>
      <c r="AR1860" s="6">
        <f>MONTH(AS1860)</f>
        <v/>
      </c>
      <c r="AS1860" s="267">
        <f>IFERROR(__xludf.DUMMYFUNCTION("""COMPUTED_VALUE"""),45810.9986111111)</f>
        <v/>
      </c>
      <c r="AT1860" s="6">
        <f>IFERROR(__xludf.DUMMYFUNCTION("""COMPUTED_VALUE"""),3397.2)</f>
        <v/>
      </c>
    </row>
    <row r="1861">
      <c r="B1861" s="6">
        <f>C1861&amp;D1861</f>
        <v/>
      </c>
      <c r="C1861" s="6">
        <f>YEAR(E1861)</f>
        <v/>
      </c>
      <c r="D1861" s="6">
        <f>MONTH(E1861)</f>
        <v/>
      </c>
      <c r="E1861" s="267">
        <f>IFERROR(__xludf.DUMMYFUNCTION("""COMPUTED_VALUE"""),45804.6666666666)</f>
        <v/>
      </c>
      <c r="F1861" s="6">
        <f>IFERROR(__xludf.DUMMYFUNCTION("""COMPUTED_VALUE"""),5921.54)</f>
        <v/>
      </c>
      <c r="J1861" s="6">
        <f>K1861&amp;L1861</f>
        <v/>
      </c>
      <c r="K1861" s="6">
        <f>YEAR(M1861)</f>
        <v/>
      </c>
      <c r="L1861" s="6">
        <f>MONTH(M1861)</f>
        <v/>
      </c>
      <c r="M1861" s="267">
        <f>IFERROR(__xludf.DUMMYFUNCTION("""COMPUTED_VALUE"""),45796.6666666666)</f>
        <v/>
      </c>
      <c r="N1861" s="6">
        <f>IFERROR(__xludf.DUMMYFUNCTION("""COMPUTED_VALUE"""),19215.46)</f>
        <v/>
      </c>
      <c r="R1861" s="6">
        <f>S1861&amp;T1861</f>
        <v/>
      </c>
      <c r="S1861" s="6">
        <f>YEAR(U1861)</f>
        <v/>
      </c>
      <c r="T1861" s="6">
        <f>MONTH(U1861)</f>
        <v/>
      </c>
      <c r="U1861" s="267">
        <f>IFERROR(__xludf.DUMMYFUNCTION("""COMPUTED_VALUE"""),45870.6458333333)</f>
        <v/>
      </c>
      <c r="V1861" s="6">
        <f>IFERROR(__xludf.DUMMYFUNCTION("""COMPUTED_VALUE"""),3119.41)</f>
        <v/>
      </c>
      <c r="Z1861" s="6">
        <f>AA1861&amp;AB1861</f>
        <v/>
      </c>
      <c r="AA1861" s="6">
        <f>YEAR(AC1861)</f>
        <v/>
      </c>
      <c r="AB1861" s="6">
        <f>MONTH(AC1861)</f>
        <v/>
      </c>
      <c r="AC1861" s="267">
        <f>IFERROR(__xludf.DUMMYFUNCTION("""COMPUTED_VALUE"""),45010.9986111111)</f>
        <v/>
      </c>
      <c r="AD1861" s="6">
        <f>IFERROR(__xludf.DUMMYFUNCTION("""COMPUTED_VALUE"""),1294.83)</f>
        <v/>
      </c>
      <c r="AH1861" s="6">
        <f>AI1861&amp;AJ1861</f>
        <v/>
      </c>
      <c r="AI1861" s="6">
        <f>YEAR(AK1861)</f>
        <v/>
      </c>
      <c r="AJ1861" s="6">
        <f>MONTH(AK1861)</f>
        <v/>
      </c>
      <c r="AK1861" s="267">
        <f>IFERROR(__xludf.DUMMYFUNCTION("""COMPUTED_VALUE"""),44954.9986111111)</f>
        <v/>
      </c>
      <c r="AL1861" s="6">
        <f>IFERROR(__xludf.DUMMYFUNCTION("""COMPUTED_VALUE"""),23027.19)</f>
        <v/>
      </c>
      <c r="AP1861" s="6">
        <f>AQ1861&amp;AR1861</f>
        <v/>
      </c>
      <c r="AQ1861" s="6">
        <f>YEAR(AS1861)</f>
        <v/>
      </c>
      <c r="AR1861" s="6">
        <f>MONTH(AS1861)</f>
        <v/>
      </c>
      <c r="AS1861" s="267">
        <f>IFERROR(__xludf.DUMMYFUNCTION("""COMPUTED_VALUE"""),45811.9986111111)</f>
        <v/>
      </c>
      <c r="AT1861" s="6">
        <f>IFERROR(__xludf.DUMMYFUNCTION("""COMPUTED_VALUE"""),3377.1)</f>
        <v/>
      </c>
    </row>
    <row r="1862">
      <c r="B1862" s="6">
        <f>C1862&amp;D1862</f>
        <v/>
      </c>
      <c r="C1862" s="6">
        <f>YEAR(E1862)</f>
        <v/>
      </c>
      <c r="D1862" s="6">
        <f>MONTH(E1862)</f>
        <v/>
      </c>
      <c r="E1862" s="267">
        <f>IFERROR(__xludf.DUMMYFUNCTION("""COMPUTED_VALUE"""),45805.6666666666)</f>
        <v/>
      </c>
      <c r="F1862" s="6">
        <f>IFERROR(__xludf.DUMMYFUNCTION("""COMPUTED_VALUE"""),5888.55)</f>
        <v/>
      </c>
      <c r="J1862" s="6">
        <f>K1862&amp;L1862</f>
        <v/>
      </c>
      <c r="K1862" s="6">
        <f>YEAR(M1862)</f>
        <v/>
      </c>
      <c r="L1862" s="6">
        <f>MONTH(M1862)</f>
        <v/>
      </c>
      <c r="M1862" s="267">
        <f>IFERROR(__xludf.DUMMYFUNCTION("""COMPUTED_VALUE"""),45797.6666666666)</f>
        <v/>
      </c>
      <c r="N1862" s="6">
        <f>IFERROR(__xludf.DUMMYFUNCTION("""COMPUTED_VALUE"""),19142.71)</f>
        <v/>
      </c>
      <c r="R1862" s="6">
        <f>S1862&amp;T1862</f>
        <v/>
      </c>
      <c r="S1862" s="6">
        <f>YEAR(U1862)</f>
        <v/>
      </c>
      <c r="T1862" s="6">
        <f>MONTH(U1862)</f>
        <v/>
      </c>
      <c r="U1862" s="267">
        <f>IFERROR(__xludf.DUMMYFUNCTION("""COMPUTED_VALUE"""),45873.6458333333)</f>
        <v/>
      </c>
      <c r="V1862" s="6">
        <f>IFERROR(__xludf.DUMMYFUNCTION("""COMPUTED_VALUE"""),3147.75)</f>
        <v/>
      </c>
      <c r="Z1862" s="6">
        <f>AA1862&amp;AB1862</f>
        <v/>
      </c>
      <c r="AA1862" s="6">
        <f>YEAR(AC1862)</f>
        <v/>
      </c>
      <c r="AB1862" s="6">
        <f>MONTH(AC1862)</f>
        <v/>
      </c>
      <c r="AC1862" s="267">
        <f>IFERROR(__xludf.DUMMYFUNCTION("""COMPUTED_VALUE"""),45011.9986111111)</f>
        <v/>
      </c>
      <c r="AD1862" s="6">
        <f>IFERROR(__xludf.DUMMYFUNCTION("""COMPUTED_VALUE"""),1294.83)</f>
        <v/>
      </c>
      <c r="AH1862" s="6">
        <f>AI1862&amp;AJ1862</f>
        <v/>
      </c>
      <c r="AI1862" s="6">
        <f>YEAR(AK1862)</f>
        <v/>
      </c>
      <c r="AJ1862" s="6">
        <f>MONTH(AK1862)</f>
        <v/>
      </c>
      <c r="AK1862" s="267">
        <f>IFERROR(__xludf.DUMMYFUNCTION("""COMPUTED_VALUE"""),44955.9986111111)</f>
        <v/>
      </c>
      <c r="AL1862" s="6">
        <f>IFERROR(__xludf.DUMMYFUNCTION("""COMPUTED_VALUE"""),23746.97)</f>
        <v/>
      </c>
      <c r="AP1862" s="6">
        <f>AQ1862&amp;AR1862</f>
        <v/>
      </c>
      <c r="AQ1862" s="6">
        <f>YEAR(AS1862)</f>
        <v/>
      </c>
      <c r="AR1862" s="6">
        <f>MONTH(AS1862)</f>
        <v/>
      </c>
      <c r="AS1862" s="267">
        <f>IFERROR(__xludf.DUMMYFUNCTION("""COMPUTED_VALUE"""),45812.9986111111)</f>
        <v/>
      </c>
      <c r="AT1862" s="6">
        <f>IFERROR(__xludf.DUMMYFUNCTION("""COMPUTED_VALUE"""),3399.2)</f>
        <v/>
      </c>
    </row>
    <row r="1863">
      <c r="B1863" s="6">
        <f>C1863&amp;D1863</f>
        <v/>
      </c>
      <c r="C1863" s="6">
        <f>YEAR(E1863)</f>
        <v/>
      </c>
      <c r="D1863" s="6">
        <f>MONTH(E1863)</f>
        <v/>
      </c>
      <c r="E1863" s="267">
        <f>IFERROR(__xludf.DUMMYFUNCTION("""COMPUTED_VALUE"""),45806.6666666666)</f>
        <v/>
      </c>
      <c r="F1863" s="6">
        <f>IFERROR(__xludf.DUMMYFUNCTION("""COMPUTED_VALUE"""),5912.17)</f>
        <v/>
      </c>
      <c r="J1863" s="6">
        <f>K1863&amp;L1863</f>
        <v/>
      </c>
      <c r="K1863" s="6">
        <f>YEAR(M1863)</f>
        <v/>
      </c>
      <c r="L1863" s="6">
        <f>MONTH(M1863)</f>
        <v/>
      </c>
      <c r="M1863" s="267">
        <f>IFERROR(__xludf.DUMMYFUNCTION("""COMPUTED_VALUE"""),45798.6666666666)</f>
        <v/>
      </c>
      <c r="N1863" s="6">
        <f>IFERROR(__xludf.DUMMYFUNCTION("""COMPUTED_VALUE"""),18872.64)</f>
        <v/>
      </c>
      <c r="R1863" s="6">
        <f>S1863&amp;T1863</f>
        <v/>
      </c>
      <c r="S1863" s="6">
        <f>YEAR(U1863)</f>
        <v/>
      </c>
      <c r="T1863" s="6">
        <f>MONTH(U1863)</f>
        <v/>
      </c>
      <c r="U1863" s="267">
        <f>IFERROR(__xludf.DUMMYFUNCTION("""COMPUTED_VALUE"""),45874.6458333333)</f>
        <v/>
      </c>
      <c r="V1863" s="6">
        <f>IFERROR(__xludf.DUMMYFUNCTION("""COMPUTED_VALUE"""),3198)</f>
        <v/>
      </c>
      <c r="Z1863" s="6">
        <f>AA1863&amp;AB1863</f>
        <v/>
      </c>
      <c r="AA1863" s="6">
        <f>YEAR(AC1863)</f>
        <v/>
      </c>
      <c r="AB1863" s="6">
        <f>MONTH(AC1863)</f>
        <v/>
      </c>
      <c r="AC1863" s="267">
        <f>IFERROR(__xludf.DUMMYFUNCTION("""COMPUTED_VALUE"""),45012.9986111111)</f>
        <v/>
      </c>
      <c r="AD1863" s="6">
        <f>IFERROR(__xludf.DUMMYFUNCTION("""COMPUTED_VALUE"""),1297.8)</f>
        <v/>
      </c>
      <c r="AH1863" s="6">
        <f>AI1863&amp;AJ1863</f>
        <v/>
      </c>
      <c r="AI1863" s="6">
        <f>YEAR(AK1863)</f>
        <v/>
      </c>
      <c r="AJ1863" s="6">
        <f>MONTH(AK1863)</f>
        <v/>
      </c>
      <c r="AK1863" s="267">
        <f>IFERROR(__xludf.DUMMYFUNCTION("""COMPUTED_VALUE"""),44956.9986111111)</f>
        <v/>
      </c>
      <c r="AL1863" s="6">
        <f>IFERROR(__xludf.DUMMYFUNCTION("""COMPUTED_VALUE"""),22832.76)</f>
        <v/>
      </c>
      <c r="AP1863" s="6">
        <f>AQ1863&amp;AR1863</f>
        <v/>
      </c>
      <c r="AQ1863" s="6">
        <f>YEAR(AS1863)</f>
        <v/>
      </c>
      <c r="AR1863" s="6">
        <f>MONTH(AS1863)</f>
        <v/>
      </c>
      <c r="AS1863" s="267">
        <f>IFERROR(__xludf.DUMMYFUNCTION("""COMPUTED_VALUE"""),45813.9986111111)</f>
        <v/>
      </c>
      <c r="AT1863" s="6">
        <f>IFERROR(__xludf.DUMMYFUNCTION("""COMPUTED_VALUE"""),3375.1)</f>
        <v/>
      </c>
    </row>
    <row r="1864">
      <c r="B1864" s="6">
        <f>C1864&amp;D1864</f>
        <v/>
      </c>
      <c r="C1864" s="6">
        <f>YEAR(E1864)</f>
        <v/>
      </c>
      <c r="D1864" s="6">
        <f>MONTH(E1864)</f>
        <v/>
      </c>
      <c r="E1864" s="267">
        <f>IFERROR(__xludf.DUMMYFUNCTION("""COMPUTED_VALUE"""),45807.6666666666)</f>
        <v/>
      </c>
      <c r="F1864" s="6">
        <f>IFERROR(__xludf.DUMMYFUNCTION("""COMPUTED_VALUE"""),5911.69)</f>
        <v/>
      </c>
      <c r="J1864" s="6">
        <f>K1864&amp;L1864</f>
        <v/>
      </c>
      <c r="K1864" s="6">
        <f>YEAR(M1864)</f>
        <v/>
      </c>
      <c r="L1864" s="6">
        <f>MONTH(M1864)</f>
        <v/>
      </c>
      <c r="M1864" s="267">
        <f>IFERROR(__xludf.DUMMYFUNCTION("""COMPUTED_VALUE"""),45799.6666666666)</f>
        <v/>
      </c>
      <c r="N1864" s="6">
        <f>IFERROR(__xludf.DUMMYFUNCTION("""COMPUTED_VALUE"""),18925.74)</f>
        <v/>
      </c>
      <c r="R1864" s="6">
        <f>S1864&amp;T1864</f>
        <v/>
      </c>
      <c r="S1864" s="6">
        <f>YEAR(U1864)</f>
        <v/>
      </c>
      <c r="T1864" s="6">
        <f>MONTH(U1864)</f>
        <v/>
      </c>
      <c r="U1864" s="267">
        <f>IFERROR(__xludf.DUMMYFUNCTION("""COMPUTED_VALUE"""),45875.6458333333)</f>
        <v/>
      </c>
      <c r="V1864" s="6">
        <f>IFERROR(__xludf.DUMMYFUNCTION("""COMPUTED_VALUE"""),3198.14)</f>
        <v/>
      </c>
      <c r="Z1864" s="6">
        <f>AA1864&amp;AB1864</f>
        <v/>
      </c>
      <c r="AA1864" s="6">
        <f>YEAR(AC1864)</f>
        <v/>
      </c>
      <c r="AB1864" s="6">
        <f>MONTH(AC1864)</f>
        <v/>
      </c>
      <c r="AC1864" s="267">
        <f>IFERROR(__xludf.DUMMYFUNCTION("""COMPUTED_VALUE"""),45013.9986111111)</f>
        <v/>
      </c>
      <c r="AD1864" s="6">
        <f>IFERROR(__xludf.DUMMYFUNCTION("""COMPUTED_VALUE"""),1296.98)</f>
        <v/>
      </c>
      <c r="AH1864" s="6">
        <f>AI1864&amp;AJ1864</f>
        <v/>
      </c>
      <c r="AI1864" s="6">
        <f>YEAR(AK1864)</f>
        <v/>
      </c>
      <c r="AJ1864" s="6">
        <f>MONTH(AK1864)</f>
        <v/>
      </c>
      <c r="AK1864" s="267">
        <f>IFERROR(__xludf.DUMMYFUNCTION("""COMPUTED_VALUE"""),44957.9986111111)</f>
        <v/>
      </c>
      <c r="AL1864" s="6">
        <f>IFERROR(__xludf.DUMMYFUNCTION("""COMPUTED_VALUE"""),23129.07)</f>
        <v/>
      </c>
      <c r="AP1864" s="6">
        <f>AQ1864&amp;AR1864</f>
        <v/>
      </c>
      <c r="AQ1864" s="6">
        <f>YEAR(AS1864)</f>
        <v/>
      </c>
      <c r="AR1864" s="6">
        <f>MONTH(AS1864)</f>
        <v/>
      </c>
      <c r="AS1864" s="267">
        <f>IFERROR(__xludf.DUMMYFUNCTION("""COMPUTED_VALUE"""),45814.9986111111)</f>
        <v/>
      </c>
      <c r="AT1864" s="6">
        <f>IFERROR(__xludf.DUMMYFUNCTION("""COMPUTED_VALUE"""),3346.6)</f>
        <v/>
      </c>
    </row>
    <row r="1865">
      <c r="B1865" s="6">
        <f>C1865&amp;D1865</f>
        <v/>
      </c>
      <c r="C1865" s="6">
        <f>YEAR(E1865)</f>
        <v/>
      </c>
      <c r="D1865" s="6">
        <f>MONTH(E1865)</f>
        <v/>
      </c>
      <c r="E1865" s="267">
        <f>IFERROR(__xludf.DUMMYFUNCTION("""COMPUTED_VALUE"""),45810.6666666666)</f>
        <v/>
      </c>
      <c r="F1865" s="6">
        <f>IFERROR(__xludf.DUMMYFUNCTION("""COMPUTED_VALUE"""),5935.94)</f>
        <v/>
      </c>
      <c r="J1865" s="6">
        <f>K1865&amp;L1865</f>
        <v/>
      </c>
      <c r="K1865" s="6">
        <f>YEAR(M1865)</f>
        <v/>
      </c>
      <c r="L1865" s="6">
        <f>MONTH(M1865)</f>
        <v/>
      </c>
      <c r="M1865" s="267">
        <f>IFERROR(__xludf.DUMMYFUNCTION("""COMPUTED_VALUE"""),45800.6666666666)</f>
        <v/>
      </c>
      <c r="N1865" s="6">
        <f>IFERROR(__xludf.DUMMYFUNCTION("""COMPUTED_VALUE"""),18737.21)</f>
        <v/>
      </c>
      <c r="R1865" s="6">
        <f>S1865&amp;T1865</f>
        <v/>
      </c>
      <c r="S1865" s="6">
        <f>YEAR(U1865)</f>
        <v/>
      </c>
      <c r="T1865" s="6">
        <f>MONTH(U1865)</f>
        <v/>
      </c>
      <c r="U1865" s="267">
        <f>IFERROR(__xludf.DUMMYFUNCTION("""COMPUTED_VALUE"""),45876.6458333333)</f>
        <v/>
      </c>
      <c r="V1865" s="6">
        <f>IFERROR(__xludf.DUMMYFUNCTION("""COMPUTED_VALUE"""),3227.68)</f>
        <v/>
      </c>
      <c r="Z1865" s="6">
        <f>AA1865&amp;AB1865</f>
        <v/>
      </c>
      <c r="AA1865" s="6">
        <f>YEAR(AC1865)</f>
        <v/>
      </c>
      <c r="AB1865" s="6">
        <f>MONTH(AC1865)</f>
        <v/>
      </c>
      <c r="AC1865" s="267">
        <f>IFERROR(__xludf.DUMMYFUNCTION("""COMPUTED_VALUE"""),45014.9986111111)</f>
        <v/>
      </c>
      <c r="AD1865" s="6">
        <f>IFERROR(__xludf.DUMMYFUNCTION("""COMPUTED_VALUE"""),1307.13)</f>
        <v/>
      </c>
      <c r="AH1865" s="6">
        <f>AI1865&amp;AJ1865</f>
        <v/>
      </c>
      <c r="AI1865" s="6">
        <f>YEAR(AK1865)</f>
        <v/>
      </c>
      <c r="AJ1865" s="6">
        <f>MONTH(AK1865)</f>
        <v/>
      </c>
      <c r="AK1865" s="267">
        <f>IFERROR(__xludf.DUMMYFUNCTION("""COMPUTED_VALUE"""),44958.9986111111)</f>
        <v/>
      </c>
      <c r="AL1865" s="6">
        <f>IFERROR(__xludf.DUMMYFUNCTION("""COMPUTED_VALUE"""),23726.49)</f>
        <v/>
      </c>
      <c r="AP1865" s="6">
        <f>AQ1865&amp;AR1865</f>
        <v/>
      </c>
      <c r="AQ1865" s="6">
        <f>YEAR(AS1865)</f>
        <v/>
      </c>
      <c r="AR1865" s="6">
        <f>MONTH(AS1865)</f>
        <v/>
      </c>
      <c r="AS1865" s="267">
        <f>IFERROR(__xludf.DUMMYFUNCTION("""COMPUTED_VALUE"""),45817.9986111111)</f>
        <v/>
      </c>
      <c r="AT1865" s="6">
        <f>IFERROR(__xludf.DUMMYFUNCTION("""COMPUTED_VALUE"""),3354.9)</f>
        <v/>
      </c>
    </row>
    <row r="1866">
      <c r="B1866" s="6">
        <f>C1866&amp;D1866</f>
        <v/>
      </c>
      <c r="C1866" s="6">
        <f>YEAR(E1866)</f>
        <v/>
      </c>
      <c r="D1866" s="6">
        <f>MONTH(E1866)</f>
        <v/>
      </c>
      <c r="E1866" s="267">
        <f>IFERROR(__xludf.DUMMYFUNCTION("""COMPUTED_VALUE"""),45811.6666666666)</f>
        <v/>
      </c>
      <c r="F1866" s="6">
        <f>IFERROR(__xludf.DUMMYFUNCTION("""COMPUTED_VALUE"""),5970.37)</f>
        <v/>
      </c>
      <c r="J1866" s="6">
        <f>K1866&amp;L1866</f>
        <v/>
      </c>
      <c r="K1866" s="6">
        <f>YEAR(M1866)</f>
        <v/>
      </c>
      <c r="L1866" s="6">
        <f>MONTH(M1866)</f>
        <v/>
      </c>
      <c r="M1866" s="267">
        <f>IFERROR(__xludf.DUMMYFUNCTION("""COMPUTED_VALUE"""),45804.6666666666)</f>
        <v/>
      </c>
      <c r="N1866" s="6">
        <f>IFERROR(__xludf.DUMMYFUNCTION("""COMPUTED_VALUE"""),19199.16)</f>
        <v/>
      </c>
      <c r="R1866" s="6">
        <f>S1866&amp;T1866</f>
        <v/>
      </c>
      <c r="S1866" s="6">
        <f>YEAR(U1866)</f>
        <v/>
      </c>
      <c r="T1866" s="6">
        <f>MONTH(U1866)</f>
        <v/>
      </c>
      <c r="U1866" s="267">
        <f>IFERROR(__xludf.DUMMYFUNCTION("""COMPUTED_VALUE"""),45877.6458333333)</f>
        <v/>
      </c>
      <c r="V1866" s="6">
        <f>IFERROR(__xludf.DUMMYFUNCTION("""COMPUTED_VALUE"""),3210.01)</f>
        <v/>
      </c>
      <c r="Z1866" s="6">
        <f>AA1866&amp;AB1866</f>
        <v/>
      </c>
      <c r="AA1866" s="6">
        <f>YEAR(AC1866)</f>
        <v/>
      </c>
      <c r="AB1866" s="6">
        <f>MONTH(AC1866)</f>
        <v/>
      </c>
      <c r="AC1866" s="267">
        <f>IFERROR(__xludf.DUMMYFUNCTION("""COMPUTED_VALUE"""),45015.9986111111)</f>
        <v/>
      </c>
      <c r="AD1866" s="6">
        <f>IFERROR(__xludf.DUMMYFUNCTION("""COMPUTED_VALUE"""),1296.5)</f>
        <v/>
      </c>
      <c r="AH1866" s="6">
        <f>AI1866&amp;AJ1866</f>
        <v/>
      </c>
      <c r="AI1866" s="6">
        <f>YEAR(AK1866)</f>
        <v/>
      </c>
      <c r="AJ1866" s="6">
        <f>MONTH(AK1866)</f>
        <v/>
      </c>
      <c r="AK1866" s="267">
        <f>IFERROR(__xludf.DUMMYFUNCTION("""COMPUTED_VALUE"""),44959.9986111111)</f>
        <v/>
      </c>
      <c r="AL1866" s="6">
        <f>IFERROR(__xludf.DUMMYFUNCTION("""COMPUTED_VALUE"""),23466.61)</f>
        <v/>
      </c>
      <c r="AP1866" s="6">
        <f>AQ1866&amp;AR1866</f>
        <v/>
      </c>
      <c r="AQ1866" s="6">
        <f>YEAR(AS1866)</f>
        <v/>
      </c>
      <c r="AR1866" s="6">
        <f>MONTH(AS1866)</f>
        <v/>
      </c>
      <c r="AS1866" s="267">
        <f>IFERROR(__xludf.DUMMYFUNCTION("""COMPUTED_VALUE"""),45818.9986111111)</f>
        <v/>
      </c>
      <c r="AT1866" s="6">
        <f>IFERROR(__xludf.DUMMYFUNCTION("""COMPUTED_VALUE"""),3343.4)</f>
        <v/>
      </c>
    </row>
    <row r="1867">
      <c r="B1867" s="6">
        <f>C1867&amp;D1867</f>
        <v/>
      </c>
      <c r="C1867" s="6">
        <f>YEAR(E1867)</f>
        <v/>
      </c>
      <c r="D1867" s="6">
        <f>MONTH(E1867)</f>
        <v/>
      </c>
      <c r="E1867" s="267">
        <f>IFERROR(__xludf.DUMMYFUNCTION("""COMPUTED_VALUE"""),45812.6666666666)</f>
        <v/>
      </c>
      <c r="F1867" s="6">
        <f>IFERROR(__xludf.DUMMYFUNCTION("""COMPUTED_VALUE"""),5970.81)</f>
        <v/>
      </c>
      <c r="J1867" s="6">
        <f>K1867&amp;L1867</f>
        <v/>
      </c>
      <c r="K1867" s="6">
        <f>YEAR(M1867)</f>
        <v/>
      </c>
      <c r="L1867" s="6">
        <f>MONTH(M1867)</f>
        <v/>
      </c>
      <c r="M1867" s="267">
        <f>IFERROR(__xludf.DUMMYFUNCTION("""COMPUTED_VALUE"""),45805.6666666666)</f>
        <v/>
      </c>
      <c r="N1867" s="6">
        <f>IFERROR(__xludf.DUMMYFUNCTION("""COMPUTED_VALUE"""),19100.94)</f>
        <v/>
      </c>
      <c r="R1867" s="6">
        <f>S1867&amp;T1867</f>
        <v/>
      </c>
      <c r="S1867" s="6">
        <f>YEAR(U1867)</f>
        <v/>
      </c>
      <c r="T1867" s="6">
        <f>MONTH(U1867)</f>
        <v/>
      </c>
      <c r="U1867" s="267">
        <f>IFERROR(__xludf.DUMMYFUNCTION("""COMPUTED_VALUE"""),45880.6458333333)</f>
        <v/>
      </c>
      <c r="V1867" s="6">
        <f>IFERROR(__xludf.DUMMYFUNCTION("""COMPUTED_VALUE"""),3206.77)</f>
        <v/>
      </c>
      <c r="Z1867" s="6">
        <f>AA1867&amp;AB1867</f>
        <v/>
      </c>
      <c r="AA1867" s="6">
        <f>YEAR(AC1867)</f>
        <v/>
      </c>
      <c r="AB1867" s="6">
        <f>MONTH(AC1867)</f>
        <v/>
      </c>
      <c r="AC1867" s="267">
        <f>IFERROR(__xludf.DUMMYFUNCTION("""COMPUTED_VALUE"""),45016.9986111111)</f>
        <v/>
      </c>
      <c r="AD1867" s="6">
        <f>IFERROR(__xludf.DUMMYFUNCTION("""COMPUTED_VALUE"""),1306.15)</f>
        <v/>
      </c>
      <c r="AH1867" s="6">
        <f>AI1867&amp;AJ1867</f>
        <v/>
      </c>
      <c r="AI1867" s="6">
        <f>YEAR(AK1867)</f>
        <v/>
      </c>
      <c r="AJ1867" s="6">
        <f>MONTH(AK1867)</f>
        <v/>
      </c>
      <c r="AK1867" s="267">
        <f>IFERROR(__xludf.DUMMYFUNCTION("""COMPUTED_VALUE"""),44960.9986111111)</f>
        <v/>
      </c>
      <c r="AL1867" s="6">
        <f>IFERROR(__xludf.DUMMYFUNCTION("""COMPUTED_VALUE"""),23433.82)</f>
        <v/>
      </c>
      <c r="AP1867" s="6">
        <f>AQ1867&amp;AR1867</f>
        <v/>
      </c>
      <c r="AQ1867" s="6">
        <f>YEAR(AS1867)</f>
        <v/>
      </c>
      <c r="AR1867" s="6">
        <f>MONTH(AS1867)</f>
        <v/>
      </c>
      <c r="AS1867" s="267">
        <f>IFERROR(__xludf.DUMMYFUNCTION("""COMPUTED_VALUE"""),45819.9986111111)</f>
        <v/>
      </c>
      <c r="AT1867" s="6">
        <f>IFERROR(__xludf.DUMMYFUNCTION("""COMPUTED_VALUE"""),3343.7)</f>
        <v/>
      </c>
    </row>
    <row r="1868">
      <c r="B1868" s="6">
        <f>C1868&amp;D1868</f>
        <v/>
      </c>
      <c r="C1868" s="6">
        <f>YEAR(E1868)</f>
        <v/>
      </c>
      <c r="D1868" s="6">
        <f>MONTH(E1868)</f>
        <v/>
      </c>
      <c r="E1868" s="267">
        <f>IFERROR(__xludf.DUMMYFUNCTION("""COMPUTED_VALUE"""),45813.6666666666)</f>
        <v/>
      </c>
      <c r="F1868" s="6">
        <f>IFERROR(__xludf.DUMMYFUNCTION("""COMPUTED_VALUE"""),5939.3)</f>
        <v/>
      </c>
      <c r="J1868" s="6">
        <f>K1868&amp;L1868</f>
        <v/>
      </c>
      <c r="K1868" s="6">
        <f>YEAR(M1868)</f>
        <v/>
      </c>
      <c r="L1868" s="6">
        <f>MONTH(M1868)</f>
        <v/>
      </c>
      <c r="M1868" s="267">
        <f>IFERROR(__xludf.DUMMYFUNCTION("""COMPUTED_VALUE"""),45806.6666666666)</f>
        <v/>
      </c>
      <c r="N1868" s="6">
        <f>IFERROR(__xludf.DUMMYFUNCTION("""COMPUTED_VALUE"""),19175.87)</f>
        <v/>
      </c>
      <c r="R1868" s="6">
        <f>S1868&amp;T1868</f>
        <v/>
      </c>
      <c r="S1868" s="6">
        <f>YEAR(U1868)</f>
        <v/>
      </c>
      <c r="T1868" s="6">
        <f>MONTH(U1868)</f>
        <v/>
      </c>
      <c r="U1868" s="267">
        <f>IFERROR(__xludf.DUMMYFUNCTION("""COMPUTED_VALUE"""),45881.6458333333)</f>
        <v/>
      </c>
      <c r="V1868" s="6">
        <f>IFERROR(__xludf.DUMMYFUNCTION("""COMPUTED_VALUE"""),3189.91)</f>
        <v/>
      </c>
      <c r="Z1868" s="6">
        <f>AA1868&amp;AB1868</f>
        <v/>
      </c>
      <c r="AA1868" s="6">
        <f>YEAR(AC1868)</f>
        <v/>
      </c>
      <c r="AB1868" s="6">
        <f>MONTH(AC1868)</f>
        <v/>
      </c>
      <c r="AC1868" s="267">
        <f>IFERROR(__xludf.DUMMYFUNCTION("""COMPUTED_VALUE"""),45017.9986111111)</f>
        <v/>
      </c>
      <c r="AD1868" s="6">
        <f>IFERROR(__xludf.DUMMYFUNCTION("""COMPUTED_VALUE"""),1306.15)</f>
        <v/>
      </c>
      <c r="AH1868" s="6">
        <f>AI1868&amp;AJ1868</f>
        <v/>
      </c>
      <c r="AI1868" s="6">
        <f>YEAR(AK1868)</f>
        <v/>
      </c>
      <c r="AJ1868" s="6">
        <f>MONTH(AK1868)</f>
        <v/>
      </c>
      <c r="AK1868" s="267">
        <f>IFERROR(__xludf.DUMMYFUNCTION("""COMPUTED_VALUE"""),44961.9986111111)</f>
        <v/>
      </c>
      <c r="AL1868" s="6">
        <f>IFERROR(__xludf.DUMMYFUNCTION("""COMPUTED_VALUE"""),23326.39)</f>
        <v/>
      </c>
      <c r="AP1868" s="6">
        <f>AQ1868&amp;AR1868</f>
        <v/>
      </c>
      <c r="AQ1868" s="6">
        <f>YEAR(AS1868)</f>
        <v/>
      </c>
      <c r="AR1868" s="6">
        <f>MONTH(AS1868)</f>
        <v/>
      </c>
      <c r="AS1868" s="267">
        <f>IFERROR(__xludf.DUMMYFUNCTION("""COMPUTED_VALUE"""),45820.9986111111)</f>
        <v/>
      </c>
      <c r="AT1868" s="6">
        <f>IFERROR(__xludf.DUMMYFUNCTION("""COMPUTED_VALUE"""),3402.4)</f>
        <v/>
      </c>
    </row>
    <row r="1869">
      <c r="B1869" s="6">
        <f>C1869&amp;D1869</f>
        <v/>
      </c>
      <c r="C1869" s="6">
        <f>YEAR(E1869)</f>
        <v/>
      </c>
      <c r="D1869" s="6">
        <f>MONTH(E1869)</f>
        <v/>
      </c>
      <c r="E1869" s="267">
        <f>IFERROR(__xludf.DUMMYFUNCTION("""COMPUTED_VALUE"""),45814.6666666666)</f>
        <v/>
      </c>
      <c r="F1869" s="6">
        <f>IFERROR(__xludf.DUMMYFUNCTION("""COMPUTED_VALUE"""),6000.36)</f>
        <v/>
      </c>
      <c r="J1869" s="6">
        <f>K1869&amp;L1869</f>
        <v/>
      </c>
      <c r="K1869" s="6">
        <f>YEAR(M1869)</f>
        <v/>
      </c>
      <c r="L1869" s="6">
        <f>MONTH(M1869)</f>
        <v/>
      </c>
      <c r="M1869" s="267">
        <f>IFERROR(__xludf.DUMMYFUNCTION("""COMPUTED_VALUE"""),45807.6666666666)</f>
        <v/>
      </c>
      <c r="N1869" s="6">
        <f>IFERROR(__xludf.DUMMYFUNCTION("""COMPUTED_VALUE"""),19113.77)</f>
        <v/>
      </c>
      <c r="R1869" s="6">
        <f>S1869&amp;T1869</f>
        <v/>
      </c>
      <c r="S1869" s="6">
        <f>YEAR(U1869)</f>
        <v/>
      </c>
      <c r="T1869" s="6">
        <f>MONTH(U1869)</f>
        <v/>
      </c>
      <c r="U1869" s="267">
        <f>IFERROR(__xludf.DUMMYFUNCTION("""COMPUTED_VALUE"""),45882.6458333333)</f>
        <v/>
      </c>
      <c r="V1869" s="6">
        <f>IFERROR(__xludf.DUMMYFUNCTION("""COMPUTED_VALUE"""),3224.37)</f>
        <v/>
      </c>
      <c r="Z1869" s="6">
        <f>AA1869&amp;AB1869</f>
        <v/>
      </c>
      <c r="AA1869" s="6">
        <f>YEAR(AC1869)</f>
        <v/>
      </c>
      <c r="AB1869" s="6">
        <f>MONTH(AC1869)</f>
        <v/>
      </c>
      <c r="AC1869" s="267">
        <f>IFERROR(__xludf.DUMMYFUNCTION("""COMPUTED_VALUE"""),45018.9986111111)</f>
        <v/>
      </c>
      <c r="AD1869" s="6">
        <f>IFERROR(__xludf.DUMMYFUNCTION("""COMPUTED_VALUE"""),1305.48)</f>
        <v/>
      </c>
      <c r="AH1869" s="6">
        <f>AI1869&amp;AJ1869</f>
        <v/>
      </c>
      <c r="AI1869" s="6">
        <f>YEAR(AK1869)</f>
        <v/>
      </c>
      <c r="AJ1869" s="6">
        <f>MONTH(AK1869)</f>
        <v/>
      </c>
      <c r="AK1869" s="267">
        <f>IFERROR(__xludf.DUMMYFUNCTION("""COMPUTED_VALUE"""),44962.9986111111)</f>
        <v/>
      </c>
      <c r="AL1869" s="6">
        <f>IFERROR(__xludf.DUMMYFUNCTION("""COMPUTED_VALUE"""),22935.36)</f>
        <v/>
      </c>
      <c r="AP1869" s="6">
        <f>AQ1869&amp;AR1869</f>
        <v/>
      </c>
      <c r="AQ1869" s="6">
        <f>YEAR(AS1869)</f>
        <v/>
      </c>
      <c r="AR1869" s="6">
        <f>MONTH(AS1869)</f>
        <v/>
      </c>
      <c r="AS1869" s="267">
        <f>IFERROR(__xludf.DUMMYFUNCTION("""COMPUTED_VALUE"""),45821.9986111111)</f>
        <v/>
      </c>
      <c r="AT1869" s="6">
        <f>IFERROR(__xludf.DUMMYFUNCTION("""COMPUTED_VALUE"""),3452.8)</f>
        <v/>
      </c>
    </row>
    <row r="1870">
      <c r="B1870" s="6">
        <f>C1870&amp;D1870</f>
        <v/>
      </c>
      <c r="C1870" s="6">
        <f>YEAR(E1870)</f>
        <v/>
      </c>
      <c r="D1870" s="6">
        <f>MONTH(E1870)</f>
        <v/>
      </c>
      <c r="E1870" s="267">
        <f>IFERROR(__xludf.DUMMYFUNCTION("""COMPUTED_VALUE"""),45817.6666666666)</f>
        <v/>
      </c>
      <c r="F1870" s="6">
        <f>IFERROR(__xludf.DUMMYFUNCTION("""COMPUTED_VALUE"""),6005.88)</f>
        <v/>
      </c>
      <c r="J1870" s="6">
        <f>K1870&amp;L1870</f>
        <v/>
      </c>
      <c r="K1870" s="6">
        <f>YEAR(M1870)</f>
        <v/>
      </c>
      <c r="L1870" s="6">
        <f>MONTH(M1870)</f>
        <v/>
      </c>
      <c r="M1870" s="267">
        <f>IFERROR(__xludf.DUMMYFUNCTION("""COMPUTED_VALUE"""),45810.6666666666)</f>
        <v/>
      </c>
      <c r="N1870" s="6">
        <f>IFERROR(__xludf.DUMMYFUNCTION("""COMPUTED_VALUE"""),19242.61)</f>
        <v/>
      </c>
      <c r="R1870" s="6">
        <f>S1870&amp;T1870</f>
        <v/>
      </c>
      <c r="S1870" s="6">
        <f>YEAR(U1870)</f>
        <v/>
      </c>
      <c r="T1870" s="6">
        <f>MONTH(U1870)</f>
        <v/>
      </c>
      <c r="U1870" s="267">
        <f>IFERROR(__xludf.DUMMYFUNCTION("""COMPUTED_VALUE"""),45883.6458333333)</f>
        <v/>
      </c>
      <c r="V1870" s="6">
        <f>IFERROR(__xludf.DUMMYFUNCTION("""COMPUTED_VALUE"""),3225.66)</f>
        <v/>
      </c>
      <c r="Z1870" s="6">
        <f>AA1870&amp;AB1870</f>
        <v/>
      </c>
      <c r="AA1870" s="6">
        <f>YEAR(AC1870)</f>
        <v/>
      </c>
      <c r="AB1870" s="6">
        <f>MONTH(AC1870)</f>
        <v/>
      </c>
      <c r="AC1870" s="267">
        <f>IFERROR(__xludf.DUMMYFUNCTION("""COMPUTED_VALUE"""),45019.9986111111)</f>
        <v/>
      </c>
      <c r="AD1870" s="6">
        <f>IFERROR(__xludf.DUMMYFUNCTION("""COMPUTED_VALUE"""),1308.05)</f>
        <v/>
      </c>
      <c r="AH1870" s="6">
        <f>AI1870&amp;AJ1870</f>
        <v/>
      </c>
      <c r="AI1870" s="6">
        <f>YEAR(AK1870)</f>
        <v/>
      </c>
      <c r="AJ1870" s="6">
        <f>MONTH(AK1870)</f>
        <v/>
      </c>
      <c r="AK1870" s="267">
        <f>IFERROR(__xludf.DUMMYFUNCTION("""COMPUTED_VALUE"""),44963.9986111111)</f>
        <v/>
      </c>
      <c r="AL1870" s="6">
        <f>IFERROR(__xludf.DUMMYFUNCTION("""COMPUTED_VALUE"""),22759.66)</f>
        <v/>
      </c>
      <c r="AP1870" s="6">
        <f>AQ1870&amp;AR1870</f>
        <v/>
      </c>
      <c r="AQ1870" s="6">
        <f>YEAR(AS1870)</f>
        <v/>
      </c>
      <c r="AR1870" s="6">
        <f>MONTH(AS1870)</f>
        <v/>
      </c>
      <c r="AS1870" s="267">
        <f>IFERROR(__xludf.DUMMYFUNCTION("""COMPUTED_VALUE"""),45824.9986111111)</f>
        <v/>
      </c>
      <c r="AT1870" s="6">
        <f>IFERROR(__xludf.DUMMYFUNCTION("""COMPUTED_VALUE"""),3417.3)</f>
        <v/>
      </c>
    </row>
    <row r="1871">
      <c r="B1871" s="6">
        <f>C1871&amp;D1871</f>
        <v/>
      </c>
      <c r="C1871" s="6">
        <f>YEAR(E1871)</f>
        <v/>
      </c>
      <c r="D1871" s="6">
        <f>MONTH(E1871)</f>
        <v/>
      </c>
      <c r="E1871" s="267">
        <f>IFERROR(__xludf.DUMMYFUNCTION("""COMPUTED_VALUE"""),45818.6666666666)</f>
        <v/>
      </c>
      <c r="F1871" s="6">
        <f>IFERROR(__xludf.DUMMYFUNCTION("""COMPUTED_VALUE"""),6038.81)</f>
        <v/>
      </c>
      <c r="J1871" s="6">
        <f>K1871&amp;L1871</f>
        <v/>
      </c>
      <c r="K1871" s="6">
        <f>YEAR(M1871)</f>
        <v/>
      </c>
      <c r="L1871" s="6">
        <f>MONTH(M1871)</f>
        <v/>
      </c>
      <c r="M1871" s="267">
        <f>IFERROR(__xludf.DUMMYFUNCTION("""COMPUTED_VALUE"""),45811.6666666666)</f>
        <v/>
      </c>
      <c r="N1871" s="6">
        <f>IFERROR(__xludf.DUMMYFUNCTION("""COMPUTED_VALUE"""),19398.96)</f>
        <v/>
      </c>
      <c r="R1871" s="6">
        <f>S1871&amp;T1871</f>
        <v/>
      </c>
      <c r="S1871" s="6">
        <f>YEAR(U1871)</f>
        <v/>
      </c>
      <c r="T1871" s="6">
        <f>MONTH(U1871)</f>
        <v/>
      </c>
      <c r="U1871" s="267">
        <f>IFERROR(__xludf.DUMMYFUNCTION("""COMPUTED_VALUE"""),45887.6458333333)</f>
        <v/>
      </c>
      <c r="V1871" s="6">
        <f>IFERROR(__xludf.DUMMYFUNCTION("""COMPUTED_VALUE"""),3177.28)</f>
        <v/>
      </c>
      <c r="Z1871" s="6">
        <f>AA1871&amp;AB1871</f>
        <v/>
      </c>
      <c r="AA1871" s="6">
        <f>YEAR(AC1871)</f>
        <v/>
      </c>
      <c r="AB1871" s="6">
        <f>MONTH(AC1871)</f>
        <v/>
      </c>
      <c r="AC1871" s="267">
        <f>IFERROR(__xludf.DUMMYFUNCTION("""COMPUTED_VALUE"""),45020.9986111111)</f>
        <v/>
      </c>
      <c r="AD1871" s="6">
        <f>IFERROR(__xludf.DUMMYFUNCTION("""COMPUTED_VALUE"""),1312.41)</f>
        <v/>
      </c>
      <c r="AH1871" s="6">
        <f>AI1871&amp;AJ1871</f>
        <v/>
      </c>
      <c r="AI1871" s="6">
        <f>YEAR(AK1871)</f>
        <v/>
      </c>
      <c r="AJ1871" s="6">
        <f>MONTH(AK1871)</f>
        <v/>
      </c>
      <c r="AK1871" s="267">
        <f>IFERROR(__xludf.DUMMYFUNCTION("""COMPUTED_VALUE"""),44964.9986111111)</f>
        <v/>
      </c>
      <c r="AL1871" s="6">
        <f>IFERROR(__xludf.DUMMYFUNCTION("""COMPUTED_VALUE"""),23249.69)</f>
        <v/>
      </c>
      <c r="AP1871" s="6">
        <f>AQ1871&amp;AR1871</f>
        <v/>
      </c>
      <c r="AQ1871" s="6">
        <f>YEAR(AS1871)</f>
        <v/>
      </c>
      <c r="AR1871" s="6">
        <f>MONTH(AS1871)</f>
        <v/>
      </c>
      <c r="AS1871" s="267">
        <f>IFERROR(__xludf.DUMMYFUNCTION("""COMPUTED_VALUE"""),45825.9986111111)</f>
        <v/>
      </c>
      <c r="AT1871" s="6">
        <f>IFERROR(__xludf.DUMMYFUNCTION("""COMPUTED_VALUE"""),3406.9)</f>
        <v/>
      </c>
    </row>
    <row r="1872">
      <c r="B1872" s="6">
        <f>C1872&amp;D1872</f>
        <v/>
      </c>
      <c r="C1872" s="6">
        <f>YEAR(E1872)</f>
        <v/>
      </c>
      <c r="D1872" s="6">
        <f>MONTH(E1872)</f>
        <v/>
      </c>
      <c r="E1872" s="267">
        <f>IFERROR(__xludf.DUMMYFUNCTION("""COMPUTED_VALUE"""),45819.6666666666)</f>
        <v/>
      </c>
      <c r="F1872" s="6">
        <f>IFERROR(__xludf.DUMMYFUNCTION("""COMPUTED_VALUE"""),6022.24)</f>
        <v/>
      </c>
      <c r="J1872" s="6">
        <f>K1872&amp;L1872</f>
        <v/>
      </c>
      <c r="K1872" s="6">
        <f>YEAR(M1872)</f>
        <v/>
      </c>
      <c r="L1872" s="6">
        <f>MONTH(M1872)</f>
        <v/>
      </c>
      <c r="M1872" s="267">
        <f>IFERROR(__xludf.DUMMYFUNCTION("""COMPUTED_VALUE"""),45812.6666666666)</f>
        <v/>
      </c>
      <c r="N1872" s="6">
        <f>IFERROR(__xludf.DUMMYFUNCTION("""COMPUTED_VALUE"""),19460.49)</f>
        <v/>
      </c>
      <c r="R1872" s="6">
        <f>S1872&amp;T1872</f>
        <v/>
      </c>
      <c r="S1872" s="6">
        <f>YEAR(U1872)</f>
        <v/>
      </c>
      <c r="T1872" s="6">
        <f>MONTH(U1872)</f>
        <v/>
      </c>
      <c r="U1872" s="267">
        <f>IFERROR(__xludf.DUMMYFUNCTION("""COMPUTED_VALUE"""),45888.6458333333)</f>
        <v/>
      </c>
      <c r="V1872" s="6">
        <f>IFERROR(__xludf.DUMMYFUNCTION("""COMPUTED_VALUE"""),3151.56)</f>
        <v/>
      </c>
      <c r="Z1872" s="6">
        <f>AA1872&amp;AB1872</f>
        <v/>
      </c>
      <c r="AA1872" s="6">
        <f>YEAR(AC1872)</f>
        <v/>
      </c>
      <c r="AB1872" s="6">
        <f>MONTH(AC1872)</f>
        <v/>
      </c>
      <c r="AC1872" s="267">
        <f>IFERROR(__xludf.DUMMYFUNCTION("""COMPUTED_VALUE"""),45021.9986111111)</f>
        <v/>
      </c>
      <c r="AD1872" s="6">
        <f>IFERROR(__xludf.DUMMYFUNCTION("""COMPUTED_VALUE"""),1316.21)</f>
        <v/>
      </c>
      <c r="AH1872" s="6">
        <f>AI1872&amp;AJ1872</f>
        <v/>
      </c>
      <c r="AI1872" s="6">
        <f>YEAR(AK1872)</f>
        <v/>
      </c>
      <c r="AJ1872" s="6">
        <f>MONTH(AK1872)</f>
        <v/>
      </c>
      <c r="AK1872" s="267">
        <f>IFERROR(__xludf.DUMMYFUNCTION("""COMPUTED_VALUE"""),44965.9986111111)</f>
        <v/>
      </c>
      <c r="AL1872" s="6">
        <f>IFERROR(__xludf.DUMMYFUNCTION("""COMPUTED_VALUE"""),22962.82)</f>
        <v/>
      </c>
      <c r="AP1872" s="6">
        <f>AQ1872&amp;AR1872</f>
        <v/>
      </c>
      <c r="AQ1872" s="6">
        <f>YEAR(AS1872)</f>
        <v/>
      </c>
      <c r="AR1872" s="6">
        <f>MONTH(AS1872)</f>
        <v/>
      </c>
      <c r="AS1872" s="267">
        <f>IFERROR(__xludf.DUMMYFUNCTION("""COMPUTED_VALUE"""),45826.9986111111)</f>
        <v/>
      </c>
      <c r="AT1872" s="6">
        <f>IFERROR(__xludf.DUMMYFUNCTION("""COMPUTED_VALUE"""),3408.1)</f>
        <v/>
      </c>
    </row>
    <row r="1873">
      <c r="B1873" s="6">
        <f>C1873&amp;D1873</f>
        <v/>
      </c>
      <c r="C1873" s="6">
        <f>YEAR(E1873)</f>
        <v/>
      </c>
      <c r="D1873" s="6">
        <f>MONTH(E1873)</f>
        <v/>
      </c>
      <c r="E1873" s="267">
        <f>IFERROR(__xludf.DUMMYFUNCTION("""COMPUTED_VALUE"""),45820.6666666666)</f>
        <v/>
      </c>
      <c r="F1873" s="6">
        <f>IFERROR(__xludf.DUMMYFUNCTION("""COMPUTED_VALUE"""),6045.26)</f>
        <v/>
      </c>
      <c r="J1873" s="6">
        <f>K1873&amp;L1873</f>
        <v/>
      </c>
      <c r="K1873" s="6">
        <f>YEAR(M1873)</f>
        <v/>
      </c>
      <c r="L1873" s="6">
        <f>MONTH(M1873)</f>
        <v/>
      </c>
      <c r="M1873" s="267">
        <f>IFERROR(__xludf.DUMMYFUNCTION("""COMPUTED_VALUE"""),45813.6666666666)</f>
        <v/>
      </c>
      <c r="N1873" s="6">
        <f>IFERROR(__xludf.DUMMYFUNCTION("""COMPUTED_VALUE"""),19298.45)</f>
        <v/>
      </c>
      <c r="R1873" s="6">
        <f>S1873&amp;T1873</f>
        <v/>
      </c>
      <c r="S1873" s="6">
        <f>YEAR(U1873)</f>
        <v/>
      </c>
      <c r="T1873" s="6">
        <f>MONTH(U1873)</f>
        <v/>
      </c>
      <c r="U1873" s="267">
        <f>IFERROR(__xludf.DUMMYFUNCTION("""COMPUTED_VALUE"""),45889.6458333333)</f>
        <v/>
      </c>
      <c r="V1873" s="6">
        <f>IFERROR(__xludf.DUMMYFUNCTION("""COMPUTED_VALUE"""),3130.09)</f>
        <v/>
      </c>
      <c r="Z1873" s="6">
        <f>AA1873&amp;AB1873</f>
        <v/>
      </c>
      <c r="AA1873" s="6">
        <f>YEAR(AC1873)</f>
        <v/>
      </c>
      <c r="AB1873" s="6">
        <f>MONTH(AC1873)</f>
        <v/>
      </c>
      <c r="AC1873" s="267">
        <f>IFERROR(__xludf.DUMMYFUNCTION("""COMPUTED_VALUE"""),45022.9986111111)</f>
        <v/>
      </c>
      <c r="AD1873" s="6">
        <f>IFERROR(__xludf.DUMMYFUNCTION("""COMPUTED_VALUE"""),1317.94)</f>
        <v/>
      </c>
      <c r="AH1873" s="6">
        <f>AI1873&amp;AJ1873</f>
        <v/>
      </c>
      <c r="AI1873" s="6">
        <f>YEAR(AK1873)</f>
        <v/>
      </c>
      <c r="AJ1873" s="6">
        <f>MONTH(AK1873)</f>
        <v/>
      </c>
      <c r="AK1873" s="267">
        <f>IFERROR(__xludf.DUMMYFUNCTION("""COMPUTED_VALUE"""),44966.9986111111)</f>
        <v/>
      </c>
      <c r="AL1873" s="6">
        <f>IFERROR(__xludf.DUMMYFUNCTION("""COMPUTED_VALUE"""),21796.41)</f>
        <v/>
      </c>
      <c r="AP1873" s="6">
        <f>AQ1873&amp;AR1873</f>
        <v/>
      </c>
      <c r="AQ1873" s="6">
        <f>YEAR(AS1873)</f>
        <v/>
      </c>
      <c r="AR1873" s="6">
        <f>MONTH(AS1873)</f>
        <v/>
      </c>
      <c r="AS1873" s="267">
        <f>IFERROR(__xludf.DUMMYFUNCTION("""COMPUTED_VALUE"""),45828.9986111111)</f>
        <v/>
      </c>
      <c r="AT1873" s="6">
        <f>IFERROR(__xludf.DUMMYFUNCTION("""COMPUTED_VALUE"""),3385.7)</f>
        <v/>
      </c>
    </row>
    <row r="1874">
      <c r="B1874" s="6">
        <f>C1874&amp;D1874</f>
        <v/>
      </c>
      <c r="C1874" s="6">
        <f>YEAR(E1874)</f>
        <v/>
      </c>
      <c r="D1874" s="6">
        <f>MONTH(E1874)</f>
        <v/>
      </c>
      <c r="E1874" s="267">
        <f>IFERROR(__xludf.DUMMYFUNCTION("""COMPUTED_VALUE"""),45821.6666666666)</f>
        <v/>
      </c>
      <c r="F1874" s="6">
        <f>IFERROR(__xludf.DUMMYFUNCTION("""COMPUTED_VALUE"""),5976.97)</f>
        <v/>
      </c>
      <c r="J1874" s="6">
        <f>K1874&amp;L1874</f>
        <v/>
      </c>
      <c r="K1874" s="6">
        <f>YEAR(M1874)</f>
        <v/>
      </c>
      <c r="L1874" s="6">
        <f>MONTH(M1874)</f>
        <v/>
      </c>
      <c r="M1874" s="267">
        <f>IFERROR(__xludf.DUMMYFUNCTION("""COMPUTED_VALUE"""),45814.6666666666)</f>
        <v/>
      </c>
      <c r="N1874" s="6">
        <f>IFERROR(__xludf.DUMMYFUNCTION("""COMPUTED_VALUE"""),19529.95)</f>
        <v/>
      </c>
      <c r="R1874" s="6">
        <f>S1874&amp;T1874</f>
        <v/>
      </c>
      <c r="S1874" s="6">
        <f>YEAR(U1874)</f>
        <v/>
      </c>
      <c r="T1874" s="6">
        <f>MONTH(U1874)</f>
        <v/>
      </c>
      <c r="U1874" s="267">
        <f>IFERROR(__xludf.DUMMYFUNCTION("""COMPUTED_VALUE"""),45890.6458333333)</f>
        <v/>
      </c>
      <c r="V1874" s="6">
        <f>IFERROR(__xludf.DUMMYFUNCTION("""COMPUTED_VALUE"""),3141.74)</f>
        <v/>
      </c>
      <c r="Z1874" s="6">
        <f>AA1874&amp;AB1874</f>
        <v/>
      </c>
      <c r="AA1874" s="6">
        <f>YEAR(AC1874)</f>
        <v/>
      </c>
      <c r="AB1874" s="6">
        <f>MONTH(AC1874)</f>
        <v/>
      </c>
      <c r="AC1874" s="267">
        <f>IFERROR(__xludf.DUMMYFUNCTION("""COMPUTED_VALUE"""),45023.9986111111)</f>
        <v/>
      </c>
      <c r="AD1874" s="6">
        <f>IFERROR(__xludf.DUMMYFUNCTION("""COMPUTED_VALUE"""),1315.34)</f>
        <v/>
      </c>
      <c r="AH1874" s="6">
        <f>AI1874&amp;AJ1874</f>
        <v/>
      </c>
      <c r="AI1874" s="6">
        <f>YEAR(AK1874)</f>
        <v/>
      </c>
      <c r="AJ1874" s="6">
        <f>MONTH(AK1874)</f>
        <v/>
      </c>
      <c r="AK1874" s="267">
        <f>IFERROR(__xludf.DUMMYFUNCTION("""COMPUTED_VALUE"""),44967.9986111111)</f>
        <v/>
      </c>
      <c r="AL1874" s="6">
        <f>IFERROR(__xludf.DUMMYFUNCTION("""COMPUTED_VALUE"""),21633.82)</f>
        <v/>
      </c>
      <c r="AP1874" s="6">
        <f>AQ1874&amp;AR1874</f>
        <v/>
      </c>
      <c r="AQ1874" s="6">
        <f>YEAR(AS1874)</f>
        <v/>
      </c>
      <c r="AR1874" s="6">
        <f>MONTH(AS1874)</f>
        <v/>
      </c>
      <c r="AS1874" s="267">
        <f>IFERROR(__xludf.DUMMYFUNCTION("""COMPUTED_VALUE"""),45831.9986111111)</f>
        <v/>
      </c>
      <c r="AT1874" s="6">
        <f>IFERROR(__xludf.DUMMYFUNCTION("""COMPUTED_VALUE"""),3395)</f>
        <v/>
      </c>
    </row>
    <row r="1875">
      <c r="B1875" s="6">
        <f>C1875&amp;D1875</f>
        <v/>
      </c>
      <c r="C1875" s="6">
        <f>YEAR(E1875)</f>
        <v/>
      </c>
      <c r="D1875" s="6">
        <f>MONTH(E1875)</f>
        <v/>
      </c>
      <c r="E1875" s="267">
        <f>IFERROR(__xludf.DUMMYFUNCTION("""COMPUTED_VALUE"""),45824.6666666666)</f>
        <v/>
      </c>
      <c r="F1875" s="6">
        <f>IFERROR(__xludf.DUMMYFUNCTION("""COMPUTED_VALUE"""),6033.11)</f>
        <v/>
      </c>
      <c r="J1875" s="6">
        <f>K1875&amp;L1875</f>
        <v/>
      </c>
      <c r="K1875" s="6">
        <f>YEAR(M1875)</f>
        <v/>
      </c>
      <c r="L1875" s="6">
        <f>MONTH(M1875)</f>
        <v/>
      </c>
      <c r="M1875" s="267">
        <f>IFERROR(__xludf.DUMMYFUNCTION("""COMPUTED_VALUE"""),45817.6666666666)</f>
        <v/>
      </c>
      <c r="N1875" s="6">
        <f>IFERROR(__xludf.DUMMYFUNCTION("""COMPUTED_VALUE"""),19591.24)</f>
        <v/>
      </c>
      <c r="R1875" s="6">
        <f>S1875&amp;T1875</f>
        <v/>
      </c>
      <c r="S1875" s="6">
        <f>YEAR(U1875)</f>
        <v/>
      </c>
      <c r="T1875" s="6">
        <f>MONTH(U1875)</f>
        <v/>
      </c>
      <c r="U1875" s="267">
        <f>IFERROR(__xludf.DUMMYFUNCTION("""COMPUTED_VALUE"""),45891.6458333333)</f>
        <v/>
      </c>
      <c r="V1875" s="6">
        <f>IFERROR(__xludf.DUMMYFUNCTION("""COMPUTED_VALUE"""),3168.73)</f>
        <v/>
      </c>
      <c r="Z1875" s="6">
        <f>AA1875&amp;AB1875</f>
        <v/>
      </c>
      <c r="AA1875" s="6">
        <f>YEAR(AC1875)</f>
        <v/>
      </c>
      <c r="AB1875" s="6">
        <f>MONTH(AC1875)</f>
        <v/>
      </c>
      <c r="AC1875" s="267">
        <f>IFERROR(__xludf.DUMMYFUNCTION("""COMPUTED_VALUE"""),45024.9986111111)</f>
        <v/>
      </c>
      <c r="AD1875" s="6">
        <f>IFERROR(__xludf.DUMMYFUNCTION("""COMPUTED_VALUE"""),1315.44)</f>
        <v/>
      </c>
      <c r="AH1875" s="6">
        <f>AI1875&amp;AJ1875</f>
        <v/>
      </c>
      <c r="AI1875" s="6">
        <f>YEAR(AK1875)</f>
        <v/>
      </c>
      <c r="AJ1875" s="6">
        <f>MONTH(AK1875)</f>
        <v/>
      </c>
      <c r="AK1875" s="267">
        <f>IFERROR(__xludf.DUMMYFUNCTION("""COMPUTED_VALUE"""),44968.9986111111)</f>
        <v/>
      </c>
      <c r="AL1875" s="6">
        <f>IFERROR(__xludf.DUMMYFUNCTION("""COMPUTED_VALUE"""),21862.51)</f>
        <v/>
      </c>
      <c r="AP1875" s="6">
        <f>AQ1875&amp;AR1875</f>
        <v/>
      </c>
      <c r="AQ1875" s="6">
        <f>YEAR(AS1875)</f>
        <v/>
      </c>
      <c r="AR1875" s="6">
        <f>MONTH(AS1875)</f>
        <v/>
      </c>
      <c r="AS1875" s="267">
        <f>IFERROR(__xludf.DUMMYFUNCTION("""COMPUTED_VALUE"""),45832.9986111111)</f>
        <v/>
      </c>
      <c r="AT1875" s="6">
        <f>IFERROR(__xludf.DUMMYFUNCTION("""COMPUTED_VALUE"""),3333.9)</f>
        <v/>
      </c>
    </row>
    <row r="1876">
      <c r="B1876" s="6">
        <f>C1876&amp;D1876</f>
        <v/>
      </c>
      <c r="C1876" s="6">
        <f>YEAR(E1876)</f>
        <v/>
      </c>
      <c r="D1876" s="6">
        <f>MONTH(E1876)</f>
        <v/>
      </c>
      <c r="E1876" s="267">
        <f>IFERROR(__xludf.DUMMYFUNCTION("""COMPUTED_VALUE"""),45825.6666666666)</f>
        <v/>
      </c>
      <c r="F1876" s="6">
        <f>IFERROR(__xludf.DUMMYFUNCTION("""COMPUTED_VALUE"""),5982.72)</f>
        <v/>
      </c>
      <c r="J1876" s="6">
        <f>K1876&amp;L1876</f>
        <v/>
      </c>
      <c r="K1876" s="6">
        <f>YEAR(M1876)</f>
        <v/>
      </c>
      <c r="L1876" s="6">
        <f>MONTH(M1876)</f>
        <v/>
      </c>
      <c r="M1876" s="267">
        <f>IFERROR(__xludf.DUMMYFUNCTION("""COMPUTED_VALUE"""),45818.6666666666)</f>
        <v/>
      </c>
      <c r="N1876" s="6">
        <f>IFERROR(__xludf.DUMMYFUNCTION("""COMPUTED_VALUE"""),19714.99)</f>
        <v/>
      </c>
      <c r="R1876" s="6">
        <f>S1876&amp;T1876</f>
        <v/>
      </c>
      <c r="S1876" s="6">
        <f>YEAR(U1876)</f>
        <v/>
      </c>
      <c r="T1876" s="6">
        <f>MONTH(U1876)</f>
        <v/>
      </c>
      <c r="U1876" s="267">
        <f>IFERROR(__xludf.DUMMYFUNCTION("""COMPUTED_VALUE"""),45894.6458333333)</f>
        <v/>
      </c>
      <c r="V1876" s="6">
        <f>IFERROR(__xludf.DUMMYFUNCTION("""COMPUTED_VALUE"""),3209.86)</f>
        <v/>
      </c>
      <c r="Z1876" s="6">
        <f>AA1876&amp;AB1876</f>
        <v/>
      </c>
      <c r="AA1876" s="6">
        <f>YEAR(AC1876)</f>
        <v/>
      </c>
      <c r="AB1876" s="6">
        <f>MONTH(AC1876)</f>
        <v/>
      </c>
      <c r="AC1876" s="267">
        <f>IFERROR(__xludf.DUMMYFUNCTION("""COMPUTED_VALUE"""),45025.9986111111)</f>
        <v/>
      </c>
      <c r="AD1876" s="6">
        <f>IFERROR(__xludf.DUMMYFUNCTION("""COMPUTED_VALUE"""),1315.45)</f>
        <v/>
      </c>
      <c r="AH1876" s="6">
        <f>AI1876&amp;AJ1876</f>
        <v/>
      </c>
      <c r="AI1876" s="6">
        <f>YEAR(AK1876)</f>
        <v/>
      </c>
      <c r="AJ1876" s="6">
        <f>MONTH(AK1876)</f>
        <v/>
      </c>
      <c r="AK1876" s="267">
        <f>IFERROR(__xludf.DUMMYFUNCTION("""COMPUTED_VALUE"""),44969.9986111111)</f>
        <v/>
      </c>
      <c r="AL1876" s="6">
        <f>IFERROR(__xludf.DUMMYFUNCTION("""COMPUTED_VALUE"""),21789.02)</f>
        <v/>
      </c>
      <c r="AP1876" s="6">
        <f>AQ1876&amp;AR1876</f>
        <v/>
      </c>
      <c r="AQ1876" s="6">
        <f>YEAR(AS1876)</f>
        <v/>
      </c>
      <c r="AR1876" s="6">
        <f>MONTH(AS1876)</f>
        <v/>
      </c>
      <c r="AS1876" s="267">
        <f>IFERROR(__xludf.DUMMYFUNCTION("""COMPUTED_VALUE"""),45833.9986111111)</f>
        <v/>
      </c>
      <c r="AT1876" s="6">
        <f>IFERROR(__xludf.DUMMYFUNCTION("""COMPUTED_VALUE"""),3343.1)</f>
        <v/>
      </c>
    </row>
    <row r="1877">
      <c r="B1877" s="6">
        <f>C1877&amp;D1877</f>
        <v/>
      </c>
      <c r="C1877" s="6">
        <f>YEAR(E1877)</f>
        <v/>
      </c>
      <c r="D1877" s="6">
        <f>MONTH(E1877)</f>
        <v/>
      </c>
      <c r="E1877" s="267">
        <f>IFERROR(__xludf.DUMMYFUNCTION("""COMPUTED_VALUE"""),45826.6666666666)</f>
        <v/>
      </c>
      <c r="F1877" s="6">
        <f>IFERROR(__xludf.DUMMYFUNCTION("""COMPUTED_VALUE"""),5980.87)</f>
        <v/>
      </c>
      <c r="J1877" s="6">
        <f>K1877&amp;L1877</f>
        <v/>
      </c>
      <c r="K1877" s="6">
        <f>YEAR(M1877)</f>
        <v/>
      </c>
      <c r="L1877" s="6">
        <f>MONTH(M1877)</f>
        <v/>
      </c>
      <c r="M1877" s="267">
        <f>IFERROR(__xludf.DUMMYFUNCTION("""COMPUTED_VALUE"""),45819.6666666666)</f>
        <v/>
      </c>
      <c r="N1877" s="6">
        <f>IFERROR(__xludf.DUMMYFUNCTION("""COMPUTED_VALUE"""),19615.88)</f>
        <v/>
      </c>
      <c r="R1877" s="6">
        <f>S1877&amp;T1877</f>
        <v/>
      </c>
      <c r="S1877" s="6">
        <f>YEAR(U1877)</f>
        <v/>
      </c>
      <c r="T1877" s="6">
        <f>MONTH(U1877)</f>
        <v/>
      </c>
      <c r="U1877" s="267">
        <f>IFERROR(__xludf.DUMMYFUNCTION("""COMPUTED_VALUE"""),45895.6458333333)</f>
        <v/>
      </c>
      <c r="V1877" s="6">
        <f>IFERROR(__xludf.DUMMYFUNCTION("""COMPUTED_VALUE"""),3179.36)</f>
        <v/>
      </c>
      <c r="Z1877" s="6">
        <f>AA1877&amp;AB1877</f>
        <v/>
      </c>
      <c r="AA1877" s="6">
        <f>YEAR(AC1877)</f>
        <v/>
      </c>
      <c r="AB1877" s="6">
        <f>MONTH(AC1877)</f>
        <v/>
      </c>
      <c r="AC1877" s="267">
        <f>IFERROR(__xludf.DUMMYFUNCTION("""COMPUTED_VALUE"""),45026.9986111111)</f>
        <v/>
      </c>
      <c r="AD1877" s="6">
        <f>IFERROR(__xludf.DUMMYFUNCTION("""COMPUTED_VALUE"""),1320.88)</f>
        <v/>
      </c>
      <c r="AH1877" s="6">
        <f>AI1877&amp;AJ1877</f>
        <v/>
      </c>
      <c r="AI1877" s="6">
        <f>YEAR(AK1877)</f>
        <v/>
      </c>
      <c r="AJ1877" s="6">
        <f>MONTH(AK1877)</f>
        <v/>
      </c>
      <c r="AK1877" s="267">
        <f>IFERROR(__xludf.DUMMYFUNCTION("""COMPUTED_VALUE"""),44970.9986111111)</f>
        <v/>
      </c>
      <c r="AL1877" s="6">
        <f>IFERROR(__xludf.DUMMYFUNCTION("""COMPUTED_VALUE"""),21786.16)</f>
        <v/>
      </c>
      <c r="AP1877" s="6">
        <f>AQ1877&amp;AR1877</f>
        <v/>
      </c>
      <c r="AQ1877" s="6">
        <f>YEAR(AS1877)</f>
        <v/>
      </c>
      <c r="AR1877" s="6">
        <f>MONTH(AS1877)</f>
        <v/>
      </c>
      <c r="AS1877" s="267">
        <f>IFERROR(__xludf.DUMMYFUNCTION("""COMPUTED_VALUE"""),45834.9986111111)</f>
        <v/>
      </c>
      <c r="AT1877" s="6">
        <f>IFERROR(__xludf.DUMMYFUNCTION("""COMPUTED_VALUE"""),3348)</f>
        <v/>
      </c>
    </row>
    <row r="1878">
      <c r="B1878" s="6">
        <f>C1878&amp;D1878</f>
        <v/>
      </c>
      <c r="C1878" s="6">
        <f>YEAR(E1878)</f>
        <v/>
      </c>
      <c r="D1878" s="6">
        <f>MONTH(E1878)</f>
        <v/>
      </c>
      <c r="E1878" s="267">
        <f>IFERROR(__xludf.DUMMYFUNCTION("""COMPUTED_VALUE"""),45828.6666666666)</f>
        <v/>
      </c>
      <c r="F1878" s="6">
        <f>IFERROR(__xludf.DUMMYFUNCTION("""COMPUTED_VALUE"""),5967.84)</f>
        <v/>
      </c>
      <c r="J1878" s="6">
        <f>K1878&amp;L1878</f>
        <v/>
      </c>
      <c r="K1878" s="6">
        <f>YEAR(M1878)</f>
        <v/>
      </c>
      <c r="L1878" s="6">
        <f>MONTH(M1878)</f>
        <v/>
      </c>
      <c r="M1878" s="267">
        <f>IFERROR(__xludf.DUMMYFUNCTION("""COMPUTED_VALUE"""),45820.6666666666)</f>
        <v/>
      </c>
      <c r="N1878" s="6">
        <f>IFERROR(__xludf.DUMMYFUNCTION("""COMPUTED_VALUE"""),19662.49)</f>
        <v/>
      </c>
      <c r="R1878" s="6">
        <f>S1878&amp;T1878</f>
        <v/>
      </c>
      <c r="S1878" s="6">
        <f>YEAR(U1878)</f>
        <v/>
      </c>
      <c r="T1878" s="6">
        <f>MONTH(U1878)</f>
        <v/>
      </c>
      <c r="U1878" s="267">
        <f>IFERROR(__xludf.DUMMYFUNCTION("""COMPUTED_VALUE"""),45896.6458333333)</f>
        <v/>
      </c>
      <c r="V1878" s="6">
        <f>IFERROR(__xludf.DUMMYFUNCTION("""COMPUTED_VALUE"""),3187.16)</f>
        <v/>
      </c>
      <c r="Z1878" s="6">
        <f>AA1878&amp;AB1878</f>
        <v/>
      </c>
      <c r="AA1878" s="6">
        <f>YEAR(AC1878)</f>
        <v/>
      </c>
      <c r="AB1878" s="6">
        <f>MONTH(AC1878)</f>
        <v/>
      </c>
      <c r="AC1878" s="267">
        <f>IFERROR(__xludf.DUMMYFUNCTION("""COMPUTED_VALUE"""),45027.9986111111)</f>
        <v/>
      </c>
      <c r="AD1878" s="6">
        <f>IFERROR(__xludf.DUMMYFUNCTION("""COMPUTED_VALUE"""),1322.09)</f>
        <v/>
      </c>
      <c r="AH1878" s="6">
        <f>AI1878&amp;AJ1878</f>
        <v/>
      </c>
      <c r="AI1878" s="6">
        <f>YEAR(AK1878)</f>
        <v/>
      </c>
      <c r="AJ1878" s="6">
        <f>MONTH(AK1878)</f>
        <v/>
      </c>
      <c r="AK1878" s="267">
        <f>IFERROR(__xludf.DUMMYFUNCTION("""COMPUTED_VALUE"""),44971.9986111111)</f>
        <v/>
      </c>
      <c r="AL1878" s="6">
        <f>IFERROR(__xludf.DUMMYFUNCTION("""COMPUTED_VALUE"""),22206.75)</f>
        <v/>
      </c>
      <c r="AP1878" s="6">
        <f>AQ1878&amp;AR1878</f>
        <v/>
      </c>
      <c r="AQ1878" s="6">
        <f>YEAR(AS1878)</f>
        <v/>
      </c>
      <c r="AR1878" s="6">
        <f>MONTH(AS1878)</f>
        <v/>
      </c>
      <c r="AS1878" s="267">
        <f>IFERROR(__xludf.DUMMYFUNCTION("""COMPUTED_VALUE"""),45835.9986111111)</f>
        <v/>
      </c>
      <c r="AT1878" s="6">
        <f>IFERROR(__xludf.DUMMYFUNCTION("""COMPUTED_VALUE"""),3287.6)</f>
        <v/>
      </c>
    </row>
    <row r="1879">
      <c r="B1879" s="6">
        <f>C1879&amp;D1879</f>
        <v/>
      </c>
      <c r="C1879" s="6">
        <f>YEAR(E1879)</f>
        <v/>
      </c>
      <c r="D1879" s="6">
        <f>MONTH(E1879)</f>
        <v/>
      </c>
      <c r="E1879" s="267">
        <f>IFERROR(__xludf.DUMMYFUNCTION("""COMPUTED_VALUE"""),45831.6666666666)</f>
        <v/>
      </c>
      <c r="F1879" s="6">
        <f>IFERROR(__xludf.DUMMYFUNCTION("""COMPUTED_VALUE"""),6025.17)</f>
        <v/>
      </c>
      <c r="J1879" s="6">
        <f>K1879&amp;L1879</f>
        <v/>
      </c>
      <c r="K1879" s="6">
        <f>YEAR(M1879)</f>
        <v/>
      </c>
      <c r="L1879" s="6">
        <f>MONTH(M1879)</f>
        <v/>
      </c>
      <c r="M1879" s="267">
        <f>IFERROR(__xludf.DUMMYFUNCTION("""COMPUTED_VALUE"""),45821.6666666666)</f>
        <v/>
      </c>
      <c r="N1879" s="6">
        <f>IFERROR(__xludf.DUMMYFUNCTION("""COMPUTED_VALUE"""),19406.83)</f>
        <v/>
      </c>
      <c r="R1879" s="6">
        <f>S1879&amp;T1879</f>
        <v/>
      </c>
      <c r="S1879" s="6">
        <f>YEAR(U1879)</f>
        <v/>
      </c>
      <c r="T1879" s="6">
        <f>MONTH(U1879)</f>
        <v/>
      </c>
      <c r="U1879" s="267">
        <f>IFERROR(__xludf.DUMMYFUNCTION("""COMPUTED_VALUE"""),45897.6458333333)</f>
        <v/>
      </c>
      <c r="V1879" s="6">
        <f>IFERROR(__xludf.DUMMYFUNCTION("""COMPUTED_VALUE"""),3196.32)</f>
        <v/>
      </c>
      <c r="Z1879" s="6">
        <f>AA1879&amp;AB1879</f>
        <v/>
      </c>
      <c r="AA1879" s="6">
        <f>YEAR(AC1879)</f>
        <v/>
      </c>
      <c r="AB1879" s="6">
        <f>MONTH(AC1879)</f>
        <v/>
      </c>
      <c r="AC1879" s="267">
        <f>IFERROR(__xludf.DUMMYFUNCTION("""COMPUTED_VALUE"""),45028.9986111111)</f>
        <v/>
      </c>
      <c r="AD1879" s="6">
        <f>IFERROR(__xludf.DUMMYFUNCTION("""COMPUTED_VALUE"""),1322.83)</f>
        <v/>
      </c>
      <c r="AH1879" s="6">
        <f>AI1879&amp;AJ1879</f>
        <v/>
      </c>
      <c r="AI1879" s="6">
        <f>YEAR(AK1879)</f>
        <v/>
      </c>
      <c r="AJ1879" s="6">
        <f>MONTH(AK1879)</f>
        <v/>
      </c>
      <c r="AK1879" s="267">
        <f>IFERROR(__xludf.DUMMYFUNCTION("""COMPUTED_VALUE"""),44972.9986111111)</f>
        <v/>
      </c>
      <c r="AL1879" s="6">
        <f>IFERROR(__xludf.DUMMYFUNCTION("""COMPUTED_VALUE"""),24331.48)</f>
        <v/>
      </c>
      <c r="AP1879" s="6">
        <f>AQ1879&amp;AR1879</f>
        <v/>
      </c>
      <c r="AQ1879" s="6">
        <f>YEAR(AS1879)</f>
        <v/>
      </c>
      <c r="AR1879" s="6">
        <f>MONTH(AS1879)</f>
        <v/>
      </c>
      <c r="AS1879" s="267">
        <f>IFERROR(__xludf.DUMMYFUNCTION("""COMPUTED_VALUE"""),45838.9986111111)</f>
        <v/>
      </c>
      <c r="AT1879" s="6">
        <f>IFERROR(__xludf.DUMMYFUNCTION("""COMPUTED_VALUE"""),3307.7)</f>
        <v/>
      </c>
    </row>
    <row r="1880">
      <c r="B1880" s="6">
        <f>C1880&amp;D1880</f>
        <v/>
      </c>
      <c r="C1880" s="6">
        <f>YEAR(E1880)</f>
        <v/>
      </c>
      <c r="D1880" s="6">
        <f>MONTH(E1880)</f>
        <v/>
      </c>
      <c r="E1880" s="267">
        <f>IFERROR(__xludf.DUMMYFUNCTION("""COMPUTED_VALUE"""),45832.6666666666)</f>
        <v/>
      </c>
      <c r="F1880" s="6">
        <f>IFERROR(__xludf.DUMMYFUNCTION("""COMPUTED_VALUE"""),6092.18)</f>
        <v/>
      </c>
      <c r="J1880" s="6">
        <f>K1880&amp;L1880</f>
        <v/>
      </c>
      <c r="K1880" s="6">
        <f>YEAR(M1880)</f>
        <v/>
      </c>
      <c r="L1880" s="6">
        <f>MONTH(M1880)</f>
        <v/>
      </c>
      <c r="M1880" s="267">
        <f>IFERROR(__xludf.DUMMYFUNCTION("""COMPUTED_VALUE"""),45824.6666666666)</f>
        <v/>
      </c>
      <c r="N1880" s="6">
        <f>IFERROR(__xludf.DUMMYFUNCTION("""COMPUTED_VALUE"""),19701.21)</f>
        <v/>
      </c>
      <c r="R1880" s="6">
        <f>S1880&amp;T1880</f>
        <v/>
      </c>
      <c r="S1880" s="6">
        <f>YEAR(U1880)</f>
        <v/>
      </c>
      <c r="T1880" s="6">
        <f>MONTH(U1880)</f>
        <v/>
      </c>
      <c r="U1880" s="267">
        <f>IFERROR(__xludf.DUMMYFUNCTION("""COMPUTED_VALUE"""),45898.6458333333)</f>
        <v/>
      </c>
      <c r="V1880" s="6">
        <f>IFERROR(__xludf.DUMMYFUNCTION("""COMPUTED_VALUE"""),3186.01)</f>
        <v/>
      </c>
      <c r="Z1880" s="6">
        <f>AA1880&amp;AB1880</f>
        <v/>
      </c>
      <c r="AA1880" s="6">
        <f>YEAR(AC1880)</f>
        <v/>
      </c>
      <c r="AB1880" s="6">
        <f>MONTH(AC1880)</f>
        <v/>
      </c>
      <c r="AC1880" s="267">
        <f>IFERROR(__xludf.DUMMYFUNCTION("""COMPUTED_VALUE"""),45029.9986111111)</f>
        <v/>
      </c>
      <c r="AD1880" s="6">
        <f>IFERROR(__xludf.DUMMYFUNCTION("""COMPUTED_VALUE"""),1301.43)</f>
        <v/>
      </c>
      <c r="AH1880" s="6">
        <f>AI1880&amp;AJ1880</f>
        <v/>
      </c>
      <c r="AI1880" s="6">
        <f>YEAR(AK1880)</f>
        <v/>
      </c>
      <c r="AJ1880" s="6">
        <f>MONTH(AK1880)</f>
        <v/>
      </c>
      <c r="AK1880" s="267">
        <f>IFERROR(__xludf.DUMMYFUNCTION("""COMPUTED_VALUE"""),44973.9986111111)</f>
        <v/>
      </c>
      <c r="AL1880" s="6">
        <f>IFERROR(__xludf.DUMMYFUNCTION("""COMPUTED_VALUE"""),23553.45)</f>
        <v/>
      </c>
      <c r="AP1880" s="6">
        <f>AQ1880&amp;AR1880</f>
        <v/>
      </c>
      <c r="AQ1880" s="6">
        <f>YEAR(AS1880)</f>
        <v/>
      </c>
      <c r="AR1880" s="6">
        <f>MONTH(AS1880)</f>
        <v/>
      </c>
      <c r="AS1880" s="267">
        <f>IFERROR(__xludf.DUMMYFUNCTION("""COMPUTED_VALUE"""),45839.9986111111)</f>
        <v/>
      </c>
      <c r="AT1880" s="6">
        <f>IFERROR(__xludf.DUMMYFUNCTION("""COMPUTED_VALUE"""),3349.8)</f>
        <v/>
      </c>
    </row>
    <row r="1881">
      <c r="B1881" s="6">
        <f>C1881&amp;D1881</f>
        <v/>
      </c>
      <c r="C1881" s="6">
        <f>YEAR(E1881)</f>
        <v/>
      </c>
      <c r="D1881" s="6">
        <f>MONTH(E1881)</f>
        <v/>
      </c>
      <c r="E1881" s="267">
        <f>IFERROR(__xludf.DUMMYFUNCTION("""COMPUTED_VALUE"""),45833.6666666666)</f>
        <v/>
      </c>
      <c r="F1881" s="6">
        <f>IFERROR(__xludf.DUMMYFUNCTION("""COMPUTED_VALUE"""),6092.16)</f>
        <v/>
      </c>
      <c r="J1881" s="6">
        <f>K1881&amp;L1881</f>
        <v/>
      </c>
      <c r="K1881" s="6">
        <f>YEAR(M1881)</f>
        <v/>
      </c>
      <c r="L1881" s="6">
        <f>MONTH(M1881)</f>
        <v/>
      </c>
      <c r="M1881" s="267">
        <f>IFERROR(__xludf.DUMMYFUNCTION("""COMPUTED_VALUE"""),45825.6666666666)</f>
        <v/>
      </c>
      <c r="N1881" s="6">
        <f>IFERROR(__xludf.DUMMYFUNCTION("""COMPUTED_VALUE"""),19521.09)</f>
        <v/>
      </c>
      <c r="R1881" s="6">
        <f>S1881&amp;T1881</f>
        <v/>
      </c>
      <c r="S1881" s="6">
        <f>YEAR(U1881)</f>
        <v/>
      </c>
      <c r="T1881" s="6">
        <f>MONTH(U1881)</f>
        <v/>
      </c>
      <c r="U1881" s="267">
        <f>IFERROR(__xludf.DUMMYFUNCTION("""COMPUTED_VALUE"""),45901.6458333333)</f>
        <v/>
      </c>
      <c r="V1881" s="6">
        <f>IFERROR(__xludf.DUMMYFUNCTION("""COMPUTED_VALUE"""),3142.93)</f>
        <v/>
      </c>
      <c r="Z1881" s="6">
        <f>AA1881&amp;AB1881</f>
        <v/>
      </c>
      <c r="AA1881" s="6">
        <f>YEAR(AC1881)</f>
        <v/>
      </c>
      <c r="AB1881" s="6">
        <f>MONTH(AC1881)</f>
        <v/>
      </c>
      <c r="AC1881" s="267">
        <f>IFERROR(__xludf.DUMMYFUNCTION("""COMPUTED_VALUE"""),45030.9986111111)</f>
        <v/>
      </c>
      <c r="AD1881" s="6">
        <f>IFERROR(__xludf.DUMMYFUNCTION("""COMPUTED_VALUE"""),1303.95)</f>
        <v/>
      </c>
      <c r="AH1881" s="6">
        <f>AI1881&amp;AJ1881</f>
        <v/>
      </c>
      <c r="AI1881" s="6">
        <f>YEAR(AK1881)</f>
        <v/>
      </c>
      <c r="AJ1881" s="6">
        <f>MONTH(AK1881)</f>
        <v/>
      </c>
      <c r="AK1881" s="267">
        <f>IFERROR(__xludf.DUMMYFUNCTION("""COMPUTED_VALUE"""),44974.9986111111)</f>
        <v/>
      </c>
      <c r="AL1881" s="6">
        <f>IFERROR(__xludf.DUMMYFUNCTION("""COMPUTED_VALUE"""),24574.44)</f>
        <v/>
      </c>
      <c r="AP1881" s="6">
        <f>AQ1881&amp;AR1881</f>
        <v/>
      </c>
      <c r="AQ1881" s="6">
        <f>YEAR(AS1881)</f>
        <v/>
      </c>
      <c r="AR1881" s="6">
        <f>MONTH(AS1881)</f>
        <v/>
      </c>
      <c r="AS1881" s="267">
        <f>IFERROR(__xludf.DUMMYFUNCTION("""COMPUTED_VALUE"""),45840.9986111111)</f>
        <v/>
      </c>
      <c r="AT1881" s="6">
        <f>IFERROR(__xludf.DUMMYFUNCTION("""COMPUTED_VALUE"""),3359.7)</f>
        <v/>
      </c>
    </row>
    <row r="1882">
      <c r="B1882" s="6">
        <f>C1882&amp;D1882</f>
        <v/>
      </c>
      <c r="C1882" s="6">
        <f>YEAR(E1882)</f>
        <v/>
      </c>
      <c r="D1882" s="6">
        <f>MONTH(E1882)</f>
        <v/>
      </c>
      <c r="E1882" s="267">
        <f>IFERROR(__xludf.DUMMYFUNCTION("""COMPUTED_VALUE"""),45834.6666666666)</f>
        <v/>
      </c>
      <c r="F1882" s="6">
        <f>IFERROR(__xludf.DUMMYFUNCTION("""COMPUTED_VALUE"""),6141.02)</f>
        <v/>
      </c>
      <c r="J1882" s="6">
        <f>K1882&amp;L1882</f>
        <v/>
      </c>
      <c r="K1882" s="6">
        <f>YEAR(M1882)</f>
        <v/>
      </c>
      <c r="L1882" s="6">
        <f>MONTH(M1882)</f>
        <v/>
      </c>
      <c r="M1882" s="267">
        <f>IFERROR(__xludf.DUMMYFUNCTION("""COMPUTED_VALUE"""),45826.6666666666)</f>
        <v/>
      </c>
      <c r="N1882" s="6">
        <f>IFERROR(__xludf.DUMMYFUNCTION("""COMPUTED_VALUE"""),19546.27)</f>
        <v/>
      </c>
      <c r="R1882" s="6">
        <f>S1882&amp;T1882</f>
        <v/>
      </c>
      <c r="S1882" s="6">
        <f>YEAR(U1882)</f>
        <v/>
      </c>
      <c r="T1882" s="6">
        <f>MONTH(U1882)</f>
        <v/>
      </c>
      <c r="U1882" s="267">
        <f>IFERROR(__xludf.DUMMYFUNCTION("""COMPUTED_VALUE"""),45902.6458333333)</f>
        <v/>
      </c>
      <c r="V1882" s="6">
        <f>IFERROR(__xludf.DUMMYFUNCTION("""COMPUTED_VALUE"""),3172.35)</f>
        <v/>
      </c>
      <c r="Z1882" s="6">
        <f>AA1882&amp;AB1882</f>
        <v/>
      </c>
      <c r="AA1882" s="6">
        <f>YEAR(AC1882)</f>
        <v/>
      </c>
      <c r="AB1882" s="6">
        <f>MONTH(AC1882)</f>
        <v/>
      </c>
      <c r="AC1882" s="267">
        <f>IFERROR(__xludf.DUMMYFUNCTION("""COMPUTED_VALUE"""),45031.9986111111)</f>
        <v/>
      </c>
      <c r="AD1882" s="6">
        <f>IFERROR(__xludf.DUMMYFUNCTION("""COMPUTED_VALUE"""),1303.55)</f>
        <v/>
      </c>
      <c r="AH1882" s="6">
        <f>AI1882&amp;AJ1882</f>
        <v/>
      </c>
      <c r="AI1882" s="6">
        <f>YEAR(AK1882)</f>
        <v/>
      </c>
      <c r="AJ1882" s="6">
        <f>MONTH(AK1882)</f>
        <v/>
      </c>
      <c r="AK1882" s="267">
        <f>IFERROR(__xludf.DUMMYFUNCTION("""COMPUTED_VALUE"""),44975.9986111111)</f>
        <v/>
      </c>
      <c r="AL1882" s="6">
        <f>IFERROR(__xludf.DUMMYFUNCTION("""COMPUTED_VALUE"""),24634.69)</f>
        <v/>
      </c>
      <c r="AP1882" s="6">
        <f>AQ1882&amp;AR1882</f>
        <v/>
      </c>
      <c r="AQ1882" s="6">
        <f>YEAR(AS1882)</f>
        <v/>
      </c>
      <c r="AR1882" s="6">
        <f>MONTH(AS1882)</f>
        <v/>
      </c>
      <c r="AS1882" s="267">
        <f>IFERROR(__xludf.DUMMYFUNCTION("""COMPUTED_VALUE"""),45841.5416666666)</f>
        <v/>
      </c>
      <c r="AT1882" s="6">
        <f>IFERROR(__xludf.DUMMYFUNCTION("""COMPUTED_VALUE"""),3342.9)</f>
        <v/>
      </c>
    </row>
    <row r="1883">
      <c r="B1883" s="6">
        <f>C1883&amp;D1883</f>
        <v/>
      </c>
      <c r="C1883" s="6">
        <f>YEAR(E1883)</f>
        <v/>
      </c>
      <c r="D1883" s="6">
        <f>MONTH(E1883)</f>
        <v/>
      </c>
      <c r="E1883" s="267">
        <f>IFERROR(__xludf.DUMMYFUNCTION("""COMPUTED_VALUE"""),45835.6666666666)</f>
        <v/>
      </c>
      <c r="F1883" s="6">
        <f>IFERROR(__xludf.DUMMYFUNCTION("""COMPUTED_VALUE"""),6173.07)</f>
        <v/>
      </c>
      <c r="J1883" s="6">
        <f>K1883&amp;L1883</f>
        <v/>
      </c>
      <c r="K1883" s="6">
        <f>YEAR(M1883)</f>
        <v/>
      </c>
      <c r="L1883" s="6">
        <f>MONTH(M1883)</f>
        <v/>
      </c>
      <c r="M1883" s="267">
        <f>IFERROR(__xludf.DUMMYFUNCTION("""COMPUTED_VALUE"""),45828.6666666666)</f>
        <v/>
      </c>
      <c r="N1883" s="6">
        <f>IFERROR(__xludf.DUMMYFUNCTION("""COMPUTED_VALUE"""),19447.41)</f>
        <v/>
      </c>
      <c r="R1883" s="6">
        <f>S1883&amp;T1883</f>
        <v/>
      </c>
      <c r="S1883" s="6">
        <f>YEAR(U1883)</f>
        <v/>
      </c>
      <c r="T1883" s="6">
        <f>MONTH(U1883)</f>
        <v/>
      </c>
      <c r="U1883" s="267">
        <f>IFERROR(__xludf.DUMMYFUNCTION("""COMPUTED_VALUE"""),45903.6458333333)</f>
        <v/>
      </c>
      <c r="V1883" s="6">
        <f>IFERROR(__xludf.DUMMYFUNCTION("""COMPUTED_VALUE"""),3184.42)</f>
        <v/>
      </c>
      <c r="Z1883" s="6">
        <f>AA1883&amp;AB1883</f>
        <v/>
      </c>
      <c r="AA1883" s="6">
        <f>YEAR(AC1883)</f>
        <v/>
      </c>
      <c r="AB1883" s="6">
        <f>MONTH(AC1883)</f>
        <v/>
      </c>
      <c r="AC1883" s="267">
        <f>IFERROR(__xludf.DUMMYFUNCTION("""COMPUTED_VALUE"""),45032.9986111111)</f>
        <v/>
      </c>
      <c r="AD1883" s="6">
        <f>IFERROR(__xludf.DUMMYFUNCTION("""COMPUTED_VALUE"""),1303.38)</f>
        <v/>
      </c>
      <c r="AH1883" s="6">
        <f>AI1883&amp;AJ1883</f>
        <v/>
      </c>
      <c r="AI1883" s="6">
        <f>YEAR(AK1883)</f>
        <v/>
      </c>
      <c r="AJ1883" s="6">
        <f>MONTH(AK1883)</f>
        <v/>
      </c>
      <c r="AK1883" s="267">
        <f>IFERROR(__xludf.DUMMYFUNCTION("""COMPUTED_VALUE"""),44976.9986111111)</f>
        <v/>
      </c>
      <c r="AL1883" s="6">
        <f>IFERROR(__xludf.DUMMYFUNCTION("""COMPUTED_VALUE"""),24290.05)</f>
        <v/>
      </c>
      <c r="AP1883" s="6">
        <f>AQ1883&amp;AR1883</f>
        <v/>
      </c>
      <c r="AQ1883" s="6">
        <f>YEAR(AS1883)</f>
        <v/>
      </c>
      <c r="AR1883" s="6">
        <f>MONTH(AS1883)</f>
        <v/>
      </c>
      <c r="AS1883" s="267">
        <f>IFERROR(__xludf.DUMMYFUNCTION("""COMPUTED_VALUE"""),45845.9986111111)</f>
        <v/>
      </c>
      <c r="AT1883" s="6">
        <f>IFERROR(__xludf.DUMMYFUNCTION("""COMPUTED_VALUE"""),3342.8)</f>
        <v/>
      </c>
    </row>
    <row r="1884">
      <c r="B1884" s="6">
        <f>C1884&amp;D1884</f>
        <v/>
      </c>
      <c r="C1884" s="6">
        <f>YEAR(E1884)</f>
        <v/>
      </c>
      <c r="D1884" s="6">
        <f>MONTH(E1884)</f>
        <v/>
      </c>
      <c r="E1884" s="267">
        <f>IFERROR(__xludf.DUMMYFUNCTION("""COMPUTED_VALUE"""),45838.6666666666)</f>
        <v/>
      </c>
      <c r="F1884" s="6">
        <f>IFERROR(__xludf.DUMMYFUNCTION("""COMPUTED_VALUE"""),6204.95)</f>
        <v/>
      </c>
      <c r="J1884" s="6">
        <f>K1884&amp;L1884</f>
        <v/>
      </c>
      <c r="K1884" s="6">
        <f>YEAR(M1884)</f>
        <v/>
      </c>
      <c r="L1884" s="6">
        <f>MONTH(M1884)</f>
        <v/>
      </c>
      <c r="M1884" s="267">
        <f>IFERROR(__xludf.DUMMYFUNCTION("""COMPUTED_VALUE"""),45831.6666666666)</f>
        <v/>
      </c>
      <c r="N1884" s="6">
        <f>IFERROR(__xludf.DUMMYFUNCTION("""COMPUTED_VALUE"""),19630.97)</f>
        <v/>
      </c>
      <c r="R1884" s="6">
        <f>S1884&amp;T1884</f>
        <v/>
      </c>
      <c r="S1884" s="6">
        <f>YEAR(U1884)</f>
        <v/>
      </c>
      <c r="T1884" s="6">
        <f>MONTH(U1884)</f>
        <v/>
      </c>
      <c r="U1884" s="267">
        <f>IFERROR(__xludf.DUMMYFUNCTION("""COMPUTED_VALUE"""),45904.6458333333)</f>
        <v/>
      </c>
      <c r="V1884" s="6">
        <f>IFERROR(__xludf.DUMMYFUNCTION("""COMPUTED_VALUE"""),3200.83)</f>
        <v/>
      </c>
      <c r="Z1884" s="6">
        <f>AA1884&amp;AB1884</f>
        <v/>
      </c>
      <c r="AA1884" s="6">
        <f>YEAR(AC1884)</f>
        <v/>
      </c>
      <c r="AB1884" s="6">
        <f>MONTH(AC1884)</f>
        <v/>
      </c>
      <c r="AC1884" s="267">
        <f>IFERROR(__xludf.DUMMYFUNCTION("""COMPUTED_VALUE"""),45033.9986111111)</f>
        <v/>
      </c>
      <c r="AD1884" s="6">
        <f>IFERROR(__xludf.DUMMYFUNCTION("""COMPUTED_VALUE"""),1316.07)</f>
        <v/>
      </c>
      <c r="AH1884" s="6">
        <f>AI1884&amp;AJ1884</f>
        <v/>
      </c>
      <c r="AI1884" s="6">
        <f>YEAR(AK1884)</f>
        <v/>
      </c>
      <c r="AJ1884" s="6">
        <f>MONTH(AK1884)</f>
        <v/>
      </c>
      <c r="AK1884" s="267">
        <f>IFERROR(__xludf.DUMMYFUNCTION("""COMPUTED_VALUE"""),44977.9986111111)</f>
        <v/>
      </c>
      <c r="AL1884" s="6">
        <f>IFERROR(__xludf.DUMMYFUNCTION("""COMPUTED_VALUE"""),24841.51)</f>
        <v/>
      </c>
      <c r="AP1884" s="6">
        <f>AQ1884&amp;AR1884</f>
        <v/>
      </c>
      <c r="AQ1884" s="6">
        <f>YEAR(AS1884)</f>
        <v/>
      </c>
      <c r="AR1884" s="6">
        <f>MONTH(AS1884)</f>
        <v/>
      </c>
      <c r="AS1884" s="267">
        <f>IFERROR(__xludf.DUMMYFUNCTION("""COMPUTED_VALUE"""),45846.9986111111)</f>
        <v/>
      </c>
      <c r="AT1884" s="6">
        <f>IFERROR(__xludf.DUMMYFUNCTION("""COMPUTED_VALUE"""),3316.9)</f>
        <v/>
      </c>
    </row>
    <row r="1885">
      <c r="B1885" s="6">
        <f>C1885&amp;D1885</f>
        <v/>
      </c>
      <c r="C1885" s="6">
        <f>YEAR(E1885)</f>
        <v/>
      </c>
      <c r="D1885" s="6">
        <f>MONTH(E1885)</f>
        <v/>
      </c>
      <c r="E1885" s="267">
        <f>IFERROR(__xludf.DUMMYFUNCTION("""COMPUTED_VALUE"""),45839.6666666666)</f>
        <v/>
      </c>
      <c r="F1885" s="6">
        <f>IFERROR(__xludf.DUMMYFUNCTION("""COMPUTED_VALUE"""),6198.01)</f>
        <v/>
      </c>
      <c r="J1885" s="6">
        <f>K1885&amp;L1885</f>
        <v/>
      </c>
      <c r="K1885" s="6">
        <f>YEAR(M1885)</f>
        <v/>
      </c>
      <c r="L1885" s="6">
        <f>MONTH(M1885)</f>
        <v/>
      </c>
      <c r="M1885" s="267">
        <f>IFERROR(__xludf.DUMMYFUNCTION("""COMPUTED_VALUE"""),45832.6666666666)</f>
        <v/>
      </c>
      <c r="N1885" s="6">
        <f>IFERROR(__xludf.DUMMYFUNCTION("""COMPUTED_VALUE"""),19912.53)</f>
        <v/>
      </c>
      <c r="R1885" s="6">
        <f>S1885&amp;T1885</f>
        <v/>
      </c>
      <c r="S1885" s="6">
        <f>YEAR(U1885)</f>
        <v/>
      </c>
      <c r="T1885" s="6">
        <f>MONTH(U1885)</f>
        <v/>
      </c>
      <c r="U1885" s="267">
        <f>IFERROR(__xludf.DUMMYFUNCTION("""COMPUTED_VALUE"""),45905.6458333333)</f>
        <v/>
      </c>
      <c r="V1885" s="6">
        <f>IFERROR(__xludf.DUMMYFUNCTION("""COMPUTED_VALUE"""),3205.12)</f>
        <v/>
      </c>
      <c r="Z1885" s="6">
        <f>AA1885&amp;AB1885</f>
        <v/>
      </c>
      <c r="AA1885" s="6">
        <f>YEAR(AC1885)</f>
        <v/>
      </c>
      <c r="AB1885" s="6">
        <f>MONTH(AC1885)</f>
        <v/>
      </c>
      <c r="AC1885" s="267">
        <f>IFERROR(__xludf.DUMMYFUNCTION("""COMPUTED_VALUE"""),45034.9986111111)</f>
        <v/>
      </c>
      <c r="AD1885" s="6">
        <f>IFERROR(__xludf.DUMMYFUNCTION("""COMPUTED_VALUE"""),1315.9)</f>
        <v/>
      </c>
      <c r="AH1885" s="6">
        <f>AI1885&amp;AJ1885</f>
        <v/>
      </c>
      <c r="AI1885" s="6">
        <f>YEAR(AK1885)</f>
        <v/>
      </c>
      <c r="AJ1885" s="6">
        <f>MONTH(AK1885)</f>
        <v/>
      </c>
      <c r="AK1885" s="267">
        <f>IFERROR(__xludf.DUMMYFUNCTION("""COMPUTED_VALUE"""),44978.9986111111)</f>
        <v/>
      </c>
      <c r="AL1885" s="6">
        <f>IFERROR(__xludf.DUMMYFUNCTION("""COMPUTED_VALUE"""),24447.45)</f>
        <v/>
      </c>
      <c r="AP1885" s="6">
        <f>AQ1885&amp;AR1885</f>
        <v/>
      </c>
      <c r="AQ1885" s="6">
        <f>YEAR(AS1885)</f>
        <v/>
      </c>
      <c r="AR1885" s="6">
        <f>MONTH(AS1885)</f>
        <v/>
      </c>
      <c r="AS1885" s="267">
        <f>IFERROR(__xludf.DUMMYFUNCTION("""COMPUTED_VALUE"""),45847.9986111111)</f>
        <v/>
      </c>
      <c r="AT1885" s="6">
        <f>IFERROR(__xludf.DUMMYFUNCTION("""COMPUTED_VALUE"""),3321)</f>
        <v/>
      </c>
    </row>
    <row r="1886">
      <c r="B1886" s="6">
        <f>C1886&amp;D1886</f>
        <v/>
      </c>
      <c r="C1886" s="6">
        <f>YEAR(E1886)</f>
        <v/>
      </c>
      <c r="D1886" s="6">
        <f>MONTH(E1886)</f>
        <v/>
      </c>
      <c r="E1886" s="267">
        <f>IFERROR(__xludf.DUMMYFUNCTION("""COMPUTED_VALUE"""),45840.6666666666)</f>
        <v/>
      </c>
      <c r="F1886" s="6">
        <f>IFERROR(__xludf.DUMMYFUNCTION("""COMPUTED_VALUE"""),6227.42)</f>
        <v/>
      </c>
      <c r="J1886" s="6">
        <f>K1886&amp;L1886</f>
        <v/>
      </c>
      <c r="K1886" s="6">
        <f>YEAR(M1886)</f>
        <v/>
      </c>
      <c r="L1886" s="6">
        <f>MONTH(M1886)</f>
        <v/>
      </c>
      <c r="M1886" s="267">
        <f>IFERROR(__xludf.DUMMYFUNCTION("""COMPUTED_VALUE"""),45833.6666666666)</f>
        <v/>
      </c>
      <c r="N1886" s="6">
        <f>IFERROR(__xludf.DUMMYFUNCTION("""COMPUTED_VALUE"""),19973.55)</f>
        <v/>
      </c>
      <c r="R1886" s="6">
        <f>S1886&amp;T1886</f>
        <v/>
      </c>
      <c r="S1886" s="6">
        <f>YEAR(U1886)</f>
        <v/>
      </c>
      <c r="T1886" s="6">
        <f>MONTH(U1886)</f>
        <v/>
      </c>
      <c r="U1886" s="267">
        <f>IFERROR(__xludf.DUMMYFUNCTION("""COMPUTED_VALUE"""),45908.6458333333)</f>
        <v/>
      </c>
      <c r="V1886" s="6">
        <f>IFERROR(__xludf.DUMMYFUNCTION("""COMPUTED_VALUE"""),3219.59)</f>
        <v/>
      </c>
      <c r="Z1886" s="6">
        <f>AA1886&amp;AB1886</f>
        <v/>
      </c>
      <c r="AA1886" s="6">
        <f>YEAR(AC1886)</f>
        <v/>
      </c>
      <c r="AB1886" s="6">
        <f>MONTH(AC1886)</f>
        <v/>
      </c>
      <c r="AC1886" s="267">
        <f>IFERROR(__xludf.DUMMYFUNCTION("""COMPUTED_VALUE"""),45035.9986111111)</f>
        <v/>
      </c>
      <c r="AD1886" s="6">
        <f>IFERROR(__xludf.DUMMYFUNCTION("""COMPUTED_VALUE"""),1326.76)</f>
        <v/>
      </c>
      <c r="AH1886" s="6">
        <f>AI1886&amp;AJ1886</f>
        <v/>
      </c>
      <c r="AI1886" s="6">
        <f>YEAR(AK1886)</f>
        <v/>
      </c>
      <c r="AJ1886" s="6">
        <f>MONTH(AK1886)</f>
        <v/>
      </c>
      <c r="AK1886" s="267">
        <f>IFERROR(__xludf.DUMMYFUNCTION("""COMPUTED_VALUE"""),44979.9986111111)</f>
        <v/>
      </c>
      <c r="AL1886" s="6">
        <f>IFERROR(__xludf.DUMMYFUNCTION("""COMPUTED_VALUE"""),24184.45)</f>
        <v/>
      </c>
      <c r="AP1886" s="6">
        <f>AQ1886&amp;AR1886</f>
        <v/>
      </c>
      <c r="AQ1886" s="6">
        <f>YEAR(AS1886)</f>
        <v/>
      </c>
      <c r="AR1886" s="6">
        <f>MONTH(AS1886)</f>
        <v/>
      </c>
      <c r="AS1886" s="267">
        <f>IFERROR(__xludf.DUMMYFUNCTION("""COMPUTED_VALUE"""),45848.9986111111)</f>
        <v/>
      </c>
      <c r="AT1886" s="6">
        <f>IFERROR(__xludf.DUMMYFUNCTION("""COMPUTED_VALUE"""),3325.7)</f>
        <v/>
      </c>
    </row>
    <row r="1887">
      <c r="B1887" s="6">
        <f>C1887&amp;D1887</f>
        <v/>
      </c>
      <c r="C1887" s="6">
        <f>YEAR(E1887)</f>
        <v/>
      </c>
      <c r="D1887" s="6">
        <f>MONTH(E1887)</f>
        <v/>
      </c>
      <c r="E1887" s="267">
        <f>IFERROR(__xludf.DUMMYFUNCTION("""COMPUTED_VALUE"""),45841.5416666666)</f>
        <v/>
      </c>
      <c r="F1887" s="6">
        <f>IFERROR(__xludf.DUMMYFUNCTION("""COMPUTED_VALUE"""),6279.35)</f>
        <v/>
      </c>
      <c r="J1887" s="6">
        <f>K1887&amp;L1887</f>
        <v/>
      </c>
      <c r="K1887" s="6">
        <f>YEAR(M1887)</f>
        <v/>
      </c>
      <c r="L1887" s="6">
        <f>MONTH(M1887)</f>
        <v/>
      </c>
      <c r="M1887" s="267">
        <f>IFERROR(__xludf.DUMMYFUNCTION("""COMPUTED_VALUE"""),45834.6666666666)</f>
        <v/>
      </c>
      <c r="N1887" s="6">
        <f>IFERROR(__xludf.DUMMYFUNCTION("""COMPUTED_VALUE"""),20167.91)</f>
        <v/>
      </c>
      <c r="R1887" s="6">
        <f>S1887&amp;T1887</f>
        <v/>
      </c>
      <c r="S1887" s="6">
        <f>YEAR(U1887)</f>
        <v/>
      </c>
      <c r="T1887" s="6">
        <f>MONTH(U1887)</f>
        <v/>
      </c>
      <c r="U1887" s="267">
        <f>IFERROR(__xludf.DUMMYFUNCTION("""COMPUTED_VALUE"""),45909.6458333333)</f>
        <v/>
      </c>
      <c r="V1887" s="6">
        <f>IFERROR(__xludf.DUMMYFUNCTION("""COMPUTED_VALUE"""),3260.05)</f>
        <v/>
      </c>
      <c r="Z1887" s="6">
        <f>AA1887&amp;AB1887</f>
        <v/>
      </c>
      <c r="AA1887" s="6">
        <f>YEAR(AC1887)</f>
        <v/>
      </c>
      <c r="AB1887" s="6">
        <f>MONTH(AC1887)</f>
        <v/>
      </c>
      <c r="AC1887" s="267">
        <f>IFERROR(__xludf.DUMMYFUNCTION("""COMPUTED_VALUE"""),45036.9986111111)</f>
        <v/>
      </c>
      <c r="AD1887" s="6">
        <f>IFERROR(__xludf.DUMMYFUNCTION("""COMPUTED_VALUE"""),1323.6)</f>
        <v/>
      </c>
      <c r="AH1887" s="6">
        <f>AI1887&amp;AJ1887</f>
        <v/>
      </c>
      <c r="AI1887" s="6">
        <f>YEAR(AK1887)</f>
        <v/>
      </c>
      <c r="AJ1887" s="6">
        <f>MONTH(AK1887)</f>
        <v/>
      </c>
      <c r="AK1887" s="267">
        <f>IFERROR(__xludf.DUMMYFUNCTION("""COMPUTED_VALUE"""),44980.9986111111)</f>
        <v/>
      </c>
      <c r="AL1887" s="6">
        <f>IFERROR(__xludf.DUMMYFUNCTION("""COMPUTED_VALUE"""),23937.51)</f>
        <v/>
      </c>
      <c r="AP1887" s="6">
        <f>AQ1887&amp;AR1887</f>
        <v/>
      </c>
      <c r="AQ1887" s="6">
        <f>YEAR(AS1887)</f>
        <v/>
      </c>
      <c r="AR1887" s="6">
        <f>MONTH(AS1887)</f>
        <v/>
      </c>
      <c r="AS1887" s="267">
        <f>IFERROR(__xludf.DUMMYFUNCTION("""COMPUTED_VALUE"""),45849.9986111111)</f>
        <v/>
      </c>
      <c r="AT1887" s="6">
        <f>IFERROR(__xludf.DUMMYFUNCTION("""COMPUTED_VALUE"""),3364)</f>
        <v/>
      </c>
    </row>
    <row r="1888">
      <c r="B1888" s="6">
        <f>C1888&amp;D1888</f>
        <v/>
      </c>
      <c r="C1888" s="6">
        <f>YEAR(E1888)</f>
        <v/>
      </c>
      <c r="D1888" s="6">
        <f>MONTH(E1888)</f>
        <v/>
      </c>
      <c r="E1888" s="267">
        <f>IFERROR(__xludf.DUMMYFUNCTION("""COMPUTED_VALUE"""),45845.6666666666)</f>
        <v/>
      </c>
      <c r="F1888" s="6">
        <f>IFERROR(__xludf.DUMMYFUNCTION("""COMPUTED_VALUE"""),6229.98)</f>
        <v/>
      </c>
      <c r="J1888" s="6">
        <f>K1888&amp;L1888</f>
        <v/>
      </c>
      <c r="K1888" s="6">
        <f>YEAR(M1888)</f>
        <v/>
      </c>
      <c r="L1888" s="6">
        <f>MONTH(M1888)</f>
        <v/>
      </c>
      <c r="M1888" s="267">
        <f>IFERROR(__xludf.DUMMYFUNCTION("""COMPUTED_VALUE"""),45835.6666666666)</f>
        <v/>
      </c>
      <c r="N1888" s="6">
        <f>IFERROR(__xludf.DUMMYFUNCTION("""COMPUTED_VALUE"""),20273.46)</f>
        <v/>
      </c>
      <c r="R1888" s="6">
        <f>S1888&amp;T1888</f>
        <v/>
      </c>
      <c r="S1888" s="6">
        <f>YEAR(U1888)</f>
        <v/>
      </c>
      <c r="T1888" s="6">
        <f>MONTH(U1888)</f>
        <v/>
      </c>
      <c r="U1888" s="267">
        <f>IFERROR(__xludf.DUMMYFUNCTION("""COMPUTED_VALUE"""),45910.6458333333)</f>
        <v/>
      </c>
      <c r="V1888" s="6">
        <f>IFERROR(__xludf.DUMMYFUNCTION("""COMPUTED_VALUE"""),3314.53)</f>
        <v/>
      </c>
      <c r="Z1888" s="6">
        <f>AA1888&amp;AB1888</f>
        <v/>
      </c>
      <c r="AA1888" s="6">
        <f>YEAR(AC1888)</f>
        <v/>
      </c>
      <c r="AB1888" s="6">
        <f>MONTH(AC1888)</f>
        <v/>
      </c>
      <c r="AC1888" s="267">
        <f>IFERROR(__xludf.DUMMYFUNCTION("""COMPUTED_VALUE"""),45037.9986111111)</f>
        <v/>
      </c>
      <c r="AD1888" s="6">
        <f>IFERROR(__xludf.DUMMYFUNCTION("""COMPUTED_VALUE"""),1329.39)</f>
        <v/>
      </c>
      <c r="AH1888" s="6">
        <f>AI1888&amp;AJ1888</f>
        <v/>
      </c>
      <c r="AI1888" s="6">
        <f>YEAR(AK1888)</f>
        <v/>
      </c>
      <c r="AJ1888" s="6">
        <f>MONTH(AK1888)</f>
        <v/>
      </c>
      <c r="AK1888" s="267">
        <f>IFERROR(__xludf.DUMMYFUNCTION("""COMPUTED_VALUE"""),44981.9986111111)</f>
        <v/>
      </c>
      <c r="AL1888" s="6">
        <f>IFERROR(__xludf.DUMMYFUNCTION("""COMPUTED_VALUE"""),23192.77)</f>
        <v/>
      </c>
      <c r="AP1888" s="6">
        <f>AQ1888&amp;AR1888</f>
        <v/>
      </c>
      <c r="AQ1888" s="6">
        <f>YEAR(AS1888)</f>
        <v/>
      </c>
      <c r="AR1888" s="6">
        <f>MONTH(AS1888)</f>
        <v/>
      </c>
      <c r="AS1888" s="267">
        <f>IFERROR(__xludf.DUMMYFUNCTION("""COMPUTED_VALUE"""),45852.9986111111)</f>
        <v/>
      </c>
      <c r="AT1888" s="6">
        <f>IFERROR(__xludf.DUMMYFUNCTION("""COMPUTED_VALUE"""),3359.1)</f>
        <v/>
      </c>
    </row>
    <row r="1889">
      <c r="B1889" s="6">
        <f>C1889&amp;D1889</f>
        <v/>
      </c>
      <c r="C1889" s="6">
        <f>YEAR(E1889)</f>
        <v/>
      </c>
      <c r="D1889" s="6">
        <f>MONTH(E1889)</f>
        <v/>
      </c>
      <c r="E1889" s="267">
        <f>IFERROR(__xludf.DUMMYFUNCTION("""COMPUTED_VALUE"""),45846.6666666666)</f>
        <v/>
      </c>
      <c r="F1889" s="6">
        <f>IFERROR(__xludf.DUMMYFUNCTION("""COMPUTED_VALUE"""),6225.52)</f>
        <v/>
      </c>
      <c r="J1889" s="6">
        <f>K1889&amp;L1889</f>
        <v/>
      </c>
      <c r="K1889" s="6">
        <f>YEAR(M1889)</f>
        <v/>
      </c>
      <c r="L1889" s="6">
        <f>MONTH(M1889)</f>
        <v/>
      </c>
      <c r="M1889" s="267">
        <f>IFERROR(__xludf.DUMMYFUNCTION("""COMPUTED_VALUE"""),45838.6666666666)</f>
        <v/>
      </c>
      <c r="N1889" s="6">
        <f>IFERROR(__xludf.DUMMYFUNCTION("""COMPUTED_VALUE"""),20369.73)</f>
        <v/>
      </c>
      <c r="R1889" s="6">
        <f>S1889&amp;T1889</f>
        <v/>
      </c>
      <c r="S1889" s="6">
        <f>YEAR(U1889)</f>
        <v/>
      </c>
      <c r="T1889" s="6">
        <f>MONTH(U1889)</f>
        <v/>
      </c>
      <c r="U1889" s="267">
        <f>IFERROR(__xludf.DUMMYFUNCTION("""COMPUTED_VALUE"""),45911.6458333333)</f>
        <v/>
      </c>
      <c r="V1889" s="6">
        <f>IFERROR(__xludf.DUMMYFUNCTION("""COMPUTED_VALUE"""),3344.2)</f>
        <v/>
      </c>
      <c r="Z1889" s="6">
        <f>AA1889&amp;AB1889</f>
        <v/>
      </c>
      <c r="AA1889" s="6">
        <f>YEAR(AC1889)</f>
        <v/>
      </c>
      <c r="AB1889" s="6">
        <f>MONTH(AC1889)</f>
        <v/>
      </c>
      <c r="AC1889" s="267">
        <f>IFERROR(__xludf.DUMMYFUNCTION("""COMPUTED_VALUE"""),45038.9986111111)</f>
        <v/>
      </c>
      <c r="AD1889" s="6">
        <f>IFERROR(__xludf.DUMMYFUNCTION("""COMPUTED_VALUE"""),1329.37)</f>
        <v/>
      </c>
      <c r="AH1889" s="6">
        <f>AI1889&amp;AJ1889</f>
        <v/>
      </c>
      <c r="AI1889" s="6">
        <f>YEAR(AK1889)</f>
        <v/>
      </c>
      <c r="AJ1889" s="6">
        <f>MONTH(AK1889)</f>
        <v/>
      </c>
      <c r="AK1889" s="267">
        <f>IFERROR(__xludf.DUMMYFUNCTION("""COMPUTED_VALUE"""),44982.9986111111)</f>
        <v/>
      </c>
      <c r="AL1889" s="6">
        <f>IFERROR(__xludf.DUMMYFUNCTION("""COMPUTED_VALUE"""),23164.06)</f>
        <v/>
      </c>
      <c r="AP1889" s="6">
        <f>AQ1889&amp;AR1889</f>
        <v/>
      </c>
      <c r="AQ1889" s="6">
        <f>YEAR(AS1889)</f>
        <v/>
      </c>
      <c r="AR1889" s="6">
        <f>MONTH(AS1889)</f>
        <v/>
      </c>
      <c r="AS1889" s="267">
        <f>IFERROR(__xludf.DUMMYFUNCTION("""COMPUTED_VALUE"""),45853.9986111111)</f>
        <v/>
      </c>
      <c r="AT1889" s="6">
        <f>IFERROR(__xludf.DUMMYFUNCTION("""COMPUTED_VALUE"""),3336.7)</f>
        <v/>
      </c>
    </row>
    <row r="1890">
      <c r="B1890" s="6">
        <f>C1890&amp;D1890</f>
        <v/>
      </c>
      <c r="C1890" s="6">
        <f>YEAR(E1890)</f>
        <v/>
      </c>
      <c r="D1890" s="6">
        <f>MONTH(E1890)</f>
        <v/>
      </c>
      <c r="E1890" s="267">
        <f>IFERROR(__xludf.DUMMYFUNCTION("""COMPUTED_VALUE"""),45847.6666666666)</f>
        <v/>
      </c>
      <c r="F1890" s="6">
        <f>IFERROR(__xludf.DUMMYFUNCTION("""COMPUTED_VALUE"""),6263.26)</f>
        <v/>
      </c>
      <c r="J1890" s="6">
        <f>K1890&amp;L1890</f>
        <v/>
      </c>
      <c r="K1890" s="6">
        <f>YEAR(M1890)</f>
        <v/>
      </c>
      <c r="L1890" s="6">
        <f>MONTH(M1890)</f>
        <v/>
      </c>
      <c r="M1890" s="267">
        <f>IFERROR(__xludf.DUMMYFUNCTION("""COMPUTED_VALUE"""),45839.6666666666)</f>
        <v/>
      </c>
      <c r="N1890" s="6">
        <f>IFERROR(__xludf.DUMMYFUNCTION("""COMPUTED_VALUE"""),20202.89)</f>
        <v/>
      </c>
      <c r="R1890" s="6">
        <f>S1890&amp;T1890</f>
        <v/>
      </c>
      <c r="S1890" s="6">
        <f>YEAR(U1890)</f>
        <v/>
      </c>
      <c r="T1890" s="6">
        <f>MONTH(U1890)</f>
        <v/>
      </c>
      <c r="U1890" s="267">
        <f>IFERROR(__xludf.DUMMYFUNCTION("""COMPUTED_VALUE"""),45912.6458333333)</f>
        <v/>
      </c>
      <c r="V1890" s="6">
        <f>IFERROR(__xludf.DUMMYFUNCTION("""COMPUTED_VALUE"""),3395.54)</f>
        <v/>
      </c>
      <c r="Z1890" s="6">
        <f>AA1890&amp;AB1890</f>
        <v/>
      </c>
      <c r="AA1890" s="6">
        <f>YEAR(AC1890)</f>
        <v/>
      </c>
      <c r="AB1890" s="6">
        <f>MONTH(AC1890)</f>
        <v/>
      </c>
      <c r="AC1890" s="267">
        <f>IFERROR(__xludf.DUMMYFUNCTION("""COMPUTED_VALUE"""),45039.9986111111)</f>
        <v/>
      </c>
      <c r="AD1890" s="6">
        <f>IFERROR(__xludf.DUMMYFUNCTION("""COMPUTED_VALUE"""),1329.38)</f>
        <v/>
      </c>
      <c r="AH1890" s="6">
        <f>AI1890&amp;AJ1890</f>
        <v/>
      </c>
      <c r="AI1890" s="6">
        <f>YEAR(AK1890)</f>
        <v/>
      </c>
      <c r="AJ1890" s="6">
        <f>MONTH(AK1890)</f>
        <v/>
      </c>
      <c r="AK1890" s="267">
        <f>IFERROR(__xludf.DUMMYFUNCTION("""COMPUTED_VALUE"""),44983.9986111111)</f>
        <v/>
      </c>
      <c r="AL1890" s="6">
        <f>IFERROR(__xludf.DUMMYFUNCTION("""COMPUTED_VALUE"""),23558.26)</f>
        <v/>
      </c>
      <c r="AP1890" s="6">
        <f>AQ1890&amp;AR1890</f>
        <v/>
      </c>
      <c r="AQ1890" s="6">
        <f>YEAR(AS1890)</f>
        <v/>
      </c>
      <c r="AR1890" s="6">
        <f>MONTH(AS1890)</f>
        <v/>
      </c>
      <c r="AS1890" s="267">
        <f>IFERROR(__xludf.DUMMYFUNCTION("""COMPUTED_VALUE"""),45854.9986111111)</f>
        <v/>
      </c>
      <c r="AT1890" s="6">
        <f>IFERROR(__xludf.DUMMYFUNCTION("""COMPUTED_VALUE"""),3359.1)</f>
        <v/>
      </c>
    </row>
    <row r="1891">
      <c r="B1891" s="6">
        <f>C1891&amp;D1891</f>
        <v/>
      </c>
      <c r="C1891" s="6">
        <f>YEAR(E1891)</f>
        <v/>
      </c>
      <c r="D1891" s="6">
        <f>MONTH(E1891)</f>
        <v/>
      </c>
      <c r="E1891" s="267">
        <f>IFERROR(__xludf.DUMMYFUNCTION("""COMPUTED_VALUE"""),45848.6666666666)</f>
        <v/>
      </c>
      <c r="F1891" s="6">
        <f>IFERROR(__xludf.DUMMYFUNCTION("""COMPUTED_VALUE"""),6280.46)</f>
        <v/>
      </c>
      <c r="J1891" s="6">
        <f>K1891&amp;L1891</f>
        <v/>
      </c>
      <c r="K1891" s="6">
        <f>YEAR(M1891)</f>
        <v/>
      </c>
      <c r="L1891" s="6">
        <f>MONTH(M1891)</f>
        <v/>
      </c>
      <c r="M1891" s="267">
        <f>IFERROR(__xludf.DUMMYFUNCTION("""COMPUTED_VALUE"""),45840.6666666666)</f>
        <v/>
      </c>
      <c r="N1891" s="6">
        <f>IFERROR(__xludf.DUMMYFUNCTION("""COMPUTED_VALUE"""),20393.13)</f>
        <v/>
      </c>
      <c r="R1891" s="6">
        <f>S1891&amp;T1891</f>
        <v/>
      </c>
      <c r="S1891" s="6">
        <f>YEAR(U1891)</f>
        <v/>
      </c>
      <c r="T1891" s="6">
        <f>MONTH(U1891)</f>
        <v/>
      </c>
      <c r="U1891" s="267">
        <f>IFERROR(__xludf.DUMMYFUNCTION("""COMPUTED_VALUE"""),45915.6458333333)</f>
        <v/>
      </c>
      <c r="V1891" s="6">
        <f>IFERROR(__xludf.DUMMYFUNCTION("""COMPUTED_VALUE"""),3407.31)</f>
        <v/>
      </c>
      <c r="Z1891" s="6">
        <f>AA1891&amp;AB1891</f>
        <v/>
      </c>
      <c r="AA1891" s="6">
        <f>YEAR(AC1891)</f>
        <v/>
      </c>
      <c r="AB1891" s="6">
        <f>MONTH(AC1891)</f>
        <v/>
      </c>
      <c r="AC1891" s="267">
        <f>IFERROR(__xludf.DUMMYFUNCTION("""COMPUTED_VALUE"""),45040.9986111111)</f>
        <v/>
      </c>
      <c r="AD1891" s="6">
        <f>IFERROR(__xludf.DUMMYFUNCTION("""COMPUTED_VALUE"""),1332.8)</f>
        <v/>
      </c>
      <c r="AH1891" s="6">
        <f>AI1891&amp;AJ1891</f>
        <v/>
      </c>
      <c r="AI1891" s="6">
        <f>YEAR(AK1891)</f>
        <v/>
      </c>
      <c r="AJ1891" s="6">
        <f>MONTH(AK1891)</f>
        <v/>
      </c>
      <c r="AK1891" s="267">
        <f>IFERROR(__xludf.DUMMYFUNCTION("""COMPUTED_VALUE"""),44984.9986111111)</f>
        <v/>
      </c>
      <c r="AL1891" s="6">
        <f>IFERROR(__xludf.DUMMYFUNCTION("""COMPUTED_VALUE"""),23491.26)</f>
        <v/>
      </c>
      <c r="AP1891" s="6">
        <f>AQ1891&amp;AR1891</f>
        <v/>
      </c>
      <c r="AQ1891" s="6">
        <f>YEAR(AS1891)</f>
        <v/>
      </c>
      <c r="AR1891" s="6">
        <f>MONTH(AS1891)</f>
        <v/>
      </c>
      <c r="AS1891" s="267">
        <f>IFERROR(__xludf.DUMMYFUNCTION("""COMPUTED_VALUE"""),45855.9986111111)</f>
        <v/>
      </c>
      <c r="AT1891" s="6">
        <f>IFERROR(__xludf.DUMMYFUNCTION("""COMPUTED_VALUE"""),3345.3)</f>
        <v/>
      </c>
    </row>
    <row r="1892">
      <c r="B1892" s="6">
        <f>C1892&amp;D1892</f>
        <v/>
      </c>
      <c r="C1892" s="6">
        <f>YEAR(E1892)</f>
        <v/>
      </c>
      <c r="D1892" s="6">
        <f>MONTH(E1892)</f>
        <v/>
      </c>
      <c r="E1892" s="267">
        <f>IFERROR(__xludf.DUMMYFUNCTION("""COMPUTED_VALUE"""),45849.6666666666)</f>
        <v/>
      </c>
      <c r="F1892" s="6">
        <f>IFERROR(__xludf.DUMMYFUNCTION("""COMPUTED_VALUE"""),6259.75)</f>
        <v/>
      </c>
      <c r="J1892" s="6">
        <f>K1892&amp;L1892</f>
        <v/>
      </c>
      <c r="K1892" s="6">
        <f>YEAR(M1892)</f>
        <v/>
      </c>
      <c r="L1892" s="6">
        <f>MONTH(M1892)</f>
        <v/>
      </c>
      <c r="M1892" s="267">
        <f>IFERROR(__xludf.DUMMYFUNCTION("""COMPUTED_VALUE"""),45841.5451388888)</f>
        <v/>
      </c>
      <c r="N1892" s="6">
        <f>IFERROR(__xludf.DUMMYFUNCTION("""COMPUTED_VALUE"""),20601.1)</f>
        <v/>
      </c>
      <c r="R1892" s="6">
        <f>S1892&amp;T1892</f>
        <v/>
      </c>
      <c r="S1892" s="6">
        <f>YEAR(U1892)</f>
        <v/>
      </c>
      <c r="T1892" s="6">
        <f>MONTH(U1892)</f>
        <v/>
      </c>
      <c r="U1892" s="267">
        <f>IFERROR(__xludf.DUMMYFUNCTION("""COMPUTED_VALUE"""),45916.6458333333)</f>
        <v/>
      </c>
      <c r="V1892" s="6">
        <f>IFERROR(__xludf.DUMMYFUNCTION("""COMPUTED_VALUE"""),3449.62)</f>
        <v/>
      </c>
      <c r="Z1892" s="6">
        <f>AA1892&amp;AB1892</f>
        <v/>
      </c>
      <c r="AA1892" s="6">
        <f>YEAR(AC1892)</f>
        <v/>
      </c>
      <c r="AB1892" s="6">
        <f>MONTH(AC1892)</f>
        <v/>
      </c>
      <c r="AC1892" s="267">
        <f>IFERROR(__xludf.DUMMYFUNCTION("""COMPUTED_VALUE"""),45041.9986111111)</f>
        <v/>
      </c>
      <c r="AD1892" s="6">
        <f>IFERROR(__xludf.DUMMYFUNCTION("""COMPUTED_VALUE"""),1341)</f>
        <v/>
      </c>
      <c r="AH1892" s="6">
        <f>AI1892&amp;AJ1892</f>
        <v/>
      </c>
      <c r="AI1892" s="6">
        <f>YEAR(AK1892)</f>
        <v/>
      </c>
      <c r="AJ1892" s="6">
        <f>MONTH(AK1892)</f>
        <v/>
      </c>
      <c r="AK1892" s="267">
        <f>IFERROR(__xludf.DUMMYFUNCTION("""COMPUTED_VALUE"""),44985.9986111111)</f>
        <v/>
      </c>
      <c r="AL1892" s="6">
        <f>IFERROR(__xludf.DUMMYFUNCTION("""COMPUTED_VALUE"""),23131.85)</f>
        <v/>
      </c>
      <c r="AP1892" s="6">
        <f>AQ1892&amp;AR1892</f>
        <v/>
      </c>
      <c r="AQ1892" s="6">
        <f>YEAR(AS1892)</f>
        <v/>
      </c>
      <c r="AR1892" s="6">
        <f>MONTH(AS1892)</f>
        <v/>
      </c>
      <c r="AS1892" s="267">
        <f>IFERROR(__xludf.DUMMYFUNCTION("""COMPUTED_VALUE"""),45856.9986111111)</f>
        <v/>
      </c>
      <c r="AT1892" s="6">
        <f>IFERROR(__xludf.DUMMYFUNCTION("""COMPUTED_VALUE"""),3358.3)</f>
        <v/>
      </c>
    </row>
    <row r="1893">
      <c r="B1893" s="6">
        <f>C1893&amp;D1893</f>
        <v/>
      </c>
      <c r="C1893" s="6">
        <f>YEAR(E1893)</f>
        <v/>
      </c>
      <c r="D1893" s="6">
        <f>MONTH(E1893)</f>
        <v/>
      </c>
      <c r="E1893" s="267">
        <f>IFERROR(__xludf.DUMMYFUNCTION("""COMPUTED_VALUE"""),45852.6666666666)</f>
        <v/>
      </c>
      <c r="F1893" s="6">
        <f>IFERROR(__xludf.DUMMYFUNCTION("""COMPUTED_VALUE"""),6268.56)</f>
        <v/>
      </c>
      <c r="J1893" s="6">
        <f>K1893&amp;L1893</f>
        <v/>
      </c>
      <c r="K1893" s="6">
        <f>YEAR(M1893)</f>
        <v/>
      </c>
      <c r="L1893" s="6">
        <f>MONTH(M1893)</f>
        <v/>
      </c>
      <c r="M1893" s="267">
        <f>IFERROR(__xludf.DUMMYFUNCTION("""COMPUTED_VALUE"""),45845.6666666666)</f>
        <v/>
      </c>
      <c r="N1893" s="6">
        <f>IFERROR(__xludf.DUMMYFUNCTION("""COMPUTED_VALUE"""),20412.52)</f>
        <v/>
      </c>
      <c r="R1893" s="6">
        <f>S1893&amp;T1893</f>
        <v/>
      </c>
      <c r="S1893" s="6">
        <f>YEAR(U1893)</f>
        <v/>
      </c>
      <c r="T1893" s="6">
        <f>MONTH(U1893)</f>
        <v/>
      </c>
      <c r="U1893" s="267">
        <f>IFERROR(__xludf.DUMMYFUNCTION("""COMPUTED_VALUE"""),45917.6458333333)</f>
        <v/>
      </c>
      <c r="V1893" s="6">
        <f>IFERROR(__xludf.DUMMYFUNCTION("""COMPUTED_VALUE"""),3413.4)</f>
        <v/>
      </c>
      <c r="Z1893" s="6">
        <f>AA1893&amp;AB1893</f>
        <v/>
      </c>
      <c r="AA1893" s="6">
        <f>YEAR(AC1893)</f>
        <v/>
      </c>
      <c r="AB1893" s="6">
        <f>MONTH(AC1893)</f>
        <v/>
      </c>
      <c r="AC1893" s="267">
        <f>IFERROR(__xludf.DUMMYFUNCTION("""COMPUTED_VALUE"""),45042.9986111111)</f>
        <v/>
      </c>
      <c r="AD1893" s="6">
        <f>IFERROR(__xludf.DUMMYFUNCTION("""COMPUTED_VALUE"""),1337.83)</f>
        <v/>
      </c>
      <c r="AH1893" s="6">
        <f>AI1893&amp;AJ1893</f>
        <v/>
      </c>
      <c r="AI1893" s="6">
        <f>YEAR(AK1893)</f>
        <v/>
      </c>
      <c r="AJ1893" s="6">
        <f>MONTH(AK1893)</f>
        <v/>
      </c>
      <c r="AK1893" s="267">
        <f>IFERROR(__xludf.DUMMYFUNCTION("""COMPUTED_VALUE"""),44986.9986111111)</f>
        <v/>
      </c>
      <c r="AL1893" s="6">
        <f>IFERROR(__xludf.DUMMYFUNCTION("""COMPUTED_VALUE"""),23636.86)</f>
        <v/>
      </c>
      <c r="AP1893" s="6">
        <f>AQ1893&amp;AR1893</f>
        <v/>
      </c>
      <c r="AQ1893" s="6">
        <f>YEAR(AS1893)</f>
        <v/>
      </c>
      <c r="AR1893" s="6">
        <f>MONTH(AS1893)</f>
        <v/>
      </c>
      <c r="AS1893" s="267">
        <f>IFERROR(__xludf.DUMMYFUNCTION("""COMPUTED_VALUE"""),45859.9986111111)</f>
        <v/>
      </c>
      <c r="AT1893" s="6">
        <f>IFERROR(__xludf.DUMMYFUNCTION("""COMPUTED_VALUE"""),3406.4)</f>
        <v/>
      </c>
    </row>
    <row r="1894">
      <c r="B1894" s="6">
        <f>C1894&amp;D1894</f>
        <v/>
      </c>
      <c r="C1894" s="6">
        <f>YEAR(E1894)</f>
        <v/>
      </c>
      <c r="D1894" s="6">
        <f>MONTH(E1894)</f>
        <v/>
      </c>
      <c r="E1894" s="267">
        <f>IFERROR(__xludf.DUMMYFUNCTION("""COMPUTED_VALUE"""),45853.6666666666)</f>
        <v/>
      </c>
      <c r="F1894" s="6">
        <f>IFERROR(__xludf.DUMMYFUNCTION("""COMPUTED_VALUE"""),6243.76)</f>
        <v/>
      </c>
      <c r="J1894" s="6">
        <f>K1894&amp;L1894</f>
        <v/>
      </c>
      <c r="K1894" s="6">
        <f>YEAR(M1894)</f>
        <v/>
      </c>
      <c r="L1894" s="6">
        <f>MONTH(M1894)</f>
        <v/>
      </c>
      <c r="M1894" s="267">
        <f>IFERROR(__xludf.DUMMYFUNCTION("""COMPUTED_VALUE"""),45846.6666666666)</f>
        <v/>
      </c>
      <c r="N1894" s="6">
        <f>IFERROR(__xludf.DUMMYFUNCTION("""COMPUTED_VALUE"""),20418.46)</f>
        <v/>
      </c>
      <c r="R1894" s="6">
        <f>S1894&amp;T1894</f>
        <v/>
      </c>
      <c r="S1894" s="6">
        <f>YEAR(U1894)</f>
        <v/>
      </c>
      <c r="T1894" s="6">
        <f>MONTH(U1894)</f>
        <v/>
      </c>
      <c r="U1894" s="267">
        <f>IFERROR(__xludf.DUMMYFUNCTION("""COMPUTED_VALUE"""),45918.6458333333)</f>
        <v/>
      </c>
      <c r="V1894" s="6">
        <f>IFERROR(__xludf.DUMMYFUNCTION("""COMPUTED_VALUE"""),3461.3)</f>
        <v/>
      </c>
      <c r="Z1894" s="6">
        <f>AA1894&amp;AB1894</f>
        <v/>
      </c>
      <c r="AA1894" s="6">
        <f>YEAR(AC1894)</f>
        <v/>
      </c>
      <c r="AB1894" s="6">
        <f>MONTH(AC1894)</f>
        <v/>
      </c>
      <c r="AC1894" s="267">
        <f>IFERROR(__xludf.DUMMYFUNCTION("""COMPUTED_VALUE"""),45043.9986111111)</f>
        <v/>
      </c>
      <c r="AD1894" s="6">
        <f>IFERROR(__xludf.DUMMYFUNCTION("""COMPUTED_VALUE"""),1339.39)</f>
        <v/>
      </c>
      <c r="AH1894" s="6">
        <f>AI1894&amp;AJ1894</f>
        <v/>
      </c>
      <c r="AI1894" s="6">
        <f>YEAR(AK1894)</f>
        <v/>
      </c>
      <c r="AJ1894" s="6">
        <f>MONTH(AK1894)</f>
        <v/>
      </c>
      <c r="AK1894" s="267">
        <f>IFERROR(__xludf.DUMMYFUNCTION("""COMPUTED_VALUE"""),44987.9986111111)</f>
        <v/>
      </c>
      <c r="AL1894" s="6">
        <f>IFERROR(__xludf.DUMMYFUNCTION("""COMPUTED_VALUE"""),23464.47)</f>
        <v/>
      </c>
      <c r="AP1894" s="6">
        <f>AQ1894&amp;AR1894</f>
        <v/>
      </c>
      <c r="AQ1894" s="6">
        <f>YEAR(AS1894)</f>
        <v/>
      </c>
      <c r="AR1894" s="6">
        <f>MONTH(AS1894)</f>
        <v/>
      </c>
      <c r="AS1894" s="267">
        <f>IFERROR(__xludf.DUMMYFUNCTION("""COMPUTED_VALUE"""),45860.9986111111)</f>
        <v/>
      </c>
      <c r="AT1894" s="6">
        <f>IFERROR(__xludf.DUMMYFUNCTION("""COMPUTED_VALUE"""),3443.7)</f>
        <v/>
      </c>
    </row>
    <row r="1895">
      <c r="B1895" s="6">
        <f>C1895&amp;D1895</f>
        <v/>
      </c>
      <c r="C1895" s="6">
        <f>YEAR(E1895)</f>
        <v/>
      </c>
      <c r="D1895" s="6">
        <f>MONTH(E1895)</f>
        <v/>
      </c>
      <c r="E1895" s="267">
        <f>IFERROR(__xludf.DUMMYFUNCTION("""COMPUTED_VALUE"""),45854.6666666666)</f>
        <v/>
      </c>
      <c r="F1895" s="6">
        <f>IFERROR(__xludf.DUMMYFUNCTION("""COMPUTED_VALUE"""),6263.7)</f>
        <v/>
      </c>
      <c r="J1895" s="6">
        <f>K1895&amp;L1895</f>
        <v/>
      </c>
      <c r="K1895" s="6">
        <f>YEAR(M1895)</f>
        <v/>
      </c>
      <c r="L1895" s="6">
        <f>MONTH(M1895)</f>
        <v/>
      </c>
      <c r="M1895" s="267">
        <f>IFERROR(__xludf.DUMMYFUNCTION("""COMPUTED_VALUE"""),45847.6666666666)</f>
        <v/>
      </c>
      <c r="N1895" s="6">
        <f>IFERROR(__xludf.DUMMYFUNCTION("""COMPUTED_VALUE"""),20611.34)</f>
        <v/>
      </c>
      <c r="R1895" s="6">
        <f>S1895&amp;T1895</f>
        <v/>
      </c>
      <c r="S1895" s="6">
        <f>YEAR(U1895)</f>
        <v/>
      </c>
      <c r="T1895" s="6">
        <f>MONTH(U1895)</f>
        <v/>
      </c>
      <c r="U1895" s="267">
        <f>IFERROR(__xludf.DUMMYFUNCTION("""COMPUTED_VALUE"""),45919.6458333333)</f>
        <v/>
      </c>
      <c r="V1895" s="6">
        <f>IFERROR(__xludf.DUMMYFUNCTION("""COMPUTED_VALUE"""),3445.24)</f>
        <v/>
      </c>
      <c r="Z1895" s="6">
        <f>AA1895&amp;AB1895</f>
        <v/>
      </c>
      <c r="AA1895" s="6">
        <f>YEAR(AC1895)</f>
        <v/>
      </c>
      <c r="AB1895" s="6">
        <f>MONTH(AC1895)</f>
        <v/>
      </c>
      <c r="AC1895" s="267">
        <f>IFERROR(__xludf.DUMMYFUNCTION("""COMPUTED_VALUE"""),45044.9986111111)</f>
        <v/>
      </c>
      <c r="AD1895" s="6">
        <f>IFERROR(__xludf.DUMMYFUNCTION("""COMPUTED_VALUE"""),1337.72)</f>
        <v/>
      </c>
      <c r="AH1895" s="6">
        <f>AI1895&amp;AJ1895</f>
        <v/>
      </c>
      <c r="AI1895" s="6">
        <f>YEAR(AK1895)</f>
        <v/>
      </c>
      <c r="AJ1895" s="6">
        <f>MONTH(AK1895)</f>
        <v/>
      </c>
      <c r="AK1895" s="267">
        <f>IFERROR(__xludf.DUMMYFUNCTION("""COMPUTED_VALUE"""),44988.9986111111)</f>
        <v/>
      </c>
      <c r="AL1895" s="6">
        <f>IFERROR(__xludf.DUMMYFUNCTION("""COMPUTED_VALUE"""),22351.32)</f>
        <v/>
      </c>
      <c r="AP1895" s="6">
        <f>AQ1895&amp;AR1895</f>
        <v/>
      </c>
      <c r="AQ1895" s="6">
        <f>YEAR(AS1895)</f>
        <v/>
      </c>
      <c r="AR1895" s="6">
        <f>MONTH(AS1895)</f>
        <v/>
      </c>
      <c r="AS1895" s="267">
        <f>IFERROR(__xludf.DUMMYFUNCTION("""COMPUTED_VALUE"""),45861.9986111111)</f>
        <v/>
      </c>
      <c r="AT1895" s="6">
        <f>IFERROR(__xludf.DUMMYFUNCTION("""COMPUTED_VALUE"""),3397.6)</f>
        <v/>
      </c>
    </row>
    <row r="1896">
      <c r="B1896" s="6">
        <f>C1896&amp;D1896</f>
        <v/>
      </c>
      <c r="C1896" s="6">
        <f>YEAR(E1896)</f>
        <v/>
      </c>
      <c r="D1896" s="6">
        <f>MONTH(E1896)</f>
        <v/>
      </c>
      <c r="E1896" s="267">
        <f>IFERROR(__xludf.DUMMYFUNCTION("""COMPUTED_VALUE"""),45855.6666666666)</f>
        <v/>
      </c>
      <c r="F1896" s="6">
        <f>IFERROR(__xludf.DUMMYFUNCTION("""COMPUTED_VALUE"""),6297.36)</f>
        <v/>
      </c>
      <c r="J1896" s="6">
        <f>K1896&amp;L1896</f>
        <v/>
      </c>
      <c r="K1896" s="6">
        <f>YEAR(M1896)</f>
        <v/>
      </c>
      <c r="L1896" s="6">
        <f>MONTH(M1896)</f>
        <v/>
      </c>
      <c r="M1896" s="267">
        <f>IFERROR(__xludf.DUMMYFUNCTION("""COMPUTED_VALUE"""),45848.6666666666)</f>
        <v/>
      </c>
      <c r="N1896" s="6">
        <f>IFERROR(__xludf.DUMMYFUNCTION("""COMPUTED_VALUE"""),20630.67)</f>
        <v/>
      </c>
      <c r="R1896" s="6">
        <f>S1896&amp;T1896</f>
        <v/>
      </c>
      <c r="S1896" s="6">
        <f>YEAR(U1896)</f>
        <v/>
      </c>
      <c r="T1896" s="6">
        <f>MONTH(U1896)</f>
        <v/>
      </c>
      <c r="U1896" s="267">
        <f>IFERROR(__xludf.DUMMYFUNCTION("""COMPUTED_VALUE"""),45922.6458333333)</f>
        <v/>
      </c>
      <c r="V1896" s="6">
        <f>IFERROR(__xludf.DUMMYFUNCTION("""COMPUTED_VALUE"""),3468.65)</f>
        <v/>
      </c>
      <c r="Z1896" s="6">
        <f>AA1896&amp;AB1896</f>
        <v/>
      </c>
      <c r="AA1896" s="6">
        <f>YEAR(AC1896)</f>
        <v/>
      </c>
      <c r="AB1896" s="6">
        <f>MONTH(AC1896)</f>
        <v/>
      </c>
      <c r="AC1896" s="267">
        <f>IFERROR(__xludf.DUMMYFUNCTION("""COMPUTED_VALUE"""),45045.9986111111)</f>
        <v/>
      </c>
      <c r="AD1896" s="6">
        <f>IFERROR(__xludf.DUMMYFUNCTION("""COMPUTED_VALUE"""),1337.32)</f>
        <v/>
      </c>
      <c r="AH1896" s="6">
        <f>AI1896&amp;AJ1896</f>
        <v/>
      </c>
      <c r="AI1896" s="6">
        <f>YEAR(AK1896)</f>
        <v/>
      </c>
      <c r="AJ1896" s="6">
        <f>MONTH(AK1896)</f>
        <v/>
      </c>
      <c r="AK1896" s="267">
        <f>IFERROR(__xludf.DUMMYFUNCTION("""COMPUTED_VALUE"""),44989.9986111111)</f>
        <v/>
      </c>
      <c r="AL1896" s="6">
        <f>IFERROR(__xludf.DUMMYFUNCTION("""COMPUTED_VALUE"""),22348.56)</f>
        <v/>
      </c>
      <c r="AP1896" s="6">
        <f>AQ1896&amp;AR1896</f>
        <v/>
      </c>
      <c r="AQ1896" s="6">
        <f>YEAR(AS1896)</f>
        <v/>
      </c>
      <c r="AR1896" s="6">
        <f>MONTH(AS1896)</f>
        <v/>
      </c>
      <c r="AS1896" s="267">
        <f>IFERROR(__xludf.DUMMYFUNCTION("""COMPUTED_VALUE"""),45862.9986111111)</f>
        <v/>
      </c>
      <c r="AT1896" s="6">
        <f>IFERROR(__xludf.DUMMYFUNCTION("""COMPUTED_VALUE"""),3373.5)</f>
        <v/>
      </c>
    </row>
    <row r="1897">
      <c r="B1897" s="6">
        <f>C1897&amp;D1897</f>
        <v/>
      </c>
      <c r="C1897" s="6">
        <f>YEAR(E1897)</f>
        <v/>
      </c>
      <c r="D1897" s="6">
        <f>MONTH(E1897)</f>
        <v/>
      </c>
      <c r="E1897" s="267">
        <f>IFERROR(__xludf.DUMMYFUNCTION("""COMPUTED_VALUE"""),45856.6666666666)</f>
        <v/>
      </c>
      <c r="F1897" s="6">
        <f>IFERROR(__xludf.DUMMYFUNCTION("""COMPUTED_VALUE"""),6296.79)</f>
        <v/>
      </c>
      <c r="J1897" s="6">
        <f>K1897&amp;L1897</f>
        <v/>
      </c>
      <c r="K1897" s="6">
        <f>YEAR(M1897)</f>
        <v/>
      </c>
      <c r="L1897" s="6">
        <f>MONTH(M1897)</f>
        <v/>
      </c>
      <c r="M1897" s="267">
        <f>IFERROR(__xludf.DUMMYFUNCTION("""COMPUTED_VALUE"""),45849.6666666666)</f>
        <v/>
      </c>
      <c r="N1897" s="6">
        <f>IFERROR(__xludf.DUMMYFUNCTION("""COMPUTED_VALUE"""),20585.53)</f>
        <v/>
      </c>
      <c r="R1897" s="6">
        <f>S1897&amp;T1897</f>
        <v/>
      </c>
      <c r="S1897" s="6">
        <f>YEAR(U1897)</f>
        <v/>
      </c>
      <c r="T1897" s="6">
        <f>MONTH(U1897)</f>
        <v/>
      </c>
      <c r="U1897" s="267">
        <f>IFERROR(__xludf.DUMMYFUNCTION("""COMPUTED_VALUE"""),45923.6458333333)</f>
        <v/>
      </c>
      <c r="V1897" s="6">
        <f>IFERROR(__xludf.DUMMYFUNCTION("""COMPUTED_VALUE"""),3486.19)</f>
        <v/>
      </c>
      <c r="Z1897" s="6">
        <f>AA1897&amp;AB1897</f>
        <v/>
      </c>
      <c r="AA1897" s="6">
        <f>YEAR(AC1897)</f>
        <v/>
      </c>
      <c r="AB1897" s="6">
        <f>MONTH(AC1897)</f>
        <v/>
      </c>
      <c r="AC1897" s="267">
        <f>IFERROR(__xludf.DUMMYFUNCTION("""COMPUTED_VALUE"""),45046.9986111111)</f>
        <v/>
      </c>
      <c r="AD1897" s="6">
        <f>IFERROR(__xludf.DUMMYFUNCTION("""COMPUTED_VALUE"""),1337.17)</f>
        <v/>
      </c>
      <c r="AH1897" s="6">
        <f>AI1897&amp;AJ1897</f>
        <v/>
      </c>
      <c r="AI1897" s="6">
        <f>YEAR(AK1897)</f>
        <v/>
      </c>
      <c r="AJ1897" s="6">
        <f>MONTH(AK1897)</f>
        <v/>
      </c>
      <c r="AK1897" s="267">
        <f>IFERROR(__xludf.DUMMYFUNCTION("""COMPUTED_VALUE"""),44990.9986111111)</f>
        <v/>
      </c>
      <c r="AL1897" s="6">
        <f>IFERROR(__xludf.DUMMYFUNCTION("""COMPUTED_VALUE"""),22430.08)</f>
        <v/>
      </c>
      <c r="AP1897" s="6">
        <f>AQ1897&amp;AR1897</f>
        <v/>
      </c>
      <c r="AQ1897" s="6">
        <f>YEAR(AS1897)</f>
        <v/>
      </c>
      <c r="AR1897" s="6">
        <f>MONTH(AS1897)</f>
        <v/>
      </c>
      <c r="AS1897" s="267">
        <f>IFERROR(__xludf.DUMMYFUNCTION("""COMPUTED_VALUE"""),45863.9986111111)</f>
        <v/>
      </c>
      <c r="AT1897" s="6">
        <f>IFERROR(__xludf.DUMMYFUNCTION("""COMPUTED_VALUE"""),3335.6)</f>
        <v/>
      </c>
    </row>
    <row r="1898">
      <c r="B1898" s="6">
        <f>C1898&amp;D1898</f>
        <v/>
      </c>
      <c r="C1898" s="6">
        <f>YEAR(E1898)</f>
        <v/>
      </c>
      <c r="D1898" s="6">
        <f>MONTH(E1898)</f>
        <v/>
      </c>
      <c r="E1898" s="267">
        <f>IFERROR(__xludf.DUMMYFUNCTION("""COMPUTED_VALUE"""),45859.6666666666)</f>
        <v/>
      </c>
      <c r="F1898" s="6">
        <f>IFERROR(__xludf.DUMMYFUNCTION("""COMPUTED_VALUE"""),6305.6)</f>
        <v/>
      </c>
      <c r="J1898" s="6">
        <f>K1898&amp;L1898</f>
        <v/>
      </c>
      <c r="K1898" s="6">
        <f>YEAR(M1898)</f>
        <v/>
      </c>
      <c r="L1898" s="6">
        <f>MONTH(M1898)</f>
        <v/>
      </c>
      <c r="M1898" s="267">
        <f>IFERROR(__xludf.DUMMYFUNCTION("""COMPUTED_VALUE"""),45852.6666666666)</f>
        <v/>
      </c>
      <c r="N1898" s="6">
        <f>IFERROR(__xludf.DUMMYFUNCTION("""COMPUTED_VALUE"""),20640.33)</f>
        <v/>
      </c>
      <c r="R1898" s="6">
        <f>S1898&amp;T1898</f>
        <v/>
      </c>
      <c r="S1898" s="6">
        <f>YEAR(U1898)</f>
        <v/>
      </c>
      <c r="T1898" s="6">
        <f>MONTH(U1898)</f>
        <v/>
      </c>
      <c r="U1898" s="267">
        <f>IFERROR(__xludf.DUMMYFUNCTION("""COMPUTED_VALUE"""),45924.6458333333)</f>
        <v/>
      </c>
      <c r="V1898" s="6">
        <f>IFERROR(__xludf.DUMMYFUNCTION("""COMPUTED_VALUE"""),3472.14)</f>
        <v/>
      </c>
      <c r="Z1898" s="6">
        <f>AA1898&amp;AB1898</f>
        <v/>
      </c>
      <c r="AA1898" s="6">
        <f>YEAR(AC1898)</f>
        <v/>
      </c>
      <c r="AB1898" s="6">
        <f>MONTH(AC1898)</f>
        <v/>
      </c>
      <c r="AC1898" s="267">
        <f>IFERROR(__xludf.DUMMYFUNCTION("""COMPUTED_VALUE"""),45047.9986111111)</f>
        <v/>
      </c>
      <c r="AD1898" s="6">
        <f>IFERROR(__xludf.DUMMYFUNCTION("""COMPUTED_VALUE"""),1342.79)</f>
        <v/>
      </c>
      <c r="AH1898" s="6">
        <f>AI1898&amp;AJ1898</f>
        <v/>
      </c>
      <c r="AI1898" s="6">
        <f>YEAR(AK1898)</f>
        <v/>
      </c>
      <c r="AJ1898" s="6">
        <f>MONTH(AK1898)</f>
        <v/>
      </c>
      <c r="AK1898" s="267">
        <f>IFERROR(__xludf.DUMMYFUNCTION("""COMPUTED_VALUE"""),44991.9986111111)</f>
        <v/>
      </c>
      <c r="AL1898" s="6">
        <f>IFERROR(__xludf.DUMMYFUNCTION("""COMPUTED_VALUE"""),22409.14)</f>
        <v/>
      </c>
      <c r="AP1898" s="6">
        <f>AQ1898&amp;AR1898</f>
        <v/>
      </c>
      <c r="AQ1898" s="6">
        <f>YEAR(AS1898)</f>
        <v/>
      </c>
      <c r="AR1898" s="6">
        <f>MONTH(AS1898)</f>
        <v/>
      </c>
      <c r="AS1898" s="267">
        <f>IFERROR(__xludf.DUMMYFUNCTION("""COMPUTED_VALUE"""),45866.9986111111)</f>
        <v/>
      </c>
      <c r="AT1898" s="6">
        <f>IFERROR(__xludf.DUMMYFUNCTION("""COMPUTED_VALUE"""),3310)</f>
        <v/>
      </c>
    </row>
    <row r="1899">
      <c r="B1899" s="6">
        <f>C1899&amp;D1899</f>
        <v/>
      </c>
      <c r="C1899" s="6">
        <f>YEAR(E1899)</f>
        <v/>
      </c>
      <c r="D1899" s="6">
        <f>MONTH(E1899)</f>
        <v/>
      </c>
      <c r="E1899" s="267">
        <f>IFERROR(__xludf.DUMMYFUNCTION("""COMPUTED_VALUE"""),45860.6666666666)</f>
        <v/>
      </c>
      <c r="F1899" s="6">
        <f>IFERROR(__xludf.DUMMYFUNCTION("""COMPUTED_VALUE"""),6309.62)</f>
        <v/>
      </c>
      <c r="J1899" s="6">
        <f>K1899&amp;L1899</f>
        <v/>
      </c>
      <c r="K1899" s="6">
        <f>YEAR(M1899)</f>
        <v/>
      </c>
      <c r="L1899" s="6">
        <f>MONTH(M1899)</f>
        <v/>
      </c>
      <c r="M1899" s="267">
        <f>IFERROR(__xludf.DUMMYFUNCTION("""COMPUTED_VALUE"""),45853.6666666666)</f>
        <v/>
      </c>
      <c r="N1899" s="6">
        <f>IFERROR(__xludf.DUMMYFUNCTION("""COMPUTED_VALUE"""),20677.8)</f>
        <v/>
      </c>
      <c r="R1899" s="6">
        <f>S1899&amp;T1899</f>
        <v/>
      </c>
      <c r="S1899" s="6">
        <f>YEAR(U1899)</f>
        <v/>
      </c>
      <c r="T1899" s="6">
        <f>MONTH(U1899)</f>
        <v/>
      </c>
      <c r="U1899" s="267">
        <f>IFERROR(__xludf.DUMMYFUNCTION("""COMPUTED_VALUE"""),45925.6458333333)</f>
        <v/>
      </c>
      <c r="V1899" s="6">
        <f>IFERROR(__xludf.DUMMYFUNCTION("""COMPUTED_VALUE"""),3471.11)</f>
        <v/>
      </c>
      <c r="Z1899" s="6">
        <f>AA1899&amp;AB1899</f>
        <v/>
      </c>
      <c r="AA1899" s="6">
        <f>YEAR(AC1899)</f>
        <v/>
      </c>
      <c r="AB1899" s="6">
        <f>MONTH(AC1899)</f>
        <v/>
      </c>
      <c r="AC1899" s="267">
        <f>IFERROR(__xludf.DUMMYFUNCTION("""COMPUTED_VALUE"""),45048.9986111111)</f>
        <v/>
      </c>
      <c r="AD1899" s="6">
        <f>IFERROR(__xludf.DUMMYFUNCTION("""COMPUTED_VALUE"""),1342.3)</f>
        <v/>
      </c>
      <c r="AH1899" s="6">
        <f>AI1899&amp;AJ1899</f>
        <v/>
      </c>
      <c r="AI1899" s="6">
        <f>YEAR(AK1899)</f>
        <v/>
      </c>
      <c r="AJ1899" s="6">
        <f>MONTH(AK1899)</f>
        <v/>
      </c>
      <c r="AK1899" s="267">
        <f>IFERROR(__xludf.DUMMYFUNCTION("""COMPUTED_VALUE"""),44992.9986111111)</f>
        <v/>
      </c>
      <c r="AL1899" s="6">
        <f>IFERROR(__xludf.DUMMYFUNCTION("""COMPUTED_VALUE"""),22199.27)</f>
        <v/>
      </c>
      <c r="AP1899" s="6">
        <f>AQ1899&amp;AR1899</f>
        <v/>
      </c>
      <c r="AQ1899" s="6">
        <f>YEAR(AS1899)</f>
        <v/>
      </c>
      <c r="AR1899" s="6">
        <f>MONTH(AS1899)</f>
        <v/>
      </c>
      <c r="AS1899" s="267">
        <f>IFERROR(__xludf.DUMMYFUNCTION("""COMPUTED_VALUE"""),45867.9986111111)</f>
        <v/>
      </c>
      <c r="AT1899" s="6">
        <f>IFERROR(__xludf.DUMMYFUNCTION("""COMPUTED_VALUE"""),3324)</f>
        <v/>
      </c>
    </row>
    <row r="1900">
      <c r="B1900" s="6">
        <f>C1900&amp;D1900</f>
        <v/>
      </c>
      <c r="C1900" s="6">
        <f>YEAR(E1900)</f>
        <v/>
      </c>
      <c r="D1900" s="6">
        <f>MONTH(E1900)</f>
        <v/>
      </c>
      <c r="E1900" s="267">
        <f>IFERROR(__xludf.DUMMYFUNCTION("""COMPUTED_VALUE"""),45861.6666666666)</f>
        <v/>
      </c>
      <c r="F1900" s="6">
        <f>IFERROR(__xludf.DUMMYFUNCTION("""COMPUTED_VALUE"""),6358.91)</f>
        <v/>
      </c>
      <c r="J1900" s="6">
        <f>K1900&amp;L1900</f>
        <v/>
      </c>
      <c r="K1900" s="6">
        <f>YEAR(M1900)</f>
        <v/>
      </c>
      <c r="L1900" s="6">
        <f>MONTH(M1900)</f>
        <v/>
      </c>
      <c r="M1900" s="267">
        <f>IFERROR(__xludf.DUMMYFUNCTION("""COMPUTED_VALUE"""),45854.6666666666)</f>
        <v/>
      </c>
      <c r="N1900" s="6">
        <f>IFERROR(__xludf.DUMMYFUNCTION("""COMPUTED_VALUE"""),20730.49)</f>
        <v/>
      </c>
      <c r="R1900" s="6">
        <f>S1900&amp;T1900</f>
        <v/>
      </c>
      <c r="S1900" s="6">
        <f>YEAR(U1900)</f>
        <v/>
      </c>
      <c r="T1900" s="6">
        <f>MONTH(U1900)</f>
        <v/>
      </c>
      <c r="U1900" s="267">
        <f>IFERROR(__xludf.DUMMYFUNCTION("""COMPUTED_VALUE"""),45926.6458333333)</f>
        <v/>
      </c>
      <c r="V1900" s="6">
        <f>IFERROR(__xludf.DUMMYFUNCTION("""COMPUTED_VALUE"""),3386.05)</f>
        <v/>
      </c>
      <c r="Z1900" s="6">
        <f>AA1900&amp;AB1900</f>
        <v/>
      </c>
      <c r="AA1900" s="6">
        <f>YEAR(AC1900)</f>
        <v/>
      </c>
      <c r="AB1900" s="6">
        <f>MONTH(AC1900)</f>
        <v/>
      </c>
      <c r="AC1900" s="267">
        <f>IFERROR(__xludf.DUMMYFUNCTION("""COMPUTED_VALUE"""),45049.9986111111)</f>
        <v/>
      </c>
      <c r="AD1900" s="6">
        <f>IFERROR(__xludf.DUMMYFUNCTION("""COMPUTED_VALUE"""),1335.23)</f>
        <v/>
      </c>
      <c r="AH1900" s="6">
        <f>AI1900&amp;AJ1900</f>
        <v/>
      </c>
      <c r="AI1900" s="6">
        <f>YEAR(AK1900)</f>
        <v/>
      </c>
      <c r="AJ1900" s="6">
        <f>MONTH(AK1900)</f>
        <v/>
      </c>
      <c r="AK1900" s="267">
        <f>IFERROR(__xludf.DUMMYFUNCTION("""COMPUTED_VALUE"""),44993.9986111111)</f>
        <v/>
      </c>
      <c r="AL1900" s="6">
        <f>IFERROR(__xludf.DUMMYFUNCTION("""COMPUTED_VALUE"""),21702.5)</f>
        <v/>
      </c>
      <c r="AP1900" s="6">
        <f>AQ1900&amp;AR1900</f>
        <v/>
      </c>
      <c r="AQ1900" s="6">
        <f>YEAR(AS1900)</f>
        <v/>
      </c>
      <c r="AR1900" s="6">
        <f>MONTH(AS1900)</f>
        <v/>
      </c>
      <c r="AS1900" s="267">
        <f>IFERROR(__xludf.DUMMYFUNCTION("""COMPUTED_VALUE"""),45868.9986111111)</f>
        <v/>
      </c>
      <c r="AT1900" s="6">
        <f>IFERROR(__xludf.DUMMYFUNCTION("""COMPUTED_VALUE"""),3352.8)</f>
        <v/>
      </c>
    </row>
    <row r="1901">
      <c r="B1901" s="6">
        <f>C1901&amp;D1901</f>
        <v/>
      </c>
      <c r="C1901" s="6">
        <f>YEAR(E1901)</f>
        <v/>
      </c>
      <c r="D1901" s="6">
        <f>MONTH(E1901)</f>
        <v/>
      </c>
      <c r="E1901" s="267">
        <f>IFERROR(__xludf.DUMMYFUNCTION("""COMPUTED_VALUE"""),45862.6666666666)</f>
        <v/>
      </c>
      <c r="F1901" s="6">
        <f>IFERROR(__xludf.DUMMYFUNCTION("""COMPUTED_VALUE"""),6363.35)</f>
        <v/>
      </c>
      <c r="J1901" s="6">
        <f>K1901&amp;L1901</f>
        <v/>
      </c>
      <c r="K1901" s="6">
        <f>YEAR(M1901)</f>
        <v/>
      </c>
      <c r="L1901" s="6">
        <f>MONTH(M1901)</f>
        <v/>
      </c>
      <c r="M1901" s="267">
        <f>IFERROR(__xludf.DUMMYFUNCTION("""COMPUTED_VALUE"""),45855.6666666666)</f>
        <v/>
      </c>
      <c r="N1901" s="6">
        <f>IFERROR(__xludf.DUMMYFUNCTION("""COMPUTED_VALUE"""),20885.65)</f>
        <v/>
      </c>
      <c r="R1901" s="6">
        <f>S1901&amp;T1901</f>
        <v/>
      </c>
      <c r="S1901" s="6">
        <f>YEAR(U1901)</f>
        <v/>
      </c>
      <c r="T1901" s="6">
        <f>MONTH(U1901)</f>
        <v/>
      </c>
      <c r="U1901" s="267">
        <f>IFERROR(__xludf.DUMMYFUNCTION("""COMPUTED_VALUE"""),45929.6458333333)</f>
        <v/>
      </c>
      <c r="V1901" s="6">
        <f>IFERROR(__xludf.DUMMYFUNCTION("""COMPUTED_VALUE"""),3431.21)</f>
        <v/>
      </c>
      <c r="Z1901" s="6">
        <f>AA1901&amp;AB1901</f>
        <v/>
      </c>
      <c r="AA1901" s="6">
        <f>YEAR(AC1901)</f>
        <v/>
      </c>
      <c r="AB1901" s="6">
        <f>MONTH(AC1901)</f>
        <v/>
      </c>
      <c r="AC1901" s="267">
        <f>IFERROR(__xludf.DUMMYFUNCTION("""COMPUTED_VALUE"""),45050.9986111111)</f>
        <v/>
      </c>
      <c r="AD1901" s="6">
        <f>IFERROR(__xludf.DUMMYFUNCTION("""COMPUTED_VALUE"""),1320.15)</f>
        <v/>
      </c>
      <c r="AH1901" s="6">
        <f>AI1901&amp;AJ1901</f>
        <v/>
      </c>
      <c r="AI1901" s="6">
        <f>YEAR(AK1901)</f>
        <v/>
      </c>
      <c r="AJ1901" s="6">
        <f>MONTH(AK1901)</f>
        <v/>
      </c>
      <c r="AK1901" s="267">
        <f>IFERROR(__xludf.DUMMYFUNCTION("""COMPUTED_VALUE"""),44994.9986111111)</f>
        <v/>
      </c>
      <c r="AL1901" s="6">
        <f>IFERROR(__xludf.DUMMYFUNCTION("""COMPUTED_VALUE"""),20364.74)</f>
        <v/>
      </c>
      <c r="AP1901" s="6">
        <f>AQ1901&amp;AR1901</f>
        <v/>
      </c>
      <c r="AQ1901" s="6">
        <f>YEAR(AS1901)</f>
        <v/>
      </c>
      <c r="AR1901" s="6">
        <f>MONTH(AS1901)</f>
        <v/>
      </c>
      <c r="AS1901" s="267">
        <f>IFERROR(__xludf.DUMMYFUNCTION("""COMPUTED_VALUE"""),45869.9986111111)</f>
        <v/>
      </c>
      <c r="AT1901" s="6">
        <f>IFERROR(__xludf.DUMMYFUNCTION("""COMPUTED_VALUE"""),3348.6)</f>
        <v/>
      </c>
    </row>
    <row r="1902">
      <c r="B1902" s="6">
        <f>C1902&amp;D1902</f>
        <v/>
      </c>
      <c r="C1902" s="6">
        <f>YEAR(E1902)</f>
        <v/>
      </c>
      <c r="D1902" s="6">
        <f>MONTH(E1902)</f>
        <v/>
      </c>
      <c r="E1902" s="267">
        <f>IFERROR(__xludf.DUMMYFUNCTION("""COMPUTED_VALUE"""),45863.6666666666)</f>
        <v/>
      </c>
      <c r="F1902" s="6">
        <f>IFERROR(__xludf.DUMMYFUNCTION("""COMPUTED_VALUE"""),6388.64)</f>
        <v/>
      </c>
      <c r="J1902" s="6">
        <f>K1902&amp;L1902</f>
        <v/>
      </c>
      <c r="K1902" s="6">
        <f>YEAR(M1902)</f>
        <v/>
      </c>
      <c r="L1902" s="6">
        <f>MONTH(M1902)</f>
        <v/>
      </c>
      <c r="M1902" s="267">
        <f>IFERROR(__xludf.DUMMYFUNCTION("""COMPUTED_VALUE"""),45856.6666666666)</f>
        <v/>
      </c>
      <c r="N1902" s="6">
        <f>IFERROR(__xludf.DUMMYFUNCTION("""COMPUTED_VALUE"""),20895.66)</f>
        <v/>
      </c>
      <c r="R1902" s="6">
        <f>S1902&amp;T1902</f>
        <v/>
      </c>
      <c r="S1902" s="6">
        <f>YEAR(U1902)</f>
        <v/>
      </c>
      <c r="T1902" s="6">
        <f>MONTH(U1902)</f>
        <v/>
      </c>
      <c r="U1902" s="267">
        <f>IFERROR(__xludf.DUMMYFUNCTION("""COMPUTED_VALUE"""),45930.6458333333)</f>
        <v/>
      </c>
      <c r="V1902" s="6">
        <f>IFERROR(__xludf.DUMMYFUNCTION("""COMPUTED_VALUE"""),3424.6)</f>
        <v/>
      </c>
      <c r="Z1902" s="6">
        <f>AA1902&amp;AB1902</f>
        <v/>
      </c>
      <c r="AA1902" s="6">
        <f>YEAR(AC1902)</f>
        <v/>
      </c>
      <c r="AB1902" s="6">
        <f>MONTH(AC1902)</f>
        <v/>
      </c>
      <c r="AC1902" s="267">
        <f>IFERROR(__xludf.DUMMYFUNCTION("""COMPUTED_VALUE"""),45051.9986111111)</f>
        <v/>
      </c>
      <c r="AD1902" s="6">
        <f>IFERROR(__xludf.DUMMYFUNCTION("""COMPUTED_VALUE"""),1317.53)</f>
        <v/>
      </c>
      <c r="AH1902" s="6">
        <f>AI1902&amp;AJ1902</f>
        <v/>
      </c>
      <c r="AI1902" s="6">
        <f>YEAR(AK1902)</f>
        <v/>
      </c>
      <c r="AJ1902" s="6">
        <f>MONTH(AK1902)</f>
        <v/>
      </c>
      <c r="AK1902" s="267">
        <f>IFERROR(__xludf.DUMMYFUNCTION("""COMPUTED_VALUE"""),44995.9986111111)</f>
        <v/>
      </c>
      <c r="AL1902" s="6">
        <f>IFERROR(__xludf.DUMMYFUNCTION("""COMPUTED_VALUE"""),20208.31)</f>
        <v/>
      </c>
      <c r="AP1902" s="6">
        <f>AQ1902&amp;AR1902</f>
        <v/>
      </c>
      <c r="AQ1902" s="6">
        <f>YEAR(AS1902)</f>
        <v/>
      </c>
      <c r="AR1902" s="6">
        <f>MONTH(AS1902)</f>
        <v/>
      </c>
      <c r="AS1902" s="267">
        <f>IFERROR(__xludf.DUMMYFUNCTION("""COMPUTED_VALUE"""),45870.9986111111)</f>
        <v/>
      </c>
      <c r="AT1902" s="6">
        <f>IFERROR(__xludf.DUMMYFUNCTION("""COMPUTED_VALUE"""),3399.8)</f>
        <v/>
      </c>
    </row>
    <row r="1903">
      <c r="B1903" s="6">
        <f>C1903&amp;D1903</f>
        <v/>
      </c>
      <c r="C1903" s="6">
        <f>YEAR(E1903)</f>
        <v/>
      </c>
      <c r="D1903" s="6">
        <f>MONTH(E1903)</f>
        <v/>
      </c>
      <c r="E1903" s="267">
        <f>IFERROR(__xludf.DUMMYFUNCTION("""COMPUTED_VALUE"""),45866.6666666666)</f>
        <v/>
      </c>
      <c r="F1903" s="6">
        <f>IFERROR(__xludf.DUMMYFUNCTION("""COMPUTED_VALUE"""),6389.77)</f>
        <v/>
      </c>
      <c r="J1903" s="6">
        <f>K1903&amp;L1903</f>
        <v/>
      </c>
      <c r="K1903" s="6">
        <f>YEAR(M1903)</f>
        <v/>
      </c>
      <c r="L1903" s="6">
        <f>MONTH(M1903)</f>
        <v/>
      </c>
      <c r="M1903" s="267">
        <f>IFERROR(__xludf.DUMMYFUNCTION("""COMPUTED_VALUE"""),45859.6666666666)</f>
        <v/>
      </c>
      <c r="N1903" s="6">
        <f>IFERROR(__xludf.DUMMYFUNCTION("""COMPUTED_VALUE"""),20974.18)</f>
        <v/>
      </c>
      <c r="R1903" s="6">
        <f>S1903&amp;T1903</f>
        <v/>
      </c>
      <c r="S1903" s="6">
        <f>YEAR(U1903)</f>
        <v/>
      </c>
      <c r="T1903" s="6">
        <f>MONTH(U1903)</f>
        <v/>
      </c>
      <c r="U1903" s="267">
        <f>IFERROR(__xludf.DUMMYFUNCTION("""COMPUTED_VALUE"""),45931.6458333333)</f>
        <v/>
      </c>
      <c r="V1903" s="6">
        <f>IFERROR(__xludf.DUMMYFUNCTION("""COMPUTED_VALUE"""),3455.83)</f>
        <v/>
      </c>
      <c r="Z1903" s="6">
        <f>AA1903&amp;AB1903</f>
        <v/>
      </c>
      <c r="AA1903" s="6">
        <f>YEAR(AC1903)</f>
        <v/>
      </c>
      <c r="AB1903" s="6">
        <f>MONTH(AC1903)</f>
        <v/>
      </c>
      <c r="AC1903" s="267">
        <f>IFERROR(__xludf.DUMMYFUNCTION("""COMPUTED_VALUE"""),45052.9986111111)</f>
        <v/>
      </c>
      <c r="AD1903" s="6">
        <f>IFERROR(__xludf.DUMMYFUNCTION("""COMPUTED_VALUE"""),1317.53)</f>
        <v/>
      </c>
      <c r="AH1903" s="6">
        <f>AI1903&amp;AJ1903</f>
        <v/>
      </c>
      <c r="AI1903" s="6">
        <f>YEAR(AK1903)</f>
        <v/>
      </c>
      <c r="AJ1903" s="6">
        <f>MONTH(AK1903)</f>
        <v/>
      </c>
      <c r="AK1903" s="267">
        <f>IFERROR(__xludf.DUMMYFUNCTION("""COMPUTED_VALUE"""),44996.9986111111)</f>
        <v/>
      </c>
      <c r="AL1903" s="6">
        <f>IFERROR(__xludf.DUMMYFUNCTION("""COMPUTED_VALUE"""),20575.93)</f>
        <v/>
      </c>
      <c r="AP1903" s="6">
        <f>AQ1903&amp;AR1903</f>
        <v/>
      </c>
      <c r="AQ1903" s="6">
        <f>YEAR(AS1903)</f>
        <v/>
      </c>
      <c r="AR1903" s="6">
        <f>MONTH(AS1903)</f>
        <v/>
      </c>
      <c r="AS1903" s="267">
        <f>IFERROR(__xludf.DUMMYFUNCTION("""COMPUTED_VALUE"""),45873.9986111111)</f>
        <v/>
      </c>
      <c r="AT1903" s="6">
        <f>IFERROR(__xludf.DUMMYFUNCTION("""COMPUTED_VALUE"""),3426.4)</f>
        <v/>
      </c>
    </row>
    <row r="1904">
      <c r="B1904" s="6">
        <f>C1904&amp;D1904</f>
        <v/>
      </c>
      <c r="C1904" s="6">
        <f>YEAR(E1904)</f>
        <v/>
      </c>
      <c r="D1904" s="6">
        <f>MONTH(E1904)</f>
        <v/>
      </c>
      <c r="E1904" s="267">
        <f>IFERROR(__xludf.DUMMYFUNCTION("""COMPUTED_VALUE"""),45867.6666666666)</f>
        <v/>
      </c>
      <c r="F1904" s="6">
        <f>IFERROR(__xludf.DUMMYFUNCTION("""COMPUTED_VALUE"""),6370.86)</f>
        <v/>
      </c>
      <c r="J1904" s="6">
        <f>K1904&amp;L1904</f>
        <v/>
      </c>
      <c r="K1904" s="6">
        <f>YEAR(M1904)</f>
        <v/>
      </c>
      <c r="L1904" s="6">
        <f>MONTH(M1904)</f>
        <v/>
      </c>
      <c r="M1904" s="267">
        <f>IFERROR(__xludf.DUMMYFUNCTION("""COMPUTED_VALUE"""),45860.6666666666)</f>
        <v/>
      </c>
      <c r="N1904" s="6">
        <f>IFERROR(__xludf.DUMMYFUNCTION("""COMPUTED_VALUE"""),20892.69)</f>
        <v/>
      </c>
      <c r="R1904" s="6">
        <f>S1904&amp;T1904</f>
        <v/>
      </c>
      <c r="S1904" s="6">
        <f>YEAR(U1904)</f>
        <v/>
      </c>
      <c r="T1904" s="6">
        <f>MONTH(U1904)</f>
        <v/>
      </c>
      <c r="U1904" s="267">
        <f>IFERROR(__xludf.DUMMYFUNCTION("""COMPUTED_VALUE"""),45932.6458333333)</f>
        <v/>
      </c>
      <c r="V1904" s="6">
        <f>IFERROR(__xludf.DUMMYFUNCTION("""COMPUTED_VALUE"""),3549.21)</f>
        <v/>
      </c>
      <c r="Z1904" s="6">
        <f>AA1904&amp;AB1904</f>
        <v/>
      </c>
      <c r="AA1904" s="6">
        <f>YEAR(AC1904)</f>
        <v/>
      </c>
      <c r="AB1904" s="6">
        <f>MONTH(AC1904)</f>
        <v/>
      </c>
      <c r="AC1904" s="267">
        <f>IFERROR(__xludf.DUMMYFUNCTION("""COMPUTED_VALUE"""),45053.9986111111)</f>
        <v/>
      </c>
      <c r="AD1904" s="6">
        <f>IFERROR(__xludf.DUMMYFUNCTION("""COMPUTED_VALUE"""),1316.96)</f>
        <v/>
      </c>
      <c r="AH1904" s="6">
        <f>AI1904&amp;AJ1904</f>
        <v/>
      </c>
      <c r="AI1904" s="6">
        <f>YEAR(AK1904)</f>
        <v/>
      </c>
      <c r="AJ1904" s="6">
        <f>MONTH(AK1904)</f>
        <v/>
      </c>
      <c r="AK1904" s="267">
        <f>IFERROR(__xludf.DUMMYFUNCTION("""COMPUTED_VALUE"""),44997.9986111111)</f>
        <v/>
      </c>
      <c r="AL1904" s="6">
        <f>IFERROR(__xludf.DUMMYFUNCTION("""COMPUTED_VALUE"""),22113.55)</f>
        <v/>
      </c>
      <c r="AP1904" s="6">
        <f>AQ1904&amp;AR1904</f>
        <v/>
      </c>
      <c r="AQ1904" s="6">
        <f>YEAR(AS1904)</f>
        <v/>
      </c>
      <c r="AR1904" s="6">
        <f>MONTH(AS1904)</f>
        <v/>
      </c>
      <c r="AS1904" s="267">
        <f>IFERROR(__xludf.DUMMYFUNCTION("""COMPUTED_VALUE"""),45874.9986111111)</f>
        <v/>
      </c>
      <c r="AT1904" s="6">
        <f>IFERROR(__xludf.DUMMYFUNCTION("""COMPUTED_VALUE"""),3434.7)</f>
        <v/>
      </c>
    </row>
    <row r="1905">
      <c r="B1905" s="6">
        <f>C1905&amp;D1905</f>
        <v/>
      </c>
      <c r="C1905" s="6">
        <f>YEAR(E1905)</f>
        <v/>
      </c>
      <c r="D1905" s="6">
        <f>MONTH(E1905)</f>
        <v/>
      </c>
      <c r="E1905" s="267">
        <f>IFERROR(__xludf.DUMMYFUNCTION("""COMPUTED_VALUE"""),45868.6666666666)</f>
        <v/>
      </c>
      <c r="F1905" s="6">
        <f>IFERROR(__xludf.DUMMYFUNCTION("""COMPUTED_VALUE"""),6362.9)</f>
        <v/>
      </c>
      <c r="J1905" s="6">
        <f>K1905&amp;L1905</f>
        <v/>
      </c>
      <c r="K1905" s="6">
        <f>YEAR(M1905)</f>
        <v/>
      </c>
      <c r="L1905" s="6">
        <f>MONTH(M1905)</f>
        <v/>
      </c>
      <c r="M1905" s="267">
        <f>IFERROR(__xludf.DUMMYFUNCTION("""COMPUTED_VALUE"""),45861.6666666666)</f>
        <v/>
      </c>
      <c r="N1905" s="6">
        <f>IFERROR(__xludf.DUMMYFUNCTION("""COMPUTED_VALUE"""),21020.02)</f>
        <v/>
      </c>
      <c r="R1905" s="6">
        <f>S1905&amp;T1905</f>
        <v/>
      </c>
      <c r="S1905" s="6">
        <f>YEAR(U1905)</f>
        <v/>
      </c>
      <c r="T1905" s="6">
        <f>MONTH(U1905)</f>
        <v/>
      </c>
      <c r="U1905" s="267">
        <f>IFERROR(__xludf.DUMMYFUNCTION("""COMPUTED_VALUE"""),45940.6458333333)</f>
        <v/>
      </c>
      <c r="V1905" s="6">
        <f>IFERROR(__xludf.DUMMYFUNCTION("""COMPUTED_VALUE"""),3610.6)</f>
        <v/>
      </c>
      <c r="Z1905" s="6">
        <f>AA1905&amp;AB1905</f>
        <v/>
      </c>
      <c r="AA1905" s="6">
        <f>YEAR(AC1905)</f>
        <v/>
      </c>
      <c r="AB1905" s="6">
        <f>MONTH(AC1905)</f>
        <v/>
      </c>
      <c r="AC1905" s="267">
        <f>IFERROR(__xludf.DUMMYFUNCTION("""COMPUTED_VALUE"""),45054.9986111111)</f>
        <v/>
      </c>
      <c r="AD1905" s="6">
        <f>IFERROR(__xludf.DUMMYFUNCTION("""COMPUTED_VALUE"""),1322.41)</f>
        <v/>
      </c>
      <c r="AH1905" s="6">
        <f>AI1905&amp;AJ1905</f>
        <v/>
      </c>
      <c r="AI1905" s="6">
        <f>YEAR(AK1905)</f>
        <v/>
      </c>
      <c r="AJ1905" s="6">
        <f>MONTH(AK1905)</f>
        <v/>
      </c>
      <c r="AK1905" s="267">
        <f>IFERROR(__xludf.DUMMYFUNCTION("""COMPUTED_VALUE"""),44998.9986111111)</f>
        <v/>
      </c>
      <c r="AL1905" s="6">
        <f>IFERROR(__xludf.DUMMYFUNCTION("""COMPUTED_VALUE"""),24194.49)</f>
        <v/>
      </c>
      <c r="AP1905" s="6">
        <f>AQ1905&amp;AR1905</f>
        <v/>
      </c>
      <c r="AQ1905" s="6">
        <f>YEAR(AS1905)</f>
        <v/>
      </c>
      <c r="AR1905" s="6">
        <f>MONTH(AS1905)</f>
        <v/>
      </c>
      <c r="AS1905" s="267">
        <f>IFERROR(__xludf.DUMMYFUNCTION("""COMPUTED_VALUE"""),45875.9986111111)</f>
        <v/>
      </c>
      <c r="AT1905" s="6">
        <f>IFERROR(__xludf.DUMMYFUNCTION("""COMPUTED_VALUE"""),3433.4)</f>
        <v/>
      </c>
    </row>
    <row r="1906">
      <c r="B1906" s="6">
        <f>C1906&amp;D1906</f>
        <v/>
      </c>
      <c r="C1906" s="6">
        <f>YEAR(E1906)</f>
        <v/>
      </c>
      <c r="D1906" s="6">
        <f>MONTH(E1906)</f>
        <v/>
      </c>
      <c r="E1906" s="267">
        <f>IFERROR(__xludf.DUMMYFUNCTION("""COMPUTED_VALUE"""),45869.6666666666)</f>
        <v/>
      </c>
      <c r="F1906" s="6">
        <f>IFERROR(__xludf.DUMMYFUNCTION("""COMPUTED_VALUE"""),6339.39)</f>
        <v/>
      </c>
      <c r="J1906" s="6">
        <f>K1906&amp;L1906</f>
        <v/>
      </c>
      <c r="K1906" s="6">
        <f>YEAR(M1906)</f>
        <v/>
      </c>
      <c r="L1906" s="6">
        <f>MONTH(M1906)</f>
        <v/>
      </c>
      <c r="M1906" s="267">
        <f>IFERROR(__xludf.DUMMYFUNCTION("""COMPUTED_VALUE"""),45862.6666666666)</f>
        <v/>
      </c>
      <c r="N1906" s="6">
        <f>IFERROR(__xludf.DUMMYFUNCTION("""COMPUTED_VALUE"""),21057.96)</f>
        <v/>
      </c>
      <c r="R1906" s="6">
        <f>S1906&amp;T1906</f>
        <v/>
      </c>
      <c r="S1906" s="6">
        <f>YEAR(U1906)</f>
        <v/>
      </c>
      <c r="T1906" s="6">
        <f>MONTH(U1906)</f>
        <v/>
      </c>
      <c r="U1906" s="267">
        <f>IFERROR(__xludf.DUMMYFUNCTION("""COMPUTED_VALUE"""),45943.6458333333)</f>
        <v/>
      </c>
      <c r="V1906" s="6">
        <f>IFERROR(__xludf.DUMMYFUNCTION("""COMPUTED_VALUE"""),3584.55)</f>
        <v/>
      </c>
      <c r="Z1906" s="6">
        <f>AA1906&amp;AB1906</f>
        <v/>
      </c>
      <c r="AA1906" s="6">
        <f>YEAR(AC1906)</f>
        <v/>
      </c>
      <c r="AB1906" s="6">
        <f>MONTH(AC1906)</f>
        <v/>
      </c>
      <c r="AC1906" s="267">
        <f>IFERROR(__xludf.DUMMYFUNCTION("""COMPUTED_VALUE"""),45055.9986111111)</f>
        <v/>
      </c>
      <c r="AD1906" s="6">
        <f>IFERROR(__xludf.DUMMYFUNCTION("""COMPUTED_VALUE"""),1326.05)</f>
        <v/>
      </c>
      <c r="AH1906" s="6">
        <f>AI1906&amp;AJ1906</f>
        <v/>
      </c>
      <c r="AI1906" s="6">
        <f>YEAR(AK1906)</f>
        <v/>
      </c>
      <c r="AJ1906" s="6">
        <f>MONTH(AK1906)</f>
        <v/>
      </c>
      <c r="AK1906" s="267">
        <f>IFERROR(__xludf.DUMMYFUNCTION("""COMPUTED_VALUE"""),44999.9986111111)</f>
        <v/>
      </c>
      <c r="AL1906" s="6">
        <f>IFERROR(__xludf.DUMMYFUNCTION("""COMPUTED_VALUE"""),24760.07)</f>
        <v/>
      </c>
      <c r="AP1906" s="6">
        <f>AQ1906&amp;AR1906</f>
        <v/>
      </c>
      <c r="AQ1906" s="6">
        <f>YEAR(AS1906)</f>
        <v/>
      </c>
      <c r="AR1906" s="6">
        <f>MONTH(AS1906)</f>
        <v/>
      </c>
      <c r="AS1906" s="267">
        <f>IFERROR(__xludf.DUMMYFUNCTION("""COMPUTED_VALUE"""),45876.9986111111)</f>
        <v/>
      </c>
      <c r="AT1906" s="6">
        <f>IFERROR(__xludf.DUMMYFUNCTION("""COMPUTED_VALUE"""),3453.7)</f>
        <v/>
      </c>
    </row>
    <row r="1907">
      <c r="B1907" s="6">
        <f>C1907&amp;D1907</f>
        <v/>
      </c>
      <c r="C1907" s="6">
        <f>YEAR(E1907)</f>
        <v/>
      </c>
      <c r="D1907" s="6">
        <f>MONTH(E1907)</f>
        <v/>
      </c>
      <c r="E1907" s="267">
        <f>IFERROR(__xludf.DUMMYFUNCTION("""COMPUTED_VALUE"""),45870.6666666666)</f>
        <v/>
      </c>
      <c r="F1907" s="6">
        <f>IFERROR(__xludf.DUMMYFUNCTION("""COMPUTED_VALUE"""),6238.01)</f>
        <v/>
      </c>
      <c r="J1907" s="6">
        <f>K1907&amp;L1907</f>
        <v/>
      </c>
      <c r="K1907" s="6">
        <f>YEAR(M1907)</f>
        <v/>
      </c>
      <c r="L1907" s="6">
        <f>MONTH(M1907)</f>
        <v/>
      </c>
      <c r="M1907" s="267">
        <f>IFERROR(__xludf.DUMMYFUNCTION("""COMPUTED_VALUE"""),45863.6666666666)</f>
        <v/>
      </c>
      <c r="N1907" s="6">
        <f>IFERROR(__xludf.DUMMYFUNCTION("""COMPUTED_VALUE"""),21108.32)</f>
        <v/>
      </c>
      <c r="R1907" s="6">
        <f>S1907&amp;T1907</f>
        <v/>
      </c>
      <c r="S1907" s="6">
        <f>YEAR(U1907)</f>
        <v/>
      </c>
      <c r="T1907" s="6">
        <f>MONTH(U1907)</f>
        <v/>
      </c>
      <c r="U1907" s="267">
        <f>IFERROR(__xludf.DUMMYFUNCTION("""COMPUTED_VALUE"""),45944.6458333333)</f>
        <v/>
      </c>
      <c r="V1907" s="6">
        <f>IFERROR(__xludf.DUMMYFUNCTION("""COMPUTED_VALUE"""),3561.81)</f>
        <v/>
      </c>
      <c r="Z1907" s="6">
        <f>AA1907&amp;AB1907</f>
        <v/>
      </c>
      <c r="AA1907" s="6">
        <f>YEAR(AC1907)</f>
        <v/>
      </c>
      <c r="AB1907" s="6">
        <f>MONTH(AC1907)</f>
        <v/>
      </c>
      <c r="AC1907" s="267">
        <f>IFERROR(__xludf.DUMMYFUNCTION("""COMPUTED_VALUE"""),45056.9986111111)</f>
        <v/>
      </c>
      <c r="AD1907" s="6">
        <f>IFERROR(__xludf.DUMMYFUNCTION("""COMPUTED_VALUE"""),1318.05)</f>
        <v/>
      </c>
      <c r="AH1907" s="6">
        <f>AI1907&amp;AJ1907</f>
        <v/>
      </c>
      <c r="AI1907" s="6">
        <f>YEAR(AK1907)</f>
        <v/>
      </c>
      <c r="AJ1907" s="6">
        <f>MONTH(AK1907)</f>
        <v/>
      </c>
      <c r="AK1907" s="267">
        <f>IFERROR(__xludf.DUMMYFUNCTION("""COMPUTED_VALUE"""),45000.9986111111)</f>
        <v/>
      </c>
      <c r="AL1907" s="6">
        <f>IFERROR(__xludf.DUMMYFUNCTION("""COMPUTED_VALUE"""),24353.13)</f>
        <v/>
      </c>
      <c r="AP1907" s="6">
        <f>AQ1907&amp;AR1907</f>
        <v/>
      </c>
      <c r="AQ1907" s="6">
        <f>YEAR(AS1907)</f>
        <v/>
      </c>
      <c r="AR1907" s="6">
        <f>MONTH(AS1907)</f>
        <v/>
      </c>
      <c r="AS1907" s="267">
        <f>IFERROR(__xludf.DUMMYFUNCTION("""COMPUTED_VALUE"""),45877.9986111111)</f>
        <v/>
      </c>
      <c r="AT1907" s="6">
        <f>IFERROR(__xludf.DUMMYFUNCTION("""COMPUTED_VALUE"""),3491.3)</f>
        <v/>
      </c>
    </row>
    <row r="1908">
      <c r="B1908" s="6">
        <f>C1908&amp;D1908</f>
        <v/>
      </c>
      <c r="C1908" s="6">
        <f>YEAR(E1908)</f>
        <v/>
      </c>
      <c r="D1908" s="6">
        <f>MONTH(E1908)</f>
        <v/>
      </c>
      <c r="E1908" s="267">
        <f>IFERROR(__xludf.DUMMYFUNCTION("""COMPUTED_VALUE"""),45873.6666666666)</f>
        <v/>
      </c>
      <c r="F1908" s="6">
        <f>IFERROR(__xludf.DUMMYFUNCTION("""COMPUTED_VALUE"""),6329.94)</f>
        <v/>
      </c>
      <c r="J1908" s="6">
        <f>K1908&amp;L1908</f>
        <v/>
      </c>
      <c r="K1908" s="6">
        <f>YEAR(M1908)</f>
        <v/>
      </c>
      <c r="L1908" s="6">
        <f>MONTH(M1908)</f>
        <v/>
      </c>
      <c r="M1908" s="267">
        <f>IFERROR(__xludf.DUMMYFUNCTION("""COMPUTED_VALUE"""),45866.6666666666)</f>
        <v/>
      </c>
      <c r="N1908" s="6">
        <f>IFERROR(__xludf.DUMMYFUNCTION("""COMPUTED_VALUE"""),21178.58)</f>
        <v/>
      </c>
      <c r="R1908" s="6">
        <f>S1908&amp;T1908</f>
        <v/>
      </c>
      <c r="S1908" s="6">
        <f>YEAR(U1908)</f>
        <v/>
      </c>
      <c r="T1908" s="6">
        <f>MONTH(U1908)</f>
        <v/>
      </c>
      <c r="U1908" s="267">
        <f>IFERROR(__xludf.DUMMYFUNCTION("""COMPUTED_VALUE"""),45945.6458333333)</f>
        <v/>
      </c>
      <c r="V1908" s="6">
        <f>IFERROR(__xludf.DUMMYFUNCTION("""COMPUTED_VALUE"""),3657.28)</f>
        <v/>
      </c>
      <c r="Z1908" s="6">
        <f>AA1908&amp;AB1908</f>
        <v/>
      </c>
      <c r="AA1908" s="6">
        <f>YEAR(AC1908)</f>
        <v/>
      </c>
      <c r="AB1908" s="6">
        <f>MONTH(AC1908)</f>
        <v/>
      </c>
      <c r="AC1908" s="267">
        <f>IFERROR(__xludf.DUMMYFUNCTION("""COMPUTED_VALUE"""),45057.9986111111)</f>
        <v/>
      </c>
      <c r="AD1908" s="6">
        <f>IFERROR(__xludf.DUMMYFUNCTION("""COMPUTED_VALUE"""),1329.88)</f>
        <v/>
      </c>
      <c r="AH1908" s="6">
        <f>AI1908&amp;AJ1908</f>
        <v/>
      </c>
      <c r="AI1908" s="6">
        <f>YEAR(AK1908)</f>
        <v/>
      </c>
      <c r="AJ1908" s="6">
        <f>MONTH(AK1908)</f>
        <v/>
      </c>
      <c r="AK1908" s="267">
        <f>IFERROR(__xludf.DUMMYFUNCTION("""COMPUTED_VALUE"""),45001.9986111111)</f>
        <v/>
      </c>
      <c r="AL1908" s="6">
        <f>IFERROR(__xludf.DUMMYFUNCTION("""COMPUTED_VALUE"""),25048.39)</f>
        <v/>
      </c>
      <c r="AP1908" s="6">
        <f>AQ1908&amp;AR1908</f>
        <v/>
      </c>
      <c r="AQ1908" s="6">
        <f>YEAR(AS1908)</f>
        <v/>
      </c>
      <c r="AR1908" s="6">
        <f>MONTH(AS1908)</f>
        <v/>
      </c>
      <c r="AS1908" s="267">
        <f>IFERROR(__xludf.DUMMYFUNCTION("""COMPUTED_VALUE"""),45880.9986111111)</f>
        <v/>
      </c>
      <c r="AT1908" s="6">
        <f>IFERROR(__xludf.DUMMYFUNCTION("""COMPUTED_VALUE"""),3404.7)</f>
        <v/>
      </c>
    </row>
    <row r="1909">
      <c r="B1909" s="6">
        <f>C1909&amp;D1909</f>
        <v/>
      </c>
      <c r="C1909" s="6">
        <f>YEAR(E1909)</f>
        <v/>
      </c>
      <c r="D1909" s="6">
        <f>MONTH(E1909)</f>
        <v/>
      </c>
      <c r="E1909" s="267">
        <f>IFERROR(__xludf.DUMMYFUNCTION("""COMPUTED_VALUE"""),45874.6666666666)</f>
        <v/>
      </c>
      <c r="F1909" s="6">
        <f>IFERROR(__xludf.DUMMYFUNCTION("""COMPUTED_VALUE"""),6299.19)</f>
        <v/>
      </c>
      <c r="J1909" s="6">
        <f>K1909&amp;L1909</f>
        <v/>
      </c>
      <c r="K1909" s="6">
        <f>YEAR(M1909)</f>
        <v/>
      </c>
      <c r="L1909" s="6">
        <f>MONTH(M1909)</f>
        <v/>
      </c>
      <c r="M1909" s="267">
        <f>IFERROR(__xludf.DUMMYFUNCTION("""COMPUTED_VALUE"""),45867.6666666666)</f>
        <v/>
      </c>
      <c r="N1909" s="6">
        <f>IFERROR(__xludf.DUMMYFUNCTION("""COMPUTED_VALUE"""),21098.29)</f>
        <v/>
      </c>
      <c r="R1909" s="6">
        <f>S1909&amp;T1909</f>
        <v/>
      </c>
      <c r="S1909" s="6">
        <f>YEAR(U1909)</f>
        <v/>
      </c>
      <c r="T1909" s="6">
        <f>MONTH(U1909)</f>
        <v/>
      </c>
      <c r="U1909" s="267">
        <f>IFERROR(__xludf.DUMMYFUNCTION("""COMPUTED_VALUE"""),45946.6458333333)</f>
        <v/>
      </c>
      <c r="V1909" s="6">
        <f>IFERROR(__xludf.DUMMYFUNCTION("""COMPUTED_VALUE"""),3748.37)</f>
        <v/>
      </c>
      <c r="Z1909" s="6">
        <f>AA1909&amp;AB1909</f>
        <v/>
      </c>
      <c r="AA1909" s="6">
        <f>YEAR(AC1909)</f>
        <v/>
      </c>
      <c r="AB1909" s="6">
        <f>MONTH(AC1909)</f>
        <v/>
      </c>
      <c r="AC1909" s="267">
        <f>IFERROR(__xludf.DUMMYFUNCTION("""COMPUTED_VALUE"""),45058.9986111111)</f>
        <v/>
      </c>
      <c r="AD1909" s="6">
        <f>IFERROR(__xludf.DUMMYFUNCTION("""COMPUTED_VALUE"""),1341.55)</f>
        <v/>
      </c>
      <c r="AH1909" s="6">
        <f>AI1909&amp;AJ1909</f>
        <v/>
      </c>
      <c r="AI1909" s="6">
        <f>YEAR(AK1909)</f>
        <v/>
      </c>
      <c r="AJ1909" s="6">
        <f>MONTH(AK1909)</f>
        <v/>
      </c>
      <c r="AK1909" s="267">
        <f>IFERROR(__xludf.DUMMYFUNCTION("""COMPUTED_VALUE"""),45002.9986111111)</f>
        <v/>
      </c>
      <c r="AL1909" s="6">
        <f>IFERROR(__xludf.DUMMYFUNCTION("""COMPUTED_VALUE"""),27410.82)</f>
        <v/>
      </c>
      <c r="AP1909" s="6">
        <f>AQ1909&amp;AR1909</f>
        <v/>
      </c>
      <c r="AQ1909" s="6">
        <f>YEAR(AS1909)</f>
        <v/>
      </c>
      <c r="AR1909" s="6">
        <f>MONTH(AS1909)</f>
        <v/>
      </c>
      <c r="AS1909" s="267">
        <f>IFERROR(__xludf.DUMMYFUNCTION("""COMPUTED_VALUE"""),45881.9986111111)</f>
        <v/>
      </c>
      <c r="AT1909" s="6">
        <f>IFERROR(__xludf.DUMMYFUNCTION("""COMPUTED_VALUE"""),3399)</f>
        <v/>
      </c>
    </row>
    <row r="1910">
      <c r="B1910" s="6">
        <f>C1910&amp;D1910</f>
        <v/>
      </c>
      <c r="C1910" s="6">
        <f>YEAR(E1910)</f>
        <v/>
      </c>
      <c r="D1910" s="6">
        <f>MONTH(E1910)</f>
        <v/>
      </c>
      <c r="E1910" s="267">
        <f>IFERROR(__xludf.DUMMYFUNCTION("""COMPUTED_VALUE"""),45875.6666666666)</f>
        <v/>
      </c>
      <c r="F1910" s="6">
        <f>IFERROR(__xludf.DUMMYFUNCTION("""COMPUTED_VALUE"""),6345.06)</f>
        <v/>
      </c>
      <c r="J1910" s="6">
        <f>K1910&amp;L1910</f>
        <v/>
      </c>
      <c r="K1910" s="6">
        <f>YEAR(M1910)</f>
        <v/>
      </c>
      <c r="L1910" s="6">
        <f>MONTH(M1910)</f>
        <v/>
      </c>
      <c r="M1910" s="267">
        <f>IFERROR(__xludf.DUMMYFUNCTION("""COMPUTED_VALUE"""),45868.6666666666)</f>
        <v/>
      </c>
      <c r="N1910" s="6">
        <f>IFERROR(__xludf.DUMMYFUNCTION("""COMPUTED_VALUE"""),21129.67)</f>
        <v/>
      </c>
      <c r="R1910" s="6">
        <f>S1910&amp;T1910</f>
        <v/>
      </c>
      <c r="S1910" s="6">
        <f>YEAR(U1910)</f>
        <v/>
      </c>
      <c r="T1910" s="6">
        <f>MONTH(U1910)</f>
        <v/>
      </c>
      <c r="U1910" s="267">
        <f>IFERROR(__xludf.DUMMYFUNCTION("""COMPUTED_VALUE"""),45947.6458333333)</f>
        <v/>
      </c>
      <c r="V1910" s="6">
        <f>IFERROR(__xludf.DUMMYFUNCTION("""COMPUTED_VALUE"""),3748.89)</f>
        <v/>
      </c>
      <c r="Z1910" s="6">
        <f>AA1910&amp;AB1910</f>
        <v/>
      </c>
      <c r="AA1910" s="6">
        <f>YEAR(AC1910)</f>
        <v/>
      </c>
      <c r="AB1910" s="6">
        <f>MONTH(AC1910)</f>
        <v/>
      </c>
      <c r="AC1910" s="267">
        <f>IFERROR(__xludf.DUMMYFUNCTION("""COMPUTED_VALUE"""),45059.9986111111)</f>
        <v/>
      </c>
      <c r="AD1910" s="6">
        <f>IFERROR(__xludf.DUMMYFUNCTION("""COMPUTED_VALUE"""),1340.46)</f>
        <v/>
      </c>
      <c r="AH1910" s="6">
        <f>AI1910&amp;AJ1910</f>
        <v/>
      </c>
      <c r="AI1910" s="6">
        <f>YEAR(AK1910)</f>
        <v/>
      </c>
      <c r="AJ1910" s="6">
        <f>MONTH(AK1910)</f>
        <v/>
      </c>
      <c r="AK1910" s="267">
        <f>IFERROR(__xludf.DUMMYFUNCTION("""COMPUTED_VALUE"""),45003.9986111111)</f>
        <v/>
      </c>
      <c r="AL1910" s="6">
        <f>IFERROR(__xludf.DUMMYFUNCTION("""COMPUTED_VALUE"""),26965.2)</f>
        <v/>
      </c>
      <c r="AP1910" s="6">
        <f>AQ1910&amp;AR1910</f>
        <v/>
      </c>
      <c r="AQ1910" s="6">
        <f>YEAR(AS1910)</f>
        <v/>
      </c>
      <c r="AR1910" s="6">
        <f>MONTH(AS1910)</f>
        <v/>
      </c>
      <c r="AS1910" s="267">
        <f>IFERROR(__xludf.DUMMYFUNCTION("""COMPUTED_VALUE"""),45882.9986111111)</f>
        <v/>
      </c>
      <c r="AT1910" s="6">
        <f>IFERROR(__xludf.DUMMYFUNCTION("""COMPUTED_VALUE"""),3408.3)</f>
        <v/>
      </c>
    </row>
    <row r="1911">
      <c r="B1911" s="6">
        <f>C1911&amp;D1911</f>
        <v/>
      </c>
      <c r="C1911" s="6">
        <f>YEAR(E1911)</f>
        <v/>
      </c>
      <c r="D1911" s="6">
        <f>MONTH(E1911)</f>
        <v/>
      </c>
      <c r="E1911" s="267">
        <f>IFERROR(__xludf.DUMMYFUNCTION("""COMPUTED_VALUE"""),45876.6666666666)</f>
        <v/>
      </c>
      <c r="F1911" s="6">
        <f>IFERROR(__xludf.DUMMYFUNCTION("""COMPUTED_VALUE"""),6340)</f>
        <v/>
      </c>
      <c r="J1911" s="6">
        <f>K1911&amp;L1911</f>
        <v/>
      </c>
      <c r="K1911" s="6">
        <f>YEAR(M1911)</f>
        <v/>
      </c>
      <c r="L1911" s="6">
        <f>MONTH(M1911)</f>
        <v/>
      </c>
      <c r="M1911" s="267">
        <f>IFERROR(__xludf.DUMMYFUNCTION("""COMPUTED_VALUE"""),45869.6666666666)</f>
        <v/>
      </c>
      <c r="N1911" s="6">
        <f>IFERROR(__xludf.DUMMYFUNCTION("""COMPUTED_VALUE"""),21122.45)</f>
        <v/>
      </c>
      <c r="R1911" s="6">
        <f>S1911&amp;T1911</f>
        <v/>
      </c>
      <c r="S1911" s="6">
        <f>YEAR(U1911)</f>
        <v/>
      </c>
      <c r="T1911" s="6">
        <f>MONTH(U1911)</f>
        <v/>
      </c>
      <c r="U1911" s="267">
        <f>IFERROR(__xludf.DUMMYFUNCTION("""COMPUTED_VALUE"""),45950.6458333333)</f>
        <v/>
      </c>
      <c r="V1911" s="6">
        <f>IFERROR(__xludf.DUMMYFUNCTION("""COMPUTED_VALUE"""),3814.69)</f>
        <v/>
      </c>
      <c r="Z1911" s="6">
        <f>AA1911&amp;AB1911</f>
        <v/>
      </c>
      <c r="AA1911" s="6">
        <f>YEAR(AC1911)</f>
        <v/>
      </c>
      <c r="AB1911" s="6">
        <f>MONTH(AC1911)</f>
        <v/>
      </c>
      <c r="AC1911" s="267">
        <f>IFERROR(__xludf.DUMMYFUNCTION("""COMPUTED_VALUE"""),45060.9986111111)</f>
        <v/>
      </c>
      <c r="AD1911" s="6">
        <f>IFERROR(__xludf.DUMMYFUNCTION("""COMPUTED_VALUE"""),1341.52)</f>
        <v/>
      </c>
      <c r="AH1911" s="6">
        <f>AI1911&amp;AJ1911</f>
        <v/>
      </c>
      <c r="AI1911" s="6">
        <f>YEAR(AK1911)</f>
        <v/>
      </c>
      <c r="AJ1911" s="6">
        <f>MONTH(AK1911)</f>
        <v/>
      </c>
      <c r="AK1911" s="267">
        <f>IFERROR(__xludf.DUMMYFUNCTION("""COMPUTED_VALUE"""),45004.9986111111)</f>
        <v/>
      </c>
      <c r="AL1911" s="6">
        <f>IFERROR(__xludf.DUMMYFUNCTION("""COMPUTED_VALUE"""),28028.15)</f>
        <v/>
      </c>
      <c r="AP1911" s="6">
        <f>AQ1911&amp;AR1911</f>
        <v/>
      </c>
      <c r="AQ1911" s="6">
        <f>YEAR(AS1911)</f>
        <v/>
      </c>
      <c r="AR1911" s="6">
        <f>MONTH(AS1911)</f>
        <v/>
      </c>
      <c r="AS1911" s="267">
        <f>IFERROR(__xludf.DUMMYFUNCTION("""COMPUTED_VALUE"""),45883.9986111111)</f>
        <v/>
      </c>
      <c r="AT1911" s="6">
        <f>IFERROR(__xludf.DUMMYFUNCTION("""COMPUTED_VALUE"""),3383.2)</f>
        <v/>
      </c>
    </row>
    <row r="1912">
      <c r="B1912" s="6">
        <f>C1912&amp;D1912</f>
        <v/>
      </c>
      <c r="C1912" s="6">
        <f>YEAR(E1912)</f>
        <v/>
      </c>
      <c r="D1912" s="6">
        <f>MONTH(E1912)</f>
        <v/>
      </c>
      <c r="E1912" s="267">
        <f>IFERROR(__xludf.DUMMYFUNCTION("""COMPUTED_VALUE"""),45877.6666666666)</f>
        <v/>
      </c>
      <c r="F1912" s="6">
        <f>IFERROR(__xludf.DUMMYFUNCTION("""COMPUTED_VALUE"""),6389.45)</f>
        <v/>
      </c>
      <c r="J1912" s="6">
        <f>K1912&amp;L1912</f>
        <v/>
      </c>
      <c r="K1912" s="6">
        <f>YEAR(M1912)</f>
        <v/>
      </c>
      <c r="L1912" s="6">
        <f>MONTH(M1912)</f>
        <v/>
      </c>
      <c r="M1912" s="267">
        <f>IFERROR(__xludf.DUMMYFUNCTION("""COMPUTED_VALUE"""),45870.6666666666)</f>
        <v/>
      </c>
      <c r="N1912" s="6">
        <f>IFERROR(__xludf.DUMMYFUNCTION("""COMPUTED_VALUE"""),20650.13)</f>
        <v/>
      </c>
      <c r="R1912" s="6">
        <f>S1912&amp;T1912</f>
        <v/>
      </c>
      <c r="S1912" s="6">
        <f>YEAR(U1912)</f>
        <v/>
      </c>
      <c r="T1912" s="6">
        <f>MONTH(U1912)</f>
        <v/>
      </c>
      <c r="U1912" s="267">
        <f>IFERROR(__xludf.DUMMYFUNCTION("""COMPUTED_VALUE"""),45951.6458333333)</f>
        <v/>
      </c>
      <c r="V1912" s="6">
        <f>IFERROR(__xludf.DUMMYFUNCTION("""COMPUTED_VALUE"""),3823.84)</f>
        <v/>
      </c>
      <c r="Z1912" s="6">
        <f>AA1912&amp;AB1912</f>
        <v/>
      </c>
      <c r="AA1912" s="6">
        <f>YEAR(AC1912)</f>
        <v/>
      </c>
      <c r="AB1912" s="6">
        <f>MONTH(AC1912)</f>
        <v/>
      </c>
      <c r="AC1912" s="267">
        <f>IFERROR(__xludf.DUMMYFUNCTION("""COMPUTED_VALUE"""),45061.9986111111)</f>
        <v/>
      </c>
      <c r="AD1912" s="6">
        <f>IFERROR(__xludf.DUMMYFUNCTION("""COMPUTED_VALUE"""),1335.4)</f>
        <v/>
      </c>
      <c r="AH1912" s="6">
        <f>AI1912&amp;AJ1912</f>
        <v/>
      </c>
      <c r="AI1912" s="6">
        <f>YEAR(AK1912)</f>
        <v/>
      </c>
      <c r="AJ1912" s="6">
        <f>MONTH(AK1912)</f>
        <v/>
      </c>
      <c r="AK1912" s="267">
        <f>IFERROR(__xludf.DUMMYFUNCTION("""COMPUTED_VALUE"""),45005.9986111111)</f>
        <v/>
      </c>
      <c r="AL1912" s="6">
        <f>IFERROR(__xludf.DUMMYFUNCTION("""COMPUTED_VALUE"""),27787.94)</f>
        <v/>
      </c>
      <c r="AP1912" s="6">
        <f>AQ1912&amp;AR1912</f>
        <v/>
      </c>
      <c r="AQ1912" s="6">
        <f>YEAR(AS1912)</f>
        <v/>
      </c>
      <c r="AR1912" s="6">
        <f>MONTH(AS1912)</f>
        <v/>
      </c>
      <c r="AS1912" s="267">
        <f>IFERROR(__xludf.DUMMYFUNCTION("""COMPUTED_VALUE"""),45884.9986111111)</f>
        <v/>
      </c>
      <c r="AT1912" s="6">
        <f>IFERROR(__xludf.DUMMYFUNCTION("""COMPUTED_VALUE"""),3382.6)</f>
        <v/>
      </c>
    </row>
    <row r="1913">
      <c r="B1913" s="6">
        <f>C1913&amp;D1913</f>
        <v/>
      </c>
      <c r="C1913" s="6">
        <f>YEAR(E1913)</f>
        <v/>
      </c>
      <c r="D1913" s="6">
        <f>MONTH(E1913)</f>
        <v/>
      </c>
      <c r="E1913" s="267">
        <f>IFERROR(__xludf.DUMMYFUNCTION("""COMPUTED_VALUE"""),45880.6666666666)</f>
        <v/>
      </c>
      <c r="F1913" s="6">
        <f>IFERROR(__xludf.DUMMYFUNCTION("""COMPUTED_VALUE"""),6373.45)</f>
        <v/>
      </c>
      <c r="J1913" s="6">
        <f>K1913&amp;L1913</f>
        <v/>
      </c>
      <c r="K1913" s="6">
        <f>YEAR(M1913)</f>
        <v/>
      </c>
      <c r="L1913" s="6">
        <f>MONTH(M1913)</f>
        <v/>
      </c>
      <c r="M1913" s="267">
        <f>IFERROR(__xludf.DUMMYFUNCTION("""COMPUTED_VALUE"""),45873.6666666666)</f>
        <v/>
      </c>
      <c r="N1913" s="6">
        <f>IFERROR(__xludf.DUMMYFUNCTION("""COMPUTED_VALUE"""),21053.58)</f>
        <v/>
      </c>
      <c r="R1913" s="6">
        <f>S1913&amp;T1913</f>
        <v/>
      </c>
      <c r="S1913" s="6">
        <f>YEAR(U1913)</f>
        <v/>
      </c>
      <c r="T1913" s="6">
        <f>MONTH(U1913)</f>
        <v/>
      </c>
      <c r="U1913" s="267">
        <f>IFERROR(__xludf.DUMMYFUNCTION("""COMPUTED_VALUE"""),45952.6458333333)</f>
        <v/>
      </c>
      <c r="V1913" s="6">
        <f>IFERROR(__xludf.DUMMYFUNCTION("""COMPUTED_VALUE"""),3883.68)</f>
        <v/>
      </c>
      <c r="Z1913" s="6">
        <f>AA1913&amp;AB1913</f>
        <v/>
      </c>
      <c r="AA1913" s="6">
        <f>YEAR(AC1913)</f>
        <v/>
      </c>
      <c r="AB1913" s="6">
        <f>MONTH(AC1913)</f>
        <v/>
      </c>
      <c r="AC1913" s="267">
        <f>IFERROR(__xludf.DUMMYFUNCTION("""COMPUTED_VALUE"""),45062.9986111111)</f>
        <v/>
      </c>
      <c r="AD1913" s="6">
        <f>IFERROR(__xludf.DUMMYFUNCTION("""COMPUTED_VALUE"""),1342.43)</f>
        <v/>
      </c>
      <c r="AH1913" s="6">
        <f>AI1913&amp;AJ1913</f>
        <v/>
      </c>
      <c r="AI1913" s="6">
        <f>YEAR(AK1913)</f>
        <v/>
      </c>
      <c r="AJ1913" s="6">
        <f>MONTH(AK1913)</f>
        <v/>
      </c>
      <c r="AK1913" s="267">
        <f>IFERROR(__xludf.DUMMYFUNCTION("""COMPUTED_VALUE"""),45006.9986111111)</f>
        <v/>
      </c>
      <c r="AL1913" s="6">
        <f>IFERROR(__xludf.DUMMYFUNCTION("""COMPUTED_VALUE"""),28181.73)</f>
        <v/>
      </c>
      <c r="AP1913" s="6">
        <f>AQ1913&amp;AR1913</f>
        <v/>
      </c>
      <c r="AQ1913" s="6">
        <f>YEAR(AS1913)</f>
        <v/>
      </c>
      <c r="AR1913" s="6">
        <f>MONTH(AS1913)</f>
        <v/>
      </c>
      <c r="AS1913" s="267">
        <f>IFERROR(__xludf.DUMMYFUNCTION("""COMPUTED_VALUE"""),45887.9986111111)</f>
        <v/>
      </c>
      <c r="AT1913" s="6">
        <f>IFERROR(__xludf.DUMMYFUNCTION("""COMPUTED_VALUE"""),3378)</f>
        <v/>
      </c>
    </row>
    <row r="1914">
      <c r="B1914" s="6">
        <f>C1914&amp;D1914</f>
        <v/>
      </c>
      <c r="C1914" s="6">
        <f>YEAR(E1914)</f>
        <v/>
      </c>
      <c r="D1914" s="6">
        <f>MONTH(E1914)</f>
        <v/>
      </c>
      <c r="E1914" s="267">
        <f>IFERROR(__xludf.DUMMYFUNCTION("""COMPUTED_VALUE"""),45881.6666666666)</f>
        <v/>
      </c>
      <c r="F1914" s="6">
        <f>IFERROR(__xludf.DUMMYFUNCTION("""COMPUTED_VALUE"""),6445.76)</f>
        <v/>
      </c>
      <c r="J1914" s="6">
        <f>K1914&amp;L1914</f>
        <v/>
      </c>
      <c r="K1914" s="6">
        <f>YEAR(M1914)</f>
        <v/>
      </c>
      <c r="L1914" s="6">
        <f>MONTH(M1914)</f>
        <v/>
      </c>
      <c r="M1914" s="267">
        <f>IFERROR(__xludf.DUMMYFUNCTION("""COMPUTED_VALUE"""),45874.6666666666)</f>
        <v/>
      </c>
      <c r="N1914" s="6">
        <f>IFERROR(__xludf.DUMMYFUNCTION("""COMPUTED_VALUE"""),20916.55)</f>
        <v/>
      </c>
      <c r="R1914" s="6">
        <f>S1914&amp;T1914</f>
        <v/>
      </c>
      <c r="S1914" s="6">
        <f>YEAR(U1914)</f>
        <v/>
      </c>
      <c r="T1914" s="6">
        <f>MONTH(U1914)</f>
        <v/>
      </c>
      <c r="U1914" s="267">
        <f>IFERROR(__xludf.DUMMYFUNCTION("""COMPUTED_VALUE"""),45953.6458333333)</f>
        <v/>
      </c>
      <c r="V1914" s="6">
        <f>IFERROR(__xludf.DUMMYFUNCTION("""COMPUTED_VALUE"""),3845.56)</f>
        <v/>
      </c>
      <c r="Z1914" s="6">
        <f>AA1914&amp;AB1914</f>
        <v/>
      </c>
      <c r="AA1914" s="6">
        <f>YEAR(AC1914)</f>
        <v/>
      </c>
      <c r="AB1914" s="6">
        <f>MONTH(AC1914)</f>
        <v/>
      </c>
      <c r="AC1914" s="267">
        <f>IFERROR(__xludf.DUMMYFUNCTION("""COMPUTED_VALUE"""),45063.9986111111)</f>
        <v/>
      </c>
      <c r="AD1914" s="6">
        <f>IFERROR(__xludf.DUMMYFUNCTION("""COMPUTED_VALUE"""),1334.15)</f>
        <v/>
      </c>
      <c r="AH1914" s="6">
        <f>AI1914&amp;AJ1914</f>
        <v/>
      </c>
      <c r="AI1914" s="6">
        <f>YEAR(AK1914)</f>
        <v/>
      </c>
      <c r="AJ1914" s="6">
        <f>MONTH(AK1914)</f>
        <v/>
      </c>
      <c r="AK1914" s="267">
        <f>IFERROR(__xludf.DUMMYFUNCTION("""COMPUTED_VALUE"""),45007.9986111111)</f>
        <v/>
      </c>
      <c r="AL1914" s="6">
        <f>IFERROR(__xludf.DUMMYFUNCTION("""COMPUTED_VALUE"""),27311.64)</f>
        <v/>
      </c>
      <c r="AP1914" s="6">
        <f>AQ1914&amp;AR1914</f>
        <v/>
      </c>
      <c r="AQ1914" s="6">
        <f>YEAR(AS1914)</f>
        <v/>
      </c>
      <c r="AR1914" s="6">
        <f>MONTH(AS1914)</f>
        <v/>
      </c>
      <c r="AS1914" s="267">
        <f>IFERROR(__xludf.DUMMYFUNCTION("""COMPUTED_VALUE"""),45888.9986111111)</f>
        <v/>
      </c>
      <c r="AT1914" s="6">
        <f>IFERROR(__xludf.DUMMYFUNCTION("""COMPUTED_VALUE"""),3358.7)</f>
        <v/>
      </c>
    </row>
    <row r="1915">
      <c r="B1915" s="6">
        <f>C1915&amp;D1915</f>
        <v/>
      </c>
      <c r="C1915" s="6">
        <f>YEAR(E1915)</f>
        <v/>
      </c>
      <c r="D1915" s="6">
        <f>MONTH(E1915)</f>
        <v/>
      </c>
      <c r="E1915" s="267">
        <f>IFERROR(__xludf.DUMMYFUNCTION("""COMPUTED_VALUE"""),45882.6666666666)</f>
        <v/>
      </c>
      <c r="F1915" s="6">
        <f>IFERROR(__xludf.DUMMYFUNCTION("""COMPUTED_VALUE"""),6466.58)</f>
        <v/>
      </c>
      <c r="J1915" s="6">
        <f>K1915&amp;L1915</f>
        <v/>
      </c>
      <c r="K1915" s="6">
        <f>YEAR(M1915)</f>
        <v/>
      </c>
      <c r="L1915" s="6">
        <f>MONTH(M1915)</f>
        <v/>
      </c>
      <c r="M1915" s="267">
        <f>IFERROR(__xludf.DUMMYFUNCTION("""COMPUTED_VALUE"""),45875.6666666666)</f>
        <v/>
      </c>
      <c r="N1915" s="6">
        <f>IFERROR(__xludf.DUMMYFUNCTION("""COMPUTED_VALUE"""),21169.42)</f>
        <v/>
      </c>
      <c r="R1915" s="6">
        <f>S1915&amp;T1915</f>
        <v/>
      </c>
      <c r="S1915" s="6">
        <f>YEAR(U1915)</f>
        <v/>
      </c>
      <c r="T1915" s="6">
        <f>MONTH(U1915)</f>
        <v/>
      </c>
      <c r="U1915" s="267">
        <f>IFERROR(__xludf.DUMMYFUNCTION("""COMPUTED_VALUE"""),45954.6458333333)</f>
        <v/>
      </c>
      <c r="V1915" s="6">
        <f>IFERROR(__xludf.DUMMYFUNCTION("""COMPUTED_VALUE"""),3941.59)</f>
        <v/>
      </c>
      <c r="Z1915" s="6">
        <f>AA1915&amp;AB1915</f>
        <v/>
      </c>
      <c r="AA1915" s="6">
        <f>YEAR(AC1915)</f>
        <v/>
      </c>
      <c r="AB1915" s="6">
        <f>MONTH(AC1915)</f>
        <v/>
      </c>
      <c r="AC1915" s="267">
        <f>IFERROR(__xludf.DUMMYFUNCTION("""COMPUTED_VALUE"""),45064.9986111111)</f>
        <v/>
      </c>
      <c r="AD1915" s="6">
        <f>IFERROR(__xludf.DUMMYFUNCTION("""COMPUTED_VALUE"""),1334.74)</f>
        <v/>
      </c>
      <c r="AH1915" s="6">
        <f>AI1915&amp;AJ1915</f>
        <v/>
      </c>
      <c r="AI1915" s="6">
        <f>YEAR(AK1915)</f>
        <v/>
      </c>
      <c r="AJ1915" s="6">
        <f>MONTH(AK1915)</f>
        <v/>
      </c>
      <c r="AK1915" s="267">
        <f>IFERROR(__xludf.DUMMYFUNCTION("""COMPUTED_VALUE"""),45008.9986111111)</f>
        <v/>
      </c>
      <c r="AL1915" s="6">
        <f>IFERROR(__xludf.DUMMYFUNCTION("""COMPUTED_VALUE"""),28333.66)</f>
        <v/>
      </c>
      <c r="AP1915" s="6">
        <f>AQ1915&amp;AR1915</f>
        <v/>
      </c>
      <c r="AQ1915" s="6">
        <f>YEAR(AS1915)</f>
        <v/>
      </c>
      <c r="AR1915" s="6">
        <f>MONTH(AS1915)</f>
        <v/>
      </c>
      <c r="AS1915" s="267">
        <f>IFERROR(__xludf.DUMMYFUNCTION("""COMPUTED_VALUE"""),45889.9986111111)</f>
        <v/>
      </c>
      <c r="AT1915" s="6">
        <f>IFERROR(__xludf.DUMMYFUNCTION("""COMPUTED_VALUE"""),3388.5)</f>
        <v/>
      </c>
    </row>
    <row r="1916">
      <c r="B1916" s="6">
        <f>C1916&amp;D1916</f>
        <v/>
      </c>
      <c r="C1916" s="6">
        <f>YEAR(E1916)</f>
        <v/>
      </c>
      <c r="D1916" s="6">
        <f>MONTH(E1916)</f>
        <v/>
      </c>
      <c r="E1916" s="267">
        <f>IFERROR(__xludf.DUMMYFUNCTION("""COMPUTED_VALUE"""),45883.6666666666)</f>
        <v/>
      </c>
      <c r="F1916" s="6">
        <f>IFERROR(__xludf.DUMMYFUNCTION("""COMPUTED_VALUE"""),6468.54)</f>
        <v/>
      </c>
      <c r="J1916" s="6">
        <f>K1916&amp;L1916</f>
        <v/>
      </c>
      <c r="K1916" s="6">
        <f>YEAR(M1916)</f>
        <v/>
      </c>
      <c r="L1916" s="6">
        <f>MONTH(M1916)</f>
        <v/>
      </c>
      <c r="M1916" s="267">
        <f>IFERROR(__xludf.DUMMYFUNCTION("""COMPUTED_VALUE"""),45876.6666666666)</f>
        <v/>
      </c>
      <c r="N1916" s="6">
        <f>IFERROR(__xludf.DUMMYFUNCTION("""COMPUTED_VALUE"""),21242.7)</f>
        <v/>
      </c>
      <c r="R1916" s="6">
        <f>S1916&amp;T1916</f>
        <v/>
      </c>
      <c r="S1916" s="6">
        <f>YEAR(U1916)</f>
        <v/>
      </c>
      <c r="T1916" s="6">
        <f>MONTH(U1916)</f>
        <v/>
      </c>
      <c r="U1916" s="267">
        <f>IFERROR(__xludf.DUMMYFUNCTION("""COMPUTED_VALUE"""),45957.6458333333)</f>
        <v/>
      </c>
      <c r="V1916" s="6">
        <f>IFERROR(__xludf.DUMMYFUNCTION("""COMPUTED_VALUE"""),4042.83)</f>
        <v/>
      </c>
      <c r="Z1916" s="6">
        <f>AA1916&amp;AB1916</f>
        <v/>
      </c>
      <c r="AA1916" s="6">
        <f>YEAR(AC1916)</f>
        <v/>
      </c>
      <c r="AB1916" s="6">
        <f>MONTH(AC1916)</f>
        <v/>
      </c>
      <c r="AC1916" s="267">
        <f>IFERROR(__xludf.DUMMYFUNCTION("""COMPUTED_VALUE"""),45065.9986111111)</f>
        <v/>
      </c>
      <c r="AD1916" s="6">
        <f>IFERROR(__xludf.DUMMYFUNCTION("""COMPUTED_VALUE"""),1325.2)</f>
        <v/>
      </c>
      <c r="AH1916" s="6">
        <f>AI1916&amp;AJ1916</f>
        <v/>
      </c>
      <c r="AI1916" s="6">
        <f>YEAR(AK1916)</f>
        <v/>
      </c>
      <c r="AJ1916" s="6">
        <f>MONTH(AK1916)</f>
        <v/>
      </c>
      <c r="AK1916" s="267">
        <f>IFERROR(__xludf.DUMMYFUNCTION("""COMPUTED_VALUE"""),45009.9986111111)</f>
        <v/>
      </c>
      <c r="AL1916" s="6">
        <f>IFERROR(__xludf.DUMMYFUNCTION("""COMPUTED_VALUE"""),27477.05)</f>
        <v/>
      </c>
      <c r="AP1916" s="6">
        <f>AQ1916&amp;AR1916</f>
        <v/>
      </c>
      <c r="AQ1916" s="6">
        <f>YEAR(AS1916)</f>
        <v/>
      </c>
      <c r="AR1916" s="6">
        <f>MONTH(AS1916)</f>
        <v/>
      </c>
      <c r="AS1916" s="267">
        <f>IFERROR(__xludf.DUMMYFUNCTION("""COMPUTED_VALUE"""),45890.9986111111)</f>
        <v/>
      </c>
      <c r="AT1916" s="6">
        <f>IFERROR(__xludf.DUMMYFUNCTION("""COMPUTED_VALUE"""),3381.6)</f>
        <v/>
      </c>
    </row>
    <row r="1917">
      <c r="B1917" s="6">
        <f>C1917&amp;D1917</f>
        <v/>
      </c>
      <c r="C1917" s="6">
        <f>YEAR(E1917)</f>
        <v/>
      </c>
      <c r="D1917" s="6">
        <f>MONTH(E1917)</f>
        <v/>
      </c>
      <c r="E1917" s="267">
        <f>IFERROR(__xludf.DUMMYFUNCTION("""COMPUTED_VALUE"""),45884.6666666666)</f>
        <v/>
      </c>
      <c r="F1917" s="6">
        <f>IFERROR(__xludf.DUMMYFUNCTION("""COMPUTED_VALUE"""),6449.8)</f>
        <v/>
      </c>
      <c r="J1917" s="6">
        <f>K1917&amp;L1917</f>
        <v/>
      </c>
      <c r="K1917" s="6">
        <f>YEAR(M1917)</f>
        <v/>
      </c>
      <c r="L1917" s="6">
        <f>MONTH(M1917)</f>
        <v/>
      </c>
      <c r="M1917" s="267">
        <f>IFERROR(__xludf.DUMMYFUNCTION("""COMPUTED_VALUE"""),45877.6666666666)</f>
        <v/>
      </c>
      <c r="N1917" s="6">
        <f>IFERROR(__xludf.DUMMYFUNCTION("""COMPUTED_VALUE"""),21450.02)</f>
        <v/>
      </c>
      <c r="R1917" s="6">
        <f>S1917&amp;T1917</f>
        <v/>
      </c>
      <c r="S1917" s="6">
        <f>YEAR(U1917)</f>
        <v/>
      </c>
      <c r="T1917" s="6">
        <f>MONTH(U1917)</f>
        <v/>
      </c>
      <c r="U1917" s="267">
        <f>IFERROR(__xludf.DUMMYFUNCTION("""COMPUTED_VALUE"""),45958.6458333333)</f>
        <v/>
      </c>
      <c r="V1917" s="6">
        <f>IFERROR(__xludf.DUMMYFUNCTION("""COMPUTED_VALUE"""),4010.41)</f>
        <v/>
      </c>
      <c r="Z1917" s="6">
        <f>AA1917&amp;AB1917</f>
        <v/>
      </c>
      <c r="AA1917" s="6">
        <f>YEAR(AC1917)</f>
        <v/>
      </c>
      <c r="AB1917" s="6">
        <f>MONTH(AC1917)</f>
        <v/>
      </c>
      <c r="AC1917" s="267">
        <f>IFERROR(__xludf.DUMMYFUNCTION("""COMPUTED_VALUE"""),45066.9986111111)</f>
        <v/>
      </c>
      <c r="AD1917" s="6">
        <f>IFERROR(__xludf.DUMMYFUNCTION("""COMPUTED_VALUE"""),1325.1)</f>
        <v/>
      </c>
      <c r="AH1917" s="6">
        <f>AI1917&amp;AJ1917</f>
        <v/>
      </c>
      <c r="AI1917" s="6">
        <f>YEAR(AK1917)</f>
        <v/>
      </c>
      <c r="AJ1917" s="6">
        <f>MONTH(AK1917)</f>
        <v/>
      </c>
      <c r="AK1917" s="267">
        <f>IFERROR(__xludf.DUMMYFUNCTION("""COMPUTED_VALUE"""),45010.9986111111)</f>
        <v/>
      </c>
      <c r="AL1917" s="6">
        <f>IFERROR(__xludf.DUMMYFUNCTION("""COMPUTED_VALUE"""),27487.04)</f>
        <v/>
      </c>
      <c r="AP1917" s="6">
        <f>AQ1917&amp;AR1917</f>
        <v/>
      </c>
      <c r="AQ1917" s="6">
        <f>YEAR(AS1917)</f>
        <v/>
      </c>
      <c r="AR1917" s="6">
        <f>MONTH(AS1917)</f>
        <v/>
      </c>
      <c r="AS1917" s="267">
        <f>IFERROR(__xludf.DUMMYFUNCTION("""COMPUTED_VALUE"""),45891.9986111111)</f>
        <v/>
      </c>
      <c r="AT1917" s="6">
        <f>IFERROR(__xludf.DUMMYFUNCTION("""COMPUTED_VALUE"""),3418.5)</f>
        <v/>
      </c>
    </row>
    <row r="1918">
      <c r="B1918" s="6">
        <f>C1918&amp;D1918</f>
        <v/>
      </c>
      <c r="C1918" s="6">
        <f>YEAR(E1918)</f>
        <v/>
      </c>
      <c r="D1918" s="6">
        <f>MONTH(E1918)</f>
        <v/>
      </c>
      <c r="E1918" s="267">
        <f>IFERROR(__xludf.DUMMYFUNCTION("""COMPUTED_VALUE"""),45887.6666666666)</f>
        <v/>
      </c>
      <c r="F1918" s="6">
        <f>IFERROR(__xludf.DUMMYFUNCTION("""COMPUTED_VALUE"""),6449.15)</f>
        <v/>
      </c>
      <c r="J1918" s="6">
        <f>K1918&amp;L1918</f>
        <v/>
      </c>
      <c r="K1918" s="6">
        <f>YEAR(M1918)</f>
        <v/>
      </c>
      <c r="L1918" s="6">
        <f>MONTH(M1918)</f>
        <v/>
      </c>
      <c r="M1918" s="267">
        <f>IFERROR(__xludf.DUMMYFUNCTION("""COMPUTED_VALUE"""),45880.6666666666)</f>
        <v/>
      </c>
      <c r="N1918" s="6">
        <f>IFERROR(__xludf.DUMMYFUNCTION("""COMPUTED_VALUE"""),21385.4)</f>
        <v/>
      </c>
      <c r="R1918" s="6">
        <f>S1918&amp;T1918</f>
        <v/>
      </c>
      <c r="S1918" s="6">
        <f>YEAR(U1918)</f>
        <v/>
      </c>
      <c r="T1918" s="6">
        <f>MONTH(U1918)</f>
        <v/>
      </c>
      <c r="U1918" s="267">
        <f>IFERROR(__xludf.DUMMYFUNCTION("""COMPUTED_VALUE"""),45959.6458333333)</f>
        <v/>
      </c>
      <c r="V1918" s="6">
        <f>IFERROR(__xludf.DUMMYFUNCTION("""COMPUTED_VALUE"""),4081.15)</f>
        <v/>
      </c>
      <c r="Z1918" s="6">
        <f>AA1918&amp;AB1918</f>
        <v/>
      </c>
      <c r="AA1918" s="6">
        <f>YEAR(AC1918)</f>
        <v/>
      </c>
      <c r="AB1918" s="6">
        <f>MONTH(AC1918)</f>
        <v/>
      </c>
      <c r="AC1918" s="267">
        <f>IFERROR(__xludf.DUMMYFUNCTION("""COMPUTED_VALUE"""),45067.9986111111)</f>
        <v/>
      </c>
      <c r="AD1918" s="6">
        <f>IFERROR(__xludf.DUMMYFUNCTION("""COMPUTED_VALUE"""),1324.21)</f>
        <v/>
      </c>
      <c r="AH1918" s="6">
        <f>AI1918&amp;AJ1918</f>
        <v/>
      </c>
      <c r="AI1918" s="6">
        <f>YEAR(AK1918)</f>
        <v/>
      </c>
      <c r="AJ1918" s="6">
        <f>MONTH(AK1918)</f>
        <v/>
      </c>
      <c r="AK1918" s="267">
        <f>IFERROR(__xludf.DUMMYFUNCTION("""COMPUTED_VALUE"""),45011.9986111111)</f>
        <v/>
      </c>
      <c r="AL1918" s="6">
        <f>IFERROR(__xludf.DUMMYFUNCTION("""COMPUTED_VALUE"""),27993.43)</f>
        <v/>
      </c>
      <c r="AP1918" s="6">
        <f>AQ1918&amp;AR1918</f>
        <v/>
      </c>
      <c r="AQ1918" s="6">
        <f>YEAR(AS1918)</f>
        <v/>
      </c>
      <c r="AR1918" s="6">
        <f>MONTH(AS1918)</f>
        <v/>
      </c>
      <c r="AS1918" s="267">
        <f>IFERROR(__xludf.DUMMYFUNCTION("""COMPUTED_VALUE"""),45894.9986111111)</f>
        <v/>
      </c>
      <c r="AT1918" s="6">
        <f>IFERROR(__xludf.DUMMYFUNCTION("""COMPUTED_VALUE"""),3417.5)</f>
        <v/>
      </c>
    </row>
    <row r="1919">
      <c r="B1919" s="6">
        <f>C1919&amp;D1919</f>
        <v/>
      </c>
      <c r="C1919" s="6">
        <f>YEAR(E1919)</f>
        <v/>
      </c>
      <c r="D1919" s="6">
        <f>MONTH(E1919)</f>
        <v/>
      </c>
      <c r="E1919" s="267">
        <f>IFERROR(__xludf.DUMMYFUNCTION("""COMPUTED_VALUE"""),45888.6666666666)</f>
        <v/>
      </c>
      <c r="F1919" s="6">
        <f>IFERROR(__xludf.DUMMYFUNCTION("""COMPUTED_VALUE"""),6411.37)</f>
        <v/>
      </c>
      <c r="J1919" s="6">
        <f>K1919&amp;L1919</f>
        <v/>
      </c>
      <c r="K1919" s="6">
        <f>YEAR(M1919)</f>
        <v/>
      </c>
      <c r="L1919" s="6">
        <f>MONTH(M1919)</f>
        <v/>
      </c>
      <c r="M1919" s="267">
        <f>IFERROR(__xludf.DUMMYFUNCTION("""COMPUTED_VALUE"""),45881.6666666666)</f>
        <v/>
      </c>
      <c r="N1919" s="6">
        <f>IFERROR(__xludf.DUMMYFUNCTION("""COMPUTED_VALUE"""),21681.9)</f>
        <v/>
      </c>
      <c r="R1919" s="6">
        <f>S1919&amp;T1919</f>
        <v/>
      </c>
      <c r="S1919" s="6">
        <f>YEAR(U1919)</f>
        <v/>
      </c>
      <c r="T1919" s="6">
        <f>MONTH(U1919)</f>
        <v/>
      </c>
      <c r="U1919" s="267">
        <f>IFERROR(__xludf.DUMMYFUNCTION("""COMPUTED_VALUE"""),45960.6458333333)</f>
        <v/>
      </c>
      <c r="V1919" s="6">
        <f>IFERROR(__xludf.DUMMYFUNCTION("""COMPUTED_VALUE"""),4086.89)</f>
        <v/>
      </c>
      <c r="Z1919" s="6">
        <f>AA1919&amp;AB1919</f>
        <v/>
      </c>
      <c r="AA1919" s="6">
        <f>YEAR(AC1919)</f>
        <v/>
      </c>
      <c r="AB1919" s="6">
        <f>MONTH(AC1919)</f>
        <v/>
      </c>
      <c r="AC1919" s="267">
        <f>IFERROR(__xludf.DUMMYFUNCTION("""COMPUTED_VALUE"""),45068.9986111111)</f>
        <v/>
      </c>
      <c r="AD1919" s="6">
        <f>IFERROR(__xludf.DUMMYFUNCTION("""COMPUTED_VALUE"""),1313.83)</f>
        <v/>
      </c>
      <c r="AH1919" s="6">
        <f>AI1919&amp;AJ1919</f>
        <v/>
      </c>
      <c r="AI1919" s="6">
        <f>YEAR(AK1919)</f>
        <v/>
      </c>
      <c r="AJ1919" s="6">
        <f>MONTH(AK1919)</f>
        <v/>
      </c>
      <c r="AK1919" s="267">
        <f>IFERROR(__xludf.DUMMYFUNCTION("""COMPUTED_VALUE"""),45012.9986111111)</f>
        <v/>
      </c>
      <c r="AL1919" s="6">
        <f>IFERROR(__xludf.DUMMYFUNCTION("""COMPUTED_VALUE"""),27135.23)</f>
        <v/>
      </c>
      <c r="AP1919" s="6">
        <f>AQ1919&amp;AR1919</f>
        <v/>
      </c>
      <c r="AQ1919" s="6">
        <f>YEAR(AS1919)</f>
        <v/>
      </c>
      <c r="AR1919" s="6">
        <f>MONTH(AS1919)</f>
        <v/>
      </c>
      <c r="AS1919" s="267">
        <f>IFERROR(__xludf.DUMMYFUNCTION("""COMPUTED_VALUE"""),45895.9986111111)</f>
        <v/>
      </c>
      <c r="AT1919" s="6">
        <f>IFERROR(__xludf.DUMMYFUNCTION("""COMPUTED_VALUE"""),3433)</f>
        <v/>
      </c>
    </row>
    <row r="1920">
      <c r="B1920" s="6">
        <f>C1920&amp;D1920</f>
        <v/>
      </c>
      <c r="C1920" s="6">
        <f>YEAR(E1920)</f>
        <v/>
      </c>
      <c r="D1920" s="6">
        <f>MONTH(E1920)</f>
        <v/>
      </c>
      <c r="E1920" s="267">
        <f>IFERROR(__xludf.DUMMYFUNCTION("""COMPUTED_VALUE"""),45889.6666666666)</f>
        <v/>
      </c>
      <c r="F1920" s="6">
        <f>IFERROR(__xludf.DUMMYFUNCTION("""COMPUTED_VALUE"""),6395.78)</f>
        <v/>
      </c>
      <c r="J1920" s="6">
        <f>K1920&amp;L1920</f>
        <v/>
      </c>
      <c r="K1920" s="6">
        <f>YEAR(M1920)</f>
        <v/>
      </c>
      <c r="L1920" s="6">
        <f>MONTH(M1920)</f>
        <v/>
      </c>
      <c r="M1920" s="267">
        <f>IFERROR(__xludf.DUMMYFUNCTION("""COMPUTED_VALUE"""),45882.6666666666)</f>
        <v/>
      </c>
      <c r="N1920" s="6">
        <f>IFERROR(__xludf.DUMMYFUNCTION("""COMPUTED_VALUE"""),21713.14)</f>
        <v/>
      </c>
      <c r="R1920" s="6">
        <f>S1920&amp;T1920</f>
        <v/>
      </c>
      <c r="S1920" s="6">
        <f>YEAR(U1920)</f>
        <v/>
      </c>
      <c r="T1920" s="6">
        <f>MONTH(U1920)</f>
        <v/>
      </c>
      <c r="U1920" s="267">
        <f>IFERROR(__xludf.DUMMYFUNCTION("""COMPUTED_VALUE"""),45961.6458333333)</f>
        <v/>
      </c>
      <c r="V1920" s="6">
        <f>IFERROR(__xludf.DUMMYFUNCTION("""COMPUTED_VALUE"""),4107.5)</f>
        <v/>
      </c>
      <c r="Z1920" s="6">
        <f>AA1920&amp;AB1920</f>
        <v/>
      </c>
      <c r="AA1920" s="6">
        <f>YEAR(AC1920)</f>
        <v/>
      </c>
      <c r="AB1920" s="6">
        <f>MONTH(AC1920)</f>
        <v/>
      </c>
      <c r="AC1920" s="267">
        <f>IFERROR(__xludf.DUMMYFUNCTION("""COMPUTED_VALUE"""),45069.9986111111)</f>
        <v/>
      </c>
      <c r="AD1920" s="6">
        <f>IFERROR(__xludf.DUMMYFUNCTION("""COMPUTED_VALUE"""),1319.84)</f>
        <v/>
      </c>
      <c r="AH1920" s="6">
        <f>AI1920&amp;AJ1920</f>
        <v/>
      </c>
      <c r="AI1920" s="6">
        <f>YEAR(AK1920)</f>
        <v/>
      </c>
      <c r="AJ1920" s="6">
        <f>MONTH(AK1920)</f>
        <v/>
      </c>
      <c r="AK1920" s="267">
        <f>IFERROR(__xludf.DUMMYFUNCTION("""COMPUTED_VALUE"""),45013.9986111111)</f>
        <v/>
      </c>
      <c r="AL1920" s="6">
        <f>IFERROR(__xludf.DUMMYFUNCTION("""COMPUTED_VALUE"""),27270.56)</f>
        <v/>
      </c>
      <c r="AP1920" s="6">
        <f>AQ1920&amp;AR1920</f>
        <v/>
      </c>
      <c r="AQ1920" s="6">
        <f>YEAR(AS1920)</f>
        <v/>
      </c>
      <c r="AR1920" s="6">
        <f>MONTH(AS1920)</f>
        <v/>
      </c>
      <c r="AS1920" s="267">
        <f>IFERROR(__xludf.DUMMYFUNCTION("""COMPUTED_VALUE"""),45896.9986111111)</f>
        <v/>
      </c>
      <c r="AT1920" s="6">
        <f>IFERROR(__xludf.DUMMYFUNCTION("""COMPUTED_VALUE"""),3448.6)</f>
        <v/>
      </c>
    </row>
    <row r="1921">
      <c r="B1921" s="6">
        <f>C1921&amp;D1921</f>
        <v/>
      </c>
      <c r="C1921" s="6">
        <f>YEAR(E1921)</f>
        <v/>
      </c>
      <c r="D1921" s="6">
        <f>MONTH(E1921)</f>
        <v/>
      </c>
      <c r="E1921" s="267">
        <f>IFERROR(__xludf.DUMMYFUNCTION("""COMPUTED_VALUE"""),45890.6666666666)</f>
        <v/>
      </c>
      <c r="F1921" s="6">
        <f>IFERROR(__xludf.DUMMYFUNCTION("""COMPUTED_VALUE"""),6370.17)</f>
        <v/>
      </c>
      <c r="J1921" s="6">
        <f>K1921&amp;L1921</f>
        <v/>
      </c>
      <c r="K1921" s="6">
        <f>YEAR(M1921)</f>
        <v/>
      </c>
      <c r="L1921" s="6">
        <f>MONTH(M1921)</f>
        <v/>
      </c>
      <c r="M1921" s="267">
        <f>IFERROR(__xludf.DUMMYFUNCTION("""COMPUTED_VALUE"""),45883.6666666666)</f>
        <v/>
      </c>
      <c r="N1921" s="6">
        <f>IFERROR(__xludf.DUMMYFUNCTION("""COMPUTED_VALUE"""),21710.67)</f>
        <v/>
      </c>
      <c r="R1921" s="6">
        <f>S1921&amp;T1921</f>
        <v/>
      </c>
      <c r="S1921" s="6">
        <f>YEAR(U1921)</f>
        <v/>
      </c>
      <c r="T1921" s="6">
        <f>MONTH(U1921)</f>
        <v/>
      </c>
      <c r="U1921" s="267">
        <f>IFERROR(__xludf.DUMMYFUNCTION("""COMPUTED_VALUE"""),45964.6458333333)</f>
        <v/>
      </c>
      <c r="V1921" s="6">
        <f>IFERROR(__xludf.DUMMYFUNCTION("""COMPUTED_VALUE"""),4221.87)</f>
        <v/>
      </c>
      <c r="Z1921" s="6">
        <f>AA1921&amp;AB1921</f>
        <v/>
      </c>
      <c r="AA1921" s="6">
        <f>YEAR(AC1921)</f>
        <v/>
      </c>
      <c r="AB1921" s="6">
        <f>MONTH(AC1921)</f>
        <v/>
      </c>
      <c r="AC1921" s="267">
        <f>IFERROR(__xludf.DUMMYFUNCTION("""COMPUTED_VALUE"""),45070.9986111111)</f>
        <v/>
      </c>
      <c r="AD1921" s="6">
        <f>IFERROR(__xludf.DUMMYFUNCTION("""COMPUTED_VALUE"""),1318.52)</f>
        <v/>
      </c>
      <c r="AH1921" s="6">
        <f>AI1921&amp;AJ1921</f>
        <v/>
      </c>
      <c r="AI1921" s="6">
        <f>YEAR(AK1921)</f>
        <v/>
      </c>
      <c r="AJ1921" s="6">
        <f>MONTH(AK1921)</f>
        <v/>
      </c>
      <c r="AK1921" s="267">
        <f>IFERROR(__xludf.DUMMYFUNCTION("""COMPUTED_VALUE"""),45014.9986111111)</f>
        <v/>
      </c>
      <c r="AL1921" s="6">
        <f>IFERROR(__xludf.DUMMYFUNCTION("""COMPUTED_VALUE"""),28352.95)</f>
        <v/>
      </c>
      <c r="AP1921" s="6">
        <f>AQ1921&amp;AR1921</f>
        <v/>
      </c>
      <c r="AQ1921" s="6">
        <f>YEAR(AS1921)</f>
        <v/>
      </c>
      <c r="AR1921" s="6">
        <f>MONTH(AS1921)</f>
        <v/>
      </c>
      <c r="AS1921" s="267">
        <f>IFERROR(__xludf.DUMMYFUNCTION("""COMPUTED_VALUE"""),45897.9986111111)</f>
        <v/>
      </c>
      <c r="AT1921" s="6">
        <f>IFERROR(__xludf.DUMMYFUNCTION("""COMPUTED_VALUE"""),3474.3)</f>
        <v/>
      </c>
    </row>
    <row r="1922">
      <c r="B1922" s="6">
        <f>C1922&amp;D1922</f>
        <v/>
      </c>
      <c r="C1922" s="6">
        <f>YEAR(E1922)</f>
        <v/>
      </c>
      <c r="D1922" s="6">
        <f>MONTH(E1922)</f>
        <v/>
      </c>
      <c r="E1922" s="267">
        <f>IFERROR(__xludf.DUMMYFUNCTION("""COMPUTED_VALUE"""),45891.6666666666)</f>
        <v/>
      </c>
      <c r="F1922" s="6">
        <f>IFERROR(__xludf.DUMMYFUNCTION("""COMPUTED_VALUE"""),6466.91)</f>
        <v/>
      </c>
      <c r="J1922" s="6">
        <f>K1922&amp;L1922</f>
        <v/>
      </c>
      <c r="K1922" s="6">
        <f>YEAR(M1922)</f>
        <v/>
      </c>
      <c r="L1922" s="6">
        <f>MONTH(M1922)</f>
        <v/>
      </c>
      <c r="M1922" s="267">
        <f>IFERROR(__xludf.DUMMYFUNCTION("""COMPUTED_VALUE"""),45884.6666666666)</f>
        <v/>
      </c>
      <c r="N1922" s="6">
        <f>IFERROR(__xludf.DUMMYFUNCTION("""COMPUTED_VALUE"""),21622.98)</f>
        <v/>
      </c>
      <c r="R1922" s="6">
        <f>S1922&amp;T1922</f>
        <v/>
      </c>
      <c r="S1922" s="6">
        <f>YEAR(U1922)</f>
        <v/>
      </c>
      <c r="T1922" s="6">
        <f>MONTH(U1922)</f>
        <v/>
      </c>
      <c r="U1922" s="267">
        <f>IFERROR(__xludf.DUMMYFUNCTION("""COMPUTED_VALUE"""),45965.6458333333)</f>
        <v/>
      </c>
      <c r="V1922" s="6">
        <f>IFERROR(__xludf.DUMMYFUNCTION("""COMPUTED_VALUE"""),4121.74)</f>
        <v/>
      </c>
      <c r="Z1922" s="6">
        <f>AA1922&amp;AB1922</f>
        <v/>
      </c>
      <c r="AA1922" s="6">
        <f>YEAR(AC1922)</f>
        <v/>
      </c>
      <c r="AB1922" s="6">
        <f>MONTH(AC1922)</f>
        <v/>
      </c>
      <c r="AC1922" s="267">
        <f>IFERROR(__xludf.DUMMYFUNCTION("""COMPUTED_VALUE"""),45071.9986111111)</f>
        <v/>
      </c>
      <c r="AD1922" s="6">
        <f>IFERROR(__xludf.DUMMYFUNCTION("""COMPUTED_VALUE"""),1330.89)</f>
        <v/>
      </c>
      <c r="AH1922" s="6">
        <f>AI1922&amp;AJ1922</f>
        <v/>
      </c>
      <c r="AI1922" s="6">
        <f>YEAR(AK1922)</f>
        <v/>
      </c>
      <c r="AJ1922" s="6">
        <f>MONTH(AK1922)</f>
        <v/>
      </c>
      <c r="AK1922" s="267">
        <f>IFERROR(__xludf.DUMMYFUNCTION("""COMPUTED_VALUE"""),45015.9986111111)</f>
        <v/>
      </c>
      <c r="AL1922" s="6">
        <f>IFERROR(__xludf.DUMMYFUNCTION("""COMPUTED_VALUE"""),28036.68)</f>
        <v/>
      </c>
      <c r="AP1922" s="6">
        <f>AQ1922&amp;AR1922</f>
        <v/>
      </c>
      <c r="AQ1922" s="6">
        <f>YEAR(AS1922)</f>
        <v/>
      </c>
      <c r="AR1922" s="6">
        <f>MONTH(AS1922)</f>
        <v/>
      </c>
      <c r="AS1922" s="267">
        <f>IFERROR(__xludf.DUMMYFUNCTION("""COMPUTED_VALUE"""),45898.9986111111)</f>
        <v/>
      </c>
      <c r="AT1922" s="6">
        <f>IFERROR(__xludf.DUMMYFUNCTION("""COMPUTED_VALUE"""),3516.1)</f>
        <v/>
      </c>
    </row>
    <row r="1923">
      <c r="B1923" s="6">
        <f>C1923&amp;D1923</f>
        <v/>
      </c>
      <c r="C1923" s="6">
        <f>YEAR(E1923)</f>
        <v/>
      </c>
      <c r="D1923" s="6">
        <f>MONTH(E1923)</f>
        <v/>
      </c>
      <c r="E1923" s="267">
        <f>IFERROR(__xludf.DUMMYFUNCTION("""COMPUTED_VALUE"""),45894.6666666666)</f>
        <v/>
      </c>
      <c r="F1923" s="6">
        <f>IFERROR(__xludf.DUMMYFUNCTION("""COMPUTED_VALUE"""),6439.32)</f>
        <v/>
      </c>
      <c r="J1923" s="6">
        <f>K1923&amp;L1923</f>
        <v/>
      </c>
      <c r="K1923" s="6">
        <f>YEAR(M1923)</f>
        <v/>
      </c>
      <c r="L1923" s="6">
        <f>MONTH(M1923)</f>
        <v/>
      </c>
      <c r="M1923" s="267">
        <f>IFERROR(__xludf.DUMMYFUNCTION("""COMPUTED_VALUE"""),45887.6666666666)</f>
        <v/>
      </c>
      <c r="N1923" s="6">
        <f>IFERROR(__xludf.DUMMYFUNCTION("""COMPUTED_VALUE"""),21629.77)</f>
        <v/>
      </c>
      <c r="R1923" s="6">
        <f>S1923&amp;T1923</f>
        <v/>
      </c>
      <c r="S1923" s="6">
        <f>YEAR(U1923)</f>
        <v/>
      </c>
      <c r="T1923" s="6">
        <f>MONTH(U1923)</f>
        <v/>
      </c>
      <c r="U1923" s="267">
        <f>IFERROR(__xludf.DUMMYFUNCTION("""COMPUTED_VALUE"""),45966.6458333333)</f>
        <v/>
      </c>
      <c r="V1923" s="6">
        <f>IFERROR(__xludf.DUMMYFUNCTION("""COMPUTED_VALUE"""),4004.42)</f>
        <v/>
      </c>
      <c r="Z1923" s="6">
        <f>AA1923&amp;AB1923</f>
        <v/>
      </c>
      <c r="AA1923" s="6">
        <f>YEAR(AC1923)</f>
        <v/>
      </c>
      <c r="AB1923" s="6">
        <f>MONTH(AC1923)</f>
        <v/>
      </c>
      <c r="AC1923" s="267">
        <f>IFERROR(__xludf.DUMMYFUNCTION("""COMPUTED_VALUE"""),45072.9986111111)</f>
        <v/>
      </c>
      <c r="AD1923" s="6">
        <f>IFERROR(__xludf.DUMMYFUNCTION("""COMPUTED_VALUE"""),1322.43)</f>
        <v/>
      </c>
      <c r="AH1923" s="6">
        <f>AI1923&amp;AJ1923</f>
        <v/>
      </c>
      <c r="AI1923" s="6">
        <f>YEAR(AK1923)</f>
        <v/>
      </c>
      <c r="AJ1923" s="6">
        <f>MONTH(AK1923)</f>
        <v/>
      </c>
      <c r="AK1923" s="267">
        <f>IFERROR(__xludf.DUMMYFUNCTION("""COMPUTED_VALUE"""),45016.9986111111)</f>
        <v/>
      </c>
      <c r="AL1923" s="6">
        <f>IFERROR(__xludf.DUMMYFUNCTION("""COMPUTED_VALUE"""),28474.26)</f>
        <v/>
      </c>
      <c r="AP1923" s="6">
        <f>AQ1923&amp;AR1923</f>
        <v/>
      </c>
      <c r="AQ1923" s="6">
        <f>YEAR(AS1923)</f>
        <v/>
      </c>
      <c r="AR1923" s="6">
        <f>MONTH(AS1923)</f>
        <v/>
      </c>
      <c r="AS1923" s="267">
        <f>IFERROR(__xludf.DUMMYFUNCTION("""COMPUTED_VALUE"""),45902.9986111111)</f>
        <v/>
      </c>
      <c r="AT1923" s="6">
        <f>IFERROR(__xludf.DUMMYFUNCTION("""COMPUTED_VALUE"""),3592.2)</f>
        <v/>
      </c>
    </row>
    <row r="1924">
      <c r="B1924" s="6">
        <f>C1924&amp;D1924</f>
        <v/>
      </c>
      <c r="C1924" s="6">
        <f>YEAR(E1924)</f>
        <v/>
      </c>
      <c r="D1924" s="6">
        <f>MONTH(E1924)</f>
        <v/>
      </c>
      <c r="E1924" s="267">
        <f>IFERROR(__xludf.DUMMYFUNCTION("""COMPUTED_VALUE"""),45895.6666666666)</f>
        <v/>
      </c>
      <c r="F1924" s="6">
        <f>IFERROR(__xludf.DUMMYFUNCTION("""COMPUTED_VALUE"""),6465.94)</f>
        <v/>
      </c>
      <c r="J1924" s="6">
        <f>K1924&amp;L1924</f>
        <v/>
      </c>
      <c r="K1924" s="6">
        <f>YEAR(M1924)</f>
        <v/>
      </c>
      <c r="L1924" s="6">
        <f>MONTH(M1924)</f>
        <v/>
      </c>
      <c r="M1924" s="267">
        <f>IFERROR(__xludf.DUMMYFUNCTION("""COMPUTED_VALUE"""),45888.6666666666)</f>
        <v/>
      </c>
      <c r="N1924" s="6">
        <f>IFERROR(__xludf.DUMMYFUNCTION("""COMPUTED_VALUE"""),21314.95)</f>
        <v/>
      </c>
      <c r="R1924" s="6">
        <f>S1924&amp;T1924</f>
        <v/>
      </c>
      <c r="S1924" s="6">
        <f>YEAR(U1924)</f>
        <v/>
      </c>
      <c r="T1924" s="6">
        <f>MONTH(U1924)</f>
        <v/>
      </c>
      <c r="U1924" s="267">
        <f>IFERROR(__xludf.DUMMYFUNCTION("""COMPUTED_VALUE"""),45967.6458333333)</f>
        <v/>
      </c>
      <c r="V1924" s="6">
        <f>IFERROR(__xludf.DUMMYFUNCTION("""COMPUTED_VALUE"""),4026.45)</f>
        <v/>
      </c>
      <c r="Z1924" s="6">
        <f>AA1924&amp;AB1924</f>
        <v/>
      </c>
      <c r="AA1924" s="6">
        <f>YEAR(AC1924)</f>
        <v/>
      </c>
      <c r="AB1924" s="6">
        <f>MONTH(AC1924)</f>
        <v/>
      </c>
      <c r="AC1924" s="267">
        <f>IFERROR(__xludf.DUMMYFUNCTION("""COMPUTED_VALUE"""),45073.9986111111)</f>
        <v/>
      </c>
      <c r="AD1924" s="6">
        <f>IFERROR(__xludf.DUMMYFUNCTION("""COMPUTED_VALUE"""),1322.43)</f>
        <v/>
      </c>
      <c r="AH1924" s="6">
        <f>AI1924&amp;AJ1924</f>
        <v/>
      </c>
      <c r="AI1924" s="6">
        <f>YEAR(AK1924)</f>
        <v/>
      </c>
      <c r="AJ1924" s="6">
        <f>MONTH(AK1924)</f>
        <v/>
      </c>
      <c r="AK1924" s="267">
        <f>IFERROR(__xludf.DUMMYFUNCTION("""COMPUTED_VALUE"""),45017.9986111111)</f>
        <v/>
      </c>
      <c r="AL1924" s="6">
        <f>IFERROR(__xludf.DUMMYFUNCTION("""COMPUTED_VALUE"""),28463.44)</f>
        <v/>
      </c>
      <c r="AP1924" s="6">
        <f>AQ1924&amp;AR1924</f>
        <v/>
      </c>
      <c r="AQ1924" s="6">
        <f>YEAR(AS1924)</f>
        <v/>
      </c>
      <c r="AR1924" s="6">
        <f>MONTH(AS1924)</f>
        <v/>
      </c>
      <c r="AS1924" s="267">
        <f>IFERROR(__xludf.DUMMYFUNCTION("""COMPUTED_VALUE"""),45903.9986111111)</f>
        <v/>
      </c>
      <c r="AT1924" s="6">
        <f>IFERROR(__xludf.DUMMYFUNCTION("""COMPUTED_VALUE"""),3635.5)</f>
        <v/>
      </c>
    </row>
    <row r="1925">
      <c r="B1925" s="6">
        <f>C1925&amp;D1925</f>
        <v/>
      </c>
      <c r="C1925" s="6">
        <f>YEAR(E1925)</f>
        <v/>
      </c>
      <c r="D1925" s="6">
        <f>MONTH(E1925)</f>
        <v/>
      </c>
      <c r="E1925" s="267">
        <f>IFERROR(__xludf.DUMMYFUNCTION("""COMPUTED_VALUE"""),45896.6666666666)</f>
        <v/>
      </c>
      <c r="F1925" s="6">
        <f>IFERROR(__xludf.DUMMYFUNCTION("""COMPUTED_VALUE"""),6481.4)</f>
        <v/>
      </c>
      <c r="J1925" s="6">
        <f>K1925&amp;L1925</f>
        <v/>
      </c>
      <c r="K1925" s="6">
        <f>YEAR(M1925)</f>
        <v/>
      </c>
      <c r="L1925" s="6">
        <f>MONTH(M1925)</f>
        <v/>
      </c>
      <c r="M1925" s="267">
        <f>IFERROR(__xludf.DUMMYFUNCTION("""COMPUTED_VALUE"""),45889.6666666666)</f>
        <v/>
      </c>
      <c r="N1925" s="6">
        <f>IFERROR(__xludf.DUMMYFUNCTION("""COMPUTED_VALUE"""),21172.86)</f>
        <v/>
      </c>
      <c r="R1925" s="6">
        <f>S1925&amp;T1925</f>
        <v/>
      </c>
      <c r="S1925" s="6">
        <f>YEAR(U1925)</f>
        <v/>
      </c>
      <c r="T1925" s="6">
        <f>MONTH(U1925)</f>
        <v/>
      </c>
      <c r="U1925" s="267">
        <f>IFERROR(__xludf.DUMMYFUNCTION("""COMPUTED_VALUE"""),45968.6458333333)</f>
        <v/>
      </c>
      <c r="V1925" s="6">
        <f>IFERROR(__xludf.DUMMYFUNCTION("""COMPUTED_VALUE"""),3953.76)</f>
        <v/>
      </c>
      <c r="Z1925" s="6">
        <f>AA1925&amp;AB1925</f>
        <v/>
      </c>
      <c r="AA1925" s="6">
        <f>YEAR(AC1925)</f>
        <v/>
      </c>
      <c r="AB1925" s="6">
        <f>MONTH(AC1925)</f>
        <v/>
      </c>
      <c r="AC1925" s="267">
        <f>IFERROR(__xludf.DUMMYFUNCTION("""COMPUTED_VALUE"""),45074.9986111111)</f>
        <v/>
      </c>
      <c r="AD1925" s="6">
        <f>IFERROR(__xludf.DUMMYFUNCTION("""COMPUTED_VALUE"""),1322.43)</f>
        <v/>
      </c>
      <c r="AH1925" s="6">
        <f>AI1925&amp;AJ1925</f>
        <v/>
      </c>
      <c r="AI1925" s="6">
        <f>YEAR(AK1925)</f>
        <v/>
      </c>
      <c r="AJ1925" s="6">
        <f>MONTH(AK1925)</f>
        <v/>
      </c>
      <c r="AK1925" s="267">
        <f>IFERROR(__xludf.DUMMYFUNCTION("""COMPUTED_VALUE"""),45018.9986111111)</f>
        <v/>
      </c>
      <c r="AL1925" s="6">
        <f>IFERROR(__xludf.DUMMYFUNCTION("""COMPUTED_VALUE"""),28188.3)</f>
        <v/>
      </c>
      <c r="AP1925" s="6">
        <f>AQ1925&amp;AR1925</f>
        <v/>
      </c>
      <c r="AQ1925" s="6">
        <f>YEAR(AS1925)</f>
        <v/>
      </c>
      <c r="AR1925" s="6">
        <f>MONTH(AS1925)</f>
        <v/>
      </c>
      <c r="AS1925" s="267">
        <f>IFERROR(__xludf.DUMMYFUNCTION("""COMPUTED_VALUE"""),45904.9986111111)</f>
        <v/>
      </c>
      <c r="AT1925" s="6">
        <f>IFERROR(__xludf.DUMMYFUNCTION("""COMPUTED_VALUE"""),3606.7)</f>
        <v/>
      </c>
    </row>
    <row r="1926">
      <c r="B1926" s="6">
        <f>C1926&amp;D1926</f>
        <v/>
      </c>
      <c r="C1926" s="6">
        <f>YEAR(E1926)</f>
        <v/>
      </c>
      <c r="D1926" s="6">
        <f>MONTH(E1926)</f>
        <v/>
      </c>
      <c r="E1926" s="267">
        <f>IFERROR(__xludf.DUMMYFUNCTION("""COMPUTED_VALUE"""),45897.6666666666)</f>
        <v/>
      </c>
      <c r="F1926" s="6">
        <f>IFERROR(__xludf.DUMMYFUNCTION("""COMPUTED_VALUE"""),6501.86)</f>
        <v/>
      </c>
      <c r="J1926" s="6">
        <f>K1926&amp;L1926</f>
        <v/>
      </c>
      <c r="K1926" s="6">
        <f>YEAR(M1926)</f>
        <v/>
      </c>
      <c r="L1926" s="6">
        <f>MONTH(M1926)</f>
        <v/>
      </c>
      <c r="M1926" s="267">
        <f>IFERROR(__xludf.DUMMYFUNCTION("""COMPUTED_VALUE"""),45890.6666666666)</f>
        <v/>
      </c>
      <c r="N1926" s="6">
        <f>IFERROR(__xludf.DUMMYFUNCTION("""COMPUTED_VALUE"""),21100.31)</f>
        <v/>
      </c>
      <c r="R1926" s="6">
        <f>S1926&amp;T1926</f>
        <v/>
      </c>
      <c r="S1926" s="6">
        <f>YEAR(U1926)</f>
        <v/>
      </c>
      <c r="T1926" s="6">
        <f>MONTH(U1926)</f>
        <v/>
      </c>
      <c r="U1926" s="267">
        <f>IFERROR(__xludf.DUMMYFUNCTION("""COMPUTED_VALUE"""),45971.6458333333)</f>
        <v/>
      </c>
      <c r="V1926" s="6">
        <f>IFERROR(__xludf.DUMMYFUNCTION("""COMPUTED_VALUE"""),4073.24)</f>
        <v/>
      </c>
      <c r="Z1926" s="6">
        <f>AA1926&amp;AB1926</f>
        <v/>
      </c>
      <c r="AA1926" s="6">
        <f>YEAR(AC1926)</f>
        <v/>
      </c>
      <c r="AB1926" s="6">
        <f>MONTH(AC1926)</f>
        <v/>
      </c>
      <c r="AC1926" s="267">
        <f>IFERROR(__xludf.DUMMYFUNCTION("""COMPUTED_VALUE"""),45075.9986111111)</f>
        <v/>
      </c>
      <c r="AD1926" s="6">
        <f>IFERROR(__xludf.DUMMYFUNCTION("""COMPUTED_VALUE"""),1324.59)</f>
        <v/>
      </c>
      <c r="AH1926" s="6">
        <f>AI1926&amp;AJ1926</f>
        <v/>
      </c>
      <c r="AI1926" s="6">
        <f>YEAR(AK1926)</f>
        <v/>
      </c>
      <c r="AJ1926" s="6">
        <f>MONTH(AK1926)</f>
        <v/>
      </c>
      <c r="AK1926" s="267">
        <f>IFERROR(__xludf.DUMMYFUNCTION("""COMPUTED_VALUE"""),45019.9986111111)</f>
        <v/>
      </c>
      <c r="AL1926" s="6">
        <f>IFERROR(__xludf.DUMMYFUNCTION("""COMPUTED_VALUE"""),27805.71)</f>
        <v/>
      </c>
      <c r="AP1926" s="6">
        <f>AQ1926&amp;AR1926</f>
        <v/>
      </c>
      <c r="AQ1926" s="6">
        <f>YEAR(AS1926)</f>
        <v/>
      </c>
      <c r="AR1926" s="6">
        <f>MONTH(AS1926)</f>
        <v/>
      </c>
      <c r="AS1926" s="267">
        <f>IFERROR(__xludf.DUMMYFUNCTION("""COMPUTED_VALUE"""),45905.9986111111)</f>
        <v/>
      </c>
      <c r="AT1926" s="6">
        <f>IFERROR(__xludf.DUMMYFUNCTION("""COMPUTED_VALUE"""),3653.3)</f>
        <v/>
      </c>
    </row>
    <row r="1927">
      <c r="B1927" s="6">
        <f>C1927&amp;D1927</f>
        <v/>
      </c>
      <c r="C1927" s="6">
        <f>YEAR(E1927)</f>
        <v/>
      </c>
      <c r="D1927" s="6">
        <f>MONTH(E1927)</f>
        <v/>
      </c>
      <c r="E1927" s="267">
        <f>IFERROR(__xludf.DUMMYFUNCTION("""COMPUTED_VALUE"""),45898.6666666666)</f>
        <v/>
      </c>
      <c r="F1927" s="6">
        <f>IFERROR(__xludf.DUMMYFUNCTION("""COMPUTED_VALUE"""),6460.26)</f>
        <v/>
      </c>
      <c r="J1927" s="6">
        <f>K1927&amp;L1927</f>
        <v/>
      </c>
      <c r="K1927" s="6">
        <f>YEAR(M1927)</f>
        <v/>
      </c>
      <c r="L1927" s="6">
        <f>MONTH(M1927)</f>
        <v/>
      </c>
      <c r="M1927" s="267">
        <f>IFERROR(__xludf.DUMMYFUNCTION("""COMPUTED_VALUE"""),45891.6666666666)</f>
        <v/>
      </c>
      <c r="N1927" s="6">
        <f>IFERROR(__xludf.DUMMYFUNCTION("""COMPUTED_VALUE"""),21496.54)</f>
        <v/>
      </c>
      <c r="R1927" s="6">
        <f>S1927&amp;T1927</f>
        <v/>
      </c>
      <c r="S1927" s="6">
        <f>YEAR(U1927)</f>
        <v/>
      </c>
      <c r="T1927" s="6">
        <f>MONTH(U1927)</f>
        <v/>
      </c>
      <c r="U1927" s="267">
        <f>IFERROR(__xludf.DUMMYFUNCTION("""COMPUTED_VALUE"""),45972.6458333333)</f>
        <v/>
      </c>
      <c r="V1927" s="6">
        <f>IFERROR(__xludf.DUMMYFUNCTION("""COMPUTED_VALUE"""),4106.39)</f>
        <v/>
      </c>
      <c r="Z1927" s="6">
        <f>AA1927&amp;AB1927</f>
        <v/>
      </c>
      <c r="AA1927" s="6">
        <f>YEAR(AC1927)</f>
        <v/>
      </c>
      <c r="AB1927" s="6">
        <f>MONTH(AC1927)</f>
        <v/>
      </c>
      <c r="AC1927" s="267">
        <f>IFERROR(__xludf.DUMMYFUNCTION("""COMPUTED_VALUE"""),45076.9986111111)</f>
        <v/>
      </c>
      <c r="AD1927" s="6">
        <f>IFERROR(__xludf.DUMMYFUNCTION("""COMPUTED_VALUE"""),1319.79)</f>
        <v/>
      </c>
      <c r="AH1927" s="6">
        <f>AI1927&amp;AJ1927</f>
        <v/>
      </c>
      <c r="AI1927" s="6">
        <f>YEAR(AK1927)</f>
        <v/>
      </c>
      <c r="AJ1927" s="6">
        <f>MONTH(AK1927)</f>
        <v/>
      </c>
      <c r="AK1927" s="267">
        <f>IFERROR(__xludf.DUMMYFUNCTION("""COMPUTED_VALUE"""),45020.9986111111)</f>
        <v/>
      </c>
      <c r="AL1927" s="6">
        <f>IFERROR(__xludf.DUMMYFUNCTION("""COMPUTED_VALUE"""),28169.03)</f>
        <v/>
      </c>
      <c r="AP1927" s="6">
        <f>AQ1927&amp;AR1927</f>
        <v/>
      </c>
      <c r="AQ1927" s="6">
        <f>YEAR(AS1927)</f>
        <v/>
      </c>
      <c r="AR1927" s="6">
        <f>MONTH(AS1927)</f>
        <v/>
      </c>
      <c r="AS1927" s="267">
        <f>IFERROR(__xludf.DUMMYFUNCTION("""COMPUTED_VALUE"""),45908.9986111111)</f>
        <v/>
      </c>
      <c r="AT1927" s="6">
        <f>IFERROR(__xludf.DUMMYFUNCTION("""COMPUTED_VALUE"""),3677.4)</f>
        <v/>
      </c>
    </row>
    <row r="1928">
      <c r="B1928" s="6">
        <f>C1928&amp;D1928</f>
        <v/>
      </c>
      <c r="C1928" s="6">
        <f>YEAR(E1928)</f>
        <v/>
      </c>
      <c r="D1928" s="6">
        <f>MONTH(E1928)</f>
        <v/>
      </c>
      <c r="E1928" s="267">
        <f>IFERROR(__xludf.DUMMYFUNCTION("""COMPUTED_VALUE"""),45902.6666666666)</f>
        <v/>
      </c>
      <c r="F1928" s="6">
        <f>IFERROR(__xludf.DUMMYFUNCTION("""COMPUTED_VALUE"""),6415.54)</f>
        <v/>
      </c>
      <c r="J1928" s="6">
        <f>K1928&amp;L1928</f>
        <v/>
      </c>
      <c r="K1928" s="6">
        <f>YEAR(M1928)</f>
        <v/>
      </c>
      <c r="L1928" s="6">
        <f>MONTH(M1928)</f>
        <v/>
      </c>
      <c r="M1928" s="267">
        <f>IFERROR(__xludf.DUMMYFUNCTION("""COMPUTED_VALUE"""),45894.6666666666)</f>
        <v/>
      </c>
      <c r="N1928" s="6">
        <f>IFERROR(__xludf.DUMMYFUNCTION("""COMPUTED_VALUE"""),21449.29)</f>
        <v/>
      </c>
      <c r="R1928" s="6">
        <f>S1928&amp;T1928</f>
        <v/>
      </c>
      <c r="S1928" s="6">
        <f>YEAR(U1928)</f>
        <v/>
      </c>
      <c r="T1928" s="6">
        <f>MONTH(U1928)</f>
        <v/>
      </c>
      <c r="U1928" s="267">
        <f>IFERROR(__xludf.DUMMYFUNCTION("""COMPUTED_VALUE"""),45973.6458333333)</f>
        <v/>
      </c>
      <c r="V1928" s="6">
        <f>IFERROR(__xludf.DUMMYFUNCTION("""COMPUTED_VALUE"""),4150.39)</f>
        <v/>
      </c>
      <c r="Z1928" s="6">
        <f>AA1928&amp;AB1928</f>
        <v/>
      </c>
      <c r="AA1928" s="6">
        <f>YEAR(AC1928)</f>
        <v/>
      </c>
      <c r="AB1928" s="6">
        <f>MONTH(AC1928)</f>
        <v/>
      </c>
      <c r="AC1928" s="267">
        <f>IFERROR(__xludf.DUMMYFUNCTION("""COMPUTED_VALUE"""),45077.9986111111)</f>
        <v/>
      </c>
      <c r="AD1928" s="6">
        <f>IFERROR(__xludf.DUMMYFUNCTION("""COMPUTED_VALUE"""),1321.74)</f>
        <v/>
      </c>
      <c r="AH1928" s="6">
        <f>AI1928&amp;AJ1928</f>
        <v/>
      </c>
      <c r="AI1928" s="6">
        <f>YEAR(AK1928)</f>
        <v/>
      </c>
      <c r="AJ1928" s="6">
        <f>MONTH(AK1928)</f>
        <v/>
      </c>
      <c r="AK1928" s="267">
        <f>IFERROR(__xludf.DUMMYFUNCTION("""COMPUTED_VALUE"""),45021.9986111111)</f>
        <v/>
      </c>
      <c r="AL1928" s="6">
        <f>IFERROR(__xludf.DUMMYFUNCTION("""COMPUTED_VALUE"""),28176.88)</f>
        <v/>
      </c>
      <c r="AP1928" s="6">
        <f>AQ1928&amp;AR1928</f>
        <v/>
      </c>
      <c r="AQ1928" s="6">
        <f>YEAR(AS1928)</f>
        <v/>
      </c>
      <c r="AR1928" s="6">
        <f>MONTH(AS1928)</f>
        <v/>
      </c>
      <c r="AS1928" s="267">
        <f>IFERROR(__xludf.DUMMYFUNCTION("""COMPUTED_VALUE"""),45909.9986111111)</f>
        <v/>
      </c>
      <c r="AT1928" s="6">
        <f>IFERROR(__xludf.DUMMYFUNCTION("""COMPUTED_VALUE"""),3682.2)</f>
        <v/>
      </c>
    </row>
    <row r="1929">
      <c r="B1929" s="6">
        <f>C1929&amp;D1929</f>
        <v/>
      </c>
      <c r="C1929" s="6">
        <f>YEAR(E1929)</f>
        <v/>
      </c>
      <c r="D1929" s="6">
        <f>MONTH(E1929)</f>
        <v/>
      </c>
      <c r="E1929" s="267">
        <f>IFERROR(__xludf.DUMMYFUNCTION("""COMPUTED_VALUE"""),45903.6666666666)</f>
        <v/>
      </c>
      <c r="F1929" s="6">
        <f>IFERROR(__xludf.DUMMYFUNCTION("""COMPUTED_VALUE"""),6448.26)</f>
        <v/>
      </c>
      <c r="J1929" s="6">
        <f>K1929&amp;L1929</f>
        <v/>
      </c>
      <c r="K1929" s="6">
        <f>YEAR(M1929)</f>
        <v/>
      </c>
      <c r="L1929" s="6">
        <f>MONTH(M1929)</f>
        <v/>
      </c>
      <c r="M1929" s="267">
        <f>IFERROR(__xludf.DUMMYFUNCTION("""COMPUTED_VALUE"""),45895.6666666666)</f>
        <v/>
      </c>
      <c r="N1929" s="6">
        <f>IFERROR(__xludf.DUMMYFUNCTION("""COMPUTED_VALUE"""),21544.27)</f>
        <v/>
      </c>
      <c r="R1929" s="6">
        <f>S1929&amp;T1929</f>
        <v/>
      </c>
      <c r="S1929" s="6">
        <f>YEAR(U1929)</f>
        <v/>
      </c>
      <c r="T1929" s="6">
        <f>MONTH(U1929)</f>
        <v/>
      </c>
      <c r="U1929" s="267">
        <f>IFERROR(__xludf.DUMMYFUNCTION("""COMPUTED_VALUE"""),45974.6458333333)</f>
        <v/>
      </c>
      <c r="V1929" s="6">
        <f>IFERROR(__xludf.DUMMYFUNCTION("""COMPUTED_VALUE"""),4170.63)</f>
        <v/>
      </c>
      <c r="Z1929" s="6">
        <f>AA1929&amp;AB1929</f>
        <v/>
      </c>
      <c r="AA1929" s="6">
        <f>YEAR(AC1929)</f>
        <v/>
      </c>
      <c r="AB1929" s="6">
        <f>MONTH(AC1929)</f>
        <v/>
      </c>
      <c r="AC1929" s="267">
        <f>IFERROR(__xludf.DUMMYFUNCTION("""COMPUTED_VALUE"""),45078.9986111111)</f>
        <v/>
      </c>
      <c r="AD1929" s="6">
        <f>IFERROR(__xludf.DUMMYFUNCTION("""COMPUTED_VALUE"""),1312.85)</f>
        <v/>
      </c>
      <c r="AH1929" s="6">
        <f>AI1929&amp;AJ1929</f>
        <v/>
      </c>
      <c r="AI1929" s="6">
        <f>YEAR(AK1929)</f>
        <v/>
      </c>
      <c r="AJ1929" s="6">
        <f>MONTH(AK1929)</f>
        <v/>
      </c>
      <c r="AK1929" s="267">
        <f>IFERROR(__xludf.DUMMYFUNCTION("""COMPUTED_VALUE"""),45022.9986111111)</f>
        <v/>
      </c>
      <c r="AL1929" s="6">
        <f>IFERROR(__xludf.DUMMYFUNCTION("""COMPUTED_VALUE"""),28044.15)</f>
        <v/>
      </c>
      <c r="AP1929" s="6">
        <f>AQ1929&amp;AR1929</f>
        <v/>
      </c>
      <c r="AQ1929" s="6">
        <f>YEAR(AS1929)</f>
        <v/>
      </c>
      <c r="AR1929" s="6">
        <f>MONTH(AS1929)</f>
        <v/>
      </c>
      <c r="AS1929" s="267">
        <f>IFERROR(__xludf.DUMMYFUNCTION("""COMPUTED_VALUE"""),45910.9986111111)</f>
        <v/>
      </c>
      <c r="AT1929" s="6">
        <f>IFERROR(__xludf.DUMMYFUNCTION("""COMPUTED_VALUE"""),3682)</f>
        <v/>
      </c>
    </row>
    <row r="1930">
      <c r="B1930" s="6">
        <f>C1930&amp;D1930</f>
        <v/>
      </c>
      <c r="C1930" s="6">
        <f>YEAR(E1930)</f>
        <v/>
      </c>
      <c r="D1930" s="6">
        <f>MONTH(E1930)</f>
        <v/>
      </c>
      <c r="E1930" s="267">
        <f>IFERROR(__xludf.DUMMYFUNCTION("""COMPUTED_VALUE"""),45904.6666666666)</f>
        <v/>
      </c>
      <c r="F1930" s="6">
        <f>IFERROR(__xludf.DUMMYFUNCTION("""COMPUTED_VALUE"""),6502.08)</f>
        <v/>
      </c>
      <c r="J1930" s="6">
        <f>K1930&amp;L1930</f>
        <v/>
      </c>
      <c r="K1930" s="6">
        <f>YEAR(M1930)</f>
        <v/>
      </c>
      <c r="L1930" s="6">
        <f>MONTH(M1930)</f>
        <v/>
      </c>
      <c r="M1930" s="267">
        <f>IFERROR(__xludf.DUMMYFUNCTION("""COMPUTED_VALUE"""),45896.6666666666)</f>
        <v/>
      </c>
      <c r="N1930" s="6">
        <f>IFERROR(__xludf.DUMMYFUNCTION("""COMPUTED_VALUE"""),21590.14)</f>
        <v/>
      </c>
      <c r="R1930" s="6">
        <f>S1930&amp;T1930</f>
        <v/>
      </c>
      <c r="S1930" s="6">
        <f>YEAR(U1930)</f>
        <v/>
      </c>
      <c r="T1930" s="6">
        <f>MONTH(U1930)</f>
        <v/>
      </c>
      <c r="U1930" s="267">
        <f>IFERROR(__xludf.DUMMYFUNCTION("""COMPUTED_VALUE"""),45975.6458333333)</f>
        <v/>
      </c>
      <c r="V1930" s="6">
        <f>IFERROR(__xludf.DUMMYFUNCTION("""COMPUTED_VALUE"""),4011.57)</f>
        <v/>
      </c>
      <c r="Z1930" s="6">
        <f>AA1930&amp;AB1930</f>
        <v/>
      </c>
      <c r="AA1930" s="6">
        <f>YEAR(AC1930)</f>
        <v/>
      </c>
      <c r="AB1930" s="6">
        <f>MONTH(AC1930)</f>
        <v/>
      </c>
      <c r="AC1930" s="267">
        <f>IFERROR(__xludf.DUMMYFUNCTION("""COMPUTED_VALUE"""),45079.9986111111)</f>
        <v/>
      </c>
      <c r="AD1930" s="6">
        <f>IFERROR(__xludf.DUMMYFUNCTION("""COMPUTED_VALUE"""),1305.15)</f>
        <v/>
      </c>
      <c r="AH1930" s="6">
        <f>AI1930&amp;AJ1930</f>
        <v/>
      </c>
      <c r="AI1930" s="6">
        <f>YEAR(AK1930)</f>
        <v/>
      </c>
      <c r="AJ1930" s="6">
        <f>MONTH(AK1930)</f>
        <v/>
      </c>
      <c r="AK1930" s="267">
        <f>IFERROR(__xludf.DUMMYFUNCTION("""COMPUTED_VALUE"""),45023.9986111111)</f>
        <v/>
      </c>
      <c r="AL1930" s="6">
        <f>IFERROR(__xludf.DUMMYFUNCTION("""COMPUTED_VALUE"""),27920.95)</f>
        <v/>
      </c>
      <c r="AP1930" s="6">
        <f>AQ1930&amp;AR1930</f>
        <v/>
      </c>
      <c r="AQ1930" s="6">
        <f>YEAR(AS1930)</f>
        <v/>
      </c>
      <c r="AR1930" s="6">
        <f>MONTH(AS1930)</f>
        <v/>
      </c>
      <c r="AS1930" s="267">
        <f>IFERROR(__xludf.DUMMYFUNCTION("""COMPUTED_VALUE"""),45911.9986111111)</f>
        <v/>
      </c>
      <c r="AT1930" s="6">
        <f>IFERROR(__xludf.DUMMYFUNCTION("""COMPUTED_VALUE"""),3673.6)</f>
        <v/>
      </c>
    </row>
    <row r="1931">
      <c r="B1931" s="6">
        <f>C1931&amp;D1931</f>
        <v/>
      </c>
      <c r="C1931" s="6">
        <f>YEAR(E1931)</f>
        <v/>
      </c>
      <c r="D1931" s="6">
        <f>MONTH(E1931)</f>
        <v/>
      </c>
      <c r="E1931" s="267">
        <f>IFERROR(__xludf.DUMMYFUNCTION("""COMPUTED_VALUE"""),45905.6666666666)</f>
        <v/>
      </c>
      <c r="F1931" s="6">
        <f>IFERROR(__xludf.DUMMYFUNCTION("""COMPUTED_VALUE"""),6481.5)</f>
        <v/>
      </c>
      <c r="J1931" s="6">
        <f>K1931&amp;L1931</f>
        <v/>
      </c>
      <c r="K1931" s="6">
        <f>YEAR(M1931)</f>
        <v/>
      </c>
      <c r="L1931" s="6">
        <f>MONTH(M1931)</f>
        <v/>
      </c>
      <c r="M1931" s="267">
        <f>IFERROR(__xludf.DUMMYFUNCTION("""COMPUTED_VALUE"""),45897.6666666666)</f>
        <v/>
      </c>
      <c r="N1931" s="6">
        <f>IFERROR(__xludf.DUMMYFUNCTION("""COMPUTED_VALUE"""),21705.16)</f>
        <v/>
      </c>
      <c r="R1931" s="6">
        <f>S1931&amp;T1931</f>
        <v/>
      </c>
      <c r="S1931" s="6">
        <f>YEAR(U1931)</f>
        <v/>
      </c>
      <c r="T1931" s="6">
        <f>MONTH(U1931)</f>
        <v/>
      </c>
      <c r="U1931" s="267">
        <f>IFERROR(__xludf.DUMMYFUNCTION("""COMPUTED_VALUE"""),45978.6458333333)</f>
        <v/>
      </c>
      <c r="V1931" s="6">
        <f>IFERROR(__xludf.DUMMYFUNCTION("""COMPUTED_VALUE"""),4089.25)</f>
        <v/>
      </c>
      <c r="Z1931" s="6">
        <f>AA1931&amp;AB1931</f>
        <v/>
      </c>
      <c r="AA1931" s="6">
        <f>YEAR(AC1931)</f>
        <v/>
      </c>
      <c r="AB1931" s="6">
        <f>MONTH(AC1931)</f>
        <v/>
      </c>
      <c r="AC1931" s="267">
        <f>IFERROR(__xludf.DUMMYFUNCTION("""COMPUTED_VALUE"""),45080.9986111111)</f>
        <v/>
      </c>
      <c r="AD1931" s="6">
        <f>IFERROR(__xludf.DUMMYFUNCTION("""COMPUTED_VALUE"""),1304.55)</f>
        <v/>
      </c>
      <c r="AH1931" s="6">
        <f>AI1931&amp;AJ1931</f>
        <v/>
      </c>
      <c r="AI1931" s="6">
        <f>YEAR(AK1931)</f>
        <v/>
      </c>
      <c r="AJ1931" s="6">
        <f>MONTH(AK1931)</f>
        <v/>
      </c>
      <c r="AK1931" s="267">
        <f>IFERROR(__xludf.DUMMYFUNCTION("""COMPUTED_VALUE"""),45024.9986111111)</f>
        <v/>
      </c>
      <c r="AL1931" s="6">
        <f>IFERROR(__xludf.DUMMYFUNCTION("""COMPUTED_VALUE"""),27952.19)</f>
        <v/>
      </c>
      <c r="AP1931" s="6">
        <f>AQ1931&amp;AR1931</f>
        <v/>
      </c>
      <c r="AQ1931" s="6">
        <f>YEAR(AS1931)</f>
        <v/>
      </c>
      <c r="AR1931" s="6">
        <f>MONTH(AS1931)</f>
        <v/>
      </c>
      <c r="AS1931" s="267">
        <f>IFERROR(__xludf.DUMMYFUNCTION("""COMPUTED_VALUE"""),45912.9986111111)</f>
        <v/>
      </c>
      <c r="AT1931" s="6">
        <f>IFERROR(__xludf.DUMMYFUNCTION("""COMPUTED_VALUE"""),3686.4)</f>
        <v/>
      </c>
    </row>
    <row r="1932">
      <c r="B1932" s="6">
        <f>C1932&amp;D1932</f>
        <v/>
      </c>
      <c r="C1932" s="6">
        <f>YEAR(E1932)</f>
        <v/>
      </c>
      <c r="D1932" s="6">
        <f>MONTH(E1932)</f>
        <v/>
      </c>
      <c r="E1932" s="267">
        <f>IFERROR(__xludf.DUMMYFUNCTION("""COMPUTED_VALUE"""),45908.6666666666)</f>
        <v/>
      </c>
      <c r="F1932" s="6">
        <f>IFERROR(__xludf.DUMMYFUNCTION("""COMPUTED_VALUE"""),6495.15)</f>
        <v/>
      </c>
      <c r="J1932" s="6">
        <f>K1932&amp;L1932</f>
        <v/>
      </c>
      <c r="K1932" s="6">
        <f>YEAR(M1932)</f>
        <v/>
      </c>
      <c r="L1932" s="6">
        <f>MONTH(M1932)</f>
        <v/>
      </c>
      <c r="M1932" s="267">
        <f>IFERROR(__xludf.DUMMYFUNCTION("""COMPUTED_VALUE"""),45898.6666666666)</f>
        <v/>
      </c>
      <c r="N1932" s="6">
        <f>IFERROR(__xludf.DUMMYFUNCTION("""COMPUTED_VALUE"""),21455.55)</f>
        <v/>
      </c>
      <c r="R1932" s="6">
        <f>S1932&amp;T1932</f>
        <v/>
      </c>
      <c r="S1932" s="6">
        <f>YEAR(U1932)</f>
        <v/>
      </c>
      <c r="T1932" s="6">
        <f>MONTH(U1932)</f>
        <v/>
      </c>
      <c r="U1932" s="267">
        <f>IFERROR(__xludf.DUMMYFUNCTION("""COMPUTED_VALUE"""),45979.6458333333)</f>
        <v/>
      </c>
      <c r="V1932" s="6">
        <f>IFERROR(__xludf.DUMMYFUNCTION("""COMPUTED_VALUE"""),3953.62)</f>
        <v/>
      </c>
      <c r="Z1932" s="6">
        <f>AA1932&amp;AB1932</f>
        <v/>
      </c>
      <c r="AA1932" s="6">
        <f>YEAR(AC1932)</f>
        <v/>
      </c>
      <c r="AB1932" s="6">
        <f>MONTH(AC1932)</f>
        <v/>
      </c>
      <c r="AC1932" s="267">
        <f>IFERROR(__xludf.DUMMYFUNCTION("""COMPUTED_VALUE"""),45081.9986111111)</f>
        <v/>
      </c>
      <c r="AD1932" s="6">
        <f>IFERROR(__xludf.DUMMYFUNCTION("""COMPUTED_VALUE"""),1305.14)</f>
        <v/>
      </c>
      <c r="AH1932" s="6">
        <f>AI1932&amp;AJ1932</f>
        <v/>
      </c>
      <c r="AI1932" s="6">
        <f>YEAR(AK1932)</f>
        <v/>
      </c>
      <c r="AJ1932" s="6">
        <f>MONTH(AK1932)</f>
        <v/>
      </c>
      <c r="AK1932" s="267">
        <f>IFERROR(__xludf.DUMMYFUNCTION("""COMPUTED_VALUE"""),45025.9986111111)</f>
        <v/>
      </c>
      <c r="AL1932" s="6">
        <f>IFERROR(__xludf.DUMMYFUNCTION("""COMPUTED_VALUE"""),28335.4)</f>
        <v/>
      </c>
      <c r="AP1932" s="6">
        <f>AQ1932&amp;AR1932</f>
        <v/>
      </c>
      <c r="AQ1932" s="6">
        <f>YEAR(AS1932)</f>
        <v/>
      </c>
      <c r="AR1932" s="6">
        <f>MONTH(AS1932)</f>
        <v/>
      </c>
      <c r="AS1932" s="267">
        <f>IFERROR(__xludf.DUMMYFUNCTION("""COMPUTED_VALUE"""),45915.9986111111)</f>
        <v/>
      </c>
      <c r="AT1932" s="6">
        <f>IFERROR(__xludf.DUMMYFUNCTION("""COMPUTED_VALUE"""),3719)</f>
        <v/>
      </c>
    </row>
    <row r="1933">
      <c r="B1933" s="6">
        <f>C1933&amp;D1933</f>
        <v/>
      </c>
      <c r="C1933" s="6">
        <f>YEAR(E1933)</f>
        <v/>
      </c>
      <c r="D1933" s="6">
        <f>MONTH(E1933)</f>
        <v/>
      </c>
      <c r="E1933" s="267">
        <f>IFERROR(__xludf.DUMMYFUNCTION("""COMPUTED_VALUE"""),45909.6666666666)</f>
        <v/>
      </c>
      <c r="F1933" s="6">
        <f>IFERROR(__xludf.DUMMYFUNCTION("""COMPUTED_VALUE"""),6512.61)</f>
        <v/>
      </c>
      <c r="J1933" s="6">
        <f>K1933&amp;L1933</f>
        <v/>
      </c>
      <c r="K1933" s="6">
        <f>YEAR(M1933)</f>
        <v/>
      </c>
      <c r="L1933" s="6">
        <f>MONTH(M1933)</f>
        <v/>
      </c>
      <c r="M1933" s="267">
        <f>IFERROR(__xludf.DUMMYFUNCTION("""COMPUTED_VALUE"""),45902.6666666666)</f>
        <v/>
      </c>
      <c r="N1933" s="6">
        <f>IFERROR(__xludf.DUMMYFUNCTION("""COMPUTED_VALUE"""),21279.63)</f>
        <v/>
      </c>
      <c r="R1933" s="6">
        <f>S1933&amp;T1933</f>
        <v/>
      </c>
      <c r="S1933" s="6">
        <f>YEAR(U1933)</f>
        <v/>
      </c>
      <c r="T1933" s="6">
        <f>MONTH(U1933)</f>
        <v/>
      </c>
      <c r="U1933" s="267">
        <f>IFERROR(__xludf.DUMMYFUNCTION("""COMPUTED_VALUE"""),45980.6458333333)</f>
        <v/>
      </c>
      <c r="V1933" s="6">
        <f>IFERROR(__xludf.DUMMYFUNCTION("""COMPUTED_VALUE"""),3929.51)</f>
        <v/>
      </c>
      <c r="Z1933" s="6">
        <f>AA1933&amp;AB1933</f>
        <v/>
      </c>
      <c r="AA1933" s="6">
        <f>YEAR(AC1933)</f>
        <v/>
      </c>
      <c r="AB1933" s="6">
        <f>MONTH(AC1933)</f>
        <v/>
      </c>
      <c r="AC1933" s="267">
        <f>IFERROR(__xludf.DUMMYFUNCTION("""COMPUTED_VALUE"""),45082.9986111111)</f>
        <v/>
      </c>
      <c r="AD1933" s="6">
        <f>IFERROR(__xludf.DUMMYFUNCTION("""COMPUTED_VALUE"""),1299.79)</f>
        <v/>
      </c>
      <c r="AH1933" s="6">
        <f>AI1933&amp;AJ1933</f>
        <v/>
      </c>
      <c r="AI1933" s="6">
        <f>YEAR(AK1933)</f>
        <v/>
      </c>
      <c r="AJ1933" s="6">
        <f>MONTH(AK1933)</f>
        <v/>
      </c>
      <c r="AK1933" s="267">
        <f>IFERROR(__xludf.DUMMYFUNCTION("""COMPUTED_VALUE"""),45026.9986111111)</f>
        <v/>
      </c>
      <c r="AL1933" s="6">
        <f>IFERROR(__xludf.DUMMYFUNCTION("""COMPUTED_VALUE"""),29651.67)</f>
        <v/>
      </c>
      <c r="AP1933" s="6">
        <f>AQ1933&amp;AR1933</f>
        <v/>
      </c>
      <c r="AQ1933" s="6">
        <f>YEAR(AS1933)</f>
        <v/>
      </c>
      <c r="AR1933" s="6">
        <f>MONTH(AS1933)</f>
        <v/>
      </c>
      <c r="AS1933" s="267">
        <f>IFERROR(__xludf.DUMMYFUNCTION("""COMPUTED_VALUE"""),45916.9986111111)</f>
        <v/>
      </c>
      <c r="AT1933" s="6">
        <f>IFERROR(__xludf.DUMMYFUNCTION("""COMPUTED_VALUE"""),3725.1)</f>
        <v/>
      </c>
    </row>
    <row r="1934">
      <c r="B1934" s="6">
        <f>C1934&amp;D1934</f>
        <v/>
      </c>
      <c r="C1934" s="6">
        <f>YEAR(E1934)</f>
        <v/>
      </c>
      <c r="D1934" s="6">
        <f>MONTH(E1934)</f>
        <v/>
      </c>
      <c r="E1934" s="267">
        <f>IFERROR(__xludf.DUMMYFUNCTION("""COMPUTED_VALUE"""),45910.6666666666)</f>
        <v/>
      </c>
      <c r="F1934" s="6">
        <f>IFERROR(__xludf.DUMMYFUNCTION("""COMPUTED_VALUE"""),6532.04)</f>
        <v/>
      </c>
      <c r="J1934" s="6">
        <f>K1934&amp;L1934</f>
        <v/>
      </c>
      <c r="K1934" s="6">
        <f>YEAR(M1934)</f>
        <v/>
      </c>
      <c r="L1934" s="6">
        <f>MONTH(M1934)</f>
        <v/>
      </c>
      <c r="M1934" s="267">
        <f>IFERROR(__xludf.DUMMYFUNCTION("""COMPUTED_VALUE"""),45903.6666666666)</f>
        <v/>
      </c>
      <c r="N1934" s="6">
        <f>IFERROR(__xludf.DUMMYFUNCTION("""COMPUTED_VALUE"""),21497.73)</f>
        <v/>
      </c>
      <c r="R1934" s="6">
        <f>S1934&amp;T1934</f>
        <v/>
      </c>
      <c r="S1934" s="6">
        <f>YEAR(U1934)</f>
        <v/>
      </c>
      <c r="T1934" s="6">
        <f>MONTH(U1934)</f>
        <v/>
      </c>
      <c r="U1934" s="267">
        <f>IFERROR(__xludf.DUMMYFUNCTION("""COMPUTED_VALUE"""),45981.6458333333)</f>
        <v/>
      </c>
      <c r="V1934" s="6">
        <f>IFERROR(__xludf.DUMMYFUNCTION("""COMPUTED_VALUE"""),4004.85)</f>
        <v/>
      </c>
      <c r="Z1934" s="6">
        <f>AA1934&amp;AB1934</f>
        <v/>
      </c>
      <c r="AA1934" s="6">
        <f>YEAR(AC1934)</f>
        <v/>
      </c>
      <c r="AB1934" s="6">
        <f>MONTH(AC1934)</f>
        <v/>
      </c>
      <c r="AC1934" s="267">
        <f>IFERROR(__xludf.DUMMYFUNCTION("""COMPUTED_VALUE"""),45083.9986111111)</f>
        <v/>
      </c>
      <c r="AD1934" s="6">
        <f>IFERROR(__xludf.DUMMYFUNCTION("""COMPUTED_VALUE"""),1299.2)</f>
        <v/>
      </c>
      <c r="AH1934" s="6">
        <f>AI1934&amp;AJ1934</f>
        <v/>
      </c>
      <c r="AI1934" s="6">
        <f>YEAR(AK1934)</f>
        <v/>
      </c>
      <c r="AJ1934" s="6">
        <f>MONTH(AK1934)</f>
        <v/>
      </c>
      <c r="AK1934" s="267">
        <f>IFERROR(__xludf.DUMMYFUNCTION("""COMPUTED_VALUE"""),45027.9986111111)</f>
        <v/>
      </c>
      <c r="AL1934" s="6">
        <f>IFERROR(__xludf.DUMMYFUNCTION("""COMPUTED_VALUE"""),30222.64)</f>
        <v/>
      </c>
      <c r="AP1934" s="6">
        <f>AQ1934&amp;AR1934</f>
        <v/>
      </c>
      <c r="AQ1934" s="6">
        <f>YEAR(AS1934)</f>
        <v/>
      </c>
      <c r="AR1934" s="6">
        <f>MONTH(AS1934)</f>
        <v/>
      </c>
      <c r="AS1934" s="267">
        <f>IFERROR(__xludf.DUMMYFUNCTION("""COMPUTED_VALUE"""),45917.9986111111)</f>
        <v/>
      </c>
      <c r="AT1934" s="6">
        <f>IFERROR(__xludf.DUMMYFUNCTION("""COMPUTED_VALUE"""),3717.8)</f>
        <v/>
      </c>
    </row>
    <row r="1935">
      <c r="B1935" s="6">
        <f>C1935&amp;D1935</f>
        <v/>
      </c>
      <c r="C1935" s="6">
        <f>YEAR(E1935)</f>
        <v/>
      </c>
      <c r="D1935" s="6">
        <f>MONTH(E1935)</f>
        <v/>
      </c>
      <c r="E1935" s="267">
        <f>IFERROR(__xludf.DUMMYFUNCTION("""COMPUTED_VALUE"""),45911.6666666666)</f>
        <v/>
      </c>
      <c r="F1935" s="6">
        <f>IFERROR(__xludf.DUMMYFUNCTION("""COMPUTED_VALUE"""),6587.47)</f>
        <v/>
      </c>
      <c r="J1935" s="6">
        <f>K1935&amp;L1935</f>
        <v/>
      </c>
      <c r="K1935" s="6">
        <f>YEAR(M1935)</f>
        <v/>
      </c>
      <c r="L1935" s="6">
        <f>MONTH(M1935)</f>
        <v/>
      </c>
      <c r="M1935" s="267">
        <f>IFERROR(__xludf.DUMMYFUNCTION("""COMPUTED_VALUE"""),45904.6666666666)</f>
        <v/>
      </c>
      <c r="N1935" s="6">
        <f>IFERROR(__xludf.DUMMYFUNCTION("""COMPUTED_VALUE"""),21707.69)</f>
        <v/>
      </c>
      <c r="R1935" s="6">
        <f>S1935&amp;T1935</f>
        <v/>
      </c>
      <c r="S1935" s="6">
        <f>YEAR(U1935)</f>
        <v/>
      </c>
      <c r="T1935" s="6">
        <f>MONTH(U1935)</f>
        <v/>
      </c>
      <c r="U1935" s="267">
        <f>IFERROR(__xludf.DUMMYFUNCTION("""COMPUTED_VALUE"""),45982.6458333333)</f>
        <v/>
      </c>
      <c r="V1935" s="6">
        <f>IFERROR(__xludf.DUMMYFUNCTION("""COMPUTED_VALUE"""),3853.26)</f>
        <v/>
      </c>
      <c r="Z1935" s="6">
        <f>AA1935&amp;AB1935</f>
        <v/>
      </c>
      <c r="AA1935" s="6">
        <f>YEAR(AC1935)</f>
        <v/>
      </c>
      <c r="AB1935" s="6">
        <f>MONTH(AC1935)</f>
        <v/>
      </c>
      <c r="AC1935" s="267">
        <f>IFERROR(__xludf.DUMMYFUNCTION("""COMPUTED_VALUE"""),45084.9986111111)</f>
        <v/>
      </c>
      <c r="AD1935" s="6">
        <f>IFERROR(__xludf.DUMMYFUNCTION("""COMPUTED_VALUE"""),1308.34)</f>
        <v/>
      </c>
      <c r="AH1935" s="6">
        <f>AI1935&amp;AJ1935</f>
        <v/>
      </c>
      <c r="AI1935" s="6">
        <f>YEAR(AK1935)</f>
        <v/>
      </c>
      <c r="AJ1935" s="6">
        <f>MONTH(AK1935)</f>
        <v/>
      </c>
      <c r="AK1935" s="267">
        <f>IFERROR(__xludf.DUMMYFUNCTION("""COMPUTED_VALUE"""),45028.9986111111)</f>
        <v/>
      </c>
      <c r="AL1935" s="6">
        <f>IFERROR(__xludf.DUMMYFUNCTION("""COMPUTED_VALUE"""),29896.73)</f>
        <v/>
      </c>
      <c r="AP1935" s="6">
        <f>AQ1935&amp;AR1935</f>
        <v/>
      </c>
      <c r="AQ1935" s="6">
        <f>YEAR(AS1935)</f>
        <v/>
      </c>
      <c r="AR1935" s="6">
        <f>MONTH(AS1935)</f>
        <v/>
      </c>
      <c r="AS1935" s="267">
        <f>IFERROR(__xludf.DUMMYFUNCTION("""COMPUTED_VALUE"""),45918.9986111111)</f>
        <v/>
      </c>
      <c r="AT1935" s="6">
        <f>IFERROR(__xludf.DUMMYFUNCTION("""COMPUTED_VALUE"""),3678.3)</f>
        <v/>
      </c>
    </row>
    <row r="1936">
      <c r="B1936" s="6">
        <f>C1936&amp;D1936</f>
        <v/>
      </c>
      <c r="C1936" s="6">
        <f>YEAR(E1936)</f>
        <v/>
      </c>
      <c r="D1936" s="6">
        <f>MONTH(E1936)</f>
        <v/>
      </c>
      <c r="E1936" s="267">
        <f>IFERROR(__xludf.DUMMYFUNCTION("""COMPUTED_VALUE"""),45912.6666666666)</f>
        <v/>
      </c>
      <c r="F1936" s="6">
        <f>IFERROR(__xludf.DUMMYFUNCTION("""COMPUTED_VALUE"""),6584.29)</f>
        <v/>
      </c>
      <c r="J1936" s="6">
        <f>K1936&amp;L1936</f>
        <v/>
      </c>
      <c r="K1936" s="6">
        <f>YEAR(M1936)</f>
        <v/>
      </c>
      <c r="L1936" s="6">
        <f>MONTH(M1936)</f>
        <v/>
      </c>
      <c r="M1936" s="267">
        <f>IFERROR(__xludf.DUMMYFUNCTION("""COMPUTED_VALUE"""),45905.6666666666)</f>
        <v/>
      </c>
      <c r="N1936" s="6">
        <f>IFERROR(__xludf.DUMMYFUNCTION("""COMPUTED_VALUE"""),21700.39)</f>
        <v/>
      </c>
      <c r="R1936" s="6">
        <f>S1936&amp;T1936</f>
        <v/>
      </c>
      <c r="S1936" s="6">
        <f>YEAR(U1936)</f>
        <v/>
      </c>
      <c r="T1936" s="6">
        <f>MONTH(U1936)</f>
        <v/>
      </c>
      <c r="U1936" s="267">
        <f>IFERROR(__xludf.DUMMYFUNCTION("""COMPUTED_VALUE"""),45985.6458333333)</f>
        <v/>
      </c>
      <c r="V1936" s="6">
        <f>IFERROR(__xludf.DUMMYFUNCTION("""COMPUTED_VALUE"""),3846.06)</f>
        <v/>
      </c>
      <c r="Z1936" s="6">
        <f>AA1936&amp;AB1936</f>
        <v/>
      </c>
      <c r="AA1936" s="6">
        <f>YEAR(AC1936)</f>
        <v/>
      </c>
      <c r="AB1936" s="6">
        <f>MONTH(AC1936)</f>
        <v/>
      </c>
      <c r="AC1936" s="267">
        <f>IFERROR(__xludf.DUMMYFUNCTION("""COMPUTED_VALUE"""),45085.9986111111)</f>
        <v/>
      </c>
      <c r="AD1936" s="6">
        <f>IFERROR(__xludf.DUMMYFUNCTION("""COMPUTED_VALUE"""),1296.33)</f>
        <v/>
      </c>
      <c r="AH1936" s="6">
        <f>AI1936&amp;AJ1936</f>
        <v/>
      </c>
      <c r="AI1936" s="6">
        <f>YEAR(AK1936)</f>
        <v/>
      </c>
      <c r="AJ1936" s="6">
        <f>MONTH(AK1936)</f>
        <v/>
      </c>
      <c r="AK1936" s="267">
        <f>IFERROR(__xludf.DUMMYFUNCTION("""COMPUTED_VALUE"""),45029.9986111111)</f>
        <v/>
      </c>
      <c r="AL1936" s="6">
        <f>IFERROR(__xludf.DUMMYFUNCTION("""COMPUTED_VALUE"""),30394.77)</f>
        <v/>
      </c>
      <c r="AP1936" s="6">
        <f>AQ1936&amp;AR1936</f>
        <v/>
      </c>
      <c r="AQ1936" s="6">
        <f>YEAR(AS1936)</f>
        <v/>
      </c>
      <c r="AR1936" s="6">
        <f>MONTH(AS1936)</f>
        <v/>
      </c>
      <c r="AS1936" s="267">
        <f>IFERROR(__xludf.DUMMYFUNCTION("""COMPUTED_VALUE"""),45919.9986111111)</f>
        <v/>
      </c>
      <c r="AT1936" s="6">
        <f>IFERROR(__xludf.DUMMYFUNCTION("""COMPUTED_VALUE"""),3705.8)</f>
        <v/>
      </c>
    </row>
    <row r="1937">
      <c r="B1937" s="6">
        <f>C1937&amp;D1937</f>
        <v/>
      </c>
      <c r="C1937" s="6">
        <f>YEAR(E1937)</f>
        <v/>
      </c>
      <c r="D1937" s="6">
        <f>MONTH(E1937)</f>
        <v/>
      </c>
      <c r="E1937" s="267">
        <f>IFERROR(__xludf.DUMMYFUNCTION("""COMPUTED_VALUE"""),45915.6666666666)</f>
        <v/>
      </c>
      <c r="F1937" s="6">
        <f>IFERROR(__xludf.DUMMYFUNCTION("""COMPUTED_VALUE"""),6615.28)</f>
        <v/>
      </c>
      <c r="J1937" s="6">
        <f>K1937&amp;L1937</f>
        <v/>
      </c>
      <c r="K1937" s="6">
        <f>YEAR(M1937)</f>
        <v/>
      </c>
      <c r="L1937" s="6">
        <f>MONTH(M1937)</f>
        <v/>
      </c>
      <c r="M1937" s="267">
        <f>IFERROR(__xludf.DUMMYFUNCTION("""COMPUTED_VALUE"""),45908.6666666666)</f>
        <v/>
      </c>
      <c r="N1937" s="6">
        <f>IFERROR(__xludf.DUMMYFUNCTION("""COMPUTED_VALUE"""),21798.7)</f>
        <v/>
      </c>
      <c r="R1937" s="6">
        <f>S1937&amp;T1937</f>
        <v/>
      </c>
      <c r="S1937" s="6">
        <f>YEAR(U1937)</f>
        <v/>
      </c>
      <c r="T1937" s="6">
        <f>MONTH(U1937)</f>
        <v/>
      </c>
      <c r="U1937" s="267">
        <f>IFERROR(__xludf.DUMMYFUNCTION("""COMPUTED_VALUE"""),45986.6458333333)</f>
        <v/>
      </c>
      <c r="V1937" s="6">
        <f>IFERROR(__xludf.DUMMYFUNCTION("""COMPUTED_VALUE"""),3857.78)</f>
        <v/>
      </c>
      <c r="Z1937" s="6">
        <f>AA1937&amp;AB1937</f>
        <v/>
      </c>
      <c r="AA1937" s="6">
        <f>YEAR(AC1937)</f>
        <v/>
      </c>
      <c r="AB1937" s="6">
        <f>MONTH(AC1937)</f>
        <v/>
      </c>
      <c r="AC1937" s="267">
        <f>IFERROR(__xludf.DUMMYFUNCTION("""COMPUTED_VALUE"""),45086.9986111111)</f>
        <v/>
      </c>
      <c r="AD1937" s="6">
        <f>IFERROR(__xludf.DUMMYFUNCTION("""COMPUTED_VALUE"""),1287.26)</f>
        <v/>
      </c>
      <c r="AH1937" s="6">
        <f>AI1937&amp;AJ1937</f>
        <v/>
      </c>
      <c r="AI1937" s="6">
        <f>YEAR(AK1937)</f>
        <v/>
      </c>
      <c r="AJ1937" s="6">
        <f>MONTH(AK1937)</f>
        <v/>
      </c>
      <c r="AK1937" s="267">
        <f>IFERROR(__xludf.DUMMYFUNCTION("""COMPUTED_VALUE"""),45030.9986111111)</f>
        <v/>
      </c>
      <c r="AL1937" s="6">
        <f>IFERROR(__xludf.DUMMYFUNCTION("""COMPUTED_VALUE"""),30479.65)</f>
        <v/>
      </c>
      <c r="AP1937" s="6">
        <f>AQ1937&amp;AR1937</f>
        <v/>
      </c>
      <c r="AQ1937" s="6">
        <f>YEAR(AS1937)</f>
        <v/>
      </c>
      <c r="AR1937" s="6">
        <f>MONTH(AS1937)</f>
        <v/>
      </c>
      <c r="AS1937" s="267">
        <f>IFERROR(__xludf.DUMMYFUNCTION("""COMPUTED_VALUE"""),45922.9986111111)</f>
        <v/>
      </c>
      <c r="AT1937" s="6">
        <f>IFERROR(__xludf.DUMMYFUNCTION("""COMPUTED_VALUE"""),3775.1)</f>
        <v/>
      </c>
    </row>
    <row r="1938">
      <c r="B1938" s="6">
        <f>C1938&amp;D1938</f>
        <v/>
      </c>
      <c r="C1938" s="6">
        <f>YEAR(E1938)</f>
        <v/>
      </c>
      <c r="D1938" s="6">
        <f>MONTH(E1938)</f>
        <v/>
      </c>
      <c r="E1938" s="267">
        <f>IFERROR(__xludf.DUMMYFUNCTION("""COMPUTED_VALUE"""),45916.6666666666)</f>
        <v/>
      </c>
      <c r="F1938" s="6">
        <f>IFERROR(__xludf.DUMMYFUNCTION("""COMPUTED_VALUE"""),6606.76)</f>
        <v/>
      </c>
      <c r="J1938" s="6">
        <f>K1938&amp;L1938</f>
        <v/>
      </c>
      <c r="K1938" s="6">
        <f>YEAR(M1938)</f>
        <v/>
      </c>
      <c r="L1938" s="6">
        <f>MONTH(M1938)</f>
        <v/>
      </c>
      <c r="M1938" s="267">
        <f>IFERROR(__xludf.DUMMYFUNCTION("""COMPUTED_VALUE"""),45909.6666666666)</f>
        <v/>
      </c>
      <c r="N1938" s="6">
        <f>IFERROR(__xludf.DUMMYFUNCTION("""COMPUTED_VALUE"""),21879.49)</f>
        <v/>
      </c>
      <c r="R1938" s="6">
        <f>S1938&amp;T1938</f>
        <v/>
      </c>
      <c r="S1938" s="6">
        <f>YEAR(U1938)</f>
        <v/>
      </c>
      <c r="T1938" s="6">
        <f>MONTH(U1938)</f>
        <v/>
      </c>
      <c r="U1938" s="267">
        <f>IFERROR(__xludf.DUMMYFUNCTION("""COMPUTED_VALUE"""),45987.6458333333)</f>
        <v/>
      </c>
      <c r="V1938" s="6">
        <f>IFERROR(__xludf.DUMMYFUNCTION("""COMPUTED_VALUE"""),3960.87)</f>
        <v/>
      </c>
      <c r="Z1938" s="6">
        <f>AA1938&amp;AB1938</f>
        <v/>
      </c>
      <c r="AA1938" s="6">
        <f>YEAR(AC1938)</f>
        <v/>
      </c>
      <c r="AB1938" s="6">
        <f>MONTH(AC1938)</f>
        <v/>
      </c>
      <c r="AC1938" s="267">
        <f>IFERROR(__xludf.DUMMYFUNCTION("""COMPUTED_VALUE"""),45087.9986111111)</f>
        <v/>
      </c>
      <c r="AD1938" s="6">
        <f>IFERROR(__xludf.DUMMYFUNCTION("""COMPUTED_VALUE"""),1286.86)</f>
        <v/>
      </c>
      <c r="AH1938" s="6">
        <f>AI1938&amp;AJ1938</f>
        <v/>
      </c>
      <c r="AI1938" s="6">
        <f>YEAR(AK1938)</f>
        <v/>
      </c>
      <c r="AJ1938" s="6">
        <f>MONTH(AK1938)</f>
        <v/>
      </c>
      <c r="AK1938" s="267">
        <f>IFERROR(__xludf.DUMMYFUNCTION("""COMPUTED_VALUE"""),45031.9986111111)</f>
        <v/>
      </c>
      <c r="AL1938" s="6">
        <f>IFERROR(__xludf.DUMMYFUNCTION("""COMPUTED_VALUE"""),30312.92)</f>
        <v/>
      </c>
      <c r="AP1938" s="6">
        <f>AQ1938&amp;AR1938</f>
        <v/>
      </c>
      <c r="AQ1938" s="6">
        <f>YEAR(AS1938)</f>
        <v/>
      </c>
      <c r="AR1938" s="6">
        <f>MONTH(AS1938)</f>
        <v/>
      </c>
      <c r="AS1938" s="267">
        <f>IFERROR(__xludf.DUMMYFUNCTION("""COMPUTED_VALUE"""),45923.9986111111)</f>
        <v/>
      </c>
      <c r="AT1938" s="6">
        <f>IFERROR(__xludf.DUMMYFUNCTION("""COMPUTED_VALUE"""),3815.7)</f>
        <v/>
      </c>
    </row>
    <row r="1939">
      <c r="B1939" s="6">
        <f>C1939&amp;D1939</f>
        <v/>
      </c>
      <c r="C1939" s="6">
        <f>YEAR(E1939)</f>
        <v/>
      </c>
      <c r="D1939" s="6">
        <f>MONTH(E1939)</f>
        <v/>
      </c>
      <c r="E1939" s="267">
        <f>IFERROR(__xludf.DUMMYFUNCTION("""COMPUTED_VALUE"""),45917.6666666666)</f>
        <v/>
      </c>
      <c r="F1939" s="6">
        <f>IFERROR(__xludf.DUMMYFUNCTION("""COMPUTED_VALUE"""),6600.35)</f>
        <v/>
      </c>
      <c r="J1939" s="6">
        <f>K1939&amp;L1939</f>
        <v/>
      </c>
      <c r="K1939" s="6">
        <f>YEAR(M1939)</f>
        <v/>
      </c>
      <c r="L1939" s="6">
        <f>MONTH(M1939)</f>
        <v/>
      </c>
      <c r="M1939" s="267">
        <f>IFERROR(__xludf.DUMMYFUNCTION("""COMPUTED_VALUE"""),45910.6666666666)</f>
        <v/>
      </c>
      <c r="N1939" s="6">
        <f>IFERROR(__xludf.DUMMYFUNCTION("""COMPUTED_VALUE"""),21886.06)</f>
        <v/>
      </c>
      <c r="R1939" s="6">
        <f>S1939&amp;T1939</f>
        <v/>
      </c>
      <c r="S1939" s="6">
        <f>YEAR(U1939)</f>
        <v/>
      </c>
      <c r="T1939" s="6">
        <f>MONTH(U1939)</f>
        <v/>
      </c>
      <c r="U1939" s="267">
        <f>IFERROR(__xludf.DUMMYFUNCTION("""COMPUTED_VALUE"""),45988.6458333333)</f>
        <v/>
      </c>
      <c r="V1939" s="6">
        <f>IFERROR(__xludf.DUMMYFUNCTION("""COMPUTED_VALUE"""),3986.91)</f>
        <v/>
      </c>
      <c r="Z1939" s="6">
        <f>AA1939&amp;AB1939</f>
        <v/>
      </c>
      <c r="AA1939" s="6">
        <f>YEAR(AC1939)</f>
        <v/>
      </c>
      <c r="AB1939" s="6">
        <f>MONTH(AC1939)</f>
        <v/>
      </c>
      <c r="AC1939" s="267">
        <f>IFERROR(__xludf.DUMMYFUNCTION("""COMPUTED_VALUE"""),45088.9986111111)</f>
        <v/>
      </c>
      <c r="AD1939" s="6">
        <f>IFERROR(__xludf.DUMMYFUNCTION("""COMPUTED_VALUE"""),1286.69)</f>
        <v/>
      </c>
      <c r="AH1939" s="6">
        <f>AI1939&amp;AJ1939</f>
        <v/>
      </c>
      <c r="AI1939" s="6">
        <f>YEAR(AK1939)</f>
        <v/>
      </c>
      <c r="AJ1939" s="6">
        <f>MONTH(AK1939)</f>
        <v/>
      </c>
      <c r="AK1939" s="267">
        <f>IFERROR(__xludf.DUMMYFUNCTION("""COMPUTED_VALUE"""),45032.9986111111)</f>
        <v/>
      </c>
      <c r="AL1939" s="6">
        <f>IFERROR(__xludf.DUMMYFUNCTION("""COMPUTED_VALUE"""),30313.36)</f>
        <v/>
      </c>
      <c r="AP1939" s="6">
        <f>AQ1939&amp;AR1939</f>
        <v/>
      </c>
      <c r="AQ1939" s="6">
        <f>YEAR(AS1939)</f>
        <v/>
      </c>
      <c r="AR1939" s="6">
        <f>MONTH(AS1939)</f>
        <v/>
      </c>
      <c r="AS1939" s="267">
        <f>IFERROR(__xludf.DUMMYFUNCTION("""COMPUTED_VALUE"""),45924.9986111111)</f>
        <v/>
      </c>
      <c r="AT1939" s="6">
        <f>IFERROR(__xludf.DUMMYFUNCTION("""COMPUTED_VALUE"""),3768.1)</f>
        <v/>
      </c>
    </row>
    <row r="1940">
      <c r="B1940" s="6">
        <f>C1940&amp;D1940</f>
        <v/>
      </c>
      <c r="C1940" s="6">
        <f>YEAR(E1940)</f>
        <v/>
      </c>
      <c r="D1940" s="6">
        <f>MONTH(E1940)</f>
        <v/>
      </c>
      <c r="E1940" s="267">
        <f>IFERROR(__xludf.DUMMYFUNCTION("""COMPUTED_VALUE"""),45918.6666666666)</f>
        <v/>
      </c>
      <c r="F1940" s="6">
        <f>IFERROR(__xludf.DUMMYFUNCTION("""COMPUTED_VALUE"""),6631.96)</f>
        <v/>
      </c>
      <c r="J1940" s="6">
        <f>K1940&amp;L1940</f>
        <v/>
      </c>
      <c r="K1940" s="6">
        <f>YEAR(M1940)</f>
        <v/>
      </c>
      <c r="L1940" s="6">
        <f>MONTH(M1940)</f>
        <v/>
      </c>
      <c r="M1940" s="267">
        <f>IFERROR(__xludf.DUMMYFUNCTION("""COMPUTED_VALUE"""),45911.6666666666)</f>
        <v/>
      </c>
      <c r="N1940" s="6">
        <f>IFERROR(__xludf.DUMMYFUNCTION("""COMPUTED_VALUE"""),22043.08)</f>
        <v/>
      </c>
      <c r="R1940" s="6">
        <f>S1940&amp;T1940</f>
        <v/>
      </c>
      <c r="S1940" s="6">
        <f>YEAR(U1940)</f>
        <v/>
      </c>
      <c r="T1940" s="6">
        <f>MONTH(U1940)</f>
        <v/>
      </c>
      <c r="U1940" s="267">
        <f>IFERROR(__xludf.DUMMYFUNCTION("""COMPUTED_VALUE"""),45989.6458333333)</f>
        <v/>
      </c>
      <c r="V1940" s="6">
        <f>IFERROR(__xludf.DUMMYFUNCTION("""COMPUTED_VALUE"""),3926.59)</f>
        <v/>
      </c>
      <c r="Z1940" s="6">
        <f>AA1940&amp;AB1940</f>
        <v/>
      </c>
      <c r="AA1940" s="6">
        <f>YEAR(AC1940)</f>
        <v/>
      </c>
      <c r="AB1940" s="6">
        <f>MONTH(AC1940)</f>
        <v/>
      </c>
      <c r="AC1940" s="267">
        <f>IFERROR(__xludf.DUMMYFUNCTION("""COMPUTED_VALUE"""),45089.9986111111)</f>
        <v/>
      </c>
      <c r="AD1940" s="6">
        <f>IFERROR(__xludf.DUMMYFUNCTION("""COMPUTED_VALUE"""),1284.58)</f>
        <v/>
      </c>
      <c r="AH1940" s="6">
        <f>AI1940&amp;AJ1940</f>
        <v/>
      </c>
      <c r="AI1940" s="6">
        <f>YEAR(AK1940)</f>
        <v/>
      </c>
      <c r="AJ1940" s="6">
        <f>MONTH(AK1940)</f>
        <v/>
      </c>
      <c r="AK1940" s="267">
        <f>IFERROR(__xludf.DUMMYFUNCTION("""COMPUTED_VALUE"""),45033.9986111111)</f>
        <v/>
      </c>
      <c r="AL1940" s="6">
        <f>IFERROR(__xludf.DUMMYFUNCTION("""COMPUTED_VALUE"""),29443.38)</f>
        <v/>
      </c>
      <c r="AP1940" s="6">
        <f>AQ1940&amp;AR1940</f>
        <v/>
      </c>
      <c r="AQ1940" s="6">
        <f>YEAR(AS1940)</f>
        <v/>
      </c>
      <c r="AR1940" s="6">
        <f>MONTH(AS1940)</f>
        <v/>
      </c>
      <c r="AS1940" s="267">
        <f>IFERROR(__xludf.DUMMYFUNCTION("""COMPUTED_VALUE"""),45925.9986111111)</f>
        <v/>
      </c>
      <c r="AT1940" s="6">
        <f>IFERROR(__xludf.DUMMYFUNCTION("""COMPUTED_VALUE"""),3771.1)</f>
        <v/>
      </c>
    </row>
    <row r="1941">
      <c r="B1941" s="6">
        <f>C1941&amp;D1941</f>
        <v/>
      </c>
      <c r="C1941" s="6">
        <f>YEAR(E1941)</f>
        <v/>
      </c>
      <c r="D1941" s="6">
        <f>MONTH(E1941)</f>
        <v/>
      </c>
      <c r="E1941" s="267">
        <f>IFERROR(__xludf.DUMMYFUNCTION("""COMPUTED_VALUE"""),45919.6666666666)</f>
        <v/>
      </c>
      <c r="F1941" s="6">
        <f>IFERROR(__xludf.DUMMYFUNCTION("""COMPUTED_VALUE"""),6664.36)</f>
        <v/>
      </c>
      <c r="J1941" s="6">
        <f>K1941&amp;L1941</f>
        <v/>
      </c>
      <c r="K1941" s="6">
        <f>YEAR(M1941)</f>
        <v/>
      </c>
      <c r="L1941" s="6">
        <f>MONTH(M1941)</f>
        <v/>
      </c>
      <c r="M1941" s="267">
        <f>IFERROR(__xludf.DUMMYFUNCTION("""COMPUTED_VALUE"""),45912.6666666666)</f>
        <v/>
      </c>
      <c r="N1941" s="6">
        <f>IFERROR(__xludf.DUMMYFUNCTION("""COMPUTED_VALUE"""),22141.1)</f>
        <v/>
      </c>
      <c r="R1941" s="6">
        <f>S1941&amp;T1941</f>
        <v/>
      </c>
      <c r="S1941" s="6">
        <f>YEAR(U1941)</f>
        <v/>
      </c>
      <c r="T1941" s="6">
        <f>MONTH(U1941)</f>
        <v/>
      </c>
      <c r="U1941" s="267">
        <f>IFERROR(__xludf.DUMMYFUNCTION("""COMPUTED_VALUE"""),45992.6458333333)</f>
        <v/>
      </c>
      <c r="V1941" s="6">
        <f>IFERROR(__xludf.DUMMYFUNCTION("""COMPUTED_VALUE"""),3920.37)</f>
        <v/>
      </c>
      <c r="Z1941" s="6">
        <f>AA1941&amp;AB1941</f>
        <v/>
      </c>
      <c r="AA1941" s="6">
        <f>YEAR(AC1941)</f>
        <v/>
      </c>
      <c r="AB1941" s="6">
        <f>MONTH(AC1941)</f>
        <v/>
      </c>
      <c r="AC1941" s="267">
        <f>IFERROR(__xludf.DUMMYFUNCTION("""COMPUTED_VALUE"""),45090.9986111111)</f>
        <v/>
      </c>
      <c r="AD1941" s="6">
        <f>IFERROR(__xludf.DUMMYFUNCTION("""COMPUTED_VALUE"""),1267.62)</f>
        <v/>
      </c>
      <c r="AH1941" s="6">
        <f>AI1941&amp;AJ1941</f>
        <v/>
      </c>
      <c r="AI1941" s="6">
        <f>YEAR(AK1941)</f>
        <v/>
      </c>
      <c r="AJ1941" s="6">
        <f>MONTH(AK1941)</f>
        <v/>
      </c>
      <c r="AK1941" s="267">
        <f>IFERROR(__xludf.DUMMYFUNCTION("""COMPUTED_VALUE"""),45034.9986111111)</f>
        <v/>
      </c>
      <c r="AL1941" s="6">
        <f>IFERROR(__xludf.DUMMYFUNCTION("""COMPUTED_VALUE"""),30389.2)</f>
        <v/>
      </c>
      <c r="AP1941" s="6">
        <f>AQ1941&amp;AR1941</f>
        <v/>
      </c>
      <c r="AQ1941" s="6">
        <f>YEAR(AS1941)</f>
        <v/>
      </c>
      <c r="AR1941" s="6">
        <f>MONTH(AS1941)</f>
        <v/>
      </c>
      <c r="AS1941" s="267">
        <f>IFERROR(__xludf.DUMMYFUNCTION("""COMPUTED_VALUE"""),45926.9986111111)</f>
        <v/>
      </c>
      <c r="AT1941" s="6">
        <f>IFERROR(__xludf.DUMMYFUNCTION("""COMPUTED_VALUE"""),3809)</f>
        <v/>
      </c>
    </row>
    <row r="1942">
      <c r="B1942" s="6">
        <f>C1942&amp;D1942</f>
        <v/>
      </c>
      <c r="C1942" s="6">
        <f>YEAR(E1942)</f>
        <v/>
      </c>
      <c r="D1942" s="6">
        <f>MONTH(E1942)</f>
        <v/>
      </c>
      <c r="E1942" s="267">
        <f>IFERROR(__xludf.DUMMYFUNCTION("""COMPUTED_VALUE"""),45922.6666666666)</f>
        <v/>
      </c>
      <c r="F1942" s="6">
        <f>IFERROR(__xludf.DUMMYFUNCTION("""COMPUTED_VALUE"""),6693.75)</f>
        <v/>
      </c>
      <c r="J1942" s="6">
        <f>K1942&amp;L1942</f>
        <v/>
      </c>
      <c r="K1942" s="6">
        <f>YEAR(M1942)</f>
        <v/>
      </c>
      <c r="L1942" s="6">
        <f>MONTH(M1942)</f>
        <v/>
      </c>
      <c r="M1942" s="267">
        <f>IFERROR(__xludf.DUMMYFUNCTION("""COMPUTED_VALUE"""),45915.6666666666)</f>
        <v/>
      </c>
      <c r="N1942" s="6">
        <f>IFERROR(__xludf.DUMMYFUNCTION("""COMPUTED_VALUE"""),22348.75)</f>
        <v/>
      </c>
      <c r="R1942" s="6">
        <f>S1942&amp;T1942</f>
        <v/>
      </c>
      <c r="S1942" s="6">
        <f>YEAR(U1942)</f>
        <v/>
      </c>
      <c r="T1942" s="6">
        <f>MONTH(U1942)</f>
        <v/>
      </c>
      <c r="U1942" s="267">
        <f>IFERROR(__xludf.DUMMYFUNCTION("""COMPUTED_VALUE"""),45993.6458333333)</f>
        <v/>
      </c>
      <c r="V1942" s="6">
        <f>IFERROR(__xludf.DUMMYFUNCTION("""COMPUTED_VALUE"""),3994.93)</f>
        <v/>
      </c>
      <c r="Z1942" s="6">
        <f>AA1942&amp;AB1942</f>
        <v/>
      </c>
      <c r="AA1942" s="6">
        <f>YEAR(AC1942)</f>
        <v/>
      </c>
      <c r="AB1942" s="6">
        <f>MONTH(AC1942)</f>
        <v/>
      </c>
      <c r="AC1942" s="267">
        <f>IFERROR(__xludf.DUMMYFUNCTION("""COMPUTED_VALUE"""),45091.9986111111)</f>
        <v/>
      </c>
      <c r="AD1942" s="6">
        <f>IFERROR(__xludf.DUMMYFUNCTION("""COMPUTED_VALUE"""),1273.99)</f>
        <v/>
      </c>
      <c r="AH1942" s="6">
        <f>AI1942&amp;AJ1942</f>
        <v/>
      </c>
      <c r="AI1942" s="6">
        <f>YEAR(AK1942)</f>
        <v/>
      </c>
      <c r="AJ1942" s="6">
        <f>MONTH(AK1942)</f>
        <v/>
      </c>
      <c r="AK1942" s="267">
        <f>IFERROR(__xludf.DUMMYFUNCTION("""COMPUTED_VALUE"""),45035.9986111111)</f>
        <v/>
      </c>
      <c r="AL1942" s="6">
        <f>IFERROR(__xludf.DUMMYFUNCTION("""COMPUTED_VALUE"""),28816.74)</f>
        <v/>
      </c>
      <c r="AP1942" s="6">
        <f>AQ1942&amp;AR1942</f>
        <v/>
      </c>
      <c r="AQ1942" s="6">
        <f>YEAR(AS1942)</f>
        <v/>
      </c>
      <c r="AR1942" s="6">
        <f>MONTH(AS1942)</f>
        <v/>
      </c>
      <c r="AS1942" s="267">
        <f>IFERROR(__xludf.DUMMYFUNCTION("""COMPUTED_VALUE"""),45929.9986111111)</f>
        <v/>
      </c>
      <c r="AT1942" s="6">
        <f>IFERROR(__xludf.DUMMYFUNCTION("""COMPUTED_VALUE"""),3855.2)</f>
        <v/>
      </c>
    </row>
    <row r="1943">
      <c r="B1943" s="6">
        <f>C1943&amp;D1943</f>
        <v/>
      </c>
      <c r="C1943" s="6">
        <f>YEAR(E1943)</f>
        <v/>
      </c>
      <c r="D1943" s="6">
        <f>MONTH(E1943)</f>
        <v/>
      </c>
      <c r="E1943" s="267">
        <f>IFERROR(__xludf.DUMMYFUNCTION("""COMPUTED_VALUE"""),45923.6666666666)</f>
        <v/>
      </c>
      <c r="F1943" s="6">
        <f>IFERROR(__xludf.DUMMYFUNCTION("""COMPUTED_VALUE"""),6656.92)</f>
        <v/>
      </c>
      <c r="J1943" s="6">
        <f>K1943&amp;L1943</f>
        <v/>
      </c>
      <c r="K1943" s="6">
        <f>YEAR(M1943)</f>
        <v/>
      </c>
      <c r="L1943" s="6">
        <f>MONTH(M1943)</f>
        <v/>
      </c>
      <c r="M1943" s="267">
        <f>IFERROR(__xludf.DUMMYFUNCTION("""COMPUTED_VALUE"""),45916.6666666666)</f>
        <v/>
      </c>
      <c r="N1943" s="6">
        <f>IFERROR(__xludf.DUMMYFUNCTION("""COMPUTED_VALUE"""),22333.96)</f>
        <v/>
      </c>
      <c r="R1943" s="6">
        <f>S1943&amp;T1943</f>
        <v/>
      </c>
      <c r="S1943" s="6">
        <f>YEAR(U1943)</f>
        <v/>
      </c>
      <c r="T1943" s="6">
        <f>MONTH(U1943)</f>
        <v/>
      </c>
      <c r="U1943" s="267">
        <f>IFERROR(__xludf.DUMMYFUNCTION("""COMPUTED_VALUE"""),45994.6458333333)</f>
        <v/>
      </c>
      <c r="V1943" s="6">
        <f>IFERROR(__xludf.DUMMYFUNCTION("""COMPUTED_VALUE"""),4036.3)</f>
        <v/>
      </c>
      <c r="Z1943" s="6">
        <f>AA1943&amp;AB1943</f>
        <v/>
      </c>
      <c r="AA1943" s="6">
        <f>YEAR(AC1943)</f>
        <v/>
      </c>
      <c r="AB1943" s="6">
        <f>MONTH(AC1943)</f>
        <v/>
      </c>
      <c r="AC1943" s="267">
        <f>IFERROR(__xludf.DUMMYFUNCTION("""COMPUTED_VALUE"""),45092.9986111111)</f>
        <v/>
      </c>
      <c r="AD1943" s="6">
        <f>IFERROR(__xludf.DUMMYFUNCTION("""COMPUTED_VALUE"""),1270.05)</f>
        <v/>
      </c>
      <c r="AH1943" s="6">
        <f>AI1943&amp;AJ1943</f>
        <v/>
      </c>
      <c r="AI1943" s="6">
        <f>YEAR(AK1943)</f>
        <v/>
      </c>
      <c r="AJ1943" s="6">
        <f>MONTH(AK1943)</f>
        <v/>
      </c>
      <c r="AK1943" s="267">
        <f>IFERROR(__xludf.DUMMYFUNCTION("""COMPUTED_VALUE"""),45036.9986111111)</f>
        <v/>
      </c>
      <c r="AL1943" s="6">
        <f>IFERROR(__xludf.DUMMYFUNCTION("""COMPUTED_VALUE"""),28238.7)</f>
        <v/>
      </c>
      <c r="AP1943" s="6">
        <f>AQ1943&amp;AR1943</f>
        <v/>
      </c>
      <c r="AQ1943" s="6">
        <f>YEAR(AS1943)</f>
        <v/>
      </c>
      <c r="AR1943" s="6">
        <f>MONTH(AS1943)</f>
        <v/>
      </c>
      <c r="AS1943" s="267">
        <f>IFERROR(__xludf.DUMMYFUNCTION("""COMPUTED_VALUE"""),45930.9986111111)</f>
        <v/>
      </c>
      <c r="AT1943" s="6">
        <f>IFERROR(__xludf.DUMMYFUNCTION("""COMPUTED_VALUE"""),3873.2)</f>
        <v/>
      </c>
    </row>
    <row r="1944">
      <c r="B1944" s="6">
        <f>C1944&amp;D1944</f>
        <v/>
      </c>
      <c r="C1944" s="6">
        <f>YEAR(E1944)</f>
        <v/>
      </c>
      <c r="D1944" s="6">
        <f>MONTH(E1944)</f>
        <v/>
      </c>
      <c r="E1944" s="267">
        <f>IFERROR(__xludf.DUMMYFUNCTION("""COMPUTED_VALUE"""),45924.6666666666)</f>
        <v/>
      </c>
      <c r="F1944" s="6">
        <f>IFERROR(__xludf.DUMMYFUNCTION("""COMPUTED_VALUE"""),6637.97)</f>
        <v/>
      </c>
      <c r="J1944" s="6">
        <f>K1944&amp;L1944</f>
        <v/>
      </c>
      <c r="K1944" s="6">
        <f>YEAR(M1944)</f>
        <v/>
      </c>
      <c r="L1944" s="6">
        <f>MONTH(M1944)</f>
        <v/>
      </c>
      <c r="M1944" s="267">
        <f>IFERROR(__xludf.DUMMYFUNCTION("""COMPUTED_VALUE"""),45917.6666666666)</f>
        <v/>
      </c>
      <c r="N1944" s="6">
        <f>IFERROR(__xludf.DUMMYFUNCTION("""COMPUTED_VALUE"""),22261.33)</f>
        <v/>
      </c>
      <c r="R1944" s="6">
        <f>S1944&amp;T1944</f>
        <v/>
      </c>
      <c r="S1944" s="6">
        <f>YEAR(U1944)</f>
        <v/>
      </c>
      <c r="T1944" s="6">
        <f>MONTH(U1944)</f>
        <v/>
      </c>
      <c r="U1944" s="267">
        <f>IFERROR(__xludf.DUMMYFUNCTION("""COMPUTED_VALUE"""),45995.6458333333)</f>
        <v/>
      </c>
      <c r="V1944" s="6">
        <f>IFERROR(__xludf.DUMMYFUNCTION("""COMPUTED_VALUE"""),4028.51)</f>
        <v/>
      </c>
      <c r="Z1944" s="6">
        <f>AA1944&amp;AB1944</f>
        <v/>
      </c>
      <c r="AA1944" s="6">
        <f>YEAR(AC1944)</f>
        <v/>
      </c>
      <c r="AB1944" s="6">
        <f>MONTH(AC1944)</f>
        <v/>
      </c>
      <c r="AC1944" s="267">
        <f>IFERROR(__xludf.DUMMYFUNCTION("""COMPUTED_VALUE"""),45093.9986111111)</f>
        <v/>
      </c>
      <c r="AD1944" s="6">
        <f>IFERROR(__xludf.DUMMYFUNCTION("""COMPUTED_VALUE"""),1276.2)</f>
        <v/>
      </c>
      <c r="AH1944" s="6">
        <f>AI1944&amp;AJ1944</f>
        <v/>
      </c>
      <c r="AI1944" s="6">
        <f>YEAR(AK1944)</f>
        <v/>
      </c>
      <c r="AJ1944" s="6">
        <f>MONTH(AK1944)</f>
        <v/>
      </c>
      <c r="AK1944" s="267">
        <f>IFERROR(__xludf.DUMMYFUNCTION("""COMPUTED_VALUE"""),45037.9986111111)</f>
        <v/>
      </c>
      <c r="AL1944" s="6">
        <f>IFERROR(__xludf.DUMMYFUNCTION("""COMPUTED_VALUE"""),27260.15)</f>
        <v/>
      </c>
      <c r="AP1944" s="6">
        <f>AQ1944&amp;AR1944</f>
        <v/>
      </c>
      <c r="AQ1944" s="6">
        <f>YEAR(AS1944)</f>
        <v/>
      </c>
      <c r="AR1944" s="6">
        <f>MONTH(AS1944)</f>
        <v/>
      </c>
      <c r="AS1944" s="267">
        <f>IFERROR(__xludf.DUMMYFUNCTION("""COMPUTED_VALUE"""),45931.9986111111)</f>
        <v/>
      </c>
      <c r="AT1944" s="6">
        <f>IFERROR(__xludf.DUMMYFUNCTION("""COMPUTED_VALUE"""),3897.5)</f>
        <v/>
      </c>
    </row>
    <row r="1945">
      <c r="B1945" s="6">
        <f>C1945&amp;D1945</f>
        <v/>
      </c>
      <c r="C1945" s="6">
        <f>YEAR(E1945)</f>
        <v/>
      </c>
      <c r="D1945" s="6">
        <f>MONTH(E1945)</f>
        <v/>
      </c>
      <c r="E1945" s="267">
        <f>IFERROR(__xludf.DUMMYFUNCTION("""COMPUTED_VALUE"""),45925.6666666666)</f>
        <v/>
      </c>
      <c r="F1945" s="6">
        <f>IFERROR(__xludf.DUMMYFUNCTION("""COMPUTED_VALUE"""),6604.72)</f>
        <v/>
      </c>
      <c r="J1945" s="6">
        <f>K1945&amp;L1945</f>
        <v/>
      </c>
      <c r="K1945" s="6">
        <f>YEAR(M1945)</f>
        <v/>
      </c>
      <c r="L1945" s="6">
        <f>MONTH(M1945)</f>
        <v/>
      </c>
      <c r="M1945" s="267">
        <f>IFERROR(__xludf.DUMMYFUNCTION("""COMPUTED_VALUE"""),45918.6666666666)</f>
        <v/>
      </c>
      <c r="N1945" s="6">
        <f>IFERROR(__xludf.DUMMYFUNCTION("""COMPUTED_VALUE"""),22470.73)</f>
        <v/>
      </c>
      <c r="R1945" s="6">
        <f>S1945&amp;T1945</f>
        <v/>
      </c>
      <c r="S1945" s="6">
        <f>YEAR(U1945)</f>
        <v/>
      </c>
      <c r="T1945" s="6">
        <f>MONTH(U1945)</f>
        <v/>
      </c>
      <c r="U1945" s="267">
        <f>IFERROR(__xludf.DUMMYFUNCTION("""COMPUTED_VALUE"""),45996.6458333333)</f>
        <v/>
      </c>
      <c r="V1945" s="6">
        <f>IFERROR(__xludf.DUMMYFUNCTION("""COMPUTED_VALUE"""),4100.05)</f>
        <v/>
      </c>
      <c r="Z1945" s="6">
        <f>AA1945&amp;AB1945</f>
        <v/>
      </c>
      <c r="AA1945" s="6">
        <f>YEAR(AC1945)</f>
        <v/>
      </c>
      <c r="AB1945" s="6">
        <f>MONTH(AC1945)</f>
        <v/>
      </c>
      <c r="AC1945" s="267">
        <f>IFERROR(__xludf.DUMMYFUNCTION("""COMPUTED_VALUE"""),45094.9986111111)</f>
        <v/>
      </c>
      <c r="AD1945" s="6">
        <f>IFERROR(__xludf.DUMMYFUNCTION("""COMPUTED_VALUE"""),1276.2)</f>
        <v/>
      </c>
      <c r="AH1945" s="6">
        <f>AI1945&amp;AJ1945</f>
        <v/>
      </c>
      <c r="AI1945" s="6">
        <f>YEAR(AK1945)</f>
        <v/>
      </c>
      <c r="AJ1945" s="6">
        <f>MONTH(AK1945)</f>
        <v/>
      </c>
      <c r="AK1945" s="267">
        <f>IFERROR(__xludf.DUMMYFUNCTION("""COMPUTED_VALUE"""),45038.9986111111)</f>
        <v/>
      </c>
      <c r="AL1945" s="6">
        <f>IFERROR(__xludf.DUMMYFUNCTION("""COMPUTED_VALUE"""),27816.5)</f>
        <v/>
      </c>
      <c r="AP1945" s="6">
        <f>AQ1945&amp;AR1945</f>
        <v/>
      </c>
      <c r="AQ1945" s="6">
        <f>YEAR(AS1945)</f>
        <v/>
      </c>
      <c r="AR1945" s="6">
        <f>MONTH(AS1945)</f>
        <v/>
      </c>
      <c r="AS1945" s="267">
        <f>IFERROR(__xludf.DUMMYFUNCTION("""COMPUTED_VALUE"""),45932.9986111111)</f>
        <v/>
      </c>
      <c r="AT1945" s="6">
        <f>IFERROR(__xludf.DUMMYFUNCTION("""COMPUTED_VALUE"""),3868.1)</f>
        <v/>
      </c>
    </row>
    <row r="1946">
      <c r="B1946" s="6">
        <f>C1946&amp;D1946</f>
        <v/>
      </c>
      <c r="C1946" s="6">
        <f>YEAR(E1946)</f>
        <v/>
      </c>
      <c r="D1946" s="6">
        <f>MONTH(E1946)</f>
        <v/>
      </c>
      <c r="E1946" s="267">
        <f>IFERROR(__xludf.DUMMYFUNCTION("""COMPUTED_VALUE"""),45926.6666666666)</f>
        <v/>
      </c>
      <c r="F1946" s="6">
        <f>IFERROR(__xludf.DUMMYFUNCTION("""COMPUTED_VALUE"""),6643.7)</f>
        <v/>
      </c>
      <c r="J1946" s="6">
        <f>K1946&amp;L1946</f>
        <v/>
      </c>
      <c r="K1946" s="6">
        <f>YEAR(M1946)</f>
        <v/>
      </c>
      <c r="L1946" s="6">
        <f>MONTH(M1946)</f>
        <v/>
      </c>
      <c r="M1946" s="267">
        <f>IFERROR(__xludf.DUMMYFUNCTION("""COMPUTED_VALUE"""),45919.6666666666)</f>
        <v/>
      </c>
      <c r="N1946" s="6">
        <f>IFERROR(__xludf.DUMMYFUNCTION("""COMPUTED_VALUE"""),22631.48)</f>
        <v/>
      </c>
      <c r="R1946" s="6">
        <f>S1946&amp;T1946</f>
        <v/>
      </c>
      <c r="S1946" s="6">
        <f>YEAR(U1946)</f>
        <v/>
      </c>
      <c r="T1946" s="6">
        <f>MONTH(U1946)</f>
        <v/>
      </c>
      <c r="U1946" s="267">
        <f>IFERROR(__xludf.DUMMYFUNCTION("""COMPUTED_VALUE"""),45999.6458333333)</f>
        <v/>
      </c>
      <c r="V1946" s="6">
        <f>IFERROR(__xludf.DUMMYFUNCTION("""COMPUTED_VALUE"""),4154.85)</f>
        <v/>
      </c>
      <c r="Z1946" s="6">
        <f>AA1946&amp;AB1946</f>
        <v/>
      </c>
      <c r="AA1946" s="6">
        <f>YEAR(AC1946)</f>
        <v/>
      </c>
      <c r="AB1946" s="6">
        <f>MONTH(AC1946)</f>
        <v/>
      </c>
      <c r="AC1946" s="267">
        <f>IFERROR(__xludf.DUMMYFUNCTION("""COMPUTED_VALUE"""),45095.9986111111)</f>
        <v/>
      </c>
      <c r="AD1946" s="6">
        <f>IFERROR(__xludf.DUMMYFUNCTION("""COMPUTED_VALUE"""),1276.31)</f>
        <v/>
      </c>
      <c r="AH1946" s="6">
        <f>AI1946&amp;AJ1946</f>
        <v/>
      </c>
      <c r="AI1946" s="6">
        <f>YEAR(AK1946)</f>
        <v/>
      </c>
      <c r="AJ1946" s="6">
        <f>MONTH(AK1946)</f>
        <v/>
      </c>
      <c r="AK1946" s="267">
        <f>IFERROR(__xludf.DUMMYFUNCTION("""COMPUTED_VALUE"""),45039.9986111111)</f>
        <v/>
      </c>
      <c r="AL1946" s="6">
        <f>IFERROR(__xludf.DUMMYFUNCTION("""COMPUTED_VALUE"""),27591.99)</f>
        <v/>
      </c>
      <c r="AP1946" s="6">
        <f>AQ1946&amp;AR1946</f>
        <v/>
      </c>
      <c r="AQ1946" s="6">
        <f>YEAR(AS1946)</f>
        <v/>
      </c>
      <c r="AR1946" s="6">
        <f>MONTH(AS1946)</f>
        <v/>
      </c>
      <c r="AS1946" s="267">
        <f>IFERROR(__xludf.DUMMYFUNCTION("""COMPUTED_VALUE"""),45933.9986111111)</f>
        <v/>
      </c>
      <c r="AT1946" s="6">
        <f>IFERROR(__xludf.DUMMYFUNCTION("""COMPUTED_VALUE"""),3908.9)</f>
        <v/>
      </c>
    </row>
    <row r="1947">
      <c r="B1947" s="6">
        <f>C1947&amp;D1947</f>
        <v/>
      </c>
      <c r="C1947" s="6">
        <f>YEAR(E1947)</f>
        <v/>
      </c>
      <c r="D1947" s="6">
        <f>MONTH(E1947)</f>
        <v/>
      </c>
      <c r="E1947" s="267">
        <f>IFERROR(__xludf.DUMMYFUNCTION("""COMPUTED_VALUE"""),45929.6666666666)</f>
        <v/>
      </c>
      <c r="F1947" s="6">
        <f>IFERROR(__xludf.DUMMYFUNCTION("""COMPUTED_VALUE"""),6661.21)</f>
        <v/>
      </c>
      <c r="J1947" s="6">
        <f>K1947&amp;L1947</f>
        <v/>
      </c>
      <c r="K1947" s="6">
        <f>YEAR(M1947)</f>
        <v/>
      </c>
      <c r="L1947" s="6">
        <f>MONTH(M1947)</f>
        <v/>
      </c>
      <c r="M1947" s="267">
        <f>IFERROR(__xludf.DUMMYFUNCTION("""COMPUTED_VALUE"""),45922.6666666666)</f>
        <v/>
      </c>
      <c r="N1947" s="6">
        <f>IFERROR(__xludf.DUMMYFUNCTION("""COMPUTED_VALUE"""),22788.98)</f>
        <v/>
      </c>
      <c r="R1947" s="6">
        <f>S1947&amp;T1947</f>
        <v/>
      </c>
      <c r="S1947" s="6">
        <f>YEAR(U1947)</f>
        <v/>
      </c>
      <c r="T1947" s="6">
        <f>MONTH(U1947)</f>
        <v/>
      </c>
      <c r="U1947" s="267">
        <f>IFERROR(__xludf.DUMMYFUNCTION("""COMPUTED_VALUE"""),46000.6458333333)</f>
        <v/>
      </c>
      <c r="V1947" s="6">
        <f>IFERROR(__xludf.DUMMYFUNCTION("""COMPUTED_VALUE"""),4143.55)</f>
        <v/>
      </c>
      <c r="Z1947" s="6">
        <f>AA1947&amp;AB1947</f>
        <v/>
      </c>
      <c r="AA1947" s="6">
        <f>YEAR(AC1947)</f>
        <v/>
      </c>
      <c r="AB1947" s="6">
        <f>MONTH(AC1947)</f>
        <v/>
      </c>
      <c r="AC1947" s="267">
        <f>IFERROR(__xludf.DUMMYFUNCTION("""COMPUTED_VALUE"""),45096.9986111111)</f>
        <v/>
      </c>
      <c r="AD1947" s="6">
        <f>IFERROR(__xludf.DUMMYFUNCTION("""COMPUTED_VALUE"""),1283.24)</f>
        <v/>
      </c>
      <c r="AH1947" s="6">
        <f>AI1947&amp;AJ1947</f>
        <v/>
      </c>
      <c r="AI1947" s="6">
        <f>YEAR(AK1947)</f>
        <v/>
      </c>
      <c r="AJ1947" s="6">
        <f>MONTH(AK1947)</f>
        <v/>
      </c>
      <c r="AK1947" s="267">
        <f>IFERROR(__xludf.DUMMYFUNCTION("""COMPUTED_VALUE"""),45040.9986111111)</f>
        <v/>
      </c>
      <c r="AL1947" s="6">
        <f>IFERROR(__xludf.DUMMYFUNCTION("""COMPUTED_VALUE"""),27514.24)</f>
        <v/>
      </c>
      <c r="AP1947" s="6">
        <f>AQ1947&amp;AR1947</f>
        <v/>
      </c>
      <c r="AQ1947" s="6">
        <f>YEAR(AS1947)</f>
        <v/>
      </c>
      <c r="AR1947" s="6">
        <f>MONTH(AS1947)</f>
        <v/>
      </c>
      <c r="AS1947" s="267">
        <f>IFERROR(__xludf.DUMMYFUNCTION("""COMPUTED_VALUE"""),45936.9986111111)</f>
        <v/>
      </c>
      <c r="AT1947" s="6">
        <f>IFERROR(__xludf.DUMMYFUNCTION("""COMPUTED_VALUE"""),3976.3)</f>
        <v/>
      </c>
    </row>
    <row r="1948">
      <c r="B1948" s="6">
        <f>C1948&amp;D1948</f>
        <v/>
      </c>
      <c r="C1948" s="6">
        <f>YEAR(E1948)</f>
        <v/>
      </c>
      <c r="D1948" s="6">
        <f>MONTH(E1948)</f>
        <v/>
      </c>
      <c r="E1948" s="267">
        <f>IFERROR(__xludf.DUMMYFUNCTION("""COMPUTED_VALUE"""),45930.6666666666)</f>
        <v/>
      </c>
      <c r="F1948" s="6">
        <f>IFERROR(__xludf.DUMMYFUNCTION("""COMPUTED_VALUE"""),6688.46)</f>
        <v/>
      </c>
      <c r="J1948" s="6">
        <f>K1948&amp;L1948</f>
        <v/>
      </c>
      <c r="K1948" s="6">
        <f>YEAR(M1948)</f>
        <v/>
      </c>
      <c r="L1948" s="6">
        <f>MONTH(M1948)</f>
        <v/>
      </c>
      <c r="M1948" s="267">
        <f>IFERROR(__xludf.DUMMYFUNCTION("""COMPUTED_VALUE"""),45923.6666666666)</f>
        <v/>
      </c>
      <c r="N1948" s="6">
        <f>IFERROR(__xludf.DUMMYFUNCTION("""COMPUTED_VALUE"""),22573.47)</f>
        <v/>
      </c>
      <c r="R1948" s="6">
        <f>S1948&amp;T1948</f>
        <v/>
      </c>
      <c r="S1948" s="6">
        <f>YEAR(U1948)</f>
        <v/>
      </c>
      <c r="T1948" s="6">
        <f>MONTH(U1948)</f>
        <v/>
      </c>
      <c r="U1948" s="267">
        <f>IFERROR(__xludf.DUMMYFUNCTION("""COMPUTED_VALUE"""),46001.6458333333)</f>
        <v/>
      </c>
      <c r="V1948" s="6">
        <f>IFERROR(__xludf.DUMMYFUNCTION("""COMPUTED_VALUE"""),4135)</f>
        <v/>
      </c>
      <c r="Z1948" s="6">
        <f>AA1948&amp;AB1948</f>
        <v/>
      </c>
      <c r="AA1948" s="6">
        <f>YEAR(AC1948)</f>
        <v/>
      </c>
      <c r="AB1948" s="6">
        <f>MONTH(AC1948)</f>
        <v/>
      </c>
      <c r="AC1948" s="267">
        <f>IFERROR(__xludf.DUMMYFUNCTION("""COMPUTED_VALUE"""),45097.9986111111)</f>
        <v/>
      </c>
      <c r="AD1948" s="6">
        <f>IFERROR(__xludf.DUMMYFUNCTION("""COMPUTED_VALUE"""),1287.54)</f>
        <v/>
      </c>
      <c r="AH1948" s="6">
        <f>AI1948&amp;AJ1948</f>
        <v/>
      </c>
      <c r="AI1948" s="6">
        <f>YEAR(AK1948)</f>
        <v/>
      </c>
      <c r="AJ1948" s="6">
        <f>MONTH(AK1948)</f>
        <v/>
      </c>
      <c r="AK1948" s="267">
        <f>IFERROR(__xludf.DUMMYFUNCTION("""COMPUTED_VALUE"""),45041.9986111111)</f>
        <v/>
      </c>
      <c r="AL1948" s="6">
        <f>IFERROR(__xludf.DUMMYFUNCTION("""COMPUTED_VALUE"""),28300.83)</f>
        <v/>
      </c>
      <c r="AP1948" s="6">
        <f>AQ1948&amp;AR1948</f>
        <v/>
      </c>
      <c r="AQ1948" s="6">
        <f>YEAR(AS1948)</f>
        <v/>
      </c>
      <c r="AR1948" s="6">
        <f>MONTH(AS1948)</f>
        <v/>
      </c>
      <c r="AS1948" s="267">
        <f>IFERROR(__xludf.DUMMYFUNCTION("""COMPUTED_VALUE"""),45937.9986111111)</f>
        <v/>
      </c>
      <c r="AT1948" s="6">
        <f>IFERROR(__xludf.DUMMYFUNCTION("""COMPUTED_VALUE"""),4004.4)</f>
        <v/>
      </c>
    </row>
    <row r="1949">
      <c r="B1949" s="6">
        <f>C1949&amp;D1949</f>
        <v/>
      </c>
      <c r="C1949" s="6">
        <f>YEAR(E1949)</f>
        <v/>
      </c>
      <c r="D1949" s="6">
        <f>MONTH(E1949)</f>
        <v/>
      </c>
      <c r="E1949" s="267">
        <f>IFERROR(__xludf.DUMMYFUNCTION("""COMPUTED_VALUE"""),45931.6666666666)</f>
        <v/>
      </c>
      <c r="F1949" s="6">
        <f>IFERROR(__xludf.DUMMYFUNCTION("""COMPUTED_VALUE"""),6711.2)</f>
        <v/>
      </c>
      <c r="J1949" s="6">
        <f>K1949&amp;L1949</f>
        <v/>
      </c>
      <c r="K1949" s="6">
        <f>YEAR(M1949)</f>
        <v/>
      </c>
      <c r="L1949" s="6">
        <f>MONTH(M1949)</f>
        <v/>
      </c>
      <c r="M1949" s="267">
        <f>IFERROR(__xludf.DUMMYFUNCTION("""COMPUTED_VALUE"""),45924.6666666666)</f>
        <v/>
      </c>
      <c r="N1949" s="6">
        <f>IFERROR(__xludf.DUMMYFUNCTION("""COMPUTED_VALUE"""),22497.86)</f>
        <v/>
      </c>
      <c r="R1949" s="6">
        <f>S1949&amp;T1949</f>
        <v/>
      </c>
      <c r="S1949" s="6">
        <f>YEAR(U1949)</f>
        <v/>
      </c>
      <c r="T1949" s="6">
        <f>MONTH(U1949)</f>
        <v/>
      </c>
      <c r="U1949" s="267">
        <f>IFERROR(__xludf.DUMMYFUNCTION("""COMPUTED_VALUE"""),46002.6458333333)</f>
        <v/>
      </c>
      <c r="V1949" s="6">
        <f>IFERROR(__xludf.DUMMYFUNCTION("""COMPUTED_VALUE"""),4110.62)</f>
        <v/>
      </c>
      <c r="Z1949" s="6">
        <f>AA1949&amp;AB1949</f>
        <v/>
      </c>
      <c r="AA1949" s="6">
        <f>YEAR(AC1949)</f>
        <v/>
      </c>
      <c r="AB1949" s="6">
        <f>MONTH(AC1949)</f>
        <v/>
      </c>
      <c r="AC1949" s="267">
        <f>IFERROR(__xludf.DUMMYFUNCTION("""COMPUTED_VALUE"""),45098.9986111111)</f>
        <v/>
      </c>
      <c r="AD1949" s="6">
        <f>IFERROR(__xludf.DUMMYFUNCTION("""COMPUTED_VALUE"""),1288.38)</f>
        <v/>
      </c>
      <c r="AH1949" s="6">
        <f>AI1949&amp;AJ1949</f>
        <v/>
      </c>
      <c r="AI1949" s="6">
        <f>YEAR(AK1949)</f>
        <v/>
      </c>
      <c r="AJ1949" s="6">
        <f>MONTH(AK1949)</f>
        <v/>
      </c>
      <c r="AK1949" s="267">
        <f>IFERROR(__xludf.DUMMYFUNCTION("""COMPUTED_VALUE"""),45042.9986111111)</f>
        <v/>
      </c>
      <c r="AL1949" s="6">
        <f>IFERROR(__xludf.DUMMYFUNCTION("""COMPUTED_VALUE"""),28423.93)</f>
        <v/>
      </c>
      <c r="AP1949" s="6">
        <f>AQ1949&amp;AR1949</f>
        <v/>
      </c>
      <c r="AQ1949" s="6">
        <f>YEAR(AS1949)</f>
        <v/>
      </c>
      <c r="AR1949" s="6">
        <f>MONTH(AS1949)</f>
        <v/>
      </c>
      <c r="AS1949" s="267">
        <f>IFERROR(__xludf.DUMMYFUNCTION("""COMPUTED_VALUE"""),45938.9986111111)</f>
        <v/>
      </c>
      <c r="AT1949" s="6">
        <f>IFERROR(__xludf.DUMMYFUNCTION("""COMPUTED_VALUE"""),4070.5)</f>
        <v/>
      </c>
    </row>
    <row r="1950">
      <c r="B1950" s="6">
        <f>C1950&amp;D1950</f>
        <v/>
      </c>
      <c r="C1950" s="6">
        <f>YEAR(E1950)</f>
        <v/>
      </c>
      <c r="D1950" s="6">
        <f>MONTH(E1950)</f>
        <v/>
      </c>
      <c r="E1950" s="267">
        <f>IFERROR(__xludf.DUMMYFUNCTION("""COMPUTED_VALUE"""),45932.6666666666)</f>
        <v/>
      </c>
      <c r="F1950" s="6">
        <f>IFERROR(__xludf.DUMMYFUNCTION("""COMPUTED_VALUE"""),6715.35)</f>
        <v/>
      </c>
      <c r="J1950" s="6">
        <f>K1950&amp;L1950</f>
        <v/>
      </c>
      <c r="K1950" s="6">
        <f>YEAR(M1950)</f>
        <v/>
      </c>
      <c r="L1950" s="6">
        <f>MONTH(M1950)</f>
        <v/>
      </c>
      <c r="M1950" s="267">
        <f>IFERROR(__xludf.DUMMYFUNCTION("""COMPUTED_VALUE"""),45926.6666666666)</f>
        <v/>
      </c>
      <c r="N1950" s="6">
        <f>IFERROR(__xludf.DUMMYFUNCTION("""COMPUTED_VALUE"""),22484.07)</f>
        <v/>
      </c>
      <c r="R1950" s="6">
        <f>S1950&amp;T1950</f>
        <v/>
      </c>
      <c r="S1950" s="6">
        <f>YEAR(U1950)</f>
        <v/>
      </c>
      <c r="T1950" s="6">
        <f>MONTH(U1950)</f>
        <v/>
      </c>
      <c r="U1950" s="267">
        <f>IFERROR(__xludf.DUMMYFUNCTION("""COMPUTED_VALUE"""),46003.6458333333)</f>
        <v/>
      </c>
      <c r="V1950" s="6">
        <f>IFERROR(__xludf.DUMMYFUNCTION("""COMPUTED_VALUE"""),4167.16)</f>
        <v/>
      </c>
      <c r="Z1950" s="6">
        <f>AA1950&amp;AB1950</f>
        <v/>
      </c>
      <c r="AA1950" s="6">
        <f>YEAR(AC1950)</f>
        <v/>
      </c>
      <c r="AB1950" s="6">
        <f>MONTH(AC1950)</f>
        <v/>
      </c>
      <c r="AC1950" s="267">
        <f>IFERROR(__xludf.DUMMYFUNCTION("""COMPUTED_VALUE"""),45099.9986111111)</f>
        <v/>
      </c>
      <c r="AD1950" s="6">
        <f>IFERROR(__xludf.DUMMYFUNCTION("""COMPUTED_VALUE"""),1298.21)</f>
        <v/>
      </c>
      <c r="AH1950" s="6">
        <f>AI1950&amp;AJ1950</f>
        <v/>
      </c>
      <c r="AI1950" s="6">
        <f>YEAR(AK1950)</f>
        <v/>
      </c>
      <c r="AJ1950" s="6">
        <f>MONTH(AK1950)</f>
        <v/>
      </c>
      <c r="AK1950" s="267">
        <f>IFERROR(__xludf.DUMMYFUNCTION("""COMPUTED_VALUE"""),45043.9986111111)</f>
        <v/>
      </c>
      <c r="AL1950" s="6">
        <f>IFERROR(__xludf.DUMMYFUNCTION("""COMPUTED_VALUE"""),29476.64)</f>
        <v/>
      </c>
      <c r="AP1950" s="6">
        <f>AQ1950&amp;AR1950</f>
        <v/>
      </c>
      <c r="AQ1950" s="6">
        <f>YEAR(AS1950)</f>
        <v/>
      </c>
      <c r="AR1950" s="6">
        <f>MONTH(AS1950)</f>
        <v/>
      </c>
      <c r="AS1950" s="267">
        <f>IFERROR(__xludf.DUMMYFUNCTION("""COMPUTED_VALUE"""),45939.9986111111)</f>
        <v/>
      </c>
      <c r="AT1950" s="6">
        <f>IFERROR(__xludf.DUMMYFUNCTION("""COMPUTED_VALUE"""),3972.6)</f>
        <v/>
      </c>
    </row>
    <row r="1951">
      <c r="B1951" s="6">
        <f>C1951&amp;D1951</f>
        <v/>
      </c>
      <c r="C1951" s="6">
        <f>YEAR(E1951)</f>
        <v/>
      </c>
      <c r="D1951" s="6">
        <f>MONTH(E1951)</f>
        <v/>
      </c>
      <c r="E1951" s="267">
        <f>IFERROR(__xludf.DUMMYFUNCTION("""COMPUTED_VALUE"""),45933.6666666666)</f>
        <v/>
      </c>
      <c r="F1951" s="6">
        <f>IFERROR(__xludf.DUMMYFUNCTION("""COMPUTED_VALUE"""),6715.79)</f>
        <v/>
      </c>
      <c r="J1951" s="6">
        <f>K1951&amp;L1951</f>
        <v/>
      </c>
      <c r="K1951" s="6">
        <f>YEAR(M1951)</f>
        <v/>
      </c>
      <c r="L1951" s="6">
        <f>MONTH(M1951)</f>
        <v/>
      </c>
      <c r="M1951" s="267">
        <f>IFERROR(__xludf.DUMMYFUNCTION("""COMPUTED_VALUE"""),45929.6666666666)</f>
        <v/>
      </c>
      <c r="N1951" s="6">
        <f>IFERROR(__xludf.DUMMYFUNCTION("""COMPUTED_VALUE"""),22591.15)</f>
        <v/>
      </c>
      <c r="R1951" s="6">
        <f>S1951&amp;T1951</f>
        <v/>
      </c>
      <c r="S1951" s="6">
        <f>YEAR(U1951)</f>
        <v/>
      </c>
      <c r="T1951" s="6">
        <f>MONTH(U1951)</f>
        <v/>
      </c>
      <c r="U1951" s="267">
        <f>IFERROR(__xludf.DUMMYFUNCTION("""COMPUTED_VALUE"""),46006.6458333333)</f>
        <v/>
      </c>
      <c r="V1951" s="6">
        <f>IFERROR(__xludf.DUMMYFUNCTION("""COMPUTED_VALUE"""),4090.59)</f>
        <v/>
      </c>
      <c r="Z1951" s="6">
        <f>AA1951&amp;AB1951</f>
        <v/>
      </c>
      <c r="AA1951" s="6">
        <f>YEAR(AC1951)</f>
        <v/>
      </c>
      <c r="AB1951" s="6">
        <f>MONTH(AC1951)</f>
        <v/>
      </c>
      <c r="AC1951" s="267">
        <f>IFERROR(__xludf.DUMMYFUNCTION("""COMPUTED_VALUE"""),45100.9986111111)</f>
        <v/>
      </c>
      <c r="AD1951" s="6">
        <f>IFERROR(__xludf.DUMMYFUNCTION("""COMPUTED_VALUE"""),1307.78)</f>
        <v/>
      </c>
      <c r="AH1951" s="6">
        <f>AI1951&amp;AJ1951</f>
        <v/>
      </c>
      <c r="AI1951" s="6">
        <f>YEAR(AK1951)</f>
        <v/>
      </c>
      <c r="AJ1951" s="6">
        <f>MONTH(AK1951)</f>
        <v/>
      </c>
      <c r="AK1951" s="267">
        <f>IFERROR(__xludf.DUMMYFUNCTION("""COMPUTED_VALUE"""),45044.9986111111)</f>
        <v/>
      </c>
      <c r="AL1951" s="6">
        <f>IFERROR(__xludf.DUMMYFUNCTION("""COMPUTED_VALUE"""),29328.54)</f>
        <v/>
      </c>
      <c r="AP1951" s="6">
        <f>AQ1951&amp;AR1951</f>
        <v/>
      </c>
      <c r="AQ1951" s="6">
        <f>YEAR(AS1951)</f>
        <v/>
      </c>
      <c r="AR1951" s="6">
        <f>MONTH(AS1951)</f>
        <v/>
      </c>
      <c r="AS1951" s="267">
        <f>IFERROR(__xludf.DUMMYFUNCTION("""COMPUTED_VALUE"""),45940.9986111111)</f>
        <v/>
      </c>
      <c r="AT1951" s="6">
        <f>IFERROR(__xludf.DUMMYFUNCTION("""COMPUTED_VALUE"""),4000.4)</f>
        <v/>
      </c>
    </row>
    <row r="1952">
      <c r="B1952" s="6">
        <f>C1952&amp;D1952</f>
        <v/>
      </c>
      <c r="C1952" s="6">
        <f>YEAR(E1952)</f>
        <v/>
      </c>
      <c r="D1952" s="6">
        <f>MONTH(E1952)</f>
        <v/>
      </c>
      <c r="E1952" s="267">
        <f>IFERROR(__xludf.DUMMYFUNCTION("""COMPUTED_VALUE"""),45936.6666666666)</f>
        <v/>
      </c>
      <c r="F1952" s="6">
        <f>IFERROR(__xludf.DUMMYFUNCTION("""COMPUTED_VALUE"""),6740.28)</f>
        <v/>
      </c>
      <c r="J1952" s="6">
        <f>K1952&amp;L1952</f>
        <v/>
      </c>
      <c r="K1952" s="6">
        <f>YEAR(M1952)</f>
        <v/>
      </c>
      <c r="L1952" s="6">
        <f>MONTH(M1952)</f>
        <v/>
      </c>
      <c r="M1952" s="267">
        <f>IFERROR(__xludf.DUMMYFUNCTION("""COMPUTED_VALUE"""),45930.6666666666)</f>
        <v/>
      </c>
      <c r="N1952" s="6">
        <f>IFERROR(__xludf.DUMMYFUNCTION("""COMPUTED_VALUE"""),22660.01)</f>
        <v/>
      </c>
      <c r="R1952" s="6">
        <f>S1952&amp;T1952</f>
        <v/>
      </c>
      <c r="S1952" s="6">
        <f>YEAR(U1952)</f>
        <v/>
      </c>
      <c r="T1952" s="6">
        <f>MONTH(U1952)</f>
        <v/>
      </c>
      <c r="U1952" s="267">
        <f>IFERROR(__xludf.DUMMYFUNCTION("""COMPUTED_VALUE"""),46007.6458333333)</f>
        <v/>
      </c>
      <c r="V1952" s="6">
        <f>IFERROR(__xludf.DUMMYFUNCTION("""COMPUTED_VALUE"""),3999.13)</f>
        <v/>
      </c>
      <c r="Z1952" s="6">
        <f>AA1952&amp;AB1952</f>
        <v/>
      </c>
      <c r="AA1952" s="6">
        <f>YEAR(AC1952)</f>
        <v/>
      </c>
      <c r="AB1952" s="6">
        <f>MONTH(AC1952)</f>
        <v/>
      </c>
      <c r="AC1952" s="267">
        <f>IFERROR(__xludf.DUMMYFUNCTION("""COMPUTED_VALUE"""),45101.9986111111)</f>
        <v/>
      </c>
      <c r="AD1952" s="6">
        <f>IFERROR(__xludf.DUMMYFUNCTION("""COMPUTED_VALUE"""),1306.81)</f>
        <v/>
      </c>
      <c r="AH1952" s="6">
        <f>AI1952&amp;AJ1952</f>
        <v/>
      </c>
      <c r="AI1952" s="6">
        <f>YEAR(AK1952)</f>
        <v/>
      </c>
      <c r="AJ1952" s="6">
        <f>MONTH(AK1952)</f>
        <v/>
      </c>
      <c r="AK1952" s="267">
        <f>IFERROR(__xludf.DUMMYFUNCTION("""COMPUTED_VALUE"""),45045.9986111111)</f>
        <v/>
      </c>
      <c r="AL1952" s="6">
        <f>IFERROR(__xludf.DUMMYFUNCTION("""COMPUTED_VALUE"""),29239.68)</f>
        <v/>
      </c>
      <c r="AP1952" s="6">
        <f>AQ1952&amp;AR1952</f>
        <v/>
      </c>
      <c r="AQ1952" s="6">
        <f>YEAR(AS1952)</f>
        <v/>
      </c>
      <c r="AR1952" s="6">
        <f>MONTH(AS1952)</f>
        <v/>
      </c>
      <c r="AS1952" s="267">
        <f>IFERROR(__xludf.DUMMYFUNCTION("""COMPUTED_VALUE"""),45943.9986111111)</f>
        <v/>
      </c>
      <c r="AT1952" s="6">
        <f>IFERROR(__xludf.DUMMYFUNCTION("""COMPUTED_VALUE"""),4133)</f>
        <v/>
      </c>
    </row>
    <row r="1953">
      <c r="B1953" s="6">
        <f>C1953&amp;D1953</f>
        <v/>
      </c>
      <c r="C1953" s="6">
        <f>YEAR(E1953)</f>
        <v/>
      </c>
      <c r="D1953" s="6">
        <f>MONTH(E1953)</f>
        <v/>
      </c>
      <c r="E1953" s="267">
        <f>IFERROR(__xludf.DUMMYFUNCTION("""COMPUTED_VALUE"""),45937.6666666666)</f>
        <v/>
      </c>
      <c r="F1953" s="6">
        <f>IFERROR(__xludf.DUMMYFUNCTION("""COMPUTED_VALUE"""),6714.59)</f>
        <v/>
      </c>
      <c r="J1953" s="6">
        <f>K1953&amp;L1953</f>
        <v/>
      </c>
      <c r="K1953" s="6">
        <f>YEAR(M1953)</f>
        <v/>
      </c>
      <c r="L1953" s="6">
        <f>MONTH(M1953)</f>
        <v/>
      </c>
      <c r="M1953" s="267">
        <f>IFERROR(__xludf.DUMMYFUNCTION("""COMPUTED_VALUE"""),45931.6666666666)</f>
        <v/>
      </c>
      <c r="N1953" s="6">
        <f>IFERROR(__xludf.DUMMYFUNCTION("""COMPUTED_VALUE"""),22755.16)</f>
        <v/>
      </c>
      <c r="R1953" s="6">
        <f>S1953&amp;T1953</f>
        <v/>
      </c>
      <c r="S1953" s="6">
        <f>YEAR(U1953)</f>
        <v/>
      </c>
      <c r="T1953" s="6">
        <f>MONTH(U1953)</f>
        <v/>
      </c>
      <c r="U1953" s="267">
        <f>IFERROR(__xludf.DUMMYFUNCTION("""COMPUTED_VALUE"""),46008.6458333333)</f>
        <v/>
      </c>
      <c r="V1953" s="6">
        <f>IFERROR(__xludf.DUMMYFUNCTION("""COMPUTED_VALUE"""),4056.41)</f>
        <v/>
      </c>
      <c r="Z1953" s="6">
        <f>AA1953&amp;AB1953</f>
        <v/>
      </c>
      <c r="AA1953" s="6">
        <f>YEAR(AC1953)</f>
        <v/>
      </c>
      <c r="AB1953" s="6">
        <f>MONTH(AC1953)</f>
        <v/>
      </c>
      <c r="AC1953" s="267">
        <f>IFERROR(__xludf.DUMMYFUNCTION("""COMPUTED_VALUE"""),45102.9986111111)</f>
        <v/>
      </c>
      <c r="AD1953" s="6">
        <f>IFERROR(__xludf.DUMMYFUNCTION("""COMPUTED_VALUE"""),1307.67)</f>
        <v/>
      </c>
      <c r="AH1953" s="6">
        <f>AI1953&amp;AJ1953</f>
        <v/>
      </c>
      <c r="AI1953" s="6">
        <f>YEAR(AK1953)</f>
        <v/>
      </c>
      <c r="AJ1953" s="6">
        <f>MONTH(AK1953)</f>
        <v/>
      </c>
      <c r="AK1953" s="267">
        <f>IFERROR(__xludf.DUMMYFUNCTION("""COMPUTED_VALUE"""),45046.9986111111)</f>
        <v/>
      </c>
      <c r="AL1953" s="6">
        <f>IFERROR(__xludf.DUMMYFUNCTION("""COMPUTED_VALUE"""),29253.14)</f>
        <v/>
      </c>
      <c r="AP1953" s="6">
        <f>AQ1953&amp;AR1953</f>
        <v/>
      </c>
      <c r="AQ1953" s="6">
        <f>YEAR(AS1953)</f>
        <v/>
      </c>
      <c r="AR1953" s="6">
        <f>MONTH(AS1953)</f>
        <v/>
      </c>
      <c r="AS1953" s="267">
        <f>IFERROR(__xludf.DUMMYFUNCTION("""COMPUTED_VALUE"""),45944.9986111111)</f>
        <v/>
      </c>
      <c r="AT1953" s="6">
        <f>IFERROR(__xludf.DUMMYFUNCTION("""COMPUTED_VALUE"""),4163.4)</f>
        <v/>
      </c>
    </row>
    <row r="1954">
      <c r="B1954" s="6">
        <f>C1954&amp;D1954</f>
        <v/>
      </c>
      <c r="C1954" s="6">
        <f>YEAR(E1954)</f>
        <v/>
      </c>
      <c r="D1954" s="6">
        <f>MONTH(E1954)</f>
        <v/>
      </c>
      <c r="E1954" s="267">
        <f>IFERROR(__xludf.DUMMYFUNCTION("""COMPUTED_VALUE"""),45938.6666666666)</f>
        <v/>
      </c>
      <c r="F1954" s="6">
        <f>IFERROR(__xludf.DUMMYFUNCTION("""COMPUTED_VALUE"""),6753.72)</f>
        <v/>
      </c>
      <c r="J1954" s="6">
        <f>K1954&amp;L1954</f>
        <v/>
      </c>
      <c r="K1954" s="6">
        <f>YEAR(M1954)</f>
        <v/>
      </c>
      <c r="L1954" s="6">
        <f>MONTH(M1954)</f>
        <v/>
      </c>
      <c r="M1954" s="267">
        <f>IFERROR(__xludf.DUMMYFUNCTION("""COMPUTED_VALUE"""),45932.6666666666)</f>
        <v/>
      </c>
      <c r="N1954" s="6">
        <f>IFERROR(__xludf.DUMMYFUNCTION("""COMPUTED_VALUE"""),22844.05)</f>
        <v/>
      </c>
      <c r="R1954" s="6">
        <f>S1954&amp;T1954</f>
        <v/>
      </c>
      <c r="S1954" s="6">
        <f>YEAR(U1954)</f>
        <v/>
      </c>
      <c r="T1954" s="6">
        <f>MONTH(U1954)</f>
        <v/>
      </c>
      <c r="U1954" s="267">
        <f>IFERROR(__xludf.DUMMYFUNCTION("""COMPUTED_VALUE"""),46009.6458333333)</f>
        <v/>
      </c>
      <c r="V1954" s="6">
        <f>IFERROR(__xludf.DUMMYFUNCTION("""COMPUTED_VALUE"""),3994.51)</f>
        <v/>
      </c>
      <c r="Z1954" s="6">
        <f>AA1954&amp;AB1954</f>
        <v/>
      </c>
      <c r="AA1954" s="6">
        <f>YEAR(AC1954)</f>
        <v/>
      </c>
      <c r="AB1954" s="6">
        <f>MONTH(AC1954)</f>
        <v/>
      </c>
      <c r="AC1954" s="267">
        <f>IFERROR(__xludf.DUMMYFUNCTION("""COMPUTED_VALUE"""),45103.9986111111)</f>
        <v/>
      </c>
      <c r="AD1954" s="6">
        <f>IFERROR(__xludf.DUMMYFUNCTION("""COMPUTED_VALUE"""),1302.66)</f>
        <v/>
      </c>
      <c r="AH1954" s="6">
        <f>AI1954&amp;AJ1954</f>
        <v/>
      </c>
      <c r="AI1954" s="6">
        <f>YEAR(AK1954)</f>
        <v/>
      </c>
      <c r="AJ1954" s="6">
        <f>MONTH(AK1954)</f>
        <v/>
      </c>
      <c r="AK1954" s="267">
        <f>IFERROR(__xludf.DUMMYFUNCTION("""COMPUTED_VALUE"""),45047.9986111111)</f>
        <v/>
      </c>
      <c r="AL1954" s="6">
        <f>IFERROR(__xludf.DUMMYFUNCTION("""COMPUTED_VALUE"""),28082.84)</f>
        <v/>
      </c>
      <c r="AP1954" s="6">
        <f>AQ1954&amp;AR1954</f>
        <v/>
      </c>
      <c r="AQ1954" s="6">
        <f>YEAR(AS1954)</f>
        <v/>
      </c>
      <c r="AR1954" s="6">
        <f>MONTH(AS1954)</f>
        <v/>
      </c>
      <c r="AS1954" s="267">
        <f>IFERROR(__xludf.DUMMYFUNCTION("""COMPUTED_VALUE"""),45945.9986111111)</f>
        <v/>
      </c>
      <c r="AT1954" s="6">
        <f>IFERROR(__xludf.DUMMYFUNCTION("""COMPUTED_VALUE"""),4201.6)</f>
        <v/>
      </c>
    </row>
    <row r="1955">
      <c r="B1955" s="6">
        <f>C1955&amp;D1955</f>
        <v/>
      </c>
      <c r="C1955" s="6">
        <f>YEAR(E1955)</f>
        <v/>
      </c>
      <c r="D1955" s="6">
        <f>MONTH(E1955)</f>
        <v/>
      </c>
      <c r="E1955" s="267">
        <f>IFERROR(__xludf.DUMMYFUNCTION("""COMPUTED_VALUE"""),45939.6666666666)</f>
        <v/>
      </c>
      <c r="F1955" s="6">
        <f>IFERROR(__xludf.DUMMYFUNCTION("""COMPUTED_VALUE"""),6735.11)</f>
        <v/>
      </c>
      <c r="J1955" s="6">
        <f>K1955&amp;L1955</f>
        <v/>
      </c>
      <c r="K1955" s="6">
        <f>YEAR(M1955)</f>
        <v/>
      </c>
      <c r="L1955" s="6">
        <f>MONTH(M1955)</f>
        <v/>
      </c>
      <c r="M1955" s="267">
        <f>IFERROR(__xludf.DUMMYFUNCTION("""COMPUTED_VALUE"""),45933.6666666666)</f>
        <v/>
      </c>
      <c r="N1955" s="6">
        <f>IFERROR(__xludf.DUMMYFUNCTION("""COMPUTED_VALUE"""),22780.51)</f>
        <v/>
      </c>
      <c r="R1955" s="6">
        <f>S1955&amp;T1955</f>
        <v/>
      </c>
      <c r="S1955" s="6">
        <f>YEAR(U1955)</f>
        <v/>
      </c>
      <c r="T1955" s="6">
        <f>MONTH(U1955)</f>
        <v/>
      </c>
      <c r="U1955" s="267">
        <f>IFERROR(__xludf.DUMMYFUNCTION("""COMPUTED_VALUE"""),46010.6458333333)</f>
        <v/>
      </c>
      <c r="V1955" s="6">
        <f>IFERROR(__xludf.DUMMYFUNCTION("""COMPUTED_VALUE"""),4020.55)</f>
        <v/>
      </c>
      <c r="Z1955" s="6">
        <f>AA1955&amp;AB1955</f>
        <v/>
      </c>
      <c r="AA1955" s="6">
        <f>YEAR(AC1955)</f>
        <v/>
      </c>
      <c r="AB1955" s="6">
        <f>MONTH(AC1955)</f>
        <v/>
      </c>
      <c r="AC1955" s="267">
        <f>IFERROR(__xludf.DUMMYFUNCTION("""COMPUTED_VALUE"""),45104.9986111111)</f>
        <v/>
      </c>
      <c r="AD1955" s="6">
        <f>IFERROR(__xludf.DUMMYFUNCTION("""COMPUTED_VALUE"""),1296.6)</f>
        <v/>
      </c>
      <c r="AH1955" s="6">
        <f>AI1955&amp;AJ1955</f>
        <v/>
      </c>
      <c r="AI1955" s="6">
        <f>YEAR(AK1955)</f>
        <v/>
      </c>
      <c r="AJ1955" s="6">
        <f>MONTH(AK1955)</f>
        <v/>
      </c>
      <c r="AK1955" s="267">
        <f>IFERROR(__xludf.DUMMYFUNCTION("""COMPUTED_VALUE"""),45048.9986111111)</f>
        <v/>
      </c>
      <c r="AL1955" s="6">
        <f>IFERROR(__xludf.DUMMYFUNCTION("""COMPUTED_VALUE"""),28675)</f>
        <v/>
      </c>
      <c r="AP1955" s="6">
        <f>AQ1955&amp;AR1955</f>
        <v/>
      </c>
      <c r="AQ1955" s="6">
        <f>YEAR(AS1955)</f>
        <v/>
      </c>
      <c r="AR1955" s="6">
        <f>MONTH(AS1955)</f>
        <v/>
      </c>
      <c r="AS1955" s="267">
        <f>IFERROR(__xludf.DUMMYFUNCTION("""COMPUTED_VALUE"""),45946.9986111111)</f>
        <v/>
      </c>
      <c r="AT1955" s="6">
        <f>IFERROR(__xludf.DUMMYFUNCTION("""COMPUTED_VALUE"""),4304.6)</f>
        <v/>
      </c>
    </row>
    <row r="1956">
      <c r="B1956" s="6">
        <f>C1956&amp;D1956</f>
        <v/>
      </c>
      <c r="C1956" s="6">
        <f>YEAR(E1956)</f>
        <v/>
      </c>
      <c r="D1956" s="6">
        <f>MONTH(E1956)</f>
        <v/>
      </c>
      <c r="E1956" s="267">
        <f>IFERROR(__xludf.DUMMYFUNCTION("""COMPUTED_VALUE"""),45940.6666666666)</f>
        <v/>
      </c>
      <c r="F1956" s="6">
        <f>IFERROR(__xludf.DUMMYFUNCTION("""COMPUTED_VALUE"""),6552.51)</f>
        <v/>
      </c>
      <c r="J1956" s="6">
        <f>K1956&amp;L1956</f>
        <v/>
      </c>
      <c r="K1956" s="6">
        <f>YEAR(M1956)</f>
        <v/>
      </c>
      <c r="L1956" s="6">
        <f>MONTH(M1956)</f>
        <v/>
      </c>
      <c r="M1956" s="267">
        <f>IFERROR(__xludf.DUMMYFUNCTION("""COMPUTED_VALUE"""),45936.6666666666)</f>
        <v/>
      </c>
      <c r="N1956" s="6">
        <f>IFERROR(__xludf.DUMMYFUNCTION("""COMPUTED_VALUE"""),22941.67)</f>
        <v/>
      </c>
      <c r="R1956" s="6">
        <f>S1956&amp;T1956</f>
        <v/>
      </c>
      <c r="S1956" s="6">
        <f>YEAR(U1956)</f>
        <v/>
      </c>
      <c r="T1956" s="6">
        <f>MONTH(U1956)</f>
        <v/>
      </c>
      <c r="U1956" s="267">
        <f>IFERROR(__xludf.DUMMYFUNCTION("""COMPUTED_VALUE"""),46013.6458333333)</f>
        <v/>
      </c>
      <c r="V1956" s="6">
        <f>IFERROR(__xludf.DUMMYFUNCTION("""COMPUTED_VALUE"""),4105.93)</f>
        <v/>
      </c>
      <c r="Z1956" s="6">
        <f>AA1956&amp;AB1956</f>
        <v/>
      </c>
      <c r="AA1956" s="6">
        <f>YEAR(AC1956)</f>
        <v/>
      </c>
      <c r="AB1956" s="6">
        <f>MONTH(AC1956)</f>
        <v/>
      </c>
      <c r="AC1956" s="267">
        <f>IFERROR(__xludf.DUMMYFUNCTION("""COMPUTED_VALUE"""),45105.9986111111)</f>
        <v/>
      </c>
      <c r="AD1956" s="6">
        <f>IFERROR(__xludf.DUMMYFUNCTION("""COMPUTED_VALUE"""),1309.01)</f>
        <v/>
      </c>
      <c r="AH1956" s="6">
        <f>AI1956&amp;AJ1956</f>
        <v/>
      </c>
      <c r="AI1956" s="6">
        <f>YEAR(AK1956)</f>
        <v/>
      </c>
      <c r="AJ1956" s="6">
        <f>MONTH(AK1956)</f>
        <v/>
      </c>
      <c r="AK1956" s="267">
        <f>IFERROR(__xludf.DUMMYFUNCTION("""COMPUTED_VALUE"""),45049.9986111111)</f>
        <v/>
      </c>
      <c r="AL1956" s="6">
        <f>IFERROR(__xludf.DUMMYFUNCTION("""COMPUTED_VALUE"""),29031.25)</f>
        <v/>
      </c>
      <c r="AP1956" s="6">
        <f>AQ1956&amp;AR1956</f>
        <v/>
      </c>
      <c r="AQ1956" s="6">
        <f>YEAR(AS1956)</f>
        <v/>
      </c>
      <c r="AR1956" s="6">
        <f>MONTH(AS1956)</f>
        <v/>
      </c>
      <c r="AS1956" s="267">
        <f>IFERROR(__xludf.DUMMYFUNCTION("""COMPUTED_VALUE"""),45947.9986111111)</f>
        <v/>
      </c>
      <c r="AT1956" s="6">
        <f>IFERROR(__xludf.DUMMYFUNCTION("""COMPUTED_VALUE"""),4213.3)</f>
        <v/>
      </c>
    </row>
    <row r="1957">
      <c r="B1957" s="6">
        <f>C1957&amp;D1957</f>
        <v/>
      </c>
      <c r="C1957" s="6">
        <f>YEAR(E1957)</f>
        <v/>
      </c>
      <c r="D1957" s="6">
        <f>MONTH(E1957)</f>
        <v/>
      </c>
      <c r="E1957" s="267">
        <f>IFERROR(__xludf.DUMMYFUNCTION("""COMPUTED_VALUE"""),45943.6666666666)</f>
        <v/>
      </c>
      <c r="F1957" s="6">
        <f>IFERROR(__xludf.DUMMYFUNCTION("""COMPUTED_VALUE"""),6654.72)</f>
        <v/>
      </c>
      <c r="J1957" s="6">
        <f>K1957&amp;L1957</f>
        <v/>
      </c>
      <c r="K1957" s="6">
        <f>YEAR(M1957)</f>
        <v/>
      </c>
      <c r="L1957" s="6">
        <f>MONTH(M1957)</f>
        <v/>
      </c>
      <c r="M1957" s="267">
        <f>IFERROR(__xludf.DUMMYFUNCTION("""COMPUTED_VALUE"""),45937.6666666666)</f>
        <v/>
      </c>
      <c r="N1957" s="6">
        <f>IFERROR(__xludf.DUMMYFUNCTION("""COMPUTED_VALUE"""),22788.36)</f>
        <v/>
      </c>
      <c r="R1957" s="6">
        <f>S1957&amp;T1957</f>
        <v/>
      </c>
      <c r="S1957" s="6">
        <f>YEAR(U1957)</f>
        <v/>
      </c>
      <c r="T1957" s="6">
        <f>MONTH(U1957)</f>
        <v/>
      </c>
      <c r="U1957" s="267">
        <f>IFERROR(__xludf.DUMMYFUNCTION("""COMPUTED_VALUE"""),46014.6458333333)</f>
        <v/>
      </c>
      <c r="V1957" s="6">
        <f>IFERROR(__xludf.DUMMYFUNCTION("""COMPUTED_VALUE"""),4117.32)</f>
        <v/>
      </c>
      <c r="Z1957" s="6">
        <f>AA1957&amp;AB1957</f>
        <v/>
      </c>
      <c r="AA1957" s="6">
        <f>YEAR(AC1957)</f>
        <v/>
      </c>
      <c r="AB1957" s="6">
        <f>MONTH(AC1957)</f>
        <v/>
      </c>
      <c r="AC1957" s="267">
        <f>IFERROR(__xludf.DUMMYFUNCTION("""COMPUTED_VALUE"""),45106.9986111111)</f>
        <v/>
      </c>
      <c r="AD1957" s="6">
        <f>IFERROR(__xludf.DUMMYFUNCTION("""COMPUTED_VALUE"""),1323.07)</f>
        <v/>
      </c>
      <c r="AH1957" s="6">
        <f>AI1957&amp;AJ1957</f>
        <v/>
      </c>
      <c r="AI1957" s="6">
        <f>YEAR(AK1957)</f>
        <v/>
      </c>
      <c r="AJ1957" s="6">
        <f>MONTH(AK1957)</f>
        <v/>
      </c>
      <c r="AK1957" s="267">
        <f>IFERROR(__xludf.DUMMYFUNCTION("""COMPUTED_VALUE"""),45050.9986111111)</f>
        <v/>
      </c>
      <c r="AL1957" s="6">
        <f>IFERROR(__xludf.DUMMYFUNCTION("""COMPUTED_VALUE"""),28848.39)</f>
        <v/>
      </c>
      <c r="AP1957" s="6">
        <f>AQ1957&amp;AR1957</f>
        <v/>
      </c>
      <c r="AQ1957" s="6">
        <f>YEAR(AS1957)</f>
        <v/>
      </c>
      <c r="AR1957" s="6">
        <f>MONTH(AS1957)</f>
        <v/>
      </c>
      <c r="AS1957" s="267">
        <f>IFERROR(__xludf.DUMMYFUNCTION("""COMPUTED_VALUE"""),45950.9986111111)</f>
        <v/>
      </c>
      <c r="AT1957" s="6">
        <f>IFERROR(__xludf.DUMMYFUNCTION("""COMPUTED_VALUE"""),4359.4)</f>
        <v/>
      </c>
    </row>
    <row r="1958">
      <c r="B1958" s="6">
        <f>C1958&amp;D1958</f>
        <v/>
      </c>
      <c r="C1958" s="6">
        <f>YEAR(E1958)</f>
        <v/>
      </c>
      <c r="D1958" s="6">
        <f>MONTH(E1958)</f>
        <v/>
      </c>
      <c r="E1958" s="267">
        <f>IFERROR(__xludf.DUMMYFUNCTION("""COMPUTED_VALUE"""),45944.6666666666)</f>
        <v/>
      </c>
      <c r="F1958" s="6">
        <f>IFERROR(__xludf.DUMMYFUNCTION("""COMPUTED_VALUE"""),6644.31)</f>
        <v/>
      </c>
      <c r="J1958" s="6">
        <f>K1958&amp;L1958</f>
        <v/>
      </c>
      <c r="K1958" s="6">
        <f>YEAR(M1958)</f>
        <v/>
      </c>
      <c r="L1958" s="6">
        <f>MONTH(M1958)</f>
        <v/>
      </c>
      <c r="M1958" s="267">
        <f>IFERROR(__xludf.DUMMYFUNCTION("""COMPUTED_VALUE"""),45938.6666666666)</f>
        <v/>
      </c>
      <c r="N1958" s="6">
        <f>IFERROR(__xludf.DUMMYFUNCTION("""COMPUTED_VALUE"""),23043.38)</f>
        <v/>
      </c>
      <c r="R1958" s="6">
        <f>S1958&amp;T1958</f>
        <v/>
      </c>
      <c r="S1958" s="6">
        <f>YEAR(U1958)</f>
        <v/>
      </c>
      <c r="T1958" s="6">
        <f>MONTH(U1958)</f>
        <v/>
      </c>
      <c r="U1958" s="267">
        <f>IFERROR(__xludf.DUMMYFUNCTION("""COMPUTED_VALUE"""),46015.6458333333)</f>
        <v/>
      </c>
      <c r="V1958" s="6">
        <f>IFERROR(__xludf.DUMMYFUNCTION("""COMPUTED_VALUE"""),4108.62)</f>
        <v/>
      </c>
      <c r="Z1958" s="6">
        <f>AA1958&amp;AB1958</f>
        <v/>
      </c>
      <c r="AA1958" s="6">
        <f>YEAR(AC1958)</f>
        <v/>
      </c>
      <c r="AB1958" s="6">
        <f>MONTH(AC1958)</f>
        <v/>
      </c>
      <c r="AC1958" s="267">
        <f>IFERROR(__xludf.DUMMYFUNCTION("""COMPUTED_VALUE"""),45107.9986111111)</f>
        <v/>
      </c>
      <c r="AD1958" s="6">
        <f>IFERROR(__xludf.DUMMYFUNCTION("""COMPUTED_VALUE"""),1315.3)</f>
        <v/>
      </c>
      <c r="AH1958" s="6">
        <f>AI1958&amp;AJ1958</f>
        <v/>
      </c>
      <c r="AI1958" s="6">
        <f>YEAR(AK1958)</f>
        <v/>
      </c>
      <c r="AJ1958" s="6">
        <f>MONTH(AK1958)</f>
        <v/>
      </c>
      <c r="AK1958" s="267">
        <f>IFERROR(__xludf.DUMMYFUNCTION("""COMPUTED_VALUE"""),45051.9986111111)</f>
        <v/>
      </c>
      <c r="AL1958" s="6">
        <f>IFERROR(__xludf.DUMMYFUNCTION("""COMPUTED_VALUE"""),29530.53)</f>
        <v/>
      </c>
      <c r="AP1958" s="6">
        <f>AQ1958&amp;AR1958</f>
        <v/>
      </c>
      <c r="AQ1958" s="6">
        <f>YEAR(AS1958)</f>
        <v/>
      </c>
      <c r="AR1958" s="6">
        <f>MONTH(AS1958)</f>
        <v/>
      </c>
      <c r="AS1958" s="267">
        <f>IFERROR(__xludf.DUMMYFUNCTION("""COMPUTED_VALUE"""),45951.9986111111)</f>
        <v/>
      </c>
      <c r="AT1958" s="6">
        <f>IFERROR(__xludf.DUMMYFUNCTION("""COMPUTED_VALUE"""),4109.1)</f>
        <v/>
      </c>
    </row>
    <row r="1959">
      <c r="B1959" s="6">
        <f>C1959&amp;D1959</f>
        <v/>
      </c>
      <c r="C1959" s="6">
        <f>YEAR(E1959)</f>
        <v/>
      </c>
      <c r="D1959" s="6">
        <f>MONTH(E1959)</f>
        <v/>
      </c>
      <c r="E1959" s="267">
        <f>IFERROR(__xludf.DUMMYFUNCTION("""COMPUTED_VALUE"""),45945.6666666666)</f>
        <v/>
      </c>
      <c r="F1959" s="6">
        <f>IFERROR(__xludf.DUMMYFUNCTION("""COMPUTED_VALUE"""),6671.06)</f>
        <v/>
      </c>
      <c r="J1959" s="6">
        <f>K1959&amp;L1959</f>
        <v/>
      </c>
      <c r="K1959" s="6">
        <f>YEAR(M1959)</f>
        <v/>
      </c>
      <c r="L1959" s="6">
        <f>MONTH(M1959)</f>
        <v/>
      </c>
      <c r="M1959" s="267">
        <f>IFERROR(__xludf.DUMMYFUNCTION("""COMPUTED_VALUE"""),45939.6666666666)</f>
        <v/>
      </c>
      <c r="N1959" s="6">
        <f>IFERROR(__xludf.DUMMYFUNCTION("""COMPUTED_VALUE"""),23024.63)</f>
        <v/>
      </c>
      <c r="R1959" s="6">
        <f>S1959&amp;T1959</f>
        <v/>
      </c>
      <c r="S1959" s="6">
        <f>YEAR(U1959)</f>
        <v/>
      </c>
      <c r="T1959" s="6">
        <f>MONTH(U1959)</f>
        <v/>
      </c>
      <c r="U1959" s="267">
        <f>IFERROR(__xludf.DUMMYFUNCTION("""COMPUTED_VALUE"""),46017.6458333333)</f>
        <v/>
      </c>
      <c r="V1959" s="6">
        <f>IFERROR(__xludf.DUMMYFUNCTION("""COMPUTED_VALUE"""),4129.68)</f>
        <v/>
      </c>
      <c r="Z1959" s="6">
        <f>AA1959&amp;AB1959</f>
        <v/>
      </c>
      <c r="AA1959" s="6">
        <f>YEAR(AC1959)</f>
        <v/>
      </c>
      <c r="AB1959" s="6">
        <f>MONTH(AC1959)</f>
        <v/>
      </c>
      <c r="AC1959" s="267">
        <f>IFERROR(__xludf.DUMMYFUNCTION("""COMPUTED_VALUE"""),45108.9986111111)</f>
        <v/>
      </c>
      <c r="AD1959" s="6">
        <f>IFERROR(__xludf.DUMMYFUNCTION("""COMPUTED_VALUE"""),1315.3)</f>
        <v/>
      </c>
      <c r="AH1959" s="6">
        <f>AI1959&amp;AJ1959</f>
        <v/>
      </c>
      <c r="AI1959" s="6">
        <f>YEAR(AK1959)</f>
        <v/>
      </c>
      <c r="AJ1959" s="6">
        <f>MONTH(AK1959)</f>
        <v/>
      </c>
      <c r="AK1959" s="267">
        <f>IFERROR(__xludf.DUMMYFUNCTION("""COMPUTED_VALUE"""),45052.9986111111)</f>
        <v/>
      </c>
      <c r="AL1959" s="6">
        <f>IFERROR(__xludf.DUMMYFUNCTION("""COMPUTED_VALUE"""),28902.17)</f>
        <v/>
      </c>
      <c r="AP1959" s="6">
        <f>AQ1959&amp;AR1959</f>
        <v/>
      </c>
      <c r="AQ1959" s="6">
        <f>YEAR(AS1959)</f>
        <v/>
      </c>
      <c r="AR1959" s="6">
        <f>MONTH(AS1959)</f>
        <v/>
      </c>
      <c r="AS1959" s="267">
        <f>IFERROR(__xludf.DUMMYFUNCTION("""COMPUTED_VALUE"""),45952.9986111111)</f>
        <v/>
      </c>
      <c r="AT1959" s="6">
        <f>IFERROR(__xludf.DUMMYFUNCTION("""COMPUTED_VALUE"""),4065.4)</f>
        <v/>
      </c>
    </row>
    <row r="1960">
      <c r="B1960" s="6">
        <f>C1960&amp;D1960</f>
        <v/>
      </c>
      <c r="C1960" s="6">
        <f>YEAR(E1960)</f>
        <v/>
      </c>
      <c r="D1960" s="6">
        <f>MONTH(E1960)</f>
        <v/>
      </c>
      <c r="E1960" s="267">
        <f>IFERROR(__xludf.DUMMYFUNCTION("""COMPUTED_VALUE"""),45946.6666666666)</f>
        <v/>
      </c>
      <c r="F1960" s="6">
        <f>IFERROR(__xludf.DUMMYFUNCTION("""COMPUTED_VALUE"""),6629.07)</f>
        <v/>
      </c>
      <c r="J1960" s="6">
        <f>K1960&amp;L1960</f>
        <v/>
      </c>
      <c r="K1960" s="6">
        <f>YEAR(M1960)</f>
        <v/>
      </c>
      <c r="L1960" s="6">
        <f>MONTH(M1960)</f>
        <v/>
      </c>
      <c r="M1960" s="267">
        <f>IFERROR(__xludf.DUMMYFUNCTION("""COMPUTED_VALUE"""),45940.6666666666)</f>
        <v/>
      </c>
      <c r="N1960" s="6">
        <f>IFERROR(__xludf.DUMMYFUNCTION("""COMPUTED_VALUE"""),22204.43)</f>
        <v/>
      </c>
      <c r="R1960" s="6">
        <f>S1960&amp;T1960</f>
        <v/>
      </c>
      <c r="S1960" s="6">
        <f>YEAR(U1960)</f>
        <v/>
      </c>
      <c r="T1960" s="6">
        <f>MONTH(U1960)</f>
        <v/>
      </c>
      <c r="U1960" s="267">
        <f>IFERROR(__xludf.DUMMYFUNCTION("""COMPUTED_VALUE"""),46020.6458333333)</f>
        <v/>
      </c>
      <c r="V1960" s="6">
        <f>IFERROR(__xludf.DUMMYFUNCTION("""COMPUTED_VALUE"""),4220.56)</f>
        <v/>
      </c>
      <c r="Z1960" s="6">
        <f>AA1960&amp;AB1960</f>
        <v/>
      </c>
      <c r="AA1960" s="6">
        <f>YEAR(AC1960)</f>
        <v/>
      </c>
      <c r="AB1960" s="6">
        <f>MONTH(AC1960)</f>
        <v/>
      </c>
      <c r="AC1960" s="267">
        <f>IFERROR(__xludf.DUMMYFUNCTION("""COMPUTED_VALUE"""),45109.9986111111)</f>
        <v/>
      </c>
      <c r="AD1960" s="6">
        <f>IFERROR(__xludf.DUMMYFUNCTION("""COMPUTED_VALUE"""),1315.3)</f>
        <v/>
      </c>
      <c r="AH1960" s="6">
        <f>AI1960&amp;AJ1960</f>
        <v/>
      </c>
      <c r="AI1960" s="6">
        <f>YEAR(AK1960)</f>
        <v/>
      </c>
      <c r="AJ1960" s="6">
        <f>MONTH(AK1960)</f>
        <v/>
      </c>
      <c r="AK1960" s="267">
        <f>IFERROR(__xludf.DUMMYFUNCTION("""COMPUTED_VALUE"""),45053.9986111111)</f>
        <v/>
      </c>
      <c r="AL1960" s="6">
        <f>IFERROR(__xludf.DUMMYFUNCTION("""COMPUTED_VALUE"""),28450.92)</f>
        <v/>
      </c>
      <c r="AP1960" s="6">
        <f>AQ1960&amp;AR1960</f>
        <v/>
      </c>
      <c r="AQ1960" s="6">
        <f>YEAR(AS1960)</f>
        <v/>
      </c>
      <c r="AR1960" s="6">
        <f>MONTH(AS1960)</f>
        <v/>
      </c>
      <c r="AS1960" s="267">
        <f>IFERROR(__xludf.DUMMYFUNCTION("""COMPUTED_VALUE"""),45953.9986111111)</f>
        <v/>
      </c>
      <c r="AT1960" s="6">
        <f>IFERROR(__xludf.DUMMYFUNCTION("""COMPUTED_VALUE"""),4145.6)</f>
        <v/>
      </c>
    </row>
    <row r="1961">
      <c r="B1961" s="6">
        <f>C1961&amp;D1961</f>
        <v/>
      </c>
      <c r="C1961" s="6">
        <f>YEAR(E1961)</f>
        <v/>
      </c>
      <c r="D1961" s="6">
        <f>MONTH(E1961)</f>
        <v/>
      </c>
      <c r="E1961" s="267">
        <f>IFERROR(__xludf.DUMMYFUNCTION("""COMPUTED_VALUE"""),45947.6666666666)</f>
        <v/>
      </c>
      <c r="F1961" s="6">
        <f>IFERROR(__xludf.DUMMYFUNCTION("""COMPUTED_VALUE"""),6664.01)</f>
        <v/>
      </c>
      <c r="J1961" s="6">
        <f>K1961&amp;L1961</f>
        <v/>
      </c>
      <c r="K1961" s="6">
        <f>YEAR(M1961)</f>
        <v/>
      </c>
      <c r="L1961" s="6">
        <f>MONTH(M1961)</f>
        <v/>
      </c>
      <c r="M1961" s="267">
        <f>IFERROR(__xludf.DUMMYFUNCTION("""COMPUTED_VALUE"""),45943.6666666666)</f>
        <v/>
      </c>
      <c r="N1961" s="6">
        <f>IFERROR(__xludf.DUMMYFUNCTION("""COMPUTED_VALUE"""),22694.61)</f>
        <v/>
      </c>
      <c r="R1961" s="6">
        <f>S1961&amp;T1961</f>
        <v/>
      </c>
      <c r="S1961" s="6">
        <f>YEAR(U1961)</f>
        <v/>
      </c>
      <c r="T1961" s="6">
        <f>MONTH(U1961)</f>
        <v/>
      </c>
      <c r="U1961" s="267">
        <f>IFERROR(__xludf.DUMMYFUNCTION("""COMPUTED_VALUE"""),46021.6458333333)</f>
        <v/>
      </c>
      <c r="V1961" s="6">
        <f>IFERROR(__xludf.DUMMYFUNCTION("""COMPUTED_VALUE"""),4214.17)</f>
        <v/>
      </c>
      <c r="Z1961" s="6">
        <f>AA1961&amp;AB1961</f>
        <v/>
      </c>
      <c r="AA1961" s="6">
        <f>YEAR(AC1961)</f>
        <v/>
      </c>
      <c r="AB1961" s="6">
        <f>MONTH(AC1961)</f>
        <v/>
      </c>
      <c r="AC1961" s="267">
        <f>IFERROR(__xludf.DUMMYFUNCTION("""COMPUTED_VALUE"""),45110.9986111111)</f>
        <v/>
      </c>
      <c r="AD1961" s="6">
        <f>IFERROR(__xludf.DUMMYFUNCTION("""COMPUTED_VALUE"""),1306.1)</f>
        <v/>
      </c>
      <c r="AH1961" s="6">
        <f>AI1961&amp;AJ1961</f>
        <v/>
      </c>
      <c r="AI1961" s="6">
        <f>YEAR(AK1961)</f>
        <v/>
      </c>
      <c r="AJ1961" s="6">
        <f>MONTH(AK1961)</f>
        <v/>
      </c>
      <c r="AK1961" s="267">
        <f>IFERROR(__xludf.DUMMYFUNCTION("""COMPUTED_VALUE"""),45054.9986111111)</f>
        <v/>
      </c>
      <c r="AL1961" s="6">
        <f>IFERROR(__xludf.DUMMYFUNCTION("""COMPUTED_VALUE"""),27685.34)</f>
        <v/>
      </c>
      <c r="AP1961" s="6">
        <f>AQ1961&amp;AR1961</f>
        <v/>
      </c>
      <c r="AQ1961" s="6">
        <f>YEAR(AS1961)</f>
        <v/>
      </c>
      <c r="AR1961" s="6">
        <f>MONTH(AS1961)</f>
        <v/>
      </c>
      <c r="AS1961" s="267">
        <f>IFERROR(__xludf.DUMMYFUNCTION("""COMPUTED_VALUE"""),45954.9986111111)</f>
        <v/>
      </c>
      <c r="AT1961" s="6">
        <f>IFERROR(__xludf.DUMMYFUNCTION("""COMPUTED_VALUE"""),4137.8)</f>
        <v/>
      </c>
    </row>
    <row r="1962">
      <c r="B1962" s="6">
        <f>C1962&amp;D1962</f>
        <v/>
      </c>
      <c r="C1962" s="6">
        <f>YEAR(E1962)</f>
        <v/>
      </c>
      <c r="D1962" s="6">
        <f>MONTH(E1962)</f>
        <v/>
      </c>
      <c r="E1962" s="267">
        <f>IFERROR(__xludf.DUMMYFUNCTION("""COMPUTED_VALUE"""),45950.6666666666)</f>
        <v/>
      </c>
      <c r="F1962" s="6">
        <f>IFERROR(__xludf.DUMMYFUNCTION("""COMPUTED_VALUE"""),6735.13)</f>
        <v/>
      </c>
      <c r="J1962" s="6">
        <f>K1962&amp;L1962</f>
        <v/>
      </c>
      <c r="K1962" s="6">
        <f>YEAR(M1962)</f>
        <v/>
      </c>
      <c r="L1962" s="6">
        <f>MONTH(M1962)</f>
        <v/>
      </c>
      <c r="M1962" s="267">
        <f>IFERROR(__xludf.DUMMYFUNCTION("""COMPUTED_VALUE"""),45944.6666666666)</f>
        <v/>
      </c>
      <c r="N1962" s="6">
        <f>IFERROR(__xludf.DUMMYFUNCTION("""COMPUTED_VALUE"""),22521.7)</f>
        <v/>
      </c>
      <c r="R1962" s="6">
        <f>S1962&amp;T1962</f>
        <v/>
      </c>
      <c r="S1962" s="6">
        <f>YEAR(U1962)</f>
        <v/>
      </c>
      <c r="T1962" s="6">
        <f>MONTH(U1962)</f>
        <v/>
      </c>
      <c r="U1962" s="267">
        <f>IFERROR(__xludf.DUMMYFUNCTION("""COMPUTED_VALUE"""),46024.6458333333)</f>
        <v/>
      </c>
      <c r="V1962" s="6">
        <f>IFERROR(__xludf.DUMMYFUNCTION("""COMPUTED_VALUE"""),4309.63)</f>
        <v/>
      </c>
      <c r="Z1962" s="6">
        <f>AA1962&amp;AB1962</f>
        <v/>
      </c>
      <c r="AA1962" s="6">
        <f>YEAR(AC1962)</f>
        <v/>
      </c>
      <c r="AB1962" s="6">
        <f>MONTH(AC1962)</f>
        <v/>
      </c>
      <c r="AC1962" s="267">
        <f>IFERROR(__xludf.DUMMYFUNCTION("""COMPUTED_VALUE"""),45111.9986111111)</f>
        <v/>
      </c>
      <c r="AD1962" s="6">
        <f>IFERROR(__xludf.DUMMYFUNCTION("""COMPUTED_VALUE"""),1295.5)</f>
        <v/>
      </c>
      <c r="AH1962" s="6">
        <f>AI1962&amp;AJ1962</f>
        <v/>
      </c>
      <c r="AI1962" s="6">
        <f>YEAR(AK1962)</f>
        <v/>
      </c>
      <c r="AJ1962" s="6">
        <f>MONTH(AK1962)</f>
        <v/>
      </c>
      <c r="AK1962" s="267">
        <f>IFERROR(__xludf.DUMMYFUNCTION("""COMPUTED_VALUE"""),45055.9986111111)</f>
        <v/>
      </c>
      <c r="AL1962" s="6">
        <f>IFERROR(__xludf.DUMMYFUNCTION("""COMPUTED_VALUE"""),27640.28)</f>
        <v/>
      </c>
      <c r="AP1962" s="6">
        <f>AQ1962&amp;AR1962</f>
        <v/>
      </c>
      <c r="AQ1962" s="6">
        <f>YEAR(AS1962)</f>
        <v/>
      </c>
      <c r="AR1962" s="6">
        <f>MONTH(AS1962)</f>
        <v/>
      </c>
      <c r="AS1962" s="267">
        <f>IFERROR(__xludf.DUMMYFUNCTION("""COMPUTED_VALUE"""),45957.9986111111)</f>
        <v/>
      </c>
      <c r="AT1962" s="6">
        <f>IFERROR(__xludf.DUMMYFUNCTION("""COMPUTED_VALUE"""),4019.7)</f>
        <v/>
      </c>
    </row>
    <row r="1963">
      <c r="B1963" s="6">
        <f>C1963&amp;D1963</f>
        <v/>
      </c>
      <c r="C1963" s="6">
        <f>YEAR(E1963)</f>
        <v/>
      </c>
      <c r="D1963" s="6">
        <f>MONTH(E1963)</f>
        <v/>
      </c>
      <c r="E1963" s="267">
        <f>IFERROR(__xludf.DUMMYFUNCTION("""COMPUTED_VALUE"""),45951.6666666666)</f>
        <v/>
      </c>
      <c r="F1963" s="6">
        <f>IFERROR(__xludf.DUMMYFUNCTION("""COMPUTED_VALUE"""),6735.35)</f>
        <v/>
      </c>
      <c r="J1963" s="6">
        <f>K1963&amp;L1963</f>
        <v/>
      </c>
      <c r="K1963" s="6">
        <f>YEAR(M1963)</f>
        <v/>
      </c>
      <c r="L1963" s="6">
        <f>MONTH(M1963)</f>
        <v/>
      </c>
      <c r="M1963" s="267">
        <f>IFERROR(__xludf.DUMMYFUNCTION("""COMPUTED_VALUE"""),45945.6666666666)</f>
        <v/>
      </c>
      <c r="N1963" s="6">
        <f>IFERROR(__xludf.DUMMYFUNCTION("""COMPUTED_VALUE"""),22670.08)</f>
        <v/>
      </c>
      <c r="R1963" s="6">
        <f>S1963&amp;T1963</f>
        <v/>
      </c>
      <c r="S1963" s="6">
        <f>YEAR(U1963)</f>
        <v/>
      </c>
      <c r="T1963" s="6">
        <f>MONTH(U1963)</f>
        <v/>
      </c>
      <c r="U1963" s="267">
        <f>IFERROR(__xludf.DUMMYFUNCTION("""COMPUTED_VALUE"""),46027.6458333333)</f>
        <v/>
      </c>
      <c r="V1963" s="6">
        <f>IFERROR(__xludf.DUMMYFUNCTION("""COMPUTED_VALUE"""),4457.52)</f>
        <v/>
      </c>
      <c r="Z1963" s="6">
        <f>AA1963&amp;AB1963</f>
        <v/>
      </c>
      <c r="AA1963" s="6">
        <f>YEAR(AC1963)</f>
        <v/>
      </c>
      <c r="AB1963" s="6">
        <f>MONTH(AC1963)</f>
        <v/>
      </c>
      <c r="AC1963" s="267">
        <f>IFERROR(__xludf.DUMMYFUNCTION("""COMPUTED_VALUE"""),45112.9986111111)</f>
        <v/>
      </c>
      <c r="AD1963" s="6">
        <f>IFERROR(__xludf.DUMMYFUNCTION("""COMPUTED_VALUE"""),1302.97)</f>
        <v/>
      </c>
      <c r="AH1963" s="6">
        <f>AI1963&amp;AJ1963</f>
        <v/>
      </c>
      <c r="AI1963" s="6">
        <f>YEAR(AK1963)</f>
        <v/>
      </c>
      <c r="AJ1963" s="6">
        <f>MONTH(AK1963)</f>
        <v/>
      </c>
      <c r="AK1963" s="267">
        <f>IFERROR(__xludf.DUMMYFUNCTION("""COMPUTED_VALUE"""),45056.9986111111)</f>
        <v/>
      </c>
      <c r="AL1963" s="6">
        <f>IFERROR(__xludf.DUMMYFUNCTION("""COMPUTED_VALUE"""),27618.24)</f>
        <v/>
      </c>
      <c r="AP1963" s="6">
        <f>AQ1963&amp;AR1963</f>
        <v/>
      </c>
      <c r="AQ1963" s="6">
        <f>YEAR(AS1963)</f>
        <v/>
      </c>
      <c r="AR1963" s="6">
        <f>MONTH(AS1963)</f>
        <v/>
      </c>
      <c r="AS1963" s="267">
        <f>IFERROR(__xludf.DUMMYFUNCTION("""COMPUTED_VALUE"""),45958.9986111111)</f>
        <v/>
      </c>
      <c r="AT1963" s="6">
        <f>IFERROR(__xludf.DUMMYFUNCTION("""COMPUTED_VALUE"""),3983.1)</f>
        <v/>
      </c>
    </row>
    <row r="1964">
      <c r="B1964" s="6">
        <f>C1964&amp;D1964</f>
        <v/>
      </c>
      <c r="C1964" s="6">
        <f>YEAR(E1964)</f>
        <v/>
      </c>
      <c r="D1964" s="6">
        <f>MONTH(E1964)</f>
        <v/>
      </c>
      <c r="E1964" s="267">
        <f>IFERROR(__xludf.DUMMYFUNCTION("""COMPUTED_VALUE"""),45952.6666666666)</f>
        <v/>
      </c>
      <c r="F1964" s="6">
        <f>IFERROR(__xludf.DUMMYFUNCTION("""COMPUTED_VALUE"""),6699.4)</f>
        <v/>
      </c>
      <c r="J1964" s="6">
        <f>K1964&amp;L1964</f>
        <v/>
      </c>
      <c r="K1964" s="6">
        <f>YEAR(M1964)</f>
        <v/>
      </c>
      <c r="L1964" s="6">
        <f>MONTH(M1964)</f>
        <v/>
      </c>
      <c r="M1964" s="267">
        <f>IFERROR(__xludf.DUMMYFUNCTION("""COMPUTED_VALUE"""),45946.6666666666)</f>
        <v/>
      </c>
      <c r="N1964" s="6">
        <f>IFERROR(__xludf.DUMMYFUNCTION("""COMPUTED_VALUE"""),22562.54)</f>
        <v/>
      </c>
      <c r="R1964" s="6">
        <f>S1964&amp;T1964</f>
        <v/>
      </c>
      <c r="S1964" s="6">
        <f>YEAR(U1964)</f>
        <v/>
      </c>
      <c r="T1964" s="6">
        <f>MONTH(U1964)</f>
        <v/>
      </c>
      <c r="U1964" s="267">
        <f>IFERROR(__xludf.DUMMYFUNCTION("""COMPUTED_VALUE"""),46028.6458333333)</f>
        <v/>
      </c>
      <c r="V1964" s="6">
        <f>IFERROR(__xludf.DUMMYFUNCTION("""COMPUTED_VALUE"""),4525.48)</f>
        <v/>
      </c>
      <c r="Z1964" s="6">
        <f>AA1964&amp;AB1964</f>
        <v/>
      </c>
      <c r="AA1964" s="6">
        <f>YEAR(AC1964)</f>
        <v/>
      </c>
      <c r="AB1964" s="6">
        <f>MONTH(AC1964)</f>
        <v/>
      </c>
      <c r="AC1964" s="267">
        <f>IFERROR(__xludf.DUMMYFUNCTION("""COMPUTED_VALUE"""),45113.9986111111)</f>
        <v/>
      </c>
      <c r="AD1964" s="6">
        <f>IFERROR(__xludf.DUMMYFUNCTION("""COMPUTED_VALUE"""),1309.22)</f>
        <v/>
      </c>
      <c r="AH1964" s="6">
        <f>AI1964&amp;AJ1964</f>
        <v/>
      </c>
      <c r="AI1964" s="6">
        <f>YEAR(AK1964)</f>
        <v/>
      </c>
      <c r="AJ1964" s="6">
        <f>MONTH(AK1964)</f>
        <v/>
      </c>
      <c r="AK1964" s="267">
        <f>IFERROR(__xludf.DUMMYFUNCTION("""COMPUTED_VALUE"""),45057.9986111111)</f>
        <v/>
      </c>
      <c r="AL1964" s="6">
        <f>IFERROR(__xludf.DUMMYFUNCTION("""COMPUTED_VALUE"""),26986.38)</f>
        <v/>
      </c>
      <c r="AP1964" s="6">
        <f>AQ1964&amp;AR1964</f>
        <v/>
      </c>
      <c r="AQ1964" s="6">
        <f>YEAR(AS1964)</f>
        <v/>
      </c>
      <c r="AR1964" s="6">
        <f>MONTH(AS1964)</f>
        <v/>
      </c>
      <c r="AS1964" s="267">
        <f>IFERROR(__xludf.DUMMYFUNCTION("""COMPUTED_VALUE"""),45959.9986111111)</f>
        <v/>
      </c>
      <c r="AT1964" s="6">
        <f>IFERROR(__xludf.DUMMYFUNCTION("""COMPUTED_VALUE"""),4000.7)</f>
        <v/>
      </c>
    </row>
    <row r="1965">
      <c r="B1965" s="6">
        <f>C1965&amp;D1965</f>
        <v/>
      </c>
      <c r="C1965" s="6">
        <f>YEAR(E1965)</f>
        <v/>
      </c>
      <c r="D1965" s="6">
        <f>MONTH(E1965)</f>
        <v/>
      </c>
      <c r="E1965" s="267">
        <f>IFERROR(__xludf.DUMMYFUNCTION("""COMPUTED_VALUE"""),45953.6666666666)</f>
        <v/>
      </c>
      <c r="F1965" s="6">
        <f>IFERROR(__xludf.DUMMYFUNCTION("""COMPUTED_VALUE"""),6738.44)</f>
        <v/>
      </c>
      <c r="J1965" s="6">
        <f>K1965&amp;L1965</f>
        <v/>
      </c>
      <c r="K1965" s="6">
        <f>YEAR(M1965)</f>
        <v/>
      </c>
      <c r="L1965" s="6">
        <f>MONTH(M1965)</f>
        <v/>
      </c>
      <c r="M1965" s="267">
        <f>IFERROR(__xludf.DUMMYFUNCTION("""COMPUTED_VALUE"""),45947.6666666666)</f>
        <v/>
      </c>
      <c r="N1965" s="6">
        <f>IFERROR(__xludf.DUMMYFUNCTION("""COMPUTED_VALUE"""),22679.98)</f>
        <v/>
      </c>
      <c r="R1965" s="6">
        <f>S1965&amp;T1965</f>
        <v/>
      </c>
      <c r="S1965" s="6">
        <f>YEAR(U1965)</f>
        <v/>
      </c>
      <c r="T1965" s="6">
        <f>MONTH(U1965)</f>
        <v/>
      </c>
      <c r="U1965" s="267">
        <f>IFERROR(__xludf.DUMMYFUNCTION("""COMPUTED_VALUE"""),46029.6458333333)</f>
        <v/>
      </c>
      <c r="V1965" s="6">
        <f>IFERROR(__xludf.DUMMYFUNCTION("""COMPUTED_VALUE"""),4551.06)</f>
        <v/>
      </c>
      <c r="Z1965" s="6">
        <f>AA1965&amp;AB1965</f>
        <v/>
      </c>
      <c r="AA1965" s="6">
        <f>YEAR(AC1965)</f>
        <v/>
      </c>
      <c r="AB1965" s="6">
        <f>MONTH(AC1965)</f>
        <v/>
      </c>
      <c r="AC1965" s="267">
        <f>IFERROR(__xludf.DUMMYFUNCTION("""COMPUTED_VALUE"""),45114.9986111111)</f>
        <v/>
      </c>
      <c r="AD1965" s="6">
        <f>IFERROR(__xludf.DUMMYFUNCTION("""COMPUTED_VALUE"""),1297.66)</f>
        <v/>
      </c>
      <c r="AH1965" s="6">
        <f>AI1965&amp;AJ1965</f>
        <v/>
      </c>
      <c r="AI1965" s="6">
        <f>YEAR(AK1965)</f>
        <v/>
      </c>
      <c r="AJ1965" s="6">
        <f>MONTH(AK1965)</f>
        <v/>
      </c>
      <c r="AK1965" s="267">
        <f>IFERROR(__xludf.DUMMYFUNCTION("""COMPUTED_VALUE"""),45058.9986111111)</f>
        <v/>
      </c>
      <c r="AL1965" s="6">
        <f>IFERROR(__xludf.DUMMYFUNCTION("""COMPUTED_VALUE"""),26800.62)</f>
        <v/>
      </c>
      <c r="AP1965" s="6">
        <f>AQ1965&amp;AR1965</f>
        <v/>
      </c>
      <c r="AQ1965" s="6">
        <f>YEAR(AS1965)</f>
        <v/>
      </c>
      <c r="AR1965" s="6">
        <f>MONTH(AS1965)</f>
        <v/>
      </c>
      <c r="AS1965" s="267">
        <f>IFERROR(__xludf.DUMMYFUNCTION("""COMPUTED_VALUE"""),45960.9986111111)</f>
        <v/>
      </c>
      <c r="AT1965" s="6">
        <f>IFERROR(__xludf.DUMMYFUNCTION("""COMPUTED_VALUE"""),4015.9)</f>
        <v/>
      </c>
    </row>
    <row r="1966">
      <c r="B1966" s="6">
        <f>C1966&amp;D1966</f>
        <v/>
      </c>
      <c r="C1966" s="6">
        <f>YEAR(E1966)</f>
        <v/>
      </c>
      <c r="D1966" s="6">
        <f>MONTH(E1966)</f>
        <v/>
      </c>
      <c r="E1966" s="267">
        <f>IFERROR(__xludf.DUMMYFUNCTION("""COMPUTED_VALUE"""),45954.6666666666)</f>
        <v/>
      </c>
      <c r="F1966" s="6">
        <f>IFERROR(__xludf.DUMMYFUNCTION("""COMPUTED_VALUE"""),6791.69)</f>
        <v/>
      </c>
      <c r="J1966" s="6">
        <f>K1966&amp;L1966</f>
        <v/>
      </c>
      <c r="K1966" s="6">
        <f>YEAR(M1966)</f>
        <v/>
      </c>
      <c r="L1966" s="6">
        <f>MONTH(M1966)</f>
        <v/>
      </c>
      <c r="M1966" s="267">
        <f>IFERROR(__xludf.DUMMYFUNCTION("""COMPUTED_VALUE"""),45950.6666666666)</f>
        <v/>
      </c>
      <c r="N1966" s="6">
        <f>IFERROR(__xludf.DUMMYFUNCTION("""COMPUTED_VALUE"""),22990.54)</f>
        <v/>
      </c>
      <c r="R1966" s="6">
        <f>S1966&amp;T1966</f>
        <v/>
      </c>
      <c r="S1966" s="6">
        <f>YEAR(U1966)</f>
        <v/>
      </c>
      <c r="T1966" s="6">
        <f>MONTH(U1966)</f>
        <v/>
      </c>
      <c r="U1966" s="267">
        <f>IFERROR(__xludf.DUMMYFUNCTION("""COMPUTED_VALUE"""),46030.6458333333)</f>
        <v/>
      </c>
      <c r="V1966" s="6">
        <f>IFERROR(__xludf.DUMMYFUNCTION("""COMPUTED_VALUE"""),4552.37)</f>
        <v/>
      </c>
      <c r="Z1966" s="6">
        <f>AA1966&amp;AB1966</f>
        <v/>
      </c>
      <c r="AA1966" s="6">
        <f>YEAR(AC1966)</f>
        <v/>
      </c>
      <c r="AB1966" s="6">
        <f>MONTH(AC1966)</f>
        <v/>
      </c>
      <c r="AC1966" s="267">
        <f>IFERROR(__xludf.DUMMYFUNCTION("""COMPUTED_VALUE"""),45115.9986111111)</f>
        <v/>
      </c>
      <c r="AD1966" s="6">
        <f>IFERROR(__xludf.DUMMYFUNCTION("""COMPUTED_VALUE"""),1297.06)</f>
        <v/>
      </c>
      <c r="AH1966" s="6">
        <f>AI1966&amp;AJ1966</f>
        <v/>
      </c>
      <c r="AI1966" s="6">
        <f>YEAR(AK1966)</f>
        <v/>
      </c>
      <c r="AJ1966" s="6">
        <f>MONTH(AK1966)</f>
        <v/>
      </c>
      <c r="AK1966" s="267">
        <f>IFERROR(__xludf.DUMMYFUNCTION("""COMPUTED_VALUE"""),45059.9986111111)</f>
        <v/>
      </c>
      <c r="AL1966" s="6">
        <f>IFERROR(__xludf.DUMMYFUNCTION("""COMPUTED_VALUE"""),26780.87)</f>
        <v/>
      </c>
      <c r="AP1966" s="6">
        <f>AQ1966&amp;AR1966</f>
        <v/>
      </c>
      <c r="AQ1966" s="6">
        <f>YEAR(AS1966)</f>
        <v/>
      </c>
      <c r="AR1966" s="6">
        <f>MONTH(AS1966)</f>
        <v/>
      </c>
      <c r="AS1966" s="267">
        <f>IFERROR(__xludf.DUMMYFUNCTION("""COMPUTED_VALUE"""),45961.9986111111)</f>
        <v/>
      </c>
      <c r="AT1966" s="6">
        <f>IFERROR(__xludf.DUMMYFUNCTION("""COMPUTED_VALUE"""),3996.5)</f>
        <v/>
      </c>
    </row>
    <row r="1967">
      <c r="B1967" s="6">
        <f>C1967&amp;D1967</f>
        <v/>
      </c>
      <c r="C1967" s="6">
        <f>YEAR(E1967)</f>
        <v/>
      </c>
      <c r="D1967" s="6">
        <f>MONTH(E1967)</f>
        <v/>
      </c>
      <c r="E1967" s="267">
        <f>IFERROR(__xludf.DUMMYFUNCTION("""COMPUTED_VALUE"""),45957.6666666666)</f>
        <v/>
      </c>
      <c r="F1967" s="6">
        <f>IFERROR(__xludf.DUMMYFUNCTION("""COMPUTED_VALUE"""),6875.16)</f>
        <v/>
      </c>
      <c r="J1967" s="6">
        <f>K1967&amp;L1967</f>
        <v/>
      </c>
      <c r="K1967" s="6">
        <f>YEAR(M1967)</f>
        <v/>
      </c>
      <c r="L1967" s="6">
        <f>MONTH(M1967)</f>
        <v/>
      </c>
      <c r="M1967" s="267">
        <f>IFERROR(__xludf.DUMMYFUNCTION("""COMPUTED_VALUE"""),45951.6666666666)</f>
        <v/>
      </c>
      <c r="N1967" s="6">
        <f>IFERROR(__xludf.DUMMYFUNCTION("""COMPUTED_VALUE"""),22953.67)</f>
        <v/>
      </c>
      <c r="R1967" s="6">
        <f>S1967&amp;T1967</f>
        <v/>
      </c>
      <c r="S1967" s="6">
        <f>YEAR(U1967)</f>
        <v/>
      </c>
      <c r="T1967" s="6">
        <f>MONTH(U1967)</f>
        <v/>
      </c>
      <c r="U1967" s="267">
        <f>IFERROR(__xludf.DUMMYFUNCTION("""COMPUTED_VALUE"""),46031.6458333333)</f>
        <v/>
      </c>
      <c r="V1967" s="6">
        <f>IFERROR(__xludf.DUMMYFUNCTION("""COMPUTED_VALUE"""),4586.32)</f>
        <v/>
      </c>
      <c r="Z1967" s="6">
        <f>AA1967&amp;AB1967</f>
        <v/>
      </c>
      <c r="AA1967" s="6">
        <f>YEAR(AC1967)</f>
        <v/>
      </c>
      <c r="AB1967" s="6">
        <f>MONTH(AC1967)</f>
        <v/>
      </c>
      <c r="AC1967" s="267">
        <f>IFERROR(__xludf.DUMMYFUNCTION("""COMPUTED_VALUE"""),45116.9986111111)</f>
        <v/>
      </c>
      <c r="AD1967" s="6">
        <f>IFERROR(__xludf.DUMMYFUNCTION("""COMPUTED_VALUE"""),1297.37)</f>
        <v/>
      </c>
      <c r="AH1967" s="6">
        <f>AI1967&amp;AJ1967</f>
        <v/>
      </c>
      <c r="AI1967" s="6">
        <f>YEAR(AK1967)</f>
        <v/>
      </c>
      <c r="AJ1967" s="6">
        <f>MONTH(AK1967)</f>
        <v/>
      </c>
      <c r="AK1967" s="267">
        <f>IFERROR(__xludf.DUMMYFUNCTION("""COMPUTED_VALUE"""),45060.9986111111)</f>
        <v/>
      </c>
      <c r="AL1967" s="6">
        <f>IFERROR(__xludf.DUMMYFUNCTION("""COMPUTED_VALUE"""),26922.28)</f>
        <v/>
      </c>
      <c r="AP1967" s="6">
        <f>AQ1967&amp;AR1967</f>
        <v/>
      </c>
      <c r="AQ1967" s="6">
        <f>YEAR(AS1967)</f>
        <v/>
      </c>
      <c r="AR1967" s="6">
        <f>MONTH(AS1967)</f>
        <v/>
      </c>
      <c r="AS1967" s="267">
        <f>IFERROR(__xludf.DUMMYFUNCTION("""COMPUTED_VALUE"""),45964.9986111111)</f>
        <v/>
      </c>
      <c r="AT1967" s="6">
        <f>IFERROR(__xludf.DUMMYFUNCTION("""COMPUTED_VALUE"""),4014)</f>
        <v/>
      </c>
    </row>
    <row r="1968">
      <c r="B1968" s="6">
        <f>C1968&amp;D1968</f>
        <v/>
      </c>
      <c r="C1968" s="6">
        <f>YEAR(E1968)</f>
        <v/>
      </c>
      <c r="D1968" s="6">
        <f>MONTH(E1968)</f>
        <v/>
      </c>
      <c r="E1968" s="267">
        <f>IFERROR(__xludf.DUMMYFUNCTION("""COMPUTED_VALUE"""),45958.6666666666)</f>
        <v/>
      </c>
      <c r="F1968" s="6">
        <f>IFERROR(__xludf.DUMMYFUNCTION("""COMPUTED_VALUE"""),6890.89)</f>
        <v/>
      </c>
      <c r="J1968" s="6">
        <f>K1968&amp;L1968</f>
        <v/>
      </c>
      <c r="K1968" s="6">
        <f>YEAR(M1968)</f>
        <v/>
      </c>
      <c r="L1968" s="6">
        <f>MONTH(M1968)</f>
        <v/>
      </c>
      <c r="M1968" s="267">
        <f>IFERROR(__xludf.DUMMYFUNCTION("""COMPUTED_VALUE"""),45952.6666666666)</f>
        <v/>
      </c>
      <c r="N1968" s="6">
        <f>IFERROR(__xludf.DUMMYFUNCTION("""COMPUTED_VALUE"""),22740.4)</f>
        <v/>
      </c>
      <c r="R1968" s="6">
        <f>S1968&amp;T1968</f>
        <v/>
      </c>
      <c r="S1968" s="6">
        <f>YEAR(U1968)</f>
        <v/>
      </c>
      <c r="T1968" s="6">
        <f>MONTH(U1968)</f>
        <v/>
      </c>
      <c r="U1968" s="267">
        <f>IFERROR(__xludf.DUMMYFUNCTION("""COMPUTED_VALUE"""),46034.6458333333)</f>
        <v/>
      </c>
      <c r="V1968" s="6">
        <f>IFERROR(__xludf.DUMMYFUNCTION("""COMPUTED_VALUE"""),4624.79)</f>
        <v/>
      </c>
      <c r="Z1968" s="6">
        <f>AA1968&amp;AB1968</f>
        <v/>
      </c>
      <c r="AA1968" s="6">
        <f>YEAR(AC1968)</f>
        <v/>
      </c>
      <c r="AB1968" s="6">
        <f>MONTH(AC1968)</f>
        <v/>
      </c>
      <c r="AC1968" s="267">
        <f>IFERROR(__xludf.DUMMYFUNCTION("""COMPUTED_VALUE"""),45117.9986111111)</f>
        <v/>
      </c>
      <c r="AD1968" s="6">
        <f>IFERROR(__xludf.DUMMYFUNCTION("""COMPUTED_VALUE"""),1299.54)</f>
        <v/>
      </c>
      <c r="AH1968" s="6">
        <f>AI1968&amp;AJ1968</f>
        <v/>
      </c>
      <c r="AI1968" s="6">
        <f>YEAR(AK1968)</f>
        <v/>
      </c>
      <c r="AJ1968" s="6">
        <f>MONTH(AK1968)</f>
        <v/>
      </c>
      <c r="AK1968" s="267">
        <f>IFERROR(__xludf.DUMMYFUNCTION("""COMPUTED_VALUE"""),45061.9986111111)</f>
        <v/>
      </c>
      <c r="AL1968" s="6">
        <f>IFERROR(__xludf.DUMMYFUNCTION("""COMPUTED_VALUE"""),27176.95)</f>
        <v/>
      </c>
      <c r="AP1968" s="6">
        <f>AQ1968&amp;AR1968</f>
        <v/>
      </c>
      <c r="AQ1968" s="6">
        <f>YEAR(AS1968)</f>
        <v/>
      </c>
      <c r="AR1968" s="6">
        <f>MONTH(AS1968)</f>
        <v/>
      </c>
      <c r="AS1968" s="267">
        <f>IFERROR(__xludf.DUMMYFUNCTION("""COMPUTED_VALUE"""),45965.9986111111)</f>
        <v/>
      </c>
      <c r="AT1968" s="6">
        <f>IFERROR(__xludf.DUMMYFUNCTION("""COMPUTED_VALUE"""),3960.5)</f>
        <v/>
      </c>
    </row>
    <row r="1969">
      <c r="B1969" s="6">
        <f>C1969&amp;D1969</f>
        <v/>
      </c>
      <c r="C1969" s="6">
        <f>YEAR(E1969)</f>
        <v/>
      </c>
      <c r="D1969" s="6">
        <f>MONTH(E1969)</f>
        <v/>
      </c>
      <c r="E1969" s="267">
        <f>IFERROR(__xludf.DUMMYFUNCTION("""COMPUTED_VALUE"""),45959.6666666666)</f>
        <v/>
      </c>
      <c r="F1969" s="6">
        <f>IFERROR(__xludf.DUMMYFUNCTION("""COMPUTED_VALUE"""),6890.59)</f>
        <v/>
      </c>
      <c r="J1969" s="6">
        <f>K1969&amp;L1969</f>
        <v/>
      </c>
      <c r="K1969" s="6">
        <f>YEAR(M1969)</f>
        <v/>
      </c>
      <c r="L1969" s="6">
        <f>MONTH(M1969)</f>
        <v/>
      </c>
      <c r="M1969" s="267">
        <f>IFERROR(__xludf.DUMMYFUNCTION("""COMPUTED_VALUE"""),45953.6666666666)</f>
        <v/>
      </c>
      <c r="N1969" s="6">
        <f>IFERROR(__xludf.DUMMYFUNCTION("""COMPUTED_VALUE"""),22941.8)</f>
        <v/>
      </c>
      <c r="R1969" s="6">
        <f>S1969&amp;T1969</f>
        <v/>
      </c>
      <c r="S1969" s="6">
        <f>YEAR(U1969)</f>
        <v/>
      </c>
      <c r="T1969" s="6">
        <f>MONTH(U1969)</f>
        <v/>
      </c>
      <c r="U1969" s="267">
        <f>IFERROR(__xludf.DUMMYFUNCTION("""COMPUTED_VALUE"""),46035.6458333333)</f>
        <v/>
      </c>
      <c r="V1969" s="6">
        <f>IFERROR(__xludf.DUMMYFUNCTION("""COMPUTED_VALUE"""),4692.64)</f>
        <v/>
      </c>
      <c r="Z1969" s="6">
        <f>AA1969&amp;AB1969</f>
        <v/>
      </c>
      <c r="AA1969" s="6">
        <f>YEAR(AC1969)</f>
        <v/>
      </c>
      <c r="AB1969" s="6">
        <f>MONTH(AC1969)</f>
        <v/>
      </c>
      <c r="AC1969" s="267">
        <f>IFERROR(__xludf.DUMMYFUNCTION("""COMPUTED_VALUE"""),45118.9986111111)</f>
        <v/>
      </c>
      <c r="AD1969" s="6">
        <f>IFERROR(__xludf.DUMMYFUNCTION("""COMPUTED_VALUE"""),1291.51)</f>
        <v/>
      </c>
      <c r="AH1969" s="6">
        <f>AI1969&amp;AJ1969</f>
        <v/>
      </c>
      <c r="AI1969" s="6">
        <f>YEAR(AK1969)</f>
        <v/>
      </c>
      <c r="AJ1969" s="6">
        <f>MONTH(AK1969)</f>
        <v/>
      </c>
      <c r="AK1969" s="267">
        <f>IFERROR(__xludf.DUMMYFUNCTION("""COMPUTED_VALUE"""),45062.9986111111)</f>
        <v/>
      </c>
      <c r="AL1969" s="6">
        <f>IFERROR(__xludf.DUMMYFUNCTION("""COMPUTED_VALUE"""),27035.87)</f>
        <v/>
      </c>
      <c r="AP1969" s="6">
        <f>AQ1969&amp;AR1969</f>
        <v/>
      </c>
      <c r="AQ1969" s="6">
        <f>YEAR(AS1969)</f>
        <v/>
      </c>
      <c r="AR1969" s="6">
        <f>MONTH(AS1969)</f>
        <v/>
      </c>
      <c r="AS1969" s="267">
        <f>IFERROR(__xludf.DUMMYFUNCTION("""COMPUTED_VALUE"""),45966.9986111111)</f>
        <v/>
      </c>
      <c r="AT1969" s="6">
        <f>IFERROR(__xludf.DUMMYFUNCTION("""COMPUTED_VALUE"""),3992.9)</f>
        <v/>
      </c>
    </row>
    <row r="1970">
      <c r="B1970" s="6">
        <f>C1970&amp;D1970</f>
        <v/>
      </c>
      <c r="C1970" s="6">
        <f>YEAR(E1970)</f>
        <v/>
      </c>
      <c r="D1970" s="6">
        <f>MONTH(E1970)</f>
        <v/>
      </c>
      <c r="E1970" s="267">
        <f>IFERROR(__xludf.DUMMYFUNCTION("""COMPUTED_VALUE"""),45960.6666666666)</f>
        <v/>
      </c>
      <c r="F1970" s="6">
        <f>IFERROR(__xludf.DUMMYFUNCTION("""COMPUTED_VALUE"""),6822.34)</f>
        <v/>
      </c>
      <c r="J1970" s="6">
        <f>K1970&amp;L1970</f>
        <v/>
      </c>
      <c r="K1970" s="6">
        <f>YEAR(M1970)</f>
        <v/>
      </c>
      <c r="L1970" s="6">
        <f>MONTH(M1970)</f>
        <v/>
      </c>
      <c r="M1970" s="267">
        <f>IFERROR(__xludf.DUMMYFUNCTION("""COMPUTED_VALUE"""),45954.6666666666)</f>
        <v/>
      </c>
      <c r="N1970" s="6">
        <f>IFERROR(__xludf.DUMMYFUNCTION("""COMPUTED_VALUE"""),23204.87)</f>
        <v/>
      </c>
      <c r="R1970" s="6">
        <f>S1970&amp;T1970</f>
        <v/>
      </c>
      <c r="S1970" s="6">
        <f>YEAR(U1970)</f>
        <v/>
      </c>
      <c r="T1970" s="6">
        <f>MONTH(U1970)</f>
        <v/>
      </c>
      <c r="U1970" s="267">
        <f>IFERROR(__xludf.DUMMYFUNCTION("""COMPUTED_VALUE"""),46036.6458333333)</f>
        <v/>
      </c>
      <c r="V1970" s="6">
        <f>IFERROR(__xludf.DUMMYFUNCTION("""COMPUTED_VALUE"""),4723.1)</f>
        <v/>
      </c>
      <c r="Z1970" s="6">
        <f>AA1970&amp;AB1970</f>
        <v/>
      </c>
      <c r="AA1970" s="6">
        <f>YEAR(AC1970)</f>
        <v/>
      </c>
      <c r="AB1970" s="6">
        <f>MONTH(AC1970)</f>
        <v/>
      </c>
      <c r="AC1970" s="267">
        <f>IFERROR(__xludf.DUMMYFUNCTION("""COMPUTED_VALUE"""),45119.9986111111)</f>
        <v/>
      </c>
      <c r="AD1970" s="6">
        <f>IFERROR(__xludf.DUMMYFUNCTION("""COMPUTED_VALUE"""),1274.7)</f>
        <v/>
      </c>
      <c r="AH1970" s="6">
        <f>AI1970&amp;AJ1970</f>
        <v/>
      </c>
      <c r="AI1970" s="6">
        <f>YEAR(AK1970)</f>
        <v/>
      </c>
      <c r="AJ1970" s="6">
        <f>MONTH(AK1970)</f>
        <v/>
      </c>
      <c r="AK1970" s="267">
        <f>IFERROR(__xludf.DUMMYFUNCTION("""COMPUTED_VALUE"""),45063.9986111111)</f>
        <v/>
      </c>
      <c r="AL1970" s="6">
        <f>IFERROR(__xludf.DUMMYFUNCTION("""COMPUTED_VALUE"""),27401.65)</f>
        <v/>
      </c>
      <c r="AP1970" s="6">
        <f>AQ1970&amp;AR1970</f>
        <v/>
      </c>
      <c r="AQ1970" s="6">
        <f>YEAR(AS1970)</f>
        <v/>
      </c>
      <c r="AR1970" s="6">
        <f>MONTH(AS1970)</f>
        <v/>
      </c>
      <c r="AS1970" s="267">
        <f>IFERROR(__xludf.DUMMYFUNCTION("""COMPUTED_VALUE"""),45967.9986111111)</f>
        <v/>
      </c>
      <c r="AT1970" s="6">
        <f>IFERROR(__xludf.DUMMYFUNCTION("""COMPUTED_VALUE"""),3991)</f>
        <v/>
      </c>
    </row>
    <row r="1971">
      <c r="B1971" s="6">
        <f>C1971&amp;D1971</f>
        <v/>
      </c>
      <c r="C1971" s="6">
        <f>YEAR(E1971)</f>
        <v/>
      </c>
      <c r="D1971" s="6">
        <f>MONTH(E1971)</f>
        <v/>
      </c>
      <c r="E1971" s="267">
        <f>IFERROR(__xludf.DUMMYFUNCTION("""COMPUTED_VALUE"""),45961.6666666666)</f>
        <v/>
      </c>
      <c r="F1971" s="6">
        <f>IFERROR(__xludf.DUMMYFUNCTION("""COMPUTED_VALUE"""),6840.2)</f>
        <v/>
      </c>
      <c r="J1971" s="6">
        <f>K1971&amp;L1971</f>
        <v/>
      </c>
      <c r="K1971" s="6">
        <f>YEAR(M1971)</f>
        <v/>
      </c>
      <c r="L1971" s="6">
        <f>MONTH(M1971)</f>
        <v/>
      </c>
      <c r="M1971" s="267">
        <f>IFERROR(__xludf.DUMMYFUNCTION("""COMPUTED_VALUE"""),45957.6666666666)</f>
        <v/>
      </c>
      <c r="N1971" s="6">
        <f>IFERROR(__xludf.DUMMYFUNCTION("""COMPUTED_VALUE"""),23637.46)</f>
        <v/>
      </c>
      <c r="R1971" s="6">
        <f>S1971&amp;T1971</f>
        <v/>
      </c>
      <c r="S1971" s="6">
        <f>YEAR(U1971)</f>
        <v/>
      </c>
      <c r="T1971" s="6">
        <f>MONTH(U1971)</f>
        <v/>
      </c>
      <c r="U1971" s="267">
        <f>IFERROR(__xludf.DUMMYFUNCTION("""COMPUTED_VALUE"""),46037.6458333333)</f>
        <v/>
      </c>
      <c r="V1971" s="6">
        <f>IFERROR(__xludf.DUMMYFUNCTION("""COMPUTED_VALUE"""),4797.55)</f>
        <v/>
      </c>
      <c r="Z1971" s="6">
        <f>AA1971&amp;AB1971</f>
        <v/>
      </c>
      <c r="AA1971" s="6">
        <f>YEAR(AC1971)</f>
        <v/>
      </c>
      <c r="AB1971" s="6">
        <f>MONTH(AC1971)</f>
        <v/>
      </c>
      <c r="AC1971" s="267">
        <f>IFERROR(__xludf.DUMMYFUNCTION("""COMPUTED_VALUE"""),45120.9986111111)</f>
        <v/>
      </c>
      <c r="AD1971" s="6">
        <f>IFERROR(__xludf.DUMMYFUNCTION("""COMPUTED_VALUE"""),1266.83)</f>
        <v/>
      </c>
      <c r="AH1971" s="6">
        <f>AI1971&amp;AJ1971</f>
        <v/>
      </c>
      <c r="AI1971" s="6">
        <f>YEAR(AK1971)</f>
        <v/>
      </c>
      <c r="AJ1971" s="6">
        <f>MONTH(AK1971)</f>
        <v/>
      </c>
      <c r="AK1971" s="267">
        <f>IFERROR(__xludf.DUMMYFUNCTION("""COMPUTED_VALUE"""),45064.9986111111)</f>
        <v/>
      </c>
      <c r="AL1971" s="6">
        <f>IFERROR(__xludf.DUMMYFUNCTION("""COMPUTED_VALUE"""),26828.17)</f>
        <v/>
      </c>
      <c r="AP1971" s="6">
        <f>AQ1971&amp;AR1971</f>
        <v/>
      </c>
      <c r="AQ1971" s="6">
        <f>YEAR(AS1971)</f>
        <v/>
      </c>
      <c r="AR1971" s="6">
        <f>MONTH(AS1971)</f>
        <v/>
      </c>
      <c r="AS1971" s="267">
        <f>IFERROR(__xludf.DUMMYFUNCTION("""COMPUTED_VALUE"""),45968.9986111111)</f>
        <v/>
      </c>
      <c r="AT1971" s="6">
        <f>IFERROR(__xludf.DUMMYFUNCTION("""COMPUTED_VALUE"""),4009.8)</f>
        <v/>
      </c>
    </row>
    <row r="1972">
      <c r="B1972" s="6">
        <f>C1972&amp;D1972</f>
        <v/>
      </c>
      <c r="C1972" s="6">
        <f>YEAR(E1972)</f>
        <v/>
      </c>
      <c r="D1972" s="6">
        <f>MONTH(E1972)</f>
        <v/>
      </c>
      <c r="E1972" s="267">
        <f>IFERROR(__xludf.DUMMYFUNCTION("""COMPUTED_VALUE"""),45964.6666666666)</f>
        <v/>
      </c>
      <c r="F1972" s="6">
        <f>IFERROR(__xludf.DUMMYFUNCTION("""COMPUTED_VALUE"""),6851.97)</f>
        <v/>
      </c>
      <c r="J1972" s="6">
        <f>K1972&amp;L1972</f>
        <v/>
      </c>
      <c r="K1972" s="6">
        <f>YEAR(M1972)</f>
        <v/>
      </c>
      <c r="L1972" s="6">
        <f>MONTH(M1972)</f>
        <v/>
      </c>
      <c r="M1972" s="267">
        <f>IFERROR(__xludf.DUMMYFUNCTION("""COMPUTED_VALUE"""),45958.6666666666)</f>
        <v/>
      </c>
      <c r="N1972" s="6">
        <f>IFERROR(__xludf.DUMMYFUNCTION("""COMPUTED_VALUE"""),23827.49)</f>
        <v/>
      </c>
      <c r="R1972" s="6">
        <f>S1972&amp;T1972</f>
        <v/>
      </c>
      <c r="S1972" s="6">
        <f>YEAR(U1972)</f>
        <v/>
      </c>
      <c r="T1972" s="6">
        <f>MONTH(U1972)</f>
        <v/>
      </c>
      <c r="U1972" s="267">
        <f>IFERROR(__xludf.DUMMYFUNCTION("""COMPUTED_VALUE"""),46038.6458333333)</f>
        <v/>
      </c>
      <c r="V1972" s="6">
        <f>IFERROR(__xludf.DUMMYFUNCTION("""COMPUTED_VALUE"""),4840.74)</f>
        <v/>
      </c>
      <c r="Z1972" s="6">
        <f>AA1972&amp;AB1972</f>
        <v/>
      </c>
      <c r="AA1972" s="6">
        <f>YEAR(AC1972)</f>
        <v/>
      </c>
      <c r="AB1972" s="6">
        <f>MONTH(AC1972)</f>
        <v/>
      </c>
      <c r="AC1972" s="267">
        <f>IFERROR(__xludf.DUMMYFUNCTION("""COMPUTED_VALUE"""),45121.9986111111)</f>
        <v/>
      </c>
      <c r="AD1972" s="6">
        <f>IFERROR(__xludf.DUMMYFUNCTION("""COMPUTED_VALUE"""),1268.23)</f>
        <v/>
      </c>
      <c r="AH1972" s="6">
        <f>AI1972&amp;AJ1972</f>
        <v/>
      </c>
      <c r="AI1972" s="6">
        <f>YEAR(AK1972)</f>
        <v/>
      </c>
      <c r="AJ1972" s="6">
        <f>MONTH(AK1972)</f>
        <v/>
      </c>
      <c r="AK1972" s="267">
        <f>IFERROR(__xludf.DUMMYFUNCTION("""COMPUTED_VALUE"""),45065.9986111111)</f>
        <v/>
      </c>
      <c r="AL1972" s="6">
        <f>IFERROR(__xludf.DUMMYFUNCTION("""COMPUTED_VALUE"""),26887.22)</f>
        <v/>
      </c>
      <c r="AP1972" s="6">
        <f>AQ1972&amp;AR1972</f>
        <v/>
      </c>
      <c r="AQ1972" s="6">
        <f>YEAR(AS1972)</f>
        <v/>
      </c>
      <c r="AR1972" s="6">
        <f>MONTH(AS1972)</f>
        <v/>
      </c>
      <c r="AS1972" s="267">
        <f>IFERROR(__xludf.DUMMYFUNCTION("""COMPUTED_VALUE"""),45971.9986111111)</f>
        <v/>
      </c>
      <c r="AT1972" s="6">
        <f>IFERROR(__xludf.DUMMYFUNCTION("""COMPUTED_VALUE"""),4122)</f>
        <v/>
      </c>
    </row>
    <row r="1973">
      <c r="B1973" s="6">
        <f>C1973&amp;D1973</f>
        <v/>
      </c>
      <c r="C1973" s="6">
        <f>YEAR(E1973)</f>
        <v/>
      </c>
      <c r="D1973" s="6">
        <f>MONTH(E1973)</f>
        <v/>
      </c>
      <c r="E1973" s="267">
        <f>IFERROR(__xludf.DUMMYFUNCTION("""COMPUTED_VALUE"""),45965.6666666666)</f>
        <v/>
      </c>
      <c r="F1973" s="6">
        <f>IFERROR(__xludf.DUMMYFUNCTION("""COMPUTED_VALUE"""),6771.55)</f>
        <v/>
      </c>
      <c r="J1973" s="6">
        <f>K1973&amp;L1973</f>
        <v/>
      </c>
      <c r="K1973" s="6">
        <f>YEAR(M1973)</f>
        <v/>
      </c>
      <c r="L1973" s="6">
        <f>MONTH(M1973)</f>
        <v/>
      </c>
      <c r="M1973" s="267">
        <f>IFERROR(__xludf.DUMMYFUNCTION("""COMPUTED_VALUE"""),45959.6666666666)</f>
        <v/>
      </c>
      <c r="N1973" s="6">
        <f>IFERROR(__xludf.DUMMYFUNCTION("""COMPUTED_VALUE"""),23958.47)</f>
        <v/>
      </c>
      <c r="R1973" s="6">
        <f>S1973&amp;T1973</f>
        <v/>
      </c>
      <c r="S1973" s="6">
        <f>YEAR(U1973)</f>
        <v/>
      </c>
      <c r="T1973" s="6">
        <f>MONTH(U1973)</f>
        <v/>
      </c>
      <c r="U1973" s="267">
        <f>IFERROR(__xludf.DUMMYFUNCTION("""COMPUTED_VALUE"""),46041.6458333333)</f>
        <v/>
      </c>
      <c r="V1973" s="6">
        <f>IFERROR(__xludf.DUMMYFUNCTION("""COMPUTED_VALUE"""),4904.66)</f>
        <v/>
      </c>
      <c r="Z1973" s="6">
        <f>AA1973&amp;AB1973</f>
        <v/>
      </c>
      <c r="AA1973" s="6">
        <f>YEAR(AC1973)</f>
        <v/>
      </c>
      <c r="AB1973" s="6">
        <f>MONTH(AC1973)</f>
        <v/>
      </c>
      <c r="AC1973" s="267">
        <f>IFERROR(__xludf.DUMMYFUNCTION("""COMPUTED_VALUE"""),45122.9986111111)</f>
        <v/>
      </c>
      <c r="AD1973" s="6">
        <f>IFERROR(__xludf.DUMMYFUNCTION("""COMPUTED_VALUE"""),1267.83)</f>
        <v/>
      </c>
      <c r="AH1973" s="6">
        <f>AI1973&amp;AJ1973</f>
        <v/>
      </c>
      <c r="AI1973" s="6">
        <f>YEAR(AK1973)</f>
        <v/>
      </c>
      <c r="AJ1973" s="6">
        <f>MONTH(AK1973)</f>
        <v/>
      </c>
      <c r="AK1973" s="267">
        <f>IFERROR(__xludf.DUMMYFUNCTION("""COMPUTED_VALUE"""),45066.9986111111)</f>
        <v/>
      </c>
      <c r="AL1973" s="6">
        <f>IFERROR(__xludf.DUMMYFUNCTION("""COMPUTED_VALUE"""),27118.38)</f>
        <v/>
      </c>
      <c r="AP1973" s="6">
        <f>AQ1973&amp;AR1973</f>
        <v/>
      </c>
      <c r="AQ1973" s="6">
        <f>YEAR(AS1973)</f>
        <v/>
      </c>
      <c r="AR1973" s="6">
        <f>MONTH(AS1973)</f>
        <v/>
      </c>
      <c r="AS1973" s="267">
        <f>IFERROR(__xludf.DUMMYFUNCTION("""COMPUTED_VALUE"""),45972.9986111111)</f>
        <v/>
      </c>
      <c r="AT1973" s="6">
        <f>IFERROR(__xludf.DUMMYFUNCTION("""COMPUTED_VALUE"""),4116.3)</f>
        <v/>
      </c>
    </row>
    <row r="1974">
      <c r="B1974" s="6">
        <f>C1974&amp;D1974</f>
        <v/>
      </c>
      <c r="C1974" s="6">
        <f>YEAR(E1974)</f>
        <v/>
      </c>
      <c r="D1974" s="6">
        <f>MONTH(E1974)</f>
        <v/>
      </c>
      <c r="E1974" s="267">
        <f>IFERROR(__xludf.DUMMYFUNCTION("""COMPUTED_VALUE"""),45966.6666666666)</f>
        <v/>
      </c>
      <c r="F1974" s="6">
        <f>IFERROR(__xludf.DUMMYFUNCTION("""COMPUTED_VALUE"""),6796.29)</f>
        <v/>
      </c>
      <c r="J1974" s="6">
        <f>K1974&amp;L1974</f>
        <v/>
      </c>
      <c r="K1974" s="6">
        <f>YEAR(M1974)</f>
        <v/>
      </c>
      <c r="L1974" s="6">
        <f>MONTH(M1974)</f>
        <v/>
      </c>
      <c r="M1974" s="267">
        <f>IFERROR(__xludf.DUMMYFUNCTION("""COMPUTED_VALUE"""),45960.6666666666)</f>
        <v/>
      </c>
      <c r="N1974" s="6">
        <f>IFERROR(__xludf.DUMMYFUNCTION("""COMPUTED_VALUE"""),23581.14)</f>
        <v/>
      </c>
      <c r="R1974" s="6">
        <f>S1974&amp;T1974</f>
        <v/>
      </c>
      <c r="S1974" s="6">
        <f>YEAR(U1974)</f>
        <v/>
      </c>
      <c r="T1974" s="6">
        <f>MONTH(U1974)</f>
        <v/>
      </c>
      <c r="U1974" s="267">
        <f>IFERROR(__xludf.DUMMYFUNCTION("""COMPUTED_VALUE"""),46042.6458333333)</f>
        <v/>
      </c>
      <c r="V1974" s="6">
        <f>IFERROR(__xludf.DUMMYFUNCTION("""COMPUTED_VALUE"""),4885.75)</f>
        <v/>
      </c>
      <c r="Z1974" s="6">
        <f>AA1974&amp;AB1974</f>
        <v/>
      </c>
      <c r="AA1974" s="6">
        <f>YEAR(AC1974)</f>
        <v/>
      </c>
      <c r="AB1974" s="6">
        <f>MONTH(AC1974)</f>
        <v/>
      </c>
      <c r="AC1974" s="267">
        <f>IFERROR(__xludf.DUMMYFUNCTION("""COMPUTED_VALUE"""),45123.9986111111)</f>
        <v/>
      </c>
      <c r="AD1974" s="6">
        <f>IFERROR(__xludf.DUMMYFUNCTION("""COMPUTED_VALUE"""),1268.34)</f>
        <v/>
      </c>
      <c r="AH1974" s="6">
        <f>AI1974&amp;AJ1974</f>
        <v/>
      </c>
      <c r="AI1974" s="6">
        <f>YEAR(AK1974)</f>
        <v/>
      </c>
      <c r="AJ1974" s="6">
        <f>MONTH(AK1974)</f>
        <v/>
      </c>
      <c r="AK1974" s="267">
        <f>IFERROR(__xludf.DUMMYFUNCTION("""COMPUTED_VALUE"""),45067.9986111111)</f>
        <v/>
      </c>
      <c r="AL1974" s="6">
        <f>IFERROR(__xludf.DUMMYFUNCTION("""COMPUTED_VALUE"""),26750.97)</f>
        <v/>
      </c>
      <c r="AP1974" s="6">
        <f>AQ1974&amp;AR1974</f>
        <v/>
      </c>
      <c r="AQ1974" s="6">
        <f>YEAR(AS1974)</f>
        <v/>
      </c>
      <c r="AR1974" s="6">
        <f>MONTH(AS1974)</f>
        <v/>
      </c>
      <c r="AS1974" s="267">
        <f>IFERROR(__xludf.DUMMYFUNCTION("""COMPUTED_VALUE"""),45973.9986111111)</f>
        <v/>
      </c>
      <c r="AT1974" s="6">
        <f>IFERROR(__xludf.DUMMYFUNCTION("""COMPUTED_VALUE"""),4213.6)</f>
        <v/>
      </c>
    </row>
    <row r="1975">
      <c r="B1975" s="6">
        <f>C1975&amp;D1975</f>
        <v/>
      </c>
      <c r="C1975" s="6">
        <f>YEAR(E1975)</f>
        <v/>
      </c>
      <c r="D1975" s="6">
        <f>MONTH(E1975)</f>
        <v/>
      </c>
      <c r="E1975" s="267">
        <f>IFERROR(__xludf.DUMMYFUNCTION("""COMPUTED_VALUE"""),45967.6666666666)</f>
        <v/>
      </c>
      <c r="F1975" s="6">
        <f>IFERROR(__xludf.DUMMYFUNCTION("""COMPUTED_VALUE"""),6720.32)</f>
        <v/>
      </c>
      <c r="J1975" s="6">
        <f>K1975&amp;L1975</f>
        <v/>
      </c>
      <c r="K1975" s="6">
        <f>YEAR(M1975)</f>
        <v/>
      </c>
      <c r="L1975" s="6">
        <f>MONTH(M1975)</f>
        <v/>
      </c>
      <c r="M1975" s="267">
        <f>IFERROR(__xludf.DUMMYFUNCTION("""COMPUTED_VALUE"""),45961.6666666666)</f>
        <v/>
      </c>
      <c r="N1975" s="6">
        <f>IFERROR(__xludf.DUMMYFUNCTION("""COMPUTED_VALUE"""),23724.96)</f>
        <v/>
      </c>
      <c r="R1975" s="6">
        <f>S1975&amp;T1975</f>
        <v/>
      </c>
      <c r="S1975" s="6">
        <f>YEAR(U1975)</f>
        <v/>
      </c>
      <c r="T1975" s="6">
        <f>MONTH(U1975)</f>
        <v/>
      </c>
      <c r="U1975" s="267">
        <f>IFERROR(__xludf.DUMMYFUNCTION("""COMPUTED_VALUE"""),46043.6458333333)</f>
        <v/>
      </c>
      <c r="V1975" s="6">
        <f>IFERROR(__xludf.DUMMYFUNCTION("""COMPUTED_VALUE"""),4909.93)</f>
        <v/>
      </c>
      <c r="Z1975" s="6">
        <f>AA1975&amp;AB1975</f>
        <v/>
      </c>
      <c r="AA1975" s="6">
        <f>YEAR(AC1975)</f>
        <v/>
      </c>
      <c r="AB1975" s="6">
        <f>MONTH(AC1975)</f>
        <v/>
      </c>
      <c r="AC1975" s="267">
        <f>IFERROR(__xludf.DUMMYFUNCTION("""COMPUTED_VALUE"""),45124.9986111111)</f>
        <v/>
      </c>
      <c r="AD1975" s="6">
        <f>IFERROR(__xludf.DUMMYFUNCTION("""COMPUTED_VALUE"""),1265.45)</f>
        <v/>
      </c>
      <c r="AH1975" s="6">
        <f>AI1975&amp;AJ1975</f>
        <v/>
      </c>
      <c r="AI1975" s="6">
        <f>YEAR(AK1975)</f>
        <v/>
      </c>
      <c r="AJ1975" s="6">
        <f>MONTH(AK1975)</f>
        <v/>
      </c>
      <c r="AK1975" s="267">
        <f>IFERROR(__xludf.DUMMYFUNCTION("""COMPUTED_VALUE"""),45068.9986111111)</f>
        <v/>
      </c>
      <c r="AL1975" s="6">
        <f>IFERROR(__xludf.DUMMYFUNCTION("""COMPUTED_VALUE"""),26852.15)</f>
        <v/>
      </c>
      <c r="AP1975" s="6">
        <f>AQ1975&amp;AR1975</f>
        <v/>
      </c>
      <c r="AQ1975" s="6">
        <f>YEAR(AS1975)</f>
        <v/>
      </c>
      <c r="AR1975" s="6">
        <f>MONTH(AS1975)</f>
        <v/>
      </c>
      <c r="AS1975" s="267">
        <f>IFERROR(__xludf.DUMMYFUNCTION("""COMPUTED_VALUE"""),45974.9986111111)</f>
        <v/>
      </c>
      <c r="AT1975" s="6">
        <f>IFERROR(__xludf.DUMMYFUNCTION("""COMPUTED_VALUE"""),4194.5)</f>
        <v/>
      </c>
    </row>
    <row r="1976">
      <c r="B1976" s="6">
        <f>C1976&amp;D1976</f>
        <v/>
      </c>
      <c r="C1976" s="6">
        <f>YEAR(E1976)</f>
        <v/>
      </c>
      <c r="D1976" s="6">
        <f>MONTH(E1976)</f>
        <v/>
      </c>
      <c r="E1976" s="267">
        <f>IFERROR(__xludf.DUMMYFUNCTION("""COMPUTED_VALUE"""),45968.6666666666)</f>
        <v/>
      </c>
      <c r="F1976" s="6">
        <f>IFERROR(__xludf.DUMMYFUNCTION("""COMPUTED_VALUE"""),6728.8)</f>
        <v/>
      </c>
      <c r="J1976" s="6">
        <f>K1976&amp;L1976</f>
        <v/>
      </c>
      <c r="K1976" s="6">
        <f>YEAR(M1976)</f>
        <v/>
      </c>
      <c r="L1976" s="6">
        <f>MONTH(M1976)</f>
        <v/>
      </c>
      <c r="M1976" s="267">
        <f>IFERROR(__xludf.DUMMYFUNCTION("""COMPUTED_VALUE"""),45964.6666666666)</f>
        <v/>
      </c>
      <c r="N1976" s="6">
        <f>IFERROR(__xludf.DUMMYFUNCTION("""COMPUTED_VALUE"""),23834.72)</f>
        <v/>
      </c>
      <c r="R1976" s="6">
        <f>S1976&amp;T1976</f>
        <v/>
      </c>
      <c r="S1976" s="6">
        <f>YEAR(U1976)</f>
        <v/>
      </c>
      <c r="T1976" s="6">
        <f>MONTH(U1976)</f>
        <v/>
      </c>
      <c r="U1976" s="267">
        <f>IFERROR(__xludf.DUMMYFUNCTION("""COMPUTED_VALUE"""),46044.6458333333)</f>
        <v/>
      </c>
      <c r="V1976" s="6">
        <f>IFERROR(__xludf.DUMMYFUNCTION("""COMPUTED_VALUE"""),4952.53)</f>
        <v/>
      </c>
      <c r="Z1976" s="6">
        <f>AA1976&amp;AB1976</f>
        <v/>
      </c>
      <c r="AA1976" s="6">
        <f>YEAR(AC1976)</f>
        <v/>
      </c>
      <c r="AB1976" s="6">
        <f>MONTH(AC1976)</f>
        <v/>
      </c>
      <c r="AC1976" s="267">
        <f>IFERROR(__xludf.DUMMYFUNCTION("""COMPUTED_VALUE"""),45125.9986111111)</f>
        <v/>
      </c>
      <c r="AD1976" s="6">
        <f>IFERROR(__xludf.DUMMYFUNCTION("""COMPUTED_VALUE"""),1264.94)</f>
        <v/>
      </c>
      <c r="AH1976" s="6">
        <f>AI1976&amp;AJ1976</f>
        <v/>
      </c>
      <c r="AI1976" s="6">
        <f>YEAR(AK1976)</f>
        <v/>
      </c>
      <c r="AJ1976" s="6">
        <f>MONTH(AK1976)</f>
        <v/>
      </c>
      <c r="AK1976" s="267">
        <f>IFERROR(__xludf.DUMMYFUNCTION("""COMPUTED_VALUE"""),45069.9986111111)</f>
        <v/>
      </c>
      <c r="AL1976" s="6">
        <f>IFERROR(__xludf.DUMMYFUNCTION("""COMPUTED_VALUE"""),27220.68)</f>
        <v/>
      </c>
      <c r="AP1976" s="6">
        <f>AQ1976&amp;AR1976</f>
        <v/>
      </c>
      <c r="AQ1976" s="6">
        <f>YEAR(AS1976)</f>
        <v/>
      </c>
      <c r="AR1976" s="6">
        <f>MONTH(AS1976)</f>
        <v/>
      </c>
      <c r="AS1976" s="267">
        <f>IFERROR(__xludf.DUMMYFUNCTION("""COMPUTED_VALUE"""),45975.9986111111)</f>
        <v/>
      </c>
      <c r="AT1976" s="6">
        <f>IFERROR(__xludf.DUMMYFUNCTION("""COMPUTED_VALUE"""),4094.2)</f>
        <v/>
      </c>
    </row>
    <row r="1977">
      <c r="B1977" s="6">
        <f>C1977&amp;D1977</f>
        <v/>
      </c>
      <c r="C1977" s="6">
        <f>YEAR(E1977)</f>
        <v/>
      </c>
      <c r="D1977" s="6">
        <f>MONTH(E1977)</f>
        <v/>
      </c>
      <c r="E1977" s="267">
        <f>IFERROR(__xludf.DUMMYFUNCTION("""COMPUTED_VALUE"""),45971.6666666666)</f>
        <v/>
      </c>
      <c r="F1977" s="6">
        <f>IFERROR(__xludf.DUMMYFUNCTION("""COMPUTED_VALUE"""),6832.43)</f>
        <v/>
      </c>
      <c r="J1977" s="6">
        <f>K1977&amp;L1977</f>
        <v/>
      </c>
      <c r="K1977" s="6">
        <f>YEAR(M1977)</f>
        <v/>
      </c>
      <c r="L1977" s="6">
        <f>MONTH(M1977)</f>
        <v/>
      </c>
      <c r="M1977" s="267">
        <f>IFERROR(__xludf.DUMMYFUNCTION("""COMPUTED_VALUE"""),45965.6666666666)</f>
        <v/>
      </c>
      <c r="N1977" s="6">
        <f>IFERROR(__xludf.DUMMYFUNCTION("""COMPUTED_VALUE"""),23348.64)</f>
        <v/>
      </c>
      <c r="R1977" s="6">
        <f>S1977&amp;T1977</f>
        <v/>
      </c>
      <c r="S1977" s="6">
        <f>YEAR(U1977)</f>
        <v/>
      </c>
      <c r="T1977" s="6">
        <f>MONTH(U1977)</f>
        <v/>
      </c>
      <c r="U1977" s="267">
        <f>IFERROR(__xludf.DUMMYFUNCTION("""COMPUTED_VALUE"""),46045.6458333333)</f>
        <v/>
      </c>
      <c r="V1977" s="6">
        <f>IFERROR(__xludf.DUMMYFUNCTION("""COMPUTED_VALUE"""),4990.07)</f>
        <v/>
      </c>
      <c r="Z1977" s="6">
        <f>AA1977&amp;AB1977</f>
        <v/>
      </c>
      <c r="AA1977" s="6">
        <f>YEAR(AC1977)</f>
        <v/>
      </c>
      <c r="AB1977" s="6">
        <f>MONTH(AC1977)</f>
        <v/>
      </c>
      <c r="AC1977" s="267">
        <f>IFERROR(__xludf.DUMMYFUNCTION("""COMPUTED_VALUE"""),45126.9986111111)</f>
        <v/>
      </c>
      <c r="AD1977" s="6">
        <f>IFERROR(__xludf.DUMMYFUNCTION("""COMPUTED_VALUE"""),1265.09)</f>
        <v/>
      </c>
      <c r="AH1977" s="6">
        <f>AI1977&amp;AJ1977</f>
        <v/>
      </c>
      <c r="AI1977" s="6">
        <f>YEAR(AK1977)</f>
        <v/>
      </c>
      <c r="AJ1977" s="6">
        <f>MONTH(AK1977)</f>
        <v/>
      </c>
      <c r="AK1977" s="267">
        <f>IFERROR(__xludf.DUMMYFUNCTION("""COMPUTED_VALUE"""),45070.9986111111)</f>
        <v/>
      </c>
      <c r="AL1977" s="6">
        <f>IFERROR(__xludf.DUMMYFUNCTION("""COMPUTED_VALUE"""),26325.69)</f>
        <v/>
      </c>
      <c r="AP1977" s="6">
        <f>AQ1977&amp;AR1977</f>
        <v/>
      </c>
      <c r="AQ1977" s="6">
        <f>YEAR(AS1977)</f>
        <v/>
      </c>
      <c r="AR1977" s="6">
        <f>MONTH(AS1977)</f>
        <v/>
      </c>
      <c r="AS1977" s="267">
        <f>IFERROR(__xludf.DUMMYFUNCTION("""COMPUTED_VALUE"""),45978.9986111111)</f>
        <v/>
      </c>
      <c r="AT1977" s="6">
        <f>IFERROR(__xludf.DUMMYFUNCTION("""COMPUTED_VALUE"""),4074.5)</f>
        <v/>
      </c>
    </row>
    <row r="1978">
      <c r="B1978" s="6">
        <f>C1978&amp;D1978</f>
        <v/>
      </c>
      <c r="C1978" s="6">
        <f>YEAR(E1978)</f>
        <v/>
      </c>
      <c r="D1978" s="6">
        <f>MONTH(E1978)</f>
        <v/>
      </c>
      <c r="E1978" s="267">
        <f>IFERROR(__xludf.DUMMYFUNCTION("""COMPUTED_VALUE"""),45972.6666666666)</f>
        <v/>
      </c>
      <c r="F1978" s="6">
        <f>IFERROR(__xludf.DUMMYFUNCTION("""COMPUTED_VALUE"""),6846.61)</f>
        <v/>
      </c>
      <c r="J1978" s="6">
        <f>K1978&amp;L1978</f>
        <v/>
      </c>
      <c r="K1978" s="6">
        <f>YEAR(M1978)</f>
        <v/>
      </c>
      <c r="L1978" s="6">
        <f>MONTH(M1978)</f>
        <v/>
      </c>
      <c r="M1978" s="267">
        <f>IFERROR(__xludf.DUMMYFUNCTION("""COMPUTED_VALUE"""),45966.6666666666)</f>
        <v/>
      </c>
      <c r="N1978" s="6">
        <f>IFERROR(__xludf.DUMMYFUNCTION("""COMPUTED_VALUE"""),23499.8)</f>
        <v/>
      </c>
      <c r="R1978" s="6">
        <f>S1978&amp;T1978</f>
        <v/>
      </c>
      <c r="S1978" s="6">
        <f>YEAR(U1978)</f>
        <v/>
      </c>
      <c r="T1978" s="6">
        <f>MONTH(U1978)</f>
        <v/>
      </c>
      <c r="U1978" s="267">
        <f>IFERROR(__xludf.DUMMYFUNCTION("""COMPUTED_VALUE"""),46048.6458333333)</f>
        <v/>
      </c>
      <c r="V1978" s="6">
        <f>IFERROR(__xludf.DUMMYFUNCTION("""COMPUTED_VALUE"""),4949.59)</f>
        <v/>
      </c>
      <c r="Z1978" s="6">
        <f>AA1978&amp;AB1978</f>
        <v/>
      </c>
      <c r="AA1978" s="6">
        <f>YEAR(AC1978)</f>
        <v/>
      </c>
      <c r="AB1978" s="6">
        <f>MONTH(AC1978)</f>
        <v/>
      </c>
      <c r="AC1978" s="267">
        <f>IFERROR(__xludf.DUMMYFUNCTION("""COMPUTED_VALUE"""),45127.9986111111)</f>
        <v/>
      </c>
      <c r="AD1978" s="6">
        <f>IFERROR(__xludf.DUMMYFUNCTION("""COMPUTED_VALUE"""),1278.4)</f>
        <v/>
      </c>
      <c r="AH1978" s="6">
        <f>AI1978&amp;AJ1978</f>
        <v/>
      </c>
      <c r="AI1978" s="6">
        <f>YEAR(AK1978)</f>
        <v/>
      </c>
      <c r="AJ1978" s="6">
        <f>MONTH(AK1978)</f>
        <v/>
      </c>
      <c r="AK1978" s="267">
        <f>IFERROR(__xludf.DUMMYFUNCTION("""COMPUTED_VALUE"""),45071.9986111111)</f>
        <v/>
      </c>
      <c r="AL1978" s="6">
        <f>IFERROR(__xludf.DUMMYFUNCTION("""COMPUTED_VALUE"""),26477.4)</f>
        <v/>
      </c>
      <c r="AP1978" s="6">
        <f>AQ1978&amp;AR1978</f>
        <v/>
      </c>
      <c r="AQ1978" s="6">
        <f>YEAR(AS1978)</f>
        <v/>
      </c>
      <c r="AR1978" s="6">
        <f>MONTH(AS1978)</f>
        <v/>
      </c>
      <c r="AS1978" s="267">
        <f>IFERROR(__xludf.DUMMYFUNCTION("""COMPUTED_VALUE"""),45979.9986111111)</f>
        <v/>
      </c>
      <c r="AT1978" s="6">
        <f>IFERROR(__xludf.DUMMYFUNCTION("""COMPUTED_VALUE"""),4066.5)</f>
        <v/>
      </c>
    </row>
    <row r="1979">
      <c r="B1979" s="6">
        <f>C1979&amp;D1979</f>
        <v/>
      </c>
      <c r="C1979" s="6">
        <f>YEAR(E1979)</f>
        <v/>
      </c>
      <c r="D1979" s="6">
        <f>MONTH(E1979)</f>
        <v/>
      </c>
      <c r="E1979" s="267">
        <f>IFERROR(__xludf.DUMMYFUNCTION("""COMPUTED_VALUE"""),45973.6666666666)</f>
        <v/>
      </c>
      <c r="F1979" s="6">
        <f>IFERROR(__xludf.DUMMYFUNCTION("""COMPUTED_VALUE"""),6850.92)</f>
        <v/>
      </c>
      <c r="J1979" s="6">
        <f>K1979&amp;L1979</f>
        <v/>
      </c>
      <c r="K1979" s="6">
        <f>YEAR(M1979)</f>
        <v/>
      </c>
      <c r="L1979" s="6">
        <f>MONTH(M1979)</f>
        <v/>
      </c>
      <c r="M1979" s="267">
        <f>IFERROR(__xludf.DUMMYFUNCTION("""COMPUTED_VALUE"""),45967.6666666666)</f>
        <v/>
      </c>
      <c r="N1979" s="6">
        <f>IFERROR(__xludf.DUMMYFUNCTION("""COMPUTED_VALUE"""),23053.99)</f>
        <v/>
      </c>
      <c r="R1979" s="6">
        <f>S1979&amp;T1979</f>
        <v/>
      </c>
      <c r="S1979" s="6">
        <f>YEAR(U1979)</f>
        <v/>
      </c>
      <c r="T1979" s="6">
        <f>MONTH(U1979)</f>
        <v/>
      </c>
      <c r="U1979" s="267">
        <f>IFERROR(__xludf.DUMMYFUNCTION("""COMPUTED_VALUE"""),46049.6458333333)</f>
        <v/>
      </c>
      <c r="V1979" s="6">
        <f>IFERROR(__xludf.DUMMYFUNCTION("""COMPUTED_VALUE"""),5084.85)</f>
        <v/>
      </c>
      <c r="Z1979" s="6">
        <f>AA1979&amp;AB1979</f>
        <v/>
      </c>
      <c r="AA1979" s="6">
        <f>YEAR(AC1979)</f>
        <v/>
      </c>
      <c r="AB1979" s="6">
        <f>MONTH(AC1979)</f>
        <v/>
      </c>
      <c r="AC1979" s="267">
        <f>IFERROR(__xludf.DUMMYFUNCTION("""COMPUTED_VALUE"""),45128.9986111111)</f>
        <v/>
      </c>
      <c r="AD1979" s="6">
        <f>IFERROR(__xludf.DUMMYFUNCTION("""COMPUTED_VALUE"""),1285.65)</f>
        <v/>
      </c>
      <c r="AH1979" s="6">
        <f>AI1979&amp;AJ1979</f>
        <v/>
      </c>
      <c r="AI1979" s="6">
        <f>YEAR(AK1979)</f>
        <v/>
      </c>
      <c r="AJ1979" s="6">
        <f>MONTH(AK1979)</f>
        <v/>
      </c>
      <c r="AK1979" s="267">
        <f>IFERROR(__xludf.DUMMYFUNCTION("""COMPUTED_VALUE"""),45072.9986111111)</f>
        <v/>
      </c>
      <c r="AL1979" s="6">
        <f>IFERROR(__xludf.DUMMYFUNCTION("""COMPUTED_VALUE"""),26713.51)</f>
        <v/>
      </c>
      <c r="AP1979" s="6">
        <f>AQ1979&amp;AR1979</f>
        <v/>
      </c>
      <c r="AQ1979" s="6">
        <f>YEAR(AS1979)</f>
        <v/>
      </c>
      <c r="AR1979" s="6">
        <f>MONTH(AS1979)</f>
        <v/>
      </c>
      <c r="AS1979" s="267">
        <f>IFERROR(__xludf.DUMMYFUNCTION("""COMPUTED_VALUE"""),45980.9986111111)</f>
        <v/>
      </c>
      <c r="AT1979" s="6">
        <f>IFERROR(__xludf.DUMMYFUNCTION("""COMPUTED_VALUE"""),4082.8)</f>
        <v/>
      </c>
    </row>
    <row r="1980">
      <c r="B1980" s="6">
        <f>C1980&amp;D1980</f>
        <v/>
      </c>
      <c r="C1980" s="6">
        <f>YEAR(E1980)</f>
        <v/>
      </c>
      <c r="D1980" s="6">
        <f>MONTH(E1980)</f>
        <v/>
      </c>
      <c r="E1980" s="267">
        <f>IFERROR(__xludf.DUMMYFUNCTION("""COMPUTED_VALUE"""),45974.6666666666)</f>
        <v/>
      </c>
      <c r="F1980" s="6">
        <f>IFERROR(__xludf.DUMMYFUNCTION("""COMPUTED_VALUE"""),6737.49)</f>
        <v/>
      </c>
      <c r="J1980" s="6">
        <f>K1980&amp;L1980</f>
        <v/>
      </c>
      <c r="K1980" s="6">
        <f>YEAR(M1980)</f>
        <v/>
      </c>
      <c r="L1980" s="6">
        <f>MONTH(M1980)</f>
        <v/>
      </c>
      <c r="M1980" s="267">
        <f>IFERROR(__xludf.DUMMYFUNCTION("""COMPUTED_VALUE"""),45968.6666666666)</f>
        <v/>
      </c>
      <c r="N1980" s="6">
        <f>IFERROR(__xludf.DUMMYFUNCTION("""COMPUTED_VALUE"""),23004.54)</f>
        <v/>
      </c>
      <c r="R1980" s="6">
        <f>S1980&amp;T1980</f>
        <v/>
      </c>
      <c r="S1980" s="6">
        <f>YEAR(U1980)</f>
        <v/>
      </c>
      <c r="T1980" s="6">
        <f>MONTH(U1980)</f>
        <v/>
      </c>
      <c r="U1980" s="267">
        <f>IFERROR(__xludf.DUMMYFUNCTION("""COMPUTED_VALUE"""),46050.6458333333)</f>
        <v/>
      </c>
      <c r="V1980" s="6">
        <f>IFERROR(__xludf.DUMMYFUNCTION("""COMPUTED_VALUE"""),5170.81)</f>
        <v/>
      </c>
      <c r="Z1980" s="6">
        <f>AA1980&amp;AB1980</f>
        <v/>
      </c>
      <c r="AA1980" s="6">
        <f>YEAR(AC1980)</f>
        <v/>
      </c>
      <c r="AB1980" s="6">
        <f>MONTH(AC1980)</f>
        <v/>
      </c>
      <c r="AC1980" s="267">
        <f>IFERROR(__xludf.DUMMYFUNCTION("""COMPUTED_VALUE"""),45129.9986111111)</f>
        <v/>
      </c>
      <c r="AD1980" s="6">
        <f>IFERROR(__xludf.DUMMYFUNCTION("""COMPUTED_VALUE"""),1285.55)</f>
        <v/>
      </c>
      <c r="AH1980" s="6">
        <f>AI1980&amp;AJ1980</f>
        <v/>
      </c>
      <c r="AI1980" s="6">
        <f>YEAR(AK1980)</f>
        <v/>
      </c>
      <c r="AJ1980" s="6">
        <f>MONTH(AK1980)</f>
        <v/>
      </c>
      <c r="AK1980" s="267">
        <f>IFERROR(__xludf.DUMMYFUNCTION("""COMPUTED_VALUE"""),45073.9986111111)</f>
        <v/>
      </c>
      <c r="AL1980" s="6">
        <f>IFERROR(__xludf.DUMMYFUNCTION("""COMPUTED_VALUE"""),26865.48)</f>
        <v/>
      </c>
      <c r="AP1980" s="6">
        <f>AQ1980&amp;AR1980</f>
        <v/>
      </c>
      <c r="AQ1980" s="6">
        <f>YEAR(AS1980)</f>
        <v/>
      </c>
      <c r="AR1980" s="6">
        <f>MONTH(AS1980)</f>
        <v/>
      </c>
      <c r="AS1980" s="267">
        <f>IFERROR(__xludf.DUMMYFUNCTION("""COMPUTED_VALUE"""),45981.9986111111)</f>
        <v/>
      </c>
      <c r="AT1980" s="6">
        <f>IFERROR(__xludf.DUMMYFUNCTION("""COMPUTED_VALUE"""),4060)</f>
        <v/>
      </c>
    </row>
    <row r="1981">
      <c r="B1981" s="6">
        <f>C1981&amp;D1981</f>
        <v/>
      </c>
      <c r="C1981" s="6">
        <f>YEAR(E1981)</f>
        <v/>
      </c>
      <c r="D1981" s="6">
        <f>MONTH(E1981)</f>
        <v/>
      </c>
      <c r="E1981" s="267">
        <f>IFERROR(__xludf.DUMMYFUNCTION("""COMPUTED_VALUE"""),45975.6666666666)</f>
        <v/>
      </c>
      <c r="F1981" s="6">
        <f>IFERROR(__xludf.DUMMYFUNCTION("""COMPUTED_VALUE"""),6734.11)</f>
        <v/>
      </c>
      <c r="J1981" s="6">
        <f>K1981&amp;L1981</f>
        <v/>
      </c>
      <c r="K1981" s="6">
        <f>YEAR(M1981)</f>
        <v/>
      </c>
      <c r="L1981" s="6">
        <f>MONTH(M1981)</f>
        <v/>
      </c>
      <c r="M1981" s="267">
        <f>IFERROR(__xludf.DUMMYFUNCTION("""COMPUTED_VALUE"""),45971.6666666666)</f>
        <v/>
      </c>
      <c r="N1981" s="6">
        <f>IFERROR(__xludf.DUMMYFUNCTION("""COMPUTED_VALUE"""),23527.17)</f>
        <v/>
      </c>
      <c r="R1981" s="6">
        <f>S1981&amp;T1981</f>
        <v/>
      </c>
      <c r="S1981" s="6">
        <f>YEAR(U1981)</f>
        <v/>
      </c>
      <c r="T1981" s="6">
        <f>MONTH(U1981)</f>
        <v/>
      </c>
      <c r="U1981" s="267">
        <f>IFERROR(__xludf.DUMMYFUNCTION("""COMPUTED_VALUE"""),46051.6458333333)</f>
        <v/>
      </c>
      <c r="V1981" s="6">
        <f>IFERROR(__xludf.DUMMYFUNCTION("""COMPUTED_VALUE"""),5221.25)</f>
        <v/>
      </c>
      <c r="Z1981" s="6">
        <f>AA1981&amp;AB1981</f>
        <v/>
      </c>
      <c r="AA1981" s="6">
        <f>YEAR(AC1981)</f>
        <v/>
      </c>
      <c r="AB1981" s="6">
        <f>MONTH(AC1981)</f>
        <v/>
      </c>
      <c r="AC1981" s="267">
        <f>IFERROR(__xludf.DUMMYFUNCTION("""COMPUTED_VALUE"""),45130.9986111111)</f>
        <v/>
      </c>
      <c r="AD1981" s="6">
        <f>IFERROR(__xludf.DUMMYFUNCTION("""COMPUTED_VALUE"""),1285.65)</f>
        <v/>
      </c>
      <c r="AH1981" s="6">
        <f>AI1981&amp;AJ1981</f>
        <v/>
      </c>
      <c r="AI1981" s="6">
        <f>YEAR(AK1981)</f>
        <v/>
      </c>
      <c r="AJ1981" s="6">
        <f>MONTH(AK1981)</f>
        <v/>
      </c>
      <c r="AK1981" s="267">
        <f>IFERROR(__xludf.DUMMYFUNCTION("""COMPUTED_VALUE"""),45074.9986111111)</f>
        <v/>
      </c>
      <c r="AL1981" s="6">
        <f>IFERROR(__xludf.DUMMYFUNCTION("""COMPUTED_VALUE"""),28079.08)</f>
        <v/>
      </c>
      <c r="AP1981" s="6">
        <f>AQ1981&amp;AR1981</f>
        <v/>
      </c>
      <c r="AQ1981" s="6">
        <f>YEAR(AS1981)</f>
        <v/>
      </c>
      <c r="AR1981" s="6">
        <f>MONTH(AS1981)</f>
        <v/>
      </c>
      <c r="AS1981" s="267">
        <f>IFERROR(__xludf.DUMMYFUNCTION("""COMPUTED_VALUE"""),45982.9986111111)</f>
        <v/>
      </c>
      <c r="AT1981" s="6">
        <f>IFERROR(__xludf.DUMMYFUNCTION("""COMPUTED_VALUE"""),4116)</f>
        <v/>
      </c>
    </row>
    <row r="1982">
      <c r="B1982" s="6">
        <f>C1982&amp;D1982</f>
        <v/>
      </c>
      <c r="C1982" s="6">
        <f>YEAR(E1982)</f>
        <v/>
      </c>
      <c r="D1982" s="6">
        <f>MONTH(E1982)</f>
        <v/>
      </c>
      <c r="E1982" s="267">
        <f>IFERROR(__xludf.DUMMYFUNCTION("""COMPUTED_VALUE"""),45978.6666666666)</f>
        <v/>
      </c>
      <c r="F1982" s="6">
        <f>IFERROR(__xludf.DUMMYFUNCTION("""COMPUTED_VALUE"""),6672.41)</f>
        <v/>
      </c>
      <c r="J1982" s="6">
        <f>K1982&amp;L1982</f>
        <v/>
      </c>
      <c r="K1982" s="6">
        <f>YEAR(M1982)</f>
        <v/>
      </c>
      <c r="L1982" s="6">
        <f>MONTH(M1982)</f>
        <v/>
      </c>
      <c r="M1982" s="267">
        <f>IFERROR(__xludf.DUMMYFUNCTION("""COMPUTED_VALUE"""),45972.6666666666)</f>
        <v/>
      </c>
      <c r="N1982" s="6">
        <f>IFERROR(__xludf.DUMMYFUNCTION("""COMPUTED_VALUE"""),23468.3)</f>
        <v/>
      </c>
      <c r="R1982" s="6">
        <f>S1982&amp;T1982</f>
        <v/>
      </c>
      <c r="S1982" s="6">
        <f>YEAR(U1982)</f>
        <v/>
      </c>
      <c r="T1982" s="6">
        <f>MONTH(U1982)</f>
        <v/>
      </c>
      <c r="U1982" s="267">
        <f>IFERROR(__xludf.DUMMYFUNCTION("""COMPUTED_VALUE"""),46052.6458333333)</f>
        <v/>
      </c>
      <c r="V1982" s="6">
        <f>IFERROR(__xludf.DUMMYFUNCTION("""COMPUTED_VALUE"""),5224.36)</f>
        <v/>
      </c>
      <c r="Z1982" s="6">
        <f>AA1982&amp;AB1982</f>
        <v/>
      </c>
      <c r="AA1982" s="6">
        <f>YEAR(AC1982)</f>
        <v/>
      </c>
      <c r="AB1982" s="6">
        <f>MONTH(AC1982)</f>
        <v/>
      </c>
      <c r="AC1982" s="267">
        <f>IFERROR(__xludf.DUMMYFUNCTION("""COMPUTED_VALUE"""),45131.9986111111)</f>
        <v/>
      </c>
      <c r="AD1982" s="6">
        <f>IFERROR(__xludf.DUMMYFUNCTION("""COMPUTED_VALUE"""),1280.53)</f>
        <v/>
      </c>
      <c r="AH1982" s="6">
        <f>AI1982&amp;AJ1982</f>
        <v/>
      </c>
      <c r="AI1982" s="6">
        <f>YEAR(AK1982)</f>
        <v/>
      </c>
      <c r="AJ1982" s="6">
        <f>MONTH(AK1982)</f>
        <v/>
      </c>
      <c r="AK1982" s="267">
        <f>IFERROR(__xludf.DUMMYFUNCTION("""COMPUTED_VALUE"""),45075.9986111111)</f>
        <v/>
      </c>
      <c r="AL1982" s="6">
        <f>IFERROR(__xludf.DUMMYFUNCTION("""COMPUTED_VALUE"""),27743)</f>
        <v/>
      </c>
      <c r="AP1982" s="6">
        <f>AQ1982&amp;AR1982</f>
        <v/>
      </c>
      <c r="AQ1982" s="6">
        <f>YEAR(AS1982)</f>
        <v/>
      </c>
      <c r="AR1982" s="6">
        <f>MONTH(AS1982)</f>
        <v/>
      </c>
      <c r="AS1982" s="267">
        <f>IFERROR(__xludf.DUMMYFUNCTION("""COMPUTED_VALUE"""),45985.9986111111)</f>
        <v/>
      </c>
      <c r="AT1982" s="6">
        <f>IFERROR(__xludf.DUMMYFUNCTION("""COMPUTED_VALUE"""),4130.8)</f>
        <v/>
      </c>
    </row>
    <row r="1983">
      <c r="B1983" s="6">
        <f>C1983&amp;D1983</f>
        <v/>
      </c>
      <c r="C1983" s="6">
        <f>YEAR(E1983)</f>
        <v/>
      </c>
      <c r="D1983" s="6">
        <f>MONTH(E1983)</f>
        <v/>
      </c>
      <c r="E1983" s="267">
        <f>IFERROR(__xludf.DUMMYFUNCTION("""COMPUTED_VALUE"""),45979.6666666666)</f>
        <v/>
      </c>
      <c r="F1983" s="6">
        <f>IFERROR(__xludf.DUMMYFUNCTION("""COMPUTED_VALUE"""),6617.32)</f>
        <v/>
      </c>
      <c r="J1983" s="6">
        <f>K1983&amp;L1983</f>
        <v/>
      </c>
      <c r="K1983" s="6">
        <f>YEAR(M1983)</f>
        <v/>
      </c>
      <c r="L1983" s="6">
        <f>MONTH(M1983)</f>
        <v/>
      </c>
      <c r="M1983" s="267">
        <f>IFERROR(__xludf.DUMMYFUNCTION("""COMPUTED_VALUE"""),45973.6666666666)</f>
        <v/>
      </c>
      <c r="N1983" s="6">
        <f>IFERROR(__xludf.DUMMYFUNCTION("""COMPUTED_VALUE"""),23406.46)</f>
        <v/>
      </c>
      <c r="R1983" s="6">
        <f>S1983&amp;T1983</f>
        <v/>
      </c>
      <c r="S1983" s="6">
        <f>YEAR(U1983)</f>
        <v/>
      </c>
      <c r="T1983" s="6">
        <f>MONTH(U1983)</f>
        <v/>
      </c>
      <c r="U1983" s="267">
        <f>IFERROR(__xludf.DUMMYFUNCTION("""COMPUTED_VALUE"""),46055.6458333333)</f>
        <v/>
      </c>
      <c r="V1983" s="6">
        <f>IFERROR(__xludf.DUMMYFUNCTION("""COMPUTED_VALUE"""),4949.67)</f>
        <v/>
      </c>
      <c r="Z1983" s="6">
        <f>AA1983&amp;AB1983</f>
        <v/>
      </c>
      <c r="AA1983" s="6">
        <f>YEAR(AC1983)</f>
        <v/>
      </c>
      <c r="AB1983" s="6">
        <f>MONTH(AC1983)</f>
        <v/>
      </c>
      <c r="AC1983" s="267">
        <f>IFERROR(__xludf.DUMMYFUNCTION("""COMPUTED_VALUE"""),45132.9986111111)</f>
        <v/>
      </c>
      <c r="AD1983" s="6">
        <f>IFERROR(__xludf.DUMMYFUNCTION("""COMPUTED_VALUE"""),1274.12)</f>
        <v/>
      </c>
      <c r="AH1983" s="6">
        <f>AI1983&amp;AJ1983</f>
        <v/>
      </c>
      <c r="AI1983" s="6">
        <f>YEAR(AK1983)</f>
        <v/>
      </c>
      <c r="AJ1983" s="6">
        <f>MONTH(AK1983)</f>
        <v/>
      </c>
      <c r="AK1983" s="267">
        <f>IFERROR(__xludf.DUMMYFUNCTION("""COMPUTED_VALUE"""),45076.9986111111)</f>
        <v/>
      </c>
      <c r="AL1983" s="6">
        <f>IFERROR(__xludf.DUMMYFUNCTION("""COMPUTED_VALUE"""),27698.92)</f>
        <v/>
      </c>
      <c r="AP1983" s="6">
        <f>AQ1983&amp;AR1983</f>
        <v/>
      </c>
      <c r="AQ1983" s="6">
        <f>YEAR(AS1983)</f>
        <v/>
      </c>
      <c r="AR1983" s="6">
        <f>MONTH(AS1983)</f>
        <v/>
      </c>
      <c r="AS1983" s="267">
        <f>IFERROR(__xludf.DUMMYFUNCTION("""COMPUTED_VALUE"""),45986.9986111111)</f>
        <v/>
      </c>
      <c r="AT1983" s="6">
        <f>IFERROR(__xludf.DUMMYFUNCTION("""COMPUTED_VALUE"""),4177.3)</f>
        <v/>
      </c>
    </row>
    <row r="1984">
      <c r="B1984" s="6">
        <f>C1984&amp;D1984</f>
        <v/>
      </c>
      <c r="C1984" s="6">
        <f>YEAR(E1984)</f>
        <v/>
      </c>
      <c r="D1984" s="6">
        <f>MONTH(E1984)</f>
        <v/>
      </c>
      <c r="E1984" s="267">
        <f>IFERROR(__xludf.DUMMYFUNCTION("""COMPUTED_VALUE"""),45980.6666666666)</f>
        <v/>
      </c>
      <c r="F1984" s="6">
        <f>IFERROR(__xludf.DUMMYFUNCTION("""COMPUTED_VALUE"""),6642.16)</f>
        <v/>
      </c>
      <c r="J1984" s="6">
        <f>K1984&amp;L1984</f>
        <v/>
      </c>
      <c r="K1984" s="6">
        <f>YEAR(M1984)</f>
        <v/>
      </c>
      <c r="L1984" s="6">
        <f>MONTH(M1984)</f>
        <v/>
      </c>
      <c r="M1984" s="267">
        <f>IFERROR(__xludf.DUMMYFUNCTION("""COMPUTED_VALUE"""),45974.6666666666)</f>
        <v/>
      </c>
      <c r="N1984" s="6">
        <f>IFERROR(__xludf.DUMMYFUNCTION("""COMPUTED_VALUE"""),22870.36)</f>
        <v/>
      </c>
      <c r="R1984" s="6">
        <f>S1984&amp;T1984</f>
        <v/>
      </c>
      <c r="S1984" s="6">
        <f>YEAR(U1984)</f>
        <v/>
      </c>
      <c r="T1984" s="6">
        <f>MONTH(U1984)</f>
        <v/>
      </c>
      <c r="U1984" s="267">
        <f>IFERROR(__xludf.DUMMYFUNCTION("""COMPUTED_VALUE"""),46056.6458333333)</f>
        <v/>
      </c>
      <c r="V1984" s="6">
        <f>IFERROR(__xludf.DUMMYFUNCTION("""COMPUTED_VALUE"""),5288.08)</f>
        <v/>
      </c>
      <c r="Z1984" s="6">
        <f>AA1984&amp;AB1984</f>
        <v/>
      </c>
      <c r="AA1984" s="6">
        <f>YEAR(AC1984)</f>
        <v/>
      </c>
      <c r="AB1984" s="6">
        <f>MONTH(AC1984)</f>
        <v/>
      </c>
      <c r="AC1984" s="267">
        <f>IFERROR(__xludf.DUMMYFUNCTION("""COMPUTED_VALUE"""),45133.9986111111)</f>
        <v/>
      </c>
      <c r="AD1984" s="6">
        <f>IFERROR(__xludf.DUMMYFUNCTION("""COMPUTED_VALUE"""),1275.17)</f>
        <v/>
      </c>
      <c r="AH1984" s="6">
        <f>AI1984&amp;AJ1984</f>
        <v/>
      </c>
      <c r="AI1984" s="6">
        <f>YEAR(AK1984)</f>
        <v/>
      </c>
      <c r="AJ1984" s="6">
        <f>MONTH(AK1984)</f>
        <v/>
      </c>
      <c r="AK1984" s="267">
        <f>IFERROR(__xludf.DUMMYFUNCTION("""COMPUTED_VALUE"""),45077.9986111111)</f>
        <v/>
      </c>
      <c r="AL1984" s="6">
        <f>IFERROR(__xludf.DUMMYFUNCTION("""COMPUTED_VALUE"""),27218.21)</f>
        <v/>
      </c>
      <c r="AP1984" s="6">
        <f>AQ1984&amp;AR1984</f>
        <v/>
      </c>
      <c r="AQ1984" s="6">
        <f>YEAR(AS1984)</f>
        <v/>
      </c>
      <c r="AR1984" s="6">
        <f>MONTH(AS1984)</f>
        <v/>
      </c>
      <c r="AS1984" s="267">
        <f>IFERROR(__xludf.DUMMYFUNCTION("""COMPUTED_VALUE"""),45987.9986111111)</f>
        <v/>
      </c>
      <c r="AT1984" s="6">
        <f>IFERROR(__xludf.DUMMYFUNCTION("""COMPUTED_VALUE"""),4202.3)</f>
        <v/>
      </c>
    </row>
    <row r="1985">
      <c r="B1985" s="6">
        <f>C1985&amp;D1985</f>
        <v/>
      </c>
      <c r="C1985" s="6">
        <f>YEAR(E1985)</f>
        <v/>
      </c>
      <c r="D1985" s="6">
        <f>MONTH(E1985)</f>
        <v/>
      </c>
      <c r="E1985" s="267">
        <f>IFERROR(__xludf.DUMMYFUNCTION("""COMPUTED_VALUE"""),45981.6666666666)</f>
        <v/>
      </c>
      <c r="F1985" s="6">
        <f>IFERROR(__xludf.DUMMYFUNCTION("""COMPUTED_VALUE"""),6538.76)</f>
        <v/>
      </c>
      <c r="J1985" s="6">
        <f>K1985&amp;L1985</f>
        <v/>
      </c>
      <c r="K1985" s="6">
        <f>YEAR(M1985)</f>
        <v/>
      </c>
      <c r="L1985" s="6">
        <f>MONTH(M1985)</f>
        <v/>
      </c>
      <c r="M1985" s="267">
        <f>IFERROR(__xludf.DUMMYFUNCTION("""COMPUTED_VALUE"""),45975.6666666666)</f>
        <v/>
      </c>
      <c r="N1985" s="6">
        <f>IFERROR(__xludf.DUMMYFUNCTION("""COMPUTED_VALUE"""),22900.59)</f>
        <v/>
      </c>
      <c r="R1985" s="6">
        <f>S1985&amp;T1985</f>
        <v/>
      </c>
      <c r="S1985" s="6">
        <f>YEAR(U1985)</f>
        <v/>
      </c>
      <c r="T1985" s="6">
        <f>MONTH(U1985)</f>
        <v/>
      </c>
      <c r="U1985" s="267">
        <f>IFERROR(__xludf.DUMMYFUNCTION("""COMPUTED_VALUE"""),46057.6458333333)</f>
        <v/>
      </c>
      <c r="V1985" s="6">
        <f>IFERROR(__xludf.DUMMYFUNCTION("""COMPUTED_VALUE"""),5371.1)</f>
        <v/>
      </c>
      <c r="Z1985" s="6">
        <f>AA1985&amp;AB1985</f>
        <v/>
      </c>
      <c r="AA1985" s="6">
        <f>YEAR(AC1985)</f>
        <v/>
      </c>
      <c r="AB1985" s="6">
        <f>MONTH(AC1985)</f>
        <v/>
      </c>
      <c r="AC1985" s="267">
        <f>IFERROR(__xludf.DUMMYFUNCTION("""COMPUTED_VALUE"""),45134.9986111111)</f>
        <v/>
      </c>
      <c r="AD1985" s="6">
        <f>IFERROR(__xludf.DUMMYFUNCTION("""COMPUTED_VALUE"""),1283.88)</f>
        <v/>
      </c>
      <c r="AH1985" s="6">
        <f>AI1985&amp;AJ1985</f>
        <v/>
      </c>
      <c r="AI1985" s="6">
        <f>YEAR(AK1985)</f>
        <v/>
      </c>
      <c r="AJ1985" s="6">
        <f>MONTH(AK1985)</f>
        <v/>
      </c>
      <c r="AK1985" s="267">
        <f>IFERROR(__xludf.DUMMYFUNCTION("""COMPUTED_VALUE"""),45078.9986111111)</f>
        <v/>
      </c>
      <c r="AL1985" s="6">
        <f>IFERROR(__xludf.DUMMYFUNCTION("""COMPUTED_VALUE"""),26819.79)</f>
        <v/>
      </c>
      <c r="AP1985" s="6">
        <f>AQ1985&amp;AR1985</f>
        <v/>
      </c>
      <c r="AQ1985" s="6">
        <f>YEAR(AS1985)</f>
        <v/>
      </c>
      <c r="AR1985" s="6">
        <f>MONTH(AS1985)</f>
        <v/>
      </c>
      <c r="AS1985" s="267">
        <f>IFERROR(__xludf.DUMMYFUNCTION("""COMPUTED_VALUE"""),45989.5416666666)</f>
        <v/>
      </c>
      <c r="AT1985" s="6">
        <f>IFERROR(__xludf.DUMMYFUNCTION("""COMPUTED_VALUE"""),4254.9)</f>
        <v/>
      </c>
    </row>
    <row r="1986">
      <c r="B1986" s="6">
        <f>C1986&amp;D1986</f>
        <v/>
      </c>
      <c r="C1986" s="6">
        <f>YEAR(E1986)</f>
        <v/>
      </c>
      <c r="D1986" s="6">
        <f>MONTH(E1986)</f>
        <v/>
      </c>
      <c r="E1986" s="267">
        <f>IFERROR(__xludf.DUMMYFUNCTION("""COMPUTED_VALUE"""),45982.6666666666)</f>
        <v/>
      </c>
      <c r="F1986" s="6">
        <f>IFERROR(__xludf.DUMMYFUNCTION("""COMPUTED_VALUE"""),6602.99)</f>
        <v/>
      </c>
      <c r="J1986" s="6">
        <f>K1986&amp;L1986</f>
        <v/>
      </c>
      <c r="K1986" s="6">
        <f>YEAR(M1986)</f>
        <v/>
      </c>
      <c r="L1986" s="6">
        <f>MONTH(M1986)</f>
        <v/>
      </c>
      <c r="M1986" s="267">
        <f>IFERROR(__xludf.DUMMYFUNCTION("""COMPUTED_VALUE"""),45978.6666666666)</f>
        <v/>
      </c>
      <c r="N1986" s="6">
        <f>IFERROR(__xludf.DUMMYFUNCTION("""COMPUTED_VALUE"""),22708.08)</f>
        <v/>
      </c>
      <c r="R1986" s="6">
        <f>S1986&amp;T1986</f>
        <v/>
      </c>
      <c r="S1986" s="6">
        <f>YEAR(U1986)</f>
        <v/>
      </c>
      <c r="T1986" s="6">
        <f>MONTH(U1986)</f>
        <v/>
      </c>
      <c r="U1986" s="267">
        <f>IFERROR(__xludf.DUMMYFUNCTION("""COMPUTED_VALUE"""),46058.6458333333)</f>
        <v/>
      </c>
      <c r="V1986" s="6">
        <f>IFERROR(__xludf.DUMMYFUNCTION("""COMPUTED_VALUE"""),5163.57)</f>
        <v/>
      </c>
      <c r="Z1986" s="6">
        <f>AA1986&amp;AB1986</f>
        <v/>
      </c>
      <c r="AA1986" s="6">
        <f>YEAR(AC1986)</f>
        <v/>
      </c>
      <c r="AB1986" s="6">
        <f>MONTH(AC1986)</f>
        <v/>
      </c>
      <c r="AC1986" s="267">
        <f>IFERROR(__xludf.DUMMYFUNCTION("""COMPUTED_VALUE"""),45135.9986111111)</f>
        <v/>
      </c>
      <c r="AD1986" s="6">
        <f>IFERROR(__xludf.DUMMYFUNCTION("""COMPUTED_VALUE"""),1272.38)</f>
        <v/>
      </c>
      <c r="AH1986" s="6">
        <f>AI1986&amp;AJ1986</f>
        <v/>
      </c>
      <c r="AI1986" s="6">
        <f>YEAR(AK1986)</f>
        <v/>
      </c>
      <c r="AJ1986" s="6">
        <f>MONTH(AK1986)</f>
        <v/>
      </c>
      <c r="AK1986" s="267">
        <f>IFERROR(__xludf.DUMMYFUNCTION("""COMPUTED_VALUE"""),45079.9986111111)</f>
        <v/>
      </c>
      <c r="AL1986" s="6">
        <f>IFERROR(__xludf.DUMMYFUNCTION("""COMPUTED_VALUE"""),27249.86)</f>
        <v/>
      </c>
      <c r="AP1986" s="6">
        <f>AQ1986&amp;AR1986</f>
        <v/>
      </c>
      <c r="AQ1986" s="6">
        <f>YEAR(AS1986)</f>
        <v/>
      </c>
      <c r="AR1986" s="6">
        <f>MONTH(AS1986)</f>
        <v/>
      </c>
      <c r="AS1986" s="267">
        <f>IFERROR(__xludf.DUMMYFUNCTION("""COMPUTED_VALUE"""),45992.9986111111)</f>
        <v/>
      </c>
      <c r="AT1986" s="6">
        <f>IFERROR(__xludf.DUMMYFUNCTION("""COMPUTED_VALUE"""),4274.8)</f>
        <v/>
      </c>
    </row>
    <row r="1987">
      <c r="B1987" s="6">
        <f>C1987&amp;D1987</f>
        <v/>
      </c>
      <c r="C1987" s="6">
        <f>YEAR(E1987)</f>
        <v/>
      </c>
      <c r="D1987" s="6">
        <f>MONTH(E1987)</f>
        <v/>
      </c>
      <c r="E1987" s="267">
        <f>IFERROR(__xludf.DUMMYFUNCTION("""COMPUTED_VALUE"""),45985.6666666666)</f>
        <v/>
      </c>
      <c r="F1987" s="6">
        <f>IFERROR(__xludf.DUMMYFUNCTION("""COMPUTED_VALUE"""),6705.12)</f>
        <v/>
      </c>
      <c r="J1987" s="6">
        <f>K1987&amp;L1987</f>
        <v/>
      </c>
      <c r="K1987" s="6">
        <f>YEAR(M1987)</f>
        <v/>
      </c>
      <c r="L1987" s="6">
        <f>MONTH(M1987)</f>
        <v/>
      </c>
      <c r="M1987" s="267">
        <f>IFERROR(__xludf.DUMMYFUNCTION("""COMPUTED_VALUE"""),45979.6666666666)</f>
        <v/>
      </c>
      <c r="N1987" s="6">
        <f>IFERROR(__xludf.DUMMYFUNCTION("""COMPUTED_VALUE"""),22432.85)</f>
        <v/>
      </c>
      <c r="R1987" s="6">
        <f>S1987&amp;T1987</f>
        <v/>
      </c>
      <c r="S1987" s="6">
        <f>YEAR(U1987)</f>
        <v/>
      </c>
      <c r="T1987" s="6">
        <f>MONTH(U1987)</f>
        <v/>
      </c>
      <c r="U1987" s="267">
        <f>IFERROR(__xludf.DUMMYFUNCTION("""COMPUTED_VALUE"""),46059.6458333333)</f>
        <v/>
      </c>
      <c r="V1987" s="6">
        <f>IFERROR(__xludf.DUMMYFUNCTION("""COMPUTED_VALUE"""),5089.14)</f>
        <v/>
      </c>
      <c r="Z1987" s="6">
        <f>AA1987&amp;AB1987</f>
        <v/>
      </c>
      <c r="AA1987" s="6">
        <f>YEAR(AC1987)</f>
        <v/>
      </c>
      <c r="AB1987" s="6">
        <f>MONTH(AC1987)</f>
        <v/>
      </c>
      <c r="AC1987" s="267">
        <f>IFERROR(__xludf.DUMMYFUNCTION("""COMPUTED_VALUE"""),45136.9986111111)</f>
        <v/>
      </c>
      <c r="AD1987" s="6">
        <f>IFERROR(__xludf.DUMMYFUNCTION("""COMPUTED_VALUE"""),1272.38)</f>
        <v/>
      </c>
      <c r="AH1987" s="6">
        <f>AI1987&amp;AJ1987</f>
        <v/>
      </c>
      <c r="AI1987" s="6">
        <f>YEAR(AK1987)</f>
        <v/>
      </c>
      <c r="AJ1987" s="6">
        <f>MONTH(AK1987)</f>
        <v/>
      </c>
      <c r="AK1987" s="267">
        <f>IFERROR(__xludf.DUMMYFUNCTION("""COMPUTED_VALUE"""),45080.9986111111)</f>
        <v/>
      </c>
      <c r="AL1987" s="6">
        <f>IFERROR(__xludf.DUMMYFUNCTION("""COMPUTED_VALUE"""),27072.09)</f>
        <v/>
      </c>
      <c r="AP1987" s="6">
        <f>AQ1987&amp;AR1987</f>
        <v/>
      </c>
      <c r="AQ1987" s="6">
        <f>YEAR(AS1987)</f>
        <v/>
      </c>
      <c r="AR1987" s="6">
        <f>MONTH(AS1987)</f>
        <v/>
      </c>
      <c r="AS1987" s="267">
        <f>IFERROR(__xludf.DUMMYFUNCTION("""COMPUTED_VALUE"""),45993.9986111111)</f>
        <v/>
      </c>
      <c r="AT1987" s="6">
        <f>IFERROR(__xludf.DUMMYFUNCTION("""COMPUTED_VALUE"""),4220.8)</f>
        <v/>
      </c>
    </row>
    <row r="1988">
      <c r="B1988" s="6">
        <f>C1988&amp;D1988</f>
        <v/>
      </c>
      <c r="C1988" s="6">
        <f>YEAR(E1988)</f>
        <v/>
      </c>
      <c r="D1988" s="6">
        <f>MONTH(E1988)</f>
        <v/>
      </c>
      <c r="E1988" s="267">
        <f>IFERROR(__xludf.DUMMYFUNCTION("""COMPUTED_VALUE"""),45986.6666666666)</f>
        <v/>
      </c>
      <c r="F1988" s="6">
        <f>IFERROR(__xludf.DUMMYFUNCTION("""COMPUTED_VALUE"""),6765.88)</f>
        <v/>
      </c>
      <c r="J1988" s="6">
        <f>K1988&amp;L1988</f>
        <v/>
      </c>
      <c r="K1988" s="6">
        <f>YEAR(M1988)</f>
        <v/>
      </c>
      <c r="L1988" s="6">
        <f>MONTH(M1988)</f>
        <v/>
      </c>
      <c r="M1988" s="267">
        <f>IFERROR(__xludf.DUMMYFUNCTION("""COMPUTED_VALUE"""),45980.6666666666)</f>
        <v/>
      </c>
      <c r="N1988" s="6">
        <f>IFERROR(__xludf.DUMMYFUNCTION("""COMPUTED_VALUE"""),22564.23)</f>
        <v/>
      </c>
      <c r="R1988" s="6">
        <f>S1988&amp;T1988</f>
        <v/>
      </c>
      <c r="S1988" s="6">
        <f>YEAR(U1988)</f>
        <v/>
      </c>
      <c r="T1988" s="6">
        <f>MONTH(U1988)</f>
        <v/>
      </c>
      <c r="U1988" s="267">
        <f>IFERROR(__xludf.DUMMYFUNCTION("""COMPUTED_VALUE"""),46062.6458333333)</f>
        <v/>
      </c>
      <c r="V1988" s="6">
        <f>IFERROR(__xludf.DUMMYFUNCTION("""COMPUTED_VALUE"""),5298.04)</f>
        <v/>
      </c>
      <c r="Z1988" s="6">
        <f>AA1988&amp;AB1988</f>
        <v/>
      </c>
      <c r="AA1988" s="6">
        <f>YEAR(AC1988)</f>
        <v/>
      </c>
      <c r="AB1988" s="6">
        <f>MONTH(AC1988)</f>
        <v/>
      </c>
      <c r="AC1988" s="267">
        <f>IFERROR(__xludf.DUMMYFUNCTION("""COMPUTED_VALUE"""),45137.9986111111)</f>
        <v/>
      </c>
      <c r="AD1988" s="6">
        <f>IFERROR(__xludf.DUMMYFUNCTION("""COMPUTED_VALUE"""),1272.39)</f>
        <v/>
      </c>
      <c r="AH1988" s="6">
        <f>AI1988&amp;AJ1988</f>
        <v/>
      </c>
      <c r="AI1988" s="6">
        <f>YEAR(AK1988)</f>
        <v/>
      </c>
      <c r="AJ1988" s="6">
        <f>MONTH(AK1988)</f>
        <v/>
      </c>
      <c r="AK1988" s="267">
        <f>IFERROR(__xludf.DUMMYFUNCTION("""COMPUTED_VALUE"""),45081.9986111111)</f>
        <v/>
      </c>
      <c r="AL1988" s="6">
        <f>IFERROR(__xludf.DUMMYFUNCTION("""COMPUTED_VALUE"""),27126.87)</f>
        <v/>
      </c>
      <c r="AP1988" s="6">
        <f>AQ1988&amp;AR1988</f>
        <v/>
      </c>
      <c r="AQ1988" s="6">
        <f>YEAR(AS1988)</f>
        <v/>
      </c>
      <c r="AR1988" s="6">
        <f>MONTH(AS1988)</f>
        <v/>
      </c>
      <c r="AS1988" s="267">
        <f>IFERROR(__xludf.DUMMYFUNCTION("""COMPUTED_VALUE"""),45994.9986111111)</f>
        <v/>
      </c>
      <c r="AT1988" s="6">
        <f>IFERROR(__xludf.DUMMYFUNCTION("""COMPUTED_VALUE"""),4232.5)</f>
        <v/>
      </c>
    </row>
    <row r="1989">
      <c r="B1989" s="6">
        <f>C1989&amp;D1989</f>
        <v/>
      </c>
      <c r="C1989" s="6">
        <f>YEAR(E1989)</f>
        <v/>
      </c>
      <c r="D1989" s="6">
        <f>MONTH(E1989)</f>
        <v/>
      </c>
      <c r="E1989" s="267">
        <f>IFERROR(__xludf.DUMMYFUNCTION("""COMPUTED_VALUE"""),45987.6666666666)</f>
        <v/>
      </c>
      <c r="F1989" s="6">
        <f>IFERROR(__xludf.DUMMYFUNCTION("""COMPUTED_VALUE"""),6812.61)</f>
        <v/>
      </c>
      <c r="J1989" s="6">
        <f>K1989&amp;L1989</f>
        <v/>
      </c>
      <c r="K1989" s="6">
        <f>YEAR(M1989)</f>
        <v/>
      </c>
      <c r="L1989" s="6">
        <f>MONTH(M1989)</f>
        <v/>
      </c>
      <c r="M1989" s="267">
        <f>IFERROR(__xludf.DUMMYFUNCTION("""COMPUTED_VALUE"""),45981.6666666666)</f>
        <v/>
      </c>
      <c r="N1989" s="6">
        <f>IFERROR(__xludf.DUMMYFUNCTION("""COMPUTED_VALUE"""),22078.05)</f>
        <v/>
      </c>
      <c r="R1989" s="6">
        <f>S1989&amp;T1989</f>
        <v/>
      </c>
      <c r="S1989" s="6">
        <f>YEAR(U1989)</f>
        <v/>
      </c>
      <c r="T1989" s="6">
        <f>MONTH(U1989)</f>
        <v/>
      </c>
      <c r="U1989" s="267">
        <f>IFERROR(__xludf.DUMMYFUNCTION("""COMPUTED_VALUE"""),46063.6458333333)</f>
        <v/>
      </c>
      <c r="V1989" s="6">
        <f>IFERROR(__xludf.DUMMYFUNCTION("""COMPUTED_VALUE"""),5301.69)</f>
        <v/>
      </c>
      <c r="Z1989" s="6">
        <f>AA1989&amp;AB1989</f>
        <v/>
      </c>
      <c r="AA1989" s="6">
        <f>YEAR(AC1989)</f>
        <v/>
      </c>
      <c r="AB1989" s="6">
        <f>MONTH(AC1989)</f>
        <v/>
      </c>
      <c r="AC1989" s="267">
        <f>IFERROR(__xludf.DUMMYFUNCTION("""COMPUTED_VALUE"""),45138.9986111111)</f>
        <v/>
      </c>
      <c r="AD1989" s="6">
        <f>IFERROR(__xludf.DUMMYFUNCTION("""COMPUTED_VALUE"""),1277.93)</f>
        <v/>
      </c>
      <c r="AH1989" s="6">
        <f>AI1989&amp;AJ1989</f>
        <v/>
      </c>
      <c r="AI1989" s="6">
        <f>YEAR(AK1989)</f>
        <v/>
      </c>
      <c r="AJ1989" s="6">
        <f>MONTH(AK1989)</f>
        <v/>
      </c>
      <c r="AK1989" s="267">
        <f>IFERROR(__xludf.DUMMYFUNCTION("""COMPUTED_VALUE"""),45082.9986111111)</f>
        <v/>
      </c>
      <c r="AL1989" s="6">
        <f>IFERROR(__xludf.DUMMYFUNCTION("""COMPUTED_VALUE"""),25736.08)</f>
        <v/>
      </c>
      <c r="AP1989" s="6">
        <f>AQ1989&amp;AR1989</f>
        <v/>
      </c>
      <c r="AQ1989" s="6">
        <f>YEAR(AS1989)</f>
        <v/>
      </c>
      <c r="AR1989" s="6">
        <f>MONTH(AS1989)</f>
        <v/>
      </c>
      <c r="AS1989" s="267">
        <f>IFERROR(__xludf.DUMMYFUNCTION("""COMPUTED_VALUE"""),45995.9986111111)</f>
        <v/>
      </c>
      <c r="AT1989" s="6">
        <f>IFERROR(__xludf.DUMMYFUNCTION("""COMPUTED_VALUE"""),4243)</f>
        <v/>
      </c>
    </row>
    <row r="1990">
      <c r="B1990" s="6">
        <f>C1990&amp;D1990</f>
        <v/>
      </c>
      <c r="C1990" s="6">
        <f>YEAR(E1990)</f>
        <v/>
      </c>
      <c r="D1990" s="6">
        <f>MONTH(E1990)</f>
        <v/>
      </c>
      <c r="E1990" s="267">
        <f>IFERROR(__xludf.DUMMYFUNCTION("""COMPUTED_VALUE"""),45989.5416666666)</f>
        <v/>
      </c>
      <c r="F1990" s="6">
        <f>IFERROR(__xludf.DUMMYFUNCTION("""COMPUTED_VALUE"""),6849.09)</f>
        <v/>
      </c>
      <c r="J1990" s="6">
        <f>K1990&amp;L1990</f>
        <v/>
      </c>
      <c r="K1990" s="6">
        <f>YEAR(M1990)</f>
        <v/>
      </c>
      <c r="L1990" s="6">
        <f>MONTH(M1990)</f>
        <v/>
      </c>
      <c r="M1990" s="267">
        <f>IFERROR(__xludf.DUMMYFUNCTION("""COMPUTED_VALUE"""),45982.6666666666)</f>
        <v/>
      </c>
      <c r="N1990" s="6">
        <f>IFERROR(__xludf.DUMMYFUNCTION("""COMPUTED_VALUE"""),22273.08)</f>
        <v/>
      </c>
      <c r="R1990" s="6">
        <f>S1990&amp;T1990</f>
        <v/>
      </c>
      <c r="S1990" s="6">
        <f>YEAR(U1990)</f>
        <v/>
      </c>
      <c r="T1990" s="6">
        <f>MONTH(U1990)</f>
        <v/>
      </c>
      <c r="U1990" s="267">
        <f>IFERROR(__xludf.DUMMYFUNCTION("""COMPUTED_VALUE"""),46064.6458333333)</f>
        <v/>
      </c>
      <c r="V1990" s="6">
        <f>IFERROR(__xludf.DUMMYFUNCTION("""COMPUTED_VALUE"""),5354.49)</f>
        <v/>
      </c>
      <c r="Z1990" s="6">
        <f>AA1990&amp;AB1990</f>
        <v/>
      </c>
      <c r="AA1990" s="6">
        <f>YEAR(AC1990)</f>
        <v/>
      </c>
      <c r="AB1990" s="6">
        <f>MONTH(AC1990)</f>
        <v/>
      </c>
      <c r="AC1990" s="267">
        <f>IFERROR(__xludf.DUMMYFUNCTION("""COMPUTED_VALUE"""),45139.9986111111)</f>
        <v/>
      </c>
      <c r="AD1990" s="6">
        <f>IFERROR(__xludf.DUMMYFUNCTION("""COMPUTED_VALUE"""),1289.05)</f>
        <v/>
      </c>
      <c r="AH1990" s="6">
        <f>AI1990&amp;AJ1990</f>
        <v/>
      </c>
      <c r="AI1990" s="6">
        <f>YEAR(AK1990)</f>
        <v/>
      </c>
      <c r="AJ1990" s="6">
        <f>MONTH(AK1990)</f>
        <v/>
      </c>
      <c r="AK1990" s="267">
        <f>IFERROR(__xludf.DUMMYFUNCTION("""COMPUTED_VALUE"""),45083.9986111111)</f>
        <v/>
      </c>
      <c r="AL1990" s="6">
        <f>IFERROR(__xludf.DUMMYFUNCTION("""COMPUTED_VALUE"""),27232.56)</f>
        <v/>
      </c>
      <c r="AP1990" s="6">
        <f>AQ1990&amp;AR1990</f>
        <v/>
      </c>
      <c r="AQ1990" s="6">
        <f>YEAR(AS1990)</f>
        <v/>
      </c>
      <c r="AR1990" s="6">
        <f>MONTH(AS1990)</f>
        <v/>
      </c>
      <c r="AS1990" s="267">
        <f>IFERROR(__xludf.DUMMYFUNCTION("""COMPUTED_VALUE"""),45996.9986111111)</f>
        <v/>
      </c>
      <c r="AT1990" s="6">
        <f>IFERROR(__xludf.DUMMYFUNCTION("""COMPUTED_VALUE"""),4243)</f>
        <v/>
      </c>
    </row>
    <row r="1991">
      <c r="B1991" s="6">
        <f>C1991&amp;D1991</f>
        <v/>
      </c>
      <c r="C1991" s="6">
        <f>YEAR(E1991)</f>
        <v/>
      </c>
      <c r="D1991" s="6">
        <f>MONTH(E1991)</f>
        <v/>
      </c>
      <c r="E1991" s="267">
        <f>IFERROR(__xludf.DUMMYFUNCTION("""COMPUTED_VALUE"""),45992.6666666666)</f>
        <v/>
      </c>
      <c r="F1991" s="6">
        <f>IFERROR(__xludf.DUMMYFUNCTION("""COMPUTED_VALUE"""),6812.63)</f>
        <v/>
      </c>
      <c r="J1991" s="6">
        <f>K1991&amp;L1991</f>
        <v/>
      </c>
      <c r="K1991" s="6">
        <f>YEAR(M1991)</f>
        <v/>
      </c>
      <c r="L1991" s="6">
        <f>MONTH(M1991)</f>
        <v/>
      </c>
      <c r="M1991" s="267">
        <f>IFERROR(__xludf.DUMMYFUNCTION("""COMPUTED_VALUE"""),45985.6666666666)</f>
        <v/>
      </c>
      <c r="N1991" s="6">
        <f>IFERROR(__xludf.DUMMYFUNCTION("""COMPUTED_VALUE"""),22872.01)</f>
        <v/>
      </c>
      <c r="R1991" s="6">
        <f>S1991&amp;T1991</f>
        <v/>
      </c>
      <c r="S1991" s="6">
        <f>YEAR(U1991)</f>
        <v/>
      </c>
      <c r="T1991" s="6">
        <f>MONTH(U1991)</f>
        <v/>
      </c>
      <c r="U1991" s="267">
        <f>IFERROR(__xludf.DUMMYFUNCTION("""COMPUTED_VALUE"""),46065.6458333333)</f>
        <v/>
      </c>
      <c r="V1991" s="6">
        <f>IFERROR(__xludf.DUMMYFUNCTION("""COMPUTED_VALUE"""),5522.27)</f>
        <v/>
      </c>
      <c r="Z1991" s="6">
        <f>AA1991&amp;AB1991</f>
        <v/>
      </c>
      <c r="AA1991" s="6">
        <f>YEAR(AC1991)</f>
        <v/>
      </c>
      <c r="AB1991" s="6">
        <f>MONTH(AC1991)</f>
        <v/>
      </c>
      <c r="AC1991" s="267">
        <f>IFERROR(__xludf.DUMMYFUNCTION("""COMPUTED_VALUE"""),45140.9986111111)</f>
        <v/>
      </c>
      <c r="AD1991" s="6">
        <f>IFERROR(__xludf.DUMMYFUNCTION("""COMPUTED_VALUE"""),1295.37)</f>
        <v/>
      </c>
      <c r="AH1991" s="6">
        <f>AI1991&amp;AJ1991</f>
        <v/>
      </c>
      <c r="AI1991" s="6">
        <f>YEAR(AK1991)</f>
        <v/>
      </c>
      <c r="AJ1991" s="6">
        <f>MONTH(AK1991)</f>
        <v/>
      </c>
      <c r="AK1991" s="267">
        <f>IFERROR(__xludf.DUMMYFUNCTION("""COMPUTED_VALUE"""),45084.9986111111)</f>
        <v/>
      </c>
      <c r="AL1991" s="6">
        <f>IFERROR(__xludf.DUMMYFUNCTION("""COMPUTED_VALUE"""),26349.59)</f>
        <v/>
      </c>
      <c r="AP1991" s="6">
        <f>AQ1991&amp;AR1991</f>
        <v/>
      </c>
      <c r="AQ1991" s="6">
        <f>YEAR(AS1991)</f>
        <v/>
      </c>
      <c r="AR1991" s="6">
        <f>MONTH(AS1991)</f>
        <v/>
      </c>
      <c r="AS1991" s="267">
        <f>IFERROR(__xludf.DUMMYFUNCTION("""COMPUTED_VALUE"""),45999.9986111111)</f>
        <v/>
      </c>
      <c r="AT1991" s="6">
        <f>IFERROR(__xludf.DUMMYFUNCTION("""COMPUTED_VALUE"""),4217.7)</f>
        <v/>
      </c>
    </row>
    <row r="1992">
      <c r="B1992" s="6">
        <f>C1992&amp;D1992</f>
        <v/>
      </c>
      <c r="C1992" s="6">
        <f>YEAR(E1992)</f>
        <v/>
      </c>
      <c r="D1992" s="6">
        <f>MONTH(E1992)</f>
        <v/>
      </c>
      <c r="E1992" s="267">
        <f>IFERROR(__xludf.DUMMYFUNCTION("""COMPUTED_VALUE"""),45993.6666666666)</f>
        <v/>
      </c>
      <c r="F1992" s="6">
        <f>IFERROR(__xludf.DUMMYFUNCTION("""COMPUTED_VALUE"""),6829.37)</f>
        <v/>
      </c>
      <c r="J1992" s="6">
        <f>K1992&amp;L1992</f>
        <v/>
      </c>
      <c r="K1992" s="6">
        <f>YEAR(M1992)</f>
        <v/>
      </c>
      <c r="L1992" s="6">
        <f>MONTH(M1992)</f>
        <v/>
      </c>
      <c r="M1992" s="267">
        <f>IFERROR(__xludf.DUMMYFUNCTION("""COMPUTED_VALUE"""),45986.6666666666)</f>
        <v/>
      </c>
      <c r="N1992" s="6">
        <f>IFERROR(__xludf.DUMMYFUNCTION("""COMPUTED_VALUE"""),23025.59)</f>
        <v/>
      </c>
      <c r="R1992" s="6">
        <f>S1992&amp;T1992</f>
        <v/>
      </c>
      <c r="S1992" s="6">
        <f>YEAR(U1992)</f>
        <v/>
      </c>
      <c r="T1992" s="6">
        <f>MONTH(U1992)</f>
        <v/>
      </c>
      <c r="U1992" s="267">
        <f>IFERROR(__xludf.DUMMYFUNCTION("""COMPUTED_VALUE"""),46066.6458333333)</f>
        <v/>
      </c>
      <c r="V1992" s="6">
        <f>IFERROR(__xludf.DUMMYFUNCTION("""COMPUTED_VALUE"""),5507.01)</f>
        <v/>
      </c>
      <c r="Z1992" s="6">
        <f>AA1992&amp;AB1992</f>
        <v/>
      </c>
      <c r="AA1992" s="6">
        <f>YEAR(AC1992)</f>
        <v/>
      </c>
      <c r="AB1992" s="6">
        <f>MONTH(AC1992)</f>
        <v/>
      </c>
      <c r="AC1992" s="267">
        <f>IFERROR(__xludf.DUMMYFUNCTION("""COMPUTED_VALUE"""),45141.9986111111)</f>
        <v/>
      </c>
      <c r="AD1992" s="6">
        <f>IFERROR(__xludf.DUMMYFUNCTION("""COMPUTED_VALUE"""),1296.4)</f>
        <v/>
      </c>
      <c r="AH1992" s="6">
        <f>AI1992&amp;AJ1992</f>
        <v/>
      </c>
      <c r="AI1992" s="6">
        <f>YEAR(AK1992)</f>
        <v/>
      </c>
      <c r="AJ1992" s="6">
        <f>MONTH(AK1992)</f>
        <v/>
      </c>
      <c r="AK1992" s="267">
        <f>IFERROR(__xludf.DUMMYFUNCTION("""COMPUTED_VALUE"""),45085.9986111111)</f>
        <v/>
      </c>
      <c r="AL1992" s="6">
        <f>IFERROR(__xludf.DUMMYFUNCTION("""COMPUTED_VALUE"""),26506.83)</f>
        <v/>
      </c>
      <c r="AP1992" s="6">
        <f>AQ1992&amp;AR1992</f>
        <v/>
      </c>
      <c r="AQ1992" s="6">
        <f>YEAR(AS1992)</f>
        <v/>
      </c>
      <c r="AR1992" s="6">
        <f>MONTH(AS1992)</f>
        <v/>
      </c>
      <c r="AS1992" s="267">
        <f>IFERROR(__xludf.DUMMYFUNCTION("""COMPUTED_VALUE"""),46000.9986111111)</f>
        <v/>
      </c>
      <c r="AT1992" s="6">
        <f>IFERROR(__xludf.DUMMYFUNCTION("""COMPUTED_VALUE"""),4236.2)</f>
        <v/>
      </c>
    </row>
    <row r="1993">
      <c r="B1993" s="6">
        <f>C1993&amp;D1993</f>
        <v/>
      </c>
      <c r="C1993" s="6">
        <f>YEAR(E1993)</f>
        <v/>
      </c>
      <c r="D1993" s="6">
        <f>MONTH(E1993)</f>
        <v/>
      </c>
      <c r="E1993" s="267">
        <f>IFERROR(__xludf.DUMMYFUNCTION("""COMPUTED_VALUE"""),45994.6666666666)</f>
        <v/>
      </c>
      <c r="F1993" s="6">
        <f>IFERROR(__xludf.DUMMYFUNCTION("""COMPUTED_VALUE"""),6849.72)</f>
        <v/>
      </c>
      <c r="J1993" s="6">
        <f>K1993&amp;L1993</f>
        <v/>
      </c>
      <c r="K1993" s="6">
        <f>YEAR(M1993)</f>
        <v/>
      </c>
      <c r="L1993" s="6">
        <f>MONTH(M1993)</f>
        <v/>
      </c>
      <c r="M1993" s="267">
        <f>IFERROR(__xludf.DUMMYFUNCTION("""COMPUTED_VALUE"""),45987.6666666666)</f>
        <v/>
      </c>
      <c r="N1993" s="6">
        <f>IFERROR(__xludf.DUMMYFUNCTION("""COMPUTED_VALUE"""),23214.69)</f>
        <v/>
      </c>
      <c r="R1993" s="6">
        <f>S1993&amp;T1993</f>
        <v/>
      </c>
      <c r="S1993" s="6">
        <f>YEAR(U1993)</f>
        <v/>
      </c>
      <c r="T1993" s="6">
        <f>MONTH(U1993)</f>
        <v/>
      </c>
      <c r="U1993" s="267">
        <f>IFERROR(__xludf.DUMMYFUNCTION("""COMPUTED_VALUE"""),46072.6458333333)</f>
        <v/>
      </c>
      <c r="V1993" s="6">
        <f>IFERROR(__xludf.DUMMYFUNCTION("""COMPUTED_VALUE"""),5677.25)</f>
        <v/>
      </c>
      <c r="Z1993" s="6">
        <f>AA1993&amp;AB1993</f>
        <v/>
      </c>
      <c r="AA1993" s="6">
        <f>YEAR(AC1993)</f>
        <v/>
      </c>
      <c r="AB1993" s="6">
        <f>MONTH(AC1993)</f>
        <v/>
      </c>
      <c r="AC1993" s="267">
        <f>IFERROR(__xludf.DUMMYFUNCTION("""COMPUTED_VALUE"""),45142.9986111111)</f>
        <v/>
      </c>
      <c r="AD1993" s="6">
        <f>IFERROR(__xludf.DUMMYFUNCTION("""COMPUTED_VALUE"""),1303.04)</f>
        <v/>
      </c>
      <c r="AH1993" s="6">
        <f>AI1993&amp;AJ1993</f>
        <v/>
      </c>
      <c r="AI1993" s="6">
        <f>YEAR(AK1993)</f>
        <v/>
      </c>
      <c r="AJ1993" s="6">
        <f>MONTH(AK1993)</f>
        <v/>
      </c>
      <c r="AK1993" s="267">
        <f>IFERROR(__xludf.DUMMYFUNCTION("""COMPUTED_VALUE"""),45086.9986111111)</f>
        <v/>
      </c>
      <c r="AL1993" s="6">
        <f>IFERROR(__xludf.DUMMYFUNCTION("""COMPUTED_VALUE"""),26483.8)</f>
        <v/>
      </c>
      <c r="AP1993" s="6">
        <f>AQ1993&amp;AR1993</f>
        <v/>
      </c>
      <c r="AQ1993" s="6">
        <f>YEAR(AS1993)</f>
        <v/>
      </c>
      <c r="AR1993" s="6">
        <f>MONTH(AS1993)</f>
        <v/>
      </c>
      <c r="AS1993" s="267">
        <f>IFERROR(__xludf.DUMMYFUNCTION("""COMPUTED_VALUE"""),46001.9986111111)</f>
        <v/>
      </c>
      <c r="AT1993" s="6">
        <f>IFERROR(__xludf.DUMMYFUNCTION("""COMPUTED_VALUE"""),4224.7)</f>
        <v/>
      </c>
    </row>
    <row r="1994">
      <c r="B1994" s="6">
        <f>C1994&amp;D1994</f>
        <v/>
      </c>
      <c r="C1994" s="6">
        <f>YEAR(E1994)</f>
        <v/>
      </c>
      <c r="D1994" s="6">
        <f>MONTH(E1994)</f>
        <v/>
      </c>
      <c r="E1994" s="267">
        <f>IFERROR(__xludf.DUMMYFUNCTION("""COMPUTED_VALUE"""),45995.6666666666)</f>
        <v/>
      </c>
      <c r="F1994" s="6">
        <f>IFERROR(__xludf.DUMMYFUNCTION("""COMPUTED_VALUE"""),6857.12)</f>
        <v/>
      </c>
      <c r="J1994" s="6">
        <f>K1994&amp;L1994</f>
        <v/>
      </c>
      <c r="K1994" s="6">
        <f>YEAR(M1994)</f>
        <v/>
      </c>
      <c r="L1994" s="6">
        <f>MONTH(M1994)</f>
        <v/>
      </c>
      <c r="M1994" s="267">
        <f>IFERROR(__xludf.DUMMYFUNCTION("""COMPUTED_VALUE"""),45989.5451388888)</f>
        <v/>
      </c>
      <c r="N1994" s="6">
        <f>IFERROR(__xludf.DUMMYFUNCTION("""COMPUTED_VALUE"""),23365.69)</f>
        <v/>
      </c>
      <c r="R1994" s="6">
        <f>S1994&amp;T1994</f>
        <v/>
      </c>
      <c r="S1994" s="6">
        <f>YEAR(U1994)</f>
        <v/>
      </c>
      <c r="T1994" s="6">
        <f>MONTH(U1994)</f>
        <v/>
      </c>
      <c r="U1994" s="267">
        <f>IFERROR(__xludf.DUMMYFUNCTION("""COMPUTED_VALUE"""),46073.6458333333)</f>
        <v/>
      </c>
      <c r="V1994" s="6">
        <f>IFERROR(__xludf.DUMMYFUNCTION("""COMPUTED_VALUE"""),5808.53)</f>
        <v/>
      </c>
      <c r="Z1994" s="6">
        <f>AA1994&amp;AB1994</f>
        <v/>
      </c>
      <c r="AA1994" s="6">
        <f>YEAR(AC1994)</f>
        <v/>
      </c>
      <c r="AB1994" s="6">
        <f>MONTH(AC1994)</f>
        <v/>
      </c>
      <c r="AC1994" s="267">
        <f>IFERROR(__xludf.DUMMYFUNCTION("""COMPUTED_VALUE"""),45143.9986111111)</f>
        <v/>
      </c>
      <c r="AD1994" s="6">
        <f>IFERROR(__xludf.DUMMYFUNCTION("""COMPUTED_VALUE"""),1303.04)</f>
        <v/>
      </c>
      <c r="AH1994" s="6">
        <f>AI1994&amp;AJ1994</f>
        <v/>
      </c>
      <c r="AI1994" s="6">
        <f>YEAR(AK1994)</f>
        <v/>
      </c>
      <c r="AJ1994" s="6">
        <f>MONTH(AK1994)</f>
        <v/>
      </c>
      <c r="AK1994" s="267">
        <f>IFERROR(__xludf.DUMMYFUNCTION("""COMPUTED_VALUE"""),45087.9986111111)</f>
        <v/>
      </c>
      <c r="AL1994" s="6">
        <f>IFERROR(__xludf.DUMMYFUNCTION("""COMPUTED_VALUE"""),25853.87)</f>
        <v/>
      </c>
      <c r="AP1994" s="6">
        <f>AQ1994&amp;AR1994</f>
        <v/>
      </c>
      <c r="AQ1994" s="6">
        <f>YEAR(AS1994)</f>
        <v/>
      </c>
      <c r="AR1994" s="6">
        <f>MONTH(AS1994)</f>
        <v/>
      </c>
      <c r="AS1994" s="267">
        <f>IFERROR(__xludf.DUMMYFUNCTION("""COMPUTED_VALUE"""),46002.9986111111)</f>
        <v/>
      </c>
      <c r="AT1994" s="6">
        <f>IFERROR(__xludf.DUMMYFUNCTION("""COMPUTED_VALUE"""),4313)</f>
        <v/>
      </c>
    </row>
    <row r="1995">
      <c r="B1995" s="6">
        <f>C1995&amp;D1995</f>
        <v/>
      </c>
      <c r="C1995" s="6">
        <f>YEAR(E1995)</f>
        <v/>
      </c>
      <c r="D1995" s="6">
        <f>MONTH(E1995)</f>
        <v/>
      </c>
      <c r="E1995" s="267">
        <f>IFERROR(__xludf.DUMMYFUNCTION("""COMPUTED_VALUE"""),45996.6666666666)</f>
        <v/>
      </c>
      <c r="F1995" s="6">
        <f>IFERROR(__xludf.DUMMYFUNCTION("""COMPUTED_VALUE"""),6870.4)</f>
        <v/>
      </c>
      <c r="J1995" s="6">
        <f>K1995&amp;L1995</f>
        <v/>
      </c>
      <c r="K1995" s="6">
        <f>YEAR(M1995)</f>
        <v/>
      </c>
      <c r="L1995" s="6">
        <f>MONTH(M1995)</f>
        <v/>
      </c>
      <c r="M1995" s="267">
        <f>IFERROR(__xludf.DUMMYFUNCTION("""COMPUTED_VALUE"""),45992.6666666666)</f>
        <v/>
      </c>
      <c r="N1995" s="6">
        <f>IFERROR(__xludf.DUMMYFUNCTION("""COMPUTED_VALUE"""),23275.92)</f>
        <v/>
      </c>
      <c r="R1995" s="6">
        <f>S1995&amp;T1995</f>
        <v/>
      </c>
      <c r="S1995" s="6">
        <f>YEAR(U1995)</f>
        <v/>
      </c>
      <c r="T1995" s="6">
        <f>MONTH(U1995)</f>
        <v/>
      </c>
      <c r="U1995" s="267">
        <f>IFERROR(__xludf.DUMMYFUNCTION("""COMPUTED_VALUE"""),46076.6458333333)</f>
        <v/>
      </c>
      <c r="V1995" s="6">
        <f>IFERROR(__xludf.DUMMYFUNCTION("""COMPUTED_VALUE"""),5846.09)</f>
        <v/>
      </c>
      <c r="Z1995" s="6">
        <f>AA1995&amp;AB1995</f>
        <v/>
      </c>
      <c r="AA1995" s="6">
        <f>YEAR(AC1995)</f>
        <v/>
      </c>
      <c r="AB1995" s="6">
        <f>MONTH(AC1995)</f>
        <v/>
      </c>
      <c r="AC1995" s="267">
        <f>IFERROR(__xludf.DUMMYFUNCTION("""COMPUTED_VALUE"""),45144.9986111111)</f>
        <v/>
      </c>
      <c r="AD1995" s="6">
        <f>IFERROR(__xludf.DUMMYFUNCTION("""COMPUTED_VALUE"""),1303.05)</f>
        <v/>
      </c>
      <c r="AH1995" s="6">
        <f>AI1995&amp;AJ1995</f>
        <v/>
      </c>
      <c r="AI1995" s="6">
        <f>YEAR(AK1995)</f>
        <v/>
      </c>
      <c r="AJ1995" s="6">
        <f>MONTH(AK1995)</f>
        <v/>
      </c>
      <c r="AK1995" s="267">
        <f>IFERROR(__xludf.DUMMYFUNCTION("""COMPUTED_VALUE"""),45088.9986111111)</f>
        <v/>
      </c>
      <c r="AL1995" s="6">
        <f>IFERROR(__xludf.DUMMYFUNCTION("""COMPUTED_VALUE"""),25933.86)</f>
        <v/>
      </c>
      <c r="AP1995" s="6">
        <f>AQ1995&amp;AR1995</f>
        <v/>
      </c>
      <c r="AQ1995" s="6">
        <f>YEAR(AS1995)</f>
        <v/>
      </c>
      <c r="AR1995" s="6">
        <f>MONTH(AS1995)</f>
        <v/>
      </c>
      <c r="AS1995" s="267">
        <f>IFERROR(__xludf.DUMMYFUNCTION("""COMPUTED_VALUE"""),46003.9986111111)</f>
        <v/>
      </c>
      <c r="AT1995" s="6">
        <f>IFERROR(__xludf.DUMMYFUNCTION("""COMPUTED_VALUE"""),4328.3)</f>
        <v/>
      </c>
    </row>
    <row r="1996">
      <c r="B1996" s="6">
        <f>C1996&amp;D1996</f>
        <v/>
      </c>
      <c r="C1996" s="6">
        <f>YEAR(E1996)</f>
        <v/>
      </c>
      <c r="D1996" s="6">
        <f>MONTH(E1996)</f>
        <v/>
      </c>
      <c r="E1996" s="267">
        <f>IFERROR(__xludf.DUMMYFUNCTION("""COMPUTED_VALUE"""),45999.6666666666)</f>
        <v/>
      </c>
      <c r="F1996" s="6">
        <f>IFERROR(__xludf.DUMMYFUNCTION("""COMPUTED_VALUE"""),6846.51)</f>
        <v/>
      </c>
      <c r="J1996" s="6">
        <f>K1996&amp;L1996</f>
        <v/>
      </c>
      <c r="K1996" s="6">
        <f>YEAR(M1996)</f>
        <v/>
      </c>
      <c r="L1996" s="6">
        <f>MONTH(M1996)</f>
        <v/>
      </c>
      <c r="M1996" s="267">
        <f>IFERROR(__xludf.DUMMYFUNCTION("""COMPUTED_VALUE"""),45993.6666666666)</f>
        <v/>
      </c>
      <c r="N1996" s="6">
        <f>IFERROR(__xludf.DUMMYFUNCTION("""COMPUTED_VALUE"""),23413.67)</f>
        <v/>
      </c>
      <c r="R1996" s="6">
        <f>S1996&amp;T1996</f>
        <v/>
      </c>
      <c r="S1996" s="6">
        <f>YEAR(U1996)</f>
        <v/>
      </c>
      <c r="T1996" s="6">
        <f>MONTH(U1996)</f>
        <v/>
      </c>
      <c r="U1996" s="267">
        <f>IFERROR(__xludf.DUMMYFUNCTION("""COMPUTED_VALUE"""),46077.6458333333)</f>
        <v/>
      </c>
      <c r="V1996" s="6">
        <f>IFERROR(__xludf.DUMMYFUNCTION("""COMPUTED_VALUE"""),5969.64)</f>
        <v/>
      </c>
      <c r="Z1996" s="6">
        <f>AA1996&amp;AB1996</f>
        <v/>
      </c>
      <c r="AA1996" s="6">
        <f>YEAR(AC1996)</f>
        <v/>
      </c>
      <c r="AB1996" s="6">
        <f>MONTH(AC1996)</f>
        <v/>
      </c>
      <c r="AC1996" s="267">
        <f>IFERROR(__xludf.DUMMYFUNCTION("""COMPUTED_VALUE"""),45145.9986111111)</f>
        <v/>
      </c>
      <c r="AD1996" s="6">
        <f>IFERROR(__xludf.DUMMYFUNCTION("""COMPUTED_VALUE"""),1307.75)</f>
        <v/>
      </c>
      <c r="AH1996" s="6">
        <f>AI1996&amp;AJ1996</f>
        <v/>
      </c>
      <c r="AI1996" s="6">
        <f>YEAR(AK1996)</f>
        <v/>
      </c>
      <c r="AJ1996" s="6">
        <f>MONTH(AK1996)</f>
        <v/>
      </c>
      <c r="AK1996" s="267">
        <f>IFERROR(__xludf.DUMMYFUNCTION("""COMPUTED_VALUE"""),45089.9986111111)</f>
        <v/>
      </c>
      <c r="AL1996" s="6">
        <f>IFERROR(__xludf.DUMMYFUNCTION("""COMPUTED_VALUE"""),25905.95)</f>
        <v/>
      </c>
      <c r="AP1996" s="6">
        <f>AQ1996&amp;AR1996</f>
        <v/>
      </c>
      <c r="AQ1996" s="6">
        <f>YEAR(AS1996)</f>
        <v/>
      </c>
      <c r="AR1996" s="6">
        <f>MONTH(AS1996)</f>
        <v/>
      </c>
      <c r="AS1996" s="267">
        <f>IFERROR(__xludf.DUMMYFUNCTION("""COMPUTED_VALUE"""),46006.9986111111)</f>
        <v/>
      </c>
      <c r="AT1996" s="6">
        <f>IFERROR(__xludf.DUMMYFUNCTION("""COMPUTED_VALUE"""),4335.2)</f>
        <v/>
      </c>
    </row>
    <row r="1997">
      <c r="B1997" s="6">
        <f>C1997&amp;D1997</f>
        <v/>
      </c>
      <c r="C1997" s="6">
        <f>YEAR(E1997)</f>
        <v/>
      </c>
      <c r="D1997" s="6">
        <f>MONTH(E1997)</f>
        <v/>
      </c>
      <c r="E1997" s="267">
        <f>IFERROR(__xludf.DUMMYFUNCTION("""COMPUTED_VALUE"""),46000.6666666666)</f>
        <v/>
      </c>
      <c r="F1997" s="6">
        <f>IFERROR(__xludf.DUMMYFUNCTION("""COMPUTED_VALUE"""),6840.51)</f>
        <v/>
      </c>
      <c r="J1997" s="6">
        <f>K1997&amp;L1997</f>
        <v/>
      </c>
      <c r="K1997" s="6">
        <f>YEAR(M1997)</f>
        <v/>
      </c>
      <c r="L1997" s="6">
        <f>MONTH(M1997)</f>
        <v/>
      </c>
      <c r="M1997" s="267">
        <f>IFERROR(__xludf.DUMMYFUNCTION("""COMPUTED_VALUE"""),45994.6666666666)</f>
        <v/>
      </c>
      <c r="N1997" s="6">
        <f>IFERROR(__xludf.DUMMYFUNCTION("""COMPUTED_VALUE"""),23454.09)</f>
        <v/>
      </c>
      <c r="R1997" s="6">
        <f>S1997&amp;T1997</f>
        <v/>
      </c>
      <c r="S1997" s="6">
        <f>YEAR(U1997)</f>
        <v/>
      </c>
      <c r="T1997" s="6">
        <f>MONTH(U1997)</f>
        <v/>
      </c>
      <c r="U1997" s="267">
        <f>IFERROR(__xludf.DUMMYFUNCTION("""COMPUTED_VALUE"""),46078.6458333333)</f>
        <v/>
      </c>
      <c r="V1997" s="6">
        <f>IFERROR(__xludf.DUMMYFUNCTION("""COMPUTED_VALUE"""),6083.86)</f>
        <v/>
      </c>
      <c r="Z1997" s="6">
        <f>AA1997&amp;AB1997</f>
        <v/>
      </c>
      <c r="AA1997" s="6">
        <f>YEAR(AC1997)</f>
        <v/>
      </c>
      <c r="AB1997" s="6">
        <f>MONTH(AC1997)</f>
        <v/>
      </c>
      <c r="AC1997" s="267">
        <f>IFERROR(__xludf.DUMMYFUNCTION("""COMPUTED_VALUE"""),45146.9986111111)</f>
        <v/>
      </c>
      <c r="AD1997" s="6">
        <f>IFERROR(__xludf.DUMMYFUNCTION("""COMPUTED_VALUE"""),1316.67)</f>
        <v/>
      </c>
      <c r="AH1997" s="6">
        <f>AI1997&amp;AJ1997</f>
        <v/>
      </c>
      <c r="AI1997" s="6">
        <f>YEAR(AK1997)</f>
        <v/>
      </c>
      <c r="AJ1997" s="6">
        <f>MONTH(AK1997)</f>
        <v/>
      </c>
      <c r="AK1997" s="267">
        <f>IFERROR(__xludf.DUMMYFUNCTION("""COMPUTED_VALUE"""),45090.9986111111)</f>
        <v/>
      </c>
      <c r="AL1997" s="6">
        <f>IFERROR(__xludf.DUMMYFUNCTION("""COMPUTED_VALUE"""),25925.74)</f>
        <v/>
      </c>
      <c r="AP1997" s="6">
        <f>AQ1997&amp;AR1997</f>
        <v/>
      </c>
      <c r="AQ1997" s="6">
        <f>YEAR(AS1997)</f>
        <v/>
      </c>
      <c r="AR1997" s="6">
        <f>MONTH(AS1997)</f>
        <v/>
      </c>
      <c r="AS1997" s="267">
        <f>IFERROR(__xludf.DUMMYFUNCTION("""COMPUTED_VALUE"""),46007.9986111111)</f>
        <v/>
      </c>
      <c r="AT1997" s="6">
        <f>IFERROR(__xludf.DUMMYFUNCTION("""COMPUTED_VALUE"""),4332.3)</f>
        <v/>
      </c>
    </row>
    <row r="1998">
      <c r="B1998" s="6">
        <f>C1998&amp;D1998</f>
        <v/>
      </c>
      <c r="C1998" s="6">
        <f>YEAR(E1998)</f>
        <v/>
      </c>
      <c r="D1998" s="6">
        <f>MONTH(E1998)</f>
        <v/>
      </c>
      <c r="E1998" s="267">
        <f>IFERROR(__xludf.DUMMYFUNCTION("""COMPUTED_VALUE"""),46001.6666666666)</f>
        <v/>
      </c>
      <c r="F1998" s="6">
        <f>IFERROR(__xludf.DUMMYFUNCTION("""COMPUTED_VALUE"""),6886.68)</f>
        <v/>
      </c>
      <c r="J1998" s="6">
        <f>K1998&amp;L1998</f>
        <v/>
      </c>
      <c r="K1998" s="6">
        <f>YEAR(M1998)</f>
        <v/>
      </c>
      <c r="L1998" s="6">
        <f>MONTH(M1998)</f>
        <v/>
      </c>
      <c r="M1998" s="267">
        <f>IFERROR(__xludf.DUMMYFUNCTION("""COMPUTED_VALUE"""),45995.6666666666)</f>
        <v/>
      </c>
      <c r="N1998" s="6">
        <f>IFERROR(__xludf.DUMMYFUNCTION("""COMPUTED_VALUE"""),23505.14)</f>
        <v/>
      </c>
      <c r="R1998" s="6">
        <f>S1998&amp;T1998</f>
        <v/>
      </c>
      <c r="S1998" s="6">
        <f>YEAR(U1998)</f>
        <v/>
      </c>
      <c r="T1998" s="6">
        <f>MONTH(U1998)</f>
        <v/>
      </c>
      <c r="U1998" s="267">
        <f>IFERROR(__xludf.DUMMYFUNCTION("""COMPUTED_VALUE"""),46079.6458333333)</f>
        <v/>
      </c>
      <c r="V1998" s="6">
        <f>IFERROR(__xludf.DUMMYFUNCTION("""COMPUTED_VALUE"""),6307.27)</f>
        <v/>
      </c>
      <c r="Z1998" s="6">
        <f>AA1998&amp;AB1998</f>
        <v/>
      </c>
      <c r="AA1998" s="6">
        <f>YEAR(AC1998)</f>
        <v/>
      </c>
      <c r="AB1998" s="6">
        <f>MONTH(AC1998)</f>
        <v/>
      </c>
      <c r="AC1998" s="267">
        <f>IFERROR(__xludf.DUMMYFUNCTION("""COMPUTED_VALUE"""),45147.9986111111)</f>
        <v/>
      </c>
      <c r="AD1998" s="6">
        <f>IFERROR(__xludf.DUMMYFUNCTION("""COMPUTED_VALUE"""),1313.64)</f>
        <v/>
      </c>
      <c r="AH1998" s="6">
        <f>AI1998&amp;AJ1998</f>
        <v/>
      </c>
      <c r="AI1998" s="6">
        <f>YEAR(AK1998)</f>
        <v/>
      </c>
      <c r="AJ1998" s="6">
        <f>MONTH(AK1998)</f>
        <v/>
      </c>
      <c r="AK1998" s="267">
        <f>IFERROR(__xludf.DUMMYFUNCTION("""COMPUTED_VALUE"""),45091.9986111111)</f>
        <v/>
      </c>
      <c r="AL1998" s="6">
        <f>IFERROR(__xludf.DUMMYFUNCTION("""COMPUTED_VALUE"""),25126.3)</f>
        <v/>
      </c>
      <c r="AP1998" s="6">
        <f>AQ1998&amp;AR1998</f>
        <v/>
      </c>
      <c r="AQ1998" s="6">
        <f>YEAR(AS1998)</f>
        <v/>
      </c>
      <c r="AR1998" s="6">
        <f>MONTH(AS1998)</f>
        <v/>
      </c>
      <c r="AS1998" s="267">
        <f>IFERROR(__xludf.DUMMYFUNCTION("""COMPUTED_VALUE"""),46008.9986111111)</f>
        <v/>
      </c>
      <c r="AT1998" s="6">
        <f>IFERROR(__xludf.DUMMYFUNCTION("""COMPUTED_VALUE"""),4373.9)</f>
        <v/>
      </c>
    </row>
    <row r="1999">
      <c r="B1999" s="6">
        <f>C1999&amp;D1999</f>
        <v/>
      </c>
      <c r="C1999" s="6">
        <f>YEAR(E1999)</f>
        <v/>
      </c>
      <c r="D1999" s="6">
        <f>MONTH(E1999)</f>
        <v/>
      </c>
      <c r="E1999" s="267">
        <f>IFERROR(__xludf.DUMMYFUNCTION("""COMPUTED_VALUE"""),46002.6666666666)</f>
        <v/>
      </c>
      <c r="F1999" s="6">
        <f>IFERROR(__xludf.DUMMYFUNCTION("""COMPUTED_VALUE"""),6901)</f>
        <v/>
      </c>
      <c r="J1999" s="6">
        <f>K1999&amp;L1999</f>
        <v/>
      </c>
      <c r="K1999" s="6">
        <f>YEAR(M1999)</f>
        <v/>
      </c>
      <c r="L1999" s="6">
        <f>MONTH(M1999)</f>
        <v/>
      </c>
      <c r="M1999" s="267">
        <f>IFERROR(__xludf.DUMMYFUNCTION("""COMPUTED_VALUE"""),45996.6666666666)</f>
        <v/>
      </c>
      <c r="N1999" s="6">
        <f>IFERROR(__xludf.DUMMYFUNCTION("""COMPUTED_VALUE"""),23578.13)</f>
        <v/>
      </c>
      <c r="R1999" s="6">
        <f>S1999&amp;T1999</f>
        <v/>
      </c>
      <c r="S1999" s="6">
        <f>YEAR(U1999)</f>
        <v/>
      </c>
      <c r="T1999" s="6">
        <f>MONTH(U1999)</f>
        <v/>
      </c>
      <c r="U1999" s="267">
        <f>IFERROR(__xludf.DUMMYFUNCTION("""COMPUTED_VALUE"""),46080.6458333333)</f>
        <v/>
      </c>
      <c r="V1999" s="6">
        <f>IFERROR(__xludf.DUMMYFUNCTION("""COMPUTED_VALUE"""),6244.13)</f>
        <v/>
      </c>
      <c r="Z1999" s="6">
        <f>AA1999&amp;AB1999</f>
        <v/>
      </c>
      <c r="AA1999" s="6">
        <f>YEAR(AC1999)</f>
        <v/>
      </c>
      <c r="AB1999" s="6">
        <f>MONTH(AC1999)</f>
        <v/>
      </c>
      <c r="AC1999" s="267">
        <f>IFERROR(__xludf.DUMMYFUNCTION("""COMPUTED_VALUE"""),45148.9986111111)</f>
        <v/>
      </c>
      <c r="AD1999" s="6">
        <f>IFERROR(__xludf.DUMMYFUNCTION("""COMPUTED_VALUE"""),1318.33)</f>
        <v/>
      </c>
      <c r="AH1999" s="6">
        <f>AI1999&amp;AJ1999</f>
        <v/>
      </c>
      <c r="AI1999" s="6">
        <f>YEAR(AK1999)</f>
        <v/>
      </c>
      <c r="AJ1999" s="6">
        <f>MONTH(AK1999)</f>
        <v/>
      </c>
      <c r="AK1999" s="267">
        <f>IFERROR(__xludf.DUMMYFUNCTION("""COMPUTED_VALUE"""),45092.9986111111)</f>
        <v/>
      </c>
      <c r="AL1999" s="6">
        <f>IFERROR(__xludf.DUMMYFUNCTION("""COMPUTED_VALUE"""),25579.45)</f>
        <v/>
      </c>
      <c r="AP1999" s="6">
        <f>AQ1999&amp;AR1999</f>
        <v/>
      </c>
      <c r="AQ1999" s="6">
        <f>YEAR(AS1999)</f>
        <v/>
      </c>
      <c r="AR1999" s="6">
        <f>MONTH(AS1999)</f>
        <v/>
      </c>
      <c r="AS1999" s="267">
        <f>IFERROR(__xludf.DUMMYFUNCTION("""COMPUTED_VALUE"""),46009.9986111111)</f>
        <v/>
      </c>
      <c r="AT1999" s="6">
        <f>IFERROR(__xludf.DUMMYFUNCTION("""COMPUTED_VALUE"""),4364.5)</f>
        <v/>
      </c>
    </row>
    <row r="2000">
      <c r="B2000" s="6">
        <f>C2000&amp;D2000</f>
        <v/>
      </c>
      <c r="C2000" s="6">
        <f>YEAR(E2000)</f>
        <v/>
      </c>
      <c r="D2000" s="6">
        <f>MONTH(E2000)</f>
        <v/>
      </c>
      <c r="E2000" s="267">
        <f>IFERROR(__xludf.DUMMYFUNCTION("""COMPUTED_VALUE"""),46003.6666666666)</f>
        <v/>
      </c>
      <c r="F2000" s="6">
        <f>IFERROR(__xludf.DUMMYFUNCTION("""COMPUTED_VALUE"""),6827.41)</f>
        <v/>
      </c>
      <c r="J2000" s="6">
        <f>K2000&amp;L2000</f>
        <v/>
      </c>
      <c r="K2000" s="6">
        <f>YEAR(M2000)</f>
        <v/>
      </c>
      <c r="L2000" s="6">
        <f>MONTH(M2000)</f>
        <v/>
      </c>
      <c r="M2000" s="267">
        <f>IFERROR(__xludf.DUMMYFUNCTION("""COMPUTED_VALUE"""),45999.6666666666)</f>
        <v/>
      </c>
      <c r="N2000" s="6">
        <f>IFERROR(__xludf.DUMMYFUNCTION("""COMPUTED_VALUE"""),23545.9)</f>
        <v/>
      </c>
      <c r="R2000" s="6">
        <f>S2000&amp;T2000</f>
        <v/>
      </c>
      <c r="S2000" s="6">
        <f>YEAR(U2000)</f>
        <v/>
      </c>
      <c r="T2000" s="6">
        <f>MONTH(U2000)</f>
        <v/>
      </c>
      <c r="U2000" s="267">
        <f>IFERROR(__xludf.DUMMYFUNCTION("""COMPUTED_VALUE"""),46084.6458333333)</f>
        <v/>
      </c>
      <c r="V2000" s="6">
        <f>IFERROR(__xludf.DUMMYFUNCTION("""COMPUTED_VALUE"""),5791.91)</f>
        <v/>
      </c>
      <c r="Z2000" s="6">
        <f>AA2000&amp;AB2000</f>
        <v/>
      </c>
      <c r="AA2000" s="6">
        <f>YEAR(AC2000)</f>
        <v/>
      </c>
      <c r="AB2000" s="6">
        <f>MONTH(AC2000)</f>
        <v/>
      </c>
      <c r="AC2000" s="267">
        <f>IFERROR(__xludf.DUMMYFUNCTION("""COMPUTED_VALUE"""),45149.9986111111)</f>
        <v/>
      </c>
      <c r="AD2000" s="6">
        <f>IFERROR(__xludf.DUMMYFUNCTION("""COMPUTED_VALUE"""),1329.6)</f>
        <v/>
      </c>
      <c r="AH2000" s="6">
        <f>AI2000&amp;AJ2000</f>
        <v/>
      </c>
      <c r="AI2000" s="6">
        <f>YEAR(AK2000)</f>
        <v/>
      </c>
      <c r="AJ2000" s="6">
        <f>MONTH(AK2000)</f>
        <v/>
      </c>
      <c r="AK2000" s="267">
        <f>IFERROR(__xludf.DUMMYFUNCTION("""COMPUTED_VALUE"""),45093.9986111111)</f>
        <v/>
      </c>
      <c r="AL2000" s="6">
        <f>IFERROR(__xludf.DUMMYFUNCTION("""COMPUTED_VALUE"""),26338.52)</f>
        <v/>
      </c>
      <c r="AP2000" s="6">
        <f>AQ2000&amp;AR2000</f>
        <v/>
      </c>
      <c r="AQ2000" s="6">
        <f>YEAR(AS2000)</f>
        <v/>
      </c>
      <c r="AR2000" s="6">
        <f>MONTH(AS2000)</f>
        <v/>
      </c>
      <c r="AS2000" s="267">
        <f>IFERROR(__xludf.DUMMYFUNCTION("""COMPUTED_VALUE"""),46010.9986111111)</f>
        <v/>
      </c>
      <c r="AT2000" s="6">
        <f>IFERROR(__xludf.DUMMYFUNCTION("""COMPUTED_VALUE"""),4387.3)</f>
        <v/>
      </c>
    </row>
    <row r="2001">
      <c r="B2001" s="6">
        <f>C2001&amp;D2001</f>
        <v/>
      </c>
      <c r="C2001" s="6">
        <f>YEAR(E2001)</f>
        <v/>
      </c>
      <c r="D2001" s="6">
        <f>MONTH(E2001)</f>
        <v/>
      </c>
      <c r="E2001" s="267">
        <f>IFERROR(__xludf.DUMMYFUNCTION("""COMPUTED_VALUE"""),46006.6666666666)</f>
        <v/>
      </c>
      <c r="F2001" s="6">
        <f>IFERROR(__xludf.DUMMYFUNCTION("""COMPUTED_VALUE"""),6816.51)</f>
        <v/>
      </c>
      <c r="J2001" s="6">
        <f>K2001&amp;L2001</f>
        <v/>
      </c>
      <c r="K2001" s="6">
        <f>YEAR(M2001)</f>
        <v/>
      </c>
      <c r="L2001" s="6">
        <f>MONTH(M2001)</f>
        <v/>
      </c>
      <c r="M2001" s="267">
        <f>IFERROR(__xludf.DUMMYFUNCTION("""COMPUTED_VALUE"""),46000.6666666666)</f>
        <v/>
      </c>
      <c r="N2001" s="6">
        <f>IFERROR(__xludf.DUMMYFUNCTION("""COMPUTED_VALUE"""),23576.49)</f>
        <v/>
      </c>
      <c r="R2001" s="6">
        <f>S2001&amp;T2001</f>
        <v/>
      </c>
      <c r="S2001" s="6">
        <f>YEAR(U2001)</f>
        <v/>
      </c>
      <c r="T2001" s="6">
        <f>MONTH(U2001)</f>
        <v/>
      </c>
      <c r="U2001" s="267">
        <f>IFERROR(__xludf.DUMMYFUNCTION("""COMPUTED_VALUE"""),46085.6458333333)</f>
        <v/>
      </c>
      <c r="V2001" s="6">
        <f>IFERROR(__xludf.DUMMYFUNCTION("""COMPUTED_VALUE"""),5093.54)</f>
        <v/>
      </c>
      <c r="Z2001" s="6">
        <f>AA2001&amp;AB2001</f>
        <v/>
      </c>
      <c r="AA2001" s="6">
        <f>YEAR(AC2001)</f>
        <v/>
      </c>
      <c r="AB2001" s="6">
        <f>MONTH(AC2001)</f>
        <v/>
      </c>
      <c r="AC2001" s="267">
        <f>IFERROR(__xludf.DUMMYFUNCTION("""COMPUTED_VALUE"""),45150.9986111111)</f>
        <v/>
      </c>
      <c r="AD2001" s="6">
        <f>IFERROR(__xludf.DUMMYFUNCTION("""COMPUTED_VALUE"""),1329.6)</f>
        <v/>
      </c>
      <c r="AH2001" s="6">
        <f>AI2001&amp;AJ2001</f>
        <v/>
      </c>
      <c r="AI2001" s="6">
        <f>YEAR(AK2001)</f>
        <v/>
      </c>
      <c r="AJ2001" s="6">
        <f>MONTH(AK2001)</f>
        <v/>
      </c>
      <c r="AK2001" s="267">
        <f>IFERROR(__xludf.DUMMYFUNCTION("""COMPUTED_VALUE"""),45094.9986111111)</f>
        <v/>
      </c>
      <c r="AL2001" s="6">
        <f>IFERROR(__xludf.DUMMYFUNCTION("""COMPUTED_VALUE"""),26520.6)</f>
        <v/>
      </c>
      <c r="AP2001" s="6">
        <f>AQ2001&amp;AR2001</f>
        <v/>
      </c>
      <c r="AQ2001" s="6">
        <f>YEAR(AS2001)</f>
        <v/>
      </c>
      <c r="AR2001" s="6">
        <f>MONTH(AS2001)</f>
        <v/>
      </c>
      <c r="AS2001" s="267">
        <f>IFERROR(__xludf.DUMMYFUNCTION("""COMPUTED_VALUE"""),46013.9986111111)</f>
        <v/>
      </c>
      <c r="AT2001" s="6">
        <f>IFERROR(__xludf.DUMMYFUNCTION("""COMPUTED_VALUE"""),4469.4)</f>
        <v/>
      </c>
    </row>
    <row r="2002">
      <c r="B2002" s="6">
        <f>C2002&amp;D2002</f>
        <v/>
      </c>
      <c r="C2002" s="6">
        <f>YEAR(E2002)</f>
        <v/>
      </c>
      <c r="D2002" s="6">
        <f>MONTH(E2002)</f>
        <v/>
      </c>
      <c r="E2002" s="267">
        <f>IFERROR(__xludf.DUMMYFUNCTION("""COMPUTED_VALUE"""),46007.6666666666)</f>
        <v/>
      </c>
      <c r="F2002" s="6">
        <f>IFERROR(__xludf.DUMMYFUNCTION("""COMPUTED_VALUE"""),6800.26)</f>
        <v/>
      </c>
      <c r="J2002" s="6">
        <f>K2002&amp;L2002</f>
        <v/>
      </c>
      <c r="K2002" s="6">
        <f>YEAR(M2002)</f>
        <v/>
      </c>
      <c r="L2002" s="6">
        <f>MONTH(M2002)</f>
        <v/>
      </c>
      <c r="M2002" s="267">
        <f>IFERROR(__xludf.DUMMYFUNCTION("""COMPUTED_VALUE"""),46001.6666666666)</f>
        <v/>
      </c>
      <c r="N2002" s="6">
        <f>IFERROR(__xludf.DUMMYFUNCTION("""COMPUTED_VALUE"""),23654.16)</f>
        <v/>
      </c>
      <c r="R2002" s="6">
        <f>S2002&amp;T2002</f>
        <v/>
      </c>
      <c r="S2002" s="6">
        <f>YEAR(U2002)</f>
        <v/>
      </c>
      <c r="T2002" s="6">
        <f>MONTH(U2002)</f>
        <v/>
      </c>
      <c r="U2002" s="267">
        <f>IFERROR(__xludf.DUMMYFUNCTION("""COMPUTED_VALUE"""),46086.6458333333)</f>
        <v/>
      </c>
      <c r="V2002" s="6">
        <f>IFERROR(__xludf.DUMMYFUNCTION("""COMPUTED_VALUE"""),5583.9)</f>
        <v/>
      </c>
      <c r="Z2002" s="6">
        <f>AA2002&amp;AB2002</f>
        <v/>
      </c>
      <c r="AA2002" s="6">
        <f>YEAR(AC2002)</f>
        <v/>
      </c>
      <c r="AB2002" s="6">
        <f>MONTH(AC2002)</f>
        <v/>
      </c>
      <c r="AC2002" s="267">
        <f>IFERROR(__xludf.DUMMYFUNCTION("""COMPUTED_VALUE"""),45151.9986111111)</f>
        <v/>
      </c>
      <c r="AD2002" s="6">
        <f>IFERROR(__xludf.DUMMYFUNCTION("""COMPUTED_VALUE"""),1329.61)</f>
        <v/>
      </c>
      <c r="AH2002" s="6">
        <f>AI2002&amp;AJ2002</f>
        <v/>
      </c>
      <c r="AI2002" s="6">
        <f>YEAR(AK2002)</f>
        <v/>
      </c>
      <c r="AJ2002" s="6">
        <f>MONTH(AK2002)</f>
        <v/>
      </c>
      <c r="AK2002" s="267">
        <f>IFERROR(__xludf.DUMMYFUNCTION("""COMPUTED_VALUE"""),45095.9986111111)</f>
        <v/>
      </c>
      <c r="AL2002" s="6">
        <f>IFERROR(__xludf.DUMMYFUNCTION("""COMPUTED_VALUE"""),26344.33)</f>
        <v/>
      </c>
      <c r="AP2002" s="6">
        <f>AQ2002&amp;AR2002</f>
        <v/>
      </c>
      <c r="AQ2002" s="6">
        <f>YEAR(AS2002)</f>
        <v/>
      </c>
      <c r="AR2002" s="6">
        <f>MONTH(AS2002)</f>
        <v/>
      </c>
      <c r="AS2002" s="267">
        <f>IFERROR(__xludf.DUMMYFUNCTION("""COMPUTED_VALUE"""),46014.9986111111)</f>
        <v/>
      </c>
      <c r="AT2002" s="6">
        <f>IFERROR(__xludf.DUMMYFUNCTION("""COMPUTED_VALUE"""),4505.7)</f>
        <v/>
      </c>
    </row>
    <row r="2003">
      <c r="B2003" s="6">
        <f>C2003&amp;D2003</f>
        <v/>
      </c>
      <c r="C2003" s="6">
        <f>YEAR(E2003)</f>
        <v/>
      </c>
      <c r="D2003" s="6">
        <f>MONTH(E2003)</f>
        <v/>
      </c>
      <c r="E2003" s="267">
        <f>IFERROR(__xludf.DUMMYFUNCTION("""COMPUTED_VALUE"""),46008.6666666666)</f>
        <v/>
      </c>
      <c r="F2003" s="6">
        <f>IFERROR(__xludf.DUMMYFUNCTION("""COMPUTED_VALUE"""),6721.43)</f>
        <v/>
      </c>
      <c r="J2003" s="6">
        <f>K2003&amp;L2003</f>
        <v/>
      </c>
      <c r="K2003" s="6">
        <f>YEAR(M2003)</f>
        <v/>
      </c>
      <c r="L2003" s="6">
        <f>MONTH(M2003)</f>
        <v/>
      </c>
      <c r="M2003" s="267">
        <f>IFERROR(__xludf.DUMMYFUNCTION("""COMPUTED_VALUE"""),46002.6666666666)</f>
        <v/>
      </c>
      <c r="N2003" s="6">
        <f>IFERROR(__xludf.DUMMYFUNCTION("""COMPUTED_VALUE"""),23593.86)</f>
        <v/>
      </c>
      <c r="R2003" s="6">
        <f>S2003&amp;T2003</f>
        <v/>
      </c>
      <c r="S2003" s="6">
        <f>YEAR(U2003)</f>
        <v/>
      </c>
      <c r="T2003" s="6">
        <f>MONTH(U2003)</f>
        <v/>
      </c>
      <c r="U2003" s="267">
        <f>IFERROR(__xludf.DUMMYFUNCTION("""COMPUTED_VALUE"""),46087.6458333333)</f>
        <v/>
      </c>
      <c r="V2003" s="6">
        <f>IFERROR(__xludf.DUMMYFUNCTION("""COMPUTED_VALUE"""),5584.87)</f>
        <v/>
      </c>
      <c r="Z2003" s="6">
        <f>AA2003&amp;AB2003</f>
        <v/>
      </c>
      <c r="AA2003" s="6">
        <f>YEAR(AC2003)</f>
        <v/>
      </c>
      <c r="AB2003" s="6">
        <f>MONTH(AC2003)</f>
        <v/>
      </c>
      <c r="AC2003" s="267">
        <f>IFERROR(__xludf.DUMMYFUNCTION("""COMPUTED_VALUE"""),45152.9986111111)</f>
        <v/>
      </c>
      <c r="AD2003" s="6">
        <f>IFERROR(__xludf.DUMMYFUNCTION("""COMPUTED_VALUE"""),1334.74)</f>
        <v/>
      </c>
      <c r="AH2003" s="6">
        <f>AI2003&amp;AJ2003</f>
        <v/>
      </c>
      <c r="AI2003" s="6">
        <f>YEAR(AK2003)</f>
        <v/>
      </c>
      <c r="AJ2003" s="6">
        <f>MONTH(AK2003)</f>
        <v/>
      </c>
      <c r="AK2003" s="267">
        <f>IFERROR(__xludf.DUMMYFUNCTION("""COMPUTED_VALUE"""),45096.9986111111)</f>
        <v/>
      </c>
      <c r="AL2003" s="6">
        <f>IFERROR(__xludf.DUMMYFUNCTION("""COMPUTED_VALUE"""),26838.21)</f>
        <v/>
      </c>
      <c r="AP2003" s="6">
        <f>AQ2003&amp;AR2003</f>
        <v/>
      </c>
      <c r="AQ2003" s="6">
        <f>YEAR(AS2003)</f>
        <v/>
      </c>
      <c r="AR2003" s="6">
        <f>MONTH(AS2003)</f>
        <v/>
      </c>
      <c r="AS2003" s="267">
        <f>IFERROR(__xludf.DUMMYFUNCTION("""COMPUTED_VALUE"""),46015.5416666666)</f>
        <v/>
      </c>
      <c r="AT2003" s="6">
        <f>IFERROR(__xludf.DUMMYFUNCTION("""COMPUTED_VALUE"""),4502.8)</f>
        <v/>
      </c>
    </row>
    <row r="2004">
      <c r="B2004" s="6">
        <f>C2004&amp;D2004</f>
        <v/>
      </c>
      <c r="C2004" s="6">
        <f>YEAR(E2004)</f>
        <v/>
      </c>
      <c r="D2004" s="6">
        <f>MONTH(E2004)</f>
        <v/>
      </c>
      <c r="E2004" s="267">
        <f>IFERROR(__xludf.DUMMYFUNCTION("""COMPUTED_VALUE"""),46009.6666666666)</f>
        <v/>
      </c>
      <c r="F2004" s="6">
        <f>IFERROR(__xludf.DUMMYFUNCTION("""COMPUTED_VALUE"""),6774.76)</f>
        <v/>
      </c>
      <c r="J2004" s="6">
        <f>K2004&amp;L2004</f>
        <v/>
      </c>
      <c r="K2004" s="6">
        <f>YEAR(M2004)</f>
        <v/>
      </c>
      <c r="L2004" s="6">
        <f>MONTH(M2004)</f>
        <v/>
      </c>
      <c r="M2004" s="267">
        <f>IFERROR(__xludf.DUMMYFUNCTION("""COMPUTED_VALUE"""),46003.6666666666)</f>
        <v/>
      </c>
      <c r="N2004" s="6">
        <f>IFERROR(__xludf.DUMMYFUNCTION("""COMPUTED_VALUE"""),23195.17)</f>
        <v/>
      </c>
      <c r="R2004" s="6">
        <f>S2004&amp;T2004</f>
        <v/>
      </c>
      <c r="S2004" s="6">
        <f>YEAR(U2004)</f>
        <v/>
      </c>
      <c r="T2004" s="6">
        <f>MONTH(U2004)</f>
        <v/>
      </c>
      <c r="U2004" s="267">
        <f>IFERROR(__xludf.DUMMYFUNCTION("""COMPUTED_VALUE"""),46090.6458333333)</f>
        <v/>
      </c>
      <c r="V2004" s="6">
        <f>IFERROR(__xludf.DUMMYFUNCTION("""COMPUTED_VALUE"""),5251.87)</f>
        <v/>
      </c>
      <c r="Z2004" s="6">
        <f>AA2004&amp;AB2004</f>
        <v/>
      </c>
      <c r="AA2004" s="6">
        <f>YEAR(AC2004)</f>
        <v/>
      </c>
      <c r="AB2004" s="6">
        <f>MONTH(AC2004)</f>
        <v/>
      </c>
      <c r="AC2004" s="267">
        <f>IFERROR(__xludf.DUMMYFUNCTION("""COMPUTED_VALUE"""),45153.9986111111)</f>
        <v/>
      </c>
      <c r="AD2004" s="6">
        <f>IFERROR(__xludf.DUMMYFUNCTION("""COMPUTED_VALUE"""),1338.74)</f>
        <v/>
      </c>
      <c r="AH2004" s="6">
        <f>AI2004&amp;AJ2004</f>
        <v/>
      </c>
      <c r="AI2004" s="6">
        <f>YEAR(AK2004)</f>
        <v/>
      </c>
      <c r="AJ2004" s="6">
        <f>MONTH(AK2004)</f>
        <v/>
      </c>
      <c r="AK2004" s="267">
        <f>IFERROR(__xludf.DUMMYFUNCTION("""COMPUTED_VALUE"""),45097.9986111111)</f>
        <v/>
      </c>
      <c r="AL2004" s="6">
        <f>IFERROR(__xludf.DUMMYFUNCTION("""COMPUTED_VALUE"""),28311.79)</f>
        <v/>
      </c>
      <c r="AP2004" s="6">
        <f>AQ2004&amp;AR2004</f>
        <v/>
      </c>
      <c r="AQ2004" s="6">
        <f>YEAR(AS2004)</f>
        <v/>
      </c>
      <c r="AR2004" s="6">
        <f>MONTH(AS2004)</f>
        <v/>
      </c>
      <c r="AS2004" s="267">
        <f>IFERROR(__xludf.DUMMYFUNCTION("""COMPUTED_VALUE"""),46017.9986111111)</f>
        <v/>
      </c>
      <c r="AT2004" s="6">
        <f>IFERROR(__xludf.DUMMYFUNCTION("""COMPUTED_VALUE"""),4552.7)</f>
        <v/>
      </c>
    </row>
    <row r="2005">
      <c r="B2005" s="6">
        <f>C2005&amp;D2005</f>
        <v/>
      </c>
      <c r="C2005" s="6">
        <f>YEAR(E2005)</f>
        <v/>
      </c>
      <c r="D2005" s="6">
        <f>MONTH(E2005)</f>
        <v/>
      </c>
      <c r="E2005" s="267">
        <f>IFERROR(__xludf.DUMMYFUNCTION("""COMPUTED_VALUE"""),46010.6666666666)</f>
        <v/>
      </c>
      <c r="F2005" s="6">
        <f>IFERROR(__xludf.DUMMYFUNCTION("""COMPUTED_VALUE"""),6834.5)</f>
        <v/>
      </c>
      <c r="J2005" s="6">
        <f>K2005&amp;L2005</f>
        <v/>
      </c>
      <c r="K2005" s="6">
        <f>YEAR(M2005)</f>
        <v/>
      </c>
      <c r="L2005" s="6">
        <f>MONTH(M2005)</f>
        <v/>
      </c>
      <c r="M2005" s="267">
        <f>IFERROR(__xludf.DUMMYFUNCTION("""COMPUTED_VALUE"""),46006.6666666666)</f>
        <v/>
      </c>
      <c r="N2005" s="6">
        <f>IFERROR(__xludf.DUMMYFUNCTION("""COMPUTED_VALUE"""),23057.41)</f>
        <v/>
      </c>
      <c r="R2005" s="6">
        <f>S2005&amp;T2005</f>
        <v/>
      </c>
      <c r="S2005" s="6">
        <f>YEAR(U2005)</f>
        <v/>
      </c>
      <c r="T2005" s="6">
        <f>MONTH(U2005)</f>
        <v/>
      </c>
      <c r="U2005" s="267">
        <f>IFERROR(__xludf.DUMMYFUNCTION("""COMPUTED_VALUE"""),46091.6458333333)</f>
        <v/>
      </c>
      <c r="V2005" s="6">
        <f>IFERROR(__xludf.DUMMYFUNCTION("""COMPUTED_VALUE"""),5532.59)</f>
        <v/>
      </c>
      <c r="Z2005" s="6">
        <f>AA2005&amp;AB2005</f>
        <v/>
      </c>
      <c r="AA2005" s="6">
        <f>YEAR(AC2005)</f>
        <v/>
      </c>
      <c r="AB2005" s="6">
        <f>MONTH(AC2005)</f>
        <v/>
      </c>
      <c r="AC2005" s="267">
        <f>IFERROR(__xludf.DUMMYFUNCTION("""COMPUTED_VALUE"""),45154.9986111111)</f>
        <v/>
      </c>
      <c r="AD2005" s="6">
        <f>IFERROR(__xludf.DUMMYFUNCTION("""COMPUTED_VALUE"""),1343.33)</f>
        <v/>
      </c>
      <c r="AH2005" s="6">
        <f>AI2005&amp;AJ2005</f>
        <v/>
      </c>
      <c r="AI2005" s="6">
        <f>YEAR(AK2005)</f>
        <v/>
      </c>
      <c r="AJ2005" s="6">
        <f>MONTH(AK2005)</f>
        <v/>
      </c>
      <c r="AK2005" s="267">
        <f>IFERROR(__xludf.DUMMYFUNCTION("""COMPUTED_VALUE"""),45098.9986111111)</f>
        <v/>
      </c>
      <c r="AL2005" s="6">
        <f>IFERROR(__xludf.DUMMYFUNCTION("""COMPUTED_VALUE"""),30001.54)</f>
        <v/>
      </c>
      <c r="AP2005" s="6">
        <f>AQ2005&amp;AR2005</f>
        <v/>
      </c>
      <c r="AQ2005" s="6">
        <f>YEAR(AS2005)</f>
        <v/>
      </c>
      <c r="AR2005" s="6">
        <f>MONTH(AS2005)</f>
        <v/>
      </c>
      <c r="AS2005" s="267">
        <f>IFERROR(__xludf.DUMMYFUNCTION("""COMPUTED_VALUE"""),46020.9986111111)</f>
        <v/>
      </c>
      <c r="AT2005" s="6">
        <f>IFERROR(__xludf.DUMMYFUNCTION("""COMPUTED_VALUE"""),4343.6)</f>
        <v/>
      </c>
    </row>
    <row r="2006">
      <c r="B2006" s="6">
        <f>C2006&amp;D2006</f>
        <v/>
      </c>
      <c r="C2006" s="6">
        <f>YEAR(E2006)</f>
        <v/>
      </c>
      <c r="D2006" s="6">
        <f>MONTH(E2006)</f>
        <v/>
      </c>
      <c r="E2006" s="267">
        <f>IFERROR(__xludf.DUMMYFUNCTION("""COMPUTED_VALUE"""),46013.6666666666)</f>
        <v/>
      </c>
      <c r="F2006" s="6">
        <f>IFERROR(__xludf.DUMMYFUNCTION("""COMPUTED_VALUE"""),6878.49)</f>
        <v/>
      </c>
      <c r="J2006" s="6">
        <f>K2006&amp;L2006</f>
        <v/>
      </c>
      <c r="K2006" s="6">
        <f>YEAR(M2006)</f>
        <v/>
      </c>
      <c r="L2006" s="6">
        <f>MONTH(M2006)</f>
        <v/>
      </c>
      <c r="M2006" s="267">
        <f>IFERROR(__xludf.DUMMYFUNCTION("""COMPUTED_VALUE"""),46007.6666666666)</f>
        <v/>
      </c>
      <c r="N2006" s="6">
        <f>IFERROR(__xludf.DUMMYFUNCTION("""COMPUTED_VALUE"""),23111.46)</f>
        <v/>
      </c>
      <c r="R2006" s="6">
        <f>S2006&amp;T2006</f>
        <v/>
      </c>
      <c r="S2006" s="6">
        <f>YEAR(U2006)</f>
        <v/>
      </c>
      <c r="T2006" s="6">
        <f>MONTH(U2006)</f>
        <v/>
      </c>
      <c r="U2006" s="267">
        <f>IFERROR(__xludf.DUMMYFUNCTION("""COMPUTED_VALUE"""),46092.6458333333)</f>
        <v/>
      </c>
      <c r="V2006" s="6">
        <f>IFERROR(__xludf.DUMMYFUNCTION("""COMPUTED_VALUE"""),5609.95)</f>
        <v/>
      </c>
      <c r="Z2006" s="6">
        <f>AA2006&amp;AB2006</f>
        <v/>
      </c>
      <c r="AA2006" s="6">
        <f>YEAR(AC2006)</f>
        <v/>
      </c>
      <c r="AB2006" s="6">
        <f>MONTH(AC2006)</f>
        <v/>
      </c>
      <c r="AC2006" s="267">
        <f>IFERROR(__xludf.DUMMYFUNCTION("""COMPUTED_VALUE"""),45155.9986111111)</f>
        <v/>
      </c>
      <c r="AD2006" s="6">
        <f>IFERROR(__xludf.DUMMYFUNCTION("""COMPUTED_VALUE"""),1339.08)</f>
        <v/>
      </c>
      <c r="AH2006" s="6">
        <f>AI2006&amp;AJ2006</f>
        <v/>
      </c>
      <c r="AI2006" s="6">
        <f>YEAR(AK2006)</f>
        <v/>
      </c>
      <c r="AJ2006" s="6">
        <f>MONTH(AK2006)</f>
        <v/>
      </c>
      <c r="AK2006" s="267">
        <f>IFERROR(__xludf.DUMMYFUNCTION("""COMPUTED_VALUE"""),45099.9986111111)</f>
        <v/>
      </c>
      <c r="AL2006" s="6">
        <f>IFERROR(__xludf.DUMMYFUNCTION("""COMPUTED_VALUE"""),29900.9)</f>
        <v/>
      </c>
      <c r="AP2006" s="6">
        <f>AQ2006&amp;AR2006</f>
        <v/>
      </c>
      <c r="AQ2006" s="6">
        <f>YEAR(AS2006)</f>
        <v/>
      </c>
      <c r="AR2006" s="6">
        <f>MONTH(AS2006)</f>
        <v/>
      </c>
      <c r="AS2006" s="267">
        <f>IFERROR(__xludf.DUMMYFUNCTION("""COMPUTED_VALUE"""),46021.9986111111)</f>
        <v/>
      </c>
      <c r="AT2006" s="6">
        <f>IFERROR(__xludf.DUMMYFUNCTION("""COMPUTED_VALUE"""),4386.3)</f>
        <v/>
      </c>
    </row>
    <row r="2007">
      <c r="B2007" s="6">
        <f>C2007&amp;D2007</f>
        <v/>
      </c>
      <c r="C2007" s="6">
        <f>YEAR(E2007)</f>
        <v/>
      </c>
      <c r="D2007" s="6">
        <f>MONTH(E2007)</f>
        <v/>
      </c>
      <c r="E2007" s="267">
        <f>IFERROR(__xludf.DUMMYFUNCTION("""COMPUTED_VALUE"""),46014.6666666666)</f>
        <v/>
      </c>
      <c r="F2007" s="6">
        <f>IFERROR(__xludf.DUMMYFUNCTION("""COMPUTED_VALUE"""),6909.79)</f>
        <v/>
      </c>
      <c r="J2007" s="6">
        <f>K2007&amp;L2007</f>
        <v/>
      </c>
      <c r="K2007" s="6">
        <f>YEAR(M2007)</f>
        <v/>
      </c>
      <c r="L2007" s="6">
        <f>MONTH(M2007)</f>
        <v/>
      </c>
      <c r="M2007" s="267">
        <f>IFERROR(__xludf.DUMMYFUNCTION("""COMPUTED_VALUE"""),46008.6666666666)</f>
        <v/>
      </c>
      <c r="N2007" s="6">
        <f>IFERROR(__xludf.DUMMYFUNCTION("""COMPUTED_VALUE"""),22693.32)</f>
        <v/>
      </c>
      <c r="R2007" s="6">
        <f>S2007&amp;T2007</f>
        <v/>
      </c>
      <c r="S2007" s="6">
        <f>YEAR(U2007)</f>
        <v/>
      </c>
      <c r="T2007" s="6">
        <f>MONTH(U2007)</f>
        <v/>
      </c>
      <c r="U2007" s="267">
        <f>IFERROR(__xludf.DUMMYFUNCTION("""COMPUTED_VALUE"""),46093.6458333333)</f>
        <v/>
      </c>
      <c r="V2007" s="6">
        <f>IFERROR(__xludf.DUMMYFUNCTION("""COMPUTED_VALUE"""),5583.25)</f>
        <v/>
      </c>
      <c r="Z2007" s="6">
        <f>AA2007&amp;AB2007</f>
        <v/>
      </c>
      <c r="AA2007" s="6">
        <f>YEAR(AC2007)</f>
        <v/>
      </c>
      <c r="AB2007" s="6">
        <f>MONTH(AC2007)</f>
        <v/>
      </c>
      <c r="AC2007" s="267">
        <f>IFERROR(__xludf.DUMMYFUNCTION("""COMPUTED_VALUE"""),45156.9986111111)</f>
        <v/>
      </c>
      <c r="AD2007" s="6">
        <f>IFERROR(__xludf.DUMMYFUNCTION("""COMPUTED_VALUE"""),1339.16)</f>
        <v/>
      </c>
      <c r="AH2007" s="6">
        <f>AI2007&amp;AJ2007</f>
        <v/>
      </c>
      <c r="AI2007" s="6">
        <f>YEAR(AK2007)</f>
        <v/>
      </c>
      <c r="AJ2007" s="6">
        <f>MONTH(AK2007)</f>
        <v/>
      </c>
      <c r="AK2007" s="267">
        <f>IFERROR(__xludf.DUMMYFUNCTION("""COMPUTED_VALUE"""),45100.9986111111)</f>
        <v/>
      </c>
      <c r="AL2007" s="6">
        <f>IFERROR(__xludf.DUMMYFUNCTION("""COMPUTED_VALUE"""),30702.18)</f>
        <v/>
      </c>
      <c r="AP2007" s="6">
        <f>AQ2007&amp;AR2007</f>
        <v/>
      </c>
      <c r="AQ2007" s="6">
        <f>YEAR(AS2007)</f>
        <v/>
      </c>
      <c r="AR2007" s="6">
        <f>MONTH(AS2007)</f>
        <v/>
      </c>
      <c r="AS2007" s="267">
        <f>IFERROR(__xludf.DUMMYFUNCTION("""COMPUTED_VALUE"""),46022.9986111111)</f>
        <v/>
      </c>
      <c r="AT2007" s="6">
        <f>IFERROR(__xludf.DUMMYFUNCTION("""COMPUTED_VALUE"""),4341.1)</f>
        <v/>
      </c>
    </row>
    <row r="2008">
      <c r="B2008" s="6">
        <f>C2008&amp;D2008</f>
        <v/>
      </c>
      <c r="C2008" s="6">
        <f>YEAR(E2008)</f>
        <v/>
      </c>
      <c r="D2008" s="6">
        <f>MONTH(E2008)</f>
        <v/>
      </c>
      <c r="E2008" s="267">
        <f>IFERROR(__xludf.DUMMYFUNCTION("""COMPUTED_VALUE"""),46015.5416666666)</f>
        <v/>
      </c>
      <c r="F2008" s="6">
        <f>IFERROR(__xludf.DUMMYFUNCTION("""COMPUTED_VALUE"""),6932.05)</f>
        <v/>
      </c>
      <c r="J2008" s="6">
        <f>K2008&amp;L2008</f>
        <v/>
      </c>
      <c r="K2008" s="6">
        <f>YEAR(M2008)</f>
        <v/>
      </c>
      <c r="L2008" s="6">
        <f>MONTH(M2008)</f>
        <v/>
      </c>
      <c r="M2008" s="267">
        <f>IFERROR(__xludf.DUMMYFUNCTION("""COMPUTED_VALUE"""),46009.6666666666)</f>
        <v/>
      </c>
      <c r="N2008" s="6">
        <f>IFERROR(__xludf.DUMMYFUNCTION("""COMPUTED_VALUE"""),23006.36)</f>
        <v/>
      </c>
      <c r="R2008" s="6">
        <f>S2008&amp;T2008</f>
        <v/>
      </c>
      <c r="S2008" s="6">
        <f>YEAR(U2008)</f>
        <v/>
      </c>
      <c r="T2008" s="6">
        <f>MONTH(U2008)</f>
        <v/>
      </c>
      <c r="U2008" s="267">
        <f>IFERROR(__xludf.DUMMYFUNCTION("""COMPUTED_VALUE"""),46094.6458333333)</f>
        <v/>
      </c>
      <c r="V2008" s="6">
        <f>IFERROR(__xludf.DUMMYFUNCTION("""COMPUTED_VALUE"""),5487.24)</f>
        <v/>
      </c>
      <c r="Z2008" s="6">
        <f>AA2008&amp;AB2008</f>
        <v/>
      </c>
      <c r="AA2008" s="6">
        <f>YEAR(AC2008)</f>
        <v/>
      </c>
      <c r="AB2008" s="6">
        <f>MONTH(AC2008)</f>
        <v/>
      </c>
      <c r="AC2008" s="267">
        <f>IFERROR(__xludf.DUMMYFUNCTION("""COMPUTED_VALUE"""),45157.9986111111)</f>
        <v/>
      </c>
      <c r="AD2008" s="6">
        <f>IFERROR(__xludf.DUMMYFUNCTION("""COMPUTED_VALUE"""),1339.16)</f>
        <v/>
      </c>
      <c r="AH2008" s="6">
        <f>AI2008&amp;AJ2008</f>
        <v/>
      </c>
      <c r="AI2008" s="6">
        <f>YEAR(AK2008)</f>
        <v/>
      </c>
      <c r="AJ2008" s="6">
        <f>MONTH(AK2008)</f>
        <v/>
      </c>
      <c r="AK2008" s="267">
        <f>IFERROR(__xludf.DUMMYFUNCTION("""COMPUTED_VALUE"""),45101.9986111111)</f>
        <v/>
      </c>
      <c r="AL2008" s="6">
        <f>IFERROR(__xludf.DUMMYFUNCTION("""COMPUTED_VALUE"""),30550.17)</f>
        <v/>
      </c>
      <c r="AP2008" s="6">
        <f>AQ2008&amp;AR2008</f>
        <v/>
      </c>
      <c r="AQ2008" s="6">
        <f>YEAR(AS2008)</f>
        <v/>
      </c>
      <c r="AR2008" s="6">
        <f>MONTH(AS2008)</f>
        <v/>
      </c>
      <c r="AS2008" s="267">
        <f>IFERROR(__xludf.DUMMYFUNCTION("""COMPUTED_VALUE"""),46024.9986111111)</f>
        <v/>
      </c>
      <c r="AT2008" s="6">
        <f>IFERROR(__xludf.DUMMYFUNCTION("""COMPUTED_VALUE"""),4329.6)</f>
        <v/>
      </c>
    </row>
    <row r="2009">
      <c r="B2009" s="6">
        <f>C2009&amp;D2009</f>
        <v/>
      </c>
      <c r="C2009" s="6">
        <f>YEAR(E2009)</f>
        <v/>
      </c>
      <c r="D2009" s="6">
        <f>MONTH(E2009)</f>
        <v/>
      </c>
      <c r="E2009" s="267">
        <f>IFERROR(__xludf.DUMMYFUNCTION("""COMPUTED_VALUE"""),46017.6666666666)</f>
        <v/>
      </c>
      <c r="F2009" s="6">
        <f>IFERROR(__xludf.DUMMYFUNCTION("""COMPUTED_VALUE"""),6929.94)</f>
        <v/>
      </c>
      <c r="J2009" s="6">
        <f>K2009&amp;L2009</f>
        <v/>
      </c>
      <c r="K2009" s="6">
        <f>YEAR(M2009)</f>
        <v/>
      </c>
      <c r="L2009" s="6">
        <f>MONTH(M2009)</f>
        <v/>
      </c>
      <c r="M2009" s="267">
        <f>IFERROR(__xludf.DUMMYFUNCTION("""COMPUTED_VALUE"""),46010.6666666666)</f>
        <v/>
      </c>
      <c r="N2009" s="6">
        <f>IFERROR(__xludf.DUMMYFUNCTION("""COMPUTED_VALUE"""),23307.62)</f>
        <v/>
      </c>
      <c r="R2009" s="6">
        <f>S2009&amp;T2009</f>
        <v/>
      </c>
      <c r="S2009" s="6">
        <f>YEAR(U2009)</f>
        <v/>
      </c>
      <c r="T2009" s="6">
        <f>MONTH(U2009)</f>
        <v/>
      </c>
      <c r="U2009" s="267">
        <f>IFERROR(__xludf.DUMMYFUNCTION("""COMPUTED_VALUE"""),46097.6458333333)</f>
        <v/>
      </c>
      <c r="V2009" s="6">
        <f>IFERROR(__xludf.DUMMYFUNCTION("""COMPUTED_VALUE"""),5549.85)</f>
        <v/>
      </c>
      <c r="Z2009" s="6">
        <f>AA2009&amp;AB2009</f>
        <v/>
      </c>
      <c r="AA2009" s="6">
        <f>YEAR(AC2009)</f>
        <v/>
      </c>
      <c r="AB2009" s="6">
        <f>MONTH(AC2009)</f>
        <v/>
      </c>
      <c r="AC2009" s="267">
        <f>IFERROR(__xludf.DUMMYFUNCTION("""COMPUTED_VALUE"""),45158.9986111111)</f>
        <v/>
      </c>
      <c r="AD2009" s="6">
        <f>IFERROR(__xludf.DUMMYFUNCTION("""COMPUTED_VALUE"""),1339.17)</f>
        <v/>
      </c>
      <c r="AH2009" s="6">
        <f>AI2009&amp;AJ2009</f>
        <v/>
      </c>
      <c r="AI2009" s="6">
        <f>YEAR(AK2009)</f>
        <v/>
      </c>
      <c r="AJ2009" s="6">
        <f>MONTH(AK2009)</f>
        <v/>
      </c>
      <c r="AK2009" s="267">
        <f>IFERROR(__xludf.DUMMYFUNCTION("""COMPUTED_VALUE"""),45102.9986111111)</f>
        <v/>
      </c>
      <c r="AL2009" s="6">
        <f>IFERROR(__xludf.DUMMYFUNCTION("""COMPUTED_VALUE"""),30478.53)</f>
        <v/>
      </c>
      <c r="AP2009" s="6">
        <f>AQ2009&amp;AR2009</f>
        <v/>
      </c>
      <c r="AQ2009" s="6">
        <f>YEAR(AS2009)</f>
        <v/>
      </c>
      <c r="AR2009" s="6">
        <f>MONTH(AS2009)</f>
        <v/>
      </c>
      <c r="AS2009" s="267">
        <f>IFERROR(__xludf.DUMMYFUNCTION("""COMPUTED_VALUE"""),46027.9986111111)</f>
        <v/>
      </c>
      <c r="AT2009" s="6">
        <f>IFERROR(__xludf.DUMMYFUNCTION("""COMPUTED_VALUE"""),4451.5)</f>
        <v/>
      </c>
    </row>
    <row r="2010">
      <c r="B2010" s="6">
        <f>C2010&amp;D2010</f>
        <v/>
      </c>
      <c r="C2010" s="6">
        <f>YEAR(E2010)</f>
        <v/>
      </c>
      <c r="D2010" s="6">
        <f>MONTH(E2010)</f>
        <v/>
      </c>
      <c r="E2010" s="267">
        <f>IFERROR(__xludf.DUMMYFUNCTION("""COMPUTED_VALUE"""),46020.6666666666)</f>
        <v/>
      </c>
      <c r="F2010" s="6">
        <f>IFERROR(__xludf.DUMMYFUNCTION("""COMPUTED_VALUE"""),6905.74)</f>
        <v/>
      </c>
      <c r="J2010" s="6">
        <f>K2010&amp;L2010</f>
        <v/>
      </c>
      <c r="K2010" s="6">
        <f>YEAR(M2010)</f>
        <v/>
      </c>
      <c r="L2010" s="6">
        <f>MONTH(M2010)</f>
        <v/>
      </c>
      <c r="M2010" s="267">
        <f>IFERROR(__xludf.DUMMYFUNCTION("""COMPUTED_VALUE"""),46013.6666666666)</f>
        <v/>
      </c>
      <c r="N2010" s="6">
        <f>IFERROR(__xludf.DUMMYFUNCTION("""COMPUTED_VALUE"""),23428.83)</f>
        <v/>
      </c>
      <c r="R2010" s="6">
        <f>S2010&amp;T2010</f>
        <v/>
      </c>
      <c r="S2010" s="6">
        <f>YEAR(U2010)</f>
        <v/>
      </c>
      <c r="T2010" s="6">
        <f>MONTH(U2010)</f>
        <v/>
      </c>
      <c r="U2010" s="267">
        <f>IFERROR(__xludf.DUMMYFUNCTION("""COMPUTED_VALUE"""),46098.6458333333)</f>
        <v/>
      </c>
      <c r="V2010" s="6">
        <f>IFERROR(__xludf.DUMMYFUNCTION("""COMPUTED_VALUE"""),5640.48)</f>
        <v/>
      </c>
      <c r="Z2010" s="6">
        <f>AA2010&amp;AB2010</f>
        <v/>
      </c>
      <c r="AA2010" s="6">
        <f>YEAR(AC2010)</f>
        <v/>
      </c>
      <c r="AB2010" s="6">
        <f>MONTH(AC2010)</f>
        <v/>
      </c>
      <c r="AC2010" s="267">
        <f>IFERROR(__xludf.DUMMYFUNCTION("""COMPUTED_VALUE"""),45159.9986111111)</f>
        <v/>
      </c>
      <c r="AD2010" s="6">
        <f>IFERROR(__xludf.DUMMYFUNCTION("""COMPUTED_VALUE"""),1339.74)</f>
        <v/>
      </c>
      <c r="AH2010" s="6">
        <f>AI2010&amp;AJ2010</f>
        <v/>
      </c>
      <c r="AI2010" s="6">
        <f>YEAR(AK2010)</f>
        <v/>
      </c>
      <c r="AJ2010" s="6">
        <f>MONTH(AK2010)</f>
        <v/>
      </c>
      <c r="AK2010" s="267">
        <f>IFERROR(__xludf.DUMMYFUNCTION("""COMPUTED_VALUE"""),45103.9986111111)</f>
        <v/>
      </c>
      <c r="AL2010" s="6">
        <f>IFERROR(__xludf.DUMMYFUNCTION("""COMPUTED_VALUE"""),30274.02)</f>
        <v/>
      </c>
      <c r="AP2010" s="6">
        <f>AQ2010&amp;AR2010</f>
        <v/>
      </c>
      <c r="AQ2010" s="6">
        <f>YEAR(AS2010)</f>
        <v/>
      </c>
      <c r="AR2010" s="6">
        <f>MONTH(AS2010)</f>
        <v/>
      </c>
      <c r="AS2010" s="267">
        <f>IFERROR(__xludf.DUMMYFUNCTION("""COMPUTED_VALUE"""),46028.9986111111)</f>
        <v/>
      </c>
      <c r="AT2010" s="6">
        <f>IFERROR(__xludf.DUMMYFUNCTION("""COMPUTED_VALUE"""),4496.1)</f>
        <v/>
      </c>
    </row>
    <row r="2011">
      <c r="B2011" s="6">
        <f>C2011&amp;D2011</f>
        <v/>
      </c>
      <c r="C2011" s="6">
        <f>YEAR(E2011)</f>
        <v/>
      </c>
      <c r="D2011" s="6">
        <f>MONTH(E2011)</f>
        <v/>
      </c>
      <c r="E2011" s="267">
        <f>IFERROR(__xludf.DUMMYFUNCTION("""COMPUTED_VALUE"""),46021.6666666666)</f>
        <v/>
      </c>
      <c r="F2011" s="6">
        <f>IFERROR(__xludf.DUMMYFUNCTION("""COMPUTED_VALUE"""),6896.24)</f>
        <v/>
      </c>
      <c r="J2011" s="6">
        <f>K2011&amp;L2011</f>
        <v/>
      </c>
      <c r="K2011" s="6">
        <f>YEAR(M2011)</f>
        <v/>
      </c>
      <c r="L2011" s="6">
        <f>MONTH(M2011)</f>
        <v/>
      </c>
      <c r="M2011" s="267">
        <f>IFERROR(__xludf.DUMMYFUNCTION("""COMPUTED_VALUE"""),46014.6666666666)</f>
        <v/>
      </c>
      <c r="N2011" s="6">
        <f>IFERROR(__xludf.DUMMYFUNCTION("""COMPUTED_VALUE"""),23561.84)</f>
        <v/>
      </c>
      <c r="R2011" s="6">
        <f>S2011&amp;T2011</f>
        <v/>
      </c>
      <c r="S2011" s="6">
        <f>YEAR(U2011)</f>
        <v/>
      </c>
      <c r="T2011" s="6">
        <f>MONTH(U2011)</f>
        <v/>
      </c>
      <c r="U2011" s="267">
        <f>IFERROR(__xludf.DUMMYFUNCTION("""COMPUTED_VALUE"""),46099.6458333333)</f>
        <v/>
      </c>
      <c r="V2011" s="6">
        <f>IFERROR(__xludf.DUMMYFUNCTION("""COMPUTED_VALUE"""),5925.03)</f>
        <v/>
      </c>
      <c r="Z2011" s="6">
        <f>AA2011&amp;AB2011</f>
        <v/>
      </c>
      <c r="AA2011" s="6">
        <f>YEAR(AC2011)</f>
        <v/>
      </c>
      <c r="AB2011" s="6">
        <f>MONTH(AC2011)</f>
        <v/>
      </c>
      <c r="AC2011" s="267">
        <f>IFERROR(__xludf.DUMMYFUNCTION("""COMPUTED_VALUE"""),45160.9986111111)</f>
        <v/>
      </c>
      <c r="AD2011" s="6">
        <f>IFERROR(__xludf.DUMMYFUNCTION("""COMPUTED_VALUE"""),1339.69)</f>
        <v/>
      </c>
      <c r="AH2011" s="6">
        <f>AI2011&amp;AJ2011</f>
        <v/>
      </c>
      <c r="AI2011" s="6">
        <f>YEAR(AK2011)</f>
        <v/>
      </c>
      <c r="AJ2011" s="6">
        <f>MONTH(AK2011)</f>
        <v/>
      </c>
      <c r="AK2011" s="267">
        <f>IFERROR(__xludf.DUMMYFUNCTION("""COMPUTED_VALUE"""),45104.9986111111)</f>
        <v/>
      </c>
      <c r="AL2011" s="6">
        <f>IFERROR(__xludf.DUMMYFUNCTION("""COMPUTED_VALUE"""),30701.64)</f>
        <v/>
      </c>
      <c r="AP2011" s="6">
        <f>AQ2011&amp;AR2011</f>
        <v/>
      </c>
      <c r="AQ2011" s="6">
        <f>YEAR(AS2011)</f>
        <v/>
      </c>
      <c r="AR2011" s="6">
        <f>MONTH(AS2011)</f>
        <v/>
      </c>
      <c r="AS2011" s="267">
        <f>IFERROR(__xludf.DUMMYFUNCTION("""COMPUTED_VALUE"""),46029.9986111111)</f>
        <v/>
      </c>
      <c r="AT2011" s="6">
        <f>IFERROR(__xludf.DUMMYFUNCTION("""COMPUTED_VALUE"""),4462.5)</f>
        <v/>
      </c>
    </row>
    <row r="2012">
      <c r="B2012" s="6">
        <f>C2012&amp;D2012</f>
        <v/>
      </c>
      <c r="C2012" s="6">
        <f>YEAR(E2012)</f>
        <v/>
      </c>
      <c r="D2012" s="6">
        <f>MONTH(E2012)</f>
        <v/>
      </c>
      <c r="E2012" s="267">
        <f>IFERROR(__xludf.DUMMYFUNCTION("""COMPUTED_VALUE"""),46022.6666666666)</f>
        <v/>
      </c>
      <c r="F2012" s="6">
        <f>IFERROR(__xludf.DUMMYFUNCTION("""COMPUTED_VALUE"""),6845.5)</f>
        <v/>
      </c>
      <c r="J2012" s="6">
        <f>K2012&amp;L2012</f>
        <v/>
      </c>
      <c r="K2012" s="6">
        <f>YEAR(M2012)</f>
        <v/>
      </c>
      <c r="L2012" s="6">
        <f>MONTH(M2012)</f>
        <v/>
      </c>
      <c r="M2012" s="267">
        <f>IFERROR(__xludf.DUMMYFUNCTION("""COMPUTED_VALUE"""),46015.5451388888)</f>
        <v/>
      </c>
      <c r="N2012" s="6">
        <f>IFERROR(__xludf.DUMMYFUNCTION("""COMPUTED_VALUE"""),23613.31)</f>
        <v/>
      </c>
      <c r="R2012" s="6">
        <f>S2012&amp;T2012</f>
        <v/>
      </c>
      <c r="S2012" s="6">
        <f>YEAR(U2012)</f>
        <v/>
      </c>
      <c r="T2012" s="6">
        <f>MONTH(U2012)</f>
        <v/>
      </c>
      <c r="U2012" s="267">
        <f>IFERROR(__xludf.DUMMYFUNCTION("""COMPUTED_VALUE"""),46100.6458333333)</f>
        <v/>
      </c>
      <c r="V2012" s="6">
        <f>IFERROR(__xludf.DUMMYFUNCTION("""COMPUTED_VALUE"""),5763.22)</f>
        <v/>
      </c>
      <c r="Z2012" s="6">
        <f>AA2012&amp;AB2012</f>
        <v/>
      </c>
      <c r="AA2012" s="6">
        <f>YEAR(AC2012)</f>
        <v/>
      </c>
      <c r="AB2012" s="6">
        <f>MONTH(AC2012)</f>
        <v/>
      </c>
      <c r="AC2012" s="267">
        <f>IFERROR(__xludf.DUMMYFUNCTION("""COMPUTED_VALUE"""),45161.9986111111)</f>
        <v/>
      </c>
      <c r="AD2012" s="6">
        <f>IFERROR(__xludf.DUMMYFUNCTION("""COMPUTED_VALUE"""),1327.78)</f>
        <v/>
      </c>
      <c r="AH2012" s="6">
        <f>AI2012&amp;AJ2012</f>
        <v/>
      </c>
      <c r="AI2012" s="6">
        <f>YEAR(AK2012)</f>
        <v/>
      </c>
      <c r="AJ2012" s="6">
        <f>MONTH(AK2012)</f>
        <v/>
      </c>
      <c r="AK2012" s="267">
        <f>IFERROR(__xludf.DUMMYFUNCTION("""COMPUTED_VALUE"""),45105.9986111111)</f>
        <v/>
      </c>
      <c r="AL2012" s="6">
        <f>IFERROR(__xludf.DUMMYFUNCTION("""COMPUTED_VALUE"""),30080.25)</f>
        <v/>
      </c>
      <c r="AP2012" s="6">
        <f>AQ2012&amp;AR2012</f>
        <v/>
      </c>
      <c r="AQ2012" s="6">
        <f>YEAR(AS2012)</f>
        <v/>
      </c>
      <c r="AR2012" s="6">
        <f>MONTH(AS2012)</f>
        <v/>
      </c>
      <c r="AS2012" s="267">
        <f>IFERROR(__xludf.DUMMYFUNCTION("""COMPUTED_VALUE"""),46030.9986111111)</f>
        <v/>
      </c>
      <c r="AT2012" s="6">
        <f>IFERROR(__xludf.DUMMYFUNCTION("""COMPUTED_VALUE"""),4460.7)</f>
        <v/>
      </c>
    </row>
    <row r="2013">
      <c r="B2013" s="6">
        <f>C2013&amp;D2013</f>
        <v/>
      </c>
      <c r="C2013" s="6">
        <f>YEAR(E2013)</f>
        <v/>
      </c>
      <c r="D2013" s="6">
        <f>MONTH(E2013)</f>
        <v/>
      </c>
      <c r="E2013" s="267">
        <f>IFERROR(__xludf.DUMMYFUNCTION("""COMPUTED_VALUE"""),46024.6666666666)</f>
        <v/>
      </c>
      <c r="F2013" s="71">
        <f>IFERROR(__xludf.DUMMYFUNCTION("""COMPUTED_VALUE"""),6858.47)</f>
        <v/>
      </c>
      <c r="J2013" s="6">
        <f>K2013&amp;L2013</f>
        <v/>
      </c>
      <c r="K2013" s="6">
        <f>YEAR(M2013)</f>
        <v/>
      </c>
      <c r="L2013" s="6">
        <f>MONTH(M2013)</f>
        <v/>
      </c>
      <c r="M2013" s="267">
        <f>IFERROR(__xludf.DUMMYFUNCTION("""COMPUTED_VALUE"""),46017.6666666666)</f>
        <v/>
      </c>
      <c r="N2013" s="6">
        <f>IFERROR(__xludf.DUMMYFUNCTION("""COMPUTED_VALUE"""),23593.1)</f>
        <v/>
      </c>
      <c r="R2013" s="6">
        <f>S2013&amp;T2013</f>
        <v/>
      </c>
      <c r="S2013" s="6">
        <f>YEAR(U2013)</f>
        <v/>
      </c>
      <c r="T2013" s="6">
        <f>MONTH(U2013)</f>
        <v/>
      </c>
      <c r="U2013" s="267">
        <f>IFERROR(__xludf.DUMMYFUNCTION("""COMPUTED_VALUE"""),46101.6458333333)</f>
        <v/>
      </c>
      <c r="V2013" s="6">
        <f>IFERROR(__xludf.DUMMYFUNCTION("""COMPUTED_VALUE"""),5781.2)</f>
        <v/>
      </c>
      <c r="Z2013" s="6">
        <f>AA2013&amp;AB2013</f>
        <v/>
      </c>
      <c r="AA2013" s="6">
        <f>YEAR(AC2013)</f>
        <v/>
      </c>
      <c r="AB2013" s="6">
        <f>MONTH(AC2013)</f>
        <v/>
      </c>
      <c r="AC2013" s="267">
        <f>IFERROR(__xludf.DUMMYFUNCTION("""COMPUTED_VALUE"""),45162.9986111111)</f>
        <v/>
      </c>
      <c r="AD2013" s="6">
        <f>IFERROR(__xludf.DUMMYFUNCTION("""COMPUTED_VALUE"""),1326.62)</f>
        <v/>
      </c>
      <c r="AH2013" s="6">
        <f>AI2013&amp;AJ2013</f>
        <v/>
      </c>
      <c r="AI2013" s="6">
        <f>YEAR(AK2013)</f>
        <v/>
      </c>
      <c r="AJ2013" s="6">
        <f>MONTH(AK2013)</f>
        <v/>
      </c>
      <c r="AK2013" s="267">
        <f>IFERROR(__xludf.DUMMYFUNCTION("""COMPUTED_VALUE"""),45106.9986111111)</f>
        <v/>
      </c>
      <c r="AL2013" s="6">
        <f>IFERROR(__xludf.DUMMYFUNCTION("""COMPUTED_VALUE"""),30450.42)</f>
        <v/>
      </c>
      <c r="AP2013" s="6">
        <f>AQ2013&amp;AR2013</f>
        <v/>
      </c>
      <c r="AQ2013" s="6">
        <f>YEAR(AS2013)</f>
        <v/>
      </c>
      <c r="AR2013" s="6">
        <f>MONTH(AS2013)</f>
        <v/>
      </c>
      <c r="AS2013" s="267">
        <f>IFERROR(__xludf.DUMMYFUNCTION("""COMPUTED_VALUE"""),46031.9986111111)</f>
        <v/>
      </c>
      <c r="AT2013" s="6">
        <f>IFERROR(__xludf.DUMMYFUNCTION("""COMPUTED_VALUE"""),4500.9)</f>
        <v/>
      </c>
    </row>
    <row r="2014">
      <c r="B2014" s="6">
        <f>C2014&amp;D2014</f>
        <v/>
      </c>
      <c r="C2014" s="6">
        <f>YEAR(E2014)</f>
        <v/>
      </c>
      <c r="D2014" s="6">
        <f>MONTH(E2014)</f>
        <v/>
      </c>
      <c r="E2014" s="267">
        <f>IFERROR(__xludf.DUMMYFUNCTION("""COMPUTED_VALUE"""),46027.6666666666)</f>
        <v/>
      </c>
      <c r="F2014" s="6">
        <f>IFERROR(__xludf.DUMMYFUNCTION("""COMPUTED_VALUE"""),6902.05)</f>
        <v/>
      </c>
      <c r="J2014" s="6">
        <f>K2014&amp;L2014</f>
        <v/>
      </c>
      <c r="K2014" s="6">
        <f>YEAR(M2014)</f>
        <v/>
      </c>
      <c r="L2014" s="6">
        <f>MONTH(M2014)</f>
        <v/>
      </c>
      <c r="M2014" s="267">
        <f>IFERROR(__xludf.DUMMYFUNCTION("""COMPUTED_VALUE"""),46020.6666666666)</f>
        <v/>
      </c>
      <c r="N2014" s="6">
        <f>IFERROR(__xludf.DUMMYFUNCTION("""COMPUTED_VALUE"""),23474.35)</f>
        <v/>
      </c>
      <c r="R2014" s="6">
        <f>S2014&amp;T2014</f>
        <v/>
      </c>
      <c r="S2014" s="6">
        <f>YEAR(U2014)</f>
        <v/>
      </c>
      <c r="T2014" s="6">
        <f>MONTH(U2014)</f>
        <v/>
      </c>
      <c r="U2014" s="267">
        <f>IFERROR(__xludf.DUMMYFUNCTION("""COMPUTED_VALUE"""),46104.6458333333)</f>
        <v/>
      </c>
      <c r="V2014" s="6">
        <f>IFERROR(__xludf.DUMMYFUNCTION("""COMPUTED_VALUE"""),5405.75)</f>
        <v/>
      </c>
      <c r="Z2014" s="6">
        <f>AA2014&amp;AB2014</f>
        <v/>
      </c>
      <c r="AA2014" s="6">
        <f>YEAR(AC2014)</f>
        <v/>
      </c>
      <c r="AB2014" s="6">
        <f>MONTH(AC2014)</f>
        <v/>
      </c>
      <c r="AC2014" s="267">
        <f>IFERROR(__xludf.DUMMYFUNCTION("""COMPUTED_VALUE"""),45163.9986111111)</f>
        <v/>
      </c>
      <c r="AD2014" s="6">
        <f>IFERROR(__xludf.DUMMYFUNCTION("""COMPUTED_VALUE"""),1323.61)</f>
        <v/>
      </c>
      <c r="AH2014" s="6">
        <f>AI2014&amp;AJ2014</f>
        <v/>
      </c>
      <c r="AI2014" s="6">
        <f>YEAR(AK2014)</f>
        <v/>
      </c>
      <c r="AJ2014" s="6">
        <f>MONTH(AK2014)</f>
        <v/>
      </c>
      <c r="AK2014" s="267">
        <f>IFERROR(__xludf.DUMMYFUNCTION("""COMPUTED_VALUE"""),45107.9986111111)</f>
        <v/>
      </c>
      <c r="AL2014" s="6">
        <f>IFERROR(__xludf.DUMMYFUNCTION("""COMPUTED_VALUE"""),30472.82)</f>
        <v/>
      </c>
      <c r="AP2014" s="6">
        <f>AQ2014&amp;AR2014</f>
        <v/>
      </c>
      <c r="AQ2014" s="6">
        <f>YEAR(AS2014)</f>
        <v/>
      </c>
      <c r="AR2014" s="6">
        <f>MONTH(AS2014)</f>
        <v/>
      </c>
      <c r="AS2014" s="267">
        <f>IFERROR(__xludf.DUMMYFUNCTION("""COMPUTED_VALUE"""),46034.9986111111)</f>
        <v/>
      </c>
      <c r="AT2014" s="6">
        <f>IFERROR(__xludf.DUMMYFUNCTION("""COMPUTED_VALUE"""),4614.7)</f>
        <v/>
      </c>
    </row>
    <row r="2015">
      <c r="B2015" s="6">
        <f>C2015&amp;D2015</f>
        <v/>
      </c>
      <c r="C2015" s="6">
        <f>YEAR(E2015)</f>
        <v/>
      </c>
      <c r="D2015" s="6">
        <f>MONTH(E2015)</f>
        <v/>
      </c>
      <c r="E2015" s="267">
        <f>IFERROR(__xludf.DUMMYFUNCTION("""COMPUTED_VALUE"""),46028.6666666666)</f>
        <v/>
      </c>
      <c r="F2015" s="6">
        <f>IFERROR(__xludf.DUMMYFUNCTION("""COMPUTED_VALUE"""),6944.82)</f>
        <v/>
      </c>
      <c r="J2015" s="6">
        <f>K2015&amp;L2015</f>
        <v/>
      </c>
      <c r="K2015" s="6">
        <f>YEAR(M2015)</f>
        <v/>
      </c>
      <c r="L2015" s="6">
        <f>MONTH(M2015)</f>
        <v/>
      </c>
      <c r="M2015" s="267">
        <f>IFERROR(__xludf.DUMMYFUNCTION("""COMPUTED_VALUE"""),46021.6666666666)</f>
        <v/>
      </c>
      <c r="N2015" s="6">
        <f>IFERROR(__xludf.DUMMYFUNCTION("""COMPUTED_VALUE"""),23419.08)</f>
        <v/>
      </c>
      <c r="R2015" s="6">
        <f>S2015&amp;T2015</f>
        <v/>
      </c>
      <c r="S2015" s="6">
        <f>YEAR(U2015)</f>
        <v/>
      </c>
      <c r="T2015" s="6">
        <f>MONTH(U2015)</f>
        <v/>
      </c>
      <c r="U2015" s="267">
        <f>IFERROR(__xludf.DUMMYFUNCTION("""COMPUTED_VALUE"""),46105.6458333333)</f>
        <v/>
      </c>
      <c r="V2015" s="6">
        <f>IFERROR(__xludf.DUMMYFUNCTION("""COMPUTED_VALUE"""),5553.92)</f>
        <v/>
      </c>
      <c r="Z2015" s="6">
        <f>AA2015&amp;AB2015</f>
        <v/>
      </c>
      <c r="AA2015" s="6">
        <f>YEAR(AC2015)</f>
        <v/>
      </c>
      <c r="AB2015" s="6">
        <f>MONTH(AC2015)</f>
        <v/>
      </c>
      <c r="AC2015" s="267">
        <f>IFERROR(__xludf.DUMMYFUNCTION("""COMPUTED_VALUE"""),45164.9986111111)</f>
        <v/>
      </c>
      <c r="AD2015" s="6">
        <f>IFERROR(__xludf.DUMMYFUNCTION("""COMPUTED_VALUE"""),1323.61)</f>
        <v/>
      </c>
      <c r="AH2015" s="6">
        <f>AI2015&amp;AJ2015</f>
        <v/>
      </c>
      <c r="AI2015" s="6">
        <f>YEAR(AK2015)</f>
        <v/>
      </c>
      <c r="AJ2015" s="6">
        <f>MONTH(AK2015)</f>
        <v/>
      </c>
      <c r="AK2015" s="267">
        <f>IFERROR(__xludf.DUMMYFUNCTION("""COMPUTED_VALUE"""),45108.9986111111)</f>
        <v/>
      </c>
      <c r="AL2015" s="6">
        <f>IFERROR(__xludf.DUMMYFUNCTION("""COMPUTED_VALUE"""),30600.18)</f>
        <v/>
      </c>
      <c r="AP2015" s="6">
        <f>AQ2015&amp;AR2015</f>
        <v/>
      </c>
      <c r="AQ2015" s="6">
        <f>YEAR(AS2015)</f>
        <v/>
      </c>
      <c r="AR2015" s="6">
        <f>MONTH(AS2015)</f>
        <v/>
      </c>
      <c r="AS2015" s="267">
        <f>IFERROR(__xludf.DUMMYFUNCTION("""COMPUTED_VALUE"""),46035.9986111111)</f>
        <v/>
      </c>
      <c r="AT2015" s="6">
        <f>IFERROR(__xludf.DUMMYFUNCTION("""COMPUTED_VALUE"""),4599.1)</f>
        <v/>
      </c>
    </row>
    <row r="2016">
      <c r="B2016" s="6">
        <f>C2016&amp;D2016</f>
        <v/>
      </c>
      <c r="C2016" s="6">
        <f>YEAR(E2016)</f>
        <v/>
      </c>
      <c r="D2016" s="6">
        <f>MONTH(E2016)</f>
        <v/>
      </c>
      <c r="E2016" s="267">
        <f>IFERROR(__xludf.DUMMYFUNCTION("""COMPUTED_VALUE"""),46029.6666666666)</f>
        <v/>
      </c>
      <c r="F2016" s="6">
        <f>IFERROR(__xludf.DUMMYFUNCTION("""COMPUTED_VALUE"""),6920.93)</f>
        <v/>
      </c>
      <c r="J2016" s="6">
        <f>K2016&amp;L2016</f>
        <v/>
      </c>
      <c r="K2016" s="6">
        <f>YEAR(M2016)</f>
        <v/>
      </c>
      <c r="L2016" s="6">
        <f>MONTH(M2016)</f>
        <v/>
      </c>
      <c r="M2016" s="267">
        <f>IFERROR(__xludf.DUMMYFUNCTION("""COMPUTED_VALUE"""),46022.6666666666)</f>
        <v/>
      </c>
      <c r="N2016" s="6">
        <f>IFERROR(__xludf.DUMMYFUNCTION("""COMPUTED_VALUE"""),23241.99)</f>
        <v/>
      </c>
      <c r="R2016" s="6">
        <f>S2016&amp;T2016</f>
        <v/>
      </c>
      <c r="S2016" s="6">
        <f>YEAR(U2016)</f>
        <v/>
      </c>
      <c r="T2016" s="6">
        <f>MONTH(U2016)</f>
        <v/>
      </c>
      <c r="U2016" s="267">
        <f>IFERROR(__xludf.DUMMYFUNCTION("""COMPUTED_VALUE"""),46106.6458333333)</f>
        <v/>
      </c>
      <c r="V2016" s="6">
        <f>IFERROR(__xludf.DUMMYFUNCTION("""COMPUTED_VALUE"""),5642.21)</f>
        <v/>
      </c>
      <c r="Z2016" s="6">
        <f>AA2016&amp;AB2016</f>
        <v/>
      </c>
      <c r="AA2016" s="6">
        <f>YEAR(AC2016)</f>
        <v/>
      </c>
      <c r="AB2016" s="6">
        <f>MONTH(AC2016)</f>
        <v/>
      </c>
      <c r="AC2016" s="267">
        <f>IFERROR(__xludf.DUMMYFUNCTION("""COMPUTED_VALUE"""),45165.9986111111)</f>
        <v/>
      </c>
      <c r="AD2016" s="6">
        <f>IFERROR(__xludf.DUMMYFUNCTION("""COMPUTED_VALUE"""),1323.61)</f>
        <v/>
      </c>
      <c r="AH2016" s="6">
        <f>AI2016&amp;AJ2016</f>
        <v/>
      </c>
      <c r="AI2016" s="6">
        <f>YEAR(AK2016)</f>
        <v/>
      </c>
      <c r="AJ2016" s="6">
        <f>MONTH(AK2016)</f>
        <v/>
      </c>
      <c r="AK2016" s="267">
        <f>IFERROR(__xludf.DUMMYFUNCTION("""COMPUTED_VALUE"""),45109.9986111111)</f>
        <v/>
      </c>
      <c r="AL2016" s="6">
        <f>IFERROR(__xludf.DUMMYFUNCTION("""COMPUTED_VALUE"""),30619.66)</f>
        <v/>
      </c>
      <c r="AP2016" s="6">
        <f>AQ2016&amp;AR2016</f>
        <v/>
      </c>
      <c r="AQ2016" s="6">
        <f>YEAR(AS2016)</f>
        <v/>
      </c>
      <c r="AR2016" s="6">
        <f>MONTH(AS2016)</f>
        <v/>
      </c>
      <c r="AS2016" s="267">
        <f>IFERROR(__xludf.DUMMYFUNCTION("""COMPUTED_VALUE"""),46036.9986111111)</f>
        <v/>
      </c>
      <c r="AT2016" s="6">
        <f>IFERROR(__xludf.DUMMYFUNCTION("""COMPUTED_VALUE"""),4635.7)</f>
        <v/>
      </c>
    </row>
    <row r="2017">
      <c r="B2017" s="6">
        <f>C2017&amp;D2017</f>
        <v/>
      </c>
      <c r="C2017" s="6">
        <f>YEAR(E2017)</f>
        <v/>
      </c>
      <c r="D2017" s="6">
        <f>MONTH(E2017)</f>
        <v/>
      </c>
      <c r="E2017" s="267">
        <f>IFERROR(__xludf.DUMMYFUNCTION("""COMPUTED_VALUE"""),46030.6666666666)</f>
        <v/>
      </c>
      <c r="F2017" s="6">
        <f>IFERROR(__xludf.DUMMYFUNCTION("""COMPUTED_VALUE"""),6921.46)</f>
        <v/>
      </c>
      <c r="J2017" s="6">
        <f>K2017&amp;L2017</f>
        <v/>
      </c>
      <c r="K2017" s="6">
        <f>YEAR(M2017)</f>
        <v/>
      </c>
      <c r="L2017" s="6">
        <f>MONTH(M2017)</f>
        <v/>
      </c>
      <c r="M2017" s="267">
        <f>IFERROR(__xludf.DUMMYFUNCTION("""COMPUTED_VALUE"""),46024.6666666666)</f>
        <v/>
      </c>
      <c r="N2017" s="6">
        <f>IFERROR(__xludf.DUMMYFUNCTION("""COMPUTED_VALUE"""),23235.63)</f>
        <v/>
      </c>
      <c r="R2017" s="6">
        <f>S2017&amp;T2017</f>
        <v/>
      </c>
      <c r="S2017" s="6">
        <f>YEAR(U2017)</f>
        <v/>
      </c>
      <c r="T2017" s="6">
        <f>MONTH(U2017)</f>
        <v/>
      </c>
      <c r="U2017" s="267">
        <f>IFERROR(__xludf.DUMMYFUNCTION("""COMPUTED_VALUE"""),46107.6458333333)</f>
        <v/>
      </c>
      <c r="V2017" s="6">
        <f>IFERROR(__xludf.DUMMYFUNCTION("""COMPUTED_VALUE"""),5460.46)</f>
        <v/>
      </c>
      <c r="Z2017" s="6">
        <f>AA2017&amp;AB2017</f>
        <v/>
      </c>
      <c r="AA2017" s="6">
        <f>YEAR(AC2017)</f>
        <v/>
      </c>
      <c r="AB2017" s="6">
        <f>MONTH(AC2017)</f>
        <v/>
      </c>
      <c r="AC2017" s="267">
        <f>IFERROR(__xludf.DUMMYFUNCTION("""COMPUTED_VALUE"""),45166.9986111111)</f>
        <v/>
      </c>
      <c r="AD2017" s="6">
        <f>IFERROR(__xludf.DUMMYFUNCTION("""COMPUTED_VALUE"""),1322.82)</f>
        <v/>
      </c>
      <c r="AH2017" s="6">
        <f>AI2017&amp;AJ2017</f>
        <v/>
      </c>
      <c r="AI2017" s="6">
        <f>YEAR(AK2017)</f>
        <v/>
      </c>
      <c r="AJ2017" s="6">
        <f>MONTH(AK2017)</f>
        <v/>
      </c>
      <c r="AK2017" s="267">
        <f>IFERROR(__xludf.DUMMYFUNCTION("""COMPUTED_VALUE"""),45110.9986111111)</f>
        <v/>
      </c>
      <c r="AL2017" s="6">
        <f>IFERROR(__xludf.DUMMYFUNCTION("""COMPUTED_VALUE"""),31155.26)</f>
        <v/>
      </c>
      <c r="AP2017" s="6">
        <f>AQ2017&amp;AR2017</f>
        <v/>
      </c>
      <c r="AQ2017" s="6">
        <f>YEAR(AS2017)</f>
        <v/>
      </c>
      <c r="AR2017" s="6">
        <f>MONTH(AS2017)</f>
        <v/>
      </c>
      <c r="AS2017" s="267">
        <f>IFERROR(__xludf.DUMMYFUNCTION("""COMPUTED_VALUE"""),46037.9986111111)</f>
        <v/>
      </c>
      <c r="AT2017" s="6">
        <f>IFERROR(__xludf.DUMMYFUNCTION("""COMPUTED_VALUE"""),4623.7)</f>
        <v/>
      </c>
    </row>
    <row r="2018">
      <c r="B2018" s="6">
        <f>C2018&amp;D2018</f>
        <v/>
      </c>
      <c r="C2018" s="6">
        <f>YEAR(E2018)</f>
        <v/>
      </c>
      <c r="D2018" s="6">
        <f>MONTH(E2018)</f>
        <v/>
      </c>
      <c r="E2018" s="267">
        <f>IFERROR(__xludf.DUMMYFUNCTION("""COMPUTED_VALUE"""),46031.6666666666)</f>
        <v/>
      </c>
      <c r="F2018" s="6">
        <f>IFERROR(__xludf.DUMMYFUNCTION("""COMPUTED_VALUE"""),6966.28)</f>
        <v/>
      </c>
      <c r="J2018" s="6">
        <f>K2018&amp;L2018</f>
        <v/>
      </c>
      <c r="K2018" s="6">
        <f>YEAR(M2018)</f>
        <v/>
      </c>
      <c r="L2018" s="6">
        <f>MONTH(M2018)</f>
        <v/>
      </c>
      <c r="M2018" s="267">
        <f>IFERROR(__xludf.DUMMYFUNCTION("""COMPUTED_VALUE"""),46027.6666666666)</f>
        <v/>
      </c>
      <c r="N2018" s="6">
        <f>IFERROR(__xludf.DUMMYFUNCTION("""COMPUTED_VALUE"""),23395.82)</f>
        <v/>
      </c>
      <c r="R2018" s="6">
        <f>S2018&amp;T2018</f>
        <v/>
      </c>
      <c r="S2018" s="6">
        <f>YEAR(U2018)</f>
        <v/>
      </c>
      <c r="T2018" s="6">
        <f>MONTH(U2018)</f>
        <v/>
      </c>
      <c r="U2018" s="267">
        <f>IFERROR(__xludf.DUMMYFUNCTION("""COMPUTED_VALUE"""),46108.6458333333)</f>
        <v/>
      </c>
      <c r="V2018" s="6">
        <f>IFERROR(__xludf.DUMMYFUNCTION("""COMPUTED_VALUE"""),5438.87)</f>
        <v/>
      </c>
      <c r="Z2018" s="6">
        <f>AA2018&amp;AB2018</f>
        <v/>
      </c>
      <c r="AA2018" s="6">
        <f>YEAR(AC2018)</f>
        <v/>
      </c>
      <c r="AB2018" s="6">
        <f>MONTH(AC2018)</f>
        <v/>
      </c>
      <c r="AC2018" s="267">
        <f>IFERROR(__xludf.DUMMYFUNCTION("""COMPUTED_VALUE"""),45167.9986111111)</f>
        <v/>
      </c>
      <c r="AD2018" s="6">
        <f>IFERROR(__xludf.DUMMYFUNCTION("""COMPUTED_VALUE"""),1321.07)</f>
        <v/>
      </c>
      <c r="AH2018" s="6">
        <f>AI2018&amp;AJ2018</f>
        <v/>
      </c>
      <c r="AI2018" s="6">
        <f>YEAR(AK2018)</f>
        <v/>
      </c>
      <c r="AJ2018" s="6">
        <f>MONTH(AK2018)</f>
        <v/>
      </c>
      <c r="AK2018" s="267">
        <f>IFERROR(__xludf.DUMMYFUNCTION("""COMPUTED_VALUE"""),45111.9986111111)</f>
        <v/>
      </c>
      <c r="AL2018" s="6">
        <f>IFERROR(__xludf.DUMMYFUNCTION("""COMPUTED_VALUE"""),30783.76)</f>
        <v/>
      </c>
      <c r="AP2018" s="6">
        <f>AQ2018&amp;AR2018</f>
        <v/>
      </c>
      <c r="AQ2018" s="6">
        <f>YEAR(AS2018)</f>
        <v/>
      </c>
      <c r="AR2018" s="6">
        <f>MONTH(AS2018)</f>
        <v/>
      </c>
      <c r="AS2018" s="267">
        <f>IFERROR(__xludf.DUMMYFUNCTION("""COMPUTED_VALUE"""),46038.9986111111)</f>
        <v/>
      </c>
      <c r="AT2018" s="6">
        <f>IFERROR(__xludf.DUMMYFUNCTION("""COMPUTED_VALUE"""),4595.4)</f>
        <v/>
      </c>
    </row>
    <row r="2019">
      <c r="B2019" s="6">
        <f>C2019&amp;D2019</f>
        <v/>
      </c>
      <c r="C2019" s="6">
        <f>YEAR(E2019)</f>
        <v/>
      </c>
      <c r="D2019" s="6">
        <f>MONTH(E2019)</f>
        <v/>
      </c>
      <c r="E2019" s="267">
        <f>IFERROR(__xludf.DUMMYFUNCTION("""COMPUTED_VALUE"""),46034.6666666666)</f>
        <v/>
      </c>
      <c r="F2019" s="6">
        <f>IFERROR(__xludf.DUMMYFUNCTION("""COMPUTED_VALUE"""),6977.27)</f>
        <v/>
      </c>
      <c r="J2019" s="6">
        <f>K2019&amp;L2019</f>
        <v/>
      </c>
      <c r="K2019" s="6">
        <f>YEAR(M2019)</f>
        <v/>
      </c>
      <c r="L2019" s="6">
        <f>MONTH(M2019)</f>
        <v/>
      </c>
      <c r="M2019" s="267">
        <f>IFERROR(__xludf.DUMMYFUNCTION("""COMPUTED_VALUE"""),46028.6666666666)</f>
        <v/>
      </c>
      <c r="N2019" s="6">
        <f>IFERROR(__xludf.DUMMYFUNCTION("""COMPUTED_VALUE"""),23547.17)</f>
        <v/>
      </c>
      <c r="R2019" s="6">
        <f>S2019&amp;T2019</f>
        <v/>
      </c>
      <c r="S2019" s="6">
        <f>YEAR(U2019)</f>
        <v/>
      </c>
      <c r="T2019" s="6">
        <f>MONTH(U2019)</f>
        <v/>
      </c>
      <c r="U2019" s="267">
        <f>IFERROR(__xludf.DUMMYFUNCTION("""COMPUTED_VALUE"""),46111.6458333333)</f>
        <v/>
      </c>
      <c r="V2019" s="6">
        <f>IFERROR(__xludf.DUMMYFUNCTION("""COMPUTED_VALUE"""),5277.3)</f>
        <v/>
      </c>
      <c r="Z2019" s="6">
        <f>AA2019&amp;AB2019</f>
        <v/>
      </c>
      <c r="AA2019" s="6">
        <f>YEAR(AC2019)</f>
        <v/>
      </c>
      <c r="AB2019" s="6">
        <f>MONTH(AC2019)</f>
        <v/>
      </c>
      <c r="AC2019" s="267">
        <f>IFERROR(__xludf.DUMMYFUNCTION("""COMPUTED_VALUE"""),45168.9986111111)</f>
        <v/>
      </c>
      <c r="AD2019" s="6">
        <f>IFERROR(__xludf.DUMMYFUNCTION("""COMPUTED_VALUE"""),1323.03)</f>
        <v/>
      </c>
      <c r="AH2019" s="6">
        <f>AI2019&amp;AJ2019</f>
        <v/>
      </c>
      <c r="AI2019" s="6">
        <f>YEAR(AK2019)</f>
        <v/>
      </c>
      <c r="AJ2019" s="6">
        <f>MONTH(AK2019)</f>
        <v/>
      </c>
      <c r="AK2019" s="267">
        <f>IFERROR(__xludf.DUMMYFUNCTION("""COMPUTED_VALUE"""),45112.9986111111)</f>
        <v/>
      </c>
      <c r="AL2019" s="6">
        <f>IFERROR(__xludf.DUMMYFUNCTION("""COMPUTED_VALUE"""),30512.26)</f>
        <v/>
      </c>
      <c r="AP2019" s="6">
        <f>AQ2019&amp;AR2019</f>
        <v/>
      </c>
      <c r="AQ2019" s="6">
        <f>YEAR(AS2019)</f>
        <v/>
      </c>
      <c r="AR2019" s="6">
        <f>MONTH(AS2019)</f>
        <v/>
      </c>
      <c r="AS2019" s="267">
        <f>IFERROR(__xludf.DUMMYFUNCTION("""COMPUTED_VALUE"""),46042.9986111111)</f>
        <v/>
      </c>
      <c r="AT2019" s="6">
        <f>IFERROR(__xludf.DUMMYFUNCTION("""COMPUTED_VALUE"""),4765.8)</f>
        <v/>
      </c>
    </row>
    <row r="2020">
      <c r="B2020" s="6">
        <f>C2020&amp;D2020</f>
        <v/>
      </c>
      <c r="C2020" s="6">
        <f>YEAR(E2020)</f>
        <v/>
      </c>
      <c r="D2020" s="6">
        <f>MONTH(E2020)</f>
        <v/>
      </c>
      <c r="E2020" s="267">
        <f>IFERROR(__xludf.DUMMYFUNCTION("""COMPUTED_VALUE"""),46035.6666666666)</f>
        <v/>
      </c>
      <c r="F2020" s="6">
        <f>IFERROR(__xludf.DUMMYFUNCTION("""COMPUTED_VALUE"""),6963.74)</f>
        <v/>
      </c>
      <c r="J2020" s="6">
        <f>K2020&amp;L2020</f>
        <v/>
      </c>
      <c r="K2020" s="6">
        <f>YEAR(M2020)</f>
        <v/>
      </c>
      <c r="L2020" s="6">
        <f>MONTH(M2020)</f>
        <v/>
      </c>
      <c r="M2020" s="267">
        <f>IFERROR(__xludf.DUMMYFUNCTION("""COMPUTED_VALUE"""),46029.6666666666)</f>
        <v/>
      </c>
      <c r="N2020" s="6">
        <f>IFERROR(__xludf.DUMMYFUNCTION("""COMPUTED_VALUE"""),23584.28)</f>
        <v/>
      </c>
      <c r="R2020" s="6">
        <f>S2020&amp;T2020</f>
        <v/>
      </c>
      <c r="S2020" s="6">
        <f>YEAR(U2020)</f>
        <v/>
      </c>
      <c r="T2020" s="6">
        <f>MONTH(U2020)</f>
        <v/>
      </c>
      <c r="U2020" s="267">
        <f>IFERROR(__xludf.DUMMYFUNCTION("""COMPUTED_VALUE"""),46112.6458333333)</f>
        <v/>
      </c>
      <c r="V2020" s="6">
        <f>IFERROR(__xludf.DUMMYFUNCTION("""COMPUTED_VALUE"""),5052.46)</f>
        <v/>
      </c>
      <c r="Z2020" s="6">
        <f>AA2020&amp;AB2020</f>
        <v/>
      </c>
      <c r="AA2020" s="6">
        <f>YEAR(AC2020)</f>
        <v/>
      </c>
      <c r="AB2020" s="6">
        <f>MONTH(AC2020)</f>
        <v/>
      </c>
      <c r="AC2020" s="267">
        <f>IFERROR(__xludf.DUMMYFUNCTION("""COMPUTED_VALUE"""),45169.9986111111)</f>
        <v/>
      </c>
      <c r="AD2020" s="6">
        <f>IFERROR(__xludf.DUMMYFUNCTION("""COMPUTED_VALUE"""),1324.64)</f>
        <v/>
      </c>
      <c r="AH2020" s="6">
        <f>AI2020&amp;AJ2020</f>
        <v/>
      </c>
      <c r="AI2020" s="6">
        <f>YEAR(AK2020)</f>
        <v/>
      </c>
      <c r="AJ2020" s="6">
        <f>MONTH(AK2020)</f>
        <v/>
      </c>
      <c r="AK2020" s="267">
        <f>IFERROR(__xludf.DUMMYFUNCTION("""COMPUTED_VALUE"""),45113.9986111111)</f>
        <v/>
      </c>
      <c r="AL2020" s="6">
        <f>IFERROR(__xludf.DUMMYFUNCTION("""COMPUTED_VALUE"""),29917.44)</f>
        <v/>
      </c>
      <c r="AP2020" s="6">
        <f>AQ2020&amp;AR2020</f>
        <v/>
      </c>
      <c r="AQ2020" s="6">
        <f>YEAR(AS2020)</f>
        <v/>
      </c>
      <c r="AR2020" s="6">
        <f>MONTH(AS2020)</f>
        <v/>
      </c>
      <c r="AS2020" s="267">
        <f>IFERROR(__xludf.DUMMYFUNCTION("""COMPUTED_VALUE"""),46043.9986111111)</f>
        <v/>
      </c>
      <c r="AT2020" s="6">
        <f>IFERROR(__xludf.DUMMYFUNCTION("""COMPUTED_VALUE"""),4837.5)</f>
        <v/>
      </c>
    </row>
    <row r="2021">
      <c r="B2021" s="6">
        <f>C2021&amp;D2021</f>
        <v/>
      </c>
      <c r="C2021" s="6">
        <f>YEAR(E2021)</f>
        <v/>
      </c>
      <c r="D2021" s="6">
        <f>MONTH(E2021)</f>
        <v/>
      </c>
      <c r="E2021" s="267">
        <f>IFERROR(__xludf.DUMMYFUNCTION("""COMPUTED_VALUE"""),46036.6666666666)</f>
        <v/>
      </c>
      <c r="F2021" s="6">
        <f>IFERROR(__xludf.DUMMYFUNCTION("""COMPUTED_VALUE"""),6926.6)</f>
        <v/>
      </c>
      <c r="J2021" s="6">
        <f>K2021&amp;L2021</f>
        <v/>
      </c>
      <c r="K2021" s="6">
        <f>YEAR(M2021)</f>
        <v/>
      </c>
      <c r="L2021" s="6">
        <f>MONTH(M2021)</f>
        <v/>
      </c>
      <c r="M2021" s="267">
        <f>IFERROR(__xludf.DUMMYFUNCTION("""COMPUTED_VALUE"""),46030.6666666666)</f>
        <v/>
      </c>
      <c r="N2021" s="6">
        <f>IFERROR(__xludf.DUMMYFUNCTION("""COMPUTED_VALUE"""),23480.02)</f>
        <v/>
      </c>
      <c r="R2021" s="6">
        <f>S2021&amp;T2021</f>
        <v/>
      </c>
      <c r="S2021" s="6">
        <f>YEAR(U2021)</f>
        <v/>
      </c>
      <c r="T2021" s="6">
        <f>MONTH(U2021)</f>
        <v/>
      </c>
      <c r="U2021" s="267">
        <f>IFERROR(__xludf.DUMMYFUNCTION("""COMPUTED_VALUE"""),46113.6458333333)</f>
        <v/>
      </c>
      <c r="V2021" s="6">
        <f>IFERROR(__xludf.DUMMYFUNCTION("""COMPUTED_VALUE"""),5478.7)</f>
        <v/>
      </c>
      <c r="Z2021" s="6">
        <f>AA2021&amp;AB2021</f>
        <v/>
      </c>
      <c r="AA2021" s="6">
        <f>YEAR(AC2021)</f>
        <v/>
      </c>
      <c r="AB2021" s="6">
        <f>MONTH(AC2021)</f>
        <v/>
      </c>
      <c r="AC2021" s="267">
        <f>IFERROR(__xludf.DUMMYFUNCTION("""COMPUTED_VALUE"""),45170.9986111111)</f>
        <v/>
      </c>
      <c r="AD2021" s="6">
        <f>IFERROR(__xludf.DUMMYFUNCTION("""COMPUTED_VALUE"""),1317.55)</f>
        <v/>
      </c>
      <c r="AH2021" s="6">
        <f>AI2021&amp;AJ2021</f>
        <v/>
      </c>
      <c r="AI2021" s="6">
        <f>YEAR(AK2021)</f>
        <v/>
      </c>
      <c r="AJ2021" s="6">
        <f>MONTH(AK2021)</f>
        <v/>
      </c>
      <c r="AK2021" s="267">
        <f>IFERROR(__xludf.DUMMYFUNCTION("""COMPUTED_VALUE"""),45114.9986111111)</f>
        <v/>
      </c>
      <c r="AL2021" s="6">
        <f>IFERROR(__xludf.DUMMYFUNCTION("""COMPUTED_VALUE"""),30360.05)</f>
        <v/>
      </c>
      <c r="AP2021" s="6">
        <f>AQ2021&amp;AR2021</f>
        <v/>
      </c>
      <c r="AQ2021" s="6">
        <f>YEAR(AS2021)</f>
        <v/>
      </c>
      <c r="AR2021" s="6">
        <f>MONTH(AS2021)</f>
        <v/>
      </c>
      <c r="AS2021" s="267">
        <f>IFERROR(__xludf.DUMMYFUNCTION("""COMPUTED_VALUE"""),46044.9986111111)</f>
        <v/>
      </c>
      <c r="AT2021" s="6">
        <f>IFERROR(__xludf.DUMMYFUNCTION("""COMPUTED_VALUE"""),4913.4)</f>
        <v/>
      </c>
    </row>
    <row r="2022">
      <c r="B2022" s="6">
        <f>C2022&amp;D2022</f>
        <v/>
      </c>
      <c r="C2022" s="6">
        <f>YEAR(E2022)</f>
        <v/>
      </c>
      <c r="D2022" s="6">
        <f>MONTH(E2022)</f>
        <v/>
      </c>
      <c r="E2022" s="267">
        <f>IFERROR(__xludf.DUMMYFUNCTION("""COMPUTED_VALUE"""),46037.6666666666)</f>
        <v/>
      </c>
      <c r="F2022" s="6">
        <f>IFERROR(__xludf.DUMMYFUNCTION("""COMPUTED_VALUE"""),6944.47)</f>
        <v/>
      </c>
      <c r="J2022" s="6">
        <f>K2022&amp;L2022</f>
        <v/>
      </c>
      <c r="K2022" s="6">
        <f>YEAR(M2022)</f>
        <v/>
      </c>
      <c r="L2022" s="6">
        <f>MONTH(M2022)</f>
        <v/>
      </c>
      <c r="M2022" s="267">
        <f>IFERROR(__xludf.DUMMYFUNCTION("""COMPUTED_VALUE"""),46031.6666666666)</f>
        <v/>
      </c>
      <c r="N2022" s="6">
        <f>IFERROR(__xludf.DUMMYFUNCTION("""COMPUTED_VALUE"""),23671.35)</f>
        <v/>
      </c>
      <c r="R2022" s="6">
        <f>S2022&amp;T2022</f>
        <v/>
      </c>
      <c r="S2022" s="6">
        <f>YEAR(U2022)</f>
        <v/>
      </c>
      <c r="T2022" s="6">
        <f>MONTH(U2022)</f>
        <v/>
      </c>
      <c r="U2022" s="267">
        <f>IFERROR(__xludf.DUMMYFUNCTION("""COMPUTED_VALUE"""),46114.6458333333)</f>
        <v/>
      </c>
      <c r="V2022" s="6">
        <f>IFERROR(__xludf.DUMMYFUNCTION("""COMPUTED_VALUE"""),5234.05)</f>
        <v/>
      </c>
      <c r="Z2022" s="6">
        <f>AA2022&amp;AB2022</f>
        <v/>
      </c>
      <c r="AA2022" s="6">
        <f>YEAR(AC2022)</f>
        <v/>
      </c>
      <c r="AB2022" s="6">
        <f>MONTH(AC2022)</f>
        <v/>
      </c>
      <c r="AC2022" s="267">
        <f>IFERROR(__xludf.DUMMYFUNCTION("""COMPUTED_VALUE"""),45171.9986111111)</f>
        <v/>
      </c>
      <c r="AD2022" s="6">
        <f>IFERROR(__xludf.DUMMYFUNCTION("""COMPUTED_VALUE"""),1317.55)</f>
        <v/>
      </c>
      <c r="AH2022" s="6">
        <f>AI2022&amp;AJ2022</f>
        <v/>
      </c>
      <c r="AI2022" s="6">
        <f>YEAR(AK2022)</f>
        <v/>
      </c>
      <c r="AJ2022" s="6">
        <f>MONTH(AK2022)</f>
        <v/>
      </c>
      <c r="AK2022" s="267">
        <f>IFERROR(__xludf.DUMMYFUNCTION("""COMPUTED_VALUE"""),45115.9986111111)</f>
        <v/>
      </c>
      <c r="AL2022" s="6">
        <f>IFERROR(__xludf.DUMMYFUNCTION("""COMPUTED_VALUE"""),30307.61)</f>
        <v/>
      </c>
      <c r="AP2022" s="6">
        <f>AQ2022&amp;AR2022</f>
        <v/>
      </c>
      <c r="AQ2022" s="6">
        <f>YEAR(AS2022)</f>
        <v/>
      </c>
      <c r="AR2022" s="6">
        <f>MONTH(AS2022)</f>
        <v/>
      </c>
      <c r="AS2022" s="267">
        <f>IFERROR(__xludf.DUMMYFUNCTION("""COMPUTED_VALUE"""),46045.9986111111)</f>
        <v/>
      </c>
      <c r="AT2022" s="6">
        <f>IFERROR(__xludf.DUMMYFUNCTION("""COMPUTED_VALUE"""),4979.7)</f>
        <v/>
      </c>
    </row>
    <row r="2023">
      <c r="B2023" s="6">
        <f>C2023&amp;D2023</f>
        <v/>
      </c>
      <c r="C2023" s="6">
        <f>YEAR(E2023)</f>
        <v/>
      </c>
      <c r="D2023" s="6">
        <f>MONTH(E2023)</f>
        <v/>
      </c>
      <c r="E2023" s="267">
        <f>IFERROR(__xludf.DUMMYFUNCTION("""COMPUTED_VALUE"""),46038.6666666666)</f>
        <v/>
      </c>
      <c r="F2023" s="6">
        <f>IFERROR(__xludf.DUMMYFUNCTION("""COMPUTED_VALUE"""),6940.01)</f>
        <v/>
      </c>
      <c r="J2023" s="6">
        <f>K2023&amp;L2023</f>
        <v/>
      </c>
      <c r="K2023" s="6">
        <f>YEAR(M2023)</f>
        <v/>
      </c>
      <c r="L2023" s="6">
        <f>MONTH(M2023)</f>
        <v/>
      </c>
      <c r="M2023" s="267">
        <f>IFERROR(__xludf.DUMMYFUNCTION("""COMPUTED_VALUE"""),46034.6666666666)</f>
        <v/>
      </c>
      <c r="N2023" s="6">
        <f>IFERROR(__xludf.DUMMYFUNCTION("""COMPUTED_VALUE"""),23733.9)</f>
        <v/>
      </c>
      <c r="R2023" s="6">
        <f>S2023&amp;T2023</f>
        <v/>
      </c>
      <c r="S2023" s="6">
        <f>YEAR(U2023)</f>
        <v/>
      </c>
      <c r="T2023" s="6">
        <f>MONTH(U2023)</f>
        <v/>
      </c>
      <c r="U2023" s="267">
        <f>IFERROR(__xludf.DUMMYFUNCTION("""COMPUTED_VALUE"""),46115.6458333333)</f>
        <v/>
      </c>
      <c r="V2023" s="6">
        <f>IFERROR(__xludf.DUMMYFUNCTION("""COMPUTED_VALUE"""),5377.3)</f>
        <v/>
      </c>
      <c r="Z2023" s="6">
        <f>AA2023&amp;AB2023</f>
        <v/>
      </c>
      <c r="AA2023" s="6">
        <f>YEAR(AC2023)</f>
        <v/>
      </c>
      <c r="AB2023" s="6">
        <f>MONTH(AC2023)</f>
        <v/>
      </c>
      <c r="AC2023" s="267">
        <f>IFERROR(__xludf.DUMMYFUNCTION("""COMPUTED_VALUE"""),45172.9986111111)</f>
        <v/>
      </c>
      <c r="AD2023" s="6">
        <f>IFERROR(__xludf.DUMMYFUNCTION("""COMPUTED_VALUE"""),1317.46)</f>
        <v/>
      </c>
      <c r="AH2023" s="6">
        <f>AI2023&amp;AJ2023</f>
        <v/>
      </c>
      <c r="AI2023" s="6">
        <f>YEAR(AK2023)</f>
        <v/>
      </c>
      <c r="AJ2023" s="6">
        <f>MONTH(AK2023)</f>
        <v/>
      </c>
      <c r="AK2023" s="267">
        <f>IFERROR(__xludf.DUMMYFUNCTION("""COMPUTED_VALUE"""),45116.9986111111)</f>
        <v/>
      </c>
      <c r="AL2023" s="6">
        <f>IFERROR(__xludf.DUMMYFUNCTION("""COMPUTED_VALUE"""),30182.26)</f>
        <v/>
      </c>
      <c r="AP2023" s="6">
        <f>AQ2023&amp;AR2023</f>
        <v/>
      </c>
      <c r="AQ2023" s="6">
        <f>YEAR(AS2023)</f>
        <v/>
      </c>
      <c r="AR2023" s="6">
        <f>MONTH(AS2023)</f>
        <v/>
      </c>
      <c r="AS2023" s="267">
        <f>IFERROR(__xludf.DUMMYFUNCTION("""COMPUTED_VALUE"""),46048.9986111111)</f>
        <v/>
      </c>
      <c r="AT2023" s="6">
        <f>IFERROR(__xludf.DUMMYFUNCTION("""COMPUTED_VALUE"""),5122.3)</f>
        <v/>
      </c>
    </row>
    <row r="2024">
      <c r="B2024" s="6">
        <f>C2024&amp;D2024</f>
        <v/>
      </c>
      <c r="C2024" s="6">
        <f>YEAR(E2024)</f>
        <v/>
      </c>
      <c r="D2024" s="6">
        <f>MONTH(E2024)</f>
        <v/>
      </c>
      <c r="E2024" s="267">
        <f>IFERROR(__xludf.DUMMYFUNCTION("""COMPUTED_VALUE"""),46042.6666666666)</f>
        <v/>
      </c>
      <c r="F2024" s="6">
        <f>IFERROR(__xludf.DUMMYFUNCTION("""COMPUTED_VALUE"""),6796.86)</f>
        <v/>
      </c>
      <c r="J2024" s="6">
        <f>K2024&amp;L2024</f>
        <v/>
      </c>
      <c r="K2024" s="6">
        <f>YEAR(M2024)</f>
        <v/>
      </c>
      <c r="L2024" s="6">
        <f>MONTH(M2024)</f>
        <v/>
      </c>
      <c r="M2024" s="267">
        <f>IFERROR(__xludf.DUMMYFUNCTION("""COMPUTED_VALUE"""),46035.6666666666)</f>
        <v/>
      </c>
      <c r="N2024" s="6">
        <f>IFERROR(__xludf.DUMMYFUNCTION("""COMPUTED_VALUE"""),23709.87)</f>
        <v/>
      </c>
      <c r="R2024" s="6">
        <f>S2024&amp;T2024</f>
        <v/>
      </c>
      <c r="S2024" s="6">
        <f>YEAR(U2024)</f>
        <v/>
      </c>
      <c r="T2024" s="6">
        <f>MONTH(U2024)</f>
        <v/>
      </c>
      <c r="U2024" s="267">
        <f>IFERROR(__xludf.DUMMYFUNCTION("""COMPUTED_VALUE"""),46118.6458333333)</f>
        <v/>
      </c>
      <c r="V2024" s="6">
        <f>IFERROR(__xludf.DUMMYFUNCTION("""COMPUTED_VALUE"""),5450.33)</f>
        <v/>
      </c>
      <c r="Z2024" s="6">
        <f>AA2024&amp;AB2024</f>
        <v/>
      </c>
      <c r="AA2024" s="6">
        <f>YEAR(AC2024)</f>
        <v/>
      </c>
      <c r="AB2024" s="6">
        <f>MONTH(AC2024)</f>
        <v/>
      </c>
      <c r="AC2024" s="267">
        <f>IFERROR(__xludf.DUMMYFUNCTION("""COMPUTED_VALUE"""),45173.9986111111)</f>
        <v/>
      </c>
      <c r="AD2024" s="6">
        <f>IFERROR(__xludf.DUMMYFUNCTION("""COMPUTED_VALUE"""),1317.95)</f>
        <v/>
      </c>
      <c r="AH2024" s="6">
        <f>AI2024&amp;AJ2024</f>
        <v/>
      </c>
      <c r="AI2024" s="6">
        <f>YEAR(AK2024)</f>
        <v/>
      </c>
      <c r="AJ2024" s="6">
        <f>MONTH(AK2024)</f>
        <v/>
      </c>
      <c r="AK2024" s="267">
        <f>IFERROR(__xludf.DUMMYFUNCTION("""COMPUTED_VALUE"""),45117.9986111111)</f>
        <v/>
      </c>
      <c r="AL2024" s="6">
        <f>IFERROR(__xludf.DUMMYFUNCTION("""COMPUTED_VALUE"""),30422.21)</f>
        <v/>
      </c>
      <c r="AP2024" s="6">
        <f>AQ2024&amp;AR2024</f>
        <v/>
      </c>
      <c r="AQ2024" s="6">
        <f>YEAR(AS2024)</f>
        <v/>
      </c>
      <c r="AR2024" s="6">
        <f>MONTH(AS2024)</f>
        <v/>
      </c>
      <c r="AS2024" s="267">
        <f>IFERROR(__xludf.DUMMYFUNCTION("""COMPUTED_VALUE"""),46049.9986111111)</f>
        <v/>
      </c>
      <c r="AT2024" s="6">
        <f>IFERROR(__xludf.DUMMYFUNCTION("""COMPUTED_VALUE"""),5120.6)</f>
        <v/>
      </c>
    </row>
    <row r="2025">
      <c r="B2025" s="6">
        <f>C2025&amp;D2025</f>
        <v/>
      </c>
      <c r="C2025" s="6">
        <f>YEAR(E2025)</f>
        <v/>
      </c>
      <c r="D2025" s="6">
        <f>MONTH(E2025)</f>
        <v/>
      </c>
      <c r="E2025" s="267">
        <f>IFERROR(__xludf.DUMMYFUNCTION("""COMPUTED_VALUE"""),46043.6666666666)</f>
        <v/>
      </c>
      <c r="F2025" s="6">
        <f>IFERROR(__xludf.DUMMYFUNCTION("""COMPUTED_VALUE"""),6875.62)</f>
        <v/>
      </c>
      <c r="J2025" s="6">
        <f>K2025&amp;L2025</f>
        <v/>
      </c>
      <c r="K2025" s="6">
        <f>YEAR(M2025)</f>
        <v/>
      </c>
      <c r="L2025" s="6">
        <f>MONTH(M2025)</f>
        <v/>
      </c>
      <c r="M2025" s="267">
        <f>IFERROR(__xludf.DUMMYFUNCTION("""COMPUTED_VALUE"""),46036.6666666666)</f>
        <v/>
      </c>
      <c r="N2025" s="6">
        <f>IFERROR(__xludf.DUMMYFUNCTION("""COMPUTED_VALUE"""),23471.75)</f>
        <v/>
      </c>
      <c r="R2025" s="6">
        <f>S2025&amp;T2025</f>
        <v/>
      </c>
      <c r="S2025" s="6">
        <f>YEAR(U2025)</f>
        <v/>
      </c>
      <c r="T2025" s="6">
        <f>MONTH(U2025)</f>
        <v/>
      </c>
      <c r="U2025" s="267">
        <f>IFERROR(__xludf.DUMMYFUNCTION("""COMPUTED_VALUE"""),46119.6458333333)</f>
        <v/>
      </c>
      <c r="V2025" s="6">
        <f>IFERROR(__xludf.DUMMYFUNCTION("""COMPUTED_VALUE"""),5494.78)</f>
        <v/>
      </c>
      <c r="Z2025" s="6">
        <f>AA2025&amp;AB2025</f>
        <v/>
      </c>
      <c r="AA2025" s="6">
        <f>YEAR(AC2025)</f>
        <v/>
      </c>
      <c r="AB2025" s="6">
        <f>MONTH(AC2025)</f>
        <v/>
      </c>
      <c r="AC2025" s="267">
        <f>IFERROR(__xludf.DUMMYFUNCTION("""COMPUTED_VALUE"""),45174.9986111111)</f>
        <v/>
      </c>
      <c r="AD2025" s="6">
        <f>IFERROR(__xludf.DUMMYFUNCTION("""COMPUTED_VALUE"""),1331.73)</f>
        <v/>
      </c>
      <c r="AH2025" s="6">
        <f>AI2025&amp;AJ2025</f>
        <v/>
      </c>
      <c r="AI2025" s="6">
        <f>YEAR(AK2025)</f>
        <v/>
      </c>
      <c r="AJ2025" s="6">
        <f>MONTH(AK2025)</f>
        <v/>
      </c>
      <c r="AK2025" s="267">
        <f>IFERROR(__xludf.DUMMYFUNCTION("""COMPUTED_VALUE"""),45118.9986111111)</f>
        <v/>
      </c>
      <c r="AL2025" s="6">
        <f>IFERROR(__xludf.DUMMYFUNCTION("""COMPUTED_VALUE"""),30636.85)</f>
        <v/>
      </c>
      <c r="AP2025" s="6">
        <f>AQ2025&amp;AR2025</f>
        <v/>
      </c>
      <c r="AQ2025" s="6">
        <f>YEAR(AS2025)</f>
        <v/>
      </c>
      <c r="AR2025" s="6">
        <f>MONTH(AS2025)</f>
        <v/>
      </c>
      <c r="AS2025" s="267">
        <f>IFERROR(__xludf.DUMMYFUNCTION("""COMPUTED_VALUE"""),46050.9986111111)</f>
        <v/>
      </c>
      <c r="AT2025" s="6">
        <f>IFERROR(__xludf.DUMMYFUNCTION("""COMPUTED_VALUE"""),5340.2)</f>
        <v/>
      </c>
    </row>
    <row r="2026">
      <c r="B2026" s="6">
        <f>C2026&amp;D2026</f>
        <v/>
      </c>
      <c r="C2026" s="6">
        <f>YEAR(E2026)</f>
        <v/>
      </c>
      <c r="D2026" s="6">
        <f>MONTH(E2026)</f>
        <v/>
      </c>
      <c r="E2026" s="267">
        <f>IFERROR(__xludf.DUMMYFUNCTION("""COMPUTED_VALUE"""),46044.6666666666)</f>
        <v/>
      </c>
      <c r="F2026" s="6">
        <f>IFERROR(__xludf.DUMMYFUNCTION("""COMPUTED_VALUE"""),6913.35)</f>
        <v/>
      </c>
      <c r="J2026" s="6">
        <f>K2026&amp;L2026</f>
        <v/>
      </c>
      <c r="K2026" s="6">
        <f>YEAR(M2026)</f>
        <v/>
      </c>
      <c r="L2026" s="6">
        <f>MONTH(M2026)</f>
        <v/>
      </c>
      <c r="M2026" s="267">
        <f>IFERROR(__xludf.DUMMYFUNCTION("""COMPUTED_VALUE"""),46037.6666666666)</f>
        <v/>
      </c>
      <c r="N2026" s="6">
        <f>IFERROR(__xludf.DUMMYFUNCTION("""COMPUTED_VALUE"""),23530.02)</f>
        <v/>
      </c>
      <c r="R2026" s="6">
        <f>S2026&amp;T2026</f>
        <v/>
      </c>
      <c r="S2026" s="6">
        <f>YEAR(U2026)</f>
        <v/>
      </c>
      <c r="T2026" s="6">
        <f>MONTH(U2026)</f>
        <v/>
      </c>
      <c r="U2026" s="267">
        <f>IFERROR(__xludf.DUMMYFUNCTION("""COMPUTED_VALUE"""),46120.6458333333)</f>
        <v/>
      </c>
      <c r="V2026" s="6">
        <f>IFERROR(__xludf.DUMMYFUNCTION("""COMPUTED_VALUE"""),5872.34)</f>
        <v/>
      </c>
      <c r="Z2026" s="6">
        <f>AA2026&amp;AB2026</f>
        <v/>
      </c>
      <c r="AA2026" s="6">
        <f>YEAR(AC2026)</f>
        <v/>
      </c>
      <c r="AB2026" s="6">
        <f>MONTH(AC2026)</f>
        <v/>
      </c>
      <c r="AC2026" s="267">
        <f>IFERROR(__xludf.DUMMYFUNCTION("""COMPUTED_VALUE"""),45175.9986111111)</f>
        <v/>
      </c>
      <c r="AD2026" s="6">
        <f>IFERROR(__xludf.DUMMYFUNCTION("""COMPUTED_VALUE"""),1333.46)</f>
        <v/>
      </c>
      <c r="AH2026" s="6">
        <f>AI2026&amp;AJ2026</f>
        <v/>
      </c>
      <c r="AI2026" s="6">
        <f>YEAR(AK2026)</f>
        <v/>
      </c>
      <c r="AJ2026" s="6">
        <f>MONTH(AK2026)</f>
        <v/>
      </c>
      <c r="AK2026" s="267">
        <f>IFERROR(__xludf.DUMMYFUNCTION("""COMPUTED_VALUE"""),45119.9986111111)</f>
        <v/>
      </c>
      <c r="AL2026" s="6">
        <f>IFERROR(__xludf.DUMMYFUNCTION("""COMPUTED_VALUE"""),30397.57)</f>
        <v/>
      </c>
      <c r="AP2026" s="6">
        <f>AQ2026&amp;AR2026</f>
        <v/>
      </c>
      <c r="AQ2026" s="6">
        <f>YEAR(AS2026)</f>
        <v/>
      </c>
      <c r="AR2026" s="6">
        <f>MONTH(AS2026)</f>
        <v/>
      </c>
      <c r="AS2026" s="267">
        <f>IFERROR(__xludf.DUMMYFUNCTION("""COMPUTED_VALUE"""),46051.9986111111)</f>
        <v/>
      </c>
      <c r="AT2026" s="6">
        <f>IFERROR(__xludf.DUMMYFUNCTION("""COMPUTED_VALUE"""),5354.8)</f>
        <v/>
      </c>
    </row>
    <row r="2027">
      <c r="B2027" s="6">
        <f>C2027&amp;D2027</f>
        <v/>
      </c>
      <c r="C2027" s="6">
        <f>YEAR(E2027)</f>
        <v/>
      </c>
      <c r="D2027" s="6">
        <f>MONTH(E2027)</f>
        <v/>
      </c>
      <c r="E2027" s="267">
        <f>IFERROR(__xludf.DUMMYFUNCTION("""COMPUTED_VALUE"""),46045.6666666666)</f>
        <v/>
      </c>
      <c r="F2027" s="6">
        <f>IFERROR(__xludf.DUMMYFUNCTION("""COMPUTED_VALUE"""),6915.61)</f>
        <v/>
      </c>
      <c r="J2027" s="6">
        <f>K2027&amp;L2027</f>
        <v/>
      </c>
      <c r="K2027" s="6">
        <f>YEAR(M2027)</f>
        <v/>
      </c>
      <c r="L2027" s="6">
        <f>MONTH(M2027)</f>
        <v/>
      </c>
      <c r="M2027" s="267">
        <f>IFERROR(__xludf.DUMMYFUNCTION("""COMPUTED_VALUE"""),46038.6666666666)</f>
        <v/>
      </c>
      <c r="N2027" s="6">
        <f>IFERROR(__xludf.DUMMYFUNCTION("""COMPUTED_VALUE"""),23515.39)</f>
        <v/>
      </c>
      <c r="R2027" s="6">
        <f>S2027&amp;T2027</f>
        <v/>
      </c>
      <c r="S2027" s="6">
        <f>YEAR(U2027)</f>
        <v/>
      </c>
      <c r="T2027" s="6">
        <f>MONTH(U2027)</f>
        <v/>
      </c>
      <c r="U2027" s="267">
        <f>IFERROR(__xludf.DUMMYFUNCTION("""COMPUTED_VALUE"""),46121.6458333333)</f>
        <v/>
      </c>
      <c r="V2027" s="6">
        <f>IFERROR(__xludf.DUMMYFUNCTION("""COMPUTED_VALUE"""),5778.01)</f>
        <v/>
      </c>
      <c r="Z2027" s="6">
        <f>AA2027&amp;AB2027</f>
        <v/>
      </c>
      <c r="AA2027" s="6">
        <f>YEAR(AC2027)</f>
        <v/>
      </c>
      <c r="AB2027" s="6">
        <f>MONTH(AC2027)</f>
        <v/>
      </c>
      <c r="AC2027" s="267">
        <f>IFERROR(__xludf.DUMMYFUNCTION("""COMPUTED_VALUE"""),45176.9986111111)</f>
        <v/>
      </c>
      <c r="AD2027" s="6">
        <f>IFERROR(__xludf.DUMMYFUNCTION("""COMPUTED_VALUE"""),1334.02)</f>
        <v/>
      </c>
      <c r="AH2027" s="6">
        <f>AI2027&amp;AJ2027</f>
        <v/>
      </c>
      <c r="AI2027" s="6">
        <f>YEAR(AK2027)</f>
        <v/>
      </c>
      <c r="AJ2027" s="6">
        <f>MONTH(AK2027)</f>
        <v/>
      </c>
      <c r="AK2027" s="267">
        <f>IFERROR(__xludf.DUMMYFUNCTION("""COMPUTED_VALUE"""),45120.9986111111)</f>
        <v/>
      </c>
      <c r="AL2027" s="6">
        <f>IFERROR(__xludf.DUMMYFUNCTION("""COMPUTED_VALUE"""),31470.53)</f>
        <v/>
      </c>
      <c r="AP2027" s="6">
        <f>AQ2027&amp;AR2027</f>
        <v/>
      </c>
      <c r="AQ2027" s="6">
        <f>YEAR(AS2027)</f>
        <v/>
      </c>
      <c r="AR2027" s="6">
        <f>MONTH(AS2027)</f>
        <v/>
      </c>
      <c r="AS2027" s="267">
        <f>IFERROR(__xludf.DUMMYFUNCTION("""COMPUTED_VALUE"""),46052.9986111111)</f>
        <v/>
      </c>
      <c r="AT2027" s="6">
        <f>IFERROR(__xludf.DUMMYFUNCTION("""COMPUTED_VALUE"""),4745.1)</f>
        <v/>
      </c>
    </row>
    <row r="2028">
      <c r="B2028" s="6">
        <f>C2028&amp;D2028</f>
        <v/>
      </c>
      <c r="C2028" s="6">
        <f>YEAR(E2028)</f>
        <v/>
      </c>
      <c r="D2028" s="6">
        <f>MONTH(E2028)</f>
        <v/>
      </c>
      <c r="E2028" s="267">
        <f>IFERROR(__xludf.DUMMYFUNCTION("""COMPUTED_VALUE"""),46048.6666666666)</f>
        <v/>
      </c>
      <c r="F2028" s="6">
        <f>IFERROR(__xludf.DUMMYFUNCTION("""COMPUTED_VALUE"""),6950.23)</f>
        <v/>
      </c>
      <c r="J2028" s="6">
        <f>K2028&amp;L2028</f>
        <v/>
      </c>
      <c r="K2028" s="6">
        <f>YEAR(M2028)</f>
        <v/>
      </c>
      <c r="L2028" s="6">
        <f>MONTH(M2028)</f>
        <v/>
      </c>
      <c r="M2028" s="267">
        <f>IFERROR(__xludf.DUMMYFUNCTION("""COMPUTED_VALUE"""),46042.6666666666)</f>
        <v/>
      </c>
      <c r="N2028" s="6">
        <f>IFERROR(__xludf.DUMMYFUNCTION("""COMPUTED_VALUE"""),22954.32)</f>
        <v/>
      </c>
      <c r="R2028" s="6">
        <f>S2028&amp;T2028</f>
        <v/>
      </c>
      <c r="S2028" s="6">
        <f>YEAR(U2028)</f>
        <v/>
      </c>
      <c r="T2028" s="6">
        <f>MONTH(U2028)</f>
        <v/>
      </c>
      <c r="U2028" s="267">
        <f>IFERROR(__xludf.DUMMYFUNCTION("""COMPUTED_VALUE"""),46122.6458333333)</f>
        <v/>
      </c>
      <c r="V2028" s="6">
        <f>IFERROR(__xludf.DUMMYFUNCTION("""COMPUTED_VALUE"""),5858.87)</f>
        <v/>
      </c>
      <c r="Z2028" s="6">
        <f>AA2028&amp;AB2028</f>
        <v/>
      </c>
      <c r="AA2028" s="6">
        <f>YEAR(AC2028)</f>
        <v/>
      </c>
      <c r="AB2028" s="6">
        <f>MONTH(AC2028)</f>
        <v/>
      </c>
      <c r="AC2028" s="267">
        <f>IFERROR(__xludf.DUMMYFUNCTION("""COMPUTED_VALUE"""),45177.9986111111)</f>
        <v/>
      </c>
      <c r="AD2028" s="6">
        <f>IFERROR(__xludf.DUMMYFUNCTION("""COMPUTED_VALUE"""),1335.36)</f>
        <v/>
      </c>
      <c r="AH2028" s="6">
        <f>AI2028&amp;AJ2028</f>
        <v/>
      </c>
      <c r="AI2028" s="6">
        <f>YEAR(AK2028)</f>
        <v/>
      </c>
      <c r="AJ2028" s="6">
        <f>MONTH(AK2028)</f>
        <v/>
      </c>
      <c r="AK2028" s="267">
        <f>IFERROR(__xludf.DUMMYFUNCTION("""COMPUTED_VALUE"""),45121.9986111111)</f>
        <v/>
      </c>
      <c r="AL2028" s="6">
        <f>IFERROR(__xludf.DUMMYFUNCTION("""COMPUTED_VALUE"""),30345.3)</f>
        <v/>
      </c>
      <c r="AP2028" s="6">
        <f>AQ2028&amp;AR2028</f>
        <v/>
      </c>
      <c r="AQ2028" s="6">
        <f>YEAR(AS2028)</f>
        <v/>
      </c>
      <c r="AR2028" s="6">
        <f>MONTH(AS2028)</f>
        <v/>
      </c>
      <c r="AS2028" s="267">
        <f>IFERROR(__xludf.DUMMYFUNCTION("""COMPUTED_VALUE"""),46055.9986111111)</f>
        <v/>
      </c>
      <c r="AT2028" s="6">
        <f>IFERROR(__xludf.DUMMYFUNCTION("""COMPUTED_VALUE"""),4652.6)</f>
        <v/>
      </c>
    </row>
    <row r="2029">
      <c r="B2029" s="6">
        <f>C2029&amp;D2029</f>
        <v/>
      </c>
      <c r="C2029" s="6">
        <f>YEAR(E2029)</f>
        <v/>
      </c>
      <c r="D2029" s="6">
        <f>MONTH(E2029)</f>
        <v/>
      </c>
      <c r="E2029" s="267">
        <f>IFERROR(__xludf.DUMMYFUNCTION("""COMPUTED_VALUE"""),46049.6666666666)</f>
        <v/>
      </c>
      <c r="F2029" s="6">
        <f>IFERROR(__xludf.DUMMYFUNCTION("""COMPUTED_VALUE"""),6978.6)</f>
        <v/>
      </c>
      <c r="J2029" s="6">
        <f>K2029&amp;L2029</f>
        <v/>
      </c>
      <c r="K2029" s="6">
        <f>YEAR(M2029)</f>
        <v/>
      </c>
      <c r="L2029" s="6">
        <f>MONTH(M2029)</f>
        <v/>
      </c>
      <c r="M2029" s="267">
        <f>IFERROR(__xludf.DUMMYFUNCTION("""COMPUTED_VALUE"""),46043.6666666666)</f>
        <v/>
      </c>
      <c r="N2029" s="6">
        <f>IFERROR(__xludf.DUMMYFUNCTION("""COMPUTED_VALUE"""),23224.83)</f>
        <v/>
      </c>
      <c r="R2029" s="6">
        <f>S2029&amp;T2029</f>
        <v/>
      </c>
      <c r="S2029" s="6">
        <f>YEAR(U2029)</f>
        <v/>
      </c>
      <c r="T2029" s="6">
        <f>MONTH(U2029)</f>
        <v/>
      </c>
      <c r="U2029" s="267">
        <f>IFERROR(__xludf.DUMMYFUNCTION("""COMPUTED_VALUE"""),46125.6458333333)</f>
        <v/>
      </c>
      <c r="V2029" s="6">
        <f>IFERROR(__xludf.DUMMYFUNCTION("""COMPUTED_VALUE"""),5808.62)</f>
        <v/>
      </c>
      <c r="Z2029" s="6">
        <f>AA2029&amp;AB2029</f>
        <v/>
      </c>
      <c r="AA2029" s="6">
        <f>YEAR(AC2029)</f>
        <v/>
      </c>
      <c r="AB2029" s="6">
        <f>MONTH(AC2029)</f>
        <v/>
      </c>
      <c r="AC2029" s="267">
        <f>IFERROR(__xludf.DUMMYFUNCTION("""COMPUTED_VALUE"""),45178.9986111111)</f>
        <v/>
      </c>
      <c r="AD2029" s="6">
        <f>IFERROR(__xludf.DUMMYFUNCTION("""COMPUTED_VALUE"""),1335.36)</f>
        <v/>
      </c>
      <c r="AH2029" s="6">
        <f>AI2029&amp;AJ2029</f>
        <v/>
      </c>
      <c r="AI2029" s="6">
        <f>YEAR(AK2029)</f>
        <v/>
      </c>
      <c r="AJ2029" s="6">
        <f>MONTH(AK2029)</f>
        <v/>
      </c>
      <c r="AK2029" s="267">
        <f>IFERROR(__xludf.DUMMYFUNCTION("""COMPUTED_VALUE"""),45122.9986111111)</f>
        <v/>
      </c>
      <c r="AL2029" s="6">
        <f>IFERROR(__xludf.DUMMYFUNCTION("""COMPUTED_VALUE"""),30330.87)</f>
        <v/>
      </c>
      <c r="AP2029" s="6">
        <f>AQ2029&amp;AR2029</f>
        <v/>
      </c>
      <c r="AQ2029" s="6">
        <f>YEAR(AS2029)</f>
        <v/>
      </c>
      <c r="AR2029" s="6">
        <f>MONTH(AS2029)</f>
        <v/>
      </c>
      <c r="AS2029" s="267">
        <f>IFERROR(__xludf.DUMMYFUNCTION("""COMPUTED_VALUE"""),46056.9986111111)</f>
        <v/>
      </c>
      <c r="AT2029" s="6">
        <f>IFERROR(__xludf.DUMMYFUNCTION("""COMPUTED_VALUE"""),4935)</f>
        <v/>
      </c>
    </row>
    <row r="2030">
      <c r="B2030" s="6">
        <f>C2030&amp;D2030</f>
        <v/>
      </c>
      <c r="C2030" s="6">
        <f>YEAR(E2030)</f>
        <v/>
      </c>
      <c r="D2030" s="6">
        <f>MONTH(E2030)</f>
        <v/>
      </c>
      <c r="E2030" s="267">
        <f>IFERROR(__xludf.DUMMYFUNCTION("""COMPUTED_VALUE"""),46050.6666666666)</f>
        <v/>
      </c>
      <c r="F2030" s="6">
        <f>IFERROR(__xludf.DUMMYFUNCTION("""COMPUTED_VALUE"""),6978.03)</f>
        <v/>
      </c>
      <c r="J2030" s="6">
        <f>K2030&amp;L2030</f>
        <v/>
      </c>
      <c r="K2030" s="6">
        <f>YEAR(M2030)</f>
        <v/>
      </c>
      <c r="L2030" s="6">
        <f>MONTH(M2030)</f>
        <v/>
      </c>
      <c r="M2030" s="267">
        <f>IFERROR(__xludf.DUMMYFUNCTION("""COMPUTED_VALUE"""),46044.6666666666)</f>
        <v/>
      </c>
      <c r="N2030" s="6">
        <f>IFERROR(__xludf.DUMMYFUNCTION("""COMPUTED_VALUE"""),23436.02)</f>
        <v/>
      </c>
      <c r="R2030" s="6">
        <f>S2030&amp;T2030</f>
        <v/>
      </c>
      <c r="S2030" s="6">
        <f>YEAR(U2030)</f>
        <v/>
      </c>
      <c r="T2030" s="6">
        <f>MONTH(U2030)</f>
        <v/>
      </c>
      <c r="U2030" s="267">
        <f>IFERROR(__xludf.DUMMYFUNCTION("""COMPUTED_VALUE"""),46126.6458333333)</f>
        <v/>
      </c>
      <c r="V2030" s="6">
        <f>IFERROR(__xludf.DUMMYFUNCTION("""COMPUTED_VALUE"""),5967.75)</f>
        <v/>
      </c>
      <c r="Z2030" s="6">
        <f>AA2030&amp;AB2030</f>
        <v/>
      </c>
      <c r="AA2030" s="6">
        <f>YEAR(AC2030)</f>
        <v/>
      </c>
      <c r="AB2030" s="6">
        <f>MONTH(AC2030)</f>
        <v/>
      </c>
      <c r="AC2030" s="267">
        <f>IFERROR(__xludf.DUMMYFUNCTION("""COMPUTED_VALUE"""),45179.9986111111)</f>
        <v/>
      </c>
      <c r="AD2030" s="6">
        <f>IFERROR(__xludf.DUMMYFUNCTION("""COMPUTED_VALUE"""),1335.32)</f>
        <v/>
      </c>
      <c r="AH2030" s="6">
        <f>AI2030&amp;AJ2030</f>
        <v/>
      </c>
      <c r="AI2030" s="6">
        <f>YEAR(AK2030)</f>
        <v/>
      </c>
      <c r="AJ2030" s="6">
        <f>MONTH(AK2030)</f>
        <v/>
      </c>
      <c r="AK2030" s="267">
        <f>IFERROR(__xludf.DUMMYFUNCTION("""COMPUTED_VALUE"""),45123.9986111111)</f>
        <v/>
      </c>
      <c r="AL2030" s="6">
        <f>IFERROR(__xludf.DUMMYFUNCTION("""COMPUTED_VALUE"""),30262.35)</f>
        <v/>
      </c>
      <c r="AP2030" s="6">
        <f>AQ2030&amp;AR2030</f>
        <v/>
      </c>
      <c r="AQ2030" s="6">
        <f>YEAR(AS2030)</f>
        <v/>
      </c>
      <c r="AR2030" s="6">
        <f>MONTH(AS2030)</f>
        <v/>
      </c>
      <c r="AS2030" s="267">
        <f>IFERROR(__xludf.DUMMYFUNCTION("""COMPUTED_VALUE"""),46057.9986111111)</f>
        <v/>
      </c>
      <c r="AT2030" s="6">
        <f>IFERROR(__xludf.DUMMYFUNCTION("""COMPUTED_VALUE"""),4950.8)</f>
        <v/>
      </c>
    </row>
    <row r="2031">
      <c r="B2031" s="6">
        <f>C2031&amp;D2031</f>
        <v/>
      </c>
      <c r="C2031" s="6">
        <f>YEAR(E2031)</f>
        <v/>
      </c>
      <c r="D2031" s="6">
        <f>MONTH(E2031)</f>
        <v/>
      </c>
      <c r="E2031" s="267">
        <f>IFERROR(__xludf.DUMMYFUNCTION("""COMPUTED_VALUE"""),46051.6666666666)</f>
        <v/>
      </c>
      <c r="F2031" s="6">
        <f>IFERROR(__xludf.DUMMYFUNCTION("""COMPUTED_VALUE"""),6969.01)</f>
        <v/>
      </c>
      <c r="J2031" s="6">
        <f>K2031&amp;L2031</f>
        <v/>
      </c>
      <c r="K2031" s="6">
        <f>YEAR(M2031)</f>
        <v/>
      </c>
      <c r="L2031" s="6">
        <f>MONTH(M2031)</f>
        <v/>
      </c>
      <c r="M2031" s="267">
        <f>IFERROR(__xludf.DUMMYFUNCTION("""COMPUTED_VALUE"""),46045.6666666666)</f>
        <v/>
      </c>
      <c r="N2031" s="6">
        <f>IFERROR(__xludf.DUMMYFUNCTION("""COMPUTED_VALUE"""),23501.24)</f>
        <v/>
      </c>
      <c r="R2031" s="6">
        <f>S2031&amp;T2031</f>
        <v/>
      </c>
      <c r="S2031" s="6">
        <f>YEAR(U2031)</f>
        <v/>
      </c>
      <c r="T2031" s="6">
        <f>MONTH(U2031)</f>
        <v/>
      </c>
      <c r="U2031" s="267">
        <f>IFERROR(__xludf.DUMMYFUNCTION("""COMPUTED_VALUE"""),46127.6458333333)</f>
        <v/>
      </c>
      <c r="V2031" s="6">
        <f>IFERROR(__xludf.DUMMYFUNCTION("""COMPUTED_VALUE"""),6091.39)</f>
        <v/>
      </c>
      <c r="Z2031" s="6">
        <f>AA2031&amp;AB2031</f>
        <v/>
      </c>
      <c r="AA2031" s="6">
        <f>YEAR(AC2031)</f>
        <v/>
      </c>
      <c r="AB2031" s="6">
        <f>MONTH(AC2031)</f>
        <v/>
      </c>
      <c r="AC2031" s="267">
        <f>IFERROR(__xludf.DUMMYFUNCTION("""COMPUTED_VALUE"""),45180.9986111111)</f>
        <v/>
      </c>
      <c r="AD2031" s="6">
        <f>IFERROR(__xludf.DUMMYFUNCTION("""COMPUTED_VALUE"""),1320.44)</f>
        <v/>
      </c>
      <c r="AH2031" s="6">
        <f>AI2031&amp;AJ2031</f>
        <v/>
      </c>
      <c r="AI2031" s="6">
        <f>YEAR(AK2031)</f>
        <v/>
      </c>
      <c r="AJ2031" s="6">
        <f>MONTH(AK2031)</f>
        <v/>
      </c>
      <c r="AK2031" s="267">
        <f>IFERROR(__xludf.DUMMYFUNCTION("""COMPUTED_VALUE"""),45124.9986111111)</f>
        <v/>
      </c>
      <c r="AL2031" s="6">
        <f>IFERROR(__xludf.DUMMYFUNCTION("""COMPUTED_VALUE"""),30157.59)</f>
        <v/>
      </c>
      <c r="AP2031" s="6">
        <f>AQ2031&amp;AR2031</f>
        <v/>
      </c>
      <c r="AQ2031" s="6">
        <f>YEAR(AS2031)</f>
        <v/>
      </c>
      <c r="AR2031" s="6">
        <f>MONTH(AS2031)</f>
        <v/>
      </c>
      <c r="AS2031" s="267">
        <f>IFERROR(__xludf.DUMMYFUNCTION("""COMPUTED_VALUE"""),46058.9986111111)</f>
        <v/>
      </c>
      <c r="AT2031" s="6">
        <f>IFERROR(__xludf.DUMMYFUNCTION("""COMPUTED_VALUE"""),4889.5)</f>
        <v/>
      </c>
    </row>
    <row r="2032">
      <c r="B2032" s="6">
        <f>C2032&amp;D2032</f>
        <v/>
      </c>
      <c r="C2032" s="6">
        <f>YEAR(E2032)</f>
        <v/>
      </c>
      <c r="D2032" s="6">
        <f>MONTH(E2032)</f>
        <v/>
      </c>
      <c r="E2032" s="267">
        <f>IFERROR(__xludf.DUMMYFUNCTION("""COMPUTED_VALUE"""),46052.6666666666)</f>
        <v/>
      </c>
      <c r="F2032" s="6">
        <f>IFERROR(__xludf.DUMMYFUNCTION("""COMPUTED_VALUE"""),6939.03)</f>
        <v/>
      </c>
      <c r="J2032" s="6">
        <f>K2032&amp;L2032</f>
        <v/>
      </c>
      <c r="K2032" s="6">
        <f>YEAR(M2032)</f>
        <v/>
      </c>
      <c r="L2032" s="6">
        <f>MONTH(M2032)</f>
        <v/>
      </c>
      <c r="M2032" s="267">
        <f>IFERROR(__xludf.DUMMYFUNCTION("""COMPUTED_VALUE"""),46048.6666666666)</f>
        <v/>
      </c>
      <c r="N2032" s="6">
        <f>IFERROR(__xludf.DUMMYFUNCTION("""COMPUTED_VALUE"""),23601.36)</f>
        <v/>
      </c>
      <c r="R2032" s="6">
        <f>S2032&amp;T2032</f>
        <v/>
      </c>
      <c r="S2032" s="6">
        <f>YEAR(U2032)</f>
        <v/>
      </c>
      <c r="T2032" s="6">
        <f>MONTH(U2032)</f>
        <v/>
      </c>
      <c r="U2032" s="267">
        <f>IFERROR(__xludf.DUMMYFUNCTION("""COMPUTED_VALUE"""),46128.6458333333)</f>
        <v/>
      </c>
      <c r="V2032" s="6">
        <f>IFERROR(__xludf.DUMMYFUNCTION("""COMPUTED_VALUE"""),6226.05)</f>
        <v/>
      </c>
      <c r="Z2032" s="6">
        <f>AA2032&amp;AB2032</f>
        <v/>
      </c>
      <c r="AA2032" s="6">
        <f>YEAR(AC2032)</f>
        <v/>
      </c>
      <c r="AB2032" s="6">
        <f>MONTH(AC2032)</f>
        <v/>
      </c>
      <c r="AC2032" s="267">
        <f>IFERROR(__xludf.DUMMYFUNCTION("""COMPUTED_VALUE"""),45181.9986111111)</f>
        <v/>
      </c>
      <c r="AD2032" s="6">
        <f>IFERROR(__xludf.DUMMYFUNCTION("""COMPUTED_VALUE"""),1324.1)</f>
        <v/>
      </c>
      <c r="AH2032" s="6">
        <f>AI2032&amp;AJ2032</f>
        <v/>
      </c>
      <c r="AI2032" s="6">
        <f>YEAR(AK2032)</f>
        <v/>
      </c>
      <c r="AJ2032" s="6">
        <f>MONTH(AK2032)</f>
        <v/>
      </c>
      <c r="AK2032" s="267">
        <f>IFERROR(__xludf.DUMMYFUNCTION("""COMPUTED_VALUE"""),45125.9986111111)</f>
        <v/>
      </c>
      <c r="AL2032" s="6">
        <f>IFERROR(__xludf.DUMMYFUNCTION("""COMPUTED_VALUE"""),29878.96)</f>
        <v/>
      </c>
      <c r="AP2032" s="6">
        <f>AQ2032&amp;AR2032</f>
        <v/>
      </c>
      <c r="AQ2032" s="6">
        <f>YEAR(AS2032)</f>
        <v/>
      </c>
      <c r="AR2032" s="6">
        <f>MONTH(AS2032)</f>
        <v/>
      </c>
      <c r="AS2032" s="267">
        <f>IFERROR(__xludf.DUMMYFUNCTION("""COMPUTED_VALUE"""),46059.9986111111)</f>
        <v/>
      </c>
      <c r="AT2032" s="6">
        <f>IFERROR(__xludf.DUMMYFUNCTION("""COMPUTED_VALUE"""),4979.8)</f>
        <v/>
      </c>
    </row>
    <row r="2033">
      <c r="B2033" s="6">
        <f>C2033&amp;D2033</f>
        <v/>
      </c>
      <c r="C2033" s="6">
        <f>YEAR(E2033)</f>
        <v/>
      </c>
      <c r="D2033" s="6">
        <f>MONTH(E2033)</f>
        <v/>
      </c>
      <c r="E2033" s="267">
        <f>IFERROR(__xludf.DUMMYFUNCTION("""COMPUTED_VALUE"""),46055.6666666666)</f>
        <v/>
      </c>
      <c r="F2033" s="6">
        <f>IFERROR(__xludf.DUMMYFUNCTION("""COMPUTED_VALUE"""),6976.44)</f>
        <v/>
      </c>
      <c r="J2033" s="6">
        <f>K2033&amp;L2033</f>
        <v/>
      </c>
      <c r="K2033" s="6">
        <f>YEAR(M2033)</f>
        <v/>
      </c>
      <c r="L2033" s="6">
        <f>MONTH(M2033)</f>
        <v/>
      </c>
      <c r="M2033" s="267">
        <f>IFERROR(__xludf.DUMMYFUNCTION("""COMPUTED_VALUE"""),46049.6666666666)</f>
        <v/>
      </c>
      <c r="N2033" s="6">
        <f>IFERROR(__xludf.DUMMYFUNCTION("""COMPUTED_VALUE"""),23817.1)</f>
        <v/>
      </c>
      <c r="R2033" s="6">
        <f>S2033&amp;T2033</f>
        <v/>
      </c>
      <c r="S2033" s="6">
        <f>YEAR(U2033)</f>
        <v/>
      </c>
      <c r="T2033" s="6">
        <f>MONTH(U2033)</f>
        <v/>
      </c>
      <c r="U2033" s="267">
        <f>IFERROR(__xludf.DUMMYFUNCTION("""COMPUTED_VALUE"""),46129.6458333333)</f>
        <v/>
      </c>
      <c r="V2033" s="6">
        <f>IFERROR(__xludf.DUMMYFUNCTION("""COMPUTED_VALUE"""),6191.92)</f>
        <v/>
      </c>
      <c r="Z2033" s="6">
        <f>AA2033&amp;AB2033</f>
        <v/>
      </c>
      <c r="AA2033" s="6">
        <f>YEAR(AC2033)</f>
        <v/>
      </c>
      <c r="AB2033" s="6">
        <f>MONTH(AC2033)</f>
        <v/>
      </c>
      <c r="AC2033" s="267">
        <f>IFERROR(__xludf.DUMMYFUNCTION("""COMPUTED_VALUE"""),45182.9986111111)</f>
        <v/>
      </c>
      <c r="AD2033" s="6">
        <f>IFERROR(__xludf.DUMMYFUNCTION("""COMPUTED_VALUE"""),1329.77)</f>
        <v/>
      </c>
      <c r="AH2033" s="6">
        <f>AI2033&amp;AJ2033</f>
        <v/>
      </c>
      <c r="AI2033" s="6">
        <f>YEAR(AK2033)</f>
        <v/>
      </c>
      <c r="AJ2033" s="6">
        <f>MONTH(AK2033)</f>
        <v/>
      </c>
      <c r="AK2033" s="267">
        <f>IFERROR(__xludf.DUMMYFUNCTION("""COMPUTED_VALUE"""),45126.9986111111)</f>
        <v/>
      </c>
      <c r="AL2033" s="6">
        <f>IFERROR(__xludf.DUMMYFUNCTION("""COMPUTED_VALUE"""),29926.23)</f>
        <v/>
      </c>
      <c r="AP2033" s="6">
        <f>AQ2033&amp;AR2033</f>
        <v/>
      </c>
      <c r="AQ2033" s="6">
        <f>YEAR(AS2033)</f>
        <v/>
      </c>
      <c r="AR2033" s="6">
        <f>MONTH(AS2033)</f>
        <v/>
      </c>
      <c r="AS2033" s="267">
        <f>IFERROR(__xludf.DUMMYFUNCTION("""COMPUTED_VALUE"""),46062.9986111111)</f>
        <v/>
      </c>
      <c r="AT2033" s="6">
        <f>IFERROR(__xludf.DUMMYFUNCTION("""COMPUTED_VALUE"""),5079.4)</f>
        <v/>
      </c>
    </row>
    <row r="2034">
      <c r="B2034" s="6">
        <f>C2034&amp;D2034</f>
        <v/>
      </c>
      <c r="C2034" s="6">
        <f>YEAR(E2034)</f>
        <v/>
      </c>
      <c r="D2034" s="6">
        <f>MONTH(E2034)</f>
        <v/>
      </c>
      <c r="E2034" s="267">
        <f>IFERROR(__xludf.DUMMYFUNCTION("""COMPUTED_VALUE"""),46056.6666666666)</f>
        <v/>
      </c>
      <c r="F2034" s="6">
        <f>IFERROR(__xludf.DUMMYFUNCTION("""COMPUTED_VALUE"""),6917.81)</f>
        <v/>
      </c>
      <c r="J2034" s="6">
        <f>K2034&amp;L2034</f>
        <v/>
      </c>
      <c r="K2034" s="6">
        <f>YEAR(M2034)</f>
        <v/>
      </c>
      <c r="L2034" s="6">
        <f>MONTH(M2034)</f>
        <v/>
      </c>
      <c r="M2034" s="267">
        <f>IFERROR(__xludf.DUMMYFUNCTION("""COMPUTED_VALUE"""),46050.6666666666)</f>
        <v/>
      </c>
      <c r="N2034" s="6">
        <f>IFERROR(__xludf.DUMMYFUNCTION("""COMPUTED_VALUE"""),23857.45)</f>
        <v/>
      </c>
      <c r="R2034" s="6">
        <f>S2034&amp;T2034</f>
        <v/>
      </c>
      <c r="S2034" s="6">
        <f>YEAR(U2034)</f>
        <v/>
      </c>
      <c r="T2034" s="6">
        <f>MONTH(U2034)</f>
        <v/>
      </c>
      <c r="U2034" s="267">
        <f>IFERROR(__xludf.DUMMYFUNCTION("""COMPUTED_VALUE"""),46132.6458333333)</f>
        <v/>
      </c>
      <c r="V2034" s="6">
        <f>IFERROR(__xludf.DUMMYFUNCTION("""COMPUTED_VALUE"""),6219.09)</f>
        <v/>
      </c>
      <c r="Z2034" s="6">
        <f>AA2034&amp;AB2034</f>
        <v/>
      </c>
      <c r="AA2034" s="6">
        <f>YEAR(AC2034)</f>
        <v/>
      </c>
      <c r="AB2034" s="6">
        <f>MONTH(AC2034)</f>
        <v/>
      </c>
      <c r="AC2034" s="267">
        <f>IFERROR(__xludf.DUMMYFUNCTION("""COMPUTED_VALUE"""),45183.9986111111)</f>
        <v/>
      </c>
      <c r="AD2034" s="6">
        <f>IFERROR(__xludf.DUMMYFUNCTION("""COMPUTED_VALUE"""),1327.06)</f>
        <v/>
      </c>
      <c r="AH2034" s="6">
        <f>AI2034&amp;AJ2034</f>
        <v/>
      </c>
      <c r="AI2034" s="6">
        <f>YEAR(AK2034)</f>
        <v/>
      </c>
      <c r="AJ2034" s="6">
        <f>MONTH(AK2034)</f>
        <v/>
      </c>
      <c r="AK2034" s="267">
        <f>IFERROR(__xludf.DUMMYFUNCTION("""COMPUTED_VALUE"""),45127.9986111111)</f>
        <v/>
      </c>
      <c r="AL2034" s="6">
        <f>IFERROR(__xludf.DUMMYFUNCTION("""COMPUTED_VALUE"""),29812.25)</f>
        <v/>
      </c>
      <c r="AP2034" s="6">
        <f>AQ2034&amp;AR2034</f>
        <v/>
      </c>
      <c r="AQ2034" s="6">
        <f>YEAR(AS2034)</f>
        <v/>
      </c>
      <c r="AR2034" s="6">
        <f>MONTH(AS2034)</f>
        <v/>
      </c>
      <c r="AS2034" s="267">
        <f>IFERROR(__xludf.DUMMYFUNCTION("""COMPUTED_VALUE"""),46063.9986111111)</f>
        <v/>
      </c>
      <c r="AT2034" s="6">
        <f>IFERROR(__xludf.DUMMYFUNCTION("""COMPUTED_VALUE"""),5031)</f>
        <v/>
      </c>
    </row>
    <row r="2035">
      <c r="B2035" s="6">
        <f>C2035&amp;D2035</f>
        <v/>
      </c>
      <c r="C2035" s="6">
        <f>YEAR(E2035)</f>
        <v/>
      </c>
      <c r="D2035" s="6">
        <f>MONTH(E2035)</f>
        <v/>
      </c>
      <c r="E2035" s="267">
        <f>IFERROR(__xludf.DUMMYFUNCTION("""COMPUTED_VALUE"""),46057.6666666666)</f>
        <v/>
      </c>
      <c r="F2035" s="6">
        <f>IFERROR(__xludf.DUMMYFUNCTION("""COMPUTED_VALUE"""),6882.72)</f>
        <v/>
      </c>
      <c r="J2035" s="6">
        <f>K2035&amp;L2035</f>
        <v/>
      </c>
      <c r="K2035" s="6">
        <f>YEAR(M2035)</f>
        <v/>
      </c>
      <c r="L2035" s="6">
        <f>MONTH(M2035)</f>
        <v/>
      </c>
      <c r="M2035" s="267">
        <f>IFERROR(__xludf.DUMMYFUNCTION("""COMPUTED_VALUE"""),46051.6666666666)</f>
        <v/>
      </c>
      <c r="N2035" s="6">
        <f>IFERROR(__xludf.DUMMYFUNCTION("""COMPUTED_VALUE"""),23685.12)</f>
        <v/>
      </c>
      <c r="R2035" s="6">
        <f>S2035&amp;T2035</f>
        <v/>
      </c>
      <c r="S2035" s="6">
        <f>YEAR(U2035)</f>
        <v/>
      </c>
      <c r="T2035" s="6">
        <f>MONTH(U2035)</f>
        <v/>
      </c>
      <c r="U2035" s="267">
        <f>IFERROR(__xludf.DUMMYFUNCTION("""COMPUTED_VALUE"""),46133.6458333333)</f>
        <v/>
      </c>
      <c r="V2035" s="6">
        <f>IFERROR(__xludf.DUMMYFUNCTION("""COMPUTED_VALUE"""),6388.47)</f>
        <v/>
      </c>
      <c r="Z2035" s="6">
        <f>AA2035&amp;AB2035</f>
        <v/>
      </c>
      <c r="AA2035" s="6">
        <f>YEAR(AC2035)</f>
        <v/>
      </c>
      <c r="AB2035" s="6">
        <f>MONTH(AC2035)</f>
        <v/>
      </c>
      <c r="AC2035" s="267">
        <f>IFERROR(__xludf.DUMMYFUNCTION("""COMPUTED_VALUE"""),45184.9986111111)</f>
        <v/>
      </c>
      <c r="AD2035" s="6">
        <f>IFERROR(__xludf.DUMMYFUNCTION("""COMPUTED_VALUE"""),1328.41)</f>
        <v/>
      </c>
      <c r="AH2035" s="6">
        <f>AI2035&amp;AJ2035</f>
        <v/>
      </c>
      <c r="AI2035" s="6">
        <f>YEAR(AK2035)</f>
        <v/>
      </c>
      <c r="AJ2035" s="6">
        <f>MONTH(AK2035)</f>
        <v/>
      </c>
      <c r="AK2035" s="267">
        <f>IFERROR(__xludf.DUMMYFUNCTION("""COMPUTED_VALUE"""),45128.9986111111)</f>
        <v/>
      </c>
      <c r="AL2035" s="6">
        <f>IFERROR(__xludf.DUMMYFUNCTION("""COMPUTED_VALUE"""),29927.21)</f>
        <v/>
      </c>
      <c r="AP2035" s="6">
        <f>AQ2035&amp;AR2035</f>
        <v/>
      </c>
      <c r="AQ2035" s="6">
        <f>YEAR(AS2035)</f>
        <v/>
      </c>
      <c r="AR2035" s="6">
        <f>MONTH(AS2035)</f>
        <v/>
      </c>
      <c r="AS2035" s="267">
        <f>IFERROR(__xludf.DUMMYFUNCTION("""COMPUTED_VALUE"""),46064.9986111111)</f>
        <v/>
      </c>
      <c r="AT2035" s="6">
        <f>IFERROR(__xludf.DUMMYFUNCTION("""COMPUTED_VALUE"""),5098.5)</f>
        <v/>
      </c>
    </row>
    <row r="2036">
      <c r="B2036" s="6">
        <f>C2036&amp;D2036</f>
        <v/>
      </c>
      <c r="C2036" s="6">
        <f>YEAR(E2036)</f>
        <v/>
      </c>
      <c r="D2036" s="6">
        <f>MONTH(E2036)</f>
        <v/>
      </c>
      <c r="E2036" s="267">
        <f>IFERROR(__xludf.DUMMYFUNCTION("""COMPUTED_VALUE"""),46058.6666666666)</f>
        <v/>
      </c>
      <c r="F2036" s="6">
        <f>IFERROR(__xludf.DUMMYFUNCTION("""COMPUTED_VALUE"""),6798.4)</f>
        <v/>
      </c>
      <c r="J2036" s="6">
        <f>K2036&amp;L2036</f>
        <v/>
      </c>
      <c r="K2036" s="6">
        <f>YEAR(M2036)</f>
        <v/>
      </c>
      <c r="L2036" s="6">
        <f>MONTH(M2036)</f>
        <v/>
      </c>
      <c r="M2036" s="267">
        <f>IFERROR(__xludf.DUMMYFUNCTION("""COMPUTED_VALUE"""),46052.6666666666)</f>
        <v/>
      </c>
      <c r="N2036" s="6">
        <f>IFERROR(__xludf.DUMMYFUNCTION("""COMPUTED_VALUE"""),23461.82)</f>
        <v/>
      </c>
      <c r="R2036" s="6">
        <f>S2036&amp;T2036</f>
        <v/>
      </c>
      <c r="S2036" s="6">
        <f>YEAR(U2036)</f>
        <v/>
      </c>
      <c r="T2036" s="6">
        <f>MONTH(U2036)</f>
        <v/>
      </c>
      <c r="U2036" s="267">
        <f>IFERROR(__xludf.DUMMYFUNCTION("""COMPUTED_VALUE"""),46134.6458333333)</f>
        <v/>
      </c>
      <c r="V2036" s="6">
        <f>IFERROR(__xludf.DUMMYFUNCTION("""COMPUTED_VALUE"""),6417.93)</f>
        <v/>
      </c>
      <c r="Z2036" s="6">
        <f>AA2036&amp;AB2036</f>
        <v/>
      </c>
      <c r="AA2036" s="6">
        <f>YEAR(AC2036)</f>
        <v/>
      </c>
      <c r="AB2036" s="6">
        <f>MONTH(AC2036)</f>
        <v/>
      </c>
      <c r="AC2036" s="267">
        <f>IFERROR(__xludf.DUMMYFUNCTION("""COMPUTED_VALUE"""),45185.9986111111)</f>
        <v/>
      </c>
      <c r="AD2036" s="6">
        <f>IFERROR(__xludf.DUMMYFUNCTION("""COMPUTED_VALUE"""),1328.41)</f>
        <v/>
      </c>
      <c r="AH2036" s="6">
        <f>AI2036&amp;AJ2036</f>
        <v/>
      </c>
      <c r="AI2036" s="6">
        <f>YEAR(AK2036)</f>
        <v/>
      </c>
      <c r="AJ2036" s="6">
        <f>MONTH(AK2036)</f>
        <v/>
      </c>
      <c r="AK2036" s="267">
        <f>IFERROR(__xludf.DUMMYFUNCTION("""COMPUTED_VALUE"""),45129.9986111111)</f>
        <v/>
      </c>
      <c r="AL2036" s="6">
        <f>IFERROR(__xludf.DUMMYFUNCTION("""COMPUTED_VALUE"""),29805.75)</f>
        <v/>
      </c>
      <c r="AP2036" s="6">
        <f>AQ2036&amp;AR2036</f>
        <v/>
      </c>
      <c r="AQ2036" s="6">
        <f>YEAR(AS2036)</f>
        <v/>
      </c>
      <c r="AR2036" s="6">
        <f>MONTH(AS2036)</f>
        <v/>
      </c>
      <c r="AS2036" s="267">
        <f>IFERROR(__xludf.DUMMYFUNCTION("""COMPUTED_VALUE"""),46065.9986111111)</f>
        <v/>
      </c>
      <c r="AT2036" s="6">
        <f>IFERROR(__xludf.DUMMYFUNCTION("""COMPUTED_VALUE"""),4948.4)</f>
        <v/>
      </c>
    </row>
    <row r="2037">
      <c r="B2037" s="6">
        <f>C2037&amp;D2037</f>
        <v/>
      </c>
      <c r="C2037" s="6">
        <f>YEAR(E2037)</f>
        <v/>
      </c>
      <c r="D2037" s="6">
        <f>MONTH(E2037)</f>
        <v/>
      </c>
      <c r="E2037" s="267">
        <f>IFERROR(__xludf.DUMMYFUNCTION("""COMPUTED_VALUE"""),46059.6666666666)</f>
        <v/>
      </c>
      <c r="F2037" s="6">
        <f>IFERROR(__xludf.DUMMYFUNCTION("""COMPUTED_VALUE"""),6932.3)</f>
        <v/>
      </c>
      <c r="J2037" s="6">
        <f>K2037&amp;L2037</f>
        <v/>
      </c>
      <c r="K2037" s="6">
        <f>YEAR(M2037)</f>
        <v/>
      </c>
      <c r="L2037" s="6">
        <f>MONTH(M2037)</f>
        <v/>
      </c>
      <c r="M2037" s="267">
        <f>IFERROR(__xludf.DUMMYFUNCTION("""COMPUTED_VALUE"""),46055.6666666666)</f>
        <v/>
      </c>
      <c r="N2037" s="6">
        <f>IFERROR(__xludf.DUMMYFUNCTION("""COMPUTED_VALUE"""),23592.11)</f>
        <v/>
      </c>
      <c r="R2037" s="6">
        <f>S2037&amp;T2037</f>
        <v/>
      </c>
      <c r="S2037" s="6">
        <f>YEAR(U2037)</f>
        <v/>
      </c>
      <c r="T2037" s="6">
        <f>MONTH(U2037)</f>
        <v/>
      </c>
      <c r="U2037" s="267">
        <f>IFERROR(__xludf.DUMMYFUNCTION("""COMPUTED_VALUE"""),46135.6458333333)</f>
        <v/>
      </c>
      <c r="V2037" s="6">
        <f>IFERROR(__xludf.DUMMYFUNCTION("""COMPUTED_VALUE"""),6475.81)</f>
        <v/>
      </c>
      <c r="Z2037" s="6">
        <f>AA2037&amp;AB2037</f>
        <v/>
      </c>
      <c r="AA2037" s="6">
        <f>YEAR(AC2037)</f>
        <v/>
      </c>
      <c r="AB2037" s="6">
        <f>MONTH(AC2037)</f>
        <v/>
      </c>
      <c r="AC2037" s="267">
        <f>IFERROR(__xludf.DUMMYFUNCTION("""COMPUTED_VALUE"""),45186.9986111111)</f>
        <v/>
      </c>
      <c r="AD2037" s="6">
        <f>IFERROR(__xludf.DUMMYFUNCTION("""COMPUTED_VALUE"""),1328.42)</f>
        <v/>
      </c>
      <c r="AH2037" s="6">
        <f>AI2037&amp;AJ2037</f>
        <v/>
      </c>
      <c r="AI2037" s="6">
        <f>YEAR(AK2037)</f>
        <v/>
      </c>
      <c r="AJ2037" s="6">
        <f>MONTH(AK2037)</f>
        <v/>
      </c>
      <c r="AK2037" s="267">
        <f>IFERROR(__xludf.DUMMYFUNCTION("""COMPUTED_VALUE"""),45130.9986111111)</f>
        <v/>
      </c>
      <c r="AL2037" s="6">
        <f>IFERROR(__xludf.DUMMYFUNCTION("""COMPUTED_VALUE"""),30100.01)</f>
        <v/>
      </c>
      <c r="AP2037" s="6">
        <f>AQ2037&amp;AR2037</f>
        <v/>
      </c>
      <c r="AQ2037" s="6">
        <f>YEAR(AS2037)</f>
        <v/>
      </c>
      <c r="AR2037" s="6">
        <f>MONTH(AS2037)</f>
        <v/>
      </c>
      <c r="AS2037" s="267">
        <f>IFERROR(__xludf.DUMMYFUNCTION("""COMPUTED_VALUE"""),46066.9986111111)</f>
        <v/>
      </c>
      <c r="AT2037" s="6">
        <f>IFERROR(__xludf.DUMMYFUNCTION("""COMPUTED_VALUE"""),5046.3)</f>
        <v/>
      </c>
    </row>
    <row r="2038">
      <c r="B2038" s="6">
        <f>C2038&amp;D2038</f>
        <v/>
      </c>
      <c r="C2038" s="6">
        <f>YEAR(E2038)</f>
        <v/>
      </c>
      <c r="D2038" s="6">
        <f>MONTH(E2038)</f>
        <v/>
      </c>
      <c r="E2038" s="267">
        <f>IFERROR(__xludf.DUMMYFUNCTION("""COMPUTED_VALUE"""),46062.6666666666)</f>
        <v/>
      </c>
      <c r="F2038" s="6">
        <f>IFERROR(__xludf.DUMMYFUNCTION("""COMPUTED_VALUE"""),6964.82)</f>
        <v/>
      </c>
      <c r="J2038" s="6">
        <f>K2038&amp;L2038</f>
        <v/>
      </c>
      <c r="K2038" s="6">
        <f>YEAR(M2038)</f>
        <v/>
      </c>
      <c r="L2038" s="6">
        <f>MONTH(M2038)</f>
        <v/>
      </c>
      <c r="M2038" s="267">
        <f>IFERROR(__xludf.DUMMYFUNCTION("""COMPUTED_VALUE"""),46056.6666666666)</f>
        <v/>
      </c>
      <c r="N2038" s="6">
        <f>IFERROR(__xludf.DUMMYFUNCTION("""COMPUTED_VALUE"""),23255.19)</f>
        <v/>
      </c>
      <c r="R2038" s="6">
        <f>S2038&amp;T2038</f>
        <v/>
      </c>
      <c r="S2038" s="6">
        <f>YEAR(U2038)</f>
        <v/>
      </c>
      <c r="T2038" s="6">
        <f>MONTH(U2038)</f>
        <v/>
      </c>
      <c r="U2038" s="267">
        <f>IFERROR(__xludf.DUMMYFUNCTION("""COMPUTED_VALUE"""),46136.6458333333)</f>
        <v/>
      </c>
      <c r="V2038" s="6">
        <f>IFERROR(__xludf.DUMMYFUNCTION("""COMPUTED_VALUE"""),6475.63)</f>
        <v/>
      </c>
      <c r="Z2038" s="6">
        <f>AA2038&amp;AB2038</f>
        <v/>
      </c>
      <c r="AA2038" s="6">
        <f>YEAR(AC2038)</f>
        <v/>
      </c>
      <c r="AB2038" s="6">
        <f>MONTH(AC2038)</f>
        <v/>
      </c>
      <c r="AC2038" s="267">
        <f>IFERROR(__xludf.DUMMYFUNCTION("""COMPUTED_VALUE"""),45187.9986111111)</f>
        <v/>
      </c>
      <c r="AD2038" s="6">
        <f>IFERROR(__xludf.DUMMYFUNCTION("""COMPUTED_VALUE"""),1329.66)</f>
        <v/>
      </c>
      <c r="AH2038" s="6">
        <f>AI2038&amp;AJ2038</f>
        <v/>
      </c>
      <c r="AI2038" s="6">
        <f>YEAR(AK2038)</f>
        <v/>
      </c>
      <c r="AJ2038" s="6">
        <f>MONTH(AK2038)</f>
        <v/>
      </c>
      <c r="AK2038" s="267">
        <f>IFERROR(__xludf.DUMMYFUNCTION("""COMPUTED_VALUE"""),45131.9986111111)</f>
        <v/>
      </c>
      <c r="AL2038" s="6">
        <f>IFERROR(__xludf.DUMMYFUNCTION("""COMPUTED_VALUE"""),29189.36)</f>
        <v/>
      </c>
      <c r="AP2038" s="6">
        <f>AQ2038&amp;AR2038</f>
        <v/>
      </c>
      <c r="AQ2038" s="6">
        <f>YEAR(AS2038)</f>
        <v/>
      </c>
      <c r="AR2038" s="6">
        <f>MONTH(AS2038)</f>
        <v/>
      </c>
      <c r="AS2038" s="267">
        <f>IFERROR(__xludf.DUMMYFUNCTION("""COMPUTED_VALUE"""),46070.9986111111)</f>
        <v/>
      </c>
      <c r="AT2038" s="6">
        <f>IFERROR(__xludf.DUMMYFUNCTION("""COMPUTED_VALUE"""),4905.9)</f>
        <v/>
      </c>
    </row>
    <row r="2039">
      <c r="B2039" s="6">
        <f>C2039&amp;D2039</f>
        <v/>
      </c>
      <c r="C2039" s="6">
        <f>YEAR(E2039)</f>
        <v/>
      </c>
      <c r="D2039" s="6">
        <f>MONTH(E2039)</f>
        <v/>
      </c>
      <c r="E2039" s="267">
        <f>IFERROR(__xludf.DUMMYFUNCTION("""COMPUTED_VALUE"""),46063.6666666666)</f>
        <v/>
      </c>
      <c r="F2039" s="6">
        <f>IFERROR(__xludf.DUMMYFUNCTION("""COMPUTED_VALUE"""),6941.81)</f>
        <v/>
      </c>
      <c r="J2039" s="6">
        <f>K2039&amp;L2039</f>
        <v/>
      </c>
      <c r="K2039" s="6">
        <f>YEAR(M2039)</f>
        <v/>
      </c>
      <c r="L2039" s="6">
        <f>MONTH(M2039)</f>
        <v/>
      </c>
      <c r="M2039" s="267">
        <f>IFERROR(__xludf.DUMMYFUNCTION("""COMPUTED_VALUE"""),46057.6666666666)</f>
        <v/>
      </c>
      <c r="N2039" s="6">
        <f>IFERROR(__xludf.DUMMYFUNCTION("""COMPUTED_VALUE"""),22904.58)</f>
        <v/>
      </c>
      <c r="R2039" s="6">
        <f>S2039&amp;T2039</f>
        <v/>
      </c>
      <c r="S2039" s="6">
        <f>YEAR(U2039)</f>
        <v/>
      </c>
      <c r="T2039" s="6">
        <f>MONTH(U2039)</f>
        <v/>
      </c>
      <c r="U2039" s="267">
        <f>IFERROR(__xludf.DUMMYFUNCTION("""COMPUTED_VALUE"""),46139.6458333333)</f>
        <v/>
      </c>
      <c r="V2039" s="6">
        <f>IFERROR(__xludf.DUMMYFUNCTION("""COMPUTED_VALUE"""),6615.03)</f>
        <v/>
      </c>
      <c r="Z2039" s="6">
        <f>AA2039&amp;AB2039</f>
        <v/>
      </c>
      <c r="AA2039" s="6">
        <f>YEAR(AC2039)</f>
        <v/>
      </c>
      <c r="AB2039" s="6">
        <f>MONTH(AC2039)</f>
        <v/>
      </c>
      <c r="AC2039" s="267">
        <f>IFERROR(__xludf.DUMMYFUNCTION("""COMPUTED_VALUE"""),45188.9986111111)</f>
        <v/>
      </c>
      <c r="AD2039" s="6">
        <f>IFERROR(__xludf.DUMMYFUNCTION("""COMPUTED_VALUE"""),1328.53)</f>
        <v/>
      </c>
      <c r="AH2039" s="6">
        <f>AI2039&amp;AJ2039</f>
        <v/>
      </c>
      <c r="AI2039" s="6">
        <f>YEAR(AK2039)</f>
        <v/>
      </c>
      <c r="AJ2039" s="6">
        <f>MONTH(AK2039)</f>
        <v/>
      </c>
      <c r="AK2039" s="267">
        <f>IFERROR(__xludf.DUMMYFUNCTION("""COMPUTED_VALUE"""),45132.9986111111)</f>
        <v/>
      </c>
      <c r="AL2039" s="6">
        <f>IFERROR(__xludf.DUMMYFUNCTION("""COMPUTED_VALUE"""),29239.03)</f>
        <v/>
      </c>
      <c r="AP2039" s="6">
        <f>AQ2039&amp;AR2039</f>
        <v/>
      </c>
      <c r="AQ2039" s="6">
        <f>YEAR(AS2039)</f>
        <v/>
      </c>
      <c r="AR2039" s="6">
        <f>MONTH(AS2039)</f>
        <v/>
      </c>
      <c r="AS2039" s="267">
        <f>IFERROR(__xludf.DUMMYFUNCTION("""COMPUTED_VALUE"""),46071.9986111111)</f>
        <v/>
      </c>
      <c r="AT2039" s="6">
        <f>IFERROR(__xludf.DUMMYFUNCTION("""COMPUTED_VALUE"""),5009.5)</f>
        <v/>
      </c>
    </row>
    <row r="2040">
      <c r="B2040" s="6">
        <f>C2040&amp;D2040</f>
        <v/>
      </c>
      <c r="C2040" s="6">
        <f>YEAR(E2040)</f>
        <v/>
      </c>
      <c r="D2040" s="6">
        <f>MONTH(E2040)</f>
        <v/>
      </c>
      <c r="E2040" s="267">
        <f>IFERROR(__xludf.DUMMYFUNCTION("""COMPUTED_VALUE"""),46064.6666666666)</f>
        <v/>
      </c>
      <c r="F2040" s="6">
        <f>IFERROR(__xludf.DUMMYFUNCTION("""COMPUTED_VALUE"""),6941.47)</f>
        <v/>
      </c>
      <c r="J2040" s="6">
        <f>K2040&amp;L2040</f>
        <v/>
      </c>
      <c r="K2040" s="6">
        <f>YEAR(M2040)</f>
        <v/>
      </c>
      <c r="L2040" s="6">
        <f>MONTH(M2040)</f>
        <v/>
      </c>
      <c r="M2040" s="267">
        <f>IFERROR(__xludf.DUMMYFUNCTION("""COMPUTED_VALUE"""),46058.6666666666)</f>
        <v/>
      </c>
      <c r="N2040" s="6">
        <f>IFERROR(__xludf.DUMMYFUNCTION("""COMPUTED_VALUE"""),22540.59)</f>
        <v/>
      </c>
      <c r="R2040" s="6">
        <f>S2040&amp;T2040</f>
        <v/>
      </c>
      <c r="S2040" s="6">
        <f>YEAR(U2040)</f>
        <v/>
      </c>
      <c r="T2040" s="6">
        <f>MONTH(U2040)</f>
        <v/>
      </c>
      <c r="U2040" s="267">
        <f>IFERROR(__xludf.DUMMYFUNCTION("""COMPUTED_VALUE"""),46140.6458333333)</f>
        <v/>
      </c>
      <c r="V2040" s="6">
        <f>IFERROR(__xludf.DUMMYFUNCTION("""COMPUTED_VALUE"""),6641.02)</f>
        <v/>
      </c>
      <c r="Z2040" s="6">
        <f>AA2040&amp;AB2040</f>
        <v/>
      </c>
      <c r="AA2040" s="6">
        <f>YEAR(AC2040)</f>
        <v/>
      </c>
      <c r="AB2040" s="6">
        <f>MONTH(AC2040)</f>
        <v/>
      </c>
      <c r="AC2040" s="267">
        <f>IFERROR(__xludf.DUMMYFUNCTION("""COMPUTED_VALUE"""),45189.9986111111)</f>
        <v/>
      </c>
      <c r="AD2040" s="6">
        <f>IFERROR(__xludf.DUMMYFUNCTION("""COMPUTED_VALUE"""),1332.34)</f>
        <v/>
      </c>
      <c r="AH2040" s="6">
        <f>AI2040&amp;AJ2040</f>
        <v/>
      </c>
      <c r="AI2040" s="6">
        <f>YEAR(AK2040)</f>
        <v/>
      </c>
      <c r="AJ2040" s="6">
        <f>MONTH(AK2040)</f>
        <v/>
      </c>
      <c r="AK2040" s="267">
        <f>IFERROR(__xludf.DUMMYFUNCTION("""COMPUTED_VALUE"""),45133.9986111111)</f>
        <v/>
      </c>
      <c r="AL2040" s="6">
        <f>IFERROR(__xludf.DUMMYFUNCTION("""COMPUTED_VALUE"""),29366.65)</f>
        <v/>
      </c>
      <c r="AP2040" s="6">
        <f>AQ2040&amp;AR2040</f>
        <v/>
      </c>
      <c r="AQ2040" s="6">
        <f>YEAR(AS2040)</f>
        <v/>
      </c>
      <c r="AR2040" s="6">
        <f>MONTH(AS2040)</f>
        <v/>
      </c>
      <c r="AS2040" s="267">
        <f>IFERROR(__xludf.DUMMYFUNCTION("""COMPUTED_VALUE"""),46072.9986111111)</f>
        <v/>
      </c>
      <c r="AT2040" s="6">
        <f>IFERROR(__xludf.DUMMYFUNCTION("""COMPUTED_VALUE"""),4997.4)</f>
        <v/>
      </c>
    </row>
    <row r="2041">
      <c r="B2041" s="6">
        <f>C2041&amp;D2041</f>
        <v/>
      </c>
      <c r="C2041" s="6">
        <f>YEAR(E2041)</f>
        <v/>
      </c>
      <c r="D2041" s="6">
        <f>MONTH(E2041)</f>
        <v/>
      </c>
      <c r="E2041" s="267">
        <f>IFERROR(__xludf.DUMMYFUNCTION("""COMPUTED_VALUE"""),46065.6666666666)</f>
        <v/>
      </c>
      <c r="F2041" s="6">
        <f>IFERROR(__xludf.DUMMYFUNCTION("""COMPUTED_VALUE"""),6832.76)</f>
        <v/>
      </c>
      <c r="J2041" s="6">
        <f>K2041&amp;L2041</f>
        <v/>
      </c>
      <c r="K2041" s="6">
        <f>YEAR(M2041)</f>
        <v/>
      </c>
      <c r="L2041" s="6">
        <f>MONTH(M2041)</f>
        <v/>
      </c>
      <c r="M2041" s="267">
        <f>IFERROR(__xludf.DUMMYFUNCTION("""COMPUTED_VALUE"""),46059.6666666666)</f>
        <v/>
      </c>
      <c r="N2041" s="6">
        <f>IFERROR(__xludf.DUMMYFUNCTION("""COMPUTED_VALUE"""),23031.21)</f>
        <v/>
      </c>
      <c r="R2041" s="6">
        <f>S2041&amp;T2041</f>
        <v/>
      </c>
      <c r="S2041" s="6">
        <f>YEAR(U2041)</f>
        <v/>
      </c>
      <c r="T2041" s="6">
        <f>MONTH(U2041)</f>
        <v/>
      </c>
      <c r="U2041" s="267">
        <f>IFERROR(__xludf.DUMMYFUNCTION("""COMPUTED_VALUE"""),46141.6458333333)</f>
        <v/>
      </c>
      <c r="V2041" s="6">
        <f>IFERROR(__xludf.DUMMYFUNCTION("""COMPUTED_VALUE"""),6690.9)</f>
        <v/>
      </c>
      <c r="Z2041" s="6">
        <f>AA2041&amp;AB2041</f>
        <v/>
      </c>
      <c r="AA2041" s="6">
        <f>YEAR(AC2041)</f>
        <v/>
      </c>
      <c r="AB2041" s="6">
        <f>MONTH(AC2041)</f>
        <v/>
      </c>
      <c r="AC2041" s="267">
        <f>IFERROR(__xludf.DUMMYFUNCTION("""COMPUTED_VALUE"""),45190.9986111111)</f>
        <v/>
      </c>
      <c r="AD2041" s="6">
        <f>IFERROR(__xludf.DUMMYFUNCTION("""COMPUTED_VALUE"""),1341.17)</f>
        <v/>
      </c>
      <c r="AH2041" s="6">
        <f>AI2041&amp;AJ2041</f>
        <v/>
      </c>
      <c r="AI2041" s="6">
        <f>YEAR(AK2041)</f>
        <v/>
      </c>
      <c r="AJ2041" s="6">
        <f>MONTH(AK2041)</f>
        <v/>
      </c>
      <c r="AK2041" s="267">
        <f>IFERROR(__xludf.DUMMYFUNCTION("""COMPUTED_VALUE"""),45134.9986111111)</f>
        <v/>
      </c>
      <c r="AL2041" s="6">
        <f>IFERROR(__xludf.DUMMYFUNCTION("""COMPUTED_VALUE"""),29226.86)</f>
        <v/>
      </c>
      <c r="AP2041" s="6">
        <f>AQ2041&amp;AR2041</f>
        <v/>
      </c>
      <c r="AQ2041" s="6">
        <f>YEAR(AS2041)</f>
        <v/>
      </c>
      <c r="AR2041" s="6">
        <f>MONTH(AS2041)</f>
        <v/>
      </c>
      <c r="AS2041" s="267">
        <f>IFERROR(__xludf.DUMMYFUNCTION("""COMPUTED_VALUE"""),46073.9986111111)</f>
        <v/>
      </c>
      <c r="AT2041" s="6">
        <f>IFERROR(__xludf.DUMMYFUNCTION("""COMPUTED_VALUE"""),5080.9)</f>
        <v/>
      </c>
    </row>
    <row r="2042">
      <c r="B2042" s="6">
        <f>C2042&amp;D2042</f>
        <v/>
      </c>
      <c r="C2042" s="6">
        <f>YEAR(E2042)</f>
        <v/>
      </c>
      <c r="D2042" s="6">
        <f>MONTH(E2042)</f>
        <v/>
      </c>
      <c r="E2042" s="267">
        <f>IFERROR(__xludf.DUMMYFUNCTION("""COMPUTED_VALUE"""),46066.6666666666)</f>
        <v/>
      </c>
      <c r="F2042" s="6">
        <f>IFERROR(__xludf.DUMMYFUNCTION("""COMPUTED_VALUE"""),6836.17)</f>
        <v/>
      </c>
      <c r="J2042" s="6">
        <f>K2042&amp;L2042</f>
        <v/>
      </c>
      <c r="K2042" s="6">
        <f>YEAR(M2042)</f>
        <v/>
      </c>
      <c r="L2042" s="6">
        <f>MONTH(M2042)</f>
        <v/>
      </c>
      <c r="M2042" s="267">
        <f>IFERROR(__xludf.DUMMYFUNCTION("""COMPUTED_VALUE"""),46062.6666666666)</f>
        <v/>
      </c>
      <c r="N2042" s="6">
        <f>IFERROR(__xludf.DUMMYFUNCTION("""COMPUTED_VALUE"""),23238.67)</f>
        <v/>
      </c>
      <c r="R2042" s="6">
        <f>S2042&amp;T2042</f>
        <v/>
      </c>
      <c r="S2042" s="6">
        <f>YEAR(U2042)</f>
        <v/>
      </c>
      <c r="T2042" s="6">
        <f>MONTH(U2042)</f>
        <v/>
      </c>
      <c r="U2042" s="267">
        <f>IFERROR(__xludf.DUMMYFUNCTION("""COMPUTED_VALUE"""),46142.6458333333)</f>
        <v/>
      </c>
      <c r="V2042" s="6">
        <f>IFERROR(__xludf.DUMMYFUNCTION("""COMPUTED_VALUE"""),6598.87)</f>
        <v/>
      </c>
      <c r="Z2042" s="6">
        <f>AA2042&amp;AB2042</f>
        <v/>
      </c>
      <c r="AA2042" s="6">
        <f>YEAR(AC2042)</f>
        <v/>
      </c>
      <c r="AB2042" s="6">
        <f>MONTH(AC2042)</f>
        <v/>
      </c>
      <c r="AC2042" s="267">
        <f>IFERROR(__xludf.DUMMYFUNCTION("""COMPUTED_VALUE"""),45191.9986111111)</f>
        <v/>
      </c>
      <c r="AD2042" s="6">
        <f>IFERROR(__xludf.DUMMYFUNCTION("""COMPUTED_VALUE"""),1334.86)</f>
        <v/>
      </c>
      <c r="AH2042" s="6">
        <f>AI2042&amp;AJ2042</f>
        <v/>
      </c>
      <c r="AI2042" s="6">
        <f>YEAR(AK2042)</f>
        <v/>
      </c>
      <c r="AJ2042" s="6">
        <f>MONTH(AK2042)</f>
        <v/>
      </c>
      <c r="AK2042" s="267">
        <f>IFERROR(__xludf.DUMMYFUNCTION("""COMPUTED_VALUE"""),45135.9986111111)</f>
        <v/>
      </c>
      <c r="AL2042" s="6">
        <f>IFERROR(__xludf.DUMMYFUNCTION("""COMPUTED_VALUE"""),29324.19)</f>
        <v/>
      </c>
      <c r="AP2042" s="6">
        <f>AQ2042&amp;AR2042</f>
        <v/>
      </c>
      <c r="AQ2042" s="6">
        <f>YEAR(AS2042)</f>
        <v/>
      </c>
      <c r="AR2042" s="6">
        <f>MONTH(AS2042)</f>
        <v/>
      </c>
      <c r="AS2042" s="267">
        <f>IFERROR(__xludf.DUMMYFUNCTION("""COMPUTED_VALUE"""),46076.9986111111)</f>
        <v/>
      </c>
      <c r="AT2042" s="6">
        <f>IFERROR(__xludf.DUMMYFUNCTION("""COMPUTED_VALUE"""),5225.6)</f>
        <v/>
      </c>
    </row>
    <row r="2043">
      <c r="B2043" s="6">
        <f>C2043&amp;D2043</f>
        <v/>
      </c>
      <c r="C2043" s="6">
        <f>YEAR(E2043)</f>
        <v/>
      </c>
      <c r="D2043" s="6">
        <f>MONTH(E2043)</f>
        <v/>
      </c>
      <c r="E2043" s="267">
        <f>IFERROR(__xludf.DUMMYFUNCTION("""COMPUTED_VALUE"""),46070.6666666666)</f>
        <v/>
      </c>
      <c r="F2043" s="6">
        <f>IFERROR(__xludf.DUMMYFUNCTION("""COMPUTED_VALUE"""),6843.22)</f>
        <v/>
      </c>
      <c r="J2043" s="6">
        <f>K2043&amp;L2043</f>
        <v/>
      </c>
      <c r="K2043" s="6">
        <f>YEAR(M2043)</f>
        <v/>
      </c>
      <c r="L2043" s="6">
        <f>MONTH(M2043)</f>
        <v/>
      </c>
      <c r="M2043" s="267">
        <f>IFERROR(__xludf.DUMMYFUNCTION("""COMPUTED_VALUE"""),46063.6666666666)</f>
        <v/>
      </c>
      <c r="N2043" s="6">
        <f>IFERROR(__xludf.DUMMYFUNCTION("""COMPUTED_VALUE"""),23102.47)</f>
        <v/>
      </c>
      <c r="R2043" s="6">
        <f>S2043&amp;T2043</f>
        <v/>
      </c>
      <c r="S2043" s="6">
        <f>YEAR(U2043)</f>
        <v/>
      </c>
      <c r="T2043" s="6">
        <f>MONTH(U2043)</f>
        <v/>
      </c>
      <c r="U2043" s="267">
        <f>IFERROR(__xludf.DUMMYFUNCTION("""COMPUTED_VALUE"""),46146.6458333333)</f>
        <v/>
      </c>
      <c r="V2043" s="6">
        <f>IFERROR(__xludf.DUMMYFUNCTION("""COMPUTED_VALUE"""),6936.99)</f>
        <v/>
      </c>
      <c r="Z2043" s="6">
        <f>AA2043&amp;AB2043</f>
        <v/>
      </c>
      <c r="AA2043" s="6">
        <f>YEAR(AC2043)</f>
        <v/>
      </c>
      <c r="AB2043" s="6">
        <f>MONTH(AC2043)</f>
        <v/>
      </c>
      <c r="AC2043" s="267">
        <f>IFERROR(__xludf.DUMMYFUNCTION("""COMPUTED_VALUE"""),45192.9986111111)</f>
        <v/>
      </c>
      <c r="AD2043" s="6">
        <f>IFERROR(__xludf.DUMMYFUNCTION("""COMPUTED_VALUE"""),1334.86)</f>
        <v/>
      </c>
      <c r="AH2043" s="6">
        <f>AI2043&amp;AJ2043</f>
        <v/>
      </c>
      <c r="AI2043" s="6">
        <f>YEAR(AK2043)</f>
        <v/>
      </c>
      <c r="AJ2043" s="6">
        <f>MONTH(AK2043)</f>
        <v/>
      </c>
      <c r="AK2043" s="267">
        <f>IFERROR(__xludf.DUMMYFUNCTION("""COMPUTED_VALUE"""),45136.9986111111)</f>
        <v/>
      </c>
      <c r="AL2043" s="6">
        <f>IFERROR(__xludf.DUMMYFUNCTION("""COMPUTED_VALUE"""),29391.08)</f>
        <v/>
      </c>
      <c r="AP2043" s="6">
        <f>AQ2043&amp;AR2043</f>
        <v/>
      </c>
      <c r="AQ2043" s="6">
        <f>YEAR(AS2043)</f>
        <v/>
      </c>
      <c r="AR2043" s="6">
        <f>MONTH(AS2043)</f>
        <v/>
      </c>
      <c r="AS2043" s="267">
        <f>IFERROR(__xludf.DUMMYFUNCTION("""COMPUTED_VALUE"""),46077.9986111111)</f>
        <v/>
      </c>
      <c r="AT2043" s="6">
        <f>IFERROR(__xludf.DUMMYFUNCTION("""COMPUTED_VALUE"""),5176.3)</f>
        <v/>
      </c>
    </row>
    <row r="2044">
      <c r="B2044" s="6">
        <f>C2044&amp;D2044</f>
        <v/>
      </c>
      <c r="C2044" s="6">
        <f>YEAR(E2044)</f>
        <v/>
      </c>
      <c r="D2044" s="6">
        <f>MONTH(E2044)</f>
        <v/>
      </c>
      <c r="E2044" s="267">
        <f>IFERROR(__xludf.DUMMYFUNCTION("""COMPUTED_VALUE"""),46071.6666666666)</f>
        <v/>
      </c>
      <c r="F2044" s="6">
        <f>IFERROR(__xludf.DUMMYFUNCTION("""COMPUTED_VALUE"""),6881.31)</f>
        <v/>
      </c>
      <c r="J2044" s="6">
        <f>K2044&amp;L2044</f>
        <v/>
      </c>
      <c r="K2044" s="6">
        <f>YEAR(M2044)</f>
        <v/>
      </c>
      <c r="L2044" s="6">
        <f>MONTH(M2044)</f>
        <v/>
      </c>
      <c r="M2044" s="267">
        <f>IFERROR(__xludf.DUMMYFUNCTION("""COMPUTED_VALUE"""),46064.6666666666)</f>
        <v/>
      </c>
      <c r="N2044" s="6">
        <f>IFERROR(__xludf.DUMMYFUNCTION("""COMPUTED_VALUE"""),23066.47)</f>
        <v/>
      </c>
      <c r="R2044" s="6">
        <f>S2044&amp;T2044</f>
        <v/>
      </c>
      <c r="S2044" s="6">
        <f>YEAR(U2044)</f>
        <v/>
      </c>
      <c r="T2044" s="6">
        <f>MONTH(U2044)</f>
        <v/>
      </c>
      <c r="U2044" s="267">
        <f>IFERROR(__xludf.DUMMYFUNCTION("""COMPUTED_VALUE"""),46148.6458333333)</f>
        <v/>
      </c>
      <c r="V2044" s="6">
        <f>IFERROR(__xludf.DUMMYFUNCTION("""COMPUTED_VALUE"""),7384.56)</f>
        <v/>
      </c>
      <c r="Z2044" s="6">
        <f>AA2044&amp;AB2044</f>
        <v/>
      </c>
      <c r="AA2044" s="6">
        <f>YEAR(AC2044)</f>
        <v/>
      </c>
      <c r="AB2044" s="6">
        <f>MONTH(AC2044)</f>
        <v/>
      </c>
      <c r="AC2044" s="267">
        <f>IFERROR(__xludf.DUMMYFUNCTION("""COMPUTED_VALUE"""),45193.9986111111)</f>
        <v/>
      </c>
      <c r="AD2044" s="6">
        <f>IFERROR(__xludf.DUMMYFUNCTION("""COMPUTED_VALUE"""),1334.66)</f>
        <v/>
      </c>
      <c r="AH2044" s="6">
        <f>AI2044&amp;AJ2044</f>
        <v/>
      </c>
      <c r="AI2044" s="6">
        <f>YEAR(AK2044)</f>
        <v/>
      </c>
      <c r="AJ2044" s="6">
        <f>MONTH(AK2044)</f>
        <v/>
      </c>
      <c r="AK2044" s="267">
        <f>IFERROR(__xludf.DUMMYFUNCTION("""COMPUTED_VALUE"""),45137.9986111111)</f>
        <v/>
      </c>
      <c r="AL2044" s="6">
        <f>IFERROR(__xludf.DUMMYFUNCTION("""COMPUTED_VALUE"""),29295)</f>
        <v/>
      </c>
      <c r="AP2044" s="6">
        <f>AQ2044&amp;AR2044</f>
        <v/>
      </c>
      <c r="AQ2044" s="6">
        <f>YEAR(AS2044)</f>
        <v/>
      </c>
      <c r="AR2044" s="6">
        <f>MONTH(AS2044)</f>
        <v/>
      </c>
      <c r="AS2044" s="267">
        <f>IFERROR(__xludf.DUMMYFUNCTION("""COMPUTED_VALUE"""),46078.9986111111)</f>
        <v/>
      </c>
      <c r="AT2044" s="6">
        <f>IFERROR(__xludf.DUMMYFUNCTION("""COMPUTED_VALUE"""),5226.2)</f>
        <v/>
      </c>
    </row>
    <row r="2045">
      <c r="B2045" s="6">
        <f>C2045&amp;D2045</f>
        <v/>
      </c>
      <c r="C2045" s="6">
        <f>YEAR(E2045)</f>
        <v/>
      </c>
      <c r="D2045" s="6">
        <f>MONTH(E2045)</f>
        <v/>
      </c>
      <c r="E2045" s="267">
        <f>IFERROR(__xludf.DUMMYFUNCTION("""COMPUTED_VALUE"""),46072.6666666666)</f>
        <v/>
      </c>
      <c r="F2045" s="6">
        <f>IFERROR(__xludf.DUMMYFUNCTION("""COMPUTED_VALUE"""),6861.89)</f>
        <v/>
      </c>
      <c r="J2045" s="6">
        <f>K2045&amp;L2045</f>
        <v/>
      </c>
      <c r="K2045" s="6">
        <f>YEAR(M2045)</f>
        <v/>
      </c>
      <c r="L2045" s="6">
        <f>MONTH(M2045)</f>
        <v/>
      </c>
      <c r="M2045" s="267">
        <f>IFERROR(__xludf.DUMMYFUNCTION("""COMPUTED_VALUE"""),46065.6666666666)</f>
        <v/>
      </c>
      <c r="N2045" s="6">
        <f>IFERROR(__xludf.DUMMYFUNCTION("""COMPUTED_VALUE"""),22597.15)</f>
        <v/>
      </c>
      <c r="R2045" s="6">
        <f>S2045&amp;T2045</f>
        <v/>
      </c>
      <c r="S2045" s="6">
        <f>YEAR(U2045)</f>
        <v/>
      </c>
      <c r="T2045" s="6">
        <f>MONTH(U2045)</f>
        <v/>
      </c>
      <c r="U2045" s="267">
        <f>IFERROR(__xludf.DUMMYFUNCTION("""COMPUTED_VALUE"""),46149.6458333333)</f>
        <v/>
      </c>
      <c r="V2045" s="6">
        <f>IFERROR(__xludf.DUMMYFUNCTION("""COMPUTED_VALUE"""),7490.05)</f>
        <v/>
      </c>
      <c r="Z2045" s="6">
        <f>AA2045&amp;AB2045</f>
        <v/>
      </c>
      <c r="AA2045" s="6">
        <f>YEAR(AC2045)</f>
        <v/>
      </c>
      <c r="AB2045" s="6">
        <f>MONTH(AC2045)</f>
        <v/>
      </c>
      <c r="AC2045" s="267">
        <f>IFERROR(__xludf.DUMMYFUNCTION("""COMPUTED_VALUE"""),45194.9986111111)</f>
        <v/>
      </c>
      <c r="AD2045" s="6">
        <f>IFERROR(__xludf.DUMMYFUNCTION("""COMPUTED_VALUE"""),1338.45)</f>
        <v/>
      </c>
      <c r="AH2045" s="6">
        <f>AI2045&amp;AJ2045</f>
        <v/>
      </c>
      <c r="AI2045" s="6">
        <f>YEAR(AK2045)</f>
        <v/>
      </c>
      <c r="AJ2045" s="6">
        <f>MONTH(AK2045)</f>
        <v/>
      </c>
      <c r="AK2045" s="267">
        <f>IFERROR(__xludf.DUMMYFUNCTION("""COMPUTED_VALUE"""),45138.9986111111)</f>
        <v/>
      </c>
      <c r="AL2045" s="6">
        <f>IFERROR(__xludf.DUMMYFUNCTION("""COMPUTED_VALUE"""),29244.09)</f>
        <v/>
      </c>
      <c r="AP2045" s="6">
        <f>AQ2045&amp;AR2045</f>
        <v/>
      </c>
      <c r="AQ2045" s="6">
        <f>YEAR(AS2045)</f>
        <v/>
      </c>
      <c r="AR2045" s="6">
        <f>MONTH(AS2045)</f>
        <v/>
      </c>
      <c r="AS2045" s="267">
        <f>IFERROR(__xludf.DUMMYFUNCTION("""COMPUTED_VALUE"""),46079.9986111111)</f>
        <v/>
      </c>
      <c r="AT2045" s="6">
        <f>IFERROR(__xludf.DUMMYFUNCTION("""COMPUTED_VALUE"""),5194.2)</f>
        <v/>
      </c>
    </row>
    <row r="2046">
      <c r="B2046" s="6">
        <f>C2046&amp;D2046</f>
        <v/>
      </c>
      <c r="C2046" s="6">
        <f>YEAR(E2046)</f>
        <v/>
      </c>
      <c r="D2046" s="6">
        <f>MONTH(E2046)</f>
        <v/>
      </c>
      <c r="E2046" s="267">
        <f>IFERROR(__xludf.DUMMYFUNCTION("""COMPUTED_VALUE"""),46073.6666666666)</f>
        <v/>
      </c>
      <c r="F2046" s="6">
        <f>IFERROR(__xludf.DUMMYFUNCTION("""COMPUTED_VALUE"""),6909.51)</f>
        <v/>
      </c>
      <c r="J2046" s="6">
        <f>K2046&amp;L2046</f>
        <v/>
      </c>
      <c r="K2046" s="6">
        <f>YEAR(M2046)</f>
        <v/>
      </c>
      <c r="L2046" s="6">
        <f>MONTH(M2046)</f>
        <v/>
      </c>
      <c r="M2046" s="267">
        <f>IFERROR(__xludf.DUMMYFUNCTION("""COMPUTED_VALUE"""),46066.6666666666)</f>
        <v/>
      </c>
      <c r="N2046" s="6">
        <f>IFERROR(__xludf.DUMMYFUNCTION("""COMPUTED_VALUE"""),22546.67)</f>
        <v/>
      </c>
      <c r="R2046" s="6">
        <f>S2046&amp;T2046</f>
        <v/>
      </c>
      <c r="S2046" s="6">
        <f>YEAR(U2046)</f>
        <v/>
      </c>
      <c r="T2046" s="6">
        <f>MONTH(U2046)</f>
        <v/>
      </c>
      <c r="U2046" s="267">
        <f>IFERROR(__xludf.DUMMYFUNCTION("""COMPUTED_VALUE"""),46150.6458333333)</f>
        <v/>
      </c>
      <c r="V2046" s="6">
        <f>IFERROR(__xludf.DUMMYFUNCTION("""COMPUTED_VALUE"""),7498)</f>
        <v/>
      </c>
      <c r="Z2046" s="6">
        <f>AA2046&amp;AB2046</f>
        <v/>
      </c>
      <c r="AA2046" s="6">
        <f>YEAR(AC2046)</f>
        <v/>
      </c>
      <c r="AB2046" s="6">
        <f>MONTH(AC2046)</f>
        <v/>
      </c>
      <c r="AC2046" s="267">
        <f>IFERROR(__xludf.DUMMYFUNCTION("""COMPUTED_VALUE"""),45195.9986111111)</f>
        <v/>
      </c>
      <c r="AD2046" s="6">
        <f>IFERROR(__xludf.DUMMYFUNCTION("""COMPUTED_VALUE"""),1353.75)</f>
        <v/>
      </c>
      <c r="AH2046" s="6">
        <f>AI2046&amp;AJ2046</f>
        <v/>
      </c>
      <c r="AI2046" s="6">
        <f>YEAR(AK2046)</f>
        <v/>
      </c>
      <c r="AJ2046" s="6">
        <f>MONTH(AK2046)</f>
        <v/>
      </c>
      <c r="AK2046" s="267">
        <f>IFERROR(__xludf.DUMMYFUNCTION("""COMPUTED_VALUE"""),45139.9986111111)</f>
        <v/>
      </c>
      <c r="AL2046" s="6">
        <f>IFERROR(__xludf.DUMMYFUNCTION("""COMPUTED_VALUE"""),29704.41)</f>
        <v/>
      </c>
      <c r="AP2046" s="6">
        <f>AQ2046&amp;AR2046</f>
        <v/>
      </c>
      <c r="AQ2046" s="6">
        <f>YEAR(AS2046)</f>
        <v/>
      </c>
      <c r="AR2046" s="6">
        <f>MONTH(AS2046)</f>
        <v/>
      </c>
      <c r="AS2046" s="267">
        <f>IFERROR(__xludf.DUMMYFUNCTION("""COMPUTED_VALUE"""),46080.9986111111)</f>
        <v/>
      </c>
      <c r="AT2046" s="6">
        <f>IFERROR(__xludf.DUMMYFUNCTION("""COMPUTED_VALUE"""),5247.9)</f>
        <v/>
      </c>
    </row>
    <row r="2047">
      <c r="B2047" s="6">
        <f>C2047&amp;D2047</f>
        <v/>
      </c>
      <c r="C2047" s="6">
        <f>YEAR(E2047)</f>
        <v/>
      </c>
      <c r="D2047" s="6">
        <f>MONTH(E2047)</f>
        <v/>
      </c>
      <c r="E2047" s="267">
        <f>IFERROR(__xludf.DUMMYFUNCTION("""COMPUTED_VALUE"""),46076.6666666666)</f>
        <v/>
      </c>
      <c r="F2047" s="6">
        <f>IFERROR(__xludf.DUMMYFUNCTION("""COMPUTED_VALUE"""),6837.75)</f>
        <v/>
      </c>
      <c r="J2047" s="6">
        <f>K2047&amp;L2047</f>
        <v/>
      </c>
      <c r="K2047" s="6">
        <f>YEAR(M2047)</f>
        <v/>
      </c>
      <c r="L2047" s="6">
        <f>MONTH(M2047)</f>
        <v/>
      </c>
      <c r="M2047" s="267">
        <f>IFERROR(__xludf.DUMMYFUNCTION("""COMPUTED_VALUE"""),46070.6666666666)</f>
        <v/>
      </c>
      <c r="N2047" s="6">
        <f>IFERROR(__xludf.DUMMYFUNCTION("""COMPUTED_VALUE"""),22578.38)</f>
        <v/>
      </c>
      <c r="R2047" s="6">
        <f>S2047&amp;T2047</f>
        <v/>
      </c>
      <c r="S2047" s="6">
        <f>YEAR(U2047)</f>
        <v/>
      </c>
      <c r="T2047" s="6">
        <f>MONTH(U2047)</f>
        <v/>
      </c>
      <c r="U2047" s="267">
        <f>IFERROR(__xludf.DUMMYFUNCTION("""COMPUTED_VALUE"""),46153.6458333333)</f>
        <v/>
      </c>
      <c r="V2047" s="6">
        <f>IFERROR(__xludf.DUMMYFUNCTION("""COMPUTED_VALUE"""),7822.24)</f>
        <v/>
      </c>
      <c r="Z2047" s="6">
        <f>AA2047&amp;AB2047</f>
        <v/>
      </c>
      <c r="AA2047" s="6">
        <f>YEAR(AC2047)</f>
        <v/>
      </c>
      <c r="AB2047" s="6">
        <f>MONTH(AC2047)</f>
        <v/>
      </c>
      <c r="AC2047" s="267">
        <f>IFERROR(__xludf.DUMMYFUNCTION("""COMPUTED_VALUE"""),45196.9986111111)</f>
        <v/>
      </c>
      <c r="AD2047" s="6">
        <f>IFERROR(__xludf.DUMMYFUNCTION("""COMPUTED_VALUE"""),1352.82)</f>
        <v/>
      </c>
      <c r="AH2047" s="6">
        <f>AI2047&amp;AJ2047</f>
        <v/>
      </c>
      <c r="AI2047" s="6">
        <f>YEAR(AK2047)</f>
        <v/>
      </c>
      <c r="AJ2047" s="6">
        <f>MONTH(AK2047)</f>
        <v/>
      </c>
      <c r="AK2047" s="267">
        <f>IFERROR(__xludf.DUMMYFUNCTION("""COMPUTED_VALUE"""),45140.9986111111)</f>
        <v/>
      </c>
      <c r="AL2047" s="6">
        <f>IFERROR(__xludf.DUMMYFUNCTION("""COMPUTED_VALUE"""),29168.12)</f>
        <v/>
      </c>
      <c r="AP2047" s="6">
        <f>AQ2047&amp;AR2047</f>
        <v/>
      </c>
      <c r="AQ2047" s="6">
        <f>YEAR(AS2047)</f>
        <v/>
      </c>
      <c r="AR2047" s="6">
        <f>MONTH(AS2047)</f>
        <v/>
      </c>
      <c r="AS2047" s="267">
        <f>IFERROR(__xludf.DUMMYFUNCTION("""COMPUTED_VALUE"""),46083.9986111111)</f>
        <v/>
      </c>
      <c r="AT2047" s="6">
        <f>IFERROR(__xludf.DUMMYFUNCTION("""COMPUTED_VALUE"""),5311.6)</f>
        <v/>
      </c>
    </row>
    <row r="2048">
      <c r="B2048" s="6">
        <f>C2048&amp;D2048</f>
        <v/>
      </c>
      <c r="C2048" s="6">
        <f>YEAR(E2048)</f>
        <v/>
      </c>
      <c r="D2048" s="6">
        <f>MONTH(E2048)</f>
        <v/>
      </c>
      <c r="E2048" s="267">
        <f>IFERROR(__xludf.DUMMYFUNCTION("""COMPUTED_VALUE"""),46077.6666666666)</f>
        <v/>
      </c>
      <c r="F2048" s="6">
        <f>IFERROR(__xludf.DUMMYFUNCTION("""COMPUTED_VALUE"""),6890.07)</f>
        <v/>
      </c>
      <c r="J2048" s="6">
        <f>K2048&amp;L2048</f>
        <v/>
      </c>
      <c r="K2048" s="6">
        <f>YEAR(M2048)</f>
        <v/>
      </c>
      <c r="L2048" s="6">
        <f>MONTH(M2048)</f>
        <v/>
      </c>
      <c r="M2048" s="267">
        <f>IFERROR(__xludf.DUMMYFUNCTION("""COMPUTED_VALUE"""),46071.6666666666)</f>
        <v/>
      </c>
      <c r="N2048" s="6">
        <f>IFERROR(__xludf.DUMMYFUNCTION("""COMPUTED_VALUE"""),22753.64)</f>
        <v/>
      </c>
      <c r="R2048" s="6">
        <f>S2048&amp;T2048</f>
        <v/>
      </c>
      <c r="S2048" s="6">
        <f>YEAR(U2048)</f>
        <v/>
      </c>
      <c r="T2048" s="6">
        <f>MONTH(U2048)</f>
        <v/>
      </c>
      <c r="U2048" s="267">
        <f>IFERROR(__xludf.DUMMYFUNCTION("""COMPUTED_VALUE"""),46154.6458333333)</f>
        <v/>
      </c>
      <c r="V2048" s="6">
        <f>IFERROR(__xludf.DUMMYFUNCTION("""COMPUTED_VALUE"""),7643.15)</f>
        <v/>
      </c>
      <c r="Z2048" s="6">
        <f>AA2048&amp;AB2048</f>
        <v/>
      </c>
      <c r="AA2048" s="6">
        <f>YEAR(AC2048)</f>
        <v/>
      </c>
      <c r="AB2048" s="6">
        <f>MONTH(AC2048)</f>
        <v/>
      </c>
      <c r="AC2048" s="267">
        <f>IFERROR(__xludf.DUMMYFUNCTION("""COMPUTED_VALUE"""),45197.9986111111)</f>
        <v/>
      </c>
      <c r="AD2048" s="6">
        <f>IFERROR(__xludf.DUMMYFUNCTION("""COMPUTED_VALUE"""),1347.85)</f>
        <v/>
      </c>
      <c r="AH2048" s="6">
        <f>AI2048&amp;AJ2048</f>
        <v/>
      </c>
      <c r="AI2048" s="6">
        <f>YEAR(AK2048)</f>
        <v/>
      </c>
      <c r="AJ2048" s="6">
        <f>MONTH(AK2048)</f>
        <v/>
      </c>
      <c r="AK2048" s="267">
        <f>IFERROR(__xludf.DUMMYFUNCTION("""COMPUTED_VALUE"""),45141.9986111111)</f>
        <v/>
      </c>
      <c r="AL2048" s="6">
        <f>IFERROR(__xludf.DUMMYFUNCTION("""COMPUTED_VALUE"""),29187.88)</f>
        <v/>
      </c>
      <c r="AP2048" s="6">
        <f>AQ2048&amp;AR2048</f>
        <v/>
      </c>
      <c r="AQ2048" s="6">
        <f>YEAR(AS2048)</f>
        <v/>
      </c>
      <c r="AR2048" s="6">
        <f>MONTH(AS2048)</f>
        <v/>
      </c>
      <c r="AS2048" s="267">
        <f>IFERROR(__xludf.DUMMYFUNCTION("""COMPUTED_VALUE"""),46084.9986111111)</f>
        <v/>
      </c>
      <c r="AT2048" s="6">
        <f>IFERROR(__xludf.DUMMYFUNCTION("""COMPUTED_VALUE"""),5123.7)</f>
        <v/>
      </c>
    </row>
    <row r="2049">
      <c r="B2049" s="6">
        <f>C2049&amp;D2049</f>
        <v/>
      </c>
      <c r="C2049" s="6">
        <f>YEAR(E2049)</f>
        <v/>
      </c>
      <c r="D2049" s="6">
        <f>MONTH(E2049)</f>
        <v/>
      </c>
      <c r="E2049" s="267">
        <f>IFERROR(__xludf.DUMMYFUNCTION("""COMPUTED_VALUE"""),46078.6666666666)</f>
        <v/>
      </c>
      <c r="F2049" s="6">
        <f>IFERROR(__xludf.DUMMYFUNCTION("""COMPUTED_VALUE"""),6946.13)</f>
        <v/>
      </c>
      <c r="J2049" s="6">
        <f>K2049&amp;L2049</f>
        <v/>
      </c>
      <c r="K2049" s="6">
        <f>YEAR(M2049)</f>
        <v/>
      </c>
      <c r="L2049" s="6">
        <f>MONTH(M2049)</f>
        <v/>
      </c>
      <c r="M2049" s="267">
        <f>IFERROR(__xludf.DUMMYFUNCTION("""COMPUTED_VALUE"""),46072.6666666666)</f>
        <v/>
      </c>
      <c r="N2049" s="6">
        <f>IFERROR(__xludf.DUMMYFUNCTION("""COMPUTED_VALUE"""),22682.73)</f>
        <v/>
      </c>
      <c r="R2049" s="6">
        <f>S2049&amp;T2049</f>
        <v/>
      </c>
      <c r="S2049" s="6">
        <f>YEAR(U2049)</f>
        <v/>
      </c>
      <c r="T2049" s="6">
        <f>MONTH(U2049)</f>
        <v/>
      </c>
      <c r="U2049" s="267">
        <f>IFERROR(__xludf.DUMMYFUNCTION("""COMPUTED_VALUE"""),46155.6458333333)</f>
        <v/>
      </c>
      <c r="V2049" s="6">
        <f>IFERROR(__xludf.DUMMYFUNCTION("""COMPUTED_VALUE"""),7844.01)</f>
        <v/>
      </c>
      <c r="Z2049" s="6">
        <f>AA2049&amp;AB2049</f>
        <v/>
      </c>
      <c r="AA2049" s="6">
        <f>YEAR(AC2049)</f>
        <v/>
      </c>
      <c r="AB2049" s="6">
        <f>MONTH(AC2049)</f>
        <v/>
      </c>
      <c r="AC2049" s="267">
        <f>IFERROR(__xludf.DUMMYFUNCTION("""COMPUTED_VALUE"""),45198.9986111111)</f>
        <v/>
      </c>
      <c r="AD2049" s="6">
        <f>IFERROR(__xludf.DUMMYFUNCTION("""COMPUTED_VALUE"""),1351.93)</f>
        <v/>
      </c>
      <c r="AH2049" s="6">
        <f>AI2049&amp;AJ2049</f>
        <v/>
      </c>
      <c r="AI2049" s="6">
        <f>YEAR(AK2049)</f>
        <v/>
      </c>
      <c r="AJ2049" s="6">
        <f>MONTH(AK2049)</f>
        <v/>
      </c>
      <c r="AK2049" s="267">
        <f>IFERROR(__xludf.DUMMYFUNCTION("""COMPUTED_VALUE"""),45142.9986111111)</f>
        <v/>
      </c>
      <c r="AL2049" s="6">
        <f>IFERROR(__xludf.DUMMYFUNCTION("""COMPUTED_VALUE"""),29107.64)</f>
        <v/>
      </c>
      <c r="AP2049" s="6">
        <f>AQ2049&amp;AR2049</f>
        <v/>
      </c>
      <c r="AQ2049" s="6">
        <f>YEAR(AS2049)</f>
        <v/>
      </c>
      <c r="AR2049" s="6">
        <f>MONTH(AS2049)</f>
        <v/>
      </c>
      <c r="AS2049" s="267">
        <f>IFERROR(__xludf.DUMMYFUNCTION("""COMPUTED_VALUE"""),46085.9986111111)</f>
        <v/>
      </c>
      <c r="AT2049" s="6">
        <f>IFERROR(__xludf.DUMMYFUNCTION("""COMPUTED_VALUE"""),5134.7)</f>
        <v/>
      </c>
    </row>
    <row r="2050">
      <c r="B2050" s="6">
        <f>C2050&amp;D2050</f>
        <v/>
      </c>
      <c r="C2050" s="6">
        <f>YEAR(E2050)</f>
        <v/>
      </c>
      <c r="D2050" s="6">
        <f>MONTH(E2050)</f>
        <v/>
      </c>
      <c r="E2050" s="267">
        <f>IFERROR(__xludf.DUMMYFUNCTION("""COMPUTED_VALUE"""),46079.6666666666)</f>
        <v/>
      </c>
      <c r="F2050" s="6">
        <f>IFERROR(__xludf.DUMMYFUNCTION("""COMPUTED_VALUE"""),6908.86)</f>
        <v/>
      </c>
      <c r="J2050" s="6">
        <f>K2050&amp;L2050</f>
        <v/>
      </c>
      <c r="K2050" s="6">
        <f>YEAR(M2050)</f>
        <v/>
      </c>
      <c r="L2050" s="6">
        <f>MONTH(M2050)</f>
        <v/>
      </c>
      <c r="M2050" s="267">
        <f>IFERROR(__xludf.DUMMYFUNCTION("""COMPUTED_VALUE"""),46073.6666666666)</f>
        <v/>
      </c>
      <c r="N2050" s="6">
        <f>IFERROR(__xludf.DUMMYFUNCTION("""COMPUTED_VALUE"""),22886.07)</f>
        <v/>
      </c>
      <c r="R2050" s="6">
        <f>S2050&amp;T2050</f>
        <v/>
      </c>
      <c r="S2050" s="6">
        <f>YEAR(U2050)</f>
        <v/>
      </c>
      <c r="T2050" s="6">
        <f>MONTH(U2050)</f>
        <v/>
      </c>
      <c r="U2050" s="267">
        <f>IFERROR(__xludf.DUMMYFUNCTION("""COMPUTED_VALUE"""),46156.6458333333)</f>
        <v/>
      </c>
      <c r="V2050" s="6">
        <f>IFERROR(__xludf.DUMMYFUNCTION("""COMPUTED_VALUE"""),7981.41)</f>
        <v/>
      </c>
      <c r="Z2050" s="6">
        <f>AA2050&amp;AB2050</f>
        <v/>
      </c>
      <c r="AA2050" s="6">
        <f>YEAR(AC2050)</f>
        <v/>
      </c>
      <c r="AB2050" s="6">
        <f>MONTH(AC2050)</f>
        <v/>
      </c>
      <c r="AC2050" s="267">
        <f>IFERROR(__xludf.DUMMYFUNCTION("""COMPUTED_VALUE"""),45199.9986111111)</f>
        <v/>
      </c>
      <c r="AD2050" s="6">
        <f>IFERROR(__xludf.DUMMYFUNCTION("""COMPUTED_VALUE"""),1351.93)</f>
        <v/>
      </c>
      <c r="AH2050" s="6">
        <f>AI2050&amp;AJ2050</f>
        <v/>
      </c>
      <c r="AI2050" s="6">
        <f>YEAR(AK2050)</f>
        <v/>
      </c>
      <c r="AJ2050" s="6">
        <f>MONTH(AK2050)</f>
        <v/>
      </c>
      <c r="AK2050" s="267">
        <f>IFERROR(__xludf.DUMMYFUNCTION("""COMPUTED_VALUE"""),45143.9986111111)</f>
        <v/>
      </c>
      <c r="AL2050" s="6">
        <f>IFERROR(__xludf.DUMMYFUNCTION("""COMPUTED_VALUE"""),29077.05)</f>
        <v/>
      </c>
      <c r="AP2050" s="6">
        <f>AQ2050&amp;AR2050</f>
        <v/>
      </c>
      <c r="AQ2050" s="6">
        <f>YEAR(AS2050)</f>
        <v/>
      </c>
      <c r="AR2050" s="6">
        <f>MONTH(AS2050)</f>
        <v/>
      </c>
      <c r="AS2050" s="267">
        <f>IFERROR(__xludf.DUMMYFUNCTION("""COMPUTED_VALUE"""),46086.9986111111)</f>
        <v/>
      </c>
      <c r="AT2050" s="6">
        <f>IFERROR(__xludf.DUMMYFUNCTION("""COMPUTED_VALUE"""),5078.7)</f>
        <v/>
      </c>
    </row>
    <row r="2051">
      <c r="B2051" s="6">
        <f>C2051&amp;D2051</f>
        <v/>
      </c>
      <c r="C2051" s="6">
        <f>YEAR(E2051)</f>
        <v/>
      </c>
      <c r="D2051" s="6">
        <f>MONTH(E2051)</f>
        <v/>
      </c>
      <c r="E2051" s="267">
        <f>IFERROR(__xludf.DUMMYFUNCTION("""COMPUTED_VALUE"""),46080.6666666666)</f>
        <v/>
      </c>
      <c r="F2051" s="6">
        <f>IFERROR(__xludf.DUMMYFUNCTION("""COMPUTED_VALUE"""),6878.88)</f>
        <v/>
      </c>
      <c r="J2051" s="6">
        <f>K2051&amp;L2051</f>
        <v/>
      </c>
      <c r="K2051" s="6">
        <f>YEAR(M2051)</f>
        <v/>
      </c>
      <c r="L2051" s="6">
        <f>MONTH(M2051)</f>
        <v/>
      </c>
      <c r="M2051" s="267">
        <f>IFERROR(__xludf.DUMMYFUNCTION("""COMPUTED_VALUE"""),46076.6666666666)</f>
        <v/>
      </c>
      <c r="N2051" s="6">
        <f>IFERROR(__xludf.DUMMYFUNCTION("""COMPUTED_VALUE"""),22627.27)</f>
        <v/>
      </c>
      <c r="R2051" s="6">
        <f>S2051&amp;T2051</f>
        <v/>
      </c>
      <c r="S2051" s="6">
        <f>YEAR(U2051)</f>
        <v/>
      </c>
      <c r="T2051" s="6">
        <f>MONTH(U2051)</f>
        <v/>
      </c>
      <c r="U2051" s="267">
        <f>IFERROR(__xludf.DUMMYFUNCTION("""COMPUTED_VALUE"""),46157.6458333333)</f>
        <v/>
      </c>
      <c r="V2051" s="6">
        <f>IFERROR(__xludf.DUMMYFUNCTION("""COMPUTED_VALUE"""),7493.18)</f>
        <v/>
      </c>
      <c r="Z2051" s="6">
        <f>AA2051&amp;AB2051</f>
        <v/>
      </c>
      <c r="AA2051" s="6">
        <f>YEAR(AC2051)</f>
        <v/>
      </c>
      <c r="AB2051" s="6">
        <f>MONTH(AC2051)</f>
        <v/>
      </c>
      <c r="AC2051" s="267">
        <f>IFERROR(__xludf.DUMMYFUNCTION("""COMPUTED_VALUE"""),45200.9986111111)</f>
        <v/>
      </c>
      <c r="AD2051" s="6">
        <f>IFERROR(__xludf.DUMMYFUNCTION("""COMPUTED_VALUE"""),1351.94)</f>
        <v/>
      </c>
      <c r="AH2051" s="6">
        <f>AI2051&amp;AJ2051</f>
        <v/>
      </c>
      <c r="AI2051" s="6">
        <f>YEAR(AK2051)</f>
        <v/>
      </c>
      <c r="AJ2051" s="6">
        <f>MONTH(AK2051)</f>
        <v/>
      </c>
      <c r="AK2051" s="267">
        <f>IFERROR(__xludf.DUMMYFUNCTION("""COMPUTED_VALUE"""),45144.9986111111)</f>
        <v/>
      </c>
      <c r="AL2051" s="6">
        <f>IFERROR(__xludf.DUMMYFUNCTION("""COMPUTED_VALUE"""),29071.92)</f>
        <v/>
      </c>
      <c r="AP2051" s="6">
        <f>AQ2051&amp;AR2051</f>
        <v/>
      </c>
      <c r="AQ2051" s="6">
        <f>YEAR(AS2051)</f>
        <v/>
      </c>
      <c r="AR2051" s="6">
        <f>MONTH(AS2051)</f>
        <v/>
      </c>
      <c r="AS2051" s="267">
        <f>IFERROR(__xludf.DUMMYFUNCTION("""COMPUTED_VALUE"""),46087.9986111111)</f>
        <v/>
      </c>
      <c r="AT2051" s="6">
        <f>IFERROR(__xludf.DUMMYFUNCTION("""COMPUTED_VALUE"""),5158.7)</f>
        <v/>
      </c>
    </row>
    <row r="2052">
      <c r="B2052" s="6">
        <f>C2052&amp;D2052</f>
        <v/>
      </c>
      <c r="C2052" s="6">
        <f>YEAR(E2052)</f>
        <v/>
      </c>
      <c r="D2052" s="6">
        <f>MONTH(E2052)</f>
        <v/>
      </c>
      <c r="E2052" s="267">
        <f>IFERROR(__xludf.DUMMYFUNCTION("""COMPUTED_VALUE"""),46083.6666666666)</f>
        <v/>
      </c>
      <c r="F2052" s="6">
        <f>IFERROR(__xludf.DUMMYFUNCTION("""COMPUTED_VALUE"""),6881.62)</f>
        <v/>
      </c>
      <c r="J2052" s="6">
        <f>K2052&amp;L2052</f>
        <v/>
      </c>
      <c r="K2052" s="6">
        <f>YEAR(M2052)</f>
        <v/>
      </c>
      <c r="L2052" s="6">
        <f>MONTH(M2052)</f>
        <v/>
      </c>
      <c r="M2052" s="267">
        <f>IFERROR(__xludf.DUMMYFUNCTION("""COMPUTED_VALUE"""),46077.6666666666)</f>
        <v/>
      </c>
      <c r="N2052" s="6">
        <f>IFERROR(__xludf.DUMMYFUNCTION("""COMPUTED_VALUE"""),22863.68)</f>
        <v/>
      </c>
      <c r="R2052" s="6">
        <f>S2052&amp;T2052</f>
        <v/>
      </c>
      <c r="S2052" s="6">
        <f>YEAR(U2052)</f>
        <v/>
      </c>
      <c r="T2052" s="6">
        <f>MONTH(U2052)</f>
        <v/>
      </c>
      <c r="U2052" s="267">
        <f>IFERROR(__xludf.DUMMYFUNCTION("""COMPUTED_VALUE"""),46160.6458333333)</f>
        <v/>
      </c>
      <c r="V2052" s="6">
        <f>IFERROR(__xludf.DUMMYFUNCTION("""COMPUTED_VALUE"""),7516.04)</f>
        <v/>
      </c>
      <c r="Z2052" s="6">
        <f>AA2052&amp;AB2052</f>
        <v/>
      </c>
      <c r="AA2052" s="6">
        <f>YEAR(AC2052)</f>
        <v/>
      </c>
      <c r="AB2052" s="6">
        <f>MONTH(AC2052)</f>
        <v/>
      </c>
      <c r="AC2052" s="267">
        <f>IFERROR(__xludf.DUMMYFUNCTION("""COMPUTED_VALUE"""),45201.9986111111)</f>
        <v/>
      </c>
      <c r="AD2052" s="6">
        <f>IFERROR(__xludf.DUMMYFUNCTION("""COMPUTED_VALUE"""),1354.19)</f>
        <v/>
      </c>
      <c r="AH2052" s="6">
        <f>AI2052&amp;AJ2052</f>
        <v/>
      </c>
      <c r="AI2052" s="6">
        <f>YEAR(AK2052)</f>
        <v/>
      </c>
      <c r="AJ2052" s="6">
        <f>MONTH(AK2052)</f>
        <v/>
      </c>
      <c r="AK2052" s="267">
        <f>IFERROR(__xludf.DUMMYFUNCTION("""COMPUTED_VALUE"""),45145.9986111111)</f>
        <v/>
      </c>
      <c r="AL2052" s="6">
        <f>IFERROR(__xludf.DUMMYFUNCTION("""COMPUTED_VALUE"""),29189.82)</f>
        <v/>
      </c>
      <c r="AP2052" s="6">
        <f>AQ2052&amp;AR2052</f>
        <v/>
      </c>
      <c r="AQ2052" s="6">
        <f>YEAR(AS2052)</f>
        <v/>
      </c>
      <c r="AR2052" s="6">
        <f>MONTH(AS2052)</f>
        <v/>
      </c>
      <c r="AS2052" s="267">
        <f>IFERROR(__xludf.DUMMYFUNCTION("""COMPUTED_VALUE"""),46090.9986111111)</f>
        <v/>
      </c>
      <c r="AT2052" s="6">
        <f>IFERROR(__xludf.DUMMYFUNCTION("""COMPUTED_VALUE"""),5103.7)</f>
        <v/>
      </c>
    </row>
    <row r="2053">
      <c r="B2053" s="6">
        <f>C2053&amp;D2053</f>
        <v/>
      </c>
      <c r="C2053" s="6">
        <f>YEAR(E2053)</f>
        <v/>
      </c>
      <c r="D2053" s="6">
        <f>MONTH(E2053)</f>
        <v/>
      </c>
      <c r="E2053" s="267">
        <f>IFERROR(__xludf.DUMMYFUNCTION("""COMPUTED_VALUE"""),46084.6666666666)</f>
        <v/>
      </c>
      <c r="F2053" s="6">
        <f>IFERROR(__xludf.DUMMYFUNCTION("""COMPUTED_VALUE"""),6816.63)</f>
        <v/>
      </c>
      <c r="J2053" s="6">
        <f>K2053&amp;L2053</f>
        <v/>
      </c>
      <c r="K2053" s="6">
        <f>YEAR(M2053)</f>
        <v/>
      </c>
      <c r="L2053" s="6">
        <f>MONTH(M2053)</f>
        <v/>
      </c>
      <c r="M2053" s="267">
        <f>IFERROR(__xludf.DUMMYFUNCTION("""COMPUTED_VALUE"""),46078.6666666666)</f>
        <v/>
      </c>
      <c r="N2053" s="6">
        <f>IFERROR(__xludf.DUMMYFUNCTION("""COMPUTED_VALUE"""),23152.08)</f>
        <v/>
      </c>
      <c r="R2053" s="6">
        <f>S2053&amp;T2053</f>
        <v/>
      </c>
      <c r="S2053" s="6">
        <f>YEAR(U2053)</f>
        <v/>
      </c>
      <c r="T2053" s="6">
        <f>MONTH(U2053)</f>
        <v/>
      </c>
      <c r="U2053" s="267">
        <f>IFERROR(__xludf.DUMMYFUNCTION("""COMPUTED_VALUE"""),46161.6458333333)</f>
        <v/>
      </c>
      <c r="V2053" s="6">
        <f>IFERROR(__xludf.DUMMYFUNCTION("""COMPUTED_VALUE"""),7271.66)</f>
        <v/>
      </c>
      <c r="Z2053" s="6">
        <f>AA2053&amp;AB2053</f>
        <v/>
      </c>
      <c r="AA2053" s="6">
        <f>YEAR(AC2053)</f>
        <v/>
      </c>
      <c r="AB2053" s="6">
        <f>MONTH(AC2053)</f>
        <v/>
      </c>
      <c r="AC2053" s="267">
        <f>IFERROR(__xludf.DUMMYFUNCTION("""COMPUTED_VALUE"""),45202.9986111111)</f>
        <v/>
      </c>
      <c r="AD2053" s="6">
        <f>IFERROR(__xludf.DUMMYFUNCTION("""COMPUTED_VALUE"""),1359.22)</f>
        <v/>
      </c>
      <c r="AH2053" s="6">
        <f>AI2053&amp;AJ2053</f>
        <v/>
      </c>
      <c r="AI2053" s="6">
        <f>YEAR(AK2053)</f>
        <v/>
      </c>
      <c r="AJ2053" s="6">
        <f>MONTH(AK2053)</f>
        <v/>
      </c>
      <c r="AK2053" s="267">
        <f>IFERROR(__xludf.DUMMYFUNCTION("""COMPUTED_VALUE"""),45146.9986111111)</f>
        <v/>
      </c>
      <c r="AL2053" s="6">
        <f>IFERROR(__xludf.DUMMYFUNCTION("""COMPUTED_VALUE"""),29771.04)</f>
        <v/>
      </c>
      <c r="AP2053" s="6">
        <f>AQ2053&amp;AR2053</f>
        <v/>
      </c>
      <c r="AQ2053" s="6">
        <f>YEAR(AS2053)</f>
        <v/>
      </c>
      <c r="AR2053" s="6">
        <f>MONTH(AS2053)</f>
        <v/>
      </c>
      <c r="AS2053" s="267">
        <f>IFERROR(__xludf.DUMMYFUNCTION("""COMPUTED_VALUE"""),46091.9986111111)</f>
        <v/>
      </c>
      <c r="AT2053" s="6">
        <f>IFERROR(__xludf.DUMMYFUNCTION("""COMPUTED_VALUE"""),5242.1)</f>
        <v/>
      </c>
    </row>
    <row r="2054">
      <c r="B2054" s="6">
        <f>C2054&amp;D2054</f>
        <v/>
      </c>
      <c r="C2054" s="6">
        <f>YEAR(E2054)</f>
        <v/>
      </c>
      <c r="D2054" s="6">
        <f>MONTH(E2054)</f>
        <v/>
      </c>
      <c r="E2054" s="267">
        <f>IFERROR(__xludf.DUMMYFUNCTION("""COMPUTED_VALUE"""),46085.6666666666)</f>
        <v/>
      </c>
      <c r="F2054" s="6">
        <f>IFERROR(__xludf.DUMMYFUNCTION("""COMPUTED_VALUE"""),6869.5)</f>
        <v/>
      </c>
      <c r="J2054" s="6">
        <f>K2054&amp;L2054</f>
        <v/>
      </c>
      <c r="K2054" s="6">
        <f>YEAR(M2054)</f>
        <v/>
      </c>
      <c r="L2054" s="6">
        <f>MONTH(M2054)</f>
        <v/>
      </c>
      <c r="M2054" s="267">
        <f>IFERROR(__xludf.DUMMYFUNCTION("""COMPUTED_VALUE"""),46079.6666666666)</f>
        <v/>
      </c>
      <c r="N2054" s="6">
        <f>IFERROR(__xludf.DUMMYFUNCTION("""COMPUTED_VALUE"""),22878.38)</f>
        <v/>
      </c>
      <c r="R2054" s="6">
        <f>S2054&amp;T2054</f>
        <v/>
      </c>
      <c r="S2054" s="6">
        <f>YEAR(U2054)</f>
        <v/>
      </c>
      <c r="T2054" s="6">
        <f>MONTH(U2054)</f>
        <v/>
      </c>
      <c r="U2054" s="267">
        <f>IFERROR(__xludf.DUMMYFUNCTION("""COMPUTED_VALUE"""),46162.6458333333)</f>
        <v/>
      </c>
      <c r="V2054" s="6">
        <f>IFERROR(__xludf.DUMMYFUNCTION("""COMPUTED_VALUE"""),7208.95)</f>
        <v/>
      </c>
      <c r="Z2054" s="6">
        <f>AA2054&amp;AB2054</f>
        <v/>
      </c>
      <c r="AA2054" s="6">
        <f>YEAR(AC2054)</f>
        <v/>
      </c>
      <c r="AB2054" s="6">
        <f>MONTH(AC2054)</f>
        <v/>
      </c>
      <c r="AC2054" s="267">
        <f>IFERROR(__xludf.DUMMYFUNCTION("""COMPUTED_VALUE"""),45203.9986111111)</f>
        <v/>
      </c>
      <c r="AD2054" s="6">
        <f>IFERROR(__xludf.DUMMYFUNCTION("""COMPUTED_VALUE"""),1351.16)</f>
        <v/>
      </c>
      <c r="AH2054" s="6">
        <f>AI2054&amp;AJ2054</f>
        <v/>
      </c>
      <c r="AI2054" s="6">
        <f>YEAR(AK2054)</f>
        <v/>
      </c>
      <c r="AJ2054" s="6">
        <f>MONTH(AK2054)</f>
        <v/>
      </c>
      <c r="AK2054" s="267">
        <f>IFERROR(__xludf.DUMMYFUNCTION("""COMPUTED_VALUE"""),45147.9986111111)</f>
        <v/>
      </c>
      <c r="AL2054" s="6">
        <f>IFERROR(__xludf.DUMMYFUNCTION("""COMPUTED_VALUE"""),29569.32)</f>
        <v/>
      </c>
      <c r="AP2054" s="6">
        <f>AQ2054&amp;AR2054</f>
        <v/>
      </c>
      <c r="AQ2054" s="6">
        <f>YEAR(AS2054)</f>
        <v/>
      </c>
      <c r="AR2054" s="6">
        <f>MONTH(AS2054)</f>
        <v/>
      </c>
      <c r="AS2054" s="267">
        <f>IFERROR(__xludf.DUMMYFUNCTION("""COMPUTED_VALUE"""),46092.9986111111)</f>
        <v/>
      </c>
      <c r="AT2054" s="6">
        <f>IFERROR(__xludf.DUMMYFUNCTION("""COMPUTED_VALUE"""),5179.1)</f>
        <v/>
      </c>
    </row>
    <row r="2055">
      <c r="B2055" s="6">
        <f>C2055&amp;D2055</f>
        <v/>
      </c>
      <c r="C2055" s="6">
        <f>YEAR(E2055)</f>
        <v/>
      </c>
      <c r="D2055" s="6">
        <f>MONTH(E2055)</f>
        <v/>
      </c>
      <c r="E2055" s="267">
        <f>IFERROR(__xludf.DUMMYFUNCTION("""COMPUTED_VALUE"""),46086.6666666666)</f>
        <v/>
      </c>
      <c r="F2055" s="6">
        <f>IFERROR(__xludf.DUMMYFUNCTION("""COMPUTED_VALUE"""),6830.71)</f>
        <v/>
      </c>
      <c r="J2055" s="6">
        <f>K2055&amp;L2055</f>
        <v/>
      </c>
      <c r="K2055" s="6">
        <f>YEAR(M2055)</f>
        <v/>
      </c>
      <c r="L2055" s="6">
        <f>MONTH(M2055)</f>
        <v/>
      </c>
      <c r="M2055" s="267">
        <f>IFERROR(__xludf.DUMMYFUNCTION("""COMPUTED_VALUE"""),46080.6666666666)</f>
        <v/>
      </c>
      <c r="N2055" s="6">
        <f>IFERROR(__xludf.DUMMYFUNCTION("""COMPUTED_VALUE"""),22668.21)</f>
        <v/>
      </c>
      <c r="R2055" s="6">
        <f>S2055&amp;T2055</f>
        <v/>
      </c>
      <c r="S2055" s="6">
        <f>YEAR(U2055)</f>
        <v/>
      </c>
      <c r="T2055" s="6">
        <f>MONTH(U2055)</f>
        <v/>
      </c>
      <c r="U2055" s="267">
        <f>IFERROR(__xludf.DUMMYFUNCTION("""COMPUTED_VALUE"""),46163.6458333333)</f>
        <v/>
      </c>
      <c r="V2055" s="6">
        <f>IFERROR(__xludf.DUMMYFUNCTION("""COMPUTED_VALUE"""),7815.59)</f>
        <v/>
      </c>
      <c r="Z2055" s="6">
        <f>AA2055&amp;AB2055</f>
        <v/>
      </c>
      <c r="AA2055" s="6">
        <f>YEAR(AC2055)</f>
        <v/>
      </c>
      <c r="AB2055" s="6">
        <f>MONTH(AC2055)</f>
        <v/>
      </c>
      <c r="AC2055" s="267">
        <f>IFERROR(__xludf.DUMMYFUNCTION("""COMPUTED_VALUE"""),45204.9986111111)</f>
        <v/>
      </c>
      <c r="AD2055" s="6">
        <f>IFERROR(__xludf.DUMMYFUNCTION("""COMPUTED_VALUE"""),1346.06)</f>
        <v/>
      </c>
      <c r="AH2055" s="6">
        <f>AI2055&amp;AJ2055</f>
        <v/>
      </c>
      <c r="AI2055" s="6">
        <f>YEAR(AK2055)</f>
        <v/>
      </c>
      <c r="AJ2055" s="6">
        <f>MONTH(AK2055)</f>
        <v/>
      </c>
      <c r="AK2055" s="267">
        <f>IFERROR(__xludf.DUMMYFUNCTION("""COMPUTED_VALUE"""),45148.9986111111)</f>
        <v/>
      </c>
      <c r="AL2055" s="6">
        <f>IFERROR(__xludf.DUMMYFUNCTION("""COMPUTED_VALUE"""),29439.7)</f>
        <v/>
      </c>
      <c r="AP2055" s="6">
        <f>AQ2055&amp;AR2055</f>
        <v/>
      </c>
      <c r="AQ2055" s="6">
        <f>YEAR(AS2055)</f>
        <v/>
      </c>
      <c r="AR2055" s="6">
        <f>MONTH(AS2055)</f>
        <v/>
      </c>
      <c r="AS2055" s="267">
        <f>IFERROR(__xludf.DUMMYFUNCTION("""COMPUTED_VALUE"""),46093.9986111111)</f>
        <v/>
      </c>
      <c r="AT2055" s="6">
        <f>IFERROR(__xludf.DUMMYFUNCTION("""COMPUTED_VALUE"""),5125.8)</f>
        <v/>
      </c>
    </row>
    <row r="2056">
      <c r="B2056" s="6">
        <f>C2056&amp;D2056</f>
        <v/>
      </c>
      <c r="C2056" s="6">
        <f>YEAR(E2056)</f>
        <v/>
      </c>
      <c r="D2056" s="6">
        <f>MONTH(E2056)</f>
        <v/>
      </c>
      <c r="E2056" s="267">
        <f>IFERROR(__xludf.DUMMYFUNCTION("""COMPUTED_VALUE"""),46087.6666666666)</f>
        <v/>
      </c>
      <c r="F2056" s="6">
        <f>IFERROR(__xludf.DUMMYFUNCTION("""COMPUTED_VALUE"""),6740.02)</f>
        <v/>
      </c>
      <c r="J2056" s="6">
        <f>K2056&amp;L2056</f>
        <v/>
      </c>
      <c r="K2056" s="6">
        <f>YEAR(M2056)</f>
        <v/>
      </c>
      <c r="L2056" s="6">
        <f>MONTH(M2056)</f>
        <v/>
      </c>
      <c r="M2056" s="267">
        <f>IFERROR(__xludf.DUMMYFUNCTION("""COMPUTED_VALUE"""),46083.6666666666)</f>
        <v/>
      </c>
      <c r="N2056" s="6">
        <f>IFERROR(__xludf.DUMMYFUNCTION("""COMPUTED_VALUE"""),22748.86)</f>
        <v/>
      </c>
      <c r="R2056" s="6">
        <f>S2056&amp;T2056</f>
        <v/>
      </c>
      <c r="S2056" s="6">
        <f>YEAR(U2056)</f>
        <v/>
      </c>
      <c r="T2056" s="6">
        <f>MONTH(U2056)</f>
        <v/>
      </c>
      <c r="U2056" s="267">
        <f>IFERROR(__xludf.DUMMYFUNCTION("""COMPUTED_VALUE"""),46164.6458333333)</f>
        <v/>
      </c>
      <c r="V2056" s="6">
        <f>IFERROR(__xludf.DUMMYFUNCTION("""COMPUTED_VALUE"""),7847.71)</f>
        <v/>
      </c>
      <c r="Z2056" s="6">
        <f>AA2056&amp;AB2056</f>
        <v/>
      </c>
      <c r="AA2056" s="6">
        <f>YEAR(AC2056)</f>
        <v/>
      </c>
      <c r="AB2056" s="6">
        <f>MONTH(AC2056)</f>
        <v/>
      </c>
      <c r="AC2056" s="267">
        <f>IFERROR(__xludf.DUMMYFUNCTION("""COMPUTED_VALUE"""),45205.9986111111)</f>
        <v/>
      </c>
      <c r="AD2056" s="6">
        <f>IFERROR(__xludf.DUMMYFUNCTION("""COMPUTED_VALUE"""),1343.24)</f>
        <v/>
      </c>
      <c r="AH2056" s="6">
        <f>AI2056&amp;AJ2056</f>
        <v/>
      </c>
      <c r="AI2056" s="6">
        <f>YEAR(AK2056)</f>
        <v/>
      </c>
      <c r="AJ2056" s="6">
        <f>MONTH(AK2056)</f>
        <v/>
      </c>
      <c r="AK2056" s="267">
        <f>IFERROR(__xludf.DUMMYFUNCTION("""COMPUTED_VALUE"""),45149.9986111111)</f>
        <v/>
      </c>
      <c r="AL2056" s="6">
        <f>IFERROR(__xludf.DUMMYFUNCTION("""COMPUTED_VALUE"""),29416.77)</f>
        <v/>
      </c>
      <c r="AP2056" s="6">
        <f>AQ2056&amp;AR2056</f>
        <v/>
      </c>
      <c r="AQ2056" s="6">
        <f>YEAR(AS2056)</f>
        <v/>
      </c>
      <c r="AR2056" s="6">
        <f>MONTH(AS2056)</f>
        <v/>
      </c>
      <c r="AS2056" s="267">
        <f>IFERROR(__xludf.DUMMYFUNCTION("""COMPUTED_VALUE"""),46094.9986111111)</f>
        <v/>
      </c>
      <c r="AT2056" s="6">
        <f>IFERROR(__xludf.DUMMYFUNCTION("""COMPUTED_VALUE"""),5061.7)</f>
        <v/>
      </c>
    </row>
    <row r="2057">
      <c r="B2057" s="6">
        <f>C2057&amp;D2057</f>
        <v/>
      </c>
      <c r="C2057" s="6">
        <f>YEAR(E2057)</f>
        <v/>
      </c>
      <c r="D2057" s="6">
        <f>MONTH(E2057)</f>
        <v/>
      </c>
      <c r="E2057" s="267">
        <f>IFERROR(__xludf.DUMMYFUNCTION("""COMPUTED_VALUE"""),46090.6666666666)</f>
        <v/>
      </c>
      <c r="F2057" s="6">
        <f>IFERROR(__xludf.DUMMYFUNCTION("""COMPUTED_VALUE"""),6795.99)</f>
        <v/>
      </c>
      <c r="J2057" s="6">
        <f>K2057&amp;L2057</f>
        <v/>
      </c>
      <c r="K2057" s="6">
        <f>YEAR(M2057)</f>
        <v/>
      </c>
      <c r="L2057" s="6">
        <f>MONTH(M2057)</f>
        <v/>
      </c>
      <c r="M2057" s="267">
        <f>IFERROR(__xludf.DUMMYFUNCTION("""COMPUTED_VALUE"""),46084.6666666666)</f>
        <v/>
      </c>
      <c r="N2057" s="6">
        <f>IFERROR(__xludf.DUMMYFUNCTION("""COMPUTED_VALUE"""),22516.69)</f>
        <v/>
      </c>
      <c r="R2057" s="6">
        <f>S2057&amp;T2057</f>
        <v/>
      </c>
      <c r="S2057" s="6">
        <f>YEAR(U2057)</f>
        <v/>
      </c>
      <c r="T2057" s="6">
        <f>MONTH(U2057)</f>
        <v/>
      </c>
      <c r="U2057" s="267">
        <f>IFERROR(__xludf.DUMMYFUNCTION("""COMPUTED_VALUE"""),46168.6458333333)</f>
        <v/>
      </c>
      <c r="V2057" s="6">
        <f>IFERROR(__xludf.DUMMYFUNCTION("""COMPUTED_VALUE"""),8047.51)</f>
        <v/>
      </c>
      <c r="Z2057" s="6">
        <f>AA2057&amp;AB2057</f>
        <v/>
      </c>
      <c r="AA2057" s="6">
        <f>YEAR(AC2057)</f>
        <v/>
      </c>
      <c r="AB2057" s="6">
        <f>MONTH(AC2057)</f>
        <v/>
      </c>
      <c r="AC2057" s="267">
        <f>IFERROR(__xludf.DUMMYFUNCTION("""COMPUTED_VALUE"""),45206.9986111111)</f>
        <v/>
      </c>
      <c r="AD2057" s="6">
        <f>IFERROR(__xludf.DUMMYFUNCTION("""COMPUTED_VALUE"""),1343.24)</f>
        <v/>
      </c>
      <c r="AH2057" s="6">
        <f>AI2057&amp;AJ2057</f>
        <v/>
      </c>
      <c r="AI2057" s="6">
        <f>YEAR(AK2057)</f>
        <v/>
      </c>
      <c r="AJ2057" s="6">
        <f>MONTH(AK2057)</f>
        <v/>
      </c>
      <c r="AK2057" s="267">
        <f>IFERROR(__xludf.DUMMYFUNCTION("""COMPUTED_VALUE"""),45150.9986111111)</f>
        <v/>
      </c>
      <c r="AL2057" s="6">
        <f>IFERROR(__xludf.DUMMYFUNCTION("""COMPUTED_VALUE"""),29445.23)</f>
        <v/>
      </c>
      <c r="AP2057" s="6">
        <f>AQ2057&amp;AR2057</f>
        <v/>
      </c>
      <c r="AQ2057" s="6">
        <f>YEAR(AS2057)</f>
        <v/>
      </c>
      <c r="AR2057" s="6">
        <f>MONTH(AS2057)</f>
        <v/>
      </c>
      <c r="AS2057" s="267">
        <f>IFERROR(__xludf.DUMMYFUNCTION("""COMPUTED_VALUE"""),46097.9986111111)</f>
        <v/>
      </c>
      <c r="AT2057" s="6">
        <f>IFERROR(__xludf.DUMMYFUNCTION("""COMPUTED_VALUE"""),5002.2)</f>
        <v/>
      </c>
    </row>
    <row r="2058">
      <c r="B2058" s="6">
        <f>C2058&amp;D2058</f>
        <v/>
      </c>
      <c r="C2058" s="6">
        <f>YEAR(E2058)</f>
        <v/>
      </c>
      <c r="D2058" s="6">
        <f>MONTH(E2058)</f>
        <v/>
      </c>
      <c r="E2058" s="267">
        <f>IFERROR(__xludf.DUMMYFUNCTION("""COMPUTED_VALUE"""),46091.6666666666)</f>
        <v/>
      </c>
      <c r="F2058" s="6">
        <f>IFERROR(__xludf.DUMMYFUNCTION("""COMPUTED_VALUE"""),6781.48)</f>
        <v/>
      </c>
      <c r="J2058" s="6">
        <f>K2058&amp;L2058</f>
        <v/>
      </c>
      <c r="K2058" s="6">
        <f>YEAR(M2058)</f>
        <v/>
      </c>
      <c r="L2058" s="6">
        <f>MONTH(M2058)</f>
        <v/>
      </c>
      <c r="M2058" s="267">
        <f>IFERROR(__xludf.DUMMYFUNCTION("""COMPUTED_VALUE"""),46085.6666666666)</f>
        <v/>
      </c>
      <c r="N2058" s="6">
        <f>IFERROR(__xludf.DUMMYFUNCTION("""COMPUTED_VALUE"""),22807.48)</f>
        <v/>
      </c>
      <c r="R2058" s="6">
        <f>S2058&amp;T2058</f>
        <v/>
      </c>
      <c r="S2058" s="6">
        <f>YEAR(U2058)</f>
        <v/>
      </c>
      <c r="T2058" s="6">
        <f>MONTH(U2058)</f>
        <v/>
      </c>
      <c r="U2058" s="267">
        <f>IFERROR(__xludf.DUMMYFUNCTION("""COMPUTED_VALUE"""),46169.6458333333)</f>
        <v/>
      </c>
      <c r="V2058" s="6">
        <f>IFERROR(__xludf.DUMMYFUNCTION("""COMPUTED_VALUE"""),8228.7)</f>
        <v/>
      </c>
      <c r="Z2058" s="6">
        <f>AA2058&amp;AB2058</f>
        <v/>
      </c>
      <c r="AA2058" s="6">
        <f>YEAR(AC2058)</f>
        <v/>
      </c>
      <c r="AB2058" s="6">
        <f>MONTH(AC2058)</f>
        <v/>
      </c>
      <c r="AC2058" s="267">
        <f>IFERROR(__xludf.DUMMYFUNCTION("""COMPUTED_VALUE"""),45207.9986111111)</f>
        <v/>
      </c>
      <c r="AD2058" s="6">
        <f>IFERROR(__xludf.DUMMYFUNCTION("""COMPUTED_VALUE"""),1343.36)</f>
        <v/>
      </c>
      <c r="AH2058" s="6">
        <f>AI2058&amp;AJ2058</f>
        <v/>
      </c>
      <c r="AI2058" s="6">
        <f>YEAR(AK2058)</f>
        <v/>
      </c>
      <c r="AJ2058" s="6">
        <f>MONTH(AK2058)</f>
        <v/>
      </c>
      <c r="AK2058" s="267">
        <f>IFERROR(__xludf.DUMMYFUNCTION("""COMPUTED_VALUE"""),45151.9986111111)</f>
        <v/>
      </c>
      <c r="AL2058" s="6">
        <f>IFERROR(__xludf.DUMMYFUNCTION("""COMPUTED_VALUE"""),29301.46)</f>
        <v/>
      </c>
      <c r="AP2058" s="6">
        <f>AQ2058&amp;AR2058</f>
        <v/>
      </c>
      <c r="AQ2058" s="6">
        <f>YEAR(AS2058)</f>
        <v/>
      </c>
      <c r="AR2058" s="6">
        <f>MONTH(AS2058)</f>
        <v/>
      </c>
      <c r="AS2058" s="267">
        <f>IFERROR(__xludf.DUMMYFUNCTION("""COMPUTED_VALUE"""),46098.9986111111)</f>
        <v/>
      </c>
      <c r="AT2058" s="6">
        <f>IFERROR(__xludf.DUMMYFUNCTION("""COMPUTED_VALUE"""),5008.2)</f>
        <v/>
      </c>
    </row>
    <row r="2059">
      <c r="B2059" s="6">
        <f>C2059&amp;D2059</f>
        <v/>
      </c>
      <c r="C2059" s="6">
        <f>YEAR(E2059)</f>
        <v/>
      </c>
      <c r="D2059" s="6">
        <f>MONTH(E2059)</f>
        <v/>
      </c>
      <c r="E2059" s="267">
        <f>IFERROR(__xludf.DUMMYFUNCTION("""COMPUTED_VALUE"""),46092.6666666666)</f>
        <v/>
      </c>
      <c r="F2059" s="6">
        <f>IFERROR(__xludf.DUMMYFUNCTION("""COMPUTED_VALUE"""),6775.8)</f>
        <v/>
      </c>
      <c r="J2059" s="6">
        <f>K2059&amp;L2059</f>
        <v/>
      </c>
      <c r="K2059" s="6">
        <f>YEAR(M2059)</f>
        <v/>
      </c>
      <c r="L2059" s="6">
        <f>MONTH(M2059)</f>
        <v/>
      </c>
      <c r="M2059" s="267">
        <f>IFERROR(__xludf.DUMMYFUNCTION("""COMPUTED_VALUE"""),46086.6666666666)</f>
        <v/>
      </c>
      <c r="N2059" s="6">
        <f>IFERROR(__xludf.DUMMYFUNCTION("""COMPUTED_VALUE"""),22748.99)</f>
        <v/>
      </c>
      <c r="R2059" s="6">
        <f>S2059&amp;T2059</f>
        <v/>
      </c>
      <c r="S2059" s="6">
        <f>YEAR(U2059)</f>
        <v/>
      </c>
      <c r="T2059" s="6">
        <f>MONTH(U2059)</f>
        <v/>
      </c>
      <c r="U2059" s="267">
        <f>IFERROR(__xludf.DUMMYFUNCTION("""COMPUTED_VALUE"""),46170.6458333333)</f>
        <v/>
      </c>
      <c r="V2059" s="6">
        <f>IFERROR(__xludf.DUMMYFUNCTION("""COMPUTED_VALUE"""),8185.29)</f>
        <v/>
      </c>
      <c r="Z2059" s="6">
        <f>AA2059&amp;AB2059</f>
        <v/>
      </c>
      <c r="AA2059" s="6">
        <f>YEAR(AC2059)</f>
        <v/>
      </c>
      <c r="AB2059" s="6">
        <f>MONTH(AC2059)</f>
        <v/>
      </c>
      <c r="AC2059" s="267">
        <f>IFERROR(__xludf.DUMMYFUNCTION("""COMPUTED_VALUE"""),45208.9986111111)</f>
        <v/>
      </c>
      <c r="AD2059" s="6">
        <f>IFERROR(__xludf.DUMMYFUNCTION("""COMPUTED_VALUE"""),1346.89)</f>
        <v/>
      </c>
      <c r="AH2059" s="6">
        <f>AI2059&amp;AJ2059</f>
        <v/>
      </c>
      <c r="AI2059" s="6">
        <f>YEAR(AK2059)</f>
        <v/>
      </c>
      <c r="AJ2059" s="6">
        <f>MONTH(AK2059)</f>
        <v/>
      </c>
      <c r="AK2059" s="267">
        <f>IFERROR(__xludf.DUMMYFUNCTION("""COMPUTED_VALUE"""),45152.9986111111)</f>
        <v/>
      </c>
      <c r="AL2059" s="6">
        <f>IFERROR(__xludf.DUMMYFUNCTION("""COMPUTED_VALUE"""),29414.31)</f>
        <v/>
      </c>
      <c r="AP2059" s="6">
        <f>AQ2059&amp;AR2059</f>
        <v/>
      </c>
      <c r="AQ2059" s="6">
        <f>YEAR(AS2059)</f>
        <v/>
      </c>
      <c r="AR2059" s="6">
        <f>MONTH(AS2059)</f>
        <v/>
      </c>
      <c r="AS2059" s="267">
        <f>IFERROR(__xludf.DUMMYFUNCTION("""COMPUTED_VALUE"""),46099.9986111111)</f>
        <v/>
      </c>
      <c r="AT2059" s="6">
        <f>IFERROR(__xludf.DUMMYFUNCTION("""COMPUTED_VALUE"""),4896.2)</f>
        <v/>
      </c>
    </row>
    <row r="2060">
      <c r="B2060" s="6">
        <f>C2060&amp;D2060</f>
        <v/>
      </c>
      <c r="C2060" s="6">
        <f>YEAR(E2060)</f>
        <v/>
      </c>
      <c r="D2060" s="6">
        <f>MONTH(E2060)</f>
        <v/>
      </c>
      <c r="E2060" s="267">
        <f>IFERROR(__xludf.DUMMYFUNCTION("""COMPUTED_VALUE"""),46093.6666666666)</f>
        <v/>
      </c>
      <c r="F2060" s="6">
        <f>IFERROR(__xludf.DUMMYFUNCTION("""COMPUTED_VALUE"""),6672.62)</f>
        <v/>
      </c>
      <c r="J2060" s="6">
        <f>K2060&amp;L2060</f>
        <v/>
      </c>
      <c r="K2060" s="6">
        <f>YEAR(M2060)</f>
        <v/>
      </c>
      <c r="L2060" s="6">
        <f>MONTH(M2060)</f>
        <v/>
      </c>
      <c r="M2060" s="267">
        <f>IFERROR(__xludf.DUMMYFUNCTION("""COMPUTED_VALUE"""),46087.6666666666)</f>
        <v/>
      </c>
      <c r="N2060" s="6">
        <f>IFERROR(__xludf.DUMMYFUNCTION("""COMPUTED_VALUE"""),22387.68)</f>
        <v/>
      </c>
      <c r="R2060" s="6">
        <f>S2060&amp;T2060</f>
        <v/>
      </c>
      <c r="S2060" s="6">
        <f>YEAR(U2060)</f>
        <v/>
      </c>
      <c r="T2060" s="6">
        <f>MONTH(U2060)</f>
        <v/>
      </c>
      <c r="U2060" s="267">
        <f>IFERROR(__xludf.DUMMYFUNCTION("""COMPUTED_VALUE"""),46171.6458333333)</f>
        <v/>
      </c>
      <c r="V2060" s="6">
        <f>IFERROR(__xludf.DUMMYFUNCTION("""COMPUTED_VALUE"""),8476.15)</f>
        <v/>
      </c>
      <c r="Z2060" s="6">
        <f>AA2060&amp;AB2060</f>
        <v/>
      </c>
      <c r="AA2060" s="6">
        <f>YEAR(AC2060)</f>
        <v/>
      </c>
      <c r="AB2060" s="6">
        <f>MONTH(AC2060)</f>
        <v/>
      </c>
      <c r="AC2060" s="267">
        <f>IFERROR(__xludf.DUMMYFUNCTION("""COMPUTED_VALUE"""),45209.9986111111)</f>
        <v/>
      </c>
      <c r="AD2060" s="6">
        <f>IFERROR(__xludf.DUMMYFUNCTION("""COMPUTED_VALUE"""),1341.89)</f>
        <v/>
      </c>
      <c r="AH2060" s="6">
        <f>AI2060&amp;AJ2060</f>
        <v/>
      </c>
      <c r="AI2060" s="6">
        <f>YEAR(AK2060)</f>
        <v/>
      </c>
      <c r="AJ2060" s="6">
        <f>MONTH(AK2060)</f>
        <v/>
      </c>
      <c r="AK2060" s="267">
        <f>IFERROR(__xludf.DUMMYFUNCTION("""COMPUTED_VALUE"""),45153.9986111111)</f>
        <v/>
      </c>
      <c r="AL2060" s="6">
        <f>IFERROR(__xludf.DUMMYFUNCTION("""COMPUTED_VALUE"""),29177.08)</f>
        <v/>
      </c>
      <c r="AP2060" s="6">
        <f>AQ2060&amp;AR2060</f>
        <v/>
      </c>
      <c r="AQ2060" s="6">
        <f>YEAR(AS2060)</f>
        <v/>
      </c>
      <c r="AR2060" s="6">
        <f>MONTH(AS2060)</f>
        <v/>
      </c>
      <c r="AS2060" s="267">
        <f>IFERROR(__xludf.DUMMYFUNCTION("""COMPUTED_VALUE"""),46100.9986111111)</f>
        <v/>
      </c>
      <c r="AT2060" s="6">
        <f>IFERROR(__xludf.DUMMYFUNCTION("""COMPUTED_VALUE"""),4605.7)</f>
        <v/>
      </c>
    </row>
    <row r="2061">
      <c r="B2061" s="6">
        <f>C2061&amp;D2061</f>
        <v/>
      </c>
      <c r="C2061" s="6">
        <f>YEAR(E2061)</f>
        <v/>
      </c>
      <c r="D2061" s="6">
        <f>MONTH(E2061)</f>
        <v/>
      </c>
      <c r="E2061" s="267">
        <f>IFERROR(__xludf.DUMMYFUNCTION("""COMPUTED_VALUE"""),46094.6666666666)</f>
        <v/>
      </c>
      <c r="F2061" s="6">
        <f>IFERROR(__xludf.DUMMYFUNCTION("""COMPUTED_VALUE"""),6632.19)</f>
        <v/>
      </c>
      <c r="J2061" s="6">
        <f>K2061&amp;L2061</f>
        <v/>
      </c>
      <c r="K2061" s="6">
        <f>YEAR(M2061)</f>
        <v/>
      </c>
      <c r="L2061" s="6">
        <f>MONTH(M2061)</f>
        <v/>
      </c>
      <c r="M2061" s="267">
        <f>IFERROR(__xludf.DUMMYFUNCTION("""COMPUTED_VALUE"""),46090.6666666666)</f>
        <v/>
      </c>
      <c r="N2061" s="6">
        <f>IFERROR(__xludf.DUMMYFUNCTION("""COMPUTED_VALUE"""),22695.95)</f>
        <v/>
      </c>
      <c r="R2061" s="6">
        <f>S2061&amp;T2061</f>
        <v/>
      </c>
      <c r="S2061" s="6">
        <f>YEAR(U2061)</f>
        <v/>
      </c>
      <c r="T2061" s="6">
        <f>MONTH(U2061)</f>
        <v/>
      </c>
      <c r="U2061" s="267">
        <f>IFERROR(__xludf.DUMMYFUNCTION("""COMPUTED_VALUE"""),46174.6458333333)</f>
        <v/>
      </c>
      <c r="V2061" s="6">
        <f>IFERROR(__xludf.DUMMYFUNCTION("""COMPUTED_VALUE"""),8788.38)</f>
        <v/>
      </c>
      <c r="Z2061" s="6">
        <f>AA2061&amp;AB2061</f>
        <v/>
      </c>
      <c r="AA2061" s="6">
        <f>YEAR(AC2061)</f>
        <v/>
      </c>
      <c r="AB2061" s="6">
        <f>MONTH(AC2061)</f>
        <v/>
      </c>
      <c r="AC2061" s="267">
        <f>IFERROR(__xludf.DUMMYFUNCTION("""COMPUTED_VALUE"""),45210.9986111111)</f>
        <v/>
      </c>
      <c r="AD2061" s="6">
        <f>IFERROR(__xludf.DUMMYFUNCTION("""COMPUTED_VALUE"""),1338.26)</f>
        <v/>
      </c>
      <c r="AH2061" s="6">
        <f>AI2061&amp;AJ2061</f>
        <v/>
      </c>
      <c r="AI2061" s="6">
        <f>YEAR(AK2061)</f>
        <v/>
      </c>
      <c r="AJ2061" s="6">
        <f>MONTH(AK2061)</f>
        <v/>
      </c>
      <c r="AK2061" s="267">
        <f>IFERROR(__xludf.DUMMYFUNCTION("""COMPUTED_VALUE"""),45154.9986111111)</f>
        <v/>
      </c>
      <c r="AL2061" s="6">
        <f>IFERROR(__xludf.DUMMYFUNCTION("""COMPUTED_VALUE"""),28719.62)</f>
        <v/>
      </c>
      <c r="AP2061" s="6">
        <f>AQ2061&amp;AR2061</f>
        <v/>
      </c>
      <c r="AQ2061" s="6">
        <f>YEAR(AS2061)</f>
        <v/>
      </c>
      <c r="AR2061" s="6">
        <f>MONTH(AS2061)</f>
        <v/>
      </c>
      <c r="AS2061" s="267">
        <f>IFERROR(__xludf.DUMMYFUNCTION("""COMPUTED_VALUE"""),46101.9986111111)</f>
        <v/>
      </c>
      <c r="AT2061" s="6">
        <f>IFERROR(__xludf.DUMMYFUNCTION("""COMPUTED_VALUE"""),4574.9)</f>
        <v/>
      </c>
    </row>
    <row r="2062">
      <c r="B2062" s="6">
        <f>C2062&amp;D2062</f>
        <v/>
      </c>
      <c r="C2062" s="6">
        <f>YEAR(E2062)</f>
        <v/>
      </c>
      <c r="D2062" s="6">
        <f>MONTH(E2062)</f>
        <v/>
      </c>
      <c r="E2062" s="267">
        <f>IFERROR(__xludf.DUMMYFUNCTION("""COMPUTED_VALUE"""),46097.6666666666)</f>
        <v/>
      </c>
      <c r="F2062" s="6">
        <f>IFERROR(__xludf.DUMMYFUNCTION("""COMPUTED_VALUE"""),6699.38)</f>
        <v/>
      </c>
      <c r="J2062" s="6">
        <f>K2062&amp;L2062</f>
        <v/>
      </c>
      <c r="K2062" s="6">
        <f>YEAR(M2062)</f>
        <v/>
      </c>
      <c r="L2062" s="6">
        <f>MONTH(M2062)</f>
        <v/>
      </c>
      <c r="M2062" s="267">
        <f>IFERROR(__xludf.DUMMYFUNCTION("""COMPUTED_VALUE"""),46091.6666666666)</f>
        <v/>
      </c>
      <c r="N2062" s="6">
        <f>IFERROR(__xludf.DUMMYFUNCTION("""COMPUTED_VALUE"""),22697.1)</f>
        <v/>
      </c>
      <c r="R2062" s="6">
        <f>S2062&amp;T2062</f>
        <v/>
      </c>
      <c r="S2062" s="6">
        <f>YEAR(U2062)</f>
        <v/>
      </c>
      <c r="T2062" s="6">
        <f>MONTH(U2062)</f>
        <v/>
      </c>
      <c r="U2062" s="267">
        <f>IFERROR(__xludf.DUMMYFUNCTION("""COMPUTED_VALUE"""),46175.6458333333)</f>
        <v/>
      </c>
      <c r="V2062" s="6">
        <f>IFERROR(__xludf.DUMMYFUNCTION("""COMPUTED_VALUE"""),8801.49)</f>
        <v/>
      </c>
      <c r="Z2062" s="6">
        <f>AA2062&amp;AB2062</f>
        <v/>
      </c>
      <c r="AA2062" s="6">
        <f>YEAR(AC2062)</f>
        <v/>
      </c>
      <c r="AB2062" s="6">
        <f>MONTH(AC2062)</f>
        <v/>
      </c>
      <c r="AC2062" s="267">
        <f>IFERROR(__xludf.DUMMYFUNCTION("""COMPUTED_VALUE"""),45211.9986111111)</f>
        <v/>
      </c>
      <c r="AD2062" s="6">
        <f>IFERROR(__xludf.DUMMYFUNCTION("""COMPUTED_VALUE"""),1348.34)</f>
        <v/>
      </c>
      <c r="AH2062" s="6">
        <f>AI2062&amp;AJ2062</f>
        <v/>
      </c>
      <c r="AI2062" s="6">
        <f>YEAR(AK2062)</f>
        <v/>
      </c>
      <c r="AJ2062" s="6">
        <f>MONTH(AK2062)</f>
        <v/>
      </c>
      <c r="AK2062" s="267">
        <f>IFERROR(__xludf.DUMMYFUNCTION("""COMPUTED_VALUE"""),45155.9986111111)</f>
        <v/>
      </c>
      <c r="AL2062" s="6">
        <f>IFERROR(__xludf.DUMMYFUNCTION("""COMPUTED_VALUE"""),26643.99)</f>
        <v/>
      </c>
      <c r="AP2062" s="6">
        <f>AQ2062&amp;AR2062</f>
        <v/>
      </c>
      <c r="AQ2062" s="6">
        <f>YEAR(AS2062)</f>
        <v/>
      </c>
      <c r="AR2062" s="6">
        <f>MONTH(AS2062)</f>
        <v/>
      </c>
      <c r="AS2062" s="267">
        <f>IFERROR(__xludf.DUMMYFUNCTION("""COMPUTED_VALUE"""),46104.9986111111)</f>
        <v/>
      </c>
      <c r="AT2062" s="6">
        <f>IFERROR(__xludf.DUMMYFUNCTION("""COMPUTED_VALUE"""),4439.5)</f>
        <v/>
      </c>
    </row>
    <row r="2063">
      <c r="B2063" s="6">
        <f>C2063&amp;D2063</f>
        <v/>
      </c>
      <c r="C2063" s="6">
        <f>YEAR(E2063)</f>
        <v/>
      </c>
      <c r="D2063" s="6">
        <f>MONTH(E2063)</f>
        <v/>
      </c>
      <c r="E2063" s="267">
        <f>IFERROR(__xludf.DUMMYFUNCTION("""COMPUTED_VALUE"""),46098.6666666666)</f>
        <v/>
      </c>
      <c r="F2063" s="6">
        <f>IFERROR(__xludf.DUMMYFUNCTION("""COMPUTED_VALUE"""),6716.09)</f>
        <v/>
      </c>
      <c r="J2063" s="6">
        <f>K2063&amp;L2063</f>
        <v/>
      </c>
      <c r="K2063" s="6">
        <f>YEAR(M2063)</f>
        <v/>
      </c>
      <c r="L2063" s="6">
        <f>MONTH(M2063)</f>
        <v/>
      </c>
      <c r="M2063" s="267">
        <f>IFERROR(__xludf.DUMMYFUNCTION("""COMPUTED_VALUE"""),46092.6666666666)</f>
        <v/>
      </c>
      <c r="N2063" s="6">
        <f>IFERROR(__xludf.DUMMYFUNCTION("""COMPUTED_VALUE"""),22716.14)</f>
        <v/>
      </c>
      <c r="R2063" s="6">
        <f>S2063&amp;T2063</f>
        <v/>
      </c>
      <c r="S2063" s="6">
        <f>YEAR(U2063)</f>
        <v/>
      </c>
      <c r="T2063" s="6">
        <f>MONTH(U2063)</f>
        <v/>
      </c>
      <c r="U2063" s="267">
        <f>IFERROR(__xludf.DUMMYFUNCTION("""COMPUTED_VALUE"""),46177.6458333333)</f>
        <v/>
      </c>
      <c r="V2063" s="6">
        <f>IFERROR(__xludf.DUMMYFUNCTION("""COMPUTED_VALUE"""),8639.41)</f>
        <v/>
      </c>
      <c r="Z2063" s="6">
        <f>AA2063&amp;AB2063</f>
        <v/>
      </c>
      <c r="AA2063" s="6">
        <f>YEAR(AC2063)</f>
        <v/>
      </c>
      <c r="AB2063" s="6">
        <f>MONTH(AC2063)</f>
        <v/>
      </c>
      <c r="AC2063" s="267">
        <f>IFERROR(__xludf.DUMMYFUNCTION("""COMPUTED_VALUE"""),45212.9986111111)</f>
        <v/>
      </c>
      <c r="AD2063" s="6">
        <f>IFERROR(__xludf.DUMMYFUNCTION("""COMPUTED_VALUE"""),1352.09)</f>
        <v/>
      </c>
      <c r="AH2063" s="6">
        <f>AI2063&amp;AJ2063</f>
        <v/>
      </c>
      <c r="AI2063" s="6">
        <f>YEAR(AK2063)</f>
        <v/>
      </c>
      <c r="AJ2063" s="6">
        <f>MONTH(AK2063)</f>
        <v/>
      </c>
      <c r="AK2063" s="267">
        <f>IFERROR(__xludf.DUMMYFUNCTION("""COMPUTED_VALUE"""),45156.9986111111)</f>
        <v/>
      </c>
      <c r="AL2063" s="6">
        <f>IFERROR(__xludf.DUMMYFUNCTION("""COMPUTED_VALUE"""),26063.93)</f>
        <v/>
      </c>
      <c r="AP2063" s="6">
        <f>AQ2063&amp;AR2063</f>
        <v/>
      </c>
      <c r="AQ2063" s="6">
        <f>YEAR(AS2063)</f>
        <v/>
      </c>
      <c r="AR2063" s="6">
        <f>MONTH(AS2063)</f>
        <v/>
      </c>
      <c r="AS2063" s="267">
        <f>IFERROR(__xludf.DUMMYFUNCTION("""COMPUTED_VALUE"""),46105.9986111111)</f>
        <v/>
      </c>
      <c r="AT2063" s="6">
        <f>IFERROR(__xludf.DUMMYFUNCTION("""COMPUTED_VALUE"""),4434.1)</f>
        <v/>
      </c>
    </row>
    <row r="2064">
      <c r="B2064" s="6">
        <f>C2064&amp;D2064</f>
        <v/>
      </c>
      <c r="C2064" s="6">
        <f>YEAR(E2064)</f>
        <v/>
      </c>
      <c r="D2064" s="6">
        <f>MONTH(E2064)</f>
        <v/>
      </c>
      <c r="E2064" s="267">
        <f>IFERROR(__xludf.DUMMYFUNCTION("""COMPUTED_VALUE"""),46099.6666666666)</f>
        <v/>
      </c>
      <c r="F2064" s="6">
        <f>IFERROR(__xludf.DUMMYFUNCTION("""COMPUTED_VALUE"""),6624.7)</f>
        <v/>
      </c>
      <c r="J2064" s="6">
        <f>K2064&amp;L2064</f>
        <v/>
      </c>
      <c r="K2064" s="6">
        <f>YEAR(M2064)</f>
        <v/>
      </c>
      <c r="L2064" s="6">
        <f>MONTH(M2064)</f>
        <v/>
      </c>
      <c r="M2064" s="267">
        <f>IFERROR(__xludf.DUMMYFUNCTION("""COMPUTED_VALUE"""),46093.6666666666)</f>
        <v/>
      </c>
      <c r="N2064" s="6">
        <f>IFERROR(__xludf.DUMMYFUNCTION("""COMPUTED_VALUE"""),22311.98)</f>
        <v/>
      </c>
      <c r="R2064" s="6">
        <f>S2064&amp;T2064</f>
        <v/>
      </c>
      <c r="S2064" s="6">
        <f>YEAR(U2064)</f>
        <v/>
      </c>
      <c r="T2064" s="6">
        <f>MONTH(U2064)</f>
        <v/>
      </c>
      <c r="U2064" s="267">
        <f>IFERROR(__xludf.DUMMYFUNCTION("""COMPUTED_VALUE"""),46178.6458333333)</f>
        <v/>
      </c>
      <c r="V2064" s="6">
        <f>IFERROR(__xludf.DUMMYFUNCTION("""COMPUTED_VALUE"""),8160.59)</f>
        <v/>
      </c>
      <c r="Z2064" s="6">
        <f>AA2064&amp;AB2064</f>
        <v/>
      </c>
      <c r="AA2064" s="6">
        <f>YEAR(AC2064)</f>
        <v/>
      </c>
      <c r="AB2064" s="6">
        <f>MONTH(AC2064)</f>
        <v/>
      </c>
      <c r="AC2064" s="267">
        <f>IFERROR(__xludf.DUMMYFUNCTION("""COMPUTED_VALUE"""),45213.9986111111)</f>
        <v/>
      </c>
      <c r="AD2064" s="6">
        <f>IFERROR(__xludf.DUMMYFUNCTION("""COMPUTED_VALUE"""),1352.09)</f>
        <v/>
      </c>
      <c r="AH2064" s="6">
        <f>AI2064&amp;AJ2064</f>
        <v/>
      </c>
      <c r="AI2064" s="6">
        <f>YEAR(AK2064)</f>
        <v/>
      </c>
      <c r="AJ2064" s="6">
        <f>MONTH(AK2064)</f>
        <v/>
      </c>
      <c r="AK2064" s="267">
        <f>IFERROR(__xludf.DUMMYFUNCTION("""COMPUTED_VALUE"""),45157.9986111111)</f>
        <v/>
      </c>
      <c r="AL2064" s="6">
        <f>IFERROR(__xludf.DUMMYFUNCTION("""COMPUTED_VALUE"""),26117.54)</f>
        <v/>
      </c>
      <c r="AP2064" s="6">
        <f>AQ2064&amp;AR2064</f>
        <v/>
      </c>
      <c r="AQ2064" s="6">
        <f>YEAR(AS2064)</f>
        <v/>
      </c>
      <c r="AR2064" s="6">
        <f>MONTH(AS2064)</f>
        <v/>
      </c>
      <c r="AS2064" s="267">
        <f>IFERROR(__xludf.DUMMYFUNCTION("""COMPUTED_VALUE"""),46106.9986111111)</f>
        <v/>
      </c>
      <c r="AT2064" s="6">
        <f>IFERROR(__xludf.DUMMYFUNCTION("""COMPUTED_VALUE"""),4585.5)</f>
        <v/>
      </c>
    </row>
    <row r="2065">
      <c r="B2065" s="6">
        <f>C2065&amp;D2065</f>
        <v/>
      </c>
      <c r="C2065" s="6">
        <f>YEAR(E2065)</f>
        <v/>
      </c>
      <c r="D2065" s="6">
        <f>MONTH(E2065)</f>
        <v/>
      </c>
      <c r="E2065" s="267">
        <f>IFERROR(__xludf.DUMMYFUNCTION("""COMPUTED_VALUE"""),46100.6666666666)</f>
        <v/>
      </c>
      <c r="F2065" s="6">
        <f>IFERROR(__xludf.DUMMYFUNCTION("""COMPUTED_VALUE"""),6606.49)</f>
        <v/>
      </c>
      <c r="J2065" s="6">
        <f>K2065&amp;L2065</f>
        <v/>
      </c>
      <c r="K2065" s="6">
        <f>YEAR(M2065)</f>
        <v/>
      </c>
      <c r="L2065" s="6">
        <f>MONTH(M2065)</f>
        <v/>
      </c>
      <c r="M2065" s="267">
        <f>IFERROR(__xludf.DUMMYFUNCTION("""COMPUTED_VALUE"""),46094.6666666666)</f>
        <v/>
      </c>
      <c r="N2065" s="6">
        <f>IFERROR(__xludf.DUMMYFUNCTION("""COMPUTED_VALUE"""),22105.36)</f>
        <v/>
      </c>
      <c r="R2065" s="6">
        <f>S2065&amp;T2065</f>
        <v/>
      </c>
      <c r="S2065" s="6">
        <f>YEAR(U2065)</f>
        <v/>
      </c>
      <c r="T2065" s="6">
        <f>MONTH(U2065)</f>
        <v/>
      </c>
      <c r="U2065" s="267">
        <f>IFERROR(__xludf.DUMMYFUNCTION("""COMPUTED_VALUE"""),46181.6458333333)</f>
        <v/>
      </c>
      <c r="V2065" s="6">
        <f>IFERROR(__xludf.DUMMYFUNCTION("""COMPUTED_VALUE"""),7484.41)</f>
        <v/>
      </c>
      <c r="Z2065" s="6">
        <f>AA2065&amp;AB2065</f>
        <v/>
      </c>
      <c r="AA2065" s="6">
        <f>YEAR(AC2065)</f>
        <v/>
      </c>
      <c r="AB2065" s="6">
        <f>MONTH(AC2065)</f>
        <v/>
      </c>
      <c r="AC2065" s="267">
        <f>IFERROR(__xludf.DUMMYFUNCTION("""COMPUTED_VALUE"""),45214.9986111111)</f>
        <v/>
      </c>
      <c r="AD2065" s="6">
        <f>IFERROR(__xludf.DUMMYFUNCTION("""COMPUTED_VALUE"""),1352.07)</f>
        <v/>
      </c>
      <c r="AH2065" s="6">
        <f>AI2065&amp;AJ2065</f>
        <v/>
      </c>
      <c r="AI2065" s="6">
        <f>YEAR(AK2065)</f>
        <v/>
      </c>
      <c r="AJ2065" s="6">
        <f>MONTH(AK2065)</f>
        <v/>
      </c>
      <c r="AK2065" s="267">
        <f>IFERROR(__xludf.DUMMYFUNCTION("""COMPUTED_VALUE"""),45158.9986111111)</f>
        <v/>
      </c>
      <c r="AL2065" s="6">
        <f>IFERROR(__xludf.DUMMYFUNCTION("""COMPUTED_VALUE"""),26203.13)</f>
        <v/>
      </c>
      <c r="AP2065" s="6">
        <f>AQ2065&amp;AR2065</f>
        <v/>
      </c>
      <c r="AQ2065" s="6">
        <f>YEAR(AS2065)</f>
        <v/>
      </c>
      <c r="AR2065" s="6">
        <f>MONTH(AS2065)</f>
        <v/>
      </c>
      <c r="AS2065" s="267">
        <f>IFERROR(__xludf.DUMMYFUNCTION("""COMPUTED_VALUE"""),46107.9986111111)</f>
        <v/>
      </c>
      <c r="AT2065" s="6">
        <f>IFERROR(__xludf.DUMMYFUNCTION("""COMPUTED_VALUE"""),4409)</f>
        <v/>
      </c>
    </row>
    <row r="2066">
      <c r="B2066" s="6">
        <f>C2066&amp;D2066</f>
        <v/>
      </c>
      <c r="C2066" s="6">
        <f>YEAR(E2066)</f>
        <v/>
      </c>
      <c r="D2066" s="6">
        <f>MONTH(E2066)</f>
        <v/>
      </c>
      <c r="E2066" s="267">
        <f>IFERROR(__xludf.DUMMYFUNCTION("""COMPUTED_VALUE"""),46101.6666666666)</f>
        <v/>
      </c>
      <c r="F2066" s="6">
        <f>IFERROR(__xludf.DUMMYFUNCTION("""COMPUTED_VALUE"""),6506.48)</f>
        <v/>
      </c>
      <c r="J2066" s="6">
        <f>K2066&amp;L2066</f>
        <v/>
      </c>
      <c r="K2066" s="6">
        <f>YEAR(M2066)</f>
        <v/>
      </c>
      <c r="L2066" s="6">
        <f>MONTH(M2066)</f>
        <v/>
      </c>
      <c r="M2066" s="267">
        <f>IFERROR(__xludf.DUMMYFUNCTION("""COMPUTED_VALUE"""),46097.6666666666)</f>
        <v/>
      </c>
      <c r="N2066" s="6">
        <f>IFERROR(__xludf.DUMMYFUNCTION("""COMPUTED_VALUE"""),22374.18)</f>
        <v/>
      </c>
      <c r="R2066" s="6">
        <f>S2066&amp;T2066</f>
        <v/>
      </c>
      <c r="S2066" s="6">
        <f>YEAR(U2066)</f>
        <v/>
      </c>
      <c r="T2066" s="6">
        <f>MONTH(U2066)</f>
        <v/>
      </c>
      <c r="U2066" s="267">
        <f>IFERROR(__xludf.DUMMYFUNCTION("""COMPUTED_VALUE"""),46182.6458333333)</f>
        <v/>
      </c>
      <c r="V2066" s="6">
        <f>IFERROR(__xludf.DUMMYFUNCTION("""COMPUTED_VALUE"""),8096.93)</f>
        <v/>
      </c>
      <c r="Z2066" s="6">
        <f>AA2066&amp;AB2066</f>
        <v/>
      </c>
      <c r="AA2066" s="6">
        <f>YEAR(AC2066)</f>
        <v/>
      </c>
      <c r="AB2066" s="6">
        <f>MONTH(AC2066)</f>
        <v/>
      </c>
      <c r="AC2066" s="267">
        <f>IFERROR(__xludf.DUMMYFUNCTION("""COMPUTED_VALUE"""),45215.9986111111)</f>
        <v/>
      </c>
      <c r="AD2066" s="6">
        <f>IFERROR(__xludf.DUMMYFUNCTION("""COMPUTED_VALUE"""),1347.76)</f>
        <v/>
      </c>
      <c r="AH2066" s="6">
        <f>AI2066&amp;AJ2066</f>
        <v/>
      </c>
      <c r="AI2066" s="6">
        <f>YEAR(AK2066)</f>
        <v/>
      </c>
      <c r="AJ2066" s="6">
        <f>MONTH(AK2066)</f>
        <v/>
      </c>
      <c r="AK2066" s="267">
        <f>IFERROR(__xludf.DUMMYFUNCTION("""COMPUTED_VALUE"""),45159.9986111111)</f>
        <v/>
      </c>
      <c r="AL2066" s="6">
        <f>IFERROR(__xludf.DUMMYFUNCTION("""COMPUTED_VALUE"""),26130.78)</f>
        <v/>
      </c>
      <c r="AP2066" s="6">
        <f>AQ2066&amp;AR2066</f>
        <v/>
      </c>
      <c r="AQ2066" s="6">
        <f>YEAR(AS2066)</f>
        <v/>
      </c>
      <c r="AR2066" s="6">
        <f>MONTH(AS2066)</f>
        <v/>
      </c>
      <c r="AS2066" s="267">
        <f>IFERROR(__xludf.DUMMYFUNCTION("""COMPUTED_VALUE"""),46108.9986111111)</f>
        <v/>
      </c>
      <c r="AT2066" s="6">
        <f>IFERROR(__xludf.DUMMYFUNCTION("""COMPUTED_VALUE"""),4524.3)</f>
        <v/>
      </c>
    </row>
    <row r="2067">
      <c r="B2067" s="6">
        <f>C2067&amp;D2067</f>
        <v/>
      </c>
      <c r="C2067" s="6">
        <f>YEAR(E2067)</f>
        <v/>
      </c>
      <c r="D2067" s="6">
        <f>MONTH(E2067)</f>
        <v/>
      </c>
      <c r="E2067" s="267">
        <f>IFERROR(__xludf.DUMMYFUNCTION("""COMPUTED_VALUE"""),46104.6666666666)</f>
        <v/>
      </c>
      <c r="F2067" s="6">
        <f>IFERROR(__xludf.DUMMYFUNCTION("""COMPUTED_VALUE"""),6581)</f>
        <v/>
      </c>
      <c r="J2067" s="6">
        <f>K2067&amp;L2067</f>
        <v/>
      </c>
      <c r="K2067" s="6">
        <f>YEAR(M2067)</f>
        <v/>
      </c>
      <c r="L2067" s="6">
        <f>MONTH(M2067)</f>
        <v/>
      </c>
      <c r="M2067" s="267">
        <f>IFERROR(__xludf.DUMMYFUNCTION("""COMPUTED_VALUE"""),46098.6666666666)</f>
        <v/>
      </c>
      <c r="N2067" s="6">
        <f>IFERROR(__xludf.DUMMYFUNCTION("""COMPUTED_VALUE"""),22479.53)</f>
        <v/>
      </c>
      <c r="R2067" s="6">
        <f>S2067&amp;T2067</f>
        <v/>
      </c>
      <c r="S2067" s="6">
        <f>YEAR(U2067)</f>
        <v/>
      </c>
      <c r="T2067" s="6">
        <f>MONTH(U2067)</f>
        <v/>
      </c>
      <c r="U2067" s="267">
        <f>IFERROR(__xludf.DUMMYFUNCTION("""COMPUTED_VALUE"""),46183.6458333333)</f>
        <v/>
      </c>
      <c r="V2067" s="6">
        <f>IFERROR(__xludf.DUMMYFUNCTION("""COMPUTED_VALUE"""),7730.82)</f>
        <v/>
      </c>
      <c r="Z2067" s="6">
        <f>AA2067&amp;AB2067</f>
        <v/>
      </c>
      <c r="AA2067" s="6">
        <f>YEAR(AC2067)</f>
        <v/>
      </c>
      <c r="AB2067" s="6">
        <f>MONTH(AC2067)</f>
        <v/>
      </c>
      <c r="AC2067" s="267">
        <f>IFERROR(__xludf.DUMMYFUNCTION("""COMPUTED_VALUE"""),45216.9986111111)</f>
        <v/>
      </c>
      <c r="AD2067" s="6">
        <f>IFERROR(__xludf.DUMMYFUNCTION("""COMPUTED_VALUE"""),1352.99)</f>
        <v/>
      </c>
      <c r="AH2067" s="6">
        <f>AI2067&amp;AJ2067</f>
        <v/>
      </c>
      <c r="AI2067" s="6">
        <f>YEAR(AK2067)</f>
        <v/>
      </c>
      <c r="AJ2067" s="6">
        <f>MONTH(AK2067)</f>
        <v/>
      </c>
      <c r="AK2067" s="267">
        <f>IFERROR(__xludf.DUMMYFUNCTION("""COMPUTED_VALUE"""),45160.9986111111)</f>
        <v/>
      </c>
      <c r="AL2067" s="6">
        <f>IFERROR(__xludf.DUMMYFUNCTION("""COMPUTED_VALUE"""),26043.79)</f>
        <v/>
      </c>
      <c r="AP2067" s="6">
        <f>AQ2067&amp;AR2067</f>
        <v/>
      </c>
      <c r="AQ2067" s="6">
        <f>YEAR(AS2067)</f>
        <v/>
      </c>
      <c r="AR2067" s="6">
        <f>MONTH(AS2067)</f>
        <v/>
      </c>
      <c r="AS2067" s="267">
        <f>IFERROR(__xludf.DUMMYFUNCTION("""COMPUTED_VALUE"""),46111.9986111111)</f>
        <v/>
      </c>
      <c r="AT2067" s="6">
        <f>IFERROR(__xludf.DUMMYFUNCTION("""COMPUTED_VALUE"""),4557.5)</f>
        <v/>
      </c>
    </row>
    <row r="2068">
      <c r="B2068" s="6">
        <f>C2068&amp;D2068</f>
        <v/>
      </c>
      <c r="C2068" s="6">
        <f>YEAR(E2068)</f>
        <v/>
      </c>
      <c r="D2068" s="6">
        <f>MONTH(E2068)</f>
        <v/>
      </c>
      <c r="E2068" s="267">
        <f>IFERROR(__xludf.DUMMYFUNCTION("""COMPUTED_VALUE"""),46105.6666666666)</f>
        <v/>
      </c>
      <c r="F2068" s="6">
        <f>IFERROR(__xludf.DUMMYFUNCTION("""COMPUTED_VALUE"""),6556.37)</f>
        <v/>
      </c>
      <c r="J2068" s="6">
        <f>K2068&amp;L2068</f>
        <v/>
      </c>
      <c r="K2068" s="6">
        <f>YEAR(M2068)</f>
        <v/>
      </c>
      <c r="L2068" s="6">
        <f>MONTH(M2068)</f>
        <v/>
      </c>
      <c r="M2068" s="267">
        <f>IFERROR(__xludf.DUMMYFUNCTION("""COMPUTED_VALUE"""),46099.6666666666)</f>
        <v/>
      </c>
      <c r="N2068" s="6">
        <f>IFERROR(__xludf.DUMMYFUNCTION("""COMPUTED_VALUE"""),22152.42)</f>
        <v/>
      </c>
      <c r="R2068" s="6">
        <f>S2068&amp;T2068</f>
        <v/>
      </c>
      <c r="S2068" s="6">
        <f>YEAR(U2068)</f>
        <v/>
      </c>
      <c r="T2068" s="6">
        <f>MONTH(U2068)</f>
        <v/>
      </c>
      <c r="U2068" s="267">
        <f>IFERROR(__xludf.DUMMYFUNCTION("""COMPUTED_VALUE"""),46184.6458333333)</f>
        <v/>
      </c>
      <c r="V2068" s="6">
        <f>IFERROR(__xludf.DUMMYFUNCTION("""COMPUTED_VALUE"""),7763.95)</f>
        <v/>
      </c>
      <c r="Z2068" s="6">
        <f>AA2068&amp;AB2068</f>
        <v/>
      </c>
      <c r="AA2068" s="6">
        <f>YEAR(AC2068)</f>
        <v/>
      </c>
      <c r="AB2068" s="6">
        <f>MONTH(AC2068)</f>
        <v/>
      </c>
      <c r="AC2068" s="267">
        <f>IFERROR(__xludf.DUMMYFUNCTION("""COMPUTED_VALUE"""),45217.9986111111)</f>
        <v/>
      </c>
      <c r="AD2068" s="6">
        <f>IFERROR(__xludf.DUMMYFUNCTION("""COMPUTED_VALUE"""),1354.56)</f>
        <v/>
      </c>
      <c r="AH2068" s="6">
        <f>AI2068&amp;AJ2068</f>
        <v/>
      </c>
      <c r="AI2068" s="6">
        <f>YEAR(AK2068)</f>
        <v/>
      </c>
      <c r="AJ2068" s="6">
        <f>MONTH(AK2068)</f>
        <v/>
      </c>
      <c r="AK2068" s="267">
        <f>IFERROR(__xludf.DUMMYFUNCTION("""COMPUTED_VALUE"""),45161.9986111111)</f>
        <v/>
      </c>
      <c r="AL2068" s="6">
        <f>IFERROR(__xludf.DUMMYFUNCTION("""COMPUTED_VALUE"""),26435.17)</f>
        <v/>
      </c>
      <c r="AP2068" s="6">
        <f>AQ2068&amp;AR2068</f>
        <v/>
      </c>
      <c r="AQ2068" s="6">
        <f>YEAR(AS2068)</f>
        <v/>
      </c>
      <c r="AR2068" s="6">
        <f>MONTH(AS2068)</f>
        <v/>
      </c>
      <c r="AS2068" s="267">
        <f>IFERROR(__xludf.DUMMYFUNCTION("""COMPUTED_VALUE"""),46112.9986111111)</f>
        <v/>
      </c>
      <c r="AT2068" s="6">
        <f>IFERROR(__xludf.DUMMYFUNCTION("""COMPUTED_VALUE"""),4678.6)</f>
        <v/>
      </c>
    </row>
    <row r="2069">
      <c r="B2069" s="6">
        <f>C2069&amp;D2069</f>
        <v/>
      </c>
      <c r="C2069" s="6">
        <f>YEAR(E2069)</f>
        <v/>
      </c>
      <c r="D2069" s="6">
        <f>MONTH(E2069)</f>
        <v/>
      </c>
      <c r="E2069" s="267">
        <f>IFERROR(__xludf.DUMMYFUNCTION("""COMPUTED_VALUE"""),46106.6666666666)</f>
        <v/>
      </c>
      <c r="F2069" s="6">
        <f>IFERROR(__xludf.DUMMYFUNCTION("""COMPUTED_VALUE"""),6591.9)</f>
        <v/>
      </c>
      <c r="J2069" s="6">
        <f>K2069&amp;L2069</f>
        <v/>
      </c>
      <c r="K2069" s="6">
        <f>YEAR(M2069)</f>
        <v/>
      </c>
      <c r="L2069" s="6">
        <f>MONTH(M2069)</f>
        <v/>
      </c>
      <c r="M2069" s="267">
        <f>IFERROR(__xludf.DUMMYFUNCTION("""COMPUTED_VALUE"""),46100.6666666666)</f>
        <v/>
      </c>
      <c r="N2069" s="6">
        <f>IFERROR(__xludf.DUMMYFUNCTION("""COMPUTED_VALUE"""),22090.69)</f>
        <v/>
      </c>
      <c r="R2069" s="6">
        <f>S2069&amp;T2069</f>
        <v/>
      </c>
      <c r="S2069" s="6">
        <f>YEAR(U2069)</f>
        <v/>
      </c>
      <c r="T2069" s="6">
        <f>MONTH(U2069)</f>
        <v/>
      </c>
      <c r="U2069" s="267">
        <f>IFERROR(__xludf.DUMMYFUNCTION("""COMPUTED_VALUE"""),46185.6458333333)</f>
        <v/>
      </c>
      <c r="V2069" s="6">
        <f>IFERROR(__xludf.DUMMYFUNCTION("""COMPUTED_VALUE"""),8123.62)</f>
        <v/>
      </c>
      <c r="Z2069" s="6">
        <f>AA2069&amp;AB2069</f>
        <v/>
      </c>
      <c r="AA2069" s="6">
        <f>YEAR(AC2069)</f>
        <v/>
      </c>
      <c r="AB2069" s="6">
        <f>MONTH(AC2069)</f>
        <v/>
      </c>
      <c r="AC2069" s="267">
        <f>IFERROR(__xludf.DUMMYFUNCTION("""COMPUTED_VALUE"""),45218.9986111111)</f>
        <v/>
      </c>
      <c r="AD2069" s="6">
        <f>IFERROR(__xludf.DUMMYFUNCTION("""COMPUTED_VALUE"""),1356.23)</f>
        <v/>
      </c>
      <c r="AH2069" s="6">
        <f>AI2069&amp;AJ2069</f>
        <v/>
      </c>
      <c r="AI2069" s="6">
        <f>YEAR(AK2069)</f>
        <v/>
      </c>
      <c r="AJ2069" s="6">
        <f>MONTH(AK2069)</f>
        <v/>
      </c>
      <c r="AK2069" s="267">
        <f>IFERROR(__xludf.DUMMYFUNCTION("""COMPUTED_VALUE"""),45162.9986111111)</f>
        <v/>
      </c>
      <c r="AL2069" s="6">
        <f>IFERROR(__xludf.DUMMYFUNCTION("""COMPUTED_VALUE"""),26173.38)</f>
        <v/>
      </c>
      <c r="AP2069" s="6">
        <f>AQ2069&amp;AR2069</f>
        <v/>
      </c>
      <c r="AQ2069" s="6">
        <f>YEAR(AS2069)</f>
        <v/>
      </c>
      <c r="AR2069" s="6">
        <f>MONTH(AS2069)</f>
        <v/>
      </c>
      <c r="AS2069" s="267">
        <f>IFERROR(__xludf.DUMMYFUNCTION("""COMPUTED_VALUE"""),46113.9986111111)</f>
        <v/>
      </c>
      <c r="AT2069" s="6">
        <f>IFERROR(__xludf.DUMMYFUNCTION("""COMPUTED_VALUE"""),4813.1)</f>
        <v/>
      </c>
    </row>
    <row r="2070">
      <c r="B2070" s="6">
        <f>C2070&amp;D2070</f>
        <v/>
      </c>
      <c r="C2070" s="6">
        <f>YEAR(E2070)</f>
        <v/>
      </c>
      <c r="D2070" s="6">
        <f>MONTH(E2070)</f>
        <v/>
      </c>
      <c r="E2070" s="267">
        <f>IFERROR(__xludf.DUMMYFUNCTION("""COMPUTED_VALUE"""),46107.6666666666)</f>
        <v/>
      </c>
      <c r="F2070" s="6">
        <f>IFERROR(__xludf.DUMMYFUNCTION("""COMPUTED_VALUE"""),6477.16)</f>
        <v/>
      </c>
      <c r="J2070" s="6">
        <f>K2070&amp;L2070</f>
        <v/>
      </c>
      <c r="K2070" s="6">
        <f>YEAR(M2070)</f>
        <v/>
      </c>
      <c r="L2070" s="6">
        <f>MONTH(M2070)</f>
        <v/>
      </c>
      <c r="M2070" s="267">
        <f>IFERROR(__xludf.DUMMYFUNCTION("""COMPUTED_VALUE"""),46101.6666666666)</f>
        <v/>
      </c>
      <c r="N2070" s="6">
        <f>IFERROR(__xludf.DUMMYFUNCTION("""COMPUTED_VALUE"""),21647.61)</f>
        <v/>
      </c>
      <c r="R2070" s="6">
        <f>S2070&amp;T2070</f>
        <v/>
      </c>
      <c r="S2070" s="6">
        <f>YEAR(U2070)</f>
        <v/>
      </c>
      <c r="T2070" s="6">
        <f>MONTH(U2070)</f>
        <v/>
      </c>
      <c r="U2070" s="267">
        <f>IFERROR(__xludf.DUMMYFUNCTION("""COMPUTED_VALUE"""),46188.6458333333)</f>
        <v/>
      </c>
      <c r="V2070" s="6">
        <f>IFERROR(__xludf.DUMMYFUNCTION("""COMPUTED_VALUE"""),8545.98)</f>
        <v/>
      </c>
      <c r="Z2070" s="6">
        <f>AA2070&amp;AB2070</f>
        <v/>
      </c>
      <c r="AA2070" s="6">
        <f>YEAR(AC2070)</f>
        <v/>
      </c>
      <c r="AB2070" s="6">
        <f>MONTH(AC2070)</f>
        <v/>
      </c>
      <c r="AC2070" s="267">
        <f>IFERROR(__xludf.DUMMYFUNCTION("""COMPUTED_VALUE"""),45219.9986111111)</f>
        <v/>
      </c>
      <c r="AD2070" s="6">
        <f>IFERROR(__xludf.DUMMYFUNCTION("""COMPUTED_VALUE"""),1349.33)</f>
        <v/>
      </c>
      <c r="AH2070" s="6">
        <f>AI2070&amp;AJ2070</f>
        <v/>
      </c>
      <c r="AI2070" s="6">
        <f>YEAR(AK2070)</f>
        <v/>
      </c>
      <c r="AJ2070" s="6">
        <f>MONTH(AK2070)</f>
        <v/>
      </c>
      <c r="AK2070" s="267">
        <f>IFERROR(__xludf.DUMMYFUNCTION("""COMPUTED_VALUE"""),45163.9986111111)</f>
        <v/>
      </c>
      <c r="AL2070" s="6">
        <f>IFERROR(__xludf.DUMMYFUNCTION("""COMPUTED_VALUE"""),26054.19)</f>
        <v/>
      </c>
      <c r="AP2070" s="6">
        <f>AQ2070&amp;AR2070</f>
        <v/>
      </c>
      <c r="AQ2070" s="6">
        <f>YEAR(AS2070)</f>
        <v/>
      </c>
      <c r="AR2070" s="6">
        <f>MONTH(AS2070)</f>
        <v/>
      </c>
      <c r="AS2070" s="267">
        <f>IFERROR(__xludf.DUMMYFUNCTION("""COMPUTED_VALUE"""),46114.9986111111)</f>
        <v/>
      </c>
      <c r="AT2070" s="6">
        <f>IFERROR(__xludf.DUMMYFUNCTION("""COMPUTED_VALUE"""),4679.7)</f>
        <v/>
      </c>
    </row>
    <row r="2071">
      <c r="B2071" s="6">
        <f>C2071&amp;D2071</f>
        <v/>
      </c>
      <c r="C2071" s="6">
        <f>YEAR(E2071)</f>
        <v/>
      </c>
      <c r="D2071" s="6">
        <f>MONTH(E2071)</f>
        <v/>
      </c>
      <c r="E2071" s="267">
        <f>IFERROR(__xludf.DUMMYFUNCTION("""COMPUTED_VALUE"""),46108.6666666666)</f>
        <v/>
      </c>
      <c r="F2071" s="6">
        <f>IFERROR(__xludf.DUMMYFUNCTION("""COMPUTED_VALUE"""),6368.85)</f>
        <v/>
      </c>
      <c r="J2071" s="6">
        <f>K2071&amp;L2071</f>
        <v/>
      </c>
      <c r="K2071" s="6">
        <f>YEAR(M2071)</f>
        <v/>
      </c>
      <c r="L2071" s="6">
        <f>MONTH(M2071)</f>
        <v/>
      </c>
      <c r="M2071" s="267">
        <f>IFERROR(__xludf.DUMMYFUNCTION("""COMPUTED_VALUE"""),46104.6666666666)</f>
        <v/>
      </c>
      <c r="N2071" s="6">
        <f>IFERROR(__xludf.DUMMYFUNCTION("""COMPUTED_VALUE"""),21946.76)</f>
        <v/>
      </c>
      <c r="R2071" s="6">
        <f>S2071&amp;T2071</f>
        <v/>
      </c>
      <c r="S2071" s="6">
        <f>YEAR(U2071)</f>
        <v/>
      </c>
      <c r="T2071" s="6">
        <f>MONTH(U2071)</f>
        <v/>
      </c>
      <c r="U2071" s="267">
        <f>IFERROR(__xludf.DUMMYFUNCTION("""COMPUTED_VALUE"""),46189.6458333333)</f>
        <v/>
      </c>
      <c r="V2071" s="6">
        <f>IFERROR(__xludf.DUMMYFUNCTION("""COMPUTED_VALUE"""),8726.6)</f>
        <v/>
      </c>
      <c r="Z2071" s="6">
        <f>AA2071&amp;AB2071</f>
        <v/>
      </c>
      <c r="AA2071" s="6">
        <f>YEAR(AC2071)</f>
        <v/>
      </c>
      <c r="AB2071" s="6">
        <f>MONTH(AC2071)</f>
        <v/>
      </c>
      <c r="AC2071" s="267">
        <f>IFERROR(__xludf.DUMMYFUNCTION("""COMPUTED_VALUE"""),45220.9986111111)</f>
        <v/>
      </c>
      <c r="AD2071" s="6">
        <f>IFERROR(__xludf.DUMMYFUNCTION("""COMPUTED_VALUE"""),1349.33)</f>
        <v/>
      </c>
      <c r="AH2071" s="6">
        <f>AI2071&amp;AJ2071</f>
        <v/>
      </c>
      <c r="AI2071" s="6">
        <f>YEAR(AK2071)</f>
        <v/>
      </c>
      <c r="AJ2071" s="6">
        <f>MONTH(AK2071)</f>
        <v/>
      </c>
      <c r="AK2071" s="267">
        <f>IFERROR(__xludf.DUMMYFUNCTION("""COMPUTED_VALUE"""),45164.9986111111)</f>
        <v/>
      </c>
      <c r="AL2071" s="6">
        <f>IFERROR(__xludf.DUMMYFUNCTION("""COMPUTED_VALUE"""),26020.23)</f>
        <v/>
      </c>
      <c r="AP2071" s="6">
        <f>AQ2071&amp;AR2071</f>
        <v/>
      </c>
      <c r="AQ2071" s="6">
        <f>YEAR(AS2071)</f>
        <v/>
      </c>
      <c r="AR2071" s="6">
        <f>MONTH(AS2071)</f>
        <v/>
      </c>
      <c r="AS2071" s="267">
        <f>IFERROR(__xludf.DUMMYFUNCTION("""COMPUTED_VALUE"""),46118.9986111111)</f>
        <v/>
      </c>
      <c r="AT2071" s="6">
        <f>IFERROR(__xludf.DUMMYFUNCTION("""COMPUTED_VALUE"""),4684.7)</f>
        <v/>
      </c>
    </row>
    <row r="2072">
      <c r="B2072" s="6">
        <f>C2072&amp;D2072</f>
        <v/>
      </c>
      <c r="C2072" s="6">
        <f>YEAR(E2072)</f>
        <v/>
      </c>
      <c r="D2072" s="6">
        <f>MONTH(E2072)</f>
        <v/>
      </c>
      <c r="E2072" s="267">
        <f>IFERROR(__xludf.DUMMYFUNCTION("""COMPUTED_VALUE"""),46111.6666666666)</f>
        <v/>
      </c>
      <c r="F2072" s="6">
        <f>IFERROR(__xludf.DUMMYFUNCTION("""COMPUTED_VALUE"""),6343.72)</f>
        <v/>
      </c>
      <c r="J2072" s="6">
        <f>K2072&amp;L2072</f>
        <v/>
      </c>
      <c r="K2072" s="6">
        <f>YEAR(M2072)</f>
        <v/>
      </c>
      <c r="L2072" s="6">
        <f>MONTH(M2072)</f>
        <v/>
      </c>
      <c r="M2072" s="267">
        <f>IFERROR(__xludf.DUMMYFUNCTION("""COMPUTED_VALUE"""),46105.6666666666)</f>
        <v/>
      </c>
      <c r="N2072" s="6">
        <f>IFERROR(__xludf.DUMMYFUNCTION("""COMPUTED_VALUE"""),21761.89)</f>
        <v/>
      </c>
      <c r="R2072" s="6">
        <f>S2072&amp;T2072</f>
        <v/>
      </c>
      <c r="S2072" s="6">
        <f>YEAR(U2072)</f>
        <v/>
      </c>
      <c r="T2072" s="6">
        <f>MONTH(U2072)</f>
        <v/>
      </c>
      <c r="U2072" s="267">
        <f>IFERROR(__xludf.DUMMYFUNCTION("""COMPUTED_VALUE"""),46190.6458333333)</f>
        <v/>
      </c>
      <c r="V2072" s="6">
        <f>IFERROR(__xludf.DUMMYFUNCTION("""COMPUTED_VALUE"""),8864.24)</f>
        <v/>
      </c>
      <c r="Z2072" s="6">
        <f>AA2072&amp;AB2072</f>
        <v/>
      </c>
      <c r="AA2072" s="6">
        <f>YEAR(AC2072)</f>
        <v/>
      </c>
      <c r="AB2072" s="6">
        <f>MONTH(AC2072)</f>
        <v/>
      </c>
      <c r="AC2072" s="267">
        <f>IFERROR(__xludf.DUMMYFUNCTION("""COMPUTED_VALUE"""),45221.9986111111)</f>
        <v/>
      </c>
      <c r="AD2072" s="6">
        <f>IFERROR(__xludf.DUMMYFUNCTION("""COMPUTED_VALUE"""),1349.34)</f>
        <v/>
      </c>
      <c r="AH2072" s="6">
        <f>AI2072&amp;AJ2072</f>
        <v/>
      </c>
      <c r="AI2072" s="6">
        <f>YEAR(AK2072)</f>
        <v/>
      </c>
      <c r="AJ2072" s="6">
        <f>MONTH(AK2072)</f>
        <v/>
      </c>
      <c r="AK2072" s="267">
        <f>IFERROR(__xludf.DUMMYFUNCTION("""COMPUTED_VALUE"""),45165.9986111111)</f>
        <v/>
      </c>
      <c r="AL2072" s="6">
        <f>IFERROR(__xludf.DUMMYFUNCTION("""COMPUTED_VALUE"""),26099.84)</f>
        <v/>
      </c>
      <c r="AP2072" s="6">
        <f>AQ2072&amp;AR2072</f>
        <v/>
      </c>
      <c r="AQ2072" s="6">
        <f>YEAR(AS2072)</f>
        <v/>
      </c>
      <c r="AR2072" s="6">
        <f>MONTH(AS2072)</f>
        <v/>
      </c>
      <c r="AS2072" s="267">
        <f>IFERROR(__xludf.DUMMYFUNCTION("""COMPUTED_VALUE"""),46119.9986111111)</f>
        <v/>
      </c>
      <c r="AT2072" s="6">
        <f>IFERROR(__xludf.DUMMYFUNCTION("""COMPUTED_VALUE"""),4684.7)</f>
        <v/>
      </c>
    </row>
    <row r="2073">
      <c r="B2073" s="6">
        <f>C2073&amp;D2073</f>
        <v/>
      </c>
      <c r="C2073" s="6">
        <f>YEAR(E2073)</f>
        <v/>
      </c>
      <c r="D2073" s="6">
        <f>MONTH(E2073)</f>
        <v/>
      </c>
      <c r="E2073" s="267">
        <f>IFERROR(__xludf.DUMMYFUNCTION("""COMPUTED_VALUE"""),46112.6666666666)</f>
        <v/>
      </c>
      <c r="F2073" s="6">
        <f>IFERROR(__xludf.DUMMYFUNCTION("""COMPUTED_VALUE"""),6528.52)</f>
        <v/>
      </c>
      <c r="J2073" s="6">
        <f>K2073&amp;L2073</f>
        <v/>
      </c>
      <c r="K2073" s="6">
        <f>YEAR(M2073)</f>
        <v/>
      </c>
      <c r="L2073" s="6">
        <f>MONTH(M2073)</f>
        <v/>
      </c>
      <c r="M2073" s="267">
        <f>IFERROR(__xludf.DUMMYFUNCTION("""COMPUTED_VALUE"""),46106.6666666666)</f>
        <v/>
      </c>
      <c r="N2073" s="6">
        <f>IFERROR(__xludf.DUMMYFUNCTION("""COMPUTED_VALUE"""),21929.83)</f>
        <v/>
      </c>
      <c r="R2073" s="6">
        <f>S2073&amp;T2073</f>
        <v/>
      </c>
      <c r="S2073" s="6">
        <f>YEAR(U2073)</f>
        <v/>
      </c>
      <c r="T2073" s="6">
        <f>MONTH(U2073)</f>
        <v/>
      </c>
      <c r="U2073" s="267">
        <f>IFERROR(__xludf.DUMMYFUNCTION("""COMPUTED_VALUE"""),46191.6458333333)</f>
        <v/>
      </c>
      <c r="V2073" s="6">
        <f>IFERROR(__xludf.DUMMYFUNCTION("""COMPUTED_VALUE"""),9063.84)</f>
        <v/>
      </c>
      <c r="Z2073" s="6">
        <f>AA2073&amp;AB2073</f>
        <v/>
      </c>
      <c r="AA2073" s="6">
        <f>YEAR(AC2073)</f>
        <v/>
      </c>
      <c r="AB2073" s="6">
        <f>MONTH(AC2073)</f>
        <v/>
      </c>
      <c r="AC2073" s="267">
        <f>IFERROR(__xludf.DUMMYFUNCTION("""COMPUTED_VALUE"""),45222.9986111111)</f>
        <v/>
      </c>
      <c r="AD2073" s="6">
        <f>IFERROR(__xludf.DUMMYFUNCTION("""COMPUTED_VALUE"""),1334.44)</f>
        <v/>
      </c>
      <c r="AH2073" s="6">
        <f>AI2073&amp;AJ2073</f>
        <v/>
      </c>
      <c r="AI2073" s="6">
        <f>YEAR(AK2073)</f>
        <v/>
      </c>
      <c r="AJ2073" s="6">
        <f>MONTH(AK2073)</f>
        <v/>
      </c>
      <c r="AK2073" s="267">
        <f>IFERROR(__xludf.DUMMYFUNCTION("""COMPUTED_VALUE"""),45166.9986111111)</f>
        <v/>
      </c>
      <c r="AL2073" s="6">
        <f>IFERROR(__xludf.DUMMYFUNCTION("""COMPUTED_VALUE"""),26108.12)</f>
        <v/>
      </c>
      <c r="AP2073" s="6">
        <f>AQ2073&amp;AR2073</f>
        <v/>
      </c>
      <c r="AQ2073" s="6">
        <f>YEAR(AS2073)</f>
        <v/>
      </c>
      <c r="AR2073" s="6">
        <f>MONTH(AS2073)</f>
        <v/>
      </c>
      <c r="AS2073" s="267">
        <f>IFERROR(__xludf.DUMMYFUNCTION("""COMPUTED_VALUE"""),46120.9986111111)</f>
        <v/>
      </c>
      <c r="AT2073" s="6">
        <f>IFERROR(__xludf.DUMMYFUNCTION("""COMPUTED_VALUE"""),4777.2)</f>
        <v/>
      </c>
    </row>
    <row r="2074">
      <c r="B2074" s="6">
        <f>C2074&amp;D2074</f>
        <v/>
      </c>
      <c r="C2074" s="6">
        <f>YEAR(E2074)</f>
        <v/>
      </c>
      <c r="D2074" s="6">
        <f>MONTH(E2074)</f>
        <v/>
      </c>
      <c r="E2074" s="267">
        <f>IFERROR(__xludf.DUMMYFUNCTION("""COMPUTED_VALUE"""),46113.6666666666)</f>
        <v/>
      </c>
      <c r="F2074" s="6">
        <f>IFERROR(__xludf.DUMMYFUNCTION("""COMPUTED_VALUE"""),6575.32)</f>
        <v/>
      </c>
      <c r="J2074" s="6">
        <f>K2074&amp;L2074</f>
        <v/>
      </c>
      <c r="K2074" s="6">
        <f>YEAR(M2074)</f>
        <v/>
      </c>
      <c r="L2074" s="6">
        <f>MONTH(M2074)</f>
        <v/>
      </c>
      <c r="M2074" s="267">
        <f>IFERROR(__xludf.DUMMYFUNCTION("""COMPUTED_VALUE"""),46107.6666666666)</f>
        <v/>
      </c>
      <c r="N2074" s="6">
        <f>IFERROR(__xludf.DUMMYFUNCTION("""COMPUTED_VALUE"""),21408.08)</f>
        <v/>
      </c>
      <c r="R2074" s="6">
        <f>S2074&amp;T2074</f>
        <v/>
      </c>
      <c r="S2074" s="6">
        <f>YEAR(U2074)</f>
        <v/>
      </c>
      <c r="T2074" s="6">
        <f>MONTH(U2074)</f>
        <v/>
      </c>
      <c r="U2074" s="267">
        <f>IFERROR(__xludf.DUMMYFUNCTION("""COMPUTED_VALUE"""),46192.6458333333)</f>
        <v/>
      </c>
      <c r="V2074" s="6">
        <f>IFERROR(__xludf.DUMMYFUNCTION("""COMPUTED_VALUE"""),9052.42)</f>
        <v/>
      </c>
      <c r="Z2074" s="6">
        <f>AA2074&amp;AB2074</f>
        <v/>
      </c>
      <c r="AA2074" s="6">
        <f>YEAR(AC2074)</f>
        <v/>
      </c>
      <c r="AB2074" s="6">
        <f>MONTH(AC2074)</f>
        <v/>
      </c>
      <c r="AC2074" s="267">
        <f>IFERROR(__xludf.DUMMYFUNCTION("""COMPUTED_VALUE"""),45223.9986111111)</f>
        <v/>
      </c>
      <c r="AD2074" s="6">
        <f>IFERROR(__xludf.DUMMYFUNCTION("""COMPUTED_VALUE"""),1343.64)</f>
        <v/>
      </c>
      <c r="AH2074" s="6">
        <f>AI2074&amp;AJ2074</f>
        <v/>
      </c>
      <c r="AI2074" s="6">
        <f>YEAR(AK2074)</f>
        <v/>
      </c>
      <c r="AJ2074" s="6">
        <f>MONTH(AK2074)</f>
        <v/>
      </c>
      <c r="AK2074" s="267">
        <f>IFERROR(__xludf.DUMMYFUNCTION("""COMPUTED_VALUE"""),45167.9986111111)</f>
        <v/>
      </c>
      <c r="AL2074" s="6">
        <f>IFERROR(__xludf.DUMMYFUNCTION("""COMPUTED_VALUE"""),27728.26)</f>
        <v/>
      </c>
      <c r="AP2074" s="6">
        <f>AQ2074&amp;AR2074</f>
        <v/>
      </c>
      <c r="AQ2074" s="6">
        <f>YEAR(AS2074)</f>
        <v/>
      </c>
      <c r="AR2074" s="6">
        <f>MONTH(AS2074)</f>
        <v/>
      </c>
      <c r="AS2074" s="267">
        <f>IFERROR(__xludf.DUMMYFUNCTION("""COMPUTED_VALUE"""),46121.9986111111)</f>
        <v/>
      </c>
      <c r="AT2074" s="6">
        <f>IFERROR(__xludf.DUMMYFUNCTION("""COMPUTED_VALUE"""),4818)</f>
        <v/>
      </c>
    </row>
    <row r="2075">
      <c r="B2075" s="6">
        <f>C2075&amp;D2075</f>
        <v/>
      </c>
      <c r="C2075" s="6">
        <f>YEAR(E2075)</f>
        <v/>
      </c>
      <c r="D2075" s="6">
        <f>MONTH(E2075)</f>
        <v/>
      </c>
      <c r="E2075" s="267">
        <f>IFERROR(__xludf.DUMMYFUNCTION("""COMPUTED_VALUE"""),46114.6666666666)</f>
        <v/>
      </c>
      <c r="F2075" s="6">
        <f>IFERROR(__xludf.DUMMYFUNCTION("""COMPUTED_VALUE"""),6582.69)</f>
        <v/>
      </c>
      <c r="J2075" s="6">
        <f>K2075&amp;L2075</f>
        <v/>
      </c>
      <c r="K2075" s="6">
        <f>YEAR(M2075)</f>
        <v/>
      </c>
      <c r="L2075" s="6">
        <f>MONTH(M2075)</f>
        <v/>
      </c>
      <c r="M2075" s="267">
        <f>IFERROR(__xludf.DUMMYFUNCTION("""COMPUTED_VALUE"""),46108.6666666666)</f>
        <v/>
      </c>
      <c r="N2075" s="6">
        <f>IFERROR(__xludf.DUMMYFUNCTION("""COMPUTED_VALUE"""),20948.36)</f>
        <v/>
      </c>
      <c r="R2075" s="6">
        <f>S2075&amp;T2075</f>
        <v/>
      </c>
      <c r="S2075" s="6">
        <f>YEAR(U2075)</f>
        <v/>
      </c>
      <c r="T2075" s="6">
        <f>MONTH(U2075)</f>
        <v/>
      </c>
      <c r="U2075" s="267">
        <f>IFERROR(__xludf.DUMMYFUNCTION("""COMPUTED_VALUE"""),46195.6458333333)</f>
        <v/>
      </c>
      <c r="V2075" s="6">
        <f>IFERROR(__xludf.DUMMYFUNCTION("""COMPUTED_VALUE"""),9114.55)</f>
        <v/>
      </c>
      <c r="Z2075" s="6">
        <f>AA2075&amp;AB2075</f>
        <v/>
      </c>
      <c r="AA2075" s="6">
        <f>YEAR(AC2075)</f>
        <v/>
      </c>
      <c r="AB2075" s="6">
        <f>MONTH(AC2075)</f>
        <v/>
      </c>
      <c r="AC2075" s="267">
        <f>IFERROR(__xludf.DUMMYFUNCTION("""COMPUTED_VALUE"""),45224.9986111111)</f>
        <v/>
      </c>
      <c r="AD2075" s="6">
        <f>IFERROR(__xludf.DUMMYFUNCTION("""COMPUTED_VALUE"""),1352.68)</f>
        <v/>
      </c>
      <c r="AH2075" s="6">
        <f>AI2075&amp;AJ2075</f>
        <v/>
      </c>
      <c r="AI2075" s="6">
        <f>YEAR(AK2075)</f>
        <v/>
      </c>
      <c r="AJ2075" s="6">
        <f>MONTH(AK2075)</f>
        <v/>
      </c>
      <c r="AK2075" s="267">
        <f>IFERROR(__xludf.DUMMYFUNCTION("""COMPUTED_VALUE"""),45168.9986111111)</f>
        <v/>
      </c>
      <c r="AL2075" s="6">
        <f>IFERROR(__xludf.DUMMYFUNCTION("""COMPUTED_VALUE"""),27304.24)</f>
        <v/>
      </c>
      <c r="AP2075" s="6">
        <f>AQ2075&amp;AR2075</f>
        <v/>
      </c>
      <c r="AQ2075" s="6">
        <f>YEAR(AS2075)</f>
        <v/>
      </c>
      <c r="AR2075" s="6">
        <f>MONTH(AS2075)</f>
        <v/>
      </c>
      <c r="AS2075" s="267">
        <f>IFERROR(__xludf.DUMMYFUNCTION("""COMPUTED_VALUE"""),46122.9986111111)</f>
        <v/>
      </c>
      <c r="AT2075" s="6">
        <f>IFERROR(__xludf.DUMMYFUNCTION("""COMPUTED_VALUE"""),4787.4)</f>
        <v/>
      </c>
    </row>
    <row r="2076">
      <c r="B2076" s="6">
        <f>C2076&amp;D2076</f>
        <v/>
      </c>
      <c r="C2076" s="6">
        <f>YEAR(E2076)</f>
        <v/>
      </c>
      <c r="D2076" s="6">
        <f>MONTH(E2076)</f>
        <v/>
      </c>
      <c r="E2076" s="267">
        <f>IFERROR(__xludf.DUMMYFUNCTION("""COMPUTED_VALUE"""),46118.6666666666)</f>
        <v/>
      </c>
      <c r="F2076" s="6">
        <f>IFERROR(__xludf.DUMMYFUNCTION("""COMPUTED_VALUE"""),6611.83)</f>
        <v/>
      </c>
      <c r="J2076" s="6">
        <f>K2076&amp;L2076</f>
        <v/>
      </c>
      <c r="K2076" s="6">
        <f>YEAR(M2076)</f>
        <v/>
      </c>
      <c r="L2076" s="6">
        <f>MONTH(M2076)</f>
        <v/>
      </c>
      <c r="M2076" s="267">
        <f>IFERROR(__xludf.DUMMYFUNCTION("""COMPUTED_VALUE"""),46111.6666666666)</f>
        <v/>
      </c>
      <c r="N2076" s="6">
        <f>IFERROR(__xludf.DUMMYFUNCTION("""COMPUTED_VALUE"""),20794.64)</f>
        <v/>
      </c>
      <c r="R2076" s="6">
        <f>S2076&amp;T2076</f>
        <v/>
      </c>
      <c r="S2076" s="6">
        <f>YEAR(U2076)</f>
        <v/>
      </c>
      <c r="T2076" s="6">
        <f>MONTH(U2076)</f>
        <v/>
      </c>
      <c r="U2076" s="267">
        <f>IFERROR(__xludf.DUMMYFUNCTION("""COMPUTED_VALUE"""),46196.6458333333)</f>
        <v/>
      </c>
      <c r="V2076" s="6">
        <f>IFERROR(__xludf.DUMMYFUNCTION("""COMPUTED_VALUE"""),8203.84)</f>
        <v/>
      </c>
      <c r="Z2076" s="6">
        <f>AA2076&amp;AB2076</f>
        <v/>
      </c>
      <c r="AA2076" s="6">
        <f>YEAR(AC2076)</f>
        <v/>
      </c>
      <c r="AB2076" s="6">
        <f>MONTH(AC2076)</f>
        <v/>
      </c>
      <c r="AC2076" s="267">
        <f>IFERROR(__xludf.DUMMYFUNCTION("""COMPUTED_VALUE"""),45225.9986111111)</f>
        <v/>
      </c>
      <c r="AD2076" s="6">
        <f>IFERROR(__xludf.DUMMYFUNCTION("""COMPUTED_VALUE"""),1350.34)</f>
        <v/>
      </c>
      <c r="AH2076" s="6">
        <f>AI2076&amp;AJ2076</f>
        <v/>
      </c>
      <c r="AI2076" s="6">
        <f>YEAR(AK2076)</f>
        <v/>
      </c>
      <c r="AJ2076" s="6">
        <f>MONTH(AK2076)</f>
        <v/>
      </c>
      <c r="AK2076" s="267">
        <f>IFERROR(__xludf.DUMMYFUNCTION("""COMPUTED_VALUE"""),45169.9986111111)</f>
        <v/>
      </c>
      <c r="AL2076" s="6">
        <f>IFERROR(__xludf.DUMMYFUNCTION("""COMPUTED_VALUE"""),25936.08)</f>
        <v/>
      </c>
      <c r="AP2076" s="6">
        <f>AQ2076&amp;AR2076</f>
        <v/>
      </c>
      <c r="AQ2076" s="6">
        <f>YEAR(AS2076)</f>
        <v/>
      </c>
      <c r="AR2076" s="6">
        <f>MONTH(AS2076)</f>
        <v/>
      </c>
      <c r="AS2076" s="267">
        <f>IFERROR(__xludf.DUMMYFUNCTION("""COMPUTED_VALUE"""),46125.9986111111)</f>
        <v/>
      </c>
      <c r="AT2076" s="6">
        <f>IFERROR(__xludf.DUMMYFUNCTION("""COMPUTED_VALUE"""),4767.4)</f>
        <v/>
      </c>
    </row>
    <row r="2077">
      <c r="B2077" s="6">
        <f>C2077&amp;D2077</f>
        <v/>
      </c>
      <c r="C2077" s="6">
        <f>YEAR(E2077)</f>
        <v/>
      </c>
      <c r="D2077" s="6">
        <f>MONTH(E2077)</f>
        <v/>
      </c>
      <c r="E2077" s="267">
        <f>IFERROR(__xludf.DUMMYFUNCTION("""COMPUTED_VALUE"""),46119.6666666666)</f>
        <v/>
      </c>
      <c r="F2077" s="6">
        <f>IFERROR(__xludf.DUMMYFUNCTION("""COMPUTED_VALUE"""),6616.85)</f>
        <v/>
      </c>
      <c r="J2077" s="6">
        <f>K2077&amp;L2077</f>
        <v/>
      </c>
      <c r="K2077" s="6">
        <f>YEAR(M2077)</f>
        <v/>
      </c>
      <c r="L2077" s="6">
        <f>MONTH(M2077)</f>
        <v/>
      </c>
      <c r="M2077" s="267">
        <f>IFERROR(__xludf.DUMMYFUNCTION("""COMPUTED_VALUE"""),46112.6666666666)</f>
        <v/>
      </c>
      <c r="N2077" s="6">
        <f>IFERROR(__xludf.DUMMYFUNCTION("""COMPUTED_VALUE"""),21590.63)</f>
        <v/>
      </c>
      <c r="R2077" s="6">
        <f>S2077&amp;T2077</f>
        <v/>
      </c>
      <c r="S2077" s="6">
        <f>YEAR(U2077)</f>
        <v/>
      </c>
      <c r="T2077" s="6">
        <f>MONTH(U2077)</f>
        <v/>
      </c>
      <c r="U2077" s="267">
        <f>IFERROR(__xludf.DUMMYFUNCTION("""COMPUTED_VALUE"""),46197.6458333333)</f>
        <v/>
      </c>
      <c r="V2077" s="6">
        <f>IFERROR(__xludf.DUMMYFUNCTION("""COMPUTED_VALUE"""),8471.02)</f>
        <v/>
      </c>
      <c r="Z2077" s="6">
        <f>AA2077&amp;AB2077</f>
        <v/>
      </c>
      <c r="AA2077" s="6">
        <f>YEAR(AC2077)</f>
        <v/>
      </c>
      <c r="AB2077" s="6">
        <f>MONTH(AC2077)</f>
        <v/>
      </c>
      <c r="AC2077" s="267">
        <f>IFERROR(__xludf.DUMMYFUNCTION("""COMPUTED_VALUE"""),45226.9986111111)</f>
        <v/>
      </c>
      <c r="AD2077" s="6">
        <f>IFERROR(__xludf.DUMMYFUNCTION("""COMPUTED_VALUE"""),1355.22)</f>
        <v/>
      </c>
      <c r="AH2077" s="6">
        <f>AI2077&amp;AJ2077</f>
        <v/>
      </c>
      <c r="AI2077" s="6">
        <f>YEAR(AK2077)</f>
        <v/>
      </c>
      <c r="AJ2077" s="6">
        <f>MONTH(AK2077)</f>
        <v/>
      </c>
      <c r="AK2077" s="267">
        <f>IFERROR(__xludf.DUMMYFUNCTION("""COMPUTED_VALUE"""),45170.9986111111)</f>
        <v/>
      </c>
      <c r="AL2077" s="6">
        <f>IFERROR(__xludf.DUMMYFUNCTION("""COMPUTED_VALUE"""),25798.36)</f>
        <v/>
      </c>
      <c r="AP2077" s="6">
        <f>AQ2077&amp;AR2077</f>
        <v/>
      </c>
      <c r="AQ2077" s="6">
        <f>YEAR(AS2077)</f>
        <v/>
      </c>
      <c r="AR2077" s="6">
        <f>MONTH(AS2077)</f>
        <v/>
      </c>
      <c r="AS2077" s="267">
        <f>IFERROR(__xludf.DUMMYFUNCTION("""COMPUTED_VALUE"""),46126.9986111111)</f>
        <v/>
      </c>
      <c r="AT2077" s="6">
        <f>IFERROR(__xludf.DUMMYFUNCTION("""COMPUTED_VALUE"""),4850.1)</f>
        <v/>
      </c>
    </row>
    <row r="2078">
      <c r="B2078" s="6">
        <f>C2078&amp;D2078</f>
        <v/>
      </c>
      <c r="C2078" s="6">
        <f>YEAR(E2078)</f>
        <v/>
      </c>
      <c r="D2078" s="6">
        <f>MONTH(E2078)</f>
        <v/>
      </c>
      <c r="E2078" s="267">
        <f>IFERROR(__xludf.DUMMYFUNCTION("""COMPUTED_VALUE"""),46120.6666666666)</f>
        <v/>
      </c>
      <c r="F2078" s="6">
        <f>IFERROR(__xludf.DUMMYFUNCTION("""COMPUTED_VALUE"""),6782.81)</f>
        <v/>
      </c>
      <c r="J2078" s="6">
        <f>K2078&amp;L2078</f>
        <v/>
      </c>
      <c r="K2078" s="6">
        <f>YEAR(M2078)</f>
        <v/>
      </c>
      <c r="L2078" s="6">
        <f>MONTH(M2078)</f>
        <v/>
      </c>
      <c r="M2078" s="267">
        <f>IFERROR(__xludf.DUMMYFUNCTION("""COMPUTED_VALUE"""),46113.6666666666)</f>
        <v/>
      </c>
      <c r="N2078" s="6">
        <f>IFERROR(__xludf.DUMMYFUNCTION("""COMPUTED_VALUE"""),21840.95)</f>
        <v/>
      </c>
      <c r="R2078" s="6">
        <f>S2078&amp;T2078</f>
        <v/>
      </c>
      <c r="S2078" s="6">
        <f>YEAR(U2078)</f>
        <v/>
      </c>
      <c r="T2078" s="6">
        <f>MONTH(U2078)</f>
        <v/>
      </c>
      <c r="U2078" s="267">
        <f>IFERROR(__xludf.DUMMYFUNCTION("""COMPUTED_VALUE"""),46198.6458333333)</f>
        <v/>
      </c>
      <c r="V2078" s="6">
        <f>IFERROR(__xludf.DUMMYFUNCTION("""COMPUTED_VALUE"""),8930.3)</f>
        <v/>
      </c>
      <c r="Z2078" s="6">
        <f>AA2078&amp;AB2078</f>
        <v/>
      </c>
      <c r="AA2078" s="6">
        <f>YEAR(AC2078)</f>
        <v/>
      </c>
      <c r="AB2078" s="6">
        <f>MONTH(AC2078)</f>
        <v/>
      </c>
      <c r="AC2078" s="267">
        <f>IFERROR(__xludf.DUMMYFUNCTION("""COMPUTED_VALUE"""),45227.9986111111)</f>
        <v/>
      </c>
      <c r="AD2078" s="6">
        <f>IFERROR(__xludf.DUMMYFUNCTION("""COMPUTED_VALUE"""),1355.22)</f>
        <v/>
      </c>
      <c r="AH2078" s="6">
        <f>AI2078&amp;AJ2078</f>
        <v/>
      </c>
      <c r="AI2078" s="6">
        <f>YEAR(AK2078)</f>
        <v/>
      </c>
      <c r="AJ2078" s="6">
        <f>MONTH(AK2078)</f>
        <v/>
      </c>
      <c r="AK2078" s="267">
        <f>IFERROR(__xludf.DUMMYFUNCTION("""COMPUTED_VALUE"""),45171.9986111111)</f>
        <v/>
      </c>
      <c r="AL2078" s="6">
        <f>IFERROR(__xludf.DUMMYFUNCTION("""COMPUTED_VALUE"""),25877.09)</f>
        <v/>
      </c>
      <c r="AP2078" s="6">
        <f>AQ2078&amp;AR2078</f>
        <v/>
      </c>
      <c r="AQ2078" s="6">
        <f>YEAR(AS2078)</f>
        <v/>
      </c>
      <c r="AR2078" s="6">
        <f>MONTH(AS2078)</f>
        <v/>
      </c>
      <c r="AS2078" s="267">
        <f>IFERROR(__xludf.DUMMYFUNCTION("""COMPUTED_VALUE"""),46127.9986111111)</f>
        <v/>
      </c>
      <c r="AT2078" s="6">
        <f>IFERROR(__xludf.DUMMYFUNCTION("""COMPUTED_VALUE"""),4823.6)</f>
        <v/>
      </c>
    </row>
    <row r="2079">
      <c r="B2079" s="6">
        <f>C2079&amp;D2079</f>
        <v/>
      </c>
      <c r="C2079" s="6">
        <f>YEAR(E2079)</f>
        <v/>
      </c>
      <c r="D2079" s="6">
        <f>MONTH(E2079)</f>
        <v/>
      </c>
      <c r="E2079" s="267">
        <f>IFERROR(__xludf.DUMMYFUNCTION("""COMPUTED_VALUE"""),46121.6666666666)</f>
        <v/>
      </c>
      <c r="F2079" s="6">
        <f>IFERROR(__xludf.DUMMYFUNCTION("""COMPUTED_VALUE"""),6824.66)</f>
        <v/>
      </c>
      <c r="J2079" s="6">
        <f>K2079&amp;L2079</f>
        <v/>
      </c>
      <c r="K2079" s="6">
        <f>YEAR(M2079)</f>
        <v/>
      </c>
      <c r="L2079" s="6">
        <f>MONTH(M2079)</f>
        <v/>
      </c>
      <c r="M2079" s="267">
        <f>IFERROR(__xludf.DUMMYFUNCTION("""COMPUTED_VALUE"""),46114.6666666666)</f>
        <v/>
      </c>
      <c r="N2079" s="6">
        <f>IFERROR(__xludf.DUMMYFUNCTION("""COMPUTED_VALUE"""),21879.18)</f>
        <v/>
      </c>
      <c r="R2079" s="6">
        <f>S2079&amp;T2079</f>
        <v/>
      </c>
      <c r="S2079" s="6">
        <f>YEAR(U2079)</f>
        <v/>
      </c>
      <c r="T2079" s="6">
        <f>MONTH(U2079)</f>
        <v/>
      </c>
      <c r="U2079" s="267">
        <f>IFERROR(__xludf.DUMMYFUNCTION("""COMPUTED_VALUE"""),46199.6458333333)</f>
        <v/>
      </c>
      <c r="V2079" s="6">
        <f>IFERROR(__xludf.DUMMYFUNCTION("""COMPUTED_VALUE"""),8411.21)</f>
        <v/>
      </c>
      <c r="Z2079" s="6">
        <f>AA2079&amp;AB2079</f>
        <v/>
      </c>
      <c r="AA2079" s="6">
        <f>YEAR(AC2079)</f>
        <v/>
      </c>
      <c r="AB2079" s="6">
        <f>MONTH(AC2079)</f>
        <v/>
      </c>
      <c r="AC2079" s="267">
        <f>IFERROR(__xludf.DUMMYFUNCTION("""COMPUTED_VALUE"""),45228.9986111111)</f>
        <v/>
      </c>
      <c r="AD2079" s="6">
        <f>IFERROR(__xludf.DUMMYFUNCTION("""COMPUTED_VALUE"""),1355.22)</f>
        <v/>
      </c>
      <c r="AH2079" s="6">
        <f>AI2079&amp;AJ2079</f>
        <v/>
      </c>
      <c r="AI2079" s="6">
        <f>YEAR(AK2079)</f>
        <v/>
      </c>
      <c r="AJ2079" s="6">
        <f>MONTH(AK2079)</f>
        <v/>
      </c>
      <c r="AK2079" s="267">
        <f>IFERROR(__xludf.DUMMYFUNCTION("""COMPUTED_VALUE"""),45172.9986111111)</f>
        <v/>
      </c>
      <c r="AL2079" s="6">
        <f>IFERROR(__xludf.DUMMYFUNCTION("""COMPUTED_VALUE"""),25974.93)</f>
        <v/>
      </c>
      <c r="AP2079" s="6">
        <f>AQ2079&amp;AR2079</f>
        <v/>
      </c>
      <c r="AQ2079" s="6">
        <f>YEAR(AS2079)</f>
        <v/>
      </c>
      <c r="AR2079" s="6">
        <f>MONTH(AS2079)</f>
        <v/>
      </c>
      <c r="AS2079" s="267">
        <f>IFERROR(__xludf.DUMMYFUNCTION("""COMPUTED_VALUE"""),46128.9986111111)</f>
        <v/>
      </c>
      <c r="AT2079" s="6">
        <f>IFERROR(__xludf.DUMMYFUNCTION("""COMPUTED_VALUE"""),4808.3)</f>
        <v/>
      </c>
    </row>
    <row r="2080">
      <c r="B2080" s="6">
        <f>C2080&amp;D2080</f>
        <v/>
      </c>
      <c r="C2080" s="6">
        <f>YEAR(E2080)</f>
        <v/>
      </c>
      <c r="D2080" s="6">
        <f>MONTH(E2080)</f>
        <v/>
      </c>
      <c r="E2080" s="267">
        <f>IFERROR(__xludf.DUMMYFUNCTION("""COMPUTED_VALUE"""),46122.6666666666)</f>
        <v/>
      </c>
      <c r="F2080" s="6">
        <f>IFERROR(__xludf.DUMMYFUNCTION("""COMPUTED_VALUE"""),6816.89)</f>
        <v/>
      </c>
      <c r="J2080" s="6">
        <f>K2080&amp;L2080</f>
        <v/>
      </c>
      <c r="K2080" s="6">
        <f>YEAR(M2080)</f>
        <v/>
      </c>
      <c r="L2080" s="6">
        <f>MONTH(M2080)</f>
        <v/>
      </c>
      <c r="M2080" s="267">
        <f>IFERROR(__xludf.DUMMYFUNCTION("""COMPUTED_VALUE"""),46118.6666666666)</f>
        <v/>
      </c>
      <c r="N2080" s="6">
        <f>IFERROR(__xludf.DUMMYFUNCTION("""COMPUTED_VALUE"""),21996.34)</f>
        <v/>
      </c>
      <c r="R2080" s="6">
        <f>S2080&amp;T2080</f>
        <v/>
      </c>
      <c r="S2080" s="6">
        <f>YEAR(U2080)</f>
        <v/>
      </c>
      <c r="T2080" s="6">
        <f>MONTH(U2080)</f>
        <v/>
      </c>
      <c r="U2080" s="267">
        <f>IFERROR(__xludf.DUMMYFUNCTION("""COMPUTED_VALUE"""),46202.6458333333)</f>
        <v/>
      </c>
      <c r="V2080" s="6">
        <f>IFERROR(__xludf.DUMMYFUNCTION("""COMPUTED_VALUE"""),8394.65)</f>
        <v/>
      </c>
      <c r="Z2080" s="6">
        <f>AA2080&amp;AB2080</f>
        <v/>
      </c>
      <c r="AA2080" s="6">
        <f>YEAR(AC2080)</f>
        <v/>
      </c>
      <c r="AB2080" s="6">
        <f>MONTH(AC2080)</f>
        <v/>
      </c>
      <c r="AC2080" s="267">
        <f>IFERROR(__xludf.DUMMYFUNCTION("""COMPUTED_VALUE"""),45229.9986111111)</f>
        <v/>
      </c>
      <c r="AD2080" s="6">
        <f>IFERROR(__xludf.DUMMYFUNCTION("""COMPUTED_VALUE"""),1348.07)</f>
        <v/>
      </c>
      <c r="AH2080" s="6">
        <f>AI2080&amp;AJ2080</f>
        <v/>
      </c>
      <c r="AI2080" s="6">
        <f>YEAR(AK2080)</f>
        <v/>
      </c>
      <c r="AJ2080" s="6">
        <f>MONTH(AK2080)</f>
        <v/>
      </c>
      <c r="AK2080" s="267">
        <f>IFERROR(__xludf.DUMMYFUNCTION("""COMPUTED_VALUE"""),45173.9986111111)</f>
        <v/>
      </c>
      <c r="AL2080" s="6">
        <f>IFERROR(__xludf.DUMMYFUNCTION("""COMPUTED_VALUE"""),25822.07)</f>
        <v/>
      </c>
      <c r="AP2080" s="6">
        <f>AQ2080&amp;AR2080</f>
        <v/>
      </c>
      <c r="AQ2080" s="6">
        <f>YEAR(AS2080)</f>
        <v/>
      </c>
      <c r="AR2080" s="6">
        <f>MONTH(AS2080)</f>
        <v/>
      </c>
      <c r="AS2080" s="267">
        <f>IFERROR(__xludf.DUMMYFUNCTION("""COMPUTED_VALUE"""),46129.9986111111)</f>
        <v/>
      </c>
      <c r="AT2080" s="6">
        <f>IFERROR(__xludf.DUMMYFUNCTION("""COMPUTED_VALUE"""),4879.6)</f>
        <v/>
      </c>
    </row>
    <row r="2081">
      <c r="B2081" s="6">
        <f>C2081&amp;D2081</f>
        <v/>
      </c>
      <c r="C2081" s="6">
        <f>YEAR(E2081)</f>
        <v/>
      </c>
      <c r="D2081" s="6">
        <f>MONTH(E2081)</f>
        <v/>
      </c>
      <c r="E2081" s="267">
        <f>IFERROR(__xludf.DUMMYFUNCTION("""COMPUTED_VALUE"""),46125.6666666666)</f>
        <v/>
      </c>
      <c r="F2081" s="6">
        <f>IFERROR(__xludf.DUMMYFUNCTION("""COMPUTED_VALUE"""),6886.24)</f>
        <v/>
      </c>
      <c r="J2081" s="6">
        <f>K2081&amp;L2081</f>
        <v/>
      </c>
      <c r="K2081" s="6">
        <f>YEAR(M2081)</f>
        <v/>
      </c>
      <c r="L2081" s="6">
        <f>MONTH(M2081)</f>
        <v/>
      </c>
      <c r="M2081" s="267">
        <f>IFERROR(__xludf.DUMMYFUNCTION("""COMPUTED_VALUE"""),46119.6666666666)</f>
        <v/>
      </c>
      <c r="N2081" s="6">
        <f>IFERROR(__xludf.DUMMYFUNCTION("""COMPUTED_VALUE"""),22017.85)</f>
        <v/>
      </c>
      <c r="R2081" s="6">
        <f>S2081&amp;T2081</f>
        <v/>
      </c>
      <c r="S2081" s="6">
        <f>YEAR(U2081)</f>
        <v/>
      </c>
      <c r="T2081" s="6">
        <f>MONTH(U2081)</f>
        <v/>
      </c>
      <c r="U2081" s="267">
        <f>IFERROR(__xludf.DUMMYFUNCTION("""COMPUTED_VALUE"""),46203.6458333333)</f>
        <v/>
      </c>
      <c r="V2081" s="6">
        <f>IFERROR(__xludf.DUMMYFUNCTION("""COMPUTED_VALUE"""),8476.48)</f>
        <v/>
      </c>
      <c r="Z2081" s="6">
        <f>AA2081&amp;AB2081</f>
        <v/>
      </c>
      <c r="AA2081" s="6">
        <f>YEAR(AC2081)</f>
        <v/>
      </c>
      <c r="AB2081" s="6">
        <f>MONTH(AC2081)</f>
        <v/>
      </c>
      <c r="AC2081" s="267">
        <f>IFERROR(__xludf.DUMMYFUNCTION("""COMPUTED_VALUE"""),45230.9986111111)</f>
        <v/>
      </c>
      <c r="AD2081" s="6">
        <f>IFERROR(__xludf.DUMMYFUNCTION("""COMPUTED_VALUE"""),1350.16)</f>
        <v/>
      </c>
      <c r="AH2081" s="6">
        <f>AI2081&amp;AJ2081</f>
        <v/>
      </c>
      <c r="AI2081" s="6">
        <f>YEAR(AK2081)</f>
        <v/>
      </c>
      <c r="AJ2081" s="6">
        <f>MONTH(AK2081)</f>
        <v/>
      </c>
      <c r="AK2081" s="267">
        <f>IFERROR(__xludf.DUMMYFUNCTION("""COMPUTED_VALUE"""),45174.9986111111)</f>
        <v/>
      </c>
      <c r="AL2081" s="6">
        <f>IFERROR(__xludf.DUMMYFUNCTION("""COMPUTED_VALUE"""),25785.84)</f>
        <v/>
      </c>
      <c r="AP2081" s="6">
        <f>AQ2081&amp;AR2081</f>
        <v/>
      </c>
      <c r="AQ2081" s="6">
        <f>YEAR(AS2081)</f>
        <v/>
      </c>
      <c r="AR2081" s="6">
        <f>MONTH(AS2081)</f>
        <v/>
      </c>
      <c r="AS2081" s="267">
        <f>IFERROR(__xludf.DUMMYFUNCTION("""COMPUTED_VALUE"""),46132.9986111111)</f>
        <v/>
      </c>
      <c r="AT2081" s="6">
        <f>IFERROR(__xludf.DUMMYFUNCTION("""COMPUTED_VALUE"""),4828.8)</f>
        <v/>
      </c>
    </row>
    <row r="2082">
      <c r="B2082" s="6">
        <f>C2082&amp;D2082</f>
        <v/>
      </c>
      <c r="C2082" s="6">
        <f>YEAR(E2082)</f>
        <v/>
      </c>
      <c r="D2082" s="6">
        <f>MONTH(E2082)</f>
        <v/>
      </c>
      <c r="E2082" s="267">
        <f>IFERROR(__xludf.DUMMYFUNCTION("""COMPUTED_VALUE"""),46126.6666666666)</f>
        <v/>
      </c>
      <c r="F2082" s="6">
        <f>IFERROR(__xludf.DUMMYFUNCTION("""COMPUTED_VALUE"""),6967.38)</f>
        <v/>
      </c>
      <c r="J2082" s="6">
        <f>K2082&amp;L2082</f>
        <v/>
      </c>
      <c r="K2082" s="6">
        <f>YEAR(M2082)</f>
        <v/>
      </c>
      <c r="L2082" s="6">
        <f>MONTH(M2082)</f>
        <v/>
      </c>
      <c r="M2082" s="267">
        <f>IFERROR(__xludf.DUMMYFUNCTION("""COMPUTED_VALUE"""),46120.6666666666)</f>
        <v/>
      </c>
      <c r="N2082" s="6">
        <f>IFERROR(__xludf.DUMMYFUNCTION("""COMPUTED_VALUE"""),22635)</f>
        <v/>
      </c>
      <c r="R2082" s="6">
        <f>S2082&amp;T2082</f>
        <v/>
      </c>
      <c r="S2082" s="6">
        <f>YEAR(U2082)</f>
        <v/>
      </c>
      <c r="T2082" s="6">
        <f>MONTH(U2082)</f>
        <v/>
      </c>
      <c r="U2082" s="267">
        <f>IFERROR(__xludf.DUMMYFUNCTION("""COMPUTED_VALUE"""),46204.6458333333)</f>
        <v/>
      </c>
      <c r="V2082" s="6">
        <f>IFERROR(__xludf.DUMMYFUNCTION("""COMPUTED_VALUE"""),8303.41)</f>
        <v/>
      </c>
      <c r="Z2082" s="6">
        <f>AA2082&amp;AB2082</f>
        <v/>
      </c>
      <c r="AA2082" s="6">
        <f>YEAR(AC2082)</f>
        <v/>
      </c>
      <c r="AB2082" s="6">
        <f>MONTH(AC2082)</f>
        <v/>
      </c>
      <c r="AC2082" s="267">
        <f>IFERROR(__xludf.DUMMYFUNCTION("""COMPUTED_VALUE"""),45231.9986111111)</f>
        <v/>
      </c>
      <c r="AD2082" s="6">
        <f>IFERROR(__xludf.DUMMYFUNCTION("""COMPUTED_VALUE"""),1347.84)</f>
        <v/>
      </c>
      <c r="AH2082" s="6">
        <f>AI2082&amp;AJ2082</f>
        <v/>
      </c>
      <c r="AI2082" s="6">
        <f>YEAR(AK2082)</f>
        <v/>
      </c>
      <c r="AJ2082" s="6">
        <f>MONTH(AK2082)</f>
        <v/>
      </c>
      <c r="AK2082" s="267">
        <f>IFERROR(__xludf.DUMMYFUNCTION("""COMPUTED_VALUE"""),45175.9986111111)</f>
        <v/>
      </c>
      <c r="AL2082" s="6">
        <f>IFERROR(__xludf.DUMMYFUNCTION("""COMPUTED_VALUE"""),25755.55)</f>
        <v/>
      </c>
      <c r="AP2082" s="6">
        <f>AQ2082&amp;AR2082</f>
        <v/>
      </c>
      <c r="AQ2082" s="6">
        <f>YEAR(AS2082)</f>
        <v/>
      </c>
      <c r="AR2082" s="6">
        <f>MONTH(AS2082)</f>
        <v/>
      </c>
      <c r="AS2082" s="267">
        <f>IFERROR(__xludf.DUMMYFUNCTION("""COMPUTED_VALUE"""),46133.9986111111)</f>
        <v/>
      </c>
      <c r="AT2082" s="6">
        <f>IFERROR(__xludf.DUMMYFUNCTION("""COMPUTED_VALUE"""),4719.6)</f>
        <v/>
      </c>
    </row>
    <row r="2083">
      <c r="B2083" s="6">
        <f>C2083&amp;D2083</f>
        <v/>
      </c>
      <c r="C2083" s="6">
        <f>YEAR(E2083)</f>
        <v/>
      </c>
      <c r="D2083" s="6">
        <f>MONTH(E2083)</f>
        <v/>
      </c>
      <c r="E2083" s="267">
        <f>IFERROR(__xludf.DUMMYFUNCTION("""COMPUTED_VALUE"""),46127.6666666666)</f>
        <v/>
      </c>
      <c r="F2083" s="6">
        <f>IFERROR(__xludf.DUMMYFUNCTION("""COMPUTED_VALUE"""),7022.95)</f>
        <v/>
      </c>
      <c r="J2083" s="6">
        <f>K2083&amp;L2083</f>
        <v/>
      </c>
      <c r="K2083" s="6">
        <f>YEAR(M2083)</f>
        <v/>
      </c>
      <c r="L2083" s="6">
        <f>MONTH(M2083)</f>
        <v/>
      </c>
      <c r="M2083" s="267">
        <f>IFERROR(__xludf.DUMMYFUNCTION("""COMPUTED_VALUE"""),46121.6666666666)</f>
        <v/>
      </c>
      <c r="N2083" s="6">
        <f>IFERROR(__xludf.DUMMYFUNCTION("""COMPUTED_VALUE"""),22822.42)</f>
        <v/>
      </c>
      <c r="R2083" s="6">
        <f>S2083&amp;T2083</f>
        <v/>
      </c>
      <c r="S2083" s="6">
        <f>YEAR(U2083)</f>
        <v/>
      </c>
      <c r="T2083" s="6">
        <f>MONTH(U2083)</f>
        <v/>
      </c>
      <c r="U2083" s="267">
        <f>IFERROR(__xludf.DUMMYFUNCTION("""COMPUTED_VALUE"""),46205.6458333333)</f>
        <v/>
      </c>
      <c r="V2083" s="6">
        <f>IFERROR(__xludf.DUMMYFUNCTION("""COMPUTED_VALUE"""),7648.09)</f>
        <v/>
      </c>
      <c r="Z2083" s="6">
        <f>AA2083&amp;AB2083</f>
        <v/>
      </c>
      <c r="AA2083" s="6">
        <f>YEAR(AC2083)</f>
        <v/>
      </c>
      <c r="AB2083" s="6">
        <f>MONTH(AC2083)</f>
        <v/>
      </c>
      <c r="AC2083" s="267">
        <f>IFERROR(__xludf.DUMMYFUNCTION("""COMPUTED_VALUE"""),45232.9986111111)</f>
        <v/>
      </c>
      <c r="AD2083" s="6">
        <f>IFERROR(__xludf.DUMMYFUNCTION("""COMPUTED_VALUE"""),1333.68)</f>
        <v/>
      </c>
      <c r="AH2083" s="6">
        <f>AI2083&amp;AJ2083</f>
        <v/>
      </c>
      <c r="AI2083" s="6">
        <f>YEAR(AK2083)</f>
        <v/>
      </c>
      <c r="AJ2083" s="6">
        <f>MONTH(AK2083)</f>
        <v/>
      </c>
      <c r="AK2083" s="267">
        <f>IFERROR(__xludf.DUMMYFUNCTION("""COMPUTED_VALUE"""),45176.9986111111)</f>
        <v/>
      </c>
      <c r="AL2083" s="6">
        <f>IFERROR(__xludf.DUMMYFUNCTION("""COMPUTED_VALUE"""),26259.23)</f>
        <v/>
      </c>
      <c r="AP2083" s="6">
        <f>AQ2083&amp;AR2083</f>
        <v/>
      </c>
      <c r="AQ2083" s="6">
        <f>YEAR(AS2083)</f>
        <v/>
      </c>
      <c r="AR2083" s="6">
        <f>MONTH(AS2083)</f>
        <v/>
      </c>
      <c r="AS2083" s="267">
        <f>IFERROR(__xludf.DUMMYFUNCTION("""COMPUTED_VALUE"""),46134.9986111111)</f>
        <v/>
      </c>
      <c r="AT2083" s="6">
        <f>IFERROR(__xludf.DUMMYFUNCTION("""COMPUTED_VALUE"""),4753)</f>
        <v/>
      </c>
    </row>
    <row r="2084">
      <c r="B2084" s="6">
        <f>C2084&amp;D2084</f>
        <v/>
      </c>
      <c r="C2084" s="6">
        <f>YEAR(E2084)</f>
        <v/>
      </c>
      <c r="D2084" s="6">
        <f>MONTH(E2084)</f>
        <v/>
      </c>
      <c r="E2084" s="267">
        <f>IFERROR(__xludf.DUMMYFUNCTION("""COMPUTED_VALUE"""),46128.6666666666)</f>
        <v/>
      </c>
      <c r="F2084" s="6">
        <f>IFERROR(__xludf.DUMMYFUNCTION("""COMPUTED_VALUE"""),7041.28)</f>
        <v/>
      </c>
      <c r="J2084" s="6">
        <f>K2084&amp;L2084</f>
        <v/>
      </c>
      <c r="K2084" s="6">
        <f>YEAR(M2084)</f>
        <v/>
      </c>
      <c r="L2084" s="6">
        <f>MONTH(M2084)</f>
        <v/>
      </c>
      <c r="M2084" s="267">
        <f>IFERROR(__xludf.DUMMYFUNCTION("""COMPUTED_VALUE"""),46122.6666666666)</f>
        <v/>
      </c>
      <c r="N2084" s="6">
        <f>IFERROR(__xludf.DUMMYFUNCTION("""COMPUTED_VALUE"""),22902.89)</f>
        <v/>
      </c>
      <c r="R2084" s="6">
        <f>S2084&amp;T2084</f>
        <v/>
      </c>
      <c r="S2084" s="6">
        <f>YEAR(U2084)</f>
        <v/>
      </c>
      <c r="T2084" s="6">
        <f>MONTH(U2084)</f>
        <v/>
      </c>
      <c r="U2084" s="267">
        <f>IFERROR(__xludf.DUMMYFUNCTION("""COMPUTED_VALUE"""),46206.6458333333)</f>
        <v/>
      </c>
      <c r="V2084" s="6">
        <f>IFERROR(__xludf.DUMMYFUNCTION("""COMPUTED_VALUE"""),8088.34)</f>
        <v/>
      </c>
      <c r="Z2084" s="6">
        <f>AA2084&amp;AB2084</f>
        <v/>
      </c>
      <c r="AA2084" s="6">
        <f>YEAR(AC2084)</f>
        <v/>
      </c>
      <c r="AB2084" s="6">
        <f>MONTH(AC2084)</f>
        <v/>
      </c>
      <c r="AC2084" s="267">
        <f>IFERROR(__xludf.DUMMYFUNCTION("""COMPUTED_VALUE"""),45233.9986111111)</f>
        <v/>
      </c>
      <c r="AD2084" s="6">
        <f>IFERROR(__xludf.DUMMYFUNCTION("""COMPUTED_VALUE"""),1307.84)</f>
        <v/>
      </c>
      <c r="AH2084" s="6">
        <f>AI2084&amp;AJ2084</f>
        <v/>
      </c>
      <c r="AI2084" s="6">
        <f>YEAR(AK2084)</f>
        <v/>
      </c>
      <c r="AJ2084" s="6">
        <f>MONTH(AK2084)</f>
        <v/>
      </c>
      <c r="AK2084" s="267">
        <f>IFERROR(__xludf.DUMMYFUNCTION("""COMPUTED_VALUE"""),45177.9986111111)</f>
        <v/>
      </c>
      <c r="AL2084" s="6">
        <f>IFERROR(__xludf.DUMMYFUNCTION("""COMPUTED_VALUE"""),25909.41)</f>
        <v/>
      </c>
      <c r="AP2084" s="6">
        <f>AQ2084&amp;AR2084</f>
        <v/>
      </c>
      <c r="AQ2084" s="6">
        <f>YEAR(AS2084)</f>
        <v/>
      </c>
      <c r="AR2084" s="6">
        <f>MONTH(AS2084)</f>
        <v/>
      </c>
      <c r="AS2084" s="267">
        <f>IFERROR(__xludf.DUMMYFUNCTION("""COMPUTED_VALUE"""),46135.9986111111)</f>
        <v/>
      </c>
      <c r="AT2084" s="6">
        <f>IFERROR(__xludf.DUMMYFUNCTION("""COMPUTED_VALUE"""),4724)</f>
        <v/>
      </c>
    </row>
    <row r="2085">
      <c r="B2085" s="6">
        <f>C2085&amp;D2085</f>
        <v/>
      </c>
      <c r="C2085" s="6">
        <f>YEAR(E2085)</f>
        <v/>
      </c>
      <c r="D2085" s="6">
        <f>MONTH(E2085)</f>
        <v/>
      </c>
      <c r="E2085" s="267">
        <f>IFERROR(__xludf.DUMMYFUNCTION("""COMPUTED_VALUE"""),46129.6666666666)</f>
        <v/>
      </c>
      <c r="F2085" s="6">
        <f>IFERROR(__xludf.DUMMYFUNCTION("""COMPUTED_VALUE"""),7126.06)</f>
        <v/>
      </c>
      <c r="J2085" s="6">
        <f>K2085&amp;L2085</f>
        <v/>
      </c>
      <c r="K2085" s="6">
        <f>YEAR(M2085)</f>
        <v/>
      </c>
      <c r="L2085" s="6">
        <f>MONTH(M2085)</f>
        <v/>
      </c>
      <c r="M2085" s="267">
        <f>IFERROR(__xludf.DUMMYFUNCTION("""COMPUTED_VALUE"""),46125.6666666666)</f>
        <v/>
      </c>
      <c r="N2085" s="6">
        <f>IFERROR(__xludf.DUMMYFUNCTION("""COMPUTED_VALUE"""),23183.74)</f>
        <v/>
      </c>
      <c r="R2085" s="6">
        <f>S2085&amp;T2085</f>
        <v/>
      </c>
      <c r="S2085" s="6">
        <f>YEAR(U2085)</f>
        <v/>
      </c>
      <c r="T2085" s="6">
        <f>MONTH(U2085)</f>
        <v/>
      </c>
      <c r="U2085" s="267">
        <f>IFERROR(__xludf.DUMMYFUNCTION("""COMPUTED_VALUE"""),46209.6458333333)</f>
        <v/>
      </c>
      <c r="V2085" s="6">
        <f>IFERROR(__xludf.DUMMYFUNCTION("""COMPUTED_VALUE"""),8051.33)</f>
        <v/>
      </c>
      <c r="Z2085" s="6">
        <f>AA2085&amp;AB2085</f>
        <v/>
      </c>
      <c r="AA2085" s="6">
        <f>YEAR(AC2085)</f>
        <v/>
      </c>
      <c r="AB2085" s="6">
        <f>MONTH(AC2085)</f>
        <v/>
      </c>
      <c r="AC2085" s="267">
        <f>IFERROR(__xludf.DUMMYFUNCTION("""COMPUTED_VALUE"""),45234.9986111111)</f>
        <v/>
      </c>
      <c r="AD2085" s="6">
        <f>IFERROR(__xludf.DUMMYFUNCTION("""COMPUTED_VALUE"""),1307.84)</f>
        <v/>
      </c>
      <c r="AH2085" s="6">
        <f>AI2085&amp;AJ2085</f>
        <v/>
      </c>
      <c r="AI2085" s="6">
        <f>YEAR(AK2085)</f>
        <v/>
      </c>
      <c r="AJ2085" s="6">
        <f>MONTH(AK2085)</f>
        <v/>
      </c>
      <c r="AK2085" s="267">
        <f>IFERROR(__xludf.DUMMYFUNCTION("""COMPUTED_VALUE"""),45178.9986111111)</f>
        <v/>
      </c>
      <c r="AL2085" s="6">
        <f>IFERROR(__xludf.DUMMYFUNCTION("""COMPUTED_VALUE"""),25905.51)</f>
        <v/>
      </c>
      <c r="AP2085" s="6">
        <f>AQ2085&amp;AR2085</f>
        <v/>
      </c>
      <c r="AQ2085" s="6">
        <f>YEAR(AS2085)</f>
        <v/>
      </c>
      <c r="AR2085" s="6">
        <f>MONTH(AS2085)</f>
        <v/>
      </c>
      <c r="AS2085" s="267">
        <f>IFERROR(__xludf.DUMMYFUNCTION("""COMPUTED_VALUE"""),46136.9986111111)</f>
        <v/>
      </c>
      <c r="AT2085" s="6">
        <f>IFERROR(__xludf.DUMMYFUNCTION("""COMPUTED_VALUE"""),4740.9)</f>
        <v/>
      </c>
    </row>
    <row r="2086">
      <c r="B2086" s="6">
        <f>C2086&amp;D2086</f>
        <v/>
      </c>
      <c r="C2086" s="6">
        <f>YEAR(E2086)</f>
        <v/>
      </c>
      <c r="D2086" s="6">
        <f>MONTH(E2086)</f>
        <v/>
      </c>
      <c r="E2086" s="267">
        <f>IFERROR(__xludf.DUMMYFUNCTION("""COMPUTED_VALUE"""),46132.6666666666)</f>
        <v/>
      </c>
      <c r="F2086" s="6">
        <f>IFERROR(__xludf.DUMMYFUNCTION("""COMPUTED_VALUE"""),7109.14)</f>
        <v/>
      </c>
      <c r="J2086" s="6">
        <f>K2086&amp;L2086</f>
        <v/>
      </c>
      <c r="K2086" s="6">
        <f>YEAR(M2086)</f>
        <v/>
      </c>
      <c r="L2086" s="6">
        <f>MONTH(M2086)</f>
        <v/>
      </c>
      <c r="M2086" s="267">
        <f>IFERROR(__xludf.DUMMYFUNCTION("""COMPUTED_VALUE"""),46126.6666666666)</f>
        <v/>
      </c>
      <c r="N2086" s="6">
        <f>IFERROR(__xludf.DUMMYFUNCTION("""COMPUTED_VALUE"""),23639.08)</f>
        <v/>
      </c>
      <c r="R2086" s="6">
        <f>S2086&amp;T2086</f>
        <v/>
      </c>
      <c r="S2086" s="6">
        <f>YEAR(U2086)</f>
        <v/>
      </c>
      <c r="T2086" s="6">
        <f>MONTH(U2086)</f>
        <v/>
      </c>
      <c r="U2086" s="267">
        <f>IFERROR(__xludf.DUMMYFUNCTION("""COMPUTED_VALUE"""),46210.6458333333)</f>
        <v/>
      </c>
      <c r="V2086" s="6">
        <f>IFERROR(__xludf.DUMMYFUNCTION("""COMPUTED_VALUE"""),7656.31)</f>
        <v/>
      </c>
      <c r="Z2086" s="6">
        <f>AA2086&amp;AB2086</f>
        <v/>
      </c>
      <c r="AA2086" s="6">
        <f>YEAR(AC2086)</f>
        <v/>
      </c>
      <c r="AB2086" s="6">
        <f>MONTH(AC2086)</f>
        <v/>
      </c>
      <c r="AC2086" s="267">
        <f>IFERROR(__xludf.DUMMYFUNCTION("""COMPUTED_VALUE"""),45235.9986111111)</f>
        <v/>
      </c>
      <c r="AD2086" s="6">
        <f>IFERROR(__xludf.DUMMYFUNCTION("""COMPUTED_VALUE"""),1307.84)</f>
        <v/>
      </c>
      <c r="AH2086" s="6">
        <f>AI2086&amp;AJ2086</f>
        <v/>
      </c>
      <c r="AI2086" s="6">
        <f>YEAR(AK2086)</f>
        <v/>
      </c>
      <c r="AJ2086" s="6">
        <f>MONTH(AK2086)</f>
        <v/>
      </c>
      <c r="AK2086" s="267">
        <f>IFERROR(__xludf.DUMMYFUNCTION("""COMPUTED_VALUE"""),45179.9986111111)</f>
        <v/>
      </c>
      <c r="AL2086" s="6">
        <f>IFERROR(__xludf.DUMMYFUNCTION("""COMPUTED_VALUE"""),25838.32)</f>
        <v/>
      </c>
      <c r="AP2086" s="6">
        <f>AQ2086&amp;AR2086</f>
        <v/>
      </c>
      <c r="AQ2086" s="6">
        <f>YEAR(AS2086)</f>
        <v/>
      </c>
      <c r="AR2086" s="6">
        <f>MONTH(AS2086)</f>
        <v/>
      </c>
      <c r="AS2086" s="267">
        <f>IFERROR(__xludf.DUMMYFUNCTION("""COMPUTED_VALUE"""),46139.9986111111)</f>
        <v/>
      </c>
      <c r="AT2086" s="6">
        <f>IFERROR(__xludf.DUMMYFUNCTION("""COMPUTED_VALUE"""),4693.7)</f>
        <v/>
      </c>
    </row>
    <row r="2087">
      <c r="B2087" s="6">
        <f>C2087&amp;D2087</f>
        <v/>
      </c>
      <c r="C2087" s="6">
        <f>YEAR(E2087)</f>
        <v/>
      </c>
      <c r="D2087" s="6">
        <f>MONTH(E2087)</f>
        <v/>
      </c>
      <c r="E2087" s="267">
        <f>IFERROR(__xludf.DUMMYFUNCTION("""COMPUTED_VALUE"""),46133.6666666666)</f>
        <v/>
      </c>
      <c r="F2087" s="6">
        <f>IFERROR(__xludf.DUMMYFUNCTION("""COMPUTED_VALUE"""),7064.01)</f>
        <v/>
      </c>
      <c r="J2087" s="6">
        <f>K2087&amp;L2087</f>
        <v/>
      </c>
      <c r="K2087" s="6">
        <f>YEAR(M2087)</f>
        <v/>
      </c>
      <c r="L2087" s="6">
        <f>MONTH(M2087)</f>
        <v/>
      </c>
      <c r="M2087" s="267">
        <f>IFERROR(__xludf.DUMMYFUNCTION("""COMPUTED_VALUE"""),46127.6666666666)</f>
        <v/>
      </c>
      <c r="N2087" s="6">
        <f>IFERROR(__xludf.DUMMYFUNCTION("""COMPUTED_VALUE"""),24016.02)</f>
        <v/>
      </c>
      <c r="R2087" s="6">
        <f>S2087&amp;T2087</f>
        <v/>
      </c>
      <c r="S2087" s="6">
        <f>YEAR(U2087)</f>
        <v/>
      </c>
      <c r="T2087" s="6">
        <f>MONTH(U2087)</f>
        <v/>
      </c>
      <c r="U2087" s="267">
        <f>IFERROR(__xludf.DUMMYFUNCTION("""COMPUTED_VALUE"""),46211.6458333333)</f>
        <v/>
      </c>
      <c r="V2087" s="6">
        <f>IFERROR(__xludf.DUMMYFUNCTION("""COMPUTED_VALUE"""),7246.79)</f>
        <v/>
      </c>
      <c r="Z2087" s="6">
        <f>AA2087&amp;AB2087</f>
        <v/>
      </c>
      <c r="AA2087" s="6">
        <f>YEAR(AC2087)</f>
        <v/>
      </c>
      <c r="AB2087" s="6">
        <f>MONTH(AC2087)</f>
        <v/>
      </c>
      <c r="AC2087" s="267">
        <f>IFERROR(__xludf.DUMMYFUNCTION("""COMPUTED_VALUE"""),45236.9986111111)</f>
        <v/>
      </c>
      <c r="AD2087" s="6">
        <f>IFERROR(__xludf.DUMMYFUNCTION("""COMPUTED_VALUE"""),1297.11)</f>
        <v/>
      </c>
      <c r="AH2087" s="6">
        <f>AI2087&amp;AJ2087</f>
        <v/>
      </c>
      <c r="AI2087" s="6">
        <f>YEAR(AK2087)</f>
        <v/>
      </c>
      <c r="AJ2087" s="6">
        <f>MONTH(AK2087)</f>
        <v/>
      </c>
      <c r="AK2087" s="267">
        <f>IFERROR(__xludf.DUMMYFUNCTION("""COMPUTED_VALUE"""),45180.9986111111)</f>
        <v/>
      </c>
      <c r="AL2087" s="6">
        <f>IFERROR(__xludf.DUMMYFUNCTION("""COMPUTED_VALUE"""),25163.71)</f>
        <v/>
      </c>
      <c r="AP2087" s="6">
        <f>AQ2087&amp;AR2087</f>
        <v/>
      </c>
      <c r="AQ2087" s="6">
        <f>YEAR(AS2087)</f>
        <v/>
      </c>
      <c r="AR2087" s="6">
        <f>MONTH(AS2087)</f>
        <v/>
      </c>
      <c r="AS2087" s="267">
        <f>IFERROR(__xludf.DUMMYFUNCTION("""COMPUTED_VALUE"""),46140.9986111111)</f>
        <v/>
      </c>
      <c r="AT2087" s="6">
        <f>IFERROR(__xludf.DUMMYFUNCTION("""COMPUTED_VALUE"""),4608.4)</f>
        <v/>
      </c>
    </row>
    <row r="2088">
      <c r="B2088" s="6">
        <f>C2088&amp;D2088</f>
        <v/>
      </c>
      <c r="C2088" s="6">
        <f>YEAR(E2088)</f>
        <v/>
      </c>
      <c r="D2088" s="6">
        <f>MONTH(E2088)</f>
        <v/>
      </c>
      <c r="E2088" s="267">
        <f>IFERROR(__xludf.DUMMYFUNCTION("""COMPUTED_VALUE"""),46134.6666666666)</f>
        <v/>
      </c>
      <c r="F2088" s="6">
        <f>IFERROR(__xludf.DUMMYFUNCTION("""COMPUTED_VALUE"""),7137.9)</f>
        <v/>
      </c>
      <c r="J2088" s="6">
        <f>K2088&amp;L2088</f>
        <v/>
      </c>
      <c r="K2088" s="6">
        <f>YEAR(M2088)</f>
        <v/>
      </c>
      <c r="L2088" s="6">
        <f>MONTH(M2088)</f>
        <v/>
      </c>
      <c r="M2088" s="267">
        <f>IFERROR(__xludf.DUMMYFUNCTION("""COMPUTED_VALUE"""),46128.6666666666)</f>
        <v/>
      </c>
      <c r="N2088" s="6">
        <f>IFERROR(__xludf.DUMMYFUNCTION("""COMPUTED_VALUE"""),24102.7)</f>
        <v/>
      </c>
      <c r="R2088" s="6">
        <f>S2088&amp;T2088</f>
        <v/>
      </c>
      <c r="S2088" s="6">
        <f>YEAR(U2088)</f>
        <v/>
      </c>
      <c r="T2088" s="6">
        <f>MONTH(U2088)</f>
        <v/>
      </c>
      <c r="U2088" s="267">
        <f>IFERROR(__xludf.DUMMYFUNCTION("""COMPUTED_VALUE"""),46212.6458333333)</f>
        <v/>
      </c>
      <c r="V2088" s="6">
        <f>IFERROR(__xludf.DUMMYFUNCTION("""COMPUTED_VALUE"""),7291.91)</f>
        <v/>
      </c>
      <c r="Z2088" s="6">
        <f>AA2088&amp;AB2088</f>
        <v/>
      </c>
      <c r="AA2088" s="6">
        <f>YEAR(AC2088)</f>
        <v/>
      </c>
      <c r="AB2088" s="6">
        <f>MONTH(AC2088)</f>
        <v/>
      </c>
      <c r="AC2088" s="267">
        <f>IFERROR(__xludf.DUMMYFUNCTION("""COMPUTED_VALUE"""),45237.9986111111)</f>
        <v/>
      </c>
      <c r="AD2088" s="6">
        <f>IFERROR(__xludf.DUMMYFUNCTION("""COMPUTED_VALUE"""),1304.55)</f>
        <v/>
      </c>
      <c r="AH2088" s="6">
        <f>AI2088&amp;AJ2088</f>
        <v/>
      </c>
      <c r="AI2088" s="6">
        <f>YEAR(AK2088)</f>
        <v/>
      </c>
      <c r="AJ2088" s="6">
        <f>MONTH(AK2088)</f>
        <v/>
      </c>
      <c r="AK2088" s="267">
        <f>IFERROR(__xludf.DUMMYFUNCTION("""COMPUTED_VALUE"""),45181.9986111111)</f>
        <v/>
      </c>
      <c r="AL2088" s="6">
        <f>IFERROR(__xludf.DUMMYFUNCTION("""COMPUTED_VALUE"""),25843.55)</f>
        <v/>
      </c>
      <c r="AP2088" s="6">
        <f>AQ2088&amp;AR2088</f>
        <v/>
      </c>
      <c r="AQ2088" s="6">
        <f>YEAR(AS2088)</f>
        <v/>
      </c>
      <c r="AR2088" s="6">
        <f>MONTH(AS2088)</f>
        <v/>
      </c>
      <c r="AS2088" s="267">
        <f>IFERROR(__xludf.DUMMYFUNCTION("""COMPUTED_VALUE"""),46141.9986111111)</f>
        <v/>
      </c>
      <c r="AT2088" s="6">
        <f>IFERROR(__xludf.DUMMYFUNCTION("""COMPUTED_VALUE"""),4561.5)</f>
        <v/>
      </c>
    </row>
    <row r="2089">
      <c r="B2089" s="6">
        <f>C2089&amp;D2089</f>
        <v/>
      </c>
      <c r="C2089" s="6">
        <f>YEAR(E2089)</f>
        <v/>
      </c>
      <c r="D2089" s="6">
        <f>MONTH(E2089)</f>
        <v/>
      </c>
      <c r="E2089" s="267">
        <f>IFERROR(__xludf.DUMMYFUNCTION("""COMPUTED_VALUE"""),46135.6666666666)</f>
        <v/>
      </c>
      <c r="F2089" s="6">
        <f>IFERROR(__xludf.DUMMYFUNCTION("""COMPUTED_VALUE"""),7108.4)</f>
        <v/>
      </c>
      <c r="J2089" s="6">
        <f>K2089&amp;L2089</f>
        <v/>
      </c>
      <c r="K2089" s="6">
        <f>YEAR(M2089)</f>
        <v/>
      </c>
      <c r="L2089" s="6">
        <f>MONTH(M2089)</f>
        <v/>
      </c>
      <c r="M2089" s="267">
        <f>IFERROR(__xludf.DUMMYFUNCTION("""COMPUTED_VALUE"""),46129.6666666666)</f>
        <v/>
      </c>
      <c r="N2089" s="6">
        <f>IFERROR(__xludf.DUMMYFUNCTION("""COMPUTED_VALUE"""),24468.48)</f>
        <v/>
      </c>
      <c r="R2089" s="6">
        <f>S2089&amp;T2089</f>
        <v/>
      </c>
      <c r="S2089" s="6">
        <f>YEAR(U2089)</f>
        <v/>
      </c>
      <c r="T2089" s="6">
        <f>MONTH(U2089)</f>
        <v/>
      </c>
      <c r="U2089" s="267">
        <f>IFERROR(__xludf.DUMMYFUNCTION("""COMPUTED_VALUE"""),46213.6458333333)</f>
        <v/>
      </c>
      <c r="V2089" s="6">
        <f>IFERROR(__xludf.DUMMYFUNCTION("""COMPUTED_VALUE"""),7475.94)</f>
        <v/>
      </c>
      <c r="Z2089" s="6">
        <f>AA2089&amp;AB2089</f>
        <v/>
      </c>
      <c r="AA2089" s="6">
        <f>YEAR(AC2089)</f>
        <v/>
      </c>
      <c r="AB2089" s="6">
        <f>MONTH(AC2089)</f>
        <v/>
      </c>
      <c r="AC2089" s="267">
        <f>IFERROR(__xludf.DUMMYFUNCTION("""COMPUTED_VALUE"""),45238.9986111111)</f>
        <v/>
      </c>
      <c r="AD2089" s="6">
        <f>IFERROR(__xludf.DUMMYFUNCTION("""COMPUTED_VALUE"""),1308.12)</f>
        <v/>
      </c>
      <c r="AH2089" s="6">
        <f>AI2089&amp;AJ2089</f>
        <v/>
      </c>
      <c r="AI2089" s="6">
        <f>YEAR(AK2089)</f>
        <v/>
      </c>
      <c r="AJ2089" s="6">
        <f>MONTH(AK2089)</f>
        <v/>
      </c>
      <c r="AK2089" s="267">
        <f>IFERROR(__xludf.DUMMYFUNCTION("""COMPUTED_VALUE"""),45182.9986111111)</f>
        <v/>
      </c>
      <c r="AL2089" s="6">
        <f>IFERROR(__xludf.DUMMYFUNCTION("""COMPUTED_VALUE"""),26227.52)</f>
        <v/>
      </c>
      <c r="AP2089" s="6">
        <f>AQ2089&amp;AR2089</f>
        <v/>
      </c>
      <c r="AQ2089" s="6">
        <f>YEAR(AS2089)</f>
        <v/>
      </c>
      <c r="AR2089" s="6">
        <f>MONTH(AS2089)</f>
        <v/>
      </c>
      <c r="AS2089" s="267">
        <f>IFERROR(__xludf.DUMMYFUNCTION("""COMPUTED_VALUE"""),46142.9986111111)</f>
        <v/>
      </c>
      <c r="AT2089" s="6">
        <f>IFERROR(__xludf.DUMMYFUNCTION("""COMPUTED_VALUE"""),4629.6)</f>
        <v/>
      </c>
    </row>
    <row r="2090">
      <c r="B2090" s="6">
        <f>C2090&amp;D2090</f>
        <v/>
      </c>
      <c r="C2090" s="6">
        <f>YEAR(E2090)</f>
        <v/>
      </c>
      <c r="D2090" s="6">
        <f>MONTH(E2090)</f>
        <v/>
      </c>
      <c r="E2090" s="267">
        <f>IFERROR(__xludf.DUMMYFUNCTION("""COMPUTED_VALUE"""),46136.6666666666)</f>
        <v/>
      </c>
      <c r="F2090" s="6">
        <f>IFERROR(__xludf.DUMMYFUNCTION("""COMPUTED_VALUE"""),7165.08)</f>
        <v/>
      </c>
      <c r="J2090" s="6">
        <f>K2090&amp;L2090</f>
        <v/>
      </c>
      <c r="K2090" s="6">
        <f>YEAR(M2090)</f>
        <v/>
      </c>
      <c r="L2090" s="6">
        <f>MONTH(M2090)</f>
        <v/>
      </c>
      <c r="M2090" s="267">
        <f>IFERROR(__xludf.DUMMYFUNCTION("""COMPUTED_VALUE"""),46132.6666666666)</f>
        <v/>
      </c>
      <c r="N2090" s="6">
        <f>IFERROR(__xludf.DUMMYFUNCTION("""COMPUTED_VALUE"""),24404.39)</f>
        <v/>
      </c>
      <c r="R2090" s="6">
        <f>S2090&amp;T2090</f>
        <v/>
      </c>
      <c r="S2090" s="6">
        <f>YEAR(U2090)</f>
        <v/>
      </c>
      <c r="T2090" s="6">
        <f>MONTH(U2090)</f>
        <v/>
      </c>
      <c r="U2090" s="267">
        <f>IFERROR(__xludf.DUMMYFUNCTION("""COMPUTED_VALUE"""),46216.6458333333)</f>
        <v/>
      </c>
      <c r="V2090" s="6">
        <f>IFERROR(__xludf.DUMMYFUNCTION("""COMPUTED_VALUE"""),6806.93)</f>
        <v/>
      </c>
      <c r="Z2090" s="6">
        <f>AA2090&amp;AB2090</f>
        <v/>
      </c>
      <c r="AA2090" s="6">
        <f>YEAR(AC2090)</f>
        <v/>
      </c>
      <c r="AB2090" s="6">
        <f>MONTH(AC2090)</f>
        <v/>
      </c>
      <c r="AC2090" s="267">
        <f>IFERROR(__xludf.DUMMYFUNCTION("""COMPUTED_VALUE"""),45239.9986111111)</f>
        <v/>
      </c>
      <c r="AD2090" s="6">
        <f>IFERROR(__xludf.DUMMYFUNCTION("""COMPUTED_VALUE"""),1315.2)</f>
        <v/>
      </c>
      <c r="AH2090" s="6">
        <f>AI2090&amp;AJ2090</f>
        <v/>
      </c>
      <c r="AI2090" s="6">
        <f>YEAR(AK2090)</f>
        <v/>
      </c>
      <c r="AJ2090" s="6">
        <f>MONTH(AK2090)</f>
        <v/>
      </c>
      <c r="AK2090" s="267">
        <f>IFERROR(__xludf.DUMMYFUNCTION("""COMPUTED_VALUE"""),45183.9986111111)</f>
        <v/>
      </c>
      <c r="AL2090" s="6">
        <f>IFERROR(__xludf.DUMMYFUNCTION("""COMPUTED_VALUE"""),26534.06)</f>
        <v/>
      </c>
      <c r="AP2090" s="6">
        <f>AQ2090&amp;AR2090</f>
        <v/>
      </c>
      <c r="AQ2090" s="6">
        <f>YEAR(AS2090)</f>
        <v/>
      </c>
      <c r="AR2090" s="6">
        <f>MONTH(AS2090)</f>
        <v/>
      </c>
      <c r="AS2090" s="267">
        <f>IFERROR(__xludf.DUMMYFUNCTION("""COMPUTED_VALUE"""),46143.9986111111)</f>
        <v/>
      </c>
      <c r="AT2090" s="6">
        <f>IFERROR(__xludf.DUMMYFUNCTION("""COMPUTED_VALUE"""),4644.5)</f>
        <v/>
      </c>
    </row>
    <row r="2091">
      <c r="B2091" s="6">
        <f>C2091&amp;D2091</f>
        <v/>
      </c>
      <c r="C2091" s="6">
        <f>YEAR(E2091)</f>
        <v/>
      </c>
      <c r="D2091" s="6">
        <f>MONTH(E2091)</f>
        <v/>
      </c>
      <c r="E2091" s="267">
        <f>IFERROR(__xludf.DUMMYFUNCTION("""COMPUTED_VALUE"""),46139.6666666666)</f>
        <v/>
      </c>
      <c r="F2091" s="6">
        <f>IFERROR(__xludf.DUMMYFUNCTION("""COMPUTED_VALUE"""),7173.91)</f>
        <v/>
      </c>
      <c r="J2091" s="6">
        <f>K2091&amp;L2091</f>
        <v/>
      </c>
      <c r="K2091" s="6">
        <f>YEAR(M2091)</f>
        <v/>
      </c>
      <c r="L2091" s="6">
        <f>MONTH(M2091)</f>
        <v/>
      </c>
      <c r="M2091" s="267">
        <f>IFERROR(__xludf.DUMMYFUNCTION("""COMPUTED_VALUE"""),46133.6666666666)</f>
        <v/>
      </c>
      <c r="N2091" s="6">
        <f>IFERROR(__xludf.DUMMYFUNCTION("""COMPUTED_VALUE"""),24259.96)</f>
        <v/>
      </c>
      <c r="R2091" s="6">
        <f>S2091&amp;T2091</f>
        <v/>
      </c>
      <c r="S2091" s="6">
        <f>YEAR(U2091)</f>
        <v/>
      </c>
      <c r="T2091" s="6">
        <f>MONTH(U2091)</f>
        <v/>
      </c>
      <c r="U2091" s="267">
        <f>IFERROR(__xludf.DUMMYFUNCTION("""COMPUTED_VALUE"""),46217.6458333333)</f>
        <v/>
      </c>
      <c r="V2091" s="6">
        <f>IFERROR(__xludf.DUMMYFUNCTION("""COMPUTED_VALUE"""),6856.83)</f>
        <v/>
      </c>
      <c r="Z2091" s="6">
        <f>AA2091&amp;AB2091</f>
        <v/>
      </c>
      <c r="AA2091" s="6">
        <f>YEAR(AC2091)</f>
        <v/>
      </c>
      <c r="AB2091" s="6">
        <f>MONTH(AC2091)</f>
        <v/>
      </c>
      <c r="AC2091" s="267">
        <f>IFERROR(__xludf.DUMMYFUNCTION("""COMPUTED_VALUE"""),45240.9986111111)</f>
        <v/>
      </c>
      <c r="AD2091" s="6">
        <f>IFERROR(__xludf.DUMMYFUNCTION("""COMPUTED_VALUE"""),1319.62)</f>
        <v/>
      </c>
      <c r="AH2091" s="6">
        <f>AI2091&amp;AJ2091</f>
        <v/>
      </c>
      <c r="AI2091" s="6">
        <f>YEAR(AK2091)</f>
        <v/>
      </c>
      <c r="AJ2091" s="6">
        <f>MONTH(AK2091)</f>
        <v/>
      </c>
      <c r="AK2091" s="267">
        <f>IFERROR(__xludf.DUMMYFUNCTION("""COMPUTED_VALUE"""),45184.9986111111)</f>
        <v/>
      </c>
      <c r="AL2091" s="6">
        <f>IFERROR(__xludf.DUMMYFUNCTION("""COMPUTED_VALUE"""),26607.32)</f>
        <v/>
      </c>
      <c r="AP2091" s="6">
        <f>AQ2091&amp;AR2091</f>
        <v/>
      </c>
      <c r="AQ2091" s="6">
        <f>YEAR(AS2091)</f>
        <v/>
      </c>
      <c r="AR2091" s="6">
        <f>MONTH(AS2091)</f>
        <v/>
      </c>
      <c r="AS2091" s="267">
        <f>IFERROR(__xludf.DUMMYFUNCTION("""COMPUTED_VALUE"""),46146.9986111111)</f>
        <v/>
      </c>
      <c r="AT2091" s="6">
        <f>IFERROR(__xludf.DUMMYFUNCTION("""COMPUTED_VALUE"""),4533.3)</f>
        <v/>
      </c>
    </row>
    <row r="2092">
      <c r="B2092" s="6">
        <f>C2092&amp;D2092</f>
        <v/>
      </c>
      <c r="C2092" s="6">
        <f>YEAR(E2092)</f>
        <v/>
      </c>
      <c r="D2092" s="6">
        <f>MONTH(E2092)</f>
        <v/>
      </c>
      <c r="E2092" s="267">
        <f>IFERROR(__xludf.DUMMYFUNCTION("""COMPUTED_VALUE"""),46140.6666666666)</f>
        <v/>
      </c>
      <c r="F2092" s="6">
        <f>IFERROR(__xludf.DUMMYFUNCTION("""COMPUTED_VALUE"""),7138.8)</f>
        <v/>
      </c>
      <c r="J2092" s="6">
        <f>K2092&amp;L2092</f>
        <v/>
      </c>
      <c r="K2092" s="6">
        <f>YEAR(M2092)</f>
        <v/>
      </c>
      <c r="L2092" s="6">
        <f>MONTH(M2092)</f>
        <v/>
      </c>
      <c r="M2092" s="267">
        <f>IFERROR(__xludf.DUMMYFUNCTION("""COMPUTED_VALUE"""),46134.6666666666)</f>
        <v/>
      </c>
      <c r="N2092" s="6">
        <f>IFERROR(__xludf.DUMMYFUNCTION("""COMPUTED_VALUE"""),24657.57)</f>
        <v/>
      </c>
      <c r="R2092" s="6">
        <f>S2092&amp;T2092</f>
        <v/>
      </c>
      <c r="S2092" s="6">
        <f>YEAR(U2092)</f>
        <v/>
      </c>
      <c r="T2092" s="6">
        <f>MONTH(U2092)</f>
        <v/>
      </c>
      <c r="U2092" s="267">
        <f>IFERROR(__xludf.DUMMYFUNCTION("""COMPUTED_VALUE"""),46218.6458333333)</f>
        <v/>
      </c>
      <c r="V2092" s="6">
        <f>IFERROR(__xludf.DUMMYFUNCTION("""COMPUTED_VALUE"""),7284.41)</f>
        <v/>
      </c>
      <c r="Z2092" s="6">
        <f>AA2092&amp;AB2092</f>
        <v/>
      </c>
      <c r="AA2092" s="6">
        <f>YEAR(AC2092)</f>
        <v/>
      </c>
      <c r="AB2092" s="6">
        <f>MONTH(AC2092)</f>
        <v/>
      </c>
      <c r="AC2092" s="267">
        <f>IFERROR(__xludf.DUMMYFUNCTION("""COMPUTED_VALUE"""),45241.9986111111)</f>
        <v/>
      </c>
      <c r="AD2092" s="6">
        <f>IFERROR(__xludf.DUMMYFUNCTION("""COMPUTED_VALUE"""),1319.62)</f>
        <v/>
      </c>
      <c r="AH2092" s="6">
        <f>AI2092&amp;AJ2092</f>
        <v/>
      </c>
      <c r="AI2092" s="6">
        <f>YEAR(AK2092)</f>
        <v/>
      </c>
      <c r="AJ2092" s="6">
        <f>MONTH(AK2092)</f>
        <v/>
      </c>
      <c r="AK2092" s="267">
        <f>IFERROR(__xludf.DUMMYFUNCTION("""COMPUTED_VALUE"""),45185.9986111111)</f>
        <v/>
      </c>
      <c r="AL2092" s="6">
        <f>IFERROR(__xludf.DUMMYFUNCTION("""COMPUTED_VALUE"""),26569.63)</f>
        <v/>
      </c>
      <c r="AP2092" s="6">
        <f>AQ2092&amp;AR2092</f>
        <v/>
      </c>
      <c r="AQ2092" s="6">
        <f>YEAR(AS2092)</f>
        <v/>
      </c>
      <c r="AR2092" s="6">
        <f>MONTH(AS2092)</f>
        <v/>
      </c>
      <c r="AS2092" s="267">
        <f>IFERROR(__xludf.DUMMYFUNCTION("""COMPUTED_VALUE"""),46147.9986111111)</f>
        <v/>
      </c>
      <c r="AT2092" s="6">
        <f>IFERROR(__xludf.DUMMYFUNCTION("""COMPUTED_VALUE"""),4568.5)</f>
        <v/>
      </c>
    </row>
    <row r="2093">
      <c r="B2093" s="6">
        <f>C2093&amp;D2093</f>
        <v/>
      </c>
      <c r="C2093" s="6">
        <f>YEAR(E2093)</f>
        <v/>
      </c>
      <c r="D2093" s="6">
        <f>MONTH(E2093)</f>
        <v/>
      </c>
      <c r="E2093" s="267">
        <f>IFERROR(__xludf.DUMMYFUNCTION("""COMPUTED_VALUE"""),46141.6666666666)</f>
        <v/>
      </c>
      <c r="F2093" s="6">
        <f>IFERROR(__xludf.DUMMYFUNCTION("""COMPUTED_VALUE"""),7135.95)</f>
        <v/>
      </c>
      <c r="J2093" s="6">
        <f>K2093&amp;L2093</f>
        <v/>
      </c>
      <c r="K2093" s="6">
        <f>YEAR(M2093)</f>
        <v/>
      </c>
      <c r="L2093" s="6">
        <f>MONTH(M2093)</f>
        <v/>
      </c>
      <c r="M2093" s="267">
        <f>IFERROR(__xludf.DUMMYFUNCTION("""COMPUTED_VALUE"""),46135.6666666666)</f>
        <v/>
      </c>
      <c r="N2093" s="6">
        <f>IFERROR(__xludf.DUMMYFUNCTION("""COMPUTED_VALUE"""),24438.5)</f>
        <v/>
      </c>
      <c r="R2093" s="6">
        <f>S2093&amp;T2093</f>
        <v/>
      </c>
      <c r="S2093" s="6">
        <f>YEAR(U2093)</f>
        <v/>
      </c>
      <c r="T2093" s="6">
        <f>MONTH(U2093)</f>
        <v/>
      </c>
      <c r="U2093" s="267">
        <f>IFERROR(__xludf.DUMMYFUNCTION("""COMPUTED_VALUE"""),46219.6458333333)</f>
        <v/>
      </c>
      <c r="V2093" s="6">
        <f>IFERROR(__xludf.DUMMYFUNCTION("""COMPUTED_VALUE"""),6820.6)</f>
        <v/>
      </c>
      <c r="Z2093" s="6">
        <f>AA2093&amp;AB2093</f>
        <v/>
      </c>
      <c r="AA2093" s="6">
        <f>YEAR(AC2093)</f>
        <v/>
      </c>
      <c r="AB2093" s="6">
        <f>MONTH(AC2093)</f>
        <v/>
      </c>
      <c r="AC2093" s="267">
        <f>IFERROR(__xludf.DUMMYFUNCTION("""COMPUTED_VALUE"""),45242.9986111111)</f>
        <v/>
      </c>
      <c r="AD2093" s="6">
        <f>IFERROR(__xludf.DUMMYFUNCTION("""COMPUTED_VALUE"""),1319.62)</f>
        <v/>
      </c>
      <c r="AH2093" s="6">
        <f>AI2093&amp;AJ2093</f>
        <v/>
      </c>
      <c r="AI2093" s="6">
        <f>YEAR(AK2093)</f>
        <v/>
      </c>
      <c r="AJ2093" s="6">
        <f>MONTH(AK2093)</f>
        <v/>
      </c>
      <c r="AK2093" s="267">
        <f>IFERROR(__xludf.DUMMYFUNCTION("""COMPUTED_VALUE"""),45186.9986111111)</f>
        <v/>
      </c>
      <c r="AL2093" s="6">
        <f>IFERROR(__xludf.DUMMYFUNCTION("""COMPUTED_VALUE"""),26530.24)</f>
        <v/>
      </c>
      <c r="AP2093" s="6">
        <f>AQ2093&amp;AR2093</f>
        <v/>
      </c>
      <c r="AQ2093" s="6">
        <f>YEAR(AS2093)</f>
        <v/>
      </c>
      <c r="AR2093" s="6">
        <f>MONTH(AS2093)</f>
        <v/>
      </c>
      <c r="AS2093" s="267">
        <f>IFERROR(__xludf.DUMMYFUNCTION("""COMPUTED_VALUE"""),46148.9986111111)</f>
        <v/>
      </c>
      <c r="AT2093" s="6">
        <f>IFERROR(__xludf.DUMMYFUNCTION("""COMPUTED_VALUE"""),4694.3)</f>
        <v/>
      </c>
    </row>
    <row r="2094">
      <c r="B2094" s="6">
        <f>C2094&amp;D2094</f>
        <v/>
      </c>
      <c r="C2094" s="6">
        <f>YEAR(E2094)</f>
        <v/>
      </c>
      <c r="D2094" s="6">
        <f>MONTH(E2094)</f>
        <v/>
      </c>
      <c r="E2094" s="267">
        <f>IFERROR(__xludf.DUMMYFUNCTION("""COMPUTED_VALUE"""),46142.6666666666)</f>
        <v/>
      </c>
      <c r="F2094" s="6">
        <f>IFERROR(__xludf.DUMMYFUNCTION("""COMPUTED_VALUE"""),7209.01)</f>
        <v/>
      </c>
      <c r="J2094" s="6">
        <f>K2094&amp;L2094</f>
        <v/>
      </c>
      <c r="K2094" s="6">
        <f>YEAR(M2094)</f>
        <v/>
      </c>
      <c r="L2094" s="6">
        <f>MONTH(M2094)</f>
        <v/>
      </c>
      <c r="M2094" s="267">
        <f>IFERROR(__xludf.DUMMYFUNCTION("""COMPUTED_VALUE"""),46136.6666666666)</f>
        <v/>
      </c>
      <c r="N2094" s="6">
        <f>IFERROR(__xludf.DUMMYFUNCTION("""COMPUTED_VALUE"""),24836.6)</f>
        <v/>
      </c>
      <c r="R2094" s="6">
        <f>S2094&amp;T2094</f>
        <v/>
      </c>
      <c r="S2094" s="6">
        <f>YEAR(U2094)</f>
        <v/>
      </c>
      <c r="T2094" s="6">
        <f>MONTH(U2094)</f>
        <v/>
      </c>
      <c r="Z2094" s="6">
        <f>AA2094&amp;AB2094</f>
        <v/>
      </c>
      <c r="AA2094" s="6">
        <f>YEAR(AC2094)</f>
        <v/>
      </c>
      <c r="AB2094" s="6">
        <f>MONTH(AC2094)</f>
        <v/>
      </c>
      <c r="AC2094" s="267">
        <f>IFERROR(__xludf.DUMMYFUNCTION("""COMPUTED_VALUE"""),45243.9986111111)</f>
        <v/>
      </c>
      <c r="AD2094" s="6">
        <f>IFERROR(__xludf.DUMMYFUNCTION("""COMPUTED_VALUE"""),1319.07)</f>
        <v/>
      </c>
      <c r="AH2094" s="6">
        <f>AI2094&amp;AJ2094</f>
        <v/>
      </c>
      <c r="AI2094" s="6">
        <f>YEAR(AK2094)</f>
        <v/>
      </c>
      <c r="AJ2094" s="6">
        <f>MONTH(AK2094)</f>
        <v/>
      </c>
      <c r="AK2094" s="267">
        <f>IFERROR(__xludf.DUMMYFUNCTION("""COMPUTED_VALUE"""),45187.9986111111)</f>
        <v/>
      </c>
      <c r="AL2094" s="6">
        <f>IFERROR(__xludf.DUMMYFUNCTION("""COMPUTED_VALUE"""),26764.2)</f>
        <v/>
      </c>
      <c r="AP2094" s="6">
        <f>AQ2094&amp;AR2094</f>
        <v/>
      </c>
      <c r="AQ2094" s="6">
        <f>YEAR(AS2094)</f>
        <v/>
      </c>
      <c r="AR2094" s="6">
        <f>MONTH(AS2094)</f>
        <v/>
      </c>
      <c r="AS2094" s="267">
        <f>IFERROR(__xludf.DUMMYFUNCTION("""COMPUTED_VALUE"""),46149.9986111111)</f>
        <v/>
      </c>
      <c r="AT2094" s="6">
        <f>IFERROR(__xludf.DUMMYFUNCTION("""COMPUTED_VALUE"""),4710.9)</f>
        <v/>
      </c>
    </row>
    <row r="2095">
      <c r="B2095" s="6">
        <f>C2095&amp;D2095</f>
        <v/>
      </c>
      <c r="C2095" s="6">
        <f>YEAR(E2095)</f>
        <v/>
      </c>
      <c r="D2095" s="6">
        <f>MONTH(E2095)</f>
        <v/>
      </c>
      <c r="E2095" s="267">
        <f>IFERROR(__xludf.DUMMYFUNCTION("""COMPUTED_VALUE"""),46143.6666666666)</f>
        <v/>
      </c>
      <c r="F2095" s="6">
        <f>IFERROR(__xludf.DUMMYFUNCTION("""COMPUTED_VALUE"""),7230.12)</f>
        <v/>
      </c>
      <c r="J2095" s="6">
        <f>K2095&amp;L2095</f>
        <v/>
      </c>
      <c r="K2095" s="6">
        <f>YEAR(M2095)</f>
        <v/>
      </c>
      <c r="L2095" s="6">
        <f>MONTH(M2095)</f>
        <v/>
      </c>
      <c r="M2095" s="267">
        <f>IFERROR(__xludf.DUMMYFUNCTION("""COMPUTED_VALUE"""),46139.6666666666)</f>
        <v/>
      </c>
      <c r="N2095" s="6">
        <f>IFERROR(__xludf.DUMMYFUNCTION("""COMPUTED_VALUE"""),24887.1)</f>
        <v/>
      </c>
      <c r="R2095" s="6">
        <f>S2095&amp;T2095</f>
        <v/>
      </c>
      <c r="S2095" s="6">
        <f>YEAR(U2095)</f>
        <v/>
      </c>
      <c r="T2095" s="6">
        <f>MONTH(U2095)</f>
        <v/>
      </c>
      <c r="Z2095" s="6">
        <f>AA2095&amp;AB2095</f>
        <v/>
      </c>
      <c r="AA2095" s="6">
        <f>YEAR(AC2095)</f>
        <v/>
      </c>
      <c r="AB2095" s="6">
        <f>MONTH(AC2095)</f>
        <v/>
      </c>
      <c r="AC2095" s="267">
        <f>IFERROR(__xludf.DUMMYFUNCTION("""COMPUTED_VALUE"""),45244.9986111111)</f>
        <v/>
      </c>
      <c r="AD2095" s="6">
        <f>IFERROR(__xludf.DUMMYFUNCTION("""COMPUTED_VALUE"""),1304.24)</f>
        <v/>
      </c>
      <c r="AH2095" s="6">
        <f>AI2095&amp;AJ2095</f>
        <v/>
      </c>
      <c r="AI2095" s="6">
        <f>YEAR(AK2095)</f>
        <v/>
      </c>
      <c r="AJ2095" s="6">
        <f>MONTH(AK2095)</f>
        <v/>
      </c>
      <c r="AK2095" s="267">
        <f>IFERROR(__xludf.DUMMYFUNCTION("""COMPUTED_VALUE"""),45188.9986111111)</f>
        <v/>
      </c>
      <c r="AL2095" s="6">
        <f>IFERROR(__xludf.DUMMYFUNCTION("""COMPUTED_VALUE"""),27217.88)</f>
        <v/>
      </c>
      <c r="AP2095" s="6">
        <f>AQ2095&amp;AR2095</f>
        <v/>
      </c>
      <c r="AQ2095" s="6">
        <f>YEAR(AS2095)</f>
        <v/>
      </c>
      <c r="AR2095" s="6">
        <f>MONTH(AS2095)</f>
        <v/>
      </c>
      <c r="AS2095" s="267">
        <f>IFERROR(__xludf.DUMMYFUNCTION("""COMPUTED_VALUE"""),46150.9986111111)</f>
        <v/>
      </c>
      <c r="AT2095" s="6">
        <f>IFERROR(__xludf.DUMMYFUNCTION("""COMPUTED_VALUE"""),4730.7)</f>
        <v/>
      </c>
    </row>
    <row r="2096">
      <c r="B2096" s="6">
        <f>C2096&amp;D2096</f>
        <v/>
      </c>
      <c r="C2096" s="6">
        <f>YEAR(E2096)</f>
        <v/>
      </c>
      <c r="D2096" s="6">
        <f>MONTH(E2096)</f>
        <v/>
      </c>
      <c r="E2096" s="267">
        <f>IFERROR(__xludf.DUMMYFUNCTION("""COMPUTED_VALUE"""),46146.6666666666)</f>
        <v/>
      </c>
      <c r="F2096" s="6">
        <f>IFERROR(__xludf.DUMMYFUNCTION("""COMPUTED_VALUE"""),7200.75)</f>
        <v/>
      </c>
      <c r="J2096" s="6">
        <f>K2096&amp;L2096</f>
        <v/>
      </c>
      <c r="K2096" s="6">
        <f>YEAR(M2096)</f>
        <v/>
      </c>
      <c r="L2096" s="6">
        <f>MONTH(M2096)</f>
        <v/>
      </c>
      <c r="M2096" s="267">
        <f>IFERROR(__xludf.DUMMYFUNCTION("""COMPUTED_VALUE"""),46140.6666666666)</f>
        <v/>
      </c>
      <c r="N2096" s="6">
        <f>IFERROR(__xludf.DUMMYFUNCTION("""COMPUTED_VALUE"""),24663.8)</f>
        <v/>
      </c>
      <c r="R2096" s="6">
        <f>S2096&amp;T2096</f>
        <v/>
      </c>
      <c r="S2096" s="6">
        <f>YEAR(U2096)</f>
        <v/>
      </c>
      <c r="T2096" s="6">
        <f>MONTH(U2096)</f>
        <v/>
      </c>
      <c r="Z2096" s="6">
        <f>AA2096&amp;AB2096</f>
        <v/>
      </c>
      <c r="AA2096" s="6">
        <f>YEAR(AC2096)</f>
        <v/>
      </c>
      <c r="AB2096" s="6">
        <f>MONTH(AC2096)</f>
        <v/>
      </c>
      <c r="AC2096" s="267">
        <f>IFERROR(__xludf.DUMMYFUNCTION("""COMPUTED_VALUE"""),45245.9986111111)</f>
        <v/>
      </c>
      <c r="AD2096" s="6">
        <f>IFERROR(__xludf.DUMMYFUNCTION("""COMPUTED_VALUE"""),1301.86)</f>
        <v/>
      </c>
      <c r="AH2096" s="6">
        <f>AI2096&amp;AJ2096</f>
        <v/>
      </c>
      <c r="AI2096" s="6">
        <f>YEAR(AK2096)</f>
        <v/>
      </c>
      <c r="AJ2096" s="6">
        <f>MONTH(AK2096)</f>
        <v/>
      </c>
      <c r="AK2096" s="267">
        <f>IFERROR(__xludf.DUMMYFUNCTION("""COMPUTED_VALUE"""),45189.9986111111)</f>
        <v/>
      </c>
      <c r="AL2096" s="6">
        <f>IFERROR(__xludf.DUMMYFUNCTION("""COMPUTED_VALUE"""),27127.37)</f>
        <v/>
      </c>
      <c r="AP2096" s="6">
        <f>AQ2096&amp;AR2096</f>
        <v/>
      </c>
      <c r="AQ2096" s="6">
        <f>YEAR(AS2096)</f>
        <v/>
      </c>
      <c r="AR2096" s="6">
        <f>MONTH(AS2096)</f>
        <v/>
      </c>
      <c r="AS2096" s="267">
        <f>IFERROR(__xludf.DUMMYFUNCTION("""COMPUTED_VALUE"""),46153.9986111111)</f>
        <v/>
      </c>
      <c r="AT2096" s="6">
        <f>IFERROR(__xludf.DUMMYFUNCTION("""COMPUTED_VALUE"""),4728.7)</f>
        <v/>
      </c>
    </row>
    <row r="2097">
      <c r="B2097" s="6">
        <f>C2097&amp;D2097</f>
        <v/>
      </c>
      <c r="C2097" s="6">
        <f>YEAR(E2097)</f>
        <v/>
      </c>
      <c r="D2097" s="6">
        <f>MONTH(E2097)</f>
        <v/>
      </c>
      <c r="E2097" s="267">
        <f>IFERROR(__xludf.DUMMYFUNCTION("""COMPUTED_VALUE"""),46147.6666666666)</f>
        <v/>
      </c>
      <c r="F2097" s="6">
        <f>IFERROR(__xludf.DUMMYFUNCTION("""COMPUTED_VALUE"""),7259.22)</f>
        <v/>
      </c>
      <c r="J2097" s="6">
        <f>K2097&amp;L2097</f>
        <v/>
      </c>
      <c r="K2097" s="6">
        <f>YEAR(M2097)</f>
        <v/>
      </c>
      <c r="L2097" s="6">
        <f>MONTH(M2097)</f>
        <v/>
      </c>
      <c r="M2097" s="267">
        <f>IFERROR(__xludf.DUMMYFUNCTION("""COMPUTED_VALUE"""),46141.6666666666)</f>
        <v/>
      </c>
      <c r="N2097" s="6">
        <f>IFERROR(__xludf.DUMMYFUNCTION("""COMPUTED_VALUE"""),24673.24)</f>
        <v/>
      </c>
      <c r="R2097" s="6">
        <f>S2097&amp;T2097</f>
        <v/>
      </c>
      <c r="S2097" s="6">
        <f>YEAR(U2097)</f>
        <v/>
      </c>
      <c r="T2097" s="6">
        <f>MONTH(U2097)</f>
        <v/>
      </c>
      <c r="Z2097" s="6">
        <f>AA2097&amp;AB2097</f>
        <v/>
      </c>
      <c r="AA2097" s="6">
        <f>YEAR(AC2097)</f>
        <v/>
      </c>
      <c r="AB2097" s="6">
        <f>MONTH(AC2097)</f>
        <v/>
      </c>
      <c r="AC2097" s="267">
        <f>IFERROR(__xludf.DUMMYFUNCTION("""COMPUTED_VALUE"""),45246.9986111111)</f>
        <v/>
      </c>
      <c r="AD2097" s="6">
        <f>IFERROR(__xludf.DUMMYFUNCTION("""COMPUTED_VALUE"""),1292.45)</f>
        <v/>
      </c>
      <c r="AH2097" s="6">
        <f>AI2097&amp;AJ2097</f>
        <v/>
      </c>
      <c r="AI2097" s="6">
        <f>YEAR(AK2097)</f>
        <v/>
      </c>
      <c r="AJ2097" s="6">
        <f>MONTH(AK2097)</f>
        <v/>
      </c>
      <c r="AK2097" s="267">
        <f>IFERROR(__xludf.DUMMYFUNCTION("""COMPUTED_VALUE"""),45190.9986111111)</f>
        <v/>
      </c>
      <c r="AL2097" s="6">
        <f>IFERROR(__xludf.DUMMYFUNCTION("""COMPUTED_VALUE"""),26567.97)</f>
        <v/>
      </c>
      <c r="AP2097" s="6">
        <f>AQ2097&amp;AR2097</f>
        <v/>
      </c>
      <c r="AQ2097" s="6">
        <f>YEAR(AS2097)</f>
        <v/>
      </c>
      <c r="AR2097" s="6">
        <f>MONTH(AS2097)</f>
        <v/>
      </c>
      <c r="AS2097" s="267">
        <f>IFERROR(__xludf.DUMMYFUNCTION("""COMPUTED_VALUE"""),46154.9986111111)</f>
        <v/>
      </c>
      <c r="AT2097" s="6">
        <f>IFERROR(__xludf.DUMMYFUNCTION("""COMPUTED_VALUE"""),4686.7)</f>
        <v/>
      </c>
    </row>
    <row r="2098">
      <c r="B2098" s="6">
        <f>C2098&amp;D2098</f>
        <v/>
      </c>
      <c r="C2098" s="6">
        <f>YEAR(E2098)</f>
        <v/>
      </c>
      <c r="D2098" s="6">
        <f>MONTH(E2098)</f>
        <v/>
      </c>
      <c r="E2098" s="267">
        <f>IFERROR(__xludf.DUMMYFUNCTION("""COMPUTED_VALUE"""),46148.6666666666)</f>
        <v/>
      </c>
      <c r="F2098" s="6">
        <f>IFERROR(__xludf.DUMMYFUNCTION("""COMPUTED_VALUE"""),7365.12)</f>
        <v/>
      </c>
      <c r="J2098" s="6">
        <f>K2098&amp;L2098</f>
        <v/>
      </c>
      <c r="K2098" s="6">
        <f>YEAR(M2098)</f>
        <v/>
      </c>
      <c r="L2098" s="6">
        <f>MONTH(M2098)</f>
        <v/>
      </c>
      <c r="M2098" s="267">
        <f>IFERROR(__xludf.DUMMYFUNCTION("""COMPUTED_VALUE"""),46142.6666666666)</f>
        <v/>
      </c>
      <c r="N2098" s="6">
        <f>IFERROR(__xludf.DUMMYFUNCTION("""COMPUTED_VALUE"""),24892.31)</f>
        <v/>
      </c>
      <c r="R2098" s="6">
        <f>S2098&amp;T2098</f>
        <v/>
      </c>
      <c r="S2098" s="6">
        <f>YEAR(U2098)</f>
        <v/>
      </c>
      <c r="T2098" s="6">
        <f>MONTH(U2098)</f>
        <v/>
      </c>
      <c r="Z2098" s="6">
        <f>AA2098&amp;AB2098</f>
        <v/>
      </c>
      <c r="AA2098" s="6">
        <f>YEAR(AC2098)</f>
        <v/>
      </c>
      <c r="AB2098" s="6">
        <f>MONTH(AC2098)</f>
        <v/>
      </c>
      <c r="AC2098" s="267">
        <f>IFERROR(__xludf.DUMMYFUNCTION("""COMPUTED_VALUE"""),45247.9986111111)</f>
        <v/>
      </c>
      <c r="AD2098" s="6">
        <f>IFERROR(__xludf.DUMMYFUNCTION("""COMPUTED_VALUE"""),1294.5)</f>
        <v/>
      </c>
      <c r="AH2098" s="6">
        <f>AI2098&amp;AJ2098</f>
        <v/>
      </c>
      <c r="AI2098" s="6">
        <f>YEAR(AK2098)</f>
        <v/>
      </c>
      <c r="AJ2098" s="6">
        <f>MONTH(AK2098)</f>
        <v/>
      </c>
      <c r="AK2098" s="267">
        <f>IFERROR(__xludf.DUMMYFUNCTION("""COMPUTED_VALUE"""),45191.9986111111)</f>
        <v/>
      </c>
      <c r="AL2098" s="6">
        <f>IFERROR(__xludf.DUMMYFUNCTION("""COMPUTED_VALUE"""),26588.76)</f>
        <v/>
      </c>
      <c r="AP2098" s="6">
        <f>AQ2098&amp;AR2098</f>
        <v/>
      </c>
      <c r="AQ2098" s="6">
        <f>YEAR(AS2098)</f>
        <v/>
      </c>
      <c r="AR2098" s="6">
        <f>MONTH(AS2098)</f>
        <v/>
      </c>
      <c r="AS2098" s="267">
        <f>IFERROR(__xludf.DUMMYFUNCTION("""COMPUTED_VALUE"""),46155.9986111111)</f>
        <v/>
      </c>
      <c r="AT2098" s="6">
        <f>IFERROR(__xludf.DUMMYFUNCTION("""COMPUTED_VALUE"""),4706.7)</f>
        <v/>
      </c>
    </row>
    <row r="2099">
      <c r="B2099" s="6">
        <f>C2099&amp;D2099</f>
        <v/>
      </c>
      <c r="C2099" s="6">
        <f>YEAR(E2099)</f>
        <v/>
      </c>
      <c r="D2099" s="6">
        <f>MONTH(E2099)</f>
        <v/>
      </c>
      <c r="E2099" s="267">
        <f>IFERROR(__xludf.DUMMYFUNCTION("""COMPUTED_VALUE"""),46149.6666666666)</f>
        <v/>
      </c>
      <c r="F2099" s="6">
        <f>IFERROR(__xludf.DUMMYFUNCTION("""COMPUTED_VALUE"""),7337.11)</f>
        <v/>
      </c>
      <c r="J2099" s="6">
        <f>K2099&amp;L2099</f>
        <v/>
      </c>
      <c r="K2099" s="6">
        <f>YEAR(M2099)</f>
        <v/>
      </c>
      <c r="L2099" s="6">
        <f>MONTH(M2099)</f>
        <v/>
      </c>
      <c r="M2099" s="267">
        <f>IFERROR(__xludf.DUMMYFUNCTION("""COMPUTED_VALUE"""),46143.6666666666)</f>
        <v/>
      </c>
      <c r="N2099" s="6">
        <f>IFERROR(__xludf.DUMMYFUNCTION("""COMPUTED_VALUE"""),25114.44)</f>
        <v/>
      </c>
      <c r="R2099" s="6">
        <f>S2099&amp;T2099</f>
        <v/>
      </c>
      <c r="S2099" s="6">
        <f>YEAR(U2099)</f>
        <v/>
      </c>
      <c r="T2099" s="6">
        <f>MONTH(U2099)</f>
        <v/>
      </c>
      <c r="Z2099" s="6">
        <f>AA2099&amp;AB2099</f>
        <v/>
      </c>
      <c r="AA2099" s="6">
        <f>YEAR(AC2099)</f>
        <v/>
      </c>
      <c r="AB2099" s="6">
        <f>MONTH(AC2099)</f>
        <v/>
      </c>
      <c r="AC2099" s="267">
        <f>IFERROR(__xludf.DUMMYFUNCTION("""COMPUTED_VALUE"""),45248.9986111111)</f>
        <v/>
      </c>
      <c r="AD2099" s="6">
        <f>IFERROR(__xludf.DUMMYFUNCTION("""COMPUTED_VALUE"""),1294.5)</f>
        <v/>
      </c>
      <c r="AH2099" s="6">
        <f>AI2099&amp;AJ2099</f>
        <v/>
      </c>
      <c r="AI2099" s="6">
        <f>YEAR(AK2099)</f>
        <v/>
      </c>
      <c r="AJ2099" s="6">
        <f>MONTH(AK2099)</f>
        <v/>
      </c>
      <c r="AK2099" s="267">
        <f>IFERROR(__xludf.DUMMYFUNCTION("""COMPUTED_VALUE"""),45192.9986111111)</f>
        <v/>
      </c>
      <c r="AL2099" s="6">
        <f>IFERROR(__xludf.DUMMYFUNCTION("""COMPUTED_VALUE"""),26591.66)</f>
        <v/>
      </c>
      <c r="AP2099" s="6">
        <f>AQ2099&amp;AR2099</f>
        <v/>
      </c>
      <c r="AQ2099" s="6">
        <f>YEAR(AS2099)</f>
        <v/>
      </c>
      <c r="AR2099" s="6">
        <f>MONTH(AS2099)</f>
        <v/>
      </c>
      <c r="AS2099" s="267">
        <f>IFERROR(__xludf.DUMMYFUNCTION("""COMPUTED_VALUE"""),46156.9986111111)</f>
        <v/>
      </c>
      <c r="AT2099" s="6">
        <f>IFERROR(__xludf.DUMMYFUNCTION("""COMPUTED_VALUE"""),4685.3)</f>
        <v/>
      </c>
    </row>
    <row r="2100">
      <c r="B2100" s="6">
        <f>C2100&amp;D2100</f>
        <v/>
      </c>
      <c r="C2100" s="6">
        <f>YEAR(E2100)</f>
        <v/>
      </c>
      <c r="D2100" s="6">
        <f>MONTH(E2100)</f>
        <v/>
      </c>
      <c r="E2100" s="267">
        <f>IFERROR(__xludf.DUMMYFUNCTION("""COMPUTED_VALUE"""),46150.6666666666)</f>
        <v/>
      </c>
      <c r="F2100" s="6">
        <f>IFERROR(__xludf.DUMMYFUNCTION("""COMPUTED_VALUE"""),7398.93)</f>
        <v/>
      </c>
      <c r="J2100" s="6">
        <f>K2100&amp;L2100</f>
        <v/>
      </c>
      <c r="K2100" s="6">
        <f>YEAR(M2100)</f>
        <v/>
      </c>
      <c r="L2100" s="6">
        <f>MONTH(M2100)</f>
        <v/>
      </c>
      <c r="M2100" s="267">
        <f>IFERROR(__xludf.DUMMYFUNCTION("""COMPUTED_VALUE"""),46146.6666666666)</f>
        <v/>
      </c>
      <c r="N2100" s="6">
        <f>IFERROR(__xludf.DUMMYFUNCTION("""COMPUTED_VALUE"""),25067.8)</f>
        <v/>
      </c>
      <c r="R2100" s="6">
        <f>S2100&amp;T2100</f>
        <v/>
      </c>
      <c r="S2100" s="6">
        <f>YEAR(U2100)</f>
        <v/>
      </c>
      <c r="T2100" s="6">
        <f>MONTH(U2100)</f>
        <v/>
      </c>
      <c r="Z2100" s="6">
        <f>AA2100&amp;AB2100</f>
        <v/>
      </c>
      <c r="AA2100" s="6">
        <f>YEAR(AC2100)</f>
        <v/>
      </c>
      <c r="AB2100" s="6">
        <f>MONTH(AC2100)</f>
        <v/>
      </c>
      <c r="AC2100" s="267">
        <f>IFERROR(__xludf.DUMMYFUNCTION("""COMPUTED_VALUE"""),45249.9986111111)</f>
        <v/>
      </c>
      <c r="AD2100" s="6">
        <f>IFERROR(__xludf.DUMMYFUNCTION("""COMPUTED_VALUE"""),1294.5)</f>
        <v/>
      </c>
      <c r="AH2100" s="6">
        <f>AI2100&amp;AJ2100</f>
        <v/>
      </c>
      <c r="AI2100" s="6">
        <f>YEAR(AK2100)</f>
        <v/>
      </c>
      <c r="AJ2100" s="6">
        <f>MONTH(AK2100)</f>
        <v/>
      </c>
      <c r="AK2100" s="267">
        <f>IFERROR(__xludf.DUMMYFUNCTION("""COMPUTED_VALUE"""),45193.9986111111)</f>
        <v/>
      </c>
      <c r="AL2100" s="6">
        <f>IFERROR(__xludf.DUMMYFUNCTION("""COMPUTED_VALUE"""),26263.58)</f>
        <v/>
      </c>
      <c r="AP2100" s="6">
        <f>AQ2100&amp;AR2100</f>
        <v/>
      </c>
      <c r="AQ2100" s="6">
        <f>YEAR(AS2100)</f>
        <v/>
      </c>
      <c r="AR2100" s="6">
        <f>MONTH(AS2100)</f>
        <v/>
      </c>
      <c r="AS2100" s="267">
        <f>IFERROR(__xludf.DUMMYFUNCTION("""COMPUTED_VALUE"""),46157.9986111111)</f>
        <v/>
      </c>
      <c r="AT2100" s="6">
        <f>IFERROR(__xludf.DUMMYFUNCTION("""COMPUTED_VALUE"""),4561.9)</f>
        <v/>
      </c>
    </row>
    <row r="2101">
      <c r="B2101" s="6">
        <f>C2101&amp;D2101</f>
        <v/>
      </c>
      <c r="C2101" s="6">
        <f>YEAR(E2101)</f>
        <v/>
      </c>
      <c r="D2101" s="6">
        <f>MONTH(E2101)</f>
        <v/>
      </c>
      <c r="E2101" s="267">
        <f>IFERROR(__xludf.DUMMYFUNCTION("""COMPUTED_VALUE"""),46153.6666666666)</f>
        <v/>
      </c>
      <c r="F2101" s="6">
        <f>IFERROR(__xludf.DUMMYFUNCTION("""COMPUTED_VALUE"""),7412.84)</f>
        <v/>
      </c>
      <c r="J2101" s="6">
        <f>K2101&amp;L2101</f>
        <v/>
      </c>
      <c r="K2101" s="6">
        <f>YEAR(M2101)</f>
        <v/>
      </c>
      <c r="L2101" s="6">
        <f>MONTH(M2101)</f>
        <v/>
      </c>
      <c r="M2101" s="267">
        <f>IFERROR(__xludf.DUMMYFUNCTION("""COMPUTED_VALUE"""),46147.6666666666)</f>
        <v/>
      </c>
      <c r="N2101" s="6">
        <f>IFERROR(__xludf.DUMMYFUNCTION("""COMPUTED_VALUE"""),25326.13)</f>
        <v/>
      </c>
      <c r="R2101" s="6">
        <f>S2101&amp;T2101</f>
        <v/>
      </c>
      <c r="S2101" s="6">
        <f>YEAR(U2101)</f>
        <v/>
      </c>
      <c r="T2101" s="6">
        <f>MONTH(U2101)</f>
        <v/>
      </c>
      <c r="Z2101" s="6">
        <f>AA2101&amp;AB2101</f>
        <v/>
      </c>
      <c r="AA2101" s="6">
        <f>YEAR(AC2101)</f>
        <v/>
      </c>
      <c r="AB2101" s="6">
        <f>MONTH(AC2101)</f>
        <v/>
      </c>
      <c r="AC2101" s="267">
        <f>IFERROR(__xludf.DUMMYFUNCTION("""COMPUTED_VALUE"""),45250.9986111111)</f>
        <v/>
      </c>
      <c r="AD2101" s="6">
        <f>IFERROR(__xludf.DUMMYFUNCTION("""COMPUTED_VALUE"""),1288.15)</f>
        <v/>
      </c>
      <c r="AH2101" s="6">
        <f>AI2101&amp;AJ2101</f>
        <v/>
      </c>
      <c r="AI2101" s="6">
        <f>YEAR(AK2101)</f>
        <v/>
      </c>
      <c r="AJ2101" s="6">
        <f>MONTH(AK2101)</f>
        <v/>
      </c>
      <c r="AK2101" s="267">
        <f>IFERROR(__xludf.DUMMYFUNCTION("""COMPUTED_VALUE"""),45194.9986111111)</f>
        <v/>
      </c>
      <c r="AL2101" s="6">
        <f>IFERROR(__xludf.DUMMYFUNCTION("""COMPUTED_VALUE"""),26296.83)</f>
        <v/>
      </c>
      <c r="AP2101" s="6">
        <f>AQ2101&amp;AR2101</f>
        <v/>
      </c>
      <c r="AQ2101" s="6">
        <f>YEAR(AS2101)</f>
        <v/>
      </c>
      <c r="AR2101" s="6">
        <f>MONTH(AS2101)</f>
        <v/>
      </c>
      <c r="AS2101" s="267">
        <f>IFERROR(__xludf.DUMMYFUNCTION("""COMPUTED_VALUE"""),46160.9986111111)</f>
        <v/>
      </c>
      <c r="AT2101" s="6">
        <f>IFERROR(__xludf.DUMMYFUNCTION("""COMPUTED_VALUE"""),4558)</f>
        <v/>
      </c>
    </row>
    <row r="2102">
      <c r="B2102" s="6">
        <f>C2102&amp;D2102</f>
        <v/>
      </c>
      <c r="C2102" s="6">
        <f>YEAR(E2102)</f>
        <v/>
      </c>
      <c r="D2102" s="6">
        <f>MONTH(E2102)</f>
        <v/>
      </c>
      <c r="E2102" s="267">
        <f>IFERROR(__xludf.DUMMYFUNCTION("""COMPUTED_VALUE"""),46154.6666666666)</f>
        <v/>
      </c>
      <c r="F2102" s="6">
        <f>IFERROR(__xludf.DUMMYFUNCTION("""COMPUTED_VALUE"""),7400.96)</f>
        <v/>
      </c>
      <c r="J2102" s="6">
        <f>K2102&amp;L2102</f>
        <v/>
      </c>
      <c r="K2102" s="6">
        <f>YEAR(M2102)</f>
        <v/>
      </c>
      <c r="L2102" s="6">
        <f>MONTH(M2102)</f>
        <v/>
      </c>
      <c r="M2102" s="267">
        <f>IFERROR(__xludf.DUMMYFUNCTION("""COMPUTED_VALUE"""),46148.6666666666)</f>
        <v/>
      </c>
      <c r="N2102" s="6">
        <f>IFERROR(__xludf.DUMMYFUNCTION("""COMPUTED_VALUE"""),25838.94)</f>
        <v/>
      </c>
      <c r="R2102" s="6">
        <f>S2102&amp;T2102</f>
        <v/>
      </c>
      <c r="S2102" s="6">
        <f>YEAR(U2102)</f>
        <v/>
      </c>
      <c r="T2102" s="6">
        <f>MONTH(U2102)</f>
        <v/>
      </c>
      <c r="Z2102" s="6">
        <f>AA2102&amp;AB2102</f>
        <v/>
      </c>
      <c r="AA2102" s="6">
        <f>YEAR(AC2102)</f>
        <v/>
      </c>
      <c r="AB2102" s="6">
        <f>MONTH(AC2102)</f>
        <v/>
      </c>
      <c r="AC2102" s="267">
        <f>IFERROR(__xludf.DUMMYFUNCTION("""COMPUTED_VALUE"""),45251.9986111111)</f>
        <v/>
      </c>
      <c r="AD2102" s="6">
        <f>IFERROR(__xludf.DUMMYFUNCTION("""COMPUTED_VALUE"""),1295.19)</f>
        <v/>
      </c>
      <c r="AH2102" s="6">
        <f>AI2102&amp;AJ2102</f>
        <v/>
      </c>
      <c r="AI2102" s="6">
        <f>YEAR(AK2102)</f>
        <v/>
      </c>
      <c r="AJ2102" s="6">
        <f>MONTH(AK2102)</f>
        <v/>
      </c>
      <c r="AK2102" s="267">
        <f>IFERROR(__xludf.DUMMYFUNCTION("""COMPUTED_VALUE"""),45195.9986111111)</f>
        <v/>
      </c>
      <c r="AL2102" s="6">
        <f>IFERROR(__xludf.DUMMYFUNCTION("""COMPUTED_VALUE"""),26211.61)</f>
        <v/>
      </c>
      <c r="AP2102" s="6">
        <f>AQ2102&amp;AR2102</f>
        <v/>
      </c>
      <c r="AQ2102" s="6">
        <f>YEAR(AS2102)</f>
        <v/>
      </c>
      <c r="AR2102" s="6">
        <f>MONTH(AS2102)</f>
        <v/>
      </c>
      <c r="AS2102" s="267">
        <f>IFERROR(__xludf.DUMMYFUNCTION("""COMPUTED_VALUE"""),46161.9986111111)</f>
        <v/>
      </c>
      <c r="AT2102" s="6">
        <f>IFERROR(__xludf.DUMMYFUNCTION("""COMPUTED_VALUE"""),4511.2)</f>
        <v/>
      </c>
    </row>
    <row r="2103">
      <c r="B2103" s="6">
        <f>C2103&amp;D2103</f>
        <v/>
      </c>
      <c r="C2103" s="6">
        <f>YEAR(E2103)</f>
        <v/>
      </c>
      <c r="D2103" s="6">
        <f>MONTH(E2103)</f>
        <v/>
      </c>
      <c r="E2103" s="267">
        <f>IFERROR(__xludf.DUMMYFUNCTION("""COMPUTED_VALUE"""),46155.6666666666)</f>
        <v/>
      </c>
      <c r="F2103" s="6">
        <f>IFERROR(__xludf.DUMMYFUNCTION("""COMPUTED_VALUE"""),7444.25)</f>
        <v/>
      </c>
      <c r="J2103" s="6">
        <f>K2103&amp;L2103</f>
        <v/>
      </c>
      <c r="K2103" s="6">
        <f>YEAR(M2103)</f>
        <v/>
      </c>
      <c r="L2103" s="6">
        <f>MONTH(M2103)</f>
        <v/>
      </c>
      <c r="M2103" s="267">
        <f>IFERROR(__xludf.DUMMYFUNCTION("""COMPUTED_VALUE"""),46149.6666666666)</f>
        <v/>
      </c>
      <c r="N2103" s="6">
        <f>IFERROR(__xludf.DUMMYFUNCTION("""COMPUTED_VALUE"""),25806.2)</f>
        <v/>
      </c>
      <c r="R2103" s="6">
        <f>S2103&amp;T2103</f>
        <v/>
      </c>
      <c r="S2103" s="6">
        <f>YEAR(U2103)</f>
        <v/>
      </c>
      <c r="T2103" s="6">
        <f>MONTH(U2103)</f>
        <v/>
      </c>
      <c r="Z2103" s="6">
        <f>AA2103&amp;AB2103</f>
        <v/>
      </c>
      <c r="AA2103" s="6">
        <f>YEAR(AC2103)</f>
        <v/>
      </c>
      <c r="AB2103" s="6">
        <f>MONTH(AC2103)</f>
        <v/>
      </c>
      <c r="AC2103" s="267">
        <f>IFERROR(__xludf.DUMMYFUNCTION("""COMPUTED_VALUE"""),45252.9986111111)</f>
        <v/>
      </c>
      <c r="AD2103" s="6">
        <f>IFERROR(__xludf.DUMMYFUNCTION("""COMPUTED_VALUE"""),1298.79)</f>
        <v/>
      </c>
      <c r="AH2103" s="6">
        <f>AI2103&amp;AJ2103</f>
        <v/>
      </c>
      <c r="AI2103" s="6">
        <f>YEAR(AK2103)</f>
        <v/>
      </c>
      <c r="AJ2103" s="6">
        <f>MONTH(AK2103)</f>
        <v/>
      </c>
      <c r="AK2103" s="267">
        <f>IFERROR(__xludf.DUMMYFUNCTION("""COMPUTED_VALUE"""),45196.9986111111)</f>
        <v/>
      </c>
      <c r="AL2103" s="6">
        <f>IFERROR(__xludf.DUMMYFUNCTION("""COMPUTED_VALUE"""),26359.27)</f>
        <v/>
      </c>
      <c r="AP2103" s="6">
        <f>AQ2103&amp;AR2103</f>
        <v/>
      </c>
      <c r="AQ2103" s="6">
        <f>YEAR(AS2103)</f>
        <v/>
      </c>
      <c r="AR2103" s="6">
        <f>MONTH(AS2103)</f>
        <v/>
      </c>
      <c r="AS2103" s="267">
        <f>IFERROR(__xludf.DUMMYFUNCTION("""COMPUTED_VALUE"""),46162.9986111111)</f>
        <v/>
      </c>
      <c r="AT2103" s="6">
        <f>IFERROR(__xludf.DUMMYFUNCTION("""COMPUTED_VALUE"""),4535.3)</f>
        <v/>
      </c>
    </row>
    <row r="2104">
      <c r="B2104" s="6">
        <f>C2104&amp;D2104</f>
        <v/>
      </c>
      <c r="C2104" s="6">
        <f>YEAR(E2104)</f>
        <v/>
      </c>
      <c r="D2104" s="6">
        <f>MONTH(E2104)</f>
        <v/>
      </c>
      <c r="E2104" s="267">
        <f>IFERROR(__xludf.DUMMYFUNCTION("""COMPUTED_VALUE"""),46156.6666666666)</f>
        <v/>
      </c>
      <c r="F2104" s="6">
        <f>IFERROR(__xludf.DUMMYFUNCTION("""COMPUTED_VALUE"""),7501.24)</f>
        <v/>
      </c>
      <c r="J2104" s="6">
        <f>K2104&amp;L2104</f>
        <v/>
      </c>
      <c r="K2104" s="6">
        <f>YEAR(M2104)</f>
        <v/>
      </c>
      <c r="L2104" s="6">
        <f>MONTH(M2104)</f>
        <v/>
      </c>
      <c r="M2104" s="267">
        <f>IFERROR(__xludf.DUMMYFUNCTION("""COMPUTED_VALUE"""),46150.6666666666)</f>
        <v/>
      </c>
      <c r="N2104" s="6">
        <f>IFERROR(__xludf.DUMMYFUNCTION("""COMPUTED_VALUE"""),26247.08)</f>
        <v/>
      </c>
      <c r="R2104" s="6">
        <f>S2104&amp;T2104</f>
        <v/>
      </c>
      <c r="S2104" s="6">
        <f>YEAR(U2104)</f>
        <v/>
      </c>
      <c r="T2104" s="6">
        <f>MONTH(U2104)</f>
        <v/>
      </c>
      <c r="Z2104" s="6">
        <f>AA2104&amp;AB2104</f>
        <v/>
      </c>
      <c r="AA2104" s="6">
        <f>YEAR(AC2104)</f>
        <v/>
      </c>
      <c r="AB2104" s="6">
        <f>MONTH(AC2104)</f>
        <v/>
      </c>
      <c r="AC2104" s="267">
        <f>IFERROR(__xludf.DUMMYFUNCTION("""COMPUTED_VALUE"""),45253.9986111111)</f>
        <v/>
      </c>
      <c r="AD2104" s="6">
        <f>IFERROR(__xludf.DUMMYFUNCTION("""COMPUTED_VALUE"""),1300.18)</f>
        <v/>
      </c>
      <c r="AH2104" s="6">
        <f>AI2104&amp;AJ2104</f>
        <v/>
      </c>
      <c r="AI2104" s="6">
        <f>YEAR(AK2104)</f>
        <v/>
      </c>
      <c r="AJ2104" s="6">
        <f>MONTH(AK2104)</f>
        <v/>
      </c>
      <c r="AK2104" s="267">
        <f>IFERROR(__xludf.DUMMYFUNCTION("""COMPUTED_VALUE"""),45197.9986111111)</f>
        <v/>
      </c>
      <c r="AL2104" s="6">
        <f>IFERROR(__xludf.DUMMYFUNCTION("""COMPUTED_VALUE"""),27026.88)</f>
        <v/>
      </c>
      <c r="AP2104" s="6">
        <f>AQ2104&amp;AR2104</f>
        <v/>
      </c>
      <c r="AQ2104" s="6">
        <f>YEAR(AS2104)</f>
        <v/>
      </c>
      <c r="AR2104" s="6">
        <f>MONTH(AS2104)</f>
        <v/>
      </c>
      <c r="AS2104" s="267">
        <f>IFERROR(__xludf.DUMMYFUNCTION("""COMPUTED_VALUE"""),46163.9986111111)</f>
        <v/>
      </c>
      <c r="AT2104" s="6">
        <f>IFERROR(__xludf.DUMMYFUNCTION("""COMPUTED_VALUE"""),4542.5)</f>
        <v/>
      </c>
    </row>
    <row r="2105">
      <c r="B2105" s="6">
        <f>C2105&amp;D2105</f>
        <v/>
      </c>
      <c r="C2105" s="6">
        <f>YEAR(E2105)</f>
        <v/>
      </c>
      <c r="D2105" s="6">
        <f>MONTH(E2105)</f>
        <v/>
      </c>
      <c r="E2105" s="267">
        <f>IFERROR(__xludf.DUMMYFUNCTION("""COMPUTED_VALUE"""),46157.6666666666)</f>
        <v/>
      </c>
      <c r="F2105" s="6">
        <f>IFERROR(__xludf.DUMMYFUNCTION("""COMPUTED_VALUE"""),7408.5)</f>
        <v/>
      </c>
      <c r="J2105" s="6">
        <f>K2105&amp;L2105</f>
        <v/>
      </c>
      <c r="K2105" s="6">
        <f>YEAR(M2105)</f>
        <v/>
      </c>
      <c r="L2105" s="6">
        <f>MONTH(M2105)</f>
        <v/>
      </c>
      <c r="M2105" s="267">
        <f>IFERROR(__xludf.DUMMYFUNCTION("""COMPUTED_VALUE"""),46153.6666666666)</f>
        <v/>
      </c>
      <c r="N2105" s="6">
        <f>IFERROR(__xludf.DUMMYFUNCTION("""COMPUTED_VALUE"""),26274.13)</f>
        <v/>
      </c>
      <c r="R2105" s="6">
        <f>S2105&amp;T2105</f>
        <v/>
      </c>
      <c r="S2105" s="6">
        <f>YEAR(U2105)</f>
        <v/>
      </c>
      <c r="T2105" s="6">
        <f>MONTH(U2105)</f>
        <v/>
      </c>
      <c r="Z2105" s="6">
        <f>AA2105&amp;AB2105</f>
        <v/>
      </c>
      <c r="AA2105" s="6">
        <f>YEAR(AC2105)</f>
        <v/>
      </c>
      <c r="AB2105" s="6">
        <f>MONTH(AC2105)</f>
        <v/>
      </c>
      <c r="AC2105" s="267">
        <f>IFERROR(__xludf.DUMMYFUNCTION("""COMPUTED_VALUE"""),45254.9986111111)</f>
        <v/>
      </c>
      <c r="AD2105" s="6">
        <f>IFERROR(__xludf.DUMMYFUNCTION("""COMPUTED_VALUE"""),1289.79)</f>
        <v/>
      </c>
      <c r="AH2105" s="6">
        <f>AI2105&amp;AJ2105</f>
        <v/>
      </c>
      <c r="AI2105" s="6">
        <f>YEAR(AK2105)</f>
        <v/>
      </c>
      <c r="AJ2105" s="6">
        <f>MONTH(AK2105)</f>
        <v/>
      </c>
      <c r="AK2105" s="267">
        <f>IFERROR(__xludf.DUMMYFUNCTION("""COMPUTED_VALUE"""),45198.9986111111)</f>
        <v/>
      </c>
      <c r="AL2105" s="6">
        <f>IFERROR(__xludf.DUMMYFUNCTION("""COMPUTED_VALUE"""),26912.09)</f>
        <v/>
      </c>
      <c r="AP2105" s="6">
        <f>AQ2105&amp;AR2105</f>
        <v/>
      </c>
      <c r="AQ2105" s="6">
        <f>YEAR(AS2105)</f>
        <v/>
      </c>
      <c r="AR2105" s="6">
        <f>MONTH(AS2105)</f>
        <v/>
      </c>
      <c r="AS2105" s="267">
        <f>IFERROR(__xludf.DUMMYFUNCTION("""COMPUTED_VALUE"""),46164.9986111111)</f>
        <v/>
      </c>
      <c r="AT2105" s="6">
        <f>IFERROR(__xludf.DUMMYFUNCTION("""COMPUTED_VALUE"""),4556.4)</f>
        <v/>
      </c>
    </row>
    <row r="2106">
      <c r="B2106" s="6">
        <f>C2106&amp;D2106</f>
        <v/>
      </c>
      <c r="C2106" s="6">
        <f>YEAR(E2106)</f>
        <v/>
      </c>
      <c r="D2106" s="6">
        <f>MONTH(E2106)</f>
        <v/>
      </c>
      <c r="E2106" s="267">
        <f>IFERROR(__xludf.DUMMYFUNCTION("""COMPUTED_VALUE"""),46160.6666666666)</f>
        <v/>
      </c>
      <c r="F2106" s="6">
        <f>IFERROR(__xludf.DUMMYFUNCTION("""COMPUTED_VALUE"""),7403.05)</f>
        <v/>
      </c>
      <c r="J2106" s="6">
        <f>K2106&amp;L2106</f>
        <v/>
      </c>
      <c r="K2106" s="6">
        <f>YEAR(M2106)</f>
        <v/>
      </c>
      <c r="L2106" s="6">
        <f>MONTH(M2106)</f>
        <v/>
      </c>
      <c r="M2106" s="267">
        <f>IFERROR(__xludf.DUMMYFUNCTION("""COMPUTED_VALUE"""),46154.6666666666)</f>
        <v/>
      </c>
      <c r="N2106" s="6">
        <f>IFERROR(__xludf.DUMMYFUNCTION("""COMPUTED_VALUE"""),26088.2)</f>
        <v/>
      </c>
      <c r="R2106" s="6">
        <f>S2106&amp;T2106</f>
        <v/>
      </c>
      <c r="S2106" s="6">
        <f>YEAR(U2106)</f>
        <v/>
      </c>
      <c r="T2106" s="6">
        <f>MONTH(U2106)</f>
        <v/>
      </c>
      <c r="Z2106" s="6">
        <f>AA2106&amp;AB2106</f>
        <v/>
      </c>
      <c r="AA2106" s="6">
        <f>YEAR(AC2106)</f>
        <v/>
      </c>
      <c r="AB2106" s="6">
        <f>MONTH(AC2106)</f>
        <v/>
      </c>
      <c r="AC2106" s="267">
        <f>IFERROR(__xludf.DUMMYFUNCTION("""COMPUTED_VALUE"""),45255.9986111111)</f>
        <v/>
      </c>
      <c r="AD2106" s="6">
        <f>IFERROR(__xludf.DUMMYFUNCTION("""COMPUTED_VALUE"""),1289.79)</f>
        <v/>
      </c>
      <c r="AH2106" s="6">
        <f>AI2106&amp;AJ2106</f>
        <v/>
      </c>
      <c r="AI2106" s="6">
        <f>YEAR(AK2106)</f>
        <v/>
      </c>
      <c r="AJ2106" s="6">
        <f>MONTH(AK2106)</f>
        <v/>
      </c>
      <c r="AK2106" s="267">
        <f>IFERROR(__xludf.DUMMYFUNCTION("""COMPUTED_VALUE"""),45199.9986111111)</f>
        <v/>
      </c>
      <c r="AL2106" s="6">
        <f>IFERROR(__xludf.DUMMYFUNCTION("""COMPUTED_VALUE"""),26968.96)</f>
        <v/>
      </c>
      <c r="AP2106" s="6">
        <f>AQ2106&amp;AR2106</f>
        <v/>
      </c>
      <c r="AQ2106" s="6">
        <f>YEAR(AS2106)</f>
        <v/>
      </c>
      <c r="AR2106" s="6">
        <f>MONTH(AS2106)</f>
        <v/>
      </c>
      <c r="AS2106" s="267">
        <f>IFERROR(__xludf.DUMMYFUNCTION("""COMPUTED_VALUE"""),46168.9986111111)</f>
        <v/>
      </c>
      <c r="AT2106" s="6">
        <f>IFERROR(__xludf.DUMMYFUNCTION("""COMPUTED_VALUE"""),4535)</f>
        <v/>
      </c>
    </row>
    <row r="2107">
      <c r="B2107" s="6">
        <f>C2107&amp;D2107</f>
        <v/>
      </c>
      <c r="C2107" s="6">
        <f>YEAR(E2107)</f>
        <v/>
      </c>
      <c r="D2107" s="6">
        <f>MONTH(E2107)</f>
        <v/>
      </c>
      <c r="E2107" s="267">
        <f>IFERROR(__xludf.DUMMYFUNCTION("""COMPUTED_VALUE"""),46161.6666666666)</f>
        <v/>
      </c>
      <c r="F2107" s="6">
        <f>IFERROR(__xludf.DUMMYFUNCTION("""COMPUTED_VALUE"""),7353.61)</f>
        <v/>
      </c>
      <c r="J2107" s="6">
        <f>K2107&amp;L2107</f>
        <v/>
      </c>
      <c r="K2107" s="6">
        <f>YEAR(M2107)</f>
        <v/>
      </c>
      <c r="L2107" s="6">
        <f>MONTH(M2107)</f>
        <v/>
      </c>
      <c r="M2107" s="267">
        <f>IFERROR(__xludf.DUMMYFUNCTION("""COMPUTED_VALUE"""),46155.6666666666)</f>
        <v/>
      </c>
      <c r="N2107" s="6">
        <f>IFERROR(__xludf.DUMMYFUNCTION("""COMPUTED_VALUE"""),26402.34)</f>
        <v/>
      </c>
      <c r="R2107" s="6">
        <f>S2107&amp;T2107</f>
        <v/>
      </c>
      <c r="S2107" s="6">
        <f>YEAR(U2107)</f>
        <v/>
      </c>
      <c r="T2107" s="6">
        <f>MONTH(U2107)</f>
        <v/>
      </c>
      <c r="Z2107" s="6">
        <f>AA2107&amp;AB2107</f>
        <v/>
      </c>
      <c r="AA2107" s="6">
        <f>YEAR(AC2107)</f>
        <v/>
      </c>
      <c r="AB2107" s="6">
        <f>MONTH(AC2107)</f>
        <v/>
      </c>
      <c r="AC2107" s="267">
        <f>IFERROR(__xludf.DUMMYFUNCTION("""COMPUTED_VALUE"""),45256.9986111111)</f>
        <v/>
      </c>
      <c r="AD2107" s="6">
        <f>IFERROR(__xludf.DUMMYFUNCTION("""COMPUTED_VALUE"""),1289.79)</f>
        <v/>
      </c>
      <c r="AH2107" s="6">
        <f>AI2107&amp;AJ2107</f>
        <v/>
      </c>
      <c r="AI2107" s="6">
        <f>YEAR(AK2107)</f>
        <v/>
      </c>
      <c r="AJ2107" s="6">
        <f>MONTH(AK2107)</f>
        <v/>
      </c>
      <c r="AK2107" s="267">
        <f>IFERROR(__xludf.DUMMYFUNCTION("""COMPUTED_VALUE"""),45200.9986111111)</f>
        <v/>
      </c>
      <c r="AL2107" s="6">
        <f>IFERROR(__xludf.DUMMYFUNCTION("""COMPUTED_VALUE"""),27974.3)</f>
        <v/>
      </c>
      <c r="AP2107" s="6">
        <f>AQ2107&amp;AR2107</f>
        <v/>
      </c>
      <c r="AQ2107" s="6">
        <f>YEAR(AS2107)</f>
        <v/>
      </c>
      <c r="AR2107" s="6">
        <f>MONTH(AS2107)</f>
        <v/>
      </c>
      <c r="AS2107" s="267">
        <f>IFERROR(__xludf.DUMMYFUNCTION("""COMPUTED_VALUE"""),46169.9986111111)</f>
        <v/>
      </c>
      <c r="AT2107" s="6">
        <f>IFERROR(__xludf.DUMMYFUNCTION("""COMPUTED_VALUE"""),4481.5)</f>
        <v/>
      </c>
    </row>
    <row r="2108">
      <c r="B2108" s="6">
        <f>C2108&amp;D2108</f>
        <v/>
      </c>
      <c r="C2108" s="6">
        <f>YEAR(E2108)</f>
        <v/>
      </c>
      <c r="D2108" s="6">
        <f>MONTH(E2108)</f>
        <v/>
      </c>
      <c r="E2108" s="267">
        <f>IFERROR(__xludf.DUMMYFUNCTION("""COMPUTED_VALUE"""),46162.6666666666)</f>
        <v/>
      </c>
      <c r="F2108" s="6">
        <f>IFERROR(__xludf.DUMMYFUNCTION("""COMPUTED_VALUE"""),7432.97)</f>
        <v/>
      </c>
      <c r="J2108" s="6">
        <f>K2108&amp;L2108</f>
        <v/>
      </c>
      <c r="K2108" s="6">
        <f>YEAR(M2108)</f>
        <v/>
      </c>
      <c r="L2108" s="6">
        <f>MONTH(M2108)</f>
        <v/>
      </c>
      <c r="M2108" s="267">
        <f>IFERROR(__xludf.DUMMYFUNCTION("""COMPUTED_VALUE"""),46156.6666666666)</f>
        <v/>
      </c>
      <c r="N2108" s="6">
        <f>IFERROR(__xludf.DUMMYFUNCTION("""COMPUTED_VALUE"""),26635.22)</f>
        <v/>
      </c>
      <c r="R2108" s="6">
        <f>S2108&amp;T2108</f>
        <v/>
      </c>
      <c r="S2108" s="6">
        <f>YEAR(U2108)</f>
        <v/>
      </c>
      <c r="T2108" s="6">
        <f>MONTH(U2108)</f>
        <v/>
      </c>
      <c r="Z2108" s="6">
        <f>AA2108&amp;AB2108</f>
        <v/>
      </c>
      <c r="AA2108" s="6">
        <f>YEAR(AC2108)</f>
        <v/>
      </c>
      <c r="AB2108" s="6">
        <f>MONTH(AC2108)</f>
        <v/>
      </c>
      <c r="AC2108" s="267">
        <f>IFERROR(__xludf.DUMMYFUNCTION("""COMPUTED_VALUE"""),45257.9986111111)</f>
        <v/>
      </c>
      <c r="AD2108" s="6">
        <f>IFERROR(__xludf.DUMMYFUNCTION("""COMPUTED_VALUE"""),1302.53)</f>
        <v/>
      </c>
      <c r="AH2108" s="6">
        <f>AI2108&amp;AJ2108</f>
        <v/>
      </c>
      <c r="AI2108" s="6">
        <f>YEAR(AK2108)</f>
        <v/>
      </c>
      <c r="AJ2108" s="6">
        <f>MONTH(AK2108)</f>
        <v/>
      </c>
      <c r="AK2108" s="267">
        <f>IFERROR(__xludf.DUMMYFUNCTION("""COMPUTED_VALUE"""),45201.9986111111)</f>
        <v/>
      </c>
      <c r="AL2108" s="6">
        <f>IFERROR(__xludf.DUMMYFUNCTION("""COMPUTED_VALUE"""),27505.1)</f>
        <v/>
      </c>
      <c r="AP2108" s="6">
        <f>AQ2108&amp;AR2108</f>
        <v/>
      </c>
      <c r="AQ2108" s="6">
        <f>YEAR(AS2108)</f>
        <v/>
      </c>
      <c r="AR2108" s="6">
        <f>MONTH(AS2108)</f>
        <v/>
      </c>
      <c r="AS2108" s="267">
        <f>IFERROR(__xludf.DUMMYFUNCTION("""COMPUTED_VALUE"""),46170.9986111111)</f>
        <v/>
      </c>
      <c r="AT2108" s="6">
        <f>IFERROR(__xludf.DUMMYFUNCTION("""COMPUTED_VALUE"""),4532.4)</f>
        <v/>
      </c>
    </row>
    <row r="2109">
      <c r="B2109" s="6">
        <f>C2109&amp;D2109</f>
        <v/>
      </c>
      <c r="C2109" s="6">
        <f>YEAR(E2109)</f>
        <v/>
      </c>
      <c r="D2109" s="6">
        <f>MONTH(E2109)</f>
        <v/>
      </c>
      <c r="E2109" s="267">
        <f>IFERROR(__xludf.DUMMYFUNCTION("""COMPUTED_VALUE"""),46163.6666666666)</f>
        <v/>
      </c>
      <c r="F2109" s="6">
        <f>IFERROR(__xludf.DUMMYFUNCTION("""COMPUTED_VALUE"""),7445.72)</f>
        <v/>
      </c>
      <c r="J2109" s="6">
        <f>K2109&amp;L2109</f>
        <v/>
      </c>
      <c r="K2109" s="6">
        <f>YEAR(M2109)</f>
        <v/>
      </c>
      <c r="L2109" s="6">
        <f>MONTH(M2109)</f>
        <v/>
      </c>
      <c r="M2109" s="267">
        <f>IFERROR(__xludf.DUMMYFUNCTION("""COMPUTED_VALUE"""),46157.6666666666)</f>
        <v/>
      </c>
      <c r="N2109" s="6">
        <f>IFERROR(__xludf.DUMMYFUNCTION("""COMPUTED_VALUE"""),26225.15)</f>
        <v/>
      </c>
      <c r="R2109" s="6">
        <f>S2109&amp;T2109</f>
        <v/>
      </c>
      <c r="S2109" s="6">
        <f>YEAR(U2109)</f>
        <v/>
      </c>
      <c r="T2109" s="6">
        <f>MONTH(U2109)</f>
        <v/>
      </c>
      <c r="Z2109" s="6">
        <f>AA2109&amp;AB2109</f>
        <v/>
      </c>
      <c r="AA2109" s="6">
        <f>YEAR(AC2109)</f>
        <v/>
      </c>
      <c r="AB2109" s="6">
        <f>MONTH(AC2109)</f>
        <v/>
      </c>
      <c r="AC2109" s="267">
        <f>IFERROR(__xludf.DUMMYFUNCTION("""COMPUTED_VALUE"""),45258.9986111111)</f>
        <v/>
      </c>
      <c r="AD2109" s="6">
        <f>IFERROR(__xludf.DUMMYFUNCTION("""COMPUTED_VALUE"""),1287.53)</f>
        <v/>
      </c>
      <c r="AH2109" s="6">
        <f>AI2109&amp;AJ2109</f>
        <v/>
      </c>
      <c r="AI2109" s="6">
        <f>YEAR(AK2109)</f>
        <v/>
      </c>
      <c r="AJ2109" s="6">
        <f>MONTH(AK2109)</f>
        <v/>
      </c>
      <c r="AK2109" s="267">
        <f>IFERROR(__xludf.DUMMYFUNCTION("""COMPUTED_VALUE"""),45202.9986111111)</f>
        <v/>
      </c>
      <c r="AL2109" s="6">
        <f>IFERROR(__xludf.DUMMYFUNCTION("""COMPUTED_VALUE"""),27426.54)</f>
        <v/>
      </c>
      <c r="AP2109" s="6">
        <f>AQ2109&amp;AR2109</f>
        <v/>
      </c>
      <c r="AQ2109" s="6">
        <f>YEAR(AS2109)</f>
        <v/>
      </c>
      <c r="AR2109" s="6">
        <f>MONTH(AS2109)</f>
        <v/>
      </c>
      <c r="AS2109" s="267">
        <f>IFERROR(__xludf.DUMMYFUNCTION("""COMPUTED_VALUE"""),46171.9986111111)</f>
        <v/>
      </c>
      <c r="AT2109" s="6">
        <f>IFERROR(__xludf.DUMMYFUNCTION("""COMPUTED_VALUE"""),4593)</f>
        <v/>
      </c>
    </row>
    <row r="2110">
      <c r="B2110" s="6">
        <f>C2110&amp;D2110</f>
        <v/>
      </c>
      <c r="C2110" s="6">
        <f>YEAR(E2110)</f>
        <v/>
      </c>
      <c r="D2110" s="6">
        <f>MONTH(E2110)</f>
        <v/>
      </c>
      <c r="E2110" s="267">
        <f>IFERROR(__xludf.DUMMYFUNCTION("""COMPUTED_VALUE"""),46164.6666666666)</f>
        <v/>
      </c>
      <c r="F2110" s="6">
        <f>IFERROR(__xludf.DUMMYFUNCTION("""COMPUTED_VALUE"""),7473.47)</f>
        <v/>
      </c>
      <c r="J2110" s="6">
        <f>K2110&amp;L2110</f>
        <v/>
      </c>
      <c r="K2110" s="6">
        <f>YEAR(M2110)</f>
        <v/>
      </c>
      <c r="L2110" s="6">
        <f>MONTH(M2110)</f>
        <v/>
      </c>
      <c r="M2110" s="267">
        <f>IFERROR(__xludf.DUMMYFUNCTION("""COMPUTED_VALUE"""),46160.6666666666)</f>
        <v/>
      </c>
      <c r="N2110" s="6">
        <f>IFERROR(__xludf.DUMMYFUNCTION("""COMPUTED_VALUE"""),26090.73)</f>
        <v/>
      </c>
      <c r="R2110" s="6">
        <f>S2110&amp;T2110</f>
        <v/>
      </c>
      <c r="S2110" s="6">
        <f>YEAR(U2110)</f>
        <v/>
      </c>
      <c r="T2110" s="6">
        <f>MONTH(U2110)</f>
        <v/>
      </c>
      <c r="Z2110" s="6">
        <f>AA2110&amp;AB2110</f>
        <v/>
      </c>
      <c r="AA2110" s="6">
        <f>YEAR(AC2110)</f>
        <v/>
      </c>
      <c r="AB2110" s="6">
        <f>MONTH(AC2110)</f>
        <v/>
      </c>
      <c r="AC2110" s="267">
        <f>IFERROR(__xludf.DUMMYFUNCTION("""COMPUTED_VALUE"""),45259.9986111111)</f>
        <v/>
      </c>
      <c r="AD2110" s="6">
        <f>IFERROR(__xludf.DUMMYFUNCTION("""COMPUTED_VALUE"""),1288.36)</f>
        <v/>
      </c>
      <c r="AH2110" s="6">
        <f>AI2110&amp;AJ2110</f>
        <v/>
      </c>
      <c r="AI2110" s="6">
        <f>YEAR(AK2110)</f>
        <v/>
      </c>
      <c r="AJ2110" s="6">
        <f>MONTH(AK2110)</f>
        <v/>
      </c>
      <c r="AK2110" s="267">
        <f>IFERROR(__xludf.DUMMYFUNCTION("""COMPUTED_VALUE"""),45203.9986111111)</f>
        <v/>
      </c>
      <c r="AL2110" s="6">
        <f>IFERROR(__xludf.DUMMYFUNCTION("""COMPUTED_VALUE"""),27794.62)</f>
        <v/>
      </c>
      <c r="AP2110" s="6">
        <f>AQ2110&amp;AR2110</f>
        <v/>
      </c>
      <c r="AQ2110" s="6">
        <f>YEAR(AS2110)</f>
        <v/>
      </c>
      <c r="AR2110" s="6">
        <f>MONTH(AS2110)</f>
        <v/>
      </c>
      <c r="AS2110" s="267">
        <f>IFERROR(__xludf.DUMMYFUNCTION("""COMPUTED_VALUE"""),46174.9986111111)</f>
        <v/>
      </c>
      <c r="AT2110" s="6">
        <f>IFERROR(__xludf.DUMMYFUNCTION("""COMPUTED_VALUE"""),4506.3)</f>
        <v/>
      </c>
    </row>
    <row r="2111">
      <c r="B2111" s="6">
        <f>C2111&amp;D2111</f>
        <v/>
      </c>
      <c r="C2111" s="6">
        <f>YEAR(E2111)</f>
        <v/>
      </c>
      <c r="D2111" s="6">
        <f>MONTH(E2111)</f>
        <v/>
      </c>
      <c r="E2111" s="267">
        <f>IFERROR(__xludf.DUMMYFUNCTION("""COMPUTED_VALUE"""),46168.6666666666)</f>
        <v/>
      </c>
      <c r="F2111" s="6">
        <f>IFERROR(__xludf.DUMMYFUNCTION("""COMPUTED_VALUE"""),7519.12)</f>
        <v/>
      </c>
      <c r="J2111" s="6">
        <f>K2111&amp;L2111</f>
        <v/>
      </c>
      <c r="K2111" s="6">
        <f>YEAR(M2111)</f>
        <v/>
      </c>
      <c r="L2111" s="6">
        <f>MONTH(M2111)</f>
        <v/>
      </c>
      <c r="M2111" s="267">
        <f>IFERROR(__xludf.DUMMYFUNCTION("""COMPUTED_VALUE"""),46161.6666666666)</f>
        <v/>
      </c>
      <c r="N2111" s="6">
        <f>IFERROR(__xludf.DUMMYFUNCTION("""COMPUTED_VALUE"""),25870.71)</f>
        <v/>
      </c>
      <c r="R2111" s="6">
        <f>S2111&amp;T2111</f>
        <v/>
      </c>
      <c r="S2111" s="6">
        <f>YEAR(U2111)</f>
        <v/>
      </c>
      <c r="T2111" s="6">
        <f>MONTH(U2111)</f>
        <v/>
      </c>
      <c r="Z2111" s="6">
        <f>AA2111&amp;AB2111</f>
        <v/>
      </c>
      <c r="AA2111" s="6">
        <f>YEAR(AC2111)</f>
        <v/>
      </c>
      <c r="AB2111" s="6">
        <f>MONTH(AC2111)</f>
        <v/>
      </c>
      <c r="AC2111" s="267">
        <f>IFERROR(__xludf.DUMMYFUNCTION("""COMPUTED_VALUE"""),45260.9986111111)</f>
        <v/>
      </c>
      <c r="AD2111" s="6">
        <f>IFERROR(__xludf.DUMMYFUNCTION("""COMPUTED_VALUE"""),1296.66)</f>
        <v/>
      </c>
      <c r="AH2111" s="6">
        <f>AI2111&amp;AJ2111</f>
        <v/>
      </c>
      <c r="AI2111" s="6">
        <f>YEAR(AK2111)</f>
        <v/>
      </c>
      <c r="AJ2111" s="6">
        <f>MONTH(AK2111)</f>
        <v/>
      </c>
      <c r="AK2111" s="267">
        <f>IFERROR(__xludf.DUMMYFUNCTION("""COMPUTED_VALUE"""),45204.9986111111)</f>
        <v/>
      </c>
      <c r="AL2111" s="6">
        <f>IFERROR(__xludf.DUMMYFUNCTION("""COMPUTED_VALUE"""),27413.3)</f>
        <v/>
      </c>
      <c r="AP2111" s="6">
        <f>AQ2111&amp;AR2111</f>
        <v/>
      </c>
      <c r="AQ2111" s="6">
        <f>YEAR(AS2111)</f>
        <v/>
      </c>
      <c r="AR2111" s="6">
        <f>MONTH(AS2111)</f>
        <v/>
      </c>
      <c r="AS2111" s="267">
        <f>IFERROR(__xludf.DUMMYFUNCTION("""COMPUTED_VALUE"""),46175.9986111111)</f>
        <v/>
      </c>
      <c r="AT2111" s="6">
        <f>IFERROR(__xludf.DUMMYFUNCTION("""COMPUTED_VALUE"""),4519.9)</f>
        <v/>
      </c>
    </row>
    <row r="2112">
      <c r="B2112" s="6">
        <f>C2112&amp;D2112</f>
        <v/>
      </c>
      <c r="C2112" s="6">
        <f>YEAR(E2112)</f>
        <v/>
      </c>
      <c r="D2112" s="6">
        <f>MONTH(E2112)</f>
        <v/>
      </c>
      <c r="E2112" s="267">
        <f>IFERROR(__xludf.DUMMYFUNCTION("""COMPUTED_VALUE"""),46169.6666666666)</f>
        <v/>
      </c>
      <c r="F2112" s="6">
        <f>IFERROR(__xludf.DUMMYFUNCTION("""COMPUTED_VALUE"""),7520.36)</f>
        <v/>
      </c>
      <c r="J2112" s="6">
        <f>K2112&amp;L2112</f>
        <v/>
      </c>
      <c r="K2112" s="6">
        <f>YEAR(M2112)</f>
        <v/>
      </c>
      <c r="L2112" s="6">
        <f>MONTH(M2112)</f>
        <v/>
      </c>
      <c r="M2112" s="267">
        <f>IFERROR(__xludf.DUMMYFUNCTION("""COMPUTED_VALUE"""),46162.6666666666)</f>
        <v/>
      </c>
      <c r="N2112" s="6">
        <f>IFERROR(__xludf.DUMMYFUNCTION("""COMPUTED_VALUE"""),26270.36)</f>
        <v/>
      </c>
      <c r="R2112" s="6">
        <f>S2112&amp;T2112</f>
        <v/>
      </c>
      <c r="S2112" s="6">
        <f>YEAR(U2112)</f>
        <v/>
      </c>
      <c r="T2112" s="6">
        <f>MONTH(U2112)</f>
        <v/>
      </c>
      <c r="Z2112" s="6">
        <f>AA2112&amp;AB2112</f>
        <v/>
      </c>
      <c r="AA2112" s="6">
        <f>YEAR(AC2112)</f>
        <v/>
      </c>
      <c r="AB2112" s="6">
        <f>MONTH(AC2112)</f>
        <v/>
      </c>
      <c r="AC2112" s="267">
        <f>IFERROR(__xludf.DUMMYFUNCTION("""COMPUTED_VALUE"""),45261.9986111111)</f>
        <v/>
      </c>
      <c r="AD2112" s="6">
        <f>IFERROR(__xludf.DUMMYFUNCTION("""COMPUTED_VALUE"""),1293.99)</f>
        <v/>
      </c>
      <c r="AH2112" s="6">
        <f>AI2112&amp;AJ2112</f>
        <v/>
      </c>
      <c r="AI2112" s="6">
        <f>YEAR(AK2112)</f>
        <v/>
      </c>
      <c r="AJ2112" s="6">
        <f>MONTH(AK2112)</f>
        <v/>
      </c>
      <c r="AK2112" s="267">
        <f>IFERROR(__xludf.DUMMYFUNCTION("""COMPUTED_VALUE"""),45205.9986111111)</f>
        <v/>
      </c>
      <c r="AL2112" s="6">
        <f>IFERROR(__xludf.DUMMYFUNCTION("""COMPUTED_VALUE"""),27946.92)</f>
        <v/>
      </c>
      <c r="AP2112" s="6">
        <f>AQ2112&amp;AR2112</f>
        <v/>
      </c>
      <c r="AQ2112" s="6">
        <f>YEAR(AS2112)</f>
        <v/>
      </c>
      <c r="AR2112" s="6">
        <f>MONTH(AS2112)</f>
        <v/>
      </c>
      <c r="AS2112" s="267">
        <f>IFERROR(__xludf.DUMMYFUNCTION("""COMPUTED_VALUE"""),46176.9986111111)</f>
        <v/>
      </c>
      <c r="AT2112" s="6">
        <f>IFERROR(__xludf.DUMMYFUNCTION("""COMPUTED_VALUE"""),4466.9)</f>
        <v/>
      </c>
    </row>
    <row r="2113">
      <c r="B2113" s="6">
        <f>C2113&amp;D2113</f>
        <v/>
      </c>
      <c r="C2113" s="6">
        <f>YEAR(E2113)</f>
        <v/>
      </c>
      <c r="D2113" s="6">
        <f>MONTH(E2113)</f>
        <v/>
      </c>
      <c r="E2113" s="267">
        <f>IFERROR(__xludf.DUMMYFUNCTION("""COMPUTED_VALUE"""),46170.6666666666)</f>
        <v/>
      </c>
      <c r="F2113" s="6">
        <f>IFERROR(__xludf.DUMMYFUNCTION("""COMPUTED_VALUE"""),7563.63)</f>
        <v/>
      </c>
      <c r="J2113" s="6">
        <f>K2113&amp;L2113</f>
        <v/>
      </c>
      <c r="K2113" s="6">
        <f>YEAR(M2113)</f>
        <v/>
      </c>
      <c r="L2113" s="6">
        <f>MONTH(M2113)</f>
        <v/>
      </c>
      <c r="M2113" s="267">
        <f>IFERROR(__xludf.DUMMYFUNCTION("""COMPUTED_VALUE"""),46163.6666666666)</f>
        <v/>
      </c>
      <c r="N2113" s="6">
        <f>IFERROR(__xludf.DUMMYFUNCTION("""COMPUTED_VALUE"""),26293.1)</f>
        <v/>
      </c>
      <c r="R2113" s="6">
        <f>S2113&amp;T2113</f>
        <v/>
      </c>
      <c r="S2113" s="6">
        <f>YEAR(U2113)</f>
        <v/>
      </c>
      <c r="T2113" s="6">
        <f>MONTH(U2113)</f>
        <v/>
      </c>
      <c r="Z2113" s="6">
        <f>AA2113&amp;AB2113</f>
        <v/>
      </c>
      <c r="AA2113" s="6">
        <f>YEAR(AC2113)</f>
        <v/>
      </c>
      <c r="AB2113" s="6">
        <f>MONTH(AC2113)</f>
        <v/>
      </c>
      <c r="AC2113" s="267">
        <f>IFERROR(__xludf.DUMMYFUNCTION("""COMPUTED_VALUE"""),45262.9986111111)</f>
        <v/>
      </c>
      <c r="AD2113" s="6">
        <f>IFERROR(__xludf.DUMMYFUNCTION("""COMPUTED_VALUE"""),1299.19)</f>
        <v/>
      </c>
      <c r="AH2113" s="6">
        <f>AI2113&amp;AJ2113</f>
        <v/>
      </c>
      <c r="AI2113" s="6">
        <f>YEAR(AK2113)</f>
        <v/>
      </c>
      <c r="AJ2113" s="6">
        <f>MONTH(AK2113)</f>
        <v/>
      </c>
      <c r="AK2113" s="267">
        <f>IFERROR(__xludf.DUMMYFUNCTION("""COMPUTED_VALUE"""),45206.9986111111)</f>
        <v/>
      </c>
      <c r="AL2113" s="6">
        <f>IFERROR(__xludf.DUMMYFUNCTION("""COMPUTED_VALUE"""),27973.48)</f>
        <v/>
      </c>
      <c r="AP2113" s="6">
        <f>AQ2113&amp;AR2113</f>
        <v/>
      </c>
      <c r="AQ2113" s="6">
        <f>YEAR(AS2113)</f>
        <v/>
      </c>
      <c r="AR2113" s="6">
        <f>MONTH(AS2113)</f>
        <v/>
      </c>
      <c r="AS2113" s="267">
        <f>IFERROR(__xludf.DUMMYFUNCTION("""COMPUTED_VALUE"""),46177.9986111111)</f>
        <v/>
      </c>
      <c r="AT2113" s="6">
        <f>IFERROR(__xludf.DUMMYFUNCTION("""COMPUTED_VALUE"""),4505)</f>
        <v/>
      </c>
    </row>
    <row r="2114">
      <c r="B2114" s="6">
        <f>C2114&amp;D2114</f>
        <v/>
      </c>
      <c r="C2114" s="6">
        <f>YEAR(E2114)</f>
        <v/>
      </c>
      <c r="D2114" s="6">
        <f>MONTH(E2114)</f>
        <v/>
      </c>
      <c r="E2114" s="267">
        <f>IFERROR(__xludf.DUMMYFUNCTION("""COMPUTED_VALUE"""),46171.6666666666)</f>
        <v/>
      </c>
      <c r="F2114" s="6">
        <f>IFERROR(__xludf.DUMMYFUNCTION("""COMPUTED_VALUE"""),7580.06)</f>
        <v/>
      </c>
      <c r="J2114" s="6">
        <f>K2114&amp;L2114</f>
        <v/>
      </c>
      <c r="K2114" s="6">
        <f>YEAR(M2114)</f>
        <v/>
      </c>
      <c r="L2114" s="6">
        <f>MONTH(M2114)</f>
        <v/>
      </c>
      <c r="M2114" s="267">
        <f>IFERROR(__xludf.DUMMYFUNCTION("""COMPUTED_VALUE"""),46164.6666666666)</f>
        <v/>
      </c>
      <c r="N2114" s="6">
        <f>IFERROR(__xludf.DUMMYFUNCTION("""COMPUTED_VALUE"""),26343.97)</f>
        <v/>
      </c>
      <c r="R2114" s="6">
        <f>S2114&amp;T2114</f>
        <v/>
      </c>
      <c r="S2114" s="6">
        <f>YEAR(U2114)</f>
        <v/>
      </c>
      <c r="T2114" s="6">
        <f>MONTH(U2114)</f>
        <v/>
      </c>
      <c r="Z2114" s="6">
        <f>AA2114&amp;AB2114</f>
        <v/>
      </c>
      <c r="AA2114" s="6">
        <f>YEAR(AC2114)</f>
        <v/>
      </c>
      <c r="AB2114" s="6">
        <f>MONTH(AC2114)</f>
        <v/>
      </c>
      <c r="AC2114" s="267">
        <f>IFERROR(__xludf.DUMMYFUNCTION("""COMPUTED_VALUE"""),45264.9986111111)</f>
        <v/>
      </c>
      <c r="AD2114" s="6">
        <f>IFERROR(__xludf.DUMMYFUNCTION("""COMPUTED_VALUE"""),1307.8)</f>
        <v/>
      </c>
      <c r="AH2114" s="6">
        <f>AI2114&amp;AJ2114</f>
        <v/>
      </c>
      <c r="AI2114" s="6">
        <f>YEAR(AK2114)</f>
        <v/>
      </c>
      <c r="AJ2114" s="6">
        <f>MONTH(AK2114)</f>
        <v/>
      </c>
      <c r="AK2114" s="267">
        <f>IFERROR(__xludf.DUMMYFUNCTION("""COMPUTED_VALUE"""),45207.9986111111)</f>
        <v/>
      </c>
      <c r="AL2114" s="6">
        <f>IFERROR(__xludf.DUMMYFUNCTION("""COMPUTED_VALUE"""),27932.73)</f>
        <v/>
      </c>
      <c r="AP2114" s="6">
        <f>AQ2114&amp;AR2114</f>
        <v/>
      </c>
      <c r="AQ2114" s="6">
        <f>YEAR(AS2114)</f>
        <v/>
      </c>
      <c r="AR2114" s="6">
        <f>MONTH(AS2114)</f>
        <v/>
      </c>
      <c r="AS2114" s="267">
        <f>IFERROR(__xludf.DUMMYFUNCTION("""COMPUTED_VALUE"""),46178.9986111111)</f>
        <v/>
      </c>
      <c r="AT2114" s="6">
        <f>IFERROR(__xludf.DUMMYFUNCTION("""COMPUTED_VALUE"""),4365.3)</f>
        <v/>
      </c>
    </row>
    <row r="2115">
      <c r="B2115" s="6">
        <f>C2115&amp;D2115</f>
        <v/>
      </c>
      <c r="C2115" s="6">
        <f>YEAR(E2115)</f>
        <v/>
      </c>
      <c r="D2115" s="6">
        <f>MONTH(E2115)</f>
        <v/>
      </c>
      <c r="E2115" s="267">
        <f>IFERROR(__xludf.DUMMYFUNCTION("""COMPUTED_VALUE"""),46174.6666666666)</f>
        <v/>
      </c>
      <c r="F2115" s="6">
        <f>IFERROR(__xludf.DUMMYFUNCTION("""COMPUTED_VALUE"""),7599.96)</f>
        <v/>
      </c>
      <c r="J2115" s="6">
        <f>K2115&amp;L2115</f>
        <v/>
      </c>
      <c r="K2115" s="6">
        <f>YEAR(M2115)</f>
        <v/>
      </c>
      <c r="L2115" s="6">
        <f>MONTH(M2115)</f>
        <v/>
      </c>
      <c r="M2115" s="267">
        <f>IFERROR(__xludf.DUMMYFUNCTION("""COMPUTED_VALUE"""),46168.6666666666)</f>
        <v/>
      </c>
      <c r="N2115" s="6">
        <f>IFERROR(__xludf.DUMMYFUNCTION("""COMPUTED_VALUE"""),26656.18)</f>
        <v/>
      </c>
      <c r="R2115" s="6">
        <f>S2115&amp;T2115</f>
        <v/>
      </c>
      <c r="S2115" s="6">
        <f>YEAR(U2115)</f>
        <v/>
      </c>
      <c r="T2115" s="6">
        <f>MONTH(U2115)</f>
        <v/>
      </c>
      <c r="Z2115" s="6">
        <f>AA2115&amp;AB2115</f>
        <v/>
      </c>
      <c r="AA2115" s="6">
        <f>YEAR(AC2115)</f>
        <v/>
      </c>
      <c r="AB2115" s="6">
        <f>MONTH(AC2115)</f>
        <v/>
      </c>
      <c r="AC2115" s="267">
        <f>IFERROR(__xludf.DUMMYFUNCTION("""COMPUTED_VALUE"""),45265.9986111111)</f>
        <v/>
      </c>
      <c r="AD2115" s="6">
        <f>IFERROR(__xludf.DUMMYFUNCTION("""COMPUTED_VALUE"""),1313.37)</f>
        <v/>
      </c>
      <c r="AH2115" s="6">
        <f>AI2115&amp;AJ2115</f>
        <v/>
      </c>
      <c r="AI2115" s="6">
        <f>YEAR(AK2115)</f>
        <v/>
      </c>
      <c r="AJ2115" s="6">
        <f>MONTH(AK2115)</f>
        <v/>
      </c>
      <c r="AK2115" s="267">
        <f>IFERROR(__xludf.DUMMYFUNCTION("""COMPUTED_VALUE"""),45208.9986111111)</f>
        <v/>
      </c>
      <c r="AL2115" s="6">
        <f>IFERROR(__xludf.DUMMYFUNCTION("""COMPUTED_VALUE"""),27590.5)</f>
        <v/>
      </c>
      <c r="AP2115" s="6">
        <f>AQ2115&amp;AR2115</f>
        <v/>
      </c>
      <c r="AQ2115" s="6">
        <f>YEAR(AS2115)</f>
        <v/>
      </c>
      <c r="AR2115" s="6">
        <f>MONTH(AS2115)</f>
        <v/>
      </c>
      <c r="AS2115" s="267">
        <f>IFERROR(__xludf.DUMMYFUNCTION("""COMPUTED_VALUE"""),46181.9986111111)</f>
        <v/>
      </c>
      <c r="AT2115" s="6">
        <f>IFERROR(__xludf.DUMMYFUNCTION("""COMPUTED_VALUE"""),4363.4)</f>
        <v/>
      </c>
    </row>
    <row r="2116">
      <c r="B2116" s="6">
        <f>C2116&amp;D2116</f>
        <v/>
      </c>
      <c r="C2116" s="6">
        <f>YEAR(E2116)</f>
        <v/>
      </c>
      <c r="D2116" s="6">
        <f>MONTH(E2116)</f>
        <v/>
      </c>
      <c r="E2116" s="267">
        <f>IFERROR(__xludf.DUMMYFUNCTION("""COMPUTED_VALUE"""),46175.6666666666)</f>
        <v/>
      </c>
      <c r="F2116" s="6">
        <f>IFERROR(__xludf.DUMMYFUNCTION("""COMPUTED_VALUE"""),7609.78)</f>
        <v/>
      </c>
      <c r="J2116" s="6">
        <f>K2116&amp;L2116</f>
        <v/>
      </c>
      <c r="K2116" s="6">
        <f>YEAR(M2116)</f>
        <v/>
      </c>
      <c r="L2116" s="6">
        <f>MONTH(M2116)</f>
        <v/>
      </c>
      <c r="M2116" s="267">
        <f>IFERROR(__xludf.DUMMYFUNCTION("""COMPUTED_VALUE"""),46169.6666666666)</f>
        <v/>
      </c>
      <c r="N2116" s="6">
        <f>IFERROR(__xludf.DUMMYFUNCTION("""COMPUTED_VALUE"""),26674.74)</f>
        <v/>
      </c>
      <c r="R2116" s="6">
        <f>S2116&amp;T2116</f>
        <v/>
      </c>
      <c r="S2116" s="6">
        <f>YEAR(U2116)</f>
        <v/>
      </c>
      <c r="T2116" s="6">
        <f>MONTH(U2116)</f>
        <v/>
      </c>
      <c r="Z2116" s="6">
        <f>AA2116&amp;AB2116</f>
        <v/>
      </c>
      <c r="AA2116" s="6">
        <f>YEAR(AC2116)</f>
        <v/>
      </c>
      <c r="AB2116" s="6">
        <f>MONTH(AC2116)</f>
        <v/>
      </c>
      <c r="AC2116" s="267">
        <f>IFERROR(__xludf.DUMMYFUNCTION("""COMPUTED_VALUE"""),45266.9986111111)</f>
        <v/>
      </c>
      <c r="AD2116" s="6">
        <f>IFERROR(__xludf.DUMMYFUNCTION("""COMPUTED_VALUE"""),1313.72)</f>
        <v/>
      </c>
      <c r="AH2116" s="6">
        <f>AI2116&amp;AJ2116</f>
        <v/>
      </c>
      <c r="AI2116" s="6">
        <f>YEAR(AK2116)</f>
        <v/>
      </c>
      <c r="AJ2116" s="6">
        <f>MONTH(AK2116)</f>
        <v/>
      </c>
      <c r="AK2116" s="267">
        <f>IFERROR(__xludf.DUMMYFUNCTION("""COMPUTED_VALUE"""),45209.9986111111)</f>
        <v/>
      </c>
      <c r="AL2116" s="6">
        <f>IFERROR(__xludf.DUMMYFUNCTION("""COMPUTED_VALUE"""),27395.59)</f>
        <v/>
      </c>
      <c r="AP2116" s="6">
        <f>AQ2116&amp;AR2116</f>
        <v/>
      </c>
      <c r="AQ2116" s="6">
        <f>YEAR(AS2116)</f>
        <v/>
      </c>
      <c r="AR2116" s="6">
        <f>MONTH(AS2116)</f>
        <v/>
      </c>
      <c r="AS2116" s="267">
        <f>IFERROR(__xludf.DUMMYFUNCTION("""COMPUTED_VALUE"""),46182.9986111111)</f>
        <v/>
      </c>
      <c r="AT2116" s="6">
        <f>IFERROR(__xludf.DUMMYFUNCTION("""COMPUTED_VALUE"""),4286.4)</f>
        <v/>
      </c>
    </row>
    <row r="2117">
      <c r="B2117" s="6">
        <f>C2117&amp;D2117</f>
        <v/>
      </c>
      <c r="C2117" s="6">
        <f>YEAR(E2117)</f>
        <v/>
      </c>
      <c r="D2117" s="6">
        <f>MONTH(E2117)</f>
        <v/>
      </c>
      <c r="E2117" s="267">
        <f>IFERROR(__xludf.DUMMYFUNCTION("""COMPUTED_VALUE"""),46176.6666666666)</f>
        <v/>
      </c>
      <c r="F2117" s="6">
        <f>IFERROR(__xludf.DUMMYFUNCTION("""COMPUTED_VALUE"""),7553.68)</f>
        <v/>
      </c>
      <c r="J2117" s="6">
        <f>K2117&amp;L2117</f>
        <v/>
      </c>
      <c r="K2117" s="6">
        <f>YEAR(M2117)</f>
        <v/>
      </c>
      <c r="L2117" s="6">
        <f>MONTH(M2117)</f>
        <v/>
      </c>
      <c r="M2117" s="267">
        <f>IFERROR(__xludf.DUMMYFUNCTION("""COMPUTED_VALUE"""),46170.6666666666)</f>
        <v/>
      </c>
      <c r="N2117" s="6">
        <f>IFERROR(__xludf.DUMMYFUNCTION("""COMPUTED_VALUE"""),26917.47)</f>
        <v/>
      </c>
      <c r="R2117" s="6">
        <f>S2117&amp;T2117</f>
        <v/>
      </c>
      <c r="S2117" s="6">
        <f>YEAR(U2117)</f>
        <v/>
      </c>
      <c r="T2117" s="6">
        <f>MONTH(U2117)</f>
        <v/>
      </c>
      <c r="Z2117" s="6">
        <f>AA2117&amp;AB2117</f>
        <v/>
      </c>
      <c r="AA2117" s="6">
        <f>YEAR(AC2117)</f>
        <v/>
      </c>
      <c r="AB2117" s="6">
        <f>MONTH(AC2117)</f>
        <v/>
      </c>
      <c r="AC2117" s="267">
        <f>IFERROR(__xludf.DUMMYFUNCTION("""COMPUTED_VALUE"""),45267.9986111111)</f>
        <v/>
      </c>
      <c r="AD2117" s="6">
        <f>IFERROR(__xludf.DUMMYFUNCTION("""COMPUTED_VALUE"""),1312.76)</f>
        <v/>
      </c>
      <c r="AH2117" s="6">
        <f>AI2117&amp;AJ2117</f>
        <v/>
      </c>
      <c r="AI2117" s="6">
        <f>YEAR(AK2117)</f>
        <v/>
      </c>
      <c r="AJ2117" s="6">
        <f>MONTH(AK2117)</f>
        <v/>
      </c>
      <c r="AK2117" s="267">
        <f>IFERROR(__xludf.DUMMYFUNCTION("""COMPUTED_VALUE"""),45210.9986111111)</f>
        <v/>
      </c>
      <c r="AL2117" s="6">
        <f>IFERROR(__xludf.DUMMYFUNCTION("""COMPUTED_VALUE"""),26871.54)</f>
        <v/>
      </c>
      <c r="AP2117" s="6">
        <f>AQ2117&amp;AR2117</f>
        <v/>
      </c>
      <c r="AQ2117" s="6">
        <f>YEAR(AS2117)</f>
        <v/>
      </c>
      <c r="AR2117" s="6">
        <f>MONTH(AS2117)</f>
        <v/>
      </c>
      <c r="AS2117" s="267">
        <f>IFERROR(__xludf.DUMMYFUNCTION("""COMPUTED_VALUE"""),46183.9986111111)</f>
        <v/>
      </c>
      <c r="AT2117" s="6">
        <f>IFERROR(__xludf.DUMMYFUNCTION("""COMPUTED_VALUE"""),4133.3)</f>
        <v/>
      </c>
    </row>
    <row r="2118">
      <c r="B2118" s="6">
        <f>C2118&amp;D2118</f>
        <v/>
      </c>
      <c r="C2118" s="6">
        <f>YEAR(E2118)</f>
        <v/>
      </c>
      <c r="D2118" s="6">
        <f>MONTH(E2118)</f>
        <v/>
      </c>
      <c r="E2118" s="267">
        <f>IFERROR(__xludf.DUMMYFUNCTION("""COMPUTED_VALUE"""),46177.6666666666)</f>
        <v/>
      </c>
      <c r="F2118" s="6">
        <f>IFERROR(__xludf.DUMMYFUNCTION("""COMPUTED_VALUE"""),7584.31)</f>
        <v/>
      </c>
      <c r="J2118" s="6">
        <f>K2118&amp;L2118</f>
        <v/>
      </c>
      <c r="K2118" s="6">
        <f>YEAR(M2118)</f>
        <v/>
      </c>
      <c r="L2118" s="6">
        <f>MONTH(M2118)</f>
        <v/>
      </c>
      <c r="M2118" s="267">
        <f>IFERROR(__xludf.DUMMYFUNCTION("""COMPUTED_VALUE"""),46171.6666666666)</f>
        <v/>
      </c>
      <c r="N2118" s="6">
        <f>IFERROR(__xludf.DUMMYFUNCTION("""COMPUTED_VALUE"""),26972.62)</f>
        <v/>
      </c>
      <c r="R2118" s="6">
        <f>S2118&amp;T2118</f>
        <v/>
      </c>
      <c r="S2118" s="6">
        <f>YEAR(U2118)</f>
        <v/>
      </c>
      <c r="T2118" s="6">
        <f>MONTH(U2118)</f>
        <v/>
      </c>
      <c r="Z2118" s="6">
        <f>AA2118&amp;AB2118</f>
        <v/>
      </c>
      <c r="AA2118" s="6">
        <f>YEAR(AC2118)</f>
        <v/>
      </c>
      <c r="AB2118" s="6">
        <f>MONTH(AC2118)</f>
        <v/>
      </c>
      <c r="AC2118" s="267">
        <f>IFERROR(__xludf.DUMMYFUNCTION("""COMPUTED_VALUE"""),45268.9986111111)</f>
        <v/>
      </c>
      <c r="AD2118" s="6">
        <f>IFERROR(__xludf.DUMMYFUNCTION("""COMPUTED_VALUE"""),1316.51)</f>
        <v/>
      </c>
      <c r="AH2118" s="6">
        <f>AI2118&amp;AJ2118</f>
        <v/>
      </c>
      <c r="AI2118" s="6">
        <f>YEAR(AK2118)</f>
        <v/>
      </c>
      <c r="AJ2118" s="6">
        <f>MONTH(AK2118)</f>
        <v/>
      </c>
      <c r="AK2118" s="267">
        <f>IFERROR(__xludf.DUMMYFUNCTION("""COMPUTED_VALUE"""),45211.9986111111)</f>
        <v/>
      </c>
      <c r="AL2118" s="6">
        <f>IFERROR(__xludf.DUMMYFUNCTION("""COMPUTED_VALUE"""),26755.97)</f>
        <v/>
      </c>
      <c r="AP2118" s="6">
        <f>AQ2118&amp;AR2118</f>
        <v/>
      </c>
      <c r="AQ2118" s="6">
        <f>YEAR(AS2118)</f>
        <v/>
      </c>
      <c r="AR2118" s="6">
        <f>MONTH(AS2118)</f>
        <v/>
      </c>
      <c r="AS2118" s="267">
        <f>IFERROR(__xludf.DUMMYFUNCTION("""COMPUTED_VALUE"""),46184.9986111111)</f>
        <v/>
      </c>
      <c r="AT2118" s="6">
        <f>IFERROR(__xludf.DUMMYFUNCTION("""COMPUTED_VALUE"""),4114)</f>
        <v/>
      </c>
    </row>
    <row r="2119">
      <c r="B2119" s="6">
        <f>C2119&amp;D2119</f>
        <v/>
      </c>
      <c r="C2119" s="6">
        <f>YEAR(E2119)</f>
        <v/>
      </c>
      <c r="D2119" s="6">
        <f>MONTH(E2119)</f>
        <v/>
      </c>
      <c r="E2119" s="267">
        <f>IFERROR(__xludf.DUMMYFUNCTION("""COMPUTED_VALUE"""),46178.6666666666)</f>
        <v/>
      </c>
      <c r="F2119" s="6">
        <f>IFERROR(__xludf.DUMMYFUNCTION("""COMPUTED_VALUE"""),7383.74)</f>
        <v/>
      </c>
      <c r="J2119" s="6">
        <f>K2119&amp;L2119</f>
        <v/>
      </c>
      <c r="K2119" s="6">
        <f>YEAR(M2119)</f>
        <v/>
      </c>
      <c r="L2119" s="6">
        <f>MONTH(M2119)</f>
        <v/>
      </c>
      <c r="M2119" s="267">
        <f>IFERROR(__xludf.DUMMYFUNCTION("""COMPUTED_VALUE"""),46174.6666666666)</f>
        <v/>
      </c>
      <c r="N2119" s="6">
        <f>IFERROR(__xludf.DUMMYFUNCTION("""COMPUTED_VALUE"""),27086.81)</f>
        <v/>
      </c>
      <c r="R2119" s="6">
        <f>S2119&amp;T2119</f>
        <v/>
      </c>
      <c r="S2119" s="6">
        <f>YEAR(U2119)</f>
        <v/>
      </c>
      <c r="T2119" s="6">
        <f>MONTH(U2119)</f>
        <v/>
      </c>
      <c r="Z2119" s="6">
        <f>AA2119&amp;AB2119</f>
        <v/>
      </c>
      <c r="AA2119" s="6">
        <f>YEAR(AC2119)</f>
        <v/>
      </c>
      <c r="AB2119" s="6">
        <f>MONTH(AC2119)</f>
        <v/>
      </c>
      <c r="AC2119" s="267">
        <f>IFERROR(__xludf.DUMMYFUNCTION("""COMPUTED_VALUE"""),45269.9986111111)</f>
        <v/>
      </c>
      <c r="AD2119" s="6">
        <f>IFERROR(__xludf.DUMMYFUNCTION("""COMPUTED_VALUE"""),1316.51)</f>
        <v/>
      </c>
      <c r="AH2119" s="6">
        <f>AI2119&amp;AJ2119</f>
        <v/>
      </c>
      <c r="AI2119" s="6">
        <f>YEAR(AK2119)</f>
        <v/>
      </c>
      <c r="AJ2119" s="6">
        <f>MONTH(AK2119)</f>
        <v/>
      </c>
      <c r="AK2119" s="267">
        <f>IFERROR(__xludf.DUMMYFUNCTION("""COMPUTED_VALUE"""),45212.9986111111)</f>
        <v/>
      </c>
      <c r="AL2119" s="6">
        <f>IFERROR(__xludf.DUMMYFUNCTION("""COMPUTED_VALUE"""),26865.08)</f>
        <v/>
      </c>
      <c r="AP2119" s="6">
        <f>AQ2119&amp;AR2119</f>
        <v/>
      </c>
      <c r="AQ2119" s="6">
        <f>YEAR(AS2119)</f>
        <v/>
      </c>
      <c r="AR2119" s="6">
        <f>MONTH(AS2119)</f>
        <v/>
      </c>
      <c r="AS2119" s="267">
        <f>IFERROR(__xludf.DUMMYFUNCTION("""COMPUTED_VALUE"""),46185.9986111111)</f>
        <v/>
      </c>
      <c r="AT2119" s="6">
        <f>IFERROR(__xludf.DUMMYFUNCTION("""COMPUTED_VALUE"""),4238.8)</f>
        <v/>
      </c>
    </row>
    <row r="2120">
      <c r="B2120" s="6">
        <f>C2120&amp;D2120</f>
        <v/>
      </c>
      <c r="C2120" s="6">
        <f>YEAR(E2120)</f>
        <v/>
      </c>
      <c r="D2120" s="6">
        <f>MONTH(E2120)</f>
        <v/>
      </c>
      <c r="E2120" s="267">
        <f>IFERROR(__xludf.DUMMYFUNCTION("""COMPUTED_VALUE"""),46181.6666666666)</f>
        <v/>
      </c>
      <c r="F2120" s="6">
        <f>IFERROR(__xludf.DUMMYFUNCTION("""COMPUTED_VALUE"""),7405.73)</f>
        <v/>
      </c>
      <c r="J2120" s="6">
        <f>K2120&amp;L2120</f>
        <v/>
      </c>
      <c r="K2120" s="6">
        <f>YEAR(M2120)</f>
        <v/>
      </c>
      <c r="L2120" s="6">
        <f>MONTH(M2120)</f>
        <v/>
      </c>
      <c r="M2120" s="267">
        <f>IFERROR(__xludf.DUMMYFUNCTION("""COMPUTED_VALUE"""),46175.6666666666)</f>
        <v/>
      </c>
      <c r="N2120" s="6">
        <f>IFERROR(__xludf.DUMMYFUNCTION("""COMPUTED_VALUE"""),27093.9)</f>
        <v/>
      </c>
      <c r="R2120" s="6">
        <f>S2120&amp;T2120</f>
        <v/>
      </c>
      <c r="S2120" s="6">
        <f>YEAR(U2120)</f>
        <v/>
      </c>
      <c r="T2120" s="6">
        <f>MONTH(U2120)</f>
        <v/>
      </c>
      <c r="Z2120" s="6">
        <f>AA2120&amp;AB2120</f>
        <v/>
      </c>
      <c r="AA2120" s="6">
        <f>YEAR(AC2120)</f>
        <v/>
      </c>
      <c r="AB2120" s="6">
        <f>MONTH(AC2120)</f>
        <v/>
      </c>
      <c r="AC2120" s="267">
        <f>IFERROR(__xludf.DUMMYFUNCTION("""COMPUTED_VALUE"""),45270.9986111111)</f>
        <v/>
      </c>
      <c r="AD2120" s="6">
        <f>IFERROR(__xludf.DUMMYFUNCTION("""COMPUTED_VALUE"""),1316.51)</f>
        <v/>
      </c>
      <c r="AH2120" s="6">
        <f>AI2120&amp;AJ2120</f>
        <v/>
      </c>
      <c r="AI2120" s="6">
        <f>YEAR(AK2120)</f>
        <v/>
      </c>
      <c r="AJ2120" s="6">
        <f>MONTH(AK2120)</f>
        <v/>
      </c>
      <c r="AK2120" s="267">
        <f>IFERROR(__xludf.DUMMYFUNCTION("""COMPUTED_VALUE"""),45213.9986111111)</f>
        <v/>
      </c>
      <c r="AL2120" s="6">
        <f>IFERROR(__xludf.DUMMYFUNCTION("""COMPUTED_VALUE"""),26855.49)</f>
        <v/>
      </c>
      <c r="AP2120" s="6">
        <f>AQ2120&amp;AR2120</f>
        <v/>
      </c>
      <c r="AQ2120" s="6">
        <f>YEAR(AS2120)</f>
        <v/>
      </c>
      <c r="AR2120" s="6">
        <f>MONTH(AS2120)</f>
        <v/>
      </c>
      <c r="AS2120" s="267">
        <f>IFERROR(__xludf.DUMMYFUNCTION("""COMPUTED_VALUE"""),46188.9986111111)</f>
        <v/>
      </c>
      <c r="AT2120" s="6">
        <f>IFERROR(__xludf.DUMMYFUNCTION("""COMPUTED_VALUE"""),4351.6)</f>
        <v/>
      </c>
    </row>
    <row r="2121">
      <c r="B2121" s="6">
        <f>C2121&amp;D2121</f>
        <v/>
      </c>
      <c r="C2121" s="6">
        <f>YEAR(E2121)</f>
        <v/>
      </c>
      <c r="D2121" s="6">
        <f>MONTH(E2121)</f>
        <v/>
      </c>
      <c r="E2121" s="267">
        <f>IFERROR(__xludf.DUMMYFUNCTION("""COMPUTED_VALUE"""),46182.6666666666)</f>
        <v/>
      </c>
      <c r="F2121" s="6">
        <f>IFERROR(__xludf.DUMMYFUNCTION("""COMPUTED_VALUE"""),7386.65)</f>
        <v/>
      </c>
      <c r="J2121" s="6">
        <f>K2121&amp;L2121</f>
        <v/>
      </c>
      <c r="K2121" s="6">
        <f>YEAR(M2121)</f>
        <v/>
      </c>
      <c r="L2121" s="6">
        <f>MONTH(M2121)</f>
        <v/>
      </c>
      <c r="M2121" s="267">
        <f>IFERROR(__xludf.DUMMYFUNCTION("""COMPUTED_VALUE"""),46176.6666666666)</f>
        <v/>
      </c>
      <c r="N2121" s="6">
        <f>IFERROR(__xludf.DUMMYFUNCTION("""COMPUTED_VALUE"""),26853.98)</f>
        <v/>
      </c>
      <c r="R2121" s="6">
        <f>S2121&amp;T2121</f>
        <v/>
      </c>
      <c r="S2121" s="6">
        <f>YEAR(U2121)</f>
        <v/>
      </c>
      <c r="T2121" s="6">
        <f>MONTH(U2121)</f>
        <v/>
      </c>
      <c r="Z2121" s="6">
        <f>AA2121&amp;AB2121</f>
        <v/>
      </c>
      <c r="AA2121" s="6">
        <f>YEAR(AC2121)</f>
        <v/>
      </c>
      <c r="AB2121" s="6">
        <f>MONTH(AC2121)</f>
        <v/>
      </c>
      <c r="AC2121" s="267">
        <f>IFERROR(__xludf.DUMMYFUNCTION("""COMPUTED_VALUE"""),45271.9986111111)</f>
        <v/>
      </c>
      <c r="AD2121" s="6">
        <f>IFERROR(__xludf.DUMMYFUNCTION("""COMPUTED_VALUE"""),1313.62)</f>
        <v/>
      </c>
      <c r="AH2121" s="6">
        <f>AI2121&amp;AJ2121</f>
        <v/>
      </c>
      <c r="AI2121" s="6">
        <f>YEAR(AK2121)</f>
        <v/>
      </c>
      <c r="AJ2121" s="6">
        <f>MONTH(AK2121)</f>
        <v/>
      </c>
      <c r="AK2121" s="267">
        <f>IFERROR(__xludf.DUMMYFUNCTION("""COMPUTED_VALUE"""),45214.9986111111)</f>
        <v/>
      </c>
      <c r="AL2121" s="6">
        <f>IFERROR(__xludf.DUMMYFUNCTION("""COMPUTED_VALUE"""),27174.18)</f>
        <v/>
      </c>
      <c r="AP2121" s="6">
        <f>AQ2121&amp;AR2121</f>
        <v/>
      </c>
      <c r="AQ2121" s="6">
        <f>YEAR(AS2121)</f>
        <v/>
      </c>
      <c r="AR2121" s="6">
        <f>MONTH(AS2121)</f>
        <v/>
      </c>
      <c r="AS2121" s="267">
        <f>IFERROR(__xludf.DUMMYFUNCTION("""COMPUTED_VALUE"""),46189.9986111111)</f>
        <v/>
      </c>
      <c r="AT2121" s="6">
        <f>IFERROR(__xludf.DUMMYFUNCTION("""COMPUTED_VALUE"""),4354.4)</f>
        <v/>
      </c>
    </row>
    <row r="2122">
      <c r="B2122" s="6">
        <f>C2122&amp;D2122</f>
        <v/>
      </c>
      <c r="C2122" s="6">
        <f>YEAR(E2122)</f>
        <v/>
      </c>
      <c r="D2122" s="6">
        <f>MONTH(E2122)</f>
        <v/>
      </c>
      <c r="E2122" s="267">
        <f>IFERROR(__xludf.DUMMYFUNCTION("""COMPUTED_VALUE"""),46183.6666666666)</f>
        <v/>
      </c>
      <c r="F2122" s="6">
        <f>IFERROR(__xludf.DUMMYFUNCTION("""COMPUTED_VALUE"""),7266.99)</f>
        <v/>
      </c>
      <c r="J2122" s="6">
        <f>K2122&amp;L2122</f>
        <v/>
      </c>
      <c r="K2122" s="6">
        <f>YEAR(M2122)</f>
        <v/>
      </c>
      <c r="L2122" s="6">
        <f>MONTH(M2122)</f>
        <v/>
      </c>
      <c r="M2122" s="267">
        <f>IFERROR(__xludf.DUMMYFUNCTION("""COMPUTED_VALUE"""),46177.6666666666)</f>
        <v/>
      </c>
      <c r="N2122" s="6">
        <f>IFERROR(__xludf.DUMMYFUNCTION("""COMPUTED_VALUE"""),26830.96)</f>
        <v/>
      </c>
      <c r="R2122" s="6">
        <f>S2122&amp;T2122</f>
        <v/>
      </c>
      <c r="S2122" s="6">
        <f>YEAR(U2122)</f>
        <v/>
      </c>
      <c r="T2122" s="6">
        <f>MONTH(U2122)</f>
        <v/>
      </c>
      <c r="Z2122" s="6">
        <f>AA2122&amp;AB2122</f>
        <v/>
      </c>
      <c r="AA2122" s="6">
        <f>YEAR(AC2122)</f>
        <v/>
      </c>
      <c r="AB2122" s="6">
        <f>MONTH(AC2122)</f>
        <v/>
      </c>
      <c r="AC2122" s="267">
        <f>IFERROR(__xludf.DUMMYFUNCTION("""COMPUTED_VALUE"""),45272.9986111111)</f>
        <v/>
      </c>
      <c r="AD2122" s="6">
        <f>IFERROR(__xludf.DUMMYFUNCTION("""COMPUTED_VALUE"""),1310.14)</f>
        <v/>
      </c>
      <c r="AH2122" s="6">
        <f>AI2122&amp;AJ2122</f>
        <v/>
      </c>
      <c r="AI2122" s="6">
        <f>YEAR(AK2122)</f>
        <v/>
      </c>
      <c r="AJ2122" s="6">
        <f>MONTH(AK2122)</f>
        <v/>
      </c>
      <c r="AK2122" s="267">
        <f>IFERROR(__xludf.DUMMYFUNCTION("""COMPUTED_VALUE"""),45215.9986111111)</f>
        <v/>
      </c>
      <c r="AL2122" s="6">
        <f>IFERROR(__xludf.DUMMYFUNCTION("""COMPUTED_VALUE"""),28515.97)</f>
        <v/>
      </c>
      <c r="AP2122" s="6">
        <f>AQ2122&amp;AR2122</f>
        <v/>
      </c>
      <c r="AQ2122" s="6">
        <f>YEAR(AS2122)</f>
        <v/>
      </c>
      <c r="AR2122" s="6">
        <f>MONTH(AS2122)</f>
        <v/>
      </c>
      <c r="AS2122" s="267">
        <f>IFERROR(__xludf.DUMMYFUNCTION("""COMPUTED_VALUE"""),46190.9986111111)</f>
        <v/>
      </c>
      <c r="AT2122" s="6">
        <f>IFERROR(__xludf.DUMMYFUNCTION("""COMPUTED_VALUE"""),4381.4)</f>
        <v/>
      </c>
    </row>
    <row r="2123">
      <c r="B2123" s="6">
        <f>C2123&amp;D2123</f>
        <v/>
      </c>
      <c r="C2123" s="6">
        <f>YEAR(E2123)</f>
        <v/>
      </c>
      <c r="D2123" s="6">
        <f>MONTH(E2123)</f>
        <v/>
      </c>
      <c r="E2123" s="267">
        <f>IFERROR(__xludf.DUMMYFUNCTION("""COMPUTED_VALUE"""),46184.6666666666)</f>
        <v/>
      </c>
      <c r="F2123" s="6">
        <f>IFERROR(__xludf.DUMMYFUNCTION("""COMPUTED_VALUE"""),7394.3)</f>
        <v/>
      </c>
      <c r="J2123" s="6">
        <f>K2123&amp;L2123</f>
        <v/>
      </c>
      <c r="K2123" s="6">
        <f>YEAR(M2123)</f>
        <v/>
      </c>
      <c r="L2123" s="6">
        <f>MONTH(M2123)</f>
        <v/>
      </c>
      <c r="M2123" s="267">
        <f>IFERROR(__xludf.DUMMYFUNCTION("""COMPUTED_VALUE"""),46178.6666666666)</f>
        <v/>
      </c>
      <c r="N2123" s="6">
        <f>IFERROR(__xludf.DUMMYFUNCTION("""COMPUTED_VALUE"""),25709.43)</f>
        <v/>
      </c>
      <c r="R2123" s="6">
        <f>S2123&amp;T2123</f>
        <v/>
      </c>
      <c r="S2123" s="6">
        <f>YEAR(U2123)</f>
        <v/>
      </c>
      <c r="T2123" s="6">
        <f>MONTH(U2123)</f>
        <v/>
      </c>
      <c r="Z2123" s="6">
        <f>AA2123&amp;AB2123</f>
        <v/>
      </c>
      <c r="AA2123" s="6">
        <f>YEAR(AC2123)</f>
        <v/>
      </c>
      <c r="AB2123" s="6">
        <f>MONTH(AC2123)</f>
        <v/>
      </c>
      <c r="AC2123" s="267">
        <f>IFERROR(__xludf.DUMMYFUNCTION("""COMPUTED_VALUE"""),45273.9986111111)</f>
        <v/>
      </c>
      <c r="AD2123" s="6">
        <f>IFERROR(__xludf.DUMMYFUNCTION("""COMPUTED_VALUE"""),1292.01)</f>
        <v/>
      </c>
      <c r="AH2123" s="6">
        <f>AI2123&amp;AJ2123</f>
        <v/>
      </c>
      <c r="AI2123" s="6">
        <f>YEAR(AK2123)</f>
        <v/>
      </c>
      <c r="AJ2123" s="6">
        <f>MONTH(AK2123)</f>
        <v/>
      </c>
      <c r="AK2123" s="267">
        <f>IFERROR(__xludf.DUMMYFUNCTION("""COMPUTED_VALUE"""),45216.9986111111)</f>
        <v/>
      </c>
      <c r="AL2123" s="6">
        <f>IFERROR(__xludf.DUMMYFUNCTION("""COMPUTED_VALUE"""),28407.2)</f>
        <v/>
      </c>
      <c r="AP2123" s="6">
        <f>AQ2123&amp;AR2123</f>
        <v/>
      </c>
      <c r="AQ2123" s="6">
        <f>YEAR(AS2123)</f>
        <v/>
      </c>
      <c r="AR2123" s="6">
        <f>MONTH(AS2123)</f>
        <v/>
      </c>
      <c r="AS2123" s="267">
        <f>IFERROR(__xludf.DUMMYFUNCTION("""COMPUTED_VALUE"""),46191.9986111111)</f>
        <v/>
      </c>
      <c r="AT2123" s="6">
        <f>IFERROR(__xludf.DUMMYFUNCTION("""COMPUTED_VALUE"""),4245.9)</f>
        <v/>
      </c>
    </row>
    <row r="2124">
      <c r="B2124" s="6">
        <f>C2124&amp;D2124</f>
        <v/>
      </c>
      <c r="C2124" s="6">
        <f>YEAR(E2124)</f>
        <v/>
      </c>
      <c r="D2124" s="6">
        <f>MONTH(E2124)</f>
        <v/>
      </c>
      <c r="E2124" s="267">
        <f>IFERROR(__xludf.DUMMYFUNCTION("""COMPUTED_VALUE"""),46185.6666666666)</f>
        <v/>
      </c>
      <c r="F2124" s="6">
        <f>IFERROR(__xludf.DUMMYFUNCTION("""COMPUTED_VALUE"""),7431.46)</f>
        <v/>
      </c>
      <c r="J2124" s="6">
        <f>K2124&amp;L2124</f>
        <v/>
      </c>
      <c r="K2124" s="6">
        <f>YEAR(M2124)</f>
        <v/>
      </c>
      <c r="L2124" s="6">
        <f>MONTH(M2124)</f>
        <v/>
      </c>
      <c r="M2124" s="267">
        <f>IFERROR(__xludf.DUMMYFUNCTION("""COMPUTED_VALUE"""),46181.6666666666)</f>
        <v/>
      </c>
      <c r="N2124" s="6">
        <f>IFERROR(__xludf.DUMMYFUNCTION("""COMPUTED_VALUE"""),25929.66)</f>
        <v/>
      </c>
      <c r="R2124" s="6">
        <f>S2124&amp;T2124</f>
        <v/>
      </c>
      <c r="S2124" s="6">
        <f>YEAR(U2124)</f>
        <v/>
      </c>
      <c r="T2124" s="6">
        <f>MONTH(U2124)</f>
        <v/>
      </c>
      <c r="Z2124" s="6">
        <f>AA2124&amp;AB2124</f>
        <v/>
      </c>
      <c r="AA2124" s="6">
        <f>YEAR(AC2124)</f>
        <v/>
      </c>
      <c r="AB2124" s="6">
        <f>MONTH(AC2124)</f>
        <v/>
      </c>
      <c r="AC2124" s="267">
        <f>IFERROR(__xludf.DUMMYFUNCTION("""COMPUTED_VALUE"""),45274.9986111111)</f>
        <v/>
      </c>
      <c r="AD2124" s="6">
        <f>IFERROR(__xludf.DUMMYFUNCTION("""COMPUTED_VALUE"""),1291.92)</f>
        <v/>
      </c>
      <c r="AH2124" s="6">
        <f>AI2124&amp;AJ2124</f>
        <v/>
      </c>
      <c r="AI2124" s="6">
        <f>YEAR(AK2124)</f>
        <v/>
      </c>
      <c r="AJ2124" s="6">
        <f>MONTH(AK2124)</f>
        <v/>
      </c>
      <c r="AK2124" s="267">
        <f>IFERROR(__xludf.DUMMYFUNCTION("""COMPUTED_VALUE"""),45217.9986111111)</f>
        <v/>
      </c>
      <c r="AL2124" s="6">
        <f>IFERROR(__xludf.DUMMYFUNCTION("""COMPUTED_VALUE"""),28326.92)</f>
        <v/>
      </c>
      <c r="AP2124" s="6">
        <f>AQ2124&amp;AR2124</f>
        <v/>
      </c>
      <c r="AQ2124" s="6">
        <f>YEAR(AS2124)</f>
        <v/>
      </c>
      <c r="AR2124" s="6">
        <f>MONTH(AS2124)</f>
        <v/>
      </c>
      <c r="AS2124" s="267">
        <f>IFERROR(__xludf.DUMMYFUNCTION("""COMPUTED_VALUE"""),46195.9986111111)</f>
        <v/>
      </c>
      <c r="AT2124" s="6">
        <f>IFERROR(__xludf.DUMMYFUNCTION("""COMPUTED_VALUE"""),4202.7)</f>
        <v/>
      </c>
    </row>
    <row r="2125">
      <c r="B2125" s="6">
        <f>C2125&amp;D2125</f>
        <v/>
      </c>
      <c r="C2125" s="6">
        <f>YEAR(E2125)</f>
        <v/>
      </c>
      <c r="D2125" s="6">
        <f>MONTH(E2125)</f>
        <v/>
      </c>
      <c r="E2125" s="267">
        <f>IFERROR(__xludf.DUMMYFUNCTION("""COMPUTED_VALUE"""),46188.6666666666)</f>
        <v/>
      </c>
      <c r="F2125" s="6">
        <f>IFERROR(__xludf.DUMMYFUNCTION("""COMPUTED_VALUE"""),7554.29)</f>
        <v/>
      </c>
      <c r="J2125" s="6">
        <f>K2125&amp;L2125</f>
        <v/>
      </c>
      <c r="K2125" s="6">
        <f>YEAR(M2125)</f>
        <v/>
      </c>
      <c r="L2125" s="6">
        <f>MONTH(M2125)</f>
        <v/>
      </c>
      <c r="M2125" s="267">
        <f>IFERROR(__xludf.DUMMYFUNCTION("""COMPUTED_VALUE"""),46182.6666666666)</f>
        <v/>
      </c>
      <c r="N2125" s="6">
        <f>IFERROR(__xludf.DUMMYFUNCTION("""COMPUTED_VALUE"""),25678.82)</f>
        <v/>
      </c>
      <c r="R2125" s="6">
        <f>S2125&amp;T2125</f>
        <v/>
      </c>
      <c r="S2125" s="6">
        <f>YEAR(U2125)</f>
        <v/>
      </c>
      <c r="T2125" s="6">
        <f>MONTH(U2125)</f>
        <v/>
      </c>
      <c r="Z2125" s="6">
        <f>AA2125&amp;AB2125</f>
        <v/>
      </c>
      <c r="AA2125" s="6">
        <f>YEAR(AC2125)</f>
        <v/>
      </c>
      <c r="AB2125" s="6">
        <f>MONTH(AC2125)</f>
        <v/>
      </c>
      <c r="AC2125" s="267">
        <f>IFERROR(__xludf.DUMMYFUNCTION("""COMPUTED_VALUE"""),45275.9986111111)</f>
        <v/>
      </c>
      <c r="AD2125" s="6">
        <f>IFERROR(__xludf.DUMMYFUNCTION("""COMPUTED_VALUE"""),1276.47)</f>
        <v/>
      </c>
      <c r="AH2125" s="6">
        <f>AI2125&amp;AJ2125</f>
        <v/>
      </c>
      <c r="AI2125" s="6">
        <f>YEAR(AK2125)</f>
        <v/>
      </c>
      <c r="AJ2125" s="6">
        <f>MONTH(AK2125)</f>
        <v/>
      </c>
      <c r="AK2125" s="267">
        <f>IFERROR(__xludf.DUMMYFUNCTION("""COMPUTED_VALUE"""),45218.9986111111)</f>
        <v/>
      </c>
      <c r="AL2125" s="6">
        <f>IFERROR(__xludf.DUMMYFUNCTION("""COMPUTED_VALUE"""),28729.38)</f>
        <v/>
      </c>
      <c r="AP2125" s="6">
        <f>AQ2125&amp;AR2125</f>
        <v/>
      </c>
      <c r="AQ2125" s="6">
        <f>YEAR(AS2125)</f>
        <v/>
      </c>
      <c r="AR2125" s="6">
        <f>MONTH(AS2125)</f>
        <v/>
      </c>
      <c r="AS2125" s="267">
        <f>IFERROR(__xludf.DUMMYFUNCTION("""COMPUTED_VALUE"""),46196.9986111111)</f>
        <v/>
      </c>
      <c r="AT2125" s="6">
        <f>IFERROR(__xludf.DUMMYFUNCTION("""COMPUTED_VALUE"""),4149.4)</f>
        <v/>
      </c>
    </row>
    <row r="2126">
      <c r="B2126" s="6">
        <f>C2126&amp;D2126</f>
        <v/>
      </c>
      <c r="C2126" s="6">
        <f>YEAR(E2126)</f>
        <v/>
      </c>
      <c r="D2126" s="6">
        <f>MONTH(E2126)</f>
        <v/>
      </c>
      <c r="E2126" s="267">
        <f>IFERROR(__xludf.DUMMYFUNCTION("""COMPUTED_VALUE"""),46189.6666666666)</f>
        <v/>
      </c>
      <c r="F2126" s="6">
        <f>IFERROR(__xludf.DUMMYFUNCTION("""COMPUTED_VALUE"""),7511.35)</f>
        <v/>
      </c>
      <c r="J2126" s="6">
        <f>K2126&amp;L2126</f>
        <v/>
      </c>
      <c r="K2126" s="6">
        <f>YEAR(M2126)</f>
        <v/>
      </c>
      <c r="L2126" s="6">
        <f>MONTH(M2126)</f>
        <v/>
      </c>
      <c r="M2126" s="267">
        <f>IFERROR(__xludf.DUMMYFUNCTION("""COMPUTED_VALUE"""),46183.6666666666)</f>
        <v/>
      </c>
      <c r="N2126" s="6">
        <f>IFERROR(__xludf.DUMMYFUNCTION("""COMPUTED_VALUE"""),25169.5)</f>
        <v/>
      </c>
      <c r="R2126" s="6">
        <f>S2126&amp;T2126</f>
        <v/>
      </c>
      <c r="S2126" s="6">
        <f>YEAR(U2126)</f>
        <v/>
      </c>
      <c r="T2126" s="6">
        <f>MONTH(U2126)</f>
        <v/>
      </c>
      <c r="Z2126" s="6">
        <f>AA2126&amp;AB2126</f>
        <v/>
      </c>
      <c r="AA2126" s="6">
        <f>YEAR(AC2126)</f>
        <v/>
      </c>
      <c r="AB2126" s="6">
        <f>MONTH(AC2126)</f>
        <v/>
      </c>
      <c r="AC2126" s="267">
        <f>IFERROR(__xludf.DUMMYFUNCTION("""COMPUTED_VALUE"""),45276.9986111111)</f>
        <v/>
      </c>
      <c r="AD2126" s="6">
        <f>IFERROR(__xludf.DUMMYFUNCTION("""COMPUTED_VALUE"""),1276.47)</f>
        <v/>
      </c>
      <c r="AH2126" s="6">
        <f>AI2126&amp;AJ2126</f>
        <v/>
      </c>
      <c r="AI2126" s="6">
        <f>YEAR(AK2126)</f>
        <v/>
      </c>
      <c r="AJ2126" s="6">
        <f>MONTH(AK2126)</f>
        <v/>
      </c>
      <c r="AK2126" s="267">
        <f>IFERROR(__xludf.DUMMYFUNCTION("""COMPUTED_VALUE"""),45219.9986111111)</f>
        <v/>
      </c>
      <c r="AL2126" s="6">
        <f>IFERROR(__xludf.DUMMYFUNCTION("""COMPUTED_VALUE"""),29681.35)</f>
        <v/>
      </c>
      <c r="AP2126" s="6">
        <f>AQ2126&amp;AR2126</f>
        <v/>
      </c>
      <c r="AQ2126" s="6">
        <f>YEAR(AS2126)</f>
        <v/>
      </c>
      <c r="AR2126" s="6">
        <f>MONTH(AS2126)</f>
        <v/>
      </c>
      <c r="AS2126" s="267">
        <f>IFERROR(__xludf.DUMMYFUNCTION("""COMPUTED_VALUE"""),46197.9986111111)</f>
        <v/>
      </c>
      <c r="AT2126" s="6">
        <f>IFERROR(__xludf.DUMMYFUNCTION("""COMPUTED_VALUE"""),4008.8)</f>
        <v/>
      </c>
    </row>
    <row r="2127">
      <c r="B2127" s="6">
        <f>C2127&amp;D2127</f>
        <v/>
      </c>
      <c r="C2127" s="6">
        <f>YEAR(E2127)</f>
        <v/>
      </c>
      <c r="D2127" s="6">
        <f>MONTH(E2127)</f>
        <v/>
      </c>
      <c r="E2127" s="267">
        <f>IFERROR(__xludf.DUMMYFUNCTION("""COMPUTED_VALUE"""),46190.6666666666)</f>
        <v/>
      </c>
      <c r="F2127" s="6">
        <f>IFERROR(__xludf.DUMMYFUNCTION("""COMPUTED_VALUE"""),7420.1)</f>
        <v/>
      </c>
      <c r="J2127" s="6">
        <f>K2127&amp;L2127</f>
        <v/>
      </c>
      <c r="K2127" s="6">
        <f>YEAR(M2127)</f>
        <v/>
      </c>
      <c r="L2127" s="6">
        <f>MONTH(M2127)</f>
        <v/>
      </c>
      <c r="M2127" s="267">
        <f>IFERROR(__xludf.DUMMYFUNCTION("""COMPUTED_VALUE"""),46184.6666666666)</f>
        <v/>
      </c>
      <c r="N2127" s="6">
        <f>IFERROR(__xludf.DUMMYFUNCTION("""COMPUTED_VALUE"""),25809.66)</f>
        <v/>
      </c>
      <c r="R2127" s="6">
        <f>S2127&amp;T2127</f>
        <v/>
      </c>
      <c r="S2127" s="6">
        <f>YEAR(U2127)</f>
        <v/>
      </c>
      <c r="T2127" s="6">
        <f>MONTH(U2127)</f>
        <v/>
      </c>
      <c r="Z2127" s="6">
        <f>AA2127&amp;AB2127</f>
        <v/>
      </c>
      <c r="AA2127" s="6">
        <f>YEAR(AC2127)</f>
        <v/>
      </c>
      <c r="AB2127" s="6">
        <f>MONTH(AC2127)</f>
        <v/>
      </c>
      <c r="AC2127" s="267">
        <f>IFERROR(__xludf.DUMMYFUNCTION("""COMPUTED_VALUE"""),45278.9986111111)</f>
        <v/>
      </c>
      <c r="AD2127" s="6">
        <f>IFERROR(__xludf.DUMMYFUNCTION("""COMPUTED_VALUE"""),1302.93)</f>
        <v/>
      </c>
      <c r="AH2127" s="6">
        <f>AI2127&amp;AJ2127</f>
        <v/>
      </c>
      <c r="AI2127" s="6">
        <f>YEAR(AK2127)</f>
        <v/>
      </c>
      <c r="AJ2127" s="6">
        <f>MONTH(AK2127)</f>
        <v/>
      </c>
      <c r="AK2127" s="267">
        <f>IFERROR(__xludf.DUMMYFUNCTION("""COMPUTED_VALUE"""),45220.9986111111)</f>
        <v/>
      </c>
      <c r="AL2127" s="6">
        <f>IFERROR(__xludf.DUMMYFUNCTION("""COMPUTED_VALUE"""),29922.28)</f>
        <v/>
      </c>
      <c r="AP2127" s="6">
        <f>AQ2127&amp;AR2127</f>
        <v/>
      </c>
      <c r="AQ2127" s="6">
        <f>YEAR(AS2127)</f>
        <v/>
      </c>
      <c r="AR2127" s="6">
        <f>MONTH(AS2127)</f>
        <v/>
      </c>
      <c r="AS2127" s="267">
        <f>IFERROR(__xludf.DUMMYFUNCTION("""COMPUTED_VALUE"""),46198.9986111111)</f>
        <v/>
      </c>
      <c r="AT2127" s="6">
        <f>IFERROR(__xludf.DUMMYFUNCTION("""COMPUTED_VALUE"""),4047.6)</f>
        <v/>
      </c>
    </row>
    <row r="2128">
      <c r="B2128" s="6">
        <f>C2128&amp;D2128</f>
        <v/>
      </c>
      <c r="C2128" s="6">
        <f>YEAR(E2128)</f>
        <v/>
      </c>
      <c r="D2128" s="6">
        <f>MONTH(E2128)</f>
        <v/>
      </c>
      <c r="E2128" s="267">
        <f>IFERROR(__xludf.DUMMYFUNCTION("""COMPUTED_VALUE"""),46191.6666666666)</f>
        <v/>
      </c>
      <c r="F2128" s="6">
        <f>IFERROR(__xludf.DUMMYFUNCTION("""COMPUTED_VALUE"""),7500.58)</f>
        <v/>
      </c>
      <c r="J2128" s="6">
        <f>K2128&amp;L2128</f>
        <v/>
      </c>
      <c r="K2128" s="6">
        <f>YEAR(M2128)</f>
        <v/>
      </c>
      <c r="L2128" s="6">
        <f>MONTH(M2128)</f>
        <v/>
      </c>
      <c r="M2128" s="267">
        <f>IFERROR(__xludf.DUMMYFUNCTION("""COMPUTED_VALUE"""),46185.6666666666)</f>
        <v/>
      </c>
      <c r="N2128" s="6">
        <f>IFERROR(__xludf.DUMMYFUNCTION("""COMPUTED_VALUE"""),25888.84)</f>
        <v/>
      </c>
      <c r="R2128" s="6">
        <f>S2128&amp;T2128</f>
        <v/>
      </c>
      <c r="S2128" s="6">
        <f>YEAR(U2128)</f>
        <v/>
      </c>
      <c r="T2128" s="6">
        <f>MONTH(U2128)</f>
        <v/>
      </c>
      <c r="Z2128" s="6">
        <f>AA2128&amp;AB2128</f>
        <v/>
      </c>
      <c r="AA2128" s="6">
        <f>YEAR(AC2128)</f>
        <v/>
      </c>
      <c r="AB2128" s="6">
        <f>MONTH(AC2128)</f>
        <v/>
      </c>
      <c r="AC2128" s="267">
        <f>IFERROR(__xludf.DUMMYFUNCTION("""COMPUTED_VALUE"""),45279.9986111111)</f>
        <v/>
      </c>
      <c r="AD2128" s="6">
        <f>IFERROR(__xludf.DUMMYFUNCTION("""COMPUTED_VALUE"""),1297.76)</f>
        <v/>
      </c>
      <c r="AH2128" s="6">
        <f>AI2128&amp;AJ2128</f>
        <v/>
      </c>
      <c r="AI2128" s="6">
        <f>YEAR(AK2128)</f>
        <v/>
      </c>
      <c r="AJ2128" s="6">
        <f>MONTH(AK2128)</f>
        <v/>
      </c>
      <c r="AK2128" s="267">
        <f>IFERROR(__xludf.DUMMYFUNCTION("""COMPUTED_VALUE"""),45221.9986111111)</f>
        <v/>
      </c>
      <c r="AL2128" s="6">
        <f>IFERROR(__xludf.DUMMYFUNCTION("""COMPUTED_VALUE"""),29997.57)</f>
        <v/>
      </c>
      <c r="AP2128" s="6">
        <f>AQ2128&amp;AR2128</f>
        <v/>
      </c>
      <c r="AQ2128" s="6">
        <f>YEAR(AS2128)</f>
        <v/>
      </c>
      <c r="AR2128" s="6">
        <f>MONTH(AS2128)</f>
        <v/>
      </c>
      <c r="AS2128" s="267">
        <f>IFERROR(__xludf.DUMMYFUNCTION("""COMPUTED_VALUE"""),46199.9986111111)</f>
        <v/>
      </c>
      <c r="AT2128" s="6">
        <f>IFERROR(__xludf.DUMMYFUNCTION("""COMPUTED_VALUE"""),4096.3)</f>
        <v/>
      </c>
    </row>
    <row r="2129">
      <c r="B2129" s="6">
        <f>C2129&amp;D2129</f>
        <v/>
      </c>
      <c r="C2129" s="6">
        <f>YEAR(E2129)</f>
        <v/>
      </c>
      <c r="D2129" s="6">
        <f>MONTH(E2129)</f>
        <v/>
      </c>
      <c r="E2129" s="267">
        <f>IFERROR(__xludf.DUMMYFUNCTION("""COMPUTED_VALUE"""),46195.6666666666)</f>
        <v/>
      </c>
      <c r="F2129" s="6">
        <f>IFERROR(__xludf.DUMMYFUNCTION("""COMPUTED_VALUE"""),7472.79)</f>
        <v/>
      </c>
      <c r="J2129" s="6">
        <f>K2129&amp;L2129</f>
        <v/>
      </c>
      <c r="K2129" s="6">
        <f>YEAR(M2129)</f>
        <v/>
      </c>
      <c r="L2129" s="6">
        <f>MONTH(M2129)</f>
        <v/>
      </c>
      <c r="M2129" s="267">
        <f>IFERROR(__xludf.DUMMYFUNCTION("""COMPUTED_VALUE"""),46188.6666666666)</f>
        <v/>
      </c>
      <c r="N2129" s="6">
        <f>IFERROR(__xludf.DUMMYFUNCTION("""COMPUTED_VALUE"""),26683.94)</f>
        <v/>
      </c>
      <c r="R2129" s="6">
        <f>S2129&amp;T2129</f>
        <v/>
      </c>
      <c r="S2129" s="6">
        <f>YEAR(U2129)</f>
        <v/>
      </c>
      <c r="T2129" s="6">
        <f>MONTH(U2129)</f>
        <v/>
      </c>
      <c r="Z2129" s="6">
        <f>AA2129&amp;AB2129</f>
        <v/>
      </c>
      <c r="AA2129" s="6">
        <f>YEAR(AC2129)</f>
        <v/>
      </c>
      <c r="AB2129" s="6">
        <f>MONTH(AC2129)</f>
        <v/>
      </c>
      <c r="AC2129" s="267">
        <f>IFERROR(__xludf.DUMMYFUNCTION("""COMPUTED_VALUE"""),45280.9986111111)</f>
        <v/>
      </c>
      <c r="AD2129" s="6">
        <f>IFERROR(__xludf.DUMMYFUNCTION("""COMPUTED_VALUE"""),1296.98)</f>
        <v/>
      </c>
      <c r="AH2129" s="6">
        <f>AI2129&amp;AJ2129</f>
        <v/>
      </c>
      <c r="AI2129" s="6">
        <f>YEAR(AK2129)</f>
        <v/>
      </c>
      <c r="AJ2129" s="6">
        <f>MONTH(AK2129)</f>
        <v/>
      </c>
      <c r="AK2129" s="267">
        <f>IFERROR(__xludf.DUMMYFUNCTION("""COMPUTED_VALUE"""),45222.9986111111)</f>
        <v/>
      </c>
      <c r="AL2129" s="6">
        <f>IFERROR(__xludf.DUMMYFUNCTION("""COMPUTED_VALUE"""),33069.62)</f>
        <v/>
      </c>
      <c r="AP2129" s="6">
        <f>AQ2129&amp;AR2129</f>
        <v/>
      </c>
      <c r="AQ2129" s="6">
        <f>YEAR(AS2129)</f>
        <v/>
      </c>
      <c r="AR2129" s="6">
        <f>MONTH(AS2129)</f>
        <v/>
      </c>
      <c r="AS2129" s="267">
        <f>IFERROR(__xludf.DUMMYFUNCTION("""COMPUTED_VALUE"""),46202.9986111111)</f>
        <v/>
      </c>
      <c r="AT2129" s="6">
        <f>IFERROR(__xludf.DUMMYFUNCTION("""COMPUTED_VALUE"""),4038.9)</f>
        <v/>
      </c>
    </row>
    <row r="2130">
      <c r="B2130" s="6">
        <f>C2130&amp;D2130</f>
        <v/>
      </c>
      <c r="C2130" s="6">
        <f>YEAR(E2130)</f>
        <v/>
      </c>
      <c r="D2130" s="6">
        <f>MONTH(E2130)</f>
        <v/>
      </c>
      <c r="E2130" s="267">
        <f>IFERROR(__xludf.DUMMYFUNCTION("""COMPUTED_VALUE"""),46196.6666666666)</f>
        <v/>
      </c>
      <c r="F2130" s="6">
        <f>IFERROR(__xludf.DUMMYFUNCTION("""COMPUTED_VALUE"""),7365.46)</f>
        <v/>
      </c>
      <c r="J2130" s="6">
        <f>K2130&amp;L2130</f>
        <v/>
      </c>
      <c r="K2130" s="6">
        <f>YEAR(M2130)</f>
        <v/>
      </c>
      <c r="L2130" s="6">
        <f>MONTH(M2130)</f>
        <v/>
      </c>
      <c r="M2130" s="267">
        <f>IFERROR(__xludf.DUMMYFUNCTION("""COMPUTED_VALUE"""),46189.6666666666)</f>
        <v/>
      </c>
      <c r="N2130" s="6">
        <f>IFERROR(__xludf.DUMMYFUNCTION("""COMPUTED_VALUE"""),26376.34)</f>
        <v/>
      </c>
      <c r="R2130" s="6">
        <f>S2130&amp;T2130</f>
        <v/>
      </c>
      <c r="S2130" s="6">
        <f>YEAR(U2130)</f>
        <v/>
      </c>
      <c r="T2130" s="6">
        <f>MONTH(U2130)</f>
        <v/>
      </c>
      <c r="Z2130" s="6">
        <f>AA2130&amp;AB2130</f>
        <v/>
      </c>
      <c r="AA2130" s="6">
        <f>YEAR(AC2130)</f>
        <v/>
      </c>
      <c r="AB2130" s="6">
        <f>MONTH(AC2130)</f>
        <v/>
      </c>
      <c r="AC2130" s="267">
        <f>IFERROR(__xludf.DUMMYFUNCTION("""COMPUTED_VALUE"""),45281.9986111111)</f>
        <v/>
      </c>
      <c r="AD2130" s="6">
        <f>IFERROR(__xludf.DUMMYFUNCTION("""COMPUTED_VALUE"""),1291.71)</f>
        <v/>
      </c>
      <c r="AH2130" s="6">
        <f>AI2130&amp;AJ2130</f>
        <v/>
      </c>
      <c r="AI2130" s="6">
        <f>YEAR(AK2130)</f>
        <v/>
      </c>
      <c r="AJ2130" s="6">
        <f>MONTH(AK2130)</f>
        <v/>
      </c>
      <c r="AK2130" s="267">
        <f>IFERROR(__xludf.DUMMYFUNCTION("""COMPUTED_VALUE"""),45223.9986111111)</f>
        <v/>
      </c>
      <c r="AL2130" s="6">
        <f>IFERROR(__xludf.DUMMYFUNCTION("""COMPUTED_VALUE"""),33919.16)</f>
        <v/>
      </c>
      <c r="AP2130" s="6">
        <f>AQ2130&amp;AR2130</f>
        <v/>
      </c>
      <c r="AQ2130" s="6">
        <f>YEAR(AS2130)</f>
        <v/>
      </c>
      <c r="AR2130" s="6">
        <f>MONTH(AS2130)</f>
        <v/>
      </c>
      <c r="AS2130" s="267">
        <f>IFERROR(__xludf.DUMMYFUNCTION("""COMPUTED_VALUE"""),46203.9986111111)</f>
        <v/>
      </c>
      <c r="AT2130" s="6">
        <f>IFERROR(__xludf.DUMMYFUNCTION("""COMPUTED_VALUE"""),4038.5)</f>
        <v/>
      </c>
    </row>
    <row r="2131">
      <c r="B2131" s="6">
        <f>C2131&amp;D2131</f>
        <v/>
      </c>
      <c r="C2131" s="6">
        <f>YEAR(E2131)</f>
        <v/>
      </c>
      <c r="D2131" s="6">
        <f>MONTH(E2131)</f>
        <v/>
      </c>
      <c r="E2131" s="267">
        <f>IFERROR(__xludf.DUMMYFUNCTION("""COMPUTED_VALUE"""),46197.6666666666)</f>
        <v/>
      </c>
      <c r="F2131" s="6">
        <f>IFERROR(__xludf.DUMMYFUNCTION("""COMPUTED_VALUE"""),7358.22)</f>
        <v/>
      </c>
      <c r="J2131" s="6">
        <f>K2131&amp;L2131</f>
        <v/>
      </c>
      <c r="K2131" s="6">
        <f>YEAR(M2131)</f>
        <v/>
      </c>
      <c r="L2131" s="6">
        <f>MONTH(M2131)</f>
        <v/>
      </c>
      <c r="M2131" s="267">
        <f>IFERROR(__xludf.DUMMYFUNCTION("""COMPUTED_VALUE"""),46190.6666666666)</f>
        <v/>
      </c>
      <c r="N2131" s="6">
        <f>IFERROR(__xludf.DUMMYFUNCTION("""COMPUTED_VALUE"""),26021.66)</f>
        <v/>
      </c>
      <c r="R2131" s="6">
        <f>S2131&amp;T2131</f>
        <v/>
      </c>
      <c r="S2131" s="6">
        <f>YEAR(U2131)</f>
        <v/>
      </c>
      <c r="T2131" s="6">
        <f>MONTH(U2131)</f>
        <v/>
      </c>
      <c r="Z2131" s="6">
        <f>AA2131&amp;AB2131</f>
        <v/>
      </c>
      <c r="AA2131" s="6">
        <f>YEAR(AC2131)</f>
        <v/>
      </c>
      <c r="AB2131" s="6">
        <f>MONTH(AC2131)</f>
        <v/>
      </c>
      <c r="AC2131" s="267">
        <f>IFERROR(__xludf.DUMMYFUNCTION("""COMPUTED_VALUE"""),45282.9986111111)</f>
        <v/>
      </c>
      <c r="AD2131" s="6">
        <f>IFERROR(__xludf.DUMMYFUNCTION("""COMPUTED_VALUE"""),1297.69)</f>
        <v/>
      </c>
      <c r="AH2131" s="6">
        <f>AI2131&amp;AJ2131</f>
        <v/>
      </c>
      <c r="AI2131" s="6">
        <f>YEAR(AK2131)</f>
        <v/>
      </c>
      <c r="AJ2131" s="6">
        <f>MONTH(AK2131)</f>
        <v/>
      </c>
      <c r="AK2131" s="267">
        <f>IFERROR(__xludf.DUMMYFUNCTION("""COMPUTED_VALUE"""),45224.9986111111)</f>
        <v/>
      </c>
      <c r="AL2131" s="6">
        <f>IFERROR(__xludf.DUMMYFUNCTION("""COMPUTED_VALUE"""),34500.52)</f>
        <v/>
      </c>
      <c r="AP2131" s="6">
        <f>AQ2131&amp;AR2131</f>
        <v/>
      </c>
      <c r="AQ2131" s="6">
        <f>YEAR(AS2131)</f>
        <v/>
      </c>
      <c r="AR2131" s="6">
        <f>MONTH(AS2131)</f>
        <v/>
      </c>
      <c r="AS2131" s="267">
        <f>IFERROR(__xludf.DUMMYFUNCTION("""COMPUTED_VALUE"""),46204.9986111111)</f>
        <v/>
      </c>
      <c r="AT2131" s="6">
        <f>IFERROR(__xludf.DUMMYFUNCTION("""COMPUTED_VALUE"""),4082.4)</f>
        <v/>
      </c>
    </row>
    <row r="2132">
      <c r="B2132" s="6">
        <f>C2132&amp;D2132</f>
        <v/>
      </c>
      <c r="C2132" s="6">
        <f>YEAR(E2132)</f>
        <v/>
      </c>
      <c r="D2132" s="6">
        <f>MONTH(E2132)</f>
        <v/>
      </c>
      <c r="E2132" s="267">
        <f>IFERROR(__xludf.DUMMYFUNCTION("""COMPUTED_VALUE"""),46198.6666666666)</f>
        <v/>
      </c>
      <c r="F2132" s="6">
        <f>IFERROR(__xludf.DUMMYFUNCTION("""COMPUTED_VALUE"""),7357.49)</f>
        <v/>
      </c>
      <c r="J2132" s="6">
        <f>K2132&amp;L2132</f>
        <v/>
      </c>
      <c r="K2132" s="6">
        <f>YEAR(M2132)</f>
        <v/>
      </c>
      <c r="L2132" s="6">
        <f>MONTH(M2132)</f>
        <v/>
      </c>
      <c r="M2132" s="267">
        <f>IFERROR(__xludf.DUMMYFUNCTION("""COMPUTED_VALUE"""),46191.6666666666)</f>
        <v/>
      </c>
      <c r="N2132" s="6">
        <f>IFERROR(__xludf.DUMMYFUNCTION("""COMPUTED_VALUE"""),26517.93)</f>
        <v/>
      </c>
      <c r="R2132" s="6">
        <f>S2132&amp;T2132</f>
        <v/>
      </c>
      <c r="S2132" s="6">
        <f>YEAR(U2132)</f>
        <v/>
      </c>
      <c r="T2132" s="6">
        <f>MONTH(U2132)</f>
        <v/>
      </c>
      <c r="Z2132" s="6">
        <f>AA2132&amp;AB2132</f>
        <v/>
      </c>
      <c r="AA2132" s="6">
        <f>YEAR(AC2132)</f>
        <v/>
      </c>
      <c r="AB2132" s="6">
        <f>MONTH(AC2132)</f>
        <v/>
      </c>
      <c r="AC2132" s="267">
        <f>IFERROR(__xludf.DUMMYFUNCTION("""COMPUTED_VALUE"""),45283.9986111111)</f>
        <v/>
      </c>
      <c r="AD2132" s="6">
        <f>IFERROR(__xludf.DUMMYFUNCTION("""COMPUTED_VALUE"""),1297.03)</f>
        <v/>
      </c>
      <c r="AH2132" s="6">
        <f>AI2132&amp;AJ2132</f>
        <v/>
      </c>
      <c r="AI2132" s="6">
        <f>YEAR(AK2132)</f>
        <v/>
      </c>
      <c r="AJ2132" s="6">
        <f>MONTH(AK2132)</f>
        <v/>
      </c>
      <c r="AK2132" s="267">
        <f>IFERROR(__xludf.DUMMYFUNCTION("""COMPUTED_VALUE"""),45225.9986111111)</f>
        <v/>
      </c>
      <c r="AL2132" s="6">
        <f>IFERROR(__xludf.DUMMYFUNCTION("""COMPUTED_VALUE"""),34155.89)</f>
        <v/>
      </c>
      <c r="AP2132" s="6">
        <f>AQ2132&amp;AR2132</f>
        <v/>
      </c>
      <c r="AQ2132" s="6">
        <f>YEAR(AS2132)</f>
        <v/>
      </c>
      <c r="AR2132" s="6">
        <f>MONTH(AS2132)</f>
        <v/>
      </c>
      <c r="AS2132" s="267">
        <f>IFERROR(__xludf.DUMMYFUNCTION("""COMPUTED_VALUE"""),46205.9986111111)</f>
        <v/>
      </c>
      <c r="AT2132" s="6">
        <f>IFERROR(__xludf.DUMMYFUNCTION("""COMPUTED_VALUE"""),4125.7)</f>
        <v/>
      </c>
    </row>
    <row r="2133">
      <c r="B2133" s="6">
        <f>C2133&amp;D2133</f>
        <v/>
      </c>
      <c r="C2133" s="6">
        <f>YEAR(E2133)</f>
        <v/>
      </c>
      <c r="D2133" s="6">
        <f>MONTH(E2133)</f>
        <v/>
      </c>
      <c r="E2133" s="267">
        <f>IFERROR(__xludf.DUMMYFUNCTION("""COMPUTED_VALUE"""),46199.6666666666)</f>
        <v/>
      </c>
      <c r="F2133" s="6">
        <f>IFERROR(__xludf.DUMMYFUNCTION("""COMPUTED_VALUE"""),7354.02)</f>
        <v/>
      </c>
      <c r="J2133" s="6">
        <f>K2133&amp;L2133</f>
        <v/>
      </c>
      <c r="K2133" s="6">
        <f>YEAR(M2133)</f>
        <v/>
      </c>
      <c r="L2133" s="6">
        <f>MONTH(M2133)</f>
        <v/>
      </c>
      <c r="M2133" s="267">
        <f>IFERROR(__xludf.DUMMYFUNCTION("""COMPUTED_VALUE"""),46195.6666666666)</f>
        <v/>
      </c>
      <c r="N2133" s="6">
        <f>IFERROR(__xludf.DUMMYFUNCTION("""COMPUTED_VALUE"""),26166.6)</f>
        <v/>
      </c>
      <c r="R2133" s="6">
        <f>S2133&amp;T2133</f>
        <v/>
      </c>
      <c r="S2133" s="6">
        <f>YEAR(U2133)</f>
        <v/>
      </c>
      <c r="T2133" s="6">
        <f>MONTH(U2133)</f>
        <v/>
      </c>
      <c r="Z2133" s="6">
        <f>AA2133&amp;AB2133</f>
        <v/>
      </c>
      <c r="AA2133" s="6">
        <f>YEAR(AC2133)</f>
        <v/>
      </c>
      <c r="AB2133" s="6">
        <f>MONTH(AC2133)</f>
        <v/>
      </c>
      <c r="AC2133" s="267">
        <f>IFERROR(__xludf.DUMMYFUNCTION("""COMPUTED_VALUE"""),45284.9986111111)</f>
        <v/>
      </c>
      <c r="AD2133" s="6">
        <f>IFERROR(__xludf.DUMMYFUNCTION("""COMPUTED_VALUE"""),1297.36)</f>
        <v/>
      </c>
      <c r="AH2133" s="6">
        <f>AI2133&amp;AJ2133</f>
        <v/>
      </c>
      <c r="AI2133" s="6">
        <f>YEAR(AK2133)</f>
        <v/>
      </c>
      <c r="AJ2133" s="6">
        <f>MONTH(AK2133)</f>
        <v/>
      </c>
      <c r="AK2133" s="267">
        <f>IFERROR(__xludf.DUMMYFUNCTION("""COMPUTED_VALUE"""),45226.9986111111)</f>
        <v/>
      </c>
      <c r="AL2133" s="6">
        <f>IFERROR(__xludf.DUMMYFUNCTION("""COMPUTED_VALUE"""),33906.76)</f>
        <v/>
      </c>
      <c r="AP2133" s="6">
        <f>AQ2133&amp;AR2133</f>
        <v/>
      </c>
      <c r="AQ2133" s="6">
        <f>YEAR(AS2133)</f>
        <v/>
      </c>
      <c r="AR2133" s="6">
        <f>MONTH(AS2133)</f>
        <v/>
      </c>
      <c r="AS2133" s="267">
        <f>IFERROR(__xludf.DUMMYFUNCTION("""COMPUTED_VALUE"""),46209.9986111111)</f>
        <v/>
      </c>
      <c r="AT2133" s="6">
        <f>IFERROR(__xludf.DUMMYFUNCTION("""COMPUTED_VALUE"""),4167.5)</f>
        <v/>
      </c>
    </row>
    <row r="2134">
      <c r="B2134" s="6">
        <f>C2134&amp;D2134</f>
        <v/>
      </c>
      <c r="C2134" s="6">
        <f>YEAR(E2134)</f>
        <v/>
      </c>
      <c r="D2134" s="6">
        <f>MONTH(E2134)</f>
        <v/>
      </c>
      <c r="E2134" s="267">
        <f>IFERROR(__xludf.DUMMYFUNCTION("""COMPUTED_VALUE"""),46202.6666666666)</f>
        <v/>
      </c>
      <c r="F2134" s="6">
        <f>IFERROR(__xludf.DUMMYFUNCTION("""COMPUTED_VALUE"""),7440.43)</f>
        <v/>
      </c>
      <c r="J2134" s="6">
        <f>K2134&amp;L2134</f>
        <v/>
      </c>
      <c r="K2134" s="6">
        <f>YEAR(M2134)</f>
        <v/>
      </c>
      <c r="L2134" s="6">
        <f>MONTH(M2134)</f>
        <v/>
      </c>
      <c r="M2134" s="267">
        <f>IFERROR(__xludf.DUMMYFUNCTION("""COMPUTED_VALUE"""),46196.6666666666)</f>
        <v/>
      </c>
      <c r="N2134" s="6">
        <f>IFERROR(__xludf.DUMMYFUNCTION("""COMPUTED_VALUE"""),25587.04)</f>
        <v/>
      </c>
      <c r="R2134" s="6">
        <f>S2134&amp;T2134</f>
        <v/>
      </c>
      <c r="S2134" s="6">
        <f>YEAR(U2134)</f>
        <v/>
      </c>
      <c r="T2134" s="6">
        <f>MONTH(U2134)</f>
        <v/>
      </c>
      <c r="Z2134" s="6">
        <f>AA2134&amp;AB2134</f>
        <v/>
      </c>
      <c r="AA2134" s="6">
        <f>YEAR(AC2134)</f>
        <v/>
      </c>
      <c r="AB2134" s="6">
        <f>MONTH(AC2134)</f>
        <v/>
      </c>
      <c r="AC2134" s="267">
        <f>IFERROR(__xludf.DUMMYFUNCTION("""COMPUTED_VALUE"""),45285.9986111111)</f>
        <v/>
      </c>
      <c r="AD2134" s="6">
        <f>IFERROR(__xludf.DUMMYFUNCTION("""COMPUTED_VALUE"""),1294.58)</f>
        <v/>
      </c>
      <c r="AH2134" s="6">
        <f>AI2134&amp;AJ2134</f>
        <v/>
      </c>
      <c r="AI2134" s="6">
        <f>YEAR(AK2134)</f>
        <v/>
      </c>
      <c r="AJ2134" s="6">
        <f>MONTH(AK2134)</f>
        <v/>
      </c>
      <c r="AK2134" s="267">
        <f>IFERROR(__xludf.DUMMYFUNCTION("""COMPUTED_VALUE"""),45227.9986111111)</f>
        <v/>
      </c>
      <c r="AL2134" s="6">
        <f>IFERROR(__xludf.DUMMYFUNCTION("""COMPUTED_VALUE"""),34095.03)</f>
        <v/>
      </c>
      <c r="AP2134" s="6">
        <f>AQ2134&amp;AR2134</f>
        <v/>
      </c>
      <c r="AQ2134" s="6">
        <f>YEAR(AS2134)</f>
        <v/>
      </c>
      <c r="AR2134" s="6">
        <f>MONTH(AS2134)</f>
        <v/>
      </c>
      <c r="AS2134" s="267">
        <f>IFERROR(__xludf.DUMMYFUNCTION("""COMPUTED_VALUE"""),46210.9986111111)</f>
        <v/>
      </c>
      <c r="AT2134" s="6">
        <f>IFERROR(__xludf.DUMMYFUNCTION("""COMPUTED_VALUE"""),4157.4)</f>
        <v/>
      </c>
    </row>
    <row r="2135">
      <c r="B2135" s="6">
        <f>C2135&amp;D2135</f>
        <v/>
      </c>
      <c r="C2135" s="6">
        <f>YEAR(E2135)</f>
        <v/>
      </c>
      <c r="D2135" s="6">
        <f>MONTH(E2135)</f>
        <v/>
      </c>
      <c r="E2135" s="267">
        <f>IFERROR(__xludf.DUMMYFUNCTION("""COMPUTED_VALUE"""),46203.6666666666)</f>
        <v/>
      </c>
      <c r="F2135" s="6">
        <f>IFERROR(__xludf.DUMMYFUNCTION("""COMPUTED_VALUE"""),7499.36)</f>
        <v/>
      </c>
      <c r="J2135" s="6">
        <f>K2135&amp;L2135</f>
        <v/>
      </c>
      <c r="K2135" s="6">
        <f>YEAR(M2135)</f>
        <v/>
      </c>
      <c r="L2135" s="6">
        <f>MONTH(M2135)</f>
        <v/>
      </c>
      <c r="M2135" s="267">
        <f>IFERROR(__xludf.DUMMYFUNCTION("""COMPUTED_VALUE"""),46197.6666666666)</f>
        <v/>
      </c>
      <c r="N2135" s="6">
        <f>IFERROR(__xludf.DUMMYFUNCTION("""COMPUTED_VALUE"""),25476.64)</f>
        <v/>
      </c>
      <c r="R2135" s="6">
        <f>S2135&amp;T2135</f>
        <v/>
      </c>
      <c r="S2135" s="6">
        <f>YEAR(U2135)</f>
        <v/>
      </c>
      <c r="T2135" s="6">
        <f>MONTH(U2135)</f>
        <v/>
      </c>
      <c r="Z2135" s="6">
        <f>AA2135&amp;AB2135</f>
        <v/>
      </c>
      <c r="AA2135" s="6">
        <f>YEAR(AC2135)</f>
        <v/>
      </c>
      <c r="AB2135" s="6">
        <f>MONTH(AC2135)</f>
        <v/>
      </c>
      <c r="AC2135" s="267">
        <f>IFERROR(__xludf.DUMMYFUNCTION("""COMPUTED_VALUE"""),45286.9986111111)</f>
        <v/>
      </c>
      <c r="AD2135" s="6">
        <f>IFERROR(__xludf.DUMMYFUNCTION("""COMPUTED_VALUE"""),1293.92)</f>
        <v/>
      </c>
      <c r="AH2135" s="6">
        <f>AI2135&amp;AJ2135</f>
        <v/>
      </c>
      <c r="AI2135" s="6">
        <f>YEAR(AK2135)</f>
        <v/>
      </c>
      <c r="AJ2135" s="6">
        <f>MONTH(AK2135)</f>
        <v/>
      </c>
      <c r="AK2135" s="267">
        <f>IFERROR(__xludf.DUMMYFUNCTION("""COMPUTED_VALUE"""),45228.9986111111)</f>
        <v/>
      </c>
      <c r="AL2135" s="6">
        <f>IFERROR(__xludf.DUMMYFUNCTION("""COMPUTED_VALUE"""),34537.25)</f>
        <v/>
      </c>
      <c r="AP2135" s="6">
        <f>AQ2135&amp;AR2135</f>
        <v/>
      </c>
      <c r="AQ2135" s="6">
        <f>YEAR(AS2135)</f>
        <v/>
      </c>
      <c r="AR2135" s="6">
        <f>MONTH(AS2135)</f>
        <v/>
      </c>
      <c r="AS2135" s="267">
        <f>IFERROR(__xludf.DUMMYFUNCTION("""COMPUTED_VALUE"""),46211.9986111111)</f>
        <v/>
      </c>
      <c r="AT2135" s="6">
        <f>IFERROR(__xludf.DUMMYFUNCTION("""COMPUTED_VALUE"""),4082.4)</f>
        <v/>
      </c>
    </row>
    <row r="2136">
      <c r="B2136" s="6">
        <f>C2136&amp;D2136</f>
        <v/>
      </c>
      <c r="C2136" s="6">
        <f>YEAR(E2136)</f>
        <v/>
      </c>
      <c r="D2136" s="6">
        <f>MONTH(E2136)</f>
        <v/>
      </c>
      <c r="E2136" s="267">
        <f>IFERROR(__xludf.DUMMYFUNCTION("""COMPUTED_VALUE"""),46204.6666666666)</f>
        <v/>
      </c>
      <c r="F2136" s="6">
        <f>IFERROR(__xludf.DUMMYFUNCTION("""COMPUTED_VALUE"""),7483.23)</f>
        <v/>
      </c>
      <c r="J2136" s="6">
        <f>K2136&amp;L2136</f>
        <v/>
      </c>
      <c r="K2136" s="6">
        <f>YEAR(M2136)</f>
        <v/>
      </c>
      <c r="L2136" s="6">
        <f>MONTH(M2136)</f>
        <v/>
      </c>
      <c r="M2136" s="267">
        <f>IFERROR(__xludf.DUMMYFUNCTION("""COMPUTED_VALUE"""),46198.6666666666)</f>
        <v/>
      </c>
      <c r="N2136" s="6">
        <f>IFERROR(__xludf.DUMMYFUNCTION("""COMPUTED_VALUE"""),25358.6)</f>
        <v/>
      </c>
      <c r="R2136" s="6">
        <f>S2136&amp;T2136</f>
        <v/>
      </c>
      <c r="S2136" s="6">
        <f>YEAR(U2136)</f>
        <v/>
      </c>
      <c r="T2136" s="6">
        <f>MONTH(U2136)</f>
        <v/>
      </c>
      <c r="Z2136" s="6">
        <f>AA2136&amp;AB2136</f>
        <v/>
      </c>
      <c r="AA2136" s="6">
        <f>YEAR(AC2136)</f>
        <v/>
      </c>
      <c r="AB2136" s="6">
        <f>MONTH(AC2136)</f>
        <v/>
      </c>
      <c r="AC2136" s="267">
        <f>IFERROR(__xludf.DUMMYFUNCTION("""COMPUTED_VALUE"""),45287.9986111111)</f>
        <v/>
      </c>
      <c r="AD2136" s="6">
        <f>IFERROR(__xludf.DUMMYFUNCTION("""COMPUTED_VALUE"""),1294.76)</f>
        <v/>
      </c>
      <c r="AH2136" s="6">
        <f>AI2136&amp;AJ2136</f>
        <v/>
      </c>
      <c r="AI2136" s="6">
        <f>YEAR(AK2136)</f>
        <v/>
      </c>
      <c r="AJ2136" s="6">
        <f>MONTH(AK2136)</f>
        <v/>
      </c>
      <c r="AK2136" s="267">
        <f>IFERROR(__xludf.DUMMYFUNCTION("""COMPUTED_VALUE"""),45229.9986111111)</f>
        <v/>
      </c>
      <c r="AL2136" s="6">
        <f>IFERROR(__xludf.DUMMYFUNCTION("""COMPUTED_VALUE"""),34494.36)</f>
        <v/>
      </c>
      <c r="AP2136" s="6">
        <f>AQ2136&amp;AR2136</f>
        <v/>
      </c>
      <c r="AQ2136" s="6">
        <f>YEAR(AS2136)</f>
        <v/>
      </c>
      <c r="AR2136" s="6">
        <f>MONTH(AS2136)</f>
        <v/>
      </c>
      <c r="AS2136" s="267">
        <f>IFERROR(__xludf.DUMMYFUNCTION("""COMPUTED_VALUE"""),46212.9986111111)</f>
        <v/>
      </c>
      <c r="AT2136" s="6">
        <f>IFERROR(__xludf.DUMMYFUNCTION("""COMPUTED_VALUE"""),4140.8)</f>
        <v/>
      </c>
    </row>
    <row r="2137">
      <c r="B2137" s="6">
        <f>C2137&amp;D2137</f>
        <v/>
      </c>
      <c r="C2137" s="6">
        <f>YEAR(E2137)</f>
        <v/>
      </c>
      <c r="D2137" s="6">
        <f>MONTH(E2137)</f>
        <v/>
      </c>
      <c r="E2137" s="267">
        <f>IFERROR(__xludf.DUMMYFUNCTION("""COMPUTED_VALUE"""),46205.6666666666)</f>
        <v/>
      </c>
      <c r="F2137" s="6">
        <f>IFERROR(__xludf.DUMMYFUNCTION("""COMPUTED_VALUE"""),7483.24)</f>
        <v/>
      </c>
      <c r="J2137" s="6">
        <f>K2137&amp;L2137</f>
        <v/>
      </c>
      <c r="K2137" s="6">
        <f>YEAR(M2137)</f>
        <v/>
      </c>
      <c r="L2137" s="6">
        <f>MONTH(M2137)</f>
        <v/>
      </c>
      <c r="M2137" s="267">
        <f>IFERROR(__xludf.DUMMYFUNCTION("""COMPUTED_VALUE"""),46199.6666666666)</f>
        <v/>
      </c>
      <c r="N2137" s="6">
        <f>IFERROR(__xludf.DUMMYFUNCTION("""COMPUTED_VALUE"""),25297.62)</f>
        <v/>
      </c>
      <c r="R2137" s="6">
        <f>S2137&amp;T2137</f>
        <v/>
      </c>
      <c r="S2137" s="6">
        <f>YEAR(U2137)</f>
        <v/>
      </c>
      <c r="T2137" s="6">
        <f>MONTH(U2137)</f>
        <v/>
      </c>
      <c r="Z2137" s="6">
        <f>AA2137&amp;AB2137</f>
        <v/>
      </c>
      <c r="AA2137" s="6">
        <f>YEAR(AC2137)</f>
        <v/>
      </c>
      <c r="AB2137" s="6">
        <f>MONTH(AC2137)</f>
        <v/>
      </c>
      <c r="AC2137" s="267">
        <f>IFERROR(__xludf.DUMMYFUNCTION("""COMPUTED_VALUE"""),45288.9986111111)</f>
        <v/>
      </c>
      <c r="AD2137" s="6">
        <f>IFERROR(__xludf.DUMMYFUNCTION("""COMPUTED_VALUE"""),1277.84)</f>
        <v/>
      </c>
      <c r="AH2137" s="6">
        <f>AI2137&amp;AJ2137</f>
        <v/>
      </c>
      <c r="AI2137" s="6">
        <f>YEAR(AK2137)</f>
        <v/>
      </c>
      <c r="AJ2137" s="6">
        <f>MONTH(AK2137)</f>
        <v/>
      </c>
      <c r="AK2137" s="267">
        <f>IFERROR(__xludf.DUMMYFUNCTION("""COMPUTED_VALUE"""),45230.9986111111)</f>
        <v/>
      </c>
      <c r="AL2137" s="6">
        <f>IFERROR(__xludf.DUMMYFUNCTION("""COMPUTED_VALUE"""),34661.5)</f>
        <v/>
      </c>
      <c r="AP2137" s="6">
        <f>AQ2137&amp;AR2137</f>
        <v/>
      </c>
      <c r="AQ2137" s="6">
        <f>YEAR(AS2137)</f>
        <v/>
      </c>
      <c r="AR2137" s="6">
        <f>MONTH(AS2137)</f>
        <v/>
      </c>
      <c r="AS2137" s="267">
        <f>IFERROR(__xludf.DUMMYFUNCTION("""COMPUTED_VALUE"""),46213.9986111111)</f>
        <v/>
      </c>
      <c r="AT2137" s="6">
        <f>IFERROR(__xludf.DUMMYFUNCTION("""COMPUTED_VALUE"""),4113.7)</f>
        <v/>
      </c>
    </row>
    <row r="2138">
      <c r="B2138" s="6">
        <f>C2138&amp;D2138</f>
        <v/>
      </c>
      <c r="C2138" s="6">
        <f>YEAR(E2138)</f>
        <v/>
      </c>
      <c r="D2138" s="6">
        <f>MONTH(E2138)</f>
        <v/>
      </c>
      <c r="E2138" s="267">
        <f>IFERROR(__xludf.DUMMYFUNCTION("""COMPUTED_VALUE"""),46209.6666666666)</f>
        <v/>
      </c>
      <c r="F2138" s="6">
        <f>IFERROR(__xludf.DUMMYFUNCTION("""COMPUTED_VALUE"""),7537.43)</f>
        <v/>
      </c>
      <c r="J2138" s="6">
        <f>K2138&amp;L2138</f>
        <v/>
      </c>
      <c r="K2138" s="6">
        <f>YEAR(M2138)</f>
        <v/>
      </c>
      <c r="L2138" s="6">
        <f>MONTH(M2138)</f>
        <v/>
      </c>
      <c r="M2138" s="267">
        <f>IFERROR(__xludf.DUMMYFUNCTION("""COMPUTED_VALUE"""),46202.6666666666)</f>
        <v/>
      </c>
      <c r="N2138" s="6">
        <f>IFERROR(__xludf.DUMMYFUNCTION("""COMPUTED_VALUE"""),25820.14)</f>
        <v/>
      </c>
      <c r="R2138" s="6">
        <f>S2138&amp;T2138</f>
        <v/>
      </c>
      <c r="S2138" s="6">
        <f>YEAR(U2138)</f>
        <v/>
      </c>
      <c r="T2138" s="6">
        <f>MONTH(U2138)</f>
        <v/>
      </c>
      <c r="Z2138" s="6">
        <f>AA2138&amp;AB2138</f>
        <v/>
      </c>
      <c r="AA2138" s="6">
        <f>YEAR(AC2138)</f>
        <v/>
      </c>
      <c r="AB2138" s="6">
        <f>MONTH(AC2138)</f>
        <v/>
      </c>
      <c r="AC2138" s="267">
        <f>IFERROR(__xludf.DUMMYFUNCTION("""COMPUTED_VALUE"""),45289.9986111111)</f>
        <v/>
      </c>
      <c r="AD2138" s="6">
        <f>IFERROR(__xludf.DUMMYFUNCTION("""COMPUTED_VALUE"""),1293.53)</f>
        <v/>
      </c>
      <c r="AH2138" s="6">
        <f>AI2138&amp;AJ2138</f>
        <v/>
      </c>
      <c r="AI2138" s="6">
        <f>YEAR(AK2138)</f>
        <v/>
      </c>
      <c r="AJ2138" s="6">
        <f>MONTH(AK2138)</f>
        <v/>
      </c>
      <c r="AK2138" s="267">
        <f>IFERROR(__xludf.DUMMYFUNCTION("""COMPUTED_VALUE"""),45231.9986111111)</f>
        <v/>
      </c>
      <c r="AL2138" s="6">
        <f>IFERROR(__xludf.DUMMYFUNCTION("""COMPUTED_VALUE"""),35436)</f>
        <v/>
      </c>
      <c r="AP2138" s="6">
        <f>AQ2138&amp;AR2138</f>
        <v/>
      </c>
      <c r="AQ2138" s="6">
        <f>YEAR(AS2138)</f>
        <v/>
      </c>
      <c r="AR2138" s="6">
        <f>MONTH(AS2138)</f>
        <v/>
      </c>
      <c r="AS2138" s="267">
        <f>IFERROR(__xludf.DUMMYFUNCTION("""COMPUTED_VALUE"""),46216.9986111111)</f>
        <v/>
      </c>
      <c r="AT2138" s="6">
        <f>IFERROR(__xludf.DUMMYFUNCTION("""COMPUTED_VALUE"""),4005.7)</f>
        <v/>
      </c>
    </row>
    <row r="2139">
      <c r="B2139" s="6">
        <f>C2139&amp;D2139</f>
        <v/>
      </c>
      <c r="C2139" s="6">
        <f>YEAR(E2139)</f>
        <v/>
      </c>
      <c r="D2139" s="6">
        <f>MONTH(E2139)</f>
        <v/>
      </c>
      <c r="E2139" s="267">
        <f>IFERROR(__xludf.DUMMYFUNCTION("""COMPUTED_VALUE"""),46210.6666666666)</f>
        <v/>
      </c>
      <c r="F2139" s="6">
        <f>IFERROR(__xludf.DUMMYFUNCTION("""COMPUTED_VALUE"""),7503.85)</f>
        <v/>
      </c>
      <c r="J2139" s="6">
        <f>K2139&amp;L2139</f>
        <v/>
      </c>
      <c r="K2139" s="6">
        <f>YEAR(M2139)</f>
        <v/>
      </c>
      <c r="L2139" s="6">
        <f>MONTH(M2139)</f>
        <v/>
      </c>
      <c r="M2139" s="267">
        <f>IFERROR(__xludf.DUMMYFUNCTION("""COMPUTED_VALUE"""),46203.6666666666)</f>
        <v/>
      </c>
      <c r="N2139" s="6">
        <f>IFERROR(__xludf.DUMMYFUNCTION("""COMPUTED_VALUE"""),26213.72)</f>
        <v/>
      </c>
      <c r="R2139" s="6">
        <f>S2139&amp;T2139</f>
        <v/>
      </c>
      <c r="S2139" s="6">
        <f>YEAR(U2139)</f>
        <v/>
      </c>
      <c r="T2139" s="6">
        <f>MONTH(U2139)</f>
        <v/>
      </c>
      <c r="Z2139" s="6">
        <f>AA2139&amp;AB2139</f>
        <v/>
      </c>
      <c r="AA2139" s="6">
        <f>YEAR(AC2139)</f>
        <v/>
      </c>
      <c r="AB2139" s="6">
        <f>MONTH(AC2139)</f>
        <v/>
      </c>
      <c r="AC2139" s="267">
        <f>IFERROR(__xludf.DUMMYFUNCTION("""COMPUTED_VALUE"""),45290.9986111111)</f>
        <v/>
      </c>
      <c r="AD2139" s="6">
        <f>IFERROR(__xludf.DUMMYFUNCTION("""COMPUTED_VALUE"""),1293.53)</f>
        <v/>
      </c>
      <c r="AH2139" s="6">
        <f>AI2139&amp;AJ2139</f>
        <v/>
      </c>
      <c r="AI2139" s="6">
        <f>YEAR(AK2139)</f>
        <v/>
      </c>
      <c r="AJ2139" s="6">
        <f>MONTH(AK2139)</f>
        <v/>
      </c>
      <c r="AK2139" s="267">
        <f>IFERROR(__xludf.DUMMYFUNCTION("""COMPUTED_VALUE"""),45232.9986111111)</f>
        <v/>
      </c>
      <c r="AL2139" s="6">
        <f>IFERROR(__xludf.DUMMYFUNCTION("""COMPUTED_VALUE"""),34945.19)</f>
        <v/>
      </c>
      <c r="AP2139" s="6">
        <f>AQ2139&amp;AR2139</f>
        <v/>
      </c>
      <c r="AQ2139" s="6">
        <f>YEAR(AS2139)</f>
        <v/>
      </c>
      <c r="AR2139" s="6">
        <f>MONTH(AS2139)</f>
        <v/>
      </c>
      <c r="AS2139" s="267">
        <f>IFERROR(__xludf.DUMMYFUNCTION("""COMPUTED_VALUE"""),46217.9986111111)</f>
        <v/>
      </c>
      <c r="AT2139" s="6">
        <f>IFERROR(__xludf.DUMMYFUNCTION("""COMPUTED_VALUE"""),4069.7)</f>
        <v/>
      </c>
    </row>
    <row r="2140">
      <c r="B2140" s="6">
        <f>C2140&amp;D2140</f>
        <v/>
      </c>
      <c r="C2140" s="6">
        <f>YEAR(E2140)</f>
        <v/>
      </c>
      <c r="D2140" s="6">
        <f>MONTH(E2140)</f>
        <v/>
      </c>
      <c r="E2140" s="267">
        <f>IFERROR(__xludf.DUMMYFUNCTION("""COMPUTED_VALUE"""),46211.6666666666)</f>
        <v/>
      </c>
      <c r="F2140" s="6">
        <f>IFERROR(__xludf.DUMMYFUNCTION("""COMPUTED_VALUE"""),7482.71)</f>
        <v/>
      </c>
      <c r="J2140" s="6">
        <f>K2140&amp;L2140</f>
        <v/>
      </c>
      <c r="K2140" s="6">
        <f>YEAR(M2140)</f>
        <v/>
      </c>
      <c r="L2140" s="6">
        <f>MONTH(M2140)</f>
        <v/>
      </c>
      <c r="M2140" s="267">
        <f>IFERROR(__xludf.DUMMYFUNCTION("""COMPUTED_VALUE"""),46204.6666666666)</f>
        <v/>
      </c>
      <c r="N2140" s="6">
        <f>IFERROR(__xludf.DUMMYFUNCTION("""COMPUTED_VALUE"""),26040.03)</f>
        <v/>
      </c>
      <c r="R2140" s="6">
        <f>S2140&amp;T2140</f>
        <v/>
      </c>
      <c r="S2140" s="6">
        <f>YEAR(U2140)</f>
        <v/>
      </c>
      <c r="T2140" s="6">
        <f>MONTH(U2140)</f>
        <v/>
      </c>
      <c r="Z2140" s="6">
        <f>AA2140&amp;AB2140</f>
        <v/>
      </c>
      <c r="AA2140" s="6">
        <f>YEAR(AC2140)</f>
        <v/>
      </c>
      <c r="AB2140" s="6">
        <f>MONTH(AC2140)</f>
        <v/>
      </c>
      <c r="AC2140" s="267">
        <f>IFERROR(__xludf.DUMMYFUNCTION("""COMPUTED_VALUE"""),45291.9986111111)</f>
        <v/>
      </c>
      <c r="AD2140" s="6">
        <f>IFERROR(__xludf.DUMMYFUNCTION("""COMPUTED_VALUE"""),1293.53)</f>
        <v/>
      </c>
      <c r="AH2140" s="6">
        <f>AI2140&amp;AJ2140</f>
        <v/>
      </c>
      <c r="AI2140" s="6">
        <f>YEAR(AK2140)</f>
        <v/>
      </c>
      <c r="AJ2140" s="6">
        <f>MONTH(AK2140)</f>
        <v/>
      </c>
      <c r="AK2140" s="267">
        <f>IFERROR(__xludf.DUMMYFUNCTION("""COMPUTED_VALUE"""),45233.9986111111)</f>
        <v/>
      </c>
      <c r="AL2140" s="6">
        <f>IFERROR(__xludf.DUMMYFUNCTION("""COMPUTED_VALUE"""),34741.35)</f>
        <v/>
      </c>
      <c r="AP2140" s="6">
        <f>AQ2140&amp;AR2140</f>
        <v/>
      </c>
      <c r="AQ2140" s="6">
        <f>YEAR(AS2140)</f>
        <v/>
      </c>
      <c r="AR2140" s="6">
        <f>MONTH(AS2140)</f>
        <v/>
      </c>
      <c r="AS2140" s="267">
        <f>IFERROR(__xludf.DUMMYFUNCTION("""COMPUTED_VALUE"""),46218.9986111111)</f>
        <v/>
      </c>
      <c r="AT2140" s="6">
        <f>IFERROR(__xludf.DUMMYFUNCTION("""COMPUTED_VALUE"""),4051.8)</f>
        <v/>
      </c>
    </row>
    <row r="2141">
      <c r="B2141" s="6">
        <f>C2141&amp;D2141</f>
        <v/>
      </c>
      <c r="C2141" s="6">
        <f>YEAR(E2141)</f>
        <v/>
      </c>
      <c r="D2141" s="6">
        <f>MONTH(E2141)</f>
        <v/>
      </c>
      <c r="E2141" s="267">
        <f>IFERROR(__xludf.DUMMYFUNCTION("""COMPUTED_VALUE"""),46212.6666666666)</f>
        <v/>
      </c>
      <c r="F2141" s="6">
        <f>IFERROR(__xludf.DUMMYFUNCTION("""COMPUTED_VALUE"""),7543.64)</f>
        <v/>
      </c>
      <c r="J2141" s="6">
        <f>K2141&amp;L2141</f>
        <v/>
      </c>
      <c r="K2141" s="6">
        <f>YEAR(M2141)</f>
        <v/>
      </c>
      <c r="L2141" s="6">
        <f>MONTH(M2141)</f>
        <v/>
      </c>
      <c r="M2141" s="267">
        <f>IFERROR(__xludf.DUMMYFUNCTION("""COMPUTED_VALUE"""),46205.6666666666)</f>
        <v/>
      </c>
      <c r="N2141" s="6">
        <f>IFERROR(__xludf.DUMMYFUNCTION("""COMPUTED_VALUE"""),25832.67)</f>
        <v/>
      </c>
      <c r="R2141" s="6">
        <f>S2141&amp;T2141</f>
        <v/>
      </c>
      <c r="S2141" s="6">
        <f>YEAR(U2141)</f>
        <v/>
      </c>
      <c r="T2141" s="6">
        <f>MONTH(U2141)</f>
        <v/>
      </c>
      <c r="Z2141" s="6">
        <f>AA2141&amp;AB2141</f>
        <v/>
      </c>
      <c r="AA2141" s="6">
        <f>YEAR(AC2141)</f>
        <v/>
      </c>
      <c r="AB2141" s="6">
        <f>MONTH(AC2141)</f>
        <v/>
      </c>
      <c r="AC2141" s="267">
        <f>IFERROR(__xludf.DUMMYFUNCTION("""COMPUTED_VALUE"""),45292.9986111111)</f>
        <v/>
      </c>
      <c r="AD2141" s="6">
        <f>IFERROR(__xludf.DUMMYFUNCTION("""COMPUTED_VALUE"""),1293.54)</f>
        <v/>
      </c>
      <c r="AH2141" s="6">
        <f>AI2141&amp;AJ2141</f>
        <v/>
      </c>
      <c r="AI2141" s="6">
        <f>YEAR(AK2141)</f>
        <v/>
      </c>
      <c r="AJ2141" s="6">
        <f>MONTH(AK2141)</f>
        <v/>
      </c>
      <c r="AK2141" s="267">
        <f>IFERROR(__xludf.DUMMYFUNCTION("""COMPUTED_VALUE"""),45234.9986111111)</f>
        <v/>
      </c>
      <c r="AL2141" s="6">
        <f>IFERROR(__xludf.DUMMYFUNCTION("""COMPUTED_VALUE"""),35103.04)</f>
        <v/>
      </c>
      <c r="AP2141" s="6">
        <f>AQ2141&amp;AR2141</f>
        <v/>
      </c>
      <c r="AQ2141" s="6">
        <f>YEAR(AS2141)</f>
        <v/>
      </c>
      <c r="AR2141" s="6">
        <f>MONTH(AS2141)</f>
        <v/>
      </c>
      <c r="AS2141" s="267">
        <f>IFERROR(__xludf.DUMMYFUNCTION("""COMPUTED_VALUE"""),46219.9986111111)</f>
        <v/>
      </c>
      <c r="AT2141" s="6">
        <f>IFERROR(__xludf.DUMMYFUNCTION("""COMPUTED_VALUE"""),3992.1)</f>
        <v/>
      </c>
    </row>
    <row r="2142">
      <c r="B2142" s="6">
        <f>C2142&amp;D2142</f>
        <v/>
      </c>
      <c r="C2142" s="6">
        <f>YEAR(E2142)</f>
        <v/>
      </c>
      <c r="D2142" s="6">
        <f>MONTH(E2142)</f>
        <v/>
      </c>
      <c r="E2142" s="267">
        <f>IFERROR(__xludf.DUMMYFUNCTION("""COMPUTED_VALUE"""),46213.6666666666)</f>
        <v/>
      </c>
      <c r="F2142" s="6">
        <f>IFERROR(__xludf.DUMMYFUNCTION("""COMPUTED_VALUE"""),7575.39)</f>
        <v/>
      </c>
      <c r="J2142" s="6">
        <f>K2142&amp;L2142</f>
        <v/>
      </c>
      <c r="K2142" s="6">
        <f>YEAR(M2142)</f>
        <v/>
      </c>
      <c r="L2142" s="6">
        <f>MONTH(M2142)</f>
        <v/>
      </c>
      <c r="M2142" s="267">
        <f>IFERROR(__xludf.DUMMYFUNCTION("""COMPUTED_VALUE"""),46209.6666666666)</f>
        <v/>
      </c>
      <c r="N2142" s="6">
        <f>IFERROR(__xludf.DUMMYFUNCTION("""COMPUTED_VALUE"""),26121.16)</f>
        <v/>
      </c>
      <c r="R2142" s="6">
        <f>S2142&amp;T2142</f>
        <v/>
      </c>
      <c r="S2142" s="6">
        <f>YEAR(U2142)</f>
        <v/>
      </c>
      <c r="T2142" s="6">
        <f>MONTH(U2142)</f>
        <v/>
      </c>
      <c r="Z2142" s="6">
        <f>AA2142&amp;AB2142</f>
        <v/>
      </c>
      <c r="AA2142" s="6">
        <f>YEAR(AC2142)</f>
        <v/>
      </c>
      <c r="AB2142" s="6">
        <f>MONTH(AC2142)</f>
        <v/>
      </c>
      <c r="AC2142" s="267">
        <f>IFERROR(__xludf.DUMMYFUNCTION("""COMPUTED_VALUE"""),45293.9986111111)</f>
        <v/>
      </c>
      <c r="AD2142" s="6">
        <f>IFERROR(__xludf.DUMMYFUNCTION("""COMPUTED_VALUE"""),1307.62)</f>
        <v/>
      </c>
      <c r="AH2142" s="6">
        <f>AI2142&amp;AJ2142</f>
        <v/>
      </c>
      <c r="AI2142" s="6">
        <f>YEAR(AK2142)</f>
        <v/>
      </c>
      <c r="AJ2142" s="6">
        <f>MONTH(AK2142)</f>
        <v/>
      </c>
      <c r="AK2142" s="267">
        <f>IFERROR(__xludf.DUMMYFUNCTION("""COMPUTED_VALUE"""),45235.9986111111)</f>
        <v/>
      </c>
      <c r="AL2142" s="6">
        <f>IFERROR(__xludf.DUMMYFUNCTION("""COMPUTED_VALUE"""),35052.37)</f>
        <v/>
      </c>
      <c r="AP2142" s="6">
        <f>AQ2142&amp;AR2142</f>
        <v/>
      </c>
      <c r="AQ2142" s="6">
        <f>YEAR(AS2142)</f>
        <v/>
      </c>
      <c r="AR2142" s="6">
        <f>MONTH(AS2142)</f>
        <v/>
      </c>
      <c r="AS2142" s="267">
        <f>IFERROR(__xludf.DUMMYFUNCTION("""COMPUTED_VALUE"""),46220.9986111111)</f>
        <v/>
      </c>
      <c r="AT2142" s="6">
        <f>IFERROR(__xludf.DUMMYFUNCTION("""COMPUTED_VALUE"""),4018.8)</f>
        <v/>
      </c>
    </row>
    <row r="2143">
      <c r="B2143" s="6">
        <f>C2143&amp;D2143</f>
        <v/>
      </c>
      <c r="C2143" s="6">
        <f>YEAR(E2143)</f>
        <v/>
      </c>
      <c r="D2143" s="6">
        <f>MONTH(E2143)</f>
        <v/>
      </c>
      <c r="E2143" s="267">
        <f>IFERROR(__xludf.DUMMYFUNCTION("""COMPUTED_VALUE"""),46216.6666666666)</f>
        <v/>
      </c>
      <c r="F2143" s="6">
        <f>IFERROR(__xludf.DUMMYFUNCTION("""COMPUTED_VALUE"""),7515.34)</f>
        <v/>
      </c>
      <c r="J2143" s="6">
        <f>K2143&amp;L2143</f>
        <v/>
      </c>
      <c r="K2143" s="6">
        <f>YEAR(M2143)</f>
        <v/>
      </c>
      <c r="L2143" s="6">
        <f>MONTH(M2143)</f>
        <v/>
      </c>
      <c r="M2143" s="267">
        <f>IFERROR(__xludf.DUMMYFUNCTION("""COMPUTED_VALUE"""),46210.6666666666)</f>
        <v/>
      </c>
      <c r="N2143" s="6">
        <f>IFERROR(__xludf.DUMMYFUNCTION("""COMPUTED_VALUE"""),25818.69)</f>
        <v/>
      </c>
      <c r="R2143" s="6">
        <f>S2143&amp;T2143</f>
        <v/>
      </c>
      <c r="S2143" s="6">
        <f>YEAR(U2143)</f>
        <v/>
      </c>
      <c r="T2143" s="6">
        <f>MONTH(U2143)</f>
        <v/>
      </c>
      <c r="Z2143" s="6">
        <f>AA2143&amp;AB2143</f>
        <v/>
      </c>
      <c r="AA2143" s="6">
        <f>YEAR(AC2143)</f>
        <v/>
      </c>
      <c r="AB2143" s="6">
        <f>MONTH(AC2143)</f>
        <v/>
      </c>
      <c r="AC2143" s="267">
        <f>IFERROR(__xludf.DUMMYFUNCTION("""COMPUTED_VALUE"""),45294.9986111111)</f>
        <v/>
      </c>
      <c r="AD2143" s="6">
        <f>IFERROR(__xludf.DUMMYFUNCTION("""COMPUTED_VALUE"""),1309.53)</f>
        <v/>
      </c>
      <c r="AH2143" s="6">
        <f>AI2143&amp;AJ2143</f>
        <v/>
      </c>
      <c r="AI2143" s="6">
        <f>YEAR(AK2143)</f>
        <v/>
      </c>
      <c r="AJ2143" s="6">
        <f>MONTH(AK2143)</f>
        <v/>
      </c>
      <c r="AK2143" s="267">
        <f>IFERROR(__xludf.DUMMYFUNCTION("""COMPUTED_VALUE"""),45236.9986111111)</f>
        <v/>
      </c>
      <c r="AL2143" s="6">
        <f>IFERROR(__xludf.DUMMYFUNCTION("""COMPUTED_VALUE"""),35055.07)</f>
        <v/>
      </c>
      <c r="AP2143" s="6">
        <f>AQ2143&amp;AR2143</f>
        <v/>
      </c>
      <c r="AQ2143" s="6">
        <f>YEAR(AS2143)</f>
        <v/>
      </c>
      <c r="AR2143" s="6">
        <f>MONTH(AS2143)</f>
        <v/>
      </c>
    </row>
    <row r="2144">
      <c r="B2144" s="6">
        <f>C2144&amp;D2144</f>
        <v/>
      </c>
      <c r="C2144" s="6">
        <f>YEAR(E2144)</f>
        <v/>
      </c>
      <c r="D2144" s="6">
        <f>MONTH(E2144)</f>
        <v/>
      </c>
      <c r="E2144" s="267">
        <f>IFERROR(__xludf.DUMMYFUNCTION("""COMPUTED_VALUE"""),46217.6666666666)</f>
        <v/>
      </c>
      <c r="F2144" s="6">
        <f>IFERROR(__xludf.DUMMYFUNCTION("""COMPUTED_VALUE"""),7543.59)</f>
        <v/>
      </c>
      <c r="J2144" s="6">
        <f>K2144&amp;L2144</f>
        <v/>
      </c>
      <c r="K2144" s="6">
        <f>YEAR(M2144)</f>
        <v/>
      </c>
      <c r="L2144" s="6">
        <f>MONTH(M2144)</f>
        <v/>
      </c>
      <c r="M2144" s="267">
        <f>IFERROR(__xludf.DUMMYFUNCTION("""COMPUTED_VALUE"""),46211.6666666666)</f>
        <v/>
      </c>
      <c r="N2144" s="6">
        <f>IFERROR(__xludf.DUMMYFUNCTION("""COMPUTED_VALUE"""),25870.65)</f>
        <v/>
      </c>
      <c r="R2144" s="6">
        <f>S2144&amp;T2144</f>
        <v/>
      </c>
      <c r="S2144" s="6">
        <f>YEAR(U2144)</f>
        <v/>
      </c>
      <c r="T2144" s="6">
        <f>MONTH(U2144)</f>
        <v/>
      </c>
      <c r="Z2144" s="6">
        <f>AA2144&amp;AB2144</f>
        <v/>
      </c>
      <c r="AA2144" s="6">
        <f>YEAR(AC2144)</f>
        <v/>
      </c>
      <c r="AB2144" s="6">
        <f>MONTH(AC2144)</f>
        <v/>
      </c>
      <c r="AC2144" s="267">
        <f>IFERROR(__xludf.DUMMYFUNCTION("""COMPUTED_VALUE"""),45295.9986111111)</f>
        <v/>
      </c>
      <c r="AD2144" s="6">
        <f>IFERROR(__xludf.DUMMYFUNCTION("""COMPUTED_VALUE"""),1311.25)</f>
        <v/>
      </c>
      <c r="AH2144" s="6">
        <f>AI2144&amp;AJ2144</f>
        <v/>
      </c>
      <c r="AI2144" s="6">
        <f>YEAR(AK2144)</f>
        <v/>
      </c>
      <c r="AJ2144" s="6">
        <f>MONTH(AK2144)</f>
        <v/>
      </c>
      <c r="AK2144" s="267">
        <f>IFERROR(__xludf.DUMMYFUNCTION("""COMPUTED_VALUE"""),45237.9986111111)</f>
        <v/>
      </c>
      <c r="AL2144" s="6">
        <f>IFERROR(__xludf.DUMMYFUNCTION("""COMPUTED_VALUE"""),35430.56)</f>
        <v/>
      </c>
      <c r="AP2144" s="6">
        <f>AQ2144&amp;AR2144</f>
        <v/>
      </c>
      <c r="AQ2144" s="6">
        <f>YEAR(AS2144)</f>
        <v/>
      </c>
      <c r="AR2144" s="6">
        <f>MONTH(AS2144)</f>
        <v/>
      </c>
    </row>
    <row r="2145">
      <c r="B2145" s="6">
        <f>C2145&amp;D2145</f>
        <v/>
      </c>
      <c r="C2145" s="6">
        <f>YEAR(E2145)</f>
        <v/>
      </c>
      <c r="D2145" s="6">
        <f>MONTH(E2145)</f>
        <v/>
      </c>
      <c r="E2145" s="267">
        <f>IFERROR(__xludf.DUMMYFUNCTION("""COMPUTED_VALUE"""),46218.6666666666)</f>
        <v/>
      </c>
      <c r="F2145" s="6">
        <f>IFERROR(__xludf.DUMMYFUNCTION("""COMPUTED_VALUE"""),7572.4)</f>
        <v/>
      </c>
      <c r="J2145" s="6">
        <f>K2145&amp;L2145</f>
        <v/>
      </c>
      <c r="K2145" s="6">
        <f>YEAR(M2145)</f>
        <v/>
      </c>
      <c r="L2145" s="6">
        <f>MONTH(M2145)</f>
        <v/>
      </c>
      <c r="M2145" s="267">
        <f>IFERROR(__xludf.DUMMYFUNCTION("""COMPUTED_VALUE"""),46212.6666666666)</f>
        <v/>
      </c>
      <c r="N2145" s="6">
        <f>IFERROR(__xludf.DUMMYFUNCTION("""COMPUTED_VALUE"""),26206.89)</f>
        <v/>
      </c>
      <c r="R2145" s="6">
        <f>S2145&amp;T2145</f>
        <v/>
      </c>
      <c r="S2145" s="6">
        <f>YEAR(U2145)</f>
        <v/>
      </c>
      <c r="T2145" s="6">
        <f>MONTH(U2145)</f>
        <v/>
      </c>
      <c r="Z2145" s="6">
        <f>AA2145&amp;AB2145</f>
        <v/>
      </c>
      <c r="AA2145" s="6">
        <f>YEAR(AC2145)</f>
        <v/>
      </c>
      <c r="AB2145" s="6">
        <f>MONTH(AC2145)</f>
        <v/>
      </c>
      <c r="AC2145" s="267">
        <f>IFERROR(__xludf.DUMMYFUNCTION("""COMPUTED_VALUE"""),45296.9986111111)</f>
        <v/>
      </c>
      <c r="AD2145" s="6">
        <f>IFERROR(__xludf.DUMMYFUNCTION("""COMPUTED_VALUE"""),1313.13)</f>
        <v/>
      </c>
      <c r="AH2145" s="6">
        <f>AI2145&amp;AJ2145</f>
        <v/>
      </c>
      <c r="AI2145" s="6">
        <f>YEAR(AK2145)</f>
        <v/>
      </c>
      <c r="AJ2145" s="6">
        <f>MONTH(AK2145)</f>
        <v/>
      </c>
      <c r="AK2145" s="267">
        <f>IFERROR(__xludf.DUMMYFUNCTION("""COMPUTED_VALUE"""),45238.9986111111)</f>
        <v/>
      </c>
      <c r="AL2145" s="6">
        <f>IFERROR(__xludf.DUMMYFUNCTION("""COMPUTED_VALUE"""),35639.24)</f>
        <v/>
      </c>
      <c r="AP2145" s="6">
        <f>AQ2145&amp;AR2145</f>
        <v/>
      </c>
      <c r="AQ2145" s="6">
        <f>YEAR(AS2145)</f>
        <v/>
      </c>
      <c r="AR2145" s="6">
        <f>MONTH(AS2145)</f>
        <v/>
      </c>
    </row>
    <row r="2146">
      <c r="B2146" s="6">
        <f>C2146&amp;D2146</f>
        <v/>
      </c>
      <c r="C2146" s="6">
        <f>YEAR(E2146)</f>
        <v/>
      </c>
      <c r="D2146" s="6">
        <f>MONTH(E2146)</f>
        <v/>
      </c>
      <c r="E2146" s="267">
        <f>IFERROR(__xludf.DUMMYFUNCTION("""COMPUTED_VALUE"""),46219.6666666666)</f>
        <v/>
      </c>
      <c r="F2146" s="6">
        <f>IFERROR(__xludf.DUMMYFUNCTION("""COMPUTED_VALUE"""),7533.77)</f>
        <v/>
      </c>
      <c r="J2146" s="6">
        <f>K2146&amp;L2146</f>
        <v/>
      </c>
      <c r="K2146" s="6">
        <f>YEAR(M2146)</f>
        <v/>
      </c>
      <c r="L2146" s="6">
        <f>MONTH(M2146)</f>
        <v/>
      </c>
      <c r="M2146" s="267">
        <f>IFERROR(__xludf.DUMMYFUNCTION("""COMPUTED_VALUE"""),46213.6666666666)</f>
        <v/>
      </c>
      <c r="N2146" s="6">
        <f>IFERROR(__xludf.DUMMYFUNCTION("""COMPUTED_VALUE"""),26281.61)</f>
        <v/>
      </c>
      <c r="R2146" s="6">
        <f>S2146&amp;T2146</f>
        <v/>
      </c>
      <c r="S2146" s="6">
        <f>YEAR(U2146)</f>
        <v/>
      </c>
      <c r="T2146" s="6">
        <f>MONTH(U2146)</f>
        <v/>
      </c>
      <c r="Z2146" s="6">
        <f>AA2146&amp;AB2146</f>
        <v/>
      </c>
      <c r="AA2146" s="6">
        <f>YEAR(AC2146)</f>
        <v/>
      </c>
      <c r="AB2146" s="6">
        <f>MONTH(AC2146)</f>
        <v/>
      </c>
      <c r="AC2146" s="267">
        <f>IFERROR(__xludf.DUMMYFUNCTION("""COMPUTED_VALUE"""),45297.9986111111)</f>
        <v/>
      </c>
      <c r="AD2146" s="6">
        <f>IFERROR(__xludf.DUMMYFUNCTION("""COMPUTED_VALUE"""),1313.13)</f>
        <v/>
      </c>
      <c r="AH2146" s="6">
        <f>AI2146&amp;AJ2146</f>
        <v/>
      </c>
      <c r="AI2146" s="6">
        <f>YEAR(AK2146)</f>
        <v/>
      </c>
      <c r="AJ2146" s="6">
        <f>MONTH(AK2146)</f>
        <v/>
      </c>
      <c r="AK2146" s="267">
        <f>IFERROR(__xludf.DUMMYFUNCTION("""COMPUTED_VALUE"""),45239.9986111111)</f>
        <v/>
      </c>
      <c r="AL2146" s="6">
        <f>IFERROR(__xludf.DUMMYFUNCTION("""COMPUTED_VALUE"""),36701.68)</f>
        <v/>
      </c>
      <c r="AP2146" s="6">
        <f>AQ2146&amp;AR2146</f>
        <v/>
      </c>
      <c r="AQ2146" s="6">
        <f>YEAR(AS2146)</f>
        <v/>
      </c>
      <c r="AR2146" s="6">
        <f>MONTH(AS2146)</f>
        <v/>
      </c>
    </row>
    <row r="2147">
      <c r="B2147" s="6">
        <f>C2147&amp;D2147</f>
        <v/>
      </c>
      <c r="C2147" s="6">
        <f>YEAR(E2147)</f>
        <v/>
      </c>
      <c r="D2147" s="6">
        <f>MONTH(E2147)</f>
        <v/>
      </c>
      <c r="E2147" s="267">
        <f>IFERROR(__xludf.DUMMYFUNCTION("""COMPUTED_VALUE"""),46220.6666666666)</f>
        <v/>
      </c>
      <c r="F2147" s="6">
        <f>IFERROR(__xludf.DUMMYFUNCTION("""COMPUTED_VALUE"""),7457.69)</f>
        <v/>
      </c>
      <c r="J2147" s="6">
        <f>K2147&amp;L2147</f>
        <v/>
      </c>
      <c r="K2147" s="6">
        <f>YEAR(M2147)</f>
        <v/>
      </c>
      <c r="L2147" s="6">
        <f>MONTH(M2147)</f>
        <v/>
      </c>
      <c r="M2147" s="267">
        <f>IFERROR(__xludf.DUMMYFUNCTION("""COMPUTED_VALUE"""),46216.6666666666)</f>
        <v/>
      </c>
      <c r="N2147" s="6">
        <f>IFERROR(__xludf.DUMMYFUNCTION("""COMPUTED_VALUE"""),25873.18)</f>
        <v/>
      </c>
      <c r="R2147" s="6">
        <f>S2147&amp;T2147</f>
        <v/>
      </c>
      <c r="S2147" s="6">
        <f>YEAR(U2147)</f>
        <v/>
      </c>
      <c r="T2147" s="6">
        <f>MONTH(U2147)</f>
        <v/>
      </c>
      <c r="Z2147" s="6">
        <f>AA2147&amp;AB2147</f>
        <v/>
      </c>
      <c r="AA2147" s="6">
        <f>YEAR(AC2147)</f>
        <v/>
      </c>
      <c r="AB2147" s="6">
        <f>MONTH(AC2147)</f>
        <v/>
      </c>
      <c r="AC2147" s="267">
        <f>IFERROR(__xludf.DUMMYFUNCTION("""COMPUTED_VALUE"""),45298.9986111111)</f>
        <v/>
      </c>
      <c r="AD2147" s="6">
        <f>IFERROR(__xludf.DUMMYFUNCTION("""COMPUTED_VALUE"""),1313.13)</f>
        <v/>
      </c>
      <c r="AH2147" s="6">
        <f>AI2147&amp;AJ2147</f>
        <v/>
      </c>
      <c r="AI2147" s="6">
        <f>YEAR(AK2147)</f>
        <v/>
      </c>
      <c r="AJ2147" s="6">
        <f>MONTH(AK2147)</f>
        <v/>
      </c>
      <c r="AK2147" s="267">
        <f>IFERROR(__xludf.DUMMYFUNCTION("""COMPUTED_VALUE"""),45240.9986111111)</f>
        <v/>
      </c>
      <c r="AL2147" s="6">
        <f>IFERROR(__xludf.DUMMYFUNCTION("""COMPUTED_VALUE"""),37328.04)</f>
        <v/>
      </c>
      <c r="AP2147" s="6">
        <f>AQ2147&amp;AR2147</f>
        <v/>
      </c>
      <c r="AQ2147" s="6">
        <f>YEAR(AS2147)</f>
        <v/>
      </c>
      <c r="AR2147" s="6">
        <f>MONTH(AS2147)</f>
        <v/>
      </c>
    </row>
    <row r="2148">
      <c r="B2148" s="6">
        <f>C2148&amp;D2148</f>
        <v/>
      </c>
      <c r="C2148" s="6">
        <f>YEAR(E2148)</f>
        <v/>
      </c>
      <c r="D2148" s="6">
        <f>MONTH(E2148)</f>
        <v/>
      </c>
      <c r="J2148" s="6">
        <f>K2148&amp;L2148</f>
        <v/>
      </c>
      <c r="K2148" s="6">
        <f>YEAR(M2148)</f>
        <v/>
      </c>
      <c r="L2148" s="6">
        <f>MONTH(M2148)</f>
        <v/>
      </c>
      <c r="M2148" s="267">
        <f>IFERROR(__xludf.DUMMYFUNCTION("""COMPUTED_VALUE"""),46217.6666666666)</f>
        <v/>
      </c>
      <c r="N2148" s="6">
        <f>IFERROR(__xludf.DUMMYFUNCTION("""COMPUTED_VALUE"""),26107.01)</f>
        <v/>
      </c>
      <c r="R2148" s="6">
        <f>S2148&amp;T2148</f>
        <v/>
      </c>
      <c r="S2148" s="6">
        <f>YEAR(U2148)</f>
        <v/>
      </c>
      <c r="T2148" s="6">
        <f>MONTH(U2148)</f>
        <v/>
      </c>
      <c r="Z2148" s="6">
        <f>AA2148&amp;AB2148</f>
        <v/>
      </c>
      <c r="AA2148" s="6">
        <f>YEAR(AC2148)</f>
        <v/>
      </c>
      <c r="AB2148" s="6">
        <f>MONTH(AC2148)</f>
        <v/>
      </c>
      <c r="AC2148" s="267">
        <f>IFERROR(__xludf.DUMMYFUNCTION("""COMPUTED_VALUE"""),45299.9986111111)</f>
        <v/>
      </c>
      <c r="AD2148" s="6">
        <f>IFERROR(__xludf.DUMMYFUNCTION("""COMPUTED_VALUE"""),1311.8)</f>
        <v/>
      </c>
      <c r="AH2148" s="6">
        <f>AI2148&amp;AJ2148</f>
        <v/>
      </c>
      <c r="AI2148" s="6">
        <f>YEAR(AK2148)</f>
        <v/>
      </c>
      <c r="AJ2148" s="6">
        <f>MONTH(AK2148)</f>
        <v/>
      </c>
      <c r="AK2148" s="267">
        <f>IFERROR(__xludf.DUMMYFUNCTION("""COMPUTED_VALUE"""),45241.9986111111)</f>
        <v/>
      </c>
      <c r="AL2148" s="6">
        <f>IFERROR(__xludf.DUMMYFUNCTION("""COMPUTED_VALUE"""),37149.43)</f>
        <v/>
      </c>
      <c r="AP2148" s="6">
        <f>AQ2148&amp;AR2148</f>
        <v/>
      </c>
      <c r="AQ2148" s="6">
        <f>YEAR(AS2148)</f>
        <v/>
      </c>
      <c r="AR2148" s="6">
        <f>MONTH(AS2148)</f>
        <v/>
      </c>
    </row>
    <row r="2149">
      <c r="B2149" s="6">
        <f>C2149&amp;D2149</f>
        <v/>
      </c>
      <c r="C2149" s="6">
        <f>YEAR(E2149)</f>
        <v/>
      </c>
      <c r="D2149" s="6">
        <f>MONTH(E2149)</f>
        <v/>
      </c>
      <c r="J2149" s="6">
        <f>K2149&amp;L2149</f>
        <v/>
      </c>
      <c r="K2149" s="6">
        <f>YEAR(M2149)</f>
        <v/>
      </c>
      <c r="L2149" s="6">
        <f>MONTH(M2149)</f>
        <v/>
      </c>
      <c r="M2149" s="267">
        <f>IFERROR(__xludf.DUMMYFUNCTION("""COMPUTED_VALUE"""),46218.6666666666)</f>
        <v/>
      </c>
      <c r="N2149" s="6">
        <f>IFERROR(__xludf.DUMMYFUNCTION("""COMPUTED_VALUE"""),26269.23)</f>
        <v/>
      </c>
      <c r="R2149" s="6">
        <f>S2149&amp;T2149</f>
        <v/>
      </c>
      <c r="S2149" s="6">
        <f>YEAR(U2149)</f>
        <v/>
      </c>
      <c r="T2149" s="6">
        <f>MONTH(U2149)</f>
        <v/>
      </c>
      <c r="Z2149" s="6">
        <f>AA2149&amp;AB2149</f>
        <v/>
      </c>
      <c r="AA2149" s="6">
        <f>YEAR(AC2149)</f>
        <v/>
      </c>
      <c r="AB2149" s="6">
        <f>MONTH(AC2149)</f>
        <v/>
      </c>
      <c r="AC2149" s="267">
        <f>IFERROR(__xludf.DUMMYFUNCTION("""COMPUTED_VALUE"""),45300.9986111111)</f>
        <v/>
      </c>
      <c r="AD2149" s="6">
        <f>IFERROR(__xludf.DUMMYFUNCTION("""COMPUTED_VALUE"""),1319.79)</f>
        <v/>
      </c>
      <c r="AH2149" s="6">
        <f>AI2149&amp;AJ2149</f>
        <v/>
      </c>
      <c r="AI2149" s="6">
        <f>YEAR(AK2149)</f>
        <v/>
      </c>
      <c r="AJ2149" s="6">
        <f>MONTH(AK2149)</f>
        <v/>
      </c>
      <c r="AK2149" s="267">
        <f>IFERROR(__xludf.DUMMYFUNCTION("""COMPUTED_VALUE"""),45242.9986111111)</f>
        <v/>
      </c>
      <c r="AL2149" s="6">
        <f>IFERROR(__xludf.DUMMYFUNCTION("""COMPUTED_VALUE"""),37084.73)</f>
        <v/>
      </c>
      <c r="AP2149" s="6">
        <f>AQ2149&amp;AR2149</f>
        <v/>
      </c>
      <c r="AQ2149" s="6">
        <f>YEAR(AS2149)</f>
        <v/>
      </c>
      <c r="AR2149" s="6">
        <f>MONTH(AS2149)</f>
        <v/>
      </c>
    </row>
    <row r="2150">
      <c r="B2150" s="6">
        <f>C2150&amp;D2150</f>
        <v/>
      </c>
      <c r="C2150" s="6">
        <f>YEAR(E2150)</f>
        <v/>
      </c>
      <c r="D2150" s="6">
        <f>MONTH(E2150)</f>
        <v/>
      </c>
      <c r="J2150" s="6">
        <f>K2150&amp;L2150</f>
        <v/>
      </c>
      <c r="K2150" s="6">
        <f>YEAR(M2150)</f>
        <v/>
      </c>
      <c r="L2150" s="6">
        <f>MONTH(M2150)</f>
        <v/>
      </c>
      <c r="M2150" s="267">
        <f>IFERROR(__xludf.DUMMYFUNCTION("""COMPUTED_VALUE"""),46219.6666666666)</f>
        <v/>
      </c>
      <c r="N2150" s="6">
        <f>IFERROR(__xludf.DUMMYFUNCTION("""COMPUTED_VALUE"""),25881.95)</f>
        <v/>
      </c>
      <c r="R2150" s="6">
        <f>S2150&amp;T2150</f>
        <v/>
      </c>
      <c r="S2150" s="6">
        <f>YEAR(U2150)</f>
        <v/>
      </c>
      <c r="T2150" s="6">
        <f>MONTH(U2150)</f>
        <v/>
      </c>
      <c r="Z2150" s="6">
        <f>AA2150&amp;AB2150</f>
        <v/>
      </c>
      <c r="AA2150" s="6">
        <f>YEAR(AC2150)</f>
        <v/>
      </c>
      <c r="AB2150" s="6">
        <f>MONTH(AC2150)</f>
        <v/>
      </c>
      <c r="AC2150" s="267">
        <f>IFERROR(__xludf.DUMMYFUNCTION("""COMPUTED_VALUE"""),45301.9986111111)</f>
        <v/>
      </c>
      <c r="AD2150" s="6">
        <f>IFERROR(__xludf.DUMMYFUNCTION("""COMPUTED_VALUE"""),1317.5)</f>
        <v/>
      </c>
      <c r="AH2150" s="6">
        <f>AI2150&amp;AJ2150</f>
        <v/>
      </c>
      <c r="AI2150" s="6">
        <f>YEAR(AK2150)</f>
        <v/>
      </c>
      <c r="AJ2150" s="6">
        <f>MONTH(AK2150)</f>
        <v/>
      </c>
      <c r="AK2150" s="267">
        <f>IFERROR(__xludf.DUMMYFUNCTION("""COMPUTED_VALUE"""),45243.9986111111)</f>
        <v/>
      </c>
      <c r="AL2150" s="6">
        <f>IFERROR(__xludf.DUMMYFUNCTION("""COMPUTED_VALUE"""),36484.45)</f>
        <v/>
      </c>
      <c r="AP2150" s="6">
        <f>AQ2150&amp;AR2150</f>
        <v/>
      </c>
      <c r="AQ2150" s="6">
        <f>YEAR(AS2150)</f>
        <v/>
      </c>
      <c r="AR2150" s="6">
        <f>MONTH(AS2150)</f>
        <v/>
      </c>
    </row>
    <row r="2151">
      <c r="B2151" s="6">
        <f>C2151&amp;D2151</f>
        <v/>
      </c>
      <c r="C2151" s="6">
        <f>YEAR(E2151)</f>
        <v/>
      </c>
      <c r="D2151" s="6">
        <f>MONTH(E2151)</f>
        <v/>
      </c>
      <c r="J2151" s="6">
        <f>K2151&amp;L2151</f>
        <v/>
      </c>
      <c r="K2151" s="6">
        <f>YEAR(M2151)</f>
        <v/>
      </c>
      <c r="L2151" s="6">
        <f>MONTH(M2151)</f>
        <v/>
      </c>
      <c r="M2151" s="267">
        <f>IFERROR(__xludf.DUMMYFUNCTION("""COMPUTED_VALUE"""),46220.6666666666)</f>
        <v/>
      </c>
      <c r="N2151" s="6">
        <f>IFERROR(__xludf.DUMMYFUNCTION("""COMPUTED_VALUE"""),25520.24)</f>
        <v/>
      </c>
      <c r="R2151" s="6">
        <f>S2151&amp;T2151</f>
        <v/>
      </c>
      <c r="S2151" s="6">
        <f>YEAR(U2151)</f>
        <v/>
      </c>
      <c r="T2151" s="6">
        <f>MONTH(U2151)</f>
        <v/>
      </c>
      <c r="Z2151" s="6">
        <f>AA2151&amp;AB2151</f>
        <v/>
      </c>
      <c r="AA2151" s="6">
        <f>YEAR(AC2151)</f>
        <v/>
      </c>
      <c r="AB2151" s="6">
        <f>MONTH(AC2151)</f>
        <v/>
      </c>
      <c r="AC2151" s="267">
        <f>IFERROR(__xludf.DUMMYFUNCTION("""COMPUTED_VALUE"""),45302.9986111111)</f>
        <v/>
      </c>
      <c r="AD2151" s="6">
        <f>IFERROR(__xludf.DUMMYFUNCTION("""COMPUTED_VALUE"""),1311.99)</f>
        <v/>
      </c>
      <c r="AH2151" s="6">
        <f>AI2151&amp;AJ2151</f>
        <v/>
      </c>
      <c r="AI2151" s="6">
        <f>YEAR(AK2151)</f>
        <v/>
      </c>
      <c r="AJ2151" s="6">
        <f>MONTH(AK2151)</f>
        <v/>
      </c>
      <c r="AK2151" s="267">
        <f>IFERROR(__xludf.DUMMYFUNCTION("""COMPUTED_VALUE"""),45244.9986111111)</f>
        <v/>
      </c>
      <c r="AL2151" s="6">
        <f>IFERROR(__xludf.DUMMYFUNCTION("""COMPUTED_VALUE"""),35556.38)</f>
        <v/>
      </c>
      <c r="AP2151" s="6">
        <f>AQ2151&amp;AR2151</f>
        <v/>
      </c>
      <c r="AQ2151" s="6">
        <f>YEAR(AS2151)</f>
        <v/>
      </c>
      <c r="AR2151" s="6">
        <f>MONTH(AS2151)</f>
        <v/>
      </c>
    </row>
    <row r="2152">
      <c r="B2152" s="6">
        <f>C2152&amp;D2152</f>
        <v/>
      </c>
      <c r="C2152" s="6">
        <f>YEAR(E2152)</f>
        <v/>
      </c>
      <c r="D2152" s="6">
        <f>MONTH(E2152)</f>
        <v/>
      </c>
      <c r="J2152" s="6">
        <f>K2152&amp;L2152</f>
        <v/>
      </c>
      <c r="K2152" s="6">
        <f>YEAR(M2152)</f>
        <v/>
      </c>
      <c r="L2152" s="6">
        <f>MONTH(M2152)</f>
        <v/>
      </c>
      <c r="R2152" s="6">
        <f>S2152&amp;T2152</f>
        <v/>
      </c>
      <c r="S2152" s="6">
        <f>YEAR(U2152)</f>
        <v/>
      </c>
      <c r="T2152" s="6">
        <f>MONTH(U2152)</f>
        <v/>
      </c>
      <c r="Z2152" s="6">
        <f>AA2152&amp;AB2152</f>
        <v/>
      </c>
      <c r="AA2152" s="6">
        <f>YEAR(AC2152)</f>
        <v/>
      </c>
      <c r="AB2152" s="6">
        <f>MONTH(AC2152)</f>
        <v/>
      </c>
      <c r="AC2152" s="267">
        <f>IFERROR(__xludf.DUMMYFUNCTION("""COMPUTED_VALUE"""),45303.9986111111)</f>
        <v/>
      </c>
      <c r="AD2152" s="6">
        <f>IFERROR(__xludf.DUMMYFUNCTION("""COMPUTED_VALUE"""),1312.85)</f>
        <v/>
      </c>
      <c r="AH2152" s="6">
        <f>AI2152&amp;AJ2152</f>
        <v/>
      </c>
      <c r="AI2152" s="6">
        <f>YEAR(AK2152)</f>
        <v/>
      </c>
      <c r="AJ2152" s="6">
        <f>MONTH(AK2152)</f>
        <v/>
      </c>
      <c r="AK2152" s="267">
        <f>IFERROR(__xludf.DUMMYFUNCTION("""COMPUTED_VALUE"""),45245.9986111111)</f>
        <v/>
      </c>
      <c r="AL2152" s="6">
        <f>IFERROR(__xludf.DUMMYFUNCTION("""COMPUTED_VALUE"""),37884.48)</f>
        <v/>
      </c>
      <c r="AP2152" s="6">
        <f>AQ2152&amp;AR2152</f>
        <v/>
      </c>
      <c r="AQ2152" s="6">
        <f>YEAR(AS2152)</f>
        <v/>
      </c>
      <c r="AR2152" s="6">
        <f>MONTH(AS2152)</f>
        <v/>
      </c>
    </row>
    <row r="2153">
      <c r="B2153" s="6">
        <f>C2153&amp;D2153</f>
        <v/>
      </c>
      <c r="C2153" s="6">
        <f>YEAR(E2153)</f>
        <v/>
      </c>
      <c r="D2153" s="6">
        <f>MONTH(E2153)</f>
        <v/>
      </c>
      <c r="J2153" s="6">
        <f>K2153&amp;L2153</f>
        <v/>
      </c>
      <c r="K2153" s="6">
        <f>YEAR(M2153)</f>
        <v/>
      </c>
      <c r="L2153" s="6">
        <f>MONTH(M2153)</f>
        <v/>
      </c>
      <c r="R2153" s="6">
        <f>S2153&amp;T2153</f>
        <v/>
      </c>
      <c r="S2153" s="6">
        <f>YEAR(U2153)</f>
        <v/>
      </c>
      <c r="T2153" s="6">
        <f>MONTH(U2153)</f>
        <v/>
      </c>
      <c r="Z2153" s="6">
        <f>AA2153&amp;AB2153</f>
        <v/>
      </c>
      <c r="AA2153" s="6">
        <f>YEAR(AC2153)</f>
        <v/>
      </c>
      <c r="AB2153" s="6">
        <f>MONTH(AC2153)</f>
        <v/>
      </c>
      <c r="AC2153" s="267">
        <f>IFERROR(__xludf.DUMMYFUNCTION("""COMPUTED_VALUE"""),45304.9986111111)</f>
        <v/>
      </c>
      <c r="AD2153" s="6">
        <f>IFERROR(__xludf.DUMMYFUNCTION("""COMPUTED_VALUE"""),1312.85)</f>
        <v/>
      </c>
      <c r="AH2153" s="6">
        <f>AI2153&amp;AJ2153</f>
        <v/>
      </c>
      <c r="AI2153" s="6">
        <f>YEAR(AK2153)</f>
        <v/>
      </c>
      <c r="AJ2153" s="6">
        <f>MONTH(AK2153)</f>
        <v/>
      </c>
      <c r="AK2153" s="267">
        <f>IFERROR(__xludf.DUMMYFUNCTION("""COMPUTED_VALUE"""),45246.9986111111)</f>
        <v/>
      </c>
      <c r="AL2153" s="6">
        <f>IFERROR(__xludf.DUMMYFUNCTION("""COMPUTED_VALUE"""),36171.1)</f>
        <v/>
      </c>
      <c r="AP2153" s="6">
        <f>AQ2153&amp;AR2153</f>
        <v/>
      </c>
      <c r="AQ2153" s="6">
        <f>YEAR(AS2153)</f>
        <v/>
      </c>
      <c r="AR2153" s="6">
        <f>MONTH(AS2153)</f>
        <v/>
      </c>
    </row>
    <row r="2154">
      <c r="B2154" s="6">
        <f>C2154&amp;D2154</f>
        <v/>
      </c>
      <c r="C2154" s="6">
        <f>YEAR(E2154)</f>
        <v/>
      </c>
      <c r="D2154" s="6">
        <f>MONTH(E2154)</f>
        <v/>
      </c>
      <c r="J2154" s="6">
        <f>K2154&amp;L2154</f>
        <v/>
      </c>
      <c r="K2154" s="6">
        <f>YEAR(M2154)</f>
        <v/>
      </c>
      <c r="L2154" s="6">
        <f>MONTH(M2154)</f>
        <v/>
      </c>
      <c r="R2154" s="6">
        <f>S2154&amp;T2154</f>
        <v/>
      </c>
      <c r="S2154" s="6">
        <f>YEAR(U2154)</f>
        <v/>
      </c>
      <c r="T2154" s="6">
        <f>MONTH(U2154)</f>
        <v/>
      </c>
      <c r="Z2154" s="6">
        <f>AA2154&amp;AB2154</f>
        <v/>
      </c>
      <c r="AA2154" s="6">
        <f>YEAR(AC2154)</f>
        <v/>
      </c>
      <c r="AB2154" s="6">
        <f>MONTH(AC2154)</f>
        <v/>
      </c>
      <c r="AC2154" s="267">
        <f>IFERROR(__xludf.DUMMYFUNCTION("""COMPUTED_VALUE"""),45305.9986111111)</f>
        <v/>
      </c>
      <c r="AD2154" s="6">
        <f>IFERROR(__xludf.DUMMYFUNCTION("""COMPUTED_VALUE"""),1312.85)</f>
        <v/>
      </c>
      <c r="AH2154" s="6">
        <f>AI2154&amp;AJ2154</f>
        <v/>
      </c>
      <c r="AI2154" s="6">
        <f>YEAR(AK2154)</f>
        <v/>
      </c>
      <c r="AJ2154" s="6">
        <f>MONTH(AK2154)</f>
        <v/>
      </c>
      <c r="AK2154" s="267">
        <f>IFERROR(__xludf.DUMMYFUNCTION("""COMPUTED_VALUE"""),45247.9986111111)</f>
        <v/>
      </c>
      <c r="AL2154" s="6">
        <f>IFERROR(__xludf.DUMMYFUNCTION("""COMPUTED_VALUE"""),36626.71)</f>
        <v/>
      </c>
      <c r="AP2154" s="6">
        <f>AQ2154&amp;AR2154</f>
        <v/>
      </c>
      <c r="AQ2154" s="6">
        <f>YEAR(AS2154)</f>
        <v/>
      </c>
      <c r="AR2154" s="6">
        <f>MONTH(AS2154)</f>
        <v/>
      </c>
    </row>
    <row r="2155">
      <c r="B2155" s="6">
        <f>C2155&amp;D2155</f>
        <v/>
      </c>
      <c r="C2155" s="6">
        <f>YEAR(E2155)</f>
        <v/>
      </c>
      <c r="D2155" s="6">
        <f>MONTH(E2155)</f>
        <v/>
      </c>
      <c r="J2155" s="6">
        <f>K2155&amp;L2155</f>
        <v/>
      </c>
      <c r="K2155" s="6">
        <f>YEAR(M2155)</f>
        <v/>
      </c>
      <c r="L2155" s="6">
        <f>MONTH(M2155)</f>
        <v/>
      </c>
      <c r="R2155" s="6">
        <f>S2155&amp;T2155</f>
        <v/>
      </c>
      <c r="S2155" s="6">
        <f>YEAR(U2155)</f>
        <v/>
      </c>
      <c r="T2155" s="6">
        <f>MONTH(U2155)</f>
        <v/>
      </c>
      <c r="Z2155" s="6">
        <f>AA2155&amp;AB2155</f>
        <v/>
      </c>
      <c r="AA2155" s="6">
        <f>YEAR(AC2155)</f>
        <v/>
      </c>
      <c r="AB2155" s="6">
        <f>MONTH(AC2155)</f>
        <v/>
      </c>
      <c r="AC2155" s="267">
        <f>IFERROR(__xludf.DUMMYFUNCTION("""COMPUTED_VALUE"""),45306.9986111111)</f>
        <v/>
      </c>
      <c r="AD2155" s="6">
        <f>IFERROR(__xludf.DUMMYFUNCTION("""COMPUTED_VALUE"""),1319.71)</f>
        <v/>
      </c>
      <c r="AH2155" s="6">
        <f>AI2155&amp;AJ2155</f>
        <v/>
      </c>
      <c r="AI2155" s="6">
        <f>YEAR(AK2155)</f>
        <v/>
      </c>
      <c r="AJ2155" s="6">
        <f>MONTH(AK2155)</f>
        <v/>
      </c>
      <c r="AK2155" s="267">
        <f>IFERROR(__xludf.DUMMYFUNCTION("""COMPUTED_VALUE"""),45248.9986111111)</f>
        <v/>
      </c>
      <c r="AL2155" s="6">
        <f>IFERROR(__xludf.DUMMYFUNCTION("""COMPUTED_VALUE"""),36587.7)</f>
        <v/>
      </c>
      <c r="AP2155" s="6">
        <f>AQ2155&amp;AR2155</f>
        <v/>
      </c>
      <c r="AQ2155" s="6">
        <f>YEAR(AS2155)</f>
        <v/>
      </c>
      <c r="AR2155" s="6">
        <f>MONTH(AS2155)</f>
        <v/>
      </c>
    </row>
    <row r="2156">
      <c r="B2156" s="6">
        <f>C2156&amp;D2156</f>
        <v/>
      </c>
      <c r="C2156" s="6">
        <f>YEAR(E2156)</f>
        <v/>
      </c>
      <c r="D2156" s="6">
        <f>MONTH(E2156)</f>
        <v/>
      </c>
      <c r="J2156" s="6">
        <f>K2156&amp;L2156</f>
        <v/>
      </c>
      <c r="K2156" s="6">
        <f>YEAR(M2156)</f>
        <v/>
      </c>
      <c r="L2156" s="6">
        <f>MONTH(M2156)</f>
        <v/>
      </c>
      <c r="R2156" s="6">
        <f>S2156&amp;T2156</f>
        <v/>
      </c>
      <c r="S2156" s="6">
        <f>YEAR(U2156)</f>
        <v/>
      </c>
      <c r="T2156" s="6">
        <f>MONTH(U2156)</f>
        <v/>
      </c>
      <c r="Z2156" s="6">
        <f>AA2156&amp;AB2156</f>
        <v/>
      </c>
      <c r="AA2156" s="6">
        <f>YEAR(AC2156)</f>
        <v/>
      </c>
      <c r="AB2156" s="6">
        <f>MONTH(AC2156)</f>
        <v/>
      </c>
      <c r="AC2156" s="267">
        <f>IFERROR(__xludf.DUMMYFUNCTION("""COMPUTED_VALUE"""),45307.9986111111)</f>
        <v/>
      </c>
      <c r="AD2156" s="6">
        <f>IFERROR(__xludf.DUMMYFUNCTION("""COMPUTED_VALUE"""),1337.79)</f>
        <v/>
      </c>
      <c r="AH2156" s="6">
        <f>AI2156&amp;AJ2156</f>
        <v/>
      </c>
      <c r="AI2156" s="6">
        <f>YEAR(AK2156)</f>
        <v/>
      </c>
      <c r="AJ2156" s="6">
        <f>MONTH(AK2156)</f>
        <v/>
      </c>
      <c r="AK2156" s="267">
        <f>IFERROR(__xludf.DUMMYFUNCTION("""COMPUTED_VALUE"""),45249.9986111111)</f>
        <v/>
      </c>
      <c r="AL2156" s="6">
        <f>IFERROR(__xludf.DUMMYFUNCTION("""COMPUTED_VALUE"""),37399.95)</f>
        <v/>
      </c>
      <c r="AP2156" s="6">
        <f>AQ2156&amp;AR2156</f>
        <v/>
      </c>
      <c r="AQ2156" s="6">
        <f>YEAR(AS2156)</f>
        <v/>
      </c>
      <c r="AR2156" s="6">
        <f>MONTH(AS2156)</f>
        <v/>
      </c>
    </row>
    <row r="2157">
      <c r="B2157" s="6">
        <f>C2157&amp;D2157</f>
        <v/>
      </c>
      <c r="C2157" s="6">
        <f>YEAR(E2157)</f>
        <v/>
      </c>
      <c r="D2157" s="6">
        <f>MONTH(E2157)</f>
        <v/>
      </c>
      <c r="J2157" s="6">
        <f>K2157&amp;L2157</f>
        <v/>
      </c>
      <c r="K2157" s="6">
        <f>YEAR(M2157)</f>
        <v/>
      </c>
      <c r="L2157" s="6">
        <f>MONTH(M2157)</f>
        <v/>
      </c>
      <c r="R2157" s="6">
        <f>S2157&amp;T2157</f>
        <v/>
      </c>
      <c r="S2157" s="6">
        <f>YEAR(U2157)</f>
        <v/>
      </c>
      <c r="T2157" s="6">
        <f>MONTH(U2157)</f>
        <v/>
      </c>
      <c r="Z2157" s="6">
        <f>AA2157&amp;AB2157</f>
        <v/>
      </c>
      <c r="AA2157" s="6">
        <f>YEAR(AC2157)</f>
        <v/>
      </c>
      <c r="AB2157" s="6">
        <f>MONTH(AC2157)</f>
        <v/>
      </c>
      <c r="AC2157" s="267">
        <f>IFERROR(__xludf.DUMMYFUNCTION("""COMPUTED_VALUE"""),45308.9986111111)</f>
        <v/>
      </c>
      <c r="AD2157" s="6">
        <f>IFERROR(__xludf.DUMMYFUNCTION("""COMPUTED_VALUE"""),1344.05)</f>
        <v/>
      </c>
      <c r="AH2157" s="6">
        <f>AI2157&amp;AJ2157</f>
        <v/>
      </c>
      <c r="AI2157" s="6">
        <f>YEAR(AK2157)</f>
        <v/>
      </c>
      <c r="AJ2157" s="6">
        <f>MONTH(AK2157)</f>
        <v/>
      </c>
      <c r="AK2157" s="267">
        <f>IFERROR(__xludf.DUMMYFUNCTION("""COMPUTED_VALUE"""),45250.9986111111)</f>
        <v/>
      </c>
      <c r="AL2157" s="6">
        <f>IFERROR(__xludf.DUMMYFUNCTION("""COMPUTED_VALUE"""),37475.5)</f>
        <v/>
      </c>
      <c r="AP2157" s="6">
        <f>AQ2157&amp;AR2157</f>
        <v/>
      </c>
      <c r="AQ2157" s="6">
        <f>YEAR(AS2157)</f>
        <v/>
      </c>
      <c r="AR2157" s="6">
        <f>MONTH(AS2157)</f>
        <v/>
      </c>
    </row>
    <row r="2158">
      <c r="B2158" s="6">
        <f>C2158&amp;D2158</f>
        <v/>
      </c>
      <c r="C2158" s="6">
        <f>YEAR(E2158)</f>
        <v/>
      </c>
      <c r="D2158" s="6">
        <f>MONTH(E2158)</f>
        <v/>
      </c>
      <c r="J2158" s="6">
        <f>K2158&amp;L2158</f>
        <v/>
      </c>
      <c r="K2158" s="6">
        <f>YEAR(M2158)</f>
        <v/>
      </c>
      <c r="L2158" s="6">
        <f>MONTH(M2158)</f>
        <v/>
      </c>
      <c r="R2158" s="6">
        <f>S2158&amp;T2158</f>
        <v/>
      </c>
      <c r="S2158" s="6">
        <f>YEAR(U2158)</f>
        <v/>
      </c>
      <c r="T2158" s="6">
        <f>MONTH(U2158)</f>
        <v/>
      </c>
      <c r="Z2158" s="6">
        <f>AA2158&amp;AB2158</f>
        <v/>
      </c>
      <c r="AA2158" s="6">
        <f>YEAR(AC2158)</f>
        <v/>
      </c>
      <c r="AB2158" s="6">
        <f>MONTH(AC2158)</f>
        <v/>
      </c>
      <c r="AC2158" s="267">
        <f>IFERROR(__xludf.DUMMYFUNCTION("""COMPUTED_VALUE"""),45309.9986111111)</f>
        <v/>
      </c>
      <c r="AD2158" s="6">
        <f>IFERROR(__xludf.DUMMYFUNCTION("""COMPUTED_VALUE"""),1337.66)</f>
        <v/>
      </c>
      <c r="AH2158" s="6">
        <f>AI2158&amp;AJ2158</f>
        <v/>
      </c>
      <c r="AI2158" s="6">
        <f>YEAR(AK2158)</f>
        <v/>
      </c>
      <c r="AJ2158" s="6">
        <f>MONTH(AK2158)</f>
        <v/>
      </c>
      <c r="AK2158" s="267">
        <f>IFERROR(__xludf.DUMMYFUNCTION("""COMPUTED_VALUE"""),45251.9986111111)</f>
        <v/>
      </c>
      <c r="AL2158" s="6">
        <f>IFERROR(__xludf.DUMMYFUNCTION("""COMPUTED_VALUE"""),35790.33)</f>
        <v/>
      </c>
      <c r="AP2158" s="6">
        <f>AQ2158&amp;AR2158</f>
        <v/>
      </c>
      <c r="AQ2158" s="6">
        <f>YEAR(AS2158)</f>
        <v/>
      </c>
      <c r="AR2158" s="6">
        <f>MONTH(AS2158)</f>
        <v/>
      </c>
    </row>
    <row r="2159">
      <c r="B2159" s="6">
        <f>C2159&amp;D2159</f>
        <v/>
      </c>
      <c r="C2159" s="6">
        <f>YEAR(E2159)</f>
        <v/>
      </c>
      <c r="D2159" s="6">
        <f>MONTH(E2159)</f>
        <v/>
      </c>
      <c r="J2159" s="6">
        <f>K2159&amp;L2159</f>
        <v/>
      </c>
      <c r="K2159" s="6">
        <f>YEAR(M2159)</f>
        <v/>
      </c>
      <c r="L2159" s="6">
        <f>MONTH(M2159)</f>
        <v/>
      </c>
      <c r="R2159" s="6">
        <f>S2159&amp;T2159</f>
        <v/>
      </c>
      <c r="S2159" s="6">
        <f>YEAR(U2159)</f>
        <v/>
      </c>
      <c r="T2159" s="6">
        <f>MONTH(U2159)</f>
        <v/>
      </c>
      <c r="Z2159" s="6">
        <f>AA2159&amp;AB2159</f>
        <v/>
      </c>
      <c r="AA2159" s="6">
        <f>YEAR(AC2159)</f>
        <v/>
      </c>
      <c r="AB2159" s="6">
        <f>MONTH(AC2159)</f>
        <v/>
      </c>
      <c r="AC2159" s="267">
        <f>IFERROR(__xludf.DUMMYFUNCTION("""COMPUTED_VALUE"""),45310.9986111111)</f>
        <v/>
      </c>
      <c r="AD2159" s="6">
        <f>IFERROR(__xludf.DUMMYFUNCTION("""COMPUTED_VALUE"""),1333.21)</f>
        <v/>
      </c>
      <c r="AH2159" s="6">
        <f>AI2159&amp;AJ2159</f>
        <v/>
      </c>
      <c r="AI2159" s="6">
        <f>YEAR(AK2159)</f>
        <v/>
      </c>
      <c r="AJ2159" s="6">
        <f>MONTH(AK2159)</f>
        <v/>
      </c>
      <c r="AK2159" s="267">
        <f>IFERROR(__xludf.DUMMYFUNCTION("""COMPUTED_VALUE"""),45252.9986111111)</f>
        <v/>
      </c>
      <c r="AL2159" s="6">
        <f>IFERROR(__xludf.DUMMYFUNCTION("""COMPUTED_VALUE"""),37422.05)</f>
        <v/>
      </c>
      <c r="AP2159" s="6">
        <f>AQ2159&amp;AR2159</f>
        <v/>
      </c>
      <c r="AQ2159" s="6">
        <f>YEAR(AS2159)</f>
        <v/>
      </c>
      <c r="AR2159" s="6">
        <f>MONTH(AS2159)</f>
        <v/>
      </c>
    </row>
    <row r="2160">
      <c r="B2160" s="6">
        <f>C2160&amp;D2160</f>
        <v/>
      </c>
      <c r="C2160" s="6">
        <f>YEAR(E2160)</f>
        <v/>
      </c>
      <c r="D2160" s="6">
        <f>MONTH(E2160)</f>
        <v/>
      </c>
      <c r="J2160" s="6">
        <f>K2160&amp;L2160</f>
        <v/>
      </c>
      <c r="K2160" s="6">
        <f>YEAR(M2160)</f>
        <v/>
      </c>
      <c r="L2160" s="6">
        <f>MONTH(M2160)</f>
        <v/>
      </c>
      <c r="R2160" s="6">
        <f>S2160&amp;T2160</f>
        <v/>
      </c>
      <c r="S2160" s="6">
        <f>YEAR(U2160)</f>
        <v/>
      </c>
      <c r="T2160" s="6">
        <f>MONTH(U2160)</f>
        <v/>
      </c>
      <c r="Z2160" s="6">
        <f>AA2160&amp;AB2160</f>
        <v/>
      </c>
      <c r="AA2160" s="6">
        <f>YEAR(AC2160)</f>
        <v/>
      </c>
      <c r="AB2160" s="6">
        <f>MONTH(AC2160)</f>
        <v/>
      </c>
      <c r="AC2160" s="267">
        <f>IFERROR(__xludf.DUMMYFUNCTION("""COMPUTED_VALUE"""),45311.9986111111)</f>
        <v/>
      </c>
      <c r="AD2160" s="6">
        <f>IFERROR(__xludf.DUMMYFUNCTION("""COMPUTED_VALUE"""),1333.21)</f>
        <v/>
      </c>
      <c r="AH2160" s="6">
        <f>AI2160&amp;AJ2160</f>
        <v/>
      </c>
      <c r="AI2160" s="6">
        <f>YEAR(AK2160)</f>
        <v/>
      </c>
      <c r="AJ2160" s="6">
        <f>MONTH(AK2160)</f>
        <v/>
      </c>
      <c r="AK2160" s="267">
        <f>IFERROR(__xludf.DUMMYFUNCTION("""COMPUTED_VALUE"""),45253.9986111111)</f>
        <v/>
      </c>
      <c r="AL2160" s="6">
        <f>IFERROR(__xludf.DUMMYFUNCTION("""COMPUTED_VALUE"""),37304.17)</f>
        <v/>
      </c>
      <c r="AP2160" s="6">
        <f>AQ2160&amp;AR2160</f>
        <v/>
      </c>
      <c r="AQ2160" s="6">
        <f>YEAR(AS2160)</f>
        <v/>
      </c>
      <c r="AR2160" s="6">
        <f>MONTH(AS2160)</f>
        <v/>
      </c>
    </row>
    <row r="2161">
      <c r="B2161" s="6">
        <f>C2161&amp;D2161</f>
        <v/>
      </c>
      <c r="C2161" s="6">
        <f>YEAR(E2161)</f>
        <v/>
      </c>
      <c r="D2161" s="6">
        <f>MONTH(E2161)</f>
        <v/>
      </c>
      <c r="J2161" s="6">
        <f>K2161&amp;L2161</f>
        <v/>
      </c>
      <c r="K2161" s="6">
        <f>YEAR(M2161)</f>
        <v/>
      </c>
      <c r="L2161" s="6">
        <f>MONTH(M2161)</f>
        <v/>
      </c>
      <c r="R2161" s="6">
        <f>S2161&amp;T2161</f>
        <v/>
      </c>
      <c r="S2161" s="6">
        <f>YEAR(U2161)</f>
        <v/>
      </c>
      <c r="T2161" s="6">
        <f>MONTH(U2161)</f>
        <v/>
      </c>
      <c r="Z2161" s="6">
        <f>AA2161&amp;AB2161</f>
        <v/>
      </c>
      <c r="AA2161" s="6">
        <f>YEAR(AC2161)</f>
        <v/>
      </c>
      <c r="AB2161" s="6">
        <f>MONTH(AC2161)</f>
        <v/>
      </c>
      <c r="AC2161" s="267">
        <f>IFERROR(__xludf.DUMMYFUNCTION("""COMPUTED_VALUE"""),45312.9986111111)</f>
        <v/>
      </c>
      <c r="AD2161" s="6">
        <f>IFERROR(__xludf.DUMMYFUNCTION("""COMPUTED_VALUE"""),1333.21)</f>
        <v/>
      </c>
      <c r="AH2161" s="6">
        <f>AI2161&amp;AJ2161</f>
        <v/>
      </c>
      <c r="AI2161" s="6">
        <f>YEAR(AK2161)</f>
        <v/>
      </c>
      <c r="AJ2161" s="6">
        <f>MONTH(AK2161)</f>
        <v/>
      </c>
      <c r="AK2161" s="267">
        <f>IFERROR(__xludf.DUMMYFUNCTION("""COMPUTED_VALUE"""),45254.9986111111)</f>
        <v/>
      </c>
      <c r="AL2161" s="6">
        <f>IFERROR(__xludf.DUMMYFUNCTION("""COMPUTED_VALUE"""),37736.24)</f>
        <v/>
      </c>
      <c r="AP2161" s="6">
        <f>AQ2161&amp;AR2161</f>
        <v/>
      </c>
      <c r="AQ2161" s="6">
        <f>YEAR(AS2161)</f>
        <v/>
      </c>
      <c r="AR2161" s="6">
        <f>MONTH(AS2161)</f>
        <v/>
      </c>
    </row>
    <row r="2162">
      <c r="B2162" s="6">
        <f>C2162&amp;D2162</f>
        <v/>
      </c>
      <c r="C2162" s="6">
        <f>YEAR(E2162)</f>
        <v/>
      </c>
      <c r="D2162" s="6">
        <f>MONTH(E2162)</f>
        <v/>
      </c>
      <c r="J2162" s="6">
        <f>K2162&amp;L2162</f>
        <v/>
      </c>
      <c r="K2162" s="6">
        <f>YEAR(M2162)</f>
        <v/>
      </c>
      <c r="L2162" s="6">
        <f>MONTH(M2162)</f>
        <v/>
      </c>
      <c r="R2162" s="6">
        <f>S2162&amp;T2162</f>
        <v/>
      </c>
      <c r="S2162" s="6">
        <f>YEAR(U2162)</f>
        <v/>
      </c>
      <c r="T2162" s="6">
        <f>MONTH(U2162)</f>
        <v/>
      </c>
      <c r="Z2162" s="6">
        <f>AA2162&amp;AB2162</f>
        <v/>
      </c>
      <c r="AA2162" s="6">
        <f>YEAR(AC2162)</f>
        <v/>
      </c>
      <c r="AB2162" s="6">
        <f>MONTH(AC2162)</f>
        <v/>
      </c>
      <c r="AC2162" s="267">
        <f>IFERROR(__xludf.DUMMYFUNCTION("""COMPUTED_VALUE"""),45313.9986111111)</f>
        <v/>
      </c>
      <c r="AD2162" s="6">
        <f>IFERROR(__xludf.DUMMYFUNCTION("""COMPUTED_VALUE"""),1338.74)</f>
        <v/>
      </c>
      <c r="AH2162" s="6">
        <f>AI2162&amp;AJ2162</f>
        <v/>
      </c>
      <c r="AI2162" s="6">
        <f>YEAR(AK2162)</f>
        <v/>
      </c>
      <c r="AJ2162" s="6">
        <f>MONTH(AK2162)</f>
        <v/>
      </c>
      <c r="AK2162" s="267">
        <f>IFERROR(__xludf.DUMMYFUNCTION("""COMPUTED_VALUE"""),45255.9986111111)</f>
        <v/>
      </c>
      <c r="AL2162" s="6">
        <f>IFERROR(__xludf.DUMMYFUNCTION("""COMPUTED_VALUE"""),37807.9)</f>
        <v/>
      </c>
      <c r="AP2162" s="6">
        <f>AQ2162&amp;AR2162</f>
        <v/>
      </c>
      <c r="AQ2162" s="6">
        <f>YEAR(AS2162)</f>
        <v/>
      </c>
      <c r="AR2162" s="6">
        <f>MONTH(AS2162)</f>
        <v/>
      </c>
    </row>
    <row r="2163">
      <c r="B2163" s="6">
        <f>C2163&amp;D2163</f>
        <v/>
      </c>
      <c r="C2163" s="6">
        <f>YEAR(E2163)</f>
        <v/>
      </c>
      <c r="D2163" s="6">
        <f>MONTH(E2163)</f>
        <v/>
      </c>
      <c r="J2163" s="6">
        <f>K2163&amp;L2163</f>
        <v/>
      </c>
      <c r="K2163" s="6">
        <f>YEAR(M2163)</f>
        <v/>
      </c>
      <c r="L2163" s="6">
        <f>MONTH(M2163)</f>
        <v/>
      </c>
      <c r="R2163" s="6">
        <f>S2163&amp;T2163</f>
        <v/>
      </c>
      <c r="S2163" s="6">
        <f>YEAR(U2163)</f>
        <v/>
      </c>
      <c r="T2163" s="6">
        <f>MONTH(U2163)</f>
        <v/>
      </c>
      <c r="Z2163" s="6">
        <f>AA2163&amp;AB2163</f>
        <v/>
      </c>
      <c r="AA2163" s="6">
        <f>YEAR(AC2163)</f>
        <v/>
      </c>
      <c r="AB2163" s="6">
        <f>MONTH(AC2163)</f>
        <v/>
      </c>
      <c r="AC2163" s="267">
        <f>IFERROR(__xludf.DUMMYFUNCTION("""COMPUTED_VALUE"""),45314.9986111111)</f>
        <v/>
      </c>
      <c r="AD2163" s="6">
        <f>IFERROR(__xludf.DUMMYFUNCTION("""COMPUTED_VALUE"""),1336.78)</f>
        <v/>
      </c>
      <c r="AH2163" s="6">
        <f>AI2163&amp;AJ2163</f>
        <v/>
      </c>
      <c r="AI2163" s="6">
        <f>YEAR(AK2163)</f>
        <v/>
      </c>
      <c r="AJ2163" s="6">
        <f>MONTH(AK2163)</f>
        <v/>
      </c>
      <c r="AK2163" s="267">
        <f>IFERROR(__xludf.DUMMYFUNCTION("""COMPUTED_VALUE"""),45256.9986111111)</f>
        <v/>
      </c>
      <c r="AL2163" s="6">
        <f>IFERROR(__xludf.DUMMYFUNCTION("""COMPUTED_VALUE"""),37462.87)</f>
        <v/>
      </c>
      <c r="AP2163" s="6">
        <f>AQ2163&amp;AR2163</f>
        <v/>
      </c>
      <c r="AQ2163" s="6">
        <f>YEAR(AS2163)</f>
        <v/>
      </c>
      <c r="AR2163" s="6">
        <f>MONTH(AS2163)</f>
        <v/>
      </c>
    </row>
    <row r="2164">
      <c r="B2164" s="6">
        <f>C2164&amp;D2164</f>
        <v/>
      </c>
      <c r="C2164" s="6">
        <f>YEAR(E2164)</f>
        <v/>
      </c>
      <c r="D2164" s="6">
        <f>MONTH(E2164)</f>
        <v/>
      </c>
      <c r="J2164" s="6">
        <f>K2164&amp;L2164</f>
        <v/>
      </c>
      <c r="K2164" s="6">
        <f>YEAR(M2164)</f>
        <v/>
      </c>
      <c r="L2164" s="6">
        <f>MONTH(M2164)</f>
        <v/>
      </c>
      <c r="R2164" s="6">
        <f>S2164&amp;T2164</f>
        <v/>
      </c>
      <c r="S2164" s="6">
        <f>YEAR(U2164)</f>
        <v/>
      </c>
      <c r="T2164" s="6">
        <f>MONTH(U2164)</f>
        <v/>
      </c>
      <c r="Z2164" s="6">
        <f>AA2164&amp;AB2164</f>
        <v/>
      </c>
      <c r="AA2164" s="6">
        <f>YEAR(AC2164)</f>
        <v/>
      </c>
      <c r="AB2164" s="6">
        <f>MONTH(AC2164)</f>
        <v/>
      </c>
      <c r="AC2164" s="267">
        <f>IFERROR(__xludf.DUMMYFUNCTION("""COMPUTED_VALUE"""),45315.9986111111)</f>
        <v/>
      </c>
      <c r="AD2164" s="6">
        <f>IFERROR(__xludf.DUMMYFUNCTION("""COMPUTED_VALUE"""),1329.89)</f>
        <v/>
      </c>
      <c r="AH2164" s="6">
        <f>AI2164&amp;AJ2164</f>
        <v/>
      </c>
      <c r="AI2164" s="6">
        <f>YEAR(AK2164)</f>
        <v/>
      </c>
      <c r="AJ2164" s="6">
        <f>MONTH(AK2164)</f>
        <v/>
      </c>
      <c r="AK2164" s="267">
        <f>IFERROR(__xludf.DUMMYFUNCTION("""COMPUTED_VALUE"""),45257.9986111111)</f>
        <v/>
      </c>
      <c r="AL2164" s="6">
        <f>IFERROR(__xludf.DUMMYFUNCTION("""COMPUTED_VALUE"""),37247.49)</f>
        <v/>
      </c>
      <c r="AP2164" s="6">
        <f>AQ2164&amp;AR2164</f>
        <v/>
      </c>
      <c r="AQ2164" s="6">
        <f>YEAR(AS2164)</f>
        <v/>
      </c>
      <c r="AR2164" s="6">
        <f>MONTH(AS2164)</f>
        <v/>
      </c>
    </row>
    <row r="2165">
      <c r="B2165" s="6">
        <f>C2165&amp;D2165</f>
        <v/>
      </c>
      <c r="C2165" s="6">
        <f>YEAR(E2165)</f>
        <v/>
      </c>
      <c r="D2165" s="6">
        <f>MONTH(E2165)</f>
        <v/>
      </c>
      <c r="J2165" s="6">
        <f>K2165&amp;L2165</f>
        <v/>
      </c>
      <c r="K2165" s="6">
        <f>YEAR(M2165)</f>
        <v/>
      </c>
      <c r="L2165" s="6">
        <f>MONTH(M2165)</f>
        <v/>
      </c>
      <c r="R2165" s="6">
        <f>S2165&amp;T2165</f>
        <v/>
      </c>
      <c r="S2165" s="6">
        <f>YEAR(U2165)</f>
        <v/>
      </c>
      <c r="T2165" s="6">
        <f>MONTH(U2165)</f>
        <v/>
      </c>
      <c r="Z2165" s="6">
        <f>AA2165&amp;AB2165</f>
        <v/>
      </c>
      <c r="AA2165" s="6">
        <f>YEAR(AC2165)</f>
        <v/>
      </c>
      <c r="AB2165" s="6">
        <f>MONTH(AC2165)</f>
        <v/>
      </c>
      <c r="AC2165" s="267">
        <f>IFERROR(__xludf.DUMMYFUNCTION("""COMPUTED_VALUE"""),45316.9986111111)</f>
        <v/>
      </c>
      <c r="AD2165" s="6">
        <f>IFERROR(__xludf.DUMMYFUNCTION("""COMPUTED_VALUE"""),1336.03)</f>
        <v/>
      </c>
      <c r="AH2165" s="6">
        <f>AI2165&amp;AJ2165</f>
        <v/>
      </c>
      <c r="AI2165" s="6">
        <f>YEAR(AK2165)</f>
        <v/>
      </c>
      <c r="AJ2165" s="6">
        <f>MONTH(AK2165)</f>
        <v/>
      </c>
      <c r="AK2165" s="267">
        <f>IFERROR(__xludf.DUMMYFUNCTION("""COMPUTED_VALUE"""),45258.9986111111)</f>
        <v/>
      </c>
      <c r="AL2165" s="6">
        <f>IFERROR(__xludf.DUMMYFUNCTION("""COMPUTED_VALUE"""),37832.33)</f>
        <v/>
      </c>
      <c r="AP2165" s="6">
        <f>AQ2165&amp;AR2165</f>
        <v/>
      </c>
      <c r="AQ2165" s="6">
        <f>YEAR(AS2165)</f>
        <v/>
      </c>
      <c r="AR2165" s="6">
        <f>MONTH(AS2165)</f>
        <v/>
      </c>
    </row>
    <row r="2166">
      <c r="B2166" s="6">
        <f>C2166&amp;D2166</f>
        <v/>
      </c>
      <c r="C2166" s="6">
        <f>YEAR(E2166)</f>
        <v/>
      </c>
      <c r="D2166" s="6">
        <f>MONTH(E2166)</f>
        <v/>
      </c>
      <c r="J2166" s="6">
        <f>K2166&amp;L2166</f>
        <v/>
      </c>
      <c r="K2166" s="6">
        <f>YEAR(M2166)</f>
        <v/>
      </c>
      <c r="L2166" s="6">
        <f>MONTH(M2166)</f>
        <v/>
      </c>
      <c r="R2166" s="6">
        <f>S2166&amp;T2166</f>
        <v/>
      </c>
      <c r="S2166" s="6">
        <f>YEAR(U2166)</f>
        <v/>
      </c>
      <c r="T2166" s="6">
        <f>MONTH(U2166)</f>
        <v/>
      </c>
      <c r="Z2166" s="6">
        <f>AA2166&amp;AB2166</f>
        <v/>
      </c>
      <c r="AA2166" s="6">
        <f>YEAR(AC2166)</f>
        <v/>
      </c>
      <c r="AB2166" s="6">
        <f>MONTH(AC2166)</f>
        <v/>
      </c>
      <c r="AC2166" s="267">
        <f>IFERROR(__xludf.DUMMYFUNCTION("""COMPUTED_VALUE"""),45317.9986111111)</f>
        <v/>
      </c>
      <c r="AD2166" s="6">
        <f>IFERROR(__xludf.DUMMYFUNCTION("""COMPUTED_VALUE"""),1336.76)</f>
        <v/>
      </c>
      <c r="AH2166" s="6">
        <f>AI2166&amp;AJ2166</f>
        <v/>
      </c>
      <c r="AI2166" s="6">
        <f>YEAR(AK2166)</f>
        <v/>
      </c>
      <c r="AJ2166" s="6">
        <f>MONTH(AK2166)</f>
        <v/>
      </c>
      <c r="AK2166" s="267">
        <f>IFERROR(__xludf.DUMMYFUNCTION("""COMPUTED_VALUE"""),45259.9986111111)</f>
        <v/>
      </c>
      <c r="AL2166" s="6">
        <f>IFERROR(__xludf.DUMMYFUNCTION("""COMPUTED_VALUE"""),37861.98)</f>
        <v/>
      </c>
      <c r="AP2166" s="6">
        <f>AQ2166&amp;AR2166</f>
        <v/>
      </c>
      <c r="AQ2166" s="6">
        <f>YEAR(AS2166)</f>
        <v/>
      </c>
      <c r="AR2166" s="6">
        <f>MONTH(AS2166)</f>
        <v/>
      </c>
    </row>
    <row r="2167">
      <c r="B2167" s="6">
        <f>C2167&amp;D2167</f>
        <v/>
      </c>
      <c r="C2167" s="6">
        <f>YEAR(E2167)</f>
        <v/>
      </c>
      <c r="D2167" s="6">
        <f>MONTH(E2167)</f>
        <v/>
      </c>
      <c r="J2167" s="6">
        <f>K2167&amp;L2167</f>
        <v/>
      </c>
      <c r="K2167" s="6">
        <f>YEAR(M2167)</f>
        <v/>
      </c>
      <c r="L2167" s="6">
        <f>MONTH(M2167)</f>
        <v/>
      </c>
      <c r="R2167" s="6">
        <f>S2167&amp;T2167</f>
        <v/>
      </c>
      <c r="S2167" s="6">
        <f>YEAR(U2167)</f>
        <v/>
      </c>
      <c r="T2167" s="6">
        <f>MONTH(U2167)</f>
        <v/>
      </c>
      <c r="Z2167" s="6">
        <f>AA2167&amp;AB2167</f>
        <v/>
      </c>
      <c r="AA2167" s="6">
        <f>YEAR(AC2167)</f>
        <v/>
      </c>
      <c r="AB2167" s="6">
        <f>MONTH(AC2167)</f>
        <v/>
      </c>
      <c r="AC2167" s="267">
        <f>IFERROR(__xludf.DUMMYFUNCTION("""COMPUTED_VALUE"""),45318.9986111111)</f>
        <v/>
      </c>
      <c r="AD2167" s="6">
        <f>IFERROR(__xludf.DUMMYFUNCTION("""COMPUTED_VALUE"""),1336.76)</f>
        <v/>
      </c>
      <c r="AH2167" s="6">
        <f>AI2167&amp;AJ2167</f>
        <v/>
      </c>
      <c r="AI2167" s="6">
        <f>YEAR(AK2167)</f>
        <v/>
      </c>
      <c r="AJ2167" s="6">
        <f>MONTH(AK2167)</f>
        <v/>
      </c>
      <c r="AK2167" s="267">
        <f>IFERROR(__xludf.DUMMYFUNCTION("""COMPUTED_VALUE"""),45260.9986111111)</f>
        <v/>
      </c>
      <c r="AL2167" s="6">
        <f>IFERROR(__xludf.DUMMYFUNCTION("""COMPUTED_VALUE"""),37723.79)</f>
        <v/>
      </c>
      <c r="AP2167" s="6">
        <f>AQ2167&amp;AR2167</f>
        <v/>
      </c>
      <c r="AQ2167" s="6">
        <f>YEAR(AS2167)</f>
        <v/>
      </c>
      <c r="AR2167" s="6">
        <f>MONTH(AS2167)</f>
        <v/>
      </c>
    </row>
    <row r="2168">
      <c r="B2168" s="6">
        <f>C2168&amp;D2168</f>
        <v/>
      </c>
      <c r="C2168" s="6">
        <f>YEAR(E2168)</f>
        <v/>
      </c>
      <c r="D2168" s="6">
        <f>MONTH(E2168)</f>
        <v/>
      </c>
      <c r="J2168" s="6">
        <f>K2168&amp;L2168</f>
        <v/>
      </c>
      <c r="K2168" s="6">
        <f>YEAR(M2168)</f>
        <v/>
      </c>
      <c r="L2168" s="6">
        <f>MONTH(M2168)</f>
        <v/>
      </c>
      <c r="R2168" s="6">
        <f>S2168&amp;T2168</f>
        <v/>
      </c>
      <c r="S2168" s="6">
        <f>YEAR(U2168)</f>
        <v/>
      </c>
      <c r="T2168" s="6">
        <f>MONTH(U2168)</f>
        <v/>
      </c>
      <c r="Z2168" s="6">
        <f>AA2168&amp;AB2168</f>
        <v/>
      </c>
      <c r="AA2168" s="6">
        <f>YEAR(AC2168)</f>
        <v/>
      </c>
      <c r="AB2168" s="6">
        <f>MONTH(AC2168)</f>
        <v/>
      </c>
      <c r="AC2168" s="267">
        <f>IFERROR(__xludf.DUMMYFUNCTION("""COMPUTED_VALUE"""),45319.9986111111)</f>
        <v/>
      </c>
      <c r="AD2168" s="6">
        <f>IFERROR(__xludf.DUMMYFUNCTION("""COMPUTED_VALUE"""),1336.76)</f>
        <v/>
      </c>
      <c r="AH2168" s="6">
        <f>AI2168&amp;AJ2168</f>
        <v/>
      </c>
      <c r="AI2168" s="6">
        <f>YEAR(AK2168)</f>
        <v/>
      </c>
      <c r="AJ2168" s="6">
        <f>MONTH(AK2168)</f>
        <v/>
      </c>
      <c r="AK2168" s="267">
        <f>IFERROR(__xludf.DUMMYFUNCTION("""COMPUTED_VALUE"""),45261.9986111111)</f>
        <v/>
      </c>
      <c r="AL2168" s="6">
        <f>IFERROR(__xludf.DUMMYFUNCTION("""COMPUTED_VALUE"""),38704.05)</f>
        <v/>
      </c>
      <c r="AP2168" s="6">
        <f>AQ2168&amp;AR2168</f>
        <v/>
      </c>
      <c r="AQ2168" s="6">
        <f>YEAR(AS2168)</f>
        <v/>
      </c>
      <c r="AR2168" s="6">
        <f>MONTH(AS2168)</f>
        <v/>
      </c>
    </row>
    <row r="2169">
      <c r="B2169" s="6">
        <f>C2169&amp;D2169</f>
        <v/>
      </c>
      <c r="C2169" s="6">
        <f>YEAR(E2169)</f>
        <v/>
      </c>
      <c r="D2169" s="6">
        <f>MONTH(E2169)</f>
        <v/>
      </c>
      <c r="J2169" s="6">
        <f>K2169&amp;L2169</f>
        <v/>
      </c>
      <c r="K2169" s="6">
        <f>YEAR(M2169)</f>
        <v/>
      </c>
      <c r="L2169" s="6">
        <f>MONTH(M2169)</f>
        <v/>
      </c>
      <c r="R2169" s="6">
        <f>S2169&amp;T2169</f>
        <v/>
      </c>
      <c r="S2169" s="6">
        <f>YEAR(U2169)</f>
        <v/>
      </c>
      <c r="T2169" s="6">
        <f>MONTH(U2169)</f>
        <v/>
      </c>
      <c r="Z2169" s="6">
        <f>AA2169&amp;AB2169</f>
        <v/>
      </c>
      <c r="AA2169" s="6">
        <f>YEAR(AC2169)</f>
        <v/>
      </c>
      <c r="AB2169" s="6">
        <f>MONTH(AC2169)</f>
        <v/>
      </c>
      <c r="AC2169" s="267">
        <f>IFERROR(__xludf.DUMMYFUNCTION("""COMPUTED_VALUE"""),45320.9986111111)</f>
        <v/>
      </c>
      <c r="AD2169" s="6">
        <f>IFERROR(__xludf.DUMMYFUNCTION("""COMPUTED_VALUE"""),1333.21)</f>
        <v/>
      </c>
      <c r="AH2169" s="6">
        <f>AI2169&amp;AJ2169</f>
        <v/>
      </c>
      <c r="AI2169" s="6">
        <f>YEAR(AK2169)</f>
        <v/>
      </c>
      <c r="AJ2169" s="6">
        <f>MONTH(AK2169)</f>
        <v/>
      </c>
      <c r="AK2169" s="267">
        <f>IFERROR(__xludf.DUMMYFUNCTION("""COMPUTED_VALUE"""),45262.9986111111)</f>
        <v/>
      </c>
      <c r="AL2169" s="6">
        <f>IFERROR(__xludf.DUMMYFUNCTION("""COMPUTED_VALUE"""),39463.38)</f>
        <v/>
      </c>
      <c r="AP2169" s="6">
        <f>AQ2169&amp;AR2169</f>
        <v/>
      </c>
      <c r="AQ2169" s="6">
        <f>YEAR(AS2169)</f>
        <v/>
      </c>
      <c r="AR2169" s="6">
        <f>MONTH(AS2169)</f>
        <v/>
      </c>
    </row>
    <row r="2170">
      <c r="B2170" s="6">
        <f>C2170&amp;D2170</f>
        <v/>
      </c>
      <c r="C2170" s="6">
        <f>YEAR(E2170)</f>
        <v/>
      </c>
      <c r="D2170" s="6">
        <f>MONTH(E2170)</f>
        <v/>
      </c>
      <c r="J2170" s="6">
        <f>K2170&amp;L2170</f>
        <v/>
      </c>
      <c r="K2170" s="6">
        <f>YEAR(M2170)</f>
        <v/>
      </c>
      <c r="L2170" s="6">
        <f>MONTH(M2170)</f>
        <v/>
      </c>
      <c r="R2170" s="6">
        <f>S2170&amp;T2170</f>
        <v/>
      </c>
      <c r="S2170" s="6">
        <f>YEAR(U2170)</f>
        <v/>
      </c>
      <c r="T2170" s="6">
        <f>MONTH(U2170)</f>
        <v/>
      </c>
      <c r="Z2170" s="6">
        <f>AA2170&amp;AB2170</f>
        <v/>
      </c>
      <c r="AA2170" s="6">
        <f>YEAR(AC2170)</f>
        <v/>
      </c>
      <c r="AB2170" s="6">
        <f>MONTH(AC2170)</f>
        <v/>
      </c>
      <c r="AC2170" s="267">
        <f>IFERROR(__xludf.DUMMYFUNCTION("""COMPUTED_VALUE"""),45321.9986111111)</f>
        <v/>
      </c>
      <c r="AD2170" s="6">
        <f>IFERROR(__xludf.DUMMYFUNCTION("""COMPUTED_VALUE"""),1326.62)</f>
        <v/>
      </c>
      <c r="AH2170" s="6">
        <f>AI2170&amp;AJ2170</f>
        <v/>
      </c>
      <c r="AI2170" s="6">
        <f>YEAR(AK2170)</f>
        <v/>
      </c>
      <c r="AJ2170" s="6">
        <f>MONTH(AK2170)</f>
        <v/>
      </c>
      <c r="AK2170" s="267">
        <f>IFERROR(__xludf.DUMMYFUNCTION("""COMPUTED_VALUE"""),45263.9986111111)</f>
        <v/>
      </c>
      <c r="AL2170" s="6">
        <f>IFERROR(__xludf.DUMMYFUNCTION("""COMPUTED_VALUE"""),39976.71)</f>
        <v/>
      </c>
      <c r="AP2170" s="6">
        <f>AQ2170&amp;AR2170</f>
        <v/>
      </c>
      <c r="AQ2170" s="6">
        <f>YEAR(AS2170)</f>
        <v/>
      </c>
      <c r="AR2170" s="6">
        <f>MONTH(AS2170)</f>
        <v/>
      </c>
    </row>
    <row r="2171">
      <c r="B2171" s="6">
        <f>C2171&amp;D2171</f>
        <v/>
      </c>
      <c r="C2171" s="6">
        <f>YEAR(E2171)</f>
        <v/>
      </c>
      <c r="D2171" s="6">
        <f>MONTH(E2171)</f>
        <v/>
      </c>
      <c r="J2171" s="6">
        <f>K2171&amp;L2171</f>
        <v/>
      </c>
      <c r="K2171" s="6">
        <f>YEAR(M2171)</f>
        <v/>
      </c>
      <c r="L2171" s="6">
        <f>MONTH(M2171)</f>
        <v/>
      </c>
      <c r="R2171" s="6">
        <f>S2171&amp;T2171</f>
        <v/>
      </c>
      <c r="S2171" s="6">
        <f>YEAR(U2171)</f>
        <v/>
      </c>
      <c r="T2171" s="6">
        <f>MONTH(U2171)</f>
        <v/>
      </c>
      <c r="Z2171" s="6">
        <f>AA2171&amp;AB2171</f>
        <v/>
      </c>
      <c r="AA2171" s="6">
        <f>YEAR(AC2171)</f>
        <v/>
      </c>
      <c r="AB2171" s="6">
        <f>MONTH(AC2171)</f>
        <v/>
      </c>
      <c r="AC2171" s="267">
        <f>IFERROR(__xludf.DUMMYFUNCTION("""COMPUTED_VALUE"""),45322.9986111111)</f>
        <v/>
      </c>
      <c r="AD2171" s="6">
        <f>IFERROR(__xludf.DUMMYFUNCTION("""COMPUTED_VALUE"""),1333.91)</f>
        <v/>
      </c>
      <c r="AH2171" s="6">
        <f>AI2171&amp;AJ2171</f>
        <v/>
      </c>
      <c r="AI2171" s="6">
        <f>YEAR(AK2171)</f>
        <v/>
      </c>
      <c r="AJ2171" s="6">
        <f>MONTH(AK2171)</f>
        <v/>
      </c>
      <c r="AK2171" s="267">
        <f>IFERROR(__xludf.DUMMYFUNCTION("""COMPUTED_VALUE"""),45264.9986111111)</f>
        <v/>
      </c>
      <c r="AL2171" s="6">
        <f>IFERROR(__xludf.DUMMYFUNCTION("""COMPUTED_VALUE"""),41982.22)</f>
        <v/>
      </c>
      <c r="AP2171" s="6">
        <f>AQ2171&amp;AR2171</f>
        <v/>
      </c>
      <c r="AQ2171" s="6">
        <f>YEAR(AS2171)</f>
        <v/>
      </c>
      <c r="AR2171" s="6">
        <f>MONTH(AS2171)</f>
        <v/>
      </c>
    </row>
    <row r="2172">
      <c r="B2172" s="6">
        <f>C2172&amp;D2172</f>
        <v/>
      </c>
      <c r="C2172" s="6">
        <f>YEAR(E2172)</f>
        <v/>
      </c>
      <c r="D2172" s="6">
        <f>MONTH(E2172)</f>
        <v/>
      </c>
      <c r="J2172" s="6">
        <f>K2172&amp;L2172</f>
        <v/>
      </c>
      <c r="K2172" s="6">
        <f>YEAR(M2172)</f>
        <v/>
      </c>
      <c r="L2172" s="6">
        <f>MONTH(M2172)</f>
        <v/>
      </c>
      <c r="R2172" s="6">
        <f>S2172&amp;T2172</f>
        <v/>
      </c>
      <c r="S2172" s="6">
        <f>YEAR(U2172)</f>
        <v/>
      </c>
      <c r="T2172" s="6">
        <f>MONTH(U2172)</f>
        <v/>
      </c>
      <c r="Z2172" s="6">
        <f>AA2172&amp;AB2172</f>
        <v/>
      </c>
      <c r="AA2172" s="6">
        <f>YEAR(AC2172)</f>
        <v/>
      </c>
      <c r="AB2172" s="6">
        <f>MONTH(AC2172)</f>
        <v/>
      </c>
      <c r="AC2172" s="267">
        <f>IFERROR(__xludf.DUMMYFUNCTION("""COMPUTED_VALUE"""),45323.9986111111)</f>
        <v/>
      </c>
      <c r="AD2172" s="6">
        <f>IFERROR(__xludf.DUMMYFUNCTION("""COMPUTED_VALUE"""),1328.95)</f>
        <v/>
      </c>
      <c r="AH2172" s="6">
        <f>AI2172&amp;AJ2172</f>
        <v/>
      </c>
      <c r="AI2172" s="6">
        <f>YEAR(AK2172)</f>
        <v/>
      </c>
      <c r="AJ2172" s="6">
        <f>MONTH(AK2172)</f>
        <v/>
      </c>
      <c r="AK2172" s="267">
        <f>IFERROR(__xludf.DUMMYFUNCTION("""COMPUTED_VALUE"""),45265.9986111111)</f>
        <v/>
      </c>
      <c r="AL2172" s="6">
        <f>IFERROR(__xludf.DUMMYFUNCTION("""COMPUTED_VALUE"""),44082.62)</f>
        <v/>
      </c>
      <c r="AP2172" s="6">
        <f>AQ2172&amp;AR2172</f>
        <v/>
      </c>
      <c r="AQ2172" s="6">
        <f>YEAR(AS2172)</f>
        <v/>
      </c>
      <c r="AR2172" s="6">
        <f>MONTH(AS2172)</f>
        <v/>
      </c>
    </row>
    <row r="2173">
      <c r="B2173" s="6">
        <f>C2173&amp;D2173</f>
        <v/>
      </c>
      <c r="C2173" s="6">
        <f>YEAR(E2173)</f>
        <v/>
      </c>
      <c r="D2173" s="6">
        <f>MONTH(E2173)</f>
        <v/>
      </c>
      <c r="J2173" s="6">
        <f>K2173&amp;L2173</f>
        <v/>
      </c>
      <c r="K2173" s="6">
        <f>YEAR(M2173)</f>
        <v/>
      </c>
      <c r="L2173" s="6">
        <f>MONTH(M2173)</f>
        <v/>
      </c>
      <c r="R2173" s="6">
        <f>S2173&amp;T2173</f>
        <v/>
      </c>
      <c r="S2173" s="6">
        <f>YEAR(U2173)</f>
        <v/>
      </c>
      <c r="T2173" s="6">
        <f>MONTH(U2173)</f>
        <v/>
      </c>
      <c r="Z2173" s="6">
        <f>AA2173&amp;AB2173</f>
        <v/>
      </c>
      <c r="AA2173" s="6">
        <f>YEAR(AC2173)</f>
        <v/>
      </c>
      <c r="AB2173" s="6">
        <f>MONTH(AC2173)</f>
        <v/>
      </c>
      <c r="AC2173" s="267">
        <f>IFERROR(__xludf.DUMMYFUNCTION("""COMPUTED_VALUE"""),45324.9986111111)</f>
        <v/>
      </c>
      <c r="AD2173" s="6">
        <f>IFERROR(__xludf.DUMMYFUNCTION("""COMPUTED_VALUE"""),1337.73)</f>
        <v/>
      </c>
      <c r="AH2173" s="6">
        <f>AI2173&amp;AJ2173</f>
        <v/>
      </c>
      <c r="AI2173" s="6">
        <f>YEAR(AK2173)</f>
        <v/>
      </c>
      <c r="AJ2173" s="6">
        <f>MONTH(AK2173)</f>
        <v/>
      </c>
      <c r="AK2173" s="267">
        <f>IFERROR(__xludf.DUMMYFUNCTION("""COMPUTED_VALUE"""),45266.9986111111)</f>
        <v/>
      </c>
      <c r="AL2173" s="6">
        <f>IFERROR(__xludf.DUMMYFUNCTION("""COMPUTED_VALUE"""),43774.54)</f>
        <v/>
      </c>
      <c r="AP2173" s="6">
        <f>AQ2173&amp;AR2173</f>
        <v/>
      </c>
      <c r="AQ2173" s="6">
        <f>YEAR(AS2173)</f>
        <v/>
      </c>
      <c r="AR2173" s="6">
        <f>MONTH(AS2173)</f>
        <v/>
      </c>
    </row>
    <row r="2174">
      <c r="B2174" s="6">
        <f>C2174&amp;D2174</f>
        <v/>
      </c>
      <c r="C2174" s="6">
        <f>YEAR(E2174)</f>
        <v/>
      </c>
      <c r="D2174" s="6">
        <f>MONTH(E2174)</f>
        <v/>
      </c>
      <c r="J2174" s="6">
        <f>K2174&amp;L2174</f>
        <v/>
      </c>
      <c r="K2174" s="6">
        <f>YEAR(M2174)</f>
        <v/>
      </c>
      <c r="L2174" s="6">
        <f>MONTH(M2174)</f>
        <v/>
      </c>
      <c r="R2174" s="6">
        <f>S2174&amp;T2174</f>
        <v/>
      </c>
      <c r="S2174" s="6">
        <f>YEAR(U2174)</f>
        <v/>
      </c>
      <c r="T2174" s="6">
        <f>MONTH(U2174)</f>
        <v/>
      </c>
      <c r="Z2174" s="6">
        <f>AA2174&amp;AB2174</f>
        <v/>
      </c>
      <c r="AA2174" s="6">
        <f>YEAR(AC2174)</f>
        <v/>
      </c>
      <c r="AB2174" s="6">
        <f>MONTH(AC2174)</f>
        <v/>
      </c>
      <c r="AC2174" s="267">
        <f>IFERROR(__xludf.DUMMYFUNCTION("""COMPUTED_VALUE"""),45325.9986111111)</f>
        <v/>
      </c>
      <c r="AD2174" s="6">
        <f>IFERROR(__xludf.DUMMYFUNCTION("""COMPUTED_VALUE"""),1337.73)</f>
        <v/>
      </c>
      <c r="AH2174" s="6">
        <f>AI2174&amp;AJ2174</f>
        <v/>
      </c>
      <c r="AI2174" s="6">
        <f>YEAR(AK2174)</f>
        <v/>
      </c>
      <c r="AJ2174" s="6">
        <f>MONTH(AK2174)</f>
        <v/>
      </c>
      <c r="AK2174" s="267">
        <f>IFERROR(__xludf.DUMMYFUNCTION("""COMPUTED_VALUE"""),45267.9986111111)</f>
        <v/>
      </c>
      <c r="AL2174" s="6">
        <f>IFERROR(__xludf.DUMMYFUNCTION("""COMPUTED_VALUE"""),43296.1)</f>
        <v/>
      </c>
      <c r="AP2174" s="6">
        <f>AQ2174&amp;AR2174</f>
        <v/>
      </c>
      <c r="AQ2174" s="6">
        <f>YEAR(AS2174)</f>
        <v/>
      </c>
      <c r="AR2174" s="6">
        <f>MONTH(AS2174)</f>
        <v/>
      </c>
    </row>
    <row r="2175">
      <c r="B2175" s="6">
        <f>C2175&amp;D2175</f>
        <v/>
      </c>
      <c r="C2175" s="6">
        <f>YEAR(E2175)</f>
        <v/>
      </c>
      <c r="D2175" s="6">
        <f>MONTH(E2175)</f>
        <v/>
      </c>
      <c r="J2175" s="6">
        <f>K2175&amp;L2175</f>
        <v/>
      </c>
      <c r="K2175" s="6">
        <f>YEAR(M2175)</f>
        <v/>
      </c>
      <c r="L2175" s="6">
        <f>MONTH(M2175)</f>
        <v/>
      </c>
      <c r="R2175" s="6">
        <f>S2175&amp;T2175</f>
        <v/>
      </c>
      <c r="S2175" s="6">
        <f>YEAR(U2175)</f>
        <v/>
      </c>
      <c r="T2175" s="6">
        <f>MONTH(U2175)</f>
        <v/>
      </c>
      <c r="Z2175" s="6">
        <f>AA2175&amp;AB2175</f>
        <v/>
      </c>
      <c r="AA2175" s="6">
        <f>YEAR(AC2175)</f>
        <v/>
      </c>
      <c r="AB2175" s="6">
        <f>MONTH(AC2175)</f>
        <v/>
      </c>
      <c r="AC2175" s="267">
        <f>IFERROR(__xludf.DUMMYFUNCTION("""COMPUTED_VALUE"""),45326.9986111111)</f>
        <v/>
      </c>
      <c r="AD2175" s="6">
        <f>IFERROR(__xludf.DUMMYFUNCTION("""COMPUTED_VALUE"""),1337.73)</f>
        <v/>
      </c>
      <c r="AH2175" s="6">
        <f>AI2175&amp;AJ2175</f>
        <v/>
      </c>
      <c r="AI2175" s="6">
        <f>YEAR(AK2175)</f>
        <v/>
      </c>
      <c r="AJ2175" s="6">
        <f>MONTH(AK2175)</f>
        <v/>
      </c>
      <c r="AK2175" s="267">
        <f>IFERROR(__xludf.DUMMYFUNCTION("""COMPUTED_VALUE"""),45268.9986111111)</f>
        <v/>
      </c>
      <c r="AL2175" s="6">
        <f>IFERROR(__xludf.DUMMYFUNCTION("""COMPUTED_VALUE"""),44193.9)</f>
        <v/>
      </c>
      <c r="AP2175" s="6">
        <f>AQ2175&amp;AR2175</f>
        <v/>
      </c>
      <c r="AQ2175" s="6">
        <f>YEAR(AS2175)</f>
        <v/>
      </c>
      <c r="AR2175" s="6">
        <f>MONTH(AS2175)</f>
        <v/>
      </c>
    </row>
    <row r="2176">
      <c r="B2176" s="6">
        <f>C2176&amp;D2176</f>
        <v/>
      </c>
      <c r="C2176" s="6">
        <f>YEAR(E2176)</f>
        <v/>
      </c>
      <c r="D2176" s="6">
        <f>MONTH(E2176)</f>
        <v/>
      </c>
      <c r="J2176" s="6">
        <f>K2176&amp;L2176</f>
        <v/>
      </c>
      <c r="K2176" s="6">
        <f>YEAR(M2176)</f>
        <v/>
      </c>
      <c r="L2176" s="6">
        <f>MONTH(M2176)</f>
        <v/>
      </c>
      <c r="R2176" s="6">
        <f>S2176&amp;T2176</f>
        <v/>
      </c>
      <c r="S2176" s="6">
        <f>YEAR(U2176)</f>
        <v/>
      </c>
      <c r="T2176" s="6">
        <f>MONTH(U2176)</f>
        <v/>
      </c>
      <c r="Z2176" s="6">
        <f>AA2176&amp;AB2176</f>
        <v/>
      </c>
      <c r="AA2176" s="6">
        <f>YEAR(AC2176)</f>
        <v/>
      </c>
      <c r="AB2176" s="6">
        <f>MONTH(AC2176)</f>
        <v/>
      </c>
      <c r="AC2176" s="267">
        <f>IFERROR(__xludf.DUMMYFUNCTION("""COMPUTED_VALUE"""),45327.9986111111)</f>
        <v/>
      </c>
      <c r="AD2176" s="6">
        <f>IFERROR(__xludf.DUMMYFUNCTION("""COMPUTED_VALUE"""),1333.39)</f>
        <v/>
      </c>
      <c r="AH2176" s="6">
        <f>AI2176&amp;AJ2176</f>
        <v/>
      </c>
      <c r="AI2176" s="6">
        <f>YEAR(AK2176)</f>
        <v/>
      </c>
      <c r="AJ2176" s="6">
        <f>MONTH(AK2176)</f>
        <v/>
      </c>
      <c r="AK2176" s="267">
        <f>IFERROR(__xludf.DUMMYFUNCTION("""COMPUTED_VALUE"""),45269.9986111111)</f>
        <v/>
      </c>
      <c r="AL2176" s="6">
        <f>IFERROR(__xludf.DUMMYFUNCTION("""COMPUTED_VALUE"""),43736.8)</f>
        <v/>
      </c>
      <c r="AP2176" s="6">
        <f>AQ2176&amp;AR2176</f>
        <v/>
      </c>
      <c r="AQ2176" s="6">
        <f>YEAR(AS2176)</f>
        <v/>
      </c>
      <c r="AR2176" s="6">
        <f>MONTH(AS2176)</f>
        <v/>
      </c>
    </row>
    <row r="2177">
      <c r="B2177" s="6">
        <f>C2177&amp;D2177</f>
        <v/>
      </c>
      <c r="C2177" s="6">
        <f>YEAR(E2177)</f>
        <v/>
      </c>
      <c r="D2177" s="6">
        <f>MONTH(E2177)</f>
        <v/>
      </c>
      <c r="J2177" s="6">
        <f>K2177&amp;L2177</f>
        <v/>
      </c>
      <c r="K2177" s="6">
        <f>YEAR(M2177)</f>
        <v/>
      </c>
      <c r="L2177" s="6">
        <f>MONTH(M2177)</f>
        <v/>
      </c>
      <c r="R2177" s="6">
        <f>S2177&amp;T2177</f>
        <v/>
      </c>
      <c r="S2177" s="6">
        <f>YEAR(U2177)</f>
        <v/>
      </c>
      <c r="T2177" s="6">
        <f>MONTH(U2177)</f>
        <v/>
      </c>
      <c r="Z2177" s="6">
        <f>AA2177&amp;AB2177</f>
        <v/>
      </c>
      <c r="AA2177" s="6">
        <f>YEAR(AC2177)</f>
        <v/>
      </c>
      <c r="AB2177" s="6">
        <f>MONTH(AC2177)</f>
        <v/>
      </c>
      <c r="AC2177" s="267">
        <f>IFERROR(__xludf.DUMMYFUNCTION("""COMPUTED_VALUE"""),45328.9986111111)</f>
        <v/>
      </c>
      <c r="AD2177" s="6">
        <f>IFERROR(__xludf.DUMMYFUNCTION("""COMPUTED_VALUE"""),1326.79)</f>
        <v/>
      </c>
      <c r="AH2177" s="6">
        <f>AI2177&amp;AJ2177</f>
        <v/>
      </c>
      <c r="AI2177" s="6">
        <f>YEAR(AK2177)</f>
        <v/>
      </c>
      <c r="AJ2177" s="6">
        <f>MONTH(AK2177)</f>
        <v/>
      </c>
      <c r="AK2177" s="267">
        <f>IFERROR(__xludf.DUMMYFUNCTION("""COMPUTED_VALUE"""),45270.9986111111)</f>
        <v/>
      </c>
      <c r="AL2177" s="6">
        <f>IFERROR(__xludf.DUMMYFUNCTION("""COMPUTED_VALUE"""),43790.26)</f>
        <v/>
      </c>
      <c r="AP2177" s="6">
        <f>AQ2177&amp;AR2177</f>
        <v/>
      </c>
      <c r="AQ2177" s="6">
        <f>YEAR(AS2177)</f>
        <v/>
      </c>
      <c r="AR2177" s="6">
        <f>MONTH(AS2177)</f>
        <v/>
      </c>
    </row>
    <row r="2178">
      <c r="B2178" s="6">
        <f>C2178&amp;D2178</f>
        <v/>
      </c>
      <c r="C2178" s="6">
        <f>YEAR(E2178)</f>
        <v/>
      </c>
      <c r="D2178" s="6">
        <f>MONTH(E2178)</f>
        <v/>
      </c>
      <c r="J2178" s="6">
        <f>K2178&amp;L2178</f>
        <v/>
      </c>
      <c r="K2178" s="6">
        <f>YEAR(M2178)</f>
        <v/>
      </c>
      <c r="L2178" s="6">
        <f>MONTH(M2178)</f>
        <v/>
      </c>
      <c r="R2178" s="6">
        <f>S2178&amp;T2178</f>
        <v/>
      </c>
      <c r="S2178" s="6">
        <f>YEAR(U2178)</f>
        <v/>
      </c>
      <c r="T2178" s="6">
        <f>MONTH(U2178)</f>
        <v/>
      </c>
      <c r="Z2178" s="6">
        <f>AA2178&amp;AB2178</f>
        <v/>
      </c>
      <c r="AA2178" s="6">
        <f>YEAR(AC2178)</f>
        <v/>
      </c>
      <c r="AB2178" s="6">
        <f>MONTH(AC2178)</f>
        <v/>
      </c>
      <c r="AC2178" s="267">
        <f>IFERROR(__xludf.DUMMYFUNCTION("""COMPUTED_VALUE"""),45329.9986111111)</f>
        <v/>
      </c>
      <c r="AD2178" s="6">
        <f>IFERROR(__xludf.DUMMYFUNCTION("""COMPUTED_VALUE"""),1327.62)</f>
        <v/>
      </c>
      <c r="AH2178" s="6">
        <f>AI2178&amp;AJ2178</f>
        <v/>
      </c>
      <c r="AI2178" s="6">
        <f>YEAR(AK2178)</f>
        <v/>
      </c>
      <c r="AJ2178" s="6">
        <f>MONTH(AK2178)</f>
        <v/>
      </c>
      <c r="AK2178" s="267">
        <f>IFERROR(__xludf.DUMMYFUNCTION("""COMPUTED_VALUE"""),45271.9986111111)</f>
        <v/>
      </c>
      <c r="AL2178" s="6">
        <f>IFERROR(__xludf.DUMMYFUNCTION("""COMPUTED_VALUE"""),41237.43)</f>
        <v/>
      </c>
      <c r="AP2178" s="6">
        <f>AQ2178&amp;AR2178</f>
        <v/>
      </c>
      <c r="AQ2178" s="6">
        <f>YEAR(AS2178)</f>
        <v/>
      </c>
      <c r="AR2178" s="6">
        <f>MONTH(AS2178)</f>
        <v/>
      </c>
    </row>
    <row r="2179">
      <c r="B2179" s="6">
        <f>C2179&amp;D2179</f>
        <v/>
      </c>
      <c r="C2179" s="6">
        <f>YEAR(E2179)</f>
        <v/>
      </c>
      <c r="D2179" s="6">
        <f>MONTH(E2179)</f>
        <v/>
      </c>
      <c r="J2179" s="6">
        <f>K2179&amp;L2179</f>
        <v/>
      </c>
      <c r="K2179" s="6">
        <f>YEAR(M2179)</f>
        <v/>
      </c>
      <c r="L2179" s="6">
        <f>MONTH(M2179)</f>
        <v/>
      </c>
      <c r="R2179" s="6">
        <f>S2179&amp;T2179</f>
        <v/>
      </c>
      <c r="S2179" s="6">
        <f>YEAR(U2179)</f>
        <v/>
      </c>
      <c r="T2179" s="6">
        <f>MONTH(U2179)</f>
        <v/>
      </c>
      <c r="Z2179" s="6">
        <f>AA2179&amp;AB2179</f>
        <v/>
      </c>
      <c r="AA2179" s="6">
        <f>YEAR(AC2179)</f>
        <v/>
      </c>
      <c r="AB2179" s="6">
        <f>MONTH(AC2179)</f>
        <v/>
      </c>
      <c r="AC2179" s="267">
        <f>IFERROR(__xludf.DUMMYFUNCTION("""COMPUTED_VALUE"""),45330.9986111111)</f>
        <v/>
      </c>
      <c r="AD2179" s="6">
        <f>IFERROR(__xludf.DUMMYFUNCTION("""COMPUTED_VALUE"""),1331.47)</f>
        <v/>
      </c>
      <c r="AH2179" s="6">
        <f>AI2179&amp;AJ2179</f>
        <v/>
      </c>
      <c r="AI2179" s="6">
        <f>YEAR(AK2179)</f>
        <v/>
      </c>
      <c r="AJ2179" s="6">
        <f>MONTH(AK2179)</f>
        <v/>
      </c>
      <c r="AK2179" s="267">
        <f>IFERROR(__xludf.DUMMYFUNCTION("""COMPUTED_VALUE"""),45272.9986111111)</f>
        <v/>
      </c>
      <c r="AL2179" s="6">
        <f>IFERROR(__xludf.DUMMYFUNCTION("""COMPUTED_VALUE"""),41473.28)</f>
        <v/>
      </c>
      <c r="AP2179" s="6">
        <f>AQ2179&amp;AR2179</f>
        <v/>
      </c>
      <c r="AQ2179" s="6">
        <f>YEAR(AS2179)</f>
        <v/>
      </c>
      <c r="AR2179" s="6">
        <f>MONTH(AS2179)</f>
        <v/>
      </c>
    </row>
    <row r="2180">
      <c r="B2180" s="6">
        <f>C2180&amp;D2180</f>
        <v/>
      </c>
      <c r="C2180" s="6">
        <f>YEAR(E2180)</f>
        <v/>
      </c>
      <c r="D2180" s="6">
        <f>MONTH(E2180)</f>
        <v/>
      </c>
      <c r="J2180" s="6">
        <f>K2180&amp;L2180</f>
        <v/>
      </c>
      <c r="K2180" s="6">
        <f>YEAR(M2180)</f>
        <v/>
      </c>
      <c r="L2180" s="6">
        <f>MONTH(M2180)</f>
        <v/>
      </c>
      <c r="R2180" s="6">
        <f>S2180&amp;T2180</f>
        <v/>
      </c>
      <c r="S2180" s="6">
        <f>YEAR(U2180)</f>
        <v/>
      </c>
      <c r="T2180" s="6">
        <f>MONTH(U2180)</f>
        <v/>
      </c>
      <c r="Z2180" s="6">
        <f>AA2180&amp;AB2180</f>
        <v/>
      </c>
      <c r="AA2180" s="6">
        <f>YEAR(AC2180)</f>
        <v/>
      </c>
      <c r="AB2180" s="6">
        <f>MONTH(AC2180)</f>
        <v/>
      </c>
      <c r="AC2180" s="267">
        <f>IFERROR(__xludf.DUMMYFUNCTION("""COMPUTED_VALUE"""),45331.9986111111)</f>
        <v/>
      </c>
      <c r="AD2180" s="6">
        <f>IFERROR(__xludf.DUMMYFUNCTION("""COMPUTED_VALUE"""),1330.06)</f>
        <v/>
      </c>
      <c r="AH2180" s="6">
        <f>AI2180&amp;AJ2180</f>
        <v/>
      </c>
      <c r="AI2180" s="6">
        <f>YEAR(AK2180)</f>
        <v/>
      </c>
      <c r="AJ2180" s="6">
        <f>MONTH(AK2180)</f>
        <v/>
      </c>
      <c r="AK2180" s="267">
        <f>IFERROR(__xludf.DUMMYFUNCTION("""COMPUTED_VALUE"""),45273.9986111111)</f>
        <v/>
      </c>
      <c r="AL2180" s="6">
        <f>IFERROR(__xludf.DUMMYFUNCTION("""COMPUTED_VALUE"""),42890.93)</f>
        <v/>
      </c>
      <c r="AP2180" s="6">
        <f>AQ2180&amp;AR2180</f>
        <v/>
      </c>
      <c r="AQ2180" s="6">
        <f>YEAR(AS2180)</f>
        <v/>
      </c>
      <c r="AR2180" s="6">
        <f>MONTH(AS2180)</f>
        <v/>
      </c>
    </row>
    <row r="2181">
      <c r="B2181" s="6">
        <f>C2181&amp;D2181</f>
        <v/>
      </c>
      <c r="C2181" s="6">
        <f>YEAR(E2181)</f>
        <v/>
      </c>
      <c r="D2181" s="6">
        <f>MONTH(E2181)</f>
        <v/>
      </c>
      <c r="J2181" s="6">
        <f>K2181&amp;L2181</f>
        <v/>
      </c>
      <c r="K2181" s="6">
        <f>YEAR(M2181)</f>
        <v/>
      </c>
      <c r="L2181" s="6">
        <f>MONTH(M2181)</f>
        <v/>
      </c>
      <c r="R2181" s="6">
        <f>S2181&amp;T2181</f>
        <v/>
      </c>
      <c r="S2181" s="6">
        <f>YEAR(U2181)</f>
        <v/>
      </c>
      <c r="T2181" s="6">
        <f>MONTH(U2181)</f>
        <v/>
      </c>
      <c r="Z2181" s="6">
        <f>AA2181&amp;AB2181</f>
        <v/>
      </c>
      <c r="AA2181" s="6">
        <f>YEAR(AC2181)</f>
        <v/>
      </c>
      <c r="AB2181" s="6">
        <f>MONTH(AC2181)</f>
        <v/>
      </c>
      <c r="AC2181" s="267">
        <f>IFERROR(__xludf.DUMMYFUNCTION("""COMPUTED_VALUE"""),45332.9986111111)</f>
        <v/>
      </c>
      <c r="AD2181" s="6">
        <f>IFERROR(__xludf.DUMMYFUNCTION("""COMPUTED_VALUE"""),1330.06)</f>
        <v/>
      </c>
      <c r="AH2181" s="6">
        <f>AI2181&amp;AJ2181</f>
        <v/>
      </c>
      <c r="AI2181" s="6">
        <f>YEAR(AK2181)</f>
        <v/>
      </c>
      <c r="AJ2181" s="6">
        <f>MONTH(AK2181)</f>
        <v/>
      </c>
      <c r="AK2181" s="267">
        <f>IFERROR(__xludf.DUMMYFUNCTION("""COMPUTED_VALUE"""),45274.9986111111)</f>
        <v/>
      </c>
      <c r="AL2181" s="6">
        <f>IFERROR(__xludf.DUMMYFUNCTION("""COMPUTED_VALUE"""),43029.62)</f>
        <v/>
      </c>
      <c r="AP2181" s="6">
        <f>AQ2181&amp;AR2181</f>
        <v/>
      </c>
      <c r="AQ2181" s="6">
        <f>YEAR(AS2181)</f>
        <v/>
      </c>
      <c r="AR2181" s="6">
        <f>MONTH(AS2181)</f>
        <v/>
      </c>
    </row>
    <row r="2182">
      <c r="B2182" s="6">
        <f>C2182&amp;D2182</f>
        <v/>
      </c>
      <c r="C2182" s="6">
        <f>YEAR(E2182)</f>
        <v/>
      </c>
      <c r="D2182" s="6">
        <f>MONTH(E2182)</f>
        <v/>
      </c>
      <c r="J2182" s="6">
        <f>K2182&amp;L2182</f>
        <v/>
      </c>
      <c r="K2182" s="6">
        <f>YEAR(M2182)</f>
        <v/>
      </c>
      <c r="L2182" s="6">
        <f>MONTH(M2182)</f>
        <v/>
      </c>
      <c r="R2182" s="6">
        <f>S2182&amp;T2182</f>
        <v/>
      </c>
      <c r="S2182" s="6">
        <f>YEAR(U2182)</f>
        <v/>
      </c>
      <c r="T2182" s="6">
        <f>MONTH(U2182)</f>
        <v/>
      </c>
      <c r="Z2182" s="6">
        <f>AA2182&amp;AB2182</f>
        <v/>
      </c>
      <c r="AA2182" s="6">
        <f>YEAR(AC2182)</f>
        <v/>
      </c>
      <c r="AB2182" s="6">
        <f>MONTH(AC2182)</f>
        <v/>
      </c>
      <c r="AC2182" s="267">
        <f>IFERROR(__xludf.DUMMYFUNCTION("""COMPUTED_VALUE"""),45333.9986111111)</f>
        <v/>
      </c>
      <c r="AD2182" s="6">
        <f>IFERROR(__xludf.DUMMYFUNCTION("""COMPUTED_VALUE"""),1330.06)</f>
        <v/>
      </c>
      <c r="AH2182" s="6">
        <f>AI2182&amp;AJ2182</f>
        <v/>
      </c>
      <c r="AI2182" s="6">
        <f>YEAR(AK2182)</f>
        <v/>
      </c>
      <c r="AJ2182" s="6">
        <f>MONTH(AK2182)</f>
        <v/>
      </c>
      <c r="AK2182" s="267">
        <f>IFERROR(__xludf.DUMMYFUNCTION("""COMPUTED_VALUE"""),45275.9986111111)</f>
        <v/>
      </c>
      <c r="AL2182" s="6">
        <f>IFERROR(__xludf.DUMMYFUNCTION("""COMPUTED_VALUE"""),41945.55)</f>
        <v/>
      </c>
      <c r="AP2182" s="6">
        <f>AQ2182&amp;AR2182</f>
        <v/>
      </c>
      <c r="AQ2182" s="6">
        <f>YEAR(AS2182)</f>
        <v/>
      </c>
      <c r="AR2182" s="6">
        <f>MONTH(AS2182)</f>
        <v/>
      </c>
    </row>
    <row r="2183">
      <c r="B2183" s="6">
        <f>C2183&amp;D2183</f>
        <v/>
      </c>
      <c r="C2183" s="6">
        <f>YEAR(E2183)</f>
        <v/>
      </c>
      <c r="D2183" s="6">
        <f>MONTH(E2183)</f>
        <v/>
      </c>
      <c r="J2183" s="6">
        <f>K2183&amp;L2183</f>
        <v/>
      </c>
      <c r="K2183" s="6">
        <f>YEAR(M2183)</f>
        <v/>
      </c>
      <c r="L2183" s="6">
        <f>MONTH(M2183)</f>
        <v/>
      </c>
      <c r="R2183" s="6">
        <f>S2183&amp;T2183</f>
        <v/>
      </c>
      <c r="S2183" s="6">
        <f>YEAR(U2183)</f>
        <v/>
      </c>
      <c r="T2183" s="6">
        <f>MONTH(U2183)</f>
        <v/>
      </c>
      <c r="Z2183" s="6">
        <f>AA2183&amp;AB2183</f>
        <v/>
      </c>
      <c r="AA2183" s="6">
        <f>YEAR(AC2183)</f>
        <v/>
      </c>
      <c r="AB2183" s="6">
        <f>MONTH(AC2183)</f>
        <v/>
      </c>
      <c r="AC2183" s="267">
        <f>IFERROR(__xludf.DUMMYFUNCTION("""COMPUTED_VALUE"""),45334.9986111111)</f>
        <v/>
      </c>
      <c r="AD2183" s="6">
        <f>IFERROR(__xludf.DUMMYFUNCTION("""COMPUTED_VALUE"""),1328.5)</f>
        <v/>
      </c>
      <c r="AH2183" s="6">
        <f>AI2183&amp;AJ2183</f>
        <v/>
      </c>
      <c r="AI2183" s="6">
        <f>YEAR(AK2183)</f>
        <v/>
      </c>
      <c r="AJ2183" s="6">
        <f>MONTH(AK2183)</f>
        <v/>
      </c>
      <c r="AK2183" s="267">
        <f>IFERROR(__xludf.DUMMYFUNCTION("""COMPUTED_VALUE"""),45276.9986111111)</f>
        <v/>
      </c>
      <c r="AL2183" s="6">
        <f>IFERROR(__xludf.DUMMYFUNCTION("""COMPUTED_VALUE"""),42262.62)</f>
        <v/>
      </c>
      <c r="AP2183" s="6">
        <f>AQ2183&amp;AR2183</f>
        <v/>
      </c>
      <c r="AQ2183" s="6">
        <f>YEAR(AS2183)</f>
        <v/>
      </c>
      <c r="AR2183" s="6">
        <f>MONTH(AS2183)</f>
        <v/>
      </c>
    </row>
    <row r="2184">
      <c r="B2184" s="6">
        <f>C2184&amp;D2184</f>
        <v/>
      </c>
      <c r="C2184" s="6">
        <f>YEAR(E2184)</f>
        <v/>
      </c>
      <c r="D2184" s="6">
        <f>MONTH(E2184)</f>
        <v/>
      </c>
      <c r="J2184" s="6">
        <f>K2184&amp;L2184</f>
        <v/>
      </c>
      <c r="K2184" s="6">
        <f>YEAR(M2184)</f>
        <v/>
      </c>
      <c r="L2184" s="6">
        <f>MONTH(M2184)</f>
        <v/>
      </c>
      <c r="R2184" s="6">
        <f>S2184&amp;T2184</f>
        <v/>
      </c>
      <c r="S2184" s="6">
        <f>YEAR(U2184)</f>
        <v/>
      </c>
      <c r="T2184" s="6">
        <f>MONTH(U2184)</f>
        <v/>
      </c>
      <c r="Z2184" s="6">
        <f>AA2184&amp;AB2184</f>
        <v/>
      </c>
      <c r="AA2184" s="6">
        <f>YEAR(AC2184)</f>
        <v/>
      </c>
      <c r="AB2184" s="6">
        <f>MONTH(AC2184)</f>
        <v/>
      </c>
      <c r="AC2184" s="267">
        <f>IFERROR(__xludf.DUMMYFUNCTION("""COMPUTED_VALUE"""),45335.9986111111)</f>
        <v/>
      </c>
      <c r="AD2184" s="6">
        <f>IFERROR(__xludf.DUMMYFUNCTION("""COMPUTED_VALUE"""),1340.79)</f>
        <v/>
      </c>
      <c r="AH2184" s="6">
        <f>AI2184&amp;AJ2184</f>
        <v/>
      </c>
      <c r="AI2184" s="6">
        <f>YEAR(AK2184)</f>
        <v/>
      </c>
      <c r="AJ2184" s="6">
        <f>MONTH(AK2184)</f>
        <v/>
      </c>
      <c r="AK2184" s="267">
        <f>IFERROR(__xludf.DUMMYFUNCTION("""COMPUTED_VALUE"""),45277.9986111111)</f>
        <v/>
      </c>
      <c r="AL2184" s="6">
        <f>IFERROR(__xludf.DUMMYFUNCTION("""COMPUTED_VALUE"""),41360.83)</f>
        <v/>
      </c>
      <c r="AP2184" s="6">
        <f>AQ2184&amp;AR2184</f>
        <v/>
      </c>
      <c r="AQ2184" s="6">
        <f>YEAR(AS2184)</f>
        <v/>
      </c>
      <c r="AR2184" s="6">
        <f>MONTH(AS2184)</f>
        <v/>
      </c>
    </row>
    <row r="2185">
      <c r="B2185" s="6">
        <f>C2185&amp;D2185</f>
        <v/>
      </c>
      <c r="C2185" s="6">
        <f>YEAR(E2185)</f>
        <v/>
      </c>
      <c r="D2185" s="6">
        <f>MONTH(E2185)</f>
        <v/>
      </c>
      <c r="J2185" s="6">
        <f>K2185&amp;L2185</f>
        <v/>
      </c>
      <c r="K2185" s="6">
        <f>YEAR(M2185)</f>
        <v/>
      </c>
      <c r="L2185" s="6">
        <f>MONTH(M2185)</f>
        <v/>
      </c>
      <c r="R2185" s="6">
        <f>S2185&amp;T2185</f>
        <v/>
      </c>
      <c r="S2185" s="6">
        <f>YEAR(U2185)</f>
        <v/>
      </c>
      <c r="T2185" s="6">
        <f>MONTH(U2185)</f>
        <v/>
      </c>
      <c r="Z2185" s="6">
        <f>AA2185&amp;AB2185</f>
        <v/>
      </c>
      <c r="AA2185" s="6">
        <f>YEAR(AC2185)</f>
        <v/>
      </c>
      <c r="AB2185" s="6">
        <f>MONTH(AC2185)</f>
        <v/>
      </c>
      <c r="AC2185" s="267">
        <f>IFERROR(__xludf.DUMMYFUNCTION("""COMPUTED_VALUE"""),45336.9986111111)</f>
        <v/>
      </c>
      <c r="AD2185" s="6">
        <f>IFERROR(__xludf.DUMMYFUNCTION("""COMPUTED_VALUE"""),1326)</f>
        <v/>
      </c>
      <c r="AH2185" s="6">
        <f>AI2185&amp;AJ2185</f>
        <v/>
      </c>
      <c r="AI2185" s="6">
        <f>YEAR(AK2185)</f>
        <v/>
      </c>
      <c r="AJ2185" s="6">
        <f>MONTH(AK2185)</f>
        <v/>
      </c>
      <c r="AK2185" s="267">
        <f>IFERROR(__xludf.DUMMYFUNCTION("""COMPUTED_VALUE"""),45278.9986111111)</f>
        <v/>
      </c>
      <c r="AL2185" s="6">
        <f>IFERROR(__xludf.DUMMYFUNCTION("""COMPUTED_VALUE"""),42651.91)</f>
        <v/>
      </c>
      <c r="AP2185" s="6">
        <f>AQ2185&amp;AR2185</f>
        <v/>
      </c>
      <c r="AQ2185" s="6">
        <f>YEAR(AS2185)</f>
        <v/>
      </c>
      <c r="AR2185" s="6">
        <f>MONTH(AS2185)</f>
        <v/>
      </c>
    </row>
    <row r="2186">
      <c r="B2186" s="6">
        <f>C2186&amp;D2186</f>
        <v/>
      </c>
      <c r="C2186" s="6">
        <f>YEAR(E2186)</f>
        <v/>
      </c>
      <c r="D2186" s="6">
        <f>MONTH(E2186)</f>
        <v/>
      </c>
      <c r="J2186" s="6">
        <f>K2186&amp;L2186</f>
        <v/>
      </c>
      <c r="K2186" s="6">
        <f>YEAR(M2186)</f>
        <v/>
      </c>
      <c r="L2186" s="6">
        <f>MONTH(M2186)</f>
        <v/>
      </c>
      <c r="R2186" s="6">
        <f>S2186&amp;T2186</f>
        <v/>
      </c>
      <c r="S2186" s="6">
        <f>YEAR(U2186)</f>
        <v/>
      </c>
      <c r="T2186" s="6">
        <f>MONTH(U2186)</f>
        <v/>
      </c>
      <c r="Z2186" s="6">
        <f>AA2186&amp;AB2186</f>
        <v/>
      </c>
      <c r="AA2186" s="6">
        <f>YEAR(AC2186)</f>
        <v/>
      </c>
      <c r="AB2186" s="6">
        <f>MONTH(AC2186)</f>
        <v/>
      </c>
      <c r="AC2186" s="267">
        <f>IFERROR(__xludf.DUMMYFUNCTION("""COMPUTED_VALUE"""),45337.9986111111)</f>
        <v/>
      </c>
      <c r="AD2186" s="6">
        <f>IFERROR(__xludf.DUMMYFUNCTION("""COMPUTED_VALUE"""),1327.66)</f>
        <v/>
      </c>
      <c r="AH2186" s="6">
        <f>AI2186&amp;AJ2186</f>
        <v/>
      </c>
      <c r="AI2186" s="6">
        <f>YEAR(AK2186)</f>
        <v/>
      </c>
      <c r="AJ2186" s="6">
        <f>MONTH(AK2186)</f>
        <v/>
      </c>
      <c r="AK2186" s="267">
        <f>IFERROR(__xludf.DUMMYFUNCTION("""COMPUTED_VALUE"""),45279.9986111111)</f>
        <v/>
      </c>
      <c r="AL2186" s="6">
        <f>IFERROR(__xludf.DUMMYFUNCTION("""COMPUTED_VALUE"""),42271.05)</f>
        <v/>
      </c>
      <c r="AP2186" s="6">
        <f>AQ2186&amp;AR2186</f>
        <v/>
      </c>
      <c r="AQ2186" s="6">
        <f>YEAR(AS2186)</f>
        <v/>
      </c>
      <c r="AR2186" s="6">
        <f>MONTH(AS2186)</f>
        <v/>
      </c>
    </row>
    <row r="2187">
      <c r="B2187" s="6">
        <f>C2187&amp;D2187</f>
        <v/>
      </c>
      <c r="C2187" s="6">
        <f>YEAR(E2187)</f>
        <v/>
      </c>
      <c r="D2187" s="6">
        <f>MONTH(E2187)</f>
        <v/>
      </c>
      <c r="J2187" s="6">
        <f>K2187&amp;L2187</f>
        <v/>
      </c>
      <c r="K2187" s="6">
        <f>YEAR(M2187)</f>
        <v/>
      </c>
      <c r="L2187" s="6">
        <f>MONTH(M2187)</f>
        <v/>
      </c>
      <c r="R2187" s="6">
        <f>S2187&amp;T2187</f>
        <v/>
      </c>
      <c r="S2187" s="6">
        <f>YEAR(U2187)</f>
        <v/>
      </c>
      <c r="T2187" s="6">
        <f>MONTH(U2187)</f>
        <v/>
      </c>
      <c r="Z2187" s="6">
        <f>AA2187&amp;AB2187</f>
        <v/>
      </c>
      <c r="AA2187" s="6">
        <f>YEAR(AC2187)</f>
        <v/>
      </c>
      <c r="AB2187" s="6">
        <f>MONTH(AC2187)</f>
        <v/>
      </c>
      <c r="AC2187" s="267">
        <f>IFERROR(__xludf.DUMMYFUNCTION("""COMPUTED_VALUE"""),45338.9986111111)</f>
        <v/>
      </c>
      <c r="AD2187" s="6">
        <f>IFERROR(__xludf.DUMMYFUNCTION("""COMPUTED_VALUE"""),1331.58)</f>
        <v/>
      </c>
      <c r="AH2187" s="6">
        <f>AI2187&amp;AJ2187</f>
        <v/>
      </c>
      <c r="AI2187" s="6">
        <f>YEAR(AK2187)</f>
        <v/>
      </c>
      <c r="AJ2187" s="6">
        <f>MONTH(AK2187)</f>
        <v/>
      </c>
      <c r="AK2187" s="267">
        <f>IFERROR(__xludf.DUMMYFUNCTION("""COMPUTED_VALUE"""),45280.9986111111)</f>
        <v/>
      </c>
      <c r="AL2187" s="6">
        <f>IFERROR(__xludf.DUMMYFUNCTION("""COMPUTED_VALUE"""),43661.13)</f>
        <v/>
      </c>
      <c r="AP2187" s="6">
        <f>AQ2187&amp;AR2187</f>
        <v/>
      </c>
      <c r="AQ2187" s="6">
        <f>YEAR(AS2187)</f>
        <v/>
      </c>
      <c r="AR2187" s="6">
        <f>MONTH(AS2187)</f>
        <v/>
      </c>
    </row>
    <row r="2188">
      <c r="B2188" s="6">
        <f>C2188&amp;D2188</f>
        <v/>
      </c>
      <c r="C2188" s="6">
        <f>YEAR(E2188)</f>
        <v/>
      </c>
      <c r="D2188" s="6">
        <f>MONTH(E2188)</f>
        <v/>
      </c>
      <c r="J2188" s="6">
        <f>K2188&amp;L2188</f>
        <v/>
      </c>
      <c r="K2188" s="6">
        <f>YEAR(M2188)</f>
        <v/>
      </c>
      <c r="L2188" s="6">
        <f>MONTH(M2188)</f>
        <v/>
      </c>
      <c r="R2188" s="6">
        <f>S2188&amp;T2188</f>
        <v/>
      </c>
      <c r="S2188" s="6">
        <f>YEAR(U2188)</f>
        <v/>
      </c>
      <c r="T2188" s="6">
        <f>MONTH(U2188)</f>
        <v/>
      </c>
      <c r="Z2188" s="6">
        <f>AA2188&amp;AB2188</f>
        <v/>
      </c>
      <c r="AA2188" s="6">
        <f>YEAR(AC2188)</f>
        <v/>
      </c>
      <c r="AB2188" s="6">
        <f>MONTH(AC2188)</f>
        <v/>
      </c>
      <c r="AC2188" s="267">
        <f>IFERROR(__xludf.DUMMYFUNCTION("""COMPUTED_VALUE"""),45339.9986111111)</f>
        <v/>
      </c>
      <c r="AD2188" s="6">
        <f>IFERROR(__xludf.DUMMYFUNCTION("""COMPUTED_VALUE"""),1331.58)</f>
        <v/>
      </c>
      <c r="AH2188" s="6">
        <f>AI2188&amp;AJ2188</f>
        <v/>
      </c>
      <c r="AI2188" s="6">
        <f>YEAR(AK2188)</f>
        <v/>
      </c>
      <c r="AJ2188" s="6">
        <f>MONTH(AK2188)</f>
        <v/>
      </c>
      <c r="AK2188" s="267">
        <f>IFERROR(__xludf.DUMMYFUNCTION("""COMPUTED_VALUE"""),45281.9986111111)</f>
        <v/>
      </c>
      <c r="AL2188" s="6">
        <f>IFERROR(__xludf.DUMMYFUNCTION("""COMPUTED_VALUE"""),43879.57)</f>
        <v/>
      </c>
      <c r="AP2188" s="6">
        <f>AQ2188&amp;AR2188</f>
        <v/>
      </c>
      <c r="AQ2188" s="6">
        <f>YEAR(AS2188)</f>
        <v/>
      </c>
      <c r="AR2188" s="6">
        <f>MONTH(AS2188)</f>
        <v/>
      </c>
    </row>
    <row r="2189">
      <c r="B2189" s="6">
        <f>C2189&amp;D2189</f>
        <v/>
      </c>
      <c r="C2189" s="6">
        <f>YEAR(E2189)</f>
        <v/>
      </c>
      <c r="D2189" s="6">
        <f>MONTH(E2189)</f>
        <v/>
      </c>
      <c r="J2189" s="6">
        <f>K2189&amp;L2189</f>
        <v/>
      </c>
      <c r="K2189" s="6">
        <f>YEAR(M2189)</f>
        <v/>
      </c>
      <c r="L2189" s="6">
        <f>MONTH(M2189)</f>
        <v/>
      </c>
      <c r="R2189" s="6">
        <f>S2189&amp;T2189</f>
        <v/>
      </c>
      <c r="S2189" s="6">
        <f>YEAR(U2189)</f>
        <v/>
      </c>
      <c r="T2189" s="6">
        <f>MONTH(U2189)</f>
        <v/>
      </c>
      <c r="Z2189" s="6">
        <f>AA2189&amp;AB2189</f>
        <v/>
      </c>
      <c r="AA2189" s="6">
        <f>YEAR(AC2189)</f>
        <v/>
      </c>
      <c r="AB2189" s="6">
        <f>MONTH(AC2189)</f>
        <v/>
      </c>
      <c r="AC2189" s="267">
        <f>IFERROR(__xludf.DUMMYFUNCTION("""COMPUTED_VALUE"""),45340.9986111111)</f>
        <v/>
      </c>
      <c r="AD2189" s="6">
        <f>IFERROR(__xludf.DUMMYFUNCTION("""COMPUTED_VALUE"""),1331.58)</f>
        <v/>
      </c>
      <c r="AH2189" s="6">
        <f>AI2189&amp;AJ2189</f>
        <v/>
      </c>
      <c r="AI2189" s="6">
        <f>YEAR(AK2189)</f>
        <v/>
      </c>
      <c r="AJ2189" s="6">
        <f>MONTH(AK2189)</f>
        <v/>
      </c>
      <c r="AK2189" s="267">
        <f>IFERROR(__xludf.DUMMYFUNCTION("""COMPUTED_VALUE"""),45282.9986111111)</f>
        <v/>
      </c>
      <c r="AL2189" s="6">
        <f>IFERROR(__xludf.DUMMYFUNCTION("""COMPUTED_VALUE"""),44016.18)</f>
        <v/>
      </c>
      <c r="AP2189" s="6">
        <f>AQ2189&amp;AR2189</f>
        <v/>
      </c>
      <c r="AQ2189" s="6">
        <f>YEAR(AS2189)</f>
        <v/>
      </c>
      <c r="AR2189" s="6">
        <f>MONTH(AS2189)</f>
        <v/>
      </c>
    </row>
    <row r="2190">
      <c r="B2190" s="6">
        <f>C2190&amp;D2190</f>
        <v/>
      </c>
      <c r="C2190" s="6">
        <f>YEAR(E2190)</f>
        <v/>
      </c>
      <c r="D2190" s="6">
        <f>MONTH(E2190)</f>
        <v/>
      </c>
      <c r="J2190" s="6">
        <f>K2190&amp;L2190</f>
        <v/>
      </c>
      <c r="K2190" s="6">
        <f>YEAR(M2190)</f>
        <v/>
      </c>
      <c r="L2190" s="6">
        <f>MONTH(M2190)</f>
        <v/>
      </c>
      <c r="R2190" s="6">
        <f>S2190&amp;T2190</f>
        <v/>
      </c>
      <c r="S2190" s="6">
        <f>YEAR(U2190)</f>
        <v/>
      </c>
      <c r="T2190" s="6">
        <f>MONTH(U2190)</f>
        <v/>
      </c>
      <c r="Z2190" s="6">
        <f>AA2190&amp;AB2190</f>
        <v/>
      </c>
      <c r="AA2190" s="6">
        <f>YEAR(AC2190)</f>
        <v/>
      </c>
      <c r="AB2190" s="6">
        <f>MONTH(AC2190)</f>
        <v/>
      </c>
      <c r="AC2190" s="267">
        <f>IFERROR(__xludf.DUMMYFUNCTION("""COMPUTED_VALUE"""),45341.9986111111)</f>
        <v/>
      </c>
      <c r="AD2190" s="6">
        <f>IFERROR(__xludf.DUMMYFUNCTION("""COMPUTED_VALUE"""),1333.34)</f>
        <v/>
      </c>
      <c r="AH2190" s="6">
        <f>AI2190&amp;AJ2190</f>
        <v/>
      </c>
      <c r="AI2190" s="6">
        <f>YEAR(AK2190)</f>
        <v/>
      </c>
      <c r="AJ2190" s="6">
        <f>MONTH(AK2190)</f>
        <v/>
      </c>
      <c r="AK2190" s="267">
        <f>IFERROR(__xludf.DUMMYFUNCTION("""COMPUTED_VALUE"""),45283.9986111111)</f>
        <v/>
      </c>
      <c r="AL2190" s="6">
        <f>IFERROR(__xludf.DUMMYFUNCTION("""COMPUTED_VALUE"""),43768.45)</f>
        <v/>
      </c>
      <c r="AP2190" s="6">
        <f>AQ2190&amp;AR2190</f>
        <v/>
      </c>
      <c r="AQ2190" s="6">
        <f>YEAR(AS2190)</f>
        <v/>
      </c>
      <c r="AR2190" s="6">
        <f>MONTH(AS2190)</f>
        <v/>
      </c>
    </row>
    <row r="2191">
      <c r="B2191" s="6">
        <f>C2191&amp;D2191</f>
        <v/>
      </c>
      <c r="C2191" s="6">
        <f>YEAR(E2191)</f>
        <v/>
      </c>
      <c r="D2191" s="6">
        <f>MONTH(E2191)</f>
        <v/>
      </c>
      <c r="J2191" s="6">
        <f>K2191&amp;L2191</f>
        <v/>
      </c>
      <c r="K2191" s="6">
        <f>YEAR(M2191)</f>
        <v/>
      </c>
      <c r="L2191" s="6">
        <f>MONTH(M2191)</f>
        <v/>
      </c>
      <c r="R2191" s="6">
        <f>S2191&amp;T2191</f>
        <v/>
      </c>
      <c r="S2191" s="6">
        <f>YEAR(U2191)</f>
        <v/>
      </c>
      <c r="T2191" s="6">
        <f>MONTH(U2191)</f>
        <v/>
      </c>
      <c r="Z2191" s="6">
        <f>AA2191&amp;AB2191</f>
        <v/>
      </c>
      <c r="AA2191" s="6">
        <f>YEAR(AC2191)</f>
        <v/>
      </c>
      <c r="AB2191" s="6">
        <f>MONTH(AC2191)</f>
        <v/>
      </c>
      <c r="AC2191" s="267">
        <f>IFERROR(__xludf.DUMMYFUNCTION("""COMPUTED_VALUE"""),45342.9986111111)</f>
        <v/>
      </c>
      <c r="AD2191" s="6">
        <f>IFERROR(__xludf.DUMMYFUNCTION("""COMPUTED_VALUE"""),1333.75)</f>
        <v/>
      </c>
      <c r="AH2191" s="6">
        <f>AI2191&amp;AJ2191</f>
        <v/>
      </c>
      <c r="AI2191" s="6">
        <f>YEAR(AK2191)</f>
        <v/>
      </c>
      <c r="AJ2191" s="6">
        <f>MONTH(AK2191)</f>
        <v/>
      </c>
      <c r="AK2191" s="267">
        <f>IFERROR(__xludf.DUMMYFUNCTION("""COMPUTED_VALUE"""),45284.9986111111)</f>
        <v/>
      </c>
      <c r="AL2191" s="6">
        <f>IFERROR(__xludf.DUMMYFUNCTION("""COMPUTED_VALUE"""),43042.68)</f>
        <v/>
      </c>
      <c r="AP2191" s="6">
        <f>AQ2191&amp;AR2191</f>
        <v/>
      </c>
      <c r="AQ2191" s="6">
        <f>YEAR(AS2191)</f>
        <v/>
      </c>
      <c r="AR2191" s="6">
        <f>MONTH(AS2191)</f>
        <v/>
      </c>
    </row>
    <row r="2192">
      <c r="B2192" s="6">
        <f>C2192&amp;D2192</f>
        <v/>
      </c>
      <c r="C2192" s="6">
        <f>YEAR(E2192)</f>
        <v/>
      </c>
      <c r="D2192" s="6">
        <f>MONTH(E2192)</f>
        <v/>
      </c>
      <c r="J2192" s="6">
        <f>K2192&amp;L2192</f>
        <v/>
      </c>
      <c r="K2192" s="6">
        <f>YEAR(M2192)</f>
        <v/>
      </c>
      <c r="L2192" s="6">
        <f>MONTH(M2192)</f>
        <v/>
      </c>
      <c r="R2192" s="6">
        <f>S2192&amp;T2192</f>
        <v/>
      </c>
      <c r="S2192" s="6">
        <f>YEAR(U2192)</f>
        <v/>
      </c>
      <c r="T2192" s="6">
        <f>MONTH(U2192)</f>
        <v/>
      </c>
      <c r="Z2192" s="6">
        <f>AA2192&amp;AB2192</f>
        <v/>
      </c>
      <c r="AA2192" s="6">
        <f>YEAR(AC2192)</f>
        <v/>
      </c>
      <c r="AB2192" s="6">
        <f>MONTH(AC2192)</f>
        <v/>
      </c>
      <c r="AC2192" s="267">
        <f>IFERROR(__xludf.DUMMYFUNCTION("""COMPUTED_VALUE"""),45343.9986111111)</f>
        <v/>
      </c>
      <c r="AD2192" s="6">
        <f>IFERROR(__xludf.DUMMYFUNCTION("""COMPUTED_VALUE"""),1332.87)</f>
        <v/>
      </c>
      <c r="AH2192" s="6">
        <f>AI2192&amp;AJ2192</f>
        <v/>
      </c>
      <c r="AI2192" s="6">
        <f>YEAR(AK2192)</f>
        <v/>
      </c>
      <c r="AJ2192" s="6">
        <f>MONTH(AK2192)</f>
        <v/>
      </c>
      <c r="AK2192" s="267">
        <f>IFERROR(__xludf.DUMMYFUNCTION("""COMPUTED_VALUE"""),45285.9986111111)</f>
        <v/>
      </c>
      <c r="AL2192" s="6">
        <f>IFERROR(__xludf.DUMMYFUNCTION("""COMPUTED_VALUE"""),43608)</f>
        <v/>
      </c>
      <c r="AP2192" s="6">
        <f>AQ2192&amp;AR2192</f>
        <v/>
      </c>
      <c r="AQ2192" s="6">
        <f>YEAR(AS2192)</f>
        <v/>
      </c>
      <c r="AR2192" s="6">
        <f>MONTH(AS2192)</f>
        <v/>
      </c>
    </row>
    <row r="2193">
      <c r="B2193" s="6">
        <f>C2193&amp;D2193</f>
        <v/>
      </c>
      <c r="C2193" s="6">
        <f>YEAR(E2193)</f>
        <v/>
      </c>
      <c r="D2193" s="6">
        <f>MONTH(E2193)</f>
        <v/>
      </c>
      <c r="J2193" s="6">
        <f>K2193&amp;L2193</f>
        <v/>
      </c>
      <c r="K2193" s="6">
        <f>YEAR(M2193)</f>
        <v/>
      </c>
      <c r="L2193" s="6">
        <f>MONTH(M2193)</f>
        <v/>
      </c>
      <c r="R2193" s="6">
        <f>S2193&amp;T2193</f>
        <v/>
      </c>
      <c r="S2193" s="6">
        <f>YEAR(U2193)</f>
        <v/>
      </c>
      <c r="T2193" s="6">
        <f>MONTH(U2193)</f>
        <v/>
      </c>
      <c r="Z2193" s="6">
        <f>AA2193&amp;AB2193</f>
        <v/>
      </c>
      <c r="AA2193" s="6">
        <f>YEAR(AC2193)</f>
        <v/>
      </c>
      <c r="AB2193" s="6">
        <f>MONTH(AC2193)</f>
        <v/>
      </c>
      <c r="AC2193" s="267">
        <f>IFERROR(__xludf.DUMMYFUNCTION("""COMPUTED_VALUE"""),45344.9986111111)</f>
        <v/>
      </c>
      <c r="AD2193" s="6">
        <f>IFERROR(__xludf.DUMMYFUNCTION("""COMPUTED_VALUE"""),1327.17)</f>
        <v/>
      </c>
      <c r="AH2193" s="6">
        <f>AI2193&amp;AJ2193</f>
        <v/>
      </c>
      <c r="AI2193" s="6">
        <f>YEAR(AK2193)</f>
        <v/>
      </c>
      <c r="AJ2193" s="6">
        <f>MONTH(AK2193)</f>
        <v/>
      </c>
      <c r="AK2193" s="267">
        <f>IFERROR(__xludf.DUMMYFUNCTION("""COMPUTED_VALUE"""),45286.9986111111)</f>
        <v/>
      </c>
      <c r="AL2193" s="6">
        <f>IFERROR(__xludf.DUMMYFUNCTION("""COMPUTED_VALUE"""),42524.73)</f>
        <v/>
      </c>
      <c r="AP2193" s="6">
        <f>AQ2193&amp;AR2193</f>
        <v/>
      </c>
      <c r="AQ2193" s="6">
        <f>YEAR(AS2193)</f>
        <v/>
      </c>
      <c r="AR2193" s="6">
        <f>MONTH(AS2193)</f>
        <v/>
      </c>
    </row>
    <row r="2194">
      <c r="B2194" s="6">
        <f>C2194&amp;D2194</f>
        <v/>
      </c>
      <c r="C2194" s="6">
        <f>YEAR(E2194)</f>
        <v/>
      </c>
      <c r="D2194" s="6">
        <f>MONTH(E2194)</f>
        <v/>
      </c>
      <c r="J2194" s="6">
        <f>K2194&amp;L2194</f>
        <v/>
      </c>
      <c r="K2194" s="6">
        <f>YEAR(M2194)</f>
        <v/>
      </c>
      <c r="L2194" s="6">
        <f>MONTH(M2194)</f>
        <v/>
      </c>
      <c r="R2194" s="6">
        <f>S2194&amp;T2194</f>
        <v/>
      </c>
      <c r="S2194" s="6">
        <f>YEAR(U2194)</f>
        <v/>
      </c>
      <c r="T2194" s="6">
        <f>MONTH(U2194)</f>
        <v/>
      </c>
      <c r="Z2194" s="6">
        <f>AA2194&amp;AB2194</f>
        <v/>
      </c>
      <c r="AA2194" s="6">
        <f>YEAR(AC2194)</f>
        <v/>
      </c>
      <c r="AB2194" s="6">
        <f>MONTH(AC2194)</f>
        <v/>
      </c>
      <c r="AC2194" s="267">
        <f>IFERROR(__xludf.DUMMYFUNCTION("""COMPUTED_VALUE"""),45345.9986111111)</f>
        <v/>
      </c>
      <c r="AD2194" s="6">
        <f>IFERROR(__xludf.DUMMYFUNCTION("""COMPUTED_VALUE"""),1330)</f>
        <v/>
      </c>
      <c r="AH2194" s="6">
        <f>AI2194&amp;AJ2194</f>
        <v/>
      </c>
      <c r="AI2194" s="6">
        <f>YEAR(AK2194)</f>
        <v/>
      </c>
      <c r="AJ2194" s="6">
        <f>MONTH(AK2194)</f>
        <v/>
      </c>
      <c r="AK2194" s="267">
        <f>IFERROR(__xludf.DUMMYFUNCTION("""COMPUTED_VALUE"""),45287.9986111111)</f>
        <v/>
      </c>
      <c r="AL2194" s="6">
        <f>IFERROR(__xludf.DUMMYFUNCTION("""COMPUTED_VALUE"""),43469.43)</f>
        <v/>
      </c>
      <c r="AP2194" s="6">
        <f>AQ2194&amp;AR2194</f>
        <v/>
      </c>
      <c r="AQ2194" s="6">
        <f>YEAR(AS2194)</f>
        <v/>
      </c>
      <c r="AR2194" s="6">
        <f>MONTH(AS2194)</f>
        <v/>
      </c>
    </row>
    <row r="2195">
      <c r="B2195" s="6">
        <f>C2195&amp;D2195</f>
        <v/>
      </c>
      <c r="C2195" s="6">
        <f>YEAR(E2195)</f>
        <v/>
      </c>
      <c r="D2195" s="6">
        <f>MONTH(E2195)</f>
        <v/>
      </c>
      <c r="J2195" s="6">
        <f>K2195&amp;L2195</f>
        <v/>
      </c>
      <c r="K2195" s="6">
        <f>YEAR(M2195)</f>
        <v/>
      </c>
      <c r="L2195" s="6">
        <f>MONTH(M2195)</f>
        <v/>
      </c>
      <c r="R2195" s="6">
        <f>S2195&amp;T2195</f>
        <v/>
      </c>
      <c r="S2195" s="6">
        <f>YEAR(U2195)</f>
        <v/>
      </c>
      <c r="T2195" s="6">
        <f>MONTH(U2195)</f>
        <v/>
      </c>
      <c r="Z2195" s="6">
        <f>AA2195&amp;AB2195</f>
        <v/>
      </c>
      <c r="AA2195" s="6">
        <f>YEAR(AC2195)</f>
        <v/>
      </c>
      <c r="AB2195" s="6">
        <f>MONTH(AC2195)</f>
        <v/>
      </c>
      <c r="AC2195" s="267">
        <f>IFERROR(__xludf.DUMMYFUNCTION("""COMPUTED_VALUE"""),45346.9986111111)</f>
        <v/>
      </c>
      <c r="AD2195" s="6">
        <f>IFERROR(__xludf.DUMMYFUNCTION("""COMPUTED_VALUE"""),1330)</f>
        <v/>
      </c>
      <c r="AH2195" s="6">
        <f>AI2195&amp;AJ2195</f>
        <v/>
      </c>
      <c r="AI2195" s="6">
        <f>YEAR(AK2195)</f>
        <v/>
      </c>
      <c r="AJ2195" s="6">
        <f>MONTH(AK2195)</f>
        <v/>
      </c>
      <c r="AK2195" s="267">
        <f>IFERROR(__xludf.DUMMYFUNCTION("""COMPUTED_VALUE"""),45288.9986111111)</f>
        <v/>
      </c>
      <c r="AL2195" s="6">
        <f>IFERROR(__xludf.DUMMYFUNCTION("""COMPUTED_VALUE"""),42596.08)</f>
        <v/>
      </c>
      <c r="AP2195" s="6">
        <f>AQ2195&amp;AR2195</f>
        <v/>
      </c>
      <c r="AQ2195" s="6">
        <f>YEAR(AS2195)</f>
        <v/>
      </c>
      <c r="AR2195" s="6">
        <f>MONTH(AS2195)</f>
        <v/>
      </c>
    </row>
    <row r="2196">
      <c r="B2196" s="6">
        <f>C2196&amp;D2196</f>
        <v/>
      </c>
      <c r="C2196" s="6">
        <f>YEAR(E2196)</f>
        <v/>
      </c>
      <c r="D2196" s="6">
        <f>MONTH(E2196)</f>
        <v/>
      </c>
      <c r="J2196" s="6">
        <f>K2196&amp;L2196</f>
        <v/>
      </c>
      <c r="K2196" s="6">
        <f>YEAR(M2196)</f>
        <v/>
      </c>
      <c r="L2196" s="6">
        <f>MONTH(M2196)</f>
        <v/>
      </c>
      <c r="R2196" s="6">
        <f>S2196&amp;T2196</f>
        <v/>
      </c>
      <c r="S2196" s="6">
        <f>YEAR(U2196)</f>
        <v/>
      </c>
      <c r="T2196" s="6">
        <f>MONTH(U2196)</f>
        <v/>
      </c>
      <c r="Z2196" s="6">
        <f>AA2196&amp;AB2196</f>
        <v/>
      </c>
      <c r="AA2196" s="6">
        <f>YEAR(AC2196)</f>
        <v/>
      </c>
      <c r="AB2196" s="6">
        <f>MONTH(AC2196)</f>
        <v/>
      </c>
      <c r="AC2196" s="267">
        <f>IFERROR(__xludf.DUMMYFUNCTION("""COMPUTED_VALUE"""),45347.9986111111)</f>
        <v/>
      </c>
      <c r="AD2196" s="6">
        <f>IFERROR(__xludf.DUMMYFUNCTION("""COMPUTED_VALUE"""),1330)</f>
        <v/>
      </c>
      <c r="AH2196" s="6">
        <f>AI2196&amp;AJ2196</f>
        <v/>
      </c>
      <c r="AI2196" s="6">
        <f>YEAR(AK2196)</f>
        <v/>
      </c>
      <c r="AJ2196" s="6">
        <f>MONTH(AK2196)</f>
        <v/>
      </c>
      <c r="AK2196" s="267">
        <f>IFERROR(__xludf.DUMMYFUNCTION("""COMPUTED_VALUE"""),45289.9986111111)</f>
        <v/>
      </c>
      <c r="AL2196" s="6">
        <f>IFERROR(__xludf.DUMMYFUNCTION("""COMPUTED_VALUE"""),42088.24)</f>
        <v/>
      </c>
      <c r="AP2196" s="6">
        <f>AQ2196&amp;AR2196</f>
        <v/>
      </c>
      <c r="AQ2196" s="6">
        <f>YEAR(AS2196)</f>
        <v/>
      </c>
      <c r="AR2196" s="6">
        <f>MONTH(AS2196)</f>
        <v/>
      </c>
    </row>
    <row r="2197">
      <c r="B2197" s="6">
        <f>C2197&amp;D2197</f>
        <v/>
      </c>
      <c r="C2197" s="6">
        <f>YEAR(E2197)</f>
        <v/>
      </c>
      <c r="D2197" s="6">
        <f>MONTH(E2197)</f>
        <v/>
      </c>
      <c r="J2197" s="6">
        <f>K2197&amp;L2197</f>
        <v/>
      </c>
      <c r="K2197" s="6">
        <f>YEAR(M2197)</f>
        <v/>
      </c>
      <c r="L2197" s="6">
        <f>MONTH(M2197)</f>
        <v/>
      </c>
      <c r="R2197" s="6">
        <f>S2197&amp;T2197</f>
        <v/>
      </c>
      <c r="S2197" s="6">
        <f>YEAR(U2197)</f>
        <v/>
      </c>
      <c r="T2197" s="6">
        <f>MONTH(U2197)</f>
        <v/>
      </c>
      <c r="Z2197" s="6">
        <f>AA2197&amp;AB2197</f>
        <v/>
      </c>
      <c r="AA2197" s="6">
        <f>YEAR(AC2197)</f>
        <v/>
      </c>
      <c r="AB2197" s="6">
        <f>MONTH(AC2197)</f>
        <v/>
      </c>
      <c r="AC2197" s="267">
        <f>IFERROR(__xludf.DUMMYFUNCTION("""COMPUTED_VALUE"""),45348.9986111111)</f>
        <v/>
      </c>
      <c r="AD2197" s="6">
        <f>IFERROR(__xludf.DUMMYFUNCTION("""COMPUTED_VALUE"""),1331.72)</f>
        <v/>
      </c>
      <c r="AH2197" s="6">
        <f>AI2197&amp;AJ2197</f>
        <v/>
      </c>
      <c r="AI2197" s="6">
        <f>YEAR(AK2197)</f>
        <v/>
      </c>
      <c r="AJ2197" s="6">
        <f>MONTH(AK2197)</f>
        <v/>
      </c>
      <c r="AK2197" s="267">
        <f>IFERROR(__xludf.DUMMYFUNCTION("""COMPUTED_VALUE"""),45290.9986111111)</f>
        <v/>
      </c>
      <c r="AL2197" s="6">
        <f>IFERROR(__xludf.DUMMYFUNCTION("""COMPUTED_VALUE"""),42141.19)</f>
        <v/>
      </c>
      <c r="AP2197" s="6">
        <f>AQ2197&amp;AR2197</f>
        <v/>
      </c>
      <c r="AQ2197" s="6">
        <f>YEAR(AS2197)</f>
        <v/>
      </c>
      <c r="AR2197" s="6">
        <f>MONTH(AS2197)</f>
        <v/>
      </c>
    </row>
    <row r="2198">
      <c r="B2198" s="6">
        <f>C2198&amp;D2198</f>
        <v/>
      </c>
      <c r="C2198" s="6">
        <f>YEAR(E2198)</f>
        <v/>
      </c>
      <c r="D2198" s="6">
        <f>MONTH(E2198)</f>
        <v/>
      </c>
      <c r="J2198" s="6">
        <f>K2198&amp;L2198</f>
        <v/>
      </c>
      <c r="K2198" s="6">
        <f>YEAR(M2198)</f>
        <v/>
      </c>
      <c r="L2198" s="6">
        <f>MONTH(M2198)</f>
        <v/>
      </c>
      <c r="R2198" s="6">
        <f>S2198&amp;T2198</f>
        <v/>
      </c>
      <c r="S2198" s="6">
        <f>YEAR(U2198)</f>
        <v/>
      </c>
      <c r="T2198" s="6">
        <f>MONTH(U2198)</f>
        <v/>
      </c>
      <c r="Z2198" s="6">
        <f>AA2198&amp;AB2198</f>
        <v/>
      </c>
      <c r="AA2198" s="6">
        <f>YEAR(AC2198)</f>
        <v/>
      </c>
      <c r="AB2198" s="6">
        <f>MONTH(AC2198)</f>
        <v/>
      </c>
      <c r="AC2198" s="267">
        <f>IFERROR(__xludf.DUMMYFUNCTION("""COMPUTED_VALUE"""),45349.9986111111)</f>
        <v/>
      </c>
      <c r="AD2198" s="6">
        <f>IFERROR(__xludf.DUMMYFUNCTION("""COMPUTED_VALUE"""),1331.79)</f>
        <v/>
      </c>
      <c r="AH2198" s="6">
        <f>AI2198&amp;AJ2198</f>
        <v/>
      </c>
      <c r="AI2198" s="6">
        <f>YEAR(AK2198)</f>
        <v/>
      </c>
      <c r="AJ2198" s="6">
        <f>MONTH(AK2198)</f>
        <v/>
      </c>
      <c r="AK2198" s="267">
        <f>IFERROR(__xludf.DUMMYFUNCTION("""COMPUTED_VALUE"""),45291.9986111111)</f>
        <v/>
      </c>
      <c r="AL2198" s="6">
        <f>IFERROR(__xludf.DUMMYFUNCTION("""COMPUTED_VALUE"""),42291.37)</f>
        <v/>
      </c>
      <c r="AP2198" s="6">
        <f>AQ2198&amp;AR2198</f>
        <v/>
      </c>
      <c r="AQ2198" s="6">
        <f>YEAR(AS2198)</f>
        <v/>
      </c>
      <c r="AR2198" s="6">
        <f>MONTH(AS2198)</f>
        <v/>
      </c>
    </row>
    <row r="2199">
      <c r="B2199" s="6">
        <f>C2199&amp;D2199</f>
        <v/>
      </c>
      <c r="C2199" s="6">
        <f>YEAR(E2199)</f>
        <v/>
      </c>
      <c r="D2199" s="6">
        <f>MONTH(E2199)</f>
        <v/>
      </c>
      <c r="J2199" s="6">
        <f>K2199&amp;L2199</f>
        <v/>
      </c>
      <c r="K2199" s="6">
        <f>YEAR(M2199)</f>
        <v/>
      </c>
      <c r="L2199" s="6">
        <f>MONTH(M2199)</f>
        <v/>
      </c>
      <c r="R2199" s="6">
        <f>S2199&amp;T2199</f>
        <v/>
      </c>
      <c r="S2199" s="6">
        <f>YEAR(U2199)</f>
        <v/>
      </c>
      <c r="T2199" s="6">
        <f>MONTH(U2199)</f>
        <v/>
      </c>
      <c r="Z2199" s="6">
        <f>AA2199&amp;AB2199</f>
        <v/>
      </c>
      <c r="AA2199" s="6">
        <f>YEAR(AC2199)</f>
        <v/>
      </c>
      <c r="AB2199" s="6">
        <f>MONTH(AC2199)</f>
        <v/>
      </c>
      <c r="AC2199" s="267">
        <f>IFERROR(__xludf.DUMMYFUNCTION("""COMPUTED_VALUE"""),45350.9986111111)</f>
        <v/>
      </c>
      <c r="AD2199" s="6">
        <f>IFERROR(__xludf.DUMMYFUNCTION("""COMPUTED_VALUE"""),1333.38)</f>
        <v/>
      </c>
      <c r="AH2199" s="6">
        <f>AI2199&amp;AJ2199</f>
        <v/>
      </c>
      <c r="AI2199" s="6">
        <f>YEAR(AK2199)</f>
        <v/>
      </c>
      <c r="AJ2199" s="6">
        <f>MONTH(AK2199)</f>
        <v/>
      </c>
      <c r="AK2199" s="267">
        <f>IFERROR(__xludf.DUMMYFUNCTION("""COMPUTED_VALUE"""),45292.9986111111)</f>
        <v/>
      </c>
      <c r="AL2199" s="6">
        <f>IFERROR(__xludf.DUMMYFUNCTION("""COMPUTED_VALUE"""),44204.37)</f>
        <v/>
      </c>
      <c r="AP2199" s="6">
        <f>AQ2199&amp;AR2199</f>
        <v/>
      </c>
      <c r="AQ2199" s="6">
        <f>YEAR(AS2199)</f>
        <v/>
      </c>
      <c r="AR2199" s="6">
        <f>MONTH(AS2199)</f>
        <v/>
      </c>
    </row>
    <row r="2200">
      <c r="B2200" s="6">
        <f>C2200&amp;D2200</f>
        <v/>
      </c>
      <c r="C2200" s="6">
        <f>YEAR(E2200)</f>
        <v/>
      </c>
      <c r="D2200" s="6">
        <f>MONTH(E2200)</f>
        <v/>
      </c>
      <c r="J2200" s="6">
        <f>K2200&amp;L2200</f>
        <v/>
      </c>
      <c r="K2200" s="6">
        <f>YEAR(M2200)</f>
        <v/>
      </c>
      <c r="L2200" s="6">
        <f>MONTH(M2200)</f>
        <v/>
      </c>
      <c r="R2200" s="6">
        <f>S2200&amp;T2200</f>
        <v/>
      </c>
      <c r="S2200" s="6">
        <f>YEAR(U2200)</f>
        <v/>
      </c>
      <c r="T2200" s="6">
        <f>MONTH(U2200)</f>
        <v/>
      </c>
      <c r="Z2200" s="6">
        <f>AA2200&amp;AB2200</f>
        <v/>
      </c>
      <c r="AA2200" s="6">
        <f>YEAR(AC2200)</f>
        <v/>
      </c>
      <c r="AB2200" s="6">
        <f>MONTH(AC2200)</f>
        <v/>
      </c>
      <c r="AC2200" s="267">
        <f>IFERROR(__xludf.DUMMYFUNCTION("""COMPUTED_VALUE"""),45351.9986111111)</f>
        <v/>
      </c>
      <c r="AD2200" s="6">
        <f>IFERROR(__xludf.DUMMYFUNCTION("""COMPUTED_VALUE"""),1335.2)</f>
        <v/>
      </c>
      <c r="AH2200" s="6">
        <f>AI2200&amp;AJ2200</f>
        <v/>
      </c>
      <c r="AI2200" s="6">
        <f>YEAR(AK2200)</f>
        <v/>
      </c>
      <c r="AJ2200" s="6">
        <f>MONTH(AK2200)</f>
        <v/>
      </c>
      <c r="AK2200" s="267">
        <f>IFERROR(__xludf.DUMMYFUNCTION("""COMPUTED_VALUE"""),45293.9986111111)</f>
        <v/>
      </c>
      <c r="AL2200" s="6">
        <f>IFERROR(__xludf.DUMMYFUNCTION("""COMPUTED_VALUE"""),44971.76)</f>
        <v/>
      </c>
      <c r="AP2200" s="6">
        <f>AQ2200&amp;AR2200</f>
        <v/>
      </c>
      <c r="AQ2200" s="6">
        <f>YEAR(AS2200)</f>
        <v/>
      </c>
      <c r="AR2200" s="6">
        <f>MONTH(AS2200)</f>
        <v/>
      </c>
    </row>
    <row r="2201">
      <c r="B2201" s="6">
        <f>C2201&amp;D2201</f>
        <v/>
      </c>
      <c r="C2201" s="6">
        <f>YEAR(E2201)</f>
        <v/>
      </c>
      <c r="D2201" s="6">
        <f>MONTH(E2201)</f>
        <v/>
      </c>
      <c r="J2201" s="6">
        <f>K2201&amp;L2201</f>
        <v/>
      </c>
      <c r="K2201" s="6">
        <f>YEAR(M2201)</f>
        <v/>
      </c>
      <c r="L2201" s="6">
        <f>MONTH(M2201)</f>
        <v/>
      </c>
      <c r="R2201" s="6">
        <f>S2201&amp;T2201</f>
        <v/>
      </c>
      <c r="S2201" s="6">
        <f>YEAR(U2201)</f>
        <v/>
      </c>
      <c r="T2201" s="6">
        <f>MONTH(U2201)</f>
        <v/>
      </c>
      <c r="Z2201" s="6">
        <f>AA2201&amp;AB2201</f>
        <v/>
      </c>
      <c r="AA2201" s="6">
        <f>YEAR(AC2201)</f>
        <v/>
      </c>
      <c r="AB2201" s="6">
        <f>MONTH(AC2201)</f>
        <v/>
      </c>
      <c r="AC2201" s="267">
        <f>IFERROR(__xludf.DUMMYFUNCTION("""COMPUTED_VALUE"""),45352.9986111111)</f>
        <v/>
      </c>
      <c r="AD2201" s="6">
        <f>IFERROR(__xludf.DUMMYFUNCTION("""COMPUTED_VALUE"""),1330.9)</f>
        <v/>
      </c>
      <c r="AH2201" s="6">
        <f>AI2201&amp;AJ2201</f>
        <v/>
      </c>
      <c r="AI2201" s="6">
        <f>YEAR(AK2201)</f>
        <v/>
      </c>
      <c r="AJ2201" s="6">
        <f>MONTH(AK2201)</f>
        <v/>
      </c>
      <c r="AK2201" s="267">
        <f>IFERROR(__xludf.DUMMYFUNCTION("""COMPUTED_VALUE"""),45294.9986111111)</f>
        <v/>
      </c>
      <c r="AL2201" s="6">
        <f>IFERROR(__xludf.DUMMYFUNCTION("""COMPUTED_VALUE"""),42864.52)</f>
        <v/>
      </c>
      <c r="AP2201" s="6">
        <f>AQ2201&amp;AR2201</f>
        <v/>
      </c>
      <c r="AQ2201" s="6">
        <f>YEAR(AS2201)</f>
        <v/>
      </c>
      <c r="AR2201" s="6">
        <f>MONTH(AS2201)</f>
        <v/>
      </c>
    </row>
    <row r="2202">
      <c r="B2202" s="6">
        <f>C2202&amp;D2202</f>
        <v/>
      </c>
      <c r="C2202" s="6">
        <f>YEAR(E2202)</f>
        <v/>
      </c>
      <c r="D2202" s="6">
        <f>MONTH(E2202)</f>
        <v/>
      </c>
      <c r="J2202" s="6">
        <f>K2202&amp;L2202</f>
        <v/>
      </c>
      <c r="K2202" s="6">
        <f>YEAR(M2202)</f>
        <v/>
      </c>
      <c r="L2202" s="6">
        <f>MONTH(M2202)</f>
        <v/>
      </c>
      <c r="R2202" s="6">
        <f>S2202&amp;T2202</f>
        <v/>
      </c>
      <c r="S2202" s="6">
        <f>YEAR(U2202)</f>
        <v/>
      </c>
      <c r="T2202" s="6">
        <f>MONTH(U2202)</f>
        <v/>
      </c>
      <c r="Z2202" s="6">
        <f>AA2202&amp;AB2202</f>
        <v/>
      </c>
      <c r="AA2202" s="6">
        <f>YEAR(AC2202)</f>
        <v/>
      </c>
      <c r="AB2202" s="6">
        <f>MONTH(AC2202)</f>
        <v/>
      </c>
      <c r="AC2202" s="267">
        <f>IFERROR(__xludf.DUMMYFUNCTION("""COMPUTED_VALUE"""),45353.9986111111)</f>
        <v/>
      </c>
      <c r="AD2202" s="6">
        <f>IFERROR(__xludf.DUMMYFUNCTION("""COMPUTED_VALUE"""),1330.9)</f>
        <v/>
      </c>
      <c r="AH2202" s="6">
        <f>AI2202&amp;AJ2202</f>
        <v/>
      </c>
      <c r="AI2202" s="6">
        <f>YEAR(AK2202)</f>
        <v/>
      </c>
      <c r="AJ2202" s="6">
        <f>MONTH(AK2202)</f>
        <v/>
      </c>
      <c r="AK2202" s="267">
        <f>IFERROR(__xludf.DUMMYFUNCTION("""COMPUTED_VALUE"""),45295.9986111111)</f>
        <v/>
      </c>
      <c r="AL2202" s="6">
        <f>IFERROR(__xludf.DUMMYFUNCTION("""COMPUTED_VALUE"""),44202.17)</f>
        <v/>
      </c>
      <c r="AP2202" s="6">
        <f>AQ2202&amp;AR2202</f>
        <v/>
      </c>
      <c r="AQ2202" s="6">
        <f>YEAR(AS2202)</f>
        <v/>
      </c>
      <c r="AR2202" s="6">
        <f>MONTH(AS2202)</f>
        <v/>
      </c>
    </row>
    <row r="2203">
      <c r="B2203" s="6">
        <f>C2203&amp;D2203</f>
        <v/>
      </c>
      <c r="C2203" s="6">
        <f>YEAR(E2203)</f>
        <v/>
      </c>
      <c r="D2203" s="6">
        <f>MONTH(E2203)</f>
        <v/>
      </c>
      <c r="J2203" s="6">
        <f>K2203&amp;L2203</f>
        <v/>
      </c>
      <c r="K2203" s="6">
        <f>YEAR(M2203)</f>
        <v/>
      </c>
      <c r="L2203" s="6">
        <f>MONTH(M2203)</f>
        <v/>
      </c>
      <c r="R2203" s="6">
        <f>S2203&amp;T2203</f>
        <v/>
      </c>
      <c r="S2203" s="6">
        <f>YEAR(U2203)</f>
        <v/>
      </c>
      <c r="T2203" s="6">
        <f>MONTH(U2203)</f>
        <v/>
      </c>
      <c r="Z2203" s="6">
        <f>AA2203&amp;AB2203</f>
        <v/>
      </c>
      <c r="AA2203" s="6">
        <f>YEAR(AC2203)</f>
        <v/>
      </c>
      <c r="AB2203" s="6">
        <f>MONTH(AC2203)</f>
        <v/>
      </c>
      <c r="AC2203" s="267">
        <f>IFERROR(__xludf.DUMMYFUNCTION("""COMPUTED_VALUE"""),45354.9986111111)</f>
        <v/>
      </c>
      <c r="AD2203" s="6">
        <f>IFERROR(__xludf.DUMMYFUNCTION("""COMPUTED_VALUE"""),1330.9)</f>
        <v/>
      </c>
      <c r="AH2203" s="6">
        <f>AI2203&amp;AJ2203</f>
        <v/>
      </c>
      <c r="AI2203" s="6">
        <f>YEAR(AK2203)</f>
        <v/>
      </c>
      <c r="AJ2203" s="6">
        <f>MONTH(AK2203)</f>
        <v/>
      </c>
      <c r="AK2203" s="267">
        <f>IFERROR(__xludf.DUMMYFUNCTION("""COMPUTED_VALUE"""),45296.9986111111)</f>
        <v/>
      </c>
      <c r="AL2203" s="6">
        <f>IFERROR(__xludf.DUMMYFUNCTION("""COMPUTED_VALUE"""),44185.63)</f>
        <v/>
      </c>
      <c r="AP2203" s="6">
        <f>AQ2203&amp;AR2203</f>
        <v/>
      </c>
      <c r="AQ2203" s="6">
        <f>YEAR(AS2203)</f>
        <v/>
      </c>
      <c r="AR2203" s="6">
        <f>MONTH(AS2203)</f>
        <v/>
      </c>
    </row>
    <row r="2204">
      <c r="B2204" s="6">
        <f>C2204&amp;D2204</f>
        <v/>
      </c>
      <c r="C2204" s="6">
        <f>YEAR(E2204)</f>
        <v/>
      </c>
      <c r="D2204" s="6">
        <f>MONTH(E2204)</f>
        <v/>
      </c>
      <c r="J2204" s="6">
        <f>K2204&amp;L2204</f>
        <v/>
      </c>
      <c r="K2204" s="6">
        <f>YEAR(M2204)</f>
        <v/>
      </c>
      <c r="L2204" s="6">
        <f>MONTH(M2204)</f>
        <v/>
      </c>
      <c r="R2204" s="6">
        <f>S2204&amp;T2204</f>
        <v/>
      </c>
      <c r="S2204" s="6">
        <f>YEAR(U2204)</f>
        <v/>
      </c>
      <c r="T2204" s="6">
        <f>MONTH(U2204)</f>
        <v/>
      </c>
      <c r="Z2204" s="6">
        <f>AA2204&amp;AB2204</f>
        <v/>
      </c>
      <c r="AA2204" s="6">
        <f>YEAR(AC2204)</f>
        <v/>
      </c>
      <c r="AB2204" s="6">
        <f>MONTH(AC2204)</f>
        <v/>
      </c>
      <c r="AC2204" s="267">
        <f>IFERROR(__xludf.DUMMYFUNCTION("""COMPUTED_VALUE"""),45355.9986111111)</f>
        <v/>
      </c>
      <c r="AD2204" s="6">
        <f>IFERROR(__xludf.DUMMYFUNCTION("""COMPUTED_VALUE"""),1328.94)</f>
        <v/>
      </c>
      <c r="AH2204" s="6">
        <f>AI2204&amp;AJ2204</f>
        <v/>
      </c>
      <c r="AI2204" s="6">
        <f>YEAR(AK2204)</f>
        <v/>
      </c>
      <c r="AJ2204" s="6">
        <f>MONTH(AK2204)</f>
        <v/>
      </c>
      <c r="AK2204" s="267">
        <f>IFERROR(__xludf.DUMMYFUNCTION("""COMPUTED_VALUE"""),45297.9986111111)</f>
        <v/>
      </c>
      <c r="AL2204" s="6">
        <f>IFERROR(__xludf.DUMMYFUNCTION("""COMPUTED_VALUE"""),44003.69)</f>
        <v/>
      </c>
      <c r="AP2204" s="6">
        <f>AQ2204&amp;AR2204</f>
        <v/>
      </c>
      <c r="AQ2204" s="6">
        <f>YEAR(AS2204)</f>
        <v/>
      </c>
      <c r="AR2204" s="6">
        <f>MONTH(AS2204)</f>
        <v/>
      </c>
    </row>
    <row r="2205">
      <c r="B2205" s="6">
        <f>C2205&amp;D2205</f>
        <v/>
      </c>
      <c r="C2205" s="6">
        <f>YEAR(E2205)</f>
        <v/>
      </c>
      <c r="D2205" s="6">
        <f>MONTH(E2205)</f>
        <v/>
      </c>
      <c r="J2205" s="6">
        <f>K2205&amp;L2205</f>
        <v/>
      </c>
      <c r="K2205" s="6">
        <f>YEAR(M2205)</f>
        <v/>
      </c>
      <c r="L2205" s="6">
        <f>MONTH(M2205)</f>
        <v/>
      </c>
      <c r="R2205" s="6">
        <f>S2205&amp;T2205</f>
        <v/>
      </c>
      <c r="S2205" s="6">
        <f>YEAR(U2205)</f>
        <v/>
      </c>
      <c r="T2205" s="6">
        <f>MONTH(U2205)</f>
        <v/>
      </c>
      <c r="Z2205" s="6">
        <f>AA2205&amp;AB2205</f>
        <v/>
      </c>
      <c r="AA2205" s="6">
        <f>YEAR(AC2205)</f>
        <v/>
      </c>
      <c r="AB2205" s="6">
        <f>MONTH(AC2205)</f>
        <v/>
      </c>
      <c r="AC2205" s="267">
        <f>IFERROR(__xludf.DUMMYFUNCTION("""COMPUTED_VALUE"""),45356.9986111111)</f>
        <v/>
      </c>
      <c r="AD2205" s="6">
        <f>IFERROR(__xludf.DUMMYFUNCTION("""COMPUTED_VALUE"""),1333.43)</f>
        <v/>
      </c>
      <c r="AH2205" s="6">
        <f>AI2205&amp;AJ2205</f>
        <v/>
      </c>
      <c r="AI2205" s="6">
        <f>YEAR(AK2205)</f>
        <v/>
      </c>
      <c r="AJ2205" s="6">
        <f>MONTH(AK2205)</f>
        <v/>
      </c>
      <c r="AK2205" s="267">
        <f>IFERROR(__xludf.DUMMYFUNCTION("""COMPUTED_VALUE"""),45298.9986111111)</f>
        <v/>
      </c>
      <c r="AL2205" s="6">
        <f>IFERROR(__xludf.DUMMYFUNCTION("""COMPUTED_VALUE"""),43940.36)</f>
        <v/>
      </c>
      <c r="AP2205" s="6">
        <f>AQ2205&amp;AR2205</f>
        <v/>
      </c>
      <c r="AQ2205" s="6">
        <f>YEAR(AS2205)</f>
        <v/>
      </c>
      <c r="AR2205" s="6">
        <f>MONTH(AS2205)</f>
        <v/>
      </c>
    </row>
    <row r="2206">
      <c r="B2206" s="6">
        <f>C2206&amp;D2206</f>
        <v/>
      </c>
      <c r="C2206" s="6">
        <f>YEAR(E2206)</f>
        <v/>
      </c>
      <c r="D2206" s="6">
        <f>MONTH(E2206)</f>
        <v/>
      </c>
      <c r="J2206" s="6">
        <f>K2206&amp;L2206</f>
        <v/>
      </c>
      <c r="K2206" s="6">
        <f>YEAR(M2206)</f>
        <v/>
      </c>
      <c r="L2206" s="6">
        <f>MONTH(M2206)</f>
        <v/>
      </c>
      <c r="R2206" s="6">
        <f>S2206&amp;T2206</f>
        <v/>
      </c>
      <c r="S2206" s="6">
        <f>YEAR(U2206)</f>
        <v/>
      </c>
      <c r="T2206" s="6">
        <f>MONTH(U2206)</f>
        <v/>
      </c>
      <c r="Z2206" s="6">
        <f>AA2206&amp;AB2206</f>
        <v/>
      </c>
      <c r="AA2206" s="6">
        <f>YEAR(AC2206)</f>
        <v/>
      </c>
      <c r="AB2206" s="6">
        <f>MONTH(AC2206)</f>
        <v/>
      </c>
      <c r="AC2206" s="267">
        <f>IFERROR(__xludf.DUMMYFUNCTION("""COMPUTED_VALUE"""),45357.9986111111)</f>
        <v/>
      </c>
      <c r="AD2206" s="6">
        <f>IFERROR(__xludf.DUMMYFUNCTION("""COMPUTED_VALUE"""),1327.09)</f>
        <v/>
      </c>
      <c r="AH2206" s="6">
        <f>AI2206&amp;AJ2206</f>
        <v/>
      </c>
      <c r="AI2206" s="6">
        <f>YEAR(AK2206)</f>
        <v/>
      </c>
      <c r="AJ2206" s="6">
        <f>MONTH(AK2206)</f>
        <v/>
      </c>
      <c r="AK2206" s="267">
        <f>IFERROR(__xludf.DUMMYFUNCTION("""COMPUTED_VALUE"""),45299.9986111111)</f>
        <v/>
      </c>
      <c r="AL2206" s="6">
        <f>IFERROR(__xludf.DUMMYFUNCTION("""COMPUTED_VALUE"""),46986.92)</f>
        <v/>
      </c>
      <c r="AP2206" s="6">
        <f>AQ2206&amp;AR2206</f>
        <v/>
      </c>
      <c r="AQ2206" s="6">
        <f>YEAR(AS2206)</f>
        <v/>
      </c>
      <c r="AR2206" s="6">
        <f>MONTH(AS2206)</f>
        <v/>
      </c>
    </row>
    <row r="2207">
      <c r="B2207" s="6">
        <f>C2207&amp;D2207</f>
        <v/>
      </c>
      <c r="C2207" s="6">
        <f>YEAR(E2207)</f>
        <v/>
      </c>
      <c r="D2207" s="6">
        <f>MONTH(E2207)</f>
        <v/>
      </c>
      <c r="J2207" s="6">
        <f>K2207&amp;L2207</f>
        <v/>
      </c>
      <c r="K2207" s="6">
        <f>YEAR(M2207)</f>
        <v/>
      </c>
      <c r="L2207" s="6">
        <f>MONTH(M2207)</f>
        <v/>
      </c>
      <c r="R2207" s="6">
        <f>S2207&amp;T2207</f>
        <v/>
      </c>
      <c r="S2207" s="6">
        <f>YEAR(U2207)</f>
        <v/>
      </c>
      <c r="T2207" s="6">
        <f>MONTH(U2207)</f>
        <v/>
      </c>
      <c r="Z2207" s="6">
        <f>AA2207&amp;AB2207</f>
        <v/>
      </c>
      <c r="AA2207" s="6">
        <f>YEAR(AC2207)</f>
        <v/>
      </c>
      <c r="AB2207" s="6">
        <f>MONTH(AC2207)</f>
        <v/>
      </c>
      <c r="AC2207" s="267">
        <f>IFERROR(__xludf.DUMMYFUNCTION("""COMPUTED_VALUE"""),45358.9986111111)</f>
        <v/>
      </c>
      <c r="AD2207" s="6">
        <f>IFERROR(__xludf.DUMMYFUNCTION("""COMPUTED_VALUE"""),1321.18)</f>
        <v/>
      </c>
      <c r="AH2207" s="6">
        <f>AI2207&amp;AJ2207</f>
        <v/>
      </c>
      <c r="AI2207" s="6">
        <f>YEAR(AK2207)</f>
        <v/>
      </c>
      <c r="AJ2207" s="6">
        <f>MONTH(AK2207)</f>
        <v/>
      </c>
      <c r="AK2207" s="267">
        <f>IFERROR(__xludf.DUMMYFUNCTION("""COMPUTED_VALUE"""),45300.9986111111)</f>
        <v/>
      </c>
      <c r="AL2207" s="6">
        <f>IFERROR(__xludf.DUMMYFUNCTION("""COMPUTED_VALUE"""),46129.09)</f>
        <v/>
      </c>
      <c r="AP2207" s="6">
        <f>AQ2207&amp;AR2207</f>
        <v/>
      </c>
      <c r="AQ2207" s="6">
        <f>YEAR(AS2207)</f>
        <v/>
      </c>
      <c r="AR2207" s="6">
        <f>MONTH(AS2207)</f>
        <v/>
      </c>
    </row>
    <row r="2208">
      <c r="B2208" s="6">
        <f>C2208&amp;D2208</f>
        <v/>
      </c>
      <c r="C2208" s="6">
        <f>YEAR(E2208)</f>
        <v/>
      </c>
      <c r="D2208" s="6">
        <f>MONTH(E2208)</f>
        <v/>
      </c>
      <c r="J2208" s="6">
        <f>K2208&amp;L2208</f>
        <v/>
      </c>
      <c r="K2208" s="6">
        <f>YEAR(M2208)</f>
        <v/>
      </c>
      <c r="L2208" s="6">
        <f>MONTH(M2208)</f>
        <v/>
      </c>
      <c r="R2208" s="6">
        <f>S2208&amp;T2208</f>
        <v/>
      </c>
      <c r="S2208" s="6">
        <f>YEAR(U2208)</f>
        <v/>
      </c>
      <c r="T2208" s="6">
        <f>MONTH(U2208)</f>
        <v/>
      </c>
      <c r="Z2208" s="6">
        <f>AA2208&amp;AB2208</f>
        <v/>
      </c>
      <c r="AA2208" s="6">
        <f>YEAR(AC2208)</f>
        <v/>
      </c>
      <c r="AB2208" s="6">
        <f>MONTH(AC2208)</f>
        <v/>
      </c>
      <c r="AC2208" s="267">
        <f>IFERROR(__xludf.DUMMYFUNCTION("""COMPUTED_VALUE"""),45359.9986111111)</f>
        <v/>
      </c>
      <c r="AD2208" s="6">
        <f>IFERROR(__xludf.DUMMYFUNCTION("""COMPUTED_VALUE"""),1315.98)</f>
        <v/>
      </c>
      <c r="AH2208" s="6">
        <f>AI2208&amp;AJ2208</f>
        <v/>
      </c>
      <c r="AI2208" s="6">
        <f>YEAR(AK2208)</f>
        <v/>
      </c>
      <c r="AJ2208" s="6">
        <f>MONTH(AK2208)</f>
        <v/>
      </c>
      <c r="AK2208" s="267">
        <f>IFERROR(__xludf.DUMMYFUNCTION("""COMPUTED_VALUE"""),45301.9986111111)</f>
        <v/>
      </c>
      <c r="AL2208" s="6">
        <f>IFERROR(__xludf.DUMMYFUNCTION("""COMPUTED_VALUE"""),46662.4)</f>
        <v/>
      </c>
      <c r="AP2208" s="6">
        <f>AQ2208&amp;AR2208</f>
        <v/>
      </c>
      <c r="AQ2208" s="6">
        <f>YEAR(AS2208)</f>
        <v/>
      </c>
      <c r="AR2208" s="6">
        <f>MONTH(AS2208)</f>
        <v/>
      </c>
    </row>
    <row r="2209">
      <c r="B2209" s="6">
        <f>C2209&amp;D2209</f>
        <v/>
      </c>
      <c r="C2209" s="6">
        <f>YEAR(E2209)</f>
        <v/>
      </c>
      <c r="D2209" s="6">
        <f>MONTH(E2209)</f>
        <v/>
      </c>
      <c r="J2209" s="6">
        <f>K2209&amp;L2209</f>
        <v/>
      </c>
      <c r="K2209" s="6">
        <f>YEAR(M2209)</f>
        <v/>
      </c>
      <c r="L2209" s="6">
        <f>MONTH(M2209)</f>
        <v/>
      </c>
      <c r="R2209" s="6">
        <f>S2209&amp;T2209</f>
        <v/>
      </c>
      <c r="S2209" s="6">
        <f>YEAR(U2209)</f>
        <v/>
      </c>
      <c r="T2209" s="6">
        <f>MONTH(U2209)</f>
        <v/>
      </c>
      <c r="Z2209" s="6">
        <f>AA2209&amp;AB2209</f>
        <v/>
      </c>
      <c r="AA2209" s="6">
        <f>YEAR(AC2209)</f>
        <v/>
      </c>
      <c r="AB2209" s="6">
        <f>MONTH(AC2209)</f>
        <v/>
      </c>
      <c r="AC2209" s="267">
        <f>IFERROR(__xludf.DUMMYFUNCTION("""COMPUTED_VALUE"""),45360.9986111111)</f>
        <v/>
      </c>
      <c r="AD2209" s="6">
        <f>IFERROR(__xludf.DUMMYFUNCTION("""COMPUTED_VALUE"""),1315.98)</f>
        <v/>
      </c>
      <c r="AH2209" s="6">
        <f>AI2209&amp;AJ2209</f>
        <v/>
      </c>
      <c r="AI2209" s="6">
        <f>YEAR(AK2209)</f>
        <v/>
      </c>
      <c r="AJ2209" s="6">
        <f>MONTH(AK2209)</f>
        <v/>
      </c>
      <c r="AK2209" s="267">
        <f>IFERROR(__xludf.DUMMYFUNCTION("""COMPUTED_VALUE"""),45302.9986111111)</f>
        <v/>
      </c>
      <c r="AL2209" s="6">
        <f>IFERROR(__xludf.DUMMYFUNCTION("""COMPUTED_VALUE"""),46348.52)</f>
        <v/>
      </c>
      <c r="AP2209" s="6">
        <f>AQ2209&amp;AR2209</f>
        <v/>
      </c>
      <c r="AQ2209" s="6">
        <f>YEAR(AS2209)</f>
        <v/>
      </c>
      <c r="AR2209" s="6">
        <f>MONTH(AS2209)</f>
        <v/>
      </c>
    </row>
    <row r="2210">
      <c r="B2210" s="6">
        <f>C2210&amp;D2210</f>
        <v/>
      </c>
      <c r="C2210" s="6">
        <f>YEAR(E2210)</f>
        <v/>
      </c>
      <c r="D2210" s="6">
        <f>MONTH(E2210)</f>
        <v/>
      </c>
      <c r="J2210" s="6">
        <f>K2210&amp;L2210</f>
        <v/>
      </c>
      <c r="K2210" s="6">
        <f>YEAR(M2210)</f>
        <v/>
      </c>
      <c r="L2210" s="6">
        <f>MONTH(M2210)</f>
        <v/>
      </c>
      <c r="R2210" s="6">
        <f>S2210&amp;T2210</f>
        <v/>
      </c>
      <c r="S2210" s="6">
        <f>YEAR(U2210)</f>
        <v/>
      </c>
      <c r="T2210" s="6">
        <f>MONTH(U2210)</f>
        <v/>
      </c>
      <c r="Z2210" s="6">
        <f>AA2210&amp;AB2210</f>
        <v/>
      </c>
      <c r="AA2210" s="6">
        <f>YEAR(AC2210)</f>
        <v/>
      </c>
      <c r="AB2210" s="6">
        <f>MONTH(AC2210)</f>
        <v/>
      </c>
      <c r="AC2210" s="267">
        <f>IFERROR(__xludf.DUMMYFUNCTION("""COMPUTED_VALUE"""),45361.9986111111)</f>
        <v/>
      </c>
      <c r="AD2210" s="6">
        <f>IFERROR(__xludf.DUMMYFUNCTION("""COMPUTED_VALUE"""),1315.98)</f>
        <v/>
      </c>
      <c r="AH2210" s="6">
        <f>AI2210&amp;AJ2210</f>
        <v/>
      </c>
      <c r="AI2210" s="6">
        <f>YEAR(AK2210)</f>
        <v/>
      </c>
      <c r="AJ2210" s="6">
        <f>MONTH(AK2210)</f>
        <v/>
      </c>
      <c r="AK2210" s="267">
        <f>IFERROR(__xludf.DUMMYFUNCTION("""COMPUTED_VALUE"""),45303.9986111111)</f>
        <v/>
      </c>
      <c r="AL2210" s="6">
        <f>IFERROR(__xludf.DUMMYFUNCTION("""COMPUTED_VALUE"""),42802.15)</f>
        <v/>
      </c>
      <c r="AP2210" s="6">
        <f>AQ2210&amp;AR2210</f>
        <v/>
      </c>
      <c r="AQ2210" s="6">
        <f>YEAR(AS2210)</f>
        <v/>
      </c>
      <c r="AR2210" s="6">
        <f>MONTH(AS2210)</f>
        <v/>
      </c>
    </row>
    <row r="2211">
      <c r="B2211" s="6">
        <f>C2211&amp;D2211</f>
        <v/>
      </c>
      <c r="C2211" s="6">
        <f>YEAR(E2211)</f>
        <v/>
      </c>
      <c r="D2211" s="6">
        <f>MONTH(E2211)</f>
        <v/>
      </c>
      <c r="J2211" s="6">
        <f>K2211&amp;L2211</f>
        <v/>
      </c>
      <c r="K2211" s="6">
        <f>YEAR(M2211)</f>
        <v/>
      </c>
      <c r="L2211" s="6">
        <f>MONTH(M2211)</f>
        <v/>
      </c>
      <c r="R2211" s="6">
        <f>S2211&amp;T2211</f>
        <v/>
      </c>
      <c r="S2211" s="6">
        <f>YEAR(U2211)</f>
        <v/>
      </c>
      <c r="T2211" s="6">
        <f>MONTH(U2211)</f>
        <v/>
      </c>
      <c r="Z2211" s="6">
        <f>AA2211&amp;AB2211</f>
        <v/>
      </c>
      <c r="AA2211" s="6">
        <f>YEAR(AC2211)</f>
        <v/>
      </c>
      <c r="AB2211" s="6">
        <f>MONTH(AC2211)</f>
        <v/>
      </c>
      <c r="AC2211" s="267">
        <f>IFERROR(__xludf.DUMMYFUNCTION("""COMPUTED_VALUE"""),45362.9986111111)</f>
        <v/>
      </c>
      <c r="AD2211" s="6">
        <f>IFERROR(__xludf.DUMMYFUNCTION("""COMPUTED_VALUE"""),1310.54)</f>
        <v/>
      </c>
      <c r="AH2211" s="6">
        <f>AI2211&amp;AJ2211</f>
        <v/>
      </c>
      <c r="AI2211" s="6">
        <f>YEAR(AK2211)</f>
        <v/>
      </c>
      <c r="AJ2211" s="6">
        <f>MONTH(AK2211)</f>
        <v/>
      </c>
      <c r="AK2211" s="267">
        <f>IFERROR(__xludf.DUMMYFUNCTION("""COMPUTED_VALUE"""),45304.9986111111)</f>
        <v/>
      </c>
      <c r="AL2211" s="6">
        <f>IFERROR(__xludf.DUMMYFUNCTION("""COMPUTED_VALUE"""),42848.36)</f>
        <v/>
      </c>
      <c r="AP2211" s="6">
        <f>AQ2211&amp;AR2211</f>
        <v/>
      </c>
      <c r="AQ2211" s="6">
        <f>YEAR(AS2211)</f>
        <v/>
      </c>
      <c r="AR2211" s="6">
        <f>MONTH(AS2211)</f>
        <v/>
      </c>
    </row>
    <row r="2212">
      <c r="B2212" s="6">
        <f>C2212&amp;D2212</f>
        <v/>
      </c>
      <c r="C2212" s="6">
        <f>YEAR(E2212)</f>
        <v/>
      </c>
      <c r="D2212" s="6">
        <f>MONTH(E2212)</f>
        <v/>
      </c>
      <c r="J2212" s="6">
        <f>K2212&amp;L2212</f>
        <v/>
      </c>
      <c r="K2212" s="6">
        <f>YEAR(M2212)</f>
        <v/>
      </c>
      <c r="L2212" s="6">
        <f>MONTH(M2212)</f>
        <v/>
      </c>
      <c r="R2212" s="6">
        <f>S2212&amp;T2212</f>
        <v/>
      </c>
      <c r="S2212" s="6">
        <f>YEAR(U2212)</f>
        <v/>
      </c>
      <c r="T2212" s="6">
        <f>MONTH(U2212)</f>
        <v/>
      </c>
      <c r="Z2212" s="6">
        <f>AA2212&amp;AB2212</f>
        <v/>
      </c>
      <c r="AA2212" s="6">
        <f>YEAR(AC2212)</f>
        <v/>
      </c>
      <c r="AB2212" s="6">
        <f>MONTH(AC2212)</f>
        <v/>
      </c>
      <c r="AC2212" s="267">
        <f>IFERROR(__xludf.DUMMYFUNCTION("""COMPUTED_VALUE"""),45363.9986111111)</f>
        <v/>
      </c>
      <c r="AD2212" s="6">
        <f>IFERROR(__xludf.DUMMYFUNCTION("""COMPUTED_VALUE"""),1311.15)</f>
        <v/>
      </c>
      <c r="AH2212" s="6">
        <f>AI2212&amp;AJ2212</f>
        <v/>
      </c>
      <c r="AI2212" s="6">
        <f>YEAR(AK2212)</f>
        <v/>
      </c>
      <c r="AJ2212" s="6">
        <f>MONTH(AK2212)</f>
        <v/>
      </c>
      <c r="AK2212" s="267">
        <f>IFERROR(__xludf.DUMMYFUNCTION("""COMPUTED_VALUE"""),45305.9986111111)</f>
        <v/>
      </c>
      <c r="AL2212" s="6">
        <f>IFERROR(__xludf.DUMMYFUNCTION("""COMPUTED_VALUE"""),41920.39)</f>
        <v/>
      </c>
      <c r="AP2212" s="6">
        <f>AQ2212&amp;AR2212</f>
        <v/>
      </c>
      <c r="AQ2212" s="6">
        <f>YEAR(AS2212)</f>
        <v/>
      </c>
      <c r="AR2212" s="6">
        <f>MONTH(AS2212)</f>
        <v/>
      </c>
    </row>
    <row r="2213">
      <c r="B2213" s="6">
        <f>C2213&amp;D2213</f>
        <v/>
      </c>
      <c r="C2213" s="6">
        <f>YEAR(E2213)</f>
        <v/>
      </c>
      <c r="D2213" s="6">
        <f>MONTH(E2213)</f>
        <v/>
      </c>
      <c r="J2213" s="6">
        <f>K2213&amp;L2213</f>
        <v/>
      </c>
      <c r="K2213" s="6">
        <f>YEAR(M2213)</f>
        <v/>
      </c>
      <c r="L2213" s="6">
        <f>MONTH(M2213)</f>
        <v/>
      </c>
      <c r="R2213" s="6">
        <f>S2213&amp;T2213</f>
        <v/>
      </c>
      <c r="S2213" s="6">
        <f>YEAR(U2213)</f>
        <v/>
      </c>
      <c r="T2213" s="6">
        <f>MONTH(U2213)</f>
        <v/>
      </c>
      <c r="Z2213" s="6">
        <f>AA2213&amp;AB2213</f>
        <v/>
      </c>
      <c r="AA2213" s="6">
        <f>YEAR(AC2213)</f>
        <v/>
      </c>
      <c r="AB2213" s="6">
        <f>MONTH(AC2213)</f>
        <v/>
      </c>
      <c r="AC2213" s="267">
        <f>IFERROR(__xludf.DUMMYFUNCTION("""COMPUTED_VALUE"""),45364.9986111111)</f>
        <v/>
      </c>
      <c r="AD2213" s="6">
        <f>IFERROR(__xludf.DUMMYFUNCTION("""COMPUTED_VALUE"""),1313.65)</f>
        <v/>
      </c>
      <c r="AH2213" s="6">
        <f>AI2213&amp;AJ2213</f>
        <v/>
      </c>
      <c r="AI2213" s="6">
        <f>YEAR(AK2213)</f>
        <v/>
      </c>
      <c r="AJ2213" s="6">
        <f>MONTH(AK2213)</f>
        <v/>
      </c>
      <c r="AK2213" s="267">
        <f>IFERROR(__xludf.DUMMYFUNCTION("""COMPUTED_VALUE"""),45306.9986111111)</f>
        <v/>
      </c>
      <c r="AL2213" s="6">
        <f>IFERROR(__xludf.DUMMYFUNCTION("""COMPUTED_VALUE"""),42507.4)</f>
        <v/>
      </c>
      <c r="AP2213" s="6">
        <f>AQ2213&amp;AR2213</f>
        <v/>
      </c>
      <c r="AQ2213" s="6">
        <f>YEAR(AS2213)</f>
        <v/>
      </c>
      <c r="AR2213" s="6">
        <f>MONTH(AS2213)</f>
        <v/>
      </c>
    </row>
    <row r="2214">
      <c r="B2214" s="6">
        <f>C2214&amp;D2214</f>
        <v/>
      </c>
      <c r="C2214" s="6">
        <f>YEAR(E2214)</f>
        <v/>
      </c>
      <c r="D2214" s="6">
        <f>MONTH(E2214)</f>
        <v/>
      </c>
      <c r="J2214" s="6">
        <f>K2214&amp;L2214</f>
        <v/>
      </c>
      <c r="K2214" s="6">
        <f>YEAR(M2214)</f>
        <v/>
      </c>
      <c r="L2214" s="6">
        <f>MONTH(M2214)</f>
        <v/>
      </c>
      <c r="R2214" s="6">
        <f>S2214&amp;T2214</f>
        <v/>
      </c>
      <c r="S2214" s="6">
        <f>YEAR(U2214)</f>
        <v/>
      </c>
      <c r="T2214" s="6">
        <f>MONTH(U2214)</f>
        <v/>
      </c>
      <c r="Z2214" s="6">
        <f>AA2214&amp;AB2214</f>
        <v/>
      </c>
      <c r="AA2214" s="6">
        <f>YEAR(AC2214)</f>
        <v/>
      </c>
      <c r="AB2214" s="6">
        <f>MONTH(AC2214)</f>
        <v/>
      </c>
      <c r="AC2214" s="267">
        <f>IFERROR(__xludf.DUMMYFUNCTION("""COMPUTED_VALUE"""),45365.9986111111)</f>
        <v/>
      </c>
      <c r="AD2214" s="6">
        <f>IFERROR(__xludf.DUMMYFUNCTION("""COMPUTED_VALUE"""),1321.92)</f>
        <v/>
      </c>
      <c r="AH2214" s="6">
        <f>AI2214&amp;AJ2214</f>
        <v/>
      </c>
      <c r="AI2214" s="6">
        <f>YEAR(AK2214)</f>
        <v/>
      </c>
      <c r="AJ2214" s="6">
        <f>MONTH(AK2214)</f>
        <v/>
      </c>
      <c r="AK2214" s="267">
        <f>IFERROR(__xludf.DUMMYFUNCTION("""COMPUTED_VALUE"""),45307.9986111111)</f>
        <v/>
      </c>
      <c r="AL2214" s="6">
        <f>IFERROR(__xludf.DUMMYFUNCTION("""COMPUTED_VALUE"""),43151.11)</f>
        <v/>
      </c>
      <c r="AP2214" s="6">
        <f>AQ2214&amp;AR2214</f>
        <v/>
      </c>
      <c r="AQ2214" s="6">
        <f>YEAR(AS2214)</f>
        <v/>
      </c>
      <c r="AR2214" s="6">
        <f>MONTH(AS2214)</f>
        <v/>
      </c>
    </row>
    <row r="2215">
      <c r="B2215" s="6">
        <f>C2215&amp;D2215</f>
        <v/>
      </c>
      <c r="C2215" s="6">
        <f>YEAR(E2215)</f>
        <v/>
      </c>
      <c r="D2215" s="6">
        <f>MONTH(E2215)</f>
        <v/>
      </c>
      <c r="J2215" s="6">
        <f>K2215&amp;L2215</f>
        <v/>
      </c>
      <c r="K2215" s="6">
        <f>YEAR(M2215)</f>
        <v/>
      </c>
      <c r="L2215" s="6">
        <f>MONTH(M2215)</f>
        <v/>
      </c>
      <c r="R2215" s="6">
        <f>S2215&amp;T2215</f>
        <v/>
      </c>
      <c r="S2215" s="6">
        <f>YEAR(U2215)</f>
        <v/>
      </c>
      <c r="T2215" s="6">
        <f>MONTH(U2215)</f>
        <v/>
      </c>
      <c r="Z2215" s="6">
        <f>AA2215&amp;AB2215</f>
        <v/>
      </c>
      <c r="AA2215" s="6">
        <f>YEAR(AC2215)</f>
        <v/>
      </c>
      <c r="AB2215" s="6">
        <f>MONTH(AC2215)</f>
        <v/>
      </c>
      <c r="AC2215" s="267">
        <f>IFERROR(__xludf.DUMMYFUNCTION("""COMPUTED_VALUE"""),45366.9986111111)</f>
        <v/>
      </c>
      <c r="AD2215" s="6">
        <f>IFERROR(__xludf.DUMMYFUNCTION("""COMPUTED_VALUE"""),1329.34)</f>
        <v/>
      </c>
      <c r="AH2215" s="6">
        <f>AI2215&amp;AJ2215</f>
        <v/>
      </c>
      <c r="AI2215" s="6">
        <f>YEAR(AK2215)</f>
        <v/>
      </c>
      <c r="AJ2215" s="6">
        <f>MONTH(AK2215)</f>
        <v/>
      </c>
      <c r="AK2215" s="267">
        <f>IFERROR(__xludf.DUMMYFUNCTION("""COMPUTED_VALUE"""),45308.9986111111)</f>
        <v/>
      </c>
      <c r="AL2215" s="6">
        <f>IFERROR(__xludf.DUMMYFUNCTION("""COMPUTED_VALUE"""),42698.78)</f>
        <v/>
      </c>
      <c r="AP2215" s="6">
        <f>AQ2215&amp;AR2215</f>
        <v/>
      </c>
      <c r="AQ2215" s="6">
        <f>YEAR(AS2215)</f>
        <v/>
      </c>
      <c r="AR2215" s="6">
        <f>MONTH(AS2215)</f>
        <v/>
      </c>
    </row>
    <row r="2216">
      <c r="B2216" s="6">
        <f>C2216&amp;D2216</f>
        <v/>
      </c>
      <c r="C2216" s="6">
        <f>YEAR(E2216)</f>
        <v/>
      </c>
      <c r="D2216" s="6">
        <f>MONTH(E2216)</f>
        <v/>
      </c>
      <c r="J2216" s="6">
        <f>K2216&amp;L2216</f>
        <v/>
      </c>
      <c r="K2216" s="6">
        <f>YEAR(M2216)</f>
        <v/>
      </c>
      <c r="L2216" s="6">
        <f>MONTH(M2216)</f>
        <v/>
      </c>
      <c r="R2216" s="6">
        <f>S2216&amp;T2216</f>
        <v/>
      </c>
      <c r="S2216" s="6">
        <f>YEAR(U2216)</f>
        <v/>
      </c>
      <c r="T2216" s="6">
        <f>MONTH(U2216)</f>
        <v/>
      </c>
      <c r="Z2216" s="6">
        <f>AA2216&amp;AB2216</f>
        <v/>
      </c>
      <c r="AA2216" s="6">
        <f>YEAR(AC2216)</f>
        <v/>
      </c>
      <c r="AB2216" s="6">
        <f>MONTH(AC2216)</f>
        <v/>
      </c>
      <c r="AC2216" s="267">
        <f>IFERROR(__xludf.DUMMYFUNCTION("""COMPUTED_VALUE"""),45367.9986111111)</f>
        <v/>
      </c>
      <c r="AD2216" s="6">
        <f>IFERROR(__xludf.DUMMYFUNCTION("""COMPUTED_VALUE"""),1329.34)</f>
        <v/>
      </c>
      <c r="AH2216" s="6">
        <f>AI2216&amp;AJ2216</f>
        <v/>
      </c>
      <c r="AI2216" s="6">
        <f>YEAR(AK2216)</f>
        <v/>
      </c>
      <c r="AJ2216" s="6">
        <f>MONTH(AK2216)</f>
        <v/>
      </c>
      <c r="AK2216" s="267">
        <f>IFERROR(__xludf.DUMMYFUNCTION("""COMPUTED_VALUE"""),45309.9986111111)</f>
        <v/>
      </c>
      <c r="AL2216" s="6">
        <f>IFERROR(__xludf.DUMMYFUNCTION("""COMPUTED_VALUE"""),41211.56)</f>
        <v/>
      </c>
      <c r="AP2216" s="6">
        <f>AQ2216&amp;AR2216</f>
        <v/>
      </c>
      <c r="AQ2216" s="6">
        <f>YEAR(AS2216)</f>
        <v/>
      </c>
      <c r="AR2216" s="6">
        <f>MONTH(AS2216)</f>
        <v/>
      </c>
    </row>
    <row r="2217">
      <c r="B2217" s="6">
        <f>C2217&amp;D2217</f>
        <v/>
      </c>
      <c r="C2217" s="6">
        <f>YEAR(E2217)</f>
        <v/>
      </c>
      <c r="D2217" s="6">
        <f>MONTH(E2217)</f>
        <v/>
      </c>
      <c r="J2217" s="6">
        <f>K2217&amp;L2217</f>
        <v/>
      </c>
      <c r="K2217" s="6">
        <f>YEAR(M2217)</f>
        <v/>
      </c>
      <c r="L2217" s="6">
        <f>MONTH(M2217)</f>
        <v/>
      </c>
      <c r="R2217" s="6">
        <f>S2217&amp;T2217</f>
        <v/>
      </c>
      <c r="S2217" s="6">
        <f>YEAR(U2217)</f>
        <v/>
      </c>
      <c r="T2217" s="6">
        <f>MONTH(U2217)</f>
        <v/>
      </c>
      <c r="Z2217" s="6">
        <f>AA2217&amp;AB2217</f>
        <v/>
      </c>
      <c r="AA2217" s="6">
        <f>YEAR(AC2217)</f>
        <v/>
      </c>
      <c r="AB2217" s="6">
        <f>MONTH(AC2217)</f>
        <v/>
      </c>
      <c r="AC2217" s="267">
        <f>IFERROR(__xludf.DUMMYFUNCTION("""COMPUTED_VALUE"""),45368.9986111111)</f>
        <v/>
      </c>
      <c r="AD2217" s="6">
        <f>IFERROR(__xludf.DUMMYFUNCTION("""COMPUTED_VALUE"""),1329.34)</f>
        <v/>
      </c>
      <c r="AH2217" s="6">
        <f>AI2217&amp;AJ2217</f>
        <v/>
      </c>
      <c r="AI2217" s="6">
        <f>YEAR(AK2217)</f>
        <v/>
      </c>
      <c r="AJ2217" s="6">
        <f>MONTH(AK2217)</f>
        <v/>
      </c>
      <c r="AK2217" s="267">
        <f>IFERROR(__xludf.DUMMYFUNCTION("""COMPUTED_VALUE"""),45310.9986111111)</f>
        <v/>
      </c>
      <c r="AL2217" s="6">
        <f>IFERROR(__xludf.DUMMYFUNCTION("""COMPUTED_VALUE"""),41615.26)</f>
        <v/>
      </c>
      <c r="AP2217" s="6">
        <f>AQ2217&amp;AR2217</f>
        <v/>
      </c>
      <c r="AQ2217" s="6">
        <f>YEAR(AS2217)</f>
        <v/>
      </c>
      <c r="AR2217" s="6">
        <f>MONTH(AS2217)</f>
        <v/>
      </c>
    </row>
    <row r="2218">
      <c r="B2218" s="6">
        <f>C2218&amp;D2218</f>
        <v/>
      </c>
      <c r="C2218" s="6">
        <f>YEAR(E2218)</f>
        <v/>
      </c>
      <c r="D2218" s="6">
        <f>MONTH(E2218)</f>
        <v/>
      </c>
      <c r="J2218" s="6">
        <f>K2218&amp;L2218</f>
        <v/>
      </c>
      <c r="K2218" s="6">
        <f>YEAR(M2218)</f>
        <v/>
      </c>
      <c r="L2218" s="6">
        <f>MONTH(M2218)</f>
        <v/>
      </c>
      <c r="R2218" s="6">
        <f>S2218&amp;T2218</f>
        <v/>
      </c>
      <c r="S2218" s="6">
        <f>YEAR(U2218)</f>
        <v/>
      </c>
      <c r="T2218" s="6">
        <f>MONTH(U2218)</f>
        <v/>
      </c>
      <c r="Z2218" s="6">
        <f>AA2218&amp;AB2218</f>
        <v/>
      </c>
      <c r="AA2218" s="6">
        <f>YEAR(AC2218)</f>
        <v/>
      </c>
      <c r="AB2218" s="6">
        <f>MONTH(AC2218)</f>
        <v/>
      </c>
      <c r="AC2218" s="267">
        <f>IFERROR(__xludf.DUMMYFUNCTION("""COMPUTED_VALUE"""),45369.9986111111)</f>
        <v/>
      </c>
      <c r="AD2218" s="6">
        <f>IFERROR(__xludf.DUMMYFUNCTION("""COMPUTED_VALUE"""),1336.09)</f>
        <v/>
      </c>
      <c r="AH2218" s="6">
        <f>AI2218&amp;AJ2218</f>
        <v/>
      </c>
      <c r="AI2218" s="6">
        <f>YEAR(AK2218)</f>
        <v/>
      </c>
      <c r="AJ2218" s="6">
        <f>MONTH(AK2218)</f>
        <v/>
      </c>
      <c r="AK2218" s="267">
        <f>IFERROR(__xludf.DUMMYFUNCTION("""COMPUTED_VALUE"""),45311.9986111111)</f>
        <v/>
      </c>
      <c r="AL2218" s="6">
        <f>IFERROR(__xludf.DUMMYFUNCTION("""COMPUTED_VALUE"""),41705.26)</f>
        <v/>
      </c>
      <c r="AP2218" s="6">
        <f>AQ2218&amp;AR2218</f>
        <v/>
      </c>
      <c r="AQ2218" s="6">
        <f>YEAR(AS2218)</f>
        <v/>
      </c>
      <c r="AR2218" s="6">
        <f>MONTH(AS2218)</f>
        <v/>
      </c>
    </row>
    <row r="2219">
      <c r="B2219" s="6">
        <f>C2219&amp;D2219</f>
        <v/>
      </c>
      <c r="C2219" s="6">
        <f>YEAR(E2219)</f>
        <v/>
      </c>
      <c r="D2219" s="6">
        <f>MONTH(E2219)</f>
        <v/>
      </c>
      <c r="J2219" s="6">
        <f>K2219&amp;L2219</f>
        <v/>
      </c>
      <c r="K2219" s="6">
        <f>YEAR(M2219)</f>
        <v/>
      </c>
      <c r="L2219" s="6">
        <f>MONTH(M2219)</f>
        <v/>
      </c>
      <c r="R2219" s="6">
        <f>S2219&amp;T2219</f>
        <v/>
      </c>
      <c r="S2219" s="6">
        <f>YEAR(U2219)</f>
        <v/>
      </c>
      <c r="T2219" s="6">
        <f>MONTH(U2219)</f>
        <v/>
      </c>
      <c r="Z2219" s="6">
        <f>AA2219&amp;AB2219</f>
        <v/>
      </c>
      <c r="AA2219" s="6">
        <f>YEAR(AC2219)</f>
        <v/>
      </c>
      <c r="AB2219" s="6">
        <f>MONTH(AC2219)</f>
        <v/>
      </c>
      <c r="AC2219" s="267">
        <f>IFERROR(__xludf.DUMMYFUNCTION("""COMPUTED_VALUE"""),45370.9986111111)</f>
        <v/>
      </c>
      <c r="AD2219" s="6">
        <f>IFERROR(__xludf.DUMMYFUNCTION("""COMPUTED_VALUE"""),1337.02)</f>
        <v/>
      </c>
      <c r="AH2219" s="6">
        <f>AI2219&amp;AJ2219</f>
        <v/>
      </c>
      <c r="AI2219" s="6">
        <f>YEAR(AK2219)</f>
        <v/>
      </c>
      <c r="AJ2219" s="6">
        <f>MONTH(AK2219)</f>
        <v/>
      </c>
      <c r="AK2219" s="267">
        <f>IFERROR(__xludf.DUMMYFUNCTION("""COMPUTED_VALUE"""),45312.9986111111)</f>
        <v/>
      </c>
      <c r="AL2219" s="6">
        <f>IFERROR(__xludf.DUMMYFUNCTION("""COMPUTED_VALUE"""),41572.17)</f>
        <v/>
      </c>
      <c r="AP2219" s="6">
        <f>AQ2219&amp;AR2219</f>
        <v/>
      </c>
      <c r="AQ2219" s="6">
        <f>YEAR(AS2219)</f>
        <v/>
      </c>
      <c r="AR2219" s="6">
        <f>MONTH(AS2219)</f>
        <v/>
      </c>
    </row>
    <row r="2220">
      <c r="B2220" s="6">
        <f>C2220&amp;D2220</f>
        <v/>
      </c>
      <c r="C2220" s="6">
        <f>YEAR(E2220)</f>
        <v/>
      </c>
      <c r="D2220" s="6">
        <f>MONTH(E2220)</f>
        <v/>
      </c>
      <c r="J2220" s="6">
        <f>K2220&amp;L2220</f>
        <v/>
      </c>
      <c r="K2220" s="6">
        <f>YEAR(M2220)</f>
        <v/>
      </c>
      <c r="L2220" s="6">
        <f>MONTH(M2220)</f>
        <v/>
      </c>
      <c r="R2220" s="6">
        <f>S2220&amp;T2220</f>
        <v/>
      </c>
      <c r="S2220" s="6">
        <f>YEAR(U2220)</f>
        <v/>
      </c>
      <c r="T2220" s="6">
        <f>MONTH(U2220)</f>
        <v/>
      </c>
      <c r="Z2220" s="6">
        <f>AA2220&amp;AB2220</f>
        <v/>
      </c>
      <c r="AA2220" s="6">
        <f>YEAR(AC2220)</f>
        <v/>
      </c>
      <c r="AB2220" s="6">
        <f>MONTH(AC2220)</f>
        <v/>
      </c>
      <c r="AC2220" s="267">
        <f>IFERROR(__xludf.DUMMYFUNCTION("""COMPUTED_VALUE"""),45371.9986111111)</f>
        <v/>
      </c>
      <c r="AD2220" s="6">
        <f>IFERROR(__xludf.DUMMYFUNCTION("""COMPUTED_VALUE"""),1330.11)</f>
        <v/>
      </c>
      <c r="AH2220" s="6">
        <f>AI2220&amp;AJ2220</f>
        <v/>
      </c>
      <c r="AI2220" s="6">
        <f>YEAR(AK2220)</f>
        <v/>
      </c>
      <c r="AJ2220" s="6">
        <f>MONTH(AK2220)</f>
        <v/>
      </c>
      <c r="AK2220" s="267">
        <f>IFERROR(__xludf.DUMMYFUNCTION("""COMPUTED_VALUE"""),45313.9986111111)</f>
        <v/>
      </c>
      <c r="AL2220" s="6">
        <f>IFERROR(__xludf.DUMMYFUNCTION("""COMPUTED_VALUE"""),39606.84)</f>
        <v/>
      </c>
      <c r="AP2220" s="6">
        <f>AQ2220&amp;AR2220</f>
        <v/>
      </c>
      <c r="AQ2220" s="6">
        <f>YEAR(AS2220)</f>
        <v/>
      </c>
      <c r="AR2220" s="6">
        <f>MONTH(AS2220)</f>
        <v/>
      </c>
    </row>
    <row r="2221">
      <c r="B2221" s="6">
        <f>C2221&amp;D2221</f>
        <v/>
      </c>
      <c r="C2221" s="6">
        <f>YEAR(E2221)</f>
        <v/>
      </c>
      <c r="D2221" s="6">
        <f>MONTH(E2221)</f>
        <v/>
      </c>
      <c r="J2221" s="6">
        <f>K2221&amp;L2221</f>
        <v/>
      </c>
      <c r="K2221" s="6">
        <f>YEAR(M2221)</f>
        <v/>
      </c>
      <c r="L2221" s="6">
        <f>MONTH(M2221)</f>
        <v/>
      </c>
      <c r="R2221" s="6">
        <f>S2221&amp;T2221</f>
        <v/>
      </c>
      <c r="S2221" s="6">
        <f>YEAR(U2221)</f>
        <v/>
      </c>
      <c r="T2221" s="6">
        <f>MONTH(U2221)</f>
        <v/>
      </c>
      <c r="Z2221" s="6">
        <f>AA2221&amp;AB2221</f>
        <v/>
      </c>
      <c r="AA2221" s="6">
        <f>YEAR(AC2221)</f>
        <v/>
      </c>
      <c r="AB2221" s="6">
        <f>MONTH(AC2221)</f>
        <v/>
      </c>
      <c r="AC2221" s="267">
        <f>IFERROR(__xludf.DUMMYFUNCTION("""COMPUTED_VALUE"""),45372.9986111111)</f>
        <v/>
      </c>
      <c r="AD2221" s="6">
        <f>IFERROR(__xludf.DUMMYFUNCTION("""COMPUTED_VALUE"""),1334.68)</f>
        <v/>
      </c>
      <c r="AH2221" s="6">
        <f>AI2221&amp;AJ2221</f>
        <v/>
      </c>
      <c r="AI2221" s="6">
        <f>YEAR(AK2221)</f>
        <v/>
      </c>
      <c r="AJ2221" s="6">
        <f>MONTH(AK2221)</f>
        <v/>
      </c>
      <c r="AK2221" s="267">
        <f>IFERROR(__xludf.DUMMYFUNCTION("""COMPUTED_VALUE"""),45314.9986111111)</f>
        <v/>
      </c>
      <c r="AL2221" s="6">
        <f>IFERROR(__xludf.DUMMYFUNCTION("""COMPUTED_VALUE"""),39702.88)</f>
        <v/>
      </c>
      <c r="AP2221" s="6">
        <f>AQ2221&amp;AR2221</f>
        <v/>
      </c>
      <c r="AQ2221" s="6">
        <f>YEAR(AS2221)</f>
        <v/>
      </c>
      <c r="AR2221" s="6">
        <f>MONTH(AS2221)</f>
        <v/>
      </c>
    </row>
    <row r="2222">
      <c r="B2222" s="6">
        <f>C2222&amp;D2222</f>
        <v/>
      </c>
      <c r="C2222" s="6">
        <f>YEAR(E2222)</f>
        <v/>
      </c>
      <c r="D2222" s="6">
        <f>MONTH(E2222)</f>
        <v/>
      </c>
      <c r="J2222" s="6">
        <f>K2222&amp;L2222</f>
        <v/>
      </c>
      <c r="K2222" s="6">
        <f>YEAR(M2222)</f>
        <v/>
      </c>
      <c r="L2222" s="6">
        <f>MONTH(M2222)</f>
        <v/>
      </c>
      <c r="R2222" s="6">
        <f>S2222&amp;T2222</f>
        <v/>
      </c>
      <c r="S2222" s="6">
        <f>YEAR(U2222)</f>
        <v/>
      </c>
      <c r="T2222" s="6">
        <f>MONTH(U2222)</f>
        <v/>
      </c>
      <c r="Z2222" s="6">
        <f>AA2222&amp;AB2222</f>
        <v/>
      </c>
      <c r="AA2222" s="6">
        <f>YEAR(AC2222)</f>
        <v/>
      </c>
      <c r="AB2222" s="6">
        <f>MONTH(AC2222)</f>
        <v/>
      </c>
      <c r="AC2222" s="267">
        <f>IFERROR(__xludf.DUMMYFUNCTION("""COMPUTED_VALUE"""),45373.9986111111)</f>
        <v/>
      </c>
      <c r="AD2222" s="6">
        <f>IFERROR(__xludf.DUMMYFUNCTION("""COMPUTED_VALUE"""),1343.6)</f>
        <v/>
      </c>
      <c r="AH2222" s="6">
        <f>AI2222&amp;AJ2222</f>
        <v/>
      </c>
      <c r="AI2222" s="6">
        <f>YEAR(AK2222)</f>
        <v/>
      </c>
      <c r="AJ2222" s="6">
        <f>MONTH(AK2222)</f>
        <v/>
      </c>
      <c r="AK2222" s="267">
        <f>IFERROR(__xludf.DUMMYFUNCTION("""COMPUTED_VALUE"""),45315.9986111111)</f>
        <v/>
      </c>
      <c r="AL2222" s="6">
        <f>IFERROR(__xludf.DUMMYFUNCTION("""COMPUTED_VALUE"""),40011.7)</f>
        <v/>
      </c>
      <c r="AP2222" s="6">
        <f>AQ2222&amp;AR2222</f>
        <v/>
      </c>
      <c r="AQ2222" s="6">
        <f>YEAR(AS2222)</f>
        <v/>
      </c>
      <c r="AR2222" s="6">
        <f>MONTH(AS2222)</f>
        <v/>
      </c>
    </row>
    <row r="2223">
      <c r="B2223" s="6">
        <f>C2223&amp;D2223</f>
        <v/>
      </c>
      <c r="C2223" s="6">
        <f>YEAR(E2223)</f>
        <v/>
      </c>
      <c r="D2223" s="6">
        <f>MONTH(E2223)</f>
        <v/>
      </c>
      <c r="J2223" s="6">
        <f>K2223&amp;L2223</f>
        <v/>
      </c>
      <c r="K2223" s="6">
        <f>YEAR(M2223)</f>
        <v/>
      </c>
      <c r="L2223" s="6">
        <f>MONTH(M2223)</f>
        <v/>
      </c>
      <c r="R2223" s="6">
        <f>S2223&amp;T2223</f>
        <v/>
      </c>
      <c r="S2223" s="6">
        <f>YEAR(U2223)</f>
        <v/>
      </c>
      <c r="T2223" s="6">
        <f>MONTH(U2223)</f>
        <v/>
      </c>
      <c r="Z2223" s="6">
        <f>AA2223&amp;AB2223</f>
        <v/>
      </c>
      <c r="AA2223" s="6">
        <f>YEAR(AC2223)</f>
        <v/>
      </c>
      <c r="AB2223" s="6">
        <f>MONTH(AC2223)</f>
        <v/>
      </c>
      <c r="AC2223" s="267">
        <f>IFERROR(__xludf.DUMMYFUNCTION("""COMPUTED_VALUE"""),45374.9986111111)</f>
        <v/>
      </c>
      <c r="AD2223" s="6">
        <f>IFERROR(__xludf.DUMMYFUNCTION("""COMPUTED_VALUE"""),1343.6)</f>
        <v/>
      </c>
      <c r="AH2223" s="6">
        <f>AI2223&amp;AJ2223</f>
        <v/>
      </c>
      <c r="AI2223" s="6">
        <f>YEAR(AK2223)</f>
        <v/>
      </c>
      <c r="AJ2223" s="6">
        <f>MONTH(AK2223)</f>
        <v/>
      </c>
      <c r="AK2223" s="267">
        <f>IFERROR(__xludf.DUMMYFUNCTION("""COMPUTED_VALUE"""),45316.9986111111)</f>
        <v/>
      </c>
      <c r="AL2223" s="6">
        <f>IFERROR(__xludf.DUMMYFUNCTION("""COMPUTED_VALUE"""),39900.16)</f>
        <v/>
      </c>
      <c r="AP2223" s="6">
        <f>AQ2223&amp;AR2223</f>
        <v/>
      </c>
      <c r="AQ2223" s="6">
        <f>YEAR(AS2223)</f>
        <v/>
      </c>
      <c r="AR2223" s="6">
        <f>MONTH(AS2223)</f>
        <v/>
      </c>
    </row>
    <row r="2224">
      <c r="B2224" s="6">
        <f>C2224&amp;D2224</f>
        <v/>
      </c>
      <c r="C2224" s="6">
        <f>YEAR(E2224)</f>
        <v/>
      </c>
      <c r="D2224" s="6">
        <f>MONTH(E2224)</f>
        <v/>
      </c>
      <c r="J2224" s="6">
        <f>K2224&amp;L2224</f>
        <v/>
      </c>
      <c r="K2224" s="6">
        <f>YEAR(M2224)</f>
        <v/>
      </c>
      <c r="L2224" s="6">
        <f>MONTH(M2224)</f>
        <v/>
      </c>
      <c r="R2224" s="6">
        <f>S2224&amp;T2224</f>
        <v/>
      </c>
      <c r="S2224" s="6">
        <f>YEAR(U2224)</f>
        <v/>
      </c>
      <c r="T2224" s="6">
        <f>MONTH(U2224)</f>
        <v/>
      </c>
      <c r="Z2224" s="6">
        <f>AA2224&amp;AB2224</f>
        <v/>
      </c>
      <c r="AA2224" s="6">
        <f>YEAR(AC2224)</f>
        <v/>
      </c>
      <c r="AB2224" s="6">
        <f>MONTH(AC2224)</f>
        <v/>
      </c>
      <c r="AC2224" s="267">
        <f>IFERROR(__xludf.DUMMYFUNCTION("""COMPUTED_VALUE"""),45375.9986111111)</f>
        <v/>
      </c>
      <c r="AD2224" s="6">
        <f>IFERROR(__xludf.DUMMYFUNCTION("""COMPUTED_VALUE"""),1343.6)</f>
        <v/>
      </c>
      <c r="AH2224" s="6">
        <f>AI2224&amp;AJ2224</f>
        <v/>
      </c>
      <c r="AI2224" s="6">
        <f>YEAR(AK2224)</f>
        <v/>
      </c>
      <c r="AJ2224" s="6">
        <f>MONTH(AK2224)</f>
        <v/>
      </c>
      <c r="AK2224" s="267">
        <f>IFERROR(__xludf.DUMMYFUNCTION("""COMPUTED_VALUE"""),45317.9986111111)</f>
        <v/>
      </c>
      <c r="AL2224" s="6">
        <f>IFERROR(__xludf.DUMMYFUNCTION("""COMPUTED_VALUE"""),41880.45)</f>
        <v/>
      </c>
      <c r="AP2224" s="6">
        <f>AQ2224&amp;AR2224</f>
        <v/>
      </c>
      <c r="AQ2224" s="6">
        <f>YEAR(AS2224)</f>
        <v/>
      </c>
      <c r="AR2224" s="6">
        <f>MONTH(AS2224)</f>
        <v/>
      </c>
    </row>
    <row r="2225">
      <c r="B2225" s="6">
        <f>C2225&amp;D2225</f>
        <v/>
      </c>
      <c r="C2225" s="6">
        <f>YEAR(E2225)</f>
        <v/>
      </c>
      <c r="D2225" s="6">
        <f>MONTH(E2225)</f>
        <v/>
      </c>
      <c r="J2225" s="6">
        <f>K2225&amp;L2225</f>
        <v/>
      </c>
      <c r="K2225" s="6">
        <f>YEAR(M2225)</f>
        <v/>
      </c>
      <c r="L2225" s="6">
        <f>MONTH(M2225)</f>
        <v/>
      </c>
      <c r="R2225" s="6">
        <f>S2225&amp;T2225</f>
        <v/>
      </c>
      <c r="S2225" s="6">
        <f>YEAR(U2225)</f>
        <v/>
      </c>
      <c r="T2225" s="6">
        <f>MONTH(U2225)</f>
        <v/>
      </c>
      <c r="Z2225" s="6">
        <f>AA2225&amp;AB2225</f>
        <v/>
      </c>
      <c r="AA2225" s="6">
        <f>YEAR(AC2225)</f>
        <v/>
      </c>
      <c r="AB2225" s="6">
        <f>MONTH(AC2225)</f>
        <v/>
      </c>
      <c r="AC2225" s="267">
        <f>IFERROR(__xludf.DUMMYFUNCTION("""COMPUTED_VALUE"""),45376.9986111111)</f>
        <v/>
      </c>
      <c r="AD2225" s="6">
        <f>IFERROR(__xludf.DUMMYFUNCTION("""COMPUTED_VALUE"""),1339.13)</f>
        <v/>
      </c>
      <c r="AH2225" s="6">
        <f>AI2225&amp;AJ2225</f>
        <v/>
      </c>
      <c r="AI2225" s="6">
        <f>YEAR(AK2225)</f>
        <v/>
      </c>
      <c r="AJ2225" s="6">
        <f>MONTH(AK2225)</f>
        <v/>
      </c>
      <c r="AK2225" s="267">
        <f>IFERROR(__xludf.DUMMYFUNCTION("""COMPUTED_VALUE"""),45318.9986111111)</f>
        <v/>
      </c>
      <c r="AL2225" s="6">
        <f>IFERROR(__xludf.DUMMYFUNCTION("""COMPUTED_VALUE"""),42124.03)</f>
        <v/>
      </c>
      <c r="AP2225" s="6">
        <f>AQ2225&amp;AR2225</f>
        <v/>
      </c>
      <c r="AQ2225" s="6">
        <f>YEAR(AS2225)</f>
        <v/>
      </c>
      <c r="AR2225" s="6">
        <f>MONTH(AS2225)</f>
        <v/>
      </c>
    </row>
    <row r="2226">
      <c r="B2226" s="6">
        <f>C2226&amp;D2226</f>
        <v/>
      </c>
      <c r="C2226" s="6">
        <f>YEAR(E2226)</f>
        <v/>
      </c>
      <c r="D2226" s="6">
        <f>MONTH(E2226)</f>
        <v/>
      </c>
      <c r="J2226" s="6">
        <f>K2226&amp;L2226</f>
        <v/>
      </c>
      <c r="K2226" s="6">
        <f>YEAR(M2226)</f>
        <v/>
      </c>
      <c r="L2226" s="6">
        <f>MONTH(M2226)</f>
        <v/>
      </c>
      <c r="R2226" s="6">
        <f>S2226&amp;T2226</f>
        <v/>
      </c>
      <c r="S2226" s="6">
        <f>YEAR(U2226)</f>
        <v/>
      </c>
      <c r="T2226" s="6">
        <f>MONTH(U2226)</f>
        <v/>
      </c>
      <c r="Z2226" s="6">
        <f>AA2226&amp;AB2226</f>
        <v/>
      </c>
      <c r="AA2226" s="6">
        <f>YEAR(AC2226)</f>
        <v/>
      </c>
      <c r="AB2226" s="6">
        <f>MONTH(AC2226)</f>
        <v/>
      </c>
      <c r="AC2226" s="267">
        <f>IFERROR(__xludf.DUMMYFUNCTION("""COMPUTED_VALUE"""),45377.9986111111)</f>
        <v/>
      </c>
      <c r="AD2226" s="6">
        <f>IFERROR(__xludf.DUMMYFUNCTION("""COMPUTED_VALUE"""),1343.06)</f>
        <v/>
      </c>
      <c r="AH2226" s="6">
        <f>AI2226&amp;AJ2226</f>
        <v/>
      </c>
      <c r="AI2226" s="6">
        <f>YEAR(AK2226)</f>
        <v/>
      </c>
      <c r="AJ2226" s="6">
        <f>MONTH(AK2226)</f>
        <v/>
      </c>
      <c r="AK2226" s="267">
        <f>IFERROR(__xludf.DUMMYFUNCTION("""COMPUTED_VALUE"""),45319.9986111111)</f>
        <v/>
      </c>
      <c r="AL2226" s="6">
        <f>IFERROR(__xludf.DUMMYFUNCTION("""COMPUTED_VALUE"""),42032.22)</f>
        <v/>
      </c>
      <c r="AP2226" s="6">
        <f>AQ2226&amp;AR2226</f>
        <v/>
      </c>
      <c r="AQ2226" s="6">
        <f>YEAR(AS2226)</f>
        <v/>
      </c>
      <c r="AR2226" s="6">
        <f>MONTH(AS2226)</f>
        <v/>
      </c>
    </row>
    <row r="2227">
      <c r="B2227" s="6">
        <f>C2227&amp;D2227</f>
        <v/>
      </c>
      <c r="C2227" s="6">
        <f>YEAR(E2227)</f>
        <v/>
      </c>
      <c r="D2227" s="6">
        <f>MONTH(E2227)</f>
        <v/>
      </c>
      <c r="J2227" s="6">
        <f>K2227&amp;L2227</f>
        <v/>
      </c>
      <c r="K2227" s="6">
        <f>YEAR(M2227)</f>
        <v/>
      </c>
      <c r="L2227" s="6">
        <f>MONTH(M2227)</f>
        <v/>
      </c>
      <c r="R2227" s="6">
        <f>S2227&amp;T2227</f>
        <v/>
      </c>
      <c r="S2227" s="6">
        <f>YEAR(U2227)</f>
        <v/>
      </c>
      <c r="T2227" s="6">
        <f>MONTH(U2227)</f>
        <v/>
      </c>
      <c r="Z2227" s="6">
        <f>AA2227&amp;AB2227</f>
        <v/>
      </c>
      <c r="AA2227" s="6">
        <f>YEAR(AC2227)</f>
        <v/>
      </c>
      <c r="AB2227" s="6">
        <f>MONTH(AC2227)</f>
        <v/>
      </c>
      <c r="AC2227" s="267">
        <f>IFERROR(__xludf.DUMMYFUNCTION("""COMPUTED_VALUE"""),45378.9986111111)</f>
        <v/>
      </c>
      <c r="AD2227" s="6">
        <f>IFERROR(__xludf.DUMMYFUNCTION("""COMPUTED_VALUE"""),1349.8)</f>
        <v/>
      </c>
      <c r="AH2227" s="6">
        <f>AI2227&amp;AJ2227</f>
        <v/>
      </c>
      <c r="AI2227" s="6">
        <f>YEAR(AK2227)</f>
        <v/>
      </c>
      <c r="AJ2227" s="6">
        <f>MONTH(AK2227)</f>
        <v/>
      </c>
      <c r="AK2227" s="267">
        <f>IFERROR(__xludf.DUMMYFUNCTION("""COMPUTED_VALUE"""),45320.9986111111)</f>
        <v/>
      </c>
      <c r="AL2227" s="6">
        <f>IFERROR(__xludf.DUMMYFUNCTION("""COMPUTED_VALUE"""),43276.2)</f>
        <v/>
      </c>
      <c r="AP2227" s="6">
        <f>AQ2227&amp;AR2227</f>
        <v/>
      </c>
      <c r="AQ2227" s="6">
        <f>YEAR(AS2227)</f>
        <v/>
      </c>
      <c r="AR2227" s="6">
        <f>MONTH(AS2227)</f>
        <v/>
      </c>
    </row>
    <row r="2228">
      <c r="B2228" s="6">
        <f>C2228&amp;D2228</f>
        <v/>
      </c>
      <c r="C2228" s="6">
        <f>YEAR(E2228)</f>
        <v/>
      </c>
      <c r="D2228" s="6">
        <f>MONTH(E2228)</f>
        <v/>
      </c>
      <c r="J2228" s="6">
        <f>K2228&amp;L2228</f>
        <v/>
      </c>
      <c r="K2228" s="6">
        <f>YEAR(M2228)</f>
        <v/>
      </c>
      <c r="L2228" s="6">
        <f>MONTH(M2228)</f>
        <v/>
      </c>
      <c r="R2228" s="6">
        <f>S2228&amp;T2228</f>
        <v/>
      </c>
      <c r="S2228" s="6">
        <f>YEAR(U2228)</f>
        <v/>
      </c>
      <c r="T2228" s="6">
        <f>MONTH(U2228)</f>
        <v/>
      </c>
      <c r="Z2228" s="6">
        <f>AA2228&amp;AB2228</f>
        <v/>
      </c>
      <c r="AA2228" s="6">
        <f>YEAR(AC2228)</f>
        <v/>
      </c>
      <c r="AB2228" s="6">
        <f>MONTH(AC2228)</f>
        <v/>
      </c>
      <c r="AC2228" s="267">
        <f>IFERROR(__xludf.DUMMYFUNCTION("""COMPUTED_VALUE"""),45379.9986111111)</f>
        <v/>
      </c>
      <c r="AD2228" s="6">
        <f>IFERROR(__xludf.DUMMYFUNCTION("""COMPUTED_VALUE"""),1349.8)</f>
        <v/>
      </c>
      <c r="AH2228" s="6">
        <f>AI2228&amp;AJ2228</f>
        <v/>
      </c>
      <c r="AI2228" s="6">
        <f>YEAR(AK2228)</f>
        <v/>
      </c>
      <c r="AJ2228" s="6">
        <f>MONTH(AK2228)</f>
        <v/>
      </c>
      <c r="AK2228" s="267">
        <f>IFERROR(__xludf.DUMMYFUNCTION("""COMPUTED_VALUE"""),45321.9986111111)</f>
        <v/>
      </c>
      <c r="AL2228" s="6">
        <f>IFERROR(__xludf.DUMMYFUNCTION("""COMPUTED_VALUE"""),43074.88)</f>
        <v/>
      </c>
      <c r="AP2228" s="6">
        <f>AQ2228&amp;AR2228</f>
        <v/>
      </c>
      <c r="AQ2228" s="6">
        <f>YEAR(AS2228)</f>
        <v/>
      </c>
      <c r="AR2228" s="6">
        <f>MONTH(AS2228)</f>
        <v/>
      </c>
    </row>
    <row r="2229">
      <c r="B2229" s="6">
        <f>C2229&amp;D2229</f>
        <v/>
      </c>
      <c r="C2229" s="6">
        <f>YEAR(E2229)</f>
        <v/>
      </c>
      <c r="D2229" s="6">
        <f>MONTH(E2229)</f>
        <v/>
      </c>
      <c r="J2229" s="6">
        <f>K2229&amp;L2229</f>
        <v/>
      </c>
      <c r="K2229" s="6">
        <f>YEAR(M2229)</f>
        <v/>
      </c>
      <c r="L2229" s="6">
        <f>MONTH(M2229)</f>
        <v/>
      </c>
      <c r="R2229" s="6">
        <f>S2229&amp;T2229</f>
        <v/>
      </c>
      <c r="S2229" s="6">
        <f>YEAR(U2229)</f>
        <v/>
      </c>
      <c r="T2229" s="6">
        <f>MONTH(U2229)</f>
        <v/>
      </c>
      <c r="Z2229" s="6">
        <f>AA2229&amp;AB2229</f>
        <v/>
      </c>
      <c r="AA2229" s="6">
        <f>YEAR(AC2229)</f>
        <v/>
      </c>
      <c r="AB2229" s="6">
        <f>MONTH(AC2229)</f>
        <v/>
      </c>
      <c r="AC2229" s="267">
        <f>IFERROR(__xludf.DUMMYFUNCTION("""COMPUTED_VALUE"""),45380.9986111111)</f>
        <v/>
      </c>
      <c r="AD2229" s="6">
        <f>IFERROR(__xludf.DUMMYFUNCTION("""COMPUTED_VALUE"""),1345.29)</f>
        <v/>
      </c>
      <c r="AH2229" s="6">
        <f>AI2229&amp;AJ2229</f>
        <v/>
      </c>
      <c r="AI2229" s="6">
        <f>YEAR(AK2229)</f>
        <v/>
      </c>
      <c r="AJ2229" s="6">
        <f>MONTH(AK2229)</f>
        <v/>
      </c>
      <c r="AK2229" s="267">
        <f>IFERROR(__xludf.DUMMYFUNCTION("""COMPUTED_VALUE"""),45322.9986111111)</f>
        <v/>
      </c>
      <c r="AL2229" s="6">
        <f>IFERROR(__xludf.DUMMYFUNCTION("""COMPUTED_VALUE"""),42582.21)</f>
        <v/>
      </c>
      <c r="AP2229" s="6">
        <f>AQ2229&amp;AR2229</f>
        <v/>
      </c>
      <c r="AQ2229" s="6">
        <f>YEAR(AS2229)</f>
        <v/>
      </c>
      <c r="AR2229" s="6">
        <f>MONTH(AS2229)</f>
        <v/>
      </c>
    </row>
    <row r="2230">
      <c r="B2230" s="6">
        <f>C2230&amp;D2230</f>
        <v/>
      </c>
      <c r="C2230" s="6">
        <f>YEAR(E2230)</f>
        <v/>
      </c>
      <c r="D2230" s="6">
        <f>MONTH(E2230)</f>
        <v/>
      </c>
      <c r="J2230" s="6">
        <f>K2230&amp;L2230</f>
        <v/>
      </c>
      <c r="K2230" s="6">
        <f>YEAR(M2230)</f>
        <v/>
      </c>
      <c r="L2230" s="6">
        <f>MONTH(M2230)</f>
        <v/>
      </c>
      <c r="R2230" s="6">
        <f>S2230&amp;T2230</f>
        <v/>
      </c>
      <c r="S2230" s="6">
        <f>YEAR(U2230)</f>
        <v/>
      </c>
      <c r="T2230" s="6">
        <f>MONTH(U2230)</f>
        <v/>
      </c>
      <c r="Z2230" s="6">
        <f>AA2230&amp;AB2230</f>
        <v/>
      </c>
      <c r="AA2230" s="6">
        <f>YEAR(AC2230)</f>
        <v/>
      </c>
      <c r="AB2230" s="6">
        <f>MONTH(AC2230)</f>
        <v/>
      </c>
      <c r="AC2230" s="267">
        <f>IFERROR(__xludf.DUMMYFUNCTION("""COMPUTED_VALUE"""),45381.9986111111)</f>
        <v/>
      </c>
      <c r="AD2230" s="6">
        <f>IFERROR(__xludf.DUMMYFUNCTION("""COMPUTED_VALUE"""),1345.29)</f>
        <v/>
      </c>
      <c r="AH2230" s="6">
        <f>AI2230&amp;AJ2230</f>
        <v/>
      </c>
      <c r="AI2230" s="6">
        <f>YEAR(AK2230)</f>
        <v/>
      </c>
      <c r="AJ2230" s="6">
        <f>MONTH(AK2230)</f>
        <v/>
      </c>
      <c r="AK2230" s="267">
        <f>IFERROR(__xludf.DUMMYFUNCTION("""COMPUTED_VALUE"""),45323.9986111111)</f>
        <v/>
      </c>
      <c r="AL2230" s="6">
        <f>IFERROR(__xludf.DUMMYFUNCTION("""COMPUTED_VALUE"""),43052.94)</f>
        <v/>
      </c>
      <c r="AP2230" s="6">
        <f>AQ2230&amp;AR2230</f>
        <v/>
      </c>
      <c r="AQ2230" s="6">
        <f>YEAR(AS2230)</f>
        <v/>
      </c>
      <c r="AR2230" s="6">
        <f>MONTH(AS2230)</f>
        <v/>
      </c>
    </row>
    <row r="2231">
      <c r="B2231" s="6">
        <f>C2231&amp;D2231</f>
        <v/>
      </c>
      <c r="C2231" s="6">
        <f>YEAR(E2231)</f>
        <v/>
      </c>
      <c r="D2231" s="6">
        <f>MONTH(E2231)</f>
        <v/>
      </c>
      <c r="J2231" s="6">
        <f>K2231&amp;L2231</f>
        <v/>
      </c>
      <c r="K2231" s="6">
        <f>YEAR(M2231)</f>
        <v/>
      </c>
      <c r="L2231" s="6">
        <f>MONTH(M2231)</f>
        <v/>
      </c>
      <c r="R2231" s="6">
        <f>S2231&amp;T2231</f>
        <v/>
      </c>
      <c r="S2231" s="6">
        <f>YEAR(U2231)</f>
        <v/>
      </c>
      <c r="T2231" s="6">
        <f>MONTH(U2231)</f>
        <v/>
      </c>
      <c r="Z2231" s="6">
        <f>AA2231&amp;AB2231</f>
        <v/>
      </c>
      <c r="AA2231" s="6">
        <f>YEAR(AC2231)</f>
        <v/>
      </c>
      <c r="AB2231" s="6">
        <f>MONTH(AC2231)</f>
        <v/>
      </c>
      <c r="AC2231" s="267">
        <f>IFERROR(__xludf.DUMMYFUNCTION("""COMPUTED_VALUE"""),45382.9986111111)</f>
        <v/>
      </c>
      <c r="AD2231" s="6">
        <f>IFERROR(__xludf.DUMMYFUNCTION("""COMPUTED_VALUE"""),1345.31)</f>
        <v/>
      </c>
      <c r="AH2231" s="6">
        <f>AI2231&amp;AJ2231</f>
        <v/>
      </c>
      <c r="AI2231" s="6">
        <f>YEAR(AK2231)</f>
        <v/>
      </c>
      <c r="AJ2231" s="6">
        <f>MONTH(AK2231)</f>
        <v/>
      </c>
      <c r="AK2231" s="267">
        <f>IFERROR(__xludf.DUMMYFUNCTION("""COMPUTED_VALUE"""),45324.9986111111)</f>
        <v/>
      </c>
      <c r="AL2231" s="6">
        <f>IFERROR(__xludf.DUMMYFUNCTION("""COMPUTED_VALUE"""),43181.34)</f>
        <v/>
      </c>
      <c r="AP2231" s="6">
        <f>AQ2231&amp;AR2231</f>
        <v/>
      </c>
      <c r="AQ2231" s="6">
        <f>YEAR(AS2231)</f>
        <v/>
      </c>
      <c r="AR2231" s="6">
        <f>MONTH(AS2231)</f>
        <v/>
      </c>
    </row>
    <row r="2232">
      <c r="B2232" s="6">
        <f>C2232&amp;D2232</f>
        <v/>
      </c>
      <c r="C2232" s="6">
        <f>YEAR(E2232)</f>
        <v/>
      </c>
      <c r="D2232" s="6">
        <f>MONTH(E2232)</f>
        <v/>
      </c>
      <c r="J2232" s="6">
        <f>K2232&amp;L2232</f>
        <v/>
      </c>
      <c r="K2232" s="6">
        <f>YEAR(M2232)</f>
        <v/>
      </c>
      <c r="L2232" s="6">
        <f>MONTH(M2232)</f>
        <v/>
      </c>
      <c r="R2232" s="6">
        <f>S2232&amp;T2232</f>
        <v/>
      </c>
      <c r="S2232" s="6">
        <f>YEAR(U2232)</f>
        <v/>
      </c>
      <c r="T2232" s="6">
        <f>MONTH(U2232)</f>
        <v/>
      </c>
      <c r="Z2232" s="6">
        <f>AA2232&amp;AB2232</f>
        <v/>
      </c>
      <c r="AA2232" s="6">
        <f>YEAR(AC2232)</f>
        <v/>
      </c>
      <c r="AB2232" s="6">
        <f>MONTH(AC2232)</f>
        <v/>
      </c>
      <c r="AC2232" s="267">
        <f>IFERROR(__xludf.DUMMYFUNCTION("""COMPUTED_VALUE"""),45383.9986111111)</f>
        <v/>
      </c>
      <c r="AD2232" s="6">
        <f>IFERROR(__xludf.DUMMYFUNCTION("""COMPUTED_VALUE"""),1355.53)</f>
        <v/>
      </c>
      <c r="AH2232" s="6">
        <f>AI2232&amp;AJ2232</f>
        <v/>
      </c>
      <c r="AI2232" s="6">
        <f>YEAR(AK2232)</f>
        <v/>
      </c>
      <c r="AJ2232" s="6">
        <f>MONTH(AK2232)</f>
        <v/>
      </c>
      <c r="AK2232" s="267">
        <f>IFERROR(__xludf.DUMMYFUNCTION("""COMPUTED_VALUE"""),45325.9986111111)</f>
        <v/>
      </c>
      <c r="AL2232" s="6">
        <f>IFERROR(__xludf.DUMMYFUNCTION("""COMPUTED_VALUE"""),43004.49)</f>
        <v/>
      </c>
      <c r="AP2232" s="6">
        <f>AQ2232&amp;AR2232</f>
        <v/>
      </c>
      <c r="AQ2232" s="6">
        <f>YEAR(AS2232)</f>
        <v/>
      </c>
      <c r="AR2232" s="6">
        <f>MONTH(AS2232)</f>
        <v/>
      </c>
    </row>
    <row r="2233">
      <c r="B2233" s="6">
        <f>C2233&amp;D2233</f>
        <v/>
      </c>
      <c r="C2233" s="6">
        <f>YEAR(E2233)</f>
        <v/>
      </c>
      <c r="D2233" s="6">
        <f>MONTH(E2233)</f>
        <v/>
      </c>
      <c r="J2233" s="6">
        <f>K2233&amp;L2233</f>
        <v/>
      </c>
      <c r="K2233" s="6">
        <f>YEAR(M2233)</f>
        <v/>
      </c>
      <c r="L2233" s="6">
        <f>MONTH(M2233)</f>
        <v/>
      </c>
      <c r="R2233" s="6">
        <f>S2233&amp;T2233</f>
        <v/>
      </c>
      <c r="S2233" s="6">
        <f>YEAR(U2233)</f>
        <v/>
      </c>
      <c r="T2233" s="6">
        <f>MONTH(U2233)</f>
        <v/>
      </c>
      <c r="Z2233" s="6">
        <f>AA2233&amp;AB2233</f>
        <v/>
      </c>
      <c r="AA2233" s="6">
        <f>YEAR(AC2233)</f>
        <v/>
      </c>
      <c r="AB2233" s="6">
        <f>MONTH(AC2233)</f>
        <v/>
      </c>
      <c r="AC2233" s="267">
        <f>IFERROR(__xludf.DUMMYFUNCTION("""COMPUTED_VALUE"""),45384.9986111111)</f>
        <v/>
      </c>
      <c r="AD2233" s="6">
        <f>IFERROR(__xludf.DUMMYFUNCTION("""COMPUTED_VALUE"""),1350.73)</f>
        <v/>
      </c>
      <c r="AH2233" s="6">
        <f>AI2233&amp;AJ2233</f>
        <v/>
      </c>
      <c r="AI2233" s="6">
        <f>YEAR(AK2233)</f>
        <v/>
      </c>
      <c r="AJ2233" s="6">
        <f>MONTH(AK2233)</f>
        <v/>
      </c>
      <c r="AK2233" s="267">
        <f>IFERROR(__xludf.DUMMYFUNCTION("""COMPUTED_VALUE"""),45326.9986111111)</f>
        <v/>
      </c>
      <c r="AL2233" s="6">
        <f>IFERROR(__xludf.DUMMYFUNCTION("""COMPUTED_VALUE"""),42565.23)</f>
        <v/>
      </c>
      <c r="AP2233" s="6">
        <f>AQ2233&amp;AR2233</f>
        <v/>
      </c>
      <c r="AQ2233" s="6">
        <f>YEAR(AS2233)</f>
        <v/>
      </c>
      <c r="AR2233" s="6">
        <f>MONTH(AS2233)</f>
        <v/>
      </c>
    </row>
    <row r="2234">
      <c r="B2234" s="6">
        <f>C2234&amp;D2234</f>
        <v/>
      </c>
      <c r="C2234" s="6">
        <f>YEAR(E2234)</f>
        <v/>
      </c>
      <c r="D2234" s="6">
        <f>MONTH(E2234)</f>
        <v/>
      </c>
      <c r="J2234" s="6">
        <f>K2234&amp;L2234</f>
        <v/>
      </c>
      <c r="K2234" s="6">
        <f>YEAR(M2234)</f>
        <v/>
      </c>
      <c r="L2234" s="6">
        <f>MONTH(M2234)</f>
        <v/>
      </c>
      <c r="R2234" s="6">
        <f>S2234&amp;T2234</f>
        <v/>
      </c>
      <c r="S2234" s="6">
        <f>YEAR(U2234)</f>
        <v/>
      </c>
      <c r="T2234" s="6">
        <f>MONTH(U2234)</f>
        <v/>
      </c>
      <c r="Z2234" s="6">
        <f>AA2234&amp;AB2234</f>
        <v/>
      </c>
      <c r="AA2234" s="6">
        <f>YEAR(AC2234)</f>
        <v/>
      </c>
      <c r="AB2234" s="6">
        <f>MONTH(AC2234)</f>
        <v/>
      </c>
      <c r="AC2234" s="267">
        <f>IFERROR(__xludf.DUMMYFUNCTION("""COMPUTED_VALUE"""),45385.9986111111)</f>
        <v/>
      </c>
      <c r="AD2234" s="6">
        <f>IFERROR(__xludf.DUMMYFUNCTION("""COMPUTED_VALUE"""),1344.84)</f>
        <v/>
      </c>
      <c r="AH2234" s="6">
        <f>AI2234&amp;AJ2234</f>
        <v/>
      </c>
      <c r="AI2234" s="6">
        <f>YEAR(AK2234)</f>
        <v/>
      </c>
      <c r="AJ2234" s="6">
        <f>MONTH(AK2234)</f>
        <v/>
      </c>
      <c r="AK2234" s="267">
        <f>IFERROR(__xludf.DUMMYFUNCTION("""COMPUTED_VALUE"""),45327.9986111111)</f>
        <v/>
      </c>
      <c r="AL2234" s="6">
        <f>IFERROR(__xludf.DUMMYFUNCTION("""COMPUTED_VALUE"""),42665.05)</f>
        <v/>
      </c>
      <c r="AP2234" s="6">
        <f>AQ2234&amp;AR2234</f>
        <v/>
      </c>
      <c r="AQ2234" s="6">
        <f>YEAR(AS2234)</f>
        <v/>
      </c>
      <c r="AR2234" s="6">
        <f>MONTH(AS2234)</f>
        <v/>
      </c>
    </row>
    <row r="2235">
      <c r="B2235" s="6">
        <f>C2235&amp;D2235</f>
        <v/>
      </c>
      <c r="C2235" s="6">
        <f>YEAR(E2235)</f>
        <v/>
      </c>
      <c r="D2235" s="6">
        <f>MONTH(E2235)</f>
        <v/>
      </c>
      <c r="J2235" s="6">
        <f>K2235&amp;L2235</f>
        <v/>
      </c>
      <c r="K2235" s="6">
        <f>YEAR(M2235)</f>
        <v/>
      </c>
      <c r="L2235" s="6">
        <f>MONTH(M2235)</f>
        <v/>
      </c>
      <c r="R2235" s="6">
        <f>S2235&amp;T2235</f>
        <v/>
      </c>
      <c r="S2235" s="6">
        <f>YEAR(U2235)</f>
        <v/>
      </c>
      <c r="T2235" s="6">
        <f>MONTH(U2235)</f>
        <v/>
      </c>
      <c r="Z2235" s="6">
        <f>AA2235&amp;AB2235</f>
        <v/>
      </c>
      <c r="AA2235" s="6">
        <f>YEAR(AC2235)</f>
        <v/>
      </c>
      <c r="AB2235" s="6">
        <f>MONTH(AC2235)</f>
        <v/>
      </c>
      <c r="AC2235" s="267">
        <f>IFERROR(__xludf.DUMMYFUNCTION("""COMPUTED_VALUE"""),45386.9986111111)</f>
        <v/>
      </c>
      <c r="AD2235" s="6">
        <f>IFERROR(__xludf.DUMMYFUNCTION("""COMPUTED_VALUE"""),1351.36)</f>
        <v/>
      </c>
      <c r="AH2235" s="6">
        <f>AI2235&amp;AJ2235</f>
        <v/>
      </c>
      <c r="AI2235" s="6">
        <f>YEAR(AK2235)</f>
        <v/>
      </c>
      <c r="AJ2235" s="6">
        <f>MONTH(AK2235)</f>
        <v/>
      </c>
      <c r="AK2235" s="267">
        <f>IFERROR(__xludf.DUMMYFUNCTION("""COMPUTED_VALUE"""),45328.9986111111)</f>
        <v/>
      </c>
      <c r="AL2235" s="6">
        <f>IFERROR(__xludf.DUMMYFUNCTION("""COMPUTED_VALUE"""),43084.9)</f>
        <v/>
      </c>
      <c r="AP2235" s="6">
        <f>AQ2235&amp;AR2235</f>
        <v/>
      </c>
      <c r="AQ2235" s="6">
        <f>YEAR(AS2235)</f>
        <v/>
      </c>
      <c r="AR2235" s="6">
        <f>MONTH(AS2235)</f>
        <v/>
      </c>
    </row>
    <row r="2236">
      <c r="B2236" s="6">
        <f>C2236&amp;D2236</f>
        <v/>
      </c>
      <c r="C2236" s="6">
        <f>YEAR(E2236)</f>
        <v/>
      </c>
      <c r="D2236" s="6">
        <f>MONTH(E2236)</f>
        <v/>
      </c>
      <c r="J2236" s="6">
        <f>K2236&amp;L2236</f>
        <v/>
      </c>
      <c r="K2236" s="6">
        <f>YEAR(M2236)</f>
        <v/>
      </c>
      <c r="L2236" s="6">
        <f>MONTH(M2236)</f>
        <v/>
      </c>
      <c r="R2236" s="6">
        <f>S2236&amp;T2236</f>
        <v/>
      </c>
      <c r="S2236" s="6">
        <f>YEAR(U2236)</f>
        <v/>
      </c>
      <c r="T2236" s="6">
        <f>MONTH(U2236)</f>
        <v/>
      </c>
      <c r="Z2236" s="6">
        <f>AA2236&amp;AB2236</f>
        <v/>
      </c>
      <c r="AA2236" s="6">
        <f>YEAR(AC2236)</f>
        <v/>
      </c>
      <c r="AB2236" s="6">
        <f>MONTH(AC2236)</f>
        <v/>
      </c>
      <c r="AC2236" s="267">
        <f>IFERROR(__xludf.DUMMYFUNCTION("""COMPUTED_VALUE"""),45387.9986111111)</f>
        <v/>
      </c>
      <c r="AD2236" s="6">
        <f>IFERROR(__xludf.DUMMYFUNCTION("""COMPUTED_VALUE"""),1350.75)</f>
        <v/>
      </c>
      <c r="AH2236" s="6">
        <f>AI2236&amp;AJ2236</f>
        <v/>
      </c>
      <c r="AI2236" s="6">
        <f>YEAR(AK2236)</f>
        <v/>
      </c>
      <c r="AJ2236" s="6">
        <f>MONTH(AK2236)</f>
        <v/>
      </c>
      <c r="AK2236" s="267">
        <f>IFERROR(__xludf.DUMMYFUNCTION("""COMPUTED_VALUE"""),45329.9986111111)</f>
        <v/>
      </c>
      <c r="AL2236" s="6">
        <f>IFERROR(__xludf.DUMMYFUNCTION("""COMPUTED_VALUE"""),44285.67)</f>
        <v/>
      </c>
      <c r="AP2236" s="6">
        <f>AQ2236&amp;AR2236</f>
        <v/>
      </c>
      <c r="AQ2236" s="6">
        <f>YEAR(AS2236)</f>
        <v/>
      </c>
      <c r="AR2236" s="6">
        <f>MONTH(AS2236)</f>
        <v/>
      </c>
    </row>
    <row r="2237">
      <c r="B2237" s="6">
        <f>C2237&amp;D2237</f>
        <v/>
      </c>
      <c r="C2237" s="6">
        <f>YEAR(E2237)</f>
        <v/>
      </c>
      <c r="D2237" s="6">
        <f>MONTH(E2237)</f>
        <v/>
      </c>
      <c r="J2237" s="6">
        <f>K2237&amp;L2237</f>
        <v/>
      </c>
      <c r="K2237" s="6">
        <f>YEAR(M2237)</f>
        <v/>
      </c>
      <c r="L2237" s="6">
        <f>MONTH(M2237)</f>
        <v/>
      </c>
      <c r="R2237" s="6">
        <f>S2237&amp;T2237</f>
        <v/>
      </c>
      <c r="S2237" s="6">
        <f>YEAR(U2237)</f>
        <v/>
      </c>
      <c r="T2237" s="6">
        <f>MONTH(U2237)</f>
        <v/>
      </c>
      <c r="Z2237" s="6">
        <f>AA2237&amp;AB2237</f>
        <v/>
      </c>
      <c r="AA2237" s="6">
        <f>YEAR(AC2237)</f>
        <v/>
      </c>
      <c r="AB2237" s="6">
        <f>MONTH(AC2237)</f>
        <v/>
      </c>
      <c r="AC2237" s="267">
        <f>IFERROR(__xludf.DUMMYFUNCTION("""COMPUTED_VALUE"""),45388.9986111111)</f>
        <v/>
      </c>
      <c r="AD2237" s="6">
        <f>IFERROR(__xludf.DUMMYFUNCTION("""COMPUTED_VALUE"""),1350.75)</f>
        <v/>
      </c>
      <c r="AH2237" s="6">
        <f>AI2237&amp;AJ2237</f>
        <v/>
      </c>
      <c r="AI2237" s="6">
        <f>YEAR(AK2237)</f>
        <v/>
      </c>
      <c r="AJ2237" s="6">
        <f>MONTH(AK2237)</f>
        <v/>
      </c>
      <c r="AK2237" s="267">
        <f>IFERROR(__xludf.DUMMYFUNCTION("""COMPUTED_VALUE"""),45330.9986111111)</f>
        <v/>
      </c>
      <c r="AL2237" s="6">
        <f>IFERROR(__xludf.DUMMYFUNCTION("""COMPUTED_VALUE"""),45323.12)</f>
        <v/>
      </c>
      <c r="AP2237" s="6">
        <f>AQ2237&amp;AR2237</f>
        <v/>
      </c>
      <c r="AQ2237" s="6">
        <f>YEAR(AS2237)</f>
        <v/>
      </c>
      <c r="AR2237" s="6">
        <f>MONTH(AS2237)</f>
        <v/>
      </c>
    </row>
    <row r="2238">
      <c r="B2238" s="6">
        <f>C2238&amp;D2238</f>
        <v/>
      </c>
      <c r="C2238" s="6">
        <f>YEAR(E2238)</f>
        <v/>
      </c>
      <c r="D2238" s="6">
        <f>MONTH(E2238)</f>
        <v/>
      </c>
      <c r="J2238" s="6">
        <f>K2238&amp;L2238</f>
        <v/>
      </c>
      <c r="K2238" s="6">
        <f>YEAR(M2238)</f>
        <v/>
      </c>
      <c r="L2238" s="6">
        <f>MONTH(M2238)</f>
        <v/>
      </c>
      <c r="R2238" s="6">
        <f>S2238&amp;T2238</f>
        <v/>
      </c>
      <c r="S2238" s="6">
        <f>YEAR(U2238)</f>
        <v/>
      </c>
      <c r="T2238" s="6">
        <f>MONTH(U2238)</f>
        <v/>
      </c>
      <c r="Z2238" s="6">
        <f>AA2238&amp;AB2238</f>
        <v/>
      </c>
      <c r="AA2238" s="6">
        <f>YEAR(AC2238)</f>
        <v/>
      </c>
      <c r="AB2238" s="6">
        <f>MONTH(AC2238)</f>
        <v/>
      </c>
      <c r="AC2238" s="267">
        <f>IFERROR(__xludf.DUMMYFUNCTION("""COMPUTED_VALUE"""),45389.9986111111)</f>
        <v/>
      </c>
      <c r="AD2238" s="6">
        <f>IFERROR(__xludf.DUMMYFUNCTION("""COMPUTED_VALUE"""),1350.27)</f>
        <v/>
      </c>
      <c r="AH2238" s="6">
        <f>AI2238&amp;AJ2238</f>
        <v/>
      </c>
      <c r="AI2238" s="6">
        <f>YEAR(AK2238)</f>
        <v/>
      </c>
      <c r="AJ2238" s="6">
        <f>MONTH(AK2238)</f>
        <v/>
      </c>
      <c r="AK2238" s="267">
        <f>IFERROR(__xludf.DUMMYFUNCTION("""COMPUTED_VALUE"""),45331.9986111111)</f>
        <v/>
      </c>
      <c r="AL2238" s="6">
        <f>IFERROR(__xludf.DUMMYFUNCTION("""COMPUTED_VALUE"""),47282.84)</f>
        <v/>
      </c>
      <c r="AP2238" s="6">
        <f>AQ2238&amp;AR2238</f>
        <v/>
      </c>
      <c r="AQ2238" s="6">
        <f>YEAR(AS2238)</f>
        <v/>
      </c>
      <c r="AR2238" s="6">
        <f>MONTH(AS2238)</f>
        <v/>
      </c>
    </row>
    <row r="2239">
      <c r="B2239" s="6">
        <f>C2239&amp;D2239</f>
        <v/>
      </c>
      <c r="C2239" s="6">
        <f>YEAR(E2239)</f>
        <v/>
      </c>
      <c r="D2239" s="6">
        <f>MONTH(E2239)</f>
        <v/>
      </c>
      <c r="J2239" s="6">
        <f>K2239&amp;L2239</f>
        <v/>
      </c>
      <c r="K2239" s="6">
        <f>YEAR(M2239)</f>
        <v/>
      </c>
      <c r="L2239" s="6">
        <f>MONTH(M2239)</f>
        <v/>
      </c>
      <c r="R2239" s="6">
        <f>S2239&amp;T2239</f>
        <v/>
      </c>
      <c r="S2239" s="6">
        <f>YEAR(U2239)</f>
        <v/>
      </c>
      <c r="T2239" s="6">
        <f>MONTH(U2239)</f>
        <v/>
      </c>
      <c r="Z2239" s="6">
        <f>AA2239&amp;AB2239</f>
        <v/>
      </c>
      <c r="AA2239" s="6">
        <f>YEAR(AC2239)</f>
        <v/>
      </c>
      <c r="AB2239" s="6">
        <f>MONTH(AC2239)</f>
        <v/>
      </c>
      <c r="AC2239" s="267">
        <f>IFERROR(__xludf.DUMMYFUNCTION("""COMPUTED_VALUE"""),45390.9986111111)</f>
        <v/>
      </c>
      <c r="AD2239" s="6">
        <f>IFERROR(__xludf.DUMMYFUNCTION("""COMPUTED_VALUE"""),1354.22)</f>
        <v/>
      </c>
      <c r="AH2239" s="6">
        <f>AI2239&amp;AJ2239</f>
        <v/>
      </c>
      <c r="AI2239" s="6">
        <f>YEAR(AK2239)</f>
        <v/>
      </c>
      <c r="AJ2239" s="6">
        <f>MONTH(AK2239)</f>
        <v/>
      </c>
      <c r="AK2239" s="267">
        <f>IFERROR(__xludf.DUMMYFUNCTION("""COMPUTED_VALUE"""),45332.9986111111)</f>
        <v/>
      </c>
      <c r="AL2239" s="6">
        <f>IFERROR(__xludf.DUMMYFUNCTION("""COMPUTED_VALUE"""),47746.95)</f>
        <v/>
      </c>
      <c r="AP2239" s="6">
        <f>AQ2239&amp;AR2239</f>
        <v/>
      </c>
      <c r="AQ2239" s="6">
        <f>YEAR(AS2239)</f>
        <v/>
      </c>
      <c r="AR2239" s="6">
        <f>MONTH(AS2239)</f>
        <v/>
      </c>
    </row>
    <row r="2240">
      <c r="B2240" s="6">
        <f>C2240&amp;D2240</f>
        <v/>
      </c>
      <c r="C2240" s="6">
        <f>YEAR(E2240)</f>
        <v/>
      </c>
      <c r="D2240" s="6">
        <f>MONTH(E2240)</f>
        <v/>
      </c>
      <c r="J2240" s="6">
        <f>K2240&amp;L2240</f>
        <v/>
      </c>
      <c r="K2240" s="6">
        <f>YEAR(M2240)</f>
        <v/>
      </c>
      <c r="L2240" s="6">
        <f>MONTH(M2240)</f>
        <v/>
      </c>
      <c r="R2240" s="6">
        <f>S2240&amp;T2240</f>
        <v/>
      </c>
      <c r="S2240" s="6">
        <f>YEAR(U2240)</f>
        <v/>
      </c>
      <c r="T2240" s="6">
        <f>MONTH(U2240)</f>
        <v/>
      </c>
      <c r="Z2240" s="6">
        <f>AA2240&amp;AB2240</f>
        <v/>
      </c>
      <c r="AA2240" s="6">
        <f>YEAR(AC2240)</f>
        <v/>
      </c>
      <c r="AB2240" s="6">
        <f>MONTH(AC2240)</f>
        <v/>
      </c>
      <c r="AC2240" s="267">
        <f>IFERROR(__xludf.DUMMYFUNCTION("""COMPUTED_VALUE"""),45391.9986111111)</f>
        <v/>
      </c>
      <c r="AD2240" s="6">
        <f>IFERROR(__xludf.DUMMYFUNCTION("""COMPUTED_VALUE"""),1348.54)</f>
        <v/>
      </c>
      <c r="AH2240" s="6">
        <f>AI2240&amp;AJ2240</f>
        <v/>
      </c>
      <c r="AI2240" s="6">
        <f>YEAR(AK2240)</f>
        <v/>
      </c>
      <c r="AJ2240" s="6">
        <f>MONTH(AK2240)</f>
        <v/>
      </c>
      <c r="AK2240" s="267">
        <f>IFERROR(__xludf.DUMMYFUNCTION("""COMPUTED_VALUE"""),45333.9986111111)</f>
        <v/>
      </c>
      <c r="AL2240" s="6">
        <f>IFERROR(__xludf.DUMMYFUNCTION("""COMPUTED_VALUE"""),48281.19)</f>
        <v/>
      </c>
      <c r="AP2240" s="6">
        <f>AQ2240&amp;AR2240</f>
        <v/>
      </c>
      <c r="AQ2240" s="6">
        <f>YEAR(AS2240)</f>
        <v/>
      </c>
      <c r="AR2240" s="6">
        <f>MONTH(AS2240)</f>
        <v/>
      </c>
    </row>
    <row r="2241">
      <c r="B2241" s="6">
        <f>C2241&amp;D2241</f>
        <v/>
      </c>
      <c r="C2241" s="6">
        <f>YEAR(E2241)</f>
        <v/>
      </c>
      <c r="D2241" s="6">
        <f>MONTH(E2241)</f>
        <v/>
      </c>
      <c r="J2241" s="6">
        <f>K2241&amp;L2241</f>
        <v/>
      </c>
      <c r="K2241" s="6">
        <f>YEAR(M2241)</f>
        <v/>
      </c>
      <c r="L2241" s="6">
        <f>MONTH(M2241)</f>
        <v/>
      </c>
      <c r="R2241" s="6">
        <f>S2241&amp;T2241</f>
        <v/>
      </c>
      <c r="S2241" s="6">
        <f>YEAR(U2241)</f>
        <v/>
      </c>
      <c r="T2241" s="6">
        <f>MONTH(U2241)</f>
        <v/>
      </c>
      <c r="Z2241" s="6">
        <f>AA2241&amp;AB2241</f>
        <v/>
      </c>
      <c r="AA2241" s="6">
        <f>YEAR(AC2241)</f>
        <v/>
      </c>
      <c r="AB2241" s="6">
        <f>MONTH(AC2241)</f>
        <v/>
      </c>
      <c r="AC2241" s="267">
        <f>IFERROR(__xludf.DUMMYFUNCTION("""COMPUTED_VALUE"""),45392.9986111111)</f>
        <v/>
      </c>
      <c r="AD2241" s="6">
        <f>IFERROR(__xludf.DUMMYFUNCTION("""COMPUTED_VALUE"""),1363.76)</f>
        <v/>
      </c>
      <c r="AH2241" s="6">
        <f>AI2241&amp;AJ2241</f>
        <v/>
      </c>
      <c r="AI2241" s="6">
        <f>YEAR(AK2241)</f>
        <v/>
      </c>
      <c r="AJ2241" s="6">
        <f>MONTH(AK2241)</f>
        <v/>
      </c>
      <c r="AK2241" s="267">
        <f>IFERROR(__xludf.DUMMYFUNCTION("""COMPUTED_VALUE"""),45334.9986111111)</f>
        <v/>
      </c>
      <c r="AL2241" s="6">
        <f>IFERROR(__xludf.DUMMYFUNCTION("""COMPUTED_VALUE"""),49999.68)</f>
        <v/>
      </c>
      <c r="AP2241" s="6">
        <f>AQ2241&amp;AR2241</f>
        <v/>
      </c>
      <c r="AQ2241" s="6">
        <f>YEAR(AS2241)</f>
        <v/>
      </c>
      <c r="AR2241" s="6">
        <f>MONTH(AS2241)</f>
        <v/>
      </c>
    </row>
    <row r="2242">
      <c r="B2242" s="6">
        <f>C2242&amp;D2242</f>
        <v/>
      </c>
      <c r="C2242" s="6">
        <f>YEAR(E2242)</f>
        <v/>
      </c>
      <c r="D2242" s="6">
        <f>MONTH(E2242)</f>
        <v/>
      </c>
      <c r="J2242" s="6">
        <f>K2242&amp;L2242</f>
        <v/>
      </c>
      <c r="K2242" s="6">
        <f>YEAR(M2242)</f>
        <v/>
      </c>
      <c r="L2242" s="6">
        <f>MONTH(M2242)</f>
        <v/>
      </c>
      <c r="R2242" s="6">
        <f>S2242&amp;T2242</f>
        <v/>
      </c>
      <c r="S2242" s="6">
        <f>YEAR(U2242)</f>
        <v/>
      </c>
      <c r="T2242" s="6">
        <f>MONTH(U2242)</f>
        <v/>
      </c>
      <c r="Z2242" s="6">
        <f>AA2242&amp;AB2242</f>
        <v/>
      </c>
      <c r="AA2242" s="6">
        <f>YEAR(AC2242)</f>
        <v/>
      </c>
      <c r="AB2242" s="6">
        <f>MONTH(AC2242)</f>
        <v/>
      </c>
      <c r="AC2242" s="267">
        <f>IFERROR(__xludf.DUMMYFUNCTION("""COMPUTED_VALUE"""),45393.9986111111)</f>
        <v/>
      </c>
      <c r="AD2242" s="6">
        <f>IFERROR(__xludf.DUMMYFUNCTION("""COMPUTED_VALUE"""),1367.84)</f>
        <v/>
      </c>
      <c r="AH2242" s="6">
        <f>AI2242&amp;AJ2242</f>
        <v/>
      </c>
      <c r="AI2242" s="6">
        <f>YEAR(AK2242)</f>
        <v/>
      </c>
      <c r="AJ2242" s="6">
        <f>MONTH(AK2242)</f>
        <v/>
      </c>
      <c r="AK2242" s="267">
        <f>IFERROR(__xludf.DUMMYFUNCTION("""COMPUTED_VALUE"""),45335.9986111111)</f>
        <v/>
      </c>
      <c r="AL2242" s="6">
        <f>IFERROR(__xludf.DUMMYFUNCTION("""COMPUTED_VALUE"""),49727.57)</f>
        <v/>
      </c>
      <c r="AP2242" s="6">
        <f>AQ2242&amp;AR2242</f>
        <v/>
      </c>
      <c r="AQ2242" s="6">
        <f>YEAR(AS2242)</f>
        <v/>
      </c>
      <c r="AR2242" s="6">
        <f>MONTH(AS2242)</f>
        <v/>
      </c>
    </row>
    <row r="2243">
      <c r="B2243" s="6">
        <f>C2243&amp;D2243</f>
        <v/>
      </c>
      <c r="C2243" s="6">
        <f>YEAR(E2243)</f>
        <v/>
      </c>
      <c r="D2243" s="6">
        <f>MONTH(E2243)</f>
        <v/>
      </c>
      <c r="J2243" s="6">
        <f>K2243&amp;L2243</f>
        <v/>
      </c>
      <c r="K2243" s="6">
        <f>YEAR(M2243)</f>
        <v/>
      </c>
      <c r="L2243" s="6">
        <f>MONTH(M2243)</f>
        <v/>
      </c>
      <c r="R2243" s="6">
        <f>S2243&amp;T2243</f>
        <v/>
      </c>
      <c r="S2243" s="6">
        <f>YEAR(U2243)</f>
        <v/>
      </c>
      <c r="T2243" s="6">
        <f>MONTH(U2243)</f>
        <v/>
      </c>
      <c r="Z2243" s="6">
        <f>AA2243&amp;AB2243</f>
        <v/>
      </c>
      <c r="AA2243" s="6">
        <f>YEAR(AC2243)</f>
        <v/>
      </c>
      <c r="AB2243" s="6">
        <f>MONTH(AC2243)</f>
        <v/>
      </c>
      <c r="AC2243" s="267">
        <f>IFERROR(__xludf.DUMMYFUNCTION("""COMPUTED_VALUE"""),45394.9986111111)</f>
        <v/>
      </c>
      <c r="AD2243" s="6">
        <f>IFERROR(__xludf.DUMMYFUNCTION("""COMPUTED_VALUE"""),1379.6)</f>
        <v/>
      </c>
      <c r="AH2243" s="6">
        <f>AI2243&amp;AJ2243</f>
        <v/>
      </c>
      <c r="AI2243" s="6">
        <f>YEAR(AK2243)</f>
        <v/>
      </c>
      <c r="AJ2243" s="6">
        <f>MONTH(AK2243)</f>
        <v/>
      </c>
      <c r="AK2243" s="267">
        <f>IFERROR(__xludf.DUMMYFUNCTION("""COMPUTED_VALUE"""),45336.9986111111)</f>
        <v/>
      </c>
      <c r="AL2243" s="6">
        <f>IFERROR(__xludf.DUMMYFUNCTION("""COMPUTED_VALUE"""),51837.78)</f>
        <v/>
      </c>
      <c r="AP2243" s="6">
        <f>AQ2243&amp;AR2243</f>
        <v/>
      </c>
      <c r="AQ2243" s="6">
        <f>YEAR(AS2243)</f>
        <v/>
      </c>
      <c r="AR2243" s="6">
        <f>MONTH(AS2243)</f>
        <v/>
      </c>
    </row>
    <row r="2244">
      <c r="B2244" s="6">
        <f>C2244&amp;D2244</f>
        <v/>
      </c>
      <c r="C2244" s="6">
        <f>YEAR(E2244)</f>
        <v/>
      </c>
      <c r="D2244" s="6">
        <f>MONTH(E2244)</f>
        <v/>
      </c>
      <c r="J2244" s="6">
        <f>K2244&amp;L2244</f>
        <v/>
      </c>
      <c r="K2244" s="6">
        <f>YEAR(M2244)</f>
        <v/>
      </c>
      <c r="L2244" s="6">
        <f>MONTH(M2244)</f>
        <v/>
      </c>
      <c r="R2244" s="6">
        <f>S2244&amp;T2244</f>
        <v/>
      </c>
      <c r="S2244" s="6">
        <f>YEAR(U2244)</f>
        <v/>
      </c>
      <c r="T2244" s="6">
        <f>MONTH(U2244)</f>
        <v/>
      </c>
      <c r="Z2244" s="6">
        <f>AA2244&amp;AB2244</f>
        <v/>
      </c>
      <c r="AA2244" s="6">
        <f>YEAR(AC2244)</f>
        <v/>
      </c>
      <c r="AB2244" s="6">
        <f>MONTH(AC2244)</f>
        <v/>
      </c>
      <c r="AC2244" s="267">
        <f>IFERROR(__xludf.DUMMYFUNCTION("""COMPUTED_VALUE"""),45395.9986111111)</f>
        <v/>
      </c>
      <c r="AD2244" s="6">
        <f>IFERROR(__xludf.DUMMYFUNCTION("""COMPUTED_VALUE"""),1379.6)</f>
        <v/>
      </c>
      <c r="AH2244" s="6">
        <f>AI2244&amp;AJ2244</f>
        <v/>
      </c>
      <c r="AI2244" s="6">
        <f>YEAR(AK2244)</f>
        <v/>
      </c>
      <c r="AJ2244" s="6">
        <f>MONTH(AK2244)</f>
        <v/>
      </c>
      <c r="AK2244" s="267">
        <f>IFERROR(__xludf.DUMMYFUNCTION("""COMPUTED_VALUE"""),45337.9986111111)</f>
        <v/>
      </c>
      <c r="AL2244" s="6">
        <f>IFERROR(__xludf.DUMMYFUNCTION("""COMPUTED_VALUE"""),51865.25)</f>
        <v/>
      </c>
      <c r="AP2244" s="6">
        <f>AQ2244&amp;AR2244</f>
        <v/>
      </c>
      <c r="AQ2244" s="6">
        <f>YEAR(AS2244)</f>
        <v/>
      </c>
      <c r="AR2244" s="6">
        <f>MONTH(AS2244)</f>
        <v/>
      </c>
    </row>
    <row r="2245">
      <c r="B2245" s="6">
        <f>C2245&amp;D2245</f>
        <v/>
      </c>
      <c r="C2245" s="6">
        <f>YEAR(E2245)</f>
        <v/>
      </c>
      <c r="D2245" s="6">
        <f>MONTH(E2245)</f>
        <v/>
      </c>
      <c r="J2245" s="6">
        <f>K2245&amp;L2245</f>
        <v/>
      </c>
      <c r="K2245" s="6">
        <f>YEAR(M2245)</f>
        <v/>
      </c>
      <c r="L2245" s="6">
        <f>MONTH(M2245)</f>
        <v/>
      </c>
      <c r="R2245" s="6">
        <f>S2245&amp;T2245</f>
        <v/>
      </c>
      <c r="S2245" s="6">
        <f>YEAR(U2245)</f>
        <v/>
      </c>
      <c r="T2245" s="6">
        <f>MONTH(U2245)</f>
        <v/>
      </c>
      <c r="Z2245" s="6">
        <f>AA2245&amp;AB2245</f>
        <v/>
      </c>
      <c r="AA2245" s="6">
        <f>YEAR(AC2245)</f>
        <v/>
      </c>
      <c r="AB2245" s="6">
        <f>MONTH(AC2245)</f>
        <v/>
      </c>
      <c r="AC2245" s="267">
        <f>IFERROR(__xludf.DUMMYFUNCTION("""COMPUTED_VALUE"""),45396.9986111111)</f>
        <v/>
      </c>
      <c r="AD2245" s="6">
        <f>IFERROR(__xludf.DUMMYFUNCTION("""COMPUTED_VALUE"""),1379.61)</f>
        <v/>
      </c>
      <c r="AH2245" s="6">
        <f>AI2245&amp;AJ2245</f>
        <v/>
      </c>
      <c r="AI2245" s="6">
        <f>YEAR(AK2245)</f>
        <v/>
      </c>
      <c r="AJ2245" s="6">
        <f>MONTH(AK2245)</f>
        <v/>
      </c>
      <c r="AK2245" s="267">
        <f>IFERROR(__xludf.DUMMYFUNCTION("""COMPUTED_VALUE"""),45338.9986111111)</f>
        <v/>
      </c>
      <c r="AL2245" s="6">
        <f>IFERROR(__xludf.DUMMYFUNCTION("""COMPUTED_VALUE"""),52191.27)</f>
        <v/>
      </c>
      <c r="AP2245" s="6">
        <f>AQ2245&amp;AR2245</f>
        <v/>
      </c>
      <c r="AQ2245" s="6">
        <f>YEAR(AS2245)</f>
        <v/>
      </c>
      <c r="AR2245" s="6">
        <f>MONTH(AS2245)</f>
        <v/>
      </c>
    </row>
    <row r="2246">
      <c r="B2246" s="6">
        <f>C2246&amp;D2246</f>
        <v/>
      </c>
      <c r="C2246" s="6">
        <f>YEAR(E2246)</f>
        <v/>
      </c>
      <c r="D2246" s="6">
        <f>MONTH(E2246)</f>
        <v/>
      </c>
      <c r="J2246" s="6">
        <f>K2246&amp;L2246</f>
        <v/>
      </c>
      <c r="K2246" s="6">
        <f>YEAR(M2246)</f>
        <v/>
      </c>
      <c r="L2246" s="6">
        <f>MONTH(M2246)</f>
        <v/>
      </c>
      <c r="R2246" s="6">
        <f>S2246&amp;T2246</f>
        <v/>
      </c>
      <c r="S2246" s="6">
        <f>YEAR(U2246)</f>
        <v/>
      </c>
      <c r="T2246" s="6">
        <f>MONTH(U2246)</f>
        <v/>
      </c>
      <c r="Z2246" s="6">
        <f>AA2246&amp;AB2246</f>
        <v/>
      </c>
      <c r="AA2246" s="6">
        <f>YEAR(AC2246)</f>
        <v/>
      </c>
      <c r="AB2246" s="6">
        <f>MONTH(AC2246)</f>
        <v/>
      </c>
      <c r="AC2246" s="267">
        <f>IFERROR(__xludf.DUMMYFUNCTION("""COMPUTED_VALUE"""),45397.9986111111)</f>
        <v/>
      </c>
      <c r="AD2246" s="6">
        <f>IFERROR(__xludf.DUMMYFUNCTION("""COMPUTED_VALUE"""),1387.67)</f>
        <v/>
      </c>
      <c r="AH2246" s="6">
        <f>AI2246&amp;AJ2246</f>
        <v/>
      </c>
      <c r="AI2246" s="6">
        <f>YEAR(AK2246)</f>
        <v/>
      </c>
      <c r="AJ2246" s="6">
        <f>MONTH(AK2246)</f>
        <v/>
      </c>
      <c r="AK2246" s="267">
        <f>IFERROR(__xludf.DUMMYFUNCTION("""COMPUTED_VALUE"""),45339.9986111111)</f>
        <v/>
      </c>
      <c r="AL2246" s="6">
        <f>IFERROR(__xludf.DUMMYFUNCTION("""COMPUTED_VALUE"""),51685.54)</f>
        <v/>
      </c>
      <c r="AP2246" s="6">
        <f>AQ2246&amp;AR2246</f>
        <v/>
      </c>
      <c r="AQ2246" s="6">
        <f>YEAR(AS2246)</f>
        <v/>
      </c>
      <c r="AR2246" s="6">
        <f>MONTH(AS2246)</f>
        <v/>
      </c>
    </row>
    <row r="2247">
      <c r="B2247" s="6">
        <f>C2247&amp;D2247</f>
        <v/>
      </c>
      <c r="C2247" s="6">
        <f>YEAR(E2247)</f>
        <v/>
      </c>
      <c r="D2247" s="6">
        <f>MONTH(E2247)</f>
        <v/>
      </c>
      <c r="J2247" s="6">
        <f>K2247&amp;L2247</f>
        <v/>
      </c>
      <c r="K2247" s="6">
        <f>YEAR(M2247)</f>
        <v/>
      </c>
      <c r="L2247" s="6">
        <f>MONTH(M2247)</f>
        <v/>
      </c>
      <c r="R2247" s="6">
        <f>S2247&amp;T2247</f>
        <v/>
      </c>
      <c r="S2247" s="6">
        <f>YEAR(U2247)</f>
        <v/>
      </c>
      <c r="T2247" s="6">
        <f>MONTH(U2247)</f>
        <v/>
      </c>
      <c r="Z2247" s="6">
        <f>AA2247&amp;AB2247</f>
        <v/>
      </c>
      <c r="AA2247" s="6">
        <f>YEAR(AC2247)</f>
        <v/>
      </c>
      <c r="AB2247" s="6">
        <f>MONTH(AC2247)</f>
        <v/>
      </c>
      <c r="AC2247" s="267">
        <f>IFERROR(__xludf.DUMMYFUNCTION("""COMPUTED_VALUE"""),45398.9986111111)</f>
        <v/>
      </c>
      <c r="AD2247" s="6">
        <f>IFERROR(__xludf.DUMMYFUNCTION("""COMPUTED_VALUE"""),1387.34)</f>
        <v/>
      </c>
      <c r="AH2247" s="6">
        <f>AI2247&amp;AJ2247</f>
        <v/>
      </c>
      <c r="AI2247" s="6">
        <f>YEAR(AK2247)</f>
        <v/>
      </c>
      <c r="AJ2247" s="6">
        <f>MONTH(AK2247)</f>
        <v/>
      </c>
      <c r="AK2247" s="267">
        <f>IFERROR(__xludf.DUMMYFUNCTION("""COMPUTED_VALUE"""),45340.9986111111)</f>
        <v/>
      </c>
      <c r="AL2247" s="6">
        <f>IFERROR(__xludf.DUMMYFUNCTION("""COMPUTED_VALUE"""),52120.28)</f>
        <v/>
      </c>
      <c r="AP2247" s="6">
        <f>AQ2247&amp;AR2247</f>
        <v/>
      </c>
      <c r="AQ2247" s="6">
        <f>YEAR(AS2247)</f>
        <v/>
      </c>
      <c r="AR2247" s="6">
        <f>MONTH(AS2247)</f>
        <v/>
      </c>
    </row>
    <row r="2248">
      <c r="B2248" s="6">
        <f>C2248&amp;D2248</f>
        <v/>
      </c>
      <c r="C2248" s="6">
        <f>YEAR(E2248)</f>
        <v/>
      </c>
      <c r="D2248" s="6">
        <f>MONTH(E2248)</f>
        <v/>
      </c>
      <c r="J2248" s="6">
        <f>K2248&amp;L2248</f>
        <v/>
      </c>
      <c r="K2248" s="6">
        <f>YEAR(M2248)</f>
        <v/>
      </c>
      <c r="L2248" s="6">
        <f>MONTH(M2248)</f>
        <v/>
      </c>
      <c r="R2248" s="6">
        <f>S2248&amp;T2248</f>
        <v/>
      </c>
      <c r="S2248" s="6">
        <f>YEAR(U2248)</f>
        <v/>
      </c>
      <c r="T2248" s="6">
        <f>MONTH(U2248)</f>
        <v/>
      </c>
      <c r="Z2248" s="6">
        <f>AA2248&amp;AB2248</f>
        <v/>
      </c>
      <c r="AA2248" s="6">
        <f>YEAR(AC2248)</f>
        <v/>
      </c>
      <c r="AB2248" s="6">
        <f>MONTH(AC2248)</f>
        <v/>
      </c>
      <c r="AC2248" s="267">
        <f>IFERROR(__xludf.DUMMYFUNCTION("""COMPUTED_VALUE"""),45399.9986111111)</f>
        <v/>
      </c>
      <c r="AD2248" s="6">
        <f>IFERROR(__xludf.DUMMYFUNCTION("""COMPUTED_VALUE"""),1379.54)</f>
        <v/>
      </c>
      <c r="AH2248" s="6">
        <f>AI2248&amp;AJ2248</f>
        <v/>
      </c>
      <c r="AI2248" s="6">
        <f>YEAR(AK2248)</f>
        <v/>
      </c>
      <c r="AJ2248" s="6">
        <f>MONTH(AK2248)</f>
        <v/>
      </c>
      <c r="AK2248" s="267">
        <f>IFERROR(__xludf.DUMMYFUNCTION("""COMPUTED_VALUE"""),45341.9986111111)</f>
        <v/>
      </c>
      <c r="AL2248" s="6">
        <f>IFERROR(__xludf.DUMMYFUNCTION("""COMPUTED_VALUE"""),51769.91)</f>
        <v/>
      </c>
      <c r="AP2248" s="6">
        <f>AQ2248&amp;AR2248</f>
        <v/>
      </c>
      <c r="AQ2248" s="6">
        <f>YEAR(AS2248)</f>
        <v/>
      </c>
      <c r="AR2248" s="6">
        <f>MONTH(AS2248)</f>
        <v/>
      </c>
    </row>
    <row r="2249">
      <c r="B2249" s="6">
        <f>C2249&amp;D2249</f>
        <v/>
      </c>
      <c r="C2249" s="6">
        <f>YEAR(E2249)</f>
        <v/>
      </c>
      <c r="D2249" s="6">
        <f>MONTH(E2249)</f>
        <v/>
      </c>
      <c r="J2249" s="6">
        <f>K2249&amp;L2249</f>
        <v/>
      </c>
      <c r="K2249" s="6">
        <f>YEAR(M2249)</f>
        <v/>
      </c>
      <c r="L2249" s="6">
        <f>MONTH(M2249)</f>
        <v/>
      </c>
      <c r="R2249" s="6">
        <f>S2249&amp;T2249</f>
        <v/>
      </c>
      <c r="S2249" s="6">
        <f>YEAR(U2249)</f>
        <v/>
      </c>
      <c r="T2249" s="6">
        <f>MONTH(U2249)</f>
        <v/>
      </c>
      <c r="Z2249" s="6">
        <f>AA2249&amp;AB2249</f>
        <v/>
      </c>
      <c r="AA2249" s="6">
        <f>YEAR(AC2249)</f>
        <v/>
      </c>
      <c r="AB2249" s="6">
        <f>MONTH(AC2249)</f>
        <v/>
      </c>
      <c r="AC2249" s="267">
        <f>IFERROR(__xludf.DUMMYFUNCTION("""COMPUTED_VALUE"""),45400.9986111111)</f>
        <v/>
      </c>
      <c r="AD2249" s="6">
        <f>IFERROR(__xludf.DUMMYFUNCTION("""COMPUTED_VALUE"""),1379.4)</f>
        <v/>
      </c>
      <c r="AH2249" s="6">
        <f>AI2249&amp;AJ2249</f>
        <v/>
      </c>
      <c r="AI2249" s="6">
        <f>YEAR(AK2249)</f>
        <v/>
      </c>
      <c r="AJ2249" s="6">
        <f>MONTH(AK2249)</f>
        <v/>
      </c>
      <c r="AK2249" s="267">
        <f>IFERROR(__xludf.DUMMYFUNCTION("""COMPUTED_VALUE"""),45342.9986111111)</f>
        <v/>
      </c>
      <c r="AL2249" s="6">
        <f>IFERROR(__xludf.DUMMYFUNCTION("""COMPUTED_VALUE"""),52287.03)</f>
        <v/>
      </c>
      <c r="AP2249" s="6">
        <f>AQ2249&amp;AR2249</f>
        <v/>
      </c>
      <c r="AQ2249" s="6">
        <f>YEAR(AS2249)</f>
        <v/>
      </c>
      <c r="AR2249" s="6">
        <f>MONTH(AS2249)</f>
        <v/>
      </c>
    </row>
    <row r="2250">
      <c r="B2250" s="6">
        <f>C2250&amp;D2250</f>
        <v/>
      </c>
      <c r="C2250" s="6">
        <f>YEAR(E2250)</f>
        <v/>
      </c>
      <c r="D2250" s="6">
        <f>MONTH(E2250)</f>
        <v/>
      </c>
      <c r="J2250" s="6">
        <f>K2250&amp;L2250</f>
        <v/>
      </c>
      <c r="K2250" s="6">
        <f>YEAR(M2250)</f>
        <v/>
      </c>
      <c r="L2250" s="6">
        <f>MONTH(M2250)</f>
        <v/>
      </c>
      <c r="R2250" s="6">
        <f>S2250&amp;T2250</f>
        <v/>
      </c>
      <c r="S2250" s="6">
        <f>YEAR(U2250)</f>
        <v/>
      </c>
      <c r="T2250" s="6">
        <f>MONTH(U2250)</f>
        <v/>
      </c>
      <c r="Z2250" s="6">
        <f>AA2250&amp;AB2250</f>
        <v/>
      </c>
      <c r="AA2250" s="6">
        <f>YEAR(AC2250)</f>
        <v/>
      </c>
      <c r="AB2250" s="6">
        <f>MONTH(AC2250)</f>
        <v/>
      </c>
      <c r="AC2250" s="267">
        <f>IFERROR(__xludf.DUMMYFUNCTION("""COMPUTED_VALUE"""),45401.9986111111)</f>
        <v/>
      </c>
      <c r="AD2250" s="6">
        <f>IFERROR(__xludf.DUMMYFUNCTION("""COMPUTED_VALUE"""),1373.58)</f>
        <v/>
      </c>
      <c r="AH2250" s="6">
        <f>AI2250&amp;AJ2250</f>
        <v/>
      </c>
      <c r="AI2250" s="6">
        <f>YEAR(AK2250)</f>
        <v/>
      </c>
      <c r="AJ2250" s="6">
        <f>MONTH(AK2250)</f>
        <v/>
      </c>
      <c r="AK2250" s="267">
        <f>IFERROR(__xludf.DUMMYFUNCTION("""COMPUTED_VALUE"""),45343.9986111111)</f>
        <v/>
      </c>
      <c r="AL2250" s="6">
        <f>IFERROR(__xludf.DUMMYFUNCTION("""COMPUTED_VALUE"""),51756.38)</f>
        <v/>
      </c>
      <c r="AP2250" s="6">
        <f>AQ2250&amp;AR2250</f>
        <v/>
      </c>
      <c r="AQ2250" s="6">
        <f>YEAR(AS2250)</f>
        <v/>
      </c>
      <c r="AR2250" s="6">
        <f>MONTH(AS2250)</f>
        <v/>
      </c>
    </row>
    <row r="2251">
      <c r="B2251" s="6">
        <f>C2251&amp;D2251</f>
        <v/>
      </c>
      <c r="C2251" s="6">
        <f>YEAR(E2251)</f>
        <v/>
      </c>
      <c r="D2251" s="6">
        <f>MONTH(E2251)</f>
        <v/>
      </c>
      <c r="J2251" s="6">
        <f>K2251&amp;L2251</f>
        <v/>
      </c>
      <c r="K2251" s="6">
        <f>YEAR(M2251)</f>
        <v/>
      </c>
      <c r="L2251" s="6">
        <f>MONTH(M2251)</f>
        <v/>
      </c>
      <c r="R2251" s="6">
        <f>S2251&amp;T2251</f>
        <v/>
      </c>
      <c r="S2251" s="6">
        <f>YEAR(U2251)</f>
        <v/>
      </c>
      <c r="T2251" s="6">
        <f>MONTH(U2251)</f>
        <v/>
      </c>
      <c r="Z2251" s="6">
        <f>AA2251&amp;AB2251</f>
        <v/>
      </c>
      <c r="AA2251" s="6">
        <f>YEAR(AC2251)</f>
        <v/>
      </c>
      <c r="AB2251" s="6">
        <f>MONTH(AC2251)</f>
        <v/>
      </c>
      <c r="AC2251" s="267">
        <f>IFERROR(__xludf.DUMMYFUNCTION("""COMPUTED_VALUE"""),45402.9986111111)</f>
        <v/>
      </c>
      <c r="AD2251" s="6">
        <f>IFERROR(__xludf.DUMMYFUNCTION("""COMPUTED_VALUE"""),1373.58)</f>
        <v/>
      </c>
      <c r="AH2251" s="6">
        <f>AI2251&amp;AJ2251</f>
        <v/>
      </c>
      <c r="AI2251" s="6">
        <f>YEAR(AK2251)</f>
        <v/>
      </c>
      <c r="AJ2251" s="6">
        <f>MONTH(AK2251)</f>
        <v/>
      </c>
      <c r="AK2251" s="267">
        <f>IFERROR(__xludf.DUMMYFUNCTION("""COMPUTED_VALUE"""),45344.9986111111)</f>
        <v/>
      </c>
      <c r="AL2251" s="6">
        <f>IFERROR(__xludf.DUMMYFUNCTION("""COMPUTED_VALUE"""),51312.23)</f>
        <v/>
      </c>
      <c r="AP2251" s="6">
        <f>AQ2251&amp;AR2251</f>
        <v/>
      </c>
      <c r="AQ2251" s="6">
        <f>YEAR(AS2251)</f>
        <v/>
      </c>
      <c r="AR2251" s="6">
        <f>MONTH(AS2251)</f>
        <v/>
      </c>
    </row>
    <row r="2252">
      <c r="B2252" s="6">
        <f>C2252&amp;D2252</f>
        <v/>
      </c>
      <c r="C2252" s="6">
        <f>YEAR(E2252)</f>
        <v/>
      </c>
      <c r="D2252" s="6">
        <f>MONTH(E2252)</f>
        <v/>
      </c>
      <c r="J2252" s="6">
        <f>K2252&amp;L2252</f>
        <v/>
      </c>
      <c r="K2252" s="6">
        <f>YEAR(M2252)</f>
        <v/>
      </c>
      <c r="L2252" s="6">
        <f>MONTH(M2252)</f>
        <v/>
      </c>
      <c r="R2252" s="6">
        <f>S2252&amp;T2252</f>
        <v/>
      </c>
      <c r="S2252" s="6">
        <f>YEAR(U2252)</f>
        <v/>
      </c>
      <c r="T2252" s="6">
        <f>MONTH(U2252)</f>
        <v/>
      </c>
      <c r="Z2252" s="6">
        <f>AA2252&amp;AB2252</f>
        <v/>
      </c>
      <c r="AA2252" s="6">
        <f>YEAR(AC2252)</f>
        <v/>
      </c>
      <c r="AB2252" s="6">
        <f>MONTH(AC2252)</f>
        <v/>
      </c>
      <c r="AC2252" s="267">
        <f>IFERROR(__xludf.DUMMYFUNCTION("""COMPUTED_VALUE"""),45403.9986111111)</f>
        <v/>
      </c>
      <c r="AD2252" s="6">
        <f>IFERROR(__xludf.DUMMYFUNCTION("""COMPUTED_VALUE"""),1373.93)</f>
        <v/>
      </c>
      <c r="AH2252" s="6">
        <f>AI2252&amp;AJ2252</f>
        <v/>
      </c>
      <c r="AI2252" s="6">
        <f>YEAR(AK2252)</f>
        <v/>
      </c>
      <c r="AJ2252" s="6">
        <f>MONTH(AK2252)</f>
        <v/>
      </c>
      <c r="AK2252" s="267">
        <f>IFERROR(__xludf.DUMMYFUNCTION("""COMPUTED_VALUE"""),45345.9986111111)</f>
        <v/>
      </c>
      <c r="AL2252" s="6">
        <f>IFERROR(__xludf.DUMMYFUNCTION("""COMPUTED_VALUE"""),50745.88)</f>
        <v/>
      </c>
      <c r="AP2252" s="6">
        <f>AQ2252&amp;AR2252</f>
        <v/>
      </c>
      <c r="AQ2252" s="6">
        <f>YEAR(AS2252)</f>
        <v/>
      </c>
      <c r="AR2252" s="6">
        <f>MONTH(AS2252)</f>
        <v/>
      </c>
    </row>
    <row r="2253">
      <c r="B2253" s="6">
        <f>C2253&amp;D2253</f>
        <v/>
      </c>
      <c r="C2253" s="6">
        <f>YEAR(E2253)</f>
        <v/>
      </c>
      <c r="D2253" s="6">
        <f>MONTH(E2253)</f>
        <v/>
      </c>
      <c r="J2253" s="6">
        <f>K2253&amp;L2253</f>
        <v/>
      </c>
      <c r="K2253" s="6">
        <f>YEAR(M2253)</f>
        <v/>
      </c>
      <c r="L2253" s="6">
        <f>MONTH(M2253)</f>
        <v/>
      </c>
      <c r="R2253" s="6">
        <f>S2253&amp;T2253</f>
        <v/>
      </c>
      <c r="S2253" s="6">
        <f>YEAR(U2253)</f>
        <v/>
      </c>
      <c r="T2253" s="6">
        <f>MONTH(U2253)</f>
        <v/>
      </c>
      <c r="Z2253" s="6">
        <f>AA2253&amp;AB2253</f>
        <v/>
      </c>
      <c r="AA2253" s="6">
        <f>YEAR(AC2253)</f>
        <v/>
      </c>
      <c r="AB2253" s="6">
        <f>MONTH(AC2253)</f>
        <v/>
      </c>
      <c r="AC2253" s="267">
        <f>IFERROR(__xludf.DUMMYFUNCTION("""COMPUTED_VALUE"""),45404.9986111111)</f>
        <v/>
      </c>
      <c r="AD2253" s="6">
        <f>IFERROR(__xludf.DUMMYFUNCTION("""COMPUTED_VALUE"""),1378.84)</f>
        <v/>
      </c>
      <c r="AH2253" s="6">
        <f>AI2253&amp;AJ2253</f>
        <v/>
      </c>
      <c r="AI2253" s="6">
        <f>YEAR(AK2253)</f>
        <v/>
      </c>
      <c r="AJ2253" s="6">
        <f>MONTH(AK2253)</f>
        <v/>
      </c>
      <c r="AK2253" s="267">
        <f>IFERROR(__xludf.DUMMYFUNCTION("""COMPUTED_VALUE"""),45346.9986111111)</f>
        <v/>
      </c>
      <c r="AL2253" s="6">
        <f>IFERROR(__xludf.DUMMYFUNCTION("""COMPUTED_VALUE"""),51592.58)</f>
        <v/>
      </c>
      <c r="AP2253" s="6">
        <f>AQ2253&amp;AR2253</f>
        <v/>
      </c>
      <c r="AQ2253" s="6">
        <f>YEAR(AS2253)</f>
        <v/>
      </c>
      <c r="AR2253" s="6">
        <f>MONTH(AS2253)</f>
        <v/>
      </c>
    </row>
    <row r="2254">
      <c r="B2254" s="6">
        <f>C2254&amp;D2254</f>
        <v/>
      </c>
      <c r="C2254" s="6">
        <f>YEAR(E2254)</f>
        <v/>
      </c>
      <c r="D2254" s="6">
        <f>MONTH(E2254)</f>
        <v/>
      </c>
      <c r="J2254" s="6">
        <f>K2254&amp;L2254</f>
        <v/>
      </c>
      <c r="K2254" s="6">
        <f>YEAR(M2254)</f>
        <v/>
      </c>
      <c r="L2254" s="6">
        <f>MONTH(M2254)</f>
        <v/>
      </c>
      <c r="R2254" s="6">
        <f>S2254&amp;T2254</f>
        <v/>
      </c>
      <c r="S2254" s="6">
        <f>YEAR(U2254)</f>
        <v/>
      </c>
      <c r="T2254" s="6">
        <f>MONTH(U2254)</f>
        <v/>
      </c>
      <c r="Z2254" s="6">
        <f>AA2254&amp;AB2254</f>
        <v/>
      </c>
      <c r="AA2254" s="6">
        <f>YEAR(AC2254)</f>
        <v/>
      </c>
      <c r="AB2254" s="6">
        <f>MONTH(AC2254)</f>
        <v/>
      </c>
      <c r="AC2254" s="267">
        <f>IFERROR(__xludf.DUMMYFUNCTION("""COMPUTED_VALUE"""),45405.9986111111)</f>
        <v/>
      </c>
      <c r="AD2254" s="6">
        <f>IFERROR(__xludf.DUMMYFUNCTION("""COMPUTED_VALUE"""),1370.48)</f>
        <v/>
      </c>
      <c r="AH2254" s="6">
        <f>AI2254&amp;AJ2254</f>
        <v/>
      </c>
      <c r="AI2254" s="6">
        <f>YEAR(AK2254)</f>
        <v/>
      </c>
      <c r="AJ2254" s="6">
        <f>MONTH(AK2254)</f>
        <v/>
      </c>
      <c r="AK2254" s="267">
        <f>IFERROR(__xludf.DUMMYFUNCTION("""COMPUTED_VALUE"""),45347.9986111111)</f>
        <v/>
      </c>
      <c r="AL2254" s="6">
        <f>IFERROR(__xludf.DUMMYFUNCTION("""COMPUTED_VALUE"""),51728.53)</f>
        <v/>
      </c>
      <c r="AP2254" s="6">
        <f>AQ2254&amp;AR2254</f>
        <v/>
      </c>
      <c r="AQ2254" s="6">
        <f>YEAR(AS2254)</f>
        <v/>
      </c>
      <c r="AR2254" s="6">
        <f>MONTH(AS2254)</f>
        <v/>
      </c>
    </row>
    <row r="2255">
      <c r="B2255" s="6">
        <f>C2255&amp;D2255</f>
        <v/>
      </c>
      <c r="C2255" s="6">
        <f>YEAR(E2255)</f>
        <v/>
      </c>
      <c r="D2255" s="6">
        <f>MONTH(E2255)</f>
        <v/>
      </c>
      <c r="J2255" s="6">
        <f>K2255&amp;L2255</f>
        <v/>
      </c>
      <c r="K2255" s="6">
        <f>YEAR(M2255)</f>
        <v/>
      </c>
      <c r="L2255" s="6">
        <f>MONTH(M2255)</f>
        <v/>
      </c>
      <c r="R2255" s="6">
        <f>S2255&amp;T2255</f>
        <v/>
      </c>
      <c r="S2255" s="6">
        <f>YEAR(U2255)</f>
        <v/>
      </c>
      <c r="T2255" s="6">
        <f>MONTH(U2255)</f>
        <v/>
      </c>
      <c r="Z2255" s="6">
        <f>AA2255&amp;AB2255</f>
        <v/>
      </c>
      <c r="AA2255" s="6">
        <f>YEAR(AC2255)</f>
        <v/>
      </c>
      <c r="AB2255" s="6">
        <f>MONTH(AC2255)</f>
        <v/>
      </c>
      <c r="AC2255" s="267">
        <f>IFERROR(__xludf.DUMMYFUNCTION("""COMPUTED_VALUE"""),45406.9986111111)</f>
        <v/>
      </c>
      <c r="AD2255" s="6">
        <f>IFERROR(__xludf.DUMMYFUNCTION("""COMPUTED_VALUE"""),1376.97)</f>
        <v/>
      </c>
      <c r="AH2255" s="6">
        <f>AI2255&amp;AJ2255</f>
        <v/>
      </c>
      <c r="AI2255" s="6">
        <f>YEAR(AK2255)</f>
        <v/>
      </c>
      <c r="AJ2255" s="6">
        <f>MONTH(AK2255)</f>
        <v/>
      </c>
      <c r="AK2255" s="267">
        <f>IFERROR(__xludf.DUMMYFUNCTION("""COMPUTED_VALUE"""),45348.9986111111)</f>
        <v/>
      </c>
      <c r="AL2255" s="6">
        <f>IFERROR(__xludf.DUMMYFUNCTION("""COMPUTED_VALUE"""),54501.24)</f>
        <v/>
      </c>
      <c r="AP2255" s="6">
        <f>AQ2255&amp;AR2255</f>
        <v/>
      </c>
      <c r="AQ2255" s="6">
        <f>YEAR(AS2255)</f>
        <v/>
      </c>
      <c r="AR2255" s="6">
        <f>MONTH(AS2255)</f>
        <v/>
      </c>
    </row>
    <row r="2256">
      <c r="B2256" s="6">
        <f>C2256&amp;D2256</f>
        <v/>
      </c>
      <c r="C2256" s="6">
        <f>YEAR(E2256)</f>
        <v/>
      </c>
      <c r="D2256" s="6">
        <f>MONTH(E2256)</f>
        <v/>
      </c>
      <c r="J2256" s="6">
        <f>K2256&amp;L2256</f>
        <v/>
      </c>
      <c r="K2256" s="6">
        <f>YEAR(M2256)</f>
        <v/>
      </c>
      <c r="L2256" s="6">
        <f>MONTH(M2256)</f>
        <v/>
      </c>
      <c r="R2256" s="6">
        <f>S2256&amp;T2256</f>
        <v/>
      </c>
      <c r="S2256" s="6">
        <f>YEAR(U2256)</f>
        <v/>
      </c>
      <c r="T2256" s="6">
        <f>MONTH(U2256)</f>
        <v/>
      </c>
      <c r="Z2256" s="6">
        <f>AA2256&amp;AB2256</f>
        <v/>
      </c>
      <c r="AA2256" s="6">
        <f>YEAR(AC2256)</f>
        <v/>
      </c>
      <c r="AB2256" s="6">
        <f>MONTH(AC2256)</f>
        <v/>
      </c>
      <c r="AC2256" s="267">
        <f>IFERROR(__xludf.DUMMYFUNCTION("""COMPUTED_VALUE"""),45407.9986111111)</f>
        <v/>
      </c>
      <c r="AD2256" s="6">
        <f>IFERROR(__xludf.DUMMYFUNCTION("""COMPUTED_VALUE"""),1371.7)</f>
        <v/>
      </c>
      <c r="AH2256" s="6">
        <f>AI2256&amp;AJ2256</f>
        <v/>
      </c>
      <c r="AI2256" s="6">
        <f>YEAR(AK2256)</f>
        <v/>
      </c>
      <c r="AJ2256" s="6">
        <f>MONTH(AK2256)</f>
        <v/>
      </c>
      <c r="AK2256" s="267">
        <f>IFERROR(__xludf.DUMMYFUNCTION("""COMPUTED_VALUE"""),45349.9986111111)</f>
        <v/>
      </c>
      <c r="AL2256" s="6">
        <f>IFERROR(__xludf.DUMMYFUNCTION("""COMPUTED_VALUE"""),57067.15)</f>
        <v/>
      </c>
      <c r="AP2256" s="6">
        <f>AQ2256&amp;AR2256</f>
        <v/>
      </c>
      <c r="AQ2256" s="6">
        <f>YEAR(AS2256)</f>
        <v/>
      </c>
      <c r="AR2256" s="6">
        <f>MONTH(AS2256)</f>
        <v/>
      </c>
    </row>
    <row r="2257">
      <c r="B2257" s="6">
        <f>C2257&amp;D2257</f>
        <v/>
      </c>
      <c r="C2257" s="6">
        <f>YEAR(E2257)</f>
        <v/>
      </c>
      <c r="D2257" s="6">
        <f>MONTH(E2257)</f>
        <v/>
      </c>
      <c r="J2257" s="6">
        <f>K2257&amp;L2257</f>
        <v/>
      </c>
      <c r="K2257" s="6">
        <f>YEAR(M2257)</f>
        <v/>
      </c>
      <c r="L2257" s="6">
        <f>MONTH(M2257)</f>
        <v/>
      </c>
      <c r="R2257" s="6">
        <f>S2257&amp;T2257</f>
        <v/>
      </c>
      <c r="S2257" s="6">
        <f>YEAR(U2257)</f>
        <v/>
      </c>
      <c r="T2257" s="6">
        <f>MONTH(U2257)</f>
        <v/>
      </c>
      <c r="Z2257" s="6">
        <f>AA2257&amp;AB2257</f>
        <v/>
      </c>
      <c r="AA2257" s="6">
        <f>YEAR(AC2257)</f>
        <v/>
      </c>
      <c r="AB2257" s="6">
        <f>MONTH(AC2257)</f>
        <v/>
      </c>
      <c r="AC2257" s="267">
        <f>IFERROR(__xludf.DUMMYFUNCTION("""COMPUTED_VALUE"""),45408.9986111111)</f>
        <v/>
      </c>
      <c r="AD2257" s="6">
        <f>IFERROR(__xludf.DUMMYFUNCTION("""COMPUTED_VALUE"""),1376.43)</f>
        <v/>
      </c>
      <c r="AH2257" s="6">
        <f>AI2257&amp;AJ2257</f>
        <v/>
      </c>
      <c r="AI2257" s="6">
        <f>YEAR(AK2257)</f>
        <v/>
      </c>
      <c r="AJ2257" s="6">
        <f>MONTH(AK2257)</f>
        <v/>
      </c>
      <c r="AK2257" s="267">
        <f>IFERROR(__xludf.DUMMYFUNCTION("""COMPUTED_VALUE"""),45350.9986111111)</f>
        <v/>
      </c>
      <c r="AL2257" s="6">
        <f>IFERROR(__xludf.DUMMYFUNCTION("""COMPUTED_VALUE"""),62534.39)</f>
        <v/>
      </c>
      <c r="AP2257" s="6">
        <f>AQ2257&amp;AR2257</f>
        <v/>
      </c>
      <c r="AQ2257" s="6">
        <f>YEAR(AS2257)</f>
        <v/>
      </c>
      <c r="AR2257" s="6">
        <f>MONTH(AS2257)</f>
        <v/>
      </c>
    </row>
    <row r="2258">
      <c r="B2258" s="6">
        <f>C2258&amp;D2258</f>
        <v/>
      </c>
      <c r="C2258" s="6">
        <f>YEAR(E2258)</f>
        <v/>
      </c>
      <c r="D2258" s="6">
        <f>MONTH(E2258)</f>
        <v/>
      </c>
      <c r="J2258" s="6">
        <f>K2258&amp;L2258</f>
        <v/>
      </c>
      <c r="K2258" s="6">
        <f>YEAR(M2258)</f>
        <v/>
      </c>
      <c r="L2258" s="6">
        <f>MONTH(M2258)</f>
        <v/>
      </c>
      <c r="R2258" s="6">
        <f>S2258&amp;T2258</f>
        <v/>
      </c>
      <c r="S2258" s="6">
        <f>YEAR(U2258)</f>
        <v/>
      </c>
      <c r="T2258" s="6">
        <f>MONTH(U2258)</f>
        <v/>
      </c>
      <c r="Z2258" s="6">
        <f>AA2258&amp;AB2258</f>
        <v/>
      </c>
      <c r="AA2258" s="6">
        <f>YEAR(AC2258)</f>
        <v/>
      </c>
      <c r="AB2258" s="6">
        <f>MONTH(AC2258)</f>
        <v/>
      </c>
      <c r="AC2258" s="267">
        <f>IFERROR(__xludf.DUMMYFUNCTION("""COMPUTED_VALUE"""),45409.9986111111)</f>
        <v/>
      </c>
      <c r="AD2258" s="6">
        <f>IFERROR(__xludf.DUMMYFUNCTION("""COMPUTED_VALUE"""),1376.43)</f>
        <v/>
      </c>
      <c r="AH2258" s="6">
        <f>AI2258&amp;AJ2258</f>
        <v/>
      </c>
      <c r="AI2258" s="6">
        <f>YEAR(AK2258)</f>
        <v/>
      </c>
      <c r="AJ2258" s="6">
        <f>MONTH(AK2258)</f>
        <v/>
      </c>
      <c r="AK2258" s="267">
        <f>IFERROR(__xludf.DUMMYFUNCTION("""COMPUTED_VALUE"""),45351.9986111111)</f>
        <v/>
      </c>
      <c r="AL2258" s="6">
        <f>IFERROR(__xludf.DUMMYFUNCTION("""COMPUTED_VALUE"""),61253.9)</f>
        <v/>
      </c>
      <c r="AP2258" s="6">
        <f>AQ2258&amp;AR2258</f>
        <v/>
      </c>
      <c r="AQ2258" s="6">
        <f>YEAR(AS2258)</f>
        <v/>
      </c>
      <c r="AR2258" s="6">
        <f>MONTH(AS2258)</f>
        <v/>
      </c>
    </row>
    <row r="2259">
      <c r="B2259" s="6">
        <f>C2259&amp;D2259</f>
        <v/>
      </c>
      <c r="C2259" s="6">
        <f>YEAR(E2259)</f>
        <v/>
      </c>
      <c r="D2259" s="6">
        <f>MONTH(E2259)</f>
        <v/>
      </c>
      <c r="J2259" s="6">
        <f>K2259&amp;L2259</f>
        <v/>
      </c>
      <c r="K2259" s="6">
        <f>YEAR(M2259)</f>
        <v/>
      </c>
      <c r="L2259" s="6">
        <f>MONTH(M2259)</f>
        <v/>
      </c>
      <c r="R2259" s="6">
        <f>S2259&amp;T2259</f>
        <v/>
      </c>
      <c r="S2259" s="6">
        <f>YEAR(U2259)</f>
        <v/>
      </c>
      <c r="T2259" s="6">
        <f>MONTH(U2259)</f>
        <v/>
      </c>
      <c r="Z2259" s="6">
        <f>AA2259&amp;AB2259</f>
        <v/>
      </c>
      <c r="AA2259" s="6">
        <f>YEAR(AC2259)</f>
        <v/>
      </c>
      <c r="AB2259" s="6">
        <f>MONTH(AC2259)</f>
        <v/>
      </c>
      <c r="AC2259" s="267">
        <f>IFERROR(__xludf.DUMMYFUNCTION("""COMPUTED_VALUE"""),45410.9986111111)</f>
        <v/>
      </c>
      <c r="AD2259" s="6">
        <f>IFERROR(__xludf.DUMMYFUNCTION("""COMPUTED_VALUE"""),1377.09)</f>
        <v/>
      </c>
      <c r="AH2259" s="6">
        <f>AI2259&amp;AJ2259</f>
        <v/>
      </c>
      <c r="AI2259" s="6">
        <f>YEAR(AK2259)</f>
        <v/>
      </c>
      <c r="AJ2259" s="6">
        <f>MONTH(AK2259)</f>
        <v/>
      </c>
      <c r="AK2259" s="267">
        <f>IFERROR(__xludf.DUMMYFUNCTION("""COMPUTED_VALUE"""),45352.9986111111)</f>
        <v/>
      </c>
      <c r="AL2259" s="6">
        <f>IFERROR(__xludf.DUMMYFUNCTION("""COMPUTED_VALUE"""),62520.18)</f>
        <v/>
      </c>
      <c r="AP2259" s="6">
        <f>AQ2259&amp;AR2259</f>
        <v/>
      </c>
      <c r="AQ2259" s="6">
        <f>YEAR(AS2259)</f>
        <v/>
      </c>
      <c r="AR2259" s="6">
        <f>MONTH(AS2259)</f>
        <v/>
      </c>
    </row>
    <row r="2260">
      <c r="B2260" s="6">
        <f>C2260&amp;D2260</f>
        <v/>
      </c>
      <c r="C2260" s="6">
        <f>YEAR(E2260)</f>
        <v/>
      </c>
      <c r="D2260" s="6">
        <f>MONTH(E2260)</f>
        <v/>
      </c>
      <c r="J2260" s="6">
        <f>K2260&amp;L2260</f>
        <v/>
      </c>
      <c r="K2260" s="6">
        <f>YEAR(M2260)</f>
        <v/>
      </c>
      <c r="L2260" s="6">
        <f>MONTH(M2260)</f>
        <v/>
      </c>
      <c r="R2260" s="6">
        <f>S2260&amp;T2260</f>
        <v/>
      </c>
      <c r="S2260" s="6">
        <f>YEAR(U2260)</f>
        <v/>
      </c>
      <c r="T2260" s="6">
        <f>MONTH(U2260)</f>
        <v/>
      </c>
      <c r="Z2260" s="6">
        <f>AA2260&amp;AB2260</f>
        <v/>
      </c>
      <c r="AA2260" s="6">
        <f>YEAR(AC2260)</f>
        <v/>
      </c>
      <c r="AB2260" s="6">
        <f>MONTH(AC2260)</f>
        <v/>
      </c>
      <c r="AC2260" s="267">
        <f>IFERROR(__xludf.DUMMYFUNCTION("""COMPUTED_VALUE"""),45411.9986111111)</f>
        <v/>
      </c>
      <c r="AD2260" s="6">
        <f>IFERROR(__xludf.DUMMYFUNCTION("""COMPUTED_VALUE"""),1374.64)</f>
        <v/>
      </c>
      <c r="AH2260" s="6">
        <f>AI2260&amp;AJ2260</f>
        <v/>
      </c>
      <c r="AI2260" s="6">
        <f>YEAR(AK2260)</f>
        <v/>
      </c>
      <c r="AJ2260" s="6">
        <f>MONTH(AK2260)</f>
        <v/>
      </c>
      <c r="AK2260" s="267">
        <f>IFERROR(__xludf.DUMMYFUNCTION("""COMPUTED_VALUE"""),45353.9986111111)</f>
        <v/>
      </c>
      <c r="AL2260" s="6">
        <f>IFERROR(__xludf.DUMMYFUNCTION("""COMPUTED_VALUE"""),61980.11)</f>
        <v/>
      </c>
      <c r="AP2260" s="6">
        <f>AQ2260&amp;AR2260</f>
        <v/>
      </c>
      <c r="AQ2260" s="6">
        <f>YEAR(AS2260)</f>
        <v/>
      </c>
      <c r="AR2260" s="6">
        <f>MONTH(AS2260)</f>
        <v/>
      </c>
    </row>
    <row r="2261">
      <c r="B2261" s="6">
        <f>C2261&amp;D2261</f>
        <v/>
      </c>
      <c r="C2261" s="6">
        <f>YEAR(E2261)</f>
        <v/>
      </c>
      <c r="D2261" s="6">
        <f>MONTH(E2261)</f>
        <v/>
      </c>
      <c r="J2261" s="6">
        <f>K2261&amp;L2261</f>
        <v/>
      </c>
      <c r="K2261" s="6">
        <f>YEAR(M2261)</f>
        <v/>
      </c>
      <c r="L2261" s="6">
        <f>MONTH(M2261)</f>
        <v/>
      </c>
      <c r="R2261" s="6">
        <f>S2261&amp;T2261</f>
        <v/>
      </c>
      <c r="S2261" s="6">
        <f>YEAR(U2261)</f>
        <v/>
      </c>
      <c r="T2261" s="6">
        <f>MONTH(U2261)</f>
        <v/>
      </c>
      <c r="Z2261" s="6">
        <f>AA2261&amp;AB2261</f>
        <v/>
      </c>
      <c r="AA2261" s="6">
        <f>YEAR(AC2261)</f>
        <v/>
      </c>
      <c r="AB2261" s="6">
        <f>MONTH(AC2261)</f>
        <v/>
      </c>
      <c r="AC2261" s="267">
        <f>IFERROR(__xludf.DUMMYFUNCTION("""COMPUTED_VALUE"""),45412.9986111111)</f>
        <v/>
      </c>
      <c r="AD2261" s="6">
        <f>IFERROR(__xludf.DUMMYFUNCTION("""COMPUTED_VALUE"""),1385.46)</f>
        <v/>
      </c>
      <c r="AH2261" s="6">
        <f>AI2261&amp;AJ2261</f>
        <v/>
      </c>
      <c r="AI2261" s="6">
        <f>YEAR(AK2261)</f>
        <v/>
      </c>
      <c r="AJ2261" s="6">
        <f>MONTH(AK2261)</f>
        <v/>
      </c>
      <c r="AK2261" s="267">
        <f>IFERROR(__xludf.DUMMYFUNCTION("""COMPUTED_VALUE"""),45354.9986111111)</f>
        <v/>
      </c>
      <c r="AL2261" s="6">
        <f>IFERROR(__xludf.DUMMYFUNCTION("""COMPUTED_VALUE"""),63043.77)</f>
        <v/>
      </c>
      <c r="AP2261" s="6">
        <f>AQ2261&amp;AR2261</f>
        <v/>
      </c>
      <c r="AQ2261" s="6">
        <f>YEAR(AS2261)</f>
        <v/>
      </c>
      <c r="AR2261" s="6">
        <f>MONTH(AS2261)</f>
        <v/>
      </c>
    </row>
    <row r="2262">
      <c r="B2262" s="6">
        <f>C2262&amp;D2262</f>
        <v/>
      </c>
      <c r="C2262" s="6">
        <f>YEAR(E2262)</f>
        <v/>
      </c>
      <c r="D2262" s="6">
        <f>MONTH(E2262)</f>
        <v/>
      </c>
      <c r="J2262" s="6">
        <f>K2262&amp;L2262</f>
        <v/>
      </c>
      <c r="K2262" s="6">
        <f>YEAR(M2262)</f>
        <v/>
      </c>
      <c r="L2262" s="6">
        <f>MONTH(M2262)</f>
        <v/>
      </c>
      <c r="R2262" s="6">
        <f>S2262&amp;T2262</f>
        <v/>
      </c>
      <c r="S2262" s="6">
        <f>YEAR(U2262)</f>
        <v/>
      </c>
      <c r="T2262" s="6">
        <f>MONTH(U2262)</f>
        <v/>
      </c>
      <c r="Z2262" s="6">
        <f>AA2262&amp;AB2262</f>
        <v/>
      </c>
      <c r="AA2262" s="6">
        <f>YEAR(AC2262)</f>
        <v/>
      </c>
      <c r="AB2262" s="6">
        <f>MONTH(AC2262)</f>
        <v/>
      </c>
      <c r="AC2262" s="267">
        <f>IFERROR(__xludf.DUMMYFUNCTION("""COMPUTED_VALUE"""),45413.9986111111)</f>
        <v/>
      </c>
      <c r="AD2262" s="6">
        <f>IFERROR(__xludf.DUMMYFUNCTION("""COMPUTED_VALUE"""),1375)</f>
        <v/>
      </c>
      <c r="AH2262" s="6">
        <f>AI2262&amp;AJ2262</f>
        <v/>
      </c>
      <c r="AI2262" s="6">
        <f>YEAR(AK2262)</f>
        <v/>
      </c>
      <c r="AJ2262" s="6">
        <f>MONTH(AK2262)</f>
        <v/>
      </c>
      <c r="AK2262" s="267">
        <f>IFERROR(__xludf.DUMMYFUNCTION("""COMPUTED_VALUE"""),45355.9986111111)</f>
        <v/>
      </c>
      <c r="AL2262" s="6">
        <f>IFERROR(__xludf.DUMMYFUNCTION("""COMPUTED_VALUE"""),68304.96)</f>
        <v/>
      </c>
      <c r="AP2262" s="6">
        <f>AQ2262&amp;AR2262</f>
        <v/>
      </c>
      <c r="AQ2262" s="6">
        <f>YEAR(AS2262)</f>
        <v/>
      </c>
      <c r="AR2262" s="6">
        <f>MONTH(AS2262)</f>
        <v/>
      </c>
    </row>
    <row r="2263">
      <c r="B2263" s="6">
        <f>C2263&amp;D2263</f>
        <v/>
      </c>
      <c r="C2263" s="6">
        <f>YEAR(E2263)</f>
        <v/>
      </c>
      <c r="D2263" s="6">
        <f>MONTH(E2263)</f>
        <v/>
      </c>
      <c r="J2263" s="6">
        <f>K2263&amp;L2263</f>
        <v/>
      </c>
      <c r="K2263" s="6">
        <f>YEAR(M2263)</f>
        <v/>
      </c>
      <c r="L2263" s="6">
        <f>MONTH(M2263)</f>
        <v/>
      </c>
      <c r="R2263" s="6">
        <f>S2263&amp;T2263</f>
        <v/>
      </c>
      <c r="S2263" s="6">
        <f>YEAR(U2263)</f>
        <v/>
      </c>
      <c r="T2263" s="6">
        <f>MONTH(U2263)</f>
        <v/>
      </c>
      <c r="Z2263" s="6">
        <f>AA2263&amp;AB2263</f>
        <v/>
      </c>
      <c r="AA2263" s="6">
        <f>YEAR(AC2263)</f>
        <v/>
      </c>
      <c r="AB2263" s="6">
        <f>MONTH(AC2263)</f>
        <v/>
      </c>
      <c r="AC2263" s="267">
        <f>IFERROR(__xludf.DUMMYFUNCTION("""COMPUTED_VALUE"""),45414.9986111111)</f>
        <v/>
      </c>
      <c r="AD2263" s="6">
        <f>IFERROR(__xludf.DUMMYFUNCTION("""COMPUTED_VALUE"""),1364.64)</f>
        <v/>
      </c>
      <c r="AH2263" s="6">
        <f>AI2263&amp;AJ2263</f>
        <v/>
      </c>
      <c r="AI2263" s="6">
        <f>YEAR(AK2263)</f>
        <v/>
      </c>
      <c r="AJ2263" s="6">
        <f>MONTH(AK2263)</f>
        <v/>
      </c>
      <c r="AK2263" s="267">
        <f>IFERROR(__xludf.DUMMYFUNCTION("""COMPUTED_VALUE"""),45356.9986111111)</f>
        <v/>
      </c>
      <c r="AL2263" s="6">
        <f>IFERROR(__xludf.DUMMYFUNCTION("""COMPUTED_VALUE"""),64041.52)</f>
        <v/>
      </c>
      <c r="AP2263" s="6">
        <f>AQ2263&amp;AR2263</f>
        <v/>
      </c>
      <c r="AQ2263" s="6">
        <f>YEAR(AS2263)</f>
        <v/>
      </c>
      <c r="AR2263" s="6">
        <f>MONTH(AS2263)</f>
        <v/>
      </c>
    </row>
    <row r="2264">
      <c r="B2264" s="6">
        <f>C2264&amp;D2264</f>
        <v/>
      </c>
      <c r="C2264" s="6">
        <f>YEAR(E2264)</f>
        <v/>
      </c>
      <c r="D2264" s="6">
        <f>MONTH(E2264)</f>
        <v/>
      </c>
      <c r="J2264" s="6">
        <f>K2264&amp;L2264</f>
        <v/>
      </c>
      <c r="K2264" s="6">
        <f>YEAR(M2264)</f>
        <v/>
      </c>
      <c r="L2264" s="6">
        <f>MONTH(M2264)</f>
        <v/>
      </c>
      <c r="R2264" s="6">
        <f>S2264&amp;T2264</f>
        <v/>
      </c>
      <c r="S2264" s="6">
        <f>YEAR(U2264)</f>
        <v/>
      </c>
      <c r="T2264" s="6">
        <f>MONTH(U2264)</f>
        <v/>
      </c>
      <c r="Z2264" s="6">
        <f>AA2264&amp;AB2264</f>
        <v/>
      </c>
      <c r="AA2264" s="6">
        <f>YEAR(AC2264)</f>
        <v/>
      </c>
      <c r="AB2264" s="6">
        <f>MONTH(AC2264)</f>
        <v/>
      </c>
      <c r="AC2264" s="267">
        <f>IFERROR(__xludf.DUMMYFUNCTION("""COMPUTED_VALUE"""),45415.9986111111)</f>
        <v/>
      </c>
      <c r="AD2264" s="6">
        <f>IFERROR(__xludf.DUMMYFUNCTION("""COMPUTED_VALUE"""),1354.43)</f>
        <v/>
      </c>
      <c r="AH2264" s="6">
        <f>AI2264&amp;AJ2264</f>
        <v/>
      </c>
      <c r="AI2264" s="6">
        <f>YEAR(AK2264)</f>
        <v/>
      </c>
      <c r="AJ2264" s="6">
        <f>MONTH(AK2264)</f>
        <v/>
      </c>
      <c r="AK2264" s="267">
        <f>IFERROR(__xludf.DUMMYFUNCTION("""COMPUTED_VALUE"""),45357.9986111111)</f>
        <v/>
      </c>
      <c r="AL2264" s="6">
        <f>IFERROR(__xludf.DUMMYFUNCTION("""COMPUTED_VALUE"""),66142.74)</f>
        <v/>
      </c>
      <c r="AP2264" s="6">
        <f>AQ2264&amp;AR2264</f>
        <v/>
      </c>
      <c r="AQ2264" s="6">
        <f>YEAR(AS2264)</f>
        <v/>
      </c>
      <c r="AR2264" s="6">
        <f>MONTH(AS2264)</f>
        <v/>
      </c>
    </row>
    <row r="2265">
      <c r="B2265" s="6">
        <f>C2265&amp;D2265</f>
        <v/>
      </c>
      <c r="C2265" s="6">
        <f>YEAR(E2265)</f>
        <v/>
      </c>
      <c r="D2265" s="6">
        <f>MONTH(E2265)</f>
        <v/>
      </c>
      <c r="J2265" s="6">
        <f>K2265&amp;L2265</f>
        <v/>
      </c>
      <c r="K2265" s="6">
        <f>YEAR(M2265)</f>
        <v/>
      </c>
      <c r="L2265" s="6">
        <f>MONTH(M2265)</f>
        <v/>
      </c>
      <c r="R2265" s="6">
        <f>S2265&amp;T2265</f>
        <v/>
      </c>
      <c r="S2265" s="6">
        <f>YEAR(U2265)</f>
        <v/>
      </c>
      <c r="T2265" s="6">
        <f>MONTH(U2265)</f>
        <v/>
      </c>
      <c r="Z2265" s="6">
        <f>AA2265&amp;AB2265</f>
        <v/>
      </c>
      <c r="AA2265" s="6">
        <f>YEAR(AC2265)</f>
        <v/>
      </c>
      <c r="AB2265" s="6">
        <f>MONTH(AC2265)</f>
        <v/>
      </c>
      <c r="AC2265" s="267">
        <f>IFERROR(__xludf.DUMMYFUNCTION("""COMPUTED_VALUE"""),45416.9986111111)</f>
        <v/>
      </c>
      <c r="AD2265" s="6">
        <f>IFERROR(__xludf.DUMMYFUNCTION("""COMPUTED_VALUE"""),1354.43)</f>
        <v/>
      </c>
      <c r="AH2265" s="6">
        <f>AI2265&amp;AJ2265</f>
        <v/>
      </c>
      <c r="AI2265" s="6">
        <f>YEAR(AK2265)</f>
        <v/>
      </c>
      <c r="AJ2265" s="6">
        <f>MONTH(AK2265)</f>
        <v/>
      </c>
      <c r="AK2265" s="267">
        <f>IFERROR(__xludf.DUMMYFUNCTION("""COMPUTED_VALUE"""),45358.9986111111)</f>
        <v/>
      </c>
      <c r="AL2265" s="6">
        <f>IFERROR(__xludf.DUMMYFUNCTION("""COMPUTED_VALUE"""),66935.05)</f>
        <v/>
      </c>
      <c r="AP2265" s="6">
        <f>AQ2265&amp;AR2265</f>
        <v/>
      </c>
      <c r="AQ2265" s="6">
        <f>YEAR(AS2265)</f>
        <v/>
      </c>
      <c r="AR2265" s="6">
        <f>MONTH(AS2265)</f>
        <v/>
      </c>
    </row>
    <row r="2266">
      <c r="B2266" s="6">
        <f>C2266&amp;D2266</f>
        <v/>
      </c>
      <c r="C2266" s="6">
        <f>YEAR(E2266)</f>
        <v/>
      </c>
      <c r="D2266" s="6">
        <f>MONTH(E2266)</f>
        <v/>
      </c>
      <c r="J2266" s="6">
        <f>K2266&amp;L2266</f>
        <v/>
      </c>
      <c r="K2266" s="6">
        <f>YEAR(M2266)</f>
        <v/>
      </c>
      <c r="L2266" s="6">
        <f>MONTH(M2266)</f>
        <v/>
      </c>
      <c r="R2266" s="6">
        <f>S2266&amp;T2266</f>
        <v/>
      </c>
      <c r="S2266" s="6">
        <f>YEAR(U2266)</f>
        <v/>
      </c>
      <c r="T2266" s="6">
        <f>MONTH(U2266)</f>
        <v/>
      </c>
      <c r="Z2266" s="6">
        <f>AA2266&amp;AB2266</f>
        <v/>
      </c>
      <c r="AA2266" s="6">
        <f>YEAR(AC2266)</f>
        <v/>
      </c>
      <c r="AB2266" s="6">
        <f>MONTH(AC2266)</f>
        <v/>
      </c>
      <c r="AC2266" s="267">
        <f>IFERROR(__xludf.DUMMYFUNCTION("""COMPUTED_VALUE"""),45417.9986111111)</f>
        <v/>
      </c>
      <c r="AD2266" s="6">
        <f>IFERROR(__xludf.DUMMYFUNCTION("""COMPUTED_VALUE"""),1355.05)</f>
        <v/>
      </c>
      <c r="AH2266" s="6">
        <f>AI2266&amp;AJ2266</f>
        <v/>
      </c>
      <c r="AI2266" s="6">
        <f>YEAR(AK2266)</f>
        <v/>
      </c>
      <c r="AJ2266" s="6">
        <f>MONTH(AK2266)</f>
        <v/>
      </c>
      <c r="AK2266" s="267">
        <f>IFERROR(__xludf.DUMMYFUNCTION("""COMPUTED_VALUE"""),45359.9986111111)</f>
        <v/>
      </c>
      <c r="AL2266" s="6">
        <f>IFERROR(__xludf.DUMMYFUNCTION("""COMPUTED_VALUE"""),68330.96)</f>
        <v/>
      </c>
      <c r="AP2266" s="6">
        <f>AQ2266&amp;AR2266</f>
        <v/>
      </c>
      <c r="AQ2266" s="6">
        <f>YEAR(AS2266)</f>
        <v/>
      </c>
      <c r="AR2266" s="6">
        <f>MONTH(AS2266)</f>
        <v/>
      </c>
    </row>
    <row r="2267">
      <c r="B2267" s="6">
        <f>C2267&amp;D2267</f>
        <v/>
      </c>
      <c r="C2267" s="6">
        <f>YEAR(E2267)</f>
        <v/>
      </c>
      <c r="D2267" s="6">
        <f>MONTH(E2267)</f>
        <v/>
      </c>
      <c r="J2267" s="6">
        <f>K2267&amp;L2267</f>
        <v/>
      </c>
      <c r="K2267" s="6">
        <f>YEAR(M2267)</f>
        <v/>
      </c>
      <c r="L2267" s="6">
        <f>MONTH(M2267)</f>
        <v/>
      </c>
      <c r="R2267" s="6">
        <f>S2267&amp;T2267</f>
        <v/>
      </c>
      <c r="S2267" s="6">
        <f>YEAR(U2267)</f>
        <v/>
      </c>
      <c r="T2267" s="6">
        <f>MONTH(U2267)</f>
        <v/>
      </c>
      <c r="Z2267" s="6">
        <f>AA2267&amp;AB2267</f>
        <v/>
      </c>
      <c r="AA2267" s="6">
        <f>YEAR(AC2267)</f>
        <v/>
      </c>
      <c r="AB2267" s="6">
        <f>MONTH(AC2267)</f>
        <v/>
      </c>
      <c r="AC2267" s="267">
        <f>IFERROR(__xludf.DUMMYFUNCTION("""COMPUTED_VALUE"""),45418.9986111111)</f>
        <v/>
      </c>
      <c r="AD2267" s="6">
        <f>IFERROR(__xludf.DUMMYFUNCTION("""COMPUTED_VALUE"""),1352.17)</f>
        <v/>
      </c>
      <c r="AH2267" s="6">
        <f>AI2267&amp;AJ2267</f>
        <v/>
      </c>
      <c r="AI2267" s="6">
        <f>YEAR(AK2267)</f>
        <v/>
      </c>
      <c r="AJ2267" s="6">
        <f>MONTH(AK2267)</f>
        <v/>
      </c>
      <c r="AK2267" s="267">
        <f>IFERROR(__xludf.DUMMYFUNCTION("""COMPUTED_VALUE"""),45360.9986111111)</f>
        <v/>
      </c>
      <c r="AL2267" s="6">
        <f>IFERROR(__xludf.DUMMYFUNCTION("""COMPUTED_VALUE"""),68469.46)</f>
        <v/>
      </c>
      <c r="AP2267" s="6">
        <f>AQ2267&amp;AR2267</f>
        <v/>
      </c>
      <c r="AQ2267" s="6">
        <f>YEAR(AS2267)</f>
        <v/>
      </c>
      <c r="AR2267" s="6">
        <f>MONTH(AS2267)</f>
        <v/>
      </c>
    </row>
    <row r="2268">
      <c r="B2268" s="6">
        <f>C2268&amp;D2268</f>
        <v/>
      </c>
      <c r="C2268" s="6">
        <f>YEAR(E2268)</f>
        <v/>
      </c>
      <c r="D2268" s="6">
        <f>MONTH(E2268)</f>
        <v/>
      </c>
      <c r="J2268" s="6">
        <f>K2268&amp;L2268</f>
        <v/>
      </c>
      <c r="K2268" s="6">
        <f>YEAR(M2268)</f>
        <v/>
      </c>
      <c r="L2268" s="6">
        <f>MONTH(M2268)</f>
        <v/>
      </c>
      <c r="R2268" s="6">
        <f>S2268&amp;T2268</f>
        <v/>
      </c>
      <c r="S2268" s="6">
        <f>YEAR(U2268)</f>
        <v/>
      </c>
      <c r="T2268" s="6">
        <f>MONTH(U2268)</f>
        <v/>
      </c>
      <c r="Z2268" s="6">
        <f>AA2268&amp;AB2268</f>
        <v/>
      </c>
      <c r="AA2268" s="6">
        <f>YEAR(AC2268)</f>
        <v/>
      </c>
      <c r="AB2268" s="6">
        <f>MONTH(AC2268)</f>
        <v/>
      </c>
      <c r="AC2268" s="267">
        <f>IFERROR(__xludf.DUMMYFUNCTION("""COMPUTED_VALUE"""),45419.9986111111)</f>
        <v/>
      </c>
      <c r="AD2268" s="6">
        <f>IFERROR(__xludf.DUMMYFUNCTION("""COMPUTED_VALUE"""),1357.73)</f>
        <v/>
      </c>
      <c r="AH2268" s="6">
        <f>AI2268&amp;AJ2268</f>
        <v/>
      </c>
      <c r="AI2268" s="6">
        <f>YEAR(AK2268)</f>
        <v/>
      </c>
      <c r="AJ2268" s="6">
        <f>MONTH(AK2268)</f>
        <v/>
      </c>
      <c r="AK2268" s="267">
        <f>IFERROR(__xludf.DUMMYFUNCTION("""COMPUTED_VALUE"""),45361.9986111111)</f>
        <v/>
      </c>
      <c r="AL2268" s="6">
        <f>IFERROR(__xludf.DUMMYFUNCTION("""COMPUTED_VALUE"""),69011.28)</f>
        <v/>
      </c>
      <c r="AP2268" s="6">
        <f>AQ2268&amp;AR2268</f>
        <v/>
      </c>
      <c r="AQ2268" s="6">
        <f>YEAR(AS2268)</f>
        <v/>
      </c>
      <c r="AR2268" s="6">
        <f>MONTH(AS2268)</f>
        <v/>
      </c>
    </row>
    <row r="2269">
      <c r="B2269" s="6">
        <f>C2269&amp;D2269</f>
        <v/>
      </c>
      <c r="C2269" s="6">
        <f>YEAR(E2269)</f>
        <v/>
      </c>
      <c r="D2269" s="6">
        <f>MONTH(E2269)</f>
        <v/>
      </c>
      <c r="J2269" s="6">
        <f>K2269&amp;L2269</f>
        <v/>
      </c>
      <c r="K2269" s="6">
        <f>YEAR(M2269)</f>
        <v/>
      </c>
      <c r="L2269" s="6">
        <f>MONTH(M2269)</f>
        <v/>
      </c>
      <c r="R2269" s="6">
        <f>S2269&amp;T2269</f>
        <v/>
      </c>
      <c r="S2269" s="6">
        <f>YEAR(U2269)</f>
        <v/>
      </c>
      <c r="T2269" s="6">
        <f>MONTH(U2269)</f>
        <v/>
      </c>
      <c r="Z2269" s="6">
        <f>AA2269&amp;AB2269</f>
        <v/>
      </c>
      <c r="AA2269" s="6">
        <f>YEAR(AC2269)</f>
        <v/>
      </c>
      <c r="AB2269" s="6">
        <f>MONTH(AC2269)</f>
        <v/>
      </c>
      <c r="AC2269" s="267">
        <f>IFERROR(__xludf.DUMMYFUNCTION("""COMPUTED_VALUE"""),45420.9986111111)</f>
        <v/>
      </c>
      <c r="AD2269" s="6">
        <f>IFERROR(__xludf.DUMMYFUNCTION("""COMPUTED_VALUE"""),1361.94)</f>
        <v/>
      </c>
      <c r="AH2269" s="6">
        <f>AI2269&amp;AJ2269</f>
        <v/>
      </c>
      <c r="AI2269" s="6">
        <f>YEAR(AK2269)</f>
        <v/>
      </c>
      <c r="AJ2269" s="6">
        <f>MONTH(AK2269)</f>
        <v/>
      </c>
      <c r="AK2269" s="267">
        <f>IFERROR(__xludf.DUMMYFUNCTION("""COMPUTED_VALUE"""),45362.9986111111)</f>
        <v/>
      </c>
      <c r="AL2269" s="6">
        <f>IFERROR(__xludf.DUMMYFUNCTION("""COMPUTED_VALUE"""),72133.38)</f>
        <v/>
      </c>
      <c r="AP2269" s="6">
        <f>AQ2269&amp;AR2269</f>
        <v/>
      </c>
      <c r="AQ2269" s="6">
        <f>YEAR(AS2269)</f>
        <v/>
      </c>
      <c r="AR2269" s="6">
        <f>MONTH(AS2269)</f>
        <v/>
      </c>
    </row>
    <row r="2270">
      <c r="B2270" s="6">
        <f>C2270&amp;D2270</f>
        <v/>
      </c>
      <c r="C2270" s="6">
        <f>YEAR(E2270)</f>
        <v/>
      </c>
      <c r="D2270" s="6">
        <f>MONTH(E2270)</f>
        <v/>
      </c>
      <c r="J2270" s="6">
        <f>K2270&amp;L2270</f>
        <v/>
      </c>
      <c r="K2270" s="6">
        <f>YEAR(M2270)</f>
        <v/>
      </c>
      <c r="L2270" s="6">
        <f>MONTH(M2270)</f>
        <v/>
      </c>
      <c r="R2270" s="6">
        <f>S2270&amp;T2270</f>
        <v/>
      </c>
      <c r="S2270" s="6">
        <f>YEAR(U2270)</f>
        <v/>
      </c>
      <c r="T2270" s="6">
        <f>MONTH(U2270)</f>
        <v/>
      </c>
      <c r="Z2270" s="6">
        <f>AA2270&amp;AB2270</f>
        <v/>
      </c>
      <c r="AA2270" s="6">
        <f>YEAR(AC2270)</f>
        <v/>
      </c>
      <c r="AB2270" s="6">
        <f>MONTH(AC2270)</f>
        <v/>
      </c>
      <c r="AC2270" s="267">
        <f>IFERROR(__xludf.DUMMYFUNCTION("""COMPUTED_VALUE"""),45421.9986111111)</f>
        <v/>
      </c>
      <c r="AD2270" s="6">
        <f>IFERROR(__xludf.DUMMYFUNCTION("""COMPUTED_VALUE"""),1365.4)</f>
        <v/>
      </c>
      <c r="AH2270" s="6">
        <f>AI2270&amp;AJ2270</f>
        <v/>
      </c>
      <c r="AI2270" s="6">
        <f>YEAR(AK2270)</f>
        <v/>
      </c>
      <c r="AJ2270" s="6">
        <f>MONTH(AK2270)</f>
        <v/>
      </c>
      <c r="AK2270" s="267">
        <f>IFERROR(__xludf.DUMMYFUNCTION("""COMPUTED_VALUE"""),45363.9986111111)</f>
        <v/>
      </c>
      <c r="AL2270" s="6">
        <f>IFERROR(__xludf.DUMMYFUNCTION("""COMPUTED_VALUE"""),71491.77)</f>
        <v/>
      </c>
      <c r="AP2270" s="6">
        <f>AQ2270&amp;AR2270</f>
        <v/>
      </c>
      <c r="AQ2270" s="6">
        <f>YEAR(AS2270)</f>
        <v/>
      </c>
      <c r="AR2270" s="6">
        <f>MONTH(AS2270)</f>
        <v/>
      </c>
    </row>
    <row r="2271">
      <c r="B2271" s="6">
        <f>C2271&amp;D2271</f>
        <v/>
      </c>
      <c r="C2271" s="6">
        <f>YEAR(E2271)</f>
        <v/>
      </c>
      <c r="D2271" s="6">
        <f>MONTH(E2271)</f>
        <v/>
      </c>
      <c r="J2271" s="6">
        <f>K2271&amp;L2271</f>
        <v/>
      </c>
      <c r="K2271" s="6">
        <f>YEAR(M2271)</f>
        <v/>
      </c>
      <c r="L2271" s="6">
        <f>MONTH(M2271)</f>
        <v/>
      </c>
      <c r="R2271" s="6">
        <f>S2271&amp;T2271</f>
        <v/>
      </c>
      <c r="S2271" s="6">
        <f>YEAR(U2271)</f>
        <v/>
      </c>
      <c r="T2271" s="6">
        <f>MONTH(U2271)</f>
        <v/>
      </c>
      <c r="Z2271" s="6">
        <f>AA2271&amp;AB2271</f>
        <v/>
      </c>
      <c r="AA2271" s="6">
        <f>YEAR(AC2271)</f>
        <v/>
      </c>
      <c r="AB2271" s="6">
        <f>MONTH(AC2271)</f>
        <v/>
      </c>
      <c r="AC2271" s="267">
        <f>IFERROR(__xludf.DUMMYFUNCTION("""COMPUTED_VALUE"""),45422.9986111111)</f>
        <v/>
      </c>
      <c r="AD2271" s="6">
        <f>IFERROR(__xludf.DUMMYFUNCTION("""COMPUTED_VALUE"""),1370.1)</f>
        <v/>
      </c>
      <c r="AH2271" s="6">
        <f>AI2271&amp;AJ2271</f>
        <v/>
      </c>
      <c r="AI2271" s="6">
        <f>YEAR(AK2271)</f>
        <v/>
      </c>
      <c r="AJ2271" s="6">
        <f>MONTH(AK2271)</f>
        <v/>
      </c>
      <c r="AK2271" s="267">
        <f>IFERROR(__xludf.DUMMYFUNCTION("""COMPUTED_VALUE"""),45364.9986111111)</f>
        <v/>
      </c>
      <c r="AL2271" s="6">
        <f>IFERROR(__xludf.DUMMYFUNCTION("""COMPUTED_VALUE"""),73096.85)</f>
        <v/>
      </c>
      <c r="AP2271" s="6">
        <f>AQ2271&amp;AR2271</f>
        <v/>
      </c>
      <c r="AQ2271" s="6">
        <f>YEAR(AS2271)</f>
        <v/>
      </c>
      <c r="AR2271" s="6">
        <f>MONTH(AS2271)</f>
        <v/>
      </c>
    </row>
    <row r="2272">
      <c r="B2272" s="6">
        <f>C2272&amp;D2272</f>
        <v/>
      </c>
      <c r="C2272" s="6">
        <f>YEAR(E2272)</f>
        <v/>
      </c>
      <c r="D2272" s="6">
        <f>MONTH(E2272)</f>
        <v/>
      </c>
      <c r="J2272" s="6">
        <f>K2272&amp;L2272</f>
        <v/>
      </c>
      <c r="K2272" s="6">
        <f>YEAR(M2272)</f>
        <v/>
      </c>
      <c r="L2272" s="6">
        <f>MONTH(M2272)</f>
        <v/>
      </c>
      <c r="R2272" s="6">
        <f>S2272&amp;T2272</f>
        <v/>
      </c>
      <c r="S2272" s="6">
        <f>YEAR(U2272)</f>
        <v/>
      </c>
      <c r="T2272" s="6">
        <f>MONTH(U2272)</f>
        <v/>
      </c>
      <c r="Z2272" s="6">
        <f>AA2272&amp;AB2272</f>
        <v/>
      </c>
      <c r="AA2272" s="6">
        <f>YEAR(AC2272)</f>
        <v/>
      </c>
      <c r="AB2272" s="6">
        <f>MONTH(AC2272)</f>
        <v/>
      </c>
      <c r="AC2272" s="267">
        <f>IFERROR(__xludf.DUMMYFUNCTION("""COMPUTED_VALUE"""),45423.9986111111)</f>
        <v/>
      </c>
      <c r="AD2272" s="6">
        <f>IFERROR(__xludf.DUMMYFUNCTION("""COMPUTED_VALUE"""),1370.1)</f>
        <v/>
      </c>
      <c r="AH2272" s="6">
        <f>AI2272&amp;AJ2272</f>
        <v/>
      </c>
      <c r="AI2272" s="6">
        <f>YEAR(AK2272)</f>
        <v/>
      </c>
      <c r="AJ2272" s="6">
        <f>MONTH(AK2272)</f>
        <v/>
      </c>
      <c r="AK2272" s="267">
        <f>IFERROR(__xludf.DUMMYFUNCTION("""COMPUTED_VALUE"""),45365.9986111111)</f>
        <v/>
      </c>
      <c r="AL2272" s="6">
        <f>IFERROR(__xludf.DUMMYFUNCTION("""COMPUTED_VALUE"""),71394.04)</f>
        <v/>
      </c>
      <c r="AP2272" s="6">
        <f>AQ2272&amp;AR2272</f>
        <v/>
      </c>
      <c r="AQ2272" s="6">
        <f>YEAR(AS2272)</f>
        <v/>
      </c>
      <c r="AR2272" s="6">
        <f>MONTH(AS2272)</f>
        <v/>
      </c>
    </row>
    <row r="2273">
      <c r="B2273" s="6">
        <f>C2273&amp;D2273</f>
        <v/>
      </c>
      <c r="C2273" s="6">
        <f>YEAR(E2273)</f>
        <v/>
      </c>
      <c r="D2273" s="6">
        <f>MONTH(E2273)</f>
        <v/>
      </c>
      <c r="J2273" s="6">
        <f>K2273&amp;L2273</f>
        <v/>
      </c>
      <c r="K2273" s="6">
        <f>YEAR(M2273)</f>
        <v/>
      </c>
      <c r="L2273" s="6">
        <f>MONTH(M2273)</f>
        <v/>
      </c>
      <c r="R2273" s="6">
        <f>S2273&amp;T2273</f>
        <v/>
      </c>
      <c r="S2273" s="6">
        <f>YEAR(U2273)</f>
        <v/>
      </c>
      <c r="T2273" s="6">
        <f>MONTH(U2273)</f>
        <v/>
      </c>
      <c r="Z2273" s="6">
        <f>AA2273&amp;AB2273</f>
        <v/>
      </c>
      <c r="AA2273" s="6">
        <f>YEAR(AC2273)</f>
        <v/>
      </c>
      <c r="AB2273" s="6">
        <f>MONTH(AC2273)</f>
        <v/>
      </c>
      <c r="AC2273" s="267">
        <f>IFERROR(__xludf.DUMMYFUNCTION("""COMPUTED_VALUE"""),45424.9986111111)</f>
        <v/>
      </c>
      <c r="AD2273" s="6">
        <f>IFERROR(__xludf.DUMMYFUNCTION("""COMPUTED_VALUE"""),1370.11)</f>
        <v/>
      </c>
      <c r="AH2273" s="6">
        <f>AI2273&amp;AJ2273</f>
        <v/>
      </c>
      <c r="AI2273" s="6">
        <f>YEAR(AK2273)</f>
        <v/>
      </c>
      <c r="AJ2273" s="6">
        <f>MONTH(AK2273)</f>
        <v/>
      </c>
      <c r="AK2273" s="267">
        <f>IFERROR(__xludf.DUMMYFUNCTION("""COMPUTED_VALUE"""),45366.9986111111)</f>
        <v/>
      </c>
      <c r="AL2273" s="6">
        <f>IFERROR(__xludf.DUMMYFUNCTION("""COMPUTED_VALUE"""),69441.68)</f>
        <v/>
      </c>
      <c r="AP2273" s="6">
        <f>AQ2273&amp;AR2273</f>
        <v/>
      </c>
      <c r="AQ2273" s="6">
        <f>YEAR(AS2273)</f>
        <v/>
      </c>
      <c r="AR2273" s="6">
        <f>MONTH(AS2273)</f>
        <v/>
      </c>
    </row>
    <row r="2274">
      <c r="B2274" s="6">
        <f>C2274&amp;D2274</f>
        <v/>
      </c>
      <c r="C2274" s="6">
        <f>YEAR(E2274)</f>
        <v/>
      </c>
      <c r="D2274" s="6">
        <f>MONTH(E2274)</f>
        <v/>
      </c>
      <c r="J2274" s="6">
        <f>K2274&amp;L2274</f>
        <v/>
      </c>
      <c r="K2274" s="6">
        <f>YEAR(M2274)</f>
        <v/>
      </c>
      <c r="L2274" s="6">
        <f>MONTH(M2274)</f>
        <v/>
      </c>
      <c r="R2274" s="6">
        <f>S2274&amp;T2274</f>
        <v/>
      </c>
      <c r="S2274" s="6">
        <f>YEAR(U2274)</f>
        <v/>
      </c>
      <c r="T2274" s="6">
        <f>MONTH(U2274)</f>
        <v/>
      </c>
      <c r="Z2274" s="6">
        <f>AA2274&amp;AB2274</f>
        <v/>
      </c>
      <c r="AA2274" s="6">
        <f>YEAR(AC2274)</f>
        <v/>
      </c>
      <c r="AB2274" s="6">
        <f>MONTH(AC2274)</f>
        <v/>
      </c>
      <c r="AC2274" s="267">
        <f>IFERROR(__xludf.DUMMYFUNCTION("""COMPUTED_VALUE"""),45425.9986111111)</f>
        <v/>
      </c>
      <c r="AD2274" s="6">
        <f>IFERROR(__xludf.DUMMYFUNCTION("""COMPUTED_VALUE"""),1363.79)</f>
        <v/>
      </c>
      <c r="AH2274" s="6">
        <f>AI2274&amp;AJ2274</f>
        <v/>
      </c>
      <c r="AI2274" s="6">
        <f>YEAR(AK2274)</f>
        <v/>
      </c>
      <c r="AJ2274" s="6">
        <f>MONTH(AK2274)</f>
        <v/>
      </c>
      <c r="AK2274" s="267">
        <f>IFERROR(__xludf.DUMMYFUNCTION("""COMPUTED_VALUE"""),45367.9986111111)</f>
        <v/>
      </c>
      <c r="AL2274" s="6">
        <f>IFERROR(__xludf.DUMMYFUNCTION("""COMPUTED_VALUE"""),65314.75)</f>
        <v/>
      </c>
      <c r="AP2274" s="6">
        <f>AQ2274&amp;AR2274</f>
        <v/>
      </c>
      <c r="AQ2274" s="6">
        <f>YEAR(AS2274)</f>
        <v/>
      </c>
      <c r="AR2274" s="6">
        <f>MONTH(AS2274)</f>
        <v/>
      </c>
    </row>
    <row r="2275">
      <c r="B2275" s="6">
        <f>C2275&amp;D2275</f>
        <v/>
      </c>
      <c r="C2275" s="6">
        <f>YEAR(E2275)</f>
        <v/>
      </c>
      <c r="D2275" s="6">
        <f>MONTH(E2275)</f>
        <v/>
      </c>
      <c r="J2275" s="6">
        <f>K2275&amp;L2275</f>
        <v/>
      </c>
      <c r="K2275" s="6">
        <f>YEAR(M2275)</f>
        <v/>
      </c>
      <c r="L2275" s="6">
        <f>MONTH(M2275)</f>
        <v/>
      </c>
      <c r="R2275" s="6">
        <f>S2275&amp;T2275</f>
        <v/>
      </c>
      <c r="S2275" s="6">
        <f>YEAR(U2275)</f>
        <v/>
      </c>
      <c r="T2275" s="6">
        <f>MONTH(U2275)</f>
        <v/>
      </c>
      <c r="Z2275" s="6">
        <f>AA2275&amp;AB2275</f>
        <v/>
      </c>
      <c r="AA2275" s="6">
        <f>YEAR(AC2275)</f>
        <v/>
      </c>
      <c r="AB2275" s="6">
        <f>MONTH(AC2275)</f>
        <v/>
      </c>
      <c r="AC2275" s="267">
        <f>IFERROR(__xludf.DUMMYFUNCTION("""COMPUTED_VALUE"""),45426.9986111111)</f>
        <v/>
      </c>
      <c r="AD2275" s="6">
        <f>IFERROR(__xludf.DUMMYFUNCTION("""COMPUTED_VALUE"""),1362.55)</f>
        <v/>
      </c>
      <c r="AH2275" s="6">
        <f>AI2275&amp;AJ2275</f>
        <v/>
      </c>
      <c r="AI2275" s="6">
        <f>YEAR(AK2275)</f>
        <v/>
      </c>
      <c r="AJ2275" s="6">
        <f>MONTH(AK2275)</f>
        <v/>
      </c>
      <c r="AK2275" s="267">
        <f>IFERROR(__xludf.DUMMYFUNCTION("""COMPUTED_VALUE"""),45368.9986111111)</f>
        <v/>
      </c>
      <c r="AL2275" s="6">
        <f>IFERROR(__xludf.DUMMYFUNCTION("""COMPUTED_VALUE"""),68476.19)</f>
        <v/>
      </c>
      <c r="AP2275" s="6">
        <f>AQ2275&amp;AR2275</f>
        <v/>
      </c>
      <c r="AQ2275" s="6">
        <f>YEAR(AS2275)</f>
        <v/>
      </c>
      <c r="AR2275" s="6">
        <f>MONTH(AS2275)</f>
        <v/>
      </c>
    </row>
    <row r="2276">
      <c r="B2276" s="6">
        <f>C2276&amp;D2276</f>
        <v/>
      </c>
      <c r="C2276" s="6">
        <f>YEAR(E2276)</f>
        <v/>
      </c>
      <c r="D2276" s="6">
        <f>MONTH(E2276)</f>
        <v/>
      </c>
      <c r="J2276" s="6">
        <f>K2276&amp;L2276</f>
        <v/>
      </c>
      <c r="K2276" s="6">
        <f>YEAR(M2276)</f>
        <v/>
      </c>
      <c r="L2276" s="6">
        <f>MONTH(M2276)</f>
        <v/>
      </c>
      <c r="R2276" s="6">
        <f>S2276&amp;T2276</f>
        <v/>
      </c>
      <c r="S2276" s="6">
        <f>YEAR(U2276)</f>
        <v/>
      </c>
      <c r="T2276" s="6">
        <f>MONTH(U2276)</f>
        <v/>
      </c>
      <c r="Z2276" s="6">
        <f>AA2276&amp;AB2276</f>
        <v/>
      </c>
      <c r="AA2276" s="6">
        <f>YEAR(AC2276)</f>
        <v/>
      </c>
      <c r="AB2276" s="6">
        <f>MONTH(AC2276)</f>
        <v/>
      </c>
      <c r="AC2276" s="267">
        <f>IFERROR(__xludf.DUMMYFUNCTION("""COMPUTED_VALUE"""),45427.9986111111)</f>
        <v/>
      </c>
      <c r="AD2276" s="6">
        <f>IFERROR(__xludf.DUMMYFUNCTION("""COMPUTED_VALUE"""),1353.6)</f>
        <v/>
      </c>
      <c r="AH2276" s="6">
        <f>AI2276&amp;AJ2276</f>
        <v/>
      </c>
      <c r="AI2276" s="6">
        <f>YEAR(AK2276)</f>
        <v/>
      </c>
      <c r="AJ2276" s="6">
        <f>MONTH(AK2276)</f>
        <v/>
      </c>
      <c r="AK2276" s="267">
        <f>IFERROR(__xludf.DUMMYFUNCTION("""COMPUTED_VALUE"""),45369.9986111111)</f>
        <v/>
      </c>
      <c r="AL2276" s="6">
        <f>IFERROR(__xludf.DUMMYFUNCTION("""COMPUTED_VALUE"""),67732.55)</f>
        <v/>
      </c>
      <c r="AP2276" s="6">
        <f>AQ2276&amp;AR2276</f>
        <v/>
      </c>
      <c r="AQ2276" s="6">
        <f>YEAR(AS2276)</f>
        <v/>
      </c>
      <c r="AR2276" s="6">
        <f>MONTH(AS2276)</f>
        <v/>
      </c>
    </row>
    <row r="2277">
      <c r="B2277" s="6">
        <f>C2277&amp;D2277</f>
        <v/>
      </c>
      <c r="C2277" s="6">
        <f>YEAR(E2277)</f>
        <v/>
      </c>
      <c r="D2277" s="6">
        <f>MONTH(E2277)</f>
        <v/>
      </c>
      <c r="J2277" s="6">
        <f>K2277&amp;L2277</f>
        <v/>
      </c>
      <c r="K2277" s="6">
        <f>YEAR(M2277)</f>
        <v/>
      </c>
      <c r="L2277" s="6">
        <f>MONTH(M2277)</f>
        <v/>
      </c>
      <c r="R2277" s="6">
        <f>S2277&amp;T2277</f>
        <v/>
      </c>
      <c r="S2277" s="6">
        <f>YEAR(U2277)</f>
        <v/>
      </c>
      <c r="T2277" s="6">
        <f>MONTH(U2277)</f>
        <v/>
      </c>
      <c r="Z2277" s="6">
        <f>AA2277&amp;AB2277</f>
        <v/>
      </c>
      <c r="AA2277" s="6">
        <f>YEAR(AC2277)</f>
        <v/>
      </c>
      <c r="AB2277" s="6">
        <f>MONTH(AC2277)</f>
        <v/>
      </c>
      <c r="AC2277" s="267">
        <f>IFERROR(__xludf.DUMMYFUNCTION("""COMPUTED_VALUE"""),45428.9986111111)</f>
        <v/>
      </c>
      <c r="AD2277" s="6">
        <f>IFERROR(__xludf.DUMMYFUNCTION("""COMPUTED_VALUE"""),1346.04)</f>
        <v/>
      </c>
      <c r="AH2277" s="6">
        <f>AI2277&amp;AJ2277</f>
        <v/>
      </c>
      <c r="AI2277" s="6">
        <f>YEAR(AK2277)</f>
        <v/>
      </c>
      <c r="AJ2277" s="6">
        <f>MONTH(AK2277)</f>
        <v/>
      </c>
      <c r="AK2277" s="267">
        <f>IFERROR(__xludf.DUMMYFUNCTION("""COMPUTED_VALUE"""),45370.9986111111)</f>
        <v/>
      </c>
      <c r="AL2277" s="6">
        <f>IFERROR(__xludf.DUMMYFUNCTION("""COMPUTED_VALUE"""),61964.65)</f>
        <v/>
      </c>
      <c r="AP2277" s="6">
        <f>AQ2277&amp;AR2277</f>
        <v/>
      </c>
      <c r="AQ2277" s="6">
        <f>YEAR(AS2277)</f>
        <v/>
      </c>
      <c r="AR2277" s="6">
        <f>MONTH(AS2277)</f>
        <v/>
      </c>
    </row>
    <row r="2278">
      <c r="B2278" s="6">
        <f>C2278&amp;D2278</f>
        <v/>
      </c>
      <c r="C2278" s="6">
        <f>YEAR(E2278)</f>
        <v/>
      </c>
      <c r="D2278" s="6">
        <f>MONTH(E2278)</f>
        <v/>
      </c>
      <c r="J2278" s="6">
        <f>K2278&amp;L2278</f>
        <v/>
      </c>
      <c r="K2278" s="6">
        <f>YEAR(M2278)</f>
        <v/>
      </c>
      <c r="L2278" s="6">
        <f>MONTH(M2278)</f>
        <v/>
      </c>
      <c r="R2278" s="6">
        <f>S2278&amp;T2278</f>
        <v/>
      </c>
      <c r="S2278" s="6">
        <f>YEAR(U2278)</f>
        <v/>
      </c>
      <c r="T2278" s="6">
        <f>MONTH(U2278)</f>
        <v/>
      </c>
      <c r="Z2278" s="6">
        <f>AA2278&amp;AB2278</f>
        <v/>
      </c>
      <c r="AA2278" s="6">
        <f>YEAR(AC2278)</f>
        <v/>
      </c>
      <c r="AB2278" s="6">
        <f>MONTH(AC2278)</f>
        <v/>
      </c>
      <c r="AC2278" s="267">
        <f>IFERROR(__xludf.DUMMYFUNCTION("""COMPUTED_VALUE"""),45429.9986111111)</f>
        <v/>
      </c>
      <c r="AD2278" s="6">
        <f>IFERROR(__xludf.DUMMYFUNCTION("""COMPUTED_VALUE"""),1353.49)</f>
        <v/>
      </c>
      <c r="AH2278" s="6">
        <f>AI2278&amp;AJ2278</f>
        <v/>
      </c>
      <c r="AI2278" s="6">
        <f>YEAR(AK2278)</f>
        <v/>
      </c>
      <c r="AJ2278" s="6">
        <f>MONTH(AK2278)</f>
        <v/>
      </c>
      <c r="AK2278" s="267">
        <f>IFERROR(__xludf.DUMMYFUNCTION("""COMPUTED_VALUE"""),45371.9986111111)</f>
        <v/>
      </c>
      <c r="AL2278" s="6">
        <f>IFERROR(__xludf.DUMMYFUNCTION("""COMPUTED_VALUE"""),67900.47)</f>
        <v/>
      </c>
      <c r="AP2278" s="6">
        <f>AQ2278&amp;AR2278</f>
        <v/>
      </c>
      <c r="AQ2278" s="6">
        <f>YEAR(AS2278)</f>
        <v/>
      </c>
      <c r="AR2278" s="6">
        <f>MONTH(AS2278)</f>
        <v/>
      </c>
    </row>
    <row r="2279">
      <c r="B2279" s="6">
        <f>C2279&amp;D2279</f>
        <v/>
      </c>
      <c r="C2279" s="6">
        <f>YEAR(E2279)</f>
        <v/>
      </c>
      <c r="D2279" s="6">
        <f>MONTH(E2279)</f>
        <v/>
      </c>
      <c r="J2279" s="6">
        <f>K2279&amp;L2279</f>
        <v/>
      </c>
      <c r="K2279" s="6">
        <f>YEAR(M2279)</f>
        <v/>
      </c>
      <c r="L2279" s="6">
        <f>MONTH(M2279)</f>
        <v/>
      </c>
      <c r="R2279" s="6">
        <f>S2279&amp;T2279</f>
        <v/>
      </c>
      <c r="S2279" s="6">
        <f>YEAR(U2279)</f>
        <v/>
      </c>
      <c r="T2279" s="6">
        <f>MONTH(U2279)</f>
        <v/>
      </c>
      <c r="Z2279" s="6">
        <f>AA2279&amp;AB2279</f>
        <v/>
      </c>
      <c r="AA2279" s="6">
        <f>YEAR(AC2279)</f>
        <v/>
      </c>
      <c r="AB2279" s="6">
        <f>MONTH(AC2279)</f>
        <v/>
      </c>
      <c r="AC2279" s="267">
        <f>IFERROR(__xludf.DUMMYFUNCTION("""COMPUTED_VALUE"""),45430.9986111111)</f>
        <v/>
      </c>
      <c r="AD2279" s="6">
        <f>IFERROR(__xludf.DUMMYFUNCTION("""COMPUTED_VALUE"""),1353.49)</f>
        <v/>
      </c>
      <c r="AH2279" s="6">
        <f>AI2279&amp;AJ2279</f>
        <v/>
      </c>
      <c r="AI2279" s="6">
        <f>YEAR(AK2279)</f>
        <v/>
      </c>
      <c r="AJ2279" s="6">
        <f>MONTH(AK2279)</f>
        <v/>
      </c>
      <c r="AK2279" s="267">
        <f>IFERROR(__xludf.DUMMYFUNCTION("""COMPUTED_VALUE"""),45372.9986111111)</f>
        <v/>
      </c>
      <c r="AL2279" s="6">
        <f>IFERROR(__xludf.DUMMYFUNCTION("""COMPUTED_VALUE"""),65507.84)</f>
        <v/>
      </c>
      <c r="AP2279" s="6">
        <f>AQ2279&amp;AR2279</f>
        <v/>
      </c>
      <c r="AQ2279" s="6">
        <f>YEAR(AS2279)</f>
        <v/>
      </c>
      <c r="AR2279" s="6">
        <f>MONTH(AS2279)</f>
        <v/>
      </c>
    </row>
    <row r="2280">
      <c r="B2280" s="6">
        <f>C2280&amp;D2280</f>
        <v/>
      </c>
      <c r="C2280" s="6">
        <f>YEAR(E2280)</f>
        <v/>
      </c>
      <c r="D2280" s="6">
        <f>MONTH(E2280)</f>
        <v/>
      </c>
      <c r="J2280" s="6">
        <f>K2280&amp;L2280</f>
        <v/>
      </c>
      <c r="K2280" s="6">
        <f>YEAR(M2280)</f>
        <v/>
      </c>
      <c r="L2280" s="6">
        <f>MONTH(M2280)</f>
        <v/>
      </c>
      <c r="R2280" s="6">
        <f>S2280&amp;T2280</f>
        <v/>
      </c>
      <c r="S2280" s="6">
        <f>YEAR(U2280)</f>
        <v/>
      </c>
      <c r="T2280" s="6">
        <f>MONTH(U2280)</f>
        <v/>
      </c>
      <c r="Z2280" s="6">
        <f>AA2280&amp;AB2280</f>
        <v/>
      </c>
      <c r="AA2280" s="6">
        <f>YEAR(AC2280)</f>
        <v/>
      </c>
      <c r="AB2280" s="6">
        <f>MONTH(AC2280)</f>
        <v/>
      </c>
      <c r="AC2280" s="267">
        <f>IFERROR(__xludf.DUMMYFUNCTION("""COMPUTED_VALUE"""),45431.9986111111)</f>
        <v/>
      </c>
      <c r="AD2280" s="6">
        <f>IFERROR(__xludf.DUMMYFUNCTION("""COMPUTED_VALUE"""),1353.39)</f>
        <v/>
      </c>
      <c r="AH2280" s="6">
        <f>AI2280&amp;AJ2280</f>
        <v/>
      </c>
      <c r="AI2280" s="6">
        <f>YEAR(AK2280)</f>
        <v/>
      </c>
      <c r="AJ2280" s="6">
        <f>MONTH(AK2280)</f>
        <v/>
      </c>
      <c r="AK2280" s="267">
        <f>IFERROR(__xludf.DUMMYFUNCTION("""COMPUTED_VALUE"""),45373.9986111111)</f>
        <v/>
      </c>
      <c r="AL2280" s="6">
        <f>IFERROR(__xludf.DUMMYFUNCTION("""COMPUTED_VALUE"""),63669.71)</f>
        <v/>
      </c>
      <c r="AP2280" s="6">
        <f>AQ2280&amp;AR2280</f>
        <v/>
      </c>
      <c r="AQ2280" s="6">
        <f>YEAR(AS2280)</f>
        <v/>
      </c>
      <c r="AR2280" s="6">
        <f>MONTH(AS2280)</f>
        <v/>
      </c>
    </row>
    <row r="2281">
      <c r="B2281" s="6">
        <f>C2281&amp;D2281</f>
        <v/>
      </c>
      <c r="C2281" s="6">
        <f>YEAR(E2281)</f>
        <v/>
      </c>
      <c r="D2281" s="6">
        <f>MONTH(E2281)</f>
        <v/>
      </c>
      <c r="J2281" s="6">
        <f>K2281&amp;L2281</f>
        <v/>
      </c>
      <c r="K2281" s="6">
        <f>YEAR(M2281)</f>
        <v/>
      </c>
      <c r="L2281" s="6">
        <f>MONTH(M2281)</f>
        <v/>
      </c>
      <c r="R2281" s="6">
        <f>S2281&amp;T2281</f>
        <v/>
      </c>
      <c r="S2281" s="6">
        <f>YEAR(U2281)</f>
        <v/>
      </c>
      <c r="T2281" s="6">
        <f>MONTH(U2281)</f>
        <v/>
      </c>
      <c r="Z2281" s="6">
        <f>AA2281&amp;AB2281</f>
        <v/>
      </c>
      <c r="AA2281" s="6">
        <f>YEAR(AC2281)</f>
        <v/>
      </c>
      <c r="AB2281" s="6">
        <f>MONTH(AC2281)</f>
        <v/>
      </c>
      <c r="AC2281" s="267">
        <f>IFERROR(__xludf.DUMMYFUNCTION("""COMPUTED_VALUE"""),45432.9986111111)</f>
        <v/>
      </c>
      <c r="AD2281" s="6">
        <f>IFERROR(__xludf.DUMMYFUNCTION("""COMPUTED_VALUE"""),1360.16)</f>
        <v/>
      </c>
      <c r="AH2281" s="6">
        <f>AI2281&amp;AJ2281</f>
        <v/>
      </c>
      <c r="AI2281" s="6">
        <f>YEAR(AK2281)</f>
        <v/>
      </c>
      <c r="AJ2281" s="6">
        <f>MONTH(AK2281)</f>
        <v/>
      </c>
      <c r="AK2281" s="267">
        <f>IFERROR(__xludf.DUMMYFUNCTION("""COMPUTED_VALUE"""),45374.9986111111)</f>
        <v/>
      </c>
      <c r="AL2281" s="6">
        <f>IFERROR(__xludf.DUMMYFUNCTION("""COMPUTED_VALUE"""),64052.68)</f>
        <v/>
      </c>
      <c r="AP2281" s="6">
        <f>AQ2281&amp;AR2281</f>
        <v/>
      </c>
      <c r="AQ2281" s="6">
        <f>YEAR(AS2281)</f>
        <v/>
      </c>
      <c r="AR2281" s="6">
        <f>MONTH(AS2281)</f>
        <v/>
      </c>
    </row>
    <row r="2282">
      <c r="B2282" s="6">
        <f>C2282&amp;D2282</f>
        <v/>
      </c>
      <c r="C2282" s="6">
        <f>YEAR(E2282)</f>
        <v/>
      </c>
      <c r="D2282" s="6">
        <f>MONTH(E2282)</f>
        <v/>
      </c>
      <c r="J2282" s="6">
        <f>K2282&amp;L2282</f>
        <v/>
      </c>
      <c r="K2282" s="6">
        <f>YEAR(M2282)</f>
        <v/>
      </c>
      <c r="L2282" s="6">
        <f>MONTH(M2282)</f>
        <v/>
      </c>
      <c r="R2282" s="6">
        <f>S2282&amp;T2282</f>
        <v/>
      </c>
      <c r="S2282" s="6">
        <f>YEAR(U2282)</f>
        <v/>
      </c>
      <c r="T2282" s="6">
        <f>MONTH(U2282)</f>
        <v/>
      </c>
      <c r="Z2282" s="6">
        <f>AA2282&amp;AB2282</f>
        <v/>
      </c>
      <c r="AA2282" s="6">
        <f>YEAR(AC2282)</f>
        <v/>
      </c>
      <c r="AB2282" s="6">
        <f>MONTH(AC2282)</f>
        <v/>
      </c>
      <c r="AC2282" s="267">
        <f>IFERROR(__xludf.DUMMYFUNCTION("""COMPUTED_VALUE"""),45433.9986111111)</f>
        <v/>
      </c>
      <c r="AD2282" s="6">
        <f>IFERROR(__xludf.DUMMYFUNCTION("""COMPUTED_VALUE"""),1363.42)</f>
        <v/>
      </c>
      <c r="AH2282" s="6">
        <f>AI2282&amp;AJ2282</f>
        <v/>
      </c>
      <c r="AI2282" s="6">
        <f>YEAR(AK2282)</f>
        <v/>
      </c>
      <c r="AJ2282" s="6">
        <f>MONTH(AK2282)</f>
        <v/>
      </c>
      <c r="AK2282" s="267">
        <f>IFERROR(__xludf.DUMMYFUNCTION("""COMPUTED_VALUE"""),45375.9986111111)</f>
        <v/>
      </c>
      <c r="AL2282" s="6">
        <f>IFERROR(__xludf.DUMMYFUNCTION("""COMPUTED_VALUE"""),67228.68)</f>
        <v/>
      </c>
      <c r="AP2282" s="6">
        <f>AQ2282&amp;AR2282</f>
        <v/>
      </c>
      <c r="AQ2282" s="6">
        <f>YEAR(AS2282)</f>
        <v/>
      </c>
      <c r="AR2282" s="6">
        <f>MONTH(AS2282)</f>
        <v/>
      </c>
    </row>
    <row r="2283">
      <c r="B2283" s="6">
        <f>C2283&amp;D2283</f>
        <v/>
      </c>
      <c r="C2283" s="6">
        <f>YEAR(E2283)</f>
        <v/>
      </c>
      <c r="D2283" s="6">
        <f>MONTH(E2283)</f>
        <v/>
      </c>
      <c r="J2283" s="6">
        <f>K2283&amp;L2283</f>
        <v/>
      </c>
      <c r="K2283" s="6">
        <f>YEAR(M2283)</f>
        <v/>
      </c>
      <c r="L2283" s="6">
        <f>MONTH(M2283)</f>
        <v/>
      </c>
      <c r="R2283" s="6">
        <f>S2283&amp;T2283</f>
        <v/>
      </c>
      <c r="S2283" s="6">
        <f>YEAR(U2283)</f>
        <v/>
      </c>
      <c r="T2283" s="6">
        <f>MONTH(U2283)</f>
        <v/>
      </c>
      <c r="Z2283" s="6">
        <f>AA2283&amp;AB2283</f>
        <v/>
      </c>
      <c r="AA2283" s="6">
        <f>YEAR(AC2283)</f>
        <v/>
      </c>
      <c r="AB2283" s="6">
        <f>MONTH(AC2283)</f>
        <v/>
      </c>
      <c r="AC2283" s="267">
        <f>IFERROR(__xludf.DUMMYFUNCTION("""COMPUTED_VALUE"""),45434.9986111111)</f>
        <v/>
      </c>
      <c r="AD2283" s="6">
        <f>IFERROR(__xludf.DUMMYFUNCTION("""COMPUTED_VALUE"""),1365.81)</f>
        <v/>
      </c>
      <c r="AH2283" s="6">
        <f>AI2283&amp;AJ2283</f>
        <v/>
      </c>
      <c r="AI2283" s="6">
        <f>YEAR(AK2283)</f>
        <v/>
      </c>
      <c r="AJ2283" s="6">
        <f>MONTH(AK2283)</f>
        <v/>
      </c>
      <c r="AK2283" s="267">
        <f>IFERROR(__xludf.DUMMYFUNCTION("""COMPUTED_VALUE"""),45376.9986111111)</f>
        <v/>
      </c>
      <c r="AL2283" s="6">
        <f>IFERROR(__xludf.DUMMYFUNCTION("""COMPUTED_VALUE"""),69956.47)</f>
        <v/>
      </c>
      <c r="AP2283" s="6">
        <f>AQ2283&amp;AR2283</f>
        <v/>
      </c>
      <c r="AQ2283" s="6">
        <f>YEAR(AS2283)</f>
        <v/>
      </c>
      <c r="AR2283" s="6">
        <f>MONTH(AS2283)</f>
        <v/>
      </c>
    </row>
    <row r="2284">
      <c r="B2284" s="6">
        <f>C2284&amp;D2284</f>
        <v/>
      </c>
      <c r="C2284" s="6">
        <f>YEAR(E2284)</f>
        <v/>
      </c>
      <c r="D2284" s="6">
        <f>MONTH(E2284)</f>
        <v/>
      </c>
      <c r="J2284" s="6">
        <f>K2284&amp;L2284</f>
        <v/>
      </c>
      <c r="K2284" s="6">
        <f>YEAR(M2284)</f>
        <v/>
      </c>
      <c r="L2284" s="6">
        <f>MONTH(M2284)</f>
        <v/>
      </c>
      <c r="R2284" s="6">
        <f>S2284&amp;T2284</f>
        <v/>
      </c>
      <c r="S2284" s="6">
        <f>YEAR(U2284)</f>
        <v/>
      </c>
      <c r="T2284" s="6">
        <f>MONTH(U2284)</f>
        <v/>
      </c>
      <c r="Z2284" s="6">
        <f>AA2284&amp;AB2284</f>
        <v/>
      </c>
      <c r="AA2284" s="6">
        <f>YEAR(AC2284)</f>
        <v/>
      </c>
      <c r="AB2284" s="6">
        <f>MONTH(AC2284)</f>
        <v/>
      </c>
      <c r="AC2284" s="267">
        <f>IFERROR(__xludf.DUMMYFUNCTION("""COMPUTED_VALUE"""),45435.9986111111)</f>
        <v/>
      </c>
      <c r="AD2284" s="6">
        <f>IFERROR(__xludf.DUMMYFUNCTION("""COMPUTED_VALUE"""),1367.62)</f>
        <v/>
      </c>
      <c r="AH2284" s="6">
        <f>AI2284&amp;AJ2284</f>
        <v/>
      </c>
      <c r="AI2284" s="6">
        <f>YEAR(AK2284)</f>
        <v/>
      </c>
      <c r="AJ2284" s="6">
        <f>MONTH(AK2284)</f>
        <v/>
      </c>
      <c r="AK2284" s="267">
        <f>IFERROR(__xludf.DUMMYFUNCTION("""COMPUTED_VALUE"""),45377.9986111111)</f>
        <v/>
      </c>
      <c r="AL2284" s="6">
        <f>IFERROR(__xludf.DUMMYFUNCTION("""COMPUTED_VALUE"""),69976.26)</f>
        <v/>
      </c>
      <c r="AP2284" s="6">
        <f>AQ2284&amp;AR2284</f>
        <v/>
      </c>
      <c r="AQ2284" s="6">
        <f>YEAR(AS2284)</f>
        <v/>
      </c>
      <c r="AR2284" s="6">
        <f>MONTH(AS2284)</f>
        <v/>
      </c>
    </row>
    <row r="2285">
      <c r="B2285" s="6">
        <f>C2285&amp;D2285</f>
        <v/>
      </c>
      <c r="C2285" s="6">
        <f>YEAR(E2285)</f>
        <v/>
      </c>
      <c r="D2285" s="6">
        <f>MONTH(E2285)</f>
        <v/>
      </c>
      <c r="J2285" s="6">
        <f>K2285&amp;L2285</f>
        <v/>
      </c>
      <c r="K2285" s="6">
        <f>YEAR(M2285)</f>
        <v/>
      </c>
      <c r="L2285" s="6">
        <f>MONTH(M2285)</f>
        <v/>
      </c>
      <c r="R2285" s="6">
        <f>S2285&amp;T2285</f>
        <v/>
      </c>
      <c r="S2285" s="6">
        <f>YEAR(U2285)</f>
        <v/>
      </c>
      <c r="T2285" s="6">
        <f>MONTH(U2285)</f>
        <v/>
      </c>
      <c r="Z2285" s="6">
        <f>AA2285&amp;AB2285</f>
        <v/>
      </c>
      <c r="AA2285" s="6">
        <f>YEAR(AC2285)</f>
        <v/>
      </c>
      <c r="AB2285" s="6">
        <f>MONTH(AC2285)</f>
        <v/>
      </c>
      <c r="AC2285" s="267">
        <f>IFERROR(__xludf.DUMMYFUNCTION("""COMPUTED_VALUE"""),45436.9986111111)</f>
        <v/>
      </c>
      <c r="AD2285" s="6">
        <f>IFERROR(__xludf.DUMMYFUNCTION("""COMPUTED_VALUE"""),1365.7)</f>
        <v/>
      </c>
      <c r="AH2285" s="6">
        <f>AI2285&amp;AJ2285</f>
        <v/>
      </c>
      <c r="AI2285" s="6">
        <f>YEAR(AK2285)</f>
        <v/>
      </c>
      <c r="AJ2285" s="6">
        <f>MONTH(AK2285)</f>
        <v/>
      </c>
      <c r="AK2285" s="267">
        <f>IFERROR(__xludf.DUMMYFUNCTION("""COMPUTED_VALUE"""),45378.9986111111)</f>
        <v/>
      </c>
      <c r="AL2285" s="6">
        <f>IFERROR(__xludf.DUMMYFUNCTION("""COMPUTED_VALUE"""),69402.96)</f>
        <v/>
      </c>
      <c r="AP2285" s="6">
        <f>AQ2285&amp;AR2285</f>
        <v/>
      </c>
      <c r="AQ2285" s="6">
        <f>YEAR(AS2285)</f>
        <v/>
      </c>
      <c r="AR2285" s="6">
        <f>MONTH(AS2285)</f>
        <v/>
      </c>
    </row>
    <row r="2286">
      <c r="B2286" s="6">
        <f>C2286&amp;D2286</f>
        <v/>
      </c>
      <c r="C2286" s="6">
        <f>YEAR(E2286)</f>
        <v/>
      </c>
      <c r="D2286" s="6">
        <f>MONTH(E2286)</f>
        <v/>
      </c>
      <c r="J2286" s="6">
        <f>K2286&amp;L2286</f>
        <v/>
      </c>
      <c r="K2286" s="6">
        <f>YEAR(M2286)</f>
        <v/>
      </c>
      <c r="L2286" s="6">
        <f>MONTH(M2286)</f>
        <v/>
      </c>
      <c r="R2286" s="6">
        <f>S2286&amp;T2286</f>
        <v/>
      </c>
      <c r="S2286" s="6">
        <f>YEAR(U2286)</f>
        <v/>
      </c>
      <c r="T2286" s="6">
        <f>MONTH(U2286)</f>
        <v/>
      </c>
      <c r="Z2286" s="6">
        <f>AA2286&amp;AB2286</f>
        <v/>
      </c>
      <c r="AA2286" s="6">
        <f>YEAR(AC2286)</f>
        <v/>
      </c>
      <c r="AB2286" s="6">
        <f>MONTH(AC2286)</f>
        <v/>
      </c>
      <c r="AC2286" s="267">
        <f>IFERROR(__xludf.DUMMYFUNCTION("""COMPUTED_VALUE"""),45437.9986111111)</f>
        <v/>
      </c>
      <c r="AD2286" s="6">
        <f>IFERROR(__xludf.DUMMYFUNCTION("""COMPUTED_VALUE"""),1365.7)</f>
        <v/>
      </c>
      <c r="AH2286" s="6">
        <f>AI2286&amp;AJ2286</f>
        <v/>
      </c>
      <c r="AI2286" s="6">
        <f>YEAR(AK2286)</f>
        <v/>
      </c>
      <c r="AJ2286" s="6">
        <f>MONTH(AK2286)</f>
        <v/>
      </c>
      <c r="AK2286" s="267">
        <f>IFERROR(__xludf.DUMMYFUNCTION("""COMPUTED_VALUE"""),45379.9986111111)</f>
        <v/>
      </c>
      <c r="AL2286" s="6">
        <f>IFERROR(__xludf.DUMMYFUNCTION("""COMPUTED_VALUE"""),70787.45)</f>
        <v/>
      </c>
      <c r="AP2286" s="6">
        <f>AQ2286&amp;AR2286</f>
        <v/>
      </c>
      <c r="AQ2286" s="6">
        <f>YEAR(AS2286)</f>
        <v/>
      </c>
      <c r="AR2286" s="6">
        <f>MONTH(AS2286)</f>
        <v/>
      </c>
    </row>
    <row r="2287">
      <c r="B2287" s="6">
        <f>C2287&amp;D2287</f>
        <v/>
      </c>
      <c r="C2287" s="6">
        <f>YEAR(E2287)</f>
        <v/>
      </c>
      <c r="D2287" s="6">
        <f>MONTH(E2287)</f>
        <v/>
      </c>
      <c r="J2287" s="6">
        <f>K2287&amp;L2287</f>
        <v/>
      </c>
      <c r="K2287" s="6">
        <f>YEAR(M2287)</f>
        <v/>
      </c>
      <c r="L2287" s="6">
        <f>MONTH(M2287)</f>
        <v/>
      </c>
      <c r="R2287" s="6">
        <f>S2287&amp;T2287</f>
        <v/>
      </c>
      <c r="S2287" s="6">
        <f>YEAR(U2287)</f>
        <v/>
      </c>
      <c r="T2287" s="6">
        <f>MONTH(U2287)</f>
        <v/>
      </c>
      <c r="Z2287" s="6">
        <f>AA2287&amp;AB2287</f>
        <v/>
      </c>
      <c r="AA2287" s="6">
        <f>YEAR(AC2287)</f>
        <v/>
      </c>
      <c r="AB2287" s="6">
        <f>MONTH(AC2287)</f>
        <v/>
      </c>
      <c r="AC2287" s="267">
        <f>IFERROR(__xludf.DUMMYFUNCTION("""COMPUTED_VALUE"""),45438.9986111111)</f>
        <v/>
      </c>
      <c r="AD2287" s="6">
        <f>IFERROR(__xludf.DUMMYFUNCTION("""COMPUTED_VALUE"""),1365.71)</f>
        <v/>
      </c>
      <c r="AH2287" s="6">
        <f>AI2287&amp;AJ2287</f>
        <v/>
      </c>
      <c r="AI2287" s="6">
        <f>YEAR(AK2287)</f>
        <v/>
      </c>
      <c r="AJ2287" s="6">
        <f>MONTH(AK2287)</f>
        <v/>
      </c>
      <c r="AK2287" s="267">
        <f>IFERROR(__xludf.DUMMYFUNCTION("""COMPUTED_VALUE"""),45380.9986111111)</f>
        <v/>
      </c>
      <c r="AL2287" s="6">
        <f>IFERROR(__xludf.DUMMYFUNCTION("""COMPUTED_VALUE"""),69917.16)</f>
        <v/>
      </c>
      <c r="AP2287" s="6">
        <f>AQ2287&amp;AR2287</f>
        <v/>
      </c>
      <c r="AQ2287" s="6">
        <f>YEAR(AS2287)</f>
        <v/>
      </c>
      <c r="AR2287" s="6">
        <f>MONTH(AS2287)</f>
        <v/>
      </c>
    </row>
    <row r="2288">
      <c r="B2288" s="6">
        <f>C2288&amp;D2288</f>
        <v/>
      </c>
      <c r="C2288" s="6">
        <f>YEAR(E2288)</f>
        <v/>
      </c>
      <c r="D2288" s="6">
        <f>MONTH(E2288)</f>
        <v/>
      </c>
      <c r="J2288" s="6">
        <f>K2288&amp;L2288</f>
        <v/>
      </c>
      <c r="K2288" s="6">
        <f>YEAR(M2288)</f>
        <v/>
      </c>
      <c r="L2288" s="6">
        <f>MONTH(M2288)</f>
        <v/>
      </c>
      <c r="R2288" s="6">
        <f>S2288&amp;T2288</f>
        <v/>
      </c>
      <c r="S2288" s="6">
        <f>YEAR(U2288)</f>
        <v/>
      </c>
      <c r="T2288" s="6">
        <f>MONTH(U2288)</f>
        <v/>
      </c>
      <c r="Z2288" s="6">
        <f>AA2288&amp;AB2288</f>
        <v/>
      </c>
      <c r="AA2288" s="6">
        <f>YEAR(AC2288)</f>
        <v/>
      </c>
      <c r="AB2288" s="6">
        <f>MONTH(AC2288)</f>
        <v/>
      </c>
      <c r="AC2288" s="267">
        <f>IFERROR(__xludf.DUMMYFUNCTION("""COMPUTED_VALUE"""),45439.9986111111)</f>
        <v/>
      </c>
      <c r="AD2288" s="6">
        <f>IFERROR(__xludf.DUMMYFUNCTION("""COMPUTED_VALUE"""),1360.93)</f>
        <v/>
      </c>
      <c r="AH2288" s="6">
        <f>AI2288&amp;AJ2288</f>
        <v/>
      </c>
      <c r="AI2288" s="6">
        <f>YEAR(AK2288)</f>
        <v/>
      </c>
      <c r="AJ2288" s="6">
        <f>MONTH(AK2288)</f>
        <v/>
      </c>
      <c r="AK2288" s="267">
        <f>IFERROR(__xludf.DUMMYFUNCTION("""COMPUTED_VALUE"""),45381.9986111111)</f>
        <v/>
      </c>
      <c r="AL2288" s="6">
        <f>IFERROR(__xludf.DUMMYFUNCTION("""COMPUTED_VALUE"""),69666.93)</f>
        <v/>
      </c>
      <c r="AP2288" s="6">
        <f>AQ2288&amp;AR2288</f>
        <v/>
      </c>
      <c r="AQ2288" s="6">
        <f>YEAR(AS2288)</f>
        <v/>
      </c>
      <c r="AR2288" s="6">
        <f>MONTH(AS2288)</f>
        <v/>
      </c>
    </row>
    <row r="2289">
      <c r="B2289" s="6">
        <f>C2289&amp;D2289</f>
        <v/>
      </c>
      <c r="C2289" s="6">
        <f>YEAR(E2289)</f>
        <v/>
      </c>
      <c r="D2289" s="6">
        <f>MONTH(E2289)</f>
        <v/>
      </c>
      <c r="J2289" s="6">
        <f>K2289&amp;L2289</f>
        <v/>
      </c>
      <c r="K2289" s="6">
        <f>YEAR(M2289)</f>
        <v/>
      </c>
      <c r="L2289" s="6">
        <f>MONTH(M2289)</f>
        <v/>
      </c>
      <c r="R2289" s="6">
        <f>S2289&amp;T2289</f>
        <v/>
      </c>
      <c r="S2289" s="6">
        <f>YEAR(U2289)</f>
        <v/>
      </c>
      <c r="T2289" s="6">
        <f>MONTH(U2289)</f>
        <v/>
      </c>
      <c r="Z2289" s="6">
        <f>AA2289&amp;AB2289</f>
        <v/>
      </c>
      <c r="AA2289" s="6">
        <f>YEAR(AC2289)</f>
        <v/>
      </c>
      <c r="AB2289" s="6">
        <f>MONTH(AC2289)</f>
        <v/>
      </c>
      <c r="AC2289" s="267">
        <f>IFERROR(__xludf.DUMMYFUNCTION("""COMPUTED_VALUE"""),45440.9986111111)</f>
        <v/>
      </c>
      <c r="AD2289" s="6">
        <f>IFERROR(__xludf.DUMMYFUNCTION("""COMPUTED_VALUE"""),1362.76)</f>
        <v/>
      </c>
      <c r="AH2289" s="6">
        <f>AI2289&amp;AJ2289</f>
        <v/>
      </c>
      <c r="AI2289" s="6">
        <f>YEAR(AK2289)</f>
        <v/>
      </c>
      <c r="AJ2289" s="6">
        <f>MONTH(AK2289)</f>
        <v/>
      </c>
      <c r="AK2289" s="267">
        <f>IFERROR(__xludf.DUMMYFUNCTION("""COMPUTED_VALUE"""),45382.9986111111)</f>
        <v/>
      </c>
      <c r="AL2289" s="6">
        <f>IFERROR(__xludf.DUMMYFUNCTION("""COMPUTED_VALUE"""),71341.71)</f>
        <v/>
      </c>
      <c r="AP2289" s="6">
        <f>AQ2289&amp;AR2289</f>
        <v/>
      </c>
      <c r="AQ2289" s="6">
        <f>YEAR(AS2289)</f>
        <v/>
      </c>
      <c r="AR2289" s="6">
        <f>MONTH(AS2289)</f>
        <v/>
      </c>
    </row>
    <row r="2290">
      <c r="B2290" s="6">
        <f>C2290&amp;D2290</f>
        <v/>
      </c>
      <c r="C2290" s="6">
        <f>YEAR(E2290)</f>
        <v/>
      </c>
      <c r="D2290" s="6">
        <f>MONTH(E2290)</f>
        <v/>
      </c>
      <c r="J2290" s="6">
        <f>K2290&amp;L2290</f>
        <v/>
      </c>
      <c r="K2290" s="6">
        <f>YEAR(M2290)</f>
        <v/>
      </c>
      <c r="L2290" s="6">
        <f>MONTH(M2290)</f>
        <v/>
      </c>
      <c r="R2290" s="6">
        <f>S2290&amp;T2290</f>
        <v/>
      </c>
      <c r="S2290" s="6">
        <f>YEAR(U2290)</f>
        <v/>
      </c>
      <c r="T2290" s="6">
        <f>MONTH(U2290)</f>
        <v/>
      </c>
      <c r="Z2290" s="6">
        <f>AA2290&amp;AB2290</f>
        <v/>
      </c>
      <c r="AA2290" s="6">
        <f>YEAR(AC2290)</f>
        <v/>
      </c>
      <c r="AB2290" s="6">
        <f>MONTH(AC2290)</f>
        <v/>
      </c>
      <c r="AC2290" s="267">
        <f>IFERROR(__xludf.DUMMYFUNCTION("""COMPUTED_VALUE"""),45441.9986111111)</f>
        <v/>
      </c>
      <c r="AD2290" s="6">
        <f>IFERROR(__xludf.DUMMYFUNCTION("""COMPUTED_VALUE"""),1370.55)</f>
        <v/>
      </c>
      <c r="AH2290" s="6">
        <f>AI2290&amp;AJ2290</f>
        <v/>
      </c>
      <c r="AI2290" s="6">
        <f>YEAR(AK2290)</f>
        <v/>
      </c>
      <c r="AJ2290" s="6">
        <f>MONTH(AK2290)</f>
        <v/>
      </c>
      <c r="AK2290" s="267">
        <f>IFERROR(__xludf.DUMMYFUNCTION("""COMPUTED_VALUE"""),45383.9986111111)</f>
        <v/>
      </c>
      <c r="AL2290" s="6">
        <f>IFERROR(__xludf.DUMMYFUNCTION("""COMPUTED_VALUE"""),69693.39)</f>
        <v/>
      </c>
      <c r="AP2290" s="6">
        <f>AQ2290&amp;AR2290</f>
        <v/>
      </c>
      <c r="AQ2290" s="6">
        <f>YEAR(AS2290)</f>
        <v/>
      </c>
      <c r="AR2290" s="6">
        <f>MONTH(AS2290)</f>
        <v/>
      </c>
    </row>
    <row r="2291">
      <c r="B2291" s="6">
        <f>C2291&amp;D2291</f>
        <v/>
      </c>
      <c r="C2291" s="6">
        <f>YEAR(E2291)</f>
        <v/>
      </c>
      <c r="D2291" s="6">
        <f>MONTH(E2291)</f>
        <v/>
      </c>
      <c r="J2291" s="6">
        <f>K2291&amp;L2291</f>
        <v/>
      </c>
      <c r="K2291" s="6">
        <f>YEAR(M2291)</f>
        <v/>
      </c>
      <c r="L2291" s="6">
        <f>MONTH(M2291)</f>
        <v/>
      </c>
      <c r="R2291" s="6">
        <f>S2291&amp;T2291</f>
        <v/>
      </c>
      <c r="S2291" s="6">
        <f>YEAR(U2291)</f>
        <v/>
      </c>
      <c r="T2291" s="6">
        <f>MONTH(U2291)</f>
        <v/>
      </c>
      <c r="Z2291" s="6">
        <f>AA2291&amp;AB2291</f>
        <v/>
      </c>
      <c r="AA2291" s="6">
        <f>YEAR(AC2291)</f>
        <v/>
      </c>
      <c r="AB2291" s="6">
        <f>MONTH(AC2291)</f>
        <v/>
      </c>
      <c r="AC2291" s="267">
        <f>IFERROR(__xludf.DUMMYFUNCTION("""COMPUTED_VALUE"""),45442.9986111111)</f>
        <v/>
      </c>
      <c r="AD2291" s="6">
        <f>IFERROR(__xludf.DUMMYFUNCTION("""COMPUTED_VALUE"""),1375.62)</f>
        <v/>
      </c>
      <c r="AH2291" s="6">
        <f>AI2291&amp;AJ2291</f>
        <v/>
      </c>
      <c r="AI2291" s="6">
        <f>YEAR(AK2291)</f>
        <v/>
      </c>
      <c r="AJ2291" s="6">
        <f>MONTH(AK2291)</f>
        <v/>
      </c>
      <c r="AK2291" s="267">
        <f>IFERROR(__xludf.DUMMYFUNCTION("""COMPUTED_VALUE"""),45384.9986111111)</f>
        <v/>
      </c>
      <c r="AL2291" s="6">
        <f>IFERROR(__xludf.DUMMYFUNCTION("""COMPUTED_VALUE"""),65620.65)</f>
        <v/>
      </c>
      <c r="AP2291" s="6">
        <f>AQ2291&amp;AR2291</f>
        <v/>
      </c>
      <c r="AQ2291" s="6">
        <f>YEAR(AS2291)</f>
        <v/>
      </c>
      <c r="AR2291" s="6">
        <f>MONTH(AS2291)</f>
        <v/>
      </c>
    </row>
    <row r="2292">
      <c r="B2292" s="6">
        <f>C2292&amp;D2292</f>
        <v/>
      </c>
      <c r="C2292" s="6">
        <f>YEAR(E2292)</f>
        <v/>
      </c>
      <c r="D2292" s="6">
        <f>MONTH(E2292)</f>
        <v/>
      </c>
      <c r="J2292" s="6">
        <f>K2292&amp;L2292</f>
        <v/>
      </c>
      <c r="K2292" s="6">
        <f>YEAR(M2292)</f>
        <v/>
      </c>
      <c r="L2292" s="6">
        <f>MONTH(M2292)</f>
        <v/>
      </c>
      <c r="R2292" s="6">
        <f>S2292&amp;T2292</f>
        <v/>
      </c>
      <c r="S2292" s="6">
        <f>YEAR(U2292)</f>
        <v/>
      </c>
      <c r="T2292" s="6">
        <f>MONTH(U2292)</f>
        <v/>
      </c>
      <c r="Z2292" s="6">
        <f>AA2292&amp;AB2292</f>
        <v/>
      </c>
      <c r="AA2292" s="6">
        <f>YEAR(AC2292)</f>
        <v/>
      </c>
      <c r="AB2292" s="6">
        <f>MONTH(AC2292)</f>
        <v/>
      </c>
      <c r="AC2292" s="267">
        <f>IFERROR(__xludf.DUMMYFUNCTION("""COMPUTED_VALUE"""),45443.9986111111)</f>
        <v/>
      </c>
      <c r="AD2292" s="6">
        <f>IFERROR(__xludf.DUMMYFUNCTION("""COMPUTED_VALUE"""),1382.09)</f>
        <v/>
      </c>
      <c r="AH2292" s="6">
        <f>AI2292&amp;AJ2292</f>
        <v/>
      </c>
      <c r="AI2292" s="6">
        <f>YEAR(AK2292)</f>
        <v/>
      </c>
      <c r="AJ2292" s="6">
        <f>MONTH(AK2292)</f>
        <v/>
      </c>
      <c r="AK2292" s="267">
        <f>IFERROR(__xludf.DUMMYFUNCTION("""COMPUTED_VALUE"""),45385.9986111111)</f>
        <v/>
      </c>
      <c r="AL2292" s="6">
        <f>IFERROR(__xludf.DUMMYFUNCTION("""COMPUTED_VALUE"""),66053.35)</f>
        <v/>
      </c>
      <c r="AP2292" s="6">
        <f>AQ2292&amp;AR2292</f>
        <v/>
      </c>
      <c r="AQ2292" s="6">
        <f>YEAR(AS2292)</f>
        <v/>
      </c>
      <c r="AR2292" s="6">
        <f>MONTH(AS2292)</f>
        <v/>
      </c>
    </row>
    <row r="2293">
      <c r="B2293" s="6">
        <f>C2293&amp;D2293</f>
        <v/>
      </c>
      <c r="C2293" s="6">
        <f>YEAR(E2293)</f>
        <v/>
      </c>
      <c r="D2293" s="6">
        <f>MONTH(E2293)</f>
        <v/>
      </c>
      <c r="J2293" s="6">
        <f>K2293&amp;L2293</f>
        <v/>
      </c>
      <c r="K2293" s="6">
        <f>YEAR(M2293)</f>
        <v/>
      </c>
      <c r="L2293" s="6">
        <f>MONTH(M2293)</f>
        <v/>
      </c>
      <c r="R2293" s="6">
        <f>S2293&amp;T2293</f>
        <v/>
      </c>
      <c r="S2293" s="6">
        <f>YEAR(U2293)</f>
        <v/>
      </c>
      <c r="T2293" s="6">
        <f>MONTH(U2293)</f>
        <v/>
      </c>
      <c r="Z2293" s="6">
        <f>AA2293&amp;AB2293</f>
        <v/>
      </c>
      <c r="AA2293" s="6">
        <f>YEAR(AC2293)</f>
        <v/>
      </c>
      <c r="AB2293" s="6">
        <f>MONTH(AC2293)</f>
        <v/>
      </c>
      <c r="AC2293" s="267">
        <f>IFERROR(__xludf.DUMMYFUNCTION("""COMPUTED_VALUE"""),45444.9986111111)</f>
        <v/>
      </c>
      <c r="AD2293" s="6">
        <f>IFERROR(__xludf.DUMMYFUNCTION("""COMPUTED_VALUE"""),1382.09)</f>
        <v/>
      </c>
      <c r="AH2293" s="6">
        <f>AI2293&amp;AJ2293</f>
        <v/>
      </c>
      <c r="AI2293" s="6">
        <f>YEAR(AK2293)</f>
        <v/>
      </c>
      <c r="AJ2293" s="6">
        <f>MONTH(AK2293)</f>
        <v/>
      </c>
      <c r="AK2293" s="267">
        <f>IFERROR(__xludf.DUMMYFUNCTION("""COMPUTED_VALUE"""),45386.9986111111)</f>
        <v/>
      </c>
      <c r="AL2293" s="6">
        <f>IFERROR(__xludf.DUMMYFUNCTION("""COMPUTED_VALUE"""),68517.75)</f>
        <v/>
      </c>
      <c r="AP2293" s="6">
        <f>AQ2293&amp;AR2293</f>
        <v/>
      </c>
      <c r="AQ2293" s="6">
        <f>YEAR(AS2293)</f>
        <v/>
      </c>
      <c r="AR2293" s="6">
        <f>MONTH(AS2293)</f>
        <v/>
      </c>
    </row>
    <row r="2294">
      <c r="B2294" s="6">
        <f>C2294&amp;D2294</f>
        <v/>
      </c>
      <c r="C2294" s="6">
        <f>YEAR(E2294)</f>
        <v/>
      </c>
      <c r="D2294" s="6">
        <f>MONTH(E2294)</f>
        <v/>
      </c>
      <c r="J2294" s="6">
        <f>K2294&amp;L2294</f>
        <v/>
      </c>
      <c r="K2294" s="6">
        <f>YEAR(M2294)</f>
        <v/>
      </c>
      <c r="L2294" s="6">
        <f>MONTH(M2294)</f>
        <v/>
      </c>
      <c r="R2294" s="6">
        <f>S2294&amp;T2294</f>
        <v/>
      </c>
      <c r="S2294" s="6">
        <f>YEAR(U2294)</f>
        <v/>
      </c>
      <c r="T2294" s="6">
        <f>MONTH(U2294)</f>
        <v/>
      </c>
      <c r="Z2294" s="6">
        <f>AA2294&amp;AB2294</f>
        <v/>
      </c>
      <c r="AA2294" s="6">
        <f>YEAR(AC2294)</f>
        <v/>
      </c>
      <c r="AB2294" s="6">
        <f>MONTH(AC2294)</f>
        <v/>
      </c>
      <c r="AC2294" s="267">
        <f>IFERROR(__xludf.DUMMYFUNCTION("""COMPUTED_VALUE"""),45445.9986111111)</f>
        <v/>
      </c>
      <c r="AD2294" s="6">
        <f>IFERROR(__xludf.DUMMYFUNCTION("""COMPUTED_VALUE"""),1382.1)</f>
        <v/>
      </c>
      <c r="AH2294" s="6">
        <f>AI2294&amp;AJ2294</f>
        <v/>
      </c>
      <c r="AI2294" s="6">
        <f>YEAR(AK2294)</f>
        <v/>
      </c>
      <c r="AJ2294" s="6">
        <f>MONTH(AK2294)</f>
        <v/>
      </c>
      <c r="AK2294" s="267">
        <f>IFERROR(__xludf.DUMMYFUNCTION("""COMPUTED_VALUE"""),45387.9986111111)</f>
        <v/>
      </c>
      <c r="AL2294" s="6">
        <f>IFERROR(__xludf.DUMMYFUNCTION("""COMPUTED_VALUE"""),67824.42)</f>
        <v/>
      </c>
      <c r="AP2294" s="6">
        <f>AQ2294&amp;AR2294</f>
        <v/>
      </c>
      <c r="AQ2294" s="6">
        <f>YEAR(AS2294)</f>
        <v/>
      </c>
      <c r="AR2294" s="6">
        <f>MONTH(AS2294)</f>
        <v/>
      </c>
    </row>
    <row r="2295">
      <c r="B2295" s="6">
        <f>C2295&amp;D2295</f>
        <v/>
      </c>
      <c r="C2295" s="6">
        <f>YEAR(E2295)</f>
        <v/>
      </c>
      <c r="D2295" s="6">
        <f>MONTH(E2295)</f>
        <v/>
      </c>
      <c r="J2295" s="6">
        <f>K2295&amp;L2295</f>
        <v/>
      </c>
      <c r="K2295" s="6">
        <f>YEAR(M2295)</f>
        <v/>
      </c>
      <c r="L2295" s="6">
        <f>MONTH(M2295)</f>
        <v/>
      </c>
      <c r="R2295" s="6">
        <f>S2295&amp;T2295</f>
        <v/>
      </c>
      <c r="S2295" s="6">
        <f>YEAR(U2295)</f>
        <v/>
      </c>
      <c r="T2295" s="6">
        <f>MONTH(U2295)</f>
        <v/>
      </c>
      <c r="Z2295" s="6">
        <f>AA2295&amp;AB2295</f>
        <v/>
      </c>
      <c r="AA2295" s="6">
        <f>YEAR(AC2295)</f>
        <v/>
      </c>
      <c r="AB2295" s="6">
        <f>MONTH(AC2295)</f>
        <v/>
      </c>
      <c r="AC2295" s="267">
        <f>IFERROR(__xludf.DUMMYFUNCTION("""COMPUTED_VALUE"""),45446.9986111111)</f>
        <v/>
      </c>
      <c r="AD2295" s="6">
        <f>IFERROR(__xludf.DUMMYFUNCTION("""COMPUTED_VALUE"""),1370.79)</f>
        <v/>
      </c>
      <c r="AH2295" s="6">
        <f>AI2295&amp;AJ2295</f>
        <v/>
      </c>
      <c r="AI2295" s="6">
        <f>YEAR(AK2295)</f>
        <v/>
      </c>
      <c r="AJ2295" s="6">
        <f>MONTH(AK2295)</f>
        <v/>
      </c>
      <c r="AK2295" s="267">
        <f>IFERROR(__xludf.DUMMYFUNCTION("""COMPUTED_VALUE"""),45388.9986111111)</f>
        <v/>
      </c>
      <c r="AL2295" s="6">
        <f>IFERROR(__xludf.DUMMYFUNCTION("""COMPUTED_VALUE"""),68870.32)</f>
        <v/>
      </c>
      <c r="AP2295" s="6">
        <f>AQ2295&amp;AR2295</f>
        <v/>
      </c>
      <c r="AQ2295" s="6">
        <f>YEAR(AS2295)</f>
        <v/>
      </c>
      <c r="AR2295" s="6">
        <f>MONTH(AS2295)</f>
        <v/>
      </c>
    </row>
    <row r="2296">
      <c r="B2296" s="6">
        <f>C2296&amp;D2296</f>
        <v/>
      </c>
      <c r="C2296" s="6">
        <f>YEAR(E2296)</f>
        <v/>
      </c>
      <c r="D2296" s="6">
        <f>MONTH(E2296)</f>
        <v/>
      </c>
      <c r="J2296" s="6">
        <f>K2296&amp;L2296</f>
        <v/>
      </c>
      <c r="K2296" s="6">
        <f>YEAR(M2296)</f>
        <v/>
      </c>
      <c r="L2296" s="6">
        <f>MONTH(M2296)</f>
        <v/>
      </c>
      <c r="R2296" s="6">
        <f>S2296&amp;T2296</f>
        <v/>
      </c>
      <c r="S2296" s="6">
        <f>YEAR(U2296)</f>
        <v/>
      </c>
      <c r="T2296" s="6">
        <f>MONTH(U2296)</f>
        <v/>
      </c>
      <c r="Z2296" s="6">
        <f>AA2296&amp;AB2296</f>
        <v/>
      </c>
      <c r="AA2296" s="6">
        <f>YEAR(AC2296)</f>
        <v/>
      </c>
      <c r="AB2296" s="6">
        <f>MONTH(AC2296)</f>
        <v/>
      </c>
      <c r="AC2296" s="267">
        <f>IFERROR(__xludf.DUMMYFUNCTION("""COMPUTED_VALUE"""),45447.9986111111)</f>
        <v/>
      </c>
      <c r="AD2296" s="6">
        <f>IFERROR(__xludf.DUMMYFUNCTION("""COMPUTED_VALUE"""),1373.72)</f>
        <v/>
      </c>
      <c r="AH2296" s="6">
        <f>AI2296&amp;AJ2296</f>
        <v/>
      </c>
      <c r="AI2296" s="6">
        <f>YEAR(AK2296)</f>
        <v/>
      </c>
      <c r="AJ2296" s="6">
        <f>MONTH(AK2296)</f>
        <v/>
      </c>
      <c r="AK2296" s="267">
        <f>IFERROR(__xludf.DUMMYFUNCTION("""COMPUTED_VALUE"""),45389.9986111111)</f>
        <v/>
      </c>
      <c r="AL2296" s="6">
        <f>IFERROR(__xludf.DUMMYFUNCTION("""COMPUTED_VALUE"""),69412.3)</f>
        <v/>
      </c>
      <c r="AP2296" s="6">
        <f>AQ2296&amp;AR2296</f>
        <v/>
      </c>
      <c r="AQ2296" s="6">
        <f>YEAR(AS2296)</f>
        <v/>
      </c>
      <c r="AR2296" s="6">
        <f>MONTH(AS2296)</f>
        <v/>
      </c>
    </row>
    <row r="2297">
      <c r="B2297" s="6">
        <f>C2297&amp;D2297</f>
        <v/>
      </c>
      <c r="C2297" s="6">
        <f>YEAR(E2297)</f>
        <v/>
      </c>
      <c r="D2297" s="6">
        <f>MONTH(E2297)</f>
        <v/>
      </c>
      <c r="J2297" s="6">
        <f>K2297&amp;L2297</f>
        <v/>
      </c>
      <c r="K2297" s="6">
        <f>YEAR(M2297)</f>
        <v/>
      </c>
      <c r="L2297" s="6">
        <f>MONTH(M2297)</f>
        <v/>
      </c>
      <c r="R2297" s="6">
        <f>S2297&amp;T2297</f>
        <v/>
      </c>
      <c r="S2297" s="6">
        <f>YEAR(U2297)</f>
        <v/>
      </c>
      <c r="T2297" s="6">
        <f>MONTH(U2297)</f>
        <v/>
      </c>
      <c r="Z2297" s="6">
        <f>AA2297&amp;AB2297</f>
        <v/>
      </c>
      <c r="AA2297" s="6">
        <f>YEAR(AC2297)</f>
        <v/>
      </c>
      <c r="AB2297" s="6">
        <f>MONTH(AC2297)</f>
        <v/>
      </c>
      <c r="AC2297" s="267">
        <f>IFERROR(__xludf.DUMMYFUNCTION("""COMPUTED_VALUE"""),45448.9986111111)</f>
        <v/>
      </c>
      <c r="AD2297" s="6">
        <f>IFERROR(__xludf.DUMMYFUNCTION("""COMPUTED_VALUE"""),1368.74)</f>
        <v/>
      </c>
      <c r="AH2297" s="6">
        <f>AI2297&amp;AJ2297</f>
        <v/>
      </c>
      <c r="AI2297" s="6">
        <f>YEAR(AK2297)</f>
        <v/>
      </c>
      <c r="AJ2297" s="6">
        <f>MONTH(AK2297)</f>
        <v/>
      </c>
      <c r="AK2297" s="267">
        <f>IFERROR(__xludf.DUMMYFUNCTION("""COMPUTED_VALUE"""),45390.9986111111)</f>
        <v/>
      </c>
      <c r="AL2297" s="6">
        <f>IFERROR(__xludf.DUMMYFUNCTION("""COMPUTED_VALUE"""),71636.84)</f>
        <v/>
      </c>
      <c r="AP2297" s="6">
        <f>AQ2297&amp;AR2297</f>
        <v/>
      </c>
      <c r="AQ2297" s="6">
        <f>YEAR(AS2297)</f>
        <v/>
      </c>
      <c r="AR2297" s="6">
        <f>MONTH(AS2297)</f>
        <v/>
      </c>
    </row>
    <row r="2298">
      <c r="B2298" s="6">
        <f>C2298&amp;D2298</f>
        <v/>
      </c>
      <c r="C2298" s="6">
        <f>YEAR(E2298)</f>
        <v/>
      </c>
      <c r="D2298" s="6">
        <f>MONTH(E2298)</f>
        <v/>
      </c>
      <c r="J2298" s="6">
        <f>K2298&amp;L2298</f>
        <v/>
      </c>
      <c r="K2298" s="6">
        <f>YEAR(M2298)</f>
        <v/>
      </c>
      <c r="L2298" s="6">
        <f>MONTH(M2298)</f>
        <v/>
      </c>
      <c r="R2298" s="6">
        <f>S2298&amp;T2298</f>
        <v/>
      </c>
      <c r="S2298" s="6">
        <f>YEAR(U2298)</f>
        <v/>
      </c>
      <c r="T2298" s="6">
        <f>MONTH(U2298)</f>
        <v/>
      </c>
      <c r="Z2298" s="6">
        <f>AA2298&amp;AB2298</f>
        <v/>
      </c>
      <c r="AA2298" s="6">
        <f>YEAR(AC2298)</f>
        <v/>
      </c>
      <c r="AB2298" s="6">
        <f>MONTH(AC2298)</f>
        <v/>
      </c>
      <c r="AC2298" s="267">
        <f>IFERROR(__xludf.DUMMYFUNCTION("""COMPUTED_VALUE"""),45449.9986111111)</f>
        <v/>
      </c>
      <c r="AD2298" s="6">
        <f>IFERROR(__xludf.DUMMYFUNCTION("""COMPUTED_VALUE"""),1365.25)</f>
        <v/>
      </c>
      <c r="AH2298" s="6">
        <f>AI2298&amp;AJ2298</f>
        <v/>
      </c>
      <c r="AI2298" s="6">
        <f>YEAR(AK2298)</f>
        <v/>
      </c>
      <c r="AJ2298" s="6">
        <f>MONTH(AK2298)</f>
        <v/>
      </c>
      <c r="AK2298" s="267">
        <f>IFERROR(__xludf.DUMMYFUNCTION("""COMPUTED_VALUE"""),45391.9986111111)</f>
        <v/>
      </c>
      <c r="AL2298" s="6">
        <f>IFERROR(__xludf.DUMMYFUNCTION("""COMPUTED_VALUE"""),69156.68)</f>
        <v/>
      </c>
      <c r="AP2298" s="6">
        <f>AQ2298&amp;AR2298</f>
        <v/>
      </c>
      <c r="AQ2298" s="6">
        <f>YEAR(AS2298)</f>
        <v/>
      </c>
      <c r="AR2298" s="6">
        <f>MONTH(AS2298)</f>
        <v/>
      </c>
    </row>
    <row r="2299">
      <c r="B2299" s="6">
        <f>C2299&amp;D2299</f>
        <v/>
      </c>
      <c r="C2299" s="6">
        <f>YEAR(E2299)</f>
        <v/>
      </c>
      <c r="D2299" s="6">
        <f>MONTH(E2299)</f>
        <v/>
      </c>
      <c r="J2299" s="6">
        <f>K2299&amp;L2299</f>
        <v/>
      </c>
      <c r="K2299" s="6">
        <f>YEAR(M2299)</f>
        <v/>
      </c>
      <c r="L2299" s="6">
        <f>MONTH(M2299)</f>
        <v/>
      </c>
      <c r="R2299" s="6">
        <f>S2299&amp;T2299</f>
        <v/>
      </c>
      <c r="S2299" s="6">
        <f>YEAR(U2299)</f>
        <v/>
      </c>
      <c r="T2299" s="6">
        <f>MONTH(U2299)</f>
        <v/>
      </c>
      <c r="Z2299" s="6">
        <f>AA2299&amp;AB2299</f>
        <v/>
      </c>
      <c r="AA2299" s="6">
        <f>YEAR(AC2299)</f>
        <v/>
      </c>
      <c r="AB2299" s="6">
        <f>MONTH(AC2299)</f>
        <v/>
      </c>
      <c r="AC2299" s="267">
        <f>IFERROR(__xludf.DUMMYFUNCTION("""COMPUTED_VALUE"""),45450.9986111111)</f>
        <v/>
      </c>
      <c r="AD2299" s="6">
        <f>IFERROR(__xludf.DUMMYFUNCTION("""COMPUTED_VALUE"""),1379.04)</f>
        <v/>
      </c>
      <c r="AH2299" s="6">
        <f>AI2299&amp;AJ2299</f>
        <v/>
      </c>
      <c r="AI2299" s="6">
        <f>YEAR(AK2299)</f>
        <v/>
      </c>
      <c r="AJ2299" s="6">
        <f>MONTH(AK2299)</f>
        <v/>
      </c>
      <c r="AK2299" s="267">
        <f>IFERROR(__xludf.DUMMYFUNCTION("""COMPUTED_VALUE"""),45392.9986111111)</f>
        <v/>
      </c>
      <c r="AL2299" s="6">
        <f>IFERROR(__xludf.DUMMYFUNCTION("""COMPUTED_VALUE"""),70612.79)</f>
        <v/>
      </c>
      <c r="AP2299" s="6">
        <f>AQ2299&amp;AR2299</f>
        <v/>
      </c>
      <c r="AQ2299" s="6">
        <f>YEAR(AS2299)</f>
        <v/>
      </c>
      <c r="AR2299" s="6">
        <f>MONTH(AS2299)</f>
        <v/>
      </c>
    </row>
    <row r="2300">
      <c r="B2300" s="6">
        <f>C2300&amp;D2300</f>
        <v/>
      </c>
      <c r="C2300" s="6">
        <f>YEAR(E2300)</f>
        <v/>
      </c>
      <c r="D2300" s="6">
        <f>MONTH(E2300)</f>
        <v/>
      </c>
      <c r="J2300" s="6">
        <f>K2300&amp;L2300</f>
        <v/>
      </c>
      <c r="K2300" s="6">
        <f>YEAR(M2300)</f>
        <v/>
      </c>
      <c r="L2300" s="6">
        <f>MONTH(M2300)</f>
        <v/>
      </c>
      <c r="R2300" s="6">
        <f>S2300&amp;T2300</f>
        <v/>
      </c>
      <c r="S2300" s="6">
        <f>YEAR(U2300)</f>
        <v/>
      </c>
      <c r="T2300" s="6">
        <f>MONTH(U2300)</f>
        <v/>
      </c>
      <c r="Z2300" s="6">
        <f>AA2300&amp;AB2300</f>
        <v/>
      </c>
      <c r="AA2300" s="6">
        <f>YEAR(AC2300)</f>
        <v/>
      </c>
      <c r="AB2300" s="6">
        <f>MONTH(AC2300)</f>
        <v/>
      </c>
      <c r="AC2300" s="267">
        <f>IFERROR(__xludf.DUMMYFUNCTION("""COMPUTED_VALUE"""),45451.9986111111)</f>
        <v/>
      </c>
      <c r="AD2300" s="6">
        <f>IFERROR(__xludf.DUMMYFUNCTION("""COMPUTED_VALUE"""),1379.04)</f>
        <v/>
      </c>
      <c r="AH2300" s="6">
        <f>AI2300&amp;AJ2300</f>
        <v/>
      </c>
      <c r="AI2300" s="6">
        <f>YEAR(AK2300)</f>
        <v/>
      </c>
      <c r="AJ2300" s="6">
        <f>MONTH(AK2300)</f>
        <v/>
      </c>
      <c r="AK2300" s="267">
        <f>IFERROR(__xludf.DUMMYFUNCTION("""COMPUTED_VALUE"""),45393.9986111111)</f>
        <v/>
      </c>
      <c r="AL2300" s="6">
        <f>IFERROR(__xludf.DUMMYFUNCTION("""COMPUTED_VALUE"""),70029.4)</f>
        <v/>
      </c>
      <c r="AP2300" s="6">
        <f>AQ2300&amp;AR2300</f>
        <v/>
      </c>
      <c r="AQ2300" s="6">
        <f>YEAR(AS2300)</f>
        <v/>
      </c>
      <c r="AR2300" s="6">
        <f>MONTH(AS2300)</f>
        <v/>
      </c>
    </row>
    <row r="2301">
      <c r="B2301" s="6">
        <f>C2301&amp;D2301</f>
        <v/>
      </c>
      <c r="C2301" s="6">
        <f>YEAR(E2301)</f>
        <v/>
      </c>
      <c r="D2301" s="6">
        <f>MONTH(E2301)</f>
        <v/>
      </c>
      <c r="J2301" s="6">
        <f>K2301&amp;L2301</f>
        <v/>
      </c>
      <c r="K2301" s="6">
        <f>YEAR(M2301)</f>
        <v/>
      </c>
      <c r="L2301" s="6">
        <f>MONTH(M2301)</f>
        <v/>
      </c>
      <c r="R2301" s="6">
        <f>S2301&amp;T2301</f>
        <v/>
      </c>
      <c r="S2301" s="6">
        <f>YEAR(U2301)</f>
        <v/>
      </c>
      <c r="T2301" s="6">
        <f>MONTH(U2301)</f>
        <v/>
      </c>
      <c r="Z2301" s="6">
        <f>AA2301&amp;AB2301</f>
        <v/>
      </c>
      <c r="AA2301" s="6">
        <f>YEAR(AC2301)</f>
        <v/>
      </c>
      <c r="AB2301" s="6">
        <f>MONTH(AC2301)</f>
        <v/>
      </c>
      <c r="AC2301" s="267">
        <f>IFERROR(__xludf.DUMMYFUNCTION("""COMPUTED_VALUE"""),45452.9986111111)</f>
        <v/>
      </c>
      <c r="AD2301" s="6">
        <f>IFERROR(__xludf.DUMMYFUNCTION("""COMPUTED_VALUE"""),1379.05)</f>
        <v/>
      </c>
      <c r="AH2301" s="6">
        <f>AI2301&amp;AJ2301</f>
        <v/>
      </c>
      <c r="AI2301" s="6">
        <f>YEAR(AK2301)</f>
        <v/>
      </c>
      <c r="AJ2301" s="6">
        <f>MONTH(AK2301)</f>
        <v/>
      </c>
      <c r="AK2301" s="267">
        <f>IFERROR(__xludf.DUMMYFUNCTION("""COMPUTED_VALUE"""),45394.9986111111)</f>
        <v/>
      </c>
      <c r="AL2301" s="6">
        <f>IFERROR(__xludf.DUMMYFUNCTION("""COMPUTED_VALUE"""),67094.69)</f>
        <v/>
      </c>
      <c r="AP2301" s="6">
        <f>AQ2301&amp;AR2301</f>
        <v/>
      </c>
      <c r="AQ2301" s="6">
        <f>YEAR(AS2301)</f>
        <v/>
      </c>
      <c r="AR2301" s="6">
        <f>MONTH(AS2301)</f>
        <v/>
      </c>
    </row>
    <row r="2302">
      <c r="B2302" s="6">
        <f>C2302&amp;D2302</f>
        <v/>
      </c>
      <c r="C2302" s="6">
        <f>YEAR(E2302)</f>
        <v/>
      </c>
      <c r="D2302" s="6">
        <f>MONTH(E2302)</f>
        <v/>
      </c>
      <c r="J2302" s="6">
        <f>K2302&amp;L2302</f>
        <v/>
      </c>
      <c r="K2302" s="6">
        <f>YEAR(M2302)</f>
        <v/>
      </c>
      <c r="L2302" s="6">
        <f>MONTH(M2302)</f>
        <v/>
      </c>
      <c r="R2302" s="6">
        <f>S2302&amp;T2302</f>
        <v/>
      </c>
      <c r="S2302" s="6">
        <f>YEAR(U2302)</f>
        <v/>
      </c>
      <c r="T2302" s="6">
        <f>MONTH(U2302)</f>
        <v/>
      </c>
      <c r="Z2302" s="6">
        <f>AA2302&amp;AB2302</f>
        <v/>
      </c>
      <c r="AA2302" s="6">
        <f>YEAR(AC2302)</f>
        <v/>
      </c>
      <c r="AB2302" s="6">
        <f>MONTH(AC2302)</f>
        <v/>
      </c>
      <c r="AC2302" s="267">
        <f>IFERROR(__xludf.DUMMYFUNCTION("""COMPUTED_VALUE"""),45453.9986111111)</f>
        <v/>
      </c>
      <c r="AD2302" s="6">
        <f>IFERROR(__xludf.DUMMYFUNCTION("""COMPUTED_VALUE"""),1373.96)</f>
        <v/>
      </c>
      <c r="AH2302" s="6">
        <f>AI2302&amp;AJ2302</f>
        <v/>
      </c>
      <c r="AI2302" s="6">
        <f>YEAR(AK2302)</f>
        <v/>
      </c>
      <c r="AJ2302" s="6">
        <f>MONTH(AK2302)</f>
        <v/>
      </c>
      <c r="AK2302" s="267">
        <f>IFERROR(__xludf.DUMMYFUNCTION("""COMPUTED_VALUE"""),45395.9986111111)</f>
        <v/>
      </c>
      <c r="AL2302" s="6">
        <f>IFERROR(__xludf.DUMMYFUNCTION("""COMPUTED_VALUE"""),64349.1)</f>
        <v/>
      </c>
      <c r="AP2302" s="6">
        <f>AQ2302&amp;AR2302</f>
        <v/>
      </c>
      <c r="AQ2302" s="6">
        <f>YEAR(AS2302)</f>
        <v/>
      </c>
      <c r="AR2302" s="6">
        <f>MONTH(AS2302)</f>
        <v/>
      </c>
    </row>
    <row r="2303">
      <c r="B2303" s="6">
        <f>C2303&amp;D2303</f>
        <v/>
      </c>
      <c r="C2303" s="6">
        <f>YEAR(E2303)</f>
        <v/>
      </c>
      <c r="D2303" s="6">
        <f>MONTH(E2303)</f>
        <v/>
      </c>
      <c r="J2303" s="6">
        <f>K2303&amp;L2303</f>
        <v/>
      </c>
      <c r="K2303" s="6">
        <f>YEAR(M2303)</f>
        <v/>
      </c>
      <c r="L2303" s="6">
        <f>MONTH(M2303)</f>
        <v/>
      </c>
      <c r="R2303" s="6">
        <f>S2303&amp;T2303</f>
        <v/>
      </c>
      <c r="S2303" s="6">
        <f>YEAR(U2303)</f>
        <v/>
      </c>
      <c r="T2303" s="6">
        <f>MONTH(U2303)</f>
        <v/>
      </c>
      <c r="Z2303" s="6">
        <f>AA2303&amp;AB2303</f>
        <v/>
      </c>
      <c r="AA2303" s="6">
        <f>YEAR(AC2303)</f>
        <v/>
      </c>
      <c r="AB2303" s="6">
        <f>MONTH(AC2303)</f>
        <v/>
      </c>
      <c r="AC2303" s="267">
        <f>IFERROR(__xludf.DUMMYFUNCTION("""COMPUTED_VALUE"""),45454.9986111111)</f>
        <v/>
      </c>
      <c r="AD2303" s="6">
        <f>IFERROR(__xludf.DUMMYFUNCTION("""COMPUTED_VALUE"""),1377.36)</f>
        <v/>
      </c>
      <c r="AH2303" s="6">
        <f>AI2303&amp;AJ2303</f>
        <v/>
      </c>
      <c r="AI2303" s="6">
        <f>YEAR(AK2303)</f>
        <v/>
      </c>
      <c r="AJ2303" s="6">
        <f>MONTH(AK2303)</f>
        <v/>
      </c>
      <c r="AK2303" s="267">
        <f>IFERROR(__xludf.DUMMYFUNCTION("""COMPUTED_VALUE"""),45396.9986111111)</f>
        <v/>
      </c>
      <c r="AL2303" s="6">
        <f>IFERROR(__xludf.DUMMYFUNCTION("""COMPUTED_VALUE"""),65779.36)</f>
        <v/>
      </c>
      <c r="AP2303" s="6">
        <f>AQ2303&amp;AR2303</f>
        <v/>
      </c>
      <c r="AQ2303" s="6">
        <f>YEAR(AS2303)</f>
        <v/>
      </c>
      <c r="AR2303" s="6">
        <f>MONTH(AS2303)</f>
        <v/>
      </c>
    </row>
    <row r="2304">
      <c r="B2304" s="6">
        <f>C2304&amp;D2304</f>
        <v/>
      </c>
      <c r="C2304" s="6">
        <f>YEAR(E2304)</f>
        <v/>
      </c>
      <c r="D2304" s="6">
        <f>MONTH(E2304)</f>
        <v/>
      </c>
      <c r="J2304" s="6">
        <f>K2304&amp;L2304</f>
        <v/>
      </c>
      <c r="K2304" s="6">
        <f>YEAR(M2304)</f>
        <v/>
      </c>
      <c r="L2304" s="6">
        <f>MONTH(M2304)</f>
        <v/>
      </c>
      <c r="R2304" s="6">
        <f>S2304&amp;T2304</f>
        <v/>
      </c>
      <c r="S2304" s="6">
        <f>YEAR(U2304)</f>
        <v/>
      </c>
      <c r="T2304" s="6">
        <f>MONTH(U2304)</f>
        <v/>
      </c>
      <c r="Z2304" s="6">
        <f>AA2304&amp;AB2304</f>
        <v/>
      </c>
      <c r="AA2304" s="6">
        <f>YEAR(AC2304)</f>
        <v/>
      </c>
      <c r="AB2304" s="6">
        <f>MONTH(AC2304)</f>
        <v/>
      </c>
      <c r="AC2304" s="267">
        <f>IFERROR(__xludf.DUMMYFUNCTION("""COMPUTED_VALUE"""),45455.9986111111)</f>
        <v/>
      </c>
      <c r="AD2304" s="6">
        <f>IFERROR(__xludf.DUMMYFUNCTION("""COMPUTED_VALUE"""),1370.41)</f>
        <v/>
      </c>
      <c r="AH2304" s="6">
        <f>AI2304&amp;AJ2304</f>
        <v/>
      </c>
      <c r="AI2304" s="6">
        <f>YEAR(AK2304)</f>
        <v/>
      </c>
      <c r="AJ2304" s="6">
        <f>MONTH(AK2304)</f>
        <v/>
      </c>
      <c r="AK2304" s="267">
        <f>IFERROR(__xludf.DUMMYFUNCTION("""COMPUTED_VALUE"""),45397.9986111111)</f>
        <v/>
      </c>
      <c r="AL2304" s="6">
        <f>IFERROR(__xludf.DUMMYFUNCTION("""COMPUTED_VALUE"""),63431.23)</f>
        <v/>
      </c>
      <c r="AP2304" s="6">
        <f>AQ2304&amp;AR2304</f>
        <v/>
      </c>
      <c r="AQ2304" s="6">
        <f>YEAR(AS2304)</f>
        <v/>
      </c>
      <c r="AR2304" s="6">
        <f>MONTH(AS2304)</f>
        <v/>
      </c>
    </row>
    <row r="2305">
      <c r="B2305" s="6">
        <f>C2305&amp;D2305</f>
        <v/>
      </c>
      <c r="C2305" s="6">
        <f>YEAR(E2305)</f>
        <v/>
      </c>
      <c r="D2305" s="6">
        <f>MONTH(E2305)</f>
        <v/>
      </c>
      <c r="J2305" s="6">
        <f>K2305&amp;L2305</f>
        <v/>
      </c>
      <c r="K2305" s="6">
        <f>YEAR(M2305)</f>
        <v/>
      </c>
      <c r="L2305" s="6">
        <f>MONTH(M2305)</f>
        <v/>
      </c>
      <c r="R2305" s="6">
        <f>S2305&amp;T2305</f>
        <v/>
      </c>
      <c r="S2305" s="6">
        <f>YEAR(U2305)</f>
        <v/>
      </c>
      <c r="T2305" s="6">
        <f>MONTH(U2305)</f>
        <v/>
      </c>
      <c r="Z2305" s="6">
        <f>AA2305&amp;AB2305</f>
        <v/>
      </c>
      <c r="AA2305" s="6">
        <f>YEAR(AC2305)</f>
        <v/>
      </c>
      <c r="AB2305" s="6">
        <f>MONTH(AC2305)</f>
        <v/>
      </c>
      <c r="AC2305" s="267">
        <f>IFERROR(__xludf.DUMMYFUNCTION("""COMPUTED_VALUE"""),45456.9986111111)</f>
        <v/>
      </c>
      <c r="AD2305" s="6">
        <f>IFERROR(__xludf.DUMMYFUNCTION("""COMPUTED_VALUE"""),1373.74)</f>
        <v/>
      </c>
      <c r="AH2305" s="6">
        <f>AI2305&amp;AJ2305</f>
        <v/>
      </c>
      <c r="AI2305" s="6">
        <f>YEAR(AK2305)</f>
        <v/>
      </c>
      <c r="AJ2305" s="6">
        <f>MONTH(AK2305)</f>
        <v/>
      </c>
      <c r="AK2305" s="267">
        <f>IFERROR(__xludf.DUMMYFUNCTION("""COMPUTED_VALUE"""),45398.9986111111)</f>
        <v/>
      </c>
      <c r="AL2305" s="6">
        <f>IFERROR(__xludf.DUMMYFUNCTION("""COMPUTED_VALUE"""),63780.76)</f>
        <v/>
      </c>
      <c r="AP2305" s="6">
        <f>AQ2305&amp;AR2305</f>
        <v/>
      </c>
      <c r="AQ2305" s="6">
        <f>YEAR(AS2305)</f>
        <v/>
      </c>
      <c r="AR2305" s="6">
        <f>MONTH(AS2305)</f>
        <v/>
      </c>
    </row>
    <row r="2306">
      <c r="B2306" s="6">
        <f>C2306&amp;D2306</f>
        <v/>
      </c>
      <c r="C2306" s="6">
        <f>YEAR(E2306)</f>
        <v/>
      </c>
      <c r="D2306" s="6">
        <f>MONTH(E2306)</f>
        <v/>
      </c>
      <c r="J2306" s="6">
        <f>K2306&amp;L2306</f>
        <v/>
      </c>
      <c r="K2306" s="6">
        <f>YEAR(M2306)</f>
        <v/>
      </c>
      <c r="L2306" s="6">
        <f>MONTH(M2306)</f>
        <v/>
      </c>
      <c r="R2306" s="6">
        <f>S2306&amp;T2306</f>
        <v/>
      </c>
      <c r="S2306" s="6">
        <f>YEAR(U2306)</f>
        <v/>
      </c>
      <c r="T2306" s="6">
        <f>MONTH(U2306)</f>
        <v/>
      </c>
      <c r="Z2306" s="6">
        <f>AA2306&amp;AB2306</f>
        <v/>
      </c>
      <c r="AA2306" s="6">
        <f>YEAR(AC2306)</f>
        <v/>
      </c>
      <c r="AB2306" s="6">
        <f>MONTH(AC2306)</f>
        <v/>
      </c>
      <c r="AC2306" s="267">
        <f>IFERROR(__xludf.DUMMYFUNCTION("""COMPUTED_VALUE"""),45457.9986111111)</f>
        <v/>
      </c>
      <c r="AD2306" s="6">
        <f>IFERROR(__xludf.DUMMYFUNCTION("""COMPUTED_VALUE"""),1382.27)</f>
        <v/>
      </c>
      <c r="AH2306" s="6">
        <f>AI2306&amp;AJ2306</f>
        <v/>
      </c>
      <c r="AI2306" s="6">
        <f>YEAR(AK2306)</f>
        <v/>
      </c>
      <c r="AJ2306" s="6">
        <f>MONTH(AK2306)</f>
        <v/>
      </c>
      <c r="AK2306" s="267">
        <f>IFERROR(__xludf.DUMMYFUNCTION("""COMPUTED_VALUE"""),45399.9986111111)</f>
        <v/>
      </c>
      <c r="AL2306" s="6">
        <f>IFERROR(__xludf.DUMMYFUNCTION("""COMPUTED_VALUE"""),61321.64)</f>
        <v/>
      </c>
      <c r="AP2306" s="6">
        <f>AQ2306&amp;AR2306</f>
        <v/>
      </c>
      <c r="AQ2306" s="6">
        <f>YEAR(AS2306)</f>
        <v/>
      </c>
      <c r="AR2306" s="6">
        <f>MONTH(AS2306)</f>
        <v/>
      </c>
    </row>
    <row r="2307">
      <c r="B2307" s="6">
        <f>C2307&amp;D2307</f>
        <v/>
      </c>
      <c r="C2307" s="6">
        <f>YEAR(E2307)</f>
        <v/>
      </c>
      <c r="D2307" s="6">
        <f>MONTH(E2307)</f>
        <v/>
      </c>
      <c r="J2307" s="6">
        <f>K2307&amp;L2307</f>
        <v/>
      </c>
      <c r="K2307" s="6">
        <f>YEAR(M2307)</f>
        <v/>
      </c>
      <c r="L2307" s="6">
        <f>MONTH(M2307)</f>
        <v/>
      </c>
      <c r="R2307" s="6">
        <f>S2307&amp;T2307</f>
        <v/>
      </c>
      <c r="S2307" s="6">
        <f>YEAR(U2307)</f>
        <v/>
      </c>
      <c r="T2307" s="6">
        <f>MONTH(U2307)</f>
        <v/>
      </c>
      <c r="Z2307" s="6">
        <f>AA2307&amp;AB2307</f>
        <v/>
      </c>
      <c r="AA2307" s="6">
        <f>YEAR(AC2307)</f>
        <v/>
      </c>
      <c r="AB2307" s="6">
        <f>MONTH(AC2307)</f>
        <v/>
      </c>
      <c r="AC2307" s="267">
        <f>IFERROR(__xludf.DUMMYFUNCTION("""COMPUTED_VALUE"""),45458.9986111111)</f>
        <v/>
      </c>
      <c r="AD2307" s="6">
        <f>IFERROR(__xludf.DUMMYFUNCTION("""COMPUTED_VALUE"""),1382.27)</f>
        <v/>
      </c>
      <c r="AH2307" s="6">
        <f>AI2307&amp;AJ2307</f>
        <v/>
      </c>
      <c r="AI2307" s="6">
        <f>YEAR(AK2307)</f>
        <v/>
      </c>
      <c r="AJ2307" s="6">
        <f>MONTH(AK2307)</f>
        <v/>
      </c>
      <c r="AK2307" s="267">
        <f>IFERROR(__xludf.DUMMYFUNCTION("""COMPUTED_VALUE"""),45400.9986111111)</f>
        <v/>
      </c>
      <c r="AL2307" s="6">
        <f>IFERROR(__xludf.DUMMYFUNCTION("""COMPUTED_VALUE"""),63509.67)</f>
        <v/>
      </c>
      <c r="AP2307" s="6">
        <f>AQ2307&amp;AR2307</f>
        <v/>
      </c>
      <c r="AQ2307" s="6">
        <f>YEAR(AS2307)</f>
        <v/>
      </c>
      <c r="AR2307" s="6">
        <f>MONTH(AS2307)</f>
        <v/>
      </c>
    </row>
    <row r="2308">
      <c r="B2308" s="6">
        <f>C2308&amp;D2308</f>
        <v/>
      </c>
      <c r="C2308" s="6">
        <f>YEAR(E2308)</f>
        <v/>
      </c>
      <c r="D2308" s="6">
        <f>MONTH(E2308)</f>
        <v/>
      </c>
      <c r="J2308" s="6">
        <f>K2308&amp;L2308</f>
        <v/>
      </c>
      <c r="K2308" s="6">
        <f>YEAR(M2308)</f>
        <v/>
      </c>
      <c r="L2308" s="6">
        <f>MONTH(M2308)</f>
        <v/>
      </c>
      <c r="R2308" s="6">
        <f>S2308&amp;T2308</f>
        <v/>
      </c>
      <c r="S2308" s="6">
        <f>YEAR(U2308)</f>
        <v/>
      </c>
      <c r="T2308" s="6">
        <f>MONTH(U2308)</f>
        <v/>
      </c>
      <c r="Z2308" s="6">
        <f>AA2308&amp;AB2308</f>
        <v/>
      </c>
      <c r="AA2308" s="6">
        <f>YEAR(AC2308)</f>
        <v/>
      </c>
      <c r="AB2308" s="6">
        <f>MONTH(AC2308)</f>
        <v/>
      </c>
      <c r="AC2308" s="267">
        <f>IFERROR(__xludf.DUMMYFUNCTION("""COMPUTED_VALUE"""),45459.9986111111)</f>
        <v/>
      </c>
      <c r="AD2308" s="6">
        <f>IFERROR(__xludf.DUMMYFUNCTION("""COMPUTED_VALUE"""),1382.28)</f>
        <v/>
      </c>
      <c r="AH2308" s="6">
        <f>AI2308&amp;AJ2308</f>
        <v/>
      </c>
      <c r="AI2308" s="6">
        <f>YEAR(AK2308)</f>
        <v/>
      </c>
      <c r="AJ2308" s="6">
        <f>MONTH(AK2308)</f>
        <v/>
      </c>
      <c r="AK2308" s="267">
        <f>IFERROR(__xludf.DUMMYFUNCTION("""COMPUTED_VALUE"""),45401.9986111111)</f>
        <v/>
      </c>
      <c r="AL2308" s="6">
        <f>IFERROR(__xludf.DUMMYFUNCTION("""COMPUTED_VALUE"""),63803.57)</f>
        <v/>
      </c>
      <c r="AP2308" s="6">
        <f>AQ2308&amp;AR2308</f>
        <v/>
      </c>
      <c r="AQ2308" s="6">
        <f>YEAR(AS2308)</f>
        <v/>
      </c>
      <c r="AR2308" s="6">
        <f>MONTH(AS2308)</f>
        <v/>
      </c>
    </row>
    <row r="2309">
      <c r="B2309" s="6">
        <f>C2309&amp;D2309</f>
        <v/>
      </c>
      <c r="C2309" s="6">
        <f>YEAR(E2309)</f>
        <v/>
      </c>
      <c r="D2309" s="6">
        <f>MONTH(E2309)</f>
        <v/>
      </c>
      <c r="J2309" s="6">
        <f>K2309&amp;L2309</f>
        <v/>
      </c>
      <c r="K2309" s="6">
        <f>YEAR(M2309)</f>
        <v/>
      </c>
      <c r="L2309" s="6">
        <f>MONTH(M2309)</f>
        <v/>
      </c>
      <c r="R2309" s="6">
        <f>S2309&amp;T2309</f>
        <v/>
      </c>
      <c r="S2309" s="6">
        <f>YEAR(U2309)</f>
        <v/>
      </c>
      <c r="T2309" s="6">
        <f>MONTH(U2309)</f>
        <v/>
      </c>
      <c r="Z2309" s="6">
        <f>AA2309&amp;AB2309</f>
        <v/>
      </c>
      <c r="AA2309" s="6">
        <f>YEAR(AC2309)</f>
        <v/>
      </c>
      <c r="AB2309" s="6">
        <f>MONTH(AC2309)</f>
        <v/>
      </c>
      <c r="AC2309" s="267">
        <f>IFERROR(__xludf.DUMMYFUNCTION("""COMPUTED_VALUE"""),45460.9986111111)</f>
        <v/>
      </c>
      <c r="AD2309" s="6">
        <f>IFERROR(__xludf.DUMMYFUNCTION("""COMPUTED_VALUE"""),1379.06)</f>
        <v/>
      </c>
      <c r="AH2309" s="6">
        <f>AI2309&amp;AJ2309</f>
        <v/>
      </c>
      <c r="AI2309" s="6">
        <f>YEAR(AK2309)</f>
        <v/>
      </c>
      <c r="AJ2309" s="6">
        <f>MONTH(AK2309)</f>
        <v/>
      </c>
      <c r="AK2309" s="267">
        <f>IFERROR(__xludf.DUMMYFUNCTION("""COMPUTED_VALUE"""),45402.9986111111)</f>
        <v/>
      </c>
      <c r="AL2309" s="6">
        <f>IFERROR(__xludf.DUMMYFUNCTION("""COMPUTED_VALUE"""),64958.39)</f>
        <v/>
      </c>
      <c r="AP2309" s="6">
        <f>AQ2309&amp;AR2309</f>
        <v/>
      </c>
      <c r="AQ2309" s="6">
        <f>YEAR(AS2309)</f>
        <v/>
      </c>
      <c r="AR2309" s="6">
        <f>MONTH(AS2309)</f>
        <v/>
      </c>
    </row>
    <row r="2310">
      <c r="B2310" s="6">
        <f>C2310&amp;D2310</f>
        <v/>
      </c>
      <c r="C2310" s="6">
        <f>YEAR(E2310)</f>
        <v/>
      </c>
      <c r="D2310" s="6">
        <f>MONTH(E2310)</f>
        <v/>
      </c>
      <c r="J2310" s="6">
        <f>K2310&amp;L2310</f>
        <v/>
      </c>
      <c r="K2310" s="6">
        <f>YEAR(M2310)</f>
        <v/>
      </c>
      <c r="L2310" s="6">
        <f>MONTH(M2310)</f>
        <v/>
      </c>
      <c r="R2310" s="6">
        <f>S2310&amp;T2310</f>
        <v/>
      </c>
      <c r="S2310" s="6">
        <f>YEAR(U2310)</f>
        <v/>
      </c>
      <c r="T2310" s="6">
        <f>MONTH(U2310)</f>
        <v/>
      </c>
      <c r="Z2310" s="6">
        <f>AA2310&amp;AB2310</f>
        <v/>
      </c>
      <c r="AA2310" s="6">
        <f>YEAR(AC2310)</f>
        <v/>
      </c>
      <c r="AB2310" s="6">
        <f>MONTH(AC2310)</f>
        <v/>
      </c>
      <c r="AC2310" s="267">
        <f>IFERROR(__xludf.DUMMYFUNCTION("""COMPUTED_VALUE"""),45461.9986111111)</f>
        <v/>
      </c>
      <c r="AD2310" s="6">
        <f>IFERROR(__xludf.DUMMYFUNCTION("""COMPUTED_VALUE"""),1378.61)</f>
        <v/>
      </c>
      <c r="AH2310" s="6">
        <f>AI2310&amp;AJ2310</f>
        <v/>
      </c>
      <c r="AI2310" s="6">
        <f>YEAR(AK2310)</f>
        <v/>
      </c>
      <c r="AJ2310" s="6">
        <f>MONTH(AK2310)</f>
        <v/>
      </c>
      <c r="AK2310" s="267">
        <f>IFERROR(__xludf.DUMMYFUNCTION("""COMPUTED_VALUE"""),45403.9986111111)</f>
        <v/>
      </c>
      <c r="AL2310" s="6">
        <f>IFERROR(__xludf.DUMMYFUNCTION("""COMPUTED_VALUE"""),64946.52)</f>
        <v/>
      </c>
      <c r="AP2310" s="6">
        <f>AQ2310&amp;AR2310</f>
        <v/>
      </c>
      <c r="AQ2310" s="6">
        <f>YEAR(AS2310)</f>
        <v/>
      </c>
      <c r="AR2310" s="6">
        <f>MONTH(AS2310)</f>
        <v/>
      </c>
    </row>
    <row r="2311">
      <c r="B2311" s="6">
        <f>C2311&amp;D2311</f>
        <v/>
      </c>
      <c r="C2311" s="6">
        <f>YEAR(E2311)</f>
        <v/>
      </c>
      <c r="D2311" s="6">
        <f>MONTH(E2311)</f>
        <v/>
      </c>
      <c r="J2311" s="6">
        <f>K2311&amp;L2311</f>
        <v/>
      </c>
      <c r="K2311" s="6">
        <f>YEAR(M2311)</f>
        <v/>
      </c>
      <c r="L2311" s="6">
        <f>MONTH(M2311)</f>
        <v/>
      </c>
      <c r="R2311" s="6">
        <f>S2311&amp;T2311</f>
        <v/>
      </c>
      <c r="S2311" s="6">
        <f>YEAR(U2311)</f>
        <v/>
      </c>
      <c r="T2311" s="6">
        <f>MONTH(U2311)</f>
        <v/>
      </c>
      <c r="Z2311" s="6">
        <f>AA2311&amp;AB2311</f>
        <v/>
      </c>
      <c r="AA2311" s="6">
        <f>YEAR(AC2311)</f>
        <v/>
      </c>
      <c r="AB2311" s="6">
        <f>MONTH(AC2311)</f>
        <v/>
      </c>
      <c r="AC2311" s="267">
        <f>IFERROR(__xludf.DUMMYFUNCTION("""COMPUTED_VALUE"""),45462.9986111111)</f>
        <v/>
      </c>
      <c r="AD2311" s="6">
        <f>IFERROR(__xludf.DUMMYFUNCTION("""COMPUTED_VALUE"""),1381.15)</f>
        <v/>
      </c>
      <c r="AH2311" s="6">
        <f>AI2311&amp;AJ2311</f>
        <v/>
      </c>
      <c r="AI2311" s="6">
        <f>YEAR(AK2311)</f>
        <v/>
      </c>
      <c r="AJ2311" s="6">
        <f>MONTH(AK2311)</f>
        <v/>
      </c>
      <c r="AK2311" s="267">
        <f>IFERROR(__xludf.DUMMYFUNCTION("""COMPUTED_VALUE"""),45404.9986111111)</f>
        <v/>
      </c>
      <c r="AL2311" s="6">
        <f>IFERROR(__xludf.DUMMYFUNCTION("""COMPUTED_VALUE"""),66840.57)</f>
        <v/>
      </c>
      <c r="AP2311" s="6">
        <f>AQ2311&amp;AR2311</f>
        <v/>
      </c>
      <c r="AQ2311" s="6">
        <f>YEAR(AS2311)</f>
        <v/>
      </c>
      <c r="AR2311" s="6">
        <f>MONTH(AS2311)</f>
        <v/>
      </c>
    </row>
    <row r="2312">
      <c r="B2312" s="6">
        <f>C2312&amp;D2312</f>
        <v/>
      </c>
      <c r="C2312" s="6">
        <f>YEAR(E2312)</f>
        <v/>
      </c>
      <c r="D2312" s="6">
        <f>MONTH(E2312)</f>
        <v/>
      </c>
      <c r="J2312" s="6">
        <f>K2312&amp;L2312</f>
        <v/>
      </c>
      <c r="K2312" s="6">
        <f>YEAR(M2312)</f>
        <v/>
      </c>
      <c r="L2312" s="6">
        <f>MONTH(M2312)</f>
        <v/>
      </c>
      <c r="R2312" s="6">
        <f>S2312&amp;T2312</f>
        <v/>
      </c>
      <c r="S2312" s="6">
        <f>YEAR(U2312)</f>
        <v/>
      </c>
      <c r="T2312" s="6">
        <f>MONTH(U2312)</f>
        <v/>
      </c>
      <c r="Z2312" s="6">
        <f>AA2312&amp;AB2312</f>
        <v/>
      </c>
      <c r="AA2312" s="6">
        <f>YEAR(AC2312)</f>
        <v/>
      </c>
      <c r="AB2312" s="6">
        <f>MONTH(AC2312)</f>
        <v/>
      </c>
      <c r="AC2312" s="267">
        <f>IFERROR(__xludf.DUMMYFUNCTION("""COMPUTED_VALUE"""),45463.9986111111)</f>
        <v/>
      </c>
      <c r="AD2312" s="6">
        <f>IFERROR(__xludf.DUMMYFUNCTION("""COMPUTED_VALUE"""),1391.82)</f>
        <v/>
      </c>
      <c r="AH2312" s="6">
        <f>AI2312&amp;AJ2312</f>
        <v/>
      </c>
      <c r="AI2312" s="6">
        <f>YEAR(AK2312)</f>
        <v/>
      </c>
      <c r="AJ2312" s="6">
        <f>MONTH(AK2312)</f>
        <v/>
      </c>
      <c r="AK2312" s="267">
        <f>IFERROR(__xludf.DUMMYFUNCTION("""COMPUTED_VALUE"""),45405.9986111111)</f>
        <v/>
      </c>
      <c r="AL2312" s="6">
        <f>IFERROR(__xludf.DUMMYFUNCTION("""COMPUTED_VALUE"""),66402.03)</f>
        <v/>
      </c>
      <c r="AP2312" s="6">
        <f>AQ2312&amp;AR2312</f>
        <v/>
      </c>
      <c r="AQ2312" s="6">
        <f>YEAR(AS2312)</f>
        <v/>
      </c>
      <c r="AR2312" s="6">
        <f>MONTH(AS2312)</f>
        <v/>
      </c>
    </row>
    <row r="2313">
      <c r="B2313" s="6">
        <f>C2313&amp;D2313</f>
        <v/>
      </c>
      <c r="C2313" s="6">
        <f>YEAR(E2313)</f>
        <v/>
      </c>
      <c r="D2313" s="6">
        <f>MONTH(E2313)</f>
        <v/>
      </c>
      <c r="J2313" s="6">
        <f>K2313&amp;L2313</f>
        <v/>
      </c>
      <c r="K2313" s="6">
        <f>YEAR(M2313)</f>
        <v/>
      </c>
      <c r="L2313" s="6">
        <f>MONTH(M2313)</f>
        <v/>
      </c>
      <c r="R2313" s="6">
        <f>S2313&amp;T2313</f>
        <v/>
      </c>
      <c r="S2313" s="6">
        <f>YEAR(U2313)</f>
        <v/>
      </c>
      <c r="T2313" s="6">
        <f>MONTH(U2313)</f>
        <v/>
      </c>
      <c r="Z2313" s="6">
        <f>AA2313&amp;AB2313</f>
        <v/>
      </c>
      <c r="AA2313" s="6">
        <f>YEAR(AC2313)</f>
        <v/>
      </c>
      <c r="AB2313" s="6">
        <f>MONTH(AC2313)</f>
        <v/>
      </c>
      <c r="AC2313" s="267">
        <f>IFERROR(__xludf.DUMMYFUNCTION("""COMPUTED_VALUE"""),45464.9986111111)</f>
        <v/>
      </c>
      <c r="AD2313" s="6">
        <f>IFERROR(__xludf.DUMMYFUNCTION("""COMPUTED_VALUE"""),1388.39)</f>
        <v/>
      </c>
      <c r="AH2313" s="6">
        <f>AI2313&amp;AJ2313</f>
        <v/>
      </c>
      <c r="AI2313" s="6">
        <f>YEAR(AK2313)</f>
        <v/>
      </c>
      <c r="AJ2313" s="6">
        <f>MONTH(AK2313)</f>
        <v/>
      </c>
      <c r="AK2313" s="267">
        <f>IFERROR(__xludf.DUMMYFUNCTION("""COMPUTED_VALUE"""),45406.9986111111)</f>
        <v/>
      </c>
      <c r="AL2313" s="6">
        <f>IFERROR(__xludf.DUMMYFUNCTION("""COMPUTED_VALUE"""),64270.73)</f>
        <v/>
      </c>
      <c r="AP2313" s="6">
        <f>AQ2313&amp;AR2313</f>
        <v/>
      </c>
      <c r="AQ2313" s="6">
        <f>YEAR(AS2313)</f>
        <v/>
      </c>
      <c r="AR2313" s="6">
        <f>MONTH(AS2313)</f>
        <v/>
      </c>
    </row>
    <row r="2314">
      <c r="B2314" s="6">
        <f>C2314&amp;D2314</f>
        <v/>
      </c>
      <c r="C2314" s="6">
        <f>YEAR(E2314)</f>
        <v/>
      </c>
      <c r="D2314" s="6">
        <f>MONTH(E2314)</f>
        <v/>
      </c>
      <c r="J2314" s="6">
        <f>K2314&amp;L2314</f>
        <v/>
      </c>
      <c r="K2314" s="6">
        <f>YEAR(M2314)</f>
        <v/>
      </c>
      <c r="L2314" s="6">
        <f>MONTH(M2314)</f>
        <v/>
      </c>
      <c r="R2314" s="6">
        <f>S2314&amp;T2314</f>
        <v/>
      </c>
      <c r="S2314" s="6">
        <f>YEAR(U2314)</f>
        <v/>
      </c>
      <c r="T2314" s="6">
        <f>MONTH(U2314)</f>
        <v/>
      </c>
      <c r="Z2314" s="6">
        <f>AA2314&amp;AB2314</f>
        <v/>
      </c>
      <c r="AA2314" s="6">
        <f>YEAR(AC2314)</f>
        <v/>
      </c>
      <c r="AB2314" s="6">
        <f>MONTH(AC2314)</f>
        <v/>
      </c>
      <c r="AC2314" s="267">
        <f>IFERROR(__xludf.DUMMYFUNCTION("""COMPUTED_VALUE"""),45465.9986111111)</f>
        <v/>
      </c>
      <c r="AD2314" s="6">
        <f>IFERROR(__xludf.DUMMYFUNCTION("""COMPUTED_VALUE"""),1388.39)</f>
        <v/>
      </c>
      <c r="AH2314" s="6">
        <f>AI2314&amp;AJ2314</f>
        <v/>
      </c>
      <c r="AI2314" s="6">
        <f>YEAR(AK2314)</f>
        <v/>
      </c>
      <c r="AJ2314" s="6">
        <f>MONTH(AK2314)</f>
        <v/>
      </c>
      <c r="AK2314" s="267">
        <f>IFERROR(__xludf.DUMMYFUNCTION("""COMPUTED_VALUE"""),45407.9986111111)</f>
        <v/>
      </c>
      <c r="AL2314" s="6">
        <f>IFERROR(__xludf.DUMMYFUNCTION("""COMPUTED_VALUE"""),64506.1)</f>
        <v/>
      </c>
      <c r="AP2314" s="6">
        <f>AQ2314&amp;AR2314</f>
        <v/>
      </c>
      <c r="AQ2314" s="6">
        <f>YEAR(AS2314)</f>
        <v/>
      </c>
      <c r="AR2314" s="6">
        <f>MONTH(AS2314)</f>
        <v/>
      </c>
    </row>
    <row r="2315">
      <c r="B2315" s="6">
        <f>C2315&amp;D2315</f>
        <v/>
      </c>
      <c r="C2315" s="6">
        <f>YEAR(E2315)</f>
        <v/>
      </c>
      <c r="D2315" s="6">
        <f>MONTH(E2315)</f>
        <v/>
      </c>
      <c r="J2315" s="6">
        <f>K2315&amp;L2315</f>
        <v/>
      </c>
      <c r="K2315" s="6">
        <f>YEAR(M2315)</f>
        <v/>
      </c>
      <c r="L2315" s="6">
        <f>MONTH(M2315)</f>
        <v/>
      </c>
      <c r="R2315" s="6">
        <f>S2315&amp;T2315</f>
        <v/>
      </c>
      <c r="S2315" s="6">
        <f>YEAR(U2315)</f>
        <v/>
      </c>
      <c r="T2315" s="6">
        <f>MONTH(U2315)</f>
        <v/>
      </c>
      <c r="Z2315" s="6">
        <f>AA2315&amp;AB2315</f>
        <v/>
      </c>
      <c r="AA2315" s="6">
        <f>YEAR(AC2315)</f>
        <v/>
      </c>
      <c r="AB2315" s="6">
        <f>MONTH(AC2315)</f>
        <v/>
      </c>
      <c r="AC2315" s="267">
        <f>IFERROR(__xludf.DUMMYFUNCTION("""COMPUTED_VALUE"""),45466.9986111111)</f>
        <v/>
      </c>
      <c r="AD2315" s="6">
        <f>IFERROR(__xludf.DUMMYFUNCTION("""COMPUTED_VALUE"""),1388.39)</f>
        <v/>
      </c>
      <c r="AH2315" s="6">
        <f>AI2315&amp;AJ2315</f>
        <v/>
      </c>
      <c r="AI2315" s="6">
        <f>YEAR(AK2315)</f>
        <v/>
      </c>
      <c r="AJ2315" s="6">
        <f>MONTH(AK2315)</f>
        <v/>
      </c>
      <c r="AK2315" s="267">
        <f>IFERROR(__xludf.DUMMYFUNCTION("""COMPUTED_VALUE"""),45408.9986111111)</f>
        <v/>
      </c>
      <c r="AL2315" s="6">
        <f>IFERROR(__xludf.DUMMYFUNCTION("""COMPUTED_VALUE"""),63782.04)</f>
        <v/>
      </c>
      <c r="AP2315" s="6">
        <f>AQ2315&amp;AR2315</f>
        <v/>
      </c>
      <c r="AQ2315" s="6">
        <f>YEAR(AS2315)</f>
        <v/>
      </c>
      <c r="AR2315" s="6">
        <f>MONTH(AS2315)</f>
        <v/>
      </c>
    </row>
    <row r="2316">
      <c r="B2316" s="6">
        <f>C2316&amp;D2316</f>
        <v/>
      </c>
      <c r="C2316" s="6">
        <f>YEAR(E2316)</f>
        <v/>
      </c>
      <c r="D2316" s="6">
        <f>MONTH(E2316)</f>
        <v/>
      </c>
      <c r="J2316" s="6">
        <f>K2316&amp;L2316</f>
        <v/>
      </c>
      <c r="K2316" s="6">
        <f>YEAR(M2316)</f>
        <v/>
      </c>
      <c r="L2316" s="6">
        <f>MONTH(M2316)</f>
        <v/>
      </c>
      <c r="R2316" s="6">
        <f>S2316&amp;T2316</f>
        <v/>
      </c>
      <c r="S2316" s="6">
        <f>YEAR(U2316)</f>
        <v/>
      </c>
      <c r="T2316" s="6">
        <f>MONTH(U2316)</f>
        <v/>
      </c>
      <c r="Z2316" s="6">
        <f>AA2316&amp;AB2316</f>
        <v/>
      </c>
      <c r="AA2316" s="6">
        <f>YEAR(AC2316)</f>
        <v/>
      </c>
      <c r="AB2316" s="6">
        <f>MONTH(AC2316)</f>
        <v/>
      </c>
      <c r="AC2316" s="267">
        <f>IFERROR(__xludf.DUMMYFUNCTION("""COMPUTED_VALUE"""),45467.9986111111)</f>
        <v/>
      </c>
      <c r="AD2316" s="6">
        <f>IFERROR(__xludf.DUMMYFUNCTION("""COMPUTED_VALUE"""),1386.11)</f>
        <v/>
      </c>
      <c r="AH2316" s="6">
        <f>AI2316&amp;AJ2316</f>
        <v/>
      </c>
      <c r="AI2316" s="6">
        <f>YEAR(AK2316)</f>
        <v/>
      </c>
      <c r="AJ2316" s="6">
        <f>MONTH(AK2316)</f>
        <v/>
      </c>
      <c r="AK2316" s="267">
        <f>IFERROR(__xludf.DUMMYFUNCTION("""COMPUTED_VALUE"""),45409.9986111111)</f>
        <v/>
      </c>
      <c r="AL2316" s="6">
        <f>IFERROR(__xludf.DUMMYFUNCTION("""COMPUTED_VALUE"""),63452.65)</f>
        <v/>
      </c>
      <c r="AP2316" s="6">
        <f>AQ2316&amp;AR2316</f>
        <v/>
      </c>
      <c r="AQ2316" s="6">
        <f>YEAR(AS2316)</f>
        <v/>
      </c>
      <c r="AR2316" s="6">
        <f>MONTH(AS2316)</f>
        <v/>
      </c>
    </row>
    <row r="2317">
      <c r="B2317" s="6">
        <f>C2317&amp;D2317</f>
        <v/>
      </c>
      <c r="C2317" s="6">
        <f>YEAR(E2317)</f>
        <v/>
      </c>
      <c r="D2317" s="6">
        <f>MONTH(E2317)</f>
        <v/>
      </c>
      <c r="J2317" s="6">
        <f>K2317&amp;L2317</f>
        <v/>
      </c>
      <c r="K2317" s="6">
        <f>YEAR(M2317)</f>
        <v/>
      </c>
      <c r="L2317" s="6">
        <f>MONTH(M2317)</f>
        <v/>
      </c>
      <c r="R2317" s="6">
        <f>S2317&amp;T2317</f>
        <v/>
      </c>
      <c r="S2317" s="6">
        <f>YEAR(U2317)</f>
        <v/>
      </c>
      <c r="T2317" s="6">
        <f>MONTH(U2317)</f>
        <v/>
      </c>
      <c r="Z2317" s="6">
        <f>AA2317&amp;AB2317</f>
        <v/>
      </c>
      <c r="AA2317" s="6">
        <f>YEAR(AC2317)</f>
        <v/>
      </c>
      <c r="AB2317" s="6">
        <f>MONTH(AC2317)</f>
        <v/>
      </c>
      <c r="AC2317" s="267">
        <f>IFERROR(__xludf.DUMMYFUNCTION("""COMPUTED_VALUE"""),45469.9986111111)</f>
        <v/>
      </c>
      <c r="AD2317" s="6">
        <f>IFERROR(__xludf.DUMMYFUNCTION("""COMPUTED_VALUE"""),1393.38)</f>
        <v/>
      </c>
      <c r="AH2317" s="6">
        <f>AI2317&amp;AJ2317</f>
        <v/>
      </c>
      <c r="AI2317" s="6">
        <f>YEAR(AK2317)</f>
        <v/>
      </c>
      <c r="AJ2317" s="6">
        <f>MONTH(AK2317)</f>
        <v/>
      </c>
      <c r="AK2317" s="267">
        <f>IFERROR(__xludf.DUMMYFUNCTION("""COMPUTED_VALUE"""),45410.9986111111)</f>
        <v/>
      </c>
      <c r="AL2317" s="6">
        <f>IFERROR(__xludf.DUMMYFUNCTION("""COMPUTED_VALUE"""),62987.93)</f>
        <v/>
      </c>
      <c r="AP2317" s="6">
        <f>AQ2317&amp;AR2317</f>
        <v/>
      </c>
      <c r="AQ2317" s="6">
        <f>YEAR(AS2317)</f>
        <v/>
      </c>
      <c r="AR2317" s="6">
        <f>MONTH(AS2317)</f>
        <v/>
      </c>
    </row>
    <row r="2318">
      <c r="B2318" s="6">
        <f>C2318&amp;D2318</f>
        <v/>
      </c>
      <c r="C2318" s="6">
        <f>YEAR(E2318)</f>
        <v/>
      </c>
      <c r="D2318" s="6">
        <f>MONTH(E2318)</f>
        <v/>
      </c>
      <c r="J2318" s="6">
        <f>K2318&amp;L2318</f>
        <v/>
      </c>
      <c r="K2318" s="6">
        <f>YEAR(M2318)</f>
        <v/>
      </c>
      <c r="L2318" s="6">
        <f>MONTH(M2318)</f>
        <v/>
      </c>
      <c r="R2318" s="6">
        <f>S2318&amp;T2318</f>
        <v/>
      </c>
      <c r="S2318" s="6">
        <f>YEAR(U2318)</f>
        <v/>
      </c>
      <c r="T2318" s="6">
        <f>MONTH(U2318)</f>
        <v/>
      </c>
      <c r="Z2318" s="6">
        <f>AA2318&amp;AB2318</f>
        <v/>
      </c>
      <c r="AA2318" s="6">
        <f>YEAR(AC2318)</f>
        <v/>
      </c>
      <c r="AB2318" s="6">
        <f>MONTH(AC2318)</f>
        <v/>
      </c>
      <c r="AC2318" s="267">
        <f>IFERROR(__xludf.DUMMYFUNCTION("""COMPUTED_VALUE"""),45470.9986111111)</f>
        <v/>
      </c>
      <c r="AD2318" s="6">
        <f>IFERROR(__xludf.DUMMYFUNCTION("""COMPUTED_VALUE"""),1386.95)</f>
        <v/>
      </c>
      <c r="AH2318" s="6">
        <f>AI2318&amp;AJ2318</f>
        <v/>
      </c>
      <c r="AI2318" s="6">
        <f>YEAR(AK2318)</f>
        <v/>
      </c>
      <c r="AJ2318" s="6">
        <f>MONTH(AK2318)</f>
        <v/>
      </c>
      <c r="AK2318" s="267">
        <f>IFERROR(__xludf.DUMMYFUNCTION("""COMPUTED_VALUE"""),45411.9986111111)</f>
        <v/>
      </c>
      <c r="AL2318" s="6">
        <f>IFERROR(__xludf.DUMMYFUNCTION("""COMPUTED_VALUE"""),63869.59)</f>
        <v/>
      </c>
      <c r="AP2318" s="6">
        <f>AQ2318&amp;AR2318</f>
        <v/>
      </c>
      <c r="AQ2318" s="6">
        <f>YEAR(AS2318)</f>
        <v/>
      </c>
      <c r="AR2318" s="6">
        <f>MONTH(AS2318)</f>
        <v/>
      </c>
    </row>
    <row r="2319">
      <c r="B2319" s="6">
        <f>C2319&amp;D2319</f>
        <v/>
      </c>
      <c r="C2319" s="6">
        <f>YEAR(E2319)</f>
        <v/>
      </c>
      <c r="D2319" s="6">
        <f>MONTH(E2319)</f>
        <v/>
      </c>
      <c r="J2319" s="6">
        <f>K2319&amp;L2319</f>
        <v/>
      </c>
      <c r="K2319" s="6">
        <f>YEAR(M2319)</f>
        <v/>
      </c>
      <c r="L2319" s="6">
        <f>MONTH(M2319)</f>
        <v/>
      </c>
      <c r="R2319" s="6">
        <f>S2319&amp;T2319</f>
        <v/>
      </c>
      <c r="S2319" s="6">
        <f>YEAR(U2319)</f>
        <v/>
      </c>
      <c r="T2319" s="6">
        <f>MONTH(U2319)</f>
        <v/>
      </c>
      <c r="Z2319" s="6">
        <f>AA2319&amp;AB2319</f>
        <v/>
      </c>
      <c r="AA2319" s="6">
        <f>YEAR(AC2319)</f>
        <v/>
      </c>
      <c r="AB2319" s="6">
        <f>MONTH(AC2319)</f>
        <v/>
      </c>
      <c r="AC2319" s="267">
        <f>IFERROR(__xludf.DUMMYFUNCTION("""COMPUTED_VALUE"""),45471.9986111111)</f>
        <v/>
      </c>
      <c r="AD2319" s="6">
        <f>IFERROR(__xludf.DUMMYFUNCTION("""COMPUTED_VALUE"""),1380.28)</f>
        <v/>
      </c>
      <c r="AH2319" s="6">
        <f>AI2319&amp;AJ2319</f>
        <v/>
      </c>
      <c r="AI2319" s="6">
        <f>YEAR(AK2319)</f>
        <v/>
      </c>
      <c r="AJ2319" s="6">
        <f>MONTH(AK2319)</f>
        <v/>
      </c>
      <c r="AK2319" s="267">
        <f>IFERROR(__xludf.DUMMYFUNCTION("""COMPUTED_VALUE"""),45412.9986111111)</f>
        <v/>
      </c>
      <c r="AL2319" s="6">
        <f>IFERROR(__xludf.DUMMYFUNCTION("""COMPUTED_VALUE"""),60751.65)</f>
        <v/>
      </c>
      <c r="AP2319" s="6">
        <f>AQ2319&amp;AR2319</f>
        <v/>
      </c>
      <c r="AQ2319" s="6">
        <f>YEAR(AS2319)</f>
        <v/>
      </c>
      <c r="AR2319" s="6">
        <f>MONTH(AS2319)</f>
        <v/>
      </c>
    </row>
    <row r="2320">
      <c r="B2320" s="6">
        <f>C2320&amp;D2320</f>
        <v/>
      </c>
      <c r="C2320" s="6">
        <f>YEAR(E2320)</f>
        <v/>
      </c>
      <c r="D2320" s="6">
        <f>MONTH(E2320)</f>
        <v/>
      </c>
      <c r="J2320" s="6">
        <f>K2320&amp;L2320</f>
        <v/>
      </c>
      <c r="K2320" s="6">
        <f>YEAR(M2320)</f>
        <v/>
      </c>
      <c r="L2320" s="6">
        <f>MONTH(M2320)</f>
        <v/>
      </c>
      <c r="R2320" s="6">
        <f>S2320&amp;T2320</f>
        <v/>
      </c>
      <c r="S2320" s="6">
        <f>YEAR(U2320)</f>
        <v/>
      </c>
      <c r="T2320" s="6">
        <f>MONTH(U2320)</f>
        <v/>
      </c>
      <c r="Z2320" s="6">
        <f>AA2320&amp;AB2320</f>
        <v/>
      </c>
      <c r="AA2320" s="6">
        <f>YEAR(AC2320)</f>
        <v/>
      </c>
      <c r="AB2320" s="6">
        <f>MONTH(AC2320)</f>
        <v/>
      </c>
      <c r="AC2320" s="267">
        <f>IFERROR(__xludf.DUMMYFUNCTION("""COMPUTED_VALUE"""),45472.9986111111)</f>
        <v/>
      </c>
      <c r="AD2320" s="6">
        <f>IFERROR(__xludf.DUMMYFUNCTION("""COMPUTED_VALUE"""),1380.28)</f>
        <v/>
      </c>
      <c r="AH2320" s="6">
        <f>AI2320&amp;AJ2320</f>
        <v/>
      </c>
      <c r="AI2320" s="6">
        <f>YEAR(AK2320)</f>
        <v/>
      </c>
      <c r="AJ2320" s="6">
        <f>MONTH(AK2320)</f>
        <v/>
      </c>
      <c r="AK2320" s="267">
        <f>IFERROR(__xludf.DUMMYFUNCTION("""COMPUTED_VALUE"""),45413.9986111111)</f>
        <v/>
      </c>
      <c r="AL2320" s="6">
        <f>IFERROR(__xludf.DUMMYFUNCTION("""COMPUTED_VALUE"""),58311.26)</f>
        <v/>
      </c>
      <c r="AP2320" s="6">
        <f>AQ2320&amp;AR2320</f>
        <v/>
      </c>
      <c r="AQ2320" s="6">
        <f>YEAR(AS2320)</f>
        <v/>
      </c>
      <c r="AR2320" s="6">
        <f>MONTH(AS2320)</f>
        <v/>
      </c>
    </row>
    <row r="2321">
      <c r="B2321" s="6">
        <f>C2321&amp;D2321</f>
        <v/>
      </c>
      <c r="C2321" s="6">
        <f>YEAR(E2321)</f>
        <v/>
      </c>
      <c r="D2321" s="6">
        <f>MONTH(E2321)</f>
        <v/>
      </c>
      <c r="J2321" s="6">
        <f>K2321&amp;L2321</f>
        <v/>
      </c>
      <c r="K2321" s="6">
        <f>YEAR(M2321)</f>
        <v/>
      </c>
      <c r="L2321" s="6">
        <f>MONTH(M2321)</f>
        <v/>
      </c>
      <c r="R2321" s="6">
        <f>S2321&amp;T2321</f>
        <v/>
      </c>
      <c r="S2321" s="6">
        <f>YEAR(U2321)</f>
        <v/>
      </c>
      <c r="T2321" s="6">
        <f>MONTH(U2321)</f>
        <v/>
      </c>
      <c r="Z2321" s="6">
        <f>AA2321&amp;AB2321</f>
        <v/>
      </c>
      <c r="AA2321" s="6">
        <f>YEAR(AC2321)</f>
        <v/>
      </c>
      <c r="AB2321" s="6">
        <f>MONTH(AC2321)</f>
        <v/>
      </c>
      <c r="AC2321" s="267">
        <f>IFERROR(__xludf.DUMMYFUNCTION("""COMPUTED_VALUE"""),45473.9986111111)</f>
        <v/>
      </c>
      <c r="AD2321" s="6">
        <f>IFERROR(__xludf.DUMMYFUNCTION("""COMPUTED_VALUE"""),1380.29)</f>
        <v/>
      </c>
      <c r="AH2321" s="6">
        <f>AI2321&amp;AJ2321</f>
        <v/>
      </c>
      <c r="AI2321" s="6">
        <f>YEAR(AK2321)</f>
        <v/>
      </c>
      <c r="AJ2321" s="6">
        <f>MONTH(AK2321)</f>
        <v/>
      </c>
      <c r="AK2321" s="267">
        <f>IFERROR(__xludf.DUMMYFUNCTION("""COMPUTED_VALUE"""),45414.9986111111)</f>
        <v/>
      </c>
      <c r="AL2321" s="6">
        <f>IFERROR(__xludf.DUMMYFUNCTION("""COMPUTED_VALUE"""),59146.74)</f>
        <v/>
      </c>
      <c r="AP2321" s="6">
        <f>AQ2321&amp;AR2321</f>
        <v/>
      </c>
      <c r="AQ2321" s="6">
        <f>YEAR(AS2321)</f>
        <v/>
      </c>
      <c r="AR2321" s="6">
        <f>MONTH(AS2321)</f>
        <v/>
      </c>
    </row>
    <row r="2322">
      <c r="B2322" s="6">
        <f>C2322&amp;D2322</f>
        <v/>
      </c>
      <c r="C2322" s="6">
        <f>YEAR(E2322)</f>
        <v/>
      </c>
      <c r="D2322" s="6">
        <f>MONTH(E2322)</f>
        <v/>
      </c>
      <c r="J2322" s="6">
        <f>K2322&amp;L2322</f>
        <v/>
      </c>
      <c r="K2322" s="6">
        <f>YEAR(M2322)</f>
        <v/>
      </c>
      <c r="L2322" s="6">
        <f>MONTH(M2322)</f>
        <v/>
      </c>
      <c r="R2322" s="6">
        <f>S2322&amp;T2322</f>
        <v/>
      </c>
      <c r="S2322" s="6">
        <f>YEAR(U2322)</f>
        <v/>
      </c>
      <c r="T2322" s="6">
        <f>MONTH(U2322)</f>
        <v/>
      </c>
      <c r="Z2322" s="6">
        <f>AA2322&amp;AB2322</f>
        <v/>
      </c>
      <c r="AA2322" s="6">
        <f>YEAR(AC2322)</f>
        <v/>
      </c>
      <c r="AB2322" s="6">
        <f>MONTH(AC2322)</f>
        <v/>
      </c>
      <c r="AC2322" s="267">
        <f>IFERROR(__xludf.DUMMYFUNCTION("""COMPUTED_VALUE"""),45474.9986111111)</f>
        <v/>
      </c>
      <c r="AD2322" s="6">
        <f>IFERROR(__xludf.DUMMYFUNCTION("""COMPUTED_VALUE"""),1383.42)</f>
        <v/>
      </c>
      <c r="AH2322" s="6">
        <f>AI2322&amp;AJ2322</f>
        <v/>
      </c>
      <c r="AI2322" s="6">
        <f>YEAR(AK2322)</f>
        <v/>
      </c>
      <c r="AJ2322" s="6">
        <f>MONTH(AK2322)</f>
        <v/>
      </c>
      <c r="AK2322" s="267">
        <f>IFERROR(__xludf.DUMMYFUNCTION("""COMPUTED_VALUE"""),45415.9986111111)</f>
        <v/>
      </c>
      <c r="AL2322" s="6">
        <f>IFERROR(__xludf.DUMMYFUNCTION("""COMPUTED_VALUE"""),62914.16)</f>
        <v/>
      </c>
      <c r="AP2322" s="6">
        <f>AQ2322&amp;AR2322</f>
        <v/>
      </c>
      <c r="AQ2322" s="6">
        <f>YEAR(AS2322)</f>
        <v/>
      </c>
      <c r="AR2322" s="6">
        <f>MONTH(AS2322)</f>
        <v/>
      </c>
    </row>
    <row r="2323">
      <c r="B2323" s="6">
        <f>C2323&amp;D2323</f>
        <v/>
      </c>
      <c r="C2323" s="6">
        <f>YEAR(E2323)</f>
        <v/>
      </c>
      <c r="D2323" s="6">
        <f>MONTH(E2323)</f>
        <v/>
      </c>
      <c r="J2323" s="6">
        <f>K2323&amp;L2323</f>
        <v/>
      </c>
      <c r="K2323" s="6">
        <f>YEAR(M2323)</f>
        <v/>
      </c>
      <c r="L2323" s="6">
        <f>MONTH(M2323)</f>
        <v/>
      </c>
      <c r="R2323" s="6">
        <f>S2323&amp;T2323</f>
        <v/>
      </c>
      <c r="S2323" s="6">
        <f>YEAR(U2323)</f>
        <v/>
      </c>
      <c r="T2323" s="6">
        <f>MONTH(U2323)</f>
        <v/>
      </c>
      <c r="Z2323" s="6">
        <f>AA2323&amp;AB2323</f>
        <v/>
      </c>
      <c r="AA2323" s="6">
        <f>YEAR(AC2323)</f>
        <v/>
      </c>
      <c r="AB2323" s="6">
        <f>MONTH(AC2323)</f>
        <v/>
      </c>
      <c r="AC2323" s="267">
        <f>IFERROR(__xludf.DUMMYFUNCTION("""COMPUTED_VALUE"""),45475.9986111111)</f>
        <v/>
      </c>
      <c r="AD2323" s="6">
        <f>IFERROR(__xludf.DUMMYFUNCTION("""COMPUTED_VALUE"""),1383.42)</f>
        <v/>
      </c>
      <c r="AH2323" s="6">
        <f>AI2323&amp;AJ2323</f>
        <v/>
      </c>
      <c r="AI2323" s="6">
        <f>YEAR(AK2323)</f>
        <v/>
      </c>
      <c r="AJ2323" s="6">
        <f>MONTH(AK2323)</f>
        <v/>
      </c>
      <c r="AK2323" s="267">
        <f>IFERROR(__xludf.DUMMYFUNCTION("""COMPUTED_VALUE"""),45416.9986111111)</f>
        <v/>
      </c>
      <c r="AL2323" s="6">
        <f>IFERROR(__xludf.DUMMYFUNCTION("""COMPUTED_VALUE"""),63866.37)</f>
        <v/>
      </c>
      <c r="AP2323" s="6">
        <f>AQ2323&amp;AR2323</f>
        <v/>
      </c>
      <c r="AQ2323" s="6">
        <f>YEAR(AS2323)</f>
        <v/>
      </c>
      <c r="AR2323" s="6">
        <f>MONTH(AS2323)</f>
        <v/>
      </c>
    </row>
    <row r="2324">
      <c r="B2324" s="6">
        <f>C2324&amp;D2324</f>
        <v/>
      </c>
      <c r="C2324" s="6">
        <f>YEAR(E2324)</f>
        <v/>
      </c>
      <c r="D2324" s="6">
        <f>MONTH(E2324)</f>
        <v/>
      </c>
      <c r="J2324" s="6">
        <f>K2324&amp;L2324</f>
        <v/>
      </c>
      <c r="K2324" s="6">
        <f>YEAR(M2324)</f>
        <v/>
      </c>
      <c r="L2324" s="6">
        <f>MONTH(M2324)</f>
        <v/>
      </c>
      <c r="R2324" s="6">
        <f>S2324&amp;T2324</f>
        <v/>
      </c>
      <c r="S2324" s="6">
        <f>YEAR(U2324)</f>
        <v/>
      </c>
      <c r="T2324" s="6">
        <f>MONTH(U2324)</f>
        <v/>
      </c>
      <c r="Z2324" s="6">
        <f>AA2324&amp;AB2324</f>
        <v/>
      </c>
      <c r="AA2324" s="6">
        <f>YEAR(AC2324)</f>
        <v/>
      </c>
      <c r="AB2324" s="6">
        <f>MONTH(AC2324)</f>
        <v/>
      </c>
      <c r="AC2324" s="267">
        <f>IFERROR(__xludf.DUMMYFUNCTION("""COMPUTED_VALUE"""),45476.9986111111)</f>
        <v/>
      </c>
      <c r="AD2324" s="6">
        <f>IFERROR(__xludf.DUMMYFUNCTION("""COMPUTED_VALUE"""),1385.77)</f>
        <v/>
      </c>
      <c r="AH2324" s="6">
        <f>AI2324&amp;AJ2324</f>
        <v/>
      </c>
      <c r="AI2324" s="6">
        <f>YEAR(AK2324)</f>
        <v/>
      </c>
      <c r="AJ2324" s="6">
        <f>MONTH(AK2324)</f>
        <v/>
      </c>
      <c r="AK2324" s="267">
        <f>IFERROR(__xludf.DUMMYFUNCTION("""COMPUTED_VALUE"""),45417.9986111111)</f>
        <v/>
      </c>
      <c r="AL2324" s="6">
        <f>IFERROR(__xludf.DUMMYFUNCTION("""COMPUTED_VALUE"""),63928.8)</f>
        <v/>
      </c>
      <c r="AP2324" s="6">
        <f>AQ2324&amp;AR2324</f>
        <v/>
      </c>
      <c r="AQ2324" s="6">
        <f>YEAR(AS2324)</f>
        <v/>
      </c>
      <c r="AR2324" s="6">
        <f>MONTH(AS2324)</f>
        <v/>
      </c>
    </row>
    <row r="2325">
      <c r="B2325" s="6">
        <f>C2325&amp;D2325</f>
        <v/>
      </c>
      <c r="C2325" s="6">
        <f>YEAR(E2325)</f>
        <v/>
      </c>
      <c r="D2325" s="6">
        <f>MONTH(E2325)</f>
        <v/>
      </c>
      <c r="J2325" s="6">
        <f>K2325&amp;L2325</f>
        <v/>
      </c>
      <c r="K2325" s="6">
        <f>YEAR(M2325)</f>
        <v/>
      </c>
      <c r="L2325" s="6">
        <f>MONTH(M2325)</f>
        <v/>
      </c>
      <c r="R2325" s="6">
        <f>S2325&amp;T2325</f>
        <v/>
      </c>
      <c r="S2325" s="6">
        <f>YEAR(U2325)</f>
        <v/>
      </c>
      <c r="T2325" s="6">
        <f>MONTH(U2325)</f>
        <v/>
      </c>
      <c r="Z2325" s="6">
        <f>AA2325&amp;AB2325</f>
        <v/>
      </c>
      <c r="AA2325" s="6">
        <f>YEAR(AC2325)</f>
        <v/>
      </c>
      <c r="AB2325" s="6">
        <f>MONTH(AC2325)</f>
        <v/>
      </c>
      <c r="AC2325" s="267">
        <f>IFERROR(__xludf.DUMMYFUNCTION("""COMPUTED_VALUE"""),45477.9986111111)</f>
        <v/>
      </c>
      <c r="AD2325" s="6">
        <f>IFERROR(__xludf.DUMMYFUNCTION("""COMPUTED_VALUE"""),1380.25)</f>
        <v/>
      </c>
      <c r="AH2325" s="6">
        <f>AI2325&amp;AJ2325</f>
        <v/>
      </c>
      <c r="AI2325" s="6">
        <f>YEAR(AK2325)</f>
        <v/>
      </c>
      <c r="AJ2325" s="6">
        <f>MONTH(AK2325)</f>
        <v/>
      </c>
      <c r="AK2325" s="267">
        <f>IFERROR(__xludf.DUMMYFUNCTION("""COMPUTED_VALUE"""),45418.9986111111)</f>
        <v/>
      </c>
      <c r="AL2325" s="6">
        <f>IFERROR(__xludf.DUMMYFUNCTION("""COMPUTED_VALUE"""),63193.37)</f>
        <v/>
      </c>
      <c r="AP2325" s="6">
        <f>AQ2325&amp;AR2325</f>
        <v/>
      </c>
      <c r="AQ2325" s="6">
        <f>YEAR(AS2325)</f>
        <v/>
      </c>
      <c r="AR2325" s="6">
        <f>MONTH(AS2325)</f>
        <v/>
      </c>
    </row>
    <row r="2326">
      <c r="B2326" s="6">
        <f>C2326&amp;D2326</f>
        <v/>
      </c>
      <c r="C2326" s="6">
        <f>YEAR(E2326)</f>
        <v/>
      </c>
      <c r="D2326" s="6">
        <f>MONTH(E2326)</f>
        <v/>
      </c>
      <c r="J2326" s="6">
        <f>K2326&amp;L2326</f>
        <v/>
      </c>
      <c r="K2326" s="6">
        <f>YEAR(M2326)</f>
        <v/>
      </c>
      <c r="L2326" s="6">
        <f>MONTH(M2326)</f>
        <v/>
      </c>
      <c r="R2326" s="6">
        <f>S2326&amp;T2326</f>
        <v/>
      </c>
      <c r="S2326" s="6">
        <f>YEAR(U2326)</f>
        <v/>
      </c>
      <c r="T2326" s="6">
        <f>MONTH(U2326)</f>
        <v/>
      </c>
      <c r="Z2326" s="6">
        <f>AA2326&amp;AB2326</f>
        <v/>
      </c>
      <c r="AA2326" s="6">
        <f>YEAR(AC2326)</f>
        <v/>
      </c>
      <c r="AB2326" s="6">
        <f>MONTH(AC2326)</f>
        <v/>
      </c>
      <c r="AC2326" s="267">
        <f>IFERROR(__xludf.DUMMYFUNCTION("""COMPUTED_VALUE"""),45478.9986111111)</f>
        <v/>
      </c>
      <c r="AD2326" s="6">
        <f>IFERROR(__xludf.DUMMYFUNCTION("""COMPUTED_VALUE"""),1376.56)</f>
        <v/>
      </c>
      <c r="AH2326" s="6">
        <f>AI2326&amp;AJ2326</f>
        <v/>
      </c>
      <c r="AI2326" s="6">
        <f>YEAR(AK2326)</f>
        <v/>
      </c>
      <c r="AJ2326" s="6">
        <f>MONTH(AK2326)</f>
        <v/>
      </c>
      <c r="AK2326" s="267">
        <f>IFERROR(__xludf.DUMMYFUNCTION("""COMPUTED_VALUE"""),45419.9986111111)</f>
        <v/>
      </c>
      <c r="AL2326" s="6">
        <f>IFERROR(__xludf.DUMMYFUNCTION("""COMPUTED_VALUE"""),62382.92)</f>
        <v/>
      </c>
      <c r="AP2326" s="6">
        <f>AQ2326&amp;AR2326</f>
        <v/>
      </c>
      <c r="AQ2326" s="6">
        <f>YEAR(AS2326)</f>
        <v/>
      </c>
      <c r="AR2326" s="6">
        <f>MONTH(AS2326)</f>
        <v/>
      </c>
    </row>
    <row r="2327">
      <c r="B2327" s="6">
        <f>C2327&amp;D2327</f>
        <v/>
      </c>
      <c r="C2327" s="6">
        <f>YEAR(E2327)</f>
        <v/>
      </c>
      <c r="D2327" s="6">
        <f>MONTH(E2327)</f>
        <v/>
      </c>
      <c r="J2327" s="6">
        <f>K2327&amp;L2327</f>
        <v/>
      </c>
      <c r="K2327" s="6">
        <f>YEAR(M2327)</f>
        <v/>
      </c>
      <c r="L2327" s="6">
        <f>MONTH(M2327)</f>
        <v/>
      </c>
      <c r="R2327" s="6">
        <f>S2327&amp;T2327</f>
        <v/>
      </c>
      <c r="S2327" s="6">
        <f>YEAR(U2327)</f>
        <v/>
      </c>
      <c r="T2327" s="6">
        <f>MONTH(U2327)</f>
        <v/>
      </c>
      <c r="Z2327" s="6">
        <f>AA2327&amp;AB2327</f>
        <v/>
      </c>
      <c r="AA2327" s="6">
        <f>YEAR(AC2327)</f>
        <v/>
      </c>
      <c r="AB2327" s="6">
        <f>MONTH(AC2327)</f>
        <v/>
      </c>
      <c r="AC2327" s="267">
        <f>IFERROR(__xludf.DUMMYFUNCTION("""COMPUTED_VALUE"""),45479.9986111111)</f>
        <v/>
      </c>
      <c r="AD2327" s="6">
        <f>IFERROR(__xludf.DUMMYFUNCTION("""COMPUTED_VALUE"""),1376.56)</f>
        <v/>
      </c>
      <c r="AH2327" s="6">
        <f>AI2327&amp;AJ2327</f>
        <v/>
      </c>
      <c r="AI2327" s="6">
        <f>YEAR(AK2327)</f>
        <v/>
      </c>
      <c r="AJ2327" s="6">
        <f>MONTH(AK2327)</f>
        <v/>
      </c>
      <c r="AK2327" s="267">
        <f>IFERROR(__xludf.DUMMYFUNCTION("""COMPUTED_VALUE"""),45420.9986111111)</f>
        <v/>
      </c>
      <c r="AL2327" s="6">
        <f>IFERROR(__xludf.DUMMYFUNCTION("""COMPUTED_VALUE"""),61105.57)</f>
        <v/>
      </c>
      <c r="AP2327" s="6">
        <f>AQ2327&amp;AR2327</f>
        <v/>
      </c>
      <c r="AQ2327" s="6">
        <f>YEAR(AS2327)</f>
        <v/>
      </c>
      <c r="AR2327" s="6">
        <f>MONTH(AS2327)</f>
        <v/>
      </c>
    </row>
    <row r="2328">
      <c r="B2328" s="6">
        <f>C2328&amp;D2328</f>
        <v/>
      </c>
      <c r="C2328" s="6">
        <f>YEAR(E2328)</f>
        <v/>
      </c>
      <c r="D2328" s="6">
        <f>MONTH(E2328)</f>
        <v/>
      </c>
      <c r="J2328" s="6">
        <f>K2328&amp;L2328</f>
        <v/>
      </c>
      <c r="K2328" s="6">
        <f>YEAR(M2328)</f>
        <v/>
      </c>
      <c r="L2328" s="6">
        <f>MONTH(M2328)</f>
        <v/>
      </c>
      <c r="R2328" s="6">
        <f>S2328&amp;T2328</f>
        <v/>
      </c>
      <c r="S2328" s="6">
        <f>YEAR(U2328)</f>
        <v/>
      </c>
      <c r="T2328" s="6">
        <f>MONTH(U2328)</f>
        <v/>
      </c>
      <c r="Z2328" s="6">
        <f>AA2328&amp;AB2328</f>
        <v/>
      </c>
      <c r="AA2328" s="6">
        <f>YEAR(AC2328)</f>
        <v/>
      </c>
      <c r="AB2328" s="6">
        <f>MONTH(AC2328)</f>
        <v/>
      </c>
      <c r="AC2328" s="267">
        <f>IFERROR(__xludf.DUMMYFUNCTION("""COMPUTED_VALUE"""),45480.9986111111)</f>
        <v/>
      </c>
      <c r="AD2328" s="6">
        <f>IFERROR(__xludf.DUMMYFUNCTION("""COMPUTED_VALUE"""),1376.57)</f>
        <v/>
      </c>
      <c r="AH2328" s="6">
        <f>AI2328&amp;AJ2328</f>
        <v/>
      </c>
      <c r="AI2328" s="6">
        <f>YEAR(AK2328)</f>
        <v/>
      </c>
      <c r="AJ2328" s="6">
        <f>MONTH(AK2328)</f>
        <v/>
      </c>
      <c r="AK2328" s="267">
        <f>IFERROR(__xludf.DUMMYFUNCTION("""COMPUTED_VALUE"""),45421.9986111111)</f>
        <v/>
      </c>
      <c r="AL2328" s="6">
        <f>IFERROR(__xludf.DUMMYFUNCTION("""COMPUTED_VALUE"""),63025.2)</f>
        <v/>
      </c>
      <c r="AP2328" s="6">
        <f>AQ2328&amp;AR2328</f>
        <v/>
      </c>
      <c r="AQ2328" s="6">
        <f>YEAR(AS2328)</f>
        <v/>
      </c>
      <c r="AR2328" s="6">
        <f>MONTH(AS2328)</f>
        <v/>
      </c>
    </row>
    <row r="2329">
      <c r="B2329" s="6">
        <f>C2329&amp;D2329</f>
        <v/>
      </c>
      <c r="C2329" s="6">
        <f>YEAR(E2329)</f>
        <v/>
      </c>
      <c r="D2329" s="6">
        <f>MONTH(E2329)</f>
        <v/>
      </c>
      <c r="J2329" s="6">
        <f>K2329&amp;L2329</f>
        <v/>
      </c>
      <c r="K2329" s="6">
        <f>YEAR(M2329)</f>
        <v/>
      </c>
      <c r="L2329" s="6">
        <f>MONTH(M2329)</f>
        <v/>
      </c>
      <c r="R2329" s="6">
        <f>S2329&amp;T2329</f>
        <v/>
      </c>
      <c r="S2329" s="6">
        <f>YEAR(U2329)</f>
        <v/>
      </c>
      <c r="T2329" s="6">
        <f>MONTH(U2329)</f>
        <v/>
      </c>
      <c r="Z2329" s="6">
        <f>AA2329&amp;AB2329</f>
        <v/>
      </c>
      <c r="AA2329" s="6">
        <f>YEAR(AC2329)</f>
        <v/>
      </c>
      <c r="AB2329" s="6">
        <f>MONTH(AC2329)</f>
        <v/>
      </c>
      <c r="AC2329" s="267">
        <f>IFERROR(__xludf.DUMMYFUNCTION("""COMPUTED_VALUE"""),45481.9986111111)</f>
        <v/>
      </c>
      <c r="AD2329" s="6">
        <f>IFERROR(__xludf.DUMMYFUNCTION("""COMPUTED_VALUE"""),1382.75)</f>
        <v/>
      </c>
      <c r="AH2329" s="6">
        <f>AI2329&amp;AJ2329</f>
        <v/>
      </c>
      <c r="AI2329" s="6">
        <f>YEAR(AK2329)</f>
        <v/>
      </c>
      <c r="AJ2329" s="6">
        <f>MONTH(AK2329)</f>
        <v/>
      </c>
      <c r="AK2329" s="267">
        <f>IFERROR(__xludf.DUMMYFUNCTION("""COMPUTED_VALUE"""),45422.9986111111)</f>
        <v/>
      </c>
      <c r="AL2329" s="6">
        <f>IFERROR(__xludf.DUMMYFUNCTION("""COMPUTED_VALUE"""),60863.24)</f>
        <v/>
      </c>
      <c r="AP2329" s="6">
        <f>AQ2329&amp;AR2329</f>
        <v/>
      </c>
      <c r="AQ2329" s="6">
        <f>YEAR(AS2329)</f>
        <v/>
      </c>
      <c r="AR2329" s="6">
        <f>MONTH(AS2329)</f>
        <v/>
      </c>
    </row>
    <row r="2330">
      <c r="B2330" s="6">
        <f>C2330&amp;D2330</f>
        <v/>
      </c>
      <c r="C2330" s="6">
        <f>YEAR(E2330)</f>
        <v/>
      </c>
      <c r="D2330" s="6">
        <f>MONTH(E2330)</f>
        <v/>
      </c>
      <c r="J2330" s="6">
        <f>K2330&amp;L2330</f>
        <v/>
      </c>
      <c r="K2330" s="6">
        <f>YEAR(M2330)</f>
        <v/>
      </c>
      <c r="L2330" s="6">
        <f>MONTH(M2330)</f>
        <v/>
      </c>
      <c r="R2330" s="6">
        <f>S2330&amp;T2330</f>
        <v/>
      </c>
      <c r="S2330" s="6">
        <f>YEAR(U2330)</f>
        <v/>
      </c>
      <c r="T2330" s="6">
        <f>MONTH(U2330)</f>
        <v/>
      </c>
      <c r="Z2330" s="6">
        <f>AA2330&amp;AB2330</f>
        <v/>
      </c>
      <c r="AA2330" s="6">
        <f>YEAR(AC2330)</f>
        <v/>
      </c>
      <c r="AB2330" s="6">
        <f>MONTH(AC2330)</f>
        <v/>
      </c>
      <c r="AC2330" s="267">
        <f>IFERROR(__xludf.DUMMYFUNCTION("""COMPUTED_VALUE"""),45482.9986111111)</f>
        <v/>
      </c>
      <c r="AD2330" s="6">
        <f>IFERROR(__xludf.DUMMYFUNCTION("""COMPUTED_VALUE"""),1382.42)</f>
        <v/>
      </c>
      <c r="AH2330" s="6">
        <f>AI2330&amp;AJ2330</f>
        <v/>
      </c>
      <c r="AI2330" s="6">
        <f>YEAR(AK2330)</f>
        <v/>
      </c>
      <c r="AJ2330" s="6">
        <f>MONTH(AK2330)</f>
        <v/>
      </c>
      <c r="AK2330" s="267">
        <f>IFERROR(__xludf.DUMMYFUNCTION("""COMPUTED_VALUE"""),45424.9986111111)</f>
        <v/>
      </c>
      <c r="AL2330" s="6">
        <f>IFERROR(__xludf.DUMMYFUNCTION("""COMPUTED_VALUE"""),60914.79)</f>
        <v/>
      </c>
      <c r="AP2330" s="6">
        <f>AQ2330&amp;AR2330</f>
        <v/>
      </c>
      <c r="AQ2330" s="6">
        <f>YEAR(AS2330)</f>
        <v/>
      </c>
      <c r="AR2330" s="6">
        <f>MONTH(AS2330)</f>
        <v/>
      </c>
    </row>
    <row r="2331">
      <c r="B2331" s="6">
        <f>C2331&amp;D2331</f>
        <v/>
      </c>
      <c r="C2331" s="6">
        <f>YEAR(E2331)</f>
        <v/>
      </c>
      <c r="D2331" s="6">
        <f>MONTH(E2331)</f>
        <v/>
      </c>
      <c r="J2331" s="6">
        <f>K2331&amp;L2331</f>
        <v/>
      </c>
      <c r="K2331" s="6">
        <f>YEAR(M2331)</f>
        <v/>
      </c>
      <c r="L2331" s="6">
        <f>MONTH(M2331)</f>
        <v/>
      </c>
      <c r="R2331" s="6">
        <f>S2331&amp;T2331</f>
        <v/>
      </c>
      <c r="S2331" s="6">
        <f>YEAR(U2331)</f>
        <v/>
      </c>
      <c r="T2331" s="6">
        <f>MONTH(U2331)</f>
        <v/>
      </c>
      <c r="Z2331" s="6">
        <f>AA2331&amp;AB2331</f>
        <v/>
      </c>
      <c r="AA2331" s="6">
        <f>YEAR(AC2331)</f>
        <v/>
      </c>
      <c r="AB2331" s="6">
        <f>MONTH(AC2331)</f>
        <v/>
      </c>
      <c r="AC2331" s="267">
        <f>IFERROR(__xludf.DUMMYFUNCTION("""COMPUTED_VALUE"""),45483.9986111111)</f>
        <v/>
      </c>
      <c r="AD2331" s="6">
        <f>IFERROR(__xludf.DUMMYFUNCTION("""COMPUTED_VALUE"""),1382.99)</f>
        <v/>
      </c>
      <c r="AH2331" s="6">
        <f>AI2331&amp;AJ2331</f>
        <v/>
      </c>
      <c r="AI2331" s="6">
        <f>YEAR(AK2331)</f>
        <v/>
      </c>
      <c r="AJ2331" s="6">
        <f>MONTH(AK2331)</f>
        <v/>
      </c>
      <c r="AK2331" s="267">
        <f>IFERROR(__xludf.DUMMYFUNCTION("""COMPUTED_VALUE"""),45425.9986111111)</f>
        <v/>
      </c>
      <c r="AL2331" s="6">
        <f>IFERROR(__xludf.DUMMYFUNCTION("""COMPUTED_VALUE"""),61151.16)</f>
        <v/>
      </c>
      <c r="AP2331" s="6">
        <f>AQ2331&amp;AR2331</f>
        <v/>
      </c>
      <c r="AQ2331" s="6">
        <f>YEAR(AS2331)</f>
        <v/>
      </c>
      <c r="AR2331" s="6">
        <f>MONTH(AS2331)</f>
        <v/>
      </c>
    </row>
    <row r="2332">
      <c r="B2332" s="6">
        <f>C2332&amp;D2332</f>
        <v/>
      </c>
      <c r="C2332" s="6">
        <f>YEAR(E2332)</f>
        <v/>
      </c>
      <c r="D2332" s="6">
        <f>MONTH(E2332)</f>
        <v/>
      </c>
      <c r="J2332" s="6">
        <f>K2332&amp;L2332</f>
        <v/>
      </c>
      <c r="K2332" s="6">
        <f>YEAR(M2332)</f>
        <v/>
      </c>
      <c r="L2332" s="6">
        <f>MONTH(M2332)</f>
        <v/>
      </c>
      <c r="R2332" s="6">
        <f>S2332&amp;T2332</f>
        <v/>
      </c>
      <c r="S2332" s="6">
        <f>YEAR(U2332)</f>
        <v/>
      </c>
      <c r="T2332" s="6">
        <f>MONTH(U2332)</f>
        <v/>
      </c>
      <c r="Z2332" s="6">
        <f>AA2332&amp;AB2332</f>
        <v/>
      </c>
      <c r="AA2332" s="6">
        <f>YEAR(AC2332)</f>
        <v/>
      </c>
      <c r="AB2332" s="6">
        <f>MONTH(AC2332)</f>
        <v/>
      </c>
      <c r="AC2332" s="267">
        <f>IFERROR(__xludf.DUMMYFUNCTION("""COMPUTED_VALUE"""),45484.9986111111)</f>
        <v/>
      </c>
      <c r="AD2332" s="6">
        <f>IFERROR(__xludf.DUMMYFUNCTION("""COMPUTED_VALUE"""),1371.27)</f>
        <v/>
      </c>
      <c r="AH2332" s="6">
        <f>AI2332&amp;AJ2332</f>
        <v/>
      </c>
      <c r="AI2332" s="6">
        <f>YEAR(AK2332)</f>
        <v/>
      </c>
      <c r="AJ2332" s="6">
        <f>MONTH(AK2332)</f>
        <v/>
      </c>
      <c r="AK2332" s="267">
        <f>IFERROR(__xludf.DUMMYFUNCTION("""COMPUTED_VALUE"""),45426.9986111111)</f>
        <v/>
      </c>
      <c r="AL2332" s="6">
        <f>IFERROR(__xludf.DUMMYFUNCTION("""COMPUTED_VALUE"""),62425.72)</f>
        <v/>
      </c>
      <c r="AP2332" s="6">
        <f>AQ2332&amp;AR2332</f>
        <v/>
      </c>
      <c r="AQ2332" s="6">
        <f>YEAR(AS2332)</f>
        <v/>
      </c>
      <c r="AR2332" s="6">
        <f>MONTH(AS2332)</f>
        <v/>
      </c>
    </row>
    <row r="2333">
      <c r="B2333" s="6">
        <f>C2333&amp;D2333</f>
        <v/>
      </c>
      <c r="C2333" s="6">
        <f>YEAR(E2333)</f>
        <v/>
      </c>
      <c r="D2333" s="6">
        <f>MONTH(E2333)</f>
        <v/>
      </c>
      <c r="J2333" s="6">
        <f>K2333&amp;L2333</f>
        <v/>
      </c>
      <c r="K2333" s="6">
        <f>YEAR(M2333)</f>
        <v/>
      </c>
      <c r="L2333" s="6">
        <f>MONTH(M2333)</f>
        <v/>
      </c>
      <c r="R2333" s="6">
        <f>S2333&amp;T2333</f>
        <v/>
      </c>
      <c r="S2333" s="6">
        <f>YEAR(U2333)</f>
        <v/>
      </c>
      <c r="T2333" s="6">
        <f>MONTH(U2333)</f>
        <v/>
      </c>
      <c r="Z2333" s="6">
        <f>AA2333&amp;AB2333</f>
        <v/>
      </c>
      <c r="AA2333" s="6">
        <f>YEAR(AC2333)</f>
        <v/>
      </c>
      <c r="AB2333" s="6">
        <f>MONTH(AC2333)</f>
        <v/>
      </c>
      <c r="AC2333" s="267">
        <f>IFERROR(__xludf.DUMMYFUNCTION("""COMPUTED_VALUE"""),45485.9986111111)</f>
        <v/>
      </c>
      <c r="AD2333" s="6">
        <f>IFERROR(__xludf.DUMMYFUNCTION("""COMPUTED_VALUE"""),1374.1)</f>
        <v/>
      </c>
      <c r="AH2333" s="6">
        <f>AI2333&amp;AJ2333</f>
        <v/>
      </c>
      <c r="AI2333" s="6">
        <f>YEAR(AK2333)</f>
        <v/>
      </c>
      <c r="AJ2333" s="6">
        <f>MONTH(AK2333)</f>
        <v/>
      </c>
      <c r="AK2333" s="267">
        <f>IFERROR(__xludf.DUMMYFUNCTION("""COMPUTED_VALUE"""),45427.9986111111)</f>
        <v/>
      </c>
      <c r="AL2333" s="6">
        <f>IFERROR(__xludf.DUMMYFUNCTION("""COMPUTED_VALUE"""),61854.5)</f>
        <v/>
      </c>
      <c r="AP2333" s="6">
        <f>AQ2333&amp;AR2333</f>
        <v/>
      </c>
      <c r="AQ2333" s="6">
        <f>YEAR(AS2333)</f>
        <v/>
      </c>
      <c r="AR2333" s="6">
        <f>MONTH(AS2333)</f>
        <v/>
      </c>
    </row>
    <row r="2334">
      <c r="B2334" s="6">
        <f>C2334&amp;D2334</f>
        <v/>
      </c>
      <c r="C2334" s="6">
        <f>YEAR(E2334)</f>
        <v/>
      </c>
      <c r="D2334" s="6">
        <f>MONTH(E2334)</f>
        <v/>
      </c>
      <c r="J2334" s="6">
        <f>K2334&amp;L2334</f>
        <v/>
      </c>
      <c r="K2334" s="6">
        <f>YEAR(M2334)</f>
        <v/>
      </c>
      <c r="L2334" s="6">
        <f>MONTH(M2334)</f>
        <v/>
      </c>
      <c r="R2334" s="6">
        <f>S2334&amp;T2334</f>
        <v/>
      </c>
      <c r="S2334" s="6">
        <f>YEAR(U2334)</f>
        <v/>
      </c>
      <c r="T2334" s="6">
        <f>MONTH(U2334)</f>
        <v/>
      </c>
      <c r="Z2334" s="6">
        <f>AA2334&amp;AB2334</f>
        <v/>
      </c>
      <c r="AA2334" s="6">
        <f>YEAR(AC2334)</f>
        <v/>
      </c>
      <c r="AB2334" s="6">
        <f>MONTH(AC2334)</f>
        <v/>
      </c>
      <c r="AC2334" s="267">
        <f>IFERROR(__xludf.DUMMYFUNCTION("""COMPUTED_VALUE"""),45486.9986111111)</f>
        <v/>
      </c>
      <c r="AD2334" s="6">
        <f>IFERROR(__xludf.DUMMYFUNCTION("""COMPUTED_VALUE"""),1374.1)</f>
        <v/>
      </c>
      <c r="AH2334" s="6">
        <f>AI2334&amp;AJ2334</f>
        <v/>
      </c>
      <c r="AI2334" s="6">
        <f>YEAR(AK2334)</f>
        <v/>
      </c>
      <c r="AJ2334" s="6">
        <f>MONTH(AK2334)</f>
        <v/>
      </c>
      <c r="AK2334" s="267">
        <f>IFERROR(__xludf.DUMMYFUNCTION("""COMPUTED_VALUE"""),45428.9986111111)</f>
        <v/>
      </c>
      <c r="AL2334" s="6">
        <f>IFERROR(__xludf.DUMMYFUNCTION("""COMPUTED_VALUE"""),66077.67)</f>
        <v/>
      </c>
      <c r="AP2334" s="6">
        <f>AQ2334&amp;AR2334</f>
        <v/>
      </c>
      <c r="AQ2334" s="6">
        <f>YEAR(AS2334)</f>
        <v/>
      </c>
      <c r="AR2334" s="6">
        <f>MONTH(AS2334)</f>
        <v/>
      </c>
    </row>
    <row r="2335">
      <c r="B2335" s="6">
        <f>C2335&amp;D2335</f>
        <v/>
      </c>
      <c r="C2335" s="6">
        <f>YEAR(E2335)</f>
        <v/>
      </c>
      <c r="D2335" s="6">
        <f>MONTH(E2335)</f>
        <v/>
      </c>
      <c r="J2335" s="6">
        <f>K2335&amp;L2335</f>
        <v/>
      </c>
      <c r="K2335" s="6">
        <f>YEAR(M2335)</f>
        <v/>
      </c>
      <c r="L2335" s="6">
        <f>MONTH(M2335)</f>
        <v/>
      </c>
      <c r="R2335" s="6">
        <f>S2335&amp;T2335</f>
        <v/>
      </c>
      <c r="S2335" s="6">
        <f>YEAR(U2335)</f>
        <v/>
      </c>
      <c r="T2335" s="6">
        <f>MONTH(U2335)</f>
        <v/>
      </c>
      <c r="Z2335" s="6">
        <f>AA2335&amp;AB2335</f>
        <v/>
      </c>
      <c r="AA2335" s="6">
        <f>YEAR(AC2335)</f>
        <v/>
      </c>
      <c r="AB2335" s="6">
        <f>MONTH(AC2335)</f>
        <v/>
      </c>
      <c r="AC2335" s="267">
        <f>IFERROR(__xludf.DUMMYFUNCTION("""COMPUTED_VALUE"""),45487.9986111111)</f>
        <v/>
      </c>
      <c r="AD2335" s="6">
        <f>IFERROR(__xludf.DUMMYFUNCTION("""COMPUTED_VALUE"""),1374.11)</f>
        <v/>
      </c>
      <c r="AH2335" s="6">
        <f>AI2335&amp;AJ2335</f>
        <v/>
      </c>
      <c r="AI2335" s="6">
        <f>YEAR(AK2335)</f>
        <v/>
      </c>
      <c r="AJ2335" s="6">
        <f>MONTH(AK2335)</f>
        <v/>
      </c>
      <c r="AK2335" s="267">
        <f>IFERROR(__xludf.DUMMYFUNCTION("""COMPUTED_VALUE"""),45429.9986111111)</f>
        <v/>
      </c>
      <c r="AL2335" s="6">
        <f>IFERROR(__xludf.DUMMYFUNCTION("""COMPUTED_VALUE"""),65647.21)</f>
        <v/>
      </c>
      <c r="AP2335" s="6">
        <f>AQ2335&amp;AR2335</f>
        <v/>
      </c>
      <c r="AQ2335" s="6">
        <f>YEAR(AS2335)</f>
        <v/>
      </c>
      <c r="AR2335" s="6">
        <f>MONTH(AS2335)</f>
        <v/>
      </c>
    </row>
    <row r="2336">
      <c r="B2336" s="6">
        <f>C2336&amp;D2336</f>
        <v/>
      </c>
      <c r="C2336" s="6">
        <f>YEAR(E2336)</f>
        <v/>
      </c>
      <c r="D2336" s="6">
        <f>MONTH(E2336)</f>
        <v/>
      </c>
      <c r="J2336" s="6">
        <f>K2336&amp;L2336</f>
        <v/>
      </c>
      <c r="K2336" s="6">
        <f>YEAR(M2336)</f>
        <v/>
      </c>
      <c r="L2336" s="6">
        <f>MONTH(M2336)</f>
        <v/>
      </c>
      <c r="R2336" s="6">
        <f>S2336&amp;T2336</f>
        <v/>
      </c>
      <c r="S2336" s="6">
        <f>YEAR(U2336)</f>
        <v/>
      </c>
      <c r="T2336" s="6">
        <f>MONTH(U2336)</f>
        <v/>
      </c>
      <c r="Z2336" s="6">
        <f>AA2336&amp;AB2336</f>
        <v/>
      </c>
      <c r="AA2336" s="6">
        <f>YEAR(AC2336)</f>
        <v/>
      </c>
      <c r="AB2336" s="6">
        <f>MONTH(AC2336)</f>
        <v/>
      </c>
      <c r="AC2336" s="267">
        <f>IFERROR(__xludf.DUMMYFUNCTION("""COMPUTED_VALUE"""),45488.9986111111)</f>
        <v/>
      </c>
      <c r="AD2336" s="6">
        <f>IFERROR(__xludf.DUMMYFUNCTION("""COMPUTED_VALUE"""),1383.69)</f>
        <v/>
      </c>
      <c r="AH2336" s="6">
        <f>AI2336&amp;AJ2336</f>
        <v/>
      </c>
      <c r="AI2336" s="6">
        <f>YEAR(AK2336)</f>
        <v/>
      </c>
      <c r="AJ2336" s="6">
        <f>MONTH(AK2336)</f>
        <v/>
      </c>
      <c r="AK2336" s="267">
        <f>IFERROR(__xludf.DUMMYFUNCTION("""COMPUTED_VALUE"""),45430.9986111111)</f>
        <v/>
      </c>
      <c r="AL2336" s="6">
        <f>IFERROR(__xludf.DUMMYFUNCTION("""COMPUTED_VALUE"""),66964.48)</f>
        <v/>
      </c>
      <c r="AP2336" s="6">
        <f>AQ2336&amp;AR2336</f>
        <v/>
      </c>
      <c r="AQ2336" s="6">
        <f>YEAR(AS2336)</f>
        <v/>
      </c>
      <c r="AR2336" s="6">
        <f>MONTH(AS2336)</f>
        <v/>
      </c>
    </row>
    <row r="2337">
      <c r="B2337" s="6">
        <f>C2337&amp;D2337</f>
        <v/>
      </c>
      <c r="C2337" s="6">
        <f>YEAR(E2337)</f>
        <v/>
      </c>
      <c r="D2337" s="6">
        <f>MONTH(E2337)</f>
        <v/>
      </c>
      <c r="J2337" s="6">
        <f>K2337&amp;L2337</f>
        <v/>
      </c>
      <c r="K2337" s="6">
        <f>YEAR(M2337)</f>
        <v/>
      </c>
      <c r="L2337" s="6">
        <f>MONTH(M2337)</f>
        <v/>
      </c>
      <c r="R2337" s="6">
        <f>S2337&amp;T2337</f>
        <v/>
      </c>
      <c r="S2337" s="6">
        <f>YEAR(U2337)</f>
        <v/>
      </c>
      <c r="T2337" s="6">
        <f>MONTH(U2337)</f>
        <v/>
      </c>
      <c r="Z2337" s="6">
        <f>AA2337&amp;AB2337</f>
        <v/>
      </c>
      <c r="AA2337" s="6">
        <f>YEAR(AC2337)</f>
        <v/>
      </c>
      <c r="AB2337" s="6">
        <f>MONTH(AC2337)</f>
        <v/>
      </c>
      <c r="AC2337" s="267">
        <f>IFERROR(__xludf.DUMMYFUNCTION("""COMPUTED_VALUE"""),45489.9986111111)</f>
        <v/>
      </c>
      <c r="AD2337" s="6">
        <f>IFERROR(__xludf.DUMMYFUNCTION("""COMPUTED_VALUE"""),1382.64)</f>
        <v/>
      </c>
      <c r="AH2337" s="6">
        <f>AI2337&amp;AJ2337</f>
        <v/>
      </c>
      <c r="AI2337" s="6">
        <f>YEAR(AK2337)</f>
        <v/>
      </c>
      <c r="AJ2337" s="6">
        <f>MONTH(AK2337)</f>
        <v/>
      </c>
      <c r="AK2337" s="267">
        <f>IFERROR(__xludf.DUMMYFUNCTION("""COMPUTED_VALUE"""),45431.9986111111)</f>
        <v/>
      </c>
      <c r="AL2337" s="6">
        <f>IFERROR(__xludf.DUMMYFUNCTION("""COMPUTED_VALUE"""),67052.87)</f>
        <v/>
      </c>
      <c r="AP2337" s="6">
        <f>AQ2337&amp;AR2337</f>
        <v/>
      </c>
      <c r="AQ2337" s="6">
        <f>YEAR(AS2337)</f>
        <v/>
      </c>
      <c r="AR2337" s="6">
        <f>MONTH(AS2337)</f>
        <v/>
      </c>
    </row>
    <row r="2338">
      <c r="B2338" s="6">
        <f>C2338&amp;D2338</f>
        <v/>
      </c>
      <c r="C2338" s="6">
        <f>YEAR(E2338)</f>
        <v/>
      </c>
      <c r="D2338" s="6">
        <f>MONTH(E2338)</f>
        <v/>
      </c>
      <c r="J2338" s="6">
        <f>K2338&amp;L2338</f>
        <v/>
      </c>
      <c r="K2338" s="6">
        <f>YEAR(M2338)</f>
        <v/>
      </c>
      <c r="L2338" s="6">
        <f>MONTH(M2338)</f>
        <v/>
      </c>
      <c r="R2338" s="6">
        <f>S2338&amp;T2338</f>
        <v/>
      </c>
      <c r="S2338" s="6">
        <f>YEAR(U2338)</f>
        <v/>
      </c>
      <c r="T2338" s="6">
        <f>MONTH(U2338)</f>
        <v/>
      </c>
      <c r="Z2338" s="6">
        <f>AA2338&amp;AB2338</f>
        <v/>
      </c>
      <c r="AA2338" s="6">
        <f>YEAR(AC2338)</f>
        <v/>
      </c>
      <c r="AB2338" s="6">
        <f>MONTH(AC2338)</f>
        <v/>
      </c>
      <c r="AC2338" s="267">
        <f>IFERROR(__xludf.DUMMYFUNCTION("""COMPUTED_VALUE"""),45490.9986111111)</f>
        <v/>
      </c>
      <c r="AD2338" s="6">
        <f>IFERROR(__xludf.DUMMYFUNCTION("""COMPUTED_VALUE"""),1378.65)</f>
        <v/>
      </c>
      <c r="AH2338" s="6">
        <f>AI2338&amp;AJ2338</f>
        <v/>
      </c>
      <c r="AI2338" s="6">
        <f>YEAR(AK2338)</f>
        <v/>
      </c>
      <c r="AJ2338" s="6">
        <f>MONTH(AK2338)</f>
        <v/>
      </c>
      <c r="AK2338" s="267">
        <f>IFERROR(__xludf.DUMMYFUNCTION("""COMPUTED_VALUE"""),45432.9986111111)</f>
        <v/>
      </c>
      <c r="AL2338" s="6">
        <f>IFERROR(__xludf.DUMMYFUNCTION("""COMPUTED_VALUE"""),66680.9)</f>
        <v/>
      </c>
      <c r="AP2338" s="6">
        <f>AQ2338&amp;AR2338</f>
        <v/>
      </c>
      <c r="AQ2338" s="6">
        <f>YEAR(AS2338)</f>
        <v/>
      </c>
      <c r="AR2338" s="6">
        <f>MONTH(AS2338)</f>
        <v/>
      </c>
    </row>
    <row r="2339">
      <c r="B2339" s="6">
        <f>C2339&amp;D2339</f>
        <v/>
      </c>
      <c r="C2339" s="6">
        <f>YEAR(E2339)</f>
        <v/>
      </c>
      <c r="D2339" s="6">
        <f>MONTH(E2339)</f>
        <v/>
      </c>
      <c r="J2339" s="6">
        <f>K2339&amp;L2339</f>
        <v/>
      </c>
      <c r="K2339" s="6">
        <f>YEAR(M2339)</f>
        <v/>
      </c>
      <c r="L2339" s="6">
        <f>MONTH(M2339)</f>
        <v/>
      </c>
      <c r="R2339" s="6">
        <f>S2339&amp;T2339</f>
        <v/>
      </c>
      <c r="S2339" s="6">
        <f>YEAR(U2339)</f>
        <v/>
      </c>
      <c r="T2339" s="6">
        <f>MONTH(U2339)</f>
        <v/>
      </c>
      <c r="Z2339" s="6">
        <f>AA2339&amp;AB2339</f>
        <v/>
      </c>
      <c r="AA2339" s="6">
        <f>YEAR(AC2339)</f>
        <v/>
      </c>
      <c r="AB2339" s="6">
        <f>MONTH(AC2339)</f>
        <v/>
      </c>
      <c r="AC2339" s="267">
        <f>IFERROR(__xludf.DUMMYFUNCTION("""COMPUTED_VALUE"""),45491.9986111111)</f>
        <v/>
      </c>
      <c r="AD2339" s="6">
        <f>IFERROR(__xludf.DUMMYFUNCTION("""COMPUTED_VALUE"""),1385.24)</f>
        <v/>
      </c>
      <c r="AH2339" s="6">
        <f>AI2339&amp;AJ2339</f>
        <v/>
      </c>
      <c r="AI2339" s="6">
        <f>YEAR(AK2339)</f>
        <v/>
      </c>
      <c r="AJ2339" s="6">
        <f>MONTH(AK2339)</f>
        <v/>
      </c>
      <c r="AK2339" s="267">
        <f>IFERROR(__xludf.DUMMYFUNCTION("""COMPUTED_VALUE"""),45433.9986111111)</f>
        <v/>
      </c>
      <c r="AL2339" s="6">
        <f>IFERROR(__xludf.DUMMYFUNCTION("""COMPUTED_VALUE"""),71227.18)</f>
        <v/>
      </c>
      <c r="AP2339" s="6">
        <f>AQ2339&amp;AR2339</f>
        <v/>
      </c>
      <c r="AQ2339" s="6">
        <f>YEAR(AS2339)</f>
        <v/>
      </c>
      <c r="AR2339" s="6">
        <f>MONTH(AS2339)</f>
        <v/>
      </c>
    </row>
    <row r="2340">
      <c r="B2340" s="6">
        <f>C2340&amp;D2340</f>
        <v/>
      </c>
      <c r="C2340" s="6">
        <f>YEAR(E2340)</f>
        <v/>
      </c>
      <c r="D2340" s="6">
        <f>MONTH(E2340)</f>
        <v/>
      </c>
      <c r="J2340" s="6">
        <f>K2340&amp;L2340</f>
        <v/>
      </c>
      <c r="K2340" s="6">
        <f>YEAR(M2340)</f>
        <v/>
      </c>
      <c r="L2340" s="6">
        <f>MONTH(M2340)</f>
        <v/>
      </c>
      <c r="R2340" s="6">
        <f>S2340&amp;T2340</f>
        <v/>
      </c>
      <c r="S2340" s="6">
        <f>YEAR(U2340)</f>
        <v/>
      </c>
      <c r="T2340" s="6">
        <f>MONTH(U2340)</f>
        <v/>
      </c>
      <c r="Z2340" s="6">
        <f>AA2340&amp;AB2340</f>
        <v/>
      </c>
      <c r="AA2340" s="6">
        <f>YEAR(AC2340)</f>
        <v/>
      </c>
      <c r="AB2340" s="6">
        <f>MONTH(AC2340)</f>
        <v/>
      </c>
      <c r="AC2340" s="267">
        <f>IFERROR(__xludf.DUMMYFUNCTION("""COMPUTED_VALUE"""),45492.9986111111)</f>
        <v/>
      </c>
      <c r="AD2340" s="6">
        <f>IFERROR(__xludf.DUMMYFUNCTION("""COMPUTED_VALUE"""),1388.92)</f>
        <v/>
      </c>
      <c r="AH2340" s="6">
        <f>AI2340&amp;AJ2340</f>
        <v/>
      </c>
      <c r="AI2340" s="6">
        <f>YEAR(AK2340)</f>
        <v/>
      </c>
      <c r="AJ2340" s="6">
        <f>MONTH(AK2340)</f>
        <v/>
      </c>
      <c r="AK2340" s="267">
        <f>IFERROR(__xludf.DUMMYFUNCTION("""COMPUTED_VALUE"""),45434.9986111111)</f>
        <v/>
      </c>
      <c r="AL2340" s="6">
        <f>IFERROR(__xludf.DUMMYFUNCTION("""COMPUTED_VALUE"""),69901.25)</f>
        <v/>
      </c>
      <c r="AP2340" s="6">
        <f>AQ2340&amp;AR2340</f>
        <v/>
      </c>
      <c r="AQ2340" s="6">
        <f>YEAR(AS2340)</f>
        <v/>
      </c>
      <c r="AR2340" s="6">
        <f>MONTH(AS2340)</f>
        <v/>
      </c>
    </row>
    <row r="2341">
      <c r="B2341" s="6">
        <f>C2341&amp;D2341</f>
        <v/>
      </c>
      <c r="C2341" s="6">
        <f>YEAR(E2341)</f>
        <v/>
      </c>
      <c r="D2341" s="6">
        <f>MONTH(E2341)</f>
        <v/>
      </c>
      <c r="J2341" s="6">
        <f>K2341&amp;L2341</f>
        <v/>
      </c>
      <c r="K2341" s="6">
        <f>YEAR(M2341)</f>
        <v/>
      </c>
      <c r="L2341" s="6">
        <f>MONTH(M2341)</f>
        <v/>
      </c>
      <c r="R2341" s="6">
        <f>S2341&amp;T2341</f>
        <v/>
      </c>
      <c r="S2341" s="6">
        <f>YEAR(U2341)</f>
        <v/>
      </c>
      <c r="T2341" s="6">
        <f>MONTH(U2341)</f>
        <v/>
      </c>
      <c r="Z2341" s="6">
        <f>AA2341&amp;AB2341</f>
        <v/>
      </c>
      <c r="AA2341" s="6">
        <f>YEAR(AC2341)</f>
        <v/>
      </c>
      <c r="AB2341" s="6">
        <f>MONTH(AC2341)</f>
        <v/>
      </c>
      <c r="AC2341" s="267">
        <f>IFERROR(__xludf.DUMMYFUNCTION("""COMPUTED_VALUE"""),45493.9986111111)</f>
        <v/>
      </c>
      <c r="AD2341" s="6">
        <f>IFERROR(__xludf.DUMMYFUNCTION("""COMPUTED_VALUE"""),1388.92)</f>
        <v/>
      </c>
      <c r="AH2341" s="6">
        <f>AI2341&amp;AJ2341</f>
        <v/>
      </c>
      <c r="AI2341" s="6">
        <f>YEAR(AK2341)</f>
        <v/>
      </c>
      <c r="AJ2341" s="6">
        <f>MONTH(AK2341)</f>
        <v/>
      </c>
      <c r="AK2341" s="267">
        <f>IFERROR(__xludf.DUMMYFUNCTION("""COMPUTED_VALUE"""),45435.9986111111)</f>
        <v/>
      </c>
      <c r="AL2341" s="6">
        <f>IFERROR(__xludf.DUMMYFUNCTION("""COMPUTED_VALUE"""),69334.23)</f>
        <v/>
      </c>
      <c r="AP2341" s="6">
        <f>AQ2341&amp;AR2341</f>
        <v/>
      </c>
      <c r="AQ2341" s="6">
        <f>YEAR(AS2341)</f>
        <v/>
      </c>
      <c r="AR2341" s="6">
        <f>MONTH(AS2341)</f>
        <v/>
      </c>
    </row>
    <row r="2342">
      <c r="B2342" s="6">
        <f>C2342&amp;D2342</f>
        <v/>
      </c>
      <c r="C2342" s="6">
        <f>YEAR(E2342)</f>
        <v/>
      </c>
      <c r="D2342" s="6">
        <f>MONTH(E2342)</f>
        <v/>
      </c>
      <c r="J2342" s="6">
        <f>K2342&amp;L2342</f>
        <v/>
      </c>
      <c r="K2342" s="6">
        <f>YEAR(M2342)</f>
        <v/>
      </c>
      <c r="L2342" s="6">
        <f>MONTH(M2342)</f>
        <v/>
      </c>
      <c r="R2342" s="6">
        <f>S2342&amp;T2342</f>
        <v/>
      </c>
      <c r="S2342" s="6">
        <f>YEAR(U2342)</f>
        <v/>
      </c>
      <c r="T2342" s="6">
        <f>MONTH(U2342)</f>
        <v/>
      </c>
      <c r="Z2342" s="6">
        <f>AA2342&amp;AB2342</f>
        <v/>
      </c>
      <c r="AA2342" s="6">
        <f>YEAR(AC2342)</f>
        <v/>
      </c>
      <c r="AB2342" s="6">
        <f>MONTH(AC2342)</f>
        <v/>
      </c>
      <c r="AC2342" s="267">
        <f>IFERROR(__xludf.DUMMYFUNCTION("""COMPUTED_VALUE"""),45494.9986111111)</f>
        <v/>
      </c>
      <c r="AD2342" s="6">
        <f>IFERROR(__xludf.DUMMYFUNCTION("""COMPUTED_VALUE"""),1388.81)</f>
        <v/>
      </c>
      <c r="AH2342" s="6">
        <f>AI2342&amp;AJ2342</f>
        <v/>
      </c>
      <c r="AI2342" s="6">
        <f>YEAR(AK2342)</f>
        <v/>
      </c>
      <c r="AJ2342" s="6">
        <f>MONTH(AK2342)</f>
        <v/>
      </c>
      <c r="AK2342" s="267">
        <f>IFERROR(__xludf.DUMMYFUNCTION("""COMPUTED_VALUE"""),45436.9986111111)</f>
        <v/>
      </c>
      <c r="AL2342" s="6">
        <f>IFERROR(__xludf.DUMMYFUNCTION("""COMPUTED_VALUE"""),67851.91)</f>
        <v/>
      </c>
      <c r="AP2342" s="6">
        <f>AQ2342&amp;AR2342</f>
        <v/>
      </c>
      <c r="AQ2342" s="6">
        <f>YEAR(AS2342)</f>
        <v/>
      </c>
      <c r="AR2342" s="6">
        <f>MONTH(AS2342)</f>
        <v/>
      </c>
    </row>
    <row r="2343">
      <c r="B2343" s="6">
        <f>C2343&amp;D2343</f>
        <v/>
      </c>
      <c r="C2343" s="6">
        <f>YEAR(E2343)</f>
        <v/>
      </c>
      <c r="D2343" s="6">
        <f>MONTH(E2343)</f>
        <v/>
      </c>
      <c r="J2343" s="6">
        <f>K2343&amp;L2343</f>
        <v/>
      </c>
      <c r="K2343" s="6">
        <f>YEAR(M2343)</f>
        <v/>
      </c>
      <c r="L2343" s="6">
        <f>MONTH(M2343)</f>
        <v/>
      </c>
      <c r="R2343" s="6">
        <f>S2343&amp;T2343</f>
        <v/>
      </c>
      <c r="S2343" s="6">
        <f>YEAR(U2343)</f>
        <v/>
      </c>
      <c r="T2343" s="6">
        <f>MONTH(U2343)</f>
        <v/>
      </c>
      <c r="Z2343" s="6">
        <f>AA2343&amp;AB2343</f>
        <v/>
      </c>
      <c r="AA2343" s="6">
        <f>YEAR(AC2343)</f>
        <v/>
      </c>
      <c r="AB2343" s="6">
        <f>MONTH(AC2343)</f>
        <v/>
      </c>
      <c r="AC2343" s="267">
        <f>IFERROR(__xludf.DUMMYFUNCTION("""COMPUTED_VALUE"""),45495.9986111111)</f>
        <v/>
      </c>
      <c r="AD2343" s="6">
        <f>IFERROR(__xludf.DUMMYFUNCTION("""COMPUTED_VALUE"""),1387.1)</f>
        <v/>
      </c>
      <c r="AH2343" s="6">
        <f>AI2343&amp;AJ2343</f>
        <v/>
      </c>
      <c r="AI2343" s="6">
        <f>YEAR(AK2343)</f>
        <v/>
      </c>
      <c r="AJ2343" s="6">
        <f>MONTH(AK2343)</f>
        <v/>
      </c>
      <c r="AK2343" s="267">
        <f>IFERROR(__xludf.DUMMYFUNCTION("""COMPUTED_VALUE"""),45437.9986111111)</f>
        <v/>
      </c>
      <c r="AL2343" s="6">
        <f>IFERROR(__xludf.DUMMYFUNCTION("""COMPUTED_VALUE"""),68747.1)</f>
        <v/>
      </c>
      <c r="AP2343" s="6">
        <f>AQ2343&amp;AR2343</f>
        <v/>
      </c>
      <c r="AQ2343" s="6">
        <f>YEAR(AS2343)</f>
        <v/>
      </c>
      <c r="AR2343" s="6">
        <f>MONTH(AS2343)</f>
        <v/>
      </c>
    </row>
    <row r="2344">
      <c r="B2344" s="6">
        <f>C2344&amp;D2344</f>
        <v/>
      </c>
      <c r="C2344" s="6">
        <f>YEAR(E2344)</f>
        <v/>
      </c>
      <c r="D2344" s="6">
        <f>MONTH(E2344)</f>
        <v/>
      </c>
      <c r="J2344" s="6">
        <f>K2344&amp;L2344</f>
        <v/>
      </c>
      <c r="K2344" s="6">
        <f>YEAR(M2344)</f>
        <v/>
      </c>
      <c r="L2344" s="6">
        <f>MONTH(M2344)</f>
        <v/>
      </c>
      <c r="R2344" s="6">
        <f>S2344&amp;T2344</f>
        <v/>
      </c>
      <c r="S2344" s="6">
        <f>YEAR(U2344)</f>
        <v/>
      </c>
      <c r="T2344" s="6">
        <f>MONTH(U2344)</f>
        <v/>
      </c>
      <c r="Z2344" s="6">
        <f>AA2344&amp;AB2344</f>
        <v/>
      </c>
      <c r="AA2344" s="6">
        <f>YEAR(AC2344)</f>
        <v/>
      </c>
      <c r="AB2344" s="6">
        <f>MONTH(AC2344)</f>
        <v/>
      </c>
      <c r="AC2344" s="267">
        <f>IFERROR(__xludf.DUMMYFUNCTION("""COMPUTED_VALUE"""),45496.9986111111)</f>
        <v/>
      </c>
      <c r="AD2344" s="6">
        <f>IFERROR(__xludf.DUMMYFUNCTION("""COMPUTED_VALUE"""),1384.57)</f>
        <v/>
      </c>
      <c r="AH2344" s="6">
        <f>AI2344&amp;AJ2344</f>
        <v/>
      </c>
      <c r="AI2344" s="6">
        <f>YEAR(AK2344)</f>
        <v/>
      </c>
      <c r="AJ2344" s="6">
        <f>MONTH(AK2344)</f>
        <v/>
      </c>
      <c r="AK2344" s="267">
        <f>IFERROR(__xludf.DUMMYFUNCTION("""COMPUTED_VALUE"""),45438.9986111111)</f>
        <v/>
      </c>
      <c r="AL2344" s="6">
        <f>IFERROR(__xludf.DUMMYFUNCTION("""COMPUTED_VALUE"""),69076.61)</f>
        <v/>
      </c>
      <c r="AP2344" s="6">
        <f>AQ2344&amp;AR2344</f>
        <v/>
      </c>
      <c r="AQ2344" s="6">
        <f>YEAR(AS2344)</f>
        <v/>
      </c>
      <c r="AR2344" s="6">
        <f>MONTH(AS2344)</f>
        <v/>
      </c>
    </row>
    <row r="2345">
      <c r="B2345" s="6">
        <f>C2345&amp;D2345</f>
        <v/>
      </c>
      <c r="C2345" s="6">
        <f>YEAR(E2345)</f>
        <v/>
      </c>
      <c r="D2345" s="6">
        <f>MONTH(E2345)</f>
        <v/>
      </c>
      <c r="J2345" s="6">
        <f>K2345&amp;L2345</f>
        <v/>
      </c>
      <c r="K2345" s="6">
        <f>YEAR(M2345)</f>
        <v/>
      </c>
      <c r="L2345" s="6">
        <f>MONTH(M2345)</f>
        <v/>
      </c>
      <c r="R2345" s="6">
        <f>S2345&amp;T2345</f>
        <v/>
      </c>
      <c r="S2345" s="6">
        <f>YEAR(U2345)</f>
        <v/>
      </c>
      <c r="T2345" s="6">
        <f>MONTH(U2345)</f>
        <v/>
      </c>
      <c r="Z2345" s="6">
        <f>AA2345&amp;AB2345</f>
        <v/>
      </c>
      <c r="AA2345" s="6">
        <f>YEAR(AC2345)</f>
        <v/>
      </c>
      <c r="AB2345" s="6">
        <f>MONTH(AC2345)</f>
        <v/>
      </c>
      <c r="AC2345" s="267">
        <f>IFERROR(__xludf.DUMMYFUNCTION("""COMPUTED_VALUE"""),45497.9986111111)</f>
        <v/>
      </c>
      <c r="AD2345" s="6">
        <f>IFERROR(__xludf.DUMMYFUNCTION("""COMPUTED_VALUE"""),1382.65)</f>
        <v/>
      </c>
      <c r="AH2345" s="6">
        <f>AI2345&amp;AJ2345</f>
        <v/>
      </c>
      <c r="AI2345" s="6">
        <f>YEAR(AK2345)</f>
        <v/>
      </c>
      <c r="AJ2345" s="6">
        <f>MONTH(AK2345)</f>
        <v/>
      </c>
      <c r="AK2345" s="267">
        <f>IFERROR(__xludf.DUMMYFUNCTION("""COMPUTED_VALUE"""),45439.9986111111)</f>
        <v/>
      </c>
      <c r="AL2345" s="6">
        <f>IFERROR(__xludf.DUMMYFUNCTION("""COMPUTED_VALUE"""),68914.83)</f>
        <v/>
      </c>
      <c r="AP2345" s="6">
        <f>AQ2345&amp;AR2345</f>
        <v/>
      </c>
      <c r="AQ2345" s="6">
        <f>YEAR(AS2345)</f>
        <v/>
      </c>
      <c r="AR2345" s="6">
        <f>MONTH(AS2345)</f>
        <v/>
      </c>
    </row>
    <row r="2346">
      <c r="B2346" s="6">
        <f>C2346&amp;D2346</f>
        <v/>
      </c>
      <c r="C2346" s="6">
        <f>YEAR(E2346)</f>
        <v/>
      </c>
      <c r="D2346" s="6">
        <f>MONTH(E2346)</f>
        <v/>
      </c>
      <c r="J2346" s="6">
        <f>K2346&amp;L2346</f>
        <v/>
      </c>
      <c r="K2346" s="6">
        <f>YEAR(M2346)</f>
        <v/>
      </c>
      <c r="L2346" s="6">
        <f>MONTH(M2346)</f>
        <v/>
      </c>
      <c r="R2346" s="6">
        <f>S2346&amp;T2346</f>
        <v/>
      </c>
      <c r="S2346" s="6">
        <f>YEAR(U2346)</f>
        <v/>
      </c>
      <c r="T2346" s="6">
        <f>MONTH(U2346)</f>
        <v/>
      </c>
      <c r="Z2346" s="6">
        <f>AA2346&amp;AB2346</f>
        <v/>
      </c>
      <c r="AA2346" s="6">
        <f>YEAR(AC2346)</f>
        <v/>
      </c>
      <c r="AB2346" s="6">
        <f>MONTH(AC2346)</f>
        <v/>
      </c>
      <c r="AC2346" s="267">
        <f>IFERROR(__xludf.DUMMYFUNCTION("""COMPUTED_VALUE"""),45498.9986111111)</f>
        <v/>
      </c>
      <c r="AD2346" s="6">
        <f>IFERROR(__xludf.DUMMYFUNCTION("""COMPUTED_VALUE"""),1381.43)</f>
        <v/>
      </c>
      <c r="AH2346" s="6">
        <f>AI2346&amp;AJ2346</f>
        <v/>
      </c>
      <c r="AI2346" s="6">
        <f>YEAR(AK2346)</f>
        <v/>
      </c>
      <c r="AJ2346" s="6">
        <f>MONTH(AK2346)</f>
        <v/>
      </c>
      <c r="AK2346" s="267">
        <f>IFERROR(__xludf.DUMMYFUNCTION("""COMPUTED_VALUE"""),45440.9986111111)</f>
        <v/>
      </c>
      <c r="AL2346" s="6">
        <f>IFERROR(__xludf.DUMMYFUNCTION("""COMPUTED_VALUE"""),68102.04)</f>
        <v/>
      </c>
      <c r="AP2346" s="6">
        <f>AQ2346&amp;AR2346</f>
        <v/>
      </c>
      <c r="AQ2346" s="6">
        <f>YEAR(AS2346)</f>
        <v/>
      </c>
      <c r="AR2346" s="6">
        <f>MONTH(AS2346)</f>
        <v/>
      </c>
    </row>
    <row r="2347">
      <c r="B2347" s="6">
        <f>C2347&amp;D2347</f>
        <v/>
      </c>
      <c r="C2347" s="6">
        <f>YEAR(E2347)</f>
        <v/>
      </c>
      <c r="D2347" s="6">
        <f>MONTH(E2347)</f>
        <v/>
      </c>
      <c r="J2347" s="6">
        <f>K2347&amp;L2347</f>
        <v/>
      </c>
      <c r="K2347" s="6">
        <f>YEAR(M2347)</f>
        <v/>
      </c>
      <c r="L2347" s="6">
        <f>MONTH(M2347)</f>
        <v/>
      </c>
      <c r="R2347" s="6">
        <f>S2347&amp;T2347</f>
        <v/>
      </c>
      <c r="S2347" s="6">
        <f>YEAR(U2347)</f>
        <v/>
      </c>
      <c r="T2347" s="6">
        <f>MONTH(U2347)</f>
        <v/>
      </c>
      <c r="Z2347" s="6">
        <f>AA2347&amp;AB2347</f>
        <v/>
      </c>
      <c r="AA2347" s="6">
        <f>YEAR(AC2347)</f>
        <v/>
      </c>
      <c r="AB2347" s="6">
        <f>MONTH(AC2347)</f>
        <v/>
      </c>
      <c r="AC2347" s="267">
        <f>IFERROR(__xludf.DUMMYFUNCTION("""COMPUTED_VALUE"""),45499.9986111111)</f>
        <v/>
      </c>
      <c r="AD2347" s="6">
        <f>IFERROR(__xludf.DUMMYFUNCTION("""COMPUTED_VALUE"""),1384.27)</f>
        <v/>
      </c>
      <c r="AH2347" s="6">
        <f>AI2347&amp;AJ2347</f>
        <v/>
      </c>
      <c r="AI2347" s="6">
        <f>YEAR(AK2347)</f>
        <v/>
      </c>
      <c r="AJ2347" s="6">
        <f>MONTH(AK2347)</f>
        <v/>
      </c>
      <c r="AK2347" s="267">
        <f>IFERROR(__xludf.DUMMYFUNCTION("""COMPUTED_VALUE"""),45441.9986111111)</f>
        <v/>
      </c>
      <c r="AL2347" s="6">
        <f>IFERROR(__xludf.DUMMYFUNCTION("""COMPUTED_VALUE"""),68713.48)</f>
        <v/>
      </c>
      <c r="AP2347" s="6">
        <f>AQ2347&amp;AR2347</f>
        <v/>
      </c>
      <c r="AQ2347" s="6">
        <f>YEAR(AS2347)</f>
        <v/>
      </c>
      <c r="AR2347" s="6">
        <f>MONTH(AS2347)</f>
        <v/>
      </c>
    </row>
    <row r="2348">
      <c r="B2348" s="6">
        <f>C2348&amp;D2348</f>
        <v/>
      </c>
      <c r="C2348" s="6">
        <f>YEAR(E2348)</f>
        <v/>
      </c>
      <c r="D2348" s="6">
        <f>MONTH(E2348)</f>
        <v/>
      </c>
      <c r="J2348" s="6">
        <f>K2348&amp;L2348</f>
        <v/>
      </c>
      <c r="K2348" s="6">
        <f>YEAR(M2348)</f>
        <v/>
      </c>
      <c r="L2348" s="6">
        <f>MONTH(M2348)</f>
        <v/>
      </c>
      <c r="R2348" s="6">
        <f>S2348&amp;T2348</f>
        <v/>
      </c>
      <c r="S2348" s="6">
        <f>YEAR(U2348)</f>
        <v/>
      </c>
      <c r="T2348" s="6">
        <f>MONTH(U2348)</f>
        <v/>
      </c>
      <c r="Z2348" s="6">
        <f>AA2348&amp;AB2348</f>
        <v/>
      </c>
      <c r="AA2348" s="6">
        <f>YEAR(AC2348)</f>
        <v/>
      </c>
      <c r="AB2348" s="6">
        <f>MONTH(AC2348)</f>
        <v/>
      </c>
      <c r="AC2348" s="267">
        <f>IFERROR(__xludf.DUMMYFUNCTION("""COMPUTED_VALUE"""),45500.9986111111)</f>
        <v/>
      </c>
      <c r="AD2348" s="6">
        <f>IFERROR(__xludf.DUMMYFUNCTION("""COMPUTED_VALUE"""),1384.27)</f>
        <v/>
      </c>
      <c r="AH2348" s="6">
        <f>AI2348&amp;AJ2348</f>
        <v/>
      </c>
      <c r="AI2348" s="6">
        <f>YEAR(AK2348)</f>
        <v/>
      </c>
      <c r="AJ2348" s="6">
        <f>MONTH(AK2348)</f>
        <v/>
      </c>
      <c r="AK2348" s="267">
        <f>IFERROR(__xludf.DUMMYFUNCTION("""COMPUTED_VALUE"""),45442.9986111111)</f>
        <v/>
      </c>
      <c r="AL2348" s="6">
        <f>IFERROR(__xludf.DUMMYFUNCTION("""COMPUTED_VALUE"""),68038.64)</f>
        <v/>
      </c>
      <c r="AP2348" s="6">
        <f>AQ2348&amp;AR2348</f>
        <v/>
      </c>
      <c r="AQ2348" s="6">
        <f>YEAR(AS2348)</f>
        <v/>
      </c>
      <c r="AR2348" s="6">
        <f>MONTH(AS2348)</f>
        <v/>
      </c>
    </row>
    <row r="2349">
      <c r="B2349" s="6">
        <f>C2349&amp;D2349</f>
        <v/>
      </c>
      <c r="C2349" s="6">
        <f>YEAR(E2349)</f>
        <v/>
      </c>
      <c r="D2349" s="6">
        <f>MONTH(E2349)</f>
        <v/>
      </c>
      <c r="J2349" s="6">
        <f>K2349&amp;L2349</f>
        <v/>
      </c>
      <c r="K2349" s="6">
        <f>YEAR(M2349)</f>
        <v/>
      </c>
      <c r="L2349" s="6">
        <f>MONTH(M2349)</f>
        <v/>
      </c>
      <c r="R2349" s="6">
        <f>S2349&amp;T2349</f>
        <v/>
      </c>
      <c r="S2349" s="6">
        <f>YEAR(U2349)</f>
        <v/>
      </c>
      <c r="T2349" s="6">
        <f>MONTH(U2349)</f>
        <v/>
      </c>
      <c r="Z2349" s="6">
        <f>AA2349&amp;AB2349</f>
        <v/>
      </c>
      <c r="AA2349" s="6">
        <f>YEAR(AC2349)</f>
        <v/>
      </c>
      <c r="AB2349" s="6">
        <f>MONTH(AC2349)</f>
        <v/>
      </c>
      <c r="AC2349" s="267">
        <f>IFERROR(__xludf.DUMMYFUNCTION("""COMPUTED_VALUE"""),45501.9986111111)</f>
        <v/>
      </c>
      <c r="AD2349" s="6">
        <f>IFERROR(__xludf.DUMMYFUNCTION("""COMPUTED_VALUE"""),1382.09)</f>
        <v/>
      </c>
      <c r="AH2349" s="6">
        <f>AI2349&amp;AJ2349</f>
        <v/>
      </c>
      <c r="AI2349" s="6">
        <f>YEAR(AK2349)</f>
        <v/>
      </c>
      <c r="AJ2349" s="6">
        <f>MONTH(AK2349)</f>
        <v/>
      </c>
      <c r="AK2349" s="267">
        <f>IFERROR(__xludf.DUMMYFUNCTION("""COMPUTED_VALUE"""),45443.9986111111)</f>
        <v/>
      </c>
      <c r="AL2349" s="6">
        <f>IFERROR(__xludf.DUMMYFUNCTION("""COMPUTED_VALUE"""),68571.17)</f>
        <v/>
      </c>
      <c r="AP2349" s="6">
        <f>AQ2349&amp;AR2349</f>
        <v/>
      </c>
      <c r="AQ2349" s="6">
        <f>YEAR(AS2349)</f>
        <v/>
      </c>
      <c r="AR2349" s="6">
        <f>MONTH(AS2349)</f>
        <v/>
      </c>
    </row>
    <row r="2350">
      <c r="B2350" s="6">
        <f>C2350&amp;D2350</f>
        <v/>
      </c>
      <c r="C2350" s="6">
        <f>YEAR(E2350)</f>
        <v/>
      </c>
      <c r="D2350" s="6">
        <f>MONTH(E2350)</f>
        <v/>
      </c>
      <c r="J2350" s="6">
        <f>K2350&amp;L2350</f>
        <v/>
      </c>
      <c r="K2350" s="6">
        <f>YEAR(M2350)</f>
        <v/>
      </c>
      <c r="L2350" s="6">
        <f>MONTH(M2350)</f>
        <v/>
      </c>
      <c r="R2350" s="6">
        <f>S2350&amp;T2350</f>
        <v/>
      </c>
      <c r="S2350" s="6">
        <f>YEAR(U2350)</f>
        <v/>
      </c>
      <c r="T2350" s="6">
        <f>MONTH(U2350)</f>
        <v/>
      </c>
      <c r="Z2350" s="6">
        <f>AA2350&amp;AB2350</f>
        <v/>
      </c>
      <c r="AA2350" s="6">
        <f>YEAR(AC2350)</f>
        <v/>
      </c>
      <c r="AB2350" s="6">
        <f>MONTH(AC2350)</f>
        <v/>
      </c>
      <c r="AC2350" s="267">
        <f>IFERROR(__xludf.DUMMYFUNCTION("""COMPUTED_VALUE"""),45502.9986111111)</f>
        <v/>
      </c>
      <c r="AD2350" s="6">
        <f>IFERROR(__xludf.DUMMYFUNCTION("""COMPUTED_VALUE"""),1381.36)</f>
        <v/>
      </c>
      <c r="AH2350" s="6">
        <f>AI2350&amp;AJ2350</f>
        <v/>
      </c>
      <c r="AI2350" s="6">
        <f>YEAR(AK2350)</f>
        <v/>
      </c>
      <c r="AJ2350" s="6">
        <f>MONTH(AK2350)</f>
        <v/>
      </c>
      <c r="AK2350" s="267">
        <f>IFERROR(__xludf.DUMMYFUNCTION("""COMPUTED_VALUE"""),45444.9986111111)</f>
        <v/>
      </c>
      <c r="AL2350" s="6">
        <f>IFERROR(__xludf.DUMMYFUNCTION("""COMPUTED_VALUE"""),67659.3)</f>
        <v/>
      </c>
      <c r="AP2350" s="6">
        <f>AQ2350&amp;AR2350</f>
        <v/>
      </c>
      <c r="AQ2350" s="6">
        <f>YEAR(AS2350)</f>
        <v/>
      </c>
      <c r="AR2350" s="6">
        <f>MONTH(AS2350)</f>
        <v/>
      </c>
    </row>
    <row r="2351">
      <c r="B2351" s="6">
        <f>C2351&amp;D2351</f>
        <v/>
      </c>
      <c r="C2351" s="6">
        <f>YEAR(E2351)</f>
        <v/>
      </c>
      <c r="D2351" s="6">
        <f>MONTH(E2351)</f>
        <v/>
      </c>
      <c r="J2351" s="6">
        <f>K2351&amp;L2351</f>
        <v/>
      </c>
      <c r="K2351" s="6">
        <f>YEAR(M2351)</f>
        <v/>
      </c>
      <c r="L2351" s="6">
        <f>MONTH(M2351)</f>
        <v/>
      </c>
      <c r="R2351" s="6">
        <f>S2351&amp;T2351</f>
        <v/>
      </c>
      <c r="S2351" s="6">
        <f>YEAR(U2351)</f>
        <v/>
      </c>
      <c r="T2351" s="6">
        <f>MONTH(U2351)</f>
        <v/>
      </c>
      <c r="Z2351" s="6">
        <f>AA2351&amp;AB2351</f>
        <v/>
      </c>
      <c r="AA2351" s="6">
        <f>YEAR(AC2351)</f>
        <v/>
      </c>
      <c r="AB2351" s="6">
        <f>MONTH(AC2351)</f>
        <v/>
      </c>
      <c r="AC2351" s="267">
        <f>IFERROR(__xludf.DUMMYFUNCTION("""COMPUTED_VALUE"""),45503.9986111111)</f>
        <v/>
      </c>
      <c r="AD2351" s="6">
        <f>IFERROR(__xludf.DUMMYFUNCTION("""COMPUTED_VALUE"""),1383.5)</f>
        <v/>
      </c>
      <c r="AH2351" s="6">
        <f>AI2351&amp;AJ2351</f>
        <v/>
      </c>
      <c r="AI2351" s="6">
        <f>YEAR(AK2351)</f>
        <v/>
      </c>
      <c r="AJ2351" s="6">
        <f>MONTH(AK2351)</f>
        <v/>
      </c>
      <c r="AK2351" s="267">
        <f>IFERROR(__xludf.DUMMYFUNCTION("""COMPUTED_VALUE"""),45445.9986111111)</f>
        <v/>
      </c>
      <c r="AL2351" s="6">
        <f>IFERROR(__xludf.DUMMYFUNCTION("""COMPUTED_VALUE"""),67737.81)</f>
        <v/>
      </c>
      <c r="AP2351" s="6">
        <f>AQ2351&amp;AR2351</f>
        <v/>
      </c>
      <c r="AQ2351" s="6">
        <f>YEAR(AS2351)</f>
        <v/>
      </c>
      <c r="AR2351" s="6">
        <f>MONTH(AS2351)</f>
        <v/>
      </c>
    </row>
    <row r="2352">
      <c r="B2352" s="6">
        <f>C2352&amp;D2352</f>
        <v/>
      </c>
      <c r="C2352" s="6">
        <f>YEAR(E2352)</f>
        <v/>
      </c>
      <c r="D2352" s="6">
        <f>MONTH(E2352)</f>
        <v/>
      </c>
      <c r="J2352" s="6">
        <f>K2352&amp;L2352</f>
        <v/>
      </c>
      <c r="K2352" s="6">
        <f>YEAR(M2352)</f>
        <v/>
      </c>
      <c r="L2352" s="6">
        <f>MONTH(M2352)</f>
        <v/>
      </c>
      <c r="R2352" s="6">
        <f>S2352&amp;T2352</f>
        <v/>
      </c>
      <c r="S2352" s="6">
        <f>YEAR(U2352)</f>
        <v/>
      </c>
      <c r="T2352" s="6">
        <f>MONTH(U2352)</f>
        <v/>
      </c>
      <c r="Z2352" s="6">
        <f>AA2352&amp;AB2352</f>
        <v/>
      </c>
      <c r="AA2352" s="6">
        <f>YEAR(AC2352)</f>
        <v/>
      </c>
      <c r="AB2352" s="6">
        <f>MONTH(AC2352)</f>
        <v/>
      </c>
      <c r="AC2352" s="267">
        <f>IFERROR(__xludf.DUMMYFUNCTION("""COMPUTED_VALUE"""),45504.9986111111)</f>
        <v/>
      </c>
      <c r="AD2352" s="6">
        <f>IFERROR(__xludf.DUMMYFUNCTION("""COMPUTED_VALUE"""),1367.92)</f>
        <v/>
      </c>
      <c r="AH2352" s="6">
        <f>AI2352&amp;AJ2352</f>
        <v/>
      </c>
      <c r="AI2352" s="6">
        <f>YEAR(AK2352)</f>
        <v/>
      </c>
      <c r="AJ2352" s="6">
        <f>MONTH(AK2352)</f>
        <v/>
      </c>
      <c r="AK2352" s="267">
        <f>IFERROR(__xludf.DUMMYFUNCTION("""COMPUTED_VALUE"""),45446.9986111111)</f>
        <v/>
      </c>
      <c r="AL2352" s="6">
        <f>IFERROR(__xludf.DUMMYFUNCTION("""COMPUTED_VALUE"""),68358.28)</f>
        <v/>
      </c>
      <c r="AP2352" s="6">
        <f>AQ2352&amp;AR2352</f>
        <v/>
      </c>
      <c r="AQ2352" s="6">
        <f>YEAR(AS2352)</f>
        <v/>
      </c>
      <c r="AR2352" s="6">
        <f>MONTH(AS2352)</f>
        <v/>
      </c>
    </row>
    <row r="2353">
      <c r="B2353" s="6">
        <f>C2353&amp;D2353</f>
        <v/>
      </c>
      <c r="C2353" s="6">
        <f>YEAR(E2353)</f>
        <v/>
      </c>
      <c r="D2353" s="6">
        <f>MONTH(E2353)</f>
        <v/>
      </c>
      <c r="J2353" s="6">
        <f>K2353&amp;L2353</f>
        <v/>
      </c>
      <c r="K2353" s="6">
        <f>YEAR(M2353)</f>
        <v/>
      </c>
      <c r="L2353" s="6">
        <f>MONTH(M2353)</f>
        <v/>
      </c>
      <c r="R2353" s="6">
        <f>S2353&amp;T2353</f>
        <v/>
      </c>
      <c r="S2353" s="6">
        <f>YEAR(U2353)</f>
        <v/>
      </c>
      <c r="T2353" s="6">
        <f>MONTH(U2353)</f>
        <v/>
      </c>
      <c r="Z2353" s="6">
        <f>AA2353&amp;AB2353</f>
        <v/>
      </c>
      <c r="AA2353" s="6">
        <f>YEAR(AC2353)</f>
        <v/>
      </c>
      <c r="AB2353" s="6">
        <f>MONTH(AC2353)</f>
        <v/>
      </c>
      <c r="AC2353" s="267">
        <f>IFERROR(__xludf.DUMMYFUNCTION("""COMPUTED_VALUE"""),45505.9986111111)</f>
        <v/>
      </c>
      <c r="AD2353" s="6">
        <f>IFERROR(__xludf.DUMMYFUNCTION("""COMPUTED_VALUE"""),1368.97)</f>
        <v/>
      </c>
      <c r="AH2353" s="6">
        <f>AI2353&amp;AJ2353</f>
        <v/>
      </c>
      <c r="AI2353" s="6">
        <f>YEAR(AK2353)</f>
        <v/>
      </c>
      <c r="AJ2353" s="6">
        <f>MONTH(AK2353)</f>
        <v/>
      </c>
      <c r="AK2353" s="267">
        <f>IFERROR(__xludf.DUMMYFUNCTION("""COMPUTED_VALUE"""),45447.9986111111)</f>
        <v/>
      </c>
      <c r="AL2353" s="6">
        <f>IFERROR(__xludf.DUMMYFUNCTION("""COMPUTED_VALUE"""),69155.55)</f>
        <v/>
      </c>
      <c r="AP2353" s="6">
        <f>AQ2353&amp;AR2353</f>
        <v/>
      </c>
      <c r="AQ2353" s="6">
        <f>YEAR(AS2353)</f>
        <v/>
      </c>
      <c r="AR2353" s="6">
        <f>MONTH(AS2353)</f>
        <v/>
      </c>
    </row>
    <row r="2354">
      <c r="B2354" s="6">
        <f>C2354&amp;D2354</f>
        <v/>
      </c>
      <c r="C2354" s="6">
        <f>YEAR(E2354)</f>
        <v/>
      </c>
      <c r="D2354" s="6">
        <f>MONTH(E2354)</f>
        <v/>
      </c>
      <c r="J2354" s="6">
        <f>K2354&amp;L2354</f>
        <v/>
      </c>
      <c r="K2354" s="6">
        <f>YEAR(M2354)</f>
        <v/>
      </c>
      <c r="L2354" s="6">
        <f>MONTH(M2354)</f>
        <v/>
      </c>
      <c r="R2354" s="6">
        <f>S2354&amp;T2354</f>
        <v/>
      </c>
      <c r="S2354" s="6">
        <f>YEAR(U2354)</f>
        <v/>
      </c>
      <c r="T2354" s="6">
        <f>MONTH(U2354)</f>
        <v/>
      </c>
      <c r="Z2354" s="6">
        <f>AA2354&amp;AB2354</f>
        <v/>
      </c>
      <c r="AA2354" s="6">
        <f>YEAR(AC2354)</f>
        <v/>
      </c>
      <c r="AB2354" s="6">
        <f>MONTH(AC2354)</f>
        <v/>
      </c>
      <c r="AC2354" s="267">
        <f>IFERROR(__xludf.DUMMYFUNCTION("""COMPUTED_VALUE"""),45506.9986111111)</f>
        <v/>
      </c>
      <c r="AD2354" s="6">
        <f>IFERROR(__xludf.DUMMYFUNCTION("""COMPUTED_VALUE"""),1357.15)</f>
        <v/>
      </c>
      <c r="AH2354" s="6">
        <f>AI2354&amp;AJ2354</f>
        <v/>
      </c>
      <c r="AI2354" s="6">
        <f>YEAR(AK2354)</f>
        <v/>
      </c>
      <c r="AJ2354" s="6">
        <f>MONTH(AK2354)</f>
        <v/>
      </c>
      <c r="AK2354" s="267">
        <f>IFERROR(__xludf.DUMMYFUNCTION("""COMPUTED_VALUE"""),45448.9986111111)</f>
        <v/>
      </c>
      <c r="AL2354" s="6">
        <f>IFERROR(__xludf.DUMMYFUNCTION("""COMPUTED_VALUE"""),70883.12)</f>
        <v/>
      </c>
      <c r="AP2354" s="6">
        <f>AQ2354&amp;AR2354</f>
        <v/>
      </c>
      <c r="AQ2354" s="6">
        <f>YEAR(AS2354)</f>
        <v/>
      </c>
      <c r="AR2354" s="6">
        <f>MONTH(AS2354)</f>
        <v/>
      </c>
    </row>
    <row r="2355">
      <c r="B2355" s="6">
        <f>C2355&amp;D2355</f>
        <v/>
      </c>
      <c r="C2355" s="6">
        <f>YEAR(E2355)</f>
        <v/>
      </c>
      <c r="D2355" s="6">
        <f>MONTH(E2355)</f>
        <v/>
      </c>
      <c r="J2355" s="6">
        <f>K2355&amp;L2355</f>
        <v/>
      </c>
      <c r="K2355" s="6">
        <f>YEAR(M2355)</f>
        <v/>
      </c>
      <c r="L2355" s="6">
        <f>MONTH(M2355)</f>
        <v/>
      </c>
      <c r="R2355" s="6">
        <f>S2355&amp;T2355</f>
        <v/>
      </c>
      <c r="S2355" s="6">
        <f>YEAR(U2355)</f>
        <v/>
      </c>
      <c r="T2355" s="6">
        <f>MONTH(U2355)</f>
        <v/>
      </c>
      <c r="Z2355" s="6">
        <f>AA2355&amp;AB2355</f>
        <v/>
      </c>
      <c r="AA2355" s="6">
        <f>YEAR(AC2355)</f>
        <v/>
      </c>
      <c r="AB2355" s="6">
        <f>MONTH(AC2355)</f>
        <v/>
      </c>
      <c r="AC2355" s="267">
        <f>IFERROR(__xludf.DUMMYFUNCTION("""COMPUTED_VALUE"""),45507.9986111111)</f>
        <v/>
      </c>
      <c r="AD2355" s="6">
        <f>IFERROR(__xludf.DUMMYFUNCTION("""COMPUTED_VALUE"""),1357.15)</f>
        <v/>
      </c>
      <c r="AH2355" s="6">
        <f>AI2355&amp;AJ2355</f>
        <v/>
      </c>
      <c r="AI2355" s="6">
        <f>YEAR(AK2355)</f>
        <v/>
      </c>
      <c r="AJ2355" s="6">
        <f>MONTH(AK2355)</f>
        <v/>
      </c>
      <c r="AK2355" s="267">
        <f>IFERROR(__xludf.DUMMYFUNCTION("""COMPUTED_VALUE"""),45449.9986111111)</f>
        <v/>
      </c>
      <c r="AL2355" s="6">
        <f>IFERROR(__xludf.DUMMYFUNCTION("""COMPUTED_VALUE"""),71103.14)</f>
        <v/>
      </c>
      <c r="AP2355" s="6">
        <f>AQ2355&amp;AR2355</f>
        <v/>
      </c>
      <c r="AQ2355" s="6">
        <f>YEAR(AS2355)</f>
        <v/>
      </c>
      <c r="AR2355" s="6">
        <f>MONTH(AS2355)</f>
        <v/>
      </c>
    </row>
    <row r="2356">
      <c r="B2356" s="6">
        <f>C2356&amp;D2356</f>
        <v/>
      </c>
      <c r="C2356" s="6">
        <f>YEAR(E2356)</f>
        <v/>
      </c>
      <c r="D2356" s="6">
        <f>MONTH(E2356)</f>
        <v/>
      </c>
      <c r="J2356" s="6">
        <f>K2356&amp;L2356</f>
        <v/>
      </c>
      <c r="K2356" s="6">
        <f>YEAR(M2356)</f>
        <v/>
      </c>
      <c r="L2356" s="6">
        <f>MONTH(M2356)</f>
        <v/>
      </c>
      <c r="R2356" s="6">
        <f>S2356&amp;T2356</f>
        <v/>
      </c>
      <c r="S2356" s="6">
        <f>YEAR(U2356)</f>
        <v/>
      </c>
      <c r="T2356" s="6">
        <f>MONTH(U2356)</f>
        <v/>
      </c>
      <c r="Z2356" s="6">
        <f>AA2356&amp;AB2356</f>
        <v/>
      </c>
      <c r="AA2356" s="6">
        <f>YEAR(AC2356)</f>
        <v/>
      </c>
      <c r="AB2356" s="6">
        <f>MONTH(AC2356)</f>
        <v/>
      </c>
      <c r="AC2356" s="267">
        <f>IFERROR(__xludf.DUMMYFUNCTION("""COMPUTED_VALUE"""),45508.9986111111)</f>
        <v/>
      </c>
      <c r="AD2356" s="6">
        <f>IFERROR(__xludf.DUMMYFUNCTION("""COMPUTED_VALUE"""),1357.17)</f>
        <v/>
      </c>
      <c r="AH2356" s="6">
        <f>AI2356&amp;AJ2356</f>
        <v/>
      </c>
      <c r="AI2356" s="6">
        <f>YEAR(AK2356)</f>
        <v/>
      </c>
      <c r="AJ2356" s="6">
        <f>MONTH(AK2356)</f>
        <v/>
      </c>
      <c r="AK2356" s="267">
        <f>IFERROR(__xludf.DUMMYFUNCTION("""COMPUTED_VALUE"""),45450.9986111111)</f>
        <v/>
      </c>
      <c r="AL2356" s="6">
        <f>IFERROR(__xludf.DUMMYFUNCTION("""COMPUTED_VALUE"""),70959.8)</f>
        <v/>
      </c>
      <c r="AP2356" s="6">
        <f>AQ2356&amp;AR2356</f>
        <v/>
      </c>
      <c r="AQ2356" s="6">
        <f>YEAR(AS2356)</f>
        <v/>
      </c>
      <c r="AR2356" s="6">
        <f>MONTH(AS2356)</f>
        <v/>
      </c>
    </row>
    <row r="2357">
      <c r="B2357" s="6">
        <f>C2357&amp;D2357</f>
        <v/>
      </c>
      <c r="C2357" s="6">
        <f>YEAR(E2357)</f>
        <v/>
      </c>
      <c r="D2357" s="6">
        <f>MONTH(E2357)</f>
        <v/>
      </c>
      <c r="J2357" s="6">
        <f>K2357&amp;L2357</f>
        <v/>
      </c>
      <c r="K2357" s="6">
        <f>YEAR(M2357)</f>
        <v/>
      </c>
      <c r="L2357" s="6">
        <f>MONTH(M2357)</f>
        <v/>
      </c>
      <c r="R2357" s="6">
        <f>S2357&amp;T2357</f>
        <v/>
      </c>
      <c r="S2357" s="6">
        <f>YEAR(U2357)</f>
        <v/>
      </c>
      <c r="T2357" s="6">
        <f>MONTH(U2357)</f>
        <v/>
      </c>
      <c r="Z2357" s="6">
        <f>AA2357&amp;AB2357</f>
        <v/>
      </c>
      <c r="AA2357" s="6">
        <f>YEAR(AC2357)</f>
        <v/>
      </c>
      <c r="AB2357" s="6">
        <f>MONTH(AC2357)</f>
        <v/>
      </c>
      <c r="AC2357" s="267">
        <f>IFERROR(__xludf.DUMMYFUNCTION("""COMPUTED_VALUE"""),45509.9986111111)</f>
        <v/>
      </c>
      <c r="AD2357" s="6">
        <f>IFERROR(__xludf.DUMMYFUNCTION("""COMPUTED_VALUE"""),1367.4)</f>
        <v/>
      </c>
      <c r="AH2357" s="6">
        <f>AI2357&amp;AJ2357</f>
        <v/>
      </c>
      <c r="AI2357" s="6">
        <f>YEAR(AK2357)</f>
        <v/>
      </c>
      <c r="AJ2357" s="6">
        <f>MONTH(AK2357)</f>
        <v/>
      </c>
      <c r="AK2357" s="267">
        <f>IFERROR(__xludf.DUMMYFUNCTION("""COMPUTED_VALUE"""),45451.9986111111)</f>
        <v/>
      </c>
      <c r="AL2357" s="6">
        <f>IFERROR(__xludf.DUMMYFUNCTION("""COMPUTED_VALUE"""),69445.59)</f>
        <v/>
      </c>
      <c r="AP2357" s="6">
        <f>AQ2357&amp;AR2357</f>
        <v/>
      </c>
      <c r="AQ2357" s="6">
        <f>YEAR(AS2357)</f>
        <v/>
      </c>
      <c r="AR2357" s="6">
        <f>MONTH(AS2357)</f>
        <v/>
      </c>
    </row>
    <row r="2358">
      <c r="B2358" s="6">
        <f>C2358&amp;D2358</f>
        <v/>
      </c>
      <c r="C2358" s="6">
        <f>YEAR(E2358)</f>
        <v/>
      </c>
      <c r="D2358" s="6">
        <f>MONTH(E2358)</f>
        <v/>
      </c>
      <c r="J2358" s="6">
        <f>K2358&amp;L2358</f>
        <v/>
      </c>
      <c r="K2358" s="6">
        <f>YEAR(M2358)</f>
        <v/>
      </c>
      <c r="L2358" s="6">
        <f>MONTH(M2358)</f>
        <v/>
      </c>
      <c r="R2358" s="6">
        <f>S2358&amp;T2358</f>
        <v/>
      </c>
      <c r="S2358" s="6">
        <f>YEAR(U2358)</f>
        <v/>
      </c>
      <c r="T2358" s="6">
        <f>MONTH(U2358)</f>
        <v/>
      </c>
      <c r="Z2358" s="6">
        <f>AA2358&amp;AB2358</f>
        <v/>
      </c>
      <c r="AA2358" s="6">
        <f>YEAR(AC2358)</f>
        <v/>
      </c>
      <c r="AB2358" s="6">
        <f>MONTH(AC2358)</f>
        <v/>
      </c>
      <c r="AC2358" s="267">
        <f>IFERROR(__xludf.DUMMYFUNCTION("""COMPUTED_VALUE"""),45510.9986111111)</f>
        <v/>
      </c>
      <c r="AD2358" s="6">
        <f>IFERROR(__xludf.DUMMYFUNCTION("""COMPUTED_VALUE"""),1370.31)</f>
        <v/>
      </c>
      <c r="AH2358" s="6">
        <f>AI2358&amp;AJ2358</f>
        <v/>
      </c>
      <c r="AI2358" s="6">
        <f>YEAR(AK2358)</f>
        <v/>
      </c>
      <c r="AJ2358" s="6">
        <f>MONTH(AK2358)</f>
        <v/>
      </c>
      <c r="AK2358" s="267">
        <f>IFERROR(__xludf.DUMMYFUNCTION("""COMPUTED_VALUE"""),45452.9986111111)</f>
        <v/>
      </c>
      <c r="AL2358" s="6">
        <f>IFERROR(__xludf.DUMMYFUNCTION("""COMPUTED_VALUE"""),69277.68)</f>
        <v/>
      </c>
      <c r="AP2358" s="6">
        <f>AQ2358&amp;AR2358</f>
        <v/>
      </c>
      <c r="AQ2358" s="6">
        <f>YEAR(AS2358)</f>
        <v/>
      </c>
      <c r="AR2358" s="6">
        <f>MONTH(AS2358)</f>
        <v/>
      </c>
    </row>
    <row r="2359">
      <c r="B2359" s="6">
        <f>C2359&amp;D2359</f>
        <v/>
      </c>
      <c r="C2359" s="6">
        <f>YEAR(E2359)</f>
        <v/>
      </c>
      <c r="D2359" s="6">
        <f>MONTH(E2359)</f>
        <v/>
      </c>
      <c r="J2359" s="6">
        <f>K2359&amp;L2359</f>
        <v/>
      </c>
      <c r="K2359" s="6">
        <f>YEAR(M2359)</f>
        <v/>
      </c>
      <c r="L2359" s="6">
        <f>MONTH(M2359)</f>
        <v/>
      </c>
      <c r="R2359" s="6">
        <f>S2359&amp;T2359</f>
        <v/>
      </c>
      <c r="S2359" s="6">
        <f>YEAR(U2359)</f>
        <v/>
      </c>
      <c r="T2359" s="6">
        <f>MONTH(U2359)</f>
        <v/>
      </c>
      <c r="Z2359" s="6">
        <f>AA2359&amp;AB2359</f>
        <v/>
      </c>
      <c r="AA2359" s="6">
        <f>YEAR(AC2359)</f>
        <v/>
      </c>
      <c r="AB2359" s="6">
        <f>MONTH(AC2359)</f>
        <v/>
      </c>
      <c r="AC2359" s="267">
        <f>IFERROR(__xludf.DUMMYFUNCTION("""COMPUTED_VALUE"""),45511.9986111111)</f>
        <v/>
      </c>
      <c r="AD2359" s="6">
        <f>IFERROR(__xludf.DUMMYFUNCTION("""COMPUTED_VALUE"""),1375.33)</f>
        <v/>
      </c>
      <c r="AH2359" s="6">
        <f>AI2359&amp;AJ2359</f>
        <v/>
      </c>
      <c r="AI2359" s="6">
        <f>YEAR(AK2359)</f>
        <v/>
      </c>
      <c r="AJ2359" s="6">
        <f>MONTH(AK2359)</f>
        <v/>
      </c>
      <c r="AK2359" s="267">
        <f>IFERROR(__xludf.DUMMYFUNCTION("""COMPUTED_VALUE"""),45453.9986111111)</f>
        <v/>
      </c>
      <c r="AL2359" s="6">
        <f>IFERROR(__xludf.DUMMYFUNCTION("""COMPUTED_VALUE"""),69633.42)</f>
        <v/>
      </c>
      <c r="AP2359" s="6">
        <f>AQ2359&amp;AR2359</f>
        <v/>
      </c>
      <c r="AQ2359" s="6">
        <f>YEAR(AS2359)</f>
        <v/>
      </c>
      <c r="AR2359" s="6">
        <f>MONTH(AS2359)</f>
        <v/>
      </c>
    </row>
    <row r="2360">
      <c r="B2360" s="6">
        <f>C2360&amp;D2360</f>
        <v/>
      </c>
      <c r="C2360" s="6">
        <f>YEAR(E2360)</f>
        <v/>
      </c>
      <c r="D2360" s="6">
        <f>MONTH(E2360)</f>
        <v/>
      </c>
      <c r="J2360" s="6">
        <f>K2360&amp;L2360</f>
        <v/>
      </c>
      <c r="K2360" s="6">
        <f>YEAR(M2360)</f>
        <v/>
      </c>
      <c r="L2360" s="6">
        <f>MONTH(M2360)</f>
        <v/>
      </c>
      <c r="R2360" s="6">
        <f>S2360&amp;T2360</f>
        <v/>
      </c>
      <c r="S2360" s="6">
        <f>YEAR(U2360)</f>
        <v/>
      </c>
      <c r="T2360" s="6">
        <f>MONTH(U2360)</f>
        <v/>
      </c>
      <c r="Z2360" s="6">
        <f>AA2360&amp;AB2360</f>
        <v/>
      </c>
      <c r="AA2360" s="6">
        <f>YEAR(AC2360)</f>
        <v/>
      </c>
      <c r="AB2360" s="6">
        <f>MONTH(AC2360)</f>
        <v/>
      </c>
      <c r="AC2360" s="267">
        <f>IFERROR(__xludf.DUMMYFUNCTION("""COMPUTED_VALUE"""),45512.9986111111)</f>
        <v/>
      </c>
      <c r="AD2360" s="6">
        <f>IFERROR(__xludf.DUMMYFUNCTION("""COMPUTED_VALUE"""),1373.76)</f>
        <v/>
      </c>
      <c r="AH2360" s="6">
        <f>AI2360&amp;AJ2360</f>
        <v/>
      </c>
      <c r="AI2360" s="6">
        <f>YEAR(AK2360)</f>
        <v/>
      </c>
      <c r="AJ2360" s="6">
        <f>MONTH(AK2360)</f>
        <v/>
      </c>
      <c r="AK2360" s="267">
        <f>IFERROR(__xludf.DUMMYFUNCTION("""COMPUTED_VALUE"""),45454.9986111111)</f>
        <v/>
      </c>
      <c r="AL2360" s="6">
        <f>IFERROR(__xludf.DUMMYFUNCTION("""COMPUTED_VALUE"""),68405.53)</f>
        <v/>
      </c>
      <c r="AP2360" s="6">
        <f>AQ2360&amp;AR2360</f>
        <v/>
      </c>
      <c r="AQ2360" s="6">
        <f>YEAR(AS2360)</f>
        <v/>
      </c>
      <c r="AR2360" s="6">
        <f>MONTH(AS2360)</f>
        <v/>
      </c>
    </row>
    <row r="2361">
      <c r="B2361" s="6">
        <f>C2361&amp;D2361</f>
        <v/>
      </c>
      <c r="C2361" s="6">
        <f>YEAR(E2361)</f>
        <v/>
      </c>
      <c r="D2361" s="6">
        <f>MONTH(E2361)</f>
        <v/>
      </c>
      <c r="J2361" s="6">
        <f>K2361&amp;L2361</f>
        <v/>
      </c>
      <c r="K2361" s="6">
        <f>YEAR(M2361)</f>
        <v/>
      </c>
      <c r="L2361" s="6">
        <f>MONTH(M2361)</f>
        <v/>
      </c>
      <c r="R2361" s="6">
        <f>S2361&amp;T2361</f>
        <v/>
      </c>
      <c r="S2361" s="6">
        <f>YEAR(U2361)</f>
        <v/>
      </c>
      <c r="T2361" s="6">
        <f>MONTH(U2361)</f>
        <v/>
      </c>
      <c r="Z2361" s="6">
        <f>AA2361&amp;AB2361</f>
        <v/>
      </c>
      <c r="AA2361" s="6">
        <f>YEAR(AC2361)</f>
        <v/>
      </c>
      <c r="AB2361" s="6">
        <f>MONTH(AC2361)</f>
        <v/>
      </c>
      <c r="AC2361" s="267">
        <f>IFERROR(__xludf.DUMMYFUNCTION("""COMPUTED_VALUE"""),45513.9986111111)</f>
        <v/>
      </c>
      <c r="AD2361" s="6">
        <f>IFERROR(__xludf.DUMMYFUNCTION("""COMPUTED_VALUE"""),1363.46)</f>
        <v/>
      </c>
      <c r="AH2361" s="6">
        <f>AI2361&amp;AJ2361</f>
        <v/>
      </c>
      <c r="AI2361" s="6">
        <f>YEAR(AK2361)</f>
        <v/>
      </c>
      <c r="AJ2361" s="6">
        <f>MONTH(AK2361)</f>
        <v/>
      </c>
      <c r="AK2361" s="267">
        <f>IFERROR(__xludf.DUMMYFUNCTION("""COMPUTED_VALUE"""),45455.9986111111)</f>
        <v/>
      </c>
      <c r="AL2361" s="6">
        <f>IFERROR(__xludf.DUMMYFUNCTION("""COMPUTED_VALUE"""),67369.51)</f>
        <v/>
      </c>
      <c r="AP2361" s="6">
        <f>AQ2361&amp;AR2361</f>
        <v/>
      </c>
      <c r="AQ2361" s="6">
        <f>YEAR(AS2361)</f>
        <v/>
      </c>
      <c r="AR2361" s="6">
        <f>MONTH(AS2361)</f>
        <v/>
      </c>
    </row>
    <row r="2362">
      <c r="B2362" s="6">
        <f>C2362&amp;D2362</f>
        <v/>
      </c>
      <c r="C2362" s="6">
        <f>YEAR(E2362)</f>
        <v/>
      </c>
      <c r="D2362" s="6">
        <f>MONTH(E2362)</f>
        <v/>
      </c>
      <c r="J2362" s="6">
        <f>K2362&amp;L2362</f>
        <v/>
      </c>
      <c r="K2362" s="6">
        <f>YEAR(M2362)</f>
        <v/>
      </c>
      <c r="L2362" s="6">
        <f>MONTH(M2362)</f>
        <v/>
      </c>
      <c r="R2362" s="6">
        <f>S2362&amp;T2362</f>
        <v/>
      </c>
      <c r="S2362" s="6">
        <f>YEAR(U2362)</f>
        <v/>
      </c>
      <c r="T2362" s="6">
        <f>MONTH(U2362)</f>
        <v/>
      </c>
      <c r="Z2362" s="6">
        <f>AA2362&amp;AB2362</f>
        <v/>
      </c>
      <c r="AA2362" s="6">
        <f>YEAR(AC2362)</f>
        <v/>
      </c>
      <c r="AB2362" s="6">
        <f>MONTH(AC2362)</f>
        <v/>
      </c>
      <c r="AC2362" s="267">
        <f>IFERROR(__xludf.DUMMYFUNCTION("""COMPUTED_VALUE"""),45514.9986111111)</f>
        <v/>
      </c>
      <c r="AD2362" s="6">
        <f>IFERROR(__xludf.DUMMYFUNCTION("""COMPUTED_VALUE"""),1363.46)</f>
        <v/>
      </c>
      <c r="AH2362" s="6">
        <f>AI2362&amp;AJ2362</f>
        <v/>
      </c>
      <c r="AI2362" s="6">
        <f>YEAR(AK2362)</f>
        <v/>
      </c>
      <c r="AJ2362" s="6">
        <f>MONTH(AK2362)</f>
        <v/>
      </c>
      <c r="AK2362" s="267">
        <f>IFERROR(__xludf.DUMMYFUNCTION("""COMPUTED_VALUE"""),45456.9986111111)</f>
        <v/>
      </c>
      <c r="AL2362" s="6">
        <f>IFERROR(__xludf.DUMMYFUNCTION("""COMPUTED_VALUE"""),67363.84)</f>
        <v/>
      </c>
      <c r="AP2362" s="6">
        <f>AQ2362&amp;AR2362</f>
        <v/>
      </c>
      <c r="AQ2362" s="6">
        <f>YEAR(AS2362)</f>
        <v/>
      </c>
      <c r="AR2362" s="6">
        <f>MONTH(AS2362)</f>
        <v/>
      </c>
    </row>
    <row r="2363">
      <c r="B2363" s="6">
        <f>C2363&amp;D2363</f>
        <v/>
      </c>
      <c r="C2363" s="6">
        <f>YEAR(E2363)</f>
        <v/>
      </c>
      <c r="D2363" s="6">
        <f>MONTH(E2363)</f>
        <v/>
      </c>
      <c r="J2363" s="6">
        <f>K2363&amp;L2363</f>
        <v/>
      </c>
      <c r="K2363" s="6">
        <f>YEAR(M2363)</f>
        <v/>
      </c>
      <c r="L2363" s="6">
        <f>MONTH(M2363)</f>
        <v/>
      </c>
      <c r="R2363" s="6">
        <f>S2363&amp;T2363</f>
        <v/>
      </c>
      <c r="S2363" s="6">
        <f>YEAR(U2363)</f>
        <v/>
      </c>
      <c r="T2363" s="6">
        <f>MONTH(U2363)</f>
        <v/>
      </c>
      <c r="Z2363" s="6">
        <f>AA2363&amp;AB2363</f>
        <v/>
      </c>
      <c r="AA2363" s="6">
        <f>YEAR(AC2363)</f>
        <v/>
      </c>
      <c r="AB2363" s="6">
        <f>MONTH(AC2363)</f>
        <v/>
      </c>
      <c r="AC2363" s="267">
        <f>IFERROR(__xludf.DUMMYFUNCTION("""COMPUTED_VALUE"""),45515.9986111111)</f>
        <v/>
      </c>
      <c r="AD2363" s="6">
        <f>IFERROR(__xludf.DUMMYFUNCTION("""COMPUTED_VALUE"""),1363.84)</f>
        <v/>
      </c>
      <c r="AH2363" s="6">
        <f>AI2363&amp;AJ2363</f>
        <v/>
      </c>
      <c r="AI2363" s="6">
        <f>YEAR(AK2363)</f>
        <v/>
      </c>
      <c r="AJ2363" s="6">
        <f>MONTH(AK2363)</f>
        <v/>
      </c>
      <c r="AK2363" s="267">
        <f>IFERROR(__xludf.DUMMYFUNCTION("""COMPUTED_VALUE"""),45457.9986111111)</f>
        <v/>
      </c>
      <c r="AL2363" s="6">
        <f>IFERROR(__xludf.DUMMYFUNCTION("""COMPUTED_VALUE"""),66718.27)</f>
        <v/>
      </c>
      <c r="AP2363" s="6">
        <f>AQ2363&amp;AR2363</f>
        <v/>
      </c>
      <c r="AQ2363" s="6">
        <f>YEAR(AS2363)</f>
        <v/>
      </c>
      <c r="AR2363" s="6">
        <f>MONTH(AS2363)</f>
        <v/>
      </c>
    </row>
    <row r="2364">
      <c r="B2364" s="6">
        <f>C2364&amp;D2364</f>
        <v/>
      </c>
      <c r="C2364" s="6">
        <f>YEAR(E2364)</f>
        <v/>
      </c>
      <c r="D2364" s="6">
        <f>MONTH(E2364)</f>
        <v/>
      </c>
      <c r="J2364" s="6">
        <f>K2364&amp;L2364</f>
        <v/>
      </c>
      <c r="K2364" s="6">
        <f>YEAR(M2364)</f>
        <v/>
      </c>
      <c r="L2364" s="6">
        <f>MONTH(M2364)</f>
        <v/>
      </c>
      <c r="R2364" s="6">
        <f>S2364&amp;T2364</f>
        <v/>
      </c>
      <c r="S2364" s="6">
        <f>YEAR(U2364)</f>
        <v/>
      </c>
      <c r="T2364" s="6">
        <f>MONTH(U2364)</f>
        <v/>
      </c>
      <c r="Z2364" s="6">
        <f>AA2364&amp;AB2364</f>
        <v/>
      </c>
      <c r="AA2364" s="6">
        <f>YEAR(AC2364)</f>
        <v/>
      </c>
      <c r="AB2364" s="6">
        <f>MONTH(AC2364)</f>
        <v/>
      </c>
      <c r="AC2364" s="267">
        <f>IFERROR(__xludf.DUMMYFUNCTION("""COMPUTED_VALUE"""),45516.9986111111)</f>
        <v/>
      </c>
      <c r="AD2364" s="6">
        <f>IFERROR(__xludf.DUMMYFUNCTION("""COMPUTED_VALUE"""),1369.54)</f>
        <v/>
      </c>
      <c r="AH2364" s="6">
        <f>AI2364&amp;AJ2364</f>
        <v/>
      </c>
      <c r="AI2364" s="6">
        <f>YEAR(AK2364)</f>
        <v/>
      </c>
      <c r="AJ2364" s="6">
        <f>MONTH(AK2364)</f>
        <v/>
      </c>
      <c r="AK2364" s="267">
        <f>IFERROR(__xludf.DUMMYFUNCTION("""COMPUTED_VALUE"""),45458.9986111111)</f>
        <v/>
      </c>
      <c r="AL2364" s="6">
        <f>IFERROR(__xludf.DUMMYFUNCTION("""COMPUTED_VALUE"""),66138.7)</f>
        <v/>
      </c>
      <c r="AP2364" s="6">
        <f>AQ2364&amp;AR2364</f>
        <v/>
      </c>
      <c r="AQ2364" s="6">
        <f>YEAR(AS2364)</f>
        <v/>
      </c>
      <c r="AR2364" s="6">
        <f>MONTH(AS2364)</f>
        <v/>
      </c>
    </row>
    <row r="2365">
      <c r="B2365" s="6">
        <f>C2365&amp;D2365</f>
        <v/>
      </c>
      <c r="C2365" s="6">
        <f>YEAR(E2365)</f>
        <v/>
      </c>
      <c r="D2365" s="6">
        <f>MONTH(E2365)</f>
        <v/>
      </c>
      <c r="J2365" s="6">
        <f>K2365&amp;L2365</f>
        <v/>
      </c>
      <c r="K2365" s="6">
        <f>YEAR(M2365)</f>
        <v/>
      </c>
      <c r="L2365" s="6">
        <f>MONTH(M2365)</f>
        <v/>
      </c>
      <c r="R2365" s="6">
        <f>S2365&amp;T2365</f>
        <v/>
      </c>
      <c r="S2365" s="6">
        <f>YEAR(U2365)</f>
        <v/>
      </c>
      <c r="T2365" s="6">
        <f>MONTH(U2365)</f>
        <v/>
      </c>
      <c r="Z2365" s="6">
        <f>AA2365&amp;AB2365</f>
        <v/>
      </c>
      <c r="AA2365" s="6">
        <f>YEAR(AC2365)</f>
        <v/>
      </c>
      <c r="AB2365" s="6">
        <f>MONTH(AC2365)</f>
        <v/>
      </c>
      <c r="AC2365" s="267">
        <f>IFERROR(__xludf.DUMMYFUNCTION("""COMPUTED_VALUE"""),45517.9986111111)</f>
        <v/>
      </c>
      <c r="AD2365" s="6">
        <f>IFERROR(__xludf.DUMMYFUNCTION("""COMPUTED_VALUE"""),1362.17)</f>
        <v/>
      </c>
      <c r="AH2365" s="6">
        <f>AI2365&amp;AJ2365</f>
        <v/>
      </c>
      <c r="AI2365" s="6">
        <f>YEAR(AK2365)</f>
        <v/>
      </c>
      <c r="AJ2365" s="6">
        <f>MONTH(AK2365)</f>
        <v/>
      </c>
      <c r="AK2365" s="267">
        <f>IFERROR(__xludf.DUMMYFUNCTION("""COMPUTED_VALUE"""),45459.9986111111)</f>
        <v/>
      </c>
      <c r="AL2365" s="6">
        <f>IFERROR(__xludf.DUMMYFUNCTION("""COMPUTED_VALUE"""),66111.79)</f>
        <v/>
      </c>
      <c r="AP2365" s="6">
        <f>AQ2365&amp;AR2365</f>
        <v/>
      </c>
      <c r="AQ2365" s="6">
        <f>YEAR(AS2365)</f>
        <v/>
      </c>
      <c r="AR2365" s="6">
        <f>MONTH(AS2365)</f>
        <v/>
      </c>
    </row>
    <row r="2366">
      <c r="B2366" s="6">
        <f>C2366&amp;D2366</f>
        <v/>
      </c>
      <c r="C2366" s="6">
        <f>YEAR(E2366)</f>
        <v/>
      </c>
      <c r="D2366" s="6">
        <f>MONTH(E2366)</f>
        <v/>
      </c>
      <c r="J2366" s="6">
        <f>K2366&amp;L2366</f>
        <v/>
      </c>
      <c r="K2366" s="6">
        <f>YEAR(M2366)</f>
        <v/>
      </c>
      <c r="L2366" s="6">
        <f>MONTH(M2366)</f>
        <v/>
      </c>
      <c r="R2366" s="6">
        <f>S2366&amp;T2366</f>
        <v/>
      </c>
      <c r="S2366" s="6">
        <f>YEAR(U2366)</f>
        <v/>
      </c>
      <c r="T2366" s="6">
        <f>MONTH(U2366)</f>
        <v/>
      </c>
      <c r="Z2366" s="6">
        <f>AA2366&amp;AB2366</f>
        <v/>
      </c>
      <c r="AA2366" s="6">
        <f>YEAR(AC2366)</f>
        <v/>
      </c>
      <c r="AB2366" s="6">
        <f>MONTH(AC2366)</f>
        <v/>
      </c>
      <c r="AC2366" s="267">
        <f>IFERROR(__xludf.DUMMYFUNCTION("""COMPUTED_VALUE"""),45518.9986111111)</f>
        <v/>
      </c>
      <c r="AD2366" s="6">
        <f>IFERROR(__xludf.DUMMYFUNCTION("""COMPUTED_VALUE"""),1355.71)</f>
        <v/>
      </c>
      <c r="AH2366" s="6">
        <f>AI2366&amp;AJ2366</f>
        <v/>
      </c>
      <c r="AI2366" s="6">
        <f>YEAR(AK2366)</f>
        <v/>
      </c>
      <c r="AJ2366" s="6">
        <f>MONTH(AK2366)</f>
        <v/>
      </c>
      <c r="AK2366" s="267">
        <f>IFERROR(__xludf.DUMMYFUNCTION("""COMPUTED_VALUE"""),45460.9986111111)</f>
        <v/>
      </c>
      <c r="AL2366" s="6">
        <f>IFERROR(__xludf.DUMMYFUNCTION("""COMPUTED_VALUE"""),66229.78)</f>
        <v/>
      </c>
      <c r="AP2366" s="6">
        <f>AQ2366&amp;AR2366</f>
        <v/>
      </c>
      <c r="AQ2366" s="6">
        <f>YEAR(AS2366)</f>
        <v/>
      </c>
      <c r="AR2366" s="6">
        <f>MONTH(AS2366)</f>
        <v/>
      </c>
    </row>
    <row r="2367">
      <c r="B2367" s="6">
        <f>C2367&amp;D2367</f>
        <v/>
      </c>
      <c r="C2367" s="6">
        <f>YEAR(E2367)</f>
        <v/>
      </c>
      <c r="D2367" s="6">
        <f>MONTH(E2367)</f>
        <v/>
      </c>
      <c r="J2367" s="6">
        <f>K2367&amp;L2367</f>
        <v/>
      </c>
      <c r="K2367" s="6">
        <f>YEAR(M2367)</f>
        <v/>
      </c>
      <c r="L2367" s="6">
        <f>MONTH(M2367)</f>
        <v/>
      </c>
      <c r="R2367" s="6">
        <f>S2367&amp;T2367</f>
        <v/>
      </c>
      <c r="S2367" s="6">
        <f>YEAR(U2367)</f>
        <v/>
      </c>
      <c r="T2367" s="6">
        <f>MONTH(U2367)</f>
        <v/>
      </c>
      <c r="Z2367" s="6">
        <f>AA2367&amp;AB2367</f>
        <v/>
      </c>
      <c r="AA2367" s="6">
        <f>YEAR(AC2367)</f>
        <v/>
      </c>
      <c r="AB2367" s="6">
        <f>MONTH(AC2367)</f>
        <v/>
      </c>
      <c r="AC2367" s="267">
        <f>IFERROR(__xludf.DUMMYFUNCTION("""COMPUTED_VALUE"""),45519.9986111111)</f>
        <v/>
      </c>
      <c r="AD2367" s="6">
        <f>IFERROR(__xludf.DUMMYFUNCTION("""COMPUTED_VALUE"""),1363.51)</f>
        <v/>
      </c>
      <c r="AH2367" s="6">
        <f>AI2367&amp;AJ2367</f>
        <v/>
      </c>
      <c r="AI2367" s="6">
        <f>YEAR(AK2367)</f>
        <v/>
      </c>
      <c r="AJ2367" s="6">
        <f>MONTH(AK2367)</f>
        <v/>
      </c>
      <c r="AK2367" s="267">
        <f>IFERROR(__xludf.DUMMYFUNCTION("""COMPUTED_VALUE"""),45461.9986111111)</f>
        <v/>
      </c>
      <c r="AL2367" s="6">
        <f>IFERROR(__xludf.DUMMYFUNCTION("""COMPUTED_VALUE"""),65507.87)</f>
        <v/>
      </c>
      <c r="AP2367" s="6">
        <f>AQ2367&amp;AR2367</f>
        <v/>
      </c>
      <c r="AQ2367" s="6">
        <f>YEAR(AS2367)</f>
        <v/>
      </c>
      <c r="AR2367" s="6">
        <f>MONTH(AS2367)</f>
        <v/>
      </c>
    </row>
    <row r="2368">
      <c r="B2368" s="6">
        <f>C2368&amp;D2368</f>
        <v/>
      </c>
      <c r="C2368" s="6">
        <f>YEAR(E2368)</f>
        <v/>
      </c>
      <c r="D2368" s="6">
        <f>MONTH(E2368)</f>
        <v/>
      </c>
      <c r="J2368" s="6">
        <f>K2368&amp;L2368</f>
        <v/>
      </c>
      <c r="K2368" s="6">
        <f>YEAR(M2368)</f>
        <v/>
      </c>
      <c r="L2368" s="6">
        <f>MONTH(M2368)</f>
        <v/>
      </c>
      <c r="R2368" s="6">
        <f>S2368&amp;T2368</f>
        <v/>
      </c>
      <c r="S2368" s="6">
        <f>YEAR(U2368)</f>
        <v/>
      </c>
      <c r="T2368" s="6">
        <f>MONTH(U2368)</f>
        <v/>
      </c>
      <c r="Z2368" s="6">
        <f>AA2368&amp;AB2368</f>
        <v/>
      </c>
      <c r="AA2368" s="6">
        <f>YEAR(AC2368)</f>
        <v/>
      </c>
      <c r="AB2368" s="6">
        <f>MONTH(AC2368)</f>
        <v/>
      </c>
      <c r="AC2368" s="267">
        <f>IFERROR(__xludf.DUMMYFUNCTION("""COMPUTED_VALUE"""),45520.9986111111)</f>
        <v/>
      </c>
      <c r="AD2368" s="6">
        <f>IFERROR(__xludf.DUMMYFUNCTION("""COMPUTED_VALUE"""),1348.97)</f>
        <v/>
      </c>
      <c r="AH2368" s="6">
        <f>AI2368&amp;AJ2368</f>
        <v/>
      </c>
      <c r="AI2368" s="6">
        <f>YEAR(AK2368)</f>
        <v/>
      </c>
      <c r="AJ2368" s="6">
        <f>MONTH(AK2368)</f>
        <v/>
      </c>
      <c r="AK2368" s="267">
        <f>IFERROR(__xludf.DUMMYFUNCTION("""COMPUTED_VALUE"""),45462.9986111111)</f>
        <v/>
      </c>
      <c r="AL2368" s="6">
        <f>IFERROR(__xludf.DUMMYFUNCTION("""COMPUTED_VALUE"""),65411.28)</f>
        <v/>
      </c>
      <c r="AP2368" s="6">
        <f>AQ2368&amp;AR2368</f>
        <v/>
      </c>
      <c r="AQ2368" s="6">
        <f>YEAR(AS2368)</f>
        <v/>
      </c>
      <c r="AR2368" s="6">
        <f>MONTH(AS2368)</f>
        <v/>
      </c>
    </row>
    <row r="2369">
      <c r="B2369" s="6">
        <f>C2369&amp;D2369</f>
        <v/>
      </c>
      <c r="C2369" s="6">
        <f>YEAR(E2369)</f>
        <v/>
      </c>
      <c r="D2369" s="6">
        <f>MONTH(E2369)</f>
        <v/>
      </c>
      <c r="J2369" s="6">
        <f>K2369&amp;L2369</f>
        <v/>
      </c>
      <c r="K2369" s="6">
        <f>YEAR(M2369)</f>
        <v/>
      </c>
      <c r="L2369" s="6">
        <f>MONTH(M2369)</f>
        <v/>
      </c>
      <c r="R2369" s="6">
        <f>S2369&amp;T2369</f>
        <v/>
      </c>
      <c r="S2369" s="6">
        <f>YEAR(U2369)</f>
        <v/>
      </c>
      <c r="T2369" s="6">
        <f>MONTH(U2369)</f>
        <v/>
      </c>
      <c r="Z2369" s="6">
        <f>AA2369&amp;AB2369</f>
        <v/>
      </c>
      <c r="AA2369" s="6">
        <f>YEAR(AC2369)</f>
        <v/>
      </c>
      <c r="AB2369" s="6">
        <f>MONTH(AC2369)</f>
        <v/>
      </c>
      <c r="AC2369" s="267">
        <f>IFERROR(__xludf.DUMMYFUNCTION("""COMPUTED_VALUE"""),45521.9986111111)</f>
        <v/>
      </c>
      <c r="AD2369" s="6">
        <f>IFERROR(__xludf.DUMMYFUNCTION("""COMPUTED_VALUE"""),1348.97)</f>
        <v/>
      </c>
      <c r="AH2369" s="6">
        <f>AI2369&amp;AJ2369</f>
        <v/>
      </c>
      <c r="AI2369" s="6">
        <f>YEAR(AK2369)</f>
        <v/>
      </c>
      <c r="AJ2369" s="6">
        <f>MONTH(AK2369)</f>
        <v/>
      </c>
      <c r="AK2369" s="267">
        <f>IFERROR(__xludf.DUMMYFUNCTION("""COMPUTED_VALUE"""),45463.9986111111)</f>
        <v/>
      </c>
      <c r="AL2369" s="6">
        <f>IFERROR(__xludf.DUMMYFUNCTION("""COMPUTED_VALUE"""),65171.54)</f>
        <v/>
      </c>
      <c r="AP2369" s="6">
        <f>AQ2369&amp;AR2369</f>
        <v/>
      </c>
      <c r="AQ2369" s="6">
        <f>YEAR(AS2369)</f>
        <v/>
      </c>
      <c r="AR2369" s="6">
        <f>MONTH(AS2369)</f>
        <v/>
      </c>
    </row>
    <row r="2370">
      <c r="B2370" s="6">
        <f>C2370&amp;D2370</f>
        <v/>
      </c>
      <c r="C2370" s="6">
        <f>YEAR(E2370)</f>
        <v/>
      </c>
      <c r="D2370" s="6">
        <f>MONTH(E2370)</f>
        <v/>
      </c>
      <c r="J2370" s="6">
        <f>K2370&amp;L2370</f>
        <v/>
      </c>
      <c r="K2370" s="6">
        <f>YEAR(M2370)</f>
        <v/>
      </c>
      <c r="L2370" s="6">
        <f>MONTH(M2370)</f>
        <v/>
      </c>
      <c r="R2370" s="6">
        <f>S2370&amp;T2370</f>
        <v/>
      </c>
      <c r="S2370" s="6">
        <f>YEAR(U2370)</f>
        <v/>
      </c>
      <c r="T2370" s="6">
        <f>MONTH(U2370)</f>
        <v/>
      </c>
      <c r="Z2370" s="6">
        <f>AA2370&amp;AB2370</f>
        <v/>
      </c>
      <c r="AA2370" s="6">
        <f>YEAR(AC2370)</f>
        <v/>
      </c>
      <c r="AB2370" s="6">
        <f>MONTH(AC2370)</f>
        <v/>
      </c>
      <c r="AC2370" s="267">
        <f>IFERROR(__xludf.DUMMYFUNCTION("""COMPUTED_VALUE"""),45522.9986111111)</f>
        <v/>
      </c>
      <c r="AD2370" s="6">
        <f>IFERROR(__xludf.DUMMYFUNCTION("""COMPUTED_VALUE"""),1348.98)</f>
        <v/>
      </c>
      <c r="AH2370" s="6">
        <f>AI2370&amp;AJ2370</f>
        <v/>
      </c>
      <c r="AI2370" s="6">
        <f>YEAR(AK2370)</f>
        <v/>
      </c>
      <c r="AJ2370" s="6">
        <f>MONTH(AK2370)</f>
        <v/>
      </c>
      <c r="AK2370" s="267">
        <f>IFERROR(__xludf.DUMMYFUNCTION("""COMPUTED_VALUE"""),45464.9986111111)</f>
        <v/>
      </c>
      <c r="AL2370" s="6">
        <f>IFERROR(__xludf.DUMMYFUNCTION("""COMPUTED_VALUE"""),64652.56)</f>
        <v/>
      </c>
      <c r="AP2370" s="6">
        <f>AQ2370&amp;AR2370</f>
        <v/>
      </c>
      <c r="AQ2370" s="6">
        <f>YEAR(AS2370)</f>
        <v/>
      </c>
      <c r="AR2370" s="6">
        <f>MONTH(AS2370)</f>
        <v/>
      </c>
    </row>
    <row r="2371">
      <c r="B2371" s="6">
        <f>C2371&amp;D2371</f>
        <v/>
      </c>
      <c r="C2371" s="6">
        <f>YEAR(E2371)</f>
        <v/>
      </c>
      <c r="D2371" s="6">
        <f>MONTH(E2371)</f>
        <v/>
      </c>
      <c r="J2371" s="6">
        <f>K2371&amp;L2371</f>
        <v/>
      </c>
      <c r="K2371" s="6">
        <f>YEAR(M2371)</f>
        <v/>
      </c>
      <c r="L2371" s="6">
        <f>MONTH(M2371)</f>
        <v/>
      </c>
      <c r="R2371" s="6">
        <f>S2371&amp;T2371</f>
        <v/>
      </c>
      <c r="S2371" s="6">
        <f>YEAR(U2371)</f>
        <v/>
      </c>
      <c r="T2371" s="6">
        <f>MONTH(U2371)</f>
        <v/>
      </c>
      <c r="Z2371" s="6">
        <f>AA2371&amp;AB2371</f>
        <v/>
      </c>
      <c r="AA2371" s="6">
        <f>YEAR(AC2371)</f>
        <v/>
      </c>
      <c r="AB2371" s="6">
        <f>MONTH(AC2371)</f>
        <v/>
      </c>
      <c r="AC2371" s="267">
        <f>IFERROR(__xludf.DUMMYFUNCTION("""COMPUTED_VALUE"""),45523.9986111111)</f>
        <v/>
      </c>
      <c r="AD2371" s="6">
        <f>IFERROR(__xludf.DUMMYFUNCTION("""COMPUTED_VALUE"""),1330.88)</f>
        <v/>
      </c>
      <c r="AH2371" s="6">
        <f>AI2371&amp;AJ2371</f>
        <v/>
      </c>
      <c r="AI2371" s="6">
        <f>YEAR(AK2371)</f>
        <v/>
      </c>
      <c r="AJ2371" s="6">
        <f>MONTH(AK2371)</f>
        <v/>
      </c>
      <c r="AK2371" s="267">
        <f>IFERROR(__xludf.DUMMYFUNCTION("""COMPUTED_VALUE"""),45465.9986111111)</f>
        <v/>
      </c>
      <c r="AL2371" s="6">
        <f>IFERROR(__xludf.DUMMYFUNCTION("""COMPUTED_VALUE"""),64283.77)</f>
        <v/>
      </c>
      <c r="AP2371" s="6">
        <f>AQ2371&amp;AR2371</f>
        <v/>
      </c>
      <c r="AQ2371" s="6">
        <f>YEAR(AS2371)</f>
        <v/>
      </c>
      <c r="AR2371" s="6">
        <f>MONTH(AS2371)</f>
        <v/>
      </c>
    </row>
    <row r="2372">
      <c r="B2372" s="6">
        <f>C2372&amp;D2372</f>
        <v/>
      </c>
      <c r="C2372" s="6">
        <f>YEAR(E2372)</f>
        <v/>
      </c>
      <c r="D2372" s="6">
        <f>MONTH(E2372)</f>
        <v/>
      </c>
      <c r="J2372" s="6">
        <f>K2372&amp;L2372</f>
        <v/>
      </c>
      <c r="K2372" s="6">
        <f>YEAR(M2372)</f>
        <v/>
      </c>
      <c r="L2372" s="6">
        <f>MONTH(M2372)</f>
        <v/>
      </c>
      <c r="R2372" s="6">
        <f>S2372&amp;T2372</f>
        <v/>
      </c>
      <c r="S2372" s="6">
        <f>YEAR(U2372)</f>
        <v/>
      </c>
      <c r="T2372" s="6">
        <f>MONTH(U2372)</f>
        <v/>
      </c>
      <c r="Z2372" s="6">
        <f>AA2372&amp;AB2372</f>
        <v/>
      </c>
      <c r="AA2372" s="6">
        <f>YEAR(AC2372)</f>
        <v/>
      </c>
      <c r="AB2372" s="6">
        <f>MONTH(AC2372)</f>
        <v/>
      </c>
      <c r="AC2372" s="267">
        <f>IFERROR(__xludf.DUMMYFUNCTION("""COMPUTED_VALUE"""),45524.9986111111)</f>
        <v/>
      </c>
      <c r="AD2372" s="6">
        <f>IFERROR(__xludf.DUMMYFUNCTION("""COMPUTED_VALUE"""),1327.58)</f>
        <v/>
      </c>
      <c r="AH2372" s="6">
        <f>AI2372&amp;AJ2372</f>
        <v/>
      </c>
      <c r="AI2372" s="6">
        <f>YEAR(AK2372)</f>
        <v/>
      </c>
      <c r="AJ2372" s="6">
        <f>MONTH(AK2372)</f>
        <v/>
      </c>
      <c r="AK2372" s="267">
        <f>IFERROR(__xludf.DUMMYFUNCTION("""COMPUTED_VALUE"""),45466.9986111111)</f>
        <v/>
      </c>
      <c r="AL2372" s="6">
        <f>IFERROR(__xludf.DUMMYFUNCTION("""COMPUTED_VALUE"""),64407)</f>
        <v/>
      </c>
      <c r="AP2372" s="6">
        <f>AQ2372&amp;AR2372</f>
        <v/>
      </c>
      <c r="AQ2372" s="6">
        <f>YEAR(AS2372)</f>
        <v/>
      </c>
      <c r="AR2372" s="6">
        <f>MONTH(AS2372)</f>
        <v/>
      </c>
    </row>
    <row r="2373">
      <c r="B2373" s="6">
        <f>C2373&amp;D2373</f>
        <v/>
      </c>
      <c r="C2373" s="6">
        <f>YEAR(E2373)</f>
        <v/>
      </c>
      <c r="D2373" s="6">
        <f>MONTH(E2373)</f>
        <v/>
      </c>
      <c r="J2373" s="6">
        <f>K2373&amp;L2373</f>
        <v/>
      </c>
      <c r="K2373" s="6">
        <f>YEAR(M2373)</f>
        <v/>
      </c>
      <c r="L2373" s="6">
        <f>MONTH(M2373)</f>
        <v/>
      </c>
      <c r="R2373" s="6">
        <f>S2373&amp;T2373</f>
        <v/>
      </c>
      <c r="S2373" s="6">
        <f>YEAR(U2373)</f>
        <v/>
      </c>
      <c r="T2373" s="6">
        <f>MONTH(U2373)</f>
        <v/>
      </c>
      <c r="Z2373" s="6">
        <f>AA2373&amp;AB2373</f>
        <v/>
      </c>
      <c r="AA2373" s="6">
        <f>YEAR(AC2373)</f>
        <v/>
      </c>
      <c r="AB2373" s="6">
        <f>MONTH(AC2373)</f>
        <v/>
      </c>
      <c r="AC2373" s="267">
        <f>IFERROR(__xludf.DUMMYFUNCTION("""COMPUTED_VALUE"""),45525.9986111111)</f>
        <v/>
      </c>
      <c r="AD2373" s="6">
        <f>IFERROR(__xludf.DUMMYFUNCTION("""COMPUTED_VALUE"""),1333.66)</f>
        <v/>
      </c>
      <c r="AH2373" s="6">
        <f>AI2373&amp;AJ2373</f>
        <v/>
      </c>
      <c r="AI2373" s="6">
        <f>YEAR(AK2373)</f>
        <v/>
      </c>
      <c r="AJ2373" s="6">
        <f>MONTH(AK2373)</f>
        <v/>
      </c>
      <c r="AK2373" s="267">
        <f>IFERROR(__xludf.DUMMYFUNCTION("""COMPUTED_VALUE"""),45467.9986111111)</f>
        <v/>
      </c>
      <c r="AL2373" s="6">
        <f>IFERROR(__xludf.DUMMYFUNCTION("""COMPUTED_VALUE"""),62860.14)</f>
        <v/>
      </c>
      <c r="AP2373" s="6">
        <f>AQ2373&amp;AR2373</f>
        <v/>
      </c>
      <c r="AQ2373" s="6">
        <f>YEAR(AS2373)</f>
        <v/>
      </c>
      <c r="AR2373" s="6">
        <f>MONTH(AS2373)</f>
        <v/>
      </c>
    </row>
    <row r="2374">
      <c r="B2374" s="6">
        <f>C2374&amp;D2374</f>
        <v/>
      </c>
      <c r="C2374" s="6">
        <f>YEAR(E2374)</f>
        <v/>
      </c>
      <c r="D2374" s="6">
        <f>MONTH(E2374)</f>
        <v/>
      </c>
      <c r="J2374" s="6">
        <f>K2374&amp;L2374</f>
        <v/>
      </c>
      <c r="K2374" s="6">
        <f>YEAR(M2374)</f>
        <v/>
      </c>
      <c r="L2374" s="6">
        <f>MONTH(M2374)</f>
        <v/>
      </c>
      <c r="R2374" s="6">
        <f>S2374&amp;T2374</f>
        <v/>
      </c>
      <c r="S2374" s="6">
        <f>YEAR(U2374)</f>
        <v/>
      </c>
      <c r="T2374" s="6">
        <f>MONTH(U2374)</f>
        <v/>
      </c>
      <c r="Z2374" s="6">
        <f>AA2374&amp;AB2374</f>
        <v/>
      </c>
      <c r="AA2374" s="6">
        <f>YEAR(AC2374)</f>
        <v/>
      </c>
      <c r="AB2374" s="6">
        <f>MONTH(AC2374)</f>
        <v/>
      </c>
      <c r="AC2374" s="267">
        <f>IFERROR(__xludf.DUMMYFUNCTION("""COMPUTED_VALUE"""),45526.9986111111)</f>
        <v/>
      </c>
      <c r="AD2374" s="6">
        <f>IFERROR(__xludf.DUMMYFUNCTION("""COMPUTED_VALUE"""),1339.54)</f>
        <v/>
      </c>
      <c r="AH2374" s="6">
        <f>AI2374&amp;AJ2374</f>
        <v/>
      </c>
      <c r="AI2374" s="6">
        <f>YEAR(AK2374)</f>
        <v/>
      </c>
      <c r="AJ2374" s="6">
        <f>MONTH(AK2374)</f>
        <v/>
      </c>
      <c r="AK2374" s="267">
        <f>IFERROR(__xludf.DUMMYFUNCTION("""COMPUTED_VALUE"""),45468.9986111111)</f>
        <v/>
      </c>
      <c r="AL2374" s="6">
        <f>IFERROR(__xludf.DUMMYFUNCTION("""COMPUTED_VALUE"""),61352.41)</f>
        <v/>
      </c>
      <c r="AP2374" s="6">
        <f>AQ2374&amp;AR2374</f>
        <v/>
      </c>
      <c r="AQ2374" s="6">
        <f>YEAR(AS2374)</f>
        <v/>
      </c>
      <c r="AR2374" s="6">
        <f>MONTH(AS2374)</f>
        <v/>
      </c>
    </row>
    <row r="2375">
      <c r="B2375" s="6">
        <f>C2375&amp;D2375</f>
        <v/>
      </c>
      <c r="C2375" s="6">
        <f>YEAR(E2375)</f>
        <v/>
      </c>
      <c r="D2375" s="6">
        <f>MONTH(E2375)</f>
        <v/>
      </c>
      <c r="J2375" s="6">
        <f>K2375&amp;L2375</f>
        <v/>
      </c>
      <c r="K2375" s="6">
        <f>YEAR(M2375)</f>
        <v/>
      </c>
      <c r="L2375" s="6">
        <f>MONTH(M2375)</f>
        <v/>
      </c>
      <c r="R2375" s="6">
        <f>S2375&amp;T2375</f>
        <v/>
      </c>
      <c r="S2375" s="6">
        <f>YEAR(U2375)</f>
        <v/>
      </c>
      <c r="T2375" s="6">
        <f>MONTH(U2375)</f>
        <v/>
      </c>
      <c r="Z2375" s="6">
        <f>AA2375&amp;AB2375</f>
        <v/>
      </c>
      <c r="AA2375" s="6">
        <f>YEAR(AC2375)</f>
        <v/>
      </c>
      <c r="AB2375" s="6">
        <f>MONTH(AC2375)</f>
        <v/>
      </c>
      <c r="AC2375" s="267">
        <f>IFERROR(__xludf.DUMMYFUNCTION("""COMPUTED_VALUE"""),45527.9986111111)</f>
        <v/>
      </c>
      <c r="AD2375" s="6">
        <f>IFERROR(__xludf.DUMMYFUNCTION("""COMPUTED_VALUE"""),1323.8)</f>
        <v/>
      </c>
      <c r="AH2375" s="6">
        <f>AI2375&amp;AJ2375</f>
        <v/>
      </c>
      <c r="AI2375" s="6">
        <f>YEAR(AK2375)</f>
        <v/>
      </c>
      <c r="AJ2375" s="6">
        <f>MONTH(AK2375)</f>
        <v/>
      </c>
      <c r="AK2375" s="267">
        <f>IFERROR(__xludf.DUMMYFUNCTION("""COMPUTED_VALUE"""),45469.9986111111)</f>
        <v/>
      </c>
      <c r="AL2375" s="6">
        <f>IFERROR(__xludf.DUMMYFUNCTION("""COMPUTED_VALUE"""),61958.77)</f>
        <v/>
      </c>
      <c r="AP2375" s="6">
        <f>AQ2375&amp;AR2375</f>
        <v/>
      </c>
      <c r="AQ2375" s="6">
        <f>YEAR(AS2375)</f>
        <v/>
      </c>
      <c r="AR2375" s="6">
        <f>MONTH(AS2375)</f>
        <v/>
      </c>
    </row>
    <row r="2376">
      <c r="B2376" s="6">
        <f>C2376&amp;D2376</f>
        <v/>
      </c>
      <c r="C2376" s="6">
        <f>YEAR(E2376)</f>
        <v/>
      </c>
      <c r="D2376" s="6">
        <f>MONTH(E2376)</f>
        <v/>
      </c>
      <c r="J2376" s="6">
        <f>K2376&amp;L2376</f>
        <v/>
      </c>
      <c r="K2376" s="6">
        <f>YEAR(M2376)</f>
        <v/>
      </c>
      <c r="L2376" s="6">
        <f>MONTH(M2376)</f>
        <v/>
      </c>
      <c r="R2376" s="6">
        <f>S2376&amp;T2376</f>
        <v/>
      </c>
      <c r="S2376" s="6">
        <f>YEAR(U2376)</f>
        <v/>
      </c>
      <c r="T2376" s="6">
        <f>MONTH(U2376)</f>
        <v/>
      </c>
      <c r="Z2376" s="6">
        <f>AA2376&amp;AB2376</f>
        <v/>
      </c>
      <c r="AA2376" s="6">
        <f>YEAR(AC2376)</f>
        <v/>
      </c>
      <c r="AB2376" s="6">
        <f>MONTH(AC2376)</f>
        <v/>
      </c>
      <c r="AC2376" s="267">
        <f>IFERROR(__xludf.DUMMYFUNCTION("""COMPUTED_VALUE"""),45528.9986111111)</f>
        <v/>
      </c>
      <c r="AD2376" s="6">
        <f>IFERROR(__xludf.DUMMYFUNCTION("""COMPUTED_VALUE"""),1323.8)</f>
        <v/>
      </c>
      <c r="AH2376" s="6">
        <f>AI2376&amp;AJ2376</f>
        <v/>
      </c>
      <c r="AI2376" s="6">
        <f>YEAR(AK2376)</f>
        <v/>
      </c>
      <c r="AJ2376" s="6">
        <f>MONTH(AK2376)</f>
        <v/>
      </c>
      <c r="AK2376" s="267">
        <f>IFERROR(__xludf.DUMMYFUNCTION("""COMPUTED_VALUE"""),45470.9986111111)</f>
        <v/>
      </c>
      <c r="AL2376" s="6">
        <f>IFERROR(__xludf.DUMMYFUNCTION("""COMPUTED_VALUE"""),61006.5)</f>
        <v/>
      </c>
      <c r="AP2376" s="6">
        <f>AQ2376&amp;AR2376</f>
        <v/>
      </c>
      <c r="AQ2376" s="6">
        <f>YEAR(AS2376)</f>
        <v/>
      </c>
      <c r="AR2376" s="6">
        <f>MONTH(AS2376)</f>
        <v/>
      </c>
    </row>
    <row r="2377">
      <c r="B2377" s="6">
        <f>C2377&amp;D2377</f>
        <v/>
      </c>
      <c r="C2377" s="6">
        <f>YEAR(E2377)</f>
        <v/>
      </c>
      <c r="D2377" s="6">
        <f>MONTH(E2377)</f>
        <v/>
      </c>
      <c r="J2377" s="6">
        <f>K2377&amp;L2377</f>
        <v/>
      </c>
      <c r="K2377" s="6">
        <f>YEAR(M2377)</f>
        <v/>
      </c>
      <c r="L2377" s="6">
        <f>MONTH(M2377)</f>
        <v/>
      </c>
      <c r="R2377" s="6">
        <f>S2377&amp;T2377</f>
        <v/>
      </c>
      <c r="S2377" s="6">
        <f>YEAR(U2377)</f>
        <v/>
      </c>
      <c r="T2377" s="6">
        <f>MONTH(U2377)</f>
        <v/>
      </c>
      <c r="Z2377" s="6">
        <f>AA2377&amp;AB2377</f>
        <v/>
      </c>
      <c r="AA2377" s="6">
        <f>YEAR(AC2377)</f>
        <v/>
      </c>
      <c r="AB2377" s="6">
        <f>MONTH(AC2377)</f>
        <v/>
      </c>
      <c r="AC2377" s="267">
        <f>IFERROR(__xludf.DUMMYFUNCTION("""COMPUTED_VALUE"""),45529.9986111111)</f>
        <v/>
      </c>
      <c r="AD2377" s="6">
        <f>IFERROR(__xludf.DUMMYFUNCTION("""COMPUTED_VALUE"""),1323.88)</f>
        <v/>
      </c>
      <c r="AH2377" s="6">
        <f>AI2377&amp;AJ2377</f>
        <v/>
      </c>
      <c r="AI2377" s="6">
        <f>YEAR(AK2377)</f>
        <v/>
      </c>
      <c r="AJ2377" s="6">
        <f>MONTH(AK2377)</f>
        <v/>
      </c>
      <c r="AK2377" s="267">
        <f>IFERROR(__xludf.DUMMYFUNCTION("""COMPUTED_VALUE"""),45471.9986111111)</f>
        <v/>
      </c>
      <c r="AL2377" s="6">
        <f>IFERROR(__xludf.DUMMYFUNCTION("""COMPUTED_VALUE"""),61814.18)</f>
        <v/>
      </c>
      <c r="AP2377" s="6">
        <f>AQ2377&amp;AR2377</f>
        <v/>
      </c>
      <c r="AQ2377" s="6">
        <f>YEAR(AS2377)</f>
        <v/>
      </c>
      <c r="AR2377" s="6">
        <f>MONTH(AS2377)</f>
        <v/>
      </c>
    </row>
    <row r="2378">
      <c r="B2378" s="6">
        <f>C2378&amp;D2378</f>
        <v/>
      </c>
      <c r="C2378" s="6">
        <f>YEAR(E2378)</f>
        <v/>
      </c>
      <c r="D2378" s="6">
        <f>MONTH(E2378)</f>
        <v/>
      </c>
      <c r="J2378" s="6">
        <f>K2378&amp;L2378</f>
        <v/>
      </c>
      <c r="K2378" s="6">
        <f>YEAR(M2378)</f>
        <v/>
      </c>
      <c r="L2378" s="6">
        <f>MONTH(M2378)</f>
        <v/>
      </c>
      <c r="R2378" s="6">
        <f>S2378&amp;T2378</f>
        <v/>
      </c>
      <c r="S2378" s="6">
        <f>YEAR(U2378)</f>
        <v/>
      </c>
      <c r="T2378" s="6">
        <f>MONTH(U2378)</f>
        <v/>
      </c>
      <c r="Z2378" s="6">
        <f>AA2378&amp;AB2378</f>
        <v/>
      </c>
      <c r="AA2378" s="6">
        <f>YEAR(AC2378)</f>
        <v/>
      </c>
      <c r="AB2378" s="6">
        <f>MONTH(AC2378)</f>
        <v/>
      </c>
      <c r="AC2378" s="267">
        <f>IFERROR(__xludf.DUMMYFUNCTION("""COMPUTED_VALUE"""),45530.9986111111)</f>
        <v/>
      </c>
      <c r="AD2378" s="6">
        <f>IFERROR(__xludf.DUMMYFUNCTION("""COMPUTED_VALUE"""),1326.64)</f>
        <v/>
      </c>
      <c r="AH2378" s="6">
        <f>AI2378&amp;AJ2378</f>
        <v/>
      </c>
      <c r="AI2378" s="6">
        <f>YEAR(AK2378)</f>
        <v/>
      </c>
      <c r="AJ2378" s="6">
        <f>MONTH(AK2378)</f>
        <v/>
      </c>
      <c r="AK2378" s="267">
        <f>IFERROR(__xludf.DUMMYFUNCTION("""COMPUTED_VALUE"""),45472.9986111111)</f>
        <v/>
      </c>
      <c r="AL2378" s="6">
        <f>IFERROR(__xludf.DUMMYFUNCTION("""COMPUTED_VALUE"""),60684.36)</f>
        <v/>
      </c>
      <c r="AP2378" s="6">
        <f>AQ2378&amp;AR2378</f>
        <v/>
      </c>
      <c r="AQ2378" s="6">
        <f>YEAR(AS2378)</f>
        <v/>
      </c>
      <c r="AR2378" s="6">
        <f>MONTH(AS2378)</f>
        <v/>
      </c>
    </row>
    <row r="2379">
      <c r="B2379" s="6">
        <f>C2379&amp;D2379</f>
        <v/>
      </c>
      <c r="C2379" s="6">
        <f>YEAR(E2379)</f>
        <v/>
      </c>
      <c r="D2379" s="6">
        <f>MONTH(E2379)</f>
        <v/>
      </c>
      <c r="J2379" s="6">
        <f>K2379&amp;L2379</f>
        <v/>
      </c>
      <c r="K2379" s="6">
        <f>YEAR(M2379)</f>
        <v/>
      </c>
      <c r="L2379" s="6">
        <f>MONTH(M2379)</f>
        <v/>
      </c>
      <c r="R2379" s="6">
        <f>S2379&amp;T2379</f>
        <v/>
      </c>
      <c r="S2379" s="6">
        <f>YEAR(U2379)</f>
        <v/>
      </c>
      <c r="T2379" s="6">
        <f>MONTH(U2379)</f>
        <v/>
      </c>
      <c r="Z2379" s="6">
        <f>AA2379&amp;AB2379</f>
        <v/>
      </c>
      <c r="AA2379" s="6">
        <f>YEAR(AC2379)</f>
        <v/>
      </c>
      <c r="AB2379" s="6">
        <f>MONTH(AC2379)</f>
        <v/>
      </c>
      <c r="AC2379" s="267">
        <f>IFERROR(__xludf.DUMMYFUNCTION("""COMPUTED_VALUE"""),45531.9986111111)</f>
        <v/>
      </c>
      <c r="AD2379" s="6">
        <f>IFERROR(__xludf.DUMMYFUNCTION("""COMPUTED_VALUE"""),1326.36)</f>
        <v/>
      </c>
      <c r="AH2379" s="6">
        <f>AI2379&amp;AJ2379</f>
        <v/>
      </c>
      <c r="AI2379" s="6">
        <f>YEAR(AK2379)</f>
        <v/>
      </c>
      <c r="AJ2379" s="6">
        <f>MONTH(AK2379)</f>
        <v/>
      </c>
      <c r="AK2379" s="267">
        <f>IFERROR(__xludf.DUMMYFUNCTION("""COMPUTED_VALUE"""),45473.9986111111)</f>
        <v/>
      </c>
      <c r="AL2379" s="6">
        <f>IFERROR(__xludf.DUMMYFUNCTION("""COMPUTED_VALUE"""),60860.1)</f>
        <v/>
      </c>
      <c r="AP2379" s="6">
        <f>AQ2379&amp;AR2379</f>
        <v/>
      </c>
      <c r="AQ2379" s="6">
        <f>YEAR(AS2379)</f>
        <v/>
      </c>
      <c r="AR2379" s="6">
        <f>MONTH(AS2379)</f>
        <v/>
      </c>
    </row>
    <row r="2380">
      <c r="B2380" s="6">
        <f>C2380&amp;D2380</f>
        <v/>
      </c>
      <c r="C2380" s="6">
        <f>YEAR(E2380)</f>
        <v/>
      </c>
      <c r="D2380" s="6">
        <f>MONTH(E2380)</f>
        <v/>
      </c>
      <c r="J2380" s="6">
        <f>K2380&amp;L2380</f>
        <v/>
      </c>
      <c r="K2380" s="6">
        <f>YEAR(M2380)</f>
        <v/>
      </c>
      <c r="L2380" s="6">
        <f>MONTH(M2380)</f>
        <v/>
      </c>
      <c r="R2380" s="6">
        <f>S2380&amp;T2380</f>
        <v/>
      </c>
      <c r="S2380" s="6">
        <f>YEAR(U2380)</f>
        <v/>
      </c>
      <c r="T2380" s="6">
        <f>MONTH(U2380)</f>
        <v/>
      </c>
      <c r="Z2380" s="6">
        <f>AA2380&amp;AB2380</f>
        <v/>
      </c>
      <c r="AA2380" s="6">
        <f>YEAR(AC2380)</f>
        <v/>
      </c>
      <c r="AB2380" s="6">
        <f>MONTH(AC2380)</f>
        <v/>
      </c>
      <c r="AC2380" s="267">
        <f>IFERROR(__xludf.DUMMYFUNCTION("""COMPUTED_VALUE"""),45532.9986111111)</f>
        <v/>
      </c>
      <c r="AD2380" s="6">
        <f>IFERROR(__xludf.DUMMYFUNCTION("""COMPUTED_VALUE"""),1336.69)</f>
        <v/>
      </c>
      <c r="AH2380" s="6">
        <f>AI2380&amp;AJ2380</f>
        <v/>
      </c>
      <c r="AI2380" s="6">
        <f>YEAR(AK2380)</f>
        <v/>
      </c>
      <c r="AJ2380" s="6">
        <f>MONTH(AK2380)</f>
        <v/>
      </c>
      <c r="AK2380" s="267">
        <f>IFERROR(__xludf.DUMMYFUNCTION("""COMPUTED_VALUE"""),45474.9986111111)</f>
        <v/>
      </c>
      <c r="AL2380" s="6">
        <f>IFERROR(__xludf.DUMMYFUNCTION("""COMPUTED_VALUE"""),63352.62)</f>
        <v/>
      </c>
      <c r="AP2380" s="6">
        <f>AQ2380&amp;AR2380</f>
        <v/>
      </c>
      <c r="AQ2380" s="6">
        <f>YEAR(AS2380)</f>
        <v/>
      </c>
      <c r="AR2380" s="6">
        <f>MONTH(AS2380)</f>
        <v/>
      </c>
    </row>
    <row r="2381">
      <c r="B2381" s="6">
        <f>C2381&amp;D2381</f>
        <v/>
      </c>
      <c r="C2381" s="6">
        <f>YEAR(E2381)</f>
        <v/>
      </c>
      <c r="D2381" s="6">
        <f>MONTH(E2381)</f>
        <v/>
      </c>
      <c r="J2381" s="6">
        <f>K2381&amp;L2381</f>
        <v/>
      </c>
      <c r="K2381" s="6">
        <f>YEAR(M2381)</f>
        <v/>
      </c>
      <c r="L2381" s="6">
        <f>MONTH(M2381)</f>
        <v/>
      </c>
      <c r="R2381" s="6">
        <f>S2381&amp;T2381</f>
        <v/>
      </c>
      <c r="S2381" s="6">
        <f>YEAR(U2381)</f>
        <v/>
      </c>
      <c r="T2381" s="6">
        <f>MONTH(U2381)</f>
        <v/>
      </c>
      <c r="Z2381" s="6">
        <f>AA2381&amp;AB2381</f>
        <v/>
      </c>
      <c r="AA2381" s="6">
        <f>YEAR(AC2381)</f>
        <v/>
      </c>
      <c r="AB2381" s="6">
        <f>MONTH(AC2381)</f>
        <v/>
      </c>
      <c r="AC2381" s="267">
        <f>IFERROR(__xludf.DUMMYFUNCTION("""COMPUTED_VALUE"""),45533.9986111111)</f>
        <v/>
      </c>
      <c r="AD2381" s="6">
        <f>IFERROR(__xludf.DUMMYFUNCTION("""COMPUTED_VALUE"""),1332.88)</f>
        <v/>
      </c>
      <c r="AH2381" s="6">
        <f>AI2381&amp;AJ2381</f>
        <v/>
      </c>
      <c r="AI2381" s="6">
        <f>YEAR(AK2381)</f>
        <v/>
      </c>
      <c r="AJ2381" s="6">
        <f>MONTH(AK2381)</f>
        <v/>
      </c>
      <c r="AK2381" s="267">
        <f>IFERROR(__xludf.DUMMYFUNCTION("""COMPUTED_VALUE"""),45475.9986111111)</f>
        <v/>
      </c>
      <c r="AL2381" s="6">
        <f>IFERROR(__xludf.DUMMYFUNCTION("""COMPUTED_VALUE"""),63112.1)</f>
        <v/>
      </c>
      <c r="AP2381" s="6">
        <f>AQ2381&amp;AR2381</f>
        <v/>
      </c>
      <c r="AQ2381" s="6">
        <f>YEAR(AS2381)</f>
        <v/>
      </c>
      <c r="AR2381" s="6">
        <f>MONTH(AS2381)</f>
        <v/>
      </c>
    </row>
    <row r="2382">
      <c r="B2382" s="6">
        <f>C2382&amp;D2382</f>
        <v/>
      </c>
      <c r="C2382" s="6">
        <f>YEAR(E2382)</f>
        <v/>
      </c>
      <c r="D2382" s="6">
        <f>MONTH(E2382)</f>
        <v/>
      </c>
      <c r="J2382" s="6">
        <f>K2382&amp;L2382</f>
        <v/>
      </c>
      <c r="K2382" s="6">
        <f>YEAR(M2382)</f>
        <v/>
      </c>
      <c r="L2382" s="6">
        <f>MONTH(M2382)</f>
        <v/>
      </c>
      <c r="R2382" s="6">
        <f>S2382&amp;T2382</f>
        <v/>
      </c>
      <c r="S2382" s="6">
        <f>YEAR(U2382)</f>
        <v/>
      </c>
      <c r="T2382" s="6">
        <f>MONTH(U2382)</f>
        <v/>
      </c>
      <c r="Z2382" s="6">
        <f>AA2382&amp;AB2382</f>
        <v/>
      </c>
      <c r="AA2382" s="6">
        <f>YEAR(AC2382)</f>
        <v/>
      </c>
      <c r="AB2382" s="6">
        <f>MONTH(AC2382)</f>
        <v/>
      </c>
      <c r="AC2382" s="267">
        <f>IFERROR(__xludf.DUMMYFUNCTION("""COMPUTED_VALUE"""),45534.9986111111)</f>
        <v/>
      </c>
      <c r="AD2382" s="6">
        <f>IFERROR(__xludf.DUMMYFUNCTION("""COMPUTED_VALUE"""),1336.57)</f>
        <v/>
      </c>
      <c r="AH2382" s="6">
        <f>AI2382&amp;AJ2382</f>
        <v/>
      </c>
      <c r="AI2382" s="6">
        <f>YEAR(AK2382)</f>
        <v/>
      </c>
      <c r="AJ2382" s="6">
        <f>MONTH(AK2382)</f>
        <v/>
      </c>
      <c r="AK2382" s="267">
        <f>IFERROR(__xludf.DUMMYFUNCTION("""COMPUTED_VALUE"""),45476.9986111111)</f>
        <v/>
      </c>
      <c r="AL2382" s="6">
        <f>IFERROR(__xludf.DUMMYFUNCTION("""COMPUTED_VALUE"""),60889.5)</f>
        <v/>
      </c>
      <c r="AP2382" s="6">
        <f>AQ2382&amp;AR2382</f>
        <v/>
      </c>
      <c r="AQ2382" s="6">
        <f>YEAR(AS2382)</f>
        <v/>
      </c>
      <c r="AR2382" s="6">
        <f>MONTH(AS2382)</f>
        <v/>
      </c>
    </row>
    <row r="2383">
      <c r="B2383" s="6">
        <f>C2383&amp;D2383</f>
        <v/>
      </c>
      <c r="C2383" s="6">
        <f>YEAR(E2383)</f>
        <v/>
      </c>
      <c r="D2383" s="6">
        <f>MONTH(E2383)</f>
        <v/>
      </c>
      <c r="J2383" s="6">
        <f>K2383&amp;L2383</f>
        <v/>
      </c>
      <c r="K2383" s="6">
        <f>YEAR(M2383)</f>
        <v/>
      </c>
      <c r="L2383" s="6">
        <f>MONTH(M2383)</f>
        <v/>
      </c>
      <c r="R2383" s="6">
        <f>S2383&amp;T2383</f>
        <v/>
      </c>
      <c r="S2383" s="6">
        <f>YEAR(U2383)</f>
        <v/>
      </c>
      <c r="T2383" s="6">
        <f>MONTH(U2383)</f>
        <v/>
      </c>
      <c r="Z2383" s="6">
        <f>AA2383&amp;AB2383</f>
        <v/>
      </c>
      <c r="AA2383" s="6">
        <f>YEAR(AC2383)</f>
        <v/>
      </c>
      <c r="AB2383" s="6">
        <f>MONTH(AC2383)</f>
        <v/>
      </c>
      <c r="AC2383" s="267">
        <f>IFERROR(__xludf.DUMMYFUNCTION("""COMPUTED_VALUE"""),45535.9986111111)</f>
        <v/>
      </c>
      <c r="AD2383" s="6">
        <f>IFERROR(__xludf.DUMMYFUNCTION("""COMPUTED_VALUE"""),1336.57)</f>
        <v/>
      </c>
      <c r="AH2383" s="6">
        <f>AI2383&amp;AJ2383</f>
        <v/>
      </c>
      <c r="AI2383" s="6">
        <f>YEAR(AK2383)</f>
        <v/>
      </c>
      <c r="AJ2383" s="6">
        <f>MONTH(AK2383)</f>
        <v/>
      </c>
      <c r="AK2383" s="267">
        <f>IFERROR(__xludf.DUMMYFUNCTION("""COMPUTED_VALUE"""),45477.9986111111)</f>
        <v/>
      </c>
      <c r="AL2383" s="6">
        <f>IFERROR(__xludf.DUMMYFUNCTION("""COMPUTED_VALUE"""),58973.24)</f>
        <v/>
      </c>
      <c r="AP2383" s="6">
        <f>AQ2383&amp;AR2383</f>
        <v/>
      </c>
      <c r="AQ2383" s="6">
        <f>YEAR(AS2383)</f>
        <v/>
      </c>
      <c r="AR2383" s="6">
        <f>MONTH(AS2383)</f>
        <v/>
      </c>
    </row>
    <row r="2384">
      <c r="B2384" s="6">
        <f>C2384&amp;D2384</f>
        <v/>
      </c>
      <c r="C2384" s="6">
        <f>YEAR(E2384)</f>
        <v/>
      </c>
      <c r="D2384" s="6">
        <f>MONTH(E2384)</f>
        <v/>
      </c>
      <c r="J2384" s="6">
        <f>K2384&amp;L2384</f>
        <v/>
      </c>
      <c r="K2384" s="6">
        <f>YEAR(M2384)</f>
        <v/>
      </c>
      <c r="L2384" s="6">
        <f>MONTH(M2384)</f>
        <v/>
      </c>
      <c r="R2384" s="6">
        <f>S2384&amp;T2384</f>
        <v/>
      </c>
      <c r="S2384" s="6">
        <f>YEAR(U2384)</f>
        <v/>
      </c>
      <c r="T2384" s="6">
        <f>MONTH(U2384)</f>
        <v/>
      </c>
      <c r="Z2384" s="6">
        <f>AA2384&amp;AB2384</f>
        <v/>
      </c>
      <c r="AA2384" s="6">
        <f>YEAR(AC2384)</f>
        <v/>
      </c>
      <c r="AB2384" s="6">
        <f>MONTH(AC2384)</f>
        <v/>
      </c>
      <c r="AC2384" s="267">
        <f>IFERROR(__xludf.DUMMYFUNCTION("""COMPUTED_VALUE"""),45536.9986111111)</f>
        <v/>
      </c>
      <c r="AD2384" s="6">
        <f>IFERROR(__xludf.DUMMYFUNCTION("""COMPUTED_VALUE"""),1336.58)</f>
        <v/>
      </c>
      <c r="AH2384" s="6">
        <f>AI2384&amp;AJ2384</f>
        <v/>
      </c>
      <c r="AI2384" s="6">
        <f>YEAR(AK2384)</f>
        <v/>
      </c>
      <c r="AJ2384" s="6">
        <f>MONTH(AK2384)</f>
        <v/>
      </c>
      <c r="AK2384" s="267">
        <f>IFERROR(__xludf.DUMMYFUNCTION("""COMPUTED_VALUE"""),45478.9986111111)</f>
        <v/>
      </c>
      <c r="AL2384" s="6">
        <f>IFERROR(__xludf.DUMMYFUNCTION("""COMPUTED_VALUE"""),55244.81)</f>
        <v/>
      </c>
      <c r="AP2384" s="6">
        <f>AQ2384&amp;AR2384</f>
        <v/>
      </c>
      <c r="AQ2384" s="6">
        <f>YEAR(AS2384)</f>
        <v/>
      </c>
      <c r="AR2384" s="6">
        <f>MONTH(AS2384)</f>
        <v/>
      </c>
    </row>
    <row r="2385">
      <c r="B2385" s="6">
        <f>C2385&amp;D2385</f>
        <v/>
      </c>
      <c r="C2385" s="6">
        <f>YEAR(E2385)</f>
        <v/>
      </c>
      <c r="D2385" s="6">
        <f>MONTH(E2385)</f>
        <v/>
      </c>
      <c r="J2385" s="6">
        <f>K2385&amp;L2385</f>
        <v/>
      </c>
      <c r="K2385" s="6">
        <f>YEAR(M2385)</f>
        <v/>
      </c>
      <c r="L2385" s="6">
        <f>MONTH(M2385)</f>
        <v/>
      </c>
      <c r="R2385" s="6">
        <f>S2385&amp;T2385</f>
        <v/>
      </c>
      <c r="S2385" s="6">
        <f>YEAR(U2385)</f>
        <v/>
      </c>
      <c r="T2385" s="6">
        <f>MONTH(U2385)</f>
        <v/>
      </c>
      <c r="Z2385" s="6">
        <f>AA2385&amp;AB2385</f>
        <v/>
      </c>
      <c r="AA2385" s="6">
        <f>YEAR(AC2385)</f>
        <v/>
      </c>
      <c r="AB2385" s="6">
        <f>MONTH(AC2385)</f>
        <v/>
      </c>
      <c r="AC2385" s="267">
        <f>IFERROR(__xludf.DUMMYFUNCTION("""COMPUTED_VALUE"""),45537.9986111111)</f>
        <v/>
      </c>
      <c r="AD2385" s="6">
        <f>IFERROR(__xludf.DUMMYFUNCTION("""COMPUTED_VALUE"""),1337.55)</f>
        <v/>
      </c>
      <c r="AH2385" s="6">
        <f>AI2385&amp;AJ2385</f>
        <v/>
      </c>
      <c r="AI2385" s="6">
        <f>YEAR(AK2385)</f>
        <v/>
      </c>
      <c r="AJ2385" s="6">
        <f>MONTH(AK2385)</f>
        <v/>
      </c>
      <c r="AK2385" s="267">
        <f>IFERROR(__xludf.DUMMYFUNCTION("""COMPUTED_VALUE"""),45479.9986111111)</f>
        <v/>
      </c>
      <c r="AL2385" s="6">
        <f>IFERROR(__xludf.DUMMYFUNCTION("""COMPUTED_VALUE"""),56420.53)</f>
        <v/>
      </c>
      <c r="AP2385" s="6">
        <f>AQ2385&amp;AR2385</f>
        <v/>
      </c>
      <c r="AQ2385" s="6">
        <f>YEAR(AS2385)</f>
        <v/>
      </c>
      <c r="AR2385" s="6">
        <f>MONTH(AS2385)</f>
        <v/>
      </c>
    </row>
    <row r="2386">
      <c r="B2386" s="6">
        <f>C2386&amp;D2386</f>
        <v/>
      </c>
      <c r="C2386" s="6">
        <f>YEAR(E2386)</f>
        <v/>
      </c>
      <c r="D2386" s="6">
        <f>MONTH(E2386)</f>
        <v/>
      </c>
      <c r="J2386" s="6">
        <f>K2386&amp;L2386</f>
        <v/>
      </c>
      <c r="K2386" s="6">
        <f>YEAR(M2386)</f>
        <v/>
      </c>
      <c r="L2386" s="6">
        <f>MONTH(M2386)</f>
        <v/>
      </c>
      <c r="R2386" s="6">
        <f>S2386&amp;T2386</f>
        <v/>
      </c>
      <c r="S2386" s="6">
        <f>YEAR(U2386)</f>
        <v/>
      </c>
      <c r="T2386" s="6">
        <f>MONTH(U2386)</f>
        <v/>
      </c>
      <c r="Z2386" s="6">
        <f>AA2386&amp;AB2386</f>
        <v/>
      </c>
      <c r="AA2386" s="6">
        <f>YEAR(AC2386)</f>
        <v/>
      </c>
      <c r="AB2386" s="6">
        <f>MONTH(AC2386)</f>
        <v/>
      </c>
      <c r="AC2386" s="267">
        <f>IFERROR(__xludf.DUMMYFUNCTION("""COMPUTED_VALUE"""),45538.9986111111)</f>
        <v/>
      </c>
      <c r="AD2386" s="6">
        <f>IFERROR(__xludf.DUMMYFUNCTION("""COMPUTED_VALUE"""),1340.41)</f>
        <v/>
      </c>
      <c r="AH2386" s="6">
        <f>AI2386&amp;AJ2386</f>
        <v/>
      </c>
      <c r="AI2386" s="6">
        <f>YEAR(AK2386)</f>
        <v/>
      </c>
      <c r="AJ2386" s="6">
        <f>MONTH(AK2386)</f>
        <v/>
      </c>
      <c r="AK2386" s="267">
        <f>IFERROR(__xludf.DUMMYFUNCTION("""COMPUTED_VALUE"""),45480.9986111111)</f>
        <v/>
      </c>
      <c r="AL2386" s="6">
        <f>IFERROR(__xludf.DUMMYFUNCTION("""COMPUTED_VALUE"""),58088.72)</f>
        <v/>
      </c>
      <c r="AP2386" s="6">
        <f>AQ2386&amp;AR2386</f>
        <v/>
      </c>
      <c r="AQ2386" s="6">
        <f>YEAR(AS2386)</f>
        <v/>
      </c>
      <c r="AR2386" s="6">
        <f>MONTH(AS2386)</f>
        <v/>
      </c>
    </row>
    <row r="2387">
      <c r="B2387" s="6">
        <f>C2387&amp;D2387</f>
        <v/>
      </c>
      <c r="C2387" s="6">
        <f>YEAR(E2387)</f>
        <v/>
      </c>
      <c r="D2387" s="6">
        <f>MONTH(E2387)</f>
        <v/>
      </c>
      <c r="J2387" s="6">
        <f>K2387&amp;L2387</f>
        <v/>
      </c>
      <c r="K2387" s="6">
        <f>YEAR(M2387)</f>
        <v/>
      </c>
      <c r="L2387" s="6">
        <f>MONTH(M2387)</f>
        <v/>
      </c>
      <c r="R2387" s="6">
        <f>S2387&amp;T2387</f>
        <v/>
      </c>
      <c r="S2387" s="6">
        <f>YEAR(U2387)</f>
        <v/>
      </c>
      <c r="T2387" s="6">
        <f>MONTH(U2387)</f>
        <v/>
      </c>
      <c r="Z2387" s="6">
        <f>AA2387&amp;AB2387</f>
        <v/>
      </c>
      <c r="AA2387" s="6">
        <f>YEAR(AC2387)</f>
        <v/>
      </c>
      <c r="AB2387" s="6">
        <f>MONTH(AC2387)</f>
        <v/>
      </c>
      <c r="AC2387" s="267">
        <f>IFERROR(__xludf.DUMMYFUNCTION("""COMPUTED_VALUE"""),45539.9986111111)</f>
        <v/>
      </c>
      <c r="AD2387" s="6">
        <f>IFERROR(__xludf.DUMMYFUNCTION("""COMPUTED_VALUE"""),1331.01)</f>
        <v/>
      </c>
      <c r="AH2387" s="6">
        <f>AI2387&amp;AJ2387</f>
        <v/>
      </c>
      <c r="AI2387" s="6">
        <f>YEAR(AK2387)</f>
        <v/>
      </c>
      <c r="AJ2387" s="6">
        <f>MONTH(AK2387)</f>
        <v/>
      </c>
      <c r="AK2387" s="267">
        <f>IFERROR(__xludf.DUMMYFUNCTION("""COMPUTED_VALUE"""),45481.9986111111)</f>
        <v/>
      </c>
      <c r="AL2387" s="6">
        <f>IFERROR(__xludf.DUMMYFUNCTION("""COMPUTED_VALUE"""),55184.9)</f>
        <v/>
      </c>
      <c r="AP2387" s="6">
        <f>AQ2387&amp;AR2387</f>
        <v/>
      </c>
      <c r="AQ2387" s="6">
        <f>YEAR(AS2387)</f>
        <v/>
      </c>
      <c r="AR2387" s="6">
        <f>MONTH(AS2387)</f>
        <v/>
      </c>
    </row>
    <row r="2388">
      <c r="B2388" s="6">
        <f>C2388&amp;D2388</f>
        <v/>
      </c>
      <c r="C2388" s="6">
        <f>YEAR(E2388)</f>
        <v/>
      </c>
      <c r="D2388" s="6">
        <f>MONTH(E2388)</f>
        <v/>
      </c>
      <c r="J2388" s="6">
        <f>K2388&amp;L2388</f>
        <v/>
      </c>
      <c r="K2388" s="6">
        <f>YEAR(M2388)</f>
        <v/>
      </c>
      <c r="L2388" s="6">
        <f>MONTH(M2388)</f>
        <v/>
      </c>
      <c r="R2388" s="6">
        <f>S2388&amp;T2388</f>
        <v/>
      </c>
      <c r="S2388" s="6">
        <f>YEAR(U2388)</f>
        <v/>
      </c>
      <c r="T2388" s="6">
        <f>MONTH(U2388)</f>
        <v/>
      </c>
      <c r="Z2388" s="6">
        <f>AA2388&amp;AB2388</f>
        <v/>
      </c>
      <c r="AA2388" s="6">
        <f>YEAR(AC2388)</f>
        <v/>
      </c>
      <c r="AB2388" s="6">
        <f>MONTH(AC2388)</f>
        <v/>
      </c>
      <c r="AC2388" s="267">
        <f>IFERROR(__xludf.DUMMYFUNCTION("""COMPUTED_VALUE"""),45540.9986111111)</f>
        <v/>
      </c>
      <c r="AD2388" s="6">
        <f>IFERROR(__xludf.DUMMYFUNCTION("""COMPUTED_VALUE"""),1332.79)</f>
        <v/>
      </c>
      <c r="AH2388" s="6">
        <f>AI2388&amp;AJ2388</f>
        <v/>
      </c>
      <c r="AI2388" s="6">
        <f>YEAR(AK2388)</f>
        <v/>
      </c>
      <c r="AJ2388" s="6">
        <f>MONTH(AK2388)</f>
        <v/>
      </c>
      <c r="AK2388" s="267">
        <f>IFERROR(__xludf.DUMMYFUNCTION("""COMPUTED_VALUE"""),45482.9986111111)</f>
        <v/>
      </c>
      <c r="AL2388" s="6">
        <f>IFERROR(__xludf.DUMMYFUNCTION("""COMPUTED_VALUE"""),57109.26)</f>
        <v/>
      </c>
      <c r="AP2388" s="6">
        <f>AQ2388&amp;AR2388</f>
        <v/>
      </c>
      <c r="AQ2388" s="6">
        <f>YEAR(AS2388)</f>
        <v/>
      </c>
      <c r="AR2388" s="6">
        <f>MONTH(AS2388)</f>
        <v/>
      </c>
    </row>
    <row r="2389">
      <c r="B2389" s="6">
        <f>C2389&amp;D2389</f>
        <v/>
      </c>
      <c r="C2389" s="6">
        <f>YEAR(E2389)</f>
        <v/>
      </c>
      <c r="D2389" s="6">
        <f>MONTH(E2389)</f>
        <v/>
      </c>
      <c r="J2389" s="6">
        <f>K2389&amp;L2389</f>
        <v/>
      </c>
      <c r="K2389" s="6">
        <f>YEAR(M2389)</f>
        <v/>
      </c>
      <c r="L2389" s="6">
        <f>MONTH(M2389)</f>
        <v/>
      </c>
      <c r="R2389" s="6">
        <f>S2389&amp;T2389</f>
        <v/>
      </c>
      <c r="S2389" s="6">
        <f>YEAR(U2389)</f>
        <v/>
      </c>
      <c r="T2389" s="6">
        <f>MONTH(U2389)</f>
        <v/>
      </c>
      <c r="Z2389" s="6">
        <f>AA2389&amp;AB2389</f>
        <v/>
      </c>
      <c r="AA2389" s="6">
        <f>YEAR(AC2389)</f>
        <v/>
      </c>
      <c r="AB2389" s="6">
        <f>MONTH(AC2389)</f>
        <v/>
      </c>
      <c r="AC2389" s="267">
        <f>IFERROR(__xludf.DUMMYFUNCTION("""COMPUTED_VALUE"""),45541.9986111111)</f>
        <v/>
      </c>
      <c r="AD2389" s="6">
        <f>IFERROR(__xludf.DUMMYFUNCTION("""COMPUTED_VALUE"""),1337.27)</f>
        <v/>
      </c>
      <c r="AH2389" s="6">
        <f>AI2389&amp;AJ2389</f>
        <v/>
      </c>
      <c r="AI2389" s="6">
        <f>YEAR(AK2389)</f>
        <v/>
      </c>
      <c r="AJ2389" s="6">
        <f>MONTH(AK2389)</f>
        <v/>
      </c>
      <c r="AK2389" s="267">
        <f>IFERROR(__xludf.DUMMYFUNCTION("""COMPUTED_VALUE"""),45483.9986111111)</f>
        <v/>
      </c>
      <c r="AL2389" s="6">
        <f>IFERROR(__xludf.DUMMYFUNCTION("""COMPUTED_VALUE"""),58045.79)</f>
        <v/>
      </c>
      <c r="AP2389" s="6">
        <f>AQ2389&amp;AR2389</f>
        <v/>
      </c>
      <c r="AQ2389" s="6">
        <f>YEAR(AS2389)</f>
        <v/>
      </c>
      <c r="AR2389" s="6">
        <f>MONTH(AS2389)</f>
        <v/>
      </c>
    </row>
    <row r="2390">
      <c r="B2390" s="6">
        <f>C2390&amp;D2390</f>
        <v/>
      </c>
      <c r="C2390" s="6">
        <f>YEAR(E2390)</f>
        <v/>
      </c>
      <c r="D2390" s="6">
        <f>MONTH(E2390)</f>
        <v/>
      </c>
      <c r="J2390" s="6">
        <f>K2390&amp;L2390</f>
        <v/>
      </c>
      <c r="K2390" s="6">
        <f>YEAR(M2390)</f>
        <v/>
      </c>
      <c r="L2390" s="6">
        <f>MONTH(M2390)</f>
        <v/>
      </c>
      <c r="R2390" s="6">
        <f>S2390&amp;T2390</f>
        <v/>
      </c>
      <c r="S2390" s="6">
        <f>YEAR(U2390)</f>
        <v/>
      </c>
      <c r="T2390" s="6">
        <f>MONTH(U2390)</f>
        <v/>
      </c>
      <c r="Z2390" s="6">
        <f>AA2390&amp;AB2390</f>
        <v/>
      </c>
      <c r="AA2390" s="6">
        <f>YEAR(AC2390)</f>
        <v/>
      </c>
      <c r="AB2390" s="6">
        <f>MONTH(AC2390)</f>
        <v/>
      </c>
      <c r="AC2390" s="267">
        <f>IFERROR(__xludf.DUMMYFUNCTION("""COMPUTED_VALUE"""),45542.9986111111)</f>
        <v/>
      </c>
      <c r="AD2390" s="6">
        <f>IFERROR(__xludf.DUMMYFUNCTION("""COMPUTED_VALUE"""),1337.27)</f>
        <v/>
      </c>
      <c r="AH2390" s="6">
        <f>AI2390&amp;AJ2390</f>
        <v/>
      </c>
      <c r="AI2390" s="6">
        <f>YEAR(AK2390)</f>
        <v/>
      </c>
      <c r="AJ2390" s="6">
        <f>MONTH(AK2390)</f>
        <v/>
      </c>
      <c r="AK2390" s="267">
        <f>IFERROR(__xludf.DUMMYFUNCTION("""COMPUTED_VALUE"""),45484.9986111111)</f>
        <v/>
      </c>
      <c r="AL2390" s="6">
        <f>IFERROR(__xludf.DUMMYFUNCTION("""COMPUTED_VALUE"""),57602.57)</f>
        <v/>
      </c>
      <c r="AP2390" s="6">
        <f>AQ2390&amp;AR2390</f>
        <v/>
      </c>
      <c r="AQ2390" s="6">
        <f>YEAR(AS2390)</f>
        <v/>
      </c>
      <c r="AR2390" s="6">
        <f>MONTH(AS2390)</f>
        <v/>
      </c>
    </row>
    <row r="2391">
      <c r="B2391" s="6">
        <f>C2391&amp;D2391</f>
        <v/>
      </c>
      <c r="C2391" s="6">
        <f>YEAR(E2391)</f>
        <v/>
      </c>
      <c r="D2391" s="6">
        <f>MONTH(E2391)</f>
        <v/>
      </c>
      <c r="J2391" s="6">
        <f>K2391&amp;L2391</f>
        <v/>
      </c>
      <c r="K2391" s="6">
        <f>YEAR(M2391)</f>
        <v/>
      </c>
      <c r="L2391" s="6">
        <f>MONTH(M2391)</f>
        <v/>
      </c>
      <c r="R2391" s="6">
        <f>S2391&amp;T2391</f>
        <v/>
      </c>
      <c r="S2391" s="6">
        <f>YEAR(U2391)</f>
        <v/>
      </c>
      <c r="T2391" s="6">
        <f>MONTH(U2391)</f>
        <v/>
      </c>
      <c r="Z2391" s="6">
        <f>AA2391&amp;AB2391</f>
        <v/>
      </c>
      <c r="AA2391" s="6">
        <f>YEAR(AC2391)</f>
        <v/>
      </c>
      <c r="AB2391" s="6">
        <f>MONTH(AC2391)</f>
        <v/>
      </c>
      <c r="AC2391" s="267">
        <f>IFERROR(__xludf.DUMMYFUNCTION("""COMPUTED_VALUE"""),45543.9986111111)</f>
        <v/>
      </c>
      <c r="AD2391" s="6">
        <f>IFERROR(__xludf.DUMMYFUNCTION("""COMPUTED_VALUE"""),1337.77)</f>
        <v/>
      </c>
      <c r="AH2391" s="6">
        <f>AI2391&amp;AJ2391</f>
        <v/>
      </c>
      <c r="AI2391" s="6">
        <f>YEAR(AK2391)</f>
        <v/>
      </c>
      <c r="AJ2391" s="6">
        <f>MONTH(AK2391)</f>
        <v/>
      </c>
      <c r="AK2391" s="267">
        <f>IFERROR(__xludf.DUMMYFUNCTION("""COMPUTED_VALUE"""),45485.9986111111)</f>
        <v/>
      </c>
      <c r="AL2391" s="6">
        <f>IFERROR(__xludf.DUMMYFUNCTION("""COMPUTED_VALUE"""),56940.31)</f>
        <v/>
      </c>
      <c r="AP2391" s="6">
        <f>AQ2391&amp;AR2391</f>
        <v/>
      </c>
      <c r="AQ2391" s="6">
        <f>YEAR(AS2391)</f>
        <v/>
      </c>
      <c r="AR2391" s="6">
        <f>MONTH(AS2391)</f>
        <v/>
      </c>
    </row>
    <row r="2392">
      <c r="B2392" s="6">
        <f>C2392&amp;D2392</f>
        <v/>
      </c>
      <c r="C2392" s="6">
        <f>YEAR(E2392)</f>
        <v/>
      </c>
      <c r="D2392" s="6">
        <f>MONTH(E2392)</f>
        <v/>
      </c>
      <c r="J2392" s="6">
        <f>K2392&amp;L2392</f>
        <v/>
      </c>
      <c r="K2392" s="6">
        <f>YEAR(M2392)</f>
        <v/>
      </c>
      <c r="L2392" s="6">
        <f>MONTH(M2392)</f>
        <v/>
      </c>
      <c r="R2392" s="6">
        <f>S2392&amp;T2392</f>
        <v/>
      </c>
      <c r="S2392" s="6">
        <f>YEAR(U2392)</f>
        <v/>
      </c>
      <c r="T2392" s="6">
        <f>MONTH(U2392)</f>
        <v/>
      </c>
      <c r="Z2392" s="6">
        <f>AA2392&amp;AB2392</f>
        <v/>
      </c>
      <c r="AA2392" s="6">
        <f>YEAR(AC2392)</f>
        <v/>
      </c>
      <c r="AB2392" s="6">
        <f>MONTH(AC2392)</f>
        <v/>
      </c>
      <c r="AC2392" s="267">
        <f>IFERROR(__xludf.DUMMYFUNCTION("""COMPUTED_VALUE"""),45544.9986111111)</f>
        <v/>
      </c>
      <c r="AD2392" s="6">
        <f>IFERROR(__xludf.DUMMYFUNCTION("""COMPUTED_VALUE"""),1341.27)</f>
        <v/>
      </c>
      <c r="AH2392" s="6">
        <f>AI2392&amp;AJ2392</f>
        <v/>
      </c>
      <c r="AI2392" s="6">
        <f>YEAR(AK2392)</f>
        <v/>
      </c>
      <c r="AJ2392" s="6">
        <f>MONTH(AK2392)</f>
        <v/>
      </c>
      <c r="AK2392" s="267">
        <f>IFERROR(__xludf.DUMMYFUNCTION("""COMPUTED_VALUE"""),45486.9986111111)</f>
        <v/>
      </c>
      <c r="AL2392" s="6">
        <f>IFERROR(__xludf.DUMMYFUNCTION("""COMPUTED_VALUE"""),57935.24)</f>
        <v/>
      </c>
      <c r="AP2392" s="6">
        <f>AQ2392&amp;AR2392</f>
        <v/>
      </c>
      <c r="AQ2392" s="6">
        <f>YEAR(AS2392)</f>
        <v/>
      </c>
      <c r="AR2392" s="6">
        <f>MONTH(AS2392)</f>
        <v/>
      </c>
    </row>
    <row r="2393">
      <c r="B2393" s="6">
        <f>C2393&amp;D2393</f>
        <v/>
      </c>
      <c r="C2393" s="6">
        <f>YEAR(E2393)</f>
        <v/>
      </c>
      <c r="D2393" s="6">
        <f>MONTH(E2393)</f>
        <v/>
      </c>
      <c r="J2393" s="6">
        <f>K2393&amp;L2393</f>
        <v/>
      </c>
      <c r="K2393" s="6">
        <f>YEAR(M2393)</f>
        <v/>
      </c>
      <c r="L2393" s="6">
        <f>MONTH(M2393)</f>
        <v/>
      </c>
      <c r="R2393" s="6">
        <f>S2393&amp;T2393</f>
        <v/>
      </c>
      <c r="S2393" s="6">
        <f>YEAR(U2393)</f>
        <v/>
      </c>
      <c r="T2393" s="6">
        <f>MONTH(U2393)</f>
        <v/>
      </c>
      <c r="Z2393" s="6">
        <f>AA2393&amp;AB2393</f>
        <v/>
      </c>
      <c r="AA2393" s="6">
        <f>YEAR(AC2393)</f>
        <v/>
      </c>
      <c r="AB2393" s="6">
        <f>MONTH(AC2393)</f>
        <v/>
      </c>
      <c r="AC2393" s="267">
        <f>IFERROR(__xludf.DUMMYFUNCTION("""COMPUTED_VALUE"""),45545.9986111111)</f>
        <v/>
      </c>
      <c r="AD2393" s="6">
        <f>IFERROR(__xludf.DUMMYFUNCTION("""COMPUTED_VALUE"""),1343.34)</f>
        <v/>
      </c>
      <c r="AH2393" s="6">
        <f>AI2393&amp;AJ2393</f>
        <v/>
      </c>
      <c r="AI2393" s="6">
        <f>YEAR(AK2393)</f>
        <v/>
      </c>
      <c r="AJ2393" s="6">
        <f>MONTH(AK2393)</f>
        <v/>
      </c>
      <c r="AK2393" s="267">
        <f>IFERROR(__xludf.DUMMYFUNCTION("""COMPUTED_VALUE"""),45487.9986111111)</f>
        <v/>
      </c>
      <c r="AL2393" s="6">
        <f>IFERROR(__xludf.DUMMYFUNCTION("""COMPUTED_VALUE"""),59477.68)</f>
        <v/>
      </c>
      <c r="AP2393" s="6">
        <f>AQ2393&amp;AR2393</f>
        <v/>
      </c>
      <c r="AQ2393" s="6">
        <f>YEAR(AS2393)</f>
        <v/>
      </c>
      <c r="AR2393" s="6">
        <f>MONTH(AS2393)</f>
        <v/>
      </c>
    </row>
    <row r="2394">
      <c r="B2394" s="6">
        <f>C2394&amp;D2394</f>
        <v/>
      </c>
      <c r="C2394" s="6">
        <f>YEAR(E2394)</f>
        <v/>
      </c>
      <c r="D2394" s="6">
        <f>MONTH(E2394)</f>
        <v/>
      </c>
      <c r="J2394" s="6">
        <f>K2394&amp;L2394</f>
        <v/>
      </c>
      <c r="K2394" s="6">
        <f>YEAR(M2394)</f>
        <v/>
      </c>
      <c r="L2394" s="6">
        <f>MONTH(M2394)</f>
        <v/>
      </c>
      <c r="R2394" s="6">
        <f>S2394&amp;T2394</f>
        <v/>
      </c>
      <c r="S2394" s="6">
        <f>YEAR(U2394)</f>
        <v/>
      </c>
      <c r="T2394" s="6">
        <f>MONTH(U2394)</f>
        <v/>
      </c>
      <c r="Z2394" s="6">
        <f>AA2394&amp;AB2394</f>
        <v/>
      </c>
      <c r="AA2394" s="6">
        <f>YEAR(AC2394)</f>
        <v/>
      </c>
      <c r="AB2394" s="6">
        <f>MONTH(AC2394)</f>
        <v/>
      </c>
      <c r="AC2394" s="267">
        <f>IFERROR(__xludf.DUMMYFUNCTION("""COMPUTED_VALUE"""),45546.9986111111)</f>
        <v/>
      </c>
      <c r="AD2394" s="6">
        <f>IFERROR(__xludf.DUMMYFUNCTION("""COMPUTED_VALUE"""),1339.18)</f>
        <v/>
      </c>
      <c r="AH2394" s="6">
        <f>AI2394&amp;AJ2394</f>
        <v/>
      </c>
      <c r="AI2394" s="6">
        <f>YEAR(AK2394)</f>
        <v/>
      </c>
      <c r="AJ2394" s="6">
        <f>MONTH(AK2394)</f>
        <v/>
      </c>
      <c r="AK2394" s="267">
        <f>IFERROR(__xludf.DUMMYFUNCTION("""COMPUTED_VALUE"""),45488.9986111111)</f>
        <v/>
      </c>
      <c r="AL2394" s="6">
        <f>IFERROR(__xludf.DUMMYFUNCTION("""COMPUTED_VALUE"""),62609.86)</f>
        <v/>
      </c>
      <c r="AP2394" s="6">
        <f>AQ2394&amp;AR2394</f>
        <v/>
      </c>
      <c r="AQ2394" s="6">
        <f>YEAR(AS2394)</f>
        <v/>
      </c>
      <c r="AR2394" s="6">
        <f>MONTH(AS2394)</f>
        <v/>
      </c>
    </row>
    <row r="2395">
      <c r="B2395" s="6">
        <f>C2395&amp;D2395</f>
        <v/>
      </c>
      <c r="C2395" s="6">
        <f>YEAR(E2395)</f>
        <v/>
      </c>
      <c r="D2395" s="6">
        <f>MONTH(E2395)</f>
        <v/>
      </c>
      <c r="J2395" s="6">
        <f>K2395&amp;L2395</f>
        <v/>
      </c>
      <c r="K2395" s="6">
        <f>YEAR(M2395)</f>
        <v/>
      </c>
      <c r="L2395" s="6">
        <f>MONTH(M2395)</f>
        <v/>
      </c>
      <c r="R2395" s="6">
        <f>S2395&amp;T2395</f>
        <v/>
      </c>
      <c r="S2395" s="6">
        <f>YEAR(U2395)</f>
        <v/>
      </c>
      <c r="T2395" s="6">
        <f>MONTH(U2395)</f>
        <v/>
      </c>
      <c r="Z2395" s="6">
        <f>AA2395&amp;AB2395</f>
        <v/>
      </c>
      <c r="AA2395" s="6">
        <f>YEAR(AC2395)</f>
        <v/>
      </c>
      <c r="AB2395" s="6">
        <f>MONTH(AC2395)</f>
        <v/>
      </c>
      <c r="AC2395" s="267">
        <f>IFERROR(__xludf.DUMMYFUNCTION("""COMPUTED_VALUE"""),45547.9986111111)</f>
        <v/>
      </c>
      <c r="AD2395" s="6">
        <f>IFERROR(__xludf.DUMMYFUNCTION("""COMPUTED_VALUE"""),1335.69)</f>
        <v/>
      </c>
      <c r="AH2395" s="6">
        <f>AI2395&amp;AJ2395</f>
        <v/>
      </c>
      <c r="AI2395" s="6">
        <f>YEAR(AK2395)</f>
        <v/>
      </c>
      <c r="AJ2395" s="6">
        <f>MONTH(AK2395)</f>
        <v/>
      </c>
      <c r="AK2395" s="267">
        <f>IFERROR(__xludf.DUMMYFUNCTION("""COMPUTED_VALUE"""),45489.9986111111)</f>
        <v/>
      </c>
      <c r="AL2395" s="6">
        <f>IFERROR(__xludf.DUMMYFUNCTION("""COMPUTED_VALUE"""),64779.16)</f>
        <v/>
      </c>
      <c r="AP2395" s="6">
        <f>AQ2395&amp;AR2395</f>
        <v/>
      </c>
      <c r="AQ2395" s="6">
        <f>YEAR(AS2395)</f>
        <v/>
      </c>
      <c r="AR2395" s="6">
        <f>MONTH(AS2395)</f>
        <v/>
      </c>
    </row>
    <row r="2396">
      <c r="B2396" s="6">
        <f>C2396&amp;D2396</f>
        <v/>
      </c>
      <c r="C2396" s="6">
        <f>YEAR(E2396)</f>
        <v/>
      </c>
      <c r="D2396" s="6">
        <f>MONTH(E2396)</f>
        <v/>
      </c>
      <c r="J2396" s="6">
        <f>K2396&amp;L2396</f>
        <v/>
      </c>
      <c r="K2396" s="6">
        <f>YEAR(M2396)</f>
        <v/>
      </c>
      <c r="L2396" s="6">
        <f>MONTH(M2396)</f>
        <v/>
      </c>
      <c r="R2396" s="6">
        <f>S2396&amp;T2396</f>
        <v/>
      </c>
      <c r="S2396" s="6">
        <f>YEAR(U2396)</f>
        <v/>
      </c>
      <c r="T2396" s="6">
        <f>MONTH(U2396)</f>
        <v/>
      </c>
      <c r="Z2396" s="6">
        <f>AA2396&amp;AB2396</f>
        <v/>
      </c>
      <c r="AA2396" s="6">
        <f>YEAR(AC2396)</f>
        <v/>
      </c>
      <c r="AB2396" s="6">
        <f>MONTH(AC2396)</f>
        <v/>
      </c>
      <c r="AC2396" s="267">
        <f>IFERROR(__xludf.DUMMYFUNCTION("""COMPUTED_VALUE"""),45548.9986111111)</f>
        <v/>
      </c>
      <c r="AD2396" s="6">
        <f>IFERROR(__xludf.DUMMYFUNCTION("""COMPUTED_VALUE"""),1328.46)</f>
        <v/>
      </c>
      <c r="AH2396" s="6">
        <f>AI2396&amp;AJ2396</f>
        <v/>
      </c>
      <c r="AI2396" s="6">
        <f>YEAR(AK2396)</f>
        <v/>
      </c>
      <c r="AJ2396" s="6">
        <f>MONTH(AK2396)</f>
        <v/>
      </c>
      <c r="AK2396" s="267">
        <f>IFERROR(__xludf.DUMMYFUNCTION("""COMPUTED_VALUE"""),45490.9986111111)</f>
        <v/>
      </c>
      <c r="AL2396" s="6">
        <f>IFERROR(__xludf.DUMMYFUNCTION("""COMPUTED_VALUE"""),65735.7)</f>
        <v/>
      </c>
      <c r="AP2396" s="6">
        <f>AQ2396&amp;AR2396</f>
        <v/>
      </c>
      <c r="AQ2396" s="6">
        <f>YEAR(AS2396)</f>
        <v/>
      </c>
      <c r="AR2396" s="6">
        <f>MONTH(AS2396)</f>
        <v/>
      </c>
    </row>
    <row r="2397">
      <c r="B2397" s="6">
        <f>C2397&amp;D2397</f>
        <v/>
      </c>
      <c r="C2397" s="6">
        <f>YEAR(E2397)</f>
        <v/>
      </c>
      <c r="D2397" s="6">
        <f>MONTH(E2397)</f>
        <v/>
      </c>
      <c r="J2397" s="6">
        <f>K2397&amp;L2397</f>
        <v/>
      </c>
      <c r="K2397" s="6">
        <f>YEAR(M2397)</f>
        <v/>
      </c>
      <c r="L2397" s="6">
        <f>MONTH(M2397)</f>
        <v/>
      </c>
      <c r="R2397" s="6">
        <f>S2397&amp;T2397</f>
        <v/>
      </c>
      <c r="S2397" s="6">
        <f>YEAR(U2397)</f>
        <v/>
      </c>
      <c r="T2397" s="6">
        <f>MONTH(U2397)</f>
        <v/>
      </c>
      <c r="Z2397" s="6">
        <f>AA2397&amp;AB2397</f>
        <v/>
      </c>
      <c r="AA2397" s="6">
        <f>YEAR(AC2397)</f>
        <v/>
      </c>
      <c r="AB2397" s="6">
        <f>MONTH(AC2397)</f>
        <v/>
      </c>
      <c r="AC2397" s="267">
        <f>IFERROR(__xludf.DUMMYFUNCTION("""COMPUTED_VALUE"""),45549.9986111111)</f>
        <v/>
      </c>
      <c r="AD2397" s="6">
        <f>IFERROR(__xludf.DUMMYFUNCTION("""COMPUTED_VALUE"""),1327.86)</f>
        <v/>
      </c>
      <c r="AH2397" s="6">
        <f>AI2397&amp;AJ2397</f>
        <v/>
      </c>
      <c r="AI2397" s="6">
        <f>YEAR(AK2397)</f>
        <v/>
      </c>
      <c r="AJ2397" s="6">
        <f>MONTH(AK2397)</f>
        <v/>
      </c>
      <c r="AK2397" s="267">
        <f>IFERROR(__xludf.DUMMYFUNCTION("""COMPUTED_VALUE"""),45491.9986111111)</f>
        <v/>
      </c>
      <c r="AL2397" s="6">
        <f>IFERROR(__xludf.DUMMYFUNCTION("""COMPUTED_VALUE"""),64883.35)</f>
        <v/>
      </c>
      <c r="AP2397" s="6">
        <f>AQ2397&amp;AR2397</f>
        <v/>
      </c>
      <c r="AQ2397" s="6">
        <f>YEAR(AS2397)</f>
        <v/>
      </c>
      <c r="AR2397" s="6">
        <f>MONTH(AS2397)</f>
        <v/>
      </c>
    </row>
    <row r="2398">
      <c r="B2398" s="6">
        <f>C2398&amp;D2398</f>
        <v/>
      </c>
      <c r="C2398" s="6">
        <f>YEAR(E2398)</f>
        <v/>
      </c>
      <c r="D2398" s="6">
        <f>MONTH(E2398)</f>
        <v/>
      </c>
      <c r="J2398" s="6">
        <f>K2398&amp;L2398</f>
        <v/>
      </c>
      <c r="K2398" s="6">
        <f>YEAR(M2398)</f>
        <v/>
      </c>
      <c r="L2398" s="6">
        <f>MONTH(M2398)</f>
        <v/>
      </c>
      <c r="R2398" s="6">
        <f>S2398&amp;T2398</f>
        <v/>
      </c>
      <c r="S2398" s="6">
        <f>YEAR(U2398)</f>
        <v/>
      </c>
      <c r="T2398" s="6">
        <f>MONTH(U2398)</f>
        <v/>
      </c>
      <c r="Z2398" s="6">
        <f>AA2398&amp;AB2398</f>
        <v/>
      </c>
      <c r="AA2398" s="6">
        <f>YEAR(AC2398)</f>
        <v/>
      </c>
      <c r="AB2398" s="6">
        <f>MONTH(AC2398)</f>
        <v/>
      </c>
      <c r="AC2398" s="267">
        <f>IFERROR(__xludf.DUMMYFUNCTION("""COMPUTED_VALUE"""),45550.9986111111)</f>
        <v/>
      </c>
      <c r="AD2398" s="6">
        <f>IFERROR(__xludf.DUMMYFUNCTION("""COMPUTED_VALUE"""),1329.51)</f>
        <v/>
      </c>
      <c r="AH2398" s="6">
        <f>AI2398&amp;AJ2398</f>
        <v/>
      </c>
      <c r="AI2398" s="6">
        <f>YEAR(AK2398)</f>
        <v/>
      </c>
      <c r="AJ2398" s="6">
        <f>MONTH(AK2398)</f>
        <v/>
      </c>
      <c r="AK2398" s="267">
        <f>IFERROR(__xludf.DUMMYFUNCTION("""COMPUTED_VALUE"""),45492.9986111111)</f>
        <v/>
      </c>
      <c r="AL2398" s="6">
        <f>IFERROR(__xludf.DUMMYFUNCTION("""COMPUTED_VALUE"""),64186.21)</f>
        <v/>
      </c>
      <c r="AP2398" s="6">
        <f>AQ2398&amp;AR2398</f>
        <v/>
      </c>
      <c r="AQ2398" s="6">
        <f>YEAR(AS2398)</f>
        <v/>
      </c>
      <c r="AR2398" s="6">
        <f>MONTH(AS2398)</f>
        <v/>
      </c>
    </row>
    <row r="2399">
      <c r="B2399" s="6">
        <f>C2399&amp;D2399</f>
        <v/>
      </c>
      <c r="C2399" s="6">
        <f>YEAR(E2399)</f>
        <v/>
      </c>
      <c r="D2399" s="6">
        <f>MONTH(E2399)</f>
        <v/>
      </c>
      <c r="J2399" s="6">
        <f>K2399&amp;L2399</f>
        <v/>
      </c>
      <c r="K2399" s="6">
        <f>YEAR(M2399)</f>
        <v/>
      </c>
      <c r="L2399" s="6">
        <f>MONTH(M2399)</f>
        <v/>
      </c>
      <c r="R2399" s="6">
        <f>S2399&amp;T2399</f>
        <v/>
      </c>
      <c r="S2399" s="6">
        <f>YEAR(U2399)</f>
        <v/>
      </c>
      <c r="T2399" s="6">
        <f>MONTH(U2399)</f>
        <v/>
      </c>
      <c r="Z2399" s="6">
        <f>AA2399&amp;AB2399</f>
        <v/>
      </c>
      <c r="AA2399" s="6">
        <f>YEAR(AC2399)</f>
        <v/>
      </c>
      <c r="AB2399" s="6">
        <f>MONTH(AC2399)</f>
        <v/>
      </c>
      <c r="AC2399" s="267">
        <f>IFERROR(__xludf.DUMMYFUNCTION("""COMPUTED_VALUE"""),45551.9986111111)</f>
        <v/>
      </c>
      <c r="AD2399" s="6">
        <f>IFERROR(__xludf.DUMMYFUNCTION("""COMPUTED_VALUE"""),1319.11)</f>
        <v/>
      </c>
      <c r="AH2399" s="6">
        <f>AI2399&amp;AJ2399</f>
        <v/>
      </c>
      <c r="AI2399" s="6">
        <f>YEAR(AK2399)</f>
        <v/>
      </c>
      <c r="AJ2399" s="6">
        <f>MONTH(AK2399)</f>
        <v/>
      </c>
      <c r="AK2399" s="267">
        <f>IFERROR(__xludf.DUMMYFUNCTION("""COMPUTED_VALUE"""),45493.9986111111)</f>
        <v/>
      </c>
      <c r="AL2399" s="6">
        <f>IFERROR(__xludf.DUMMYFUNCTION("""COMPUTED_VALUE"""),66693.2)</f>
        <v/>
      </c>
      <c r="AP2399" s="6">
        <f>AQ2399&amp;AR2399</f>
        <v/>
      </c>
      <c r="AQ2399" s="6">
        <f>YEAR(AS2399)</f>
        <v/>
      </c>
      <c r="AR2399" s="6">
        <f>MONTH(AS2399)</f>
        <v/>
      </c>
    </row>
    <row r="2400">
      <c r="B2400" s="6">
        <f>C2400&amp;D2400</f>
        <v/>
      </c>
      <c r="C2400" s="6">
        <f>YEAR(E2400)</f>
        <v/>
      </c>
      <c r="D2400" s="6">
        <f>MONTH(E2400)</f>
        <v/>
      </c>
      <c r="J2400" s="6">
        <f>K2400&amp;L2400</f>
        <v/>
      </c>
      <c r="K2400" s="6">
        <f>YEAR(M2400)</f>
        <v/>
      </c>
      <c r="L2400" s="6">
        <f>MONTH(M2400)</f>
        <v/>
      </c>
      <c r="R2400" s="6">
        <f>S2400&amp;T2400</f>
        <v/>
      </c>
      <c r="S2400" s="6">
        <f>YEAR(U2400)</f>
        <v/>
      </c>
      <c r="T2400" s="6">
        <f>MONTH(U2400)</f>
        <v/>
      </c>
      <c r="Z2400" s="6">
        <f>AA2400&amp;AB2400</f>
        <v/>
      </c>
      <c r="AA2400" s="6">
        <f>YEAR(AC2400)</f>
        <v/>
      </c>
      <c r="AB2400" s="6">
        <f>MONTH(AC2400)</f>
        <v/>
      </c>
      <c r="AC2400" s="267">
        <f>IFERROR(__xludf.DUMMYFUNCTION("""COMPUTED_VALUE"""),45552.9986111111)</f>
        <v/>
      </c>
      <c r="AD2400" s="6">
        <f>IFERROR(__xludf.DUMMYFUNCTION("""COMPUTED_VALUE"""),1322.93)</f>
        <v/>
      </c>
      <c r="AH2400" s="6">
        <f>AI2400&amp;AJ2400</f>
        <v/>
      </c>
      <c r="AI2400" s="6">
        <f>YEAR(AK2400)</f>
        <v/>
      </c>
      <c r="AJ2400" s="6">
        <f>MONTH(AK2400)</f>
        <v/>
      </c>
      <c r="AK2400" s="267">
        <f>IFERROR(__xludf.DUMMYFUNCTION("""COMPUTED_VALUE"""),45494.9986111111)</f>
        <v/>
      </c>
      <c r="AL2400" s="6">
        <f>IFERROR(__xludf.DUMMYFUNCTION("""COMPUTED_VALUE"""),67156.72)</f>
        <v/>
      </c>
      <c r="AP2400" s="6">
        <f>AQ2400&amp;AR2400</f>
        <v/>
      </c>
      <c r="AQ2400" s="6">
        <f>YEAR(AS2400)</f>
        <v/>
      </c>
      <c r="AR2400" s="6">
        <f>MONTH(AS2400)</f>
        <v/>
      </c>
    </row>
    <row r="2401">
      <c r="B2401" s="6">
        <f>C2401&amp;D2401</f>
        <v/>
      </c>
      <c r="C2401" s="6">
        <f>YEAR(E2401)</f>
        <v/>
      </c>
      <c r="D2401" s="6">
        <f>MONTH(E2401)</f>
        <v/>
      </c>
      <c r="J2401" s="6">
        <f>K2401&amp;L2401</f>
        <v/>
      </c>
      <c r="K2401" s="6">
        <f>YEAR(M2401)</f>
        <v/>
      </c>
      <c r="L2401" s="6">
        <f>MONTH(M2401)</f>
        <v/>
      </c>
      <c r="R2401" s="6">
        <f>S2401&amp;T2401</f>
        <v/>
      </c>
      <c r="S2401" s="6">
        <f>YEAR(U2401)</f>
        <v/>
      </c>
      <c r="T2401" s="6">
        <f>MONTH(U2401)</f>
        <v/>
      </c>
      <c r="Z2401" s="6">
        <f>AA2401&amp;AB2401</f>
        <v/>
      </c>
      <c r="AA2401" s="6">
        <f>YEAR(AC2401)</f>
        <v/>
      </c>
      <c r="AB2401" s="6">
        <f>MONTH(AC2401)</f>
        <v/>
      </c>
      <c r="AC2401" s="267">
        <f>IFERROR(__xludf.DUMMYFUNCTION("""COMPUTED_VALUE"""),45553.9986111111)</f>
        <v/>
      </c>
      <c r="AD2401" s="6">
        <f>IFERROR(__xludf.DUMMYFUNCTION("""COMPUTED_VALUE"""),1322.26)</f>
        <v/>
      </c>
      <c r="AH2401" s="6">
        <f>AI2401&amp;AJ2401</f>
        <v/>
      </c>
      <c r="AI2401" s="6">
        <f>YEAR(AK2401)</f>
        <v/>
      </c>
      <c r="AJ2401" s="6">
        <f>MONTH(AK2401)</f>
        <v/>
      </c>
      <c r="AK2401" s="267">
        <f>IFERROR(__xludf.DUMMYFUNCTION("""COMPUTED_VALUE"""),45495.9986111111)</f>
        <v/>
      </c>
      <c r="AL2401" s="6">
        <f>IFERROR(__xludf.DUMMYFUNCTION("""COMPUTED_VALUE"""),67951.34)</f>
        <v/>
      </c>
      <c r="AP2401" s="6">
        <f>AQ2401&amp;AR2401</f>
        <v/>
      </c>
      <c r="AQ2401" s="6">
        <f>YEAR(AS2401)</f>
        <v/>
      </c>
      <c r="AR2401" s="6">
        <f>MONTH(AS2401)</f>
        <v/>
      </c>
    </row>
    <row r="2402">
      <c r="B2402" s="6">
        <f>C2402&amp;D2402</f>
        <v/>
      </c>
      <c r="C2402" s="6">
        <f>YEAR(E2402)</f>
        <v/>
      </c>
      <c r="D2402" s="6">
        <f>MONTH(E2402)</f>
        <v/>
      </c>
      <c r="J2402" s="6">
        <f>K2402&amp;L2402</f>
        <v/>
      </c>
      <c r="K2402" s="6">
        <f>YEAR(M2402)</f>
        <v/>
      </c>
      <c r="L2402" s="6">
        <f>MONTH(M2402)</f>
        <v/>
      </c>
      <c r="R2402" s="6">
        <f>S2402&amp;T2402</f>
        <v/>
      </c>
      <c r="S2402" s="6">
        <f>YEAR(U2402)</f>
        <v/>
      </c>
      <c r="T2402" s="6">
        <f>MONTH(U2402)</f>
        <v/>
      </c>
      <c r="Z2402" s="6">
        <f>AA2402&amp;AB2402</f>
        <v/>
      </c>
      <c r="AA2402" s="6">
        <f>YEAR(AC2402)</f>
        <v/>
      </c>
      <c r="AB2402" s="6">
        <f>MONTH(AC2402)</f>
        <v/>
      </c>
      <c r="AC2402" s="267">
        <f>IFERROR(__xludf.DUMMYFUNCTION("""COMPUTED_VALUE"""),45554.9986111111)</f>
        <v/>
      </c>
      <c r="AD2402" s="6">
        <f>IFERROR(__xludf.DUMMYFUNCTION("""COMPUTED_VALUE"""),1327.61)</f>
        <v/>
      </c>
      <c r="AH2402" s="6">
        <f>AI2402&amp;AJ2402</f>
        <v/>
      </c>
      <c r="AI2402" s="6">
        <f>YEAR(AK2402)</f>
        <v/>
      </c>
      <c r="AJ2402" s="6">
        <f>MONTH(AK2402)</f>
        <v/>
      </c>
      <c r="AK2402" s="267">
        <f>IFERROR(__xludf.DUMMYFUNCTION("""COMPUTED_VALUE"""),45496.9986111111)</f>
        <v/>
      </c>
      <c r="AL2402" s="6">
        <f>IFERROR(__xludf.DUMMYFUNCTION("""COMPUTED_VALUE"""),67566.87)</f>
        <v/>
      </c>
      <c r="AP2402" s="6">
        <f>AQ2402&amp;AR2402</f>
        <v/>
      </c>
      <c r="AQ2402" s="6">
        <f>YEAR(AS2402)</f>
        <v/>
      </c>
      <c r="AR2402" s="6">
        <f>MONTH(AS2402)</f>
        <v/>
      </c>
    </row>
    <row r="2403">
      <c r="B2403" s="6">
        <f>C2403&amp;D2403</f>
        <v/>
      </c>
      <c r="C2403" s="6">
        <f>YEAR(E2403)</f>
        <v/>
      </c>
      <c r="D2403" s="6">
        <f>MONTH(E2403)</f>
        <v/>
      </c>
      <c r="J2403" s="6">
        <f>K2403&amp;L2403</f>
        <v/>
      </c>
      <c r="K2403" s="6">
        <f>YEAR(M2403)</f>
        <v/>
      </c>
      <c r="L2403" s="6">
        <f>MONTH(M2403)</f>
        <v/>
      </c>
      <c r="R2403" s="6">
        <f>S2403&amp;T2403</f>
        <v/>
      </c>
      <c r="S2403" s="6">
        <f>YEAR(U2403)</f>
        <v/>
      </c>
      <c r="T2403" s="6">
        <f>MONTH(U2403)</f>
        <v/>
      </c>
      <c r="Z2403" s="6">
        <f>AA2403&amp;AB2403</f>
        <v/>
      </c>
      <c r="AA2403" s="6">
        <f>YEAR(AC2403)</f>
        <v/>
      </c>
      <c r="AB2403" s="6">
        <f>MONTH(AC2403)</f>
        <v/>
      </c>
      <c r="AC2403" s="267">
        <f>IFERROR(__xludf.DUMMYFUNCTION("""COMPUTED_VALUE"""),45555.9986111111)</f>
        <v/>
      </c>
      <c r="AD2403" s="6">
        <f>IFERROR(__xludf.DUMMYFUNCTION("""COMPUTED_VALUE"""),1331.49)</f>
        <v/>
      </c>
      <c r="AH2403" s="6">
        <f>AI2403&amp;AJ2403</f>
        <v/>
      </c>
      <c r="AI2403" s="6">
        <f>YEAR(AK2403)</f>
        <v/>
      </c>
      <c r="AJ2403" s="6">
        <f>MONTH(AK2403)</f>
        <v/>
      </c>
      <c r="AK2403" s="267">
        <f>IFERROR(__xludf.DUMMYFUNCTION("""COMPUTED_VALUE"""),45497.9986111111)</f>
        <v/>
      </c>
      <c r="AL2403" s="6">
        <f>IFERROR(__xludf.DUMMYFUNCTION("""COMPUTED_VALUE"""),66041.17)</f>
        <v/>
      </c>
      <c r="AP2403" s="6">
        <f>AQ2403&amp;AR2403</f>
        <v/>
      </c>
      <c r="AQ2403" s="6">
        <f>YEAR(AS2403)</f>
        <v/>
      </c>
      <c r="AR2403" s="6">
        <f>MONTH(AS2403)</f>
        <v/>
      </c>
    </row>
    <row r="2404">
      <c r="B2404" s="6">
        <f>C2404&amp;D2404</f>
        <v/>
      </c>
      <c r="C2404" s="6">
        <f>YEAR(E2404)</f>
        <v/>
      </c>
      <c r="D2404" s="6">
        <f>MONTH(E2404)</f>
        <v/>
      </c>
      <c r="J2404" s="6">
        <f>K2404&amp;L2404</f>
        <v/>
      </c>
      <c r="K2404" s="6">
        <f>YEAR(M2404)</f>
        <v/>
      </c>
      <c r="L2404" s="6">
        <f>MONTH(M2404)</f>
        <v/>
      </c>
      <c r="R2404" s="6">
        <f>S2404&amp;T2404</f>
        <v/>
      </c>
      <c r="S2404" s="6">
        <f>YEAR(U2404)</f>
        <v/>
      </c>
      <c r="T2404" s="6">
        <f>MONTH(U2404)</f>
        <v/>
      </c>
      <c r="Z2404" s="6">
        <f>AA2404&amp;AB2404</f>
        <v/>
      </c>
      <c r="AA2404" s="6">
        <f>YEAR(AC2404)</f>
        <v/>
      </c>
      <c r="AB2404" s="6">
        <f>MONTH(AC2404)</f>
        <v/>
      </c>
      <c r="AC2404" s="267">
        <f>IFERROR(__xludf.DUMMYFUNCTION("""COMPUTED_VALUE"""),45556.9986111111)</f>
        <v/>
      </c>
      <c r="AD2404" s="6">
        <f>IFERROR(__xludf.DUMMYFUNCTION("""COMPUTED_VALUE"""),1331.49)</f>
        <v/>
      </c>
      <c r="AH2404" s="6">
        <f>AI2404&amp;AJ2404</f>
        <v/>
      </c>
      <c r="AI2404" s="6">
        <f>YEAR(AK2404)</f>
        <v/>
      </c>
      <c r="AJ2404" s="6">
        <f>MONTH(AK2404)</f>
        <v/>
      </c>
      <c r="AK2404" s="267">
        <f>IFERROR(__xludf.DUMMYFUNCTION("""COMPUTED_VALUE"""),45498.9986111111)</f>
        <v/>
      </c>
      <c r="AL2404" s="6">
        <f>IFERROR(__xludf.DUMMYFUNCTION("""COMPUTED_VALUE"""),64125.9)</f>
        <v/>
      </c>
      <c r="AP2404" s="6">
        <f>AQ2404&amp;AR2404</f>
        <v/>
      </c>
      <c r="AQ2404" s="6">
        <f>YEAR(AS2404)</f>
        <v/>
      </c>
      <c r="AR2404" s="6">
        <f>MONTH(AS2404)</f>
        <v/>
      </c>
    </row>
    <row r="2405">
      <c r="B2405" s="6">
        <f>C2405&amp;D2405</f>
        <v/>
      </c>
      <c r="C2405" s="6">
        <f>YEAR(E2405)</f>
        <v/>
      </c>
      <c r="D2405" s="6">
        <f>MONTH(E2405)</f>
        <v/>
      </c>
      <c r="J2405" s="6">
        <f>K2405&amp;L2405</f>
        <v/>
      </c>
      <c r="K2405" s="6">
        <f>YEAR(M2405)</f>
        <v/>
      </c>
      <c r="L2405" s="6">
        <f>MONTH(M2405)</f>
        <v/>
      </c>
      <c r="R2405" s="6">
        <f>S2405&amp;T2405</f>
        <v/>
      </c>
      <c r="S2405" s="6">
        <f>YEAR(U2405)</f>
        <v/>
      </c>
      <c r="T2405" s="6">
        <f>MONTH(U2405)</f>
        <v/>
      </c>
      <c r="Z2405" s="6">
        <f>AA2405&amp;AB2405</f>
        <v/>
      </c>
      <c r="AA2405" s="6">
        <f>YEAR(AC2405)</f>
        <v/>
      </c>
      <c r="AB2405" s="6">
        <f>MONTH(AC2405)</f>
        <v/>
      </c>
      <c r="AC2405" s="267">
        <f>IFERROR(__xludf.DUMMYFUNCTION("""COMPUTED_VALUE"""),45557.9986111111)</f>
        <v/>
      </c>
      <c r="AD2405" s="6">
        <f>IFERROR(__xludf.DUMMYFUNCTION("""COMPUTED_VALUE"""),1331.5)</f>
        <v/>
      </c>
      <c r="AH2405" s="6">
        <f>AI2405&amp;AJ2405</f>
        <v/>
      </c>
      <c r="AI2405" s="6">
        <f>YEAR(AK2405)</f>
        <v/>
      </c>
      <c r="AJ2405" s="6">
        <f>MONTH(AK2405)</f>
        <v/>
      </c>
      <c r="AK2405" s="267">
        <f>IFERROR(__xludf.DUMMYFUNCTION("""COMPUTED_VALUE"""),45499.9986111111)</f>
        <v/>
      </c>
      <c r="AL2405" s="6">
        <f>IFERROR(__xludf.DUMMYFUNCTION("""COMPUTED_VALUE"""),66948.46)</f>
        <v/>
      </c>
      <c r="AP2405" s="6">
        <f>AQ2405&amp;AR2405</f>
        <v/>
      </c>
      <c r="AQ2405" s="6">
        <f>YEAR(AS2405)</f>
        <v/>
      </c>
      <c r="AR2405" s="6">
        <f>MONTH(AS2405)</f>
        <v/>
      </c>
    </row>
    <row r="2406">
      <c r="B2406" s="6">
        <f>C2406&amp;D2406</f>
        <v/>
      </c>
      <c r="C2406" s="6">
        <f>YEAR(E2406)</f>
        <v/>
      </c>
      <c r="D2406" s="6">
        <f>MONTH(E2406)</f>
        <v/>
      </c>
      <c r="J2406" s="6">
        <f>K2406&amp;L2406</f>
        <v/>
      </c>
      <c r="K2406" s="6">
        <f>YEAR(M2406)</f>
        <v/>
      </c>
      <c r="L2406" s="6">
        <f>MONTH(M2406)</f>
        <v/>
      </c>
      <c r="R2406" s="6">
        <f>S2406&amp;T2406</f>
        <v/>
      </c>
      <c r="S2406" s="6">
        <f>YEAR(U2406)</f>
        <v/>
      </c>
      <c r="T2406" s="6">
        <f>MONTH(U2406)</f>
        <v/>
      </c>
      <c r="Z2406" s="6">
        <f>AA2406&amp;AB2406</f>
        <v/>
      </c>
      <c r="AA2406" s="6">
        <f>YEAR(AC2406)</f>
        <v/>
      </c>
      <c r="AB2406" s="6">
        <f>MONTH(AC2406)</f>
        <v/>
      </c>
      <c r="AC2406" s="267">
        <f>IFERROR(__xludf.DUMMYFUNCTION("""COMPUTED_VALUE"""),45558.9986111111)</f>
        <v/>
      </c>
      <c r="AD2406" s="6">
        <f>IFERROR(__xludf.DUMMYFUNCTION("""COMPUTED_VALUE"""),1333.62)</f>
        <v/>
      </c>
      <c r="AH2406" s="6">
        <f>AI2406&amp;AJ2406</f>
        <v/>
      </c>
      <c r="AI2406" s="6">
        <f>YEAR(AK2406)</f>
        <v/>
      </c>
      <c r="AJ2406" s="6">
        <f>MONTH(AK2406)</f>
        <v/>
      </c>
      <c r="AK2406" s="267">
        <f>IFERROR(__xludf.DUMMYFUNCTION("""COMPUTED_VALUE"""),45500.9986111111)</f>
        <v/>
      </c>
      <c r="AL2406" s="6">
        <f>IFERROR(__xludf.DUMMYFUNCTION("""COMPUTED_VALUE"""),67845.7)</f>
        <v/>
      </c>
      <c r="AP2406" s="6">
        <f>AQ2406&amp;AR2406</f>
        <v/>
      </c>
      <c r="AQ2406" s="6">
        <f>YEAR(AS2406)</f>
        <v/>
      </c>
      <c r="AR2406" s="6">
        <f>MONTH(AS2406)</f>
        <v/>
      </c>
    </row>
    <row r="2407">
      <c r="B2407" s="6">
        <f>C2407&amp;D2407</f>
        <v/>
      </c>
      <c r="C2407" s="6">
        <f>YEAR(E2407)</f>
        <v/>
      </c>
      <c r="D2407" s="6">
        <f>MONTH(E2407)</f>
        <v/>
      </c>
      <c r="J2407" s="6">
        <f>K2407&amp;L2407</f>
        <v/>
      </c>
      <c r="K2407" s="6">
        <f>YEAR(M2407)</f>
        <v/>
      </c>
      <c r="L2407" s="6">
        <f>MONTH(M2407)</f>
        <v/>
      </c>
      <c r="R2407" s="6">
        <f>S2407&amp;T2407</f>
        <v/>
      </c>
      <c r="S2407" s="6">
        <f>YEAR(U2407)</f>
        <v/>
      </c>
      <c r="T2407" s="6">
        <f>MONTH(U2407)</f>
        <v/>
      </c>
      <c r="Z2407" s="6">
        <f>AA2407&amp;AB2407</f>
        <v/>
      </c>
      <c r="AA2407" s="6">
        <f>YEAR(AC2407)</f>
        <v/>
      </c>
      <c r="AB2407" s="6">
        <f>MONTH(AC2407)</f>
        <v/>
      </c>
      <c r="AC2407" s="267">
        <f>IFERROR(__xludf.DUMMYFUNCTION("""COMPUTED_VALUE"""),45559.9986111111)</f>
        <v/>
      </c>
      <c r="AD2407" s="6">
        <f>IFERROR(__xludf.DUMMYFUNCTION("""COMPUTED_VALUE"""),1324.89)</f>
        <v/>
      </c>
      <c r="AH2407" s="6">
        <f>AI2407&amp;AJ2407</f>
        <v/>
      </c>
      <c r="AI2407" s="6">
        <f>YEAR(AK2407)</f>
        <v/>
      </c>
      <c r="AJ2407" s="6">
        <f>MONTH(AK2407)</f>
        <v/>
      </c>
      <c r="AK2407" s="267">
        <f>IFERROR(__xludf.DUMMYFUNCTION("""COMPUTED_VALUE"""),45501.9986111111)</f>
        <v/>
      </c>
      <c r="AL2407" s="6">
        <f>IFERROR(__xludf.DUMMYFUNCTION("""COMPUTED_VALUE"""),68017.18)</f>
        <v/>
      </c>
      <c r="AP2407" s="6">
        <f>AQ2407&amp;AR2407</f>
        <v/>
      </c>
      <c r="AQ2407" s="6">
        <f>YEAR(AS2407)</f>
        <v/>
      </c>
      <c r="AR2407" s="6">
        <f>MONTH(AS2407)</f>
        <v/>
      </c>
    </row>
    <row r="2408">
      <c r="B2408" s="6">
        <f>C2408&amp;D2408</f>
        <v/>
      </c>
      <c r="C2408" s="6">
        <f>YEAR(E2408)</f>
        <v/>
      </c>
      <c r="D2408" s="6">
        <f>MONTH(E2408)</f>
        <v/>
      </c>
      <c r="J2408" s="6">
        <f>K2408&amp;L2408</f>
        <v/>
      </c>
      <c r="K2408" s="6">
        <f>YEAR(M2408)</f>
        <v/>
      </c>
      <c r="L2408" s="6">
        <f>MONTH(M2408)</f>
        <v/>
      </c>
      <c r="R2408" s="6">
        <f>S2408&amp;T2408</f>
        <v/>
      </c>
      <c r="S2408" s="6">
        <f>YEAR(U2408)</f>
        <v/>
      </c>
      <c r="T2408" s="6">
        <f>MONTH(U2408)</f>
        <v/>
      </c>
      <c r="Z2408" s="6">
        <f>AA2408&amp;AB2408</f>
        <v/>
      </c>
      <c r="AA2408" s="6">
        <f>YEAR(AC2408)</f>
        <v/>
      </c>
      <c r="AB2408" s="6">
        <f>MONTH(AC2408)</f>
        <v/>
      </c>
      <c r="AC2408" s="267">
        <f>IFERROR(__xludf.DUMMYFUNCTION("""COMPUTED_VALUE"""),45560.9986111111)</f>
        <v/>
      </c>
      <c r="AD2408" s="6">
        <f>IFERROR(__xludf.DUMMYFUNCTION("""COMPUTED_VALUE"""),1335.05)</f>
        <v/>
      </c>
      <c r="AH2408" s="6">
        <f>AI2408&amp;AJ2408</f>
        <v/>
      </c>
      <c r="AI2408" s="6">
        <f>YEAR(AK2408)</f>
        <v/>
      </c>
      <c r="AJ2408" s="6">
        <f>MONTH(AK2408)</f>
        <v/>
      </c>
      <c r="AK2408" s="267">
        <f>IFERROR(__xludf.DUMMYFUNCTION("""COMPUTED_VALUE"""),45502.9986111111)</f>
        <v/>
      </c>
      <c r="AL2408" s="6">
        <f>IFERROR(__xludf.DUMMYFUNCTION("""COMPUTED_VALUE"""),69351.13)</f>
        <v/>
      </c>
      <c r="AP2408" s="6">
        <f>AQ2408&amp;AR2408</f>
        <v/>
      </c>
      <c r="AQ2408" s="6">
        <f>YEAR(AS2408)</f>
        <v/>
      </c>
      <c r="AR2408" s="6">
        <f>MONTH(AS2408)</f>
        <v/>
      </c>
    </row>
    <row r="2409">
      <c r="B2409" s="6">
        <f>C2409&amp;D2409</f>
        <v/>
      </c>
      <c r="C2409" s="6">
        <f>YEAR(E2409)</f>
        <v/>
      </c>
      <c r="D2409" s="6">
        <f>MONTH(E2409)</f>
        <v/>
      </c>
      <c r="J2409" s="6">
        <f>K2409&amp;L2409</f>
        <v/>
      </c>
      <c r="K2409" s="6">
        <f>YEAR(M2409)</f>
        <v/>
      </c>
      <c r="L2409" s="6">
        <f>MONTH(M2409)</f>
        <v/>
      </c>
      <c r="R2409" s="6">
        <f>S2409&amp;T2409</f>
        <v/>
      </c>
      <c r="S2409" s="6">
        <f>YEAR(U2409)</f>
        <v/>
      </c>
      <c r="T2409" s="6">
        <f>MONTH(U2409)</f>
        <v/>
      </c>
      <c r="Z2409" s="6">
        <f>AA2409&amp;AB2409</f>
        <v/>
      </c>
      <c r="AA2409" s="6">
        <f>YEAR(AC2409)</f>
        <v/>
      </c>
      <c r="AB2409" s="6">
        <f>MONTH(AC2409)</f>
        <v/>
      </c>
      <c r="AC2409" s="267">
        <f>IFERROR(__xludf.DUMMYFUNCTION("""COMPUTED_VALUE"""),45561.9986111111)</f>
        <v/>
      </c>
      <c r="AD2409" s="6">
        <f>IFERROR(__xludf.DUMMYFUNCTION("""COMPUTED_VALUE"""),1313.3)</f>
        <v/>
      </c>
      <c r="AH2409" s="6">
        <f>AI2409&amp;AJ2409</f>
        <v/>
      </c>
      <c r="AI2409" s="6">
        <f>YEAR(AK2409)</f>
        <v/>
      </c>
      <c r="AJ2409" s="6">
        <f>MONTH(AK2409)</f>
        <v/>
      </c>
      <c r="AK2409" s="267">
        <f>IFERROR(__xludf.DUMMYFUNCTION("""COMPUTED_VALUE"""),45503.9986111111)</f>
        <v/>
      </c>
      <c r="AL2409" s="6">
        <f>IFERROR(__xludf.DUMMYFUNCTION("""COMPUTED_VALUE"""),66416.08)</f>
        <v/>
      </c>
      <c r="AP2409" s="6">
        <f>AQ2409&amp;AR2409</f>
        <v/>
      </c>
      <c r="AQ2409" s="6">
        <f>YEAR(AS2409)</f>
        <v/>
      </c>
      <c r="AR2409" s="6">
        <f>MONTH(AS2409)</f>
        <v/>
      </c>
    </row>
    <row r="2410">
      <c r="B2410" s="6">
        <f>C2410&amp;D2410</f>
        <v/>
      </c>
      <c r="C2410" s="6">
        <f>YEAR(E2410)</f>
        <v/>
      </c>
      <c r="D2410" s="6">
        <f>MONTH(E2410)</f>
        <v/>
      </c>
      <c r="J2410" s="6">
        <f>K2410&amp;L2410</f>
        <v/>
      </c>
      <c r="K2410" s="6">
        <f>YEAR(M2410)</f>
        <v/>
      </c>
      <c r="L2410" s="6">
        <f>MONTH(M2410)</f>
        <v/>
      </c>
      <c r="R2410" s="6">
        <f>S2410&amp;T2410</f>
        <v/>
      </c>
      <c r="S2410" s="6">
        <f>YEAR(U2410)</f>
        <v/>
      </c>
      <c r="T2410" s="6">
        <f>MONTH(U2410)</f>
        <v/>
      </c>
      <c r="Z2410" s="6">
        <f>AA2410&amp;AB2410</f>
        <v/>
      </c>
      <c r="AA2410" s="6">
        <f>YEAR(AC2410)</f>
        <v/>
      </c>
      <c r="AB2410" s="6">
        <f>MONTH(AC2410)</f>
        <v/>
      </c>
      <c r="AC2410" s="267">
        <f>IFERROR(__xludf.DUMMYFUNCTION("""COMPUTED_VALUE"""),45562.9986111111)</f>
        <v/>
      </c>
      <c r="AD2410" s="6">
        <f>IFERROR(__xludf.DUMMYFUNCTION("""COMPUTED_VALUE"""),1308.26)</f>
        <v/>
      </c>
      <c r="AH2410" s="6">
        <f>AI2410&amp;AJ2410</f>
        <v/>
      </c>
      <c r="AI2410" s="6">
        <f>YEAR(AK2410)</f>
        <v/>
      </c>
      <c r="AJ2410" s="6">
        <f>MONTH(AK2410)</f>
        <v/>
      </c>
      <c r="AK2410" s="267">
        <f>IFERROR(__xludf.DUMMYFUNCTION("""COMPUTED_VALUE"""),45504.9986111111)</f>
        <v/>
      </c>
      <c r="AL2410" s="6">
        <f>IFERROR(__xludf.DUMMYFUNCTION("""COMPUTED_VALUE"""),66110.05)</f>
        <v/>
      </c>
      <c r="AP2410" s="6">
        <f>AQ2410&amp;AR2410</f>
        <v/>
      </c>
      <c r="AQ2410" s="6">
        <f>YEAR(AS2410)</f>
        <v/>
      </c>
      <c r="AR2410" s="6">
        <f>MONTH(AS2410)</f>
        <v/>
      </c>
    </row>
    <row r="2411">
      <c r="B2411" s="6">
        <f>C2411&amp;D2411</f>
        <v/>
      </c>
      <c r="C2411" s="6">
        <f>YEAR(E2411)</f>
        <v/>
      </c>
      <c r="D2411" s="6">
        <f>MONTH(E2411)</f>
        <v/>
      </c>
      <c r="J2411" s="6">
        <f>K2411&amp;L2411</f>
        <v/>
      </c>
      <c r="K2411" s="6">
        <f>YEAR(M2411)</f>
        <v/>
      </c>
      <c r="L2411" s="6">
        <f>MONTH(M2411)</f>
        <v/>
      </c>
      <c r="R2411" s="6">
        <f>S2411&amp;T2411</f>
        <v/>
      </c>
      <c r="S2411" s="6">
        <f>YEAR(U2411)</f>
        <v/>
      </c>
      <c r="T2411" s="6">
        <f>MONTH(U2411)</f>
        <v/>
      </c>
      <c r="Z2411" s="6">
        <f>AA2411&amp;AB2411</f>
        <v/>
      </c>
      <c r="AA2411" s="6">
        <f>YEAR(AC2411)</f>
        <v/>
      </c>
      <c r="AB2411" s="6">
        <f>MONTH(AC2411)</f>
        <v/>
      </c>
      <c r="AC2411" s="267">
        <f>IFERROR(__xludf.DUMMYFUNCTION("""COMPUTED_VALUE"""),45563.9986111111)</f>
        <v/>
      </c>
      <c r="AD2411" s="6">
        <f>IFERROR(__xludf.DUMMYFUNCTION("""COMPUTED_VALUE"""),1308.26)</f>
        <v/>
      </c>
      <c r="AH2411" s="6">
        <f>AI2411&amp;AJ2411</f>
        <v/>
      </c>
      <c r="AI2411" s="6">
        <f>YEAR(AK2411)</f>
        <v/>
      </c>
      <c r="AJ2411" s="6">
        <f>MONTH(AK2411)</f>
        <v/>
      </c>
      <c r="AK2411" s="267">
        <f>IFERROR(__xludf.DUMMYFUNCTION("""COMPUTED_VALUE"""),45505.9986111111)</f>
        <v/>
      </c>
      <c r="AL2411" s="6">
        <f>IFERROR(__xludf.DUMMYFUNCTION("""COMPUTED_VALUE"""),63925.74)</f>
        <v/>
      </c>
      <c r="AP2411" s="6">
        <f>AQ2411&amp;AR2411</f>
        <v/>
      </c>
      <c r="AQ2411" s="6">
        <f>YEAR(AS2411)</f>
        <v/>
      </c>
      <c r="AR2411" s="6">
        <f>MONTH(AS2411)</f>
        <v/>
      </c>
    </row>
    <row r="2412">
      <c r="B2412" s="6">
        <f>C2412&amp;D2412</f>
        <v/>
      </c>
      <c r="C2412" s="6">
        <f>YEAR(E2412)</f>
        <v/>
      </c>
      <c r="D2412" s="6">
        <f>MONTH(E2412)</f>
        <v/>
      </c>
      <c r="J2412" s="6">
        <f>K2412&amp;L2412</f>
        <v/>
      </c>
      <c r="K2412" s="6">
        <f>YEAR(M2412)</f>
        <v/>
      </c>
      <c r="L2412" s="6">
        <f>MONTH(M2412)</f>
        <v/>
      </c>
      <c r="R2412" s="6">
        <f>S2412&amp;T2412</f>
        <v/>
      </c>
      <c r="S2412" s="6">
        <f>YEAR(U2412)</f>
        <v/>
      </c>
      <c r="T2412" s="6">
        <f>MONTH(U2412)</f>
        <v/>
      </c>
      <c r="Z2412" s="6">
        <f>AA2412&amp;AB2412</f>
        <v/>
      </c>
      <c r="AA2412" s="6">
        <f>YEAR(AC2412)</f>
        <v/>
      </c>
      <c r="AB2412" s="6">
        <f>MONTH(AC2412)</f>
        <v/>
      </c>
      <c r="AC2412" s="267">
        <f>IFERROR(__xludf.DUMMYFUNCTION("""COMPUTED_VALUE"""),45564.9986111111)</f>
        <v/>
      </c>
      <c r="AD2412" s="6">
        <f>IFERROR(__xludf.DUMMYFUNCTION("""COMPUTED_VALUE"""),1309.3)</f>
        <v/>
      </c>
      <c r="AH2412" s="6">
        <f>AI2412&amp;AJ2412</f>
        <v/>
      </c>
      <c r="AI2412" s="6">
        <f>YEAR(AK2412)</f>
        <v/>
      </c>
      <c r="AJ2412" s="6">
        <f>MONTH(AK2412)</f>
        <v/>
      </c>
      <c r="AK2412" s="267">
        <f>IFERROR(__xludf.DUMMYFUNCTION("""COMPUTED_VALUE"""),45506.9986111111)</f>
        <v/>
      </c>
      <c r="AL2412" s="6">
        <f>IFERROR(__xludf.DUMMYFUNCTION("""COMPUTED_VALUE"""),64529.93)</f>
        <v/>
      </c>
      <c r="AP2412" s="6">
        <f>AQ2412&amp;AR2412</f>
        <v/>
      </c>
      <c r="AQ2412" s="6">
        <f>YEAR(AS2412)</f>
        <v/>
      </c>
      <c r="AR2412" s="6">
        <f>MONTH(AS2412)</f>
        <v/>
      </c>
    </row>
    <row r="2413">
      <c r="B2413" s="6">
        <f>C2413&amp;D2413</f>
        <v/>
      </c>
      <c r="C2413" s="6">
        <f>YEAR(E2413)</f>
        <v/>
      </c>
      <c r="D2413" s="6">
        <f>MONTH(E2413)</f>
        <v/>
      </c>
      <c r="J2413" s="6">
        <f>K2413&amp;L2413</f>
        <v/>
      </c>
      <c r="K2413" s="6">
        <f>YEAR(M2413)</f>
        <v/>
      </c>
      <c r="L2413" s="6">
        <f>MONTH(M2413)</f>
        <v/>
      </c>
      <c r="R2413" s="6">
        <f>S2413&amp;T2413</f>
        <v/>
      </c>
      <c r="S2413" s="6">
        <f>YEAR(U2413)</f>
        <v/>
      </c>
      <c r="T2413" s="6">
        <f>MONTH(U2413)</f>
        <v/>
      </c>
      <c r="Z2413" s="6">
        <f>AA2413&amp;AB2413</f>
        <v/>
      </c>
      <c r="AA2413" s="6">
        <f>YEAR(AC2413)</f>
        <v/>
      </c>
      <c r="AB2413" s="6">
        <f>MONTH(AC2413)</f>
        <v/>
      </c>
      <c r="AC2413" s="267">
        <f>IFERROR(__xludf.DUMMYFUNCTION("""COMPUTED_VALUE"""),45565.9986111111)</f>
        <v/>
      </c>
      <c r="AD2413" s="6">
        <f>IFERROR(__xludf.DUMMYFUNCTION("""COMPUTED_VALUE"""),1315.33)</f>
        <v/>
      </c>
      <c r="AH2413" s="6">
        <f>AI2413&amp;AJ2413</f>
        <v/>
      </c>
      <c r="AI2413" s="6">
        <f>YEAR(AK2413)</f>
        <v/>
      </c>
      <c r="AJ2413" s="6">
        <f>MONTH(AK2413)</f>
        <v/>
      </c>
      <c r="AK2413" s="267">
        <f>IFERROR(__xludf.DUMMYFUNCTION("""COMPUTED_VALUE"""),45507.9986111111)</f>
        <v/>
      </c>
      <c r="AL2413" s="6">
        <f>IFERROR(__xludf.DUMMYFUNCTION("""COMPUTED_VALUE"""),61732.31)</f>
        <v/>
      </c>
      <c r="AP2413" s="6">
        <f>AQ2413&amp;AR2413</f>
        <v/>
      </c>
      <c r="AQ2413" s="6">
        <f>YEAR(AS2413)</f>
        <v/>
      </c>
      <c r="AR2413" s="6">
        <f>MONTH(AS2413)</f>
        <v/>
      </c>
    </row>
    <row r="2414">
      <c r="B2414" s="6">
        <f>C2414&amp;D2414</f>
        <v/>
      </c>
      <c r="C2414" s="6">
        <f>YEAR(E2414)</f>
        <v/>
      </c>
      <c r="D2414" s="6">
        <f>MONTH(E2414)</f>
        <v/>
      </c>
      <c r="J2414" s="6">
        <f>K2414&amp;L2414</f>
        <v/>
      </c>
      <c r="K2414" s="6">
        <f>YEAR(M2414)</f>
        <v/>
      </c>
      <c r="L2414" s="6">
        <f>MONTH(M2414)</f>
        <v/>
      </c>
      <c r="R2414" s="6">
        <f>S2414&amp;T2414</f>
        <v/>
      </c>
      <c r="S2414" s="6">
        <f>YEAR(U2414)</f>
        <v/>
      </c>
      <c r="T2414" s="6">
        <f>MONTH(U2414)</f>
        <v/>
      </c>
      <c r="Z2414" s="6">
        <f>AA2414&amp;AB2414</f>
        <v/>
      </c>
      <c r="AA2414" s="6">
        <f>YEAR(AC2414)</f>
        <v/>
      </c>
      <c r="AB2414" s="6">
        <f>MONTH(AC2414)</f>
        <v/>
      </c>
      <c r="AC2414" s="267">
        <f>IFERROR(__xludf.DUMMYFUNCTION("""COMPUTED_VALUE"""),45566.9986111111)</f>
        <v/>
      </c>
      <c r="AD2414" s="6">
        <f>IFERROR(__xludf.DUMMYFUNCTION("""COMPUTED_VALUE"""),1324.84)</f>
        <v/>
      </c>
      <c r="AH2414" s="6">
        <f>AI2414&amp;AJ2414</f>
        <v/>
      </c>
      <c r="AI2414" s="6">
        <f>YEAR(AK2414)</f>
        <v/>
      </c>
      <c r="AJ2414" s="6">
        <f>MONTH(AK2414)</f>
        <v/>
      </c>
      <c r="AK2414" s="267">
        <f>IFERROR(__xludf.DUMMYFUNCTION("""COMPUTED_VALUE"""),45508.9986111111)</f>
        <v/>
      </c>
      <c r="AL2414" s="6">
        <f>IFERROR(__xludf.DUMMYFUNCTION("""COMPUTED_VALUE"""),60761.09)</f>
        <v/>
      </c>
      <c r="AP2414" s="6">
        <f>AQ2414&amp;AR2414</f>
        <v/>
      </c>
      <c r="AQ2414" s="6">
        <f>YEAR(AS2414)</f>
        <v/>
      </c>
      <c r="AR2414" s="6">
        <f>MONTH(AS2414)</f>
        <v/>
      </c>
    </row>
    <row r="2415">
      <c r="B2415" s="6">
        <f>C2415&amp;D2415</f>
        <v/>
      </c>
      <c r="C2415" s="6">
        <f>YEAR(E2415)</f>
        <v/>
      </c>
      <c r="D2415" s="6">
        <f>MONTH(E2415)</f>
        <v/>
      </c>
      <c r="J2415" s="6">
        <f>K2415&amp;L2415</f>
        <v/>
      </c>
      <c r="K2415" s="6">
        <f>YEAR(M2415)</f>
        <v/>
      </c>
      <c r="L2415" s="6">
        <f>MONTH(M2415)</f>
        <v/>
      </c>
      <c r="R2415" s="6">
        <f>S2415&amp;T2415</f>
        <v/>
      </c>
      <c r="S2415" s="6">
        <f>YEAR(U2415)</f>
        <v/>
      </c>
      <c r="T2415" s="6">
        <f>MONTH(U2415)</f>
        <v/>
      </c>
      <c r="Z2415" s="6">
        <f>AA2415&amp;AB2415</f>
        <v/>
      </c>
      <c r="AA2415" s="6">
        <f>YEAR(AC2415)</f>
        <v/>
      </c>
      <c r="AB2415" s="6">
        <f>MONTH(AC2415)</f>
        <v/>
      </c>
      <c r="AC2415" s="267">
        <f>IFERROR(__xludf.DUMMYFUNCTION("""COMPUTED_VALUE"""),45567.9986111111)</f>
        <v/>
      </c>
      <c r="AD2415" s="6">
        <f>IFERROR(__xludf.DUMMYFUNCTION("""COMPUTED_VALUE"""),1324.03)</f>
        <v/>
      </c>
      <c r="AH2415" s="6">
        <f>AI2415&amp;AJ2415</f>
        <v/>
      </c>
      <c r="AI2415" s="6">
        <f>YEAR(AK2415)</f>
        <v/>
      </c>
      <c r="AJ2415" s="6">
        <f>MONTH(AK2415)</f>
        <v/>
      </c>
      <c r="AK2415" s="267">
        <f>IFERROR(__xludf.DUMMYFUNCTION("""COMPUTED_VALUE"""),45509.9986111111)</f>
        <v/>
      </c>
      <c r="AL2415" s="6">
        <f>IFERROR(__xludf.DUMMYFUNCTION("""COMPUTED_VALUE"""),54237.53)</f>
        <v/>
      </c>
      <c r="AP2415" s="6">
        <f>AQ2415&amp;AR2415</f>
        <v/>
      </c>
      <c r="AQ2415" s="6">
        <f>YEAR(AS2415)</f>
        <v/>
      </c>
      <c r="AR2415" s="6">
        <f>MONTH(AS2415)</f>
        <v/>
      </c>
    </row>
    <row r="2416">
      <c r="B2416" s="6">
        <f>C2416&amp;D2416</f>
        <v/>
      </c>
      <c r="C2416" s="6">
        <f>YEAR(E2416)</f>
        <v/>
      </c>
      <c r="D2416" s="6">
        <f>MONTH(E2416)</f>
        <v/>
      </c>
      <c r="J2416" s="6">
        <f>K2416&amp;L2416</f>
        <v/>
      </c>
      <c r="K2416" s="6">
        <f>YEAR(M2416)</f>
        <v/>
      </c>
      <c r="L2416" s="6">
        <f>MONTH(M2416)</f>
        <v/>
      </c>
      <c r="R2416" s="6">
        <f>S2416&amp;T2416</f>
        <v/>
      </c>
      <c r="S2416" s="6">
        <f>YEAR(U2416)</f>
        <v/>
      </c>
      <c r="T2416" s="6">
        <f>MONTH(U2416)</f>
        <v/>
      </c>
      <c r="Z2416" s="6">
        <f>AA2416&amp;AB2416</f>
        <v/>
      </c>
      <c r="AA2416" s="6">
        <f>YEAR(AC2416)</f>
        <v/>
      </c>
      <c r="AB2416" s="6">
        <f>MONTH(AC2416)</f>
        <v/>
      </c>
      <c r="AC2416" s="267">
        <f>IFERROR(__xludf.DUMMYFUNCTION("""COMPUTED_VALUE"""),45568.9986111111)</f>
        <v/>
      </c>
      <c r="AD2416" s="6">
        <f>IFERROR(__xludf.DUMMYFUNCTION("""COMPUTED_VALUE"""),1334.41)</f>
        <v/>
      </c>
      <c r="AH2416" s="6">
        <f>AI2416&amp;AJ2416</f>
        <v/>
      </c>
      <c r="AI2416" s="6">
        <f>YEAR(AK2416)</f>
        <v/>
      </c>
      <c r="AJ2416" s="6">
        <f>MONTH(AK2416)</f>
        <v/>
      </c>
      <c r="AK2416" s="267">
        <f>IFERROR(__xludf.DUMMYFUNCTION("""COMPUTED_VALUE"""),45510.9986111111)</f>
        <v/>
      </c>
      <c r="AL2416" s="6">
        <f>IFERROR(__xludf.DUMMYFUNCTION("""COMPUTED_VALUE"""),55764.82)</f>
        <v/>
      </c>
      <c r="AP2416" s="6">
        <f>AQ2416&amp;AR2416</f>
        <v/>
      </c>
      <c r="AQ2416" s="6">
        <f>YEAR(AS2416)</f>
        <v/>
      </c>
      <c r="AR2416" s="6">
        <f>MONTH(AS2416)</f>
        <v/>
      </c>
    </row>
    <row r="2417">
      <c r="B2417" s="6">
        <f>C2417&amp;D2417</f>
        <v/>
      </c>
      <c r="C2417" s="6">
        <f>YEAR(E2417)</f>
        <v/>
      </c>
      <c r="D2417" s="6">
        <f>MONTH(E2417)</f>
        <v/>
      </c>
      <c r="J2417" s="6">
        <f>K2417&amp;L2417</f>
        <v/>
      </c>
      <c r="K2417" s="6">
        <f>YEAR(M2417)</f>
        <v/>
      </c>
      <c r="L2417" s="6">
        <f>MONTH(M2417)</f>
        <v/>
      </c>
      <c r="R2417" s="6">
        <f>S2417&amp;T2417</f>
        <v/>
      </c>
      <c r="S2417" s="6">
        <f>YEAR(U2417)</f>
        <v/>
      </c>
      <c r="T2417" s="6">
        <f>MONTH(U2417)</f>
        <v/>
      </c>
      <c r="Z2417" s="6">
        <f>AA2417&amp;AB2417</f>
        <v/>
      </c>
      <c r="AA2417" s="6">
        <f>YEAR(AC2417)</f>
        <v/>
      </c>
      <c r="AB2417" s="6">
        <f>MONTH(AC2417)</f>
        <v/>
      </c>
      <c r="AC2417" s="267">
        <f>IFERROR(__xludf.DUMMYFUNCTION("""COMPUTED_VALUE"""),45569.9986111111)</f>
        <v/>
      </c>
      <c r="AD2417" s="6">
        <f>IFERROR(__xludf.DUMMYFUNCTION("""COMPUTED_VALUE"""),1346.31)</f>
        <v/>
      </c>
      <c r="AH2417" s="6">
        <f>AI2417&amp;AJ2417</f>
        <v/>
      </c>
      <c r="AI2417" s="6">
        <f>YEAR(AK2417)</f>
        <v/>
      </c>
      <c r="AJ2417" s="6">
        <f>MONTH(AK2417)</f>
        <v/>
      </c>
      <c r="AK2417" s="267">
        <f>IFERROR(__xludf.DUMMYFUNCTION("""COMPUTED_VALUE"""),45511.9986111111)</f>
        <v/>
      </c>
      <c r="AL2417" s="6">
        <f>IFERROR(__xludf.DUMMYFUNCTION("""COMPUTED_VALUE"""),56886.8)</f>
        <v/>
      </c>
      <c r="AP2417" s="6">
        <f>AQ2417&amp;AR2417</f>
        <v/>
      </c>
      <c r="AQ2417" s="6">
        <f>YEAR(AS2417)</f>
        <v/>
      </c>
      <c r="AR2417" s="6">
        <f>MONTH(AS2417)</f>
        <v/>
      </c>
    </row>
    <row r="2418">
      <c r="B2418" s="6">
        <f>C2418&amp;D2418</f>
        <v/>
      </c>
      <c r="C2418" s="6">
        <f>YEAR(E2418)</f>
        <v/>
      </c>
      <c r="D2418" s="6">
        <f>MONTH(E2418)</f>
        <v/>
      </c>
      <c r="J2418" s="6">
        <f>K2418&amp;L2418</f>
        <v/>
      </c>
      <c r="K2418" s="6">
        <f>YEAR(M2418)</f>
        <v/>
      </c>
      <c r="L2418" s="6">
        <f>MONTH(M2418)</f>
        <v/>
      </c>
      <c r="R2418" s="6">
        <f>S2418&amp;T2418</f>
        <v/>
      </c>
      <c r="S2418" s="6">
        <f>YEAR(U2418)</f>
        <v/>
      </c>
      <c r="T2418" s="6">
        <f>MONTH(U2418)</f>
        <v/>
      </c>
      <c r="Z2418" s="6">
        <f>AA2418&amp;AB2418</f>
        <v/>
      </c>
      <c r="AA2418" s="6">
        <f>YEAR(AC2418)</f>
        <v/>
      </c>
      <c r="AB2418" s="6">
        <f>MONTH(AC2418)</f>
        <v/>
      </c>
      <c r="AC2418" s="267">
        <f>IFERROR(__xludf.DUMMYFUNCTION("""COMPUTED_VALUE"""),45570.9986111111)</f>
        <v/>
      </c>
      <c r="AD2418" s="6">
        <f>IFERROR(__xludf.DUMMYFUNCTION("""COMPUTED_VALUE"""),1346.31)</f>
        <v/>
      </c>
      <c r="AH2418" s="6">
        <f>AI2418&amp;AJ2418</f>
        <v/>
      </c>
      <c r="AI2418" s="6">
        <f>YEAR(AK2418)</f>
        <v/>
      </c>
      <c r="AJ2418" s="6">
        <f>MONTH(AK2418)</f>
        <v/>
      </c>
      <c r="AK2418" s="267">
        <f>IFERROR(__xludf.DUMMYFUNCTION("""COMPUTED_VALUE"""),45512.9986111111)</f>
        <v/>
      </c>
      <c r="AL2418" s="6">
        <f>IFERROR(__xludf.DUMMYFUNCTION("""COMPUTED_VALUE"""),57157.95)</f>
        <v/>
      </c>
      <c r="AP2418" s="6">
        <f>AQ2418&amp;AR2418</f>
        <v/>
      </c>
      <c r="AQ2418" s="6">
        <f>YEAR(AS2418)</f>
        <v/>
      </c>
      <c r="AR2418" s="6">
        <f>MONTH(AS2418)</f>
        <v/>
      </c>
    </row>
    <row r="2419">
      <c r="B2419" s="6">
        <f>C2419&amp;D2419</f>
        <v/>
      </c>
      <c r="C2419" s="6">
        <f>YEAR(E2419)</f>
        <v/>
      </c>
      <c r="D2419" s="6">
        <f>MONTH(E2419)</f>
        <v/>
      </c>
      <c r="J2419" s="6">
        <f>K2419&amp;L2419</f>
        <v/>
      </c>
      <c r="K2419" s="6">
        <f>YEAR(M2419)</f>
        <v/>
      </c>
      <c r="L2419" s="6">
        <f>MONTH(M2419)</f>
        <v/>
      </c>
      <c r="R2419" s="6">
        <f>S2419&amp;T2419</f>
        <v/>
      </c>
      <c r="S2419" s="6">
        <f>YEAR(U2419)</f>
        <v/>
      </c>
      <c r="T2419" s="6">
        <f>MONTH(U2419)</f>
        <v/>
      </c>
      <c r="Z2419" s="6">
        <f>AA2419&amp;AB2419</f>
        <v/>
      </c>
      <c r="AA2419" s="6">
        <f>YEAR(AC2419)</f>
        <v/>
      </c>
      <c r="AB2419" s="6">
        <f>MONTH(AC2419)</f>
        <v/>
      </c>
      <c r="AC2419" s="267">
        <f>IFERROR(__xludf.DUMMYFUNCTION("""COMPUTED_VALUE"""),45571.9986111111)</f>
        <v/>
      </c>
      <c r="AD2419" s="6">
        <f>IFERROR(__xludf.DUMMYFUNCTION("""COMPUTED_VALUE"""),1345.88)</f>
        <v/>
      </c>
      <c r="AH2419" s="6">
        <f>AI2419&amp;AJ2419</f>
        <v/>
      </c>
      <c r="AI2419" s="6">
        <f>YEAR(AK2419)</f>
        <v/>
      </c>
      <c r="AJ2419" s="6">
        <f>MONTH(AK2419)</f>
        <v/>
      </c>
      <c r="AK2419" s="267">
        <f>IFERROR(__xludf.DUMMYFUNCTION("""COMPUTED_VALUE"""),45513.9986111111)</f>
        <v/>
      </c>
      <c r="AL2419" s="6">
        <f>IFERROR(__xludf.DUMMYFUNCTION("""COMPUTED_VALUE"""),61347.45)</f>
        <v/>
      </c>
      <c r="AP2419" s="6">
        <f>AQ2419&amp;AR2419</f>
        <v/>
      </c>
      <c r="AQ2419" s="6">
        <f>YEAR(AS2419)</f>
        <v/>
      </c>
      <c r="AR2419" s="6">
        <f>MONTH(AS2419)</f>
        <v/>
      </c>
    </row>
    <row r="2420">
      <c r="B2420" s="6">
        <f>C2420&amp;D2420</f>
        <v/>
      </c>
      <c r="C2420" s="6">
        <f>YEAR(E2420)</f>
        <v/>
      </c>
      <c r="D2420" s="6">
        <f>MONTH(E2420)</f>
        <v/>
      </c>
      <c r="J2420" s="6">
        <f>K2420&amp;L2420</f>
        <v/>
      </c>
      <c r="K2420" s="6">
        <f>YEAR(M2420)</f>
        <v/>
      </c>
      <c r="L2420" s="6">
        <f>MONTH(M2420)</f>
        <v/>
      </c>
      <c r="R2420" s="6">
        <f>S2420&amp;T2420</f>
        <v/>
      </c>
      <c r="S2420" s="6">
        <f>YEAR(U2420)</f>
        <v/>
      </c>
      <c r="T2420" s="6">
        <f>MONTH(U2420)</f>
        <v/>
      </c>
      <c r="Z2420" s="6">
        <f>AA2420&amp;AB2420</f>
        <v/>
      </c>
      <c r="AA2420" s="6">
        <f>YEAR(AC2420)</f>
        <v/>
      </c>
      <c r="AB2420" s="6">
        <f>MONTH(AC2420)</f>
        <v/>
      </c>
      <c r="AC2420" s="267">
        <f>IFERROR(__xludf.DUMMYFUNCTION("""COMPUTED_VALUE"""),45572.9986111111)</f>
        <v/>
      </c>
      <c r="AD2420" s="6">
        <f>IFERROR(__xludf.DUMMYFUNCTION("""COMPUTED_VALUE"""),1342.37)</f>
        <v/>
      </c>
      <c r="AH2420" s="6">
        <f>AI2420&amp;AJ2420</f>
        <v/>
      </c>
      <c r="AI2420" s="6">
        <f>YEAR(AK2420)</f>
        <v/>
      </c>
      <c r="AJ2420" s="6">
        <f>MONTH(AK2420)</f>
        <v/>
      </c>
      <c r="AK2420" s="267">
        <f>IFERROR(__xludf.DUMMYFUNCTION("""COMPUTED_VALUE"""),45514.9986111111)</f>
        <v/>
      </c>
      <c r="AL2420" s="6">
        <f>IFERROR(__xludf.DUMMYFUNCTION("""COMPUTED_VALUE"""),60463.2)</f>
        <v/>
      </c>
      <c r="AP2420" s="6">
        <f>AQ2420&amp;AR2420</f>
        <v/>
      </c>
      <c r="AQ2420" s="6">
        <f>YEAR(AS2420)</f>
        <v/>
      </c>
      <c r="AR2420" s="6">
        <f>MONTH(AS2420)</f>
        <v/>
      </c>
    </row>
    <row r="2421">
      <c r="B2421" s="6">
        <f>C2421&amp;D2421</f>
        <v/>
      </c>
      <c r="C2421" s="6">
        <f>YEAR(E2421)</f>
        <v/>
      </c>
      <c r="D2421" s="6">
        <f>MONTH(E2421)</f>
        <v/>
      </c>
      <c r="J2421" s="6">
        <f>K2421&amp;L2421</f>
        <v/>
      </c>
      <c r="K2421" s="6">
        <f>YEAR(M2421)</f>
        <v/>
      </c>
      <c r="L2421" s="6">
        <f>MONTH(M2421)</f>
        <v/>
      </c>
      <c r="R2421" s="6">
        <f>S2421&amp;T2421</f>
        <v/>
      </c>
      <c r="S2421" s="6">
        <f>YEAR(U2421)</f>
        <v/>
      </c>
      <c r="T2421" s="6">
        <f>MONTH(U2421)</f>
        <v/>
      </c>
      <c r="Z2421" s="6">
        <f>AA2421&amp;AB2421</f>
        <v/>
      </c>
      <c r="AA2421" s="6">
        <f>YEAR(AC2421)</f>
        <v/>
      </c>
      <c r="AB2421" s="6">
        <f>MONTH(AC2421)</f>
        <v/>
      </c>
      <c r="AC2421" s="267">
        <f>IFERROR(__xludf.DUMMYFUNCTION("""COMPUTED_VALUE"""),45573.9986111111)</f>
        <v/>
      </c>
      <c r="AD2421" s="6">
        <f>IFERROR(__xludf.DUMMYFUNCTION("""COMPUTED_VALUE"""),1341.31)</f>
        <v/>
      </c>
      <c r="AH2421" s="6">
        <f>AI2421&amp;AJ2421</f>
        <v/>
      </c>
      <c r="AI2421" s="6">
        <f>YEAR(AK2421)</f>
        <v/>
      </c>
      <c r="AJ2421" s="6">
        <f>MONTH(AK2421)</f>
        <v/>
      </c>
      <c r="AK2421" s="267">
        <f>IFERROR(__xludf.DUMMYFUNCTION("""COMPUTED_VALUE"""),45515.9986111111)</f>
        <v/>
      </c>
      <c r="AL2421" s="6">
        <f>IFERROR(__xludf.DUMMYFUNCTION("""COMPUTED_VALUE"""),61144.88)</f>
        <v/>
      </c>
      <c r="AP2421" s="6">
        <f>AQ2421&amp;AR2421</f>
        <v/>
      </c>
      <c r="AQ2421" s="6">
        <f>YEAR(AS2421)</f>
        <v/>
      </c>
      <c r="AR2421" s="6">
        <f>MONTH(AS2421)</f>
        <v/>
      </c>
    </row>
    <row r="2422">
      <c r="B2422" s="6">
        <f>C2422&amp;D2422</f>
        <v/>
      </c>
      <c r="C2422" s="6">
        <f>YEAR(E2422)</f>
        <v/>
      </c>
      <c r="D2422" s="6">
        <f>MONTH(E2422)</f>
        <v/>
      </c>
      <c r="J2422" s="6">
        <f>K2422&amp;L2422</f>
        <v/>
      </c>
      <c r="K2422" s="6">
        <f>YEAR(M2422)</f>
        <v/>
      </c>
      <c r="L2422" s="6">
        <f>MONTH(M2422)</f>
        <v/>
      </c>
      <c r="R2422" s="6">
        <f>S2422&amp;T2422</f>
        <v/>
      </c>
      <c r="S2422" s="6">
        <f>YEAR(U2422)</f>
        <v/>
      </c>
      <c r="T2422" s="6">
        <f>MONTH(U2422)</f>
        <v/>
      </c>
      <c r="Z2422" s="6">
        <f>AA2422&amp;AB2422</f>
        <v/>
      </c>
      <c r="AA2422" s="6">
        <f>YEAR(AC2422)</f>
        <v/>
      </c>
      <c r="AB2422" s="6">
        <f>MONTH(AC2422)</f>
        <v/>
      </c>
      <c r="AC2422" s="267">
        <f>IFERROR(__xludf.DUMMYFUNCTION("""COMPUTED_VALUE"""),45574.9986111111)</f>
        <v/>
      </c>
      <c r="AD2422" s="6">
        <f>IFERROR(__xludf.DUMMYFUNCTION("""COMPUTED_VALUE"""),1343.02)</f>
        <v/>
      </c>
      <c r="AH2422" s="6">
        <f>AI2422&amp;AJ2422</f>
        <v/>
      </c>
      <c r="AI2422" s="6">
        <f>YEAR(AK2422)</f>
        <v/>
      </c>
      <c r="AJ2422" s="6">
        <f>MONTH(AK2422)</f>
        <v/>
      </c>
      <c r="AK2422" s="267">
        <f>IFERROR(__xludf.DUMMYFUNCTION("""COMPUTED_VALUE"""),45516.9986111111)</f>
        <v/>
      </c>
      <c r="AL2422" s="6">
        <f>IFERROR(__xludf.DUMMYFUNCTION("""COMPUTED_VALUE"""),58614.72)</f>
        <v/>
      </c>
      <c r="AP2422" s="6">
        <f>AQ2422&amp;AR2422</f>
        <v/>
      </c>
      <c r="AQ2422" s="6">
        <f>YEAR(AS2422)</f>
        <v/>
      </c>
      <c r="AR2422" s="6">
        <f>MONTH(AS2422)</f>
        <v/>
      </c>
    </row>
    <row r="2423">
      <c r="B2423" s="6">
        <f>C2423&amp;D2423</f>
        <v/>
      </c>
      <c r="C2423" s="6">
        <f>YEAR(E2423)</f>
        <v/>
      </c>
      <c r="D2423" s="6">
        <f>MONTH(E2423)</f>
        <v/>
      </c>
      <c r="J2423" s="6">
        <f>K2423&amp;L2423</f>
        <v/>
      </c>
      <c r="K2423" s="6">
        <f>YEAR(M2423)</f>
        <v/>
      </c>
      <c r="L2423" s="6">
        <f>MONTH(M2423)</f>
        <v/>
      </c>
      <c r="R2423" s="6">
        <f>S2423&amp;T2423</f>
        <v/>
      </c>
      <c r="S2423" s="6">
        <f>YEAR(U2423)</f>
        <v/>
      </c>
      <c r="T2423" s="6">
        <f>MONTH(U2423)</f>
        <v/>
      </c>
      <c r="Z2423" s="6">
        <f>AA2423&amp;AB2423</f>
        <v/>
      </c>
      <c r="AA2423" s="6">
        <f>YEAR(AC2423)</f>
        <v/>
      </c>
      <c r="AB2423" s="6">
        <f>MONTH(AC2423)</f>
        <v/>
      </c>
      <c r="AC2423" s="267">
        <f>IFERROR(__xludf.DUMMYFUNCTION("""COMPUTED_VALUE"""),45575.9986111111)</f>
        <v/>
      </c>
      <c r="AD2423" s="6">
        <f>IFERROR(__xludf.DUMMYFUNCTION("""COMPUTED_VALUE"""),1349.74)</f>
        <v/>
      </c>
      <c r="AH2423" s="6">
        <f>AI2423&amp;AJ2423</f>
        <v/>
      </c>
      <c r="AI2423" s="6">
        <f>YEAR(AK2423)</f>
        <v/>
      </c>
      <c r="AJ2423" s="6">
        <f>MONTH(AK2423)</f>
        <v/>
      </c>
      <c r="AK2423" s="267">
        <f>IFERROR(__xludf.DUMMYFUNCTION("""COMPUTED_VALUE"""),45517.9986111111)</f>
        <v/>
      </c>
      <c r="AL2423" s="6">
        <f>IFERROR(__xludf.DUMMYFUNCTION("""COMPUTED_VALUE"""),59135.62)</f>
        <v/>
      </c>
      <c r="AP2423" s="6">
        <f>AQ2423&amp;AR2423</f>
        <v/>
      </c>
      <c r="AQ2423" s="6">
        <f>YEAR(AS2423)</f>
        <v/>
      </c>
      <c r="AR2423" s="6">
        <f>MONTH(AS2423)</f>
        <v/>
      </c>
    </row>
    <row r="2424">
      <c r="B2424" s="6">
        <f>C2424&amp;D2424</f>
        <v/>
      </c>
      <c r="C2424" s="6">
        <f>YEAR(E2424)</f>
        <v/>
      </c>
      <c r="D2424" s="6">
        <f>MONTH(E2424)</f>
        <v/>
      </c>
      <c r="J2424" s="6">
        <f>K2424&amp;L2424</f>
        <v/>
      </c>
      <c r="K2424" s="6">
        <f>YEAR(M2424)</f>
        <v/>
      </c>
      <c r="L2424" s="6">
        <f>MONTH(M2424)</f>
        <v/>
      </c>
      <c r="R2424" s="6">
        <f>S2424&amp;T2424</f>
        <v/>
      </c>
      <c r="S2424" s="6">
        <f>YEAR(U2424)</f>
        <v/>
      </c>
      <c r="T2424" s="6">
        <f>MONTH(U2424)</f>
        <v/>
      </c>
      <c r="Z2424" s="6">
        <f>AA2424&amp;AB2424</f>
        <v/>
      </c>
      <c r="AA2424" s="6">
        <f>YEAR(AC2424)</f>
        <v/>
      </c>
      <c r="AB2424" s="6">
        <f>MONTH(AC2424)</f>
        <v/>
      </c>
      <c r="AC2424" s="267">
        <f>IFERROR(__xludf.DUMMYFUNCTION("""COMPUTED_VALUE"""),45576.9986111111)</f>
        <v/>
      </c>
      <c r="AD2424" s="6">
        <f>IFERROR(__xludf.DUMMYFUNCTION("""COMPUTED_VALUE"""),1348.34)</f>
        <v/>
      </c>
      <c r="AH2424" s="6">
        <f>AI2424&amp;AJ2424</f>
        <v/>
      </c>
      <c r="AI2424" s="6">
        <f>YEAR(AK2424)</f>
        <v/>
      </c>
      <c r="AJ2424" s="6">
        <f>MONTH(AK2424)</f>
        <v/>
      </c>
      <c r="AK2424" s="267">
        <f>IFERROR(__xludf.DUMMYFUNCTION("""COMPUTED_VALUE"""),45518.9986111111)</f>
        <v/>
      </c>
      <c r="AL2424" s="6">
        <f>IFERROR(__xludf.DUMMYFUNCTION("""COMPUTED_VALUE"""),61051.58)</f>
        <v/>
      </c>
      <c r="AP2424" s="6">
        <f>AQ2424&amp;AR2424</f>
        <v/>
      </c>
      <c r="AQ2424" s="6">
        <f>YEAR(AS2424)</f>
        <v/>
      </c>
      <c r="AR2424" s="6">
        <f>MONTH(AS2424)</f>
        <v/>
      </c>
    </row>
    <row r="2425">
      <c r="B2425" s="6">
        <f>C2425&amp;D2425</f>
        <v/>
      </c>
      <c r="C2425" s="6">
        <f>YEAR(E2425)</f>
        <v/>
      </c>
      <c r="D2425" s="6">
        <f>MONTH(E2425)</f>
        <v/>
      </c>
      <c r="J2425" s="6">
        <f>K2425&amp;L2425</f>
        <v/>
      </c>
      <c r="K2425" s="6">
        <f>YEAR(M2425)</f>
        <v/>
      </c>
      <c r="L2425" s="6">
        <f>MONTH(M2425)</f>
        <v/>
      </c>
      <c r="R2425" s="6">
        <f>S2425&amp;T2425</f>
        <v/>
      </c>
      <c r="S2425" s="6">
        <f>YEAR(U2425)</f>
        <v/>
      </c>
      <c r="T2425" s="6">
        <f>MONTH(U2425)</f>
        <v/>
      </c>
      <c r="Z2425" s="6">
        <f>AA2425&amp;AB2425</f>
        <v/>
      </c>
      <c r="AA2425" s="6">
        <f>YEAR(AC2425)</f>
        <v/>
      </c>
      <c r="AB2425" s="6">
        <f>MONTH(AC2425)</f>
        <v/>
      </c>
      <c r="AC2425" s="267">
        <f>IFERROR(__xludf.DUMMYFUNCTION("""COMPUTED_VALUE"""),45577.9986111111)</f>
        <v/>
      </c>
      <c r="AD2425" s="6">
        <f>IFERROR(__xludf.DUMMYFUNCTION("""COMPUTED_VALUE"""),1348.34)</f>
        <v/>
      </c>
      <c r="AH2425" s="6">
        <f>AI2425&amp;AJ2425</f>
        <v/>
      </c>
      <c r="AI2425" s="6">
        <f>YEAR(AK2425)</f>
        <v/>
      </c>
      <c r="AJ2425" s="6">
        <f>MONTH(AK2425)</f>
        <v/>
      </c>
      <c r="AK2425" s="267">
        <f>IFERROR(__xludf.DUMMYFUNCTION("""COMPUTED_VALUE"""),45519.9986111111)</f>
        <v/>
      </c>
      <c r="AL2425" s="6">
        <f>IFERROR(__xludf.DUMMYFUNCTION("""COMPUTED_VALUE"""),58418.11)</f>
        <v/>
      </c>
      <c r="AP2425" s="6">
        <f>AQ2425&amp;AR2425</f>
        <v/>
      </c>
      <c r="AQ2425" s="6">
        <f>YEAR(AS2425)</f>
        <v/>
      </c>
      <c r="AR2425" s="6">
        <f>MONTH(AS2425)</f>
        <v/>
      </c>
    </row>
    <row r="2426">
      <c r="B2426" s="6">
        <f>C2426&amp;D2426</f>
        <v/>
      </c>
      <c r="C2426" s="6">
        <f>YEAR(E2426)</f>
        <v/>
      </c>
      <c r="D2426" s="6">
        <f>MONTH(E2426)</f>
        <v/>
      </c>
      <c r="J2426" s="6">
        <f>K2426&amp;L2426</f>
        <v/>
      </c>
      <c r="K2426" s="6">
        <f>YEAR(M2426)</f>
        <v/>
      </c>
      <c r="L2426" s="6">
        <f>MONTH(M2426)</f>
        <v/>
      </c>
      <c r="R2426" s="6">
        <f>S2426&amp;T2426</f>
        <v/>
      </c>
      <c r="S2426" s="6">
        <f>YEAR(U2426)</f>
        <v/>
      </c>
      <c r="T2426" s="6">
        <f>MONTH(U2426)</f>
        <v/>
      </c>
      <c r="Z2426" s="6">
        <f>AA2426&amp;AB2426</f>
        <v/>
      </c>
      <c r="AA2426" s="6">
        <f>YEAR(AC2426)</f>
        <v/>
      </c>
      <c r="AB2426" s="6">
        <f>MONTH(AC2426)</f>
        <v/>
      </c>
      <c r="AC2426" s="267">
        <f>IFERROR(__xludf.DUMMYFUNCTION("""COMPUTED_VALUE"""),45578.9986111111)</f>
        <v/>
      </c>
      <c r="AD2426" s="6">
        <f>IFERROR(__xludf.DUMMYFUNCTION("""COMPUTED_VALUE"""),1348.33)</f>
        <v/>
      </c>
      <c r="AH2426" s="6">
        <f>AI2426&amp;AJ2426</f>
        <v/>
      </c>
      <c r="AI2426" s="6">
        <f>YEAR(AK2426)</f>
        <v/>
      </c>
      <c r="AJ2426" s="6">
        <f>MONTH(AK2426)</f>
        <v/>
      </c>
      <c r="AK2426" s="267">
        <f>IFERROR(__xludf.DUMMYFUNCTION("""COMPUTED_VALUE"""),45520.9986111111)</f>
        <v/>
      </c>
      <c r="AL2426" s="6">
        <f>IFERROR(__xludf.DUMMYFUNCTION("""COMPUTED_VALUE"""),57976.19)</f>
        <v/>
      </c>
      <c r="AP2426" s="6">
        <f>AQ2426&amp;AR2426</f>
        <v/>
      </c>
      <c r="AQ2426" s="6">
        <f>YEAR(AS2426)</f>
        <v/>
      </c>
      <c r="AR2426" s="6">
        <f>MONTH(AS2426)</f>
        <v/>
      </c>
    </row>
    <row r="2427">
      <c r="B2427" s="6">
        <f>C2427&amp;D2427</f>
        <v/>
      </c>
      <c r="C2427" s="6">
        <f>YEAR(E2427)</f>
        <v/>
      </c>
      <c r="D2427" s="6">
        <f>MONTH(E2427)</f>
        <v/>
      </c>
      <c r="J2427" s="6">
        <f>K2427&amp;L2427</f>
        <v/>
      </c>
      <c r="K2427" s="6">
        <f>YEAR(M2427)</f>
        <v/>
      </c>
      <c r="L2427" s="6">
        <f>MONTH(M2427)</f>
        <v/>
      </c>
      <c r="R2427" s="6">
        <f>S2427&amp;T2427</f>
        <v/>
      </c>
      <c r="S2427" s="6">
        <f>YEAR(U2427)</f>
        <v/>
      </c>
      <c r="T2427" s="6">
        <f>MONTH(U2427)</f>
        <v/>
      </c>
      <c r="Z2427" s="6">
        <f>AA2427&amp;AB2427</f>
        <v/>
      </c>
      <c r="AA2427" s="6">
        <f>YEAR(AC2427)</f>
        <v/>
      </c>
      <c r="AB2427" s="6">
        <f>MONTH(AC2427)</f>
        <v/>
      </c>
      <c r="AC2427" s="267">
        <f>IFERROR(__xludf.DUMMYFUNCTION("""COMPUTED_VALUE"""),45579.9986111111)</f>
        <v/>
      </c>
      <c r="AD2427" s="6">
        <f>IFERROR(__xludf.DUMMYFUNCTION("""COMPUTED_VALUE"""),1357.27)</f>
        <v/>
      </c>
      <c r="AH2427" s="6">
        <f>AI2427&amp;AJ2427</f>
        <v/>
      </c>
      <c r="AI2427" s="6">
        <f>YEAR(AK2427)</f>
        <v/>
      </c>
      <c r="AJ2427" s="6">
        <f>MONTH(AK2427)</f>
        <v/>
      </c>
      <c r="AK2427" s="267">
        <f>IFERROR(__xludf.DUMMYFUNCTION("""COMPUTED_VALUE"""),45521.9986111111)</f>
        <v/>
      </c>
      <c r="AL2427" s="6">
        <f>IFERROR(__xludf.DUMMYFUNCTION("""COMPUTED_VALUE"""),59131.83)</f>
        <v/>
      </c>
      <c r="AP2427" s="6">
        <f>AQ2427&amp;AR2427</f>
        <v/>
      </c>
      <c r="AQ2427" s="6">
        <f>YEAR(AS2427)</f>
        <v/>
      </c>
      <c r="AR2427" s="6">
        <f>MONTH(AS2427)</f>
        <v/>
      </c>
    </row>
    <row r="2428">
      <c r="B2428" s="6">
        <f>C2428&amp;D2428</f>
        <v/>
      </c>
      <c r="C2428" s="6">
        <f>YEAR(E2428)</f>
        <v/>
      </c>
      <c r="D2428" s="6">
        <f>MONTH(E2428)</f>
        <v/>
      </c>
      <c r="J2428" s="6">
        <f>K2428&amp;L2428</f>
        <v/>
      </c>
      <c r="K2428" s="6">
        <f>YEAR(M2428)</f>
        <v/>
      </c>
      <c r="L2428" s="6">
        <f>MONTH(M2428)</f>
        <v/>
      </c>
      <c r="R2428" s="6">
        <f>S2428&amp;T2428</f>
        <v/>
      </c>
      <c r="S2428" s="6">
        <f>YEAR(U2428)</f>
        <v/>
      </c>
      <c r="T2428" s="6">
        <f>MONTH(U2428)</f>
        <v/>
      </c>
      <c r="Z2428" s="6">
        <f>AA2428&amp;AB2428</f>
        <v/>
      </c>
      <c r="AA2428" s="6">
        <f>YEAR(AC2428)</f>
        <v/>
      </c>
      <c r="AB2428" s="6">
        <f>MONTH(AC2428)</f>
        <v/>
      </c>
      <c r="AC2428" s="267">
        <f>IFERROR(__xludf.DUMMYFUNCTION("""COMPUTED_VALUE"""),45580.9986111111)</f>
        <v/>
      </c>
      <c r="AD2428" s="6">
        <f>IFERROR(__xludf.DUMMYFUNCTION("""COMPUTED_VALUE"""),1363.18)</f>
        <v/>
      </c>
      <c r="AH2428" s="6">
        <f>AI2428&amp;AJ2428</f>
        <v/>
      </c>
      <c r="AI2428" s="6">
        <f>YEAR(AK2428)</f>
        <v/>
      </c>
      <c r="AJ2428" s="6">
        <f>MONTH(AK2428)</f>
        <v/>
      </c>
      <c r="AK2428" s="267">
        <f>IFERROR(__xludf.DUMMYFUNCTION("""COMPUTED_VALUE"""),45522.9986111111)</f>
        <v/>
      </c>
      <c r="AL2428" s="6">
        <f>IFERROR(__xludf.DUMMYFUNCTION("""COMPUTED_VALUE"""),59435.34)</f>
        <v/>
      </c>
      <c r="AP2428" s="6">
        <f>AQ2428&amp;AR2428</f>
        <v/>
      </c>
      <c r="AQ2428" s="6">
        <f>YEAR(AS2428)</f>
        <v/>
      </c>
      <c r="AR2428" s="6">
        <f>MONTH(AS2428)</f>
        <v/>
      </c>
    </row>
    <row r="2429">
      <c r="B2429" s="6">
        <f>C2429&amp;D2429</f>
        <v/>
      </c>
      <c r="C2429" s="6">
        <f>YEAR(E2429)</f>
        <v/>
      </c>
      <c r="D2429" s="6">
        <f>MONTH(E2429)</f>
        <v/>
      </c>
      <c r="J2429" s="6">
        <f>K2429&amp;L2429</f>
        <v/>
      </c>
      <c r="K2429" s="6">
        <f>YEAR(M2429)</f>
        <v/>
      </c>
      <c r="L2429" s="6">
        <f>MONTH(M2429)</f>
        <v/>
      </c>
      <c r="R2429" s="6">
        <f>S2429&amp;T2429</f>
        <v/>
      </c>
      <c r="S2429" s="6">
        <f>YEAR(U2429)</f>
        <v/>
      </c>
      <c r="T2429" s="6">
        <f>MONTH(U2429)</f>
        <v/>
      </c>
      <c r="Z2429" s="6">
        <f>AA2429&amp;AB2429</f>
        <v/>
      </c>
      <c r="AA2429" s="6">
        <f>YEAR(AC2429)</f>
        <v/>
      </c>
      <c r="AB2429" s="6">
        <f>MONTH(AC2429)</f>
        <v/>
      </c>
      <c r="AC2429" s="267">
        <f>IFERROR(__xludf.DUMMYFUNCTION("""COMPUTED_VALUE"""),45581.9986111111)</f>
        <v/>
      </c>
      <c r="AD2429" s="6">
        <f>IFERROR(__xludf.DUMMYFUNCTION("""COMPUTED_VALUE"""),1364.2)</f>
        <v/>
      </c>
      <c r="AH2429" s="6">
        <f>AI2429&amp;AJ2429</f>
        <v/>
      </c>
      <c r="AI2429" s="6">
        <f>YEAR(AK2429)</f>
        <v/>
      </c>
      <c r="AJ2429" s="6">
        <f>MONTH(AK2429)</f>
        <v/>
      </c>
      <c r="AK2429" s="267">
        <f>IFERROR(__xludf.DUMMYFUNCTION("""COMPUTED_VALUE"""),45523.9986111111)</f>
        <v/>
      </c>
      <c r="AL2429" s="6">
        <f>IFERROR(__xludf.DUMMYFUNCTION("""COMPUTED_VALUE"""),58708.96)</f>
        <v/>
      </c>
      <c r="AP2429" s="6">
        <f>AQ2429&amp;AR2429</f>
        <v/>
      </c>
      <c r="AQ2429" s="6">
        <f>YEAR(AS2429)</f>
        <v/>
      </c>
      <c r="AR2429" s="6">
        <f>MONTH(AS2429)</f>
        <v/>
      </c>
    </row>
    <row r="2430">
      <c r="B2430" s="6">
        <f>C2430&amp;D2430</f>
        <v/>
      </c>
      <c r="C2430" s="6">
        <f>YEAR(E2430)</f>
        <v/>
      </c>
      <c r="D2430" s="6">
        <f>MONTH(E2430)</f>
        <v/>
      </c>
      <c r="J2430" s="6">
        <f>K2430&amp;L2430</f>
        <v/>
      </c>
      <c r="K2430" s="6">
        <f>YEAR(M2430)</f>
        <v/>
      </c>
      <c r="L2430" s="6">
        <f>MONTH(M2430)</f>
        <v/>
      </c>
      <c r="R2430" s="6">
        <f>S2430&amp;T2430</f>
        <v/>
      </c>
      <c r="S2430" s="6">
        <f>YEAR(U2430)</f>
        <v/>
      </c>
      <c r="T2430" s="6">
        <f>MONTH(U2430)</f>
        <v/>
      </c>
      <c r="Z2430" s="6">
        <f>AA2430&amp;AB2430</f>
        <v/>
      </c>
      <c r="AA2430" s="6">
        <f>YEAR(AC2430)</f>
        <v/>
      </c>
      <c r="AB2430" s="6">
        <f>MONTH(AC2430)</f>
        <v/>
      </c>
      <c r="AC2430" s="267">
        <f>IFERROR(__xludf.DUMMYFUNCTION("""COMPUTED_VALUE"""),45582.9986111111)</f>
        <v/>
      </c>
      <c r="AD2430" s="6">
        <f>IFERROR(__xludf.DUMMYFUNCTION("""COMPUTED_VALUE"""),1370.05)</f>
        <v/>
      </c>
      <c r="AH2430" s="6">
        <f>AI2430&amp;AJ2430</f>
        <v/>
      </c>
      <c r="AI2430" s="6">
        <f>YEAR(AK2430)</f>
        <v/>
      </c>
      <c r="AJ2430" s="6">
        <f>MONTH(AK2430)</f>
        <v/>
      </c>
      <c r="AK2430" s="267">
        <f>IFERROR(__xludf.DUMMYFUNCTION("""COMPUTED_VALUE"""),45524.9986111111)</f>
        <v/>
      </c>
      <c r="AL2430" s="6">
        <f>IFERROR(__xludf.DUMMYFUNCTION("""COMPUTED_VALUE"""),60549.66)</f>
        <v/>
      </c>
      <c r="AP2430" s="6">
        <f>AQ2430&amp;AR2430</f>
        <v/>
      </c>
      <c r="AQ2430" s="6">
        <f>YEAR(AS2430)</f>
        <v/>
      </c>
      <c r="AR2430" s="6">
        <f>MONTH(AS2430)</f>
        <v/>
      </c>
    </row>
    <row r="2431">
      <c r="B2431" s="6">
        <f>C2431&amp;D2431</f>
        <v/>
      </c>
      <c r="C2431" s="6">
        <f>YEAR(E2431)</f>
        <v/>
      </c>
      <c r="D2431" s="6">
        <f>MONTH(E2431)</f>
        <v/>
      </c>
      <c r="J2431" s="6">
        <f>K2431&amp;L2431</f>
        <v/>
      </c>
      <c r="K2431" s="6">
        <f>YEAR(M2431)</f>
        <v/>
      </c>
      <c r="L2431" s="6">
        <f>MONTH(M2431)</f>
        <v/>
      </c>
      <c r="R2431" s="6">
        <f>S2431&amp;T2431</f>
        <v/>
      </c>
      <c r="S2431" s="6">
        <f>YEAR(U2431)</f>
        <v/>
      </c>
      <c r="T2431" s="6">
        <f>MONTH(U2431)</f>
        <v/>
      </c>
      <c r="Z2431" s="6">
        <f>AA2431&amp;AB2431</f>
        <v/>
      </c>
      <c r="AA2431" s="6">
        <f>YEAR(AC2431)</f>
        <v/>
      </c>
      <c r="AB2431" s="6">
        <f>MONTH(AC2431)</f>
        <v/>
      </c>
      <c r="AC2431" s="267">
        <f>IFERROR(__xludf.DUMMYFUNCTION("""COMPUTED_VALUE"""),45583.9986111111)</f>
        <v/>
      </c>
      <c r="AD2431" s="6">
        <f>IFERROR(__xludf.DUMMYFUNCTION("""COMPUTED_VALUE"""),1369.01)</f>
        <v/>
      </c>
      <c r="AH2431" s="6">
        <f>AI2431&amp;AJ2431</f>
        <v/>
      </c>
      <c r="AI2431" s="6">
        <f>YEAR(AK2431)</f>
        <v/>
      </c>
      <c r="AJ2431" s="6">
        <f>MONTH(AK2431)</f>
        <v/>
      </c>
      <c r="AK2431" s="267">
        <f>IFERROR(__xludf.DUMMYFUNCTION("""COMPUTED_VALUE"""),45525.9986111111)</f>
        <v/>
      </c>
      <c r="AL2431" s="6">
        <f>IFERROR(__xludf.DUMMYFUNCTION("""COMPUTED_VALUE"""),59291.03)</f>
        <v/>
      </c>
      <c r="AP2431" s="6">
        <f>AQ2431&amp;AR2431</f>
        <v/>
      </c>
      <c r="AQ2431" s="6">
        <f>YEAR(AS2431)</f>
        <v/>
      </c>
      <c r="AR2431" s="6">
        <f>MONTH(AS2431)</f>
        <v/>
      </c>
    </row>
    <row r="2432">
      <c r="B2432" s="6">
        <f>C2432&amp;D2432</f>
        <v/>
      </c>
      <c r="C2432" s="6">
        <f>YEAR(E2432)</f>
        <v/>
      </c>
      <c r="D2432" s="6">
        <f>MONTH(E2432)</f>
        <v/>
      </c>
      <c r="J2432" s="6">
        <f>K2432&amp;L2432</f>
        <v/>
      </c>
      <c r="K2432" s="6">
        <f>YEAR(M2432)</f>
        <v/>
      </c>
      <c r="L2432" s="6">
        <f>MONTH(M2432)</f>
        <v/>
      </c>
      <c r="R2432" s="6">
        <f>S2432&amp;T2432</f>
        <v/>
      </c>
      <c r="S2432" s="6">
        <f>YEAR(U2432)</f>
        <v/>
      </c>
      <c r="T2432" s="6">
        <f>MONTH(U2432)</f>
        <v/>
      </c>
      <c r="Z2432" s="6">
        <f>AA2432&amp;AB2432</f>
        <v/>
      </c>
      <c r="AA2432" s="6">
        <f>YEAR(AC2432)</f>
        <v/>
      </c>
      <c r="AB2432" s="6">
        <f>MONTH(AC2432)</f>
        <v/>
      </c>
      <c r="AC2432" s="267">
        <f>IFERROR(__xludf.DUMMYFUNCTION("""COMPUTED_VALUE"""),45584.9986111111)</f>
        <v/>
      </c>
      <c r="AD2432" s="6">
        <f>IFERROR(__xludf.DUMMYFUNCTION("""COMPUTED_VALUE"""),1369.01)</f>
        <v/>
      </c>
      <c r="AH2432" s="6">
        <f>AI2432&amp;AJ2432</f>
        <v/>
      </c>
      <c r="AI2432" s="6">
        <f>YEAR(AK2432)</f>
        <v/>
      </c>
      <c r="AJ2432" s="6">
        <f>MONTH(AK2432)</f>
        <v/>
      </c>
      <c r="AK2432" s="267">
        <f>IFERROR(__xludf.DUMMYFUNCTION("""COMPUTED_VALUE"""),45526.9986111111)</f>
        <v/>
      </c>
      <c r="AL2432" s="6">
        <f>IFERROR(__xludf.DUMMYFUNCTION("""COMPUTED_VALUE"""),60554.25)</f>
        <v/>
      </c>
      <c r="AP2432" s="6">
        <f>AQ2432&amp;AR2432</f>
        <v/>
      </c>
      <c r="AQ2432" s="6">
        <f>YEAR(AS2432)</f>
        <v/>
      </c>
      <c r="AR2432" s="6">
        <f>MONTH(AS2432)</f>
        <v/>
      </c>
    </row>
    <row r="2433">
      <c r="B2433" s="6">
        <f>C2433&amp;D2433</f>
        <v/>
      </c>
      <c r="C2433" s="6">
        <f>YEAR(E2433)</f>
        <v/>
      </c>
      <c r="D2433" s="6">
        <f>MONTH(E2433)</f>
        <v/>
      </c>
      <c r="J2433" s="6">
        <f>K2433&amp;L2433</f>
        <v/>
      </c>
      <c r="K2433" s="6">
        <f>YEAR(M2433)</f>
        <v/>
      </c>
      <c r="L2433" s="6">
        <f>MONTH(M2433)</f>
        <v/>
      </c>
      <c r="R2433" s="6">
        <f>S2433&amp;T2433</f>
        <v/>
      </c>
      <c r="S2433" s="6">
        <f>YEAR(U2433)</f>
        <v/>
      </c>
      <c r="T2433" s="6">
        <f>MONTH(U2433)</f>
        <v/>
      </c>
      <c r="Z2433" s="6">
        <f>AA2433&amp;AB2433</f>
        <v/>
      </c>
      <c r="AA2433" s="6">
        <f>YEAR(AC2433)</f>
        <v/>
      </c>
      <c r="AB2433" s="6">
        <f>MONTH(AC2433)</f>
        <v/>
      </c>
      <c r="AC2433" s="267">
        <f>IFERROR(__xludf.DUMMYFUNCTION("""COMPUTED_VALUE"""),45585.9986111111)</f>
        <v/>
      </c>
      <c r="AD2433" s="6">
        <f>IFERROR(__xludf.DUMMYFUNCTION("""COMPUTED_VALUE"""),1369.01)</f>
        <v/>
      </c>
      <c r="AH2433" s="6">
        <f>AI2433&amp;AJ2433</f>
        <v/>
      </c>
      <c r="AI2433" s="6">
        <f>YEAR(AK2433)</f>
        <v/>
      </c>
      <c r="AJ2433" s="6">
        <f>MONTH(AK2433)</f>
        <v/>
      </c>
      <c r="AK2433" s="267">
        <f>IFERROR(__xludf.DUMMYFUNCTION("""COMPUTED_VALUE"""),45527.9986111111)</f>
        <v/>
      </c>
      <c r="AL2433" s="6">
        <f>IFERROR(__xludf.DUMMYFUNCTION("""COMPUTED_VALUE"""),60625.02)</f>
        <v/>
      </c>
      <c r="AP2433" s="6">
        <f>AQ2433&amp;AR2433</f>
        <v/>
      </c>
      <c r="AQ2433" s="6">
        <f>YEAR(AS2433)</f>
        <v/>
      </c>
      <c r="AR2433" s="6">
        <f>MONTH(AS2433)</f>
        <v/>
      </c>
    </row>
    <row r="2434">
      <c r="B2434" s="6">
        <f>C2434&amp;D2434</f>
        <v/>
      </c>
      <c r="C2434" s="6">
        <f>YEAR(E2434)</f>
        <v/>
      </c>
      <c r="D2434" s="6">
        <f>MONTH(E2434)</f>
        <v/>
      </c>
      <c r="J2434" s="6">
        <f>K2434&amp;L2434</f>
        <v/>
      </c>
      <c r="K2434" s="6">
        <f>YEAR(M2434)</f>
        <v/>
      </c>
      <c r="L2434" s="6">
        <f>MONTH(M2434)</f>
        <v/>
      </c>
      <c r="R2434" s="6">
        <f>S2434&amp;T2434</f>
        <v/>
      </c>
      <c r="S2434" s="6">
        <f>YEAR(U2434)</f>
        <v/>
      </c>
      <c r="T2434" s="6">
        <f>MONTH(U2434)</f>
        <v/>
      </c>
      <c r="Z2434" s="6">
        <f>AA2434&amp;AB2434</f>
        <v/>
      </c>
      <c r="AA2434" s="6">
        <f>YEAR(AC2434)</f>
        <v/>
      </c>
      <c r="AB2434" s="6">
        <f>MONTH(AC2434)</f>
        <v/>
      </c>
      <c r="AC2434" s="267">
        <f>IFERROR(__xludf.DUMMYFUNCTION("""COMPUTED_VALUE"""),45586.9986111111)</f>
        <v/>
      </c>
      <c r="AD2434" s="6">
        <f>IFERROR(__xludf.DUMMYFUNCTION("""COMPUTED_VALUE"""),1376.5)</f>
        <v/>
      </c>
      <c r="AH2434" s="6">
        <f>AI2434&amp;AJ2434</f>
        <v/>
      </c>
      <c r="AI2434" s="6">
        <f>YEAR(AK2434)</f>
        <v/>
      </c>
      <c r="AJ2434" s="6">
        <f>MONTH(AK2434)</f>
        <v/>
      </c>
      <c r="AK2434" s="267">
        <f>IFERROR(__xludf.DUMMYFUNCTION("""COMPUTED_VALUE"""),45528.9986111111)</f>
        <v/>
      </c>
      <c r="AL2434" s="6">
        <f>IFERROR(__xludf.DUMMYFUNCTION("""COMPUTED_VALUE"""),63975.61)</f>
        <v/>
      </c>
      <c r="AP2434" s="6">
        <f>AQ2434&amp;AR2434</f>
        <v/>
      </c>
      <c r="AQ2434" s="6">
        <f>YEAR(AS2434)</f>
        <v/>
      </c>
      <c r="AR2434" s="6">
        <f>MONTH(AS2434)</f>
        <v/>
      </c>
    </row>
    <row r="2435">
      <c r="B2435" s="6">
        <f>C2435&amp;D2435</f>
        <v/>
      </c>
      <c r="C2435" s="6">
        <f>YEAR(E2435)</f>
        <v/>
      </c>
      <c r="D2435" s="6">
        <f>MONTH(E2435)</f>
        <v/>
      </c>
      <c r="J2435" s="6">
        <f>K2435&amp;L2435</f>
        <v/>
      </c>
      <c r="K2435" s="6">
        <f>YEAR(M2435)</f>
        <v/>
      </c>
      <c r="L2435" s="6">
        <f>MONTH(M2435)</f>
        <v/>
      </c>
      <c r="R2435" s="6">
        <f>S2435&amp;T2435</f>
        <v/>
      </c>
      <c r="S2435" s="6">
        <f>YEAR(U2435)</f>
        <v/>
      </c>
      <c r="T2435" s="6">
        <f>MONTH(U2435)</f>
        <v/>
      </c>
      <c r="Z2435" s="6">
        <f>AA2435&amp;AB2435</f>
        <v/>
      </c>
      <c r="AA2435" s="6">
        <f>YEAR(AC2435)</f>
        <v/>
      </c>
      <c r="AB2435" s="6">
        <f>MONTH(AC2435)</f>
        <v/>
      </c>
      <c r="AC2435" s="267">
        <f>IFERROR(__xludf.DUMMYFUNCTION("""COMPUTED_VALUE"""),45587.9986111111)</f>
        <v/>
      </c>
      <c r="AD2435" s="6">
        <f>IFERROR(__xludf.DUMMYFUNCTION("""COMPUTED_VALUE"""),1376.63)</f>
        <v/>
      </c>
      <c r="AH2435" s="6">
        <f>AI2435&amp;AJ2435</f>
        <v/>
      </c>
      <c r="AI2435" s="6">
        <f>YEAR(AK2435)</f>
        <v/>
      </c>
      <c r="AJ2435" s="6">
        <f>MONTH(AK2435)</f>
        <v/>
      </c>
      <c r="AK2435" s="267">
        <f>IFERROR(__xludf.DUMMYFUNCTION("""COMPUTED_VALUE"""),45529.9986111111)</f>
        <v/>
      </c>
      <c r="AL2435" s="6">
        <f>IFERROR(__xludf.DUMMYFUNCTION("""COMPUTED_VALUE"""),64153.97)</f>
        <v/>
      </c>
      <c r="AP2435" s="6">
        <f>AQ2435&amp;AR2435</f>
        <v/>
      </c>
      <c r="AQ2435" s="6">
        <f>YEAR(AS2435)</f>
        <v/>
      </c>
      <c r="AR2435" s="6">
        <f>MONTH(AS2435)</f>
        <v/>
      </c>
    </row>
    <row r="2436">
      <c r="B2436" s="6">
        <f>C2436&amp;D2436</f>
        <v/>
      </c>
      <c r="C2436" s="6">
        <f>YEAR(E2436)</f>
        <v/>
      </c>
      <c r="D2436" s="6">
        <f>MONTH(E2436)</f>
        <v/>
      </c>
      <c r="J2436" s="6">
        <f>K2436&amp;L2436</f>
        <v/>
      </c>
      <c r="K2436" s="6">
        <f>YEAR(M2436)</f>
        <v/>
      </c>
      <c r="L2436" s="6">
        <f>MONTH(M2436)</f>
        <v/>
      </c>
      <c r="R2436" s="6">
        <f>S2436&amp;T2436</f>
        <v/>
      </c>
      <c r="S2436" s="6">
        <f>YEAR(U2436)</f>
        <v/>
      </c>
      <c r="T2436" s="6">
        <f>MONTH(U2436)</f>
        <v/>
      </c>
      <c r="Z2436" s="6">
        <f>AA2436&amp;AB2436</f>
        <v/>
      </c>
      <c r="AA2436" s="6">
        <f>YEAR(AC2436)</f>
        <v/>
      </c>
      <c r="AB2436" s="6">
        <f>MONTH(AC2436)</f>
        <v/>
      </c>
      <c r="AC2436" s="267">
        <f>IFERROR(__xludf.DUMMYFUNCTION("""COMPUTED_VALUE"""),45588.9986111111)</f>
        <v/>
      </c>
      <c r="AD2436" s="6">
        <f>IFERROR(__xludf.DUMMYFUNCTION("""COMPUTED_VALUE"""),1377.34)</f>
        <v/>
      </c>
      <c r="AH2436" s="6">
        <f>AI2436&amp;AJ2436</f>
        <v/>
      </c>
      <c r="AI2436" s="6">
        <f>YEAR(AK2436)</f>
        <v/>
      </c>
      <c r="AJ2436" s="6">
        <f>MONTH(AK2436)</f>
        <v/>
      </c>
      <c r="AK2436" s="267">
        <f>IFERROR(__xludf.DUMMYFUNCTION("""COMPUTED_VALUE"""),45530.9986111111)</f>
        <v/>
      </c>
      <c r="AL2436" s="6">
        <f>IFERROR(__xludf.DUMMYFUNCTION("""COMPUTED_VALUE"""),64134.76)</f>
        <v/>
      </c>
      <c r="AP2436" s="6">
        <f>AQ2436&amp;AR2436</f>
        <v/>
      </c>
      <c r="AQ2436" s="6">
        <f>YEAR(AS2436)</f>
        <v/>
      </c>
      <c r="AR2436" s="6">
        <f>MONTH(AS2436)</f>
        <v/>
      </c>
    </row>
    <row r="2437">
      <c r="B2437" s="6">
        <f>C2437&amp;D2437</f>
        <v/>
      </c>
      <c r="C2437" s="6">
        <f>YEAR(E2437)</f>
        <v/>
      </c>
      <c r="D2437" s="6">
        <f>MONTH(E2437)</f>
        <v/>
      </c>
      <c r="J2437" s="6">
        <f>K2437&amp;L2437</f>
        <v/>
      </c>
      <c r="K2437" s="6">
        <f>YEAR(M2437)</f>
        <v/>
      </c>
      <c r="L2437" s="6">
        <f>MONTH(M2437)</f>
        <v/>
      </c>
      <c r="R2437" s="6">
        <f>S2437&amp;T2437</f>
        <v/>
      </c>
      <c r="S2437" s="6">
        <f>YEAR(U2437)</f>
        <v/>
      </c>
      <c r="T2437" s="6">
        <f>MONTH(U2437)</f>
        <v/>
      </c>
      <c r="Z2437" s="6">
        <f>AA2437&amp;AB2437</f>
        <v/>
      </c>
      <c r="AA2437" s="6">
        <f>YEAR(AC2437)</f>
        <v/>
      </c>
      <c r="AB2437" s="6">
        <f>MONTH(AC2437)</f>
        <v/>
      </c>
      <c r="AC2437" s="267">
        <f>IFERROR(__xludf.DUMMYFUNCTION("""COMPUTED_VALUE"""),45589.9986111111)</f>
        <v/>
      </c>
      <c r="AD2437" s="6">
        <f>IFERROR(__xludf.DUMMYFUNCTION("""COMPUTED_VALUE"""),1376.32)</f>
        <v/>
      </c>
      <c r="AH2437" s="6">
        <f>AI2437&amp;AJ2437</f>
        <v/>
      </c>
      <c r="AI2437" s="6">
        <f>YEAR(AK2437)</f>
        <v/>
      </c>
      <c r="AJ2437" s="6">
        <f>MONTH(AK2437)</f>
        <v/>
      </c>
      <c r="AK2437" s="267">
        <f>IFERROR(__xludf.DUMMYFUNCTION("""COMPUTED_VALUE"""),45531.9986111111)</f>
        <v/>
      </c>
      <c r="AL2437" s="6">
        <f>IFERROR(__xludf.DUMMYFUNCTION("""COMPUTED_VALUE"""),62976.04)</f>
        <v/>
      </c>
      <c r="AP2437" s="6">
        <f>AQ2437&amp;AR2437</f>
        <v/>
      </c>
      <c r="AQ2437" s="6">
        <f>YEAR(AS2437)</f>
        <v/>
      </c>
      <c r="AR2437" s="6">
        <f>MONTH(AS2437)</f>
        <v/>
      </c>
    </row>
    <row r="2438">
      <c r="B2438" s="6">
        <f>C2438&amp;D2438</f>
        <v/>
      </c>
      <c r="C2438" s="6">
        <f>YEAR(E2438)</f>
        <v/>
      </c>
      <c r="D2438" s="6">
        <f>MONTH(E2438)</f>
        <v/>
      </c>
      <c r="J2438" s="6">
        <f>K2438&amp;L2438</f>
        <v/>
      </c>
      <c r="K2438" s="6">
        <f>YEAR(M2438)</f>
        <v/>
      </c>
      <c r="L2438" s="6">
        <f>MONTH(M2438)</f>
        <v/>
      </c>
      <c r="R2438" s="6">
        <f>S2438&amp;T2438</f>
        <v/>
      </c>
      <c r="S2438" s="6">
        <f>YEAR(U2438)</f>
        <v/>
      </c>
      <c r="T2438" s="6">
        <f>MONTH(U2438)</f>
        <v/>
      </c>
      <c r="Z2438" s="6">
        <f>AA2438&amp;AB2438</f>
        <v/>
      </c>
      <c r="AA2438" s="6">
        <f>YEAR(AC2438)</f>
        <v/>
      </c>
      <c r="AB2438" s="6">
        <f>MONTH(AC2438)</f>
        <v/>
      </c>
      <c r="AC2438" s="267">
        <f>IFERROR(__xludf.DUMMYFUNCTION("""COMPUTED_VALUE"""),45590.9986111111)</f>
        <v/>
      </c>
      <c r="AD2438" s="6">
        <f>IFERROR(__xludf.DUMMYFUNCTION("""COMPUTED_VALUE"""),1387.66)</f>
        <v/>
      </c>
      <c r="AH2438" s="6">
        <f>AI2438&amp;AJ2438</f>
        <v/>
      </c>
      <c r="AI2438" s="6">
        <f>YEAR(AK2438)</f>
        <v/>
      </c>
      <c r="AJ2438" s="6">
        <f>MONTH(AK2438)</f>
        <v/>
      </c>
      <c r="AK2438" s="267">
        <f>IFERROR(__xludf.DUMMYFUNCTION("""COMPUTED_VALUE"""),45532.9986111111)</f>
        <v/>
      </c>
      <c r="AL2438" s="6">
        <f>IFERROR(__xludf.DUMMYFUNCTION("""COMPUTED_VALUE"""),59536.44)</f>
        <v/>
      </c>
      <c r="AP2438" s="6">
        <f>AQ2438&amp;AR2438</f>
        <v/>
      </c>
      <c r="AQ2438" s="6">
        <f>YEAR(AS2438)</f>
        <v/>
      </c>
      <c r="AR2438" s="6">
        <f>MONTH(AS2438)</f>
        <v/>
      </c>
    </row>
    <row r="2439">
      <c r="B2439" s="6">
        <f>C2439&amp;D2439</f>
        <v/>
      </c>
      <c r="C2439" s="6">
        <f>YEAR(E2439)</f>
        <v/>
      </c>
      <c r="D2439" s="6">
        <f>MONTH(E2439)</f>
        <v/>
      </c>
      <c r="J2439" s="6">
        <f>K2439&amp;L2439</f>
        <v/>
      </c>
      <c r="K2439" s="6">
        <f>YEAR(M2439)</f>
        <v/>
      </c>
      <c r="L2439" s="6">
        <f>MONTH(M2439)</f>
        <v/>
      </c>
      <c r="R2439" s="6">
        <f>S2439&amp;T2439</f>
        <v/>
      </c>
      <c r="S2439" s="6">
        <f>YEAR(U2439)</f>
        <v/>
      </c>
      <c r="T2439" s="6">
        <f>MONTH(U2439)</f>
        <v/>
      </c>
      <c r="Z2439" s="6">
        <f>AA2439&amp;AB2439</f>
        <v/>
      </c>
      <c r="AA2439" s="6">
        <f>YEAR(AC2439)</f>
        <v/>
      </c>
      <c r="AB2439" s="6">
        <f>MONTH(AC2439)</f>
        <v/>
      </c>
      <c r="AC2439" s="267">
        <f>IFERROR(__xludf.DUMMYFUNCTION("""COMPUTED_VALUE"""),45591.9986111111)</f>
        <v/>
      </c>
      <c r="AD2439" s="6">
        <f>IFERROR(__xludf.DUMMYFUNCTION("""COMPUTED_VALUE"""),1387.66)</f>
        <v/>
      </c>
      <c r="AH2439" s="6">
        <f>AI2439&amp;AJ2439</f>
        <v/>
      </c>
      <c r="AI2439" s="6">
        <f>YEAR(AK2439)</f>
        <v/>
      </c>
      <c r="AJ2439" s="6">
        <f>MONTH(AK2439)</f>
        <v/>
      </c>
      <c r="AK2439" s="267">
        <f>IFERROR(__xludf.DUMMYFUNCTION("""COMPUTED_VALUE"""),45533.9986111111)</f>
        <v/>
      </c>
      <c r="AL2439" s="6">
        <f>IFERROR(__xludf.DUMMYFUNCTION("""COMPUTED_VALUE"""),59114.96)</f>
        <v/>
      </c>
      <c r="AP2439" s="6">
        <f>AQ2439&amp;AR2439</f>
        <v/>
      </c>
      <c r="AQ2439" s="6">
        <f>YEAR(AS2439)</f>
        <v/>
      </c>
      <c r="AR2439" s="6">
        <f>MONTH(AS2439)</f>
        <v/>
      </c>
    </row>
    <row r="2440">
      <c r="B2440" s="6">
        <f>C2440&amp;D2440</f>
        <v/>
      </c>
      <c r="C2440" s="6">
        <f>YEAR(E2440)</f>
        <v/>
      </c>
      <c r="D2440" s="6">
        <f>MONTH(E2440)</f>
        <v/>
      </c>
      <c r="J2440" s="6">
        <f>K2440&amp;L2440</f>
        <v/>
      </c>
      <c r="K2440" s="6">
        <f>YEAR(M2440)</f>
        <v/>
      </c>
      <c r="L2440" s="6">
        <f>MONTH(M2440)</f>
        <v/>
      </c>
      <c r="R2440" s="6">
        <f>S2440&amp;T2440</f>
        <v/>
      </c>
      <c r="S2440" s="6">
        <f>YEAR(U2440)</f>
        <v/>
      </c>
      <c r="T2440" s="6">
        <f>MONTH(U2440)</f>
        <v/>
      </c>
      <c r="Z2440" s="6">
        <f>AA2440&amp;AB2440</f>
        <v/>
      </c>
      <c r="AA2440" s="6">
        <f>YEAR(AC2440)</f>
        <v/>
      </c>
      <c r="AB2440" s="6">
        <f>MONTH(AC2440)</f>
        <v/>
      </c>
      <c r="AC2440" s="267">
        <f>IFERROR(__xludf.DUMMYFUNCTION("""COMPUTED_VALUE"""),45592.9986111111)</f>
        <v/>
      </c>
      <c r="AD2440" s="6">
        <f>IFERROR(__xludf.DUMMYFUNCTION("""COMPUTED_VALUE"""),1387.66)</f>
        <v/>
      </c>
      <c r="AH2440" s="6">
        <f>AI2440&amp;AJ2440</f>
        <v/>
      </c>
      <c r="AI2440" s="6">
        <f>YEAR(AK2440)</f>
        <v/>
      </c>
      <c r="AJ2440" s="6">
        <f>MONTH(AK2440)</f>
        <v/>
      </c>
      <c r="AK2440" s="267">
        <f>IFERROR(__xludf.DUMMYFUNCTION("""COMPUTED_VALUE"""),45534.9986111111)</f>
        <v/>
      </c>
      <c r="AL2440" s="6">
        <f>IFERROR(__xludf.DUMMYFUNCTION("""COMPUTED_VALUE"""),59061.49)</f>
        <v/>
      </c>
      <c r="AP2440" s="6">
        <f>AQ2440&amp;AR2440</f>
        <v/>
      </c>
      <c r="AQ2440" s="6">
        <f>YEAR(AS2440)</f>
        <v/>
      </c>
      <c r="AR2440" s="6">
        <f>MONTH(AS2440)</f>
        <v/>
      </c>
    </row>
    <row r="2441">
      <c r="B2441" s="6">
        <f>C2441&amp;D2441</f>
        <v/>
      </c>
      <c r="C2441" s="6">
        <f>YEAR(E2441)</f>
        <v/>
      </c>
      <c r="D2441" s="6">
        <f>MONTH(E2441)</f>
        <v/>
      </c>
      <c r="J2441" s="6">
        <f>K2441&amp;L2441</f>
        <v/>
      </c>
      <c r="K2441" s="6">
        <f>YEAR(M2441)</f>
        <v/>
      </c>
      <c r="L2441" s="6">
        <f>MONTH(M2441)</f>
        <v/>
      </c>
      <c r="R2441" s="6">
        <f>S2441&amp;T2441</f>
        <v/>
      </c>
      <c r="S2441" s="6">
        <f>YEAR(U2441)</f>
        <v/>
      </c>
      <c r="T2441" s="6">
        <f>MONTH(U2441)</f>
        <v/>
      </c>
      <c r="Z2441" s="6">
        <f>AA2441&amp;AB2441</f>
        <v/>
      </c>
      <c r="AA2441" s="6">
        <f>YEAR(AC2441)</f>
        <v/>
      </c>
      <c r="AB2441" s="6">
        <f>MONTH(AC2441)</f>
        <v/>
      </c>
      <c r="AC2441" s="267">
        <f>IFERROR(__xludf.DUMMYFUNCTION("""COMPUTED_VALUE"""),45593.9986111111)</f>
        <v/>
      </c>
      <c r="AD2441" s="6">
        <f>IFERROR(__xludf.DUMMYFUNCTION("""COMPUTED_VALUE"""),1381.97)</f>
        <v/>
      </c>
      <c r="AH2441" s="6">
        <f>AI2441&amp;AJ2441</f>
        <v/>
      </c>
      <c r="AI2441" s="6">
        <f>YEAR(AK2441)</f>
        <v/>
      </c>
      <c r="AJ2441" s="6">
        <f>MONTH(AK2441)</f>
        <v/>
      </c>
      <c r="AK2441" s="267">
        <f>IFERROR(__xludf.DUMMYFUNCTION("""COMPUTED_VALUE"""),45535.9986111111)</f>
        <v/>
      </c>
      <c r="AL2441" s="6">
        <f>IFERROR(__xludf.DUMMYFUNCTION("""COMPUTED_VALUE"""),59244.12)</f>
        <v/>
      </c>
      <c r="AP2441" s="6">
        <f>AQ2441&amp;AR2441</f>
        <v/>
      </c>
      <c r="AQ2441" s="6">
        <f>YEAR(AS2441)</f>
        <v/>
      </c>
      <c r="AR2441" s="6">
        <f>MONTH(AS2441)</f>
        <v/>
      </c>
    </row>
    <row r="2442">
      <c r="B2442" s="6">
        <f>C2442&amp;D2442</f>
        <v/>
      </c>
      <c r="C2442" s="6">
        <f>YEAR(E2442)</f>
        <v/>
      </c>
      <c r="D2442" s="6">
        <f>MONTH(E2442)</f>
        <v/>
      </c>
      <c r="J2442" s="6">
        <f>K2442&amp;L2442</f>
        <v/>
      </c>
      <c r="K2442" s="6">
        <f>YEAR(M2442)</f>
        <v/>
      </c>
      <c r="L2442" s="6">
        <f>MONTH(M2442)</f>
        <v/>
      </c>
      <c r="R2442" s="6">
        <f>S2442&amp;T2442</f>
        <v/>
      </c>
      <c r="S2442" s="6">
        <f>YEAR(U2442)</f>
        <v/>
      </c>
      <c r="T2442" s="6">
        <f>MONTH(U2442)</f>
        <v/>
      </c>
      <c r="Z2442" s="6">
        <f>AA2442&amp;AB2442</f>
        <v/>
      </c>
      <c r="AA2442" s="6">
        <f>YEAR(AC2442)</f>
        <v/>
      </c>
      <c r="AB2442" s="6">
        <f>MONTH(AC2442)</f>
        <v/>
      </c>
      <c r="AC2442" s="267">
        <f>IFERROR(__xludf.DUMMYFUNCTION("""COMPUTED_VALUE"""),45594.9986111111)</f>
        <v/>
      </c>
      <c r="AD2442" s="6">
        <f>IFERROR(__xludf.DUMMYFUNCTION("""COMPUTED_VALUE"""),1383.18)</f>
        <v/>
      </c>
      <c r="AH2442" s="6">
        <f>AI2442&amp;AJ2442</f>
        <v/>
      </c>
      <c r="AI2442" s="6">
        <f>YEAR(AK2442)</f>
        <v/>
      </c>
      <c r="AJ2442" s="6">
        <f>MONTH(AK2442)</f>
        <v/>
      </c>
      <c r="AK2442" s="267">
        <f>IFERROR(__xludf.DUMMYFUNCTION("""COMPUTED_VALUE"""),45536.9986111111)</f>
        <v/>
      </c>
      <c r="AL2442" s="6">
        <f>IFERROR(__xludf.DUMMYFUNCTION("""COMPUTED_VALUE"""),58563.01)</f>
        <v/>
      </c>
      <c r="AP2442" s="6">
        <f>AQ2442&amp;AR2442</f>
        <v/>
      </c>
      <c r="AQ2442" s="6">
        <f>YEAR(AS2442)</f>
        <v/>
      </c>
      <c r="AR2442" s="6">
        <f>MONTH(AS2442)</f>
        <v/>
      </c>
    </row>
    <row r="2443">
      <c r="B2443" s="6">
        <f>C2443&amp;D2443</f>
        <v/>
      </c>
      <c r="C2443" s="6">
        <f>YEAR(E2443)</f>
        <v/>
      </c>
      <c r="D2443" s="6">
        <f>MONTH(E2443)</f>
        <v/>
      </c>
      <c r="J2443" s="6">
        <f>K2443&amp;L2443</f>
        <v/>
      </c>
      <c r="K2443" s="6">
        <f>YEAR(M2443)</f>
        <v/>
      </c>
      <c r="L2443" s="6">
        <f>MONTH(M2443)</f>
        <v/>
      </c>
      <c r="R2443" s="6">
        <f>S2443&amp;T2443</f>
        <v/>
      </c>
      <c r="S2443" s="6">
        <f>YEAR(U2443)</f>
        <v/>
      </c>
      <c r="T2443" s="6">
        <f>MONTH(U2443)</f>
        <v/>
      </c>
      <c r="Z2443" s="6">
        <f>AA2443&amp;AB2443</f>
        <v/>
      </c>
      <c r="AA2443" s="6">
        <f>YEAR(AC2443)</f>
        <v/>
      </c>
      <c r="AB2443" s="6">
        <f>MONTH(AC2443)</f>
        <v/>
      </c>
      <c r="AC2443" s="267">
        <f>IFERROR(__xludf.DUMMYFUNCTION("""COMPUTED_VALUE"""),45595.9986111111)</f>
        <v/>
      </c>
      <c r="AD2443" s="6">
        <f>IFERROR(__xludf.DUMMYFUNCTION("""COMPUTED_VALUE"""),1378.57)</f>
        <v/>
      </c>
      <c r="AH2443" s="6">
        <f>AI2443&amp;AJ2443</f>
        <v/>
      </c>
      <c r="AI2443" s="6">
        <f>YEAR(AK2443)</f>
        <v/>
      </c>
      <c r="AJ2443" s="6">
        <f>MONTH(AK2443)</f>
        <v/>
      </c>
      <c r="AK2443" s="267">
        <f>IFERROR(__xludf.DUMMYFUNCTION("""COMPUTED_VALUE"""),45537.9986111111)</f>
        <v/>
      </c>
      <c r="AL2443" s="6">
        <f>IFERROR(__xludf.DUMMYFUNCTION("""COMPUTED_VALUE"""),57724.56)</f>
        <v/>
      </c>
      <c r="AP2443" s="6">
        <f>AQ2443&amp;AR2443</f>
        <v/>
      </c>
      <c r="AQ2443" s="6">
        <f>YEAR(AS2443)</f>
        <v/>
      </c>
      <c r="AR2443" s="6">
        <f>MONTH(AS2443)</f>
        <v/>
      </c>
    </row>
    <row r="2444">
      <c r="B2444" s="6">
        <f>C2444&amp;D2444</f>
        <v/>
      </c>
      <c r="C2444" s="6">
        <f>YEAR(E2444)</f>
        <v/>
      </c>
      <c r="D2444" s="6">
        <f>MONTH(E2444)</f>
        <v/>
      </c>
      <c r="J2444" s="6">
        <f>K2444&amp;L2444</f>
        <v/>
      </c>
      <c r="K2444" s="6">
        <f>YEAR(M2444)</f>
        <v/>
      </c>
      <c r="L2444" s="6">
        <f>MONTH(M2444)</f>
        <v/>
      </c>
      <c r="R2444" s="6">
        <f>S2444&amp;T2444</f>
        <v/>
      </c>
      <c r="S2444" s="6">
        <f>YEAR(U2444)</f>
        <v/>
      </c>
      <c r="T2444" s="6">
        <f>MONTH(U2444)</f>
        <v/>
      </c>
      <c r="Z2444" s="6">
        <f>AA2444&amp;AB2444</f>
        <v/>
      </c>
      <c r="AA2444" s="6">
        <f>YEAR(AC2444)</f>
        <v/>
      </c>
      <c r="AB2444" s="6">
        <f>MONTH(AC2444)</f>
        <v/>
      </c>
      <c r="AC2444" s="267">
        <f>IFERROR(__xludf.DUMMYFUNCTION("""COMPUTED_VALUE"""),45596.9986111111)</f>
        <v/>
      </c>
      <c r="AD2444" s="6">
        <f>IFERROR(__xludf.DUMMYFUNCTION("""COMPUTED_VALUE"""),1372.93)</f>
        <v/>
      </c>
      <c r="AH2444" s="6">
        <f>AI2444&amp;AJ2444</f>
        <v/>
      </c>
      <c r="AI2444" s="6">
        <f>YEAR(AK2444)</f>
        <v/>
      </c>
      <c r="AJ2444" s="6">
        <f>MONTH(AK2444)</f>
        <v/>
      </c>
      <c r="AK2444" s="267">
        <f>IFERROR(__xludf.DUMMYFUNCTION("""COMPUTED_VALUE"""),45538.9986111111)</f>
        <v/>
      </c>
      <c r="AL2444" s="6">
        <f>IFERROR(__xludf.DUMMYFUNCTION("""COMPUTED_VALUE"""),59123.2)</f>
        <v/>
      </c>
      <c r="AP2444" s="6">
        <f>AQ2444&amp;AR2444</f>
        <v/>
      </c>
      <c r="AQ2444" s="6">
        <f>YEAR(AS2444)</f>
        <v/>
      </c>
      <c r="AR2444" s="6">
        <f>MONTH(AS2444)</f>
        <v/>
      </c>
    </row>
    <row r="2445">
      <c r="B2445" s="6">
        <f>C2445&amp;D2445</f>
        <v/>
      </c>
      <c r="C2445" s="6">
        <f>YEAR(E2445)</f>
        <v/>
      </c>
      <c r="D2445" s="6">
        <f>MONTH(E2445)</f>
        <v/>
      </c>
      <c r="J2445" s="6">
        <f>K2445&amp;L2445</f>
        <v/>
      </c>
      <c r="K2445" s="6">
        <f>YEAR(M2445)</f>
        <v/>
      </c>
      <c r="L2445" s="6">
        <f>MONTH(M2445)</f>
        <v/>
      </c>
      <c r="R2445" s="6">
        <f>S2445&amp;T2445</f>
        <v/>
      </c>
      <c r="S2445" s="6">
        <f>YEAR(U2445)</f>
        <v/>
      </c>
      <c r="T2445" s="6">
        <f>MONTH(U2445)</f>
        <v/>
      </c>
      <c r="Z2445" s="6">
        <f>AA2445&amp;AB2445</f>
        <v/>
      </c>
      <c r="AA2445" s="6">
        <f>YEAR(AC2445)</f>
        <v/>
      </c>
      <c r="AB2445" s="6">
        <f>MONTH(AC2445)</f>
        <v/>
      </c>
      <c r="AC2445" s="267">
        <f>IFERROR(__xludf.DUMMYFUNCTION("""COMPUTED_VALUE"""),45597.9986111111)</f>
        <v/>
      </c>
      <c r="AD2445" s="6">
        <f>IFERROR(__xludf.DUMMYFUNCTION("""COMPUTED_VALUE"""),1379.34)</f>
        <v/>
      </c>
      <c r="AH2445" s="6">
        <f>AI2445&amp;AJ2445</f>
        <v/>
      </c>
      <c r="AI2445" s="6">
        <f>YEAR(AK2445)</f>
        <v/>
      </c>
      <c r="AJ2445" s="6">
        <f>MONTH(AK2445)</f>
        <v/>
      </c>
      <c r="AK2445" s="267">
        <f>IFERROR(__xludf.DUMMYFUNCTION("""COMPUTED_VALUE"""),45539.9986111111)</f>
        <v/>
      </c>
      <c r="AL2445" s="6">
        <f>IFERROR(__xludf.DUMMYFUNCTION("""COMPUTED_VALUE"""),56729.19)</f>
        <v/>
      </c>
      <c r="AP2445" s="6">
        <f>AQ2445&amp;AR2445</f>
        <v/>
      </c>
      <c r="AQ2445" s="6">
        <f>YEAR(AS2445)</f>
        <v/>
      </c>
      <c r="AR2445" s="6">
        <f>MONTH(AS2445)</f>
        <v/>
      </c>
    </row>
    <row r="2446">
      <c r="B2446" s="6">
        <f>C2446&amp;D2446</f>
        <v/>
      </c>
      <c r="C2446" s="6">
        <f>YEAR(E2446)</f>
        <v/>
      </c>
      <c r="D2446" s="6">
        <f>MONTH(E2446)</f>
        <v/>
      </c>
      <c r="J2446" s="6">
        <f>K2446&amp;L2446</f>
        <v/>
      </c>
      <c r="K2446" s="6">
        <f>YEAR(M2446)</f>
        <v/>
      </c>
      <c r="L2446" s="6">
        <f>MONTH(M2446)</f>
        <v/>
      </c>
      <c r="R2446" s="6">
        <f>S2446&amp;T2446</f>
        <v/>
      </c>
      <c r="S2446" s="6">
        <f>YEAR(U2446)</f>
        <v/>
      </c>
      <c r="T2446" s="6">
        <f>MONTH(U2446)</f>
        <v/>
      </c>
      <c r="Z2446" s="6">
        <f>AA2446&amp;AB2446</f>
        <v/>
      </c>
      <c r="AA2446" s="6">
        <f>YEAR(AC2446)</f>
        <v/>
      </c>
      <c r="AB2446" s="6">
        <f>MONTH(AC2446)</f>
        <v/>
      </c>
      <c r="AC2446" s="267">
        <f>IFERROR(__xludf.DUMMYFUNCTION("""COMPUTED_VALUE"""),45598.9986111111)</f>
        <v/>
      </c>
      <c r="AD2446" s="6">
        <f>IFERROR(__xludf.DUMMYFUNCTION("""COMPUTED_VALUE"""),1379.34)</f>
        <v/>
      </c>
      <c r="AH2446" s="6">
        <f>AI2446&amp;AJ2446</f>
        <v/>
      </c>
      <c r="AI2446" s="6">
        <f>YEAR(AK2446)</f>
        <v/>
      </c>
      <c r="AJ2446" s="6">
        <f>MONTH(AK2446)</f>
        <v/>
      </c>
      <c r="AK2446" s="267">
        <f>IFERROR(__xludf.DUMMYFUNCTION("""COMPUTED_VALUE"""),45540.9986111111)</f>
        <v/>
      </c>
      <c r="AL2446" s="6">
        <f>IFERROR(__xludf.DUMMYFUNCTION("""COMPUTED_VALUE"""),57202.56)</f>
        <v/>
      </c>
      <c r="AP2446" s="6">
        <f>AQ2446&amp;AR2446</f>
        <v/>
      </c>
      <c r="AQ2446" s="6">
        <f>YEAR(AS2446)</f>
        <v/>
      </c>
      <c r="AR2446" s="6">
        <f>MONTH(AS2446)</f>
        <v/>
      </c>
    </row>
    <row r="2447">
      <c r="B2447" s="6">
        <f>C2447&amp;D2447</f>
        <v/>
      </c>
      <c r="C2447" s="6">
        <f>YEAR(E2447)</f>
        <v/>
      </c>
      <c r="D2447" s="6">
        <f>MONTH(E2447)</f>
        <v/>
      </c>
      <c r="J2447" s="6">
        <f>K2447&amp;L2447</f>
        <v/>
      </c>
      <c r="K2447" s="6">
        <f>YEAR(M2447)</f>
        <v/>
      </c>
      <c r="L2447" s="6">
        <f>MONTH(M2447)</f>
        <v/>
      </c>
      <c r="R2447" s="6">
        <f>S2447&amp;T2447</f>
        <v/>
      </c>
      <c r="S2447" s="6">
        <f>YEAR(U2447)</f>
        <v/>
      </c>
      <c r="T2447" s="6">
        <f>MONTH(U2447)</f>
        <v/>
      </c>
      <c r="Z2447" s="6">
        <f>AA2447&amp;AB2447</f>
        <v/>
      </c>
      <c r="AA2447" s="6">
        <f>YEAR(AC2447)</f>
        <v/>
      </c>
      <c r="AB2447" s="6">
        <f>MONTH(AC2447)</f>
        <v/>
      </c>
      <c r="AC2447" s="267">
        <f>IFERROR(__xludf.DUMMYFUNCTION("""COMPUTED_VALUE"""),45599.9986111111)</f>
        <v/>
      </c>
      <c r="AD2447" s="6">
        <f>IFERROR(__xludf.DUMMYFUNCTION("""COMPUTED_VALUE"""),1379.34)</f>
        <v/>
      </c>
      <c r="AH2447" s="6">
        <f>AI2447&amp;AJ2447</f>
        <v/>
      </c>
      <c r="AI2447" s="6">
        <f>YEAR(AK2447)</f>
        <v/>
      </c>
      <c r="AJ2447" s="6">
        <f>MONTH(AK2447)</f>
        <v/>
      </c>
      <c r="AK2447" s="267">
        <f>IFERROR(__xludf.DUMMYFUNCTION("""COMPUTED_VALUE"""),45541.9986111111)</f>
        <v/>
      </c>
      <c r="AL2447" s="6">
        <f>IFERROR(__xludf.DUMMYFUNCTION("""COMPUTED_VALUE"""),56604.56)</f>
        <v/>
      </c>
      <c r="AP2447" s="6">
        <f>AQ2447&amp;AR2447</f>
        <v/>
      </c>
      <c r="AQ2447" s="6">
        <f>YEAR(AS2447)</f>
        <v/>
      </c>
      <c r="AR2447" s="6">
        <f>MONTH(AS2447)</f>
        <v/>
      </c>
    </row>
    <row r="2448">
      <c r="B2448" s="6">
        <f>C2448&amp;D2448</f>
        <v/>
      </c>
      <c r="C2448" s="6">
        <f>YEAR(E2448)</f>
        <v/>
      </c>
      <c r="D2448" s="6">
        <f>MONTH(E2448)</f>
        <v/>
      </c>
      <c r="J2448" s="6">
        <f>K2448&amp;L2448</f>
        <v/>
      </c>
      <c r="K2448" s="6">
        <f>YEAR(M2448)</f>
        <v/>
      </c>
      <c r="L2448" s="6">
        <f>MONTH(M2448)</f>
        <v/>
      </c>
      <c r="R2448" s="6">
        <f>S2448&amp;T2448</f>
        <v/>
      </c>
      <c r="S2448" s="6">
        <f>YEAR(U2448)</f>
        <v/>
      </c>
      <c r="T2448" s="6">
        <f>MONTH(U2448)</f>
        <v/>
      </c>
      <c r="Z2448" s="6">
        <f>AA2448&amp;AB2448</f>
        <v/>
      </c>
      <c r="AA2448" s="6">
        <f>YEAR(AC2448)</f>
        <v/>
      </c>
      <c r="AB2448" s="6">
        <f>MONTH(AC2448)</f>
        <v/>
      </c>
      <c r="AC2448" s="267">
        <f>IFERROR(__xludf.DUMMYFUNCTION("""COMPUTED_VALUE"""),45600.9986111111)</f>
        <v/>
      </c>
      <c r="AD2448" s="6">
        <f>IFERROR(__xludf.DUMMYFUNCTION("""COMPUTED_VALUE"""),1372.86)</f>
        <v/>
      </c>
      <c r="AH2448" s="6">
        <f>AI2448&amp;AJ2448</f>
        <v/>
      </c>
      <c r="AI2448" s="6">
        <f>YEAR(AK2448)</f>
        <v/>
      </c>
      <c r="AJ2448" s="6">
        <f>MONTH(AK2448)</f>
        <v/>
      </c>
      <c r="AK2448" s="267">
        <f>IFERROR(__xludf.DUMMYFUNCTION("""COMPUTED_VALUE"""),45542.9986111111)</f>
        <v/>
      </c>
      <c r="AL2448" s="6">
        <f>IFERROR(__xludf.DUMMYFUNCTION("""COMPUTED_VALUE"""),53857.56)</f>
        <v/>
      </c>
      <c r="AP2448" s="6">
        <f>AQ2448&amp;AR2448</f>
        <v/>
      </c>
      <c r="AQ2448" s="6">
        <f>YEAR(AS2448)</f>
        <v/>
      </c>
      <c r="AR2448" s="6">
        <f>MONTH(AS2448)</f>
        <v/>
      </c>
    </row>
    <row r="2449">
      <c r="B2449" s="6">
        <f>C2449&amp;D2449</f>
        <v/>
      </c>
      <c r="C2449" s="6">
        <f>YEAR(E2449)</f>
        <v/>
      </c>
      <c r="D2449" s="6">
        <f>MONTH(E2449)</f>
        <v/>
      </c>
      <c r="J2449" s="6">
        <f>K2449&amp;L2449</f>
        <v/>
      </c>
      <c r="K2449" s="6">
        <f>YEAR(M2449)</f>
        <v/>
      </c>
      <c r="L2449" s="6">
        <f>MONTH(M2449)</f>
        <v/>
      </c>
      <c r="R2449" s="6">
        <f>S2449&amp;T2449</f>
        <v/>
      </c>
      <c r="S2449" s="6">
        <f>YEAR(U2449)</f>
        <v/>
      </c>
      <c r="T2449" s="6">
        <f>MONTH(U2449)</f>
        <v/>
      </c>
      <c r="Z2449" s="6">
        <f>AA2449&amp;AB2449</f>
        <v/>
      </c>
      <c r="AA2449" s="6">
        <f>YEAR(AC2449)</f>
        <v/>
      </c>
      <c r="AB2449" s="6">
        <f>MONTH(AC2449)</f>
        <v/>
      </c>
      <c r="AC2449" s="267">
        <f>IFERROR(__xludf.DUMMYFUNCTION("""COMPUTED_VALUE"""),45601.9986111111)</f>
        <v/>
      </c>
      <c r="AD2449" s="6">
        <f>IFERROR(__xludf.DUMMYFUNCTION("""COMPUTED_VALUE"""),1378)</f>
        <v/>
      </c>
      <c r="AH2449" s="6">
        <f>AI2449&amp;AJ2449</f>
        <v/>
      </c>
      <c r="AI2449" s="6">
        <f>YEAR(AK2449)</f>
        <v/>
      </c>
      <c r="AJ2449" s="6">
        <f>MONTH(AK2449)</f>
        <v/>
      </c>
      <c r="AK2449" s="267">
        <f>IFERROR(__xludf.DUMMYFUNCTION("""COMPUTED_VALUE"""),45543.9986111111)</f>
        <v/>
      </c>
      <c r="AL2449" s="6">
        <f>IFERROR(__xludf.DUMMYFUNCTION("""COMPUTED_VALUE"""),54382)</f>
        <v/>
      </c>
      <c r="AP2449" s="6">
        <f>AQ2449&amp;AR2449</f>
        <v/>
      </c>
      <c r="AQ2449" s="6">
        <f>YEAR(AS2449)</f>
        <v/>
      </c>
      <c r="AR2449" s="6">
        <f>MONTH(AS2449)</f>
        <v/>
      </c>
    </row>
    <row r="2450">
      <c r="B2450" s="6">
        <f>C2450&amp;D2450</f>
        <v/>
      </c>
      <c r="C2450" s="6">
        <f>YEAR(E2450)</f>
        <v/>
      </c>
      <c r="D2450" s="6">
        <f>MONTH(E2450)</f>
        <v/>
      </c>
      <c r="J2450" s="6">
        <f>K2450&amp;L2450</f>
        <v/>
      </c>
      <c r="K2450" s="6">
        <f>YEAR(M2450)</f>
        <v/>
      </c>
      <c r="L2450" s="6">
        <f>MONTH(M2450)</f>
        <v/>
      </c>
      <c r="R2450" s="6">
        <f>S2450&amp;T2450</f>
        <v/>
      </c>
      <c r="S2450" s="6">
        <f>YEAR(U2450)</f>
        <v/>
      </c>
      <c r="T2450" s="6">
        <f>MONTH(U2450)</f>
        <v/>
      </c>
      <c r="Z2450" s="6">
        <f>AA2450&amp;AB2450</f>
        <v/>
      </c>
      <c r="AA2450" s="6">
        <f>YEAR(AC2450)</f>
        <v/>
      </c>
      <c r="AB2450" s="6">
        <f>MONTH(AC2450)</f>
        <v/>
      </c>
      <c r="AC2450" s="267">
        <f>IFERROR(__xludf.DUMMYFUNCTION("""COMPUTED_VALUE"""),45602.9986111111)</f>
        <v/>
      </c>
      <c r="AD2450" s="6">
        <f>IFERROR(__xludf.DUMMYFUNCTION("""COMPUTED_VALUE"""),1399.8)</f>
        <v/>
      </c>
      <c r="AH2450" s="6">
        <f>AI2450&amp;AJ2450</f>
        <v/>
      </c>
      <c r="AI2450" s="6">
        <f>YEAR(AK2450)</f>
        <v/>
      </c>
      <c r="AJ2450" s="6">
        <f>MONTH(AK2450)</f>
        <v/>
      </c>
      <c r="AK2450" s="267">
        <f>IFERROR(__xludf.DUMMYFUNCTION("""COMPUTED_VALUE"""),45544.9986111111)</f>
        <v/>
      </c>
      <c r="AL2450" s="6">
        <f>IFERROR(__xludf.DUMMYFUNCTION("""COMPUTED_VALUE"""),55073.68)</f>
        <v/>
      </c>
      <c r="AP2450" s="6">
        <f>AQ2450&amp;AR2450</f>
        <v/>
      </c>
      <c r="AQ2450" s="6">
        <f>YEAR(AS2450)</f>
        <v/>
      </c>
      <c r="AR2450" s="6">
        <f>MONTH(AS2450)</f>
        <v/>
      </c>
    </row>
    <row r="2451">
      <c r="B2451" s="6">
        <f>C2451&amp;D2451</f>
        <v/>
      </c>
      <c r="C2451" s="6">
        <f>YEAR(E2451)</f>
        <v/>
      </c>
      <c r="D2451" s="6">
        <f>MONTH(E2451)</f>
        <v/>
      </c>
      <c r="J2451" s="6">
        <f>K2451&amp;L2451</f>
        <v/>
      </c>
      <c r="K2451" s="6">
        <f>YEAR(M2451)</f>
        <v/>
      </c>
      <c r="L2451" s="6">
        <f>MONTH(M2451)</f>
        <v/>
      </c>
      <c r="R2451" s="6">
        <f>S2451&amp;T2451</f>
        <v/>
      </c>
      <c r="S2451" s="6">
        <f>YEAR(U2451)</f>
        <v/>
      </c>
      <c r="T2451" s="6">
        <f>MONTH(U2451)</f>
        <v/>
      </c>
      <c r="Z2451" s="6">
        <f>AA2451&amp;AB2451</f>
        <v/>
      </c>
      <c r="AA2451" s="6">
        <f>YEAR(AC2451)</f>
        <v/>
      </c>
      <c r="AB2451" s="6">
        <f>MONTH(AC2451)</f>
        <v/>
      </c>
      <c r="AC2451" s="267">
        <f>IFERROR(__xludf.DUMMYFUNCTION("""COMPUTED_VALUE"""),45603.9986111111)</f>
        <v/>
      </c>
      <c r="AD2451" s="6">
        <f>IFERROR(__xludf.DUMMYFUNCTION("""COMPUTED_VALUE"""),1372.08)</f>
        <v/>
      </c>
      <c r="AH2451" s="6">
        <f>AI2451&amp;AJ2451</f>
        <v/>
      </c>
      <c r="AI2451" s="6">
        <f>YEAR(AK2451)</f>
        <v/>
      </c>
      <c r="AJ2451" s="6">
        <f>MONTH(AK2451)</f>
        <v/>
      </c>
      <c r="AK2451" s="267">
        <f>IFERROR(__xludf.DUMMYFUNCTION("""COMPUTED_VALUE"""),45545.9986111111)</f>
        <v/>
      </c>
      <c r="AL2451" s="6">
        <f>IFERROR(__xludf.DUMMYFUNCTION("""COMPUTED_VALUE"""),56568.94)</f>
        <v/>
      </c>
      <c r="AP2451" s="6">
        <f>AQ2451&amp;AR2451</f>
        <v/>
      </c>
      <c r="AQ2451" s="6">
        <f>YEAR(AS2451)</f>
        <v/>
      </c>
      <c r="AR2451" s="6">
        <f>MONTH(AS2451)</f>
        <v/>
      </c>
    </row>
    <row r="2452">
      <c r="B2452" s="6">
        <f>C2452&amp;D2452</f>
        <v/>
      </c>
      <c r="C2452" s="6">
        <f>YEAR(E2452)</f>
        <v/>
      </c>
      <c r="D2452" s="6">
        <f>MONTH(E2452)</f>
        <v/>
      </c>
      <c r="J2452" s="6">
        <f>K2452&amp;L2452</f>
        <v/>
      </c>
      <c r="K2452" s="6">
        <f>YEAR(M2452)</f>
        <v/>
      </c>
      <c r="L2452" s="6">
        <f>MONTH(M2452)</f>
        <v/>
      </c>
      <c r="R2452" s="6">
        <f>S2452&amp;T2452</f>
        <v/>
      </c>
      <c r="S2452" s="6">
        <f>YEAR(U2452)</f>
        <v/>
      </c>
      <c r="T2452" s="6">
        <f>MONTH(U2452)</f>
        <v/>
      </c>
      <c r="Z2452" s="6">
        <f>AA2452&amp;AB2452</f>
        <v/>
      </c>
      <c r="AA2452" s="6">
        <f>YEAR(AC2452)</f>
        <v/>
      </c>
      <c r="AB2452" s="6">
        <f>MONTH(AC2452)</f>
        <v/>
      </c>
      <c r="AC2452" s="267">
        <f>IFERROR(__xludf.DUMMYFUNCTION("""COMPUTED_VALUE"""),45604.9986111111)</f>
        <v/>
      </c>
      <c r="AD2452" s="6">
        <f>IFERROR(__xludf.DUMMYFUNCTION("""COMPUTED_VALUE"""),1397.2)</f>
        <v/>
      </c>
      <c r="AH2452" s="6">
        <f>AI2452&amp;AJ2452</f>
        <v/>
      </c>
      <c r="AI2452" s="6">
        <f>YEAR(AK2452)</f>
        <v/>
      </c>
      <c r="AJ2452" s="6">
        <f>MONTH(AK2452)</f>
        <v/>
      </c>
      <c r="AK2452" s="267">
        <f>IFERROR(__xludf.DUMMYFUNCTION("""COMPUTED_VALUE"""),45546.9986111111)</f>
        <v/>
      </c>
      <c r="AL2452" s="6">
        <f>IFERROR(__xludf.DUMMYFUNCTION("""COMPUTED_VALUE"""),56778.54)</f>
        <v/>
      </c>
      <c r="AP2452" s="6">
        <f>AQ2452&amp;AR2452</f>
        <v/>
      </c>
      <c r="AQ2452" s="6">
        <f>YEAR(AS2452)</f>
        <v/>
      </c>
      <c r="AR2452" s="6">
        <f>MONTH(AS2452)</f>
        <v/>
      </c>
    </row>
    <row r="2453">
      <c r="B2453" s="6">
        <f>C2453&amp;D2453</f>
        <v/>
      </c>
      <c r="C2453" s="6">
        <f>YEAR(E2453)</f>
        <v/>
      </c>
      <c r="D2453" s="6">
        <f>MONTH(E2453)</f>
        <v/>
      </c>
      <c r="J2453" s="6">
        <f>K2453&amp;L2453</f>
        <v/>
      </c>
      <c r="K2453" s="6">
        <f>YEAR(M2453)</f>
        <v/>
      </c>
      <c r="L2453" s="6">
        <f>MONTH(M2453)</f>
        <v/>
      </c>
      <c r="R2453" s="6">
        <f>S2453&amp;T2453</f>
        <v/>
      </c>
      <c r="S2453" s="6">
        <f>YEAR(U2453)</f>
        <v/>
      </c>
      <c r="T2453" s="6">
        <f>MONTH(U2453)</f>
        <v/>
      </c>
      <c r="Z2453" s="6">
        <f>AA2453&amp;AB2453</f>
        <v/>
      </c>
      <c r="AA2453" s="6">
        <f>YEAR(AC2453)</f>
        <v/>
      </c>
      <c r="AB2453" s="6">
        <f>MONTH(AC2453)</f>
        <v/>
      </c>
      <c r="AC2453" s="267">
        <f>IFERROR(__xludf.DUMMYFUNCTION("""COMPUTED_VALUE"""),45605.9986111111)</f>
        <v/>
      </c>
      <c r="AD2453" s="6">
        <f>IFERROR(__xludf.DUMMYFUNCTION("""COMPUTED_VALUE"""),1397.2)</f>
        <v/>
      </c>
      <c r="AH2453" s="6">
        <f>AI2453&amp;AJ2453</f>
        <v/>
      </c>
      <c r="AI2453" s="6">
        <f>YEAR(AK2453)</f>
        <v/>
      </c>
      <c r="AJ2453" s="6">
        <f>MONTH(AK2453)</f>
        <v/>
      </c>
      <c r="AK2453" s="267">
        <f>IFERROR(__xludf.DUMMYFUNCTION("""COMPUTED_VALUE"""),45547.9986111111)</f>
        <v/>
      </c>
      <c r="AL2453" s="6">
        <f>IFERROR(__xludf.DUMMYFUNCTION("""COMPUTED_VALUE"""),58084.02)</f>
        <v/>
      </c>
      <c r="AP2453" s="6">
        <f>AQ2453&amp;AR2453</f>
        <v/>
      </c>
      <c r="AQ2453" s="6">
        <f>YEAR(AS2453)</f>
        <v/>
      </c>
      <c r="AR2453" s="6">
        <f>MONTH(AS2453)</f>
        <v/>
      </c>
    </row>
    <row r="2454">
      <c r="B2454" s="6">
        <f>C2454&amp;D2454</f>
        <v/>
      </c>
      <c r="C2454" s="6">
        <f>YEAR(E2454)</f>
        <v/>
      </c>
      <c r="D2454" s="6">
        <f>MONTH(E2454)</f>
        <v/>
      </c>
      <c r="J2454" s="6">
        <f>K2454&amp;L2454</f>
        <v/>
      </c>
      <c r="K2454" s="6">
        <f>YEAR(M2454)</f>
        <v/>
      </c>
      <c r="L2454" s="6">
        <f>MONTH(M2454)</f>
        <v/>
      </c>
      <c r="R2454" s="6">
        <f>S2454&amp;T2454</f>
        <v/>
      </c>
      <c r="S2454" s="6">
        <f>YEAR(U2454)</f>
        <v/>
      </c>
      <c r="T2454" s="6">
        <f>MONTH(U2454)</f>
        <v/>
      </c>
      <c r="Z2454" s="6">
        <f>AA2454&amp;AB2454</f>
        <v/>
      </c>
      <c r="AA2454" s="6">
        <f>YEAR(AC2454)</f>
        <v/>
      </c>
      <c r="AB2454" s="6">
        <f>MONTH(AC2454)</f>
        <v/>
      </c>
      <c r="AC2454" s="267">
        <f>IFERROR(__xludf.DUMMYFUNCTION("""COMPUTED_VALUE"""),45606.9986111111)</f>
        <v/>
      </c>
      <c r="AD2454" s="6">
        <f>IFERROR(__xludf.DUMMYFUNCTION("""COMPUTED_VALUE"""),1397.2)</f>
        <v/>
      </c>
      <c r="AH2454" s="6">
        <f>AI2454&amp;AJ2454</f>
        <v/>
      </c>
      <c r="AI2454" s="6">
        <f>YEAR(AK2454)</f>
        <v/>
      </c>
      <c r="AJ2454" s="6">
        <f>MONTH(AK2454)</f>
        <v/>
      </c>
      <c r="AK2454" s="267">
        <f>IFERROR(__xludf.DUMMYFUNCTION("""COMPUTED_VALUE"""),45548.9986111111)</f>
        <v/>
      </c>
      <c r="AL2454" s="6">
        <f>IFERROR(__xludf.DUMMYFUNCTION("""COMPUTED_VALUE"""),57886.09)</f>
        <v/>
      </c>
      <c r="AP2454" s="6">
        <f>AQ2454&amp;AR2454</f>
        <v/>
      </c>
      <c r="AQ2454" s="6">
        <f>YEAR(AS2454)</f>
        <v/>
      </c>
      <c r="AR2454" s="6">
        <f>MONTH(AS2454)</f>
        <v/>
      </c>
    </row>
    <row r="2455">
      <c r="B2455" s="6">
        <f>C2455&amp;D2455</f>
        <v/>
      </c>
      <c r="C2455" s="6">
        <f>YEAR(E2455)</f>
        <v/>
      </c>
      <c r="D2455" s="6">
        <f>MONTH(E2455)</f>
        <v/>
      </c>
      <c r="J2455" s="6">
        <f>K2455&amp;L2455</f>
        <v/>
      </c>
      <c r="K2455" s="6">
        <f>YEAR(M2455)</f>
        <v/>
      </c>
      <c r="L2455" s="6">
        <f>MONTH(M2455)</f>
        <v/>
      </c>
      <c r="R2455" s="6">
        <f>S2455&amp;T2455</f>
        <v/>
      </c>
      <c r="S2455" s="6">
        <f>YEAR(U2455)</f>
        <v/>
      </c>
      <c r="T2455" s="6">
        <f>MONTH(U2455)</f>
        <v/>
      </c>
      <c r="Z2455" s="6">
        <f>AA2455&amp;AB2455</f>
        <v/>
      </c>
      <c r="AA2455" s="6">
        <f>YEAR(AC2455)</f>
        <v/>
      </c>
      <c r="AB2455" s="6">
        <f>MONTH(AC2455)</f>
        <v/>
      </c>
      <c r="AC2455" s="267">
        <f>IFERROR(__xludf.DUMMYFUNCTION("""COMPUTED_VALUE"""),45607.9986111111)</f>
        <v/>
      </c>
      <c r="AD2455" s="6">
        <f>IFERROR(__xludf.DUMMYFUNCTION("""COMPUTED_VALUE"""),1400.55)</f>
        <v/>
      </c>
      <c r="AH2455" s="6">
        <f>AI2455&amp;AJ2455</f>
        <v/>
      </c>
      <c r="AI2455" s="6">
        <f>YEAR(AK2455)</f>
        <v/>
      </c>
      <c r="AJ2455" s="6">
        <f>MONTH(AK2455)</f>
        <v/>
      </c>
      <c r="AK2455" s="267">
        <f>IFERROR(__xludf.DUMMYFUNCTION("""COMPUTED_VALUE"""),45549.9986111111)</f>
        <v/>
      </c>
      <c r="AL2455" s="6">
        <f>IFERROR(__xludf.DUMMYFUNCTION("""COMPUTED_VALUE"""),60382.43)</f>
        <v/>
      </c>
      <c r="AP2455" s="6">
        <f>AQ2455&amp;AR2455</f>
        <v/>
      </c>
      <c r="AQ2455" s="6">
        <f>YEAR(AS2455)</f>
        <v/>
      </c>
      <c r="AR2455" s="6">
        <f>MONTH(AS2455)</f>
        <v/>
      </c>
    </row>
    <row r="2456">
      <c r="B2456" s="6">
        <f>C2456&amp;D2456</f>
        <v/>
      </c>
      <c r="C2456" s="6">
        <f>YEAR(E2456)</f>
        <v/>
      </c>
      <c r="D2456" s="6">
        <f>MONTH(E2456)</f>
        <v/>
      </c>
      <c r="J2456" s="6">
        <f>K2456&amp;L2456</f>
        <v/>
      </c>
      <c r="K2456" s="6">
        <f>YEAR(M2456)</f>
        <v/>
      </c>
      <c r="L2456" s="6">
        <f>MONTH(M2456)</f>
        <v/>
      </c>
      <c r="R2456" s="6">
        <f>S2456&amp;T2456</f>
        <v/>
      </c>
      <c r="S2456" s="6">
        <f>YEAR(U2456)</f>
        <v/>
      </c>
      <c r="T2456" s="6">
        <f>MONTH(U2456)</f>
        <v/>
      </c>
      <c r="Z2456" s="6">
        <f>AA2456&amp;AB2456</f>
        <v/>
      </c>
      <c r="AA2456" s="6">
        <f>YEAR(AC2456)</f>
        <v/>
      </c>
      <c r="AB2456" s="6">
        <f>MONTH(AC2456)</f>
        <v/>
      </c>
      <c r="AC2456" s="267">
        <f>IFERROR(__xludf.DUMMYFUNCTION("""COMPUTED_VALUE"""),45608.9986111111)</f>
        <v/>
      </c>
      <c r="AD2456" s="6">
        <f>IFERROR(__xludf.DUMMYFUNCTION("""COMPUTED_VALUE"""),1406.65)</f>
        <v/>
      </c>
      <c r="AH2456" s="6">
        <f>AI2456&amp;AJ2456</f>
        <v/>
      </c>
      <c r="AI2456" s="6">
        <f>YEAR(AK2456)</f>
        <v/>
      </c>
      <c r="AJ2456" s="6">
        <f>MONTH(AK2456)</f>
        <v/>
      </c>
      <c r="AK2456" s="267">
        <f>IFERROR(__xludf.DUMMYFUNCTION("""COMPUTED_VALUE"""),45550.9986111111)</f>
        <v/>
      </c>
      <c r="AL2456" s="6">
        <f>IFERROR(__xludf.DUMMYFUNCTION("""COMPUTED_VALUE"""),60186.94)</f>
        <v/>
      </c>
      <c r="AP2456" s="6">
        <f>AQ2456&amp;AR2456</f>
        <v/>
      </c>
      <c r="AQ2456" s="6">
        <f>YEAR(AS2456)</f>
        <v/>
      </c>
      <c r="AR2456" s="6">
        <f>MONTH(AS2456)</f>
        <v/>
      </c>
    </row>
    <row r="2457">
      <c r="B2457" s="6">
        <f>C2457&amp;D2457</f>
        <v/>
      </c>
      <c r="C2457" s="6">
        <f>YEAR(E2457)</f>
        <v/>
      </c>
      <c r="D2457" s="6">
        <f>MONTH(E2457)</f>
        <v/>
      </c>
      <c r="J2457" s="6">
        <f>K2457&amp;L2457</f>
        <v/>
      </c>
      <c r="K2457" s="6">
        <f>YEAR(M2457)</f>
        <v/>
      </c>
      <c r="L2457" s="6">
        <f>MONTH(M2457)</f>
        <v/>
      </c>
      <c r="R2457" s="6">
        <f>S2457&amp;T2457</f>
        <v/>
      </c>
      <c r="S2457" s="6">
        <f>YEAR(U2457)</f>
        <v/>
      </c>
      <c r="T2457" s="6">
        <f>MONTH(U2457)</f>
        <v/>
      </c>
      <c r="Z2457" s="6">
        <f>AA2457&amp;AB2457</f>
        <v/>
      </c>
      <c r="AA2457" s="6">
        <f>YEAR(AC2457)</f>
        <v/>
      </c>
      <c r="AB2457" s="6">
        <f>MONTH(AC2457)</f>
        <v/>
      </c>
      <c r="AC2457" s="267">
        <f>IFERROR(__xludf.DUMMYFUNCTION("""COMPUTED_VALUE"""),45609.9986111111)</f>
        <v/>
      </c>
      <c r="AD2457" s="6">
        <f>IFERROR(__xludf.DUMMYFUNCTION("""COMPUTED_VALUE"""),1399)</f>
        <v/>
      </c>
      <c r="AH2457" s="6">
        <f>AI2457&amp;AJ2457</f>
        <v/>
      </c>
      <c r="AI2457" s="6">
        <f>YEAR(AK2457)</f>
        <v/>
      </c>
      <c r="AJ2457" s="6">
        <f>MONTH(AK2457)</f>
        <v/>
      </c>
      <c r="AK2457" s="267">
        <f>IFERROR(__xludf.DUMMYFUNCTION("""COMPUTED_VALUE"""),45551.9986111111)</f>
        <v/>
      </c>
      <c r="AL2457" s="6">
        <f>IFERROR(__xludf.DUMMYFUNCTION("""COMPUTED_VALUE"""),58582.38)</f>
        <v/>
      </c>
      <c r="AP2457" s="6">
        <f>AQ2457&amp;AR2457</f>
        <v/>
      </c>
      <c r="AQ2457" s="6">
        <f>YEAR(AS2457)</f>
        <v/>
      </c>
      <c r="AR2457" s="6">
        <f>MONTH(AS2457)</f>
        <v/>
      </c>
    </row>
    <row r="2458">
      <c r="B2458" s="6">
        <f>C2458&amp;D2458</f>
        <v/>
      </c>
      <c r="C2458" s="6">
        <f>YEAR(E2458)</f>
        <v/>
      </c>
      <c r="D2458" s="6">
        <f>MONTH(E2458)</f>
        <v/>
      </c>
      <c r="J2458" s="6">
        <f>K2458&amp;L2458</f>
        <v/>
      </c>
      <c r="K2458" s="6">
        <f>YEAR(M2458)</f>
        <v/>
      </c>
      <c r="L2458" s="6">
        <f>MONTH(M2458)</f>
        <v/>
      </c>
      <c r="R2458" s="6">
        <f>S2458&amp;T2458</f>
        <v/>
      </c>
      <c r="S2458" s="6">
        <f>YEAR(U2458)</f>
        <v/>
      </c>
      <c r="T2458" s="6">
        <f>MONTH(U2458)</f>
        <v/>
      </c>
      <c r="Z2458" s="6">
        <f>AA2458&amp;AB2458</f>
        <v/>
      </c>
      <c r="AA2458" s="6">
        <f>YEAR(AC2458)</f>
        <v/>
      </c>
      <c r="AB2458" s="6">
        <f>MONTH(AC2458)</f>
        <v/>
      </c>
      <c r="AC2458" s="267">
        <f>IFERROR(__xludf.DUMMYFUNCTION("""COMPUTED_VALUE"""),45610.9986111111)</f>
        <v/>
      </c>
      <c r="AD2458" s="6">
        <f>IFERROR(__xludf.DUMMYFUNCTION("""COMPUTED_VALUE"""),1400.83)</f>
        <v/>
      </c>
      <c r="AH2458" s="6">
        <f>AI2458&amp;AJ2458</f>
        <v/>
      </c>
      <c r="AI2458" s="6">
        <f>YEAR(AK2458)</f>
        <v/>
      </c>
      <c r="AJ2458" s="6">
        <f>MONTH(AK2458)</f>
        <v/>
      </c>
      <c r="AK2458" s="267">
        <f>IFERROR(__xludf.DUMMYFUNCTION("""COMPUTED_VALUE"""),45552.9986111111)</f>
        <v/>
      </c>
      <c r="AL2458" s="6">
        <f>IFERROR(__xludf.DUMMYFUNCTION("""COMPUTED_VALUE"""),58073.78)</f>
        <v/>
      </c>
      <c r="AP2458" s="6">
        <f>AQ2458&amp;AR2458</f>
        <v/>
      </c>
      <c r="AQ2458" s="6">
        <f>YEAR(AS2458)</f>
        <v/>
      </c>
      <c r="AR2458" s="6">
        <f>MONTH(AS2458)</f>
        <v/>
      </c>
    </row>
    <row r="2459">
      <c r="B2459" s="6">
        <f>C2459&amp;D2459</f>
        <v/>
      </c>
      <c r="C2459" s="6">
        <f>YEAR(E2459)</f>
        <v/>
      </c>
      <c r="D2459" s="6">
        <f>MONTH(E2459)</f>
        <v/>
      </c>
      <c r="J2459" s="6">
        <f>K2459&amp;L2459</f>
        <v/>
      </c>
      <c r="K2459" s="6">
        <f>YEAR(M2459)</f>
        <v/>
      </c>
      <c r="L2459" s="6">
        <f>MONTH(M2459)</f>
        <v/>
      </c>
      <c r="R2459" s="6">
        <f>S2459&amp;T2459</f>
        <v/>
      </c>
      <c r="S2459" s="6">
        <f>YEAR(U2459)</f>
        <v/>
      </c>
      <c r="T2459" s="6">
        <f>MONTH(U2459)</f>
        <v/>
      </c>
      <c r="Z2459" s="6">
        <f>AA2459&amp;AB2459</f>
        <v/>
      </c>
      <c r="AA2459" s="6">
        <f>YEAR(AC2459)</f>
        <v/>
      </c>
      <c r="AB2459" s="6">
        <f>MONTH(AC2459)</f>
        <v/>
      </c>
      <c r="AC2459" s="267">
        <f>IFERROR(__xludf.DUMMYFUNCTION("""COMPUTED_VALUE"""),45611.9986111111)</f>
        <v/>
      </c>
      <c r="AD2459" s="6">
        <f>IFERROR(__xludf.DUMMYFUNCTION("""COMPUTED_VALUE"""),1394.35)</f>
        <v/>
      </c>
      <c r="AH2459" s="6">
        <f>AI2459&amp;AJ2459</f>
        <v/>
      </c>
      <c r="AI2459" s="6">
        <f>YEAR(AK2459)</f>
        <v/>
      </c>
      <c r="AJ2459" s="6">
        <f>MONTH(AK2459)</f>
        <v/>
      </c>
      <c r="AK2459" s="267">
        <f>IFERROR(__xludf.DUMMYFUNCTION("""COMPUTED_VALUE"""),45553.9986111111)</f>
        <v/>
      </c>
      <c r="AL2459" s="6">
        <f>IFERROR(__xludf.DUMMYFUNCTION("""COMPUTED_VALUE"""),60545.42)</f>
        <v/>
      </c>
      <c r="AP2459" s="6">
        <f>AQ2459&amp;AR2459</f>
        <v/>
      </c>
      <c r="AQ2459" s="6">
        <f>YEAR(AS2459)</f>
        <v/>
      </c>
      <c r="AR2459" s="6">
        <f>MONTH(AS2459)</f>
        <v/>
      </c>
    </row>
    <row r="2460">
      <c r="B2460" s="6">
        <f>C2460&amp;D2460</f>
        <v/>
      </c>
      <c r="C2460" s="6">
        <f>YEAR(E2460)</f>
        <v/>
      </c>
      <c r="D2460" s="6">
        <f>MONTH(E2460)</f>
        <v/>
      </c>
      <c r="J2460" s="6">
        <f>K2460&amp;L2460</f>
        <v/>
      </c>
      <c r="K2460" s="6">
        <f>YEAR(M2460)</f>
        <v/>
      </c>
      <c r="L2460" s="6">
        <f>MONTH(M2460)</f>
        <v/>
      </c>
      <c r="R2460" s="6">
        <f>S2460&amp;T2460</f>
        <v/>
      </c>
      <c r="S2460" s="6">
        <f>YEAR(U2460)</f>
        <v/>
      </c>
      <c r="T2460" s="6">
        <f>MONTH(U2460)</f>
        <v/>
      </c>
      <c r="Z2460" s="6">
        <f>AA2460&amp;AB2460</f>
        <v/>
      </c>
      <c r="AA2460" s="6">
        <f>YEAR(AC2460)</f>
        <v/>
      </c>
      <c r="AB2460" s="6">
        <f>MONTH(AC2460)</f>
        <v/>
      </c>
      <c r="AC2460" s="267">
        <f>IFERROR(__xludf.DUMMYFUNCTION("""COMPUTED_VALUE"""),45612.9986111111)</f>
        <v/>
      </c>
      <c r="AD2460" s="6">
        <f>IFERROR(__xludf.DUMMYFUNCTION("""COMPUTED_VALUE"""),1394.35)</f>
        <v/>
      </c>
      <c r="AH2460" s="6">
        <f>AI2460&amp;AJ2460</f>
        <v/>
      </c>
      <c r="AI2460" s="6">
        <f>YEAR(AK2460)</f>
        <v/>
      </c>
      <c r="AJ2460" s="6">
        <f>MONTH(AK2460)</f>
        <v/>
      </c>
      <c r="AK2460" s="267">
        <f>IFERROR(__xludf.DUMMYFUNCTION("""COMPUTED_VALUE"""),45554.9986111111)</f>
        <v/>
      </c>
      <c r="AL2460" s="6">
        <f>IFERROR(__xludf.DUMMYFUNCTION("""COMPUTED_VALUE"""),62095.62)</f>
        <v/>
      </c>
      <c r="AP2460" s="6">
        <f>AQ2460&amp;AR2460</f>
        <v/>
      </c>
      <c r="AQ2460" s="6">
        <f>YEAR(AS2460)</f>
        <v/>
      </c>
      <c r="AR2460" s="6">
        <f>MONTH(AS2460)</f>
        <v/>
      </c>
    </row>
    <row r="2461">
      <c r="B2461" s="6">
        <f>C2461&amp;D2461</f>
        <v/>
      </c>
      <c r="C2461" s="6">
        <f>YEAR(E2461)</f>
        <v/>
      </c>
      <c r="D2461" s="6">
        <f>MONTH(E2461)</f>
        <v/>
      </c>
      <c r="J2461" s="6">
        <f>K2461&amp;L2461</f>
        <v/>
      </c>
      <c r="K2461" s="6">
        <f>YEAR(M2461)</f>
        <v/>
      </c>
      <c r="L2461" s="6">
        <f>MONTH(M2461)</f>
        <v/>
      </c>
      <c r="R2461" s="6">
        <f>S2461&amp;T2461</f>
        <v/>
      </c>
      <c r="S2461" s="6">
        <f>YEAR(U2461)</f>
        <v/>
      </c>
      <c r="T2461" s="6">
        <f>MONTH(U2461)</f>
        <v/>
      </c>
      <c r="Z2461" s="6">
        <f>AA2461&amp;AB2461</f>
        <v/>
      </c>
      <c r="AA2461" s="6">
        <f>YEAR(AC2461)</f>
        <v/>
      </c>
      <c r="AB2461" s="6">
        <f>MONTH(AC2461)</f>
        <v/>
      </c>
      <c r="AC2461" s="267">
        <f>IFERROR(__xludf.DUMMYFUNCTION("""COMPUTED_VALUE"""),45613.9986111111)</f>
        <v/>
      </c>
      <c r="AD2461" s="6">
        <f>IFERROR(__xludf.DUMMYFUNCTION("""COMPUTED_VALUE"""),1394.35)</f>
        <v/>
      </c>
      <c r="AH2461" s="6">
        <f>AI2461&amp;AJ2461</f>
        <v/>
      </c>
      <c r="AI2461" s="6">
        <f>YEAR(AK2461)</f>
        <v/>
      </c>
      <c r="AJ2461" s="6">
        <f>MONTH(AK2461)</f>
        <v/>
      </c>
      <c r="AK2461" s="267">
        <f>IFERROR(__xludf.DUMMYFUNCTION("""COMPUTED_VALUE"""),45555.9986111111)</f>
        <v/>
      </c>
      <c r="AL2461" s="6">
        <f>IFERROR(__xludf.DUMMYFUNCTION("""COMPUTED_VALUE"""),63671.56)</f>
        <v/>
      </c>
      <c r="AP2461" s="6">
        <f>AQ2461&amp;AR2461</f>
        <v/>
      </c>
      <c r="AQ2461" s="6">
        <f>YEAR(AS2461)</f>
        <v/>
      </c>
      <c r="AR2461" s="6">
        <f>MONTH(AS2461)</f>
        <v/>
      </c>
    </row>
    <row r="2462">
      <c r="B2462" s="6">
        <f>C2462&amp;D2462</f>
        <v/>
      </c>
      <c r="C2462" s="6">
        <f>YEAR(E2462)</f>
        <v/>
      </c>
      <c r="D2462" s="6">
        <f>MONTH(E2462)</f>
        <v/>
      </c>
      <c r="J2462" s="6">
        <f>K2462&amp;L2462</f>
        <v/>
      </c>
      <c r="K2462" s="6">
        <f>YEAR(M2462)</f>
        <v/>
      </c>
      <c r="L2462" s="6">
        <f>MONTH(M2462)</f>
        <v/>
      </c>
      <c r="R2462" s="6">
        <f>S2462&amp;T2462</f>
        <v/>
      </c>
      <c r="S2462" s="6">
        <f>YEAR(U2462)</f>
        <v/>
      </c>
      <c r="T2462" s="6">
        <f>MONTH(U2462)</f>
        <v/>
      </c>
      <c r="Z2462" s="6">
        <f>AA2462&amp;AB2462</f>
        <v/>
      </c>
      <c r="AA2462" s="6">
        <f>YEAR(AC2462)</f>
        <v/>
      </c>
      <c r="AB2462" s="6">
        <f>MONTH(AC2462)</f>
        <v/>
      </c>
      <c r="AC2462" s="267">
        <f>IFERROR(__xludf.DUMMYFUNCTION("""COMPUTED_VALUE"""),45614.9986111111)</f>
        <v/>
      </c>
      <c r="AD2462" s="6">
        <f>IFERROR(__xludf.DUMMYFUNCTION("""COMPUTED_VALUE"""),1389.5)</f>
        <v/>
      </c>
      <c r="AH2462" s="6">
        <f>AI2462&amp;AJ2462</f>
        <v/>
      </c>
      <c r="AI2462" s="6">
        <f>YEAR(AK2462)</f>
        <v/>
      </c>
      <c r="AJ2462" s="6">
        <f>MONTH(AK2462)</f>
        <v/>
      </c>
      <c r="AK2462" s="267">
        <f>IFERROR(__xludf.DUMMYFUNCTION("""COMPUTED_VALUE"""),45556.9986111111)</f>
        <v/>
      </c>
      <c r="AL2462" s="6">
        <f>IFERROR(__xludf.DUMMYFUNCTION("""COMPUTED_VALUE"""),62922.14)</f>
        <v/>
      </c>
      <c r="AP2462" s="6">
        <f>AQ2462&amp;AR2462</f>
        <v/>
      </c>
      <c r="AQ2462" s="6">
        <f>YEAR(AS2462)</f>
        <v/>
      </c>
      <c r="AR2462" s="6">
        <f>MONTH(AS2462)</f>
        <v/>
      </c>
    </row>
    <row r="2463">
      <c r="B2463" s="6">
        <f>C2463&amp;D2463</f>
        <v/>
      </c>
      <c r="C2463" s="6">
        <f>YEAR(E2463)</f>
        <v/>
      </c>
      <c r="D2463" s="6">
        <f>MONTH(E2463)</f>
        <v/>
      </c>
      <c r="J2463" s="6">
        <f>K2463&amp;L2463</f>
        <v/>
      </c>
      <c r="K2463" s="6">
        <f>YEAR(M2463)</f>
        <v/>
      </c>
      <c r="L2463" s="6">
        <f>MONTH(M2463)</f>
        <v/>
      </c>
      <c r="R2463" s="6">
        <f>S2463&amp;T2463</f>
        <v/>
      </c>
      <c r="S2463" s="6">
        <f>YEAR(U2463)</f>
        <v/>
      </c>
      <c r="T2463" s="6">
        <f>MONTH(U2463)</f>
        <v/>
      </c>
      <c r="Z2463" s="6">
        <f>AA2463&amp;AB2463</f>
        <v/>
      </c>
      <c r="AA2463" s="6">
        <f>YEAR(AC2463)</f>
        <v/>
      </c>
      <c r="AB2463" s="6">
        <f>MONTH(AC2463)</f>
        <v/>
      </c>
      <c r="AC2463" s="267">
        <f>IFERROR(__xludf.DUMMYFUNCTION("""COMPUTED_VALUE"""),45615.9986111111)</f>
        <v/>
      </c>
      <c r="AD2463" s="6">
        <f>IFERROR(__xludf.DUMMYFUNCTION("""COMPUTED_VALUE"""),1392.16)</f>
        <v/>
      </c>
      <c r="AH2463" s="6">
        <f>AI2463&amp;AJ2463</f>
        <v/>
      </c>
      <c r="AI2463" s="6">
        <f>YEAR(AK2463)</f>
        <v/>
      </c>
      <c r="AJ2463" s="6">
        <f>MONTH(AK2463)</f>
        <v/>
      </c>
      <c r="AK2463" s="267">
        <f>IFERROR(__xludf.DUMMYFUNCTION("""COMPUTED_VALUE"""),45557.9986111111)</f>
        <v/>
      </c>
      <c r="AL2463" s="6">
        <f>IFERROR(__xludf.DUMMYFUNCTION("""COMPUTED_VALUE"""),63140.06)</f>
        <v/>
      </c>
      <c r="AP2463" s="6">
        <f>AQ2463&amp;AR2463</f>
        <v/>
      </c>
      <c r="AQ2463" s="6">
        <f>YEAR(AS2463)</f>
        <v/>
      </c>
      <c r="AR2463" s="6">
        <f>MONTH(AS2463)</f>
        <v/>
      </c>
    </row>
    <row r="2464">
      <c r="B2464" s="6">
        <f>C2464&amp;D2464</f>
        <v/>
      </c>
      <c r="C2464" s="6">
        <f>YEAR(E2464)</f>
        <v/>
      </c>
      <c r="D2464" s="6">
        <f>MONTH(E2464)</f>
        <v/>
      </c>
      <c r="J2464" s="6">
        <f>K2464&amp;L2464</f>
        <v/>
      </c>
      <c r="K2464" s="6">
        <f>YEAR(M2464)</f>
        <v/>
      </c>
      <c r="L2464" s="6">
        <f>MONTH(M2464)</f>
        <v/>
      </c>
      <c r="R2464" s="6">
        <f>S2464&amp;T2464</f>
        <v/>
      </c>
      <c r="S2464" s="6">
        <f>YEAR(U2464)</f>
        <v/>
      </c>
      <c r="T2464" s="6">
        <f>MONTH(U2464)</f>
        <v/>
      </c>
      <c r="Z2464" s="6">
        <f>AA2464&amp;AB2464</f>
        <v/>
      </c>
      <c r="AA2464" s="6">
        <f>YEAR(AC2464)</f>
        <v/>
      </c>
      <c r="AB2464" s="6">
        <f>MONTH(AC2464)</f>
        <v/>
      </c>
      <c r="AC2464" s="267">
        <f>IFERROR(__xludf.DUMMYFUNCTION("""COMPUTED_VALUE"""),45616.9986111111)</f>
        <v/>
      </c>
      <c r="AD2464" s="6">
        <f>IFERROR(__xludf.DUMMYFUNCTION("""COMPUTED_VALUE"""),1397.62)</f>
        <v/>
      </c>
      <c r="AH2464" s="6">
        <f>AI2464&amp;AJ2464</f>
        <v/>
      </c>
      <c r="AI2464" s="6">
        <f>YEAR(AK2464)</f>
        <v/>
      </c>
      <c r="AJ2464" s="6">
        <f>MONTH(AK2464)</f>
        <v/>
      </c>
      <c r="AK2464" s="267">
        <f>IFERROR(__xludf.DUMMYFUNCTION("""COMPUTED_VALUE"""),45558.9986111111)</f>
        <v/>
      </c>
      <c r="AL2464" s="6">
        <f>IFERROR(__xludf.DUMMYFUNCTION("""COMPUTED_VALUE"""),64343.49)</f>
        <v/>
      </c>
      <c r="AP2464" s="6">
        <f>AQ2464&amp;AR2464</f>
        <v/>
      </c>
      <c r="AQ2464" s="6">
        <f>YEAR(AS2464)</f>
        <v/>
      </c>
      <c r="AR2464" s="6">
        <f>MONTH(AS2464)</f>
        <v/>
      </c>
    </row>
    <row r="2465">
      <c r="B2465" s="6">
        <f>C2465&amp;D2465</f>
        <v/>
      </c>
      <c r="C2465" s="6">
        <f>YEAR(E2465)</f>
        <v/>
      </c>
      <c r="D2465" s="6">
        <f>MONTH(E2465)</f>
        <v/>
      </c>
      <c r="J2465" s="6">
        <f>K2465&amp;L2465</f>
        <v/>
      </c>
      <c r="K2465" s="6">
        <f>YEAR(M2465)</f>
        <v/>
      </c>
      <c r="L2465" s="6">
        <f>MONTH(M2465)</f>
        <v/>
      </c>
      <c r="R2465" s="6">
        <f>S2465&amp;T2465</f>
        <v/>
      </c>
      <c r="S2465" s="6">
        <f>YEAR(U2465)</f>
        <v/>
      </c>
      <c r="T2465" s="6">
        <f>MONTH(U2465)</f>
        <v/>
      </c>
      <c r="Z2465" s="6">
        <f>AA2465&amp;AB2465</f>
        <v/>
      </c>
      <c r="AA2465" s="6">
        <f>YEAR(AC2465)</f>
        <v/>
      </c>
      <c r="AB2465" s="6">
        <f>MONTH(AC2465)</f>
        <v/>
      </c>
      <c r="AC2465" s="267">
        <f>IFERROR(__xludf.DUMMYFUNCTION("""COMPUTED_VALUE"""),45617.9986111111)</f>
        <v/>
      </c>
      <c r="AD2465" s="6">
        <f>IFERROR(__xludf.DUMMYFUNCTION("""COMPUTED_VALUE"""),1399.6)</f>
        <v/>
      </c>
      <c r="AH2465" s="6">
        <f>AI2465&amp;AJ2465</f>
        <v/>
      </c>
      <c r="AI2465" s="6">
        <f>YEAR(AK2465)</f>
        <v/>
      </c>
      <c r="AJ2465" s="6">
        <f>MONTH(AK2465)</f>
        <v/>
      </c>
      <c r="AK2465" s="267">
        <f>IFERROR(__xludf.DUMMYFUNCTION("""COMPUTED_VALUE"""),45559.9986111111)</f>
        <v/>
      </c>
      <c r="AL2465" s="6">
        <f>IFERROR(__xludf.DUMMYFUNCTION("""COMPUTED_VALUE"""),63130.39)</f>
        <v/>
      </c>
      <c r="AP2465" s="6">
        <f>AQ2465&amp;AR2465</f>
        <v/>
      </c>
      <c r="AQ2465" s="6">
        <f>YEAR(AS2465)</f>
        <v/>
      </c>
      <c r="AR2465" s="6">
        <f>MONTH(AS2465)</f>
        <v/>
      </c>
    </row>
    <row r="2466">
      <c r="B2466" s="6">
        <f>C2466&amp;D2466</f>
        <v/>
      </c>
      <c r="C2466" s="6">
        <f>YEAR(E2466)</f>
        <v/>
      </c>
      <c r="D2466" s="6">
        <f>MONTH(E2466)</f>
        <v/>
      </c>
      <c r="J2466" s="6">
        <f>K2466&amp;L2466</f>
        <v/>
      </c>
      <c r="K2466" s="6">
        <f>YEAR(M2466)</f>
        <v/>
      </c>
      <c r="L2466" s="6">
        <f>MONTH(M2466)</f>
        <v/>
      </c>
      <c r="R2466" s="6">
        <f>S2466&amp;T2466</f>
        <v/>
      </c>
      <c r="S2466" s="6">
        <f>YEAR(U2466)</f>
        <v/>
      </c>
      <c r="T2466" s="6">
        <f>MONTH(U2466)</f>
        <v/>
      </c>
      <c r="Z2466" s="6">
        <f>AA2466&amp;AB2466</f>
        <v/>
      </c>
      <c r="AA2466" s="6">
        <f>YEAR(AC2466)</f>
        <v/>
      </c>
      <c r="AB2466" s="6">
        <f>MONTH(AC2466)</f>
        <v/>
      </c>
      <c r="AC2466" s="267">
        <f>IFERROR(__xludf.DUMMYFUNCTION("""COMPUTED_VALUE"""),45618.9986111111)</f>
        <v/>
      </c>
      <c r="AD2466" s="6">
        <f>IFERROR(__xludf.DUMMYFUNCTION("""COMPUTED_VALUE"""),1403.51)</f>
        <v/>
      </c>
      <c r="AH2466" s="6">
        <f>AI2466&amp;AJ2466</f>
        <v/>
      </c>
      <c r="AI2466" s="6">
        <f>YEAR(AK2466)</f>
        <v/>
      </c>
      <c r="AJ2466" s="6">
        <f>MONTH(AK2466)</f>
        <v/>
      </c>
      <c r="AK2466" s="267">
        <f>IFERROR(__xludf.DUMMYFUNCTION("""COMPUTED_VALUE"""),45560.9986111111)</f>
        <v/>
      </c>
      <c r="AL2466" s="6">
        <f>IFERROR(__xludf.DUMMYFUNCTION("""COMPUTED_VALUE"""),64450.64)</f>
        <v/>
      </c>
      <c r="AP2466" s="6">
        <f>AQ2466&amp;AR2466</f>
        <v/>
      </c>
      <c r="AQ2466" s="6">
        <f>YEAR(AS2466)</f>
        <v/>
      </c>
      <c r="AR2466" s="6">
        <f>MONTH(AS2466)</f>
        <v/>
      </c>
    </row>
    <row r="2467">
      <c r="B2467" s="6">
        <f>C2467&amp;D2467</f>
        <v/>
      </c>
      <c r="C2467" s="6">
        <f>YEAR(E2467)</f>
        <v/>
      </c>
      <c r="D2467" s="6">
        <f>MONTH(E2467)</f>
        <v/>
      </c>
      <c r="J2467" s="6">
        <f>K2467&amp;L2467</f>
        <v/>
      </c>
      <c r="K2467" s="6">
        <f>YEAR(M2467)</f>
        <v/>
      </c>
      <c r="L2467" s="6">
        <f>MONTH(M2467)</f>
        <v/>
      </c>
      <c r="R2467" s="6">
        <f>S2467&amp;T2467</f>
        <v/>
      </c>
      <c r="S2467" s="6">
        <f>YEAR(U2467)</f>
        <v/>
      </c>
      <c r="T2467" s="6">
        <f>MONTH(U2467)</f>
        <v/>
      </c>
      <c r="Z2467" s="6">
        <f>AA2467&amp;AB2467</f>
        <v/>
      </c>
      <c r="AA2467" s="6">
        <f>YEAR(AC2467)</f>
        <v/>
      </c>
      <c r="AB2467" s="6">
        <f>MONTH(AC2467)</f>
        <v/>
      </c>
      <c r="AC2467" s="267">
        <f>IFERROR(__xludf.DUMMYFUNCTION("""COMPUTED_VALUE"""),45619.9986111111)</f>
        <v/>
      </c>
      <c r="AD2467" s="6">
        <f>IFERROR(__xludf.DUMMYFUNCTION("""COMPUTED_VALUE"""),1403.51)</f>
        <v/>
      </c>
      <c r="AH2467" s="6">
        <f>AI2467&amp;AJ2467</f>
        <v/>
      </c>
      <c r="AI2467" s="6">
        <f>YEAR(AK2467)</f>
        <v/>
      </c>
      <c r="AJ2467" s="6">
        <f>MONTH(AK2467)</f>
        <v/>
      </c>
      <c r="AK2467" s="267">
        <f>IFERROR(__xludf.DUMMYFUNCTION("""COMPUTED_VALUE"""),45561.9986111111)</f>
        <v/>
      </c>
      <c r="AL2467" s="6">
        <f>IFERROR(__xludf.DUMMYFUNCTION("""COMPUTED_VALUE"""),63495.91)</f>
        <v/>
      </c>
      <c r="AP2467" s="6">
        <f>AQ2467&amp;AR2467</f>
        <v/>
      </c>
      <c r="AQ2467" s="6">
        <f>YEAR(AS2467)</f>
        <v/>
      </c>
      <c r="AR2467" s="6">
        <f>MONTH(AS2467)</f>
        <v/>
      </c>
    </row>
    <row r="2468">
      <c r="B2468" s="6">
        <f>C2468&amp;D2468</f>
        <v/>
      </c>
      <c r="C2468" s="6">
        <f>YEAR(E2468)</f>
        <v/>
      </c>
      <c r="D2468" s="6">
        <f>MONTH(E2468)</f>
        <v/>
      </c>
      <c r="J2468" s="6">
        <f>K2468&amp;L2468</f>
        <v/>
      </c>
      <c r="K2468" s="6">
        <f>YEAR(M2468)</f>
        <v/>
      </c>
      <c r="L2468" s="6">
        <f>MONTH(M2468)</f>
        <v/>
      </c>
      <c r="R2468" s="6">
        <f>S2468&amp;T2468</f>
        <v/>
      </c>
      <c r="S2468" s="6">
        <f>YEAR(U2468)</f>
        <v/>
      </c>
      <c r="T2468" s="6">
        <f>MONTH(U2468)</f>
        <v/>
      </c>
      <c r="Z2468" s="6">
        <f>AA2468&amp;AB2468</f>
        <v/>
      </c>
      <c r="AA2468" s="6">
        <f>YEAR(AC2468)</f>
        <v/>
      </c>
      <c r="AB2468" s="6">
        <f>MONTH(AC2468)</f>
        <v/>
      </c>
      <c r="AC2468" s="267">
        <f>IFERROR(__xludf.DUMMYFUNCTION("""COMPUTED_VALUE"""),45620.9986111111)</f>
        <v/>
      </c>
      <c r="AD2468" s="6">
        <f>IFERROR(__xludf.DUMMYFUNCTION("""COMPUTED_VALUE"""),1403.51)</f>
        <v/>
      </c>
      <c r="AH2468" s="6">
        <f>AI2468&amp;AJ2468</f>
        <v/>
      </c>
      <c r="AI2468" s="6">
        <f>YEAR(AK2468)</f>
        <v/>
      </c>
      <c r="AJ2468" s="6">
        <f>MONTH(AK2468)</f>
        <v/>
      </c>
      <c r="AK2468" s="267">
        <f>IFERROR(__xludf.DUMMYFUNCTION("""COMPUTED_VALUE"""),45562.9986111111)</f>
        <v/>
      </c>
      <c r="AL2468" s="6">
        <f>IFERROR(__xludf.DUMMYFUNCTION("""COMPUTED_VALUE"""),65390.85)</f>
        <v/>
      </c>
      <c r="AP2468" s="6">
        <f>AQ2468&amp;AR2468</f>
        <v/>
      </c>
      <c r="AQ2468" s="6">
        <f>YEAR(AS2468)</f>
        <v/>
      </c>
      <c r="AR2468" s="6">
        <f>MONTH(AS2468)</f>
        <v/>
      </c>
    </row>
    <row r="2469">
      <c r="B2469" s="6">
        <f>C2469&amp;D2469</f>
        <v/>
      </c>
      <c r="C2469" s="6">
        <f>YEAR(E2469)</f>
        <v/>
      </c>
      <c r="D2469" s="6">
        <f>MONTH(E2469)</f>
        <v/>
      </c>
      <c r="J2469" s="6">
        <f>K2469&amp;L2469</f>
        <v/>
      </c>
      <c r="K2469" s="6">
        <f>YEAR(M2469)</f>
        <v/>
      </c>
      <c r="L2469" s="6">
        <f>MONTH(M2469)</f>
        <v/>
      </c>
      <c r="R2469" s="6">
        <f>S2469&amp;T2469</f>
        <v/>
      </c>
      <c r="S2469" s="6">
        <f>YEAR(U2469)</f>
        <v/>
      </c>
      <c r="T2469" s="6">
        <f>MONTH(U2469)</f>
        <v/>
      </c>
      <c r="Z2469" s="6">
        <f>AA2469&amp;AB2469</f>
        <v/>
      </c>
      <c r="AA2469" s="6">
        <f>YEAR(AC2469)</f>
        <v/>
      </c>
      <c r="AB2469" s="6">
        <f>MONTH(AC2469)</f>
        <v/>
      </c>
      <c r="AC2469" s="267">
        <f>IFERROR(__xludf.DUMMYFUNCTION("""COMPUTED_VALUE"""),45621.9986111111)</f>
        <v/>
      </c>
      <c r="AD2469" s="6">
        <f>IFERROR(__xludf.DUMMYFUNCTION("""COMPUTED_VALUE"""),1395.56)</f>
        <v/>
      </c>
      <c r="AH2469" s="6">
        <f>AI2469&amp;AJ2469</f>
        <v/>
      </c>
      <c r="AI2469" s="6">
        <f>YEAR(AK2469)</f>
        <v/>
      </c>
      <c r="AJ2469" s="6">
        <f>MONTH(AK2469)</f>
        <v/>
      </c>
      <c r="AK2469" s="267">
        <f>IFERROR(__xludf.DUMMYFUNCTION("""COMPUTED_VALUE"""),45563.9986111111)</f>
        <v/>
      </c>
      <c r="AL2469" s="6">
        <f>IFERROR(__xludf.DUMMYFUNCTION("""COMPUTED_VALUE"""),66096.32)</f>
        <v/>
      </c>
      <c r="AP2469" s="6">
        <f>AQ2469&amp;AR2469</f>
        <v/>
      </c>
      <c r="AQ2469" s="6">
        <f>YEAR(AS2469)</f>
        <v/>
      </c>
      <c r="AR2469" s="6">
        <f>MONTH(AS2469)</f>
        <v/>
      </c>
    </row>
    <row r="2470">
      <c r="B2470" s="6">
        <f>C2470&amp;D2470</f>
        <v/>
      </c>
      <c r="C2470" s="6">
        <f>YEAR(E2470)</f>
        <v/>
      </c>
      <c r="D2470" s="6">
        <f>MONTH(E2470)</f>
        <v/>
      </c>
      <c r="J2470" s="6">
        <f>K2470&amp;L2470</f>
        <v/>
      </c>
      <c r="K2470" s="6">
        <f>YEAR(M2470)</f>
        <v/>
      </c>
      <c r="L2470" s="6">
        <f>MONTH(M2470)</f>
        <v/>
      </c>
      <c r="R2470" s="6">
        <f>S2470&amp;T2470</f>
        <v/>
      </c>
      <c r="S2470" s="6">
        <f>YEAR(U2470)</f>
        <v/>
      </c>
      <c r="T2470" s="6">
        <f>MONTH(U2470)</f>
        <v/>
      </c>
      <c r="Z2470" s="6">
        <f>AA2470&amp;AB2470</f>
        <v/>
      </c>
      <c r="AA2470" s="6">
        <f>YEAR(AC2470)</f>
        <v/>
      </c>
      <c r="AB2470" s="6">
        <f>MONTH(AC2470)</f>
        <v/>
      </c>
      <c r="AC2470" s="267">
        <f>IFERROR(__xludf.DUMMYFUNCTION("""COMPUTED_VALUE"""),45622.9986111111)</f>
        <v/>
      </c>
      <c r="AD2470" s="6">
        <f>IFERROR(__xludf.DUMMYFUNCTION("""COMPUTED_VALUE"""),1395.27)</f>
        <v/>
      </c>
      <c r="AH2470" s="6">
        <f>AI2470&amp;AJ2470</f>
        <v/>
      </c>
      <c r="AI2470" s="6">
        <f>YEAR(AK2470)</f>
        <v/>
      </c>
      <c r="AJ2470" s="6">
        <f>MONTH(AK2470)</f>
        <v/>
      </c>
      <c r="AK2470" s="267">
        <f>IFERROR(__xludf.DUMMYFUNCTION("""COMPUTED_VALUE"""),45564.9986111111)</f>
        <v/>
      </c>
      <c r="AL2470" s="6">
        <f>IFERROR(__xludf.DUMMYFUNCTION("""COMPUTED_VALUE"""),65848.43)</f>
        <v/>
      </c>
      <c r="AP2470" s="6">
        <f>AQ2470&amp;AR2470</f>
        <v/>
      </c>
      <c r="AQ2470" s="6">
        <f>YEAR(AS2470)</f>
        <v/>
      </c>
      <c r="AR2470" s="6">
        <f>MONTH(AS2470)</f>
        <v/>
      </c>
    </row>
    <row r="2471">
      <c r="B2471" s="6">
        <f>C2471&amp;D2471</f>
        <v/>
      </c>
      <c r="C2471" s="6">
        <f>YEAR(E2471)</f>
        <v/>
      </c>
      <c r="D2471" s="6">
        <f>MONTH(E2471)</f>
        <v/>
      </c>
      <c r="J2471" s="6">
        <f>K2471&amp;L2471</f>
        <v/>
      </c>
      <c r="K2471" s="6">
        <f>YEAR(M2471)</f>
        <v/>
      </c>
      <c r="L2471" s="6">
        <f>MONTH(M2471)</f>
        <v/>
      </c>
      <c r="R2471" s="6">
        <f>S2471&amp;T2471</f>
        <v/>
      </c>
      <c r="S2471" s="6">
        <f>YEAR(U2471)</f>
        <v/>
      </c>
      <c r="T2471" s="6">
        <f>MONTH(U2471)</f>
        <v/>
      </c>
      <c r="Z2471" s="6">
        <f>AA2471&amp;AB2471</f>
        <v/>
      </c>
      <c r="AA2471" s="6">
        <f>YEAR(AC2471)</f>
        <v/>
      </c>
      <c r="AB2471" s="6">
        <f>MONTH(AC2471)</f>
        <v/>
      </c>
      <c r="AC2471" s="267">
        <f>IFERROR(__xludf.DUMMYFUNCTION("""COMPUTED_VALUE"""),45623.9986111111)</f>
        <v/>
      </c>
      <c r="AD2471" s="6">
        <f>IFERROR(__xludf.DUMMYFUNCTION("""COMPUTED_VALUE"""),1388.47)</f>
        <v/>
      </c>
      <c r="AH2471" s="6">
        <f>AI2471&amp;AJ2471</f>
        <v/>
      </c>
      <c r="AI2471" s="6">
        <f>YEAR(AK2471)</f>
        <v/>
      </c>
      <c r="AJ2471" s="6">
        <f>MONTH(AK2471)</f>
        <v/>
      </c>
      <c r="AK2471" s="267">
        <f>IFERROR(__xludf.DUMMYFUNCTION("""COMPUTED_VALUE"""),45565.9986111111)</f>
        <v/>
      </c>
      <c r="AL2471" s="6">
        <f>IFERROR(__xludf.DUMMYFUNCTION("""COMPUTED_VALUE"""),64544.22)</f>
        <v/>
      </c>
      <c r="AP2471" s="6">
        <f>AQ2471&amp;AR2471</f>
        <v/>
      </c>
      <c r="AQ2471" s="6">
        <f>YEAR(AS2471)</f>
        <v/>
      </c>
      <c r="AR2471" s="6">
        <f>MONTH(AS2471)</f>
        <v/>
      </c>
    </row>
    <row r="2472">
      <c r="B2472" s="6">
        <f>C2472&amp;D2472</f>
        <v/>
      </c>
      <c r="C2472" s="6">
        <f>YEAR(E2472)</f>
        <v/>
      </c>
      <c r="D2472" s="6">
        <f>MONTH(E2472)</f>
        <v/>
      </c>
      <c r="J2472" s="6">
        <f>K2472&amp;L2472</f>
        <v/>
      </c>
      <c r="K2472" s="6">
        <f>YEAR(M2472)</f>
        <v/>
      </c>
      <c r="L2472" s="6">
        <f>MONTH(M2472)</f>
        <v/>
      </c>
      <c r="R2472" s="6">
        <f>S2472&amp;T2472</f>
        <v/>
      </c>
      <c r="S2472" s="6">
        <f>YEAR(U2472)</f>
        <v/>
      </c>
      <c r="T2472" s="6">
        <f>MONTH(U2472)</f>
        <v/>
      </c>
      <c r="Z2472" s="6">
        <f>AA2472&amp;AB2472</f>
        <v/>
      </c>
      <c r="AA2472" s="6">
        <f>YEAR(AC2472)</f>
        <v/>
      </c>
      <c r="AB2472" s="6">
        <f>MONTH(AC2472)</f>
        <v/>
      </c>
      <c r="AC2472" s="267">
        <f>IFERROR(__xludf.DUMMYFUNCTION("""COMPUTED_VALUE"""),45624.9986111111)</f>
        <v/>
      </c>
      <c r="AD2472" s="6">
        <f>IFERROR(__xludf.DUMMYFUNCTION("""COMPUTED_VALUE"""),1393.3)</f>
        <v/>
      </c>
      <c r="AH2472" s="6">
        <f>AI2472&amp;AJ2472</f>
        <v/>
      </c>
      <c r="AI2472" s="6">
        <f>YEAR(AK2472)</f>
        <v/>
      </c>
      <c r="AJ2472" s="6">
        <f>MONTH(AK2472)</f>
        <v/>
      </c>
      <c r="AK2472" s="267">
        <f>IFERROR(__xludf.DUMMYFUNCTION("""COMPUTED_VALUE"""),45566.9986111111)</f>
        <v/>
      </c>
      <c r="AL2472" s="6">
        <f>IFERROR(__xludf.DUMMYFUNCTION("""COMPUTED_VALUE"""),63711.69)</f>
        <v/>
      </c>
      <c r="AP2472" s="6">
        <f>AQ2472&amp;AR2472</f>
        <v/>
      </c>
      <c r="AQ2472" s="6">
        <f>YEAR(AS2472)</f>
        <v/>
      </c>
      <c r="AR2472" s="6">
        <f>MONTH(AS2472)</f>
        <v/>
      </c>
    </row>
    <row r="2473">
      <c r="B2473" s="6">
        <f>C2473&amp;D2473</f>
        <v/>
      </c>
      <c r="C2473" s="6">
        <f>YEAR(E2473)</f>
        <v/>
      </c>
      <c r="D2473" s="6">
        <f>MONTH(E2473)</f>
        <v/>
      </c>
      <c r="J2473" s="6">
        <f>K2473&amp;L2473</f>
        <v/>
      </c>
      <c r="K2473" s="6">
        <f>YEAR(M2473)</f>
        <v/>
      </c>
      <c r="L2473" s="6">
        <f>MONTH(M2473)</f>
        <v/>
      </c>
      <c r="R2473" s="6">
        <f>S2473&amp;T2473</f>
        <v/>
      </c>
      <c r="S2473" s="6">
        <f>YEAR(U2473)</f>
        <v/>
      </c>
      <c r="T2473" s="6">
        <f>MONTH(U2473)</f>
        <v/>
      </c>
      <c r="Z2473" s="6">
        <f>AA2473&amp;AB2473</f>
        <v/>
      </c>
      <c r="AA2473" s="6">
        <f>YEAR(AC2473)</f>
        <v/>
      </c>
      <c r="AB2473" s="6">
        <f>MONTH(AC2473)</f>
        <v/>
      </c>
      <c r="AC2473" s="267">
        <f>IFERROR(__xludf.DUMMYFUNCTION("""COMPUTED_VALUE"""),45625.9986111111)</f>
        <v/>
      </c>
      <c r="AD2473" s="6">
        <f>IFERROR(__xludf.DUMMYFUNCTION("""COMPUTED_VALUE"""),1399.86)</f>
        <v/>
      </c>
      <c r="AH2473" s="6">
        <f>AI2473&amp;AJ2473</f>
        <v/>
      </c>
      <c r="AI2473" s="6">
        <f>YEAR(AK2473)</f>
        <v/>
      </c>
      <c r="AJ2473" s="6">
        <f>MONTH(AK2473)</f>
        <v/>
      </c>
      <c r="AK2473" s="267">
        <f>IFERROR(__xludf.DUMMYFUNCTION("""COMPUTED_VALUE"""),45567.9986111111)</f>
        <v/>
      </c>
      <c r="AL2473" s="6">
        <f>IFERROR(__xludf.DUMMYFUNCTION("""COMPUTED_VALUE"""),61781.73)</f>
        <v/>
      </c>
      <c r="AP2473" s="6">
        <f>AQ2473&amp;AR2473</f>
        <v/>
      </c>
      <c r="AQ2473" s="6">
        <f>YEAR(AS2473)</f>
        <v/>
      </c>
      <c r="AR2473" s="6">
        <f>MONTH(AS2473)</f>
        <v/>
      </c>
    </row>
    <row r="2474">
      <c r="B2474" s="6">
        <f>C2474&amp;D2474</f>
        <v/>
      </c>
      <c r="C2474" s="6">
        <f>YEAR(E2474)</f>
        <v/>
      </c>
      <c r="D2474" s="6">
        <f>MONTH(E2474)</f>
        <v/>
      </c>
      <c r="J2474" s="6">
        <f>K2474&amp;L2474</f>
        <v/>
      </c>
      <c r="K2474" s="6">
        <f>YEAR(M2474)</f>
        <v/>
      </c>
      <c r="L2474" s="6">
        <f>MONTH(M2474)</f>
        <v/>
      </c>
      <c r="R2474" s="6">
        <f>S2474&amp;T2474</f>
        <v/>
      </c>
      <c r="S2474" s="6">
        <f>YEAR(U2474)</f>
        <v/>
      </c>
      <c r="T2474" s="6">
        <f>MONTH(U2474)</f>
        <v/>
      </c>
      <c r="Z2474" s="6">
        <f>AA2474&amp;AB2474</f>
        <v/>
      </c>
      <c r="AA2474" s="6">
        <f>YEAR(AC2474)</f>
        <v/>
      </c>
      <c r="AB2474" s="6">
        <f>MONTH(AC2474)</f>
        <v/>
      </c>
      <c r="AC2474" s="267">
        <f>IFERROR(__xludf.DUMMYFUNCTION("""COMPUTED_VALUE"""),45626.9986111111)</f>
        <v/>
      </c>
      <c r="AD2474" s="6">
        <f>IFERROR(__xludf.DUMMYFUNCTION("""COMPUTED_VALUE"""),1399.86)</f>
        <v/>
      </c>
      <c r="AH2474" s="6">
        <f>AI2474&amp;AJ2474</f>
        <v/>
      </c>
      <c r="AI2474" s="6">
        <f>YEAR(AK2474)</f>
        <v/>
      </c>
      <c r="AJ2474" s="6">
        <f>MONTH(AK2474)</f>
        <v/>
      </c>
      <c r="AK2474" s="267">
        <f>IFERROR(__xludf.DUMMYFUNCTION("""COMPUTED_VALUE"""),45568.9986111111)</f>
        <v/>
      </c>
      <c r="AL2474" s="6">
        <f>IFERROR(__xludf.DUMMYFUNCTION("""COMPUTED_VALUE"""),61441.14)</f>
        <v/>
      </c>
      <c r="AP2474" s="6">
        <f>AQ2474&amp;AR2474</f>
        <v/>
      </c>
      <c r="AQ2474" s="6">
        <f>YEAR(AS2474)</f>
        <v/>
      </c>
      <c r="AR2474" s="6">
        <f>MONTH(AS2474)</f>
        <v/>
      </c>
    </row>
    <row r="2475">
      <c r="B2475" s="6">
        <f>C2475&amp;D2475</f>
        <v/>
      </c>
      <c r="C2475" s="6">
        <f>YEAR(E2475)</f>
        <v/>
      </c>
      <c r="D2475" s="6">
        <f>MONTH(E2475)</f>
        <v/>
      </c>
      <c r="J2475" s="6">
        <f>K2475&amp;L2475</f>
        <v/>
      </c>
      <c r="K2475" s="6">
        <f>YEAR(M2475)</f>
        <v/>
      </c>
      <c r="L2475" s="6">
        <f>MONTH(M2475)</f>
        <v/>
      </c>
      <c r="R2475" s="6">
        <f>S2475&amp;T2475</f>
        <v/>
      </c>
      <c r="S2475" s="6">
        <f>YEAR(U2475)</f>
        <v/>
      </c>
      <c r="T2475" s="6">
        <f>MONTH(U2475)</f>
        <v/>
      </c>
      <c r="Z2475" s="6">
        <f>AA2475&amp;AB2475</f>
        <v/>
      </c>
      <c r="AA2475" s="6">
        <f>YEAR(AC2475)</f>
        <v/>
      </c>
      <c r="AB2475" s="6">
        <f>MONTH(AC2475)</f>
        <v/>
      </c>
      <c r="AC2475" s="267">
        <f>IFERROR(__xludf.DUMMYFUNCTION("""COMPUTED_VALUE"""),45627.9986111111)</f>
        <v/>
      </c>
      <c r="AD2475" s="6">
        <f>IFERROR(__xludf.DUMMYFUNCTION("""COMPUTED_VALUE"""),1399.86)</f>
        <v/>
      </c>
      <c r="AH2475" s="6">
        <f>AI2475&amp;AJ2475</f>
        <v/>
      </c>
      <c r="AI2475" s="6">
        <f>YEAR(AK2475)</f>
        <v/>
      </c>
      <c r="AJ2475" s="6">
        <f>MONTH(AK2475)</f>
        <v/>
      </c>
      <c r="AK2475" s="267">
        <f>IFERROR(__xludf.DUMMYFUNCTION("""COMPUTED_VALUE"""),45569.9986111111)</f>
        <v/>
      </c>
      <c r="AL2475" s="6">
        <f>IFERROR(__xludf.DUMMYFUNCTION("""COMPUTED_VALUE"""),60953.97)</f>
        <v/>
      </c>
      <c r="AP2475" s="6">
        <f>AQ2475&amp;AR2475</f>
        <v/>
      </c>
      <c r="AQ2475" s="6">
        <f>YEAR(AS2475)</f>
        <v/>
      </c>
      <c r="AR2475" s="6">
        <f>MONTH(AS2475)</f>
        <v/>
      </c>
    </row>
    <row r="2476">
      <c r="B2476" s="6">
        <f>C2476&amp;D2476</f>
        <v/>
      </c>
      <c r="C2476" s="6">
        <f>YEAR(E2476)</f>
        <v/>
      </c>
      <c r="D2476" s="6">
        <f>MONTH(E2476)</f>
        <v/>
      </c>
      <c r="J2476" s="6">
        <f>K2476&amp;L2476</f>
        <v/>
      </c>
      <c r="K2476" s="6">
        <f>YEAR(M2476)</f>
        <v/>
      </c>
      <c r="L2476" s="6">
        <f>MONTH(M2476)</f>
        <v/>
      </c>
      <c r="R2476" s="6">
        <f>S2476&amp;T2476</f>
        <v/>
      </c>
      <c r="S2476" s="6">
        <f>YEAR(U2476)</f>
        <v/>
      </c>
      <c r="T2476" s="6">
        <f>MONTH(U2476)</f>
        <v/>
      </c>
      <c r="Z2476" s="6">
        <f>AA2476&amp;AB2476</f>
        <v/>
      </c>
      <c r="AA2476" s="6">
        <f>YEAR(AC2476)</f>
        <v/>
      </c>
      <c r="AB2476" s="6">
        <f>MONTH(AC2476)</f>
        <v/>
      </c>
      <c r="AC2476" s="267">
        <f>IFERROR(__xludf.DUMMYFUNCTION("""COMPUTED_VALUE"""),45628.9986111111)</f>
        <v/>
      </c>
      <c r="AD2476" s="6">
        <f>IFERROR(__xludf.DUMMYFUNCTION("""COMPUTED_VALUE"""),1401.06)</f>
        <v/>
      </c>
      <c r="AH2476" s="6">
        <f>AI2476&amp;AJ2476</f>
        <v/>
      </c>
      <c r="AI2476" s="6">
        <f>YEAR(AK2476)</f>
        <v/>
      </c>
      <c r="AJ2476" s="6">
        <f>MONTH(AK2476)</f>
        <v/>
      </c>
      <c r="AK2476" s="267">
        <f>IFERROR(__xludf.DUMMYFUNCTION("""COMPUTED_VALUE"""),45570.9986111111)</f>
        <v/>
      </c>
      <c r="AL2476" s="6">
        <f>IFERROR(__xludf.DUMMYFUNCTION("""COMPUTED_VALUE"""),61897.85)</f>
        <v/>
      </c>
      <c r="AP2476" s="6">
        <f>AQ2476&amp;AR2476</f>
        <v/>
      </c>
      <c r="AQ2476" s="6">
        <f>YEAR(AS2476)</f>
        <v/>
      </c>
      <c r="AR2476" s="6">
        <f>MONTH(AS2476)</f>
        <v/>
      </c>
    </row>
    <row r="2477">
      <c r="B2477" s="6">
        <f>C2477&amp;D2477</f>
        <v/>
      </c>
      <c r="C2477" s="6">
        <f>YEAR(E2477)</f>
        <v/>
      </c>
      <c r="D2477" s="6">
        <f>MONTH(E2477)</f>
        <v/>
      </c>
      <c r="J2477" s="6">
        <f>K2477&amp;L2477</f>
        <v/>
      </c>
      <c r="K2477" s="6">
        <f>YEAR(M2477)</f>
        <v/>
      </c>
      <c r="L2477" s="6">
        <f>MONTH(M2477)</f>
        <v/>
      </c>
      <c r="R2477" s="6">
        <f>S2477&amp;T2477</f>
        <v/>
      </c>
      <c r="S2477" s="6">
        <f>YEAR(U2477)</f>
        <v/>
      </c>
      <c r="T2477" s="6">
        <f>MONTH(U2477)</f>
        <v/>
      </c>
      <c r="Z2477" s="6">
        <f>AA2477&amp;AB2477</f>
        <v/>
      </c>
      <c r="AA2477" s="6">
        <f>YEAR(AC2477)</f>
        <v/>
      </c>
      <c r="AB2477" s="6">
        <f>MONTH(AC2477)</f>
        <v/>
      </c>
      <c r="AC2477" s="267">
        <f>IFERROR(__xludf.DUMMYFUNCTION("""COMPUTED_VALUE"""),45629.9986111111)</f>
        <v/>
      </c>
      <c r="AD2477" s="6">
        <f>IFERROR(__xludf.DUMMYFUNCTION("""COMPUTED_VALUE"""),1411.67)</f>
        <v/>
      </c>
      <c r="AH2477" s="6">
        <f>AI2477&amp;AJ2477</f>
        <v/>
      </c>
      <c r="AI2477" s="6">
        <f>YEAR(AK2477)</f>
        <v/>
      </c>
      <c r="AJ2477" s="6">
        <f>MONTH(AK2477)</f>
        <v/>
      </c>
      <c r="AK2477" s="267">
        <f>IFERROR(__xludf.DUMMYFUNCTION("""COMPUTED_VALUE"""),45571.9986111111)</f>
        <v/>
      </c>
      <c r="AL2477" s="6">
        <f>IFERROR(__xludf.DUMMYFUNCTION("""COMPUTED_VALUE"""),61906.66)</f>
        <v/>
      </c>
      <c r="AP2477" s="6">
        <f>AQ2477&amp;AR2477</f>
        <v/>
      </c>
      <c r="AQ2477" s="6">
        <f>YEAR(AS2477)</f>
        <v/>
      </c>
      <c r="AR2477" s="6">
        <f>MONTH(AS2477)</f>
        <v/>
      </c>
    </row>
    <row r="2478">
      <c r="B2478" s="6">
        <f>C2478&amp;D2478</f>
        <v/>
      </c>
      <c r="C2478" s="6">
        <f>YEAR(E2478)</f>
        <v/>
      </c>
      <c r="D2478" s="6">
        <f>MONTH(E2478)</f>
        <v/>
      </c>
      <c r="J2478" s="6">
        <f>K2478&amp;L2478</f>
        <v/>
      </c>
      <c r="K2478" s="6">
        <f>YEAR(M2478)</f>
        <v/>
      </c>
      <c r="L2478" s="6">
        <f>MONTH(M2478)</f>
        <v/>
      </c>
      <c r="R2478" s="6">
        <f>S2478&amp;T2478</f>
        <v/>
      </c>
      <c r="S2478" s="6">
        <f>YEAR(U2478)</f>
        <v/>
      </c>
      <c r="T2478" s="6">
        <f>MONTH(U2478)</f>
        <v/>
      </c>
      <c r="Z2478" s="6">
        <f>AA2478&amp;AB2478</f>
        <v/>
      </c>
      <c r="AA2478" s="6">
        <f>YEAR(AC2478)</f>
        <v/>
      </c>
      <c r="AB2478" s="6">
        <f>MONTH(AC2478)</f>
        <v/>
      </c>
      <c r="AC2478" s="267">
        <f>IFERROR(__xludf.DUMMYFUNCTION("""COMPUTED_VALUE"""),45630.9986111111)</f>
        <v/>
      </c>
      <c r="AD2478" s="6">
        <f>IFERROR(__xludf.DUMMYFUNCTION("""COMPUTED_VALUE"""),1410.8)</f>
        <v/>
      </c>
      <c r="AH2478" s="6">
        <f>AI2478&amp;AJ2478</f>
        <v/>
      </c>
      <c r="AI2478" s="6">
        <f>YEAR(AK2478)</f>
        <v/>
      </c>
      <c r="AJ2478" s="6">
        <f>MONTH(AK2478)</f>
        <v/>
      </c>
      <c r="AK2478" s="267">
        <f>IFERROR(__xludf.DUMMYFUNCTION("""COMPUTED_VALUE"""),45572.9986111111)</f>
        <v/>
      </c>
      <c r="AL2478" s="6">
        <f>IFERROR(__xludf.DUMMYFUNCTION("""COMPUTED_VALUE"""),63514.6)</f>
        <v/>
      </c>
      <c r="AP2478" s="6">
        <f>AQ2478&amp;AR2478</f>
        <v/>
      </c>
      <c r="AQ2478" s="6">
        <f>YEAR(AS2478)</f>
        <v/>
      </c>
      <c r="AR2478" s="6">
        <f>MONTH(AS2478)</f>
        <v/>
      </c>
    </row>
    <row r="2479">
      <c r="B2479" s="6">
        <f>C2479&amp;D2479</f>
        <v/>
      </c>
      <c r="C2479" s="6">
        <f>YEAR(E2479)</f>
        <v/>
      </c>
      <c r="D2479" s="6">
        <f>MONTH(E2479)</f>
        <v/>
      </c>
      <c r="J2479" s="6">
        <f>K2479&amp;L2479</f>
        <v/>
      </c>
      <c r="K2479" s="6">
        <f>YEAR(M2479)</f>
        <v/>
      </c>
      <c r="L2479" s="6">
        <f>MONTH(M2479)</f>
        <v/>
      </c>
      <c r="R2479" s="6">
        <f>S2479&amp;T2479</f>
        <v/>
      </c>
      <c r="S2479" s="6">
        <f>YEAR(U2479)</f>
        <v/>
      </c>
      <c r="T2479" s="6">
        <f>MONTH(U2479)</f>
        <v/>
      </c>
      <c r="Z2479" s="6">
        <f>AA2479&amp;AB2479</f>
        <v/>
      </c>
      <c r="AA2479" s="6">
        <f>YEAR(AC2479)</f>
        <v/>
      </c>
      <c r="AB2479" s="6">
        <f>MONTH(AC2479)</f>
        <v/>
      </c>
      <c r="AC2479" s="267">
        <f>IFERROR(__xludf.DUMMYFUNCTION("""COMPUTED_VALUE"""),45631.9986111111)</f>
        <v/>
      </c>
      <c r="AD2479" s="6">
        <f>IFERROR(__xludf.DUMMYFUNCTION("""COMPUTED_VALUE"""),1399.99)</f>
        <v/>
      </c>
      <c r="AH2479" s="6">
        <f>AI2479&amp;AJ2479</f>
        <v/>
      </c>
      <c r="AI2479" s="6">
        <f>YEAR(AK2479)</f>
        <v/>
      </c>
      <c r="AJ2479" s="6">
        <f>MONTH(AK2479)</f>
        <v/>
      </c>
      <c r="AK2479" s="267">
        <f>IFERROR(__xludf.DUMMYFUNCTION("""COMPUTED_VALUE"""),45573.9986111111)</f>
        <v/>
      </c>
      <c r="AL2479" s="6">
        <f>IFERROR(__xludf.DUMMYFUNCTION("""COMPUTED_VALUE"""),62609.76)</f>
        <v/>
      </c>
      <c r="AP2479" s="6">
        <f>AQ2479&amp;AR2479</f>
        <v/>
      </c>
      <c r="AQ2479" s="6">
        <f>YEAR(AS2479)</f>
        <v/>
      </c>
      <c r="AR2479" s="6">
        <f>MONTH(AS2479)</f>
        <v/>
      </c>
    </row>
    <row r="2480">
      <c r="B2480" s="6">
        <f>C2480&amp;D2480</f>
        <v/>
      </c>
      <c r="C2480" s="6">
        <f>YEAR(E2480)</f>
        <v/>
      </c>
      <c r="D2480" s="6">
        <f>MONTH(E2480)</f>
        <v/>
      </c>
      <c r="J2480" s="6">
        <f>K2480&amp;L2480</f>
        <v/>
      </c>
      <c r="K2480" s="6">
        <f>YEAR(M2480)</f>
        <v/>
      </c>
      <c r="L2480" s="6">
        <f>MONTH(M2480)</f>
        <v/>
      </c>
      <c r="R2480" s="6">
        <f>S2480&amp;T2480</f>
        <v/>
      </c>
      <c r="S2480" s="6">
        <f>YEAR(U2480)</f>
        <v/>
      </c>
      <c r="T2480" s="6">
        <f>MONTH(U2480)</f>
        <v/>
      </c>
      <c r="Z2480" s="6">
        <f>AA2480&amp;AB2480</f>
        <v/>
      </c>
      <c r="AA2480" s="6">
        <f>YEAR(AC2480)</f>
        <v/>
      </c>
      <c r="AB2480" s="6">
        <f>MONTH(AC2480)</f>
        <v/>
      </c>
      <c r="AC2480" s="267">
        <f>IFERROR(__xludf.DUMMYFUNCTION("""COMPUTED_VALUE"""),45632.9986111111)</f>
        <v/>
      </c>
      <c r="AD2480" s="6">
        <f>IFERROR(__xludf.DUMMYFUNCTION("""COMPUTED_VALUE"""),1424.22)</f>
        <v/>
      </c>
      <c r="AH2480" s="6">
        <f>AI2480&amp;AJ2480</f>
        <v/>
      </c>
      <c r="AI2480" s="6">
        <f>YEAR(AK2480)</f>
        <v/>
      </c>
      <c r="AJ2480" s="6">
        <f>MONTH(AK2480)</f>
        <v/>
      </c>
      <c r="AK2480" s="267">
        <f>IFERROR(__xludf.DUMMYFUNCTION("""COMPUTED_VALUE"""),45574.9986111111)</f>
        <v/>
      </c>
      <c r="AL2480" s="6">
        <f>IFERROR(__xludf.DUMMYFUNCTION("""COMPUTED_VALUE"""),62359.38)</f>
        <v/>
      </c>
      <c r="AP2480" s="6">
        <f>AQ2480&amp;AR2480</f>
        <v/>
      </c>
      <c r="AQ2480" s="6">
        <f>YEAR(AS2480)</f>
        <v/>
      </c>
      <c r="AR2480" s="6">
        <f>MONTH(AS2480)</f>
        <v/>
      </c>
    </row>
    <row r="2481">
      <c r="B2481" s="6">
        <f>C2481&amp;D2481</f>
        <v/>
      </c>
      <c r="C2481" s="6">
        <f>YEAR(E2481)</f>
        <v/>
      </c>
      <c r="D2481" s="6">
        <f>MONTH(E2481)</f>
        <v/>
      </c>
      <c r="J2481" s="6">
        <f>K2481&amp;L2481</f>
        <v/>
      </c>
      <c r="K2481" s="6">
        <f>YEAR(M2481)</f>
        <v/>
      </c>
      <c r="L2481" s="6">
        <f>MONTH(M2481)</f>
        <v/>
      </c>
      <c r="R2481" s="6">
        <f>S2481&amp;T2481</f>
        <v/>
      </c>
      <c r="S2481" s="6">
        <f>YEAR(U2481)</f>
        <v/>
      </c>
      <c r="T2481" s="6">
        <f>MONTH(U2481)</f>
        <v/>
      </c>
      <c r="Z2481" s="6">
        <f>AA2481&amp;AB2481</f>
        <v/>
      </c>
      <c r="AA2481" s="6">
        <f>YEAR(AC2481)</f>
        <v/>
      </c>
      <c r="AB2481" s="6">
        <f>MONTH(AC2481)</f>
        <v/>
      </c>
      <c r="AC2481" s="267">
        <f>IFERROR(__xludf.DUMMYFUNCTION("""COMPUTED_VALUE"""),45633.9986111111)</f>
        <v/>
      </c>
      <c r="AD2481" s="6">
        <f>IFERROR(__xludf.DUMMYFUNCTION("""COMPUTED_VALUE"""),1424.22)</f>
        <v/>
      </c>
      <c r="AH2481" s="6">
        <f>AI2481&amp;AJ2481</f>
        <v/>
      </c>
      <c r="AI2481" s="6">
        <f>YEAR(AK2481)</f>
        <v/>
      </c>
      <c r="AJ2481" s="6">
        <f>MONTH(AK2481)</f>
        <v/>
      </c>
      <c r="AK2481" s="267">
        <f>IFERROR(__xludf.DUMMYFUNCTION("""COMPUTED_VALUE"""),45575.9986111111)</f>
        <v/>
      </c>
      <c r="AL2481" s="6">
        <f>IFERROR(__xludf.DUMMYFUNCTION("""COMPUTED_VALUE"""),60833.65)</f>
        <v/>
      </c>
      <c r="AP2481" s="6">
        <f>AQ2481&amp;AR2481</f>
        <v/>
      </c>
      <c r="AQ2481" s="6">
        <f>YEAR(AS2481)</f>
        <v/>
      </c>
      <c r="AR2481" s="6">
        <f>MONTH(AS2481)</f>
        <v/>
      </c>
    </row>
    <row r="2482">
      <c r="B2482" s="6">
        <f>C2482&amp;D2482</f>
        <v/>
      </c>
      <c r="C2482" s="6">
        <f>YEAR(E2482)</f>
        <v/>
      </c>
      <c r="D2482" s="6">
        <f>MONTH(E2482)</f>
        <v/>
      </c>
      <c r="J2482" s="6">
        <f>K2482&amp;L2482</f>
        <v/>
      </c>
      <c r="K2482" s="6">
        <f>YEAR(M2482)</f>
        <v/>
      </c>
      <c r="L2482" s="6">
        <f>MONTH(M2482)</f>
        <v/>
      </c>
      <c r="R2482" s="6">
        <f>S2482&amp;T2482</f>
        <v/>
      </c>
      <c r="S2482" s="6">
        <f>YEAR(U2482)</f>
        <v/>
      </c>
      <c r="T2482" s="6">
        <f>MONTH(U2482)</f>
        <v/>
      </c>
      <c r="Z2482" s="6">
        <f>AA2482&amp;AB2482</f>
        <v/>
      </c>
      <c r="AA2482" s="6">
        <f>YEAR(AC2482)</f>
        <v/>
      </c>
      <c r="AB2482" s="6">
        <f>MONTH(AC2482)</f>
        <v/>
      </c>
      <c r="AC2482" s="267">
        <f>IFERROR(__xludf.DUMMYFUNCTION("""COMPUTED_VALUE"""),45634.9986111111)</f>
        <v/>
      </c>
      <c r="AD2482" s="6">
        <f>IFERROR(__xludf.DUMMYFUNCTION("""COMPUTED_VALUE"""),1424.22)</f>
        <v/>
      </c>
      <c r="AH2482" s="6">
        <f>AI2482&amp;AJ2482</f>
        <v/>
      </c>
      <c r="AI2482" s="6">
        <f>YEAR(AK2482)</f>
        <v/>
      </c>
      <c r="AJ2482" s="6">
        <f>MONTH(AK2482)</f>
        <v/>
      </c>
      <c r="AK2482" s="267">
        <f>IFERROR(__xludf.DUMMYFUNCTION("""COMPUTED_VALUE"""),45576.9986111111)</f>
        <v/>
      </c>
      <c r="AL2482" s="6">
        <f>IFERROR(__xludf.DUMMYFUNCTION("""COMPUTED_VALUE"""),60607.19)</f>
        <v/>
      </c>
      <c r="AP2482" s="6">
        <f>AQ2482&amp;AR2482</f>
        <v/>
      </c>
      <c r="AQ2482" s="6">
        <f>YEAR(AS2482)</f>
        <v/>
      </c>
      <c r="AR2482" s="6">
        <f>MONTH(AS2482)</f>
        <v/>
      </c>
    </row>
    <row r="2483">
      <c r="B2483" s="6">
        <f>C2483&amp;D2483</f>
        <v/>
      </c>
      <c r="C2483" s="6">
        <f>YEAR(E2483)</f>
        <v/>
      </c>
      <c r="D2483" s="6">
        <f>MONTH(E2483)</f>
        <v/>
      </c>
      <c r="J2483" s="6">
        <f>K2483&amp;L2483</f>
        <v/>
      </c>
      <c r="K2483" s="6">
        <f>YEAR(M2483)</f>
        <v/>
      </c>
      <c r="L2483" s="6">
        <f>MONTH(M2483)</f>
        <v/>
      </c>
      <c r="R2483" s="6">
        <f>S2483&amp;T2483</f>
        <v/>
      </c>
      <c r="S2483" s="6">
        <f>YEAR(U2483)</f>
        <v/>
      </c>
      <c r="T2483" s="6">
        <f>MONTH(U2483)</f>
        <v/>
      </c>
      <c r="Z2483" s="6">
        <f>AA2483&amp;AB2483</f>
        <v/>
      </c>
      <c r="AA2483" s="6">
        <f>YEAR(AC2483)</f>
        <v/>
      </c>
      <c r="AB2483" s="6">
        <f>MONTH(AC2483)</f>
        <v/>
      </c>
      <c r="AC2483" s="267">
        <f>IFERROR(__xludf.DUMMYFUNCTION("""COMPUTED_VALUE"""),45635.9986111111)</f>
        <v/>
      </c>
      <c r="AD2483" s="6">
        <f>IFERROR(__xludf.DUMMYFUNCTION("""COMPUTED_VALUE"""),1426.6)</f>
        <v/>
      </c>
      <c r="AH2483" s="6">
        <f>AI2483&amp;AJ2483</f>
        <v/>
      </c>
      <c r="AI2483" s="6">
        <f>YEAR(AK2483)</f>
        <v/>
      </c>
      <c r="AJ2483" s="6">
        <f>MONTH(AK2483)</f>
        <v/>
      </c>
      <c r="AK2483" s="267">
        <f>IFERROR(__xludf.DUMMYFUNCTION("""COMPUTED_VALUE"""),45577.9986111111)</f>
        <v/>
      </c>
      <c r="AL2483" s="6">
        <f>IFERROR(__xludf.DUMMYFUNCTION("""COMPUTED_VALUE"""),62555.24)</f>
        <v/>
      </c>
      <c r="AP2483" s="6">
        <f>AQ2483&amp;AR2483</f>
        <v/>
      </c>
      <c r="AQ2483" s="6">
        <f>YEAR(AS2483)</f>
        <v/>
      </c>
      <c r="AR2483" s="6">
        <f>MONTH(AS2483)</f>
        <v/>
      </c>
    </row>
    <row r="2484">
      <c r="B2484" s="6">
        <f>C2484&amp;D2484</f>
        <v/>
      </c>
      <c r="C2484" s="6">
        <f>YEAR(E2484)</f>
        <v/>
      </c>
      <c r="D2484" s="6">
        <f>MONTH(E2484)</f>
        <v/>
      </c>
      <c r="J2484" s="6">
        <f>K2484&amp;L2484</f>
        <v/>
      </c>
      <c r="K2484" s="6">
        <f>YEAR(M2484)</f>
        <v/>
      </c>
      <c r="L2484" s="6">
        <f>MONTH(M2484)</f>
        <v/>
      </c>
      <c r="R2484" s="6">
        <f>S2484&amp;T2484</f>
        <v/>
      </c>
      <c r="S2484" s="6">
        <f>YEAR(U2484)</f>
        <v/>
      </c>
      <c r="T2484" s="6">
        <f>MONTH(U2484)</f>
        <v/>
      </c>
      <c r="Z2484" s="6">
        <f>AA2484&amp;AB2484</f>
        <v/>
      </c>
      <c r="AA2484" s="6">
        <f>YEAR(AC2484)</f>
        <v/>
      </c>
      <c r="AB2484" s="6">
        <f>MONTH(AC2484)</f>
        <v/>
      </c>
      <c r="AC2484" s="267">
        <f>IFERROR(__xludf.DUMMYFUNCTION("""COMPUTED_VALUE"""),45636.9986111111)</f>
        <v/>
      </c>
      <c r="AD2484" s="6">
        <f>IFERROR(__xludf.DUMMYFUNCTION("""COMPUTED_VALUE"""),1433.95)</f>
        <v/>
      </c>
      <c r="AH2484" s="6">
        <f>AI2484&amp;AJ2484</f>
        <v/>
      </c>
      <c r="AI2484" s="6">
        <f>YEAR(AK2484)</f>
        <v/>
      </c>
      <c r="AJ2484" s="6">
        <f>MONTH(AK2484)</f>
        <v/>
      </c>
      <c r="AK2484" s="267">
        <f>IFERROR(__xludf.DUMMYFUNCTION("""COMPUTED_VALUE"""),45578.9986111111)</f>
        <v/>
      </c>
      <c r="AL2484" s="6">
        <f>IFERROR(__xludf.DUMMYFUNCTION("""COMPUTED_VALUE"""),62717.15)</f>
        <v/>
      </c>
      <c r="AP2484" s="6">
        <f>AQ2484&amp;AR2484</f>
        <v/>
      </c>
      <c r="AQ2484" s="6">
        <f>YEAR(AS2484)</f>
        <v/>
      </c>
      <c r="AR2484" s="6">
        <f>MONTH(AS2484)</f>
        <v/>
      </c>
    </row>
    <row r="2485">
      <c r="B2485" s="6">
        <f>C2485&amp;D2485</f>
        <v/>
      </c>
      <c r="C2485" s="6">
        <f>YEAR(E2485)</f>
        <v/>
      </c>
      <c r="D2485" s="6">
        <f>MONTH(E2485)</f>
        <v/>
      </c>
      <c r="J2485" s="6">
        <f>K2485&amp;L2485</f>
        <v/>
      </c>
      <c r="K2485" s="6">
        <f>YEAR(M2485)</f>
        <v/>
      </c>
      <c r="L2485" s="6">
        <f>MONTH(M2485)</f>
        <v/>
      </c>
      <c r="R2485" s="6">
        <f>S2485&amp;T2485</f>
        <v/>
      </c>
      <c r="S2485" s="6">
        <f>YEAR(U2485)</f>
        <v/>
      </c>
      <c r="T2485" s="6">
        <f>MONTH(U2485)</f>
        <v/>
      </c>
      <c r="Z2485" s="6">
        <f>AA2485&amp;AB2485</f>
        <v/>
      </c>
      <c r="AA2485" s="6">
        <f>YEAR(AC2485)</f>
        <v/>
      </c>
      <c r="AB2485" s="6">
        <f>MONTH(AC2485)</f>
        <v/>
      </c>
      <c r="AC2485" s="267">
        <f>IFERROR(__xludf.DUMMYFUNCTION("""COMPUTED_VALUE"""),45637.9986111111)</f>
        <v/>
      </c>
      <c r="AD2485" s="6">
        <f>IFERROR(__xludf.DUMMYFUNCTION("""COMPUTED_VALUE"""),1429.15)</f>
        <v/>
      </c>
      <c r="AH2485" s="6">
        <f>AI2485&amp;AJ2485</f>
        <v/>
      </c>
      <c r="AI2485" s="6">
        <f>YEAR(AK2485)</f>
        <v/>
      </c>
      <c r="AJ2485" s="6">
        <f>MONTH(AK2485)</f>
        <v/>
      </c>
      <c r="AK2485" s="267">
        <f>IFERROR(__xludf.DUMMYFUNCTION("""COMPUTED_VALUE"""),45579.9986111111)</f>
        <v/>
      </c>
      <c r="AL2485" s="6">
        <f>IFERROR(__xludf.DUMMYFUNCTION("""COMPUTED_VALUE"""),64195.47)</f>
        <v/>
      </c>
      <c r="AP2485" s="6">
        <f>AQ2485&amp;AR2485</f>
        <v/>
      </c>
      <c r="AQ2485" s="6">
        <f>YEAR(AS2485)</f>
        <v/>
      </c>
      <c r="AR2485" s="6">
        <f>MONTH(AS2485)</f>
        <v/>
      </c>
    </row>
    <row r="2486">
      <c r="B2486" s="6">
        <f>C2486&amp;D2486</f>
        <v/>
      </c>
      <c r="C2486" s="6">
        <f>YEAR(E2486)</f>
        <v/>
      </c>
      <c r="D2486" s="6">
        <f>MONTH(E2486)</f>
        <v/>
      </c>
      <c r="J2486" s="6">
        <f>K2486&amp;L2486</f>
        <v/>
      </c>
      <c r="K2486" s="6">
        <f>YEAR(M2486)</f>
        <v/>
      </c>
      <c r="L2486" s="6">
        <f>MONTH(M2486)</f>
        <v/>
      </c>
      <c r="R2486" s="6">
        <f>S2486&amp;T2486</f>
        <v/>
      </c>
      <c r="S2486" s="6">
        <f>YEAR(U2486)</f>
        <v/>
      </c>
      <c r="T2486" s="6">
        <f>MONTH(U2486)</f>
        <v/>
      </c>
      <c r="Z2486" s="6">
        <f>AA2486&amp;AB2486</f>
        <v/>
      </c>
      <c r="AA2486" s="6">
        <f>YEAR(AC2486)</f>
        <v/>
      </c>
      <c r="AB2486" s="6">
        <f>MONTH(AC2486)</f>
        <v/>
      </c>
      <c r="AC2486" s="267">
        <f>IFERROR(__xludf.DUMMYFUNCTION("""COMPUTED_VALUE"""),45638.9986111111)</f>
        <v/>
      </c>
      <c r="AD2486" s="6">
        <f>IFERROR(__xludf.DUMMYFUNCTION("""COMPUTED_VALUE"""),1427.86)</f>
        <v/>
      </c>
      <c r="AH2486" s="6">
        <f>AI2486&amp;AJ2486</f>
        <v/>
      </c>
      <c r="AI2486" s="6">
        <f>YEAR(AK2486)</f>
        <v/>
      </c>
      <c r="AJ2486" s="6">
        <f>MONTH(AK2486)</f>
        <v/>
      </c>
      <c r="AK2486" s="267">
        <f>IFERROR(__xludf.DUMMYFUNCTION("""COMPUTED_VALUE"""),45580.9986111111)</f>
        <v/>
      </c>
      <c r="AL2486" s="6">
        <f>IFERROR(__xludf.DUMMYFUNCTION("""COMPUTED_VALUE"""),65353.81)</f>
        <v/>
      </c>
      <c r="AP2486" s="6">
        <f>AQ2486&amp;AR2486</f>
        <v/>
      </c>
      <c r="AQ2486" s="6">
        <f>YEAR(AS2486)</f>
        <v/>
      </c>
      <c r="AR2486" s="6">
        <f>MONTH(AS2486)</f>
        <v/>
      </c>
    </row>
    <row r="2487">
      <c r="B2487" s="6">
        <f>C2487&amp;D2487</f>
        <v/>
      </c>
      <c r="C2487" s="6">
        <f>YEAR(E2487)</f>
        <v/>
      </c>
      <c r="D2487" s="6">
        <f>MONTH(E2487)</f>
        <v/>
      </c>
      <c r="J2487" s="6">
        <f>K2487&amp;L2487</f>
        <v/>
      </c>
      <c r="K2487" s="6">
        <f>YEAR(M2487)</f>
        <v/>
      </c>
      <c r="L2487" s="6">
        <f>MONTH(M2487)</f>
        <v/>
      </c>
      <c r="R2487" s="6">
        <f>S2487&amp;T2487</f>
        <v/>
      </c>
      <c r="S2487" s="6">
        <f>YEAR(U2487)</f>
        <v/>
      </c>
      <c r="T2487" s="6">
        <f>MONTH(U2487)</f>
        <v/>
      </c>
      <c r="Z2487" s="6">
        <f>AA2487&amp;AB2487</f>
        <v/>
      </c>
      <c r="AA2487" s="6">
        <f>YEAR(AC2487)</f>
        <v/>
      </c>
      <c r="AB2487" s="6">
        <f>MONTH(AC2487)</f>
        <v/>
      </c>
      <c r="AC2487" s="267">
        <f>IFERROR(__xludf.DUMMYFUNCTION("""COMPUTED_VALUE"""),45639.9986111111)</f>
        <v/>
      </c>
      <c r="AD2487" s="6">
        <f>IFERROR(__xludf.DUMMYFUNCTION("""COMPUTED_VALUE"""),1434.45)</f>
        <v/>
      </c>
      <c r="AH2487" s="6">
        <f>AI2487&amp;AJ2487</f>
        <v/>
      </c>
      <c r="AI2487" s="6">
        <f>YEAR(AK2487)</f>
        <v/>
      </c>
      <c r="AJ2487" s="6">
        <f>MONTH(AK2487)</f>
        <v/>
      </c>
      <c r="AK2487" s="267">
        <f>IFERROR(__xludf.DUMMYFUNCTION("""COMPUTED_VALUE"""),45581.9986111111)</f>
        <v/>
      </c>
      <c r="AL2487" s="6">
        <f>IFERROR(__xludf.DUMMYFUNCTION("""COMPUTED_VALUE"""),67104.47)</f>
        <v/>
      </c>
      <c r="AP2487" s="6">
        <f>AQ2487&amp;AR2487</f>
        <v/>
      </c>
      <c r="AQ2487" s="6">
        <f>YEAR(AS2487)</f>
        <v/>
      </c>
      <c r="AR2487" s="6">
        <f>MONTH(AS2487)</f>
        <v/>
      </c>
    </row>
    <row r="2488">
      <c r="B2488" s="6">
        <f>C2488&amp;D2488</f>
        <v/>
      </c>
      <c r="C2488" s="6">
        <f>YEAR(E2488)</f>
        <v/>
      </c>
      <c r="D2488" s="6">
        <f>MONTH(E2488)</f>
        <v/>
      </c>
      <c r="J2488" s="6">
        <f>K2488&amp;L2488</f>
        <v/>
      </c>
      <c r="K2488" s="6">
        <f>YEAR(M2488)</f>
        <v/>
      </c>
      <c r="L2488" s="6">
        <f>MONTH(M2488)</f>
        <v/>
      </c>
      <c r="R2488" s="6">
        <f>S2488&amp;T2488</f>
        <v/>
      </c>
      <c r="S2488" s="6">
        <f>YEAR(U2488)</f>
        <v/>
      </c>
      <c r="T2488" s="6">
        <f>MONTH(U2488)</f>
        <v/>
      </c>
      <c r="Z2488" s="6">
        <f>AA2488&amp;AB2488</f>
        <v/>
      </c>
      <c r="AA2488" s="6">
        <f>YEAR(AC2488)</f>
        <v/>
      </c>
      <c r="AB2488" s="6">
        <f>MONTH(AC2488)</f>
        <v/>
      </c>
      <c r="AC2488" s="267">
        <f>IFERROR(__xludf.DUMMYFUNCTION("""COMPUTED_VALUE"""),45640.9986111111)</f>
        <v/>
      </c>
      <c r="AD2488" s="6">
        <f>IFERROR(__xludf.DUMMYFUNCTION("""COMPUTED_VALUE"""),1434.45)</f>
        <v/>
      </c>
      <c r="AH2488" s="6">
        <f>AI2488&amp;AJ2488</f>
        <v/>
      </c>
      <c r="AI2488" s="6">
        <f>YEAR(AK2488)</f>
        <v/>
      </c>
      <c r="AJ2488" s="6">
        <f>MONTH(AK2488)</f>
        <v/>
      </c>
      <c r="AK2488" s="267">
        <f>IFERROR(__xludf.DUMMYFUNCTION("""COMPUTED_VALUE"""),45582.9986111111)</f>
        <v/>
      </c>
      <c r="AL2488" s="6">
        <f>IFERROR(__xludf.DUMMYFUNCTION("""COMPUTED_VALUE"""),67605.86)</f>
        <v/>
      </c>
      <c r="AP2488" s="6">
        <f>AQ2488&amp;AR2488</f>
        <v/>
      </c>
      <c r="AQ2488" s="6">
        <f>YEAR(AS2488)</f>
        <v/>
      </c>
      <c r="AR2488" s="6">
        <f>MONTH(AS2488)</f>
        <v/>
      </c>
    </row>
    <row r="2489">
      <c r="B2489" s="6">
        <f>C2489&amp;D2489</f>
        <v/>
      </c>
      <c r="C2489" s="6">
        <f>YEAR(E2489)</f>
        <v/>
      </c>
      <c r="D2489" s="6">
        <f>MONTH(E2489)</f>
        <v/>
      </c>
      <c r="J2489" s="6">
        <f>K2489&amp;L2489</f>
        <v/>
      </c>
      <c r="K2489" s="6">
        <f>YEAR(M2489)</f>
        <v/>
      </c>
      <c r="L2489" s="6">
        <f>MONTH(M2489)</f>
        <v/>
      </c>
      <c r="R2489" s="6">
        <f>S2489&amp;T2489</f>
        <v/>
      </c>
      <c r="S2489" s="6">
        <f>YEAR(U2489)</f>
        <v/>
      </c>
      <c r="T2489" s="6">
        <f>MONTH(U2489)</f>
        <v/>
      </c>
      <c r="Z2489" s="6">
        <f>AA2489&amp;AB2489</f>
        <v/>
      </c>
      <c r="AA2489" s="6">
        <f>YEAR(AC2489)</f>
        <v/>
      </c>
      <c r="AB2489" s="6">
        <f>MONTH(AC2489)</f>
        <v/>
      </c>
      <c r="AC2489" s="267">
        <f>IFERROR(__xludf.DUMMYFUNCTION("""COMPUTED_VALUE"""),45641.9986111111)</f>
        <v/>
      </c>
      <c r="AD2489" s="6">
        <f>IFERROR(__xludf.DUMMYFUNCTION("""COMPUTED_VALUE"""),1434.45)</f>
        <v/>
      </c>
      <c r="AH2489" s="6">
        <f>AI2489&amp;AJ2489</f>
        <v/>
      </c>
      <c r="AI2489" s="6">
        <f>YEAR(AK2489)</f>
        <v/>
      </c>
      <c r="AJ2489" s="6">
        <f>MONTH(AK2489)</f>
        <v/>
      </c>
      <c r="AK2489" s="267">
        <f>IFERROR(__xludf.DUMMYFUNCTION("""COMPUTED_VALUE"""),45583.9986111111)</f>
        <v/>
      </c>
      <c r="AL2489" s="6">
        <f>IFERROR(__xludf.DUMMYFUNCTION("""COMPUTED_VALUE"""),67535.72)</f>
        <v/>
      </c>
      <c r="AP2489" s="6">
        <f>AQ2489&amp;AR2489</f>
        <v/>
      </c>
      <c r="AQ2489" s="6">
        <f>YEAR(AS2489)</f>
        <v/>
      </c>
      <c r="AR2489" s="6">
        <f>MONTH(AS2489)</f>
        <v/>
      </c>
    </row>
    <row r="2490">
      <c r="B2490" s="6">
        <f>C2490&amp;D2490</f>
        <v/>
      </c>
      <c r="C2490" s="6">
        <f>YEAR(E2490)</f>
        <v/>
      </c>
      <c r="D2490" s="6">
        <f>MONTH(E2490)</f>
        <v/>
      </c>
      <c r="J2490" s="6">
        <f>K2490&amp;L2490</f>
        <v/>
      </c>
      <c r="K2490" s="6">
        <f>YEAR(M2490)</f>
        <v/>
      </c>
      <c r="L2490" s="6">
        <f>MONTH(M2490)</f>
        <v/>
      </c>
      <c r="R2490" s="6">
        <f>S2490&amp;T2490</f>
        <v/>
      </c>
      <c r="S2490" s="6">
        <f>YEAR(U2490)</f>
        <v/>
      </c>
      <c r="T2490" s="6">
        <f>MONTH(U2490)</f>
        <v/>
      </c>
      <c r="Z2490" s="6">
        <f>AA2490&amp;AB2490</f>
        <v/>
      </c>
      <c r="AA2490" s="6">
        <f>YEAR(AC2490)</f>
        <v/>
      </c>
      <c r="AB2490" s="6">
        <f>MONTH(AC2490)</f>
        <v/>
      </c>
      <c r="AC2490" s="267">
        <f>IFERROR(__xludf.DUMMYFUNCTION("""COMPUTED_VALUE"""),45642.9986111111)</f>
        <v/>
      </c>
      <c r="AD2490" s="6">
        <f>IFERROR(__xludf.DUMMYFUNCTION("""COMPUTED_VALUE"""),1431.35)</f>
        <v/>
      </c>
      <c r="AH2490" s="6">
        <f>AI2490&amp;AJ2490</f>
        <v/>
      </c>
      <c r="AI2490" s="6">
        <f>YEAR(AK2490)</f>
        <v/>
      </c>
      <c r="AJ2490" s="6">
        <f>MONTH(AK2490)</f>
        <v/>
      </c>
      <c r="AK2490" s="267">
        <f>IFERROR(__xludf.DUMMYFUNCTION("""COMPUTED_VALUE"""),45584.9986111111)</f>
        <v/>
      </c>
      <c r="AL2490" s="6">
        <f>IFERROR(__xludf.DUMMYFUNCTION("""COMPUTED_VALUE"""),68456.86)</f>
        <v/>
      </c>
      <c r="AP2490" s="6">
        <f>AQ2490&amp;AR2490</f>
        <v/>
      </c>
      <c r="AQ2490" s="6">
        <f>YEAR(AS2490)</f>
        <v/>
      </c>
      <c r="AR2490" s="6">
        <f>MONTH(AS2490)</f>
        <v/>
      </c>
    </row>
    <row r="2491">
      <c r="B2491" s="6">
        <f>C2491&amp;D2491</f>
        <v/>
      </c>
      <c r="C2491" s="6">
        <f>YEAR(E2491)</f>
        <v/>
      </c>
      <c r="D2491" s="6">
        <f>MONTH(E2491)</f>
        <v/>
      </c>
      <c r="J2491" s="6">
        <f>K2491&amp;L2491</f>
        <v/>
      </c>
      <c r="K2491" s="6">
        <f>YEAR(M2491)</f>
        <v/>
      </c>
      <c r="L2491" s="6">
        <f>MONTH(M2491)</f>
        <v/>
      </c>
      <c r="R2491" s="6">
        <f>S2491&amp;T2491</f>
        <v/>
      </c>
      <c r="S2491" s="6">
        <f>YEAR(U2491)</f>
        <v/>
      </c>
      <c r="T2491" s="6">
        <f>MONTH(U2491)</f>
        <v/>
      </c>
      <c r="Z2491" s="6">
        <f>AA2491&amp;AB2491</f>
        <v/>
      </c>
      <c r="AA2491" s="6">
        <f>YEAR(AC2491)</f>
        <v/>
      </c>
      <c r="AB2491" s="6">
        <f>MONTH(AC2491)</f>
        <v/>
      </c>
      <c r="AC2491" s="267">
        <f>IFERROR(__xludf.DUMMYFUNCTION("""COMPUTED_VALUE"""),45643.9986111111)</f>
        <v/>
      </c>
      <c r="AD2491" s="6">
        <f>IFERROR(__xludf.DUMMYFUNCTION("""COMPUTED_VALUE"""),1436.42)</f>
        <v/>
      </c>
      <c r="AH2491" s="6">
        <f>AI2491&amp;AJ2491</f>
        <v/>
      </c>
      <c r="AI2491" s="6">
        <f>YEAR(AK2491)</f>
        <v/>
      </c>
      <c r="AJ2491" s="6">
        <f>MONTH(AK2491)</f>
        <v/>
      </c>
      <c r="AK2491" s="267">
        <f>IFERROR(__xludf.DUMMYFUNCTION("""COMPUTED_VALUE"""),45585.9986111111)</f>
        <v/>
      </c>
      <c r="AL2491" s="6">
        <f>IFERROR(__xludf.DUMMYFUNCTION("""COMPUTED_VALUE"""),68179.25)</f>
        <v/>
      </c>
      <c r="AP2491" s="6">
        <f>AQ2491&amp;AR2491</f>
        <v/>
      </c>
      <c r="AQ2491" s="6">
        <f>YEAR(AS2491)</f>
        <v/>
      </c>
      <c r="AR2491" s="6">
        <f>MONTH(AS2491)</f>
        <v/>
      </c>
    </row>
    <row r="2492">
      <c r="B2492" s="6">
        <f>C2492&amp;D2492</f>
        <v/>
      </c>
      <c r="C2492" s="6">
        <f>YEAR(E2492)</f>
        <v/>
      </c>
      <c r="D2492" s="6">
        <f>MONTH(E2492)</f>
        <v/>
      </c>
      <c r="J2492" s="6">
        <f>K2492&amp;L2492</f>
        <v/>
      </c>
      <c r="K2492" s="6">
        <f>YEAR(M2492)</f>
        <v/>
      </c>
      <c r="L2492" s="6">
        <f>MONTH(M2492)</f>
        <v/>
      </c>
      <c r="R2492" s="6">
        <f>S2492&amp;T2492</f>
        <v/>
      </c>
      <c r="S2492" s="6">
        <f>YEAR(U2492)</f>
        <v/>
      </c>
      <c r="T2492" s="6">
        <f>MONTH(U2492)</f>
        <v/>
      </c>
      <c r="Z2492" s="6">
        <f>AA2492&amp;AB2492</f>
        <v/>
      </c>
      <c r="AA2492" s="6">
        <f>YEAR(AC2492)</f>
        <v/>
      </c>
      <c r="AB2492" s="6">
        <f>MONTH(AC2492)</f>
        <v/>
      </c>
      <c r="AC2492" s="267">
        <f>IFERROR(__xludf.DUMMYFUNCTION("""COMPUTED_VALUE"""),45644.9986111111)</f>
        <v/>
      </c>
      <c r="AD2492" s="6">
        <f>IFERROR(__xludf.DUMMYFUNCTION("""COMPUTED_VALUE"""),1451.5)</f>
        <v/>
      </c>
      <c r="AH2492" s="6">
        <f>AI2492&amp;AJ2492</f>
        <v/>
      </c>
      <c r="AI2492" s="6">
        <f>YEAR(AK2492)</f>
        <v/>
      </c>
      <c r="AJ2492" s="6">
        <f>MONTH(AK2492)</f>
        <v/>
      </c>
      <c r="AK2492" s="267">
        <f>IFERROR(__xludf.DUMMYFUNCTION("""COMPUTED_VALUE"""),45586.9986111111)</f>
        <v/>
      </c>
      <c r="AL2492" s="6">
        <f>IFERROR(__xludf.DUMMYFUNCTION("""COMPUTED_VALUE"""),68890.14)</f>
        <v/>
      </c>
      <c r="AP2492" s="6">
        <f>AQ2492&amp;AR2492</f>
        <v/>
      </c>
      <c r="AQ2492" s="6">
        <f>YEAR(AS2492)</f>
        <v/>
      </c>
      <c r="AR2492" s="6">
        <f>MONTH(AS2492)</f>
        <v/>
      </c>
    </row>
    <row r="2493">
      <c r="B2493" s="6">
        <f>C2493&amp;D2493</f>
        <v/>
      </c>
      <c r="C2493" s="6">
        <f>YEAR(E2493)</f>
        <v/>
      </c>
      <c r="D2493" s="6">
        <f>MONTH(E2493)</f>
        <v/>
      </c>
      <c r="J2493" s="6">
        <f>K2493&amp;L2493</f>
        <v/>
      </c>
      <c r="K2493" s="6">
        <f>YEAR(M2493)</f>
        <v/>
      </c>
      <c r="L2493" s="6">
        <f>MONTH(M2493)</f>
        <v/>
      </c>
      <c r="R2493" s="6">
        <f>S2493&amp;T2493</f>
        <v/>
      </c>
      <c r="S2493" s="6">
        <f>YEAR(U2493)</f>
        <v/>
      </c>
      <c r="T2493" s="6">
        <f>MONTH(U2493)</f>
        <v/>
      </c>
      <c r="Z2493" s="6">
        <f>AA2493&amp;AB2493</f>
        <v/>
      </c>
      <c r="AA2493" s="6">
        <f>YEAR(AC2493)</f>
        <v/>
      </c>
      <c r="AB2493" s="6">
        <f>MONTH(AC2493)</f>
        <v/>
      </c>
      <c r="AC2493" s="267">
        <f>IFERROR(__xludf.DUMMYFUNCTION("""COMPUTED_VALUE"""),45645.9986111111)</f>
        <v/>
      </c>
      <c r="AD2493" s="6">
        <f>IFERROR(__xludf.DUMMYFUNCTION("""COMPUTED_VALUE"""),1437.45)</f>
        <v/>
      </c>
      <c r="AH2493" s="6">
        <f>AI2493&amp;AJ2493</f>
        <v/>
      </c>
      <c r="AI2493" s="6">
        <f>YEAR(AK2493)</f>
        <v/>
      </c>
      <c r="AJ2493" s="6">
        <f>MONTH(AK2493)</f>
        <v/>
      </c>
      <c r="AK2493" s="267">
        <f>IFERROR(__xludf.DUMMYFUNCTION("""COMPUTED_VALUE"""),45587.9986111111)</f>
        <v/>
      </c>
      <c r="AL2493" s="6">
        <f>IFERROR(__xludf.DUMMYFUNCTION("""COMPUTED_VALUE"""),67344.48)</f>
        <v/>
      </c>
      <c r="AP2493" s="6">
        <f>AQ2493&amp;AR2493</f>
        <v/>
      </c>
      <c r="AQ2493" s="6">
        <f>YEAR(AS2493)</f>
        <v/>
      </c>
      <c r="AR2493" s="6">
        <f>MONTH(AS2493)</f>
        <v/>
      </c>
    </row>
    <row r="2494">
      <c r="B2494" s="6">
        <f>C2494&amp;D2494</f>
        <v/>
      </c>
      <c r="C2494" s="6">
        <f>YEAR(E2494)</f>
        <v/>
      </c>
      <c r="D2494" s="6">
        <f>MONTH(E2494)</f>
        <v/>
      </c>
      <c r="J2494" s="6">
        <f>K2494&amp;L2494</f>
        <v/>
      </c>
      <c r="K2494" s="6">
        <f>YEAR(M2494)</f>
        <v/>
      </c>
      <c r="L2494" s="6">
        <f>MONTH(M2494)</f>
        <v/>
      </c>
      <c r="R2494" s="6">
        <f>S2494&amp;T2494</f>
        <v/>
      </c>
      <c r="S2494" s="6">
        <f>YEAR(U2494)</f>
        <v/>
      </c>
      <c r="T2494" s="6">
        <f>MONTH(U2494)</f>
        <v/>
      </c>
      <c r="Z2494" s="6">
        <f>AA2494&amp;AB2494</f>
        <v/>
      </c>
      <c r="AA2494" s="6">
        <f>YEAR(AC2494)</f>
        <v/>
      </c>
      <c r="AB2494" s="6">
        <f>MONTH(AC2494)</f>
        <v/>
      </c>
      <c r="AC2494" s="267">
        <f>IFERROR(__xludf.DUMMYFUNCTION("""COMPUTED_VALUE"""),45646.9986111111)</f>
        <v/>
      </c>
      <c r="AD2494" s="6">
        <f>IFERROR(__xludf.DUMMYFUNCTION("""COMPUTED_VALUE"""),1445.42)</f>
        <v/>
      </c>
      <c r="AH2494" s="6">
        <f>AI2494&amp;AJ2494</f>
        <v/>
      </c>
      <c r="AI2494" s="6">
        <f>YEAR(AK2494)</f>
        <v/>
      </c>
      <c r="AJ2494" s="6">
        <f>MONTH(AK2494)</f>
        <v/>
      </c>
      <c r="AK2494" s="267">
        <f>IFERROR(__xludf.DUMMYFUNCTION("""COMPUTED_VALUE"""),45588.9986111111)</f>
        <v/>
      </c>
      <c r="AL2494" s="6">
        <f>IFERROR(__xludf.DUMMYFUNCTION("""COMPUTED_VALUE"""),67029.24)</f>
        <v/>
      </c>
      <c r="AP2494" s="6">
        <f>AQ2494&amp;AR2494</f>
        <v/>
      </c>
      <c r="AQ2494" s="6">
        <f>YEAR(AS2494)</f>
        <v/>
      </c>
      <c r="AR2494" s="6">
        <f>MONTH(AS2494)</f>
        <v/>
      </c>
    </row>
    <row r="2495">
      <c r="B2495" s="6">
        <f>C2495&amp;D2495</f>
        <v/>
      </c>
      <c r="C2495" s="6">
        <f>YEAR(E2495)</f>
        <v/>
      </c>
      <c r="D2495" s="6">
        <f>MONTH(E2495)</f>
        <v/>
      </c>
      <c r="J2495" s="6">
        <f>K2495&amp;L2495</f>
        <v/>
      </c>
      <c r="K2495" s="6">
        <f>YEAR(M2495)</f>
        <v/>
      </c>
      <c r="L2495" s="6">
        <f>MONTH(M2495)</f>
        <v/>
      </c>
      <c r="R2495" s="6">
        <f>S2495&amp;T2495</f>
        <v/>
      </c>
      <c r="S2495" s="6">
        <f>YEAR(U2495)</f>
        <v/>
      </c>
      <c r="T2495" s="6">
        <f>MONTH(U2495)</f>
        <v/>
      </c>
      <c r="Z2495" s="6">
        <f>AA2495&amp;AB2495</f>
        <v/>
      </c>
      <c r="AA2495" s="6">
        <f>YEAR(AC2495)</f>
        <v/>
      </c>
      <c r="AB2495" s="6">
        <f>MONTH(AC2495)</f>
        <v/>
      </c>
      <c r="AC2495" s="267">
        <f>IFERROR(__xludf.DUMMYFUNCTION("""COMPUTED_VALUE"""),45647.9986111111)</f>
        <v/>
      </c>
      <c r="AD2495" s="6">
        <f>IFERROR(__xludf.DUMMYFUNCTION("""COMPUTED_VALUE"""),1445.42)</f>
        <v/>
      </c>
      <c r="AH2495" s="6">
        <f>AI2495&amp;AJ2495</f>
        <v/>
      </c>
      <c r="AI2495" s="6">
        <f>YEAR(AK2495)</f>
        <v/>
      </c>
      <c r="AJ2495" s="6">
        <f>MONTH(AK2495)</f>
        <v/>
      </c>
      <c r="AK2495" s="267">
        <f>IFERROR(__xludf.DUMMYFUNCTION("""COMPUTED_VALUE"""),45589.9986111111)</f>
        <v/>
      </c>
      <c r="AL2495" s="6">
        <f>IFERROR(__xludf.DUMMYFUNCTION("""COMPUTED_VALUE"""),67189.43)</f>
        <v/>
      </c>
      <c r="AP2495" s="6">
        <f>AQ2495&amp;AR2495</f>
        <v/>
      </c>
      <c r="AQ2495" s="6">
        <f>YEAR(AS2495)</f>
        <v/>
      </c>
      <c r="AR2495" s="6">
        <f>MONTH(AS2495)</f>
        <v/>
      </c>
    </row>
    <row r="2496">
      <c r="B2496" s="6">
        <f>C2496&amp;D2496</f>
        <v/>
      </c>
      <c r="C2496" s="6">
        <f>YEAR(E2496)</f>
        <v/>
      </c>
      <c r="D2496" s="6">
        <f>MONTH(E2496)</f>
        <v/>
      </c>
      <c r="J2496" s="6">
        <f>K2496&amp;L2496</f>
        <v/>
      </c>
      <c r="K2496" s="6">
        <f>YEAR(M2496)</f>
        <v/>
      </c>
      <c r="L2496" s="6">
        <f>MONTH(M2496)</f>
        <v/>
      </c>
      <c r="R2496" s="6">
        <f>S2496&amp;T2496</f>
        <v/>
      </c>
      <c r="S2496" s="6">
        <f>YEAR(U2496)</f>
        <v/>
      </c>
      <c r="T2496" s="6">
        <f>MONTH(U2496)</f>
        <v/>
      </c>
      <c r="Z2496" s="6">
        <f>AA2496&amp;AB2496</f>
        <v/>
      </c>
      <c r="AA2496" s="6">
        <f>YEAR(AC2496)</f>
        <v/>
      </c>
      <c r="AB2496" s="6">
        <f>MONTH(AC2496)</f>
        <v/>
      </c>
      <c r="AC2496" s="267">
        <f>IFERROR(__xludf.DUMMYFUNCTION("""COMPUTED_VALUE"""),45648.9986111111)</f>
        <v/>
      </c>
      <c r="AD2496" s="6">
        <f>IFERROR(__xludf.DUMMYFUNCTION("""COMPUTED_VALUE"""),1445.42)</f>
        <v/>
      </c>
      <c r="AH2496" s="6">
        <f>AI2496&amp;AJ2496</f>
        <v/>
      </c>
      <c r="AI2496" s="6">
        <f>YEAR(AK2496)</f>
        <v/>
      </c>
      <c r="AJ2496" s="6">
        <f>MONTH(AK2496)</f>
        <v/>
      </c>
      <c r="AK2496" s="267">
        <f>IFERROR(__xludf.DUMMYFUNCTION("""COMPUTED_VALUE"""),45590.9986111111)</f>
        <v/>
      </c>
      <c r="AL2496" s="6">
        <f>IFERROR(__xludf.DUMMYFUNCTION("""COMPUTED_VALUE"""),67973.21)</f>
        <v/>
      </c>
      <c r="AP2496" s="6">
        <f>AQ2496&amp;AR2496</f>
        <v/>
      </c>
      <c r="AQ2496" s="6">
        <f>YEAR(AS2496)</f>
        <v/>
      </c>
      <c r="AR2496" s="6">
        <f>MONTH(AS2496)</f>
        <v/>
      </c>
    </row>
    <row r="2497">
      <c r="B2497" s="6">
        <f>C2497&amp;D2497</f>
        <v/>
      </c>
      <c r="C2497" s="6">
        <f>YEAR(E2497)</f>
        <v/>
      </c>
      <c r="D2497" s="6">
        <f>MONTH(E2497)</f>
        <v/>
      </c>
      <c r="J2497" s="6">
        <f>K2497&amp;L2497</f>
        <v/>
      </c>
      <c r="K2497" s="6">
        <f>YEAR(M2497)</f>
        <v/>
      </c>
      <c r="L2497" s="6">
        <f>MONTH(M2497)</f>
        <v/>
      </c>
      <c r="R2497" s="6">
        <f>S2497&amp;T2497</f>
        <v/>
      </c>
      <c r="S2497" s="6">
        <f>YEAR(U2497)</f>
        <v/>
      </c>
      <c r="T2497" s="6">
        <f>MONTH(U2497)</f>
        <v/>
      </c>
      <c r="Z2497" s="6">
        <f>AA2497&amp;AB2497</f>
        <v/>
      </c>
      <c r="AA2497" s="6">
        <f>YEAR(AC2497)</f>
        <v/>
      </c>
      <c r="AB2497" s="6">
        <f>MONTH(AC2497)</f>
        <v/>
      </c>
      <c r="AC2497" s="267">
        <f>IFERROR(__xludf.DUMMYFUNCTION("""COMPUTED_VALUE"""),45649.9986111111)</f>
        <v/>
      </c>
      <c r="AD2497" s="6">
        <f>IFERROR(__xludf.DUMMYFUNCTION("""COMPUTED_VALUE"""),1442.7)</f>
        <v/>
      </c>
      <c r="AH2497" s="6">
        <f>AI2497&amp;AJ2497</f>
        <v/>
      </c>
      <c r="AI2497" s="6">
        <f>YEAR(AK2497)</f>
        <v/>
      </c>
      <c r="AJ2497" s="6">
        <f>MONTH(AK2497)</f>
        <v/>
      </c>
      <c r="AK2497" s="267">
        <f>IFERROR(__xludf.DUMMYFUNCTION("""COMPUTED_VALUE"""),45591.9986111111)</f>
        <v/>
      </c>
      <c r="AL2497" s="6">
        <f>IFERROR(__xludf.DUMMYFUNCTION("""COMPUTED_VALUE"""),66863)</f>
        <v/>
      </c>
      <c r="AP2497" s="6">
        <f>AQ2497&amp;AR2497</f>
        <v/>
      </c>
      <c r="AQ2497" s="6">
        <f>YEAR(AS2497)</f>
        <v/>
      </c>
      <c r="AR2497" s="6">
        <f>MONTH(AS2497)</f>
        <v/>
      </c>
    </row>
    <row r="2498">
      <c r="B2498" s="6">
        <f>C2498&amp;D2498</f>
        <v/>
      </c>
      <c r="C2498" s="6">
        <f>YEAR(E2498)</f>
        <v/>
      </c>
      <c r="D2498" s="6">
        <f>MONTH(E2498)</f>
        <v/>
      </c>
      <c r="J2498" s="6">
        <f>K2498&amp;L2498</f>
        <v/>
      </c>
      <c r="K2498" s="6">
        <f>YEAR(M2498)</f>
        <v/>
      </c>
      <c r="L2498" s="6">
        <f>MONTH(M2498)</f>
        <v/>
      </c>
      <c r="R2498" s="6">
        <f>S2498&amp;T2498</f>
        <v/>
      </c>
      <c r="S2498" s="6">
        <f>YEAR(U2498)</f>
        <v/>
      </c>
      <c r="T2498" s="6">
        <f>MONTH(U2498)</f>
        <v/>
      </c>
      <c r="Z2498" s="6">
        <f>AA2498&amp;AB2498</f>
        <v/>
      </c>
      <c r="AA2498" s="6">
        <f>YEAR(AC2498)</f>
        <v/>
      </c>
      <c r="AB2498" s="6">
        <f>MONTH(AC2498)</f>
        <v/>
      </c>
      <c r="AC2498" s="267">
        <f>IFERROR(__xludf.DUMMYFUNCTION("""COMPUTED_VALUE"""),45650.9986111111)</f>
        <v/>
      </c>
      <c r="AD2498" s="6">
        <f>IFERROR(__xludf.DUMMYFUNCTION("""COMPUTED_VALUE"""),1453.42)</f>
        <v/>
      </c>
      <c r="AH2498" s="6">
        <f>AI2498&amp;AJ2498</f>
        <v/>
      </c>
      <c r="AI2498" s="6">
        <f>YEAR(AK2498)</f>
        <v/>
      </c>
      <c r="AJ2498" s="6">
        <f>MONTH(AK2498)</f>
        <v/>
      </c>
      <c r="AK2498" s="267">
        <f>IFERROR(__xludf.DUMMYFUNCTION("""COMPUTED_VALUE"""),45592.9986111111)</f>
        <v/>
      </c>
      <c r="AL2498" s="6">
        <f>IFERROR(__xludf.DUMMYFUNCTION("""COMPUTED_VALUE"""),67196.3)</f>
        <v/>
      </c>
      <c r="AP2498" s="6">
        <f>AQ2498&amp;AR2498</f>
        <v/>
      </c>
      <c r="AQ2498" s="6">
        <f>YEAR(AS2498)</f>
        <v/>
      </c>
      <c r="AR2498" s="6">
        <f>MONTH(AS2498)</f>
        <v/>
      </c>
    </row>
    <row r="2499">
      <c r="B2499" s="6">
        <f>C2499&amp;D2499</f>
        <v/>
      </c>
      <c r="C2499" s="6">
        <f>YEAR(E2499)</f>
        <v/>
      </c>
      <c r="D2499" s="6">
        <f>MONTH(E2499)</f>
        <v/>
      </c>
      <c r="J2499" s="6">
        <f>K2499&amp;L2499</f>
        <v/>
      </c>
      <c r="K2499" s="6">
        <f>YEAR(M2499)</f>
        <v/>
      </c>
      <c r="L2499" s="6">
        <f>MONTH(M2499)</f>
        <v/>
      </c>
      <c r="R2499" s="6">
        <f>S2499&amp;T2499</f>
        <v/>
      </c>
      <c r="S2499" s="6">
        <f>YEAR(U2499)</f>
        <v/>
      </c>
      <c r="T2499" s="6">
        <f>MONTH(U2499)</f>
        <v/>
      </c>
      <c r="Z2499" s="6">
        <f>AA2499&amp;AB2499</f>
        <v/>
      </c>
      <c r="AA2499" s="6">
        <f>YEAR(AC2499)</f>
        <v/>
      </c>
      <c r="AB2499" s="6">
        <f>MONTH(AC2499)</f>
        <v/>
      </c>
      <c r="AC2499" s="267">
        <f>IFERROR(__xludf.DUMMYFUNCTION("""COMPUTED_VALUE"""),45651.9986111111)</f>
        <v/>
      </c>
      <c r="AD2499" s="6">
        <f>IFERROR(__xludf.DUMMYFUNCTION("""COMPUTED_VALUE"""),1457.61)</f>
        <v/>
      </c>
      <c r="AH2499" s="6">
        <f>AI2499&amp;AJ2499</f>
        <v/>
      </c>
      <c r="AI2499" s="6">
        <f>YEAR(AK2499)</f>
        <v/>
      </c>
      <c r="AJ2499" s="6">
        <f>MONTH(AK2499)</f>
        <v/>
      </c>
      <c r="AK2499" s="267">
        <f>IFERROR(__xludf.DUMMYFUNCTION("""COMPUTED_VALUE"""),45593.9986111111)</f>
        <v/>
      </c>
      <c r="AL2499" s="6">
        <f>IFERROR(__xludf.DUMMYFUNCTION("""COMPUTED_VALUE"""),67672.59)</f>
        <v/>
      </c>
      <c r="AP2499" s="6">
        <f>AQ2499&amp;AR2499</f>
        <v/>
      </c>
      <c r="AQ2499" s="6">
        <f>YEAR(AS2499)</f>
        <v/>
      </c>
      <c r="AR2499" s="6">
        <f>MONTH(AS2499)</f>
        <v/>
      </c>
    </row>
    <row r="2500">
      <c r="B2500" s="6">
        <f>C2500&amp;D2500</f>
        <v/>
      </c>
      <c r="C2500" s="6">
        <f>YEAR(E2500)</f>
        <v/>
      </c>
      <c r="D2500" s="6">
        <f>MONTH(E2500)</f>
        <v/>
      </c>
      <c r="J2500" s="6">
        <f>K2500&amp;L2500</f>
        <v/>
      </c>
      <c r="K2500" s="6">
        <f>YEAR(M2500)</f>
        <v/>
      </c>
      <c r="L2500" s="6">
        <f>MONTH(M2500)</f>
        <v/>
      </c>
      <c r="R2500" s="6">
        <f>S2500&amp;T2500</f>
        <v/>
      </c>
      <c r="S2500" s="6">
        <f>YEAR(U2500)</f>
        <v/>
      </c>
      <c r="T2500" s="6">
        <f>MONTH(U2500)</f>
        <v/>
      </c>
      <c r="Z2500" s="6">
        <f>AA2500&amp;AB2500</f>
        <v/>
      </c>
      <c r="AA2500" s="6">
        <f>YEAR(AC2500)</f>
        <v/>
      </c>
      <c r="AB2500" s="6">
        <f>MONTH(AC2500)</f>
        <v/>
      </c>
      <c r="AC2500" s="267">
        <f>IFERROR(__xludf.DUMMYFUNCTION("""COMPUTED_VALUE"""),45652.9986111111)</f>
        <v/>
      </c>
      <c r="AD2500" s="6">
        <f>IFERROR(__xludf.DUMMYFUNCTION("""COMPUTED_VALUE"""),1466.99)</f>
        <v/>
      </c>
      <c r="AH2500" s="6">
        <f>AI2500&amp;AJ2500</f>
        <v/>
      </c>
      <c r="AI2500" s="6">
        <f>YEAR(AK2500)</f>
        <v/>
      </c>
      <c r="AJ2500" s="6">
        <f>MONTH(AK2500)</f>
        <v/>
      </c>
      <c r="AK2500" s="267">
        <f>IFERROR(__xludf.DUMMYFUNCTION("""COMPUTED_VALUE"""),45594.9986111111)</f>
        <v/>
      </c>
      <c r="AL2500" s="6">
        <f>IFERROR(__xludf.DUMMYFUNCTION("""COMPUTED_VALUE"""),70889.45)</f>
        <v/>
      </c>
      <c r="AP2500" s="6">
        <f>AQ2500&amp;AR2500</f>
        <v/>
      </c>
      <c r="AQ2500" s="6">
        <f>YEAR(AS2500)</f>
        <v/>
      </c>
      <c r="AR2500" s="6">
        <f>MONTH(AS2500)</f>
        <v/>
      </c>
    </row>
    <row r="2501">
      <c r="B2501" s="6">
        <f>C2501&amp;D2501</f>
        <v/>
      </c>
      <c r="C2501" s="6">
        <f>YEAR(E2501)</f>
        <v/>
      </c>
      <c r="D2501" s="6">
        <f>MONTH(E2501)</f>
        <v/>
      </c>
      <c r="J2501" s="6">
        <f>K2501&amp;L2501</f>
        <v/>
      </c>
      <c r="K2501" s="6">
        <f>YEAR(M2501)</f>
        <v/>
      </c>
      <c r="L2501" s="6">
        <f>MONTH(M2501)</f>
        <v/>
      </c>
      <c r="R2501" s="6">
        <f>S2501&amp;T2501</f>
        <v/>
      </c>
      <c r="S2501" s="6">
        <f>YEAR(U2501)</f>
        <v/>
      </c>
      <c r="T2501" s="6">
        <f>MONTH(U2501)</f>
        <v/>
      </c>
      <c r="Z2501" s="6">
        <f>AA2501&amp;AB2501</f>
        <v/>
      </c>
      <c r="AA2501" s="6">
        <f>YEAR(AC2501)</f>
        <v/>
      </c>
      <c r="AB2501" s="6">
        <f>MONTH(AC2501)</f>
        <v/>
      </c>
      <c r="AC2501" s="267">
        <f>IFERROR(__xludf.DUMMYFUNCTION("""COMPUTED_VALUE"""),45653.9986111111)</f>
        <v/>
      </c>
      <c r="AD2501" s="6">
        <f>IFERROR(__xludf.DUMMYFUNCTION("""COMPUTED_VALUE"""),1472.8)</f>
        <v/>
      </c>
      <c r="AH2501" s="6">
        <f>AI2501&amp;AJ2501</f>
        <v/>
      </c>
      <c r="AI2501" s="6">
        <f>YEAR(AK2501)</f>
        <v/>
      </c>
      <c r="AJ2501" s="6">
        <f>MONTH(AK2501)</f>
        <v/>
      </c>
      <c r="AK2501" s="267">
        <f>IFERROR(__xludf.DUMMYFUNCTION("""COMPUTED_VALUE"""),45595.9986111111)</f>
        <v/>
      </c>
      <c r="AL2501" s="6">
        <f>IFERROR(__xludf.DUMMYFUNCTION("""COMPUTED_VALUE"""),72185.68)</f>
        <v/>
      </c>
      <c r="AP2501" s="6">
        <f>AQ2501&amp;AR2501</f>
        <v/>
      </c>
      <c r="AQ2501" s="6">
        <f>YEAR(AS2501)</f>
        <v/>
      </c>
      <c r="AR2501" s="6">
        <f>MONTH(AS2501)</f>
        <v/>
      </c>
    </row>
    <row r="2502">
      <c r="B2502" s="6">
        <f>C2502&amp;D2502</f>
        <v/>
      </c>
      <c r="C2502" s="6">
        <f>YEAR(E2502)</f>
        <v/>
      </c>
      <c r="D2502" s="6">
        <f>MONTH(E2502)</f>
        <v/>
      </c>
      <c r="J2502" s="6">
        <f>K2502&amp;L2502</f>
        <v/>
      </c>
      <c r="K2502" s="6">
        <f>YEAR(M2502)</f>
        <v/>
      </c>
      <c r="L2502" s="6">
        <f>MONTH(M2502)</f>
        <v/>
      </c>
      <c r="R2502" s="6">
        <f>S2502&amp;T2502</f>
        <v/>
      </c>
      <c r="S2502" s="6">
        <f>YEAR(U2502)</f>
        <v/>
      </c>
      <c r="T2502" s="6">
        <f>MONTH(U2502)</f>
        <v/>
      </c>
      <c r="Z2502" s="6">
        <f>AA2502&amp;AB2502</f>
        <v/>
      </c>
      <c r="AA2502" s="6">
        <f>YEAR(AC2502)</f>
        <v/>
      </c>
      <c r="AB2502" s="6">
        <f>MONTH(AC2502)</f>
        <v/>
      </c>
      <c r="AC2502" s="267">
        <f>IFERROR(__xludf.DUMMYFUNCTION("""COMPUTED_VALUE"""),45654.9986111111)</f>
        <v/>
      </c>
      <c r="AD2502" s="6">
        <f>IFERROR(__xludf.DUMMYFUNCTION("""COMPUTED_VALUE"""),1472.8)</f>
        <v/>
      </c>
      <c r="AH2502" s="6">
        <f>AI2502&amp;AJ2502</f>
        <v/>
      </c>
      <c r="AI2502" s="6">
        <f>YEAR(AK2502)</f>
        <v/>
      </c>
      <c r="AJ2502" s="6">
        <f>MONTH(AK2502)</f>
        <v/>
      </c>
      <c r="AK2502" s="267">
        <f>IFERROR(__xludf.DUMMYFUNCTION("""COMPUTED_VALUE"""),45596.9986111111)</f>
        <v/>
      </c>
      <c r="AL2502" s="6">
        <f>IFERROR(__xludf.DUMMYFUNCTION("""COMPUTED_VALUE"""),72327.32)</f>
        <v/>
      </c>
      <c r="AP2502" s="6">
        <f>AQ2502&amp;AR2502</f>
        <v/>
      </c>
      <c r="AQ2502" s="6">
        <f>YEAR(AS2502)</f>
        <v/>
      </c>
      <c r="AR2502" s="6">
        <f>MONTH(AS2502)</f>
        <v/>
      </c>
    </row>
    <row r="2503">
      <c r="B2503" s="6">
        <f>C2503&amp;D2503</f>
        <v/>
      </c>
      <c r="C2503" s="6">
        <f>YEAR(E2503)</f>
        <v/>
      </c>
      <c r="D2503" s="6">
        <f>MONTH(E2503)</f>
        <v/>
      </c>
      <c r="J2503" s="6">
        <f>K2503&amp;L2503</f>
        <v/>
      </c>
      <c r="K2503" s="6">
        <f>YEAR(M2503)</f>
        <v/>
      </c>
      <c r="L2503" s="6">
        <f>MONTH(M2503)</f>
        <v/>
      </c>
      <c r="R2503" s="6">
        <f>S2503&amp;T2503</f>
        <v/>
      </c>
      <c r="S2503" s="6">
        <f>YEAR(U2503)</f>
        <v/>
      </c>
      <c r="T2503" s="6">
        <f>MONTH(U2503)</f>
        <v/>
      </c>
      <c r="Z2503" s="6">
        <f>AA2503&amp;AB2503</f>
        <v/>
      </c>
      <c r="AA2503" s="6">
        <f>YEAR(AC2503)</f>
        <v/>
      </c>
      <c r="AB2503" s="6">
        <f>MONTH(AC2503)</f>
        <v/>
      </c>
      <c r="AC2503" s="267">
        <f>IFERROR(__xludf.DUMMYFUNCTION("""COMPUTED_VALUE"""),45655.9986111111)</f>
        <v/>
      </c>
      <c r="AD2503" s="6">
        <f>IFERROR(__xludf.DUMMYFUNCTION("""COMPUTED_VALUE"""),1472.8)</f>
        <v/>
      </c>
      <c r="AH2503" s="6">
        <f>AI2503&amp;AJ2503</f>
        <v/>
      </c>
      <c r="AI2503" s="6">
        <f>YEAR(AK2503)</f>
        <v/>
      </c>
      <c r="AJ2503" s="6">
        <f>MONTH(AK2503)</f>
        <v/>
      </c>
      <c r="AK2503" s="267">
        <f>IFERROR(__xludf.DUMMYFUNCTION("""COMPUTED_VALUE"""),45597.9986111111)</f>
        <v/>
      </c>
      <c r="AL2503" s="6">
        <f>IFERROR(__xludf.DUMMYFUNCTION("""COMPUTED_VALUE"""),69310.14)</f>
        <v/>
      </c>
      <c r="AP2503" s="6">
        <f>AQ2503&amp;AR2503</f>
        <v/>
      </c>
      <c r="AQ2503" s="6">
        <f>YEAR(AS2503)</f>
        <v/>
      </c>
      <c r="AR2503" s="6">
        <f>MONTH(AS2503)</f>
        <v/>
      </c>
    </row>
    <row r="2504">
      <c r="B2504" s="6">
        <f>C2504&amp;D2504</f>
        <v/>
      </c>
      <c r="C2504" s="6">
        <f>YEAR(E2504)</f>
        <v/>
      </c>
      <c r="D2504" s="6">
        <f>MONTH(E2504)</f>
        <v/>
      </c>
      <c r="J2504" s="6">
        <f>K2504&amp;L2504</f>
        <v/>
      </c>
      <c r="K2504" s="6">
        <f>YEAR(M2504)</f>
        <v/>
      </c>
      <c r="L2504" s="6">
        <f>MONTH(M2504)</f>
        <v/>
      </c>
      <c r="R2504" s="6">
        <f>S2504&amp;T2504</f>
        <v/>
      </c>
      <c r="S2504" s="6">
        <f>YEAR(U2504)</f>
        <v/>
      </c>
      <c r="T2504" s="6">
        <f>MONTH(U2504)</f>
        <v/>
      </c>
      <c r="Z2504" s="6">
        <f>AA2504&amp;AB2504</f>
        <v/>
      </c>
      <c r="AA2504" s="6">
        <f>YEAR(AC2504)</f>
        <v/>
      </c>
      <c r="AB2504" s="6">
        <f>MONTH(AC2504)</f>
        <v/>
      </c>
      <c r="AC2504" s="267">
        <f>IFERROR(__xludf.DUMMYFUNCTION("""COMPUTED_VALUE"""),45656.9986111111)</f>
        <v/>
      </c>
      <c r="AD2504" s="6">
        <f>IFERROR(__xludf.DUMMYFUNCTION("""COMPUTED_VALUE"""),1467.39)</f>
        <v/>
      </c>
      <c r="AH2504" s="6">
        <f>AI2504&amp;AJ2504</f>
        <v/>
      </c>
      <c r="AI2504" s="6">
        <f>YEAR(AK2504)</f>
        <v/>
      </c>
      <c r="AJ2504" s="6">
        <f>MONTH(AK2504)</f>
        <v/>
      </c>
      <c r="AK2504" s="267">
        <f>IFERROR(__xludf.DUMMYFUNCTION("""COMPUTED_VALUE"""),45598.9986111111)</f>
        <v/>
      </c>
      <c r="AL2504" s="6">
        <f>IFERROR(__xludf.DUMMYFUNCTION("""COMPUTED_VALUE"""),69621.91)</f>
        <v/>
      </c>
      <c r="AP2504" s="6">
        <f>AQ2504&amp;AR2504</f>
        <v/>
      </c>
      <c r="AQ2504" s="6">
        <f>YEAR(AS2504)</f>
        <v/>
      </c>
      <c r="AR2504" s="6">
        <f>MONTH(AS2504)</f>
        <v/>
      </c>
    </row>
    <row r="2505">
      <c r="B2505" s="6">
        <f>C2505&amp;D2505</f>
        <v/>
      </c>
      <c r="C2505" s="6">
        <f>YEAR(E2505)</f>
        <v/>
      </c>
      <c r="D2505" s="6">
        <f>MONTH(E2505)</f>
        <v/>
      </c>
      <c r="J2505" s="6">
        <f>K2505&amp;L2505</f>
        <v/>
      </c>
      <c r="K2505" s="6">
        <f>YEAR(M2505)</f>
        <v/>
      </c>
      <c r="L2505" s="6">
        <f>MONTH(M2505)</f>
        <v/>
      </c>
      <c r="R2505" s="6">
        <f>S2505&amp;T2505</f>
        <v/>
      </c>
      <c r="S2505" s="6">
        <f>YEAR(U2505)</f>
        <v/>
      </c>
      <c r="T2505" s="6">
        <f>MONTH(U2505)</f>
        <v/>
      </c>
      <c r="Z2505" s="6">
        <f>AA2505&amp;AB2505</f>
        <v/>
      </c>
      <c r="AA2505" s="6">
        <f>YEAR(AC2505)</f>
        <v/>
      </c>
      <c r="AB2505" s="6">
        <f>MONTH(AC2505)</f>
        <v/>
      </c>
      <c r="AC2505" s="267">
        <f>IFERROR(__xludf.DUMMYFUNCTION("""COMPUTED_VALUE"""),45657.9986111111)</f>
        <v/>
      </c>
      <c r="AD2505" s="6">
        <f>IFERROR(__xludf.DUMMYFUNCTION("""COMPUTED_VALUE"""),1476.69)</f>
        <v/>
      </c>
      <c r="AH2505" s="6">
        <f>AI2505&amp;AJ2505</f>
        <v/>
      </c>
      <c r="AI2505" s="6">
        <f>YEAR(AK2505)</f>
        <v/>
      </c>
      <c r="AJ2505" s="6">
        <f>MONTH(AK2505)</f>
        <v/>
      </c>
      <c r="AK2505" s="267">
        <f>IFERROR(__xludf.DUMMYFUNCTION("""COMPUTED_VALUE"""),45599.9986111111)</f>
        <v/>
      </c>
      <c r="AL2505" s="6">
        <f>IFERROR(__xludf.DUMMYFUNCTION("""COMPUTED_VALUE"""),68434.65)</f>
        <v/>
      </c>
      <c r="AP2505" s="6">
        <f>AQ2505&amp;AR2505</f>
        <v/>
      </c>
      <c r="AQ2505" s="6">
        <f>YEAR(AS2505)</f>
        <v/>
      </c>
      <c r="AR2505" s="6">
        <f>MONTH(AS2505)</f>
        <v/>
      </c>
    </row>
    <row r="2506">
      <c r="B2506" s="6">
        <f>C2506&amp;D2506</f>
        <v/>
      </c>
      <c r="C2506" s="6">
        <f>YEAR(E2506)</f>
        <v/>
      </c>
      <c r="D2506" s="6">
        <f>MONTH(E2506)</f>
        <v/>
      </c>
      <c r="J2506" s="6">
        <f>K2506&amp;L2506</f>
        <v/>
      </c>
      <c r="K2506" s="6">
        <f>YEAR(M2506)</f>
        <v/>
      </c>
      <c r="L2506" s="6">
        <f>MONTH(M2506)</f>
        <v/>
      </c>
      <c r="R2506" s="6">
        <f>S2506&amp;T2506</f>
        <v/>
      </c>
      <c r="S2506" s="6">
        <f>YEAR(U2506)</f>
        <v/>
      </c>
      <c r="T2506" s="6">
        <f>MONTH(U2506)</f>
        <v/>
      </c>
      <c r="Z2506" s="6">
        <f>AA2506&amp;AB2506</f>
        <v/>
      </c>
      <c r="AA2506" s="6">
        <f>YEAR(AC2506)</f>
        <v/>
      </c>
      <c r="AB2506" s="6">
        <f>MONTH(AC2506)</f>
        <v/>
      </c>
      <c r="AC2506" s="267">
        <f>IFERROR(__xludf.DUMMYFUNCTION("""COMPUTED_VALUE"""),45658.9986111111)</f>
        <v/>
      </c>
      <c r="AD2506" s="6">
        <f>IFERROR(__xludf.DUMMYFUNCTION("""COMPUTED_VALUE"""),1473.52)</f>
        <v/>
      </c>
      <c r="AH2506" s="6">
        <f>AI2506&amp;AJ2506</f>
        <v/>
      </c>
      <c r="AI2506" s="6">
        <f>YEAR(AK2506)</f>
        <v/>
      </c>
      <c r="AJ2506" s="6">
        <f>MONTH(AK2506)</f>
        <v/>
      </c>
      <c r="AK2506" s="267">
        <f>IFERROR(__xludf.DUMMYFUNCTION("""COMPUTED_VALUE"""),45600.9986111111)</f>
        <v/>
      </c>
      <c r="AL2506" s="6">
        <f>IFERROR(__xludf.DUMMYFUNCTION("""COMPUTED_VALUE"""),69121.93)</f>
        <v/>
      </c>
      <c r="AP2506" s="6">
        <f>AQ2506&amp;AR2506</f>
        <v/>
      </c>
      <c r="AQ2506" s="6">
        <f>YEAR(AS2506)</f>
        <v/>
      </c>
      <c r="AR2506" s="6">
        <f>MONTH(AS2506)</f>
        <v/>
      </c>
    </row>
    <row r="2507">
      <c r="B2507" s="6">
        <f>C2507&amp;D2507</f>
        <v/>
      </c>
      <c r="C2507" s="6">
        <f>YEAR(E2507)</f>
        <v/>
      </c>
      <c r="D2507" s="6">
        <f>MONTH(E2507)</f>
        <v/>
      </c>
      <c r="J2507" s="6">
        <f>K2507&amp;L2507</f>
        <v/>
      </c>
      <c r="K2507" s="6">
        <f>YEAR(M2507)</f>
        <v/>
      </c>
      <c r="L2507" s="6">
        <f>MONTH(M2507)</f>
        <v/>
      </c>
      <c r="R2507" s="6">
        <f>S2507&amp;T2507</f>
        <v/>
      </c>
      <c r="S2507" s="6">
        <f>YEAR(U2507)</f>
        <v/>
      </c>
      <c r="T2507" s="6">
        <f>MONTH(U2507)</f>
        <v/>
      </c>
      <c r="Z2507" s="6">
        <f>AA2507&amp;AB2507</f>
        <v/>
      </c>
      <c r="AA2507" s="6">
        <f>YEAR(AC2507)</f>
        <v/>
      </c>
      <c r="AB2507" s="6">
        <f>MONTH(AC2507)</f>
        <v/>
      </c>
      <c r="AC2507" s="267">
        <f>IFERROR(__xludf.DUMMYFUNCTION("""COMPUTED_VALUE"""),45659.9986111111)</f>
        <v/>
      </c>
      <c r="AD2507" s="6">
        <f>IFERROR(__xludf.DUMMYFUNCTION("""COMPUTED_VALUE"""),1471.65)</f>
        <v/>
      </c>
      <c r="AH2507" s="6">
        <f>AI2507&amp;AJ2507</f>
        <v/>
      </c>
      <c r="AI2507" s="6">
        <f>YEAR(AK2507)</f>
        <v/>
      </c>
      <c r="AJ2507" s="6">
        <f>MONTH(AK2507)</f>
        <v/>
      </c>
      <c r="AK2507" s="267">
        <f>IFERROR(__xludf.DUMMYFUNCTION("""COMPUTED_VALUE"""),45601.9986111111)</f>
        <v/>
      </c>
      <c r="AL2507" s="6">
        <f>IFERROR(__xludf.DUMMYFUNCTION("""COMPUTED_VALUE"""),68317.69)</f>
        <v/>
      </c>
      <c r="AP2507" s="6">
        <f>AQ2507&amp;AR2507</f>
        <v/>
      </c>
      <c r="AQ2507" s="6">
        <f>YEAR(AS2507)</f>
        <v/>
      </c>
      <c r="AR2507" s="6">
        <f>MONTH(AS2507)</f>
        <v/>
      </c>
    </row>
    <row r="2508">
      <c r="B2508" s="6">
        <f>C2508&amp;D2508</f>
        <v/>
      </c>
      <c r="C2508" s="6">
        <f>YEAR(E2508)</f>
        <v/>
      </c>
      <c r="D2508" s="6">
        <f>MONTH(E2508)</f>
        <v/>
      </c>
      <c r="J2508" s="6">
        <f>K2508&amp;L2508</f>
        <v/>
      </c>
      <c r="K2508" s="6">
        <f>YEAR(M2508)</f>
        <v/>
      </c>
      <c r="L2508" s="6">
        <f>MONTH(M2508)</f>
        <v/>
      </c>
      <c r="R2508" s="6">
        <f>S2508&amp;T2508</f>
        <v/>
      </c>
      <c r="S2508" s="6">
        <f>YEAR(U2508)</f>
        <v/>
      </c>
      <c r="T2508" s="6">
        <f>MONTH(U2508)</f>
        <v/>
      </c>
      <c r="Z2508" s="6">
        <f>AA2508&amp;AB2508</f>
        <v/>
      </c>
      <c r="AA2508" s="6">
        <f>YEAR(AC2508)</f>
        <v/>
      </c>
      <c r="AB2508" s="6">
        <f>MONTH(AC2508)</f>
        <v/>
      </c>
      <c r="AC2508" s="267">
        <f>IFERROR(__xludf.DUMMYFUNCTION("""COMPUTED_VALUE"""),45660.9986111111)</f>
        <v/>
      </c>
      <c r="AD2508" s="6">
        <f>IFERROR(__xludf.DUMMYFUNCTION("""COMPUTED_VALUE"""),1465.53)</f>
        <v/>
      </c>
      <c r="AH2508" s="6">
        <f>AI2508&amp;AJ2508</f>
        <v/>
      </c>
      <c r="AI2508" s="6">
        <f>YEAR(AK2508)</f>
        <v/>
      </c>
      <c r="AJ2508" s="6">
        <f>MONTH(AK2508)</f>
        <v/>
      </c>
      <c r="AK2508" s="267">
        <f>IFERROR(__xludf.DUMMYFUNCTION("""COMPUTED_VALUE"""),45602.9986111111)</f>
        <v/>
      </c>
      <c r="AL2508" s="6">
        <f>IFERROR(__xludf.DUMMYFUNCTION("""COMPUTED_VALUE"""),74445.82)</f>
        <v/>
      </c>
      <c r="AP2508" s="6">
        <f>AQ2508&amp;AR2508</f>
        <v/>
      </c>
      <c r="AQ2508" s="6">
        <f>YEAR(AS2508)</f>
        <v/>
      </c>
      <c r="AR2508" s="6">
        <f>MONTH(AS2508)</f>
        <v/>
      </c>
    </row>
    <row r="2509">
      <c r="B2509" s="6">
        <f>C2509&amp;D2509</f>
        <v/>
      </c>
      <c r="C2509" s="6">
        <f>YEAR(E2509)</f>
        <v/>
      </c>
      <c r="D2509" s="6">
        <f>MONTH(E2509)</f>
        <v/>
      </c>
      <c r="J2509" s="6">
        <f>K2509&amp;L2509</f>
        <v/>
      </c>
      <c r="K2509" s="6">
        <f>YEAR(M2509)</f>
        <v/>
      </c>
      <c r="L2509" s="6">
        <f>MONTH(M2509)</f>
        <v/>
      </c>
      <c r="R2509" s="6">
        <f>S2509&amp;T2509</f>
        <v/>
      </c>
      <c r="S2509" s="6">
        <f>YEAR(U2509)</f>
        <v/>
      </c>
      <c r="T2509" s="6">
        <f>MONTH(U2509)</f>
        <v/>
      </c>
      <c r="Z2509" s="6">
        <f>AA2509&amp;AB2509</f>
        <v/>
      </c>
      <c r="AA2509" s="6">
        <f>YEAR(AC2509)</f>
        <v/>
      </c>
      <c r="AB2509" s="6">
        <f>MONTH(AC2509)</f>
        <v/>
      </c>
      <c r="AC2509" s="267">
        <f>IFERROR(__xludf.DUMMYFUNCTION("""COMPUTED_VALUE"""),45661.9986111111)</f>
        <v/>
      </c>
      <c r="AD2509" s="6">
        <f>IFERROR(__xludf.DUMMYFUNCTION("""COMPUTED_VALUE"""),1465.53)</f>
        <v/>
      </c>
      <c r="AH2509" s="6">
        <f>AI2509&amp;AJ2509</f>
        <v/>
      </c>
      <c r="AI2509" s="6">
        <f>YEAR(AK2509)</f>
        <v/>
      </c>
      <c r="AJ2509" s="6">
        <f>MONTH(AK2509)</f>
        <v/>
      </c>
      <c r="AK2509" s="267">
        <f>IFERROR(__xludf.DUMMYFUNCTION("""COMPUTED_VALUE"""),45603.9986111111)</f>
        <v/>
      </c>
      <c r="AL2509" s="6">
        <f>IFERROR(__xludf.DUMMYFUNCTION("""COMPUTED_VALUE"""),74732.36)</f>
        <v/>
      </c>
      <c r="AP2509" s="6">
        <f>AQ2509&amp;AR2509</f>
        <v/>
      </c>
      <c r="AQ2509" s="6">
        <f>YEAR(AS2509)</f>
        <v/>
      </c>
      <c r="AR2509" s="6">
        <f>MONTH(AS2509)</f>
        <v/>
      </c>
    </row>
    <row r="2510">
      <c r="B2510" s="6">
        <f>C2510&amp;D2510</f>
        <v/>
      </c>
      <c r="C2510" s="6">
        <f>YEAR(E2510)</f>
        <v/>
      </c>
      <c r="D2510" s="6">
        <f>MONTH(E2510)</f>
        <v/>
      </c>
      <c r="J2510" s="6">
        <f>K2510&amp;L2510</f>
        <v/>
      </c>
      <c r="K2510" s="6">
        <f>YEAR(M2510)</f>
        <v/>
      </c>
      <c r="L2510" s="6">
        <f>MONTH(M2510)</f>
        <v/>
      </c>
      <c r="R2510" s="6">
        <f>S2510&amp;T2510</f>
        <v/>
      </c>
      <c r="S2510" s="6">
        <f>YEAR(U2510)</f>
        <v/>
      </c>
      <c r="T2510" s="6">
        <f>MONTH(U2510)</f>
        <v/>
      </c>
      <c r="Z2510" s="6">
        <f>AA2510&amp;AB2510</f>
        <v/>
      </c>
      <c r="AA2510" s="6">
        <f>YEAR(AC2510)</f>
        <v/>
      </c>
      <c r="AB2510" s="6">
        <f>MONTH(AC2510)</f>
        <v/>
      </c>
      <c r="AC2510" s="267">
        <f>IFERROR(__xludf.DUMMYFUNCTION("""COMPUTED_VALUE"""),45662.9986111111)</f>
        <v/>
      </c>
      <c r="AD2510" s="6">
        <f>IFERROR(__xludf.DUMMYFUNCTION("""COMPUTED_VALUE"""),1465.53)</f>
        <v/>
      </c>
      <c r="AH2510" s="6">
        <f>AI2510&amp;AJ2510</f>
        <v/>
      </c>
      <c r="AI2510" s="6">
        <f>YEAR(AK2510)</f>
        <v/>
      </c>
      <c r="AJ2510" s="6">
        <f>MONTH(AK2510)</f>
        <v/>
      </c>
      <c r="AK2510" s="267">
        <f>IFERROR(__xludf.DUMMYFUNCTION("""COMPUTED_VALUE"""),45604.9986111111)</f>
        <v/>
      </c>
      <c r="AL2510" s="6">
        <f>IFERROR(__xludf.DUMMYFUNCTION("""COMPUTED_VALUE"""),75883.62)</f>
        <v/>
      </c>
      <c r="AP2510" s="6">
        <f>AQ2510&amp;AR2510</f>
        <v/>
      </c>
      <c r="AQ2510" s="6">
        <f>YEAR(AS2510)</f>
        <v/>
      </c>
      <c r="AR2510" s="6">
        <f>MONTH(AS2510)</f>
        <v/>
      </c>
    </row>
    <row r="2511">
      <c r="B2511" s="6">
        <f>C2511&amp;D2511</f>
        <v/>
      </c>
      <c r="C2511" s="6">
        <f>YEAR(E2511)</f>
        <v/>
      </c>
      <c r="D2511" s="6">
        <f>MONTH(E2511)</f>
        <v/>
      </c>
      <c r="J2511" s="6">
        <f>K2511&amp;L2511</f>
        <v/>
      </c>
      <c r="K2511" s="6">
        <f>YEAR(M2511)</f>
        <v/>
      </c>
      <c r="L2511" s="6">
        <f>MONTH(M2511)</f>
        <v/>
      </c>
      <c r="R2511" s="6">
        <f>S2511&amp;T2511</f>
        <v/>
      </c>
      <c r="S2511" s="6">
        <f>YEAR(U2511)</f>
        <v/>
      </c>
      <c r="T2511" s="6">
        <f>MONTH(U2511)</f>
        <v/>
      </c>
      <c r="Z2511" s="6">
        <f>AA2511&amp;AB2511</f>
        <v/>
      </c>
      <c r="AA2511" s="6">
        <f>YEAR(AC2511)</f>
        <v/>
      </c>
      <c r="AB2511" s="6">
        <f>MONTH(AC2511)</f>
        <v/>
      </c>
      <c r="AC2511" s="267">
        <f>IFERROR(__xludf.DUMMYFUNCTION("""COMPUTED_VALUE"""),45663.9986111111)</f>
        <v/>
      </c>
      <c r="AD2511" s="6">
        <f>IFERROR(__xludf.DUMMYFUNCTION("""COMPUTED_VALUE"""),1459.45)</f>
        <v/>
      </c>
      <c r="AH2511" s="6">
        <f>AI2511&amp;AJ2511</f>
        <v/>
      </c>
      <c r="AI2511" s="6">
        <f>YEAR(AK2511)</f>
        <v/>
      </c>
      <c r="AJ2511" s="6">
        <f>MONTH(AK2511)</f>
        <v/>
      </c>
      <c r="AK2511" s="267">
        <f>IFERROR(__xludf.DUMMYFUNCTION("""COMPUTED_VALUE"""),45605.9986111111)</f>
        <v/>
      </c>
      <c r="AL2511" s="6">
        <f>IFERROR(__xludf.DUMMYFUNCTION("""COMPUTED_VALUE"""),76413.14)</f>
        <v/>
      </c>
      <c r="AP2511" s="6">
        <f>AQ2511&amp;AR2511</f>
        <v/>
      </c>
      <c r="AQ2511" s="6">
        <f>YEAR(AS2511)</f>
        <v/>
      </c>
      <c r="AR2511" s="6">
        <f>MONTH(AS2511)</f>
        <v/>
      </c>
    </row>
    <row r="2512">
      <c r="B2512" s="6">
        <f>C2512&amp;D2512</f>
        <v/>
      </c>
      <c r="C2512" s="6">
        <f>YEAR(E2512)</f>
        <v/>
      </c>
      <c r="D2512" s="6">
        <f>MONTH(E2512)</f>
        <v/>
      </c>
      <c r="J2512" s="6">
        <f>K2512&amp;L2512</f>
        <v/>
      </c>
      <c r="K2512" s="6">
        <f>YEAR(M2512)</f>
        <v/>
      </c>
      <c r="L2512" s="6">
        <f>MONTH(M2512)</f>
        <v/>
      </c>
      <c r="R2512" s="6">
        <f>S2512&amp;T2512</f>
        <v/>
      </c>
      <c r="S2512" s="6">
        <f>YEAR(U2512)</f>
        <v/>
      </c>
      <c r="T2512" s="6">
        <f>MONTH(U2512)</f>
        <v/>
      </c>
      <c r="Z2512" s="6">
        <f>AA2512&amp;AB2512</f>
        <v/>
      </c>
      <c r="AA2512" s="6">
        <f>YEAR(AC2512)</f>
        <v/>
      </c>
      <c r="AB2512" s="6">
        <f>MONTH(AC2512)</f>
        <v/>
      </c>
      <c r="AC2512" s="267">
        <f>IFERROR(__xludf.DUMMYFUNCTION("""COMPUTED_VALUE"""),45664.9986111111)</f>
        <v/>
      </c>
      <c r="AD2512" s="6">
        <f>IFERROR(__xludf.DUMMYFUNCTION("""COMPUTED_VALUE"""),1451.88)</f>
        <v/>
      </c>
      <c r="AH2512" s="6">
        <f>AI2512&amp;AJ2512</f>
        <v/>
      </c>
      <c r="AI2512" s="6">
        <f>YEAR(AK2512)</f>
        <v/>
      </c>
      <c r="AJ2512" s="6">
        <f>MONTH(AK2512)</f>
        <v/>
      </c>
      <c r="AK2512" s="267">
        <f>IFERROR(__xludf.DUMMYFUNCTION("""COMPUTED_VALUE"""),45606.9986111111)</f>
        <v/>
      </c>
      <c r="AL2512" s="6">
        <f>IFERROR(__xludf.DUMMYFUNCTION("""COMPUTED_VALUE"""),78990.8)</f>
        <v/>
      </c>
      <c r="AP2512" s="6">
        <f>AQ2512&amp;AR2512</f>
        <v/>
      </c>
      <c r="AQ2512" s="6">
        <f>YEAR(AS2512)</f>
        <v/>
      </c>
      <c r="AR2512" s="6">
        <f>MONTH(AS2512)</f>
        <v/>
      </c>
    </row>
    <row r="2513">
      <c r="B2513" s="6">
        <f>C2513&amp;D2513</f>
        <v/>
      </c>
      <c r="C2513" s="6">
        <f>YEAR(E2513)</f>
        <v/>
      </c>
      <c r="D2513" s="6">
        <f>MONTH(E2513)</f>
        <v/>
      </c>
      <c r="J2513" s="6">
        <f>K2513&amp;L2513</f>
        <v/>
      </c>
      <c r="K2513" s="6">
        <f>YEAR(M2513)</f>
        <v/>
      </c>
      <c r="L2513" s="6">
        <f>MONTH(M2513)</f>
        <v/>
      </c>
      <c r="R2513" s="6">
        <f>S2513&amp;T2513</f>
        <v/>
      </c>
      <c r="S2513" s="6">
        <f>YEAR(U2513)</f>
        <v/>
      </c>
      <c r="T2513" s="6">
        <f>MONTH(U2513)</f>
        <v/>
      </c>
      <c r="Z2513" s="6">
        <f>AA2513&amp;AB2513</f>
        <v/>
      </c>
      <c r="AA2513" s="6">
        <f>YEAR(AC2513)</f>
        <v/>
      </c>
      <c r="AB2513" s="6">
        <f>MONTH(AC2513)</f>
        <v/>
      </c>
      <c r="AC2513" s="267">
        <f>IFERROR(__xludf.DUMMYFUNCTION("""COMPUTED_VALUE"""),45665.9986111111)</f>
        <v/>
      </c>
      <c r="AD2513" s="6">
        <f>IFERROR(__xludf.DUMMYFUNCTION("""COMPUTED_VALUE"""),1457.97)</f>
        <v/>
      </c>
      <c r="AH2513" s="6">
        <f>AI2513&amp;AJ2513</f>
        <v/>
      </c>
      <c r="AI2513" s="6">
        <f>YEAR(AK2513)</f>
        <v/>
      </c>
      <c r="AJ2513" s="6">
        <f>MONTH(AK2513)</f>
        <v/>
      </c>
      <c r="AK2513" s="267">
        <f>IFERROR(__xludf.DUMMYFUNCTION("""COMPUTED_VALUE"""),45607.9986111111)</f>
        <v/>
      </c>
      <c r="AL2513" s="6">
        <f>IFERROR(__xludf.DUMMYFUNCTION("""COMPUTED_VALUE"""),81483.31)</f>
        <v/>
      </c>
      <c r="AP2513" s="6">
        <f>AQ2513&amp;AR2513</f>
        <v/>
      </c>
      <c r="AQ2513" s="6">
        <f>YEAR(AS2513)</f>
        <v/>
      </c>
      <c r="AR2513" s="6">
        <f>MONTH(AS2513)</f>
        <v/>
      </c>
    </row>
    <row r="2514">
      <c r="B2514" s="6">
        <f>C2514&amp;D2514</f>
        <v/>
      </c>
      <c r="C2514" s="6">
        <f>YEAR(E2514)</f>
        <v/>
      </c>
      <c r="D2514" s="6">
        <f>MONTH(E2514)</f>
        <v/>
      </c>
      <c r="J2514" s="6">
        <f>K2514&amp;L2514</f>
        <v/>
      </c>
      <c r="K2514" s="6">
        <f>YEAR(M2514)</f>
        <v/>
      </c>
      <c r="L2514" s="6">
        <f>MONTH(M2514)</f>
        <v/>
      </c>
      <c r="R2514" s="6">
        <f>S2514&amp;T2514</f>
        <v/>
      </c>
      <c r="S2514" s="6">
        <f>YEAR(U2514)</f>
        <v/>
      </c>
      <c r="T2514" s="6">
        <f>MONTH(U2514)</f>
        <v/>
      </c>
      <c r="Z2514" s="6">
        <f>AA2514&amp;AB2514</f>
        <v/>
      </c>
      <c r="AA2514" s="6">
        <f>YEAR(AC2514)</f>
        <v/>
      </c>
      <c r="AB2514" s="6">
        <f>MONTH(AC2514)</f>
        <v/>
      </c>
      <c r="AC2514" s="267">
        <f>IFERROR(__xludf.DUMMYFUNCTION("""COMPUTED_VALUE"""),45666.9986111111)</f>
        <v/>
      </c>
      <c r="AD2514" s="6">
        <f>IFERROR(__xludf.DUMMYFUNCTION("""COMPUTED_VALUE"""),1455.23)</f>
        <v/>
      </c>
      <c r="AH2514" s="6">
        <f>AI2514&amp;AJ2514</f>
        <v/>
      </c>
      <c r="AI2514" s="6">
        <f>YEAR(AK2514)</f>
        <v/>
      </c>
      <c r="AJ2514" s="6">
        <f>MONTH(AK2514)</f>
        <v/>
      </c>
      <c r="AK2514" s="267">
        <f>IFERROR(__xludf.DUMMYFUNCTION("""COMPUTED_VALUE"""),45608.9986111111)</f>
        <v/>
      </c>
      <c r="AL2514" s="6">
        <f>IFERROR(__xludf.DUMMYFUNCTION("""COMPUTED_VALUE"""),88470.49)</f>
        <v/>
      </c>
      <c r="AP2514" s="6">
        <f>AQ2514&amp;AR2514</f>
        <v/>
      </c>
      <c r="AQ2514" s="6">
        <f>YEAR(AS2514)</f>
        <v/>
      </c>
      <c r="AR2514" s="6">
        <f>MONTH(AS2514)</f>
        <v/>
      </c>
    </row>
    <row r="2515">
      <c r="B2515" s="6">
        <f>C2515&amp;D2515</f>
        <v/>
      </c>
      <c r="C2515" s="6">
        <f>YEAR(E2515)</f>
        <v/>
      </c>
      <c r="D2515" s="6">
        <f>MONTH(E2515)</f>
        <v/>
      </c>
      <c r="J2515" s="6">
        <f>K2515&amp;L2515</f>
        <v/>
      </c>
      <c r="K2515" s="6">
        <f>YEAR(M2515)</f>
        <v/>
      </c>
      <c r="L2515" s="6">
        <f>MONTH(M2515)</f>
        <v/>
      </c>
      <c r="R2515" s="6">
        <f>S2515&amp;T2515</f>
        <v/>
      </c>
      <c r="S2515" s="6">
        <f>YEAR(U2515)</f>
        <v/>
      </c>
      <c r="T2515" s="6">
        <f>MONTH(U2515)</f>
        <v/>
      </c>
      <c r="Z2515" s="6">
        <f>AA2515&amp;AB2515</f>
        <v/>
      </c>
      <c r="AA2515" s="6">
        <f>YEAR(AC2515)</f>
        <v/>
      </c>
      <c r="AB2515" s="6">
        <f>MONTH(AC2515)</f>
        <v/>
      </c>
      <c r="AC2515" s="267">
        <f>IFERROR(__xludf.DUMMYFUNCTION("""COMPUTED_VALUE"""),45667.9986111111)</f>
        <v/>
      </c>
      <c r="AD2515" s="6">
        <f>IFERROR(__xludf.DUMMYFUNCTION("""COMPUTED_VALUE"""),1472.25)</f>
        <v/>
      </c>
      <c r="AH2515" s="6">
        <f>AI2515&amp;AJ2515</f>
        <v/>
      </c>
      <c r="AI2515" s="6">
        <f>YEAR(AK2515)</f>
        <v/>
      </c>
      <c r="AJ2515" s="6">
        <f>MONTH(AK2515)</f>
        <v/>
      </c>
      <c r="AK2515" s="267">
        <f>IFERROR(__xludf.DUMMYFUNCTION("""COMPUTED_VALUE"""),45609.9986111111)</f>
        <v/>
      </c>
      <c r="AL2515" s="6">
        <f>IFERROR(__xludf.DUMMYFUNCTION("""COMPUTED_VALUE"""),87125.45)</f>
        <v/>
      </c>
      <c r="AP2515" s="6">
        <f>AQ2515&amp;AR2515</f>
        <v/>
      </c>
      <c r="AQ2515" s="6">
        <f>YEAR(AS2515)</f>
        <v/>
      </c>
      <c r="AR2515" s="6">
        <f>MONTH(AS2515)</f>
        <v/>
      </c>
    </row>
    <row r="2516">
      <c r="B2516" s="6">
        <f>C2516&amp;D2516</f>
        <v/>
      </c>
      <c r="C2516" s="6">
        <f>YEAR(E2516)</f>
        <v/>
      </c>
      <c r="D2516" s="6">
        <f>MONTH(E2516)</f>
        <v/>
      </c>
      <c r="J2516" s="6">
        <f>K2516&amp;L2516</f>
        <v/>
      </c>
      <c r="K2516" s="6">
        <f>YEAR(M2516)</f>
        <v/>
      </c>
      <c r="L2516" s="6">
        <f>MONTH(M2516)</f>
        <v/>
      </c>
      <c r="R2516" s="6">
        <f>S2516&amp;T2516</f>
        <v/>
      </c>
      <c r="S2516" s="6">
        <f>YEAR(U2516)</f>
        <v/>
      </c>
      <c r="T2516" s="6">
        <f>MONTH(U2516)</f>
        <v/>
      </c>
      <c r="Z2516" s="6">
        <f>AA2516&amp;AB2516</f>
        <v/>
      </c>
      <c r="AA2516" s="6">
        <f>YEAR(AC2516)</f>
        <v/>
      </c>
      <c r="AB2516" s="6">
        <f>MONTH(AC2516)</f>
        <v/>
      </c>
      <c r="AC2516" s="267">
        <f>IFERROR(__xludf.DUMMYFUNCTION("""COMPUTED_VALUE"""),45668.9986111111)</f>
        <v/>
      </c>
      <c r="AD2516" s="6">
        <f>IFERROR(__xludf.DUMMYFUNCTION("""COMPUTED_VALUE"""),1472.25)</f>
        <v/>
      </c>
      <c r="AH2516" s="6">
        <f>AI2516&amp;AJ2516</f>
        <v/>
      </c>
      <c r="AI2516" s="6">
        <f>YEAR(AK2516)</f>
        <v/>
      </c>
      <c r="AJ2516" s="6">
        <f>MONTH(AK2516)</f>
        <v/>
      </c>
      <c r="AK2516" s="267">
        <f>IFERROR(__xludf.DUMMYFUNCTION("""COMPUTED_VALUE"""),45610.9986111111)</f>
        <v/>
      </c>
      <c r="AL2516" s="6">
        <f>IFERROR(__xludf.DUMMYFUNCTION("""COMPUTED_VALUE"""),90107.27)</f>
        <v/>
      </c>
      <c r="AP2516" s="6">
        <f>AQ2516&amp;AR2516</f>
        <v/>
      </c>
      <c r="AQ2516" s="6">
        <f>YEAR(AS2516)</f>
        <v/>
      </c>
      <c r="AR2516" s="6">
        <f>MONTH(AS2516)</f>
        <v/>
      </c>
    </row>
    <row r="2517">
      <c r="B2517" s="6">
        <f>C2517&amp;D2517</f>
        <v/>
      </c>
      <c r="C2517" s="6">
        <f>YEAR(E2517)</f>
        <v/>
      </c>
      <c r="D2517" s="6">
        <f>MONTH(E2517)</f>
        <v/>
      </c>
      <c r="J2517" s="6">
        <f>K2517&amp;L2517</f>
        <v/>
      </c>
      <c r="K2517" s="6">
        <f>YEAR(M2517)</f>
        <v/>
      </c>
      <c r="L2517" s="6">
        <f>MONTH(M2517)</f>
        <v/>
      </c>
      <c r="R2517" s="6">
        <f>S2517&amp;T2517</f>
        <v/>
      </c>
      <c r="S2517" s="6">
        <f>YEAR(U2517)</f>
        <v/>
      </c>
      <c r="T2517" s="6">
        <f>MONTH(U2517)</f>
        <v/>
      </c>
      <c r="Z2517" s="6">
        <f>AA2517&amp;AB2517</f>
        <v/>
      </c>
      <c r="AA2517" s="6">
        <f>YEAR(AC2517)</f>
        <v/>
      </c>
      <c r="AB2517" s="6">
        <f>MONTH(AC2517)</f>
        <v/>
      </c>
      <c r="AC2517" s="267">
        <f>IFERROR(__xludf.DUMMYFUNCTION("""COMPUTED_VALUE"""),45669.9986111111)</f>
        <v/>
      </c>
      <c r="AD2517" s="6">
        <f>IFERROR(__xludf.DUMMYFUNCTION("""COMPUTED_VALUE"""),1472.25)</f>
        <v/>
      </c>
      <c r="AH2517" s="6">
        <f>AI2517&amp;AJ2517</f>
        <v/>
      </c>
      <c r="AI2517" s="6">
        <f>YEAR(AK2517)</f>
        <v/>
      </c>
      <c r="AJ2517" s="6">
        <f>MONTH(AK2517)</f>
        <v/>
      </c>
      <c r="AK2517" s="267">
        <f>IFERROR(__xludf.DUMMYFUNCTION("""COMPUTED_VALUE"""),45611.9986111111)</f>
        <v/>
      </c>
      <c r="AL2517" s="6">
        <f>IFERROR(__xludf.DUMMYFUNCTION("""COMPUTED_VALUE"""),87426.22)</f>
        <v/>
      </c>
      <c r="AP2517" s="6">
        <f>AQ2517&amp;AR2517</f>
        <v/>
      </c>
      <c r="AQ2517" s="6">
        <f>YEAR(AS2517)</f>
        <v/>
      </c>
      <c r="AR2517" s="6">
        <f>MONTH(AS2517)</f>
        <v/>
      </c>
    </row>
    <row r="2518">
      <c r="B2518" s="6">
        <f>C2518&amp;D2518</f>
        <v/>
      </c>
      <c r="C2518" s="6">
        <f>YEAR(E2518)</f>
        <v/>
      </c>
      <c r="D2518" s="6">
        <f>MONTH(E2518)</f>
        <v/>
      </c>
      <c r="J2518" s="6">
        <f>K2518&amp;L2518</f>
        <v/>
      </c>
      <c r="K2518" s="6">
        <f>YEAR(M2518)</f>
        <v/>
      </c>
      <c r="L2518" s="6">
        <f>MONTH(M2518)</f>
        <v/>
      </c>
      <c r="R2518" s="6">
        <f>S2518&amp;T2518</f>
        <v/>
      </c>
      <c r="S2518" s="6">
        <f>YEAR(U2518)</f>
        <v/>
      </c>
      <c r="T2518" s="6">
        <f>MONTH(U2518)</f>
        <v/>
      </c>
      <c r="Z2518" s="6">
        <f>AA2518&amp;AB2518</f>
        <v/>
      </c>
      <c r="AA2518" s="6">
        <f>YEAR(AC2518)</f>
        <v/>
      </c>
      <c r="AB2518" s="6">
        <f>MONTH(AC2518)</f>
        <v/>
      </c>
      <c r="AC2518" s="267">
        <f>IFERROR(__xludf.DUMMYFUNCTION("""COMPUTED_VALUE"""),45670.9986111111)</f>
        <v/>
      </c>
      <c r="AD2518" s="6">
        <f>IFERROR(__xludf.DUMMYFUNCTION("""COMPUTED_VALUE"""),1458.89)</f>
        <v/>
      </c>
      <c r="AH2518" s="6">
        <f>AI2518&amp;AJ2518</f>
        <v/>
      </c>
      <c r="AI2518" s="6">
        <f>YEAR(AK2518)</f>
        <v/>
      </c>
      <c r="AJ2518" s="6">
        <f>MONTH(AK2518)</f>
        <v/>
      </c>
      <c r="AK2518" s="267">
        <f>IFERROR(__xludf.DUMMYFUNCTION("""COMPUTED_VALUE"""),45612.9986111111)</f>
        <v/>
      </c>
      <c r="AL2518" s="6">
        <f>IFERROR(__xludf.DUMMYFUNCTION("""COMPUTED_VALUE"""),91278.47)</f>
        <v/>
      </c>
      <c r="AP2518" s="6">
        <f>AQ2518&amp;AR2518</f>
        <v/>
      </c>
      <c r="AQ2518" s="6">
        <f>YEAR(AS2518)</f>
        <v/>
      </c>
      <c r="AR2518" s="6">
        <f>MONTH(AS2518)</f>
        <v/>
      </c>
    </row>
    <row r="2519">
      <c r="B2519" s="6">
        <f>C2519&amp;D2519</f>
        <v/>
      </c>
      <c r="C2519" s="6">
        <f>YEAR(E2519)</f>
        <v/>
      </c>
      <c r="D2519" s="6">
        <f>MONTH(E2519)</f>
        <v/>
      </c>
      <c r="J2519" s="6">
        <f>K2519&amp;L2519</f>
        <v/>
      </c>
      <c r="K2519" s="6">
        <f>YEAR(M2519)</f>
        <v/>
      </c>
      <c r="L2519" s="6">
        <f>MONTH(M2519)</f>
        <v/>
      </c>
      <c r="R2519" s="6">
        <f>S2519&amp;T2519</f>
        <v/>
      </c>
      <c r="S2519" s="6">
        <f>YEAR(U2519)</f>
        <v/>
      </c>
      <c r="T2519" s="6">
        <f>MONTH(U2519)</f>
        <v/>
      </c>
      <c r="Z2519" s="6">
        <f>AA2519&amp;AB2519</f>
        <v/>
      </c>
      <c r="AA2519" s="6">
        <f>YEAR(AC2519)</f>
        <v/>
      </c>
      <c r="AB2519" s="6">
        <f>MONTH(AC2519)</f>
        <v/>
      </c>
      <c r="AC2519" s="267">
        <f>IFERROR(__xludf.DUMMYFUNCTION("""COMPUTED_VALUE"""),45671.9986111111)</f>
        <v/>
      </c>
      <c r="AD2519" s="6">
        <f>IFERROR(__xludf.DUMMYFUNCTION("""COMPUTED_VALUE"""),1460.03)</f>
        <v/>
      </c>
      <c r="AH2519" s="6">
        <f>AI2519&amp;AJ2519</f>
        <v/>
      </c>
      <c r="AI2519" s="6">
        <f>YEAR(AK2519)</f>
        <v/>
      </c>
      <c r="AJ2519" s="6">
        <f>MONTH(AK2519)</f>
        <v/>
      </c>
      <c r="AK2519" s="267">
        <f>IFERROR(__xludf.DUMMYFUNCTION("""COMPUTED_VALUE"""),45613.9986111111)</f>
        <v/>
      </c>
      <c r="AL2519" s="6">
        <f>IFERROR(__xludf.DUMMYFUNCTION("""COMPUTED_VALUE"""),90318.17)</f>
        <v/>
      </c>
      <c r="AP2519" s="6">
        <f>AQ2519&amp;AR2519</f>
        <v/>
      </c>
      <c r="AQ2519" s="6">
        <f>YEAR(AS2519)</f>
        <v/>
      </c>
      <c r="AR2519" s="6">
        <f>MONTH(AS2519)</f>
        <v/>
      </c>
    </row>
    <row r="2520">
      <c r="B2520" s="6">
        <f>C2520&amp;D2520</f>
        <v/>
      </c>
      <c r="C2520" s="6">
        <f>YEAR(E2520)</f>
        <v/>
      </c>
      <c r="D2520" s="6">
        <f>MONTH(E2520)</f>
        <v/>
      </c>
      <c r="J2520" s="6">
        <f>K2520&amp;L2520</f>
        <v/>
      </c>
      <c r="K2520" s="6">
        <f>YEAR(M2520)</f>
        <v/>
      </c>
      <c r="L2520" s="6">
        <f>MONTH(M2520)</f>
        <v/>
      </c>
      <c r="R2520" s="6">
        <f>S2520&amp;T2520</f>
        <v/>
      </c>
      <c r="S2520" s="6">
        <f>YEAR(U2520)</f>
        <v/>
      </c>
      <c r="T2520" s="6">
        <f>MONTH(U2520)</f>
        <v/>
      </c>
      <c r="Z2520" s="6">
        <f>AA2520&amp;AB2520</f>
        <v/>
      </c>
      <c r="AA2520" s="6">
        <f>YEAR(AC2520)</f>
        <v/>
      </c>
      <c r="AB2520" s="6">
        <f>MONTH(AC2520)</f>
        <v/>
      </c>
      <c r="AC2520" s="267">
        <f>IFERROR(__xludf.DUMMYFUNCTION("""COMPUTED_VALUE"""),45672.9986111111)</f>
        <v/>
      </c>
      <c r="AD2520" s="6">
        <f>IFERROR(__xludf.DUMMYFUNCTION("""COMPUTED_VALUE"""),1437.22)</f>
        <v/>
      </c>
      <c r="AH2520" s="6">
        <f>AI2520&amp;AJ2520</f>
        <v/>
      </c>
      <c r="AI2520" s="6">
        <f>YEAR(AK2520)</f>
        <v/>
      </c>
      <c r="AJ2520" s="6">
        <f>MONTH(AK2520)</f>
        <v/>
      </c>
      <c r="AK2520" s="267">
        <f>IFERROR(__xludf.DUMMYFUNCTION("""COMPUTED_VALUE"""),45614.9986111111)</f>
        <v/>
      </c>
      <c r="AL2520" s="6">
        <f>IFERROR(__xludf.DUMMYFUNCTION("""COMPUTED_VALUE"""),90449.91)</f>
        <v/>
      </c>
      <c r="AP2520" s="6">
        <f>AQ2520&amp;AR2520</f>
        <v/>
      </c>
      <c r="AQ2520" s="6">
        <f>YEAR(AS2520)</f>
        <v/>
      </c>
      <c r="AR2520" s="6">
        <f>MONTH(AS2520)</f>
        <v/>
      </c>
    </row>
    <row r="2521">
      <c r="B2521" s="6">
        <f>C2521&amp;D2521</f>
        <v/>
      </c>
      <c r="C2521" s="6">
        <f>YEAR(E2521)</f>
        <v/>
      </c>
      <c r="D2521" s="6">
        <f>MONTH(E2521)</f>
        <v/>
      </c>
      <c r="J2521" s="6">
        <f>K2521&amp;L2521</f>
        <v/>
      </c>
      <c r="K2521" s="6">
        <f>YEAR(M2521)</f>
        <v/>
      </c>
      <c r="L2521" s="6">
        <f>MONTH(M2521)</f>
        <v/>
      </c>
      <c r="R2521" s="6">
        <f>S2521&amp;T2521</f>
        <v/>
      </c>
      <c r="S2521" s="6">
        <f>YEAR(U2521)</f>
        <v/>
      </c>
      <c r="T2521" s="6">
        <f>MONTH(U2521)</f>
        <v/>
      </c>
      <c r="Z2521" s="6">
        <f>AA2521&amp;AB2521</f>
        <v/>
      </c>
      <c r="AA2521" s="6">
        <f>YEAR(AC2521)</f>
        <v/>
      </c>
      <c r="AB2521" s="6">
        <f>MONTH(AC2521)</f>
        <v/>
      </c>
      <c r="AC2521" s="267">
        <f>IFERROR(__xludf.DUMMYFUNCTION("""COMPUTED_VALUE"""),45673.9986111111)</f>
        <v/>
      </c>
      <c r="AD2521" s="6">
        <f>IFERROR(__xludf.DUMMYFUNCTION("""COMPUTED_VALUE"""),1453.32)</f>
        <v/>
      </c>
      <c r="AH2521" s="6">
        <f>AI2521&amp;AJ2521</f>
        <v/>
      </c>
      <c r="AI2521" s="6">
        <f>YEAR(AK2521)</f>
        <v/>
      </c>
      <c r="AJ2521" s="6">
        <f>MONTH(AK2521)</f>
        <v/>
      </c>
      <c r="AK2521" s="267">
        <f>IFERROR(__xludf.DUMMYFUNCTION("""COMPUTED_VALUE"""),45615.9986111111)</f>
        <v/>
      </c>
      <c r="AL2521" s="6">
        <f>IFERROR(__xludf.DUMMYFUNCTION("""COMPUTED_VALUE"""),91546.89)</f>
        <v/>
      </c>
      <c r="AP2521" s="6">
        <f>AQ2521&amp;AR2521</f>
        <v/>
      </c>
      <c r="AQ2521" s="6">
        <f>YEAR(AS2521)</f>
        <v/>
      </c>
      <c r="AR2521" s="6">
        <f>MONTH(AS2521)</f>
        <v/>
      </c>
    </row>
    <row r="2522">
      <c r="B2522" s="6">
        <f>C2522&amp;D2522</f>
        <v/>
      </c>
      <c r="C2522" s="6">
        <f>YEAR(E2522)</f>
        <v/>
      </c>
      <c r="D2522" s="6">
        <f>MONTH(E2522)</f>
        <v/>
      </c>
      <c r="J2522" s="6">
        <f>K2522&amp;L2522</f>
        <v/>
      </c>
      <c r="K2522" s="6">
        <f>YEAR(M2522)</f>
        <v/>
      </c>
      <c r="L2522" s="6">
        <f>MONTH(M2522)</f>
        <v/>
      </c>
      <c r="R2522" s="6">
        <f>S2522&amp;T2522</f>
        <v/>
      </c>
      <c r="S2522" s="6">
        <f>YEAR(U2522)</f>
        <v/>
      </c>
      <c r="T2522" s="6">
        <f>MONTH(U2522)</f>
        <v/>
      </c>
      <c r="Z2522" s="6">
        <f>AA2522&amp;AB2522</f>
        <v/>
      </c>
      <c r="AA2522" s="6">
        <f>YEAR(AC2522)</f>
        <v/>
      </c>
      <c r="AB2522" s="6">
        <f>MONTH(AC2522)</f>
        <v/>
      </c>
      <c r="AC2522" s="267">
        <f>IFERROR(__xludf.DUMMYFUNCTION("""COMPUTED_VALUE"""),45674.9986111111)</f>
        <v/>
      </c>
      <c r="AD2522" s="6">
        <f>IFERROR(__xludf.DUMMYFUNCTION("""COMPUTED_VALUE"""),1457.38)</f>
        <v/>
      </c>
      <c r="AH2522" s="6">
        <f>AI2522&amp;AJ2522</f>
        <v/>
      </c>
      <c r="AI2522" s="6">
        <f>YEAR(AK2522)</f>
        <v/>
      </c>
      <c r="AJ2522" s="6">
        <f>MONTH(AK2522)</f>
        <v/>
      </c>
      <c r="AK2522" s="267">
        <f>IFERROR(__xludf.DUMMYFUNCTION("""COMPUTED_VALUE"""),45616.9986111111)</f>
        <v/>
      </c>
      <c r="AL2522" s="6">
        <f>IFERROR(__xludf.DUMMYFUNCTION("""COMPUTED_VALUE"""),92217.93)</f>
        <v/>
      </c>
      <c r="AP2522" s="6">
        <f>AQ2522&amp;AR2522</f>
        <v/>
      </c>
      <c r="AQ2522" s="6">
        <f>YEAR(AS2522)</f>
        <v/>
      </c>
      <c r="AR2522" s="6">
        <f>MONTH(AS2522)</f>
        <v/>
      </c>
    </row>
    <row r="2523">
      <c r="B2523" s="6">
        <f>C2523&amp;D2523</f>
        <v/>
      </c>
      <c r="C2523" s="6">
        <f>YEAR(E2523)</f>
        <v/>
      </c>
      <c r="D2523" s="6">
        <f>MONTH(E2523)</f>
        <v/>
      </c>
      <c r="J2523" s="6">
        <f>K2523&amp;L2523</f>
        <v/>
      </c>
      <c r="K2523" s="6">
        <f>YEAR(M2523)</f>
        <v/>
      </c>
      <c r="L2523" s="6">
        <f>MONTH(M2523)</f>
        <v/>
      </c>
      <c r="R2523" s="6">
        <f>S2523&amp;T2523</f>
        <v/>
      </c>
      <c r="S2523" s="6">
        <f>YEAR(U2523)</f>
        <v/>
      </c>
      <c r="T2523" s="6">
        <f>MONTH(U2523)</f>
        <v/>
      </c>
      <c r="Z2523" s="6">
        <f>AA2523&amp;AB2523</f>
        <v/>
      </c>
      <c r="AA2523" s="6">
        <f>YEAR(AC2523)</f>
        <v/>
      </c>
      <c r="AB2523" s="6">
        <f>MONTH(AC2523)</f>
        <v/>
      </c>
      <c r="AC2523" s="267">
        <f>IFERROR(__xludf.DUMMYFUNCTION("""COMPUTED_VALUE"""),45675.9986111111)</f>
        <v/>
      </c>
      <c r="AD2523" s="6">
        <f>IFERROR(__xludf.DUMMYFUNCTION("""COMPUTED_VALUE"""),1457.38)</f>
        <v/>
      </c>
      <c r="AH2523" s="6">
        <f>AI2523&amp;AJ2523</f>
        <v/>
      </c>
      <c r="AI2523" s="6">
        <f>YEAR(AK2523)</f>
        <v/>
      </c>
      <c r="AJ2523" s="6">
        <f>MONTH(AK2523)</f>
        <v/>
      </c>
      <c r="AK2523" s="267">
        <f>IFERROR(__xludf.DUMMYFUNCTION("""COMPUTED_VALUE"""),45617.9986111111)</f>
        <v/>
      </c>
      <c r="AL2523" s="6">
        <f>IFERROR(__xludf.DUMMYFUNCTION("""COMPUTED_VALUE"""),97402.66)</f>
        <v/>
      </c>
      <c r="AP2523" s="6">
        <f>AQ2523&amp;AR2523</f>
        <v/>
      </c>
      <c r="AQ2523" s="6">
        <f>YEAR(AS2523)</f>
        <v/>
      </c>
      <c r="AR2523" s="6">
        <f>MONTH(AS2523)</f>
        <v/>
      </c>
    </row>
    <row r="2524">
      <c r="B2524" s="6">
        <f>C2524&amp;D2524</f>
        <v/>
      </c>
      <c r="C2524" s="6">
        <f>YEAR(E2524)</f>
        <v/>
      </c>
      <c r="D2524" s="6">
        <f>MONTH(E2524)</f>
        <v/>
      </c>
      <c r="J2524" s="6">
        <f>K2524&amp;L2524</f>
        <v/>
      </c>
      <c r="K2524" s="6">
        <f>YEAR(M2524)</f>
        <v/>
      </c>
      <c r="L2524" s="6">
        <f>MONTH(M2524)</f>
        <v/>
      </c>
      <c r="R2524" s="6">
        <f>S2524&amp;T2524</f>
        <v/>
      </c>
      <c r="S2524" s="6">
        <f>YEAR(U2524)</f>
        <v/>
      </c>
      <c r="T2524" s="6">
        <f>MONTH(U2524)</f>
        <v/>
      </c>
      <c r="Z2524" s="6">
        <f>AA2524&amp;AB2524</f>
        <v/>
      </c>
      <c r="AA2524" s="6">
        <f>YEAR(AC2524)</f>
        <v/>
      </c>
      <c r="AB2524" s="6">
        <f>MONTH(AC2524)</f>
        <v/>
      </c>
      <c r="AC2524" s="267">
        <f>IFERROR(__xludf.DUMMYFUNCTION("""COMPUTED_VALUE"""),45677.9986111111)</f>
        <v/>
      </c>
      <c r="AD2524" s="6">
        <f>IFERROR(__xludf.DUMMYFUNCTION("""COMPUTED_VALUE"""),1435.53)</f>
        <v/>
      </c>
      <c r="AH2524" s="6">
        <f>AI2524&amp;AJ2524</f>
        <v/>
      </c>
      <c r="AI2524" s="6">
        <f>YEAR(AK2524)</f>
        <v/>
      </c>
      <c r="AJ2524" s="6">
        <f>MONTH(AK2524)</f>
        <v/>
      </c>
      <c r="AK2524" s="267">
        <f>IFERROR(__xludf.DUMMYFUNCTION("""COMPUTED_VALUE"""),45618.9986111111)</f>
        <v/>
      </c>
      <c r="AL2524" s="6">
        <f>IFERROR(__xludf.DUMMYFUNCTION("""COMPUTED_VALUE"""),98739.25)</f>
        <v/>
      </c>
      <c r="AP2524" s="6">
        <f>AQ2524&amp;AR2524</f>
        <v/>
      </c>
      <c r="AQ2524" s="6">
        <f>YEAR(AS2524)</f>
        <v/>
      </c>
      <c r="AR2524" s="6">
        <f>MONTH(AS2524)</f>
        <v/>
      </c>
    </row>
    <row r="2525">
      <c r="B2525" s="6">
        <f>C2525&amp;D2525</f>
        <v/>
      </c>
      <c r="C2525" s="6">
        <f>YEAR(E2525)</f>
        <v/>
      </c>
      <c r="D2525" s="6">
        <f>MONTH(E2525)</f>
        <v/>
      </c>
      <c r="J2525" s="6">
        <f>K2525&amp;L2525</f>
        <v/>
      </c>
      <c r="K2525" s="6">
        <f>YEAR(M2525)</f>
        <v/>
      </c>
      <c r="L2525" s="6">
        <f>MONTH(M2525)</f>
        <v/>
      </c>
      <c r="R2525" s="6">
        <f>S2525&amp;T2525</f>
        <v/>
      </c>
      <c r="S2525" s="6">
        <f>YEAR(U2525)</f>
        <v/>
      </c>
      <c r="T2525" s="6">
        <f>MONTH(U2525)</f>
        <v/>
      </c>
      <c r="Z2525" s="6">
        <f>AA2525&amp;AB2525</f>
        <v/>
      </c>
      <c r="AA2525" s="6">
        <f>YEAR(AC2525)</f>
        <v/>
      </c>
      <c r="AB2525" s="6">
        <f>MONTH(AC2525)</f>
        <v/>
      </c>
      <c r="AC2525" s="267">
        <f>IFERROR(__xludf.DUMMYFUNCTION("""COMPUTED_VALUE"""),45678.9986111111)</f>
        <v/>
      </c>
      <c r="AD2525" s="6">
        <f>IFERROR(__xludf.DUMMYFUNCTION("""COMPUTED_VALUE"""),1425.79)</f>
        <v/>
      </c>
      <c r="AH2525" s="6">
        <f>AI2525&amp;AJ2525</f>
        <v/>
      </c>
      <c r="AI2525" s="6">
        <f>YEAR(AK2525)</f>
        <v/>
      </c>
      <c r="AJ2525" s="6">
        <f>MONTH(AK2525)</f>
        <v/>
      </c>
      <c r="AK2525" s="267">
        <f>IFERROR(__xludf.DUMMYFUNCTION("""COMPUTED_VALUE"""),45619.9986111111)</f>
        <v/>
      </c>
      <c r="AL2525" s="6">
        <f>IFERROR(__xludf.DUMMYFUNCTION("""COMPUTED_VALUE"""),98496.91)</f>
        <v/>
      </c>
      <c r="AP2525" s="6">
        <f>AQ2525&amp;AR2525</f>
        <v/>
      </c>
      <c r="AQ2525" s="6">
        <f>YEAR(AS2525)</f>
        <v/>
      </c>
      <c r="AR2525" s="6">
        <f>MONTH(AS2525)</f>
        <v/>
      </c>
    </row>
    <row r="2526">
      <c r="B2526" s="6">
        <f>C2526&amp;D2526</f>
        <v/>
      </c>
      <c r="C2526" s="6">
        <f>YEAR(E2526)</f>
        <v/>
      </c>
      <c r="D2526" s="6">
        <f>MONTH(E2526)</f>
        <v/>
      </c>
      <c r="J2526" s="6">
        <f>K2526&amp;L2526</f>
        <v/>
      </c>
      <c r="K2526" s="6">
        <f>YEAR(M2526)</f>
        <v/>
      </c>
      <c r="L2526" s="6">
        <f>MONTH(M2526)</f>
        <v/>
      </c>
      <c r="R2526" s="6">
        <f>S2526&amp;T2526</f>
        <v/>
      </c>
      <c r="S2526" s="6">
        <f>YEAR(U2526)</f>
        <v/>
      </c>
      <c r="T2526" s="6">
        <f>MONTH(U2526)</f>
        <v/>
      </c>
      <c r="Z2526" s="6">
        <f>AA2526&amp;AB2526</f>
        <v/>
      </c>
      <c r="AA2526" s="6">
        <f>YEAR(AC2526)</f>
        <v/>
      </c>
      <c r="AB2526" s="6">
        <f>MONTH(AC2526)</f>
        <v/>
      </c>
      <c r="AC2526" s="267">
        <f>IFERROR(__xludf.DUMMYFUNCTION("""COMPUTED_VALUE"""),45679.9986111111)</f>
        <v/>
      </c>
      <c r="AD2526" s="6">
        <f>IFERROR(__xludf.DUMMYFUNCTION("""COMPUTED_VALUE"""),1434.34)</f>
        <v/>
      </c>
      <c r="AH2526" s="6">
        <f>AI2526&amp;AJ2526</f>
        <v/>
      </c>
      <c r="AI2526" s="6">
        <f>YEAR(AK2526)</f>
        <v/>
      </c>
      <c r="AJ2526" s="6">
        <f>MONTH(AK2526)</f>
        <v/>
      </c>
      <c r="AK2526" s="267">
        <f>IFERROR(__xludf.DUMMYFUNCTION("""COMPUTED_VALUE"""),45620.9986111111)</f>
        <v/>
      </c>
      <c r="AL2526" s="6">
        <f>IFERROR(__xludf.DUMMYFUNCTION("""COMPUTED_VALUE"""),98110.87)</f>
        <v/>
      </c>
      <c r="AP2526" s="6">
        <f>AQ2526&amp;AR2526</f>
        <v/>
      </c>
      <c r="AQ2526" s="6">
        <f>YEAR(AS2526)</f>
        <v/>
      </c>
      <c r="AR2526" s="6">
        <f>MONTH(AS2526)</f>
        <v/>
      </c>
    </row>
    <row r="2527">
      <c r="B2527" s="6">
        <f>C2527&amp;D2527</f>
        <v/>
      </c>
      <c r="C2527" s="6">
        <f>YEAR(E2527)</f>
        <v/>
      </c>
      <c r="D2527" s="6">
        <f>MONTH(E2527)</f>
        <v/>
      </c>
      <c r="J2527" s="6">
        <f>K2527&amp;L2527</f>
        <v/>
      </c>
      <c r="K2527" s="6">
        <f>YEAR(M2527)</f>
        <v/>
      </c>
      <c r="L2527" s="6">
        <f>MONTH(M2527)</f>
        <v/>
      </c>
      <c r="R2527" s="6">
        <f>S2527&amp;T2527</f>
        <v/>
      </c>
      <c r="S2527" s="6">
        <f>YEAR(U2527)</f>
        <v/>
      </c>
      <c r="T2527" s="6">
        <f>MONTH(U2527)</f>
        <v/>
      </c>
      <c r="Z2527" s="6">
        <f>AA2527&amp;AB2527</f>
        <v/>
      </c>
      <c r="AA2527" s="6">
        <f>YEAR(AC2527)</f>
        <v/>
      </c>
      <c r="AB2527" s="6">
        <f>MONTH(AC2527)</f>
        <v/>
      </c>
      <c r="AC2527" s="267">
        <f>IFERROR(__xludf.DUMMYFUNCTION("""COMPUTED_VALUE"""),45680.9986111111)</f>
        <v/>
      </c>
      <c r="AD2527" s="6">
        <f>IFERROR(__xludf.DUMMYFUNCTION("""COMPUTED_VALUE"""),1433.93)</f>
        <v/>
      </c>
      <c r="AH2527" s="6">
        <f>AI2527&amp;AJ2527</f>
        <v/>
      </c>
      <c r="AI2527" s="6">
        <f>YEAR(AK2527)</f>
        <v/>
      </c>
      <c r="AJ2527" s="6">
        <f>MONTH(AK2527)</f>
        <v/>
      </c>
      <c r="AK2527" s="267">
        <f>IFERROR(__xludf.DUMMYFUNCTION("""COMPUTED_VALUE"""),45621.9986111111)</f>
        <v/>
      </c>
      <c r="AL2527" s="6">
        <f>IFERROR(__xludf.DUMMYFUNCTION("""COMPUTED_VALUE"""),97811.99)</f>
        <v/>
      </c>
      <c r="AP2527" s="6">
        <f>AQ2527&amp;AR2527</f>
        <v/>
      </c>
      <c r="AQ2527" s="6">
        <f>YEAR(AS2527)</f>
        <v/>
      </c>
      <c r="AR2527" s="6">
        <f>MONTH(AS2527)</f>
        <v/>
      </c>
    </row>
    <row r="2528">
      <c r="B2528" s="6">
        <f>C2528&amp;D2528</f>
        <v/>
      </c>
      <c r="C2528" s="6">
        <f>YEAR(E2528)</f>
        <v/>
      </c>
      <c r="D2528" s="6">
        <f>MONTH(E2528)</f>
        <v/>
      </c>
      <c r="J2528" s="6">
        <f>K2528&amp;L2528</f>
        <v/>
      </c>
      <c r="K2528" s="6">
        <f>YEAR(M2528)</f>
        <v/>
      </c>
      <c r="L2528" s="6">
        <f>MONTH(M2528)</f>
        <v/>
      </c>
      <c r="R2528" s="6">
        <f>S2528&amp;T2528</f>
        <v/>
      </c>
      <c r="S2528" s="6">
        <f>YEAR(U2528)</f>
        <v/>
      </c>
      <c r="T2528" s="6">
        <f>MONTH(U2528)</f>
        <v/>
      </c>
      <c r="Z2528" s="6">
        <f>AA2528&amp;AB2528</f>
        <v/>
      </c>
      <c r="AA2528" s="6">
        <f>YEAR(AC2528)</f>
        <v/>
      </c>
      <c r="AB2528" s="6">
        <f>MONTH(AC2528)</f>
        <v/>
      </c>
      <c r="AC2528" s="267">
        <f>IFERROR(__xludf.DUMMYFUNCTION("""COMPUTED_VALUE"""),45681.9986111111)</f>
        <v/>
      </c>
      <c r="AD2528" s="6">
        <f>IFERROR(__xludf.DUMMYFUNCTION("""COMPUTED_VALUE"""),1428.43)</f>
        <v/>
      </c>
      <c r="AH2528" s="6">
        <f>AI2528&amp;AJ2528</f>
        <v/>
      </c>
      <c r="AI2528" s="6">
        <f>YEAR(AK2528)</f>
        <v/>
      </c>
      <c r="AJ2528" s="6">
        <f>MONTH(AK2528)</f>
        <v/>
      </c>
      <c r="AK2528" s="267">
        <f>IFERROR(__xludf.DUMMYFUNCTION("""COMPUTED_VALUE"""),45622.9986111111)</f>
        <v/>
      </c>
      <c r="AL2528" s="6">
        <f>IFERROR(__xludf.DUMMYFUNCTION("""COMPUTED_VALUE"""),94322.14)</f>
        <v/>
      </c>
      <c r="AP2528" s="6">
        <f>AQ2528&amp;AR2528</f>
        <v/>
      </c>
      <c r="AQ2528" s="6">
        <f>YEAR(AS2528)</f>
        <v/>
      </c>
      <c r="AR2528" s="6">
        <f>MONTH(AS2528)</f>
        <v/>
      </c>
    </row>
    <row r="2529">
      <c r="B2529" s="6">
        <f>C2529&amp;D2529</f>
        <v/>
      </c>
      <c r="C2529" s="6">
        <f>YEAR(E2529)</f>
        <v/>
      </c>
      <c r="D2529" s="6">
        <f>MONTH(E2529)</f>
        <v/>
      </c>
      <c r="J2529" s="6">
        <f>K2529&amp;L2529</f>
        <v/>
      </c>
      <c r="K2529" s="6">
        <f>YEAR(M2529)</f>
        <v/>
      </c>
      <c r="L2529" s="6">
        <f>MONTH(M2529)</f>
        <v/>
      </c>
      <c r="R2529" s="6">
        <f>S2529&amp;T2529</f>
        <v/>
      </c>
      <c r="S2529" s="6">
        <f>YEAR(U2529)</f>
        <v/>
      </c>
      <c r="T2529" s="6">
        <f>MONTH(U2529)</f>
        <v/>
      </c>
      <c r="Z2529" s="6">
        <f>AA2529&amp;AB2529</f>
        <v/>
      </c>
      <c r="AA2529" s="6">
        <f>YEAR(AC2529)</f>
        <v/>
      </c>
      <c r="AB2529" s="6">
        <f>MONTH(AC2529)</f>
        <v/>
      </c>
      <c r="AC2529" s="267">
        <f>IFERROR(__xludf.DUMMYFUNCTION("""COMPUTED_VALUE"""),45682.9986111111)</f>
        <v/>
      </c>
      <c r="AD2529" s="6">
        <f>IFERROR(__xludf.DUMMYFUNCTION("""COMPUTED_VALUE"""),1428.03)</f>
        <v/>
      </c>
      <c r="AH2529" s="6">
        <f>AI2529&amp;AJ2529</f>
        <v/>
      </c>
      <c r="AI2529" s="6">
        <f>YEAR(AK2529)</f>
        <v/>
      </c>
      <c r="AJ2529" s="6">
        <f>MONTH(AK2529)</f>
        <v/>
      </c>
      <c r="AK2529" s="267">
        <f>IFERROR(__xludf.DUMMYFUNCTION("""COMPUTED_VALUE"""),45623.9986111111)</f>
        <v/>
      </c>
      <c r="AL2529" s="6">
        <f>IFERROR(__xludf.DUMMYFUNCTION("""COMPUTED_VALUE"""),92545.14)</f>
        <v/>
      </c>
      <c r="AP2529" s="6">
        <f>AQ2529&amp;AR2529</f>
        <v/>
      </c>
      <c r="AQ2529" s="6">
        <f>YEAR(AS2529)</f>
        <v/>
      </c>
      <c r="AR2529" s="6">
        <f>MONTH(AS2529)</f>
        <v/>
      </c>
    </row>
    <row r="2530">
      <c r="B2530" s="6">
        <f>C2530&amp;D2530</f>
        <v/>
      </c>
      <c r="C2530" s="6">
        <f>YEAR(E2530)</f>
        <v/>
      </c>
      <c r="D2530" s="6">
        <f>MONTH(E2530)</f>
        <v/>
      </c>
      <c r="J2530" s="6">
        <f>K2530&amp;L2530</f>
        <v/>
      </c>
      <c r="K2530" s="6">
        <f>YEAR(M2530)</f>
        <v/>
      </c>
      <c r="L2530" s="6">
        <f>MONTH(M2530)</f>
        <v/>
      </c>
      <c r="R2530" s="6">
        <f>S2530&amp;T2530</f>
        <v/>
      </c>
      <c r="S2530" s="6">
        <f>YEAR(U2530)</f>
        <v/>
      </c>
      <c r="T2530" s="6">
        <f>MONTH(U2530)</f>
        <v/>
      </c>
      <c r="Z2530" s="6">
        <f>AA2530&amp;AB2530</f>
        <v/>
      </c>
      <c r="AA2530" s="6">
        <f>YEAR(AC2530)</f>
        <v/>
      </c>
      <c r="AB2530" s="6">
        <f>MONTH(AC2530)</f>
        <v/>
      </c>
      <c r="AC2530" s="267">
        <f>IFERROR(__xludf.DUMMYFUNCTION("""COMPUTED_VALUE"""),45683.9986111111)</f>
        <v/>
      </c>
      <c r="AD2530" s="6">
        <f>IFERROR(__xludf.DUMMYFUNCTION("""COMPUTED_VALUE"""),1427.63)</f>
        <v/>
      </c>
      <c r="AH2530" s="6">
        <f>AI2530&amp;AJ2530</f>
        <v/>
      </c>
      <c r="AI2530" s="6">
        <f>YEAR(AK2530)</f>
        <v/>
      </c>
      <c r="AJ2530" s="6">
        <f>MONTH(AK2530)</f>
        <v/>
      </c>
      <c r="AK2530" s="267">
        <f>IFERROR(__xludf.DUMMYFUNCTION("""COMPUTED_VALUE"""),45624.9986111111)</f>
        <v/>
      </c>
      <c r="AL2530" s="6">
        <f>IFERROR(__xludf.DUMMYFUNCTION("""COMPUTED_VALUE"""),95797.01)</f>
        <v/>
      </c>
      <c r="AP2530" s="6">
        <f>AQ2530&amp;AR2530</f>
        <v/>
      </c>
      <c r="AQ2530" s="6">
        <f>YEAR(AS2530)</f>
        <v/>
      </c>
      <c r="AR2530" s="6">
        <f>MONTH(AS2530)</f>
        <v/>
      </c>
    </row>
    <row r="2531">
      <c r="B2531" s="6">
        <f>C2531&amp;D2531</f>
        <v/>
      </c>
      <c r="C2531" s="6">
        <f>YEAR(E2531)</f>
        <v/>
      </c>
      <c r="D2531" s="6">
        <f>MONTH(E2531)</f>
        <v/>
      </c>
      <c r="J2531" s="6">
        <f>K2531&amp;L2531</f>
        <v/>
      </c>
      <c r="K2531" s="6">
        <f>YEAR(M2531)</f>
        <v/>
      </c>
      <c r="L2531" s="6">
        <f>MONTH(M2531)</f>
        <v/>
      </c>
      <c r="R2531" s="6">
        <f>S2531&amp;T2531</f>
        <v/>
      </c>
      <c r="S2531" s="6">
        <f>YEAR(U2531)</f>
        <v/>
      </c>
      <c r="T2531" s="6">
        <f>MONTH(U2531)</f>
        <v/>
      </c>
      <c r="Z2531" s="6">
        <f>AA2531&amp;AB2531</f>
        <v/>
      </c>
      <c r="AA2531" s="6">
        <f>YEAR(AC2531)</f>
        <v/>
      </c>
      <c r="AB2531" s="6">
        <f>MONTH(AC2531)</f>
        <v/>
      </c>
      <c r="AC2531" s="267">
        <f>IFERROR(__xludf.DUMMYFUNCTION("""COMPUTED_VALUE"""),45684.9986111111)</f>
        <v/>
      </c>
      <c r="AD2531" s="6">
        <f>IFERROR(__xludf.DUMMYFUNCTION("""COMPUTED_VALUE"""),1417.92)</f>
        <v/>
      </c>
      <c r="AH2531" s="6">
        <f>AI2531&amp;AJ2531</f>
        <v/>
      </c>
      <c r="AI2531" s="6">
        <f>YEAR(AK2531)</f>
        <v/>
      </c>
      <c r="AJ2531" s="6">
        <f>MONTH(AK2531)</f>
        <v/>
      </c>
      <c r="AK2531" s="267">
        <f>IFERROR(__xludf.DUMMYFUNCTION("""COMPUTED_VALUE"""),45625.9986111111)</f>
        <v/>
      </c>
      <c r="AL2531" s="6">
        <f>IFERROR(__xludf.DUMMYFUNCTION("""COMPUTED_VALUE"""),96293.35)</f>
        <v/>
      </c>
      <c r="AP2531" s="6">
        <f>AQ2531&amp;AR2531</f>
        <v/>
      </c>
      <c r="AQ2531" s="6">
        <f>YEAR(AS2531)</f>
        <v/>
      </c>
      <c r="AR2531" s="6">
        <f>MONTH(AS2531)</f>
        <v/>
      </c>
    </row>
    <row r="2532">
      <c r="B2532" s="6">
        <f>C2532&amp;D2532</f>
        <v/>
      </c>
      <c r="C2532" s="6">
        <f>YEAR(E2532)</f>
        <v/>
      </c>
      <c r="D2532" s="6">
        <f>MONTH(E2532)</f>
        <v/>
      </c>
      <c r="J2532" s="6">
        <f>K2532&amp;L2532</f>
        <v/>
      </c>
      <c r="K2532" s="6">
        <f>YEAR(M2532)</f>
        <v/>
      </c>
      <c r="L2532" s="6">
        <f>MONTH(M2532)</f>
        <v/>
      </c>
      <c r="R2532" s="6">
        <f>S2532&amp;T2532</f>
        <v/>
      </c>
      <c r="S2532" s="6">
        <f>YEAR(U2532)</f>
        <v/>
      </c>
      <c r="T2532" s="6">
        <f>MONTH(U2532)</f>
        <v/>
      </c>
      <c r="Z2532" s="6">
        <f>AA2532&amp;AB2532</f>
        <v/>
      </c>
      <c r="AA2532" s="6">
        <f>YEAR(AC2532)</f>
        <v/>
      </c>
      <c r="AB2532" s="6">
        <f>MONTH(AC2532)</f>
        <v/>
      </c>
      <c r="AC2532" s="267">
        <f>IFERROR(__xludf.DUMMYFUNCTION("""COMPUTED_VALUE"""),45685.9986111111)</f>
        <v/>
      </c>
      <c r="AD2532" s="6">
        <f>IFERROR(__xludf.DUMMYFUNCTION("""COMPUTED_VALUE"""),1441.59)</f>
        <v/>
      </c>
      <c r="AH2532" s="6">
        <f>AI2532&amp;AJ2532</f>
        <v/>
      </c>
      <c r="AI2532" s="6">
        <f>YEAR(AK2532)</f>
        <v/>
      </c>
      <c r="AJ2532" s="6">
        <f>MONTH(AK2532)</f>
        <v/>
      </c>
      <c r="AK2532" s="267">
        <f>IFERROR(__xludf.DUMMYFUNCTION("""COMPUTED_VALUE"""),45626.9986111111)</f>
        <v/>
      </c>
      <c r="AL2532" s="6">
        <f>IFERROR(__xludf.DUMMYFUNCTION("""COMPUTED_VALUE"""),96716.79)</f>
        <v/>
      </c>
      <c r="AP2532" s="6">
        <f>AQ2532&amp;AR2532</f>
        <v/>
      </c>
      <c r="AQ2532" s="6">
        <f>YEAR(AS2532)</f>
        <v/>
      </c>
      <c r="AR2532" s="6">
        <f>MONTH(AS2532)</f>
        <v/>
      </c>
    </row>
    <row r="2533">
      <c r="B2533" s="6">
        <f>C2533&amp;D2533</f>
        <v/>
      </c>
      <c r="C2533" s="6">
        <f>YEAR(E2533)</f>
        <v/>
      </c>
      <c r="D2533" s="6">
        <f>MONTH(E2533)</f>
        <v/>
      </c>
      <c r="J2533" s="6">
        <f>K2533&amp;L2533</f>
        <v/>
      </c>
      <c r="K2533" s="6">
        <f>YEAR(M2533)</f>
        <v/>
      </c>
      <c r="L2533" s="6">
        <f>MONTH(M2533)</f>
        <v/>
      </c>
      <c r="R2533" s="6">
        <f>S2533&amp;T2533</f>
        <v/>
      </c>
      <c r="S2533" s="6">
        <f>YEAR(U2533)</f>
        <v/>
      </c>
      <c r="T2533" s="6">
        <f>MONTH(U2533)</f>
        <v/>
      </c>
      <c r="Z2533" s="6">
        <f>AA2533&amp;AB2533</f>
        <v/>
      </c>
      <c r="AA2533" s="6">
        <f>YEAR(AC2533)</f>
        <v/>
      </c>
      <c r="AB2533" s="6">
        <f>MONTH(AC2533)</f>
        <v/>
      </c>
      <c r="AC2533" s="267">
        <f>IFERROR(__xludf.DUMMYFUNCTION("""COMPUTED_VALUE"""),45686.9986111111)</f>
        <v/>
      </c>
      <c r="AD2533" s="6">
        <f>IFERROR(__xludf.DUMMYFUNCTION("""COMPUTED_VALUE"""),1443.32)</f>
        <v/>
      </c>
      <c r="AH2533" s="6">
        <f>AI2533&amp;AJ2533</f>
        <v/>
      </c>
      <c r="AI2533" s="6">
        <f>YEAR(AK2533)</f>
        <v/>
      </c>
      <c r="AJ2533" s="6">
        <f>MONTH(AK2533)</f>
        <v/>
      </c>
      <c r="AK2533" s="267">
        <f>IFERROR(__xludf.DUMMYFUNCTION("""COMPUTED_VALUE"""),45627.9986111111)</f>
        <v/>
      </c>
      <c r="AL2533" s="6">
        <f>IFERROR(__xludf.DUMMYFUNCTION("""COMPUTED_VALUE"""),96490.37)</f>
        <v/>
      </c>
      <c r="AP2533" s="6">
        <f>AQ2533&amp;AR2533</f>
        <v/>
      </c>
      <c r="AQ2533" s="6">
        <f>YEAR(AS2533)</f>
        <v/>
      </c>
      <c r="AR2533" s="6">
        <f>MONTH(AS2533)</f>
        <v/>
      </c>
    </row>
    <row r="2534">
      <c r="B2534" s="6">
        <f>C2534&amp;D2534</f>
        <v/>
      </c>
      <c r="C2534" s="6">
        <f>YEAR(E2534)</f>
        <v/>
      </c>
      <c r="D2534" s="6">
        <f>MONTH(E2534)</f>
        <v/>
      </c>
      <c r="J2534" s="6">
        <f>K2534&amp;L2534</f>
        <v/>
      </c>
      <c r="K2534" s="6">
        <f>YEAR(M2534)</f>
        <v/>
      </c>
      <c r="L2534" s="6">
        <f>MONTH(M2534)</f>
        <v/>
      </c>
      <c r="R2534" s="6">
        <f>S2534&amp;T2534</f>
        <v/>
      </c>
      <c r="S2534" s="6">
        <f>YEAR(U2534)</f>
        <v/>
      </c>
      <c r="T2534" s="6">
        <f>MONTH(U2534)</f>
        <v/>
      </c>
      <c r="Z2534" s="6">
        <f>AA2534&amp;AB2534</f>
        <v/>
      </c>
      <c r="AA2534" s="6">
        <f>YEAR(AC2534)</f>
        <v/>
      </c>
      <c r="AB2534" s="6">
        <f>MONTH(AC2534)</f>
        <v/>
      </c>
      <c r="AC2534" s="267">
        <f>IFERROR(__xludf.DUMMYFUNCTION("""COMPUTED_VALUE"""),45687.9986111111)</f>
        <v/>
      </c>
      <c r="AD2534" s="6">
        <f>IFERROR(__xludf.DUMMYFUNCTION("""COMPUTED_VALUE"""),1441.66)</f>
        <v/>
      </c>
      <c r="AH2534" s="6">
        <f>AI2534&amp;AJ2534</f>
        <v/>
      </c>
      <c r="AI2534" s="6">
        <f>YEAR(AK2534)</f>
        <v/>
      </c>
      <c r="AJ2534" s="6">
        <f>MONTH(AK2534)</f>
        <v/>
      </c>
      <c r="AK2534" s="267">
        <f>IFERROR(__xludf.DUMMYFUNCTION("""COMPUTED_VALUE"""),45628.9986111111)</f>
        <v/>
      </c>
      <c r="AL2534" s="6">
        <f>IFERROR(__xludf.DUMMYFUNCTION("""COMPUTED_VALUE"""),96741.65)</f>
        <v/>
      </c>
      <c r="AP2534" s="6">
        <f>AQ2534&amp;AR2534</f>
        <v/>
      </c>
      <c r="AQ2534" s="6">
        <f>YEAR(AS2534)</f>
        <v/>
      </c>
      <c r="AR2534" s="6">
        <f>MONTH(AS2534)</f>
        <v/>
      </c>
    </row>
    <row r="2535">
      <c r="B2535" s="6">
        <f>C2535&amp;D2535</f>
        <v/>
      </c>
      <c r="C2535" s="6">
        <f>YEAR(E2535)</f>
        <v/>
      </c>
      <c r="D2535" s="6">
        <f>MONTH(E2535)</f>
        <v/>
      </c>
      <c r="J2535" s="6">
        <f>K2535&amp;L2535</f>
        <v/>
      </c>
      <c r="K2535" s="6">
        <f>YEAR(M2535)</f>
        <v/>
      </c>
      <c r="L2535" s="6">
        <f>MONTH(M2535)</f>
        <v/>
      </c>
      <c r="R2535" s="6">
        <f>S2535&amp;T2535</f>
        <v/>
      </c>
      <c r="S2535" s="6">
        <f>YEAR(U2535)</f>
        <v/>
      </c>
      <c r="T2535" s="6">
        <f>MONTH(U2535)</f>
        <v/>
      </c>
      <c r="Z2535" s="6">
        <f>AA2535&amp;AB2535</f>
        <v/>
      </c>
      <c r="AA2535" s="6">
        <f>YEAR(AC2535)</f>
        <v/>
      </c>
      <c r="AB2535" s="6">
        <f>MONTH(AC2535)</f>
        <v/>
      </c>
      <c r="AC2535" s="267">
        <f>IFERROR(__xludf.DUMMYFUNCTION("""COMPUTED_VALUE"""),45688.9986111111)</f>
        <v/>
      </c>
      <c r="AD2535" s="6">
        <f>IFERROR(__xludf.DUMMYFUNCTION("""COMPUTED_VALUE"""),1456.78)</f>
        <v/>
      </c>
      <c r="AH2535" s="6">
        <f>AI2535&amp;AJ2535</f>
        <v/>
      </c>
      <c r="AI2535" s="6">
        <f>YEAR(AK2535)</f>
        <v/>
      </c>
      <c r="AJ2535" s="6">
        <f>MONTH(AK2535)</f>
        <v/>
      </c>
      <c r="AK2535" s="267">
        <f>IFERROR(__xludf.DUMMYFUNCTION("""COMPUTED_VALUE"""),45629.9986111111)</f>
        <v/>
      </c>
      <c r="AL2535" s="6">
        <f>IFERROR(__xludf.DUMMYFUNCTION("""COMPUTED_VALUE"""),95939.93)</f>
        <v/>
      </c>
      <c r="AP2535" s="6">
        <f>AQ2535&amp;AR2535</f>
        <v/>
      </c>
      <c r="AQ2535" s="6">
        <f>YEAR(AS2535)</f>
        <v/>
      </c>
      <c r="AR2535" s="6">
        <f>MONTH(AS2535)</f>
        <v/>
      </c>
    </row>
    <row r="2536">
      <c r="B2536" s="6">
        <f>C2536&amp;D2536</f>
        <v/>
      </c>
      <c r="C2536" s="6">
        <f>YEAR(E2536)</f>
        <v/>
      </c>
      <c r="D2536" s="6">
        <f>MONTH(E2536)</f>
        <v/>
      </c>
      <c r="J2536" s="6">
        <f>K2536&amp;L2536</f>
        <v/>
      </c>
      <c r="K2536" s="6">
        <f>YEAR(M2536)</f>
        <v/>
      </c>
      <c r="L2536" s="6">
        <f>MONTH(M2536)</f>
        <v/>
      </c>
      <c r="R2536" s="6">
        <f>S2536&amp;T2536</f>
        <v/>
      </c>
      <c r="S2536" s="6">
        <f>YEAR(U2536)</f>
        <v/>
      </c>
      <c r="T2536" s="6">
        <f>MONTH(U2536)</f>
        <v/>
      </c>
      <c r="Z2536" s="6">
        <f>AA2536&amp;AB2536</f>
        <v/>
      </c>
      <c r="AA2536" s="6">
        <f>YEAR(AC2536)</f>
        <v/>
      </c>
      <c r="AB2536" s="6">
        <f>MONTH(AC2536)</f>
        <v/>
      </c>
      <c r="AC2536" s="267">
        <f>IFERROR(__xludf.DUMMYFUNCTION("""COMPUTED_VALUE"""),45689.9986111111)</f>
        <v/>
      </c>
      <c r="AD2536" s="6">
        <f>IFERROR(__xludf.DUMMYFUNCTION("""COMPUTED_VALUE"""),1456.78)</f>
        <v/>
      </c>
      <c r="AH2536" s="6">
        <f>AI2536&amp;AJ2536</f>
        <v/>
      </c>
      <c r="AI2536" s="6">
        <f>YEAR(AK2536)</f>
        <v/>
      </c>
      <c r="AJ2536" s="6">
        <f>MONTH(AK2536)</f>
        <v/>
      </c>
      <c r="AK2536" s="267">
        <f>IFERROR(__xludf.DUMMYFUNCTION("""COMPUTED_VALUE"""),45630.9986111111)</f>
        <v/>
      </c>
      <c r="AL2536" s="6">
        <f>IFERROR(__xludf.DUMMYFUNCTION("""COMPUTED_VALUE"""),95934.26)</f>
        <v/>
      </c>
      <c r="AP2536" s="6">
        <f>AQ2536&amp;AR2536</f>
        <v/>
      </c>
      <c r="AQ2536" s="6">
        <f>YEAR(AS2536)</f>
        <v/>
      </c>
      <c r="AR2536" s="6">
        <f>MONTH(AS2536)</f>
        <v/>
      </c>
    </row>
    <row r="2537">
      <c r="B2537" s="6">
        <f>C2537&amp;D2537</f>
        <v/>
      </c>
      <c r="C2537" s="6">
        <f>YEAR(E2537)</f>
        <v/>
      </c>
      <c r="D2537" s="6">
        <f>MONTH(E2537)</f>
        <v/>
      </c>
      <c r="J2537" s="6">
        <f>K2537&amp;L2537</f>
        <v/>
      </c>
      <c r="K2537" s="6">
        <f>YEAR(M2537)</f>
        <v/>
      </c>
      <c r="L2537" s="6">
        <f>MONTH(M2537)</f>
        <v/>
      </c>
      <c r="R2537" s="6">
        <f>S2537&amp;T2537</f>
        <v/>
      </c>
      <c r="S2537" s="6">
        <f>YEAR(U2537)</f>
        <v/>
      </c>
      <c r="T2537" s="6">
        <f>MONTH(U2537)</f>
        <v/>
      </c>
      <c r="Z2537" s="6">
        <f>AA2537&amp;AB2537</f>
        <v/>
      </c>
      <c r="AA2537" s="6">
        <f>YEAR(AC2537)</f>
        <v/>
      </c>
      <c r="AB2537" s="6">
        <f>MONTH(AC2537)</f>
        <v/>
      </c>
      <c r="AC2537" s="267">
        <f>IFERROR(__xludf.DUMMYFUNCTION("""COMPUTED_VALUE"""),45690.9986111111)</f>
        <v/>
      </c>
      <c r="AD2537" s="6">
        <f>IFERROR(__xludf.DUMMYFUNCTION("""COMPUTED_VALUE"""),1456.78)</f>
        <v/>
      </c>
      <c r="AH2537" s="6">
        <f>AI2537&amp;AJ2537</f>
        <v/>
      </c>
      <c r="AI2537" s="6">
        <f>YEAR(AK2537)</f>
        <v/>
      </c>
      <c r="AJ2537" s="6">
        <f>MONTH(AK2537)</f>
        <v/>
      </c>
      <c r="AK2537" s="267">
        <f>IFERROR(__xludf.DUMMYFUNCTION("""COMPUTED_VALUE"""),45631.9986111111)</f>
        <v/>
      </c>
      <c r="AL2537" s="6">
        <f>IFERROR(__xludf.DUMMYFUNCTION("""COMPUTED_VALUE"""),103242.7)</f>
        <v/>
      </c>
      <c r="AP2537" s="6">
        <f>AQ2537&amp;AR2537</f>
        <v/>
      </c>
      <c r="AQ2537" s="6">
        <f>YEAR(AS2537)</f>
        <v/>
      </c>
      <c r="AR2537" s="6">
        <f>MONTH(AS2537)</f>
        <v/>
      </c>
    </row>
    <row r="2538">
      <c r="B2538" s="6">
        <f>C2538&amp;D2538</f>
        <v/>
      </c>
      <c r="C2538" s="6">
        <f>YEAR(E2538)</f>
        <v/>
      </c>
      <c r="D2538" s="6">
        <f>MONTH(E2538)</f>
        <v/>
      </c>
      <c r="J2538" s="6">
        <f>K2538&amp;L2538</f>
        <v/>
      </c>
      <c r="K2538" s="6">
        <f>YEAR(M2538)</f>
        <v/>
      </c>
      <c r="L2538" s="6">
        <f>MONTH(M2538)</f>
        <v/>
      </c>
      <c r="R2538" s="6">
        <f>S2538&amp;T2538</f>
        <v/>
      </c>
      <c r="S2538" s="6">
        <f>YEAR(U2538)</f>
        <v/>
      </c>
      <c r="T2538" s="6">
        <f>MONTH(U2538)</f>
        <v/>
      </c>
      <c r="Z2538" s="6">
        <f>AA2538&amp;AB2538</f>
        <v/>
      </c>
      <c r="AA2538" s="6">
        <f>YEAR(AC2538)</f>
        <v/>
      </c>
      <c r="AB2538" s="6">
        <f>MONTH(AC2538)</f>
        <v/>
      </c>
      <c r="AC2538" s="267">
        <f>IFERROR(__xludf.DUMMYFUNCTION("""COMPUTED_VALUE"""),45691.9986111111)</f>
        <v/>
      </c>
      <c r="AD2538" s="6">
        <f>IFERROR(__xludf.DUMMYFUNCTION("""COMPUTED_VALUE"""),1459.05)</f>
        <v/>
      </c>
      <c r="AH2538" s="6">
        <f>AI2538&amp;AJ2538</f>
        <v/>
      </c>
      <c r="AI2538" s="6">
        <f>YEAR(AK2538)</f>
        <v/>
      </c>
      <c r="AJ2538" s="6">
        <f>MONTH(AK2538)</f>
        <v/>
      </c>
      <c r="AK2538" s="267">
        <f>IFERROR(__xludf.DUMMYFUNCTION("""COMPUTED_VALUE"""),45632.9986111111)</f>
        <v/>
      </c>
      <c r="AL2538" s="6">
        <f>IFERROR(__xludf.DUMMYFUNCTION("""COMPUTED_VALUE"""),97952.27)</f>
        <v/>
      </c>
      <c r="AP2538" s="6">
        <f>AQ2538&amp;AR2538</f>
        <v/>
      </c>
      <c r="AQ2538" s="6">
        <f>YEAR(AS2538)</f>
        <v/>
      </c>
      <c r="AR2538" s="6">
        <f>MONTH(AS2538)</f>
        <v/>
      </c>
    </row>
    <row r="2539">
      <c r="B2539" s="6">
        <f>C2539&amp;D2539</f>
        <v/>
      </c>
      <c r="C2539" s="6">
        <f>YEAR(E2539)</f>
        <v/>
      </c>
      <c r="D2539" s="6">
        <f>MONTH(E2539)</f>
        <v/>
      </c>
      <c r="J2539" s="6">
        <f>K2539&amp;L2539</f>
        <v/>
      </c>
      <c r="K2539" s="6">
        <f>YEAR(M2539)</f>
        <v/>
      </c>
      <c r="L2539" s="6">
        <f>MONTH(M2539)</f>
        <v/>
      </c>
      <c r="R2539" s="6">
        <f>S2539&amp;T2539</f>
        <v/>
      </c>
      <c r="S2539" s="6">
        <f>YEAR(U2539)</f>
        <v/>
      </c>
      <c r="T2539" s="6">
        <f>MONTH(U2539)</f>
        <v/>
      </c>
      <c r="Z2539" s="6">
        <f>AA2539&amp;AB2539</f>
        <v/>
      </c>
      <c r="AA2539" s="6">
        <f>YEAR(AC2539)</f>
        <v/>
      </c>
      <c r="AB2539" s="6">
        <f>MONTH(AC2539)</f>
        <v/>
      </c>
      <c r="AC2539" s="267">
        <f>IFERROR(__xludf.DUMMYFUNCTION("""COMPUTED_VALUE"""),45692.9986111111)</f>
        <v/>
      </c>
      <c r="AD2539" s="6">
        <f>IFERROR(__xludf.DUMMYFUNCTION("""COMPUTED_VALUE"""),1450.16)</f>
        <v/>
      </c>
      <c r="AH2539" s="6">
        <f>AI2539&amp;AJ2539</f>
        <v/>
      </c>
      <c r="AI2539" s="6">
        <f>YEAR(AK2539)</f>
        <v/>
      </c>
      <c r="AJ2539" s="6">
        <f>MONTH(AK2539)</f>
        <v/>
      </c>
      <c r="AK2539" s="267">
        <f>IFERROR(__xludf.DUMMYFUNCTION("""COMPUTED_VALUE"""),45633.9986111111)</f>
        <v/>
      </c>
      <c r="AL2539" s="6">
        <f>IFERROR(__xludf.DUMMYFUNCTION("""COMPUTED_VALUE"""),99702.98)</f>
        <v/>
      </c>
      <c r="AP2539" s="6">
        <f>AQ2539&amp;AR2539</f>
        <v/>
      </c>
      <c r="AQ2539" s="6">
        <f>YEAR(AS2539)</f>
        <v/>
      </c>
      <c r="AR2539" s="6">
        <f>MONTH(AS2539)</f>
        <v/>
      </c>
    </row>
    <row r="2540">
      <c r="B2540" s="6">
        <f>C2540&amp;D2540</f>
        <v/>
      </c>
      <c r="C2540" s="6">
        <f>YEAR(E2540)</f>
        <v/>
      </c>
      <c r="D2540" s="6">
        <f>MONTH(E2540)</f>
        <v/>
      </c>
      <c r="J2540" s="6">
        <f>K2540&amp;L2540</f>
        <v/>
      </c>
      <c r="K2540" s="6">
        <f>YEAR(M2540)</f>
        <v/>
      </c>
      <c r="L2540" s="6">
        <f>MONTH(M2540)</f>
        <v/>
      </c>
      <c r="R2540" s="6">
        <f>S2540&amp;T2540</f>
        <v/>
      </c>
      <c r="S2540" s="6">
        <f>YEAR(U2540)</f>
        <v/>
      </c>
      <c r="T2540" s="6">
        <f>MONTH(U2540)</f>
        <v/>
      </c>
      <c r="Z2540" s="6">
        <f>AA2540&amp;AB2540</f>
        <v/>
      </c>
      <c r="AA2540" s="6">
        <f>YEAR(AC2540)</f>
        <v/>
      </c>
      <c r="AB2540" s="6">
        <f>MONTH(AC2540)</f>
        <v/>
      </c>
      <c r="AC2540" s="267">
        <f>IFERROR(__xludf.DUMMYFUNCTION("""COMPUTED_VALUE"""),45693.9986111111)</f>
        <v/>
      </c>
      <c r="AD2540" s="6">
        <f>IFERROR(__xludf.DUMMYFUNCTION("""COMPUTED_VALUE"""),1443.89)</f>
        <v/>
      </c>
      <c r="AH2540" s="6">
        <f>AI2540&amp;AJ2540</f>
        <v/>
      </c>
      <c r="AI2540" s="6">
        <f>YEAR(AK2540)</f>
        <v/>
      </c>
      <c r="AJ2540" s="6">
        <f>MONTH(AK2540)</f>
        <v/>
      </c>
      <c r="AK2540" s="267">
        <f>IFERROR(__xludf.DUMMYFUNCTION("""COMPUTED_VALUE"""),45634.9986111111)</f>
        <v/>
      </c>
      <c r="AL2540" s="6">
        <f>IFERROR(__xludf.DUMMYFUNCTION("""COMPUTED_VALUE"""),99819.01)</f>
        <v/>
      </c>
      <c r="AP2540" s="6">
        <f>AQ2540&amp;AR2540</f>
        <v/>
      </c>
      <c r="AQ2540" s="6">
        <f>YEAR(AS2540)</f>
        <v/>
      </c>
      <c r="AR2540" s="6">
        <f>MONTH(AS2540)</f>
        <v/>
      </c>
    </row>
    <row r="2541">
      <c r="B2541" s="6">
        <f>C2541&amp;D2541</f>
        <v/>
      </c>
      <c r="C2541" s="6">
        <f>YEAR(E2541)</f>
        <v/>
      </c>
      <c r="D2541" s="6">
        <f>MONTH(E2541)</f>
        <v/>
      </c>
      <c r="J2541" s="6">
        <f>K2541&amp;L2541</f>
        <v/>
      </c>
      <c r="K2541" s="6">
        <f>YEAR(M2541)</f>
        <v/>
      </c>
      <c r="L2541" s="6">
        <f>MONTH(M2541)</f>
        <v/>
      </c>
      <c r="R2541" s="6">
        <f>S2541&amp;T2541</f>
        <v/>
      </c>
      <c r="S2541" s="6">
        <f>YEAR(U2541)</f>
        <v/>
      </c>
      <c r="T2541" s="6">
        <f>MONTH(U2541)</f>
        <v/>
      </c>
      <c r="Z2541" s="6">
        <f>AA2541&amp;AB2541</f>
        <v/>
      </c>
      <c r="AA2541" s="6">
        <f>YEAR(AC2541)</f>
        <v/>
      </c>
      <c r="AB2541" s="6">
        <f>MONTH(AC2541)</f>
        <v/>
      </c>
      <c r="AC2541" s="267">
        <f>IFERROR(__xludf.DUMMYFUNCTION("""COMPUTED_VALUE"""),45694.9986111111)</f>
        <v/>
      </c>
      <c r="AD2541" s="6">
        <f>IFERROR(__xludf.DUMMYFUNCTION("""COMPUTED_VALUE"""),1442.15)</f>
        <v/>
      </c>
      <c r="AH2541" s="6">
        <f>AI2541&amp;AJ2541</f>
        <v/>
      </c>
      <c r="AI2541" s="6">
        <f>YEAR(AK2541)</f>
        <v/>
      </c>
      <c r="AJ2541" s="6">
        <f>MONTH(AK2541)</f>
        <v/>
      </c>
      <c r="AK2541" s="267">
        <f>IFERROR(__xludf.DUMMYFUNCTION("""COMPUTED_VALUE"""),45635.9986111111)</f>
        <v/>
      </c>
      <c r="AL2541" s="6">
        <f>IFERROR(__xludf.DUMMYFUNCTION("""COMPUTED_VALUE"""),99438.46)</f>
        <v/>
      </c>
      <c r="AP2541" s="6">
        <f>AQ2541&amp;AR2541</f>
        <v/>
      </c>
      <c r="AQ2541" s="6">
        <f>YEAR(AS2541)</f>
        <v/>
      </c>
      <c r="AR2541" s="6">
        <f>MONTH(AS2541)</f>
        <v/>
      </c>
    </row>
    <row r="2542">
      <c r="B2542" s="6">
        <f>C2542&amp;D2542</f>
        <v/>
      </c>
      <c r="C2542" s="6">
        <f>YEAR(E2542)</f>
        <v/>
      </c>
      <c r="D2542" s="6">
        <f>MONTH(E2542)</f>
        <v/>
      </c>
      <c r="J2542" s="6">
        <f>K2542&amp;L2542</f>
        <v/>
      </c>
      <c r="K2542" s="6">
        <f>YEAR(M2542)</f>
        <v/>
      </c>
      <c r="L2542" s="6">
        <f>MONTH(M2542)</f>
        <v/>
      </c>
      <c r="R2542" s="6">
        <f>S2542&amp;T2542</f>
        <v/>
      </c>
      <c r="S2542" s="6">
        <f>YEAR(U2542)</f>
        <v/>
      </c>
      <c r="T2542" s="6">
        <f>MONTH(U2542)</f>
        <v/>
      </c>
      <c r="Z2542" s="6">
        <f>AA2542&amp;AB2542</f>
        <v/>
      </c>
      <c r="AA2542" s="6">
        <f>YEAR(AC2542)</f>
        <v/>
      </c>
      <c r="AB2542" s="6">
        <f>MONTH(AC2542)</f>
        <v/>
      </c>
      <c r="AC2542" s="267">
        <f>IFERROR(__xludf.DUMMYFUNCTION("""COMPUTED_VALUE"""),45695.9986111111)</f>
        <v/>
      </c>
      <c r="AD2542" s="6">
        <f>IFERROR(__xludf.DUMMYFUNCTION("""COMPUTED_VALUE"""),1450.62)</f>
        <v/>
      </c>
      <c r="AH2542" s="6">
        <f>AI2542&amp;AJ2542</f>
        <v/>
      </c>
      <c r="AI2542" s="6">
        <f>YEAR(AK2542)</f>
        <v/>
      </c>
      <c r="AJ2542" s="6">
        <f>MONTH(AK2542)</f>
        <v/>
      </c>
      <c r="AK2542" s="267">
        <f>IFERROR(__xludf.DUMMYFUNCTION("""COMPUTED_VALUE"""),45636.9986111111)</f>
        <v/>
      </c>
      <c r="AL2542" s="6">
        <f>IFERROR(__xludf.DUMMYFUNCTION("""COMPUTED_VALUE"""),97077.3)</f>
        <v/>
      </c>
      <c r="AP2542" s="6">
        <f>AQ2542&amp;AR2542</f>
        <v/>
      </c>
      <c r="AQ2542" s="6">
        <f>YEAR(AS2542)</f>
        <v/>
      </c>
      <c r="AR2542" s="6">
        <f>MONTH(AS2542)</f>
        <v/>
      </c>
    </row>
    <row r="2543">
      <c r="B2543" s="6">
        <f>C2543&amp;D2543</f>
        <v/>
      </c>
      <c r="C2543" s="6">
        <f>YEAR(E2543)</f>
        <v/>
      </c>
      <c r="D2543" s="6">
        <f>MONTH(E2543)</f>
        <v/>
      </c>
      <c r="J2543" s="6">
        <f>K2543&amp;L2543</f>
        <v/>
      </c>
      <c r="K2543" s="6">
        <f>YEAR(M2543)</f>
        <v/>
      </c>
      <c r="L2543" s="6">
        <f>MONTH(M2543)</f>
        <v/>
      </c>
      <c r="R2543" s="6">
        <f>S2543&amp;T2543</f>
        <v/>
      </c>
      <c r="S2543" s="6">
        <f>YEAR(U2543)</f>
        <v/>
      </c>
      <c r="T2543" s="6">
        <f>MONTH(U2543)</f>
        <v/>
      </c>
      <c r="Z2543" s="6">
        <f>AA2543&amp;AB2543</f>
        <v/>
      </c>
      <c r="AA2543" s="6">
        <f>YEAR(AC2543)</f>
        <v/>
      </c>
      <c r="AB2543" s="6">
        <f>MONTH(AC2543)</f>
        <v/>
      </c>
      <c r="AC2543" s="267">
        <f>IFERROR(__xludf.DUMMYFUNCTION("""COMPUTED_VALUE"""),45696.9986111111)</f>
        <v/>
      </c>
      <c r="AD2543" s="6">
        <f>IFERROR(__xludf.DUMMYFUNCTION("""COMPUTED_VALUE"""),1450.62)</f>
        <v/>
      </c>
      <c r="AH2543" s="6">
        <f>AI2543&amp;AJ2543</f>
        <v/>
      </c>
      <c r="AI2543" s="6">
        <f>YEAR(AK2543)</f>
        <v/>
      </c>
      <c r="AJ2543" s="6">
        <f>MONTH(AK2543)</f>
        <v/>
      </c>
      <c r="AK2543" s="267">
        <f>IFERROR(__xludf.DUMMYFUNCTION("""COMPUTED_VALUE"""),45637.9986111111)</f>
        <v/>
      </c>
      <c r="AL2543" s="6">
        <f>IFERROR(__xludf.DUMMYFUNCTION("""COMPUTED_VALUE"""),97601.6)</f>
        <v/>
      </c>
      <c r="AP2543" s="6">
        <f>AQ2543&amp;AR2543</f>
        <v/>
      </c>
      <c r="AQ2543" s="6">
        <f>YEAR(AS2543)</f>
        <v/>
      </c>
      <c r="AR2543" s="6">
        <f>MONTH(AS2543)</f>
        <v/>
      </c>
    </row>
    <row r="2544">
      <c r="B2544" s="6">
        <f>C2544&amp;D2544</f>
        <v/>
      </c>
      <c r="C2544" s="6">
        <f>YEAR(E2544)</f>
        <v/>
      </c>
      <c r="D2544" s="6">
        <f>MONTH(E2544)</f>
        <v/>
      </c>
      <c r="J2544" s="6">
        <f>K2544&amp;L2544</f>
        <v/>
      </c>
      <c r="K2544" s="6">
        <f>YEAR(M2544)</f>
        <v/>
      </c>
      <c r="L2544" s="6">
        <f>MONTH(M2544)</f>
        <v/>
      </c>
      <c r="R2544" s="6">
        <f>S2544&amp;T2544</f>
        <v/>
      </c>
      <c r="S2544" s="6">
        <f>YEAR(U2544)</f>
        <v/>
      </c>
      <c r="T2544" s="6">
        <f>MONTH(U2544)</f>
        <v/>
      </c>
      <c r="Z2544" s="6">
        <f>AA2544&amp;AB2544</f>
        <v/>
      </c>
      <c r="AA2544" s="6">
        <f>YEAR(AC2544)</f>
        <v/>
      </c>
      <c r="AB2544" s="6">
        <f>MONTH(AC2544)</f>
        <v/>
      </c>
      <c r="AC2544" s="267">
        <f>IFERROR(__xludf.DUMMYFUNCTION("""COMPUTED_VALUE"""),45697.9986111111)</f>
        <v/>
      </c>
      <c r="AD2544" s="6">
        <f>IFERROR(__xludf.DUMMYFUNCTION("""COMPUTED_VALUE"""),1450.62)</f>
        <v/>
      </c>
      <c r="AH2544" s="6">
        <f>AI2544&amp;AJ2544</f>
        <v/>
      </c>
      <c r="AI2544" s="6">
        <f>YEAR(AK2544)</f>
        <v/>
      </c>
      <c r="AJ2544" s="6">
        <f>MONTH(AK2544)</f>
        <v/>
      </c>
      <c r="AK2544" s="267">
        <f>IFERROR(__xludf.DUMMYFUNCTION("""COMPUTED_VALUE"""),45638.9986111111)</f>
        <v/>
      </c>
      <c r="AL2544" s="6">
        <f>IFERROR(__xludf.DUMMYFUNCTION("""COMPUTED_VALUE"""),100697.2)</f>
        <v/>
      </c>
      <c r="AP2544" s="6">
        <f>AQ2544&amp;AR2544</f>
        <v/>
      </c>
      <c r="AQ2544" s="6">
        <f>YEAR(AS2544)</f>
        <v/>
      </c>
      <c r="AR2544" s="6">
        <f>MONTH(AS2544)</f>
        <v/>
      </c>
    </row>
    <row r="2545">
      <c r="B2545" s="6">
        <f>C2545&amp;D2545</f>
        <v/>
      </c>
      <c r="C2545" s="6">
        <f>YEAR(E2545)</f>
        <v/>
      </c>
      <c r="D2545" s="6">
        <f>MONTH(E2545)</f>
        <v/>
      </c>
      <c r="J2545" s="6">
        <f>K2545&amp;L2545</f>
        <v/>
      </c>
      <c r="K2545" s="6">
        <f>YEAR(M2545)</f>
        <v/>
      </c>
      <c r="L2545" s="6">
        <f>MONTH(M2545)</f>
        <v/>
      </c>
      <c r="R2545" s="6">
        <f>S2545&amp;T2545</f>
        <v/>
      </c>
      <c r="S2545" s="6">
        <f>YEAR(U2545)</f>
        <v/>
      </c>
      <c r="T2545" s="6">
        <f>MONTH(U2545)</f>
        <v/>
      </c>
      <c r="Z2545" s="6">
        <f>AA2545&amp;AB2545</f>
        <v/>
      </c>
      <c r="AA2545" s="6">
        <f>YEAR(AC2545)</f>
        <v/>
      </c>
      <c r="AB2545" s="6">
        <f>MONTH(AC2545)</f>
        <v/>
      </c>
      <c r="AC2545" s="267">
        <f>IFERROR(__xludf.DUMMYFUNCTION("""COMPUTED_VALUE"""),45698.9986111111)</f>
        <v/>
      </c>
      <c r="AD2545" s="6">
        <f>IFERROR(__xludf.DUMMYFUNCTION("""COMPUTED_VALUE"""),1453.21)</f>
        <v/>
      </c>
      <c r="AH2545" s="6">
        <f>AI2545&amp;AJ2545</f>
        <v/>
      </c>
      <c r="AI2545" s="6">
        <f>YEAR(AK2545)</f>
        <v/>
      </c>
      <c r="AJ2545" s="6">
        <f>MONTH(AK2545)</f>
        <v/>
      </c>
      <c r="AK2545" s="267">
        <f>IFERROR(__xludf.DUMMYFUNCTION("""COMPUTED_VALUE"""),45639.9986111111)</f>
        <v/>
      </c>
      <c r="AL2545" s="6">
        <f>IFERROR(__xludf.DUMMYFUNCTION("""COMPUTED_VALUE"""),99999.12)</f>
        <v/>
      </c>
      <c r="AP2545" s="6">
        <f>AQ2545&amp;AR2545</f>
        <v/>
      </c>
      <c r="AQ2545" s="6">
        <f>YEAR(AS2545)</f>
        <v/>
      </c>
      <c r="AR2545" s="6">
        <f>MONTH(AS2545)</f>
        <v/>
      </c>
    </row>
    <row r="2546">
      <c r="B2546" s="6">
        <f>C2546&amp;D2546</f>
        <v/>
      </c>
      <c r="C2546" s="6">
        <f>YEAR(E2546)</f>
        <v/>
      </c>
      <c r="D2546" s="6">
        <f>MONTH(E2546)</f>
        <v/>
      </c>
      <c r="J2546" s="6">
        <f>K2546&amp;L2546</f>
        <v/>
      </c>
      <c r="K2546" s="6">
        <f>YEAR(M2546)</f>
        <v/>
      </c>
      <c r="L2546" s="6">
        <f>MONTH(M2546)</f>
        <v/>
      </c>
      <c r="R2546" s="6">
        <f>S2546&amp;T2546</f>
        <v/>
      </c>
      <c r="S2546" s="6">
        <f>YEAR(U2546)</f>
        <v/>
      </c>
      <c r="T2546" s="6">
        <f>MONTH(U2546)</f>
        <v/>
      </c>
      <c r="Z2546" s="6">
        <f>AA2546&amp;AB2546</f>
        <v/>
      </c>
      <c r="AA2546" s="6">
        <f>YEAR(AC2546)</f>
        <v/>
      </c>
      <c r="AB2546" s="6">
        <f>MONTH(AC2546)</f>
        <v/>
      </c>
      <c r="AC2546" s="267">
        <f>IFERROR(__xludf.DUMMYFUNCTION("""COMPUTED_VALUE"""),45699.9986111111)</f>
        <v/>
      </c>
      <c r="AD2546" s="6">
        <f>IFERROR(__xludf.DUMMYFUNCTION("""COMPUTED_VALUE"""),1450.75)</f>
        <v/>
      </c>
      <c r="AH2546" s="6">
        <f>AI2546&amp;AJ2546</f>
        <v/>
      </c>
      <c r="AI2546" s="6">
        <f>YEAR(AK2546)</f>
        <v/>
      </c>
      <c r="AJ2546" s="6">
        <f>MONTH(AK2546)</f>
        <v/>
      </c>
      <c r="AK2546" s="267">
        <f>IFERROR(__xludf.DUMMYFUNCTION("""COMPUTED_VALUE"""),45640.9986111111)</f>
        <v/>
      </c>
      <c r="AL2546" s="6">
        <f>IFERROR(__xludf.DUMMYFUNCTION("""COMPUTED_VALUE"""),101680.9)</f>
        <v/>
      </c>
      <c r="AP2546" s="6">
        <f>AQ2546&amp;AR2546</f>
        <v/>
      </c>
      <c r="AQ2546" s="6">
        <f>YEAR(AS2546)</f>
        <v/>
      </c>
      <c r="AR2546" s="6">
        <f>MONTH(AS2546)</f>
        <v/>
      </c>
    </row>
    <row r="2547">
      <c r="B2547" s="6">
        <f>C2547&amp;D2547</f>
        <v/>
      </c>
      <c r="C2547" s="6">
        <f>YEAR(E2547)</f>
        <v/>
      </c>
      <c r="D2547" s="6">
        <f>MONTH(E2547)</f>
        <v/>
      </c>
      <c r="J2547" s="6">
        <f>K2547&amp;L2547</f>
        <v/>
      </c>
      <c r="K2547" s="6">
        <f>YEAR(M2547)</f>
        <v/>
      </c>
      <c r="L2547" s="6">
        <f>MONTH(M2547)</f>
        <v/>
      </c>
      <c r="R2547" s="6">
        <f>S2547&amp;T2547</f>
        <v/>
      </c>
      <c r="S2547" s="6">
        <f>YEAR(U2547)</f>
        <v/>
      </c>
      <c r="T2547" s="6">
        <f>MONTH(U2547)</f>
        <v/>
      </c>
      <c r="Z2547" s="6">
        <f>AA2547&amp;AB2547</f>
        <v/>
      </c>
      <c r="AA2547" s="6">
        <f>YEAR(AC2547)</f>
        <v/>
      </c>
      <c r="AB2547" s="6">
        <f>MONTH(AC2547)</f>
        <v/>
      </c>
      <c r="AC2547" s="267">
        <f>IFERROR(__xludf.DUMMYFUNCTION("""COMPUTED_VALUE"""),45700.9986111111)</f>
        <v/>
      </c>
      <c r="AD2547" s="6">
        <f>IFERROR(__xludf.DUMMYFUNCTION("""COMPUTED_VALUE"""),1452.12)</f>
        <v/>
      </c>
      <c r="AH2547" s="6">
        <f>AI2547&amp;AJ2547</f>
        <v/>
      </c>
      <c r="AI2547" s="6">
        <f>YEAR(AK2547)</f>
        <v/>
      </c>
      <c r="AJ2547" s="6">
        <f>MONTH(AK2547)</f>
        <v/>
      </c>
      <c r="AK2547" s="267">
        <f>IFERROR(__xludf.DUMMYFUNCTION("""COMPUTED_VALUE"""),45641.9986111111)</f>
        <v/>
      </c>
      <c r="AL2547" s="6">
        <f>IFERROR(__xludf.DUMMYFUNCTION("""COMPUTED_VALUE"""),102259.9)</f>
        <v/>
      </c>
      <c r="AP2547" s="6">
        <f>AQ2547&amp;AR2547</f>
        <v/>
      </c>
      <c r="AQ2547" s="6">
        <f>YEAR(AS2547)</f>
        <v/>
      </c>
      <c r="AR2547" s="6">
        <f>MONTH(AS2547)</f>
        <v/>
      </c>
    </row>
    <row r="2548">
      <c r="B2548" s="6">
        <f>C2548&amp;D2548</f>
        <v/>
      </c>
      <c r="C2548" s="6">
        <f>YEAR(E2548)</f>
        <v/>
      </c>
      <c r="D2548" s="6">
        <f>MONTH(E2548)</f>
        <v/>
      </c>
      <c r="J2548" s="6">
        <f>K2548&amp;L2548</f>
        <v/>
      </c>
      <c r="K2548" s="6">
        <f>YEAR(M2548)</f>
        <v/>
      </c>
      <c r="L2548" s="6">
        <f>MONTH(M2548)</f>
        <v/>
      </c>
      <c r="R2548" s="6">
        <f>S2548&amp;T2548</f>
        <v/>
      </c>
      <c r="S2548" s="6">
        <f>YEAR(U2548)</f>
        <v/>
      </c>
      <c r="T2548" s="6">
        <f>MONTH(U2548)</f>
        <v/>
      </c>
      <c r="Z2548" s="6">
        <f>AA2548&amp;AB2548</f>
        <v/>
      </c>
      <c r="AA2548" s="6">
        <f>YEAR(AC2548)</f>
        <v/>
      </c>
      <c r="AB2548" s="6">
        <f>MONTH(AC2548)</f>
        <v/>
      </c>
      <c r="AC2548" s="267">
        <f>IFERROR(__xludf.DUMMYFUNCTION("""COMPUTED_VALUE"""),45701.9986111111)</f>
        <v/>
      </c>
      <c r="AD2548" s="6">
        <f>IFERROR(__xludf.DUMMYFUNCTION("""COMPUTED_VALUE"""),1438.74)</f>
        <v/>
      </c>
      <c r="AH2548" s="6">
        <f>AI2548&amp;AJ2548</f>
        <v/>
      </c>
      <c r="AI2548" s="6">
        <f>YEAR(AK2548)</f>
        <v/>
      </c>
      <c r="AJ2548" s="6">
        <f>MONTH(AK2548)</f>
        <v/>
      </c>
      <c r="AK2548" s="267">
        <f>IFERROR(__xludf.DUMMYFUNCTION("""COMPUTED_VALUE"""),45642.9986111111)</f>
        <v/>
      </c>
      <c r="AL2548" s="6">
        <f>IFERROR(__xludf.DUMMYFUNCTION("""COMPUTED_VALUE"""),104572.1)</f>
        <v/>
      </c>
      <c r="AP2548" s="6">
        <f>AQ2548&amp;AR2548</f>
        <v/>
      </c>
      <c r="AQ2548" s="6">
        <f>YEAR(AS2548)</f>
        <v/>
      </c>
      <c r="AR2548" s="6">
        <f>MONTH(AS2548)</f>
        <v/>
      </c>
    </row>
    <row r="2549">
      <c r="B2549" s="6">
        <f>C2549&amp;D2549</f>
        <v/>
      </c>
      <c r="C2549" s="6">
        <f>YEAR(E2549)</f>
        <v/>
      </c>
      <c r="D2549" s="6">
        <f>MONTH(E2549)</f>
        <v/>
      </c>
      <c r="J2549" s="6">
        <f>K2549&amp;L2549</f>
        <v/>
      </c>
      <c r="K2549" s="6">
        <f>YEAR(M2549)</f>
        <v/>
      </c>
      <c r="L2549" s="6">
        <f>MONTH(M2549)</f>
        <v/>
      </c>
      <c r="R2549" s="6">
        <f>S2549&amp;T2549</f>
        <v/>
      </c>
      <c r="S2549" s="6">
        <f>YEAR(U2549)</f>
        <v/>
      </c>
      <c r="T2549" s="6">
        <f>MONTH(U2549)</f>
        <v/>
      </c>
      <c r="Z2549" s="6">
        <f>AA2549&amp;AB2549</f>
        <v/>
      </c>
      <c r="AA2549" s="6">
        <f>YEAR(AC2549)</f>
        <v/>
      </c>
      <c r="AB2549" s="6">
        <f>MONTH(AC2549)</f>
        <v/>
      </c>
      <c r="AC2549" s="267">
        <f>IFERROR(__xludf.DUMMYFUNCTION("""COMPUTED_VALUE"""),45702.9986111111)</f>
        <v/>
      </c>
      <c r="AD2549" s="6">
        <f>IFERROR(__xludf.DUMMYFUNCTION("""COMPUTED_VALUE"""),1432.5)</f>
        <v/>
      </c>
      <c r="AH2549" s="6">
        <f>AI2549&amp;AJ2549</f>
        <v/>
      </c>
      <c r="AI2549" s="6">
        <f>YEAR(AK2549)</f>
        <v/>
      </c>
      <c r="AJ2549" s="6">
        <f>MONTH(AK2549)</f>
        <v/>
      </c>
      <c r="AK2549" s="267">
        <f>IFERROR(__xludf.DUMMYFUNCTION("""COMPUTED_VALUE"""),45643.9986111111)</f>
        <v/>
      </c>
      <c r="AL2549" s="6">
        <f>IFERROR(__xludf.DUMMYFUNCTION("""COMPUTED_VALUE"""),106490.1)</f>
        <v/>
      </c>
      <c r="AP2549" s="6">
        <f>AQ2549&amp;AR2549</f>
        <v/>
      </c>
      <c r="AQ2549" s="6">
        <f>YEAR(AS2549)</f>
        <v/>
      </c>
      <c r="AR2549" s="6">
        <f>MONTH(AS2549)</f>
        <v/>
      </c>
    </row>
    <row r="2550">
      <c r="B2550" s="6">
        <f>C2550&amp;D2550</f>
        <v/>
      </c>
      <c r="C2550" s="6">
        <f>YEAR(E2550)</f>
        <v/>
      </c>
      <c r="D2550" s="6">
        <f>MONTH(E2550)</f>
        <v/>
      </c>
      <c r="J2550" s="6">
        <f>K2550&amp;L2550</f>
        <v/>
      </c>
      <c r="K2550" s="6">
        <f>YEAR(M2550)</f>
        <v/>
      </c>
      <c r="L2550" s="6">
        <f>MONTH(M2550)</f>
        <v/>
      </c>
      <c r="R2550" s="6">
        <f>S2550&amp;T2550</f>
        <v/>
      </c>
      <c r="S2550" s="6">
        <f>YEAR(U2550)</f>
        <v/>
      </c>
      <c r="T2550" s="6">
        <f>MONTH(U2550)</f>
        <v/>
      </c>
      <c r="Z2550" s="6">
        <f>AA2550&amp;AB2550</f>
        <v/>
      </c>
      <c r="AA2550" s="6">
        <f>YEAR(AC2550)</f>
        <v/>
      </c>
      <c r="AB2550" s="6">
        <f>MONTH(AC2550)</f>
        <v/>
      </c>
      <c r="AC2550" s="267">
        <f>IFERROR(__xludf.DUMMYFUNCTION("""COMPUTED_VALUE"""),45703.9986111111)</f>
        <v/>
      </c>
      <c r="AD2550" s="6">
        <f>IFERROR(__xludf.DUMMYFUNCTION("""COMPUTED_VALUE"""),1439.43)</f>
        <v/>
      </c>
      <c r="AH2550" s="6">
        <f>AI2550&amp;AJ2550</f>
        <v/>
      </c>
      <c r="AI2550" s="6">
        <f>YEAR(AK2550)</f>
        <v/>
      </c>
      <c r="AJ2550" s="6">
        <f>MONTH(AK2550)</f>
        <v/>
      </c>
      <c r="AK2550" s="267">
        <f>IFERROR(__xludf.DUMMYFUNCTION("""COMPUTED_VALUE"""),45644.9986111111)</f>
        <v/>
      </c>
      <c r="AL2550" s="6">
        <f>IFERROR(__xludf.DUMMYFUNCTION("""COMPUTED_VALUE"""),103848.1)</f>
        <v/>
      </c>
      <c r="AP2550" s="6">
        <f>AQ2550&amp;AR2550</f>
        <v/>
      </c>
      <c r="AQ2550" s="6">
        <f>YEAR(AS2550)</f>
        <v/>
      </c>
      <c r="AR2550" s="6">
        <f>MONTH(AS2550)</f>
        <v/>
      </c>
    </row>
    <row r="2551">
      <c r="B2551" s="6">
        <f>C2551&amp;D2551</f>
        <v/>
      </c>
      <c r="C2551" s="6">
        <f>YEAR(E2551)</f>
        <v/>
      </c>
      <c r="D2551" s="6">
        <f>MONTH(E2551)</f>
        <v/>
      </c>
      <c r="J2551" s="6">
        <f>K2551&amp;L2551</f>
        <v/>
      </c>
      <c r="K2551" s="6">
        <f>YEAR(M2551)</f>
        <v/>
      </c>
      <c r="L2551" s="6">
        <f>MONTH(M2551)</f>
        <v/>
      </c>
      <c r="R2551" s="6">
        <f>S2551&amp;T2551</f>
        <v/>
      </c>
      <c r="S2551" s="6">
        <f>YEAR(U2551)</f>
        <v/>
      </c>
      <c r="T2551" s="6">
        <f>MONTH(U2551)</f>
        <v/>
      </c>
      <c r="Z2551" s="6">
        <f>AA2551&amp;AB2551</f>
        <v/>
      </c>
      <c r="AA2551" s="6">
        <f>YEAR(AC2551)</f>
        <v/>
      </c>
      <c r="AB2551" s="6">
        <f>MONTH(AC2551)</f>
        <v/>
      </c>
      <c r="AC2551" s="267">
        <f>IFERROR(__xludf.DUMMYFUNCTION("""COMPUTED_VALUE"""),45704.9986111111)</f>
        <v/>
      </c>
      <c r="AD2551" s="6">
        <f>IFERROR(__xludf.DUMMYFUNCTION("""COMPUTED_VALUE"""),1432.6)</f>
        <v/>
      </c>
      <c r="AH2551" s="6">
        <f>AI2551&amp;AJ2551</f>
        <v/>
      </c>
      <c r="AI2551" s="6">
        <f>YEAR(AK2551)</f>
        <v/>
      </c>
      <c r="AJ2551" s="6">
        <f>MONTH(AK2551)</f>
        <v/>
      </c>
      <c r="AK2551" s="267">
        <f>IFERROR(__xludf.DUMMYFUNCTION("""COMPUTED_VALUE"""),45645.9986111111)</f>
        <v/>
      </c>
      <c r="AL2551" s="6">
        <f>IFERROR(__xludf.DUMMYFUNCTION("""COMPUTED_VALUE"""),100646.2)</f>
        <v/>
      </c>
      <c r="AP2551" s="6">
        <f>AQ2551&amp;AR2551</f>
        <v/>
      </c>
      <c r="AQ2551" s="6">
        <f>YEAR(AS2551)</f>
        <v/>
      </c>
      <c r="AR2551" s="6">
        <f>MONTH(AS2551)</f>
        <v/>
      </c>
    </row>
    <row r="2552">
      <c r="B2552" s="6">
        <f>C2552&amp;D2552</f>
        <v/>
      </c>
      <c r="C2552" s="6">
        <f>YEAR(E2552)</f>
        <v/>
      </c>
      <c r="D2552" s="6">
        <f>MONTH(E2552)</f>
        <v/>
      </c>
      <c r="J2552" s="6">
        <f>K2552&amp;L2552</f>
        <v/>
      </c>
      <c r="K2552" s="6">
        <f>YEAR(M2552)</f>
        <v/>
      </c>
      <c r="L2552" s="6">
        <f>MONTH(M2552)</f>
        <v/>
      </c>
      <c r="R2552" s="6">
        <f>S2552&amp;T2552</f>
        <v/>
      </c>
      <c r="S2552" s="6">
        <f>YEAR(U2552)</f>
        <v/>
      </c>
      <c r="T2552" s="6">
        <f>MONTH(U2552)</f>
        <v/>
      </c>
      <c r="Z2552" s="6">
        <f>AA2552&amp;AB2552</f>
        <v/>
      </c>
      <c r="AA2552" s="6">
        <f>YEAR(AC2552)</f>
        <v/>
      </c>
      <c r="AB2552" s="6">
        <f>MONTH(AC2552)</f>
        <v/>
      </c>
      <c r="AC2552" s="267">
        <f>IFERROR(__xludf.DUMMYFUNCTION("""COMPUTED_VALUE"""),45705.9986111111)</f>
        <v/>
      </c>
      <c r="AD2552" s="6">
        <f>IFERROR(__xludf.DUMMYFUNCTION("""COMPUTED_VALUE"""),1441.29)</f>
        <v/>
      </c>
      <c r="AH2552" s="6">
        <f>AI2552&amp;AJ2552</f>
        <v/>
      </c>
      <c r="AI2552" s="6">
        <f>YEAR(AK2552)</f>
        <v/>
      </c>
      <c r="AJ2552" s="6">
        <f>MONTH(AK2552)</f>
        <v/>
      </c>
      <c r="AK2552" s="267">
        <f>IFERROR(__xludf.DUMMYFUNCTION("""COMPUTED_VALUE"""),45646.9986111111)</f>
        <v/>
      </c>
      <c r="AL2552" s="6">
        <f>IFERROR(__xludf.DUMMYFUNCTION("""COMPUTED_VALUE"""),97334.15)</f>
        <v/>
      </c>
      <c r="AP2552" s="6">
        <f>AQ2552&amp;AR2552</f>
        <v/>
      </c>
      <c r="AQ2552" s="6">
        <f>YEAR(AS2552)</f>
        <v/>
      </c>
      <c r="AR2552" s="6">
        <f>MONTH(AS2552)</f>
        <v/>
      </c>
    </row>
    <row r="2553">
      <c r="B2553" s="6">
        <f>C2553&amp;D2553</f>
        <v/>
      </c>
      <c r="C2553" s="6">
        <f>YEAR(E2553)</f>
        <v/>
      </c>
      <c r="D2553" s="6">
        <f>MONTH(E2553)</f>
        <v/>
      </c>
      <c r="J2553" s="6">
        <f>K2553&amp;L2553</f>
        <v/>
      </c>
      <c r="K2553" s="6">
        <f>YEAR(M2553)</f>
        <v/>
      </c>
      <c r="L2553" s="6">
        <f>MONTH(M2553)</f>
        <v/>
      </c>
      <c r="R2553" s="6">
        <f>S2553&amp;T2553</f>
        <v/>
      </c>
      <c r="S2553" s="6">
        <f>YEAR(U2553)</f>
        <v/>
      </c>
      <c r="T2553" s="6">
        <f>MONTH(U2553)</f>
        <v/>
      </c>
      <c r="Z2553" s="6">
        <f>AA2553&amp;AB2553</f>
        <v/>
      </c>
      <c r="AA2553" s="6">
        <f>YEAR(AC2553)</f>
        <v/>
      </c>
      <c r="AB2553" s="6">
        <f>MONTH(AC2553)</f>
        <v/>
      </c>
      <c r="AC2553" s="267">
        <f>IFERROR(__xludf.DUMMYFUNCTION("""COMPUTED_VALUE"""),45706.9986111111)</f>
        <v/>
      </c>
      <c r="AD2553" s="6">
        <f>IFERROR(__xludf.DUMMYFUNCTION("""COMPUTED_VALUE"""),1440.08)</f>
        <v/>
      </c>
      <c r="AH2553" s="6">
        <f>AI2553&amp;AJ2553</f>
        <v/>
      </c>
      <c r="AI2553" s="6">
        <f>YEAR(AK2553)</f>
        <v/>
      </c>
      <c r="AJ2553" s="6">
        <f>MONTH(AK2553)</f>
        <v/>
      </c>
      <c r="AK2553" s="267">
        <f>IFERROR(__xludf.DUMMYFUNCTION("""COMPUTED_VALUE"""),45647.9986111111)</f>
        <v/>
      </c>
      <c r="AL2553" s="6">
        <f>IFERROR(__xludf.DUMMYFUNCTION("""COMPUTED_VALUE"""),97623.92)</f>
        <v/>
      </c>
      <c r="AP2553" s="6">
        <f>AQ2553&amp;AR2553</f>
        <v/>
      </c>
      <c r="AQ2553" s="6">
        <f>YEAR(AS2553)</f>
        <v/>
      </c>
      <c r="AR2553" s="6">
        <f>MONTH(AS2553)</f>
        <v/>
      </c>
    </row>
    <row r="2554">
      <c r="B2554" s="6">
        <f>C2554&amp;D2554</f>
        <v/>
      </c>
      <c r="C2554" s="6">
        <f>YEAR(E2554)</f>
        <v/>
      </c>
      <c r="D2554" s="6">
        <f>MONTH(E2554)</f>
        <v/>
      </c>
      <c r="J2554" s="6">
        <f>K2554&amp;L2554</f>
        <v/>
      </c>
      <c r="K2554" s="6">
        <f>YEAR(M2554)</f>
        <v/>
      </c>
      <c r="L2554" s="6">
        <f>MONTH(M2554)</f>
        <v/>
      </c>
      <c r="R2554" s="6">
        <f>S2554&amp;T2554</f>
        <v/>
      </c>
      <c r="S2554" s="6">
        <f>YEAR(U2554)</f>
        <v/>
      </c>
      <c r="T2554" s="6">
        <f>MONTH(U2554)</f>
        <v/>
      </c>
      <c r="Z2554" s="6">
        <f>AA2554&amp;AB2554</f>
        <v/>
      </c>
      <c r="AA2554" s="6">
        <f>YEAR(AC2554)</f>
        <v/>
      </c>
      <c r="AB2554" s="6">
        <f>MONTH(AC2554)</f>
        <v/>
      </c>
      <c r="AC2554" s="267">
        <f>IFERROR(__xludf.DUMMYFUNCTION("""COMPUTED_VALUE"""),45707.9986111111)</f>
        <v/>
      </c>
      <c r="AD2554" s="6">
        <f>IFERROR(__xludf.DUMMYFUNCTION("""COMPUTED_VALUE"""),1439.98)</f>
        <v/>
      </c>
      <c r="AH2554" s="6">
        <f>AI2554&amp;AJ2554</f>
        <v/>
      </c>
      <c r="AI2554" s="6">
        <f>YEAR(AK2554)</f>
        <v/>
      </c>
      <c r="AJ2554" s="6">
        <f>MONTH(AK2554)</f>
        <v/>
      </c>
      <c r="AK2554" s="267">
        <f>IFERROR(__xludf.DUMMYFUNCTION("""COMPUTED_VALUE"""),45648.9986111111)</f>
        <v/>
      </c>
      <c r="AL2554" s="6">
        <f>IFERROR(__xludf.DUMMYFUNCTION("""COMPUTED_VALUE"""),96193.61)</f>
        <v/>
      </c>
      <c r="AP2554" s="6">
        <f>AQ2554&amp;AR2554</f>
        <v/>
      </c>
      <c r="AQ2554" s="6">
        <f>YEAR(AS2554)</f>
        <v/>
      </c>
      <c r="AR2554" s="6">
        <f>MONTH(AS2554)</f>
        <v/>
      </c>
    </row>
    <row r="2555">
      <c r="B2555" s="6">
        <f>C2555&amp;D2555</f>
        <v/>
      </c>
      <c r="C2555" s="6">
        <f>YEAR(E2555)</f>
        <v/>
      </c>
      <c r="D2555" s="6">
        <f>MONTH(E2555)</f>
        <v/>
      </c>
      <c r="J2555" s="6">
        <f>K2555&amp;L2555</f>
        <v/>
      </c>
      <c r="K2555" s="6">
        <f>YEAR(M2555)</f>
        <v/>
      </c>
      <c r="L2555" s="6">
        <f>MONTH(M2555)</f>
        <v/>
      </c>
      <c r="R2555" s="6">
        <f>S2555&amp;T2555</f>
        <v/>
      </c>
      <c r="S2555" s="6">
        <f>YEAR(U2555)</f>
        <v/>
      </c>
      <c r="T2555" s="6">
        <f>MONTH(U2555)</f>
        <v/>
      </c>
      <c r="Z2555" s="6">
        <f>AA2555&amp;AB2555</f>
        <v/>
      </c>
      <c r="AA2555" s="6">
        <f>YEAR(AC2555)</f>
        <v/>
      </c>
      <c r="AB2555" s="6">
        <f>MONTH(AC2555)</f>
        <v/>
      </c>
      <c r="AC2555" s="267">
        <f>IFERROR(__xludf.DUMMYFUNCTION("""COMPUTED_VALUE"""),45708.9986111111)</f>
        <v/>
      </c>
      <c r="AD2555" s="6">
        <f>IFERROR(__xludf.DUMMYFUNCTION("""COMPUTED_VALUE"""),1431.7)</f>
        <v/>
      </c>
      <c r="AH2555" s="6">
        <f>AI2555&amp;AJ2555</f>
        <v/>
      </c>
      <c r="AI2555" s="6">
        <f>YEAR(AK2555)</f>
        <v/>
      </c>
      <c r="AJ2555" s="6">
        <f>MONTH(AK2555)</f>
        <v/>
      </c>
      <c r="AK2555" s="267">
        <f>IFERROR(__xludf.DUMMYFUNCTION("""COMPUTED_VALUE"""),45649.9986111111)</f>
        <v/>
      </c>
      <c r="AL2555" s="6">
        <f>IFERROR(__xludf.DUMMYFUNCTION("""COMPUTED_VALUE"""),95786.72)</f>
        <v/>
      </c>
      <c r="AP2555" s="6">
        <f>AQ2555&amp;AR2555</f>
        <v/>
      </c>
      <c r="AQ2555" s="6">
        <f>YEAR(AS2555)</f>
        <v/>
      </c>
      <c r="AR2555" s="6">
        <f>MONTH(AS2555)</f>
        <v/>
      </c>
    </row>
    <row r="2556">
      <c r="B2556" s="6">
        <f>C2556&amp;D2556</f>
        <v/>
      </c>
      <c r="C2556" s="6">
        <f>YEAR(E2556)</f>
        <v/>
      </c>
      <c r="D2556" s="6">
        <f>MONTH(E2556)</f>
        <v/>
      </c>
      <c r="J2556" s="6">
        <f>K2556&amp;L2556</f>
        <v/>
      </c>
      <c r="K2556" s="6">
        <f>YEAR(M2556)</f>
        <v/>
      </c>
      <c r="L2556" s="6">
        <f>MONTH(M2556)</f>
        <v/>
      </c>
      <c r="R2556" s="6">
        <f>S2556&amp;T2556</f>
        <v/>
      </c>
      <c r="S2556" s="6">
        <f>YEAR(U2556)</f>
        <v/>
      </c>
      <c r="T2556" s="6">
        <f>MONTH(U2556)</f>
        <v/>
      </c>
      <c r="Z2556" s="6">
        <f>AA2556&amp;AB2556</f>
        <v/>
      </c>
      <c r="AA2556" s="6">
        <f>YEAR(AC2556)</f>
        <v/>
      </c>
      <c r="AB2556" s="6">
        <f>MONTH(AC2556)</f>
        <v/>
      </c>
      <c r="AC2556" s="267">
        <f>IFERROR(__xludf.DUMMYFUNCTION("""COMPUTED_VALUE"""),45709.9986111111)</f>
        <v/>
      </c>
      <c r="AD2556" s="6">
        <f>IFERROR(__xludf.DUMMYFUNCTION("""COMPUTED_VALUE"""),1434.39)</f>
        <v/>
      </c>
      <c r="AH2556" s="6">
        <f>AI2556&amp;AJ2556</f>
        <v/>
      </c>
      <c r="AI2556" s="6">
        <f>YEAR(AK2556)</f>
        <v/>
      </c>
      <c r="AJ2556" s="6">
        <f>MONTH(AK2556)</f>
        <v/>
      </c>
      <c r="AK2556" s="267">
        <f>IFERROR(__xludf.DUMMYFUNCTION("""COMPUTED_VALUE"""),45650.9986111111)</f>
        <v/>
      </c>
      <c r="AL2556" s="6">
        <f>IFERROR(__xludf.DUMMYFUNCTION("""COMPUTED_VALUE"""),94287.05)</f>
        <v/>
      </c>
      <c r="AP2556" s="6">
        <f>AQ2556&amp;AR2556</f>
        <v/>
      </c>
      <c r="AQ2556" s="6">
        <f>YEAR(AS2556)</f>
        <v/>
      </c>
      <c r="AR2556" s="6">
        <f>MONTH(AS2556)</f>
        <v/>
      </c>
    </row>
    <row r="2557">
      <c r="B2557" s="6">
        <f>C2557&amp;D2557</f>
        <v/>
      </c>
      <c r="C2557" s="6">
        <f>YEAR(E2557)</f>
        <v/>
      </c>
      <c r="D2557" s="6">
        <f>MONTH(E2557)</f>
        <v/>
      </c>
      <c r="J2557" s="6">
        <f>K2557&amp;L2557</f>
        <v/>
      </c>
      <c r="K2557" s="6">
        <f>YEAR(M2557)</f>
        <v/>
      </c>
      <c r="L2557" s="6">
        <f>MONTH(M2557)</f>
        <v/>
      </c>
      <c r="R2557" s="6">
        <f>S2557&amp;T2557</f>
        <v/>
      </c>
      <c r="S2557" s="6">
        <f>YEAR(U2557)</f>
        <v/>
      </c>
      <c r="T2557" s="6">
        <f>MONTH(U2557)</f>
        <v/>
      </c>
      <c r="Z2557" s="6">
        <f>AA2557&amp;AB2557</f>
        <v/>
      </c>
      <c r="AA2557" s="6">
        <f>YEAR(AC2557)</f>
        <v/>
      </c>
      <c r="AB2557" s="6">
        <f>MONTH(AC2557)</f>
        <v/>
      </c>
      <c r="AC2557" s="267">
        <f>IFERROR(__xludf.DUMMYFUNCTION("""COMPUTED_VALUE"""),45710.9986111111)</f>
        <v/>
      </c>
      <c r="AD2557" s="6">
        <f>IFERROR(__xludf.DUMMYFUNCTION("""COMPUTED_VALUE"""),1434.29)</f>
        <v/>
      </c>
      <c r="AH2557" s="6">
        <f>AI2557&amp;AJ2557</f>
        <v/>
      </c>
      <c r="AI2557" s="6">
        <f>YEAR(AK2557)</f>
        <v/>
      </c>
      <c r="AJ2557" s="6">
        <f>MONTH(AK2557)</f>
        <v/>
      </c>
      <c r="AK2557" s="267">
        <f>IFERROR(__xludf.DUMMYFUNCTION("""COMPUTED_VALUE"""),45651.9986111111)</f>
        <v/>
      </c>
      <c r="AL2557" s="6">
        <f>IFERROR(__xludf.DUMMYFUNCTION("""COMPUTED_VALUE"""),98209.62)</f>
        <v/>
      </c>
      <c r="AP2557" s="6">
        <f>AQ2557&amp;AR2557</f>
        <v/>
      </c>
      <c r="AQ2557" s="6">
        <f>YEAR(AS2557)</f>
        <v/>
      </c>
      <c r="AR2557" s="6">
        <f>MONTH(AS2557)</f>
        <v/>
      </c>
    </row>
    <row r="2558">
      <c r="B2558" s="6">
        <f>C2558&amp;D2558</f>
        <v/>
      </c>
      <c r="C2558" s="6">
        <f>YEAR(E2558)</f>
        <v/>
      </c>
      <c r="D2558" s="6">
        <f>MONTH(E2558)</f>
        <v/>
      </c>
      <c r="J2558" s="6">
        <f>K2558&amp;L2558</f>
        <v/>
      </c>
      <c r="K2558" s="6">
        <f>YEAR(M2558)</f>
        <v/>
      </c>
      <c r="L2558" s="6">
        <f>MONTH(M2558)</f>
        <v/>
      </c>
      <c r="R2558" s="6">
        <f>S2558&amp;T2558</f>
        <v/>
      </c>
      <c r="S2558" s="6">
        <f>YEAR(U2558)</f>
        <v/>
      </c>
      <c r="T2558" s="6">
        <f>MONTH(U2558)</f>
        <v/>
      </c>
      <c r="Z2558" s="6">
        <f>AA2558&amp;AB2558</f>
        <v/>
      </c>
      <c r="AA2558" s="6">
        <f>YEAR(AC2558)</f>
        <v/>
      </c>
      <c r="AB2558" s="6">
        <f>MONTH(AC2558)</f>
        <v/>
      </c>
      <c r="AC2558" s="267">
        <f>IFERROR(__xludf.DUMMYFUNCTION("""COMPUTED_VALUE"""),45711.9986111111)</f>
        <v/>
      </c>
      <c r="AD2558" s="6">
        <f>IFERROR(__xludf.DUMMYFUNCTION("""COMPUTED_VALUE"""),1434.29)</f>
        <v/>
      </c>
      <c r="AH2558" s="6">
        <f>AI2558&amp;AJ2558</f>
        <v/>
      </c>
      <c r="AI2558" s="6">
        <f>YEAR(AK2558)</f>
        <v/>
      </c>
      <c r="AJ2558" s="6">
        <f>MONTH(AK2558)</f>
        <v/>
      </c>
      <c r="AK2558" s="267">
        <f>IFERROR(__xludf.DUMMYFUNCTION("""COMPUTED_VALUE"""),45652.9986111111)</f>
        <v/>
      </c>
      <c r="AL2558" s="6">
        <f>IFERROR(__xludf.DUMMYFUNCTION("""COMPUTED_VALUE"""),98294.12)</f>
        <v/>
      </c>
      <c r="AP2558" s="6">
        <f>AQ2558&amp;AR2558</f>
        <v/>
      </c>
      <c r="AQ2558" s="6">
        <f>YEAR(AS2558)</f>
        <v/>
      </c>
      <c r="AR2558" s="6">
        <f>MONTH(AS2558)</f>
        <v/>
      </c>
    </row>
    <row r="2559">
      <c r="B2559" s="6">
        <f>C2559&amp;D2559</f>
        <v/>
      </c>
      <c r="C2559" s="6">
        <f>YEAR(E2559)</f>
        <v/>
      </c>
      <c r="D2559" s="6">
        <f>MONTH(E2559)</f>
        <v/>
      </c>
      <c r="J2559" s="6">
        <f>K2559&amp;L2559</f>
        <v/>
      </c>
      <c r="K2559" s="6">
        <f>YEAR(M2559)</f>
        <v/>
      </c>
      <c r="L2559" s="6">
        <f>MONTH(M2559)</f>
        <v/>
      </c>
      <c r="R2559" s="6">
        <f>S2559&amp;T2559</f>
        <v/>
      </c>
      <c r="S2559" s="6">
        <f>YEAR(U2559)</f>
        <v/>
      </c>
      <c r="T2559" s="6">
        <f>MONTH(U2559)</f>
        <v/>
      </c>
      <c r="Z2559" s="6">
        <f>AA2559&amp;AB2559</f>
        <v/>
      </c>
      <c r="AA2559" s="6">
        <f>YEAR(AC2559)</f>
        <v/>
      </c>
      <c r="AB2559" s="6">
        <f>MONTH(AC2559)</f>
        <v/>
      </c>
      <c r="AC2559" s="267">
        <f>IFERROR(__xludf.DUMMYFUNCTION("""COMPUTED_VALUE"""),45712.9986111111)</f>
        <v/>
      </c>
      <c r="AD2559" s="6">
        <f>IFERROR(__xludf.DUMMYFUNCTION("""COMPUTED_VALUE"""),1428.65)</f>
        <v/>
      </c>
      <c r="AH2559" s="6">
        <f>AI2559&amp;AJ2559</f>
        <v/>
      </c>
      <c r="AI2559" s="6">
        <f>YEAR(AK2559)</f>
        <v/>
      </c>
      <c r="AJ2559" s="6">
        <f>MONTH(AK2559)</f>
        <v/>
      </c>
      <c r="AK2559" s="267">
        <f>IFERROR(__xludf.DUMMYFUNCTION("""COMPUTED_VALUE"""),45653.9986111111)</f>
        <v/>
      </c>
      <c r="AL2559" s="6">
        <f>IFERROR(__xludf.DUMMYFUNCTION("""COMPUTED_VALUE"""),96209.8)</f>
        <v/>
      </c>
      <c r="AP2559" s="6">
        <f>AQ2559&amp;AR2559</f>
        <v/>
      </c>
      <c r="AQ2559" s="6">
        <f>YEAR(AS2559)</f>
        <v/>
      </c>
      <c r="AR2559" s="6">
        <f>MONTH(AS2559)</f>
        <v/>
      </c>
    </row>
    <row r="2560">
      <c r="B2560" s="6">
        <f>C2560&amp;D2560</f>
        <v/>
      </c>
      <c r="C2560" s="6">
        <f>YEAR(E2560)</f>
        <v/>
      </c>
      <c r="D2560" s="6">
        <f>MONTH(E2560)</f>
        <v/>
      </c>
      <c r="J2560" s="6">
        <f>K2560&amp;L2560</f>
        <v/>
      </c>
      <c r="K2560" s="6">
        <f>YEAR(M2560)</f>
        <v/>
      </c>
      <c r="L2560" s="6">
        <f>MONTH(M2560)</f>
        <v/>
      </c>
      <c r="R2560" s="6">
        <f>S2560&amp;T2560</f>
        <v/>
      </c>
      <c r="S2560" s="6">
        <f>YEAR(U2560)</f>
        <v/>
      </c>
      <c r="T2560" s="6">
        <f>MONTH(U2560)</f>
        <v/>
      </c>
      <c r="Z2560" s="6">
        <f>AA2560&amp;AB2560</f>
        <v/>
      </c>
      <c r="AA2560" s="6">
        <f>YEAR(AC2560)</f>
        <v/>
      </c>
      <c r="AB2560" s="6">
        <f>MONTH(AC2560)</f>
        <v/>
      </c>
      <c r="AC2560" s="267">
        <f>IFERROR(__xludf.DUMMYFUNCTION("""COMPUTED_VALUE"""),45713.9986111111)</f>
        <v/>
      </c>
      <c r="AD2560" s="6">
        <f>IFERROR(__xludf.DUMMYFUNCTION("""COMPUTED_VALUE"""),1429.5)</f>
        <v/>
      </c>
      <c r="AH2560" s="6">
        <f>AI2560&amp;AJ2560</f>
        <v/>
      </c>
      <c r="AI2560" s="6">
        <f>YEAR(AK2560)</f>
        <v/>
      </c>
      <c r="AJ2560" s="6">
        <f>MONTH(AK2560)</f>
        <v/>
      </c>
      <c r="AK2560" s="267">
        <f>IFERROR(__xludf.DUMMYFUNCTION("""COMPUTED_VALUE"""),45654.9986111111)</f>
        <v/>
      </c>
      <c r="AL2560" s="6">
        <f>IFERROR(__xludf.DUMMYFUNCTION("""COMPUTED_VALUE"""),94449.97)</f>
        <v/>
      </c>
      <c r="AP2560" s="6">
        <f>AQ2560&amp;AR2560</f>
        <v/>
      </c>
      <c r="AQ2560" s="6">
        <f>YEAR(AS2560)</f>
        <v/>
      </c>
      <c r="AR2560" s="6">
        <f>MONTH(AS2560)</f>
        <v/>
      </c>
    </row>
    <row r="2561">
      <c r="B2561" s="6">
        <f>C2561&amp;D2561</f>
        <v/>
      </c>
      <c r="C2561" s="6">
        <f>YEAR(E2561)</f>
        <v/>
      </c>
      <c r="D2561" s="6">
        <f>MONTH(E2561)</f>
        <v/>
      </c>
      <c r="J2561" s="6">
        <f>K2561&amp;L2561</f>
        <v/>
      </c>
      <c r="K2561" s="6">
        <f>YEAR(M2561)</f>
        <v/>
      </c>
      <c r="L2561" s="6">
        <f>MONTH(M2561)</f>
        <v/>
      </c>
      <c r="R2561" s="6">
        <f>S2561&amp;T2561</f>
        <v/>
      </c>
      <c r="S2561" s="6">
        <f>YEAR(U2561)</f>
        <v/>
      </c>
      <c r="T2561" s="6">
        <f>MONTH(U2561)</f>
        <v/>
      </c>
      <c r="Z2561" s="6">
        <f>AA2561&amp;AB2561</f>
        <v/>
      </c>
      <c r="AA2561" s="6">
        <f>YEAR(AC2561)</f>
        <v/>
      </c>
      <c r="AB2561" s="6">
        <f>MONTH(AC2561)</f>
        <v/>
      </c>
      <c r="AC2561" s="267">
        <f>IFERROR(__xludf.DUMMYFUNCTION("""COMPUTED_VALUE"""),45714.9986111111)</f>
        <v/>
      </c>
      <c r="AD2561" s="6">
        <f>IFERROR(__xludf.DUMMYFUNCTION("""COMPUTED_VALUE"""),1434.42)</f>
        <v/>
      </c>
      <c r="AH2561" s="6">
        <f>AI2561&amp;AJ2561</f>
        <v/>
      </c>
      <c r="AI2561" s="6">
        <f>YEAR(AK2561)</f>
        <v/>
      </c>
      <c r="AJ2561" s="6">
        <f>MONTH(AK2561)</f>
        <v/>
      </c>
      <c r="AK2561" s="267">
        <f>IFERROR(__xludf.DUMMYFUNCTION("""COMPUTED_VALUE"""),45655.9986111111)</f>
        <v/>
      </c>
      <c r="AL2561" s="6">
        <f>IFERROR(__xludf.DUMMYFUNCTION("""COMPUTED_VALUE"""),94996.09)</f>
        <v/>
      </c>
      <c r="AP2561" s="6">
        <f>AQ2561&amp;AR2561</f>
        <v/>
      </c>
      <c r="AQ2561" s="6">
        <f>YEAR(AS2561)</f>
        <v/>
      </c>
      <c r="AR2561" s="6">
        <f>MONTH(AS2561)</f>
        <v/>
      </c>
    </row>
    <row r="2562">
      <c r="B2562" s="6">
        <f>C2562&amp;D2562</f>
        <v/>
      </c>
      <c r="C2562" s="6">
        <f>YEAR(E2562)</f>
        <v/>
      </c>
      <c r="D2562" s="6">
        <f>MONTH(E2562)</f>
        <v/>
      </c>
      <c r="J2562" s="6">
        <f>K2562&amp;L2562</f>
        <v/>
      </c>
      <c r="K2562" s="6">
        <f>YEAR(M2562)</f>
        <v/>
      </c>
      <c r="L2562" s="6">
        <f>MONTH(M2562)</f>
        <v/>
      </c>
      <c r="R2562" s="6">
        <f>S2562&amp;T2562</f>
        <v/>
      </c>
      <c r="S2562" s="6">
        <f>YEAR(U2562)</f>
        <v/>
      </c>
      <c r="T2562" s="6">
        <f>MONTH(U2562)</f>
        <v/>
      </c>
      <c r="Z2562" s="6">
        <f>AA2562&amp;AB2562</f>
        <v/>
      </c>
      <c r="AA2562" s="6">
        <f>YEAR(AC2562)</f>
        <v/>
      </c>
      <c r="AB2562" s="6">
        <f>MONTH(AC2562)</f>
        <v/>
      </c>
      <c r="AC2562" s="267">
        <f>IFERROR(__xludf.DUMMYFUNCTION("""COMPUTED_VALUE"""),45715.9986111111)</f>
        <v/>
      </c>
      <c r="AD2562" s="6">
        <f>IFERROR(__xludf.DUMMYFUNCTION("""COMPUTED_VALUE"""),1449.86)</f>
        <v/>
      </c>
      <c r="AH2562" s="6">
        <f>AI2562&amp;AJ2562</f>
        <v/>
      </c>
      <c r="AI2562" s="6">
        <f>YEAR(AK2562)</f>
        <v/>
      </c>
      <c r="AJ2562" s="6">
        <f>MONTH(AK2562)</f>
        <v/>
      </c>
      <c r="AK2562" s="267">
        <f>IFERROR(__xludf.DUMMYFUNCTION("""COMPUTED_VALUE"""),45656.9986111111)</f>
        <v/>
      </c>
      <c r="AL2562" s="6">
        <f>IFERROR(__xludf.DUMMYFUNCTION("""COMPUTED_VALUE"""),93169.94)</f>
        <v/>
      </c>
      <c r="AP2562" s="6">
        <f>AQ2562&amp;AR2562</f>
        <v/>
      </c>
      <c r="AQ2562" s="6">
        <f>YEAR(AS2562)</f>
        <v/>
      </c>
      <c r="AR2562" s="6">
        <f>MONTH(AS2562)</f>
        <v/>
      </c>
    </row>
    <row r="2563">
      <c r="B2563" s="6">
        <f>C2563&amp;D2563</f>
        <v/>
      </c>
      <c r="C2563" s="6">
        <f>YEAR(E2563)</f>
        <v/>
      </c>
      <c r="D2563" s="6">
        <f>MONTH(E2563)</f>
        <v/>
      </c>
      <c r="J2563" s="6">
        <f>K2563&amp;L2563</f>
        <v/>
      </c>
      <c r="K2563" s="6">
        <f>YEAR(M2563)</f>
        <v/>
      </c>
      <c r="L2563" s="6">
        <f>MONTH(M2563)</f>
        <v/>
      </c>
      <c r="R2563" s="6">
        <f>S2563&amp;T2563</f>
        <v/>
      </c>
      <c r="S2563" s="6">
        <f>YEAR(U2563)</f>
        <v/>
      </c>
      <c r="T2563" s="6">
        <f>MONTH(U2563)</f>
        <v/>
      </c>
      <c r="Z2563" s="6">
        <f>AA2563&amp;AB2563</f>
        <v/>
      </c>
      <c r="AA2563" s="6">
        <f>YEAR(AC2563)</f>
        <v/>
      </c>
      <c r="AB2563" s="6">
        <f>MONTH(AC2563)</f>
        <v/>
      </c>
      <c r="AC2563" s="267">
        <f>IFERROR(__xludf.DUMMYFUNCTION("""COMPUTED_VALUE"""),45716.9986111111)</f>
        <v/>
      </c>
      <c r="AD2563" s="6">
        <f>IFERROR(__xludf.DUMMYFUNCTION("""COMPUTED_VALUE"""),1461.18)</f>
        <v/>
      </c>
      <c r="AH2563" s="6">
        <f>AI2563&amp;AJ2563</f>
        <v/>
      </c>
      <c r="AI2563" s="6">
        <f>YEAR(AK2563)</f>
        <v/>
      </c>
      <c r="AJ2563" s="6">
        <f>MONTH(AK2563)</f>
        <v/>
      </c>
      <c r="AK2563" s="267">
        <f>IFERROR(__xludf.DUMMYFUNCTION("""COMPUTED_VALUE"""),45657.9986111111)</f>
        <v/>
      </c>
      <c r="AL2563" s="6">
        <f>IFERROR(__xludf.DUMMYFUNCTION("""COMPUTED_VALUE"""),92382.89)</f>
        <v/>
      </c>
      <c r="AP2563" s="6">
        <f>AQ2563&amp;AR2563</f>
        <v/>
      </c>
      <c r="AQ2563" s="6">
        <f>YEAR(AS2563)</f>
        <v/>
      </c>
      <c r="AR2563" s="6">
        <f>MONTH(AS2563)</f>
        <v/>
      </c>
    </row>
    <row r="2564">
      <c r="B2564" s="6">
        <f>C2564&amp;D2564</f>
        <v/>
      </c>
      <c r="C2564" s="6">
        <f>YEAR(E2564)</f>
        <v/>
      </c>
      <c r="D2564" s="6">
        <f>MONTH(E2564)</f>
        <v/>
      </c>
      <c r="J2564" s="6">
        <f>K2564&amp;L2564</f>
        <v/>
      </c>
      <c r="K2564" s="6">
        <f>YEAR(M2564)</f>
        <v/>
      </c>
      <c r="L2564" s="6">
        <f>MONTH(M2564)</f>
        <v/>
      </c>
      <c r="R2564" s="6">
        <f>S2564&amp;T2564</f>
        <v/>
      </c>
      <c r="S2564" s="6">
        <f>YEAR(U2564)</f>
        <v/>
      </c>
      <c r="T2564" s="6">
        <f>MONTH(U2564)</f>
        <v/>
      </c>
      <c r="Z2564" s="6">
        <f>AA2564&amp;AB2564</f>
        <v/>
      </c>
      <c r="AA2564" s="6">
        <f>YEAR(AC2564)</f>
        <v/>
      </c>
      <c r="AB2564" s="6">
        <f>MONTH(AC2564)</f>
        <v/>
      </c>
      <c r="AC2564" s="267">
        <f>IFERROR(__xludf.DUMMYFUNCTION("""COMPUTED_VALUE"""),45717.9986111111)</f>
        <v/>
      </c>
      <c r="AD2564" s="6">
        <f>IFERROR(__xludf.DUMMYFUNCTION("""COMPUTED_VALUE"""),1461.18)</f>
        <v/>
      </c>
      <c r="AH2564" s="6">
        <f>AI2564&amp;AJ2564</f>
        <v/>
      </c>
      <c r="AI2564" s="6">
        <f>YEAR(AK2564)</f>
        <v/>
      </c>
      <c r="AJ2564" s="6">
        <f>MONTH(AK2564)</f>
        <v/>
      </c>
      <c r="AK2564" s="267">
        <f>IFERROR(__xludf.DUMMYFUNCTION("""COMPUTED_VALUE"""),45658.9986111111)</f>
        <v/>
      </c>
      <c r="AL2564" s="6">
        <f>IFERROR(__xludf.DUMMYFUNCTION("""COMPUTED_VALUE"""),93462.86)</f>
        <v/>
      </c>
      <c r="AP2564" s="6">
        <f>AQ2564&amp;AR2564</f>
        <v/>
      </c>
      <c r="AQ2564" s="6">
        <f>YEAR(AS2564)</f>
        <v/>
      </c>
      <c r="AR2564" s="6">
        <f>MONTH(AS2564)</f>
        <v/>
      </c>
    </row>
    <row r="2565">
      <c r="B2565" s="6">
        <f>C2565&amp;D2565</f>
        <v/>
      </c>
      <c r="C2565" s="6">
        <f>YEAR(E2565)</f>
        <v/>
      </c>
      <c r="D2565" s="6">
        <f>MONTH(E2565)</f>
        <v/>
      </c>
      <c r="J2565" s="6">
        <f>K2565&amp;L2565</f>
        <v/>
      </c>
      <c r="K2565" s="6">
        <f>YEAR(M2565)</f>
        <v/>
      </c>
      <c r="L2565" s="6">
        <f>MONTH(M2565)</f>
        <v/>
      </c>
      <c r="R2565" s="6">
        <f>S2565&amp;T2565</f>
        <v/>
      </c>
      <c r="S2565" s="6">
        <f>YEAR(U2565)</f>
        <v/>
      </c>
      <c r="T2565" s="6">
        <f>MONTH(U2565)</f>
        <v/>
      </c>
      <c r="Z2565" s="6">
        <f>AA2565&amp;AB2565</f>
        <v/>
      </c>
      <c r="AA2565" s="6">
        <f>YEAR(AC2565)</f>
        <v/>
      </c>
      <c r="AB2565" s="6">
        <f>MONTH(AC2565)</f>
        <v/>
      </c>
      <c r="AC2565" s="267">
        <f>IFERROR(__xludf.DUMMYFUNCTION("""COMPUTED_VALUE"""),45718.9986111111)</f>
        <v/>
      </c>
      <c r="AD2565" s="6">
        <f>IFERROR(__xludf.DUMMYFUNCTION("""COMPUTED_VALUE"""),1459.8)</f>
        <v/>
      </c>
      <c r="AH2565" s="6">
        <f>AI2565&amp;AJ2565</f>
        <v/>
      </c>
      <c r="AI2565" s="6">
        <f>YEAR(AK2565)</f>
        <v/>
      </c>
      <c r="AJ2565" s="6">
        <f>MONTH(AK2565)</f>
        <v/>
      </c>
      <c r="AK2565" s="267">
        <f>IFERROR(__xludf.DUMMYFUNCTION("""COMPUTED_VALUE"""),45659.9986111111)</f>
        <v/>
      </c>
      <c r="AL2565" s="6">
        <f>IFERROR(__xludf.DUMMYFUNCTION("""COMPUTED_VALUE"""),95642.54)</f>
        <v/>
      </c>
      <c r="AP2565" s="6">
        <f>AQ2565&amp;AR2565</f>
        <v/>
      </c>
      <c r="AQ2565" s="6">
        <f>YEAR(AS2565)</f>
        <v/>
      </c>
      <c r="AR2565" s="6">
        <f>MONTH(AS2565)</f>
        <v/>
      </c>
    </row>
    <row r="2566">
      <c r="B2566" s="6">
        <f>C2566&amp;D2566</f>
        <v/>
      </c>
      <c r="C2566" s="6">
        <f>YEAR(E2566)</f>
        <v/>
      </c>
      <c r="D2566" s="6">
        <f>MONTH(E2566)</f>
        <v/>
      </c>
      <c r="J2566" s="6">
        <f>K2566&amp;L2566</f>
        <v/>
      </c>
      <c r="K2566" s="6">
        <f>YEAR(M2566)</f>
        <v/>
      </c>
      <c r="L2566" s="6">
        <f>MONTH(M2566)</f>
        <v/>
      </c>
      <c r="R2566" s="6">
        <f>S2566&amp;T2566</f>
        <v/>
      </c>
      <c r="S2566" s="6">
        <f>YEAR(U2566)</f>
        <v/>
      </c>
      <c r="T2566" s="6">
        <f>MONTH(U2566)</f>
        <v/>
      </c>
      <c r="Z2566" s="6">
        <f>AA2566&amp;AB2566</f>
        <v/>
      </c>
      <c r="AA2566" s="6">
        <f>YEAR(AC2566)</f>
        <v/>
      </c>
      <c r="AB2566" s="6">
        <f>MONTH(AC2566)</f>
        <v/>
      </c>
      <c r="AC2566" s="267">
        <f>IFERROR(__xludf.DUMMYFUNCTION("""COMPUTED_VALUE"""),45719.9986111111)</f>
        <v/>
      </c>
      <c r="AD2566" s="6">
        <f>IFERROR(__xludf.DUMMYFUNCTION("""COMPUTED_VALUE"""),1457.93)</f>
        <v/>
      </c>
      <c r="AH2566" s="6">
        <f>AI2566&amp;AJ2566</f>
        <v/>
      </c>
      <c r="AI2566" s="6">
        <f>YEAR(AK2566)</f>
        <v/>
      </c>
      <c r="AJ2566" s="6">
        <f>MONTH(AK2566)</f>
        <v/>
      </c>
      <c r="AK2566" s="267">
        <f>IFERROR(__xludf.DUMMYFUNCTION("""COMPUTED_VALUE"""),45660.9986111111)</f>
        <v/>
      </c>
      <c r="AL2566" s="6">
        <f>IFERROR(__xludf.DUMMYFUNCTION("""COMPUTED_VALUE"""),96732.46)</f>
        <v/>
      </c>
      <c r="AP2566" s="6">
        <f>AQ2566&amp;AR2566</f>
        <v/>
      </c>
      <c r="AQ2566" s="6">
        <f>YEAR(AS2566)</f>
        <v/>
      </c>
      <c r="AR2566" s="6">
        <f>MONTH(AS2566)</f>
        <v/>
      </c>
    </row>
    <row r="2567">
      <c r="B2567" s="6">
        <f>C2567&amp;D2567</f>
        <v/>
      </c>
      <c r="C2567" s="6">
        <f>YEAR(E2567)</f>
        <v/>
      </c>
      <c r="D2567" s="6">
        <f>MONTH(E2567)</f>
        <v/>
      </c>
      <c r="J2567" s="6">
        <f>K2567&amp;L2567</f>
        <v/>
      </c>
      <c r="K2567" s="6">
        <f>YEAR(M2567)</f>
        <v/>
      </c>
      <c r="L2567" s="6">
        <f>MONTH(M2567)</f>
        <v/>
      </c>
      <c r="R2567" s="6">
        <f>S2567&amp;T2567</f>
        <v/>
      </c>
      <c r="S2567" s="6">
        <f>YEAR(U2567)</f>
        <v/>
      </c>
      <c r="T2567" s="6">
        <f>MONTH(U2567)</f>
        <v/>
      </c>
      <c r="Z2567" s="6">
        <f>AA2567&amp;AB2567</f>
        <v/>
      </c>
      <c r="AA2567" s="6">
        <f>YEAR(AC2567)</f>
        <v/>
      </c>
      <c r="AB2567" s="6">
        <f>MONTH(AC2567)</f>
        <v/>
      </c>
      <c r="AC2567" s="267">
        <f>IFERROR(__xludf.DUMMYFUNCTION("""COMPUTED_VALUE"""),45720.9986111111)</f>
        <v/>
      </c>
      <c r="AD2567" s="6">
        <f>IFERROR(__xludf.DUMMYFUNCTION("""COMPUTED_VALUE"""),1452.85)</f>
        <v/>
      </c>
      <c r="AH2567" s="6">
        <f>AI2567&amp;AJ2567</f>
        <v/>
      </c>
      <c r="AI2567" s="6">
        <f>YEAR(AK2567)</f>
        <v/>
      </c>
      <c r="AJ2567" s="6">
        <f>MONTH(AK2567)</f>
        <v/>
      </c>
      <c r="AK2567" s="267">
        <f>IFERROR(__xludf.DUMMYFUNCTION("""COMPUTED_VALUE"""),45661.9986111111)</f>
        <v/>
      </c>
      <c r="AL2567" s="6">
        <f>IFERROR(__xludf.DUMMYFUNCTION("""COMPUTED_VALUE"""),97942.97)</f>
        <v/>
      </c>
      <c r="AP2567" s="6">
        <f>AQ2567&amp;AR2567</f>
        <v/>
      </c>
      <c r="AQ2567" s="6">
        <f>YEAR(AS2567)</f>
        <v/>
      </c>
      <c r="AR2567" s="6">
        <f>MONTH(AS2567)</f>
        <v/>
      </c>
    </row>
    <row r="2568">
      <c r="B2568" s="6">
        <f>C2568&amp;D2568</f>
        <v/>
      </c>
      <c r="C2568" s="6">
        <f>YEAR(E2568)</f>
        <v/>
      </c>
      <c r="D2568" s="6">
        <f>MONTH(E2568)</f>
        <v/>
      </c>
      <c r="J2568" s="6">
        <f>K2568&amp;L2568</f>
        <v/>
      </c>
      <c r="K2568" s="6">
        <f>YEAR(M2568)</f>
        <v/>
      </c>
      <c r="L2568" s="6">
        <f>MONTH(M2568)</f>
        <v/>
      </c>
      <c r="R2568" s="6">
        <f>S2568&amp;T2568</f>
        <v/>
      </c>
      <c r="S2568" s="6">
        <f>YEAR(U2568)</f>
        <v/>
      </c>
      <c r="T2568" s="6">
        <f>MONTH(U2568)</f>
        <v/>
      </c>
      <c r="Z2568" s="6">
        <f>AA2568&amp;AB2568</f>
        <v/>
      </c>
      <c r="AA2568" s="6">
        <f>YEAR(AC2568)</f>
        <v/>
      </c>
      <c r="AB2568" s="6">
        <f>MONTH(AC2568)</f>
        <v/>
      </c>
      <c r="AC2568" s="267">
        <f>IFERROR(__xludf.DUMMYFUNCTION("""COMPUTED_VALUE"""),45721.9986111111)</f>
        <v/>
      </c>
      <c r="AD2568" s="6">
        <f>IFERROR(__xludf.DUMMYFUNCTION("""COMPUTED_VALUE"""),1443.03)</f>
        <v/>
      </c>
      <c r="AH2568" s="6">
        <f>AI2568&amp;AJ2568</f>
        <v/>
      </c>
      <c r="AI2568" s="6">
        <f>YEAR(AK2568)</f>
        <v/>
      </c>
      <c r="AJ2568" s="6">
        <f>MONTH(AK2568)</f>
        <v/>
      </c>
      <c r="AK2568" s="267">
        <f>IFERROR(__xludf.DUMMYFUNCTION("""COMPUTED_VALUE"""),45662.9986111111)</f>
        <v/>
      </c>
      <c r="AL2568" s="6">
        <f>IFERROR(__xludf.DUMMYFUNCTION("""COMPUTED_VALUE"""),98355.51)</f>
        <v/>
      </c>
      <c r="AP2568" s="6">
        <f>AQ2568&amp;AR2568</f>
        <v/>
      </c>
      <c r="AQ2568" s="6">
        <f>YEAR(AS2568)</f>
        <v/>
      </c>
      <c r="AR2568" s="6">
        <f>MONTH(AS2568)</f>
        <v/>
      </c>
    </row>
    <row r="2569">
      <c r="B2569" s="6">
        <f>C2569&amp;D2569</f>
        <v/>
      </c>
      <c r="C2569" s="6">
        <f>YEAR(E2569)</f>
        <v/>
      </c>
      <c r="D2569" s="6">
        <f>MONTH(E2569)</f>
        <v/>
      </c>
      <c r="J2569" s="6">
        <f>K2569&amp;L2569</f>
        <v/>
      </c>
      <c r="K2569" s="6">
        <f>YEAR(M2569)</f>
        <v/>
      </c>
      <c r="L2569" s="6">
        <f>MONTH(M2569)</f>
        <v/>
      </c>
      <c r="R2569" s="6">
        <f>S2569&amp;T2569</f>
        <v/>
      </c>
      <c r="S2569" s="6">
        <f>YEAR(U2569)</f>
        <v/>
      </c>
      <c r="T2569" s="6">
        <f>MONTH(U2569)</f>
        <v/>
      </c>
      <c r="Z2569" s="6">
        <f>AA2569&amp;AB2569</f>
        <v/>
      </c>
      <c r="AA2569" s="6">
        <f>YEAR(AC2569)</f>
        <v/>
      </c>
      <c r="AB2569" s="6">
        <f>MONTH(AC2569)</f>
        <v/>
      </c>
      <c r="AC2569" s="267">
        <f>IFERROR(__xludf.DUMMYFUNCTION("""COMPUTED_VALUE"""),45722.9986111111)</f>
        <v/>
      </c>
      <c r="AD2569" s="6">
        <f>IFERROR(__xludf.DUMMYFUNCTION("""COMPUTED_VALUE"""),1446.5)</f>
        <v/>
      </c>
      <c r="AH2569" s="6">
        <f>AI2569&amp;AJ2569</f>
        <v/>
      </c>
      <c r="AI2569" s="6">
        <f>YEAR(AK2569)</f>
        <v/>
      </c>
      <c r="AJ2569" s="6">
        <f>MONTH(AK2569)</f>
        <v/>
      </c>
      <c r="AK2569" s="267">
        <f>IFERROR(__xludf.DUMMYFUNCTION("""COMPUTED_VALUE"""),45663.9986111111)</f>
        <v/>
      </c>
      <c r="AL2569" s="6">
        <f>IFERROR(__xludf.DUMMYFUNCTION("""COMPUTED_VALUE"""),99424.66)</f>
        <v/>
      </c>
      <c r="AP2569" s="6">
        <f>AQ2569&amp;AR2569</f>
        <v/>
      </c>
      <c r="AQ2569" s="6">
        <f>YEAR(AS2569)</f>
        <v/>
      </c>
      <c r="AR2569" s="6">
        <f>MONTH(AS2569)</f>
        <v/>
      </c>
    </row>
    <row r="2570">
      <c r="B2570" s="6">
        <f>C2570&amp;D2570</f>
        <v/>
      </c>
      <c r="C2570" s="6">
        <f>YEAR(E2570)</f>
        <v/>
      </c>
      <c r="D2570" s="6">
        <f>MONTH(E2570)</f>
        <v/>
      </c>
      <c r="J2570" s="6">
        <f>K2570&amp;L2570</f>
        <v/>
      </c>
      <c r="K2570" s="6">
        <f>YEAR(M2570)</f>
        <v/>
      </c>
      <c r="L2570" s="6">
        <f>MONTH(M2570)</f>
        <v/>
      </c>
      <c r="R2570" s="6">
        <f>S2570&amp;T2570</f>
        <v/>
      </c>
      <c r="S2570" s="6">
        <f>YEAR(U2570)</f>
        <v/>
      </c>
      <c r="T2570" s="6">
        <f>MONTH(U2570)</f>
        <v/>
      </c>
      <c r="Z2570" s="6">
        <f>AA2570&amp;AB2570</f>
        <v/>
      </c>
      <c r="AA2570" s="6">
        <f>YEAR(AC2570)</f>
        <v/>
      </c>
      <c r="AB2570" s="6">
        <f>MONTH(AC2570)</f>
        <v/>
      </c>
      <c r="AC2570" s="267">
        <f>IFERROR(__xludf.DUMMYFUNCTION("""COMPUTED_VALUE"""),45723.9986111111)</f>
        <v/>
      </c>
      <c r="AD2570" s="6">
        <f>IFERROR(__xludf.DUMMYFUNCTION("""COMPUTED_VALUE"""),1446.16)</f>
        <v/>
      </c>
      <c r="AH2570" s="6">
        <f>AI2570&amp;AJ2570</f>
        <v/>
      </c>
      <c r="AI2570" s="6">
        <f>YEAR(AK2570)</f>
        <v/>
      </c>
      <c r="AJ2570" s="6">
        <f>MONTH(AK2570)</f>
        <v/>
      </c>
      <c r="AK2570" s="267">
        <f>IFERROR(__xludf.DUMMYFUNCTION("""COMPUTED_VALUE"""),45664.9986111111)</f>
        <v/>
      </c>
      <c r="AL2570" s="6">
        <f>IFERROR(__xludf.DUMMYFUNCTION("""COMPUTED_VALUE"""),101731)</f>
        <v/>
      </c>
      <c r="AP2570" s="6">
        <f>AQ2570&amp;AR2570</f>
        <v/>
      </c>
      <c r="AQ2570" s="6">
        <f>YEAR(AS2570)</f>
        <v/>
      </c>
      <c r="AR2570" s="6">
        <f>MONTH(AS2570)</f>
        <v/>
      </c>
    </row>
    <row r="2571">
      <c r="B2571" s="6">
        <f>C2571&amp;D2571</f>
        <v/>
      </c>
      <c r="C2571" s="6">
        <f>YEAR(E2571)</f>
        <v/>
      </c>
      <c r="D2571" s="6">
        <f>MONTH(E2571)</f>
        <v/>
      </c>
      <c r="J2571" s="6">
        <f>K2571&amp;L2571</f>
        <v/>
      </c>
      <c r="K2571" s="6">
        <f>YEAR(M2571)</f>
        <v/>
      </c>
      <c r="L2571" s="6">
        <f>MONTH(M2571)</f>
        <v/>
      </c>
      <c r="R2571" s="6">
        <f>S2571&amp;T2571</f>
        <v/>
      </c>
      <c r="S2571" s="6">
        <f>YEAR(U2571)</f>
        <v/>
      </c>
      <c r="T2571" s="6">
        <f>MONTH(U2571)</f>
        <v/>
      </c>
      <c r="Z2571" s="6">
        <f>AA2571&amp;AB2571</f>
        <v/>
      </c>
      <c r="AA2571" s="6">
        <f>YEAR(AC2571)</f>
        <v/>
      </c>
      <c r="AB2571" s="6">
        <f>MONTH(AC2571)</f>
        <v/>
      </c>
      <c r="AC2571" s="267">
        <f>IFERROR(__xludf.DUMMYFUNCTION("""COMPUTED_VALUE"""),45724.9986111111)</f>
        <v/>
      </c>
      <c r="AD2571" s="6">
        <f>IFERROR(__xludf.DUMMYFUNCTION("""COMPUTED_VALUE"""),1448)</f>
        <v/>
      </c>
      <c r="AH2571" s="6">
        <f>AI2571&amp;AJ2571</f>
        <v/>
      </c>
      <c r="AI2571" s="6">
        <f>YEAR(AK2571)</f>
        <v/>
      </c>
      <c r="AJ2571" s="6">
        <f>MONTH(AK2571)</f>
        <v/>
      </c>
      <c r="AK2571" s="267">
        <f>IFERROR(__xludf.DUMMYFUNCTION("""COMPUTED_VALUE"""),45665.9986111111)</f>
        <v/>
      </c>
      <c r="AL2571" s="6">
        <f>IFERROR(__xludf.DUMMYFUNCTION("""COMPUTED_VALUE"""),96294.37)</f>
        <v/>
      </c>
      <c r="AP2571" s="6">
        <f>AQ2571&amp;AR2571</f>
        <v/>
      </c>
      <c r="AQ2571" s="6">
        <f>YEAR(AS2571)</f>
        <v/>
      </c>
      <c r="AR2571" s="6">
        <f>MONTH(AS2571)</f>
        <v/>
      </c>
    </row>
    <row r="2572">
      <c r="B2572" s="6">
        <f>C2572&amp;D2572</f>
        <v/>
      </c>
      <c r="C2572" s="6">
        <f>YEAR(E2572)</f>
        <v/>
      </c>
      <c r="D2572" s="6">
        <f>MONTH(E2572)</f>
        <v/>
      </c>
      <c r="J2572" s="6">
        <f>K2572&amp;L2572</f>
        <v/>
      </c>
      <c r="K2572" s="6">
        <f>YEAR(M2572)</f>
        <v/>
      </c>
      <c r="L2572" s="6">
        <f>MONTH(M2572)</f>
        <v/>
      </c>
      <c r="R2572" s="6">
        <f>S2572&amp;T2572</f>
        <v/>
      </c>
      <c r="S2572" s="6">
        <f>YEAR(U2572)</f>
        <v/>
      </c>
      <c r="T2572" s="6">
        <f>MONTH(U2572)</f>
        <v/>
      </c>
      <c r="Z2572" s="6">
        <f>AA2572&amp;AB2572</f>
        <v/>
      </c>
      <c r="AA2572" s="6">
        <f>YEAR(AC2572)</f>
        <v/>
      </c>
      <c r="AB2572" s="6">
        <f>MONTH(AC2572)</f>
        <v/>
      </c>
      <c r="AC2572" s="267">
        <f>IFERROR(__xludf.DUMMYFUNCTION("""COMPUTED_VALUE"""),45725.9986111111)</f>
        <v/>
      </c>
      <c r="AD2572" s="6">
        <f>IFERROR(__xludf.DUMMYFUNCTION("""COMPUTED_VALUE"""),1446.26)</f>
        <v/>
      </c>
      <c r="AH2572" s="6">
        <f>AI2572&amp;AJ2572</f>
        <v/>
      </c>
      <c r="AI2572" s="6">
        <f>YEAR(AK2572)</f>
        <v/>
      </c>
      <c r="AJ2572" s="6">
        <f>MONTH(AK2572)</f>
        <v/>
      </c>
      <c r="AK2572" s="267">
        <f>IFERROR(__xludf.DUMMYFUNCTION("""COMPUTED_VALUE"""),45666.9986111111)</f>
        <v/>
      </c>
      <c r="AL2572" s="6">
        <f>IFERROR(__xludf.DUMMYFUNCTION("""COMPUTED_VALUE"""),94409.58)</f>
        <v/>
      </c>
      <c r="AP2572" s="6">
        <f>AQ2572&amp;AR2572</f>
        <v/>
      </c>
      <c r="AQ2572" s="6">
        <f>YEAR(AS2572)</f>
        <v/>
      </c>
      <c r="AR2572" s="6">
        <f>MONTH(AS2572)</f>
        <v/>
      </c>
    </row>
    <row r="2573">
      <c r="B2573" s="6">
        <f>C2573&amp;D2573</f>
        <v/>
      </c>
      <c r="C2573" s="6">
        <f>YEAR(E2573)</f>
        <v/>
      </c>
      <c r="D2573" s="6">
        <f>MONTH(E2573)</f>
        <v/>
      </c>
      <c r="J2573" s="6">
        <f>K2573&amp;L2573</f>
        <v/>
      </c>
      <c r="K2573" s="6">
        <f>YEAR(M2573)</f>
        <v/>
      </c>
      <c r="L2573" s="6">
        <f>MONTH(M2573)</f>
        <v/>
      </c>
      <c r="R2573" s="6">
        <f>S2573&amp;T2573</f>
        <v/>
      </c>
      <c r="S2573" s="6">
        <f>YEAR(U2573)</f>
        <v/>
      </c>
      <c r="T2573" s="6">
        <f>MONTH(U2573)</f>
        <v/>
      </c>
      <c r="Z2573" s="6">
        <f>AA2573&amp;AB2573</f>
        <v/>
      </c>
      <c r="AA2573" s="6">
        <f>YEAR(AC2573)</f>
        <v/>
      </c>
      <c r="AB2573" s="6">
        <f>MONTH(AC2573)</f>
        <v/>
      </c>
      <c r="AC2573" s="267">
        <f>IFERROR(__xludf.DUMMYFUNCTION("""COMPUTED_VALUE"""),45726.9986111111)</f>
        <v/>
      </c>
      <c r="AD2573" s="6">
        <f>IFERROR(__xludf.DUMMYFUNCTION("""COMPUTED_VALUE"""),1457.03)</f>
        <v/>
      </c>
      <c r="AH2573" s="6">
        <f>AI2573&amp;AJ2573</f>
        <v/>
      </c>
      <c r="AI2573" s="6">
        <f>YEAR(AK2573)</f>
        <v/>
      </c>
      <c r="AJ2573" s="6">
        <f>MONTH(AK2573)</f>
        <v/>
      </c>
      <c r="AK2573" s="267">
        <f>IFERROR(__xludf.DUMMYFUNCTION("""COMPUTED_VALUE"""),45667.9986111111)</f>
        <v/>
      </c>
      <c r="AL2573" s="6">
        <f>IFERROR(__xludf.DUMMYFUNCTION("""COMPUTED_VALUE"""),93850.97)</f>
        <v/>
      </c>
      <c r="AP2573" s="6">
        <f>AQ2573&amp;AR2573</f>
        <v/>
      </c>
      <c r="AQ2573" s="6">
        <f>YEAR(AS2573)</f>
        <v/>
      </c>
      <c r="AR2573" s="6">
        <f>MONTH(AS2573)</f>
        <v/>
      </c>
    </row>
    <row r="2574">
      <c r="B2574" s="6">
        <f>C2574&amp;D2574</f>
        <v/>
      </c>
      <c r="C2574" s="6">
        <f>YEAR(E2574)</f>
        <v/>
      </c>
      <c r="D2574" s="6">
        <f>MONTH(E2574)</f>
        <v/>
      </c>
      <c r="J2574" s="6">
        <f>K2574&amp;L2574</f>
        <v/>
      </c>
      <c r="K2574" s="6">
        <f>YEAR(M2574)</f>
        <v/>
      </c>
      <c r="L2574" s="6">
        <f>MONTH(M2574)</f>
        <v/>
      </c>
      <c r="R2574" s="6">
        <f>S2574&amp;T2574</f>
        <v/>
      </c>
      <c r="S2574" s="6">
        <f>YEAR(U2574)</f>
        <v/>
      </c>
      <c r="T2574" s="6">
        <f>MONTH(U2574)</f>
        <v/>
      </c>
      <c r="Z2574" s="6">
        <f>AA2574&amp;AB2574</f>
        <v/>
      </c>
      <c r="AA2574" s="6">
        <f>YEAR(AC2574)</f>
        <v/>
      </c>
      <c r="AB2574" s="6">
        <f>MONTH(AC2574)</f>
        <v/>
      </c>
      <c r="AC2574" s="267">
        <f>IFERROR(__xludf.DUMMYFUNCTION("""COMPUTED_VALUE"""),45727.9986111111)</f>
        <v/>
      </c>
      <c r="AD2574" s="6">
        <f>IFERROR(__xludf.DUMMYFUNCTION("""COMPUTED_VALUE"""),1451.02)</f>
        <v/>
      </c>
      <c r="AH2574" s="6">
        <f>AI2574&amp;AJ2574</f>
        <v/>
      </c>
      <c r="AI2574" s="6">
        <f>YEAR(AK2574)</f>
        <v/>
      </c>
      <c r="AJ2574" s="6">
        <f>MONTH(AK2574)</f>
        <v/>
      </c>
      <c r="AK2574" s="267">
        <f>IFERROR(__xludf.DUMMYFUNCTION("""COMPUTED_VALUE"""),45668.9986111111)</f>
        <v/>
      </c>
      <c r="AL2574" s="6">
        <f>IFERROR(__xludf.DUMMYFUNCTION("""COMPUTED_VALUE"""),94033.5)</f>
        <v/>
      </c>
      <c r="AP2574" s="6">
        <f>AQ2574&amp;AR2574</f>
        <v/>
      </c>
      <c r="AQ2574" s="6">
        <f>YEAR(AS2574)</f>
        <v/>
      </c>
      <c r="AR2574" s="6">
        <f>MONTH(AS2574)</f>
        <v/>
      </c>
    </row>
    <row r="2575">
      <c r="B2575" s="6">
        <f>C2575&amp;D2575</f>
        <v/>
      </c>
      <c r="C2575" s="6">
        <f>YEAR(E2575)</f>
        <v/>
      </c>
      <c r="D2575" s="6">
        <f>MONTH(E2575)</f>
        <v/>
      </c>
      <c r="J2575" s="6">
        <f>K2575&amp;L2575</f>
        <v/>
      </c>
      <c r="K2575" s="6">
        <f>YEAR(M2575)</f>
        <v/>
      </c>
      <c r="L2575" s="6">
        <f>MONTH(M2575)</f>
        <v/>
      </c>
      <c r="R2575" s="6">
        <f>S2575&amp;T2575</f>
        <v/>
      </c>
      <c r="S2575" s="6">
        <f>YEAR(U2575)</f>
        <v/>
      </c>
      <c r="T2575" s="6">
        <f>MONTH(U2575)</f>
        <v/>
      </c>
      <c r="Z2575" s="6">
        <f>AA2575&amp;AB2575</f>
        <v/>
      </c>
      <c r="AA2575" s="6">
        <f>YEAR(AC2575)</f>
        <v/>
      </c>
      <c r="AB2575" s="6">
        <f>MONTH(AC2575)</f>
        <v/>
      </c>
      <c r="AC2575" s="267">
        <f>IFERROR(__xludf.DUMMYFUNCTION("""COMPUTED_VALUE"""),45728.9986111111)</f>
        <v/>
      </c>
      <c r="AD2575" s="6">
        <f>IFERROR(__xludf.DUMMYFUNCTION("""COMPUTED_VALUE"""),1448.75)</f>
        <v/>
      </c>
      <c r="AH2575" s="6">
        <f>AI2575&amp;AJ2575</f>
        <v/>
      </c>
      <c r="AI2575" s="6">
        <f>YEAR(AK2575)</f>
        <v/>
      </c>
      <c r="AJ2575" s="6">
        <f>MONTH(AK2575)</f>
        <v/>
      </c>
      <c r="AK2575" s="267">
        <f>IFERROR(__xludf.DUMMYFUNCTION("""COMPUTED_VALUE"""),45669.9986111111)</f>
        <v/>
      </c>
      <c r="AL2575" s="6">
        <f>IFERROR(__xludf.DUMMYFUNCTION("""COMPUTED_VALUE"""),94575.31)</f>
        <v/>
      </c>
      <c r="AP2575" s="6">
        <f>AQ2575&amp;AR2575</f>
        <v/>
      </c>
      <c r="AQ2575" s="6">
        <f>YEAR(AS2575)</f>
        <v/>
      </c>
      <c r="AR2575" s="6">
        <f>MONTH(AS2575)</f>
        <v/>
      </c>
    </row>
    <row r="2576">
      <c r="B2576" s="6">
        <f>C2576&amp;D2576</f>
        <v/>
      </c>
      <c r="C2576" s="6">
        <f>YEAR(E2576)</f>
        <v/>
      </c>
      <c r="D2576" s="6">
        <f>MONTH(E2576)</f>
        <v/>
      </c>
      <c r="J2576" s="6">
        <f>K2576&amp;L2576</f>
        <v/>
      </c>
      <c r="K2576" s="6">
        <f>YEAR(M2576)</f>
        <v/>
      </c>
      <c r="L2576" s="6">
        <f>MONTH(M2576)</f>
        <v/>
      </c>
      <c r="R2576" s="6">
        <f>S2576&amp;T2576</f>
        <v/>
      </c>
      <c r="S2576" s="6">
        <f>YEAR(U2576)</f>
        <v/>
      </c>
      <c r="T2576" s="6">
        <f>MONTH(U2576)</f>
        <v/>
      </c>
      <c r="Z2576" s="6">
        <f>AA2576&amp;AB2576</f>
        <v/>
      </c>
      <c r="AA2576" s="6">
        <f>YEAR(AC2576)</f>
        <v/>
      </c>
      <c r="AB2576" s="6">
        <f>MONTH(AC2576)</f>
        <v/>
      </c>
      <c r="AC2576" s="267">
        <f>IFERROR(__xludf.DUMMYFUNCTION("""COMPUTED_VALUE"""),45729.9986111111)</f>
        <v/>
      </c>
      <c r="AD2576" s="6">
        <f>IFERROR(__xludf.DUMMYFUNCTION("""COMPUTED_VALUE"""),1452.58)</f>
        <v/>
      </c>
      <c r="AH2576" s="6">
        <f>AI2576&amp;AJ2576</f>
        <v/>
      </c>
      <c r="AI2576" s="6">
        <f>YEAR(AK2576)</f>
        <v/>
      </c>
      <c r="AJ2576" s="6">
        <f>MONTH(AK2576)</f>
        <v/>
      </c>
      <c r="AK2576" s="267">
        <f>IFERROR(__xludf.DUMMYFUNCTION("""COMPUTED_VALUE"""),45670.9986111111)</f>
        <v/>
      </c>
      <c r="AL2576" s="6">
        <f>IFERROR(__xludf.DUMMYFUNCTION("""COMPUTED_VALUE"""),94559.12)</f>
        <v/>
      </c>
      <c r="AP2576" s="6">
        <f>AQ2576&amp;AR2576</f>
        <v/>
      </c>
      <c r="AQ2576" s="6">
        <f>YEAR(AS2576)</f>
        <v/>
      </c>
      <c r="AR2576" s="6">
        <f>MONTH(AS2576)</f>
        <v/>
      </c>
    </row>
    <row r="2577">
      <c r="B2577" s="6">
        <f>C2577&amp;D2577</f>
        <v/>
      </c>
      <c r="C2577" s="6">
        <f>YEAR(E2577)</f>
        <v/>
      </c>
      <c r="D2577" s="6">
        <f>MONTH(E2577)</f>
        <v/>
      </c>
      <c r="J2577" s="6">
        <f>K2577&amp;L2577</f>
        <v/>
      </c>
      <c r="K2577" s="6">
        <f>YEAR(M2577)</f>
        <v/>
      </c>
      <c r="L2577" s="6">
        <f>MONTH(M2577)</f>
        <v/>
      </c>
      <c r="R2577" s="6">
        <f>S2577&amp;T2577</f>
        <v/>
      </c>
      <c r="S2577" s="6">
        <f>YEAR(U2577)</f>
        <v/>
      </c>
      <c r="T2577" s="6">
        <f>MONTH(U2577)</f>
        <v/>
      </c>
      <c r="Z2577" s="6">
        <f>AA2577&amp;AB2577</f>
        <v/>
      </c>
      <c r="AA2577" s="6">
        <f>YEAR(AC2577)</f>
        <v/>
      </c>
      <c r="AB2577" s="6">
        <f>MONTH(AC2577)</f>
        <v/>
      </c>
      <c r="AC2577" s="267">
        <f>IFERROR(__xludf.DUMMYFUNCTION("""COMPUTED_VALUE"""),45730.9986111111)</f>
        <v/>
      </c>
      <c r="AD2577" s="6">
        <f>IFERROR(__xludf.DUMMYFUNCTION("""COMPUTED_VALUE"""),1450.09)</f>
        <v/>
      </c>
      <c r="AH2577" s="6">
        <f>AI2577&amp;AJ2577</f>
        <v/>
      </c>
      <c r="AI2577" s="6">
        <f>YEAR(AK2577)</f>
        <v/>
      </c>
      <c r="AJ2577" s="6">
        <f>MONTH(AK2577)</f>
        <v/>
      </c>
      <c r="AK2577" s="267">
        <f>IFERROR(__xludf.DUMMYFUNCTION("""COMPUTED_VALUE"""),45671.9986111111)</f>
        <v/>
      </c>
      <c r="AL2577" s="6">
        <f>IFERROR(__xludf.DUMMYFUNCTION("""COMPUTED_VALUE"""),95099.77)</f>
        <v/>
      </c>
      <c r="AP2577" s="6">
        <f>AQ2577&amp;AR2577</f>
        <v/>
      </c>
      <c r="AQ2577" s="6">
        <f>YEAR(AS2577)</f>
        <v/>
      </c>
      <c r="AR2577" s="6">
        <f>MONTH(AS2577)</f>
        <v/>
      </c>
    </row>
    <row r="2578">
      <c r="B2578" s="6">
        <f>C2578&amp;D2578</f>
        <v/>
      </c>
      <c r="C2578" s="6">
        <f>YEAR(E2578)</f>
        <v/>
      </c>
      <c r="D2578" s="6">
        <f>MONTH(E2578)</f>
        <v/>
      </c>
      <c r="J2578" s="6">
        <f>K2578&amp;L2578</f>
        <v/>
      </c>
      <c r="K2578" s="6">
        <f>YEAR(M2578)</f>
        <v/>
      </c>
      <c r="L2578" s="6">
        <f>MONTH(M2578)</f>
        <v/>
      </c>
      <c r="R2578" s="6">
        <f>S2578&amp;T2578</f>
        <v/>
      </c>
      <c r="S2578" s="6">
        <f>YEAR(U2578)</f>
        <v/>
      </c>
      <c r="T2578" s="6">
        <f>MONTH(U2578)</f>
        <v/>
      </c>
      <c r="Z2578" s="6">
        <f>AA2578&amp;AB2578</f>
        <v/>
      </c>
      <c r="AA2578" s="6">
        <f>YEAR(AC2578)</f>
        <v/>
      </c>
      <c r="AB2578" s="6">
        <f>MONTH(AC2578)</f>
        <v/>
      </c>
      <c r="AC2578" s="267">
        <f>IFERROR(__xludf.DUMMYFUNCTION("""COMPUTED_VALUE"""),45731.9986111111)</f>
        <v/>
      </c>
      <c r="AD2578" s="6">
        <f>IFERROR(__xludf.DUMMYFUNCTION("""COMPUTED_VALUE"""),1449.05)</f>
        <v/>
      </c>
      <c r="AH2578" s="6">
        <f>AI2578&amp;AJ2578</f>
        <v/>
      </c>
      <c r="AI2578" s="6">
        <f>YEAR(AK2578)</f>
        <v/>
      </c>
      <c r="AJ2578" s="6">
        <f>MONTH(AK2578)</f>
        <v/>
      </c>
      <c r="AK2578" s="267">
        <f>IFERROR(__xludf.DUMMYFUNCTION("""COMPUTED_VALUE"""),45672.9986111111)</f>
        <v/>
      </c>
      <c r="AL2578" s="6">
        <f>IFERROR(__xludf.DUMMYFUNCTION("""COMPUTED_VALUE"""),97176.71)</f>
        <v/>
      </c>
      <c r="AP2578" s="6">
        <f>AQ2578&amp;AR2578</f>
        <v/>
      </c>
      <c r="AQ2578" s="6">
        <f>YEAR(AS2578)</f>
        <v/>
      </c>
      <c r="AR2578" s="6">
        <f>MONTH(AS2578)</f>
        <v/>
      </c>
    </row>
    <row r="2579">
      <c r="B2579" s="6">
        <f>C2579&amp;D2579</f>
        <v/>
      </c>
      <c r="C2579" s="6">
        <f>YEAR(E2579)</f>
        <v/>
      </c>
      <c r="D2579" s="6">
        <f>MONTH(E2579)</f>
        <v/>
      </c>
      <c r="J2579" s="6">
        <f>K2579&amp;L2579</f>
        <v/>
      </c>
      <c r="K2579" s="6">
        <f>YEAR(M2579)</f>
        <v/>
      </c>
      <c r="L2579" s="6">
        <f>MONTH(M2579)</f>
        <v/>
      </c>
      <c r="R2579" s="6">
        <f>S2579&amp;T2579</f>
        <v/>
      </c>
      <c r="S2579" s="6">
        <f>YEAR(U2579)</f>
        <v/>
      </c>
      <c r="T2579" s="6">
        <f>MONTH(U2579)</f>
        <v/>
      </c>
      <c r="Z2579" s="6">
        <f>AA2579&amp;AB2579</f>
        <v/>
      </c>
      <c r="AA2579" s="6">
        <f>YEAR(AC2579)</f>
        <v/>
      </c>
      <c r="AB2579" s="6">
        <f>MONTH(AC2579)</f>
        <v/>
      </c>
      <c r="AC2579" s="267">
        <f>IFERROR(__xludf.DUMMYFUNCTION("""COMPUTED_VALUE"""),45732.9986111111)</f>
        <v/>
      </c>
      <c r="AD2579" s="6">
        <f>IFERROR(__xludf.DUMMYFUNCTION("""COMPUTED_VALUE"""),1449.05)</f>
        <v/>
      </c>
      <c r="AH2579" s="6">
        <f>AI2579&amp;AJ2579</f>
        <v/>
      </c>
      <c r="AI2579" s="6">
        <f>YEAR(AK2579)</f>
        <v/>
      </c>
      <c r="AJ2579" s="6">
        <f>MONTH(AK2579)</f>
        <v/>
      </c>
      <c r="AK2579" s="267">
        <f>IFERROR(__xludf.DUMMYFUNCTION("""COMPUTED_VALUE"""),45673.9986111111)</f>
        <v/>
      </c>
      <c r="AL2579" s="6">
        <f>IFERROR(__xludf.DUMMYFUNCTION("""COMPUTED_VALUE"""),99576.98)</f>
        <v/>
      </c>
      <c r="AP2579" s="6">
        <f>AQ2579&amp;AR2579</f>
        <v/>
      </c>
      <c r="AQ2579" s="6">
        <f>YEAR(AS2579)</f>
        <v/>
      </c>
      <c r="AR2579" s="6">
        <f>MONTH(AS2579)</f>
        <v/>
      </c>
    </row>
    <row r="2580">
      <c r="B2580" s="6">
        <f>C2580&amp;D2580</f>
        <v/>
      </c>
      <c r="C2580" s="6">
        <f>YEAR(E2580)</f>
        <v/>
      </c>
      <c r="D2580" s="6">
        <f>MONTH(E2580)</f>
        <v/>
      </c>
      <c r="J2580" s="6">
        <f>K2580&amp;L2580</f>
        <v/>
      </c>
      <c r="K2580" s="6">
        <f>YEAR(M2580)</f>
        <v/>
      </c>
      <c r="L2580" s="6">
        <f>MONTH(M2580)</f>
        <v/>
      </c>
      <c r="R2580" s="6">
        <f>S2580&amp;T2580</f>
        <v/>
      </c>
      <c r="S2580" s="6">
        <f>YEAR(U2580)</f>
        <v/>
      </c>
      <c r="T2580" s="6">
        <f>MONTH(U2580)</f>
        <v/>
      </c>
      <c r="Z2580" s="6">
        <f>AA2580&amp;AB2580</f>
        <v/>
      </c>
      <c r="AA2580" s="6">
        <f>YEAR(AC2580)</f>
        <v/>
      </c>
      <c r="AB2580" s="6">
        <f>MONTH(AC2580)</f>
        <v/>
      </c>
      <c r="AC2580" s="267">
        <f>IFERROR(__xludf.DUMMYFUNCTION("""COMPUTED_VALUE"""),45733.9986111111)</f>
        <v/>
      </c>
      <c r="AD2580" s="6">
        <f>IFERROR(__xludf.DUMMYFUNCTION("""COMPUTED_VALUE"""),1442.49)</f>
        <v/>
      </c>
      <c r="AH2580" s="6">
        <f>AI2580&amp;AJ2580</f>
        <v/>
      </c>
      <c r="AI2580" s="6">
        <f>YEAR(AK2580)</f>
        <v/>
      </c>
      <c r="AJ2580" s="6">
        <f>MONTH(AK2580)</f>
        <v/>
      </c>
      <c r="AK2580" s="267">
        <f>IFERROR(__xludf.DUMMYFUNCTION("""COMPUTED_VALUE"""),45674.9986111111)</f>
        <v/>
      </c>
      <c r="AL2580" s="6">
        <f>IFERROR(__xludf.DUMMYFUNCTION("""COMPUTED_VALUE"""),101413.4)</f>
        <v/>
      </c>
      <c r="AP2580" s="6">
        <f>AQ2580&amp;AR2580</f>
        <v/>
      </c>
      <c r="AQ2580" s="6">
        <f>YEAR(AS2580)</f>
        <v/>
      </c>
      <c r="AR2580" s="6">
        <f>MONTH(AS2580)</f>
        <v/>
      </c>
    </row>
    <row r="2581">
      <c r="B2581" s="6">
        <f>C2581&amp;D2581</f>
        <v/>
      </c>
      <c r="C2581" s="6">
        <f>YEAR(E2581)</f>
        <v/>
      </c>
      <c r="D2581" s="6">
        <f>MONTH(E2581)</f>
        <v/>
      </c>
      <c r="J2581" s="6">
        <f>K2581&amp;L2581</f>
        <v/>
      </c>
      <c r="K2581" s="6">
        <f>YEAR(M2581)</f>
        <v/>
      </c>
      <c r="L2581" s="6">
        <f>MONTH(M2581)</f>
        <v/>
      </c>
      <c r="R2581" s="6">
        <f>S2581&amp;T2581</f>
        <v/>
      </c>
      <c r="S2581" s="6">
        <f>YEAR(U2581)</f>
        <v/>
      </c>
      <c r="T2581" s="6">
        <f>MONTH(U2581)</f>
        <v/>
      </c>
      <c r="Z2581" s="6">
        <f>AA2581&amp;AB2581</f>
        <v/>
      </c>
      <c r="AA2581" s="6">
        <f>YEAR(AC2581)</f>
        <v/>
      </c>
      <c r="AB2581" s="6">
        <f>MONTH(AC2581)</f>
        <v/>
      </c>
      <c r="AC2581" s="267">
        <f>IFERROR(__xludf.DUMMYFUNCTION("""COMPUTED_VALUE"""),45734.9986111111)</f>
        <v/>
      </c>
      <c r="AD2581" s="6">
        <f>IFERROR(__xludf.DUMMYFUNCTION("""COMPUTED_VALUE"""),1448.94)</f>
        <v/>
      </c>
      <c r="AH2581" s="6">
        <f>AI2581&amp;AJ2581</f>
        <v/>
      </c>
      <c r="AI2581" s="6">
        <f>YEAR(AK2581)</f>
        <v/>
      </c>
      <c r="AJ2581" s="6">
        <f>MONTH(AK2581)</f>
        <v/>
      </c>
      <c r="AK2581" s="267">
        <f>IFERROR(__xludf.DUMMYFUNCTION("""COMPUTED_VALUE"""),45675.9986111111)</f>
        <v/>
      </c>
      <c r="AL2581" s="6">
        <f>IFERROR(__xludf.DUMMYFUNCTION("""COMPUTED_VALUE"""),103545.4)</f>
        <v/>
      </c>
      <c r="AP2581" s="6">
        <f>AQ2581&amp;AR2581</f>
        <v/>
      </c>
      <c r="AQ2581" s="6">
        <f>YEAR(AS2581)</f>
        <v/>
      </c>
      <c r="AR2581" s="6">
        <f>MONTH(AS2581)</f>
        <v/>
      </c>
    </row>
    <row r="2582">
      <c r="B2582" s="6">
        <f>C2582&amp;D2582</f>
        <v/>
      </c>
      <c r="C2582" s="6">
        <f>YEAR(E2582)</f>
        <v/>
      </c>
      <c r="D2582" s="6">
        <f>MONTH(E2582)</f>
        <v/>
      </c>
      <c r="J2582" s="6">
        <f>K2582&amp;L2582</f>
        <v/>
      </c>
      <c r="K2582" s="6">
        <f>YEAR(M2582)</f>
        <v/>
      </c>
      <c r="L2582" s="6">
        <f>MONTH(M2582)</f>
        <v/>
      </c>
      <c r="R2582" s="6">
        <f>S2582&amp;T2582</f>
        <v/>
      </c>
      <c r="S2582" s="6">
        <f>YEAR(U2582)</f>
        <v/>
      </c>
      <c r="T2582" s="6">
        <f>MONTH(U2582)</f>
        <v/>
      </c>
      <c r="Z2582" s="6">
        <f>AA2582&amp;AB2582</f>
        <v/>
      </c>
      <c r="AA2582" s="6">
        <f>YEAR(AC2582)</f>
        <v/>
      </c>
      <c r="AB2582" s="6">
        <f>MONTH(AC2582)</f>
        <v/>
      </c>
      <c r="AC2582" s="267">
        <f>IFERROR(__xludf.DUMMYFUNCTION("""COMPUTED_VALUE"""),45735.9986111111)</f>
        <v/>
      </c>
      <c r="AD2582" s="6">
        <f>IFERROR(__xludf.DUMMYFUNCTION("""COMPUTED_VALUE"""),1443.39)</f>
        <v/>
      </c>
      <c r="AH2582" s="6">
        <f>AI2582&amp;AJ2582</f>
        <v/>
      </c>
      <c r="AI2582" s="6">
        <f>YEAR(AK2582)</f>
        <v/>
      </c>
      <c r="AJ2582" s="6">
        <f>MONTH(AK2582)</f>
        <v/>
      </c>
      <c r="AK2582" s="267">
        <f>IFERROR(__xludf.DUMMYFUNCTION("""COMPUTED_VALUE"""),45676.9986111111)</f>
        <v/>
      </c>
      <c r="AL2582" s="6">
        <f>IFERROR(__xludf.DUMMYFUNCTION("""COMPUTED_VALUE"""),104841)</f>
        <v/>
      </c>
      <c r="AP2582" s="6">
        <f>AQ2582&amp;AR2582</f>
        <v/>
      </c>
      <c r="AQ2582" s="6">
        <f>YEAR(AS2582)</f>
        <v/>
      </c>
      <c r="AR2582" s="6">
        <f>MONTH(AS2582)</f>
        <v/>
      </c>
    </row>
    <row r="2583">
      <c r="B2583" s="6">
        <f>C2583&amp;D2583</f>
        <v/>
      </c>
      <c r="C2583" s="6">
        <f>YEAR(E2583)</f>
        <v/>
      </c>
      <c r="D2583" s="6">
        <f>MONTH(E2583)</f>
        <v/>
      </c>
      <c r="J2583" s="6">
        <f>K2583&amp;L2583</f>
        <v/>
      </c>
      <c r="K2583" s="6">
        <f>YEAR(M2583)</f>
        <v/>
      </c>
      <c r="L2583" s="6">
        <f>MONTH(M2583)</f>
        <v/>
      </c>
      <c r="R2583" s="6">
        <f>S2583&amp;T2583</f>
        <v/>
      </c>
      <c r="S2583" s="6">
        <f>YEAR(U2583)</f>
        <v/>
      </c>
      <c r="T2583" s="6">
        <f>MONTH(U2583)</f>
        <v/>
      </c>
      <c r="Z2583" s="6">
        <f>AA2583&amp;AB2583</f>
        <v/>
      </c>
      <c r="AA2583" s="6">
        <f>YEAR(AC2583)</f>
        <v/>
      </c>
      <c r="AB2583" s="6">
        <f>MONTH(AC2583)</f>
        <v/>
      </c>
      <c r="AC2583" s="267">
        <f>IFERROR(__xludf.DUMMYFUNCTION("""COMPUTED_VALUE"""),45736.9986111111)</f>
        <v/>
      </c>
      <c r="AD2583" s="6">
        <f>IFERROR(__xludf.DUMMYFUNCTION("""COMPUTED_VALUE"""),1465.82)</f>
        <v/>
      </c>
      <c r="AH2583" s="6">
        <f>AI2583&amp;AJ2583</f>
        <v/>
      </c>
      <c r="AI2583" s="6">
        <f>YEAR(AK2583)</f>
        <v/>
      </c>
      <c r="AJ2583" s="6">
        <f>MONTH(AK2583)</f>
        <v/>
      </c>
      <c r="AK2583" s="267">
        <f>IFERROR(__xludf.DUMMYFUNCTION("""COMPUTED_VALUE"""),45677.9986111111)</f>
        <v/>
      </c>
      <c r="AL2583" s="6">
        <f>IFERROR(__xludf.DUMMYFUNCTION("""COMPUTED_VALUE"""),102194.9)</f>
        <v/>
      </c>
      <c r="AP2583" s="6">
        <f>AQ2583&amp;AR2583</f>
        <v/>
      </c>
      <c r="AQ2583" s="6">
        <f>YEAR(AS2583)</f>
        <v/>
      </c>
      <c r="AR2583" s="6">
        <f>MONTH(AS2583)</f>
        <v/>
      </c>
    </row>
    <row r="2584">
      <c r="B2584" s="6">
        <f>C2584&amp;D2584</f>
        <v/>
      </c>
      <c r="C2584" s="6">
        <f>YEAR(E2584)</f>
        <v/>
      </c>
      <c r="D2584" s="6">
        <f>MONTH(E2584)</f>
        <v/>
      </c>
      <c r="J2584" s="6">
        <f>K2584&amp;L2584</f>
        <v/>
      </c>
      <c r="K2584" s="6">
        <f>YEAR(M2584)</f>
        <v/>
      </c>
      <c r="L2584" s="6">
        <f>MONTH(M2584)</f>
        <v/>
      </c>
      <c r="R2584" s="6">
        <f>S2584&amp;T2584</f>
        <v/>
      </c>
      <c r="S2584" s="6">
        <f>YEAR(U2584)</f>
        <v/>
      </c>
      <c r="T2584" s="6">
        <f>MONTH(U2584)</f>
        <v/>
      </c>
      <c r="Z2584" s="6">
        <f>AA2584&amp;AB2584</f>
        <v/>
      </c>
      <c r="AA2584" s="6">
        <f>YEAR(AC2584)</f>
        <v/>
      </c>
      <c r="AB2584" s="6">
        <f>MONTH(AC2584)</f>
        <v/>
      </c>
      <c r="AC2584" s="267">
        <f>IFERROR(__xludf.DUMMYFUNCTION("""COMPUTED_VALUE"""),45737.9986111111)</f>
        <v/>
      </c>
      <c r="AD2584" s="6">
        <f>IFERROR(__xludf.DUMMYFUNCTION("""COMPUTED_VALUE"""),1464.88)</f>
        <v/>
      </c>
      <c r="AH2584" s="6">
        <f>AI2584&amp;AJ2584</f>
        <v/>
      </c>
      <c r="AI2584" s="6">
        <f>YEAR(AK2584)</f>
        <v/>
      </c>
      <c r="AJ2584" s="6">
        <f>MONTH(AK2584)</f>
        <v/>
      </c>
      <c r="AK2584" s="267">
        <f>IFERROR(__xludf.DUMMYFUNCTION("""COMPUTED_VALUE"""),45678.9986111111)</f>
        <v/>
      </c>
      <c r="AL2584" s="6">
        <f>IFERROR(__xludf.DUMMYFUNCTION("""COMPUTED_VALUE"""),102204.3)</f>
        <v/>
      </c>
      <c r="AP2584" s="6">
        <f>AQ2584&amp;AR2584</f>
        <v/>
      </c>
      <c r="AQ2584" s="6">
        <f>YEAR(AS2584)</f>
        <v/>
      </c>
      <c r="AR2584" s="6">
        <f>MONTH(AS2584)</f>
        <v/>
      </c>
    </row>
    <row r="2585">
      <c r="B2585" s="6">
        <f>C2585&amp;D2585</f>
        <v/>
      </c>
      <c r="C2585" s="6">
        <f>YEAR(E2585)</f>
        <v/>
      </c>
      <c r="D2585" s="6">
        <f>MONTH(E2585)</f>
        <v/>
      </c>
      <c r="J2585" s="6">
        <f>K2585&amp;L2585</f>
        <v/>
      </c>
      <c r="K2585" s="6">
        <f>YEAR(M2585)</f>
        <v/>
      </c>
      <c r="L2585" s="6">
        <f>MONTH(M2585)</f>
        <v/>
      </c>
      <c r="R2585" s="6">
        <f>S2585&amp;T2585</f>
        <v/>
      </c>
      <c r="S2585" s="6">
        <f>YEAR(U2585)</f>
        <v/>
      </c>
      <c r="T2585" s="6">
        <f>MONTH(U2585)</f>
        <v/>
      </c>
      <c r="Z2585" s="6">
        <f>AA2585&amp;AB2585</f>
        <v/>
      </c>
      <c r="AA2585" s="6">
        <f>YEAR(AC2585)</f>
        <v/>
      </c>
      <c r="AB2585" s="6">
        <f>MONTH(AC2585)</f>
        <v/>
      </c>
      <c r="AC2585" s="267">
        <f>IFERROR(__xludf.DUMMYFUNCTION("""COMPUTED_VALUE"""),45738.9986111111)</f>
        <v/>
      </c>
      <c r="AD2585" s="6">
        <f>IFERROR(__xludf.DUMMYFUNCTION("""COMPUTED_VALUE"""),1461.8)</f>
        <v/>
      </c>
      <c r="AH2585" s="6">
        <f>AI2585&amp;AJ2585</f>
        <v/>
      </c>
      <c r="AI2585" s="6">
        <f>YEAR(AK2585)</f>
        <v/>
      </c>
      <c r="AJ2585" s="6">
        <f>MONTH(AK2585)</f>
        <v/>
      </c>
      <c r="AK2585" s="267">
        <f>IFERROR(__xludf.DUMMYFUNCTION("""COMPUTED_VALUE"""),45679.9986111111)</f>
        <v/>
      </c>
      <c r="AL2585" s="6">
        <f>IFERROR(__xludf.DUMMYFUNCTION("""COMPUTED_VALUE"""),105559.4)</f>
        <v/>
      </c>
      <c r="AP2585" s="6">
        <f>AQ2585&amp;AR2585</f>
        <v/>
      </c>
      <c r="AQ2585" s="6">
        <f>YEAR(AS2585)</f>
        <v/>
      </c>
      <c r="AR2585" s="6">
        <f>MONTH(AS2585)</f>
        <v/>
      </c>
    </row>
    <row r="2586">
      <c r="B2586" s="6">
        <f>C2586&amp;D2586</f>
        <v/>
      </c>
      <c r="C2586" s="6">
        <f>YEAR(E2586)</f>
        <v/>
      </c>
      <c r="D2586" s="6">
        <f>MONTH(E2586)</f>
        <v/>
      </c>
      <c r="J2586" s="6">
        <f>K2586&amp;L2586</f>
        <v/>
      </c>
      <c r="K2586" s="6">
        <f>YEAR(M2586)</f>
        <v/>
      </c>
      <c r="L2586" s="6">
        <f>MONTH(M2586)</f>
        <v/>
      </c>
      <c r="R2586" s="6">
        <f>S2586&amp;T2586</f>
        <v/>
      </c>
      <c r="S2586" s="6">
        <f>YEAR(U2586)</f>
        <v/>
      </c>
      <c r="T2586" s="6">
        <f>MONTH(U2586)</f>
        <v/>
      </c>
      <c r="Z2586" s="6">
        <f>AA2586&amp;AB2586</f>
        <v/>
      </c>
      <c r="AA2586" s="6">
        <f>YEAR(AC2586)</f>
        <v/>
      </c>
      <c r="AB2586" s="6">
        <f>MONTH(AC2586)</f>
        <v/>
      </c>
      <c r="AC2586" s="267">
        <f>IFERROR(__xludf.DUMMYFUNCTION("""COMPUTED_VALUE"""),45739.9986111111)</f>
        <v/>
      </c>
      <c r="AD2586" s="6">
        <f>IFERROR(__xludf.DUMMYFUNCTION("""COMPUTED_VALUE"""),1464.78)</f>
        <v/>
      </c>
      <c r="AH2586" s="6">
        <f>AI2586&amp;AJ2586</f>
        <v/>
      </c>
      <c r="AI2586" s="6">
        <f>YEAR(AK2586)</f>
        <v/>
      </c>
      <c r="AJ2586" s="6">
        <f>MONTH(AK2586)</f>
        <v/>
      </c>
      <c r="AK2586" s="267">
        <f>IFERROR(__xludf.DUMMYFUNCTION("""COMPUTED_VALUE"""),45680.9986111111)</f>
        <v/>
      </c>
      <c r="AL2586" s="6">
        <f>IFERROR(__xludf.DUMMYFUNCTION("""COMPUTED_VALUE"""),101964.6)</f>
        <v/>
      </c>
      <c r="AP2586" s="6">
        <f>AQ2586&amp;AR2586</f>
        <v/>
      </c>
      <c r="AQ2586" s="6">
        <f>YEAR(AS2586)</f>
        <v/>
      </c>
      <c r="AR2586" s="6">
        <f>MONTH(AS2586)</f>
        <v/>
      </c>
    </row>
    <row r="2587">
      <c r="B2587" s="6">
        <f>C2587&amp;D2587</f>
        <v/>
      </c>
      <c r="C2587" s="6">
        <f>YEAR(E2587)</f>
        <v/>
      </c>
      <c r="D2587" s="6">
        <f>MONTH(E2587)</f>
        <v/>
      </c>
      <c r="J2587" s="6">
        <f>K2587&amp;L2587</f>
        <v/>
      </c>
      <c r="K2587" s="6">
        <f>YEAR(M2587)</f>
        <v/>
      </c>
      <c r="L2587" s="6">
        <f>MONTH(M2587)</f>
        <v/>
      </c>
      <c r="R2587" s="6">
        <f>S2587&amp;T2587</f>
        <v/>
      </c>
      <c r="S2587" s="6">
        <f>YEAR(U2587)</f>
        <v/>
      </c>
      <c r="T2587" s="6">
        <f>MONTH(U2587)</f>
        <v/>
      </c>
      <c r="Z2587" s="6">
        <f>AA2587&amp;AB2587</f>
        <v/>
      </c>
      <c r="AA2587" s="6">
        <f>YEAR(AC2587)</f>
        <v/>
      </c>
      <c r="AB2587" s="6">
        <f>MONTH(AC2587)</f>
        <v/>
      </c>
      <c r="AC2587" s="267">
        <f>IFERROR(__xludf.DUMMYFUNCTION("""COMPUTED_VALUE"""),45740.9986111111)</f>
        <v/>
      </c>
      <c r="AD2587" s="6">
        <f>IFERROR(__xludf.DUMMYFUNCTION("""COMPUTED_VALUE"""),1466.27)</f>
        <v/>
      </c>
      <c r="AH2587" s="6">
        <f>AI2587&amp;AJ2587</f>
        <v/>
      </c>
      <c r="AI2587" s="6">
        <f>YEAR(AK2587)</f>
        <v/>
      </c>
      <c r="AJ2587" s="6">
        <f>MONTH(AK2587)</f>
        <v/>
      </c>
      <c r="AK2587" s="267">
        <f>IFERROR(__xludf.DUMMYFUNCTION("""COMPUTED_VALUE"""),45681.9986111111)</f>
        <v/>
      </c>
      <c r="AL2587" s="6">
        <f>IFERROR(__xludf.DUMMYFUNCTION("""COMPUTED_VALUE"""),104563)</f>
        <v/>
      </c>
      <c r="AP2587" s="6">
        <f>AQ2587&amp;AR2587</f>
        <v/>
      </c>
      <c r="AQ2587" s="6">
        <f>YEAR(AS2587)</f>
        <v/>
      </c>
      <c r="AR2587" s="6">
        <f>MONTH(AS2587)</f>
        <v/>
      </c>
    </row>
    <row r="2588">
      <c r="B2588" s="6">
        <f>C2588&amp;D2588</f>
        <v/>
      </c>
      <c r="C2588" s="6">
        <f>YEAR(E2588)</f>
        <v/>
      </c>
      <c r="D2588" s="6">
        <f>MONTH(E2588)</f>
        <v/>
      </c>
      <c r="J2588" s="6">
        <f>K2588&amp;L2588</f>
        <v/>
      </c>
      <c r="K2588" s="6">
        <f>YEAR(M2588)</f>
        <v/>
      </c>
      <c r="L2588" s="6">
        <f>MONTH(M2588)</f>
        <v/>
      </c>
      <c r="R2588" s="6">
        <f>S2588&amp;T2588</f>
        <v/>
      </c>
      <c r="S2588" s="6">
        <f>YEAR(U2588)</f>
        <v/>
      </c>
      <c r="T2588" s="6">
        <f>MONTH(U2588)</f>
        <v/>
      </c>
      <c r="Z2588" s="6">
        <f>AA2588&amp;AB2588</f>
        <v/>
      </c>
      <c r="AA2588" s="6">
        <f>YEAR(AC2588)</f>
        <v/>
      </c>
      <c r="AB2588" s="6">
        <f>MONTH(AC2588)</f>
        <v/>
      </c>
      <c r="AC2588" s="267">
        <f>IFERROR(__xludf.DUMMYFUNCTION("""COMPUTED_VALUE"""),45741.9986111111)</f>
        <v/>
      </c>
      <c r="AD2588" s="6">
        <f>IFERROR(__xludf.DUMMYFUNCTION("""COMPUTED_VALUE"""),1462.09)</f>
        <v/>
      </c>
      <c r="AH2588" s="6">
        <f>AI2588&amp;AJ2588</f>
        <v/>
      </c>
      <c r="AI2588" s="6">
        <f>YEAR(AK2588)</f>
        <v/>
      </c>
      <c r="AJ2588" s="6">
        <f>MONTH(AK2588)</f>
        <v/>
      </c>
      <c r="AK2588" s="267">
        <f>IFERROR(__xludf.DUMMYFUNCTION("""COMPUTED_VALUE"""),45682.9986111111)</f>
        <v/>
      </c>
      <c r="AL2588" s="6">
        <f>IFERROR(__xludf.DUMMYFUNCTION("""COMPUTED_VALUE"""),104669.3)</f>
        <v/>
      </c>
      <c r="AP2588" s="6">
        <f>AQ2588&amp;AR2588</f>
        <v/>
      </c>
      <c r="AQ2588" s="6">
        <f>YEAR(AS2588)</f>
        <v/>
      </c>
      <c r="AR2588" s="6">
        <f>MONTH(AS2588)</f>
        <v/>
      </c>
    </row>
    <row r="2589">
      <c r="B2589" s="6">
        <f>C2589&amp;D2589</f>
        <v/>
      </c>
      <c r="C2589" s="6">
        <f>YEAR(E2589)</f>
        <v/>
      </c>
      <c r="D2589" s="6">
        <f>MONTH(E2589)</f>
        <v/>
      </c>
      <c r="J2589" s="6">
        <f>K2589&amp;L2589</f>
        <v/>
      </c>
      <c r="K2589" s="6">
        <f>YEAR(M2589)</f>
        <v/>
      </c>
      <c r="L2589" s="6">
        <f>MONTH(M2589)</f>
        <v/>
      </c>
      <c r="R2589" s="6">
        <f>S2589&amp;T2589</f>
        <v/>
      </c>
      <c r="S2589" s="6">
        <f>YEAR(U2589)</f>
        <v/>
      </c>
      <c r="T2589" s="6">
        <f>MONTH(U2589)</f>
        <v/>
      </c>
      <c r="Z2589" s="6">
        <f>AA2589&amp;AB2589</f>
        <v/>
      </c>
      <c r="AA2589" s="6">
        <f>YEAR(AC2589)</f>
        <v/>
      </c>
      <c r="AB2589" s="6">
        <f>MONTH(AC2589)</f>
        <v/>
      </c>
      <c r="AC2589" s="267">
        <f>IFERROR(__xludf.DUMMYFUNCTION("""COMPUTED_VALUE"""),45742.9986111111)</f>
        <v/>
      </c>
      <c r="AD2589" s="6">
        <f>IFERROR(__xludf.DUMMYFUNCTION("""COMPUTED_VALUE"""),1465.68)</f>
        <v/>
      </c>
      <c r="AH2589" s="6">
        <f>AI2589&amp;AJ2589</f>
        <v/>
      </c>
      <c r="AI2589" s="6">
        <f>YEAR(AK2589)</f>
        <v/>
      </c>
      <c r="AJ2589" s="6">
        <f>MONTH(AK2589)</f>
        <v/>
      </c>
      <c r="AK2589" s="267">
        <f>IFERROR(__xludf.DUMMYFUNCTION("""COMPUTED_VALUE"""),45683.9986111111)</f>
        <v/>
      </c>
      <c r="AL2589" s="6">
        <f>IFERROR(__xludf.DUMMYFUNCTION("""COMPUTED_VALUE"""),105193.9)</f>
        <v/>
      </c>
      <c r="AP2589" s="6">
        <f>AQ2589&amp;AR2589</f>
        <v/>
      </c>
      <c r="AQ2589" s="6">
        <f>YEAR(AS2589)</f>
        <v/>
      </c>
      <c r="AR2589" s="6">
        <f>MONTH(AS2589)</f>
        <v/>
      </c>
    </row>
    <row r="2590">
      <c r="B2590" s="6">
        <f>C2590&amp;D2590</f>
        <v/>
      </c>
      <c r="C2590" s="6">
        <f>YEAR(E2590)</f>
        <v/>
      </c>
      <c r="D2590" s="6">
        <f>MONTH(E2590)</f>
        <v/>
      </c>
      <c r="J2590" s="6">
        <f>K2590&amp;L2590</f>
        <v/>
      </c>
      <c r="K2590" s="6">
        <f>YEAR(M2590)</f>
        <v/>
      </c>
      <c r="L2590" s="6">
        <f>MONTH(M2590)</f>
        <v/>
      </c>
      <c r="R2590" s="6">
        <f>S2590&amp;T2590</f>
        <v/>
      </c>
      <c r="S2590" s="6">
        <f>YEAR(U2590)</f>
        <v/>
      </c>
      <c r="T2590" s="6">
        <f>MONTH(U2590)</f>
        <v/>
      </c>
      <c r="Z2590" s="6">
        <f>AA2590&amp;AB2590</f>
        <v/>
      </c>
      <c r="AA2590" s="6">
        <f>YEAR(AC2590)</f>
        <v/>
      </c>
      <c r="AB2590" s="6">
        <f>MONTH(AC2590)</f>
        <v/>
      </c>
      <c r="AC2590" s="267">
        <f>IFERROR(__xludf.DUMMYFUNCTION("""COMPUTED_VALUE"""),45743.9986111111)</f>
        <v/>
      </c>
      <c r="AD2590" s="6">
        <f>IFERROR(__xludf.DUMMYFUNCTION("""COMPUTED_VALUE"""),1461.89)</f>
        <v/>
      </c>
      <c r="AH2590" s="6">
        <f>AI2590&amp;AJ2590</f>
        <v/>
      </c>
      <c r="AI2590" s="6">
        <f>YEAR(AK2590)</f>
        <v/>
      </c>
      <c r="AJ2590" s="6">
        <f>MONTH(AK2590)</f>
        <v/>
      </c>
      <c r="AK2590" s="267">
        <f>IFERROR(__xludf.DUMMYFUNCTION("""COMPUTED_VALUE"""),45684.9986111111)</f>
        <v/>
      </c>
      <c r="AL2590" s="6">
        <f>IFERROR(__xludf.DUMMYFUNCTION("""COMPUTED_VALUE"""),100414.1)</f>
        <v/>
      </c>
      <c r="AP2590" s="6">
        <f>AQ2590&amp;AR2590</f>
        <v/>
      </c>
      <c r="AQ2590" s="6">
        <f>YEAR(AS2590)</f>
        <v/>
      </c>
      <c r="AR2590" s="6">
        <f>MONTH(AS2590)</f>
        <v/>
      </c>
    </row>
    <row r="2591">
      <c r="B2591" s="6">
        <f>C2591&amp;D2591</f>
        <v/>
      </c>
      <c r="C2591" s="6">
        <f>YEAR(E2591)</f>
        <v/>
      </c>
      <c r="D2591" s="6">
        <f>MONTH(E2591)</f>
        <v/>
      </c>
      <c r="J2591" s="6">
        <f>K2591&amp;L2591</f>
        <v/>
      </c>
      <c r="K2591" s="6">
        <f>YEAR(M2591)</f>
        <v/>
      </c>
      <c r="L2591" s="6">
        <f>MONTH(M2591)</f>
        <v/>
      </c>
      <c r="R2591" s="6">
        <f>S2591&amp;T2591</f>
        <v/>
      </c>
      <c r="S2591" s="6">
        <f>YEAR(U2591)</f>
        <v/>
      </c>
      <c r="T2591" s="6">
        <f>MONTH(U2591)</f>
        <v/>
      </c>
      <c r="Z2591" s="6">
        <f>AA2591&amp;AB2591</f>
        <v/>
      </c>
      <c r="AA2591" s="6">
        <f>YEAR(AC2591)</f>
        <v/>
      </c>
      <c r="AB2591" s="6">
        <f>MONTH(AC2591)</f>
        <v/>
      </c>
      <c r="AC2591" s="267">
        <f>IFERROR(__xludf.DUMMYFUNCTION("""COMPUTED_VALUE"""),45744.9986111111)</f>
        <v/>
      </c>
      <c r="AD2591" s="6">
        <f>IFERROR(__xludf.DUMMYFUNCTION("""COMPUTED_VALUE"""),1469.4)</f>
        <v/>
      </c>
      <c r="AH2591" s="6">
        <f>AI2591&amp;AJ2591</f>
        <v/>
      </c>
      <c r="AI2591" s="6">
        <f>YEAR(AK2591)</f>
        <v/>
      </c>
      <c r="AJ2591" s="6">
        <f>MONTH(AK2591)</f>
        <v/>
      </c>
      <c r="AK2591" s="267">
        <f>IFERROR(__xludf.DUMMYFUNCTION("""COMPUTED_VALUE"""),45685.9986111111)</f>
        <v/>
      </c>
      <c r="AL2591" s="6">
        <f>IFERROR(__xludf.DUMMYFUNCTION("""COMPUTED_VALUE"""),102938)</f>
        <v/>
      </c>
      <c r="AP2591" s="6">
        <f>AQ2591&amp;AR2591</f>
        <v/>
      </c>
      <c r="AQ2591" s="6">
        <f>YEAR(AS2591)</f>
        <v/>
      </c>
      <c r="AR2591" s="6">
        <f>MONTH(AS2591)</f>
        <v/>
      </c>
    </row>
    <row r="2592">
      <c r="B2592" s="6">
        <f>C2592&amp;D2592</f>
        <v/>
      </c>
      <c r="C2592" s="6">
        <f>YEAR(E2592)</f>
        <v/>
      </c>
      <c r="D2592" s="6">
        <f>MONTH(E2592)</f>
        <v/>
      </c>
      <c r="J2592" s="6">
        <f>K2592&amp;L2592</f>
        <v/>
      </c>
      <c r="K2592" s="6">
        <f>YEAR(M2592)</f>
        <v/>
      </c>
      <c r="L2592" s="6">
        <f>MONTH(M2592)</f>
        <v/>
      </c>
      <c r="R2592" s="6">
        <f>S2592&amp;T2592</f>
        <v/>
      </c>
      <c r="S2592" s="6">
        <f>YEAR(U2592)</f>
        <v/>
      </c>
      <c r="T2592" s="6">
        <f>MONTH(U2592)</f>
        <v/>
      </c>
      <c r="Z2592" s="6">
        <f>AA2592&amp;AB2592</f>
        <v/>
      </c>
      <c r="AA2592" s="6">
        <f>YEAR(AC2592)</f>
        <v/>
      </c>
      <c r="AB2592" s="6">
        <f>MONTH(AC2592)</f>
        <v/>
      </c>
      <c r="AC2592" s="267">
        <f>IFERROR(__xludf.DUMMYFUNCTION("""COMPUTED_VALUE"""),45745.9986111111)</f>
        <v/>
      </c>
      <c r="AD2592" s="6">
        <f>IFERROR(__xludf.DUMMYFUNCTION("""COMPUTED_VALUE"""),1468.4)</f>
        <v/>
      </c>
      <c r="AH2592" s="6">
        <f>AI2592&amp;AJ2592</f>
        <v/>
      </c>
      <c r="AI2592" s="6">
        <f>YEAR(AK2592)</f>
        <v/>
      </c>
      <c r="AJ2592" s="6">
        <f>MONTH(AK2592)</f>
        <v/>
      </c>
      <c r="AK2592" s="267">
        <f>IFERROR(__xludf.DUMMYFUNCTION("""COMPUTED_VALUE"""),45686.9986111111)</f>
        <v/>
      </c>
      <c r="AL2592" s="6">
        <f>IFERROR(__xludf.DUMMYFUNCTION("""COMPUTED_VALUE"""),101995.6)</f>
        <v/>
      </c>
      <c r="AP2592" s="6">
        <f>AQ2592&amp;AR2592</f>
        <v/>
      </c>
      <c r="AQ2592" s="6">
        <f>YEAR(AS2592)</f>
        <v/>
      </c>
      <c r="AR2592" s="6">
        <f>MONTH(AS2592)</f>
        <v/>
      </c>
    </row>
    <row r="2593">
      <c r="B2593" s="6">
        <f>C2593&amp;D2593</f>
        <v/>
      </c>
      <c r="C2593" s="6">
        <f>YEAR(E2593)</f>
        <v/>
      </c>
      <c r="D2593" s="6">
        <f>MONTH(E2593)</f>
        <v/>
      </c>
      <c r="J2593" s="6">
        <f>K2593&amp;L2593</f>
        <v/>
      </c>
      <c r="K2593" s="6">
        <f>YEAR(M2593)</f>
        <v/>
      </c>
      <c r="L2593" s="6">
        <f>MONTH(M2593)</f>
        <v/>
      </c>
      <c r="R2593" s="6">
        <f>S2593&amp;T2593</f>
        <v/>
      </c>
      <c r="S2593" s="6">
        <f>YEAR(U2593)</f>
        <v/>
      </c>
      <c r="T2593" s="6">
        <f>MONTH(U2593)</f>
        <v/>
      </c>
      <c r="Z2593" s="6">
        <f>AA2593&amp;AB2593</f>
        <v/>
      </c>
      <c r="AA2593" s="6">
        <f>YEAR(AC2593)</f>
        <v/>
      </c>
      <c r="AB2593" s="6">
        <f>MONTH(AC2593)</f>
        <v/>
      </c>
      <c r="AC2593" s="267">
        <f>IFERROR(__xludf.DUMMYFUNCTION("""COMPUTED_VALUE"""),45746.9986111111)</f>
        <v/>
      </c>
      <c r="AD2593" s="6">
        <f>IFERROR(__xludf.DUMMYFUNCTION("""COMPUTED_VALUE"""),1469.41)</f>
        <v/>
      </c>
      <c r="AH2593" s="6">
        <f>AI2593&amp;AJ2593</f>
        <v/>
      </c>
      <c r="AI2593" s="6">
        <f>YEAR(AK2593)</f>
        <v/>
      </c>
      <c r="AJ2593" s="6">
        <f>MONTH(AK2593)</f>
        <v/>
      </c>
      <c r="AK2593" s="267">
        <f>IFERROR(__xludf.DUMMYFUNCTION("""COMPUTED_VALUE"""),45687.9986111111)</f>
        <v/>
      </c>
      <c r="AL2593" s="6">
        <f>IFERROR(__xludf.DUMMYFUNCTION("""COMPUTED_VALUE"""),105403.1)</f>
        <v/>
      </c>
      <c r="AP2593" s="6">
        <f>AQ2593&amp;AR2593</f>
        <v/>
      </c>
      <c r="AQ2593" s="6">
        <f>YEAR(AS2593)</f>
        <v/>
      </c>
      <c r="AR2593" s="6">
        <f>MONTH(AS2593)</f>
        <v/>
      </c>
    </row>
    <row r="2594">
      <c r="B2594" s="6">
        <f>C2594&amp;D2594</f>
        <v/>
      </c>
      <c r="C2594" s="6">
        <f>YEAR(E2594)</f>
        <v/>
      </c>
      <c r="D2594" s="6">
        <f>MONTH(E2594)</f>
        <v/>
      </c>
      <c r="J2594" s="6">
        <f>K2594&amp;L2594</f>
        <v/>
      </c>
      <c r="K2594" s="6">
        <f>YEAR(M2594)</f>
        <v/>
      </c>
      <c r="L2594" s="6">
        <f>MONTH(M2594)</f>
        <v/>
      </c>
      <c r="R2594" s="6">
        <f>S2594&amp;T2594</f>
        <v/>
      </c>
      <c r="S2594" s="6">
        <f>YEAR(U2594)</f>
        <v/>
      </c>
      <c r="T2594" s="6">
        <f>MONTH(U2594)</f>
        <v/>
      </c>
      <c r="Z2594" s="6">
        <f>AA2594&amp;AB2594</f>
        <v/>
      </c>
      <c r="AA2594" s="6">
        <f>YEAR(AC2594)</f>
        <v/>
      </c>
      <c r="AB2594" s="6">
        <f>MONTH(AC2594)</f>
        <v/>
      </c>
      <c r="AC2594" s="267">
        <f>IFERROR(__xludf.DUMMYFUNCTION("""COMPUTED_VALUE"""),45747.9986111111)</f>
        <v/>
      </c>
      <c r="AD2594" s="6">
        <f>IFERROR(__xludf.DUMMYFUNCTION("""COMPUTED_VALUE"""),1471.96)</f>
        <v/>
      </c>
      <c r="AH2594" s="6">
        <f>AI2594&amp;AJ2594</f>
        <v/>
      </c>
      <c r="AI2594" s="6">
        <f>YEAR(AK2594)</f>
        <v/>
      </c>
      <c r="AJ2594" s="6">
        <f>MONTH(AK2594)</f>
        <v/>
      </c>
      <c r="AK2594" s="267">
        <f>IFERROR(__xludf.DUMMYFUNCTION("""COMPUTED_VALUE"""),45688.9986111111)</f>
        <v/>
      </c>
      <c r="AL2594" s="6">
        <f>IFERROR(__xludf.DUMMYFUNCTION("""COMPUTED_VALUE"""),104008.8)</f>
        <v/>
      </c>
      <c r="AP2594" s="6">
        <f>AQ2594&amp;AR2594</f>
        <v/>
      </c>
      <c r="AQ2594" s="6">
        <f>YEAR(AS2594)</f>
        <v/>
      </c>
      <c r="AR2594" s="6">
        <f>MONTH(AS2594)</f>
        <v/>
      </c>
    </row>
    <row r="2595">
      <c r="B2595" s="6">
        <f>C2595&amp;D2595</f>
        <v/>
      </c>
      <c r="C2595" s="6">
        <f>YEAR(E2595)</f>
        <v/>
      </c>
      <c r="D2595" s="6">
        <f>MONTH(E2595)</f>
        <v/>
      </c>
      <c r="J2595" s="6">
        <f>K2595&amp;L2595</f>
        <v/>
      </c>
      <c r="K2595" s="6">
        <f>YEAR(M2595)</f>
        <v/>
      </c>
      <c r="L2595" s="6">
        <f>MONTH(M2595)</f>
        <v/>
      </c>
      <c r="R2595" s="6">
        <f>S2595&amp;T2595</f>
        <v/>
      </c>
      <c r="S2595" s="6">
        <f>YEAR(U2595)</f>
        <v/>
      </c>
      <c r="T2595" s="6">
        <f>MONTH(U2595)</f>
        <v/>
      </c>
      <c r="Z2595" s="6">
        <f>AA2595&amp;AB2595</f>
        <v/>
      </c>
      <c r="AA2595" s="6">
        <f>YEAR(AC2595)</f>
        <v/>
      </c>
      <c r="AB2595" s="6">
        <f>MONTH(AC2595)</f>
        <v/>
      </c>
      <c r="AC2595" s="267">
        <f>IFERROR(__xludf.DUMMYFUNCTION("""COMPUTED_VALUE"""),45748.9986111111)</f>
        <v/>
      </c>
      <c r="AD2595" s="6">
        <f>IFERROR(__xludf.DUMMYFUNCTION("""COMPUTED_VALUE"""),1469.97)</f>
        <v/>
      </c>
      <c r="AH2595" s="6">
        <f>AI2595&amp;AJ2595</f>
        <v/>
      </c>
      <c r="AI2595" s="6">
        <f>YEAR(AK2595)</f>
        <v/>
      </c>
      <c r="AJ2595" s="6">
        <f>MONTH(AK2595)</f>
        <v/>
      </c>
      <c r="AK2595" s="267">
        <f>IFERROR(__xludf.DUMMYFUNCTION("""COMPUTED_VALUE"""),45689.9986111111)</f>
        <v/>
      </c>
      <c r="AL2595" s="6">
        <f>IFERROR(__xludf.DUMMYFUNCTION("""COMPUTED_VALUE"""),102345.6)</f>
        <v/>
      </c>
      <c r="AP2595" s="6">
        <f>AQ2595&amp;AR2595</f>
        <v/>
      </c>
      <c r="AQ2595" s="6">
        <f>YEAR(AS2595)</f>
        <v/>
      </c>
      <c r="AR2595" s="6">
        <f>MONTH(AS2595)</f>
        <v/>
      </c>
    </row>
    <row r="2596">
      <c r="B2596" s="6">
        <f>C2596&amp;D2596</f>
        <v/>
      </c>
      <c r="C2596" s="6">
        <f>YEAR(E2596)</f>
        <v/>
      </c>
      <c r="D2596" s="6">
        <f>MONTH(E2596)</f>
        <v/>
      </c>
      <c r="J2596" s="6">
        <f>K2596&amp;L2596</f>
        <v/>
      </c>
      <c r="K2596" s="6">
        <f>YEAR(M2596)</f>
        <v/>
      </c>
      <c r="L2596" s="6">
        <f>MONTH(M2596)</f>
        <v/>
      </c>
      <c r="R2596" s="6">
        <f>S2596&amp;T2596</f>
        <v/>
      </c>
      <c r="S2596" s="6">
        <f>YEAR(U2596)</f>
        <v/>
      </c>
      <c r="T2596" s="6">
        <f>MONTH(U2596)</f>
        <v/>
      </c>
      <c r="Z2596" s="6">
        <f>AA2596&amp;AB2596</f>
        <v/>
      </c>
      <c r="AA2596" s="6">
        <f>YEAR(AC2596)</f>
        <v/>
      </c>
      <c r="AB2596" s="6">
        <f>MONTH(AC2596)</f>
        <v/>
      </c>
      <c r="AC2596" s="267">
        <f>IFERROR(__xludf.DUMMYFUNCTION("""COMPUTED_VALUE"""),45749.9986111111)</f>
        <v/>
      </c>
      <c r="AD2596" s="6">
        <f>IFERROR(__xludf.DUMMYFUNCTION("""COMPUTED_VALUE"""),1466.04)</f>
        <v/>
      </c>
      <c r="AH2596" s="6">
        <f>AI2596&amp;AJ2596</f>
        <v/>
      </c>
      <c r="AI2596" s="6">
        <f>YEAR(AK2596)</f>
        <v/>
      </c>
      <c r="AJ2596" s="6">
        <f>MONTH(AK2596)</f>
        <v/>
      </c>
      <c r="AK2596" s="267">
        <f>IFERROR(__xludf.DUMMYFUNCTION("""COMPUTED_VALUE"""),45690.9986111111)</f>
        <v/>
      </c>
      <c r="AL2596" s="6">
        <f>IFERROR(__xludf.DUMMYFUNCTION("""COMPUTED_VALUE"""),99655.54)</f>
        <v/>
      </c>
      <c r="AP2596" s="6">
        <f>AQ2596&amp;AR2596</f>
        <v/>
      </c>
      <c r="AQ2596" s="6">
        <f>YEAR(AS2596)</f>
        <v/>
      </c>
      <c r="AR2596" s="6">
        <f>MONTH(AS2596)</f>
        <v/>
      </c>
    </row>
    <row r="2597">
      <c r="B2597" s="6">
        <f>C2597&amp;D2597</f>
        <v/>
      </c>
      <c r="C2597" s="6">
        <f>YEAR(E2597)</f>
        <v/>
      </c>
      <c r="D2597" s="6">
        <f>MONTH(E2597)</f>
        <v/>
      </c>
      <c r="J2597" s="6">
        <f>K2597&amp;L2597</f>
        <v/>
      </c>
      <c r="K2597" s="6">
        <f>YEAR(M2597)</f>
        <v/>
      </c>
      <c r="L2597" s="6">
        <f>MONTH(M2597)</f>
        <v/>
      </c>
      <c r="R2597" s="6">
        <f>S2597&amp;T2597</f>
        <v/>
      </c>
      <c r="S2597" s="6">
        <f>YEAR(U2597)</f>
        <v/>
      </c>
      <c r="T2597" s="6">
        <f>MONTH(U2597)</f>
        <v/>
      </c>
      <c r="Z2597" s="6">
        <f>AA2597&amp;AB2597</f>
        <v/>
      </c>
      <c r="AA2597" s="6">
        <f>YEAR(AC2597)</f>
        <v/>
      </c>
      <c r="AB2597" s="6">
        <f>MONTH(AC2597)</f>
        <v/>
      </c>
      <c r="AC2597" s="267">
        <f>IFERROR(__xludf.DUMMYFUNCTION("""COMPUTED_VALUE"""),45750.9986111111)</f>
        <v/>
      </c>
      <c r="AD2597" s="6">
        <f>IFERROR(__xludf.DUMMYFUNCTION("""COMPUTED_VALUE"""),1450.68)</f>
        <v/>
      </c>
      <c r="AH2597" s="6">
        <f>AI2597&amp;AJ2597</f>
        <v/>
      </c>
      <c r="AI2597" s="6">
        <f>YEAR(AK2597)</f>
        <v/>
      </c>
      <c r="AJ2597" s="6">
        <f>MONTH(AK2597)</f>
        <v/>
      </c>
      <c r="AK2597" s="267">
        <f>IFERROR(__xludf.DUMMYFUNCTION("""COMPUTED_VALUE"""),45691.9986111111)</f>
        <v/>
      </c>
      <c r="AL2597" s="6">
        <f>IFERROR(__xludf.DUMMYFUNCTION("""COMPUTED_VALUE"""),92883.21)</f>
        <v/>
      </c>
      <c r="AP2597" s="6">
        <f>AQ2597&amp;AR2597</f>
        <v/>
      </c>
      <c r="AQ2597" s="6">
        <f>YEAR(AS2597)</f>
        <v/>
      </c>
      <c r="AR2597" s="6">
        <f>MONTH(AS2597)</f>
        <v/>
      </c>
    </row>
    <row r="2598">
      <c r="B2598" s="6">
        <f>C2598&amp;D2598</f>
        <v/>
      </c>
      <c r="C2598" s="6">
        <f>YEAR(E2598)</f>
        <v/>
      </c>
      <c r="D2598" s="6">
        <f>MONTH(E2598)</f>
        <v/>
      </c>
      <c r="J2598" s="6">
        <f>K2598&amp;L2598</f>
        <v/>
      </c>
      <c r="K2598" s="6">
        <f>YEAR(M2598)</f>
        <v/>
      </c>
      <c r="L2598" s="6">
        <f>MONTH(M2598)</f>
        <v/>
      </c>
      <c r="R2598" s="6">
        <f>S2598&amp;T2598</f>
        <v/>
      </c>
      <c r="S2598" s="6">
        <f>YEAR(U2598)</f>
        <v/>
      </c>
      <c r="T2598" s="6">
        <f>MONTH(U2598)</f>
        <v/>
      </c>
      <c r="Z2598" s="6">
        <f>AA2598&amp;AB2598</f>
        <v/>
      </c>
      <c r="AA2598" s="6">
        <f>YEAR(AC2598)</f>
        <v/>
      </c>
      <c r="AB2598" s="6">
        <f>MONTH(AC2598)</f>
        <v/>
      </c>
      <c r="AC2598" s="267">
        <f>IFERROR(__xludf.DUMMYFUNCTION("""COMPUTED_VALUE"""),45751.9986111111)</f>
        <v/>
      </c>
      <c r="AD2598" s="6">
        <f>IFERROR(__xludf.DUMMYFUNCTION("""COMPUTED_VALUE"""),1458.51)</f>
        <v/>
      </c>
      <c r="AH2598" s="6">
        <f>AI2598&amp;AJ2598</f>
        <v/>
      </c>
      <c r="AI2598" s="6">
        <f>YEAR(AK2598)</f>
        <v/>
      </c>
      <c r="AJ2598" s="6">
        <f>MONTH(AK2598)</f>
        <v/>
      </c>
      <c r="AK2598" s="267">
        <f>IFERROR(__xludf.DUMMYFUNCTION("""COMPUTED_VALUE"""),45692.9986111111)</f>
        <v/>
      </c>
      <c r="AL2598" s="6">
        <f>IFERROR(__xludf.DUMMYFUNCTION("""COMPUTED_VALUE"""),100156.4)</f>
        <v/>
      </c>
      <c r="AP2598" s="6">
        <f>AQ2598&amp;AR2598</f>
        <v/>
      </c>
      <c r="AQ2598" s="6">
        <f>YEAR(AS2598)</f>
        <v/>
      </c>
      <c r="AR2598" s="6">
        <f>MONTH(AS2598)</f>
        <v/>
      </c>
    </row>
    <row r="2599">
      <c r="B2599" s="6">
        <f>C2599&amp;D2599</f>
        <v/>
      </c>
      <c r="C2599" s="6">
        <f>YEAR(E2599)</f>
        <v/>
      </c>
      <c r="D2599" s="6">
        <f>MONTH(E2599)</f>
        <v/>
      </c>
      <c r="J2599" s="6">
        <f>K2599&amp;L2599</f>
        <v/>
      </c>
      <c r="K2599" s="6">
        <f>YEAR(M2599)</f>
        <v/>
      </c>
      <c r="L2599" s="6">
        <f>MONTH(M2599)</f>
        <v/>
      </c>
      <c r="R2599" s="6">
        <f>S2599&amp;T2599</f>
        <v/>
      </c>
      <c r="S2599" s="6">
        <f>YEAR(U2599)</f>
        <v/>
      </c>
      <c r="T2599" s="6">
        <f>MONTH(U2599)</f>
        <v/>
      </c>
      <c r="Z2599" s="6">
        <f>AA2599&amp;AB2599</f>
        <v/>
      </c>
      <c r="AA2599" s="6">
        <f>YEAR(AC2599)</f>
        <v/>
      </c>
      <c r="AB2599" s="6">
        <f>MONTH(AC2599)</f>
        <v/>
      </c>
      <c r="AC2599" s="267">
        <f>IFERROR(__xludf.DUMMYFUNCTION("""COMPUTED_VALUE"""),45752.9986111111)</f>
        <v/>
      </c>
      <c r="AD2599" s="6">
        <f>IFERROR(__xludf.DUMMYFUNCTION("""COMPUTED_VALUE"""),1458.41)</f>
        <v/>
      </c>
      <c r="AH2599" s="6">
        <f>AI2599&amp;AJ2599</f>
        <v/>
      </c>
      <c r="AI2599" s="6">
        <f>YEAR(AK2599)</f>
        <v/>
      </c>
      <c r="AJ2599" s="6">
        <f>MONTH(AK2599)</f>
        <v/>
      </c>
      <c r="AK2599" s="267">
        <f>IFERROR(__xludf.DUMMYFUNCTION("""COMPUTED_VALUE"""),45693.9986111111)</f>
        <v/>
      </c>
      <c r="AL2599" s="6">
        <f>IFERROR(__xludf.DUMMYFUNCTION("""COMPUTED_VALUE"""),98136.17)</f>
        <v/>
      </c>
      <c r="AP2599" s="6">
        <f>AQ2599&amp;AR2599</f>
        <v/>
      </c>
      <c r="AQ2599" s="6">
        <f>YEAR(AS2599)</f>
        <v/>
      </c>
      <c r="AR2599" s="6">
        <f>MONTH(AS2599)</f>
        <v/>
      </c>
    </row>
    <row r="2600">
      <c r="B2600" s="6">
        <f>C2600&amp;D2600</f>
        <v/>
      </c>
      <c r="C2600" s="6">
        <f>YEAR(E2600)</f>
        <v/>
      </c>
      <c r="D2600" s="6">
        <f>MONTH(E2600)</f>
        <v/>
      </c>
      <c r="J2600" s="6">
        <f>K2600&amp;L2600</f>
        <v/>
      </c>
      <c r="K2600" s="6">
        <f>YEAR(M2600)</f>
        <v/>
      </c>
      <c r="L2600" s="6">
        <f>MONTH(M2600)</f>
        <v/>
      </c>
      <c r="R2600" s="6">
        <f>S2600&amp;T2600</f>
        <v/>
      </c>
      <c r="S2600" s="6">
        <f>YEAR(U2600)</f>
        <v/>
      </c>
      <c r="T2600" s="6">
        <f>MONTH(U2600)</f>
        <v/>
      </c>
      <c r="Z2600" s="6">
        <f>AA2600&amp;AB2600</f>
        <v/>
      </c>
      <c r="AA2600" s="6">
        <f>YEAR(AC2600)</f>
        <v/>
      </c>
      <c r="AB2600" s="6">
        <f>MONTH(AC2600)</f>
        <v/>
      </c>
      <c r="AC2600" s="267">
        <f>IFERROR(__xludf.DUMMYFUNCTION("""COMPUTED_VALUE"""),45753.9986111111)</f>
        <v/>
      </c>
      <c r="AD2600" s="6">
        <f>IFERROR(__xludf.DUMMYFUNCTION("""COMPUTED_VALUE"""),1458.52)</f>
        <v/>
      </c>
      <c r="AH2600" s="6">
        <f>AI2600&amp;AJ2600</f>
        <v/>
      </c>
      <c r="AI2600" s="6">
        <f>YEAR(AK2600)</f>
        <v/>
      </c>
      <c r="AJ2600" s="6">
        <f>MONTH(AK2600)</f>
        <v/>
      </c>
      <c r="AK2600" s="267">
        <f>IFERROR(__xludf.DUMMYFUNCTION("""COMPUTED_VALUE"""),45694.9986111111)</f>
        <v/>
      </c>
      <c r="AL2600" s="6">
        <f>IFERROR(__xludf.DUMMYFUNCTION("""COMPUTED_VALUE"""),97649.43)</f>
        <v/>
      </c>
      <c r="AP2600" s="6">
        <f>AQ2600&amp;AR2600</f>
        <v/>
      </c>
      <c r="AQ2600" s="6">
        <f>YEAR(AS2600)</f>
        <v/>
      </c>
      <c r="AR2600" s="6">
        <f>MONTH(AS2600)</f>
        <v/>
      </c>
    </row>
    <row r="2601">
      <c r="B2601" s="6">
        <f>C2601&amp;D2601</f>
        <v/>
      </c>
      <c r="C2601" s="6">
        <f>YEAR(E2601)</f>
        <v/>
      </c>
      <c r="D2601" s="6">
        <f>MONTH(E2601)</f>
        <v/>
      </c>
      <c r="J2601" s="6">
        <f>K2601&amp;L2601</f>
        <v/>
      </c>
      <c r="K2601" s="6">
        <f>YEAR(M2601)</f>
        <v/>
      </c>
      <c r="L2601" s="6">
        <f>MONTH(M2601)</f>
        <v/>
      </c>
      <c r="R2601" s="6">
        <f>S2601&amp;T2601</f>
        <v/>
      </c>
      <c r="S2601" s="6">
        <f>YEAR(U2601)</f>
        <v/>
      </c>
      <c r="T2601" s="6">
        <f>MONTH(U2601)</f>
        <v/>
      </c>
      <c r="Z2601" s="6">
        <f>AA2601&amp;AB2601</f>
        <v/>
      </c>
      <c r="AA2601" s="6">
        <f>YEAR(AC2601)</f>
        <v/>
      </c>
      <c r="AB2601" s="6">
        <f>MONTH(AC2601)</f>
        <v/>
      </c>
      <c r="AC2601" s="267">
        <f>IFERROR(__xludf.DUMMYFUNCTION("""COMPUTED_VALUE"""),45754.9986111111)</f>
        <v/>
      </c>
      <c r="AD2601" s="6">
        <f>IFERROR(__xludf.DUMMYFUNCTION("""COMPUTED_VALUE"""),1469.95)</f>
        <v/>
      </c>
      <c r="AH2601" s="6">
        <f>AI2601&amp;AJ2601</f>
        <v/>
      </c>
      <c r="AI2601" s="6">
        <f>YEAR(AK2601)</f>
        <v/>
      </c>
      <c r="AJ2601" s="6">
        <f>MONTH(AK2601)</f>
        <v/>
      </c>
      <c r="AK2601" s="267">
        <f>IFERROR(__xludf.DUMMYFUNCTION("""COMPUTED_VALUE"""),45695.9986111111)</f>
        <v/>
      </c>
      <c r="AL2601" s="6">
        <f>IFERROR(__xludf.DUMMYFUNCTION("""COMPUTED_VALUE"""),97519.86)</f>
        <v/>
      </c>
      <c r="AP2601" s="6">
        <f>AQ2601&amp;AR2601</f>
        <v/>
      </c>
      <c r="AQ2601" s="6">
        <f>YEAR(AS2601)</f>
        <v/>
      </c>
      <c r="AR2601" s="6">
        <f>MONTH(AS2601)</f>
        <v/>
      </c>
    </row>
    <row r="2602">
      <c r="B2602" s="6">
        <f>C2602&amp;D2602</f>
        <v/>
      </c>
      <c r="C2602" s="6">
        <f>YEAR(E2602)</f>
        <v/>
      </c>
      <c r="D2602" s="6">
        <f>MONTH(E2602)</f>
        <v/>
      </c>
      <c r="J2602" s="6">
        <f>K2602&amp;L2602</f>
        <v/>
      </c>
      <c r="K2602" s="6">
        <f>YEAR(M2602)</f>
        <v/>
      </c>
      <c r="L2602" s="6">
        <f>MONTH(M2602)</f>
        <v/>
      </c>
      <c r="R2602" s="6">
        <f>S2602&amp;T2602</f>
        <v/>
      </c>
      <c r="S2602" s="6">
        <f>YEAR(U2602)</f>
        <v/>
      </c>
      <c r="T2602" s="6">
        <f>MONTH(U2602)</f>
        <v/>
      </c>
      <c r="Z2602" s="6">
        <f>AA2602&amp;AB2602</f>
        <v/>
      </c>
      <c r="AA2602" s="6">
        <f>YEAR(AC2602)</f>
        <v/>
      </c>
      <c r="AB2602" s="6">
        <f>MONTH(AC2602)</f>
        <v/>
      </c>
      <c r="AC2602" s="267">
        <f>IFERROR(__xludf.DUMMYFUNCTION("""COMPUTED_VALUE"""),45755.9986111111)</f>
        <v/>
      </c>
      <c r="AD2602" s="6">
        <f>IFERROR(__xludf.DUMMYFUNCTION("""COMPUTED_VALUE"""),1486.13)</f>
        <v/>
      </c>
      <c r="AH2602" s="6">
        <f>AI2602&amp;AJ2602</f>
        <v/>
      </c>
      <c r="AI2602" s="6">
        <f>YEAR(AK2602)</f>
        <v/>
      </c>
      <c r="AJ2602" s="6">
        <f>MONTH(AK2602)</f>
        <v/>
      </c>
      <c r="AK2602" s="267">
        <f>IFERROR(__xludf.DUMMYFUNCTION("""COMPUTED_VALUE"""),45696.9986111111)</f>
        <v/>
      </c>
      <c r="AL2602" s="6">
        <f>IFERROR(__xludf.DUMMYFUNCTION("""COMPUTED_VALUE"""),96362.31)</f>
        <v/>
      </c>
      <c r="AP2602" s="6">
        <f>AQ2602&amp;AR2602</f>
        <v/>
      </c>
      <c r="AQ2602" s="6">
        <f>YEAR(AS2602)</f>
        <v/>
      </c>
      <c r="AR2602" s="6">
        <f>MONTH(AS2602)</f>
        <v/>
      </c>
    </row>
    <row r="2603">
      <c r="B2603" s="6">
        <f>C2603&amp;D2603</f>
        <v/>
      </c>
      <c r="C2603" s="6">
        <f>YEAR(E2603)</f>
        <v/>
      </c>
      <c r="D2603" s="6">
        <f>MONTH(E2603)</f>
        <v/>
      </c>
      <c r="J2603" s="6">
        <f>K2603&amp;L2603</f>
        <v/>
      </c>
      <c r="K2603" s="6">
        <f>YEAR(M2603)</f>
        <v/>
      </c>
      <c r="L2603" s="6">
        <f>MONTH(M2603)</f>
        <v/>
      </c>
      <c r="R2603" s="6">
        <f>S2603&amp;T2603</f>
        <v/>
      </c>
      <c r="S2603" s="6">
        <f>YEAR(U2603)</f>
        <v/>
      </c>
      <c r="T2603" s="6">
        <f>MONTH(U2603)</f>
        <v/>
      </c>
      <c r="Z2603" s="6">
        <f>AA2603&amp;AB2603</f>
        <v/>
      </c>
      <c r="AA2603" s="6">
        <f>YEAR(AC2603)</f>
        <v/>
      </c>
      <c r="AB2603" s="6">
        <f>MONTH(AC2603)</f>
        <v/>
      </c>
      <c r="AC2603" s="267">
        <f>IFERROR(__xludf.DUMMYFUNCTION("""COMPUTED_VALUE"""),45756.9986111111)</f>
        <v/>
      </c>
      <c r="AD2603" s="6">
        <f>IFERROR(__xludf.DUMMYFUNCTION("""COMPUTED_VALUE"""),1443.95)</f>
        <v/>
      </c>
      <c r="AH2603" s="6">
        <f>AI2603&amp;AJ2603</f>
        <v/>
      </c>
      <c r="AI2603" s="6">
        <f>YEAR(AK2603)</f>
        <v/>
      </c>
      <c r="AJ2603" s="6">
        <f>MONTH(AK2603)</f>
        <v/>
      </c>
      <c r="AK2603" s="267">
        <f>IFERROR(__xludf.DUMMYFUNCTION("""COMPUTED_VALUE"""),45697.9986111111)</f>
        <v/>
      </c>
      <c r="AL2603" s="6">
        <f>IFERROR(__xludf.DUMMYFUNCTION("""COMPUTED_VALUE"""),97281.8)</f>
        <v/>
      </c>
      <c r="AP2603" s="6">
        <f>AQ2603&amp;AR2603</f>
        <v/>
      </c>
      <c r="AQ2603" s="6">
        <f>YEAR(AS2603)</f>
        <v/>
      </c>
      <c r="AR2603" s="6">
        <f>MONTH(AS2603)</f>
        <v/>
      </c>
    </row>
    <row r="2604">
      <c r="B2604" s="6">
        <f>C2604&amp;D2604</f>
        <v/>
      </c>
      <c r="C2604" s="6">
        <f>YEAR(E2604)</f>
        <v/>
      </c>
      <c r="D2604" s="6">
        <f>MONTH(E2604)</f>
        <v/>
      </c>
      <c r="J2604" s="6">
        <f>K2604&amp;L2604</f>
        <v/>
      </c>
      <c r="K2604" s="6">
        <f>YEAR(M2604)</f>
        <v/>
      </c>
      <c r="L2604" s="6">
        <f>MONTH(M2604)</f>
        <v/>
      </c>
      <c r="R2604" s="6">
        <f>S2604&amp;T2604</f>
        <v/>
      </c>
      <c r="S2604" s="6">
        <f>YEAR(U2604)</f>
        <v/>
      </c>
      <c r="T2604" s="6">
        <f>MONTH(U2604)</f>
        <v/>
      </c>
      <c r="Z2604" s="6">
        <f>AA2604&amp;AB2604</f>
        <v/>
      </c>
      <c r="AA2604" s="6">
        <f>YEAR(AC2604)</f>
        <v/>
      </c>
      <c r="AB2604" s="6">
        <f>MONTH(AC2604)</f>
        <v/>
      </c>
      <c r="AC2604" s="267">
        <f>IFERROR(__xludf.DUMMYFUNCTION("""COMPUTED_VALUE"""),45757.9986111111)</f>
        <v/>
      </c>
      <c r="AD2604" s="6">
        <f>IFERROR(__xludf.DUMMYFUNCTION("""COMPUTED_VALUE"""),1452.04)</f>
        <v/>
      </c>
      <c r="AH2604" s="6">
        <f>AI2604&amp;AJ2604</f>
        <v/>
      </c>
      <c r="AI2604" s="6">
        <f>YEAR(AK2604)</f>
        <v/>
      </c>
      <c r="AJ2604" s="6">
        <f>MONTH(AK2604)</f>
        <v/>
      </c>
      <c r="AK2604" s="267">
        <f>IFERROR(__xludf.DUMMYFUNCTION("""COMPUTED_VALUE"""),45698.9986111111)</f>
        <v/>
      </c>
      <c r="AL2604" s="6">
        <f>IFERROR(__xludf.DUMMYFUNCTION("""COMPUTED_VALUE"""),96932.82)</f>
        <v/>
      </c>
      <c r="AP2604" s="6">
        <f>AQ2604&amp;AR2604</f>
        <v/>
      </c>
      <c r="AQ2604" s="6">
        <f>YEAR(AS2604)</f>
        <v/>
      </c>
      <c r="AR2604" s="6">
        <f>MONTH(AS2604)</f>
        <v/>
      </c>
    </row>
    <row r="2605">
      <c r="B2605" s="6">
        <f>C2605&amp;D2605</f>
        <v/>
      </c>
      <c r="C2605" s="6">
        <f>YEAR(E2605)</f>
        <v/>
      </c>
      <c r="D2605" s="6">
        <f>MONTH(E2605)</f>
        <v/>
      </c>
      <c r="J2605" s="6">
        <f>K2605&amp;L2605</f>
        <v/>
      </c>
      <c r="K2605" s="6">
        <f>YEAR(M2605)</f>
        <v/>
      </c>
      <c r="L2605" s="6">
        <f>MONTH(M2605)</f>
        <v/>
      </c>
      <c r="R2605" s="6">
        <f>S2605&amp;T2605</f>
        <v/>
      </c>
      <c r="S2605" s="6">
        <f>YEAR(U2605)</f>
        <v/>
      </c>
      <c r="T2605" s="6">
        <f>MONTH(U2605)</f>
        <v/>
      </c>
      <c r="Z2605" s="6">
        <f>AA2605&amp;AB2605</f>
        <v/>
      </c>
      <c r="AA2605" s="6">
        <f>YEAR(AC2605)</f>
        <v/>
      </c>
      <c r="AB2605" s="6">
        <f>MONTH(AC2605)</f>
        <v/>
      </c>
      <c r="AC2605" s="267">
        <f>IFERROR(__xludf.DUMMYFUNCTION("""COMPUTED_VALUE"""),45758.9986111111)</f>
        <v/>
      </c>
      <c r="AD2605" s="6">
        <f>IFERROR(__xludf.DUMMYFUNCTION("""COMPUTED_VALUE"""),1420.22)</f>
        <v/>
      </c>
      <c r="AH2605" s="6">
        <f>AI2605&amp;AJ2605</f>
        <v/>
      </c>
      <c r="AI2605" s="6">
        <f>YEAR(AK2605)</f>
        <v/>
      </c>
      <c r="AJ2605" s="6">
        <f>MONTH(AK2605)</f>
        <v/>
      </c>
      <c r="AK2605" s="267">
        <f>IFERROR(__xludf.DUMMYFUNCTION("""COMPUTED_VALUE"""),45699.9986111111)</f>
        <v/>
      </c>
      <c r="AL2605" s="6">
        <f>IFERROR(__xludf.DUMMYFUNCTION("""COMPUTED_VALUE"""),98077.13)</f>
        <v/>
      </c>
      <c r="AP2605" s="6">
        <f>AQ2605&amp;AR2605</f>
        <v/>
      </c>
      <c r="AQ2605" s="6">
        <f>YEAR(AS2605)</f>
        <v/>
      </c>
      <c r="AR2605" s="6">
        <f>MONTH(AS2605)</f>
        <v/>
      </c>
    </row>
    <row r="2606">
      <c r="B2606" s="6">
        <f>C2606&amp;D2606</f>
        <v/>
      </c>
      <c r="C2606" s="6">
        <f>YEAR(E2606)</f>
        <v/>
      </c>
      <c r="D2606" s="6">
        <f>MONTH(E2606)</f>
        <v/>
      </c>
      <c r="J2606" s="6">
        <f>K2606&amp;L2606</f>
        <v/>
      </c>
      <c r="K2606" s="6">
        <f>YEAR(M2606)</f>
        <v/>
      </c>
      <c r="L2606" s="6">
        <f>MONTH(M2606)</f>
        <v/>
      </c>
      <c r="R2606" s="6">
        <f>S2606&amp;T2606</f>
        <v/>
      </c>
      <c r="S2606" s="6">
        <f>YEAR(U2606)</f>
        <v/>
      </c>
      <c r="T2606" s="6">
        <f>MONTH(U2606)</f>
        <v/>
      </c>
      <c r="Z2606" s="6">
        <f>AA2606&amp;AB2606</f>
        <v/>
      </c>
      <c r="AA2606" s="6">
        <f>YEAR(AC2606)</f>
        <v/>
      </c>
      <c r="AB2606" s="6">
        <f>MONTH(AC2606)</f>
        <v/>
      </c>
      <c r="AC2606" s="267">
        <f>IFERROR(__xludf.DUMMYFUNCTION("""COMPUTED_VALUE"""),45759.9986111111)</f>
        <v/>
      </c>
      <c r="AD2606" s="6">
        <f>IFERROR(__xludf.DUMMYFUNCTION("""COMPUTED_VALUE"""),1420.12)</f>
        <v/>
      </c>
      <c r="AH2606" s="6">
        <f>AI2606&amp;AJ2606</f>
        <v/>
      </c>
      <c r="AI2606" s="6">
        <f>YEAR(AK2606)</f>
        <v/>
      </c>
      <c r="AJ2606" s="6">
        <f>MONTH(AK2606)</f>
        <v/>
      </c>
      <c r="AK2606" s="267">
        <f>IFERROR(__xludf.DUMMYFUNCTION("""COMPUTED_VALUE"""),45700.9986111111)</f>
        <v/>
      </c>
      <c r="AL2606" s="6">
        <f>IFERROR(__xludf.DUMMYFUNCTION("""COMPUTED_VALUE"""),95573.3)</f>
        <v/>
      </c>
      <c r="AP2606" s="6">
        <f>AQ2606&amp;AR2606</f>
        <v/>
      </c>
      <c r="AQ2606" s="6">
        <f>YEAR(AS2606)</f>
        <v/>
      </c>
      <c r="AR2606" s="6">
        <f>MONTH(AS2606)</f>
        <v/>
      </c>
    </row>
    <row r="2607">
      <c r="B2607" s="6">
        <f>C2607&amp;D2607</f>
        <v/>
      </c>
      <c r="C2607" s="6">
        <f>YEAR(E2607)</f>
        <v/>
      </c>
      <c r="D2607" s="6">
        <f>MONTH(E2607)</f>
        <v/>
      </c>
      <c r="J2607" s="6">
        <f>K2607&amp;L2607</f>
        <v/>
      </c>
      <c r="K2607" s="6">
        <f>YEAR(M2607)</f>
        <v/>
      </c>
      <c r="L2607" s="6">
        <f>MONTH(M2607)</f>
        <v/>
      </c>
      <c r="R2607" s="6">
        <f>S2607&amp;T2607</f>
        <v/>
      </c>
      <c r="S2607" s="6">
        <f>YEAR(U2607)</f>
        <v/>
      </c>
      <c r="T2607" s="6">
        <f>MONTH(U2607)</f>
        <v/>
      </c>
      <c r="Z2607" s="6">
        <f>AA2607&amp;AB2607</f>
        <v/>
      </c>
      <c r="AA2607" s="6">
        <f>YEAR(AC2607)</f>
        <v/>
      </c>
      <c r="AB2607" s="6">
        <f>MONTH(AC2607)</f>
        <v/>
      </c>
      <c r="AC2607" s="267">
        <f>IFERROR(__xludf.DUMMYFUNCTION("""COMPUTED_VALUE"""),45760.9986111111)</f>
        <v/>
      </c>
      <c r="AD2607" s="6">
        <f>IFERROR(__xludf.DUMMYFUNCTION("""COMPUTED_VALUE"""),1419.05)</f>
        <v/>
      </c>
      <c r="AH2607" s="6">
        <f>AI2607&amp;AJ2607</f>
        <v/>
      </c>
      <c r="AI2607" s="6">
        <f>YEAR(AK2607)</f>
        <v/>
      </c>
      <c r="AJ2607" s="6">
        <f>MONTH(AK2607)</f>
        <v/>
      </c>
      <c r="AK2607" s="267">
        <f>IFERROR(__xludf.DUMMYFUNCTION("""COMPUTED_VALUE"""),45701.9986111111)</f>
        <v/>
      </c>
      <c r="AL2607" s="6">
        <f>IFERROR(__xludf.DUMMYFUNCTION("""COMPUTED_VALUE"""),96900.99)</f>
        <v/>
      </c>
      <c r="AP2607" s="6">
        <f>AQ2607&amp;AR2607</f>
        <v/>
      </c>
      <c r="AQ2607" s="6">
        <f>YEAR(AS2607)</f>
        <v/>
      </c>
      <c r="AR2607" s="6">
        <f>MONTH(AS2607)</f>
        <v/>
      </c>
    </row>
    <row r="2608">
      <c r="B2608" s="6">
        <f>C2608&amp;D2608</f>
        <v/>
      </c>
      <c r="C2608" s="6">
        <f>YEAR(E2608)</f>
        <v/>
      </c>
      <c r="D2608" s="6">
        <f>MONTH(E2608)</f>
        <v/>
      </c>
      <c r="J2608" s="6">
        <f>K2608&amp;L2608</f>
        <v/>
      </c>
      <c r="K2608" s="6">
        <f>YEAR(M2608)</f>
        <v/>
      </c>
      <c r="L2608" s="6">
        <f>MONTH(M2608)</f>
        <v/>
      </c>
      <c r="R2608" s="6">
        <f>S2608&amp;T2608</f>
        <v/>
      </c>
      <c r="S2608" s="6">
        <f>YEAR(U2608)</f>
        <v/>
      </c>
      <c r="T2608" s="6">
        <f>MONTH(U2608)</f>
        <v/>
      </c>
      <c r="Z2608" s="6">
        <f>AA2608&amp;AB2608</f>
        <v/>
      </c>
      <c r="AA2608" s="6">
        <f>YEAR(AC2608)</f>
        <v/>
      </c>
      <c r="AB2608" s="6">
        <f>MONTH(AC2608)</f>
        <v/>
      </c>
      <c r="AC2608" s="267">
        <f>IFERROR(__xludf.DUMMYFUNCTION("""COMPUTED_VALUE"""),45761.9986111111)</f>
        <v/>
      </c>
      <c r="AD2608" s="6">
        <f>IFERROR(__xludf.DUMMYFUNCTION("""COMPUTED_VALUE"""),1419.42)</f>
        <v/>
      </c>
      <c r="AH2608" s="6">
        <f>AI2608&amp;AJ2608</f>
        <v/>
      </c>
      <c r="AI2608" s="6">
        <f>YEAR(AK2608)</f>
        <v/>
      </c>
      <c r="AJ2608" s="6">
        <f>MONTH(AK2608)</f>
        <v/>
      </c>
      <c r="AK2608" s="267">
        <f>IFERROR(__xludf.DUMMYFUNCTION("""COMPUTED_VALUE"""),45702.9986111111)</f>
        <v/>
      </c>
      <c r="AL2608" s="6">
        <f>IFERROR(__xludf.DUMMYFUNCTION("""COMPUTED_VALUE"""),96796.01)</f>
        <v/>
      </c>
      <c r="AP2608" s="6">
        <f>AQ2608&amp;AR2608</f>
        <v/>
      </c>
      <c r="AQ2608" s="6">
        <f>YEAR(AS2608)</f>
        <v/>
      </c>
      <c r="AR2608" s="6">
        <f>MONTH(AS2608)</f>
        <v/>
      </c>
    </row>
    <row r="2609">
      <c r="B2609" s="6">
        <f>C2609&amp;D2609</f>
        <v/>
      </c>
      <c r="C2609" s="6">
        <f>YEAR(E2609)</f>
        <v/>
      </c>
      <c r="D2609" s="6">
        <f>MONTH(E2609)</f>
        <v/>
      </c>
      <c r="J2609" s="6">
        <f>K2609&amp;L2609</f>
        <v/>
      </c>
      <c r="K2609" s="6">
        <f>YEAR(M2609)</f>
        <v/>
      </c>
      <c r="L2609" s="6">
        <f>MONTH(M2609)</f>
        <v/>
      </c>
      <c r="R2609" s="6">
        <f>S2609&amp;T2609</f>
        <v/>
      </c>
      <c r="S2609" s="6">
        <f>YEAR(U2609)</f>
        <v/>
      </c>
      <c r="T2609" s="6">
        <f>MONTH(U2609)</f>
        <v/>
      </c>
      <c r="Z2609" s="6">
        <f>AA2609&amp;AB2609</f>
        <v/>
      </c>
      <c r="AA2609" s="6">
        <f>YEAR(AC2609)</f>
        <v/>
      </c>
      <c r="AB2609" s="6">
        <f>MONTH(AC2609)</f>
        <v/>
      </c>
      <c r="AC2609" s="267">
        <f>IFERROR(__xludf.DUMMYFUNCTION("""COMPUTED_VALUE"""),45762.9986111111)</f>
        <v/>
      </c>
      <c r="AD2609" s="6">
        <f>IFERROR(__xludf.DUMMYFUNCTION("""COMPUTED_VALUE"""),1427.02)</f>
        <v/>
      </c>
      <c r="AH2609" s="6">
        <f>AI2609&amp;AJ2609</f>
        <v/>
      </c>
      <c r="AI2609" s="6">
        <f>YEAR(AK2609)</f>
        <v/>
      </c>
      <c r="AJ2609" s="6">
        <f>MONTH(AK2609)</f>
        <v/>
      </c>
      <c r="AK2609" s="267">
        <f>IFERROR(__xludf.DUMMYFUNCTION("""COMPUTED_VALUE"""),45703.9986111111)</f>
        <v/>
      </c>
      <c r="AL2609" s="6">
        <f>IFERROR(__xludf.DUMMYFUNCTION("""COMPUTED_VALUE"""),97544.53)</f>
        <v/>
      </c>
      <c r="AP2609" s="6">
        <f>AQ2609&amp;AR2609</f>
        <v/>
      </c>
      <c r="AQ2609" s="6">
        <f>YEAR(AS2609)</f>
        <v/>
      </c>
      <c r="AR2609" s="6">
        <f>MONTH(AS2609)</f>
        <v/>
      </c>
    </row>
    <row r="2610">
      <c r="B2610" s="6">
        <f>C2610&amp;D2610</f>
        <v/>
      </c>
      <c r="C2610" s="6">
        <f>YEAR(E2610)</f>
        <v/>
      </c>
      <c r="D2610" s="6">
        <f>MONTH(E2610)</f>
        <v/>
      </c>
      <c r="J2610" s="6">
        <f>K2610&amp;L2610</f>
        <v/>
      </c>
      <c r="K2610" s="6">
        <f>YEAR(M2610)</f>
        <v/>
      </c>
      <c r="L2610" s="6">
        <f>MONTH(M2610)</f>
        <v/>
      </c>
      <c r="R2610" s="6">
        <f>S2610&amp;T2610</f>
        <v/>
      </c>
      <c r="S2610" s="6">
        <f>YEAR(U2610)</f>
        <v/>
      </c>
      <c r="T2610" s="6">
        <f>MONTH(U2610)</f>
        <v/>
      </c>
      <c r="Z2610" s="6">
        <f>AA2610&amp;AB2610</f>
        <v/>
      </c>
      <c r="AA2610" s="6">
        <f>YEAR(AC2610)</f>
        <v/>
      </c>
      <c r="AB2610" s="6">
        <f>MONTH(AC2610)</f>
        <v/>
      </c>
      <c r="AC2610" s="267">
        <f>IFERROR(__xludf.DUMMYFUNCTION("""COMPUTED_VALUE"""),45763.9986111111)</f>
        <v/>
      </c>
      <c r="AD2610" s="6">
        <f>IFERROR(__xludf.DUMMYFUNCTION("""COMPUTED_VALUE"""),1414.23)</f>
        <v/>
      </c>
      <c r="AH2610" s="6">
        <f>AI2610&amp;AJ2610</f>
        <v/>
      </c>
      <c r="AI2610" s="6">
        <f>YEAR(AK2610)</f>
        <v/>
      </c>
      <c r="AJ2610" s="6">
        <f>MONTH(AK2610)</f>
        <v/>
      </c>
      <c r="AK2610" s="267">
        <f>IFERROR(__xludf.DUMMYFUNCTION("""COMPUTED_VALUE"""),45704.9986111111)</f>
        <v/>
      </c>
      <c r="AL2610" s="6">
        <f>IFERROR(__xludf.DUMMYFUNCTION("""COMPUTED_VALUE"""),97580.92)</f>
        <v/>
      </c>
      <c r="AP2610" s="6">
        <f>AQ2610&amp;AR2610</f>
        <v/>
      </c>
      <c r="AQ2610" s="6">
        <f>YEAR(AS2610)</f>
        <v/>
      </c>
      <c r="AR2610" s="6">
        <f>MONTH(AS2610)</f>
        <v/>
      </c>
    </row>
    <row r="2611">
      <c r="B2611" s="6">
        <f>C2611&amp;D2611</f>
        <v/>
      </c>
      <c r="C2611" s="6">
        <f>YEAR(E2611)</f>
        <v/>
      </c>
      <c r="D2611" s="6">
        <f>MONTH(E2611)</f>
        <v/>
      </c>
      <c r="J2611" s="6">
        <f>K2611&amp;L2611</f>
        <v/>
      </c>
      <c r="K2611" s="6">
        <f>YEAR(M2611)</f>
        <v/>
      </c>
      <c r="L2611" s="6">
        <f>MONTH(M2611)</f>
        <v/>
      </c>
      <c r="R2611" s="6">
        <f>S2611&amp;T2611</f>
        <v/>
      </c>
      <c r="S2611" s="6">
        <f>YEAR(U2611)</f>
        <v/>
      </c>
      <c r="T2611" s="6">
        <f>MONTH(U2611)</f>
        <v/>
      </c>
      <c r="Z2611" s="6">
        <f>AA2611&amp;AB2611</f>
        <v/>
      </c>
      <c r="AA2611" s="6">
        <f>YEAR(AC2611)</f>
        <v/>
      </c>
      <c r="AB2611" s="6">
        <f>MONTH(AC2611)</f>
        <v/>
      </c>
      <c r="AC2611" s="267">
        <f>IFERROR(__xludf.DUMMYFUNCTION("""COMPUTED_VALUE"""),45764.9986111111)</f>
        <v/>
      </c>
      <c r="AD2611" s="6">
        <f>IFERROR(__xludf.DUMMYFUNCTION("""COMPUTED_VALUE"""),1417.41)</f>
        <v/>
      </c>
      <c r="AH2611" s="6">
        <f>AI2611&amp;AJ2611</f>
        <v/>
      </c>
      <c r="AI2611" s="6">
        <f>YEAR(AK2611)</f>
        <v/>
      </c>
      <c r="AJ2611" s="6">
        <f>MONTH(AK2611)</f>
        <v/>
      </c>
      <c r="AK2611" s="267">
        <f>IFERROR(__xludf.DUMMYFUNCTION("""COMPUTED_VALUE"""),45705.9986111111)</f>
        <v/>
      </c>
      <c r="AL2611" s="6">
        <f>IFERROR(__xludf.DUMMYFUNCTION("""COMPUTED_VALUE"""),96127.14)</f>
        <v/>
      </c>
      <c r="AP2611" s="6">
        <f>AQ2611&amp;AR2611</f>
        <v/>
      </c>
      <c r="AQ2611" s="6">
        <f>YEAR(AS2611)</f>
        <v/>
      </c>
      <c r="AR2611" s="6">
        <f>MONTH(AS2611)</f>
        <v/>
      </c>
    </row>
    <row r="2612">
      <c r="B2612" s="6">
        <f>C2612&amp;D2612</f>
        <v/>
      </c>
      <c r="C2612" s="6">
        <f>YEAR(E2612)</f>
        <v/>
      </c>
      <c r="D2612" s="6">
        <f>MONTH(E2612)</f>
        <v/>
      </c>
      <c r="J2612" s="6">
        <f>K2612&amp;L2612</f>
        <v/>
      </c>
      <c r="K2612" s="6">
        <f>YEAR(M2612)</f>
        <v/>
      </c>
      <c r="L2612" s="6">
        <f>MONTH(M2612)</f>
        <v/>
      </c>
      <c r="R2612" s="6">
        <f>S2612&amp;T2612</f>
        <v/>
      </c>
      <c r="S2612" s="6">
        <f>YEAR(U2612)</f>
        <v/>
      </c>
      <c r="T2612" s="6">
        <f>MONTH(U2612)</f>
        <v/>
      </c>
      <c r="Z2612" s="6">
        <f>AA2612&amp;AB2612</f>
        <v/>
      </c>
      <c r="AA2612" s="6">
        <f>YEAR(AC2612)</f>
        <v/>
      </c>
      <c r="AB2612" s="6">
        <f>MONTH(AC2612)</f>
        <v/>
      </c>
      <c r="AC2612" s="267">
        <f>IFERROR(__xludf.DUMMYFUNCTION("""COMPUTED_VALUE"""),45768.9986111111)</f>
        <v/>
      </c>
      <c r="AD2612" s="6">
        <f>IFERROR(__xludf.DUMMYFUNCTION("""COMPUTED_VALUE"""),1421.64)</f>
        <v/>
      </c>
      <c r="AH2612" s="6">
        <f>AI2612&amp;AJ2612</f>
        <v/>
      </c>
      <c r="AI2612" s="6">
        <f>YEAR(AK2612)</f>
        <v/>
      </c>
      <c r="AJ2612" s="6">
        <f>MONTH(AK2612)</f>
        <v/>
      </c>
      <c r="AK2612" s="267">
        <f>IFERROR(__xludf.DUMMYFUNCTION("""COMPUTED_VALUE"""),45706.9986111111)</f>
        <v/>
      </c>
      <c r="AL2612" s="6">
        <f>IFERROR(__xludf.DUMMYFUNCTION("""COMPUTED_VALUE"""),96096.47)</f>
        <v/>
      </c>
      <c r="AP2612" s="6">
        <f>AQ2612&amp;AR2612</f>
        <v/>
      </c>
      <c r="AQ2612" s="6">
        <f>YEAR(AS2612)</f>
        <v/>
      </c>
      <c r="AR2612" s="6">
        <f>MONTH(AS2612)</f>
        <v/>
      </c>
    </row>
    <row r="2613">
      <c r="B2613" s="6">
        <f>C2613&amp;D2613</f>
        <v/>
      </c>
      <c r="C2613" s="6">
        <f>YEAR(E2613)</f>
        <v/>
      </c>
      <c r="D2613" s="6">
        <f>MONTH(E2613)</f>
        <v/>
      </c>
      <c r="J2613" s="6">
        <f>K2613&amp;L2613</f>
        <v/>
      </c>
      <c r="K2613" s="6">
        <f>YEAR(M2613)</f>
        <v/>
      </c>
      <c r="L2613" s="6">
        <f>MONTH(M2613)</f>
        <v/>
      </c>
      <c r="R2613" s="6">
        <f>S2613&amp;T2613</f>
        <v/>
      </c>
      <c r="S2613" s="6">
        <f>YEAR(U2613)</f>
        <v/>
      </c>
      <c r="T2613" s="6">
        <f>MONTH(U2613)</f>
        <v/>
      </c>
      <c r="Z2613" s="6">
        <f>AA2613&amp;AB2613</f>
        <v/>
      </c>
      <c r="AA2613" s="6">
        <f>YEAR(AC2613)</f>
        <v/>
      </c>
      <c r="AB2613" s="6">
        <f>MONTH(AC2613)</f>
        <v/>
      </c>
      <c r="AC2613" s="267">
        <f>IFERROR(__xludf.DUMMYFUNCTION("""COMPUTED_VALUE"""),45769.9986111111)</f>
        <v/>
      </c>
      <c r="AD2613" s="6">
        <f>IFERROR(__xludf.DUMMYFUNCTION("""COMPUTED_VALUE"""),1429.22)</f>
        <v/>
      </c>
      <c r="AH2613" s="6">
        <f>AI2613&amp;AJ2613</f>
        <v/>
      </c>
      <c r="AI2613" s="6">
        <f>YEAR(AK2613)</f>
        <v/>
      </c>
      <c r="AJ2613" s="6">
        <f>MONTH(AK2613)</f>
        <v/>
      </c>
      <c r="AK2613" s="267">
        <f>IFERROR(__xludf.DUMMYFUNCTION("""COMPUTED_VALUE"""),45707.9986111111)</f>
        <v/>
      </c>
      <c r="AL2613" s="6">
        <f>IFERROR(__xludf.DUMMYFUNCTION("""COMPUTED_VALUE"""),95307.54)</f>
        <v/>
      </c>
      <c r="AP2613" s="6">
        <f>AQ2613&amp;AR2613</f>
        <v/>
      </c>
      <c r="AQ2613" s="6">
        <f>YEAR(AS2613)</f>
        <v/>
      </c>
      <c r="AR2613" s="6">
        <f>MONTH(AS2613)</f>
        <v/>
      </c>
    </row>
    <row r="2614">
      <c r="B2614" s="6">
        <f>C2614&amp;D2614</f>
        <v/>
      </c>
      <c r="C2614" s="6">
        <f>YEAR(E2614)</f>
        <v/>
      </c>
      <c r="D2614" s="6">
        <f>MONTH(E2614)</f>
        <v/>
      </c>
      <c r="J2614" s="6">
        <f>K2614&amp;L2614</f>
        <v/>
      </c>
      <c r="K2614" s="6">
        <f>YEAR(M2614)</f>
        <v/>
      </c>
      <c r="L2614" s="6">
        <f>MONTH(M2614)</f>
        <v/>
      </c>
      <c r="R2614" s="6">
        <f>S2614&amp;T2614</f>
        <v/>
      </c>
      <c r="S2614" s="6">
        <f>YEAR(U2614)</f>
        <v/>
      </c>
      <c r="T2614" s="6">
        <f>MONTH(U2614)</f>
        <v/>
      </c>
      <c r="Z2614" s="6">
        <f>AA2614&amp;AB2614</f>
        <v/>
      </c>
      <c r="AA2614" s="6">
        <f>YEAR(AC2614)</f>
        <v/>
      </c>
      <c r="AB2614" s="6">
        <f>MONTH(AC2614)</f>
        <v/>
      </c>
      <c r="AC2614" s="267">
        <f>IFERROR(__xludf.DUMMYFUNCTION("""COMPUTED_VALUE"""),45770.9986111111)</f>
        <v/>
      </c>
      <c r="AD2614" s="6">
        <f>IFERROR(__xludf.DUMMYFUNCTION("""COMPUTED_VALUE"""),1426.45)</f>
        <v/>
      </c>
      <c r="AH2614" s="6">
        <f>AI2614&amp;AJ2614</f>
        <v/>
      </c>
      <c r="AI2614" s="6">
        <f>YEAR(AK2614)</f>
        <v/>
      </c>
      <c r="AJ2614" s="6">
        <f>MONTH(AK2614)</f>
        <v/>
      </c>
      <c r="AK2614" s="267">
        <f>IFERROR(__xludf.DUMMYFUNCTION("""COMPUTED_VALUE"""),45708.9986111111)</f>
        <v/>
      </c>
      <c r="AL2614" s="6">
        <f>IFERROR(__xludf.DUMMYFUNCTION("""COMPUTED_VALUE"""),97243.08)</f>
        <v/>
      </c>
      <c r="AP2614" s="6">
        <f>AQ2614&amp;AR2614</f>
        <v/>
      </c>
      <c r="AQ2614" s="6">
        <f>YEAR(AS2614)</f>
        <v/>
      </c>
      <c r="AR2614" s="6">
        <f>MONTH(AS2614)</f>
        <v/>
      </c>
    </row>
    <row r="2615">
      <c r="B2615" s="6">
        <f>C2615&amp;D2615</f>
        <v/>
      </c>
      <c r="C2615" s="6">
        <f>YEAR(E2615)</f>
        <v/>
      </c>
      <c r="D2615" s="6">
        <f>MONTH(E2615)</f>
        <v/>
      </c>
      <c r="J2615" s="6">
        <f>K2615&amp;L2615</f>
        <v/>
      </c>
      <c r="K2615" s="6">
        <f>YEAR(M2615)</f>
        <v/>
      </c>
      <c r="L2615" s="6">
        <f>MONTH(M2615)</f>
        <v/>
      </c>
      <c r="R2615" s="6">
        <f>S2615&amp;T2615</f>
        <v/>
      </c>
      <c r="S2615" s="6">
        <f>YEAR(U2615)</f>
        <v/>
      </c>
      <c r="T2615" s="6">
        <f>MONTH(U2615)</f>
        <v/>
      </c>
      <c r="Z2615" s="6">
        <f>AA2615&amp;AB2615</f>
        <v/>
      </c>
      <c r="AA2615" s="6">
        <f>YEAR(AC2615)</f>
        <v/>
      </c>
      <c r="AB2615" s="6">
        <f>MONTH(AC2615)</f>
        <v/>
      </c>
      <c r="AC2615" s="267">
        <f>IFERROR(__xludf.DUMMYFUNCTION("""COMPUTED_VALUE"""),45771.9986111111)</f>
        <v/>
      </c>
      <c r="AD2615" s="6">
        <f>IFERROR(__xludf.DUMMYFUNCTION("""COMPUTED_VALUE"""),1430.06)</f>
        <v/>
      </c>
      <c r="AH2615" s="6">
        <f>AI2615&amp;AJ2615</f>
        <v/>
      </c>
      <c r="AI2615" s="6">
        <f>YEAR(AK2615)</f>
        <v/>
      </c>
      <c r="AJ2615" s="6">
        <f>MONTH(AK2615)</f>
        <v/>
      </c>
      <c r="AK2615" s="267">
        <f>IFERROR(__xludf.DUMMYFUNCTION("""COMPUTED_VALUE"""),45709.9986111111)</f>
        <v/>
      </c>
      <c r="AL2615" s="6">
        <f>IFERROR(__xludf.DUMMYFUNCTION("""COMPUTED_VALUE"""),98249.46)</f>
        <v/>
      </c>
      <c r="AP2615" s="6">
        <f>AQ2615&amp;AR2615</f>
        <v/>
      </c>
      <c r="AQ2615" s="6">
        <f>YEAR(AS2615)</f>
        <v/>
      </c>
      <c r="AR2615" s="6">
        <f>MONTH(AS2615)</f>
        <v/>
      </c>
    </row>
    <row r="2616">
      <c r="B2616" s="6">
        <f>C2616&amp;D2616</f>
        <v/>
      </c>
      <c r="C2616" s="6">
        <f>YEAR(E2616)</f>
        <v/>
      </c>
      <c r="D2616" s="6">
        <f>MONTH(E2616)</f>
        <v/>
      </c>
      <c r="J2616" s="6">
        <f>K2616&amp;L2616</f>
        <v/>
      </c>
      <c r="K2616" s="6">
        <f>YEAR(M2616)</f>
        <v/>
      </c>
      <c r="L2616" s="6">
        <f>MONTH(M2616)</f>
        <v/>
      </c>
      <c r="R2616" s="6">
        <f>S2616&amp;T2616</f>
        <v/>
      </c>
      <c r="S2616" s="6">
        <f>YEAR(U2616)</f>
        <v/>
      </c>
      <c r="T2616" s="6">
        <f>MONTH(U2616)</f>
        <v/>
      </c>
      <c r="Z2616" s="6">
        <f>AA2616&amp;AB2616</f>
        <v/>
      </c>
      <c r="AA2616" s="6">
        <f>YEAR(AC2616)</f>
        <v/>
      </c>
      <c r="AB2616" s="6">
        <f>MONTH(AC2616)</f>
        <v/>
      </c>
      <c r="AC2616" s="267">
        <f>IFERROR(__xludf.DUMMYFUNCTION("""COMPUTED_VALUE"""),45772.9986111111)</f>
        <v/>
      </c>
      <c r="AD2616" s="6">
        <f>IFERROR(__xludf.DUMMYFUNCTION("""COMPUTED_VALUE"""),1437.37)</f>
        <v/>
      </c>
      <c r="AH2616" s="6">
        <f>AI2616&amp;AJ2616</f>
        <v/>
      </c>
      <c r="AI2616" s="6">
        <f>YEAR(AK2616)</f>
        <v/>
      </c>
      <c r="AJ2616" s="6">
        <f>MONTH(AK2616)</f>
        <v/>
      </c>
      <c r="AK2616" s="267">
        <f>IFERROR(__xludf.DUMMYFUNCTION("""COMPUTED_VALUE"""),45710.9986111111)</f>
        <v/>
      </c>
      <c r="AL2616" s="6">
        <f>IFERROR(__xludf.DUMMYFUNCTION("""COMPUTED_VALUE"""),96436.56)</f>
        <v/>
      </c>
      <c r="AP2616" s="6">
        <f>AQ2616&amp;AR2616</f>
        <v/>
      </c>
      <c r="AQ2616" s="6">
        <f>YEAR(AS2616)</f>
        <v/>
      </c>
      <c r="AR2616" s="6">
        <f>MONTH(AS2616)</f>
        <v/>
      </c>
    </row>
    <row r="2617">
      <c r="B2617" s="6">
        <f>C2617&amp;D2617</f>
        <v/>
      </c>
      <c r="C2617" s="6">
        <f>YEAR(E2617)</f>
        <v/>
      </c>
      <c r="D2617" s="6">
        <f>MONTH(E2617)</f>
        <v/>
      </c>
      <c r="J2617" s="6">
        <f>K2617&amp;L2617</f>
        <v/>
      </c>
      <c r="K2617" s="6">
        <f>YEAR(M2617)</f>
        <v/>
      </c>
      <c r="L2617" s="6">
        <f>MONTH(M2617)</f>
        <v/>
      </c>
      <c r="R2617" s="6">
        <f>S2617&amp;T2617</f>
        <v/>
      </c>
      <c r="S2617" s="6">
        <f>YEAR(U2617)</f>
        <v/>
      </c>
      <c r="T2617" s="6">
        <f>MONTH(U2617)</f>
        <v/>
      </c>
      <c r="Z2617" s="6">
        <f>AA2617&amp;AB2617</f>
        <v/>
      </c>
      <c r="AA2617" s="6">
        <f>YEAR(AC2617)</f>
        <v/>
      </c>
      <c r="AB2617" s="6">
        <f>MONTH(AC2617)</f>
        <v/>
      </c>
      <c r="AC2617" s="267">
        <f>IFERROR(__xludf.DUMMYFUNCTION("""COMPUTED_VALUE"""),45773.9986111111)</f>
        <v/>
      </c>
      <c r="AD2617" s="6">
        <f>IFERROR(__xludf.DUMMYFUNCTION("""COMPUTED_VALUE"""),1437.37)</f>
        <v/>
      </c>
      <c r="AH2617" s="6">
        <f>AI2617&amp;AJ2617</f>
        <v/>
      </c>
      <c r="AI2617" s="6">
        <f>YEAR(AK2617)</f>
        <v/>
      </c>
      <c r="AJ2617" s="6">
        <f>MONTH(AK2617)</f>
        <v/>
      </c>
      <c r="AK2617" s="267">
        <f>IFERROR(__xludf.DUMMYFUNCTION("""COMPUTED_VALUE"""),45711.9986111111)</f>
        <v/>
      </c>
      <c r="AL2617" s="6">
        <f>IFERROR(__xludf.DUMMYFUNCTION("""COMPUTED_VALUE"""),96443.38)</f>
        <v/>
      </c>
      <c r="AP2617" s="6">
        <f>AQ2617&amp;AR2617</f>
        <v/>
      </c>
      <c r="AQ2617" s="6">
        <f>YEAR(AS2617)</f>
        <v/>
      </c>
      <c r="AR2617" s="6">
        <f>MONTH(AS2617)</f>
        <v/>
      </c>
    </row>
    <row r="2618">
      <c r="B2618" s="6">
        <f>C2618&amp;D2618</f>
        <v/>
      </c>
      <c r="C2618" s="6">
        <f>YEAR(E2618)</f>
        <v/>
      </c>
      <c r="D2618" s="6">
        <f>MONTH(E2618)</f>
        <v/>
      </c>
      <c r="J2618" s="6">
        <f>K2618&amp;L2618</f>
        <v/>
      </c>
      <c r="K2618" s="6">
        <f>YEAR(M2618)</f>
        <v/>
      </c>
      <c r="L2618" s="6">
        <f>MONTH(M2618)</f>
        <v/>
      </c>
      <c r="R2618" s="6">
        <f>S2618&amp;T2618</f>
        <v/>
      </c>
      <c r="S2618" s="6">
        <f>YEAR(U2618)</f>
        <v/>
      </c>
      <c r="T2618" s="6">
        <f>MONTH(U2618)</f>
        <v/>
      </c>
      <c r="Z2618" s="6">
        <f>AA2618&amp;AB2618</f>
        <v/>
      </c>
      <c r="AA2618" s="6">
        <f>YEAR(AC2618)</f>
        <v/>
      </c>
      <c r="AB2618" s="6">
        <f>MONTH(AC2618)</f>
        <v/>
      </c>
      <c r="AC2618" s="267">
        <f>IFERROR(__xludf.DUMMYFUNCTION("""COMPUTED_VALUE"""),45774.9986111111)</f>
        <v/>
      </c>
      <c r="AD2618" s="6">
        <f>IFERROR(__xludf.DUMMYFUNCTION("""COMPUTED_VALUE"""),1437.36)</f>
        <v/>
      </c>
      <c r="AH2618" s="6">
        <f>AI2618&amp;AJ2618</f>
        <v/>
      </c>
      <c r="AI2618" s="6">
        <f>YEAR(AK2618)</f>
        <v/>
      </c>
      <c r="AJ2618" s="6">
        <f>MONTH(AK2618)</f>
        <v/>
      </c>
      <c r="AK2618" s="267">
        <f>IFERROR(__xludf.DUMMYFUNCTION("""COMPUTED_VALUE"""),45712.9986111111)</f>
        <v/>
      </c>
      <c r="AL2618" s="6">
        <f>IFERROR(__xludf.DUMMYFUNCTION("""COMPUTED_VALUE"""),95278.63)</f>
        <v/>
      </c>
      <c r="AP2618" s="6">
        <f>AQ2618&amp;AR2618</f>
        <v/>
      </c>
      <c r="AQ2618" s="6">
        <f>YEAR(AS2618)</f>
        <v/>
      </c>
      <c r="AR2618" s="6">
        <f>MONTH(AS2618)</f>
        <v/>
      </c>
    </row>
    <row r="2619">
      <c r="B2619" s="6">
        <f>C2619&amp;D2619</f>
        <v/>
      </c>
      <c r="C2619" s="6">
        <f>YEAR(E2619)</f>
        <v/>
      </c>
      <c r="D2619" s="6">
        <f>MONTH(E2619)</f>
        <v/>
      </c>
      <c r="J2619" s="6">
        <f>K2619&amp;L2619</f>
        <v/>
      </c>
      <c r="K2619" s="6">
        <f>YEAR(M2619)</f>
        <v/>
      </c>
      <c r="L2619" s="6">
        <f>MONTH(M2619)</f>
        <v/>
      </c>
      <c r="R2619" s="6">
        <f>S2619&amp;T2619</f>
        <v/>
      </c>
      <c r="S2619" s="6">
        <f>YEAR(U2619)</f>
        <v/>
      </c>
      <c r="T2619" s="6">
        <f>MONTH(U2619)</f>
        <v/>
      </c>
      <c r="Z2619" s="6">
        <f>AA2619&amp;AB2619</f>
        <v/>
      </c>
      <c r="AA2619" s="6">
        <f>YEAR(AC2619)</f>
        <v/>
      </c>
      <c r="AB2619" s="6">
        <f>MONTH(AC2619)</f>
        <v/>
      </c>
      <c r="AC2619" s="267">
        <f>IFERROR(__xludf.DUMMYFUNCTION("""COMPUTED_VALUE"""),45775.9986111111)</f>
        <v/>
      </c>
      <c r="AD2619" s="6">
        <f>IFERROR(__xludf.DUMMYFUNCTION("""COMPUTED_VALUE"""),1435.88)</f>
        <v/>
      </c>
      <c r="AH2619" s="6">
        <f>AI2619&amp;AJ2619</f>
        <v/>
      </c>
      <c r="AI2619" s="6">
        <f>YEAR(AK2619)</f>
        <v/>
      </c>
      <c r="AJ2619" s="6">
        <f>MONTH(AK2619)</f>
        <v/>
      </c>
      <c r="AK2619" s="267">
        <f>IFERROR(__xludf.DUMMYFUNCTION("""COMPUTED_VALUE"""),45713.9986111111)</f>
        <v/>
      </c>
      <c r="AL2619" s="6">
        <f>IFERROR(__xludf.DUMMYFUNCTION("""COMPUTED_VALUE"""),92066.2)</f>
        <v/>
      </c>
      <c r="AP2619" s="6">
        <f>AQ2619&amp;AR2619</f>
        <v/>
      </c>
      <c r="AQ2619" s="6">
        <f>YEAR(AS2619)</f>
        <v/>
      </c>
      <c r="AR2619" s="6">
        <f>MONTH(AS2619)</f>
        <v/>
      </c>
    </row>
    <row r="2620">
      <c r="B2620" s="6">
        <f>C2620&amp;D2620</f>
        <v/>
      </c>
      <c r="C2620" s="6">
        <f>YEAR(E2620)</f>
        <v/>
      </c>
      <c r="D2620" s="6">
        <f>MONTH(E2620)</f>
        <v/>
      </c>
      <c r="J2620" s="6">
        <f>K2620&amp;L2620</f>
        <v/>
      </c>
      <c r="K2620" s="6">
        <f>YEAR(M2620)</f>
        <v/>
      </c>
      <c r="L2620" s="6">
        <f>MONTH(M2620)</f>
        <v/>
      </c>
      <c r="R2620" s="6">
        <f>S2620&amp;T2620</f>
        <v/>
      </c>
      <c r="S2620" s="6">
        <f>YEAR(U2620)</f>
        <v/>
      </c>
      <c r="T2620" s="6">
        <f>MONTH(U2620)</f>
        <v/>
      </c>
      <c r="Z2620" s="6">
        <f>AA2620&amp;AB2620</f>
        <v/>
      </c>
      <c r="AA2620" s="6">
        <f>YEAR(AC2620)</f>
        <v/>
      </c>
      <c r="AB2620" s="6">
        <f>MONTH(AC2620)</f>
        <v/>
      </c>
      <c r="AC2620" s="267">
        <f>IFERROR(__xludf.DUMMYFUNCTION("""COMPUTED_VALUE"""),45776.9986111111)</f>
        <v/>
      </c>
      <c r="AD2620" s="6">
        <f>IFERROR(__xludf.DUMMYFUNCTION("""COMPUTED_VALUE"""),1431.16)</f>
        <v/>
      </c>
      <c r="AH2620" s="6">
        <f>AI2620&amp;AJ2620</f>
        <v/>
      </c>
      <c r="AI2620" s="6">
        <f>YEAR(AK2620)</f>
        <v/>
      </c>
      <c r="AJ2620" s="6">
        <f>MONTH(AK2620)</f>
        <v/>
      </c>
      <c r="AK2620" s="267">
        <f>IFERROR(__xludf.DUMMYFUNCTION("""COMPUTED_VALUE"""),45714.9986111111)</f>
        <v/>
      </c>
      <c r="AL2620" s="6">
        <f>IFERROR(__xludf.DUMMYFUNCTION("""COMPUTED_VALUE"""),88801.82)</f>
        <v/>
      </c>
      <c r="AP2620" s="6">
        <f>AQ2620&amp;AR2620</f>
        <v/>
      </c>
      <c r="AQ2620" s="6">
        <f>YEAR(AS2620)</f>
        <v/>
      </c>
      <c r="AR2620" s="6">
        <f>MONTH(AS2620)</f>
        <v/>
      </c>
    </row>
    <row r="2621">
      <c r="B2621" s="6">
        <f>C2621&amp;D2621</f>
        <v/>
      </c>
      <c r="C2621" s="6">
        <f>YEAR(E2621)</f>
        <v/>
      </c>
      <c r="D2621" s="6">
        <f>MONTH(E2621)</f>
        <v/>
      </c>
      <c r="J2621" s="6">
        <f>K2621&amp;L2621</f>
        <v/>
      </c>
      <c r="K2621" s="6">
        <f>YEAR(M2621)</f>
        <v/>
      </c>
      <c r="L2621" s="6">
        <f>MONTH(M2621)</f>
        <v/>
      </c>
      <c r="R2621" s="6">
        <f>S2621&amp;T2621</f>
        <v/>
      </c>
      <c r="S2621" s="6">
        <f>YEAR(U2621)</f>
        <v/>
      </c>
      <c r="T2621" s="6">
        <f>MONTH(U2621)</f>
        <v/>
      </c>
      <c r="Z2621" s="6">
        <f>AA2621&amp;AB2621</f>
        <v/>
      </c>
      <c r="AA2621" s="6">
        <f>YEAR(AC2621)</f>
        <v/>
      </c>
      <c r="AB2621" s="6">
        <f>MONTH(AC2621)</f>
        <v/>
      </c>
      <c r="AC2621" s="267">
        <f>IFERROR(__xludf.DUMMYFUNCTION("""COMPUTED_VALUE"""),45777.9986111111)</f>
        <v/>
      </c>
      <c r="AD2621" s="6">
        <f>IFERROR(__xludf.DUMMYFUNCTION("""COMPUTED_VALUE"""),1423.75)</f>
        <v/>
      </c>
      <c r="AH2621" s="6">
        <f>AI2621&amp;AJ2621</f>
        <v/>
      </c>
      <c r="AI2621" s="6">
        <f>YEAR(AK2621)</f>
        <v/>
      </c>
      <c r="AJ2621" s="6">
        <f>MONTH(AK2621)</f>
        <v/>
      </c>
      <c r="AK2621" s="267">
        <f>IFERROR(__xludf.DUMMYFUNCTION("""COMPUTED_VALUE"""),45715.9986111111)</f>
        <v/>
      </c>
      <c r="AL2621" s="6">
        <f>IFERROR(__xludf.DUMMYFUNCTION("""COMPUTED_VALUE"""),85090.99)</f>
        <v/>
      </c>
      <c r="AP2621" s="6">
        <f>AQ2621&amp;AR2621</f>
        <v/>
      </c>
      <c r="AQ2621" s="6">
        <f>YEAR(AS2621)</f>
        <v/>
      </c>
      <c r="AR2621" s="6">
        <f>MONTH(AS2621)</f>
        <v/>
      </c>
    </row>
    <row r="2622">
      <c r="B2622" s="6">
        <f>C2622&amp;D2622</f>
        <v/>
      </c>
      <c r="C2622" s="6">
        <f>YEAR(E2622)</f>
        <v/>
      </c>
      <c r="D2622" s="6">
        <f>MONTH(E2622)</f>
        <v/>
      </c>
      <c r="J2622" s="6">
        <f>K2622&amp;L2622</f>
        <v/>
      </c>
      <c r="K2622" s="6">
        <f>YEAR(M2622)</f>
        <v/>
      </c>
      <c r="L2622" s="6">
        <f>MONTH(M2622)</f>
        <v/>
      </c>
      <c r="R2622" s="6">
        <f>S2622&amp;T2622</f>
        <v/>
      </c>
      <c r="S2622" s="6">
        <f>YEAR(U2622)</f>
        <v/>
      </c>
      <c r="T2622" s="6">
        <f>MONTH(U2622)</f>
        <v/>
      </c>
      <c r="Z2622" s="6">
        <f>AA2622&amp;AB2622</f>
        <v/>
      </c>
      <c r="AA2622" s="6">
        <f>YEAR(AC2622)</f>
        <v/>
      </c>
      <c r="AB2622" s="6">
        <f>MONTH(AC2622)</f>
        <v/>
      </c>
      <c r="AC2622" s="267">
        <f>IFERROR(__xludf.DUMMYFUNCTION("""COMPUTED_VALUE"""),45778.9986111111)</f>
        <v/>
      </c>
      <c r="AD2622" s="6">
        <f>IFERROR(__xludf.DUMMYFUNCTION("""COMPUTED_VALUE"""),1435.1)</f>
        <v/>
      </c>
      <c r="AH2622" s="6">
        <f>AI2622&amp;AJ2622</f>
        <v/>
      </c>
      <c r="AI2622" s="6">
        <f>YEAR(AK2622)</f>
        <v/>
      </c>
      <c r="AJ2622" s="6">
        <f>MONTH(AK2622)</f>
        <v/>
      </c>
      <c r="AK2622" s="267">
        <f>IFERROR(__xludf.DUMMYFUNCTION("""COMPUTED_VALUE"""),45716.9986111111)</f>
        <v/>
      </c>
      <c r="AL2622" s="6">
        <f>IFERROR(__xludf.DUMMYFUNCTION("""COMPUTED_VALUE"""),80376.5)</f>
        <v/>
      </c>
      <c r="AP2622" s="6">
        <f>AQ2622&amp;AR2622</f>
        <v/>
      </c>
      <c r="AQ2622" s="6">
        <f>YEAR(AS2622)</f>
        <v/>
      </c>
      <c r="AR2622" s="6">
        <f>MONTH(AS2622)</f>
        <v/>
      </c>
    </row>
    <row r="2623">
      <c r="B2623" s="6">
        <f>C2623&amp;D2623</f>
        <v/>
      </c>
      <c r="C2623" s="6">
        <f>YEAR(E2623)</f>
        <v/>
      </c>
      <c r="D2623" s="6">
        <f>MONTH(E2623)</f>
        <v/>
      </c>
      <c r="J2623" s="6">
        <f>K2623&amp;L2623</f>
        <v/>
      </c>
      <c r="K2623" s="6">
        <f>YEAR(M2623)</f>
        <v/>
      </c>
      <c r="L2623" s="6">
        <f>MONTH(M2623)</f>
        <v/>
      </c>
      <c r="R2623" s="6">
        <f>S2623&amp;T2623</f>
        <v/>
      </c>
      <c r="S2623" s="6">
        <f>YEAR(U2623)</f>
        <v/>
      </c>
      <c r="T2623" s="6">
        <f>MONTH(U2623)</f>
        <v/>
      </c>
      <c r="Z2623" s="6">
        <f>AA2623&amp;AB2623</f>
        <v/>
      </c>
      <c r="AA2623" s="6">
        <f>YEAR(AC2623)</f>
        <v/>
      </c>
      <c r="AB2623" s="6">
        <f>MONTH(AC2623)</f>
        <v/>
      </c>
      <c r="AC2623" s="267">
        <f>IFERROR(__xludf.DUMMYFUNCTION("""COMPUTED_VALUE"""),45779.9986111111)</f>
        <v/>
      </c>
      <c r="AD2623" s="6">
        <f>IFERROR(__xludf.DUMMYFUNCTION("""COMPUTED_VALUE"""),1398.38)</f>
        <v/>
      </c>
      <c r="AH2623" s="6">
        <f>AI2623&amp;AJ2623</f>
        <v/>
      </c>
      <c r="AI2623" s="6">
        <f>YEAR(AK2623)</f>
        <v/>
      </c>
      <c r="AJ2623" s="6">
        <f>MONTH(AK2623)</f>
        <v/>
      </c>
      <c r="AK2623" s="267">
        <f>IFERROR(__xludf.DUMMYFUNCTION("""COMPUTED_VALUE"""),45717.9986111111)</f>
        <v/>
      </c>
      <c r="AL2623" s="6">
        <f>IFERROR(__xludf.DUMMYFUNCTION("""COMPUTED_VALUE"""),86273.05)</f>
        <v/>
      </c>
      <c r="AP2623" s="6">
        <f>AQ2623&amp;AR2623</f>
        <v/>
      </c>
      <c r="AQ2623" s="6">
        <f>YEAR(AS2623)</f>
        <v/>
      </c>
      <c r="AR2623" s="6">
        <f>MONTH(AS2623)</f>
        <v/>
      </c>
    </row>
    <row r="2624">
      <c r="B2624" s="6">
        <f>C2624&amp;D2624</f>
        <v/>
      </c>
      <c r="C2624" s="6">
        <f>YEAR(E2624)</f>
        <v/>
      </c>
      <c r="D2624" s="6">
        <f>MONTH(E2624)</f>
        <v/>
      </c>
      <c r="J2624" s="6">
        <f>K2624&amp;L2624</f>
        <v/>
      </c>
      <c r="K2624" s="6">
        <f>YEAR(M2624)</f>
        <v/>
      </c>
      <c r="L2624" s="6">
        <f>MONTH(M2624)</f>
        <v/>
      </c>
      <c r="R2624" s="6">
        <f>S2624&amp;T2624</f>
        <v/>
      </c>
      <c r="S2624" s="6">
        <f>YEAR(U2624)</f>
        <v/>
      </c>
      <c r="T2624" s="6">
        <f>MONTH(U2624)</f>
        <v/>
      </c>
      <c r="Z2624" s="6">
        <f>AA2624&amp;AB2624</f>
        <v/>
      </c>
      <c r="AA2624" s="6">
        <f>YEAR(AC2624)</f>
        <v/>
      </c>
      <c r="AB2624" s="6">
        <f>MONTH(AC2624)</f>
        <v/>
      </c>
      <c r="AC2624" s="267">
        <f>IFERROR(__xludf.DUMMYFUNCTION("""COMPUTED_VALUE"""),45780.9986111111)</f>
        <v/>
      </c>
      <c r="AD2624" s="6">
        <f>IFERROR(__xludf.DUMMYFUNCTION("""COMPUTED_VALUE"""),1397.9)</f>
        <v/>
      </c>
      <c r="AH2624" s="6">
        <f>AI2624&amp;AJ2624</f>
        <v/>
      </c>
      <c r="AI2624" s="6">
        <f>YEAR(AK2624)</f>
        <v/>
      </c>
      <c r="AJ2624" s="6">
        <f>MONTH(AK2624)</f>
        <v/>
      </c>
      <c r="AK2624" s="267">
        <f>IFERROR(__xludf.DUMMYFUNCTION("""COMPUTED_VALUE"""),45718.9986111111)</f>
        <v/>
      </c>
      <c r="AL2624" s="6">
        <f>IFERROR(__xludf.DUMMYFUNCTION("""COMPUTED_VALUE"""),85812.15)</f>
        <v/>
      </c>
      <c r="AP2624" s="6">
        <f>AQ2624&amp;AR2624</f>
        <v/>
      </c>
      <c r="AQ2624" s="6">
        <f>YEAR(AS2624)</f>
        <v/>
      </c>
      <c r="AR2624" s="6">
        <f>MONTH(AS2624)</f>
        <v/>
      </c>
    </row>
    <row r="2625">
      <c r="B2625" s="6">
        <f>C2625&amp;D2625</f>
        <v/>
      </c>
      <c r="C2625" s="6">
        <f>YEAR(E2625)</f>
        <v/>
      </c>
      <c r="D2625" s="6">
        <f>MONTH(E2625)</f>
        <v/>
      </c>
      <c r="J2625" s="6">
        <f>K2625&amp;L2625</f>
        <v/>
      </c>
      <c r="K2625" s="6">
        <f>YEAR(M2625)</f>
        <v/>
      </c>
      <c r="L2625" s="6">
        <f>MONTH(M2625)</f>
        <v/>
      </c>
      <c r="R2625" s="6">
        <f>S2625&amp;T2625</f>
        <v/>
      </c>
      <c r="S2625" s="6">
        <f>YEAR(U2625)</f>
        <v/>
      </c>
      <c r="T2625" s="6">
        <f>MONTH(U2625)</f>
        <v/>
      </c>
      <c r="Z2625" s="6">
        <f>AA2625&amp;AB2625</f>
        <v/>
      </c>
      <c r="AA2625" s="6">
        <f>YEAR(AC2625)</f>
        <v/>
      </c>
      <c r="AB2625" s="6">
        <f>MONTH(AC2625)</f>
        <v/>
      </c>
      <c r="AC2625" s="267">
        <f>IFERROR(__xludf.DUMMYFUNCTION("""COMPUTED_VALUE"""),45781.9986111111)</f>
        <v/>
      </c>
      <c r="AD2625" s="6">
        <f>IFERROR(__xludf.DUMMYFUNCTION("""COMPUTED_VALUE"""),1398.9)</f>
        <v/>
      </c>
      <c r="AH2625" s="6">
        <f>AI2625&amp;AJ2625</f>
        <v/>
      </c>
      <c r="AI2625" s="6">
        <f>YEAR(AK2625)</f>
        <v/>
      </c>
      <c r="AJ2625" s="6">
        <f>MONTH(AK2625)</f>
        <v/>
      </c>
      <c r="AK2625" s="267">
        <f>IFERROR(__xludf.DUMMYFUNCTION("""COMPUTED_VALUE"""),45719.9986111111)</f>
        <v/>
      </c>
      <c r="AL2625" s="6">
        <f>IFERROR(__xludf.DUMMYFUNCTION("""COMPUTED_VALUE"""),92841.09)</f>
        <v/>
      </c>
      <c r="AP2625" s="6">
        <f>AQ2625&amp;AR2625</f>
        <v/>
      </c>
      <c r="AQ2625" s="6">
        <f>YEAR(AS2625)</f>
        <v/>
      </c>
      <c r="AR2625" s="6">
        <f>MONTH(AS2625)</f>
        <v/>
      </c>
    </row>
    <row r="2626">
      <c r="B2626" s="6">
        <f>C2626&amp;D2626</f>
        <v/>
      </c>
      <c r="C2626" s="6">
        <f>YEAR(E2626)</f>
        <v/>
      </c>
      <c r="D2626" s="6">
        <f>MONTH(E2626)</f>
        <v/>
      </c>
      <c r="J2626" s="6">
        <f>K2626&amp;L2626</f>
        <v/>
      </c>
      <c r="K2626" s="6">
        <f>YEAR(M2626)</f>
        <v/>
      </c>
      <c r="L2626" s="6">
        <f>MONTH(M2626)</f>
        <v/>
      </c>
      <c r="R2626" s="6">
        <f>S2626&amp;T2626</f>
        <v/>
      </c>
      <c r="S2626" s="6">
        <f>YEAR(U2626)</f>
        <v/>
      </c>
      <c r="T2626" s="6">
        <f>MONTH(U2626)</f>
        <v/>
      </c>
      <c r="Z2626" s="6">
        <f>AA2626&amp;AB2626</f>
        <v/>
      </c>
      <c r="AA2626" s="6">
        <f>YEAR(AC2626)</f>
        <v/>
      </c>
      <c r="AB2626" s="6">
        <f>MONTH(AC2626)</f>
        <v/>
      </c>
      <c r="AC2626" s="267">
        <f>IFERROR(__xludf.DUMMYFUNCTION("""COMPUTED_VALUE"""),45782.9986111111)</f>
        <v/>
      </c>
      <c r="AD2626" s="6">
        <f>IFERROR(__xludf.DUMMYFUNCTION("""COMPUTED_VALUE"""),1374.37)</f>
        <v/>
      </c>
      <c r="AH2626" s="6">
        <f>AI2626&amp;AJ2626</f>
        <v/>
      </c>
      <c r="AI2626" s="6">
        <f>YEAR(AK2626)</f>
        <v/>
      </c>
      <c r="AJ2626" s="6">
        <f>MONTH(AK2626)</f>
        <v/>
      </c>
      <c r="AK2626" s="267">
        <f>IFERROR(__xludf.DUMMYFUNCTION("""COMPUTED_VALUE"""),45720.9986111111)</f>
        <v/>
      </c>
      <c r="AL2626" s="6">
        <f>IFERROR(__xludf.DUMMYFUNCTION("""COMPUTED_VALUE"""),83518.82)</f>
        <v/>
      </c>
      <c r="AP2626" s="6">
        <f>AQ2626&amp;AR2626</f>
        <v/>
      </c>
      <c r="AQ2626" s="6">
        <f>YEAR(AS2626)</f>
        <v/>
      </c>
      <c r="AR2626" s="6">
        <f>MONTH(AS2626)</f>
        <v/>
      </c>
    </row>
    <row r="2627">
      <c r="B2627" s="6">
        <f>C2627&amp;D2627</f>
        <v/>
      </c>
      <c r="C2627" s="6">
        <f>YEAR(E2627)</f>
        <v/>
      </c>
      <c r="D2627" s="6">
        <f>MONTH(E2627)</f>
        <v/>
      </c>
      <c r="J2627" s="6">
        <f>K2627&amp;L2627</f>
        <v/>
      </c>
      <c r="K2627" s="6">
        <f>YEAR(M2627)</f>
        <v/>
      </c>
      <c r="L2627" s="6">
        <f>MONTH(M2627)</f>
        <v/>
      </c>
      <c r="R2627" s="6">
        <f>S2627&amp;T2627</f>
        <v/>
      </c>
      <c r="S2627" s="6">
        <f>YEAR(U2627)</f>
        <v/>
      </c>
      <c r="T2627" s="6">
        <f>MONTH(U2627)</f>
        <v/>
      </c>
      <c r="Z2627" s="6">
        <f>AA2627&amp;AB2627</f>
        <v/>
      </c>
      <c r="AA2627" s="6">
        <f>YEAR(AC2627)</f>
        <v/>
      </c>
      <c r="AB2627" s="6">
        <f>MONTH(AC2627)</f>
        <v/>
      </c>
      <c r="AC2627" s="267">
        <f>IFERROR(__xludf.DUMMYFUNCTION("""COMPUTED_VALUE"""),45783.9986111111)</f>
        <v/>
      </c>
      <c r="AD2627" s="6">
        <f>IFERROR(__xludf.DUMMYFUNCTION("""COMPUTED_VALUE"""),1374.77)</f>
        <v/>
      </c>
      <c r="AH2627" s="6">
        <f>AI2627&amp;AJ2627</f>
        <v/>
      </c>
      <c r="AI2627" s="6">
        <f>YEAR(AK2627)</f>
        <v/>
      </c>
      <c r="AJ2627" s="6">
        <f>MONTH(AK2627)</f>
        <v/>
      </c>
      <c r="AK2627" s="267">
        <f>IFERROR(__xludf.DUMMYFUNCTION("""COMPUTED_VALUE"""),45721.9986111111)</f>
        <v/>
      </c>
      <c r="AL2627" s="6">
        <f>IFERROR(__xludf.DUMMYFUNCTION("""COMPUTED_VALUE"""),86951.6)</f>
        <v/>
      </c>
      <c r="AP2627" s="6">
        <f>AQ2627&amp;AR2627</f>
        <v/>
      </c>
      <c r="AQ2627" s="6">
        <f>YEAR(AS2627)</f>
        <v/>
      </c>
      <c r="AR2627" s="6">
        <f>MONTH(AS2627)</f>
        <v/>
      </c>
    </row>
    <row r="2628">
      <c r="B2628" s="6">
        <f>C2628&amp;D2628</f>
        <v/>
      </c>
      <c r="C2628" s="6">
        <f>YEAR(E2628)</f>
        <v/>
      </c>
      <c r="D2628" s="6">
        <f>MONTH(E2628)</f>
        <v/>
      </c>
      <c r="J2628" s="6">
        <f>K2628&amp;L2628</f>
        <v/>
      </c>
      <c r="K2628" s="6">
        <f>YEAR(M2628)</f>
        <v/>
      </c>
      <c r="L2628" s="6">
        <f>MONTH(M2628)</f>
        <v/>
      </c>
      <c r="R2628" s="6">
        <f>S2628&amp;T2628</f>
        <v/>
      </c>
      <c r="S2628" s="6">
        <f>YEAR(U2628)</f>
        <v/>
      </c>
      <c r="T2628" s="6">
        <f>MONTH(U2628)</f>
        <v/>
      </c>
      <c r="Z2628" s="6">
        <f>AA2628&amp;AB2628</f>
        <v/>
      </c>
      <c r="AA2628" s="6">
        <f>YEAR(AC2628)</f>
        <v/>
      </c>
      <c r="AB2628" s="6">
        <f>MONTH(AC2628)</f>
        <v/>
      </c>
      <c r="AC2628" s="267">
        <f>IFERROR(__xludf.DUMMYFUNCTION("""COMPUTED_VALUE"""),45784.9986111111)</f>
        <v/>
      </c>
      <c r="AD2628" s="6">
        <f>IFERROR(__xludf.DUMMYFUNCTION("""COMPUTED_VALUE"""),1397.29)</f>
        <v/>
      </c>
      <c r="AH2628" s="6">
        <f>AI2628&amp;AJ2628</f>
        <v/>
      </c>
      <c r="AI2628" s="6">
        <f>YEAR(AK2628)</f>
        <v/>
      </c>
      <c r="AJ2628" s="6">
        <f>MONTH(AK2628)</f>
        <v/>
      </c>
      <c r="AK2628" s="267">
        <f>IFERROR(__xludf.DUMMYFUNCTION("""COMPUTED_VALUE"""),45722.9986111111)</f>
        <v/>
      </c>
      <c r="AL2628" s="6">
        <f>IFERROR(__xludf.DUMMYFUNCTION("""COMPUTED_VALUE"""),92272.38)</f>
        <v/>
      </c>
      <c r="AP2628" s="6">
        <f>AQ2628&amp;AR2628</f>
        <v/>
      </c>
      <c r="AQ2628" s="6">
        <f>YEAR(AS2628)</f>
        <v/>
      </c>
      <c r="AR2628" s="6">
        <f>MONTH(AS2628)</f>
        <v/>
      </c>
    </row>
    <row r="2629">
      <c r="B2629" s="6">
        <f>C2629&amp;D2629</f>
        <v/>
      </c>
      <c r="C2629" s="6">
        <f>YEAR(E2629)</f>
        <v/>
      </c>
      <c r="D2629" s="6">
        <f>MONTH(E2629)</f>
        <v/>
      </c>
      <c r="J2629" s="6">
        <f>K2629&amp;L2629</f>
        <v/>
      </c>
      <c r="K2629" s="6">
        <f>YEAR(M2629)</f>
        <v/>
      </c>
      <c r="L2629" s="6">
        <f>MONTH(M2629)</f>
        <v/>
      </c>
      <c r="R2629" s="6">
        <f>S2629&amp;T2629</f>
        <v/>
      </c>
      <c r="S2629" s="6">
        <f>YEAR(U2629)</f>
        <v/>
      </c>
      <c r="T2629" s="6">
        <f>MONTH(U2629)</f>
        <v/>
      </c>
      <c r="Z2629" s="6">
        <f>AA2629&amp;AB2629</f>
        <v/>
      </c>
      <c r="AA2629" s="6">
        <f>YEAR(AC2629)</f>
        <v/>
      </c>
      <c r="AB2629" s="6">
        <f>MONTH(AC2629)</f>
        <v/>
      </c>
      <c r="AC2629" s="267">
        <f>IFERROR(__xludf.DUMMYFUNCTION("""COMPUTED_VALUE"""),45785.9986111111)</f>
        <v/>
      </c>
      <c r="AD2629" s="6">
        <f>IFERROR(__xludf.DUMMYFUNCTION("""COMPUTED_VALUE"""),1403.85)</f>
        <v/>
      </c>
      <c r="AH2629" s="6">
        <f>AI2629&amp;AJ2629</f>
        <v/>
      </c>
      <c r="AI2629" s="6">
        <f>YEAR(AK2629)</f>
        <v/>
      </c>
      <c r="AJ2629" s="6">
        <f>MONTH(AK2629)</f>
        <v/>
      </c>
      <c r="AK2629" s="267">
        <f>IFERROR(__xludf.DUMMYFUNCTION("""COMPUTED_VALUE"""),45723.9986111111)</f>
        <v/>
      </c>
      <c r="AL2629" s="6">
        <f>IFERROR(__xludf.DUMMYFUNCTION("""COMPUTED_VALUE"""),87701.4)</f>
        <v/>
      </c>
      <c r="AP2629" s="6">
        <f>AQ2629&amp;AR2629</f>
        <v/>
      </c>
      <c r="AQ2629" s="6">
        <f>YEAR(AS2629)</f>
        <v/>
      </c>
      <c r="AR2629" s="6">
        <f>MONTH(AS2629)</f>
        <v/>
      </c>
    </row>
    <row r="2630">
      <c r="B2630" s="6">
        <f>C2630&amp;D2630</f>
        <v/>
      </c>
      <c r="C2630" s="6">
        <f>YEAR(E2630)</f>
        <v/>
      </c>
      <c r="D2630" s="6">
        <f>MONTH(E2630)</f>
        <v/>
      </c>
      <c r="J2630" s="6">
        <f>K2630&amp;L2630</f>
        <v/>
      </c>
      <c r="K2630" s="6">
        <f>YEAR(M2630)</f>
        <v/>
      </c>
      <c r="L2630" s="6">
        <f>MONTH(M2630)</f>
        <v/>
      </c>
      <c r="R2630" s="6">
        <f>S2630&amp;T2630</f>
        <v/>
      </c>
      <c r="S2630" s="6">
        <f>YEAR(U2630)</f>
        <v/>
      </c>
      <c r="T2630" s="6">
        <f>MONTH(U2630)</f>
        <v/>
      </c>
      <c r="Z2630" s="6">
        <f>AA2630&amp;AB2630</f>
        <v/>
      </c>
      <c r="AA2630" s="6">
        <f>YEAR(AC2630)</f>
        <v/>
      </c>
      <c r="AB2630" s="6">
        <f>MONTH(AC2630)</f>
        <v/>
      </c>
      <c r="AC2630" s="267">
        <f>IFERROR(__xludf.DUMMYFUNCTION("""COMPUTED_VALUE"""),45786.9986111111)</f>
        <v/>
      </c>
      <c r="AD2630" s="6">
        <f>IFERROR(__xludf.DUMMYFUNCTION("""COMPUTED_VALUE"""),1395.05)</f>
        <v/>
      </c>
      <c r="AH2630" s="6">
        <f>AI2630&amp;AJ2630</f>
        <v/>
      </c>
      <c r="AI2630" s="6">
        <f>YEAR(AK2630)</f>
        <v/>
      </c>
      <c r="AJ2630" s="6">
        <f>MONTH(AK2630)</f>
        <v/>
      </c>
      <c r="AK2630" s="267">
        <f>IFERROR(__xludf.DUMMYFUNCTION("""COMPUTED_VALUE"""),45724.9986111111)</f>
        <v/>
      </c>
      <c r="AL2630" s="6">
        <f>IFERROR(__xludf.DUMMYFUNCTION("""COMPUTED_VALUE"""),86468.85)</f>
        <v/>
      </c>
      <c r="AP2630" s="6">
        <f>AQ2630&amp;AR2630</f>
        <v/>
      </c>
      <c r="AQ2630" s="6">
        <f>YEAR(AS2630)</f>
        <v/>
      </c>
      <c r="AR2630" s="6">
        <f>MONTH(AS2630)</f>
        <v/>
      </c>
    </row>
    <row r="2631">
      <c r="B2631" s="6">
        <f>C2631&amp;D2631</f>
        <v/>
      </c>
      <c r="C2631" s="6">
        <f>YEAR(E2631)</f>
        <v/>
      </c>
      <c r="D2631" s="6">
        <f>MONTH(E2631)</f>
        <v/>
      </c>
      <c r="J2631" s="6">
        <f>K2631&amp;L2631</f>
        <v/>
      </c>
      <c r="K2631" s="6">
        <f>YEAR(M2631)</f>
        <v/>
      </c>
      <c r="L2631" s="6">
        <f>MONTH(M2631)</f>
        <v/>
      </c>
      <c r="R2631" s="6">
        <f>S2631&amp;T2631</f>
        <v/>
      </c>
      <c r="S2631" s="6">
        <f>YEAR(U2631)</f>
        <v/>
      </c>
      <c r="T2631" s="6">
        <f>MONTH(U2631)</f>
        <v/>
      </c>
      <c r="Z2631" s="6">
        <f>AA2631&amp;AB2631</f>
        <v/>
      </c>
      <c r="AA2631" s="6">
        <f>YEAR(AC2631)</f>
        <v/>
      </c>
      <c r="AB2631" s="6">
        <f>MONTH(AC2631)</f>
        <v/>
      </c>
      <c r="AC2631" s="267">
        <f>IFERROR(__xludf.DUMMYFUNCTION("""COMPUTED_VALUE"""),45787.9986111111)</f>
        <v/>
      </c>
      <c r="AD2631" s="6">
        <f>IFERROR(__xludf.DUMMYFUNCTION("""COMPUTED_VALUE"""),1395.05)</f>
        <v/>
      </c>
      <c r="AH2631" s="6">
        <f>AI2631&amp;AJ2631</f>
        <v/>
      </c>
      <c r="AI2631" s="6">
        <f>YEAR(AK2631)</f>
        <v/>
      </c>
      <c r="AJ2631" s="6">
        <f>MONTH(AK2631)</f>
        <v/>
      </c>
      <c r="AK2631" s="267">
        <f>IFERROR(__xludf.DUMMYFUNCTION("""COMPUTED_VALUE"""),45725.9986111111)</f>
        <v/>
      </c>
      <c r="AL2631" s="6">
        <f>IFERROR(__xludf.DUMMYFUNCTION("""COMPUTED_VALUE"""),86143.01)</f>
        <v/>
      </c>
      <c r="AP2631" s="6">
        <f>AQ2631&amp;AR2631</f>
        <v/>
      </c>
      <c r="AQ2631" s="6">
        <f>YEAR(AS2631)</f>
        <v/>
      </c>
      <c r="AR2631" s="6">
        <f>MONTH(AS2631)</f>
        <v/>
      </c>
    </row>
    <row r="2632">
      <c r="B2632" s="6">
        <f>C2632&amp;D2632</f>
        <v/>
      </c>
      <c r="C2632" s="6">
        <f>YEAR(E2632)</f>
        <v/>
      </c>
      <c r="D2632" s="6">
        <f>MONTH(E2632)</f>
        <v/>
      </c>
      <c r="J2632" s="6">
        <f>K2632&amp;L2632</f>
        <v/>
      </c>
      <c r="K2632" s="6">
        <f>YEAR(M2632)</f>
        <v/>
      </c>
      <c r="L2632" s="6">
        <f>MONTH(M2632)</f>
        <v/>
      </c>
      <c r="R2632" s="6">
        <f>S2632&amp;T2632</f>
        <v/>
      </c>
      <c r="S2632" s="6">
        <f>YEAR(U2632)</f>
        <v/>
      </c>
      <c r="T2632" s="6">
        <f>MONTH(U2632)</f>
        <v/>
      </c>
      <c r="Z2632" s="6">
        <f>AA2632&amp;AB2632</f>
        <v/>
      </c>
      <c r="AA2632" s="6">
        <f>YEAR(AC2632)</f>
        <v/>
      </c>
      <c r="AB2632" s="6">
        <f>MONTH(AC2632)</f>
        <v/>
      </c>
      <c r="AC2632" s="267">
        <f>IFERROR(__xludf.DUMMYFUNCTION("""COMPUTED_VALUE"""),45788.9986111111)</f>
        <v/>
      </c>
      <c r="AD2632" s="6">
        <f>IFERROR(__xludf.DUMMYFUNCTION("""COMPUTED_VALUE"""),1395.17)</f>
        <v/>
      </c>
      <c r="AH2632" s="6">
        <f>AI2632&amp;AJ2632</f>
        <v/>
      </c>
      <c r="AI2632" s="6">
        <f>YEAR(AK2632)</f>
        <v/>
      </c>
      <c r="AJ2632" s="6">
        <f>MONTH(AK2632)</f>
        <v/>
      </c>
      <c r="AK2632" s="267">
        <f>IFERROR(__xludf.DUMMYFUNCTION("""COMPUTED_VALUE"""),45726.9986111111)</f>
        <v/>
      </c>
      <c r="AL2632" s="6">
        <f>IFERROR(__xludf.DUMMYFUNCTION("""COMPUTED_VALUE"""),82106.8)</f>
        <v/>
      </c>
      <c r="AP2632" s="6">
        <f>AQ2632&amp;AR2632</f>
        <v/>
      </c>
      <c r="AQ2632" s="6">
        <f>YEAR(AS2632)</f>
        <v/>
      </c>
      <c r="AR2632" s="6">
        <f>MONTH(AS2632)</f>
        <v/>
      </c>
    </row>
    <row r="2633">
      <c r="B2633" s="6">
        <f>C2633&amp;D2633</f>
        <v/>
      </c>
      <c r="C2633" s="6">
        <f>YEAR(E2633)</f>
        <v/>
      </c>
      <c r="D2633" s="6">
        <f>MONTH(E2633)</f>
        <v/>
      </c>
      <c r="J2633" s="6">
        <f>K2633&amp;L2633</f>
        <v/>
      </c>
      <c r="K2633" s="6">
        <f>YEAR(M2633)</f>
        <v/>
      </c>
      <c r="L2633" s="6">
        <f>MONTH(M2633)</f>
        <v/>
      </c>
      <c r="R2633" s="6">
        <f>S2633&amp;T2633</f>
        <v/>
      </c>
      <c r="S2633" s="6">
        <f>YEAR(U2633)</f>
        <v/>
      </c>
      <c r="T2633" s="6">
        <f>MONTH(U2633)</f>
        <v/>
      </c>
      <c r="Z2633" s="6">
        <f>AA2633&amp;AB2633</f>
        <v/>
      </c>
      <c r="AA2633" s="6">
        <f>YEAR(AC2633)</f>
        <v/>
      </c>
      <c r="AB2633" s="6">
        <f>MONTH(AC2633)</f>
        <v/>
      </c>
      <c r="AC2633" s="267">
        <f>IFERROR(__xludf.DUMMYFUNCTION("""COMPUTED_VALUE"""),45789.9986111111)</f>
        <v/>
      </c>
      <c r="AD2633" s="6">
        <f>IFERROR(__xludf.DUMMYFUNCTION("""COMPUTED_VALUE"""),1416.03)</f>
        <v/>
      </c>
      <c r="AH2633" s="6">
        <f>AI2633&amp;AJ2633</f>
        <v/>
      </c>
      <c r="AI2633" s="6">
        <f>YEAR(AK2633)</f>
        <v/>
      </c>
      <c r="AJ2633" s="6">
        <f>MONTH(AK2633)</f>
        <v/>
      </c>
      <c r="AK2633" s="267">
        <f>IFERROR(__xludf.DUMMYFUNCTION("""COMPUTED_VALUE"""),45727.9986111111)</f>
        <v/>
      </c>
      <c r="AL2633" s="6">
        <f>IFERROR(__xludf.DUMMYFUNCTION("""COMPUTED_VALUE"""),79506.47)</f>
        <v/>
      </c>
      <c r="AP2633" s="6">
        <f>AQ2633&amp;AR2633</f>
        <v/>
      </c>
      <c r="AQ2633" s="6">
        <f>YEAR(AS2633)</f>
        <v/>
      </c>
      <c r="AR2633" s="6">
        <f>MONTH(AS2633)</f>
        <v/>
      </c>
    </row>
    <row r="2634">
      <c r="B2634" s="6">
        <f>C2634&amp;D2634</f>
        <v/>
      </c>
      <c r="C2634" s="6">
        <f>YEAR(E2634)</f>
        <v/>
      </c>
      <c r="D2634" s="6">
        <f>MONTH(E2634)</f>
        <v/>
      </c>
      <c r="J2634" s="6">
        <f>K2634&amp;L2634</f>
        <v/>
      </c>
      <c r="K2634" s="6">
        <f>YEAR(M2634)</f>
        <v/>
      </c>
      <c r="L2634" s="6">
        <f>MONTH(M2634)</f>
        <v/>
      </c>
      <c r="R2634" s="6">
        <f>S2634&amp;T2634</f>
        <v/>
      </c>
      <c r="S2634" s="6">
        <f>YEAR(U2634)</f>
        <v/>
      </c>
      <c r="T2634" s="6">
        <f>MONTH(U2634)</f>
        <v/>
      </c>
      <c r="Z2634" s="6">
        <f>AA2634&amp;AB2634</f>
        <v/>
      </c>
      <c r="AA2634" s="6">
        <f>YEAR(AC2634)</f>
        <v/>
      </c>
      <c r="AB2634" s="6">
        <f>MONTH(AC2634)</f>
        <v/>
      </c>
      <c r="AC2634" s="267">
        <f>IFERROR(__xludf.DUMMYFUNCTION("""COMPUTED_VALUE"""),45790.9986111111)</f>
        <v/>
      </c>
      <c r="AD2634" s="6">
        <f>IFERROR(__xludf.DUMMYFUNCTION("""COMPUTED_VALUE"""),1416)</f>
        <v/>
      </c>
      <c r="AH2634" s="6">
        <f>AI2634&amp;AJ2634</f>
        <v/>
      </c>
      <c r="AI2634" s="6">
        <f>YEAR(AK2634)</f>
        <v/>
      </c>
      <c r="AJ2634" s="6">
        <f>MONTH(AK2634)</f>
        <v/>
      </c>
      <c r="AK2634" s="267">
        <f>IFERROR(__xludf.DUMMYFUNCTION("""COMPUTED_VALUE"""),45728.9986111111)</f>
        <v/>
      </c>
      <c r="AL2634" s="6">
        <f>IFERROR(__xludf.DUMMYFUNCTION("""COMPUTED_VALUE"""),82201.03)</f>
        <v/>
      </c>
      <c r="AP2634" s="6">
        <f>AQ2634&amp;AR2634</f>
        <v/>
      </c>
      <c r="AQ2634" s="6">
        <f>YEAR(AS2634)</f>
        <v/>
      </c>
      <c r="AR2634" s="6">
        <f>MONTH(AS2634)</f>
        <v/>
      </c>
    </row>
    <row r="2635">
      <c r="B2635" s="6">
        <f>C2635&amp;D2635</f>
        <v/>
      </c>
      <c r="C2635" s="6">
        <f>YEAR(E2635)</f>
        <v/>
      </c>
      <c r="D2635" s="6">
        <f>MONTH(E2635)</f>
        <v/>
      </c>
      <c r="J2635" s="6">
        <f>K2635&amp;L2635</f>
        <v/>
      </c>
      <c r="K2635" s="6">
        <f>YEAR(M2635)</f>
        <v/>
      </c>
      <c r="L2635" s="6">
        <f>MONTH(M2635)</f>
        <v/>
      </c>
      <c r="R2635" s="6">
        <f>S2635&amp;T2635</f>
        <v/>
      </c>
      <c r="S2635" s="6">
        <f>YEAR(U2635)</f>
        <v/>
      </c>
      <c r="T2635" s="6">
        <f>MONTH(U2635)</f>
        <v/>
      </c>
      <c r="Z2635" s="6">
        <f>AA2635&amp;AB2635</f>
        <v/>
      </c>
      <c r="AA2635" s="6">
        <f>YEAR(AC2635)</f>
        <v/>
      </c>
      <c r="AB2635" s="6">
        <f>MONTH(AC2635)</f>
        <v/>
      </c>
      <c r="AC2635" s="267">
        <f>IFERROR(__xludf.DUMMYFUNCTION("""COMPUTED_VALUE"""),45791.9986111111)</f>
        <v/>
      </c>
      <c r="AD2635" s="6">
        <f>IFERROR(__xludf.DUMMYFUNCTION("""COMPUTED_VALUE"""),1407.33)</f>
        <v/>
      </c>
      <c r="AH2635" s="6">
        <f>AI2635&amp;AJ2635</f>
        <v/>
      </c>
      <c r="AI2635" s="6">
        <f>YEAR(AK2635)</f>
        <v/>
      </c>
      <c r="AJ2635" s="6">
        <f>MONTH(AK2635)</f>
        <v/>
      </c>
      <c r="AK2635" s="267">
        <f>IFERROR(__xludf.DUMMYFUNCTION("""COMPUTED_VALUE"""),45729.9986111111)</f>
        <v/>
      </c>
      <c r="AL2635" s="6">
        <f>IFERROR(__xludf.DUMMYFUNCTION("""COMPUTED_VALUE"""),83605.95)</f>
        <v/>
      </c>
      <c r="AP2635" s="6">
        <f>AQ2635&amp;AR2635</f>
        <v/>
      </c>
      <c r="AQ2635" s="6">
        <f>YEAR(AS2635)</f>
        <v/>
      </c>
      <c r="AR2635" s="6">
        <f>MONTH(AS2635)</f>
        <v/>
      </c>
    </row>
    <row r="2636">
      <c r="B2636" s="6">
        <f>C2636&amp;D2636</f>
        <v/>
      </c>
      <c r="C2636" s="6">
        <f>YEAR(E2636)</f>
        <v/>
      </c>
      <c r="D2636" s="6">
        <f>MONTH(E2636)</f>
        <v/>
      </c>
      <c r="J2636" s="6">
        <f>K2636&amp;L2636</f>
        <v/>
      </c>
      <c r="K2636" s="6">
        <f>YEAR(M2636)</f>
        <v/>
      </c>
      <c r="L2636" s="6">
        <f>MONTH(M2636)</f>
        <v/>
      </c>
      <c r="R2636" s="6">
        <f>S2636&amp;T2636</f>
        <v/>
      </c>
      <c r="S2636" s="6">
        <f>YEAR(U2636)</f>
        <v/>
      </c>
      <c r="T2636" s="6">
        <f>MONTH(U2636)</f>
        <v/>
      </c>
      <c r="Z2636" s="6">
        <f>AA2636&amp;AB2636</f>
        <v/>
      </c>
      <c r="AA2636" s="6">
        <f>YEAR(AC2636)</f>
        <v/>
      </c>
      <c r="AB2636" s="6">
        <f>MONTH(AC2636)</f>
        <v/>
      </c>
      <c r="AC2636" s="267">
        <f>IFERROR(__xludf.DUMMYFUNCTION("""COMPUTED_VALUE"""),45792.9986111111)</f>
        <v/>
      </c>
      <c r="AD2636" s="6">
        <f>IFERROR(__xludf.DUMMYFUNCTION("""COMPUTED_VALUE"""),1397.02)</f>
        <v/>
      </c>
      <c r="AH2636" s="6">
        <f>AI2636&amp;AJ2636</f>
        <v/>
      </c>
      <c r="AI2636" s="6">
        <f>YEAR(AK2636)</f>
        <v/>
      </c>
      <c r="AJ2636" s="6">
        <f>MONTH(AK2636)</f>
        <v/>
      </c>
      <c r="AK2636" s="267">
        <f>IFERROR(__xludf.DUMMYFUNCTION("""COMPUTED_VALUE"""),45730.9986111111)</f>
        <v/>
      </c>
      <c r="AL2636" s="6">
        <f>IFERROR(__xludf.DUMMYFUNCTION("""COMPUTED_VALUE"""),81877.78)</f>
        <v/>
      </c>
      <c r="AP2636" s="6">
        <f>AQ2636&amp;AR2636</f>
        <v/>
      </c>
      <c r="AQ2636" s="6">
        <f>YEAR(AS2636)</f>
        <v/>
      </c>
      <c r="AR2636" s="6">
        <f>MONTH(AS2636)</f>
        <v/>
      </c>
    </row>
    <row r="2637">
      <c r="B2637" s="6">
        <f>C2637&amp;D2637</f>
        <v/>
      </c>
      <c r="C2637" s="6">
        <f>YEAR(E2637)</f>
        <v/>
      </c>
      <c r="D2637" s="6">
        <f>MONTH(E2637)</f>
        <v/>
      </c>
      <c r="J2637" s="6">
        <f>K2637&amp;L2637</f>
        <v/>
      </c>
      <c r="K2637" s="6">
        <f>YEAR(M2637)</f>
        <v/>
      </c>
      <c r="L2637" s="6">
        <f>MONTH(M2637)</f>
        <v/>
      </c>
      <c r="R2637" s="6">
        <f>S2637&amp;T2637</f>
        <v/>
      </c>
      <c r="S2637" s="6">
        <f>YEAR(U2637)</f>
        <v/>
      </c>
      <c r="T2637" s="6">
        <f>MONTH(U2637)</f>
        <v/>
      </c>
      <c r="Z2637" s="6">
        <f>AA2637&amp;AB2637</f>
        <v/>
      </c>
      <c r="AA2637" s="6">
        <f>YEAR(AC2637)</f>
        <v/>
      </c>
      <c r="AB2637" s="6">
        <f>MONTH(AC2637)</f>
        <v/>
      </c>
      <c r="AC2637" s="267">
        <f>IFERROR(__xludf.DUMMYFUNCTION("""COMPUTED_VALUE"""),45793.9986111111)</f>
        <v/>
      </c>
      <c r="AD2637" s="6">
        <f>IFERROR(__xludf.DUMMYFUNCTION("""COMPUTED_VALUE"""),1397.62)</f>
        <v/>
      </c>
      <c r="AH2637" s="6">
        <f>AI2637&amp;AJ2637</f>
        <v/>
      </c>
      <c r="AI2637" s="6">
        <f>YEAR(AK2637)</f>
        <v/>
      </c>
      <c r="AJ2637" s="6">
        <f>MONTH(AK2637)</f>
        <v/>
      </c>
      <c r="AK2637" s="267">
        <f>IFERROR(__xludf.DUMMYFUNCTION("""COMPUTED_VALUE"""),45731.9986111111)</f>
        <v/>
      </c>
      <c r="AL2637" s="6">
        <f>IFERROR(__xludf.DUMMYFUNCTION("""COMPUTED_VALUE"""),84582.41)</f>
        <v/>
      </c>
      <c r="AP2637" s="6">
        <f>AQ2637&amp;AR2637</f>
        <v/>
      </c>
      <c r="AQ2637" s="6">
        <f>YEAR(AS2637)</f>
        <v/>
      </c>
      <c r="AR2637" s="6">
        <f>MONTH(AS2637)</f>
        <v/>
      </c>
    </row>
    <row r="2638">
      <c r="B2638" s="6">
        <f>C2638&amp;D2638</f>
        <v/>
      </c>
      <c r="C2638" s="6">
        <f>YEAR(E2638)</f>
        <v/>
      </c>
      <c r="D2638" s="6">
        <f>MONTH(E2638)</f>
        <v/>
      </c>
      <c r="J2638" s="6">
        <f>K2638&amp;L2638</f>
        <v/>
      </c>
      <c r="K2638" s="6">
        <f>YEAR(M2638)</f>
        <v/>
      </c>
      <c r="L2638" s="6">
        <f>MONTH(M2638)</f>
        <v/>
      </c>
      <c r="R2638" s="6">
        <f>S2638&amp;T2638</f>
        <v/>
      </c>
      <c r="S2638" s="6">
        <f>YEAR(U2638)</f>
        <v/>
      </c>
      <c r="T2638" s="6">
        <f>MONTH(U2638)</f>
        <v/>
      </c>
      <c r="Z2638" s="6">
        <f>AA2638&amp;AB2638</f>
        <v/>
      </c>
      <c r="AA2638" s="6">
        <f>YEAR(AC2638)</f>
        <v/>
      </c>
      <c r="AB2638" s="6">
        <f>MONTH(AC2638)</f>
        <v/>
      </c>
      <c r="AC2638" s="267">
        <f>IFERROR(__xludf.DUMMYFUNCTION("""COMPUTED_VALUE"""),45794.9986111111)</f>
        <v/>
      </c>
      <c r="AD2638" s="6">
        <f>IFERROR(__xludf.DUMMYFUNCTION("""COMPUTED_VALUE"""),1397.62)</f>
        <v/>
      </c>
      <c r="AH2638" s="6">
        <f>AI2638&amp;AJ2638</f>
        <v/>
      </c>
      <c r="AI2638" s="6">
        <f>YEAR(AK2638)</f>
        <v/>
      </c>
      <c r="AJ2638" s="6">
        <f>MONTH(AK2638)</f>
        <v/>
      </c>
      <c r="AK2638" s="267">
        <f>IFERROR(__xludf.DUMMYFUNCTION("""COMPUTED_VALUE"""),45732.9986111111)</f>
        <v/>
      </c>
      <c r="AL2638" s="6">
        <f>IFERROR(__xludf.DUMMYFUNCTION("""COMPUTED_VALUE"""),84410.52)</f>
        <v/>
      </c>
      <c r="AP2638" s="6">
        <f>AQ2638&amp;AR2638</f>
        <v/>
      </c>
      <c r="AQ2638" s="6">
        <f>YEAR(AS2638)</f>
        <v/>
      </c>
      <c r="AR2638" s="6">
        <f>MONTH(AS2638)</f>
        <v/>
      </c>
    </row>
    <row r="2639">
      <c r="B2639" s="6">
        <f>C2639&amp;D2639</f>
        <v/>
      </c>
      <c r="C2639" s="6">
        <f>YEAR(E2639)</f>
        <v/>
      </c>
      <c r="D2639" s="6">
        <f>MONTH(E2639)</f>
        <v/>
      </c>
      <c r="J2639" s="6">
        <f>K2639&amp;L2639</f>
        <v/>
      </c>
      <c r="K2639" s="6">
        <f>YEAR(M2639)</f>
        <v/>
      </c>
      <c r="L2639" s="6">
        <f>MONTH(M2639)</f>
        <v/>
      </c>
      <c r="R2639" s="6">
        <f>S2639&amp;T2639</f>
        <v/>
      </c>
      <c r="S2639" s="6">
        <f>YEAR(U2639)</f>
        <v/>
      </c>
      <c r="T2639" s="6">
        <f>MONTH(U2639)</f>
        <v/>
      </c>
      <c r="Z2639" s="6">
        <f>AA2639&amp;AB2639</f>
        <v/>
      </c>
      <c r="AA2639" s="6">
        <f>YEAR(AC2639)</f>
        <v/>
      </c>
      <c r="AB2639" s="6">
        <f>MONTH(AC2639)</f>
        <v/>
      </c>
      <c r="AC2639" s="267">
        <f>IFERROR(__xludf.DUMMYFUNCTION("""COMPUTED_VALUE"""),45795.9986111111)</f>
        <v/>
      </c>
      <c r="AD2639" s="6">
        <f>IFERROR(__xludf.DUMMYFUNCTION("""COMPUTED_VALUE"""),1398.13)</f>
        <v/>
      </c>
      <c r="AH2639" s="6">
        <f>AI2639&amp;AJ2639</f>
        <v/>
      </c>
      <c r="AI2639" s="6">
        <f>YEAR(AK2639)</f>
        <v/>
      </c>
      <c r="AJ2639" s="6">
        <f>MONTH(AK2639)</f>
        <v/>
      </c>
      <c r="AK2639" s="267">
        <f>IFERROR(__xludf.DUMMYFUNCTION("""COMPUTED_VALUE"""),45733.9986111111)</f>
        <v/>
      </c>
      <c r="AL2639" s="6">
        <f>IFERROR(__xludf.DUMMYFUNCTION("""COMPUTED_VALUE"""),83702.25)</f>
        <v/>
      </c>
      <c r="AP2639" s="6">
        <f>AQ2639&amp;AR2639</f>
        <v/>
      </c>
      <c r="AQ2639" s="6">
        <f>YEAR(AS2639)</f>
        <v/>
      </c>
      <c r="AR2639" s="6">
        <f>MONTH(AS2639)</f>
        <v/>
      </c>
    </row>
    <row r="2640">
      <c r="B2640" s="6">
        <f>C2640&amp;D2640</f>
        <v/>
      </c>
      <c r="C2640" s="6">
        <f>YEAR(E2640)</f>
        <v/>
      </c>
      <c r="D2640" s="6">
        <f>MONTH(E2640)</f>
        <v/>
      </c>
      <c r="J2640" s="6">
        <f>K2640&amp;L2640</f>
        <v/>
      </c>
      <c r="K2640" s="6">
        <f>YEAR(M2640)</f>
        <v/>
      </c>
      <c r="L2640" s="6">
        <f>MONTH(M2640)</f>
        <v/>
      </c>
      <c r="R2640" s="6">
        <f>S2640&amp;T2640</f>
        <v/>
      </c>
      <c r="S2640" s="6">
        <f>YEAR(U2640)</f>
        <v/>
      </c>
      <c r="T2640" s="6">
        <f>MONTH(U2640)</f>
        <v/>
      </c>
      <c r="Z2640" s="6">
        <f>AA2640&amp;AB2640</f>
        <v/>
      </c>
      <c r="AA2640" s="6">
        <f>YEAR(AC2640)</f>
        <v/>
      </c>
      <c r="AB2640" s="6">
        <f>MONTH(AC2640)</f>
        <v/>
      </c>
      <c r="AC2640" s="267">
        <f>IFERROR(__xludf.DUMMYFUNCTION("""COMPUTED_VALUE"""),45796.9986111111)</f>
        <v/>
      </c>
      <c r="AD2640" s="6">
        <f>IFERROR(__xludf.DUMMYFUNCTION("""COMPUTED_VALUE"""),1388.55)</f>
        <v/>
      </c>
      <c r="AH2640" s="6">
        <f>AI2640&amp;AJ2640</f>
        <v/>
      </c>
      <c r="AI2640" s="6">
        <f>YEAR(AK2640)</f>
        <v/>
      </c>
      <c r="AJ2640" s="6">
        <f>MONTH(AK2640)</f>
        <v/>
      </c>
      <c r="AK2640" s="267">
        <f>IFERROR(__xludf.DUMMYFUNCTION("""COMPUTED_VALUE"""),45734.9986111111)</f>
        <v/>
      </c>
      <c r="AL2640" s="6">
        <f>IFERROR(__xludf.DUMMYFUNCTION("""COMPUTED_VALUE"""),83152.52)</f>
        <v/>
      </c>
      <c r="AP2640" s="6">
        <f>AQ2640&amp;AR2640</f>
        <v/>
      </c>
      <c r="AQ2640" s="6">
        <f>YEAR(AS2640)</f>
        <v/>
      </c>
      <c r="AR2640" s="6">
        <f>MONTH(AS2640)</f>
        <v/>
      </c>
    </row>
    <row r="2641">
      <c r="B2641" s="6">
        <f>C2641&amp;D2641</f>
        <v/>
      </c>
      <c r="C2641" s="6">
        <f>YEAR(E2641)</f>
        <v/>
      </c>
      <c r="D2641" s="6">
        <f>MONTH(E2641)</f>
        <v/>
      </c>
      <c r="J2641" s="6">
        <f>K2641&amp;L2641</f>
        <v/>
      </c>
      <c r="K2641" s="6">
        <f>YEAR(M2641)</f>
        <v/>
      </c>
      <c r="L2641" s="6">
        <f>MONTH(M2641)</f>
        <v/>
      </c>
      <c r="R2641" s="6">
        <f>S2641&amp;T2641</f>
        <v/>
      </c>
      <c r="S2641" s="6">
        <f>YEAR(U2641)</f>
        <v/>
      </c>
      <c r="T2641" s="6">
        <f>MONTH(U2641)</f>
        <v/>
      </c>
      <c r="Z2641" s="6">
        <f>AA2641&amp;AB2641</f>
        <v/>
      </c>
      <c r="AA2641" s="6">
        <f>YEAR(AC2641)</f>
        <v/>
      </c>
      <c r="AB2641" s="6">
        <f>MONTH(AC2641)</f>
        <v/>
      </c>
      <c r="AC2641" s="267">
        <f>IFERROR(__xludf.DUMMYFUNCTION("""COMPUTED_VALUE"""),45797.9986111111)</f>
        <v/>
      </c>
      <c r="AD2641" s="6">
        <f>IFERROR(__xludf.DUMMYFUNCTION("""COMPUTED_VALUE"""),1392.73)</f>
        <v/>
      </c>
      <c r="AH2641" s="6">
        <f>AI2641&amp;AJ2641</f>
        <v/>
      </c>
      <c r="AI2641" s="6">
        <f>YEAR(AK2641)</f>
        <v/>
      </c>
      <c r="AJ2641" s="6">
        <f>MONTH(AK2641)</f>
        <v/>
      </c>
      <c r="AK2641" s="267">
        <f>IFERROR(__xludf.DUMMYFUNCTION("""COMPUTED_VALUE"""),45735.9986111111)</f>
        <v/>
      </c>
      <c r="AL2641" s="6">
        <f>IFERROR(__xludf.DUMMYFUNCTION("""COMPUTED_VALUE"""),83076.51)</f>
        <v/>
      </c>
      <c r="AP2641" s="6">
        <f>AQ2641&amp;AR2641</f>
        <v/>
      </c>
      <c r="AQ2641" s="6">
        <f>YEAR(AS2641)</f>
        <v/>
      </c>
      <c r="AR2641" s="6">
        <f>MONTH(AS2641)</f>
        <v/>
      </c>
    </row>
    <row r="2642">
      <c r="B2642" s="6">
        <f>C2642&amp;D2642</f>
        <v/>
      </c>
      <c r="C2642" s="6">
        <f>YEAR(E2642)</f>
        <v/>
      </c>
      <c r="D2642" s="6">
        <f>MONTH(E2642)</f>
        <v/>
      </c>
      <c r="J2642" s="6">
        <f>K2642&amp;L2642</f>
        <v/>
      </c>
      <c r="K2642" s="6">
        <f>YEAR(M2642)</f>
        <v/>
      </c>
      <c r="L2642" s="6">
        <f>MONTH(M2642)</f>
        <v/>
      </c>
      <c r="R2642" s="6">
        <f>S2642&amp;T2642</f>
        <v/>
      </c>
      <c r="S2642" s="6">
        <f>YEAR(U2642)</f>
        <v/>
      </c>
      <c r="T2642" s="6">
        <f>MONTH(U2642)</f>
        <v/>
      </c>
      <c r="Z2642" s="6">
        <f>AA2642&amp;AB2642</f>
        <v/>
      </c>
      <c r="AA2642" s="6">
        <f>YEAR(AC2642)</f>
        <v/>
      </c>
      <c r="AB2642" s="6">
        <f>MONTH(AC2642)</f>
        <v/>
      </c>
      <c r="AC2642" s="267">
        <f>IFERROR(__xludf.DUMMYFUNCTION("""COMPUTED_VALUE"""),45798.9986111111)</f>
        <v/>
      </c>
      <c r="AD2642" s="6">
        <f>IFERROR(__xludf.DUMMYFUNCTION("""COMPUTED_VALUE"""),1373.86)</f>
        <v/>
      </c>
      <c r="AH2642" s="6">
        <f>AI2642&amp;AJ2642</f>
        <v/>
      </c>
      <c r="AI2642" s="6">
        <f>YEAR(AK2642)</f>
        <v/>
      </c>
      <c r="AJ2642" s="6">
        <f>MONTH(AK2642)</f>
        <v/>
      </c>
      <c r="AK2642" s="267">
        <f>IFERROR(__xludf.DUMMYFUNCTION("""COMPUTED_VALUE"""),45736.9986111111)</f>
        <v/>
      </c>
      <c r="AL2642" s="6">
        <f>IFERROR(__xludf.DUMMYFUNCTION("""COMPUTED_VALUE"""),85919.08)</f>
        <v/>
      </c>
      <c r="AP2642" s="6">
        <f>AQ2642&amp;AR2642</f>
        <v/>
      </c>
      <c r="AQ2642" s="6">
        <f>YEAR(AS2642)</f>
        <v/>
      </c>
      <c r="AR2642" s="6">
        <f>MONTH(AS2642)</f>
        <v/>
      </c>
    </row>
    <row r="2643">
      <c r="B2643" s="6">
        <f>C2643&amp;D2643</f>
        <v/>
      </c>
      <c r="C2643" s="6">
        <f>YEAR(E2643)</f>
        <v/>
      </c>
      <c r="D2643" s="6">
        <f>MONTH(E2643)</f>
        <v/>
      </c>
      <c r="J2643" s="6">
        <f>K2643&amp;L2643</f>
        <v/>
      </c>
      <c r="K2643" s="6">
        <f>YEAR(M2643)</f>
        <v/>
      </c>
      <c r="L2643" s="6">
        <f>MONTH(M2643)</f>
        <v/>
      </c>
      <c r="R2643" s="6">
        <f>S2643&amp;T2643</f>
        <v/>
      </c>
      <c r="S2643" s="6">
        <f>YEAR(U2643)</f>
        <v/>
      </c>
      <c r="T2643" s="6">
        <f>MONTH(U2643)</f>
        <v/>
      </c>
      <c r="Z2643" s="6">
        <f>AA2643&amp;AB2643</f>
        <v/>
      </c>
      <c r="AA2643" s="6">
        <f>YEAR(AC2643)</f>
        <v/>
      </c>
      <c r="AB2643" s="6">
        <f>MONTH(AC2643)</f>
        <v/>
      </c>
      <c r="AC2643" s="267">
        <f>IFERROR(__xludf.DUMMYFUNCTION("""COMPUTED_VALUE"""),45799.9986111111)</f>
        <v/>
      </c>
      <c r="AD2643" s="6">
        <f>IFERROR(__xludf.DUMMYFUNCTION("""COMPUTED_VALUE"""),1381.34)</f>
        <v/>
      </c>
      <c r="AH2643" s="6">
        <f>AI2643&amp;AJ2643</f>
        <v/>
      </c>
      <c r="AI2643" s="6">
        <f>YEAR(AK2643)</f>
        <v/>
      </c>
      <c r="AJ2643" s="6">
        <f>MONTH(AK2643)</f>
        <v/>
      </c>
      <c r="AK2643" s="267">
        <f>IFERROR(__xludf.DUMMYFUNCTION("""COMPUTED_VALUE"""),45737.9986111111)</f>
        <v/>
      </c>
      <c r="AL2643" s="6">
        <f>IFERROR(__xludf.DUMMYFUNCTION("""COMPUTED_VALUE"""),84434.41)</f>
        <v/>
      </c>
      <c r="AP2643" s="6">
        <f>AQ2643&amp;AR2643</f>
        <v/>
      </c>
      <c r="AQ2643" s="6">
        <f>YEAR(AS2643)</f>
        <v/>
      </c>
      <c r="AR2643" s="6">
        <f>MONTH(AS2643)</f>
        <v/>
      </c>
    </row>
    <row r="2644">
      <c r="B2644" s="6">
        <f>C2644&amp;D2644</f>
        <v/>
      </c>
      <c r="C2644" s="6">
        <f>YEAR(E2644)</f>
        <v/>
      </c>
      <c r="D2644" s="6">
        <f>MONTH(E2644)</f>
        <v/>
      </c>
      <c r="J2644" s="6">
        <f>K2644&amp;L2644</f>
        <v/>
      </c>
      <c r="K2644" s="6">
        <f>YEAR(M2644)</f>
        <v/>
      </c>
      <c r="L2644" s="6">
        <f>MONTH(M2644)</f>
        <v/>
      </c>
      <c r="R2644" s="6">
        <f>S2644&amp;T2644</f>
        <v/>
      </c>
      <c r="S2644" s="6">
        <f>YEAR(U2644)</f>
        <v/>
      </c>
      <c r="T2644" s="6">
        <f>MONTH(U2644)</f>
        <v/>
      </c>
      <c r="Z2644" s="6">
        <f>AA2644&amp;AB2644</f>
        <v/>
      </c>
      <c r="AA2644" s="6">
        <f>YEAR(AC2644)</f>
        <v/>
      </c>
      <c r="AB2644" s="6">
        <f>MONTH(AC2644)</f>
        <v/>
      </c>
      <c r="AC2644" s="267">
        <f>IFERROR(__xludf.DUMMYFUNCTION("""COMPUTED_VALUE"""),45800.9986111111)</f>
        <v/>
      </c>
      <c r="AD2644" s="6">
        <f>IFERROR(__xludf.DUMMYFUNCTION("""COMPUTED_VALUE"""),1364.23)</f>
        <v/>
      </c>
      <c r="AH2644" s="6">
        <f>AI2644&amp;AJ2644</f>
        <v/>
      </c>
      <c r="AI2644" s="6">
        <f>YEAR(AK2644)</f>
        <v/>
      </c>
      <c r="AJ2644" s="6">
        <f>MONTH(AK2644)</f>
        <v/>
      </c>
      <c r="AK2644" s="267">
        <f>IFERROR(__xludf.DUMMYFUNCTION("""COMPUTED_VALUE"""),45738.9986111111)</f>
        <v/>
      </c>
      <c r="AL2644" s="6">
        <f>IFERROR(__xludf.DUMMYFUNCTION("""COMPUTED_VALUE"""),84345.25)</f>
        <v/>
      </c>
      <c r="AP2644" s="6">
        <f>AQ2644&amp;AR2644</f>
        <v/>
      </c>
      <c r="AQ2644" s="6">
        <f>YEAR(AS2644)</f>
        <v/>
      </c>
      <c r="AR2644" s="6">
        <f>MONTH(AS2644)</f>
        <v/>
      </c>
    </row>
    <row r="2645">
      <c r="B2645" s="6">
        <f>C2645&amp;D2645</f>
        <v/>
      </c>
      <c r="C2645" s="6">
        <f>YEAR(E2645)</f>
        <v/>
      </c>
      <c r="D2645" s="6">
        <f>MONTH(E2645)</f>
        <v/>
      </c>
      <c r="J2645" s="6">
        <f>K2645&amp;L2645</f>
        <v/>
      </c>
      <c r="K2645" s="6">
        <f>YEAR(M2645)</f>
        <v/>
      </c>
      <c r="L2645" s="6">
        <f>MONTH(M2645)</f>
        <v/>
      </c>
      <c r="R2645" s="6">
        <f>S2645&amp;T2645</f>
        <v/>
      </c>
      <c r="S2645" s="6">
        <f>YEAR(U2645)</f>
        <v/>
      </c>
      <c r="T2645" s="6">
        <f>MONTH(U2645)</f>
        <v/>
      </c>
      <c r="Z2645" s="6">
        <f>AA2645&amp;AB2645</f>
        <v/>
      </c>
      <c r="AA2645" s="6">
        <f>YEAR(AC2645)</f>
        <v/>
      </c>
      <c r="AB2645" s="6">
        <f>MONTH(AC2645)</f>
        <v/>
      </c>
      <c r="AC2645" s="267">
        <f>IFERROR(__xludf.DUMMYFUNCTION("""COMPUTED_VALUE"""),45801.9986111111)</f>
        <v/>
      </c>
      <c r="AD2645" s="6">
        <f>IFERROR(__xludf.DUMMYFUNCTION("""COMPUTED_VALUE"""),1364.23)</f>
        <v/>
      </c>
      <c r="AH2645" s="6">
        <f>AI2645&amp;AJ2645</f>
        <v/>
      </c>
      <c r="AI2645" s="6">
        <f>YEAR(AK2645)</f>
        <v/>
      </c>
      <c r="AJ2645" s="6">
        <f>MONTH(AK2645)</f>
        <v/>
      </c>
      <c r="AK2645" s="267">
        <f>IFERROR(__xludf.DUMMYFUNCTION("""COMPUTED_VALUE"""),45739.9986111111)</f>
        <v/>
      </c>
      <c r="AL2645" s="6">
        <f>IFERROR(__xludf.DUMMYFUNCTION("""COMPUTED_VALUE"""),84294.35)</f>
        <v/>
      </c>
      <c r="AP2645" s="6">
        <f>AQ2645&amp;AR2645</f>
        <v/>
      </c>
      <c r="AQ2645" s="6">
        <f>YEAR(AS2645)</f>
        <v/>
      </c>
      <c r="AR2645" s="6">
        <f>MONTH(AS2645)</f>
        <v/>
      </c>
    </row>
    <row r="2646">
      <c r="B2646" s="6">
        <f>C2646&amp;D2646</f>
        <v/>
      </c>
      <c r="C2646" s="6">
        <f>YEAR(E2646)</f>
        <v/>
      </c>
      <c r="D2646" s="6">
        <f>MONTH(E2646)</f>
        <v/>
      </c>
      <c r="J2646" s="6">
        <f>K2646&amp;L2646</f>
        <v/>
      </c>
      <c r="K2646" s="6">
        <f>YEAR(M2646)</f>
        <v/>
      </c>
      <c r="L2646" s="6">
        <f>MONTH(M2646)</f>
        <v/>
      </c>
      <c r="R2646" s="6">
        <f>S2646&amp;T2646</f>
        <v/>
      </c>
      <c r="S2646" s="6">
        <f>YEAR(U2646)</f>
        <v/>
      </c>
      <c r="T2646" s="6">
        <f>MONTH(U2646)</f>
        <v/>
      </c>
      <c r="Z2646" s="6">
        <f>AA2646&amp;AB2646</f>
        <v/>
      </c>
      <c r="AA2646" s="6">
        <f>YEAR(AC2646)</f>
        <v/>
      </c>
      <c r="AB2646" s="6">
        <f>MONTH(AC2646)</f>
        <v/>
      </c>
      <c r="AC2646" s="267">
        <f>IFERROR(__xludf.DUMMYFUNCTION("""COMPUTED_VALUE"""),45802.9986111111)</f>
        <v/>
      </c>
      <c r="AD2646" s="6">
        <f>IFERROR(__xludf.DUMMYFUNCTION("""COMPUTED_VALUE"""),1364.73)</f>
        <v/>
      </c>
      <c r="AH2646" s="6">
        <f>AI2646&amp;AJ2646</f>
        <v/>
      </c>
      <c r="AI2646" s="6">
        <f>YEAR(AK2646)</f>
        <v/>
      </c>
      <c r="AJ2646" s="6">
        <f>MONTH(AK2646)</f>
        <v/>
      </c>
      <c r="AK2646" s="267">
        <f>IFERROR(__xludf.DUMMYFUNCTION("""COMPUTED_VALUE"""),45740.9986111111)</f>
        <v/>
      </c>
      <c r="AL2646" s="6">
        <f>IFERROR(__xludf.DUMMYFUNCTION("""COMPUTED_VALUE"""),86531.37)</f>
        <v/>
      </c>
      <c r="AP2646" s="6">
        <f>AQ2646&amp;AR2646</f>
        <v/>
      </c>
      <c r="AQ2646" s="6">
        <f>YEAR(AS2646)</f>
        <v/>
      </c>
      <c r="AR2646" s="6">
        <f>MONTH(AS2646)</f>
        <v/>
      </c>
    </row>
    <row r="2647">
      <c r="B2647" s="6">
        <f>C2647&amp;D2647</f>
        <v/>
      </c>
      <c r="C2647" s="6">
        <f>YEAR(E2647)</f>
        <v/>
      </c>
      <c r="D2647" s="6">
        <f>MONTH(E2647)</f>
        <v/>
      </c>
      <c r="J2647" s="6">
        <f>K2647&amp;L2647</f>
        <v/>
      </c>
      <c r="K2647" s="6">
        <f>YEAR(M2647)</f>
        <v/>
      </c>
      <c r="L2647" s="6">
        <f>MONTH(M2647)</f>
        <v/>
      </c>
      <c r="R2647" s="6">
        <f>S2647&amp;T2647</f>
        <v/>
      </c>
      <c r="S2647" s="6">
        <f>YEAR(U2647)</f>
        <v/>
      </c>
      <c r="T2647" s="6">
        <f>MONTH(U2647)</f>
        <v/>
      </c>
      <c r="Z2647" s="6">
        <f>AA2647&amp;AB2647</f>
        <v/>
      </c>
      <c r="AA2647" s="6">
        <f>YEAR(AC2647)</f>
        <v/>
      </c>
      <c r="AB2647" s="6">
        <f>MONTH(AC2647)</f>
        <v/>
      </c>
      <c r="AC2647" s="267">
        <f>IFERROR(__xludf.DUMMYFUNCTION("""COMPUTED_VALUE"""),45803.9986111111)</f>
        <v/>
      </c>
      <c r="AD2647" s="6">
        <f>IFERROR(__xludf.DUMMYFUNCTION("""COMPUTED_VALUE"""),1368.1)</f>
        <v/>
      </c>
      <c r="AH2647" s="6">
        <f>AI2647&amp;AJ2647</f>
        <v/>
      </c>
      <c r="AI2647" s="6">
        <f>YEAR(AK2647)</f>
        <v/>
      </c>
      <c r="AJ2647" s="6">
        <f>MONTH(AK2647)</f>
        <v/>
      </c>
      <c r="AK2647" s="267">
        <f>IFERROR(__xludf.DUMMYFUNCTION("""COMPUTED_VALUE"""),45741.9986111111)</f>
        <v/>
      </c>
      <c r="AL2647" s="6">
        <f>IFERROR(__xludf.DUMMYFUNCTION("""COMPUTED_VALUE"""),86496.49)</f>
        <v/>
      </c>
      <c r="AP2647" s="6">
        <f>AQ2647&amp;AR2647</f>
        <v/>
      </c>
      <c r="AQ2647" s="6">
        <f>YEAR(AS2647)</f>
        <v/>
      </c>
      <c r="AR2647" s="6">
        <f>MONTH(AS2647)</f>
        <v/>
      </c>
    </row>
    <row r="2648">
      <c r="B2648" s="6">
        <f>C2648&amp;D2648</f>
        <v/>
      </c>
      <c r="C2648" s="6">
        <f>YEAR(E2648)</f>
        <v/>
      </c>
      <c r="D2648" s="6">
        <f>MONTH(E2648)</f>
        <v/>
      </c>
      <c r="J2648" s="6">
        <f>K2648&amp;L2648</f>
        <v/>
      </c>
      <c r="K2648" s="6">
        <f>YEAR(M2648)</f>
        <v/>
      </c>
      <c r="L2648" s="6">
        <f>MONTH(M2648)</f>
        <v/>
      </c>
      <c r="R2648" s="6">
        <f>S2648&amp;T2648</f>
        <v/>
      </c>
      <c r="S2648" s="6">
        <f>YEAR(U2648)</f>
        <v/>
      </c>
      <c r="T2648" s="6">
        <f>MONTH(U2648)</f>
        <v/>
      </c>
      <c r="Z2648" s="6">
        <f>AA2648&amp;AB2648</f>
        <v/>
      </c>
      <c r="AA2648" s="6">
        <f>YEAR(AC2648)</f>
        <v/>
      </c>
      <c r="AB2648" s="6">
        <f>MONTH(AC2648)</f>
        <v/>
      </c>
      <c r="AC2648" s="267">
        <f>IFERROR(__xludf.DUMMYFUNCTION("""COMPUTED_VALUE"""),45804.9986111111)</f>
        <v/>
      </c>
      <c r="AD2648" s="6">
        <f>IFERROR(__xludf.DUMMYFUNCTION("""COMPUTED_VALUE"""),1374.8)</f>
        <v/>
      </c>
      <c r="AH2648" s="6">
        <f>AI2648&amp;AJ2648</f>
        <v/>
      </c>
      <c r="AI2648" s="6">
        <f>YEAR(AK2648)</f>
        <v/>
      </c>
      <c r="AJ2648" s="6">
        <f>MONTH(AK2648)</f>
        <v/>
      </c>
      <c r="AK2648" s="267">
        <f>IFERROR(__xludf.DUMMYFUNCTION("""COMPUTED_VALUE"""),45742.9986111111)</f>
        <v/>
      </c>
      <c r="AL2648" s="6">
        <f>IFERROR(__xludf.DUMMYFUNCTION("""COMPUTED_VALUE"""),87186.84)</f>
        <v/>
      </c>
      <c r="AP2648" s="6">
        <f>AQ2648&amp;AR2648</f>
        <v/>
      </c>
      <c r="AQ2648" s="6">
        <f>YEAR(AS2648)</f>
        <v/>
      </c>
      <c r="AR2648" s="6">
        <f>MONTH(AS2648)</f>
        <v/>
      </c>
    </row>
    <row r="2649">
      <c r="B2649" s="6">
        <f>C2649&amp;D2649</f>
        <v/>
      </c>
      <c r="C2649" s="6">
        <f>YEAR(E2649)</f>
        <v/>
      </c>
      <c r="D2649" s="6">
        <f>MONTH(E2649)</f>
        <v/>
      </c>
      <c r="J2649" s="6">
        <f>K2649&amp;L2649</f>
        <v/>
      </c>
      <c r="K2649" s="6">
        <f>YEAR(M2649)</f>
        <v/>
      </c>
      <c r="L2649" s="6">
        <f>MONTH(M2649)</f>
        <v/>
      </c>
      <c r="R2649" s="6">
        <f>S2649&amp;T2649</f>
        <v/>
      </c>
      <c r="S2649" s="6">
        <f>YEAR(U2649)</f>
        <v/>
      </c>
      <c r="T2649" s="6">
        <f>MONTH(U2649)</f>
        <v/>
      </c>
      <c r="Z2649" s="6">
        <f>AA2649&amp;AB2649</f>
        <v/>
      </c>
      <c r="AA2649" s="6">
        <f>YEAR(AC2649)</f>
        <v/>
      </c>
      <c r="AB2649" s="6">
        <f>MONTH(AC2649)</f>
        <v/>
      </c>
      <c r="AC2649" s="267">
        <f>IFERROR(__xludf.DUMMYFUNCTION("""COMPUTED_VALUE"""),45805.9986111111)</f>
        <v/>
      </c>
      <c r="AD2649" s="6">
        <f>IFERROR(__xludf.DUMMYFUNCTION("""COMPUTED_VALUE"""),1373.6)</f>
        <v/>
      </c>
      <c r="AH2649" s="6">
        <f>AI2649&amp;AJ2649</f>
        <v/>
      </c>
      <c r="AI2649" s="6">
        <f>YEAR(AK2649)</f>
        <v/>
      </c>
      <c r="AJ2649" s="6">
        <f>MONTH(AK2649)</f>
        <v/>
      </c>
      <c r="AK2649" s="267">
        <f>IFERROR(__xludf.DUMMYFUNCTION("""COMPUTED_VALUE"""),45743.9986111111)</f>
        <v/>
      </c>
      <c r="AL2649" s="6">
        <f>IFERROR(__xludf.DUMMYFUNCTION("""COMPUTED_VALUE"""),87692.71)</f>
        <v/>
      </c>
      <c r="AP2649" s="6">
        <f>AQ2649&amp;AR2649</f>
        <v/>
      </c>
      <c r="AQ2649" s="6">
        <f>YEAR(AS2649)</f>
        <v/>
      </c>
      <c r="AR2649" s="6">
        <f>MONTH(AS2649)</f>
        <v/>
      </c>
    </row>
    <row r="2650">
      <c r="B2650" s="6">
        <f>C2650&amp;D2650</f>
        <v/>
      </c>
      <c r="C2650" s="6">
        <f>YEAR(E2650)</f>
        <v/>
      </c>
      <c r="D2650" s="6">
        <f>MONTH(E2650)</f>
        <v/>
      </c>
      <c r="J2650" s="6">
        <f>K2650&amp;L2650</f>
        <v/>
      </c>
      <c r="K2650" s="6">
        <f>YEAR(M2650)</f>
        <v/>
      </c>
      <c r="L2650" s="6">
        <f>MONTH(M2650)</f>
        <v/>
      </c>
      <c r="R2650" s="6">
        <f>S2650&amp;T2650</f>
        <v/>
      </c>
      <c r="S2650" s="6">
        <f>YEAR(U2650)</f>
        <v/>
      </c>
      <c r="T2650" s="6">
        <f>MONTH(U2650)</f>
        <v/>
      </c>
      <c r="Z2650" s="6">
        <f>AA2650&amp;AB2650</f>
        <v/>
      </c>
      <c r="AA2650" s="6">
        <f>YEAR(AC2650)</f>
        <v/>
      </c>
      <c r="AB2650" s="6">
        <f>MONTH(AC2650)</f>
        <v/>
      </c>
      <c r="AC2650" s="267">
        <f>IFERROR(__xludf.DUMMYFUNCTION("""COMPUTED_VALUE"""),45806.9986111111)</f>
        <v/>
      </c>
      <c r="AD2650" s="6">
        <f>IFERROR(__xludf.DUMMYFUNCTION("""COMPUTED_VALUE"""),1370.41)</f>
        <v/>
      </c>
      <c r="AH2650" s="6">
        <f>AI2650&amp;AJ2650</f>
        <v/>
      </c>
      <c r="AI2650" s="6">
        <f>YEAR(AK2650)</f>
        <v/>
      </c>
      <c r="AJ2650" s="6">
        <f>MONTH(AK2650)</f>
        <v/>
      </c>
      <c r="AK2650" s="267">
        <f>IFERROR(__xludf.DUMMYFUNCTION("""COMPUTED_VALUE"""),45744.9986111111)</f>
        <v/>
      </c>
      <c r="AL2650" s="6">
        <f>IFERROR(__xludf.DUMMYFUNCTION("""COMPUTED_VALUE"""),86810.84)</f>
        <v/>
      </c>
      <c r="AP2650" s="6">
        <f>AQ2650&amp;AR2650</f>
        <v/>
      </c>
      <c r="AQ2650" s="6">
        <f>YEAR(AS2650)</f>
        <v/>
      </c>
      <c r="AR2650" s="6">
        <f>MONTH(AS2650)</f>
        <v/>
      </c>
    </row>
    <row r="2651">
      <c r="B2651" s="6">
        <f>C2651&amp;D2651</f>
        <v/>
      </c>
      <c r="C2651" s="6">
        <f>YEAR(E2651)</f>
        <v/>
      </c>
      <c r="D2651" s="6">
        <f>MONTH(E2651)</f>
        <v/>
      </c>
      <c r="J2651" s="6">
        <f>K2651&amp;L2651</f>
        <v/>
      </c>
      <c r="K2651" s="6">
        <f>YEAR(M2651)</f>
        <v/>
      </c>
      <c r="L2651" s="6">
        <f>MONTH(M2651)</f>
        <v/>
      </c>
      <c r="R2651" s="6">
        <f>S2651&amp;T2651</f>
        <v/>
      </c>
      <c r="S2651" s="6">
        <f>YEAR(U2651)</f>
        <v/>
      </c>
      <c r="T2651" s="6">
        <f>MONTH(U2651)</f>
        <v/>
      </c>
      <c r="Z2651" s="6">
        <f>AA2651&amp;AB2651</f>
        <v/>
      </c>
      <c r="AA2651" s="6">
        <f>YEAR(AC2651)</f>
        <v/>
      </c>
      <c r="AB2651" s="6">
        <f>MONTH(AC2651)</f>
        <v/>
      </c>
      <c r="AC2651" s="267">
        <f>IFERROR(__xludf.DUMMYFUNCTION("""COMPUTED_VALUE"""),45807.9986111111)</f>
        <v/>
      </c>
      <c r="AD2651" s="6">
        <f>IFERROR(__xludf.DUMMYFUNCTION("""COMPUTED_VALUE"""),1381.98)</f>
        <v/>
      </c>
      <c r="AH2651" s="6">
        <f>AI2651&amp;AJ2651</f>
        <v/>
      </c>
      <c r="AI2651" s="6">
        <f>YEAR(AK2651)</f>
        <v/>
      </c>
      <c r="AJ2651" s="6">
        <f>MONTH(AK2651)</f>
        <v/>
      </c>
      <c r="AK2651" s="267">
        <f>IFERROR(__xludf.DUMMYFUNCTION("""COMPUTED_VALUE"""),45745.9986111111)</f>
        <v/>
      </c>
      <c r="AL2651" s="6">
        <f>IFERROR(__xludf.DUMMYFUNCTION("""COMPUTED_VALUE"""),84261.42)</f>
        <v/>
      </c>
      <c r="AP2651" s="6">
        <f>AQ2651&amp;AR2651</f>
        <v/>
      </c>
      <c r="AQ2651" s="6">
        <f>YEAR(AS2651)</f>
        <v/>
      </c>
      <c r="AR2651" s="6">
        <f>MONTH(AS2651)</f>
        <v/>
      </c>
    </row>
    <row r="2652">
      <c r="B2652" s="6">
        <f>C2652&amp;D2652</f>
        <v/>
      </c>
      <c r="C2652" s="6">
        <f>YEAR(E2652)</f>
        <v/>
      </c>
      <c r="D2652" s="6">
        <f>MONTH(E2652)</f>
        <v/>
      </c>
      <c r="J2652" s="6">
        <f>K2652&amp;L2652</f>
        <v/>
      </c>
      <c r="K2652" s="6">
        <f>YEAR(M2652)</f>
        <v/>
      </c>
      <c r="L2652" s="6">
        <f>MONTH(M2652)</f>
        <v/>
      </c>
      <c r="R2652" s="6">
        <f>S2652&amp;T2652</f>
        <v/>
      </c>
      <c r="S2652" s="6">
        <f>YEAR(U2652)</f>
        <v/>
      </c>
      <c r="T2652" s="6">
        <f>MONTH(U2652)</f>
        <v/>
      </c>
      <c r="Z2652" s="6">
        <f>AA2652&amp;AB2652</f>
        <v/>
      </c>
      <c r="AA2652" s="6">
        <f>YEAR(AC2652)</f>
        <v/>
      </c>
      <c r="AB2652" s="6">
        <f>MONTH(AC2652)</f>
        <v/>
      </c>
      <c r="AC2652" s="267">
        <f>IFERROR(__xludf.DUMMYFUNCTION("""COMPUTED_VALUE"""),45808.9986111111)</f>
        <v/>
      </c>
      <c r="AD2652" s="6">
        <f>IFERROR(__xludf.DUMMYFUNCTION("""COMPUTED_VALUE"""),1381.98)</f>
        <v/>
      </c>
      <c r="AH2652" s="6">
        <f>AI2652&amp;AJ2652</f>
        <v/>
      </c>
      <c r="AI2652" s="6">
        <f>YEAR(AK2652)</f>
        <v/>
      </c>
      <c r="AJ2652" s="6">
        <f>MONTH(AK2652)</f>
        <v/>
      </c>
      <c r="AK2652" s="267">
        <f>IFERROR(__xludf.DUMMYFUNCTION("""COMPUTED_VALUE"""),45746.9986111111)</f>
        <v/>
      </c>
      <c r="AL2652" s="6">
        <f>IFERROR(__xludf.DUMMYFUNCTION("""COMPUTED_VALUE"""),83184.34)</f>
        <v/>
      </c>
      <c r="AP2652" s="6">
        <f>AQ2652&amp;AR2652</f>
        <v/>
      </c>
      <c r="AQ2652" s="6">
        <f>YEAR(AS2652)</f>
        <v/>
      </c>
      <c r="AR2652" s="6">
        <f>MONTH(AS2652)</f>
        <v/>
      </c>
    </row>
    <row r="2653">
      <c r="B2653" s="6">
        <f>C2653&amp;D2653</f>
        <v/>
      </c>
      <c r="C2653" s="6">
        <f>YEAR(E2653)</f>
        <v/>
      </c>
      <c r="D2653" s="6">
        <f>MONTH(E2653)</f>
        <v/>
      </c>
      <c r="J2653" s="6">
        <f>K2653&amp;L2653</f>
        <v/>
      </c>
      <c r="K2653" s="6">
        <f>YEAR(M2653)</f>
        <v/>
      </c>
      <c r="L2653" s="6">
        <f>MONTH(M2653)</f>
        <v/>
      </c>
      <c r="R2653" s="6">
        <f>S2653&amp;T2653</f>
        <v/>
      </c>
      <c r="S2653" s="6">
        <f>YEAR(U2653)</f>
        <v/>
      </c>
      <c r="T2653" s="6">
        <f>MONTH(U2653)</f>
        <v/>
      </c>
      <c r="Z2653" s="6">
        <f>AA2653&amp;AB2653</f>
        <v/>
      </c>
      <c r="AA2653" s="6">
        <f>YEAR(AC2653)</f>
        <v/>
      </c>
      <c r="AB2653" s="6">
        <f>MONTH(AC2653)</f>
        <v/>
      </c>
      <c r="AC2653" s="267">
        <f>IFERROR(__xludf.DUMMYFUNCTION("""COMPUTED_VALUE"""),45809.9986111111)</f>
        <v/>
      </c>
      <c r="AD2653" s="6">
        <f>IFERROR(__xludf.DUMMYFUNCTION("""COMPUTED_VALUE"""),1381.99)</f>
        <v/>
      </c>
      <c r="AH2653" s="6">
        <f>AI2653&amp;AJ2653</f>
        <v/>
      </c>
      <c r="AI2653" s="6">
        <f>YEAR(AK2653)</f>
        <v/>
      </c>
      <c r="AJ2653" s="6">
        <f>MONTH(AK2653)</f>
        <v/>
      </c>
      <c r="AK2653" s="267">
        <f>IFERROR(__xludf.DUMMYFUNCTION("""COMPUTED_VALUE"""),45747.9986111111)</f>
        <v/>
      </c>
      <c r="AL2653" s="6">
        <f>IFERROR(__xludf.DUMMYFUNCTION("""COMPUTED_VALUE"""),81559.22)</f>
        <v/>
      </c>
      <c r="AP2653" s="6">
        <f>AQ2653&amp;AR2653</f>
        <v/>
      </c>
      <c r="AQ2653" s="6">
        <f>YEAR(AS2653)</f>
        <v/>
      </c>
      <c r="AR2653" s="6">
        <f>MONTH(AS2653)</f>
        <v/>
      </c>
    </row>
    <row r="2654">
      <c r="B2654" s="6">
        <f>C2654&amp;D2654</f>
        <v/>
      </c>
      <c r="C2654" s="6">
        <f>YEAR(E2654)</f>
        <v/>
      </c>
      <c r="D2654" s="6">
        <f>MONTH(E2654)</f>
        <v/>
      </c>
      <c r="J2654" s="6">
        <f>K2654&amp;L2654</f>
        <v/>
      </c>
      <c r="K2654" s="6">
        <f>YEAR(M2654)</f>
        <v/>
      </c>
      <c r="L2654" s="6">
        <f>MONTH(M2654)</f>
        <v/>
      </c>
      <c r="R2654" s="6">
        <f>S2654&amp;T2654</f>
        <v/>
      </c>
      <c r="S2654" s="6">
        <f>YEAR(U2654)</f>
        <v/>
      </c>
      <c r="T2654" s="6">
        <f>MONTH(U2654)</f>
        <v/>
      </c>
      <c r="Z2654" s="6">
        <f>AA2654&amp;AB2654</f>
        <v/>
      </c>
      <c r="AA2654" s="6">
        <f>YEAR(AC2654)</f>
        <v/>
      </c>
      <c r="AB2654" s="6">
        <f>MONTH(AC2654)</f>
        <v/>
      </c>
      <c r="AC2654" s="267">
        <f>IFERROR(__xludf.DUMMYFUNCTION("""COMPUTED_VALUE"""),45810.9986111111)</f>
        <v/>
      </c>
      <c r="AD2654" s="6">
        <f>IFERROR(__xludf.DUMMYFUNCTION("""COMPUTED_VALUE"""),1376.07)</f>
        <v/>
      </c>
      <c r="AH2654" s="6">
        <f>AI2654&amp;AJ2654</f>
        <v/>
      </c>
      <c r="AI2654" s="6">
        <f>YEAR(AK2654)</f>
        <v/>
      </c>
      <c r="AJ2654" s="6">
        <f>MONTH(AK2654)</f>
        <v/>
      </c>
      <c r="AK2654" s="267">
        <f>IFERROR(__xludf.DUMMYFUNCTION("""COMPUTED_VALUE"""),45748.9986111111)</f>
        <v/>
      </c>
      <c r="AL2654" s="6">
        <f>IFERROR(__xludf.DUMMYFUNCTION("""COMPUTED_VALUE"""),82963.95)</f>
        <v/>
      </c>
      <c r="AP2654" s="6">
        <f>AQ2654&amp;AR2654</f>
        <v/>
      </c>
      <c r="AQ2654" s="6">
        <f>YEAR(AS2654)</f>
        <v/>
      </c>
      <c r="AR2654" s="6">
        <f>MONTH(AS2654)</f>
        <v/>
      </c>
    </row>
    <row r="2655">
      <c r="B2655" s="6">
        <f>C2655&amp;D2655</f>
        <v/>
      </c>
      <c r="C2655" s="6">
        <f>YEAR(E2655)</f>
        <v/>
      </c>
      <c r="D2655" s="6">
        <f>MONTH(E2655)</f>
        <v/>
      </c>
      <c r="J2655" s="6">
        <f>K2655&amp;L2655</f>
        <v/>
      </c>
      <c r="K2655" s="6">
        <f>YEAR(M2655)</f>
        <v/>
      </c>
      <c r="L2655" s="6">
        <f>MONTH(M2655)</f>
        <v/>
      </c>
      <c r="R2655" s="6">
        <f>S2655&amp;T2655</f>
        <v/>
      </c>
      <c r="S2655" s="6">
        <f>YEAR(U2655)</f>
        <v/>
      </c>
      <c r="T2655" s="6">
        <f>MONTH(U2655)</f>
        <v/>
      </c>
      <c r="Z2655" s="6">
        <f>AA2655&amp;AB2655</f>
        <v/>
      </c>
      <c r="AA2655" s="6">
        <f>YEAR(AC2655)</f>
        <v/>
      </c>
      <c r="AB2655" s="6">
        <f>MONTH(AC2655)</f>
        <v/>
      </c>
      <c r="AC2655" s="267">
        <f>IFERROR(__xludf.DUMMYFUNCTION("""COMPUTED_VALUE"""),45811.9986111111)</f>
        <v/>
      </c>
      <c r="AD2655" s="6">
        <f>IFERROR(__xludf.DUMMYFUNCTION("""COMPUTED_VALUE"""),1377.72)</f>
        <v/>
      </c>
      <c r="AH2655" s="6">
        <f>AI2655&amp;AJ2655</f>
        <v/>
      </c>
      <c r="AI2655" s="6">
        <f>YEAR(AK2655)</f>
        <v/>
      </c>
      <c r="AJ2655" s="6">
        <f>MONTH(AK2655)</f>
        <v/>
      </c>
      <c r="AK2655" s="267">
        <f>IFERROR(__xludf.DUMMYFUNCTION("""COMPUTED_VALUE"""),45749.9986111111)</f>
        <v/>
      </c>
      <c r="AL2655" s="6">
        <f>IFERROR(__xludf.DUMMYFUNCTION("""COMPUTED_VALUE"""),84598.74)</f>
        <v/>
      </c>
      <c r="AP2655" s="6">
        <f>AQ2655&amp;AR2655</f>
        <v/>
      </c>
      <c r="AQ2655" s="6">
        <f>YEAR(AS2655)</f>
        <v/>
      </c>
      <c r="AR2655" s="6">
        <f>MONTH(AS2655)</f>
        <v/>
      </c>
    </row>
    <row r="2656">
      <c r="B2656" s="6">
        <f>C2656&amp;D2656</f>
        <v/>
      </c>
      <c r="C2656" s="6">
        <f>YEAR(E2656)</f>
        <v/>
      </c>
      <c r="D2656" s="6">
        <f>MONTH(E2656)</f>
        <v/>
      </c>
      <c r="J2656" s="6">
        <f>K2656&amp;L2656</f>
        <v/>
      </c>
      <c r="K2656" s="6">
        <f>YEAR(M2656)</f>
        <v/>
      </c>
      <c r="L2656" s="6">
        <f>MONTH(M2656)</f>
        <v/>
      </c>
      <c r="R2656" s="6">
        <f>S2656&amp;T2656</f>
        <v/>
      </c>
      <c r="S2656" s="6">
        <f>YEAR(U2656)</f>
        <v/>
      </c>
      <c r="T2656" s="6">
        <f>MONTH(U2656)</f>
        <v/>
      </c>
      <c r="Z2656" s="6">
        <f>AA2656&amp;AB2656</f>
        <v/>
      </c>
      <c r="AA2656" s="6">
        <f>YEAR(AC2656)</f>
        <v/>
      </c>
      <c r="AB2656" s="6">
        <f>MONTH(AC2656)</f>
        <v/>
      </c>
      <c r="AC2656" s="267">
        <f>IFERROR(__xludf.DUMMYFUNCTION("""COMPUTED_VALUE"""),45812.9986111111)</f>
        <v/>
      </c>
      <c r="AD2656" s="6">
        <f>IFERROR(__xludf.DUMMYFUNCTION("""COMPUTED_VALUE"""),1361.09)</f>
        <v/>
      </c>
      <c r="AH2656" s="6">
        <f>AI2656&amp;AJ2656</f>
        <v/>
      </c>
      <c r="AI2656" s="6">
        <f>YEAR(AK2656)</f>
        <v/>
      </c>
      <c r="AJ2656" s="6">
        <f>MONTH(AK2656)</f>
        <v/>
      </c>
      <c r="AK2656" s="267">
        <f>IFERROR(__xludf.DUMMYFUNCTION("""COMPUTED_VALUE"""),45750.9986111111)</f>
        <v/>
      </c>
      <c r="AL2656" s="6">
        <f>IFERROR(__xludf.DUMMYFUNCTION("""COMPUTED_VALUE"""),83479.15)</f>
        <v/>
      </c>
      <c r="AP2656" s="6">
        <f>AQ2656&amp;AR2656</f>
        <v/>
      </c>
      <c r="AQ2656" s="6">
        <f>YEAR(AS2656)</f>
        <v/>
      </c>
      <c r="AR2656" s="6">
        <f>MONTH(AS2656)</f>
        <v/>
      </c>
    </row>
    <row r="2657">
      <c r="B2657" s="6">
        <f>C2657&amp;D2657</f>
        <v/>
      </c>
      <c r="C2657" s="6">
        <f>YEAR(E2657)</f>
        <v/>
      </c>
      <c r="D2657" s="6">
        <f>MONTH(E2657)</f>
        <v/>
      </c>
      <c r="J2657" s="6">
        <f>K2657&amp;L2657</f>
        <v/>
      </c>
      <c r="K2657" s="6">
        <f>YEAR(M2657)</f>
        <v/>
      </c>
      <c r="L2657" s="6">
        <f>MONTH(M2657)</f>
        <v/>
      </c>
      <c r="R2657" s="6">
        <f>S2657&amp;T2657</f>
        <v/>
      </c>
      <c r="S2657" s="6">
        <f>YEAR(U2657)</f>
        <v/>
      </c>
      <c r="T2657" s="6">
        <f>MONTH(U2657)</f>
        <v/>
      </c>
      <c r="Z2657" s="6">
        <f>AA2657&amp;AB2657</f>
        <v/>
      </c>
      <c r="AA2657" s="6">
        <f>YEAR(AC2657)</f>
        <v/>
      </c>
      <c r="AB2657" s="6">
        <f>MONTH(AC2657)</f>
        <v/>
      </c>
      <c r="AC2657" s="267">
        <f>IFERROR(__xludf.DUMMYFUNCTION("""COMPUTED_VALUE"""),45813.9986111111)</f>
        <v/>
      </c>
      <c r="AD2657" s="6">
        <f>IFERROR(__xludf.DUMMYFUNCTION("""COMPUTED_VALUE"""),1354.55)</f>
        <v/>
      </c>
      <c r="AH2657" s="6">
        <f>AI2657&amp;AJ2657</f>
        <v/>
      </c>
      <c r="AI2657" s="6">
        <f>YEAR(AK2657)</f>
        <v/>
      </c>
      <c r="AJ2657" s="6">
        <f>MONTH(AK2657)</f>
        <v/>
      </c>
      <c r="AK2657" s="267">
        <f>IFERROR(__xludf.DUMMYFUNCTION("""COMPUTED_VALUE"""),45751.9986111111)</f>
        <v/>
      </c>
      <c r="AL2657" s="6">
        <f>IFERROR(__xludf.DUMMYFUNCTION("""COMPUTED_VALUE"""),82740.93)</f>
        <v/>
      </c>
      <c r="AP2657" s="6">
        <f>AQ2657&amp;AR2657</f>
        <v/>
      </c>
      <c r="AQ2657" s="6">
        <f>YEAR(AS2657)</f>
        <v/>
      </c>
      <c r="AR2657" s="6">
        <f>MONTH(AS2657)</f>
        <v/>
      </c>
    </row>
    <row r="2658">
      <c r="B2658" s="6">
        <f>C2658&amp;D2658</f>
        <v/>
      </c>
      <c r="C2658" s="6">
        <f>YEAR(E2658)</f>
        <v/>
      </c>
      <c r="D2658" s="6">
        <f>MONTH(E2658)</f>
        <v/>
      </c>
      <c r="J2658" s="6">
        <f>K2658&amp;L2658</f>
        <v/>
      </c>
      <c r="K2658" s="6">
        <f>YEAR(M2658)</f>
        <v/>
      </c>
      <c r="L2658" s="6">
        <f>MONTH(M2658)</f>
        <v/>
      </c>
      <c r="R2658" s="6">
        <f>S2658&amp;T2658</f>
        <v/>
      </c>
      <c r="S2658" s="6">
        <f>YEAR(U2658)</f>
        <v/>
      </c>
      <c r="T2658" s="6">
        <f>MONTH(U2658)</f>
        <v/>
      </c>
      <c r="Z2658" s="6">
        <f>AA2658&amp;AB2658</f>
        <v/>
      </c>
      <c r="AA2658" s="6">
        <f>YEAR(AC2658)</f>
        <v/>
      </c>
      <c r="AB2658" s="6">
        <f>MONTH(AC2658)</f>
        <v/>
      </c>
      <c r="AC2658" s="267">
        <f>IFERROR(__xludf.DUMMYFUNCTION("""COMPUTED_VALUE"""),45814.9986111111)</f>
        <v/>
      </c>
      <c r="AD2658" s="6">
        <f>IFERROR(__xludf.DUMMYFUNCTION("""COMPUTED_VALUE"""),1359.08)</f>
        <v/>
      </c>
      <c r="AH2658" s="6">
        <f>AI2658&amp;AJ2658</f>
        <v/>
      </c>
      <c r="AI2658" s="6">
        <f>YEAR(AK2658)</f>
        <v/>
      </c>
      <c r="AJ2658" s="6">
        <f>MONTH(AK2658)</f>
        <v/>
      </c>
      <c r="AK2658" s="267">
        <f>IFERROR(__xludf.DUMMYFUNCTION("""COMPUTED_VALUE"""),45752.9986111111)</f>
        <v/>
      </c>
      <c r="AL2658" s="6">
        <f>IFERROR(__xludf.DUMMYFUNCTION("""COMPUTED_VALUE"""),83624.02)</f>
        <v/>
      </c>
      <c r="AP2658" s="6">
        <f>AQ2658&amp;AR2658</f>
        <v/>
      </c>
      <c r="AQ2658" s="6">
        <f>YEAR(AS2658)</f>
        <v/>
      </c>
      <c r="AR2658" s="6">
        <f>MONTH(AS2658)</f>
        <v/>
      </c>
    </row>
    <row r="2659">
      <c r="B2659" s="6">
        <f>C2659&amp;D2659</f>
        <v/>
      </c>
      <c r="C2659" s="6">
        <f>YEAR(E2659)</f>
        <v/>
      </c>
      <c r="D2659" s="6">
        <f>MONTH(E2659)</f>
        <v/>
      </c>
      <c r="J2659" s="6">
        <f>K2659&amp;L2659</f>
        <v/>
      </c>
      <c r="K2659" s="6">
        <f>YEAR(M2659)</f>
        <v/>
      </c>
      <c r="L2659" s="6">
        <f>MONTH(M2659)</f>
        <v/>
      </c>
      <c r="R2659" s="6">
        <f>S2659&amp;T2659</f>
        <v/>
      </c>
      <c r="S2659" s="6">
        <f>YEAR(U2659)</f>
        <v/>
      </c>
      <c r="T2659" s="6">
        <f>MONTH(U2659)</f>
        <v/>
      </c>
      <c r="Z2659" s="6">
        <f>AA2659&amp;AB2659</f>
        <v/>
      </c>
      <c r="AA2659" s="6">
        <f>YEAR(AC2659)</f>
        <v/>
      </c>
      <c r="AB2659" s="6">
        <f>MONTH(AC2659)</f>
        <v/>
      </c>
      <c r="AC2659" s="267">
        <f>IFERROR(__xludf.DUMMYFUNCTION("""COMPUTED_VALUE"""),45815.9986111111)</f>
        <v/>
      </c>
      <c r="AD2659" s="6">
        <f>IFERROR(__xludf.DUMMYFUNCTION("""COMPUTED_VALUE"""),1358.18)</f>
        <v/>
      </c>
      <c r="AH2659" s="6">
        <f>AI2659&amp;AJ2659</f>
        <v/>
      </c>
      <c r="AI2659" s="6">
        <f>YEAR(AK2659)</f>
        <v/>
      </c>
      <c r="AJ2659" s="6">
        <f>MONTH(AK2659)</f>
        <v/>
      </c>
      <c r="AK2659" s="267">
        <f>IFERROR(__xludf.DUMMYFUNCTION("""COMPUTED_VALUE"""),45753.9986111111)</f>
        <v/>
      </c>
      <c r="AL2659" s="6">
        <f>IFERROR(__xludf.DUMMYFUNCTION("""COMPUTED_VALUE"""),83332.85)</f>
        <v/>
      </c>
      <c r="AP2659" s="6">
        <f>AQ2659&amp;AR2659</f>
        <v/>
      </c>
      <c r="AQ2659" s="6">
        <f>YEAR(AS2659)</f>
        <v/>
      </c>
      <c r="AR2659" s="6">
        <f>MONTH(AS2659)</f>
        <v/>
      </c>
    </row>
    <row r="2660">
      <c r="B2660" s="6">
        <f>C2660&amp;D2660</f>
        <v/>
      </c>
      <c r="C2660" s="6">
        <f>YEAR(E2660)</f>
        <v/>
      </c>
      <c r="D2660" s="6">
        <f>MONTH(E2660)</f>
        <v/>
      </c>
      <c r="J2660" s="6">
        <f>K2660&amp;L2660</f>
        <v/>
      </c>
      <c r="K2660" s="6">
        <f>YEAR(M2660)</f>
        <v/>
      </c>
      <c r="L2660" s="6">
        <f>MONTH(M2660)</f>
        <v/>
      </c>
      <c r="R2660" s="6">
        <f>S2660&amp;T2660</f>
        <v/>
      </c>
      <c r="S2660" s="6">
        <f>YEAR(U2660)</f>
        <v/>
      </c>
      <c r="T2660" s="6">
        <f>MONTH(U2660)</f>
        <v/>
      </c>
      <c r="Z2660" s="6">
        <f>AA2660&amp;AB2660</f>
        <v/>
      </c>
      <c r="AA2660" s="6">
        <f>YEAR(AC2660)</f>
        <v/>
      </c>
      <c r="AB2660" s="6">
        <f>MONTH(AC2660)</f>
        <v/>
      </c>
      <c r="AC2660" s="267">
        <f>IFERROR(__xludf.DUMMYFUNCTION("""COMPUTED_VALUE"""),45816.9986111111)</f>
        <v/>
      </c>
      <c r="AD2660" s="6">
        <f>IFERROR(__xludf.DUMMYFUNCTION("""COMPUTED_VALUE"""),1359.19)</f>
        <v/>
      </c>
      <c r="AH2660" s="6">
        <f>AI2660&amp;AJ2660</f>
        <v/>
      </c>
      <c r="AI2660" s="6">
        <f>YEAR(AK2660)</f>
        <v/>
      </c>
      <c r="AJ2660" s="6">
        <f>MONTH(AK2660)</f>
        <v/>
      </c>
      <c r="AK2660" s="267">
        <f>IFERROR(__xludf.DUMMYFUNCTION("""COMPUTED_VALUE"""),45754.9986111111)</f>
        <v/>
      </c>
      <c r="AL2660" s="6">
        <f>IFERROR(__xludf.DUMMYFUNCTION("""COMPUTED_VALUE"""),77555.34)</f>
        <v/>
      </c>
      <c r="AP2660" s="6">
        <f>AQ2660&amp;AR2660</f>
        <v/>
      </c>
      <c r="AQ2660" s="6">
        <f>YEAR(AS2660)</f>
        <v/>
      </c>
      <c r="AR2660" s="6">
        <f>MONTH(AS2660)</f>
        <v/>
      </c>
    </row>
    <row r="2661">
      <c r="B2661" s="6">
        <f>C2661&amp;D2661</f>
        <v/>
      </c>
      <c r="C2661" s="6">
        <f>YEAR(E2661)</f>
        <v/>
      </c>
      <c r="D2661" s="6">
        <f>MONTH(E2661)</f>
        <v/>
      </c>
      <c r="J2661" s="6">
        <f>K2661&amp;L2661</f>
        <v/>
      </c>
      <c r="K2661" s="6">
        <f>YEAR(M2661)</f>
        <v/>
      </c>
      <c r="L2661" s="6">
        <f>MONTH(M2661)</f>
        <v/>
      </c>
      <c r="R2661" s="6">
        <f>S2661&amp;T2661</f>
        <v/>
      </c>
      <c r="S2661" s="6">
        <f>YEAR(U2661)</f>
        <v/>
      </c>
      <c r="T2661" s="6">
        <f>MONTH(U2661)</f>
        <v/>
      </c>
      <c r="Z2661" s="6">
        <f>AA2661&amp;AB2661</f>
        <v/>
      </c>
      <c r="AA2661" s="6">
        <f>YEAR(AC2661)</f>
        <v/>
      </c>
      <c r="AB2661" s="6">
        <f>MONTH(AC2661)</f>
        <v/>
      </c>
      <c r="AC2661" s="267">
        <f>IFERROR(__xludf.DUMMYFUNCTION("""COMPUTED_VALUE"""),45817.9986111111)</f>
        <v/>
      </c>
      <c r="AD2661" s="6">
        <f>IFERROR(__xludf.DUMMYFUNCTION("""COMPUTED_VALUE"""),1353.85)</f>
        <v/>
      </c>
      <c r="AH2661" s="6">
        <f>AI2661&amp;AJ2661</f>
        <v/>
      </c>
      <c r="AI2661" s="6">
        <f>YEAR(AK2661)</f>
        <v/>
      </c>
      <c r="AJ2661" s="6">
        <f>MONTH(AK2661)</f>
        <v/>
      </c>
      <c r="AK2661" s="267">
        <f>IFERROR(__xludf.DUMMYFUNCTION("""COMPUTED_VALUE"""),45756.9986111111)</f>
        <v/>
      </c>
      <c r="AL2661" s="6">
        <f>IFERROR(__xludf.DUMMYFUNCTION("""COMPUTED_VALUE"""),75004.68)</f>
        <v/>
      </c>
      <c r="AP2661" s="6">
        <f>AQ2661&amp;AR2661</f>
        <v/>
      </c>
      <c r="AQ2661" s="6">
        <f>YEAR(AS2661)</f>
        <v/>
      </c>
      <c r="AR2661" s="6">
        <f>MONTH(AS2661)</f>
        <v/>
      </c>
    </row>
    <row r="2662">
      <c r="B2662" s="6">
        <f>C2662&amp;D2662</f>
        <v/>
      </c>
      <c r="C2662" s="6">
        <f>YEAR(E2662)</f>
        <v/>
      </c>
      <c r="D2662" s="6">
        <f>MONTH(E2662)</f>
        <v/>
      </c>
      <c r="J2662" s="6">
        <f>K2662&amp;L2662</f>
        <v/>
      </c>
      <c r="K2662" s="6">
        <f>YEAR(M2662)</f>
        <v/>
      </c>
      <c r="L2662" s="6">
        <f>MONTH(M2662)</f>
        <v/>
      </c>
      <c r="R2662" s="6">
        <f>S2662&amp;T2662</f>
        <v/>
      </c>
      <c r="S2662" s="6">
        <f>YEAR(U2662)</f>
        <v/>
      </c>
      <c r="T2662" s="6">
        <f>MONTH(U2662)</f>
        <v/>
      </c>
      <c r="Z2662" s="6">
        <f>AA2662&amp;AB2662</f>
        <v/>
      </c>
      <c r="AA2662" s="6">
        <f>YEAR(AC2662)</f>
        <v/>
      </c>
      <c r="AB2662" s="6">
        <f>MONTH(AC2662)</f>
        <v/>
      </c>
      <c r="AC2662" s="267">
        <f>IFERROR(__xludf.DUMMYFUNCTION("""COMPUTED_VALUE"""),45818.9986111111)</f>
        <v/>
      </c>
      <c r="AD2662" s="6">
        <f>IFERROR(__xludf.DUMMYFUNCTION("""COMPUTED_VALUE"""),1363.88)</f>
        <v/>
      </c>
      <c r="AH2662" s="6">
        <f>AI2662&amp;AJ2662</f>
        <v/>
      </c>
      <c r="AI2662" s="6">
        <f>YEAR(AK2662)</f>
        <v/>
      </c>
      <c r="AJ2662" s="6">
        <f>MONTH(AK2662)</f>
        <v/>
      </c>
      <c r="AK2662" s="267">
        <f>IFERROR(__xludf.DUMMYFUNCTION("""COMPUTED_VALUE"""),45757.9986111111)</f>
        <v/>
      </c>
      <c r="AL2662" s="6">
        <f>IFERROR(__xludf.DUMMYFUNCTION("""COMPUTED_VALUE"""),81681)</f>
        <v/>
      </c>
      <c r="AP2662" s="6">
        <f>AQ2662&amp;AR2662</f>
        <v/>
      </c>
      <c r="AQ2662" s="6">
        <f>YEAR(AS2662)</f>
        <v/>
      </c>
      <c r="AR2662" s="6">
        <f>MONTH(AS2662)</f>
        <v/>
      </c>
    </row>
    <row r="2663">
      <c r="B2663" s="6">
        <f>C2663&amp;D2663</f>
        <v/>
      </c>
      <c r="C2663" s="6">
        <f>YEAR(E2663)</f>
        <v/>
      </c>
      <c r="D2663" s="6">
        <f>MONTH(E2663)</f>
        <v/>
      </c>
      <c r="J2663" s="6">
        <f>K2663&amp;L2663</f>
        <v/>
      </c>
      <c r="K2663" s="6">
        <f>YEAR(M2663)</f>
        <v/>
      </c>
      <c r="L2663" s="6">
        <f>MONTH(M2663)</f>
        <v/>
      </c>
      <c r="R2663" s="6">
        <f>S2663&amp;T2663</f>
        <v/>
      </c>
      <c r="S2663" s="6">
        <f>YEAR(U2663)</f>
        <v/>
      </c>
      <c r="T2663" s="6">
        <f>MONTH(U2663)</f>
        <v/>
      </c>
      <c r="Z2663" s="6">
        <f>AA2663&amp;AB2663</f>
        <v/>
      </c>
      <c r="AA2663" s="6">
        <f>YEAR(AC2663)</f>
        <v/>
      </c>
      <c r="AB2663" s="6">
        <f>MONTH(AC2663)</f>
        <v/>
      </c>
      <c r="AC2663" s="267">
        <f>IFERROR(__xludf.DUMMYFUNCTION("""COMPUTED_VALUE"""),45819.9986111111)</f>
        <v/>
      </c>
      <c r="AD2663" s="6">
        <f>IFERROR(__xludf.DUMMYFUNCTION("""COMPUTED_VALUE"""),1365.69)</f>
        <v/>
      </c>
      <c r="AH2663" s="6">
        <f>AI2663&amp;AJ2663</f>
        <v/>
      </c>
      <c r="AI2663" s="6">
        <f>YEAR(AK2663)</f>
        <v/>
      </c>
      <c r="AJ2663" s="6">
        <f>MONTH(AK2663)</f>
        <v/>
      </c>
      <c r="AK2663" s="267">
        <f>IFERROR(__xludf.DUMMYFUNCTION("""COMPUTED_VALUE"""),45758.9986111111)</f>
        <v/>
      </c>
      <c r="AL2663" s="6">
        <f>IFERROR(__xludf.DUMMYFUNCTION("""COMPUTED_VALUE"""),80721.91)</f>
        <v/>
      </c>
      <c r="AP2663" s="6">
        <f>AQ2663&amp;AR2663</f>
        <v/>
      </c>
      <c r="AQ2663" s="6">
        <f>YEAR(AS2663)</f>
        <v/>
      </c>
      <c r="AR2663" s="6">
        <f>MONTH(AS2663)</f>
        <v/>
      </c>
    </row>
    <row r="2664">
      <c r="B2664" s="6">
        <f>C2664&amp;D2664</f>
        <v/>
      </c>
      <c r="C2664" s="6">
        <f>YEAR(E2664)</f>
        <v/>
      </c>
      <c r="D2664" s="6">
        <f>MONTH(E2664)</f>
        <v/>
      </c>
      <c r="J2664" s="6">
        <f>K2664&amp;L2664</f>
        <v/>
      </c>
      <c r="K2664" s="6">
        <f>YEAR(M2664)</f>
        <v/>
      </c>
      <c r="L2664" s="6">
        <f>MONTH(M2664)</f>
        <v/>
      </c>
      <c r="R2664" s="6">
        <f>S2664&amp;T2664</f>
        <v/>
      </c>
      <c r="S2664" s="6">
        <f>YEAR(U2664)</f>
        <v/>
      </c>
      <c r="T2664" s="6">
        <f>MONTH(U2664)</f>
        <v/>
      </c>
      <c r="Z2664" s="6">
        <f>AA2664&amp;AB2664</f>
        <v/>
      </c>
      <c r="AA2664" s="6">
        <f>YEAR(AC2664)</f>
        <v/>
      </c>
      <c r="AB2664" s="6">
        <f>MONTH(AC2664)</f>
        <v/>
      </c>
      <c r="AC2664" s="267">
        <f>IFERROR(__xludf.DUMMYFUNCTION("""COMPUTED_VALUE"""),45820.9986111111)</f>
        <v/>
      </c>
      <c r="AD2664" s="6">
        <f>IFERROR(__xludf.DUMMYFUNCTION("""COMPUTED_VALUE"""),1349.79)</f>
        <v/>
      </c>
      <c r="AH2664" s="6">
        <f>AI2664&amp;AJ2664</f>
        <v/>
      </c>
      <c r="AI2664" s="6">
        <f>YEAR(AK2664)</f>
        <v/>
      </c>
      <c r="AJ2664" s="6">
        <f>MONTH(AK2664)</f>
        <v/>
      </c>
      <c r="AK2664" s="267">
        <f>IFERROR(__xludf.DUMMYFUNCTION("""COMPUTED_VALUE"""),45759.9986111111)</f>
        <v/>
      </c>
      <c r="AL2664" s="6">
        <f>IFERROR(__xludf.DUMMYFUNCTION("""COMPUTED_VALUE"""),82944.43)</f>
        <v/>
      </c>
      <c r="AP2664" s="6">
        <f>AQ2664&amp;AR2664</f>
        <v/>
      </c>
      <c r="AQ2664" s="6">
        <f>YEAR(AS2664)</f>
        <v/>
      </c>
      <c r="AR2664" s="6">
        <f>MONTH(AS2664)</f>
        <v/>
      </c>
    </row>
    <row r="2665">
      <c r="B2665" s="6">
        <f>C2665&amp;D2665</f>
        <v/>
      </c>
      <c r="C2665" s="6">
        <f>YEAR(E2665)</f>
        <v/>
      </c>
      <c r="D2665" s="6">
        <f>MONTH(E2665)</f>
        <v/>
      </c>
      <c r="J2665" s="6">
        <f>K2665&amp;L2665</f>
        <v/>
      </c>
      <c r="K2665" s="6">
        <f>YEAR(M2665)</f>
        <v/>
      </c>
      <c r="L2665" s="6">
        <f>MONTH(M2665)</f>
        <v/>
      </c>
      <c r="R2665" s="6">
        <f>S2665&amp;T2665</f>
        <v/>
      </c>
      <c r="S2665" s="6">
        <f>YEAR(U2665)</f>
        <v/>
      </c>
      <c r="T2665" s="6">
        <f>MONTH(U2665)</f>
        <v/>
      </c>
      <c r="Z2665" s="6">
        <f>AA2665&amp;AB2665</f>
        <v/>
      </c>
      <c r="AA2665" s="6">
        <f>YEAR(AC2665)</f>
        <v/>
      </c>
      <c r="AB2665" s="6">
        <f>MONTH(AC2665)</f>
        <v/>
      </c>
      <c r="AC2665" s="267">
        <f>IFERROR(__xludf.DUMMYFUNCTION("""COMPUTED_VALUE"""),45821.9986111111)</f>
        <v/>
      </c>
      <c r="AD2665" s="6">
        <f>IFERROR(__xludf.DUMMYFUNCTION("""COMPUTED_VALUE"""),1365.14)</f>
        <v/>
      </c>
      <c r="AH2665" s="6">
        <f>AI2665&amp;AJ2665</f>
        <v/>
      </c>
      <c r="AI2665" s="6">
        <f>YEAR(AK2665)</f>
        <v/>
      </c>
      <c r="AJ2665" s="6">
        <f>MONTH(AK2665)</f>
        <v/>
      </c>
      <c r="AK2665" s="267">
        <f>IFERROR(__xludf.DUMMYFUNCTION("""COMPUTED_VALUE"""),45760.9986111111)</f>
        <v/>
      </c>
      <c r="AL2665" s="6">
        <f>IFERROR(__xludf.DUMMYFUNCTION("""COMPUTED_VALUE"""),85434.14)</f>
        <v/>
      </c>
      <c r="AP2665" s="6">
        <f>AQ2665&amp;AR2665</f>
        <v/>
      </c>
      <c r="AQ2665" s="6">
        <f>YEAR(AS2665)</f>
        <v/>
      </c>
      <c r="AR2665" s="6">
        <f>MONTH(AS2665)</f>
        <v/>
      </c>
    </row>
    <row r="2666">
      <c r="B2666" s="6">
        <f>C2666&amp;D2666</f>
        <v/>
      </c>
      <c r="C2666" s="6">
        <f>YEAR(E2666)</f>
        <v/>
      </c>
      <c r="D2666" s="6">
        <f>MONTH(E2666)</f>
        <v/>
      </c>
      <c r="J2666" s="6">
        <f>K2666&amp;L2666</f>
        <v/>
      </c>
      <c r="K2666" s="6">
        <f>YEAR(M2666)</f>
        <v/>
      </c>
      <c r="L2666" s="6">
        <f>MONTH(M2666)</f>
        <v/>
      </c>
      <c r="R2666" s="6">
        <f>S2666&amp;T2666</f>
        <v/>
      </c>
      <c r="S2666" s="6">
        <f>YEAR(U2666)</f>
        <v/>
      </c>
      <c r="T2666" s="6">
        <f>MONTH(U2666)</f>
        <v/>
      </c>
      <c r="Z2666" s="6">
        <f>AA2666&amp;AB2666</f>
        <v/>
      </c>
      <c r="AA2666" s="6">
        <f>YEAR(AC2666)</f>
        <v/>
      </c>
      <c r="AB2666" s="6">
        <f>MONTH(AC2666)</f>
        <v/>
      </c>
      <c r="AC2666" s="267">
        <f>IFERROR(__xludf.DUMMYFUNCTION("""COMPUTED_VALUE"""),45822.9986111111)</f>
        <v/>
      </c>
      <c r="AD2666" s="6">
        <f>IFERROR(__xludf.DUMMYFUNCTION("""COMPUTED_VALUE"""),1365.14)</f>
        <v/>
      </c>
      <c r="AH2666" s="6">
        <f>AI2666&amp;AJ2666</f>
        <v/>
      </c>
      <c r="AI2666" s="6">
        <f>YEAR(AK2666)</f>
        <v/>
      </c>
      <c r="AJ2666" s="6">
        <f>MONTH(AK2666)</f>
        <v/>
      </c>
      <c r="AK2666" s="267">
        <f>IFERROR(__xludf.DUMMYFUNCTION("""COMPUTED_VALUE"""),45761.9986111111)</f>
        <v/>
      </c>
      <c r="AL2666" s="6">
        <f>IFERROR(__xludf.DUMMYFUNCTION("""COMPUTED_VALUE"""),84549.55)</f>
        <v/>
      </c>
      <c r="AP2666" s="6">
        <f>AQ2666&amp;AR2666</f>
        <v/>
      </c>
      <c r="AQ2666" s="6">
        <f>YEAR(AS2666)</f>
        <v/>
      </c>
      <c r="AR2666" s="6">
        <f>MONTH(AS2666)</f>
        <v/>
      </c>
    </row>
    <row r="2667">
      <c r="B2667" s="6">
        <f>C2667&amp;D2667</f>
        <v/>
      </c>
      <c r="C2667" s="6">
        <f>YEAR(E2667)</f>
        <v/>
      </c>
      <c r="D2667" s="6">
        <f>MONTH(E2667)</f>
        <v/>
      </c>
      <c r="J2667" s="6">
        <f>K2667&amp;L2667</f>
        <v/>
      </c>
      <c r="K2667" s="6">
        <f>YEAR(M2667)</f>
        <v/>
      </c>
      <c r="L2667" s="6">
        <f>MONTH(M2667)</f>
        <v/>
      </c>
      <c r="R2667" s="6">
        <f>S2667&amp;T2667</f>
        <v/>
      </c>
      <c r="S2667" s="6">
        <f>YEAR(U2667)</f>
        <v/>
      </c>
      <c r="T2667" s="6">
        <f>MONTH(U2667)</f>
        <v/>
      </c>
      <c r="Z2667" s="6">
        <f>AA2667&amp;AB2667</f>
        <v/>
      </c>
      <c r="AA2667" s="6">
        <f>YEAR(AC2667)</f>
        <v/>
      </c>
      <c r="AB2667" s="6">
        <f>MONTH(AC2667)</f>
        <v/>
      </c>
      <c r="AC2667" s="267">
        <f>IFERROR(__xludf.DUMMYFUNCTION("""COMPUTED_VALUE"""),45824.9986111111)</f>
        <v/>
      </c>
      <c r="AD2667" s="6">
        <f>IFERROR(__xludf.DUMMYFUNCTION("""COMPUTED_VALUE"""),1357.78)</f>
        <v/>
      </c>
      <c r="AH2667" s="6">
        <f>AI2667&amp;AJ2667</f>
        <v/>
      </c>
      <c r="AI2667" s="6">
        <f>YEAR(AK2667)</f>
        <v/>
      </c>
      <c r="AJ2667" s="6">
        <f>MONTH(AK2667)</f>
        <v/>
      </c>
      <c r="AK2667" s="267">
        <f>IFERROR(__xludf.DUMMYFUNCTION("""COMPUTED_VALUE"""),45762.9986111111)</f>
        <v/>
      </c>
      <c r="AL2667" s="6">
        <f>IFERROR(__xludf.DUMMYFUNCTION("""COMPUTED_VALUE"""),85358.06)</f>
        <v/>
      </c>
      <c r="AP2667" s="6">
        <f>AQ2667&amp;AR2667</f>
        <v/>
      </c>
      <c r="AQ2667" s="6">
        <f>YEAR(AS2667)</f>
        <v/>
      </c>
      <c r="AR2667" s="6">
        <f>MONTH(AS2667)</f>
        <v/>
      </c>
    </row>
    <row r="2668">
      <c r="B2668" s="6">
        <f>C2668&amp;D2668</f>
        <v/>
      </c>
      <c r="C2668" s="6">
        <f>YEAR(E2668)</f>
        <v/>
      </c>
      <c r="D2668" s="6">
        <f>MONTH(E2668)</f>
        <v/>
      </c>
      <c r="J2668" s="6">
        <f>K2668&amp;L2668</f>
        <v/>
      </c>
      <c r="K2668" s="6">
        <f>YEAR(M2668)</f>
        <v/>
      </c>
      <c r="L2668" s="6">
        <f>MONTH(M2668)</f>
        <v/>
      </c>
      <c r="R2668" s="6">
        <f>S2668&amp;T2668</f>
        <v/>
      </c>
      <c r="S2668" s="6">
        <f>YEAR(U2668)</f>
        <v/>
      </c>
      <c r="T2668" s="6">
        <f>MONTH(U2668)</f>
        <v/>
      </c>
      <c r="Z2668" s="6">
        <f>AA2668&amp;AB2668</f>
        <v/>
      </c>
      <c r="AA2668" s="6">
        <f>YEAR(AC2668)</f>
        <v/>
      </c>
      <c r="AB2668" s="6">
        <f>MONTH(AC2668)</f>
        <v/>
      </c>
      <c r="AC2668" s="267">
        <f>IFERROR(__xludf.DUMMYFUNCTION("""COMPUTED_VALUE"""),45825.9986111111)</f>
        <v/>
      </c>
      <c r="AD2668" s="6">
        <f>IFERROR(__xludf.DUMMYFUNCTION("""COMPUTED_VALUE"""),1380.5)</f>
        <v/>
      </c>
      <c r="AH2668" s="6">
        <f>AI2668&amp;AJ2668</f>
        <v/>
      </c>
      <c r="AI2668" s="6">
        <f>YEAR(AK2668)</f>
        <v/>
      </c>
      <c r="AJ2668" s="6">
        <f>MONTH(AK2668)</f>
        <v/>
      </c>
      <c r="AK2668" s="267">
        <f>IFERROR(__xludf.DUMMYFUNCTION("""COMPUTED_VALUE"""),45763.9986111111)</f>
        <v/>
      </c>
      <c r="AL2668" s="6">
        <f>IFERROR(__xludf.DUMMYFUNCTION("""COMPUTED_VALUE"""),83726.81)</f>
        <v/>
      </c>
      <c r="AP2668" s="6">
        <f>AQ2668&amp;AR2668</f>
        <v/>
      </c>
      <c r="AQ2668" s="6">
        <f>YEAR(AS2668)</f>
        <v/>
      </c>
      <c r="AR2668" s="6">
        <f>MONTH(AS2668)</f>
        <v/>
      </c>
    </row>
    <row r="2669">
      <c r="B2669" s="6">
        <f>C2669&amp;D2669</f>
        <v/>
      </c>
      <c r="C2669" s="6">
        <f>YEAR(E2669)</f>
        <v/>
      </c>
      <c r="D2669" s="6">
        <f>MONTH(E2669)</f>
        <v/>
      </c>
      <c r="J2669" s="6">
        <f>K2669&amp;L2669</f>
        <v/>
      </c>
      <c r="K2669" s="6">
        <f>YEAR(M2669)</f>
        <v/>
      </c>
      <c r="L2669" s="6">
        <f>MONTH(M2669)</f>
        <v/>
      </c>
      <c r="R2669" s="6">
        <f>S2669&amp;T2669</f>
        <v/>
      </c>
      <c r="S2669" s="6">
        <f>YEAR(U2669)</f>
        <v/>
      </c>
      <c r="T2669" s="6">
        <f>MONTH(U2669)</f>
        <v/>
      </c>
      <c r="Z2669" s="6">
        <f>AA2669&amp;AB2669</f>
        <v/>
      </c>
      <c r="AA2669" s="6">
        <f>YEAR(AC2669)</f>
        <v/>
      </c>
      <c r="AB2669" s="6">
        <f>MONTH(AC2669)</f>
        <v/>
      </c>
      <c r="AC2669" s="267">
        <f>IFERROR(__xludf.DUMMYFUNCTION("""COMPUTED_VALUE"""),45826.9986111111)</f>
        <v/>
      </c>
      <c r="AD2669" s="6">
        <f>IFERROR(__xludf.DUMMYFUNCTION("""COMPUTED_VALUE"""),1370.75)</f>
        <v/>
      </c>
      <c r="AH2669" s="6">
        <f>AI2669&amp;AJ2669</f>
        <v/>
      </c>
      <c r="AI2669" s="6">
        <f>YEAR(AK2669)</f>
        <v/>
      </c>
      <c r="AJ2669" s="6">
        <f>MONTH(AK2669)</f>
        <v/>
      </c>
      <c r="AK2669" s="267">
        <f>IFERROR(__xludf.DUMMYFUNCTION("""COMPUTED_VALUE"""),45764.9986111111)</f>
        <v/>
      </c>
      <c r="AL2669" s="6">
        <f>IFERROR(__xludf.DUMMYFUNCTION("""COMPUTED_VALUE"""),84030.1)</f>
        <v/>
      </c>
      <c r="AP2669" s="6">
        <f>AQ2669&amp;AR2669</f>
        <v/>
      </c>
      <c r="AQ2669" s="6">
        <f>YEAR(AS2669)</f>
        <v/>
      </c>
      <c r="AR2669" s="6">
        <f>MONTH(AS2669)</f>
        <v/>
      </c>
    </row>
    <row r="2670">
      <c r="B2670" s="6">
        <f>C2670&amp;D2670</f>
        <v/>
      </c>
      <c r="C2670" s="6">
        <f>YEAR(E2670)</f>
        <v/>
      </c>
      <c r="D2670" s="6">
        <f>MONTH(E2670)</f>
        <v/>
      </c>
      <c r="J2670" s="6">
        <f>K2670&amp;L2670</f>
        <v/>
      </c>
      <c r="K2670" s="6">
        <f>YEAR(M2670)</f>
        <v/>
      </c>
      <c r="L2670" s="6">
        <f>MONTH(M2670)</f>
        <v/>
      </c>
      <c r="R2670" s="6">
        <f>S2670&amp;T2670</f>
        <v/>
      </c>
      <c r="S2670" s="6">
        <f>YEAR(U2670)</f>
        <v/>
      </c>
      <c r="T2670" s="6">
        <f>MONTH(U2670)</f>
        <v/>
      </c>
      <c r="Z2670" s="6">
        <f>AA2670&amp;AB2670</f>
        <v/>
      </c>
      <c r="AA2670" s="6">
        <f>YEAR(AC2670)</f>
        <v/>
      </c>
      <c r="AB2670" s="6">
        <f>MONTH(AC2670)</f>
        <v/>
      </c>
      <c r="AC2670" s="267">
        <f>IFERROR(__xludf.DUMMYFUNCTION("""COMPUTED_VALUE"""),45827.9986111111)</f>
        <v/>
      </c>
      <c r="AD2670" s="6">
        <f>IFERROR(__xludf.DUMMYFUNCTION("""COMPUTED_VALUE"""),1374.89)</f>
        <v/>
      </c>
      <c r="AH2670" s="6">
        <f>AI2670&amp;AJ2670</f>
        <v/>
      </c>
      <c r="AI2670" s="6">
        <f>YEAR(AK2670)</f>
        <v/>
      </c>
      <c r="AJ2670" s="6">
        <f>MONTH(AK2670)</f>
        <v/>
      </c>
      <c r="AK2670" s="267">
        <f>IFERROR(__xludf.DUMMYFUNCTION("""COMPUTED_VALUE"""),45765.9986111111)</f>
        <v/>
      </c>
      <c r="AL2670" s="6">
        <f>IFERROR(__xludf.DUMMYFUNCTION("""COMPUTED_VALUE"""),84815.62)</f>
        <v/>
      </c>
      <c r="AP2670" s="6">
        <f>AQ2670&amp;AR2670</f>
        <v/>
      </c>
      <c r="AQ2670" s="6">
        <f>YEAR(AS2670)</f>
        <v/>
      </c>
      <c r="AR2670" s="6">
        <f>MONTH(AS2670)</f>
        <v/>
      </c>
    </row>
    <row r="2671">
      <c r="B2671" s="6">
        <f>C2671&amp;D2671</f>
        <v/>
      </c>
      <c r="C2671" s="6">
        <f>YEAR(E2671)</f>
        <v/>
      </c>
      <c r="D2671" s="6">
        <f>MONTH(E2671)</f>
        <v/>
      </c>
      <c r="J2671" s="6">
        <f>K2671&amp;L2671</f>
        <v/>
      </c>
      <c r="K2671" s="6">
        <f>YEAR(M2671)</f>
        <v/>
      </c>
      <c r="L2671" s="6">
        <f>MONTH(M2671)</f>
        <v/>
      </c>
      <c r="R2671" s="6">
        <f>S2671&amp;T2671</f>
        <v/>
      </c>
      <c r="S2671" s="6">
        <f>YEAR(U2671)</f>
        <v/>
      </c>
      <c r="T2671" s="6">
        <f>MONTH(U2671)</f>
        <v/>
      </c>
      <c r="Z2671" s="6">
        <f>AA2671&amp;AB2671</f>
        <v/>
      </c>
      <c r="AA2671" s="6">
        <f>YEAR(AC2671)</f>
        <v/>
      </c>
      <c r="AB2671" s="6">
        <f>MONTH(AC2671)</f>
        <v/>
      </c>
      <c r="AC2671" s="267">
        <f>IFERROR(__xludf.DUMMYFUNCTION("""COMPUTED_VALUE"""),45828.9986111111)</f>
        <v/>
      </c>
      <c r="AD2671" s="6">
        <f>IFERROR(__xludf.DUMMYFUNCTION("""COMPUTED_VALUE"""),1370.27)</f>
        <v/>
      </c>
      <c r="AH2671" s="6">
        <f>AI2671&amp;AJ2671</f>
        <v/>
      </c>
      <c r="AI2671" s="6">
        <f>YEAR(AK2671)</f>
        <v/>
      </c>
      <c r="AJ2671" s="6">
        <f>MONTH(AK2671)</f>
        <v/>
      </c>
      <c r="AK2671" s="267">
        <f>IFERROR(__xludf.DUMMYFUNCTION("""COMPUTED_VALUE"""),45766.9986111111)</f>
        <v/>
      </c>
      <c r="AL2671" s="6">
        <f>IFERROR(__xludf.DUMMYFUNCTION("""COMPUTED_VALUE"""),84841.2)</f>
        <v/>
      </c>
      <c r="AP2671" s="6">
        <f>AQ2671&amp;AR2671</f>
        <v/>
      </c>
      <c r="AQ2671" s="6">
        <f>YEAR(AS2671)</f>
        <v/>
      </c>
      <c r="AR2671" s="6">
        <f>MONTH(AS2671)</f>
        <v/>
      </c>
    </row>
    <row r="2672">
      <c r="B2672" s="6">
        <f>C2672&amp;D2672</f>
        <v/>
      </c>
      <c r="C2672" s="6">
        <f>YEAR(E2672)</f>
        <v/>
      </c>
      <c r="D2672" s="6">
        <f>MONTH(E2672)</f>
        <v/>
      </c>
      <c r="J2672" s="6">
        <f>K2672&amp;L2672</f>
        <v/>
      </c>
      <c r="K2672" s="6">
        <f>YEAR(M2672)</f>
        <v/>
      </c>
      <c r="L2672" s="6">
        <f>MONTH(M2672)</f>
        <v/>
      </c>
      <c r="R2672" s="6">
        <f>S2672&amp;T2672</f>
        <v/>
      </c>
      <c r="S2672" s="6">
        <f>YEAR(U2672)</f>
        <v/>
      </c>
      <c r="T2672" s="6">
        <f>MONTH(U2672)</f>
        <v/>
      </c>
      <c r="Z2672" s="6">
        <f>AA2672&amp;AB2672</f>
        <v/>
      </c>
      <c r="AA2672" s="6">
        <f>YEAR(AC2672)</f>
        <v/>
      </c>
      <c r="AB2672" s="6">
        <f>MONTH(AC2672)</f>
        <v/>
      </c>
      <c r="AC2672" s="267">
        <f>IFERROR(__xludf.DUMMYFUNCTION("""COMPUTED_VALUE"""),45829.9986111111)</f>
        <v/>
      </c>
      <c r="AD2672" s="6">
        <f>IFERROR(__xludf.DUMMYFUNCTION("""COMPUTED_VALUE"""),1370.87)</f>
        <v/>
      </c>
      <c r="AH2672" s="6">
        <f>AI2672&amp;AJ2672</f>
        <v/>
      </c>
      <c r="AI2672" s="6">
        <f>YEAR(AK2672)</f>
        <v/>
      </c>
      <c r="AJ2672" s="6">
        <f>MONTH(AK2672)</f>
        <v/>
      </c>
      <c r="AK2672" s="267">
        <f>IFERROR(__xludf.DUMMYFUNCTION("""COMPUTED_VALUE"""),45767.9986111111)</f>
        <v/>
      </c>
      <c r="AL2672" s="6">
        <f>IFERROR(__xludf.DUMMYFUNCTION("""COMPUTED_VALUE"""),85115.07)</f>
        <v/>
      </c>
      <c r="AP2672" s="6">
        <f>AQ2672&amp;AR2672</f>
        <v/>
      </c>
      <c r="AQ2672" s="6">
        <f>YEAR(AS2672)</f>
        <v/>
      </c>
      <c r="AR2672" s="6">
        <f>MONTH(AS2672)</f>
        <v/>
      </c>
    </row>
    <row r="2673">
      <c r="B2673" s="6">
        <f>C2673&amp;D2673</f>
        <v/>
      </c>
      <c r="C2673" s="6">
        <f>YEAR(E2673)</f>
        <v/>
      </c>
      <c r="D2673" s="6">
        <f>MONTH(E2673)</f>
        <v/>
      </c>
      <c r="J2673" s="6">
        <f>K2673&amp;L2673</f>
        <v/>
      </c>
      <c r="K2673" s="6">
        <f>YEAR(M2673)</f>
        <v/>
      </c>
      <c r="L2673" s="6">
        <f>MONTH(M2673)</f>
        <v/>
      </c>
      <c r="R2673" s="6">
        <f>S2673&amp;T2673</f>
        <v/>
      </c>
      <c r="S2673" s="6">
        <f>YEAR(U2673)</f>
        <v/>
      </c>
      <c r="T2673" s="6">
        <f>MONTH(U2673)</f>
        <v/>
      </c>
      <c r="Z2673" s="6">
        <f>AA2673&amp;AB2673</f>
        <v/>
      </c>
      <c r="AA2673" s="6">
        <f>YEAR(AC2673)</f>
        <v/>
      </c>
      <c r="AB2673" s="6">
        <f>MONTH(AC2673)</f>
        <v/>
      </c>
      <c r="AC2673" s="267">
        <f>IFERROR(__xludf.DUMMYFUNCTION("""COMPUTED_VALUE"""),45830.9986111111)</f>
        <v/>
      </c>
      <c r="AD2673" s="6">
        <f>IFERROR(__xludf.DUMMYFUNCTION("""COMPUTED_VALUE"""),1369.47)</f>
        <v/>
      </c>
      <c r="AH2673" s="6">
        <f>AI2673&amp;AJ2673</f>
        <v/>
      </c>
      <c r="AI2673" s="6">
        <f>YEAR(AK2673)</f>
        <v/>
      </c>
      <c r="AJ2673" s="6">
        <f>MONTH(AK2673)</f>
        <v/>
      </c>
      <c r="AK2673" s="267">
        <f>IFERROR(__xludf.DUMMYFUNCTION("""COMPUTED_VALUE"""),45768.9986111111)</f>
        <v/>
      </c>
      <c r="AL2673" s="6">
        <f>IFERROR(__xludf.DUMMYFUNCTION("""COMPUTED_VALUE"""),87152.38)</f>
        <v/>
      </c>
      <c r="AP2673" s="6">
        <f>AQ2673&amp;AR2673</f>
        <v/>
      </c>
      <c r="AQ2673" s="6">
        <f>YEAR(AS2673)</f>
        <v/>
      </c>
      <c r="AR2673" s="6">
        <f>MONTH(AS2673)</f>
        <v/>
      </c>
    </row>
    <row r="2674">
      <c r="B2674" s="6">
        <f>C2674&amp;D2674</f>
        <v/>
      </c>
      <c r="C2674" s="6">
        <f>YEAR(E2674)</f>
        <v/>
      </c>
      <c r="D2674" s="6">
        <f>MONTH(E2674)</f>
        <v/>
      </c>
      <c r="J2674" s="6">
        <f>K2674&amp;L2674</f>
        <v/>
      </c>
      <c r="K2674" s="6">
        <f>YEAR(M2674)</f>
        <v/>
      </c>
      <c r="L2674" s="6">
        <f>MONTH(M2674)</f>
        <v/>
      </c>
      <c r="R2674" s="6">
        <f>S2674&amp;T2674</f>
        <v/>
      </c>
      <c r="S2674" s="6">
        <f>YEAR(U2674)</f>
        <v/>
      </c>
      <c r="T2674" s="6">
        <f>MONTH(U2674)</f>
        <v/>
      </c>
      <c r="Z2674" s="6">
        <f>AA2674&amp;AB2674</f>
        <v/>
      </c>
      <c r="AA2674" s="6">
        <f>YEAR(AC2674)</f>
        <v/>
      </c>
      <c r="AB2674" s="6">
        <f>MONTH(AC2674)</f>
        <v/>
      </c>
      <c r="AC2674" s="267">
        <f>IFERROR(__xludf.DUMMYFUNCTION("""COMPUTED_VALUE"""),45831.9986111111)</f>
        <v/>
      </c>
      <c r="AD2674" s="6">
        <f>IFERROR(__xludf.DUMMYFUNCTION("""COMPUTED_VALUE"""),1361.94)</f>
        <v/>
      </c>
      <c r="AH2674" s="6">
        <f>AI2674&amp;AJ2674</f>
        <v/>
      </c>
      <c r="AI2674" s="6">
        <f>YEAR(AK2674)</f>
        <v/>
      </c>
      <c r="AJ2674" s="6">
        <f>MONTH(AK2674)</f>
        <v/>
      </c>
      <c r="AK2674" s="267">
        <f>IFERROR(__xludf.DUMMYFUNCTION("""COMPUTED_VALUE"""),45769.9986111111)</f>
        <v/>
      </c>
      <c r="AL2674" s="6">
        <f>IFERROR(__xludf.DUMMYFUNCTION("""COMPUTED_VALUE"""),88107.6)</f>
        <v/>
      </c>
      <c r="AP2674" s="6">
        <f>AQ2674&amp;AR2674</f>
        <v/>
      </c>
      <c r="AQ2674" s="6">
        <f>YEAR(AS2674)</f>
        <v/>
      </c>
      <c r="AR2674" s="6">
        <f>MONTH(AS2674)</f>
        <v/>
      </c>
    </row>
    <row r="2675">
      <c r="B2675" s="6">
        <f>C2675&amp;D2675</f>
        <v/>
      </c>
      <c r="C2675" s="6">
        <f>YEAR(E2675)</f>
        <v/>
      </c>
      <c r="D2675" s="6">
        <f>MONTH(E2675)</f>
        <v/>
      </c>
      <c r="J2675" s="6">
        <f>K2675&amp;L2675</f>
        <v/>
      </c>
      <c r="K2675" s="6">
        <f>YEAR(M2675)</f>
        <v/>
      </c>
      <c r="L2675" s="6">
        <f>MONTH(M2675)</f>
        <v/>
      </c>
      <c r="R2675" s="6">
        <f>S2675&amp;T2675</f>
        <v/>
      </c>
      <c r="S2675" s="6">
        <f>YEAR(U2675)</f>
        <v/>
      </c>
      <c r="T2675" s="6">
        <f>MONTH(U2675)</f>
        <v/>
      </c>
      <c r="Z2675" s="6">
        <f>AA2675&amp;AB2675</f>
        <v/>
      </c>
      <c r="AA2675" s="6">
        <f>YEAR(AC2675)</f>
        <v/>
      </c>
      <c r="AB2675" s="6">
        <f>MONTH(AC2675)</f>
        <v/>
      </c>
      <c r="AC2675" s="267">
        <f>IFERROR(__xludf.DUMMYFUNCTION("""COMPUTED_VALUE"""),45832.9986111111)</f>
        <v/>
      </c>
      <c r="AD2675" s="6">
        <f>IFERROR(__xludf.DUMMYFUNCTION("""COMPUTED_VALUE"""),1353.78)</f>
        <v/>
      </c>
      <c r="AH2675" s="6">
        <f>AI2675&amp;AJ2675</f>
        <v/>
      </c>
      <c r="AI2675" s="6">
        <f>YEAR(AK2675)</f>
        <v/>
      </c>
      <c r="AJ2675" s="6">
        <f>MONTH(AK2675)</f>
        <v/>
      </c>
      <c r="AK2675" s="267">
        <f>IFERROR(__xludf.DUMMYFUNCTION("""COMPUTED_VALUE"""),45770.9986111111)</f>
        <v/>
      </c>
      <c r="AL2675" s="6">
        <f>IFERROR(__xludf.DUMMYFUNCTION("""COMPUTED_VALUE"""),93210.55)</f>
        <v/>
      </c>
      <c r="AP2675" s="6">
        <f>AQ2675&amp;AR2675</f>
        <v/>
      </c>
      <c r="AQ2675" s="6">
        <f>YEAR(AS2675)</f>
        <v/>
      </c>
      <c r="AR2675" s="6">
        <f>MONTH(AS2675)</f>
        <v/>
      </c>
    </row>
    <row r="2676">
      <c r="B2676" s="6">
        <f>C2676&amp;D2676</f>
        <v/>
      </c>
      <c r="C2676" s="6">
        <f>YEAR(E2676)</f>
        <v/>
      </c>
      <c r="D2676" s="6">
        <f>MONTH(E2676)</f>
        <v/>
      </c>
      <c r="J2676" s="6">
        <f>K2676&amp;L2676</f>
        <v/>
      </c>
      <c r="K2676" s="6">
        <f>YEAR(M2676)</f>
        <v/>
      </c>
      <c r="L2676" s="6">
        <f>MONTH(M2676)</f>
        <v/>
      </c>
      <c r="R2676" s="6">
        <f>S2676&amp;T2676</f>
        <v/>
      </c>
      <c r="S2676" s="6">
        <f>YEAR(U2676)</f>
        <v/>
      </c>
      <c r="T2676" s="6">
        <f>MONTH(U2676)</f>
        <v/>
      </c>
      <c r="Z2676" s="6">
        <f>AA2676&amp;AB2676</f>
        <v/>
      </c>
      <c r="AA2676" s="6">
        <f>YEAR(AC2676)</f>
        <v/>
      </c>
      <c r="AB2676" s="6">
        <f>MONTH(AC2676)</f>
        <v/>
      </c>
      <c r="AC2676" s="267">
        <f>IFERROR(__xludf.DUMMYFUNCTION("""COMPUTED_VALUE"""),45833.9986111111)</f>
        <v/>
      </c>
      <c r="AD2676" s="6">
        <f>IFERROR(__xludf.DUMMYFUNCTION("""COMPUTED_VALUE"""),1357.03)</f>
        <v/>
      </c>
      <c r="AH2676" s="6">
        <f>AI2676&amp;AJ2676</f>
        <v/>
      </c>
      <c r="AI2676" s="6">
        <f>YEAR(AK2676)</f>
        <v/>
      </c>
      <c r="AJ2676" s="6">
        <f>MONTH(AK2676)</f>
        <v/>
      </c>
      <c r="AK2676" s="267">
        <f>IFERROR(__xludf.DUMMYFUNCTION("""COMPUTED_VALUE"""),45771.9986111111)</f>
        <v/>
      </c>
      <c r="AL2676" s="6">
        <f>IFERROR(__xludf.DUMMYFUNCTION("""COMPUTED_VALUE"""),92733.36)</f>
        <v/>
      </c>
      <c r="AP2676" s="6">
        <f>AQ2676&amp;AR2676</f>
        <v/>
      </c>
      <c r="AQ2676" s="6">
        <f>YEAR(AS2676)</f>
        <v/>
      </c>
      <c r="AR2676" s="6">
        <f>MONTH(AS2676)</f>
        <v/>
      </c>
    </row>
    <row r="2677">
      <c r="B2677" s="6">
        <f>C2677&amp;D2677</f>
        <v/>
      </c>
      <c r="C2677" s="6">
        <f>YEAR(E2677)</f>
        <v/>
      </c>
      <c r="D2677" s="6">
        <f>MONTH(E2677)</f>
        <v/>
      </c>
      <c r="J2677" s="6">
        <f>K2677&amp;L2677</f>
        <v/>
      </c>
      <c r="K2677" s="6">
        <f>YEAR(M2677)</f>
        <v/>
      </c>
      <c r="L2677" s="6">
        <f>MONTH(M2677)</f>
        <v/>
      </c>
      <c r="R2677" s="6">
        <f>S2677&amp;T2677</f>
        <v/>
      </c>
      <c r="S2677" s="6">
        <f>YEAR(U2677)</f>
        <v/>
      </c>
      <c r="T2677" s="6">
        <f>MONTH(U2677)</f>
        <v/>
      </c>
      <c r="Z2677" s="6">
        <f>AA2677&amp;AB2677</f>
        <v/>
      </c>
      <c r="AA2677" s="6">
        <f>YEAR(AC2677)</f>
        <v/>
      </c>
      <c r="AB2677" s="6">
        <f>MONTH(AC2677)</f>
        <v/>
      </c>
      <c r="AC2677" s="267">
        <f>IFERROR(__xludf.DUMMYFUNCTION("""COMPUTED_VALUE"""),45834.9986111111)</f>
        <v/>
      </c>
      <c r="AD2677" s="6">
        <f>IFERROR(__xludf.DUMMYFUNCTION("""COMPUTED_VALUE"""),1352.76)</f>
        <v/>
      </c>
      <c r="AH2677" s="6">
        <f>AI2677&amp;AJ2677</f>
        <v/>
      </c>
      <c r="AI2677" s="6">
        <f>YEAR(AK2677)</f>
        <v/>
      </c>
      <c r="AJ2677" s="6">
        <f>MONTH(AK2677)</f>
        <v/>
      </c>
      <c r="AK2677" s="267">
        <f>IFERROR(__xludf.DUMMYFUNCTION("""COMPUTED_VALUE"""),45772.9986111111)</f>
        <v/>
      </c>
      <c r="AL2677" s="6">
        <f>IFERROR(__xludf.DUMMYFUNCTION("""COMPUTED_VALUE"""),93348.03)</f>
        <v/>
      </c>
      <c r="AP2677" s="6">
        <f>AQ2677&amp;AR2677</f>
        <v/>
      </c>
      <c r="AQ2677" s="6">
        <f>YEAR(AS2677)</f>
        <v/>
      </c>
      <c r="AR2677" s="6">
        <f>MONTH(AS2677)</f>
        <v/>
      </c>
    </row>
    <row r="2678">
      <c r="B2678" s="6">
        <f>C2678&amp;D2678</f>
        <v/>
      </c>
      <c r="C2678" s="6">
        <f>YEAR(E2678)</f>
        <v/>
      </c>
      <c r="D2678" s="6">
        <f>MONTH(E2678)</f>
        <v/>
      </c>
      <c r="J2678" s="6">
        <f>K2678&amp;L2678</f>
        <v/>
      </c>
      <c r="K2678" s="6">
        <f>YEAR(M2678)</f>
        <v/>
      </c>
      <c r="L2678" s="6">
        <f>MONTH(M2678)</f>
        <v/>
      </c>
      <c r="R2678" s="6">
        <f>S2678&amp;T2678</f>
        <v/>
      </c>
      <c r="S2678" s="6">
        <f>YEAR(U2678)</f>
        <v/>
      </c>
      <c r="T2678" s="6">
        <f>MONTH(U2678)</f>
        <v/>
      </c>
      <c r="Z2678" s="6">
        <f>AA2678&amp;AB2678</f>
        <v/>
      </c>
      <c r="AA2678" s="6">
        <f>YEAR(AC2678)</f>
        <v/>
      </c>
      <c r="AB2678" s="6">
        <f>MONTH(AC2678)</f>
        <v/>
      </c>
      <c r="AC2678" s="267">
        <f>IFERROR(__xludf.DUMMYFUNCTION("""COMPUTED_VALUE"""),45835.9986111111)</f>
        <v/>
      </c>
      <c r="AD2678" s="6">
        <f>IFERROR(__xludf.DUMMYFUNCTION("""COMPUTED_VALUE"""),1362.39)</f>
        <v/>
      </c>
      <c r="AH2678" s="6">
        <f>AI2678&amp;AJ2678</f>
        <v/>
      </c>
      <c r="AI2678" s="6">
        <f>YEAR(AK2678)</f>
        <v/>
      </c>
      <c r="AJ2678" s="6">
        <f>MONTH(AK2678)</f>
        <v/>
      </c>
      <c r="AK2678" s="267">
        <f>IFERROR(__xludf.DUMMYFUNCTION("""COMPUTED_VALUE"""),45773.9986111111)</f>
        <v/>
      </c>
      <c r="AL2678" s="6">
        <f>IFERROR(__xludf.DUMMYFUNCTION("""COMPUTED_VALUE"""),94847.29)</f>
        <v/>
      </c>
      <c r="AP2678" s="6">
        <f>AQ2678&amp;AR2678</f>
        <v/>
      </c>
      <c r="AQ2678" s="6">
        <f>YEAR(AS2678)</f>
        <v/>
      </c>
      <c r="AR2678" s="6">
        <f>MONTH(AS2678)</f>
        <v/>
      </c>
    </row>
    <row r="2679">
      <c r="B2679" s="6">
        <f>C2679&amp;D2679</f>
        <v/>
      </c>
      <c r="C2679" s="6">
        <f>YEAR(E2679)</f>
        <v/>
      </c>
      <c r="D2679" s="6">
        <f>MONTH(E2679)</f>
        <v/>
      </c>
      <c r="J2679" s="6">
        <f>K2679&amp;L2679</f>
        <v/>
      </c>
      <c r="K2679" s="6">
        <f>YEAR(M2679)</f>
        <v/>
      </c>
      <c r="L2679" s="6">
        <f>MONTH(M2679)</f>
        <v/>
      </c>
      <c r="R2679" s="6">
        <f>S2679&amp;T2679</f>
        <v/>
      </c>
      <c r="S2679" s="6">
        <f>YEAR(U2679)</f>
        <v/>
      </c>
      <c r="T2679" s="6">
        <f>MONTH(U2679)</f>
        <v/>
      </c>
      <c r="Z2679" s="6">
        <f>AA2679&amp;AB2679</f>
        <v/>
      </c>
      <c r="AA2679" s="6">
        <f>YEAR(AC2679)</f>
        <v/>
      </c>
      <c r="AB2679" s="6">
        <f>MONTH(AC2679)</f>
        <v/>
      </c>
      <c r="AC2679" s="267">
        <f>IFERROR(__xludf.DUMMYFUNCTION("""COMPUTED_VALUE"""),45836.9986111111)</f>
        <v/>
      </c>
      <c r="AD2679" s="6">
        <f>IFERROR(__xludf.DUMMYFUNCTION("""COMPUTED_VALUE"""),1362.62)</f>
        <v/>
      </c>
      <c r="AH2679" s="6">
        <f>AI2679&amp;AJ2679</f>
        <v/>
      </c>
      <c r="AI2679" s="6">
        <f>YEAR(AK2679)</f>
        <v/>
      </c>
      <c r="AJ2679" s="6">
        <f>MONTH(AK2679)</f>
        <v/>
      </c>
      <c r="AK2679" s="267">
        <f>IFERROR(__xludf.DUMMYFUNCTION("""COMPUTED_VALUE"""),45774.9986111111)</f>
        <v/>
      </c>
      <c r="AL2679" s="6">
        <f>IFERROR(__xludf.DUMMYFUNCTION("""COMPUTED_VALUE"""),94225.3)</f>
        <v/>
      </c>
      <c r="AP2679" s="6">
        <f>AQ2679&amp;AR2679</f>
        <v/>
      </c>
      <c r="AQ2679" s="6">
        <f>YEAR(AS2679)</f>
        <v/>
      </c>
      <c r="AR2679" s="6">
        <f>MONTH(AS2679)</f>
        <v/>
      </c>
    </row>
    <row r="2680">
      <c r="B2680" s="6">
        <f>C2680&amp;D2680</f>
        <v/>
      </c>
      <c r="C2680" s="6">
        <f>YEAR(E2680)</f>
        <v/>
      </c>
      <c r="D2680" s="6">
        <f>MONTH(E2680)</f>
        <v/>
      </c>
      <c r="J2680" s="6">
        <f>K2680&amp;L2680</f>
        <v/>
      </c>
      <c r="K2680" s="6">
        <f>YEAR(M2680)</f>
        <v/>
      </c>
      <c r="L2680" s="6">
        <f>MONTH(M2680)</f>
        <v/>
      </c>
      <c r="R2680" s="6">
        <f>S2680&amp;T2680</f>
        <v/>
      </c>
      <c r="S2680" s="6">
        <f>YEAR(U2680)</f>
        <v/>
      </c>
      <c r="T2680" s="6">
        <f>MONTH(U2680)</f>
        <v/>
      </c>
      <c r="Z2680" s="6">
        <f>AA2680&amp;AB2680</f>
        <v/>
      </c>
      <c r="AA2680" s="6">
        <f>YEAR(AC2680)</f>
        <v/>
      </c>
      <c r="AB2680" s="6">
        <f>MONTH(AC2680)</f>
        <v/>
      </c>
      <c r="AC2680" s="267">
        <f>IFERROR(__xludf.DUMMYFUNCTION("""COMPUTED_VALUE"""),45837.9986111111)</f>
        <v/>
      </c>
      <c r="AD2680" s="6">
        <f>IFERROR(__xludf.DUMMYFUNCTION("""COMPUTED_VALUE"""),1363.59)</f>
        <v/>
      </c>
      <c r="AH2680" s="6">
        <f>AI2680&amp;AJ2680</f>
        <v/>
      </c>
      <c r="AI2680" s="6">
        <f>YEAR(AK2680)</f>
        <v/>
      </c>
      <c r="AJ2680" s="6">
        <f>MONTH(AK2680)</f>
        <v/>
      </c>
      <c r="AK2680" s="267">
        <f>IFERROR(__xludf.DUMMYFUNCTION("""COMPUTED_VALUE"""),45775.9986111111)</f>
        <v/>
      </c>
      <c r="AL2680" s="6">
        <f>IFERROR(__xludf.DUMMYFUNCTION("""COMPUTED_VALUE"""),93911.89)</f>
        <v/>
      </c>
      <c r="AP2680" s="6">
        <f>AQ2680&amp;AR2680</f>
        <v/>
      </c>
      <c r="AQ2680" s="6">
        <f>YEAR(AS2680)</f>
        <v/>
      </c>
      <c r="AR2680" s="6">
        <f>MONTH(AS2680)</f>
        <v/>
      </c>
    </row>
    <row r="2681">
      <c r="B2681" s="6">
        <f>C2681&amp;D2681</f>
        <v/>
      </c>
      <c r="C2681" s="6">
        <f>YEAR(E2681)</f>
        <v/>
      </c>
      <c r="D2681" s="6">
        <f>MONTH(E2681)</f>
        <v/>
      </c>
      <c r="J2681" s="6">
        <f>K2681&amp;L2681</f>
        <v/>
      </c>
      <c r="K2681" s="6">
        <f>YEAR(M2681)</f>
        <v/>
      </c>
      <c r="L2681" s="6">
        <f>MONTH(M2681)</f>
        <v/>
      </c>
      <c r="R2681" s="6">
        <f>S2681&amp;T2681</f>
        <v/>
      </c>
      <c r="S2681" s="6">
        <f>YEAR(U2681)</f>
        <v/>
      </c>
      <c r="T2681" s="6">
        <f>MONTH(U2681)</f>
        <v/>
      </c>
      <c r="Z2681" s="6">
        <f>AA2681&amp;AB2681</f>
        <v/>
      </c>
      <c r="AA2681" s="6">
        <f>YEAR(AC2681)</f>
        <v/>
      </c>
      <c r="AB2681" s="6">
        <f>MONTH(AC2681)</f>
        <v/>
      </c>
      <c r="AC2681" s="267">
        <f>IFERROR(__xludf.DUMMYFUNCTION("""COMPUTED_VALUE"""),45838.9986111111)</f>
        <v/>
      </c>
      <c r="AD2681" s="6">
        <f>IFERROR(__xludf.DUMMYFUNCTION("""COMPUTED_VALUE"""),1348.5)</f>
        <v/>
      </c>
      <c r="AH2681" s="6">
        <f>AI2681&amp;AJ2681</f>
        <v/>
      </c>
      <c r="AI2681" s="6">
        <f>YEAR(AK2681)</f>
        <v/>
      </c>
      <c r="AJ2681" s="6">
        <f>MONTH(AK2681)</f>
        <v/>
      </c>
      <c r="AK2681" s="267">
        <f>IFERROR(__xludf.DUMMYFUNCTION("""COMPUTED_VALUE"""),45776.9986111111)</f>
        <v/>
      </c>
      <c r="AL2681" s="6">
        <f>IFERROR(__xludf.DUMMYFUNCTION("""COMPUTED_VALUE"""),94717.11)</f>
        <v/>
      </c>
      <c r="AP2681" s="6">
        <f>AQ2681&amp;AR2681</f>
        <v/>
      </c>
      <c r="AQ2681" s="6">
        <f>YEAR(AS2681)</f>
        <v/>
      </c>
      <c r="AR2681" s="6">
        <f>MONTH(AS2681)</f>
        <v/>
      </c>
    </row>
    <row r="2682">
      <c r="B2682" s="6">
        <f>C2682&amp;D2682</f>
        <v/>
      </c>
      <c r="C2682" s="6">
        <f>YEAR(E2682)</f>
        <v/>
      </c>
      <c r="D2682" s="6">
        <f>MONTH(E2682)</f>
        <v/>
      </c>
      <c r="J2682" s="6">
        <f>K2682&amp;L2682</f>
        <v/>
      </c>
      <c r="K2682" s="6">
        <f>YEAR(M2682)</f>
        <v/>
      </c>
      <c r="L2682" s="6">
        <f>MONTH(M2682)</f>
        <v/>
      </c>
      <c r="R2682" s="6">
        <f>S2682&amp;T2682</f>
        <v/>
      </c>
      <c r="S2682" s="6">
        <f>YEAR(U2682)</f>
        <v/>
      </c>
      <c r="T2682" s="6">
        <f>MONTH(U2682)</f>
        <v/>
      </c>
      <c r="Z2682" s="6">
        <f>AA2682&amp;AB2682</f>
        <v/>
      </c>
      <c r="AA2682" s="6">
        <f>YEAR(AC2682)</f>
        <v/>
      </c>
      <c r="AB2682" s="6">
        <f>MONTH(AC2682)</f>
        <v/>
      </c>
      <c r="AC2682" s="267">
        <f>IFERROR(__xludf.DUMMYFUNCTION("""COMPUTED_VALUE"""),45839.9986111111)</f>
        <v/>
      </c>
      <c r="AD2682" s="6">
        <f>IFERROR(__xludf.DUMMYFUNCTION("""COMPUTED_VALUE"""),1355.59)</f>
        <v/>
      </c>
      <c r="AH2682" s="6">
        <f>AI2682&amp;AJ2682</f>
        <v/>
      </c>
      <c r="AI2682" s="6">
        <f>YEAR(AK2682)</f>
        <v/>
      </c>
      <c r="AJ2682" s="6">
        <f>MONTH(AK2682)</f>
        <v/>
      </c>
      <c r="AK2682" s="267">
        <f>IFERROR(__xludf.DUMMYFUNCTION("""COMPUTED_VALUE"""),45777.9986111111)</f>
        <v/>
      </c>
      <c r="AL2682" s="6">
        <f>IFERROR(__xludf.DUMMYFUNCTION("""COMPUTED_VALUE"""),95041.93)</f>
        <v/>
      </c>
      <c r="AP2682" s="6">
        <f>AQ2682&amp;AR2682</f>
        <v/>
      </c>
      <c r="AQ2682" s="6">
        <f>YEAR(AS2682)</f>
        <v/>
      </c>
      <c r="AR2682" s="6">
        <f>MONTH(AS2682)</f>
        <v/>
      </c>
    </row>
    <row r="2683">
      <c r="B2683" s="6">
        <f>C2683&amp;D2683</f>
        <v/>
      </c>
      <c r="C2683" s="6">
        <f>YEAR(E2683)</f>
        <v/>
      </c>
      <c r="D2683" s="6">
        <f>MONTH(E2683)</f>
        <v/>
      </c>
      <c r="J2683" s="6">
        <f>K2683&amp;L2683</f>
        <v/>
      </c>
      <c r="K2683" s="6">
        <f>YEAR(M2683)</f>
        <v/>
      </c>
      <c r="L2683" s="6">
        <f>MONTH(M2683)</f>
        <v/>
      </c>
      <c r="R2683" s="6">
        <f>S2683&amp;T2683</f>
        <v/>
      </c>
      <c r="S2683" s="6">
        <f>YEAR(U2683)</f>
        <v/>
      </c>
      <c r="T2683" s="6">
        <f>MONTH(U2683)</f>
        <v/>
      </c>
      <c r="Z2683" s="6">
        <f>AA2683&amp;AB2683</f>
        <v/>
      </c>
      <c r="AA2683" s="6">
        <f>YEAR(AC2683)</f>
        <v/>
      </c>
      <c r="AB2683" s="6">
        <f>MONTH(AC2683)</f>
        <v/>
      </c>
      <c r="AC2683" s="267">
        <f>IFERROR(__xludf.DUMMYFUNCTION("""COMPUTED_VALUE"""),45840.9986111111)</f>
        <v/>
      </c>
      <c r="AD2683" s="6">
        <f>IFERROR(__xludf.DUMMYFUNCTION("""COMPUTED_VALUE"""),1354.75)</f>
        <v/>
      </c>
      <c r="AH2683" s="6">
        <f>AI2683&amp;AJ2683</f>
        <v/>
      </c>
      <c r="AI2683" s="6">
        <f>YEAR(AK2683)</f>
        <v/>
      </c>
      <c r="AJ2683" s="6">
        <f>MONTH(AK2683)</f>
        <v/>
      </c>
      <c r="AK2683" s="267">
        <f>IFERROR(__xludf.DUMMYFUNCTION("""COMPUTED_VALUE"""),45778.9986111111)</f>
        <v/>
      </c>
      <c r="AL2683" s="6">
        <f>IFERROR(__xludf.DUMMYFUNCTION("""COMPUTED_VALUE"""),94808.49)</f>
        <v/>
      </c>
      <c r="AP2683" s="6">
        <f>AQ2683&amp;AR2683</f>
        <v/>
      </c>
      <c r="AQ2683" s="6">
        <f>YEAR(AS2683)</f>
        <v/>
      </c>
      <c r="AR2683" s="6">
        <f>MONTH(AS2683)</f>
        <v/>
      </c>
    </row>
    <row r="2684">
      <c r="B2684" s="6">
        <f>C2684&amp;D2684</f>
        <v/>
      </c>
      <c r="C2684" s="6">
        <f>YEAR(E2684)</f>
        <v/>
      </c>
      <c r="D2684" s="6">
        <f>MONTH(E2684)</f>
        <v/>
      </c>
      <c r="J2684" s="6">
        <f>K2684&amp;L2684</f>
        <v/>
      </c>
      <c r="K2684" s="6">
        <f>YEAR(M2684)</f>
        <v/>
      </c>
      <c r="L2684" s="6">
        <f>MONTH(M2684)</f>
        <v/>
      </c>
      <c r="R2684" s="6">
        <f>S2684&amp;T2684</f>
        <v/>
      </c>
      <c r="S2684" s="6">
        <f>YEAR(U2684)</f>
        <v/>
      </c>
      <c r="T2684" s="6">
        <f>MONTH(U2684)</f>
        <v/>
      </c>
      <c r="Z2684" s="6">
        <f>AA2684&amp;AB2684</f>
        <v/>
      </c>
      <c r="AA2684" s="6">
        <f>YEAR(AC2684)</f>
        <v/>
      </c>
      <c r="AB2684" s="6">
        <f>MONTH(AC2684)</f>
        <v/>
      </c>
      <c r="AC2684" s="267">
        <f>IFERROR(__xludf.DUMMYFUNCTION("""COMPUTED_VALUE"""),45841.9986111111)</f>
        <v/>
      </c>
      <c r="AD2684" s="6">
        <f>IFERROR(__xludf.DUMMYFUNCTION("""COMPUTED_VALUE"""),1357.1)</f>
        <v/>
      </c>
      <c r="AH2684" s="6">
        <f>AI2684&amp;AJ2684</f>
        <v/>
      </c>
      <c r="AI2684" s="6">
        <f>YEAR(AK2684)</f>
        <v/>
      </c>
      <c r="AJ2684" s="6">
        <f>MONTH(AK2684)</f>
        <v/>
      </c>
      <c r="AK2684" s="267">
        <f>IFERROR(__xludf.DUMMYFUNCTION("""COMPUTED_VALUE"""),45779.9986111111)</f>
        <v/>
      </c>
      <c r="AL2684" s="6">
        <f>IFERROR(__xludf.DUMMYFUNCTION("""COMPUTED_VALUE"""),97111.77)</f>
        <v/>
      </c>
      <c r="AP2684" s="6">
        <f>AQ2684&amp;AR2684</f>
        <v/>
      </c>
      <c r="AQ2684" s="6">
        <f>YEAR(AS2684)</f>
        <v/>
      </c>
      <c r="AR2684" s="6">
        <f>MONTH(AS2684)</f>
        <v/>
      </c>
    </row>
    <row r="2685">
      <c r="B2685" s="6">
        <f>C2685&amp;D2685</f>
        <v/>
      </c>
      <c r="C2685" s="6">
        <f>YEAR(E2685)</f>
        <v/>
      </c>
      <c r="D2685" s="6">
        <f>MONTH(E2685)</f>
        <v/>
      </c>
      <c r="J2685" s="6">
        <f>K2685&amp;L2685</f>
        <v/>
      </c>
      <c r="K2685" s="6">
        <f>YEAR(M2685)</f>
        <v/>
      </c>
      <c r="L2685" s="6">
        <f>MONTH(M2685)</f>
        <v/>
      </c>
      <c r="R2685" s="6">
        <f>S2685&amp;T2685</f>
        <v/>
      </c>
      <c r="S2685" s="6">
        <f>YEAR(U2685)</f>
        <v/>
      </c>
      <c r="T2685" s="6">
        <f>MONTH(U2685)</f>
        <v/>
      </c>
      <c r="Z2685" s="6">
        <f>AA2685&amp;AB2685</f>
        <v/>
      </c>
      <c r="AA2685" s="6">
        <f>YEAR(AC2685)</f>
        <v/>
      </c>
      <c r="AB2685" s="6">
        <f>MONTH(AC2685)</f>
        <v/>
      </c>
      <c r="AC2685" s="267">
        <f>IFERROR(__xludf.DUMMYFUNCTION("""COMPUTED_VALUE"""),45842.9986111111)</f>
        <v/>
      </c>
      <c r="AD2685" s="6">
        <f>IFERROR(__xludf.DUMMYFUNCTION("""COMPUTED_VALUE"""),1360.73)</f>
        <v/>
      </c>
      <c r="AH2685" s="6">
        <f>AI2685&amp;AJ2685</f>
        <v/>
      </c>
      <c r="AI2685" s="6">
        <f>YEAR(AK2685)</f>
        <v/>
      </c>
      <c r="AJ2685" s="6">
        <f>MONTH(AK2685)</f>
        <v/>
      </c>
      <c r="AK2685" s="267">
        <f>IFERROR(__xludf.DUMMYFUNCTION("""COMPUTED_VALUE"""),45780.9986111111)</f>
        <v/>
      </c>
      <c r="AL2685" s="6">
        <f>IFERROR(__xludf.DUMMYFUNCTION("""COMPUTED_VALUE"""),96432.45)</f>
        <v/>
      </c>
      <c r="AP2685" s="6">
        <f>AQ2685&amp;AR2685</f>
        <v/>
      </c>
      <c r="AQ2685" s="6">
        <f>YEAR(AS2685)</f>
        <v/>
      </c>
      <c r="AR2685" s="6">
        <f>MONTH(AS2685)</f>
        <v/>
      </c>
    </row>
    <row r="2686">
      <c r="B2686" s="6">
        <f>C2686&amp;D2686</f>
        <v/>
      </c>
      <c r="C2686" s="6">
        <f>YEAR(E2686)</f>
        <v/>
      </c>
      <c r="D2686" s="6">
        <f>MONTH(E2686)</f>
        <v/>
      </c>
      <c r="J2686" s="6">
        <f>K2686&amp;L2686</f>
        <v/>
      </c>
      <c r="K2686" s="6">
        <f>YEAR(M2686)</f>
        <v/>
      </c>
      <c r="L2686" s="6">
        <f>MONTH(M2686)</f>
        <v/>
      </c>
      <c r="R2686" s="6">
        <f>S2686&amp;T2686</f>
        <v/>
      </c>
      <c r="S2686" s="6">
        <f>YEAR(U2686)</f>
        <v/>
      </c>
      <c r="T2686" s="6">
        <f>MONTH(U2686)</f>
        <v/>
      </c>
      <c r="Z2686" s="6">
        <f>AA2686&amp;AB2686</f>
        <v/>
      </c>
      <c r="AA2686" s="6">
        <f>YEAR(AC2686)</f>
        <v/>
      </c>
      <c r="AB2686" s="6">
        <f>MONTH(AC2686)</f>
        <v/>
      </c>
      <c r="AC2686" s="267">
        <f>IFERROR(__xludf.DUMMYFUNCTION("""COMPUTED_VALUE"""),45843.9986111111)</f>
        <v/>
      </c>
      <c r="AD2686" s="6">
        <f>IFERROR(__xludf.DUMMYFUNCTION("""COMPUTED_VALUE"""),1360.65)</f>
        <v/>
      </c>
      <c r="AH2686" s="6">
        <f>AI2686&amp;AJ2686</f>
        <v/>
      </c>
      <c r="AI2686" s="6">
        <f>YEAR(AK2686)</f>
        <v/>
      </c>
      <c r="AJ2686" s="6">
        <f>MONTH(AK2686)</f>
        <v/>
      </c>
      <c r="AK2686" s="267">
        <f>IFERROR(__xludf.DUMMYFUNCTION("""COMPUTED_VALUE"""),45781.9986111111)</f>
        <v/>
      </c>
      <c r="AL2686" s="6">
        <f>IFERROR(__xludf.DUMMYFUNCTION("""COMPUTED_VALUE"""),95856.14)</f>
        <v/>
      </c>
      <c r="AP2686" s="6">
        <f>AQ2686&amp;AR2686</f>
        <v/>
      </c>
      <c r="AQ2686" s="6">
        <f>YEAR(AS2686)</f>
        <v/>
      </c>
      <c r="AR2686" s="6">
        <f>MONTH(AS2686)</f>
        <v/>
      </c>
    </row>
    <row r="2687">
      <c r="B2687" s="6">
        <f>C2687&amp;D2687</f>
        <v/>
      </c>
      <c r="C2687" s="6">
        <f>YEAR(E2687)</f>
        <v/>
      </c>
      <c r="D2687" s="6">
        <f>MONTH(E2687)</f>
        <v/>
      </c>
      <c r="J2687" s="6">
        <f>K2687&amp;L2687</f>
        <v/>
      </c>
      <c r="K2687" s="6">
        <f>YEAR(M2687)</f>
        <v/>
      </c>
      <c r="L2687" s="6">
        <f>MONTH(M2687)</f>
        <v/>
      </c>
      <c r="R2687" s="6">
        <f>S2687&amp;T2687</f>
        <v/>
      </c>
      <c r="S2687" s="6">
        <f>YEAR(U2687)</f>
        <v/>
      </c>
      <c r="T2687" s="6">
        <f>MONTH(U2687)</f>
        <v/>
      </c>
      <c r="Z2687" s="6">
        <f>AA2687&amp;AB2687</f>
        <v/>
      </c>
      <c r="AA2687" s="6">
        <f>YEAR(AC2687)</f>
        <v/>
      </c>
      <c r="AB2687" s="6">
        <f>MONTH(AC2687)</f>
        <v/>
      </c>
      <c r="AC2687" s="267">
        <f>IFERROR(__xludf.DUMMYFUNCTION("""COMPUTED_VALUE"""),45844.9986111111)</f>
        <v/>
      </c>
      <c r="AD2687" s="6">
        <f>IFERROR(__xludf.DUMMYFUNCTION("""COMPUTED_VALUE"""),1362.2)</f>
        <v/>
      </c>
      <c r="AH2687" s="6">
        <f>AI2687&amp;AJ2687</f>
        <v/>
      </c>
      <c r="AI2687" s="6">
        <f>YEAR(AK2687)</f>
        <v/>
      </c>
      <c r="AJ2687" s="6">
        <f>MONTH(AK2687)</f>
        <v/>
      </c>
      <c r="AK2687" s="267">
        <f>IFERROR(__xludf.DUMMYFUNCTION("""COMPUTED_VALUE"""),45782.9986111111)</f>
        <v/>
      </c>
      <c r="AL2687" s="6">
        <f>IFERROR(__xludf.DUMMYFUNCTION("""COMPUTED_VALUE"""),94255.16)</f>
        <v/>
      </c>
      <c r="AP2687" s="6">
        <f>AQ2687&amp;AR2687</f>
        <v/>
      </c>
      <c r="AQ2687" s="6">
        <f>YEAR(AS2687)</f>
        <v/>
      </c>
      <c r="AR2687" s="6">
        <f>MONTH(AS2687)</f>
        <v/>
      </c>
    </row>
    <row r="2688">
      <c r="B2688" s="6">
        <f>C2688&amp;D2688</f>
        <v/>
      </c>
      <c r="C2688" s="6">
        <f>YEAR(E2688)</f>
        <v/>
      </c>
      <c r="D2688" s="6">
        <f>MONTH(E2688)</f>
        <v/>
      </c>
      <c r="J2688" s="6">
        <f>K2688&amp;L2688</f>
        <v/>
      </c>
      <c r="K2688" s="6">
        <f>YEAR(M2688)</f>
        <v/>
      </c>
      <c r="L2688" s="6">
        <f>MONTH(M2688)</f>
        <v/>
      </c>
      <c r="R2688" s="6">
        <f>S2688&amp;T2688</f>
        <v/>
      </c>
      <c r="S2688" s="6">
        <f>YEAR(U2688)</f>
        <v/>
      </c>
      <c r="T2688" s="6">
        <f>MONTH(U2688)</f>
        <v/>
      </c>
      <c r="Z2688" s="6">
        <f>AA2688&amp;AB2688</f>
        <v/>
      </c>
      <c r="AA2688" s="6">
        <f>YEAR(AC2688)</f>
        <v/>
      </c>
      <c r="AB2688" s="6">
        <f>MONTH(AC2688)</f>
        <v/>
      </c>
      <c r="AC2688" s="267">
        <f>IFERROR(__xludf.DUMMYFUNCTION("""COMPUTED_VALUE"""),45845.9986111111)</f>
        <v/>
      </c>
      <c r="AD2688" s="6">
        <f>IFERROR(__xludf.DUMMYFUNCTION("""COMPUTED_VALUE"""),1374.64)</f>
        <v/>
      </c>
      <c r="AH2688" s="6">
        <f>AI2688&amp;AJ2688</f>
        <v/>
      </c>
      <c r="AI2688" s="6">
        <f>YEAR(AK2688)</f>
        <v/>
      </c>
      <c r="AJ2688" s="6">
        <f>MONTH(AK2688)</f>
        <v/>
      </c>
      <c r="AK2688" s="267">
        <f>IFERROR(__xludf.DUMMYFUNCTION("""COMPUTED_VALUE"""),45783.9986111111)</f>
        <v/>
      </c>
      <c r="AL2688" s="6">
        <f>IFERROR(__xludf.DUMMYFUNCTION("""COMPUTED_VALUE"""),94489.1)</f>
        <v/>
      </c>
      <c r="AP2688" s="6">
        <f>AQ2688&amp;AR2688</f>
        <v/>
      </c>
      <c r="AQ2688" s="6">
        <f>YEAR(AS2688)</f>
        <v/>
      </c>
      <c r="AR2688" s="6">
        <f>MONTH(AS2688)</f>
        <v/>
      </c>
    </row>
    <row r="2689">
      <c r="B2689" s="6">
        <f>C2689&amp;D2689</f>
        <v/>
      </c>
      <c r="C2689" s="6">
        <f>YEAR(E2689)</f>
        <v/>
      </c>
      <c r="D2689" s="6">
        <f>MONTH(E2689)</f>
        <v/>
      </c>
      <c r="J2689" s="6">
        <f>K2689&amp;L2689</f>
        <v/>
      </c>
      <c r="K2689" s="6">
        <f>YEAR(M2689)</f>
        <v/>
      </c>
      <c r="L2689" s="6">
        <f>MONTH(M2689)</f>
        <v/>
      </c>
      <c r="R2689" s="6">
        <f>S2689&amp;T2689</f>
        <v/>
      </c>
      <c r="S2689" s="6">
        <f>YEAR(U2689)</f>
        <v/>
      </c>
      <c r="T2689" s="6">
        <f>MONTH(U2689)</f>
        <v/>
      </c>
      <c r="Z2689" s="6">
        <f>AA2689&amp;AB2689</f>
        <v/>
      </c>
      <c r="AA2689" s="6">
        <f>YEAR(AC2689)</f>
        <v/>
      </c>
      <c r="AB2689" s="6">
        <f>MONTH(AC2689)</f>
        <v/>
      </c>
      <c r="AC2689" s="267">
        <f>IFERROR(__xludf.DUMMYFUNCTION("""COMPUTED_VALUE"""),45846.9986111111)</f>
        <v/>
      </c>
      <c r="AD2689" s="6">
        <f>IFERROR(__xludf.DUMMYFUNCTION("""COMPUTED_VALUE"""),1370.3)</f>
        <v/>
      </c>
      <c r="AH2689" s="6">
        <f>AI2689&amp;AJ2689</f>
        <v/>
      </c>
      <c r="AI2689" s="6">
        <f>YEAR(AK2689)</f>
        <v/>
      </c>
      <c r="AJ2689" s="6">
        <f>MONTH(AK2689)</f>
        <v/>
      </c>
      <c r="AK2689" s="267">
        <f>IFERROR(__xludf.DUMMYFUNCTION("""COMPUTED_VALUE"""),45784.9986111111)</f>
        <v/>
      </c>
      <c r="AL2689" s="6">
        <f>IFERROR(__xludf.DUMMYFUNCTION("""COMPUTED_VALUE"""),96515.11)</f>
        <v/>
      </c>
      <c r="AP2689" s="6">
        <f>AQ2689&amp;AR2689</f>
        <v/>
      </c>
      <c r="AQ2689" s="6">
        <f>YEAR(AS2689)</f>
        <v/>
      </c>
      <c r="AR2689" s="6">
        <f>MONTH(AS2689)</f>
        <v/>
      </c>
    </row>
    <row r="2690">
      <c r="B2690" s="6">
        <f>C2690&amp;D2690</f>
        <v/>
      </c>
      <c r="C2690" s="6">
        <f>YEAR(E2690)</f>
        <v/>
      </c>
      <c r="D2690" s="6">
        <f>MONTH(E2690)</f>
        <v/>
      </c>
      <c r="J2690" s="6">
        <f>K2690&amp;L2690</f>
        <v/>
      </c>
      <c r="K2690" s="6">
        <f>YEAR(M2690)</f>
        <v/>
      </c>
      <c r="L2690" s="6">
        <f>MONTH(M2690)</f>
        <v/>
      </c>
      <c r="R2690" s="6">
        <f>S2690&amp;T2690</f>
        <v/>
      </c>
      <c r="S2690" s="6">
        <f>YEAR(U2690)</f>
        <v/>
      </c>
      <c r="T2690" s="6">
        <f>MONTH(U2690)</f>
        <v/>
      </c>
      <c r="Z2690" s="6">
        <f>AA2690&amp;AB2690</f>
        <v/>
      </c>
      <c r="AA2690" s="6">
        <f>YEAR(AC2690)</f>
        <v/>
      </c>
      <c r="AB2690" s="6">
        <f>MONTH(AC2690)</f>
        <v/>
      </c>
      <c r="AC2690" s="267">
        <f>IFERROR(__xludf.DUMMYFUNCTION("""COMPUTED_VALUE"""),45847.9986111111)</f>
        <v/>
      </c>
      <c r="AD2690" s="6">
        <f>IFERROR(__xludf.DUMMYFUNCTION("""COMPUTED_VALUE"""),1373)</f>
        <v/>
      </c>
      <c r="AH2690" s="6">
        <f>AI2690&amp;AJ2690</f>
        <v/>
      </c>
      <c r="AI2690" s="6">
        <f>YEAR(AK2690)</f>
        <v/>
      </c>
      <c r="AJ2690" s="6">
        <f>MONTH(AK2690)</f>
        <v/>
      </c>
      <c r="AK2690" s="267">
        <f>IFERROR(__xludf.DUMMYFUNCTION("""COMPUTED_VALUE"""),45785.9986111111)</f>
        <v/>
      </c>
      <c r="AL2690" s="6">
        <f>IFERROR(__xludf.DUMMYFUNCTION("""COMPUTED_VALUE"""),99109.44)</f>
        <v/>
      </c>
      <c r="AP2690" s="6">
        <f>AQ2690&amp;AR2690</f>
        <v/>
      </c>
      <c r="AQ2690" s="6">
        <f>YEAR(AS2690)</f>
        <v/>
      </c>
      <c r="AR2690" s="6">
        <f>MONTH(AS2690)</f>
        <v/>
      </c>
    </row>
    <row r="2691">
      <c r="B2691" s="6">
        <f>C2691&amp;D2691</f>
        <v/>
      </c>
      <c r="C2691" s="6">
        <f>YEAR(E2691)</f>
        <v/>
      </c>
      <c r="D2691" s="6">
        <f>MONTH(E2691)</f>
        <v/>
      </c>
      <c r="J2691" s="6">
        <f>K2691&amp;L2691</f>
        <v/>
      </c>
      <c r="K2691" s="6">
        <f>YEAR(M2691)</f>
        <v/>
      </c>
      <c r="L2691" s="6">
        <f>MONTH(M2691)</f>
        <v/>
      </c>
      <c r="R2691" s="6">
        <f>S2691&amp;T2691</f>
        <v/>
      </c>
      <c r="S2691" s="6">
        <f>YEAR(U2691)</f>
        <v/>
      </c>
      <c r="T2691" s="6">
        <f>MONTH(U2691)</f>
        <v/>
      </c>
      <c r="Z2691" s="6">
        <f>AA2691&amp;AB2691</f>
        <v/>
      </c>
      <c r="AA2691" s="6">
        <f>YEAR(AC2691)</f>
        <v/>
      </c>
      <c r="AB2691" s="6">
        <f>MONTH(AC2691)</f>
        <v/>
      </c>
      <c r="AC2691" s="267">
        <f>IFERROR(__xludf.DUMMYFUNCTION("""COMPUTED_VALUE"""),45848.9986111111)</f>
        <v/>
      </c>
      <c r="AD2691" s="6">
        <f>IFERROR(__xludf.DUMMYFUNCTION("""COMPUTED_VALUE"""),1372.64)</f>
        <v/>
      </c>
      <c r="AH2691" s="6">
        <f>AI2691&amp;AJ2691</f>
        <v/>
      </c>
      <c r="AI2691" s="6">
        <f>YEAR(AK2691)</f>
        <v/>
      </c>
      <c r="AJ2691" s="6">
        <f>MONTH(AK2691)</f>
        <v/>
      </c>
      <c r="AK2691" s="267">
        <f>IFERROR(__xludf.DUMMYFUNCTION("""COMPUTED_VALUE"""),45786.9986111111)</f>
        <v/>
      </c>
      <c r="AL2691" s="6">
        <f>IFERROR(__xludf.DUMMYFUNCTION("""COMPUTED_VALUE"""),102384.2)</f>
        <v/>
      </c>
      <c r="AP2691" s="6">
        <f>AQ2691&amp;AR2691</f>
        <v/>
      </c>
      <c r="AQ2691" s="6">
        <f>YEAR(AS2691)</f>
        <v/>
      </c>
      <c r="AR2691" s="6">
        <f>MONTH(AS2691)</f>
        <v/>
      </c>
    </row>
    <row r="2692">
      <c r="B2692" s="6">
        <f>C2692&amp;D2692</f>
        <v/>
      </c>
      <c r="C2692" s="6">
        <f>YEAR(E2692)</f>
        <v/>
      </c>
      <c r="D2692" s="6">
        <f>MONTH(E2692)</f>
        <v/>
      </c>
      <c r="J2692" s="6">
        <f>K2692&amp;L2692</f>
        <v/>
      </c>
      <c r="K2692" s="6">
        <f>YEAR(M2692)</f>
        <v/>
      </c>
      <c r="L2692" s="6">
        <f>MONTH(M2692)</f>
        <v/>
      </c>
      <c r="R2692" s="6">
        <f>S2692&amp;T2692</f>
        <v/>
      </c>
      <c r="S2692" s="6">
        <f>YEAR(U2692)</f>
        <v/>
      </c>
      <c r="T2692" s="6">
        <f>MONTH(U2692)</f>
        <v/>
      </c>
      <c r="Z2692" s="6">
        <f>AA2692&amp;AB2692</f>
        <v/>
      </c>
      <c r="AA2692" s="6">
        <f>YEAR(AC2692)</f>
        <v/>
      </c>
      <c r="AB2692" s="6">
        <f>MONTH(AC2692)</f>
        <v/>
      </c>
      <c r="AC2692" s="267">
        <f>IFERROR(__xludf.DUMMYFUNCTION("""COMPUTED_VALUE"""),45849.9986111111)</f>
        <v/>
      </c>
      <c r="AD2692" s="6">
        <f>IFERROR(__xludf.DUMMYFUNCTION("""COMPUTED_VALUE"""),1378.06)</f>
        <v/>
      </c>
      <c r="AH2692" s="6">
        <f>AI2692&amp;AJ2692</f>
        <v/>
      </c>
      <c r="AI2692" s="6">
        <f>YEAR(AK2692)</f>
        <v/>
      </c>
      <c r="AJ2692" s="6">
        <f>MONTH(AK2692)</f>
        <v/>
      </c>
      <c r="AK2692" s="267">
        <f>IFERROR(__xludf.DUMMYFUNCTION("""COMPUTED_VALUE"""),45787.9986111111)</f>
        <v/>
      </c>
      <c r="AL2692" s="6">
        <f>IFERROR(__xludf.DUMMYFUNCTION("""COMPUTED_VALUE"""),103161.7)</f>
        <v/>
      </c>
      <c r="AP2692" s="6">
        <f>AQ2692&amp;AR2692</f>
        <v/>
      </c>
      <c r="AQ2692" s="6">
        <f>YEAR(AS2692)</f>
        <v/>
      </c>
      <c r="AR2692" s="6">
        <f>MONTH(AS2692)</f>
        <v/>
      </c>
    </row>
    <row r="2693">
      <c r="B2693" s="6">
        <f>C2693&amp;D2693</f>
        <v/>
      </c>
      <c r="C2693" s="6">
        <f>YEAR(E2693)</f>
        <v/>
      </c>
      <c r="D2693" s="6">
        <f>MONTH(E2693)</f>
        <v/>
      </c>
      <c r="J2693" s="6">
        <f>K2693&amp;L2693</f>
        <v/>
      </c>
      <c r="K2693" s="6">
        <f>YEAR(M2693)</f>
        <v/>
      </c>
      <c r="L2693" s="6">
        <f>MONTH(M2693)</f>
        <v/>
      </c>
      <c r="R2693" s="6">
        <f>S2693&amp;T2693</f>
        <v/>
      </c>
      <c r="S2693" s="6">
        <f>YEAR(U2693)</f>
        <v/>
      </c>
      <c r="T2693" s="6">
        <f>MONTH(U2693)</f>
        <v/>
      </c>
      <c r="Z2693" s="6">
        <f>AA2693&amp;AB2693</f>
        <v/>
      </c>
      <c r="AA2693" s="6">
        <f>YEAR(AC2693)</f>
        <v/>
      </c>
      <c r="AB2693" s="6">
        <f>MONTH(AC2693)</f>
        <v/>
      </c>
      <c r="AC2693" s="267">
        <f>IFERROR(__xludf.DUMMYFUNCTION("""COMPUTED_VALUE"""),45850.9986111111)</f>
        <v/>
      </c>
      <c r="AD2693" s="6">
        <f>IFERROR(__xludf.DUMMYFUNCTION("""COMPUTED_VALUE"""),1377.16)</f>
        <v/>
      </c>
      <c r="AH2693" s="6">
        <f>AI2693&amp;AJ2693</f>
        <v/>
      </c>
      <c r="AI2693" s="6">
        <f>YEAR(AK2693)</f>
        <v/>
      </c>
      <c r="AJ2693" s="6">
        <f>MONTH(AK2693)</f>
        <v/>
      </c>
      <c r="AK2693" s="267">
        <f>IFERROR(__xludf.DUMMYFUNCTION("""COMPUTED_VALUE"""),45788.9986111111)</f>
        <v/>
      </c>
      <c r="AL2693" s="6">
        <f>IFERROR(__xludf.DUMMYFUNCTION("""COMPUTED_VALUE"""),103995.7)</f>
        <v/>
      </c>
      <c r="AP2693" s="6">
        <f>AQ2693&amp;AR2693</f>
        <v/>
      </c>
      <c r="AQ2693" s="6">
        <f>YEAR(AS2693)</f>
        <v/>
      </c>
      <c r="AR2693" s="6">
        <f>MONTH(AS2693)</f>
        <v/>
      </c>
    </row>
    <row r="2694">
      <c r="B2694" s="6">
        <f>C2694&amp;D2694</f>
        <v/>
      </c>
      <c r="C2694" s="6">
        <f>YEAR(E2694)</f>
        <v/>
      </c>
      <c r="D2694" s="6">
        <f>MONTH(E2694)</f>
        <v/>
      </c>
      <c r="J2694" s="6">
        <f>K2694&amp;L2694</f>
        <v/>
      </c>
      <c r="K2694" s="6">
        <f>YEAR(M2694)</f>
        <v/>
      </c>
      <c r="L2694" s="6">
        <f>MONTH(M2694)</f>
        <v/>
      </c>
      <c r="R2694" s="6">
        <f>S2694&amp;T2694</f>
        <v/>
      </c>
      <c r="S2694" s="6">
        <f>YEAR(U2694)</f>
        <v/>
      </c>
      <c r="T2694" s="6">
        <f>MONTH(U2694)</f>
        <v/>
      </c>
      <c r="Z2694" s="6">
        <f>AA2694&amp;AB2694</f>
        <v/>
      </c>
      <c r="AA2694" s="6">
        <f>YEAR(AC2694)</f>
        <v/>
      </c>
      <c r="AB2694" s="6">
        <f>MONTH(AC2694)</f>
        <v/>
      </c>
      <c r="AC2694" s="267">
        <f>IFERROR(__xludf.DUMMYFUNCTION("""COMPUTED_VALUE"""),45851.9986111111)</f>
        <v/>
      </c>
      <c r="AD2694" s="6">
        <f>IFERROR(__xludf.DUMMYFUNCTION("""COMPUTED_VALUE"""),1378.17)</f>
        <v/>
      </c>
      <c r="AH2694" s="6">
        <f>AI2694&amp;AJ2694</f>
        <v/>
      </c>
      <c r="AI2694" s="6">
        <f>YEAR(AK2694)</f>
        <v/>
      </c>
      <c r="AJ2694" s="6">
        <f>MONTH(AK2694)</f>
        <v/>
      </c>
      <c r="AK2694" s="267">
        <f>IFERROR(__xludf.DUMMYFUNCTION("""COMPUTED_VALUE"""),45789.9986111111)</f>
        <v/>
      </c>
      <c r="AL2694" s="6">
        <f>IFERROR(__xludf.DUMMYFUNCTION("""COMPUTED_VALUE"""),104013.1)</f>
        <v/>
      </c>
      <c r="AP2694" s="6">
        <f>AQ2694&amp;AR2694</f>
        <v/>
      </c>
      <c r="AQ2694" s="6">
        <f>YEAR(AS2694)</f>
        <v/>
      </c>
      <c r="AR2694" s="6">
        <f>MONTH(AS2694)</f>
        <v/>
      </c>
    </row>
    <row r="2695">
      <c r="B2695" s="6">
        <f>C2695&amp;D2695</f>
        <v/>
      </c>
      <c r="C2695" s="6">
        <f>YEAR(E2695)</f>
        <v/>
      </c>
      <c r="D2695" s="6">
        <f>MONTH(E2695)</f>
        <v/>
      </c>
      <c r="J2695" s="6">
        <f>K2695&amp;L2695</f>
        <v/>
      </c>
      <c r="K2695" s="6">
        <f>YEAR(M2695)</f>
        <v/>
      </c>
      <c r="L2695" s="6">
        <f>MONTH(M2695)</f>
        <v/>
      </c>
      <c r="R2695" s="6">
        <f>S2695&amp;T2695</f>
        <v/>
      </c>
      <c r="S2695" s="6">
        <f>YEAR(U2695)</f>
        <v/>
      </c>
      <c r="T2695" s="6">
        <f>MONTH(U2695)</f>
        <v/>
      </c>
      <c r="Z2695" s="6">
        <f>AA2695&amp;AB2695</f>
        <v/>
      </c>
      <c r="AA2695" s="6">
        <f>YEAR(AC2695)</f>
        <v/>
      </c>
      <c r="AB2695" s="6">
        <f>MONTH(AC2695)</f>
        <v/>
      </c>
      <c r="AC2695" s="267">
        <f>IFERROR(__xludf.DUMMYFUNCTION("""COMPUTED_VALUE"""),45852.9986111111)</f>
        <v/>
      </c>
      <c r="AD2695" s="6">
        <f>IFERROR(__xludf.DUMMYFUNCTION("""COMPUTED_VALUE"""),1382.01)</f>
        <v/>
      </c>
      <c r="AH2695" s="6">
        <f>AI2695&amp;AJ2695</f>
        <v/>
      </c>
      <c r="AI2695" s="6">
        <f>YEAR(AK2695)</f>
        <v/>
      </c>
      <c r="AJ2695" s="6">
        <f>MONTH(AK2695)</f>
        <v/>
      </c>
      <c r="AK2695" s="267">
        <f>IFERROR(__xludf.DUMMYFUNCTION("""COMPUTED_VALUE"""),45790.9986111111)</f>
        <v/>
      </c>
      <c r="AL2695" s="6">
        <f>IFERROR(__xludf.DUMMYFUNCTION("""COMPUTED_VALUE"""),101727)</f>
        <v/>
      </c>
      <c r="AP2695" s="6">
        <f>AQ2695&amp;AR2695</f>
        <v/>
      </c>
      <c r="AQ2695" s="6">
        <f>YEAR(AS2695)</f>
        <v/>
      </c>
      <c r="AR2695" s="6">
        <f>MONTH(AS2695)</f>
        <v/>
      </c>
    </row>
    <row r="2696">
      <c r="B2696" s="6">
        <f>C2696&amp;D2696</f>
        <v/>
      </c>
      <c r="C2696" s="6">
        <f>YEAR(E2696)</f>
        <v/>
      </c>
      <c r="D2696" s="6">
        <f>MONTH(E2696)</f>
        <v/>
      </c>
      <c r="J2696" s="6">
        <f>K2696&amp;L2696</f>
        <v/>
      </c>
      <c r="K2696" s="6">
        <f>YEAR(M2696)</f>
        <v/>
      </c>
      <c r="L2696" s="6">
        <f>MONTH(M2696)</f>
        <v/>
      </c>
      <c r="R2696" s="6">
        <f>S2696&amp;T2696</f>
        <v/>
      </c>
      <c r="S2696" s="6">
        <f>YEAR(U2696)</f>
        <v/>
      </c>
      <c r="T2696" s="6">
        <f>MONTH(U2696)</f>
        <v/>
      </c>
      <c r="Z2696" s="6">
        <f>AA2696&amp;AB2696</f>
        <v/>
      </c>
      <c r="AA2696" s="6">
        <f>YEAR(AC2696)</f>
        <v/>
      </c>
      <c r="AB2696" s="6">
        <f>MONTH(AC2696)</f>
        <v/>
      </c>
      <c r="AC2696" s="267">
        <f>IFERROR(__xludf.DUMMYFUNCTION("""COMPUTED_VALUE"""),45853.9986111111)</f>
        <v/>
      </c>
      <c r="AD2696" s="6">
        <f>IFERROR(__xludf.DUMMYFUNCTION("""COMPUTED_VALUE"""),1386.45)</f>
        <v/>
      </c>
      <c r="AH2696" s="6">
        <f>AI2696&amp;AJ2696</f>
        <v/>
      </c>
      <c r="AI2696" s="6">
        <f>YEAR(AK2696)</f>
        <v/>
      </c>
      <c r="AJ2696" s="6">
        <f>MONTH(AK2696)</f>
        <v/>
      </c>
      <c r="AK2696" s="267">
        <f>IFERROR(__xludf.DUMMYFUNCTION("""COMPUTED_VALUE"""),45791.9986111111)</f>
        <v/>
      </c>
      <c r="AL2696" s="6">
        <f>IFERROR(__xludf.DUMMYFUNCTION("""COMPUTED_VALUE"""),103560.3)</f>
        <v/>
      </c>
      <c r="AP2696" s="6">
        <f>AQ2696&amp;AR2696</f>
        <v/>
      </c>
      <c r="AQ2696" s="6">
        <f>YEAR(AS2696)</f>
        <v/>
      </c>
      <c r="AR2696" s="6">
        <f>MONTH(AS2696)</f>
        <v/>
      </c>
    </row>
    <row r="2697">
      <c r="B2697" s="6">
        <f>C2697&amp;D2697</f>
        <v/>
      </c>
      <c r="C2697" s="6">
        <f>YEAR(E2697)</f>
        <v/>
      </c>
      <c r="D2697" s="6">
        <f>MONTH(E2697)</f>
        <v/>
      </c>
      <c r="J2697" s="6">
        <f>K2697&amp;L2697</f>
        <v/>
      </c>
      <c r="K2697" s="6">
        <f>YEAR(M2697)</f>
        <v/>
      </c>
      <c r="L2697" s="6">
        <f>MONTH(M2697)</f>
        <v/>
      </c>
      <c r="R2697" s="6">
        <f>S2697&amp;T2697</f>
        <v/>
      </c>
      <c r="S2697" s="6">
        <f>YEAR(U2697)</f>
        <v/>
      </c>
      <c r="T2697" s="6">
        <f>MONTH(U2697)</f>
        <v/>
      </c>
      <c r="Z2697" s="6">
        <f>AA2697&amp;AB2697</f>
        <v/>
      </c>
      <c r="AA2697" s="6">
        <f>YEAR(AC2697)</f>
        <v/>
      </c>
      <c r="AB2697" s="6">
        <f>MONTH(AC2697)</f>
        <v/>
      </c>
      <c r="AC2697" s="267">
        <f>IFERROR(__xludf.DUMMYFUNCTION("""COMPUTED_VALUE"""),45854.9986111111)</f>
        <v/>
      </c>
      <c r="AD2697" s="6">
        <f>IFERROR(__xludf.DUMMYFUNCTION("""COMPUTED_VALUE"""),1384.92)</f>
        <v/>
      </c>
      <c r="AH2697" s="6">
        <f>AI2697&amp;AJ2697</f>
        <v/>
      </c>
      <c r="AI2697" s="6">
        <f>YEAR(AK2697)</f>
        <v/>
      </c>
      <c r="AJ2697" s="6">
        <f>MONTH(AK2697)</f>
        <v/>
      </c>
      <c r="AK2697" s="267">
        <f>IFERROR(__xludf.DUMMYFUNCTION("""COMPUTED_VALUE"""),45792.9986111111)</f>
        <v/>
      </c>
      <c r="AL2697" s="6">
        <f>IFERROR(__xludf.DUMMYFUNCTION("""COMPUTED_VALUE"""),102821.2)</f>
        <v/>
      </c>
      <c r="AP2697" s="6">
        <f>AQ2697&amp;AR2697</f>
        <v/>
      </c>
      <c r="AQ2697" s="6">
        <f>YEAR(AS2697)</f>
        <v/>
      </c>
      <c r="AR2697" s="6">
        <f>MONTH(AS2697)</f>
        <v/>
      </c>
    </row>
    <row r="2698">
      <c r="B2698" s="6">
        <f>C2698&amp;D2698</f>
        <v/>
      </c>
      <c r="C2698" s="6">
        <f>YEAR(E2698)</f>
        <v/>
      </c>
      <c r="D2698" s="6">
        <f>MONTH(E2698)</f>
        <v/>
      </c>
      <c r="J2698" s="6">
        <f>K2698&amp;L2698</f>
        <v/>
      </c>
      <c r="K2698" s="6">
        <f>YEAR(M2698)</f>
        <v/>
      </c>
      <c r="L2698" s="6">
        <f>MONTH(M2698)</f>
        <v/>
      </c>
      <c r="R2698" s="6">
        <f>S2698&amp;T2698</f>
        <v/>
      </c>
      <c r="S2698" s="6">
        <f>YEAR(U2698)</f>
        <v/>
      </c>
      <c r="T2698" s="6">
        <f>MONTH(U2698)</f>
        <v/>
      </c>
      <c r="Z2698" s="6">
        <f>AA2698&amp;AB2698</f>
        <v/>
      </c>
      <c r="AA2698" s="6">
        <f>YEAR(AC2698)</f>
        <v/>
      </c>
      <c r="AB2698" s="6">
        <f>MONTH(AC2698)</f>
        <v/>
      </c>
      <c r="AC2698" s="267">
        <f>IFERROR(__xludf.DUMMYFUNCTION("""COMPUTED_VALUE"""),45855.9986111111)</f>
        <v/>
      </c>
      <c r="AD2698" s="6">
        <f>IFERROR(__xludf.DUMMYFUNCTION("""COMPUTED_VALUE"""),1391.58)</f>
        <v/>
      </c>
      <c r="AH2698" s="6">
        <f>AI2698&amp;AJ2698</f>
        <v/>
      </c>
      <c r="AI2698" s="6">
        <f>YEAR(AK2698)</f>
        <v/>
      </c>
      <c r="AJ2698" s="6">
        <f>MONTH(AK2698)</f>
        <v/>
      </c>
      <c r="AK2698" s="267">
        <f>IFERROR(__xludf.DUMMYFUNCTION("""COMPUTED_VALUE"""),45793.9986111111)</f>
        <v/>
      </c>
      <c r="AL2698" s="6">
        <f>IFERROR(__xludf.DUMMYFUNCTION("""COMPUTED_VALUE"""),104050.1)</f>
        <v/>
      </c>
      <c r="AP2698" s="6">
        <f>AQ2698&amp;AR2698</f>
        <v/>
      </c>
      <c r="AQ2698" s="6">
        <f>YEAR(AS2698)</f>
        <v/>
      </c>
      <c r="AR2698" s="6">
        <f>MONTH(AS2698)</f>
        <v/>
      </c>
    </row>
    <row r="2699">
      <c r="B2699" s="6">
        <f>C2699&amp;D2699</f>
        <v/>
      </c>
      <c r="C2699" s="6">
        <f>YEAR(E2699)</f>
        <v/>
      </c>
      <c r="D2699" s="6">
        <f>MONTH(E2699)</f>
        <v/>
      </c>
      <c r="J2699" s="6">
        <f>K2699&amp;L2699</f>
        <v/>
      </c>
      <c r="K2699" s="6">
        <f>YEAR(M2699)</f>
        <v/>
      </c>
      <c r="L2699" s="6">
        <f>MONTH(M2699)</f>
        <v/>
      </c>
      <c r="R2699" s="6">
        <f>S2699&amp;T2699</f>
        <v/>
      </c>
      <c r="S2699" s="6">
        <f>YEAR(U2699)</f>
        <v/>
      </c>
      <c r="T2699" s="6">
        <f>MONTH(U2699)</f>
        <v/>
      </c>
      <c r="Z2699" s="6">
        <f>AA2699&amp;AB2699</f>
        <v/>
      </c>
      <c r="AA2699" s="6">
        <f>YEAR(AC2699)</f>
        <v/>
      </c>
      <c r="AB2699" s="6">
        <f>MONTH(AC2699)</f>
        <v/>
      </c>
      <c r="AC2699" s="267">
        <f>IFERROR(__xludf.DUMMYFUNCTION("""COMPUTED_VALUE"""),45856.9986111111)</f>
        <v/>
      </c>
      <c r="AD2699" s="6">
        <f>IFERROR(__xludf.DUMMYFUNCTION("""COMPUTED_VALUE"""),1390.2)</f>
        <v/>
      </c>
      <c r="AH2699" s="6">
        <f>AI2699&amp;AJ2699</f>
        <v/>
      </c>
      <c r="AI2699" s="6">
        <f>YEAR(AK2699)</f>
        <v/>
      </c>
      <c r="AJ2699" s="6">
        <f>MONTH(AK2699)</f>
        <v/>
      </c>
      <c r="AK2699" s="267">
        <f>IFERROR(__xludf.DUMMYFUNCTION("""COMPUTED_VALUE"""),45794.9986111111)</f>
        <v/>
      </c>
      <c r="AL2699" s="6">
        <f>IFERROR(__xludf.DUMMYFUNCTION("""COMPUTED_VALUE"""),103536.5)</f>
        <v/>
      </c>
      <c r="AP2699" s="6">
        <f>AQ2699&amp;AR2699</f>
        <v/>
      </c>
      <c r="AQ2699" s="6">
        <f>YEAR(AS2699)</f>
        <v/>
      </c>
      <c r="AR2699" s="6">
        <f>MONTH(AS2699)</f>
        <v/>
      </c>
    </row>
    <row r="2700">
      <c r="B2700" s="6">
        <f>C2700&amp;D2700</f>
        <v/>
      </c>
      <c r="C2700" s="6">
        <f>YEAR(E2700)</f>
        <v/>
      </c>
      <c r="D2700" s="6">
        <f>MONTH(E2700)</f>
        <v/>
      </c>
      <c r="J2700" s="6">
        <f>K2700&amp;L2700</f>
        <v/>
      </c>
      <c r="K2700" s="6">
        <f>YEAR(M2700)</f>
        <v/>
      </c>
      <c r="L2700" s="6">
        <f>MONTH(M2700)</f>
        <v/>
      </c>
      <c r="R2700" s="6">
        <f>S2700&amp;T2700</f>
        <v/>
      </c>
      <c r="S2700" s="6">
        <f>YEAR(U2700)</f>
        <v/>
      </c>
      <c r="T2700" s="6">
        <f>MONTH(U2700)</f>
        <v/>
      </c>
      <c r="Z2700" s="6">
        <f>AA2700&amp;AB2700</f>
        <v/>
      </c>
      <c r="AA2700" s="6">
        <f>YEAR(AC2700)</f>
        <v/>
      </c>
      <c r="AB2700" s="6">
        <f>MONTH(AC2700)</f>
        <v/>
      </c>
      <c r="AC2700" s="267">
        <f>IFERROR(__xludf.DUMMYFUNCTION("""COMPUTED_VALUE"""),45857.9986111111)</f>
        <v/>
      </c>
      <c r="AD2700" s="6">
        <f>IFERROR(__xludf.DUMMYFUNCTION("""COMPUTED_VALUE"""),1390.1)</f>
        <v/>
      </c>
      <c r="AH2700" s="6">
        <f>AI2700&amp;AJ2700</f>
        <v/>
      </c>
      <c r="AI2700" s="6">
        <f>YEAR(AK2700)</f>
        <v/>
      </c>
      <c r="AJ2700" s="6">
        <f>MONTH(AK2700)</f>
        <v/>
      </c>
      <c r="AK2700" s="267">
        <f>IFERROR(__xludf.DUMMYFUNCTION("""COMPUTED_VALUE"""),45795.9986111111)</f>
        <v/>
      </c>
      <c r="AL2700" s="6">
        <f>IFERROR(__xludf.DUMMYFUNCTION("""COMPUTED_VALUE"""),103298)</f>
        <v/>
      </c>
      <c r="AP2700" s="6">
        <f>AQ2700&amp;AR2700</f>
        <v/>
      </c>
      <c r="AQ2700" s="6">
        <f>YEAR(AS2700)</f>
        <v/>
      </c>
      <c r="AR2700" s="6">
        <f>MONTH(AS2700)</f>
        <v/>
      </c>
    </row>
    <row r="2701">
      <c r="B2701" s="6">
        <f>C2701&amp;D2701</f>
        <v/>
      </c>
      <c r="C2701" s="6">
        <f>YEAR(E2701)</f>
        <v/>
      </c>
      <c r="D2701" s="6">
        <f>MONTH(E2701)</f>
        <v/>
      </c>
      <c r="J2701" s="6">
        <f>K2701&amp;L2701</f>
        <v/>
      </c>
      <c r="K2701" s="6">
        <f>YEAR(M2701)</f>
        <v/>
      </c>
      <c r="L2701" s="6">
        <f>MONTH(M2701)</f>
        <v/>
      </c>
      <c r="R2701" s="6">
        <f>S2701&amp;T2701</f>
        <v/>
      </c>
      <c r="S2701" s="6">
        <f>YEAR(U2701)</f>
        <v/>
      </c>
      <c r="T2701" s="6">
        <f>MONTH(U2701)</f>
        <v/>
      </c>
      <c r="Z2701" s="6">
        <f>AA2701&amp;AB2701</f>
        <v/>
      </c>
      <c r="AA2701" s="6">
        <f>YEAR(AC2701)</f>
        <v/>
      </c>
      <c r="AB2701" s="6">
        <f>MONTH(AC2701)</f>
        <v/>
      </c>
      <c r="AC2701" s="267">
        <f>IFERROR(__xludf.DUMMYFUNCTION("""COMPUTED_VALUE"""),45858.9986111111)</f>
        <v/>
      </c>
      <c r="AD2701" s="6">
        <f>IFERROR(__xludf.DUMMYFUNCTION("""COMPUTED_VALUE"""),1390.57)</f>
        <v/>
      </c>
      <c r="AH2701" s="6">
        <f>AI2701&amp;AJ2701</f>
        <v/>
      </c>
      <c r="AI2701" s="6">
        <f>YEAR(AK2701)</f>
        <v/>
      </c>
      <c r="AJ2701" s="6">
        <f>MONTH(AK2701)</f>
        <v/>
      </c>
      <c r="AK2701" s="267">
        <f>IFERROR(__xludf.DUMMYFUNCTION("""COMPUTED_VALUE"""),45796.9986111111)</f>
        <v/>
      </c>
      <c r="AL2701" s="6">
        <f>IFERROR(__xludf.DUMMYFUNCTION("""COMPUTED_VALUE"""),103640.2)</f>
        <v/>
      </c>
      <c r="AP2701" s="6">
        <f>AQ2701&amp;AR2701</f>
        <v/>
      </c>
      <c r="AQ2701" s="6">
        <f>YEAR(AS2701)</f>
        <v/>
      </c>
      <c r="AR2701" s="6">
        <f>MONTH(AS2701)</f>
        <v/>
      </c>
    </row>
    <row r="2702">
      <c r="B2702" s="6">
        <f>C2702&amp;D2702</f>
        <v/>
      </c>
      <c r="C2702" s="6">
        <f>YEAR(E2702)</f>
        <v/>
      </c>
      <c r="D2702" s="6">
        <f>MONTH(E2702)</f>
        <v/>
      </c>
      <c r="J2702" s="6">
        <f>K2702&amp;L2702</f>
        <v/>
      </c>
      <c r="K2702" s="6">
        <f>YEAR(M2702)</f>
        <v/>
      </c>
      <c r="L2702" s="6">
        <f>MONTH(M2702)</f>
        <v/>
      </c>
      <c r="R2702" s="6">
        <f>S2702&amp;T2702</f>
        <v/>
      </c>
      <c r="S2702" s="6">
        <f>YEAR(U2702)</f>
        <v/>
      </c>
      <c r="T2702" s="6">
        <f>MONTH(U2702)</f>
        <v/>
      </c>
      <c r="Z2702" s="6">
        <f>AA2702&amp;AB2702</f>
        <v/>
      </c>
      <c r="AA2702" s="6">
        <f>YEAR(AC2702)</f>
        <v/>
      </c>
      <c r="AB2702" s="6">
        <f>MONTH(AC2702)</f>
        <v/>
      </c>
      <c r="AC2702" s="267">
        <f>IFERROR(__xludf.DUMMYFUNCTION("""COMPUTED_VALUE"""),45859.9986111111)</f>
        <v/>
      </c>
      <c r="AD2702" s="6">
        <f>IFERROR(__xludf.DUMMYFUNCTION("""COMPUTED_VALUE"""),1381.82)</f>
        <v/>
      </c>
      <c r="AH2702" s="6">
        <f>AI2702&amp;AJ2702</f>
        <v/>
      </c>
      <c r="AI2702" s="6">
        <f>YEAR(AK2702)</f>
        <v/>
      </c>
      <c r="AJ2702" s="6">
        <f>MONTH(AK2702)</f>
        <v/>
      </c>
      <c r="AK2702" s="267">
        <f>IFERROR(__xludf.DUMMYFUNCTION("""COMPUTED_VALUE"""),45797.9986111111)</f>
        <v/>
      </c>
      <c r="AL2702" s="6">
        <f>IFERROR(__xludf.DUMMYFUNCTION("""COMPUTED_VALUE"""),105707.1)</f>
        <v/>
      </c>
      <c r="AP2702" s="6">
        <f>AQ2702&amp;AR2702</f>
        <v/>
      </c>
      <c r="AQ2702" s="6">
        <f>YEAR(AS2702)</f>
        <v/>
      </c>
      <c r="AR2702" s="6">
        <f>MONTH(AS2702)</f>
        <v/>
      </c>
    </row>
    <row r="2703">
      <c r="B2703" s="6">
        <f>C2703&amp;D2703</f>
        <v/>
      </c>
      <c r="C2703" s="6">
        <f>YEAR(E2703)</f>
        <v/>
      </c>
      <c r="D2703" s="6">
        <f>MONTH(E2703)</f>
        <v/>
      </c>
      <c r="J2703" s="6">
        <f>K2703&amp;L2703</f>
        <v/>
      </c>
      <c r="K2703" s="6">
        <f>YEAR(M2703)</f>
        <v/>
      </c>
      <c r="L2703" s="6">
        <f>MONTH(M2703)</f>
        <v/>
      </c>
      <c r="R2703" s="6">
        <f>S2703&amp;T2703</f>
        <v/>
      </c>
      <c r="S2703" s="6">
        <f>YEAR(U2703)</f>
        <v/>
      </c>
      <c r="T2703" s="6">
        <f>MONTH(U2703)</f>
        <v/>
      </c>
      <c r="Z2703" s="6">
        <f>AA2703&amp;AB2703</f>
        <v/>
      </c>
      <c r="AA2703" s="6">
        <f>YEAR(AC2703)</f>
        <v/>
      </c>
      <c r="AB2703" s="6">
        <f>MONTH(AC2703)</f>
        <v/>
      </c>
      <c r="AC2703" s="267">
        <f>IFERROR(__xludf.DUMMYFUNCTION("""COMPUTED_VALUE"""),45860.9986111111)</f>
        <v/>
      </c>
      <c r="AD2703" s="6">
        <f>IFERROR(__xludf.DUMMYFUNCTION("""COMPUTED_VALUE"""),1379.78)</f>
        <v/>
      </c>
      <c r="AH2703" s="6">
        <f>AI2703&amp;AJ2703</f>
        <v/>
      </c>
      <c r="AI2703" s="6">
        <f>YEAR(AK2703)</f>
        <v/>
      </c>
      <c r="AJ2703" s="6">
        <f>MONTH(AK2703)</f>
        <v/>
      </c>
      <c r="AK2703" s="267">
        <f>IFERROR(__xludf.DUMMYFUNCTION("""COMPUTED_VALUE"""),45798.9986111111)</f>
        <v/>
      </c>
      <c r="AL2703" s="6">
        <f>IFERROR(__xludf.DUMMYFUNCTION("""COMPUTED_VALUE"""),106859.6)</f>
        <v/>
      </c>
      <c r="AP2703" s="6">
        <f>AQ2703&amp;AR2703</f>
        <v/>
      </c>
      <c r="AQ2703" s="6">
        <f>YEAR(AS2703)</f>
        <v/>
      </c>
      <c r="AR2703" s="6">
        <f>MONTH(AS2703)</f>
        <v/>
      </c>
    </row>
    <row r="2704">
      <c r="B2704" s="6">
        <f>C2704&amp;D2704</f>
        <v/>
      </c>
      <c r="C2704" s="6">
        <f>YEAR(E2704)</f>
        <v/>
      </c>
      <c r="D2704" s="6">
        <f>MONTH(E2704)</f>
        <v/>
      </c>
      <c r="J2704" s="6">
        <f>K2704&amp;L2704</f>
        <v/>
      </c>
      <c r="K2704" s="6">
        <f>YEAR(M2704)</f>
        <v/>
      </c>
      <c r="L2704" s="6">
        <f>MONTH(M2704)</f>
        <v/>
      </c>
      <c r="R2704" s="6">
        <f>S2704&amp;T2704</f>
        <v/>
      </c>
      <c r="S2704" s="6">
        <f>YEAR(U2704)</f>
        <v/>
      </c>
      <c r="T2704" s="6">
        <f>MONTH(U2704)</f>
        <v/>
      </c>
      <c r="Z2704" s="6">
        <f>AA2704&amp;AB2704</f>
        <v/>
      </c>
      <c r="AA2704" s="6">
        <f>YEAR(AC2704)</f>
        <v/>
      </c>
      <c r="AB2704" s="6">
        <f>MONTH(AC2704)</f>
        <v/>
      </c>
      <c r="AC2704" s="267">
        <f>IFERROR(__xludf.DUMMYFUNCTION("""COMPUTED_VALUE"""),45861.9986111111)</f>
        <v/>
      </c>
      <c r="AD2704" s="6">
        <f>IFERROR(__xludf.DUMMYFUNCTION("""COMPUTED_VALUE"""),1373.72)</f>
        <v/>
      </c>
      <c r="AH2704" s="6">
        <f>AI2704&amp;AJ2704</f>
        <v/>
      </c>
      <c r="AI2704" s="6">
        <f>YEAR(AK2704)</f>
        <v/>
      </c>
      <c r="AJ2704" s="6">
        <f>MONTH(AK2704)</f>
        <v/>
      </c>
      <c r="AK2704" s="267">
        <f>IFERROR(__xludf.DUMMYFUNCTION("""COMPUTED_VALUE"""),45799.9986111111)</f>
        <v/>
      </c>
      <c r="AL2704" s="6">
        <f>IFERROR(__xludf.DUMMYFUNCTION("""COMPUTED_VALUE"""),111681.7)</f>
        <v/>
      </c>
      <c r="AP2704" s="6">
        <f>AQ2704&amp;AR2704</f>
        <v/>
      </c>
      <c r="AQ2704" s="6">
        <f>YEAR(AS2704)</f>
        <v/>
      </c>
      <c r="AR2704" s="6">
        <f>MONTH(AS2704)</f>
        <v/>
      </c>
    </row>
    <row r="2705">
      <c r="B2705" s="6">
        <f>C2705&amp;D2705</f>
        <v/>
      </c>
      <c r="C2705" s="6">
        <f>YEAR(E2705)</f>
        <v/>
      </c>
      <c r="D2705" s="6">
        <f>MONTH(E2705)</f>
        <v/>
      </c>
      <c r="J2705" s="6">
        <f>K2705&amp;L2705</f>
        <v/>
      </c>
      <c r="K2705" s="6">
        <f>YEAR(M2705)</f>
        <v/>
      </c>
      <c r="L2705" s="6">
        <f>MONTH(M2705)</f>
        <v/>
      </c>
      <c r="R2705" s="6">
        <f>S2705&amp;T2705</f>
        <v/>
      </c>
      <c r="S2705" s="6">
        <f>YEAR(U2705)</f>
        <v/>
      </c>
      <c r="T2705" s="6">
        <f>MONTH(U2705)</f>
        <v/>
      </c>
      <c r="Z2705" s="6">
        <f>AA2705&amp;AB2705</f>
        <v/>
      </c>
      <c r="AA2705" s="6">
        <f>YEAR(AC2705)</f>
        <v/>
      </c>
      <c r="AB2705" s="6">
        <f>MONTH(AC2705)</f>
        <v/>
      </c>
      <c r="AC2705" s="267">
        <f>IFERROR(__xludf.DUMMYFUNCTION("""COMPUTED_VALUE"""),45862.9986111111)</f>
        <v/>
      </c>
      <c r="AD2705" s="6">
        <f>IFERROR(__xludf.DUMMYFUNCTION("""COMPUTED_VALUE"""),1372)</f>
        <v/>
      </c>
      <c r="AH2705" s="6">
        <f>AI2705&amp;AJ2705</f>
        <v/>
      </c>
      <c r="AI2705" s="6">
        <f>YEAR(AK2705)</f>
        <v/>
      </c>
      <c r="AJ2705" s="6">
        <f>MONTH(AK2705)</f>
        <v/>
      </c>
      <c r="AK2705" s="267">
        <f>IFERROR(__xludf.DUMMYFUNCTION("""COMPUTED_VALUE"""),45800.9986111111)</f>
        <v/>
      </c>
      <c r="AL2705" s="6">
        <f>IFERROR(__xludf.DUMMYFUNCTION("""COMPUTED_VALUE"""),111088.5)</f>
        <v/>
      </c>
      <c r="AP2705" s="6">
        <f>AQ2705&amp;AR2705</f>
        <v/>
      </c>
      <c r="AQ2705" s="6">
        <f>YEAR(AS2705)</f>
        <v/>
      </c>
      <c r="AR2705" s="6">
        <f>MONTH(AS2705)</f>
        <v/>
      </c>
    </row>
    <row r="2706">
      <c r="B2706" s="6">
        <f>C2706&amp;D2706</f>
        <v/>
      </c>
      <c r="C2706" s="6">
        <f>YEAR(E2706)</f>
        <v/>
      </c>
      <c r="D2706" s="6">
        <f>MONTH(E2706)</f>
        <v/>
      </c>
      <c r="J2706" s="6">
        <f>K2706&amp;L2706</f>
        <v/>
      </c>
      <c r="K2706" s="6">
        <f>YEAR(M2706)</f>
        <v/>
      </c>
      <c r="L2706" s="6">
        <f>MONTH(M2706)</f>
        <v/>
      </c>
      <c r="R2706" s="6">
        <f>S2706&amp;T2706</f>
        <v/>
      </c>
      <c r="S2706" s="6">
        <f>YEAR(U2706)</f>
        <v/>
      </c>
      <c r="T2706" s="6">
        <f>MONTH(U2706)</f>
        <v/>
      </c>
      <c r="Z2706" s="6">
        <f>AA2706&amp;AB2706</f>
        <v/>
      </c>
      <c r="AA2706" s="6">
        <f>YEAR(AC2706)</f>
        <v/>
      </c>
      <c r="AB2706" s="6">
        <f>MONTH(AC2706)</f>
        <v/>
      </c>
      <c r="AC2706" s="267">
        <f>IFERROR(__xludf.DUMMYFUNCTION("""COMPUTED_VALUE"""),45863.9986111111)</f>
        <v/>
      </c>
      <c r="AD2706" s="6">
        <f>IFERROR(__xludf.DUMMYFUNCTION("""COMPUTED_VALUE"""),1382.12)</f>
        <v/>
      </c>
      <c r="AH2706" s="6">
        <f>AI2706&amp;AJ2706</f>
        <v/>
      </c>
      <c r="AI2706" s="6">
        <f>YEAR(AK2706)</f>
        <v/>
      </c>
      <c r="AJ2706" s="6">
        <f>MONTH(AK2706)</f>
        <v/>
      </c>
      <c r="AK2706" s="267">
        <f>IFERROR(__xludf.DUMMYFUNCTION("""COMPUTED_VALUE"""),45801.9986111111)</f>
        <v/>
      </c>
      <c r="AL2706" s="6">
        <f>IFERROR(__xludf.DUMMYFUNCTION("""COMPUTED_VALUE"""),108333.4)</f>
        <v/>
      </c>
      <c r="AP2706" s="6">
        <f>AQ2706&amp;AR2706</f>
        <v/>
      </c>
      <c r="AQ2706" s="6">
        <f>YEAR(AS2706)</f>
        <v/>
      </c>
      <c r="AR2706" s="6">
        <f>MONTH(AS2706)</f>
        <v/>
      </c>
    </row>
    <row r="2707">
      <c r="B2707" s="6">
        <f>C2707&amp;D2707</f>
        <v/>
      </c>
      <c r="C2707" s="6">
        <f>YEAR(E2707)</f>
        <v/>
      </c>
      <c r="D2707" s="6">
        <f>MONTH(E2707)</f>
        <v/>
      </c>
      <c r="J2707" s="6">
        <f>K2707&amp;L2707</f>
        <v/>
      </c>
      <c r="K2707" s="6">
        <f>YEAR(M2707)</f>
        <v/>
      </c>
      <c r="L2707" s="6">
        <f>MONTH(M2707)</f>
        <v/>
      </c>
      <c r="R2707" s="6">
        <f>S2707&amp;T2707</f>
        <v/>
      </c>
      <c r="S2707" s="6">
        <f>YEAR(U2707)</f>
        <v/>
      </c>
      <c r="T2707" s="6">
        <f>MONTH(U2707)</f>
        <v/>
      </c>
      <c r="Z2707" s="6">
        <f>AA2707&amp;AB2707</f>
        <v/>
      </c>
      <c r="AA2707" s="6">
        <f>YEAR(AC2707)</f>
        <v/>
      </c>
      <c r="AB2707" s="6">
        <f>MONTH(AC2707)</f>
        <v/>
      </c>
      <c r="AC2707" s="267">
        <f>IFERROR(__xludf.DUMMYFUNCTION("""COMPUTED_VALUE"""),45864.9986111111)</f>
        <v/>
      </c>
      <c r="AD2707" s="6">
        <f>IFERROR(__xludf.DUMMYFUNCTION("""COMPUTED_VALUE"""),1381.64)</f>
        <v/>
      </c>
      <c r="AH2707" s="6">
        <f>AI2707&amp;AJ2707</f>
        <v/>
      </c>
      <c r="AI2707" s="6">
        <f>YEAR(AK2707)</f>
        <v/>
      </c>
      <c r="AJ2707" s="6">
        <f>MONTH(AK2707)</f>
        <v/>
      </c>
      <c r="AK2707" s="267">
        <f>IFERROR(__xludf.DUMMYFUNCTION("""COMPUTED_VALUE"""),45802.9986111111)</f>
        <v/>
      </c>
      <c r="AL2707" s="6">
        <f>IFERROR(__xludf.DUMMYFUNCTION("""COMPUTED_VALUE"""),108096.5)</f>
        <v/>
      </c>
      <c r="AP2707" s="6">
        <f>AQ2707&amp;AR2707</f>
        <v/>
      </c>
      <c r="AQ2707" s="6">
        <f>YEAR(AS2707)</f>
        <v/>
      </c>
      <c r="AR2707" s="6">
        <f>MONTH(AS2707)</f>
        <v/>
      </c>
    </row>
    <row r="2708">
      <c r="B2708" s="6">
        <f>C2708&amp;D2708</f>
        <v/>
      </c>
      <c r="C2708" s="6">
        <f>YEAR(E2708)</f>
        <v/>
      </c>
      <c r="D2708" s="6">
        <f>MONTH(E2708)</f>
        <v/>
      </c>
      <c r="J2708" s="6">
        <f>K2708&amp;L2708</f>
        <v/>
      </c>
      <c r="K2708" s="6">
        <f>YEAR(M2708)</f>
        <v/>
      </c>
      <c r="L2708" s="6">
        <f>MONTH(M2708)</f>
        <v/>
      </c>
      <c r="R2708" s="6">
        <f>S2708&amp;T2708</f>
        <v/>
      </c>
      <c r="S2708" s="6">
        <f>YEAR(U2708)</f>
        <v/>
      </c>
      <c r="T2708" s="6">
        <f>MONTH(U2708)</f>
        <v/>
      </c>
      <c r="Z2708" s="6">
        <f>AA2708&amp;AB2708</f>
        <v/>
      </c>
      <c r="AA2708" s="6">
        <f>YEAR(AC2708)</f>
        <v/>
      </c>
      <c r="AB2708" s="6">
        <f>MONTH(AC2708)</f>
        <v/>
      </c>
      <c r="AC2708" s="267">
        <f>IFERROR(__xludf.DUMMYFUNCTION("""COMPUTED_VALUE"""),45865.9986111111)</f>
        <v/>
      </c>
      <c r="AD2708" s="6">
        <f>IFERROR(__xludf.DUMMYFUNCTION("""COMPUTED_VALUE"""),1382.78)</f>
        <v/>
      </c>
      <c r="AH2708" s="6">
        <f>AI2708&amp;AJ2708</f>
        <v/>
      </c>
      <c r="AI2708" s="6">
        <f>YEAR(AK2708)</f>
        <v/>
      </c>
      <c r="AJ2708" s="6">
        <f>MONTH(AK2708)</f>
        <v/>
      </c>
      <c r="AK2708" s="267">
        <f>IFERROR(__xludf.DUMMYFUNCTION("""COMPUTED_VALUE"""),45803.9986111111)</f>
        <v/>
      </c>
      <c r="AL2708" s="6">
        <f>IFERROR(__xludf.DUMMYFUNCTION("""COMPUTED_VALUE"""),109641.5)</f>
        <v/>
      </c>
      <c r="AP2708" s="6">
        <f>AQ2708&amp;AR2708</f>
        <v/>
      </c>
      <c r="AQ2708" s="6">
        <f>YEAR(AS2708)</f>
        <v/>
      </c>
      <c r="AR2708" s="6">
        <f>MONTH(AS2708)</f>
        <v/>
      </c>
    </row>
    <row r="2709">
      <c r="B2709" s="6">
        <f>C2709&amp;D2709</f>
        <v/>
      </c>
      <c r="C2709" s="6">
        <f>YEAR(E2709)</f>
        <v/>
      </c>
      <c r="D2709" s="6">
        <f>MONTH(E2709)</f>
        <v/>
      </c>
      <c r="J2709" s="6">
        <f>K2709&amp;L2709</f>
        <v/>
      </c>
      <c r="K2709" s="6">
        <f>YEAR(M2709)</f>
        <v/>
      </c>
      <c r="L2709" s="6">
        <f>MONTH(M2709)</f>
        <v/>
      </c>
      <c r="R2709" s="6">
        <f>S2709&amp;T2709</f>
        <v/>
      </c>
      <c r="S2709" s="6">
        <f>YEAR(U2709)</f>
        <v/>
      </c>
      <c r="T2709" s="6">
        <f>MONTH(U2709)</f>
        <v/>
      </c>
      <c r="Z2709" s="6">
        <f>AA2709&amp;AB2709</f>
        <v/>
      </c>
      <c r="AA2709" s="6">
        <f>YEAR(AC2709)</f>
        <v/>
      </c>
      <c r="AB2709" s="6">
        <f>MONTH(AC2709)</f>
        <v/>
      </c>
      <c r="AC2709" s="267">
        <f>IFERROR(__xludf.DUMMYFUNCTION("""COMPUTED_VALUE"""),45866.9986111111)</f>
        <v/>
      </c>
      <c r="AD2709" s="6">
        <f>IFERROR(__xludf.DUMMYFUNCTION("""COMPUTED_VALUE"""),1388.29)</f>
        <v/>
      </c>
      <c r="AH2709" s="6">
        <f>AI2709&amp;AJ2709</f>
        <v/>
      </c>
      <c r="AI2709" s="6">
        <f>YEAR(AK2709)</f>
        <v/>
      </c>
      <c r="AJ2709" s="6">
        <f>MONTH(AK2709)</f>
        <v/>
      </c>
      <c r="AK2709" s="267">
        <f>IFERROR(__xludf.DUMMYFUNCTION("""COMPUTED_VALUE"""),45804.9986111111)</f>
        <v/>
      </c>
      <c r="AL2709" s="6">
        <f>IFERROR(__xludf.DUMMYFUNCTION("""COMPUTED_VALUE"""),108927.6)</f>
        <v/>
      </c>
      <c r="AP2709" s="6">
        <f>AQ2709&amp;AR2709</f>
        <v/>
      </c>
      <c r="AQ2709" s="6">
        <f>YEAR(AS2709)</f>
        <v/>
      </c>
      <c r="AR2709" s="6">
        <f>MONTH(AS2709)</f>
        <v/>
      </c>
    </row>
    <row r="2710">
      <c r="B2710" s="6">
        <f>C2710&amp;D2710</f>
        <v/>
      </c>
      <c r="C2710" s="6">
        <f>YEAR(E2710)</f>
        <v/>
      </c>
      <c r="D2710" s="6">
        <f>MONTH(E2710)</f>
        <v/>
      </c>
      <c r="J2710" s="6">
        <f>K2710&amp;L2710</f>
        <v/>
      </c>
      <c r="K2710" s="6">
        <f>YEAR(M2710)</f>
        <v/>
      </c>
      <c r="L2710" s="6">
        <f>MONTH(M2710)</f>
        <v/>
      </c>
      <c r="R2710" s="6">
        <f>S2710&amp;T2710</f>
        <v/>
      </c>
      <c r="S2710" s="6">
        <f>YEAR(U2710)</f>
        <v/>
      </c>
      <c r="T2710" s="6">
        <f>MONTH(U2710)</f>
        <v/>
      </c>
      <c r="Z2710" s="6">
        <f>AA2710&amp;AB2710</f>
        <v/>
      </c>
      <c r="AA2710" s="6">
        <f>YEAR(AC2710)</f>
        <v/>
      </c>
      <c r="AB2710" s="6">
        <f>MONTH(AC2710)</f>
        <v/>
      </c>
      <c r="AC2710" s="267">
        <f>IFERROR(__xludf.DUMMYFUNCTION("""COMPUTED_VALUE"""),45867.9986111111)</f>
        <v/>
      </c>
      <c r="AD2710" s="6">
        <f>IFERROR(__xludf.DUMMYFUNCTION("""COMPUTED_VALUE"""),1388.86)</f>
        <v/>
      </c>
      <c r="AH2710" s="6">
        <f>AI2710&amp;AJ2710</f>
        <v/>
      </c>
      <c r="AI2710" s="6">
        <f>YEAR(AK2710)</f>
        <v/>
      </c>
      <c r="AJ2710" s="6">
        <f>MONTH(AK2710)</f>
        <v/>
      </c>
      <c r="AK2710" s="267">
        <f>IFERROR(__xludf.DUMMYFUNCTION("""COMPUTED_VALUE"""),45805.9986111111)</f>
        <v/>
      </c>
      <c r="AL2710" s="6">
        <f>IFERROR(__xludf.DUMMYFUNCTION("""COMPUTED_VALUE"""),108877.1)</f>
        <v/>
      </c>
      <c r="AP2710" s="6">
        <f>AQ2710&amp;AR2710</f>
        <v/>
      </c>
      <c r="AQ2710" s="6">
        <f>YEAR(AS2710)</f>
        <v/>
      </c>
      <c r="AR2710" s="6">
        <f>MONTH(AS2710)</f>
        <v/>
      </c>
    </row>
    <row r="2711">
      <c r="B2711" s="6">
        <f>C2711&amp;D2711</f>
        <v/>
      </c>
      <c r="C2711" s="6">
        <f>YEAR(E2711)</f>
        <v/>
      </c>
      <c r="D2711" s="6">
        <f>MONTH(E2711)</f>
        <v/>
      </c>
      <c r="J2711" s="6">
        <f>K2711&amp;L2711</f>
        <v/>
      </c>
      <c r="K2711" s="6">
        <f>YEAR(M2711)</f>
        <v/>
      </c>
      <c r="L2711" s="6">
        <f>MONTH(M2711)</f>
        <v/>
      </c>
      <c r="R2711" s="6">
        <f>S2711&amp;T2711</f>
        <v/>
      </c>
      <c r="S2711" s="6">
        <f>YEAR(U2711)</f>
        <v/>
      </c>
      <c r="T2711" s="6">
        <f>MONTH(U2711)</f>
        <v/>
      </c>
      <c r="Z2711" s="6">
        <f>AA2711&amp;AB2711</f>
        <v/>
      </c>
      <c r="AA2711" s="6">
        <f>YEAR(AC2711)</f>
        <v/>
      </c>
      <c r="AB2711" s="6">
        <f>MONTH(AC2711)</f>
        <v/>
      </c>
      <c r="AC2711" s="267">
        <f>IFERROR(__xludf.DUMMYFUNCTION("""COMPUTED_VALUE"""),45868.9986111111)</f>
        <v/>
      </c>
      <c r="AD2711" s="6">
        <f>IFERROR(__xludf.DUMMYFUNCTION("""COMPUTED_VALUE"""),1392.52)</f>
        <v/>
      </c>
      <c r="AH2711" s="6">
        <f>AI2711&amp;AJ2711</f>
        <v/>
      </c>
      <c r="AI2711" s="6">
        <f>YEAR(AK2711)</f>
        <v/>
      </c>
      <c r="AJ2711" s="6">
        <f>MONTH(AK2711)</f>
        <v/>
      </c>
      <c r="AK2711" s="267">
        <f>IFERROR(__xludf.DUMMYFUNCTION("""COMPUTED_VALUE"""),45806.9986111111)</f>
        <v/>
      </c>
      <c r="AL2711" s="6">
        <f>IFERROR(__xludf.DUMMYFUNCTION("""COMPUTED_VALUE"""),108043.4)</f>
        <v/>
      </c>
      <c r="AP2711" s="6">
        <f>AQ2711&amp;AR2711</f>
        <v/>
      </c>
      <c r="AQ2711" s="6">
        <f>YEAR(AS2711)</f>
        <v/>
      </c>
      <c r="AR2711" s="6">
        <f>MONTH(AS2711)</f>
        <v/>
      </c>
    </row>
    <row r="2712">
      <c r="B2712" s="6">
        <f>C2712&amp;D2712</f>
        <v/>
      </c>
      <c r="C2712" s="6">
        <f>YEAR(E2712)</f>
        <v/>
      </c>
      <c r="D2712" s="6">
        <f>MONTH(E2712)</f>
        <v/>
      </c>
      <c r="J2712" s="6">
        <f>K2712&amp;L2712</f>
        <v/>
      </c>
      <c r="K2712" s="6">
        <f>YEAR(M2712)</f>
        <v/>
      </c>
      <c r="L2712" s="6">
        <f>MONTH(M2712)</f>
        <v/>
      </c>
      <c r="R2712" s="6">
        <f>S2712&amp;T2712</f>
        <v/>
      </c>
      <c r="S2712" s="6">
        <f>YEAR(U2712)</f>
        <v/>
      </c>
      <c r="T2712" s="6">
        <f>MONTH(U2712)</f>
        <v/>
      </c>
      <c r="Z2712" s="6">
        <f>AA2712&amp;AB2712</f>
        <v/>
      </c>
      <c r="AA2712" s="6">
        <f>YEAR(AC2712)</f>
        <v/>
      </c>
      <c r="AB2712" s="6">
        <f>MONTH(AC2712)</f>
        <v/>
      </c>
      <c r="AC2712" s="267">
        <f>IFERROR(__xludf.DUMMYFUNCTION("""COMPUTED_VALUE"""),45869.9986111111)</f>
        <v/>
      </c>
      <c r="AD2712" s="6">
        <f>IFERROR(__xludf.DUMMYFUNCTION("""COMPUTED_VALUE"""),1391.51)</f>
        <v/>
      </c>
      <c r="AH2712" s="6">
        <f>AI2712&amp;AJ2712</f>
        <v/>
      </c>
      <c r="AI2712" s="6">
        <f>YEAR(AK2712)</f>
        <v/>
      </c>
      <c r="AJ2712" s="6">
        <f>MONTH(AK2712)</f>
        <v/>
      </c>
      <c r="AK2712" s="267">
        <f>IFERROR(__xludf.DUMMYFUNCTION("""COMPUTED_VALUE"""),45807.9986111111)</f>
        <v/>
      </c>
      <c r="AL2712" s="6">
        <f>IFERROR(__xludf.DUMMYFUNCTION("""COMPUTED_VALUE"""),106021.6)</f>
        <v/>
      </c>
      <c r="AP2712" s="6">
        <f>AQ2712&amp;AR2712</f>
        <v/>
      </c>
      <c r="AQ2712" s="6">
        <f>YEAR(AS2712)</f>
        <v/>
      </c>
      <c r="AR2712" s="6">
        <f>MONTH(AS2712)</f>
        <v/>
      </c>
    </row>
    <row r="2713">
      <c r="B2713" s="6">
        <f>C2713&amp;D2713</f>
        <v/>
      </c>
      <c r="C2713" s="6">
        <f>YEAR(E2713)</f>
        <v/>
      </c>
      <c r="D2713" s="6">
        <f>MONTH(E2713)</f>
        <v/>
      </c>
      <c r="J2713" s="6">
        <f>K2713&amp;L2713</f>
        <v/>
      </c>
      <c r="K2713" s="6">
        <f>YEAR(M2713)</f>
        <v/>
      </c>
      <c r="L2713" s="6">
        <f>MONTH(M2713)</f>
        <v/>
      </c>
      <c r="R2713" s="6">
        <f>S2713&amp;T2713</f>
        <v/>
      </c>
      <c r="S2713" s="6">
        <f>YEAR(U2713)</f>
        <v/>
      </c>
      <c r="T2713" s="6">
        <f>MONTH(U2713)</f>
        <v/>
      </c>
      <c r="Z2713" s="6">
        <f>AA2713&amp;AB2713</f>
        <v/>
      </c>
      <c r="AA2713" s="6">
        <f>YEAR(AC2713)</f>
        <v/>
      </c>
      <c r="AB2713" s="6">
        <f>MONTH(AC2713)</f>
        <v/>
      </c>
      <c r="AC2713" s="267">
        <f>IFERROR(__xludf.DUMMYFUNCTION("""COMPUTED_VALUE"""),45870.9986111111)</f>
        <v/>
      </c>
      <c r="AD2713" s="6">
        <f>IFERROR(__xludf.DUMMYFUNCTION("""COMPUTED_VALUE"""),1388.03)</f>
        <v/>
      </c>
      <c r="AH2713" s="6">
        <f>AI2713&amp;AJ2713</f>
        <v/>
      </c>
      <c r="AI2713" s="6">
        <f>YEAR(AK2713)</f>
        <v/>
      </c>
      <c r="AJ2713" s="6">
        <f>MONTH(AK2713)</f>
        <v/>
      </c>
      <c r="AK2713" s="267">
        <f>IFERROR(__xludf.DUMMYFUNCTION("""COMPUTED_VALUE"""),45808.9986111111)</f>
        <v/>
      </c>
      <c r="AL2713" s="6">
        <f>IFERROR(__xludf.DUMMYFUNCTION("""COMPUTED_VALUE"""),103735.2)</f>
        <v/>
      </c>
      <c r="AP2713" s="6">
        <f>AQ2713&amp;AR2713</f>
        <v/>
      </c>
      <c r="AQ2713" s="6">
        <f>YEAR(AS2713)</f>
        <v/>
      </c>
      <c r="AR2713" s="6">
        <f>MONTH(AS2713)</f>
        <v/>
      </c>
    </row>
    <row r="2714">
      <c r="B2714" s="6">
        <f>C2714&amp;D2714</f>
        <v/>
      </c>
      <c r="C2714" s="6">
        <f>YEAR(E2714)</f>
        <v/>
      </c>
      <c r="D2714" s="6">
        <f>MONTH(E2714)</f>
        <v/>
      </c>
      <c r="J2714" s="6">
        <f>K2714&amp;L2714</f>
        <v/>
      </c>
      <c r="K2714" s="6">
        <f>YEAR(M2714)</f>
        <v/>
      </c>
      <c r="L2714" s="6">
        <f>MONTH(M2714)</f>
        <v/>
      </c>
      <c r="R2714" s="6">
        <f>S2714&amp;T2714</f>
        <v/>
      </c>
      <c r="S2714" s="6">
        <f>YEAR(U2714)</f>
        <v/>
      </c>
      <c r="T2714" s="6">
        <f>MONTH(U2714)</f>
        <v/>
      </c>
      <c r="Z2714" s="6">
        <f>AA2714&amp;AB2714</f>
        <v/>
      </c>
      <c r="AA2714" s="6">
        <f>YEAR(AC2714)</f>
        <v/>
      </c>
      <c r="AB2714" s="6">
        <f>MONTH(AC2714)</f>
        <v/>
      </c>
      <c r="AC2714" s="267">
        <f>IFERROR(__xludf.DUMMYFUNCTION("""COMPUTED_VALUE"""),45871.9986111111)</f>
        <v/>
      </c>
      <c r="AD2714" s="6">
        <f>IFERROR(__xludf.DUMMYFUNCTION("""COMPUTED_VALUE"""),1387.93)</f>
        <v/>
      </c>
      <c r="AH2714" s="6">
        <f>AI2714&amp;AJ2714</f>
        <v/>
      </c>
      <c r="AI2714" s="6">
        <f>YEAR(AK2714)</f>
        <v/>
      </c>
      <c r="AJ2714" s="6">
        <f>MONTH(AK2714)</f>
        <v/>
      </c>
      <c r="AK2714" s="267">
        <f>IFERROR(__xludf.DUMMYFUNCTION("""COMPUTED_VALUE"""),45809.9986111111)</f>
        <v/>
      </c>
      <c r="AL2714" s="6">
        <f>IFERROR(__xludf.DUMMYFUNCTION("""COMPUTED_VALUE"""),104494.5)</f>
        <v/>
      </c>
      <c r="AP2714" s="6">
        <f>AQ2714&amp;AR2714</f>
        <v/>
      </c>
      <c r="AQ2714" s="6">
        <f>YEAR(AS2714)</f>
        <v/>
      </c>
      <c r="AR2714" s="6">
        <f>MONTH(AS2714)</f>
        <v/>
      </c>
    </row>
    <row r="2715">
      <c r="B2715" s="6">
        <f>C2715&amp;D2715</f>
        <v/>
      </c>
      <c r="C2715" s="6">
        <f>YEAR(E2715)</f>
        <v/>
      </c>
      <c r="D2715" s="6">
        <f>MONTH(E2715)</f>
        <v/>
      </c>
      <c r="J2715" s="6">
        <f>K2715&amp;L2715</f>
        <v/>
      </c>
      <c r="K2715" s="6">
        <f>YEAR(M2715)</f>
        <v/>
      </c>
      <c r="L2715" s="6">
        <f>MONTH(M2715)</f>
        <v/>
      </c>
      <c r="R2715" s="6">
        <f>S2715&amp;T2715</f>
        <v/>
      </c>
      <c r="S2715" s="6">
        <f>YEAR(U2715)</f>
        <v/>
      </c>
      <c r="T2715" s="6">
        <f>MONTH(U2715)</f>
        <v/>
      </c>
      <c r="Z2715" s="6">
        <f>AA2715&amp;AB2715</f>
        <v/>
      </c>
      <c r="AA2715" s="6">
        <f>YEAR(AC2715)</f>
        <v/>
      </c>
      <c r="AB2715" s="6">
        <f>MONTH(AC2715)</f>
        <v/>
      </c>
      <c r="AC2715" s="267">
        <f>IFERROR(__xludf.DUMMYFUNCTION("""COMPUTED_VALUE"""),45872.9986111111)</f>
        <v/>
      </c>
      <c r="AD2715" s="6">
        <f>IFERROR(__xludf.DUMMYFUNCTION("""COMPUTED_VALUE"""),1390.18)</f>
        <v/>
      </c>
      <c r="AH2715" s="6">
        <f>AI2715&amp;AJ2715</f>
        <v/>
      </c>
      <c r="AI2715" s="6">
        <f>YEAR(AK2715)</f>
        <v/>
      </c>
      <c r="AJ2715" s="6">
        <f>MONTH(AK2715)</f>
        <v/>
      </c>
      <c r="AK2715" s="267">
        <f>IFERROR(__xludf.DUMMYFUNCTION("""COMPUTED_VALUE"""),45810.9986111111)</f>
        <v/>
      </c>
      <c r="AL2715" s="6">
        <f>IFERROR(__xludf.DUMMYFUNCTION("""COMPUTED_VALUE"""),104914.5)</f>
        <v/>
      </c>
      <c r="AP2715" s="6">
        <f>AQ2715&amp;AR2715</f>
        <v/>
      </c>
      <c r="AQ2715" s="6">
        <f>YEAR(AS2715)</f>
        <v/>
      </c>
      <c r="AR2715" s="6">
        <f>MONTH(AS2715)</f>
        <v/>
      </c>
    </row>
    <row r="2716">
      <c r="B2716" s="6">
        <f>C2716&amp;D2716</f>
        <v/>
      </c>
      <c r="C2716" s="6">
        <f>YEAR(E2716)</f>
        <v/>
      </c>
      <c r="D2716" s="6">
        <f>MONTH(E2716)</f>
        <v/>
      </c>
      <c r="J2716" s="6">
        <f>K2716&amp;L2716</f>
        <v/>
      </c>
      <c r="K2716" s="6">
        <f>YEAR(M2716)</f>
        <v/>
      </c>
      <c r="L2716" s="6">
        <f>MONTH(M2716)</f>
        <v/>
      </c>
      <c r="R2716" s="6">
        <f>S2716&amp;T2716</f>
        <v/>
      </c>
      <c r="S2716" s="6">
        <f>YEAR(U2716)</f>
        <v/>
      </c>
      <c r="T2716" s="6">
        <f>MONTH(U2716)</f>
        <v/>
      </c>
      <c r="Z2716" s="6">
        <f>AA2716&amp;AB2716</f>
        <v/>
      </c>
      <c r="AA2716" s="6">
        <f>YEAR(AC2716)</f>
        <v/>
      </c>
      <c r="AB2716" s="6">
        <f>MONTH(AC2716)</f>
        <v/>
      </c>
      <c r="AC2716" s="267">
        <f>IFERROR(__xludf.DUMMYFUNCTION("""COMPUTED_VALUE"""),45873.9986111111)</f>
        <v/>
      </c>
      <c r="AD2716" s="6">
        <f>IFERROR(__xludf.DUMMYFUNCTION("""COMPUTED_VALUE"""),1383.59)</f>
        <v/>
      </c>
      <c r="AH2716" s="6">
        <f>AI2716&amp;AJ2716</f>
        <v/>
      </c>
      <c r="AI2716" s="6">
        <f>YEAR(AK2716)</f>
        <v/>
      </c>
      <c r="AJ2716" s="6">
        <f>MONTH(AK2716)</f>
        <v/>
      </c>
      <c r="AK2716" s="267">
        <f>IFERROR(__xludf.DUMMYFUNCTION("""COMPUTED_VALUE"""),45811.9986111111)</f>
        <v/>
      </c>
      <c r="AL2716" s="6">
        <f>IFERROR(__xludf.DUMMYFUNCTION("""COMPUTED_VALUE"""),105551.6)</f>
        <v/>
      </c>
      <c r="AP2716" s="6">
        <f>AQ2716&amp;AR2716</f>
        <v/>
      </c>
      <c r="AQ2716" s="6">
        <f>YEAR(AS2716)</f>
        <v/>
      </c>
      <c r="AR2716" s="6">
        <f>MONTH(AS2716)</f>
        <v/>
      </c>
    </row>
    <row r="2717">
      <c r="B2717" s="6">
        <f>C2717&amp;D2717</f>
        <v/>
      </c>
      <c r="C2717" s="6">
        <f>YEAR(E2717)</f>
        <v/>
      </c>
      <c r="D2717" s="6">
        <f>MONTH(E2717)</f>
        <v/>
      </c>
      <c r="J2717" s="6">
        <f>K2717&amp;L2717</f>
        <v/>
      </c>
      <c r="K2717" s="6">
        <f>YEAR(M2717)</f>
        <v/>
      </c>
      <c r="L2717" s="6">
        <f>MONTH(M2717)</f>
        <v/>
      </c>
      <c r="R2717" s="6">
        <f>S2717&amp;T2717</f>
        <v/>
      </c>
      <c r="S2717" s="6">
        <f>YEAR(U2717)</f>
        <v/>
      </c>
      <c r="T2717" s="6">
        <f>MONTH(U2717)</f>
        <v/>
      </c>
      <c r="Z2717" s="6">
        <f>AA2717&amp;AB2717</f>
        <v/>
      </c>
      <c r="AA2717" s="6">
        <f>YEAR(AC2717)</f>
        <v/>
      </c>
      <c r="AB2717" s="6">
        <f>MONTH(AC2717)</f>
        <v/>
      </c>
      <c r="AC2717" s="267">
        <f>IFERROR(__xludf.DUMMYFUNCTION("""COMPUTED_VALUE"""),45874.9986111111)</f>
        <v/>
      </c>
      <c r="AD2717" s="6">
        <f>IFERROR(__xludf.DUMMYFUNCTION("""COMPUTED_VALUE"""),1386.58)</f>
        <v/>
      </c>
      <c r="AH2717" s="6">
        <f>AI2717&amp;AJ2717</f>
        <v/>
      </c>
      <c r="AI2717" s="6">
        <f>YEAR(AK2717)</f>
        <v/>
      </c>
      <c r="AJ2717" s="6">
        <f>MONTH(AK2717)</f>
        <v/>
      </c>
      <c r="AK2717" s="267">
        <f>IFERROR(__xludf.DUMMYFUNCTION("""COMPUTED_VALUE"""),45812.9986111111)</f>
        <v/>
      </c>
      <c r="AL2717" s="6">
        <f>IFERROR(__xludf.DUMMYFUNCTION("""COMPUTED_VALUE"""),105625.9)</f>
        <v/>
      </c>
      <c r="AP2717" s="6">
        <f>AQ2717&amp;AR2717</f>
        <v/>
      </c>
      <c r="AQ2717" s="6">
        <f>YEAR(AS2717)</f>
        <v/>
      </c>
      <c r="AR2717" s="6">
        <f>MONTH(AS2717)</f>
        <v/>
      </c>
    </row>
    <row r="2718">
      <c r="B2718" s="6">
        <f>C2718&amp;D2718</f>
        <v/>
      </c>
      <c r="C2718" s="6">
        <f>YEAR(E2718)</f>
        <v/>
      </c>
      <c r="D2718" s="6">
        <f>MONTH(E2718)</f>
        <v/>
      </c>
      <c r="J2718" s="6">
        <f>K2718&amp;L2718</f>
        <v/>
      </c>
      <c r="K2718" s="6">
        <f>YEAR(M2718)</f>
        <v/>
      </c>
      <c r="L2718" s="6">
        <f>MONTH(M2718)</f>
        <v/>
      </c>
      <c r="R2718" s="6">
        <f>S2718&amp;T2718</f>
        <v/>
      </c>
      <c r="S2718" s="6">
        <f>YEAR(U2718)</f>
        <v/>
      </c>
      <c r="T2718" s="6">
        <f>MONTH(U2718)</f>
        <v/>
      </c>
      <c r="Z2718" s="6">
        <f>AA2718&amp;AB2718</f>
        <v/>
      </c>
      <c r="AA2718" s="6">
        <f>YEAR(AC2718)</f>
        <v/>
      </c>
      <c r="AB2718" s="6">
        <f>MONTH(AC2718)</f>
        <v/>
      </c>
      <c r="AC2718" s="267">
        <f>IFERROR(__xludf.DUMMYFUNCTION("""COMPUTED_VALUE"""),45875.9986111111)</f>
        <v/>
      </c>
      <c r="AD2718" s="6">
        <f>IFERROR(__xludf.DUMMYFUNCTION("""COMPUTED_VALUE"""),1384.39)</f>
        <v/>
      </c>
      <c r="AH2718" s="6">
        <f>AI2718&amp;AJ2718</f>
        <v/>
      </c>
      <c r="AI2718" s="6">
        <f>YEAR(AK2718)</f>
        <v/>
      </c>
      <c r="AJ2718" s="6">
        <f>MONTH(AK2718)</f>
        <v/>
      </c>
      <c r="AK2718" s="267">
        <f>IFERROR(__xludf.DUMMYFUNCTION("""COMPUTED_VALUE"""),45813.9986111111)</f>
        <v/>
      </c>
      <c r="AL2718" s="6">
        <f>IFERROR(__xludf.DUMMYFUNCTION("""COMPUTED_VALUE"""),105084.4)</f>
        <v/>
      </c>
      <c r="AP2718" s="6">
        <f>AQ2718&amp;AR2718</f>
        <v/>
      </c>
      <c r="AQ2718" s="6">
        <f>YEAR(AS2718)</f>
        <v/>
      </c>
      <c r="AR2718" s="6">
        <f>MONTH(AS2718)</f>
        <v/>
      </c>
    </row>
    <row r="2719">
      <c r="B2719" s="6">
        <f>C2719&amp;D2719</f>
        <v/>
      </c>
      <c r="C2719" s="6">
        <f>YEAR(E2719)</f>
        <v/>
      </c>
      <c r="D2719" s="6">
        <f>MONTH(E2719)</f>
        <v/>
      </c>
      <c r="J2719" s="6">
        <f>K2719&amp;L2719</f>
        <v/>
      </c>
      <c r="K2719" s="6">
        <f>YEAR(M2719)</f>
        <v/>
      </c>
      <c r="L2719" s="6">
        <f>MONTH(M2719)</f>
        <v/>
      </c>
      <c r="R2719" s="6">
        <f>S2719&amp;T2719</f>
        <v/>
      </c>
      <c r="S2719" s="6">
        <f>YEAR(U2719)</f>
        <v/>
      </c>
      <c r="T2719" s="6">
        <f>MONTH(U2719)</f>
        <v/>
      </c>
      <c r="Z2719" s="6">
        <f>AA2719&amp;AB2719</f>
        <v/>
      </c>
      <c r="AA2719" s="6">
        <f>YEAR(AC2719)</f>
        <v/>
      </c>
      <c r="AB2719" s="6">
        <f>MONTH(AC2719)</f>
        <v/>
      </c>
      <c r="AC2719" s="267">
        <f>IFERROR(__xludf.DUMMYFUNCTION("""COMPUTED_VALUE"""),45876.9986111111)</f>
        <v/>
      </c>
      <c r="AD2719" s="6">
        <f>IFERROR(__xludf.DUMMYFUNCTION("""COMPUTED_VALUE"""),1384.97)</f>
        <v/>
      </c>
      <c r="AH2719" s="6">
        <f>AI2719&amp;AJ2719</f>
        <v/>
      </c>
      <c r="AI2719" s="6">
        <f>YEAR(AK2719)</f>
        <v/>
      </c>
      <c r="AJ2719" s="6">
        <f>MONTH(AK2719)</f>
        <v/>
      </c>
      <c r="AK2719" s="267">
        <f>IFERROR(__xludf.DUMMYFUNCTION("""COMPUTED_VALUE"""),45814.9986111111)</f>
        <v/>
      </c>
      <c r="AL2719" s="6">
        <f>IFERROR(__xludf.DUMMYFUNCTION("""COMPUTED_VALUE"""),102549.2)</f>
        <v/>
      </c>
      <c r="AP2719" s="6">
        <f>AQ2719&amp;AR2719</f>
        <v/>
      </c>
      <c r="AQ2719" s="6">
        <f>YEAR(AS2719)</f>
        <v/>
      </c>
      <c r="AR2719" s="6">
        <f>MONTH(AS2719)</f>
        <v/>
      </c>
    </row>
    <row r="2720">
      <c r="B2720" s="6">
        <f>C2720&amp;D2720</f>
        <v/>
      </c>
      <c r="C2720" s="6">
        <f>YEAR(E2720)</f>
        <v/>
      </c>
      <c r="D2720" s="6">
        <f>MONTH(E2720)</f>
        <v/>
      </c>
      <c r="J2720" s="6">
        <f>K2720&amp;L2720</f>
        <v/>
      </c>
      <c r="K2720" s="6">
        <f>YEAR(M2720)</f>
        <v/>
      </c>
      <c r="L2720" s="6">
        <f>MONTH(M2720)</f>
        <v/>
      </c>
      <c r="R2720" s="6">
        <f>S2720&amp;T2720</f>
        <v/>
      </c>
      <c r="S2720" s="6">
        <f>YEAR(U2720)</f>
        <v/>
      </c>
      <c r="T2720" s="6">
        <f>MONTH(U2720)</f>
        <v/>
      </c>
      <c r="Z2720" s="6">
        <f>AA2720&amp;AB2720</f>
        <v/>
      </c>
      <c r="AA2720" s="6">
        <f>YEAR(AC2720)</f>
        <v/>
      </c>
      <c r="AB2720" s="6">
        <f>MONTH(AC2720)</f>
        <v/>
      </c>
      <c r="AC2720" s="267">
        <f>IFERROR(__xludf.DUMMYFUNCTION("""COMPUTED_VALUE"""),45877.9986111111)</f>
        <v/>
      </c>
      <c r="AD2720" s="6">
        <f>IFERROR(__xludf.DUMMYFUNCTION("""COMPUTED_VALUE"""),1387.77)</f>
        <v/>
      </c>
      <c r="AH2720" s="6">
        <f>AI2720&amp;AJ2720</f>
        <v/>
      </c>
      <c r="AI2720" s="6">
        <f>YEAR(AK2720)</f>
        <v/>
      </c>
      <c r="AJ2720" s="6">
        <f>MONTH(AK2720)</f>
        <v/>
      </c>
      <c r="AK2720" s="267">
        <f>IFERROR(__xludf.DUMMYFUNCTION("""COMPUTED_VALUE"""),45815.9986111111)</f>
        <v/>
      </c>
      <c r="AL2720" s="6">
        <f>IFERROR(__xludf.DUMMYFUNCTION("""COMPUTED_VALUE"""),104951.3)</f>
        <v/>
      </c>
      <c r="AP2720" s="6">
        <f>AQ2720&amp;AR2720</f>
        <v/>
      </c>
      <c r="AQ2720" s="6">
        <f>YEAR(AS2720)</f>
        <v/>
      </c>
      <c r="AR2720" s="6">
        <f>MONTH(AS2720)</f>
        <v/>
      </c>
    </row>
    <row r="2721">
      <c r="B2721" s="6">
        <f>C2721&amp;D2721</f>
        <v/>
      </c>
      <c r="C2721" s="6">
        <f>YEAR(E2721)</f>
        <v/>
      </c>
      <c r="D2721" s="6">
        <f>MONTH(E2721)</f>
        <v/>
      </c>
      <c r="J2721" s="6">
        <f>K2721&amp;L2721</f>
        <v/>
      </c>
      <c r="K2721" s="6">
        <f>YEAR(M2721)</f>
        <v/>
      </c>
      <c r="L2721" s="6">
        <f>MONTH(M2721)</f>
        <v/>
      </c>
      <c r="R2721" s="6">
        <f>S2721&amp;T2721</f>
        <v/>
      </c>
      <c r="S2721" s="6">
        <f>YEAR(U2721)</f>
        <v/>
      </c>
      <c r="T2721" s="6">
        <f>MONTH(U2721)</f>
        <v/>
      </c>
      <c r="Z2721" s="6">
        <f>AA2721&amp;AB2721</f>
        <v/>
      </c>
      <c r="AA2721" s="6">
        <f>YEAR(AC2721)</f>
        <v/>
      </c>
      <c r="AB2721" s="6">
        <f>MONTH(AC2721)</f>
        <v/>
      </c>
      <c r="AC2721" s="267">
        <f>IFERROR(__xludf.DUMMYFUNCTION("""COMPUTED_VALUE"""),45878.9986111111)</f>
        <v/>
      </c>
      <c r="AD2721" s="6">
        <f>IFERROR(__xludf.DUMMYFUNCTION("""COMPUTED_VALUE"""),1387.67)</f>
        <v/>
      </c>
      <c r="AH2721" s="6">
        <f>AI2721&amp;AJ2721</f>
        <v/>
      </c>
      <c r="AI2721" s="6">
        <f>YEAR(AK2721)</f>
        <v/>
      </c>
      <c r="AJ2721" s="6">
        <f>MONTH(AK2721)</f>
        <v/>
      </c>
      <c r="AK2721" s="267">
        <f>IFERROR(__xludf.DUMMYFUNCTION("""COMPUTED_VALUE"""),45816.9986111111)</f>
        <v/>
      </c>
      <c r="AL2721" s="6">
        <f>IFERROR(__xludf.DUMMYFUNCTION("""COMPUTED_VALUE"""),105525.3)</f>
        <v/>
      </c>
      <c r="AP2721" s="6">
        <f>AQ2721&amp;AR2721</f>
        <v/>
      </c>
      <c r="AQ2721" s="6">
        <f>YEAR(AS2721)</f>
        <v/>
      </c>
      <c r="AR2721" s="6">
        <f>MONTH(AS2721)</f>
        <v/>
      </c>
    </row>
    <row r="2722">
      <c r="B2722" s="6">
        <f>C2722&amp;D2722</f>
        <v/>
      </c>
      <c r="C2722" s="6">
        <f>YEAR(E2722)</f>
        <v/>
      </c>
      <c r="D2722" s="6">
        <f>MONTH(E2722)</f>
        <v/>
      </c>
      <c r="J2722" s="6">
        <f>K2722&amp;L2722</f>
        <v/>
      </c>
      <c r="K2722" s="6">
        <f>YEAR(M2722)</f>
        <v/>
      </c>
      <c r="L2722" s="6">
        <f>MONTH(M2722)</f>
        <v/>
      </c>
      <c r="R2722" s="6">
        <f>S2722&amp;T2722</f>
        <v/>
      </c>
      <c r="S2722" s="6">
        <f>YEAR(U2722)</f>
        <v/>
      </c>
      <c r="T2722" s="6">
        <f>MONTH(U2722)</f>
        <v/>
      </c>
      <c r="Z2722" s="6">
        <f>AA2722&amp;AB2722</f>
        <v/>
      </c>
      <c r="AA2722" s="6">
        <f>YEAR(AC2722)</f>
        <v/>
      </c>
      <c r="AB2722" s="6">
        <f>MONTH(AC2722)</f>
        <v/>
      </c>
      <c r="AC2722" s="267">
        <f>IFERROR(__xludf.DUMMYFUNCTION("""COMPUTED_VALUE"""),45879.9986111111)</f>
        <v/>
      </c>
      <c r="AD2722" s="6">
        <f>IFERROR(__xludf.DUMMYFUNCTION("""COMPUTED_VALUE"""),1387.81)</f>
        <v/>
      </c>
      <c r="AH2722" s="6">
        <f>AI2722&amp;AJ2722</f>
        <v/>
      </c>
      <c r="AI2722" s="6">
        <f>YEAR(AK2722)</f>
        <v/>
      </c>
      <c r="AJ2722" s="6">
        <f>MONTH(AK2722)</f>
        <v/>
      </c>
      <c r="AK2722" s="267">
        <f>IFERROR(__xludf.DUMMYFUNCTION("""COMPUTED_VALUE"""),45817.9986111111)</f>
        <v/>
      </c>
      <c r="AL2722" s="6">
        <f>IFERROR(__xludf.DUMMYFUNCTION("""COMPUTED_VALUE"""),105687.6)</f>
        <v/>
      </c>
      <c r="AP2722" s="6">
        <f>AQ2722&amp;AR2722</f>
        <v/>
      </c>
      <c r="AQ2722" s="6">
        <f>YEAR(AS2722)</f>
        <v/>
      </c>
      <c r="AR2722" s="6">
        <f>MONTH(AS2722)</f>
        <v/>
      </c>
    </row>
    <row r="2723">
      <c r="B2723" s="6">
        <f>C2723&amp;D2723</f>
        <v/>
      </c>
      <c r="C2723" s="6">
        <f>YEAR(E2723)</f>
        <v/>
      </c>
      <c r="D2723" s="6">
        <f>MONTH(E2723)</f>
        <v/>
      </c>
      <c r="J2723" s="6">
        <f>K2723&amp;L2723</f>
        <v/>
      </c>
      <c r="K2723" s="6">
        <f>YEAR(M2723)</f>
        <v/>
      </c>
      <c r="L2723" s="6">
        <f>MONTH(M2723)</f>
        <v/>
      </c>
      <c r="R2723" s="6">
        <f>S2723&amp;T2723</f>
        <v/>
      </c>
      <c r="S2723" s="6">
        <f>YEAR(U2723)</f>
        <v/>
      </c>
      <c r="T2723" s="6">
        <f>MONTH(U2723)</f>
        <v/>
      </c>
      <c r="Z2723" s="6">
        <f>AA2723&amp;AB2723</f>
        <v/>
      </c>
      <c r="AA2723" s="6">
        <f>YEAR(AC2723)</f>
        <v/>
      </c>
      <c r="AB2723" s="6">
        <f>MONTH(AC2723)</f>
        <v/>
      </c>
      <c r="AC2723" s="267">
        <f>IFERROR(__xludf.DUMMYFUNCTION("""COMPUTED_VALUE"""),45880.9986111111)</f>
        <v/>
      </c>
      <c r="AD2723" s="6">
        <f>IFERROR(__xludf.DUMMYFUNCTION("""COMPUTED_VALUE"""),1389.79)</f>
        <v/>
      </c>
      <c r="AH2723" s="6">
        <f>AI2723&amp;AJ2723</f>
        <v/>
      </c>
      <c r="AI2723" s="6">
        <f>YEAR(AK2723)</f>
        <v/>
      </c>
      <c r="AJ2723" s="6">
        <f>MONTH(AK2723)</f>
        <v/>
      </c>
      <c r="AK2723" s="267">
        <f>IFERROR(__xludf.DUMMYFUNCTION("""COMPUTED_VALUE"""),45818.9986111111)</f>
        <v/>
      </c>
      <c r="AL2723" s="6">
        <f>IFERROR(__xludf.DUMMYFUNCTION("""COMPUTED_VALUE"""),109549)</f>
        <v/>
      </c>
      <c r="AP2723" s="6">
        <f>AQ2723&amp;AR2723</f>
        <v/>
      </c>
      <c r="AQ2723" s="6">
        <f>YEAR(AS2723)</f>
        <v/>
      </c>
      <c r="AR2723" s="6">
        <f>MONTH(AS2723)</f>
        <v/>
      </c>
    </row>
    <row r="2724">
      <c r="B2724" s="6">
        <f>C2724&amp;D2724</f>
        <v/>
      </c>
      <c r="C2724" s="6">
        <f>YEAR(E2724)</f>
        <v/>
      </c>
      <c r="D2724" s="6">
        <f>MONTH(E2724)</f>
        <v/>
      </c>
      <c r="J2724" s="6">
        <f>K2724&amp;L2724</f>
        <v/>
      </c>
      <c r="K2724" s="6">
        <f>YEAR(M2724)</f>
        <v/>
      </c>
      <c r="L2724" s="6">
        <f>MONTH(M2724)</f>
        <v/>
      </c>
      <c r="R2724" s="6">
        <f>S2724&amp;T2724</f>
        <v/>
      </c>
      <c r="S2724" s="6">
        <f>YEAR(U2724)</f>
        <v/>
      </c>
      <c r="T2724" s="6">
        <f>MONTH(U2724)</f>
        <v/>
      </c>
      <c r="Z2724" s="6">
        <f>AA2724&amp;AB2724</f>
        <v/>
      </c>
      <c r="AA2724" s="6">
        <f>YEAR(AC2724)</f>
        <v/>
      </c>
      <c r="AB2724" s="6">
        <f>MONTH(AC2724)</f>
        <v/>
      </c>
      <c r="AC2724" s="267">
        <f>IFERROR(__xludf.DUMMYFUNCTION("""COMPUTED_VALUE"""),45881.9986111111)</f>
        <v/>
      </c>
      <c r="AD2724" s="6">
        <f>IFERROR(__xludf.DUMMYFUNCTION("""COMPUTED_VALUE"""),1383.09)</f>
        <v/>
      </c>
      <c r="AH2724" s="6">
        <f>AI2724&amp;AJ2724</f>
        <v/>
      </c>
      <c r="AI2724" s="6">
        <f>YEAR(AK2724)</f>
        <v/>
      </c>
      <c r="AJ2724" s="6">
        <f>MONTH(AK2724)</f>
        <v/>
      </c>
      <c r="AK2724" s="267">
        <f>IFERROR(__xludf.DUMMYFUNCTION("""COMPUTED_VALUE"""),45819.9986111111)</f>
        <v/>
      </c>
      <c r="AL2724" s="6">
        <f>IFERROR(__xludf.DUMMYFUNCTION("""COMPUTED_VALUE"""),109722.3)</f>
        <v/>
      </c>
      <c r="AP2724" s="6">
        <f>AQ2724&amp;AR2724</f>
        <v/>
      </c>
      <c r="AQ2724" s="6">
        <f>YEAR(AS2724)</f>
        <v/>
      </c>
      <c r="AR2724" s="6">
        <f>MONTH(AS2724)</f>
        <v/>
      </c>
    </row>
    <row r="2725">
      <c r="B2725" s="6">
        <f>C2725&amp;D2725</f>
        <v/>
      </c>
      <c r="C2725" s="6">
        <f>YEAR(E2725)</f>
        <v/>
      </c>
      <c r="D2725" s="6">
        <f>MONTH(E2725)</f>
        <v/>
      </c>
      <c r="J2725" s="6">
        <f>K2725&amp;L2725</f>
        <v/>
      </c>
      <c r="K2725" s="6">
        <f>YEAR(M2725)</f>
        <v/>
      </c>
      <c r="L2725" s="6">
        <f>MONTH(M2725)</f>
        <v/>
      </c>
      <c r="R2725" s="6">
        <f>S2725&amp;T2725</f>
        <v/>
      </c>
      <c r="S2725" s="6">
        <f>YEAR(U2725)</f>
        <v/>
      </c>
      <c r="T2725" s="6">
        <f>MONTH(U2725)</f>
        <v/>
      </c>
      <c r="Z2725" s="6">
        <f>AA2725&amp;AB2725</f>
        <v/>
      </c>
      <c r="AA2725" s="6">
        <f>YEAR(AC2725)</f>
        <v/>
      </c>
      <c r="AB2725" s="6">
        <f>MONTH(AC2725)</f>
        <v/>
      </c>
      <c r="AC2725" s="267">
        <f>IFERROR(__xludf.DUMMYFUNCTION("""COMPUTED_VALUE"""),45882.9986111111)</f>
        <v/>
      </c>
      <c r="AD2725" s="6">
        <f>IFERROR(__xludf.DUMMYFUNCTION("""COMPUTED_VALUE"""),1378.78)</f>
        <v/>
      </c>
      <c r="AH2725" s="6">
        <f>AI2725&amp;AJ2725</f>
        <v/>
      </c>
      <c r="AI2725" s="6">
        <f>YEAR(AK2725)</f>
        <v/>
      </c>
      <c r="AJ2725" s="6">
        <f>MONTH(AK2725)</f>
        <v/>
      </c>
      <c r="AK2725" s="267">
        <f>IFERROR(__xludf.DUMMYFUNCTION("""COMPUTED_VALUE"""),45820.9986111111)</f>
        <v/>
      </c>
      <c r="AL2725" s="6">
        <f>IFERROR(__xludf.DUMMYFUNCTION("""COMPUTED_VALUE"""),107845.6)</f>
        <v/>
      </c>
      <c r="AP2725" s="6">
        <f>AQ2725&amp;AR2725</f>
        <v/>
      </c>
      <c r="AQ2725" s="6">
        <f>YEAR(AS2725)</f>
        <v/>
      </c>
      <c r="AR2725" s="6">
        <f>MONTH(AS2725)</f>
        <v/>
      </c>
    </row>
    <row r="2726">
      <c r="B2726" s="6">
        <f>C2726&amp;D2726</f>
        <v/>
      </c>
      <c r="C2726" s="6">
        <f>YEAR(E2726)</f>
        <v/>
      </c>
      <c r="D2726" s="6">
        <f>MONTH(E2726)</f>
        <v/>
      </c>
      <c r="J2726" s="6">
        <f>K2726&amp;L2726</f>
        <v/>
      </c>
      <c r="K2726" s="6">
        <f>YEAR(M2726)</f>
        <v/>
      </c>
      <c r="L2726" s="6">
        <f>MONTH(M2726)</f>
        <v/>
      </c>
      <c r="R2726" s="6">
        <f>S2726&amp;T2726</f>
        <v/>
      </c>
      <c r="S2726" s="6">
        <f>YEAR(U2726)</f>
        <v/>
      </c>
      <c r="T2726" s="6">
        <f>MONTH(U2726)</f>
        <v/>
      </c>
      <c r="Z2726" s="6">
        <f>AA2726&amp;AB2726</f>
        <v/>
      </c>
      <c r="AA2726" s="6">
        <f>YEAR(AC2726)</f>
        <v/>
      </c>
      <c r="AB2726" s="6">
        <f>MONTH(AC2726)</f>
        <v/>
      </c>
      <c r="AC2726" s="267">
        <f>IFERROR(__xludf.DUMMYFUNCTION("""COMPUTED_VALUE"""),45883.9986111111)</f>
        <v/>
      </c>
      <c r="AD2726" s="6">
        <f>IFERROR(__xludf.DUMMYFUNCTION("""COMPUTED_VALUE"""),1387.87)</f>
        <v/>
      </c>
      <c r="AH2726" s="6">
        <f>AI2726&amp;AJ2726</f>
        <v/>
      </c>
      <c r="AI2726" s="6">
        <f>YEAR(AK2726)</f>
        <v/>
      </c>
      <c r="AJ2726" s="6">
        <f>MONTH(AK2726)</f>
        <v/>
      </c>
      <c r="AK2726" s="267">
        <f>IFERROR(__xludf.DUMMYFUNCTION("""COMPUTED_VALUE"""),45821.9986111111)</f>
        <v/>
      </c>
      <c r="AL2726" s="6">
        <f>IFERROR(__xludf.DUMMYFUNCTION("""COMPUTED_VALUE"""),104498.1)</f>
        <v/>
      </c>
      <c r="AP2726" s="6">
        <f>AQ2726&amp;AR2726</f>
        <v/>
      </c>
      <c r="AQ2726" s="6">
        <f>YEAR(AS2726)</f>
        <v/>
      </c>
      <c r="AR2726" s="6">
        <f>MONTH(AS2726)</f>
        <v/>
      </c>
    </row>
    <row r="2727">
      <c r="B2727" s="6">
        <f>C2727&amp;D2727</f>
        <v/>
      </c>
      <c r="C2727" s="6">
        <f>YEAR(E2727)</f>
        <v/>
      </c>
      <c r="D2727" s="6">
        <f>MONTH(E2727)</f>
        <v/>
      </c>
      <c r="J2727" s="6">
        <f>K2727&amp;L2727</f>
        <v/>
      </c>
      <c r="K2727" s="6">
        <f>YEAR(M2727)</f>
        <v/>
      </c>
      <c r="L2727" s="6">
        <f>MONTH(M2727)</f>
        <v/>
      </c>
      <c r="R2727" s="6">
        <f>S2727&amp;T2727</f>
        <v/>
      </c>
      <c r="S2727" s="6">
        <f>YEAR(U2727)</f>
        <v/>
      </c>
      <c r="T2727" s="6">
        <f>MONTH(U2727)</f>
        <v/>
      </c>
      <c r="Z2727" s="6">
        <f>AA2727&amp;AB2727</f>
        <v/>
      </c>
      <c r="AA2727" s="6">
        <f>YEAR(AC2727)</f>
        <v/>
      </c>
      <c r="AB2727" s="6">
        <f>MONTH(AC2727)</f>
        <v/>
      </c>
      <c r="AC2727" s="267">
        <f>IFERROR(__xludf.DUMMYFUNCTION("""COMPUTED_VALUE"""),45884.9986111111)</f>
        <v/>
      </c>
      <c r="AD2727" s="6">
        <f>IFERROR(__xludf.DUMMYFUNCTION("""COMPUTED_VALUE"""),1387.87)</f>
        <v/>
      </c>
      <c r="AH2727" s="6">
        <f>AI2727&amp;AJ2727</f>
        <v/>
      </c>
      <c r="AI2727" s="6">
        <f>YEAR(AK2727)</f>
        <v/>
      </c>
      <c r="AJ2727" s="6">
        <f>MONTH(AK2727)</f>
        <v/>
      </c>
      <c r="AK2727" s="267">
        <f>IFERROR(__xludf.DUMMYFUNCTION("""COMPUTED_VALUE"""),45822.9986111111)</f>
        <v/>
      </c>
      <c r="AL2727" s="6">
        <f>IFERROR(__xludf.DUMMYFUNCTION("""COMPUTED_VALUE"""),105312.9)</f>
        <v/>
      </c>
      <c r="AP2727" s="6">
        <f>AQ2727&amp;AR2727</f>
        <v/>
      </c>
      <c r="AQ2727" s="6">
        <f>YEAR(AS2727)</f>
        <v/>
      </c>
      <c r="AR2727" s="6">
        <f>MONTH(AS2727)</f>
        <v/>
      </c>
    </row>
    <row r="2728">
      <c r="B2728" s="6">
        <f>C2728&amp;D2728</f>
        <v/>
      </c>
      <c r="C2728" s="6">
        <f>YEAR(E2728)</f>
        <v/>
      </c>
      <c r="D2728" s="6">
        <f>MONTH(E2728)</f>
        <v/>
      </c>
      <c r="J2728" s="6">
        <f>K2728&amp;L2728</f>
        <v/>
      </c>
      <c r="K2728" s="6">
        <f>YEAR(M2728)</f>
        <v/>
      </c>
      <c r="L2728" s="6">
        <f>MONTH(M2728)</f>
        <v/>
      </c>
      <c r="R2728" s="6">
        <f>S2728&amp;T2728</f>
        <v/>
      </c>
      <c r="S2728" s="6">
        <f>YEAR(U2728)</f>
        <v/>
      </c>
      <c r="T2728" s="6">
        <f>MONTH(U2728)</f>
        <v/>
      </c>
      <c r="Z2728" s="6">
        <f>AA2728&amp;AB2728</f>
        <v/>
      </c>
      <c r="AA2728" s="6">
        <f>YEAR(AC2728)</f>
        <v/>
      </c>
      <c r="AB2728" s="6">
        <f>MONTH(AC2728)</f>
        <v/>
      </c>
      <c r="AC2728" s="267">
        <f>IFERROR(__xludf.DUMMYFUNCTION("""COMPUTED_VALUE"""),45885.9986111111)</f>
        <v/>
      </c>
      <c r="AD2728" s="6">
        <f>IFERROR(__xludf.DUMMYFUNCTION("""COMPUTED_VALUE"""),1387.87)</f>
        <v/>
      </c>
      <c r="AH2728" s="6">
        <f>AI2728&amp;AJ2728</f>
        <v/>
      </c>
      <c r="AI2728" s="6">
        <f>YEAR(AK2728)</f>
        <v/>
      </c>
      <c r="AJ2728" s="6">
        <f>MONTH(AK2728)</f>
        <v/>
      </c>
      <c r="AK2728" s="267">
        <f>IFERROR(__xludf.DUMMYFUNCTION("""COMPUTED_VALUE"""),45823.9986111111)</f>
        <v/>
      </c>
      <c r="AL2728" s="6">
        <f>IFERROR(__xludf.DUMMYFUNCTION("""COMPUTED_VALUE"""),105562.5)</f>
        <v/>
      </c>
      <c r="AP2728" s="6">
        <f>AQ2728&amp;AR2728</f>
        <v/>
      </c>
      <c r="AQ2728" s="6">
        <f>YEAR(AS2728)</f>
        <v/>
      </c>
      <c r="AR2728" s="6">
        <f>MONTH(AS2728)</f>
        <v/>
      </c>
    </row>
    <row r="2729">
      <c r="B2729" s="6">
        <f>C2729&amp;D2729</f>
        <v/>
      </c>
      <c r="C2729" s="6">
        <f>YEAR(E2729)</f>
        <v/>
      </c>
      <c r="D2729" s="6">
        <f>MONTH(E2729)</f>
        <v/>
      </c>
      <c r="J2729" s="6">
        <f>K2729&amp;L2729</f>
        <v/>
      </c>
      <c r="K2729" s="6">
        <f>YEAR(M2729)</f>
        <v/>
      </c>
      <c r="L2729" s="6">
        <f>MONTH(M2729)</f>
        <v/>
      </c>
      <c r="R2729" s="6">
        <f>S2729&amp;T2729</f>
        <v/>
      </c>
      <c r="S2729" s="6">
        <f>YEAR(U2729)</f>
        <v/>
      </c>
      <c r="T2729" s="6">
        <f>MONTH(U2729)</f>
        <v/>
      </c>
      <c r="Z2729" s="6">
        <f>AA2729&amp;AB2729</f>
        <v/>
      </c>
      <c r="AA2729" s="6">
        <f>YEAR(AC2729)</f>
        <v/>
      </c>
      <c r="AB2729" s="6">
        <f>MONTH(AC2729)</f>
        <v/>
      </c>
      <c r="AC2729" s="267">
        <f>IFERROR(__xludf.DUMMYFUNCTION("""COMPUTED_VALUE"""),45886.9986111111)</f>
        <v/>
      </c>
      <c r="AD2729" s="6">
        <f>IFERROR(__xludf.DUMMYFUNCTION("""COMPUTED_VALUE"""),1387.98)</f>
        <v/>
      </c>
      <c r="AH2729" s="6">
        <f>AI2729&amp;AJ2729</f>
        <v/>
      </c>
      <c r="AI2729" s="6">
        <f>YEAR(AK2729)</f>
        <v/>
      </c>
      <c r="AJ2729" s="6">
        <f>MONTH(AK2729)</f>
        <v/>
      </c>
      <c r="AK2729" s="267">
        <f>IFERROR(__xludf.DUMMYFUNCTION("""COMPUTED_VALUE"""),45824.9986111111)</f>
        <v/>
      </c>
      <c r="AL2729" s="6">
        <f>IFERROR(__xludf.DUMMYFUNCTION("""COMPUTED_VALUE"""),105950.6)</f>
        <v/>
      </c>
      <c r="AP2729" s="6">
        <f>AQ2729&amp;AR2729</f>
        <v/>
      </c>
      <c r="AQ2729" s="6">
        <f>YEAR(AS2729)</f>
        <v/>
      </c>
      <c r="AR2729" s="6">
        <f>MONTH(AS2729)</f>
        <v/>
      </c>
    </row>
    <row r="2730">
      <c r="B2730" s="6">
        <f>C2730&amp;D2730</f>
        <v/>
      </c>
      <c r="C2730" s="6">
        <f>YEAR(E2730)</f>
        <v/>
      </c>
      <c r="D2730" s="6">
        <f>MONTH(E2730)</f>
        <v/>
      </c>
      <c r="J2730" s="6">
        <f>K2730&amp;L2730</f>
        <v/>
      </c>
      <c r="K2730" s="6">
        <f>YEAR(M2730)</f>
        <v/>
      </c>
      <c r="L2730" s="6">
        <f>MONTH(M2730)</f>
        <v/>
      </c>
      <c r="R2730" s="6">
        <f>S2730&amp;T2730</f>
        <v/>
      </c>
      <c r="S2730" s="6">
        <f>YEAR(U2730)</f>
        <v/>
      </c>
      <c r="T2730" s="6">
        <f>MONTH(U2730)</f>
        <v/>
      </c>
      <c r="Z2730" s="6">
        <f>AA2730&amp;AB2730</f>
        <v/>
      </c>
      <c r="AA2730" s="6">
        <f>YEAR(AC2730)</f>
        <v/>
      </c>
      <c r="AB2730" s="6">
        <f>MONTH(AC2730)</f>
        <v/>
      </c>
      <c r="AC2730" s="267">
        <f>IFERROR(__xludf.DUMMYFUNCTION("""COMPUTED_VALUE"""),45887.9986111111)</f>
        <v/>
      </c>
      <c r="AD2730" s="6">
        <f>IFERROR(__xludf.DUMMYFUNCTION("""COMPUTED_VALUE"""),1386.91)</f>
        <v/>
      </c>
      <c r="AH2730" s="6">
        <f>AI2730&amp;AJ2730</f>
        <v/>
      </c>
      <c r="AI2730" s="6">
        <f>YEAR(AK2730)</f>
        <v/>
      </c>
      <c r="AJ2730" s="6">
        <f>MONTH(AK2730)</f>
        <v/>
      </c>
      <c r="AK2730" s="267">
        <f>IFERROR(__xludf.DUMMYFUNCTION("""COMPUTED_VALUE"""),45825.9986111111)</f>
        <v/>
      </c>
      <c r="AL2730" s="6">
        <f>IFERROR(__xludf.DUMMYFUNCTION("""COMPUTED_VALUE"""),107598.5)</f>
        <v/>
      </c>
      <c r="AP2730" s="6">
        <f>AQ2730&amp;AR2730</f>
        <v/>
      </c>
      <c r="AQ2730" s="6">
        <f>YEAR(AS2730)</f>
        <v/>
      </c>
      <c r="AR2730" s="6">
        <f>MONTH(AS2730)</f>
        <v/>
      </c>
    </row>
    <row r="2731">
      <c r="B2731" s="6">
        <f>C2731&amp;D2731</f>
        <v/>
      </c>
      <c r="C2731" s="6">
        <f>YEAR(E2731)</f>
        <v/>
      </c>
      <c r="D2731" s="6">
        <f>MONTH(E2731)</f>
        <v/>
      </c>
      <c r="J2731" s="6">
        <f>K2731&amp;L2731</f>
        <v/>
      </c>
      <c r="K2731" s="6">
        <f>YEAR(M2731)</f>
        <v/>
      </c>
      <c r="L2731" s="6">
        <f>MONTH(M2731)</f>
        <v/>
      </c>
      <c r="R2731" s="6">
        <f>S2731&amp;T2731</f>
        <v/>
      </c>
      <c r="S2731" s="6">
        <f>YEAR(U2731)</f>
        <v/>
      </c>
      <c r="T2731" s="6">
        <f>MONTH(U2731)</f>
        <v/>
      </c>
      <c r="Z2731" s="6">
        <f>AA2731&amp;AB2731</f>
        <v/>
      </c>
      <c r="AA2731" s="6">
        <f>YEAR(AC2731)</f>
        <v/>
      </c>
      <c r="AB2731" s="6">
        <f>MONTH(AC2731)</f>
        <v/>
      </c>
      <c r="AC2731" s="267">
        <f>IFERROR(__xludf.DUMMYFUNCTION("""COMPUTED_VALUE"""),45888.9986111111)</f>
        <v/>
      </c>
      <c r="AD2731" s="6">
        <f>IFERROR(__xludf.DUMMYFUNCTION("""COMPUTED_VALUE"""),1391.34)</f>
        <v/>
      </c>
      <c r="AH2731" s="6">
        <f>AI2731&amp;AJ2731</f>
        <v/>
      </c>
      <c r="AI2731" s="6">
        <f>YEAR(AK2731)</f>
        <v/>
      </c>
      <c r="AJ2731" s="6">
        <f>MONTH(AK2731)</f>
        <v/>
      </c>
      <c r="AK2731" s="267">
        <f>IFERROR(__xludf.DUMMYFUNCTION("""COMPUTED_VALUE"""),45826.9986111111)</f>
        <v/>
      </c>
      <c r="AL2731" s="6">
        <f>IFERROR(__xludf.DUMMYFUNCTION("""COMPUTED_VALUE"""),105191.3)</f>
        <v/>
      </c>
      <c r="AP2731" s="6">
        <f>AQ2731&amp;AR2731</f>
        <v/>
      </c>
      <c r="AQ2731" s="6">
        <f>YEAR(AS2731)</f>
        <v/>
      </c>
      <c r="AR2731" s="6">
        <f>MONTH(AS2731)</f>
        <v/>
      </c>
    </row>
    <row r="2732">
      <c r="B2732" s="6">
        <f>C2732&amp;D2732</f>
        <v/>
      </c>
      <c r="C2732" s="6">
        <f>YEAR(E2732)</f>
        <v/>
      </c>
      <c r="D2732" s="6">
        <f>MONTH(E2732)</f>
        <v/>
      </c>
      <c r="J2732" s="6">
        <f>K2732&amp;L2732</f>
        <v/>
      </c>
      <c r="K2732" s="6">
        <f>YEAR(M2732)</f>
        <v/>
      </c>
      <c r="L2732" s="6">
        <f>MONTH(M2732)</f>
        <v/>
      </c>
      <c r="R2732" s="6">
        <f>S2732&amp;T2732</f>
        <v/>
      </c>
      <c r="S2732" s="6">
        <f>YEAR(U2732)</f>
        <v/>
      </c>
      <c r="T2732" s="6">
        <f>MONTH(U2732)</f>
        <v/>
      </c>
      <c r="Z2732" s="6">
        <f>AA2732&amp;AB2732</f>
        <v/>
      </c>
      <c r="AA2732" s="6">
        <f>YEAR(AC2732)</f>
        <v/>
      </c>
      <c r="AB2732" s="6">
        <f>MONTH(AC2732)</f>
        <v/>
      </c>
      <c r="AC2732" s="267">
        <f>IFERROR(__xludf.DUMMYFUNCTION("""COMPUTED_VALUE"""),45889.9986111111)</f>
        <v/>
      </c>
      <c r="AD2732" s="6">
        <f>IFERROR(__xludf.DUMMYFUNCTION("""COMPUTED_VALUE"""),1396.91)</f>
        <v/>
      </c>
      <c r="AH2732" s="6">
        <f>AI2732&amp;AJ2732</f>
        <v/>
      </c>
      <c r="AI2732" s="6">
        <f>YEAR(AK2732)</f>
        <v/>
      </c>
      <c r="AJ2732" s="6">
        <f>MONTH(AK2732)</f>
        <v/>
      </c>
      <c r="AK2732" s="267">
        <f>IFERROR(__xludf.DUMMYFUNCTION("""COMPUTED_VALUE"""),45827.9986111111)</f>
        <v/>
      </c>
      <c r="AL2732" s="6">
        <f>IFERROR(__xludf.DUMMYFUNCTION("""COMPUTED_VALUE"""),105075.2)</f>
        <v/>
      </c>
      <c r="AP2732" s="6">
        <f>AQ2732&amp;AR2732</f>
        <v/>
      </c>
      <c r="AQ2732" s="6">
        <f>YEAR(AS2732)</f>
        <v/>
      </c>
      <c r="AR2732" s="6">
        <f>MONTH(AS2732)</f>
        <v/>
      </c>
    </row>
    <row r="2733">
      <c r="B2733" s="6">
        <f>C2733&amp;D2733</f>
        <v/>
      </c>
      <c r="C2733" s="6">
        <f>YEAR(E2733)</f>
        <v/>
      </c>
      <c r="D2733" s="6">
        <f>MONTH(E2733)</f>
        <v/>
      </c>
      <c r="J2733" s="6">
        <f>K2733&amp;L2733</f>
        <v/>
      </c>
      <c r="K2733" s="6">
        <f>YEAR(M2733)</f>
        <v/>
      </c>
      <c r="L2733" s="6">
        <f>MONTH(M2733)</f>
        <v/>
      </c>
      <c r="R2733" s="6">
        <f>S2733&amp;T2733</f>
        <v/>
      </c>
      <c r="S2733" s="6">
        <f>YEAR(U2733)</f>
        <v/>
      </c>
      <c r="T2733" s="6">
        <f>MONTH(U2733)</f>
        <v/>
      </c>
      <c r="Z2733" s="6">
        <f>AA2733&amp;AB2733</f>
        <v/>
      </c>
      <c r="AA2733" s="6">
        <f>YEAR(AC2733)</f>
        <v/>
      </c>
      <c r="AB2733" s="6">
        <f>MONTH(AC2733)</f>
        <v/>
      </c>
      <c r="AC2733" s="267">
        <f>IFERROR(__xludf.DUMMYFUNCTION("""COMPUTED_VALUE"""),45890.9986111111)</f>
        <v/>
      </c>
      <c r="AD2733" s="6">
        <f>IFERROR(__xludf.DUMMYFUNCTION("""COMPUTED_VALUE"""),1399.61)</f>
        <v/>
      </c>
      <c r="AH2733" s="6">
        <f>AI2733&amp;AJ2733</f>
        <v/>
      </c>
      <c r="AI2733" s="6">
        <f>YEAR(AK2733)</f>
        <v/>
      </c>
      <c r="AJ2733" s="6">
        <f>MONTH(AK2733)</f>
        <v/>
      </c>
      <c r="AK2733" s="267">
        <f>IFERROR(__xludf.DUMMYFUNCTION("""COMPUTED_VALUE"""),45828.9986111111)</f>
        <v/>
      </c>
      <c r="AL2733" s="6">
        <f>IFERROR(__xludf.DUMMYFUNCTION("""COMPUTED_VALUE"""),104637)</f>
        <v/>
      </c>
      <c r="AP2733" s="6">
        <f>AQ2733&amp;AR2733</f>
        <v/>
      </c>
      <c r="AQ2733" s="6">
        <f>YEAR(AS2733)</f>
        <v/>
      </c>
      <c r="AR2733" s="6">
        <f>MONTH(AS2733)</f>
        <v/>
      </c>
    </row>
    <row r="2734">
      <c r="B2734" s="6">
        <f>C2734&amp;D2734</f>
        <v/>
      </c>
      <c r="C2734" s="6">
        <f>YEAR(E2734)</f>
        <v/>
      </c>
      <c r="D2734" s="6">
        <f>MONTH(E2734)</f>
        <v/>
      </c>
      <c r="J2734" s="6">
        <f>K2734&amp;L2734</f>
        <v/>
      </c>
      <c r="K2734" s="6">
        <f>YEAR(M2734)</f>
        <v/>
      </c>
      <c r="L2734" s="6">
        <f>MONTH(M2734)</f>
        <v/>
      </c>
      <c r="R2734" s="6">
        <f>S2734&amp;T2734</f>
        <v/>
      </c>
      <c r="S2734" s="6">
        <f>YEAR(U2734)</f>
        <v/>
      </c>
      <c r="T2734" s="6">
        <f>MONTH(U2734)</f>
        <v/>
      </c>
      <c r="Z2734" s="6">
        <f>AA2734&amp;AB2734</f>
        <v/>
      </c>
      <c r="AA2734" s="6">
        <f>YEAR(AC2734)</f>
        <v/>
      </c>
      <c r="AB2734" s="6">
        <f>MONTH(AC2734)</f>
        <v/>
      </c>
      <c r="AC2734" s="267">
        <f>IFERROR(__xludf.DUMMYFUNCTION("""COMPUTED_VALUE"""),45891.9986111111)</f>
        <v/>
      </c>
      <c r="AD2734" s="6">
        <f>IFERROR(__xludf.DUMMYFUNCTION("""COMPUTED_VALUE"""),1383.2)</f>
        <v/>
      </c>
      <c r="AH2734" s="6">
        <f>AI2734&amp;AJ2734</f>
        <v/>
      </c>
      <c r="AI2734" s="6">
        <f>YEAR(AK2734)</f>
        <v/>
      </c>
      <c r="AJ2734" s="6">
        <f>MONTH(AK2734)</f>
        <v/>
      </c>
      <c r="AK2734" s="267">
        <f>IFERROR(__xludf.DUMMYFUNCTION("""COMPUTED_VALUE"""),45829.9986111111)</f>
        <v/>
      </c>
      <c r="AL2734" s="6">
        <f>IFERROR(__xludf.DUMMYFUNCTION("""COMPUTED_VALUE"""),103589.5)</f>
        <v/>
      </c>
      <c r="AP2734" s="6">
        <f>AQ2734&amp;AR2734</f>
        <v/>
      </c>
      <c r="AQ2734" s="6">
        <f>YEAR(AS2734)</f>
        <v/>
      </c>
      <c r="AR2734" s="6">
        <f>MONTH(AS2734)</f>
        <v/>
      </c>
    </row>
    <row r="2735">
      <c r="B2735" s="6">
        <f>C2735&amp;D2735</f>
        <v/>
      </c>
      <c r="C2735" s="6">
        <f>YEAR(E2735)</f>
        <v/>
      </c>
      <c r="D2735" s="6">
        <f>MONTH(E2735)</f>
        <v/>
      </c>
      <c r="J2735" s="6">
        <f>K2735&amp;L2735</f>
        <v/>
      </c>
      <c r="K2735" s="6">
        <f>YEAR(M2735)</f>
        <v/>
      </c>
      <c r="L2735" s="6">
        <f>MONTH(M2735)</f>
        <v/>
      </c>
      <c r="R2735" s="6">
        <f>S2735&amp;T2735</f>
        <v/>
      </c>
      <c r="S2735" s="6">
        <f>YEAR(U2735)</f>
        <v/>
      </c>
      <c r="T2735" s="6">
        <f>MONTH(U2735)</f>
        <v/>
      </c>
      <c r="Z2735" s="6">
        <f>AA2735&amp;AB2735</f>
        <v/>
      </c>
      <c r="AA2735" s="6">
        <f>YEAR(AC2735)</f>
        <v/>
      </c>
      <c r="AB2735" s="6">
        <f>MONTH(AC2735)</f>
        <v/>
      </c>
      <c r="AC2735" s="267">
        <f>IFERROR(__xludf.DUMMYFUNCTION("""COMPUTED_VALUE"""),45893.9986111111)</f>
        <v/>
      </c>
      <c r="AD2735" s="6">
        <f>IFERROR(__xludf.DUMMYFUNCTION("""COMPUTED_VALUE"""),1382.89)</f>
        <v/>
      </c>
      <c r="AH2735" s="6">
        <f>AI2735&amp;AJ2735</f>
        <v/>
      </c>
      <c r="AI2735" s="6">
        <f>YEAR(AK2735)</f>
        <v/>
      </c>
      <c r="AJ2735" s="6">
        <f>MONTH(AK2735)</f>
        <v/>
      </c>
      <c r="AK2735" s="267">
        <f>IFERROR(__xludf.DUMMYFUNCTION("""COMPUTED_VALUE"""),45830.9986111111)</f>
        <v/>
      </c>
      <c r="AL2735" s="6">
        <f>IFERROR(__xludf.DUMMYFUNCTION("""COMPUTED_VALUE"""),102394.4)</f>
        <v/>
      </c>
      <c r="AP2735" s="6">
        <f>AQ2735&amp;AR2735</f>
        <v/>
      </c>
      <c r="AQ2735" s="6">
        <f>YEAR(AS2735)</f>
        <v/>
      </c>
      <c r="AR2735" s="6">
        <f>MONTH(AS2735)</f>
        <v/>
      </c>
    </row>
    <row r="2736">
      <c r="B2736" s="6">
        <f>C2736&amp;D2736</f>
        <v/>
      </c>
      <c r="C2736" s="6">
        <f>YEAR(E2736)</f>
        <v/>
      </c>
      <c r="D2736" s="6">
        <f>MONTH(E2736)</f>
        <v/>
      </c>
      <c r="J2736" s="6">
        <f>K2736&amp;L2736</f>
        <v/>
      </c>
      <c r="K2736" s="6">
        <f>YEAR(M2736)</f>
        <v/>
      </c>
      <c r="L2736" s="6">
        <f>MONTH(M2736)</f>
        <v/>
      </c>
      <c r="R2736" s="6">
        <f>S2736&amp;T2736</f>
        <v/>
      </c>
      <c r="S2736" s="6">
        <f>YEAR(U2736)</f>
        <v/>
      </c>
      <c r="T2736" s="6">
        <f>MONTH(U2736)</f>
        <v/>
      </c>
      <c r="Z2736" s="6">
        <f>AA2736&amp;AB2736</f>
        <v/>
      </c>
      <c r="AA2736" s="6">
        <f>YEAR(AC2736)</f>
        <v/>
      </c>
      <c r="AB2736" s="6">
        <f>MONTH(AC2736)</f>
        <v/>
      </c>
      <c r="AC2736" s="267">
        <f>IFERROR(__xludf.DUMMYFUNCTION("""COMPUTED_VALUE"""),45894.9986111111)</f>
        <v/>
      </c>
      <c r="AD2736" s="6">
        <f>IFERROR(__xludf.DUMMYFUNCTION("""COMPUTED_VALUE"""),1389.05)</f>
        <v/>
      </c>
      <c r="AH2736" s="6">
        <f>AI2736&amp;AJ2736</f>
        <v/>
      </c>
      <c r="AI2736" s="6">
        <f>YEAR(AK2736)</f>
        <v/>
      </c>
      <c r="AJ2736" s="6">
        <f>MONTH(AK2736)</f>
        <v/>
      </c>
      <c r="AK2736" s="267">
        <f>IFERROR(__xludf.DUMMYFUNCTION("""COMPUTED_VALUE"""),45831.9986111111)</f>
        <v/>
      </c>
      <c r="AL2736" s="6">
        <f>IFERROR(__xludf.DUMMYFUNCTION("""COMPUTED_VALUE"""),101220)</f>
        <v/>
      </c>
      <c r="AP2736" s="6">
        <f>AQ2736&amp;AR2736</f>
        <v/>
      </c>
      <c r="AQ2736" s="6">
        <f>YEAR(AS2736)</f>
        <v/>
      </c>
      <c r="AR2736" s="6">
        <f>MONTH(AS2736)</f>
        <v/>
      </c>
    </row>
    <row r="2737">
      <c r="B2737" s="6">
        <f>C2737&amp;D2737</f>
        <v/>
      </c>
      <c r="C2737" s="6">
        <f>YEAR(E2737)</f>
        <v/>
      </c>
      <c r="D2737" s="6">
        <f>MONTH(E2737)</f>
        <v/>
      </c>
      <c r="J2737" s="6">
        <f>K2737&amp;L2737</f>
        <v/>
      </c>
      <c r="K2737" s="6">
        <f>YEAR(M2737)</f>
        <v/>
      </c>
      <c r="L2737" s="6">
        <f>MONTH(M2737)</f>
        <v/>
      </c>
      <c r="R2737" s="6">
        <f>S2737&amp;T2737</f>
        <v/>
      </c>
      <c r="S2737" s="6">
        <f>YEAR(U2737)</f>
        <v/>
      </c>
      <c r="T2737" s="6">
        <f>MONTH(U2737)</f>
        <v/>
      </c>
      <c r="Z2737" s="6">
        <f>AA2737&amp;AB2737</f>
        <v/>
      </c>
      <c r="AA2737" s="6">
        <f>YEAR(AC2737)</f>
        <v/>
      </c>
      <c r="AB2737" s="6">
        <f>MONTH(AC2737)</f>
        <v/>
      </c>
      <c r="AC2737" s="267">
        <f>IFERROR(__xludf.DUMMYFUNCTION("""COMPUTED_VALUE"""),45895.9986111111)</f>
        <v/>
      </c>
      <c r="AD2737" s="6">
        <f>IFERROR(__xludf.DUMMYFUNCTION("""COMPUTED_VALUE"""),1393.95)</f>
        <v/>
      </c>
      <c r="AH2737" s="6">
        <f>AI2737&amp;AJ2737</f>
        <v/>
      </c>
      <c r="AI2737" s="6">
        <f>YEAR(AK2737)</f>
        <v/>
      </c>
      <c r="AJ2737" s="6">
        <f>MONTH(AK2737)</f>
        <v/>
      </c>
      <c r="AK2737" s="267">
        <f>IFERROR(__xludf.DUMMYFUNCTION("""COMPUTED_VALUE"""),45832.9986111111)</f>
        <v/>
      </c>
      <c r="AL2737" s="6">
        <f>IFERROR(__xludf.DUMMYFUNCTION("""COMPUTED_VALUE"""),105019)</f>
        <v/>
      </c>
      <c r="AP2737" s="6">
        <f>AQ2737&amp;AR2737</f>
        <v/>
      </c>
      <c r="AQ2737" s="6">
        <f>YEAR(AS2737)</f>
        <v/>
      </c>
      <c r="AR2737" s="6">
        <f>MONTH(AS2737)</f>
        <v/>
      </c>
    </row>
    <row r="2738">
      <c r="B2738" s="6">
        <f>C2738&amp;D2738</f>
        <v/>
      </c>
      <c r="C2738" s="6">
        <f>YEAR(E2738)</f>
        <v/>
      </c>
      <c r="D2738" s="6">
        <f>MONTH(E2738)</f>
        <v/>
      </c>
      <c r="J2738" s="6">
        <f>K2738&amp;L2738</f>
        <v/>
      </c>
      <c r="K2738" s="6">
        <f>YEAR(M2738)</f>
        <v/>
      </c>
      <c r="L2738" s="6">
        <f>MONTH(M2738)</f>
        <v/>
      </c>
      <c r="R2738" s="6">
        <f>S2738&amp;T2738</f>
        <v/>
      </c>
      <c r="S2738" s="6">
        <f>YEAR(U2738)</f>
        <v/>
      </c>
      <c r="T2738" s="6">
        <f>MONTH(U2738)</f>
        <v/>
      </c>
      <c r="Z2738" s="6">
        <f>AA2738&amp;AB2738</f>
        <v/>
      </c>
      <c r="AA2738" s="6">
        <f>YEAR(AC2738)</f>
        <v/>
      </c>
      <c r="AB2738" s="6">
        <f>MONTH(AC2738)</f>
        <v/>
      </c>
      <c r="AC2738" s="267">
        <f>IFERROR(__xludf.DUMMYFUNCTION("""COMPUTED_VALUE"""),45896.9986111111)</f>
        <v/>
      </c>
      <c r="AD2738" s="6">
        <f>IFERROR(__xludf.DUMMYFUNCTION("""COMPUTED_VALUE"""),1392.75)</f>
        <v/>
      </c>
      <c r="AH2738" s="6">
        <f>AI2738&amp;AJ2738</f>
        <v/>
      </c>
      <c r="AI2738" s="6">
        <f>YEAR(AK2738)</f>
        <v/>
      </c>
      <c r="AJ2738" s="6">
        <f>MONTH(AK2738)</f>
        <v/>
      </c>
      <c r="AK2738" s="267">
        <f>IFERROR(__xludf.DUMMYFUNCTION("""COMPUTED_VALUE"""),45833.9986111111)</f>
        <v/>
      </c>
      <c r="AL2738" s="6">
        <f>IFERROR(__xludf.DUMMYFUNCTION("""COMPUTED_VALUE"""),106311.5)</f>
        <v/>
      </c>
      <c r="AP2738" s="6">
        <f>AQ2738&amp;AR2738</f>
        <v/>
      </c>
      <c r="AQ2738" s="6">
        <f>YEAR(AS2738)</f>
        <v/>
      </c>
      <c r="AR2738" s="6">
        <f>MONTH(AS2738)</f>
        <v/>
      </c>
    </row>
    <row r="2739">
      <c r="B2739" s="6">
        <f>C2739&amp;D2739</f>
        <v/>
      </c>
      <c r="C2739" s="6">
        <f>YEAR(E2739)</f>
        <v/>
      </c>
      <c r="D2739" s="6">
        <f>MONTH(E2739)</f>
        <v/>
      </c>
      <c r="J2739" s="6">
        <f>K2739&amp;L2739</f>
        <v/>
      </c>
      <c r="K2739" s="6">
        <f>YEAR(M2739)</f>
        <v/>
      </c>
      <c r="L2739" s="6">
        <f>MONTH(M2739)</f>
        <v/>
      </c>
      <c r="R2739" s="6">
        <f>S2739&amp;T2739</f>
        <v/>
      </c>
      <c r="S2739" s="6">
        <f>YEAR(U2739)</f>
        <v/>
      </c>
      <c r="T2739" s="6">
        <f>MONTH(U2739)</f>
        <v/>
      </c>
      <c r="Z2739" s="6">
        <f>AA2739&amp;AB2739</f>
        <v/>
      </c>
      <c r="AA2739" s="6">
        <f>YEAR(AC2739)</f>
        <v/>
      </c>
      <c r="AB2739" s="6">
        <f>MONTH(AC2739)</f>
        <v/>
      </c>
      <c r="AC2739" s="267">
        <f>IFERROR(__xludf.DUMMYFUNCTION("""COMPUTED_VALUE"""),45897.9986111111)</f>
        <v/>
      </c>
      <c r="AD2739" s="6">
        <f>IFERROR(__xludf.DUMMYFUNCTION("""COMPUTED_VALUE"""),1384.41)</f>
        <v/>
      </c>
      <c r="AH2739" s="6">
        <f>AI2739&amp;AJ2739</f>
        <v/>
      </c>
      <c r="AI2739" s="6">
        <f>YEAR(AK2739)</f>
        <v/>
      </c>
      <c r="AJ2739" s="6">
        <f>MONTH(AK2739)</f>
        <v/>
      </c>
      <c r="AK2739" s="267">
        <f>IFERROR(__xludf.DUMMYFUNCTION("""COMPUTED_VALUE"""),45834.9986111111)</f>
        <v/>
      </c>
      <c r="AL2739" s="6">
        <f>IFERROR(__xludf.DUMMYFUNCTION("""COMPUTED_VALUE"""),107899.3)</f>
        <v/>
      </c>
      <c r="AP2739" s="6">
        <f>AQ2739&amp;AR2739</f>
        <v/>
      </c>
      <c r="AQ2739" s="6">
        <f>YEAR(AS2739)</f>
        <v/>
      </c>
      <c r="AR2739" s="6">
        <f>MONTH(AS2739)</f>
        <v/>
      </c>
    </row>
    <row r="2740">
      <c r="B2740" s="6">
        <f>C2740&amp;D2740</f>
        <v/>
      </c>
      <c r="C2740" s="6">
        <f>YEAR(E2740)</f>
        <v/>
      </c>
      <c r="D2740" s="6">
        <f>MONTH(E2740)</f>
        <v/>
      </c>
      <c r="J2740" s="6">
        <f>K2740&amp;L2740</f>
        <v/>
      </c>
      <c r="K2740" s="6">
        <f>YEAR(M2740)</f>
        <v/>
      </c>
      <c r="L2740" s="6">
        <f>MONTH(M2740)</f>
        <v/>
      </c>
      <c r="R2740" s="6">
        <f>S2740&amp;T2740</f>
        <v/>
      </c>
      <c r="S2740" s="6">
        <f>YEAR(U2740)</f>
        <v/>
      </c>
      <c r="T2740" s="6">
        <f>MONTH(U2740)</f>
        <v/>
      </c>
      <c r="Z2740" s="6">
        <f>AA2740&amp;AB2740</f>
        <v/>
      </c>
      <c r="AA2740" s="6">
        <f>YEAR(AC2740)</f>
        <v/>
      </c>
      <c r="AB2740" s="6">
        <f>MONTH(AC2740)</f>
        <v/>
      </c>
      <c r="AC2740" s="267">
        <f>IFERROR(__xludf.DUMMYFUNCTION("""COMPUTED_VALUE"""),45898.9986111111)</f>
        <v/>
      </c>
      <c r="AD2740" s="6">
        <f>IFERROR(__xludf.DUMMYFUNCTION("""COMPUTED_VALUE"""),1387.87)</f>
        <v/>
      </c>
      <c r="AH2740" s="6">
        <f>AI2740&amp;AJ2740</f>
        <v/>
      </c>
      <c r="AI2740" s="6">
        <f>YEAR(AK2740)</f>
        <v/>
      </c>
      <c r="AJ2740" s="6">
        <f>MONTH(AK2740)</f>
        <v/>
      </c>
      <c r="AK2740" s="267">
        <f>IFERROR(__xludf.DUMMYFUNCTION("""COMPUTED_VALUE"""),45835.9986111111)</f>
        <v/>
      </c>
      <c r="AL2740" s="6">
        <f>IFERROR(__xludf.DUMMYFUNCTION("""COMPUTED_VALUE"""),107523.7)</f>
        <v/>
      </c>
      <c r="AP2740" s="6">
        <f>AQ2740&amp;AR2740</f>
        <v/>
      </c>
      <c r="AQ2740" s="6">
        <f>YEAR(AS2740)</f>
        <v/>
      </c>
      <c r="AR2740" s="6">
        <f>MONTH(AS2740)</f>
        <v/>
      </c>
    </row>
    <row r="2741">
      <c r="B2741" s="6">
        <f>C2741&amp;D2741</f>
        <v/>
      </c>
      <c r="C2741" s="6">
        <f>YEAR(E2741)</f>
        <v/>
      </c>
      <c r="D2741" s="6">
        <f>MONTH(E2741)</f>
        <v/>
      </c>
      <c r="J2741" s="6">
        <f>K2741&amp;L2741</f>
        <v/>
      </c>
      <c r="K2741" s="6">
        <f>YEAR(M2741)</f>
        <v/>
      </c>
      <c r="L2741" s="6">
        <f>MONTH(M2741)</f>
        <v/>
      </c>
      <c r="R2741" s="6">
        <f>S2741&amp;T2741</f>
        <v/>
      </c>
      <c r="S2741" s="6">
        <f>YEAR(U2741)</f>
        <v/>
      </c>
      <c r="T2741" s="6">
        <f>MONTH(U2741)</f>
        <v/>
      </c>
      <c r="Z2741" s="6">
        <f>AA2741&amp;AB2741</f>
        <v/>
      </c>
      <c r="AA2741" s="6">
        <f>YEAR(AC2741)</f>
        <v/>
      </c>
      <c r="AB2741" s="6">
        <f>MONTH(AC2741)</f>
        <v/>
      </c>
      <c r="AC2741" s="267">
        <f>IFERROR(__xludf.DUMMYFUNCTION("""COMPUTED_VALUE"""),45899.9986111111)</f>
        <v/>
      </c>
      <c r="AD2741" s="6">
        <f>IFERROR(__xludf.DUMMYFUNCTION("""COMPUTED_VALUE"""),1386.97)</f>
        <v/>
      </c>
      <c r="AH2741" s="6">
        <f>AI2741&amp;AJ2741</f>
        <v/>
      </c>
      <c r="AI2741" s="6">
        <f>YEAR(AK2741)</f>
        <v/>
      </c>
      <c r="AJ2741" s="6">
        <f>MONTH(AK2741)</f>
        <v/>
      </c>
      <c r="AK2741" s="267">
        <f>IFERROR(__xludf.DUMMYFUNCTION("""COMPUTED_VALUE"""),45836.9986111111)</f>
        <v/>
      </c>
      <c r="AL2741" s="6">
        <f>IFERROR(__xludf.DUMMYFUNCTION("""COMPUTED_VALUE"""),107342.2)</f>
        <v/>
      </c>
      <c r="AP2741" s="6">
        <f>AQ2741&amp;AR2741</f>
        <v/>
      </c>
      <c r="AQ2741" s="6">
        <f>YEAR(AS2741)</f>
        <v/>
      </c>
      <c r="AR2741" s="6">
        <f>MONTH(AS2741)</f>
        <v/>
      </c>
    </row>
    <row r="2742">
      <c r="B2742" s="6">
        <f>C2742&amp;D2742</f>
        <v/>
      </c>
      <c r="C2742" s="6">
        <f>YEAR(E2742)</f>
        <v/>
      </c>
      <c r="D2742" s="6">
        <f>MONTH(E2742)</f>
        <v/>
      </c>
      <c r="J2742" s="6">
        <f>K2742&amp;L2742</f>
        <v/>
      </c>
      <c r="K2742" s="6">
        <f>YEAR(M2742)</f>
        <v/>
      </c>
      <c r="L2742" s="6">
        <f>MONTH(M2742)</f>
        <v/>
      </c>
      <c r="R2742" s="6">
        <f>S2742&amp;T2742</f>
        <v/>
      </c>
      <c r="S2742" s="6">
        <f>YEAR(U2742)</f>
        <v/>
      </c>
      <c r="T2742" s="6">
        <f>MONTH(U2742)</f>
        <v/>
      </c>
      <c r="Z2742" s="6">
        <f>AA2742&amp;AB2742</f>
        <v/>
      </c>
      <c r="AA2742" s="6">
        <f>YEAR(AC2742)</f>
        <v/>
      </c>
      <c r="AB2742" s="6">
        <f>MONTH(AC2742)</f>
        <v/>
      </c>
      <c r="AC2742" s="267">
        <f>IFERROR(__xludf.DUMMYFUNCTION("""COMPUTED_VALUE"""),45900.9986111111)</f>
        <v/>
      </c>
      <c r="AD2742" s="6">
        <f>IFERROR(__xludf.DUMMYFUNCTION("""COMPUTED_VALUE"""),1388.84)</f>
        <v/>
      </c>
      <c r="AH2742" s="6">
        <f>AI2742&amp;AJ2742</f>
        <v/>
      </c>
      <c r="AI2742" s="6">
        <f>YEAR(AK2742)</f>
        <v/>
      </c>
      <c r="AJ2742" s="6">
        <f>MONTH(AK2742)</f>
        <v/>
      </c>
      <c r="AK2742" s="267">
        <f>IFERROR(__xludf.DUMMYFUNCTION("""COMPUTED_VALUE"""),45837.9986111111)</f>
        <v/>
      </c>
      <c r="AL2742" s="6">
        <f>IFERROR(__xludf.DUMMYFUNCTION("""COMPUTED_VALUE"""),107249.3)</f>
        <v/>
      </c>
      <c r="AP2742" s="6">
        <f>AQ2742&amp;AR2742</f>
        <v/>
      </c>
      <c r="AQ2742" s="6">
        <f>YEAR(AS2742)</f>
        <v/>
      </c>
      <c r="AR2742" s="6">
        <f>MONTH(AS2742)</f>
        <v/>
      </c>
    </row>
    <row r="2743">
      <c r="B2743" s="6">
        <f>C2743&amp;D2743</f>
        <v/>
      </c>
      <c r="C2743" s="6">
        <f>YEAR(E2743)</f>
        <v/>
      </c>
      <c r="D2743" s="6">
        <f>MONTH(E2743)</f>
        <v/>
      </c>
      <c r="J2743" s="6">
        <f>K2743&amp;L2743</f>
        <v/>
      </c>
      <c r="K2743" s="6">
        <f>YEAR(M2743)</f>
        <v/>
      </c>
      <c r="L2743" s="6">
        <f>MONTH(M2743)</f>
        <v/>
      </c>
      <c r="R2743" s="6">
        <f>S2743&amp;T2743</f>
        <v/>
      </c>
      <c r="S2743" s="6">
        <f>YEAR(U2743)</f>
        <v/>
      </c>
      <c r="T2743" s="6">
        <f>MONTH(U2743)</f>
        <v/>
      </c>
      <c r="Z2743" s="6">
        <f>AA2743&amp;AB2743</f>
        <v/>
      </c>
      <c r="AA2743" s="6">
        <f>YEAR(AC2743)</f>
        <v/>
      </c>
      <c r="AB2743" s="6">
        <f>MONTH(AC2743)</f>
        <v/>
      </c>
      <c r="AC2743" s="267">
        <f>IFERROR(__xludf.DUMMYFUNCTION("""COMPUTED_VALUE"""),45901.9986111111)</f>
        <v/>
      </c>
      <c r="AD2743" s="6">
        <f>IFERROR(__xludf.DUMMYFUNCTION("""COMPUTED_VALUE"""),1392.94)</f>
        <v/>
      </c>
      <c r="AH2743" s="6">
        <f>AI2743&amp;AJ2743</f>
        <v/>
      </c>
      <c r="AI2743" s="6">
        <f>YEAR(AK2743)</f>
        <v/>
      </c>
      <c r="AJ2743" s="6">
        <f>MONTH(AK2743)</f>
        <v/>
      </c>
      <c r="AK2743" s="267">
        <f>IFERROR(__xludf.DUMMYFUNCTION("""COMPUTED_VALUE"""),45838.9986111111)</f>
        <v/>
      </c>
      <c r="AL2743" s="6">
        <f>IFERROR(__xludf.DUMMYFUNCTION("""COMPUTED_VALUE"""),108527.5)</f>
        <v/>
      </c>
      <c r="AP2743" s="6">
        <f>AQ2743&amp;AR2743</f>
        <v/>
      </c>
      <c r="AQ2743" s="6">
        <f>YEAR(AS2743)</f>
        <v/>
      </c>
      <c r="AR2743" s="6">
        <f>MONTH(AS2743)</f>
        <v/>
      </c>
    </row>
    <row r="2744">
      <c r="B2744" s="6">
        <f>C2744&amp;D2744</f>
        <v/>
      </c>
      <c r="C2744" s="6">
        <f>YEAR(E2744)</f>
        <v/>
      </c>
      <c r="D2744" s="6">
        <f>MONTH(E2744)</f>
        <v/>
      </c>
      <c r="J2744" s="6">
        <f>K2744&amp;L2744</f>
        <v/>
      </c>
      <c r="K2744" s="6">
        <f>YEAR(M2744)</f>
        <v/>
      </c>
      <c r="L2744" s="6">
        <f>MONTH(M2744)</f>
        <v/>
      </c>
      <c r="R2744" s="6">
        <f>S2744&amp;T2744</f>
        <v/>
      </c>
      <c r="S2744" s="6">
        <f>YEAR(U2744)</f>
        <v/>
      </c>
      <c r="T2744" s="6">
        <f>MONTH(U2744)</f>
        <v/>
      </c>
      <c r="Z2744" s="6">
        <f>AA2744&amp;AB2744</f>
        <v/>
      </c>
      <c r="AA2744" s="6">
        <f>YEAR(AC2744)</f>
        <v/>
      </c>
      <c r="AB2744" s="6">
        <f>MONTH(AC2744)</f>
        <v/>
      </c>
      <c r="AC2744" s="267">
        <f>IFERROR(__xludf.DUMMYFUNCTION("""COMPUTED_VALUE"""),45902.9986111111)</f>
        <v/>
      </c>
      <c r="AD2744" s="6">
        <f>IFERROR(__xludf.DUMMYFUNCTION("""COMPUTED_VALUE"""),1394.57)</f>
        <v/>
      </c>
      <c r="AH2744" s="6">
        <f>AI2744&amp;AJ2744</f>
        <v/>
      </c>
      <c r="AI2744" s="6">
        <f>YEAR(AK2744)</f>
        <v/>
      </c>
      <c r="AJ2744" s="6">
        <f>MONTH(AK2744)</f>
        <v/>
      </c>
      <c r="AK2744" s="267">
        <f>IFERROR(__xludf.DUMMYFUNCTION("""COMPUTED_VALUE"""),45839.9986111111)</f>
        <v/>
      </c>
      <c r="AL2744" s="6">
        <f>IFERROR(__xludf.DUMMYFUNCTION("""COMPUTED_VALUE"""),107217.4)</f>
        <v/>
      </c>
      <c r="AP2744" s="6">
        <f>AQ2744&amp;AR2744</f>
        <v/>
      </c>
      <c r="AQ2744" s="6">
        <f>YEAR(AS2744)</f>
        <v/>
      </c>
      <c r="AR2744" s="6">
        <f>MONTH(AS2744)</f>
        <v/>
      </c>
    </row>
    <row r="2745">
      <c r="B2745" s="6">
        <f>C2745&amp;D2745</f>
        <v/>
      </c>
      <c r="C2745" s="6">
        <f>YEAR(E2745)</f>
        <v/>
      </c>
      <c r="D2745" s="6">
        <f>MONTH(E2745)</f>
        <v/>
      </c>
      <c r="J2745" s="6">
        <f>K2745&amp;L2745</f>
        <v/>
      </c>
      <c r="K2745" s="6">
        <f>YEAR(M2745)</f>
        <v/>
      </c>
      <c r="L2745" s="6">
        <f>MONTH(M2745)</f>
        <v/>
      </c>
      <c r="R2745" s="6">
        <f>S2745&amp;T2745</f>
        <v/>
      </c>
      <c r="S2745" s="6">
        <f>YEAR(U2745)</f>
        <v/>
      </c>
      <c r="T2745" s="6">
        <f>MONTH(U2745)</f>
        <v/>
      </c>
      <c r="Z2745" s="6">
        <f>AA2745&amp;AB2745</f>
        <v/>
      </c>
      <c r="AA2745" s="6">
        <f>YEAR(AC2745)</f>
        <v/>
      </c>
      <c r="AB2745" s="6">
        <f>MONTH(AC2745)</f>
        <v/>
      </c>
      <c r="AC2745" s="267">
        <f>IFERROR(__xludf.DUMMYFUNCTION("""COMPUTED_VALUE"""),45903.9986111111)</f>
        <v/>
      </c>
      <c r="AD2745" s="6">
        <f>IFERROR(__xludf.DUMMYFUNCTION("""COMPUTED_VALUE"""),1389.63)</f>
        <v/>
      </c>
      <c r="AH2745" s="6">
        <f>AI2745&amp;AJ2745</f>
        <v/>
      </c>
      <c r="AI2745" s="6">
        <f>YEAR(AK2745)</f>
        <v/>
      </c>
      <c r="AJ2745" s="6">
        <f>MONTH(AK2745)</f>
        <v/>
      </c>
      <c r="AK2745" s="267">
        <f>IFERROR(__xludf.DUMMYFUNCTION("""COMPUTED_VALUE"""),45840.9986111111)</f>
        <v/>
      </c>
      <c r="AL2745" s="6">
        <f>IFERROR(__xludf.DUMMYFUNCTION("""COMPUTED_VALUE"""),106255.1)</f>
        <v/>
      </c>
      <c r="AP2745" s="6">
        <f>AQ2745&amp;AR2745</f>
        <v/>
      </c>
      <c r="AQ2745" s="6">
        <f>YEAR(AS2745)</f>
        <v/>
      </c>
      <c r="AR2745" s="6">
        <f>MONTH(AS2745)</f>
        <v/>
      </c>
    </row>
    <row r="2746">
      <c r="B2746" s="6">
        <f>C2746&amp;D2746</f>
        <v/>
      </c>
      <c r="C2746" s="6">
        <f>YEAR(E2746)</f>
        <v/>
      </c>
      <c r="D2746" s="6">
        <f>MONTH(E2746)</f>
        <v/>
      </c>
      <c r="J2746" s="6">
        <f>K2746&amp;L2746</f>
        <v/>
      </c>
      <c r="K2746" s="6">
        <f>YEAR(M2746)</f>
        <v/>
      </c>
      <c r="L2746" s="6">
        <f>MONTH(M2746)</f>
        <v/>
      </c>
      <c r="R2746" s="6">
        <f>S2746&amp;T2746</f>
        <v/>
      </c>
      <c r="S2746" s="6">
        <f>YEAR(U2746)</f>
        <v/>
      </c>
      <c r="T2746" s="6">
        <f>MONTH(U2746)</f>
        <v/>
      </c>
      <c r="Z2746" s="6">
        <f>AA2746&amp;AB2746</f>
        <v/>
      </c>
      <c r="AA2746" s="6">
        <f>YEAR(AC2746)</f>
        <v/>
      </c>
      <c r="AB2746" s="6">
        <f>MONTH(AC2746)</f>
        <v/>
      </c>
      <c r="AC2746" s="267">
        <f>IFERROR(__xludf.DUMMYFUNCTION("""COMPUTED_VALUE"""),45904.9986111111)</f>
        <v/>
      </c>
      <c r="AD2746" s="6">
        <f>IFERROR(__xludf.DUMMYFUNCTION("""COMPUTED_VALUE"""),1392.06)</f>
        <v/>
      </c>
      <c r="AH2746" s="6">
        <f>AI2746&amp;AJ2746</f>
        <v/>
      </c>
      <c r="AI2746" s="6">
        <f>YEAR(AK2746)</f>
        <v/>
      </c>
      <c r="AJ2746" s="6">
        <f>MONTH(AK2746)</f>
        <v/>
      </c>
      <c r="AK2746" s="267">
        <f>IFERROR(__xludf.DUMMYFUNCTION("""COMPUTED_VALUE"""),45841.9986111111)</f>
        <v/>
      </c>
      <c r="AL2746" s="6">
        <f>IFERROR(__xludf.DUMMYFUNCTION("""COMPUTED_VALUE"""),108696.5)</f>
        <v/>
      </c>
      <c r="AP2746" s="6">
        <f>AQ2746&amp;AR2746</f>
        <v/>
      </c>
      <c r="AQ2746" s="6">
        <f>YEAR(AS2746)</f>
        <v/>
      </c>
      <c r="AR2746" s="6">
        <f>MONTH(AS2746)</f>
        <v/>
      </c>
    </row>
    <row r="2747">
      <c r="B2747" s="6">
        <f>C2747&amp;D2747</f>
        <v/>
      </c>
      <c r="C2747" s="6">
        <f>YEAR(E2747)</f>
        <v/>
      </c>
      <c r="D2747" s="6">
        <f>MONTH(E2747)</f>
        <v/>
      </c>
      <c r="J2747" s="6">
        <f>K2747&amp;L2747</f>
        <v/>
      </c>
      <c r="K2747" s="6">
        <f>YEAR(M2747)</f>
        <v/>
      </c>
      <c r="L2747" s="6">
        <f>MONTH(M2747)</f>
        <v/>
      </c>
      <c r="R2747" s="6">
        <f>S2747&amp;T2747</f>
        <v/>
      </c>
      <c r="S2747" s="6">
        <f>YEAR(U2747)</f>
        <v/>
      </c>
      <c r="T2747" s="6">
        <f>MONTH(U2747)</f>
        <v/>
      </c>
      <c r="Z2747" s="6">
        <f>AA2747&amp;AB2747</f>
        <v/>
      </c>
      <c r="AA2747" s="6">
        <f>YEAR(AC2747)</f>
        <v/>
      </c>
      <c r="AB2747" s="6">
        <f>MONTH(AC2747)</f>
        <v/>
      </c>
      <c r="AC2747" s="267">
        <f>IFERROR(__xludf.DUMMYFUNCTION("""COMPUTED_VALUE"""),45905.9986111111)</f>
        <v/>
      </c>
      <c r="AD2747" s="6">
        <f>IFERROR(__xludf.DUMMYFUNCTION("""COMPUTED_VALUE"""),1385.42)</f>
        <v/>
      </c>
      <c r="AH2747" s="6">
        <f>AI2747&amp;AJ2747</f>
        <v/>
      </c>
      <c r="AI2747" s="6">
        <f>YEAR(AK2747)</f>
        <v/>
      </c>
      <c r="AJ2747" s="6">
        <f>MONTH(AK2747)</f>
        <v/>
      </c>
      <c r="AK2747" s="267">
        <f>IFERROR(__xludf.DUMMYFUNCTION("""COMPUTED_VALUE"""),45842.9986111111)</f>
        <v/>
      </c>
      <c r="AL2747" s="6">
        <f>IFERROR(__xludf.DUMMYFUNCTION("""COMPUTED_VALUE"""),109273.1)</f>
        <v/>
      </c>
      <c r="AP2747" s="6">
        <f>AQ2747&amp;AR2747</f>
        <v/>
      </c>
      <c r="AQ2747" s="6">
        <f>YEAR(AS2747)</f>
        <v/>
      </c>
      <c r="AR2747" s="6">
        <f>MONTH(AS2747)</f>
        <v/>
      </c>
    </row>
    <row r="2748">
      <c r="B2748" s="6">
        <f>C2748&amp;D2748</f>
        <v/>
      </c>
      <c r="C2748" s="6">
        <f>YEAR(E2748)</f>
        <v/>
      </c>
      <c r="D2748" s="6">
        <f>MONTH(E2748)</f>
        <v/>
      </c>
      <c r="J2748" s="6">
        <f>K2748&amp;L2748</f>
        <v/>
      </c>
      <c r="K2748" s="6">
        <f>YEAR(M2748)</f>
        <v/>
      </c>
      <c r="L2748" s="6">
        <f>MONTH(M2748)</f>
        <v/>
      </c>
      <c r="R2748" s="6">
        <f>S2748&amp;T2748</f>
        <v/>
      </c>
      <c r="S2748" s="6">
        <f>YEAR(U2748)</f>
        <v/>
      </c>
      <c r="T2748" s="6">
        <f>MONTH(U2748)</f>
        <v/>
      </c>
      <c r="Z2748" s="6">
        <f>AA2748&amp;AB2748</f>
        <v/>
      </c>
      <c r="AA2748" s="6">
        <f>YEAR(AC2748)</f>
        <v/>
      </c>
      <c r="AB2748" s="6">
        <f>MONTH(AC2748)</f>
        <v/>
      </c>
      <c r="AC2748" s="267">
        <f>IFERROR(__xludf.DUMMYFUNCTION("""COMPUTED_VALUE"""),45906.9986111111)</f>
        <v/>
      </c>
      <c r="AD2748" s="6">
        <f>IFERROR(__xludf.DUMMYFUNCTION("""COMPUTED_VALUE"""),1385.48)</f>
        <v/>
      </c>
      <c r="AH2748" s="6">
        <f>AI2748&amp;AJ2748</f>
        <v/>
      </c>
      <c r="AI2748" s="6">
        <f>YEAR(AK2748)</f>
        <v/>
      </c>
      <c r="AJ2748" s="6">
        <f>MONTH(AK2748)</f>
        <v/>
      </c>
      <c r="AK2748" s="267">
        <f>IFERROR(__xludf.DUMMYFUNCTION("""COMPUTED_VALUE"""),45843.9986111111)</f>
        <v/>
      </c>
      <c r="AL2748" s="6">
        <f>IFERROR(__xludf.DUMMYFUNCTION("""COMPUTED_VALUE"""),108230)</f>
        <v/>
      </c>
      <c r="AP2748" s="6">
        <f>AQ2748&amp;AR2748</f>
        <v/>
      </c>
      <c r="AQ2748" s="6">
        <f>YEAR(AS2748)</f>
        <v/>
      </c>
      <c r="AR2748" s="6">
        <f>MONTH(AS2748)</f>
        <v/>
      </c>
    </row>
    <row r="2749">
      <c r="B2749" s="6">
        <f>C2749&amp;D2749</f>
        <v/>
      </c>
      <c r="C2749" s="6">
        <f>YEAR(E2749)</f>
        <v/>
      </c>
      <c r="D2749" s="6">
        <f>MONTH(E2749)</f>
        <v/>
      </c>
      <c r="J2749" s="6">
        <f>K2749&amp;L2749</f>
        <v/>
      </c>
      <c r="K2749" s="6">
        <f>YEAR(M2749)</f>
        <v/>
      </c>
      <c r="L2749" s="6">
        <f>MONTH(M2749)</f>
        <v/>
      </c>
      <c r="R2749" s="6">
        <f>S2749&amp;T2749</f>
        <v/>
      </c>
      <c r="S2749" s="6">
        <f>YEAR(U2749)</f>
        <v/>
      </c>
      <c r="T2749" s="6">
        <f>MONTH(U2749)</f>
        <v/>
      </c>
      <c r="Z2749" s="6">
        <f>AA2749&amp;AB2749</f>
        <v/>
      </c>
      <c r="AA2749" s="6">
        <f>YEAR(AC2749)</f>
        <v/>
      </c>
      <c r="AB2749" s="6">
        <f>MONTH(AC2749)</f>
        <v/>
      </c>
      <c r="AC2749" s="267">
        <f>IFERROR(__xludf.DUMMYFUNCTION("""COMPUTED_VALUE"""),45907.9986111111)</f>
        <v/>
      </c>
      <c r="AD2749" s="6">
        <f>IFERROR(__xludf.DUMMYFUNCTION("""COMPUTED_VALUE"""),1385.51)</f>
        <v/>
      </c>
      <c r="AH2749" s="6">
        <f>AI2749&amp;AJ2749</f>
        <v/>
      </c>
      <c r="AI2749" s="6">
        <f>YEAR(AK2749)</f>
        <v/>
      </c>
      <c r="AJ2749" s="6">
        <f>MONTH(AK2749)</f>
        <v/>
      </c>
      <c r="AK2749" s="267">
        <f>IFERROR(__xludf.DUMMYFUNCTION("""COMPUTED_VALUE"""),45844.9986111111)</f>
        <v/>
      </c>
      <c r="AL2749" s="6">
        <f>IFERROR(__xludf.DUMMYFUNCTION("""COMPUTED_VALUE"""),108114)</f>
        <v/>
      </c>
      <c r="AP2749" s="6">
        <f>AQ2749&amp;AR2749</f>
        <v/>
      </c>
      <c r="AQ2749" s="6">
        <f>YEAR(AS2749)</f>
        <v/>
      </c>
      <c r="AR2749" s="6">
        <f>MONTH(AS2749)</f>
        <v/>
      </c>
    </row>
    <row r="2750">
      <c r="B2750" s="6">
        <f>C2750&amp;D2750</f>
        <v/>
      </c>
      <c r="C2750" s="6">
        <f>YEAR(E2750)</f>
        <v/>
      </c>
      <c r="D2750" s="6">
        <f>MONTH(E2750)</f>
        <v/>
      </c>
      <c r="J2750" s="6">
        <f>K2750&amp;L2750</f>
        <v/>
      </c>
      <c r="K2750" s="6">
        <f>YEAR(M2750)</f>
        <v/>
      </c>
      <c r="L2750" s="6">
        <f>MONTH(M2750)</f>
        <v/>
      </c>
      <c r="R2750" s="6">
        <f>S2750&amp;T2750</f>
        <v/>
      </c>
      <c r="S2750" s="6">
        <f>YEAR(U2750)</f>
        <v/>
      </c>
      <c r="T2750" s="6">
        <f>MONTH(U2750)</f>
        <v/>
      </c>
      <c r="Z2750" s="6">
        <f>AA2750&amp;AB2750</f>
        <v/>
      </c>
      <c r="AA2750" s="6">
        <f>YEAR(AC2750)</f>
        <v/>
      </c>
      <c r="AB2750" s="6">
        <f>MONTH(AC2750)</f>
        <v/>
      </c>
      <c r="AC2750" s="267">
        <f>IFERROR(__xludf.DUMMYFUNCTION("""COMPUTED_VALUE"""),45908.9986111111)</f>
        <v/>
      </c>
      <c r="AD2750" s="6">
        <f>IFERROR(__xludf.DUMMYFUNCTION("""COMPUTED_VALUE"""),1385.72)</f>
        <v/>
      </c>
      <c r="AH2750" s="6">
        <f>AI2750&amp;AJ2750</f>
        <v/>
      </c>
      <c r="AI2750" s="6">
        <f>YEAR(AK2750)</f>
        <v/>
      </c>
      <c r="AJ2750" s="6">
        <f>MONTH(AK2750)</f>
        <v/>
      </c>
      <c r="AK2750" s="267">
        <f>IFERROR(__xludf.DUMMYFUNCTION("""COMPUTED_VALUE"""),45845.9986111111)</f>
        <v/>
      </c>
      <c r="AL2750" s="6">
        <f>IFERROR(__xludf.DUMMYFUNCTION("""COMPUTED_VALUE"""),109395.1)</f>
        <v/>
      </c>
      <c r="AP2750" s="6">
        <f>AQ2750&amp;AR2750</f>
        <v/>
      </c>
      <c r="AQ2750" s="6">
        <f>YEAR(AS2750)</f>
        <v/>
      </c>
      <c r="AR2750" s="6">
        <f>MONTH(AS2750)</f>
        <v/>
      </c>
    </row>
    <row r="2751">
      <c r="B2751" s="6">
        <f>C2751&amp;D2751</f>
        <v/>
      </c>
      <c r="C2751" s="6">
        <f>YEAR(E2751)</f>
        <v/>
      </c>
      <c r="D2751" s="6">
        <f>MONTH(E2751)</f>
        <v/>
      </c>
      <c r="J2751" s="6">
        <f>K2751&amp;L2751</f>
        <v/>
      </c>
      <c r="K2751" s="6">
        <f>YEAR(M2751)</f>
        <v/>
      </c>
      <c r="L2751" s="6">
        <f>MONTH(M2751)</f>
        <v/>
      </c>
      <c r="R2751" s="6">
        <f>S2751&amp;T2751</f>
        <v/>
      </c>
      <c r="S2751" s="6">
        <f>YEAR(U2751)</f>
        <v/>
      </c>
      <c r="T2751" s="6">
        <f>MONTH(U2751)</f>
        <v/>
      </c>
      <c r="Z2751" s="6">
        <f>AA2751&amp;AB2751</f>
        <v/>
      </c>
      <c r="AA2751" s="6">
        <f>YEAR(AC2751)</f>
        <v/>
      </c>
      <c r="AB2751" s="6">
        <f>MONTH(AC2751)</f>
        <v/>
      </c>
      <c r="AC2751" s="267">
        <f>IFERROR(__xludf.DUMMYFUNCTION("""COMPUTED_VALUE"""),45909.9986111111)</f>
        <v/>
      </c>
      <c r="AD2751" s="6">
        <f>IFERROR(__xludf.DUMMYFUNCTION("""COMPUTED_VALUE"""),1387.25)</f>
        <v/>
      </c>
      <c r="AH2751" s="6">
        <f>AI2751&amp;AJ2751</f>
        <v/>
      </c>
      <c r="AI2751" s="6">
        <f>YEAR(AK2751)</f>
        <v/>
      </c>
      <c r="AJ2751" s="6">
        <f>MONTH(AK2751)</f>
        <v/>
      </c>
      <c r="AK2751" s="267">
        <f>IFERROR(__xludf.DUMMYFUNCTION("""COMPUTED_VALUE"""),45846.9986111111)</f>
        <v/>
      </c>
      <c r="AL2751" s="6">
        <f>IFERROR(__xludf.DUMMYFUNCTION("""COMPUTED_VALUE"""),107904.3)</f>
        <v/>
      </c>
      <c r="AP2751" s="6">
        <f>AQ2751&amp;AR2751</f>
        <v/>
      </c>
      <c r="AQ2751" s="6">
        <f>YEAR(AS2751)</f>
        <v/>
      </c>
      <c r="AR2751" s="6">
        <f>MONTH(AS2751)</f>
        <v/>
      </c>
    </row>
    <row r="2752">
      <c r="B2752" s="6">
        <f>C2752&amp;D2752</f>
        <v/>
      </c>
      <c r="C2752" s="6">
        <f>YEAR(E2752)</f>
        <v/>
      </c>
      <c r="D2752" s="6">
        <f>MONTH(E2752)</f>
        <v/>
      </c>
      <c r="J2752" s="6">
        <f>K2752&amp;L2752</f>
        <v/>
      </c>
      <c r="K2752" s="6">
        <f>YEAR(M2752)</f>
        <v/>
      </c>
      <c r="L2752" s="6">
        <f>MONTH(M2752)</f>
        <v/>
      </c>
      <c r="R2752" s="6">
        <f>S2752&amp;T2752</f>
        <v/>
      </c>
      <c r="S2752" s="6">
        <f>YEAR(U2752)</f>
        <v/>
      </c>
      <c r="T2752" s="6">
        <f>MONTH(U2752)</f>
        <v/>
      </c>
      <c r="Z2752" s="6">
        <f>AA2752&amp;AB2752</f>
        <v/>
      </c>
      <c r="AA2752" s="6">
        <f>YEAR(AC2752)</f>
        <v/>
      </c>
      <c r="AB2752" s="6">
        <f>MONTH(AC2752)</f>
        <v/>
      </c>
      <c r="AC2752" s="267">
        <f>IFERROR(__xludf.DUMMYFUNCTION("""COMPUTED_VALUE"""),45910.9986111111)</f>
        <v/>
      </c>
      <c r="AD2752" s="6">
        <f>IFERROR(__xludf.DUMMYFUNCTION("""COMPUTED_VALUE"""),1387.2)</f>
        <v/>
      </c>
      <c r="AH2752" s="6">
        <f>AI2752&amp;AJ2752</f>
        <v/>
      </c>
      <c r="AI2752" s="6">
        <f>YEAR(AK2752)</f>
        <v/>
      </c>
      <c r="AJ2752" s="6">
        <f>MONTH(AK2752)</f>
        <v/>
      </c>
      <c r="AK2752" s="267">
        <f>IFERROR(__xludf.DUMMYFUNCTION("""COMPUTED_VALUE"""),45847.9986111111)</f>
        <v/>
      </c>
      <c r="AL2752" s="6">
        <f>IFERROR(__xludf.DUMMYFUNCTION("""COMPUTED_VALUE"""),108395.8)</f>
        <v/>
      </c>
      <c r="AP2752" s="6">
        <f>AQ2752&amp;AR2752</f>
        <v/>
      </c>
      <c r="AQ2752" s="6">
        <f>YEAR(AS2752)</f>
        <v/>
      </c>
      <c r="AR2752" s="6">
        <f>MONTH(AS2752)</f>
        <v/>
      </c>
    </row>
    <row r="2753">
      <c r="B2753" s="6">
        <f>C2753&amp;D2753</f>
        <v/>
      </c>
      <c r="C2753" s="6">
        <f>YEAR(E2753)</f>
        <v/>
      </c>
      <c r="D2753" s="6">
        <f>MONTH(E2753)</f>
        <v/>
      </c>
      <c r="J2753" s="6">
        <f>K2753&amp;L2753</f>
        <v/>
      </c>
      <c r="K2753" s="6">
        <f>YEAR(M2753)</f>
        <v/>
      </c>
      <c r="L2753" s="6">
        <f>MONTH(M2753)</f>
        <v/>
      </c>
      <c r="R2753" s="6">
        <f>S2753&amp;T2753</f>
        <v/>
      </c>
      <c r="S2753" s="6">
        <f>YEAR(U2753)</f>
        <v/>
      </c>
      <c r="T2753" s="6">
        <f>MONTH(U2753)</f>
        <v/>
      </c>
      <c r="Z2753" s="6">
        <f>AA2753&amp;AB2753</f>
        <v/>
      </c>
      <c r="AA2753" s="6">
        <f>YEAR(AC2753)</f>
        <v/>
      </c>
      <c r="AB2753" s="6">
        <f>MONTH(AC2753)</f>
        <v/>
      </c>
      <c r="AC2753" s="267">
        <f>IFERROR(__xludf.DUMMYFUNCTION("""COMPUTED_VALUE"""),45911.9986111111)</f>
        <v/>
      </c>
      <c r="AD2753" s="6">
        <f>IFERROR(__xludf.DUMMYFUNCTION("""COMPUTED_VALUE"""),1389.5)</f>
        <v/>
      </c>
      <c r="AH2753" s="6">
        <f>AI2753&amp;AJ2753</f>
        <v/>
      </c>
      <c r="AI2753" s="6">
        <f>YEAR(AK2753)</f>
        <v/>
      </c>
      <c r="AJ2753" s="6">
        <f>MONTH(AK2753)</f>
        <v/>
      </c>
      <c r="AK2753" s="267">
        <f>IFERROR(__xludf.DUMMYFUNCTION("""COMPUTED_VALUE"""),45848.9986111111)</f>
        <v/>
      </c>
      <c r="AL2753" s="6">
        <f>IFERROR(__xludf.DUMMYFUNCTION("""COMPUTED_VALUE"""),111090.1)</f>
        <v/>
      </c>
      <c r="AP2753" s="6">
        <f>AQ2753&amp;AR2753</f>
        <v/>
      </c>
      <c r="AQ2753" s="6">
        <f>YEAR(AS2753)</f>
        <v/>
      </c>
      <c r="AR2753" s="6">
        <f>MONTH(AS2753)</f>
        <v/>
      </c>
    </row>
    <row r="2754">
      <c r="B2754" s="6">
        <f>C2754&amp;D2754</f>
        <v/>
      </c>
      <c r="C2754" s="6">
        <f>YEAR(E2754)</f>
        <v/>
      </c>
      <c r="D2754" s="6">
        <f>MONTH(E2754)</f>
        <v/>
      </c>
      <c r="J2754" s="6">
        <f>K2754&amp;L2754</f>
        <v/>
      </c>
      <c r="K2754" s="6">
        <f>YEAR(M2754)</f>
        <v/>
      </c>
      <c r="L2754" s="6">
        <f>MONTH(M2754)</f>
        <v/>
      </c>
      <c r="R2754" s="6">
        <f>S2754&amp;T2754</f>
        <v/>
      </c>
      <c r="S2754" s="6">
        <f>YEAR(U2754)</f>
        <v/>
      </c>
      <c r="T2754" s="6">
        <f>MONTH(U2754)</f>
        <v/>
      </c>
      <c r="Z2754" s="6">
        <f>AA2754&amp;AB2754</f>
        <v/>
      </c>
      <c r="AA2754" s="6">
        <f>YEAR(AC2754)</f>
        <v/>
      </c>
      <c r="AB2754" s="6">
        <f>MONTH(AC2754)</f>
        <v/>
      </c>
      <c r="AC2754" s="267">
        <f>IFERROR(__xludf.DUMMYFUNCTION("""COMPUTED_VALUE"""),45912.9986111111)</f>
        <v/>
      </c>
      <c r="AD2754" s="6">
        <f>IFERROR(__xludf.DUMMYFUNCTION("""COMPUTED_VALUE"""),1391.93)</f>
        <v/>
      </c>
      <c r="AH2754" s="6">
        <f>AI2754&amp;AJ2754</f>
        <v/>
      </c>
      <c r="AI2754" s="6">
        <f>YEAR(AK2754)</f>
        <v/>
      </c>
      <c r="AJ2754" s="6">
        <f>MONTH(AK2754)</f>
        <v/>
      </c>
      <c r="AK2754" s="267">
        <f>IFERROR(__xludf.DUMMYFUNCTION("""COMPUTED_VALUE"""),45849.9986111111)</f>
        <v/>
      </c>
      <c r="AL2754" s="6">
        <f>IFERROR(__xludf.DUMMYFUNCTION("""COMPUTED_VALUE"""),116768.2)</f>
        <v/>
      </c>
      <c r="AP2754" s="6">
        <f>AQ2754&amp;AR2754</f>
        <v/>
      </c>
      <c r="AQ2754" s="6">
        <f>YEAR(AS2754)</f>
        <v/>
      </c>
      <c r="AR2754" s="6">
        <f>MONTH(AS2754)</f>
        <v/>
      </c>
    </row>
    <row r="2755">
      <c r="B2755" s="6">
        <f>C2755&amp;D2755</f>
        <v/>
      </c>
      <c r="C2755" s="6">
        <f>YEAR(E2755)</f>
        <v/>
      </c>
      <c r="D2755" s="6">
        <f>MONTH(E2755)</f>
        <v/>
      </c>
      <c r="J2755" s="6">
        <f>K2755&amp;L2755</f>
        <v/>
      </c>
      <c r="K2755" s="6">
        <f>YEAR(M2755)</f>
        <v/>
      </c>
      <c r="L2755" s="6">
        <f>MONTH(M2755)</f>
        <v/>
      </c>
      <c r="R2755" s="6">
        <f>S2755&amp;T2755</f>
        <v/>
      </c>
      <c r="S2755" s="6">
        <f>YEAR(U2755)</f>
        <v/>
      </c>
      <c r="T2755" s="6">
        <f>MONTH(U2755)</f>
        <v/>
      </c>
      <c r="Z2755" s="6">
        <f>AA2755&amp;AB2755</f>
        <v/>
      </c>
      <c r="AA2755" s="6">
        <f>YEAR(AC2755)</f>
        <v/>
      </c>
      <c r="AB2755" s="6">
        <f>MONTH(AC2755)</f>
        <v/>
      </c>
      <c r="AC2755" s="267">
        <f>IFERROR(__xludf.DUMMYFUNCTION("""COMPUTED_VALUE"""),45913.9986111111)</f>
        <v/>
      </c>
      <c r="AD2755" s="6">
        <f>IFERROR(__xludf.DUMMYFUNCTION("""COMPUTED_VALUE"""),1391.03)</f>
        <v/>
      </c>
      <c r="AH2755" s="6">
        <f>AI2755&amp;AJ2755</f>
        <v/>
      </c>
      <c r="AI2755" s="6">
        <f>YEAR(AK2755)</f>
        <v/>
      </c>
      <c r="AJ2755" s="6">
        <f>MONTH(AK2755)</f>
        <v/>
      </c>
      <c r="AK2755" s="267">
        <f>IFERROR(__xludf.DUMMYFUNCTION("""COMPUTED_VALUE"""),45850.9986111111)</f>
        <v/>
      </c>
      <c r="AL2755" s="6">
        <f>IFERROR(__xludf.DUMMYFUNCTION("""COMPUTED_VALUE"""),117568.8)</f>
        <v/>
      </c>
      <c r="AP2755" s="6">
        <f>AQ2755&amp;AR2755</f>
        <v/>
      </c>
      <c r="AQ2755" s="6">
        <f>YEAR(AS2755)</f>
        <v/>
      </c>
      <c r="AR2755" s="6">
        <f>MONTH(AS2755)</f>
        <v/>
      </c>
    </row>
    <row r="2756">
      <c r="B2756" s="6">
        <f>C2756&amp;D2756</f>
        <v/>
      </c>
      <c r="C2756" s="6">
        <f>YEAR(E2756)</f>
        <v/>
      </c>
      <c r="D2756" s="6">
        <f>MONTH(E2756)</f>
        <v/>
      </c>
      <c r="J2756" s="6">
        <f>K2756&amp;L2756</f>
        <v/>
      </c>
      <c r="K2756" s="6">
        <f>YEAR(M2756)</f>
        <v/>
      </c>
      <c r="L2756" s="6">
        <f>MONTH(M2756)</f>
        <v/>
      </c>
      <c r="R2756" s="6">
        <f>S2756&amp;T2756</f>
        <v/>
      </c>
      <c r="S2756" s="6">
        <f>YEAR(U2756)</f>
        <v/>
      </c>
      <c r="T2756" s="6">
        <f>MONTH(U2756)</f>
        <v/>
      </c>
      <c r="Z2756" s="6">
        <f>AA2756&amp;AB2756</f>
        <v/>
      </c>
      <c r="AA2756" s="6">
        <f>YEAR(AC2756)</f>
        <v/>
      </c>
      <c r="AB2756" s="6">
        <f>MONTH(AC2756)</f>
        <v/>
      </c>
      <c r="AC2756" s="267">
        <f>IFERROR(__xludf.DUMMYFUNCTION("""COMPUTED_VALUE"""),45914.9986111111)</f>
        <v/>
      </c>
      <c r="AD2756" s="6">
        <f>IFERROR(__xludf.DUMMYFUNCTION("""COMPUTED_VALUE"""),1393.7)</f>
        <v/>
      </c>
      <c r="AH2756" s="6">
        <f>AI2756&amp;AJ2756</f>
        <v/>
      </c>
      <c r="AI2756" s="6">
        <f>YEAR(AK2756)</f>
        <v/>
      </c>
      <c r="AJ2756" s="6">
        <f>MONTH(AK2756)</f>
        <v/>
      </c>
      <c r="AK2756" s="267">
        <f>IFERROR(__xludf.DUMMYFUNCTION("""COMPUTED_VALUE"""),45851.9986111111)</f>
        <v/>
      </c>
      <c r="AL2756" s="6">
        <f>IFERROR(__xludf.DUMMYFUNCTION("""COMPUTED_VALUE"""),117603.5)</f>
        <v/>
      </c>
      <c r="AP2756" s="6">
        <f>AQ2756&amp;AR2756</f>
        <v/>
      </c>
      <c r="AQ2756" s="6">
        <f>YEAR(AS2756)</f>
        <v/>
      </c>
      <c r="AR2756" s="6">
        <f>MONTH(AS2756)</f>
        <v/>
      </c>
    </row>
    <row r="2757">
      <c r="B2757" s="6">
        <f>C2757&amp;D2757</f>
        <v/>
      </c>
      <c r="C2757" s="6">
        <f>YEAR(E2757)</f>
        <v/>
      </c>
      <c r="D2757" s="6">
        <f>MONTH(E2757)</f>
        <v/>
      </c>
      <c r="J2757" s="6">
        <f>K2757&amp;L2757</f>
        <v/>
      </c>
      <c r="K2757" s="6">
        <f>YEAR(M2757)</f>
        <v/>
      </c>
      <c r="L2757" s="6">
        <f>MONTH(M2757)</f>
        <v/>
      </c>
      <c r="R2757" s="6">
        <f>S2757&amp;T2757</f>
        <v/>
      </c>
      <c r="S2757" s="6">
        <f>YEAR(U2757)</f>
        <v/>
      </c>
      <c r="T2757" s="6">
        <f>MONTH(U2757)</f>
        <v/>
      </c>
      <c r="Z2757" s="6">
        <f>AA2757&amp;AB2757</f>
        <v/>
      </c>
      <c r="AA2757" s="6">
        <f>YEAR(AC2757)</f>
        <v/>
      </c>
      <c r="AB2757" s="6">
        <f>MONTH(AC2757)</f>
        <v/>
      </c>
      <c r="AC2757" s="267">
        <f>IFERROR(__xludf.DUMMYFUNCTION("""COMPUTED_VALUE"""),45915.9986111111)</f>
        <v/>
      </c>
      <c r="AD2757" s="6">
        <f>IFERROR(__xludf.DUMMYFUNCTION("""COMPUTED_VALUE"""),1385.01)</f>
        <v/>
      </c>
      <c r="AH2757" s="6">
        <f>AI2757&amp;AJ2757</f>
        <v/>
      </c>
      <c r="AI2757" s="6">
        <f>YEAR(AK2757)</f>
        <v/>
      </c>
      <c r="AJ2757" s="6">
        <f>MONTH(AK2757)</f>
        <v/>
      </c>
      <c r="AK2757" s="267">
        <f>IFERROR(__xludf.DUMMYFUNCTION("""COMPUTED_VALUE"""),45852.9986111111)</f>
        <v/>
      </c>
      <c r="AL2757" s="6">
        <f>IFERROR(__xludf.DUMMYFUNCTION("""COMPUTED_VALUE"""),120551.9)</f>
        <v/>
      </c>
      <c r="AP2757" s="6">
        <f>AQ2757&amp;AR2757</f>
        <v/>
      </c>
      <c r="AQ2757" s="6">
        <f>YEAR(AS2757)</f>
        <v/>
      </c>
      <c r="AR2757" s="6">
        <f>MONTH(AS2757)</f>
        <v/>
      </c>
    </row>
    <row r="2758">
      <c r="B2758" s="6">
        <f>C2758&amp;D2758</f>
        <v/>
      </c>
      <c r="C2758" s="6">
        <f>YEAR(E2758)</f>
        <v/>
      </c>
      <c r="D2758" s="6">
        <f>MONTH(E2758)</f>
        <v/>
      </c>
      <c r="J2758" s="6">
        <f>K2758&amp;L2758</f>
        <v/>
      </c>
      <c r="K2758" s="6">
        <f>YEAR(M2758)</f>
        <v/>
      </c>
      <c r="L2758" s="6">
        <f>MONTH(M2758)</f>
        <v/>
      </c>
      <c r="R2758" s="6">
        <f>S2758&amp;T2758</f>
        <v/>
      </c>
      <c r="S2758" s="6">
        <f>YEAR(U2758)</f>
        <v/>
      </c>
      <c r="T2758" s="6">
        <f>MONTH(U2758)</f>
        <v/>
      </c>
      <c r="Z2758" s="6">
        <f>AA2758&amp;AB2758</f>
        <v/>
      </c>
      <c r="AA2758" s="6">
        <f>YEAR(AC2758)</f>
        <v/>
      </c>
      <c r="AB2758" s="6">
        <f>MONTH(AC2758)</f>
        <v/>
      </c>
      <c r="AC2758" s="267">
        <f>IFERROR(__xludf.DUMMYFUNCTION("""COMPUTED_VALUE"""),45916.9986111111)</f>
        <v/>
      </c>
      <c r="AD2758" s="6">
        <f>IFERROR(__xludf.DUMMYFUNCTION("""COMPUTED_VALUE"""),1377.64)</f>
        <v/>
      </c>
      <c r="AH2758" s="6">
        <f>AI2758&amp;AJ2758</f>
        <v/>
      </c>
      <c r="AI2758" s="6">
        <f>YEAR(AK2758)</f>
        <v/>
      </c>
      <c r="AJ2758" s="6">
        <f>MONTH(AK2758)</f>
        <v/>
      </c>
      <c r="AK2758" s="267">
        <f>IFERROR(__xludf.DUMMYFUNCTION("""COMPUTED_VALUE"""),45853.9986111111)</f>
        <v/>
      </c>
      <c r="AL2758" s="6">
        <f>IFERROR(__xludf.DUMMYFUNCTION("""COMPUTED_VALUE"""),117226.1)</f>
        <v/>
      </c>
      <c r="AP2758" s="6">
        <f>AQ2758&amp;AR2758</f>
        <v/>
      </c>
      <c r="AQ2758" s="6">
        <f>YEAR(AS2758)</f>
        <v/>
      </c>
      <c r="AR2758" s="6">
        <f>MONTH(AS2758)</f>
        <v/>
      </c>
    </row>
    <row r="2759">
      <c r="B2759" s="6">
        <f>C2759&amp;D2759</f>
        <v/>
      </c>
      <c r="C2759" s="6">
        <f>YEAR(E2759)</f>
        <v/>
      </c>
      <c r="D2759" s="6">
        <f>MONTH(E2759)</f>
        <v/>
      </c>
      <c r="J2759" s="6">
        <f>K2759&amp;L2759</f>
        <v/>
      </c>
      <c r="K2759" s="6">
        <f>YEAR(M2759)</f>
        <v/>
      </c>
      <c r="L2759" s="6">
        <f>MONTH(M2759)</f>
        <v/>
      </c>
      <c r="R2759" s="6">
        <f>S2759&amp;T2759</f>
        <v/>
      </c>
      <c r="S2759" s="6">
        <f>YEAR(U2759)</f>
        <v/>
      </c>
      <c r="T2759" s="6">
        <f>MONTH(U2759)</f>
        <v/>
      </c>
      <c r="Z2759" s="6">
        <f>AA2759&amp;AB2759</f>
        <v/>
      </c>
      <c r="AA2759" s="6">
        <f>YEAR(AC2759)</f>
        <v/>
      </c>
      <c r="AB2759" s="6">
        <f>MONTH(AC2759)</f>
        <v/>
      </c>
      <c r="AC2759" s="267">
        <f>IFERROR(__xludf.DUMMYFUNCTION("""COMPUTED_VALUE"""),45917.9986111111)</f>
        <v/>
      </c>
      <c r="AD2759" s="6">
        <f>IFERROR(__xludf.DUMMYFUNCTION("""COMPUTED_VALUE"""),1378.69)</f>
        <v/>
      </c>
      <c r="AH2759" s="6">
        <f>AI2759&amp;AJ2759</f>
        <v/>
      </c>
      <c r="AI2759" s="6">
        <f>YEAR(AK2759)</f>
        <v/>
      </c>
      <c r="AJ2759" s="6">
        <f>MONTH(AK2759)</f>
        <v/>
      </c>
      <c r="AK2759" s="267">
        <f>IFERROR(__xludf.DUMMYFUNCTION("""COMPUTED_VALUE"""),45854.9986111111)</f>
        <v/>
      </c>
      <c r="AL2759" s="6">
        <f>IFERROR(__xludf.DUMMYFUNCTION("""COMPUTED_VALUE"""),117489.6)</f>
        <v/>
      </c>
      <c r="AP2759" s="6">
        <f>AQ2759&amp;AR2759</f>
        <v/>
      </c>
      <c r="AQ2759" s="6">
        <f>YEAR(AS2759)</f>
        <v/>
      </c>
      <c r="AR2759" s="6">
        <f>MONTH(AS2759)</f>
        <v/>
      </c>
    </row>
    <row r="2760">
      <c r="B2760" s="6">
        <f>C2760&amp;D2760</f>
        <v/>
      </c>
      <c r="C2760" s="6">
        <f>YEAR(E2760)</f>
        <v/>
      </c>
      <c r="D2760" s="6">
        <f>MONTH(E2760)</f>
        <v/>
      </c>
      <c r="J2760" s="6">
        <f>K2760&amp;L2760</f>
        <v/>
      </c>
      <c r="K2760" s="6">
        <f>YEAR(M2760)</f>
        <v/>
      </c>
      <c r="L2760" s="6">
        <f>MONTH(M2760)</f>
        <v/>
      </c>
      <c r="R2760" s="6">
        <f>S2760&amp;T2760</f>
        <v/>
      </c>
      <c r="S2760" s="6">
        <f>YEAR(U2760)</f>
        <v/>
      </c>
      <c r="T2760" s="6">
        <f>MONTH(U2760)</f>
        <v/>
      </c>
      <c r="Z2760" s="6">
        <f>AA2760&amp;AB2760</f>
        <v/>
      </c>
      <c r="AA2760" s="6">
        <f>YEAR(AC2760)</f>
        <v/>
      </c>
      <c r="AB2760" s="6">
        <f>MONTH(AC2760)</f>
        <v/>
      </c>
      <c r="AC2760" s="267">
        <f>IFERROR(__xludf.DUMMYFUNCTION("""COMPUTED_VALUE"""),45918.9986111111)</f>
        <v/>
      </c>
      <c r="AD2760" s="6">
        <f>IFERROR(__xludf.DUMMYFUNCTION("""COMPUTED_VALUE"""),1386.75)</f>
        <v/>
      </c>
      <c r="AH2760" s="6">
        <f>AI2760&amp;AJ2760</f>
        <v/>
      </c>
      <c r="AI2760" s="6">
        <f>YEAR(AK2760)</f>
        <v/>
      </c>
      <c r="AJ2760" s="6">
        <f>MONTH(AK2760)</f>
        <v/>
      </c>
      <c r="AK2760" s="267">
        <f>IFERROR(__xludf.DUMMYFUNCTION("""COMPUTED_VALUE"""),45855.9986111111)</f>
        <v/>
      </c>
      <c r="AL2760" s="6">
        <f>IFERROR(__xludf.DUMMYFUNCTION("""COMPUTED_VALUE"""),118070.4)</f>
        <v/>
      </c>
      <c r="AP2760" s="6">
        <f>AQ2760&amp;AR2760</f>
        <v/>
      </c>
      <c r="AQ2760" s="6">
        <f>YEAR(AS2760)</f>
        <v/>
      </c>
      <c r="AR2760" s="6">
        <f>MONTH(AS2760)</f>
        <v/>
      </c>
    </row>
    <row r="2761">
      <c r="B2761" s="6">
        <f>C2761&amp;D2761</f>
        <v/>
      </c>
      <c r="C2761" s="6">
        <f>YEAR(E2761)</f>
        <v/>
      </c>
      <c r="D2761" s="6">
        <f>MONTH(E2761)</f>
        <v/>
      </c>
      <c r="J2761" s="6">
        <f>K2761&amp;L2761</f>
        <v/>
      </c>
      <c r="K2761" s="6">
        <f>YEAR(M2761)</f>
        <v/>
      </c>
      <c r="L2761" s="6">
        <f>MONTH(M2761)</f>
        <v/>
      </c>
      <c r="R2761" s="6">
        <f>S2761&amp;T2761</f>
        <v/>
      </c>
      <c r="S2761" s="6">
        <f>YEAR(U2761)</f>
        <v/>
      </c>
      <c r="T2761" s="6">
        <f>MONTH(U2761)</f>
        <v/>
      </c>
      <c r="Z2761" s="6">
        <f>AA2761&amp;AB2761</f>
        <v/>
      </c>
      <c r="AA2761" s="6">
        <f>YEAR(AC2761)</f>
        <v/>
      </c>
      <c r="AB2761" s="6">
        <f>MONTH(AC2761)</f>
        <v/>
      </c>
      <c r="AC2761" s="267">
        <f>IFERROR(__xludf.DUMMYFUNCTION("""COMPUTED_VALUE"""),45919.9986111111)</f>
        <v/>
      </c>
      <c r="AD2761" s="6">
        <f>IFERROR(__xludf.DUMMYFUNCTION("""COMPUTED_VALUE"""),1396.13)</f>
        <v/>
      </c>
      <c r="AH2761" s="6">
        <f>AI2761&amp;AJ2761</f>
        <v/>
      </c>
      <c r="AI2761" s="6">
        <f>YEAR(AK2761)</f>
        <v/>
      </c>
      <c r="AJ2761" s="6">
        <f>MONTH(AK2761)</f>
        <v/>
      </c>
      <c r="AK2761" s="267">
        <f>IFERROR(__xludf.DUMMYFUNCTION("""COMPUTED_VALUE"""),45856.9986111111)</f>
        <v/>
      </c>
      <c r="AL2761" s="6">
        <f>IFERROR(__xludf.DUMMYFUNCTION("""COMPUTED_VALUE"""),120280.7)</f>
        <v/>
      </c>
      <c r="AP2761" s="6">
        <f>AQ2761&amp;AR2761</f>
        <v/>
      </c>
      <c r="AQ2761" s="6">
        <f>YEAR(AS2761)</f>
        <v/>
      </c>
      <c r="AR2761" s="6">
        <f>MONTH(AS2761)</f>
        <v/>
      </c>
    </row>
    <row r="2762">
      <c r="B2762" s="6">
        <f>C2762&amp;D2762</f>
        <v/>
      </c>
      <c r="C2762" s="6">
        <f>YEAR(E2762)</f>
        <v/>
      </c>
      <c r="D2762" s="6">
        <f>MONTH(E2762)</f>
        <v/>
      </c>
      <c r="J2762" s="6">
        <f>K2762&amp;L2762</f>
        <v/>
      </c>
      <c r="K2762" s="6">
        <f>YEAR(M2762)</f>
        <v/>
      </c>
      <c r="L2762" s="6">
        <f>MONTH(M2762)</f>
        <v/>
      </c>
      <c r="R2762" s="6">
        <f>S2762&amp;T2762</f>
        <v/>
      </c>
      <c r="S2762" s="6">
        <f>YEAR(U2762)</f>
        <v/>
      </c>
      <c r="T2762" s="6">
        <f>MONTH(U2762)</f>
        <v/>
      </c>
      <c r="Z2762" s="6">
        <f>AA2762&amp;AB2762</f>
        <v/>
      </c>
      <c r="AA2762" s="6">
        <f>YEAR(AC2762)</f>
        <v/>
      </c>
      <c r="AB2762" s="6">
        <f>MONTH(AC2762)</f>
        <v/>
      </c>
      <c r="AC2762" s="267">
        <f>IFERROR(__xludf.DUMMYFUNCTION("""COMPUTED_VALUE"""),45920.9986111111)</f>
        <v/>
      </c>
      <c r="AD2762" s="6">
        <f>IFERROR(__xludf.DUMMYFUNCTION("""COMPUTED_VALUE"""),1395.21)</f>
        <v/>
      </c>
      <c r="AH2762" s="6">
        <f>AI2762&amp;AJ2762</f>
        <v/>
      </c>
      <c r="AI2762" s="6">
        <f>YEAR(AK2762)</f>
        <v/>
      </c>
      <c r="AJ2762" s="6">
        <f>MONTH(AK2762)</f>
        <v/>
      </c>
      <c r="AK2762" s="267">
        <f>IFERROR(__xludf.DUMMYFUNCTION("""COMPUTED_VALUE"""),45857.9986111111)</f>
        <v/>
      </c>
      <c r="AL2762" s="6">
        <f>IFERROR(__xludf.DUMMYFUNCTION("""COMPUTED_VALUE"""),118353.3)</f>
        <v/>
      </c>
      <c r="AP2762" s="6">
        <f>AQ2762&amp;AR2762</f>
        <v/>
      </c>
      <c r="AQ2762" s="6">
        <f>YEAR(AS2762)</f>
        <v/>
      </c>
      <c r="AR2762" s="6">
        <f>MONTH(AS2762)</f>
        <v/>
      </c>
    </row>
    <row r="2763">
      <c r="B2763" s="6">
        <f>C2763&amp;D2763</f>
        <v/>
      </c>
      <c r="C2763" s="6">
        <f>YEAR(E2763)</f>
        <v/>
      </c>
      <c r="D2763" s="6">
        <f>MONTH(E2763)</f>
        <v/>
      </c>
      <c r="J2763" s="6">
        <f>K2763&amp;L2763</f>
        <v/>
      </c>
      <c r="K2763" s="6">
        <f>YEAR(M2763)</f>
        <v/>
      </c>
      <c r="L2763" s="6">
        <f>MONTH(M2763)</f>
        <v/>
      </c>
      <c r="R2763" s="6">
        <f>S2763&amp;T2763</f>
        <v/>
      </c>
      <c r="S2763" s="6">
        <f>YEAR(U2763)</f>
        <v/>
      </c>
      <c r="T2763" s="6">
        <f>MONTH(U2763)</f>
        <v/>
      </c>
      <c r="Z2763" s="6">
        <f>AA2763&amp;AB2763</f>
        <v/>
      </c>
      <c r="AA2763" s="6">
        <f>YEAR(AC2763)</f>
        <v/>
      </c>
      <c r="AB2763" s="6">
        <f>MONTH(AC2763)</f>
        <v/>
      </c>
      <c r="AC2763" s="267">
        <f>IFERROR(__xludf.DUMMYFUNCTION("""COMPUTED_VALUE"""),45921.9986111111)</f>
        <v/>
      </c>
      <c r="AD2763" s="6">
        <f>IFERROR(__xludf.DUMMYFUNCTION("""COMPUTED_VALUE"""),1396.23)</f>
        <v/>
      </c>
      <c r="AH2763" s="6">
        <f>AI2763&amp;AJ2763</f>
        <v/>
      </c>
      <c r="AI2763" s="6">
        <f>YEAR(AK2763)</f>
        <v/>
      </c>
      <c r="AJ2763" s="6">
        <f>MONTH(AK2763)</f>
        <v/>
      </c>
      <c r="AK2763" s="267">
        <f>IFERROR(__xludf.DUMMYFUNCTION("""COMPUTED_VALUE"""),45858.9986111111)</f>
        <v/>
      </c>
      <c r="AL2763" s="6">
        <f>IFERROR(__xludf.DUMMYFUNCTION("""COMPUTED_VALUE"""),117985.7)</f>
        <v/>
      </c>
      <c r="AP2763" s="6">
        <f>AQ2763&amp;AR2763</f>
        <v/>
      </c>
      <c r="AQ2763" s="6">
        <f>YEAR(AS2763)</f>
        <v/>
      </c>
      <c r="AR2763" s="6">
        <f>MONTH(AS2763)</f>
        <v/>
      </c>
    </row>
    <row r="2764">
      <c r="B2764" s="6">
        <f>C2764&amp;D2764</f>
        <v/>
      </c>
      <c r="C2764" s="6">
        <f>YEAR(E2764)</f>
        <v/>
      </c>
      <c r="D2764" s="6">
        <f>MONTH(E2764)</f>
        <v/>
      </c>
      <c r="J2764" s="6">
        <f>K2764&amp;L2764</f>
        <v/>
      </c>
      <c r="K2764" s="6">
        <f>YEAR(M2764)</f>
        <v/>
      </c>
      <c r="L2764" s="6">
        <f>MONTH(M2764)</f>
        <v/>
      </c>
      <c r="R2764" s="6">
        <f>S2764&amp;T2764</f>
        <v/>
      </c>
      <c r="S2764" s="6">
        <f>YEAR(U2764)</f>
        <v/>
      </c>
      <c r="T2764" s="6">
        <f>MONTH(U2764)</f>
        <v/>
      </c>
      <c r="Z2764" s="6">
        <f>AA2764&amp;AB2764</f>
        <v/>
      </c>
      <c r="AA2764" s="6">
        <f>YEAR(AC2764)</f>
        <v/>
      </c>
      <c r="AB2764" s="6">
        <f>MONTH(AC2764)</f>
        <v/>
      </c>
      <c r="AC2764" s="267">
        <f>IFERROR(__xludf.DUMMYFUNCTION("""COMPUTED_VALUE"""),45922.9986111111)</f>
        <v/>
      </c>
      <c r="AD2764" s="6">
        <f>IFERROR(__xludf.DUMMYFUNCTION("""COMPUTED_VALUE"""),1389.39)</f>
        <v/>
      </c>
      <c r="AH2764" s="6">
        <f>AI2764&amp;AJ2764</f>
        <v/>
      </c>
      <c r="AI2764" s="6">
        <f>YEAR(AK2764)</f>
        <v/>
      </c>
      <c r="AJ2764" s="6">
        <f>MONTH(AK2764)</f>
        <v/>
      </c>
      <c r="AK2764" s="267">
        <f>IFERROR(__xludf.DUMMYFUNCTION("""COMPUTED_VALUE"""),45859.9986111111)</f>
        <v/>
      </c>
      <c r="AL2764" s="6">
        <f>IFERROR(__xludf.DUMMYFUNCTION("""COMPUTED_VALUE"""),118429.2)</f>
        <v/>
      </c>
      <c r="AP2764" s="6">
        <f>AQ2764&amp;AR2764</f>
        <v/>
      </c>
      <c r="AQ2764" s="6">
        <f>YEAR(AS2764)</f>
        <v/>
      </c>
      <c r="AR2764" s="6">
        <f>MONTH(AS2764)</f>
        <v/>
      </c>
    </row>
    <row r="2765">
      <c r="B2765" s="6">
        <f>C2765&amp;D2765</f>
        <v/>
      </c>
      <c r="C2765" s="6">
        <f>YEAR(E2765)</f>
        <v/>
      </c>
      <c r="D2765" s="6">
        <f>MONTH(E2765)</f>
        <v/>
      </c>
      <c r="J2765" s="6">
        <f>K2765&amp;L2765</f>
        <v/>
      </c>
      <c r="K2765" s="6">
        <f>YEAR(M2765)</f>
        <v/>
      </c>
      <c r="L2765" s="6">
        <f>MONTH(M2765)</f>
        <v/>
      </c>
      <c r="R2765" s="6">
        <f>S2765&amp;T2765</f>
        <v/>
      </c>
      <c r="S2765" s="6">
        <f>YEAR(U2765)</f>
        <v/>
      </c>
      <c r="T2765" s="6">
        <f>MONTH(U2765)</f>
        <v/>
      </c>
      <c r="Z2765" s="6">
        <f>AA2765&amp;AB2765</f>
        <v/>
      </c>
      <c r="AA2765" s="6">
        <f>YEAR(AC2765)</f>
        <v/>
      </c>
      <c r="AB2765" s="6">
        <f>MONTH(AC2765)</f>
        <v/>
      </c>
      <c r="AC2765" s="267">
        <f>IFERROR(__xludf.DUMMYFUNCTION("""COMPUTED_VALUE"""),45923.9986111111)</f>
        <v/>
      </c>
      <c r="AD2765" s="6">
        <f>IFERROR(__xludf.DUMMYFUNCTION("""COMPUTED_VALUE"""),1391.85)</f>
        <v/>
      </c>
      <c r="AH2765" s="6">
        <f>AI2765&amp;AJ2765</f>
        <v/>
      </c>
      <c r="AI2765" s="6">
        <f>YEAR(AK2765)</f>
        <v/>
      </c>
      <c r="AJ2765" s="6">
        <f>MONTH(AK2765)</f>
        <v/>
      </c>
      <c r="AK2765" s="267">
        <f>IFERROR(__xludf.DUMMYFUNCTION("""COMPUTED_VALUE"""),45860.9986111111)</f>
        <v/>
      </c>
      <c r="AL2765" s="6">
        <f>IFERROR(__xludf.DUMMYFUNCTION("""COMPUTED_VALUE"""),117213.8)</f>
        <v/>
      </c>
      <c r="AP2765" s="6">
        <f>AQ2765&amp;AR2765</f>
        <v/>
      </c>
      <c r="AQ2765" s="6">
        <f>YEAR(AS2765)</f>
        <v/>
      </c>
      <c r="AR2765" s="6">
        <f>MONTH(AS2765)</f>
        <v/>
      </c>
    </row>
    <row r="2766">
      <c r="B2766" s="6">
        <f>C2766&amp;D2766</f>
        <v/>
      </c>
      <c r="C2766" s="6">
        <f>YEAR(E2766)</f>
        <v/>
      </c>
      <c r="D2766" s="6">
        <f>MONTH(E2766)</f>
        <v/>
      </c>
      <c r="J2766" s="6">
        <f>K2766&amp;L2766</f>
        <v/>
      </c>
      <c r="K2766" s="6">
        <f>YEAR(M2766)</f>
        <v/>
      </c>
      <c r="L2766" s="6">
        <f>MONTH(M2766)</f>
        <v/>
      </c>
      <c r="R2766" s="6">
        <f>S2766&amp;T2766</f>
        <v/>
      </c>
      <c r="S2766" s="6">
        <f>YEAR(U2766)</f>
        <v/>
      </c>
      <c r="T2766" s="6">
        <f>MONTH(U2766)</f>
        <v/>
      </c>
      <c r="Z2766" s="6">
        <f>AA2766&amp;AB2766</f>
        <v/>
      </c>
      <c r="AA2766" s="6">
        <f>YEAR(AC2766)</f>
        <v/>
      </c>
      <c r="AB2766" s="6">
        <f>MONTH(AC2766)</f>
        <v/>
      </c>
      <c r="AC2766" s="267">
        <f>IFERROR(__xludf.DUMMYFUNCTION("""COMPUTED_VALUE"""),45924.9986111111)</f>
        <v/>
      </c>
      <c r="AD2766" s="6">
        <f>IFERROR(__xludf.DUMMYFUNCTION("""COMPUTED_VALUE"""),1403.65)</f>
        <v/>
      </c>
      <c r="AH2766" s="6">
        <f>AI2766&amp;AJ2766</f>
        <v/>
      </c>
      <c r="AI2766" s="6">
        <f>YEAR(AK2766)</f>
        <v/>
      </c>
      <c r="AJ2766" s="6">
        <f>MONTH(AK2766)</f>
        <v/>
      </c>
      <c r="AK2766" s="267">
        <f>IFERROR(__xludf.DUMMYFUNCTION("""COMPUTED_VALUE"""),45861.9986111111)</f>
        <v/>
      </c>
      <c r="AL2766" s="6">
        <f>IFERROR(__xludf.DUMMYFUNCTION("""COMPUTED_VALUE"""),118637.6)</f>
        <v/>
      </c>
      <c r="AP2766" s="6">
        <f>AQ2766&amp;AR2766</f>
        <v/>
      </c>
      <c r="AQ2766" s="6">
        <f>YEAR(AS2766)</f>
        <v/>
      </c>
      <c r="AR2766" s="6">
        <f>MONTH(AS2766)</f>
        <v/>
      </c>
    </row>
    <row r="2767">
      <c r="B2767" s="6">
        <f>C2767&amp;D2767</f>
        <v/>
      </c>
      <c r="C2767" s="6">
        <f>YEAR(E2767)</f>
        <v/>
      </c>
      <c r="D2767" s="6">
        <f>MONTH(E2767)</f>
        <v/>
      </c>
      <c r="J2767" s="6">
        <f>K2767&amp;L2767</f>
        <v/>
      </c>
      <c r="K2767" s="6">
        <f>YEAR(M2767)</f>
        <v/>
      </c>
      <c r="L2767" s="6">
        <f>MONTH(M2767)</f>
        <v/>
      </c>
      <c r="R2767" s="6">
        <f>S2767&amp;T2767</f>
        <v/>
      </c>
      <c r="S2767" s="6">
        <f>YEAR(U2767)</f>
        <v/>
      </c>
      <c r="T2767" s="6">
        <f>MONTH(U2767)</f>
        <v/>
      </c>
      <c r="Z2767" s="6">
        <f>AA2767&amp;AB2767</f>
        <v/>
      </c>
      <c r="AA2767" s="6">
        <f>YEAR(AC2767)</f>
        <v/>
      </c>
      <c r="AB2767" s="6">
        <f>MONTH(AC2767)</f>
        <v/>
      </c>
      <c r="AC2767" s="267">
        <f>IFERROR(__xludf.DUMMYFUNCTION("""COMPUTED_VALUE"""),45926.9986111111)</f>
        <v/>
      </c>
      <c r="AD2767" s="6">
        <f>IFERROR(__xludf.DUMMYFUNCTION("""COMPUTED_VALUE"""),1408.6)</f>
        <v/>
      </c>
      <c r="AH2767" s="6">
        <f>AI2767&amp;AJ2767</f>
        <v/>
      </c>
      <c r="AI2767" s="6">
        <f>YEAR(AK2767)</f>
        <v/>
      </c>
      <c r="AJ2767" s="6">
        <f>MONTH(AK2767)</f>
        <v/>
      </c>
      <c r="AK2767" s="267">
        <f>IFERROR(__xludf.DUMMYFUNCTION("""COMPUTED_VALUE"""),45862.9986111111)</f>
        <v/>
      </c>
      <c r="AL2767" s="6">
        <f>IFERROR(__xludf.DUMMYFUNCTION("""COMPUTED_VALUE"""),118580.6)</f>
        <v/>
      </c>
      <c r="AP2767" s="6">
        <f>AQ2767&amp;AR2767</f>
        <v/>
      </c>
      <c r="AQ2767" s="6">
        <f>YEAR(AS2767)</f>
        <v/>
      </c>
      <c r="AR2767" s="6">
        <f>MONTH(AS2767)</f>
        <v/>
      </c>
    </row>
    <row r="2768">
      <c r="B2768" s="6">
        <f>C2768&amp;D2768</f>
        <v/>
      </c>
      <c r="C2768" s="6">
        <f>YEAR(E2768)</f>
        <v/>
      </c>
      <c r="D2768" s="6">
        <f>MONTH(E2768)</f>
        <v/>
      </c>
      <c r="J2768" s="6">
        <f>K2768&amp;L2768</f>
        <v/>
      </c>
      <c r="K2768" s="6">
        <f>YEAR(M2768)</f>
        <v/>
      </c>
      <c r="L2768" s="6">
        <f>MONTH(M2768)</f>
        <v/>
      </c>
      <c r="R2768" s="6">
        <f>S2768&amp;T2768</f>
        <v/>
      </c>
      <c r="S2768" s="6">
        <f>YEAR(U2768)</f>
        <v/>
      </c>
      <c r="T2768" s="6">
        <f>MONTH(U2768)</f>
        <v/>
      </c>
      <c r="Z2768" s="6">
        <f>AA2768&amp;AB2768</f>
        <v/>
      </c>
      <c r="AA2768" s="6">
        <f>YEAR(AC2768)</f>
        <v/>
      </c>
      <c r="AB2768" s="6">
        <f>MONTH(AC2768)</f>
        <v/>
      </c>
      <c r="AC2768" s="267">
        <f>IFERROR(__xludf.DUMMYFUNCTION("""COMPUTED_VALUE"""),45927.9986111111)</f>
        <v/>
      </c>
      <c r="AD2768" s="6">
        <f>IFERROR(__xludf.DUMMYFUNCTION("""COMPUTED_VALUE"""),1408.2)</f>
        <v/>
      </c>
      <c r="AH2768" s="6">
        <f>AI2768&amp;AJ2768</f>
        <v/>
      </c>
      <c r="AI2768" s="6">
        <f>YEAR(AK2768)</f>
        <v/>
      </c>
      <c r="AJ2768" s="6">
        <f>MONTH(AK2768)</f>
        <v/>
      </c>
      <c r="AK2768" s="267">
        <f>IFERROR(__xludf.DUMMYFUNCTION("""COMPUTED_VALUE"""),45863.9986111111)</f>
        <v/>
      </c>
      <c r="AL2768" s="6">
        <f>IFERROR(__xludf.DUMMYFUNCTION("""COMPUTED_VALUE"""),115420.2)</f>
        <v/>
      </c>
      <c r="AP2768" s="6">
        <f>AQ2768&amp;AR2768</f>
        <v/>
      </c>
      <c r="AQ2768" s="6">
        <f>YEAR(AS2768)</f>
        <v/>
      </c>
      <c r="AR2768" s="6">
        <f>MONTH(AS2768)</f>
        <v/>
      </c>
    </row>
    <row r="2769">
      <c r="B2769" s="6">
        <f>C2769&amp;D2769</f>
        <v/>
      </c>
      <c r="C2769" s="6">
        <f>YEAR(E2769)</f>
        <v/>
      </c>
      <c r="D2769" s="6">
        <f>MONTH(E2769)</f>
        <v/>
      </c>
      <c r="J2769" s="6">
        <f>K2769&amp;L2769</f>
        <v/>
      </c>
      <c r="K2769" s="6">
        <f>YEAR(M2769)</f>
        <v/>
      </c>
      <c r="L2769" s="6">
        <f>MONTH(M2769)</f>
        <v/>
      </c>
      <c r="R2769" s="6">
        <f>S2769&amp;T2769</f>
        <v/>
      </c>
      <c r="S2769" s="6">
        <f>YEAR(U2769)</f>
        <v/>
      </c>
      <c r="T2769" s="6">
        <f>MONTH(U2769)</f>
        <v/>
      </c>
      <c r="Z2769" s="6">
        <f>AA2769&amp;AB2769</f>
        <v/>
      </c>
      <c r="AA2769" s="6">
        <f>YEAR(AC2769)</f>
        <v/>
      </c>
      <c r="AB2769" s="6">
        <f>MONTH(AC2769)</f>
        <v/>
      </c>
      <c r="AC2769" s="267">
        <f>IFERROR(__xludf.DUMMYFUNCTION("""COMPUTED_VALUE"""),45928.9986111111)</f>
        <v/>
      </c>
      <c r="AD2769" s="6">
        <f>IFERROR(__xludf.DUMMYFUNCTION("""COMPUTED_VALUE"""),1408.71)</f>
        <v/>
      </c>
      <c r="AH2769" s="6">
        <f>AI2769&amp;AJ2769</f>
        <v/>
      </c>
      <c r="AI2769" s="6">
        <f>YEAR(AK2769)</f>
        <v/>
      </c>
      <c r="AJ2769" s="6">
        <f>MONTH(AK2769)</f>
        <v/>
      </c>
      <c r="AK2769" s="267">
        <f>IFERROR(__xludf.DUMMYFUNCTION("""COMPUTED_VALUE"""),45864.9986111111)</f>
        <v/>
      </c>
      <c r="AL2769" s="6">
        <f>IFERROR(__xludf.DUMMYFUNCTION("""COMPUTED_VALUE"""),117570.6)</f>
        <v/>
      </c>
      <c r="AP2769" s="6">
        <f>AQ2769&amp;AR2769</f>
        <v/>
      </c>
      <c r="AQ2769" s="6">
        <f>YEAR(AS2769)</f>
        <v/>
      </c>
      <c r="AR2769" s="6">
        <f>MONTH(AS2769)</f>
        <v/>
      </c>
    </row>
    <row r="2770">
      <c r="B2770" s="6">
        <f>C2770&amp;D2770</f>
        <v/>
      </c>
      <c r="C2770" s="6">
        <f>YEAR(E2770)</f>
        <v/>
      </c>
      <c r="D2770" s="6">
        <f>MONTH(E2770)</f>
        <v/>
      </c>
      <c r="J2770" s="6">
        <f>K2770&amp;L2770</f>
        <v/>
      </c>
      <c r="K2770" s="6">
        <f>YEAR(M2770)</f>
        <v/>
      </c>
      <c r="L2770" s="6">
        <f>MONTH(M2770)</f>
        <v/>
      </c>
      <c r="R2770" s="6">
        <f>S2770&amp;T2770</f>
        <v/>
      </c>
      <c r="S2770" s="6">
        <f>YEAR(U2770)</f>
        <v/>
      </c>
      <c r="T2770" s="6">
        <f>MONTH(U2770)</f>
        <v/>
      </c>
      <c r="Z2770" s="6">
        <f>AA2770&amp;AB2770</f>
        <v/>
      </c>
      <c r="AA2770" s="6">
        <f>YEAR(AC2770)</f>
        <v/>
      </c>
      <c r="AB2770" s="6">
        <f>MONTH(AC2770)</f>
        <v/>
      </c>
      <c r="AC2770" s="267">
        <f>IFERROR(__xludf.DUMMYFUNCTION("""COMPUTED_VALUE"""),45929.9986111111)</f>
        <v/>
      </c>
      <c r="AD2770" s="6">
        <f>IFERROR(__xludf.DUMMYFUNCTION("""COMPUTED_VALUE"""),1399.33)</f>
        <v/>
      </c>
      <c r="AH2770" s="6">
        <f>AI2770&amp;AJ2770</f>
        <v/>
      </c>
      <c r="AI2770" s="6">
        <f>YEAR(AK2770)</f>
        <v/>
      </c>
      <c r="AJ2770" s="6">
        <f>MONTH(AK2770)</f>
        <v/>
      </c>
      <c r="AK2770" s="267">
        <f>IFERROR(__xludf.DUMMYFUNCTION("""COMPUTED_VALUE"""),45865.9986111111)</f>
        <v/>
      </c>
      <c r="AL2770" s="6">
        <f>IFERROR(__xludf.DUMMYFUNCTION("""COMPUTED_VALUE"""),118208.3)</f>
        <v/>
      </c>
      <c r="AP2770" s="6">
        <f>AQ2770&amp;AR2770</f>
        <v/>
      </c>
      <c r="AQ2770" s="6">
        <f>YEAR(AS2770)</f>
        <v/>
      </c>
      <c r="AR2770" s="6">
        <f>MONTH(AS2770)</f>
        <v/>
      </c>
    </row>
    <row r="2771">
      <c r="B2771" s="6">
        <f>C2771&amp;D2771</f>
        <v/>
      </c>
      <c r="C2771" s="6">
        <f>YEAR(E2771)</f>
        <v/>
      </c>
      <c r="D2771" s="6">
        <f>MONTH(E2771)</f>
        <v/>
      </c>
      <c r="J2771" s="6">
        <f>K2771&amp;L2771</f>
        <v/>
      </c>
      <c r="K2771" s="6">
        <f>YEAR(M2771)</f>
        <v/>
      </c>
      <c r="L2771" s="6">
        <f>MONTH(M2771)</f>
        <v/>
      </c>
      <c r="R2771" s="6">
        <f>S2771&amp;T2771</f>
        <v/>
      </c>
      <c r="S2771" s="6">
        <f>YEAR(U2771)</f>
        <v/>
      </c>
      <c r="T2771" s="6">
        <f>MONTH(U2771)</f>
        <v/>
      </c>
      <c r="Z2771" s="6">
        <f>AA2771&amp;AB2771</f>
        <v/>
      </c>
      <c r="AA2771" s="6">
        <f>YEAR(AC2771)</f>
        <v/>
      </c>
      <c r="AB2771" s="6">
        <f>MONTH(AC2771)</f>
        <v/>
      </c>
      <c r="AC2771" s="267">
        <f>IFERROR(__xludf.DUMMYFUNCTION("""COMPUTED_VALUE"""),45930.9986111111)</f>
        <v/>
      </c>
      <c r="AD2771" s="6">
        <f>IFERROR(__xludf.DUMMYFUNCTION("""COMPUTED_VALUE"""),1403.15)</f>
        <v/>
      </c>
      <c r="AH2771" s="6">
        <f>AI2771&amp;AJ2771</f>
        <v/>
      </c>
      <c r="AI2771" s="6">
        <f>YEAR(AK2771)</f>
        <v/>
      </c>
      <c r="AJ2771" s="6">
        <f>MONTH(AK2771)</f>
        <v/>
      </c>
      <c r="AK2771" s="267">
        <f>IFERROR(__xludf.DUMMYFUNCTION("""COMPUTED_VALUE"""),45866.9986111111)</f>
        <v/>
      </c>
      <c r="AL2771" s="6">
        <f>IFERROR(__xludf.DUMMYFUNCTION("""COMPUTED_VALUE"""),119283.7)</f>
        <v/>
      </c>
      <c r="AP2771" s="6">
        <f>AQ2771&amp;AR2771</f>
        <v/>
      </c>
      <c r="AQ2771" s="6">
        <f>YEAR(AS2771)</f>
        <v/>
      </c>
      <c r="AR2771" s="6">
        <f>MONTH(AS2771)</f>
        <v/>
      </c>
    </row>
    <row r="2772">
      <c r="B2772" s="6">
        <f>C2772&amp;D2772</f>
        <v/>
      </c>
      <c r="C2772" s="6">
        <f>YEAR(E2772)</f>
        <v/>
      </c>
      <c r="D2772" s="6">
        <f>MONTH(E2772)</f>
        <v/>
      </c>
      <c r="J2772" s="6">
        <f>K2772&amp;L2772</f>
        <v/>
      </c>
      <c r="K2772" s="6">
        <f>YEAR(M2772)</f>
        <v/>
      </c>
      <c r="L2772" s="6">
        <f>MONTH(M2772)</f>
        <v/>
      </c>
      <c r="R2772" s="6">
        <f>S2772&amp;T2772</f>
        <v/>
      </c>
      <c r="S2772" s="6">
        <f>YEAR(U2772)</f>
        <v/>
      </c>
      <c r="T2772" s="6">
        <f>MONTH(U2772)</f>
        <v/>
      </c>
      <c r="Z2772" s="6">
        <f>AA2772&amp;AB2772</f>
        <v/>
      </c>
      <c r="AA2772" s="6">
        <f>YEAR(AC2772)</f>
        <v/>
      </c>
      <c r="AB2772" s="6">
        <f>MONTH(AC2772)</f>
        <v/>
      </c>
      <c r="AC2772" s="267">
        <f>IFERROR(__xludf.DUMMYFUNCTION("""COMPUTED_VALUE"""),45931.9986111111)</f>
        <v/>
      </c>
      <c r="AD2772" s="6">
        <f>IFERROR(__xludf.DUMMYFUNCTION("""COMPUTED_VALUE"""),1401.82)</f>
        <v/>
      </c>
      <c r="AH2772" s="6">
        <f>AI2772&amp;AJ2772</f>
        <v/>
      </c>
      <c r="AI2772" s="6">
        <f>YEAR(AK2772)</f>
        <v/>
      </c>
      <c r="AJ2772" s="6">
        <f>MONTH(AK2772)</f>
        <v/>
      </c>
      <c r="AK2772" s="267">
        <f>IFERROR(__xludf.DUMMYFUNCTION("""COMPUTED_VALUE"""),45867.9986111111)</f>
        <v/>
      </c>
      <c r="AL2772" s="6">
        <f>IFERROR(__xludf.DUMMYFUNCTION("""COMPUTED_VALUE"""),118757.1)</f>
        <v/>
      </c>
      <c r="AP2772" s="6">
        <f>AQ2772&amp;AR2772</f>
        <v/>
      </c>
      <c r="AQ2772" s="6">
        <f>YEAR(AS2772)</f>
        <v/>
      </c>
      <c r="AR2772" s="6">
        <f>MONTH(AS2772)</f>
        <v/>
      </c>
    </row>
    <row r="2773">
      <c r="B2773" s="6">
        <f>C2773&amp;D2773</f>
        <v/>
      </c>
      <c r="C2773" s="6">
        <f>YEAR(E2773)</f>
        <v/>
      </c>
      <c r="D2773" s="6">
        <f>MONTH(E2773)</f>
        <v/>
      </c>
      <c r="J2773" s="6">
        <f>K2773&amp;L2773</f>
        <v/>
      </c>
      <c r="K2773" s="6">
        <f>YEAR(M2773)</f>
        <v/>
      </c>
      <c r="L2773" s="6">
        <f>MONTH(M2773)</f>
        <v/>
      </c>
      <c r="R2773" s="6">
        <f>S2773&amp;T2773</f>
        <v/>
      </c>
      <c r="S2773" s="6">
        <f>YEAR(U2773)</f>
        <v/>
      </c>
      <c r="T2773" s="6">
        <f>MONTH(U2773)</f>
        <v/>
      </c>
      <c r="Z2773" s="6">
        <f>AA2773&amp;AB2773</f>
        <v/>
      </c>
      <c r="AA2773" s="6">
        <f>YEAR(AC2773)</f>
        <v/>
      </c>
      <c r="AB2773" s="6">
        <f>MONTH(AC2773)</f>
        <v/>
      </c>
      <c r="AC2773" s="267">
        <f>IFERROR(__xludf.DUMMYFUNCTION("""COMPUTED_VALUE"""),45932.9986111111)</f>
        <v/>
      </c>
      <c r="AD2773" s="6">
        <f>IFERROR(__xludf.DUMMYFUNCTION("""COMPUTED_VALUE"""),1405.63)</f>
        <v/>
      </c>
      <c r="AH2773" s="6">
        <f>AI2773&amp;AJ2773</f>
        <v/>
      </c>
      <c r="AI2773" s="6">
        <f>YEAR(AK2773)</f>
        <v/>
      </c>
      <c r="AJ2773" s="6">
        <f>MONTH(AK2773)</f>
        <v/>
      </c>
      <c r="AK2773" s="267">
        <f>IFERROR(__xludf.DUMMYFUNCTION("""COMPUTED_VALUE"""),45868.9986111111)</f>
        <v/>
      </c>
      <c r="AL2773" s="6">
        <f>IFERROR(__xludf.DUMMYFUNCTION("""COMPUTED_VALUE"""),118176.2)</f>
        <v/>
      </c>
      <c r="AP2773" s="6">
        <f>AQ2773&amp;AR2773</f>
        <v/>
      </c>
      <c r="AQ2773" s="6">
        <f>YEAR(AS2773)</f>
        <v/>
      </c>
      <c r="AR2773" s="6">
        <f>MONTH(AS2773)</f>
        <v/>
      </c>
    </row>
    <row r="2774">
      <c r="B2774" s="6">
        <f>C2774&amp;D2774</f>
        <v/>
      </c>
      <c r="C2774" s="6">
        <f>YEAR(E2774)</f>
        <v/>
      </c>
      <c r="D2774" s="6">
        <f>MONTH(E2774)</f>
        <v/>
      </c>
      <c r="J2774" s="6">
        <f>K2774&amp;L2774</f>
        <v/>
      </c>
      <c r="K2774" s="6">
        <f>YEAR(M2774)</f>
        <v/>
      </c>
      <c r="L2774" s="6">
        <f>MONTH(M2774)</f>
        <v/>
      </c>
      <c r="R2774" s="6">
        <f>S2774&amp;T2774</f>
        <v/>
      </c>
      <c r="S2774" s="6">
        <f>YEAR(U2774)</f>
        <v/>
      </c>
      <c r="T2774" s="6">
        <f>MONTH(U2774)</f>
        <v/>
      </c>
      <c r="Z2774" s="6">
        <f>AA2774&amp;AB2774</f>
        <v/>
      </c>
      <c r="AA2774" s="6">
        <f>YEAR(AC2774)</f>
        <v/>
      </c>
      <c r="AB2774" s="6">
        <f>MONTH(AC2774)</f>
        <v/>
      </c>
      <c r="AC2774" s="267">
        <f>IFERROR(__xludf.DUMMYFUNCTION("""COMPUTED_VALUE"""),45933.9986111111)</f>
        <v/>
      </c>
      <c r="AD2774" s="6">
        <f>IFERROR(__xludf.DUMMYFUNCTION("""COMPUTED_VALUE"""),1406.47)</f>
        <v/>
      </c>
      <c r="AH2774" s="6">
        <f>AI2774&amp;AJ2774</f>
        <v/>
      </c>
      <c r="AI2774" s="6">
        <f>YEAR(AK2774)</f>
        <v/>
      </c>
      <c r="AJ2774" s="6">
        <f>MONTH(AK2774)</f>
        <v/>
      </c>
      <c r="AK2774" s="267">
        <f>IFERROR(__xludf.DUMMYFUNCTION("""COMPUTED_VALUE"""),45869.9986111111)</f>
        <v/>
      </c>
      <c r="AL2774" s="6">
        <f>IFERROR(__xludf.DUMMYFUNCTION("""COMPUTED_VALUE"""),118454.4)</f>
        <v/>
      </c>
      <c r="AP2774" s="6">
        <f>AQ2774&amp;AR2774</f>
        <v/>
      </c>
      <c r="AQ2774" s="6">
        <f>YEAR(AS2774)</f>
        <v/>
      </c>
      <c r="AR2774" s="6">
        <f>MONTH(AS2774)</f>
        <v/>
      </c>
    </row>
    <row r="2775">
      <c r="B2775" s="6">
        <f>C2775&amp;D2775</f>
        <v/>
      </c>
      <c r="C2775" s="6">
        <f>YEAR(E2775)</f>
        <v/>
      </c>
      <c r="D2775" s="6">
        <f>MONTH(E2775)</f>
        <v/>
      </c>
      <c r="J2775" s="6">
        <f>K2775&amp;L2775</f>
        <v/>
      </c>
      <c r="K2775" s="6">
        <f>YEAR(M2775)</f>
        <v/>
      </c>
      <c r="L2775" s="6">
        <f>MONTH(M2775)</f>
        <v/>
      </c>
      <c r="R2775" s="6">
        <f>S2775&amp;T2775</f>
        <v/>
      </c>
      <c r="S2775" s="6">
        <f>YEAR(U2775)</f>
        <v/>
      </c>
      <c r="T2775" s="6">
        <f>MONTH(U2775)</f>
        <v/>
      </c>
      <c r="Z2775" s="6">
        <f>AA2775&amp;AB2775</f>
        <v/>
      </c>
      <c r="AA2775" s="6">
        <f>YEAR(AC2775)</f>
        <v/>
      </c>
      <c r="AB2775" s="6">
        <f>MONTH(AC2775)</f>
        <v/>
      </c>
      <c r="AC2775" s="267">
        <f>IFERROR(__xludf.DUMMYFUNCTION("""COMPUTED_VALUE"""),45934.9986111111)</f>
        <v/>
      </c>
      <c r="AD2775" s="6">
        <f>IFERROR(__xludf.DUMMYFUNCTION("""COMPUTED_VALUE"""),1405.57)</f>
        <v/>
      </c>
      <c r="AH2775" s="6">
        <f>AI2775&amp;AJ2775</f>
        <v/>
      </c>
      <c r="AI2775" s="6">
        <f>YEAR(AK2775)</f>
        <v/>
      </c>
      <c r="AJ2775" s="6">
        <f>MONTH(AK2775)</f>
        <v/>
      </c>
      <c r="AK2775" s="267">
        <f>IFERROR(__xludf.DUMMYFUNCTION("""COMPUTED_VALUE"""),45870.9986111111)</f>
        <v/>
      </c>
      <c r="AL2775" s="6">
        <f>IFERROR(__xludf.DUMMYFUNCTION("""COMPUTED_VALUE"""),115672.4)</f>
        <v/>
      </c>
      <c r="AP2775" s="6">
        <f>AQ2775&amp;AR2775</f>
        <v/>
      </c>
      <c r="AQ2775" s="6">
        <f>YEAR(AS2775)</f>
        <v/>
      </c>
      <c r="AR2775" s="6">
        <f>MONTH(AS2775)</f>
        <v/>
      </c>
    </row>
    <row r="2776">
      <c r="B2776" s="6">
        <f>C2776&amp;D2776</f>
        <v/>
      </c>
      <c r="C2776" s="6">
        <f>YEAR(E2776)</f>
        <v/>
      </c>
      <c r="D2776" s="6">
        <f>MONTH(E2776)</f>
        <v/>
      </c>
      <c r="J2776" s="6">
        <f>K2776&amp;L2776</f>
        <v/>
      </c>
      <c r="K2776" s="6">
        <f>YEAR(M2776)</f>
        <v/>
      </c>
      <c r="L2776" s="6">
        <f>MONTH(M2776)</f>
        <v/>
      </c>
      <c r="R2776" s="6">
        <f>S2776&amp;T2776</f>
        <v/>
      </c>
      <c r="S2776" s="6">
        <f>YEAR(U2776)</f>
        <v/>
      </c>
      <c r="T2776" s="6">
        <f>MONTH(U2776)</f>
        <v/>
      </c>
      <c r="Z2776" s="6">
        <f>AA2776&amp;AB2776</f>
        <v/>
      </c>
      <c r="AA2776" s="6">
        <f>YEAR(AC2776)</f>
        <v/>
      </c>
      <c r="AB2776" s="6">
        <f>MONTH(AC2776)</f>
        <v/>
      </c>
      <c r="AC2776" s="267">
        <f>IFERROR(__xludf.DUMMYFUNCTION("""COMPUTED_VALUE"""),45935.9986111111)</f>
        <v/>
      </c>
      <c r="AD2776" s="6">
        <f>IFERROR(__xludf.DUMMYFUNCTION("""COMPUTED_VALUE"""),1406.06)</f>
        <v/>
      </c>
      <c r="AH2776" s="6">
        <f>AI2776&amp;AJ2776</f>
        <v/>
      </c>
      <c r="AI2776" s="6">
        <f>YEAR(AK2776)</f>
        <v/>
      </c>
      <c r="AJ2776" s="6">
        <f>MONTH(AK2776)</f>
        <v/>
      </c>
      <c r="AK2776" s="267">
        <f>IFERROR(__xludf.DUMMYFUNCTION("""COMPUTED_VALUE"""),45871.9986111111)</f>
        <v/>
      </c>
      <c r="AL2776" s="6">
        <f>IFERROR(__xludf.DUMMYFUNCTION("""COMPUTED_VALUE"""),113941.1)</f>
        <v/>
      </c>
      <c r="AP2776" s="6">
        <f>AQ2776&amp;AR2776</f>
        <v/>
      </c>
      <c r="AQ2776" s="6">
        <f>YEAR(AS2776)</f>
        <v/>
      </c>
      <c r="AR2776" s="6">
        <f>MONTH(AS2776)</f>
        <v/>
      </c>
    </row>
    <row r="2777">
      <c r="B2777" s="6">
        <f>C2777&amp;D2777</f>
        <v/>
      </c>
      <c r="C2777" s="6">
        <f>YEAR(E2777)</f>
        <v/>
      </c>
      <c r="D2777" s="6">
        <f>MONTH(E2777)</f>
        <v/>
      </c>
      <c r="J2777" s="6">
        <f>K2777&amp;L2777</f>
        <v/>
      </c>
      <c r="K2777" s="6">
        <f>YEAR(M2777)</f>
        <v/>
      </c>
      <c r="L2777" s="6">
        <f>MONTH(M2777)</f>
        <v/>
      </c>
      <c r="R2777" s="6">
        <f>S2777&amp;T2777</f>
        <v/>
      </c>
      <c r="S2777" s="6">
        <f>YEAR(U2777)</f>
        <v/>
      </c>
      <c r="T2777" s="6">
        <f>MONTH(U2777)</f>
        <v/>
      </c>
      <c r="Z2777" s="6">
        <f>AA2777&amp;AB2777</f>
        <v/>
      </c>
      <c r="AA2777" s="6">
        <f>YEAR(AC2777)</f>
        <v/>
      </c>
      <c r="AB2777" s="6">
        <f>MONTH(AC2777)</f>
        <v/>
      </c>
      <c r="AC2777" s="267">
        <f>IFERROR(__xludf.DUMMYFUNCTION("""COMPUTED_VALUE"""),45936.9986111111)</f>
        <v/>
      </c>
      <c r="AD2777" s="6">
        <f>IFERROR(__xludf.DUMMYFUNCTION("""COMPUTED_VALUE"""),1409.92)</f>
        <v/>
      </c>
      <c r="AH2777" s="6">
        <f>AI2777&amp;AJ2777</f>
        <v/>
      </c>
      <c r="AI2777" s="6">
        <f>YEAR(AK2777)</f>
        <v/>
      </c>
      <c r="AJ2777" s="6">
        <f>MONTH(AK2777)</f>
        <v/>
      </c>
      <c r="AK2777" s="267">
        <f>IFERROR(__xludf.DUMMYFUNCTION("""COMPUTED_VALUE"""),45872.9986111111)</f>
        <v/>
      </c>
      <c r="AL2777" s="6">
        <f>IFERROR(__xludf.DUMMYFUNCTION("""COMPUTED_VALUE"""),113730.6)</f>
        <v/>
      </c>
      <c r="AP2777" s="6">
        <f>AQ2777&amp;AR2777</f>
        <v/>
      </c>
      <c r="AQ2777" s="6">
        <f>YEAR(AS2777)</f>
        <v/>
      </c>
      <c r="AR2777" s="6">
        <f>MONTH(AS2777)</f>
        <v/>
      </c>
    </row>
    <row r="2778">
      <c r="B2778" s="6">
        <f>C2778&amp;D2778</f>
        <v/>
      </c>
      <c r="C2778" s="6">
        <f>YEAR(E2778)</f>
        <v/>
      </c>
      <c r="D2778" s="6">
        <f>MONTH(E2778)</f>
        <v/>
      </c>
      <c r="J2778" s="6">
        <f>K2778&amp;L2778</f>
        <v/>
      </c>
      <c r="K2778" s="6">
        <f>YEAR(M2778)</f>
        <v/>
      </c>
      <c r="L2778" s="6">
        <f>MONTH(M2778)</f>
        <v/>
      </c>
      <c r="R2778" s="6">
        <f>S2778&amp;T2778</f>
        <v/>
      </c>
      <c r="S2778" s="6">
        <f>YEAR(U2778)</f>
        <v/>
      </c>
      <c r="T2778" s="6">
        <f>MONTH(U2778)</f>
        <v/>
      </c>
      <c r="Z2778" s="6">
        <f>AA2778&amp;AB2778</f>
        <v/>
      </c>
      <c r="AA2778" s="6">
        <f>YEAR(AC2778)</f>
        <v/>
      </c>
      <c r="AB2778" s="6">
        <f>MONTH(AC2778)</f>
        <v/>
      </c>
      <c r="AC2778" s="267">
        <f>IFERROR(__xludf.DUMMYFUNCTION("""COMPUTED_VALUE"""),45937.9986111111)</f>
        <v/>
      </c>
      <c r="AD2778" s="6">
        <f>IFERROR(__xludf.DUMMYFUNCTION("""COMPUTED_VALUE"""),1414.57)</f>
        <v/>
      </c>
      <c r="AH2778" s="6">
        <f>AI2778&amp;AJ2778</f>
        <v/>
      </c>
      <c r="AI2778" s="6">
        <f>YEAR(AK2778)</f>
        <v/>
      </c>
      <c r="AJ2778" s="6">
        <f>MONTH(AK2778)</f>
        <v/>
      </c>
      <c r="AK2778" s="267">
        <f>IFERROR(__xludf.DUMMYFUNCTION("""COMPUTED_VALUE"""),45873.9986111111)</f>
        <v/>
      </c>
      <c r="AL2778" s="6">
        <f>IFERROR(__xludf.DUMMYFUNCTION("""COMPUTED_VALUE"""),114696.1)</f>
        <v/>
      </c>
      <c r="AP2778" s="6">
        <f>AQ2778&amp;AR2778</f>
        <v/>
      </c>
      <c r="AQ2778" s="6">
        <f>YEAR(AS2778)</f>
        <v/>
      </c>
      <c r="AR2778" s="6">
        <f>MONTH(AS2778)</f>
        <v/>
      </c>
    </row>
    <row r="2779">
      <c r="B2779" s="6">
        <f>C2779&amp;D2779</f>
        <v/>
      </c>
      <c r="C2779" s="6">
        <f>YEAR(E2779)</f>
        <v/>
      </c>
      <c r="D2779" s="6">
        <f>MONTH(E2779)</f>
        <v/>
      </c>
      <c r="J2779" s="6">
        <f>K2779&amp;L2779</f>
        <v/>
      </c>
      <c r="K2779" s="6">
        <f>YEAR(M2779)</f>
        <v/>
      </c>
      <c r="L2779" s="6">
        <f>MONTH(M2779)</f>
        <v/>
      </c>
      <c r="R2779" s="6">
        <f>S2779&amp;T2779</f>
        <v/>
      </c>
      <c r="S2779" s="6">
        <f>YEAR(U2779)</f>
        <v/>
      </c>
      <c r="T2779" s="6">
        <f>MONTH(U2779)</f>
        <v/>
      </c>
      <c r="Z2779" s="6">
        <f>AA2779&amp;AB2779</f>
        <v/>
      </c>
      <c r="AA2779" s="6">
        <f>YEAR(AC2779)</f>
        <v/>
      </c>
      <c r="AB2779" s="6">
        <f>MONTH(AC2779)</f>
        <v/>
      </c>
      <c r="AC2779" s="267">
        <f>IFERROR(__xludf.DUMMYFUNCTION("""COMPUTED_VALUE"""),45938.9986111111)</f>
        <v/>
      </c>
      <c r="AD2779" s="6">
        <f>IFERROR(__xludf.DUMMYFUNCTION("""COMPUTED_VALUE"""),1422.52)</f>
        <v/>
      </c>
      <c r="AH2779" s="6">
        <f>AI2779&amp;AJ2779</f>
        <v/>
      </c>
      <c r="AI2779" s="6">
        <f>YEAR(AK2779)</f>
        <v/>
      </c>
      <c r="AJ2779" s="6">
        <f>MONTH(AK2779)</f>
        <v/>
      </c>
      <c r="AK2779" s="267">
        <f>IFERROR(__xludf.DUMMYFUNCTION("""COMPUTED_VALUE"""),45874.9986111111)</f>
        <v/>
      </c>
      <c r="AL2779" s="6">
        <f>IFERROR(__xludf.DUMMYFUNCTION("""COMPUTED_VALUE"""),114348.2)</f>
        <v/>
      </c>
      <c r="AP2779" s="6">
        <f>AQ2779&amp;AR2779</f>
        <v/>
      </c>
      <c r="AQ2779" s="6">
        <f>YEAR(AS2779)</f>
        <v/>
      </c>
      <c r="AR2779" s="6">
        <f>MONTH(AS2779)</f>
        <v/>
      </c>
    </row>
    <row r="2780">
      <c r="B2780" s="6">
        <f>C2780&amp;D2780</f>
        <v/>
      </c>
      <c r="C2780" s="6">
        <f>YEAR(E2780)</f>
        <v/>
      </c>
      <c r="D2780" s="6">
        <f>MONTH(E2780)</f>
        <v/>
      </c>
      <c r="J2780" s="6">
        <f>K2780&amp;L2780</f>
        <v/>
      </c>
      <c r="K2780" s="6">
        <f>YEAR(M2780)</f>
        <v/>
      </c>
      <c r="L2780" s="6">
        <f>MONTH(M2780)</f>
        <v/>
      </c>
      <c r="R2780" s="6">
        <f>S2780&amp;T2780</f>
        <v/>
      </c>
      <c r="S2780" s="6">
        <f>YEAR(U2780)</f>
        <v/>
      </c>
      <c r="T2780" s="6">
        <f>MONTH(U2780)</f>
        <v/>
      </c>
      <c r="Z2780" s="6">
        <f>AA2780&amp;AB2780</f>
        <v/>
      </c>
      <c r="AA2780" s="6">
        <f>YEAR(AC2780)</f>
        <v/>
      </c>
      <c r="AB2780" s="6">
        <f>MONTH(AC2780)</f>
        <v/>
      </c>
      <c r="AC2780" s="267">
        <f>IFERROR(__xludf.DUMMYFUNCTION("""COMPUTED_VALUE"""),45939.9986111111)</f>
        <v/>
      </c>
      <c r="AD2780" s="6">
        <f>IFERROR(__xludf.DUMMYFUNCTION("""COMPUTED_VALUE"""),1421.51)</f>
        <v/>
      </c>
      <c r="AH2780" s="6">
        <f>AI2780&amp;AJ2780</f>
        <v/>
      </c>
      <c r="AI2780" s="6">
        <f>YEAR(AK2780)</f>
        <v/>
      </c>
      <c r="AJ2780" s="6">
        <f>MONTH(AK2780)</f>
        <v/>
      </c>
      <c r="AK2780" s="267">
        <f>IFERROR(__xludf.DUMMYFUNCTION("""COMPUTED_VALUE"""),45875.9986111111)</f>
        <v/>
      </c>
      <c r="AL2780" s="6">
        <f>IFERROR(__xludf.DUMMYFUNCTION("""COMPUTED_VALUE"""),113574.9)</f>
        <v/>
      </c>
      <c r="AP2780" s="6">
        <f>AQ2780&amp;AR2780</f>
        <v/>
      </c>
      <c r="AQ2780" s="6">
        <f>YEAR(AS2780)</f>
        <v/>
      </c>
      <c r="AR2780" s="6">
        <f>MONTH(AS2780)</f>
        <v/>
      </c>
    </row>
    <row r="2781">
      <c r="B2781" s="6">
        <f>C2781&amp;D2781</f>
        <v/>
      </c>
      <c r="C2781" s="6">
        <f>YEAR(E2781)</f>
        <v/>
      </c>
      <c r="D2781" s="6">
        <f>MONTH(E2781)</f>
        <v/>
      </c>
      <c r="J2781" s="6">
        <f>K2781&amp;L2781</f>
        <v/>
      </c>
      <c r="K2781" s="6">
        <f>YEAR(M2781)</f>
        <v/>
      </c>
      <c r="L2781" s="6">
        <f>MONTH(M2781)</f>
        <v/>
      </c>
      <c r="R2781" s="6">
        <f>S2781&amp;T2781</f>
        <v/>
      </c>
      <c r="S2781" s="6">
        <f>YEAR(U2781)</f>
        <v/>
      </c>
      <c r="T2781" s="6">
        <f>MONTH(U2781)</f>
        <v/>
      </c>
      <c r="Z2781" s="6">
        <f>AA2781&amp;AB2781</f>
        <v/>
      </c>
      <c r="AA2781" s="6">
        <f>YEAR(AC2781)</f>
        <v/>
      </c>
      <c r="AB2781" s="6">
        <f>MONTH(AC2781)</f>
        <v/>
      </c>
      <c r="AC2781" s="267">
        <f>IFERROR(__xludf.DUMMYFUNCTION("""COMPUTED_VALUE"""),45940.9986111111)</f>
        <v/>
      </c>
      <c r="AD2781" s="6">
        <f>IFERROR(__xludf.DUMMYFUNCTION("""COMPUTED_VALUE"""),1428.44)</f>
        <v/>
      </c>
      <c r="AH2781" s="6">
        <f>AI2781&amp;AJ2781</f>
        <v/>
      </c>
      <c r="AI2781" s="6">
        <f>YEAR(AK2781)</f>
        <v/>
      </c>
      <c r="AJ2781" s="6">
        <f>MONTH(AK2781)</f>
        <v/>
      </c>
      <c r="AK2781" s="267">
        <f>IFERROR(__xludf.DUMMYFUNCTION("""COMPUTED_VALUE"""),45876.9986111111)</f>
        <v/>
      </c>
      <c r="AL2781" s="6">
        <f>IFERROR(__xludf.DUMMYFUNCTION("""COMPUTED_VALUE"""),114485.2)</f>
        <v/>
      </c>
      <c r="AP2781" s="6">
        <f>AQ2781&amp;AR2781</f>
        <v/>
      </c>
      <c r="AQ2781" s="6">
        <f>YEAR(AS2781)</f>
        <v/>
      </c>
      <c r="AR2781" s="6">
        <f>MONTH(AS2781)</f>
        <v/>
      </c>
    </row>
    <row r="2782">
      <c r="B2782" s="6">
        <f>C2782&amp;D2782</f>
        <v/>
      </c>
      <c r="C2782" s="6">
        <f>YEAR(E2782)</f>
        <v/>
      </c>
      <c r="D2782" s="6">
        <f>MONTH(E2782)</f>
        <v/>
      </c>
      <c r="J2782" s="6">
        <f>K2782&amp;L2782</f>
        <v/>
      </c>
      <c r="K2782" s="6">
        <f>YEAR(M2782)</f>
        <v/>
      </c>
      <c r="L2782" s="6">
        <f>MONTH(M2782)</f>
        <v/>
      </c>
      <c r="R2782" s="6">
        <f>S2782&amp;T2782</f>
        <v/>
      </c>
      <c r="S2782" s="6">
        <f>YEAR(U2782)</f>
        <v/>
      </c>
      <c r="T2782" s="6">
        <f>MONTH(U2782)</f>
        <v/>
      </c>
      <c r="Z2782" s="6">
        <f>AA2782&amp;AB2782</f>
        <v/>
      </c>
      <c r="AA2782" s="6">
        <f>YEAR(AC2782)</f>
        <v/>
      </c>
      <c r="AB2782" s="6">
        <f>MONTH(AC2782)</f>
        <v/>
      </c>
      <c r="AC2782" s="267">
        <f>IFERROR(__xludf.DUMMYFUNCTION("""COMPUTED_VALUE"""),45941.9986111111)</f>
        <v/>
      </c>
      <c r="AD2782" s="6">
        <f>IFERROR(__xludf.DUMMYFUNCTION("""COMPUTED_VALUE"""),1428.04)</f>
        <v/>
      </c>
      <c r="AH2782" s="6">
        <f>AI2782&amp;AJ2782</f>
        <v/>
      </c>
      <c r="AI2782" s="6">
        <f>YEAR(AK2782)</f>
        <v/>
      </c>
      <c r="AJ2782" s="6">
        <f>MONTH(AK2782)</f>
        <v/>
      </c>
      <c r="AK2782" s="267">
        <f>IFERROR(__xludf.DUMMYFUNCTION("""COMPUTED_VALUE"""),45877.9986111111)</f>
        <v/>
      </c>
      <c r="AL2782" s="6">
        <f>IFERROR(__xludf.DUMMYFUNCTION("""COMPUTED_VALUE"""),116770.3)</f>
        <v/>
      </c>
      <c r="AP2782" s="6">
        <f>AQ2782&amp;AR2782</f>
        <v/>
      </c>
      <c r="AQ2782" s="6">
        <f>YEAR(AS2782)</f>
        <v/>
      </c>
      <c r="AR2782" s="6">
        <f>MONTH(AS2782)</f>
        <v/>
      </c>
    </row>
    <row r="2783">
      <c r="B2783" s="6">
        <f>C2783&amp;D2783</f>
        <v/>
      </c>
      <c r="C2783" s="6">
        <f>YEAR(E2783)</f>
        <v/>
      </c>
      <c r="D2783" s="6">
        <f>MONTH(E2783)</f>
        <v/>
      </c>
      <c r="J2783" s="6">
        <f>K2783&amp;L2783</f>
        <v/>
      </c>
      <c r="K2783" s="6">
        <f>YEAR(M2783)</f>
        <v/>
      </c>
      <c r="L2783" s="6">
        <f>MONTH(M2783)</f>
        <v/>
      </c>
      <c r="R2783" s="6">
        <f>S2783&amp;T2783</f>
        <v/>
      </c>
      <c r="S2783" s="6">
        <f>YEAR(U2783)</f>
        <v/>
      </c>
      <c r="T2783" s="6">
        <f>MONTH(U2783)</f>
        <v/>
      </c>
      <c r="Z2783" s="6">
        <f>AA2783&amp;AB2783</f>
        <v/>
      </c>
      <c r="AA2783" s="6">
        <f>YEAR(AC2783)</f>
        <v/>
      </c>
      <c r="AB2783" s="6">
        <f>MONTH(AC2783)</f>
        <v/>
      </c>
      <c r="AC2783" s="267">
        <f>IFERROR(__xludf.DUMMYFUNCTION("""COMPUTED_VALUE"""),45942.9986111111)</f>
        <v/>
      </c>
      <c r="AD2783" s="6">
        <f>IFERROR(__xludf.DUMMYFUNCTION("""COMPUTED_VALUE"""),1429.03)</f>
        <v/>
      </c>
      <c r="AH2783" s="6">
        <f>AI2783&amp;AJ2783</f>
        <v/>
      </c>
      <c r="AI2783" s="6">
        <f>YEAR(AK2783)</f>
        <v/>
      </c>
      <c r="AJ2783" s="6">
        <f>MONTH(AK2783)</f>
        <v/>
      </c>
      <c r="AK2783" s="267">
        <f>IFERROR(__xludf.DUMMYFUNCTION("""COMPUTED_VALUE"""),45878.9986111111)</f>
        <v/>
      </c>
      <c r="AL2783" s="6">
        <f>IFERROR(__xludf.DUMMYFUNCTION("""COMPUTED_VALUE"""),116364.7)</f>
        <v/>
      </c>
      <c r="AP2783" s="6">
        <f>AQ2783&amp;AR2783</f>
        <v/>
      </c>
      <c r="AQ2783" s="6">
        <f>YEAR(AS2783)</f>
        <v/>
      </c>
      <c r="AR2783" s="6">
        <f>MONTH(AS2783)</f>
        <v/>
      </c>
    </row>
    <row r="2784">
      <c r="B2784" s="6">
        <f>C2784&amp;D2784</f>
        <v/>
      </c>
      <c r="C2784" s="6">
        <f>YEAR(E2784)</f>
        <v/>
      </c>
      <c r="D2784" s="6">
        <f>MONTH(E2784)</f>
        <v/>
      </c>
      <c r="J2784" s="6">
        <f>K2784&amp;L2784</f>
        <v/>
      </c>
      <c r="K2784" s="6">
        <f>YEAR(M2784)</f>
        <v/>
      </c>
      <c r="L2784" s="6">
        <f>MONTH(M2784)</f>
        <v/>
      </c>
      <c r="R2784" s="6">
        <f>S2784&amp;T2784</f>
        <v/>
      </c>
      <c r="S2784" s="6">
        <f>YEAR(U2784)</f>
        <v/>
      </c>
      <c r="T2784" s="6">
        <f>MONTH(U2784)</f>
        <v/>
      </c>
      <c r="Z2784" s="6">
        <f>AA2784&amp;AB2784</f>
        <v/>
      </c>
      <c r="AA2784" s="6">
        <f>YEAR(AC2784)</f>
        <v/>
      </c>
      <c r="AB2784" s="6">
        <f>MONTH(AC2784)</f>
        <v/>
      </c>
      <c r="AC2784" s="267">
        <f>IFERROR(__xludf.DUMMYFUNCTION("""COMPUTED_VALUE"""),45943.9986111111)</f>
        <v/>
      </c>
      <c r="AD2784" s="6">
        <f>IFERROR(__xludf.DUMMYFUNCTION("""COMPUTED_VALUE"""),1426.07)</f>
        <v/>
      </c>
      <c r="AH2784" s="6">
        <f>AI2784&amp;AJ2784</f>
        <v/>
      </c>
      <c r="AI2784" s="6">
        <f>YEAR(AK2784)</f>
        <v/>
      </c>
      <c r="AJ2784" s="6">
        <f>MONTH(AK2784)</f>
        <v/>
      </c>
      <c r="AK2784" s="267">
        <f>IFERROR(__xludf.DUMMYFUNCTION("""COMPUTED_VALUE"""),45879.9986111111)</f>
        <v/>
      </c>
      <c r="AL2784" s="6">
        <f>IFERROR(__xludf.DUMMYFUNCTION("""COMPUTED_VALUE"""),118231.9)</f>
        <v/>
      </c>
      <c r="AP2784" s="6">
        <f>AQ2784&amp;AR2784</f>
        <v/>
      </c>
      <c r="AQ2784" s="6">
        <f>YEAR(AS2784)</f>
        <v/>
      </c>
      <c r="AR2784" s="6">
        <f>MONTH(AS2784)</f>
        <v/>
      </c>
    </row>
    <row r="2785">
      <c r="B2785" s="6">
        <f>C2785&amp;D2785</f>
        <v/>
      </c>
      <c r="C2785" s="6">
        <f>YEAR(E2785)</f>
        <v/>
      </c>
      <c r="D2785" s="6">
        <f>MONTH(E2785)</f>
        <v/>
      </c>
      <c r="J2785" s="6">
        <f>K2785&amp;L2785</f>
        <v/>
      </c>
      <c r="K2785" s="6">
        <f>YEAR(M2785)</f>
        <v/>
      </c>
      <c r="L2785" s="6">
        <f>MONTH(M2785)</f>
        <v/>
      </c>
      <c r="R2785" s="6">
        <f>S2785&amp;T2785</f>
        <v/>
      </c>
      <c r="S2785" s="6">
        <f>YEAR(U2785)</f>
        <v/>
      </c>
      <c r="T2785" s="6">
        <f>MONTH(U2785)</f>
        <v/>
      </c>
      <c r="Z2785" s="6">
        <f>AA2785&amp;AB2785</f>
        <v/>
      </c>
      <c r="AA2785" s="6">
        <f>YEAR(AC2785)</f>
        <v/>
      </c>
      <c r="AB2785" s="6">
        <f>MONTH(AC2785)</f>
        <v/>
      </c>
      <c r="AC2785" s="267">
        <f>IFERROR(__xludf.DUMMYFUNCTION("""COMPUTED_VALUE"""),45944.9986111111)</f>
        <v/>
      </c>
      <c r="AD2785" s="6">
        <f>IFERROR(__xludf.DUMMYFUNCTION("""COMPUTED_VALUE"""),1429.43)</f>
        <v/>
      </c>
      <c r="AH2785" s="6">
        <f>AI2785&amp;AJ2785</f>
        <v/>
      </c>
      <c r="AI2785" s="6">
        <f>YEAR(AK2785)</f>
        <v/>
      </c>
      <c r="AJ2785" s="6">
        <f>MONTH(AK2785)</f>
        <v/>
      </c>
      <c r="AK2785" s="267">
        <f>IFERROR(__xludf.DUMMYFUNCTION("""COMPUTED_VALUE"""),45880.9986111111)</f>
        <v/>
      </c>
      <c r="AL2785" s="6">
        <f>IFERROR(__xludf.DUMMYFUNCTION("""COMPUTED_VALUE"""),121660.9)</f>
        <v/>
      </c>
      <c r="AP2785" s="6">
        <f>AQ2785&amp;AR2785</f>
        <v/>
      </c>
      <c r="AQ2785" s="6">
        <f>YEAR(AS2785)</f>
        <v/>
      </c>
      <c r="AR2785" s="6">
        <f>MONTH(AS2785)</f>
        <v/>
      </c>
    </row>
    <row r="2786">
      <c r="B2786" s="6">
        <f>C2786&amp;D2786</f>
        <v/>
      </c>
      <c r="C2786" s="6">
        <f>YEAR(E2786)</f>
        <v/>
      </c>
      <c r="D2786" s="6">
        <f>MONTH(E2786)</f>
        <v/>
      </c>
      <c r="J2786" s="6">
        <f>K2786&amp;L2786</f>
        <v/>
      </c>
      <c r="K2786" s="6">
        <f>YEAR(M2786)</f>
        <v/>
      </c>
      <c r="L2786" s="6">
        <f>MONTH(M2786)</f>
        <v/>
      </c>
      <c r="R2786" s="6">
        <f>S2786&amp;T2786</f>
        <v/>
      </c>
      <c r="S2786" s="6">
        <f>YEAR(U2786)</f>
        <v/>
      </c>
      <c r="T2786" s="6">
        <f>MONTH(U2786)</f>
        <v/>
      </c>
      <c r="Z2786" s="6">
        <f>AA2786&amp;AB2786</f>
        <v/>
      </c>
      <c r="AA2786" s="6">
        <f>YEAR(AC2786)</f>
        <v/>
      </c>
      <c r="AB2786" s="6">
        <f>MONTH(AC2786)</f>
        <v/>
      </c>
      <c r="AC2786" s="267">
        <f>IFERROR(__xludf.DUMMYFUNCTION("""COMPUTED_VALUE"""),45945.9986111111)</f>
        <v/>
      </c>
      <c r="AD2786" s="6">
        <f>IFERROR(__xludf.DUMMYFUNCTION("""COMPUTED_VALUE"""),1420.09)</f>
        <v/>
      </c>
      <c r="AH2786" s="6">
        <f>AI2786&amp;AJ2786</f>
        <v/>
      </c>
      <c r="AI2786" s="6">
        <f>YEAR(AK2786)</f>
        <v/>
      </c>
      <c r="AJ2786" s="6">
        <f>MONTH(AK2786)</f>
        <v/>
      </c>
      <c r="AK2786" s="267">
        <f>IFERROR(__xludf.DUMMYFUNCTION("""COMPUTED_VALUE"""),45881.9986111111)</f>
        <v/>
      </c>
      <c r="AL2786" s="6">
        <f>IFERROR(__xludf.DUMMYFUNCTION("""COMPUTED_VALUE"""),118849)</f>
        <v/>
      </c>
      <c r="AP2786" s="6">
        <f>AQ2786&amp;AR2786</f>
        <v/>
      </c>
      <c r="AQ2786" s="6">
        <f>YEAR(AS2786)</f>
        <v/>
      </c>
      <c r="AR2786" s="6">
        <f>MONTH(AS2786)</f>
        <v/>
      </c>
    </row>
    <row r="2787">
      <c r="B2787" s="6">
        <f>C2787&amp;D2787</f>
        <v/>
      </c>
      <c r="C2787" s="6">
        <f>YEAR(E2787)</f>
        <v/>
      </c>
      <c r="D2787" s="6">
        <f>MONTH(E2787)</f>
        <v/>
      </c>
      <c r="J2787" s="6">
        <f>K2787&amp;L2787</f>
        <v/>
      </c>
      <c r="K2787" s="6">
        <f>YEAR(M2787)</f>
        <v/>
      </c>
      <c r="L2787" s="6">
        <f>MONTH(M2787)</f>
        <v/>
      </c>
      <c r="R2787" s="6">
        <f>S2787&amp;T2787</f>
        <v/>
      </c>
      <c r="S2787" s="6">
        <f>YEAR(U2787)</f>
        <v/>
      </c>
      <c r="T2787" s="6">
        <f>MONTH(U2787)</f>
        <v/>
      </c>
      <c r="Z2787" s="6">
        <f>AA2787&amp;AB2787</f>
        <v/>
      </c>
      <c r="AA2787" s="6">
        <f>YEAR(AC2787)</f>
        <v/>
      </c>
      <c r="AB2787" s="6">
        <f>MONTH(AC2787)</f>
        <v/>
      </c>
      <c r="AC2787" s="267">
        <f>IFERROR(__xludf.DUMMYFUNCTION("""COMPUTED_VALUE"""),45946.9986111111)</f>
        <v/>
      </c>
      <c r="AD2787" s="6">
        <f>IFERROR(__xludf.DUMMYFUNCTION("""COMPUTED_VALUE"""),1415.72)</f>
        <v/>
      </c>
      <c r="AH2787" s="6">
        <f>AI2787&amp;AJ2787</f>
        <v/>
      </c>
      <c r="AI2787" s="6">
        <f>YEAR(AK2787)</f>
        <v/>
      </c>
      <c r="AJ2787" s="6">
        <f>MONTH(AK2787)</f>
        <v/>
      </c>
      <c r="AK2787" s="267">
        <f>IFERROR(__xludf.DUMMYFUNCTION("""COMPUTED_VALUE"""),45882.9986111111)</f>
        <v/>
      </c>
      <c r="AL2787" s="6">
        <f>IFERROR(__xludf.DUMMYFUNCTION("""COMPUTED_VALUE"""),119442.5)</f>
        <v/>
      </c>
      <c r="AP2787" s="6">
        <f>AQ2787&amp;AR2787</f>
        <v/>
      </c>
      <c r="AQ2787" s="6">
        <f>YEAR(AS2787)</f>
        <v/>
      </c>
      <c r="AR2787" s="6">
        <f>MONTH(AS2787)</f>
        <v/>
      </c>
    </row>
    <row r="2788">
      <c r="B2788" s="6">
        <f>C2788&amp;D2788</f>
        <v/>
      </c>
      <c r="C2788" s="6">
        <f>YEAR(E2788)</f>
        <v/>
      </c>
      <c r="D2788" s="6">
        <f>MONTH(E2788)</f>
        <v/>
      </c>
      <c r="J2788" s="6">
        <f>K2788&amp;L2788</f>
        <v/>
      </c>
      <c r="K2788" s="6">
        <f>YEAR(M2788)</f>
        <v/>
      </c>
      <c r="L2788" s="6">
        <f>MONTH(M2788)</f>
        <v/>
      </c>
      <c r="R2788" s="6">
        <f>S2788&amp;T2788</f>
        <v/>
      </c>
      <c r="S2788" s="6">
        <f>YEAR(U2788)</f>
        <v/>
      </c>
      <c r="T2788" s="6">
        <f>MONTH(U2788)</f>
        <v/>
      </c>
      <c r="Z2788" s="6">
        <f>AA2788&amp;AB2788</f>
        <v/>
      </c>
      <c r="AA2788" s="6">
        <f>YEAR(AC2788)</f>
        <v/>
      </c>
      <c r="AB2788" s="6">
        <f>MONTH(AC2788)</f>
        <v/>
      </c>
      <c r="AC2788" s="267">
        <f>IFERROR(__xludf.DUMMYFUNCTION("""COMPUTED_VALUE"""),45947.9986111111)</f>
        <v/>
      </c>
      <c r="AD2788" s="6">
        <f>IFERROR(__xludf.DUMMYFUNCTION("""COMPUTED_VALUE"""),1420.64)</f>
        <v/>
      </c>
      <c r="AH2788" s="6">
        <f>AI2788&amp;AJ2788</f>
        <v/>
      </c>
      <c r="AI2788" s="6">
        <f>YEAR(AK2788)</f>
        <v/>
      </c>
      <c r="AJ2788" s="6">
        <f>MONTH(AK2788)</f>
        <v/>
      </c>
      <c r="AK2788" s="267">
        <f>IFERROR(__xludf.DUMMYFUNCTION("""COMPUTED_VALUE"""),45883.9986111111)</f>
        <v/>
      </c>
      <c r="AL2788" s="6">
        <f>IFERROR(__xludf.DUMMYFUNCTION("""COMPUTED_VALUE"""),123332)</f>
        <v/>
      </c>
      <c r="AP2788" s="6">
        <f>AQ2788&amp;AR2788</f>
        <v/>
      </c>
      <c r="AQ2788" s="6">
        <f>YEAR(AS2788)</f>
        <v/>
      </c>
      <c r="AR2788" s="6">
        <f>MONTH(AS2788)</f>
        <v/>
      </c>
    </row>
    <row r="2789">
      <c r="B2789" s="6">
        <f>C2789&amp;D2789</f>
        <v/>
      </c>
      <c r="C2789" s="6">
        <f>YEAR(E2789)</f>
        <v/>
      </c>
      <c r="D2789" s="6">
        <f>MONTH(E2789)</f>
        <v/>
      </c>
      <c r="J2789" s="6">
        <f>K2789&amp;L2789</f>
        <v/>
      </c>
      <c r="K2789" s="6">
        <f>YEAR(M2789)</f>
        <v/>
      </c>
      <c r="L2789" s="6">
        <f>MONTH(M2789)</f>
        <v/>
      </c>
      <c r="R2789" s="6">
        <f>S2789&amp;T2789</f>
        <v/>
      </c>
      <c r="S2789" s="6">
        <f>YEAR(U2789)</f>
        <v/>
      </c>
      <c r="T2789" s="6">
        <f>MONTH(U2789)</f>
        <v/>
      </c>
      <c r="Z2789" s="6">
        <f>AA2789&amp;AB2789</f>
        <v/>
      </c>
      <c r="AA2789" s="6">
        <f>YEAR(AC2789)</f>
        <v/>
      </c>
      <c r="AB2789" s="6">
        <f>MONTH(AC2789)</f>
        <v/>
      </c>
      <c r="AC2789" s="267">
        <f>IFERROR(__xludf.DUMMYFUNCTION("""COMPUTED_VALUE"""),45948.9986111111)</f>
        <v/>
      </c>
      <c r="AD2789" s="6">
        <f>IFERROR(__xludf.DUMMYFUNCTION("""COMPUTED_VALUE"""),1420.24)</f>
        <v/>
      </c>
      <c r="AH2789" s="6">
        <f>AI2789&amp;AJ2789</f>
        <v/>
      </c>
      <c r="AI2789" s="6">
        <f>YEAR(AK2789)</f>
        <v/>
      </c>
      <c r="AJ2789" s="6">
        <f>MONTH(AK2789)</f>
        <v/>
      </c>
      <c r="AK2789" s="267">
        <f>IFERROR(__xludf.DUMMYFUNCTION("""COMPUTED_VALUE"""),45884.9986111111)</f>
        <v/>
      </c>
      <c r="AL2789" s="6">
        <f>IFERROR(__xludf.DUMMYFUNCTION("""COMPUTED_VALUE"""),119074.5)</f>
        <v/>
      </c>
      <c r="AP2789" s="6">
        <f>AQ2789&amp;AR2789</f>
        <v/>
      </c>
      <c r="AQ2789" s="6">
        <f>YEAR(AS2789)</f>
        <v/>
      </c>
      <c r="AR2789" s="6">
        <f>MONTH(AS2789)</f>
        <v/>
      </c>
    </row>
    <row r="2790">
      <c r="B2790" s="6">
        <f>C2790&amp;D2790</f>
        <v/>
      </c>
      <c r="C2790" s="6">
        <f>YEAR(E2790)</f>
        <v/>
      </c>
      <c r="D2790" s="6">
        <f>MONTH(E2790)</f>
        <v/>
      </c>
      <c r="J2790" s="6">
        <f>K2790&amp;L2790</f>
        <v/>
      </c>
      <c r="K2790" s="6">
        <f>YEAR(M2790)</f>
        <v/>
      </c>
      <c r="L2790" s="6">
        <f>MONTH(M2790)</f>
        <v/>
      </c>
      <c r="R2790" s="6">
        <f>S2790&amp;T2790</f>
        <v/>
      </c>
      <c r="S2790" s="6">
        <f>YEAR(U2790)</f>
        <v/>
      </c>
      <c r="T2790" s="6">
        <f>MONTH(U2790)</f>
        <v/>
      </c>
      <c r="Z2790" s="6">
        <f>AA2790&amp;AB2790</f>
        <v/>
      </c>
      <c r="AA2790" s="6">
        <f>YEAR(AC2790)</f>
        <v/>
      </c>
      <c r="AB2790" s="6">
        <f>MONTH(AC2790)</f>
        <v/>
      </c>
      <c r="AC2790" s="267">
        <f>IFERROR(__xludf.DUMMYFUNCTION("""COMPUTED_VALUE"""),45949.9986111111)</f>
        <v/>
      </c>
      <c r="AD2790" s="6">
        <f>IFERROR(__xludf.DUMMYFUNCTION("""COMPUTED_VALUE"""),1419.74)</f>
        <v/>
      </c>
      <c r="AH2790" s="6">
        <f>AI2790&amp;AJ2790</f>
        <v/>
      </c>
      <c r="AI2790" s="6">
        <f>YEAR(AK2790)</f>
        <v/>
      </c>
      <c r="AJ2790" s="6">
        <f>MONTH(AK2790)</f>
        <v/>
      </c>
      <c r="AK2790" s="267">
        <f>IFERROR(__xludf.DUMMYFUNCTION("""COMPUTED_VALUE"""),45885.9986111111)</f>
        <v/>
      </c>
      <c r="AL2790" s="6">
        <f>IFERROR(__xludf.DUMMYFUNCTION("""COMPUTED_VALUE"""),117555.5)</f>
        <v/>
      </c>
      <c r="AP2790" s="6">
        <f>AQ2790&amp;AR2790</f>
        <v/>
      </c>
      <c r="AQ2790" s="6">
        <f>YEAR(AS2790)</f>
        <v/>
      </c>
      <c r="AR2790" s="6">
        <f>MONTH(AS2790)</f>
        <v/>
      </c>
    </row>
    <row r="2791">
      <c r="B2791" s="6">
        <f>C2791&amp;D2791</f>
        <v/>
      </c>
      <c r="C2791" s="6">
        <f>YEAR(E2791)</f>
        <v/>
      </c>
      <c r="D2791" s="6">
        <f>MONTH(E2791)</f>
        <v/>
      </c>
      <c r="J2791" s="6">
        <f>K2791&amp;L2791</f>
        <v/>
      </c>
      <c r="K2791" s="6">
        <f>YEAR(M2791)</f>
        <v/>
      </c>
      <c r="L2791" s="6">
        <f>MONTH(M2791)</f>
        <v/>
      </c>
      <c r="R2791" s="6">
        <f>S2791&amp;T2791</f>
        <v/>
      </c>
      <c r="S2791" s="6">
        <f>YEAR(U2791)</f>
        <v/>
      </c>
      <c r="T2791" s="6">
        <f>MONTH(U2791)</f>
        <v/>
      </c>
      <c r="Z2791" s="6">
        <f>AA2791&amp;AB2791</f>
        <v/>
      </c>
      <c r="AA2791" s="6">
        <f>YEAR(AC2791)</f>
        <v/>
      </c>
      <c r="AB2791" s="6">
        <f>MONTH(AC2791)</f>
        <v/>
      </c>
      <c r="AC2791" s="267">
        <f>IFERROR(__xludf.DUMMYFUNCTION("""COMPUTED_VALUE"""),45950.9986111111)</f>
        <v/>
      </c>
      <c r="AD2791" s="6">
        <f>IFERROR(__xludf.DUMMYFUNCTION("""COMPUTED_VALUE"""),1419.74)</f>
        <v/>
      </c>
      <c r="AH2791" s="6">
        <f>AI2791&amp;AJ2791</f>
        <v/>
      </c>
      <c r="AI2791" s="6">
        <f>YEAR(AK2791)</f>
        <v/>
      </c>
      <c r="AJ2791" s="6">
        <f>MONTH(AK2791)</f>
        <v/>
      </c>
      <c r="AK2791" s="267">
        <f>IFERROR(__xludf.DUMMYFUNCTION("""COMPUTED_VALUE"""),45886.9986111111)</f>
        <v/>
      </c>
      <c r="AL2791" s="6">
        <f>IFERROR(__xludf.DUMMYFUNCTION("""COMPUTED_VALUE"""),117792.9)</f>
        <v/>
      </c>
      <c r="AP2791" s="6">
        <f>AQ2791&amp;AR2791</f>
        <v/>
      </c>
      <c r="AQ2791" s="6">
        <f>YEAR(AS2791)</f>
        <v/>
      </c>
      <c r="AR2791" s="6">
        <f>MONTH(AS2791)</f>
        <v/>
      </c>
    </row>
    <row r="2792">
      <c r="B2792" s="6">
        <f>C2792&amp;D2792</f>
        <v/>
      </c>
      <c r="C2792" s="6">
        <f>YEAR(E2792)</f>
        <v/>
      </c>
      <c r="D2792" s="6">
        <f>MONTH(E2792)</f>
        <v/>
      </c>
      <c r="J2792" s="6">
        <f>K2792&amp;L2792</f>
        <v/>
      </c>
      <c r="K2792" s="6">
        <f>YEAR(M2792)</f>
        <v/>
      </c>
      <c r="L2792" s="6">
        <f>MONTH(M2792)</f>
        <v/>
      </c>
      <c r="R2792" s="6">
        <f>S2792&amp;T2792</f>
        <v/>
      </c>
      <c r="S2792" s="6">
        <f>YEAR(U2792)</f>
        <v/>
      </c>
      <c r="T2792" s="6">
        <f>MONTH(U2792)</f>
        <v/>
      </c>
      <c r="Z2792" s="6">
        <f>AA2792&amp;AB2792</f>
        <v/>
      </c>
      <c r="AA2792" s="6">
        <f>YEAR(AC2792)</f>
        <v/>
      </c>
      <c r="AB2792" s="6">
        <f>MONTH(AC2792)</f>
        <v/>
      </c>
      <c r="AC2792" s="267">
        <f>IFERROR(__xludf.DUMMYFUNCTION("""COMPUTED_VALUE"""),45951.9986111111)</f>
        <v/>
      </c>
      <c r="AD2792" s="6">
        <f>IFERROR(__xludf.DUMMYFUNCTION("""COMPUTED_VALUE"""),1430.74)</f>
        <v/>
      </c>
      <c r="AH2792" s="6">
        <f>AI2792&amp;AJ2792</f>
        <v/>
      </c>
      <c r="AI2792" s="6">
        <f>YEAR(AK2792)</f>
        <v/>
      </c>
      <c r="AJ2792" s="6">
        <f>MONTH(AK2792)</f>
        <v/>
      </c>
      <c r="AK2792" s="267">
        <f>IFERROR(__xludf.DUMMYFUNCTION("""COMPUTED_VALUE"""),45887.9986111111)</f>
        <v/>
      </c>
      <c r="AL2792" s="6">
        <f>IFERROR(__xludf.DUMMYFUNCTION("""COMPUTED_VALUE"""),115416.2)</f>
        <v/>
      </c>
      <c r="AP2792" s="6">
        <f>AQ2792&amp;AR2792</f>
        <v/>
      </c>
      <c r="AQ2792" s="6">
        <f>YEAR(AS2792)</f>
        <v/>
      </c>
      <c r="AR2792" s="6">
        <f>MONTH(AS2792)</f>
        <v/>
      </c>
    </row>
    <row r="2793">
      <c r="B2793" s="6">
        <f>C2793&amp;D2793</f>
        <v/>
      </c>
      <c r="C2793" s="6">
        <f>YEAR(E2793)</f>
        <v/>
      </c>
      <c r="D2793" s="6">
        <f>MONTH(E2793)</f>
        <v/>
      </c>
      <c r="J2793" s="6">
        <f>K2793&amp;L2793</f>
        <v/>
      </c>
      <c r="K2793" s="6">
        <f>YEAR(M2793)</f>
        <v/>
      </c>
      <c r="L2793" s="6">
        <f>MONTH(M2793)</f>
        <v/>
      </c>
      <c r="R2793" s="6">
        <f>S2793&amp;T2793</f>
        <v/>
      </c>
      <c r="S2793" s="6">
        <f>YEAR(U2793)</f>
        <v/>
      </c>
      <c r="T2793" s="6">
        <f>MONTH(U2793)</f>
        <v/>
      </c>
      <c r="Z2793" s="6">
        <f>AA2793&amp;AB2793</f>
        <v/>
      </c>
      <c r="AA2793" s="6">
        <f>YEAR(AC2793)</f>
        <v/>
      </c>
      <c r="AB2793" s="6">
        <f>MONTH(AC2793)</f>
        <v/>
      </c>
      <c r="AC2793" s="267">
        <f>IFERROR(__xludf.DUMMYFUNCTION("""COMPUTED_VALUE"""),45952.9986111111)</f>
        <v/>
      </c>
      <c r="AD2793" s="6">
        <f>IFERROR(__xludf.DUMMYFUNCTION("""COMPUTED_VALUE"""),1430.4)</f>
        <v/>
      </c>
      <c r="AH2793" s="6">
        <f>AI2793&amp;AJ2793</f>
        <v/>
      </c>
      <c r="AI2793" s="6">
        <f>YEAR(AK2793)</f>
        <v/>
      </c>
      <c r="AJ2793" s="6">
        <f>MONTH(AK2793)</f>
        <v/>
      </c>
      <c r="AK2793" s="267">
        <f>IFERROR(__xludf.DUMMYFUNCTION("""COMPUTED_VALUE"""),45888.9986111111)</f>
        <v/>
      </c>
      <c r="AL2793" s="6">
        <f>IFERROR(__xludf.DUMMYFUNCTION("""COMPUTED_VALUE"""),114931.1)</f>
        <v/>
      </c>
      <c r="AP2793" s="6">
        <f>AQ2793&amp;AR2793</f>
        <v/>
      </c>
      <c r="AQ2793" s="6">
        <f>YEAR(AS2793)</f>
        <v/>
      </c>
      <c r="AR2793" s="6">
        <f>MONTH(AS2793)</f>
        <v/>
      </c>
    </row>
    <row r="2794">
      <c r="B2794" s="6">
        <f>C2794&amp;D2794</f>
        <v/>
      </c>
      <c r="C2794" s="6">
        <f>YEAR(E2794)</f>
        <v/>
      </c>
      <c r="D2794" s="6">
        <f>MONTH(E2794)</f>
        <v/>
      </c>
      <c r="J2794" s="6">
        <f>K2794&amp;L2794</f>
        <v/>
      </c>
      <c r="K2794" s="6">
        <f>YEAR(M2794)</f>
        <v/>
      </c>
      <c r="L2794" s="6">
        <f>MONTH(M2794)</f>
        <v/>
      </c>
      <c r="R2794" s="6">
        <f>S2794&amp;T2794</f>
        <v/>
      </c>
      <c r="S2794" s="6">
        <f>YEAR(U2794)</f>
        <v/>
      </c>
      <c r="T2794" s="6">
        <f>MONTH(U2794)</f>
        <v/>
      </c>
      <c r="Z2794" s="6">
        <f>AA2794&amp;AB2794</f>
        <v/>
      </c>
      <c r="AA2794" s="6">
        <f>YEAR(AC2794)</f>
        <v/>
      </c>
      <c r="AB2794" s="6">
        <f>MONTH(AC2794)</f>
        <v/>
      </c>
      <c r="AC2794" s="267">
        <f>IFERROR(__xludf.DUMMYFUNCTION("""COMPUTED_VALUE"""),45953.9986111111)</f>
        <v/>
      </c>
      <c r="AD2794" s="6">
        <f>IFERROR(__xludf.DUMMYFUNCTION("""COMPUTED_VALUE"""),1435.84)</f>
        <v/>
      </c>
      <c r="AH2794" s="6">
        <f>AI2794&amp;AJ2794</f>
        <v/>
      </c>
      <c r="AI2794" s="6">
        <f>YEAR(AK2794)</f>
        <v/>
      </c>
      <c r="AJ2794" s="6">
        <f>MONTH(AK2794)</f>
        <v/>
      </c>
      <c r="AK2794" s="267">
        <f>IFERROR(__xludf.DUMMYFUNCTION("""COMPUTED_VALUE"""),45889.9986111111)</f>
        <v/>
      </c>
      <c r="AL2794" s="6">
        <f>IFERROR(__xludf.DUMMYFUNCTION("""COMPUTED_VALUE"""),113569.7)</f>
        <v/>
      </c>
      <c r="AP2794" s="6">
        <f>AQ2794&amp;AR2794</f>
        <v/>
      </c>
      <c r="AQ2794" s="6">
        <f>YEAR(AS2794)</f>
        <v/>
      </c>
      <c r="AR2794" s="6">
        <f>MONTH(AS2794)</f>
        <v/>
      </c>
    </row>
    <row r="2795">
      <c r="B2795" s="6">
        <f>C2795&amp;D2795</f>
        <v/>
      </c>
      <c r="C2795" s="6">
        <f>YEAR(E2795)</f>
        <v/>
      </c>
      <c r="D2795" s="6">
        <f>MONTH(E2795)</f>
        <v/>
      </c>
      <c r="J2795" s="6">
        <f>K2795&amp;L2795</f>
        <v/>
      </c>
      <c r="K2795" s="6">
        <f>YEAR(M2795)</f>
        <v/>
      </c>
      <c r="L2795" s="6">
        <f>MONTH(M2795)</f>
        <v/>
      </c>
      <c r="R2795" s="6">
        <f>S2795&amp;T2795</f>
        <v/>
      </c>
      <c r="S2795" s="6">
        <f>YEAR(U2795)</f>
        <v/>
      </c>
      <c r="T2795" s="6">
        <f>MONTH(U2795)</f>
        <v/>
      </c>
      <c r="Z2795" s="6">
        <f>AA2795&amp;AB2795</f>
        <v/>
      </c>
      <c r="AA2795" s="6">
        <f>YEAR(AC2795)</f>
        <v/>
      </c>
      <c r="AB2795" s="6">
        <f>MONTH(AC2795)</f>
        <v/>
      </c>
      <c r="AC2795" s="267">
        <f>IFERROR(__xludf.DUMMYFUNCTION("""COMPUTED_VALUE"""),45954.9986111111)</f>
        <v/>
      </c>
      <c r="AD2795" s="6">
        <f>IFERROR(__xludf.DUMMYFUNCTION("""COMPUTED_VALUE"""),1437.88)</f>
        <v/>
      </c>
      <c r="AH2795" s="6">
        <f>AI2795&amp;AJ2795</f>
        <v/>
      </c>
      <c r="AI2795" s="6">
        <f>YEAR(AK2795)</f>
        <v/>
      </c>
      <c r="AJ2795" s="6">
        <f>MONTH(AK2795)</f>
        <v/>
      </c>
      <c r="AK2795" s="267">
        <f>IFERROR(__xludf.DUMMYFUNCTION("""COMPUTED_VALUE"""),45890.9986111111)</f>
        <v/>
      </c>
      <c r="AL2795" s="6">
        <f>IFERROR(__xludf.DUMMYFUNCTION("""COMPUTED_VALUE"""),114004.5)</f>
        <v/>
      </c>
      <c r="AP2795" s="6">
        <f>AQ2795&amp;AR2795</f>
        <v/>
      </c>
      <c r="AQ2795" s="6">
        <f>YEAR(AS2795)</f>
        <v/>
      </c>
      <c r="AR2795" s="6">
        <f>MONTH(AS2795)</f>
        <v/>
      </c>
    </row>
    <row r="2796">
      <c r="B2796" s="6">
        <f>C2796&amp;D2796</f>
        <v/>
      </c>
      <c r="C2796" s="6">
        <f>YEAR(E2796)</f>
        <v/>
      </c>
      <c r="D2796" s="6">
        <f>MONTH(E2796)</f>
        <v/>
      </c>
      <c r="J2796" s="6">
        <f>K2796&amp;L2796</f>
        <v/>
      </c>
      <c r="K2796" s="6">
        <f>YEAR(M2796)</f>
        <v/>
      </c>
      <c r="L2796" s="6">
        <f>MONTH(M2796)</f>
        <v/>
      </c>
      <c r="R2796" s="6">
        <f>S2796&amp;T2796</f>
        <v/>
      </c>
      <c r="S2796" s="6">
        <f>YEAR(U2796)</f>
        <v/>
      </c>
      <c r="T2796" s="6">
        <f>MONTH(U2796)</f>
        <v/>
      </c>
      <c r="Z2796" s="6">
        <f>AA2796&amp;AB2796</f>
        <v/>
      </c>
      <c r="AA2796" s="6">
        <f>YEAR(AC2796)</f>
        <v/>
      </c>
      <c r="AB2796" s="6">
        <f>MONTH(AC2796)</f>
        <v/>
      </c>
      <c r="AC2796" s="267">
        <f>IFERROR(__xludf.DUMMYFUNCTION("""COMPUTED_VALUE"""),45955.9986111111)</f>
        <v/>
      </c>
      <c r="AD2796" s="6">
        <f>IFERROR(__xludf.DUMMYFUNCTION("""COMPUTED_VALUE"""),1437.88)</f>
        <v/>
      </c>
      <c r="AH2796" s="6">
        <f>AI2796&amp;AJ2796</f>
        <v/>
      </c>
      <c r="AI2796" s="6">
        <f>YEAR(AK2796)</f>
        <v/>
      </c>
      <c r="AJ2796" s="6">
        <f>MONTH(AK2796)</f>
        <v/>
      </c>
      <c r="AK2796" s="267">
        <f>IFERROR(__xludf.DUMMYFUNCTION("""COMPUTED_VALUE"""),45891.9986111111)</f>
        <v/>
      </c>
      <c r="AL2796" s="6">
        <f>IFERROR(__xludf.DUMMYFUNCTION("""COMPUTED_VALUE"""),112946.4)</f>
        <v/>
      </c>
      <c r="AP2796" s="6">
        <f>AQ2796&amp;AR2796</f>
        <v/>
      </c>
      <c r="AQ2796" s="6">
        <f>YEAR(AS2796)</f>
        <v/>
      </c>
      <c r="AR2796" s="6">
        <f>MONTH(AS2796)</f>
        <v/>
      </c>
    </row>
    <row r="2797">
      <c r="B2797" s="6">
        <f>C2797&amp;D2797</f>
        <v/>
      </c>
      <c r="C2797" s="6">
        <f>YEAR(E2797)</f>
        <v/>
      </c>
      <c r="D2797" s="6">
        <f>MONTH(E2797)</f>
        <v/>
      </c>
      <c r="J2797" s="6">
        <f>K2797&amp;L2797</f>
        <v/>
      </c>
      <c r="K2797" s="6">
        <f>YEAR(M2797)</f>
        <v/>
      </c>
      <c r="L2797" s="6">
        <f>MONTH(M2797)</f>
        <v/>
      </c>
      <c r="R2797" s="6">
        <f>S2797&amp;T2797</f>
        <v/>
      </c>
      <c r="S2797" s="6">
        <f>YEAR(U2797)</f>
        <v/>
      </c>
      <c r="T2797" s="6">
        <f>MONTH(U2797)</f>
        <v/>
      </c>
      <c r="Z2797" s="6">
        <f>AA2797&amp;AB2797</f>
        <v/>
      </c>
      <c r="AA2797" s="6">
        <f>YEAR(AC2797)</f>
        <v/>
      </c>
      <c r="AB2797" s="6">
        <f>MONTH(AC2797)</f>
        <v/>
      </c>
      <c r="AC2797" s="267">
        <f>IFERROR(__xludf.DUMMYFUNCTION("""COMPUTED_VALUE"""),45956.9986111111)</f>
        <v/>
      </c>
      <c r="AD2797" s="6">
        <f>IFERROR(__xludf.DUMMYFUNCTION("""COMPUTED_VALUE"""),1436.97)</f>
        <v/>
      </c>
      <c r="AH2797" s="6">
        <f>AI2797&amp;AJ2797</f>
        <v/>
      </c>
      <c r="AI2797" s="6">
        <f>YEAR(AK2797)</f>
        <v/>
      </c>
      <c r="AJ2797" s="6">
        <f>MONTH(AK2797)</f>
        <v/>
      </c>
      <c r="AK2797" s="267">
        <f>IFERROR(__xludf.DUMMYFUNCTION("""COMPUTED_VALUE"""),45892.9986111111)</f>
        <v/>
      </c>
      <c r="AL2797" s="6">
        <f>IFERROR(__xludf.DUMMYFUNCTION("""COMPUTED_VALUE"""),115468.4)</f>
        <v/>
      </c>
      <c r="AP2797" s="6">
        <f>AQ2797&amp;AR2797</f>
        <v/>
      </c>
      <c r="AQ2797" s="6">
        <f>YEAR(AS2797)</f>
        <v/>
      </c>
      <c r="AR2797" s="6">
        <f>MONTH(AS2797)</f>
        <v/>
      </c>
    </row>
    <row r="2798">
      <c r="B2798" s="6">
        <f>C2798&amp;D2798</f>
        <v/>
      </c>
      <c r="C2798" s="6">
        <f>YEAR(E2798)</f>
        <v/>
      </c>
      <c r="D2798" s="6">
        <f>MONTH(E2798)</f>
        <v/>
      </c>
      <c r="J2798" s="6">
        <f>K2798&amp;L2798</f>
        <v/>
      </c>
      <c r="K2798" s="6">
        <f>YEAR(M2798)</f>
        <v/>
      </c>
      <c r="L2798" s="6">
        <f>MONTH(M2798)</f>
        <v/>
      </c>
      <c r="R2798" s="6">
        <f>S2798&amp;T2798</f>
        <v/>
      </c>
      <c r="S2798" s="6">
        <f>YEAR(U2798)</f>
        <v/>
      </c>
      <c r="T2798" s="6">
        <f>MONTH(U2798)</f>
        <v/>
      </c>
      <c r="Z2798" s="6">
        <f>AA2798&amp;AB2798</f>
        <v/>
      </c>
      <c r="AA2798" s="6">
        <f>YEAR(AC2798)</f>
        <v/>
      </c>
      <c r="AB2798" s="6">
        <f>MONTH(AC2798)</f>
        <v/>
      </c>
      <c r="AC2798" s="267">
        <f>IFERROR(__xludf.DUMMYFUNCTION("""COMPUTED_VALUE"""),45957.9986111111)</f>
        <v/>
      </c>
      <c r="AD2798" s="6">
        <f>IFERROR(__xludf.DUMMYFUNCTION("""COMPUTED_VALUE"""),1430.97)</f>
        <v/>
      </c>
      <c r="AH2798" s="6">
        <f>AI2798&amp;AJ2798</f>
        <v/>
      </c>
      <c r="AI2798" s="6">
        <f>YEAR(AK2798)</f>
        <v/>
      </c>
      <c r="AJ2798" s="6">
        <f>MONTH(AK2798)</f>
        <v/>
      </c>
      <c r="AK2798" s="267">
        <f>IFERROR(__xludf.DUMMYFUNCTION("""COMPUTED_VALUE"""),45893.9986111111)</f>
        <v/>
      </c>
      <c r="AL2798" s="6">
        <f>IFERROR(__xludf.DUMMYFUNCTION("""COMPUTED_VALUE"""),114920.5)</f>
        <v/>
      </c>
      <c r="AP2798" s="6">
        <f>AQ2798&amp;AR2798</f>
        <v/>
      </c>
      <c r="AQ2798" s="6">
        <f>YEAR(AS2798)</f>
        <v/>
      </c>
      <c r="AR2798" s="6">
        <f>MONTH(AS2798)</f>
        <v/>
      </c>
    </row>
    <row r="2799">
      <c r="B2799" s="6">
        <f>C2799&amp;D2799</f>
        <v/>
      </c>
      <c r="C2799" s="6">
        <f>YEAR(E2799)</f>
        <v/>
      </c>
      <c r="D2799" s="6">
        <f>MONTH(E2799)</f>
        <v/>
      </c>
      <c r="J2799" s="6">
        <f>K2799&amp;L2799</f>
        <v/>
      </c>
      <c r="K2799" s="6">
        <f>YEAR(M2799)</f>
        <v/>
      </c>
      <c r="L2799" s="6">
        <f>MONTH(M2799)</f>
        <v/>
      </c>
      <c r="R2799" s="6">
        <f>S2799&amp;T2799</f>
        <v/>
      </c>
      <c r="S2799" s="6">
        <f>YEAR(U2799)</f>
        <v/>
      </c>
      <c r="T2799" s="6">
        <f>MONTH(U2799)</f>
        <v/>
      </c>
      <c r="Z2799" s="6">
        <f>AA2799&amp;AB2799</f>
        <v/>
      </c>
      <c r="AA2799" s="6">
        <f>YEAR(AC2799)</f>
        <v/>
      </c>
      <c r="AB2799" s="6">
        <f>MONTH(AC2799)</f>
        <v/>
      </c>
      <c r="AC2799" s="267">
        <f>IFERROR(__xludf.DUMMYFUNCTION("""COMPUTED_VALUE"""),45958.9986111111)</f>
        <v/>
      </c>
      <c r="AD2799" s="6">
        <f>IFERROR(__xludf.DUMMYFUNCTION("""COMPUTED_VALUE"""),1425.97)</f>
        <v/>
      </c>
      <c r="AH2799" s="6">
        <f>AI2799&amp;AJ2799</f>
        <v/>
      </c>
      <c r="AI2799" s="6">
        <f>YEAR(AK2799)</f>
        <v/>
      </c>
      <c r="AJ2799" s="6">
        <f>MONTH(AK2799)</f>
        <v/>
      </c>
      <c r="AK2799" s="267">
        <f>IFERROR(__xludf.DUMMYFUNCTION("""COMPUTED_VALUE"""),45894.9986111111)</f>
        <v/>
      </c>
      <c r="AL2799" s="6">
        <f>IFERROR(__xludf.DUMMYFUNCTION("""COMPUTED_VALUE"""),113044.1)</f>
        <v/>
      </c>
      <c r="AP2799" s="6">
        <f>AQ2799&amp;AR2799</f>
        <v/>
      </c>
      <c r="AQ2799" s="6">
        <f>YEAR(AS2799)</f>
        <v/>
      </c>
      <c r="AR2799" s="6">
        <f>MONTH(AS2799)</f>
        <v/>
      </c>
    </row>
    <row r="2800">
      <c r="B2800" s="6">
        <f>C2800&amp;D2800</f>
        <v/>
      </c>
      <c r="C2800" s="6">
        <f>YEAR(E2800)</f>
        <v/>
      </c>
      <c r="D2800" s="6">
        <f>MONTH(E2800)</f>
        <v/>
      </c>
      <c r="J2800" s="6">
        <f>K2800&amp;L2800</f>
        <v/>
      </c>
      <c r="K2800" s="6">
        <f>YEAR(M2800)</f>
        <v/>
      </c>
      <c r="L2800" s="6">
        <f>MONTH(M2800)</f>
        <v/>
      </c>
      <c r="R2800" s="6">
        <f>S2800&amp;T2800</f>
        <v/>
      </c>
      <c r="S2800" s="6">
        <f>YEAR(U2800)</f>
        <v/>
      </c>
      <c r="T2800" s="6">
        <f>MONTH(U2800)</f>
        <v/>
      </c>
      <c r="Z2800" s="6">
        <f>AA2800&amp;AB2800</f>
        <v/>
      </c>
      <c r="AA2800" s="6">
        <f>YEAR(AC2800)</f>
        <v/>
      </c>
      <c r="AB2800" s="6">
        <f>MONTH(AC2800)</f>
        <v/>
      </c>
      <c r="AC2800" s="267">
        <f>IFERROR(__xludf.DUMMYFUNCTION("""COMPUTED_VALUE"""),45959.9986111111)</f>
        <v/>
      </c>
      <c r="AD2800" s="6">
        <f>IFERROR(__xludf.DUMMYFUNCTION("""COMPUTED_VALUE"""),1424.01)</f>
        <v/>
      </c>
      <c r="AH2800" s="6">
        <f>AI2800&amp;AJ2800</f>
        <v/>
      </c>
      <c r="AI2800" s="6">
        <f>YEAR(AK2800)</f>
        <v/>
      </c>
      <c r="AJ2800" s="6">
        <f>MONTH(AK2800)</f>
        <v/>
      </c>
      <c r="AK2800" s="267">
        <f>IFERROR(__xludf.DUMMYFUNCTION("""COMPUTED_VALUE"""),45895.9986111111)</f>
        <v/>
      </c>
      <c r="AL2800" s="6">
        <f>IFERROR(__xludf.DUMMYFUNCTION("""COMPUTED_VALUE"""),109923.5)</f>
        <v/>
      </c>
      <c r="AP2800" s="6">
        <f>AQ2800&amp;AR2800</f>
        <v/>
      </c>
      <c r="AQ2800" s="6">
        <f>YEAR(AS2800)</f>
        <v/>
      </c>
      <c r="AR2800" s="6">
        <f>MONTH(AS2800)</f>
        <v/>
      </c>
    </row>
    <row r="2801">
      <c r="B2801" s="6">
        <f>C2801&amp;D2801</f>
        <v/>
      </c>
      <c r="C2801" s="6">
        <f>YEAR(E2801)</f>
        <v/>
      </c>
      <c r="D2801" s="6">
        <f>MONTH(E2801)</f>
        <v/>
      </c>
      <c r="J2801" s="6">
        <f>K2801&amp;L2801</f>
        <v/>
      </c>
      <c r="K2801" s="6">
        <f>YEAR(M2801)</f>
        <v/>
      </c>
      <c r="L2801" s="6">
        <f>MONTH(M2801)</f>
        <v/>
      </c>
      <c r="R2801" s="6">
        <f>S2801&amp;T2801</f>
        <v/>
      </c>
      <c r="S2801" s="6">
        <f>YEAR(U2801)</f>
        <v/>
      </c>
      <c r="T2801" s="6">
        <f>MONTH(U2801)</f>
        <v/>
      </c>
      <c r="Z2801" s="6">
        <f>AA2801&amp;AB2801</f>
        <v/>
      </c>
      <c r="AA2801" s="6">
        <f>YEAR(AC2801)</f>
        <v/>
      </c>
      <c r="AB2801" s="6">
        <f>MONTH(AC2801)</f>
        <v/>
      </c>
      <c r="AC2801" s="267">
        <f>IFERROR(__xludf.DUMMYFUNCTION("""COMPUTED_VALUE"""),45960.9986111111)</f>
        <v/>
      </c>
      <c r="AD2801" s="6">
        <f>IFERROR(__xludf.DUMMYFUNCTION("""COMPUTED_VALUE"""),1424.02)</f>
        <v/>
      </c>
      <c r="AH2801" s="6">
        <f>AI2801&amp;AJ2801</f>
        <v/>
      </c>
      <c r="AI2801" s="6">
        <f>YEAR(AK2801)</f>
        <v/>
      </c>
      <c r="AJ2801" s="6">
        <f>MONTH(AK2801)</f>
        <v/>
      </c>
      <c r="AK2801" s="267">
        <f>IFERROR(__xludf.DUMMYFUNCTION("""COMPUTED_VALUE"""),45896.9986111111)</f>
        <v/>
      </c>
      <c r="AL2801" s="6">
        <f>IFERROR(__xludf.DUMMYFUNCTION("""COMPUTED_VALUE"""),111478.5)</f>
        <v/>
      </c>
      <c r="AP2801" s="6">
        <f>AQ2801&amp;AR2801</f>
        <v/>
      </c>
      <c r="AQ2801" s="6">
        <f>YEAR(AS2801)</f>
        <v/>
      </c>
      <c r="AR2801" s="6">
        <f>MONTH(AS2801)</f>
        <v/>
      </c>
    </row>
    <row r="2802">
      <c r="B2802" s="6">
        <f>C2802&amp;D2802</f>
        <v/>
      </c>
      <c r="C2802" s="6">
        <f>YEAR(E2802)</f>
        <v/>
      </c>
      <c r="D2802" s="6">
        <f>MONTH(E2802)</f>
        <v/>
      </c>
      <c r="J2802" s="6">
        <f>K2802&amp;L2802</f>
        <v/>
      </c>
      <c r="K2802" s="6">
        <f>YEAR(M2802)</f>
        <v/>
      </c>
      <c r="L2802" s="6">
        <f>MONTH(M2802)</f>
        <v/>
      </c>
      <c r="R2802" s="6">
        <f>S2802&amp;T2802</f>
        <v/>
      </c>
      <c r="S2802" s="6">
        <f>YEAR(U2802)</f>
        <v/>
      </c>
      <c r="T2802" s="6">
        <f>MONTH(U2802)</f>
        <v/>
      </c>
      <c r="Z2802" s="6">
        <f>AA2802&amp;AB2802</f>
        <v/>
      </c>
      <c r="AA2802" s="6">
        <f>YEAR(AC2802)</f>
        <v/>
      </c>
      <c r="AB2802" s="6">
        <f>MONTH(AC2802)</f>
        <v/>
      </c>
      <c r="AC2802" s="267">
        <f>IFERROR(__xludf.DUMMYFUNCTION("""COMPUTED_VALUE"""),45961.9986111111)</f>
        <v/>
      </c>
      <c r="AD2802" s="6">
        <f>IFERROR(__xludf.DUMMYFUNCTION("""COMPUTED_VALUE"""),1427.77)</f>
        <v/>
      </c>
      <c r="AH2802" s="6">
        <f>AI2802&amp;AJ2802</f>
        <v/>
      </c>
      <c r="AI2802" s="6">
        <f>YEAR(AK2802)</f>
        <v/>
      </c>
      <c r="AJ2802" s="6">
        <f>MONTH(AK2802)</f>
        <v/>
      </c>
      <c r="AK2802" s="267">
        <f>IFERROR(__xludf.DUMMYFUNCTION("""COMPUTED_VALUE"""),45897.9986111111)</f>
        <v/>
      </c>
      <c r="AL2802" s="6">
        <f>IFERROR(__xludf.DUMMYFUNCTION("""COMPUTED_VALUE"""),112032)</f>
        <v/>
      </c>
      <c r="AP2802" s="6">
        <f>AQ2802&amp;AR2802</f>
        <v/>
      </c>
      <c r="AQ2802" s="6">
        <f>YEAR(AS2802)</f>
        <v/>
      </c>
      <c r="AR2802" s="6">
        <f>MONTH(AS2802)</f>
        <v/>
      </c>
    </row>
    <row r="2803">
      <c r="B2803" s="6">
        <f>C2803&amp;D2803</f>
        <v/>
      </c>
      <c r="C2803" s="6">
        <f>YEAR(E2803)</f>
        <v/>
      </c>
      <c r="D2803" s="6">
        <f>MONTH(E2803)</f>
        <v/>
      </c>
      <c r="J2803" s="6">
        <f>K2803&amp;L2803</f>
        <v/>
      </c>
      <c r="K2803" s="6">
        <f>YEAR(M2803)</f>
        <v/>
      </c>
      <c r="L2803" s="6">
        <f>MONTH(M2803)</f>
        <v/>
      </c>
      <c r="R2803" s="6">
        <f>S2803&amp;T2803</f>
        <v/>
      </c>
      <c r="S2803" s="6">
        <f>YEAR(U2803)</f>
        <v/>
      </c>
      <c r="T2803" s="6">
        <f>MONTH(U2803)</f>
        <v/>
      </c>
      <c r="Z2803" s="6">
        <f>AA2803&amp;AB2803</f>
        <v/>
      </c>
      <c r="AA2803" s="6">
        <f>YEAR(AC2803)</f>
        <v/>
      </c>
      <c r="AB2803" s="6">
        <f>MONTH(AC2803)</f>
        <v/>
      </c>
      <c r="AC2803" s="267">
        <f>IFERROR(__xludf.DUMMYFUNCTION("""COMPUTED_VALUE"""),45962.9986111111)</f>
        <v/>
      </c>
      <c r="AD2803" s="6">
        <f>IFERROR(__xludf.DUMMYFUNCTION("""COMPUTED_VALUE"""),1427.17)</f>
        <v/>
      </c>
      <c r="AH2803" s="6">
        <f>AI2803&amp;AJ2803</f>
        <v/>
      </c>
      <c r="AI2803" s="6">
        <f>YEAR(AK2803)</f>
        <v/>
      </c>
      <c r="AJ2803" s="6">
        <f>MONTH(AK2803)</f>
        <v/>
      </c>
      <c r="AK2803" s="267">
        <f>IFERROR(__xludf.DUMMYFUNCTION("""COMPUTED_VALUE"""),45898.9986111111)</f>
        <v/>
      </c>
      <c r="AL2803" s="6">
        <f>IFERROR(__xludf.DUMMYFUNCTION("""COMPUTED_VALUE"""),111769.5)</f>
        <v/>
      </c>
      <c r="AP2803" s="6">
        <f>AQ2803&amp;AR2803</f>
        <v/>
      </c>
      <c r="AQ2803" s="6">
        <f>YEAR(AS2803)</f>
        <v/>
      </c>
      <c r="AR2803" s="6">
        <f>MONTH(AS2803)</f>
        <v/>
      </c>
    </row>
    <row r="2804">
      <c r="B2804" s="6">
        <f>C2804&amp;D2804</f>
        <v/>
      </c>
      <c r="C2804" s="6">
        <f>YEAR(E2804)</f>
        <v/>
      </c>
      <c r="D2804" s="6">
        <f>MONTH(E2804)</f>
        <v/>
      </c>
      <c r="J2804" s="6">
        <f>K2804&amp;L2804</f>
        <v/>
      </c>
      <c r="K2804" s="6">
        <f>YEAR(M2804)</f>
        <v/>
      </c>
      <c r="L2804" s="6">
        <f>MONTH(M2804)</f>
        <v/>
      </c>
      <c r="R2804" s="6">
        <f>S2804&amp;T2804</f>
        <v/>
      </c>
      <c r="S2804" s="6">
        <f>YEAR(U2804)</f>
        <v/>
      </c>
      <c r="T2804" s="6">
        <f>MONTH(U2804)</f>
        <v/>
      </c>
      <c r="Z2804" s="6">
        <f>AA2804&amp;AB2804</f>
        <v/>
      </c>
      <c r="AA2804" s="6">
        <f>YEAR(AC2804)</f>
        <v/>
      </c>
      <c r="AB2804" s="6">
        <f>MONTH(AC2804)</f>
        <v/>
      </c>
      <c r="AC2804" s="267">
        <f>IFERROR(__xludf.DUMMYFUNCTION("""COMPUTED_VALUE"""),45963.9986111111)</f>
        <v/>
      </c>
      <c r="AD2804" s="6">
        <f>IFERROR(__xludf.DUMMYFUNCTION("""COMPUTED_VALUE"""),1427.17)</f>
        <v/>
      </c>
      <c r="AH2804" s="6">
        <f>AI2804&amp;AJ2804</f>
        <v/>
      </c>
      <c r="AI2804" s="6">
        <f>YEAR(AK2804)</f>
        <v/>
      </c>
      <c r="AJ2804" s="6">
        <f>MONTH(AK2804)</f>
        <v/>
      </c>
      <c r="AK2804" s="267">
        <f>IFERROR(__xludf.DUMMYFUNCTION("""COMPUTED_VALUE"""),45899.9986111111)</f>
        <v/>
      </c>
      <c r="AL2804" s="6">
        <f>IFERROR(__xludf.DUMMYFUNCTION("""COMPUTED_VALUE"""),108454.4)</f>
        <v/>
      </c>
      <c r="AP2804" s="6">
        <f>AQ2804&amp;AR2804</f>
        <v/>
      </c>
      <c r="AQ2804" s="6">
        <f>YEAR(AS2804)</f>
        <v/>
      </c>
      <c r="AR2804" s="6">
        <f>MONTH(AS2804)</f>
        <v/>
      </c>
    </row>
    <row r="2805">
      <c r="B2805" s="6">
        <f>C2805&amp;D2805</f>
        <v/>
      </c>
      <c r="C2805" s="6">
        <f>YEAR(E2805)</f>
        <v/>
      </c>
      <c r="D2805" s="6">
        <f>MONTH(E2805)</f>
        <v/>
      </c>
      <c r="J2805" s="6">
        <f>K2805&amp;L2805</f>
        <v/>
      </c>
      <c r="K2805" s="6">
        <f>YEAR(M2805)</f>
        <v/>
      </c>
      <c r="L2805" s="6">
        <f>MONTH(M2805)</f>
        <v/>
      </c>
      <c r="R2805" s="6">
        <f>S2805&amp;T2805</f>
        <v/>
      </c>
      <c r="S2805" s="6">
        <f>YEAR(U2805)</f>
        <v/>
      </c>
      <c r="T2805" s="6">
        <f>MONTH(U2805)</f>
        <v/>
      </c>
      <c r="Z2805" s="6">
        <f>AA2805&amp;AB2805</f>
        <v/>
      </c>
      <c r="AA2805" s="6">
        <f>YEAR(AC2805)</f>
        <v/>
      </c>
      <c r="AB2805" s="6">
        <f>MONTH(AC2805)</f>
        <v/>
      </c>
      <c r="AC2805" s="267">
        <f>IFERROR(__xludf.DUMMYFUNCTION("""COMPUTED_VALUE"""),45964.9986111111)</f>
        <v/>
      </c>
      <c r="AD2805" s="6">
        <f>IFERROR(__xludf.DUMMYFUNCTION("""COMPUTED_VALUE"""),1428.97)</f>
        <v/>
      </c>
      <c r="AH2805" s="6">
        <f>AI2805&amp;AJ2805</f>
        <v/>
      </c>
      <c r="AI2805" s="6">
        <f>YEAR(AK2805)</f>
        <v/>
      </c>
      <c r="AJ2805" s="6">
        <f>MONTH(AK2805)</f>
        <v/>
      </c>
      <c r="AK2805" s="267">
        <f>IFERROR(__xludf.DUMMYFUNCTION("""COMPUTED_VALUE"""),45900.9986111111)</f>
        <v/>
      </c>
      <c r="AL2805" s="6">
        <f>IFERROR(__xludf.DUMMYFUNCTION("""COMPUTED_VALUE"""),109251.6)</f>
        <v/>
      </c>
      <c r="AP2805" s="6">
        <f>AQ2805&amp;AR2805</f>
        <v/>
      </c>
      <c r="AQ2805" s="6">
        <f>YEAR(AS2805)</f>
        <v/>
      </c>
      <c r="AR2805" s="6">
        <f>MONTH(AS2805)</f>
        <v/>
      </c>
    </row>
    <row r="2806">
      <c r="B2806" s="6">
        <f>C2806&amp;D2806</f>
        <v/>
      </c>
      <c r="C2806" s="6">
        <f>YEAR(E2806)</f>
        <v/>
      </c>
      <c r="D2806" s="6">
        <f>MONTH(E2806)</f>
        <v/>
      </c>
      <c r="J2806" s="6">
        <f>K2806&amp;L2806</f>
        <v/>
      </c>
      <c r="K2806" s="6">
        <f>YEAR(M2806)</f>
        <v/>
      </c>
      <c r="L2806" s="6">
        <f>MONTH(M2806)</f>
        <v/>
      </c>
      <c r="R2806" s="6">
        <f>S2806&amp;T2806</f>
        <v/>
      </c>
      <c r="S2806" s="6">
        <f>YEAR(U2806)</f>
        <v/>
      </c>
      <c r="T2806" s="6">
        <f>MONTH(U2806)</f>
        <v/>
      </c>
      <c r="Z2806" s="6">
        <f>AA2806&amp;AB2806</f>
        <v/>
      </c>
      <c r="AA2806" s="6">
        <f>YEAR(AC2806)</f>
        <v/>
      </c>
      <c r="AB2806" s="6">
        <f>MONTH(AC2806)</f>
        <v/>
      </c>
      <c r="AC2806" s="267">
        <f>IFERROR(__xludf.DUMMYFUNCTION("""COMPUTED_VALUE"""),45965.9986111111)</f>
        <v/>
      </c>
      <c r="AD2806" s="6">
        <f>IFERROR(__xludf.DUMMYFUNCTION("""COMPUTED_VALUE"""),1439.81)</f>
        <v/>
      </c>
      <c r="AH2806" s="6">
        <f>AI2806&amp;AJ2806</f>
        <v/>
      </c>
      <c r="AI2806" s="6">
        <f>YEAR(AK2806)</f>
        <v/>
      </c>
      <c r="AJ2806" s="6">
        <f>MONTH(AK2806)</f>
        <v/>
      </c>
      <c r="AK2806" s="267">
        <f>IFERROR(__xludf.DUMMYFUNCTION("""COMPUTED_VALUE"""),45901.9986111111)</f>
        <v/>
      </c>
      <c r="AL2806" s="6">
        <f>IFERROR(__xludf.DUMMYFUNCTION("""COMPUTED_VALUE"""),107694.3)</f>
        <v/>
      </c>
      <c r="AP2806" s="6">
        <f>AQ2806&amp;AR2806</f>
        <v/>
      </c>
      <c r="AQ2806" s="6">
        <f>YEAR(AS2806)</f>
        <v/>
      </c>
      <c r="AR2806" s="6">
        <f>MONTH(AS2806)</f>
        <v/>
      </c>
    </row>
    <row r="2807">
      <c r="B2807" s="6">
        <f>C2807&amp;D2807</f>
        <v/>
      </c>
      <c r="C2807" s="6">
        <f>YEAR(E2807)</f>
        <v/>
      </c>
      <c r="D2807" s="6">
        <f>MONTH(E2807)</f>
        <v/>
      </c>
      <c r="J2807" s="6">
        <f>K2807&amp;L2807</f>
        <v/>
      </c>
      <c r="K2807" s="6">
        <f>YEAR(M2807)</f>
        <v/>
      </c>
      <c r="L2807" s="6">
        <f>MONTH(M2807)</f>
        <v/>
      </c>
      <c r="R2807" s="6">
        <f>S2807&amp;T2807</f>
        <v/>
      </c>
      <c r="S2807" s="6">
        <f>YEAR(U2807)</f>
        <v/>
      </c>
      <c r="T2807" s="6">
        <f>MONTH(U2807)</f>
        <v/>
      </c>
      <c r="Z2807" s="6">
        <f>AA2807&amp;AB2807</f>
        <v/>
      </c>
      <c r="AA2807" s="6">
        <f>YEAR(AC2807)</f>
        <v/>
      </c>
      <c r="AB2807" s="6">
        <f>MONTH(AC2807)</f>
        <v/>
      </c>
      <c r="AC2807" s="267">
        <f>IFERROR(__xludf.DUMMYFUNCTION("""COMPUTED_VALUE"""),45966.9986111111)</f>
        <v/>
      </c>
      <c r="AD2807" s="6">
        <f>IFERROR(__xludf.DUMMYFUNCTION("""COMPUTED_VALUE"""),1439.74)</f>
        <v/>
      </c>
      <c r="AH2807" s="6">
        <f>AI2807&amp;AJ2807</f>
        <v/>
      </c>
      <c r="AI2807" s="6">
        <f>YEAR(AK2807)</f>
        <v/>
      </c>
      <c r="AJ2807" s="6">
        <f>MONTH(AK2807)</f>
        <v/>
      </c>
      <c r="AK2807" s="267">
        <f>IFERROR(__xludf.DUMMYFUNCTION("""COMPUTED_VALUE"""),45902.9986111111)</f>
        <v/>
      </c>
      <c r="AL2807" s="6">
        <f>IFERROR(__xludf.DUMMYFUNCTION("""COMPUTED_VALUE"""),110374.9)</f>
        <v/>
      </c>
      <c r="AP2807" s="6">
        <f>AQ2807&amp;AR2807</f>
        <v/>
      </c>
      <c r="AQ2807" s="6">
        <f>YEAR(AS2807)</f>
        <v/>
      </c>
      <c r="AR2807" s="6">
        <f>MONTH(AS2807)</f>
        <v/>
      </c>
    </row>
    <row r="2808">
      <c r="B2808" s="6">
        <f>C2808&amp;D2808</f>
        <v/>
      </c>
      <c r="C2808" s="6">
        <f>YEAR(E2808)</f>
        <v/>
      </c>
      <c r="D2808" s="6">
        <f>MONTH(E2808)</f>
        <v/>
      </c>
      <c r="J2808" s="6">
        <f>K2808&amp;L2808</f>
        <v/>
      </c>
      <c r="K2808" s="6">
        <f>YEAR(M2808)</f>
        <v/>
      </c>
      <c r="L2808" s="6">
        <f>MONTH(M2808)</f>
        <v/>
      </c>
      <c r="R2808" s="6">
        <f>S2808&amp;T2808</f>
        <v/>
      </c>
      <c r="S2808" s="6">
        <f>YEAR(U2808)</f>
        <v/>
      </c>
      <c r="T2808" s="6">
        <f>MONTH(U2808)</f>
        <v/>
      </c>
      <c r="Z2808" s="6">
        <f>AA2808&amp;AB2808</f>
        <v/>
      </c>
      <c r="AA2808" s="6">
        <f>YEAR(AC2808)</f>
        <v/>
      </c>
      <c r="AB2808" s="6">
        <f>MONTH(AC2808)</f>
        <v/>
      </c>
      <c r="AC2808" s="267">
        <f>IFERROR(__xludf.DUMMYFUNCTION("""COMPUTED_VALUE"""),45967.9986111111)</f>
        <v/>
      </c>
      <c r="AD2808" s="6">
        <f>IFERROR(__xludf.DUMMYFUNCTION("""COMPUTED_VALUE"""),1447.9)</f>
        <v/>
      </c>
      <c r="AH2808" s="6">
        <f>AI2808&amp;AJ2808</f>
        <v/>
      </c>
      <c r="AI2808" s="6">
        <f>YEAR(AK2808)</f>
        <v/>
      </c>
      <c r="AJ2808" s="6">
        <f>MONTH(AK2808)</f>
        <v/>
      </c>
      <c r="AK2808" s="267">
        <f>IFERROR(__xludf.DUMMYFUNCTION("""COMPUTED_VALUE"""),45903.9986111111)</f>
        <v/>
      </c>
      <c r="AL2808" s="6">
        <f>IFERROR(__xludf.DUMMYFUNCTION("""COMPUTED_VALUE"""),111092.6)</f>
        <v/>
      </c>
      <c r="AP2808" s="6">
        <f>AQ2808&amp;AR2808</f>
        <v/>
      </c>
      <c r="AQ2808" s="6">
        <f>YEAR(AS2808)</f>
        <v/>
      </c>
      <c r="AR2808" s="6">
        <f>MONTH(AS2808)</f>
        <v/>
      </c>
    </row>
    <row r="2809">
      <c r="B2809" s="6">
        <f>C2809&amp;D2809</f>
        <v/>
      </c>
      <c r="C2809" s="6">
        <f>YEAR(E2809)</f>
        <v/>
      </c>
      <c r="D2809" s="6">
        <f>MONTH(E2809)</f>
        <v/>
      </c>
      <c r="J2809" s="6">
        <f>K2809&amp;L2809</f>
        <v/>
      </c>
      <c r="K2809" s="6">
        <f>YEAR(M2809)</f>
        <v/>
      </c>
      <c r="L2809" s="6">
        <f>MONTH(M2809)</f>
        <v/>
      </c>
      <c r="R2809" s="6">
        <f>S2809&amp;T2809</f>
        <v/>
      </c>
      <c r="S2809" s="6">
        <f>YEAR(U2809)</f>
        <v/>
      </c>
      <c r="T2809" s="6">
        <f>MONTH(U2809)</f>
        <v/>
      </c>
      <c r="Z2809" s="6">
        <f>AA2809&amp;AB2809</f>
        <v/>
      </c>
      <c r="AA2809" s="6">
        <f>YEAR(AC2809)</f>
        <v/>
      </c>
      <c r="AB2809" s="6">
        <f>MONTH(AC2809)</f>
        <v/>
      </c>
      <c r="AC2809" s="267">
        <f>IFERROR(__xludf.DUMMYFUNCTION("""COMPUTED_VALUE"""),45968.9986111111)</f>
        <v/>
      </c>
      <c r="AD2809" s="6">
        <f>IFERROR(__xludf.DUMMYFUNCTION("""COMPUTED_VALUE"""),1454.99)</f>
        <v/>
      </c>
      <c r="AH2809" s="6">
        <f>AI2809&amp;AJ2809</f>
        <v/>
      </c>
      <c r="AI2809" s="6">
        <f>YEAR(AK2809)</f>
        <v/>
      </c>
      <c r="AJ2809" s="6">
        <f>MONTH(AK2809)</f>
        <v/>
      </c>
      <c r="AK2809" s="267">
        <f>IFERROR(__xludf.DUMMYFUNCTION("""COMPUTED_VALUE"""),45904.9986111111)</f>
        <v/>
      </c>
      <c r="AL2809" s="6">
        <f>IFERROR(__xludf.DUMMYFUNCTION("""COMPUTED_VALUE"""),111195.7)</f>
        <v/>
      </c>
      <c r="AP2809" s="6">
        <f>AQ2809&amp;AR2809</f>
        <v/>
      </c>
      <c r="AQ2809" s="6">
        <f>YEAR(AS2809)</f>
        <v/>
      </c>
      <c r="AR2809" s="6">
        <f>MONTH(AS2809)</f>
        <v/>
      </c>
    </row>
    <row r="2810">
      <c r="B2810" s="6">
        <f>C2810&amp;D2810</f>
        <v/>
      </c>
      <c r="C2810" s="6">
        <f>YEAR(E2810)</f>
        <v/>
      </c>
      <c r="D2810" s="6">
        <f>MONTH(E2810)</f>
        <v/>
      </c>
      <c r="J2810" s="6">
        <f>K2810&amp;L2810</f>
        <v/>
      </c>
      <c r="K2810" s="6">
        <f>YEAR(M2810)</f>
        <v/>
      </c>
      <c r="L2810" s="6">
        <f>MONTH(M2810)</f>
        <v/>
      </c>
      <c r="R2810" s="6">
        <f>S2810&amp;T2810</f>
        <v/>
      </c>
      <c r="S2810" s="6">
        <f>YEAR(U2810)</f>
        <v/>
      </c>
      <c r="T2810" s="6">
        <f>MONTH(U2810)</f>
        <v/>
      </c>
      <c r="Z2810" s="6">
        <f>AA2810&amp;AB2810</f>
        <v/>
      </c>
      <c r="AA2810" s="6">
        <f>YEAR(AC2810)</f>
        <v/>
      </c>
      <c r="AB2810" s="6">
        <f>MONTH(AC2810)</f>
        <v/>
      </c>
      <c r="AC2810" s="267">
        <f>IFERROR(__xludf.DUMMYFUNCTION("""COMPUTED_VALUE"""),45969.9986111111)</f>
        <v/>
      </c>
      <c r="AD2810" s="6">
        <f>IFERROR(__xludf.DUMMYFUNCTION("""COMPUTED_VALUE"""),1454.99)</f>
        <v/>
      </c>
      <c r="AH2810" s="6">
        <f>AI2810&amp;AJ2810</f>
        <v/>
      </c>
      <c r="AI2810" s="6">
        <f>YEAR(AK2810)</f>
        <v/>
      </c>
      <c r="AJ2810" s="6">
        <f>MONTH(AK2810)</f>
        <v/>
      </c>
      <c r="AK2810" s="267">
        <f>IFERROR(__xludf.DUMMYFUNCTION("""COMPUTED_VALUE"""),45905.9986111111)</f>
        <v/>
      </c>
      <c r="AL2810" s="6">
        <f>IFERROR(__xludf.DUMMYFUNCTION("""COMPUTED_VALUE"""),111318.7)</f>
        <v/>
      </c>
      <c r="AP2810" s="6">
        <f>AQ2810&amp;AR2810</f>
        <v/>
      </c>
      <c r="AQ2810" s="6">
        <f>YEAR(AS2810)</f>
        <v/>
      </c>
      <c r="AR2810" s="6">
        <f>MONTH(AS2810)</f>
        <v/>
      </c>
    </row>
    <row r="2811">
      <c r="B2811" s="6">
        <f>C2811&amp;D2811</f>
        <v/>
      </c>
      <c r="C2811" s="6">
        <f>YEAR(E2811)</f>
        <v/>
      </c>
      <c r="D2811" s="6">
        <f>MONTH(E2811)</f>
        <v/>
      </c>
      <c r="J2811" s="6">
        <f>K2811&amp;L2811</f>
        <v/>
      </c>
      <c r="K2811" s="6">
        <f>YEAR(M2811)</f>
        <v/>
      </c>
      <c r="L2811" s="6">
        <f>MONTH(M2811)</f>
        <v/>
      </c>
      <c r="R2811" s="6">
        <f>S2811&amp;T2811</f>
        <v/>
      </c>
      <c r="S2811" s="6">
        <f>YEAR(U2811)</f>
        <v/>
      </c>
      <c r="T2811" s="6">
        <f>MONTH(U2811)</f>
        <v/>
      </c>
      <c r="Z2811" s="6">
        <f>AA2811&amp;AB2811</f>
        <v/>
      </c>
      <c r="AA2811" s="6">
        <f>YEAR(AC2811)</f>
        <v/>
      </c>
      <c r="AB2811" s="6">
        <f>MONTH(AC2811)</f>
        <v/>
      </c>
      <c r="AC2811" s="267">
        <f>IFERROR(__xludf.DUMMYFUNCTION("""COMPUTED_VALUE"""),45970.9986111111)</f>
        <v/>
      </c>
      <c r="AD2811" s="6">
        <f>IFERROR(__xludf.DUMMYFUNCTION("""COMPUTED_VALUE"""),1454)</f>
        <v/>
      </c>
      <c r="AH2811" s="6">
        <f>AI2811&amp;AJ2811</f>
        <v/>
      </c>
      <c r="AI2811" s="6">
        <f>YEAR(AK2811)</f>
        <v/>
      </c>
      <c r="AJ2811" s="6">
        <f>MONTH(AK2811)</f>
        <v/>
      </c>
      <c r="AK2811" s="267">
        <f>IFERROR(__xludf.DUMMYFUNCTION("""COMPUTED_VALUE"""),45906.9986111111)</f>
        <v/>
      </c>
      <c r="AL2811" s="6">
        <f>IFERROR(__xludf.DUMMYFUNCTION("""COMPUTED_VALUE"""),111097.1)</f>
        <v/>
      </c>
      <c r="AP2811" s="6">
        <f>AQ2811&amp;AR2811</f>
        <v/>
      </c>
      <c r="AQ2811" s="6">
        <f>YEAR(AS2811)</f>
        <v/>
      </c>
      <c r="AR2811" s="6">
        <f>MONTH(AS2811)</f>
        <v/>
      </c>
    </row>
    <row r="2812">
      <c r="B2812" s="6">
        <f>C2812&amp;D2812</f>
        <v/>
      </c>
      <c r="C2812" s="6">
        <f>YEAR(E2812)</f>
        <v/>
      </c>
      <c r="D2812" s="6">
        <f>MONTH(E2812)</f>
        <v/>
      </c>
      <c r="J2812" s="6">
        <f>K2812&amp;L2812</f>
        <v/>
      </c>
      <c r="K2812" s="6">
        <f>YEAR(M2812)</f>
        <v/>
      </c>
      <c r="L2812" s="6">
        <f>MONTH(M2812)</f>
        <v/>
      </c>
      <c r="R2812" s="6">
        <f>S2812&amp;T2812</f>
        <v/>
      </c>
      <c r="S2812" s="6">
        <f>YEAR(U2812)</f>
        <v/>
      </c>
      <c r="T2812" s="6">
        <f>MONTH(U2812)</f>
        <v/>
      </c>
      <c r="Z2812" s="6">
        <f>AA2812&amp;AB2812</f>
        <v/>
      </c>
      <c r="AA2812" s="6">
        <f>YEAR(AC2812)</f>
        <v/>
      </c>
      <c r="AB2812" s="6">
        <f>MONTH(AC2812)</f>
        <v/>
      </c>
      <c r="AC2812" s="267">
        <f>IFERROR(__xludf.DUMMYFUNCTION("""COMPUTED_VALUE"""),45971.9986111111)</f>
        <v/>
      </c>
      <c r="AD2812" s="6">
        <f>IFERROR(__xludf.DUMMYFUNCTION("""COMPUTED_VALUE"""),1456.09)</f>
        <v/>
      </c>
      <c r="AH2812" s="6">
        <f>AI2812&amp;AJ2812</f>
        <v/>
      </c>
      <c r="AI2812" s="6">
        <f>YEAR(AK2812)</f>
        <v/>
      </c>
      <c r="AJ2812" s="6">
        <f>MONTH(AK2812)</f>
        <v/>
      </c>
      <c r="AK2812" s="267">
        <f>IFERROR(__xludf.DUMMYFUNCTION("""COMPUTED_VALUE"""),45907.9986111111)</f>
        <v/>
      </c>
      <c r="AL2812" s="6">
        <f>IFERROR(__xludf.DUMMYFUNCTION("""COMPUTED_VALUE"""),110679.5)</f>
        <v/>
      </c>
      <c r="AP2812" s="6">
        <f>AQ2812&amp;AR2812</f>
        <v/>
      </c>
      <c r="AQ2812" s="6">
        <f>YEAR(AS2812)</f>
        <v/>
      </c>
      <c r="AR2812" s="6">
        <f>MONTH(AS2812)</f>
        <v/>
      </c>
    </row>
    <row r="2813">
      <c r="B2813" s="6">
        <f>C2813&amp;D2813</f>
        <v/>
      </c>
      <c r="C2813" s="6">
        <f>YEAR(E2813)</f>
        <v/>
      </c>
      <c r="D2813" s="6">
        <f>MONTH(E2813)</f>
        <v/>
      </c>
      <c r="J2813" s="6">
        <f>K2813&amp;L2813</f>
        <v/>
      </c>
      <c r="K2813" s="6">
        <f>YEAR(M2813)</f>
        <v/>
      </c>
      <c r="L2813" s="6">
        <f>MONTH(M2813)</f>
        <v/>
      </c>
      <c r="R2813" s="6">
        <f>S2813&amp;T2813</f>
        <v/>
      </c>
      <c r="S2813" s="6">
        <f>YEAR(U2813)</f>
        <v/>
      </c>
      <c r="T2813" s="6">
        <f>MONTH(U2813)</f>
        <v/>
      </c>
      <c r="Z2813" s="6">
        <f>AA2813&amp;AB2813</f>
        <v/>
      </c>
      <c r="AA2813" s="6">
        <f>YEAR(AC2813)</f>
        <v/>
      </c>
      <c r="AB2813" s="6">
        <f>MONTH(AC2813)</f>
        <v/>
      </c>
      <c r="AC2813" s="267">
        <f>IFERROR(__xludf.DUMMYFUNCTION("""COMPUTED_VALUE"""),45972.9986111111)</f>
        <v/>
      </c>
      <c r="AD2813" s="6">
        <f>IFERROR(__xludf.DUMMYFUNCTION("""COMPUTED_VALUE"""),1459.84)</f>
        <v/>
      </c>
      <c r="AH2813" s="6">
        <f>AI2813&amp;AJ2813</f>
        <v/>
      </c>
      <c r="AI2813" s="6">
        <f>YEAR(AK2813)</f>
        <v/>
      </c>
      <c r="AJ2813" s="6">
        <f>MONTH(AK2813)</f>
        <v/>
      </c>
      <c r="AK2813" s="267">
        <f>IFERROR(__xludf.DUMMYFUNCTION("""COMPUTED_VALUE"""),45908.9986111111)</f>
        <v/>
      </c>
      <c r="AL2813" s="6">
        <f>IFERROR(__xludf.DUMMYFUNCTION("""COMPUTED_VALUE"""),111083.6)</f>
        <v/>
      </c>
      <c r="AP2813" s="6">
        <f>AQ2813&amp;AR2813</f>
        <v/>
      </c>
      <c r="AQ2813" s="6">
        <f>YEAR(AS2813)</f>
        <v/>
      </c>
      <c r="AR2813" s="6">
        <f>MONTH(AS2813)</f>
        <v/>
      </c>
    </row>
    <row r="2814">
      <c r="B2814" s="6">
        <f>C2814&amp;D2814</f>
        <v/>
      </c>
      <c r="C2814" s="6">
        <f>YEAR(E2814)</f>
        <v/>
      </c>
      <c r="D2814" s="6">
        <f>MONTH(E2814)</f>
        <v/>
      </c>
      <c r="J2814" s="6">
        <f>K2814&amp;L2814</f>
        <v/>
      </c>
      <c r="K2814" s="6">
        <f>YEAR(M2814)</f>
        <v/>
      </c>
      <c r="L2814" s="6">
        <f>MONTH(M2814)</f>
        <v/>
      </c>
      <c r="R2814" s="6">
        <f>S2814&amp;T2814</f>
        <v/>
      </c>
      <c r="S2814" s="6">
        <f>YEAR(U2814)</f>
        <v/>
      </c>
      <c r="T2814" s="6">
        <f>MONTH(U2814)</f>
        <v/>
      </c>
      <c r="Z2814" s="6">
        <f>AA2814&amp;AB2814</f>
        <v/>
      </c>
      <c r="AA2814" s="6">
        <f>YEAR(AC2814)</f>
        <v/>
      </c>
      <c r="AB2814" s="6">
        <f>MONTH(AC2814)</f>
        <v/>
      </c>
      <c r="AC2814" s="267">
        <f>IFERROR(__xludf.DUMMYFUNCTION("""COMPUTED_VALUE"""),45973.9986111111)</f>
        <v/>
      </c>
      <c r="AD2814" s="6">
        <f>IFERROR(__xludf.DUMMYFUNCTION("""COMPUTED_VALUE"""),1468.02)</f>
        <v/>
      </c>
      <c r="AH2814" s="6">
        <f>AI2814&amp;AJ2814</f>
        <v/>
      </c>
      <c r="AI2814" s="6">
        <f>YEAR(AK2814)</f>
        <v/>
      </c>
      <c r="AJ2814" s="6">
        <f>MONTH(AK2814)</f>
        <v/>
      </c>
      <c r="AK2814" s="267">
        <f>IFERROR(__xludf.DUMMYFUNCTION("""COMPUTED_VALUE"""),45909.9986111111)</f>
        <v/>
      </c>
      <c r="AL2814" s="6">
        <f>IFERROR(__xludf.DUMMYFUNCTION("""COMPUTED_VALUE"""),111718.2)</f>
        <v/>
      </c>
      <c r="AP2814" s="6">
        <f>AQ2814&amp;AR2814</f>
        <v/>
      </c>
      <c r="AQ2814" s="6">
        <f>YEAR(AS2814)</f>
        <v/>
      </c>
      <c r="AR2814" s="6">
        <f>MONTH(AS2814)</f>
        <v/>
      </c>
    </row>
    <row r="2815">
      <c r="B2815" s="6">
        <f>C2815&amp;D2815</f>
        <v/>
      </c>
      <c r="C2815" s="6">
        <f>YEAR(E2815)</f>
        <v/>
      </c>
      <c r="D2815" s="6">
        <f>MONTH(E2815)</f>
        <v/>
      </c>
      <c r="J2815" s="6">
        <f>K2815&amp;L2815</f>
        <v/>
      </c>
      <c r="K2815" s="6">
        <f>YEAR(M2815)</f>
        <v/>
      </c>
      <c r="L2815" s="6">
        <f>MONTH(M2815)</f>
        <v/>
      </c>
      <c r="R2815" s="6">
        <f>S2815&amp;T2815</f>
        <v/>
      </c>
      <c r="S2815" s="6">
        <f>YEAR(U2815)</f>
        <v/>
      </c>
      <c r="T2815" s="6">
        <f>MONTH(U2815)</f>
        <v/>
      </c>
      <c r="Z2815" s="6">
        <f>AA2815&amp;AB2815</f>
        <v/>
      </c>
      <c r="AA2815" s="6">
        <f>YEAR(AC2815)</f>
        <v/>
      </c>
      <c r="AB2815" s="6">
        <f>MONTH(AC2815)</f>
        <v/>
      </c>
      <c r="AC2815" s="267">
        <f>IFERROR(__xludf.DUMMYFUNCTION("""COMPUTED_VALUE"""),45974.9986111111)</f>
        <v/>
      </c>
      <c r="AD2815" s="6">
        <f>IFERROR(__xludf.DUMMYFUNCTION("""COMPUTED_VALUE"""),1468.71)</f>
        <v/>
      </c>
      <c r="AH2815" s="6">
        <f>AI2815&amp;AJ2815</f>
        <v/>
      </c>
      <c r="AI2815" s="6">
        <f>YEAR(AK2815)</f>
        <v/>
      </c>
      <c r="AJ2815" s="6">
        <f>MONTH(AK2815)</f>
        <v/>
      </c>
      <c r="AK2815" s="267">
        <f>IFERROR(__xludf.DUMMYFUNCTION("""COMPUTED_VALUE"""),45910.9986111111)</f>
        <v/>
      </c>
      <c r="AL2815" s="6">
        <f>IFERROR(__xludf.DUMMYFUNCTION("""COMPUTED_VALUE"""),111504.8)</f>
        <v/>
      </c>
      <c r="AP2815" s="6">
        <f>AQ2815&amp;AR2815</f>
        <v/>
      </c>
      <c r="AQ2815" s="6">
        <f>YEAR(AS2815)</f>
        <v/>
      </c>
      <c r="AR2815" s="6">
        <f>MONTH(AS2815)</f>
        <v/>
      </c>
    </row>
    <row r="2816">
      <c r="B2816" s="6">
        <f>C2816&amp;D2816</f>
        <v/>
      </c>
      <c r="C2816" s="6">
        <f>YEAR(E2816)</f>
        <v/>
      </c>
      <c r="D2816" s="6">
        <f>MONTH(E2816)</f>
        <v/>
      </c>
      <c r="J2816" s="6">
        <f>K2816&amp;L2816</f>
        <v/>
      </c>
      <c r="K2816" s="6">
        <f>YEAR(M2816)</f>
        <v/>
      </c>
      <c r="L2816" s="6">
        <f>MONTH(M2816)</f>
        <v/>
      </c>
      <c r="R2816" s="6">
        <f>S2816&amp;T2816</f>
        <v/>
      </c>
      <c r="S2816" s="6">
        <f>YEAR(U2816)</f>
        <v/>
      </c>
      <c r="T2816" s="6">
        <f>MONTH(U2816)</f>
        <v/>
      </c>
      <c r="Z2816" s="6">
        <f>AA2816&amp;AB2816</f>
        <v/>
      </c>
      <c r="AA2816" s="6">
        <f>YEAR(AC2816)</f>
        <v/>
      </c>
      <c r="AB2816" s="6">
        <f>MONTH(AC2816)</f>
        <v/>
      </c>
      <c r="AC2816" s="267">
        <f>IFERROR(__xludf.DUMMYFUNCTION("""COMPUTED_VALUE"""),45975.9986111111)</f>
        <v/>
      </c>
      <c r="AD2816" s="6">
        <f>IFERROR(__xludf.DUMMYFUNCTION("""COMPUTED_VALUE"""),1448.5)</f>
        <v/>
      </c>
      <c r="AH2816" s="6">
        <f>AI2816&amp;AJ2816</f>
        <v/>
      </c>
      <c r="AI2816" s="6">
        <f>YEAR(AK2816)</f>
        <v/>
      </c>
      <c r="AJ2816" s="6">
        <f>MONTH(AK2816)</f>
        <v/>
      </c>
      <c r="AK2816" s="267">
        <f>IFERROR(__xludf.DUMMYFUNCTION("""COMPUTED_VALUE"""),45911.9986111111)</f>
        <v/>
      </c>
      <c r="AL2816" s="6">
        <f>IFERROR(__xludf.DUMMYFUNCTION("""COMPUTED_VALUE"""),114409.8)</f>
        <v/>
      </c>
      <c r="AP2816" s="6">
        <f>AQ2816&amp;AR2816</f>
        <v/>
      </c>
      <c r="AQ2816" s="6">
        <f>YEAR(AS2816)</f>
        <v/>
      </c>
      <c r="AR2816" s="6">
        <f>MONTH(AS2816)</f>
        <v/>
      </c>
    </row>
    <row r="2817">
      <c r="B2817" s="6">
        <f>C2817&amp;D2817</f>
        <v/>
      </c>
      <c r="C2817" s="6">
        <f>YEAR(E2817)</f>
        <v/>
      </c>
      <c r="D2817" s="6">
        <f>MONTH(E2817)</f>
        <v/>
      </c>
      <c r="J2817" s="6">
        <f>K2817&amp;L2817</f>
        <v/>
      </c>
      <c r="K2817" s="6">
        <f>YEAR(M2817)</f>
        <v/>
      </c>
      <c r="L2817" s="6">
        <f>MONTH(M2817)</f>
        <v/>
      </c>
      <c r="R2817" s="6">
        <f>S2817&amp;T2817</f>
        <v/>
      </c>
      <c r="S2817" s="6">
        <f>YEAR(U2817)</f>
        <v/>
      </c>
      <c r="T2817" s="6">
        <f>MONTH(U2817)</f>
        <v/>
      </c>
      <c r="Z2817" s="6">
        <f>AA2817&amp;AB2817</f>
        <v/>
      </c>
      <c r="AA2817" s="6">
        <f>YEAR(AC2817)</f>
        <v/>
      </c>
      <c r="AB2817" s="6">
        <f>MONTH(AC2817)</f>
        <v/>
      </c>
      <c r="AC2817" s="267">
        <f>IFERROR(__xludf.DUMMYFUNCTION("""COMPUTED_VALUE"""),45976.9986111111)</f>
        <v/>
      </c>
      <c r="AD2817" s="6">
        <f>IFERROR(__xludf.DUMMYFUNCTION("""COMPUTED_VALUE"""),1446.53)</f>
        <v/>
      </c>
      <c r="AH2817" s="6">
        <f>AI2817&amp;AJ2817</f>
        <v/>
      </c>
      <c r="AI2817" s="6">
        <f>YEAR(AK2817)</f>
        <v/>
      </c>
      <c r="AJ2817" s="6">
        <f>MONTH(AK2817)</f>
        <v/>
      </c>
      <c r="AK2817" s="267">
        <f>IFERROR(__xludf.DUMMYFUNCTION("""COMPUTED_VALUE"""),45912.9986111111)</f>
        <v/>
      </c>
      <c r="AL2817" s="6">
        <f>IFERROR(__xludf.DUMMYFUNCTION("""COMPUTED_VALUE"""),115269)</f>
        <v/>
      </c>
      <c r="AP2817" s="6">
        <f>AQ2817&amp;AR2817</f>
        <v/>
      </c>
      <c r="AQ2817" s="6">
        <f>YEAR(AS2817)</f>
        <v/>
      </c>
      <c r="AR2817" s="6">
        <f>MONTH(AS2817)</f>
        <v/>
      </c>
    </row>
    <row r="2818">
      <c r="B2818" s="6">
        <f>C2818&amp;D2818</f>
        <v/>
      </c>
      <c r="C2818" s="6">
        <f>YEAR(E2818)</f>
        <v/>
      </c>
      <c r="D2818" s="6">
        <f>MONTH(E2818)</f>
        <v/>
      </c>
      <c r="J2818" s="6">
        <f>K2818&amp;L2818</f>
        <v/>
      </c>
      <c r="K2818" s="6">
        <f>YEAR(M2818)</f>
        <v/>
      </c>
      <c r="L2818" s="6">
        <f>MONTH(M2818)</f>
        <v/>
      </c>
      <c r="R2818" s="6">
        <f>S2818&amp;T2818</f>
        <v/>
      </c>
      <c r="S2818" s="6">
        <f>YEAR(U2818)</f>
        <v/>
      </c>
      <c r="T2818" s="6">
        <f>MONTH(U2818)</f>
        <v/>
      </c>
      <c r="Z2818" s="6">
        <f>AA2818&amp;AB2818</f>
        <v/>
      </c>
      <c r="AA2818" s="6">
        <f>YEAR(AC2818)</f>
        <v/>
      </c>
      <c r="AB2818" s="6">
        <f>MONTH(AC2818)</f>
        <v/>
      </c>
      <c r="AC2818" s="267">
        <f>IFERROR(__xludf.DUMMYFUNCTION("""COMPUTED_VALUE"""),45978.9986111111)</f>
        <v/>
      </c>
      <c r="AD2818" s="6">
        <f>IFERROR(__xludf.DUMMYFUNCTION("""COMPUTED_VALUE"""),1461.69)</f>
        <v/>
      </c>
      <c r="AH2818" s="6">
        <f>AI2818&amp;AJ2818</f>
        <v/>
      </c>
      <c r="AI2818" s="6">
        <f>YEAR(AK2818)</f>
        <v/>
      </c>
      <c r="AJ2818" s="6">
        <f>MONTH(AK2818)</f>
        <v/>
      </c>
      <c r="AK2818" s="267">
        <f>IFERROR(__xludf.DUMMYFUNCTION("""COMPUTED_VALUE"""),45913.9986111111)</f>
        <v/>
      </c>
      <c r="AL2818" s="6">
        <f>IFERROR(__xludf.DUMMYFUNCTION("""COMPUTED_VALUE"""),115966.3)</f>
        <v/>
      </c>
      <c r="AP2818" s="6">
        <f>AQ2818&amp;AR2818</f>
        <v/>
      </c>
      <c r="AQ2818" s="6">
        <f>YEAR(AS2818)</f>
        <v/>
      </c>
      <c r="AR2818" s="6">
        <f>MONTH(AS2818)</f>
        <v/>
      </c>
    </row>
    <row r="2819">
      <c r="B2819" s="6">
        <f>C2819&amp;D2819</f>
        <v/>
      </c>
      <c r="C2819" s="6">
        <f>YEAR(E2819)</f>
        <v/>
      </c>
      <c r="D2819" s="6">
        <f>MONTH(E2819)</f>
        <v/>
      </c>
      <c r="J2819" s="6">
        <f>K2819&amp;L2819</f>
        <v/>
      </c>
      <c r="K2819" s="6">
        <f>YEAR(M2819)</f>
        <v/>
      </c>
      <c r="L2819" s="6">
        <f>MONTH(M2819)</f>
        <v/>
      </c>
      <c r="R2819" s="6">
        <f>S2819&amp;T2819</f>
        <v/>
      </c>
      <c r="S2819" s="6">
        <f>YEAR(U2819)</f>
        <v/>
      </c>
      <c r="T2819" s="6">
        <f>MONTH(U2819)</f>
        <v/>
      </c>
      <c r="Z2819" s="6">
        <f>AA2819&amp;AB2819</f>
        <v/>
      </c>
      <c r="AA2819" s="6">
        <f>YEAR(AC2819)</f>
        <v/>
      </c>
      <c r="AB2819" s="6">
        <f>MONTH(AC2819)</f>
        <v/>
      </c>
      <c r="AC2819" s="267">
        <f>IFERROR(__xludf.DUMMYFUNCTION("""COMPUTED_VALUE"""),45979.9986111111)</f>
        <v/>
      </c>
      <c r="AD2819" s="6">
        <f>IFERROR(__xludf.DUMMYFUNCTION("""COMPUTED_VALUE"""),1456.55)</f>
        <v/>
      </c>
      <c r="AH2819" s="6">
        <f>AI2819&amp;AJ2819</f>
        <v/>
      </c>
      <c r="AI2819" s="6">
        <f>YEAR(AK2819)</f>
        <v/>
      </c>
      <c r="AJ2819" s="6">
        <f>MONTH(AK2819)</f>
        <v/>
      </c>
      <c r="AK2819" s="267">
        <f>IFERROR(__xludf.DUMMYFUNCTION("""COMPUTED_VALUE"""),45914.9986111111)</f>
        <v/>
      </c>
      <c r="AL2819" s="6">
        <f>IFERROR(__xludf.DUMMYFUNCTION("""COMPUTED_VALUE"""),115717.9)</f>
        <v/>
      </c>
      <c r="AP2819" s="6">
        <f>AQ2819&amp;AR2819</f>
        <v/>
      </c>
      <c r="AQ2819" s="6">
        <f>YEAR(AS2819)</f>
        <v/>
      </c>
      <c r="AR2819" s="6">
        <f>MONTH(AS2819)</f>
        <v/>
      </c>
    </row>
    <row r="2820">
      <c r="B2820" s="6">
        <f>C2820&amp;D2820</f>
        <v/>
      </c>
      <c r="C2820" s="6">
        <f>YEAR(E2820)</f>
        <v/>
      </c>
      <c r="D2820" s="6">
        <f>MONTH(E2820)</f>
        <v/>
      </c>
      <c r="J2820" s="6">
        <f>K2820&amp;L2820</f>
        <v/>
      </c>
      <c r="K2820" s="6">
        <f>YEAR(M2820)</f>
        <v/>
      </c>
      <c r="L2820" s="6">
        <f>MONTH(M2820)</f>
        <v/>
      </c>
      <c r="R2820" s="6">
        <f>S2820&amp;T2820</f>
        <v/>
      </c>
      <c r="S2820" s="6">
        <f>YEAR(U2820)</f>
        <v/>
      </c>
      <c r="T2820" s="6">
        <f>MONTH(U2820)</f>
        <v/>
      </c>
      <c r="Z2820" s="6">
        <f>AA2820&amp;AB2820</f>
        <v/>
      </c>
      <c r="AA2820" s="6">
        <f>YEAR(AC2820)</f>
        <v/>
      </c>
      <c r="AB2820" s="6">
        <f>MONTH(AC2820)</f>
        <v/>
      </c>
      <c r="AC2820" s="267">
        <f>IFERROR(__xludf.DUMMYFUNCTION("""COMPUTED_VALUE"""),45980.9986111111)</f>
        <v/>
      </c>
      <c r="AD2820" s="6">
        <f>IFERROR(__xludf.DUMMYFUNCTION("""COMPUTED_VALUE"""),1466.13)</f>
        <v/>
      </c>
      <c r="AH2820" s="6">
        <f>AI2820&amp;AJ2820</f>
        <v/>
      </c>
      <c r="AI2820" s="6">
        <f>YEAR(AK2820)</f>
        <v/>
      </c>
      <c r="AJ2820" s="6">
        <f>MONTH(AK2820)</f>
        <v/>
      </c>
      <c r="AK2820" s="267">
        <f>IFERROR(__xludf.DUMMYFUNCTION("""COMPUTED_VALUE"""),45915.9986111111)</f>
        <v/>
      </c>
      <c r="AL2820" s="6">
        <f>IFERROR(__xludf.DUMMYFUNCTION("""COMPUTED_VALUE"""),115537.4)</f>
        <v/>
      </c>
      <c r="AP2820" s="6">
        <f>AQ2820&amp;AR2820</f>
        <v/>
      </c>
      <c r="AQ2820" s="6">
        <f>YEAR(AS2820)</f>
        <v/>
      </c>
      <c r="AR2820" s="6">
        <f>MONTH(AS2820)</f>
        <v/>
      </c>
    </row>
    <row r="2821">
      <c r="B2821" s="6">
        <f>C2821&amp;D2821</f>
        <v/>
      </c>
      <c r="C2821" s="6">
        <f>YEAR(E2821)</f>
        <v/>
      </c>
      <c r="D2821" s="6">
        <f>MONTH(E2821)</f>
        <v/>
      </c>
      <c r="J2821" s="6">
        <f>K2821&amp;L2821</f>
        <v/>
      </c>
      <c r="K2821" s="6">
        <f>YEAR(M2821)</f>
        <v/>
      </c>
      <c r="L2821" s="6">
        <f>MONTH(M2821)</f>
        <v/>
      </c>
      <c r="R2821" s="6">
        <f>S2821&amp;T2821</f>
        <v/>
      </c>
      <c r="S2821" s="6">
        <f>YEAR(U2821)</f>
        <v/>
      </c>
      <c r="T2821" s="6">
        <f>MONTH(U2821)</f>
        <v/>
      </c>
      <c r="Z2821" s="6">
        <f>AA2821&amp;AB2821</f>
        <v/>
      </c>
      <c r="AA2821" s="6">
        <f>YEAR(AC2821)</f>
        <v/>
      </c>
      <c r="AB2821" s="6">
        <f>MONTH(AC2821)</f>
        <v/>
      </c>
      <c r="AC2821" s="267">
        <f>IFERROR(__xludf.DUMMYFUNCTION("""COMPUTED_VALUE"""),45981.9986111111)</f>
        <v/>
      </c>
      <c r="AD2821" s="6">
        <f>IFERROR(__xludf.DUMMYFUNCTION("""COMPUTED_VALUE"""),1473.25)</f>
        <v/>
      </c>
      <c r="AH2821" s="6">
        <f>AI2821&amp;AJ2821</f>
        <v/>
      </c>
      <c r="AI2821" s="6">
        <f>YEAR(AK2821)</f>
        <v/>
      </c>
      <c r="AJ2821" s="6">
        <f>MONTH(AK2821)</f>
        <v/>
      </c>
      <c r="AK2821" s="267">
        <f>IFERROR(__xludf.DUMMYFUNCTION("""COMPUTED_VALUE"""),45916.9986111111)</f>
        <v/>
      </c>
      <c r="AL2821" s="6">
        <f>IFERROR(__xludf.DUMMYFUNCTION("""COMPUTED_VALUE"""),115383.4)</f>
        <v/>
      </c>
      <c r="AP2821" s="6">
        <f>AQ2821&amp;AR2821</f>
        <v/>
      </c>
      <c r="AQ2821" s="6">
        <f>YEAR(AS2821)</f>
        <v/>
      </c>
      <c r="AR2821" s="6">
        <f>MONTH(AS2821)</f>
        <v/>
      </c>
    </row>
    <row r="2822">
      <c r="B2822" s="6">
        <f>C2822&amp;D2822</f>
        <v/>
      </c>
      <c r="C2822" s="6">
        <f>YEAR(E2822)</f>
        <v/>
      </c>
      <c r="D2822" s="6">
        <f>MONTH(E2822)</f>
        <v/>
      </c>
      <c r="J2822" s="6">
        <f>K2822&amp;L2822</f>
        <v/>
      </c>
      <c r="K2822" s="6">
        <f>YEAR(M2822)</f>
        <v/>
      </c>
      <c r="L2822" s="6">
        <f>MONTH(M2822)</f>
        <v/>
      </c>
      <c r="R2822" s="6">
        <f>S2822&amp;T2822</f>
        <v/>
      </c>
      <c r="S2822" s="6">
        <f>YEAR(U2822)</f>
        <v/>
      </c>
      <c r="T2822" s="6">
        <f>MONTH(U2822)</f>
        <v/>
      </c>
      <c r="Z2822" s="6">
        <f>AA2822&amp;AB2822</f>
        <v/>
      </c>
      <c r="AA2822" s="6">
        <f>YEAR(AC2822)</f>
        <v/>
      </c>
      <c r="AB2822" s="6">
        <f>MONTH(AC2822)</f>
        <v/>
      </c>
      <c r="AC2822" s="267">
        <f>IFERROR(__xludf.DUMMYFUNCTION("""COMPUTED_VALUE"""),45982.9986111111)</f>
        <v/>
      </c>
      <c r="AD2822" s="6">
        <f>IFERROR(__xludf.DUMMYFUNCTION("""COMPUTED_VALUE"""),1468.73)</f>
        <v/>
      </c>
      <c r="AH2822" s="6">
        <f>AI2822&amp;AJ2822</f>
        <v/>
      </c>
      <c r="AI2822" s="6">
        <f>YEAR(AK2822)</f>
        <v/>
      </c>
      <c r="AJ2822" s="6">
        <f>MONTH(AK2822)</f>
        <v/>
      </c>
      <c r="AK2822" s="267">
        <f>IFERROR(__xludf.DUMMYFUNCTION("""COMPUTED_VALUE"""),45917.9986111111)</f>
        <v/>
      </c>
      <c r="AL2822" s="6">
        <f>IFERROR(__xludf.DUMMYFUNCTION("""COMPUTED_VALUE"""),116474.5)</f>
        <v/>
      </c>
      <c r="AP2822" s="6">
        <f>AQ2822&amp;AR2822</f>
        <v/>
      </c>
      <c r="AQ2822" s="6">
        <f>YEAR(AS2822)</f>
        <v/>
      </c>
      <c r="AR2822" s="6">
        <f>MONTH(AS2822)</f>
        <v/>
      </c>
    </row>
    <row r="2823">
      <c r="B2823" s="6">
        <f>C2823&amp;D2823</f>
        <v/>
      </c>
      <c r="C2823" s="6">
        <f>YEAR(E2823)</f>
        <v/>
      </c>
      <c r="D2823" s="6">
        <f>MONTH(E2823)</f>
        <v/>
      </c>
      <c r="J2823" s="6">
        <f>K2823&amp;L2823</f>
        <v/>
      </c>
      <c r="K2823" s="6">
        <f>YEAR(M2823)</f>
        <v/>
      </c>
      <c r="L2823" s="6">
        <f>MONTH(M2823)</f>
        <v/>
      </c>
      <c r="R2823" s="6">
        <f>S2823&amp;T2823</f>
        <v/>
      </c>
      <c r="S2823" s="6">
        <f>YEAR(U2823)</f>
        <v/>
      </c>
      <c r="T2823" s="6">
        <f>MONTH(U2823)</f>
        <v/>
      </c>
      <c r="Z2823" s="6">
        <f>AA2823&amp;AB2823</f>
        <v/>
      </c>
      <c r="AA2823" s="6">
        <f>YEAR(AC2823)</f>
        <v/>
      </c>
      <c r="AB2823" s="6">
        <f>MONTH(AC2823)</f>
        <v/>
      </c>
      <c r="AC2823" s="267">
        <f>IFERROR(__xludf.DUMMYFUNCTION("""COMPUTED_VALUE"""),45983.9986111111)</f>
        <v/>
      </c>
      <c r="AD2823" s="6">
        <f>IFERROR(__xludf.DUMMYFUNCTION("""COMPUTED_VALUE"""),1468.63)</f>
        <v/>
      </c>
      <c r="AH2823" s="6">
        <f>AI2823&amp;AJ2823</f>
        <v/>
      </c>
      <c r="AI2823" s="6">
        <f>YEAR(AK2823)</f>
        <v/>
      </c>
      <c r="AJ2823" s="6">
        <f>MONTH(AK2823)</f>
        <v/>
      </c>
      <c r="AK2823" s="267">
        <f>IFERROR(__xludf.DUMMYFUNCTION("""COMPUTED_VALUE"""),45918.9986111111)</f>
        <v/>
      </c>
      <c r="AL2823" s="6">
        <f>IFERROR(__xludf.DUMMYFUNCTION("""COMPUTED_VALUE"""),117656.3)</f>
        <v/>
      </c>
      <c r="AP2823" s="6">
        <f>AQ2823&amp;AR2823</f>
        <v/>
      </c>
      <c r="AQ2823" s="6">
        <f>YEAR(AS2823)</f>
        <v/>
      </c>
      <c r="AR2823" s="6">
        <f>MONTH(AS2823)</f>
        <v/>
      </c>
    </row>
    <row r="2824">
      <c r="B2824" s="6">
        <f>C2824&amp;D2824</f>
        <v/>
      </c>
      <c r="C2824" s="6">
        <f>YEAR(E2824)</f>
        <v/>
      </c>
      <c r="D2824" s="6">
        <f>MONTH(E2824)</f>
        <v/>
      </c>
      <c r="J2824" s="6">
        <f>K2824&amp;L2824</f>
        <v/>
      </c>
      <c r="K2824" s="6">
        <f>YEAR(M2824)</f>
        <v/>
      </c>
      <c r="L2824" s="6">
        <f>MONTH(M2824)</f>
        <v/>
      </c>
      <c r="R2824" s="6">
        <f>S2824&amp;T2824</f>
        <v/>
      </c>
      <c r="S2824" s="6">
        <f>YEAR(U2824)</f>
        <v/>
      </c>
      <c r="T2824" s="6">
        <f>MONTH(U2824)</f>
        <v/>
      </c>
      <c r="Z2824" s="6">
        <f>AA2824&amp;AB2824</f>
        <v/>
      </c>
      <c r="AA2824" s="6">
        <f>YEAR(AC2824)</f>
        <v/>
      </c>
      <c r="AB2824" s="6">
        <f>MONTH(AC2824)</f>
        <v/>
      </c>
      <c r="AC2824" s="267">
        <f>IFERROR(__xludf.DUMMYFUNCTION("""COMPUTED_VALUE"""),45984.9986111111)</f>
        <v/>
      </c>
      <c r="AD2824" s="6">
        <f>IFERROR(__xludf.DUMMYFUNCTION("""COMPUTED_VALUE"""),1467.73)</f>
        <v/>
      </c>
      <c r="AH2824" s="6">
        <f>AI2824&amp;AJ2824</f>
        <v/>
      </c>
      <c r="AI2824" s="6">
        <f>YEAR(AK2824)</f>
        <v/>
      </c>
      <c r="AJ2824" s="6">
        <f>MONTH(AK2824)</f>
        <v/>
      </c>
      <c r="AK2824" s="267">
        <f>IFERROR(__xludf.DUMMYFUNCTION("""COMPUTED_VALUE"""),45919.9986111111)</f>
        <v/>
      </c>
      <c r="AL2824" s="6">
        <f>IFERROR(__xludf.DUMMYFUNCTION("""COMPUTED_VALUE"""),117005.3)</f>
        <v/>
      </c>
      <c r="AP2824" s="6">
        <f>AQ2824&amp;AR2824</f>
        <v/>
      </c>
      <c r="AQ2824" s="6">
        <f>YEAR(AS2824)</f>
        <v/>
      </c>
      <c r="AR2824" s="6">
        <f>MONTH(AS2824)</f>
        <v/>
      </c>
    </row>
    <row r="2825">
      <c r="B2825" s="6">
        <f>C2825&amp;D2825</f>
        <v/>
      </c>
      <c r="C2825" s="6">
        <f>YEAR(E2825)</f>
        <v/>
      </c>
      <c r="D2825" s="6">
        <f>MONTH(E2825)</f>
        <v/>
      </c>
      <c r="J2825" s="6">
        <f>K2825&amp;L2825</f>
        <v/>
      </c>
      <c r="K2825" s="6">
        <f>YEAR(M2825)</f>
        <v/>
      </c>
      <c r="L2825" s="6">
        <f>MONTH(M2825)</f>
        <v/>
      </c>
      <c r="R2825" s="6">
        <f>S2825&amp;T2825</f>
        <v/>
      </c>
      <c r="S2825" s="6">
        <f>YEAR(U2825)</f>
        <v/>
      </c>
      <c r="T2825" s="6">
        <f>MONTH(U2825)</f>
        <v/>
      </c>
      <c r="Z2825" s="6">
        <f>AA2825&amp;AB2825</f>
        <v/>
      </c>
      <c r="AA2825" s="6">
        <f>YEAR(AC2825)</f>
        <v/>
      </c>
      <c r="AB2825" s="6">
        <f>MONTH(AC2825)</f>
        <v/>
      </c>
      <c r="AC2825" s="267">
        <f>IFERROR(__xludf.DUMMYFUNCTION("""COMPUTED_VALUE"""),45985.9986111111)</f>
        <v/>
      </c>
      <c r="AD2825" s="6">
        <f>IFERROR(__xludf.DUMMYFUNCTION("""COMPUTED_VALUE"""),1474.86)</f>
        <v/>
      </c>
      <c r="AH2825" s="6">
        <f>AI2825&amp;AJ2825</f>
        <v/>
      </c>
      <c r="AI2825" s="6">
        <f>YEAR(AK2825)</f>
        <v/>
      </c>
      <c r="AJ2825" s="6">
        <f>MONTH(AK2825)</f>
        <v/>
      </c>
      <c r="AK2825" s="267">
        <f>IFERROR(__xludf.DUMMYFUNCTION("""COMPUTED_VALUE"""),45920.9986111111)</f>
        <v/>
      </c>
      <c r="AL2825" s="6">
        <f>IFERROR(__xludf.DUMMYFUNCTION("""COMPUTED_VALUE"""),115543.5)</f>
        <v/>
      </c>
      <c r="AP2825" s="6">
        <f>AQ2825&amp;AR2825</f>
        <v/>
      </c>
      <c r="AQ2825" s="6">
        <f>YEAR(AS2825)</f>
        <v/>
      </c>
      <c r="AR2825" s="6">
        <f>MONTH(AS2825)</f>
        <v/>
      </c>
    </row>
    <row r="2826">
      <c r="B2826" s="6">
        <f>C2826&amp;D2826</f>
        <v/>
      </c>
      <c r="C2826" s="6">
        <f>YEAR(E2826)</f>
        <v/>
      </c>
      <c r="D2826" s="6">
        <f>MONTH(E2826)</f>
        <v/>
      </c>
      <c r="J2826" s="6">
        <f>K2826&amp;L2826</f>
        <v/>
      </c>
      <c r="K2826" s="6">
        <f>YEAR(M2826)</f>
        <v/>
      </c>
      <c r="L2826" s="6">
        <f>MONTH(M2826)</f>
        <v/>
      </c>
      <c r="R2826" s="6">
        <f>S2826&amp;T2826</f>
        <v/>
      </c>
      <c r="S2826" s="6">
        <f>YEAR(U2826)</f>
        <v/>
      </c>
      <c r="T2826" s="6">
        <f>MONTH(U2826)</f>
        <v/>
      </c>
      <c r="Z2826" s="6">
        <f>AA2826&amp;AB2826</f>
        <v/>
      </c>
      <c r="AA2826" s="6">
        <f>YEAR(AC2826)</f>
        <v/>
      </c>
      <c r="AB2826" s="6">
        <f>MONTH(AC2826)</f>
        <v/>
      </c>
      <c r="AC2826" s="267">
        <f>IFERROR(__xludf.DUMMYFUNCTION("""COMPUTED_VALUE"""),45986.9986111111)</f>
        <v/>
      </c>
      <c r="AD2826" s="6">
        <f>IFERROR(__xludf.DUMMYFUNCTION("""COMPUTED_VALUE"""),1464.92)</f>
        <v/>
      </c>
      <c r="AH2826" s="6">
        <f>AI2826&amp;AJ2826</f>
        <v/>
      </c>
      <c r="AI2826" s="6">
        <f>YEAR(AK2826)</f>
        <v/>
      </c>
      <c r="AJ2826" s="6">
        <f>MONTH(AK2826)</f>
        <v/>
      </c>
      <c r="AK2826" s="267">
        <f>IFERROR(__xludf.DUMMYFUNCTION("""COMPUTED_VALUE"""),45921.9986111111)</f>
        <v/>
      </c>
      <c r="AL2826" s="6">
        <f>IFERROR(__xludf.DUMMYFUNCTION("""COMPUTED_VALUE"""),115706.1)</f>
        <v/>
      </c>
      <c r="AP2826" s="6">
        <f>AQ2826&amp;AR2826</f>
        <v/>
      </c>
      <c r="AQ2826" s="6">
        <f>YEAR(AS2826)</f>
        <v/>
      </c>
      <c r="AR2826" s="6">
        <f>MONTH(AS2826)</f>
        <v/>
      </c>
    </row>
    <row r="2827">
      <c r="B2827" s="6">
        <f>C2827&amp;D2827</f>
        <v/>
      </c>
      <c r="C2827" s="6">
        <f>YEAR(E2827)</f>
        <v/>
      </c>
      <c r="D2827" s="6">
        <f>MONTH(E2827)</f>
        <v/>
      </c>
      <c r="J2827" s="6">
        <f>K2827&amp;L2827</f>
        <v/>
      </c>
      <c r="K2827" s="6">
        <f>YEAR(M2827)</f>
        <v/>
      </c>
      <c r="L2827" s="6">
        <f>MONTH(M2827)</f>
        <v/>
      </c>
      <c r="R2827" s="6">
        <f>S2827&amp;T2827</f>
        <v/>
      </c>
      <c r="S2827" s="6">
        <f>YEAR(U2827)</f>
        <v/>
      </c>
      <c r="T2827" s="6">
        <f>MONTH(U2827)</f>
        <v/>
      </c>
      <c r="Z2827" s="6">
        <f>AA2827&amp;AB2827</f>
        <v/>
      </c>
      <c r="AA2827" s="6">
        <f>YEAR(AC2827)</f>
        <v/>
      </c>
      <c r="AB2827" s="6">
        <f>MONTH(AC2827)</f>
        <v/>
      </c>
      <c r="AC2827" s="267">
        <f>IFERROR(__xludf.DUMMYFUNCTION("""COMPUTED_VALUE"""),45987.9986111111)</f>
        <v/>
      </c>
      <c r="AD2827" s="6">
        <f>IFERROR(__xludf.DUMMYFUNCTION("""COMPUTED_VALUE"""),1470.59)</f>
        <v/>
      </c>
      <c r="AH2827" s="6">
        <f>AI2827&amp;AJ2827</f>
        <v/>
      </c>
      <c r="AI2827" s="6">
        <f>YEAR(AK2827)</f>
        <v/>
      </c>
      <c r="AJ2827" s="6">
        <f>MONTH(AK2827)</f>
        <v/>
      </c>
      <c r="AK2827" s="267">
        <f>IFERROR(__xludf.DUMMYFUNCTION("""COMPUTED_VALUE"""),45922.9986111111)</f>
        <v/>
      </c>
      <c r="AL2827" s="6">
        <f>IFERROR(__xludf.DUMMYFUNCTION("""COMPUTED_VALUE"""),114688.9)</f>
        <v/>
      </c>
      <c r="AP2827" s="6">
        <f>AQ2827&amp;AR2827</f>
        <v/>
      </c>
      <c r="AQ2827" s="6">
        <f>YEAR(AS2827)</f>
        <v/>
      </c>
      <c r="AR2827" s="6">
        <f>MONTH(AS2827)</f>
        <v/>
      </c>
    </row>
    <row r="2828">
      <c r="B2828" s="6">
        <f>C2828&amp;D2828</f>
        <v/>
      </c>
      <c r="C2828" s="6">
        <f>YEAR(E2828)</f>
        <v/>
      </c>
      <c r="D2828" s="6">
        <f>MONTH(E2828)</f>
        <v/>
      </c>
      <c r="J2828" s="6">
        <f>K2828&amp;L2828</f>
        <v/>
      </c>
      <c r="K2828" s="6">
        <f>YEAR(M2828)</f>
        <v/>
      </c>
      <c r="L2828" s="6">
        <f>MONTH(M2828)</f>
        <v/>
      </c>
      <c r="R2828" s="6">
        <f>S2828&amp;T2828</f>
        <v/>
      </c>
      <c r="S2828" s="6">
        <f>YEAR(U2828)</f>
        <v/>
      </c>
      <c r="T2828" s="6">
        <f>MONTH(U2828)</f>
        <v/>
      </c>
      <c r="Z2828" s="6">
        <f>AA2828&amp;AB2828</f>
        <v/>
      </c>
      <c r="AA2828" s="6">
        <f>YEAR(AC2828)</f>
        <v/>
      </c>
      <c r="AB2828" s="6">
        <f>MONTH(AC2828)</f>
        <v/>
      </c>
      <c r="AC2828" s="267">
        <f>IFERROR(__xludf.DUMMYFUNCTION("""COMPUTED_VALUE"""),45988.9986111111)</f>
        <v/>
      </c>
      <c r="AD2828" s="6">
        <f>IFERROR(__xludf.DUMMYFUNCTION("""COMPUTED_VALUE"""),1461.4)</f>
        <v/>
      </c>
      <c r="AH2828" s="6">
        <f>AI2828&amp;AJ2828</f>
        <v/>
      </c>
      <c r="AI2828" s="6">
        <f>YEAR(AK2828)</f>
        <v/>
      </c>
      <c r="AJ2828" s="6">
        <f>MONTH(AK2828)</f>
        <v/>
      </c>
      <c r="AK2828" s="267">
        <f>IFERROR(__xludf.DUMMYFUNCTION("""COMPUTED_VALUE"""),45923.9986111111)</f>
        <v/>
      </c>
      <c r="AL2828" s="6">
        <f>IFERROR(__xludf.DUMMYFUNCTION("""COMPUTED_VALUE"""),112387.7)</f>
        <v/>
      </c>
      <c r="AP2828" s="6">
        <f>AQ2828&amp;AR2828</f>
        <v/>
      </c>
      <c r="AQ2828" s="6">
        <f>YEAR(AS2828)</f>
        <v/>
      </c>
      <c r="AR2828" s="6">
        <f>MONTH(AS2828)</f>
        <v/>
      </c>
    </row>
    <row r="2829">
      <c r="B2829" s="6">
        <f>C2829&amp;D2829</f>
        <v/>
      </c>
      <c r="C2829" s="6">
        <f>YEAR(E2829)</f>
        <v/>
      </c>
      <c r="D2829" s="6">
        <f>MONTH(E2829)</f>
        <v/>
      </c>
      <c r="J2829" s="6">
        <f>K2829&amp;L2829</f>
        <v/>
      </c>
      <c r="K2829" s="6">
        <f>YEAR(M2829)</f>
        <v/>
      </c>
      <c r="L2829" s="6">
        <f>MONTH(M2829)</f>
        <v/>
      </c>
      <c r="R2829" s="6">
        <f>S2829&amp;T2829</f>
        <v/>
      </c>
      <c r="S2829" s="6">
        <f>YEAR(U2829)</f>
        <v/>
      </c>
      <c r="T2829" s="6">
        <f>MONTH(U2829)</f>
        <v/>
      </c>
      <c r="Z2829" s="6">
        <f>AA2829&amp;AB2829</f>
        <v/>
      </c>
      <c r="AA2829" s="6">
        <f>YEAR(AC2829)</f>
        <v/>
      </c>
      <c r="AB2829" s="6">
        <f>MONTH(AC2829)</f>
        <v/>
      </c>
      <c r="AC2829" s="267">
        <f>IFERROR(__xludf.DUMMYFUNCTION("""COMPUTED_VALUE"""),45989.9986111111)</f>
        <v/>
      </c>
      <c r="AD2829" s="6">
        <f>IFERROR(__xludf.DUMMYFUNCTION("""COMPUTED_VALUE"""),1466.13)</f>
        <v/>
      </c>
      <c r="AH2829" s="6">
        <f>AI2829&amp;AJ2829</f>
        <v/>
      </c>
      <c r="AI2829" s="6">
        <f>YEAR(AK2829)</f>
        <v/>
      </c>
      <c r="AJ2829" s="6">
        <f>MONTH(AK2829)</f>
        <v/>
      </c>
      <c r="AK2829" s="267">
        <f>IFERROR(__xludf.DUMMYFUNCTION("""COMPUTED_VALUE"""),45924.9986111111)</f>
        <v/>
      </c>
      <c r="AL2829" s="6">
        <f>IFERROR(__xludf.DUMMYFUNCTION("""COMPUTED_VALUE"""),111792)</f>
        <v/>
      </c>
      <c r="AP2829" s="6">
        <f>AQ2829&amp;AR2829</f>
        <v/>
      </c>
      <c r="AQ2829" s="6">
        <f>YEAR(AS2829)</f>
        <v/>
      </c>
      <c r="AR2829" s="6">
        <f>MONTH(AS2829)</f>
        <v/>
      </c>
    </row>
    <row r="2830">
      <c r="B2830" s="6">
        <f>C2830&amp;D2830</f>
        <v/>
      </c>
      <c r="C2830" s="6">
        <f>YEAR(E2830)</f>
        <v/>
      </c>
      <c r="D2830" s="6">
        <f>MONTH(E2830)</f>
        <v/>
      </c>
      <c r="J2830" s="6">
        <f>K2830&amp;L2830</f>
        <v/>
      </c>
      <c r="K2830" s="6">
        <f>YEAR(M2830)</f>
        <v/>
      </c>
      <c r="L2830" s="6">
        <f>MONTH(M2830)</f>
        <v/>
      </c>
      <c r="R2830" s="6">
        <f>S2830&amp;T2830</f>
        <v/>
      </c>
      <c r="S2830" s="6">
        <f>YEAR(U2830)</f>
        <v/>
      </c>
      <c r="T2830" s="6">
        <f>MONTH(U2830)</f>
        <v/>
      </c>
      <c r="Z2830" s="6">
        <f>AA2830&amp;AB2830</f>
        <v/>
      </c>
      <c r="AA2830" s="6">
        <f>YEAR(AC2830)</f>
        <v/>
      </c>
      <c r="AB2830" s="6">
        <f>MONTH(AC2830)</f>
        <v/>
      </c>
      <c r="AC2830" s="267">
        <f>IFERROR(__xludf.DUMMYFUNCTION("""COMPUTED_VALUE"""),45990.9986111111)</f>
        <v/>
      </c>
      <c r="AD2830" s="6">
        <f>IFERROR(__xludf.DUMMYFUNCTION("""COMPUTED_VALUE"""),1466.13)</f>
        <v/>
      </c>
      <c r="AH2830" s="6">
        <f>AI2830&amp;AJ2830</f>
        <v/>
      </c>
      <c r="AI2830" s="6">
        <f>YEAR(AK2830)</f>
        <v/>
      </c>
      <c r="AJ2830" s="6">
        <f>MONTH(AK2830)</f>
        <v/>
      </c>
      <c r="AK2830" s="267">
        <f>IFERROR(__xludf.DUMMYFUNCTION("""COMPUTED_VALUE"""),45925.9986111111)</f>
        <v/>
      </c>
      <c r="AL2830" s="6">
        <f>IFERROR(__xludf.DUMMYFUNCTION("""COMPUTED_VALUE"""),112605.5)</f>
        <v/>
      </c>
      <c r="AP2830" s="6">
        <f>AQ2830&amp;AR2830</f>
        <v/>
      </c>
      <c r="AQ2830" s="6">
        <f>YEAR(AS2830)</f>
        <v/>
      </c>
      <c r="AR2830" s="6">
        <f>MONTH(AS2830)</f>
        <v/>
      </c>
    </row>
    <row r="2831">
      <c r="B2831" s="6">
        <f>C2831&amp;D2831</f>
        <v/>
      </c>
      <c r="C2831" s="6">
        <f>YEAR(E2831)</f>
        <v/>
      </c>
      <c r="D2831" s="6">
        <f>MONTH(E2831)</f>
        <v/>
      </c>
      <c r="J2831" s="6">
        <f>K2831&amp;L2831</f>
        <v/>
      </c>
      <c r="K2831" s="6">
        <f>YEAR(M2831)</f>
        <v/>
      </c>
      <c r="L2831" s="6">
        <f>MONTH(M2831)</f>
        <v/>
      </c>
      <c r="R2831" s="6">
        <f>S2831&amp;T2831</f>
        <v/>
      </c>
      <c r="S2831" s="6">
        <f>YEAR(U2831)</f>
        <v/>
      </c>
      <c r="T2831" s="6">
        <f>MONTH(U2831)</f>
        <v/>
      </c>
      <c r="Z2831" s="6">
        <f>AA2831&amp;AB2831</f>
        <v/>
      </c>
      <c r="AA2831" s="6">
        <f>YEAR(AC2831)</f>
        <v/>
      </c>
      <c r="AB2831" s="6">
        <f>MONTH(AC2831)</f>
        <v/>
      </c>
      <c r="AC2831" s="267">
        <f>IFERROR(__xludf.DUMMYFUNCTION("""COMPUTED_VALUE"""),45991.9986111111)</f>
        <v/>
      </c>
      <c r="AD2831" s="6">
        <f>IFERROR(__xludf.DUMMYFUNCTION("""COMPUTED_VALUE"""),1465.62)</f>
        <v/>
      </c>
      <c r="AH2831" s="6">
        <f>AI2831&amp;AJ2831</f>
        <v/>
      </c>
      <c r="AI2831" s="6">
        <f>YEAR(AK2831)</f>
        <v/>
      </c>
      <c r="AJ2831" s="6">
        <f>MONTH(AK2831)</f>
        <v/>
      </c>
      <c r="AK2831" s="267">
        <f>IFERROR(__xludf.DUMMYFUNCTION("""COMPUTED_VALUE"""),45926.9986111111)</f>
        <v/>
      </c>
      <c r="AL2831" s="6">
        <f>IFERROR(__xludf.DUMMYFUNCTION("""COMPUTED_VALUE"""),109653.5)</f>
        <v/>
      </c>
      <c r="AP2831" s="6">
        <f>AQ2831&amp;AR2831</f>
        <v/>
      </c>
      <c r="AQ2831" s="6">
        <f>YEAR(AS2831)</f>
        <v/>
      </c>
      <c r="AR2831" s="6">
        <f>MONTH(AS2831)</f>
        <v/>
      </c>
    </row>
    <row r="2832">
      <c r="B2832" s="6">
        <f>C2832&amp;D2832</f>
        <v/>
      </c>
      <c r="C2832" s="6">
        <f>YEAR(E2832)</f>
        <v/>
      </c>
      <c r="D2832" s="6">
        <f>MONTH(E2832)</f>
        <v/>
      </c>
      <c r="J2832" s="6">
        <f>K2832&amp;L2832</f>
        <v/>
      </c>
      <c r="K2832" s="6">
        <f>YEAR(M2832)</f>
        <v/>
      </c>
      <c r="L2832" s="6">
        <f>MONTH(M2832)</f>
        <v/>
      </c>
      <c r="R2832" s="6">
        <f>S2832&amp;T2832</f>
        <v/>
      </c>
      <c r="S2832" s="6">
        <f>YEAR(U2832)</f>
        <v/>
      </c>
      <c r="T2832" s="6">
        <f>MONTH(U2832)</f>
        <v/>
      </c>
      <c r="Z2832" s="6">
        <f>AA2832&amp;AB2832</f>
        <v/>
      </c>
      <c r="AA2832" s="6">
        <f>YEAR(AC2832)</f>
        <v/>
      </c>
      <c r="AB2832" s="6">
        <f>MONTH(AC2832)</f>
        <v/>
      </c>
      <c r="AC2832" s="267">
        <f>IFERROR(__xludf.DUMMYFUNCTION("""COMPUTED_VALUE"""),45992.9986111111)</f>
        <v/>
      </c>
      <c r="AD2832" s="6">
        <f>IFERROR(__xludf.DUMMYFUNCTION("""COMPUTED_VALUE"""),1470.17)</f>
        <v/>
      </c>
      <c r="AH2832" s="6">
        <f>AI2832&amp;AJ2832</f>
        <v/>
      </c>
      <c r="AI2832" s="6">
        <f>YEAR(AK2832)</f>
        <v/>
      </c>
      <c r="AJ2832" s="6">
        <f>MONTH(AK2832)</f>
        <v/>
      </c>
      <c r="AK2832" s="267">
        <f>IFERROR(__xludf.DUMMYFUNCTION("""COMPUTED_VALUE"""),45927.9986111111)</f>
        <v/>
      </c>
      <c r="AL2832" s="6">
        <f>IFERROR(__xludf.DUMMYFUNCTION("""COMPUTED_VALUE"""),109648.7)</f>
        <v/>
      </c>
      <c r="AP2832" s="6">
        <f>AQ2832&amp;AR2832</f>
        <v/>
      </c>
      <c r="AQ2832" s="6">
        <f>YEAR(AS2832)</f>
        <v/>
      </c>
      <c r="AR2832" s="6">
        <f>MONTH(AS2832)</f>
        <v/>
      </c>
    </row>
    <row r="2833">
      <c r="B2833" s="6">
        <f>C2833&amp;D2833</f>
        <v/>
      </c>
      <c r="C2833" s="6">
        <f>YEAR(E2833)</f>
        <v/>
      </c>
      <c r="D2833" s="6">
        <f>MONTH(E2833)</f>
        <v/>
      </c>
      <c r="J2833" s="6">
        <f>K2833&amp;L2833</f>
        <v/>
      </c>
      <c r="K2833" s="6">
        <f>YEAR(M2833)</f>
        <v/>
      </c>
      <c r="L2833" s="6">
        <f>MONTH(M2833)</f>
        <v/>
      </c>
      <c r="R2833" s="6">
        <f>S2833&amp;T2833</f>
        <v/>
      </c>
      <c r="S2833" s="6">
        <f>YEAR(U2833)</f>
        <v/>
      </c>
      <c r="T2833" s="6">
        <f>MONTH(U2833)</f>
        <v/>
      </c>
      <c r="Z2833" s="6">
        <f>AA2833&amp;AB2833</f>
        <v/>
      </c>
      <c r="AA2833" s="6">
        <f>YEAR(AC2833)</f>
        <v/>
      </c>
      <c r="AB2833" s="6">
        <f>MONTH(AC2833)</f>
        <v/>
      </c>
      <c r="AC2833" s="267">
        <f>IFERROR(__xludf.DUMMYFUNCTION("""COMPUTED_VALUE"""),45993.9986111111)</f>
        <v/>
      </c>
      <c r="AD2833" s="6">
        <f>IFERROR(__xludf.DUMMYFUNCTION("""COMPUTED_VALUE"""),1467.36)</f>
        <v/>
      </c>
      <c r="AH2833" s="6">
        <f>AI2833&amp;AJ2833</f>
        <v/>
      </c>
      <c r="AI2833" s="6">
        <f>YEAR(AK2833)</f>
        <v/>
      </c>
      <c r="AJ2833" s="6">
        <f>MONTH(AK2833)</f>
        <v/>
      </c>
      <c r="AK2833" s="267">
        <f>IFERROR(__xludf.DUMMYFUNCTION("""COMPUTED_VALUE"""),45928.9986111111)</f>
        <v/>
      </c>
      <c r="AL2833" s="6">
        <f>IFERROR(__xludf.DUMMYFUNCTION("""COMPUTED_VALUE"""),109587.9)</f>
        <v/>
      </c>
      <c r="AP2833" s="6">
        <f>AQ2833&amp;AR2833</f>
        <v/>
      </c>
      <c r="AQ2833" s="6">
        <f>YEAR(AS2833)</f>
        <v/>
      </c>
      <c r="AR2833" s="6">
        <f>MONTH(AS2833)</f>
        <v/>
      </c>
    </row>
    <row r="2834">
      <c r="B2834" s="6">
        <f>C2834&amp;D2834</f>
        <v/>
      </c>
      <c r="C2834" s="6">
        <f>YEAR(E2834)</f>
        <v/>
      </c>
      <c r="D2834" s="6">
        <f>MONTH(E2834)</f>
        <v/>
      </c>
      <c r="J2834" s="6">
        <f>K2834&amp;L2834</f>
        <v/>
      </c>
      <c r="K2834" s="6">
        <f>YEAR(M2834)</f>
        <v/>
      </c>
      <c r="L2834" s="6">
        <f>MONTH(M2834)</f>
        <v/>
      </c>
      <c r="R2834" s="6">
        <f>S2834&amp;T2834</f>
        <v/>
      </c>
      <c r="S2834" s="6">
        <f>YEAR(U2834)</f>
        <v/>
      </c>
      <c r="T2834" s="6">
        <f>MONTH(U2834)</f>
        <v/>
      </c>
      <c r="Z2834" s="6">
        <f>AA2834&amp;AB2834</f>
        <v/>
      </c>
      <c r="AA2834" s="6">
        <f>YEAR(AC2834)</f>
        <v/>
      </c>
      <c r="AB2834" s="6">
        <f>MONTH(AC2834)</f>
        <v/>
      </c>
      <c r="AC2834" s="267">
        <f>IFERROR(__xludf.DUMMYFUNCTION("""COMPUTED_VALUE"""),45994.9986111111)</f>
        <v/>
      </c>
      <c r="AD2834" s="6">
        <f>IFERROR(__xludf.DUMMYFUNCTION("""COMPUTED_VALUE"""),1465.03)</f>
        <v/>
      </c>
      <c r="AH2834" s="6">
        <f>AI2834&amp;AJ2834</f>
        <v/>
      </c>
      <c r="AI2834" s="6">
        <f>YEAR(AK2834)</f>
        <v/>
      </c>
      <c r="AJ2834" s="6">
        <f>MONTH(AK2834)</f>
        <v/>
      </c>
      <c r="AK2834" s="267">
        <f>IFERROR(__xludf.DUMMYFUNCTION("""COMPUTED_VALUE"""),45929.9986111111)</f>
        <v/>
      </c>
      <c r="AL2834" s="6">
        <f>IFERROR(__xludf.DUMMYFUNCTION("""COMPUTED_VALUE"""),111908.8)</f>
        <v/>
      </c>
      <c r="AP2834" s="6">
        <f>AQ2834&amp;AR2834</f>
        <v/>
      </c>
      <c r="AQ2834" s="6">
        <f>YEAR(AS2834)</f>
        <v/>
      </c>
      <c r="AR2834" s="6">
        <f>MONTH(AS2834)</f>
        <v/>
      </c>
    </row>
    <row r="2835">
      <c r="B2835" s="6">
        <f>C2835&amp;D2835</f>
        <v/>
      </c>
      <c r="C2835" s="6">
        <f>YEAR(E2835)</f>
        <v/>
      </c>
      <c r="D2835" s="6">
        <f>MONTH(E2835)</f>
        <v/>
      </c>
      <c r="J2835" s="6">
        <f>K2835&amp;L2835</f>
        <v/>
      </c>
      <c r="K2835" s="6">
        <f>YEAR(M2835)</f>
        <v/>
      </c>
      <c r="L2835" s="6">
        <f>MONTH(M2835)</f>
        <v/>
      </c>
      <c r="R2835" s="6">
        <f>S2835&amp;T2835</f>
        <v/>
      </c>
      <c r="S2835" s="6">
        <f>YEAR(U2835)</f>
        <v/>
      </c>
      <c r="T2835" s="6">
        <f>MONTH(U2835)</f>
        <v/>
      </c>
      <c r="Z2835" s="6">
        <f>AA2835&amp;AB2835</f>
        <v/>
      </c>
      <c r="AA2835" s="6">
        <f>YEAR(AC2835)</f>
        <v/>
      </c>
      <c r="AB2835" s="6">
        <f>MONTH(AC2835)</f>
        <v/>
      </c>
      <c r="AC2835" s="267">
        <f>IFERROR(__xludf.DUMMYFUNCTION("""COMPUTED_VALUE"""),45995.9986111111)</f>
        <v/>
      </c>
      <c r="AD2835" s="6">
        <f>IFERROR(__xludf.DUMMYFUNCTION("""COMPUTED_VALUE"""),1472.38)</f>
        <v/>
      </c>
      <c r="AH2835" s="6">
        <f>AI2835&amp;AJ2835</f>
        <v/>
      </c>
      <c r="AI2835" s="6">
        <f>YEAR(AK2835)</f>
        <v/>
      </c>
      <c r="AJ2835" s="6">
        <f>MONTH(AK2835)</f>
        <v/>
      </c>
      <c r="AK2835" s="267">
        <f>IFERROR(__xludf.DUMMYFUNCTION("""COMPUTED_VALUE"""),45930.9986111111)</f>
        <v/>
      </c>
      <c r="AL2835" s="6">
        <f>IFERROR(__xludf.DUMMYFUNCTION("""COMPUTED_VALUE"""),114433.1)</f>
        <v/>
      </c>
      <c r="AP2835" s="6">
        <f>AQ2835&amp;AR2835</f>
        <v/>
      </c>
      <c r="AQ2835" s="6">
        <f>YEAR(AS2835)</f>
        <v/>
      </c>
      <c r="AR2835" s="6">
        <f>MONTH(AS2835)</f>
        <v/>
      </c>
    </row>
    <row r="2836">
      <c r="B2836" s="6">
        <f>C2836&amp;D2836</f>
        <v/>
      </c>
      <c r="C2836" s="6">
        <f>YEAR(E2836)</f>
        <v/>
      </c>
      <c r="D2836" s="6">
        <f>MONTH(E2836)</f>
        <v/>
      </c>
      <c r="J2836" s="6">
        <f>K2836&amp;L2836</f>
        <v/>
      </c>
      <c r="K2836" s="6">
        <f>YEAR(M2836)</f>
        <v/>
      </c>
      <c r="L2836" s="6">
        <f>MONTH(M2836)</f>
        <v/>
      </c>
      <c r="R2836" s="6">
        <f>S2836&amp;T2836</f>
        <v/>
      </c>
      <c r="S2836" s="6">
        <f>YEAR(U2836)</f>
        <v/>
      </c>
      <c r="T2836" s="6">
        <f>MONTH(U2836)</f>
        <v/>
      </c>
      <c r="Z2836" s="6">
        <f>AA2836&amp;AB2836</f>
        <v/>
      </c>
      <c r="AA2836" s="6">
        <f>YEAR(AC2836)</f>
        <v/>
      </c>
      <c r="AB2836" s="6">
        <f>MONTH(AC2836)</f>
        <v/>
      </c>
      <c r="AC2836" s="267">
        <f>IFERROR(__xludf.DUMMYFUNCTION("""COMPUTED_VALUE"""),45996.9986111111)</f>
        <v/>
      </c>
      <c r="AD2836" s="6">
        <f>IFERROR(__xludf.DUMMYFUNCTION("""COMPUTED_VALUE"""),1472.7)</f>
        <v/>
      </c>
      <c r="AH2836" s="6">
        <f>AI2836&amp;AJ2836</f>
        <v/>
      </c>
      <c r="AI2836" s="6">
        <f>YEAR(AK2836)</f>
        <v/>
      </c>
      <c r="AJ2836" s="6">
        <f>MONTH(AK2836)</f>
        <v/>
      </c>
      <c r="AK2836" s="267">
        <f>IFERROR(__xludf.DUMMYFUNCTION("""COMPUTED_VALUE"""),45931.9986111111)</f>
        <v/>
      </c>
      <c r="AL2836" s="6">
        <f>IFERROR(__xludf.DUMMYFUNCTION("""COMPUTED_VALUE"""),114193.7)</f>
        <v/>
      </c>
      <c r="AP2836" s="6">
        <f>AQ2836&amp;AR2836</f>
        <v/>
      </c>
      <c r="AQ2836" s="6">
        <f>YEAR(AS2836)</f>
        <v/>
      </c>
      <c r="AR2836" s="6">
        <f>MONTH(AS2836)</f>
        <v/>
      </c>
    </row>
    <row r="2837">
      <c r="B2837" s="6">
        <f>C2837&amp;D2837</f>
        <v/>
      </c>
      <c r="C2837" s="6">
        <f>YEAR(E2837)</f>
        <v/>
      </c>
      <c r="D2837" s="6">
        <f>MONTH(E2837)</f>
        <v/>
      </c>
      <c r="J2837" s="6">
        <f>K2837&amp;L2837</f>
        <v/>
      </c>
      <c r="K2837" s="6">
        <f>YEAR(M2837)</f>
        <v/>
      </c>
      <c r="L2837" s="6">
        <f>MONTH(M2837)</f>
        <v/>
      </c>
      <c r="R2837" s="6">
        <f>S2837&amp;T2837</f>
        <v/>
      </c>
      <c r="S2837" s="6">
        <f>YEAR(U2837)</f>
        <v/>
      </c>
      <c r="T2837" s="6">
        <f>MONTH(U2837)</f>
        <v/>
      </c>
      <c r="Z2837" s="6">
        <f>AA2837&amp;AB2837</f>
        <v/>
      </c>
      <c r="AA2837" s="6">
        <f>YEAR(AC2837)</f>
        <v/>
      </c>
      <c r="AB2837" s="6">
        <f>MONTH(AC2837)</f>
        <v/>
      </c>
      <c r="AC2837" s="267">
        <f>IFERROR(__xludf.DUMMYFUNCTION("""COMPUTED_VALUE"""),45997.9986111111)</f>
        <v/>
      </c>
      <c r="AD2837" s="6">
        <f>IFERROR(__xludf.DUMMYFUNCTION("""COMPUTED_VALUE"""),1472.3)</f>
        <v/>
      </c>
      <c r="AH2837" s="6">
        <f>AI2837&amp;AJ2837</f>
        <v/>
      </c>
      <c r="AI2837" s="6">
        <f>YEAR(AK2837)</f>
        <v/>
      </c>
      <c r="AJ2837" s="6">
        <f>MONTH(AK2837)</f>
        <v/>
      </c>
      <c r="AK2837" s="267">
        <f>IFERROR(__xludf.DUMMYFUNCTION("""COMPUTED_VALUE"""),45932.9986111111)</f>
        <v/>
      </c>
      <c r="AL2837" s="6">
        <f>IFERROR(__xludf.DUMMYFUNCTION("""COMPUTED_VALUE"""),118786.4)</f>
        <v/>
      </c>
      <c r="AP2837" s="6">
        <f>AQ2837&amp;AR2837</f>
        <v/>
      </c>
      <c r="AQ2837" s="6">
        <f>YEAR(AS2837)</f>
        <v/>
      </c>
      <c r="AR2837" s="6">
        <f>MONTH(AS2837)</f>
        <v/>
      </c>
    </row>
    <row r="2838">
      <c r="B2838" s="6">
        <f>C2838&amp;D2838</f>
        <v/>
      </c>
      <c r="C2838" s="6">
        <f>YEAR(E2838)</f>
        <v/>
      </c>
      <c r="D2838" s="6">
        <f>MONTH(E2838)</f>
        <v/>
      </c>
      <c r="J2838" s="6">
        <f>K2838&amp;L2838</f>
        <v/>
      </c>
      <c r="K2838" s="6">
        <f>YEAR(M2838)</f>
        <v/>
      </c>
      <c r="L2838" s="6">
        <f>MONTH(M2838)</f>
        <v/>
      </c>
      <c r="R2838" s="6">
        <f>S2838&amp;T2838</f>
        <v/>
      </c>
      <c r="S2838" s="6">
        <f>YEAR(U2838)</f>
        <v/>
      </c>
      <c r="T2838" s="6">
        <f>MONTH(U2838)</f>
        <v/>
      </c>
      <c r="Z2838" s="6">
        <f>AA2838&amp;AB2838</f>
        <v/>
      </c>
      <c r="AA2838" s="6">
        <f>YEAR(AC2838)</f>
        <v/>
      </c>
      <c r="AB2838" s="6">
        <f>MONTH(AC2838)</f>
        <v/>
      </c>
      <c r="AC2838" s="267">
        <f>IFERROR(__xludf.DUMMYFUNCTION("""COMPUTED_VALUE"""),45998.9986111111)</f>
        <v/>
      </c>
      <c r="AD2838" s="6">
        <f>IFERROR(__xludf.DUMMYFUNCTION("""COMPUTED_VALUE"""),1471.81)</f>
        <v/>
      </c>
      <c r="AH2838" s="6">
        <f>AI2838&amp;AJ2838</f>
        <v/>
      </c>
      <c r="AI2838" s="6">
        <f>YEAR(AK2838)</f>
        <v/>
      </c>
      <c r="AJ2838" s="6">
        <f>MONTH(AK2838)</f>
        <v/>
      </c>
      <c r="AK2838" s="267">
        <f>IFERROR(__xludf.DUMMYFUNCTION("""COMPUTED_VALUE"""),45933.9986111111)</f>
        <v/>
      </c>
      <c r="AL2838" s="6">
        <f>IFERROR(__xludf.DUMMYFUNCTION("""COMPUTED_VALUE"""),120281.6)</f>
        <v/>
      </c>
      <c r="AP2838" s="6">
        <f>AQ2838&amp;AR2838</f>
        <v/>
      </c>
      <c r="AQ2838" s="6">
        <f>YEAR(AS2838)</f>
        <v/>
      </c>
      <c r="AR2838" s="6">
        <f>MONTH(AS2838)</f>
        <v/>
      </c>
    </row>
    <row r="2839">
      <c r="B2839" s="6">
        <f>C2839&amp;D2839</f>
        <v/>
      </c>
      <c r="C2839" s="6">
        <f>YEAR(E2839)</f>
        <v/>
      </c>
      <c r="D2839" s="6">
        <f>MONTH(E2839)</f>
        <v/>
      </c>
      <c r="J2839" s="6">
        <f>K2839&amp;L2839</f>
        <v/>
      </c>
      <c r="K2839" s="6">
        <f>YEAR(M2839)</f>
        <v/>
      </c>
      <c r="L2839" s="6">
        <f>MONTH(M2839)</f>
        <v/>
      </c>
      <c r="R2839" s="6">
        <f>S2839&amp;T2839</f>
        <v/>
      </c>
      <c r="S2839" s="6">
        <f>YEAR(U2839)</f>
        <v/>
      </c>
      <c r="T2839" s="6">
        <f>MONTH(U2839)</f>
        <v/>
      </c>
      <c r="Z2839" s="6">
        <f>AA2839&amp;AB2839</f>
        <v/>
      </c>
      <c r="AA2839" s="6">
        <f>YEAR(AC2839)</f>
        <v/>
      </c>
      <c r="AB2839" s="6">
        <f>MONTH(AC2839)</f>
        <v/>
      </c>
      <c r="AC2839" s="267">
        <f>IFERROR(__xludf.DUMMYFUNCTION("""COMPUTED_VALUE"""),45999.9986111111)</f>
        <v/>
      </c>
      <c r="AD2839" s="6">
        <f>IFERROR(__xludf.DUMMYFUNCTION("""COMPUTED_VALUE"""),1468.51)</f>
        <v/>
      </c>
      <c r="AH2839" s="6">
        <f>AI2839&amp;AJ2839</f>
        <v/>
      </c>
      <c r="AI2839" s="6">
        <f>YEAR(AK2839)</f>
        <v/>
      </c>
      <c r="AJ2839" s="6">
        <f>MONTH(AK2839)</f>
        <v/>
      </c>
      <c r="AK2839" s="267">
        <f>IFERROR(__xludf.DUMMYFUNCTION("""COMPUTED_VALUE"""),45934.9986111111)</f>
        <v/>
      </c>
      <c r="AL2839" s="6">
        <f>IFERROR(__xludf.DUMMYFUNCTION("""COMPUTED_VALUE"""),122260.8)</f>
        <v/>
      </c>
      <c r="AP2839" s="6">
        <f>AQ2839&amp;AR2839</f>
        <v/>
      </c>
      <c r="AQ2839" s="6">
        <f>YEAR(AS2839)</f>
        <v/>
      </c>
      <c r="AR2839" s="6">
        <f>MONTH(AS2839)</f>
        <v/>
      </c>
    </row>
    <row r="2840">
      <c r="B2840" s="6">
        <f>C2840&amp;D2840</f>
        <v/>
      </c>
      <c r="C2840" s="6">
        <f>YEAR(E2840)</f>
        <v/>
      </c>
      <c r="D2840" s="6">
        <f>MONTH(E2840)</f>
        <v/>
      </c>
      <c r="J2840" s="6">
        <f>K2840&amp;L2840</f>
        <v/>
      </c>
      <c r="K2840" s="6">
        <f>YEAR(M2840)</f>
        <v/>
      </c>
      <c r="L2840" s="6">
        <f>MONTH(M2840)</f>
        <v/>
      </c>
      <c r="R2840" s="6">
        <f>S2840&amp;T2840</f>
        <v/>
      </c>
      <c r="S2840" s="6">
        <f>YEAR(U2840)</f>
        <v/>
      </c>
      <c r="T2840" s="6">
        <f>MONTH(U2840)</f>
        <v/>
      </c>
      <c r="Z2840" s="6">
        <f>AA2840&amp;AB2840</f>
        <v/>
      </c>
      <c r="AA2840" s="6">
        <f>YEAR(AC2840)</f>
        <v/>
      </c>
      <c r="AB2840" s="6">
        <f>MONTH(AC2840)</f>
        <v/>
      </c>
      <c r="AC2840" s="267">
        <f>IFERROR(__xludf.DUMMYFUNCTION("""COMPUTED_VALUE"""),46000.9986111111)</f>
        <v/>
      </c>
      <c r="AD2840" s="6">
        <f>IFERROR(__xludf.DUMMYFUNCTION("""COMPUTED_VALUE"""),1467.93)</f>
        <v/>
      </c>
      <c r="AH2840" s="6">
        <f>AI2840&amp;AJ2840</f>
        <v/>
      </c>
      <c r="AI2840" s="6">
        <f>YEAR(AK2840)</f>
        <v/>
      </c>
      <c r="AJ2840" s="6">
        <f>MONTH(AK2840)</f>
        <v/>
      </c>
      <c r="AK2840" s="267">
        <f>IFERROR(__xludf.DUMMYFUNCTION("""COMPUTED_VALUE"""),45935.9986111111)</f>
        <v/>
      </c>
      <c r="AL2840" s="6">
        <f>IFERROR(__xludf.DUMMYFUNCTION("""COMPUTED_VALUE"""),123742.9)</f>
        <v/>
      </c>
      <c r="AP2840" s="6">
        <f>AQ2840&amp;AR2840</f>
        <v/>
      </c>
      <c r="AQ2840" s="6">
        <f>YEAR(AS2840)</f>
        <v/>
      </c>
      <c r="AR2840" s="6">
        <f>MONTH(AS2840)</f>
        <v/>
      </c>
    </row>
    <row r="2841">
      <c r="B2841" s="6">
        <f>C2841&amp;D2841</f>
        <v/>
      </c>
      <c r="C2841" s="6">
        <f>YEAR(E2841)</f>
        <v/>
      </c>
      <c r="D2841" s="6">
        <f>MONTH(E2841)</f>
        <v/>
      </c>
      <c r="J2841" s="6">
        <f>K2841&amp;L2841</f>
        <v/>
      </c>
      <c r="K2841" s="6">
        <f>YEAR(M2841)</f>
        <v/>
      </c>
      <c r="L2841" s="6">
        <f>MONTH(M2841)</f>
        <v/>
      </c>
      <c r="R2841" s="6">
        <f>S2841&amp;T2841</f>
        <v/>
      </c>
      <c r="S2841" s="6">
        <f>YEAR(U2841)</f>
        <v/>
      </c>
      <c r="T2841" s="6">
        <f>MONTH(U2841)</f>
        <v/>
      </c>
      <c r="Z2841" s="6">
        <f>AA2841&amp;AB2841</f>
        <v/>
      </c>
      <c r="AA2841" s="6">
        <f>YEAR(AC2841)</f>
        <v/>
      </c>
      <c r="AB2841" s="6">
        <f>MONTH(AC2841)</f>
        <v/>
      </c>
      <c r="AC2841" s="267">
        <f>IFERROR(__xludf.DUMMYFUNCTION("""COMPUTED_VALUE"""),46001.9986111111)</f>
        <v/>
      </c>
      <c r="AD2841" s="6">
        <f>IFERROR(__xludf.DUMMYFUNCTION("""COMPUTED_VALUE"""),1469.04)</f>
        <v/>
      </c>
      <c r="AH2841" s="6">
        <f>AI2841&amp;AJ2841</f>
        <v/>
      </c>
      <c r="AI2841" s="6">
        <f>YEAR(AK2841)</f>
        <v/>
      </c>
      <c r="AJ2841" s="6">
        <f>MONTH(AK2841)</f>
        <v/>
      </c>
      <c r="AK2841" s="267">
        <f>IFERROR(__xludf.DUMMYFUNCTION("""COMPUTED_VALUE"""),45936.9986111111)</f>
        <v/>
      </c>
      <c r="AL2841" s="6">
        <f>IFERROR(__xludf.DUMMYFUNCTION("""COMPUTED_VALUE"""),123857.1)</f>
        <v/>
      </c>
      <c r="AP2841" s="6">
        <f>AQ2841&amp;AR2841</f>
        <v/>
      </c>
      <c r="AQ2841" s="6">
        <f>YEAR(AS2841)</f>
        <v/>
      </c>
      <c r="AR2841" s="6">
        <f>MONTH(AS2841)</f>
        <v/>
      </c>
    </row>
    <row r="2842">
      <c r="B2842" s="6">
        <f>C2842&amp;D2842</f>
        <v/>
      </c>
      <c r="C2842" s="6">
        <f>YEAR(E2842)</f>
        <v/>
      </c>
      <c r="D2842" s="6">
        <f>MONTH(E2842)</f>
        <v/>
      </c>
      <c r="J2842" s="6">
        <f>K2842&amp;L2842</f>
        <v/>
      </c>
      <c r="K2842" s="6">
        <f>YEAR(M2842)</f>
        <v/>
      </c>
      <c r="L2842" s="6">
        <f>MONTH(M2842)</f>
        <v/>
      </c>
      <c r="R2842" s="6">
        <f>S2842&amp;T2842</f>
        <v/>
      </c>
      <c r="S2842" s="6">
        <f>YEAR(U2842)</f>
        <v/>
      </c>
      <c r="T2842" s="6">
        <f>MONTH(U2842)</f>
        <v/>
      </c>
      <c r="Z2842" s="6">
        <f>AA2842&amp;AB2842</f>
        <v/>
      </c>
      <c r="AA2842" s="6">
        <f>YEAR(AC2842)</f>
        <v/>
      </c>
      <c r="AB2842" s="6">
        <f>MONTH(AC2842)</f>
        <v/>
      </c>
      <c r="AC2842" s="267">
        <f>IFERROR(__xludf.DUMMYFUNCTION("""COMPUTED_VALUE"""),46002.9986111111)</f>
        <v/>
      </c>
      <c r="AD2842" s="6">
        <f>IFERROR(__xludf.DUMMYFUNCTION("""COMPUTED_VALUE"""),1470.85)</f>
        <v/>
      </c>
      <c r="AH2842" s="6">
        <f>AI2842&amp;AJ2842</f>
        <v/>
      </c>
      <c r="AI2842" s="6">
        <f>YEAR(AK2842)</f>
        <v/>
      </c>
      <c r="AJ2842" s="6">
        <f>MONTH(AK2842)</f>
        <v/>
      </c>
      <c r="AK2842" s="267">
        <f>IFERROR(__xludf.DUMMYFUNCTION("""COMPUTED_VALUE"""),45937.9986111111)</f>
        <v/>
      </c>
      <c r="AL2842" s="6">
        <f>IFERROR(__xludf.DUMMYFUNCTION("""COMPUTED_VALUE"""),124310.6)</f>
        <v/>
      </c>
      <c r="AP2842" s="6">
        <f>AQ2842&amp;AR2842</f>
        <v/>
      </c>
      <c r="AQ2842" s="6">
        <f>YEAR(AS2842)</f>
        <v/>
      </c>
      <c r="AR2842" s="6">
        <f>MONTH(AS2842)</f>
        <v/>
      </c>
    </row>
    <row r="2843">
      <c r="B2843" s="6">
        <f>C2843&amp;D2843</f>
        <v/>
      </c>
      <c r="C2843" s="6">
        <f>YEAR(E2843)</f>
        <v/>
      </c>
      <c r="D2843" s="6">
        <f>MONTH(E2843)</f>
        <v/>
      </c>
      <c r="J2843" s="6">
        <f>K2843&amp;L2843</f>
        <v/>
      </c>
      <c r="K2843" s="6">
        <f>YEAR(M2843)</f>
        <v/>
      </c>
      <c r="L2843" s="6">
        <f>MONTH(M2843)</f>
        <v/>
      </c>
      <c r="R2843" s="6">
        <f>S2843&amp;T2843</f>
        <v/>
      </c>
      <c r="S2843" s="6">
        <f>YEAR(U2843)</f>
        <v/>
      </c>
      <c r="T2843" s="6">
        <f>MONTH(U2843)</f>
        <v/>
      </c>
      <c r="Z2843" s="6">
        <f>AA2843&amp;AB2843</f>
        <v/>
      </c>
      <c r="AA2843" s="6">
        <f>YEAR(AC2843)</f>
        <v/>
      </c>
      <c r="AB2843" s="6">
        <f>MONTH(AC2843)</f>
        <v/>
      </c>
      <c r="AC2843" s="267">
        <f>IFERROR(__xludf.DUMMYFUNCTION("""COMPUTED_VALUE"""),46003.9986111111)</f>
        <v/>
      </c>
      <c r="AD2843" s="6">
        <f>IFERROR(__xludf.DUMMYFUNCTION("""COMPUTED_VALUE"""),1474.05)</f>
        <v/>
      </c>
      <c r="AH2843" s="6">
        <f>AI2843&amp;AJ2843</f>
        <v/>
      </c>
      <c r="AI2843" s="6">
        <f>YEAR(AK2843)</f>
        <v/>
      </c>
      <c r="AJ2843" s="6">
        <f>MONTH(AK2843)</f>
        <v/>
      </c>
      <c r="AK2843" s="267">
        <f>IFERROR(__xludf.DUMMYFUNCTION("""COMPUTED_VALUE"""),45938.9986111111)</f>
        <v/>
      </c>
      <c r="AL2843" s="6">
        <f>IFERROR(__xludf.DUMMYFUNCTION("""COMPUTED_VALUE"""),121424.4)</f>
        <v/>
      </c>
      <c r="AP2843" s="6">
        <f>AQ2843&amp;AR2843</f>
        <v/>
      </c>
      <c r="AQ2843" s="6">
        <f>YEAR(AS2843)</f>
        <v/>
      </c>
      <c r="AR2843" s="6">
        <f>MONTH(AS2843)</f>
        <v/>
      </c>
    </row>
    <row r="2844">
      <c r="B2844" s="6">
        <f>C2844&amp;D2844</f>
        <v/>
      </c>
      <c r="C2844" s="6">
        <f>YEAR(E2844)</f>
        <v/>
      </c>
      <c r="D2844" s="6">
        <f>MONTH(E2844)</f>
        <v/>
      </c>
      <c r="J2844" s="6">
        <f>K2844&amp;L2844</f>
        <v/>
      </c>
      <c r="K2844" s="6">
        <f>YEAR(M2844)</f>
        <v/>
      </c>
      <c r="L2844" s="6">
        <f>MONTH(M2844)</f>
        <v/>
      </c>
      <c r="R2844" s="6">
        <f>S2844&amp;T2844</f>
        <v/>
      </c>
      <c r="S2844" s="6">
        <f>YEAR(U2844)</f>
        <v/>
      </c>
      <c r="T2844" s="6">
        <f>MONTH(U2844)</f>
        <v/>
      </c>
      <c r="Z2844" s="6">
        <f>AA2844&amp;AB2844</f>
        <v/>
      </c>
      <c r="AA2844" s="6">
        <f>YEAR(AC2844)</f>
        <v/>
      </c>
      <c r="AB2844" s="6">
        <f>MONTH(AC2844)</f>
        <v/>
      </c>
      <c r="AC2844" s="267">
        <f>IFERROR(__xludf.DUMMYFUNCTION("""COMPUTED_VALUE"""),46004.9986111111)</f>
        <v/>
      </c>
      <c r="AD2844" s="6">
        <f>IFERROR(__xludf.DUMMYFUNCTION("""COMPUTED_VALUE"""),1473.05)</f>
        <v/>
      </c>
      <c r="AH2844" s="6">
        <f>AI2844&amp;AJ2844</f>
        <v/>
      </c>
      <c r="AI2844" s="6">
        <f>YEAR(AK2844)</f>
        <v/>
      </c>
      <c r="AJ2844" s="6">
        <f>MONTH(AK2844)</f>
        <v/>
      </c>
      <c r="AK2844" s="267">
        <f>IFERROR(__xludf.DUMMYFUNCTION("""COMPUTED_VALUE"""),45939.9986111111)</f>
        <v/>
      </c>
      <c r="AL2844" s="6">
        <f>IFERROR(__xludf.DUMMYFUNCTION("""COMPUTED_VALUE"""),122059.6)</f>
        <v/>
      </c>
      <c r="AP2844" s="6">
        <f>AQ2844&amp;AR2844</f>
        <v/>
      </c>
      <c r="AQ2844" s="6">
        <f>YEAR(AS2844)</f>
        <v/>
      </c>
      <c r="AR2844" s="6">
        <f>MONTH(AS2844)</f>
        <v/>
      </c>
    </row>
    <row r="2845">
      <c r="B2845" s="6">
        <f>C2845&amp;D2845</f>
        <v/>
      </c>
      <c r="C2845" s="6">
        <f>YEAR(E2845)</f>
        <v/>
      </c>
      <c r="D2845" s="6">
        <f>MONTH(E2845)</f>
        <v/>
      </c>
      <c r="J2845" s="6">
        <f>K2845&amp;L2845</f>
        <v/>
      </c>
      <c r="K2845" s="6">
        <f>YEAR(M2845)</f>
        <v/>
      </c>
      <c r="L2845" s="6">
        <f>MONTH(M2845)</f>
        <v/>
      </c>
      <c r="R2845" s="6">
        <f>S2845&amp;T2845</f>
        <v/>
      </c>
      <c r="S2845" s="6">
        <f>YEAR(U2845)</f>
        <v/>
      </c>
      <c r="T2845" s="6">
        <f>MONTH(U2845)</f>
        <v/>
      </c>
      <c r="Z2845" s="6">
        <f>AA2845&amp;AB2845</f>
        <v/>
      </c>
      <c r="AA2845" s="6">
        <f>YEAR(AC2845)</f>
        <v/>
      </c>
      <c r="AB2845" s="6">
        <f>MONTH(AC2845)</f>
        <v/>
      </c>
      <c r="AC2845" s="267">
        <f>IFERROR(__xludf.DUMMYFUNCTION("""COMPUTED_VALUE"""),46005.9986111111)</f>
        <v/>
      </c>
      <c r="AD2845" s="6">
        <f>IFERROR(__xludf.DUMMYFUNCTION("""COMPUTED_VALUE"""),1472.91)</f>
        <v/>
      </c>
      <c r="AH2845" s="6">
        <f>AI2845&amp;AJ2845</f>
        <v/>
      </c>
      <c r="AI2845" s="6">
        <f>YEAR(AK2845)</f>
        <v/>
      </c>
      <c r="AJ2845" s="6">
        <f>MONTH(AK2845)</f>
        <v/>
      </c>
      <c r="AK2845" s="267">
        <f>IFERROR(__xludf.DUMMYFUNCTION("""COMPUTED_VALUE"""),45940.9986111111)</f>
        <v/>
      </c>
      <c r="AL2845" s="6">
        <f>IFERROR(__xludf.DUMMYFUNCTION("""COMPUTED_VALUE"""),121146)</f>
        <v/>
      </c>
      <c r="AP2845" s="6">
        <f>AQ2845&amp;AR2845</f>
        <v/>
      </c>
      <c r="AQ2845" s="6">
        <f>YEAR(AS2845)</f>
        <v/>
      </c>
      <c r="AR2845" s="6">
        <f>MONTH(AS2845)</f>
        <v/>
      </c>
    </row>
    <row r="2846">
      <c r="B2846" s="6">
        <f>C2846&amp;D2846</f>
        <v/>
      </c>
      <c r="C2846" s="6">
        <f>YEAR(E2846)</f>
        <v/>
      </c>
      <c r="D2846" s="6">
        <f>MONTH(E2846)</f>
        <v/>
      </c>
      <c r="J2846" s="6">
        <f>K2846&amp;L2846</f>
        <v/>
      </c>
      <c r="K2846" s="6">
        <f>YEAR(M2846)</f>
        <v/>
      </c>
      <c r="L2846" s="6">
        <f>MONTH(M2846)</f>
        <v/>
      </c>
      <c r="R2846" s="6">
        <f>S2846&amp;T2846</f>
        <v/>
      </c>
      <c r="S2846" s="6">
        <f>YEAR(U2846)</f>
        <v/>
      </c>
      <c r="T2846" s="6">
        <f>MONTH(U2846)</f>
        <v/>
      </c>
      <c r="Z2846" s="6">
        <f>AA2846&amp;AB2846</f>
        <v/>
      </c>
      <c r="AA2846" s="6">
        <f>YEAR(AC2846)</f>
        <v/>
      </c>
      <c r="AB2846" s="6">
        <f>MONTH(AC2846)</f>
        <v/>
      </c>
      <c r="AC2846" s="267">
        <f>IFERROR(__xludf.DUMMYFUNCTION("""COMPUTED_VALUE"""),46006.9986111111)</f>
        <v/>
      </c>
      <c r="AD2846" s="6">
        <f>IFERROR(__xludf.DUMMYFUNCTION("""COMPUTED_VALUE"""),1467.48)</f>
        <v/>
      </c>
      <c r="AH2846" s="6">
        <f>AI2846&amp;AJ2846</f>
        <v/>
      </c>
      <c r="AI2846" s="6">
        <f>YEAR(AK2846)</f>
        <v/>
      </c>
      <c r="AJ2846" s="6">
        <f>MONTH(AK2846)</f>
        <v/>
      </c>
      <c r="AK2846" s="267">
        <f>IFERROR(__xludf.DUMMYFUNCTION("""COMPUTED_VALUE"""),45941.9986111111)</f>
        <v/>
      </c>
      <c r="AL2846" s="6">
        <f>IFERROR(__xludf.DUMMYFUNCTION("""COMPUTED_VALUE"""),112580.3)</f>
        <v/>
      </c>
      <c r="AP2846" s="6">
        <f>AQ2846&amp;AR2846</f>
        <v/>
      </c>
      <c r="AQ2846" s="6">
        <f>YEAR(AS2846)</f>
        <v/>
      </c>
      <c r="AR2846" s="6">
        <f>MONTH(AS2846)</f>
        <v/>
      </c>
    </row>
    <row r="2847">
      <c r="B2847" s="6">
        <f>C2847&amp;D2847</f>
        <v/>
      </c>
      <c r="C2847" s="6">
        <f>YEAR(E2847)</f>
        <v/>
      </c>
      <c r="D2847" s="6">
        <f>MONTH(E2847)</f>
        <v/>
      </c>
      <c r="J2847" s="6">
        <f>K2847&amp;L2847</f>
        <v/>
      </c>
      <c r="K2847" s="6">
        <f>YEAR(M2847)</f>
        <v/>
      </c>
      <c r="L2847" s="6">
        <f>MONTH(M2847)</f>
        <v/>
      </c>
      <c r="R2847" s="6">
        <f>S2847&amp;T2847</f>
        <v/>
      </c>
      <c r="S2847" s="6">
        <f>YEAR(U2847)</f>
        <v/>
      </c>
      <c r="T2847" s="6">
        <f>MONTH(U2847)</f>
        <v/>
      </c>
      <c r="Z2847" s="6">
        <f>AA2847&amp;AB2847</f>
        <v/>
      </c>
      <c r="AA2847" s="6">
        <f>YEAR(AC2847)</f>
        <v/>
      </c>
      <c r="AB2847" s="6">
        <f>MONTH(AC2847)</f>
        <v/>
      </c>
      <c r="AC2847" s="267">
        <f>IFERROR(__xludf.DUMMYFUNCTION("""COMPUTED_VALUE"""),46007.9986111111)</f>
        <v/>
      </c>
      <c r="AD2847" s="6">
        <f>IFERROR(__xludf.DUMMYFUNCTION("""COMPUTED_VALUE"""),1471.74)</f>
        <v/>
      </c>
      <c r="AH2847" s="6">
        <f>AI2847&amp;AJ2847</f>
        <v/>
      </c>
      <c r="AI2847" s="6">
        <f>YEAR(AK2847)</f>
        <v/>
      </c>
      <c r="AJ2847" s="6">
        <f>MONTH(AK2847)</f>
        <v/>
      </c>
      <c r="AK2847" s="267">
        <f>IFERROR(__xludf.DUMMYFUNCTION("""COMPUTED_VALUE"""),45942.9986111111)</f>
        <v/>
      </c>
      <c r="AL2847" s="6">
        <f>IFERROR(__xludf.DUMMYFUNCTION("""COMPUTED_VALUE"""),111039.5)</f>
        <v/>
      </c>
      <c r="AP2847" s="6">
        <f>AQ2847&amp;AR2847</f>
        <v/>
      </c>
      <c r="AQ2847" s="6">
        <f>YEAR(AS2847)</f>
        <v/>
      </c>
      <c r="AR2847" s="6">
        <f>MONTH(AS2847)</f>
        <v/>
      </c>
    </row>
    <row r="2848">
      <c r="B2848" s="6">
        <f>C2848&amp;D2848</f>
        <v/>
      </c>
      <c r="C2848" s="6">
        <f>YEAR(E2848)</f>
        <v/>
      </c>
      <c r="D2848" s="6">
        <f>MONTH(E2848)</f>
        <v/>
      </c>
      <c r="J2848" s="6">
        <f>K2848&amp;L2848</f>
        <v/>
      </c>
      <c r="K2848" s="6">
        <f>YEAR(M2848)</f>
        <v/>
      </c>
      <c r="L2848" s="6">
        <f>MONTH(M2848)</f>
        <v/>
      </c>
      <c r="R2848" s="6">
        <f>S2848&amp;T2848</f>
        <v/>
      </c>
      <c r="S2848" s="6">
        <f>YEAR(U2848)</f>
        <v/>
      </c>
      <c r="T2848" s="6">
        <f>MONTH(U2848)</f>
        <v/>
      </c>
      <c r="Z2848" s="6">
        <f>AA2848&amp;AB2848</f>
        <v/>
      </c>
      <c r="AA2848" s="6">
        <f>YEAR(AC2848)</f>
        <v/>
      </c>
      <c r="AB2848" s="6">
        <f>MONTH(AC2848)</f>
        <v/>
      </c>
      <c r="AC2848" s="267">
        <f>IFERROR(__xludf.DUMMYFUNCTION("""COMPUTED_VALUE"""),46008.9986111111)</f>
        <v/>
      </c>
      <c r="AD2848" s="6">
        <f>IFERROR(__xludf.DUMMYFUNCTION("""COMPUTED_VALUE"""),1474)</f>
        <v/>
      </c>
      <c r="AH2848" s="6">
        <f>AI2848&amp;AJ2848</f>
        <v/>
      </c>
      <c r="AI2848" s="6">
        <f>YEAR(AK2848)</f>
        <v/>
      </c>
      <c r="AJ2848" s="6">
        <f>MONTH(AK2848)</f>
        <v/>
      </c>
      <c r="AK2848" s="267">
        <f>IFERROR(__xludf.DUMMYFUNCTION("""COMPUTED_VALUE"""),45943.9986111111)</f>
        <v/>
      </c>
      <c r="AL2848" s="6">
        <f>IFERROR(__xludf.DUMMYFUNCTION("""COMPUTED_VALUE"""),114934.2)</f>
        <v/>
      </c>
      <c r="AP2848" s="6">
        <f>AQ2848&amp;AR2848</f>
        <v/>
      </c>
      <c r="AQ2848" s="6">
        <f>YEAR(AS2848)</f>
        <v/>
      </c>
      <c r="AR2848" s="6">
        <f>MONTH(AS2848)</f>
        <v/>
      </c>
    </row>
    <row r="2849">
      <c r="B2849" s="6">
        <f>C2849&amp;D2849</f>
        <v/>
      </c>
      <c r="C2849" s="6">
        <f>YEAR(E2849)</f>
        <v/>
      </c>
      <c r="D2849" s="6">
        <f>MONTH(E2849)</f>
        <v/>
      </c>
      <c r="J2849" s="6">
        <f>K2849&amp;L2849</f>
        <v/>
      </c>
      <c r="K2849" s="6">
        <f>YEAR(M2849)</f>
        <v/>
      </c>
      <c r="L2849" s="6">
        <f>MONTH(M2849)</f>
        <v/>
      </c>
      <c r="R2849" s="6">
        <f>S2849&amp;T2849</f>
        <v/>
      </c>
      <c r="S2849" s="6">
        <f>YEAR(U2849)</f>
        <v/>
      </c>
      <c r="T2849" s="6">
        <f>MONTH(U2849)</f>
        <v/>
      </c>
      <c r="Z2849" s="6">
        <f>AA2849&amp;AB2849</f>
        <v/>
      </c>
      <c r="AA2849" s="6">
        <f>YEAR(AC2849)</f>
        <v/>
      </c>
      <c r="AB2849" s="6">
        <f>MONTH(AC2849)</f>
        <v/>
      </c>
      <c r="AC2849" s="267">
        <f>IFERROR(__xludf.DUMMYFUNCTION("""COMPUTED_VALUE"""),46009.9986111111)</f>
        <v/>
      </c>
      <c r="AD2849" s="6">
        <f>IFERROR(__xludf.DUMMYFUNCTION("""COMPUTED_VALUE"""),1474.36)</f>
        <v/>
      </c>
      <c r="AH2849" s="6">
        <f>AI2849&amp;AJ2849</f>
        <v/>
      </c>
      <c r="AI2849" s="6">
        <f>YEAR(AK2849)</f>
        <v/>
      </c>
      <c r="AJ2849" s="6">
        <f>MONTH(AK2849)</f>
        <v/>
      </c>
      <c r="AK2849" s="267">
        <f>IFERROR(__xludf.DUMMYFUNCTION("""COMPUTED_VALUE"""),45944.9986111111)</f>
        <v/>
      </c>
      <c r="AL2849" s="6">
        <f>IFERROR(__xludf.DUMMYFUNCTION("""COMPUTED_VALUE"""),113612.7)</f>
        <v/>
      </c>
      <c r="AP2849" s="6">
        <f>AQ2849&amp;AR2849</f>
        <v/>
      </c>
      <c r="AQ2849" s="6">
        <f>YEAR(AS2849)</f>
        <v/>
      </c>
      <c r="AR2849" s="6">
        <f>MONTH(AS2849)</f>
        <v/>
      </c>
    </row>
    <row r="2850">
      <c r="B2850" s="6">
        <f>C2850&amp;D2850</f>
        <v/>
      </c>
      <c r="C2850" s="6">
        <f>YEAR(E2850)</f>
        <v/>
      </c>
      <c r="D2850" s="6">
        <f>MONTH(E2850)</f>
        <v/>
      </c>
      <c r="J2850" s="6">
        <f>K2850&amp;L2850</f>
        <v/>
      </c>
      <c r="K2850" s="6">
        <f>YEAR(M2850)</f>
        <v/>
      </c>
      <c r="L2850" s="6">
        <f>MONTH(M2850)</f>
        <v/>
      </c>
      <c r="R2850" s="6">
        <f>S2850&amp;T2850</f>
        <v/>
      </c>
      <c r="S2850" s="6">
        <f>YEAR(U2850)</f>
        <v/>
      </c>
      <c r="T2850" s="6">
        <f>MONTH(U2850)</f>
        <v/>
      </c>
      <c r="Z2850" s="6">
        <f>AA2850&amp;AB2850</f>
        <v/>
      </c>
      <c r="AA2850" s="6">
        <f>YEAR(AC2850)</f>
        <v/>
      </c>
      <c r="AB2850" s="6">
        <f>MONTH(AC2850)</f>
        <v/>
      </c>
      <c r="AC2850" s="267">
        <f>IFERROR(__xludf.DUMMYFUNCTION("""COMPUTED_VALUE"""),46010.9986111111)</f>
        <v/>
      </c>
      <c r="AD2850" s="6">
        <f>IFERROR(__xludf.DUMMYFUNCTION("""COMPUTED_VALUE"""),1474.66)</f>
        <v/>
      </c>
      <c r="AH2850" s="6">
        <f>AI2850&amp;AJ2850</f>
        <v/>
      </c>
      <c r="AI2850" s="6">
        <f>YEAR(AK2850)</f>
        <v/>
      </c>
      <c r="AJ2850" s="6">
        <f>MONTH(AK2850)</f>
        <v/>
      </c>
      <c r="AK2850" s="267">
        <f>IFERROR(__xludf.DUMMYFUNCTION("""COMPUTED_VALUE"""),45945.9986111111)</f>
        <v/>
      </c>
      <c r="AL2850" s="6">
        <f>IFERROR(__xludf.DUMMYFUNCTION("""COMPUTED_VALUE"""),112138.6)</f>
        <v/>
      </c>
      <c r="AP2850" s="6">
        <f>AQ2850&amp;AR2850</f>
        <v/>
      </c>
      <c r="AQ2850" s="6">
        <f>YEAR(AS2850)</f>
        <v/>
      </c>
      <c r="AR2850" s="6">
        <f>MONTH(AS2850)</f>
        <v/>
      </c>
    </row>
    <row r="2851">
      <c r="B2851" s="6">
        <f>C2851&amp;D2851</f>
        <v/>
      </c>
      <c r="C2851" s="6">
        <f>YEAR(E2851)</f>
        <v/>
      </c>
      <c r="D2851" s="6">
        <f>MONTH(E2851)</f>
        <v/>
      </c>
      <c r="J2851" s="6">
        <f>K2851&amp;L2851</f>
        <v/>
      </c>
      <c r="K2851" s="6">
        <f>YEAR(M2851)</f>
        <v/>
      </c>
      <c r="L2851" s="6">
        <f>MONTH(M2851)</f>
        <v/>
      </c>
      <c r="R2851" s="6">
        <f>S2851&amp;T2851</f>
        <v/>
      </c>
      <c r="S2851" s="6">
        <f>YEAR(U2851)</f>
        <v/>
      </c>
      <c r="T2851" s="6">
        <f>MONTH(U2851)</f>
        <v/>
      </c>
      <c r="Z2851" s="6">
        <f>AA2851&amp;AB2851</f>
        <v/>
      </c>
      <c r="AA2851" s="6">
        <f>YEAR(AC2851)</f>
        <v/>
      </c>
      <c r="AB2851" s="6">
        <f>MONTH(AC2851)</f>
        <v/>
      </c>
      <c r="AC2851" s="267">
        <f>IFERROR(__xludf.DUMMYFUNCTION("""COMPUTED_VALUE"""),46011.9986111111)</f>
        <v/>
      </c>
      <c r="AD2851" s="6">
        <f>IFERROR(__xludf.DUMMYFUNCTION("""COMPUTED_VALUE"""),1474.66)</f>
        <v/>
      </c>
      <c r="AH2851" s="6">
        <f>AI2851&amp;AJ2851</f>
        <v/>
      </c>
      <c r="AI2851" s="6">
        <f>YEAR(AK2851)</f>
        <v/>
      </c>
      <c r="AJ2851" s="6">
        <f>MONTH(AK2851)</f>
        <v/>
      </c>
      <c r="AK2851" s="267">
        <f>IFERROR(__xludf.DUMMYFUNCTION("""COMPUTED_VALUE"""),45946.9986111111)</f>
        <v/>
      </c>
      <c r="AL2851" s="6">
        <f>IFERROR(__xludf.DUMMYFUNCTION("""COMPUTED_VALUE"""),111449.5)</f>
        <v/>
      </c>
      <c r="AP2851" s="6">
        <f>AQ2851&amp;AR2851</f>
        <v/>
      </c>
      <c r="AQ2851" s="6">
        <f>YEAR(AS2851)</f>
        <v/>
      </c>
      <c r="AR2851" s="6">
        <f>MONTH(AS2851)</f>
        <v/>
      </c>
    </row>
    <row r="2852">
      <c r="B2852" s="6">
        <f>C2852&amp;D2852</f>
        <v/>
      </c>
      <c r="C2852" s="6">
        <f>YEAR(E2852)</f>
        <v/>
      </c>
      <c r="D2852" s="6">
        <f>MONTH(E2852)</f>
        <v/>
      </c>
      <c r="J2852" s="6">
        <f>K2852&amp;L2852</f>
        <v/>
      </c>
      <c r="K2852" s="6">
        <f>YEAR(M2852)</f>
        <v/>
      </c>
      <c r="L2852" s="6">
        <f>MONTH(M2852)</f>
        <v/>
      </c>
      <c r="R2852" s="6">
        <f>S2852&amp;T2852</f>
        <v/>
      </c>
      <c r="S2852" s="6">
        <f>YEAR(U2852)</f>
        <v/>
      </c>
      <c r="T2852" s="6">
        <f>MONTH(U2852)</f>
        <v/>
      </c>
      <c r="Z2852" s="6">
        <f>AA2852&amp;AB2852</f>
        <v/>
      </c>
      <c r="AA2852" s="6">
        <f>YEAR(AC2852)</f>
        <v/>
      </c>
      <c r="AB2852" s="6">
        <f>MONTH(AC2852)</f>
        <v/>
      </c>
      <c r="AC2852" s="267">
        <f>IFERROR(__xludf.DUMMYFUNCTION("""COMPUTED_VALUE"""),46012.9986111111)</f>
        <v/>
      </c>
      <c r="AD2852" s="6">
        <f>IFERROR(__xludf.DUMMYFUNCTION("""COMPUTED_VALUE"""),1473.72)</f>
        <v/>
      </c>
      <c r="AH2852" s="6">
        <f>AI2852&amp;AJ2852</f>
        <v/>
      </c>
      <c r="AI2852" s="6">
        <f>YEAR(AK2852)</f>
        <v/>
      </c>
      <c r="AJ2852" s="6">
        <f>MONTH(AK2852)</f>
        <v/>
      </c>
      <c r="AK2852" s="267">
        <f>IFERROR(__xludf.DUMMYFUNCTION("""COMPUTED_VALUE"""),45947.9986111111)</f>
        <v/>
      </c>
      <c r="AL2852" s="6">
        <f>IFERROR(__xludf.DUMMYFUNCTION("""COMPUTED_VALUE"""),109176.5)</f>
        <v/>
      </c>
      <c r="AP2852" s="6">
        <f>AQ2852&amp;AR2852</f>
        <v/>
      </c>
      <c r="AQ2852" s="6">
        <f>YEAR(AS2852)</f>
        <v/>
      </c>
      <c r="AR2852" s="6">
        <f>MONTH(AS2852)</f>
        <v/>
      </c>
    </row>
    <row r="2853">
      <c r="B2853" s="6">
        <f>C2853&amp;D2853</f>
        <v/>
      </c>
      <c r="C2853" s="6">
        <f>YEAR(E2853)</f>
        <v/>
      </c>
      <c r="D2853" s="6">
        <f>MONTH(E2853)</f>
        <v/>
      </c>
      <c r="J2853" s="6">
        <f>K2853&amp;L2853</f>
        <v/>
      </c>
      <c r="K2853" s="6">
        <f>YEAR(M2853)</f>
        <v/>
      </c>
      <c r="L2853" s="6">
        <f>MONTH(M2853)</f>
        <v/>
      </c>
      <c r="R2853" s="6">
        <f>S2853&amp;T2853</f>
        <v/>
      </c>
      <c r="S2853" s="6">
        <f>YEAR(U2853)</f>
        <v/>
      </c>
      <c r="T2853" s="6">
        <f>MONTH(U2853)</f>
        <v/>
      </c>
      <c r="Z2853" s="6">
        <f>AA2853&amp;AB2853</f>
        <v/>
      </c>
      <c r="AA2853" s="6">
        <f>YEAR(AC2853)</f>
        <v/>
      </c>
      <c r="AB2853" s="6">
        <f>MONTH(AC2853)</f>
        <v/>
      </c>
      <c r="AC2853" s="267">
        <f>IFERROR(__xludf.DUMMYFUNCTION("""COMPUTED_VALUE"""),46013.9986111111)</f>
        <v/>
      </c>
      <c r="AD2853" s="6">
        <f>IFERROR(__xludf.DUMMYFUNCTION("""COMPUTED_VALUE"""),1476.84)</f>
        <v/>
      </c>
      <c r="AH2853" s="6">
        <f>AI2853&amp;AJ2853</f>
        <v/>
      </c>
      <c r="AI2853" s="6">
        <f>YEAR(AK2853)</f>
        <v/>
      </c>
      <c r="AJ2853" s="6">
        <f>MONTH(AK2853)</f>
        <v/>
      </c>
      <c r="AK2853" s="267">
        <f>IFERROR(__xludf.DUMMYFUNCTION("""COMPUTED_VALUE"""),45948.9986111111)</f>
        <v/>
      </c>
      <c r="AL2853" s="6">
        <f>IFERROR(__xludf.DUMMYFUNCTION("""COMPUTED_VALUE"""),107158.5)</f>
        <v/>
      </c>
      <c r="AP2853" s="6">
        <f>AQ2853&amp;AR2853</f>
        <v/>
      </c>
      <c r="AQ2853" s="6">
        <f>YEAR(AS2853)</f>
        <v/>
      </c>
      <c r="AR2853" s="6">
        <f>MONTH(AS2853)</f>
        <v/>
      </c>
    </row>
    <row r="2854">
      <c r="B2854" s="6">
        <f>C2854&amp;D2854</f>
        <v/>
      </c>
      <c r="C2854" s="6">
        <f>YEAR(E2854)</f>
        <v/>
      </c>
      <c r="D2854" s="6">
        <f>MONTH(E2854)</f>
        <v/>
      </c>
      <c r="J2854" s="6">
        <f>K2854&amp;L2854</f>
        <v/>
      </c>
      <c r="K2854" s="6">
        <f>YEAR(M2854)</f>
        <v/>
      </c>
      <c r="L2854" s="6">
        <f>MONTH(M2854)</f>
        <v/>
      </c>
      <c r="R2854" s="6">
        <f>S2854&amp;T2854</f>
        <v/>
      </c>
      <c r="S2854" s="6">
        <f>YEAR(U2854)</f>
        <v/>
      </c>
      <c r="T2854" s="6">
        <f>MONTH(U2854)</f>
        <v/>
      </c>
      <c r="Z2854" s="6">
        <f>AA2854&amp;AB2854</f>
        <v/>
      </c>
      <c r="AA2854" s="6">
        <f>YEAR(AC2854)</f>
        <v/>
      </c>
      <c r="AB2854" s="6">
        <f>MONTH(AC2854)</f>
        <v/>
      </c>
      <c r="AC2854" s="267">
        <f>IFERROR(__xludf.DUMMYFUNCTION("""COMPUTED_VALUE"""),46014.9986111111)</f>
        <v/>
      </c>
      <c r="AD2854" s="6">
        <f>IFERROR(__xludf.DUMMYFUNCTION("""COMPUTED_VALUE"""),1478.67)</f>
        <v/>
      </c>
      <c r="AH2854" s="6">
        <f>AI2854&amp;AJ2854</f>
        <v/>
      </c>
      <c r="AI2854" s="6">
        <f>YEAR(AK2854)</f>
        <v/>
      </c>
      <c r="AJ2854" s="6">
        <f>MONTH(AK2854)</f>
        <v/>
      </c>
      <c r="AK2854" s="267">
        <f>IFERROR(__xludf.DUMMYFUNCTION("""COMPUTED_VALUE"""),45949.9986111111)</f>
        <v/>
      </c>
      <c r="AL2854" s="6">
        <f>IFERROR(__xludf.DUMMYFUNCTION("""COMPUTED_VALUE"""),107365.6)</f>
        <v/>
      </c>
      <c r="AP2854" s="6">
        <f>AQ2854&amp;AR2854</f>
        <v/>
      </c>
      <c r="AQ2854" s="6">
        <f>YEAR(AS2854)</f>
        <v/>
      </c>
      <c r="AR2854" s="6">
        <f>MONTH(AS2854)</f>
        <v/>
      </c>
    </row>
    <row r="2855">
      <c r="B2855" s="6">
        <f>C2855&amp;D2855</f>
        <v/>
      </c>
      <c r="C2855" s="6">
        <f>YEAR(E2855)</f>
        <v/>
      </c>
      <c r="D2855" s="6">
        <f>MONTH(E2855)</f>
        <v/>
      </c>
      <c r="J2855" s="6">
        <f>K2855&amp;L2855</f>
        <v/>
      </c>
      <c r="K2855" s="6">
        <f>YEAR(M2855)</f>
        <v/>
      </c>
      <c r="L2855" s="6">
        <f>MONTH(M2855)</f>
        <v/>
      </c>
      <c r="R2855" s="6">
        <f>S2855&amp;T2855</f>
        <v/>
      </c>
      <c r="S2855" s="6">
        <f>YEAR(U2855)</f>
        <v/>
      </c>
      <c r="T2855" s="6">
        <f>MONTH(U2855)</f>
        <v/>
      </c>
      <c r="Z2855" s="6">
        <f>AA2855&amp;AB2855</f>
        <v/>
      </c>
      <c r="AA2855" s="6">
        <f>YEAR(AC2855)</f>
        <v/>
      </c>
      <c r="AB2855" s="6">
        <f>MONTH(AC2855)</f>
        <v/>
      </c>
      <c r="AC2855" s="267">
        <f>IFERROR(__xludf.DUMMYFUNCTION("""COMPUTED_VALUE"""),46015.9986111111)</f>
        <v/>
      </c>
      <c r="AD2855" s="6">
        <f>IFERROR(__xludf.DUMMYFUNCTION("""COMPUTED_VALUE"""),1443.45)</f>
        <v/>
      </c>
      <c r="AH2855" s="6">
        <f>AI2855&amp;AJ2855</f>
        <v/>
      </c>
      <c r="AI2855" s="6">
        <f>YEAR(AK2855)</f>
        <v/>
      </c>
      <c r="AJ2855" s="6">
        <f>MONTH(AK2855)</f>
        <v/>
      </c>
      <c r="AK2855" s="267">
        <f>IFERROR(__xludf.DUMMYFUNCTION("""COMPUTED_VALUE"""),45950.9986111111)</f>
        <v/>
      </c>
      <c r="AL2855" s="6">
        <f>IFERROR(__xludf.DUMMYFUNCTION("""COMPUTED_VALUE"""),110245.1)</f>
        <v/>
      </c>
      <c r="AP2855" s="6">
        <f>AQ2855&amp;AR2855</f>
        <v/>
      </c>
      <c r="AQ2855" s="6">
        <f>YEAR(AS2855)</f>
        <v/>
      </c>
      <c r="AR2855" s="6">
        <f>MONTH(AS2855)</f>
        <v/>
      </c>
    </row>
    <row r="2856">
      <c r="B2856" s="6">
        <f>C2856&amp;D2856</f>
        <v/>
      </c>
      <c r="C2856" s="6">
        <f>YEAR(E2856)</f>
        <v/>
      </c>
      <c r="D2856" s="6">
        <f>MONTH(E2856)</f>
        <v/>
      </c>
      <c r="J2856" s="6">
        <f>K2856&amp;L2856</f>
        <v/>
      </c>
      <c r="K2856" s="6">
        <f>YEAR(M2856)</f>
        <v/>
      </c>
      <c r="L2856" s="6">
        <f>MONTH(M2856)</f>
        <v/>
      </c>
      <c r="R2856" s="6">
        <f>S2856&amp;T2856</f>
        <v/>
      </c>
      <c r="S2856" s="6">
        <f>YEAR(U2856)</f>
        <v/>
      </c>
      <c r="T2856" s="6">
        <f>MONTH(U2856)</f>
        <v/>
      </c>
      <c r="Z2856" s="6">
        <f>AA2856&amp;AB2856</f>
        <v/>
      </c>
      <c r="AA2856" s="6">
        <f>YEAR(AC2856)</f>
        <v/>
      </c>
      <c r="AB2856" s="6">
        <f>MONTH(AC2856)</f>
        <v/>
      </c>
      <c r="AC2856" s="267">
        <f>IFERROR(__xludf.DUMMYFUNCTION("""COMPUTED_VALUE"""),46016.9986111111)</f>
        <v/>
      </c>
      <c r="AD2856" s="6">
        <f>IFERROR(__xludf.DUMMYFUNCTION("""COMPUTED_VALUE"""),1446.52)</f>
        <v/>
      </c>
      <c r="AH2856" s="6">
        <f>AI2856&amp;AJ2856</f>
        <v/>
      </c>
      <c r="AI2856" s="6">
        <f>YEAR(AK2856)</f>
        <v/>
      </c>
      <c r="AJ2856" s="6">
        <f>MONTH(AK2856)</f>
        <v/>
      </c>
      <c r="AK2856" s="267">
        <f>IFERROR(__xludf.DUMMYFUNCTION("""COMPUTED_VALUE"""),45951.9986111111)</f>
        <v/>
      </c>
      <c r="AL2856" s="6">
        <f>IFERROR(__xludf.DUMMYFUNCTION("""COMPUTED_VALUE"""),109157.9)</f>
        <v/>
      </c>
      <c r="AP2856" s="6">
        <f>AQ2856&amp;AR2856</f>
        <v/>
      </c>
      <c r="AQ2856" s="6">
        <f>YEAR(AS2856)</f>
        <v/>
      </c>
      <c r="AR2856" s="6">
        <f>MONTH(AS2856)</f>
        <v/>
      </c>
    </row>
    <row r="2857">
      <c r="B2857" s="6">
        <f>C2857&amp;D2857</f>
        <v/>
      </c>
      <c r="C2857" s="6">
        <f>YEAR(E2857)</f>
        <v/>
      </c>
      <c r="D2857" s="6">
        <f>MONTH(E2857)</f>
        <v/>
      </c>
      <c r="J2857" s="6">
        <f>K2857&amp;L2857</f>
        <v/>
      </c>
      <c r="K2857" s="6">
        <f>YEAR(M2857)</f>
        <v/>
      </c>
      <c r="L2857" s="6">
        <f>MONTH(M2857)</f>
        <v/>
      </c>
      <c r="R2857" s="6">
        <f>S2857&amp;T2857</f>
        <v/>
      </c>
      <c r="S2857" s="6">
        <f>YEAR(U2857)</f>
        <v/>
      </c>
      <c r="T2857" s="6">
        <f>MONTH(U2857)</f>
        <v/>
      </c>
      <c r="Z2857" s="6">
        <f>AA2857&amp;AB2857</f>
        <v/>
      </c>
      <c r="AA2857" s="6">
        <f>YEAR(AC2857)</f>
        <v/>
      </c>
      <c r="AB2857" s="6">
        <f>MONTH(AC2857)</f>
        <v/>
      </c>
      <c r="AC2857" s="267">
        <f>IFERROR(__xludf.DUMMYFUNCTION("""COMPUTED_VALUE"""),46017.9986111111)</f>
        <v/>
      </c>
      <c r="AD2857" s="6">
        <f>IFERROR(__xludf.DUMMYFUNCTION("""COMPUTED_VALUE"""),1441.33)</f>
        <v/>
      </c>
      <c r="AH2857" s="6">
        <f>AI2857&amp;AJ2857</f>
        <v/>
      </c>
      <c r="AI2857" s="6">
        <f>YEAR(AK2857)</f>
        <v/>
      </c>
      <c r="AJ2857" s="6">
        <f>MONTH(AK2857)</f>
        <v/>
      </c>
      <c r="AK2857" s="267">
        <f>IFERROR(__xludf.DUMMYFUNCTION("""COMPUTED_VALUE"""),45952.9986111111)</f>
        <v/>
      </c>
      <c r="AL2857" s="6">
        <f>IFERROR(__xludf.DUMMYFUNCTION("""COMPUTED_VALUE"""),108213.7)</f>
        <v/>
      </c>
      <c r="AP2857" s="6">
        <f>AQ2857&amp;AR2857</f>
        <v/>
      </c>
      <c r="AQ2857" s="6">
        <f>YEAR(AS2857)</f>
        <v/>
      </c>
      <c r="AR2857" s="6">
        <f>MONTH(AS2857)</f>
        <v/>
      </c>
    </row>
    <row r="2858">
      <c r="B2858" s="6">
        <f>C2858&amp;D2858</f>
        <v/>
      </c>
      <c r="C2858" s="6">
        <f>YEAR(E2858)</f>
        <v/>
      </c>
      <c r="D2858" s="6">
        <f>MONTH(E2858)</f>
        <v/>
      </c>
      <c r="J2858" s="6">
        <f>K2858&amp;L2858</f>
        <v/>
      </c>
      <c r="K2858" s="6">
        <f>YEAR(M2858)</f>
        <v/>
      </c>
      <c r="L2858" s="6">
        <f>MONTH(M2858)</f>
        <v/>
      </c>
      <c r="R2858" s="6">
        <f>S2858&amp;T2858</f>
        <v/>
      </c>
      <c r="S2858" s="6">
        <f>YEAR(U2858)</f>
        <v/>
      </c>
      <c r="T2858" s="6">
        <f>MONTH(U2858)</f>
        <v/>
      </c>
      <c r="Z2858" s="6">
        <f>AA2858&amp;AB2858</f>
        <v/>
      </c>
      <c r="AA2858" s="6">
        <f>YEAR(AC2858)</f>
        <v/>
      </c>
      <c r="AB2858" s="6">
        <f>MONTH(AC2858)</f>
        <v/>
      </c>
      <c r="AC2858" s="267">
        <f>IFERROR(__xludf.DUMMYFUNCTION("""COMPUTED_VALUE"""),46018.9986111111)</f>
        <v/>
      </c>
      <c r="AD2858" s="6">
        <f>IFERROR(__xludf.DUMMYFUNCTION("""COMPUTED_VALUE"""),1441.33)</f>
        <v/>
      </c>
      <c r="AH2858" s="6">
        <f>AI2858&amp;AJ2858</f>
        <v/>
      </c>
      <c r="AI2858" s="6">
        <f>YEAR(AK2858)</f>
        <v/>
      </c>
      <c r="AJ2858" s="6">
        <f>MONTH(AK2858)</f>
        <v/>
      </c>
      <c r="AK2858" s="267">
        <f>IFERROR(__xludf.DUMMYFUNCTION("""COMPUTED_VALUE"""),45953.9986111111)</f>
        <v/>
      </c>
      <c r="AL2858" s="6">
        <f>IFERROR(__xludf.DUMMYFUNCTION("""COMPUTED_VALUE"""),108418.6)</f>
        <v/>
      </c>
      <c r="AP2858" s="6">
        <f>AQ2858&amp;AR2858</f>
        <v/>
      </c>
      <c r="AQ2858" s="6">
        <f>YEAR(AS2858)</f>
        <v/>
      </c>
      <c r="AR2858" s="6">
        <f>MONTH(AS2858)</f>
        <v/>
      </c>
    </row>
    <row r="2859">
      <c r="B2859" s="6">
        <f>C2859&amp;D2859</f>
        <v/>
      </c>
      <c r="C2859" s="6">
        <f>YEAR(E2859)</f>
        <v/>
      </c>
      <c r="D2859" s="6">
        <f>MONTH(E2859)</f>
        <v/>
      </c>
      <c r="J2859" s="6">
        <f>K2859&amp;L2859</f>
        <v/>
      </c>
      <c r="K2859" s="6">
        <f>YEAR(M2859)</f>
        <v/>
      </c>
      <c r="L2859" s="6">
        <f>MONTH(M2859)</f>
        <v/>
      </c>
      <c r="R2859" s="6">
        <f>S2859&amp;T2859</f>
        <v/>
      </c>
      <c r="S2859" s="6">
        <f>YEAR(U2859)</f>
        <v/>
      </c>
      <c r="T2859" s="6">
        <f>MONTH(U2859)</f>
        <v/>
      </c>
      <c r="Z2859" s="6">
        <f>AA2859&amp;AB2859</f>
        <v/>
      </c>
      <c r="AA2859" s="6">
        <f>YEAR(AC2859)</f>
        <v/>
      </c>
      <c r="AB2859" s="6">
        <f>MONTH(AC2859)</f>
        <v/>
      </c>
      <c r="AC2859" s="267">
        <f>IFERROR(__xludf.DUMMYFUNCTION("""COMPUTED_VALUE"""),46019.9986111111)</f>
        <v/>
      </c>
      <c r="AD2859" s="6">
        <f>IFERROR(__xludf.DUMMYFUNCTION("""COMPUTED_VALUE"""),1441.33)</f>
        <v/>
      </c>
      <c r="AH2859" s="6">
        <f>AI2859&amp;AJ2859</f>
        <v/>
      </c>
      <c r="AI2859" s="6">
        <f>YEAR(AK2859)</f>
        <v/>
      </c>
      <c r="AJ2859" s="6">
        <f>MONTH(AK2859)</f>
        <v/>
      </c>
      <c r="AK2859" s="267">
        <f>IFERROR(__xludf.DUMMYFUNCTION("""COMPUTED_VALUE"""),45954.9986111111)</f>
        <v/>
      </c>
      <c r="AL2859" s="6">
        <f>IFERROR(__xludf.DUMMYFUNCTION("""COMPUTED_VALUE"""),110466.5)</f>
        <v/>
      </c>
      <c r="AP2859" s="6">
        <f>AQ2859&amp;AR2859</f>
        <v/>
      </c>
      <c r="AQ2859" s="6">
        <f>YEAR(AS2859)</f>
        <v/>
      </c>
      <c r="AR2859" s="6">
        <f>MONTH(AS2859)</f>
        <v/>
      </c>
    </row>
    <row r="2860">
      <c r="B2860" s="6">
        <f>C2860&amp;D2860</f>
        <v/>
      </c>
      <c r="C2860" s="6">
        <f>YEAR(E2860)</f>
        <v/>
      </c>
      <c r="D2860" s="6">
        <f>MONTH(E2860)</f>
        <v/>
      </c>
      <c r="J2860" s="6">
        <f>K2860&amp;L2860</f>
        <v/>
      </c>
      <c r="K2860" s="6">
        <f>YEAR(M2860)</f>
        <v/>
      </c>
      <c r="L2860" s="6">
        <f>MONTH(M2860)</f>
        <v/>
      </c>
      <c r="R2860" s="6">
        <f>S2860&amp;T2860</f>
        <v/>
      </c>
      <c r="S2860" s="6">
        <f>YEAR(U2860)</f>
        <v/>
      </c>
      <c r="T2860" s="6">
        <f>MONTH(U2860)</f>
        <v/>
      </c>
      <c r="Z2860" s="6">
        <f>AA2860&amp;AB2860</f>
        <v/>
      </c>
      <c r="AA2860" s="6">
        <f>YEAR(AC2860)</f>
        <v/>
      </c>
      <c r="AB2860" s="6">
        <f>MONTH(AC2860)</f>
        <v/>
      </c>
      <c r="AC2860" s="267">
        <f>IFERROR(__xludf.DUMMYFUNCTION("""COMPUTED_VALUE"""),46020.9986111111)</f>
        <v/>
      </c>
      <c r="AD2860" s="6">
        <f>IFERROR(__xludf.DUMMYFUNCTION("""COMPUTED_VALUE"""),1434.71)</f>
        <v/>
      </c>
      <c r="AH2860" s="6">
        <f>AI2860&amp;AJ2860</f>
        <v/>
      </c>
      <c r="AI2860" s="6">
        <f>YEAR(AK2860)</f>
        <v/>
      </c>
      <c r="AJ2860" s="6">
        <f>MONTH(AK2860)</f>
        <v/>
      </c>
      <c r="AK2860" s="267">
        <f>IFERROR(__xludf.DUMMYFUNCTION("""COMPUTED_VALUE"""),45955.9986111111)</f>
        <v/>
      </c>
      <c r="AL2860" s="6">
        <f>IFERROR(__xludf.DUMMYFUNCTION("""COMPUTED_VALUE"""),111077.3)</f>
        <v/>
      </c>
      <c r="AP2860" s="6">
        <f>AQ2860&amp;AR2860</f>
        <v/>
      </c>
      <c r="AQ2860" s="6">
        <f>YEAR(AS2860)</f>
        <v/>
      </c>
      <c r="AR2860" s="6">
        <f>MONTH(AS2860)</f>
        <v/>
      </c>
    </row>
    <row r="2861">
      <c r="B2861" s="6">
        <f>C2861&amp;D2861</f>
        <v/>
      </c>
      <c r="C2861" s="6">
        <f>YEAR(E2861)</f>
        <v/>
      </c>
      <c r="D2861" s="6">
        <f>MONTH(E2861)</f>
        <v/>
      </c>
      <c r="J2861" s="6">
        <f>K2861&amp;L2861</f>
        <v/>
      </c>
      <c r="K2861" s="6">
        <f>YEAR(M2861)</f>
        <v/>
      </c>
      <c r="L2861" s="6">
        <f>MONTH(M2861)</f>
        <v/>
      </c>
      <c r="R2861" s="6">
        <f>S2861&amp;T2861</f>
        <v/>
      </c>
      <c r="S2861" s="6">
        <f>YEAR(U2861)</f>
        <v/>
      </c>
      <c r="T2861" s="6">
        <f>MONTH(U2861)</f>
        <v/>
      </c>
      <c r="Z2861" s="6">
        <f>AA2861&amp;AB2861</f>
        <v/>
      </c>
      <c r="AA2861" s="6">
        <f>YEAR(AC2861)</f>
        <v/>
      </c>
      <c r="AB2861" s="6">
        <f>MONTH(AC2861)</f>
        <v/>
      </c>
      <c r="AC2861" s="267">
        <f>IFERROR(__xludf.DUMMYFUNCTION("""COMPUTED_VALUE"""),46021.9986111111)</f>
        <v/>
      </c>
      <c r="AD2861" s="6">
        <f>IFERROR(__xludf.DUMMYFUNCTION("""COMPUTED_VALUE"""),1437.91)</f>
        <v/>
      </c>
      <c r="AH2861" s="6">
        <f>AI2861&amp;AJ2861</f>
        <v/>
      </c>
      <c r="AI2861" s="6">
        <f>YEAR(AK2861)</f>
        <v/>
      </c>
      <c r="AJ2861" s="6">
        <f>MONTH(AK2861)</f>
        <v/>
      </c>
      <c r="AK2861" s="267">
        <f>IFERROR(__xludf.DUMMYFUNCTION("""COMPUTED_VALUE"""),45956.9986111111)</f>
        <v/>
      </c>
      <c r="AL2861" s="6">
        <f>IFERROR(__xludf.DUMMYFUNCTION("""COMPUTED_VALUE"""),111284.2)</f>
        <v/>
      </c>
      <c r="AP2861" s="6">
        <f>AQ2861&amp;AR2861</f>
        <v/>
      </c>
      <c r="AQ2861" s="6">
        <f>YEAR(AS2861)</f>
        <v/>
      </c>
      <c r="AR2861" s="6">
        <f>MONTH(AS2861)</f>
        <v/>
      </c>
    </row>
    <row r="2862">
      <c r="B2862" s="6">
        <f>C2862&amp;D2862</f>
        <v/>
      </c>
      <c r="C2862" s="6">
        <f>YEAR(E2862)</f>
        <v/>
      </c>
      <c r="D2862" s="6">
        <f>MONTH(E2862)</f>
        <v/>
      </c>
      <c r="J2862" s="6">
        <f>K2862&amp;L2862</f>
        <v/>
      </c>
      <c r="K2862" s="6">
        <f>YEAR(M2862)</f>
        <v/>
      </c>
      <c r="L2862" s="6">
        <f>MONTH(M2862)</f>
        <v/>
      </c>
      <c r="R2862" s="6">
        <f>S2862&amp;T2862</f>
        <v/>
      </c>
      <c r="S2862" s="6">
        <f>YEAR(U2862)</f>
        <v/>
      </c>
      <c r="T2862" s="6">
        <f>MONTH(U2862)</f>
        <v/>
      </c>
      <c r="Z2862" s="6">
        <f>AA2862&amp;AB2862</f>
        <v/>
      </c>
      <c r="AA2862" s="6">
        <f>YEAR(AC2862)</f>
        <v/>
      </c>
      <c r="AB2862" s="6">
        <f>MONTH(AC2862)</f>
        <v/>
      </c>
      <c r="AC2862" s="267">
        <f>IFERROR(__xludf.DUMMYFUNCTION("""COMPUTED_VALUE"""),46022.9986111111)</f>
        <v/>
      </c>
      <c r="AD2862" s="6">
        <f>IFERROR(__xludf.DUMMYFUNCTION("""COMPUTED_VALUE"""),1443.64)</f>
        <v/>
      </c>
      <c r="AH2862" s="6">
        <f>AI2862&amp;AJ2862</f>
        <v/>
      </c>
      <c r="AI2862" s="6">
        <f>YEAR(AK2862)</f>
        <v/>
      </c>
      <c r="AJ2862" s="6">
        <f>MONTH(AK2862)</f>
        <v/>
      </c>
      <c r="AK2862" s="267">
        <f>IFERROR(__xludf.DUMMYFUNCTION("""COMPUTED_VALUE"""),45957.9986111111)</f>
        <v/>
      </c>
      <c r="AL2862" s="6">
        <f>IFERROR(__xludf.DUMMYFUNCTION("""COMPUTED_VALUE"""),114960.8)</f>
        <v/>
      </c>
      <c r="AP2862" s="6">
        <f>AQ2862&amp;AR2862</f>
        <v/>
      </c>
      <c r="AQ2862" s="6">
        <f>YEAR(AS2862)</f>
        <v/>
      </c>
      <c r="AR2862" s="6">
        <f>MONTH(AS2862)</f>
        <v/>
      </c>
    </row>
    <row r="2863">
      <c r="B2863" s="6">
        <f>C2863&amp;D2863</f>
        <v/>
      </c>
      <c r="C2863" s="6">
        <f>YEAR(E2863)</f>
        <v/>
      </c>
      <c r="D2863" s="6">
        <f>MONTH(E2863)</f>
        <v/>
      </c>
      <c r="J2863" s="6">
        <f>K2863&amp;L2863</f>
        <v/>
      </c>
      <c r="K2863" s="6">
        <f>YEAR(M2863)</f>
        <v/>
      </c>
      <c r="L2863" s="6">
        <f>MONTH(M2863)</f>
        <v/>
      </c>
      <c r="R2863" s="6">
        <f>S2863&amp;T2863</f>
        <v/>
      </c>
      <c r="S2863" s="6">
        <f>YEAR(U2863)</f>
        <v/>
      </c>
      <c r="T2863" s="6">
        <f>MONTH(U2863)</f>
        <v/>
      </c>
      <c r="Z2863" s="6">
        <f>AA2863&amp;AB2863</f>
        <v/>
      </c>
      <c r="AA2863" s="6">
        <f>YEAR(AC2863)</f>
        <v/>
      </c>
      <c r="AB2863" s="6">
        <f>MONTH(AC2863)</f>
        <v/>
      </c>
      <c r="AC2863" s="267">
        <f>IFERROR(__xludf.DUMMYFUNCTION("""COMPUTED_VALUE"""),46023.9986111111)</f>
        <v/>
      </c>
      <c r="AD2863" s="6">
        <f>IFERROR(__xludf.DUMMYFUNCTION("""COMPUTED_VALUE"""),1443.64)</f>
        <v/>
      </c>
      <c r="AH2863" s="6">
        <f>AI2863&amp;AJ2863</f>
        <v/>
      </c>
      <c r="AI2863" s="6">
        <f>YEAR(AK2863)</f>
        <v/>
      </c>
      <c r="AJ2863" s="6">
        <f>MONTH(AK2863)</f>
        <v/>
      </c>
      <c r="AK2863" s="267">
        <f>IFERROR(__xludf.DUMMYFUNCTION("""COMPUTED_VALUE"""),45958.9986111111)</f>
        <v/>
      </c>
      <c r="AL2863" s="6">
        <f>IFERROR(__xludf.DUMMYFUNCTION("""COMPUTED_VALUE"""),113911)</f>
        <v/>
      </c>
      <c r="AP2863" s="6">
        <f>AQ2863&amp;AR2863</f>
        <v/>
      </c>
      <c r="AQ2863" s="6">
        <f>YEAR(AS2863)</f>
        <v/>
      </c>
      <c r="AR2863" s="6">
        <f>MONTH(AS2863)</f>
        <v/>
      </c>
    </row>
    <row r="2864">
      <c r="B2864" s="6">
        <f>C2864&amp;D2864</f>
        <v/>
      </c>
      <c r="C2864" s="6">
        <f>YEAR(E2864)</f>
        <v/>
      </c>
      <c r="D2864" s="6">
        <f>MONTH(E2864)</f>
        <v/>
      </c>
      <c r="J2864" s="6">
        <f>K2864&amp;L2864</f>
        <v/>
      </c>
      <c r="K2864" s="6">
        <f>YEAR(M2864)</f>
        <v/>
      </c>
      <c r="L2864" s="6">
        <f>MONTH(M2864)</f>
        <v/>
      </c>
      <c r="R2864" s="6">
        <f>S2864&amp;T2864</f>
        <v/>
      </c>
      <c r="S2864" s="6">
        <f>YEAR(U2864)</f>
        <v/>
      </c>
      <c r="T2864" s="6">
        <f>MONTH(U2864)</f>
        <v/>
      </c>
      <c r="Z2864" s="6">
        <f>AA2864&amp;AB2864</f>
        <v/>
      </c>
      <c r="AA2864" s="6">
        <f>YEAR(AC2864)</f>
        <v/>
      </c>
      <c r="AB2864" s="6">
        <f>MONTH(AC2864)</f>
        <v/>
      </c>
      <c r="AC2864" s="267">
        <f>IFERROR(__xludf.DUMMYFUNCTION("""COMPUTED_VALUE"""),46024.9986111111)</f>
        <v/>
      </c>
      <c r="AD2864" s="6">
        <f>IFERROR(__xludf.DUMMYFUNCTION("""COMPUTED_VALUE"""),1441.47)</f>
        <v/>
      </c>
      <c r="AH2864" s="6">
        <f>AI2864&amp;AJ2864</f>
        <v/>
      </c>
      <c r="AI2864" s="6">
        <f>YEAR(AK2864)</f>
        <v/>
      </c>
      <c r="AJ2864" s="6">
        <f>MONTH(AK2864)</f>
        <v/>
      </c>
      <c r="AK2864" s="267">
        <f>IFERROR(__xludf.DUMMYFUNCTION("""COMPUTED_VALUE"""),45959.9986111111)</f>
        <v/>
      </c>
      <c r="AL2864" s="6">
        <f>IFERROR(__xludf.DUMMYFUNCTION("""COMPUTED_VALUE"""),112562.7)</f>
        <v/>
      </c>
      <c r="AP2864" s="6">
        <f>AQ2864&amp;AR2864</f>
        <v/>
      </c>
      <c r="AQ2864" s="6">
        <f>YEAR(AS2864)</f>
        <v/>
      </c>
      <c r="AR2864" s="6">
        <f>MONTH(AS2864)</f>
        <v/>
      </c>
    </row>
    <row r="2865">
      <c r="B2865" s="6">
        <f>C2865&amp;D2865</f>
        <v/>
      </c>
      <c r="C2865" s="6">
        <f>YEAR(E2865)</f>
        <v/>
      </c>
      <c r="D2865" s="6">
        <f>MONTH(E2865)</f>
        <v/>
      </c>
      <c r="J2865" s="6">
        <f>K2865&amp;L2865</f>
        <v/>
      </c>
      <c r="K2865" s="6">
        <f>YEAR(M2865)</f>
        <v/>
      </c>
      <c r="L2865" s="6">
        <f>MONTH(M2865)</f>
        <v/>
      </c>
      <c r="R2865" s="6">
        <f>S2865&amp;T2865</f>
        <v/>
      </c>
      <c r="S2865" s="6">
        <f>YEAR(U2865)</f>
        <v/>
      </c>
      <c r="T2865" s="6">
        <f>MONTH(U2865)</f>
        <v/>
      </c>
      <c r="Z2865" s="6">
        <f>AA2865&amp;AB2865</f>
        <v/>
      </c>
      <c r="AA2865" s="6">
        <f>YEAR(AC2865)</f>
        <v/>
      </c>
      <c r="AB2865" s="6">
        <f>MONTH(AC2865)</f>
        <v/>
      </c>
      <c r="AC2865" s="267">
        <f>IFERROR(__xludf.DUMMYFUNCTION("""COMPUTED_VALUE"""),46025.9986111111)</f>
        <v/>
      </c>
      <c r="AD2865" s="6">
        <f>IFERROR(__xludf.DUMMYFUNCTION("""COMPUTED_VALUE"""),1441.07)</f>
        <v/>
      </c>
      <c r="AH2865" s="6">
        <f>AI2865&amp;AJ2865</f>
        <v/>
      </c>
      <c r="AI2865" s="6">
        <f>YEAR(AK2865)</f>
        <v/>
      </c>
      <c r="AJ2865" s="6">
        <f>MONTH(AK2865)</f>
        <v/>
      </c>
      <c r="AK2865" s="267">
        <f>IFERROR(__xludf.DUMMYFUNCTION("""COMPUTED_VALUE"""),45960.9986111111)</f>
        <v/>
      </c>
      <c r="AL2865" s="6">
        <f>IFERROR(__xludf.DUMMYFUNCTION("""COMPUTED_VALUE"""),110670.7)</f>
        <v/>
      </c>
      <c r="AP2865" s="6">
        <f>AQ2865&amp;AR2865</f>
        <v/>
      </c>
      <c r="AQ2865" s="6">
        <f>YEAR(AS2865)</f>
        <v/>
      </c>
      <c r="AR2865" s="6">
        <f>MONTH(AS2865)</f>
        <v/>
      </c>
    </row>
    <row r="2866">
      <c r="B2866" s="6">
        <f>C2866&amp;D2866</f>
        <v/>
      </c>
      <c r="C2866" s="6">
        <f>YEAR(E2866)</f>
        <v/>
      </c>
      <c r="D2866" s="6">
        <f>MONTH(E2866)</f>
        <v/>
      </c>
      <c r="J2866" s="6">
        <f>K2866&amp;L2866</f>
        <v/>
      </c>
      <c r="K2866" s="6">
        <f>YEAR(M2866)</f>
        <v/>
      </c>
      <c r="L2866" s="6">
        <f>MONTH(M2866)</f>
        <v/>
      </c>
      <c r="R2866" s="6">
        <f>S2866&amp;T2866</f>
        <v/>
      </c>
      <c r="S2866" s="6">
        <f>YEAR(U2866)</f>
        <v/>
      </c>
      <c r="T2866" s="6">
        <f>MONTH(U2866)</f>
        <v/>
      </c>
      <c r="Z2866" s="6">
        <f>AA2866&amp;AB2866</f>
        <v/>
      </c>
      <c r="AA2866" s="6">
        <f>YEAR(AC2866)</f>
        <v/>
      </c>
      <c r="AB2866" s="6">
        <f>MONTH(AC2866)</f>
        <v/>
      </c>
      <c r="AC2866" s="267">
        <f>IFERROR(__xludf.DUMMYFUNCTION("""COMPUTED_VALUE"""),46026.9986111111)</f>
        <v/>
      </c>
      <c r="AD2866" s="6">
        <f>IFERROR(__xludf.DUMMYFUNCTION("""COMPUTED_VALUE"""),1440.48)</f>
        <v/>
      </c>
      <c r="AH2866" s="6">
        <f>AI2866&amp;AJ2866</f>
        <v/>
      </c>
      <c r="AI2866" s="6">
        <f>YEAR(AK2866)</f>
        <v/>
      </c>
      <c r="AJ2866" s="6">
        <f>MONTH(AK2866)</f>
        <v/>
      </c>
      <c r="AK2866" s="267">
        <f>IFERROR(__xludf.DUMMYFUNCTION("""COMPUTED_VALUE"""),45961.9986111111)</f>
        <v/>
      </c>
      <c r="AL2866" s="6">
        <f>IFERROR(__xludf.DUMMYFUNCTION("""COMPUTED_VALUE"""),109243.2)</f>
        <v/>
      </c>
      <c r="AP2866" s="6">
        <f>AQ2866&amp;AR2866</f>
        <v/>
      </c>
      <c r="AQ2866" s="6">
        <f>YEAR(AS2866)</f>
        <v/>
      </c>
      <c r="AR2866" s="6">
        <f>MONTH(AS2866)</f>
        <v/>
      </c>
    </row>
    <row r="2867">
      <c r="B2867" s="6">
        <f>C2867&amp;D2867</f>
        <v/>
      </c>
      <c r="C2867" s="6">
        <f>YEAR(E2867)</f>
        <v/>
      </c>
      <c r="D2867" s="6">
        <f>MONTH(E2867)</f>
        <v/>
      </c>
      <c r="J2867" s="6">
        <f>K2867&amp;L2867</f>
        <v/>
      </c>
      <c r="K2867" s="6">
        <f>YEAR(M2867)</f>
        <v/>
      </c>
      <c r="L2867" s="6">
        <f>MONTH(M2867)</f>
        <v/>
      </c>
      <c r="R2867" s="6">
        <f>S2867&amp;T2867</f>
        <v/>
      </c>
      <c r="S2867" s="6">
        <f>YEAR(U2867)</f>
        <v/>
      </c>
      <c r="T2867" s="6">
        <f>MONTH(U2867)</f>
        <v/>
      </c>
      <c r="Z2867" s="6">
        <f>AA2867&amp;AB2867</f>
        <v/>
      </c>
      <c r="AA2867" s="6">
        <f>YEAR(AC2867)</f>
        <v/>
      </c>
      <c r="AB2867" s="6">
        <f>MONTH(AC2867)</f>
        <v/>
      </c>
      <c r="AC2867" s="267">
        <f>IFERROR(__xludf.DUMMYFUNCTION("""COMPUTED_VALUE"""),46027.9986111111)</f>
        <v/>
      </c>
      <c r="AD2867" s="6">
        <f>IFERROR(__xludf.DUMMYFUNCTION("""COMPUTED_VALUE"""),1445.56)</f>
        <v/>
      </c>
      <c r="AH2867" s="6">
        <f>AI2867&amp;AJ2867</f>
        <v/>
      </c>
      <c r="AI2867" s="6">
        <f>YEAR(AK2867)</f>
        <v/>
      </c>
      <c r="AJ2867" s="6">
        <f>MONTH(AK2867)</f>
        <v/>
      </c>
      <c r="AK2867" s="267">
        <f>IFERROR(__xludf.DUMMYFUNCTION("""COMPUTED_VALUE"""),45962.9986111111)</f>
        <v/>
      </c>
      <c r="AL2867" s="6">
        <f>IFERROR(__xludf.DUMMYFUNCTION("""COMPUTED_VALUE"""),110267.2)</f>
        <v/>
      </c>
      <c r="AP2867" s="6">
        <f>AQ2867&amp;AR2867</f>
        <v/>
      </c>
      <c r="AQ2867" s="6">
        <f>YEAR(AS2867)</f>
        <v/>
      </c>
      <c r="AR2867" s="6">
        <f>MONTH(AS2867)</f>
        <v/>
      </c>
    </row>
    <row r="2868">
      <c r="B2868" s="6">
        <f>C2868&amp;D2868</f>
        <v/>
      </c>
      <c r="C2868" s="6">
        <f>YEAR(E2868)</f>
        <v/>
      </c>
      <c r="D2868" s="6">
        <f>MONTH(E2868)</f>
        <v/>
      </c>
      <c r="J2868" s="6">
        <f>K2868&amp;L2868</f>
        <v/>
      </c>
      <c r="K2868" s="6">
        <f>YEAR(M2868)</f>
        <v/>
      </c>
      <c r="L2868" s="6">
        <f>MONTH(M2868)</f>
        <v/>
      </c>
      <c r="R2868" s="6">
        <f>S2868&amp;T2868</f>
        <v/>
      </c>
      <c r="S2868" s="6">
        <f>YEAR(U2868)</f>
        <v/>
      </c>
      <c r="T2868" s="6">
        <f>MONTH(U2868)</f>
        <v/>
      </c>
      <c r="Z2868" s="6">
        <f>AA2868&amp;AB2868</f>
        <v/>
      </c>
      <c r="AA2868" s="6">
        <f>YEAR(AC2868)</f>
        <v/>
      </c>
      <c r="AB2868" s="6">
        <f>MONTH(AC2868)</f>
        <v/>
      </c>
      <c r="AC2868" s="267">
        <f>IFERROR(__xludf.DUMMYFUNCTION("""COMPUTED_VALUE"""),46028.9986111111)</f>
        <v/>
      </c>
      <c r="AD2868" s="6">
        <f>IFERROR(__xludf.DUMMYFUNCTION("""COMPUTED_VALUE"""),1444.96)</f>
        <v/>
      </c>
      <c r="AH2868" s="6">
        <f>AI2868&amp;AJ2868</f>
        <v/>
      </c>
      <c r="AI2868" s="6">
        <f>YEAR(AK2868)</f>
        <v/>
      </c>
      <c r="AJ2868" s="6">
        <f>MONTH(AK2868)</f>
        <v/>
      </c>
      <c r="AK2868" s="267">
        <f>IFERROR(__xludf.DUMMYFUNCTION("""COMPUTED_VALUE"""),45963.9986111111)</f>
        <v/>
      </c>
      <c r="AL2868" s="6">
        <f>IFERROR(__xludf.DUMMYFUNCTION("""COMPUTED_VALUE"""),110087.4)</f>
        <v/>
      </c>
      <c r="AP2868" s="6">
        <f>AQ2868&amp;AR2868</f>
        <v/>
      </c>
      <c r="AQ2868" s="6">
        <f>YEAR(AS2868)</f>
        <v/>
      </c>
      <c r="AR2868" s="6">
        <f>MONTH(AS2868)</f>
        <v/>
      </c>
    </row>
    <row r="2869">
      <c r="B2869" s="6">
        <f>C2869&amp;D2869</f>
        <v/>
      </c>
      <c r="C2869" s="6">
        <f>YEAR(E2869)</f>
        <v/>
      </c>
      <c r="D2869" s="6">
        <f>MONTH(E2869)</f>
        <v/>
      </c>
      <c r="J2869" s="6">
        <f>K2869&amp;L2869</f>
        <v/>
      </c>
      <c r="K2869" s="6">
        <f>YEAR(M2869)</f>
        <v/>
      </c>
      <c r="L2869" s="6">
        <f>MONTH(M2869)</f>
        <v/>
      </c>
      <c r="R2869" s="6">
        <f>S2869&amp;T2869</f>
        <v/>
      </c>
      <c r="S2869" s="6">
        <f>YEAR(U2869)</f>
        <v/>
      </c>
      <c r="T2869" s="6">
        <f>MONTH(U2869)</f>
        <v/>
      </c>
      <c r="Z2869" s="6">
        <f>AA2869&amp;AB2869</f>
        <v/>
      </c>
      <c r="AA2869" s="6">
        <f>YEAR(AC2869)</f>
        <v/>
      </c>
      <c r="AB2869" s="6">
        <f>MONTH(AC2869)</f>
        <v/>
      </c>
      <c r="AC2869" s="267">
        <f>IFERROR(__xludf.DUMMYFUNCTION("""COMPUTED_VALUE"""),46029.9986111111)</f>
        <v/>
      </c>
      <c r="AD2869" s="6">
        <f>IFERROR(__xludf.DUMMYFUNCTION("""COMPUTED_VALUE"""),1446.14)</f>
        <v/>
      </c>
      <c r="AH2869" s="6">
        <f>AI2869&amp;AJ2869</f>
        <v/>
      </c>
      <c r="AI2869" s="6">
        <f>YEAR(AK2869)</f>
        <v/>
      </c>
      <c r="AJ2869" s="6">
        <f>MONTH(AK2869)</f>
        <v/>
      </c>
      <c r="AK2869" s="267">
        <f>IFERROR(__xludf.DUMMYFUNCTION("""COMPUTED_VALUE"""),45964.9986111111)</f>
        <v/>
      </c>
      <c r="AL2869" s="6">
        <f>IFERROR(__xludf.DUMMYFUNCTION("""COMPUTED_VALUE"""),107870.7)</f>
        <v/>
      </c>
      <c r="AP2869" s="6">
        <f>AQ2869&amp;AR2869</f>
        <v/>
      </c>
      <c r="AQ2869" s="6">
        <f>YEAR(AS2869)</f>
        <v/>
      </c>
      <c r="AR2869" s="6">
        <f>MONTH(AS2869)</f>
        <v/>
      </c>
    </row>
    <row r="2870">
      <c r="B2870" s="6">
        <f>C2870&amp;D2870</f>
        <v/>
      </c>
      <c r="C2870" s="6">
        <f>YEAR(E2870)</f>
        <v/>
      </c>
      <c r="D2870" s="6">
        <f>MONTH(E2870)</f>
        <v/>
      </c>
      <c r="J2870" s="6">
        <f>K2870&amp;L2870</f>
        <v/>
      </c>
      <c r="K2870" s="6">
        <f>YEAR(M2870)</f>
        <v/>
      </c>
      <c r="L2870" s="6">
        <f>MONTH(M2870)</f>
        <v/>
      </c>
      <c r="R2870" s="6">
        <f>S2870&amp;T2870</f>
        <v/>
      </c>
      <c r="S2870" s="6">
        <f>YEAR(U2870)</f>
        <v/>
      </c>
      <c r="T2870" s="6">
        <f>MONTH(U2870)</f>
        <v/>
      </c>
      <c r="Z2870" s="6">
        <f>AA2870&amp;AB2870</f>
        <v/>
      </c>
      <c r="AA2870" s="6">
        <f>YEAR(AC2870)</f>
        <v/>
      </c>
      <c r="AB2870" s="6">
        <f>MONTH(AC2870)</f>
        <v/>
      </c>
      <c r="AC2870" s="267">
        <f>IFERROR(__xludf.DUMMYFUNCTION("""COMPUTED_VALUE"""),46030.9986111111)</f>
        <v/>
      </c>
      <c r="AD2870" s="6">
        <f>IFERROR(__xludf.DUMMYFUNCTION("""COMPUTED_VALUE"""),1450.08)</f>
        <v/>
      </c>
      <c r="AH2870" s="6">
        <f>AI2870&amp;AJ2870</f>
        <v/>
      </c>
      <c r="AI2870" s="6">
        <f>YEAR(AK2870)</f>
        <v/>
      </c>
      <c r="AJ2870" s="6">
        <f>MONTH(AK2870)</f>
        <v/>
      </c>
      <c r="AK2870" s="267">
        <f>IFERROR(__xludf.DUMMYFUNCTION("""COMPUTED_VALUE"""),45965.9986111111)</f>
        <v/>
      </c>
      <c r="AL2870" s="6">
        <f>IFERROR(__xludf.DUMMYFUNCTION("""COMPUTED_VALUE"""),106774.8)</f>
        <v/>
      </c>
      <c r="AP2870" s="6">
        <f>AQ2870&amp;AR2870</f>
        <v/>
      </c>
      <c r="AQ2870" s="6">
        <f>YEAR(AS2870)</f>
        <v/>
      </c>
      <c r="AR2870" s="6">
        <f>MONTH(AS2870)</f>
        <v/>
      </c>
    </row>
    <row r="2871">
      <c r="B2871" s="6">
        <f>C2871&amp;D2871</f>
        <v/>
      </c>
      <c r="C2871" s="6">
        <f>YEAR(E2871)</f>
        <v/>
      </c>
      <c r="D2871" s="6">
        <f>MONTH(E2871)</f>
        <v/>
      </c>
      <c r="J2871" s="6">
        <f>K2871&amp;L2871</f>
        <v/>
      </c>
      <c r="K2871" s="6">
        <f>YEAR(M2871)</f>
        <v/>
      </c>
      <c r="L2871" s="6">
        <f>MONTH(M2871)</f>
        <v/>
      </c>
      <c r="R2871" s="6">
        <f>S2871&amp;T2871</f>
        <v/>
      </c>
      <c r="S2871" s="6">
        <f>YEAR(U2871)</f>
        <v/>
      </c>
      <c r="T2871" s="6">
        <f>MONTH(U2871)</f>
        <v/>
      </c>
      <c r="Z2871" s="6">
        <f>AA2871&amp;AB2871</f>
        <v/>
      </c>
      <c r="AA2871" s="6">
        <f>YEAR(AC2871)</f>
        <v/>
      </c>
      <c r="AB2871" s="6">
        <f>MONTH(AC2871)</f>
        <v/>
      </c>
      <c r="AC2871" s="267">
        <f>IFERROR(__xludf.DUMMYFUNCTION("""COMPUTED_VALUE"""),46031.9986111111)</f>
        <v/>
      </c>
      <c r="AD2871" s="6">
        <f>IFERROR(__xludf.DUMMYFUNCTION("""COMPUTED_VALUE"""),1456.33)</f>
        <v/>
      </c>
      <c r="AH2871" s="6">
        <f>AI2871&amp;AJ2871</f>
        <v/>
      </c>
      <c r="AI2871" s="6">
        <f>YEAR(AK2871)</f>
        <v/>
      </c>
      <c r="AJ2871" s="6">
        <f>MONTH(AK2871)</f>
        <v/>
      </c>
      <c r="AK2871" s="267">
        <f>IFERROR(__xludf.DUMMYFUNCTION("""COMPUTED_VALUE"""),45966.9986111111)</f>
        <v/>
      </c>
      <c r="AL2871" s="6">
        <f>IFERROR(__xludf.DUMMYFUNCTION("""COMPUTED_VALUE"""),101937.4)</f>
        <v/>
      </c>
      <c r="AP2871" s="6">
        <f>AQ2871&amp;AR2871</f>
        <v/>
      </c>
      <c r="AQ2871" s="6">
        <f>YEAR(AS2871)</f>
        <v/>
      </c>
      <c r="AR2871" s="6">
        <f>MONTH(AS2871)</f>
        <v/>
      </c>
    </row>
    <row r="2872">
      <c r="B2872" s="6">
        <f>C2872&amp;D2872</f>
        <v/>
      </c>
      <c r="C2872" s="6">
        <f>YEAR(E2872)</f>
        <v/>
      </c>
      <c r="D2872" s="6">
        <f>MONTH(E2872)</f>
        <v/>
      </c>
      <c r="J2872" s="6">
        <f>K2872&amp;L2872</f>
        <v/>
      </c>
      <c r="K2872" s="6">
        <f>YEAR(M2872)</f>
        <v/>
      </c>
      <c r="L2872" s="6">
        <f>MONTH(M2872)</f>
        <v/>
      </c>
      <c r="R2872" s="6">
        <f>S2872&amp;T2872</f>
        <v/>
      </c>
      <c r="S2872" s="6">
        <f>YEAR(U2872)</f>
        <v/>
      </c>
      <c r="T2872" s="6">
        <f>MONTH(U2872)</f>
        <v/>
      </c>
      <c r="Z2872" s="6">
        <f>AA2872&amp;AB2872</f>
        <v/>
      </c>
      <c r="AA2872" s="6">
        <f>YEAR(AC2872)</f>
        <v/>
      </c>
      <c r="AB2872" s="6">
        <f>MONTH(AC2872)</f>
        <v/>
      </c>
      <c r="AC2872" s="267">
        <f>IFERROR(__xludf.DUMMYFUNCTION("""COMPUTED_VALUE"""),46032.9986111111)</f>
        <v/>
      </c>
      <c r="AD2872" s="6">
        <f>IFERROR(__xludf.DUMMYFUNCTION("""COMPUTED_VALUE"""),1456.33)</f>
        <v/>
      </c>
      <c r="AH2872" s="6">
        <f>AI2872&amp;AJ2872</f>
        <v/>
      </c>
      <c r="AI2872" s="6">
        <f>YEAR(AK2872)</f>
        <v/>
      </c>
      <c r="AJ2872" s="6">
        <f>MONTH(AK2872)</f>
        <v/>
      </c>
      <c r="AK2872" s="267">
        <f>IFERROR(__xludf.DUMMYFUNCTION("""COMPUTED_VALUE"""),45967.9986111111)</f>
        <v/>
      </c>
      <c r="AL2872" s="6">
        <f>IFERROR(__xludf.DUMMYFUNCTION("""COMPUTED_VALUE"""),103976.1)</f>
        <v/>
      </c>
      <c r="AP2872" s="6">
        <f>AQ2872&amp;AR2872</f>
        <v/>
      </c>
      <c r="AQ2872" s="6">
        <f>YEAR(AS2872)</f>
        <v/>
      </c>
      <c r="AR2872" s="6">
        <f>MONTH(AS2872)</f>
        <v/>
      </c>
    </row>
    <row r="2873">
      <c r="B2873" s="6">
        <f>C2873&amp;D2873</f>
        <v/>
      </c>
      <c r="C2873" s="6">
        <f>YEAR(E2873)</f>
        <v/>
      </c>
      <c r="D2873" s="6">
        <f>MONTH(E2873)</f>
        <v/>
      </c>
      <c r="J2873" s="6">
        <f>K2873&amp;L2873</f>
        <v/>
      </c>
      <c r="K2873" s="6">
        <f>YEAR(M2873)</f>
        <v/>
      </c>
      <c r="L2873" s="6">
        <f>MONTH(M2873)</f>
        <v/>
      </c>
      <c r="R2873" s="6">
        <f>S2873&amp;T2873</f>
        <v/>
      </c>
      <c r="S2873" s="6">
        <f>YEAR(U2873)</f>
        <v/>
      </c>
      <c r="T2873" s="6">
        <f>MONTH(U2873)</f>
        <v/>
      </c>
      <c r="Z2873" s="6">
        <f>AA2873&amp;AB2873</f>
        <v/>
      </c>
      <c r="AA2873" s="6">
        <f>YEAR(AC2873)</f>
        <v/>
      </c>
      <c r="AB2873" s="6">
        <f>MONTH(AC2873)</f>
        <v/>
      </c>
      <c r="AC2873" s="267">
        <f>IFERROR(__xludf.DUMMYFUNCTION("""COMPUTED_VALUE"""),46033.9986111111)</f>
        <v/>
      </c>
      <c r="AD2873" s="6">
        <f>IFERROR(__xludf.DUMMYFUNCTION("""COMPUTED_VALUE"""),1455.24)</f>
        <v/>
      </c>
      <c r="AH2873" s="6">
        <f>AI2873&amp;AJ2873</f>
        <v/>
      </c>
      <c r="AI2873" s="6">
        <f>YEAR(AK2873)</f>
        <v/>
      </c>
      <c r="AJ2873" s="6">
        <f>MONTH(AK2873)</f>
        <v/>
      </c>
      <c r="AK2873" s="267">
        <f>IFERROR(__xludf.DUMMYFUNCTION("""COMPUTED_VALUE"""),45968.9986111111)</f>
        <v/>
      </c>
      <c r="AL2873" s="6">
        <f>IFERROR(__xludf.DUMMYFUNCTION("""COMPUTED_VALUE"""),101913.8)</f>
        <v/>
      </c>
      <c r="AP2873" s="6">
        <f>AQ2873&amp;AR2873</f>
        <v/>
      </c>
      <c r="AQ2873" s="6">
        <f>YEAR(AS2873)</f>
        <v/>
      </c>
      <c r="AR2873" s="6">
        <f>MONTH(AS2873)</f>
        <v/>
      </c>
    </row>
    <row r="2874">
      <c r="B2874" s="6">
        <f>C2874&amp;D2874</f>
        <v/>
      </c>
      <c r="C2874" s="6">
        <f>YEAR(E2874)</f>
        <v/>
      </c>
      <c r="D2874" s="6">
        <f>MONTH(E2874)</f>
        <v/>
      </c>
      <c r="J2874" s="6">
        <f>K2874&amp;L2874</f>
        <v/>
      </c>
      <c r="K2874" s="6">
        <f>YEAR(M2874)</f>
        <v/>
      </c>
      <c r="L2874" s="6">
        <f>MONTH(M2874)</f>
        <v/>
      </c>
      <c r="R2874" s="6">
        <f>S2874&amp;T2874</f>
        <v/>
      </c>
      <c r="S2874" s="6">
        <f>YEAR(U2874)</f>
        <v/>
      </c>
      <c r="T2874" s="6">
        <f>MONTH(U2874)</f>
        <v/>
      </c>
      <c r="Z2874" s="6">
        <f>AA2874&amp;AB2874</f>
        <v/>
      </c>
      <c r="AA2874" s="6">
        <f>YEAR(AC2874)</f>
        <v/>
      </c>
      <c r="AB2874" s="6">
        <f>MONTH(AC2874)</f>
        <v/>
      </c>
      <c r="AC2874" s="267">
        <f>IFERROR(__xludf.DUMMYFUNCTION("""COMPUTED_VALUE"""),46034.9986111111)</f>
        <v/>
      </c>
      <c r="AD2874" s="6">
        <f>IFERROR(__xludf.DUMMYFUNCTION("""COMPUTED_VALUE"""),1464.93)</f>
        <v/>
      </c>
      <c r="AH2874" s="6">
        <f>AI2874&amp;AJ2874</f>
        <v/>
      </c>
      <c r="AI2874" s="6">
        <f>YEAR(AK2874)</f>
        <v/>
      </c>
      <c r="AJ2874" s="6">
        <f>MONTH(AK2874)</f>
        <v/>
      </c>
      <c r="AK2874" s="267">
        <f>IFERROR(__xludf.DUMMYFUNCTION("""COMPUTED_VALUE"""),45969.9986111111)</f>
        <v/>
      </c>
      <c r="AL2874" s="6">
        <f>IFERROR(__xludf.DUMMYFUNCTION("""COMPUTED_VALUE"""),102535.7)</f>
        <v/>
      </c>
      <c r="AP2874" s="6">
        <f>AQ2874&amp;AR2874</f>
        <v/>
      </c>
      <c r="AQ2874" s="6">
        <f>YEAR(AS2874)</f>
        <v/>
      </c>
      <c r="AR2874" s="6">
        <f>MONTH(AS2874)</f>
        <v/>
      </c>
    </row>
    <row r="2875">
      <c r="B2875" s="6">
        <f>C2875&amp;D2875</f>
        <v/>
      </c>
      <c r="C2875" s="6">
        <f>YEAR(E2875)</f>
        <v/>
      </c>
      <c r="D2875" s="6">
        <f>MONTH(E2875)</f>
        <v/>
      </c>
      <c r="J2875" s="6">
        <f>K2875&amp;L2875</f>
        <v/>
      </c>
      <c r="K2875" s="6">
        <f>YEAR(M2875)</f>
        <v/>
      </c>
      <c r="L2875" s="6">
        <f>MONTH(M2875)</f>
        <v/>
      </c>
      <c r="R2875" s="6">
        <f>S2875&amp;T2875</f>
        <v/>
      </c>
      <c r="S2875" s="6">
        <f>YEAR(U2875)</f>
        <v/>
      </c>
      <c r="T2875" s="6">
        <f>MONTH(U2875)</f>
        <v/>
      </c>
      <c r="Z2875" s="6">
        <f>AA2875&amp;AB2875</f>
        <v/>
      </c>
      <c r="AA2875" s="6">
        <f>YEAR(AC2875)</f>
        <v/>
      </c>
      <c r="AB2875" s="6">
        <f>MONTH(AC2875)</f>
        <v/>
      </c>
      <c r="AC2875" s="267">
        <f>IFERROR(__xludf.DUMMYFUNCTION("""COMPUTED_VALUE"""),46035.9986111111)</f>
        <v/>
      </c>
      <c r="AD2875" s="6">
        <f>IFERROR(__xludf.DUMMYFUNCTION("""COMPUTED_VALUE"""),1473.01)</f>
        <v/>
      </c>
      <c r="AH2875" s="6">
        <f>AI2875&amp;AJ2875</f>
        <v/>
      </c>
      <c r="AI2875" s="6">
        <f>YEAR(AK2875)</f>
        <v/>
      </c>
      <c r="AJ2875" s="6">
        <f>MONTH(AK2875)</f>
        <v/>
      </c>
      <c r="AK2875" s="267">
        <f>IFERROR(__xludf.DUMMYFUNCTION("""COMPUTED_VALUE"""),45970.9986111111)</f>
        <v/>
      </c>
      <c r="AL2875" s="6">
        <f>IFERROR(__xludf.DUMMYFUNCTION("""COMPUTED_VALUE"""),101740.2)</f>
        <v/>
      </c>
      <c r="AP2875" s="6">
        <f>AQ2875&amp;AR2875</f>
        <v/>
      </c>
      <c r="AQ2875" s="6">
        <f>YEAR(AS2875)</f>
        <v/>
      </c>
      <c r="AR2875" s="6">
        <f>MONTH(AS2875)</f>
        <v/>
      </c>
    </row>
    <row r="2876">
      <c r="B2876" s="6">
        <f>C2876&amp;D2876</f>
        <v/>
      </c>
      <c r="C2876" s="6">
        <f>YEAR(E2876)</f>
        <v/>
      </c>
      <c r="D2876" s="6">
        <f>MONTH(E2876)</f>
        <v/>
      </c>
      <c r="J2876" s="6">
        <f>K2876&amp;L2876</f>
        <v/>
      </c>
      <c r="K2876" s="6">
        <f>YEAR(M2876)</f>
        <v/>
      </c>
      <c r="L2876" s="6">
        <f>MONTH(M2876)</f>
        <v/>
      </c>
      <c r="R2876" s="6">
        <f>S2876&amp;T2876</f>
        <v/>
      </c>
      <c r="S2876" s="6">
        <f>YEAR(U2876)</f>
        <v/>
      </c>
      <c r="T2876" s="6">
        <f>MONTH(U2876)</f>
        <v/>
      </c>
      <c r="Z2876" s="6">
        <f>AA2876&amp;AB2876</f>
        <v/>
      </c>
      <c r="AA2876" s="6">
        <f>YEAR(AC2876)</f>
        <v/>
      </c>
      <c r="AB2876" s="6">
        <f>MONTH(AC2876)</f>
        <v/>
      </c>
      <c r="AC2876" s="267">
        <f>IFERROR(__xludf.DUMMYFUNCTION("""COMPUTED_VALUE"""),46036.9986111111)</f>
        <v/>
      </c>
      <c r="AD2876" s="6">
        <f>IFERROR(__xludf.DUMMYFUNCTION("""COMPUTED_VALUE"""),1462.9)</f>
        <v/>
      </c>
      <c r="AH2876" s="6">
        <f>AI2876&amp;AJ2876</f>
        <v/>
      </c>
      <c r="AI2876" s="6">
        <f>YEAR(AK2876)</f>
        <v/>
      </c>
      <c r="AJ2876" s="6">
        <f>MONTH(AK2876)</f>
        <v/>
      </c>
      <c r="AK2876" s="267">
        <f>IFERROR(__xludf.DUMMYFUNCTION("""COMPUTED_VALUE"""),45971.9986111111)</f>
        <v/>
      </c>
      <c r="AL2876" s="6">
        <f>IFERROR(__xludf.DUMMYFUNCTION("""COMPUTED_VALUE"""),106164.8)</f>
        <v/>
      </c>
      <c r="AP2876" s="6">
        <f>AQ2876&amp;AR2876</f>
        <v/>
      </c>
      <c r="AQ2876" s="6">
        <f>YEAR(AS2876)</f>
        <v/>
      </c>
      <c r="AR2876" s="6">
        <f>MONTH(AS2876)</f>
        <v/>
      </c>
    </row>
    <row r="2877">
      <c r="B2877" s="6">
        <f>C2877&amp;D2877</f>
        <v/>
      </c>
      <c r="C2877" s="6">
        <f>YEAR(E2877)</f>
        <v/>
      </c>
      <c r="D2877" s="6">
        <f>MONTH(E2877)</f>
        <v/>
      </c>
      <c r="J2877" s="6">
        <f>K2877&amp;L2877</f>
        <v/>
      </c>
      <c r="K2877" s="6">
        <f>YEAR(M2877)</f>
        <v/>
      </c>
      <c r="L2877" s="6">
        <f>MONTH(M2877)</f>
        <v/>
      </c>
      <c r="R2877" s="6">
        <f>S2877&amp;T2877</f>
        <v/>
      </c>
      <c r="S2877" s="6">
        <f>YEAR(U2877)</f>
        <v/>
      </c>
      <c r="T2877" s="6">
        <f>MONTH(U2877)</f>
        <v/>
      </c>
      <c r="Z2877" s="6">
        <f>AA2877&amp;AB2877</f>
        <v/>
      </c>
      <c r="AA2877" s="6">
        <f>YEAR(AC2877)</f>
        <v/>
      </c>
      <c r="AB2877" s="6">
        <f>MONTH(AC2877)</f>
        <v/>
      </c>
      <c r="AC2877" s="267">
        <f>IFERROR(__xludf.DUMMYFUNCTION("""COMPUTED_VALUE"""),46037.9986111111)</f>
        <v/>
      </c>
      <c r="AD2877" s="6">
        <f>IFERROR(__xludf.DUMMYFUNCTION("""COMPUTED_VALUE"""),1468.84)</f>
        <v/>
      </c>
      <c r="AH2877" s="6">
        <f>AI2877&amp;AJ2877</f>
        <v/>
      </c>
      <c r="AI2877" s="6">
        <f>YEAR(AK2877)</f>
        <v/>
      </c>
      <c r="AJ2877" s="6">
        <f>MONTH(AK2877)</f>
        <v/>
      </c>
      <c r="AK2877" s="267">
        <f>IFERROR(__xludf.DUMMYFUNCTION("""COMPUTED_VALUE"""),45972.9986111111)</f>
        <v/>
      </c>
      <c r="AL2877" s="6">
        <f>IFERROR(__xludf.DUMMYFUNCTION("""COMPUTED_VALUE"""),105733)</f>
        <v/>
      </c>
      <c r="AP2877" s="6">
        <f>AQ2877&amp;AR2877</f>
        <v/>
      </c>
      <c r="AQ2877" s="6">
        <f>YEAR(AS2877)</f>
        <v/>
      </c>
      <c r="AR2877" s="6">
        <f>MONTH(AS2877)</f>
        <v/>
      </c>
    </row>
    <row r="2878">
      <c r="B2878" s="6">
        <f>C2878&amp;D2878</f>
        <v/>
      </c>
      <c r="C2878" s="6">
        <f>YEAR(E2878)</f>
        <v/>
      </c>
      <c r="D2878" s="6">
        <f>MONTH(E2878)</f>
        <v/>
      </c>
      <c r="J2878" s="6">
        <f>K2878&amp;L2878</f>
        <v/>
      </c>
      <c r="K2878" s="6">
        <f>YEAR(M2878)</f>
        <v/>
      </c>
      <c r="L2878" s="6">
        <f>MONTH(M2878)</f>
        <v/>
      </c>
      <c r="R2878" s="6">
        <f>S2878&amp;T2878</f>
        <v/>
      </c>
      <c r="S2878" s="6">
        <f>YEAR(U2878)</f>
        <v/>
      </c>
      <c r="T2878" s="6">
        <f>MONTH(U2878)</f>
        <v/>
      </c>
      <c r="Z2878" s="6">
        <f>AA2878&amp;AB2878</f>
        <v/>
      </c>
      <c r="AA2878" s="6">
        <f>YEAR(AC2878)</f>
        <v/>
      </c>
      <c r="AB2878" s="6">
        <f>MONTH(AC2878)</f>
        <v/>
      </c>
      <c r="AC2878" s="267">
        <f>IFERROR(__xludf.DUMMYFUNCTION("""COMPUTED_VALUE"""),46038.9986111111)</f>
        <v/>
      </c>
      <c r="AD2878" s="6">
        <f>IFERROR(__xludf.DUMMYFUNCTION("""COMPUTED_VALUE"""),1472.47)</f>
        <v/>
      </c>
      <c r="AH2878" s="6">
        <f>AI2878&amp;AJ2878</f>
        <v/>
      </c>
      <c r="AI2878" s="6">
        <f>YEAR(AK2878)</f>
        <v/>
      </c>
      <c r="AJ2878" s="6">
        <f>MONTH(AK2878)</f>
        <v/>
      </c>
      <c r="AK2878" s="267">
        <f>IFERROR(__xludf.DUMMYFUNCTION("""COMPUTED_VALUE"""),45973.9986111111)</f>
        <v/>
      </c>
      <c r="AL2878" s="6">
        <f>IFERROR(__xludf.DUMMYFUNCTION("""COMPUTED_VALUE"""),103227)</f>
        <v/>
      </c>
      <c r="AP2878" s="6">
        <f>AQ2878&amp;AR2878</f>
        <v/>
      </c>
      <c r="AQ2878" s="6">
        <f>YEAR(AS2878)</f>
        <v/>
      </c>
      <c r="AR2878" s="6">
        <f>MONTH(AS2878)</f>
        <v/>
      </c>
    </row>
    <row r="2879">
      <c r="B2879" s="6">
        <f>C2879&amp;D2879</f>
        <v/>
      </c>
      <c r="C2879" s="6">
        <f>YEAR(E2879)</f>
        <v/>
      </c>
      <c r="D2879" s="6">
        <f>MONTH(E2879)</f>
        <v/>
      </c>
      <c r="J2879" s="6">
        <f>K2879&amp;L2879</f>
        <v/>
      </c>
      <c r="K2879" s="6">
        <f>YEAR(M2879)</f>
        <v/>
      </c>
      <c r="L2879" s="6">
        <f>MONTH(M2879)</f>
        <v/>
      </c>
      <c r="R2879" s="6">
        <f>S2879&amp;T2879</f>
        <v/>
      </c>
      <c r="S2879" s="6">
        <f>YEAR(U2879)</f>
        <v/>
      </c>
      <c r="T2879" s="6">
        <f>MONTH(U2879)</f>
        <v/>
      </c>
      <c r="Z2879" s="6">
        <f>AA2879&amp;AB2879</f>
        <v/>
      </c>
      <c r="AA2879" s="6">
        <f>YEAR(AC2879)</f>
        <v/>
      </c>
      <c r="AB2879" s="6">
        <f>MONTH(AC2879)</f>
        <v/>
      </c>
      <c r="AC2879" s="267">
        <f>IFERROR(__xludf.DUMMYFUNCTION("""COMPUTED_VALUE"""),46039.9986111111)</f>
        <v/>
      </c>
      <c r="AD2879" s="6">
        <f>IFERROR(__xludf.DUMMYFUNCTION("""COMPUTED_VALUE"""),1472.07)</f>
        <v/>
      </c>
      <c r="AH2879" s="6">
        <f>AI2879&amp;AJ2879</f>
        <v/>
      </c>
      <c r="AI2879" s="6">
        <f>YEAR(AK2879)</f>
        <v/>
      </c>
      <c r="AJ2879" s="6">
        <f>MONTH(AK2879)</f>
        <v/>
      </c>
      <c r="AK2879" s="267">
        <f>IFERROR(__xludf.DUMMYFUNCTION("""COMPUTED_VALUE"""),45974.9986111111)</f>
        <v/>
      </c>
      <c r="AL2879" s="6">
        <f>IFERROR(__xludf.DUMMYFUNCTION("""COMPUTED_VALUE"""),102177.3)</f>
        <v/>
      </c>
      <c r="AP2879" s="6">
        <f>AQ2879&amp;AR2879</f>
        <v/>
      </c>
      <c r="AQ2879" s="6">
        <f>YEAR(AS2879)</f>
        <v/>
      </c>
      <c r="AR2879" s="6">
        <f>MONTH(AS2879)</f>
        <v/>
      </c>
    </row>
    <row r="2880">
      <c r="B2880" s="6">
        <f>C2880&amp;D2880</f>
        <v/>
      </c>
      <c r="C2880" s="6">
        <f>YEAR(E2880)</f>
        <v/>
      </c>
      <c r="D2880" s="6">
        <f>MONTH(E2880)</f>
        <v/>
      </c>
      <c r="J2880" s="6">
        <f>K2880&amp;L2880</f>
        <v/>
      </c>
      <c r="K2880" s="6">
        <f>YEAR(M2880)</f>
        <v/>
      </c>
      <c r="L2880" s="6">
        <f>MONTH(M2880)</f>
        <v/>
      </c>
      <c r="R2880" s="6">
        <f>S2880&amp;T2880</f>
        <v/>
      </c>
      <c r="S2880" s="6">
        <f>YEAR(U2880)</f>
        <v/>
      </c>
      <c r="T2880" s="6">
        <f>MONTH(U2880)</f>
        <v/>
      </c>
      <c r="Z2880" s="6">
        <f>AA2880&amp;AB2880</f>
        <v/>
      </c>
      <c r="AA2880" s="6">
        <f>YEAR(AC2880)</f>
        <v/>
      </c>
      <c r="AB2880" s="6">
        <f>MONTH(AC2880)</f>
        <v/>
      </c>
      <c r="AC2880" s="267">
        <f>IFERROR(__xludf.DUMMYFUNCTION("""COMPUTED_VALUE"""),46040.9986111111)</f>
        <v/>
      </c>
      <c r="AD2880" s="6">
        <f>IFERROR(__xludf.DUMMYFUNCTION("""COMPUTED_VALUE"""),1471.58)</f>
        <v/>
      </c>
      <c r="AH2880" s="6">
        <f>AI2880&amp;AJ2880</f>
        <v/>
      </c>
      <c r="AI2880" s="6">
        <f>YEAR(AK2880)</f>
        <v/>
      </c>
      <c r="AJ2880" s="6">
        <f>MONTH(AK2880)</f>
        <v/>
      </c>
      <c r="AK2880" s="267">
        <f>IFERROR(__xludf.DUMMYFUNCTION("""COMPUTED_VALUE"""),45975.9986111111)</f>
        <v/>
      </c>
      <c r="AL2880" s="6">
        <f>IFERROR(__xludf.DUMMYFUNCTION("""COMPUTED_VALUE"""),97826.84)</f>
        <v/>
      </c>
      <c r="AP2880" s="6">
        <f>AQ2880&amp;AR2880</f>
        <v/>
      </c>
      <c r="AQ2880" s="6">
        <f>YEAR(AS2880)</f>
        <v/>
      </c>
      <c r="AR2880" s="6">
        <f>MONTH(AS2880)</f>
        <v/>
      </c>
    </row>
    <row r="2881">
      <c r="B2881" s="6">
        <f>C2881&amp;D2881</f>
        <v/>
      </c>
      <c r="C2881" s="6">
        <f>YEAR(E2881)</f>
        <v/>
      </c>
      <c r="D2881" s="6">
        <f>MONTH(E2881)</f>
        <v/>
      </c>
      <c r="J2881" s="6">
        <f>K2881&amp;L2881</f>
        <v/>
      </c>
      <c r="K2881" s="6">
        <f>YEAR(M2881)</f>
        <v/>
      </c>
      <c r="L2881" s="6">
        <f>MONTH(M2881)</f>
        <v/>
      </c>
      <c r="R2881" s="6">
        <f>S2881&amp;T2881</f>
        <v/>
      </c>
      <c r="S2881" s="6">
        <f>YEAR(U2881)</f>
        <v/>
      </c>
      <c r="T2881" s="6">
        <f>MONTH(U2881)</f>
        <v/>
      </c>
      <c r="Z2881" s="6">
        <f>AA2881&amp;AB2881</f>
        <v/>
      </c>
      <c r="AA2881" s="6">
        <f>YEAR(AC2881)</f>
        <v/>
      </c>
      <c r="AB2881" s="6">
        <f>MONTH(AC2881)</f>
        <v/>
      </c>
      <c r="AC2881" s="267">
        <f>IFERROR(__xludf.DUMMYFUNCTION("""COMPUTED_VALUE"""),46041.9986111111)</f>
        <v/>
      </c>
      <c r="AD2881" s="6">
        <f>IFERROR(__xludf.DUMMYFUNCTION("""COMPUTED_VALUE"""),1471.52)</f>
        <v/>
      </c>
      <c r="AH2881" s="6">
        <f>AI2881&amp;AJ2881</f>
        <v/>
      </c>
      <c r="AI2881" s="6">
        <f>YEAR(AK2881)</f>
        <v/>
      </c>
      <c r="AJ2881" s="6">
        <f>MONTH(AK2881)</f>
        <v/>
      </c>
      <c r="AK2881" s="267">
        <f>IFERROR(__xludf.DUMMYFUNCTION("""COMPUTED_VALUE"""),45976.9986111111)</f>
        <v/>
      </c>
      <c r="AL2881" s="6">
        <f>IFERROR(__xludf.DUMMYFUNCTION("""COMPUTED_VALUE"""),96129.48)</f>
        <v/>
      </c>
      <c r="AP2881" s="6">
        <f>AQ2881&amp;AR2881</f>
        <v/>
      </c>
      <c r="AQ2881" s="6">
        <f>YEAR(AS2881)</f>
        <v/>
      </c>
      <c r="AR2881" s="6">
        <f>MONTH(AS2881)</f>
        <v/>
      </c>
    </row>
    <row r="2882">
      <c r="B2882" s="6">
        <f>C2882&amp;D2882</f>
        <v/>
      </c>
      <c r="C2882" s="6">
        <f>YEAR(E2882)</f>
        <v/>
      </c>
      <c r="D2882" s="6">
        <f>MONTH(E2882)</f>
        <v/>
      </c>
      <c r="J2882" s="6">
        <f>K2882&amp;L2882</f>
        <v/>
      </c>
      <c r="K2882" s="6">
        <f>YEAR(M2882)</f>
        <v/>
      </c>
      <c r="L2882" s="6">
        <f>MONTH(M2882)</f>
        <v/>
      </c>
      <c r="R2882" s="6">
        <f>S2882&amp;T2882</f>
        <v/>
      </c>
      <c r="S2882" s="6">
        <f>YEAR(U2882)</f>
        <v/>
      </c>
      <c r="T2882" s="6">
        <f>MONTH(U2882)</f>
        <v/>
      </c>
      <c r="Z2882" s="6">
        <f>AA2882&amp;AB2882</f>
        <v/>
      </c>
      <c r="AA2882" s="6">
        <f>YEAR(AC2882)</f>
        <v/>
      </c>
      <c r="AB2882" s="6">
        <f>MONTH(AC2882)</f>
        <v/>
      </c>
      <c r="AC2882" s="267">
        <f>IFERROR(__xludf.DUMMYFUNCTION("""COMPUTED_VALUE"""),46042.9986111111)</f>
        <v/>
      </c>
      <c r="AD2882" s="6">
        <f>IFERROR(__xludf.DUMMYFUNCTION("""COMPUTED_VALUE"""),1477.78)</f>
        <v/>
      </c>
      <c r="AH2882" s="6">
        <f>AI2882&amp;AJ2882</f>
        <v/>
      </c>
      <c r="AI2882" s="6">
        <f>YEAR(AK2882)</f>
        <v/>
      </c>
      <c r="AJ2882" s="6">
        <f>MONTH(AK2882)</f>
        <v/>
      </c>
      <c r="AK2882" s="267">
        <f>IFERROR(__xludf.DUMMYFUNCTION("""COMPUTED_VALUE"""),45977.9986111111)</f>
        <v/>
      </c>
      <c r="AL2882" s="6">
        <f>IFERROR(__xludf.DUMMYFUNCTION("""COMPUTED_VALUE"""),95801.09)</f>
        <v/>
      </c>
      <c r="AP2882" s="6">
        <f>AQ2882&amp;AR2882</f>
        <v/>
      </c>
      <c r="AQ2882" s="6">
        <f>YEAR(AS2882)</f>
        <v/>
      </c>
      <c r="AR2882" s="6">
        <f>MONTH(AS2882)</f>
        <v/>
      </c>
    </row>
    <row r="2883">
      <c r="B2883" s="6">
        <f>C2883&amp;D2883</f>
        <v/>
      </c>
      <c r="C2883" s="6">
        <f>YEAR(E2883)</f>
        <v/>
      </c>
      <c r="D2883" s="6">
        <f>MONTH(E2883)</f>
        <v/>
      </c>
      <c r="J2883" s="6">
        <f>K2883&amp;L2883</f>
        <v/>
      </c>
      <c r="K2883" s="6">
        <f>YEAR(M2883)</f>
        <v/>
      </c>
      <c r="L2883" s="6">
        <f>MONTH(M2883)</f>
        <v/>
      </c>
      <c r="R2883" s="6">
        <f>S2883&amp;T2883</f>
        <v/>
      </c>
      <c r="S2883" s="6">
        <f>YEAR(U2883)</f>
        <v/>
      </c>
      <c r="T2883" s="6">
        <f>MONTH(U2883)</f>
        <v/>
      </c>
      <c r="Z2883" s="6">
        <f>AA2883&amp;AB2883</f>
        <v/>
      </c>
      <c r="AA2883" s="6">
        <f>YEAR(AC2883)</f>
        <v/>
      </c>
      <c r="AB2883" s="6">
        <f>MONTH(AC2883)</f>
        <v/>
      </c>
      <c r="AC2883" s="267">
        <f>IFERROR(__xludf.DUMMYFUNCTION("""COMPUTED_VALUE"""),46043.9986111111)</f>
        <v/>
      </c>
      <c r="AD2883" s="6">
        <f>IFERROR(__xludf.DUMMYFUNCTION("""COMPUTED_VALUE"""),1464.83)</f>
        <v/>
      </c>
      <c r="AH2883" s="6">
        <f>AI2883&amp;AJ2883</f>
        <v/>
      </c>
      <c r="AI2883" s="6">
        <f>YEAR(AK2883)</f>
        <v/>
      </c>
      <c r="AJ2883" s="6">
        <f>MONTH(AK2883)</f>
        <v/>
      </c>
      <c r="AK2883" s="267">
        <f>IFERROR(__xludf.DUMMYFUNCTION("""COMPUTED_VALUE"""),45978.9986111111)</f>
        <v/>
      </c>
      <c r="AL2883" s="6">
        <f>IFERROR(__xludf.DUMMYFUNCTION("""COMPUTED_VALUE"""),95168.88)</f>
        <v/>
      </c>
      <c r="AP2883" s="6">
        <f>AQ2883&amp;AR2883</f>
        <v/>
      </c>
      <c r="AQ2883" s="6">
        <f>YEAR(AS2883)</f>
        <v/>
      </c>
      <c r="AR2883" s="6">
        <f>MONTH(AS2883)</f>
        <v/>
      </c>
    </row>
    <row r="2884">
      <c r="B2884" s="6">
        <f>C2884&amp;D2884</f>
        <v/>
      </c>
      <c r="C2884" s="6">
        <f>YEAR(E2884)</f>
        <v/>
      </c>
      <c r="D2884" s="6">
        <f>MONTH(E2884)</f>
        <v/>
      </c>
      <c r="J2884" s="6">
        <f>K2884&amp;L2884</f>
        <v/>
      </c>
      <c r="K2884" s="6">
        <f>YEAR(M2884)</f>
        <v/>
      </c>
      <c r="L2884" s="6">
        <f>MONTH(M2884)</f>
        <v/>
      </c>
      <c r="R2884" s="6">
        <f>S2884&amp;T2884</f>
        <v/>
      </c>
      <c r="S2884" s="6">
        <f>YEAR(U2884)</f>
        <v/>
      </c>
      <c r="T2884" s="6">
        <f>MONTH(U2884)</f>
        <v/>
      </c>
      <c r="Z2884" s="6">
        <f>AA2884&amp;AB2884</f>
        <v/>
      </c>
      <c r="AA2884" s="6">
        <f>YEAR(AC2884)</f>
        <v/>
      </c>
      <c r="AB2884" s="6">
        <f>MONTH(AC2884)</f>
        <v/>
      </c>
      <c r="AC2884" s="267">
        <f>IFERROR(__xludf.DUMMYFUNCTION("""COMPUTED_VALUE"""),46044.9986111111)</f>
        <v/>
      </c>
      <c r="AD2884" s="6">
        <f>IFERROR(__xludf.DUMMYFUNCTION("""COMPUTED_VALUE"""),1463.26)</f>
        <v/>
      </c>
      <c r="AH2884" s="6">
        <f>AI2884&amp;AJ2884</f>
        <v/>
      </c>
      <c r="AI2884" s="6">
        <f>YEAR(AK2884)</f>
        <v/>
      </c>
      <c r="AJ2884" s="6">
        <f>MONTH(AK2884)</f>
        <v/>
      </c>
      <c r="AK2884" s="267">
        <f>IFERROR(__xludf.DUMMYFUNCTION("""COMPUTED_VALUE"""),45979.9986111111)</f>
        <v/>
      </c>
      <c r="AL2884" s="6">
        <f>IFERROR(__xludf.DUMMYFUNCTION("""COMPUTED_VALUE"""),90089.49)</f>
        <v/>
      </c>
      <c r="AP2884" s="6">
        <f>AQ2884&amp;AR2884</f>
        <v/>
      </c>
      <c r="AQ2884" s="6">
        <f>YEAR(AS2884)</f>
        <v/>
      </c>
      <c r="AR2884" s="6">
        <f>MONTH(AS2884)</f>
        <v/>
      </c>
    </row>
    <row r="2885">
      <c r="B2885" s="6">
        <f>C2885&amp;D2885</f>
        <v/>
      </c>
      <c r="C2885" s="6">
        <f>YEAR(E2885)</f>
        <v/>
      </c>
      <c r="D2885" s="6">
        <f>MONTH(E2885)</f>
        <v/>
      </c>
      <c r="J2885" s="6">
        <f>K2885&amp;L2885</f>
        <v/>
      </c>
      <c r="K2885" s="6">
        <f>YEAR(M2885)</f>
        <v/>
      </c>
      <c r="L2885" s="6">
        <f>MONTH(M2885)</f>
        <v/>
      </c>
      <c r="R2885" s="6">
        <f>S2885&amp;T2885</f>
        <v/>
      </c>
      <c r="S2885" s="6">
        <f>YEAR(U2885)</f>
        <v/>
      </c>
      <c r="T2885" s="6">
        <f>MONTH(U2885)</f>
        <v/>
      </c>
      <c r="Z2885" s="6">
        <f>AA2885&amp;AB2885</f>
        <v/>
      </c>
      <c r="AA2885" s="6">
        <f>YEAR(AC2885)</f>
        <v/>
      </c>
      <c r="AB2885" s="6">
        <f>MONTH(AC2885)</f>
        <v/>
      </c>
      <c r="AC2885" s="267">
        <f>IFERROR(__xludf.DUMMYFUNCTION("""COMPUTED_VALUE"""),46045.9986111111)</f>
        <v/>
      </c>
      <c r="AD2885" s="6">
        <f>IFERROR(__xludf.DUMMYFUNCTION("""COMPUTED_VALUE"""),1445.21)</f>
        <v/>
      </c>
      <c r="AH2885" s="6">
        <f>AI2885&amp;AJ2885</f>
        <v/>
      </c>
      <c r="AI2885" s="6">
        <f>YEAR(AK2885)</f>
        <v/>
      </c>
      <c r="AJ2885" s="6">
        <f>MONTH(AK2885)</f>
        <v/>
      </c>
      <c r="AK2885" s="267">
        <f>IFERROR(__xludf.DUMMYFUNCTION("""COMPUTED_VALUE"""),45980.9986111111)</f>
        <v/>
      </c>
      <c r="AL2885" s="6">
        <f>IFERROR(__xludf.DUMMYFUNCTION("""COMPUTED_VALUE"""),91386.52)</f>
        <v/>
      </c>
      <c r="AP2885" s="6">
        <f>AQ2885&amp;AR2885</f>
        <v/>
      </c>
      <c r="AQ2885" s="6">
        <f>YEAR(AS2885)</f>
        <v/>
      </c>
      <c r="AR2885" s="6">
        <f>MONTH(AS2885)</f>
        <v/>
      </c>
    </row>
    <row r="2886">
      <c r="B2886" s="6">
        <f>C2886&amp;D2886</f>
        <v/>
      </c>
      <c r="C2886" s="6">
        <f>YEAR(E2886)</f>
        <v/>
      </c>
      <c r="D2886" s="6">
        <f>MONTH(E2886)</f>
        <v/>
      </c>
      <c r="J2886" s="6">
        <f>K2886&amp;L2886</f>
        <v/>
      </c>
      <c r="K2886" s="6">
        <f>YEAR(M2886)</f>
        <v/>
      </c>
      <c r="L2886" s="6">
        <f>MONTH(M2886)</f>
        <v/>
      </c>
      <c r="R2886" s="6">
        <f>S2886&amp;T2886</f>
        <v/>
      </c>
      <c r="S2886" s="6">
        <f>YEAR(U2886)</f>
        <v/>
      </c>
      <c r="T2886" s="6">
        <f>MONTH(U2886)</f>
        <v/>
      </c>
      <c r="Z2886" s="6">
        <f>AA2886&amp;AB2886</f>
        <v/>
      </c>
      <c r="AA2886" s="6">
        <f>YEAR(AC2886)</f>
        <v/>
      </c>
      <c r="AB2886" s="6">
        <f>MONTH(AC2886)</f>
        <v/>
      </c>
      <c r="AC2886" s="267">
        <f>IFERROR(__xludf.DUMMYFUNCTION("""COMPUTED_VALUE"""),46046.9986111111)</f>
        <v/>
      </c>
      <c r="AD2886" s="6">
        <f>IFERROR(__xludf.DUMMYFUNCTION("""COMPUTED_VALUE"""),1444.81)</f>
        <v/>
      </c>
      <c r="AH2886" s="6">
        <f>AI2886&amp;AJ2886</f>
        <v/>
      </c>
      <c r="AI2886" s="6">
        <f>YEAR(AK2886)</f>
        <v/>
      </c>
      <c r="AJ2886" s="6">
        <f>MONTH(AK2886)</f>
        <v/>
      </c>
      <c r="AK2886" s="267">
        <f>IFERROR(__xludf.DUMMYFUNCTION("""COMPUTED_VALUE"""),45981.9986111111)</f>
        <v/>
      </c>
      <c r="AL2886" s="6">
        <f>IFERROR(__xludf.DUMMYFUNCTION("""COMPUTED_VALUE"""),92760.46)</f>
        <v/>
      </c>
      <c r="AP2886" s="6">
        <f>AQ2886&amp;AR2886</f>
        <v/>
      </c>
      <c r="AQ2886" s="6">
        <f>YEAR(AS2886)</f>
        <v/>
      </c>
      <c r="AR2886" s="6">
        <f>MONTH(AS2886)</f>
        <v/>
      </c>
    </row>
    <row r="2887">
      <c r="B2887" s="6">
        <f>C2887&amp;D2887</f>
        <v/>
      </c>
      <c r="C2887" s="6">
        <f>YEAR(E2887)</f>
        <v/>
      </c>
      <c r="D2887" s="6">
        <f>MONTH(E2887)</f>
        <v/>
      </c>
      <c r="J2887" s="6">
        <f>K2887&amp;L2887</f>
        <v/>
      </c>
      <c r="K2887" s="6">
        <f>YEAR(M2887)</f>
        <v/>
      </c>
      <c r="L2887" s="6">
        <f>MONTH(M2887)</f>
        <v/>
      </c>
      <c r="R2887" s="6">
        <f>S2887&amp;T2887</f>
        <v/>
      </c>
      <c r="S2887" s="6">
        <f>YEAR(U2887)</f>
        <v/>
      </c>
      <c r="T2887" s="6">
        <f>MONTH(U2887)</f>
        <v/>
      </c>
      <c r="Z2887" s="6">
        <f>AA2887&amp;AB2887</f>
        <v/>
      </c>
      <c r="AA2887" s="6">
        <f>YEAR(AC2887)</f>
        <v/>
      </c>
      <c r="AB2887" s="6">
        <f>MONTH(AC2887)</f>
        <v/>
      </c>
      <c r="AC2887" s="267">
        <f>IFERROR(__xludf.DUMMYFUNCTION("""COMPUTED_VALUE"""),46047.9986111111)</f>
        <v/>
      </c>
      <c r="AD2887" s="6">
        <f>IFERROR(__xludf.DUMMYFUNCTION("""COMPUTED_VALUE"""),1444.81)</f>
        <v/>
      </c>
      <c r="AH2887" s="6">
        <f>AI2887&amp;AJ2887</f>
        <v/>
      </c>
      <c r="AI2887" s="6">
        <f>YEAR(AK2887)</f>
        <v/>
      </c>
      <c r="AJ2887" s="6">
        <f>MONTH(AK2887)</f>
        <v/>
      </c>
      <c r="AK2887" s="267">
        <f>IFERROR(__xludf.DUMMYFUNCTION("""COMPUTED_VALUE"""),45982.9986111111)</f>
        <v/>
      </c>
      <c r="AL2887" s="6">
        <f>IFERROR(__xludf.DUMMYFUNCTION("""COMPUTED_VALUE"""),85973.09)</f>
        <v/>
      </c>
      <c r="AP2887" s="6">
        <f>AQ2887&amp;AR2887</f>
        <v/>
      </c>
      <c r="AQ2887" s="6">
        <f>YEAR(AS2887)</f>
        <v/>
      </c>
      <c r="AR2887" s="6">
        <f>MONTH(AS2887)</f>
        <v/>
      </c>
    </row>
    <row r="2888">
      <c r="B2888" s="6">
        <f>C2888&amp;D2888</f>
        <v/>
      </c>
      <c r="C2888" s="6">
        <f>YEAR(E2888)</f>
        <v/>
      </c>
      <c r="D2888" s="6">
        <f>MONTH(E2888)</f>
        <v/>
      </c>
      <c r="J2888" s="6">
        <f>K2888&amp;L2888</f>
        <v/>
      </c>
      <c r="K2888" s="6">
        <f>YEAR(M2888)</f>
        <v/>
      </c>
      <c r="L2888" s="6">
        <f>MONTH(M2888)</f>
        <v/>
      </c>
      <c r="R2888" s="6">
        <f>S2888&amp;T2888</f>
        <v/>
      </c>
      <c r="S2888" s="6">
        <f>YEAR(U2888)</f>
        <v/>
      </c>
      <c r="T2888" s="6">
        <f>MONTH(U2888)</f>
        <v/>
      </c>
      <c r="Z2888" s="6">
        <f>AA2888&amp;AB2888</f>
        <v/>
      </c>
      <c r="AA2888" s="6">
        <f>YEAR(AC2888)</f>
        <v/>
      </c>
      <c r="AB2888" s="6">
        <f>MONTH(AC2888)</f>
        <v/>
      </c>
      <c r="AC2888" s="267">
        <f>IFERROR(__xludf.DUMMYFUNCTION("""COMPUTED_VALUE"""),46048.9986111111)</f>
        <v/>
      </c>
      <c r="AD2888" s="6">
        <f>IFERROR(__xludf.DUMMYFUNCTION("""COMPUTED_VALUE"""),1440.98)</f>
        <v/>
      </c>
      <c r="AH2888" s="6">
        <f>AI2888&amp;AJ2888</f>
        <v/>
      </c>
      <c r="AI2888" s="6">
        <f>YEAR(AK2888)</f>
        <v/>
      </c>
      <c r="AJ2888" s="6">
        <f>MONTH(AK2888)</f>
        <v/>
      </c>
      <c r="AK2888" s="267">
        <f>IFERROR(__xludf.DUMMYFUNCTION("""COMPUTED_VALUE"""),45983.9986111111)</f>
        <v/>
      </c>
      <c r="AL2888" s="6">
        <f>IFERROR(__xludf.DUMMYFUNCTION("""COMPUTED_VALUE"""),84209.42)</f>
        <v/>
      </c>
      <c r="AP2888" s="6">
        <f>AQ2888&amp;AR2888</f>
        <v/>
      </c>
      <c r="AQ2888" s="6">
        <f>YEAR(AS2888)</f>
        <v/>
      </c>
      <c r="AR2888" s="6">
        <f>MONTH(AS2888)</f>
        <v/>
      </c>
    </row>
    <row r="2889">
      <c r="B2889" s="6">
        <f>C2889&amp;D2889</f>
        <v/>
      </c>
      <c r="C2889" s="6">
        <f>YEAR(E2889)</f>
        <v/>
      </c>
      <c r="D2889" s="6">
        <f>MONTH(E2889)</f>
        <v/>
      </c>
      <c r="J2889" s="6">
        <f>K2889&amp;L2889</f>
        <v/>
      </c>
      <c r="K2889" s="6">
        <f>YEAR(M2889)</f>
        <v/>
      </c>
      <c r="L2889" s="6">
        <f>MONTH(M2889)</f>
        <v/>
      </c>
      <c r="R2889" s="6">
        <f>S2889&amp;T2889</f>
        <v/>
      </c>
      <c r="S2889" s="6">
        <f>YEAR(U2889)</f>
        <v/>
      </c>
      <c r="T2889" s="6">
        <f>MONTH(U2889)</f>
        <v/>
      </c>
      <c r="Z2889" s="6">
        <f>AA2889&amp;AB2889</f>
        <v/>
      </c>
      <c r="AA2889" s="6">
        <f>YEAR(AC2889)</f>
        <v/>
      </c>
      <c r="AB2889" s="6">
        <f>MONTH(AC2889)</f>
        <v/>
      </c>
      <c r="AC2889" s="267">
        <f>IFERROR(__xludf.DUMMYFUNCTION("""COMPUTED_VALUE"""),46049.9986111111)</f>
        <v/>
      </c>
      <c r="AD2889" s="6">
        <f>IFERROR(__xludf.DUMMYFUNCTION("""COMPUTED_VALUE"""),1432.51)</f>
        <v/>
      </c>
      <c r="AH2889" s="6">
        <f>AI2889&amp;AJ2889</f>
        <v/>
      </c>
      <c r="AI2889" s="6">
        <f>YEAR(AK2889)</f>
        <v/>
      </c>
      <c r="AJ2889" s="6">
        <f>MONTH(AK2889)</f>
        <v/>
      </c>
      <c r="AK2889" s="267">
        <f>IFERROR(__xludf.DUMMYFUNCTION("""COMPUTED_VALUE"""),45984.9986111111)</f>
        <v/>
      </c>
      <c r="AL2889" s="6">
        <f>IFERROR(__xludf.DUMMYFUNCTION("""COMPUTED_VALUE"""),86540.84)</f>
        <v/>
      </c>
      <c r="AP2889" s="6">
        <f>AQ2889&amp;AR2889</f>
        <v/>
      </c>
      <c r="AQ2889" s="6">
        <f>YEAR(AS2889)</f>
        <v/>
      </c>
      <c r="AR2889" s="6">
        <f>MONTH(AS2889)</f>
        <v/>
      </c>
    </row>
    <row r="2890">
      <c r="B2890" s="6">
        <f>C2890&amp;D2890</f>
        <v/>
      </c>
      <c r="C2890" s="6">
        <f>YEAR(E2890)</f>
        <v/>
      </c>
      <c r="D2890" s="6">
        <f>MONTH(E2890)</f>
        <v/>
      </c>
      <c r="J2890" s="6">
        <f>K2890&amp;L2890</f>
        <v/>
      </c>
      <c r="K2890" s="6">
        <f>YEAR(M2890)</f>
        <v/>
      </c>
      <c r="L2890" s="6">
        <f>MONTH(M2890)</f>
        <v/>
      </c>
      <c r="R2890" s="6">
        <f>S2890&amp;T2890</f>
        <v/>
      </c>
      <c r="S2890" s="6">
        <f>YEAR(U2890)</f>
        <v/>
      </c>
      <c r="T2890" s="6">
        <f>MONTH(U2890)</f>
        <v/>
      </c>
      <c r="Z2890" s="6">
        <f>AA2890&amp;AB2890</f>
        <v/>
      </c>
      <c r="AA2890" s="6">
        <f>YEAR(AC2890)</f>
        <v/>
      </c>
      <c r="AB2890" s="6">
        <f>MONTH(AC2890)</f>
        <v/>
      </c>
      <c r="AC2890" s="267">
        <f>IFERROR(__xludf.DUMMYFUNCTION("""COMPUTED_VALUE"""),46050.9986111111)</f>
        <v/>
      </c>
      <c r="AD2890" s="6">
        <f>IFERROR(__xludf.DUMMYFUNCTION("""COMPUTED_VALUE"""),1429.27)</f>
        <v/>
      </c>
      <c r="AH2890" s="6">
        <f>AI2890&amp;AJ2890</f>
        <v/>
      </c>
      <c r="AI2890" s="6">
        <f>YEAR(AK2890)</f>
        <v/>
      </c>
      <c r="AJ2890" s="6">
        <f>MONTH(AK2890)</f>
        <v/>
      </c>
      <c r="AK2890" s="267">
        <f>IFERROR(__xludf.DUMMYFUNCTION("""COMPUTED_VALUE"""),45985.9986111111)</f>
        <v/>
      </c>
      <c r="AL2890" s="6">
        <f>IFERROR(__xludf.DUMMYFUNCTION("""COMPUTED_VALUE"""),86719.09)</f>
        <v/>
      </c>
      <c r="AP2890" s="6">
        <f>AQ2890&amp;AR2890</f>
        <v/>
      </c>
      <c r="AQ2890" s="6">
        <f>YEAR(AS2890)</f>
        <v/>
      </c>
      <c r="AR2890" s="6">
        <f>MONTH(AS2890)</f>
        <v/>
      </c>
    </row>
    <row r="2891">
      <c r="B2891" s="6">
        <f>C2891&amp;D2891</f>
        <v/>
      </c>
      <c r="C2891" s="6">
        <f>YEAR(E2891)</f>
        <v/>
      </c>
      <c r="D2891" s="6">
        <f>MONTH(E2891)</f>
        <v/>
      </c>
      <c r="J2891" s="6">
        <f>K2891&amp;L2891</f>
        <v/>
      </c>
      <c r="K2891" s="6">
        <f>YEAR(M2891)</f>
        <v/>
      </c>
      <c r="L2891" s="6">
        <f>MONTH(M2891)</f>
        <v/>
      </c>
      <c r="R2891" s="6">
        <f>S2891&amp;T2891</f>
        <v/>
      </c>
      <c r="S2891" s="6">
        <f>YEAR(U2891)</f>
        <v/>
      </c>
      <c r="T2891" s="6">
        <f>MONTH(U2891)</f>
        <v/>
      </c>
      <c r="Z2891" s="6">
        <f>AA2891&amp;AB2891</f>
        <v/>
      </c>
      <c r="AA2891" s="6">
        <f>YEAR(AC2891)</f>
        <v/>
      </c>
      <c r="AB2891" s="6">
        <f>MONTH(AC2891)</f>
        <v/>
      </c>
      <c r="AC2891" s="267">
        <f>IFERROR(__xludf.DUMMYFUNCTION("""COMPUTED_VALUE"""),46051.9986111111)</f>
        <v/>
      </c>
      <c r="AD2891" s="6">
        <f>IFERROR(__xludf.DUMMYFUNCTION("""COMPUTED_VALUE"""),1428.76)</f>
        <v/>
      </c>
      <c r="AH2891" s="6">
        <f>AI2891&amp;AJ2891</f>
        <v/>
      </c>
      <c r="AI2891" s="6">
        <f>YEAR(AK2891)</f>
        <v/>
      </c>
      <c r="AJ2891" s="6">
        <f>MONTH(AK2891)</f>
        <v/>
      </c>
      <c r="AK2891" s="267">
        <f>IFERROR(__xludf.DUMMYFUNCTION("""COMPUTED_VALUE"""),45986.9986111111)</f>
        <v/>
      </c>
      <c r="AL2891" s="6">
        <f>IFERROR(__xludf.DUMMYFUNCTION("""COMPUTED_VALUE"""),88321.3)</f>
        <v/>
      </c>
      <c r="AP2891" s="6">
        <f>AQ2891&amp;AR2891</f>
        <v/>
      </c>
      <c r="AQ2891" s="6">
        <f>YEAR(AS2891)</f>
        <v/>
      </c>
      <c r="AR2891" s="6">
        <f>MONTH(AS2891)</f>
        <v/>
      </c>
    </row>
    <row r="2892">
      <c r="B2892" s="6">
        <f>C2892&amp;D2892</f>
        <v/>
      </c>
      <c r="C2892" s="6">
        <f>YEAR(E2892)</f>
        <v/>
      </c>
      <c r="D2892" s="6">
        <f>MONTH(E2892)</f>
        <v/>
      </c>
      <c r="J2892" s="6">
        <f>K2892&amp;L2892</f>
        <v/>
      </c>
      <c r="K2892" s="6">
        <f>YEAR(M2892)</f>
        <v/>
      </c>
      <c r="L2892" s="6">
        <f>MONTH(M2892)</f>
        <v/>
      </c>
      <c r="R2892" s="6">
        <f>S2892&amp;T2892</f>
        <v/>
      </c>
      <c r="S2892" s="6">
        <f>YEAR(U2892)</f>
        <v/>
      </c>
      <c r="T2892" s="6">
        <f>MONTH(U2892)</f>
        <v/>
      </c>
      <c r="Z2892" s="6">
        <f>AA2892&amp;AB2892</f>
        <v/>
      </c>
      <c r="AA2892" s="6">
        <f>YEAR(AC2892)</f>
        <v/>
      </c>
      <c r="AB2892" s="6">
        <f>MONTH(AC2892)</f>
        <v/>
      </c>
      <c r="AC2892" s="267">
        <f>IFERROR(__xludf.DUMMYFUNCTION("""COMPUTED_VALUE"""),46052.9986111111)</f>
        <v/>
      </c>
      <c r="AD2892" s="6">
        <f>IFERROR(__xludf.DUMMYFUNCTION("""COMPUTED_VALUE"""),1449.7)</f>
        <v/>
      </c>
      <c r="AH2892" s="6">
        <f>AI2892&amp;AJ2892</f>
        <v/>
      </c>
      <c r="AI2892" s="6">
        <f>YEAR(AK2892)</f>
        <v/>
      </c>
      <c r="AJ2892" s="6">
        <f>MONTH(AK2892)</f>
        <v/>
      </c>
      <c r="AK2892" s="267">
        <f>IFERROR(__xludf.DUMMYFUNCTION("""COMPUTED_VALUE"""),45987.9986111111)</f>
        <v/>
      </c>
      <c r="AL2892" s="6">
        <f>IFERROR(__xludf.DUMMYFUNCTION("""COMPUTED_VALUE"""),87244.85)</f>
        <v/>
      </c>
      <c r="AP2892" s="6">
        <f>AQ2892&amp;AR2892</f>
        <v/>
      </c>
      <c r="AQ2892" s="6">
        <f>YEAR(AS2892)</f>
        <v/>
      </c>
      <c r="AR2892" s="6">
        <f>MONTH(AS2892)</f>
        <v/>
      </c>
    </row>
    <row r="2893">
      <c r="B2893" s="6">
        <f>C2893&amp;D2893</f>
        <v/>
      </c>
      <c r="C2893" s="6">
        <f>YEAR(E2893)</f>
        <v/>
      </c>
      <c r="D2893" s="6">
        <f>MONTH(E2893)</f>
        <v/>
      </c>
      <c r="J2893" s="6">
        <f>K2893&amp;L2893</f>
        <v/>
      </c>
      <c r="K2893" s="6">
        <f>YEAR(M2893)</f>
        <v/>
      </c>
      <c r="L2893" s="6">
        <f>MONTH(M2893)</f>
        <v/>
      </c>
      <c r="R2893" s="6">
        <f>S2893&amp;T2893</f>
        <v/>
      </c>
      <c r="S2893" s="6">
        <f>YEAR(U2893)</f>
        <v/>
      </c>
      <c r="T2893" s="6">
        <f>MONTH(U2893)</f>
        <v/>
      </c>
      <c r="Z2893" s="6">
        <f>AA2893&amp;AB2893</f>
        <v/>
      </c>
      <c r="AA2893" s="6">
        <f>YEAR(AC2893)</f>
        <v/>
      </c>
      <c r="AB2893" s="6">
        <f>MONTH(AC2893)</f>
        <v/>
      </c>
      <c r="AC2893" s="267">
        <f>IFERROR(__xludf.DUMMYFUNCTION("""COMPUTED_VALUE"""),46053.9986111111)</f>
        <v/>
      </c>
      <c r="AD2893" s="6">
        <f>IFERROR(__xludf.DUMMYFUNCTION("""COMPUTED_VALUE"""),1449.7)</f>
        <v/>
      </c>
      <c r="AH2893" s="6">
        <f>AI2893&amp;AJ2893</f>
        <v/>
      </c>
      <c r="AI2893" s="6">
        <f>YEAR(AK2893)</f>
        <v/>
      </c>
      <c r="AJ2893" s="6">
        <f>MONTH(AK2893)</f>
        <v/>
      </c>
      <c r="AK2893" s="267">
        <f>IFERROR(__xludf.DUMMYFUNCTION("""COMPUTED_VALUE"""),45988.9986111111)</f>
        <v/>
      </c>
      <c r="AL2893" s="6">
        <f>IFERROR(__xludf.DUMMYFUNCTION("""COMPUTED_VALUE"""),91284.55)</f>
        <v/>
      </c>
      <c r="AP2893" s="6">
        <f>AQ2893&amp;AR2893</f>
        <v/>
      </c>
      <c r="AQ2893" s="6">
        <f>YEAR(AS2893)</f>
        <v/>
      </c>
      <c r="AR2893" s="6">
        <f>MONTH(AS2893)</f>
        <v/>
      </c>
    </row>
    <row r="2894">
      <c r="B2894" s="6">
        <f>C2894&amp;D2894</f>
        <v/>
      </c>
      <c r="C2894" s="6">
        <f>YEAR(E2894)</f>
        <v/>
      </c>
      <c r="D2894" s="6">
        <f>MONTH(E2894)</f>
        <v/>
      </c>
      <c r="J2894" s="6">
        <f>K2894&amp;L2894</f>
        <v/>
      </c>
      <c r="K2894" s="6">
        <f>YEAR(M2894)</f>
        <v/>
      </c>
      <c r="L2894" s="6">
        <f>MONTH(M2894)</f>
        <v/>
      </c>
      <c r="R2894" s="6">
        <f>S2894&amp;T2894</f>
        <v/>
      </c>
      <c r="S2894" s="6">
        <f>YEAR(U2894)</f>
        <v/>
      </c>
      <c r="T2894" s="6">
        <f>MONTH(U2894)</f>
        <v/>
      </c>
      <c r="Z2894" s="6">
        <f>AA2894&amp;AB2894</f>
        <v/>
      </c>
      <c r="AA2894" s="6">
        <f>YEAR(AC2894)</f>
        <v/>
      </c>
      <c r="AB2894" s="6">
        <f>MONTH(AC2894)</f>
        <v/>
      </c>
      <c r="AC2894" s="267">
        <f>IFERROR(__xludf.DUMMYFUNCTION("""COMPUTED_VALUE"""),46054.9986111111)</f>
        <v/>
      </c>
      <c r="AD2894" s="6">
        <f>IFERROR(__xludf.DUMMYFUNCTION("""COMPUTED_VALUE"""),1448.8)</f>
        <v/>
      </c>
      <c r="AH2894" s="6">
        <f>AI2894&amp;AJ2894</f>
        <v/>
      </c>
      <c r="AI2894" s="6">
        <f>YEAR(AK2894)</f>
        <v/>
      </c>
      <c r="AJ2894" s="6">
        <f>MONTH(AK2894)</f>
        <v/>
      </c>
      <c r="AK2894" s="267">
        <f>IFERROR(__xludf.DUMMYFUNCTION("""COMPUTED_VALUE"""),45989.9986111111)</f>
        <v/>
      </c>
      <c r="AL2894" s="6">
        <f>IFERROR(__xludf.DUMMYFUNCTION("""COMPUTED_VALUE"""),91452.75)</f>
        <v/>
      </c>
      <c r="AP2894" s="6">
        <f>AQ2894&amp;AR2894</f>
        <v/>
      </c>
      <c r="AQ2894" s="6">
        <f>YEAR(AS2894)</f>
        <v/>
      </c>
      <c r="AR2894" s="6">
        <f>MONTH(AS2894)</f>
        <v/>
      </c>
    </row>
    <row r="2895">
      <c r="B2895" s="6">
        <f>C2895&amp;D2895</f>
        <v/>
      </c>
      <c r="C2895" s="6">
        <f>YEAR(E2895)</f>
        <v/>
      </c>
      <c r="D2895" s="6">
        <f>MONTH(E2895)</f>
        <v/>
      </c>
      <c r="J2895" s="6">
        <f>K2895&amp;L2895</f>
        <v/>
      </c>
      <c r="K2895" s="6">
        <f>YEAR(M2895)</f>
        <v/>
      </c>
      <c r="L2895" s="6">
        <f>MONTH(M2895)</f>
        <v/>
      </c>
      <c r="R2895" s="6">
        <f>S2895&amp;T2895</f>
        <v/>
      </c>
      <c r="S2895" s="6">
        <f>YEAR(U2895)</f>
        <v/>
      </c>
      <c r="T2895" s="6">
        <f>MONTH(U2895)</f>
        <v/>
      </c>
      <c r="Z2895" s="6">
        <f>AA2895&amp;AB2895</f>
        <v/>
      </c>
      <c r="AA2895" s="6">
        <f>YEAR(AC2895)</f>
        <v/>
      </c>
      <c r="AB2895" s="6">
        <f>MONTH(AC2895)</f>
        <v/>
      </c>
      <c r="AC2895" s="267">
        <f>IFERROR(__xludf.DUMMYFUNCTION("""COMPUTED_VALUE"""),46055.9986111111)</f>
        <v/>
      </c>
      <c r="AD2895" s="6">
        <f>IFERROR(__xludf.DUMMYFUNCTION("""COMPUTED_VALUE"""),1452.54)</f>
        <v/>
      </c>
      <c r="AH2895" s="6">
        <f>AI2895&amp;AJ2895</f>
        <v/>
      </c>
      <c r="AI2895" s="6">
        <f>YEAR(AK2895)</f>
        <v/>
      </c>
      <c r="AJ2895" s="6">
        <f>MONTH(AK2895)</f>
        <v/>
      </c>
      <c r="AK2895" s="267">
        <f>IFERROR(__xludf.DUMMYFUNCTION("""COMPUTED_VALUE"""),45990.9986111111)</f>
        <v/>
      </c>
      <c r="AL2895" s="6">
        <f>IFERROR(__xludf.DUMMYFUNCTION("""COMPUTED_VALUE"""),90869.59)</f>
        <v/>
      </c>
      <c r="AP2895" s="6">
        <f>AQ2895&amp;AR2895</f>
        <v/>
      </c>
      <c r="AQ2895" s="6">
        <f>YEAR(AS2895)</f>
        <v/>
      </c>
      <c r="AR2895" s="6">
        <f>MONTH(AS2895)</f>
        <v/>
      </c>
    </row>
    <row r="2896">
      <c r="B2896" s="6">
        <f>C2896&amp;D2896</f>
        <v/>
      </c>
      <c r="C2896" s="6">
        <f>YEAR(E2896)</f>
        <v/>
      </c>
      <c r="D2896" s="6">
        <f>MONTH(E2896)</f>
        <v/>
      </c>
      <c r="J2896" s="6">
        <f>K2896&amp;L2896</f>
        <v/>
      </c>
      <c r="K2896" s="6">
        <f>YEAR(M2896)</f>
        <v/>
      </c>
      <c r="L2896" s="6">
        <f>MONTH(M2896)</f>
        <v/>
      </c>
      <c r="R2896" s="6">
        <f>S2896&amp;T2896</f>
        <v/>
      </c>
      <c r="S2896" s="6">
        <f>YEAR(U2896)</f>
        <v/>
      </c>
      <c r="T2896" s="6">
        <f>MONTH(U2896)</f>
        <v/>
      </c>
      <c r="Z2896" s="6">
        <f>AA2896&amp;AB2896</f>
        <v/>
      </c>
      <c r="AA2896" s="6">
        <f>YEAR(AC2896)</f>
        <v/>
      </c>
      <c r="AB2896" s="6">
        <f>MONTH(AC2896)</f>
        <v/>
      </c>
      <c r="AC2896" s="267">
        <f>IFERROR(__xludf.DUMMYFUNCTION("""COMPUTED_VALUE"""),46056.9986111111)</f>
        <v/>
      </c>
      <c r="AD2896" s="6">
        <f>IFERROR(__xludf.DUMMYFUNCTION("""COMPUTED_VALUE"""),1446.68)</f>
        <v/>
      </c>
      <c r="AH2896" s="6">
        <f>AI2896&amp;AJ2896</f>
        <v/>
      </c>
      <c r="AI2896" s="6">
        <f>YEAR(AK2896)</f>
        <v/>
      </c>
      <c r="AJ2896" s="6">
        <f>MONTH(AK2896)</f>
        <v/>
      </c>
      <c r="AK2896" s="267">
        <f>IFERROR(__xludf.DUMMYFUNCTION("""COMPUTED_VALUE"""),45991.9986111111)</f>
        <v/>
      </c>
      <c r="AL2896" s="6">
        <f>IFERROR(__xludf.DUMMYFUNCTION("""COMPUTED_VALUE"""),90899.38)</f>
        <v/>
      </c>
      <c r="AP2896" s="6">
        <f>AQ2896&amp;AR2896</f>
        <v/>
      </c>
      <c r="AQ2896" s="6">
        <f>YEAR(AS2896)</f>
        <v/>
      </c>
      <c r="AR2896" s="6">
        <f>MONTH(AS2896)</f>
        <v/>
      </c>
    </row>
    <row r="2897">
      <c r="B2897" s="6">
        <f>C2897&amp;D2897</f>
        <v/>
      </c>
      <c r="C2897" s="6">
        <f>YEAR(E2897)</f>
        <v/>
      </c>
      <c r="D2897" s="6">
        <f>MONTH(E2897)</f>
        <v/>
      </c>
      <c r="J2897" s="6">
        <f>K2897&amp;L2897</f>
        <v/>
      </c>
      <c r="K2897" s="6">
        <f>YEAR(M2897)</f>
        <v/>
      </c>
      <c r="L2897" s="6">
        <f>MONTH(M2897)</f>
        <v/>
      </c>
      <c r="R2897" s="6">
        <f>S2897&amp;T2897</f>
        <v/>
      </c>
      <c r="S2897" s="6">
        <f>YEAR(U2897)</f>
        <v/>
      </c>
      <c r="T2897" s="6">
        <f>MONTH(U2897)</f>
        <v/>
      </c>
      <c r="Z2897" s="6">
        <f>AA2897&amp;AB2897</f>
        <v/>
      </c>
      <c r="AA2897" s="6">
        <f>YEAR(AC2897)</f>
        <v/>
      </c>
      <c r="AB2897" s="6">
        <f>MONTH(AC2897)</f>
        <v/>
      </c>
      <c r="AC2897" s="267">
        <f>IFERROR(__xludf.DUMMYFUNCTION("""COMPUTED_VALUE"""),46057.9986111111)</f>
        <v/>
      </c>
      <c r="AD2897" s="6">
        <f>IFERROR(__xludf.DUMMYFUNCTION("""COMPUTED_VALUE"""),1460.11)</f>
        <v/>
      </c>
      <c r="AH2897" s="6">
        <f>AI2897&amp;AJ2897</f>
        <v/>
      </c>
      <c r="AI2897" s="6">
        <f>YEAR(AK2897)</f>
        <v/>
      </c>
      <c r="AJ2897" s="6">
        <f>MONTH(AK2897)</f>
        <v/>
      </c>
      <c r="AK2897" s="267">
        <f>IFERROR(__xludf.DUMMYFUNCTION("""COMPUTED_VALUE"""),45992.9986111111)</f>
        <v/>
      </c>
      <c r="AL2897" s="6">
        <f>IFERROR(__xludf.DUMMYFUNCTION("""COMPUTED_VALUE"""),85807.97)</f>
        <v/>
      </c>
      <c r="AP2897" s="6">
        <f>AQ2897&amp;AR2897</f>
        <v/>
      </c>
      <c r="AQ2897" s="6">
        <f>YEAR(AS2897)</f>
        <v/>
      </c>
      <c r="AR2897" s="6">
        <f>MONTH(AS2897)</f>
        <v/>
      </c>
    </row>
    <row r="2898">
      <c r="B2898" s="6">
        <f>C2898&amp;D2898</f>
        <v/>
      </c>
      <c r="C2898" s="6">
        <f>YEAR(E2898)</f>
        <v/>
      </c>
      <c r="D2898" s="6">
        <f>MONTH(E2898)</f>
        <v/>
      </c>
      <c r="J2898" s="6">
        <f>K2898&amp;L2898</f>
        <v/>
      </c>
      <c r="K2898" s="6">
        <f>YEAR(M2898)</f>
        <v/>
      </c>
      <c r="L2898" s="6">
        <f>MONTH(M2898)</f>
        <v/>
      </c>
      <c r="R2898" s="6">
        <f>S2898&amp;T2898</f>
        <v/>
      </c>
      <c r="S2898" s="6">
        <f>YEAR(U2898)</f>
        <v/>
      </c>
      <c r="T2898" s="6">
        <f>MONTH(U2898)</f>
        <v/>
      </c>
      <c r="Z2898" s="6">
        <f>AA2898&amp;AB2898</f>
        <v/>
      </c>
      <c r="AA2898" s="6">
        <f>YEAR(AC2898)</f>
        <v/>
      </c>
      <c r="AB2898" s="6">
        <f>MONTH(AC2898)</f>
        <v/>
      </c>
      <c r="AC2898" s="267">
        <f>IFERROR(__xludf.DUMMYFUNCTION("""COMPUTED_VALUE"""),46058.9986111111)</f>
        <v/>
      </c>
      <c r="AD2898" s="6">
        <f>IFERROR(__xludf.DUMMYFUNCTION("""COMPUTED_VALUE"""),1470.68)</f>
        <v/>
      </c>
      <c r="AH2898" s="6">
        <f>AI2898&amp;AJ2898</f>
        <v/>
      </c>
      <c r="AI2898" s="6">
        <f>YEAR(AK2898)</f>
        <v/>
      </c>
      <c r="AJ2898" s="6">
        <f>MONTH(AK2898)</f>
        <v/>
      </c>
      <c r="AK2898" s="267">
        <f>IFERROR(__xludf.DUMMYFUNCTION("""COMPUTED_VALUE"""),45993.9986111111)</f>
        <v/>
      </c>
      <c r="AL2898" s="6">
        <f>IFERROR(__xludf.DUMMYFUNCTION("""COMPUTED_VALUE"""),86966.17)</f>
        <v/>
      </c>
      <c r="AP2898" s="6">
        <f>AQ2898&amp;AR2898</f>
        <v/>
      </c>
      <c r="AQ2898" s="6">
        <f>YEAR(AS2898)</f>
        <v/>
      </c>
      <c r="AR2898" s="6">
        <f>MONTH(AS2898)</f>
        <v/>
      </c>
    </row>
    <row r="2899">
      <c r="B2899" s="6">
        <f>C2899&amp;D2899</f>
        <v/>
      </c>
      <c r="C2899" s="6">
        <f>YEAR(E2899)</f>
        <v/>
      </c>
      <c r="D2899" s="6">
        <f>MONTH(E2899)</f>
        <v/>
      </c>
      <c r="J2899" s="6">
        <f>K2899&amp;L2899</f>
        <v/>
      </c>
      <c r="K2899" s="6">
        <f>YEAR(M2899)</f>
        <v/>
      </c>
      <c r="L2899" s="6">
        <f>MONTH(M2899)</f>
        <v/>
      </c>
      <c r="R2899" s="6">
        <f>S2899&amp;T2899</f>
        <v/>
      </c>
      <c r="S2899" s="6">
        <f>YEAR(U2899)</f>
        <v/>
      </c>
      <c r="T2899" s="6">
        <f>MONTH(U2899)</f>
        <v/>
      </c>
      <c r="Z2899" s="6">
        <f>AA2899&amp;AB2899</f>
        <v/>
      </c>
      <c r="AA2899" s="6">
        <f>YEAR(AC2899)</f>
        <v/>
      </c>
      <c r="AB2899" s="6">
        <f>MONTH(AC2899)</f>
        <v/>
      </c>
      <c r="AC2899" s="267">
        <f>IFERROR(__xludf.DUMMYFUNCTION("""COMPUTED_VALUE"""),46059.9986111111)</f>
        <v/>
      </c>
      <c r="AD2899" s="6">
        <f>IFERROR(__xludf.DUMMYFUNCTION("""COMPUTED_VALUE"""),1462.4)</f>
        <v/>
      </c>
      <c r="AH2899" s="6">
        <f>AI2899&amp;AJ2899</f>
        <v/>
      </c>
      <c r="AI2899" s="6">
        <f>YEAR(AK2899)</f>
        <v/>
      </c>
      <c r="AJ2899" s="6">
        <f>MONTH(AK2899)</f>
        <v/>
      </c>
      <c r="AK2899" s="267">
        <f>IFERROR(__xludf.DUMMYFUNCTION("""COMPUTED_VALUE"""),45994.9986111111)</f>
        <v/>
      </c>
      <c r="AL2899" s="6">
        <f>IFERROR(__xludf.DUMMYFUNCTION("""COMPUTED_VALUE"""),93258.06)</f>
        <v/>
      </c>
      <c r="AP2899" s="6">
        <f>AQ2899&amp;AR2899</f>
        <v/>
      </c>
      <c r="AQ2899" s="6">
        <f>YEAR(AS2899)</f>
        <v/>
      </c>
      <c r="AR2899" s="6">
        <f>MONTH(AS2899)</f>
        <v/>
      </c>
    </row>
    <row r="2900">
      <c r="B2900" s="6">
        <f>C2900&amp;D2900</f>
        <v/>
      </c>
      <c r="C2900" s="6">
        <f>YEAR(E2900)</f>
        <v/>
      </c>
      <c r="D2900" s="6">
        <f>MONTH(E2900)</f>
        <v/>
      </c>
      <c r="J2900" s="6">
        <f>K2900&amp;L2900</f>
        <v/>
      </c>
      <c r="K2900" s="6">
        <f>YEAR(M2900)</f>
        <v/>
      </c>
      <c r="L2900" s="6">
        <f>MONTH(M2900)</f>
        <v/>
      </c>
      <c r="R2900" s="6">
        <f>S2900&amp;T2900</f>
        <v/>
      </c>
      <c r="S2900" s="6">
        <f>YEAR(U2900)</f>
        <v/>
      </c>
      <c r="T2900" s="6">
        <f>MONTH(U2900)</f>
        <v/>
      </c>
      <c r="Z2900" s="6">
        <f>AA2900&amp;AB2900</f>
        <v/>
      </c>
      <c r="AA2900" s="6">
        <f>YEAR(AC2900)</f>
        <v/>
      </c>
      <c r="AB2900" s="6">
        <f>MONTH(AC2900)</f>
        <v/>
      </c>
      <c r="AC2900" s="267">
        <f>IFERROR(__xludf.DUMMYFUNCTION("""COMPUTED_VALUE"""),46060.9986111111)</f>
        <v/>
      </c>
      <c r="AD2900" s="6">
        <f>IFERROR(__xludf.DUMMYFUNCTION("""COMPUTED_VALUE"""),1462.4)</f>
        <v/>
      </c>
      <c r="AH2900" s="6">
        <f>AI2900&amp;AJ2900</f>
        <v/>
      </c>
      <c r="AI2900" s="6">
        <f>YEAR(AK2900)</f>
        <v/>
      </c>
      <c r="AJ2900" s="6">
        <f>MONTH(AK2900)</f>
        <v/>
      </c>
      <c r="AK2900" s="267">
        <f>IFERROR(__xludf.DUMMYFUNCTION("""COMPUTED_VALUE"""),45995.9986111111)</f>
        <v/>
      </c>
      <c r="AL2900" s="6">
        <f>IFERROR(__xludf.DUMMYFUNCTION("""COMPUTED_VALUE"""),93346.89)</f>
        <v/>
      </c>
      <c r="AP2900" s="6">
        <f>AQ2900&amp;AR2900</f>
        <v/>
      </c>
      <c r="AQ2900" s="6">
        <f>YEAR(AS2900)</f>
        <v/>
      </c>
      <c r="AR2900" s="6">
        <f>MONTH(AS2900)</f>
        <v/>
      </c>
    </row>
    <row r="2901">
      <c r="B2901" s="6">
        <f>C2901&amp;D2901</f>
        <v/>
      </c>
      <c r="C2901" s="6">
        <f>YEAR(E2901)</f>
        <v/>
      </c>
      <c r="D2901" s="6">
        <f>MONTH(E2901)</f>
        <v/>
      </c>
      <c r="J2901" s="6">
        <f>K2901&amp;L2901</f>
        <v/>
      </c>
      <c r="K2901" s="6">
        <f>YEAR(M2901)</f>
        <v/>
      </c>
      <c r="L2901" s="6">
        <f>MONTH(M2901)</f>
        <v/>
      </c>
      <c r="R2901" s="6">
        <f>S2901&amp;T2901</f>
        <v/>
      </c>
      <c r="S2901" s="6">
        <f>YEAR(U2901)</f>
        <v/>
      </c>
      <c r="T2901" s="6">
        <f>MONTH(U2901)</f>
        <v/>
      </c>
      <c r="Z2901" s="6">
        <f>AA2901&amp;AB2901</f>
        <v/>
      </c>
      <c r="AA2901" s="6">
        <f>YEAR(AC2901)</f>
        <v/>
      </c>
      <c r="AB2901" s="6">
        <f>MONTH(AC2901)</f>
        <v/>
      </c>
      <c r="AC2901" s="267">
        <f>IFERROR(__xludf.DUMMYFUNCTION("""COMPUTED_VALUE"""),46061.9986111111)</f>
        <v/>
      </c>
      <c r="AD2901" s="6">
        <f>IFERROR(__xludf.DUMMYFUNCTION("""COMPUTED_VALUE"""),1462.4)</f>
        <v/>
      </c>
      <c r="AH2901" s="6">
        <f>AI2901&amp;AJ2901</f>
        <v/>
      </c>
      <c r="AI2901" s="6">
        <f>YEAR(AK2901)</f>
        <v/>
      </c>
      <c r="AJ2901" s="6">
        <f>MONTH(AK2901)</f>
        <v/>
      </c>
      <c r="AK2901" s="267">
        <f>IFERROR(__xludf.DUMMYFUNCTION("""COMPUTED_VALUE"""),45996.9986111111)</f>
        <v/>
      </c>
      <c r="AL2901" s="6">
        <f>IFERROR(__xludf.DUMMYFUNCTION("""COMPUTED_VALUE"""),92027.11)</f>
        <v/>
      </c>
      <c r="AP2901" s="6">
        <f>AQ2901&amp;AR2901</f>
        <v/>
      </c>
      <c r="AQ2901" s="6">
        <f>YEAR(AS2901)</f>
        <v/>
      </c>
      <c r="AR2901" s="6">
        <f>MONTH(AS2901)</f>
        <v/>
      </c>
    </row>
    <row r="2902">
      <c r="B2902" s="6">
        <f>C2902&amp;D2902</f>
        <v/>
      </c>
      <c r="C2902" s="6">
        <f>YEAR(E2902)</f>
        <v/>
      </c>
      <c r="D2902" s="6">
        <f>MONTH(E2902)</f>
        <v/>
      </c>
      <c r="J2902" s="6">
        <f>K2902&amp;L2902</f>
        <v/>
      </c>
      <c r="K2902" s="6">
        <f>YEAR(M2902)</f>
        <v/>
      </c>
      <c r="L2902" s="6">
        <f>MONTH(M2902)</f>
        <v/>
      </c>
      <c r="R2902" s="6">
        <f>S2902&amp;T2902</f>
        <v/>
      </c>
      <c r="S2902" s="6">
        <f>YEAR(U2902)</f>
        <v/>
      </c>
      <c r="T2902" s="6">
        <f>MONTH(U2902)</f>
        <v/>
      </c>
      <c r="Z2902" s="6">
        <f>AA2902&amp;AB2902</f>
        <v/>
      </c>
      <c r="AA2902" s="6">
        <f>YEAR(AC2902)</f>
        <v/>
      </c>
      <c r="AB2902" s="6">
        <f>MONTH(AC2902)</f>
        <v/>
      </c>
      <c r="AC2902" s="267">
        <f>IFERROR(__xludf.DUMMYFUNCTION("""COMPUTED_VALUE"""),46062.9986111111)</f>
        <v/>
      </c>
      <c r="AD2902" s="6">
        <f>IFERROR(__xludf.DUMMYFUNCTION("""COMPUTED_VALUE"""),1458.54)</f>
        <v/>
      </c>
      <c r="AH2902" s="6">
        <f>AI2902&amp;AJ2902</f>
        <v/>
      </c>
      <c r="AI2902" s="6">
        <f>YEAR(AK2902)</f>
        <v/>
      </c>
      <c r="AJ2902" s="6">
        <f>MONTH(AK2902)</f>
        <v/>
      </c>
      <c r="AK2902" s="267">
        <f>IFERROR(__xludf.DUMMYFUNCTION("""COMPUTED_VALUE"""),45997.9986111111)</f>
        <v/>
      </c>
      <c r="AL2902" s="6">
        <f>IFERROR(__xludf.DUMMYFUNCTION("""COMPUTED_VALUE"""),89708.7)</f>
        <v/>
      </c>
      <c r="AP2902" s="6">
        <f>AQ2902&amp;AR2902</f>
        <v/>
      </c>
      <c r="AQ2902" s="6">
        <f>YEAR(AS2902)</f>
        <v/>
      </c>
      <c r="AR2902" s="6">
        <f>MONTH(AS2902)</f>
        <v/>
      </c>
    </row>
    <row r="2903">
      <c r="B2903" s="6">
        <f>C2903&amp;D2903</f>
        <v/>
      </c>
      <c r="C2903" s="6">
        <f>YEAR(E2903)</f>
        <v/>
      </c>
      <c r="D2903" s="6">
        <f>MONTH(E2903)</f>
        <v/>
      </c>
      <c r="J2903" s="6">
        <f>K2903&amp;L2903</f>
        <v/>
      </c>
      <c r="K2903" s="6">
        <f>YEAR(M2903)</f>
        <v/>
      </c>
      <c r="L2903" s="6">
        <f>MONTH(M2903)</f>
        <v/>
      </c>
      <c r="R2903" s="6">
        <f>S2903&amp;T2903</f>
        <v/>
      </c>
      <c r="S2903" s="6">
        <f>YEAR(U2903)</f>
        <v/>
      </c>
      <c r="T2903" s="6">
        <f>MONTH(U2903)</f>
        <v/>
      </c>
      <c r="Z2903" s="6">
        <f>AA2903&amp;AB2903</f>
        <v/>
      </c>
      <c r="AA2903" s="6">
        <f>YEAR(AC2903)</f>
        <v/>
      </c>
      <c r="AB2903" s="6">
        <f>MONTH(AC2903)</f>
        <v/>
      </c>
      <c r="AC2903" s="267">
        <f>IFERROR(__xludf.DUMMYFUNCTION("""COMPUTED_VALUE"""),46063.9986111111)</f>
        <v/>
      </c>
      <c r="AD2903" s="6">
        <f>IFERROR(__xludf.DUMMYFUNCTION("""COMPUTED_VALUE"""),1455.33)</f>
        <v/>
      </c>
      <c r="AH2903" s="6">
        <f>AI2903&amp;AJ2903</f>
        <v/>
      </c>
      <c r="AI2903" s="6">
        <f>YEAR(AK2903)</f>
        <v/>
      </c>
      <c r="AJ2903" s="6">
        <f>MONTH(AK2903)</f>
        <v/>
      </c>
      <c r="AK2903" s="267">
        <f>IFERROR(__xludf.DUMMYFUNCTION("""COMPUTED_VALUE"""),45998.9986111111)</f>
        <v/>
      </c>
      <c r="AL2903" s="6">
        <f>IFERROR(__xludf.DUMMYFUNCTION("""COMPUTED_VALUE"""),89579.54)</f>
        <v/>
      </c>
      <c r="AP2903" s="6">
        <f>AQ2903&amp;AR2903</f>
        <v/>
      </c>
      <c r="AQ2903" s="6">
        <f>YEAR(AS2903)</f>
        <v/>
      </c>
      <c r="AR2903" s="6">
        <f>MONTH(AS2903)</f>
        <v/>
      </c>
    </row>
    <row r="2904">
      <c r="B2904" s="6">
        <f>C2904&amp;D2904</f>
        <v/>
      </c>
      <c r="C2904" s="6">
        <f>YEAR(E2904)</f>
        <v/>
      </c>
      <c r="D2904" s="6">
        <f>MONTH(E2904)</f>
        <v/>
      </c>
      <c r="J2904" s="6">
        <f>K2904&amp;L2904</f>
        <v/>
      </c>
      <c r="K2904" s="6">
        <f>YEAR(M2904)</f>
        <v/>
      </c>
      <c r="L2904" s="6">
        <f>MONTH(M2904)</f>
        <v/>
      </c>
      <c r="R2904" s="6">
        <f>S2904&amp;T2904</f>
        <v/>
      </c>
      <c r="S2904" s="6">
        <f>YEAR(U2904)</f>
        <v/>
      </c>
      <c r="T2904" s="6">
        <f>MONTH(U2904)</f>
        <v/>
      </c>
      <c r="Z2904" s="6">
        <f>AA2904&amp;AB2904</f>
        <v/>
      </c>
      <c r="AA2904" s="6">
        <f>YEAR(AC2904)</f>
        <v/>
      </c>
      <c r="AB2904" s="6">
        <f>MONTH(AC2904)</f>
        <v/>
      </c>
      <c r="AC2904" s="267">
        <f>IFERROR(__xludf.DUMMYFUNCTION("""COMPUTED_VALUE"""),46064.9986111111)</f>
        <v/>
      </c>
      <c r="AD2904" s="6">
        <f>IFERROR(__xludf.DUMMYFUNCTION("""COMPUTED_VALUE"""),1444.19)</f>
        <v/>
      </c>
      <c r="AH2904" s="6">
        <f>AI2904&amp;AJ2904</f>
        <v/>
      </c>
      <c r="AI2904" s="6">
        <f>YEAR(AK2904)</f>
        <v/>
      </c>
      <c r="AJ2904" s="6">
        <f>MONTH(AK2904)</f>
        <v/>
      </c>
      <c r="AK2904" s="267">
        <f>IFERROR(__xludf.DUMMYFUNCTION("""COMPUTED_VALUE"""),45999.9986111111)</f>
        <v/>
      </c>
      <c r="AL2904" s="6">
        <f>IFERROR(__xludf.DUMMYFUNCTION("""COMPUTED_VALUE"""),91282.38)</f>
        <v/>
      </c>
      <c r="AP2904" s="6">
        <f>AQ2904&amp;AR2904</f>
        <v/>
      </c>
      <c r="AQ2904" s="6">
        <f>YEAR(AS2904)</f>
        <v/>
      </c>
      <c r="AR2904" s="6">
        <f>MONTH(AS2904)</f>
        <v/>
      </c>
    </row>
    <row r="2905">
      <c r="B2905" s="6">
        <f>C2905&amp;D2905</f>
        <v/>
      </c>
      <c r="C2905" s="6">
        <f>YEAR(E2905)</f>
        <v/>
      </c>
      <c r="D2905" s="6">
        <f>MONTH(E2905)</f>
        <v/>
      </c>
      <c r="J2905" s="6">
        <f>K2905&amp;L2905</f>
        <v/>
      </c>
      <c r="K2905" s="6">
        <f>YEAR(M2905)</f>
        <v/>
      </c>
      <c r="L2905" s="6">
        <f>MONTH(M2905)</f>
        <v/>
      </c>
      <c r="R2905" s="6">
        <f>S2905&amp;T2905</f>
        <v/>
      </c>
      <c r="S2905" s="6">
        <f>YEAR(U2905)</f>
        <v/>
      </c>
      <c r="T2905" s="6">
        <f>MONTH(U2905)</f>
        <v/>
      </c>
      <c r="Z2905" s="6">
        <f>AA2905&amp;AB2905</f>
        <v/>
      </c>
      <c r="AA2905" s="6">
        <f>YEAR(AC2905)</f>
        <v/>
      </c>
      <c r="AB2905" s="6">
        <f>MONTH(AC2905)</f>
        <v/>
      </c>
      <c r="AC2905" s="267">
        <f>IFERROR(__xludf.DUMMYFUNCTION("""COMPUTED_VALUE"""),46065.9986111111)</f>
        <v/>
      </c>
      <c r="AD2905" s="6">
        <f>IFERROR(__xludf.DUMMYFUNCTION("""COMPUTED_VALUE"""),1440.9)</f>
        <v/>
      </c>
      <c r="AH2905" s="6">
        <f>AI2905&amp;AJ2905</f>
        <v/>
      </c>
      <c r="AI2905" s="6">
        <f>YEAR(AK2905)</f>
        <v/>
      </c>
      <c r="AJ2905" s="6">
        <f>MONTH(AK2905)</f>
        <v/>
      </c>
      <c r="AK2905" s="267">
        <f>IFERROR(__xludf.DUMMYFUNCTION("""COMPUTED_VALUE"""),46000.9986111111)</f>
        <v/>
      </c>
      <c r="AL2905" s="6">
        <f>IFERROR(__xludf.DUMMYFUNCTION("""COMPUTED_VALUE"""),89955.87)</f>
        <v/>
      </c>
      <c r="AP2905" s="6">
        <f>AQ2905&amp;AR2905</f>
        <v/>
      </c>
      <c r="AQ2905" s="6">
        <f>YEAR(AS2905)</f>
        <v/>
      </c>
      <c r="AR2905" s="6">
        <f>MONTH(AS2905)</f>
        <v/>
      </c>
    </row>
    <row r="2906">
      <c r="B2906" s="6">
        <f>C2906&amp;D2906</f>
        <v/>
      </c>
      <c r="C2906" s="6">
        <f>YEAR(E2906)</f>
        <v/>
      </c>
      <c r="D2906" s="6">
        <f>MONTH(E2906)</f>
        <v/>
      </c>
      <c r="J2906" s="6">
        <f>K2906&amp;L2906</f>
        <v/>
      </c>
      <c r="K2906" s="6">
        <f>YEAR(M2906)</f>
        <v/>
      </c>
      <c r="L2906" s="6">
        <f>MONTH(M2906)</f>
        <v/>
      </c>
      <c r="R2906" s="6">
        <f>S2906&amp;T2906</f>
        <v/>
      </c>
      <c r="S2906" s="6">
        <f>YEAR(U2906)</f>
        <v/>
      </c>
      <c r="T2906" s="6">
        <f>MONTH(U2906)</f>
        <v/>
      </c>
      <c r="Z2906" s="6">
        <f>AA2906&amp;AB2906</f>
        <v/>
      </c>
      <c r="AA2906" s="6">
        <f>YEAR(AC2906)</f>
        <v/>
      </c>
      <c r="AB2906" s="6">
        <f>MONTH(AC2906)</f>
        <v/>
      </c>
      <c r="AC2906" s="267">
        <f>IFERROR(__xludf.DUMMYFUNCTION("""COMPUTED_VALUE"""),46066.9986111111)</f>
        <v/>
      </c>
      <c r="AD2906" s="6">
        <f>IFERROR(__xludf.DUMMYFUNCTION("""COMPUTED_VALUE"""),1439.62)</f>
        <v/>
      </c>
      <c r="AH2906" s="6">
        <f>AI2906&amp;AJ2906</f>
        <v/>
      </c>
      <c r="AI2906" s="6">
        <f>YEAR(AK2906)</f>
        <v/>
      </c>
      <c r="AJ2906" s="6">
        <f>MONTH(AK2906)</f>
        <v/>
      </c>
      <c r="AK2906" s="267">
        <f>IFERROR(__xludf.DUMMYFUNCTION("""COMPUTED_VALUE"""),46001.9986111111)</f>
        <v/>
      </c>
      <c r="AL2906" s="6">
        <f>IFERROR(__xludf.DUMMYFUNCTION("""COMPUTED_VALUE"""),92571.52)</f>
        <v/>
      </c>
      <c r="AP2906" s="6">
        <f>AQ2906&amp;AR2906</f>
        <v/>
      </c>
      <c r="AQ2906" s="6">
        <f>YEAR(AS2906)</f>
        <v/>
      </c>
      <c r="AR2906" s="6">
        <f>MONTH(AS2906)</f>
        <v/>
      </c>
    </row>
    <row r="2907">
      <c r="B2907" s="6">
        <f>C2907&amp;D2907</f>
        <v/>
      </c>
      <c r="C2907" s="6">
        <f>YEAR(E2907)</f>
        <v/>
      </c>
      <c r="D2907" s="6">
        <f>MONTH(E2907)</f>
        <v/>
      </c>
      <c r="J2907" s="6">
        <f>K2907&amp;L2907</f>
        <v/>
      </c>
      <c r="K2907" s="6">
        <f>YEAR(M2907)</f>
        <v/>
      </c>
      <c r="L2907" s="6">
        <f>MONTH(M2907)</f>
        <v/>
      </c>
      <c r="R2907" s="6">
        <f>S2907&amp;T2907</f>
        <v/>
      </c>
      <c r="S2907" s="6">
        <f>YEAR(U2907)</f>
        <v/>
      </c>
      <c r="T2907" s="6">
        <f>MONTH(U2907)</f>
        <v/>
      </c>
      <c r="Z2907" s="6">
        <f>AA2907&amp;AB2907</f>
        <v/>
      </c>
      <c r="AA2907" s="6">
        <f>YEAR(AC2907)</f>
        <v/>
      </c>
      <c r="AB2907" s="6">
        <f>MONTH(AC2907)</f>
        <v/>
      </c>
      <c r="AC2907" s="267">
        <f>IFERROR(__xludf.DUMMYFUNCTION("""COMPUTED_VALUE"""),46067.9986111111)</f>
        <v/>
      </c>
      <c r="AD2907" s="6">
        <f>IFERROR(__xludf.DUMMYFUNCTION("""COMPUTED_VALUE"""),1439.52)</f>
        <v/>
      </c>
      <c r="AH2907" s="6">
        <f>AI2907&amp;AJ2907</f>
        <v/>
      </c>
      <c r="AI2907" s="6">
        <f>YEAR(AK2907)</f>
        <v/>
      </c>
      <c r="AJ2907" s="6">
        <f>MONTH(AK2907)</f>
        <v/>
      </c>
      <c r="AK2907" s="267">
        <f>IFERROR(__xludf.DUMMYFUNCTION("""COMPUTED_VALUE"""),46002.9986111111)</f>
        <v/>
      </c>
      <c r="AL2907" s="6">
        <f>IFERROR(__xludf.DUMMYFUNCTION("""COMPUTED_VALUE"""),90467.98)</f>
        <v/>
      </c>
      <c r="AP2907" s="6">
        <f>AQ2907&amp;AR2907</f>
        <v/>
      </c>
      <c r="AQ2907" s="6">
        <f>YEAR(AS2907)</f>
        <v/>
      </c>
      <c r="AR2907" s="6">
        <f>MONTH(AS2907)</f>
        <v/>
      </c>
    </row>
    <row r="2908">
      <c r="B2908" s="6">
        <f>C2908&amp;D2908</f>
        <v/>
      </c>
      <c r="C2908" s="6">
        <f>YEAR(E2908)</f>
        <v/>
      </c>
      <c r="D2908" s="6">
        <f>MONTH(E2908)</f>
        <v/>
      </c>
      <c r="J2908" s="6">
        <f>K2908&amp;L2908</f>
        <v/>
      </c>
      <c r="K2908" s="6">
        <f>YEAR(M2908)</f>
        <v/>
      </c>
      <c r="L2908" s="6">
        <f>MONTH(M2908)</f>
        <v/>
      </c>
      <c r="R2908" s="6">
        <f>S2908&amp;T2908</f>
        <v/>
      </c>
      <c r="S2908" s="6">
        <f>YEAR(U2908)</f>
        <v/>
      </c>
      <c r="T2908" s="6">
        <f>MONTH(U2908)</f>
        <v/>
      </c>
      <c r="Z2908" s="6">
        <f>AA2908&amp;AB2908</f>
        <v/>
      </c>
      <c r="AA2908" s="6">
        <f>YEAR(AC2908)</f>
        <v/>
      </c>
      <c r="AB2908" s="6">
        <f>MONTH(AC2908)</f>
        <v/>
      </c>
      <c r="AC2908" s="267">
        <f>IFERROR(__xludf.DUMMYFUNCTION("""COMPUTED_VALUE"""),46068.9986111111)</f>
        <v/>
      </c>
      <c r="AD2908" s="6">
        <f>IFERROR(__xludf.DUMMYFUNCTION("""COMPUTED_VALUE"""),1439.52)</f>
        <v/>
      </c>
      <c r="AH2908" s="6">
        <f>AI2908&amp;AJ2908</f>
        <v/>
      </c>
      <c r="AI2908" s="6">
        <f>YEAR(AK2908)</f>
        <v/>
      </c>
      <c r="AJ2908" s="6">
        <f>MONTH(AK2908)</f>
        <v/>
      </c>
      <c r="AK2908" s="267">
        <f>IFERROR(__xludf.DUMMYFUNCTION("""COMPUTED_VALUE"""),46003.9986111111)</f>
        <v/>
      </c>
      <c r="AL2908" s="6">
        <f>IFERROR(__xludf.DUMMYFUNCTION("""COMPUTED_VALUE"""),92399.02)</f>
        <v/>
      </c>
      <c r="AP2908" s="6">
        <f>AQ2908&amp;AR2908</f>
        <v/>
      </c>
      <c r="AQ2908" s="6">
        <f>YEAR(AS2908)</f>
        <v/>
      </c>
      <c r="AR2908" s="6">
        <f>MONTH(AS2908)</f>
        <v/>
      </c>
    </row>
    <row r="2909">
      <c r="B2909" s="6">
        <f>C2909&amp;D2909</f>
        <v/>
      </c>
      <c r="C2909" s="6">
        <f>YEAR(E2909)</f>
        <v/>
      </c>
      <c r="D2909" s="6">
        <f>MONTH(E2909)</f>
        <v/>
      </c>
      <c r="J2909" s="6">
        <f>K2909&amp;L2909</f>
        <v/>
      </c>
      <c r="K2909" s="6">
        <f>YEAR(M2909)</f>
        <v/>
      </c>
      <c r="L2909" s="6">
        <f>MONTH(M2909)</f>
        <v/>
      </c>
      <c r="R2909" s="6">
        <f>S2909&amp;T2909</f>
        <v/>
      </c>
      <c r="S2909" s="6">
        <f>YEAR(U2909)</f>
        <v/>
      </c>
      <c r="T2909" s="6">
        <f>MONTH(U2909)</f>
        <v/>
      </c>
      <c r="Z2909" s="6">
        <f>AA2909&amp;AB2909</f>
        <v/>
      </c>
      <c r="AA2909" s="6">
        <f>YEAR(AC2909)</f>
        <v/>
      </c>
      <c r="AB2909" s="6">
        <f>MONTH(AC2909)</f>
        <v/>
      </c>
      <c r="AC2909" s="267">
        <f>IFERROR(__xludf.DUMMYFUNCTION("""COMPUTED_VALUE"""),46069.9986111111)</f>
        <v/>
      </c>
      <c r="AD2909" s="6">
        <f>IFERROR(__xludf.DUMMYFUNCTION("""COMPUTED_VALUE"""),1440.23)</f>
        <v/>
      </c>
      <c r="AH2909" s="6">
        <f>AI2909&amp;AJ2909</f>
        <v/>
      </c>
      <c r="AI2909" s="6">
        <f>YEAR(AK2909)</f>
        <v/>
      </c>
      <c r="AJ2909" s="6">
        <f>MONTH(AK2909)</f>
        <v/>
      </c>
      <c r="AK2909" s="267">
        <f>IFERROR(__xludf.DUMMYFUNCTION("""COMPUTED_VALUE"""),46004.9986111111)</f>
        <v/>
      </c>
      <c r="AL2909" s="6">
        <f>IFERROR(__xludf.DUMMYFUNCTION("""COMPUTED_VALUE"""),90401.97)</f>
        <v/>
      </c>
      <c r="AP2909" s="6">
        <f>AQ2909&amp;AR2909</f>
        <v/>
      </c>
      <c r="AQ2909" s="6">
        <f>YEAR(AS2909)</f>
        <v/>
      </c>
      <c r="AR2909" s="6">
        <f>MONTH(AS2909)</f>
        <v/>
      </c>
    </row>
    <row r="2910">
      <c r="B2910" s="6">
        <f>C2910&amp;D2910</f>
        <v/>
      </c>
      <c r="C2910" s="6">
        <f>YEAR(E2910)</f>
        <v/>
      </c>
      <c r="D2910" s="6">
        <f>MONTH(E2910)</f>
        <v/>
      </c>
      <c r="J2910" s="6">
        <f>K2910&amp;L2910</f>
        <v/>
      </c>
      <c r="K2910" s="6">
        <f>YEAR(M2910)</f>
        <v/>
      </c>
      <c r="L2910" s="6">
        <f>MONTH(M2910)</f>
        <v/>
      </c>
      <c r="R2910" s="6">
        <f>S2910&amp;T2910</f>
        <v/>
      </c>
      <c r="S2910" s="6">
        <f>YEAR(U2910)</f>
        <v/>
      </c>
      <c r="T2910" s="6">
        <f>MONTH(U2910)</f>
        <v/>
      </c>
      <c r="Z2910" s="6">
        <f>AA2910&amp;AB2910</f>
        <v/>
      </c>
      <c r="AA2910" s="6">
        <f>YEAR(AC2910)</f>
        <v/>
      </c>
      <c r="AB2910" s="6">
        <f>MONTH(AC2910)</f>
        <v/>
      </c>
      <c r="AC2910" s="267">
        <f>IFERROR(__xludf.DUMMYFUNCTION("""COMPUTED_VALUE"""),46070.9986111111)</f>
        <v/>
      </c>
      <c r="AD2910" s="6">
        <f>IFERROR(__xludf.DUMMYFUNCTION("""COMPUTED_VALUE"""),1439.97)</f>
        <v/>
      </c>
      <c r="AH2910" s="6">
        <f>AI2910&amp;AJ2910</f>
        <v/>
      </c>
      <c r="AI2910" s="6">
        <f>YEAR(AK2910)</f>
        <v/>
      </c>
      <c r="AJ2910" s="6">
        <f>MONTH(AK2910)</f>
        <v/>
      </c>
      <c r="AK2910" s="267">
        <f>IFERROR(__xludf.DUMMYFUNCTION("""COMPUTED_VALUE"""),46005.9986111111)</f>
        <v/>
      </c>
      <c r="AL2910" s="6">
        <f>IFERROR(__xludf.DUMMYFUNCTION("""COMPUTED_VALUE"""),90207.59)</f>
        <v/>
      </c>
      <c r="AP2910" s="6">
        <f>AQ2910&amp;AR2910</f>
        <v/>
      </c>
      <c r="AQ2910" s="6">
        <f>YEAR(AS2910)</f>
        <v/>
      </c>
      <c r="AR2910" s="6">
        <f>MONTH(AS2910)</f>
        <v/>
      </c>
    </row>
    <row r="2911">
      <c r="B2911" s="6">
        <f>C2911&amp;D2911</f>
        <v/>
      </c>
      <c r="C2911" s="6">
        <f>YEAR(E2911)</f>
        <v/>
      </c>
      <c r="D2911" s="6">
        <f>MONTH(E2911)</f>
        <v/>
      </c>
      <c r="J2911" s="6">
        <f>K2911&amp;L2911</f>
        <v/>
      </c>
      <c r="K2911" s="6">
        <f>YEAR(M2911)</f>
        <v/>
      </c>
      <c r="L2911" s="6">
        <f>MONTH(M2911)</f>
        <v/>
      </c>
      <c r="R2911" s="6">
        <f>S2911&amp;T2911</f>
        <v/>
      </c>
      <c r="S2911" s="6">
        <f>YEAR(U2911)</f>
        <v/>
      </c>
      <c r="T2911" s="6">
        <f>MONTH(U2911)</f>
        <v/>
      </c>
      <c r="Z2911" s="6">
        <f>AA2911&amp;AB2911</f>
        <v/>
      </c>
      <c r="AA2911" s="6">
        <f>YEAR(AC2911)</f>
        <v/>
      </c>
      <c r="AB2911" s="6">
        <f>MONTH(AC2911)</f>
        <v/>
      </c>
      <c r="AC2911" s="267">
        <f>IFERROR(__xludf.DUMMYFUNCTION("""COMPUTED_VALUE"""),46071.9986111111)</f>
        <v/>
      </c>
      <c r="AD2911" s="6">
        <f>IFERROR(__xludf.DUMMYFUNCTION("""COMPUTED_VALUE"""),1440.16)</f>
        <v/>
      </c>
      <c r="AH2911" s="6">
        <f>AI2911&amp;AJ2911</f>
        <v/>
      </c>
      <c r="AI2911" s="6">
        <f>YEAR(AK2911)</f>
        <v/>
      </c>
      <c r="AJ2911" s="6">
        <f>MONTH(AK2911)</f>
        <v/>
      </c>
      <c r="AK2911" s="267">
        <f>IFERROR(__xludf.DUMMYFUNCTION("""COMPUTED_VALUE"""),46006.9986111111)</f>
        <v/>
      </c>
      <c r="AL2911" s="6">
        <f>IFERROR(__xludf.DUMMYFUNCTION("""COMPUTED_VALUE"""),89679.57)</f>
        <v/>
      </c>
      <c r="AP2911" s="6">
        <f>AQ2911&amp;AR2911</f>
        <v/>
      </c>
      <c r="AQ2911" s="6">
        <f>YEAR(AS2911)</f>
        <v/>
      </c>
      <c r="AR2911" s="6">
        <f>MONTH(AS2911)</f>
        <v/>
      </c>
    </row>
    <row r="2912">
      <c r="B2912" s="6">
        <f>C2912&amp;D2912</f>
        <v/>
      </c>
      <c r="C2912" s="6">
        <f>YEAR(E2912)</f>
        <v/>
      </c>
      <c r="D2912" s="6">
        <f>MONTH(E2912)</f>
        <v/>
      </c>
      <c r="J2912" s="6">
        <f>K2912&amp;L2912</f>
        <v/>
      </c>
      <c r="K2912" s="6">
        <f>YEAR(M2912)</f>
        <v/>
      </c>
      <c r="L2912" s="6">
        <f>MONTH(M2912)</f>
        <v/>
      </c>
      <c r="R2912" s="6">
        <f>S2912&amp;T2912</f>
        <v/>
      </c>
      <c r="S2912" s="6">
        <f>YEAR(U2912)</f>
        <v/>
      </c>
      <c r="T2912" s="6">
        <f>MONTH(U2912)</f>
        <v/>
      </c>
      <c r="Z2912" s="6">
        <f>AA2912&amp;AB2912</f>
        <v/>
      </c>
      <c r="AA2912" s="6">
        <f>YEAR(AC2912)</f>
        <v/>
      </c>
      <c r="AB2912" s="6">
        <f>MONTH(AC2912)</f>
        <v/>
      </c>
      <c r="AC2912" s="267">
        <f>IFERROR(__xludf.DUMMYFUNCTION("""COMPUTED_VALUE"""),46072.9986111111)</f>
        <v/>
      </c>
      <c r="AD2912" s="6">
        <f>IFERROR(__xludf.DUMMYFUNCTION("""COMPUTED_VALUE"""),1447.75)</f>
        <v/>
      </c>
      <c r="AH2912" s="6">
        <f>AI2912&amp;AJ2912</f>
        <v/>
      </c>
      <c r="AI2912" s="6">
        <f>YEAR(AK2912)</f>
        <v/>
      </c>
      <c r="AJ2912" s="6">
        <f>MONTH(AK2912)</f>
        <v/>
      </c>
      <c r="AK2912" s="267">
        <f>IFERROR(__xludf.DUMMYFUNCTION("""COMPUTED_VALUE"""),46007.9986111111)</f>
        <v/>
      </c>
      <c r="AL2912" s="6">
        <f>IFERROR(__xludf.DUMMYFUNCTION("""COMPUTED_VALUE"""),85827.9)</f>
        <v/>
      </c>
      <c r="AP2912" s="6">
        <f>AQ2912&amp;AR2912</f>
        <v/>
      </c>
      <c r="AQ2912" s="6">
        <f>YEAR(AS2912)</f>
        <v/>
      </c>
      <c r="AR2912" s="6">
        <f>MONTH(AS2912)</f>
        <v/>
      </c>
    </row>
    <row r="2913">
      <c r="B2913" s="6">
        <f>C2913&amp;D2913</f>
        <v/>
      </c>
      <c r="C2913" s="6">
        <f>YEAR(E2913)</f>
        <v/>
      </c>
      <c r="D2913" s="6">
        <f>MONTH(E2913)</f>
        <v/>
      </c>
      <c r="J2913" s="6">
        <f>K2913&amp;L2913</f>
        <v/>
      </c>
      <c r="K2913" s="6">
        <f>YEAR(M2913)</f>
        <v/>
      </c>
      <c r="L2913" s="6">
        <f>MONTH(M2913)</f>
        <v/>
      </c>
      <c r="R2913" s="6">
        <f>S2913&amp;T2913</f>
        <v/>
      </c>
      <c r="S2913" s="6">
        <f>YEAR(U2913)</f>
        <v/>
      </c>
      <c r="T2913" s="6">
        <f>MONTH(U2913)</f>
        <v/>
      </c>
      <c r="Z2913" s="6">
        <f>AA2913&amp;AB2913</f>
        <v/>
      </c>
      <c r="AA2913" s="6">
        <f>YEAR(AC2913)</f>
        <v/>
      </c>
      <c r="AB2913" s="6">
        <f>MONTH(AC2913)</f>
        <v/>
      </c>
      <c r="AC2913" s="267">
        <f>IFERROR(__xludf.DUMMYFUNCTION("""COMPUTED_VALUE"""),46073.9986111111)</f>
        <v/>
      </c>
      <c r="AD2913" s="6">
        <f>IFERROR(__xludf.DUMMYFUNCTION("""COMPUTED_VALUE"""),1444.04)</f>
        <v/>
      </c>
      <c r="AH2913" s="6">
        <f>AI2913&amp;AJ2913</f>
        <v/>
      </c>
      <c r="AI2913" s="6">
        <f>YEAR(AK2913)</f>
        <v/>
      </c>
      <c r="AJ2913" s="6">
        <f>MONTH(AK2913)</f>
        <v/>
      </c>
      <c r="AK2913" s="267">
        <f>IFERROR(__xludf.DUMMYFUNCTION("""COMPUTED_VALUE"""),46008.9986111111)</f>
        <v/>
      </c>
      <c r="AL2913" s="6">
        <f>IFERROR(__xludf.DUMMYFUNCTION("""COMPUTED_VALUE"""),86794.84)</f>
        <v/>
      </c>
      <c r="AP2913" s="6">
        <f>AQ2913&amp;AR2913</f>
        <v/>
      </c>
      <c r="AQ2913" s="6">
        <f>YEAR(AS2913)</f>
        <v/>
      </c>
      <c r="AR2913" s="6">
        <f>MONTH(AS2913)</f>
        <v/>
      </c>
    </row>
    <row r="2914">
      <c r="B2914" s="6">
        <f>C2914&amp;D2914</f>
        <v/>
      </c>
      <c r="C2914" s="6">
        <f>YEAR(E2914)</f>
        <v/>
      </c>
      <c r="D2914" s="6">
        <f>MONTH(E2914)</f>
        <v/>
      </c>
      <c r="J2914" s="6">
        <f>K2914&amp;L2914</f>
        <v/>
      </c>
      <c r="K2914" s="6">
        <f>YEAR(M2914)</f>
        <v/>
      </c>
      <c r="L2914" s="6">
        <f>MONTH(M2914)</f>
        <v/>
      </c>
      <c r="R2914" s="6">
        <f>S2914&amp;T2914</f>
        <v/>
      </c>
      <c r="S2914" s="6">
        <f>YEAR(U2914)</f>
        <v/>
      </c>
      <c r="T2914" s="6">
        <f>MONTH(U2914)</f>
        <v/>
      </c>
      <c r="Z2914" s="6">
        <f>AA2914&amp;AB2914</f>
        <v/>
      </c>
      <c r="AA2914" s="6">
        <f>YEAR(AC2914)</f>
        <v/>
      </c>
      <c r="AB2914" s="6">
        <f>MONTH(AC2914)</f>
        <v/>
      </c>
      <c r="AC2914" s="267">
        <f>IFERROR(__xludf.DUMMYFUNCTION("""COMPUTED_VALUE"""),46074.9986111111)</f>
        <v/>
      </c>
      <c r="AD2914" s="6">
        <f>IFERROR(__xludf.DUMMYFUNCTION("""COMPUTED_VALUE"""),1443.44)</f>
        <v/>
      </c>
      <c r="AH2914" s="6">
        <f>AI2914&amp;AJ2914</f>
        <v/>
      </c>
      <c r="AI2914" s="6">
        <f>YEAR(AK2914)</f>
        <v/>
      </c>
      <c r="AJ2914" s="6">
        <f>MONTH(AK2914)</f>
        <v/>
      </c>
      <c r="AK2914" s="267">
        <f>IFERROR(__xludf.DUMMYFUNCTION("""COMPUTED_VALUE"""),46009.9986111111)</f>
        <v/>
      </c>
      <c r="AL2914" s="6">
        <f>IFERROR(__xludf.DUMMYFUNCTION("""COMPUTED_VALUE"""),86757.41)</f>
        <v/>
      </c>
      <c r="AP2914" s="6">
        <f>AQ2914&amp;AR2914</f>
        <v/>
      </c>
      <c r="AQ2914" s="6">
        <f>YEAR(AS2914)</f>
        <v/>
      </c>
      <c r="AR2914" s="6">
        <f>MONTH(AS2914)</f>
        <v/>
      </c>
    </row>
    <row r="2915">
      <c r="B2915" s="6">
        <f>C2915&amp;D2915</f>
        <v/>
      </c>
      <c r="C2915" s="6">
        <f>YEAR(E2915)</f>
        <v/>
      </c>
      <c r="D2915" s="6">
        <f>MONTH(E2915)</f>
        <v/>
      </c>
      <c r="J2915" s="6">
        <f>K2915&amp;L2915</f>
        <v/>
      </c>
      <c r="K2915" s="6">
        <f>YEAR(M2915)</f>
        <v/>
      </c>
      <c r="L2915" s="6">
        <f>MONTH(M2915)</f>
        <v/>
      </c>
      <c r="R2915" s="6">
        <f>S2915&amp;T2915</f>
        <v/>
      </c>
      <c r="S2915" s="6">
        <f>YEAR(U2915)</f>
        <v/>
      </c>
      <c r="T2915" s="6">
        <f>MONTH(U2915)</f>
        <v/>
      </c>
      <c r="Z2915" s="6">
        <f>AA2915&amp;AB2915</f>
        <v/>
      </c>
      <c r="AA2915" s="6">
        <f>YEAR(AC2915)</f>
        <v/>
      </c>
      <c r="AB2915" s="6">
        <f>MONTH(AC2915)</f>
        <v/>
      </c>
      <c r="AC2915" s="267">
        <f>IFERROR(__xludf.DUMMYFUNCTION("""COMPUTED_VALUE"""),46075.9986111111)</f>
        <v/>
      </c>
      <c r="AD2915" s="6">
        <f>IFERROR(__xludf.DUMMYFUNCTION("""COMPUTED_VALUE"""),1443.44)</f>
        <v/>
      </c>
      <c r="AH2915" s="6">
        <f>AI2915&amp;AJ2915</f>
        <v/>
      </c>
      <c r="AI2915" s="6">
        <f>YEAR(AK2915)</f>
        <v/>
      </c>
      <c r="AJ2915" s="6">
        <f>MONTH(AK2915)</f>
        <v/>
      </c>
      <c r="AK2915" s="267">
        <f>IFERROR(__xludf.DUMMYFUNCTION("""COMPUTED_VALUE"""),46010.9986111111)</f>
        <v/>
      </c>
      <c r="AL2915" s="6">
        <f>IFERROR(__xludf.DUMMYFUNCTION("""COMPUTED_VALUE"""),87073.13)</f>
        <v/>
      </c>
      <c r="AP2915" s="6">
        <f>AQ2915&amp;AR2915</f>
        <v/>
      </c>
      <c r="AQ2915" s="6">
        <f>YEAR(AS2915)</f>
        <v/>
      </c>
      <c r="AR2915" s="6">
        <f>MONTH(AS2915)</f>
        <v/>
      </c>
    </row>
    <row r="2916">
      <c r="B2916" s="6">
        <f>C2916&amp;D2916</f>
        <v/>
      </c>
      <c r="C2916" s="6">
        <f>YEAR(E2916)</f>
        <v/>
      </c>
      <c r="D2916" s="6">
        <f>MONTH(E2916)</f>
        <v/>
      </c>
      <c r="J2916" s="6">
        <f>K2916&amp;L2916</f>
        <v/>
      </c>
      <c r="K2916" s="6">
        <f>YEAR(M2916)</f>
        <v/>
      </c>
      <c r="L2916" s="6">
        <f>MONTH(M2916)</f>
        <v/>
      </c>
      <c r="R2916" s="6">
        <f>S2916&amp;T2916</f>
        <v/>
      </c>
      <c r="S2916" s="6">
        <f>YEAR(U2916)</f>
        <v/>
      </c>
      <c r="T2916" s="6">
        <f>MONTH(U2916)</f>
        <v/>
      </c>
      <c r="Z2916" s="6">
        <f>AA2916&amp;AB2916</f>
        <v/>
      </c>
      <c r="AA2916" s="6">
        <f>YEAR(AC2916)</f>
        <v/>
      </c>
      <c r="AB2916" s="6">
        <f>MONTH(AC2916)</f>
        <v/>
      </c>
      <c r="AC2916" s="267">
        <f>IFERROR(__xludf.DUMMYFUNCTION("""COMPUTED_VALUE"""),46076.9986111111)</f>
        <v/>
      </c>
      <c r="AD2916" s="6">
        <f>IFERROR(__xludf.DUMMYFUNCTION("""COMPUTED_VALUE"""),1442.2)</f>
        <v/>
      </c>
      <c r="AH2916" s="6">
        <f>AI2916&amp;AJ2916</f>
        <v/>
      </c>
      <c r="AI2916" s="6">
        <f>YEAR(AK2916)</f>
        <v/>
      </c>
      <c r="AJ2916" s="6">
        <f>MONTH(AK2916)</f>
        <v/>
      </c>
      <c r="AK2916" s="267">
        <f>IFERROR(__xludf.DUMMYFUNCTION("""COMPUTED_VALUE"""),46011.9986111111)</f>
        <v/>
      </c>
      <c r="AL2916" s="6">
        <f>IFERROR(__xludf.DUMMYFUNCTION("""COMPUTED_VALUE"""),88252.01)</f>
        <v/>
      </c>
      <c r="AP2916" s="6">
        <f>AQ2916&amp;AR2916</f>
        <v/>
      </c>
      <c r="AQ2916" s="6">
        <f>YEAR(AS2916)</f>
        <v/>
      </c>
      <c r="AR2916" s="6">
        <f>MONTH(AS2916)</f>
        <v/>
      </c>
    </row>
    <row r="2917">
      <c r="B2917" s="6">
        <f>C2917&amp;D2917</f>
        <v/>
      </c>
      <c r="C2917" s="6">
        <f>YEAR(E2917)</f>
        <v/>
      </c>
      <c r="D2917" s="6">
        <f>MONTH(E2917)</f>
        <v/>
      </c>
      <c r="J2917" s="6">
        <f>K2917&amp;L2917</f>
        <v/>
      </c>
      <c r="K2917" s="6">
        <f>YEAR(M2917)</f>
        <v/>
      </c>
      <c r="L2917" s="6">
        <f>MONTH(M2917)</f>
        <v/>
      </c>
      <c r="R2917" s="6">
        <f>S2917&amp;T2917</f>
        <v/>
      </c>
      <c r="S2917" s="6">
        <f>YEAR(U2917)</f>
        <v/>
      </c>
      <c r="T2917" s="6">
        <f>MONTH(U2917)</f>
        <v/>
      </c>
      <c r="Z2917" s="6">
        <f>AA2917&amp;AB2917</f>
        <v/>
      </c>
      <c r="AA2917" s="6">
        <f>YEAR(AC2917)</f>
        <v/>
      </c>
      <c r="AB2917" s="6">
        <f>MONTH(AC2917)</f>
        <v/>
      </c>
      <c r="AC2917" s="267">
        <f>IFERROR(__xludf.DUMMYFUNCTION("""COMPUTED_VALUE"""),46077.9986111111)</f>
        <v/>
      </c>
      <c r="AD2917" s="6">
        <f>IFERROR(__xludf.DUMMYFUNCTION("""COMPUTED_VALUE"""),1439.99)</f>
        <v/>
      </c>
      <c r="AH2917" s="6">
        <f>AI2917&amp;AJ2917</f>
        <v/>
      </c>
      <c r="AI2917" s="6">
        <f>YEAR(AK2917)</f>
        <v/>
      </c>
      <c r="AJ2917" s="6">
        <f>MONTH(AK2917)</f>
        <v/>
      </c>
      <c r="AK2917" s="267">
        <f>IFERROR(__xludf.DUMMYFUNCTION("""COMPUTED_VALUE"""),46012.9986111111)</f>
        <v/>
      </c>
      <c r="AL2917" s="6">
        <f>IFERROR(__xludf.DUMMYFUNCTION("""COMPUTED_VALUE"""),88081.58)</f>
        <v/>
      </c>
      <c r="AP2917" s="6">
        <f>AQ2917&amp;AR2917</f>
        <v/>
      </c>
      <c r="AQ2917" s="6">
        <f>YEAR(AS2917)</f>
        <v/>
      </c>
      <c r="AR2917" s="6">
        <f>MONTH(AS2917)</f>
        <v/>
      </c>
    </row>
    <row r="2918">
      <c r="B2918" s="6">
        <f>C2918&amp;D2918</f>
        <v/>
      </c>
      <c r="C2918" s="6">
        <f>YEAR(E2918)</f>
        <v/>
      </c>
      <c r="D2918" s="6">
        <f>MONTH(E2918)</f>
        <v/>
      </c>
      <c r="J2918" s="6">
        <f>K2918&amp;L2918</f>
        <v/>
      </c>
      <c r="K2918" s="6">
        <f>YEAR(M2918)</f>
        <v/>
      </c>
      <c r="L2918" s="6">
        <f>MONTH(M2918)</f>
        <v/>
      </c>
      <c r="R2918" s="6">
        <f>S2918&amp;T2918</f>
        <v/>
      </c>
      <c r="S2918" s="6">
        <f>YEAR(U2918)</f>
        <v/>
      </c>
      <c r="T2918" s="6">
        <f>MONTH(U2918)</f>
        <v/>
      </c>
      <c r="Z2918" s="6">
        <f>AA2918&amp;AB2918</f>
        <v/>
      </c>
      <c r="AA2918" s="6">
        <f>YEAR(AC2918)</f>
        <v/>
      </c>
      <c r="AB2918" s="6">
        <f>MONTH(AC2918)</f>
        <v/>
      </c>
      <c r="AC2918" s="267">
        <f>IFERROR(__xludf.DUMMYFUNCTION("""COMPUTED_VALUE"""),46078.9986111111)</f>
        <v/>
      </c>
      <c r="AD2918" s="6">
        <f>IFERROR(__xludf.DUMMYFUNCTION("""COMPUTED_VALUE"""),1426.93)</f>
        <v/>
      </c>
      <c r="AH2918" s="6">
        <f>AI2918&amp;AJ2918</f>
        <v/>
      </c>
      <c r="AI2918" s="6">
        <f>YEAR(AK2918)</f>
        <v/>
      </c>
      <c r="AJ2918" s="6">
        <f>MONTH(AK2918)</f>
        <v/>
      </c>
      <c r="AK2918" s="267">
        <f>IFERROR(__xludf.DUMMYFUNCTION("""COMPUTED_VALUE"""),46013.9986111111)</f>
        <v/>
      </c>
      <c r="AL2918" s="6">
        <f>IFERROR(__xludf.DUMMYFUNCTION("""COMPUTED_VALUE"""),88877.88)</f>
        <v/>
      </c>
      <c r="AP2918" s="6">
        <f>AQ2918&amp;AR2918</f>
        <v/>
      </c>
      <c r="AQ2918" s="6">
        <f>YEAR(AS2918)</f>
        <v/>
      </c>
      <c r="AR2918" s="6">
        <f>MONTH(AS2918)</f>
        <v/>
      </c>
    </row>
    <row r="2919">
      <c r="B2919" s="6">
        <f>C2919&amp;D2919</f>
        <v/>
      </c>
      <c r="C2919" s="6">
        <f>YEAR(E2919)</f>
        <v/>
      </c>
      <c r="D2919" s="6">
        <f>MONTH(E2919)</f>
        <v/>
      </c>
      <c r="J2919" s="6">
        <f>K2919&amp;L2919</f>
        <v/>
      </c>
      <c r="K2919" s="6">
        <f>YEAR(M2919)</f>
        <v/>
      </c>
      <c r="L2919" s="6">
        <f>MONTH(M2919)</f>
        <v/>
      </c>
      <c r="R2919" s="6">
        <f>S2919&amp;T2919</f>
        <v/>
      </c>
      <c r="S2919" s="6">
        <f>YEAR(U2919)</f>
        <v/>
      </c>
      <c r="T2919" s="6">
        <f>MONTH(U2919)</f>
        <v/>
      </c>
      <c r="Z2919" s="6">
        <f>AA2919&amp;AB2919</f>
        <v/>
      </c>
      <c r="AA2919" s="6">
        <f>YEAR(AC2919)</f>
        <v/>
      </c>
      <c r="AB2919" s="6">
        <f>MONTH(AC2919)</f>
        <v/>
      </c>
      <c r="AC2919" s="267">
        <f>IFERROR(__xludf.DUMMYFUNCTION("""COMPUTED_VALUE"""),46079.9986111111)</f>
        <v/>
      </c>
      <c r="AD2919" s="6">
        <f>IFERROR(__xludf.DUMMYFUNCTION("""COMPUTED_VALUE"""),1432.32)</f>
        <v/>
      </c>
      <c r="AH2919" s="6">
        <f>AI2919&amp;AJ2919</f>
        <v/>
      </c>
      <c r="AI2919" s="6">
        <f>YEAR(AK2919)</f>
        <v/>
      </c>
      <c r="AJ2919" s="6">
        <f>MONTH(AK2919)</f>
        <v/>
      </c>
      <c r="AK2919" s="267">
        <f>IFERROR(__xludf.DUMMYFUNCTION("""COMPUTED_VALUE"""),46014.9986111111)</f>
        <v/>
      </c>
      <c r="AL2919" s="6">
        <f>IFERROR(__xludf.DUMMYFUNCTION("""COMPUTED_VALUE"""),87973.69)</f>
        <v/>
      </c>
      <c r="AP2919" s="6">
        <f>AQ2919&amp;AR2919</f>
        <v/>
      </c>
      <c r="AQ2919" s="6">
        <f>YEAR(AS2919)</f>
        <v/>
      </c>
      <c r="AR2919" s="6">
        <f>MONTH(AS2919)</f>
        <v/>
      </c>
    </row>
    <row r="2920">
      <c r="B2920" s="6">
        <f>C2920&amp;D2920</f>
        <v/>
      </c>
      <c r="C2920" s="6">
        <f>YEAR(E2920)</f>
        <v/>
      </c>
      <c r="D2920" s="6">
        <f>MONTH(E2920)</f>
        <v/>
      </c>
      <c r="J2920" s="6">
        <f>K2920&amp;L2920</f>
        <v/>
      </c>
      <c r="K2920" s="6">
        <f>YEAR(M2920)</f>
        <v/>
      </c>
      <c r="L2920" s="6">
        <f>MONTH(M2920)</f>
        <v/>
      </c>
      <c r="R2920" s="6">
        <f>S2920&amp;T2920</f>
        <v/>
      </c>
      <c r="S2920" s="6">
        <f>YEAR(U2920)</f>
        <v/>
      </c>
      <c r="T2920" s="6">
        <f>MONTH(U2920)</f>
        <v/>
      </c>
      <c r="Z2920" s="6">
        <f>AA2920&amp;AB2920</f>
        <v/>
      </c>
      <c r="AA2920" s="6">
        <f>YEAR(AC2920)</f>
        <v/>
      </c>
      <c r="AB2920" s="6">
        <f>MONTH(AC2920)</f>
        <v/>
      </c>
      <c r="AC2920" s="267">
        <f>IFERROR(__xludf.DUMMYFUNCTION("""COMPUTED_VALUE"""),46080.9986111111)</f>
        <v/>
      </c>
      <c r="AD2920" s="6">
        <f>IFERROR(__xludf.DUMMYFUNCTION("""COMPUTED_VALUE"""),1438.9)</f>
        <v/>
      </c>
      <c r="AH2920" s="6">
        <f>AI2920&amp;AJ2920</f>
        <v/>
      </c>
      <c r="AI2920" s="6">
        <f>YEAR(AK2920)</f>
        <v/>
      </c>
      <c r="AJ2920" s="6">
        <f>MONTH(AK2920)</f>
        <v/>
      </c>
      <c r="AK2920" s="267">
        <f>IFERROR(__xludf.DUMMYFUNCTION("""COMPUTED_VALUE"""),46015.9986111111)</f>
        <v/>
      </c>
      <c r="AL2920" s="6">
        <f>IFERROR(__xludf.DUMMYFUNCTION("""COMPUTED_VALUE"""),87095.54)</f>
        <v/>
      </c>
      <c r="AP2920" s="6">
        <f>AQ2920&amp;AR2920</f>
        <v/>
      </c>
      <c r="AQ2920" s="6">
        <f>YEAR(AS2920)</f>
        <v/>
      </c>
      <c r="AR2920" s="6">
        <f>MONTH(AS2920)</f>
        <v/>
      </c>
    </row>
    <row r="2921">
      <c r="B2921" s="6">
        <f>C2921&amp;D2921</f>
        <v/>
      </c>
      <c r="C2921" s="6">
        <f>YEAR(E2921)</f>
        <v/>
      </c>
      <c r="D2921" s="6">
        <f>MONTH(E2921)</f>
        <v/>
      </c>
      <c r="J2921" s="6">
        <f>K2921&amp;L2921</f>
        <v/>
      </c>
      <c r="K2921" s="6">
        <f>YEAR(M2921)</f>
        <v/>
      </c>
      <c r="L2921" s="6">
        <f>MONTH(M2921)</f>
        <v/>
      </c>
      <c r="R2921" s="6">
        <f>S2921&amp;T2921</f>
        <v/>
      </c>
      <c r="S2921" s="6">
        <f>YEAR(U2921)</f>
        <v/>
      </c>
      <c r="T2921" s="6">
        <f>MONTH(U2921)</f>
        <v/>
      </c>
      <c r="Z2921" s="6">
        <f>AA2921&amp;AB2921</f>
        <v/>
      </c>
      <c r="AA2921" s="6">
        <f>YEAR(AC2921)</f>
        <v/>
      </c>
      <c r="AB2921" s="6">
        <f>MONTH(AC2921)</f>
        <v/>
      </c>
      <c r="AC2921" s="267">
        <f>IFERROR(__xludf.DUMMYFUNCTION("""COMPUTED_VALUE"""),46081.9986111111)</f>
        <v/>
      </c>
      <c r="AD2921" s="6">
        <f>IFERROR(__xludf.DUMMYFUNCTION("""COMPUTED_VALUE"""),1437.8)</f>
        <v/>
      </c>
      <c r="AH2921" s="6">
        <f>AI2921&amp;AJ2921</f>
        <v/>
      </c>
      <c r="AI2921" s="6">
        <f>YEAR(AK2921)</f>
        <v/>
      </c>
      <c r="AJ2921" s="6">
        <f>MONTH(AK2921)</f>
        <v/>
      </c>
      <c r="AK2921" s="267">
        <f>IFERROR(__xludf.DUMMYFUNCTION("""COMPUTED_VALUE"""),46016.9986111111)</f>
        <v/>
      </c>
      <c r="AL2921" s="6">
        <f>IFERROR(__xludf.DUMMYFUNCTION("""COMPUTED_VALUE"""),87768.72)</f>
        <v/>
      </c>
      <c r="AP2921" s="6">
        <f>AQ2921&amp;AR2921</f>
        <v/>
      </c>
      <c r="AQ2921" s="6">
        <f>YEAR(AS2921)</f>
        <v/>
      </c>
      <c r="AR2921" s="6">
        <f>MONTH(AS2921)</f>
        <v/>
      </c>
    </row>
    <row r="2922">
      <c r="B2922" s="6">
        <f>C2922&amp;D2922</f>
        <v/>
      </c>
      <c r="C2922" s="6">
        <f>YEAR(E2922)</f>
        <v/>
      </c>
      <c r="D2922" s="6">
        <f>MONTH(E2922)</f>
        <v/>
      </c>
      <c r="J2922" s="6">
        <f>K2922&amp;L2922</f>
        <v/>
      </c>
      <c r="K2922" s="6">
        <f>YEAR(M2922)</f>
        <v/>
      </c>
      <c r="L2922" s="6">
        <f>MONTH(M2922)</f>
        <v/>
      </c>
      <c r="R2922" s="6">
        <f>S2922&amp;T2922</f>
        <v/>
      </c>
      <c r="S2922" s="6">
        <f>YEAR(U2922)</f>
        <v/>
      </c>
      <c r="T2922" s="6">
        <f>MONTH(U2922)</f>
        <v/>
      </c>
      <c r="Z2922" s="6">
        <f>AA2922&amp;AB2922</f>
        <v/>
      </c>
      <c r="AA2922" s="6">
        <f>YEAR(AC2922)</f>
        <v/>
      </c>
      <c r="AB2922" s="6">
        <f>MONTH(AC2922)</f>
        <v/>
      </c>
      <c r="AC2922" s="267">
        <f>IFERROR(__xludf.DUMMYFUNCTION("""COMPUTED_VALUE"""),46082.9986111111)</f>
        <v/>
      </c>
      <c r="AD2922" s="6">
        <f>IFERROR(__xludf.DUMMYFUNCTION("""COMPUTED_VALUE"""),1438.5)</f>
        <v/>
      </c>
      <c r="AH2922" s="6">
        <f>AI2922&amp;AJ2922</f>
        <v/>
      </c>
      <c r="AI2922" s="6">
        <f>YEAR(AK2922)</f>
        <v/>
      </c>
      <c r="AJ2922" s="6">
        <f>MONTH(AK2922)</f>
        <v/>
      </c>
      <c r="AK2922" s="267">
        <f>IFERROR(__xludf.DUMMYFUNCTION("""COMPUTED_VALUE"""),46017.9986111111)</f>
        <v/>
      </c>
      <c r="AL2922" s="6">
        <f>IFERROR(__xludf.DUMMYFUNCTION("""COMPUTED_VALUE"""),88915.34)</f>
        <v/>
      </c>
      <c r="AP2922" s="6">
        <f>AQ2922&amp;AR2922</f>
        <v/>
      </c>
      <c r="AQ2922" s="6">
        <f>YEAR(AS2922)</f>
        <v/>
      </c>
      <c r="AR2922" s="6">
        <f>MONTH(AS2922)</f>
        <v/>
      </c>
    </row>
    <row r="2923">
      <c r="B2923" s="6">
        <f>C2923&amp;D2923</f>
        <v/>
      </c>
      <c r="C2923" s="6">
        <f>YEAR(E2923)</f>
        <v/>
      </c>
      <c r="D2923" s="6">
        <f>MONTH(E2923)</f>
        <v/>
      </c>
      <c r="J2923" s="6">
        <f>K2923&amp;L2923</f>
        <v/>
      </c>
      <c r="K2923" s="6">
        <f>YEAR(M2923)</f>
        <v/>
      </c>
      <c r="L2923" s="6">
        <f>MONTH(M2923)</f>
        <v/>
      </c>
      <c r="R2923" s="6">
        <f>S2923&amp;T2923</f>
        <v/>
      </c>
      <c r="S2923" s="6">
        <f>YEAR(U2923)</f>
        <v/>
      </c>
      <c r="T2923" s="6">
        <f>MONTH(U2923)</f>
        <v/>
      </c>
      <c r="Z2923" s="6">
        <f>AA2923&amp;AB2923</f>
        <v/>
      </c>
      <c r="AA2923" s="6">
        <f>YEAR(AC2923)</f>
        <v/>
      </c>
      <c r="AB2923" s="6">
        <f>MONTH(AC2923)</f>
        <v/>
      </c>
      <c r="AC2923" s="267">
        <f>IFERROR(__xludf.DUMMYFUNCTION("""COMPUTED_VALUE"""),46083.9986111111)</f>
        <v/>
      </c>
      <c r="AD2923" s="6">
        <f>IFERROR(__xludf.DUMMYFUNCTION("""COMPUTED_VALUE"""),1452.27)</f>
        <v/>
      </c>
      <c r="AH2923" s="6">
        <f>AI2923&amp;AJ2923</f>
        <v/>
      </c>
      <c r="AI2923" s="6">
        <f>YEAR(AK2923)</f>
        <v/>
      </c>
      <c r="AJ2923" s="6">
        <f>MONTH(AK2923)</f>
        <v/>
      </c>
      <c r="AK2923" s="267">
        <f>IFERROR(__xludf.DUMMYFUNCTION("""COMPUTED_VALUE"""),46018.9986111111)</f>
        <v/>
      </c>
      <c r="AL2923" s="6">
        <f>IFERROR(__xludf.DUMMYFUNCTION("""COMPUTED_VALUE"""),87459.36)</f>
        <v/>
      </c>
      <c r="AP2923" s="6">
        <f>AQ2923&amp;AR2923</f>
        <v/>
      </c>
      <c r="AQ2923" s="6">
        <f>YEAR(AS2923)</f>
        <v/>
      </c>
      <c r="AR2923" s="6">
        <f>MONTH(AS2923)</f>
        <v/>
      </c>
    </row>
    <row r="2924">
      <c r="B2924" s="6">
        <f>C2924&amp;D2924</f>
        <v/>
      </c>
      <c r="C2924" s="6">
        <f>YEAR(E2924)</f>
        <v/>
      </c>
      <c r="D2924" s="6">
        <f>MONTH(E2924)</f>
        <v/>
      </c>
      <c r="J2924" s="6">
        <f>K2924&amp;L2924</f>
        <v/>
      </c>
      <c r="K2924" s="6">
        <f>YEAR(M2924)</f>
        <v/>
      </c>
      <c r="L2924" s="6">
        <f>MONTH(M2924)</f>
        <v/>
      </c>
      <c r="R2924" s="6">
        <f>S2924&amp;T2924</f>
        <v/>
      </c>
      <c r="S2924" s="6">
        <f>YEAR(U2924)</f>
        <v/>
      </c>
      <c r="T2924" s="6">
        <f>MONTH(U2924)</f>
        <v/>
      </c>
      <c r="Z2924" s="6">
        <f>AA2924&amp;AB2924</f>
        <v/>
      </c>
      <c r="AA2924" s="6">
        <f>YEAR(AC2924)</f>
        <v/>
      </c>
      <c r="AB2924" s="6">
        <f>MONTH(AC2924)</f>
        <v/>
      </c>
      <c r="AC2924" s="267">
        <f>IFERROR(__xludf.DUMMYFUNCTION("""COMPUTED_VALUE"""),46084.9986111111)</f>
        <v/>
      </c>
      <c r="AD2924" s="6">
        <f>IFERROR(__xludf.DUMMYFUNCTION("""COMPUTED_VALUE"""),1483.07)</f>
        <v/>
      </c>
      <c r="AH2924" s="6">
        <f>AI2924&amp;AJ2924</f>
        <v/>
      </c>
      <c r="AI2924" s="6">
        <f>YEAR(AK2924)</f>
        <v/>
      </c>
      <c r="AJ2924" s="6">
        <f>MONTH(AK2924)</f>
        <v/>
      </c>
      <c r="AK2924" s="267">
        <f>IFERROR(__xludf.DUMMYFUNCTION("""COMPUTED_VALUE"""),46019.9986111111)</f>
        <v/>
      </c>
      <c r="AL2924" s="6">
        <f>IFERROR(__xludf.DUMMYFUNCTION("""COMPUTED_VALUE"""),87687.36)</f>
        <v/>
      </c>
      <c r="AP2924" s="6">
        <f>AQ2924&amp;AR2924</f>
        <v/>
      </c>
      <c r="AQ2924" s="6">
        <f>YEAR(AS2924)</f>
        <v/>
      </c>
      <c r="AR2924" s="6">
        <f>MONTH(AS2924)</f>
        <v/>
      </c>
    </row>
    <row r="2925">
      <c r="B2925" s="6">
        <f>C2925&amp;D2925</f>
        <v/>
      </c>
      <c r="C2925" s="6">
        <f>YEAR(E2925)</f>
        <v/>
      </c>
      <c r="D2925" s="6">
        <f>MONTH(E2925)</f>
        <v/>
      </c>
      <c r="J2925" s="6">
        <f>K2925&amp;L2925</f>
        <v/>
      </c>
      <c r="K2925" s="6">
        <f>YEAR(M2925)</f>
        <v/>
      </c>
      <c r="L2925" s="6">
        <f>MONTH(M2925)</f>
        <v/>
      </c>
      <c r="R2925" s="6">
        <f>S2925&amp;T2925</f>
        <v/>
      </c>
      <c r="S2925" s="6">
        <f>YEAR(U2925)</f>
        <v/>
      </c>
      <c r="T2925" s="6">
        <f>MONTH(U2925)</f>
        <v/>
      </c>
      <c r="Z2925" s="6">
        <f>AA2925&amp;AB2925</f>
        <v/>
      </c>
      <c r="AA2925" s="6">
        <f>YEAR(AC2925)</f>
        <v/>
      </c>
      <c r="AB2925" s="6">
        <f>MONTH(AC2925)</f>
        <v/>
      </c>
      <c r="AC2925" s="267">
        <f>IFERROR(__xludf.DUMMYFUNCTION("""COMPUTED_VALUE"""),46085.9986111111)</f>
        <v/>
      </c>
      <c r="AD2925" s="6">
        <f>IFERROR(__xludf.DUMMYFUNCTION("""COMPUTED_VALUE"""),1460.75)</f>
        <v/>
      </c>
      <c r="AH2925" s="6">
        <f>AI2925&amp;AJ2925</f>
        <v/>
      </c>
      <c r="AI2925" s="6">
        <f>YEAR(AK2925)</f>
        <v/>
      </c>
      <c r="AJ2925" s="6">
        <f>MONTH(AK2925)</f>
        <v/>
      </c>
      <c r="AK2925" s="267">
        <f>IFERROR(__xludf.DUMMYFUNCTION("""COMPUTED_VALUE"""),46020.9986111111)</f>
        <v/>
      </c>
      <c r="AL2925" s="6">
        <f>IFERROR(__xludf.DUMMYFUNCTION("""COMPUTED_VALUE"""),90085.48)</f>
        <v/>
      </c>
      <c r="AP2925" s="6">
        <f>AQ2925&amp;AR2925</f>
        <v/>
      </c>
      <c r="AQ2925" s="6">
        <f>YEAR(AS2925)</f>
        <v/>
      </c>
      <c r="AR2925" s="6">
        <f>MONTH(AS2925)</f>
        <v/>
      </c>
    </row>
    <row r="2926">
      <c r="B2926" s="6">
        <f>C2926&amp;D2926</f>
        <v/>
      </c>
      <c r="C2926" s="6">
        <f>YEAR(E2926)</f>
        <v/>
      </c>
      <c r="D2926" s="6">
        <f>MONTH(E2926)</f>
        <v/>
      </c>
      <c r="J2926" s="6">
        <f>K2926&amp;L2926</f>
        <v/>
      </c>
      <c r="K2926" s="6">
        <f>YEAR(M2926)</f>
        <v/>
      </c>
      <c r="L2926" s="6">
        <f>MONTH(M2926)</f>
        <v/>
      </c>
      <c r="R2926" s="6">
        <f>S2926&amp;T2926</f>
        <v/>
      </c>
      <c r="S2926" s="6">
        <f>YEAR(U2926)</f>
        <v/>
      </c>
      <c r="T2926" s="6">
        <f>MONTH(U2926)</f>
        <v/>
      </c>
      <c r="Z2926" s="6">
        <f>AA2926&amp;AB2926</f>
        <v/>
      </c>
      <c r="AA2926" s="6">
        <f>YEAR(AC2926)</f>
        <v/>
      </c>
      <c r="AB2926" s="6">
        <f>MONTH(AC2926)</f>
        <v/>
      </c>
      <c r="AC2926" s="267">
        <f>IFERROR(__xludf.DUMMYFUNCTION("""COMPUTED_VALUE"""),46086.9986111111)</f>
        <v/>
      </c>
      <c r="AD2926" s="6">
        <f>IFERROR(__xludf.DUMMYFUNCTION("""COMPUTED_VALUE"""),1479.51)</f>
        <v/>
      </c>
      <c r="AH2926" s="6">
        <f>AI2926&amp;AJ2926</f>
        <v/>
      </c>
      <c r="AI2926" s="6">
        <f>YEAR(AK2926)</f>
        <v/>
      </c>
      <c r="AJ2926" s="6">
        <f>MONTH(AK2926)</f>
        <v/>
      </c>
      <c r="AK2926" s="267">
        <f>IFERROR(__xludf.DUMMYFUNCTION("""COMPUTED_VALUE"""),46021.9986111111)</f>
        <v/>
      </c>
      <c r="AL2926" s="6">
        <f>IFERROR(__xludf.DUMMYFUNCTION("""COMPUTED_VALUE"""),87222.09)</f>
        <v/>
      </c>
      <c r="AP2926" s="6">
        <f>AQ2926&amp;AR2926</f>
        <v/>
      </c>
      <c r="AQ2926" s="6">
        <f>YEAR(AS2926)</f>
        <v/>
      </c>
      <c r="AR2926" s="6">
        <f>MONTH(AS2926)</f>
        <v/>
      </c>
    </row>
    <row r="2927">
      <c r="B2927" s="6">
        <f>C2927&amp;D2927</f>
        <v/>
      </c>
      <c r="C2927" s="6">
        <f>YEAR(E2927)</f>
        <v/>
      </c>
      <c r="D2927" s="6">
        <f>MONTH(E2927)</f>
        <v/>
      </c>
      <c r="J2927" s="6">
        <f>K2927&amp;L2927</f>
        <v/>
      </c>
      <c r="K2927" s="6">
        <f>YEAR(M2927)</f>
        <v/>
      </c>
      <c r="L2927" s="6">
        <f>MONTH(M2927)</f>
        <v/>
      </c>
      <c r="R2927" s="6">
        <f>S2927&amp;T2927</f>
        <v/>
      </c>
      <c r="S2927" s="6">
        <f>YEAR(U2927)</f>
        <v/>
      </c>
      <c r="T2927" s="6">
        <f>MONTH(U2927)</f>
        <v/>
      </c>
      <c r="Z2927" s="6">
        <f>AA2927&amp;AB2927</f>
        <v/>
      </c>
      <c r="AA2927" s="6">
        <f>YEAR(AC2927)</f>
        <v/>
      </c>
      <c r="AB2927" s="6">
        <f>MONTH(AC2927)</f>
        <v/>
      </c>
      <c r="AC2927" s="267">
        <f>IFERROR(__xludf.DUMMYFUNCTION("""COMPUTED_VALUE"""),46087.9986111111)</f>
        <v/>
      </c>
      <c r="AD2927" s="6">
        <f>IFERROR(__xludf.DUMMYFUNCTION("""COMPUTED_VALUE"""),1484.29)</f>
        <v/>
      </c>
      <c r="AH2927" s="6">
        <f>AI2927&amp;AJ2927</f>
        <v/>
      </c>
      <c r="AI2927" s="6">
        <f>YEAR(AK2927)</f>
        <v/>
      </c>
      <c r="AJ2927" s="6">
        <f>MONTH(AK2927)</f>
        <v/>
      </c>
      <c r="AK2927" s="267">
        <f>IFERROR(__xludf.DUMMYFUNCTION("""COMPUTED_VALUE"""),46022.9986111111)</f>
        <v/>
      </c>
      <c r="AL2927" s="6">
        <f>IFERROR(__xludf.DUMMYFUNCTION("""COMPUTED_VALUE"""),88262.84)</f>
        <v/>
      </c>
      <c r="AP2927" s="6">
        <f>AQ2927&amp;AR2927</f>
        <v/>
      </c>
      <c r="AQ2927" s="6">
        <f>YEAR(AS2927)</f>
        <v/>
      </c>
      <c r="AR2927" s="6">
        <f>MONTH(AS2927)</f>
        <v/>
      </c>
    </row>
    <row r="2928">
      <c r="B2928" s="6">
        <f>C2928&amp;D2928</f>
        <v/>
      </c>
      <c r="C2928" s="6">
        <f>YEAR(E2928)</f>
        <v/>
      </c>
      <c r="D2928" s="6">
        <f>MONTH(E2928)</f>
        <v/>
      </c>
      <c r="J2928" s="6">
        <f>K2928&amp;L2928</f>
        <v/>
      </c>
      <c r="K2928" s="6">
        <f>YEAR(M2928)</f>
        <v/>
      </c>
      <c r="L2928" s="6">
        <f>MONTH(M2928)</f>
        <v/>
      </c>
      <c r="R2928" s="6">
        <f>S2928&amp;T2928</f>
        <v/>
      </c>
      <c r="S2928" s="6">
        <f>YEAR(U2928)</f>
        <v/>
      </c>
      <c r="T2928" s="6">
        <f>MONTH(U2928)</f>
        <v/>
      </c>
      <c r="Z2928" s="6">
        <f>AA2928&amp;AB2928</f>
        <v/>
      </c>
      <c r="AA2928" s="6">
        <f>YEAR(AC2928)</f>
        <v/>
      </c>
      <c r="AB2928" s="6">
        <f>MONTH(AC2928)</f>
        <v/>
      </c>
      <c r="AC2928" s="267">
        <f>IFERROR(__xludf.DUMMYFUNCTION("""COMPUTED_VALUE"""),46088.9986111111)</f>
        <v/>
      </c>
      <c r="AD2928" s="6">
        <f>IFERROR(__xludf.DUMMYFUNCTION("""COMPUTED_VALUE"""),1483.89)</f>
        <v/>
      </c>
      <c r="AH2928" s="6">
        <f>AI2928&amp;AJ2928</f>
        <v/>
      </c>
      <c r="AI2928" s="6">
        <f>YEAR(AK2928)</f>
        <v/>
      </c>
      <c r="AJ2928" s="6">
        <f>MONTH(AK2928)</f>
        <v/>
      </c>
      <c r="AK2928" s="267">
        <f>IFERROR(__xludf.DUMMYFUNCTION("""COMPUTED_VALUE"""),46023.9986111111)</f>
        <v/>
      </c>
      <c r="AL2928" s="6">
        <f>IFERROR(__xludf.DUMMYFUNCTION("""COMPUTED_VALUE"""),87412.91)</f>
        <v/>
      </c>
      <c r="AP2928" s="6">
        <f>AQ2928&amp;AR2928</f>
        <v/>
      </c>
      <c r="AQ2928" s="6">
        <f>YEAR(AS2928)</f>
        <v/>
      </c>
      <c r="AR2928" s="6">
        <f>MONTH(AS2928)</f>
        <v/>
      </c>
    </row>
    <row r="2929">
      <c r="B2929" s="6">
        <f>C2929&amp;D2929</f>
        <v/>
      </c>
      <c r="C2929" s="6">
        <f>YEAR(E2929)</f>
        <v/>
      </c>
      <c r="D2929" s="6">
        <f>MONTH(E2929)</f>
        <v/>
      </c>
      <c r="J2929" s="6">
        <f>K2929&amp;L2929</f>
        <v/>
      </c>
      <c r="K2929" s="6">
        <f>YEAR(M2929)</f>
        <v/>
      </c>
      <c r="L2929" s="6">
        <f>MONTH(M2929)</f>
        <v/>
      </c>
      <c r="R2929" s="6">
        <f>S2929&amp;T2929</f>
        <v/>
      </c>
      <c r="S2929" s="6">
        <f>YEAR(U2929)</f>
        <v/>
      </c>
      <c r="T2929" s="6">
        <f>MONTH(U2929)</f>
        <v/>
      </c>
      <c r="Z2929" s="6">
        <f>AA2929&amp;AB2929</f>
        <v/>
      </c>
      <c r="AA2929" s="6">
        <f>YEAR(AC2929)</f>
        <v/>
      </c>
      <c r="AB2929" s="6">
        <f>MONTH(AC2929)</f>
        <v/>
      </c>
      <c r="AC2929" s="267">
        <f>IFERROR(__xludf.DUMMYFUNCTION("""COMPUTED_VALUE"""),46089.9986111111)</f>
        <v/>
      </c>
      <c r="AD2929" s="6">
        <f>IFERROR(__xludf.DUMMYFUNCTION("""COMPUTED_VALUE"""),1483.89)</f>
        <v/>
      </c>
      <c r="AH2929" s="6">
        <f>AI2929&amp;AJ2929</f>
        <v/>
      </c>
      <c r="AI2929" s="6">
        <f>YEAR(AK2929)</f>
        <v/>
      </c>
      <c r="AJ2929" s="6">
        <f>MONTH(AK2929)</f>
        <v/>
      </c>
      <c r="AK2929" s="267">
        <f>IFERROR(__xludf.DUMMYFUNCTION("""COMPUTED_VALUE"""),46024.9986111111)</f>
        <v/>
      </c>
      <c r="AL2929" s="6">
        <f>IFERROR(__xludf.DUMMYFUNCTION("""COMPUTED_VALUE"""),88546.95)</f>
        <v/>
      </c>
      <c r="AP2929" s="6">
        <f>AQ2929&amp;AR2929</f>
        <v/>
      </c>
      <c r="AQ2929" s="6">
        <f>YEAR(AS2929)</f>
        <v/>
      </c>
      <c r="AR2929" s="6">
        <f>MONTH(AS2929)</f>
        <v/>
      </c>
    </row>
    <row r="2930">
      <c r="B2930" s="6">
        <f>C2930&amp;D2930</f>
        <v/>
      </c>
      <c r="C2930" s="6">
        <f>YEAR(E2930)</f>
        <v/>
      </c>
      <c r="D2930" s="6">
        <f>MONTH(E2930)</f>
        <v/>
      </c>
      <c r="J2930" s="6">
        <f>K2930&amp;L2930</f>
        <v/>
      </c>
      <c r="K2930" s="6">
        <f>YEAR(M2930)</f>
        <v/>
      </c>
      <c r="L2930" s="6">
        <f>MONTH(M2930)</f>
        <v/>
      </c>
      <c r="R2930" s="6">
        <f>S2930&amp;T2930</f>
        <v/>
      </c>
      <c r="S2930" s="6">
        <f>YEAR(U2930)</f>
        <v/>
      </c>
      <c r="T2930" s="6">
        <f>MONTH(U2930)</f>
        <v/>
      </c>
      <c r="Z2930" s="6">
        <f>AA2930&amp;AB2930</f>
        <v/>
      </c>
      <c r="AA2930" s="6">
        <f>YEAR(AC2930)</f>
        <v/>
      </c>
      <c r="AB2930" s="6">
        <f>MONTH(AC2930)</f>
        <v/>
      </c>
      <c r="AC2930" s="267">
        <f>IFERROR(__xludf.DUMMYFUNCTION("""COMPUTED_VALUE"""),46090.9986111111)</f>
        <v/>
      </c>
      <c r="AD2930" s="6">
        <f>IFERROR(__xludf.DUMMYFUNCTION("""COMPUTED_VALUE"""),1464.47)</f>
        <v/>
      </c>
      <c r="AH2930" s="6">
        <f>AI2930&amp;AJ2930</f>
        <v/>
      </c>
      <c r="AI2930" s="6">
        <f>YEAR(AK2930)</f>
        <v/>
      </c>
      <c r="AJ2930" s="6">
        <f>MONTH(AK2930)</f>
        <v/>
      </c>
      <c r="AK2930" s="267">
        <f>IFERROR(__xludf.DUMMYFUNCTION("""COMPUTED_VALUE"""),46025.9986111111)</f>
        <v/>
      </c>
      <c r="AL2930" s="6">
        <f>IFERROR(__xludf.DUMMYFUNCTION("""COMPUTED_VALUE"""),90135.61)</f>
        <v/>
      </c>
      <c r="AP2930" s="6">
        <f>AQ2930&amp;AR2930</f>
        <v/>
      </c>
      <c r="AQ2930" s="6">
        <f>YEAR(AS2930)</f>
        <v/>
      </c>
      <c r="AR2930" s="6">
        <f>MONTH(AS2930)</f>
        <v/>
      </c>
    </row>
    <row r="2931">
      <c r="B2931" s="6">
        <f>C2931&amp;D2931</f>
        <v/>
      </c>
      <c r="C2931" s="6">
        <f>YEAR(E2931)</f>
        <v/>
      </c>
      <c r="D2931" s="6">
        <f>MONTH(E2931)</f>
        <v/>
      </c>
      <c r="J2931" s="6">
        <f>K2931&amp;L2931</f>
        <v/>
      </c>
      <c r="K2931" s="6">
        <f>YEAR(M2931)</f>
        <v/>
      </c>
      <c r="L2931" s="6">
        <f>MONTH(M2931)</f>
        <v/>
      </c>
      <c r="R2931" s="6">
        <f>S2931&amp;T2931</f>
        <v/>
      </c>
      <c r="S2931" s="6">
        <f>YEAR(U2931)</f>
        <v/>
      </c>
      <c r="T2931" s="6">
        <f>MONTH(U2931)</f>
        <v/>
      </c>
      <c r="Z2931" s="6">
        <f>AA2931&amp;AB2931</f>
        <v/>
      </c>
      <c r="AA2931" s="6">
        <f>YEAR(AC2931)</f>
        <v/>
      </c>
      <c r="AB2931" s="6">
        <f>MONTH(AC2931)</f>
        <v/>
      </c>
      <c r="AC2931" s="267">
        <f>IFERROR(__xludf.DUMMYFUNCTION("""COMPUTED_VALUE"""),46091.9986111111)</f>
        <v/>
      </c>
      <c r="AD2931" s="6">
        <f>IFERROR(__xludf.DUMMYFUNCTION("""COMPUTED_VALUE"""),1472.78)</f>
        <v/>
      </c>
      <c r="AH2931" s="6">
        <f>AI2931&amp;AJ2931</f>
        <v/>
      </c>
      <c r="AI2931" s="6">
        <f>YEAR(AK2931)</f>
        <v/>
      </c>
      <c r="AJ2931" s="6">
        <f>MONTH(AK2931)</f>
        <v/>
      </c>
      <c r="AK2931" s="267">
        <f>IFERROR(__xludf.DUMMYFUNCTION("""COMPUTED_VALUE"""),46026.9986111111)</f>
        <v/>
      </c>
      <c r="AL2931" s="6">
        <f>IFERROR(__xludf.DUMMYFUNCTION("""COMPUTED_VALUE"""),91374.73)</f>
        <v/>
      </c>
      <c r="AP2931" s="6">
        <f>AQ2931&amp;AR2931</f>
        <v/>
      </c>
      <c r="AQ2931" s="6">
        <f>YEAR(AS2931)</f>
        <v/>
      </c>
      <c r="AR2931" s="6">
        <f>MONTH(AS2931)</f>
        <v/>
      </c>
    </row>
    <row r="2932">
      <c r="B2932" s="6">
        <f>C2932&amp;D2932</f>
        <v/>
      </c>
      <c r="C2932" s="6">
        <f>YEAR(E2932)</f>
        <v/>
      </c>
      <c r="D2932" s="6">
        <f>MONTH(E2932)</f>
        <v/>
      </c>
      <c r="J2932" s="6">
        <f>K2932&amp;L2932</f>
        <v/>
      </c>
      <c r="K2932" s="6">
        <f>YEAR(M2932)</f>
        <v/>
      </c>
      <c r="L2932" s="6">
        <f>MONTH(M2932)</f>
        <v/>
      </c>
      <c r="R2932" s="6">
        <f>S2932&amp;T2932</f>
        <v/>
      </c>
      <c r="S2932" s="6">
        <f>YEAR(U2932)</f>
        <v/>
      </c>
      <c r="T2932" s="6">
        <f>MONTH(U2932)</f>
        <v/>
      </c>
      <c r="Z2932" s="6">
        <f>AA2932&amp;AB2932</f>
        <v/>
      </c>
      <c r="AA2932" s="6">
        <f>YEAR(AC2932)</f>
        <v/>
      </c>
      <c r="AB2932" s="6">
        <f>MONTH(AC2932)</f>
        <v/>
      </c>
      <c r="AC2932" s="267">
        <f>IFERROR(__xludf.DUMMYFUNCTION("""COMPUTED_VALUE"""),46092.9986111111)</f>
        <v/>
      </c>
      <c r="AD2932" s="6">
        <f>IFERROR(__xludf.DUMMYFUNCTION("""COMPUTED_VALUE"""),1475.34)</f>
        <v/>
      </c>
      <c r="AH2932" s="6">
        <f>AI2932&amp;AJ2932</f>
        <v/>
      </c>
      <c r="AI2932" s="6">
        <f>YEAR(AK2932)</f>
        <v/>
      </c>
      <c r="AJ2932" s="6">
        <f>MONTH(AK2932)</f>
        <v/>
      </c>
      <c r="AK2932" s="267">
        <f>IFERROR(__xludf.DUMMYFUNCTION("""COMPUTED_VALUE"""),46027.9986111111)</f>
        <v/>
      </c>
      <c r="AL2932" s="6">
        <f>IFERROR(__xludf.DUMMYFUNCTION("""COMPUTED_VALUE"""),92558.38)</f>
        <v/>
      </c>
      <c r="AP2932" s="6">
        <f>AQ2932&amp;AR2932</f>
        <v/>
      </c>
      <c r="AQ2932" s="6">
        <f>YEAR(AS2932)</f>
        <v/>
      </c>
      <c r="AR2932" s="6">
        <f>MONTH(AS2932)</f>
        <v/>
      </c>
    </row>
    <row r="2933">
      <c r="B2933" s="6">
        <f>C2933&amp;D2933</f>
        <v/>
      </c>
      <c r="C2933" s="6">
        <f>YEAR(E2933)</f>
        <v/>
      </c>
      <c r="D2933" s="6">
        <f>MONTH(E2933)</f>
        <v/>
      </c>
      <c r="J2933" s="6">
        <f>K2933&amp;L2933</f>
        <v/>
      </c>
      <c r="K2933" s="6">
        <f>YEAR(M2933)</f>
        <v/>
      </c>
      <c r="L2933" s="6">
        <f>MONTH(M2933)</f>
        <v/>
      </c>
      <c r="R2933" s="6">
        <f>S2933&amp;T2933</f>
        <v/>
      </c>
      <c r="S2933" s="6">
        <f>YEAR(U2933)</f>
        <v/>
      </c>
      <c r="T2933" s="6">
        <f>MONTH(U2933)</f>
        <v/>
      </c>
      <c r="Z2933" s="6">
        <f>AA2933&amp;AB2933</f>
        <v/>
      </c>
      <c r="AA2933" s="6">
        <f>YEAR(AC2933)</f>
        <v/>
      </c>
      <c r="AB2933" s="6">
        <f>MONTH(AC2933)</f>
        <v/>
      </c>
      <c r="AC2933" s="267">
        <f>IFERROR(__xludf.DUMMYFUNCTION("""COMPUTED_VALUE"""),46093.9986111111)</f>
        <v/>
      </c>
      <c r="AD2933" s="6">
        <f>IFERROR(__xludf.DUMMYFUNCTION("""COMPUTED_VALUE"""),1470.58)</f>
        <v/>
      </c>
      <c r="AH2933" s="6">
        <f>AI2933&amp;AJ2933</f>
        <v/>
      </c>
      <c r="AI2933" s="6">
        <f>YEAR(AK2933)</f>
        <v/>
      </c>
      <c r="AJ2933" s="6">
        <f>MONTH(AK2933)</f>
        <v/>
      </c>
      <c r="AK2933" s="267">
        <f>IFERROR(__xludf.DUMMYFUNCTION("""COMPUTED_VALUE"""),46028.9986111111)</f>
        <v/>
      </c>
      <c r="AL2933" s="6">
        <f>IFERROR(__xludf.DUMMYFUNCTION("""COMPUTED_VALUE"""),93811.61)</f>
        <v/>
      </c>
      <c r="AP2933" s="6">
        <f>AQ2933&amp;AR2933</f>
        <v/>
      </c>
      <c r="AQ2933" s="6">
        <f>YEAR(AS2933)</f>
        <v/>
      </c>
      <c r="AR2933" s="6">
        <f>MONTH(AS2933)</f>
        <v/>
      </c>
    </row>
    <row r="2934">
      <c r="B2934" s="6">
        <f>C2934&amp;D2934</f>
        <v/>
      </c>
      <c r="C2934" s="6">
        <f>YEAR(E2934)</f>
        <v/>
      </c>
      <c r="D2934" s="6">
        <f>MONTH(E2934)</f>
        <v/>
      </c>
      <c r="J2934" s="6">
        <f>K2934&amp;L2934</f>
        <v/>
      </c>
      <c r="K2934" s="6">
        <f>YEAR(M2934)</f>
        <v/>
      </c>
      <c r="L2934" s="6">
        <f>MONTH(M2934)</f>
        <v/>
      </c>
      <c r="R2934" s="6">
        <f>S2934&amp;T2934</f>
        <v/>
      </c>
      <c r="S2934" s="6">
        <f>YEAR(U2934)</f>
        <v/>
      </c>
      <c r="T2934" s="6">
        <f>MONTH(U2934)</f>
        <v/>
      </c>
      <c r="Z2934" s="6">
        <f>AA2934&amp;AB2934</f>
        <v/>
      </c>
      <c r="AA2934" s="6">
        <f>YEAR(AC2934)</f>
        <v/>
      </c>
      <c r="AB2934" s="6">
        <f>MONTH(AC2934)</f>
        <v/>
      </c>
      <c r="AC2934" s="267">
        <f>IFERROR(__xludf.DUMMYFUNCTION("""COMPUTED_VALUE"""),46094.9986111111)</f>
        <v/>
      </c>
      <c r="AD2934" s="6">
        <f>IFERROR(__xludf.DUMMYFUNCTION("""COMPUTED_VALUE"""),1501.85)</f>
        <v/>
      </c>
      <c r="AH2934" s="6">
        <f>AI2934&amp;AJ2934</f>
        <v/>
      </c>
      <c r="AI2934" s="6">
        <f>YEAR(AK2934)</f>
        <v/>
      </c>
      <c r="AJ2934" s="6">
        <f>MONTH(AK2934)</f>
        <v/>
      </c>
      <c r="AK2934" s="267">
        <f>IFERROR(__xludf.DUMMYFUNCTION("""COMPUTED_VALUE"""),46029.9986111111)</f>
        <v/>
      </c>
      <c r="AL2934" s="6">
        <f>IFERROR(__xludf.DUMMYFUNCTION("""COMPUTED_VALUE"""),92624.93)</f>
        <v/>
      </c>
      <c r="AP2934" s="6">
        <f>AQ2934&amp;AR2934</f>
        <v/>
      </c>
      <c r="AQ2934" s="6">
        <f>YEAR(AS2934)</f>
        <v/>
      </c>
      <c r="AR2934" s="6">
        <f>MONTH(AS2934)</f>
        <v/>
      </c>
    </row>
    <row r="2935">
      <c r="B2935" s="6">
        <f>C2935&amp;D2935</f>
        <v/>
      </c>
      <c r="C2935" s="6">
        <f>YEAR(E2935)</f>
        <v/>
      </c>
      <c r="D2935" s="6">
        <f>MONTH(E2935)</f>
        <v/>
      </c>
      <c r="J2935" s="6">
        <f>K2935&amp;L2935</f>
        <v/>
      </c>
      <c r="K2935" s="6">
        <f>YEAR(M2935)</f>
        <v/>
      </c>
      <c r="L2935" s="6">
        <f>MONTH(M2935)</f>
        <v/>
      </c>
      <c r="R2935" s="6">
        <f>S2935&amp;T2935</f>
        <v/>
      </c>
      <c r="S2935" s="6">
        <f>YEAR(U2935)</f>
        <v/>
      </c>
      <c r="T2935" s="6">
        <f>MONTH(U2935)</f>
        <v/>
      </c>
      <c r="Z2935" s="6">
        <f>AA2935&amp;AB2935</f>
        <v/>
      </c>
      <c r="AA2935" s="6">
        <f>YEAR(AC2935)</f>
        <v/>
      </c>
      <c r="AB2935" s="6">
        <f>MONTH(AC2935)</f>
        <v/>
      </c>
      <c r="AC2935" s="267">
        <f>IFERROR(__xludf.DUMMYFUNCTION("""COMPUTED_VALUE"""),46095.9986111111)</f>
        <v/>
      </c>
      <c r="AD2935" s="6">
        <f>IFERROR(__xludf.DUMMYFUNCTION("""COMPUTED_VALUE"""),1501.75)</f>
        <v/>
      </c>
      <c r="AH2935" s="6">
        <f>AI2935&amp;AJ2935</f>
        <v/>
      </c>
      <c r="AI2935" s="6">
        <f>YEAR(AK2935)</f>
        <v/>
      </c>
      <c r="AJ2935" s="6">
        <f>MONTH(AK2935)</f>
        <v/>
      </c>
      <c r="AK2935" s="267">
        <f>IFERROR(__xludf.DUMMYFUNCTION("""COMPUTED_VALUE"""),46030.9986111111)</f>
        <v/>
      </c>
      <c r="AL2935" s="6">
        <f>IFERROR(__xludf.DUMMYFUNCTION("""COMPUTED_VALUE"""),90943.31)</f>
        <v/>
      </c>
      <c r="AP2935" s="6">
        <f>AQ2935&amp;AR2935</f>
        <v/>
      </c>
      <c r="AQ2935" s="6">
        <f>YEAR(AS2935)</f>
        <v/>
      </c>
      <c r="AR2935" s="6">
        <f>MONTH(AS2935)</f>
        <v/>
      </c>
    </row>
    <row r="2936">
      <c r="B2936" s="6">
        <f>C2936&amp;D2936</f>
        <v/>
      </c>
      <c r="C2936" s="6">
        <f>YEAR(E2936)</f>
        <v/>
      </c>
      <c r="D2936" s="6">
        <f>MONTH(E2936)</f>
        <v/>
      </c>
      <c r="J2936" s="6">
        <f>K2936&amp;L2936</f>
        <v/>
      </c>
      <c r="K2936" s="6">
        <f>YEAR(M2936)</f>
        <v/>
      </c>
      <c r="L2936" s="6">
        <f>MONTH(M2936)</f>
        <v/>
      </c>
      <c r="R2936" s="6">
        <f>S2936&amp;T2936</f>
        <v/>
      </c>
      <c r="S2936" s="6">
        <f>YEAR(U2936)</f>
        <v/>
      </c>
      <c r="T2936" s="6">
        <f>MONTH(U2936)</f>
        <v/>
      </c>
      <c r="Z2936" s="6">
        <f>AA2936&amp;AB2936</f>
        <v/>
      </c>
      <c r="AA2936" s="6">
        <f>YEAR(AC2936)</f>
        <v/>
      </c>
      <c r="AB2936" s="6">
        <f>MONTH(AC2936)</f>
        <v/>
      </c>
      <c r="AC2936" s="267">
        <f>IFERROR(__xludf.DUMMYFUNCTION("""COMPUTED_VALUE"""),46096.9986111111)</f>
        <v/>
      </c>
      <c r="AD2936" s="6">
        <f>IFERROR(__xludf.DUMMYFUNCTION("""COMPUTED_VALUE"""),1501.75)</f>
        <v/>
      </c>
      <c r="AH2936" s="6">
        <f>AI2936&amp;AJ2936</f>
        <v/>
      </c>
      <c r="AI2936" s="6">
        <f>YEAR(AK2936)</f>
        <v/>
      </c>
      <c r="AJ2936" s="6">
        <f>MONTH(AK2936)</f>
        <v/>
      </c>
      <c r="AK2936" s="267">
        <f>IFERROR(__xludf.DUMMYFUNCTION("""COMPUTED_VALUE"""),46031.9986111111)</f>
        <v/>
      </c>
      <c r="AL2936" s="6">
        <f>IFERROR(__xludf.DUMMYFUNCTION("""COMPUTED_VALUE"""),90943.1)</f>
        <v/>
      </c>
      <c r="AP2936" s="6">
        <f>AQ2936&amp;AR2936</f>
        <v/>
      </c>
      <c r="AQ2936" s="6">
        <f>YEAR(AS2936)</f>
        <v/>
      </c>
      <c r="AR2936" s="6">
        <f>MONTH(AS2936)</f>
        <v/>
      </c>
    </row>
    <row r="2937">
      <c r="B2937" s="6">
        <f>C2937&amp;D2937</f>
        <v/>
      </c>
      <c r="C2937" s="6">
        <f>YEAR(E2937)</f>
        <v/>
      </c>
      <c r="D2937" s="6">
        <f>MONTH(E2937)</f>
        <v/>
      </c>
      <c r="J2937" s="6">
        <f>K2937&amp;L2937</f>
        <v/>
      </c>
      <c r="K2937" s="6">
        <f>YEAR(M2937)</f>
        <v/>
      </c>
      <c r="L2937" s="6">
        <f>MONTH(M2937)</f>
        <v/>
      </c>
      <c r="R2937" s="6">
        <f>S2937&amp;T2937</f>
        <v/>
      </c>
      <c r="S2937" s="6">
        <f>YEAR(U2937)</f>
        <v/>
      </c>
      <c r="T2937" s="6">
        <f>MONTH(U2937)</f>
        <v/>
      </c>
      <c r="Z2937" s="6">
        <f>AA2937&amp;AB2937</f>
        <v/>
      </c>
      <c r="AA2937" s="6">
        <f>YEAR(AC2937)</f>
        <v/>
      </c>
      <c r="AB2937" s="6">
        <f>MONTH(AC2937)</f>
        <v/>
      </c>
      <c r="AC2937" s="267">
        <f>IFERROR(__xludf.DUMMYFUNCTION("""COMPUTED_VALUE"""),46097.9986111111)</f>
        <v/>
      </c>
      <c r="AD2937" s="6">
        <f>IFERROR(__xludf.DUMMYFUNCTION("""COMPUTED_VALUE"""),1488.91)</f>
        <v/>
      </c>
      <c r="AH2937" s="6">
        <f>AI2937&amp;AJ2937</f>
        <v/>
      </c>
      <c r="AI2937" s="6">
        <f>YEAR(AK2937)</f>
        <v/>
      </c>
      <c r="AJ2937" s="6">
        <f>MONTH(AK2937)</f>
        <v/>
      </c>
      <c r="AK2937" s="267">
        <f>IFERROR(__xludf.DUMMYFUNCTION("""COMPUTED_VALUE"""),46032.9986111111)</f>
        <v/>
      </c>
      <c r="AL2937" s="6">
        <f>IFERROR(__xludf.DUMMYFUNCTION("""COMPUTED_VALUE"""),90363.65)</f>
        <v/>
      </c>
      <c r="AP2937" s="6">
        <f>AQ2937&amp;AR2937</f>
        <v/>
      </c>
      <c r="AQ2937" s="6">
        <f>YEAR(AS2937)</f>
        <v/>
      </c>
      <c r="AR2937" s="6">
        <f>MONTH(AS2937)</f>
        <v/>
      </c>
    </row>
    <row r="2938">
      <c r="B2938" s="6">
        <f>C2938&amp;D2938</f>
        <v/>
      </c>
      <c r="C2938" s="6">
        <f>YEAR(E2938)</f>
        <v/>
      </c>
      <c r="D2938" s="6">
        <f>MONTH(E2938)</f>
        <v/>
      </c>
      <c r="J2938" s="6">
        <f>K2938&amp;L2938</f>
        <v/>
      </c>
      <c r="K2938" s="6">
        <f>YEAR(M2938)</f>
        <v/>
      </c>
      <c r="L2938" s="6">
        <f>MONTH(M2938)</f>
        <v/>
      </c>
      <c r="R2938" s="6">
        <f>S2938&amp;T2938</f>
        <v/>
      </c>
      <c r="S2938" s="6">
        <f>YEAR(U2938)</f>
        <v/>
      </c>
      <c r="T2938" s="6">
        <f>MONTH(U2938)</f>
        <v/>
      </c>
      <c r="Z2938" s="6">
        <f>AA2938&amp;AB2938</f>
        <v/>
      </c>
      <c r="AA2938" s="6">
        <f>YEAR(AC2938)</f>
        <v/>
      </c>
      <c r="AB2938" s="6">
        <f>MONTH(AC2938)</f>
        <v/>
      </c>
      <c r="AC2938" s="267">
        <f>IFERROR(__xludf.DUMMYFUNCTION("""COMPUTED_VALUE"""),46098.9986111111)</f>
        <v/>
      </c>
      <c r="AD2938" s="6">
        <f>IFERROR(__xludf.DUMMYFUNCTION("""COMPUTED_VALUE"""),1484.87)</f>
        <v/>
      </c>
      <c r="AH2938" s="6">
        <f>AI2938&amp;AJ2938</f>
        <v/>
      </c>
      <c r="AI2938" s="6">
        <f>YEAR(AK2938)</f>
        <v/>
      </c>
      <c r="AJ2938" s="6">
        <f>MONTH(AK2938)</f>
        <v/>
      </c>
      <c r="AK2938" s="267">
        <f>IFERROR(__xludf.DUMMYFUNCTION("""COMPUTED_VALUE"""),46033.9986111111)</f>
        <v/>
      </c>
      <c r="AL2938" s="6">
        <f>IFERROR(__xludf.DUMMYFUNCTION("""COMPUTED_VALUE"""),90709.49)</f>
        <v/>
      </c>
      <c r="AP2938" s="6">
        <f>AQ2938&amp;AR2938</f>
        <v/>
      </c>
      <c r="AQ2938" s="6">
        <f>YEAR(AS2938)</f>
        <v/>
      </c>
      <c r="AR2938" s="6">
        <f>MONTH(AS2938)</f>
        <v/>
      </c>
    </row>
    <row r="2939">
      <c r="B2939" s="6">
        <f>C2939&amp;D2939</f>
        <v/>
      </c>
      <c r="C2939" s="6">
        <f>YEAR(E2939)</f>
        <v/>
      </c>
      <c r="D2939" s="6">
        <f>MONTH(E2939)</f>
        <v/>
      </c>
      <c r="J2939" s="6">
        <f>K2939&amp;L2939</f>
        <v/>
      </c>
      <c r="K2939" s="6">
        <f>YEAR(M2939)</f>
        <v/>
      </c>
      <c r="L2939" s="6">
        <f>MONTH(M2939)</f>
        <v/>
      </c>
      <c r="R2939" s="6">
        <f>S2939&amp;T2939</f>
        <v/>
      </c>
      <c r="S2939" s="6">
        <f>YEAR(U2939)</f>
        <v/>
      </c>
      <c r="T2939" s="6">
        <f>MONTH(U2939)</f>
        <v/>
      </c>
      <c r="Z2939" s="6">
        <f>AA2939&amp;AB2939</f>
        <v/>
      </c>
      <c r="AA2939" s="6">
        <f>YEAR(AC2939)</f>
        <v/>
      </c>
      <c r="AB2939" s="6">
        <f>MONTH(AC2939)</f>
        <v/>
      </c>
      <c r="AC2939" s="267">
        <f>IFERROR(__xludf.DUMMYFUNCTION("""COMPUTED_VALUE"""),46099.9986111111)</f>
        <v/>
      </c>
      <c r="AD2939" s="6">
        <f>IFERROR(__xludf.DUMMYFUNCTION("""COMPUTED_VALUE"""),1505.25)</f>
        <v/>
      </c>
      <c r="AH2939" s="6">
        <f>AI2939&amp;AJ2939</f>
        <v/>
      </c>
      <c r="AI2939" s="6">
        <f>YEAR(AK2939)</f>
        <v/>
      </c>
      <c r="AJ2939" s="6">
        <f>MONTH(AK2939)</f>
        <v/>
      </c>
      <c r="AK2939" s="267">
        <f>IFERROR(__xludf.DUMMYFUNCTION("""COMPUTED_VALUE"""),46034.9986111111)</f>
        <v/>
      </c>
      <c r="AL2939" s="6">
        <f>IFERROR(__xludf.DUMMYFUNCTION("""COMPUTED_VALUE"""),92059.3)</f>
        <v/>
      </c>
      <c r="AP2939" s="6">
        <f>AQ2939&amp;AR2939</f>
        <v/>
      </c>
      <c r="AQ2939" s="6">
        <f>YEAR(AS2939)</f>
        <v/>
      </c>
      <c r="AR2939" s="6">
        <f>MONTH(AS2939)</f>
        <v/>
      </c>
    </row>
    <row r="2940">
      <c r="B2940" s="6">
        <f>C2940&amp;D2940</f>
        <v/>
      </c>
      <c r="C2940" s="6">
        <f>YEAR(E2940)</f>
        <v/>
      </c>
      <c r="D2940" s="6">
        <f>MONTH(E2940)</f>
        <v/>
      </c>
      <c r="J2940" s="6">
        <f>K2940&amp;L2940</f>
        <v/>
      </c>
      <c r="K2940" s="6">
        <f>YEAR(M2940)</f>
        <v/>
      </c>
      <c r="L2940" s="6">
        <f>MONTH(M2940)</f>
        <v/>
      </c>
      <c r="R2940" s="6">
        <f>S2940&amp;T2940</f>
        <v/>
      </c>
      <c r="S2940" s="6">
        <f>YEAR(U2940)</f>
        <v/>
      </c>
      <c r="T2940" s="6">
        <f>MONTH(U2940)</f>
        <v/>
      </c>
      <c r="Z2940" s="6">
        <f>AA2940&amp;AB2940</f>
        <v/>
      </c>
      <c r="AA2940" s="6">
        <f>YEAR(AC2940)</f>
        <v/>
      </c>
      <c r="AB2940" s="6">
        <f>MONTH(AC2940)</f>
        <v/>
      </c>
      <c r="AC2940" s="267">
        <f>IFERROR(__xludf.DUMMYFUNCTION("""COMPUTED_VALUE"""),46100.9986111111)</f>
        <v/>
      </c>
      <c r="AD2940" s="6">
        <f>IFERROR(__xludf.DUMMYFUNCTION("""COMPUTED_VALUE"""),1489.84)</f>
        <v/>
      </c>
      <c r="AH2940" s="6">
        <f>AI2940&amp;AJ2940</f>
        <v/>
      </c>
      <c r="AI2940" s="6">
        <f>YEAR(AK2940)</f>
        <v/>
      </c>
      <c r="AJ2940" s="6">
        <f>MONTH(AK2940)</f>
        <v/>
      </c>
      <c r="AK2940" s="267">
        <f>IFERROR(__xludf.DUMMYFUNCTION("""COMPUTED_VALUE"""),46035.9986111111)</f>
        <v/>
      </c>
      <c r="AL2940" s="6">
        <f>IFERROR(__xludf.DUMMYFUNCTION("""COMPUTED_VALUE"""),91418.2)</f>
        <v/>
      </c>
      <c r="AP2940" s="6">
        <f>AQ2940&amp;AR2940</f>
        <v/>
      </c>
      <c r="AQ2940" s="6">
        <f>YEAR(AS2940)</f>
        <v/>
      </c>
      <c r="AR2940" s="6">
        <f>MONTH(AS2940)</f>
        <v/>
      </c>
    </row>
    <row r="2941">
      <c r="B2941" s="6">
        <f>C2941&amp;D2941</f>
        <v/>
      </c>
      <c r="C2941" s="6">
        <f>YEAR(E2941)</f>
        <v/>
      </c>
      <c r="D2941" s="6">
        <f>MONTH(E2941)</f>
        <v/>
      </c>
      <c r="J2941" s="6">
        <f>K2941&amp;L2941</f>
        <v/>
      </c>
      <c r="K2941" s="6">
        <f>YEAR(M2941)</f>
        <v/>
      </c>
      <c r="L2941" s="6">
        <f>MONTH(M2941)</f>
        <v/>
      </c>
      <c r="R2941" s="6">
        <f>S2941&amp;T2941</f>
        <v/>
      </c>
      <c r="S2941" s="6">
        <f>YEAR(U2941)</f>
        <v/>
      </c>
      <c r="T2941" s="6">
        <f>MONTH(U2941)</f>
        <v/>
      </c>
      <c r="Z2941" s="6">
        <f>AA2941&amp;AB2941</f>
        <v/>
      </c>
      <c r="AA2941" s="6">
        <f>YEAR(AC2941)</f>
        <v/>
      </c>
      <c r="AB2941" s="6">
        <f>MONTH(AC2941)</f>
        <v/>
      </c>
      <c r="AC2941" s="267">
        <f>IFERROR(__xludf.DUMMYFUNCTION("""COMPUTED_VALUE"""),46101.9986111111)</f>
        <v/>
      </c>
      <c r="AD2941" s="6">
        <f>IFERROR(__xludf.DUMMYFUNCTION("""COMPUTED_VALUE"""),1504.31)</f>
        <v/>
      </c>
      <c r="AH2941" s="6">
        <f>AI2941&amp;AJ2941</f>
        <v/>
      </c>
      <c r="AI2941" s="6">
        <f>YEAR(AK2941)</f>
        <v/>
      </c>
      <c r="AJ2941" s="6">
        <f>MONTH(AK2941)</f>
        <v/>
      </c>
      <c r="AK2941" s="267">
        <f>IFERROR(__xludf.DUMMYFUNCTION("""COMPUTED_VALUE"""),46036.9986111111)</f>
        <v/>
      </c>
      <c r="AL2941" s="6">
        <f>IFERROR(__xludf.DUMMYFUNCTION("""COMPUTED_VALUE"""),95200.37)</f>
        <v/>
      </c>
      <c r="AP2941" s="6">
        <f>AQ2941&amp;AR2941</f>
        <v/>
      </c>
      <c r="AQ2941" s="6">
        <f>YEAR(AS2941)</f>
        <v/>
      </c>
      <c r="AR2941" s="6">
        <f>MONTH(AS2941)</f>
        <v/>
      </c>
    </row>
    <row r="2942">
      <c r="B2942" s="6">
        <f>C2942&amp;D2942</f>
        <v/>
      </c>
      <c r="C2942" s="6">
        <f>YEAR(E2942)</f>
        <v/>
      </c>
      <c r="D2942" s="6">
        <f>MONTH(E2942)</f>
        <v/>
      </c>
      <c r="J2942" s="6">
        <f>K2942&amp;L2942</f>
        <v/>
      </c>
      <c r="K2942" s="6">
        <f>YEAR(M2942)</f>
        <v/>
      </c>
      <c r="L2942" s="6">
        <f>MONTH(M2942)</f>
        <v/>
      </c>
      <c r="R2942" s="6">
        <f>S2942&amp;T2942</f>
        <v/>
      </c>
      <c r="S2942" s="6">
        <f>YEAR(U2942)</f>
        <v/>
      </c>
      <c r="T2942" s="6">
        <f>MONTH(U2942)</f>
        <v/>
      </c>
      <c r="Z2942" s="6">
        <f>AA2942&amp;AB2942</f>
        <v/>
      </c>
      <c r="AA2942" s="6">
        <f>YEAR(AC2942)</f>
        <v/>
      </c>
      <c r="AB2942" s="6">
        <f>MONTH(AC2942)</f>
        <v/>
      </c>
      <c r="AC2942" s="267">
        <f>IFERROR(__xludf.DUMMYFUNCTION("""COMPUTED_VALUE"""),46102.9986111111)</f>
        <v/>
      </c>
      <c r="AD2942" s="6">
        <f>IFERROR(__xludf.DUMMYFUNCTION("""COMPUTED_VALUE"""),1504.21)</f>
        <v/>
      </c>
      <c r="AH2942" s="6">
        <f>AI2942&amp;AJ2942</f>
        <v/>
      </c>
      <c r="AI2942" s="6">
        <f>YEAR(AK2942)</f>
        <v/>
      </c>
      <c r="AJ2942" s="6">
        <f>MONTH(AK2942)</f>
        <v/>
      </c>
      <c r="AK2942" s="267">
        <f>IFERROR(__xludf.DUMMYFUNCTION("""COMPUTED_VALUE"""),46037.9986111111)</f>
        <v/>
      </c>
      <c r="AL2942" s="6">
        <f>IFERROR(__xludf.DUMMYFUNCTION("""COMPUTED_VALUE"""),96151.22)</f>
        <v/>
      </c>
      <c r="AP2942" s="6">
        <f>AQ2942&amp;AR2942</f>
        <v/>
      </c>
      <c r="AQ2942" s="6">
        <f>YEAR(AS2942)</f>
        <v/>
      </c>
      <c r="AR2942" s="6">
        <f>MONTH(AS2942)</f>
        <v/>
      </c>
    </row>
    <row r="2943">
      <c r="B2943" s="6">
        <f>C2943&amp;D2943</f>
        <v/>
      </c>
      <c r="C2943" s="6">
        <f>YEAR(E2943)</f>
        <v/>
      </c>
      <c r="D2943" s="6">
        <f>MONTH(E2943)</f>
        <v/>
      </c>
      <c r="J2943" s="6">
        <f>K2943&amp;L2943</f>
        <v/>
      </c>
      <c r="K2943" s="6">
        <f>YEAR(M2943)</f>
        <v/>
      </c>
      <c r="L2943" s="6">
        <f>MONTH(M2943)</f>
        <v/>
      </c>
      <c r="R2943" s="6">
        <f>S2943&amp;T2943</f>
        <v/>
      </c>
      <c r="S2943" s="6">
        <f>YEAR(U2943)</f>
        <v/>
      </c>
      <c r="T2943" s="6">
        <f>MONTH(U2943)</f>
        <v/>
      </c>
      <c r="Z2943" s="6">
        <f>AA2943&amp;AB2943</f>
        <v/>
      </c>
      <c r="AA2943" s="6">
        <f>YEAR(AC2943)</f>
        <v/>
      </c>
      <c r="AB2943" s="6">
        <f>MONTH(AC2943)</f>
        <v/>
      </c>
      <c r="AC2943" s="267">
        <f>IFERROR(__xludf.DUMMYFUNCTION("""COMPUTED_VALUE"""),46103.9986111111)</f>
        <v/>
      </c>
      <c r="AD2943" s="6">
        <f>IFERROR(__xludf.DUMMYFUNCTION("""COMPUTED_VALUE"""),1504.21)</f>
        <v/>
      </c>
      <c r="AH2943" s="6">
        <f>AI2943&amp;AJ2943</f>
        <v/>
      </c>
      <c r="AI2943" s="6">
        <f>YEAR(AK2943)</f>
        <v/>
      </c>
      <c r="AJ2943" s="6">
        <f>MONTH(AK2943)</f>
        <v/>
      </c>
      <c r="AK2943" s="267">
        <f>IFERROR(__xludf.DUMMYFUNCTION("""COMPUTED_VALUE"""),46038.9986111111)</f>
        <v/>
      </c>
      <c r="AL2943" s="6">
        <f>IFERROR(__xludf.DUMMYFUNCTION("""COMPUTED_VALUE"""),95175.93)</f>
        <v/>
      </c>
      <c r="AP2943" s="6">
        <f>AQ2943&amp;AR2943</f>
        <v/>
      </c>
      <c r="AQ2943" s="6">
        <f>YEAR(AS2943)</f>
        <v/>
      </c>
      <c r="AR2943" s="6">
        <f>MONTH(AS2943)</f>
        <v/>
      </c>
    </row>
    <row r="2944">
      <c r="B2944" s="6">
        <f>C2944&amp;D2944</f>
        <v/>
      </c>
      <c r="C2944" s="6">
        <f>YEAR(E2944)</f>
        <v/>
      </c>
      <c r="D2944" s="6">
        <f>MONTH(E2944)</f>
        <v/>
      </c>
      <c r="J2944" s="6">
        <f>K2944&amp;L2944</f>
        <v/>
      </c>
      <c r="K2944" s="6">
        <f>YEAR(M2944)</f>
        <v/>
      </c>
      <c r="L2944" s="6">
        <f>MONTH(M2944)</f>
        <v/>
      </c>
      <c r="R2944" s="6">
        <f>S2944&amp;T2944</f>
        <v/>
      </c>
      <c r="S2944" s="6">
        <f>YEAR(U2944)</f>
        <v/>
      </c>
      <c r="T2944" s="6">
        <f>MONTH(U2944)</f>
        <v/>
      </c>
      <c r="Z2944" s="6">
        <f>AA2944&amp;AB2944</f>
        <v/>
      </c>
      <c r="AA2944" s="6">
        <f>YEAR(AC2944)</f>
        <v/>
      </c>
      <c r="AB2944" s="6">
        <f>MONTH(AC2944)</f>
        <v/>
      </c>
      <c r="AC2944" s="267">
        <f>IFERROR(__xludf.DUMMYFUNCTION("""COMPUTED_VALUE"""),46104.9986111111)</f>
        <v/>
      </c>
      <c r="AD2944" s="6">
        <f>IFERROR(__xludf.DUMMYFUNCTION("""COMPUTED_VALUE"""),1485.36)</f>
        <v/>
      </c>
      <c r="AH2944" s="6">
        <f>AI2944&amp;AJ2944</f>
        <v/>
      </c>
      <c r="AI2944" s="6">
        <f>YEAR(AK2944)</f>
        <v/>
      </c>
      <c r="AJ2944" s="6">
        <f>MONTH(AK2944)</f>
        <v/>
      </c>
      <c r="AK2944" s="267">
        <f>IFERROR(__xludf.DUMMYFUNCTION("""COMPUTED_VALUE"""),46039.9986111111)</f>
        <v/>
      </c>
      <c r="AL2944" s="6">
        <f>IFERROR(__xludf.DUMMYFUNCTION("""COMPUTED_VALUE"""),95310.19)</f>
        <v/>
      </c>
      <c r="AP2944" s="6">
        <f>AQ2944&amp;AR2944</f>
        <v/>
      </c>
      <c r="AQ2944" s="6">
        <f>YEAR(AS2944)</f>
        <v/>
      </c>
      <c r="AR2944" s="6">
        <f>MONTH(AS2944)</f>
        <v/>
      </c>
    </row>
    <row r="2945">
      <c r="B2945" s="6">
        <f>C2945&amp;D2945</f>
        <v/>
      </c>
      <c r="C2945" s="6">
        <f>YEAR(E2945)</f>
        <v/>
      </c>
      <c r="D2945" s="6">
        <f>MONTH(E2945)</f>
        <v/>
      </c>
      <c r="J2945" s="6">
        <f>K2945&amp;L2945</f>
        <v/>
      </c>
      <c r="K2945" s="6">
        <f>YEAR(M2945)</f>
        <v/>
      </c>
      <c r="L2945" s="6">
        <f>MONTH(M2945)</f>
        <v/>
      </c>
      <c r="R2945" s="6">
        <f>S2945&amp;T2945</f>
        <v/>
      </c>
      <c r="S2945" s="6">
        <f>YEAR(U2945)</f>
        <v/>
      </c>
      <c r="T2945" s="6">
        <f>MONTH(U2945)</f>
        <v/>
      </c>
      <c r="Z2945" s="6">
        <f>AA2945&amp;AB2945</f>
        <v/>
      </c>
      <c r="AA2945" s="6">
        <f>YEAR(AC2945)</f>
        <v/>
      </c>
      <c r="AB2945" s="6">
        <f>MONTH(AC2945)</f>
        <v/>
      </c>
      <c r="AC2945" s="267">
        <f>IFERROR(__xludf.DUMMYFUNCTION("""COMPUTED_VALUE"""),46105.9986111111)</f>
        <v/>
      </c>
      <c r="AD2945" s="6">
        <f>IFERROR(__xludf.DUMMYFUNCTION("""COMPUTED_VALUE"""),1497.31)</f>
        <v/>
      </c>
      <c r="AH2945" s="6">
        <f>AI2945&amp;AJ2945</f>
        <v/>
      </c>
      <c r="AI2945" s="6">
        <f>YEAR(AK2945)</f>
        <v/>
      </c>
      <c r="AJ2945" s="6">
        <f>MONTH(AK2945)</f>
        <v/>
      </c>
      <c r="AK2945" s="267">
        <f>IFERROR(__xludf.DUMMYFUNCTION("""COMPUTED_VALUE"""),46040.9986111111)</f>
        <v/>
      </c>
      <c r="AL2945" s="6">
        <f>IFERROR(__xludf.DUMMYFUNCTION("""COMPUTED_VALUE"""),95063.91)</f>
        <v/>
      </c>
      <c r="AP2945" s="6">
        <f>AQ2945&amp;AR2945</f>
        <v/>
      </c>
      <c r="AQ2945" s="6">
        <f>YEAR(AS2945)</f>
        <v/>
      </c>
      <c r="AR2945" s="6">
        <f>MONTH(AS2945)</f>
        <v/>
      </c>
    </row>
    <row r="2946">
      <c r="B2946" s="6">
        <f>C2946&amp;D2946</f>
        <v/>
      </c>
      <c r="C2946" s="6">
        <f>YEAR(E2946)</f>
        <v/>
      </c>
      <c r="D2946" s="6">
        <f>MONTH(E2946)</f>
        <v/>
      </c>
      <c r="J2946" s="6">
        <f>K2946&amp;L2946</f>
        <v/>
      </c>
      <c r="K2946" s="6">
        <f>YEAR(M2946)</f>
        <v/>
      </c>
      <c r="L2946" s="6">
        <f>MONTH(M2946)</f>
        <v/>
      </c>
      <c r="R2946" s="6">
        <f>S2946&amp;T2946</f>
        <v/>
      </c>
      <c r="S2946" s="6">
        <f>YEAR(U2946)</f>
        <v/>
      </c>
      <c r="T2946" s="6">
        <f>MONTH(U2946)</f>
        <v/>
      </c>
      <c r="Z2946" s="6">
        <f>AA2946&amp;AB2946</f>
        <v/>
      </c>
      <c r="AA2946" s="6">
        <f>YEAR(AC2946)</f>
        <v/>
      </c>
      <c r="AB2946" s="6">
        <f>MONTH(AC2946)</f>
        <v/>
      </c>
      <c r="AC2946" s="267">
        <f>IFERROR(__xludf.DUMMYFUNCTION("""COMPUTED_VALUE"""),46106.9986111111)</f>
        <v/>
      </c>
      <c r="AD2946" s="6">
        <f>IFERROR(__xludf.DUMMYFUNCTION("""COMPUTED_VALUE"""),1500.97)</f>
        <v/>
      </c>
      <c r="AH2946" s="6">
        <f>AI2946&amp;AJ2946</f>
        <v/>
      </c>
      <c r="AI2946" s="6">
        <f>YEAR(AK2946)</f>
        <v/>
      </c>
      <c r="AJ2946" s="6">
        <f>MONTH(AK2946)</f>
        <v/>
      </c>
      <c r="AK2946" s="267">
        <f>IFERROR(__xludf.DUMMYFUNCTION("""COMPUTED_VALUE"""),46041.9986111111)</f>
        <v/>
      </c>
      <c r="AL2946" s="6">
        <f>IFERROR(__xludf.DUMMYFUNCTION("""COMPUTED_VALUE"""),92683)</f>
        <v/>
      </c>
      <c r="AP2946" s="6">
        <f>AQ2946&amp;AR2946</f>
        <v/>
      </c>
      <c r="AQ2946" s="6">
        <f>YEAR(AS2946)</f>
        <v/>
      </c>
      <c r="AR2946" s="6">
        <f>MONTH(AS2946)</f>
        <v/>
      </c>
    </row>
    <row r="2947">
      <c r="B2947" s="6">
        <f>C2947&amp;D2947</f>
        <v/>
      </c>
      <c r="C2947" s="6">
        <f>YEAR(E2947)</f>
        <v/>
      </c>
      <c r="D2947" s="6">
        <f>MONTH(E2947)</f>
        <v/>
      </c>
      <c r="J2947" s="6">
        <f>K2947&amp;L2947</f>
        <v/>
      </c>
      <c r="K2947" s="6">
        <f>YEAR(M2947)</f>
        <v/>
      </c>
      <c r="L2947" s="6">
        <f>MONTH(M2947)</f>
        <v/>
      </c>
      <c r="R2947" s="6">
        <f>S2947&amp;T2947</f>
        <v/>
      </c>
      <c r="S2947" s="6">
        <f>YEAR(U2947)</f>
        <v/>
      </c>
      <c r="T2947" s="6">
        <f>MONTH(U2947)</f>
        <v/>
      </c>
      <c r="Z2947" s="6">
        <f>AA2947&amp;AB2947</f>
        <v/>
      </c>
      <c r="AA2947" s="6">
        <f>YEAR(AC2947)</f>
        <v/>
      </c>
      <c r="AB2947" s="6">
        <f>MONTH(AC2947)</f>
        <v/>
      </c>
      <c r="AC2947" s="267">
        <f>IFERROR(__xludf.DUMMYFUNCTION("""COMPUTED_VALUE"""),46107.9986111111)</f>
        <v/>
      </c>
      <c r="AD2947" s="6">
        <f>IFERROR(__xludf.DUMMYFUNCTION("""COMPUTED_VALUE"""),1508.36)</f>
        <v/>
      </c>
      <c r="AH2947" s="6">
        <f>AI2947&amp;AJ2947</f>
        <v/>
      </c>
      <c r="AI2947" s="6">
        <f>YEAR(AK2947)</f>
        <v/>
      </c>
      <c r="AJ2947" s="6">
        <f>MONTH(AK2947)</f>
        <v/>
      </c>
      <c r="AK2947" s="267">
        <f>IFERROR(__xludf.DUMMYFUNCTION("""COMPUTED_VALUE"""),46042.9986111111)</f>
        <v/>
      </c>
      <c r="AL2947" s="6">
        <f>IFERROR(__xludf.DUMMYFUNCTION("""COMPUTED_VALUE"""),92019.8)</f>
        <v/>
      </c>
      <c r="AP2947" s="6">
        <f>AQ2947&amp;AR2947</f>
        <v/>
      </c>
      <c r="AQ2947" s="6">
        <f>YEAR(AS2947)</f>
        <v/>
      </c>
      <c r="AR2947" s="6">
        <f>MONTH(AS2947)</f>
        <v/>
      </c>
    </row>
    <row r="2948">
      <c r="B2948" s="6">
        <f>C2948&amp;D2948</f>
        <v/>
      </c>
      <c r="C2948" s="6">
        <f>YEAR(E2948)</f>
        <v/>
      </c>
      <c r="D2948" s="6">
        <f>MONTH(E2948)</f>
        <v/>
      </c>
      <c r="J2948" s="6">
        <f>K2948&amp;L2948</f>
        <v/>
      </c>
      <c r="K2948" s="6">
        <f>YEAR(M2948)</f>
        <v/>
      </c>
      <c r="L2948" s="6">
        <f>MONTH(M2948)</f>
        <v/>
      </c>
      <c r="R2948" s="6">
        <f>S2948&amp;T2948</f>
        <v/>
      </c>
      <c r="S2948" s="6">
        <f>YEAR(U2948)</f>
        <v/>
      </c>
      <c r="T2948" s="6">
        <f>MONTH(U2948)</f>
        <v/>
      </c>
      <c r="Z2948" s="6">
        <f>AA2948&amp;AB2948</f>
        <v/>
      </c>
      <c r="AA2948" s="6">
        <f>YEAR(AC2948)</f>
        <v/>
      </c>
      <c r="AB2948" s="6">
        <f>MONTH(AC2948)</f>
        <v/>
      </c>
      <c r="AC2948" s="267">
        <f>IFERROR(__xludf.DUMMYFUNCTION("""COMPUTED_VALUE"""),46108.9986111111)</f>
        <v/>
      </c>
      <c r="AD2948" s="6">
        <f>IFERROR(__xludf.DUMMYFUNCTION("""COMPUTED_VALUE"""),1507)</f>
        <v/>
      </c>
      <c r="AH2948" s="6">
        <f>AI2948&amp;AJ2948</f>
        <v/>
      </c>
      <c r="AI2948" s="6">
        <f>YEAR(AK2948)</f>
        <v/>
      </c>
      <c r="AJ2948" s="6">
        <f>MONTH(AK2948)</f>
        <v/>
      </c>
      <c r="AK2948" s="267">
        <f>IFERROR(__xludf.DUMMYFUNCTION("""COMPUTED_VALUE"""),46043.9986111111)</f>
        <v/>
      </c>
      <c r="AL2948" s="6">
        <f>IFERROR(__xludf.DUMMYFUNCTION("""COMPUTED_VALUE"""),89371.68)</f>
        <v/>
      </c>
      <c r="AP2948" s="6">
        <f>AQ2948&amp;AR2948</f>
        <v/>
      </c>
      <c r="AQ2948" s="6">
        <f>YEAR(AS2948)</f>
        <v/>
      </c>
      <c r="AR2948" s="6">
        <f>MONTH(AS2948)</f>
        <v/>
      </c>
    </row>
    <row r="2949">
      <c r="B2949" s="6">
        <f>C2949&amp;D2949</f>
        <v/>
      </c>
      <c r="C2949" s="6">
        <f>YEAR(E2949)</f>
        <v/>
      </c>
      <c r="D2949" s="6">
        <f>MONTH(E2949)</f>
        <v/>
      </c>
      <c r="J2949" s="6">
        <f>K2949&amp;L2949</f>
        <v/>
      </c>
      <c r="K2949" s="6">
        <f>YEAR(M2949)</f>
        <v/>
      </c>
      <c r="L2949" s="6">
        <f>MONTH(M2949)</f>
        <v/>
      </c>
      <c r="R2949" s="6">
        <f>S2949&amp;T2949</f>
        <v/>
      </c>
      <c r="S2949" s="6">
        <f>YEAR(U2949)</f>
        <v/>
      </c>
      <c r="T2949" s="6">
        <f>MONTH(U2949)</f>
        <v/>
      </c>
      <c r="Z2949" s="6">
        <f>AA2949&amp;AB2949</f>
        <v/>
      </c>
      <c r="AA2949" s="6">
        <f>YEAR(AC2949)</f>
        <v/>
      </c>
      <c r="AB2949" s="6">
        <f>MONTH(AC2949)</f>
        <v/>
      </c>
      <c r="AC2949" s="267">
        <f>IFERROR(__xludf.DUMMYFUNCTION("""COMPUTED_VALUE"""),46109.9986111111)</f>
        <v/>
      </c>
      <c r="AD2949" s="6">
        <f>IFERROR(__xludf.DUMMYFUNCTION("""COMPUTED_VALUE"""),1506.41)</f>
        <v/>
      </c>
      <c r="AH2949" s="6">
        <f>AI2949&amp;AJ2949</f>
        <v/>
      </c>
      <c r="AI2949" s="6">
        <f>YEAR(AK2949)</f>
        <v/>
      </c>
      <c r="AJ2949" s="6">
        <f>MONTH(AK2949)</f>
        <v/>
      </c>
      <c r="AK2949" s="267">
        <f>IFERROR(__xludf.DUMMYFUNCTION("""COMPUTED_VALUE"""),46044.9986111111)</f>
        <v/>
      </c>
      <c r="AL2949" s="6">
        <f>IFERROR(__xludf.DUMMYFUNCTION("""COMPUTED_VALUE"""),89965.64)</f>
        <v/>
      </c>
      <c r="AP2949" s="6">
        <f>AQ2949&amp;AR2949</f>
        <v/>
      </c>
      <c r="AQ2949" s="6">
        <f>YEAR(AS2949)</f>
        <v/>
      </c>
      <c r="AR2949" s="6">
        <f>MONTH(AS2949)</f>
        <v/>
      </c>
    </row>
    <row r="2950">
      <c r="B2950" s="6">
        <f>C2950&amp;D2950</f>
        <v/>
      </c>
      <c r="C2950" s="6">
        <f>YEAR(E2950)</f>
        <v/>
      </c>
      <c r="D2950" s="6">
        <f>MONTH(E2950)</f>
        <v/>
      </c>
      <c r="J2950" s="6">
        <f>K2950&amp;L2950</f>
        <v/>
      </c>
      <c r="K2950" s="6">
        <f>YEAR(M2950)</f>
        <v/>
      </c>
      <c r="L2950" s="6">
        <f>MONTH(M2950)</f>
        <v/>
      </c>
      <c r="R2950" s="6">
        <f>S2950&amp;T2950</f>
        <v/>
      </c>
      <c r="S2950" s="6">
        <f>YEAR(U2950)</f>
        <v/>
      </c>
      <c r="T2950" s="6">
        <f>MONTH(U2950)</f>
        <v/>
      </c>
      <c r="Z2950" s="6">
        <f>AA2950&amp;AB2950</f>
        <v/>
      </c>
      <c r="AA2950" s="6">
        <f>YEAR(AC2950)</f>
        <v/>
      </c>
      <c r="AB2950" s="6">
        <f>MONTH(AC2950)</f>
        <v/>
      </c>
      <c r="AC2950" s="267">
        <f>IFERROR(__xludf.DUMMYFUNCTION("""COMPUTED_VALUE"""),46110.9986111111)</f>
        <v/>
      </c>
      <c r="AD2950" s="6">
        <f>IFERROR(__xludf.DUMMYFUNCTION("""COMPUTED_VALUE"""),1507.02)</f>
        <v/>
      </c>
      <c r="AH2950" s="6">
        <f>AI2950&amp;AJ2950</f>
        <v/>
      </c>
      <c r="AI2950" s="6">
        <f>YEAR(AK2950)</f>
        <v/>
      </c>
      <c r="AJ2950" s="6">
        <f>MONTH(AK2950)</f>
        <v/>
      </c>
      <c r="AK2950" s="267">
        <f>IFERROR(__xludf.DUMMYFUNCTION("""COMPUTED_VALUE"""),46045.9986111111)</f>
        <v/>
      </c>
      <c r="AL2950" s="6">
        <f>IFERROR(__xludf.DUMMYFUNCTION("""COMPUTED_VALUE"""),89911.09)</f>
        <v/>
      </c>
      <c r="AP2950" s="6">
        <f>AQ2950&amp;AR2950</f>
        <v/>
      </c>
      <c r="AQ2950" s="6">
        <f>YEAR(AS2950)</f>
        <v/>
      </c>
      <c r="AR2950" s="6">
        <f>MONTH(AS2950)</f>
        <v/>
      </c>
    </row>
    <row r="2951">
      <c r="B2951" s="6">
        <f>C2951&amp;D2951</f>
        <v/>
      </c>
      <c r="C2951" s="6">
        <f>YEAR(E2951)</f>
        <v/>
      </c>
      <c r="D2951" s="6">
        <f>MONTH(E2951)</f>
        <v/>
      </c>
      <c r="J2951" s="6">
        <f>K2951&amp;L2951</f>
        <v/>
      </c>
      <c r="K2951" s="6">
        <f>YEAR(M2951)</f>
        <v/>
      </c>
      <c r="L2951" s="6">
        <f>MONTH(M2951)</f>
        <v/>
      </c>
      <c r="R2951" s="6">
        <f>S2951&amp;T2951</f>
        <v/>
      </c>
      <c r="S2951" s="6">
        <f>YEAR(U2951)</f>
        <v/>
      </c>
      <c r="T2951" s="6">
        <f>MONTH(U2951)</f>
        <v/>
      </c>
      <c r="Z2951" s="6">
        <f>AA2951&amp;AB2951</f>
        <v/>
      </c>
      <c r="AA2951" s="6">
        <f>YEAR(AC2951)</f>
        <v/>
      </c>
      <c r="AB2951" s="6">
        <f>MONTH(AC2951)</f>
        <v/>
      </c>
      <c r="AC2951" s="267">
        <f>IFERROR(__xludf.DUMMYFUNCTION("""COMPUTED_VALUE"""),46111.9986111111)</f>
        <v/>
      </c>
      <c r="AD2951" s="6">
        <f>IFERROR(__xludf.DUMMYFUNCTION("""COMPUTED_VALUE"""),1516.13)</f>
        <v/>
      </c>
      <c r="AH2951" s="6">
        <f>AI2951&amp;AJ2951</f>
        <v/>
      </c>
      <c r="AI2951" s="6">
        <f>YEAR(AK2951)</f>
        <v/>
      </c>
      <c r="AJ2951" s="6">
        <f>MONTH(AK2951)</f>
        <v/>
      </c>
      <c r="AK2951" s="267">
        <f>IFERROR(__xludf.DUMMYFUNCTION("""COMPUTED_VALUE"""),46046.9986111111)</f>
        <v/>
      </c>
      <c r="AL2951" s="6">
        <f>IFERROR(__xludf.DUMMYFUNCTION("""COMPUTED_VALUE"""),89764.01)</f>
        <v/>
      </c>
      <c r="AP2951" s="6">
        <f>AQ2951&amp;AR2951</f>
        <v/>
      </c>
      <c r="AQ2951" s="6">
        <f>YEAR(AS2951)</f>
        <v/>
      </c>
      <c r="AR2951" s="6">
        <f>MONTH(AS2951)</f>
        <v/>
      </c>
    </row>
    <row r="2952">
      <c r="B2952" s="6">
        <f>C2952&amp;D2952</f>
        <v/>
      </c>
      <c r="C2952" s="6">
        <f>YEAR(E2952)</f>
        <v/>
      </c>
      <c r="D2952" s="6">
        <f>MONTH(E2952)</f>
        <v/>
      </c>
      <c r="J2952" s="6">
        <f>K2952&amp;L2952</f>
        <v/>
      </c>
      <c r="K2952" s="6">
        <f>YEAR(M2952)</f>
        <v/>
      </c>
      <c r="L2952" s="6">
        <f>MONTH(M2952)</f>
        <v/>
      </c>
      <c r="R2952" s="6">
        <f>S2952&amp;T2952</f>
        <v/>
      </c>
      <c r="S2952" s="6">
        <f>YEAR(U2952)</f>
        <v/>
      </c>
      <c r="T2952" s="6">
        <f>MONTH(U2952)</f>
        <v/>
      </c>
      <c r="Z2952" s="6">
        <f>AA2952&amp;AB2952</f>
        <v/>
      </c>
      <c r="AA2952" s="6">
        <f>YEAR(AC2952)</f>
        <v/>
      </c>
      <c r="AB2952" s="6">
        <f>MONTH(AC2952)</f>
        <v/>
      </c>
      <c r="AC2952" s="267">
        <f>IFERROR(__xludf.DUMMYFUNCTION("""COMPUTED_VALUE"""),46112.9986111111)</f>
        <v/>
      </c>
      <c r="AD2952" s="6">
        <f>IFERROR(__xludf.DUMMYFUNCTION("""COMPUTED_VALUE"""),1503.33)</f>
        <v/>
      </c>
      <c r="AH2952" s="6">
        <f>AI2952&amp;AJ2952</f>
        <v/>
      </c>
      <c r="AI2952" s="6">
        <f>YEAR(AK2952)</f>
        <v/>
      </c>
      <c r="AJ2952" s="6">
        <f>MONTH(AK2952)</f>
        <v/>
      </c>
      <c r="AK2952" s="267">
        <f>IFERROR(__xludf.DUMMYFUNCTION("""COMPUTED_VALUE"""),46047.9986111111)</f>
        <v/>
      </c>
      <c r="AL2952" s="6">
        <f>IFERROR(__xludf.DUMMYFUNCTION("""COMPUTED_VALUE"""),88937.02)</f>
        <v/>
      </c>
      <c r="AP2952" s="6">
        <f>AQ2952&amp;AR2952</f>
        <v/>
      </c>
      <c r="AQ2952" s="6">
        <f>YEAR(AS2952)</f>
        <v/>
      </c>
      <c r="AR2952" s="6">
        <f>MONTH(AS2952)</f>
        <v/>
      </c>
    </row>
    <row r="2953">
      <c r="B2953" s="6">
        <f>C2953&amp;D2953</f>
        <v/>
      </c>
      <c r="C2953" s="6">
        <f>YEAR(E2953)</f>
        <v/>
      </c>
      <c r="D2953" s="6">
        <f>MONTH(E2953)</f>
        <v/>
      </c>
      <c r="J2953" s="6">
        <f>K2953&amp;L2953</f>
        <v/>
      </c>
      <c r="K2953" s="6">
        <f>YEAR(M2953)</f>
        <v/>
      </c>
      <c r="L2953" s="6">
        <f>MONTH(M2953)</f>
        <v/>
      </c>
      <c r="R2953" s="6">
        <f>S2953&amp;T2953</f>
        <v/>
      </c>
      <c r="S2953" s="6">
        <f>YEAR(U2953)</f>
        <v/>
      </c>
      <c r="T2953" s="6">
        <f>MONTH(U2953)</f>
        <v/>
      </c>
      <c r="Z2953" s="6">
        <f>AA2953&amp;AB2953</f>
        <v/>
      </c>
      <c r="AA2953" s="6">
        <f>YEAR(AC2953)</f>
        <v/>
      </c>
      <c r="AB2953" s="6">
        <f>MONTH(AC2953)</f>
        <v/>
      </c>
      <c r="AC2953" s="267">
        <f>IFERROR(__xludf.DUMMYFUNCTION("""COMPUTED_VALUE"""),46113.9986111111)</f>
        <v/>
      </c>
      <c r="AD2953" s="6">
        <f>IFERROR(__xludf.DUMMYFUNCTION("""COMPUTED_VALUE"""),1512.09)</f>
        <v/>
      </c>
      <c r="AH2953" s="6">
        <f>AI2953&amp;AJ2953</f>
        <v/>
      </c>
      <c r="AI2953" s="6">
        <f>YEAR(AK2953)</f>
        <v/>
      </c>
      <c r="AJ2953" s="6">
        <f>MONTH(AK2953)</f>
        <v/>
      </c>
      <c r="AK2953" s="267">
        <f>IFERROR(__xludf.DUMMYFUNCTION("""COMPUTED_VALUE"""),46048.9986111111)</f>
        <v/>
      </c>
      <c r="AL2953" s="6">
        <f>IFERROR(__xludf.DUMMYFUNCTION("""COMPUTED_VALUE"""),87654.15)</f>
        <v/>
      </c>
      <c r="AP2953" s="6">
        <f>AQ2953&amp;AR2953</f>
        <v/>
      </c>
      <c r="AQ2953" s="6">
        <f>YEAR(AS2953)</f>
        <v/>
      </c>
      <c r="AR2953" s="6">
        <f>MONTH(AS2953)</f>
        <v/>
      </c>
    </row>
    <row r="2954">
      <c r="B2954" s="6">
        <f>C2954&amp;D2954</f>
        <v/>
      </c>
      <c r="C2954" s="6">
        <f>YEAR(E2954)</f>
        <v/>
      </c>
      <c r="D2954" s="6">
        <f>MONTH(E2954)</f>
        <v/>
      </c>
      <c r="J2954" s="6">
        <f>K2954&amp;L2954</f>
        <v/>
      </c>
      <c r="K2954" s="6">
        <f>YEAR(M2954)</f>
        <v/>
      </c>
      <c r="L2954" s="6">
        <f>MONTH(M2954)</f>
        <v/>
      </c>
      <c r="R2954" s="6">
        <f>S2954&amp;T2954</f>
        <v/>
      </c>
      <c r="S2954" s="6">
        <f>YEAR(U2954)</f>
        <v/>
      </c>
      <c r="T2954" s="6">
        <f>MONTH(U2954)</f>
        <v/>
      </c>
      <c r="Z2954" s="6">
        <f>AA2954&amp;AB2954</f>
        <v/>
      </c>
      <c r="AA2954" s="6">
        <f>YEAR(AC2954)</f>
        <v/>
      </c>
      <c r="AB2954" s="6">
        <f>MONTH(AC2954)</f>
        <v/>
      </c>
      <c r="AC2954" s="267">
        <f>IFERROR(__xludf.DUMMYFUNCTION("""COMPUTED_VALUE"""),46114.9986111111)</f>
        <v/>
      </c>
      <c r="AD2954" s="6">
        <f>IFERROR(__xludf.DUMMYFUNCTION("""COMPUTED_VALUE"""),1509.22)</f>
        <v/>
      </c>
      <c r="AH2954" s="6">
        <f>AI2954&amp;AJ2954</f>
        <v/>
      </c>
      <c r="AI2954" s="6">
        <f>YEAR(AK2954)</f>
        <v/>
      </c>
      <c r="AJ2954" s="6">
        <f>MONTH(AK2954)</f>
        <v/>
      </c>
      <c r="AK2954" s="267">
        <f>IFERROR(__xludf.DUMMYFUNCTION("""COMPUTED_VALUE"""),46049.9986111111)</f>
        <v/>
      </c>
      <c r="AL2954" s="6">
        <f>IFERROR(__xludf.DUMMYFUNCTION("""COMPUTED_VALUE"""),88536.09)</f>
        <v/>
      </c>
      <c r="AP2954" s="6">
        <f>AQ2954&amp;AR2954</f>
        <v/>
      </c>
      <c r="AQ2954" s="6">
        <f>YEAR(AS2954)</f>
        <v/>
      </c>
      <c r="AR2954" s="6">
        <f>MONTH(AS2954)</f>
        <v/>
      </c>
    </row>
    <row r="2955">
      <c r="B2955" s="6">
        <f>C2955&amp;D2955</f>
        <v/>
      </c>
      <c r="C2955" s="6">
        <f>YEAR(E2955)</f>
        <v/>
      </c>
      <c r="D2955" s="6">
        <f>MONTH(E2955)</f>
        <v/>
      </c>
      <c r="J2955" s="6">
        <f>K2955&amp;L2955</f>
        <v/>
      </c>
      <c r="K2955" s="6">
        <f>YEAR(M2955)</f>
        <v/>
      </c>
      <c r="L2955" s="6">
        <f>MONTH(M2955)</f>
        <v/>
      </c>
      <c r="R2955" s="6">
        <f>S2955&amp;T2955</f>
        <v/>
      </c>
      <c r="S2955" s="6">
        <f>YEAR(U2955)</f>
        <v/>
      </c>
      <c r="T2955" s="6">
        <f>MONTH(U2955)</f>
        <v/>
      </c>
      <c r="Z2955" s="6">
        <f>AA2955&amp;AB2955</f>
        <v/>
      </c>
      <c r="AA2955" s="6">
        <f>YEAR(AC2955)</f>
        <v/>
      </c>
      <c r="AB2955" s="6">
        <f>MONTH(AC2955)</f>
        <v/>
      </c>
      <c r="AC2955" s="267">
        <f>IFERROR(__xludf.DUMMYFUNCTION("""COMPUTED_VALUE"""),46115.9986111111)</f>
        <v/>
      </c>
      <c r="AD2955" s="6">
        <f>IFERROR(__xludf.DUMMYFUNCTION("""COMPUTED_VALUE"""),1510.26)</f>
        <v/>
      </c>
      <c r="AH2955" s="6">
        <f>AI2955&amp;AJ2955</f>
        <v/>
      </c>
      <c r="AI2955" s="6">
        <f>YEAR(AK2955)</f>
        <v/>
      </c>
      <c r="AJ2955" s="6">
        <f>MONTH(AK2955)</f>
        <v/>
      </c>
      <c r="AK2955" s="267">
        <f>IFERROR(__xludf.DUMMYFUNCTION("""COMPUTED_VALUE"""),46050.9986111111)</f>
        <v/>
      </c>
      <c r="AL2955" s="6">
        <f>IFERROR(__xludf.DUMMYFUNCTION("""COMPUTED_VALUE"""),88897)</f>
        <v/>
      </c>
      <c r="AP2955" s="6">
        <f>AQ2955&amp;AR2955</f>
        <v/>
      </c>
      <c r="AQ2955" s="6">
        <f>YEAR(AS2955)</f>
        <v/>
      </c>
      <c r="AR2955" s="6">
        <f>MONTH(AS2955)</f>
        <v/>
      </c>
    </row>
    <row r="2956">
      <c r="B2956" s="6">
        <f>C2956&amp;D2956</f>
        <v/>
      </c>
      <c r="C2956" s="6">
        <f>YEAR(E2956)</f>
        <v/>
      </c>
      <c r="D2956" s="6">
        <f>MONTH(E2956)</f>
        <v/>
      </c>
      <c r="J2956" s="6">
        <f>K2956&amp;L2956</f>
        <v/>
      </c>
      <c r="K2956" s="6">
        <f>YEAR(M2956)</f>
        <v/>
      </c>
      <c r="L2956" s="6">
        <f>MONTH(M2956)</f>
        <v/>
      </c>
      <c r="R2956" s="6">
        <f>S2956&amp;T2956</f>
        <v/>
      </c>
      <c r="S2956" s="6">
        <f>YEAR(U2956)</f>
        <v/>
      </c>
      <c r="T2956" s="6">
        <f>MONTH(U2956)</f>
        <v/>
      </c>
      <c r="Z2956" s="6">
        <f>AA2956&amp;AB2956</f>
        <v/>
      </c>
      <c r="AA2956" s="6">
        <f>YEAR(AC2956)</f>
        <v/>
      </c>
      <c r="AB2956" s="6">
        <f>MONTH(AC2956)</f>
        <v/>
      </c>
      <c r="AC2956" s="267">
        <f>IFERROR(__xludf.DUMMYFUNCTION("""COMPUTED_VALUE"""),46116.9986111111)</f>
        <v/>
      </c>
      <c r="AD2956" s="6">
        <f>IFERROR(__xludf.DUMMYFUNCTION("""COMPUTED_VALUE"""),1510.26)</f>
        <v/>
      </c>
      <c r="AH2956" s="6">
        <f>AI2956&amp;AJ2956</f>
        <v/>
      </c>
      <c r="AI2956" s="6">
        <f>YEAR(AK2956)</f>
        <v/>
      </c>
      <c r="AJ2956" s="6">
        <f>MONTH(AK2956)</f>
        <v/>
      </c>
      <c r="AK2956" s="267">
        <f>IFERROR(__xludf.DUMMYFUNCTION("""COMPUTED_VALUE"""),46051.9986111111)</f>
        <v/>
      </c>
      <c r="AL2956" s="6">
        <f>IFERROR(__xludf.DUMMYFUNCTION("""COMPUTED_VALUE"""),88228.84)</f>
        <v/>
      </c>
      <c r="AP2956" s="6">
        <f>AQ2956&amp;AR2956</f>
        <v/>
      </c>
      <c r="AQ2956" s="6">
        <f>YEAR(AS2956)</f>
        <v/>
      </c>
      <c r="AR2956" s="6">
        <f>MONTH(AS2956)</f>
        <v/>
      </c>
    </row>
    <row r="2957">
      <c r="B2957" s="6">
        <f>C2957&amp;D2957</f>
        <v/>
      </c>
      <c r="C2957" s="6">
        <f>YEAR(E2957)</f>
        <v/>
      </c>
      <c r="D2957" s="6">
        <f>MONTH(E2957)</f>
        <v/>
      </c>
      <c r="J2957" s="6">
        <f>K2957&amp;L2957</f>
        <v/>
      </c>
      <c r="K2957" s="6">
        <f>YEAR(M2957)</f>
        <v/>
      </c>
      <c r="L2957" s="6">
        <f>MONTH(M2957)</f>
        <v/>
      </c>
      <c r="R2957" s="6">
        <f>S2957&amp;T2957</f>
        <v/>
      </c>
      <c r="S2957" s="6">
        <f>YEAR(U2957)</f>
        <v/>
      </c>
      <c r="T2957" s="6">
        <f>MONTH(U2957)</f>
        <v/>
      </c>
      <c r="Z2957" s="6">
        <f>AA2957&amp;AB2957</f>
        <v/>
      </c>
      <c r="AA2957" s="6">
        <f>YEAR(AC2957)</f>
        <v/>
      </c>
      <c r="AB2957" s="6">
        <f>MONTH(AC2957)</f>
        <v/>
      </c>
      <c r="AC2957" s="267">
        <f>IFERROR(__xludf.DUMMYFUNCTION("""COMPUTED_VALUE"""),46117.9986111111)</f>
        <v/>
      </c>
      <c r="AD2957" s="6">
        <f>IFERROR(__xludf.DUMMYFUNCTION("""COMPUTED_VALUE"""),1509.26)</f>
        <v/>
      </c>
      <c r="AH2957" s="6">
        <f>AI2957&amp;AJ2957</f>
        <v/>
      </c>
      <c r="AI2957" s="6">
        <f>YEAR(AK2957)</f>
        <v/>
      </c>
      <c r="AJ2957" s="6">
        <f>MONTH(AK2957)</f>
        <v/>
      </c>
      <c r="AK2957" s="267">
        <f>IFERROR(__xludf.DUMMYFUNCTION("""COMPUTED_VALUE"""),46052.9986111111)</f>
        <v/>
      </c>
      <c r="AL2957" s="6">
        <f>IFERROR(__xludf.DUMMYFUNCTION("""COMPUTED_VALUE"""),82837.99)</f>
        <v/>
      </c>
      <c r="AP2957" s="6">
        <f>AQ2957&amp;AR2957</f>
        <v/>
      </c>
      <c r="AQ2957" s="6">
        <f>YEAR(AS2957)</f>
        <v/>
      </c>
      <c r="AR2957" s="6">
        <f>MONTH(AS2957)</f>
        <v/>
      </c>
    </row>
    <row r="2958">
      <c r="B2958" s="6">
        <f>C2958&amp;D2958</f>
        <v/>
      </c>
      <c r="C2958" s="6">
        <f>YEAR(E2958)</f>
        <v/>
      </c>
      <c r="D2958" s="6">
        <f>MONTH(E2958)</f>
        <v/>
      </c>
      <c r="J2958" s="6">
        <f>K2958&amp;L2958</f>
        <v/>
      </c>
      <c r="K2958" s="6">
        <f>YEAR(M2958)</f>
        <v/>
      </c>
      <c r="L2958" s="6">
        <f>MONTH(M2958)</f>
        <v/>
      </c>
      <c r="R2958" s="6">
        <f>S2958&amp;T2958</f>
        <v/>
      </c>
      <c r="S2958" s="6">
        <f>YEAR(U2958)</f>
        <v/>
      </c>
      <c r="T2958" s="6">
        <f>MONTH(U2958)</f>
        <v/>
      </c>
      <c r="Z2958" s="6">
        <f>AA2958&amp;AB2958</f>
        <v/>
      </c>
      <c r="AA2958" s="6">
        <f>YEAR(AC2958)</f>
        <v/>
      </c>
      <c r="AB2958" s="6">
        <f>MONTH(AC2958)</f>
        <v/>
      </c>
      <c r="AC2958" s="267">
        <f>IFERROR(__xludf.DUMMYFUNCTION("""COMPUTED_VALUE"""),46118.9986111111)</f>
        <v/>
      </c>
      <c r="AD2958" s="6">
        <f>IFERROR(__xludf.DUMMYFUNCTION("""COMPUTED_VALUE"""),1507.85)</f>
        <v/>
      </c>
      <c r="AH2958" s="6">
        <f>AI2958&amp;AJ2958</f>
        <v/>
      </c>
      <c r="AI2958" s="6">
        <f>YEAR(AK2958)</f>
        <v/>
      </c>
      <c r="AJ2958" s="6">
        <f>MONTH(AK2958)</f>
        <v/>
      </c>
      <c r="AK2958" s="267">
        <f>IFERROR(__xludf.DUMMYFUNCTION("""COMPUTED_VALUE"""),46053.9986111111)</f>
        <v/>
      </c>
      <c r="AL2958" s="6">
        <f>IFERROR(__xludf.DUMMYFUNCTION("""COMPUTED_VALUE"""),83894.56)</f>
        <v/>
      </c>
      <c r="AP2958" s="6">
        <f>AQ2958&amp;AR2958</f>
        <v/>
      </c>
      <c r="AQ2958" s="6">
        <f>YEAR(AS2958)</f>
        <v/>
      </c>
      <c r="AR2958" s="6">
        <f>MONTH(AS2958)</f>
        <v/>
      </c>
    </row>
    <row r="2959">
      <c r="B2959" s="6">
        <f>C2959&amp;D2959</f>
        <v/>
      </c>
      <c r="C2959" s="6">
        <f>YEAR(E2959)</f>
        <v/>
      </c>
      <c r="D2959" s="6">
        <f>MONTH(E2959)</f>
        <v/>
      </c>
      <c r="J2959" s="6">
        <f>K2959&amp;L2959</f>
        <v/>
      </c>
      <c r="K2959" s="6">
        <f>YEAR(M2959)</f>
        <v/>
      </c>
      <c r="L2959" s="6">
        <f>MONTH(M2959)</f>
        <v/>
      </c>
      <c r="R2959" s="6">
        <f>S2959&amp;T2959</f>
        <v/>
      </c>
      <c r="S2959" s="6">
        <f>YEAR(U2959)</f>
        <v/>
      </c>
      <c r="T2959" s="6">
        <f>MONTH(U2959)</f>
        <v/>
      </c>
      <c r="Z2959" s="6">
        <f>AA2959&amp;AB2959</f>
        <v/>
      </c>
      <c r="AA2959" s="6">
        <f>YEAR(AC2959)</f>
        <v/>
      </c>
      <c r="AB2959" s="6">
        <f>MONTH(AC2959)</f>
        <v/>
      </c>
      <c r="AC2959" s="267">
        <f>IFERROR(__xludf.DUMMYFUNCTION("""COMPUTED_VALUE"""),46119.9986111111)</f>
        <v/>
      </c>
      <c r="AD2959" s="6">
        <f>IFERROR(__xludf.DUMMYFUNCTION("""COMPUTED_VALUE"""),1499.13)</f>
        <v/>
      </c>
      <c r="AH2959" s="6">
        <f>AI2959&amp;AJ2959</f>
        <v/>
      </c>
      <c r="AI2959" s="6">
        <f>YEAR(AK2959)</f>
        <v/>
      </c>
      <c r="AJ2959" s="6">
        <f>MONTH(AK2959)</f>
        <v/>
      </c>
      <c r="AK2959" s="267">
        <f>IFERROR(__xludf.DUMMYFUNCTION("""COMPUTED_VALUE"""),46054.9986111111)</f>
        <v/>
      </c>
      <c r="AL2959" s="6">
        <f>IFERROR(__xludf.DUMMYFUNCTION("""COMPUTED_VALUE"""),79017.39)</f>
        <v/>
      </c>
      <c r="AP2959" s="6">
        <f>AQ2959&amp;AR2959</f>
        <v/>
      </c>
      <c r="AQ2959" s="6">
        <f>YEAR(AS2959)</f>
        <v/>
      </c>
      <c r="AR2959" s="6">
        <f>MONTH(AS2959)</f>
        <v/>
      </c>
    </row>
    <row r="2960">
      <c r="B2960" s="6">
        <f>C2960&amp;D2960</f>
        <v/>
      </c>
      <c r="C2960" s="6">
        <f>YEAR(E2960)</f>
        <v/>
      </c>
      <c r="D2960" s="6">
        <f>MONTH(E2960)</f>
        <v/>
      </c>
      <c r="J2960" s="6">
        <f>K2960&amp;L2960</f>
        <v/>
      </c>
      <c r="K2960" s="6">
        <f>YEAR(M2960)</f>
        <v/>
      </c>
      <c r="L2960" s="6">
        <f>MONTH(M2960)</f>
        <v/>
      </c>
      <c r="R2960" s="6">
        <f>S2960&amp;T2960</f>
        <v/>
      </c>
      <c r="S2960" s="6">
        <f>YEAR(U2960)</f>
        <v/>
      </c>
      <c r="T2960" s="6">
        <f>MONTH(U2960)</f>
        <v/>
      </c>
      <c r="Z2960" s="6">
        <f>AA2960&amp;AB2960</f>
        <v/>
      </c>
      <c r="AA2960" s="6">
        <f>YEAR(AC2960)</f>
        <v/>
      </c>
      <c r="AB2960" s="6">
        <f>MONTH(AC2960)</f>
        <v/>
      </c>
      <c r="AC2960" s="267">
        <f>IFERROR(__xludf.DUMMYFUNCTION("""COMPUTED_VALUE"""),46120.9986111111)</f>
        <v/>
      </c>
      <c r="AD2960" s="6">
        <f>IFERROR(__xludf.DUMMYFUNCTION("""COMPUTED_VALUE"""),1477.6)</f>
        <v/>
      </c>
      <c r="AH2960" s="6">
        <f>AI2960&amp;AJ2960</f>
        <v/>
      </c>
      <c r="AI2960" s="6">
        <f>YEAR(AK2960)</f>
        <v/>
      </c>
      <c r="AJ2960" s="6">
        <f>MONTH(AK2960)</f>
        <v/>
      </c>
      <c r="AK2960" s="267">
        <f>IFERROR(__xludf.DUMMYFUNCTION("""COMPUTED_VALUE"""),46055.9986111111)</f>
        <v/>
      </c>
      <c r="AL2960" s="6">
        <f>IFERROR(__xludf.DUMMYFUNCTION("""COMPUTED_VALUE"""),75874.71)</f>
        <v/>
      </c>
      <c r="AP2960" s="6">
        <f>AQ2960&amp;AR2960</f>
        <v/>
      </c>
      <c r="AQ2960" s="6">
        <f>YEAR(AS2960)</f>
        <v/>
      </c>
      <c r="AR2960" s="6">
        <f>MONTH(AS2960)</f>
        <v/>
      </c>
    </row>
    <row r="2961">
      <c r="B2961" s="6">
        <f>C2961&amp;D2961</f>
        <v/>
      </c>
      <c r="C2961" s="6">
        <f>YEAR(E2961)</f>
        <v/>
      </c>
      <c r="D2961" s="6">
        <f>MONTH(E2961)</f>
        <v/>
      </c>
      <c r="J2961" s="6">
        <f>K2961&amp;L2961</f>
        <v/>
      </c>
      <c r="K2961" s="6">
        <f>YEAR(M2961)</f>
        <v/>
      </c>
      <c r="L2961" s="6">
        <f>MONTH(M2961)</f>
        <v/>
      </c>
      <c r="R2961" s="6">
        <f>S2961&amp;T2961</f>
        <v/>
      </c>
      <c r="S2961" s="6">
        <f>YEAR(U2961)</f>
        <v/>
      </c>
      <c r="T2961" s="6">
        <f>MONTH(U2961)</f>
        <v/>
      </c>
      <c r="Z2961" s="6">
        <f>AA2961&amp;AB2961</f>
        <v/>
      </c>
      <c r="AA2961" s="6">
        <f>YEAR(AC2961)</f>
        <v/>
      </c>
      <c r="AB2961" s="6">
        <f>MONTH(AC2961)</f>
        <v/>
      </c>
      <c r="AC2961" s="267">
        <f>IFERROR(__xludf.DUMMYFUNCTION("""COMPUTED_VALUE"""),46121.9986111111)</f>
        <v/>
      </c>
      <c r="AD2961" s="6">
        <f>IFERROR(__xludf.DUMMYFUNCTION("""COMPUTED_VALUE"""),1473.28)</f>
        <v/>
      </c>
      <c r="AH2961" s="6">
        <f>AI2961&amp;AJ2961</f>
        <v/>
      </c>
      <c r="AI2961" s="6">
        <f>YEAR(AK2961)</f>
        <v/>
      </c>
      <c r="AJ2961" s="6">
        <f>MONTH(AK2961)</f>
        <v/>
      </c>
      <c r="AK2961" s="267">
        <f>IFERROR(__xludf.DUMMYFUNCTION("""COMPUTED_VALUE"""),46056.9986111111)</f>
        <v/>
      </c>
      <c r="AL2961" s="6">
        <f>IFERROR(__xludf.DUMMYFUNCTION("""COMPUTED_VALUE"""),78766.83)</f>
        <v/>
      </c>
      <c r="AP2961" s="6">
        <f>AQ2961&amp;AR2961</f>
        <v/>
      </c>
      <c r="AQ2961" s="6">
        <f>YEAR(AS2961)</f>
        <v/>
      </c>
      <c r="AR2961" s="6">
        <f>MONTH(AS2961)</f>
        <v/>
      </c>
    </row>
    <row r="2962">
      <c r="B2962" s="6">
        <f>C2962&amp;D2962</f>
        <v/>
      </c>
      <c r="C2962" s="6">
        <f>YEAR(E2962)</f>
        <v/>
      </c>
      <c r="D2962" s="6">
        <f>MONTH(E2962)</f>
        <v/>
      </c>
      <c r="J2962" s="6">
        <f>K2962&amp;L2962</f>
        <v/>
      </c>
      <c r="K2962" s="6">
        <f>YEAR(M2962)</f>
        <v/>
      </c>
      <c r="L2962" s="6">
        <f>MONTH(M2962)</f>
        <v/>
      </c>
      <c r="R2962" s="6">
        <f>S2962&amp;T2962</f>
        <v/>
      </c>
      <c r="S2962" s="6">
        <f>YEAR(U2962)</f>
        <v/>
      </c>
      <c r="T2962" s="6">
        <f>MONTH(U2962)</f>
        <v/>
      </c>
      <c r="Z2962" s="6">
        <f>AA2962&amp;AB2962</f>
        <v/>
      </c>
      <c r="AA2962" s="6">
        <f>YEAR(AC2962)</f>
        <v/>
      </c>
      <c r="AB2962" s="6">
        <f>MONTH(AC2962)</f>
        <v/>
      </c>
      <c r="AC2962" s="267">
        <f>IFERROR(__xludf.DUMMYFUNCTION("""COMPUTED_VALUE"""),46122.9986111111)</f>
        <v/>
      </c>
      <c r="AD2962" s="6">
        <f>IFERROR(__xludf.DUMMYFUNCTION("""COMPUTED_VALUE"""),1483.57)</f>
        <v/>
      </c>
      <c r="AH2962" s="6">
        <f>AI2962&amp;AJ2962</f>
        <v/>
      </c>
      <c r="AI2962" s="6">
        <f>YEAR(AK2962)</f>
        <v/>
      </c>
      <c r="AJ2962" s="6">
        <f>MONTH(AK2962)</f>
        <v/>
      </c>
      <c r="AK2962" s="267">
        <f>IFERROR(__xludf.DUMMYFUNCTION("""COMPUTED_VALUE"""),46057.9986111111)</f>
        <v/>
      </c>
      <c r="AL2962" s="6">
        <f>IFERROR(__xludf.DUMMYFUNCTION("""COMPUTED_VALUE"""),76405.83)</f>
        <v/>
      </c>
      <c r="AP2962" s="6">
        <f>AQ2962&amp;AR2962</f>
        <v/>
      </c>
      <c r="AQ2962" s="6">
        <f>YEAR(AS2962)</f>
        <v/>
      </c>
      <c r="AR2962" s="6">
        <f>MONTH(AS2962)</f>
        <v/>
      </c>
    </row>
    <row r="2963">
      <c r="B2963" s="6">
        <f>C2963&amp;D2963</f>
        <v/>
      </c>
      <c r="C2963" s="6">
        <f>YEAR(E2963)</f>
        <v/>
      </c>
      <c r="D2963" s="6">
        <f>MONTH(E2963)</f>
        <v/>
      </c>
      <c r="J2963" s="6">
        <f>K2963&amp;L2963</f>
        <v/>
      </c>
      <c r="K2963" s="6">
        <f>YEAR(M2963)</f>
        <v/>
      </c>
      <c r="L2963" s="6">
        <f>MONTH(M2963)</f>
        <v/>
      </c>
      <c r="R2963" s="6">
        <f>S2963&amp;T2963</f>
        <v/>
      </c>
      <c r="S2963" s="6">
        <f>YEAR(U2963)</f>
        <v/>
      </c>
      <c r="T2963" s="6">
        <f>MONTH(U2963)</f>
        <v/>
      </c>
      <c r="Z2963" s="6">
        <f>AA2963&amp;AB2963</f>
        <v/>
      </c>
      <c r="AA2963" s="6">
        <f>YEAR(AC2963)</f>
        <v/>
      </c>
      <c r="AB2963" s="6">
        <f>MONTH(AC2963)</f>
        <v/>
      </c>
      <c r="AC2963" s="267">
        <f>IFERROR(__xludf.DUMMYFUNCTION("""COMPUTED_VALUE"""),46123.9986111111)</f>
        <v/>
      </c>
      <c r="AD2963" s="6">
        <f>IFERROR(__xludf.DUMMYFUNCTION("""COMPUTED_VALUE"""),1483.47)</f>
        <v/>
      </c>
      <c r="AH2963" s="6">
        <f>AI2963&amp;AJ2963</f>
        <v/>
      </c>
      <c r="AI2963" s="6">
        <f>YEAR(AK2963)</f>
        <v/>
      </c>
      <c r="AJ2963" s="6">
        <f>MONTH(AK2963)</f>
        <v/>
      </c>
      <c r="AK2963" s="267">
        <f>IFERROR(__xludf.DUMMYFUNCTION("""COMPUTED_VALUE"""),46058.9986111111)</f>
        <v/>
      </c>
      <c r="AL2963" s="6">
        <f>IFERROR(__xludf.DUMMYFUNCTION("""COMPUTED_VALUE"""),70770.99)</f>
        <v/>
      </c>
      <c r="AP2963" s="6">
        <f>AQ2963&amp;AR2963</f>
        <v/>
      </c>
      <c r="AQ2963" s="6">
        <f>YEAR(AS2963)</f>
        <v/>
      </c>
      <c r="AR2963" s="6">
        <f>MONTH(AS2963)</f>
        <v/>
      </c>
    </row>
    <row r="2964">
      <c r="B2964" s="6">
        <f>C2964&amp;D2964</f>
        <v/>
      </c>
      <c r="C2964" s="6">
        <f>YEAR(E2964)</f>
        <v/>
      </c>
      <c r="D2964" s="6">
        <f>MONTH(E2964)</f>
        <v/>
      </c>
      <c r="J2964" s="6">
        <f>K2964&amp;L2964</f>
        <v/>
      </c>
      <c r="K2964" s="6">
        <f>YEAR(M2964)</f>
        <v/>
      </c>
      <c r="L2964" s="6">
        <f>MONTH(M2964)</f>
        <v/>
      </c>
      <c r="R2964" s="6">
        <f>S2964&amp;T2964</f>
        <v/>
      </c>
      <c r="S2964" s="6">
        <f>YEAR(U2964)</f>
        <v/>
      </c>
      <c r="T2964" s="6">
        <f>MONTH(U2964)</f>
        <v/>
      </c>
      <c r="Z2964" s="6">
        <f>AA2964&amp;AB2964</f>
        <v/>
      </c>
      <c r="AA2964" s="6">
        <f>YEAR(AC2964)</f>
        <v/>
      </c>
      <c r="AB2964" s="6">
        <f>MONTH(AC2964)</f>
        <v/>
      </c>
      <c r="AC2964" s="267">
        <f>IFERROR(__xludf.DUMMYFUNCTION("""COMPUTED_VALUE"""),46124.9986111111)</f>
        <v/>
      </c>
      <c r="AD2964" s="6">
        <f>IFERROR(__xludf.DUMMYFUNCTION("""COMPUTED_VALUE"""),1482.18)</f>
        <v/>
      </c>
      <c r="AH2964" s="6">
        <f>AI2964&amp;AJ2964</f>
        <v/>
      </c>
      <c r="AI2964" s="6">
        <f>YEAR(AK2964)</f>
        <v/>
      </c>
      <c r="AJ2964" s="6">
        <f>MONTH(AK2964)</f>
        <v/>
      </c>
      <c r="AK2964" s="267">
        <f>IFERROR(__xludf.DUMMYFUNCTION("""COMPUTED_VALUE"""),46059.9986111111)</f>
        <v/>
      </c>
      <c r="AL2964" s="6">
        <f>IFERROR(__xludf.DUMMYFUNCTION("""COMPUTED_VALUE"""),64856.11)</f>
        <v/>
      </c>
      <c r="AP2964" s="6">
        <f>AQ2964&amp;AR2964</f>
        <v/>
      </c>
      <c r="AQ2964" s="6">
        <f>YEAR(AS2964)</f>
        <v/>
      </c>
      <c r="AR2964" s="6">
        <f>MONTH(AS2964)</f>
        <v/>
      </c>
    </row>
    <row r="2965">
      <c r="B2965" s="6">
        <f>C2965&amp;D2965</f>
        <v/>
      </c>
      <c r="C2965" s="6">
        <f>YEAR(E2965)</f>
        <v/>
      </c>
      <c r="D2965" s="6">
        <f>MONTH(E2965)</f>
        <v/>
      </c>
      <c r="J2965" s="6">
        <f>K2965&amp;L2965</f>
        <v/>
      </c>
      <c r="K2965" s="6">
        <f>YEAR(M2965)</f>
        <v/>
      </c>
      <c r="L2965" s="6">
        <f>MONTH(M2965)</f>
        <v/>
      </c>
      <c r="R2965" s="6">
        <f>S2965&amp;T2965</f>
        <v/>
      </c>
      <c r="S2965" s="6">
        <f>YEAR(U2965)</f>
        <v/>
      </c>
      <c r="T2965" s="6">
        <f>MONTH(U2965)</f>
        <v/>
      </c>
      <c r="Z2965" s="6">
        <f>AA2965&amp;AB2965</f>
        <v/>
      </c>
      <c r="AA2965" s="6">
        <f>YEAR(AC2965)</f>
        <v/>
      </c>
      <c r="AB2965" s="6">
        <f>MONTH(AC2965)</f>
        <v/>
      </c>
      <c r="AC2965" s="267">
        <f>IFERROR(__xludf.DUMMYFUNCTION("""COMPUTED_VALUE"""),46125.9986111111)</f>
        <v/>
      </c>
      <c r="AD2965" s="6">
        <f>IFERROR(__xludf.DUMMYFUNCTION("""COMPUTED_VALUE"""),1476.84)</f>
        <v/>
      </c>
      <c r="AH2965" s="6">
        <f>AI2965&amp;AJ2965</f>
        <v/>
      </c>
      <c r="AI2965" s="6">
        <f>YEAR(AK2965)</f>
        <v/>
      </c>
      <c r="AJ2965" s="6">
        <f>MONTH(AK2965)</f>
        <v/>
      </c>
      <c r="AK2965" s="267">
        <f>IFERROR(__xludf.DUMMYFUNCTION("""COMPUTED_VALUE"""),46060.9986111111)</f>
        <v/>
      </c>
      <c r="AL2965" s="6">
        <f>IFERROR(__xludf.DUMMYFUNCTION("""COMPUTED_VALUE"""),70748.48)</f>
        <v/>
      </c>
      <c r="AP2965" s="6">
        <f>AQ2965&amp;AR2965</f>
        <v/>
      </c>
      <c r="AQ2965" s="6">
        <f>YEAR(AS2965)</f>
        <v/>
      </c>
      <c r="AR2965" s="6">
        <f>MONTH(AS2965)</f>
        <v/>
      </c>
    </row>
    <row r="2966">
      <c r="B2966" s="6">
        <f>C2966&amp;D2966</f>
        <v/>
      </c>
      <c r="C2966" s="6">
        <f>YEAR(E2966)</f>
        <v/>
      </c>
      <c r="D2966" s="6">
        <f>MONTH(E2966)</f>
        <v/>
      </c>
      <c r="J2966" s="6">
        <f>K2966&amp;L2966</f>
        <v/>
      </c>
      <c r="K2966" s="6">
        <f>YEAR(M2966)</f>
        <v/>
      </c>
      <c r="L2966" s="6">
        <f>MONTH(M2966)</f>
        <v/>
      </c>
      <c r="R2966" s="6">
        <f>S2966&amp;T2966</f>
        <v/>
      </c>
      <c r="S2966" s="6">
        <f>YEAR(U2966)</f>
        <v/>
      </c>
      <c r="T2966" s="6">
        <f>MONTH(U2966)</f>
        <v/>
      </c>
      <c r="Z2966" s="6">
        <f>AA2966&amp;AB2966</f>
        <v/>
      </c>
      <c r="AA2966" s="6">
        <f>YEAR(AC2966)</f>
        <v/>
      </c>
      <c r="AB2966" s="6">
        <f>MONTH(AC2966)</f>
        <v/>
      </c>
      <c r="AC2966" s="267">
        <f>IFERROR(__xludf.DUMMYFUNCTION("""COMPUTED_VALUE"""),46126.9986111111)</f>
        <v/>
      </c>
      <c r="AD2966" s="6">
        <f>IFERROR(__xludf.DUMMYFUNCTION("""COMPUTED_VALUE"""),1469.42)</f>
        <v/>
      </c>
      <c r="AH2966" s="6">
        <f>AI2966&amp;AJ2966</f>
        <v/>
      </c>
      <c r="AI2966" s="6">
        <f>YEAR(AK2966)</f>
        <v/>
      </c>
      <c r="AJ2966" s="6">
        <f>MONTH(AK2966)</f>
        <v/>
      </c>
      <c r="AK2966" s="267">
        <f>IFERROR(__xludf.DUMMYFUNCTION("""COMPUTED_VALUE"""),46061.9986111111)</f>
        <v/>
      </c>
      <c r="AL2966" s="6">
        <f>IFERROR(__xludf.DUMMYFUNCTION("""COMPUTED_VALUE"""),69290.04)</f>
        <v/>
      </c>
      <c r="AP2966" s="6">
        <f>AQ2966&amp;AR2966</f>
        <v/>
      </c>
      <c r="AQ2966" s="6">
        <f>YEAR(AS2966)</f>
        <v/>
      </c>
      <c r="AR2966" s="6">
        <f>MONTH(AS2966)</f>
        <v/>
      </c>
    </row>
    <row r="2967">
      <c r="B2967" s="6">
        <f>C2967&amp;D2967</f>
        <v/>
      </c>
      <c r="C2967" s="6">
        <f>YEAR(E2967)</f>
        <v/>
      </c>
      <c r="D2967" s="6">
        <f>MONTH(E2967)</f>
        <v/>
      </c>
      <c r="J2967" s="6">
        <f>K2967&amp;L2967</f>
        <v/>
      </c>
      <c r="K2967" s="6">
        <f>YEAR(M2967)</f>
        <v/>
      </c>
      <c r="L2967" s="6">
        <f>MONTH(M2967)</f>
        <v/>
      </c>
      <c r="R2967" s="6">
        <f>S2967&amp;T2967</f>
        <v/>
      </c>
      <c r="S2967" s="6">
        <f>YEAR(U2967)</f>
        <v/>
      </c>
      <c r="T2967" s="6">
        <f>MONTH(U2967)</f>
        <v/>
      </c>
      <c r="Z2967" s="6">
        <f>AA2967&amp;AB2967</f>
        <v/>
      </c>
      <c r="AA2967" s="6">
        <f>YEAR(AC2967)</f>
        <v/>
      </c>
      <c r="AB2967" s="6">
        <f>MONTH(AC2967)</f>
        <v/>
      </c>
      <c r="AC2967" s="267">
        <f>IFERROR(__xludf.DUMMYFUNCTION("""COMPUTED_VALUE"""),46127.9986111111)</f>
        <v/>
      </c>
      <c r="AD2967" s="6">
        <f>IFERROR(__xludf.DUMMYFUNCTION("""COMPUTED_VALUE"""),1474.06)</f>
        <v/>
      </c>
      <c r="AH2967" s="6">
        <f>AI2967&amp;AJ2967</f>
        <v/>
      </c>
      <c r="AI2967" s="6">
        <f>YEAR(AK2967)</f>
        <v/>
      </c>
      <c r="AJ2967" s="6">
        <f>MONTH(AK2967)</f>
        <v/>
      </c>
      <c r="AK2967" s="267">
        <f>IFERROR(__xludf.DUMMYFUNCTION("""COMPUTED_VALUE"""),46062.9986111111)</f>
        <v/>
      </c>
      <c r="AL2967" s="6">
        <f>IFERROR(__xludf.DUMMYFUNCTION("""COMPUTED_VALUE"""),71006.41)</f>
        <v/>
      </c>
      <c r="AP2967" s="6">
        <f>AQ2967&amp;AR2967</f>
        <v/>
      </c>
      <c r="AQ2967" s="6">
        <f>YEAR(AS2967)</f>
        <v/>
      </c>
      <c r="AR2967" s="6">
        <f>MONTH(AS2967)</f>
        <v/>
      </c>
    </row>
    <row r="2968">
      <c r="B2968" s="6">
        <f>C2968&amp;D2968</f>
        <v/>
      </c>
      <c r="C2968" s="6">
        <f>YEAR(E2968)</f>
        <v/>
      </c>
      <c r="D2968" s="6">
        <f>MONTH(E2968)</f>
        <v/>
      </c>
      <c r="J2968" s="6">
        <f>K2968&amp;L2968</f>
        <v/>
      </c>
      <c r="K2968" s="6">
        <f>YEAR(M2968)</f>
        <v/>
      </c>
      <c r="L2968" s="6">
        <f>MONTH(M2968)</f>
        <v/>
      </c>
      <c r="R2968" s="6">
        <f>S2968&amp;T2968</f>
        <v/>
      </c>
      <c r="S2968" s="6">
        <f>YEAR(U2968)</f>
        <v/>
      </c>
      <c r="T2968" s="6">
        <f>MONTH(U2968)</f>
        <v/>
      </c>
      <c r="Z2968" s="6">
        <f>AA2968&amp;AB2968</f>
        <v/>
      </c>
      <c r="AA2968" s="6">
        <f>YEAR(AC2968)</f>
        <v/>
      </c>
      <c r="AB2968" s="6">
        <f>MONTH(AC2968)</f>
        <v/>
      </c>
      <c r="AC2968" s="267">
        <f>IFERROR(__xludf.DUMMYFUNCTION("""COMPUTED_VALUE"""),46128.9986111111)</f>
        <v/>
      </c>
      <c r="AD2968" s="6">
        <f>IFERROR(__xludf.DUMMYFUNCTION("""COMPUTED_VALUE"""),1477.92)</f>
        <v/>
      </c>
      <c r="AH2968" s="6">
        <f>AI2968&amp;AJ2968</f>
        <v/>
      </c>
      <c r="AI2968" s="6">
        <f>YEAR(AK2968)</f>
        <v/>
      </c>
      <c r="AJ2968" s="6">
        <f>MONTH(AK2968)</f>
        <v/>
      </c>
      <c r="AK2968" s="267">
        <f>IFERROR(__xludf.DUMMYFUNCTION("""COMPUTED_VALUE"""),46063.9986111111)</f>
        <v/>
      </c>
      <c r="AL2968" s="6">
        <f>IFERROR(__xludf.DUMMYFUNCTION("""COMPUTED_VALUE"""),69832.38)</f>
        <v/>
      </c>
      <c r="AP2968" s="6">
        <f>AQ2968&amp;AR2968</f>
        <v/>
      </c>
      <c r="AQ2968" s="6">
        <f>YEAR(AS2968)</f>
        <v/>
      </c>
      <c r="AR2968" s="6">
        <f>MONTH(AS2968)</f>
        <v/>
      </c>
    </row>
    <row r="2969">
      <c r="B2969" s="6">
        <f>C2969&amp;D2969</f>
        <v/>
      </c>
      <c r="C2969" s="6">
        <f>YEAR(E2969)</f>
        <v/>
      </c>
      <c r="D2969" s="6">
        <f>MONTH(E2969)</f>
        <v/>
      </c>
      <c r="J2969" s="6">
        <f>K2969&amp;L2969</f>
        <v/>
      </c>
      <c r="K2969" s="6">
        <f>YEAR(M2969)</f>
        <v/>
      </c>
      <c r="L2969" s="6">
        <f>MONTH(M2969)</f>
        <v/>
      </c>
      <c r="R2969" s="6">
        <f>S2969&amp;T2969</f>
        <v/>
      </c>
      <c r="S2969" s="6">
        <f>YEAR(U2969)</f>
        <v/>
      </c>
      <c r="T2969" s="6">
        <f>MONTH(U2969)</f>
        <v/>
      </c>
      <c r="Z2969" s="6">
        <f>AA2969&amp;AB2969</f>
        <v/>
      </c>
      <c r="AA2969" s="6">
        <f>YEAR(AC2969)</f>
        <v/>
      </c>
      <c r="AB2969" s="6">
        <f>MONTH(AC2969)</f>
        <v/>
      </c>
      <c r="AC2969" s="267">
        <f>IFERROR(__xludf.DUMMYFUNCTION("""COMPUTED_VALUE"""),46129.9986111111)</f>
        <v/>
      </c>
      <c r="AD2969" s="6">
        <f>IFERROR(__xludf.DUMMYFUNCTION("""COMPUTED_VALUE"""),1466.04)</f>
        <v/>
      </c>
      <c r="AH2969" s="6">
        <f>AI2969&amp;AJ2969</f>
        <v/>
      </c>
      <c r="AI2969" s="6">
        <f>YEAR(AK2969)</f>
        <v/>
      </c>
      <c r="AJ2969" s="6">
        <f>MONTH(AK2969)</f>
        <v/>
      </c>
      <c r="AK2969" s="267">
        <f>IFERROR(__xludf.DUMMYFUNCTION("""COMPUTED_VALUE"""),46064.9986111111)</f>
        <v/>
      </c>
      <c r="AL2969" s="6">
        <f>IFERROR(__xludf.DUMMYFUNCTION("""COMPUTED_VALUE"""),67542.55)</f>
        <v/>
      </c>
      <c r="AP2969" s="6">
        <f>AQ2969&amp;AR2969</f>
        <v/>
      </c>
      <c r="AQ2969" s="6">
        <f>YEAR(AS2969)</f>
        <v/>
      </c>
      <c r="AR2969" s="6">
        <f>MONTH(AS2969)</f>
        <v/>
      </c>
    </row>
    <row r="2970">
      <c r="B2970" s="6">
        <f>C2970&amp;D2970</f>
        <v/>
      </c>
      <c r="C2970" s="6">
        <f>YEAR(E2970)</f>
        <v/>
      </c>
      <c r="D2970" s="6">
        <f>MONTH(E2970)</f>
        <v/>
      </c>
      <c r="J2970" s="6">
        <f>K2970&amp;L2970</f>
        <v/>
      </c>
      <c r="K2970" s="6">
        <f>YEAR(M2970)</f>
        <v/>
      </c>
      <c r="L2970" s="6">
        <f>MONTH(M2970)</f>
        <v/>
      </c>
      <c r="R2970" s="6">
        <f>S2970&amp;T2970</f>
        <v/>
      </c>
      <c r="S2970" s="6">
        <f>YEAR(U2970)</f>
        <v/>
      </c>
      <c r="T2970" s="6">
        <f>MONTH(U2970)</f>
        <v/>
      </c>
      <c r="Z2970" s="6">
        <f>AA2970&amp;AB2970</f>
        <v/>
      </c>
      <c r="AA2970" s="6">
        <f>YEAR(AC2970)</f>
        <v/>
      </c>
      <c r="AB2970" s="6">
        <f>MONTH(AC2970)</f>
        <v/>
      </c>
      <c r="AC2970" s="267">
        <f>IFERROR(__xludf.DUMMYFUNCTION("""COMPUTED_VALUE"""),46130.9986111111)</f>
        <v/>
      </c>
      <c r="AD2970" s="6">
        <f>IFERROR(__xludf.DUMMYFUNCTION("""COMPUTED_VALUE"""),1466.04)</f>
        <v/>
      </c>
      <c r="AH2970" s="6">
        <f>AI2970&amp;AJ2970</f>
        <v/>
      </c>
      <c r="AI2970" s="6">
        <f>YEAR(AK2970)</f>
        <v/>
      </c>
      <c r="AJ2970" s="6">
        <f>MONTH(AK2970)</f>
        <v/>
      </c>
      <c r="AK2970" s="267">
        <f>IFERROR(__xludf.DUMMYFUNCTION("""COMPUTED_VALUE"""),46065.9986111111)</f>
        <v/>
      </c>
      <c r="AL2970" s="6">
        <f>IFERROR(__xludf.DUMMYFUNCTION("""COMPUTED_VALUE"""),67033.27)</f>
        <v/>
      </c>
      <c r="AP2970" s="6">
        <f>AQ2970&amp;AR2970</f>
        <v/>
      </c>
      <c r="AQ2970" s="6">
        <f>YEAR(AS2970)</f>
        <v/>
      </c>
      <c r="AR2970" s="6">
        <f>MONTH(AS2970)</f>
        <v/>
      </c>
    </row>
    <row r="2971">
      <c r="B2971" s="6">
        <f>C2971&amp;D2971</f>
        <v/>
      </c>
      <c r="C2971" s="6">
        <f>YEAR(E2971)</f>
        <v/>
      </c>
      <c r="D2971" s="6">
        <f>MONTH(E2971)</f>
        <v/>
      </c>
      <c r="J2971" s="6">
        <f>K2971&amp;L2971</f>
        <v/>
      </c>
      <c r="K2971" s="6">
        <f>YEAR(M2971)</f>
        <v/>
      </c>
      <c r="L2971" s="6">
        <f>MONTH(M2971)</f>
        <v/>
      </c>
      <c r="R2971" s="6">
        <f>S2971&amp;T2971</f>
        <v/>
      </c>
      <c r="S2971" s="6">
        <f>YEAR(U2971)</f>
        <v/>
      </c>
      <c r="T2971" s="6">
        <f>MONTH(U2971)</f>
        <v/>
      </c>
      <c r="Z2971" s="6">
        <f>AA2971&amp;AB2971</f>
        <v/>
      </c>
      <c r="AA2971" s="6">
        <f>YEAR(AC2971)</f>
        <v/>
      </c>
      <c r="AB2971" s="6">
        <f>MONTH(AC2971)</f>
        <v/>
      </c>
      <c r="AC2971" s="267">
        <f>IFERROR(__xludf.DUMMYFUNCTION("""COMPUTED_VALUE"""),46131.9986111111)</f>
        <v/>
      </c>
      <c r="AD2971" s="6">
        <f>IFERROR(__xludf.DUMMYFUNCTION("""COMPUTED_VALUE"""),1465.15)</f>
        <v/>
      </c>
      <c r="AH2971" s="6">
        <f>AI2971&amp;AJ2971</f>
        <v/>
      </c>
      <c r="AI2971" s="6">
        <f>YEAR(AK2971)</f>
        <v/>
      </c>
      <c r="AJ2971" s="6">
        <f>MONTH(AK2971)</f>
        <v/>
      </c>
      <c r="AK2971" s="267">
        <f>IFERROR(__xludf.DUMMYFUNCTION("""COMPUTED_VALUE"""),46066.9986111111)</f>
        <v/>
      </c>
      <c r="AL2971" s="6">
        <f>IFERROR(__xludf.DUMMYFUNCTION("""COMPUTED_VALUE"""),66371.5)</f>
        <v/>
      </c>
      <c r="AP2971" s="6">
        <f>AQ2971&amp;AR2971</f>
        <v/>
      </c>
      <c r="AQ2971" s="6">
        <f>YEAR(AS2971)</f>
        <v/>
      </c>
      <c r="AR2971" s="6">
        <f>MONTH(AS2971)</f>
        <v/>
      </c>
    </row>
    <row r="2972">
      <c r="B2972" s="6">
        <f>C2972&amp;D2972</f>
        <v/>
      </c>
      <c r="C2972" s="6">
        <f>YEAR(E2972)</f>
        <v/>
      </c>
      <c r="D2972" s="6">
        <f>MONTH(E2972)</f>
        <v/>
      </c>
      <c r="J2972" s="6">
        <f>K2972&amp;L2972</f>
        <v/>
      </c>
      <c r="K2972" s="6">
        <f>YEAR(M2972)</f>
        <v/>
      </c>
      <c r="L2972" s="6">
        <f>MONTH(M2972)</f>
        <v/>
      </c>
      <c r="R2972" s="6">
        <f>S2972&amp;T2972</f>
        <v/>
      </c>
      <c r="S2972" s="6">
        <f>YEAR(U2972)</f>
        <v/>
      </c>
      <c r="T2972" s="6">
        <f>MONTH(U2972)</f>
        <v/>
      </c>
      <c r="Z2972" s="6">
        <f>AA2972&amp;AB2972</f>
        <v/>
      </c>
      <c r="AA2972" s="6">
        <f>YEAR(AC2972)</f>
        <v/>
      </c>
      <c r="AB2972" s="6">
        <f>MONTH(AC2972)</f>
        <v/>
      </c>
      <c r="AC2972" s="267">
        <f>IFERROR(__xludf.DUMMYFUNCTION("""COMPUTED_VALUE"""),46132.9986111111)</f>
        <v/>
      </c>
      <c r="AD2972" s="6">
        <f>IFERROR(__xludf.DUMMYFUNCTION("""COMPUTED_VALUE"""),1469.26)</f>
        <v/>
      </c>
      <c r="AH2972" s="6">
        <f>AI2972&amp;AJ2972</f>
        <v/>
      </c>
      <c r="AI2972" s="6">
        <f>YEAR(AK2972)</f>
        <v/>
      </c>
      <c r="AJ2972" s="6">
        <f>MONTH(AK2972)</f>
        <v/>
      </c>
      <c r="AK2972" s="267">
        <f>IFERROR(__xludf.DUMMYFUNCTION("""COMPUTED_VALUE"""),46067.9986111111)</f>
        <v/>
      </c>
      <c r="AL2972" s="6">
        <f>IFERROR(__xludf.DUMMYFUNCTION("""COMPUTED_VALUE"""),68814.16)</f>
        <v/>
      </c>
      <c r="AP2972" s="6">
        <f>AQ2972&amp;AR2972</f>
        <v/>
      </c>
      <c r="AQ2972" s="6">
        <f>YEAR(AS2972)</f>
        <v/>
      </c>
      <c r="AR2972" s="6">
        <f>MONTH(AS2972)</f>
        <v/>
      </c>
    </row>
    <row r="2973">
      <c r="B2973" s="6">
        <f>C2973&amp;D2973</f>
        <v/>
      </c>
      <c r="C2973" s="6">
        <f>YEAR(E2973)</f>
        <v/>
      </c>
      <c r="D2973" s="6">
        <f>MONTH(E2973)</f>
        <v/>
      </c>
      <c r="J2973" s="6">
        <f>K2973&amp;L2973</f>
        <v/>
      </c>
      <c r="K2973" s="6">
        <f>YEAR(M2973)</f>
        <v/>
      </c>
      <c r="L2973" s="6">
        <f>MONTH(M2973)</f>
        <v/>
      </c>
      <c r="R2973" s="6">
        <f>S2973&amp;T2973</f>
        <v/>
      </c>
      <c r="S2973" s="6">
        <f>YEAR(U2973)</f>
        <v/>
      </c>
      <c r="T2973" s="6">
        <f>MONTH(U2973)</f>
        <v/>
      </c>
      <c r="Z2973" s="6">
        <f>AA2973&amp;AB2973</f>
        <v/>
      </c>
      <c r="AA2973" s="6">
        <f>YEAR(AC2973)</f>
        <v/>
      </c>
      <c r="AB2973" s="6">
        <f>MONTH(AC2973)</f>
        <v/>
      </c>
      <c r="AC2973" s="267">
        <f>IFERROR(__xludf.DUMMYFUNCTION("""COMPUTED_VALUE"""),46133.9986111111)</f>
        <v/>
      </c>
      <c r="AD2973" s="6">
        <f>IFERROR(__xludf.DUMMYFUNCTION("""COMPUTED_VALUE"""),1485.8)</f>
        <v/>
      </c>
      <c r="AH2973" s="6">
        <f>AI2973&amp;AJ2973</f>
        <v/>
      </c>
      <c r="AI2973" s="6">
        <f>YEAR(AK2973)</f>
        <v/>
      </c>
      <c r="AJ2973" s="6">
        <f>MONTH(AK2973)</f>
        <v/>
      </c>
      <c r="AK2973" s="267">
        <f>IFERROR(__xludf.DUMMYFUNCTION("""COMPUTED_VALUE"""),46068.9986111111)</f>
        <v/>
      </c>
      <c r="AL2973" s="6">
        <f>IFERROR(__xludf.DUMMYFUNCTION("""COMPUTED_VALUE"""),70184.87)</f>
        <v/>
      </c>
      <c r="AP2973" s="6">
        <f>AQ2973&amp;AR2973</f>
        <v/>
      </c>
      <c r="AQ2973" s="6">
        <f>YEAR(AS2973)</f>
        <v/>
      </c>
      <c r="AR2973" s="6">
        <f>MONTH(AS2973)</f>
        <v/>
      </c>
    </row>
    <row r="2974">
      <c r="B2974" s="6">
        <f>C2974&amp;D2974</f>
        <v/>
      </c>
      <c r="C2974" s="6">
        <f>YEAR(E2974)</f>
        <v/>
      </c>
      <c r="D2974" s="6">
        <f>MONTH(E2974)</f>
        <v/>
      </c>
      <c r="J2974" s="6">
        <f>K2974&amp;L2974</f>
        <v/>
      </c>
      <c r="K2974" s="6">
        <f>YEAR(M2974)</f>
        <v/>
      </c>
      <c r="L2974" s="6">
        <f>MONTH(M2974)</f>
        <v/>
      </c>
      <c r="R2974" s="6">
        <f>S2974&amp;T2974</f>
        <v/>
      </c>
      <c r="S2974" s="6">
        <f>YEAR(U2974)</f>
        <v/>
      </c>
      <c r="T2974" s="6">
        <f>MONTH(U2974)</f>
        <v/>
      </c>
      <c r="Z2974" s="6">
        <f>AA2974&amp;AB2974</f>
        <v/>
      </c>
      <c r="AA2974" s="6">
        <f>YEAR(AC2974)</f>
        <v/>
      </c>
      <c r="AB2974" s="6">
        <f>MONTH(AC2974)</f>
        <v/>
      </c>
      <c r="AC2974" s="267">
        <f>IFERROR(__xludf.DUMMYFUNCTION("""COMPUTED_VALUE"""),46134.9986111111)</f>
        <v/>
      </c>
      <c r="AD2974" s="6">
        <f>IFERROR(__xludf.DUMMYFUNCTION("""COMPUTED_VALUE"""),1477.96)</f>
        <v/>
      </c>
      <c r="AH2974" s="6">
        <f>AI2974&amp;AJ2974</f>
        <v/>
      </c>
      <c r="AI2974" s="6">
        <f>YEAR(AK2974)</f>
        <v/>
      </c>
      <c r="AJ2974" s="6">
        <f>MONTH(AK2974)</f>
        <v/>
      </c>
      <c r="AK2974" s="267">
        <f>IFERROR(__xludf.DUMMYFUNCTION("""COMPUTED_VALUE"""),46069.9986111111)</f>
        <v/>
      </c>
      <c r="AL2974" s="6">
        <f>IFERROR(__xludf.DUMMYFUNCTION("""COMPUTED_VALUE"""),68865.44)</f>
        <v/>
      </c>
      <c r="AP2974" s="6">
        <f>AQ2974&amp;AR2974</f>
        <v/>
      </c>
      <c r="AQ2974" s="6">
        <f>YEAR(AS2974)</f>
        <v/>
      </c>
      <c r="AR2974" s="6">
        <f>MONTH(AS2974)</f>
        <v/>
      </c>
    </row>
    <row r="2975">
      <c r="B2975" s="6">
        <f>C2975&amp;D2975</f>
        <v/>
      </c>
      <c r="C2975" s="6">
        <f>YEAR(E2975)</f>
        <v/>
      </c>
      <c r="D2975" s="6">
        <f>MONTH(E2975)</f>
        <v/>
      </c>
      <c r="J2975" s="6">
        <f>K2975&amp;L2975</f>
        <v/>
      </c>
      <c r="K2975" s="6">
        <f>YEAR(M2975)</f>
        <v/>
      </c>
      <c r="L2975" s="6">
        <f>MONTH(M2975)</f>
        <v/>
      </c>
      <c r="R2975" s="6">
        <f>S2975&amp;T2975</f>
        <v/>
      </c>
      <c r="S2975" s="6">
        <f>YEAR(U2975)</f>
        <v/>
      </c>
      <c r="T2975" s="6">
        <f>MONTH(U2975)</f>
        <v/>
      </c>
      <c r="Z2975" s="6">
        <f>AA2975&amp;AB2975</f>
        <v/>
      </c>
      <c r="AA2975" s="6">
        <f>YEAR(AC2975)</f>
        <v/>
      </c>
      <c r="AB2975" s="6">
        <f>MONTH(AC2975)</f>
        <v/>
      </c>
      <c r="AC2975" s="267">
        <f>IFERROR(__xludf.DUMMYFUNCTION("""COMPUTED_VALUE"""),46135.9986111111)</f>
        <v/>
      </c>
      <c r="AD2975" s="6">
        <f>IFERROR(__xludf.DUMMYFUNCTION("""COMPUTED_VALUE"""),1479.95)</f>
        <v/>
      </c>
      <c r="AH2975" s="6">
        <f>AI2975&amp;AJ2975</f>
        <v/>
      </c>
      <c r="AI2975" s="6">
        <f>YEAR(AK2975)</f>
        <v/>
      </c>
      <c r="AJ2975" s="6">
        <f>MONTH(AK2975)</f>
        <v/>
      </c>
      <c r="AK2975" s="267">
        <f>IFERROR(__xludf.DUMMYFUNCTION("""COMPUTED_VALUE"""),46070.9986111111)</f>
        <v/>
      </c>
      <c r="AL2975" s="6">
        <f>IFERROR(__xludf.DUMMYFUNCTION("""COMPUTED_VALUE"""),68441.63)</f>
        <v/>
      </c>
      <c r="AP2975" s="6">
        <f>AQ2975&amp;AR2975</f>
        <v/>
      </c>
      <c r="AQ2975" s="6">
        <f>YEAR(AS2975)</f>
        <v/>
      </c>
      <c r="AR2975" s="6">
        <f>MONTH(AS2975)</f>
        <v/>
      </c>
    </row>
    <row r="2976">
      <c r="B2976" s="6">
        <f>C2976&amp;D2976</f>
        <v/>
      </c>
      <c r="C2976" s="6">
        <f>YEAR(E2976)</f>
        <v/>
      </c>
      <c r="D2976" s="6">
        <f>MONTH(E2976)</f>
        <v/>
      </c>
      <c r="J2976" s="6">
        <f>K2976&amp;L2976</f>
        <v/>
      </c>
      <c r="K2976" s="6">
        <f>YEAR(M2976)</f>
        <v/>
      </c>
      <c r="L2976" s="6">
        <f>MONTH(M2976)</f>
        <v/>
      </c>
      <c r="R2976" s="6">
        <f>S2976&amp;T2976</f>
        <v/>
      </c>
      <c r="S2976" s="6">
        <f>YEAR(U2976)</f>
        <v/>
      </c>
      <c r="T2976" s="6">
        <f>MONTH(U2976)</f>
        <v/>
      </c>
      <c r="Z2976" s="6">
        <f>AA2976&amp;AB2976</f>
        <v/>
      </c>
      <c r="AA2976" s="6">
        <f>YEAR(AC2976)</f>
        <v/>
      </c>
      <c r="AB2976" s="6">
        <f>MONTH(AC2976)</f>
        <v/>
      </c>
      <c r="AC2976" s="267">
        <f>IFERROR(__xludf.DUMMYFUNCTION("""COMPUTED_VALUE"""),46136.9986111111)</f>
        <v/>
      </c>
      <c r="AD2976" s="6">
        <f>IFERROR(__xludf.DUMMYFUNCTION("""COMPUTED_VALUE"""),1475.64)</f>
        <v/>
      </c>
      <c r="AH2976" s="6">
        <f>AI2976&amp;AJ2976</f>
        <v/>
      </c>
      <c r="AI2976" s="6">
        <f>YEAR(AK2976)</f>
        <v/>
      </c>
      <c r="AJ2976" s="6">
        <f>MONTH(AK2976)</f>
        <v/>
      </c>
      <c r="AK2976" s="267">
        <f>IFERROR(__xludf.DUMMYFUNCTION("""COMPUTED_VALUE"""),46071.9986111111)</f>
        <v/>
      </c>
      <c r="AL2976" s="6">
        <f>IFERROR(__xludf.DUMMYFUNCTION("""COMPUTED_VALUE"""),67804.04)</f>
        <v/>
      </c>
      <c r="AP2976" s="6">
        <f>AQ2976&amp;AR2976</f>
        <v/>
      </c>
      <c r="AQ2976" s="6">
        <f>YEAR(AS2976)</f>
        <v/>
      </c>
      <c r="AR2976" s="6">
        <f>MONTH(AS2976)</f>
        <v/>
      </c>
    </row>
    <row r="2977">
      <c r="B2977" s="6">
        <f>C2977&amp;D2977</f>
        <v/>
      </c>
      <c r="C2977" s="6">
        <f>YEAR(E2977)</f>
        <v/>
      </c>
      <c r="D2977" s="6">
        <f>MONTH(E2977)</f>
        <v/>
      </c>
      <c r="J2977" s="6">
        <f>K2977&amp;L2977</f>
        <v/>
      </c>
      <c r="K2977" s="6">
        <f>YEAR(M2977)</f>
        <v/>
      </c>
      <c r="L2977" s="6">
        <f>MONTH(M2977)</f>
        <v/>
      </c>
      <c r="R2977" s="6">
        <f>S2977&amp;T2977</f>
        <v/>
      </c>
      <c r="S2977" s="6">
        <f>YEAR(U2977)</f>
        <v/>
      </c>
      <c r="T2977" s="6">
        <f>MONTH(U2977)</f>
        <v/>
      </c>
      <c r="Z2977" s="6">
        <f>AA2977&amp;AB2977</f>
        <v/>
      </c>
      <c r="AA2977" s="6">
        <f>YEAR(AC2977)</f>
        <v/>
      </c>
      <c r="AB2977" s="6">
        <f>MONTH(AC2977)</f>
        <v/>
      </c>
      <c r="AC2977" s="267">
        <f>IFERROR(__xludf.DUMMYFUNCTION("""COMPUTED_VALUE"""),46137.9986111111)</f>
        <v/>
      </c>
      <c r="AD2977" s="6">
        <f>IFERROR(__xludf.DUMMYFUNCTION("""COMPUTED_VALUE"""),1474.67)</f>
        <v/>
      </c>
      <c r="AH2977" s="6">
        <f>AI2977&amp;AJ2977</f>
        <v/>
      </c>
      <c r="AI2977" s="6">
        <f>YEAR(AK2977)</f>
        <v/>
      </c>
      <c r="AJ2977" s="6">
        <f>MONTH(AK2977)</f>
        <v/>
      </c>
      <c r="AK2977" s="267">
        <f>IFERROR(__xludf.DUMMYFUNCTION("""COMPUTED_VALUE"""),46072.9986111111)</f>
        <v/>
      </c>
      <c r="AL2977" s="6">
        <f>IFERROR(__xludf.DUMMYFUNCTION("""COMPUTED_VALUE"""),66838.42)</f>
        <v/>
      </c>
      <c r="AP2977" s="6">
        <f>AQ2977&amp;AR2977</f>
        <v/>
      </c>
      <c r="AQ2977" s="6">
        <f>YEAR(AS2977)</f>
        <v/>
      </c>
      <c r="AR2977" s="6">
        <f>MONTH(AS2977)</f>
        <v/>
      </c>
    </row>
    <row r="2978">
      <c r="B2978" s="6">
        <f>C2978&amp;D2978</f>
        <v/>
      </c>
      <c r="C2978" s="6">
        <f>YEAR(E2978)</f>
        <v/>
      </c>
      <c r="D2978" s="6">
        <f>MONTH(E2978)</f>
        <v/>
      </c>
      <c r="J2978" s="6">
        <f>K2978&amp;L2978</f>
        <v/>
      </c>
      <c r="K2978" s="6">
        <f>YEAR(M2978)</f>
        <v/>
      </c>
      <c r="L2978" s="6">
        <f>MONTH(M2978)</f>
        <v/>
      </c>
      <c r="R2978" s="6">
        <f>S2978&amp;T2978</f>
        <v/>
      </c>
      <c r="S2978" s="6">
        <f>YEAR(U2978)</f>
        <v/>
      </c>
      <c r="T2978" s="6">
        <f>MONTH(U2978)</f>
        <v/>
      </c>
      <c r="Z2978" s="6">
        <f>AA2978&amp;AB2978</f>
        <v/>
      </c>
      <c r="AA2978" s="6">
        <f>YEAR(AC2978)</f>
        <v/>
      </c>
      <c r="AB2978" s="6">
        <f>MONTH(AC2978)</f>
        <v/>
      </c>
      <c r="AC2978" s="267">
        <f>IFERROR(__xludf.DUMMYFUNCTION("""COMPUTED_VALUE"""),46138.9986111111)</f>
        <v/>
      </c>
      <c r="AD2978" s="6">
        <f>IFERROR(__xludf.DUMMYFUNCTION("""COMPUTED_VALUE"""),1474.69)</f>
        <v/>
      </c>
      <c r="AH2978" s="6">
        <f>AI2978&amp;AJ2978</f>
        <v/>
      </c>
      <c r="AI2978" s="6">
        <f>YEAR(AK2978)</f>
        <v/>
      </c>
      <c r="AJ2978" s="6">
        <f>MONTH(AK2978)</f>
        <v/>
      </c>
      <c r="AK2978" s="267">
        <f>IFERROR(__xludf.DUMMYFUNCTION("""COMPUTED_VALUE"""),46073.9986111111)</f>
        <v/>
      </c>
      <c r="AL2978" s="6">
        <f>IFERROR(__xludf.DUMMYFUNCTION("""COMPUTED_VALUE"""),67278.25)</f>
        <v/>
      </c>
      <c r="AP2978" s="6">
        <f>AQ2978&amp;AR2978</f>
        <v/>
      </c>
      <c r="AQ2978" s="6">
        <f>YEAR(AS2978)</f>
        <v/>
      </c>
      <c r="AR2978" s="6">
        <f>MONTH(AS2978)</f>
        <v/>
      </c>
    </row>
    <row r="2979">
      <c r="B2979" s="6">
        <f>C2979&amp;D2979</f>
        <v/>
      </c>
      <c r="C2979" s="6">
        <f>YEAR(E2979)</f>
        <v/>
      </c>
      <c r="D2979" s="6">
        <f>MONTH(E2979)</f>
        <v/>
      </c>
      <c r="J2979" s="6">
        <f>K2979&amp;L2979</f>
        <v/>
      </c>
      <c r="K2979" s="6">
        <f>YEAR(M2979)</f>
        <v/>
      </c>
      <c r="L2979" s="6">
        <f>MONTH(M2979)</f>
        <v/>
      </c>
      <c r="R2979" s="6">
        <f>S2979&amp;T2979</f>
        <v/>
      </c>
      <c r="S2979" s="6">
        <f>YEAR(U2979)</f>
        <v/>
      </c>
      <c r="T2979" s="6">
        <f>MONTH(U2979)</f>
        <v/>
      </c>
      <c r="Z2979" s="6">
        <f>AA2979&amp;AB2979</f>
        <v/>
      </c>
      <c r="AA2979" s="6">
        <f>YEAR(AC2979)</f>
        <v/>
      </c>
      <c r="AB2979" s="6">
        <f>MONTH(AC2979)</f>
        <v/>
      </c>
      <c r="AC2979" s="267">
        <f>IFERROR(__xludf.DUMMYFUNCTION("""COMPUTED_VALUE"""),46139.9986111111)</f>
        <v/>
      </c>
      <c r="AD2979" s="6">
        <f>IFERROR(__xludf.DUMMYFUNCTION("""COMPUTED_VALUE"""),1473)</f>
        <v/>
      </c>
      <c r="AH2979" s="6">
        <f>AI2979&amp;AJ2979</f>
        <v/>
      </c>
      <c r="AI2979" s="6">
        <f>YEAR(AK2979)</f>
        <v/>
      </c>
      <c r="AJ2979" s="6">
        <f>MONTH(AK2979)</f>
        <v/>
      </c>
      <c r="AK2979" s="267">
        <f>IFERROR(__xludf.DUMMYFUNCTION("""COMPUTED_VALUE"""),46074.9986111111)</f>
        <v/>
      </c>
      <c r="AL2979" s="6">
        <f>IFERROR(__xludf.DUMMYFUNCTION("""COMPUTED_VALUE"""),67823.55)</f>
        <v/>
      </c>
      <c r="AP2979" s="6">
        <f>AQ2979&amp;AR2979</f>
        <v/>
      </c>
      <c r="AQ2979" s="6">
        <f>YEAR(AS2979)</f>
        <v/>
      </c>
      <c r="AR2979" s="6">
        <f>MONTH(AS2979)</f>
        <v/>
      </c>
    </row>
    <row r="2980">
      <c r="B2980" s="6">
        <f>C2980&amp;D2980</f>
        <v/>
      </c>
      <c r="C2980" s="6">
        <f>YEAR(E2980)</f>
        <v/>
      </c>
      <c r="D2980" s="6">
        <f>MONTH(E2980)</f>
        <v/>
      </c>
      <c r="J2980" s="6">
        <f>K2980&amp;L2980</f>
        <v/>
      </c>
      <c r="K2980" s="6">
        <f>YEAR(M2980)</f>
        <v/>
      </c>
      <c r="L2980" s="6">
        <f>MONTH(M2980)</f>
        <v/>
      </c>
      <c r="R2980" s="6">
        <f>S2980&amp;T2980</f>
        <v/>
      </c>
      <c r="S2980" s="6">
        <f>YEAR(U2980)</f>
        <v/>
      </c>
      <c r="T2980" s="6">
        <f>MONTH(U2980)</f>
        <v/>
      </c>
      <c r="Z2980" s="6">
        <f>AA2980&amp;AB2980</f>
        <v/>
      </c>
      <c r="AA2980" s="6">
        <f>YEAR(AC2980)</f>
        <v/>
      </c>
      <c r="AB2980" s="6">
        <f>MONTH(AC2980)</f>
        <v/>
      </c>
      <c r="AC2980" s="267">
        <f>IFERROR(__xludf.DUMMYFUNCTION("""COMPUTED_VALUE"""),46140.9986111111)</f>
        <v/>
      </c>
      <c r="AD2980" s="6">
        <f>IFERROR(__xludf.DUMMYFUNCTION("""COMPUTED_VALUE"""),1471.99)</f>
        <v/>
      </c>
      <c r="AH2980" s="6">
        <f>AI2980&amp;AJ2980</f>
        <v/>
      </c>
      <c r="AI2980" s="6">
        <f>YEAR(AK2980)</f>
        <v/>
      </c>
      <c r="AJ2980" s="6">
        <f>MONTH(AK2980)</f>
        <v/>
      </c>
      <c r="AK2980" s="267">
        <f>IFERROR(__xludf.DUMMYFUNCTION("""COMPUTED_VALUE"""),46075.9986111111)</f>
        <v/>
      </c>
      <c r="AL2980" s="6">
        <f>IFERROR(__xludf.DUMMYFUNCTION("""COMPUTED_VALUE"""),67988.04)</f>
        <v/>
      </c>
      <c r="AP2980" s="6">
        <f>AQ2980&amp;AR2980</f>
        <v/>
      </c>
      <c r="AQ2980" s="6">
        <f>YEAR(AS2980)</f>
        <v/>
      </c>
      <c r="AR2980" s="6">
        <f>MONTH(AS2980)</f>
        <v/>
      </c>
    </row>
    <row r="2981">
      <c r="B2981" s="6">
        <f>C2981&amp;D2981</f>
        <v/>
      </c>
      <c r="C2981" s="6">
        <f>YEAR(E2981)</f>
        <v/>
      </c>
      <c r="D2981" s="6">
        <f>MONTH(E2981)</f>
        <v/>
      </c>
      <c r="J2981" s="6">
        <f>K2981&amp;L2981</f>
        <v/>
      </c>
      <c r="K2981" s="6">
        <f>YEAR(M2981)</f>
        <v/>
      </c>
      <c r="L2981" s="6">
        <f>MONTH(M2981)</f>
        <v/>
      </c>
      <c r="R2981" s="6">
        <f>S2981&amp;T2981</f>
        <v/>
      </c>
      <c r="S2981" s="6">
        <f>YEAR(U2981)</f>
        <v/>
      </c>
      <c r="T2981" s="6">
        <f>MONTH(U2981)</f>
        <v/>
      </c>
      <c r="Z2981" s="6">
        <f>AA2981&amp;AB2981</f>
        <v/>
      </c>
      <c r="AA2981" s="6">
        <f>YEAR(AC2981)</f>
        <v/>
      </c>
      <c r="AB2981" s="6">
        <f>MONTH(AC2981)</f>
        <v/>
      </c>
      <c r="AC2981" s="267">
        <f>IFERROR(__xludf.DUMMYFUNCTION("""COMPUTED_VALUE"""),46141.9986111111)</f>
        <v/>
      </c>
      <c r="AD2981" s="6">
        <f>IFERROR(__xludf.DUMMYFUNCTION("""COMPUTED_VALUE"""),1487.38)</f>
        <v/>
      </c>
      <c r="AH2981" s="6">
        <f>AI2981&amp;AJ2981</f>
        <v/>
      </c>
      <c r="AI2981" s="6">
        <f>YEAR(AK2981)</f>
        <v/>
      </c>
      <c r="AJ2981" s="6">
        <f>MONTH(AK2981)</f>
        <v/>
      </c>
      <c r="AK2981" s="267">
        <f>IFERROR(__xludf.DUMMYFUNCTION("""COMPUTED_VALUE"""),46076.9986111111)</f>
        <v/>
      </c>
      <c r="AL2981" s="6">
        <f>IFERROR(__xludf.DUMMYFUNCTION("""COMPUTED_VALUE"""),64845.25)</f>
        <v/>
      </c>
      <c r="AP2981" s="6">
        <f>AQ2981&amp;AR2981</f>
        <v/>
      </c>
      <c r="AQ2981" s="6">
        <f>YEAR(AS2981)</f>
        <v/>
      </c>
      <c r="AR2981" s="6">
        <f>MONTH(AS2981)</f>
        <v/>
      </c>
    </row>
    <row r="2982">
      <c r="B2982" s="6">
        <f>C2982&amp;D2982</f>
        <v/>
      </c>
      <c r="C2982" s="6">
        <f>YEAR(E2982)</f>
        <v/>
      </c>
      <c r="D2982" s="6">
        <f>MONTH(E2982)</f>
        <v/>
      </c>
      <c r="J2982" s="6">
        <f>K2982&amp;L2982</f>
        <v/>
      </c>
      <c r="K2982" s="6">
        <f>YEAR(M2982)</f>
        <v/>
      </c>
      <c r="L2982" s="6">
        <f>MONTH(M2982)</f>
        <v/>
      </c>
      <c r="R2982" s="6">
        <f>S2982&amp;T2982</f>
        <v/>
      </c>
      <c r="S2982" s="6">
        <f>YEAR(U2982)</f>
        <v/>
      </c>
      <c r="T2982" s="6">
        <f>MONTH(U2982)</f>
        <v/>
      </c>
      <c r="Z2982" s="6">
        <f>AA2982&amp;AB2982</f>
        <v/>
      </c>
      <c r="AA2982" s="6">
        <f>YEAR(AC2982)</f>
        <v/>
      </c>
      <c r="AB2982" s="6">
        <f>MONTH(AC2982)</f>
        <v/>
      </c>
      <c r="AC2982" s="267">
        <f>IFERROR(__xludf.DUMMYFUNCTION("""COMPUTED_VALUE"""),46142.9986111111)</f>
        <v/>
      </c>
      <c r="AD2982" s="6">
        <f>IFERROR(__xludf.DUMMYFUNCTION("""COMPUTED_VALUE"""),1474.01)</f>
        <v/>
      </c>
      <c r="AH2982" s="6">
        <f>AI2982&amp;AJ2982</f>
        <v/>
      </c>
      <c r="AI2982" s="6">
        <f>YEAR(AK2982)</f>
        <v/>
      </c>
      <c r="AJ2982" s="6">
        <f>MONTH(AK2982)</f>
        <v/>
      </c>
      <c r="AK2982" s="267">
        <f>IFERROR(__xludf.DUMMYFUNCTION("""COMPUTED_VALUE"""),46077.9986111111)</f>
        <v/>
      </c>
      <c r="AL2982" s="6">
        <f>IFERROR(__xludf.DUMMYFUNCTION("""COMPUTED_VALUE"""),63326.75)</f>
        <v/>
      </c>
      <c r="AP2982" s="6">
        <f>AQ2982&amp;AR2982</f>
        <v/>
      </c>
      <c r="AQ2982" s="6">
        <f>YEAR(AS2982)</f>
        <v/>
      </c>
      <c r="AR2982" s="6">
        <f>MONTH(AS2982)</f>
        <v/>
      </c>
    </row>
    <row r="2983">
      <c r="B2983" s="6">
        <f>C2983&amp;D2983</f>
        <v/>
      </c>
      <c r="C2983" s="6">
        <f>YEAR(E2983)</f>
        <v/>
      </c>
      <c r="D2983" s="6">
        <f>MONTH(E2983)</f>
        <v/>
      </c>
      <c r="J2983" s="6">
        <f>K2983&amp;L2983</f>
        <v/>
      </c>
      <c r="K2983" s="6">
        <f>YEAR(M2983)</f>
        <v/>
      </c>
      <c r="L2983" s="6">
        <f>MONTH(M2983)</f>
        <v/>
      </c>
      <c r="R2983" s="6">
        <f>S2983&amp;T2983</f>
        <v/>
      </c>
      <c r="S2983" s="6">
        <f>YEAR(U2983)</f>
        <v/>
      </c>
      <c r="T2983" s="6">
        <f>MONTH(U2983)</f>
        <v/>
      </c>
      <c r="Z2983" s="6">
        <f>AA2983&amp;AB2983</f>
        <v/>
      </c>
      <c r="AA2983" s="6">
        <f>YEAR(AC2983)</f>
        <v/>
      </c>
      <c r="AB2983" s="6">
        <f>MONTH(AC2983)</f>
        <v/>
      </c>
      <c r="AC2983" s="267">
        <f>IFERROR(__xludf.DUMMYFUNCTION("""COMPUTED_VALUE"""),46143.9986111111)</f>
        <v/>
      </c>
      <c r="AD2983" s="6">
        <f>IFERROR(__xludf.DUMMYFUNCTION("""COMPUTED_VALUE"""),1470.32)</f>
        <v/>
      </c>
      <c r="AH2983" s="6">
        <f>AI2983&amp;AJ2983</f>
        <v/>
      </c>
      <c r="AI2983" s="6">
        <f>YEAR(AK2983)</f>
        <v/>
      </c>
      <c r="AJ2983" s="6">
        <f>MONTH(AK2983)</f>
        <v/>
      </c>
      <c r="AK2983" s="267">
        <f>IFERROR(__xludf.DUMMYFUNCTION("""COMPUTED_VALUE"""),46078.9986111111)</f>
        <v/>
      </c>
      <c r="AL2983" s="6">
        <f>IFERROR(__xludf.DUMMYFUNCTION("""COMPUTED_VALUE"""),65449.49)</f>
        <v/>
      </c>
      <c r="AP2983" s="6">
        <f>AQ2983&amp;AR2983</f>
        <v/>
      </c>
      <c r="AQ2983" s="6">
        <f>YEAR(AS2983)</f>
        <v/>
      </c>
      <c r="AR2983" s="6">
        <f>MONTH(AS2983)</f>
        <v/>
      </c>
    </row>
    <row r="2984">
      <c r="B2984" s="6">
        <f>C2984&amp;D2984</f>
        <v/>
      </c>
      <c r="C2984" s="6">
        <f>YEAR(E2984)</f>
        <v/>
      </c>
      <c r="D2984" s="6">
        <f>MONTH(E2984)</f>
        <v/>
      </c>
      <c r="J2984" s="6">
        <f>K2984&amp;L2984</f>
        <v/>
      </c>
      <c r="K2984" s="6">
        <f>YEAR(M2984)</f>
        <v/>
      </c>
      <c r="L2984" s="6">
        <f>MONTH(M2984)</f>
        <v/>
      </c>
      <c r="R2984" s="6">
        <f>S2984&amp;T2984</f>
        <v/>
      </c>
      <c r="S2984" s="6">
        <f>YEAR(U2984)</f>
        <v/>
      </c>
      <c r="T2984" s="6">
        <f>MONTH(U2984)</f>
        <v/>
      </c>
      <c r="Z2984" s="6">
        <f>AA2984&amp;AB2984</f>
        <v/>
      </c>
      <c r="AA2984" s="6">
        <f>YEAR(AC2984)</f>
        <v/>
      </c>
      <c r="AB2984" s="6">
        <f>MONTH(AC2984)</f>
        <v/>
      </c>
      <c r="AC2984" s="267">
        <f>IFERROR(__xludf.DUMMYFUNCTION("""COMPUTED_VALUE"""),46144.9986111111)</f>
        <v/>
      </c>
      <c r="AD2984" s="6">
        <f>IFERROR(__xludf.DUMMYFUNCTION("""COMPUTED_VALUE"""),1471.73)</f>
        <v/>
      </c>
      <c r="AH2984" s="6">
        <f>AI2984&amp;AJ2984</f>
        <v/>
      </c>
      <c r="AI2984" s="6">
        <f>YEAR(AK2984)</f>
        <v/>
      </c>
      <c r="AJ2984" s="6">
        <f>MONTH(AK2984)</f>
        <v/>
      </c>
      <c r="AK2984" s="267">
        <f>IFERROR(__xludf.DUMMYFUNCTION("""COMPUTED_VALUE"""),46079.9986111111)</f>
        <v/>
      </c>
      <c r="AL2984" s="6">
        <f>IFERROR(__xludf.DUMMYFUNCTION("""COMPUTED_VALUE"""),68623.96)</f>
        <v/>
      </c>
      <c r="AP2984" s="6">
        <f>AQ2984&amp;AR2984</f>
        <v/>
      </c>
      <c r="AQ2984" s="6">
        <f>YEAR(AS2984)</f>
        <v/>
      </c>
      <c r="AR2984" s="6">
        <f>MONTH(AS2984)</f>
        <v/>
      </c>
    </row>
    <row r="2985">
      <c r="B2985" s="6">
        <f>C2985&amp;D2985</f>
        <v/>
      </c>
      <c r="C2985" s="6">
        <f>YEAR(E2985)</f>
        <v/>
      </c>
      <c r="D2985" s="6">
        <f>MONTH(E2985)</f>
        <v/>
      </c>
      <c r="J2985" s="6">
        <f>K2985&amp;L2985</f>
        <v/>
      </c>
      <c r="K2985" s="6">
        <f>YEAR(M2985)</f>
        <v/>
      </c>
      <c r="L2985" s="6">
        <f>MONTH(M2985)</f>
        <v/>
      </c>
      <c r="R2985" s="6">
        <f>S2985&amp;T2985</f>
        <v/>
      </c>
      <c r="S2985" s="6">
        <f>YEAR(U2985)</f>
        <v/>
      </c>
      <c r="T2985" s="6">
        <f>MONTH(U2985)</f>
        <v/>
      </c>
      <c r="Z2985" s="6">
        <f>AA2985&amp;AB2985</f>
        <v/>
      </c>
      <c r="AA2985" s="6">
        <f>YEAR(AC2985)</f>
        <v/>
      </c>
      <c r="AB2985" s="6">
        <f>MONTH(AC2985)</f>
        <v/>
      </c>
      <c r="AC2985" s="267">
        <f>IFERROR(__xludf.DUMMYFUNCTION("""COMPUTED_VALUE"""),46145.9986111111)</f>
        <v/>
      </c>
      <c r="AD2985" s="6">
        <f>IFERROR(__xludf.DUMMYFUNCTION("""COMPUTED_VALUE"""),1471.73)</f>
        <v/>
      </c>
      <c r="AH2985" s="6">
        <f>AI2985&amp;AJ2985</f>
        <v/>
      </c>
      <c r="AI2985" s="6">
        <f>YEAR(AK2985)</f>
        <v/>
      </c>
      <c r="AJ2985" s="6">
        <f>MONTH(AK2985)</f>
        <v/>
      </c>
      <c r="AK2985" s="267">
        <f>IFERROR(__xludf.DUMMYFUNCTION("""COMPUTED_VALUE"""),46080.9986111111)</f>
        <v/>
      </c>
      <c r="AL2985" s="6">
        <f>IFERROR(__xludf.DUMMYFUNCTION("""COMPUTED_VALUE"""),67762.96)</f>
        <v/>
      </c>
      <c r="AP2985" s="6">
        <f>AQ2985&amp;AR2985</f>
        <v/>
      </c>
      <c r="AQ2985" s="6">
        <f>YEAR(AS2985)</f>
        <v/>
      </c>
      <c r="AR2985" s="6">
        <f>MONTH(AS2985)</f>
        <v/>
      </c>
    </row>
    <row r="2986">
      <c r="B2986" s="6">
        <f>C2986&amp;D2986</f>
        <v/>
      </c>
      <c r="C2986" s="6">
        <f>YEAR(E2986)</f>
        <v/>
      </c>
      <c r="D2986" s="6">
        <f>MONTH(E2986)</f>
        <v/>
      </c>
      <c r="J2986" s="6">
        <f>K2986&amp;L2986</f>
        <v/>
      </c>
      <c r="K2986" s="6">
        <f>YEAR(M2986)</f>
        <v/>
      </c>
      <c r="L2986" s="6">
        <f>MONTH(M2986)</f>
        <v/>
      </c>
      <c r="R2986" s="6">
        <f>S2986&amp;T2986</f>
        <v/>
      </c>
      <c r="S2986" s="6">
        <f>YEAR(U2986)</f>
        <v/>
      </c>
      <c r="T2986" s="6">
        <f>MONTH(U2986)</f>
        <v/>
      </c>
      <c r="Z2986" s="6">
        <f>AA2986&amp;AB2986</f>
        <v/>
      </c>
      <c r="AA2986" s="6">
        <f>YEAR(AC2986)</f>
        <v/>
      </c>
      <c r="AB2986" s="6">
        <f>MONTH(AC2986)</f>
        <v/>
      </c>
      <c r="AC2986" s="267">
        <f>IFERROR(__xludf.DUMMYFUNCTION("""COMPUTED_VALUE"""),46146.9986111111)</f>
        <v/>
      </c>
      <c r="AD2986" s="6">
        <f>IFERROR(__xludf.DUMMYFUNCTION("""COMPUTED_VALUE"""),1476.05)</f>
        <v/>
      </c>
      <c r="AH2986" s="6">
        <f>AI2986&amp;AJ2986</f>
        <v/>
      </c>
      <c r="AI2986" s="6">
        <f>YEAR(AK2986)</f>
        <v/>
      </c>
      <c r="AJ2986" s="6">
        <f>MONTH(AK2986)</f>
        <v/>
      </c>
      <c r="AK2986" s="267">
        <f>IFERROR(__xludf.DUMMYFUNCTION("""COMPUTED_VALUE"""),46081.9986111111)</f>
        <v/>
      </c>
      <c r="AL2986" s="6">
        <f>IFERROR(__xludf.DUMMYFUNCTION("""COMPUTED_VALUE"""),65696.42)</f>
        <v/>
      </c>
      <c r="AP2986" s="6">
        <f>AQ2986&amp;AR2986</f>
        <v/>
      </c>
      <c r="AQ2986" s="6">
        <f>YEAR(AS2986)</f>
        <v/>
      </c>
      <c r="AR2986" s="6">
        <f>MONTH(AS2986)</f>
        <v/>
      </c>
    </row>
    <row r="2987">
      <c r="B2987" s="6">
        <f>C2987&amp;D2987</f>
        <v/>
      </c>
      <c r="C2987" s="6">
        <f>YEAR(E2987)</f>
        <v/>
      </c>
      <c r="D2987" s="6">
        <f>MONTH(E2987)</f>
        <v/>
      </c>
      <c r="J2987" s="6">
        <f>K2987&amp;L2987</f>
        <v/>
      </c>
      <c r="K2987" s="6">
        <f>YEAR(M2987)</f>
        <v/>
      </c>
      <c r="L2987" s="6">
        <f>MONTH(M2987)</f>
        <v/>
      </c>
      <c r="R2987" s="6">
        <f>S2987&amp;T2987</f>
        <v/>
      </c>
      <c r="S2987" s="6">
        <f>YEAR(U2987)</f>
        <v/>
      </c>
      <c r="T2987" s="6">
        <f>MONTH(U2987)</f>
        <v/>
      </c>
      <c r="Z2987" s="6">
        <f>AA2987&amp;AB2987</f>
        <v/>
      </c>
      <c r="AA2987" s="6">
        <f>YEAR(AC2987)</f>
        <v/>
      </c>
      <c r="AB2987" s="6">
        <f>MONTH(AC2987)</f>
        <v/>
      </c>
      <c r="AC2987" s="267">
        <f>IFERROR(__xludf.DUMMYFUNCTION("""COMPUTED_VALUE"""),46147.9986111111)</f>
        <v/>
      </c>
      <c r="AD2987" s="6">
        <f>IFERROR(__xludf.DUMMYFUNCTION("""COMPUTED_VALUE"""),1473.96)</f>
        <v/>
      </c>
      <c r="AH2987" s="6">
        <f>AI2987&amp;AJ2987</f>
        <v/>
      </c>
      <c r="AI2987" s="6">
        <f>YEAR(AK2987)</f>
        <v/>
      </c>
      <c r="AJ2987" s="6">
        <f>MONTH(AK2987)</f>
        <v/>
      </c>
      <c r="AK2987" s="267">
        <f>IFERROR(__xludf.DUMMYFUNCTION("""COMPUTED_VALUE"""),46082.9986111111)</f>
        <v/>
      </c>
      <c r="AL2987" s="6">
        <f>IFERROR(__xludf.DUMMYFUNCTION("""COMPUTED_VALUE"""),67356.82)</f>
        <v/>
      </c>
      <c r="AP2987" s="6">
        <f>AQ2987&amp;AR2987</f>
        <v/>
      </c>
      <c r="AQ2987" s="6">
        <f>YEAR(AS2987)</f>
        <v/>
      </c>
      <c r="AR2987" s="6">
        <f>MONTH(AS2987)</f>
        <v/>
      </c>
    </row>
    <row r="2988">
      <c r="B2988" s="6">
        <f>C2988&amp;D2988</f>
        <v/>
      </c>
      <c r="C2988" s="6">
        <f>YEAR(E2988)</f>
        <v/>
      </c>
      <c r="D2988" s="6">
        <f>MONTH(E2988)</f>
        <v/>
      </c>
      <c r="J2988" s="6">
        <f>K2988&amp;L2988</f>
        <v/>
      </c>
      <c r="K2988" s="6">
        <f>YEAR(M2988)</f>
        <v/>
      </c>
      <c r="L2988" s="6">
        <f>MONTH(M2988)</f>
        <v/>
      </c>
      <c r="R2988" s="6">
        <f>S2988&amp;T2988</f>
        <v/>
      </c>
      <c r="S2988" s="6">
        <f>YEAR(U2988)</f>
        <v/>
      </c>
      <c r="T2988" s="6">
        <f>MONTH(U2988)</f>
        <v/>
      </c>
      <c r="Z2988" s="6">
        <f>AA2988&amp;AB2988</f>
        <v/>
      </c>
      <c r="AA2988" s="6">
        <f>YEAR(AC2988)</f>
        <v/>
      </c>
      <c r="AB2988" s="6">
        <f>MONTH(AC2988)</f>
        <v/>
      </c>
      <c r="AC2988" s="267">
        <f>IFERROR(__xludf.DUMMYFUNCTION("""COMPUTED_VALUE"""),46148.9986111111)</f>
        <v/>
      </c>
      <c r="AD2988" s="6">
        <f>IFERROR(__xludf.DUMMYFUNCTION("""COMPUTED_VALUE"""),1444.45)</f>
        <v/>
      </c>
      <c r="AH2988" s="6">
        <f>AI2988&amp;AJ2988</f>
        <v/>
      </c>
      <c r="AI2988" s="6">
        <f>YEAR(AK2988)</f>
        <v/>
      </c>
      <c r="AJ2988" s="6">
        <f>MONTH(AK2988)</f>
        <v/>
      </c>
      <c r="AK2988" s="267">
        <f>IFERROR(__xludf.DUMMYFUNCTION("""COMPUTED_VALUE"""),46083.9986111111)</f>
        <v/>
      </c>
      <c r="AL2988" s="6">
        <f>IFERROR(__xludf.DUMMYFUNCTION("""COMPUTED_VALUE"""),66798.54)</f>
        <v/>
      </c>
      <c r="AP2988" s="6">
        <f>AQ2988&amp;AR2988</f>
        <v/>
      </c>
      <c r="AQ2988" s="6">
        <f>YEAR(AS2988)</f>
        <v/>
      </c>
      <c r="AR2988" s="6">
        <f>MONTH(AS2988)</f>
        <v/>
      </c>
    </row>
    <row r="2989">
      <c r="B2989" s="6">
        <f>C2989&amp;D2989</f>
        <v/>
      </c>
      <c r="C2989" s="6">
        <f>YEAR(E2989)</f>
        <v/>
      </c>
      <c r="D2989" s="6">
        <f>MONTH(E2989)</f>
        <v/>
      </c>
      <c r="J2989" s="6">
        <f>K2989&amp;L2989</f>
        <v/>
      </c>
      <c r="K2989" s="6">
        <f>YEAR(M2989)</f>
        <v/>
      </c>
      <c r="L2989" s="6">
        <f>MONTH(M2989)</f>
        <v/>
      </c>
      <c r="R2989" s="6">
        <f>S2989&amp;T2989</f>
        <v/>
      </c>
      <c r="S2989" s="6">
        <f>YEAR(U2989)</f>
        <v/>
      </c>
      <c r="T2989" s="6">
        <f>MONTH(U2989)</f>
        <v/>
      </c>
      <c r="Z2989" s="6">
        <f>AA2989&amp;AB2989</f>
        <v/>
      </c>
      <c r="AA2989" s="6">
        <f>YEAR(AC2989)</f>
        <v/>
      </c>
      <c r="AB2989" s="6">
        <f>MONTH(AC2989)</f>
        <v/>
      </c>
      <c r="AC2989" s="267">
        <f>IFERROR(__xludf.DUMMYFUNCTION("""COMPUTED_VALUE"""),46149.9986111111)</f>
        <v/>
      </c>
      <c r="AD2989" s="6">
        <f>IFERROR(__xludf.DUMMYFUNCTION("""COMPUTED_VALUE"""),1454.79)</f>
        <v/>
      </c>
      <c r="AH2989" s="6">
        <f>AI2989&amp;AJ2989</f>
        <v/>
      </c>
      <c r="AI2989" s="6">
        <f>YEAR(AK2989)</f>
        <v/>
      </c>
      <c r="AJ2989" s="6">
        <f>MONTH(AK2989)</f>
        <v/>
      </c>
      <c r="AK2989" s="267">
        <f>IFERROR(__xludf.DUMMYFUNCTION("""COMPUTED_VALUE"""),46084.9986111111)</f>
        <v/>
      </c>
      <c r="AL2989" s="6">
        <f>IFERROR(__xludf.DUMMYFUNCTION("""COMPUTED_VALUE"""),68141.81)</f>
        <v/>
      </c>
      <c r="AP2989" s="6">
        <f>AQ2989&amp;AR2989</f>
        <v/>
      </c>
      <c r="AQ2989" s="6">
        <f>YEAR(AS2989)</f>
        <v/>
      </c>
      <c r="AR2989" s="6">
        <f>MONTH(AS2989)</f>
        <v/>
      </c>
    </row>
    <row r="2990">
      <c r="B2990" s="6">
        <f>C2990&amp;D2990</f>
        <v/>
      </c>
      <c r="C2990" s="6">
        <f>YEAR(E2990)</f>
        <v/>
      </c>
      <c r="D2990" s="6">
        <f>MONTH(E2990)</f>
        <v/>
      </c>
      <c r="J2990" s="6">
        <f>K2990&amp;L2990</f>
        <v/>
      </c>
      <c r="K2990" s="6">
        <f>YEAR(M2990)</f>
        <v/>
      </c>
      <c r="L2990" s="6">
        <f>MONTH(M2990)</f>
        <v/>
      </c>
      <c r="R2990" s="6">
        <f>S2990&amp;T2990</f>
        <v/>
      </c>
      <c r="S2990" s="6">
        <f>YEAR(U2990)</f>
        <v/>
      </c>
      <c r="T2990" s="6">
        <f>MONTH(U2990)</f>
        <v/>
      </c>
      <c r="Z2990" s="6">
        <f>AA2990&amp;AB2990</f>
        <v/>
      </c>
      <c r="AA2990" s="6">
        <f>YEAR(AC2990)</f>
        <v/>
      </c>
      <c r="AB2990" s="6">
        <f>MONTH(AC2990)</f>
        <v/>
      </c>
      <c r="AC2990" s="267">
        <f>IFERROR(__xludf.DUMMYFUNCTION("""COMPUTED_VALUE"""),46150.9986111111)</f>
        <v/>
      </c>
      <c r="AD2990" s="6">
        <f>IFERROR(__xludf.DUMMYFUNCTION("""COMPUTED_VALUE"""),1460.82)</f>
        <v/>
      </c>
      <c r="AH2990" s="6">
        <f>AI2990&amp;AJ2990</f>
        <v/>
      </c>
      <c r="AI2990" s="6">
        <f>YEAR(AK2990)</f>
        <v/>
      </c>
      <c r="AJ2990" s="6">
        <f>MONTH(AK2990)</f>
        <v/>
      </c>
      <c r="AK2990" s="267">
        <f>IFERROR(__xludf.DUMMYFUNCTION("""COMPUTED_VALUE"""),46085.9986111111)</f>
        <v/>
      </c>
      <c r="AL2990" s="6">
        <f>IFERROR(__xludf.DUMMYFUNCTION("""COMPUTED_VALUE"""),67842.73)</f>
        <v/>
      </c>
      <c r="AP2990" s="6">
        <f>AQ2990&amp;AR2990</f>
        <v/>
      </c>
      <c r="AQ2990" s="6">
        <f>YEAR(AS2990)</f>
        <v/>
      </c>
      <c r="AR2990" s="6">
        <f>MONTH(AS2990)</f>
        <v/>
      </c>
    </row>
    <row r="2991">
      <c r="B2991" s="6">
        <f>C2991&amp;D2991</f>
        <v/>
      </c>
      <c r="C2991" s="6">
        <f>YEAR(E2991)</f>
        <v/>
      </c>
      <c r="D2991" s="6">
        <f>MONTH(E2991)</f>
        <v/>
      </c>
      <c r="J2991" s="6">
        <f>K2991&amp;L2991</f>
        <v/>
      </c>
      <c r="K2991" s="6">
        <f>YEAR(M2991)</f>
        <v/>
      </c>
      <c r="L2991" s="6">
        <f>MONTH(M2991)</f>
        <v/>
      </c>
      <c r="R2991" s="6">
        <f>S2991&amp;T2991</f>
        <v/>
      </c>
      <c r="S2991" s="6">
        <f>YEAR(U2991)</f>
        <v/>
      </c>
      <c r="T2991" s="6">
        <f>MONTH(U2991)</f>
        <v/>
      </c>
      <c r="Z2991" s="6">
        <f>AA2991&amp;AB2991</f>
        <v/>
      </c>
      <c r="AA2991" s="6">
        <f>YEAR(AC2991)</f>
        <v/>
      </c>
      <c r="AB2991" s="6">
        <f>MONTH(AC2991)</f>
        <v/>
      </c>
      <c r="AC2991" s="267">
        <f>IFERROR(__xludf.DUMMYFUNCTION("""COMPUTED_VALUE"""),46151.9986111111)</f>
        <v/>
      </c>
      <c r="AD2991" s="6">
        <f>IFERROR(__xludf.DUMMYFUNCTION("""COMPUTED_VALUE"""),1460.42)</f>
        <v/>
      </c>
      <c r="AH2991" s="6">
        <f>AI2991&amp;AJ2991</f>
        <v/>
      </c>
      <c r="AI2991" s="6">
        <f>YEAR(AK2991)</f>
        <v/>
      </c>
      <c r="AJ2991" s="6">
        <f>MONTH(AK2991)</f>
        <v/>
      </c>
      <c r="AK2991" s="267">
        <f>IFERROR(__xludf.DUMMYFUNCTION("""COMPUTED_VALUE"""),46086.9986111111)</f>
        <v/>
      </c>
      <c r="AL2991" s="6">
        <f>IFERROR(__xludf.DUMMYFUNCTION("""COMPUTED_VALUE"""),72847.58)</f>
        <v/>
      </c>
      <c r="AP2991" s="6">
        <f>AQ2991&amp;AR2991</f>
        <v/>
      </c>
      <c r="AQ2991" s="6">
        <f>YEAR(AS2991)</f>
        <v/>
      </c>
      <c r="AR2991" s="6">
        <f>MONTH(AS2991)</f>
        <v/>
      </c>
    </row>
    <row r="2992">
      <c r="B2992" s="6">
        <f>C2992&amp;D2992</f>
        <v/>
      </c>
      <c r="C2992" s="6">
        <f>YEAR(E2992)</f>
        <v/>
      </c>
      <c r="D2992" s="6">
        <f>MONTH(E2992)</f>
        <v/>
      </c>
      <c r="J2992" s="6">
        <f>K2992&amp;L2992</f>
        <v/>
      </c>
      <c r="K2992" s="6">
        <f>YEAR(M2992)</f>
        <v/>
      </c>
      <c r="L2992" s="6">
        <f>MONTH(M2992)</f>
        <v/>
      </c>
      <c r="R2992" s="6">
        <f>S2992&amp;T2992</f>
        <v/>
      </c>
      <c r="S2992" s="6">
        <f>YEAR(U2992)</f>
        <v/>
      </c>
      <c r="T2992" s="6">
        <f>MONTH(U2992)</f>
        <v/>
      </c>
      <c r="Z2992" s="6">
        <f>AA2992&amp;AB2992</f>
        <v/>
      </c>
      <c r="AA2992" s="6">
        <f>YEAR(AC2992)</f>
        <v/>
      </c>
      <c r="AB2992" s="6">
        <f>MONTH(AC2992)</f>
        <v/>
      </c>
      <c r="AC2992" s="267">
        <f>IFERROR(__xludf.DUMMYFUNCTION("""COMPUTED_VALUE"""),46152.9986111111)</f>
        <v/>
      </c>
      <c r="AD2992" s="6">
        <f>IFERROR(__xludf.DUMMYFUNCTION("""COMPUTED_VALUE"""),1460.55)</f>
        <v/>
      </c>
      <c r="AH2992" s="6">
        <f>AI2992&amp;AJ2992</f>
        <v/>
      </c>
      <c r="AI2992" s="6">
        <f>YEAR(AK2992)</f>
        <v/>
      </c>
      <c r="AJ2992" s="6">
        <f>MONTH(AK2992)</f>
        <v/>
      </c>
      <c r="AK2992" s="267">
        <f>IFERROR(__xludf.DUMMYFUNCTION("""COMPUTED_VALUE"""),46087.9986111111)</f>
        <v/>
      </c>
      <c r="AL2992" s="6">
        <f>IFERROR(__xludf.DUMMYFUNCTION("""COMPUTED_VALUE"""),70602.13)</f>
        <v/>
      </c>
      <c r="AP2992" s="6">
        <f>AQ2992&amp;AR2992</f>
        <v/>
      </c>
      <c r="AQ2992" s="6">
        <f>YEAR(AS2992)</f>
        <v/>
      </c>
      <c r="AR2992" s="6">
        <f>MONTH(AS2992)</f>
        <v/>
      </c>
    </row>
    <row r="2993">
      <c r="B2993" s="6">
        <f>C2993&amp;D2993</f>
        <v/>
      </c>
      <c r="C2993" s="6">
        <f>YEAR(E2993)</f>
        <v/>
      </c>
      <c r="D2993" s="6">
        <f>MONTH(E2993)</f>
        <v/>
      </c>
      <c r="J2993" s="6">
        <f>K2993&amp;L2993</f>
        <v/>
      </c>
      <c r="K2993" s="6">
        <f>YEAR(M2993)</f>
        <v/>
      </c>
      <c r="L2993" s="6">
        <f>MONTH(M2993)</f>
        <v/>
      </c>
      <c r="R2993" s="6">
        <f>S2993&amp;T2993</f>
        <v/>
      </c>
      <c r="S2993" s="6">
        <f>YEAR(U2993)</f>
        <v/>
      </c>
      <c r="T2993" s="6">
        <f>MONTH(U2993)</f>
        <v/>
      </c>
      <c r="Z2993" s="6">
        <f>AA2993&amp;AB2993</f>
        <v/>
      </c>
      <c r="AA2993" s="6">
        <f>YEAR(AC2993)</f>
        <v/>
      </c>
      <c r="AB2993" s="6">
        <f>MONTH(AC2993)</f>
        <v/>
      </c>
      <c r="AC2993" s="267">
        <f>IFERROR(__xludf.DUMMYFUNCTION("""COMPUTED_VALUE"""),46153.9986111111)</f>
        <v/>
      </c>
      <c r="AD2993" s="6">
        <f>IFERROR(__xludf.DUMMYFUNCTION("""COMPUTED_VALUE"""),1474.45)</f>
        <v/>
      </c>
      <c r="AH2993" s="6">
        <f>AI2993&amp;AJ2993</f>
        <v/>
      </c>
      <c r="AI2993" s="6">
        <f>YEAR(AK2993)</f>
        <v/>
      </c>
      <c r="AJ2993" s="6">
        <f>MONTH(AK2993)</f>
        <v/>
      </c>
      <c r="AK2993" s="267">
        <f>IFERROR(__xludf.DUMMYFUNCTION("""COMPUTED_VALUE"""),46088.9986111111)</f>
        <v/>
      </c>
      <c r="AL2993" s="6">
        <f>IFERROR(__xludf.DUMMYFUNCTION("""COMPUTED_VALUE"""),68099.83)</f>
        <v/>
      </c>
      <c r="AP2993" s="6">
        <f>AQ2993&amp;AR2993</f>
        <v/>
      </c>
      <c r="AQ2993" s="6">
        <f>YEAR(AS2993)</f>
        <v/>
      </c>
      <c r="AR2993" s="6">
        <f>MONTH(AS2993)</f>
        <v/>
      </c>
    </row>
    <row r="2994">
      <c r="B2994" s="6">
        <f>C2994&amp;D2994</f>
        <v/>
      </c>
      <c r="C2994" s="6">
        <f>YEAR(E2994)</f>
        <v/>
      </c>
      <c r="D2994" s="6">
        <f>MONTH(E2994)</f>
        <v/>
      </c>
      <c r="J2994" s="6">
        <f>K2994&amp;L2994</f>
        <v/>
      </c>
      <c r="K2994" s="6">
        <f>YEAR(M2994)</f>
        <v/>
      </c>
      <c r="L2994" s="6">
        <f>MONTH(M2994)</f>
        <v/>
      </c>
      <c r="R2994" s="6">
        <f>S2994&amp;T2994</f>
        <v/>
      </c>
      <c r="S2994" s="6">
        <f>YEAR(U2994)</f>
        <v/>
      </c>
      <c r="T2994" s="6">
        <f>MONTH(U2994)</f>
        <v/>
      </c>
      <c r="Z2994" s="6">
        <f>AA2994&amp;AB2994</f>
        <v/>
      </c>
      <c r="AA2994" s="6">
        <f>YEAR(AC2994)</f>
        <v/>
      </c>
      <c r="AB2994" s="6">
        <f>MONTH(AC2994)</f>
        <v/>
      </c>
      <c r="AC2994" s="267">
        <f>IFERROR(__xludf.DUMMYFUNCTION("""COMPUTED_VALUE"""),46154.9986111111)</f>
        <v/>
      </c>
      <c r="AD2994" s="6">
        <f>IFERROR(__xludf.DUMMYFUNCTION("""COMPUTED_VALUE"""),1492.99)</f>
        <v/>
      </c>
      <c r="AH2994" s="6">
        <f>AI2994&amp;AJ2994</f>
        <v/>
      </c>
      <c r="AI2994" s="6">
        <f>YEAR(AK2994)</f>
        <v/>
      </c>
      <c r="AJ2994" s="6">
        <f>MONTH(AK2994)</f>
        <v/>
      </c>
      <c r="AK2994" s="267">
        <f>IFERROR(__xludf.DUMMYFUNCTION("""COMPUTED_VALUE"""),46089.9986111111)</f>
        <v/>
      </c>
      <c r="AL2994" s="6">
        <f>IFERROR(__xludf.DUMMYFUNCTION("""COMPUTED_VALUE"""),66641.69)</f>
        <v/>
      </c>
      <c r="AP2994" s="6">
        <f>AQ2994&amp;AR2994</f>
        <v/>
      </c>
      <c r="AQ2994" s="6">
        <f>YEAR(AS2994)</f>
        <v/>
      </c>
      <c r="AR2994" s="6">
        <f>MONTH(AS2994)</f>
        <v/>
      </c>
    </row>
    <row r="2995">
      <c r="B2995" s="6">
        <f>C2995&amp;D2995</f>
        <v/>
      </c>
      <c r="C2995" s="6">
        <f>YEAR(E2995)</f>
        <v/>
      </c>
      <c r="D2995" s="6">
        <f>MONTH(E2995)</f>
        <v/>
      </c>
      <c r="J2995" s="6">
        <f>K2995&amp;L2995</f>
        <v/>
      </c>
      <c r="K2995" s="6">
        <f>YEAR(M2995)</f>
        <v/>
      </c>
      <c r="L2995" s="6">
        <f>MONTH(M2995)</f>
        <v/>
      </c>
      <c r="R2995" s="6">
        <f>S2995&amp;T2995</f>
        <v/>
      </c>
      <c r="S2995" s="6">
        <f>YEAR(U2995)</f>
        <v/>
      </c>
      <c r="T2995" s="6">
        <f>MONTH(U2995)</f>
        <v/>
      </c>
      <c r="Z2995" s="6">
        <f>AA2995&amp;AB2995</f>
        <v/>
      </c>
      <c r="AA2995" s="6">
        <f>YEAR(AC2995)</f>
        <v/>
      </c>
      <c r="AB2995" s="6">
        <f>MONTH(AC2995)</f>
        <v/>
      </c>
      <c r="AC2995" s="267">
        <f>IFERROR(__xludf.DUMMYFUNCTION("""COMPUTED_VALUE"""),46155.9986111111)</f>
        <v/>
      </c>
      <c r="AD2995" s="6">
        <f>IFERROR(__xludf.DUMMYFUNCTION("""COMPUTED_VALUE"""),1489.84)</f>
        <v/>
      </c>
      <c r="AH2995" s="6">
        <f>AI2995&amp;AJ2995</f>
        <v/>
      </c>
      <c r="AI2995" s="6">
        <f>YEAR(AK2995)</f>
        <v/>
      </c>
      <c r="AJ2995" s="6">
        <f>MONTH(AK2995)</f>
        <v/>
      </c>
      <c r="AK2995" s="267">
        <f>IFERROR(__xludf.DUMMYFUNCTION("""COMPUTED_VALUE"""),46090.9986111111)</f>
        <v/>
      </c>
      <c r="AL2995" s="6">
        <f>IFERROR(__xludf.DUMMYFUNCTION("""COMPUTED_VALUE"""),67219.71)</f>
        <v/>
      </c>
      <c r="AP2995" s="6">
        <f>AQ2995&amp;AR2995</f>
        <v/>
      </c>
      <c r="AQ2995" s="6">
        <f>YEAR(AS2995)</f>
        <v/>
      </c>
      <c r="AR2995" s="6">
        <f>MONTH(AS2995)</f>
        <v/>
      </c>
    </row>
    <row r="2996">
      <c r="B2996" s="6">
        <f>C2996&amp;D2996</f>
        <v/>
      </c>
      <c r="C2996" s="6">
        <f>YEAR(E2996)</f>
        <v/>
      </c>
      <c r="D2996" s="6">
        <f>MONTH(E2996)</f>
        <v/>
      </c>
      <c r="J2996" s="6">
        <f>K2996&amp;L2996</f>
        <v/>
      </c>
      <c r="K2996" s="6">
        <f>YEAR(M2996)</f>
        <v/>
      </c>
      <c r="L2996" s="6">
        <f>MONTH(M2996)</f>
        <v/>
      </c>
      <c r="R2996" s="6">
        <f>S2996&amp;T2996</f>
        <v/>
      </c>
      <c r="S2996" s="6">
        <f>YEAR(U2996)</f>
        <v/>
      </c>
      <c r="T2996" s="6">
        <f>MONTH(U2996)</f>
        <v/>
      </c>
      <c r="Z2996" s="6">
        <f>AA2996&amp;AB2996</f>
        <v/>
      </c>
      <c r="AA2996" s="6">
        <f>YEAR(AC2996)</f>
        <v/>
      </c>
      <c r="AB2996" s="6">
        <f>MONTH(AC2996)</f>
        <v/>
      </c>
      <c r="AC2996" s="267">
        <f>IFERROR(__xludf.DUMMYFUNCTION("""COMPUTED_VALUE"""),46156.9986111111)</f>
        <v/>
      </c>
      <c r="AD2996" s="6">
        <f>IFERROR(__xludf.DUMMYFUNCTION("""COMPUTED_VALUE"""),1493.34)</f>
        <v/>
      </c>
      <c r="AH2996" s="6">
        <f>AI2996&amp;AJ2996</f>
        <v/>
      </c>
      <c r="AI2996" s="6">
        <f>YEAR(AK2996)</f>
        <v/>
      </c>
      <c r="AJ2996" s="6">
        <f>MONTH(AK2996)</f>
        <v/>
      </c>
      <c r="AK2996" s="267">
        <f>IFERROR(__xludf.DUMMYFUNCTION("""COMPUTED_VALUE"""),46091.9986111111)</f>
        <v/>
      </c>
      <c r="AL2996" s="6">
        <f>IFERROR(__xludf.DUMMYFUNCTION("""COMPUTED_VALUE"""),69446.6)</f>
        <v/>
      </c>
      <c r="AP2996" s="6">
        <f>AQ2996&amp;AR2996</f>
        <v/>
      </c>
      <c r="AQ2996" s="6">
        <f>YEAR(AS2996)</f>
        <v/>
      </c>
      <c r="AR2996" s="6">
        <f>MONTH(AS2996)</f>
        <v/>
      </c>
    </row>
    <row r="2997">
      <c r="B2997" s="6">
        <f>C2997&amp;D2997</f>
        <v/>
      </c>
      <c r="C2997" s="6">
        <f>YEAR(E2997)</f>
        <v/>
      </c>
      <c r="D2997" s="6">
        <f>MONTH(E2997)</f>
        <v/>
      </c>
      <c r="J2997" s="6">
        <f>K2997&amp;L2997</f>
        <v/>
      </c>
      <c r="K2997" s="6">
        <f>YEAR(M2997)</f>
        <v/>
      </c>
      <c r="L2997" s="6">
        <f>MONTH(M2997)</f>
        <v/>
      </c>
      <c r="R2997" s="6">
        <f>S2997&amp;T2997</f>
        <v/>
      </c>
      <c r="S2997" s="6">
        <f>YEAR(U2997)</f>
        <v/>
      </c>
      <c r="T2997" s="6">
        <f>MONTH(U2997)</f>
        <v/>
      </c>
      <c r="Z2997" s="6">
        <f>AA2997&amp;AB2997</f>
        <v/>
      </c>
      <c r="AA2997" s="6">
        <f>YEAR(AC2997)</f>
        <v/>
      </c>
      <c r="AB2997" s="6">
        <f>MONTH(AC2997)</f>
        <v/>
      </c>
      <c r="AC2997" s="267">
        <f>IFERROR(__xludf.DUMMYFUNCTION("""COMPUTED_VALUE"""),46157.9986111111)</f>
        <v/>
      </c>
      <c r="AD2997" s="6">
        <f>IFERROR(__xludf.DUMMYFUNCTION("""COMPUTED_VALUE"""),1496.3)</f>
        <v/>
      </c>
      <c r="AH2997" s="6">
        <f>AI2997&amp;AJ2997</f>
        <v/>
      </c>
      <c r="AI2997" s="6">
        <f>YEAR(AK2997)</f>
        <v/>
      </c>
      <c r="AJ2997" s="6">
        <f>MONTH(AK2997)</f>
        <v/>
      </c>
      <c r="AK2997" s="267">
        <f>IFERROR(__xludf.DUMMYFUNCTION("""COMPUTED_VALUE"""),46092.9986111111)</f>
        <v/>
      </c>
      <c r="AL2997" s="6">
        <f>IFERROR(__xludf.DUMMYFUNCTION("""COMPUTED_VALUE"""),69571.17)</f>
        <v/>
      </c>
      <c r="AP2997" s="6">
        <f>AQ2997&amp;AR2997</f>
        <v/>
      </c>
      <c r="AQ2997" s="6">
        <f>YEAR(AS2997)</f>
        <v/>
      </c>
      <c r="AR2997" s="6">
        <f>MONTH(AS2997)</f>
        <v/>
      </c>
    </row>
    <row r="2998">
      <c r="B2998" s="6">
        <f>C2998&amp;D2998</f>
        <v/>
      </c>
      <c r="C2998" s="6">
        <f>YEAR(E2998)</f>
        <v/>
      </c>
      <c r="D2998" s="6">
        <f>MONTH(E2998)</f>
        <v/>
      </c>
      <c r="J2998" s="6">
        <f>K2998&amp;L2998</f>
        <v/>
      </c>
      <c r="K2998" s="6">
        <f>YEAR(M2998)</f>
        <v/>
      </c>
      <c r="L2998" s="6">
        <f>MONTH(M2998)</f>
        <v/>
      </c>
      <c r="R2998" s="6">
        <f>S2998&amp;T2998</f>
        <v/>
      </c>
      <c r="S2998" s="6">
        <f>YEAR(U2998)</f>
        <v/>
      </c>
      <c r="T2998" s="6">
        <f>MONTH(U2998)</f>
        <v/>
      </c>
      <c r="Z2998" s="6">
        <f>AA2998&amp;AB2998</f>
        <v/>
      </c>
      <c r="AA2998" s="6">
        <f>YEAR(AC2998)</f>
        <v/>
      </c>
      <c r="AB2998" s="6">
        <f>MONTH(AC2998)</f>
        <v/>
      </c>
      <c r="AC2998" s="267">
        <f>IFERROR(__xludf.DUMMYFUNCTION("""COMPUTED_VALUE"""),46158.9986111111)</f>
        <v/>
      </c>
      <c r="AD2998" s="6">
        <f>IFERROR(__xludf.DUMMYFUNCTION("""COMPUTED_VALUE"""),1496.15)</f>
        <v/>
      </c>
      <c r="AH2998" s="6">
        <f>AI2998&amp;AJ2998</f>
        <v/>
      </c>
      <c r="AI2998" s="6">
        <f>YEAR(AK2998)</f>
        <v/>
      </c>
      <c r="AJ2998" s="6">
        <f>MONTH(AK2998)</f>
        <v/>
      </c>
      <c r="AK2998" s="267">
        <f>IFERROR(__xludf.DUMMYFUNCTION("""COMPUTED_VALUE"""),46093.9986111111)</f>
        <v/>
      </c>
      <c r="AL2998" s="6">
        <f>IFERROR(__xludf.DUMMYFUNCTION("""COMPUTED_VALUE"""),69448.47)</f>
        <v/>
      </c>
      <c r="AP2998" s="6">
        <f>AQ2998&amp;AR2998</f>
        <v/>
      </c>
      <c r="AQ2998" s="6">
        <f>YEAR(AS2998)</f>
        <v/>
      </c>
      <c r="AR2998" s="6">
        <f>MONTH(AS2998)</f>
        <v/>
      </c>
    </row>
    <row r="2999">
      <c r="B2999" s="6">
        <f>C2999&amp;D2999</f>
        <v/>
      </c>
      <c r="C2999" s="6">
        <f>YEAR(E2999)</f>
        <v/>
      </c>
      <c r="D2999" s="6">
        <f>MONTH(E2999)</f>
        <v/>
      </c>
      <c r="J2999" s="6">
        <f>K2999&amp;L2999</f>
        <v/>
      </c>
      <c r="K2999" s="6">
        <f>YEAR(M2999)</f>
        <v/>
      </c>
      <c r="L2999" s="6">
        <f>MONTH(M2999)</f>
        <v/>
      </c>
      <c r="R2999" s="6">
        <f>S2999&amp;T2999</f>
        <v/>
      </c>
      <c r="S2999" s="6">
        <f>YEAR(U2999)</f>
        <v/>
      </c>
      <c r="T2999" s="6">
        <f>MONTH(U2999)</f>
        <v/>
      </c>
      <c r="Z2999" s="6">
        <f>AA2999&amp;AB2999</f>
        <v/>
      </c>
      <c r="AA2999" s="6">
        <f>YEAR(AC2999)</f>
        <v/>
      </c>
      <c r="AB2999" s="6">
        <f>MONTH(AC2999)</f>
        <v/>
      </c>
      <c r="AC2999" s="267">
        <f>IFERROR(__xludf.DUMMYFUNCTION("""COMPUTED_VALUE"""),46159.9986111111)</f>
        <v/>
      </c>
      <c r="AD2999" s="6">
        <f>IFERROR(__xludf.DUMMYFUNCTION("""COMPUTED_VALUE"""),1497.15)</f>
        <v/>
      </c>
      <c r="AH2999" s="6">
        <f>AI2999&amp;AJ2999</f>
        <v/>
      </c>
      <c r="AI2999" s="6">
        <f>YEAR(AK2999)</f>
        <v/>
      </c>
      <c r="AJ2999" s="6">
        <f>MONTH(AK2999)</f>
        <v/>
      </c>
      <c r="AK2999" s="267">
        <f>IFERROR(__xludf.DUMMYFUNCTION("""COMPUTED_VALUE"""),46094.9986111111)</f>
        <v/>
      </c>
      <c r="AL2999" s="6">
        <f>IFERROR(__xludf.DUMMYFUNCTION("""COMPUTED_VALUE"""),71371.01)</f>
        <v/>
      </c>
      <c r="AP2999" s="6">
        <f>AQ2999&amp;AR2999</f>
        <v/>
      </c>
      <c r="AQ2999" s="6">
        <f>YEAR(AS2999)</f>
        <v/>
      </c>
      <c r="AR2999" s="6">
        <f>MONTH(AS2999)</f>
        <v/>
      </c>
    </row>
    <row r="3000">
      <c r="B3000" s="6">
        <f>C3000&amp;D3000</f>
        <v/>
      </c>
      <c r="C3000" s="6">
        <f>YEAR(E3000)</f>
        <v/>
      </c>
      <c r="D3000" s="6">
        <f>MONTH(E3000)</f>
        <v/>
      </c>
      <c r="J3000" s="6">
        <f>K3000&amp;L3000</f>
        <v/>
      </c>
      <c r="K3000" s="6">
        <f>YEAR(M3000)</f>
        <v/>
      </c>
      <c r="L3000" s="6">
        <f>MONTH(M3000)</f>
        <v/>
      </c>
      <c r="R3000" s="6">
        <f>S3000&amp;T3000</f>
        <v/>
      </c>
      <c r="S3000" s="6">
        <f>YEAR(U3000)</f>
        <v/>
      </c>
      <c r="T3000" s="6">
        <f>MONTH(U3000)</f>
        <v/>
      </c>
      <c r="Z3000" s="6">
        <f>AA3000&amp;AB3000</f>
        <v/>
      </c>
      <c r="AA3000" s="6">
        <f>YEAR(AC3000)</f>
        <v/>
      </c>
      <c r="AB3000" s="6">
        <f>MONTH(AC3000)</f>
        <v/>
      </c>
      <c r="AC3000" s="267">
        <f>IFERROR(__xludf.DUMMYFUNCTION("""COMPUTED_VALUE"""),46160.9986111111)</f>
        <v/>
      </c>
      <c r="AD3000" s="6">
        <f>IFERROR(__xludf.DUMMYFUNCTION("""COMPUTED_VALUE"""),1492.32)</f>
        <v/>
      </c>
      <c r="AH3000" s="6">
        <f>AI3000&amp;AJ3000</f>
        <v/>
      </c>
      <c r="AI3000" s="6">
        <f>YEAR(AK3000)</f>
        <v/>
      </c>
      <c r="AJ3000" s="6">
        <f>MONTH(AK3000)</f>
        <v/>
      </c>
      <c r="AK3000" s="267">
        <f>IFERROR(__xludf.DUMMYFUNCTION("""COMPUTED_VALUE"""),46095.9986111111)</f>
        <v/>
      </c>
      <c r="AL3000" s="6">
        <f>IFERROR(__xludf.DUMMYFUNCTION("""COMPUTED_VALUE"""),71115.02)</f>
        <v/>
      </c>
      <c r="AP3000" s="6">
        <f>AQ3000&amp;AR3000</f>
        <v/>
      </c>
      <c r="AQ3000" s="6">
        <f>YEAR(AS3000)</f>
        <v/>
      </c>
      <c r="AR3000" s="6">
        <f>MONTH(AS3000)</f>
        <v/>
      </c>
    </row>
    <row r="3001">
      <c r="B3001" s="6">
        <f>C3001&amp;D3001</f>
        <v/>
      </c>
      <c r="C3001" s="6">
        <f>YEAR(E3001)</f>
        <v/>
      </c>
      <c r="D3001" s="6">
        <f>MONTH(E3001)</f>
        <v/>
      </c>
      <c r="J3001" s="6">
        <f>K3001&amp;L3001</f>
        <v/>
      </c>
      <c r="K3001" s="6">
        <f>YEAR(M3001)</f>
        <v/>
      </c>
      <c r="L3001" s="6">
        <f>MONTH(M3001)</f>
        <v/>
      </c>
      <c r="R3001" s="6">
        <f>S3001&amp;T3001</f>
        <v/>
      </c>
      <c r="S3001" s="6">
        <f>YEAR(U3001)</f>
        <v/>
      </c>
      <c r="T3001" s="6">
        <f>MONTH(U3001)</f>
        <v/>
      </c>
      <c r="Z3001" s="6">
        <f>AA3001&amp;AB3001</f>
        <v/>
      </c>
      <c r="AA3001" s="6">
        <f>YEAR(AC3001)</f>
        <v/>
      </c>
      <c r="AB3001" s="6">
        <f>MONTH(AC3001)</f>
        <v/>
      </c>
      <c r="AC3001" s="267">
        <f>IFERROR(__xludf.DUMMYFUNCTION("""COMPUTED_VALUE"""),46161.9986111111)</f>
        <v/>
      </c>
      <c r="AD3001" s="6">
        <f>IFERROR(__xludf.DUMMYFUNCTION("""COMPUTED_VALUE"""),1507.85)</f>
        <v/>
      </c>
      <c r="AH3001" s="6">
        <f>AI3001&amp;AJ3001</f>
        <v/>
      </c>
      <c r="AI3001" s="6">
        <f>YEAR(AK3001)</f>
        <v/>
      </c>
      <c r="AJ3001" s="6">
        <f>MONTH(AK3001)</f>
        <v/>
      </c>
      <c r="AK3001" s="267">
        <f>IFERROR(__xludf.DUMMYFUNCTION("""COMPUTED_VALUE"""),46096.9986111111)</f>
        <v/>
      </c>
      <c r="AL3001" s="6">
        <f>IFERROR(__xludf.DUMMYFUNCTION("""COMPUTED_VALUE"""),71352.13)</f>
        <v/>
      </c>
      <c r="AP3001" s="6">
        <f>AQ3001&amp;AR3001</f>
        <v/>
      </c>
      <c r="AQ3001" s="6">
        <f>YEAR(AS3001)</f>
        <v/>
      </c>
      <c r="AR3001" s="6">
        <f>MONTH(AS3001)</f>
        <v/>
      </c>
    </row>
    <row r="3002">
      <c r="B3002" s="6">
        <f>C3002&amp;D3002</f>
        <v/>
      </c>
      <c r="C3002" s="6">
        <f>YEAR(E3002)</f>
        <v/>
      </c>
      <c r="D3002" s="6">
        <f>MONTH(E3002)</f>
        <v/>
      </c>
      <c r="J3002" s="6">
        <f>K3002&amp;L3002</f>
        <v/>
      </c>
      <c r="K3002" s="6">
        <f>YEAR(M3002)</f>
        <v/>
      </c>
      <c r="L3002" s="6">
        <f>MONTH(M3002)</f>
        <v/>
      </c>
      <c r="R3002" s="6">
        <f>S3002&amp;T3002</f>
        <v/>
      </c>
      <c r="S3002" s="6">
        <f>YEAR(U3002)</f>
        <v/>
      </c>
      <c r="T3002" s="6">
        <f>MONTH(U3002)</f>
        <v/>
      </c>
      <c r="Z3002" s="6">
        <f>AA3002&amp;AB3002</f>
        <v/>
      </c>
      <c r="AA3002" s="6">
        <f>YEAR(AC3002)</f>
        <v/>
      </c>
      <c r="AB3002" s="6">
        <f>MONTH(AC3002)</f>
        <v/>
      </c>
      <c r="AC3002" s="267">
        <f>IFERROR(__xludf.DUMMYFUNCTION("""COMPUTED_VALUE"""),46162.9986111111)</f>
        <v/>
      </c>
      <c r="AD3002" s="6">
        <f>IFERROR(__xludf.DUMMYFUNCTION("""COMPUTED_VALUE"""),1499.77)</f>
        <v/>
      </c>
      <c r="AH3002" s="6">
        <f>AI3002&amp;AJ3002</f>
        <v/>
      </c>
      <c r="AI3002" s="6">
        <f>YEAR(AK3002)</f>
        <v/>
      </c>
      <c r="AJ3002" s="6">
        <f>MONTH(AK3002)</f>
        <v/>
      </c>
      <c r="AK3002" s="267">
        <f>IFERROR(__xludf.DUMMYFUNCTION("""COMPUTED_VALUE"""),46097.9986111111)</f>
        <v/>
      </c>
      <c r="AL3002" s="6">
        <f>IFERROR(__xludf.DUMMYFUNCTION("""COMPUTED_VALUE"""),73607.4)</f>
        <v/>
      </c>
      <c r="AP3002" s="6">
        <f>AQ3002&amp;AR3002</f>
        <v/>
      </c>
      <c r="AQ3002" s="6">
        <f>YEAR(AS3002)</f>
        <v/>
      </c>
      <c r="AR3002" s="6">
        <f>MONTH(AS3002)</f>
        <v/>
      </c>
    </row>
    <row r="3003">
      <c r="B3003" s="6">
        <f>C3003&amp;D3003</f>
        <v/>
      </c>
      <c r="C3003" s="6">
        <f>YEAR(E3003)</f>
        <v/>
      </c>
      <c r="D3003" s="6">
        <f>MONTH(E3003)</f>
        <v/>
      </c>
      <c r="J3003" s="6">
        <f>K3003&amp;L3003</f>
        <v/>
      </c>
      <c r="K3003" s="6">
        <f>YEAR(M3003)</f>
        <v/>
      </c>
      <c r="L3003" s="6">
        <f>MONTH(M3003)</f>
        <v/>
      </c>
      <c r="R3003" s="6">
        <f>S3003&amp;T3003</f>
        <v/>
      </c>
      <c r="S3003" s="6">
        <f>YEAR(U3003)</f>
        <v/>
      </c>
      <c r="T3003" s="6">
        <f>MONTH(U3003)</f>
        <v/>
      </c>
      <c r="Z3003" s="6">
        <f>AA3003&amp;AB3003</f>
        <v/>
      </c>
      <c r="AA3003" s="6">
        <f>YEAR(AC3003)</f>
        <v/>
      </c>
      <c r="AB3003" s="6">
        <f>MONTH(AC3003)</f>
        <v/>
      </c>
      <c r="AC3003" s="267">
        <f>IFERROR(__xludf.DUMMYFUNCTION("""COMPUTED_VALUE"""),46163.9986111111)</f>
        <v/>
      </c>
      <c r="AD3003" s="6">
        <f>IFERROR(__xludf.DUMMYFUNCTION("""COMPUTED_VALUE"""),1504.4)</f>
        <v/>
      </c>
      <c r="AH3003" s="6">
        <f>AI3003&amp;AJ3003</f>
        <v/>
      </c>
      <c r="AI3003" s="6">
        <f>YEAR(AK3003)</f>
        <v/>
      </c>
      <c r="AJ3003" s="6">
        <f>MONTH(AK3003)</f>
        <v/>
      </c>
      <c r="AK3003" s="267">
        <f>IFERROR(__xludf.DUMMYFUNCTION("""COMPUTED_VALUE"""),46098.9986111111)</f>
        <v/>
      </c>
      <c r="AL3003" s="6">
        <f>IFERROR(__xludf.DUMMYFUNCTION("""COMPUTED_VALUE"""),74486.24)</f>
        <v/>
      </c>
      <c r="AP3003" s="6">
        <f>AQ3003&amp;AR3003</f>
        <v/>
      </c>
      <c r="AQ3003" s="6">
        <f>YEAR(AS3003)</f>
        <v/>
      </c>
      <c r="AR3003" s="6">
        <f>MONTH(AS3003)</f>
        <v/>
      </c>
    </row>
    <row r="3004">
      <c r="B3004" s="6">
        <f>C3004&amp;D3004</f>
        <v/>
      </c>
      <c r="C3004" s="6">
        <f>YEAR(E3004)</f>
        <v/>
      </c>
      <c r="D3004" s="6">
        <f>MONTH(E3004)</f>
        <v/>
      </c>
      <c r="J3004" s="6">
        <f>K3004&amp;L3004</f>
        <v/>
      </c>
      <c r="K3004" s="6">
        <f>YEAR(M3004)</f>
        <v/>
      </c>
      <c r="L3004" s="6">
        <f>MONTH(M3004)</f>
        <v/>
      </c>
      <c r="R3004" s="6">
        <f>S3004&amp;T3004</f>
        <v/>
      </c>
      <c r="S3004" s="6">
        <f>YEAR(U3004)</f>
        <v/>
      </c>
      <c r="T3004" s="6">
        <f>MONTH(U3004)</f>
        <v/>
      </c>
      <c r="Z3004" s="6">
        <f>AA3004&amp;AB3004</f>
        <v/>
      </c>
      <c r="AA3004" s="6">
        <f>YEAR(AC3004)</f>
        <v/>
      </c>
      <c r="AB3004" s="6">
        <f>MONTH(AC3004)</f>
        <v/>
      </c>
      <c r="AC3004" s="267">
        <f>IFERROR(__xludf.DUMMYFUNCTION("""COMPUTED_VALUE"""),46164.9986111111)</f>
        <v/>
      </c>
      <c r="AD3004" s="6">
        <f>IFERROR(__xludf.DUMMYFUNCTION("""COMPUTED_VALUE"""),1519.65)</f>
        <v/>
      </c>
      <c r="AH3004" s="6">
        <f>AI3004&amp;AJ3004</f>
        <v/>
      </c>
      <c r="AI3004" s="6">
        <f>YEAR(AK3004)</f>
        <v/>
      </c>
      <c r="AJ3004" s="6">
        <f>MONTH(AK3004)</f>
        <v/>
      </c>
      <c r="AK3004" s="267">
        <f>IFERROR(__xludf.DUMMYFUNCTION("""COMPUTED_VALUE"""),46099.9986111111)</f>
        <v/>
      </c>
      <c r="AL3004" s="6">
        <f>IFERROR(__xludf.DUMMYFUNCTION("""COMPUTED_VALUE"""),74474.25)</f>
        <v/>
      </c>
      <c r="AP3004" s="6">
        <f>AQ3004&amp;AR3004</f>
        <v/>
      </c>
      <c r="AQ3004" s="6">
        <f>YEAR(AS3004)</f>
        <v/>
      </c>
      <c r="AR3004" s="6">
        <f>MONTH(AS3004)</f>
        <v/>
      </c>
    </row>
    <row r="3005">
      <c r="B3005" s="6">
        <f>C3005&amp;D3005</f>
        <v/>
      </c>
      <c r="C3005" s="6">
        <f>YEAR(E3005)</f>
        <v/>
      </c>
      <c r="D3005" s="6">
        <f>MONTH(E3005)</f>
        <v/>
      </c>
      <c r="J3005" s="6">
        <f>K3005&amp;L3005</f>
        <v/>
      </c>
      <c r="K3005" s="6">
        <f>YEAR(M3005)</f>
        <v/>
      </c>
      <c r="L3005" s="6">
        <f>MONTH(M3005)</f>
        <v/>
      </c>
      <c r="R3005" s="6">
        <f>S3005&amp;T3005</f>
        <v/>
      </c>
      <c r="S3005" s="6">
        <f>YEAR(U3005)</f>
        <v/>
      </c>
      <c r="T3005" s="6">
        <f>MONTH(U3005)</f>
        <v/>
      </c>
      <c r="Z3005" s="6">
        <f>AA3005&amp;AB3005</f>
        <v/>
      </c>
      <c r="AA3005" s="6">
        <f>YEAR(AC3005)</f>
        <v/>
      </c>
      <c r="AB3005" s="6">
        <f>MONTH(AC3005)</f>
        <v/>
      </c>
      <c r="AC3005" s="267">
        <f>IFERROR(__xludf.DUMMYFUNCTION("""COMPUTED_VALUE"""),46165.9986111111)</f>
        <v/>
      </c>
      <c r="AD3005" s="6">
        <f>IFERROR(__xludf.DUMMYFUNCTION("""COMPUTED_VALUE"""),1518.65)</f>
        <v/>
      </c>
      <c r="AH3005" s="6">
        <f>AI3005&amp;AJ3005</f>
        <v/>
      </c>
      <c r="AI3005" s="6">
        <f>YEAR(AK3005)</f>
        <v/>
      </c>
      <c r="AJ3005" s="6">
        <f>MONTH(AK3005)</f>
        <v/>
      </c>
      <c r="AK3005" s="267">
        <f>IFERROR(__xludf.DUMMYFUNCTION("""COMPUTED_VALUE"""),46100.9986111111)</f>
        <v/>
      </c>
      <c r="AL3005" s="6">
        <f>IFERROR(__xludf.DUMMYFUNCTION("""COMPUTED_VALUE"""),71240.85)</f>
        <v/>
      </c>
      <c r="AP3005" s="6">
        <f>AQ3005&amp;AR3005</f>
        <v/>
      </c>
      <c r="AQ3005" s="6">
        <f>YEAR(AS3005)</f>
        <v/>
      </c>
      <c r="AR3005" s="6">
        <f>MONTH(AS3005)</f>
        <v/>
      </c>
    </row>
    <row r="3006">
      <c r="B3006" s="6">
        <f>C3006&amp;D3006</f>
        <v/>
      </c>
      <c r="C3006" s="6">
        <f>YEAR(E3006)</f>
        <v/>
      </c>
      <c r="D3006" s="6">
        <f>MONTH(E3006)</f>
        <v/>
      </c>
      <c r="J3006" s="6">
        <f>K3006&amp;L3006</f>
        <v/>
      </c>
      <c r="K3006" s="6">
        <f>YEAR(M3006)</f>
        <v/>
      </c>
      <c r="L3006" s="6">
        <f>MONTH(M3006)</f>
        <v/>
      </c>
      <c r="R3006" s="6">
        <f>S3006&amp;T3006</f>
        <v/>
      </c>
      <c r="S3006" s="6">
        <f>YEAR(U3006)</f>
        <v/>
      </c>
      <c r="T3006" s="6">
        <f>MONTH(U3006)</f>
        <v/>
      </c>
      <c r="Z3006" s="6">
        <f>AA3006&amp;AB3006</f>
        <v/>
      </c>
      <c r="AA3006" s="6">
        <f>YEAR(AC3006)</f>
        <v/>
      </c>
      <c r="AB3006" s="6">
        <f>MONTH(AC3006)</f>
        <v/>
      </c>
      <c r="AC3006" s="267">
        <f>IFERROR(__xludf.DUMMYFUNCTION("""COMPUTED_VALUE"""),46166.9986111111)</f>
        <v/>
      </c>
      <c r="AD3006" s="6">
        <f>IFERROR(__xludf.DUMMYFUNCTION("""COMPUTED_VALUE"""),1512.83)</f>
        <v/>
      </c>
      <c r="AH3006" s="6">
        <f>AI3006&amp;AJ3006</f>
        <v/>
      </c>
      <c r="AI3006" s="6">
        <f>YEAR(AK3006)</f>
        <v/>
      </c>
      <c r="AJ3006" s="6">
        <f>MONTH(AK3006)</f>
        <v/>
      </c>
      <c r="AK3006" s="267">
        <f>IFERROR(__xludf.DUMMYFUNCTION("""COMPUTED_VALUE"""),46101.9986111111)</f>
        <v/>
      </c>
      <c r="AL3006" s="6">
        <f>IFERROR(__xludf.DUMMYFUNCTION("""COMPUTED_VALUE"""),70743.14)</f>
        <v/>
      </c>
      <c r="AP3006" s="6">
        <f>AQ3006&amp;AR3006</f>
        <v/>
      </c>
      <c r="AQ3006" s="6">
        <f>YEAR(AS3006)</f>
        <v/>
      </c>
      <c r="AR3006" s="6">
        <f>MONTH(AS3006)</f>
        <v/>
      </c>
    </row>
    <row r="3007">
      <c r="B3007" s="6">
        <f>C3007&amp;D3007</f>
        <v/>
      </c>
      <c r="C3007" s="6">
        <f>YEAR(E3007)</f>
        <v/>
      </c>
      <c r="D3007" s="6">
        <f>MONTH(E3007)</f>
        <v/>
      </c>
      <c r="J3007" s="6">
        <f>K3007&amp;L3007</f>
        <v/>
      </c>
      <c r="K3007" s="6">
        <f>YEAR(M3007)</f>
        <v/>
      </c>
      <c r="L3007" s="6">
        <f>MONTH(M3007)</f>
        <v/>
      </c>
      <c r="R3007" s="6">
        <f>S3007&amp;T3007</f>
        <v/>
      </c>
      <c r="S3007" s="6">
        <f>YEAR(U3007)</f>
        <v/>
      </c>
      <c r="T3007" s="6">
        <f>MONTH(U3007)</f>
        <v/>
      </c>
      <c r="Z3007" s="6">
        <f>AA3007&amp;AB3007</f>
        <v/>
      </c>
      <c r="AA3007" s="6">
        <f>YEAR(AC3007)</f>
        <v/>
      </c>
      <c r="AB3007" s="6">
        <f>MONTH(AC3007)</f>
        <v/>
      </c>
      <c r="AC3007" s="267">
        <f>IFERROR(__xludf.DUMMYFUNCTION("""COMPUTED_VALUE"""),46167.9986111111)</f>
        <v/>
      </c>
      <c r="AD3007" s="6">
        <f>IFERROR(__xludf.DUMMYFUNCTION("""COMPUTED_VALUE"""),1514.79)</f>
        <v/>
      </c>
      <c r="AH3007" s="6">
        <f>AI3007&amp;AJ3007</f>
        <v/>
      </c>
      <c r="AI3007" s="6">
        <f>YEAR(AK3007)</f>
        <v/>
      </c>
      <c r="AJ3007" s="6">
        <f>MONTH(AK3007)</f>
        <v/>
      </c>
      <c r="AK3007" s="267">
        <f>IFERROR(__xludf.DUMMYFUNCTION("""COMPUTED_VALUE"""),46102.9986111111)</f>
        <v/>
      </c>
      <c r="AL3007" s="6">
        <f>IFERROR(__xludf.DUMMYFUNCTION("""COMPUTED_VALUE"""),70687.77)</f>
        <v/>
      </c>
      <c r="AP3007" s="6">
        <f>AQ3007&amp;AR3007</f>
        <v/>
      </c>
      <c r="AQ3007" s="6">
        <f>YEAR(AS3007)</f>
        <v/>
      </c>
      <c r="AR3007" s="6">
        <f>MONTH(AS3007)</f>
        <v/>
      </c>
    </row>
    <row r="3008">
      <c r="B3008" s="6">
        <f>C3008&amp;D3008</f>
        <v/>
      </c>
      <c r="C3008" s="6">
        <f>YEAR(E3008)</f>
        <v/>
      </c>
      <c r="D3008" s="6">
        <f>MONTH(E3008)</f>
        <v/>
      </c>
      <c r="J3008" s="6">
        <f>K3008&amp;L3008</f>
        <v/>
      </c>
      <c r="K3008" s="6">
        <f>YEAR(M3008)</f>
        <v/>
      </c>
      <c r="L3008" s="6">
        <f>MONTH(M3008)</f>
        <v/>
      </c>
      <c r="R3008" s="6">
        <f>S3008&amp;T3008</f>
        <v/>
      </c>
      <c r="S3008" s="6">
        <f>YEAR(U3008)</f>
        <v/>
      </c>
      <c r="T3008" s="6">
        <f>MONTH(U3008)</f>
        <v/>
      </c>
      <c r="Z3008" s="6">
        <f>AA3008&amp;AB3008</f>
        <v/>
      </c>
      <c r="AA3008" s="6">
        <f>YEAR(AC3008)</f>
        <v/>
      </c>
      <c r="AB3008" s="6">
        <f>MONTH(AC3008)</f>
        <v/>
      </c>
      <c r="AC3008" s="267">
        <f>IFERROR(__xludf.DUMMYFUNCTION("""COMPUTED_VALUE"""),46168.9986111111)</f>
        <v/>
      </c>
      <c r="AD3008" s="6">
        <f>IFERROR(__xludf.DUMMYFUNCTION("""COMPUTED_VALUE"""),1505.44)</f>
        <v/>
      </c>
      <c r="AH3008" s="6">
        <f>AI3008&amp;AJ3008</f>
        <v/>
      </c>
      <c r="AI3008" s="6">
        <f>YEAR(AK3008)</f>
        <v/>
      </c>
      <c r="AJ3008" s="6">
        <f>MONTH(AK3008)</f>
        <v/>
      </c>
      <c r="AK3008" s="267">
        <f>IFERROR(__xludf.DUMMYFUNCTION("""COMPUTED_VALUE"""),46103.9986111111)</f>
        <v/>
      </c>
      <c r="AL3008" s="6">
        <f>IFERROR(__xludf.DUMMYFUNCTION("""COMPUTED_VALUE"""),69365.43)</f>
        <v/>
      </c>
      <c r="AP3008" s="6">
        <f>AQ3008&amp;AR3008</f>
        <v/>
      </c>
      <c r="AQ3008" s="6">
        <f>YEAR(AS3008)</f>
        <v/>
      </c>
      <c r="AR3008" s="6">
        <f>MONTH(AS3008)</f>
        <v/>
      </c>
    </row>
    <row r="3009">
      <c r="B3009" s="6">
        <f>C3009&amp;D3009</f>
        <v/>
      </c>
      <c r="C3009" s="6">
        <f>YEAR(E3009)</f>
        <v/>
      </c>
      <c r="D3009" s="6">
        <f>MONTH(E3009)</f>
        <v/>
      </c>
      <c r="J3009" s="6">
        <f>K3009&amp;L3009</f>
        <v/>
      </c>
      <c r="K3009" s="6">
        <f>YEAR(M3009)</f>
        <v/>
      </c>
      <c r="L3009" s="6">
        <f>MONTH(M3009)</f>
        <v/>
      </c>
      <c r="R3009" s="6">
        <f>S3009&amp;T3009</f>
        <v/>
      </c>
      <c r="S3009" s="6">
        <f>YEAR(U3009)</f>
        <v/>
      </c>
      <c r="T3009" s="6">
        <f>MONTH(U3009)</f>
        <v/>
      </c>
      <c r="Z3009" s="6">
        <f>AA3009&amp;AB3009</f>
        <v/>
      </c>
      <c r="AA3009" s="6">
        <f>YEAR(AC3009)</f>
        <v/>
      </c>
      <c r="AB3009" s="6">
        <f>MONTH(AC3009)</f>
        <v/>
      </c>
      <c r="AC3009" s="267">
        <f>IFERROR(__xludf.DUMMYFUNCTION("""COMPUTED_VALUE"""),46169.9986111111)</f>
        <v/>
      </c>
      <c r="AD3009" s="6">
        <f>IFERROR(__xludf.DUMMYFUNCTION("""COMPUTED_VALUE"""),1503.11)</f>
        <v/>
      </c>
      <c r="AH3009" s="6">
        <f>AI3009&amp;AJ3009</f>
        <v/>
      </c>
      <c r="AI3009" s="6">
        <f>YEAR(AK3009)</f>
        <v/>
      </c>
      <c r="AJ3009" s="6">
        <f>MONTH(AK3009)</f>
        <v/>
      </c>
      <c r="AK3009" s="267">
        <f>IFERROR(__xludf.DUMMYFUNCTION("""COMPUTED_VALUE"""),46104.9986111111)</f>
        <v/>
      </c>
      <c r="AL3009" s="6">
        <f>IFERROR(__xludf.DUMMYFUNCTION("""COMPUTED_VALUE"""),68076.59)</f>
        <v/>
      </c>
      <c r="AP3009" s="6">
        <f>AQ3009&amp;AR3009</f>
        <v/>
      </c>
      <c r="AQ3009" s="6">
        <f>YEAR(AS3009)</f>
        <v/>
      </c>
      <c r="AR3009" s="6">
        <f>MONTH(AS3009)</f>
        <v/>
      </c>
    </row>
    <row r="3010">
      <c r="B3010" s="6">
        <f>C3010&amp;D3010</f>
        <v/>
      </c>
      <c r="C3010" s="6">
        <f>YEAR(E3010)</f>
        <v/>
      </c>
      <c r="D3010" s="6">
        <f>MONTH(E3010)</f>
        <v/>
      </c>
      <c r="J3010" s="6">
        <f>K3010&amp;L3010</f>
        <v/>
      </c>
      <c r="K3010" s="6">
        <f>YEAR(M3010)</f>
        <v/>
      </c>
      <c r="L3010" s="6">
        <f>MONTH(M3010)</f>
        <v/>
      </c>
      <c r="R3010" s="6">
        <f>S3010&amp;T3010</f>
        <v/>
      </c>
      <c r="S3010" s="6">
        <f>YEAR(U3010)</f>
        <v/>
      </c>
      <c r="T3010" s="6">
        <f>MONTH(U3010)</f>
        <v/>
      </c>
      <c r="Z3010" s="6">
        <f>AA3010&amp;AB3010</f>
        <v/>
      </c>
      <c r="AA3010" s="6">
        <f>YEAR(AC3010)</f>
        <v/>
      </c>
      <c r="AB3010" s="6">
        <f>MONTH(AC3010)</f>
        <v/>
      </c>
      <c r="AC3010" s="267">
        <f>IFERROR(__xludf.DUMMYFUNCTION("""COMPUTED_VALUE"""),46170.9986111111)</f>
        <v/>
      </c>
      <c r="AD3010" s="6">
        <f>IFERROR(__xludf.DUMMYFUNCTION("""COMPUTED_VALUE"""),1495.29)</f>
        <v/>
      </c>
      <c r="AH3010" s="6">
        <f>AI3010&amp;AJ3010</f>
        <v/>
      </c>
      <c r="AI3010" s="6">
        <f>YEAR(AK3010)</f>
        <v/>
      </c>
      <c r="AJ3010" s="6">
        <f>MONTH(AK3010)</f>
        <v/>
      </c>
      <c r="AK3010" s="267">
        <f>IFERROR(__xludf.DUMMYFUNCTION("""COMPUTED_VALUE"""),46105.9986111111)</f>
        <v/>
      </c>
      <c r="AL3010" s="6">
        <f>IFERROR(__xludf.DUMMYFUNCTION("""COMPUTED_VALUE"""),70523.14)</f>
        <v/>
      </c>
      <c r="AP3010" s="6">
        <f>AQ3010&amp;AR3010</f>
        <v/>
      </c>
      <c r="AQ3010" s="6">
        <f>YEAR(AS3010)</f>
        <v/>
      </c>
      <c r="AR3010" s="6">
        <f>MONTH(AS3010)</f>
        <v/>
      </c>
    </row>
    <row r="3011">
      <c r="B3011" s="6">
        <f>C3011&amp;D3011</f>
        <v/>
      </c>
      <c r="C3011" s="6">
        <f>YEAR(E3011)</f>
        <v/>
      </c>
      <c r="D3011" s="6">
        <f>MONTH(E3011)</f>
        <v/>
      </c>
      <c r="J3011" s="6">
        <f>K3011&amp;L3011</f>
        <v/>
      </c>
      <c r="K3011" s="6">
        <f>YEAR(M3011)</f>
        <v/>
      </c>
      <c r="L3011" s="6">
        <f>MONTH(M3011)</f>
        <v/>
      </c>
      <c r="R3011" s="6">
        <f>S3011&amp;T3011</f>
        <v/>
      </c>
      <c r="S3011" s="6">
        <f>YEAR(U3011)</f>
        <v/>
      </c>
      <c r="T3011" s="6">
        <f>MONTH(U3011)</f>
        <v/>
      </c>
      <c r="Z3011" s="6">
        <f>AA3011&amp;AB3011</f>
        <v/>
      </c>
      <c r="AA3011" s="6">
        <f>YEAR(AC3011)</f>
        <v/>
      </c>
      <c r="AB3011" s="6">
        <f>MONTH(AC3011)</f>
        <v/>
      </c>
      <c r="AC3011" s="267">
        <f>IFERROR(__xludf.DUMMYFUNCTION("""COMPUTED_VALUE"""),46171.9986111111)</f>
        <v/>
      </c>
      <c r="AD3011" s="6">
        <f>IFERROR(__xludf.DUMMYFUNCTION("""COMPUTED_VALUE"""),1506.36)</f>
        <v/>
      </c>
      <c r="AH3011" s="6">
        <f>AI3011&amp;AJ3011</f>
        <v/>
      </c>
      <c r="AI3011" s="6">
        <f>YEAR(AK3011)</f>
        <v/>
      </c>
      <c r="AJ3011" s="6">
        <f>MONTH(AK3011)</f>
        <v/>
      </c>
      <c r="AK3011" s="267">
        <f>IFERROR(__xludf.DUMMYFUNCTION("""COMPUTED_VALUE"""),46106.9986111111)</f>
        <v/>
      </c>
      <c r="AL3011" s="6">
        <f>IFERROR(__xludf.DUMMYFUNCTION("""COMPUTED_VALUE"""),70705.11)</f>
        <v/>
      </c>
      <c r="AP3011" s="6">
        <f>AQ3011&amp;AR3011</f>
        <v/>
      </c>
      <c r="AQ3011" s="6">
        <f>YEAR(AS3011)</f>
        <v/>
      </c>
      <c r="AR3011" s="6">
        <f>MONTH(AS3011)</f>
        <v/>
      </c>
    </row>
    <row r="3012">
      <c r="B3012" s="6">
        <f>C3012&amp;D3012</f>
        <v/>
      </c>
      <c r="C3012" s="6">
        <f>YEAR(E3012)</f>
        <v/>
      </c>
      <c r="D3012" s="6">
        <f>MONTH(E3012)</f>
        <v/>
      </c>
      <c r="J3012" s="6">
        <f>K3012&amp;L3012</f>
        <v/>
      </c>
      <c r="K3012" s="6">
        <f>YEAR(M3012)</f>
        <v/>
      </c>
      <c r="L3012" s="6">
        <f>MONTH(M3012)</f>
        <v/>
      </c>
      <c r="R3012" s="6">
        <f>S3012&amp;T3012</f>
        <v/>
      </c>
      <c r="S3012" s="6">
        <f>YEAR(U3012)</f>
        <v/>
      </c>
      <c r="T3012" s="6">
        <f>MONTH(U3012)</f>
        <v/>
      </c>
      <c r="Z3012" s="6">
        <f>AA3012&amp;AB3012</f>
        <v/>
      </c>
      <c r="AA3012" s="6">
        <f>YEAR(AC3012)</f>
        <v/>
      </c>
      <c r="AB3012" s="6">
        <f>MONTH(AC3012)</f>
        <v/>
      </c>
      <c r="AC3012" s="267">
        <f>IFERROR(__xludf.DUMMYFUNCTION("""COMPUTED_VALUE"""),46172.9986111111)</f>
        <v/>
      </c>
      <c r="AD3012" s="6">
        <f>IFERROR(__xludf.DUMMYFUNCTION("""COMPUTED_VALUE"""),1505.96)</f>
        <v/>
      </c>
      <c r="AH3012" s="6">
        <f>AI3012&amp;AJ3012</f>
        <v/>
      </c>
      <c r="AI3012" s="6">
        <f>YEAR(AK3012)</f>
        <v/>
      </c>
      <c r="AJ3012" s="6">
        <f>MONTH(AK3012)</f>
        <v/>
      </c>
      <c r="AK3012" s="267">
        <f>IFERROR(__xludf.DUMMYFUNCTION("""COMPUTED_VALUE"""),46107.9986111111)</f>
        <v/>
      </c>
      <c r="AL3012" s="6">
        <f>IFERROR(__xludf.DUMMYFUNCTION("""COMPUTED_VALUE"""),70851.4)</f>
        <v/>
      </c>
      <c r="AP3012" s="6">
        <f>AQ3012&amp;AR3012</f>
        <v/>
      </c>
      <c r="AQ3012" s="6">
        <f>YEAR(AS3012)</f>
        <v/>
      </c>
      <c r="AR3012" s="6">
        <f>MONTH(AS3012)</f>
        <v/>
      </c>
    </row>
    <row r="3013">
      <c r="B3013" s="6">
        <f>C3013&amp;D3013</f>
        <v/>
      </c>
      <c r="C3013" s="6">
        <f>YEAR(E3013)</f>
        <v/>
      </c>
      <c r="D3013" s="6">
        <f>MONTH(E3013)</f>
        <v/>
      </c>
      <c r="J3013" s="6">
        <f>K3013&amp;L3013</f>
        <v/>
      </c>
      <c r="K3013" s="6">
        <f>YEAR(M3013)</f>
        <v/>
      </c>
      <c r="L3013" s="6">
        <f>MONTH(M3013)</f>
        <v/>
      </c>
      <c r="R3013" s="6">
        <f>S3013&amp;T3013</f>
        <v/>
      </c>
      <c r="S3013" s="6">
        <f>YEAR(U3013)</f>
        <v/>
      </c>
      <c r="T3013" s="6">
        <f>MONTH(U3013)</f>
        <v/>
      </c>
      <c r="Z3013" s="6">
        <f>AA3013&amp;AB3013</f>
        <v/>
      </c>
      <c r="AA3013" s="6">
        <f>YEAR(AC3013)</f>
        <v/>
      </c>
      <c r="AB3013" s="6">
        <f>MONTH(AC3013)</f>
        <v/>
      </c>
      <c r="AC3013" s="267">
        <f>IFERROR(__xludf.DUMMYFUNCTION("""COMPUTED_VALUE"""),46173.9986111111)</f>
        <v/>
      </c>
      <c r="AD3013" s="6">
        <f>IFERROR(__xludf.DUMMYFUNCTION("""COMPUTED_VALUE"""),1506.84)</f>
        <v/>
      </c>
      <c r="AH3013" s="6">
        <f>AI3013&amp;AJ3013</f>
        <v/>
      </c>
      <c r="AI3013" s="6">
        <f>YEAR(AK3013)</f>
        <v/>
      </c>
      <c r="AJ3013" s="6">
        <f>MONTH(AK3013)</f>
        <v/>
      </c>
      <c r="AK3013" s="267">
        <f>IFERROR(__xludf.DUMMYFUNCTION("""COMPUTED_VALUE"""),46108.9986111111)</f>
        <v/>
      </c>
      <c r="AL3013" s="6">
        <f>IFERROR(__xludf.DUMMYFUNCTION("""COMPUTED_VALUE"""),68749.36)</f>
        <v/>
      </c>
      <c r="AP3013" s="6">
        <f>AQ3013&amp;AR3013</f>
        <v/>
      </c>
      <c r="AQ3013" s="6">
        <f>YEAR(AS3013)</f>
        <v/>
      </c>
      <c r="AR3013" s="6">
        <f>MONTH(AS3013)</f>
        <v/>
      </c>
    </row>
    <row r="3014">
      <c r="B3014" s="6">
        <f>C3014&amp;D3014</f>
        <v/>
      </c>
      <c r="C3014" s="6">
        <f>YEAR(E3014)</f>
        <v/>
      </c>
      <c r="D3014" s="6">
        <f>MONTH(E3014)</f>
        <v/>
      </c>
      <c r="J3014" s="6">
        <f>K3014&amp;L3014</f>
        <v/>
      </c>
      <c r="K3014" s="6">
        <f>YEAR(M3014)</f>
        <v/>
      </c>
      <c r="L3014" s="6">
        <f>MONTH(M3014)</f>
        <v/>
      </c>
      <c r="R3014" s="6">
        <f>S3014&amp;T3014</f>
        <v/>
      </c>
      <c r="S3014" s="6">
        <f>YEAR(U3014)</f>
        <v/>
      </c>
      <c r="T3014" s="6">
        <f>MONTH(U3014)</f>
        <v/>
      </c>
      <c r="Z3014" s="6">
        <f>AA3014&amp;AB3014</f>
        <v/>
      </c>
      <c r="AA3014" s="6">
        <f>YEAR(AC3014)</f>
        <v/>
      </c>
      <c r="AB3014" s="6">
        <f>MONTH(AC3014)</f>
        <v/>
      </c>
      <c r="AC3014" s="267">
        <f>IFERROR(__xludf.DUMMYFUNCTION("""COMPUTED_VALUE"""),46174.9986111111)</f>
        <v/>
      </c>
      <c r="AD3014" s="6">
        <f>IFERROR(__xludf.DUMMYFUNCTION("""COMPUTED_VALUE"""),1511.27)</f>
        <v/>
      </c>
      <c r="AH3014" s="6">
        <f>AI3014&amp;AJ3014</f>
        <v/>
      </c>
      <c r="AI3014" s="6">
        <f>YEAR(AK3014)</f>
        <v/>
      </c>
      <c r="AJ3014" s="6">
        <f>MONTH(AK3014)</f>
        <v/>
      </c>
      <c r="AK3014" s="267">
        <f>IFERROR(__xludf.DUMMYFUNCTION("""COMPUTED_VALUE"""),46109.9986111111)</f>
        <v/>
      </c>
      <c r="AL3014" s="6">
        <f>IFERROR(__xludf.DUMMYFUNCTION("""COMPUTED_VALUE"""),66214.26)</f>
        <v/>
      </c>
      <c r="AP3014" s="6">
        <f>AQ3014&amp;AR3014</f>
        <v/>
      </c>
      <c r="AQ3014" s="6">
        <f>YEAR(AS3014)</f>
        <v/>
      </c>
      <c r="AR3014" s="6">
        <f>MONTH(AS3014)</f>
        <v/>
      </c>
    </row>
    <row r="3015">
      <c r="B3015" s="6">
        <f>C3015&amp;D3015</f>
        <v/>
      </c>
      <c r="C3015" s="6">
        <f>YEAR(E3015)</f>
        <v/>
      </c>
      <c r="D3015" s="6">
        <f>MONTH(E3015)</f>
        <v/>
      </c>
      <c r="J3015" s="6">
        <f>K3015&amp;L3015</f>
        <v/>
      </c>
      <c r="K3015" s="6">
        <f>YEAR(M3015)</f>
        <v/>
      </c>
      <c r="L3015" s="6">
        <f>MONTH(M3015)</f>
        <v/>
      </c>
      <c r="R3015" s="6">
        <f>S3015&amp;T3015</f>
        <v/>
      </c>
      <c r="S3015" s="6">
        <f>YEAR(U3015)</f>
        <v/>
      </c>
      <c r="T3015" s="6">
        <f>MONTH(U3015)</f>
        <v/>
      </c>
      <c r="Z3015" s="6">
        <f>AA3015&amp;AB3015</f>
        <v/>
      </c>
      <c r="AA3015" s="6">
        <f>YEAR(AC3015)</f>
        <v/>
      </c>
      <c r="AB3015" s="6">
        <f>MONTH(AC3015)</f>
        <v/>
      </c>
      <c r="AC3015" s="267">
        <f>IFERROR(__xludf.DUMMYFUNCTION("""COMPUTED_VALUE"""),46175.9986111111)</f>
        <v/>
      </c>
      <c r="AD3015" s="6">
        <f>IFERROR(__xludf.DUMMYFUNCTION("""COMPUTED_VALUE"""),1516.6)</f>
        <v/>
      </c>
      <c r="AH3015" s="6">
        <f>AI3015&amp;AJ3015</f>
        <v/>
      </c>
      <c r="AI3015" s="6">
        <f>YEAR(AK3015)</f>
        <v/>
      </c>
      <c r="AJ3015" s="6">
        <f>MONTH(AK3015)</f>
        <v/>
      </c>
      <c r="AK3015" s="267">
        <f>IFERROR(__xludf.DUMMYFUNCTION("""COMPUTED_VALUE"""),46110.9986111111)</f>
        <v/>
      </c>
      <c r="AL3015" s="6">
        <f>IFERROR(__xludf.DUMMYFUNCTION("""COMPUTED_VALUE"""),66920.02)</f>
        <v/>
      </c>
      <c r="AP3015" s="6">
        <f>AQ3015&amp;AR3015</f>
        <v/>
      </c>
      <c r="AQ3015" s="6">
        <f>YEAR(AS3015)</f>
        <v/>
      </c>
      <c r="AR3015" s="6">
        <f>MONTH(AS3015)</f>
        <v/>
      </c>
    </row>
    <row r="3016">
      <c r="B3016" s="6">
        <f>C3016&amp;D3016</f>
        <v/>
      </c>
      <c r="C3016" s="6">
        <f>YEAR(E3016)</f>
        <v/>
      </c>
      <c r="D3016" s="6">
        <f>MONTH(E3016)</f>
        <v/>
      </c>
      <c r="J3016" s="6">
        <f>K3016&amp;L3016</f>
        <v/>
      </c>
      <c r="K3016" s="6">
        <f>YEAR(M3016)</f>
        <v/>
      </c>
      <c r="L3016" s="6">
        <f>MONTH(M3016)</f>
        <v/>
      </c>
      <c r="R3016" s="6">
        <f>S3016&amp;T3016</f>
        <v/>
      </c>
      <c r="S3016" s="6">
        <f>YEAR(U3016)</f>
        <v/>
      </c>
      <c r="T3016" s="6">
        <f>MONTH(U3016)</f>
        <v/>
      </c>
      <c r="Z3016" s="6">
        <f>AA3016&amp;AB3016</f>
        <v/>
      </c>
      <c r="AA3016" s="6">
        <f>YEAR(AC3016)</f>
        <v/>
      </c>
      <c r="AB3016" s="6">
        <f>MONTH(AC3016)</f>
        <v/>
      </c>
      <c r="AC3016" s="267">
        <f>IFERROR(__xludf.DUMMYFUNCTION("""COMPUTED_VALUE"""),46176.9986111111)</f>
        <v/>
      </c>
      <c r="AD3016" s="6">
        <f>IFERROR(__xludf.DUMMYFUNCTION("""COMPUTED_VALUE"""),1530.11)</f>
        <v/>
      </c>
      <c r="AH3016" s="6">
        <f>AI3016&amp;AJ3016</f>
        <v/>
      </c>
      <c r="AI3016" s="6">
        <f>YEAR(AK3016)</f>
        <v/>
      </c>
      <c r="AJ3016" s="6">
        <f>MONTH(AK3016)</f>
        <v/>
      </c>
      <c r="AK3016" s="267">
        <f>IFERROR(__xludf.DUMMYFUNCTION("""COMPUTED_VALUE"""),46111.9986111111)</f>
        <v/>
      </c>
      <c r="AL3016" s="6">
        <f>IFERROR(__xludf.DUMMYFUNCTION("""COMPUTED_VALUE"""),67120.27)</f>
        <v/>
      </c>
      <c r="AP3016" s="6">
        <f>AQ3016&amp;AR3016</f>
        <v/>
      </c>
      <c r="AQ3016" s="6">
        <f>YEAR(AS3016)</f>
        <v/>
      </c>
      <c r="AR3016" s="6">
        <f>MONTH(AS3016)</f>
        <v/>
      </c>
    </row>
    <row r="3017">
      <c r="B3017" s="6">
        <f>C3017&amp;D3017</f>
        <v/>
      </c>
      <c r="C3017" s="6">
        <f>YEAR(E3017)</f>
        <v/>
      </c>
      <c r="D3017" s="6">
        <f>MONTH(E3017)</f>
        <v/>
      </c>
      <c r="J3017" s="6">
        <f>K3017&amp;L3017</f>
        <v/>
      </c>
      <c r="K3017" s="6">
        <f>YEAR(M3017)</f>
        <v/>
      </c>
      <c r="L3017" s="6">
        <f>MONTH(M3017)</f>
        <v/>
      </c>
      <c r="R3017" s="6">
        <f>S3017&amp;T3017</f>
        <v/>
      </c>
      <c r="S3017" s="6">
        <f>YEAR(U3017)</f>
        <v/>
      </c>
      <c r="T3017" s="6">
        <f>MONTH(U3017)</f>
        <v/>
      </c>
      <c r="Z3017" s="6">
        <f>AA3017&amp;AB3017</f>
        <v/>
      </c>
      <c r="AA3017" s="6">
        <f>YEAR(AC3017)</f>
        <v/>
      </c>
      <c r="AB3017" s="6">
        <f>MONTH(AC3017)</f>
        <v/>
      </c>
      <c r="AC3017" s="267">
        <f>IFERROR(__xludf.DUMMYFUNCTION("""COMPUTED_VALUE"""),46177.9986111111)</f>
        <v/>
      </c>
      <c r="AD3017" s="6">
        <f>IFERROR(__xludf.DUMMYFUNCTION("""COMPUTED_VALUE"""),1533.07)</f>
        <v/>
      </c>
      <c r="AH3017" s="6">
        <f>AI3017&amp;AJ3017</f>
        <v/>
      </c>
      <c r="AI3017" s="6">
        <f>YEAR(AK3017)</f>
        <v/>
      </c>
      <c r="AJ3017" s="6">
        <f>MONTH(AK3017)</f>
        <v/>
      </c>
      <c r="AK3017" s="267">
        <f>IFERROR(__xludf.DUMMYFUNCTION("""COMPUTED_VALUE"""),46112.9986111111)</f>
        <v/>
      </c>
      <c r="AL3017" s="6">
        <f>IFERROR(__xludf.DUMMYFUNCTION("""COMPUTED_VALUE"""),67647.5)</f>
        <v/>
      </c>
      <c r="AP3017" s="6">
        <f>AQ3017&amp;AR3017</f>
        <v/>
      </c>
      <c r="AQ3017" s="6">
        <f>YEAR(AS3017)</f>
        <v/>
      </c>
      <c r="AR3017" s="6">
        <f>MONTH(AS3017)</f>
        <v/>
      </c>
    </row>
    <row r="3018">
      <c r="B3018" s="6">
        <f>C3018&amp;D3018</f>
        <v/>
      </c>
      <c r="C3018" s="6">
        <f>YEAR(E3018)</f>
        <v/>
      </c>
      <c r="D3018" s="6">
        <f>MONTH(E3018)</f>
        <v/>
      </c>
      <c r="J3018" s="6">
        <f>K3018&amp;L3018</f>
        <v/>
      </c>
      <c r="K3018" s="6">
        <f>YEAR(M3018)</f>
        <v/>
      </c>
      <c r="L3018" s="6">
        <f>MONTH(M3018)</f>
        <v/>
      </c>
      <c r="R3018" s="6">
        <f>S3018&amp;T3018</f>
        <v/>
      </c>
      <c r="S3018" s="6">
        <f>YEAR(U3018)</f>
        <v/>
      </c>
      <c r="T3018" s="6">
        <f>MONTH(U3018)</f>
        <v/>
      </c>
      <c r="Z3018" s="6">
        <f>AA3018&amp;AB3018</f>
        <v/>
      </c>
      <c r="AA3018" s="6">
        <f>YEAR(AC3018)</f>
        <v/>
      </c>
      <c r="AB3018" s="6">
        <f>MONTH(AC3018)</f>
        <v/>
      </c>
      <c r="AC3018" s="267">
        <f>IFERROR(__xludf.DUMMYFUNCTION("""COMPUTED_VALUE"""),46178.9986111111)</f>
        <v/>
      </c>
      <c r="AD3018" s="6">
        <f>IFERROR(__xludf.DUMMYFUNCTION("""COMPUTED_VALUE"""),1558.47)</f>
        <v/>
      </c>
      <c r="AH3018" s="6">
        <f>AI3018&amp;AJ3018</f>
        <v/>
      </c>
      <c r="AI3018" s="6">
        <f>YEAR(AK3018)</f>
        <v/>
      </c>
      <c r="AJ3018" s="6">
        <f>MONTH(AK3018)</f>
        <v/>
      </c>
      <c r="AK3018" s="267">
        <f>IFERROR(__xludf.DUMMYFUNCTION("""COMPUTED_VALUE"""),46113.9986111111)</f>
        <v/>
      </c>
      <c r="AL3018" s="6">
        <f>IFERROR(__xludf.DUMMYFUNCTION("""COMPUTED_VALUE"""),68084.47)</f>
        <v/>
      </c>
      <c r="AP3018" s="6">
        <f>AQ3018&amp;AR3018</f>
        <v/>
      </c>
      <c r="AQ3018" s="6">
        <f>YEAR(AS3018)</f>
        <v/>
      </c>
      <c r="AR3018" s="6">
        <f>MONTH(AS3018)</f>
        <v/>
      </c>
    </row>
    <row r="3019">
      <c r="B3019" s="6">
        <f>C3019&amp;D3019</f>
        <v/>
      </c>
      <c r="C3019" s="6">
        <f>YEAR(E3019)</f>
        <v/>
      </c>
      <c r="D3019" s="6">
        <f>MONTH(E3019)</f>
        <v/>
      </c>
      <c r="J3019" s="6">
        <f>K3019&amp;L3019</f>
        <v/>
      </c>
      <c r="K3019" s="6">
        <f>YEAR(M3019)</f>
        <v/>
      </c>
      <c r="L3019" s="6">
        <f>MONTH(M3019)</f>
        <v/>
      </c>
      <c r="R3019" s="6">
        <f>S3019&amp;T3019</f>
        <v/>
      </c>
      <c r="S3019" s="6">
        <f>YEAR(U3019)</f>
        <v/>
      </c>
      <c r="T3019" s="6">
        <f>MONTH(U3019)</f>
        <v/>
      </c>
      <c r="Z3019" s="6">
        <f>AA3019&amp;AB3019</f>
        <v/>
      </c>
      <c r="AA3019" s="6">
        <f>YEAR(AC3019)</f>
        <v/>
      </c>
      <c r="AB3019" s="6">
        <f>MONTH(AC3019)</f>
        <v/>
      </c>
      <c r="AC3019" s="267">
        <f>IFERROR(__xludf.DUMMYFUNCTION("""COMPUTED_VALUE"""),46179.9986111111)</f>
        <v/>
      </c>
      <c r="AD3019" s="6">
        <f>IFERROR(__xludf.DUMMYFUNCTION("""COMPUTED_VALUE"""),1557.47)</f>
        <v/>
      </c>
      <c r="AH3019" s="6">
        <f>AI3019&amp;AJ3019</f>
        <v/>
      </c>
      <c r="AI3019" s="6">
        <f>YEAR(AK3019)</f>
        <v/>
      </c>
      <c r="AJ3019" s="6">
        <f>MONTH(AK3019)</f>
        <v/>
      </c>
      <c r="AK3019" s="267">
        <f>IFERROR(__xludf.DUMMYFUNCTION("""COMPUTED_VALUE"""),46114.9986111111)</f>
        <v/>
      </c>
      <c r="AL3019" s="6">
        <f>IFERROR(__xludf.DUMMYFUNCTION("""COMPUTED_VALUE"""),66597.65)</f>
        <v/>
      </c>
      <c r="AP3019" s="6">
        <f>AQ3019&amp;AR3019</f>
        <v/>
      </c>
      <c r="AQ3019" s="6">
        <f>YEAR(AS3019)</f>
        <v/>
      </c>
      <c r="AR3019" s="6">
        <f>MONTH(AS3019)</f>
        <v/>
      </c>
    </row>
    <row r="3020">
      <c r="B3020" s="6">
        <f>C3020&amp;D3020</f>
        <v/>
      </c>
      <c r="C3020" s="6">
        <f>YEAR(E3020)</f>
        <v/>
      </c>
      <c r="D3020" s="6">
        <f>MONTH(E3020)</f>
        <v/>
      </c>
      <c r="J3020" s="6">
        <f>K3020&amp;L3020</f>
        <v/>
      </c>
      <c r="K3020" s="6">
        <f>YEAR(M3020)</f>
        <v/>
      </c>
      <c r="L3020" s="6">
        <f>MONTH(M3020)</f>
        <v/>
      </c>
      <c r="R3020" s="6">
        <f>S3020&amp;T3020</f>
        <v/>
      </c>
      <c r="S3020" s="6">
        <f>YEAR(U3020)</f>
        <v/>
      </c>
      <c r="T3020" s="6">
        <f>MONTH(U3020)</f>
        <v/>
      </c>
      <c r="Z3020" s="6">
        <f>AA3020&amp;AB3020</f>
        <v/>
      </c>
      <c r="AA3020" s="6">
        <f>YEAR(AC3020)</f>
        <v/>
      </c>
      <c r="AB3020" s="6">
        <f>MONTH(AC3020)</f>
        <v/>
      </c>
      <c r="AC3020" s="267">
        <f>IFERROR(__xludf.DUMMYFUNCTION("""COMPUTED_VALUE"""),46180.9986111111)</f>
        <v/>
      </c>
      <c r="AD3020" s="6">
        <f>IFERROR(__xludf.DUMMYFUNCTION("""COMPUTED_VALUE"""),1554.48)</f>
        <v/>
      </c>
      <c r="AH3020" s="6">
        <f>AI3020&amp;AJ3020</f>
        <v/>
      </c>
      <c r="AI3020" s="6">
        <f>YEAR(AK3020)</f>
        <v/>
      </c>
      <c r="AJ3020" s="6">
        <f>MONTH(AK3020)</f>
        <v/>
      </c>
      <c r="AK3020" s="267">
        <f>IFERROR(__xludf.DUMMYFUNCTION("""COMPUTED_VALUE"""),46115.9986111111)</f>
        <v/>
      </c>
      <c r="AL3020" s="6">
        <f>IFERROR(__xludf.DUMMYFUNCTION("""COMPUTED_VALUE"""),66597.64)</f>
        <v/>
      </c>
      <c r="AP3020" s="6">
        <f>AQ3020&amp;AR3020</f>
        <v/>
      </c>
      <c r="AQ3020" s="6">
        <f>YEAR(AS3020)</f>
        <v/>
      </c>
      <c r="AR3020" s="6">
        <f>MONTH(AS3020)</f>
        <v/>
      </c>
    </row>
    <row r="3021">
      <c r="B3021" s="6">
        <f>C3021&amp;D3021</f>
        <v/>
      </c>
      <c r="C3021" s="6">
        <f>YEAR(E3021)</f>
        <v/>
      </c>
      <c r="D3021" s="6">
        <f>MONTH(E3021)</f>
        <v/>
      </c>
      <c r="J3021" s="6">
        <f>K3021&amp;L3021</f>
        <v/>
      </c>
      <c r="K3021" s="6">
        <f>YEAR(M3021)</f>
        <v/>
      </c>
      <c r="L3021" s="6">
        <f>MONTH(M3021)</f>
        <v/>
      </c>
      <c r="R3021" s="6">
        <f>S3021&amp;T3021</f>
        <v/>
      </c>
      <c r="S3021" s="6">
        <f>YEAR(U3021)</f>
        <v/>
      </c>
      <c r="T3021" s="6">
        <f>MONTH(U3021)</f>
        <v/>
      </c>
      <c r="Z3021" s="6">
        <f>AA3021&amp;AB3021</f>
        <v/>
      </c>
      <c r="AA3021" s="6">
        <f>YEAR(AC3021)</f>
        <v/>
      </c>
      <c r="AB3021" s="6">
        <f>MONTH(AC3021)</f>
        <v/>
      </c>
      <c r="AC3021" s="267">
        <f>IFERROR(__xludf.DUMMYFUNCTION("""COMPUTED_VALUE"""),46181.9986111111)</f>
        <v/>
      </c>
      <c r="AD3021" s="6">
        <f>IFERROR(__xludf.DUMMYFUNCTION("""COMPUTED_VALUE"""),1528.88)</f>
        <v/>
      </c>
      <c r="AH3021" s="6">
        <f>AI3021&amp;AJ3021</f>
        <v/>
      </c>
      <c r="AI3021" s="6">
        <f>YEAR(AK3021)</f>
        <v/>
      </c>
      <c r="AJ3021" s="6">
        <f>MONTH(AK3021)</f>
        <v/>
      </c>
      <c r="AK3021" s="267">
        <f>IFERROR(__xludf.DUMMYFUNCTION("""COMPUTED_VALUE"""),46116.9986111111)</f>
        <v/>
      </c>
      <c r="AL3021" s="6">
        <f>IFERROR(__xludf.DUMMYFUNCTION("""COMPUTED_VALUE"""),66828.99)</f>
        <v/>
      </c>
      <c r="AP3021" s="6">
        <f>AQ3021&amp;AR3021</f>
        <v/>
      </c>
      <c r="AQ3021" s="6">
        <f>YEAR(AS3021)</f>
        <v/>
      </c>
      <c r="AR3021" s="6">
        <f>MONTH(AS3021)</f>
        <v/>
      </c>
    </row>
    <row r="3022">
      <c r="B3022" s="6">
        <f>C3022&amp;D3022</f>
        <v/>
      </c>
      <c r="C3022" s="6">
        <f>YEAR(E3022)</f>
        <v/>
      </c>
      <c r="D3022" s="6">
        <f>MONTH(E3022)</f>
        <v/>
      </c>
      <c r="J3022" s="6">
        <f>K3022&amp;L3022</f>
        <v/>
      </c>
      <c r="K3022" s="6">
        <f>YEAR(M3022)</f>
        <v/>
      </c>
      <c r="L3022" s="6">
        <f>MONTH(M3022)</f>
        <v/>
      </c>
      <c r="R3022" s="6">
        <f>S3022&amp;T3022</f>
        <v/>
      </c>
      <c r="S3022" s="6">
        <f>YEAR(U3022)</f>
        <v/>
      </c>
      <c r="T3022" s="6">
        <f>MONTH(U3022)</f>
        <v/>
      </c>
      <c r="Z3022" s="6">
        <f>AA3022&amp;AB3022</f>
        <v/>
      </c>
      <c r="AA3022" s="6">
        <f>YEAR(AC3022)</f>
        <v/>
      </c>
      <c r="AB3022" s="6">
        <f>MONTH(AC3022)</f>
        <v/>
      </c>
      <c r="AC3022" s="267">
        <f>IFERROR(__xludf.DUMMYFUNCTION("""COMPUTED_VALUE"""),46182.9986111111)</f>
        <v/>
      </c>
      <c r="AD3022" s="6">
        <f>IFERROR(__xludf.DUMMYFUNCTION("""COMPUTED_VALUE"""),1525.81)</f>
        <v/>
      </c>
      <c r="AH3022" s="6">
        <f>AI3022&amp;AJ3022</f>
        <v/>
      </c>
      <c r="AI3022" s="6">
        <f>YEAR(AK3022)</f>
        <v/>
      </c>
      <c r="AJ3022" s="6">
        <f>MONTH(AK3022)</f>
        <v/>
      </c>
      <c r="AK3022" s="267">
        <f>IFERROR(__xludf.DUMMYFUNCTION("""COMPUTED_VALUE"""),46117.9986111111)</f>
        <v/>
      </c>
      <c r="AL3022" s="6">
        <f>IFERROR(__xludf.DUMMYFUNCTION("""COMPUTED_VALUE"""),67130.08)</f>
        <v/>
      </c>
      <c r="AP3022" s="6">
        <f>AQ3022&amp;AR3022</f>
        <v/>
      </c>
      <c r="AQ3022" s="6">
        <f>YEAR(AS3022)</f>
        <v/>
      </c>
      <c r="AR3022" s="6">
        <f>MONTH(AS3022)</f>
        <v/>
      </c>
    </row>
    <row r="3023">
      <c r="B3023" s="6">
        <f>C3023&amp;D3023</f>
        <v/>
      </c>
      <c r="C3023" s="6">
        <f>YEAR(E3023)</f>
        <v/>
      </c>
      <c r="D3023" s="6">
        <f>MONTH(E3023)</f>
        <v/>
      </c>
      <c r="J3023" s="6">
        <f>K3023&amp;L3023</f>
        <v/>
      </c>
      <c r="K3023" s="6">
        <f>YEAR(M3023)</f>
        <v/>
      </c>
      <c r="L3023" s="6">
        <f>MONTH(M3023)</f>
        <v/>
      </c>
      <c r="R3023" s="6">
        <f>S3023&amp;T3023</f>
        <v/>
      </c>
      <c r="S3023" s="6">
        <f>YEAR(U3023)</f>
        <v/>
      </c>
      <c r="T3023" s="6">
        <f>MONTH(U3023)</f>
        <v/>
      </c>
      <c r="Z3023" s="6">
        <f>AA3023&amp;AB3023</f>
        <v/>
      </c>
      <c r="AA3023" s="6">
        <f>YEAR(AC3023)</f>
        <v/>
      </c>
      <c r="AB3023" s="6">
        <f>MONTH(AC3023)</f>
        <v/>
      </c>
      <c r="AC3023" s="267">
        <f>IFERROR(__xludf.DUMMYFUNCTION("""COMPUTED_VALUE"""),46183.9986111111)</f>
        <v/>
      </c>
      <c r="AD3023" s="6">
        <f>IFERROR(__xludf.DUMMYFUNCTION("""COMPUTED_VALUE"""),1525.05)</f>
        <v/>
      </c>
      <c r="AH3023" s="6">
        <f>AI3023&amp;AJ3023</f>
        <v/>
      </c>
      <c r="AI3023" s="6">
        <f>YEAR(AK3023)</f>
        <v/>
      </c>
      <c r="AJ3023" s="6">
        <f>MONTH(AK3023)</f>
        <v/>
      </c>
      <c r="AK3023" s="267">
        <f>IFERROR(__xludf.DUMMYFUNCTION("""COMPUTED_VALUE"""),46118.9986111111)</f>
        <v/>
      </c>
      <c r="AL3023" s="6">
        <f>IFERROR(__xludf.DUMMYFUNCTION("""COMPUTED_VALUE"""),69066.4)</f>
        <v/>
      </c>
      <c r="AP3023" s="6">
        <f>AQ3023&amp;AR3023</f>
        <v/>
      </c>
      <c r="AQ3023" s="6">
        <f>YEAR(AS3023)</f>
        <v/>
      </c>
      <c r="AR3023" s="6">
        <f>MONTH(AS3023)</f>
        <v/>
      </c>
    </row>
    <row r="3024">
      <c r="B3024" s="6">
        <f>C3024&amp;D3024</f>
        <v/>
      </c>
      <c r="C3024" s="6">
        <f>YEAR(E3024)</f>
        <v/>
      </c>
      <c r="D3024" s="6">
        <f>MONTH(E3024)</f>
        <v/>
      </c>
      <c r="J3024" s="6">
        <f>K3024&amp;L3024</f>
        <v/>
      </c>
      <c r="K3024" s="6">
        <f>YEAR(M3024)</f>
        <v/>
      </c>
      <c r="L3024" s="6">
        <f>MONTH(M3024)</f>
        <v/>
      </c>
      <c r="R3024" s="6">
        <f>S3024&amp;T3024</f>
        <v/>
      </c>
      <c r="S3024" s="6">
        <f>YEAR(U3024)</f>
        <v/>
      </c>
      <c r="T3024" s="6">
        <f>MONTH(U3024)</f>
        <v/>
      </c>
      <c r="Z3024" s="6">
        <f>AA3024&amp;AB3024</f>
        <v/>
      </c>
      <c r="AA3024" s="6">
        <f>YEAR(AC3024)</f>
        <v/>
      </c>
      <c r="AB3024" s="6">
        <f>MONTH(AC3024)</f>
        <v/>
      </c>
      <c r="AC3024" s="267">
        <f>IFERROR(__xludf.DUMMYFUNCTION("""COMPUTED_VALUE"""),46184.9986111111)</f>
        <v/>
      </c>
      <c r="AD3024" s="6">
        <f>IFERROR(__xludf.DUMMYFUNCTION("""COMPUTED_VALUE"""),1517.38)</f>
        <v/>
      </c>
      <c r="AH3024" s="6">
        <f>AI3024&amp;AJ3024</f>
        <v/>
      </c>
      <c r="AI3024" s="6">
        <f>YEAR(AK3024)</f>
        <v/>
      </c>
      <c r="AJ3024" s="6">
        <f>MONTH(AK3024)</f>
        <v/>
      </c>
      <c r="AK3024" s="267">
        <f>IFERROR(__xludf.DUMMYFUNCTION("""COMPUTED_VALUE"""),46119.9986111111)</f>
        <v/>
      </c>
      <c r="AL3024" s="6">
        <f>IFERROR(__xludf.DUMMYFUNCTION("""COMPUTED_VALUE"""),68748.08)</f>
        <v/>
      </c>
      <c r="AP3024" s="6">
        <f>AQ3024&amp;AR3024</f>
        <v/>
      </c>
      <c r="AQ3024" s="6">
        <f>YEAR(AS3024)</f>
        <v/>
      </c>
      <c r="AR3024" s="6">
        <f>MONTH(AS3024)</f>
        <v/>
      </c>
    </row>
    <row r="3025">
      <c r="B3025" s="6">
        <f>C3025&amp;D3025</f>
        <v/>
      </c>
      <c r="C3025" s="6">
        <f>YEAR(E3025)</f>
        <v/>
      </c>
      <c r="D3025" s="6">
        <f>MONTH(E3025)</f>
        <v/>
      </c>
      <c r="J3025" s="6">
        <f>K3025&amp;L3025</f>
        <v/>
      </c>
      <c r="K3025" s="6">
        <f>YEAR(M3025)</f>
        <v/>
      </c>
      <c r="L3025" s="6">
        <f>MONTH(M3025)</f>
        <v/>
      </c>
      <c r="R3025" s="6">
        <f>S3025&amp;T3025</f>
        <v/>
      </c>
      <c r="S3025" s="6">
        <f>YEAR(U3025)</f>
        <v/>
      </c>
      <c r="T3025" s="6">
        <f>MONTH(U3025)</f>
        <v/>
      </c>
      <c r="Z3025" s="6">
        <f>AA3025&amp;AB3025</f>
        <v/>
      </c>
      <c r="AA3025" s="6">
        <f>YEAR(AC3025)</f>
        <v/>
      </c>
      <c r="AB3025" s="6">
        <f>MONTH(AC3025)</f>
        <v/>
      </c>
      <c r="AC3025" s="267">
        <f>IFERROR(__xludf.DUMMYFUNCTION("""COMPUTED_VALUE"""),46185.9986111111)</f>
        <v/>
      </c>
      <c r="AD3025" s="6">
        <f>IFERROR(__xludf.DUMMYFUNCTION("""COMPUTED_VALUE"""),1515.74)</f>
        <v/>
      </c>
      <c r="AH3025" s="6">
        <f>AI3025&amp;AJ3025</f>
        <v/>
      </c>
      <c r="AI3025" s="6">
        <f>YEAR(AK3025)</f>
        <v/>
      </c>
      <c r="AJ3025" s="6">
        <f>MONTH(AK3025)</f>
        <v/>
      </c>
      <c r="AK3025" s="267">
        <f>IFERROR(__xludf.DUMMYFUNCTION("""COMPUTED_VALUE"""),46120.9986111111)</f>
        <v/>
      </c>
      <c r="AL3025" s="6">
        <f>IFERROR(__xludf.DUMMYFUNCTION("""COMPUTED_VALUE"""),71290.38)</f>
        <v/>
      </c>
      <c r="AP3025" s="6">
        <f>AQ3025&amp;AR3025</f>
        <v/>
      </c>
      <c r="AQ3025" s="6">
        <f>YEAR(AS3025)</f>
        <v/>
      </c>
      <c r="AR3025" s="6">
        <f>MONTH(AS3025)</f>
        <v/>
      </c>
    </row>
    <row r="3026">
      <c r="B3026" s="6">
        <f>C3026&amp;D3026</f>
        <v/>
      </c>
      <c r="C3026" s="6">
        <f>YEAR(E3026)</f>
        <v/>
      </c>
      <c r="D3026" s="6">
        <f>MONTH(E3026)</f>
        <v/>
      </c>
      <c r="J3026" s="6">
        <f>K3026&amp;L3026</f>
        <v/>
      </c>
      <c r="K3026" s="6">
        <f>YEAR(M3026)</f>
        <v/>
      </c>
      <c r="L3026" s="6">
        <f>MONTH(M3026)</f>
        <v/>
      </c>
      <c r="R3026" s="6">
        <f>S3026&amp;T3026</f>
        <v/>
      </c>
      <c r="S3026" s="6">
        <f>YEAR(U3026)</f>
        <v/>
      </c>
      <c r="T3026" s="6">
        <f>MONTH(U3026)</f>
        <v/>
      </c>
      <c r="Z3026" s="6">
        <f>AA3026&amp;AB3026</f>
        <v/>
      </c>
      <c r="AA3026" s="6">
        <f>YEAR(AC3026)</f>
        <v/>
      </c>
      <c r="AB3026" s="6">
        <f>MONTH(AC3026)</f>
        <v/>
      </c>
      <c r="AC3026" s="267">
        <f>IFERROR(__xludf.DUMMYFUNCTION("""COMPUTED_VALUE"""),46186.9986111111)</f>
        <v/>
      </c>
      <c r="AD3026" s="6">
        <f>IFERROR(__xludf.DUMMYFUNCTION("""COMPUTED_VALUE"""),1516.23)</f>
        <v/>
      </c>
      <c r="AH3026" s="6">
        <f>AI3026&amp;AJ3026</f>
        <v/>
      </c>
      <c r="AI3026" s="6">
        <f>YEAR(AK3026)</f>
        <v/>
      </c>
      <c r="AJ3026" s="6">
        <f>MONTH(AK3026)</f>
        <v/>
      </c>
      <c r="AK3026" s="267">
        <f>IFERROR(__xludf.DUMMYFUNCTION("""COMPUTED_VALUE"""),46121.9986111111)</f>
        <v/>
      </c>
      <c r="AL3026" s="6">
        <f>IFERROR(__xludf.DUMMYFUNCTION("""COMPUTED_VALUE"""),70981.11)</f>
        <v/>
      </c>
      <c r="AP3026" s="6">
        <f>AQ3026&amp;AR3026</f>
        <v/>
      </c>
      <c r="AQ3026" s="6">
        <f>YEAR(AS3026)</f>
        <v/>
      </c>
      <c r="AR3026" s="6">
        <f>MONTH(AS3026)</f>
        <v/>
      </c>
    </row>
    <row r="3027">
      <c r="B3027" s="6">
        <f>C3027&amp;D3027</f>
        <v/>
      </c>
      <c r="C3027" s="6">
        <f>YEAR(E3027)</f>
        <v/>
      </c>
      <c r="D3027" s="6">
        <f>MONTH(E3027)</f>
        <v/>
      </c>
      <c r="J3027" s="6">
        <f>K3027&amp;L3027</f>
        <v/>
      </c>
      <c r="K3027" s="6">
        <f>YEAR(M3027)</f>
        <v/>
      </c>
      <c r="L3027" s="6">
        <f>MONTH(M3027)</f>
        <v/>
      </c>
      <c r="R3027" s="6">
        <f>S3027&amp;T3027</f>
        <v/>
      </c>
      <c r="S3027" s="6">
        <f>YEAR(U3027)</f>
        <v/>
      </c>
      <c r="T3027" s="6">
        <f>MONTH(U3027)</f>
        <v/>
      </c>
      <c r="Z3027" s="6">
        <f>AA3027&amp;AB3027</f>
        <v/>
      </c>
      <c r="AA3027" s="6">
        <f>YEAR(AC3027)</f>
        <v/>
      </c>
      <c r="AB3027" s="6">
        <f>MONTH(AC3027)</f>
        <v/>
      </c>
      <c r="AC3027" s="267">
        <f>IFERROR(__xludf.DUMMYFUNCTION("""COMPUTED_VALUE"""),46187.9986111111)</f>
        <v/>
      </c>
      <c r="AD3027" s="6">
        <f>IFERROR(__xludf.DUMMYFUNCTION("""COMPUTED_VALUE"""),1509.5)</f>
        <v/>
      </c>
      <c r="AH3027" s="6">
        <f>AI3027&amp;AJ3027</f>
        <v/>
      </c>
      <c r="AI3027" s="6">
        <f>YEAR(AK3027)</f>
        <v/>
      </c>
      <c r="AJ3027" s="6">
        <f>MONTH(AK3027)</f>
        <v/>
      </c>
      <c r="AK3027" s="267">
        <f>IFERROR(__xludf.DUMMYFUNCTION("""COMPUTED_VALUE"""),46122.9986111111)</f>
        <v/>
      </c>
      <c r="AL3027" s="6">
        <f>IFERROR(__xludf.DUMMYFUNCTION("""COMPUTED_VALUE"""),71878.66)</f>
        <v/>
      </c>
      <c r="AP3027" s="6">
        <f>AQ3027&amp;AR3027</f>
        <v/>
      </c>
      <c r="AQ3027" s="6">
        <f>YEAR(AS3027)</f>
        <v/>
      </c>
      <c r="AR3027" s="6">
        <f>MONTH(AS3027)</f>
        <v/>
      </c>
    </row>
    <row r="3028">
      <c r="B3028" s="6">
        <f>C3028&amp;D3028</f>
        <v/>
      </c>
      <c r="C3028" s="6">
        <f>YEAR(E3028)</f>
        <v/>
      </c>
      <c r="D3028" s="6">
        <f>MONTH(E3028)</f>
        <v/>
      </c>
      <c r="J3028" s="6">
        <f>K3028&amp;L3028</f>
        <v/>
      </c>
      <c r="K3028" s="6">
        <f>YEAR(M3028)</f>
        <v/>
      </c>
      <c r="L3028" s="6">
        <f>MONTH(M3028)</f>
        <v/>
      </c>
      <c r="R3028" s="6">
        <f>S3028&amp;T3028</f>
        <v/>
      </c>
      <c r="S3028" s="6">
        <f>YEAR(U3028)</f>
        <v/>
      </c>
      <c r="T3028" s="6">
        <f>MONTH(U3028)</f>
        <v/>
      </c>
      <c r="Z3028" s="6">
        <f>AA3028&amp;AB3028</f>
        <v/>
      </c>
      <c r="AA3028" s="6">
        <f>YEAR(AC3028)</f>
        <v/>
      </c>
      <c r="AB3028" s="6">
        <f>MONTH(AC3028)</f>
        <v/>
      </c>
      <c r="AC3028" s="267">
        <f>IFERROR(__xludf.DUMMYFUNCTION("""COMPUTED_VALUE"""),46188.9986111111)</f>
        <v/>
      </c>
      <c r="AD3028" s="6">
        <f>IFERROR(__xludf.DUMMYFUNCTION("""COMPUTED_VALUE"""),1513.31)</f>
        <v/>
      </c>
      <c r="AH3028" s="6">
        <f>AI3028&amp;AJ3028</f>
        <v/>
      </c>
      <c r="AI3028" s="6">
        <f>YEAR(AK3028)</f>
        <v/>
      </c>
      <c r="AJ3028" s="6">
        <f>MONTH(AK3028)</f>
        <v/>
      </c>
      <c r="AK3028" s="267">
        <f>IFERROR(__xludf.DUMMYFUNCTION("""COMPUTED_VALUE"""),46123.9986111111)</f>
        <v/>
      </c>
      <c r="AL3028" s="6">
        <f>IFERROR(__xludf.DUMMYFUNCTION("""COMPUTED_VALUE"""),72892.87)</f>
        <v/>
      </c>
      <c r="AP3028" s="6">
        <f>AQ3028&amp;AR3028</f>
        <v/>
      </c>
      <c r="AQ3028" s="6">
        <f>YEAR(AS3028)</f>
        <v/>
      </c>
      <c r="AR3028" s="6">
        <f>MONTH(AS3028)</f>
        <v/>
      </c>
    </row>
    <row r="3029">
      <c r="B3029" s="6">
        <f>C3029&amp;D3029</f>
        <v/>
      </c>
      <c r="C3029" s="6">
        <f>YEAR(E3029)</f>
        <v/>
      </c>
      <c r="D3029" s="6">
        <f>MONTH(E3029)</f>
        <v/>
      </c>
      <c r="J3029" s="6">
        <f>K3029&amp;L3029</f>
        <v/>
      </c>
      <c r="K3029" s="6">
        <f>YEAR(M3029)</f>
        <v/>
      </c>
      <c r="L3029" s="6">
        <f>MONTH(M3029)</f>
        <v/>
      </c>
      <c r="R3029" s="6">
        <f>S3029&amp;T3029</f>
        <v/>
      </c>
      <c r="S3029" s="6">
        <f>YEAR(U3029)</f>
        <v/>
      </c>
      <c r="T3029" s="6">
        <f>MONTH(U3029)</f>
        <v/>
      </c>
      <c r="Z3029" s="6">
        <f>AA3029&amp;AB3029</f>
        <v/>
      </c>
      <c r="AA3029" s="6">
        <f>YEAR(AC3029)</f>
        <v/>
      </c>
      <c r="AB3029" s="6">
        <f>MONTH(AC3029)</f>
        <v/>
      </c>
      <c r="AC3029" s="267">
        <f>IFERROR(__xludf.DUMMYFUNCTION("""COMPUTED_VALUE"""),46189.9986111111)</f>
        <v/>
      </c>
      <c r="AD3029" s="6">
        <f>IFERROR(__xludf.DUMMYFUNCTION("""COMPUTED_VALUE"""),1510.96)</f>
        <v/>
      </c>
      <c r="AH3029" s="6">
        <f>AI3029&amp;AJ3029</f>
        <v/>
      </c>
      <c r="AI3029" s="6">
        <f>YEAR(AK3029)</f>
        <v/>
      </c>
      <c r="AJ3029" s="6">
        <f>MONTH(AK3029)</f>
        <v/>
      </c>
      <c r="AK3029" s="267">
        <f>IFERROR(__xludf.DUMMYFUNCTION("""COMPUTED_VALUE"""),46124.9986111111)</f>
        <v/>
      </c>
      <c r="AL3029" s="6">
        <f>IFERROR(__xludf.DUMMYFUNCTION("""COMPUTED_VALUE"""),71673.75)</f>
        <v/>
      </c>
      <c r="AP3029" s="6">
        <f>AQ3029&amp;AR3029</f>
        <v/>
      </c>
      <c r="AQ3029" s="6">
        <f>YEAR(AS3029)</f>
        <v/>
      </c>
      <c r="AR3029" s="6">
        <f>MONTH(AS3029)</f>
        <v/>
      </c>
    </row>
    <row r="3030">
      <c r="B3030" s="6">
        <f>C3030&amp;D3030</f>
        <v/>
      </c>
      <c r="C3030" s="6">
        <f>YEAR(E3030)</f>
        <v/>
      </c>
      <c r="D3030" s="6">
        <f>MONTH(E3030)</f>
        <v/>
      </c>
      <c r="J3030" s="6">
        <f>K3030&amp;L3030</f>
        <v/>
      </c>
      <c r="K3030" s="6">
        <f>YEAR(M3030)</f>
        <v/>
      </c>
      <c r="L3030" s="6">
        <f>MONTH(M3030)</f>
        <v/>
      </c>
      <c r="R3030" s="6">
        <f>S3030&amp;T3030</f>
        <v/>
      </c>
      <c r="S3030" s="6">
        <f>YEAR(U3030)</f>
        <v/>
      </c>
      <c r="T3030" s="6">
        <f>MONTH(U3030)</f>
        <v/>
      </c>
      <c r="Z3030" s="6">
        <f>AA3030&amp;AB3030</f>
        <v/>
      </c>
      <c r="AA3030" s="6">
        <f>YEAR(AC3030)</f>
        <v/>
      </c>
      <c r="AB3030" s="6">
        <f>MONTH(AC3030)</f>
        <v/>
      </c>
      <c r="AC3030" s="267">
        <f>IFERROR(__xludf.DUMMYFUNCTION("""COMPUTED_VALUE"""),46190.9986111111)</f>
        <v/>
      </c>
      <c r="AD3030" s="6">
        <f>IFERROR(__xludf.DUMMYFUNCTION("""COMPUTED_VALUE"""),1525.42)</f>
        <v/>
      </c>
      <c r="AH3030" s="6">
        <f>AI3030&amp;AJ3030</f>
        <v/>
      </c>
      <c r="AI3030" s="6">
        <f>YEAR(AK3030)</f>
        <v/>
      </c>
      <c r="AJ3030" s="6">
        <f>MONTH(AK3030)</f>
        <v/>
      </c>
      <c r="AK3030" s="267">
        <f>IFERROR(__xludf.DUMMYFUNCTION("""COMPUTED_VALUE"""),46125.9986111111)</f>
        <v/>
      </c>
      <c r="AL3030" s="6">
        <f>IFERROR(__xludf.DUMMYFUNCTION("""COMPUTED_VALUE"""),71006.52)</f>
        <v/>
      </c>
      <c r="AP3030" s="6">
        <f>AQ3030&amp;AR3030</f>
        <v/>
      </c>
      <c r="AQ3030" s="6">
        <f>YEAR(AS3030)</f>
        <v/>
      </c>
      <c r="AR3030" s="6">
        <f>MONTH(AS3030)</f>
        <v/>
      </c>
    </row>
    <row r="3031">
      <c r="B3031" s="6">
        <f>C3031&amp;D3031</f>
        <v/>
      </c>
      <c r="C3031" s="6">
        <f>YEAR(E3031)</f>
        <v/>
      </c>
      <c r="D3031" s="6">
        <f>MONTH(E3031)</f>
        <v/>
      </c>
      <c r="J3031" s="6">
        <f>K3031&amp;L3031</f>
        <v/>
      </c>
      <c r="K3031" s="6">
        <f>YEAR(M3031)</f>
        <v/>
      </c>
      <c r="L3031" s="6">
        <f>MONTH(M3031)</f>
        <v/>
      </c>
      <c r="R3031" s="6">
        <f>S3031&amp;T3031</f>
        <v/>
      </c>
      <c r="S3031" s="6">
        <f>YEAR(U3031)</f>
        <v/>
      </c>
      <c r="T3031" s="6">
        <f>MONTH(U3031)</f>
        <v/>
      </c>
      <c r="Z3031" s="6">
        <f>AA3031&amp;AB3031</f>
        <v/>
      </c>
      <c r="AA3031" s="6">
        <f>YEAR(AC3031)</f>
        <v/>
      </c>
      <c r="AB3031" s="6">
        <f>MONTH(AC3031)</f>
        <v/>
      </c>
      <c r="AC3031" s="267">
        <f>IFERROR(__xludf.DUMMYFUNCTION("""COMPUTED_VALUE"""),46191.9986111111)</f>
        <v/>
      </c>
      <c r="AD3031" s="6">
        <f>IFERROR(__xludf.DUMMYFUNCTION("""COMPUTED_VALUE"""),1537.56)</f>
        <v/>
      </c>
      <c r="AH3031" s="6">
        <f>AI3031&amp;AJ3031</f>
        <v/>
      </c>
      <c r="AI3031" s="6">
        <f>YEAR(AK3031)</f>
        <v/>
      </c>
      <c r="AJ3031" s="6">
        <f>MONTH(AK3031)</f>
        <v/>
      </c>
      <c r="AK3031" s="267">
        <f>IFERROR(__xludf.DUMMYFUNCTION("""COMPUTED_VALUE"""),46126.9986111111)</f>
        <v/>
      </c>
      <c r="AL3031" s="6">
        <f>IFERROR(__xludf.DUMMYFUNCTION("""COMPUTED_VALUE"""),74461.09)</f>
        <v/>
      </c>
      <c r="AP3031" s="6">
        <f>AQ3031&amp;AR3031</f>
        <v/>
      </c>
      <c r="AQ3031" s="6">
        <f>YEAR(AS3031)</f>
        <v/>
      </c>
      <c r="AR3031" s="6">
        <f>MONTH(AS3031)</f>
        <v/>
      </c>
    </row>
    <row r="3032">
      <c r="B3032" s="6">
        <f>C3032&amp;D3032</f>
        <v/>
      </c>
      <c r="C3032" s="6">
        <f>YEAR(E3032)</f>
        <v/>
      </c>
      <c r="D3032" s="6">
        <f>MONTH(E3032)</f>
        <v/>
      </c>
      <c r="J3032" s="6">
        <f>K3032&amp;L3032</f>
        <v/>
      </c>
      <c r="K3032" s="6">
        <f>YEAR(M3032)</f>
        <v/>
      </c>
      <c r="L3032" s="6">
        <f>MONTH(M3032)</f>
        <v/>
      </c>
      <c r="R3032" s="6">
        <f>S3032&amp;T3032</f>
        <v/>
      </c>
      <c r="S3032" s="6">
        <f>YEAR(U3032)</f>
        <v/>
      </c>
      <c r="T3032" s="6">
        <f>MONTH(U3032)</f>
        <v/>
      </c>
      <c r="Z3032" s="6">
        <f>AA3032&amp;AB3032</f>
        <v/>
      </c>
      <c r="AA3032" s="6">
        <f>YEAR(AC3032)</f>
        <v/>
      </c>
      <c r="AB3032" s="6">
        <f>MONTH(AC3032)</f>
        <v/>
      </c>
      <c r="AC3032" s="267">
        <f>IFERROR(__xludf.DUMMYFUNCTION("""COMPUTED_VALUE"""),46192.9986111111)</f>
        <v/>
      </c>
      <c r="AD3032" s="6">
        <f>IFERROR(__xludf.DUMMYFUNCTION("""COMPUTED_VALUE"""),1525.82)</f>
        <v/>
      </c>
      <c r="AH3032" s="6">
        <f>AI3032&amp;AJ3032</f>
        <v/>
      </c>
      <c r="AI3032" s="6">
        <f>YEAR(AK3032)</f>
        <v/>
      </c>
      <c r="AJ3032" s="6">
        <f>MONTH(AK3032)</f>
        <v/>
      </c>
      <c r="AK3032" s="267">
        <f>IFERROR(__xludf.DUMMYFUNCTION("""COMPUTED_VALUE"""),46127.9986111111)</f>
        <v/>
      </c>
      <c r="AL3032" s="6">
        <f>IFERROR(__xludf.DUMMYFUNCTION("""COMPUTED_VALUE"""),74374.27)</f>
        <v/>
      </c>
      <c r="AP3032" s="6">
        <f>AQ3032&amp;AR3032</f>
        <v/>
      </c>
      <c r="AQ3032" s="6">
        <f>YEAR(AS3032)</f>
        <v/>
      </c>
      <c r="AR3032" s="6">
        <f>MONTH(AS3032)</f>
        <v/>
      </c>
    </row>
    <row r="3033">
      <c r="B3033" s="6">
        <f>C3033&amp;D3033</f>
        <v/>
      </c>
      <c r="C3033" s="6">
        <f>YEAR(E3033)</f>
        <v/>
      </c>
      <c r="D3033" s="6">
        <f>MONTH(E3033)</f>
        <v/>
      </c>
      <c r="J3033" s="6">
        <f>K3033&amp;L3033</f>
        <v/>
      </c>
      <c r="K3033" s="6">
        <f>YEAR(M3033)</f>
        <v/>
      </c>
      <c r="L3033" s="6">
        <f>MONTH(M3033)</f>
        <v/>
      </c>
      <c r="R3033" s="6">
        <f>S3033&amp;T3033</f>
        <v/>
      </c>
      <c r="S3033" s="6">
        <f>YEAR(U3033)</f>
        <v/>
      </c>
      <c r="T3033" s="6">
        <f>MONTH(U3033)</f>
        <v/>
      </c>
      <c r="Z3033" s="6">
        <f>AA3033&amp;AB3033</f>
        <v/>
      </c>
      <c r="AA3033" s="6">
        <f>YEAR(AC3033)</f>
        <v/>
      </c>
      <c r="AB3033" s="6">
        <f>MONTH(AC3033)</f>
        <v/>
      </c>
      <c r="AC3033" s="267">
        <f>IFERROR(__xludf.DUMMYFUNCTION("""COMPUTED_VALUE"""),46193.9986111111)</f>
        <v/>
      </c>
      <c r="AD3033" s="6">
        <f>IFERROR(__xludf.DUMMYFUNCTION("""COMPUTED_VALUE"""),1526.01)</f>
        <v/>
      </c>
      <c r="AH3033" s="6">
        <f>AI3033&amp;AJ3033</f>
        <v/>
      </c>
      <c r="AI3033" s="6">
        <f>YEAR(AK3033)</f>
        <v/>
      </c>
      <c r="AJ3033" s="6">
        <f>MONTH(AK3033)</f>
        <v/>
      </c>
      <c r="AK3033" s="267">
        <f>IFERROR(__xludf.DUMMYFUNCTION("""COMPUTED_VALUE"""),46128.9986111111)</f>
        <v/>
      </c>
      <c r="AL3033" s="6">
        <f>IFERROR(__xludf.DUMMYFUNCTION("""COMPUTED_VALUE"""),74032.73)</f>
        <v/>
      </c>
      <c r="AP3033" s="6">
        <f>AQ3033&amp;AR3033</f>
        <v/>
      </c>
      <c r="AQ3033" s="6">
        <f>YEAR(AS3033)</f>
        <v/>
      </c>
      <c r="AR3033" s="6">
        <f>MONTH(AS3033)</f>
        <v/>
      </c>
    </row>
    <row r="3034">
      <c r="B3034" s="6">
        <f>C3034&amp;D3034</f>
        <v/>
      </c>
      <c r="C3034" s="6">
        <f>YEAR(E3034)</f>
        <v/>
      </c>
      <c r="D3034" s="6">
        <f>MONTH(E3034)</f>
        <v/>
      </c>
      <c r="J3034" s="6">
        <f>K3034&amp;L3034</f>
        <v/>
      </c>
      <c r="K3034" s="6">
        <f>YEAR(M3034)</f>
        <v/>
      </c>
      <c r="L3034" s="6">
        <f>MONTH(M3034)</f>
        <v/>
      </c>
      <c r="R3034" s="6">
        <f>S3034&amp;T3034</f>
        <v/>
      </c>
      <c r="S3034" s="6">
        <f>YEAR(U3034)</f>
        <v/>
      </c>
      <c r="T3034" s="6">
        <f>MONTH(U3034)</f>
        <v/>
      </c>
      <c r="Z3034" s="6">
        <f>AA3034&amp;AB3034</f>
        <v/>
      </c>
      <c r="AA3034" s="6">
        <f>YEAR(AC3034)</f>
        <v/>
      </c>
      <c r="AB3034" s="6">
        <f>MONTH(AC3034)</f>
        <v/>
      </c>
      <c r="AC3034" s="267">
        <f>IFERROR(__xludf.DUMMYFUNCTION("""COMPUTED_VALUE"""),46194.9986111111)</f>
        <v/>
      </c>
      <c r="AD3034" s="6">
        <f>IFERROR(__xludf.DUMMYFUNCTION("""COMPUTED_VALUE"""),1531.33)</f>
        <v/>
      </c>
      <c r="AH3034" s="6">
        <f>AI3034&amp;AJ3034</f>
        <v/>
      </c>
      <c r="AI3034" s="6">
        <f>YEAR(AK3034)</f>
        <v/>
      </c>
      <c r="AJ3034" s="6">
        <f>MONTH(AK3034)</f>
        <v/>
      </c>
      <c r="AK3034" s="267">
        <f>IFERROR(__xludf.DUMMYFUNCTION("""COMPUTED_VALUE"""),46141.9986111111)</f>
        <v/>
      </c>
      <c r="AL3034" s="6">
        <f>IFERROR(__xludf.DUMMYFUNCTION("""COMPUTED_VALUE"""),76990.81)</f>
        <v/>
      </c>
      <c r="AP3034" s="6">
        <f>AQ3034&amp;AR3034</f>
        <v/>
      </c>
      <c r="AQ3034" s="6">
        <f>YEAR(AS3034)</f>
        <v/>
      </c>
      <c r="AR3034" s="6">
        <f>MONTH(AS3034)</f>
        <v/>
      </c>
    </row>
    <row r="3035">
      <c r="B3035" s="6">
        <f>C3035&amp;D3035</f>
        <v/>
      </c>
      <c r="C3035" s="6">
        <f>YEAR(E3035)</f>
        <v/>
      </c>
      <c r="D3035" s="6">
        <f>MONTH(E3035)</f>
        <v/>
      </c>
      <c r="J3035" s="6">
        <f>K3035&amp;L3035</f>
        <v/>
      </c>
      <c r="K3035" s="6">
        <f>YEAR(M3035)</f>
        <v/>
      </c>
      <c r="L3035" s="6">
        <f>MONTH(M3035)</f>
        <v/>
      </c>
      <c r="R3035" s="6">
        <f>S3035&amp;T3035</f>
        <v/>
      </c>
      <c r="S3035" s="6">
        <f>YEAR(U3035)</f>
        <v/>
      </c>
      <c r="T3035" s="6">
        <f>MONTH(U3035)</f>
        <v/>
      </c>
      <c r="Z3035" s="6">
        <f>AA3035&amp;AB3035</f>
        <v/>
      </c>
      <c r="AA3035" s="6">
        <f>YEAR(AC3035)</f>
        <v/>
      </c>
      <c r="AB3035" s="6">
        <f>MONTH(AC3035)</f>
        <v/>
      </c>
      <c r="AC3035" s="267">
        <f>IFERROR(__xludf.DUMMYFUNCTION("""COMPUTED_VALUE"""),46195.9986111111)</f>
        <v/>
      </c>
      <c r="AD3035" s="6">
        <f>IFERROR(__xludf.DUMMYFUNCTION("""COMPUTED_VALUE"""),1539.05)</f>
        <v/>
      </c>
      <c r="AH3035" s="6">
        <f>AI3035&amp;AJ3035</f>
        <v/>
      </c>
      <c r="AI3035" s="6">
        <f>YEAR(AK3035)</f>
        <v/>
      </c>
      <c r="AJ3035" s="6">
        <f>MONTH(AK3035)</f>
        <v/>
      </c>
      <c r="AK3035" s="267">
        <f>IFERROR(__xludf.DUMMYFUNCTION("""COMPUTED_VALUE"""),46142.9986111111)</f>
        <v/>
      </c>
      <c r="AL3035" s="6">
        <f>IFERROR(__xludf.DUMMYFUNCTION("""COMPUTED_VALUE"""),75902.99)</f>
        <v/>
      </c>
      <c r="AP3035" s="6">
        <f>AQ3035&amp;AR3035</f>
        <v/>
      </c>
      <c r="AQ3035" s="6">
        <f>YEAR(AS3035)</f>
        <v/>
      </c>
      <c r="AR3035" s="6">
        <f>MONTH(AS3035)</f>
        <v/>
      </c>
    </row>
    <row r="3036">
      <c r="B3036" s="6">
        <f>C3036&amp;D3036</f>
        <v/>
      </c>
      <c r="C3036" s="6">
        <f>YEAR(E3036)</f>
        <v/>
      </c>
      <c r="D3036" s="6">
        <f>MONTH(E3036)</f>
        <v/>
      </c>
      <c r="J3036" s="6">
        <f>K3036&amp;L3036</f>
        <v/>
      </c>
      <c r="K3036" s="6">
        <f>YEAR(M3036)</f>
        <v/>
      </c>
      <c r="L3036" s="6">
        <f>MONTH(M3036)</f>
        <v/>
      </c>
      <c r="R3036" s="6">
        <f>S3036&amp;T3036</f>
        <v/>
      </c>
      <c r="S3036" s="6">
        <f>YEAR(U3036)</f>
        <v/>
      </c>
      <c r="T3036" s="6">
        <f>MONTH(U3036)</f>
        <v/>
      </c>
      <c r="Z3036" s="6">
        <f>AA3036&amp;AB3036</f>
        <v/>
      </c>
      <c r="AA3036" s="6">
        <f>YEAR(AC3036)</f>
        <v/>
      </c>
      <c r="AB3036" s="6">
        <f>MONTH(AC3036)</f>
        <v/>
      </c>
      <c r="AC3036" s="267">
        <f>IFERROR(__xludf.DUMMYFUNCTION("""COMPUTED_VALUE"""),46196.9986111111)</f>
        <v/>
      </c>
      <c r="AD3036" s="6">
        <f>IFERROR(__xludf.DUMMYFUNCTION("""COMPUTED_VALUE"""),1535.25)</f>
        <v/>
      </c>
      <c r="AH3036" s="6">
        <f>AI3036&amp;AJ3036</f>
        <v/>
      </c>
      <c r="AI3036" s="6">
        <f>YEAR(AK3036)</f>
        <v/>
      </c>
      <c r="AJ3036" s="6">
        <f>MONTH(AK3036)</f>
        <v/>
      </c>
      <c r="AK3036" s="267">
        <f>IFERROR(__xludf.DUMMYFUNCTION("""COMPUTED_VALUE"""),46143.9986111111)</f>
        <v/>
      </c>
      <c r="AL3036" s="6">
        <f>IFERROR(__xludf.DUMMYFUNCTION("""COMPUTED_VALUE"""),77087.38)</f>
        <v/>
      </c>
      <c r="AP3036" s="6">
        <f>AQ3036&amp;AR3036</f>
        <v/>
      </c>
      <c r="AQ3036" s="6">
        <f>YEAR(AS3036)</f>
        <v/>
      </c>
      <c r="AR3036" s="6">
        <f>MONTH(AS3036)</f>
        <v/>
      </c>
    </row>
    <row r="3037">
      <c r="B3037" s="6">
        <f>C3037&amp;D3037</f>
        <v/>
      </c>
      <c r="C3037" s="6">
        <f>YEAR(E3037)</f>
        <v/>
      </c>
      <c r="D3037" s="6">
        <f>MONTH(E3037)</f>
        <v/>
      </c>
      <c r="J3037" s="6">
        <f>K3037&amp;L3037</f>
        <v/>
      </c>
      <c r="K3037" s="6">
        <f>YEAR(M3037)</f>
        <v/>
      </c>
      <c r="L3037" s="6">
        <f>MONTH(M3037)</f>
        <v/>
      </c>
      <c r="R3037" s="6">
        <f>S3037&amp;T3037</f>
        <v/>
      </c>
      <c r="S3037" s="6">
        <f>YEAR(U3037)</f>
        <v/>
      </c>
      <c r="T3037" s="6">
        <f>MONTH(U3037)</f>
        <v/>
      </c>
      <c r="Z3037" s="6">
        <f>AA3037&amp;AB3037</f>
        <v/>
      </c>
      <c r="AA3037" s="6">
        <f>YEAR(AC3037)</f>
        <v/>
      </c>
      <c r="AB3037" s="6">
        <f>MONTH(AC3037)</f>
        <v/>
      </c>
      <c r="AC3037" s="267">
        <f>IFERROR(__xludf.DUMMYFUNCTION("""COMPUTED_VALUE"""),46197.9986111111)</f>
        <v/>
      </c>
      <c r="AD3037" s="6">
        <f>IFERROR(__xludf.DUMMYFUNCTION("""COMPUTED_VALUE"""),1542.76)</f>
        <v/>
      </c>
      <c r="AH3037" s="6">
        <f>AI3037&amp;AJ3037</f>
        <v/>
      </c>
      <c r="AI3037" s="6">
        <f>YEAR(AK3037)</f>
        <v/>
      </c>
      <c r="AJ3037" s="6">
        <f>MONTH(AK3037)</f>
        <v/>
      </c>
      <c r="AK3037" s="267">
        <f>IFERROR(__xludf.DUMMYFUNCTION("""COMPUTED_VALUE"""),46144.9986111111)</f>
        <v/>
      </c>
      <c r="AL3037" s="6">
        <f>IFERROR(__xludf.DUMMYFUNCTION("""COMPUTED_VALUE"""),78409.63)</f>
        <v/>
      </c>
      <c r="AP3037" s="6">
        <f>AQ3037&amp;AR3037</f>
        <v/>
      </c>
      <c r="AQ3037" s="6">
        <f>YEAR(AS3037)</f>
        <v/>
      </c>
      <c r="AR3037" s="6">
        <f>MONTH(AS3037)</f>
        <v/>
      </c>
    </row>
    <row r="3038">
      <c r="B3038" s="6">
        <f>C3038&amp;D3038</f>
        <v/>
      </c>
      <c r="C3038" s="6">
        <f>YEAR(E3038)</f>
        <v/>
      </c>
      <c r="D3038" s="6">
        <f>MONTH(E3038)</f>
        <v/>
      </c>
      <c r="J3038" s="6">
        <f>K3038&amp;L3038</f>
        <v/>
      </c>
      <c r="K3038" s="6">
        <f>YEAR(M3038)</f>
        <v/>
      </c>
      <c r="L3038" s="6">
        <f>MONTH(M3038)</f>
        <v/>
      </c>
      <c r="R3038" s="6">
        <f>S3038&amp;T3038</f>
        <v/>
      </c>
      <c r="S3038" s="6">
        <f>YEAR(U3038)</f>
        <v/>
      </c>
      <c r="T3038" s="6">
        <f>MONTH(U3038)</f>
        <v/>
      </c>
      <c r="Z3038" s="6">
        <f>AA3038&amp;AB3038</f>
        <v/>
      </c>
      <c r="AA3038" s="6">
        <f>YEAR(AC3038)</f>
        <v/>
      </c>
      <c r="AB3038" s="6">
        <f>MONTH(AC3038)</f>
        <v/>
      </c>
      <c r="AC3038" s="267">
        <f>IFERROR(__xludf.DUMMYFUNCTION("""COMPUTED_VALUE"""),46198.9986111111)</f>
        <v/>
      </c>
      <c r="AD3038" s="6">
        <f>IFERROR(__xludf.DUMMYFUNCTION("""COMPUTED_VALUE"""),1546.48)</f>
        <v/>
      </c>
      <c r="AH3038" s="6">
        <f>AI3038&amp;AJ3038</f>
        <v/>
      </c>
      <c r="AI3038" s="6">
        <f>YEAR(AK3038)</f>
        <v/>
      </c>
      <c r="AJ3038" s="6">
        <f>MONTH(AK3038)</f>
        <v/>
      </c>
      <c r="AK3038" s="267">
        <f>IFERROR(__xludf.DUMMYFUNCTION("""COMPUTED_VALUE"""),46145.9986111111)</f>
        <v/>
      </c>
      <c r="AL3038" s="6">
        <f>IFERROR(__xludf.DUMMYFUNCTION("""COMPUTED_VALUE"""),78196.01)</f>
        <v/>
      </c>
      <c r="AP3038" s="6">
        <f>AQ3038&amp;AR3038</f>
        <v/>
      </c>
      <c r="AQ3038" s="6">
        <f>YEAR(AS3038)</f>
        <v/>
      </c>
      <c r="AR3038" s="6">
        <f>MONTH(AS3038)</f>
        <v/>
      </c>
    </row>
    <row r="3039">
      <c r="B3039" s="6">
        <f>C3039&amp;D3039</f>
        <v/>
      </c>
      <c r="C3039" s="6">
        <f>YEAR(E3039)</f>
        <v/>
      </c>
      <c r="D3039" s="6">
        <f>MONTH(E3039)</f>
        <v/>
      </c>
      <c r="J3039" s="6">
        <f>K3039&amp;L3039</f>
        <v/>
      </c>
      <c r="K3039" s="6">
        <f>YEAR(M3039)</f>
        <v/>
      </c>
      <c r="L3039" s="6">
        <f>MONTH(M3039)</f>
        <v/>
      </c>
      <c r="R3039" s="6">
        <f>S3039&amp;T3039</f>
        <v/>
      </c>
      <c r="S3039" s="6">
        <f>YEAR(U3039)</f>
        <v/>
      </c>
      <c r="T3039" s="6">
        <f>MONTH(U3039)</f>
        <v/>
      </c>
      <c r="Z3039" s="6">
        <f>AA3039&amp;AB3039</f>
        <v/>
      </c>
      <c r="AA3039" s="6">
        <f>YEAR(AC3039)</f>
        <v/>
      </c>
      <c r="AB3039" s="6">
        <f>MONTH(AC3039)</f>
        <v/>
      </c>
      <c r="AC3039" s="267">
        <f>IFERROR(__xludf.DUMMYFUNCTION("""COMPUTED_VALUE"""),46199.9986111111)</f>
        <v/>
      </c>
      <c r="AD3039" s="6">
        <f>IFERROR(__xludf.DUMMYFUNCTION("""COMPUTED_VALUE"""),1533.56)</f>
        <v/>
      </c>
      <c r="AH3039" s="6">
        <f>AI3039&amp;AJ3039</f>
        <v/>
      </c>
      <c r="AI3039" s="6">
        <f>YEAR(AK3039)</f>
        <v/>
      </c>
      <c r="AJ3039" s="6">
        <f>MONTH(AK3039)</f>
        <v/>
      </c>
      <c r="AK3039" s="267">
        <f>IFERROR(__xludf.DUMMYFUNCTION("""COMPUTED_VALUE"""),46146.9986111111)</f>
        <v/>
      </c>
      <c r="AL3039" s="6">
        <f>IFERROR(__xludf.DUMMYFUNCTION("""COMPUTED_VALUE"""),80305.37)</f>
        <v/>
      </c>
      <c r="AP3039" s="6">
        <f>AQ3039&amp;AR3039</f>
        <v/>
      </c>
      <c r="AQ3039" s="6">
        <f>YEAR(AS3039)</f>
        <v/>
      </c>
      <c r="AR3039" s="6">
        <f>MONTH(AS3039)</f>
        <v/>
      </c>
    </row>
    <row r="3040">
      <c r="B3040" s="6">
        <f>C3040&amp;D3040</f>
        <v/>
      </c>
      <c r="C3040" s="6">
        <f>YEAR(E3040)</f>
        <v/>
      </c>
      <c r="D3040" s="6">
        <f>MONTH(E3040)</f>
        <v/>
      </c>
      <c r="J3040" s="6">
        <f>K3040&amp;L3040</f>
        <v/>
      </c>
      <c r="K3040" s="6">
        <f>YEAR(M3040)</f>
        <v/>
      </c>
      <c r="L3040" s="6">
        <f>MONTH(M3040)</f>
        <v/>
      </c>
      <c r="R3040" s="6">
        <f>S3040&amp;T3040</f>
        <v/>
      </c>
      <c r="S3040" s="6">
        <f>YEAR(U3040)</f>
        <v/>
      </c>
      <c r="T3040" s="6">
        <f>MONTH(U3040)</f>
        <v/>
      </c>
      <c r="Z3040" s="6">
        <f>AA3040&amp;AB3040</f>
        <v/>
      </c>
      <c r="AA3040" s="6">
        <f>YEAR(AC3040)</f>
        <v/>
      </c>
      <c r="AB3040" s="6">
        <f>MONTH(AC3040)</f>
        <v/>
      </c>
      <c r="AC3040" s="267">
        <f>IFERROR(__xludf.DUMMYFUNCTION("""COMPUTED_VALUE"""),46200.9986111111)</f>
        <v/>
      </c>
      <c r="AD3040" s="6">
        <f>IFERROR(__xludf.DUMMYFUNCTION("""COMPUTED_VALUE"""),1533.12)</f>
        <v/>
      </c>
      <c r="AH3040" s="6">
        <f>AI3040&amp;AJ3040</f>
        <v/>
      </c>
      <c r="AI3040" s="6">
        <f>YEAR(AK3040)</f>
        <v/>
      </c>
      <c r="AJ3040" s="6">
        <f>MONTH(AK3040)</f>
        <v/>
      </c>
      <c r="AK3040" s="267">
        <f>IFERROR(__xludf.DUMMYFUNCTION("""COMPUTED_VALUE"""),46147.9986111111)</f>
        <v/>
      </c>
      <c r="AL3040" s="6">
        <f>IFERROR(__xludf.DUMMYFUNCTION("""COMPUTED_VALUE"""),80870.03)</f>
        <v/>
      </c>
      <c r="AP3040" s="6">
        <f>AQ3040&amp;AR3040</f>
        <v/>
      </c>
      <c r="AQ3040" s="6">
        <f>YEAR(AS3040)</f>
        <v/>
      </c>
      <c r="AR3040" s="6">
        <f>MONTH(AS3040)</f>
        <v/>
      </c>
    </row>
    <row r="3041">
      <c r="B3041" s="6">
        <f>C3041&amp;D3041</f>
        <v/>
      </c>
      <c r="C3041" s="6">
        <f>YEAR(E3041)</f>
        <v/>
      </c>
      <c r="D3041" s="6">
        <f>MONTH(E3041)</f>
        <v/>
      </c>
      <c r="J3041" s="6">
        <f>K3041&amp;L3041</f>
        <v/>
      </c>
      <c r="K3041" s="6">
        <f>YEAR(M3041)</f>
        <v/>
      </c>
      <c r="L3041" s="6">
        <f>MONTH(M3041)</f>
        <v/>
      </c>
      <c r="R3041" s="6">
        <f>S3041&amp;T3041</f>
        <v/>
      </c>
      <c r="S3041" s="6">
        <f>YEAR(U3041)</f>
        <v/>
      </c>
      <c r="T3041" s="6">
        <f>MONTH(U3041)</f>
        <v/>
      </c>
      <c r="Z3041" s="6">
        <f>AA3041&amp;AB3041</f>
        <v/>
      </c>
      <c r="AA3041" s="6">
        <f>YEAR(AC3041)</f>
        <v/>
      </c>
      <c r="AB3041" s="6">
        <f>MONTH(AC3041)</f>
        <v/>
      </c>
      <c r="AC3041" s="267">
        <f>IFERROR(__xludf.DUMMYFUNCTION("""COMPUTED_VALUE"""),46201.9986111111)</f>
        <v/>
      </c>
      <c r="AD3041" s="6">
        <f>IFERROR(__xludf.DUMMYFUNCTION("""COMPUTED_VALUE"""),1535.24)</f>
        <v/>
      </c>
      <c r="AH3041" s="6">
        <f>AI3041&amp;AJ3041</f>
        <v/>
      </c>
      <c r="AI3041" s="6">
        <f>YEAR(AK3041)</f>
        <v/>
      </c>
      <c r="AJ3041" s="6">
        <f>MONTH(AK3041)</f>
        <v/>
      </c>
      <c r="AK3041" s="267">
        <f>IFERROR(__xludf.DUMMYFUNCTION("""COMPUTED_VALUE"""),46148.9986111111)</f>
        <v/>
      </c>
      <c r="AL3041" s="6">
        <f>IFERROR(__xludf.DUMMYFUNCTION("""COMPUTED_VALUE"""),81579.16)</f>
        <v/>
      </c>
      <c r="AP3041" s="6">
        <f>AQ3041&amp;AR3041</f>
        <v/>
      </c>
      <c r="AQ3041" s="6">
        <f>YEAR(AS3041)</f>
        <v/>
      </c>
      <c r="AR3041" s="6">
        <f>MONTH(AS3041)</f>
        <v/>
      </c>
    </row>
    <row r="3042">
      <c r="B3042" s="6">
        <f>C3042&amp;D3042</f>
        <v/>
      </c>
      <c r="C3042" s="6">
        <f>YEAR(E3042)</f>
        <v/>
      </c>
      <c r="D3042" s="6">
        <f>MONTH(E3042)</f>
        <v/>
      </c>
      <c r="J3042" s="6">
        <f>K3042&amp;L3042</f>
        <v/>
      </c>
      <c r="K3042" s="6">
        <f>YEAR(M3042)</f>
        <v/>
      </c>
      <c r="L3042" s="6">
        <f>MONTH(M3042)</f>
        <v/>
      </c>
      <c r="R3042" s="6">
        <f>S3042&amp;T3042</f>
        <v/>
      </c>
      <c r="S3042" s="6">
        <f>YEAR(U3042)</f>
        <v/>
      </c>
      <c r="T3042" s="6">
        <f>MONTH(U3042)</f>
        <v/>
      </c>
      <c r="Z3042" s="6">
        <f>AA3042&amp;AB3042</f>
        <v/>
      </c>
      <c r="AA3042" s="6">
        <f>YEAR(AC3042)</f>
        <v/>
      </c>
      <c r="AB3042" s="6">
        <f>MONTH(AC3042)</f>
        <v/>
      </c>
      <c r="AC3042" s="267">
        <f>IFERROR(__xludf.DUMMYFUNCTION("""COMPUTED_VALUE"""),46202.9986111111)</f>
        <v/>
      </c>
      <c r="AD3042" s="6">
        <f>IFERROR(__xludf.DUMMYFUNCTION("""COMPUTED_VALUE"""),1541.73)</f>
        <v/>
      </c>
      <c r="AH3042" s="6">
        <f>AI3042&amp;AJ3042</f>
        <v/>
      </c>
      <c r="AI3042" s="6">
        <f>YEAR(AK3042)</f>
        <v/>
      </c>
      <c r="AJ3042" s="6">
        <f>MONTH(AK3042)</f>
        <v/>
      </c>
      <c r="AK3042" s="267">
        <f>IFERROR(__xludf.DUMMYFUNCTION("""COMPUTED_VALUE"""),46149.9986111111)</f>
        <v/>
      </c>
      <c r="AL3042" s="6">
        <f>IFERROR(__xludf.DUMMYFUNCTION("""COMPUTED_VALUE"""),80841.99)</f>
        <v/>
      </c>
      <c r="AP3042" s="6">
        <f>AQ3042&amp;AR3042</f>
        <v/>
      </c>
      <c r="AQ3042" s="6">
        <f>YEAR(AS3042)</f>
        <v/>
      </c>
      <c r="AR3042" s="6">
        <f>MONTH(AS3042)</f>
        <v/>
      </c>
    </row>
    <row r="3043">
      <c r="B3043" s="6">
        <f>C3043&amp;D3043</f>
        <v/>
      </c>
      <c r="C3043" s="6">
        <f>YEAR(E3043)</f>
        <v/>
      </c>
      <c r="D3043" s="6">
        <f>MONTH(E3043)</f>
        <v/>
      </c>
      <c r="J3043" s="6">
        <f>K3043&amp;L3043</f>
        <v/>
      </c>
      <c r="K3043" s="6">
        <f>YEAR(M3043)</f>
        <v/>
      </c>
      <c r="L3043" s="6">
        <f>MONTH(M3043)</f>
        <v/>
      </c>
      <c r="R3043" s="6">
        <f>S3043&amp;T3043</f>
        <v/>
      </c>
      <c r="S3043" s="6">
        <f>YEAR(U3043)</f>
        <v/>
      </c>
      <c r="T3043" s="6">
        <f>MONTH(U3043)</f>
        <v/>
      </c>
      <c r="Z3043" s="6">
        <f>AA3043&amp;AB3043</f>
        <v/>
      </c>
      <c r="AA3043" s="6">
        <f>YEAR(AC3043)</f>
        <v/>
      </c>
      <c r="AB3043" s="6">
        <f>MONTH(AC3043)</f>
        <v/>
      </c>
      <c r="AC3043" s="267">
        <f>IFERROR(__xludf.DUMMYFUNCTION("""COMPUTED_VALUE"""),46203.9986111111)</f>
        <v/>
      </c>
      <c r="AD3043" s="6">
        <f>IFERROR(__xludf.DUMMYFUNCTION("""COMPUTED_VALUE"""),1548.61)</f>
        <v/>
      </c>
      <c r="AH3043" s="6">
        <f>AI3043&amp;AJ3043</f>
        <v/>
      </c>
      <c r="AI3043" s="6">
        <f>YEAR(AK3043)</f>
        <v/>
      </c>
      <c r="AJ3043" s="6">
        <f>MONTH(AK3043)</f>
        <v/>
      </c>
      <c r="AK3043" s="267">
        <f>IFERROR(__xludf.DUMMYFUNCTION("""COMPUTED_VALUE"""),46150.9986111111)</f>
        <v/>
      </c>
      <c r="AL3043" s="6">
        <f>IFERROR(__xludf.DUMMYFUNCTION("""COMPUTED_VALUE"""),79553.25)</f>
        <v/>
      </c>
      <c r="AP3043" s="6">
        <f>AQ3043&amp;AR3043</f>
        <v/>
      </c>
      <c r="AQ3043" s="6">
        <f>YEAR(AS3043)</f>
        <v/>
      </c>
      <c r="AR3043" s="6">
        <f>MONTH(AS3043)</f>
        <v/>
      </c>
    </row>
    <row r="3044">
      <c r="B3044" s="6">
        <f>C3044&amp;D3044</f>
        <v/>
      </c>
      <c r="C3044" s="6">
        <f>YEAR(E3044)</f>
        <v/>
      </c>
      <c r="D3044" s="6">
        <f>MONTH(E3044)</f>
        <v/>
      </c>
      <c r="J3044" s="6">
        <f>K3044&amp;L3044</f>
        <v/>
      </c>
      <c r="K3044" s="6">
        <f>YEAR(M3044)</f>
        <v/>
      </c>
      <c r="L3044" s="6">
        <f>MONTH(M3044)</f>
        <v/>
      </c>
      <c r="R3044" s="6">
        <f>S3044&amp;T3044</f>
        <v/>
      </c>
      <c r="S3044" s="6">
        <f>YEAR(U3044)</f>
        <v/>
      </c>
      <c r="T3044" s="6">
        <f>MONTH(U3044)</f>
        <v/>
      </c>
      <c r="Z3044" s="6">
        <f>AA3044&amp;AB3044</f>
        <v/>
      </c>
      <c r="AA3044" s="6">
        <f>YEAR(AC3044)</f>
        <v/>
      </c>
      <c r="AB3044" s="6">
        <f>MONTH(AC3044)</f>
        <v/>
      </c>
      <c r="AC3044" s="267">
        <f>IFERROR(__xludf.DUMMYFUNCTION("""COMPUTED_VALUE"""),46204.9986111111)</f>
        <v/>
      </c>
      <c r="AD3044" s="6">
        <f>IFERROR(__xludf.DUMMYFUNCTION("""COMPUTED_VALUE"""),1551.81)</f>
        <v/>
      </c>
      <c r="AH3044" s="6">
        <f>AI3044&amp;AJ3044</f>
        <v/>
      </c>
      <c r="AI3044" s="6">
        <f>YEAR(AK3044)</f>
        <v/>
      </c>
      <c r="AJ3044" s="6">
        <f>MONTH(AK3044)</f>
        <v/>
      </c>
      <c r="AK3044" s="267">
        <f>IFERROR(__xludf.DUMMYFUNCTION("""COMPUTED_VALUE"""),46151.9986111111)</f>
        <v/>
      </c>
      <c r="AL3044" s="6">
        <f>IFERROR(__xludf.DUMMYFUNCTION("""COMPUTED_VALUE"""),80380.3)</f>
        <v/>
      </c>
      <c r="AP3044" s="6">
        <f>AQ3044&amp;AR3044</f>
        <v/>
      </c>
      <c r="AQ3044" s="6">
        <f>YEAR(AS3044)</f>
        <v/>
      </c>
      <c r="AR3044" s="6">
        <f>MONTH(AS3044)</f>
        <v/>
      </c>
    </row>
    <row r="3045">
      <c r="B3045" s="6">
        <f>C3045&amp;D3045</f>
        <v/>
      </c>
      <c r="C3045" s="6">
        <f>YEAR(E3045)</f>
        <v/>
      </c>
      <c r="D3045" s="6">
        <f>MONTH(E3045)</f>
        <v/>
      </c>
      <c r="J3045" s="6">
        <f>K3045&amp;L3045</f>
        <v/>
      </c>
      <c r="K3045" s="6">
        <f>YEAR(M3045)</f>
        <v/>
      </c>
      <c r="L3045" s="6">
        <f>MONTH(M3045)</f>
        <v/>
      </c>
      <c r="R3045" s="6">
        <f>S3045&amp;T3045</f>
        <v/>
      </c>
      <c r="S3045" s="6">
        <f>YEAR(U3045)</f>
        <v/>
      </c>
      <c r="T3045" s="6">
        <f>MONTH(U3045)</f>
        <v/>
      </c>
      <c r="Z3045" s="6">
        <f>AA3045&amp;AB3045</f>
        <v/>
      </c>
      <c r="AA3045" s="6">
        <f>YEAR(AC3045)</f>
        <v/>
      </c>
      <c r="AB3045" s="6">
        <f>MONTH(AC3045)</f>
        <v/>
      </c>
      <c r="AC3045" s="267">
        <f>IFERROR(__xludf.DUMMYFUNCTION("""COMPUTED_VALUE"""),46205.9986111111)</f>
        <v/>
      </c>
      <c r="AD3045" s="6">
        <f>IFERROR(__xludf.DUMMYFUNCTION("""COMPUTED_VALUE"""),1542.13)</f>
        <v/>
      </c>
      <c r="AH3045" s="6">
        <f>AI3045&amp;AJ3045</f>
        <v/>
      </c>
      <c r="AI3045" s="6">
        <f>YEAR(AK3045)</f>
        <v/>
      </c>
      <c r="AJ3045" s="6">
        <f>MONTH(AK3045)</f>
        <v/>
      </c>
      <c r="AK3045" s="267">
        <f>IFERROR(__xludf.DUMMYFUNCTION("""COMPUTED_VALUE"""),46152.9986111111)</f>
        <v/>
      </c>
      <c r="AL3045" s="6">
        <f>IFERROR(__xludf.DUMMYFUNCTION("""COMPUTED_VALUE"""),80752.23)</f>
        <v/>
      </c>
      <c r="AP3045" s="6">
        <f>AQ3045&amp;AR3045</f>
        <v/>
      </c>
      <c r="AQ3045" s="6">
        <f>YEAR(AS3045)</f>
        <v/>
      </c>
      <c r="AR3045" s="6">
        <f>MONTH(AS3045)</f>
        <v/>
      </c>
    </row>
    <row r="3046">
      <c r="B3046" s="6">
        <f>C3046&amp;D3046</f>
        <v/>
      </c>
      <c r="C3046" s="6">
        <f>YEAR(E3046)</f>
        <v/>
      </c>
      <c r="D3046" s="6">
        <f>MONTH(E3046)</f>
        <v/>
      </c>
      <c r="J3046" s="6">
        <f>K3046&amp;L3046</f>
        <v/>
      </c>
      <c r="K3046" s="6">
        <f>YEAR(M3046)</f>
        <v/>
      </c>
      <c r="L3046" s="6">
        <f>MONTH(M3046)</f>
        <v/>
      </c>
      <c r="R3046" s="6">
        <f>S3046&amp;T3046</f>
        <v/>
      </c>
      <c r="S3046" s="6">
        <f>YEAR(U3046)</f>
        <v/>
      </c>
      <c r="T3046" s="6">
        <f>MONTH(U3046)</f>
        <v/>
      </c>
      <c r="Z3046" s="6">
        <f>AA3046&amp;AB3046</f>
        <v/>
      </c>
      <c r="AA3046" s="6">
        <f>YEAR(AC3046)</f>
        <v/>
      </c>
      <c r="AB3046" s="6">
        <f>MONTH(AC3046)</f>
        <v/>
      </c>
      <c r="AC3046" s="267">
        <f>IFERROR(__xludf.DUMMYFUNCTION("""COMPUTED_VALUE"""),46206.9986111111)</f>
        <v/>
      </c>
      <c r="AD3046" s="6">
        <f>IFERROR(__xludf.DUMMYFUNCTION("""COMPUTED_VALUE"""),1528.18)</f>
        <v/>
      </c>
      <c r="AH3046" s="6">
        <f>AI3046&amp;AJ3046</f>
        <v/>
      </c>
      <c r="AI3046" s="6">
        <f>YEAR(AK3046)</f>
        <v/>
      </c>
      <c r="AJ3046" s="6">
        <f>MONTH(AK3046)</f>
        <v/>
      </c>
      <c r="AK3046" s="267">
        <f>IFERROR(__xludf.DUMMYFUNCTION("""COMPUTED_VALUE"""),46153.9986111111)</f>
        <v/>
      </c>
      <c r="AL3046" s="6">
        <f>IFERROR(__xludf.DUMMYFUNCTION("""COMPUTED_VALUE"""),80719.92)</f>
        <v/>
      </c>
      <c r="AP3046" s="6">
        <f>AQ3046&amp;AR3046</f>
        <v/>
      </c>
      <c r="AQ3046" s="6">
        <f>YEAR(AS3046)</f>
        <v/>
      </c>
      <c r="AR3046" s="6">
        <f>MONTH(AS3046)</f>
        <v/>
      </c>
    </row>
    <row r="3047">
      <c r="B3047" s="6">
        <f>C3047&amp;D3047</f>
        <v/>
      </c>
      <c r="C3047" s="6">
        <f>YEAR(E3047)</f>
        <v/>
      </c>
      <c r="D3047" s="6">
        <f>MONTH(E3047)</f>
        <v/>
      </c>
      <c r="J3047" s="6">
        <f>K3047&amp;L3047</f>
        <v/>
      </c>
      <c r="K3047" s="6">
        <f>YEAR(M3047)</f>
        <v/>
      </c>
      <c r="L3047" s="6">
        <f>MONTH(M3047)</f>
        <v/>
      </c>
      <c r="R3047" s="6">
        <f>S3047&amp;T3047</f>
        <v/>
      </c>
      <c r="S3047" s="6">
        <f>YEAR(U3047)</f>
        <v/>
      </c>
      <c r="T3047" s="6">
        <f>MONTH(U3047)</f>
        <v/>
      </c>
      <c r="Z3047" s="6">
        <f>AA3047&amp;AB3047</f>
        <v/>
      </c>
      <c r="AA3047" s="6">
        <f>YEAR(AC3047)</f>
        <v/>
      </c>
      <c r="AB3047" s="6">
        <f>MONTH(AC3047)</f>
        <v/>
      </c>
      <c r="AC3047" s="267">
        <f>IFERROR(__xludf.DUMMYFUNCTION("""COMPUTED_VALUE"""),46207.9986111111)</f>
        <v/>
      </c>
      <c r="AD3047" s="6">
        <f>IFERROR(__xludf.DUMMYFUNCTION("""COMPUTED_VALUE"""),1527.3)</f>
        <v/>
      </c>
      <c r="AH3047" s="6">
        <f>AI3047&amp;AJ3047</f>
        <v/>
      </c>
      <c r="AI3047" s="6">
        <f>YEAR(AK3047)</f>
        <v/>
      </c>
      <c r="AJ3047" s="6">
        <f>MONTH(AK3047)</f>
        <v/>
      </c>
      <c r="AK3047" s="267">
        <f>IFERROR(__xludf.DUMMYFUNCTION("""COMPUTED_VALUE"""),46154.9986111111)</f>
        <v/>
      </c>
      <c r="AL3047" s="6">
        <f>IFERROR(__xludf.DUMMYFUNCTION("""COMPUTED_VALUE"""),81037.06)</f>
        <v/>
      </c>
      <c r="AP3047" s="6">
        <f>AQ3047&amp;AR3047</f>
        <v/>
      </c>
      <c r="AQ3047" s="6">
        <f>YEAR(AS3047)</f>
        <v/>
      </c>
      <c r="AR3047" s="6">
        <f>MONTH(AS3047)</f>
        <v/>
      </c>
    </row>
    <row r="3048">
      <c r="B3048" s="6">
        <f>C3048&amp;D3048</f>
        <v/>
      </c>
      <c r="C3048" s="6">
        <f>YEAR(E3048)</f>
        <v/>
      </c>
      <c r="D3048" s="6">
        <f>MONTH(E3048)</f>
        <v/>
      </c>
      <c r="J3048" s="6">
        <f>K3048&amp;L3048</f>
        <v/>
      </c>
      <c r="K3048" s="6">
        <f>YEAR(M3048)</f>
        <v/>
      </c>
      <c r="L3048" s="6">
        <f>MONTH(M3048)</f>
        <v/>
      </c>
      <c r="R3048" s="6">
        <f>S3048&amp;T3048</f>
        <v/>
      </c>
      <c r="S3048" s="6">
        <f>YEAR(U3048)</f>
        <v/>
      </c>
      <c r="T3048" s="6">
        <f>MONTH(U3048)</f>
        <v/>
      </c>
      <c r="Z3048" s="6">
        <f>AA3048&amp;AB3048</f>
        <v/>
      </c>
      <c r="AA3048" s="6">
        <f>YEAR(AC3048)</f>
        <v/>
      </c>
      <c r="AB3048" s="6">
        <f>MONTH(AC3048)</f>
        <v/>
      </c>
      <c r="AC3048" s="267">
        <f>IFERROR(__xludf.DUMMYFUNCTION("""COMPUTED_VALUE"""),46208.9986111111)</f>
        <v/>
      </c>
      <c r="AD3048" s="6">
        <f>IFERROR(__xludf.DUMMYFUNCTION("""COMPUTED_VALUE"""),1531)</f>
        <v/>
      </c>
      <c r="AH3048" s="6">
        <f>AI3048&amp;AJ3048</f>
        <v/>
      </c>
      <c r="AI3048" s="6">
        <f>YEAR(AK3048)</f>
        <v/>
      </c>
      <c r="AJ3048" s="6">
        <f>MONTH(AK3048)</f>
        <v/>
      </c>
      <c r="AK3048" s="267">
        <f>IFERROR(__xludf.DUMMYFUNCTION("""COMPUTED_VALUE"""),46155.9986111111)</f>
        <v/>
      </c>
      <c r="AL3048" s="6">
        <f>IFERROR(__xludf.DUMMYFUNCTION("""COMPUTED_VALUE"""),81240.78)</f>
        <v/>
      </c>
      <c r="AP3048" s="6">
        <f>AQ3048&amp;AR3048</f>
        <v/>
      </c>
      <c r="AQ3048" s="6">
        <f>YEAR(AS3048)</f>
        <v/>
      </c>
      <c r="AR3048" s="6">
        <f>MONTH(AS3048)</f>
        <v/>
      </c>
    </row>
    <row r="3049">
      <c r="B3049" s="6">
        <f>C3049&amp;D3049</f>
        <v/>
      </c>
      <c r="C3049" s="6">
        <f>YEAR(E3049)</f>
        <v/>
      </c>
      <c r="D3049" s="6">
        <f>MONTH(E3049)</f>
        <v/>
      </c>
      <c r="J3049" s="6">
        <f>K3049&amp;L3049</f>
        <v/>
      </c>
      <c r="K3049" s="6">
        <f>YEAR(M3049)</f>
        <v/>
      </c>
      <c r="L3049" s="6">
        <f>MONTH(M3049)</f>
        <v/>
      </c>
      <c r="R3049" s="6">
        <f>S3049&amp;T3049</f>
        <v/>
      </c>
      <c r="S3049" s="6">
        <f>YEAR(U3049)</f>
        <v/>
      </c>
      <c r="T3049" s="6">
        <f>MONTH(U3049)</f>
        <v/>
      </c>
      <c r="Z3049" s="6">
        <f>AA3049&amp;AB3049</f>
        <v/>
      </c>
      <c r="AA3049" s="6">
        <f>YEAR(AC3049)</f>
        <v/>
      </c>
      <c r="AB3049" s="6">
        <f>MONTH(AC3049)</f>
        <v/>
      </c>
      <c r="AC3049" s="267">
        <f>IFERROR(__xludf.DUMMYFUNCTION("""COMPUTED_VALUE"""),46209.9986111111)</f>
        <v/>
      </c>
      <c r="AD3049" s="6">
        <f>IFERROR(__xludf.DUMMYFUNCTION("""COMPUTED_VALUE"""),1528.76)</f>
        <v/>
      </c>
      <c r="AH3049" s="6">
        <f>AI3049&amp;AJ3049</f>
        <v/>
      </c>
      <c r="AI3049" s="6">
        <f>YEAR(AK3049)</f>
        <v/>
      </c>
      <c r="AJ3049" s="6">
        <f>MONTH(AK3049)</f>
        <v/>
      </c>
      <c r="AK3049" s="267">
        <f>IFERROR(__xludf.DUMMYFUNCTION("""COMPUTED_VALUE"""),46156.9986111111)</f>
        <v/>
      </c>
      <c r="AL3049" s="6">
        <f>IFERROR(__xludf.DUMMYFUNCTION("""COMPUTED_VALUE"""),79014.78)</f>
        <v/>
      </c>
      <c r="AP3049" s="6">
        <f>AQ3049&amp;AR3049</f>
        <v/>
      </c>
      <c r="AQ3049" s="6">
        <f>YEAR(AS3049)</f>
        <v/>
      </c>
      <c r="AR3049" s="6">
        <f>MONTH(AS3049)</f>
        <v/>
      </c>
    </row>
    <row r="3050">
      <c r="B3050" s="6">
        <f>C3050&amp;D3050</f>
        <v/>
      </c>
      <c r="C3050" s="6">
        <f>YEAR(E3050)</f>
        <v/>
      </c>
      <c r="D3050" s="6">
        <f>MONTH(E3050)</f>
        <v/>
      </c>
      <c r="J3050" s="6">
        <f>K3050&amp;L3050</f>
        <v/>
      </c>
      <c r="K3050" s="6">
        <f>YEAR(M3050)</f>
        <v/>
      </c>
      <c r="L3050" s="6">
        <f>MONTH(M3050)</f>
        <v/>
      </c>
      <c r="R3050" s="6">
        <f>S3050&amp;T3050</f>
        <v/>
      </c>
      <c r="S3050" s="6">
        <f>YEAR(U3050)</f>
        <v/>
      </c>
      <c r="T3050" s="6">
        <f>MONTH(U3050)</f>
        <v/>
      </c>
      <c r="Z3050" s="6">
        <f>AA3050&amp;AB3050</f>
        <v/>
      </c>
      <c r="AA3050" s="6">
        <f>YEAR(AC3050)</f>
        <v/>
      </c>
      <c r="AB3050" s="6">
        <f>MONTH(AC3050)</f>
        <v/>
      </c>
      <c r="AC3050" s="267">
        <f>IFERROR(__xludf.DUMMYFUNCTION("""COMPUTED_VALUE"""),46210.9986111111)</f>
        <v/>
      </c>
      <c r="AD3050" s="6">
        <f>IFERROR(__xludf.DUMMYFUNCTION("""COMPUTED_VALUE"""),1519.86)</f>
        <v/>
      </c>
      <c r="AH3050" s="6">
        <f>AI3050&amp;AJ3050</f>
        <v/>
      </c>
      <c r="AI3050" s="6">
        <f>YEAR(AK3050)</f>
        <v/>
      </c>
      <c r="AJ3050" s="6">
        <f>MONTH(AK3050)</f>
        <v/>
      </c>
      <c r="AK3050" s="267">
        <f>IFERROR(__xludf.DUMMYFUNCTION("""COMPUTED_VALUE"""),46157.9986111111)</f>
        <v/>
      </c>
      <c r="AL3050" s="6">
        <f>IFERROR(__xludf.DUMMYFUNCTION("""COMPUTED_VALUE"""),81060.27)</f>
        <v/>
      </c>
      <c r="AP3050" s="6">
        <f>AQ3050&amp;AR3050</f>
        <v/>
      </c>
      <c r="AQ3050" s="6">
        <f>YEAR(AS3050)</f>
        <v/>
      </c>
      <c r="AR3050" s="6">
        <f>MONTH(AS3050)</f>
        <v/>
      </c>
    </row>
    <row r="3051">
      <c r="B3051" s="6">
        <f>C3051&amp;D3051</f>
        <v/>
      </c>
      <c r="C3051" s="6">
        <f>YEAR(E3051)</f>
        <v/>
      </c>
      <c r="D3051" s="6">
        <f>MONTH(E3051)</f>
        <v/>
      </c>
      <c r="J3051" s="6">
        <f>K3051&amp;L3051</f>
        <v/>
      </c>
      <c r="K3051" s="6">
        <f>YEAR(M3051)</f>
        <v/>
      </c>
      <c r="L3051" s="6">
        <f>MONTH(M3051)</f>
        <v/>
      </c>
      <c r="R3051" s="6">
        <f>S3051&amp;T3051</f>
        <v/>
      </c>
      <c r="S3051" s="6">
        <f>YEAR(U3051)</f>
        <v/>
      </c>
      <c r="T3051" s="6">
        <f>MONTH(U3051)</f>
        <v/>
      </c>
      <c r="Z3051" s="6">
        <f>AA3051&amp;AB3051</f>
        <v/>
      </c>
      <c r="AA3051" s="6">
        <f>YEAR(AC3051)</f>
        <v/>
      </c>
      <c r="AB3051" s="6">
        <f>MONTH(AC3051)</f>
        <v/>
      </c>
      <c r="AC3051" s="267">
        <f>IFERROR(__xludf.DUMMYFUNCTION("""COMPUTED_VALUE"""),46211.9986111111)</f>
        <v/>
      </c>
      <c r="AD3051" s="6">
        <f>IFERROR(__xludf.DUMMYFUNCTION("""COMPUTED_VALUE"""),1503.35)</f>
        <v/>
      </c>
      <c r="AH3051" s="6">
        <f>AI3051&amp;AJ3051</f>
        <v/>
      </c>
      <c r="AI3051" s="6">
        <f>YEAR(AK3051)</f>
        <v/>
      </c>
      <c r="AJ3051" s="6">
        <f>MONTH(AK3051)</f>
        <v/>
      </c>
      <c r="AK3051" s="267">
        <f>IFERROR(__xludf.DUMMYFUNCTION("""COMPUTED_VALUE"""),46158.9986111111)</f>
        <v/>
      </c>
      <c r="AL3051" s="6">
        <f>IFERROR(__xludf.DUMMYFUNCTION("""COMPUTED_VALUE"""),79016.69)</f>
        <v/>
      </c>
      <c r="AP3051" s="6">
        <f>AQ3051&amp;AR3051</f>
        <v/>
      </c>
      <c r="AQ3051" s="6">
        <f>YEAR(AS3051)</f>
        <v/>
      </c>
      <c r="AR3051" s="6">
        <f>MONTH(AS3051)</f>
        <v/>
      </c>
    </row>
    <row r="3052">
      <c r="B3052" s="6">
        <f>C3052&amp;D3052</f>
        <v/>
      </c>
      <c r="C3052" s="6">
        <f>YEAR(E3052)</f>
        <v/>
      </c>
      <c r="D3052" s="6">
        <f>MONTH(E3052)</f>
        <v/>
      </c>
      <c r="J3052" s="6">
        <f>K3052&amp;L3052</f>
        <v/>
      </c>
      <c r="K3052" s="6">
        <f>YEAR(M3052)</f>
        <v/>
      </c>
      <c r="L3052" s="6">
        <f>MONTH(M3052)</f>
        <v/>
      </c>
      <c r="R3052" s="6">
        <f>S3052&amp;T3052</f>
        <v/>
      </c>
      <c r="S3052" s="6">
        <f>YEAR(U3052)</f>
        <v/>
      </c>
      <c r="T3052" s="6">
        <f>MONTH(U3052)</f>
        <v/>
      </c>
      <c r="Z3052" s="6">
        <f>AA3052&amp;AB3052</f>
        <v/>
      </c>
      <c r="AA3052" s="6">
        <f>YEAR(AC3052)</f>
        <v/>
      </c>
      <c r="AB3052" s="6">
        <f>MONTH(AC3052)</f>
        <v/>
      </c>
      <c r="AC3052" s="267">
        <f>IFERROR(__xludf.DUMMYFUNCTION("""COMPUTED_VALUE"""),46212.9986111111)</f>
        <v/>
      </c>
      <c r="AD3052" s="6">
        <f>IFERROR(__xludf.DUMMYFUNCTION("""COMPUTED_VALUE"""),1505.91)</f>
        <v/>
      </c>
      <c r="AH3052" s="6">
        <f>AI3052&amp;AJ3052</f>
        <v/>
      </c>
      <c r="AI3052" s="6">
        <f>YEAR(AK3052)</f>
        <v/>
      </c>
      <c r="AJ3052" s="6">
        <f>MONTH(AK3052)</f>
        <v/>
      </c>
      <c r="AK3052" s="267">
        <f>IFERROR(__xludf.DUMMYFUNCTION("""COMPUTED_VALUE"""),46159.9986111111)</f>
        <v/>
      </c>
      <c r="AL3052" s="6">
        <f>IFERROR(__xludf.DUMMYFUNCTION("""COMPUTED_VALUE"""),77993.23)</f>
        <v/>
      </c>
      <c r="AP3052" s="6">
        <f>AQ3052&amp;AR3052</f>
        <v/>
      </c>
      <c r="AQ3052" s="6">
        <f>YEAR(AS3052)</f>
        <v/>
      </c>
      <c r="AR3052" s="6">
        <f>MONTH(AS3052)</f>
        <v/>
      </c>
    </row>
    <row r="3053">
      <c r="B3053" s="6">
        <f>C3053&amp;D3053</f>
        <v/>
      </c>
      <c r="C3053" s="6">
        <f>YEAR(E3053)</f>
        <v/>
      </c>
      <c r="D3053" s="6">
        <f>MONTH(E3053)</f>
        <v/>
      </c>
      <c r="J3053" s="6">
        <f>K3053&amp;L3053</f>
        <v/>
      </c>
      <c r="K3053" s="6">
        <f>YEAR(M3053)</f>
        <v/>
      </c>
      <c r="L3053" s="6">
        <f>MONTH(M3053)</f>
        <v/>
      </c>
      <c r="R3053" s="6">
        <f>S3053&amp;T3053</f>
        <v/>
      </c>
      <c r="S3053" s="6">
        <f>YEAR(U3053)</f>
        <v/>
      </c>
      <c r="T3053" s="6">
        <f>MONTH(U3053)</f>
        <v/>
      </c>
      <c r="Z3053" s="6">
        <f>AA3053&amp;AB3053</f>
        <v/>
      </c>
      <c r="AA3053" s="6">
        <f>YEAR(AC3053)</f>
        <v/>
      </c>
      <c r="AB3053" s="6">
        <f>MONTH(AC3053)</f>
        <v/>
      </c>
      <c r="AC3053" s="267">
        <f>IFERROR(__xludf.DUMMYFUNCTION("""COMPUTED_VALUE"""),46213.9986111111)</f>
        <v/>
      </c>
      <c r="AD3053" s="6">
        <f>IFERROR(__xludf.DUMMYFUNCTION("""COMPUTED_VALUE"""),1498.07)</f>
        <v/>
      </c>
      <c r="AH3053" s="6">
        <f>AI3053&amp;AJ3053</f>
        <v/>
      </c>
      <c r="AI3053" s="6">
        <f>YEAR(AK3053)</f>
        <v/>
      </c>
      <c r="AJ3053" s="6">
        <f>MONTH(AK3053)</f>
        <v/>
      </c>
      <c r="AK3053" s="267">
        <f>IFERROR(__xludf.DUMMYFUNCTION("""COMPUTED_VALUE"""),46160.9986111111)</f>
        <v/>
      </c>
      <c r="AL3053" s="6">
        <f>IFERROR(__xludf.DUMMYFUNCTION("""COMPUTED_VALUE"""),76869.57)</f>
        <v/>
      </c>
      <c r="AP3053" s="6">
        <f>AQ3053&amp;AR3053</f>
        <v/>
      </c>
      <c r="AQ3053" s="6">
        <f>YEAR(AS3053)</f>
        <v/>
      </c>
      <c r="AR3053" s="6">
        <f>MONTH(AS3053)</f>
        <v/>
      </c>
    </row>
    <row r="3054">
      <c r="B3054" s="6">
        <f>C3054&amp;D3054</f>
        <v/>
      </c>
      <c r="C3054" s="6">
        <f>YEAR(E3054)</f>
        <v/>
      </c>
      <c r="D3054" s="6">
        <f>MONTH(E3054)</f>
        <v/>
      </c>
      <c r="J3054" s="6">
        <f>K3054&amp;L3054</f>
        <v/>
      </c>
      <c r="K3054" s="6">
        <f>YEAR(M3054)</f>
        <v/>
      </c>
      <c r="L3054" s="6">
        <f>MONTH(M3054)</f>
        <v/>
      </c>
      <c r="R3054" s="6">
        <f>S3054&amp;T3054</f>
        <v/>
      </c>
      <c r="S3054" s="6">
        <f>YEAR(U3054)</f>
        <v/>
      </c>
      <c r="T3054" s="6">
        <f>MONTH(U3054)</f>
        <v/>
      </c>
      <c r="Z3054" s="6">
        <f>AA3054&amp;AB3054</f>
        <v/>
      </c>
      <c r="AA3054" s="6">
        <f>YEAR(AC3054)</f>
        <v/>
      </c>
      <c r="AB3054" s="6">
        <f>MONTH(AC3054)</f>
        <v/>
      </c>
      <c r="AC3054" s="267">
        <f>IFERROR(__xludf.DUMMYFUNCTION("""COMPUTED_VALUE"""),46214.9986111111)</f>
        <v/>
      </c>
      <c r="AD3054" s="6">
        <f>IFERROR(__xludf.DUMMYFUNCTION("""COMPUTED_VALUE"""),1497.15)</f>
        <v/>
      </c>
      <c r="AH3054" s="6">
        <f>AI3054&amp;AJ3054</f>
        <v/>
      </c>
      <c r="AI3054" s="6">
        <f>YEAR(AK3054)</f>
        <v/>
      </c>
      <c r="AJ3054" s="6">
        <f>MONTH(AK3054)</f>
        <v/>
      </c>
      <c r="AK3054" s="267">
        <f>IFERROR(__xludf.DUMMYFUNCTION("""COMPUTED_VALUE"""),46161.9986111111)</f>
        <v/>
      </c>
      <c r="AL3054" s="6">
        <f>IFERROR(__xludf.DUMMYFUNCTION("""COMPUTED_VALUE"""),76721.99)</f>
        <v/>
      </c>
      <c r="AP3054" s="6">
        <f>AQ3054&amp;AR3054</f>
        <v/>
      </c>
      <c r="AQ3054" s="6">
        <f>YEAR(AS3054)</f>
        <v/>
      </c>
      <c r="AR3054" s="6">
        <f>MONTH(AS3054)</f>
        <v/>
      </c>
    </row>
    <row r="3055">
      <c r="B3055" s="6">
        <f>C3055&amp;D3055</f>
        <v/>
      </c>
      <c r="C3055" s="6">
        <f>YEAR(E3055)</f>
        <v/>
      </c>
      <c r="D3055" s="6">
        <f>MONTH(E3055)</f>
        <v/>
      </c>
      <c r="J3055" s="6">
        <f>K3055&amp;L3055</f>
        <v/>
      </c>
      <c r="K3055" s="6">
        <f>YEAR(M3055)</f>
        <v/>
      </c>
      <c r="L3055" s="6">
        <f>MONTH(M3055)</f>
        <v/>
      </c>
      <c r="R3055" s="6">
        <f>S3055&amp;T3055</f>
        <v/>
      </c>
      <c r="S3055" s="6">
        <f>YEAR(U3055)</f>
        <v/>
      </c>
      <c r="T3055" s="6">
        <f>MONTH(U3055)</f>
        <v/>
      </c>
      <c r="Z3055" s="6">
        <f>AA3055&amp;AB3055</f>
        <v/>
      </c>
      <c r="AA3055" s="6">
        <f>YEAR(AC3055)</f>
        <v/>
      </c>
      <c r="AB3055" s="6">
        <f>MONTH(AC3055)</f>
        <v/>
      </c>
      <c r="AC3055" s="267">
        <f>IFERROR(__xludf.DUMMYFUNCTION("""COMPUTED_VALUE"""),46215.9986111111)</f>
        <v/>
      </c>
      <c r="AD3055" s="6">
        <f>IFERROR(__xludf.DUMMYFUNCTION("""COMPUTED_VALUE"""),1498.48)</f>
        <v/>
      </c>
      <c r="AH3055" s="6">
        <f>AI3055&amp;AJ3055</f>
        <v/>
      </c>
      <c r="AI3055" s="6">
        <f>YEAR(AK3055)</f>
        <v/>
      </c>
      <c r="AJ3055" s="6">
        <f>MONTH(AK3055)</f>
        <v/>
      </c>
      <c r="AK3055" s="267">
        <f>IFERROR(__xludf.DUMMYFUNCTION("""COMPUTED_VALUE"""),46162.9986111111)</f>
        <v/>
      </c>
      <c r="AL3055" s="6">
        <f>IFERROR(__xludf.DUMMYFUNCTION("""COMPUTED_VALUE"""),76637.61)</f>
        <v/>
      </c>
      <c r="AP3055" s="6">
        <f>AQ3055&amp;AR3055</f>
        <v/>
      </c>
      <c r="AQ3055" s="6">
        <f>YEAR(AS3055)</f>
        <v/>
      </c>
      <c r="AR3055" s="6">
        <f>MONTH(AS3055)</f>
        <v/>
      </c>
    </row>
    <row r="3056">
      <c r="B3056" s="6">
        <f>C3056&amp;D3056</f>
        <v/>
      </c>
      <c r="C3056" s="6">
        <f>YEAR(E3056)</f>
        <v/>
      </c>
      <c r="D3056" s="6">
        <f>MONTH(E3056)</f>
        <v/>
      </c>
      <c r="J3056" s="6">
        <f>K3056&amp;L3056</f>
        <v/>
      </c>
      <c r="K3056" s="6">
        <f>YEAR(M3056)</f>
        <v/>
      </c>
      <c r="L3056" s="6">
        <f>MONTH(M3056)</f>
        <v/>
      </c>
      <c r="R3056" s="6">
        <f>S3056&amp;T3056</f>
        <v/>
      </c>
      <c r="S3056" s="6">
        <f>YEAR(U3056)</f>
        <v/>
      </c>
      <c r="T3056" s="6">
        <f>MONTH(U3056)</f>
        <v/>
      </c>
      <c r="Z3056" s="6">
        <f>AA3056&amp;AB3056</f>
        <v/>
      </c>
      <c r="AA3056" s="6">
        <f>YEAR(AC3056)</f>
        <v/>
      </c>
      <c r="AB3056" s="6">
        <f>MONTH(AC3056)</f>
        <v/>
      </c>
      <c r="AC3056" s="267">
        <f>IFERROR(__xludf.DUMMYFUNCTION("""COMPUTED_VALUE"""),46216.9986111111)</f>
        <v/>
      </c>
      <c r="AD3056" s="6">
        <f>IFERROR(__xludf.DUMMYFUNCTION("""COMPUTED_VALUE"""),1497.7)</f>
        <v/>
      </c>
      <c r="AH3056" s="6">
        <f>AI3056&amp;AJ3056</f>
        <v/>
      </c>
      <c r="AI3056" s="6">
        <f>YEAR(AK3056)</f>
        <v/>
      </c>
      <c r="AJ3056" s="6">
        <f>MONTH(AK3056)</f>
        <v/>
      </c>
      <c r="AK3056" s="267">
        <f>IFERROR(__xludf.DUMMYFUNCTION("""COMPUTED_VALUE"""),46163.9986111111)</f>
        <v/>
      </c>
      <c r="AL3056" s="6">
        <f>IFERROR(__xludf.DUMMYFUNCTION("""COMPUTED_VALUE"""),78001.65)</f>
        <v/>
      </c>
      <c r="AP3056" s="6">
        <f>AQ3056&amp;AR3056</f>
        <v/>
      </c>
      <c r="AQ3056" s="6">
        <f>YEAR(AS3056)</f>
        <v/>
      </c>
      <c r="AR3056" s="6">
        <f>MONTH(AS3056)</f>
        <v/>
      </c>
    </row>
    <row r="3057">
      <c r="B3057" s="6">
        <f>C3057&amp;D3057</f>
        <v/>
      </c>
      <c r="C3057" s="6">
        <f>YEAR(E3057)</f>
        <v/>
      </c>
      <c r="D3057" s="6">
        <f>MONTH(E3057)</f>
        <v/>
      </c>
      <c r="J3057" s="6">
        <f>K3057&amp;L3057</f>
        <v/>
      </c>
      <c r="K3057" s="6">
        <f>YEAR(M3057)</f>
        <v/>
      </c>
      <c r="L3057" s="6">
        <f>MONTH(M3057)</f>
        <v/>
      </c>
      <c r="R3057" s="6">
        <f>S3057&amp;T3057</f>
        <v/>
      </c>
      <c r="S3057" s="6">
        <f>YEAR(U3057)</f>
        <v/>
      </c>
      <c r="T3057" s="6">
        <f>MONTH(U3057)</f>
        <v/>
      </c>
      <c r="Z3057" s="6">
        <f>AA3057&amp;AB3057</f>
        <v/>
      </c>
      <c r="AA3057" s="6">
        <f>YEAR(AC3057)</f>
        <v/>
      </c>
      <c r="AB3057" s="6">
        <f>MONTH(AC3057)</f>
        <v/>
      </c>
      <c r="AC3057" s="267">
        <f>IFERROR(__xludf.DUMMYFUNCTION("""COMPUTED_VALUE"""),46217.9986111111)</f>
        <v/>
      </c>
      <c r="AD3057" s="6">
        <f>IFERROR(__xludf.DUMMYFUNCTION("""COMPUTED_VALUE"""),1487.88)</f>
        <v/>
      </c>
      <c r="AH3057" s="6">
        <f>AI3057&amp;AJ3057</f>
        <v/>
      </c>
      <c r="AI3057" s="6">
        <f>YEAR(AK3057)</f>
        <v/>
      </c>
      <c r="AJ3057" s="6">
        <f>MONTH(AK3057)</f>
        <v/>
      </c>
      <c r="AK3057" s="267">
        <f>IFERROR(__xludf.DUMMYFUNCTION("""COMPUTED_VALUE"""),46164.9986111111)</f>
        <v/>
      </c>
      <c r="AL3057" s="6">
        <f>IFERROR(__xludf.DUMMYFUNCTION("""COMPUTED_VALUE"""),77705.25)</f>
        <v/>
      </c>
      <c r="AP3057" s="6">
        <f>AQ3057&amp;AR3057</f>
        <v/>
      </c>
      <c r="AQ3057" s="6">
        <f>YEAR(AS3057)</f>
        <v/>
      </c>
      <c r="AR3057" s="6">
        <f>MONTH(AS3057)</f>
        <v/>
      </c>
    </row>
    <row r="3058">
      <c r="B3058" s="6">
        <f>C3058&amp;D3058</f>
        <v/>
      </c>
      <c r="C3058" s="6">
        <f>YEAR(E3058)</f>
        <v/>
      </c>
      <c r="D3058" s="6">
        <f>MONTH(E3058)</f>
        <v/>
      </c>
      <c r="J3058" s="6">
        <f>K3058&amp;L3058</f>
        <v/>
      </c>
      <c r="K3058" s="6">
        <f>YEAR(M3058)</f>
        <v/>
      </c>
      <c r="L3058" s="6">
        <f>MONTH(M3058)</f>
        <v/>
      </c>
      <c r="R3058" s="6">
        <f>S3058&amp;T3058</f>
        <v/>
      </c>
      <c r="S3058" s="6">
        <f>YEAR(U3058)</f>
        <v/>
      </c>
      <c r="T3058" s="6">
        <f>MONTH(U3058)</f>
        <v/>
      </c>
      <c r="Z3058" s="6">
        <f>AA3058&amp;AB3058</f>
        <v/>
      </c>
      <c r="AA3058" s="6">
        <f>YEAR(AC3058)</f>
        <v/>
      </c>
      <c r="AB3058" s="6">
        <f>MONTH(AC3058)</f>
        <v/>
      </c>
      <c r="AC3058" s="267">
        <f>IFERROR(__xludf.DUMMYFUNCTION("""COMPUTED_VALUE"""),46218.9986111111)</f>
        <v/>
      </c>
      <c r="AD3058" s="6">
        <f>IFERROR(__xludf.DUMMYFUNCTION("""COMPUTED_VALUE"""),1486.2)</f>
        <v/>
      </c>
      <c r="AH3058" s="6">
        <f>AI3058&amp;AJ3058</f>
        <v/>
      </c>
      <c r="AI3058" s="6">
        <f>YEAR(AK3058)</f>
        <v/>
      </c>
      <c r="AJ3058" s="6">
        <f>MONTH(AK3058)</f>
        <v/>
      </c>
      <c r="AK3058" s="267">
        <f>IFERROR(__xludf.DUMMYFUNCTION("""COMPUTED_VALUE"""),46165.9986111111)</f>
        <v/>
      </c>
      <c r="AL3058" s="6">
        <f>IFERROR(__xludf.DUMMYFUNCTION("""COMPUTED_VALUE"""),75545.7)</f>
        <v/>
      </c>
      <c r="AP3058" s="6">
        <f>AQ3058&amp;AR3058</f>
        <v/>
      </c>
      <c r="AQ3058" s="6">
        <f>YEAR(AS3058)</f>
        <v/>
      </c>
      <c r="AR3058" s="6">
        <f>MONTH(AS3058)</f>
        <v/>
      </c>
    </row>
    <row r="3059">
      <c r="B3059" s="6">
        <f>C3059&amp;D3059</f>
        <v/>
      </c>
      <c r="C3059" s="6">
        <f>YEAR(E3059)</f>
        <v/>
      </c>
      <c r="D3059" s="6">
        <f>MONTH(E3059)</f>
        <v/>
      </c>
      <c r="J3059" s="6">
        <f>K3059&amp;L3059</f>
        <v/>
      </c>
      <c r="K3059" s="6">
        <f>YEAR(M3059)</f>
        <v/>
      </c>
      <c r="L3059" s="6">
        <f>MONTH(M3059)</f>
        <v/>
      </c>
      <c r="R3059" s="6">
        <f>S3059&amp;T3059</f>
        <v/>
      </c>
      <c r="S3059" s="6">
        <f>YEAR(U3059)</f>
        <v/>
      </c>
      <c r="T3059" s="6">
        <f>MONTH(U3059)</f>
        <v/>
      </c>
      <c r="Z3059" s="6">
        <f>AA3059&amp;AB3059</f>
        <v/>
      </c>
      <c r="AA3059" s="6">
        <f>YEAR(AC3059)</f>
        <v/>
      </c>
      <c r="AB3059" s="6">
        <f>MONTH(AC3059)</f>
        <v/>
      </c>
      <c r="AC3059" s="267">
        <f>IFERROR(__xludf.DUMMYFUNCTION("""COMPUTED_VALUE"""),46219.9986111111)</f>
        <v/>
      </c>
      <c r="AD3059" s="6">
        <f>IFERROR(__xludf.DUMMYFUNCTION("""COMPUTED_VALUE"""),1478.85)</f>
        <v/>
      </c>
      <c r="AH3059" s="6">
        <f>AI3059&amp;AJ3059</f>
        <v/>
      </c>
      <c r="AI3059" s="6">
        <f>YEAR(AK3059)</f>
        <v/>
      </c>
      <c r="AJ3059" s="6">
        <f>MONTH(AK3059)</f>
        <v/>
      </c>
      <c r="AK3059" s="267">
        <f>IFERROR(__xludf.DUMMYFUNCTION("""COMPUTED_VALUE"""),46166.9986111111)</f>
        <v/>
      </c>
      <c r="AL3059" s="6">
        <f>IFERROR(__xludf.DUMMYFUNCTION("""COMPUTED_VALUE"""),76665.13)</f>
        <v/>
      </c>
      <c r="AP3059" s="6">
        <f>AQ3059&amp;AR3059</f>
        <v/>
      </c>
      <c r="AQ3059" s="6">
        <f>YEAR(AS3059)</f>
        <v/>
      </c>
      <c r="AR3059" s="6">
        <f>MONTH(AS3059)</f>
        <v/>
      </c>
    </row>
    <row r="3060">
      <c r="B3060" s="6">
        <f>C3060&amp;D3060</f>
        <v/>
      </c>
      <c r="C3060" s="6">
        <f>YEAR(E3060)</f>
        <v/>
      </c>
      <c r="D3060" s="6">
        <f>MONTH(E3060)</f>
        <v/>
      </c>
      <c r="J3060" s="6">
        <f>K3060&amp;L3060</f>
        <v/>
      </c>
      <c r="K3060" s="6">
        <f>YEAR(M3060)</f>
        <v/>
      </c>
      <c r="L3060" s="6">
        <f>MONTH(M3060)</f>
        <v/>
      </c>
      <c r="R3060" s="6">
        <f>S3060&amp;T3060</f>
        <v/>
      </c>
      <c r="S3060" s="6">
        <f>YEAR(U3060)</f>
        <v/>
      </c>
      <c r="T3060" s="6">
        <f>MONTH(U3060)</f>
        <v/>
      </c>
      <c r="Z3060" s="6">
        <f>AA3060&amp;AB3060</f>
        <v/>
      </c>
      <c r="AA3060" s="6">
        <f>YEAR(AC3060)</f>
        <v/>
      </c>
      <c r="AB3060" s="6">
        <f>MONTH(AC3060)</f>
        <v/>
      </c>
      <c r="AC3060" s="267">
        <f>IFERROR(__xludf.DUMMYFUNCTION("""COMPUTED_VALUE"""),46220.9986111111)</f>
        <v/>
      </c>
      <c r="AD3060" s="6">
        <f>IFERROR(__xludf.DUMMYFUNCTION("""COMPUTED_VALUE"""),1487.77)</f>
        <v/>
      </c>
      <c r="AH3060" s="6">
        <f>AI3060&amp;AJ3060</f>
        <v/>
      </c>
      <c r="AI3060" s="6">
        <f>YEAR(AK3060)</f>
        <v/>
      </c>
      <c r="AJ3060" s="6">
        <f>MONTH(AK3060)</f>
        <v/>
      </c>
      <c r="AK3060" s="267">
        <f>IFERROR(__xludf.DUMMYFUNCTION("""COMPUTED_VALUE"""),46167.9986111111)</f>
        <v/>
      </c>
      <c r="AL3060" s="6">
        <f>IFERROR(__xludf.DUMMYFUNCTION("""COMPUTED_VALUE"""),76933.1)</f>
        <v/>
      </c>
      <c r="AP3060" s="6">
        <f>AQ3060&amp;AR3060</f>
        <v/>
      </c>
      <c r="AQ3060" s="6">
        <f>YEAR(AS3060)</f>
        <v/>
      </c>
      <c r="AR3060" s="6">
        <f>MONTH(AS3060)</f>
        <v/>
      </c>
    </row>
    <row r="3061">
      <c r="B3061" s="6">
        <f>C3061&amp;D3061</f>
        <v/>
      </c>
      <c r="C3061" s="6">
        <f>YEAR(E3061)</f>
        <v/>
      </c>
      <c r="D3061" s="6">
        <f>MONTH(E3061)</f>
        <v/>
      </c>
      <c r="J3061" s="6">
        <f>K3061&amp;L3061</f>
        <v/>
      </c>
      <c r="K3061" s="6">
        <f>YEAR(M3061)</f>
        <v/>
      </c>
      <c r="L3061" s="6">
        <f>MONTH(M3061)</f>
        <v/>
      </c>
      <c r="R3061" s="6">
        <f>S3061&amp;T3061</f>
        <v/>
      </c>
      <c r="S3061" s="6">
        <f>YEAR(U3061)</f>
        <v/>
      </c>
      <c r="T3061" s="6">
        <f>MONTH(U3061)</f>
        <v/>
      </c>
      <c r="Z3061" s="6">
        <f>AA3061&amp;AB3061</f>
        <v/>
      </c>
      <c r="AA3061" s="6">
        <f>YEAR(AC3061)</f>
        <v/>
      </c>
      <c r="AB3061" s="6">
        <f>MONTH(AC3061)</f>
        <v/>
      </c>
      <c r="AC3061" s="267">
        <f>IFERROR(__xludf.DUMMYFUNCTION("""COMPUTED_VALUE"""),46221.9986111111)</f>
        <v/>
      </c>
      <c r="AD3061" s="6">
        <f>IFERROR(__xludf.DUMMYFUNCTION("""COMPUTED_VALUE"""),1487.93)</f>
        <v/>
      </c>
      <c r="AH3061" s="6">
        <f>AI3061&amp;AJ3061</f>
        <v/>
      </c>
      <c r="AI3061" s="6">
        <f>YEAR(AK3061)</f>
        <v/>
      </c>
      <c r="AJ3061" s="6">
        <f>MONTH(AK3061)</f>
        <v/>
      </c>
      <c r="AK3061" s="267">
        <f>IFERROR(__xludf.DUMMYFUNCTION("""COMPUTED_VALUE"""),46168.9986111111)</f>
        <v/>
      </c>
      <c r="AL3061" s="6">
        <f>IFERROR(__xludf.DUMMYFUNCTION("""COMPUTED_VALUE"""),76571.72)</f>
        <v/>
      </c>
      <c r="AP3061" s="6">
        <f>AQ3061&amp;AR3061</f>
        <v/>
      </c>
      <c r="AQ3061" s="6">
        <f>YEAR(AS3061)</f>
        <v/>
      </c>
      <c r="AR3061" s="6">
        <f>MONTH(AS3061)</f>
        <v/>
      </c>
    </row>
    <row r="3062">
      <c r="B3062" s="6">
        <f>C3062&amp;D3062</f>
        <v/>
      </c>
      <c r="C3062" s="6">
        <f>YEAR(E3062)</f>
        <v/>
      </c>
      <c r="D3062" s="6">
        <f>MONTH(E3062)</f>
        <v/>
      </c>
      <c r="J3062" s="6">
        <f>K3062&amp;L3062</f>
        <v/>
      </c>
      <c r="K3062" s="6">
        <f>YEAR(M3062)</f>
        <v/>
      </c>
      <c r="L3062" s="6">
        <f>MONTH(M3062)</f>
        <v/>
      </c>
      <c r="R3062" s="6">
        <f>S3062&amp;T3062</f>
        <v/>
      </c>
      <c r="S3062" s="6">
        <f>YEAR(U3062)</f>
        <v/>
      </c>
      <c r="T3062" s="6">
        <f>MONTH(U3062)</f>
        <v/>
      </c>
      <c r="Z3062" s="6">
        <f>AA3062&amp;AB3062</f>
        <v/>
      </c>
      <c r="AA3062" s="6">
        <f>YEAR(AC3062)</f>
        <v/>
      </c>
      <c r="AB3062" s="6">
        <f>MONTH(AC3062)</f>
        <v/>
      </c>
      <c r="AH3062" s="6">
        <f>AI3062&amp;AJ3062</f>
        <v/>
      </c>
      <c r="AI3062" s="6">
        <f>YEAR(AK3062)</f>
        <v/>
      </c>
      <c r="AJ3062" s="6">
        <f>MONTH(AK3062)</f>
        <v/>
      </c>
      <c r="AK3062" s="267">
        <f>IFERROR(__xludf.DUMMYFUNCTION("""COMPUTED_VALUE"""),46169.9986111111)</f>
        <v/>
      </c>
      <c r="AL3062" s="6">
        <f>IFERROR(__xludf.DUMMYFUNCTION("""COMPUTED_VALUE"""),75556.04)</f>
        <v/>
      </c>
      <c r="AP3062" s="6">
        <f>AQ3062&amp;AR3062</f>
        <v/>
      </c>
      <c r="AQ3062" s="6">
        <f>YEAR(AS3062)</f>
        <v/>
      </c>
      <c r="AR3062" s="6">
        <f>MONTH(AS3062)</f>
        <v/>
      </c>
    </row>
    <row r="3063">
      <c r="B3063" s="6">
        <f>C3063&amp;D3063</f>
        <v/>
      </c>
      <c r="C3063" s="6">
        <f>YEAR(E3063)</f>
        <v/>
      </c>
      <c r="D3063" s="6">
        <f>MONTH(E3063)</f>
        <v/>
      </c>
      <c r="J3063" s="6">
        <f>K3063&amp;L3063</f>
        <v/>
      </c>
      <c r="K3063" s="6">
        <f>YEAR(M3063)</f>
        <v/>
      </c>
      <c r="L3063" s="6">
        <f>MONTH(M3063)</f>
        <v/>
      </c>
      <c r="R3063" s="6">
        <f>S3063&amp;T3063</f>
        <v/>
      </c>
      <c r="S3063" s="6">
        <f>YEAR(U3063)</f>
        <v/>
      </c>
      <c r="T3063" s="6">
        <f>MONTH(U3063)</f>
        <v/>
      </c>
      <c r="Z3063" s="6">
        <f>AA3063&amp;AB3063</f>
        <v/>
      </c>
      <c r="AA3063" s="6">
        <f>YEAR(AC3063)</f>
        <v/>
      </c>
      <c r="AB3063" s="6">
        <f>MONTH(AC3063)</f>
        <v/>
      </c>
      <c r="AH3063" s="6">
        <f>AI3063&amp;AJ3063</f>
        <v/>
      </c>
      <c r="AI3063" s="6">
        <f>YEAR(AK3063)</f>
        <v/>
      </c>
      <c r="AJ3063" s="6">
        <f>MONTH(AK3063)</f>
        <v/>
      </c>
      <c r="AK3063" s="267">
        <f>IFERROR(__xludf.DUMMYFUNCTION("""COMPUTED_VALUE"""),46170.9986111111)</f>
        <v/>
      </c>
      <c r="AL3063" s="6">
        <f>IFERROR(__xludf.DUMMYFUNCTION("""COMPUTED_VALUE"""),73130.01)</f>
        <v/>
      </c>
      <c r="AP3063" s="6">
        <f>AQ3063&amp;AR3063</f>
        <v/>
      </c>
      <c r="AQ3063" s="6">
        <f>YEAR(AS3063)</f>
        <v/>
      </c>
      <c r="AR3063" s="6">
        <f>MONTH(AS3063)</f>
        <v/>
      </c>
    </row>
    <row r="3064">
      <c r="B3064" s="6">
        <f>C3064&amp;D3064</f>
        <v/>
      </c>
      <c r="C3064" s="6">
        <f>YEAR(E3064)</f>
        <v/>
      </c>
      <c r="D3064" s="6">
        <f>MONTH(E3064)</f>
        <v/>
      </c>
      <c r="J3064" s="6">
        <f>K3064&amp;L3064</f>
        <v/>
      </c>
      <c r="K3064" s="6">
        <f>YEAR(M3064)</f>
        <v/>
      </c>
      <c r="L3064" s="6">
        <f>MONTH(M3064)</f>
        <v/>
      </c>
      <c r="R3064" s="6">
        <f>S3064&amp;T3064</f>
        <v/>
      </c>
      <c r="S3064" s="6">
        <f>YEAR(U3064)</f>
        <v/>
      </c>
      <c r="T3064" s="6">
        <f>MONTH(U3064)</f>
        <v/>
      </c>
      <c r="Z3064" s="6">
        <f>AA3064&amp;AB3064</f>
        <v/>
      </c>
      <c r="AA3064" s="6">
        <f>YEAR(AC3064)</f>
        <v/>
      </c>
      <c r="AB3064" s="6">
        <f>MONTH(AC3064)</f>
        <v/>
      </c>
      <c r="AH3064" s="6">
        <f>AI3064&amp;AJ3064</f>
        <v/>
      </c>
      <c r="AI3064" s="6">
        <f>YEAR(AK3064)</f>
        <v/>
      </c>
      <c r="AJ3064" s="6">
        <f>MONTH(AK3064)</f>
        <v/>
      </c>
      <c r="AK3064" s="267">
        <f>IFERROR(__xludf.DUMMYFUNCTION("""COMPUTED_VALUE"""),46171.9986111111)</f>
        <v/>
      </c>
      <c r="AL3064" s="6">
        <f>IFERROR(__xludf.DUMMYFUNCTION("""COMPUTED_VALUE"""),73195.61)</f>
        <v/>
      </c>
      <c r="AP3064" s="6">
        <f>AQ3064&amp;AR3064</f>
        <v/>
      </c>
      <c r="AQ3064" s="6">
        <f>YEAR(AS3064)</f>
        <v/>
      </c>
      <c r="AR3064" s="6">
        <f>MONTH(AS3064)</f>
        <v/>
      </c>
    </row>
    <row r="3065">
      <c r="B3065" s="6">
        <f>C3065&amp;D3065</f>
        <v/>
      </c>
      <c r="C3065" s="6">
        <f>YEAR(E3065)</f>
        <v/>
      </c>
      <c r="D3065" s="6">
        <f>MONTH(E3065)</f>
        <v/>
      </c>
      <c r="J3065" s="6">
        <f>K3065&amp;L3065</f>
        <v/>
      </c>
      <c r="K3065" s="6">
        <f>YEAR(M3065)</f>
        <v/>
      </c>
      <c r="L3065" s="6">
        <f>MONTH(M3065)</f>
        <v/>
      </c>
      <c r="R3065" s="6">
        <f>S3065&amp;T3065</f>
        <v/>
      </c>
      <c r="S3065" s="6">
        <f>YEAR(U3065)</f>
        <v/>
      </c>
      <c r="T3065" s="6">
        <f>MONTH(U3065)</f>
        <v/>
      </c>
      <c r="Z3065" s="6">
        <f>AA3065&amp;AB3065</f>
        <v/>
      </c>
      <c r="AA3065" s="6">
        <f>YEAR(AC3065)</f>
        <v/>
      </c>
      <c r="AB3065" s="6">
        <f>MONTH(AC3065)</f>
        <v/>
      </c>
      <c r="AH3065" s="6">
        <f>AI3065&amp;AJ3065</f>
        <v/>
      </c>
      <c r="AI3065" s="6">
        <f>YEAR(AK3065)</f>
        <v/>
      </c>
      <c r="AJ3065" s="6">
        <f>MONTH(AK3065)</f>
        <v/>
      </c>
      <c r="AK3065" s="267">
        <f>IFERROR(__xludf.DUMMYFUNCTION("""COMPUTED_VALUE"""),46172.9986111111)</f>
        <v/>
      </c>
      <c r="AL3065" s="6">
        <f>IFERROR(__xludf.DUMMYFUNCTION("""COMPUTED_VALUE"""),73426.55)</f>
        <v/>
      </c>
      <c r="AP3065" s="6">
        <f>AQ3065&amp;AR3065</f>
        <v/>
      </c>
      <c r="AQ3065" s="6">
        <f>YEAR(AS3065)</f>
        <v/>
      </c>
      <c r="AR3065" s="6">
        <f>MONTH(AS3065)</f>
        <v/>
      </c>
    </row>
    <row r="3066">
      <c r="B3066" s="6">
        <f>C3066&amp;D3066</f>
        <v/>
      </c>
      <c r="C3066" s="6">
        <f>YEAR(E3066)</f>
        <v/>
      </c>
      <c r="D3066" s="6">
        <f>MONTH(E3066)</f>
        <v/>
      </c>
      <c r="J3066" s="6">
        <f>K3066&amp;L3066</f>
        <v/>
      </c>
      <c r="K3066" s="6">
        <f>YEAR(M3066)</f>
        <v/>
      </c>
      <c r="L3066" s="6">
        <f>MONTH(M3066)</f>
        <v/>
      </c>
      <c r="R3066" s="6">
        <f>S3066&amp;T3066</f>
        <v/>
      </c>
      <c r="S3066" s="6">
        <f>YEAR(U3066)</f>
        <v/>
      </c>
      <c r="T3066" s="6">
        <f>MONTH(U3066)</f>
        <v/>
      </c>
      <c r="Z3066" s="6">
        <f>AA3066&amp;AB3066</f>
        <v/>
      </c>
      <c r="AA3066" s="6">
        <f>YEAR(AC3066)</f>
        <v/>
      </c>
      <c r="AB3066" s="6">
        <f>MONTH(AC3066)</f>
        <v/>
      </c>
      <c r="AH3066" s="6">
        <f>AI3066&amp;AJ3066</f>
        <v/>
      </c>
      <c r="AI3066" s="6">
        <f>YEAR(AK3066)</f>
        <v/>
      </c>
      <c r="AJ3066" s="6">
        <f>MONTH(AK3066)</f>
        <v/>
      </c>
      <c r="AK3066" s="267">
        <f>IFERROR(__xludf.DUMMYFUNCTION("""COMPUTED_VALUE"""),46173.9986111111)</f>
        <v/>
      </c>
      <c r="AL3066" s="6">
        <f>IFERROR(__xludf.DUMMYFUNCTION("""COMPUTED_VALUE"""),74032.05)</f>
        <v/>
      </c>
      <c r="AP3066" s="6">
        <f>AQ3066&amp;AR3066</f>
        <v/>
      </c>
      <c r="AQ3066" s="6">
        <f>YEAR(AS3066)</f>
        <v/>
      </c>
      <c r="AR3066" s="6">
        <f>MONTH(AS3066)</f>
        <v/>
      </c>
    </row>
    <row r="3067">
      <c r="B3067" s="6">
        <f>C3067&amp;D3067</f>
        <v/>
      </c>
      <c r="C3067" s="6">
        <f>YEAR(E3067)</f>
        <v/>
      </c>
      <c r="D3067" s="6">
        <f>MONTH(E3067)</f>
        <v/>
      </c>
      <c r="J3067" s="6">
        <f>K3067&amp;L3067</f>
        <v/>
      </c>
      <c r="K3067" s="6">
        <f>YEAR(M3067)</f>
        <v/>
      </c>
      <c r="L3067" s="6">
        <f>MONTH(M3067)</f>
        <v/>
      </c>
      <c r="R3067" s="6">
        <f>S3067&amp;T3067</f>
        <v/>
      </c>
      <c r="S3067" s="6">
        <f>YEAR(U3067)</f>
        <v/>
      </c>
      <c r="T3067" s="6">
        <f>MONTH(U3067)</f>
        <v/>
      </c>
      <c r="Z3067" s="6">
        <f>AA3067&amp;AB3067</f>
        <v/>
      </c>
      <c r="AA3067" s="6">
        <f>YEAR(AC3067)</f>
        <v/>
      </c>
      <c r="AB3067" s="6">
        <f>MONTH(AC3067)</f>
        <v/>
      </c>
      <c r="AH3067" s="6">
        <f>AI3067&amp;AJ3067</f>
        <v/>
      </c>
      <c r="AI3067" s="6">
        <f>YEAR(AK3067)</f>
        <v/>
      </c>
      <c r="AJ3067" s="6">
        <f>MONTH(AK3067)</f>
        <v/>
      </c>
      <c r="AK3067" s="267">
        <f>IFERROR(__xludf.DUMMYFUNCTION("""COMPUTED_VALUE"""),46174.9986111111)</f>
        <v/>
      </c>
      <c r="AL3067" s="6">
        <f>IFERROR(__xludf.DUMMYFUNCTION("""COMPUTED_VALUE"""),73661.73)</f>
        <v/>
      </c>
      <c r="AP3067" s="6">
        <f>AQ3067&amp;AR3067</f>
        <v/>
      </c>
      <c r="AQ3067" s="6">
        <f>YEAR(AS3067)</f>
        <v/>
      </c>
      <c r="AR3067" s="6">
        <f>MONTH(AS3067)</f>
        <v/>
      </c>
    </row>
    <row r="3068">
      <c r="B3068" s="6">
        <f>C3068&amp;D3068</f>
        <v/>
      </c>
      <c r="C3068" s="6">
        <f>YEAR(E3068)</f>
        <v/>
      </c>
      <c r="D3068" s="6">
        <f>MONTH(E3068)</f>
        <v/>
      </c>
      <c r="J3068" s="6">
        <f>K3068&amp;L3068</f>
        <v/>
      </c>
      <c r="K3068" s="6">
        <f>YEAR(M3068)</f>
        <v/>
      </c>
      <c r="L3068" s="6">
        <f>MONTH(M3068)</f>
        <v/>
      </c>
      <c r="R3068" s="6">
        <f>S3068&amp;T3068</f>
        <v/>
      </c>
      <c r="S3068" s="6">
        <f>YEAR(U3068)</f>
        <v/>
      </c>
      <c r="T3068" s="6">
        <f>MONTH(U3068)</f>
        <v/>
      </c>
      <c r="Z3068" s="6">
        <f>AA3068&amp;AB3068</f>
        <v/>
      </c>
      <c r="AA3068" s="6">
        <f>YEAR(AC3068)</f>
        <v/>
      </c>
      <c r="AB3068" s="6">
        <f>MONTH(AC3068)</f>
        <v/>
      </c>
      <c r="AH3068" s="6">
        <f>AI3068&amp;AJ3068</f>
        <v/>
      </c>
      <c r="AI3068" s="6">
        <f>YEAR(AK3068)</f>
        <v/>
      </c>
      <c r="AJ3068" s="6">
        <f>MONTH(AK3068)</f>
        <v/>
      </c>
      <c r="AK3068" s="267">
        <f>IFERROR(__xludf.DUMMYFUNCTION("""COMPUTED_VALUE"""),46175.9986111111)</f>
        <v/>
      </c>
      <c r="AL3068" s="6">
        <f>IFERROR(__xludf.DUMMYFUNCTION("""COMPUTED_VALUE"""),70839.5)</f>
        <v/>
      </c>
      <c r="AP3068" s="6">
        <f>AQ3068&amp;AR3068</f>
        <v/>
      </c>
      <c r="AQ3068" s="6">
        <f>YEAR(AS3068)</f>
        <v/>
      </c>
      <c r="AR3068" s="6">
        <f>MONTH(AS3068)</f>
        <v/>
      </c>
    </row>
    <row r="3069">
      <c r="B3069" s="6">
        <f>C3069&amp;D3069</f>
        <v/>
      </c>
      <c r="C3069" s="6">
        <f>YEAR(E3069)</f>
        <v/>
      </c>
      <c r="D3069" s="6">
        <f>MONTH(E3069)</f>
        <v/>
      </c>
      <c r="J3069" s="6">
        <f>K3069&amp;L3069</f>
        <v/>
      </c>
      <c r="K3069" s="6">
        <f>YEAR(M3069)</f>
        <v/>
      </c>
      <c r="L3069" s="6">
        <f>MONTH(M3069)</f>
        <v/>
      </c>
      <c r="R3069" s="6">
        <f>S3069&amp;T3069</f>
        <v/>
      </c>
      <c r="S3069" s="6">
        <f>YEAR(U3069)</f>
        <v/>
      </c>
      <c r="T3069" s="6">
        <f>MONTH(U3069)</f>
        <v/>
      </c>
      <c r="Z3069" s="6">
        <f>AA3069&amp;AB3069</f>
        <v/>
      </c>
      <c r="AA3069" s="6">
        <f>YEAR(AC3069)</f>
        <v/>
      </c>
      <c r="AB3069" s="6">
        <f>MONTH(AC3069)</f>
        <v/>
      </c>
      <c r="AH3069" s="6">
        <f>AI3069&amp;AJ3069</f>
        <v/>
      </c>
      <c r="AI3069" s="6">
        <f>YEAR(AK3069)</f>
        <v/>
      </c>
      <c r="AJ3069" s="6">
        <f>MONTH(AK3069)</f>
        <v/>
      </c>
      <c r="AK3069" s="267">
        <f>IFERROR(__xludf.DUMMYFUNCTION("""COMPUTED_VALUE"""),46176.9986111111)</f>
        <v/>
      </c>
      <c r="AL3069" s="6">
        <f>IFERROR(__xludf.DUMMYFUNCTION("""COMPUTED_VALUE"""),65761.27)</f>
        <v/>
      </c>
      <c r="AP3069" s="6">
        <f>AQ3069&amp;AR3069</f>
        <v/>
      </c>
      <c r="AQ3069" s="6">
        <f>YEAR(AS3069)</f>
        <v/>
      </c>
      <c r="AR3069" s="6">
        <f>MONTH(AS3069)</f>
        <v/>
      </c>
    </row>
    <row r="3070">
      <c r="B3070" s="6">
        <f>C3070&amp;D3070</f>
        <v/>
      </c>
      <c r="C3070" s="6">
        <f>YEAR(E3070)</f>
        <v/>
      </c>
      <c r="D3070" s="6">
        <f>MONTH(E3070)</f>
        <v/>
      </c>
      <c r="J3070" s="6">
        <f>K3070&amp;L3070</f>
        <v/>
      </c>
      <c r="K3070" s="6">
        <f>YEAR(M3070)</f>
        <v/>
      </c>
      <c r="L3070" s="6">
        <f>MONTH(M3070)</f>
        <v/>
      </c>
      <c r="R3070" s="6">
        <f>S3070&amp;T3070</f>
        <v/>
      </c>
      <c r="S3070" s="6">
        <f>YEAR(U3070)</f>
        <v/>
      </c>
      <c r="T3070" s="6">
        <f>MONTH(U3070)</f>
        <v/>
      </c>
      <c r="Z3070" s="6">
        <f>AA3070&amp;AB3070</f>
        <v/>
      </c>
      <c r="AA3070" s="6">
        <f>YEAR(AC3070)</f>
        <v/>
      </c>
      <c r="AB3070" s="6">
        <f>MONTH(AC3070)</f>
        <v/>
      </c>
      <c r="AH3070" s="6">
        <f>AI3070&amp;AJ3070</f>
        <v/>
      </c>
      <c r="AI3070" s="6">
        <f>YEAR(AK3070)</f>
        <v/>
      </c>
      <c r="AJ3070" s="6">
        <f>MONTH(AK3070)</f>
        <v/>
      </c>
      <c r="AK3070" s="267">
        <f>IFERROR(__xludf.DUMMYFUNCTION("""COMPUTED_VALUE"""),46177.9986111111)</f>
        <v/>
      </c>
      <c r="AL3070" s="6">
        <f>IFERROR(__xludf.DUMMYFUNCTION("""COMPUTED_VALUE"""),64275.99)</f>
        <v/>
      </c>
      <c r="AP3070" s="6">
        <f>AQ3070&amp;AR3070</f>
        <v/>
      </c>
      <c r="AQ3070" s="6">
        <f>YEAR(AS3070)</f>
        <v/>
      </c>
      <c r="AR3070" s="6">
        <f>MONTH(AS3070)</f>
        <v/>
      </c>
    </row>
    <row r="3071">
      <c r="B3071" s="6">
        <f>C3071&amp;D3071</f>
        <v/>
      </c>
      <c r="C3071" s="6">
        <f>YEAR(E3071)</f>
        <v/>
      </c>
      <c r="D3071" s="6">
        <f>MONTH(E3071)</f>
        <v/>
      </c>
      <c r="J3071" s="6">
        <f>K3071&amp;L3071</f>
        <v/>
      </c>
      <c r="K3071" s="6">
        <f>YEAR(M3071)</f>
        <v/>
      </c>
      <c r="L3071" s="6">
        <f>MONTH(M3071)</f>
        <v/>
      </c>
      <c r="R3071" s="6">
        <f>S3071&amp;T3071</f>
        <v/>
      </c>
      <c r="S3071" s="6">
        <f>YEAR(U3071)</f>
        <v/>
      </c>
      <c r="T3071" s="6">
        <f>MONTH(U3071)</f>
        <v/>
      </c>
      <c r="Z3071" s="6">
        <f>AA3071&amp;AB3071</f>
        <v/>
      </c>
      <c r="AA3071" s="6">
        <f>YEAR(AC3071)</f>
        <v/>
      </c>
      <c r="AB3071" s="6">
        <f>MONTH(AC3071)</f>
        <v/>
      </c>
      <c r="AH3071" s="6">
        <f>AI3071&amp;AJ3071</f>
        <v/>
      </c>
      <c r="AI3071" s="6">
        <f>YEAR(AK3071)</f>
        <v/>
      </c>
      <c r="AJ3071" s="6">
        <f>MONTH(AK3071)</f>
        <v/>
      </c>
      <c r="AK3071" s="267">
        <f>IFERROR(__xludf.DUMMYFUNCTION("""COMPUTED_VALUE"""),46178.9986111111)</f>
        <v/>
      </c>
      <c r="AL3071" s="6">
        <f>IFERROR(__xludf.DUMMYFUNCTION("""COMPUTED_VALUE"""),62667.48)</f>
        <v/>
      </c>
      <c r="AP3071" s="6">
        <f>AQ3071&amp;AR3071</f>
        <v/>
      </c>
      <c r="AQ3071" s="6">
        <f>YEAR(AS3071)</f>
        <v/>
      </c>
      <c r="AR3071" s="6">
        <f>MONTH(AS3071)</f>
        <v/>
      </c>
    </row>
    <row r="3072">
      <c r="B3072" s="6">
        <f>C3072&amp;D3072</f>
        <v/>
      </c>
      <c r="C3072" s="6">
        <f>YEAR(E3072)</f>
        <v/>
      </c>
      <c r="D3072" s="6">
        <f>MONTH(E3072)</f>
        <v/>
      </c>
      <c r="J3072" s="6">
        <f>K3072&amp;L3072</f>
        <v/>
      </c>
      <c r="K3072" s="6">
        <f>YEAR(M3072)</f>
        <v/>
      </c>
      <c r="L3072" s="6">
        <f>MONTH(M3072)</f>
        <v/>
      </c>
      <c r="R3072" s="6">
        <f>S3072&amp;T3072</f>
        <v/>
      </c>
      <c r="S3072" s="6">
        <f>YEAR(U3072)</f>
        <v/>
      </c>
      <c r="T3072" s="6">
        <f>MONTH(U3072)</f>
        <v/>
      </c>
      <c r="Z3072" s="6">
        <f>AA3072&amp;AB3072</f>
        <v/>
      </c>
      <c r="AA3072" s="6">
        <f>YEAR(AC3072)</f>
        <v/>
      </c>
      <c r="AB3072" s="6">
        <f>MONTH(AC3072)</f>
        <v/>
      </c>
      <c r="AH3072" s="6">
        <f>AI3072&amp;AJ3072</f>
        <v/>
      </c>
      <c r="AI3072" s="6">
        <f>YEAR(AK3072)</f>
        <v/>
      </c>
      <c r="AJ3072" s="6">
        <f>MONTH(AK3072)</f>
        <v/>
      </c>
      <c r="AK3072" s="267">
        <f>IFERROR(__xludf.DUMMYFUNCTION("""COMPUTED_VALUE"""),46179.9986111111)</f>
        <v/>
      </c>
      <c r="AL3072" s="6">
        <f>IFERROR(__xludf.DUMMYFUNCTION("""COMPUTED_VALUE"""),60659.22)</f>
        <v/>
      </c>
      <c r="AP3072" s="6">
        <f>AQ3072&amp;AR3072</f>
        <v/>
      </c>
      <c r="AQ3072" s="6">
        <f>YEAR(AS3072)</f>
        <v/>
      </c>
      <c r="AR3072" s="6">
        <f>MONTH(AS3072)</f>
        <v/>
      </c>
    </row>
    <row r="3073">
      <c r="B3073" s="6">
        <f>C3073&amp;D3073</f>
        <v/>
      </c>
      <c r="C3073" s="6">
        <f>YEAR(E3073)</f>
        <v/>
      </c>
      <c r="D3073" s="6">
        <f>MONTH(E3073)</f>
        <v/>
      </c>
      <c r="J3073" s="6">
        <f>K3073&amp;L3073</f>
        <v/>
      </c>
      <c r="K3073" s="6">
        <f>YEAR(M3073)</f>
        <v/>
      </c>
      <c r="L3073" s="6">
        <f>MONTH(M3073)</f>
        <v/>
      </c>
      <c r="R3073" s="6">
        <f>S3073&amp;T3073</f>
        <v/>
      </c>
      <c r="S3073" s="6">
        <f>YEAR(U3073)</f>
        <v/>
      </c>
      <c r="T3073" s="6">
        <f>MONTH(U3073)</f>
        <v/>
      </c>
      <c r="Z3073" s="6">
        <f>AA3073&amp;AB3073</f>
        <v/>
      </c>
      <c r="AA3073" s="6">
        <f>YEAR(AC3073)</f>
        <v/>
      </c>
      <c r="AB3073" s="6">
        <f>MONTH(AC3073)</f>
        <v/>
      </c>
      <c r="AH3073" s="6">
        <f>AI3073&amp;AJ3073</f>
        <v/>
      </c>
      <c r="AI3073" s="6">
        <f>YEAR(AK3073)</f>
        <v/>
      </c>
      <c r="AJ3073" s="6">
        <f>MONTH(AK3073)</f>
        <v/>
      </c>
      <c r="AK3073" s="267">
        <f>IFERROR(__xludf.DUMMYFUNCTION("""COMPUTED_VALUE"""),46180.9986111111)</f>
        <v/>
      </c>
      <c r="AL3073" s="6">
        <f>IFERROR(__xludf.DUMMYFUNCTION("""COMPUTED_VALUE"""),61692.44)</f>
        <v/>
      </c>
      <c r="AP3073" s="6">
        <f>AQ3073&amp;AR3073</f>
        <v/>
      </c>
      <c r="AQ3073" s="6">
        <f>YEAR(AS3073)</f>
        <v/>
      </c>
      <c r="AR3073" s="6">
        <f>MONTH(AS3073)</f>
        <v/>
      </c>
    </row>
    <row r="3074">
      <c r="B3074" s="6">
        <f>C3074&amp;D3074</f>
        <v/>
      </c>
      <c r="C3074" s="6">
        <f>YEAR(E3074)</f>
        <v/>
      </c>
      <c r="D3074" s="6">
        <f>MONTH(E3074)</f>
        <v/>
      </c>
      <c r="J3074" s="6">
        <f>K3074&amp;L3074</f>
        <v/>
      </c>
      <c r="K3074" s="6">
        <f>YEAR(M3074)</f>
        <v/>
      </c>
      <c r="L3074" s="6">
        <f>MONTH(M3074)</f>
        <v/>
      </c>
      <c r="R3074" s="6">
        <f>S3074&amp;T3074</f>
        <v/>
      </c>
      <c r="S3074" s="6">
        <f>YEAR(U3074)</f>
        <v/>
      </c>
      <c r="T3074" s="6">
        <f>MONTH(U3074)</f>
        <v/>
      </c>
      <c r="Z3074" s="6">
        <f>AA3074&amp;AB3074</f>
        <v/>
      </c>
      <c r="AA3074" s="6">
        <f>YEAR(AC3074)</f>
        <v/>
      </c>
      <c r="AB3074" s="6">
        <f>MONTH(AC3074)</f>
        <v/>
      </c>
      <c r="AH3074" s="6">
        <f>AI3074&amp;AJ3074</f>
        <v/>
      </c>
      <c r="AI3074" s="6">
        <f>YEAR(AK3074)</f>
        <v/>
      </c>
      <c r="AJ3074" s="6">
        <f>MONTH(AK3074)</f>
        <v/>
      </c>
      <c r="AK3074" s="267">
        <f>IFERROR(__xludf.DUMMYFUNCTION("""COMPUTED_VALUE"""),46181.9986111111)</f>
        <v/>
      </c>
      <c r="AL3074" s="6">
        <f>IFERROR(__xludf.DUMMYFUNCTION("""COMPUTED_VALUE"""),63108.54)</f>
        <v/>
      </c>
      <c r="AP3074" s="6">
        <f>AQ3074&amp;AR3074</f>
        <v/>
      </c>
      <c r="AQ3074" s="6">
        <f>YEAR(AS3074)</f>
        <v/>
      </c>
      <c r="AR3074" s="6">
        <f>MONTH(AS3074)</f>
        <v/>
      </c>
    </row>
    <row r="3075">
      <c r="B3075" s="6">
        <f>C3075&amp;D3075</f>
        <v/>
      </c>
      <c r="C3075" s="6">
        <f>YEAR(E3075)</f>
        <v/>
      </c>
      <c r="D3075" s="6">
        <f>MONTH(E3075)</f>
        <v/>
      </c>
      <c r="J3075" s="6">
        <f>K3075&amp;L3075</f>
        <v/>
      </c>
      <c r="K3075" s="6">
        <f>YEAR(M3075)</f>
        <v/>
      </c>
      <c r="L3075" s="6">
        <f>MONTH(M3075)</f>
        <v/>
      </c>
      <c r="R3075" s="6">
        <f>S3075&amp;T3075</f>
        <v/>
      </c>
      <c r="S3075" s="6">
        <f>YEAR(U3075)</f>
        <v/>
      </c>
      <c r="T3075" s="6">
        <f>MONTH(U3075)</f>
        <v/>
      </c>
      <c r="Z3075" s="6">
        <f>AA3075&amp;AB3075</f>
        <v/>
      </c>
      <c r="AA3075" s="6">
        <f>YEAR(AC3075)</f>
        <v/>
      </c>
      <c r="AB3075" s="6">
        <f>MONTH(AC3075)</f>
        <v/>
      </c>
      <c r="AH3075" s="6">
        <f>AI3075&amp;AJ3075</f>
        <v/>
      </c>
      <c r="AI3075" s="6">
        <f>YEAR(AK3075)</f>
        <v/>
      </c>
      <c r="AJ3075" s="6">
        <f>MONTH(AK3075)</f>
        <v/>
      </c>
      <c r="AK3075" s="267">
        <f>IFERROR(__xludf.DUMMYFUNCTION("""COMPUTED_VALUE"""),46182.9986111111)</f>
        <v/>
      </c>
      <c r="AL3075" s="6">
        <f>IFERROR(__xludf.DUMMYFUNCTION("""COMPUTED_VALUE"""),62839.98)</f>
        <v/>
      </c>
      <c r="AP3075" s="6">
        <f>AQ3075&amp;AR3075</f>
        <v/>
      </c>
      <c r="AQ3075" s="6">
        <f>YEAR(AS3075)</f>
        <v/>
      </c>
      <c r="AR3075" s="6">
        <f>MONTH(AS3075)</f>
        <v/>
      </c>
    </row>
    <row r="3076">
      <c r="B3076" s="6">
        <f>C3076&amp;D3076</f>
        <v/>
      </c>
      <c r="C3076" s="6">
        <f>YEAR(E3076)</f>
        <v/>
      </c>
      <c r="D3076" s="6">
        <f>MONTH(E3076)</f>
        <v/>
      </c>
      <c r="J3076" s="6">
        <f>K3076&amp;L3076</f>
        <v/>
      </c>
      <c r="K3076" s="6">
        <f>YEAR(M3076)</f>
        <v/>
      </c>
      <c r="L3076" s="6">
        <f>MONTH(M3076)</f>
        <v/>
      </c>
      <c r="R3076" s="6">
        <f>S3076&amp;T3076</f>
        <v/>
      </c>
      <c r="S3076" s="6">
        <f>YEAR(U3076)</f>
        <v/>
      </c>
      <c r="T3076" s="6">
        <f>MONTH(U3076)</f>
        <v/>
      </c>
      <c r="Z3076" s="6">
        <f>AA3076&amp;AB3076</f>
        <v/>
      </c>
      <c r="AA3076" s="6">
        <f>YEAR(AC3076)</f>
        <v/>
      </c>
      <c r="AB3076" s="6">
        <f>MONTH(AC3076)</f>
        <v/>
      </c>
      <c r="AH3076" s="6">
        <f>AI3076&amp;AJ3076</f>
        <v/>
      </c>
      <c r="AI3076" s="6">
        <f>YEAR(AK3076)</f>
        <v/>
      </c>
      <c r="AJ3076" s="6">
        <f>MONTH(AK3076)</f>
        <v/>
      </c>
      <c r="AK3076" s="267">
        <f>IFERROR(__xludf.DUMMYFUNCTION("""COMPUTED_VALUE"""),46183.9986111111)</f>
        <v/>
      </c>
      <c r="AL3076" s="6">
        <f>IFERROR(__xludf.DUMMYFUNCTION("""COMPUTED_VALUE"""),61503.96)</f>
        <v/>
      </c>
      <c r="AP3076" s="6">
        <f>AQ3076&amp;AR3076</f>
        <v/>
      </c>
      <c r="AQ3076" s="6">
        <f>YEAR(AS3076)</f>
        <v/>
      </c>
      <c r="AR3076" s="6">
        <f>MONTH(AS3076)</f>
        <v/>
      </c>
    </row>
    <row r="3077">
      <c r="B3077" s="6">
        <f>C3077&amp;D3077</f>
        <v/>
      </c>
      <c r="C3077" s="6">
        <f>YEAR(E3077)</f>
        <v/>
      </c>
      <c r="D3077" s="6">
        <f>MONTH(E3077)</f>
        <v/>
      </c>
      <c r="J3077" s="6">
        <f>K3077&amp;L3077</f>
        <v/>
      </c>
      <c r="K3077" s="6">
        <f>YEAR(M3077)</f>
        <v/>
      </c>
      <c r="L3077" s="6">
        <f>MONTH(M3077)</f>
        <v/>
      </c>
      <c r="R3077" s="6">
        <f>S3077&amp;T3077</f>
        <v/>
      </c>
      <c r="S3077" s="6">
        <f>YEAR(U3077)</f>
        <v/>
      </c>
      <c r="T3077" s="6">
        <f>MONTH(U3077)</f>
        <v/>
      </c>
      <c r="Z3077" s="6">
        <f>AA3077&amp;AB3077</f>
        <v/>
      </c>
      <c r="AA3077" s="6">
        <f>YEAR(AC3077)</f>
        <v/>
      </c>
      <c r="AB3077" s="6">
        <f>MONTH(AC3077)</f>
        <v/>
      </c>
      <c r="AH3077" s="6">
        <f>AI3077&amp;AJ3077</f>
        <v/>
      </c>
      <c r="AI3077" s="6">
        <f>YEAR(AK3077)</f>
        <v/>
      </c>
      <c r="AJ3077" s="6">
        <f>MONTH(AK3077)</f>
        <v/>
      </c>
      <c r="AK3077" s="267">
        <f>IFERROR(__xludf.DUMMYFUNCTION("""COMPUTED_VALUE"""),46184.9986111111)</f>
        <v/>
      </c>
      <c r="AL3077" s="6">
        <f>IFERROR(__xludf.DUMMYFUNCTION("""COMPUTED_VALUE"""),62598.13)</f>
        <v/>
      </c>
      <c r="AP3077" s="6">
        <f>AQ3077&amp;AR3077</f>
        <v/>
      </c>
      <c r="AQ3077" s="6">
        <f>YEAR(AS3077)</f>
        <v/>
      </c>
      <c r="AR3077" s="6">
        <f>MONTH(AS3077)</f>
        <v/>
      </c>
    </row>
    <row r="3078">
      <c r="B3078" s="6">
        <f>C3078&amp;D3078</f>
        <v/>
      </c>
      <c r="C3078" s="6">
        <f>YEAR(E3078)</f>
        <v/>
      </c>
      <c r="D3078" s="6">
        <f>MONTH(E3078)</f>
        <v/>
      </c>
      <c r="J3078" s="6">
        <f>K3078&amp;L3078</f>
        <v/>
      </c>
      <c r="K3078" s="6">
        <f>YEAR(M3078)</f>
        <v/>
      </c>
      <c r="L3078" s="6">
        <f>MONTH(M3078)</f>
        <v/>
      </c>
      <c r="R3078" s="6">
        <f>S3078&amp;T3078</f>
        <v/>
      </c>
      <c r="S3078" s="6">
        <f>YEAR(U3078)</f>
        <v/>
      </c>
      <c r="T3078" s="6">
        <f>MONTH(U3078)</f>
        <v/>
      </c>
      <c r="Z3078" s="6">
        <f>AA3078&amp;AB3078</f>
        <v/>
      </c>
      <c r="AA3078" s="6">
        <f>YEAR(AC3078)</f>
        <v/>
      </c>
      <c r="AB3078" s="6">
        <f>MONTH(AC3078)</f>
        <v/>
      </c>
      <c r="AH3078" s="6">
        <f>AI3078&amp;AJ3078</f>
        <v/>
      </c>
      <c r="AI3078" s="6">
        <f>YEAR(AK3078)</f>
        <v/>
      </c>
      <c r="AJ3078" s="6">
        <f>MONTH(AK3078)</f>
        <v/>
      </c>
      <c r="AK3078" s="267">
        <f>IFERROR(__xludf.DUMMYFUNCTION("""COMPUTED_VALUE"""),46185.9986111111)</f>
        <v/>
      </c>
      <c r="AL3078" s="6">
        <f>IFERROR(__xludf.DUMMYFUNCTION("""COMPUTED_VALUE"""),63430.49)</f>
        <v/>
      </c>
      <c r="AP3078" s="6">
        <f>AQ3078&amp;AR3078</f>
        <v/>
      </c>
      <c r="AQ3078" s="6">
        <f>YEAR(AS3078)</f>
        <v/>
      </c>
      <c r="AR3078" s="6">
        <f>MONTH(AS3078)</f>
        <v/>
      </c>
    </row>
    <row r="3079">
      <c r="B3079" s="6">
        <f>C3079&amp;D3079</f>
        <v/>
      </c>
      <c r="C3079" s="6">
        <f>YEAR(E3079)</f>
        <v/>
      </c>
      <c r="D3079" s="6">
        <f>MONTH(E3079)</f>
        <v/>
      </c>
      <c r="J3079" s="6">
        <f>K3079&amp;L3079</f>
        <v/>
      </c>
      <c r="K3079" s="6">
        <f>YEAR(M3079)</f>
        <v/>
      </c>
      <c r="L3079" s="6">
        <f>MONTH(M3079)</f>
        <v/>
      </c>
      <c r="R3079" s="6">
        <f>S3079&amp;T3079</f>
        <v/>
      </c>
      <c r="S3079" s="6">
        <f>YEAR(U3079)</f>
        <v/>
      </c>
      <c r="T3079" s="6">
        <f>MONTH(U3079)</f>
        <v/>
      </c>
      <c r="Z3079" s="6">
        <f>AA3079&amp;AB3079</f>
        <v/>
      </c>
      <c r="AA3079" s="6">
        <f>YEAR(AC3079)</f>
        <v/>
      </c>
      <c r="AB3079" s="6">
        <f>MONTH(AC3079)</f>
        <v/>
      </c>
      <c r="AH3079" s="6">
        <f>AI3079&amp;AJ3079</f>
        <v/>
      </c>
      <c r="AI3079" s="6">
        <f>YEAR(AK3079)</f>
        <v/>
      </c>
      <c r="AJ3079" s="6">
        <f>MONTH(AK3079)</f>
        <v/>
      </c>
      <c r="AK3079" s="267">
        <f>IFERROR(__xludf.DUMMYFUNCTION("""COMPUTED_VALUE"""),46186.9986111111)</f>
        <v/>
      </c>
      <c r="AL3079" s="6">
        <f>IFERROR(__xludf.DUMMYFUNCTION("""COMPUTED_VALUE"""),63494.13)</f>
        <v/>
      </c>
      <c r="AP3079" s="6">
        <f>AQ3079&amp;AR3079</f>
        <v/>
      </c>
      <c r="AQ3079" s="6">
        <f>YEAR(AS3079)</f>
        <v/>
      </c>
      <c r="AR3079" s="6">
        <f>MONTH(AS3079)</f>
        <v/>
      </c>
    </row>
    <row r="3080">
      <c r="B3080" s="6">
        <f>C3080&amp;D3080</f>
        <v/>
      </c>
      <c r="C3080" s="6">
        <f>YEAR(E3080)</f>
        <v/>
      </c>
      <c r="D3080" s="6">
        <f>MONTH(E3080)</f>
        <v/>
      </c>
      <c r="J3080" s="6">
        <f>K3080&amp;L3080</f>
        <v/>
      </c>
      <c r="K3080" s="6">
        <f>YEAR(M3080)</f>
        <v/>
      </c>
      <c r="L3080" s="6">
        <f>MONTH(M3080)</f>
        <v/>
      </c>
      <c r="R3080" s="6">
        <f>S3080&amp;T3080</f>
        <v/>
      </c>
      <c r="S3080" s="6">
        <f>YEAR(U3080)</f>
        <v/>
      </c>
      <c r="T3080" s="6">
        <f>MONTH(U3080)</f>
        <v/>
      </c>
      <c r="Z3080" s="6">
        <f>AA3080&amp;AB3080</f>
        <v/>
      </c>
      <c r="AA3080" s="6">
        <f>YEAR(AC3080)</f>
        <v/>
      </c>
      <c r="AB3080" s="6">
        <f>MONTH(AC3080)</f>
        <v/>
      </c>
      <c r="AH3080" s="6">
        <f>AI3080&amp;AJ3080</f>
        <v/>
      </c>
      <c r="AI3080" s="6">
        <f>YEAR(AK3080)</f>
        <v/>
      </c>
      <c r="AJ3080" s="6">
        <f>MONTH(AK3080)</f>
        <v/>
      </c>
      <c r="AK3080" s="267">
        <f>IFERROR(__xludf.DUMMYFUNCTION("""COMPUTED_VALUE"""),46187.9986111111)</f>
        <v/>
      </c>
      <c r="AL3080" s="6">
        <f>IFERROR(__xludf.DUMMYFUNCTION("""COMPUTED_VALUE"""),64513.58)</f>
        <v/>
      </c>
      <c r="AP3080" s="6">
        <f>AQ3080&amp;AR3080</f>
        <v/>
      </c>
      <c r="AQ3080" s="6">
        <f>YEAR(AS3080)</f>
        <v/>
      </c>
      <c r="AR3080" s="6">
        <f>MONTH(AS3080)</f>
        <v/>
      </c>
    </row>
    <row r="3081">
      <c r="B3081" s="6">
        <f>C3081&amp;D3081</f>
        <v/>
      </c>
      <c r="C3081" s="6">
        <f>YEAR(E3081)</f>
        <v/>
      </c>
      <c r="D3081" s="6">
        <f>MONTH(E3081)</f>
        <v/>
      </c>
      <c r="J3081" s="6">
        <f>K3081&amp;L3081</f>
        <v/>
      </c>
      <c r="K3081" s="6">
        <f>YEAR(M3081)</f>
        <v/>
      </c>
      <c r="L3081" s="6">
        <f>MONTH(M3081)</f>
        <v/>
      </c>
      <c r="R3081" s="6">
        <f>S3081&amp;T3081</f>
        <v/>
      </c>
      <c r="S3081" s="6">
        <f>YEAR(U3081)</f>
        <v/>
      </c>
      <c r="T3081" s="6">
        <f>MONTH(U3081)</f>
        <v/>
      </c>
      <c r="Z3081" s="6">
        <f>AA3081&amp;AB3081</f>
        <v/>
      </c>
      <c r="AA3081" s="6">
        <f>YEAR(AC3081)</f>
        <v/>
      </c>
      <c r="AB3081" s="6">
        <f>MONTH(AC3081)</f>
        <v/>
      </c>
      <c r="AH3081" s="6">
        <f>AI3081&amp;AJ3081</f>
        <v/>
      </c>
      <c r="AI3081" s="6">
        <f>YEAR(AK3081)</f>
        <v/>
      </c>
      <c r="AJ3081" s="6">
        <f>MONTH(AK3081)</f>
        <v/>
      </c>
      <c r="AK3081" s="267">
        <f>IFERROR(__xludf.DUMMYFUNCTION("""COMPUTED_VALUE"""),46188.9986111111)</f>
        <v/>
      </c>
      <c r="AL3081" s="6">
        <f>IFERROR(__xludf.DUMMYFUNCTION("""COMPUTED_VALUE"""),65894.03)</f>
        <v/>
      </c>
      <c r="AP3081" s="6">
        <f>AQ3081&amp;AR3081</f>
        <v/>
      </c>
      <c r="AQ3081" s="6">
        <f>YEAR(AS3081)</f>
        <v/>
      </c>
      <c r="AR3081" s="6">
        <f>MONTH(AS3081)</f>
        <v/>
      </c>
    </row>
    <row r="3082">
      <c r="B3082" s="6">
        <f>C3082&amp;D3082</f>
        <v/>
      </c>
      <c r="C3082" s="6">
        <f>YEAR(E3082)</f>
        <v/>
      </c>
      <c r="D3082" s="6">
        <f>MONTH(E3082)</f>
        <v/>
      </c>
      <c r="J3082" s="6">
        <f>K3082&amp;L3082</f>
        <v/>
      </c>
      <c r="K3082" s="6">
        <f>YEAR(M3082)</f>
        <v/>
      </c>
      <c r="L3082" s="6">
        <f>MONTH(M3082)</f>
        <v/>
      </c>
      <c r="R3082" s="6">
        <f>S3082&amp;T3082</f>
        <v/>
      </c>
      <c r="S3082" s="6">
        <f>YEAR(U3082)</f>
        <v/>
      </c>
      <c r="T3082" s="6">
        <f>MONTH(U3082)</f>
        <v/>
      </c>
      <c r="Z3082" s="6">
        <f>AA3082&amp;AB3082</f>
        <v/>
      </c>
      <c r="AA3082" s="6">
        <f>YEAR(AC3082)</f>
        <v/>
      </c>
      <c r="AB3082" s="6">
        <f>MONTH(AC3082)</f>
        <v/>
      </c>
      <c r="AH3082" s="6">
        <f>AI3082&amp;AJ3082</f>
        <v/>
      </c>
      <c r="AI3082" s="6">
        <f>YEAR(AK3082)</f>
        <v/>
      </c>
      <c r="AJ3082" s="6">
        <f>MONTH(AK3082)</f>
        <v/>
      </c>
      <c r="AK3082" s="267">
        <f>IFERROR(__xludf.DUMMYFUNCTION("""COMPUTED_VALUE"""),46189.9986111111)</f>
        <v/>
      </c>
      <c r="AL3082" s="6">
        <f>IFERROR(__xludf.DUMMYFUNCTION("""COMPUTED_VALUE"""),66111.75)</f>
        <v/>
      </c>
      <c r="AP3082" s="6">
        <f>AQ3082&amp;AR3082</f>
        <v/>
      </c>
      <c r="AQ3082" s="6">
        <f>YEAR(AS3082)</f>
        <v/>
      </c>
      <c r="AR3082" s="6">
        <f>MONTH(AS3082)</f>
        <v/>
      </c>
    </row>
    <row r="3083">
      <c r="B3083" s="6">
        <f>C3083&amp;D3083</f>
        <v/>
      </c>
      <c r="C3083" s="6">
        <f>YEAR(E3083)</f>
        <v/>
      </c>
      <c r="D3083" s="6">
        <f>MONTH(E3083)</f>
        <v/>
      </c>
      <c r="J3083" s="6">
        <f>K3083&amp;L3083</f>
        <v/>
      </c>
      <c r="K3083" s="6">
        <f>YEAR(M3083)</f>
        <v/>
      </c>
      <c r="L3083" s="6">
        <f>MONTH(M3083)</f>
        <v/>
      </c>
      <c r="R3083" s="6">
        <f>S3083&amp;T3083</f>
        <v/>
      </c>
      <c r="S3083" s="6">
        <f>YEAR(U3083)</f>
        <v/>
      </c>
      <c r="T3083" s="6">
        <f>MONTH(U3083)</f>
        <v/>
      </c>
      <c r="Z3083" s="6">
        <f>AA3083&amp;AB3083</f>
        <v/>
      </c>
      <c r="AA3083" s="6">
        <f>YEAR(AC3083)</f>
        <v/>
      </c>
      <c r="AB3083" s="6">
        <f>MONTH(AC3083)</f>
        <v/>
      </c>
      <c r="AH3083" s="6">
        <f>AI3083&amp;AJ3083</f>
        <v/>
      </c>
      <c r="AI3083" s="6">
        <f>YEAR(AK3083)</f>
        <v/>
      </c>
      <c r="AJ3083" s="6">
        <f>MONTH(AK3083)</f>
        <v/>
      </c>
      <c r="AK3083" s="267">
        <f>IFERROR(__xludf.DUMMYFUNCTION("""COMPUTED_VALUE"""),46190.9986111111)</f>
        <v/>
      </c>
      <c r="AL3083" s="6">
        <f>IFERROR(__xludf.DUMMYFUNCTION("""COMPUTED_VALUE"""),65800.22)</f>
        <v/>
      </c>
      <c r="AP3083" s="6">
        <f>AQ3083&amp;AR3083</f>
        <v/>
      </c>
      <c r="AQ3083" s="6">
        <f>YEAR(AS3083)</f>
        <v/>
      </c>
      <c r="AR3083" s="6">
        <f>MONTH(AS3083)</f>
        <v/>
      </c>
    </row>
    <row r="3084">
      <c r="B3084" s="6">
        <f>C3084&amp;D3084</f>
        <v/>
      </c>
      <c r="C3084" s="6">
        <f>YEAR(E3084)</f>
        <v/>
      </c>
      <c r="D3084" s="6">
        <f>MONTH(E3084)</f>
        <v/>
      </c>
      <c r="J3084" s="6">
        <f>K3084&amp;L3084</f>
        <v/>
      </c>
      <c r="K3084" s="6">
        <f>YEAR(M3084)</f>
        <v/>
      </c>
      <c r="L3084" s="6">
        <f>MONTH(M3084)</f>
        <v/>
      </c>
      <c r="R3084" s="6">
        <f>S3084&amp;T3084</f>
        <v/>
      </c>
      <c r="S3084" s="6">
        <f>YEAR(U3084)</f>
        <v/>
      </c>
      <c r="T3084" s="6">
        <f>MONTH(U3084)</f>
        <v/>
      </c>
      <c r="Z3084" s="6">
        <f>AA3084&amp;AB3084</f>
        <v/>
      </c>
      <c r="AA3084" s="6">
        <f>YEAR(AC3084)</f>
        <v/>
      </c>
      <c r="AB3084" s="6">
        <f>MONTH(AC3084)</f>
        <v/>
      </c>
      <c r="AH3084" s="6">
        <f>AI3084&amp;AJ3084</f>
        <v/>
      </c>
      <c r="AI3084" s="6">
        <f>YEAR(AK3084)</f>
        <v/>
      </c>
      <c r="AJ3084" s="6">
        <f>MONTH(AK3084)</f>
        <v/>
      </c>
      <c r="AK3084" s="267">
        <f>IFERROR(__xludf.DUMMYFUNCTION("""COMPUTED_VALUE"""),46191.9986111111)</f>
        <v/>
      </c>
      <c r="AL3084" s="6">
        <f>IFERROR(__xludf.DUMMYFUNCTION("""COMPUTED_VALUE"""),64215.05)</f>
        <v/>
      </c>
      <c r="AP3084" s="6">
        <f>AQ3084&amp;AR3084</f>
        <v/>
      </c>
      <c r="AQ3084" s="6">
        <f>YEAR(AS3084)</f>
        <v/>
      </c>
      <c r="AR3084" s="6">
        <f>MONTH(AS3084)</f>
        <v/>
      </c>
    </row>
    <row r="3085">
      <c r="B3085" s="6">
        <f>C3085&amp;D3085</f>
        <v/>
      </c>
      <c r="C3085" s="6">
        <f>YEAR(E3085)</f>
        <v/>
      </c>
      <c r="D3085" s="6">
        <f>MONTH(E3085)</f>
        <v/>
      </c>
      <c r="J3085" s="6">
        <f>K3085&amp;L3085</f>
        <v/>
      </c>
      <c r="K3085" s="6">
        <f>YEAR(M3085)</f>
        <v/>
      </c>
      <c r="L3085" s="6">
        <f>MONTH(M3085)</f>
        <v/>
      </c>
      <c r="R3085" s="6">
        <f>S3085&amp;T3085</f>
        <v/>
      </c>
      <c r="S3085" s="6">
        <f>YEAR(U3085)</f>
        <v/>
      </c>
      <c r="T3085" s="6">
        <f>MONTH(U3085)</f>
        <v/>
      </c>
      <c r="Z3085" s="6">
        <f>AA3085&amp;AB3085</f>
        <v/>
      </c>
      <c r="AA3085" s="6">
        <f>YEAR(AC3085)</f>
        <v/>
      </c>
      <c r="AB3085" s="6">
        <f>MONTH(AC3085)</f>
        <v/>
      </c>
      <c r="AH3085" s="6">
        <f>AI3085&amp;AJ3085</f>
        <v/>
      </c>
      <c r="AI3085" s="6">
        <f>YEAR(AK3085)</f>
        <v/>
      </c>
      <c r="AJ3085" s="6">
        <f>MONTH(AK3085)</f>
        <v/>
      </c>
      <c r="AK3085" s="267">
        <f>IFERROR(__xludf.DUMMYFUNCTION("""COMPUTED_VALUE"""),46192.9986111111)</f>
        <v/>
      </c>
      <c r="AL3085" s="6">
        <f>IFERROR(__xludf.DUMMYFUNCTION("""COMPUTED_VALUE"""),62702.07)</f>
        <v/>
      </c>
      <c r="AP3085" s="6">
        <f>AQ3085&amp;AR3085</f>
        <v/>
      </c>
      <c r="AQ3085" s="6">
        <f>YEAR(AS3085)</f>
        <v/>
      </c>
      <c r="AR3085" s="6">
        <f>MONTH(AS3085)</f>
        <v/>
      </c>
    </row>
    <row r="3086">
      <c r="B3086" s="6">
        <f>C3086&amp;D3086</f>
        <v/>
      </c>
      <c r="C3086" s="6">
        <f>YEAR(E3086)</f>
        <v/>
      </c>
      <c r="D3086" s="6">
        <f>MONTH(E3086)</f>
        <v/>
      </c>
      <c r="J3086" s="6">
        <f>K3086&amp;L3086</f>
        <v/>
      </c>
      <c r="K3086" s="6">
        <f>YEAR(M3086)</f>
        <v/>
      </c>
      <c r="L3086" s="6">
        <f>MONTH(M3086)</f>
        <v/>
      </c>
      <c r="R3086" s="6">
        <f>S3086&amp;T3086</f>
        <v/>
      </c>
      <c r="S3086" s="6">
        <f>YEAR(U3086)</f>
        <v/>
      </c>
      <c r="T3086" s="6">
        <f>MONTH(U3086)</f>
        <v/>
      </c>
      <c r="Z3086" s="6">
        <f>AA3086&amp;AB3086</f>
        <v/>
      </c>
      <c r="AA3086" s="6">
        <f>YEAR(AC3086)</f>
        <v/>
      </c>
      <c r="AB3086" s="6">
        <f>MONTH(AC3086)</f>
        <v/>
      </c>
      <c r="AH3086" s="6">
        <f>AI3086&amp;AJ3086</f>
        <v/>
      </c>
      <c r="AI3086" s="6">
        <f>YEAR(AK3086)</f>
        <v/>
      </c>
      <c r="AJ3086" s="6">
        <f>MONTH(AK3086)</f>
        <v/>
      </c>
      <c r="AK3086" s="267">
        <f>IFERROR(__xludf.DUMMYFUNCTION("""COMPUTED_VALUE"""),46193.9986111111)</f>
        <v/>
      </c>
      <c r="AL3086" s="6">
        <f>IFERROR(__xludf.DUMMYFUNCTION("""COMPUTED_VALUE"""),63418.16)</f>
        <v/>
      </c>
      <c r="AP3086" s="6">
        <f>AQ3086&amp;AR3086</f>
        <v/>
      </c>
      <c r="AQ3086" s="6">
        <f>YEAR(AS3086)</f>
        <v/>
      </c>
      <c r="AR3086" s="6">
        <f>MONTH(AS3086)</f>
        <v/>
      </c>
    </row>
    <row r="3087">
      <c r="B3087" s="6">
        <f>C3087&amp;D3087</f>
        <v/>
      </c>
      <c r="C3087" s="6">
        <f>YEAR(E3087)</f>
        <v/>
      </c>
      <c r="D3087" s="6">
        <f>MONTH(E3087)</f>
        <v/>
      </c>
      <c r="J3087" s="6">
        <f>K3087&amp;L3087</f>
        <v/>
      </c>
      <c r="K3087" s="6">
        <f>YEAR(M3087)</f>
        <v/>
      </c>
      <c r="L3087" s="6">
        <f>MONTH(M3087)</f>
        <v/>
      </c>
      <c r="R3087" s="6">
        <f>S3087&amp;T3087</f>
        <v/>
      </c>
      <c r="S3087" s="6">
        <f>YEAR(U3087)</f>
        <v/>
      </c>
      <c r="T3087" s="6">
        <f>MONTH(U3087)</f>
        <v/>
      </c>
      <c r="Z3087" s="6">
        <f>AA3087&amp;AB3087</f>
        <v/>
      </c>
      <c r="AA3087" s="6">
        <f>YEAR(AC3087)</f>
        <v/>
      </c>
      <c r="AB3087" s="6">
        <f>MONTH(AC3087)</f>
        <v/>
      </c>
      <c r="AH3087" s="6">
        <f>AI3087&amp;AJ3087</f>
        <v/>
      </c>
      <c r="AI3087" s="6">
        <f>YEAR(AK3087)</f>
        <v/>
      </c>
      <c r="AJ3087" s="6">
        <f>MONTH(AK3087)</f>
        <v/>
      </c>
      <c r="AK3087" s="267">
        <f>IFERROR(__xludf.DUMMYFUNCTION("""COMPUTED_VALUE"""),46194.9986111111)</f>
        <v/>
      </c>
      <c r="AL3087" s="6">
        <f>IFERROR(__xludf.DUMMYFUNCTION("""COMPUTED_VALUE"""),64339.42)</f>
        <v/>
      </c>
      <c r="AP3087" s="6">
        <f>AQ3087&amp;AR3087</f>
        <v/>
      </c>
      <c r="AQ3087" s="6">
        <f>YEAR(AS3087)</f>
        <v/>
      </c>
      <c r="AR3087" s="6">
        <f>MONTH(AS3087)</f>
        <v/>
      </c>
    </row>
    <row r="3088">
      <c r="B3088" s="6">
        <f>C3088&amp;D3088</f>
        <v/>
      </c>
      <c r="C3088" s="6">
        <f>YEAR(E3088)</f>
        <v/>
      </c>
      <c r="D3088" s="6">
        <f>MONTH(E3088)</f>
        <v/>
      </c>
      <c r="J3088" s="6">
        <f>K3088&amp;L3088</f>
        <v/>
      </c>
      <c r="K3088" s="6">
        <f>YEAR(M3088)</f>
        <v/>
      </c>
      <c r="L3088" s="6">
        <f>MONTH(M3088)</f>
        <v/>
      </c>
      <c r="R3088" s="6">
        <f>S3088&amp;T3088</f>
        <v/>
      </c>
      <c r="S3088" s="6">
        <f>YEAR(U3088)</f>
        <v/>
      </c>
      <c r="T3088" s="6">
        <f>MONTH(U3088)</f>
        <v/>
      </c>
      <c r="Z3088" s="6">
        <f>AA3088&amp;AB3088</f>
        <v/>
      </c>
      <c r="AA3088" s="6">
        <f>YEAR(AC3088)</f>
        <v/>
      </c>
      <c r="AB3088" s="6">
        <f>MONTH(AC3088)</f>
        <v/>
      </c>
      <c r="AH3088" s="6">
        <f>AI3088&amp;AJ3088</f>
        <v/>
      </c>
      <c r="AI3088" s="6">
        <f>YEAR(AK3088)</f>
        <v/>
      </c>
      <c r="AJ3088" s="6">
        <f>MONTH(AK3088)</f>
        <v/>
      </c>
      <c r="AK3088" s="267">
        <f>IFERROR(__xludf.DUMMYFUNCTION("""COMPUTED_VALUE"""),46195.9986111111)</f>
        <v/>
      </c>
      <c r="AL3088" s="6">
        <f>IFERROR(__xludf.DUMMYFUNCTION("""COMPUTED_VALUE"""),63886.56)</f>
        <v/>
      </c>
      <c r="AP3088" s="6">
        <f>AQ3088&amp;AR3088</f>
        <v/>
      </c>
      <c r="AQ3088" s="6">
        <f>YEAR(AS3088)</f>
        <v/>
      </c>
      <c r="AR3088" s="6">
        <f>MONTH(AS3088)</f>
        <v/>
      </c>
    </row>
    <row r="3089">
      <c r="B3089" s="6">
        <f>C3089&amp;D3089</f>
        <v/>
      </c>
      <c r="C3089" s="6">
        <f>YEAR(E3089)</f>
        <v/>
      </c>
      <c r="D3089" s="6">
        <f>MONTH(E3089)</f>
        <v/>
      </c>
      <c r="J3089" s="6">
        <f>K3089&amp;L3089</f>
        <v/>
      </c>
      <c r="K3089" s="6">
        <f>YEAR(M3089)</f>
        <v/>
      </c>
      <c r="L3089" s="6">
        <f>MONTH(M3089)</f>
        <v/>
      </c>
      <c r="R3089" s="6">
        <f>S3089&amp;T3089</f>
        <v/>
      </c>
      <c r="S3089" s="6">
        <f>YEAR(U3089)</f>
        <v/>
      </c>
      <c r="T3089" s="6">
        <f>MONTH(U3089)</f>
        <v/>
      </c>
      <c r="Z3089" s="6">
        <f>AA3089&amp;AB3089</f>
        <v/>
      </c>
      <c r="AA3089" s="6">
        <f>YEAR(AC3089)</f>
        <v/>
      </c>
      <c r="AB3089" s="6">
        <f>MONTH(AC3089)</f>
        <v/>
      </c>
      <c r="AH3089" s="6">
        <f>AI3089&amp;AJ3089</f>
        <v/>
      </c>
      <c r="AI3089" s="6">
        <f>YEAR(AK3089)</f>
        <v/>
      </c>
      <c r="AJ3089" s="6">
        <f>MONTH(AK3089)</f>
        <v/>
      </c>
      <c r="AK3089" s="267">
        <f>IFERROR(__xludf.DUMMYFUNCTION("""COMPUTED_VALUE"""),46196.9986111111)</f>
        <v/>
      </c>
      <c r="AL3089" s="6">
        <f>IFERROR(__xludf.DUMMYFUNCTION("""COMPUTED_VALUE"""),63987.82)</f>
        <v/>
      </c>
      <c r="AP3089" s="6">
        <f>AQ3089&amp;AR3089</f>
        <v/>
      </c>
      <c r="AQ3089" s="6">
        <f>YEAR(AS3089)</f>
        <v/>
      </c>
      <c r="AR3089" s="6">
        <f>MONTH(AS3089)</f>
        <v/>
      </c>
    </row>
    <row r="3090">
      <c r="B3090" s="6">
        <f>C3090&amp;D3090</f>
        <v/>
      </c>
      <c r="C3090" s="6">
        <f>YEAR(E3090)</f>
        <v/>
      </c>
      <c r="D3090" s="6">
        <f>MONTH(E3090)</f>
        <v/>
      </c>
      <c r="J3090" s="6">
        <f>K3090&amp;L3090</f>
        <v/>
      </c>
      <c r="K3090" s="6">
        <f>YEAR(M3090)</f>
        <v/>
      </c>
      <c r="L3090" s="6">
        <f>MONTH(M3090)</f>
        <v/>
      </c>
      <c r="R3090" s="6">
        <f>S3090&amp;T3090</f>
        <v/>
      </c>
      <c r="S3090" s="6">
        <f>YEAR(U3090)</f>
        <v/>
      </c>
      <c r="T3090" s="6">
        <f>MONTH(U3090)</f>
        <v/>
      </c>
      <c r="Z3090" s="6">
        <f>AA3090&amp;AB3090</f>
        <v/>
      </c>
      <c r="AA3090" s="6">
        <f>YEAR(AC3090)</f>
        <v/>
      </c>
      <c r="AB3090" s="6">
        <f>MONTH(AC3090)</f>
        <v/>
      </c>
      <c r="AH3090" s="6">
        <f>AI3090&amp;AJ3090</f>
        <v/>
      </c>
      <c r="AI3090" s="6">
        <f>YEAR(AK3090)</f>
        <v/>
      </c>
      <c r="AJ3090" s="6">
        <f>MONTH(AK3090)</f>
        <v/>
      </c>
      <c r="AK3090" s="267">
        <f>IFERROR(__xludf.DUMMYFUNCTION("""COMPUTED_VALUE"""),46197.9986111111)</f>
        <v/>
      </c>
      <c r="AL3090" s="6">
        <f>IFERROR(__xludf.DUMMYFUNCTION("""COMPUTED_VALUE"""),62649.7)</f>
        <v/>
      </c>
      <c r="AP3090" s="6">
        <f>AQ3090&amp;AR3090</f>
        <v/>
      </c>
      <c r="AQ3090" s="6">
        <f>YEAR(AS3090)</f>
        <v/>
      </c>
      <c r="AR3090" s="6">
        <f>MONTH(AS3090)</f>
        <v/>
      </c>
    </row>
    <row r="3091">
      <c r="B3091" s="6">
        <f>C3091&amp;D3091</f>
        <v/>
      </c>
      <c r="C3091" s="6">
        <f>YEAR(E3091)</f>
        <v/>
      </c>
      <c r="D3091" s="6">
        <f>MONTH(E3091)</f>
        <v/>
      </c>
      <c r="J3091" s="6">
        <f>K3091&amp;L3091</f>
        <v/>
      </c>
      <c r="K3091" s="6">
        <f>YEAR(M3091)</f>
        <v/>
      </c>
      <c r="L3091" s="6">
        <f>MONTH(M3091)</f>
        <v/>
      </c>
      <c r="R3091" s="6">
        <f>S3091&amp;T3091</f>
        <v/>
      </c>
      <c r="S3091" s="6">
        <f>YEAR(U3091)</f>
        <v/>
      </c>
      <c r="T3091" s="6">
        <f>MONTH(U3091)</f>
        <v/>
      </c>
      <c r="Z3091" s="6">
        <f>AA3091&amp;AB3091</f>
        <v/>
      </c>
      <c r="AA3091" s="6">
        <f>YEAR(AC3091)</f>
        <v/>
      </c>
      <c r="AB3091" s="6">
        <f>MONTH(AC3091)</f>
        <v/>
      </c>
      <c r="AH3091" s="6">
        <f>AI3091&amp;AJ3091</f>
        <v/>
      </c>
      <c r="AI3091" s="6">
        <f>YEAR(AK3091)</f>
        <v/>
      </c>
      <c r="AJ3091" s="6">
        <f>MONTH(AK3091)</f>
        <v/>
      </c>
      <c r="AK3091" s="267">
        <f>IFERROR(__xludf.DUMMYFUNCTION("""COMPUTED_VALUE"""),46198.9986111111)</f>
        <v/>
      </c>
      <c r="AL3091" s="6">
        <f>IFERROR(__xludf.DUMMYFUNCTION("""COMPUTED_VALUE"""),60795.28)</f>
        <v/>
      </c>
      <c r="AP3091" s="6">
        <f>AQ3091&amp;AR3091</f>
        <v/>
      </c>
      <c r="AQ3091" s="6">
        <f>YEAR(AS3091)</f>
        <v/>
      </c>
      <c r="AR3091" s="6">
        <f>MONTH(AS3091)</f>
        <v/>
      </c>
    </row>
    <row r="3092">
      <c r="B3092" s="6">
        <f>C3092&amp;D3092</f>
        <v/>
      </c>
      <c r="C3092" s="6">
        <f>YEAR(E3092)</f>
        <v/>
      </c>
      <c r="D3092" s="6">
        <f>MONTH(E3092)</f>
        <v/>
      </c>
      <c r="J3092" s="6">
        <f>K3092&amp;L3092</f>
        <v/>
      </c>
      <c r="K3092" s="6">
        <f>YEAR(M3092)</f>
        <v/>
      </c>
      <c r="L3092" s="6">
        <f>MONTH(M3092)</f>
        <v/>
      </c>
      <c r="R3092" s="6">
        <f>S3092&amp;T3092</f>
        <v/>
      </c>
      <c r="S3092" s="6">
        <f>YEAR(U3092)</f>
        <v/>
      </c>
      <c r="T3092" s="6">
        <f>MONTH(U3092)</f>
        <v/>
      </c>
      <c r="Z3092" s="6">
        <f>AA3092&amp;AB3092</f>
        <v/>
      </c>
      <c r="AA3092" s="6">
        <f>YEAR(AC3092)</f>
        <v/>
      </c>
      <c r="AB3092" s="6">
        <f>MONTH(AC3092)</f>
        <v/>
      </c>
      <c r="AH3092" s="6">
        <f>AI3092&amp;AJ3092</f>
        <v/>
      </c>
      <c r="AI3092" s="6">
        <f>YEAR(AK3092)</f>
        <v/>
      </c>
      <c r="AJ3092" s="6">
        <f>MONTH(AK3092)</f>
        <v/>
      </c>
      <c r="AK3092" s="267">
        <f>IFERROR(__xludf.DUMMYFUNCTION("""COMPUTED_VALUE"""),46199.9986111111)</f>
        <v/>
      </c>
      <c r="AL3092" s="6">
        <f>IFERROR(__xludf.DUMMYFUNCTION("""COMPUTED_VALUE"""),59952.33)</f>
        <v/>
      </c>
      <c r="AP3092" s="6">
        <f>AQ3092&amp;AR3092</f>
        <v/>
      </c>
      <c r="AQ3092" s="6">
        <f>YEAR(AS3092)</f>
        <v/>
      </c>
      <c r="AR3092" s="6">
        <f>MONTH(AS3092)</f>
        <v/>
      </c>
    </row>
    <row r="3093">
      <c r="B3093" s="6">
        <f>C3093&amp;D3093</f>
        <v/>
      </c>
      <c r="C3093" s="6">
        <f>YEAR(E3093)</f>
        <v/>
      </c>
      <c r="D3093" s="6">
        <f>MONTH(E3093)</f>
        <v/>
      </c>
      <c r="J3093" s="6">
        <f>K3093&amp;L3093</f>
        <v/>
      </c>
      <c r="K3093" s="6">
        <f>YEAR(M3093)</f>
        <v/>
      </c>
      <c r="L3093" s="6">
        <f>MONTH(M3093)</f>
        <v/>
      </c>
      <c r="R3093" s="6">
        <f>S3093&amp;T3093</f>
        <v/>
      </c>
      <c r="S3093" s="6">
        <f>YEAR(U3093)</f>
        <v/>
      </c>
      <c r="T3093" s="6">
        <f>MONTH(U3093)</f>
        <v/>
      </c>
      <c r="Z3093" s="6">
        <f>AA3093&amp;AB3093</f>
        <v/>
      </c>
      <c r="AA3093" s="6">
        <f>YEAR(AC3093)</f>
        <v/>
      </c>
      <c r="AB3093" s="6">
        <f>MONTH(AC3093)</f>
        <v/>
      </c>
      <c r="AH3093" s="6">
        <f>AI3093&amp;AJ3093</f>
        <v/>
      </c>
      <c r="AI3093" s="6">
        <f>YEAR(AK3093)</f>
        <v/>
      </c>
      <c r="AJ3093" s="6">
        <f>MONTH(AK3093)</f>
        <v/>
      </c>
      <c r="AK3093" s="267">
        <f>IFERROR(__xludf.DUMMYFUNCTION("""COMPUTED_VALUE"""),46200.9986111111)</f>
        <v/>
      </c>
      <c r="AL3093" s="6">
        <f>IFERROR(__xludf.DUMMYFUNCTION("""COMPUTED_VALUE"""),60211.57)</f>
        <v/>
      </c>
      <c r="AP3093" s="6">
        <f>AQ3093&amp;AR3093</f>
        <v/>
      </c>
      <c r="AQ3093" s="6">
        <f>YEAR(AS3093)</f>
        <v/>
      </c>
      <c r="AR3093" s="6">
        <f>MONTH(AS3093)</f>
        <v/>
      </c>
    </row>
    <row r="3094">
      <c r="B3094" s="6">
        <f>C3094&amp;D3094</f>
        <v/>
      </c>
      <c r="C3094" s="6">
        <f>YEAR(E3094)</f>
        <v/>
      </c>
      <c r="D3094" s="6">
        <f>MONTH(E3094)</f>
        <v/>
      </c>
      <c r="J3094" s="6">
        <f>K3094&amp;L3094</f>
        <v/>
      </c>
      <c r="K3094" s="6">
        <f>YEAR(M3094)</f>
        <v/>
      </c>
      <c r="L3094" s="6">
        <f>MONTH(M3094)</f>
        <v/>
      </c>
      <c r="R3094" s="6">
        <f>S3094&amp;T3094</f>
        <v/>
      </c>
      <c r="S3094" s="6">
        <f>YEAR(U3094)</f>
        <v/>
      </c>
      <c r="T3094" s="6">
        <f>MONTH(U3094)</f>
        <v/>
      </c>
      <c r="Z3094" s="6">
        <f>AA3094&amp;AB3094</f>
        <v/>
      </c>
      <c r="AA3094" s="6">
        <f>YEAR(AC3094)</f>
        <v/>
      </c>
      <c r="AB3094" s="6">
        <f>MONTH(AC3094)</f>
        <v/>
      </c>
      <c r="AH3094" s="6">
        <f>AI3094&amp;AJ3094</f>
        <v/>
      </c>
      <c r="AI3094" s="6">
        <f>YEAR(AK3094)</f>
        <v/>
      </c>
      <c r="AJ3094" s="6">
        <f>MONTH(AK3094)</f>
        <v/>
      </c>
      <c r="AK3094" s="267">
        <f>IFERROR(__xludf.DUMMYFUNCTION("""COMPUTED_VALUE"""),46201.9986111111)</f>
        <v/>
      </c>
      <c r="AL3094" s="6">
        <f>IFERROR(__xludf.DUMMYFUNCTION("""COMPUTED_VALUE"""),60107.97)</f>
        <v/>
      </c>
      <c r="AP3094" s="6">
        <f>AQ3094&amp;AR3094</f>
        <v/>
      </c>
      <c r="AQ3094" s="6">
        <f>YEAR(AS3094)</f>
        <v/>
      </c>
      <c r="AR3094" s="6">
        <f>MONTH(AS3094)</f>
        <v/>
      </c>
    </row>
    <row r="3095">
      <c r="B3095" s="6">
        <f>C3095&amp;D3095</f>
        <v/>
      </c>
      <c r="C3095" s="6">
        <f>YEAR(E3095)</f>
        <v/>
      </c>
      <c r="D3095" s="6">
        <f>MONTH(E3095)</f>
        <v/>
      </c>
      <c r="J3095" s="6">
        <f>K3095&amp;L3095</f>
        <v/>
      </c>
      <c r="K3095" s="6">
        <f>YEAR(M3095)</f>
        <v/>
      </c>
      <c r="L3095" s="6">
        <f>MONTH(M3095)</f>
        <v/>
      </c>
      <c r="R3095" s="6">
        <f>S3095&amp;T3095</f>
        <v/>
      </c>
      <c r="S3095" s="6">
        <f>YEAR(U3095)</f>
        <v/>
      </c>
      <c r="T3095" s="6">
        <f>MONTH(U3095)</f>
        <v/>
      </c>
      <c r="Z3095" s="6">
        <f>AA3095&amp;AB3095</f>
        <v/>
      </c>
      <c r="AA3095" s="6">
        <f>YEAR(AC3095)</f>
        <v/>
      </c>
      <c r="AB3095" s="6">
        <f>MONTH(AC3095)</f>
        <v/>
      </c>
      <c r="AH3095" s="6">
        <f>AI3095&amp;AJ3095</f>
        <v/>
      </c>
      <c r="AI3095" s="6">
        <f>YEAR(AK3095)</f>
        <v/>
      </c>
      <c r="AJ3095" s="6">
        <f>MONTH(AK3095)</f>
        <v/>
      </c>
      <c r="AK3095" s="267">
        <f>IFERROR(__xludf.DUMMYFUNCTION("""COMPUTED_VALUE"""),46202.9986111111)</f>
        <v/>
      </c>
      <c r="AL3095" s="6">
        <f>IFERROR(__xludf.DUMMYFUNCTION("""COMPUTED_VALUE"""),59942.83)</f>
        <v/>
      </c>
      <c r="AP3095" s="6">
        <f>AQ3095&amp;AR3095</f>
        <v/>
      </c>
      <c r="AQ3095" s="6">
        <f>YEAR(AS3095)</f>
        <v/>
      </c>
      <c r="AR3095" s="6">
        <f>MONTH(AS3095)</f>
        <v/>
      </c>
    </row>
    <row r="3096">
      <c r="B3096" s="6">
        <f>C3096&amp;D3096</f>
        <v/>
      </c>
      <c r="C3096" s="6">
        <f>YEAR(E3096)</f>
        <v/>
      </c>
      <c r="D3096" s="6">
        <f>MONTH(E3096)</f>
        <v/>
      </c>
      <c r="J3096" s="6">
        <f>K3096&amp;L3096</f>
        <v/>
      </c>
      <c r="K3096" s="6">
        <f>YEAR(M3096)</f>
        <v/>
      </c>
      <c r="L3096" s="6">
        <f>MONTH(M3096)</f>
        <v/>
      </c>
      <c r="R3096" s="6">
        <f>S3096&amp;T3096</f>
        <v/>
      </c>
      <c r="S3096" s="6">
        <f>YEAR(U3096)</f>
        <v/>
      </c>
      <c r="T3096" s="6">
        <f>MONTH(U3096)</f>
        <v/>
      </c>
      <c r="Z3096" s="6">
        <f>AA3096&amp;AB3096</f>
        <v/>
      </c>
      <c r="AA3096" s="6">
        <f>YEAR(AC3096)</f>
        <v/>
      </c>
      <c r="AB3096" s="6">
        <f>MONTH(AC3096)</f>
        <v/>
      </c>
      <c r="AH3096" s="6">
        <f>AI3096&amp;AJ3096</f>
        <v/>
      </c>
      <c r="AI3096" s="6">
        <f>YEAR(AK3096)</f>
        <v/>
      </c>
      <c r="AJ3096" s="6">
        <f>MONTH(AK3096)</f>
        <v/>
      </c>
      <c r="AK3096" s="267">
        <f>IFERROR(__xludf.DUMMYFUNCTION("""COMPUTED_VALUE"""),46203.9986111111)</f>
        <v/>
      </c>
      <c r="AL3096" s="6">
        <f>IFERROR(__xludf.DUMMYFUNCTION("""COMPUTED_VALUE"""),59513.99)</f>
        <v/>
      </c>
      <c r="AP3096" s="6">
        <f>AQ3096&amp;AR3096</f>
        <v/>
      </c>
      <c r="AQ3096" s="6">
        <f>YEAR(AS3096)</f>
        <v/>
      </c>
      <c r="AR3096" s="6">
        <f>MONTH(AS3096)</f>
        <v/>
      </c>
    </row>
    <row r="3097">
      <c r="B3097" s="6">
        <f>C3097&amp;D3097</f>
        <v/>
      </c>
      <c r="C3097" s="6">
        <f>YEAR(E3097)</f>
        <v/>
      </c>
      <c r="D3097" s="6">
        <f>MONTH(E3097)</f>
        <v/>
      </c>
      <c r="J3097" s="6">
        <f>K3097&amp;L3097</f>
        <v/>
      </c>
      <c r="K3097" s="6">
        <f>YEAR(M3097)</f>
        <v/>
      </c>
      <c r="L3097" s="6">
        <f>MONTH(M3097)</f>
        <v/>
      </c>
      <c r="R3097" s="6">
        <f>S3097&amp;T3097</f>
        <v/>
      </c>
      <c r="S3097" s="6">
        <f>YEAR(U3097)</f>
        <v/>
      </c>
      <c r="T3097" s="6">
        <f>MONTH(U3097)</f>
        <v/>
      </c>
      <c r="Z3097" s="6">
        <f>AA3097&amp;AB3097</f>
        <v/>
      </c>
      <c r="AA3097" s="6">
        <f>YEAR(AC3097)</f>
        <v/>
      </c>
      <c r="AB3097" s="6">
        <f>MONTH(AC3097)</f>
        <v/>
      </c>
      <c r="AH3097" s="6">
        <f>AI3097&amp;AJ3097</f>
        <v/>
      </c>
      <c r="AI3097" s="6">
        <f>YEAR(AK3097)</f>
        <v/>
      </c>
      <c r="AJ3097" s="6">
        <f>MONTH(AK3097)</f>
        <v/>
      </c>
      <c r="AK3097" s="267">
        <f>IFERROR(__xludf.DUMMYFUNCTION("""COMPUTED_VALUE"""),46204.9986111111)</f>
        <v/>
      </c>
      <c r="AL3097" s="6">
        <f>IFERROR(__xludf.DUMMYFUNCTION("""COMPUTED_VALUE"""),59101.49)</f>
        <v/>
      </c>
      <c r="AP3097" s="6">
        <f>AQ3097&amp;AR3097</f>
        <v/>
      </c>
      <c r="AQ3097" s="6">
        <f>YEAR(AS3097)</f>
        <v/>
      </c>
      <c r="AR3097" s="6">
        <f>MONTH(AS3097)</f>
        <v/>
      </c>
    </row>
    <row r="3098">
      <c r="B3098" s="6">
        <f>C3098&amp;D3098</f>
        <v/>
      </c>
      <c r="C3098" s="6">
        <f>YEAR(E3098)</f>
        <v/>
      </c>
      <c r="D3098" s="6">
        <f>MONTH(E3098)</f>
        <v/>
      </c>
      <c r="J3098" s="6">
        <f>K3098&amp;L3098</f>
        <v/>
      </c>
      <c r="K3098" s="6">
        <f>YEAR(M3098)</f>
        <v/>
      </c>
      <c r="L3098" s="6">
        <f>MONTH(M3098)</f>
        <v/>
      </c>
      <c r="R3098" s="6">
        <f>S3098&amp;T3098</f>
        <v/>
      </c>
      <c r="S3098" s="6">
        <f>YEAR(U3098)</f>
        <v/>
      </c>
      <c r="T3098" s="6">
        <f>MONTH(U3098)</f>
        <v/>
      </c>
      <c r="Z3098" s="6">
        <f>AA3098&amp;AB3098</f>
        <v/>
      </c>
      <c r="AA3098" s="6">
        <f>YEAR(AC3098)</f>
        <v/>
      </c>
      <c r="AB3098" s="6">
        <f>MONTH(AC3098)</f>
        <v/>
      </c>
      <c r="AH3098" s="6">
        <f>AI3098&amp;AJ3098</f>
        <v/>
      </c>
      <c r="AI3098" s="6">
        <f>YEAR(AK3098)</f>
        <v/>
      </c>
      <c r="AJ3098" s="6">
        <f>MONTH(AK3098)</f>
        <v/>
      </c>
      <c r="AK3098" s="267">
        <f>IFERROR(__xludf.DUMMYFUNCTION("""COMPUTED_VALUE"""),46205.9986111111)</f>
        <v/>
      </c>
      <c r="AL3098" s="6">
        <f>IFERROR(__xludf.DUMMYFUNCTION("""COMPUTED_VALUE"""),60996.8)</f>
        <v/>
      </c>
      <c r="AP3098" s="6">
        <f>AQ3098&amp;AR3098</f>
        <v/>
      </c>
      <c r="AQ3098" s="6">
        <f>YEAR(AS3098)</f>
        <v/>
      </c>
      <c r="AR3098" s="6">
        <f>MONTH(AS3098)</f>
        <v/>
      </c>
    </row>
    <row r="3099">
      <c r="B3099" s="6">
        <f>C3099&amp;D3099</f>
        <v/>
      </c>
      <c r="C3099" s="6">
        <f>YEAR(E3099)</f>
        <v/>
      </c>
      <c r="D3099" s="6">
        <f>MONTH(E3099)</f>
        <v/>
      </c>
      <c r="J3099" s="6">
        <f>K3099&amp;L3099</f>
        <v/>
      </c>
      <c r="K3099" s="6">
        <f>YEAR(M3099)</f>
        <v/>
      </c>
      <c r="L3099" s="6">
        <f>MONTH(M3099)</f>
        <v/>
      </c>
      <c r="R3099" s="6">
        <f>S3099&amp;T3099</f>
        <v/>
      </c>
      <c r="S3099" s="6">
        <f>YEAR(U3099)</f>
        <v/>
      </c>
      <c r="T3099" s="6">
        <f>MONTH(U3099)</f>
        <v/>
      </c>
      <c r="Z3099" s="6">
        <f>AA3099&amp;AB3099</f>
        <v/>
      </c>
      <c r="AA3099" s="6">
        <f>YEAR(AC3099)</f>
        <v/>
      </c>
      <c r="AB3099" s="6">
        <f>MONTH(AC3099)</f>
        <v/>
      </c>
      <c r="AH3099" s="6">
        <f>AI3099&amp;AJ3099</f>
        <v/>
      </c>
      <c r="AI3099" s="6">
        <f>YEAR(AK3099)</f>
        <v/>
      </c>
      <c r="AJ3099" s="6">
        <f>MONTH(AK3099)</f>
        <v/>
      </c>
      <c r="AK3099" s="267">
        <f>IFERROR(__xludf.DUMMYFUNCTION("""COMPUTED_VALUE"""),46206.9986111111)</f>
        <v/>
      </c>
      <c r="AL3099" s="6">
        <f>IFERROR(__xludf.DUMMYFUNCTION("""COMPUTED_VALUE"""),61350.93)</f>
        <v/>
      </c>
      <c r="AP3099" s="6">
        <f>AQ3099&amp;AR3099</f>
        <v/>
      </c>
      <c r="AQ3099" s="6">
        <f>YEAR(AS3099)</f>
        <v/>
      </c>
      <c r="AR3099" s="6">
        <f>MONTH(AS3099)</f>
        <v/>
      </c>
    </row>
    <row r="3100">
      <c r="B3100" s="6">
        <f>C3100&amp;D3100</f>
        <v/>
      </c>
      <c r="C3100" s="6">
        <f>YEAR(E3100)</f>
        <v/>
      </c>
      <c r="D3100" s="6">
        <f>MONTH(E3100)</f>
        <v/>
      </c>
      <c r="J3100" s="6">
        <f>K3100&amp;L3100</f>
        <v/>
      </c>
      <c r="K3100" s="6">
        <f>YEAR(M3100)</f>
        <v/>
      </c>
      <c r="L3100" s="6">
        <f>MONTH(M3100)</f>
        <v/>
      </c>
      <c r="R3100" s="6">
        <f>S3100&amp;T3100</f>
        <v/>
      </c>
      <c r="S3100" s="6">
        <f>YEAR(U3100)</f>
        <v/>
      </c>
      <c r="T3100" s="6">
        <f>MONTH(U3100)</f>
        <v/>
      </c>
      <c r="Z3100" s="6">
        <f>AA3100&amp;AB3100</f>
        <v/>
      </c>
      <c r="AA3100" s="6">
        <f>YEAR(AC3100)</f>
        <v/>
      </c>
      <c r="AB3100" s="6">
        <f>MONTH(AC3100)</f>
        <v/>
      </c>
      <c r="AH3100" s="6">
        <f>AI3100&amp;AJ3100</f>
        <v/>
      </c>
      <c r="AI3100" s="6">
        <f>YEAR(AK3100)</f>
        <v/>
      </c>
      <c r="AJ3100" s="6">
        <f>MONTH(AK3100)</f>
        <v/>
      </c>
      <c r="AK3100" s="267">
        <f>IFERROR(__xludf.DUMMYFUNCTION("""COMPUTED_VALUE"""),46207.9986111111)</f>
        <v/>
      </c>
      <c r="AL3100" s="6">
        <f>IFERROR(__xludf.DUMMYFUNCTION("""COMPUTED_VALUE"""),62560.55)</f>
        <v/>
      </c>
      <c r="AP3100" s="6">
        <f>AQ3100&amp;AR3100</f>
        <v/>
      </c>
      <c r="AQ3100" s="6">
        <f>YEAR(AS3100)</f>
        <v/>
      </c>
      <c r="AR3100" s="6">
        <f>MONTH(AS3100)</f>
        <v/>
      </c>
    </row>
    <row r="3101">
      <c r="B3101" s="6">
        <f>C3101&amp;D3101</f>
        <v/>
      </c>
      <c r="C3101" s="6">
        <f>YEAR(E3101)</f>
        <v/>
      </c>
      <c r="D3101" s="6">
        <f>MONTH(E3101)</f>
        <v/>
      </c>
      <c r="J3101" s="6">
        <f>K3101&amp;L3101</f>
        <v/>
      </c>
      <c r="K3101" s="6">
        <f>YEAR(M3101)</f>
        <v/>
      </c>
      <c r="L3101" s="6">
        <f>MONTH(M3101)</f>
        <v/>
      </c>
      <c r="R3101" s="6">
        <f>S3101&amp;T3101</f>
        <v/>
      </c>
      <c r="S3101" s="6">
        <f>YEAR(U3101)</f>
        <v/>
      </c>
      <c r="T3101" s="6">
        <f>MONTH(U3101)</f>
        <v/>
      </c>
      <c r="Z3101" s="6">
        <f>AA3101&amp;AB3101</f>
        <v/>
      </c>
      <c r="AA3101" s="6">
        <f>YEAR(AC3101)</f>
        <v/>
      </c>
      <c r="AB3101" s="6">
        <f>MONTH(AC3101)</f>
        <v/>
      </c>
      <c r="AH3101" s="6">
        <f>AI3101&amp;AJ3101</f>
        <v/>
      </c>
      <c r="AI3101" s="6">
        <f>YEAR(AK3101)</f>
        <v/>
      </c>
      <c r="AJ3101" s="6">
        <f>MONTH(AK3101)</f>
        <v/>
      </c>
      <c r="AK3101" s="267">
        <f>IFERROR(__xludf.DUMMYFUNCTION("""COMPUTED_VALUE"""),46208.9986111111)</f>
        <v/>
      </c>
      <c r="AL3101" s="6">
        <f>IFERROR(__xludf.DUMMYFUNCTION("""COMPUTED_VALUE"""),62711.21)</f>
        <v/>
      </c>
      <c r="AP3101" s="6">
        <f>AQ3101&amp;AR3101</f>
        <v/>
      </c>
      <c r="AQ3101" s="6">
        <f>YEAR(AS3101)</f>
        <v/>
      </c>
      <c r="AR3101" s="6">
        <f>MONTH(AS3101)</f>
        <v/>
      </c>
    </row>
    <row r="3102">
      <c r="B3102" s="6">
        <f>C3102&amp;D3102</f>
        <v/>
      </c>
      <c r="C3102" s="6">
        <f>YEAR(E3102)</f>
        <v/>
      </c>
      <c r="D3102" s="6">
        <f>MONTH(E3102)</f>
        <v/>
      </c>
      <c r="J3102" s="6">
        <f>K3102&amp;L3102</f>
        <v/>
      </c>
      <c r="K3102" s="6">
        <f>YEAR(M3102)</f>
        <v/>
      </c>
      <c r="L3102" s="6">
        <f>MONTH(M3102)</f>
        <v/>
      </c>
      <c r="R3102" s="6">
        <f>S3102&amp;T3102</f>
        <v/>
      </c>
      <c r="S3102" s="6">
        <f>YEAR(U3102)</f>
        <v/>
      </c>
      <c r="T3102" s="6">
        <f>MONTH(U3102)</f>
        <v/>
      </c>
      <c r="Z3102" s="6">
        <f>AA3102&amp;AB3102</f>
        <v/>
      </c>
      <c r="AA3102" s="6">
        <f>YEAR(AC3102)</f>
        <v/>
      </c>
      <c r="AB3102" s="6">
        <f>MONTH(AC3102)</f>
        <v/>
      </c>
      <c r="AH3102" s="6">
        <f>AI3102&amp;AJ3102</f>
        <v/>
      </c>
      <c r="AI3102" s="6">
        <f>YEAR(AK3102)</f>
        <v/>
      </c>
      <c r="AJ3102" s="6">
        <f>MONTH(AK3102)</f>
        <v/>
      </c>
      <c r="AK3102" s="267">
        <f>IFERROR(__xludf.DUMMYFUNCTION("""COMPUTED_VALUE"""),46209.9986111111)</f>
        <v/>
      </c>
      <c r="AL3102" s="6">
        <f>IFERROR(__xludf.DUMMYFUNCTION("""COMPUTED_VALUE"""),63232.34)</f>
        <v/>
      </c>
      <c r="AP3102" s="6">
        <f>AQ3102&amp;AR3102</f>
        <v/>
      </c>
      <c r="AQ3102" s="6">
        <f>YEAR(AS3102)</f>
        <v/>
      </c>
      <c r="AR3102" s="6">
        <f>MONTH(AS3102)</f>
        <v/>
      </c>
    </row>
    <row r="3103">
      <c r="B3103" s="6">
        <f>C3103&amp;D3103</f>
        <v/>
      </c>
      <c r="C3103" s="6">
        <f>YEAR(E3103)</f>
        <v/>
      </c>
      <c r="D3103" s="6">
        <f>MONTH(E3103)</f>
        <v/>
      </c>
      <c r="J3103" s="6">
        <f>K3103&amp;L3103</f>
        <v/>
      </c>
      <c r="K3103" s="6">
        <f>YEAR(M3103)</f>
        <v/>
      </c>
      <c r="L3103" s="6">
        <f>MONTH(M3103)</f>
        <v/>
      </c>
      <c r="R3103" s="6">
        <f>S3103&amp;T3103</f>
        <v/>
      </c>
      <c r="S3103" s="6">
        <f>YEAR(U3103)</f>
        <v/>
      </c>
      <c r="T3103" s="6">
        <f>MONTH(U3103)</f>
        <v/>
      </c>
      <c r="Z3103" s="6">
        <f>AA3103&amp;AB3103</f>
        <v/>
      </c>
      <c r="AA3103" s="6">
        <f>YEAR(AC3103)</f>
        <v/>
      </c>
      <c r="AB3103" s="6">
        <f>MONTH(AC3103)</f>
        <v/>
      </c>
      <c r="AH3103" s="6">
        <f>AI3103&amp;AJ3103</f>
        <v/>
      </c>
      <c r="AI3103" s="6">
        <f>YEAR(AK3103)</f>
        <v/>
      </c>
      <c r="AJ3103" s="6">
        <f>MONTH(AK3103)</f>
        <v/>
      </c>
      <c r="AK3103" s="267">
        <f>IFERROR(__xludf.DUMMYFUNCTION("""COMPUTED_VALUE"""),46210.9986111111)</f>
        <v/>
      </c>
      <c r="AL3103" s="6">
        <f>IFERROR(__xludf.DUMMYFUNCTION("""COMPUTED_VALUE"""),63140.03)</f>
        <v/>
      </c>
      <c r="AP3103" s="6">
        <f>AQ3103&amp;AR3103</f>
        <v/>
      </c>
      <c r="AQ3103" s="6">
        <f>YEAR(AS3103)</f>
        <v/>
      </c>
      <c r="AR3103" s="6">
        <f>MONTH(AS3103)</f>
        <v/>
      </c>
    </row>
    <row r="3104">
      <c r="B3104" s="6">
        <f>C3104&amp;D3104</f>
        <v/>
      </c>
      <c r="C3104" s="6">
        <f>YEAR(E3104)</f>
        <v/>
      </c>
      <c r="D3104" s="6">
        <f>MONTH(E3104)</f>
        <v/>
      </c>
      <c r="J3104" s="6">
        <f>K3104&amp;L3104</f>
        <v/>
      </c>
      <c r="K3104" s="6">
        <f>YEAR(M3104)</f>
        <v/>
      </c>
      <c r="L3104" s="6">
        <f>MONTH(M3104)</f>
        <v/>
      </c>
      <c r="R3104" s="6">
        <f>S3104&amp;T3104</f>
        <v/>
      </c>
      <c r="S3104" s="6">
        <f>YEAR(U3104)</f>
        <v/>
      </c>
      <c r="T3104" s="6">
        <f>MONTH(U3104)</f>
        <v/>
      </c>
      <c r="Z3104" s="6">
        <f>AA3104&amp;AB3104</f>
        <v/>
      </c>
      <c r="AA3104" s="6">
        <f>YEAR(AC3104)</f>
        <v/>
      </c>
      <c r="AB3104" s="6">
        <f>MONTH(AC3104)</f>
        <v/>
      </c>
      <c r="AH3104" s="6">
        <f>AI3104&amp;AJ3104</f>
        <v/>
      </c>
      <c r="AI3104" s="6">
        <f>YEAR(AK3104)</f>
        <v/>
      </c>
      <c r="AJ3104" s="6">
        <f>MONTH(AK3104)</f>
        <v/>
      </c>
      <c r="AK3104" s="267">
        <f>IFERROR(__xludf.DUMMYFUNCTION("""COMPUTED_VALUE"""),46211.9986111111)</f>
        <v/>
      </c>
      <c r="AL3104" s="6">
        <f>IFERROR(__xludf.DUMMYFUNCTION("""COMPUTED_VALUE"""),62718.59)</f>
        <v/>
      </c>
      <c r="AP3104" s="6">
        <f>AQ3104&amp;AR3104</f>
        <v/>
      </c>
      <c r="AQ3104" s="6">
        <f>YEAR(AS3104)</f>
        <v/>
      </c>
      <c r="AR3104" s="6">
        <f>MONTH(AS3104)</f>
        <v/>
      </c>
    </row>
    <row r="3105">
      <c r="B3105" s="6">
        <f>C3105&amp;D3105</f>
        <v/>
      </c>
      <c r="C3105" s="6">
        <f>YEAR(E3105)</f>
        <v/>
      </c>
      <c r="D3105" s="6">
        <f>MONTH(E3105)</f>
        <v/>
      </c>
      <c r="J3105" s="6">
        <f>K3105&amp;L3105</f>
        <v/>
      </c>
      <c r="K3105" s="6">
        <f>YEAR(M3105)</f>
        <v/>
      </c>
      <c r="L3105" s="6">
        <f>MONTH(M3105)</f>
        <v/>
      </c>
      <c r="R3105" s="6">
        <f>S3105&amp;T3105</f>
        <v/>
      </c>
      <c r="S3105" s="6">
        <f>YEAR(U3105)</f>
        <v/>
      </c>
      <c r="T3105" s="6">
        <f>MONTH(U3105)</f>
        <v/>
      </c>
      <c r="Z3105" s="6">
        <f>AA3105&amp;AB3105</f>
        <v/>
      </c>
      <c r="AA3105" s="6">
        <f>YEAR(AC3105)</f>
        <v/>
      </c>
      <c r="AB3105" s="6">
        <f>MONTH(AC3105)</f>
        <v/>
      </c>
      <c r="AH3105" s="6">
        <f>AI3105&amp;AJ3105</f>
        <v/>
      </c>
      <c r="AI3105" s="6">
        <f>YEAR(AK3105)</f>
        <v/>
      </c>
      <c r="AJ3105" s="6">
        <f>MONTH(AK3105)</f>
        <v/>
      </c>
      <c r="AK3105" s="267">
        <f>IFERROR(__xludf.DUMMYFUNCTION("""COMPUTED_VALUE"""),46212.9986111111)</f>
        <v/>
      </c>
      <c r="AL3105" s="6">
        <f>IFERROR(__xludf.DUMMYFUNCTION("""COMPUTED_VALUE"""),61913.99)</f>
        <v/>
      </c>
      <c r="AP3105" s="6">
        <f>AQ3105&amp;AR3105</f>
        <v/>
      </c>
      <c r="AQ3105" s="6">
        <f>YEAR(AS3105)</f>
        <v/>
      </c>
      <c r="AR3105" s="6">
        <f>MONTH(AS3105)</f>
        <v/>
      </c>
    </row>
    <row r="3106">
      <c r="B3106" s="6">
        <f>C3106&amp;D3106</f>
        <v/>
      </c>
      <c r="C3106" s="6">
        <f>YEAR(E3106)</f>
        <v/>
      </c>
      <c r="D3106" s="6">
        <f>MONTH(E3106)</f>
        <v/>
      </c>
      <c r="J3106" s="6">
        <f>K3106&amp;L3106</f>
        <v/>
      </c>
      <c r="K3106" s="6">
        <f>YEAR(M3106)</f>
        <v/>
      </c>
      <c r="L3106" s="6">
        <f>MONTH(M3106)</f>
        <v/>
      </c>
      <c r="R3106" s="6">
        <f>S3106&amp;T3106</f>
        <v/>
      </c>
      <c r="S3106" s="6">
        <f>YEAR(U3106)</f>
        <v/>
      </c>
      <c r="T3106" s="6">
        <f>MONTH(U3106)</f>
        <v/>
      </c>
      <c r="Z3106" s="6">
        <f>AA3106&amp;AB3106</f>
        <v/>
      </c>
      <c r="AA3106" s="6">
        <f>YEAR(AC3106)</f>
        <v/>
      </c>
      <c r="AB3106" s="6">
        <f>MONTH(AC3106)</f>
        <v/>
      </c>
      <c r="AH3106" s="6">
        <f>AI3106&amp;AJ3106</f>
        <v/>
      </c>
      <c r="AI3106" s="6">
        <f>YEAR(AK3106)</f>
        <v/>
      </c>
      <c r="AJ3106" s="6">
        <f>MONTH(AK3106)</f>
        <v/>
      </c>
      <c r="AK3106" s="267">
        <f>IFERROR(__xludf.DUMMYFUNCTION("""COMPUTED_VALUE"""),46213.9986111111)</f>
        <v/>
      </c>
      <c r="AL3106" s="6">
        <f>IFERROR(__xludf.DUMMYFUNCTION("""COMPUTED_VALUE"""),63899.99)</f>
        <v/>
      </c>
      <c r="AP3106" s="6">
        <f>AQ3106&amp;AR3106</f>
        <v/>
      </c>
      <c r="AQ3106" s="6">
        <f>YEAR(AS3106)</f>
        <v/>
      </c>
      <c r="AR3106" s="6">
        <f>MONTH(AS3106)</f>
        <v/>
      </c>
    </row>
    <row r="3107">
      <c r="B3107" s="6">
        <f>C3107&amp;D3107</f>
        <v/>
      </c>
      <c r="C3107" s="6">
        <f>YEAR(E3107)</f>
        <v/>
      </c>
      <c r="D3107" s="6">
        <f>MONTH(E3107)</f>
        <v/>
      </c>
      <c r="J3107" s="6">
        <f>K3107&amp;L3107</f>
        <v/>
      </c>
      <c r="K3107" s="6">
        <f>YEAR(M3107)</f>
        <v/>
      </c>
      <c r="L3107" s="6">
        <f>MONTH(M3107)</f>
        <v/>
      </c>
      <c r="R3107" s="6">
        <f>S3107&amp;T3107</f>
        <v/>
      </c>
      <c r="S3107" s="6">
        <f>YEAR(U3107)</f>
        <v/>
      </c>
      <c r="T3107" s="6">
        <f>MONTH(U3107)</f>
        <v/>
      </c>
      <c r="Z3107" s="6">
        <f>AA3107&amp;AB3107</f>
        <v/>
      </c>
      <c r="AA3107" s="6">
        <f>YEAR(AC3107)</f>
        <v/>
      </c>
      <c r="AB3107" s="6">
        <f>MONTH(AC3107)</f>
        <v/>
      </c>
      <c r="AH3107" s="6">
        <f>AI3107&amp;AJ3107</f>
        <v/>
      </c>
      <c r="AI3107" s="6">
        <f>YEAR(AK3107)</f>
        <v/>
      </c>
      <c r="AJ3107" s="6">
        <f>MONTH(AK3107)</f>
        <v/>
      </c>
      <c r="AK3107" s="267">
        <f>IFERROR(__xludf.DUMMYFUNCTION("""COMPUTED_VALUE"""),46214.9986111111)</f>
        <v/>
      </c>
      <c r="AL3107" s="6">
        <f>IFERROR(__xludf.DUMMYFUNCTION("""COMPUTED_VALUE"""),64107.68)</f>
        <v/>
      </c>
      <c r="AP3107" s="6">
        <f>AQ3107&amp;AR3107</f>
        <v/>
      </c>
      <c r="AQ3107" s="6">
        <f>YEAR(AS3107)</f>
        <v/>
      </c>
      <c r="AR3107" s="6">
        <f>MONTH(AS3107)</f>
        <v/>
      </c>
    </row>
    <row r="3108">
      <c r="B3108" s="6">
        <f>C3108&amp;D3108</f>
        <v/>
      </c>
      <c r="C3108" s="6">
        <f>YEAR(E3108)</f>
        <v/>
      </c>
      <c r="D3108" s="6">
        <f>MONTH(E3108)</f>
        <v/>
      </c>
      <c r="J3108" s="6">
        <f>K3108&amp;L3108</f>
        <v/>
      </c>
      <c r="K3108" s="6">
        <f>YEAR(M3108)</f>
        <v/>
      </c>
      <c r="L3108" s="6">
        <f>MONTH(M3108)</f>
        <v/>
      </c>
      <c r="R3108" s="6">
        <f>S3108&amp;T3108</f>
        <v/>
      </c>
      <c r="S3108" s="6">
        <f>YEAR(U3108)</f>
        <v/>
      </c>
      <c r="T3108" s="6">
        <f>MONTH(U3108)</f>
        <v/>
      </c>
      <c r="Z3108" s="6">
        <f>AA3108&amp;AB3108</f>
        <v/>
      </c>
      <c r="AA3108" s="6">
        <f>YEAR(AC3108)</f>
        <v/>
      </c>
      <c r="AB3108" s="6">
        <f>MONTH(AC3108)</f>
        <v/>
      </c>
      <c r="AH3108" s="6">
        <f>AI3108&amp;AJ3108</f>
        <v/>
      </c>
      <c r="AI3108" s="6">
        <f>YEAR(AK3108)</f>
        <v/>
      </c>
      <c r="AJ3108" s="6">
        <f>MONTH(AK3108)</f>
        <v/>
      </c>
      <c r="AK3108" s="267">
        <f>IFERROR(__xludf.DUMMYFUNCTION("""COMPUTED_VALUE"""),46215.9986111111)</f>
        <v/>
      </c>
      <c r="AL3108" s="6">
        <f>IFERROR(__xludf.DUMMYFUNCTION("""COMPUTED_VALUE"""),64195.03)</f>
        <v/>
      </c>
      <c r="AP3108" s="6">
        <f>AQ3108&amp;AR3108</f>
        <v/>
      </c>
      <c r="AQ3108" s="6">
        <f>YEAR(AS3108)</f>
        <v/>
      </c>
      <c r="AR3108" s="6">
        <f>MONTH(AS3108)</f>
        <v/>
      </c>
    </row>
    <row r="3109">
      <c r="B3109" s="6">
        <f>C3109&amp;D3109</f>
        <v/>
      </c>
      <c r="C3109" s="6">
        <f>YEAR(E3109)</f>
        <v/>
      </c>
      <c r="D3109" s="6">
        <f>MONTH(E3109)</f>
        <v/>
      </c>
      <c r="J3109" s="6">
        <f>K3109&amp;L3109</f>
        <v/>
      </c>
      <c r="K3109" s="6">
        <f>YEAR(M3109)</f>
        <v/>
      </c>
      <c r="L3109" s="6">
        <f>MONTH(M3109)</f>
        <v/>
      </c>
      <c r="R3109" s="6">
        <f>S3109&amp;T3109</f>
        <v/>
      </c>
      <c r="S3109" s="6">
        <f>YEAR(U3109)</f>
        <v/>
      </c>
      <c r="T3109" s="6">
        <f>MONTH(U3109)</f>
        <v/>
      </c>
      <c r="Z3109" s="6">
        <f>AA3109&amp;AB3109</f>
        <v/>
      </c>
      <c r="AA3109" s="6">
        <f>YEAR(AC3109)</f>
        <v/>
      </c>
      <c r="AB3109" s="6">
        <f>MONTH(AC3109)</f>
        <v/>
      </c>
      <c r="AH3109" s="6">
        <f>AI3109&amp;AJ3109</f>
        <v/>
      </c>
      <c r="AI3109" s="6">
        <f>YEAR(AK3109)</f>
        <v/>
      </c>
      <c r="AJ3109" s="6">
        <f>MONTH(AK3109)</f>
        <v/>
      </c>
      <c r="AK3109" s="267">
        <f>IFERROR(__xludf.DUMMYFUNCTION("""COMPUTED_VALUE"""),46216.9986111111)</f>
        <v/>
      </c>
      <c r="AL3109" s="6">
        <f>IFERROR(__xludf.DUMMYFUNCTION("""COMPUTED_VALUE"""),62758.57)</f>
        <v/>
      </c>
      <c r="AP3109" s="6">
        <f>AQ3109&amp;AR3109</f>
        <v/>
      </c>
      <c r="AQ3109" s="6">
        <f>YEAR(AS3109)</f>
        <v/>
      </c>
      <c r="AR3109" s="6">
        <f>MONTH(AS3109)</f>
        <v/>
      </c>
    </row>
    <row r="3110">
      <c r="B3110" s="6">
        <f>C3110&amp;D3110</f>
        <v/>
      </c>
      <c r="C3110" s="6">
        <f>YEAR(E3110)</f>
        <v/>
      </c>
      <c r="D3110" s="6">
        <f>MONTH(E3110)</f>
        <v/>
      </c>
      <c r="J3110" s="6">
        <f>K3110&amp;L3110</f>
        <v/>
      </c>
      <c r="K3110" s="6">
        <f>YEAR(M3110)</f>
        <v/>
      </c>
      <c r="L3110" s="6">
        <f>MONTH(M3110)</f>
        <v/>
      </c>
      <c r="R3110" s="6">
        <f>S3110&amp;T3110</f>
        <v/>
      </c>
      <c r="S3110" s="6">
        <f>YEAR(U3110)</f>
        <v/>
      </c>
      <c r="T3110" s="6">
        <f>MONTH(U3110)</f>
        <v/>
      </c>
      <c r="Z3110" s="6">
        <f>AA3110&amp;AB3110</f>
        <v/>
      </c>
      <c r="AA3110" s="6">
        <f>YEAR(AC3110)</f>
        <v/>
      </c>
      <c r="AB3110" s="6">
        <f>MONTH(AC3110)</f>
        <v/>
      </c>
      <c r="AH3110" s="6">
        <f>AI3110&amp;AJ3110</f>
        <v/>
      </c>
      <c r="AI3110" s="6">
        <f>YEAR(AK3110)</f>
        <v/>
      </c>
      <c r="AJ3110" s="6">
        <f>MONTH(AK3110)</f>
        <v/>
      </c>
      <c r="AK3110" s="267">
        <f>IFERROR(__xludf.DUMMYFUNCTION("""COMPUTED_VALUE"""),46217.9986111111)</f>
        <v/>
      </c>
      <c r="AL3110" s="6">
        <f>IFERROR(__xludf.DUMMYFUNCTION("""COMPUTED_VALUE"""),62500)</f>
        <v/>
      </c>
      <c r="AP3110" s="6">
        <f>AQ3110&amp;AR3110</f>
        <v/>
      </c>
      <c r="AQ3110" s="6">
        <f>YEAR(AS3110)</f>
        <v/>
      </c>
      <c r="AR3110" s="6">
        <f>MONTH(AS3110)</f>
        <v/>
      </c>
    </row>
    <row r="3111">
      <c r="B3111" s="6">
        <f>C3111&amp;D3111</f>
        <v/>
      </c>
      <c r="C3111" s="6">
        <f>YEAR(E3111)</f>
        <v/>
      </c>
      <c r="D3111" s="6">
        <f>MONTH(E3111)</f>
        <v/>
      </c>
      <c r="J3111" s="6">
        <f>K3111&amp;L3111</f>
        <v/>
      </c>
      <c r="K3111" s="6">
        <f>YEAR(M3111)</f>
        <v/>
      </c>
      <c r="L3111" s="6">
        <f>MONTH(M3111)</f>
        <v/>
      </c>
      <c r="R3111" s="6">
        <f>S3111&amp;T3111</f>
        <v/>
      </c>
      <c r="S3111" s="6">
        <f>YEAR(U3111)</f>
        <v/>
      </c>
      <c r="T3111" s="6">
        <f>MONTH(U3111)</f>
        <v/>
      </c>
      <c r="Z3111" s="6">
        <f>AA3111&amp;AB3111</f>
        <v/>
      </c>
      <c r="AA3111" s="6">
        <f>YEAR(AC3111)</f>
        <v/>
      </c>
      <c r="AB3111" s="6">
        <f>MONTH(AC3111)</f>
        <v/>
      </c>
      <c r="AH3111" s="6">
        <f>AI3111&amp;AJ3111</f>
        <v/>
      </c>
      <c r="AI3111" s="6">
        <f>YEAR(AK3111)</f>
        <v/>
      </c>
      <c r="AJ3111" s="6">
        <f>MONTH(AK3111)</f>
        <v/>
      </c>
      <c r="AK3111" s="267">
        <f>IFERROR(__xludf.DUMMYFUNCTION("""COMPUTED_VALUE"""),46218.9986111111)</f>
        <v/>
      </c>
      <c r="AL3111" s="6">
        <f>IFERROR(__xludf.DUMMYFUNCTION("""COMPUTED_VALUE"""),64740.27)</f>
        <v/>
      </c>
      <c r="AP3111" s="6">
        <f>AQ3111&amp;AR3111</f>
        <v/>
      </c>
      <c r="AQ3111" s="6">
        <f>YEAR(AS3111)</f>
        <v/>
      </c>
      <c r="AR3111" s="6">
        <f>MONTH(AS3111)</f>
        <v/>
      </c>
    </row>
    <row r="3112">
      <c r="B3112" s="6">
        <f>C3112&amp;D3112</f>
        <v/>
      </c>
      <c r="C3112" s="6">
        <f>YEAR(E3112)</f>
        <v/>
      </c>
      <c r="D3112" s="6">
        <f>MONTH(E3112)</f>
        <v/>
      </c>
      <c r="J3112" s="6">
        <f>K3112&amp;L3112</f>
        <v/>
      </c>
      <c r="K3112" s="6">
        <f>YEAR(M3112)</f>
        <v/>
      </c>
      <c r="L3112" s="6">
        <f>MONTH(M3112)</f>
        <v/>
      </c>
      <c r="R3112" s="6">
        <f>S3112&amp;T3112</f>
        <v/>
      </c>
      <c r="S3112" s="6">
        <f>YEAR(U3112)</f>
        <v/>
      </c>
      <c r="T3112" s="6">
        <f>MONTH(U3112)</f>
        <v/>
      </c>
      <c r="Z3112" s="6">
        <f>AA3112&amp;AB3112</f>
        <v/>
      </c>
      <c r="AA3112" s="6">
        <f>YEAR(AC3112)</f>
        <v/>
      </c>
      <c r="AB3112" s="6">
        <f>MONTH(AC3112)</f>
        <v/>
      </c>
      <c r="AH3112" s="6">
        <f>AI3112&amp;AJ3112</f>
        <v/>
      </c>
      <c r="AI3112" s="6">
        <f>YEAR(AK3112)</f>
        <v/>
      </c>
      <c r="AJ3112" s="6">
        <f>MONTH(AK3112)</f>
        <v/>
      </c>
      <c r="AK3112" s="267">
        <f>IFERROR(__xludf.DUMMYFUNCTION("""COMPUTED_VALUE"""),46219.9986111111)</f>
        <v/>
      </c>
      <c r="AL3112" s="6">
        <f>IFERROR(__xludf.DUMMYFUNCTION("""COMPUTED_VALUE"""),64562.14)</f>
        <v/>
      </c>
      <c r="AP3112" s="6">
        <f>AQ3112&amp;AR3112</f>
        <v/>
      </c>
      <c r="AQ3112" s="6">
        <f>YEAR(AS3112)</f>
        <v/>
      </c>
      <c r="AR3112" s="6">
        <f>MONTH(AS3112)</f>
        <v/>
      </c>
    </row>
    <row r="3113">
      <c r="B3113" s="6">
        <f>C3113&amp;D3113</f>
        <v/>
      </c>
      <c r="C3113" s="6">
        <f>YEAR(E3113)</f>
        <v/>
      </c>
      <c r="D3113" s="6">
        <f>MONTH(E3113)</f>
        <v/>
      </c>
      <c r="J3113" s="6">
        <f>K3113&amp;L3113</f>
        <v/>
      </c>
      <c r="K3113" s="6">
        <f>YEAR(M3113)</f>
        <v/>
      </c>
      <c r="L3113" s="6">
        <f>MONTH(M3113)</f>
        <v/>
      </c>
      <c r="R3113" s="6">
        <f>S3113&amp;T3113</f>
        <v/>
      </c>
      <c r="S3113" s="6">
        <f>YEAR(U3113)</f>
        <v/>
      </c>
      <c r="T3113" s="6">
        <f>MONTH(U3113)</f>
        <v/>
      </c>
      <c r="Z3113" s="6">
        <f>AA3113&amp;AB3113</f>
        <v/>
      </c>
      <c r="AA3113" s="6">
        <f>YEAR(AC3113)</f>
        <v/>
      </c>
      <c r="AB3113" s="6">
        <f>MONTH(AC3113)</f>
        <v/>
      </c>
      <c r="AH3113" s="6">
        <f>AI3113&amp;AJ3113</f>
        <v/>
      </c>
      <c r="AI3113" s="6">
        <f>YEAR(AK3113)</f>
        <v/>
      </c>
      <c r="AJ3113" s="6">
        <f>MONTH(AK3113)</f>
        <v/>
      </c>
      <c r="AK3113" s="267">
        <f>IFERROR(__xludf.DUMMYFUNCTION("""COMPUTED_VALUE"""),46220.9986111111)</f>
        <v/>
      </c>
      <c r="AL3113" s="6">
        <f>IFERROR(__xludf.DUMMYFUNCTION("""COMPUTED_VALUE"""),63899.1786)</f>
        <v/>
      </c>
      <c r="AP3113" s="6">
        <f>AQ3113&amp;AR3113</f>
        <v/>
      </c>
      <c r="AQ3113" s="6">
        <f>YEAR(AS3113)</f>
        <v/>
      </c>
      <c r="AR3113" s="6">
        <f>MONTH(AS3113)</f>
        <v/>
      </c>
    </row>
    <row r="3114">
      <c r="B3114" s="6">
        <f>C3114&amp;D3114</f>
        <v/>
      </c>
      <c r="C3114" s="6">
        <f>YEAR(E3114)</f>
        <v/>
      </c>
      <c r="D3114" s="6">
        <f>MONTH(E3114)</f>
        <v/>
      </c>
      <c r="J3114" s="6">
        <f>K3114&amp;L3114</f>
        <v/>
      </c>
      <c r="K3114" s="6">
        <f>YEAR(M3114)</f>
        <v/>
      </c>
      <c r="L3114" s="6">
        <f>MONTH(M3114)</f>
        <v/>
      </c>
      <c r="R3114" s="6">
        <f>S3114&amp;T3114</f>
        <v/>
      </c>
      <c r="S3114" s="6">
        <f>YEAR(U3114)</f>
        <v/>
      </c>
      <c r="T3114" s="6">
        <f>MONTH(U3114)</f>
        <v/>
      </c>
      <c r="Z3114" s="6">
        <f>AA3114&amp;AB3114</f>
        <v/>
      </c>
      <c r="AA3114" s="6">
        <f>YEAR(AC3114)</f>
        <v/>
      </c>
      <c r="AB3114" s="6">
        <f>MONTH(AC3114)</f>
        <v/>
      </c>
      <c r="AH3114" s="6">
        <f>AI3114&amp;AJ3114</f>
        <v/>
      </c>
      <c r="AI3114" s="6">
        <f>YEAR(AK3114)</f>
        <v/>
      </c>
      <c r="AJ3114" s="6">
        <f>MONTH(AK3114)</f>
        <v/>
      </c>
      <c r="AK3114" s="267">
        <f>IFERROR(__xludf.DUMMYFUNCTION("""COMPUTED_VALUE"""),46221.9986111111)</f>
        <v/>
      </c>
      <c r="AL3114" s="6">
        <f>IFERROR(__xludf.DUMMYFUNCTION("""COMPUTED_VALUE"""),64794.2509)</f>
        <v/>
      </c>
      <c r="AP3114" s="6">
        <f>AQ3114&amp;AR3114</f>
        <v/>
      </c>
      <c r="AQ3114" s="6">
        <f>YEAR(AS3114)</f>
        <v/>
      </c>
      <c r="AR3114" s="6">
        <f>MONTH(AS3114)</f>
        <v/>
      </c>
    </row>
    <row r="3115">
      <c r="B3115" s="6">
        <f>C3115&amp;D3115</f>
        <v/>
      </c>
      <c r="C3115" s="6">
        <f>YEAR(E3115)</f>
        <v/>
      </c>
      <c r="D3115" s="6">
        <f>MONTH(E3115)</f>
        <v/>
      </c>
      <c r="J3115" s="6">
        <f>K3115&amp;L3115</f>
        <v/>
      </c>
      <c r="K3115" s="6">
        <f>YEAR(M3115)</f>
        <v/>
      </c>
      <c r="L3115" s="6">
        <f>MONTH(M3115)</f>
        <v/>
      </c>
      <c r="R3115" s="6">
        <f>S3115&amp;T3115</f>
        <v/>
      </c>
      <c r="S3115" s="6">
        <f>YEAR(U3115)</f>
        <v/>
      </c>
      <c r="T3115" s="6">
        <f>MONTH(U3115)</f>
        <v/>
      </c>
      <c r="Z3115" s="6">
        <f>AA3115&amp;AB3115</f>
        <v/>
      </c>
      <c r="AA3115" s="6">
        <f>YEAR(AC3115)</f>
        <v/>
      </c>
      <c r="AB3115" s="6">
        <f>MONTH(AC3115)</f>
        <v/>
      </c>
      <c r="AH3115" s="6">
        <f>AI3115&amp;AJ3115</f>
        <v/>
      </c>
      <c r="AI3115" s="6">
        <f>YEAR(AK3115)</f>
        <v/>
      </c>
      <c r="AJ3115" s="6">
        <f>MONTH(AK3115)</f>
        <v/>
      </c>
      <c r="AP3115" s="6">
        <f>AQ3115&amp;AR3115</f>
        <v/>
      </c>
      <c r="AQ3115" s="6">
        <f>YEAR(AS3115)</f>
        <v/>
      </c>
      <c r="AR3115" s="6">
        <f>MONTH(AS3115)</f>
        <v/>
      </c>
    </row>
    <row r="3116">
      <c r="B3116" s="6">
        <f>C3116&amp;D3116</f>
        <v/>
      </c>
      <c r="C3116" s="6">
        <f>YEAR(E3116)</f>
        <v/>
      </c>
      <c r="D3116" s="6">
        <f>MONTH(E3116)</f>
        <v/>
      </c>
      <c r="J3116" s="6">
        <f>K3116&amp;L3116</f>
        <v/>
      </c>
      <c r="K3116" s="6">
        <f>YEAR(M3116)</f>
        <v/>
      </c>
      <c r="L3116" s="6">
        <f>MONTH(M3116)</f>
        <v/>
      </c>
      <c r="R3116" s="6">
        <f>S3116&amp;T3116</f>
        <v/>
      </c>
      <c r="S3116" s="6">
        <f>YEAR(U3116)</f>
        <v/>
      </c>
      <c r="T3116" s="6">
        <f>MONTH(U3116)</f>
        <v/>
      </c>
      <c r="Z3116" s="6">
        <f>AA3116&amp;AB3116</f>
        <v/>
      </c>
      <c r="AA3116" s="6">
        <f>YEAR(AC3116)</f>
        <v/>
      </c>
      <c r="AB3116" s="6">
        <f>MONTH(AC3116)</f>
        <v/>
      </c>
      <c r="AH3116" s="6">
        <f>AI3116&amp;AJ3116</f>
        <v/>
      </c>
      <c r="AI3116" s="6">
        <f>YEAR(AK3116)</f>
        <v/>
      </c>
      <c r="AJ3116" s="6">
        <f>MONTH(AK3116)</f>
        <v/>
      </c>
      <c r="AP3116" s="6">
        <f>AQ3116&amp;AR3116</f>
        <v/>
      </c>
      <c r="AQ3116" s="6">
        <f>YEAR(AS3116)</f>
        <v/>
      </c>
      <c r="AR3116" s="6">
        <f>MONTH(AS3116)</f>
        <v/>
      </c>
    </row>
    <row r="3117">
      <c r="B3117" s="6">
        <f>C3117&amp;D3117</f>
        <v/>
      </c>
      <c r="C3117" s="6">
        <f>YEAR(E3117)</f>
        <v/>
      </c>
      <c r="D3117" s="6">
        <f>MONTH(E3117)</f>
        <v/>
      </c>
      <c r="J3117" s="6">
        <f>K3117&amp;L3117</f>
        <v/>
      </c>
      <c r="K3117" s="6">
        <f>YEAR(M3117)</f>
        <v/>
      </c>
      <c r="L3117" s="6">
        <f>MONTH(M3117)</f>
        <v/>
      </c>
      <c r="R3117" s="6">
        <f>S3117&amp;T3117</f>
        <v/>
      </c>
      <c r="S3117" s="6">
        <f>YEAR(U3117)</f>
        <v/>
      </c>
      <c r="T3117" s="6">
        <f>MONTH(U3117)</f>
        <v/>
      </c>
      <c r="Z3117" s="6">
        <f>AA3117&amp;AB3117</f>
        <v/>
      </c>
      <c r="AA3117" s="6">
        <f>YEAR(AC3117)</f>
        <v/>
      </c>
      <c r="AB3117" s="6">
        <f>MONTH(AC3117)</f>
        <v/>
      </c>
      <c r="AH3117" s="6">
        <f>AI3117&amp;AJ3117</f>
        <v/>
      </c>
      <c r="AI3117" s="6">
        <f>YEAR(AK3117)</f>
        <v/>
      </c>
      <c r="AJ3117" s="6">
        <f>MONTH(AK3117)</f>
        <v/>
      </c>
      <c r="AP3117" s="6">
        <f>AQ3117&amp;AR3117</f>
        <v/>
      </c>
      <c r="AQ3117" s="6">
        <f>YEAR(AS3117)</f>
        <v/>
      </c>
      <c r="AR3117" s="6">
        <f>MONTH(AS3117)</f>
        <v/>
      </c>
    </row>
    <row r="3118">
      <c r="B3118" s="6">
        <f>C3118&amp;D3118</f>
        <v/>
      </c>
      <c r="C3118" s="6">
        <f>YEAR(E3118)</f>
        <v/>
      </c>
      <c r="D3118" s="6">
        <f>MONTH(E3118)</f>
        <v/>
      </c>
      <c r="J3118" s="6">
        <f>K3118&amp;L3118</f>
        <v/>
      </c>
      <c r="K3118" s="6">
        <f>YEAR(M3118)</f>
        <v/>
      </c>
      <c r="L3118" s="6">
        <f>MONTH(M3118)</f>
        <v/>
      </c>
      <c r="R3118" s="6">
        <f>S3118&amp;T3118</f>
        <v/>
      </c>
      <c r="S3118" s="6">
        <f>YEAR(U3118)</f>
        <v/>
      </c>
      <c r="T3118" s="6">
        <f>MONTH(U3118)</f>
        <v/>
      </c>
      <c r="Z3118" s="6">
        <f>AA3118&amp;AB3118</f>
        <v/>
      </c>
      <c r="AA3118" s="6">
        <f>YEAR(AC3118)</f>
        <v/>
      </c>
      <c r="AB3118" s="6">
        <f>MONTH(AC3118)</f>
        <v/>
      </c>
      <c r="AH3118" s="6">
        <f>AI3118&amp;AJ3118</f>
        <v/>
      </c>
      <c r="AI3118" s="6">
        <f>YEAR(AK3118)</f>
        <v/>
      </c>
      <c r="AJ3118" s="6">
        <f>MONTH(AK3118)</f>
        <v/>
      </c>
      <c r="AP3118" s="6">
        <f>AQ3118&amp;AR3118</f>
        <v/>
      </c>
      <c r="AQ3118" s="6">
        <f>YEAR(AS3118)</f>
        <v/>
      </c>
      <c r="AR3118" s="6">
        <f>MONTH(AS3118)</f>
        <v/>
      </c>
    </row>
    <row r="3119">
      <c r="B3119" s="6">
        <f>C3119&amp;D3119</f>
        <v/>
      </c>
      <c r="C3119" s="6">
        <f>YEAR(E3119)</f>
        <v/>
      </c>
      <c r="D3119" s="6">
        <f>MONTH(E3119)</f>
        <v/>
      </c>
      <c r="J3119" s="6">
        <f>K3119&amp;L3119</f>
        <v/>
      </c>
      <c r="K3119" s="6">
        <f>YEAR(M3119)</f>
        <v/>
      </c>
      <c r="L3119" s="6">
        <f>MONTH(M3119)</f>
        <v/>
      </c>
      <c r="R3119" s="6">
        <f>S3119&amp;T3119</f>
        <v/>
      </c>
      <c r="S3119" s="6">
        <f>YEAR(U3119)</f>
        <v/>
      </c>
      <c r="T3119" s="6">
        <f>MONTH(U3119)</f>
        <v/>
      </c>
      <c r="Z3119" s="6">
        <f>AA3119&amp;AB3119</f>
        <v/>
      </c>
      <c r="AA3119" s="6">
        <f>YEAR(AC3119)</f>
        <v/>
      </c>
      <c r="AB3119" s="6">
        <f>MONTH(AC3119)</f>
        <v/>
      </c>
      <c r="AH3119" s="6">
        <f>AI3119&amp;AJ3119</f>
        <v/>
      </c>
      <c r="AI3119" s="6">
        <f>YEAR(AK3119)</f>
        <v/>
      </c>
      <c r="AJ3119" s="6">
        <f>MONTH(AK3119)</f>
        <v/>
      </c>
      <c r="AP3119" s="6">
        <f>AQ3119&amp;AR3119</f>
        <v/>
      </c>
      <c r="AQ3119" s="6">
        <f>YEAR(AS3119)</f>
        <v/>
      </c>
      <c r="AR3119" s="6">
        <f>MONTH(AS3119)</f>
        <v/>
      </c>
    </row>
    <row r="3120">
      <c r="B3120" s="6">
        <f>C3120&amp;D3120</f>
        <v/>
      </c>
      <c r="C3120" s="6">
        <f>YEAR(E3120)</f>
        <v/>
      </c>
      <c r="D3120" s="6">
        <f>MONTH(E3120)</f>
        <v/>
      </c>
      <c r="J3120" s="6">
        <f>K3120&amp;L3120</f>
        <v/>
      </c>
      <c r="K3120" s="6">
        <f>YEAR(M3120)</f>
        <v/>
      </c>
      <c r="L3120" s="6">
        <f>MONTH(M3120)</f>
        <v/>
      </c>
      <c r="R3120" s="6">
        <f>S3120&amp;T3120</f>
        <v/>
      </c>
      <c r="S3120" s="6">
        <f>YEAR(U3120)</f>
        <v/>
      </c>
      <c r="T3120" s="6">
        <f>MONTH(U3120)</f>
        <v/>
      </c>
      <c r="Z3120" s="6">
        <f>AA3120&amp;AB3120</f>
        <v/>
      </c>
      <c r="AA3120" s="6">
        <f>YEAR(AC3120)</f>
        <v/>
      </c>
      <c r="AB3120" s="6">
        <f>MONTH(AC3120)</f>
        <v/>
      </c>
      <c r="AH3120" s="6">
        <f>AI3120&amp;AJ3120</f>
        <v/>
      </c>
      <c r="AI3120" s="6">
        <f>YEAR(AK3120)</f>
        <v/>
      </c>
      <c r="AJ3120" s="6">
        <f>MONTH(AK3120)</f>
        <v/>
      </c>
      <c r="AP3120" s="6">
        <f>AQ3120&amp;AR3120</f>
        <v/>
      </c>
      <c r="AQ3120" s="6">
        <f>YEAR(AS3120)</f>
        <v/>
      </c>
      <c r="AR3120" s="6">
        <f>MONTH(AS3120)</f>
        <v/>
      </c>
    </row>
    <row r="3121">
      <c r="B3121" s="6">
        <f>C3121&amp;D3121</f>
        <v/>
      </c>
      <c r="C3121" s="6">
        <f>YEAR(E3121)</f>
        <v/>
      </c>
      <c r="D3121" s="6">
        <f>MONTH(E3121)</f>
        <v/>
      </c>
      <c r="J3121" s="6">
        <f>K3121&amp;L3121</f>
        <v/>
      </c>
      <c r="K3121" s="6">
        <f>YEAR(M3121)</f>
        <v/>
      </c>
      <c r="L3121" s="6">
        <f>MONTH(M3121)</f>
        <v/>
      </c>
      <c r="R3121" s="6">
        <f>S3121&amp;T3121</f>
        <v/>
      </c>
      <c r="S3121" s="6">
        <f>YEAR(U3121)</f>
        <v/>
      </c>
      <c r="T3121" s="6">
        <f>MONTH(U3121)</f>
        <v/>
      </c>
      <c r="Z3121" s="6">
        <f>AA3121&amp;AB3121</f>
        <v/>
      </c>
      <c r="AA3121" s="6">
        <f>YEAR(AC3121)</f>
        <v/>
      </c>
      <c r="AB3121" s="6">
        <f>MONTH(AC3121)</f>
        <v/>
      </c>
      <c r="AH3121" s="6">
        <f>AI3121&amp;AJ3121</f>
        <v/>
      </c>
      <c r="AI3121" s="6">
        <f>YEAR(AK3121)</f>
        <v/>
      </c>
      <c r="AJ3121" s="6">
        <f>MONTH(AK3121)</f>
        <v/>
      </c>
      <c r="AP3121" s="6">
        <f>AQ3121&amp;AR3121</f>
        <v/>
      </c>
      <c r="AQ3121" s="6">
        <f>YEAR(AS3121)</f>
        <v/>
      </c>
      <c r="AR3121" s="6">
        <f>MONTH(AS3121)</f>
        <v/>
      </c>
    </row>
    <row r="3122">
      <c r="B3122" s="6">
        <f>C3122&amp;D3122</f>
        <v/>
      </c>
      <c r="C3122" s="6">
        <f>YEAR(E3122)</f>
        <v/>
      </c>
      <c r="D3122" s="6">
        <f>MONTH(E3122)</f>
        <v/>
      </c>
      <c r="J3122" s="6">
        <f>K3122&amp;L3122</f>
        <v/>
      </c>
      <c r="K3122" s="6">
        <f>YEAR(M3122)</f>
        <v/>
      </c>
      <c r="L3122" s="6">
        <f>MONTH(M3122)</f>
        <v/>
      </c>
      <c r="R3122" s="6">
        <f>S3122&amp;T3122</f>
        <v/>
      </c>
      <c r="S3122" s="6">
        <f>YEAR(U3122)</f>
        <v/>
      </c>
      <c r="T3122" s="6">
        <f>MONTH(U3122)</f>
        <v/>
      </c>
      <c r="Z3122" s="6">
        <f>AA3122&amp;AB3122</f>
        <v/>
      </c>
      <c r="AA3122" s="6">
        <f>YEAR(AC3122)</f>
        <v/>
      </c>
      <c r="AB3122" s="6">
        <f>MONTH(AC3122)</f>
        <v/>
      </c>
      <c r="AH3122" s="6">
        <f>AI3122&amp;AJ3122</f>
        <v/>
      </c>
      <c r="AI3122" s="6">
        <f>YEAR(AK3122)</f>
        <v/>
      </c>
      <c r="AJ3122" s="6">
        <f>MONTH(AK3122)</f>
        <v/>
      </c>
      <c r="AP3122" s="6">
        <f>AQ3122&amp;AR3122</f>
        <v/>
      </c>
      <c r="AQ3122" s="6">
        <f>YEAR(AS3122)</f>
        <v/>
      </c>
      <c r="AR3122" s="6">
        <f>MONTH(AS3122)</f>
        <v/>
      </c>
    </row>
    <row r="3123">
      <c r="B3123" s="6">
        <f>C3123&amp;D3123</f>
        <v/>
      </c>
      <c r="C3123" s="6">
        <f>YEAR(E3123)</f>
        <v/>
      </c>
      <c r="D3123" s="6">
        <f>MONTH(E3123)</f>
        <v/>
      </c>
      <c r="J3123" s="6">
        <f>K3123&amp;L3123</f>
        <v/>
      </c>
      <c r="K3123" s="6">
        <f>YEAR(M3123)</f>
        <v/>
      </c>
      <c r="L3123" s="6">
        <f>MONTH(M3123)</f>
        <v/>
      </c>
      <c r="R3123" s="6">
        <f>S3123&amp;T3123</f>
        <v/>
      </c>
      <c r="S3123" s="6">
        <f>YEAR(U3123)</f>
        <v/>
      </c>
      <c r="T3123" s="6">
        <f>MONTH(U3123)</f>
        <v/>
      </c>
      <c r="Z3123" s="6">
        <f>AA3123&amp;AB3123</f>
        <v/>
      </c>
      <c r="AA3123" s="6">
        <f>YEAR(AC3123)</f>
        <v/>
      </c>
      <c r="AB3123" s="6">
        <f>MONTH(AC3123)</f>
        <v/>
      </c>
      <c r="AH3123" s="6">
        <f>AI3123&amp;AJ3123</f>
        <v/>
      </c>
      <c r="AI3123" s="6">
        <f>YEAR(AK3123)</f>
        <v/>
      </c>
      <c r="AJ3123" s="6">
        <f>MONTH(AK3123)</f>
        <v/>
      </c>
      <c r="AP3123" s="6">
        <f>AQ3123&amp;AR3123</f>
        <v/>
      </c>
      <c r="AQ3123" s="6">
        <f>YEAR(AS3123)</f>
        <v/>
      </c>
      <c r="AR3123" s="6">
        <f>MONTH(AS3123)</f>
        <v/>
      </c>
    </row>
    <row r="3124">
      <c r="B3124" s="6">
        <f>C3124&amp;D3124</f>
        <v/>
      </c>
      <c r="C3124" s="6">
        <f>YEAR(E3124)</f>
        <v/>
      </c>
      <c r="D3124" s="6">
        <f>MONTH(E3124)</f>
        <v/>
      </c>
      <c r="J3124" s="6">
        <f>K3124&amp;L3124</f>
        <v/>
      </c>
      <c r="K3124" s="6">
        <f>YEAR(M3124)</f>
        <v/>
      </c>
      <c r="L3124" s="6">
        <f>MONTH(M3124)</f>
        <v/>
      </c>
      <c r="R3124" s="6">
        <f>S3124&amp;T3124</f>
        <v/>
      </c>
      <c r="S3124" s="6">
        <f>YEAR(U3124)</f>
        <v/>
      </c>
      <c r="T3124" s="6">
        <f>MONTH(U3124)</f>
        <v/>
      </c>
      <c r="Z3124" s="6">
        <f>AA3124&amp;AB3124</f>
        <v/>
      </c>
      <c r="AA3124" s="6">
        <f>YEAR(AC3124)</f>
        <v/>
      </c>
      <c r="AB3124" s="6">
        <f>MONTH(AC3124)</f>
        <v/>
      </c>
      <c r="AH3124" s="6">
        <f>AI3124&amp;AJ3124</f>
        <v/>
      </c>
      <c r="AI3124" s="6">
        <f>YEAR(AK3124)</f>
        <v/>
      </c>
      <c r="AJ3124" s="6">
        <f>MONTH(AK3124)</f>
        <v/>
      </c>
      <c r="AP3124" s="6">
        <f>AQ3124&amp;AR3124</f>
        <v/>
      </c>
      <c r="AQ3124" s="6">
        <f>YEAR(AS3124)</f>
        <v/>
      </c>
      <c r="AR3124" s="6">
        <f>MONTH(AS3124)</f>
        <v/>
      </c>
    </row>
    <row r="3125">
      <c r="B3125" s="6">
        <f>C3125&amp;D3125</f>
        <v/>
      </c>
      <c r="C3125" s="6">
        <f>YEAR(E3125)</f>
        <v/>
      </c>
      <c r="D3125" s="6">
        <f>MONTH(E3125)</f>
        <v/>
      </c>
      <c r="J3125" s="6">
        <f>K3125&amp;L3125</f>
        <v/>
      </c>
      <c r="K3125" s="6">
        <f>YEAR(M3125)</f>
        <v/>
      </c>
      <c r="L3125" s="6">
        <f>MONTH(M3125)</f>
        <v/>
      </c>
      <c r="R3125" s="6">
        <f>S3125&amp;T3125</f>
        <v/>
      </c>
      <c r="S3125" s="6">
        <f>YEAR(U3125)</f>
        <v/>
      </c>
      <c r="T3125" s="6">
        <f>MONTH(U3125)</f>
        <v/>
      </c>
      <c r="Z3125" s="6">
        <f>AA3125&amp;AB3125</f>
        <v/>
      </c>
      <c r="AA3125" s="6">
        <f>YEAR(AC3125)</f>
        <v/>
      </c>
      <c r="AB3125" s="6">
        <f>MONTH(AC3125)</f>
        <v/>
      </c>
      <c r="AH3125" s="6">
        <f>AI3125&amp;AJ3125</f>
        <v/>
      </c>
      <c r="AI3125" s="6">
        <f>YEAR(AK3125)</f>
        <v/>
      </c>
      <c r="AJ3125" s="6">
        <f>MONTH(AK3125)</f>
        <v/>
      </c>
      <c r="AP3125" s="6">
        <f>AQ3125&amp;AR3125</f>
        <v/>
      </c>
      <c r="AQ3125" s="6">
        <f>YEAR(AS3125)</f>
        <v/>
      </c>
      <c r="AR3125" s="6">
        <f>MONTH(AS3125)</f>
        <v/>
      </c>
    </row>
    <row r="3126">
      <c r="B3126" s="6">
        <f>C3126&amp;D3126</f>
        <v/>
      </c>
      <c r="C3126" s="6">
        <f>YEAR(E3126)</f>
        <v/>
      </c>
      <c r="D3126" s="6">
        <f>MONTH(E3126)</f>
        <v/>
      </c>
      <c r="J3126" s="6">
        <f>K3126&amp;L3126</f>
        <v/>
      </c>
      <c r="K3126" s="6">
        <f>YEAR(M3126)</f>
        <v/>
      </c>
      <c r="L3126" s="6">
        <f>MONTH(M3126)</f>
        <v/>
      </c>
      <c r="R3126" s="6">
        <f>S3126&amp;T3126</f>
        <v/>
      </c>
      <c r="S3126" s="6">
        <f>YEAR(U3126)</f>
        <v/>
      </c>
      <c r="T3126" s="6">
        <f>MONTH(U3126)</f>
        <v/>
      </c>
      <c r="Z3126" s="6">
        <f>AA3126&amp;AB3126</f>
        <v/>
      </c>
      <c r="AA3126" s="6">
        <f>YEAR(AC3126)</f>
        <v/>
      </c>
      <c r="AB3126" s="6">
        <f>MONTH(AC3126)</f>
        <v/>
      </c>
      <c r="AH3126" s="6">
        <f>AI3126&amp;AJ3126</f>
        <v/>
      </c>
      <c r="AI3126" s="6">
        <f>YEAR(AK3126)</f>
        <v/>
      </c>
      <c r="AJ3126" s="6">
        <f>MONTH(AK3126)</f>
        <v/>
      </c>
      <c r="AP3126" s="6">
        <f>AQ3126&amp;AR3126</f>
        <v/>
      </c>
      <c r="AQ3126" s="6">
        <f>YEAR(AS3126)</f>
        <v/>
      </c>
      <c r="AR3126" s="6">
        <f>MONTH(AS3126)</f>
        <v/>
      </c>
    </row>
    <row r="3127">
      <c r="B3127" s="6">
        <f>C3127&amp;D3127</f>
        <v/>
      </c>
      <c r="C3127" s="6">
        <f>YEAR(E3127)</f>
        <v/>
      </c>
      <c r="D3127" s="6">
        <f>MONTH(E3127)</f>
        <v/>
      </c>
      <c r="J3127" s="6">
        <f>K3127&amp;L3127</f>
        <v/>
      </c>
      <c r="K3127" s="6">
        <f>YEAR(M3127)</f>
        <v/>
      </c>
      <c r="L3127" s="6">
        <f>MONTH(M3127)</f>
        <v/>
      </c>
      <c r="R3127" s="6">
        <f>S3127&amp;T3127</f>
        <v/>
      </c>
      <c r="S3127" s="6">
        <f>YEAR(U3127)</f>
        <v/>
      </c>
      <c r="T3127" s="6">
        <f>MONTH(U3127)</f>
        <v/>
      </c>
      <c r="Z3127" s="6">
        <f>AA3127&amp;AB3127</f>
        <v/>
      </c>
      <c r="AA3127" s="6">
        <f>YEAR(AC3127)</f>
        <v/>
      </c>
      <c r="AB3127" s="6">
        <f>MONTH(AC3127)</f>
        <v/>
      </c>
      <c r="AH3127" s="6">
        <f>AI3127&amp;AJ3127</f>
        <v/>
      </c>
      <c r="AI3127" s="6">
        <f>YEAR(AK3127)</f>
        <v/>
      </c>
      <c r="AJ3127" s="6">
        <f>MONTH(AK3127)</f>
        <v/>
      </c>
      <c r="AP3127" s="6">
        <f>AQ3127&amp;AR3127</f>
        <v/>
      </c>
      <c r="AQ3127" s="6">
        <f>YEAR(AS3127)</f>
        <v/>
      </c>
      <c r="AR3127" s="6">
        <f>MONTH(AS3127)</f>
        <v/>
      </c>
    </row>
    <row r="3128">
      <c r="B3128" s="6">
        <f>C3128&amp;D3128</f>
        <v/>
      </c>
      <c r="C3128" s="6">
        <f>YEAR(E3128)</f>
        <v/>
      </c>
      <c r="D3128" s="6">
        <f>MONTH(E3128)</f>
        <v/>
      </c>
      <c r="J3128" s="6">
        <f>K3128&amp;L3128</f>
        <v/>
      </c>
      <c r="K3128" s="6">
        <f>YEAR(M3128)</f>
        <v/>
      </c>
      <c r="L3128" s="6">
        <f>MONTH(M3128)</f>
        <v/>
      </c>
      <c r="R3128" s="6">
        <f>S3128&amp;T3128</f>
        <v/>
      </c>
      <c r="S3128" s="6">
        <f>YEAR(U3128)</f>
        <v/>
      </c>
      <c r="T3128" s="6">
        <f>MONTH(U3128)</f>
        <v/>
      </c>
      <c r="Z3128" s="6">
        <f>AA3128&amp;AB3128</f>
        <v/>
      </c>
      <c r="AA3128" s="6">
        <f>YEAR(AC3128)</f>
        <v/>
      </c>
      <c r="AB3128" s="6">
        <f>MONTH(AC3128)</f>
        <v/>
      </c>
      <c r="AH3128" s="6">
        <f>AI3128&amp;AJ3128</f>
        <v/>
      </c>
      <c r="AI3128" s="6">
        <f>YEAR(AK3128)</f>
        <v/>
      </c>
      <c r="AJ3128" s="6">
        <f>MONTH(AK3128)</f>
        <v/>
      </c>
      <c r="AP3128" s="6">
        <f>AQ3128&amp;AR3128</f>
        <v/>
      </c>
      <c r="AQ3128" s="6">
        <f>YEAR(AS3128)</f>
        <v/>
      </c>
      <c r="AR3128" s="6">
        <f>MONTH(AS3128)</f>
        <v/>
      </c>
    </row>
    <row r="3129">
      <c r="B3129" s="6">
        <f>C3129&amp;D3129</f>
        <v/>
      </c>
      <c r="C3129" s="6">
        <f>YEAR(E3129)</f>
        <v/>
      </c>
      <c r="D3129" s="6">
        <f>MONTH(E3129)</f>
        <v/>
      </c>
      <c r="J3129" s="6">
        <f>K3129&amp;L3129</f>
        <v/>
      </c>
      <c r="K3129" s="6">
        <f>YEAR(M3129)</f>
        <v/>
      </c>
      <c r="L3129" s="6">
        <f>MONTH(M3129)</f>
        <v/>
      </c>
      <c r="R3129" s="6">
        <f>S3129&amp;T3129</f>
        <v/>
      </c>
      <c r="S3129" s="6">
        <f>YEAR(U3129)</f>
        <v/>
      </c>
      <c r="T3129" s="6">
        <f>MONTH(U3129)</f>
        <v/>
      </c>
      <c r="Z3129" s="6">
        <f>AA3129&amp;AB3129</f>
        <v/>
      </c>
      <c r="AA3129" s="6">
        <f>YEAR(AC3129)</f>
        <v/>
      </c>
      <c r="AB3129" s="6">
        <f>MONTH(AC3129)</f>
        <v/>
      </c>
      <c r="AH3129" s="6">
        <f>AI3129&amp;AJ3129</f>
        <v/>
      </c>
      <c r="AI3129" s="6">
        <f>YEAR(AK3129)</f>
        <v/>
      </c>
      <c r="AJ3129" s="6">
        <f>MONTH(AK3129)</f>
        <v/>
      </c>
      <c r="AP3129" s="6">
        <f>AQ3129&amp;AR3129</f>
        <v/>
      </c>
      <c r="AQ3129" s="6">
        <f>YEAR(AS3129)</f>
        <v/>
      </c>
      <c r="AR3129" s="6">
        <f>MONTH(AS3129)</f>
        <v/>
      </c>
    </row>
    <row r="3130">
      <c r="B3130" s="6">
        <f>C3130&amp;D3130</f>
        <v/>
      </c>
      <c r="C3130" s="6">
        <f>YEAR(E3130)</f>
        <v/>
      </c>
      <c r="D3130" s="6">
        <f>MONTH(E3130)</f>
        <v/>
      </c>
      <c r="J3130" s="6">
        <f>K3130&amp;L3130</f>
        <v/>
      </c>
      <c r="K3130" s="6">
        <f>YEAR(M3130)</f>
        <v/>
      </c>
      <c r="L3130" s="6">
        <f>MONTH(M3130)</f>
        <v/>
      </c>
      <c r="R3130" s="6">
        <f>S3130&amp;T3130</f>
        <v/>
      </c>
      <c r="S3130" s="6">
        <f>YEAR(U3130)</f>
        <v/>
      </c>
      <c r="T3130" s="6">
        <f>MONTH(U3130)</f>
        <v/>
      </c>
      <c r="Z3130" s="6">
        <f>AA3130&amp;AB3130</f>
        <v/>
      </c>
      <c r="AA3130" s="6">
        <f>YEAR(AC3130)</f>
        <v/>
      </c>
      <c r="AB3130" s="6">
        <f>MONTH(AC3130)</f>
        <v/>
      </c>
      <c r="AH3130" s="6">
        <f>AI3130&amp;AJ3130</f>
        <v/>
      </c>
      <c r="AI3130" s="6">
        <f>YEAR(AK3130)</f>
        <v/>
      </c>
      <c r="AJ3130" s="6">
        <f>MONTH(AK3130)</f>
        <v/>
      </c>
      <c r="AP3130" s="6">
        <f>AQ3130&amp;AR3130</f>
        <v/>
      </c>
      <c r="AQ3130" s="6">
        <f>YEAR(AS3130)</f>
        <v/>
      </c>
      <c r="AR3130" s="6">
        <f>MONTH(AS3130)</f>
        <v/>
      </c>
    </row>
    <row r="3131">
      <c r="B3131" s="6">
        <f>C3131&amp;D3131</f>
        <v/>
      </c>
      <c r="C3131" s="6">
        <f>YEAR(E3131)</f>
        <v/>
      </c>
      <c r="D3131" s="6">
        <f>MONTH(E3131)</f>
        <v/>
      </c>
      <c r="J3131" s="6">
        <f>K3131&amp;L3131</f>
        <v/>
      </c>
      <c r="K3131" s="6">
        <f>YEAR(M3131)</f>
        <v/>
      </c>
      <c r="L3131" s="6">
        <f>MONTH(M3131)</f>
        <v/>
      </c>
      <c r="R3131" s="6">
        <f>S3131&amp;T3131</f>
        <v/>
      </c>
      <c r="S3131" s="6">
        <f>YEAR(U3131)</f>
        <v/>
      </c>
      <c r="T3131" s="6">
        <f>MONTH(U3131)</f>
        <v/>
      </c>
      <c r="Z3131" s="6">
        <f>AA3131&amp;AB3131</f>
        <v/>
      </c>
      <c r="AA3131" s="6">
        <f>YEAR(AC3131)</f>
        <v/>
      </c>
      <c r="AB3131" s="6">
        <f>MONTH(AC3131)</f>
        <v/>
      </c>
      <c r="AH3131" s="6">
        <f>AI3131&amp;AJ3131</f>
        <v/>
      </c>
      <c r="AI3131" s="6">
        <f>YEAR(AK3131)</f>
        <v/>
      </c>
      <c r="AJ3131" s="6">
        <f>MONTH(AK3131)</f>
        <v/>
      </c>
      <c r="AP3131" s="6">
        <f>AQ3131&amp;AR3131</f>
        <v/>
      </c>
      <c r="AQ3131" s="6">
        <f>YEAR(AS3131)</f>
        <v/>
      </c>
      <c r="AR3131" s="6">
        <f>MONTH(AS3131)</f>
        <v/>
      </c>
    </row>
    <row r="3132">
      <c r="B3132" s="6">
        <f>C3132&amp;D3132</f>
        <v/>
      </c>
      <c r="C3132" s="6">
        <f>YEAR(E3132)</f>
        <v/>
      </c>
      <c r="D3132" s="6">
        <f>MONTH(E3132)</f>
        <v/>
      </c>
      <c r="J3132" s="6">
        <f>K3132&amp;L3132</f>
        <v/>
      </c>
      <c r="K3132" s="6">
        <f>YEAR(M3132)</f>
        <v/>
      </c>
      <c r="L3132" s="6">
        <f>MONTH(M3132)</f>
        <v/>
      </c>
      <c r="R3132" s="6">
        <f>S3132&amp;T3132</f>
        <v/>
      </c>
      <c r="S3132" s="6">
        <f>YEAR(U3132)</f>
        <v/>
      </c>
      <c r="T3132" s="6">
        <f>MONTH(U3132)</f>
        <v/>
      </c>
      <c r="Z3132" s="6">
        <f>AA3132&amp;AB3132</f>
        <v/>
      </c>
      <c r="AA3132" s="6">
        <f>YEAR(AC3132)</f>
        <v/>
      </c>
      <c r="AB3132" s="6">
        <f>MONTH(AC3132)</f>
        <v/>
      </c>
      <c r="AH3132" s="6">
        <f>AI3132&amp;AJ3132</f>
        <v/>
      </c>
      <c r="AI3132" s="6">
        <f>YEAR(AK3132)</f>
        <v/>
      </c>
      <c r="AJ3132" s="6">
        <f>MONTH(AK3132)</f>
        <v/>
      </c>
      <c r="AP3132" s="6">
        <f>AQ3132&amp;AR3132</f>
        <v/>
      </c>
      <c r="AQ3132" s="6">
        <f>YEAR(AS3132)</f>
        <v/>
      </c>
      <c r="AR3132" s="6">
        <f>MONTH(AS3132)</f>
        <v/>
      </c>
    </row>
    <row r="3133">
      <c r="B3133" s="6">
        <f>C3133&amp;D3133</f>
        <v/>
      </c>
      <c r="C3133" s="6">
        <f>YEAR(E3133)</f>
        <v/>
      </c>
      <c r="D3133" s="6">
        <f>MONTH(E3133)</f>
        <v/>
      </c>
      <c r="J3133" s="6">
        <f>K3133&amp;L3133</f>
        <v/>
      </c>
      <c r="K3133" s="6">
        <f>YEAR(M3133)</f>
        <v/>
      </c>
      <c r="L3133" s="6">
        <f>MONTH(M3133)</f>
        <v/>
      </c>
      <c r="R3133" s="6">
        <f>S3133&amp;T3133</f>
        <v/>
      </c>
      <c r="S3133" s="6">
        <f>YEAR(U3133)</f>
        <v/>
      </c>
      <c r="T3133" s="6">
        <f>MONTH(U3133)</f>
        <v/>
      </c>
      <c r="Z3133" s="6">
        <f>AA3133&amp;AB3133</f>
        <v/>
      </c>
      <c r="AA3133" s="6">
        <f>YEAR(AC3133)</f>
        <v/>
      </c>
      <c r="AB3133" s="6">
        <f>MONTH(AC3133)</f>
        <v/>
      </c>
      <c r="AH3133" s="6">
        <f>AI3133&amp;AJ3133</f>
        <v/>
      </c>
      <c r="AI3133" s="6">
        <f>YEAR(AK3133)</f>
        <v/>
      </c>
      <c r="AJ3133" s="6">
        <f>MONTH(AK3133)</f>
        <v/>
      </c>
      <c r="AP3133" s="6">
        <f>AQ3133&amp;AR3133</f>
        <v/>
      </c>
      <c r="AQ3133" s="6">
        <f>YEAR(AS3133)</f>
        <v/>
      </c>
      <c r="AR3133" s="6">
        <f>MONTH(AS3133)</f>
        <v/>
      </c>
    </row>
    <row r="3134">
      <c r="B3134" s="6">
        <f>C3134&amp;D3134</f>
        <v/>
      </c>
      <c r="C3134" s="6">
        <f>YEAR(E3134)</f>
        <v/>
      </c>
      <c r="D3134" s="6">
        <f>MONTH(E3134)</f>
        <v/>
      </c>
      <c r="J3134" s="6">
        <f>K3134&amp;L3134</f>
        <v/>
      </c>
      <c r="K3134" s="6">
        <f>YEAR(M3134)</f>
        <v/>
      </c>
      <c r="L3134" s="6">
        <f>MONTH(M3134)</f>
        <v/>
      </c>
      <c r="R3134" s="6">
        <f>S3134&amp;T3134</f>
        <v/>
      </c>
      <c r="S3134" s="6">
        <f>YEAR(U3134)</f>
        <v/>
      </c>
      <c r="T3134" s="6">
        <f>MONTH(U3134)</f>
        <v/>
      </c>
      <c r="Z3134" s="6">
        <f>AA3134&amp;AB3134</f>
        <v/>
      </c>
      <c r="AA3134" s="6">
        <f>YEAR(AC3134)</f>
        <v/>
      </c>
      <c r="AB3134" s="6">
        <f>MONTH(AC3134)</f>
        <v/>
      </c>
      <c r="AH3134" s="6">
        <f>AI3134&amp;AJ3134</f>
        <v/>
      </c>
      <c r="AI3134" s="6">
        <f>YEAR(AK3134)</f>
        <v/>
      </c>
      <c r="AJ3134" s="6">
        <f>MONTH(AK3134)</f>
        <v/>
      </c>
      <c r="AP3134" s="6">
        <f>AQ3134&amp;AR3134</f>
        <v/>
      </c>
      <c r="AQ3134" s="6">
        <f>YEAR(AS3134)</f>
        <v/>
      </c>
      <c r="AR3134" s="6">
        <f>MONTH(AS3134)</f>
        <v/>
      </c>
    </row>
    <row r="3135">
      <c r="B3135" s="6">
        <f>C3135&amp;D3135</f>
        <v/>
      </c>
      <c r="C3135" s="6">
        <f>YEAR(E3135)</f>
        <v/>
      </c>
      <c r="D3135" s="6">
        <f>MONTH(E3135)</f>
        <v/>
      </c>
      <c r="J3135" s="6">
        <f>K3135&amp;L3135</f>
        <v/>
      </c>
      <c r="K3135" s="6">
        <f>YEAR(M3135)</f>
        <v/>
      </c>
      <c r="L3135" s="6">
        <f>MONTH(M3135)</f>
        <v/>
      </c>
      <c r="R3135" s="6">
        <f>S3135&amp;T3135</f>
        <v/>
      </c>
      <c r="S3135" s="6">
        <f>YEAR(U3135)</f>
        <v/>
      </c>
      <c r="T3135" s="6">
        <f>MONTH(U3135)</f>
        <v/>
      </c>
      <c r="Z3135" s="6">
        <f>AA3135&amp;AB3135</f>
        <v/>
      </c>
      <c r="AA3135" s="6">
        <f>YEAR(AC3135)</f>
        <v/>
      </c>
      <c r="AB3135" s="6">
        <f>MONTH(AC3135)</f>
        <v/>
      </c>
      <c r="AH3135" s="6">
        <f>AI3135&amp;AJ3135</f>
        <v/>
      </c>
      <c r="AI3135" s="6">
        <f>YEAR(AK3135)</f>
        <v/>
      </c>
      <c r="AJ3135" s="6">
        <f>MONTH(AK3135)</f>
        <v/>
      </c>
      <c r="AP3135" s="6">
        <f>AQ3135&amp;AR3135</f>
        <v/>
      </c>
      <c r="AQ3135" s="6">
        <f>YEAR(AS3135)</f>
        <v/>
      </c>
      <c r="AR3135" s="6">
        <f>MONTH(AS3135)</f>
        <v/>
      </c>
    </row>
    <row r="3136">
      <c r="B3136" s="6">
        <f>C3136&amp;D3136</f>
        <v/>
      </c>
      <c r="C3136" s="6">
        <f>YEAR(E3136)</f>
        <v/>
      </c>
      <c r="D3136" s="6">
        <f>MONTH(E3136)</f>
        <v/>
      </c>
      <c r="J3136" s="6">
        <f>K3136&amp;L3136</f>
        <v/>
      </c>
      <c r="K3136" s="6">
        <f>YEAR(M3136)</f>
        <v/>
      </c>
      <c r="L3136" s="6">
        <f>MONTH(M3136)</f>
        <v/>
      </c>
      <c r="R3136" s="6">
        <f>S3136&amp;T3136</f>
        <v/>
      </c>
      <c r="S3136" s="6">
        <f>YEAR(U3136)</f>
        <v/>
      </c>
      <c r="T3136" s="6">
        <f>MONTH(U3136)</f>
        <v/>
      </c>
      <c r="Z3136" s="6">
        <f>AA3136&amp;AB3136</f>
        <v/>
      </c>
      <c r="AA3136" s="6">
        <f>YEAR(AC3136)</f>
        <v/>
      </c>
      <c r="AB3136" s="6">
        <f>MONTH(AC3136)</f>
        <v/>
      </c>
      <c r="AH3136" s="6">
        <f>AI3136&amp;AJ3136</f>
        <v/>
      </c>
      <c r="AI3136" s="6">
        <f>YEAR(AK3136)</f>
        <v/>
      </c>
      <c r="AJ3136" s="6">
        <f>MONTH(AK3136)</f>
        <v/>
      </c>
      <c r="AP3136" s="6">
        <f>AQ3136&amp;AR3136</f>
        <v/>
      </c>
      <c r="AQ3136" s="6">
        <f>YEAR(AS3136)</f>
        <v/>
      </c>
      <c r="AR3136" s="6">
        <f>MONTH(AS3136)</f>
        <v/>
      </c>
    </row>
    <row r="3137">
      <c r="B3137" s="6">
        <f>C3137&amp;D3137</f>
        <v/>
      </c>
      <c r="C3137" s="6">
        <f>YEAR(E3137)</f>
        <v/>
      </c>
      <c r="D3137" s="6">
        <f>MONTH(E3137)</f>
        <v/>
      </c>
      <c r="J3137" s="6">
        <f>K3137&amp;L3137</f>
        <v/>
      </c>
      <c r="K3137" s="6">
        <f>YEAR(M3137)</f>
        <v/>
      </c>
      <c r="L3137" s="6">
        <f>MONTH(M3137)</f>
        <v/>
      </c>
      <c r="R3137" s="6">
        <f>S3137&amp;T3137</f>
        <v/>
      </c>
      <c r="S3137" s="6">
        <f>YEAR(U3137)</f>
        <v/>
      </c>
      <c r="T3137" s="6">
        <f>MONTH(U3137)</f>
        <v/>
      </c>
      <c r="Z3137" s="6">
        <f>AA3137&amp;AB3137</f>
        <v/>
      </c>
      <c r="AA3137" s="6">
        <f>YEAR(AC3137)</f>
        <v/>
      </c>
      <c r="AB3137" s="6">
        <f>MONTH(AC3137)</f>
        <v/>
      </c>
      <c r="AH3137" s="6">
        <f>AI3137&amp;AJ3137</f>
        <v/>
      </c>
      <c r="AI3137" s="6">
        <f>YEAR(AK3137)</f>
        <v/>
      </c>
      <c r="AJ3137" s="6">
        <f>MONTH(AK3137)</f>
        <v/>
      </c>
      <c r="AP3137" s="6">
        <f>AQ3137&amp;AR3137</f>
        <v/>
      </c>
      <c r="AQ3137" s="6">
        <f>YEAR(AS3137)</f>
        <v/>
      </c>
      <c r="AR3137" s="6">
        <f>MONTH(AS3137)</f>
        <v/>
      </c>
    </row>
    <row r="3138">
      <c r="B3138" s="6">
        <f>C3138&amp;D3138</f>
        <v/>
      </c>
      <c r="C3138" s="6">
        <f>YEAR(E3138)</f>
        <v/>
      </c>
      <c r="D3138" s="6">
        <f>MONTH(E3138)</f>
        <v/>
      </c>
      <c r="J3138" s="6">
        <f>K3138&amp;L3138</f>
        <v/>
      </c>
      <c r="K3138" s="6">
        <f>YEAR(M3138)</f>
        <v/>
      </c>
      <c r="L3138" s="6">
        <f>MONTH(M3138)</f>
        <v/>
      </c>
      <c r="R3138" s="6">
        <f>S3138&amp;T3138</f>
        <v/>
      </c>
      <c r="S3138" s="6">
        <f>YEAR(U3138)</f>
        <v/>
      </c>
      <c r="T3138" s="6">
        <f>MONTH(U3138)</f>
        <v/>
      </c>
      <c r="Z3138" s="6">
        <f>AA3138&amp;AB3138</f>
        <v/>
      </c>
      <c r="AA3138" s="6">
        <f>YEAR(AC3138)</f>
        <v/>
      </c>
      <c r="AB3138" s="6">
        <f>MONTH(AC3138)</f>
        <v/>
      </c>
      <c r="AH3138" s="6">
        <f>AI3138&amp;AJ3138</f>
        <v/>
      </c>
      <c r="AI3138" s="6">
        <f>YEAR(AK3138)</f>
        <v/>
      </c>
      <c r="AJ3138" s="6">
        <f>MONTH(AK3138)</f>
        <v/>
      </c>
      <c r="AP3138" s="6">
        <f>AQ3138&amp;AR3138</f>
        <v/>
      </c>
      <c r="AQ3138" s="6">
        <f>YEAR(AS3138)</f>
        <v/>
      </c>
      <c r="AR3138" s="6">
        <f>MONTH(AS3138)</f>
        <v/>
      </c>
    </row>
    <row r="3139">
      <c r="B3139" s="6">
        <f>C3139&amp;D3139</f>
        <v/>
      </c>
      <c r="C3139" s="6">
        <f>YEAR(E3139)</f>
        <v/>
      </c>
      <c r="D3139" s="6">
        <f>MONTH(E3139)</f>
        <v/>
      </c>
      <c r="J3139" s="6">
        <f>K3139&amp;L3139</f>
        <v/>
      </c>
      <c r="K3139" s="6">
        <f>YEAR(M3139)</f>
        <v/>
      </c>
      <c r="L3139" s="6">
        <f>MONTH(M3139)</f>
        <v/>
      </c>
      <c r="R3139" s="6">
        <f>S3139&amp;T3139</f>
        <v/>
      </c>
      <c r="S3139" s="6">
        <f>YEAR(U3139)</f>
        <v/>
      </c>
      <c r="T3139" s="6">
        <f>MONTH(U3139)</f>
        <v/>
      </c>
      <c r="Z3139" s="6">
        <f>AA3139&amp;AB3139</f>
        <v/>
      </c>
      <c r="AA3139" s="6">
        <f>YEAR(AC3139)</f>
        <v/>
      </c>
      <c r="AB3139" s="6">
        <f>MONTH(AC3139)</f>
        <v/>
      </c>
      <c r="AH3139" s="6">
        <f>AI3139&amp;AJ3139</f>
        <v/>
      </c>
      <c r="AI3139" s="6">
        <f>YEAR(AK3139)</f>
        <v/>
      </c>
      <c r="AJ3139" s="6">
        <f>MONTH(AK3139)</f>
        <v/>
      </c>
      <c r="AP3139" s="6">
        <f>AQ3139&amp;AR3139</f>
        <v/>
      </c>
      <c r="AQ3139" s="6">
        <f>YEAR(AS3139)</f>
        <v/>
      </c>
      <c r="AR3139" s="6">
        <f>MONTH(AS3139)</f>
        <v/>
      </c>
    </row>
    <row r="3140">
      <c r="B3140" s="6">
        <f>C3140&amp;D3140</f>
        <v/>
      </c>
      <c r="C3140" s="6">
        <f>YEAR(E3140)</f>
        <v/>
      </c>
      <c r="D3140" s="6">
        <f>MONTH(E3140)</f>
        <v/>
      </c>
      <c r="J3140" s="6">
        <f>K3140&amp;L3140</f>
        <v/>
      </c>
      <c r="K3140" s="6">
        <f>YEAR(M3140)</f>
        <v/>
      </c>
      <c r="L3140" s="6">
        <f>MONTH(M3140)</f>
        <v/>
      </c>
      <c r="R3140" s="6">
        <f>S3140&amp;T3140</f>
        <v/>
      </c>
      <c r="S3140" s="6">
        <f>YEAR(U3140)</f>
        <v/>
      </c>
      <c r="T3140" s="6">
        <f>MONTH(U3140)</f>
        <v/>
      </c>
      <c r="Z3140" s="6">
        <f>AA3140&amp;AB3140</f>
        <v/>
      </c>
      <c r="AA3140" s="6">
        <f>YEAR(AC3140)</f>
        <v/>
      </c>
      <c r="AB3140" s="6">
        <f>MONTH(AC3140)</f>
        <v/>
      </c>
      <c r="AH3140" s="6">
        <f>AI3140&amp;AJ3140</f>
        <v/>
      </c>
      <c r="AI3140" s="6">
        <f>YEAR(AK3140)</f>
        <v/>
      </c>
      <c r="AJ3140" s="6">
        <f>MONTH(AK3140)</f>
        <v/>
      </c>
      <c r="AP3140" s="6">
        <f>AQ3140&amp;AR3140</f>
        <v/>
      </c>
      <c r="AQ3140" s="6">
        <f>YEAR(AS3140)</f>
        <v/>
      </c>
      <c r="AR3140" s="6">
        <f>MONTH(AS3140)</f>
        <v/>
      </c>
    </row>
    <row r="3141">
      <c r="B3141" s="6">
        <f>C3141&amp;D3141</f>
        <v/>
      </c>
      <c r="C3141" s="6">
        <f>YEAR(E3141)</f>
        <v/>
      </c>
      <c r="D3141" s="6">
        <f>MONTH(E3141)</f>
        <v/>
      </c>
      <c r="J3141" s="6">
        <f>K3141&amp;L3141</f>
        <v/>
      </c>
      <c r="K3141" s="6">
        <f>YEAR(M3141)</f>
        <v/>
      </c>
      <c r="L3141" s="6">
        <f>MONTH(M3141)</f>
        <v/>
      </c>
      <c r="R3141" s="6">
        <f>S3141&amp;T3141</f>
        <v/>
      </c>
      <c r="S3141" s="6">
        <f>YEAR(U3141)</f>
        <v/>
      </c>
      <c r="T3141" s="6">
        <f>MONTH(U3141)</f>
        <v/>
      </c>
      <c r="Z3141" s="6">
        <f>AA3141&amp;AB3141</f>
        <v/>
      </c>
      <c r="AA3141" s="6">
        <f>YEAR(AC3141)</f>
        <v/>
      </c>
      <c r="AB3141" s="6">
        <f>MONTH(AC3141)</f>
        <v/>
      </c>
      <c r="AH3141" s="6">
        <f>AI3141&amp;AJ3141</f>
        <v/>
      </c>
      <c r="AI3141" s="6">
        <f>YEAR(AK3141)</f>
        <v/>
      </c>
      <c r="AJ3141" s="6">
        <f>MONTH(AK3141)</f>
        <v/>
      </c>
      <c r="AP3141" s="6">
        <f>AQ3141&amp;AR3141</f>
        <v/>
      </c>
      <c r="AQ3141" s="6">
        <f>YEAR(AS3141)</f>
        <v/>
      </c>
      <c r="AR3141" s="6">
        <f>MONTH(AS3141)</f>
        <v/>
      </c>
    </row>
    <row r="3142">
      <c r="B3142" s="6">
        <f>C3142&amp;D3142</f>
        <v/>
      </c>
      <c r="C3142" s="6">
        <f>YEAR(E3142)</f>
        <v/>
      </c>
      <c r="D3142" s="6">
        <f>MONTH(E3142)</f>
        <v/>
      </c>
      <c r="J3142" s="6">
        <f>K3142&amp;L3142</f>
        <v/>
      </c>
      <c r="K3142" s="6">
        <f>YEAR(M3142)</f>
        <v/>
      </c>
      <c r="L3142" s="6">
        <f>MONTH(M3142)</f>
        <v/>
      </c>
      <c r="R3142" s="6">
        <f>S3142&amp;T3142</f>
        <v/>
      </c>
      <c r="S3142" s="6">
        <f>YEAR(U3142)</f>
        <v/>
      </c>
      <c r="T3142" s="6">
        <f>MONTH(U3142)</f>
        <v/>
      </c>
      <c r="Z3142" s="6">
        <f>AA3142&amp;AB3142</f>
        <v/>
      </c>
      <c r="AA3142" s="6">
        <f>YEAR(AC3142)</f>
        <v/>
      </c>
      <c r="AB3142" s="6">
        <f>MONTH(AC3142)</f>
        <v/>
      </c>
      <c r="AH3142" s="6">
        <f>AI3142&amp;AJ3142</f>
        <v/>
      </c>
      <c r="AI3142" s="6">
        <f>YEAR(AK3142)</f>
        <v/>
      </c>
      <c r="AJ3142" s="6">
        <f>MONTH(AK3142)</f>
        <v/>
      </c>
      <c r="AP3142" s="6">
        <f>AQ3142&amp;AR3142</f>
        <v/>
      </c>
      <c r="AQ3142" s="6">
        <f>YEAR(AS3142)</f>
        <v/>
      </c>
      <c r="AR3142" s="6">
        <f>MONTH(AS3142)</f>
        <v/>
      </c>
    </row>
    <row r="3143">
      <c r="B3143" s="6">
        <f>C3143&amp;D3143</f>
        <v/>
      </c>
      <c r="C3143" s="6">
        <f>YEAR(E3143)</f>
        <v/>
      </c>
      <c r="D3143" s="6">
        <f>MONTH(E3143)</f>
        <v/>
      </c>
      <c r="J3143" s="6">
        <f>K3143&amp;L3143</f>
        <v/>
      </c>
      <c r="K3143" s="6">
        <f>YEAR(M3143)</f>
        <v/>
      </c>
      <c r="L3143" s="6">
        <f>MONTH(M3143)</f>
        <v/>
      </c>
      <c r="R3143" s="6">
        <f>S3143&amp;T3143</f>
        <v/>
      </c>
      <c r="S3143" s="6">
        <f>YEAR(U3143)</f>
        <v/>
      </c>
      <c r="T3143" s="6">
        <f>MONTH(U3143)</f>
        <v/>
      </c>
      <c r="Z3143" s="6">
        <f>AA3143&amp;AB3143</f>
        <v/>
      </c>
      <c r="AA3143" s="6">
        <f>YEAR(AC3143)</f>
        <v/>
      </c>
      <c r="AB3143" s="6">
        <f>MONTH(AC3143)</f>
        <v/>
      </c>
      <c r="AH3143" s="6">
        <f>AI3143&amp;AJ3143</f>
        <v/>
      </c>
      <c r="AI3143" s="6">
        <f>YEAR(AK3143)</f>
        <v/>
      </c>
      <c r="AJ3143" s="6">
        <f>MONTH(AK3143)</f>
        <v/>
      </c>
      <c r="AP3143" s="6">
        <f>AQ3143&amp;AR3143</f>
        <v/>
      </c>
      <c r="AQ3143" s="6">
        <f>YEAR(AS3143)</f>
        <v/>
      </c>
      <c r="AR3143" s="6">
        <f>MONTH(AS3143)</f>
        <v/>
      </c>
    </row>
    <row r="3144">
      <c r="B3144" s="6">
        <f>C3144&amp;D3144</f>
        <v/>
      </c>
      <c r="C3144" s="6">
        <f>YEAR(E3144)</f>
        <v/>
      </c>
      <c r="D3144" s="6">
        <f>MONTH(E3144)</f>
        <v/>
      </c>
      <c r="J3144" s="6">
        <f>K3144&amp;L3144</f>
        <v/>
      </c>
      <c r="K3144" s="6">
        <f>YEAR(M3144)</f>
        <v/>
      </c>
      <c r="L3144" s="6">
        <f>MONTH(M3144)</f>
        <v/>
      </c>
      <c r="R3144" s="6">
        <f>S3144&amp;T3144</f>
        <v/>
      </c>
      <c r="S3144" s="6">
        <f>YEAR(U3144)</f>
        <v/>
      </c>
      <c r="T3144" s="6">
        <f>MONTH(U3144)</f>
        <v/>
      </c>
      <c r="Z3144" s="6">
        <f>AA3144&amp;AB3144</f>
        <v/>
      </c>
      <c r="AA3144" s="6">
        <f>YEAR(AC3144)</f>
        <v/>
      </c>
      <c r="AB3144" s="6">
        <f>MONTH(AC3144)</f>
        <v/>
      </c>
      <c r="AH3144" s="6">
        <f>AI3144&amp;AJ3144</f>
        <v/>
      </c>
      <c r="AI3144" s="6">
        <f>YEAR(AK3144)</f>
        <v/>
      </c>
      <c r="AJ3144" s="6">
        <f>MONTH(AK3144)</f>
        <v/>
      </c>
      <c r="AP3144" s="6">
        <f>AQ3144&amp;AR3144</f>
        <v/>
      </c>
      <c r="AQ3144" s="6">
        <f>YEAR(AS3144)</f>
        <v/>
      </c>
      <c r="AR3144" s="6">
        <f>MONTH(AS3144)</f>
        <v/>
      </c>
    </row>
    <row r="3145">
      <c r="B3145" s="6">
        <f>C3145&amp;D3145</f>
        <v/>
      </c>
      <c r="C3145" s="6">
        <f>YEAR(E3145)</f>
        <v/>
      </c>
      <c r="D3145" s="6">
        <f>MONTH(E3145)</f>
        <v/>
      </c>
      <c r="J3145" s="6">
        <f>K3145&amp;L3145</f>
        <v/>
      </c>
      <c r="K3145" s="6">
        <f>YEAR(M3145)</f>
        <v/>
      </c>
      <c r="L3145" s="6">
        <f>MONTH(M3145)</f>
        <v/>
      </c>
      <c r="R3145" s="6">
        <f>S3145&amp;T3145</f>
        <v/>
      </c>
      <c r="S3145" s="6">
        <f>YEAR(U3145)</f>
        <v/>
      </c>
      <c r="T3145" s="6">
        <f>MONTH(U3145)</f>
        <v/>
      </c>
      <c r="Z3145" s="6">
        <f>AA3145&amp;AB3145</f>
        <v/>
      </c>
      <c r="AA3145" s="6">
        <f>YEAR(AC3145)</f>
        <v/>
      </c>
      <c r="AB3145" s="6">
        <f>MONTH(AC3145)</f>
        <v/>
      </c>
      <c r="AH3145" s="6">
        <f>AI3145&amp;AJ3145</f>
        <v/>
      </c>
      <c r="AI3145" s="6">
        <f>YEAR(AK3145)</f>
        <v/>
      </c>
      <c r="AJ3145" s="6">
        <f>MONTH(AK3145)</f>
        <v/>
      </c>
      <c r="AP3145" s="6">
        <f>AQ3145&amp;AR3145</f>
        <v/>
      </c>
      <c r="AQ3145" s="6">
        <f>YEAR(AS3145)</f>
        <v/>
      </c>
      <c r="AR3145" s="6">
        <f>MONTH(AS3145)</f>
        <v/>
      </c>
    </row>
    <row r="3146">
      <c r="B3146" s="6">
        <f>C3146&amp;D3146</f>
        <v/>
      </c>
      <c r="C3146" s="6">
        <f>YEAR(E3146)</f>
        <v/>
      </c>
      <c r="D3146" s="6">
        <f>MONTH(E3146)</f>
        <v/>
      </c>
      <c r="J3146" s="6">
        <f>K3146&amp;L3146</f>
        <v/>
      </c>
      <c r="K3146" s="6">
        <f>YEAR(M3146)</f>
        <v/>
      </c>
      <c r="L3146" s="6">
        <f>MONTH(M3146)</f>
        <v/>
      </c>
      <c r="R3146" s="6">
        <f>S3146&amp;T3146</f>
        <v/>
      </c>
      <c r="S3146" s="6">
        <f>YEAR(U3146)</f>
        <v/>
      </c>
      <c r="T3146" s="6">
        <f>MONTH(U3146)</f>
        <v/>
      </c>
      <c r="Z3146" s="6">
        <f>AA3146&amp;AB3146</f>
        <v/>
      </c>
      <c r="AA3146" s="6">
        <f>YEAR(AC3146)</f>
        <v/>
      </c>
      <c r="AB3146" s="6">
        <f>MONTH(AC3146)</f>
        <v/>
      </c>
      <c r="AH3146" s="6">
        <f>AI3146&amp;AJ3146</f>
        <v/>
      </c>
      <c r="AI3146" s="6">
        <f>YEAR(AK3146)</f>
        <v/>
      </c>
      <c r="AJ3146" s="6">
        <f>MONTH(AK3146)</f>
        <v/>
      </c>
      <c r="AP3146" s="6">
        <f>AQ3146&amp;AR3146</f>
        <v/>
      </c>
      <c r="AQ3146" s="6">
        <f>YEAR(AS3146)</f>
        <v/>
      </c>
      <c r="AR3146" s="6">
        <f>MONTH(AS3146)</f>
        <v/>
      </c>
    </row>
    <row r="3147">
      <c r="B3147" s="6">
        <f>C3147&amp;D3147</f>
        <v/>
      </c>
      <c r="C3147" s="6">
        <f>YEAR(E3147)</f>
        <v/>
      </c>
      <c r="D3147" s="6">
        <f>MONTH(E3147)</f>
        <v/>
      </c>
      <c r="J3147" s="6">
        <f>K3147&amp;L3147</f>
        <v/>
      </c>
      <c r="K3147" s="6">
        <f>YEAR(M3147)</f>
        <v/>
      </c>
      <c r="L3147" s="6">
        <f>MONTH(M3147)</f>
        <v/>
      </c>
      <c r="R3147" s="6">
        <f>S3147&amp;T3147</f>
        <v/>
      </c>
      <c r="S3147" s="6">
        <f>YEAR(U3147)</f>
        <v/>
      </c>
      <c r="T3147" s="6">
        <f>MONTH(U3147)</f>
        <v/>
      </c>
      <c r="Z3147" s="6">
        <f>AA3147&amp;AB3147</f>
        <v/>
      </c>
      <c r="AA3147" s="6">
        <f>YEAR(AC3147)</f>
        <v/>
      </c>
      <c r="AB3147" s="6">
        <f>MONTH(AC3147)</f>
        <v/>
      </c>
      <c r="AH3147" s="6">
        <f>AI3147&amp;AJ3147</f>
        <v/>
      </c>
      <c r="AI3147" s="6">
        <f>YEAR(AK3147)</f>
        <v/>
      </c>
      <c r="AJ3147" s="6">
        <f>MONTH(AK3147)</f>
        <v/>
      </c>
      <c r="AP3147" s="6">
        <f>AQ3147&amp;AR3147</f>
        <v/>
      </c>
      <c r="AQ3147" s="6">
        <f>YEAR(AS3147)</f>
        <v/>
      </c>
      <c r="AR3147" s="6">
        <f>MONTH(AS3147)</f>
        <v/>
      </c>
    </row>
    <row r="3148">
      <c r="B3148" s="6">
        <f>C3148&amp;D3148</f>
        <v/>
      </c>
      <c r="C3148" s="6">
        <f>YEAR(E3148)</f>
        <v/>
      </c>
      <c r="D3148" s="6">
        <f>MONTH(E3148)</f>
        <v/>
      </c>
      <c r="J3148" s="6">
        <f>K3148&amp;L3148</f>
        <v/>
      </c>
      <c r="K3148" s="6">
        <f>YEAR(M3148)</f>
        <v/>
      </c>
      <c r="L3148" s="6">
        <f>MONTH(M3148)</f>
        <v/>
      </c>
      <c r="R3148" s="6">
        <f>S3148&amp;T3148</f>
        <v/>
      </c>
      <c r="S3148" s="6">
        <f>YEAR(U3148)</f>
        <v/>
      </c>
      <c r="T3148" s="6">
        <f>MONTH(U3148)</f>
        <v/>
      </c>
      <c r="Z3148" s="6">
        <f>AA3148&amp;AB3148</f>
        <v/>
      </c>
      <c r="AA3148" s="6">
        <f>YEAR(AC3148)</f>
        <v/>
      </c>
      <c r="AB3148" s="6">
        <f>MONTH(AC3148)</f>
        <v/>
      </c>
      <c r="AH3148" s="6">
        <f>AI3148&amp;AJ3148</f>
        <v/>
      </c>
      <c r="AI3148" s="6">
        <f>YEAR(AK3148)</f>
        <v/>
      </c>
      <c r="AJ3148" s="6">
        <f>MONTH(AK3148)</f>
        <v/>
      </c>
      <c r="AP3148" s="6">
        <f>AQ3148&amp;AR3148</f>
        <v/>
      </c>
      <c r="AQ3148" s="6">
        <f>YEAR(AS3148)</f>
        <v/>
      </c>
      <c r="AR3148" s="6">
        <f>MONTH(AS3148)</f>
        <v/>
      </c>
    </row>
    <row r="3149">
      <c r="B3149" s="6">
        <f>C3149&amp;D3149</f>
        <v/>
      </c>
      <c r="C3149" s="6">
        <f>YEAR(E3149)</f>
        <v/>
      </c>
      <c r="D3149" s="6">
        <f>MONTH(E3149)</f>
        <v/>
      </c>
      <c r="J3149" s="6">
        <f>K3149&amp;L3149</f>
        <v/>
      </c>
      <c r="K3149" s="6">
        <f>YEAR(M3149)</f>
        <v/>
      </c>
      <c r="L3149" s="6">
        <f>MONTH(M3149)</f>
        <v/>
      </c>
      <c r="R3149" s="6">
        <f>S3149&amp;T3149</f>
        <v/>
      </c>
      <c r="S3149" s="6">
        <f>YEAR(U3149)</f>
        <v/>
      </c>
      <c r="T3149" s="6">
        <f>MONTH(U3149)</f>
        <v/>
      </c>
      <c r="Z3149" s="6">
        <f>AA3149&amp;AB3149</f>
        <v/>
      </c>
      <c r="AA3149" s="6">
        <f>YEAR(AC3149)</f>
        <v/>
      </c>
      <c r="AB3149" s="6">
        <f>MONTH(AC3149)</f>
        <v/>
      </c>
      <c r="AH3149" s="6">
        <f>AI3149&amp;AJ3149</f>
        <v/>
      </c>
      <c r="AI3149" s="6">
        <f>YEAR(AK3149)</f>
        <v/>
      </c>
      <c r="AJ3149" s="6">
        <f>MONTH(AK3149)</f>
        <v/>
      </c>
      <c r="AP3149" s="6">
        <f>AQ3149&amp;AR3149</f>
        <v/>
      </c>
      <c r="AQ3149" s="6">
        <f>YEAR(AS3149)</f>
        <v/>
      </c>
      <c r="AR3149" s="6">
        <f>MONTH(AS3149)</f>
        <v/>
      </c>
    </row>
    <row r="3150">
      <c r="B3150" s="6">
        <f>C3150&amp;D3150</f>
        <v/>
      </c>
      <c r="C3150" s="6">
        <f>YEAR(E3150)</f>
        <v/>
      </c>
      <c r="D3150" s="6">
        <f>MONTH(E3150)</f>
        <v/>
      </c>
      <c r="J3150" s="6">
        <f>K3150&amp;L3150</f>
        <v/>
      </c>
      <c r="K3150" s="6">
        <f>YEAR(M3150)</f>
        <v/>
      </c>
      <c r="L3150" s="6">
        <f>MONTH(M3150)</f>
        <v/>
      </c>
      <c r="R3150" s="6">
        <f>S3150&amp;T3150</f>
        <v/>
      </c>
      <c r="S3150" s="6">
        <f>YEAR(U3150)</f>
        <v/>
      </c>
      <c r="T3150" s="6">
        <f>MONTH(U3150)</f>
        <v/>
      </c>
      <c r="Z3150" s="6">
        <f>AA3150&amp;AB3150</f>
        <v/>
      </c>
      <c r="AA3150" s="6">
        <f>YEAR(AC3150)</f>
        <v/>
      </c>
      <c r="AB3150" s="6">
        <f>MONTH(AC3150)</f>
        <v/>
      </c>
      <c r="AH3150" s="6">
        <f>AI3150&amp;AJ3150</f>
        <v/>
      </c>
      <c r="AI3150" s="6">
        <f>YEAR(AK3150)</f>
        <v/>
      </c>
      <c r="AJ3150" s="6">
        <f>MONTH(AK3150)</f>
        <v/>
      </c>
      <c r="AP3150" s="6">
        <f>AQ3150&amp;AR3150</f>
        <v/>
      </c>
      <c r="AQ3150" s="6">
        <f>YEAR(AS3150)</f>
        <v/>
      </c>
      <c r="AR3150" s="6">
        <f>MONTH(AS3150)</f>
        <v/>
      </c>
    </row>
    <row r="3151">
      <c r="B3151" s="6">
        <f>C3151&amp;D3151</f>
        <v/>
      </c>
      <c r="C3151" s="6">
        <f>YEAR(E3151)</f>
        <v/>
      </c>
      <c r="D3151" s="6">
        <f>MONTH(E3151)</f>
        <v/>
      </c>
      <c r="J3151" s="6">
        <f>K3151&amp;L3151</f>
        <v/>
      </c>
      <c r="K3151" s="6">
        <f>YEAR(M3151)</f>
        <v/>
      </c>
      <c r="L3151" s="6">
        <f>MONTH(M3151)</f>
        <v/>
      </c>
      <c r="R3151" s="6">
        <f>S3151&amp;T3151</f>
        <v/>
      </c>
      <c r="S3151" s="6">
        <f>YEAR(U3151)</f>
        <v/>
      </c>
      <c r="T3151" s="6">
        <f>MONTH(U3151)</f>
        <v/>
      </c>
      <c r="Z3151" s="6">
        <f>AA3151&amp;AB3151</f>
        <v/>
      </c>
      <c r="AA3151" s="6">
        <f>YEAR(AC3151)</f>
        <v/>
      </c>
      <c r="AB3151" s="6">
        <f>MONTH(AC3151)</f>
        <v/>
      </c>
      <c r="AH3151" s="6">
        <f>AI3151&amp;AJ3151</f>
        <v/>
      </c>
      <c r="AI3151" s="6">
        <f>YEAR(AK3151)</f>
        <v/>
      </c>
      <c r="AJ3151" s="6">
        <f>MONTH(AK3151)</f>
        <v/>
      </c>
      <c r="AP3151" s="6">
        <f>AQ3151&amp;AR3151</f>
        <v/>
      </c>
      <c r="AQ3151" s="6">
        <f>YEAR(AS3151)</f>
        <v/>
      </c>
      <c r="AR3151" s="6">
        <f>MONTH(AS3151)</f>
        <v/>
      </c>
    </row>
    <row r="3152">
      <c r="B3152" s="6">
        <f>C3152&amp;D3152</f>
        <v/>
      </c>
      <c r="C3152" s="6">
        <f>YEAR(E3152)</f>
        <v/>
      </c>
      <c r="D3152" s="6">
        <f>MONTH(E3152)</f>
        <v/>
      </c>
      <c r="J3152" s="6">
        <f>K3152&amp;L3152</f>
        <v/>
      </c>
      <c r="K3152" s="6">
        <f>YEAR(M3152)</f>
        <v/>
      </c>
      <c r="L3152" s="6">
        <f>MONTH(M3152)</f>
        <v/>
      </c>
      <c r="R3152" s="6">
        <f>S3152&amp;T3152</f>
        <v/>
      </c>
      <c r="S3152" s="6">
        <f>YEAR(U3152)</f>
        <v/>
      </c>
      <c r="T3152" s="6">
        <f>MONTH(U3152)</f>
        <v/>
      </c>
      <c r="Z3152" s="6">
        <f>AA3152&amp;AB3152</f>
        <v/>
      </c>
      <c r="AA3152" s="6">
        <f>YEAR(AC3152)</f>
        <v/>
      </c>
      <c r="AB3152" s="6">
        <f>MONTH(AC3152)</f>
        <v/>
      </c>
      <c r="AH3152" s="6">
        <f>AI3152&amp;AJ3152</f>
        <v/>
      </c>
      <c r="AI3152" s="6">
        <f>YEAR(AK3152)</f>
        <v/>
      </c>
      <c r="AJ3152" s="6">
        <f>MONTH(AK3152)</f>
        <v/>
      </c>
      <c r="AP3152" s="6">
        <f>AQ3152&amp;AR3152</f>
        <v/>
      </c>
      <c r="AQ3152" s="6">
        <f>YEAR(AS3152)</f>
        <v/>
      </c>
      <c r="AR3152" s="6">
        <f>MONTH(AS3152)</f>
        <v/>
      </c>
    </row>
    <row r="3153">
      <c r="B3153" s="6">
        <f>C3153&amp;D3153</f>
        <v/>
      </c>
      <c r="C3153" s="6">
        <f>YEAR(E3153)</f>
        <v/>
      </c>
      <c r="D3153" s="6">
        <f>MONTH(E3153)</f>
        <v/>
      </c>
      <c r="J3153" s="6">
        <f>K3153&amp;L3153</f>
        <v/>
      </c>
      <c r="K3153" s="6">
        <f>YEAR(M3153)</f>
        <v/>
      </c>
      <c r="L3153" s="6">
        <f>MONTH(M3153)</f>
        <v/>
      </c>
      <c r="R3153" s="6">
        <f>S3153&amp;T3153</f>
        <v/>
      </c>
      <c r="S3153" s="6">
        <f>YEAR(U3153)</f>
        <v/>
      </c>
      <c r="T3153" s="6">
        <f>MONTH(U3153)</f>
        <v/>
      </c>
      <c r="Z3153" s="6">
        <f>AA3153&amp;AB3153</f>
        <v/>
      </c>
      <c r="AA3153" s="6">
        <f>YEAR(AC3153)</f>
        <v/>
      </c>
      <c r="AB3153" s="6">
        <f>MONTH(AC3153)</f>
        <v/>
      </c>
      <c r="AH3153" s="6">
        <f>AI3153&amp;AJ3153</f>
        <v/>
      </c>
      <c r="AI3153" s="6">
        <f>YEAR(AK3153)</f>
        <v/>
      </c>
      <c r="AJ3153" s="6">
        <f>MONTH(AK3153)</f>
        <v/>
      </c>
      <c r="AP3153" s="6">
        <f>AQ3153&amp;AR3153</f>
        <v/>
      </c>
      <c r="AQ3153" s="6">
        <f>YEAR(AS3153)</f>
        <v/>
      </c>
      <c r="AR3153" s="6">
        <f>MONTH(AS3153)</f>
        <v/>
      </c>
    </row>
    <row r="3154">
      <c r="B3154" s="6">
        <f>C3154&amp;D3154</f>
        <v/>
      </c>
      <c r="C3154" s="6">
        <f>YEAR(E3154)</f>
        <v/>
      </c>
      <c r="D3154" s="6">
        <f>MONTH(E3154)</f>
        <v/>
      </c>
      <c r="J3154" s="6">
        <f>K3154&amp;L3154</f>
        <v/>
      </c>
      <c r="K3154" s="6">
        <f>YEAR(M3154)</f>
        <v/>
      </c>
      <c r="L3154" s="6">
        <f>MONTH(M3154)</f>
        <v/>
      </c>
      <c r="R3154" s="6">
        <f>S3154&amp;T3154</f>
        <v/>
      </c>
      <c r="S3154" s="6">
        <f>YEAR(U3154)</f>
        <v/>
      </c>
      <c r="T3154" s="6">
        <f>MONTH(U3154)</f>
        <v/>
      </c>
      <c r="Z3154" s="6">
        <f>AA3154&amp;AB3154</f>
        <v/>
      </c>
      <c r="AA3154" s="6">
        <f>YEAR(AC3154)</f>
        <v/>
      </c>
      <c r="AB3154" s="6">
        <f>MONTH(AC3154)</f>
        <v/>
      </c>
      <c r="AH3154" s="6">
        <f>AI3154&amp;AJ3154</f>
        <v/>
      </c>
      <c r="AI3154" s="6">
        <f>YEAR(AK3154)</f>
        <v/>
      </c>
      <c r="AJ3154" s="6">
        <f>MONTH(AK3154)</f>
        <v/>
      </c>
      <c r="AP3154" s="6">
        <f>AQ3154&amp;AR3154</f>
        <v/>
      </c>
      <c r="AQ3154" s="6">
        <f>YEAR(AS3154)</f>
        <v/>
      </c>
      <c r="AR3154" s="6">
        <f>MONTH(AS3154)</f>
        <v/>
      </c>
    </row>
    <row r="3155">
      <c r="B3155" s="6">
        <f>C3155&amp;D3155</f>
        <v/>
      </c>
      <c r="C3155" s="6">
        <f>YEAR(E3155)</f>
        <v/>
      </c>
      <c r="D3155" s="6">
        <f>MONTH(E3155)</f>
        <v/>
      </c>
      <c r="J3155" s="6">
        <f>K3155&amp;L3155</f>
        <v/>
      </c>
      <c r="K3155" s="6">
        <f>YEAR(M3155)</f>
        <v/>
      </c>
      <c r="L3155" s="6">
        <f>MONTH(M3155)</f>
        <v/>
      </c>
      <c r="R3155" s="6">
        <f>S3155&amp;T3155</f>
        <v/>
      </c>
      <c r="S3155" s="6">
        <f>YEAR(U3155)</f>
        <v/>
      </c>
      <c r="T3155" s="6">
        <f>MONTH(U3155)</f>
        <v/>
      </c>
      <c r="Z3155" s="6">
        <f>AA3155&amp;AB3155</f>
        <v/>
      </c>
      <c r="AA3155" s="6">
        <f>YEAR(AC3155)</f>
        <v/>
      </c>
      <c r="AB3155" s="6">
        <f>MONTH(AC3155)</f>
        <v/>
      </c>
      <c r="AH3155" s="6">
        <f>AI3155&amp;AJ3155</f>
        <v/>
      </c>
      <c r="AI3155" s="6">
        <f>YEAR(AK3155)</f>
        <v/>
      </c>
      <c r="AJ3155" s="6">
        <f>MONTH(AK3155)</f>
        <v/>
      </c>
      <c r="AP3155" s="6">
        <f>AQ3155&amp;AR3155</f>
        <v/>
      </c>
      <c r="AQ3155" s="6">
        <f>YEAR(AS3155)</f>
        <v/>
      </c>
      <c r="AR3155" s="6">
        <f>MONTH(AS3155)</f>
        <v/>
      </c>
    </row>
    <row r="3156">
      <c r="B3156" s="6">
        <f>C3156&amp;D3156</f>
        <v/>
      </c>
      <c r="C3156" s="6">
        <f>YEAR(E3156)</f>
        <v/>
      </c>
      <c r="D3156" s="6">
        <f>MONTH(E3156)</f>
        <v/>
      </c>
      <c r="J3156" s="6">
        <f>K3156&amp;L3156</f>
        <v/>
      </c>
      <c r="K3156" s="6">
        <f>YEAR(M3156)</f>
        <v/>
      </c>
      <c r="L3156" s="6">
        <f>MONTH(M3156)</f>
        <v/>
      </c>
      <c r="R3156" s="6">
        <f>S3156&amp;T3156</f>
        <v/>
      </c>
      <c r="S3156" s="6">
        <f>YEAR(U3156)</f>
        <v/>
      </c>
      <c r="T3156" s="6">
        <f>MONTH(U3156)</f>
        <v/>
      </c>
      <c r="Z3156" s="6">
        <f>AA3156&amp;AB3156</f>
        <v/>
      </c>
      <c r="AA3156" s="6">
        <f>YEAR(AC3156)</f>
        <v/>
      </c>
      <c r="AB3156" s="6">
        <f>MONTH(AC3156)</f>
        <v/>
      </c>
      <c r="AH3156" s="6">
        <f>AI3156&amp;AJ3156</f>
        <v/>
      </c>
      <c r="AI3156" s="6">
        <f>YEAR(AK3156)</f>
        <v/>
      </c>
      <c r="AJ3156" s="6">
        <f>MONTH(AK3156)</f>
        <v/>
      </c>
      <c r="AP3156" s="6">
        <f>AQ3156&amp;AR3156</f>
        <v/>
      </c>
      <c r="AQ3156" s="6">
        <f>YEAR(AS3156)</f>
        <v/>
      </c>
      <c r="AR3156" s="6">
        <f>MONTH(AS3156)</f>
        <v/>
      </c>
    </row>
    <row r="3157">
      <c r="B3157" s="6">
        <f>C3157&amp;D3157</f>
        <v/>
      </c>
      <c r="C3157" s="6">
        <f>YEAR(E3157)</f>
        <v/>
      </c>
      <c r="D3157" s="6">
        <f>MONTH(E3157)</f>
        <v/>
      </c>
      <c r="J3157" s="6">
        <f>K3157&amp;L3157</f>
        <v/>
      </c>
      <c r="K3157" s="6">
        <f>YEAR(M3157)</f>
        <v/>
      </c>
      <c r="L3157" s="6">
        <f>MONTH(M3157)</f>
        <v/>
      </c>
      <c r="R3157" s="6">
        <f>S3157&amp;T3157</f>
        <v/>
      </c>
      <c r="S3157" s="6">
        <f>YEAR(U3157)</f>
        <v/>
      </c>
      <c r="T3157" s="6">
        <f>MONTH(U3157)</f>
        <v/>
      </c>
      <c r="Z3157" s="6">
        <f>AA3157&amp;AB3157</f>
        <v/>
      </c>
      <c r="AA3157" s="6">
        <f>YEAR(AC3157)</f>
        <v/>
      </c>
      <c r="AB3157" s="6">
        <f>MONTH(AC3157)</f>
        <v/>
      </c>
      <c r="AH3157" s="6">
        <f>AI3157&amp;AJ3157</f>
        <v/>
      </c>
      <c r="AI3157" s="6">
        <f>YEAR(AK3157)</f>
        <v/>
      </c>
      <c r="AJ3157" s="6">
        <f>MONTH(AK3157)</f>
        <v/>
      </c>
      <c r="AP3157" s="6">
        <f>AQ3157&amp;AR3157</f>
        <v/>
      </c>
      <c r="AQ3157" s="6">
        <f>YEAR(AS3157)</f>
        <v/>
      </c>
      <c r="AR3157" s="6">
        <f>MONTH(AS3157)</f>
        <v/>
      </c>
    </row>
    <row r="3158">
      <c r="B3158" s="6">
        <f>C3158&amp;D3158</f>
        <v/>
      </c>
      <c r="C3158" s="6">
        <f>YEAR(E3158)</f>
        <v/>
      </c>
      <c r="D3158" s="6">
        <f>MONTH(E3158)</f>
        <v/>
      </c>
      <c r="J3158" s="6">
        <f>K3158&amp;L3158</f>
        <v/>
      </c>
      <c r="K3158" s="6">
        <f>YEAR(M3158)</f>
        <v/>
      </c>
      <c r="L3158" s="6">
        <f>MONTH(M3158)</f>
        <v/>
      </c>
      <c r="R3158" s="6">
        <f>S3158&amp;T3158</f>
        <v/>
      </c>
      <c r="S3158" s="6">
        <f>YEAR(U3158)</f>
        <v/>
      </c>
      <c r="T3158" s="6">
        <f>MONTH(U3158)</f>
        <v/>
      </c>
      <c r="Z3158" s="6">
        <f>AA3158&amp;AB3158</f>
        <v/>
      </c>
      <c r="AA3158" s="6">
        <f>YEAR(AC3158)</f>
        <v/>
      </c>
      <c r="AB3158" s="6">
        <f>MONTH(AC3158)</f>
        <v/>
      </c>
      <c r="AH3158" s="6">
        <f>AI3158&amp;AJ3158</f>
        <v/>
      </c>
      <c r="AI3158" s="6">
        <f>YEAR(AK3158)</f>
        <v/>
      </c>
      <c r="AJ3158" s="6">
        <f>MONTH(AK3158)</f>
        <v/>
      </c>
      <c r="AP3158" s="6">
        <f>AQ3158&amp;AR3158</f>
        <v/>
      </c>
      <c r="AQ3158" s="6">
        <f>YEAR(AS3158)</f>
        <v/>
      </c>
      <c r="AR3158" s="6">
        <f>MONTH(AS3158)</f>
        <v/>
      </c>
    </row>
    <row r="3159">
      <c r="B3159" s="6">
        <f>C3159&amp;D3159</f>
        <v/>
      </c>
      <c r="C3159" s="6">
        <f>YEAR(E3159)</f>
        <v/>
      </c>
      <c r="D3159" s="6">
        <f>MONTH(E3159)</f>
        <v/>
      </c>
      <c r="J3159" s="6">
        <f>K3159&amp;L3159</f>
        <v/>
      </c>
      <c r="K3159" s="6">
        <f>YEAR(M3159)</f>
        <v/>
      </c>
      <c r="L3159" s="6">
        <f>MONTH(M3159)</f>
        <v/>
      </c>
      <c r="R3159" s="6">
        <f>S3159&amp;T3159</f>
        <v/>
      </c>
      <c r="S3159" s="6">
        <f>YEAR(U3159)</f>
        <v/>
      </c>
      <c r="T3159" s="6">
        <f>MONTH(U3159)</f>
        <v/>
      </c>
      <c r="Z3159" s="6">
        <f>AA3159&amp;AB3159</f>
        <v/>
      </c>
      <c r="AA3159" s="6">
        <f>YEAR(AC3159)</f>
        <v/>
      </c>
      <c r="AB3159" s="6">
        <f>MONTH(AC3159)</f>
        <v/>
      </c>
      <c r="AH3159" s="6">
        <f>AI3159&amp;AJ3159</f>
        <v/>
      </c>
      <c r="AI3159" s="6">
        <f>YEAR(AK3159)</f>
        <v/>
      </c>
      <c r="AJ3159" s="6">
        <f>MONTH(AK3159)</f>
        <v/>
      </c>
      <c r="AP3159" s="6">
        <f>AQ3159&amp;AR3159</f>
        <v/>
      </c>
      <c r="AQ3159" s="6">
        <f>YEAR(AS3159)</f>
        <v/>
      </c>
      <c r="AR3159" s="6">
        <f>MONTH(AS3159)</f>
        <v/>
      </c>
    </row>
    <row r="3160">
      <c r="B3160" s="6">
        <f>C3160&amp;D3160</f>
        <v/>
      </c>
      <c r="C3160" s="6">
        <f>YEAR(E3160)</f>
        <v/>
      </c>
      <c r="D3160" s="6">
        <f>MONTH(E3160)</f>
        <v/>
      </c>
      <c r="J3160" s="6">
        <f>K3160&amp;L3160</f>
        <v/>
      </c>
      <c r="K3160" s="6">
        <f>YEAR(M3160)</f>
        <v/>
      </c>
      <c r="L3160" s="6">
        <f>MONTH(M3160)</f>
        <v/>
      </c>
      <c r="R3160" s="6">
        <f>S3160&amp;T3160</f>
        <v/>
      </c>
      <c r="S3160" s="6">
        <f>YEAR(U3160)</f>
        <v/>
      </c>
      <c r="T3160" s="6">
        <f>MONTH(U3160)</f>
        <v/>
      </c>
      <c r="Z3160" s="6">
        <f>AA3160&amp;AB3160</f>
        <v/>
      </c>
      <c r="AA3160" s="6">
        <f>YEAR(AC3160)</f>
        <v/>
      </c>
      <c r="AB3160" s="6">
        <f>MONTH(AC3160)</f>
        <v/>
      </c>
      <c r="AH3160" s="6">
        <f>AI3160&amp;AJ3160</f>
        <v/>
      </c>
      <c r="AI3160" s="6">
        <f>YEAR(AK3160)</f>
        <v/>
      </c>
      <c r="AJ3160" s="6">
        <f>MONTH(AK3160)</f>
        <v/>
      </c>
      <c r="AP3160" s="6">
        <f>AQ3160&amp;AR3160</f>
        <v/>
      </c>
      <c r="AQ3160" s="6">
        <f>YEAR(AS3160)</f>
        <v/>
      </c>
      <c r="AR3160" s="6">
        <f>MONTH(AS3160)</f>
        <v/>
      </c>
    </row>
    <row r="3161">
      <c r="B3161" s="6">
        <f>C3161&amp;D3161</f>
        <v/>
      </c>
      <c r="C3161" s="6">
        <f>YEAR(E3161)</f>
        <v/>
      </c>
      <c r="D3161" s="6">
        <f>MONTH(E3161)</f>
        <v/>
      </c>
      <c r="J3161" s="6">
        <f>K3161&amp;L3161</f>
        <v/>
      </c>
      <c r="K3161" s="6">
        <f>YEAR(M3161)</f>
        <v/>
      </c>
      <c r="L3161" s="6">
        <f>MONTH(M3161)</f>
        <v/>
      </c>
      <c r="R3161" s="6">
        <f>S3161&amp;T3161</f>
        <v/>
      </c>
      <c r="S3161" s="6">
        <f>YEAR(U3161)</f>
        <v/>
      </c>
      <c r="T3161" s="6">
        <f>MONTH(U3161)</f>
        <v/>
      </c>
      <c r="Z3161" s="6">
        <f>AA3161&amp;AB3161</f>
        <v/>
      </c>
      <c r="AA3161" s="6">
        <f>YEAR(AC3161)</f>
        <v/>
      </c>
      <c r="AB3161" s="6">
        <f>MONTH(AC3161)</f>
        <v/>
      </c>
      <c r="AH3161" s="6">
        <f>AI3161&amp;AJ3161</f>
        <v/>
      </c>
      <c r="AI3161" s="6">
        <f>YEAR(AK3161)</f>
        <v/>
      </c>
      <c r="AJ3161" s="6">
        <f>MONTH(AK3161)</f>
        <v/>
      </c>
      <c r="AP3161" s="6">
        <f>AQ3161&amp;AR3161</f>
        <v/>
      </c>
      <c r="AQ3161" s="6">
        <f>YEAR(AS3161)</f>
        <v/>
      </c>
      <c r="AR3161" s="6">
        <f>MONTH(AS3161)</f>
        <v/>
      </c>
    </row>
    <row r="3162">
      <c r="B3162" s="6">
        <f>C3162&amp;D3162</f>
        <v/>
      </c>
      <c r="C3162" s="6">
        <f>YEAR(E3162)</f>
        <v/>
      </c>
      <c r="D3162" s="6">
        <f>MONTH(E3162)</f>
        <v/>
      </c>
      <c r="J3162" s="6">
        <f>K3162&amp;L3162</f>
        <v/>
      </c>
      <c r="K3162" s="6">
        <f>YEAR(M3162)</f>
        <v/>
      </c>
      <c r="L3162" s="6">
        <f>MONTH(M3162)</f>
        <v/>
      </c>
      <c r="R3162" s="6">
        <f>S3162&amp;T3162</f>
        <v/>
      </c>
      <c r="S3162" s="6">
        <f>YEAR(U3162)</f>
        <v/>
      </c>
      <c r="T3162" s="6">
        <f>MONTH(U3162)</f>
        <v/>
      </c>
      <c r="Z3162" s="6">
        <f>AA3162&amp;AB3162</f>
        <v/>
      </c>
      <c r="AA3162" s="6">
        <f>YEAR(AC3162)</f>
        <v/>
      </c>
      <c r="AB3162" s="6">
        <f>MONTH(AC3162)</f>
        <v/>
      </c>
      <c r="AH3162" s="6">
        <f>AI3162&amp;AJ3162</f>
        <v/>
      </c>
      <c r="AI3162" s="6">
        <f>YEAR(AK3162)</f>
        <v/>
      </c>
      <c r="AJ3162" s="6">
        <f>MONTH(AK3162)</f>
        <v/>
      </c>
      <c r="AP3162" s="6">
        <f>AQ3162&amp;AR3162</f>
        <v/>
      </c>
      <c r="AQ3162" s="6">
        <f>YEAR(AS3162)</f>
        <v/>
      </c>
      <c r="AR3162" s="6">
        <f>MONTH(AS3162)</f>
        <v/>
      </c>
    </row>
    <row r="3163">
      <c r="B3163" s="6">
        <f>C3163&amp;D3163</f>
        <v/>
      </c>
      <c r="C3163" s="6">
        <f>YEAR(E3163)</f>
        <v/>
      </c>
      <c r="D3163" s="6">
        <f>MONTH(E3163)</f>
        <v/>
      </c>
      <c r="J3163" s="6">
        <f>K3163&amp;L3163</f>
        <v/>
      </c>
      <c r="K3163" s="6">
        <f>YEAR(M3163)</f>
        <v/>
      </c>
      <c r="L3163" s="6">
        <f>MONTH(M3163)</f>
        <v/>
      </c>
      <c r="R3163" s="6">
        <f>S3163&amp;T3163</f>
        <v/>
      </c>
      <c r="S3163" s="6">
        <f>YEAR(U3163)</f>
        <v/>
      </c>
      <c r="T3163" s="6">
        <f>MONTH(U3163)</f>
        <v/>
      </c>
      <c r="Z3163" s="6">
        <f>AA3163&amp;AB3163</f>
        <v/>
      </c>
      <c r="AA3163" s="6">
        <f>YEAR(AC3163)</f>
        <v/>
      </c>
      <c r="AB3163" s="6">
        <f>MONTH(AC3163)</f>
        <v/>
      </c>
      <c r="AH3163" s="6">
        <f>AI3163&amp;AJ3163</f>
        <v/>
      </c>
      <c r="AI3163" s="6">
        <f>YEAR(AK3163)</f>
        <v/>
      </c>
      <c r="AJ3163" s="6">
        <f>MONTH(AK3163)</f>
        <v/>
      </c>
      <c r="AP3163" s="6">
        <f>AQ3163&amp;AR3163</f>
        <v/>
      </c>
      <c r="AQ3163" s="6">
        <f>YEAR(AS3163)</f>
        <v/>
      </c>
      <c r="AR3163" s="6">
        <f>MONTH(AS3163)</f>
        <v/>
      </c>
    </row>
    <row r="3164">
      <c r="B3164" s="6">
        <f>C3164&amp;D3164</f>
        <v/>
      </c>
      <c r="C3164" s="6">
        <f>YEAR(E3164)</f>
        <v/>
      </c>
      <c r="D3164" s="6">
        <f>MONTH(E3164)</f>
        <v/>
      </c>
      <c r="J3164" s="6">
        <f>K3164&amp;L3164</f>
        <v/>
      </c>
      <c r="K3164" s="6">
        <f>YEAR(M3164)</f>
        <v/>
      </c>
      <c r="L3164" s="6">
        <f>MONTH(M3164)</f>
        <v/>
      </c>
      <c r="R3164" s="6">
        <f>S3164&amp;T3164</f>
        <v/>
      </c>
      <c r="S3164" s="6">
        <f>YEAR(U3164)</f>
        <v/>
      </c>
      <c r="T3164" s="6">
        <f>MONTH(U3164)</f>
        <v/>
      </c>
      <c r="Z3164" s="6">
        <f>AA3164&amp;AB3164</f>
        <v/>
      </c>
      <c r="AA3164" s="6">
        <f>YEAR(AC3164)</f>
        <v/>
      </c>
      <c r="AB3164" s="6">
        <f>MONTH(AC3164)</f>
        <v/>
      </c>
      <c r="AH3164" s="6">
        <f>AI3164&amp;AJ3164</f>
        <v/>
      </c>
      <c r="AI3164" s="6">
        <f>YEAR(AK3164)</f>
        <v/>
      </c>
      <c r="AJ3164" s="6">
        <f>MONTH(AK3164)</f>
        <v/>
      </c>
      <c r="AP3164" s="6">
        <f>AQ3164&amp;AR3164</f>
        <v/>
      </c>
      <c r="AQ3164" s="6">
        <f>YEAR(AS3164)</f>
        <v/>
      </c>
      <c r="AR3164" s="6">
        <f>MONTH(AS3164)</f>
        <v/>
      </c>
    </row>
    <row r="3165">
      <c r="B3165" s="6">
        <f>C3165&amp;D3165</f>
        <v/>
      </c>
      <c r="C3165" s="6">
        <f>YEAR(E3165)</f>
        <v/>
      </c>
      <c r="D3165" s="6">
        <f>MONTH(E3165)</f>
        <v/>
      </c>
      <c r="J3165" s="6">
        <f>K3165&amp;L3165</f>
        <v/>
      </c>
      <c r="K3165" s="6">
        <f>YEAR(M3165)</f>
        <v/>
      </c>
      <c r="L3165" s="6">
        <f>MONTH(M3165)</f>
        <v/>
      </c>
      <c r="R3165" s="6">
        <f>S3165&amp;T3165</f>
        <v/>
      </c>
      <c r="S3165" s="6">
        <f>YEAR(U3165)</f>
        <v/>
      </c>
      <c r="T3165" s="6">
        <f>MONTH(U3165)</f>
        <v/>
      </c>
      <c r="Z3165" s="6">
        <f>AA3165&amp;AB3165</f>
        <v/>
      </c>
      <c r="AA3165" s="6">
        <f>YEAR(AC3165)</f>
        <v/>
      </c>
      <c r="AB3165" s="6">
        <f>MONTH(AC3165)</f>
        <v/>
      </c>
      <c r="AH3165" s="6">
        <f>AI3165&amp;AJ3165</f>
        <v/>
      </c>
      <c r="AI3165" s="6">
        <f>YEAR(AK3165)</f>
        <v/>
      </c>
      <c r="AJ3165" s="6">
        <f>MONTH(AK3165)</f>
        <v/>
      </c>
      <c r="AP3165" s="6">
        <f>AQ3165&amp;AR3165</f>
        <v/>
      </c>
      <c r="AQ3165" s="6">
        <f>YEAR(AS3165)</f>
        <v/>
      </c>
      <c r="AR3165" s="6">
        <f>MONTH(AS3165)</f>
        <v/>
      </c>
    </row>
    <row r="3166">
      <c r="B3166" s="6">
        <f>C3166&amp;D3166</f>
        <v/>
      </c>
      <c r="C3166" s="6">
        <f>YEAR(E3166)</f>
        <v/>
      </c>
      <c r="D3166" s="6">
        <f>MONTH(E3166)</f>
        <v/>
      </c>
      <c r="J3166" s="6">
        <f>K3166&amp;L3166</f>
        <v/>
      </c>
      <c r="K3166" s="6">
        <f>YEAR(M3166)</f>
        <v/>
      </c>
      <c r="L3166" s="6">
        <f>MONTH(M3166)</f>
        <v/>
      </c>
      <c r="R3166" s="6">
        <f>S3166&amp;T3166</f>
        <v/>
      </c>
      <c r="S3166" s="6">
        <f>YEAR(U3166)</f>
        <v/>
      </c>
      <c r="T3166" s="6">
        <f>MONTH(U3166)</f>
        <v/>
      </c>
      <c r="Z3166" s="6">
        <f>AA3166&amp;AB3166</f>
        <v/>
      </c>
      <c r="AA3166" s="6">
        <f>YEAR(AC3166)</f>
        <v/>
      </c>
      <c r="AB3166" s="6">
        <f>MONTH(AC3166)</f>
        <v/>
      </c>
      <c r="AH3166" s="6">
        <f>AI3166&amp;AJ3166</f>
        <v/>
      </c>
      <c r="AI3166" s="6">
        <f>YEAR(AK3166)</f>
        <v/>
      </c>
      <c r="AJ3166" s="6">
        <f>MONTH(AK3166)</f>
        <v/>
      </c>
      <c r="AP3166" s="6">
        <f>AQ3166&amp;AR3166</f>
        <v/>
      </c>
      <c r="AQ3166" s="6">
        <f>YEAR(AS3166)</f>
        <v/>
      </c>
      <c r="AR3166" s="6">
        <f>MONTH(AS3166)</f>
        <v/>
      </c>
    </row>
    <row r="3167">
      <c r="B3167" s="6">
        <f>C3167&amp;D3167</f>
        <v/>
      </c>
      <c r="C3167" s="6">
        <f>YEAR(E3167)</f>
        <v/>
      </c>
      <c r="D3167" s="6">
        <f>MONTH(E3167)</f>
        <v/>
      </c>
      <c r="J3167" s="6">
        <f>K3167&amp;L3167</f>
        <v/>
      </c>
      <c r="K3167" s="6">
        <f>YEAR(M3167)</f>
        <v/>
      </c>
      <c r="L3167" s="6">
        <f>MONTH(M3167)</f>
        <v/>
      </c>
      <c r="R3167" s="6">
        <f>S3167&amp;T3167</f>
        <v/>
      </c>
      <c r="S3167" s="6">
        <f>YEAR(U3167)</f>
        <v/>
      </c>
      <c r="T3167" s="6">
        <f>MONTH(U3167)</f>
        <v/>
      </c>
      <c r="Z3167" s="6">
        <f>AA3167&amp;AB3167</f>
        <v/>
      </c>
      <c r="AA3167" s="6">
        <f>YEAR(AC3167)</f>
        <v/>
      </c>
      <c r="AB3167" s="6">
        <f>MONTH(AC3167)</f>
        <v/>
      </c>
      <c r="AH3167" s="6">
        <f>AI3167&amp;AJ3167</f>
        <v/>
      </c>
      <c r="AI3167" s="6">
        <f>YEAR(AK3167)</f>
        <v/>
      </c>
      <c r="AJ3167" s="6">
        <f>MONTH(AK3167)</f>
        <v/>
      </c>
      <c r="AP3167" s="6">
        <f>AQ3167&amp;AR3167</f>
        <v/>
      </c>
      <c r="AQ3167" s="6">
        <f>YEAR(AS3167)</f>
        <v/>
      </c>
      <c r="AR3167" s="6">
        <f>MONTH(AS3167)</f>
        <v/>
      </c>
    </row>
    <row r="3168">
      <c r="B3168" s="6">
        <f>C3168&amp;D3168</f>
        <v/>
      </c>
      <c r="C3168" s="6">
        <f>YEAR(E3168)</f>
        <v/>
      </c>
      <c r="D3168" s="6">
        <f>MONTH(E3168)</f>
        <v/>
      </c>
      <c r="J3168" s="6">
        <f>K3168&amp;L3168</f>
        <v/>
      </c>
      <c r="K3168" s="6">
        <f>YEAR(M3168)</f>
        <v/>
      </c>
      <c r="L3168" s="6">
        <f>MONTH(M3168)</f>
        <v/>
      </c>
      <c r="R3168" s="6">
        <f>S3168&amp;T3168</f>
        <v/>
      </c>
      <c r="S3168" s="6">
        <f>YEAR(U3168)</f>
        <v/>
      </c>
      <c r="T3168" s="6">
        <f>MONTH(U3168)</f>
        <v/>
      </c>
      <c r="Z3168" s="6">
        <f>AA3168&amp;AB3168</f>
        <v/>
      </c>
      <c r="AA3168" s="6">
        <f>YEAR(AC3168)</f>
        <v/>
      </c>
      <c r="AB3168" s="6">
        <f>MONTH(AC3168)</f>
        <v/>
      </c>
      <c r="AH3168" s="6">
        <f>AI3168&amp;AJ3168</f>
        <v/>
      </c>
      <c r="AI3168" s="6">
        <f>YEAR(AK3168)</f>
        <v/>
      </c>
      <c r="AJ3168" s="6">
        <f>MONTH(AK3168)</f>
        <v/>
      </c>
      <c r="AP3168" s="6">
        <f>AQ3168&amp;AR3168</f>
        <v/>
      </c>
      <c r="AQ3168" s="6">
        <f>YEAR(AS3168)</f>
        <v/>
      </c>
      <c r="AR3168" s="6">
        <f>MONTH(AS3168)</f>
        <v/>
      </c>
    </row>
    <row r="3169">
      <c r="B3169" s="6">
        <f>C3169&amp;D3169</f>
        <v/>
      </c>
      <c r="C3169" s="6">
        <f>YEAR(E3169)</f>
        <v/>
      </c>
      <c r="D3169" s="6">
        <f>MONTH(E3169)</f>
        <v/>
      </c>
      <c r="J3169" s="6">
        <f>K3169&amp;L3169</f>
        <v/>
      </c>
      <c r="K3169" s="6">
        <f>YEAR(M3169)</f>
        <v/>
      </c>
      <c r="L3169" s="6">
        <f>MONTH(M3169)</f>
        <v/>
      </c>
      <c r="R3169" s="6">
        <f>S3169&amp;T3169</f>
        <v/>
      </c>
      <c r="S3169" s="6">
        <f>YEAR(U3169)</f>
        <v/>
      </c>
      <c r="T3169" s="6">
        <f>MONTH(U3169)</f>
        <v/>
      </c>
      <c r="Z3169" s="6">
        <f>AA3169&amp;AB3169</f>
        <v/>
      </c>
      <c r="AA3169" s="6">
        <f>YEAR(AC3169)</f>
        <v/>
      </c>
      <c r="AB3169" s="6">
        <f>MONTH(AC3169)</f>
        <v/>
      </c>
      <c r="AH3169" s="6">
        <f>AI3169&amp;AJ3169</f>
        <v/>
      </c>
      <c r="AI3169" s="6">
        <f>YEAR(AK3169)</f>
        <v/>
      </c>
      <c r="AJ3169" s="6">
        <f>MONTH(AK3169)</f>
        <v/>
      </c>
      <c r="AP3169" s="6">
        <f>AQ3169&amp;AR3169</f>
        <v/>
      </c>
      <c r="AQ3169" s="6">
        <f>YEAR(AS3169)</f>
        <v/>
      </c>
      <c r="AR3169" s="6">
        <f>MONTH(AS3169)</f>
        <v/>
      </c>
    </row>
    <row r="3170">
      <c r="B3170" s="6">
        <f>C3170&amp;D3170</f>
        <v/>
      </c>
      <c r="C3170" s="6">
        <f>YEAR(E3170)</f>
        <v/>
      </c>
      <c r="D3170" s="6">
        <f>MONTH(E3170)</f>
        <v/>
      </c>
      <c r="J3170" s="6">
        <f>K3170&amp;L3170</f>
        <v/>
      </c>
      <c r="K3170" s="6">
        <f>YEAR(M3170)</f>
        <v/>
      </c>
      <c r="L3170" s="6">
        <f>MONTH(M3170)</f>
        <v/>
      </c>
      <c r="R3170" s="6">
        <f>S3170&amp;T3170</f>
        <v/>
      </c>
      <c r="S3170" s="6">
        <f>YEAR(U3170)</f>
        <v/>
      </c>
      <c r="T3170" s="6">
        <f>MONTH(U3170)</f>
        <v/>
      </c>
      <c r="Z3170" s="6">
        <f>AA3170&amp;AB3170</f>
        <v/>
      </c>
      <c r="AA3170" s="6">
        <f>YEAR(AC3170)</f>
        <v/>
      </c>
      <c r="AB3170" s="6">
        <f>MONTH(AC3170)</f>
        <v/>
      </c>
      <c r="AH3170" s="6">
        <f>AI3170&amp;AJ3170</f>
        <v/>
      </c>
      <c r="AI3170" s="6">
        <f>YEAR(AK3170)</f>
        <v/>
      </c>
      <c r="AJ3170" s="6">
        <f>MONTH(AK3170)</f>
        <v/>
      </c>
      <c r="AP3170" s="6">
        <f>AQ3170&amp;AR3170</f>
        <v/>
      </c>
      <c r="AQ3170" s="6">
        <f>YEAR(AS3170)</f>
        <v/>
      </c>
      <c r="AR3170" s="6">
        <f>MONTH(AS3170)</f>
        <v/>
      </c>
    </row>
    <row r="3171">
      <c r="B3171" s="6">
        <f>C3171&amp;D3171</f>
        <v/>
      </c>
      <c r="C3171" s="6">
        <f>YEAR(E3171)</f>
        <v/>
      </c>
      <c r="D3171" s="6">
        <f>MONTH(E3171)</f>
        <v/>
      </c>
      <c r="J3171" s="6">
        <f>K3171&amp;L3171</f>
        <v/>
      </c>
      <c r="K3171" s="6">
        <f>YEAR(M3171)</f>
        <v/>
      </c>
      <c r="L3171" s="6">
        <f>MONTH(M3171)</f>
        <v/>
      </c>
      <c r="R3171" s="6">
        <f>S3171&amp;T3171</f>
        <v/>
      </c>
      <c r="S3171" s="6">
        <f>YEAR(U3171)</f>
        <v/>
      </c>
      <c r="T3171" s="6">
        <f>MONTH(U3171)</f>
        <v/>
      </c>
      <c r="Z3171" s="6">
        <f>AA3171&amp;AB3171</f>
        <v/>
      </c>
      <c r="AA3171" s="6">
        <f>YEAR(AC3171)</f>
        <v/>
      </c>
      <c r="AB3171" s="6">
        <f>MONTH(AC3171)</f>
        <v/>
      </c>
      <c r="AH3171" s="6">
        <f>AI3171&amp;AJ3171</f>
        <v/>
      </c>
      <c r="AI3171" s="6">
        <f>YEAR(AK3171)</f>
        <v/>
      </c>
      <c r="AJ3171" s="6">
        <f>MONTH(AK3171)</f>
        <v/>
      </c>
      <c r="AP3171" s="6">
        <f>AQ3171&amp;AR3171</f>
        <v/>
      </c>
      <c r="AQ3171" s="6">
        <f>YEAR(AS3171)</f>
        <v/>
      </c>
      <c r="AR3171" s="6">
        <f>MONTH(AS3171)</f>
        <v/>
      </c>
    </row>
    <row r="3172">
      <c r="B3172" s="6">
        <f>C3172&amp;D3172</f>
        <v/>
      </c>
      <c r="C3172" s="6">
        <f>YEAR(E3172)</f>
        <v/>
      </c>
      <c r="D3172" s="6">
        <f>MONTH(E3172)</f>
        <v/>
      </c>
      <c r="J3172" s="6">
        <f>K3172&amp;L3172</f>
        <v/>
      </c>
      <c r="K3172" s="6">
        <f>YEAR(M3172)</f>
        <v/>
      </c>
      <c r="L3172" s="6">
        <f>MONTH(M3172)</f>
        <v/>
      </c>
      <c r="R3172" s="6">
        <f>S3172&amp;T3172</f>
        <v/>
      </c>
      <c r="S3172" s="6">
        <f>YEAR(U3172)</f>
        <v/>
      </c>
      <c r="T3172" s="6">
        <f>MONTH(U3172)</f>
        <v/>
      </c>
      <c r="Z3172" s="6">
        <f>AA3172&amp;AB3172</f>
        <v/>
      </c>
      <c r="AA3172" s="6">
        <f>YEAR(AC3172)</f>
        <v/>
      </c>
      <c r="AB3172" s="6">
        <f>MONTH(AC3172)</f>
        <v/>
      </c>
      <c r="AH3172" s="6">
        <f>AI3172&amp;AJ3172</f>
        <v/>
      </c>
      <c r="AI3172" s="6">
        <f>YEAR(AK3172)</f>
        <v/>
      </c>
      <c r="AJ3172" s="6">
        <f>MONTH(AK3172)</f>
        <v/>
      </c>
      <c r="AP3172" s="6">
        <f>AQ3172&amp;AR3172</f>
        <v/>
      </c>
      <c r="AQ3172" s="6">
        <f>YEAR(AS3172)</f>
        <v/>
      </c>
      <c r="AR3172" s="6">
        <f>MONTH(AS3172)</f>
        <v/>
      </c>
    </row>
    <row r="3173">
      <c r="B3173" s="6">
        <f>C3173&amp;D3173</f>
        <v/>
      </c>
      <c r="C3173" s="6">
        <f>YEAR(E3173)</f>
        <v/>
      </c>
      <c r="D3173" s="6">
        <f>MONTH(E3173)</f>
        <v/>
      </c>
      <c r="J3173" s="6">
        <f>K3173&amp;L3173</f>
        <v/>
      </c>
      <c r="K3173" s="6">
        <f>YEAR(M3173)</f>
        <v/>
      </c>
      <c r="L3173" s="6">
        <f>MONTH(M3173)</f>
        <v/>
      </c>
      <c r="R3173" s="6">
        <f>S3173&amp;T3173</f>
        <v/>
      </c>
      <c r="S3173" s="6">
        <f>YEAR(U3173)</f>
        <v/>
      </c>
      <c r="T3173" s="6">
        <f>MONTH(U3173)</f>
        <v/>
      </c>
      <c r="Z3173" s="6">
        <f>AA3173&amp;AB3173</f>
        <v/>
      </c>
      <c r="AA3173" s="6">
        <f>YEAR(AC3173)</f>
        <v/>
      </c>
      <c r="AB3173" s="6">
        <f>MONTH(AC3173)</f>
        <v/>
      </c>
      <c r="AH3173" s="6">
        <f>AI3173&amp;AJ3173</f>
        <v/>
      </c>
      <c r="AI3173" s="6">
        <f>YEAR(AK3173)</f>
        <v/>
      </c>
      <c r="AJ3173" s="6">
        <f>MONTH(AK3173)</f>
        <v/>
      </c>
      <c r="AP3173" s="6">
        <f>AQ3173&amp;AR3173</f>
        <v/>
      </c>
      <c r="AQ3173" s="6">
        <f>YEAR(AS3173)</f>
        <v/>
      </c>
      <c r="AR3173" s="6">
        <f>MONTH(AS3173)</f>
        <v/>
      </c>
    </row>
    <row r="3174">
      <c r="B3174" s="6">
        <f>C3174&amp;D3174</f>
        <v/>
      </c>
      <c r="C3174" s="6">
        <f>YEAR(E3174)</f>
        <v/>
      </c>
      <c r="D3174" s="6">
        <f>MONTH(E3174)</f>
        <v/>
      </c>
      <c r="J3174" s="6">
        <f>K3174&amp;L3174</f>
        <v/>
      </c>
      <c r="K3174" s="6">
        <f>YEAR(M3174)</f>
        <v/>
      </c>
      <c r="L3174" s="6">
        <f>MONTH(M3174)</f>
        <v/>
      </c>
      <c r="R3174" s="6">
        <f>S3174&amp;T3174</f>
        <v/>
      </c>
      <c r="S3174" s="6">
        <f>YEAR(U3174)</f>
        <v/>
      </c>
      <c r="T3174" s="6">
        <f>MONTH(U3174)</f>
        <v/>
      </c>
      <c r="Z3174" s="6">
        <f>AA3174&amp;AB3174</f>
        <v/>
      </c>
      <c r="AA3174" s="6">
        <f>YEAR(AC3174)</f>
        <v/>
      </c>
      <c r="AB3174" s="6">
        <f>MONTH(AC3174)</f>
        <v/>
      </c>
      <c r="AH3174" s="6">
        <f>AI3174&amp;AJ3174</f>
        <v/>
      </c>
      <c r="AI3174" s="6">
        <f>YEAR(AK3174)</f>
        <v/>
      </c>
      <c r="AJ3174" s="6">
        <f>MONTH(AK3174)</f>
        <v/>
      </c>
      <c r="AP3174" s="6">
        <f>AQ3174&amp;AR3174</f>
        <v/>
      </c>
      <c r="AQ3174" s="6">
        <f>YEAR(AS3174)</f>
        <v/>
      </c>
      <c r="AR3174" s="6">
        <f>MONTH(AS3174)</f>
        <v/>
      </c>
    </row>
    <row r="3175">
      <c r="B3175" s="6">
        <f>C3175&amp;D3175</f>
        <v/>
      </c>
      <c r="C3175" s="6">
        <f>YEAR(E3175)</f>
        <v/>
      </c>
      <c r="D3175" s="6">
        <f>MONTH(E3175)</f>
        <v/>
      </c>
      <c r="J3175" s="6">
        <f>K3175&amp;L3175</f>
        <v/>
      </c>
      <c r="K3175" s="6">
        <f>YEAR(M3175)</f>
        <v/>
      </c>
      <c r="L3175" s="6">
        <f>MONTH(M3175)</f>
        <v/>
      </c>
      <c r="R3175" s="6">
        <f>S3175&amp;T3175</f>
        <v/>
      </c>
      <c r="S3175" s="6">
        <f>YEAR(U3175)</f>
        <v/>
      </c>
      <c r="T3175" s="6">
        <f>MONTH(U3175)</f>
        <v/>
      </c>
      <c r="Z3175" s="6">
        <f>AA3175&amp;AB3175</f>
        <v/>
      </c>
      <c r="AA3175" s="6">
        <f>YEAR(AC3175)</f>
        <v/>
      </c>
      <c r="AB3175" s="6">
        <f>MONTH(AC3175)</f>
        <v/>
      </c>
      <c r="AH3175" s="6">
        <f>AI3175&amp;AJ3175</f>
        <v/>
      </c>
      <c r="AI3175" s="6">
        <f>YEAR(AK3175)</f>
        <v/>
      </c>
      <c r="AJ3175" s="6">
        <f>MONTH(AK3175)</f>
        <v/>
      </c>
      <c r="AP3175" s="6">
        <f>AQ3175&amp;AR3175</f>
        <v/>
      </c>
      <c r="AQ3175" s="6">
        <f>YEAR(AS3175)</f>
        <v/>
      </c>
      <c r="AR3175" s="6">
        <f>MONTH(AS3175)</f>
        <v/>
      </c>
    </row>
    <row r="3176">
      <c r="B3176" s="6">
        <f>C3176&amp;D3176</f>
        <v/>
      </c>
      <c r="C3176" s="6">
        <f>YEAR(E3176)</f>
        <v/>
      </c>
      <c r="D3176" s="6">
        <f>MONTH(E3176)</f>
        <v/>
      </c>
      <c r="J3176" s="6">
        <f>K3176&amp;L3176</f>
        <v/>
      </c>
      <c r="K3176" s="6">
        <f>YEAR(M3176)</f>
        <v/>
      </c>
      <c r="L3176" s="6">
        <f>MONTH(M3176)</f>
        <v/>
      </c>
      <c r="R3176" s="6">
        <f>S3176&amp;T3176</f>
        <v/>
      </c>
      <c r="S3176" s="6">
        <f>YEAR(U3176)</f>
        <v/>
      </c>
      <c r="T3176" s="6">
        <f>MONTH(U3176)</f>
        <v/>
      </c>
      <c r="Z3176" s="6">
        <f>AA3176&amp;AB3176</f>
        <v/>
      </c>
      <c r="AA3176" s="6">
        <f>YEAR(AC3176)</f>
        <v/>
      </c>
      <c r="AB3176" s="6">
        <f>MONTH(AC3176)</f>
        <v/>
      </c>
      <c r="AH3176" s="6">
        <f>AI3176&amp;AJ3176</f>
        <v/>
      </c>
      <c r="AI3176" s="6">
        <f>YEAR(AK3176)</f>
        <v/>
      </c>
      <c r="AJ3176" s="6">
        <f>MONTH(AK3176)</f>
        <v/>
      </c>
      <c r="AP3176" s="6">
        <f>AQ3176&amp;AR3176</f>
        <v/>
      </c>
      <c r="AQ3176" s="6">
        <f>YEAR(AS3176)</f>
        <v/>
      </c>
      <c r="AR3176" s="6">
        <f>MONTH(AS3176)</f>
        <v/>
      </c>
    </row>
    <row r="3177">
      <c r="B3177" s="6">
        <f>C3177&amp;D3177</f>
        <v/>
      </c>
      <c r="C3177" s="6">
        <f>YEAR(E3177)</f>
        <v/>
      </c>
      <c r="D3177" s="6">
        <f>MONTH(E3177)</f>
        <v/>
      </c>
      <c r="J3177" s="6">
        <f>K3177&amp;L3177</f>
        <v/>
      </c>
      <c r="K3177" s="6">
        <f>YEAR(M3177)</f>
        <v/>
      </c>
      <c r="L3177" s="6">
        <f>MONTH(M3177)</f>
        <v/>
      </c>
      <c r="R3177" s="6">
        <f>S3177&amp;T3177</f>
        <v/>
      </c>
      <c r="S3177" s="6">
        <f>YEAR(U3177)</f>
        <v/>
      </c>
      <c r="T3177" s="6">
        <f>MONTH(U3177)</f>
        <v/>
      </c>
      <c r="Z3177" s="6">
        <f>AA3177&amp;AB3177</f>
        <v/>
      </c>
      <c r="AA3177" s="6">
        <f>YEAR(AC3177)</f>
        <v/>
      </c>
      <c r="AB3177" s="6">
        <f>MONTH(AC3177)</f>
        <v/>
      </c>
      <c r="AH3177" s="6">
        <f>AI3177&amp;AJ3177</f>
        <v/>
      </c>
      <c r="AI3177" s="6">
        <f>YEAR(AK3177)</f>
        <v/>
      </c>
      <c r="AJ3177" s="6">
        <f>MONTH(AK3177)</f>
        <v/>
      </c>
      <c r="AP3177" s="6">
        <f>AQ3177&amp;AR3177</f>
        <v/>
      </c>
      <c r="AQ3177" s="6">
        <f>YEAR(AS3177)</f>
        <v/>
      </c>
      <c r="AR3177" s="6">
        <f>MONTH(AS3177)</f>
        <v/>
      </c>
    </row>
    <row r="3178">
      <c r="B3178" s="6">
        <f>C3178&amp;D3178</f>
        <v/>
      </c>
      <c r="C3178" s="6">
        <f>YEAR(E3178)</f>
        <v/>
      </c>
      <c r="D3178" s="6">
        <f>MONTH(E3178)</f>
        <v/>
      </c>
      <c r="J3178" s="6">
        <f>K3178&amp;L3178</f>
        <v/>
      </c>
      <c r="K3178" s="6">
        <f>YEAR(M3178)</f>
        <v/>
      </c>
      <c r="L3178" s="6">
        <f>MONTH(M3178)</f>
        <v/>
      </c>
      <c r="R3178" s="6">
        <f>S3178&amp;T3178</f>
        <v/>
      </c>
      <c r="S3178" s="6">
        <f>YEAR(U3178)</f>
        <v/>
      </c>
      <c r="T3178" s="6">
        <f>MONTH(U3178)</f>
        <v/>
      </c>
      <c r="Z3178" s="6">
        <f>AA3178&amp;AB3178</f>
        <v/>
      </c>
      <c r="AA3178" s="6">
        <f>YEAR(AC3178)</f>
        <v/>
      </c>
      <c r="AB3178" s="6">
        <f>MONTH(AC3178)</f>
        <v/>
      </c>
      <c r="AH3178" s="6">
        <f>AI3178&amp;AJ3178</f>
        <v/>
      </c>
      <c r="AI3178" s="6">
        <f>YEAR(AK3178)</f>
        <v/>
      </c>
      <c r="AJ3178" s="6">
        <f>MONTH(AK3178)</f>
        <v/>
      </c>
      <c r="AP3178" s="6">
        <f>AQ3178&amp;AR3178</f>
        <v/>
      </c>
      <c r="AQ3178" s="6">
        <f>YEAR(AS3178)</f>
        <v/>
      </c>
      <c r="AR3178" s="6">
        <f>MONTH(AS3178)</f>
        <v/>
      </c>
    </row>
    <row r="3179">
      <c r="B3179" s="6">
        <f>C3179&amp;D3179</f>
        <v/>
      </c>
      <c r="C3179" s="6">
        <f>YEAR(E3179)</f>
        <v/>
      </c>
      <c r="D3179" s="6">
        <f>MONTH(E3179)</f>
        <v/>
      </c>
      <c r="J3179" s="6">
        <f>K3179&amp;L3179</f>
        <v/>
      </c>
      <c r="K3179" s="6">
        <f>YEAR(M3179)</f>
        <v/>
      </c>
      <c r="L3179" s="6">
        <f>MONTH(M3179)</f>
        <v/>
      </c>
      <c r="R3179" s="6">
        <f>S3179&amp;T3179</f>
        <v/>
      </c>
      <c r="S3179" s="6">
        <f>YEAR(U3179)</f>
        <v/>
      </c>
      <c r="T3179" s="6">
        <f>MONTH(U3179)</f>
        <v/>
      </c>
      <c r="Z3179" s="6">
        <f>AA3179&amp;AB3179</f>
        <v/>
      </c>
      <c r="AA3179" s="6">
        <f>YEAR(AC3179)</f>
        <v/>
      </c>
      <c r="AB3179" s="6">
        <f>MONTH(AC3179)</f>
        <v/>
      </c>
      <c r="AH3179" s="6">
        <f>AI3179&amp;AJ3179</f>
        <v/>
      </c>
      <c r="AI3179" s="6">
        <f>YEAR(AK3179)</f>
        <v/>
      </c>
      <c r="AJ3179" s="6">
        <f>MONTH(AK3179)</f>
        <v/>
      </c>
      <c r="AP3179" s="6">
        <f>AQ3179&amp;AR3179</f>
        <v/>
      </c>
      <c r="AQ3179" s="6">
        <f>YEAR(AS3179)</f>
        <v/>
      </c>
      <c r="AR3179" s="6">
        <f>MONTH(AS3179)</f>
        <v/>
      </c>
    </row>
    <row r="3180">
      <c r="B3180" s="6">
        <f>C3180&amp;D3180</f>
        <v/>
      </c>
      <c r="C3180" s="6">
        <f>YEAR(E3180)</f>
        <v/>
      </c>
      <c r="D3180" s="6">
        <f>MONTH(E3180)</f>
        <v/>
      </c>
      <c r="J3180" s="6">
        <f>K3180&amp;L3180</f>
        <v/>
      </c>
      <c r="K3180" s="6">
        <f>YEAR(M3180)</f>
        <v/>
      </c>
      <c r="L3180" s="6">
        <f>MONTH(M3180)</f>
        <v/>
      </c>
      <c r="R3180" s="6">
        <f>S3180&amp;T3180</f>
        <v/>
      </c>
      <c r="S3180" s="6">
        <f>YEAR(U3180)</f>
        <v/>
      </c>
      <c r="T3180" s="6">
        <f>MONTH(U3180)</f>
        <v/>
      </c>
      <c r="Z3180" s="6">
        <f>AA3180&amp;AB3180</f>
        <v/>
      </c>
      <c r="AA3180" s="6">
        <f>YEAR(AC3180)</f>
        <v/>
      </c>
      <c r="AB3180" s="6">
        <f>MONTH(AC3180)</f>
        <v/>
      </c>
      <c r="AH3180" s="6">
        <f>AI3180&amp;AJ3180</f>
        <v/>
      </c>
      <c r="AI3180" s="6">
        <f>YEAR(AK3180)</f>
        <v/>
      </c>
      <c r="AJ3180" s="6">
        <f>MONTH(AK3180)</f>
        <v/>
      </c>
      <c r="AP3180" s="6">
        <f>AQ3180&amp;AR3180</f>
        <v/>
      </c>
      <c r="AQ3180" s="6">
        <f>YEAR(AS3180)</f>
        <v/>
      </c>
      <c r="AR3180" s="6">
        <f>MONTH(AS3180)</f>
        <v/>
      </c>
    </row>
    <row r="3181">
      <c r="B3181" s="6">
        <f>C3181&amp;D3181</f>
        <v/>
      </c>
      <c r="C3181" s="6">
        <f>YEAR(E3181)</f>
        <v/>
      </c>
      <c r="D3181" s="6">
        <f>MONTH(E3181)</f>
        <v/>
      </c>
      <c r="J3181" s="6">
        <f>K3181&amp;L3181</f>
        <v/>
      </c>
      <c r="K3181" s="6">
        <f>YEAR(M3181)</f>
        <v/>
      </c>
      <c r="L3181" s="6">
        <f>MONTH(M3181)</f>
        <v/>
      </c>
      <c r="R3181" s="6">
        <f>S3181&amp;T3181</f>
        <v/>
      </c>
      <c r="S3181" s="6">
        <f>YEAR(U3181)</f>
        <v/>
      </c>
      <c r="T3181" s="6">
        <f>MONTH(U3181)</f>
        <v/>
      </c>
      <c r="Z3181" s="6">
        <f>AA3181&amp;AB3181</f>
        <v/>
      </c>
      <c r="AA3181" s="6">
        <f>YEAR(AC3181)</f>
        <v/>
      </c>
      <c r="AB3181" s="6">
        <f>MONTH(AC3181)</f>
        <v/>
      </c>
      <c r="AH3181" s="6">
        <f>AI3181&amp;AJ3181</f>
        <v/>
      </c>
      <c r="AI3181" s="6">
        <f>YEAR(AK3181)</f>
        <v/>
      </c>
      <c r="AJ3181" s="6">
        <f>MONTH(AK3181)</f>
        <v/>
      </c>
      <c r="AP3181" s="6">
        <f>AQ3181&amp;AR3181</f>
        <v/>
      </c>
      <c r="AQ3181" s="6">
        <f>YEAR(AS3181)</f>
        <v/>
      </c>
      <c r="AR3181" s="6">
        <f>MONTH(AS3181)</f>
        <v/>
      </c>
    </row>
    <row r="3182">
      <c r="B3182" s="6">
        <f>C3182&amp;D3182</f>
        <v/>
      </c>
      <c r="C3182" s="6">
        <f>YEAR(E3182)</f>
        <v/>
      </c>
      <c r="D3182" s="6">
        <f>MONTH(E3182)</f>
        <v/>
      </c>
      <c r="J3182" s="6">
        <f>K3182&amp;L3182</f>
        <v/>
      </c>
      <c r="K3182" s="6">
        <f>YEAR(M3182)</f>
        <v/>
      </c>
      <c r="L3182" s="6">
        <f>MONTH(M3182)</f>
        <v/>
      </c>
      <c r="R3182" s="6">
        <f>S3182&amp;T3182</f>
        <v/>
      </c>
      <c r="S3182" s="6">
        <f>YEAR(U3182)</f>
        <v/>
      </c>
      <c r="T3182" s="6">
        <f>MONTH(U3182)</f>
        <v/>
      </c>
      <c r="Z3182" s="6">
        <f>AA3182&amp;AB3182</f>
        <v/>
      </c>
      <c r="AA3182" s="6">
        <f>YEAR(AC3182)</f>
        <v/>
      </c>
      <c r="AB3182" s="6">
        <f>MONTH(AC3182)</f>
        <v/>
      </c>
      <c r="AH3182" s="6">
        <f>AI3182&amp;AJ3182</f>
        <v/>
      </c>
      <c r="AI3182" s="6">
        <f>YEAR(AK3182)</f>
        <v/>
      </c>
      <c r="AJ3182" s="6">
        <f>MONTH(AK3182)</f>
        <v/>
      </c>
      <c r="AP3182" s="6">
        <f>AQ3182&amp;AR3182</f>
        <v/>
      </c>
      <c r="AQ3182" s="6">
        <f>YEAR(AS3182)</f>
        <v/>
      </c>
      <c r="AR3182" s="6">
        <f>MONTH(AS3182)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C5:C13"/>
  <sheetViews>
    <sheetView workbookViewId="0">
      <selection activeCell="A1" sqref="A1"/>
    </sheetView>
  </sheetViews>
  <sheetFormatPr baseColWidth="8" defaultColWidth="12.59765625" defaultRowHeight="15.75" customHeight="1"/>
  <sheetData>
    <row r="5">
      <c r="C5" s="6" t="inlineStr">
        <is>
          <t>계좌구분</t>
        </is>
      </c>
    </row>
    <row r="6">
      <c r="C6" s="6" t="inlineStr">
        <is>
          <t>일반계좌1</t>
        </is>
      </c>
    </row>
    <row r="7">
      <c r="C7" s="6" t="inlineStr">
        <is>
          <t>일반계좌2</t>
        </is>
      </c>
    </row>
    <row r="8">
      <c r="C8" s="6" t="inlineStr">
        <is>
          <t>개인연금1</t>
        </is>
      </c>
    </row>
    <row r="9">
      <c r="C9" s="6" t="inlineStr">
        <is>
          <t>개인연금2</t>
        </is>
      </c>
    </row>
    <row r="10">
      <c r="C10" s="6" t="inlineStr">
        <is>
          <t>IRP 1</t>
        </is>
      </c>
    </row>
    <row r="11">
      <c r="C11" s="6" t="inlineStr">
        <is>
          <t>IRP 2</t>
        </is>
      </c>
    </row>
    <row r="12">
      <c r="C12" s="6" t="inlineStr">
        <is>
          <t>ISA</t>
        </is>
      </c>
    </row>
    <row r="13">
      <c r="C13" s="6" t="inlineStr">
        <is>
          <t>퇴직연금DC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12" customWidth="1" style="202" min="1" max="1"/>
    <col width="10" customWidth="1" style="202" min="2" max="2"/>
    <col width="14" customWidth="1" style="202" min="3" max="3"/>
    <col width="34" customWidth="1" style="202" min="4" max="4"/>
    <col width="12" customWidth="1" style="202" min="5" max="5"/>
    <col width="12" customWidth="1" style="202" min="6" max="6"/>
    <col width="14" customWidth="1" style="202" min="7" max="7"/>
    <col width="10" customWidth="1" style="202" min="8" max="8"/>
  </cols>
  <sheetData>
    <row r="1">
      <c r="A1" s="273" t="inlineStr">
        <is>
          <t>2026년 월별 배당·이자 (실적 + 예측)</t>
        </is>
      </c>
    </row>
    <row r="2">
      <c r="A2" s="274" t="inlineStr">
        <is>
          <t>기준: '계좌현황' 보유수량 · yfinance 배당이력 · 환율 1,379원/$  | 연간 합계 52,146,884원 · 월평균 4,345,574원</t>
        </is>
      </c>
    </row>
    <row r="3">
      <c r="A3" s="337" t="inlineStr">
        <is>
          <t>※ 노란행=예측, 초록행=실적(또는 이미 지급된 배당). 커버드콜/미국ETF는 환율·지급월 추정 오차가 있을 수 있습니다.</t>
        </is>
      </c>
    </row>
    <row r="5">
      <c r="A5" s="273" t="inlineStr">
        <is>
          <t>① 월별 합계</t>
        </is>
      </c>
    </row>
    <row r="6">
      <c r="A6" s="277" t="inlineStr">
        <is>
          <t>월</t>
        </is>
      </c>
      <c r="B6" s="277" t="inlineStr">
        <is>
          <t>실적</t>
        </is>
      </c>
      <c r="C6" s="277" t="inlineStr">
        <is>
          <t>예측</t>
        </is>
      </c>
      <c r="D6" s="277" t="inlineStr">
        <is>
          <t>합계</t>
        </is>
      </c>
      <c r="E6" s="277" t="inlineStr">
        <is>
          <t>구분</t>
        </is>
      </c>
    </row>
    <row r="7">
      <c r="A7" s="278" t="inlineStr">
        <is>
          <t>1월</t>
        </is>
      </c>
      <c r="B7" s="279" t="n">
        <v>4083457.49</v>
      </c>
      <c r="C7" s="279" t="n">
        <v>0</v>
      </c>
      <c r="D7" s="279" t="n">
        <v>4083457.49</v>
      </c>
      <c r="E7" s="278" t="inlineStr">
        <is>
          <t>실적</t>
        </is>
      </c>
    </row>
    <row r="8">
      <c r="A8" s="278" t="inlineStr">
        <is>
          <t>2월</t>
        </is>
      </c>
      <c r="B8" s="279" t="n">
        <v>4210337.4</v>
      </c>
      <c r="C8" s="279" t="n">
        <v>0</v>
      </c>
      <c r="D8" s="279" t="n">
        <v>4210337.4</v>
      </c>
      <c r="E8" s="278" t="inlineStr">
        <is>
          <t>실적</t>
        </is>
      </c>
    </row>
    <row r="9">
      <c r="A9" s="281" t="inlineStr">
        <is>
          <t>3월</t>
        </is>
      </c>
      <c r="B9" s="282" t="n">
        <v>4588810.847999999</v>
      </c>
      <c r="C9" s="282" t="n">
        <v>35408</v>
      </c>
      <c r="D9" s="282" t="n">
        <v>4624218.847999999</v>
      </c>
      <c r="E9" s="281" t="inlineStr">
        <is>
          <t>혼합</t>
        </is>
      </c>
    </row>
    <row r="10">
      <c r="A10" s="281" t="inlineStr">
        <is>
          <t>4월</t>
        </is>
      </c>
      <c r="B10" s="282" t="n">
        <v>4199639.626999999</v>
      </c>
      <c r="C10" s="282" t="n">
        <v>5104</v>
      </c>
      <c r="D10" s="282" t="n">
        <v>4204743.626999999</v>
      </c>
      <c r="E10" s="281" t="inlineStr">
        <is>
          <t>혼합</t>
        </is>
      </c>
    </row>
    <row r="11">
      <c r="A11" s="278" t="inlineStr">
        <is>
          <t>5월</t>
        </is>
      </c>
      <c r="B11" s="279" t="n">
        <v>4282810.597</v>
      </c>
      <c r="C11" s="279" t="n">
        <v>0</v>
      </c>
      <c r="D11" s="279" t="n">
        <v>4282810.597</v>
      </c>
      <c r="E11" s="278" t="inlineStr">
        <is>
          <t>실적</t>
        </is>
      </c>
    </row>
    <row r="12">
      <c r="A12" s="281" t="inlineStr">
        <is>
          <t>6월</t>
        </is>
      </c>
      <c r="B12" s="282" t="n">
        <v>4315601.876999999</v>
      </c>
      <c r="C12" s="282" t="n">
        <v>35492</v>
      </c>
      <c r="D12" s="282" t="n">
        <v>4351093.876999999</v>
      </c>
      <c r="E12" s="281" t="inlineStr">
        <is>
          <t>혼합</t>
        </is>
      </c>
    </row>
    <row r="13">
      <c r="A13" s="278" t="inlineStr">
        <is>
          <t>7월</t>
        </is>
      </c>
      <c r="B13" s="279" t="n">
        <v>4335978.577</v>
      </c>
      <c r="C13" s="279" t="n">
        <v>0</v>
      </c>
      <c r="D13" s="279" t="n">
        <v>4335978.577</v>
      </c>
      <c r="E13" s="278" t="inlineStr">
        <is>
          <t>실적</t>
        </is>
      </c>
    </row>
    <row r="14">
      <c r="A14" s="281" t="inlineStr">
        <is>
          <t>8월</t>
        </is>
      </c>
      <c r="B14" s="282" t="n">
        <v>1410733.315</v>
      </c>
      <c r="C14" s="282" t="n">
        <v>2795675.882</v>
      </c>
      <c r="D14" s="282" t="n">
        <v>4206409.197000001</v>
      </c>
      <c r="E14" s="281" t="inlineStr">
        <is>
          <t>혼합</t>
        </is>
      </c>
    </row>
    <row r="15">
      <c r="A15" s="287" t="inlineStr">
        <is>
          <t>9월</t>
        </is>
      </c>
      <c r="B15" s="288" t="n">
        <v>0</v>
      </c>
      <c r="C15" s="288" t="n">
        <v>4201377.683</v>
      </c>
      <c r="D15" s="288" t="n">
        <v>4201377.683</v>
      </c>
      <c r="E15" s="287" t="inlineStr">
        <is>
          <t>예측</t>
        </is>
      </c>
    </row>
    <row r="16">
      <c r="A16" s="287" t="inlineStr">
        <is>
          <t>10월</t>
        </is>
      </c>
      <c r="B16" s="288" t="n">
        <v>0</v>
      </c>
      <c r="C16" s="288" t="n">
        <v>4071365.316</v>
      </c>
      <c r="D16" s="288" t="n">
        <v>4071365.316</v>
      </c>
      <c r="E16" s="287" t="inlineStr">
        <is>
          <t>예측</t>
        </is>
      </c>
    </row>
    <row r="17">
      <c r="A17" s="287" t="inlineStr">
        <is>
          <t>11월</t>
        </is>
      </c>
      <c r="B17" s="288" t="n">
        <v>0</v>
      </c>
      <c r="C17" s="288" t="n">
        <v>4359022.584</v>
      </c>
      <c r="D17" s="288" t="n">
        <v>4359022.584</v>
      </c>
      <c r="E17" s="287" t="inlineStr">
        <is>
          <t>예측</t>
        </is>
      </c>
    </row>
    <row r="18">
      <c r="A18" s="287" t="inlineStr">
        <is>
          <t>12월</t>
        </is>
      </c>
      <c r="B18" s="288" t="n">
        <v>0</v>
      </c>
      <c r="C18" s="288" t="n">
        <v>5216069.0333</v>
      </c>
      <c r="D18" s="288" t="n">
        <v>5216069.0333</v>
      </c>
      <c r="E18" s="287" t="inlineStr">
        <is>
          <t>예측</t>
        </is>
      </c>
    </row>
    <row r="20">
      <c r="A20" s="276" t="inlineStr">
        <is>
          <t>합계</t>
        </is>
      </c>
      <c r="B20" s="335">
        <f>SUM(B7:B18)</f>
        <v/>
      </c>
      <c r="C20" s="335">
        <f>SUM(C7:C18)</f>
        <v/>
      </c>
      <c r="D20" s="335">
        <f>SUM(D7:D18)</f>
        <v/>
      </c>
    </row>
    <row r="22">
      <c r="A22" s="273" t="inlineStr">
        <is>
          <t>② 연간 배당 기여 Top 15</t>
        </is>
      </c>
    </row>
    <row r="23">
      <c r="A23" s="338" t="inlineStr">
        <is>
          <t>종목코드</t>
        </is>
      </c>
      <c r="B23" s="338" t="inlineStr">
        <is>
          <t>종목명</t>
        </is>
      </c>
      <c r="C23" s="338" t="inlineStr">
        <is>
          <t>주기</t>
        </is>
      </c>
      <c r="D23" s="338" t="inlineStr">
        <is>
          <t>연예상(원)</t>
        </is>
      </c>
      <c r="E23" s="338" t="inlineStr">
        <is>
          <t>배당률</t>
        </is>
      </c>
      <c r="F23" s="338" t="inlineStr">
        <is>
          <t>평가액</t>
        </is>
      </c>
    </row>
    <row r="24">
      <c r="A24" s="302" t="inlineStr">
        <is>
          <t>458760</t>
        </is>
      </c>
      <c r="B24" s="302" t="inlineStr">
        <is>
          <t>TIGER 미배당다우커버드콜2호</t>
        </is>
      </c>
      <c r="C24" s="302" t="inlineStr">
        <is>
          <t>월배당</t>
        </is>
      </c>
      <c r="D24" s="303" t="n">
        <v>16980419</v>
      </c>
      <c r="E24" s="328" t="n">
        <v>0.098</v>
      </c>
      <c r="F24" s="303" t="n">
        <v>173258605</v>
      </c>
    </row>
    <row r="25">
      <c r="A25" s="302" t="inlineStr">
        <is>
          <t>474220</t>
        </is>
      </c>
      <c r="B25" s="302" t="inlineStr">
        <is>
          <t>TIGER미국테크TOP10커버드콜</t>
        </is>
      </c>
      <c r="C25" s="302" t="inlineStr">
        <is>
          <t>월배당</t>
        </is>
      </c>
      <c r="D25" s="303" t="n">
        <v>6947160</v>
      </c>
      <c r="E25" s="328" t="n">
        <v>0.1039</v>
      </c>
      <c r="F25" s="303" t="n">
        <v>66872400</v>
      </c>
    </row>
    <row r="26">
      <c r="A26" s="302" t="inlineStr">
        <is>
          <t>498410</t>
        </is>
      </c>
      <c r="B26" s="302" t="inlineStr">
        <is>
          <t>KODEX금융고배당TOP10타겟위클리커버드콜</t>
        </is>
      </c>
      <c r="C26" s="302" t="inlineStr">
        <is>
          <t>월배당</t>
        </is>
      </c>
      <c r="D26" s="303" t="n">
        <v>4497284</v>
      </c>
      <c r="E26" s="328" t="n">
        <v>0.165</v>
      </c>
      <c r="F26" s="303" t="n">
        <v>27264190</v>
      </c>
    </row>
    <row r="27">
      <c r="A27" s="302" t="inlineStr">
        <is>
          <t>483280</t>
        </is>
      </c>
      <c r="B27" s="302" t="inlineStr">
        <is>
          <t>KODEX 미국AI테크TOP10타겟커버드콜</t>
        </is>
      </c>
      <c r="C27" s="302" t="inlineStr">
        <is>
          <t>월배당</t>
        </is>
      </c>
      <c r="D27" s="303" t="n">
        <v>3962280</v>
      </c>
      <c r="E27" s="328" t="n">
        <v>0.1549</v>
      </c>
      <c r="F27" s="303" t="n">
        <v>25576740</v>
      </c>
    </row>
    <row r="28">
      <c r="A28" s="302" t="inlineStr">
        <is>
          <t>0008S0</t>
        </is>
      </c>
      <c r="B28" s="302" t="inlineStr">
        <is>
          <t>TIGER 미국배당다우존스타겟데일리커버드콜</t>
        </is>
      </c>
      <c r="C28" s="302" t="inlineStr">
        <is>
          <t>월배당</t>
        </is>
      </c>
      <c r="D28" s="303" t="n">
        <v>3507000</v>
      </c>
      <c r="E28" s="328" t="n">
        <v>0.1149</v>
      </c>
      <c r="F28" s="303" t="n">
        <v>30525000</v>
      </c>
    </row>
    <row r="29">
      <c r="A29" s="302" t="inlineStr">
        <is>
          <t>481060</t>
        </is>
      </c>
      <c r="B29" s="302" t="inlineStr">
        <is>
          <t>KODEX 미국30년국채타겟커버드콜(H)</t>
        </is>
      </c>
      <c r="C29" s="302" t="inlineStr">
        <is>
          <t>월배당</t>
        </is>
      </c>
      <c r="D29" s="303" t="n">
        <v>3090600</v>
      </c>
      <c r="E29" s="328" t="n">
        <v>0.1361</v>
      </c>
      <c r="F29" s="303" t="n">
        <v>22705200</v>
      </c>
    </row>
    <row r="30">
      <c r="A30" s="302" t="inlineStr">
        <is>
          <t>329200</t>
        </is>
      </c>
      <c r="B30" s="302" t="inlineStr">
        <is>
          <t>TIGER리츠부동산인프라</t>
        </is>
      </c>
      <c r="C30" s="302" t="inlineStr">
        <is>
          <t>월배당</t>
        </is>
      </c>
      <c r="D30" s="303" t="n">
        <v>1895000</v>
      </c>
      <c r="E30" s="328" t="n">
        <v>0.0922</v>
      </c>
      <c r="F30" s="303" t="n">
        <v>20550000</v>
      </c>
    </row>
    <row r="31">
      <c r="A31" s="302" t="inlineStr">
        <is>
          <t>498400</t>
        </is>
      </c>
      <c r="B31" s="302" t="inlineStr">
        <is>
          <t>KODEX 200타켓위클리커버드콜</t>
        </is>
      </c>
      <c r="C31" s="302" t="inlineStr">
        <is>
          <t>월배당</t>
        </is>
      </c>
      <c r="D31" s="303" t="n">
        <v>1825057</v>
      </c>
      <c r="E31" s="328" t="n">
        <v>0.1492</v>
      </c>
      <c r="F31" s="303" t="n">
        <v>12235275</v>
      </c>
    </row>
    <row r="32">
      <c r="A32" s="302" t="inlineStr">
        <is>
          <t>468380</t>
        </is>
      </c>
      <c r="B32" s="302" t="inlineStr">
        <is>
          <t>KODEX iShares미국하이일드액티브</t>
        </is>
      </c>
      <c r="C32" s="302" t="inlineStr">
        <is>
          <t>월배당</t>
        </is>
      </c>
      <c r="D32" s="303" t="n">
        <v>1524000</v>
      </c>
      <c r="E32" s="328" t="n">
        <v>0.06950000000000001</v>
      </c>
      <c r="F32" s="303" t="n">
        <v>21930000</v>
      </c>
    </row>
    <row r="33">
      <c r="A33" s="302" t="inlineStr">
        <is>
          <t>490490</t>
        </is>
      </c>
      <c r="B33" s="302" t="inlineStr">
        <is>
          <t>SOL미국배당미국채혼합50</t>
        </is>
      </c>
      <c r="C33" s="302" t="inlineStr">
        <is>
          <t>월배당</t>
        </is>
      </c>
      <c r="D33" s="303" t="n">
        <v>1291498</v>
      </c>
      <c r="E33" s="328" t="n">
        <v>0.0302</v>
      </c>
      <c r="F33" s="303" t="n">
        <v>42795200</v>
      </c>
    </row>
    <row r="34">
      <c r="A34" s="302" t="inlineStr">
        <is>
          <t>0219E0</t>
        </is>
      </c>
      <c r="B34" s="302" t="inlineStr">
        <is>
          <t>KODEX 200커버드콜액티브</t>
        </is>
      </c>
      <c r="C34" s="302" t="inlineStr">
        <is>
          <t>월배당</t>
        </is>
      </c>
      <c r="D34" s="303" t="n">
        <v>1153008</v>
      </c>
      <c r="E34" s="328" t="n">
        <v>0.1101</v>
      </c>
      <c r="F34" s="303" t="n">
        <v>10475040</v>
      </c>
    </row>
    <row r="35">
      <c r="A35" s="302" t="inlineStr">
        <is>
          <t>473330</t>
        </is>
      </c>
      <c r="B35" s="302" t="inlineStr">
        <is>
          <t>SOL 미국 30년국채커버드콜(합성)</t>
        </is>
      </c>
      <c r="C35" s="302" t="inlineStr">
        <is>
          <t>월배당</t>
        </is>
      </c>
      <c r="D35" s="303" t="n">
        <v>1012320</v>
      </c>
      <c r="E35" s="328" t="n">
        <v>0.1316</v>
      </c>
      <c r="F35" s="303" t="n">
        <v>7689600</v>
      </c>
    </row>
    <row r="36">
      <c r="A36" s="302" t="inlineStr">
        <is>
          <t>472170</t>
        </is>
      </c>
      <c r="B36" s="302" t="inlineStr">
        <is>
          <t>TIGER 미국테크TOP10채권혼합</t>
        </is>
      </c>
      <c r="C36" s="302" t="inlineStr">
        <is>
          <t>연/반기</t>
        </is>
      </c>
      <c r="D36" s="303" t="n">
        <v>573561</v>
      </c>
      <c r="E36" s="328" t="n">
        <v>0.0212</v>
      </c>
      <c r="F36" s="303" t="n">
        <v>27101250</v>
      </c>
    </row>
    <row r="37">
      <c r="A37" s="302" t="inlineStr">
        <is>
          <t>446720</t>
        </is>
      </c>
      <c r="B37" s="302" t="inlineStr">
        <is>
          <t>SOL 미국배당다우존스</t>
        </is>
      </c>
      <c r="C37" s="302" t="inlineStr">
        <is>
          <t>월배당</t>
        </is>
      </c>
      <c r="D37" s="303" t="n">
        <v>549955</v>
      </c>
      <c r="E37" s="328" t="n">
        <v>0.0294</v>
      </c>
      <c r="F37" s="303" t="n">
        <v>18733050</v>
      </c>
    </row>
    <row r="38">
      <c r="A38" s="302" t="inlineStr">
        <is>
          <t>482730</t>
        </is>
      </c>
      <c r="B38" s="302" t="inlineStr">
        <is>
          <t>미국S&amp;P500타겟데일리커버드콜</t>
        </is>
      </c>
      <c r="C38" s="302" t="inlineStr">
        <is>
          <t>월배당</t>
        </is>
      </c>
      <c r="D38" s="303" t="n">
        <v>501925</v>
      </c>
      <c r="E38" s="328" t="n">
        <v>0.09970000000000001</v>
      </c>
      <c r="F38" s="303" t="n">
        <v>5036250</v>
      </c>
    </row>
    <row r="42">
      <c r="A42" s="273" t="inlineStr">
        <is>
          <t>③ 종목·월별 상세 (실적/예측)</t>
        </is>
      </c>
    </row>
    <row r="43">
      <c r="A43" s="277" t="inlineStr">
        <is>
          <t>일자</t>
        </is>
      </c>
      <c r="B43" s="277" t="inlineStr">
        <is>
          <t>월</t>
        </is>
      </c>
      <c r="C43" s="277" t="inlineStr">
        <is>
          <t>종목코드</t>
        </is>
      </c>
      <c r="D43" s="277" t="inlineStr">
        <is>
          <t>종목명</t>
        </is>
      </c>
      <c r="E43" s="277" t="inlineStr">
        <is>
          <t>원화</t>
        </is>
      </c>
      <c r="F43" s="277" t="inlineStr">
        <is>
          <t>달러</t>
        </is>
      </c>
      <c r="G43" s="277" t="inlineStr">
        <is>
          <t>원화환산</t>
        </is>
      </c>
      <c r="H43" s="277" t="inlineStr">
        <is>
          <t>구분</t>
        </is>
      </c>
    </row>
    <row r="44">
      <c r="A44" s="343" t="n">
        <v>46031</v>
      </c>
      <c r="B44" s="278" t="n">
        <v>1</v>
      </c>
      <c r="C44" s="278" t="inlineStr">
        <is>
          <t>ORCL</t>
        </is>
      </c>
      <c r="D44" s="278" t="inlineStr">
        <is>
          <t>오라클</t>
        </is>
      </c>
      <c r="E44" s="279" t="n"/>
      <c r="F44" s="340" t="n">
        <v>1</v>
      </c>
      <c r="G44" s="279" t="n">
        <v>1379</v>
      </c>
      <c r="H44" s="278" t="inlineStr">
        <is>
          <t>실적</t>
        </is>
      </c>
    </row>
    <row r="45">
      <c r="A45" s="343" t="n">
        <v>46036</v>
      </c>
      <c r="B45" s="278" t="n">
        <v>1</v>
      </c>
      <c r="C45" s="278" t="inlineStr">
        <is>
          <t>0008S0</t>
        </is>
      </c>
      <c r="D45" s="278" t="inlineStr">
        <is>
          <t>TIGER 미국배당다우존스타겟데일리커버드콜</t>
        </is>
      </c>
      <c r="E45" s="279" t="n">
        <v>285000</v>
      </c>
      <c r="F45" s="340" t="n"/>
      <c r="G45" s="279" t="n">
        <v>285000</v>
      </c>
      <c r="H45" s="278" t="inlineStr">
        <is>
          <t>실적</t>
        </is>
      </c>
    </row>
    <row r="46">
      <c r="A46" s="343" t="n">
        <v>46036</v>
      </c>
      <c r="B46" s="278" t="n">
        <v>1</v>
      </c>
      <c r="C46" s="278" t="inlineStr">
        <is>
          <t>474220</t>
        </is>
      </c>
      <c r="D46" s="278" t="inlineStr">
        <is>
          <t>TIGER미국테크TOP10커버드콜</t>
        </is>
      </c>
      <c r="E46" s="279" t="n">
        <v>611040</v>
      </c>
      <c r="F46" s="340" t="n"/>
      <c r="G46" s="279" t="n">
        <v>611040</v>
      </c>
      <c r="H46" s="278" t="inlineStr">
        <is>
          <t>실적</t>
        </is>
      </c>
    </row>
    <row r="47">
      <c r="A47" s="343" t="n">
        <v>46036</v>
      </c>
      <c r="B47" s="278" t="n">
        <v>1</v>
      </c>
      <c r="C47" s="278" t="inlineStr">
        <is>
          <t>481060</t>
        </is>
      </c>
      <c r="D47" s="278" t="inlineStr">
        <is>
          <t>KODEX 미국30년국채타겟커버드콜(H)</t>
        </is>
      </c>
      <c r="E47" s="279" t="n">
        <v>253980</v>
      </c>
      <c r="F47" s="340" t="n"/>
      <c r="G47" s="279" t="n">
        <v>253980</v>
      </c>
      <c r="H47" s="278" t="inlineStr">
        <is>
          <t>실적</t>
        </is>
      </c>
    </row>
    <row r="48">
      <c r="A48" s="343" t="n">
        <v>46036</v>
      </c>
      <c r="B48" s="278" t="n">
        <v>1</v>
      </c>
      <c r="C48" s="278" t="inlineStr">
        <is>
          <t>490490</t>
        </is>
      </c>
      <c r="D48" s="278" t="inlineStr">
        <is>
          <t>SOL미국배당미국채혼합50</t>
        </is>
      </c>
      <c r="E48" s="279" t="n">
        <v>118451</v>
      </c>
      <c r="F48" s="340" t="n"/>
      <c r="G48" s="279" t="n">
        <v>118451</v>
      </c>
      <c r="H48" s="278" t="inlineStr">
        <is>
          <t>실적</t>
        </is>
      </c>
    </row>
    <row r="49">
      <c r="A49" s="343" t="n">
        <v>46036</v>
      </c>
      <c r="B49" s="278" t="n">
        <v>1</v>
      </c>
      <c r="C49" s="278" t="inlineStr">
        <is>
          <t>498400</t>
        </is>
      </c>
      <c r="D49" s="278" t="inlineStr">
        <is>
          <t>KODEX 200타켓위클리커버드콜</t>
        </is>
      </c>
      <c r="E49" s="279" t="n">
        <v>130143</v>
      </c>
      <c r="F49" s="340" t="n"/>
      <c r="G49" s="279" t="n">
        <v>130143</v>
      </c>
      <c r="H49" s="278" t="inlineStr">
        <is>
          <t>실적</t>
        </is>
      </c>
    </row>
    <row r="50">
      <c r="A50" s="343" t="n">
        <v>46051</v>
      </c>
      <c r="B50" s="278" t="n">
        <v>1</v>
      </c>
      <c r="C50" s="278" t="inlineStr">
        <is>
          <t>133690</t>
        </is>
      </c>
      <c r="D50" s="278" t="inlineStr">
        <is>
          <t>TIGER 미국나스닥100</t>
        </is>
      </c>
      <c r="E50" s="279" t="n">
        <v>12825</v>
      </c>
      <c r="F50" s="340" t="n"/>
      <c r="G50" s="279" t="n">
        <v>12825</v>
      </c>
      <c r="H50" s="278" t="inlineStr">
        <is>
          <t>실적</t>
        </is>
      </c>
    </row>
    <row r="51">
      <c r="A51" s="343" t="n">
        <v>46051</v>
      </c>
      <c r="B51" s="278" t="n">
        <v>1</v>
      </c>
      <c r="C51" s="278" t="inlineStr">
        <is>
          <t>329200</t>
        </is>
      </c>
      <c r="D51" s="278" t="inlineStr">
        <is>
          <t>TIGER리츠부동산인프라</t>
        </is>
      </c>
      <c r="E51" s="279" t="n">
        <v>165000</v>
      </c>
      <c r="F51" s="340" t="n"/>
      <c r="G51" s="279" t="n">
        <v>165000</v>
      </c>
      <c r="H51" s="278" t="inlineStr">
        <is>
          <t>실적</t>
        </is>
      </c>
    </row>
    <row r="52">
      <c r="A52" s="343" t="n">
        <v>46051</v>
      </c>
      <c r="B52" s="278" t="n">
        <v>1</v>
      </c>
      <c r="C52" s="278" t="inlineStr">
        <is>
          <t>360750</t>
        </is>
      </c>
      <c r="D52" s="278" t="inlineStr">
        <is>
          <t>TIGER미국S&amp;P500</t>
        </is>
      </c>
      <c r="E52" s="279" t="n">
        <v>14235</v>
      </c>
      <c r="F52" s="340" t="n"/>
      <c r="G52" s="279" t="n">
        <v>14235</v>
      </c>
      <c r="H52" s="278" t="inlineStr">
        <is>
          <t>실적</t>
        </is>
      </c>
    </row>
    <row r="53">
      <c r="A53" s="343" t="n">
        <v>46051</v>
      </c>
      <c r="B53" s="278" t="n">
        <v>1</v>
      </c>
      <c r="C53" s="278" t="inlineStr">
        <is>
          <t>367380</t>
        </is>
      </c>
      <c r="D53" s="278" t="inlineStr">
        <is>
          <t>ACE 미국나스닥100</t>
        </is>
      </c>
      <c r="E53" s="279" t="n">
        <v>12844</v>
      </c>
      <c r="F53" s="340" t="n"/>
      <c r="G53" s="279" t="n">
        <v>12844</v>
      </c>
      <c r="H53" s="278" t="inlineStr">
        <is>
          <t>실적</t>
        </is>
      </c>
    </row>
    <row r="54">
      <c r="A54" s="343" t="n">
        <v>46051</v>
      </c>
      <c r="B54" s="278" t="n">
        <v>1</v>
      </c>
      <c r="C54" s="278" t="inlineStr">
        <is>
          <t>379810</t>
        </is>
      </c>
      <c r="D54" s="278" t="inlineStr">
        <is>
          <t>KODEX 미국나스닥100</t>
        </is>
      </c>
      <c r="E54" s="279" t="n">
        <v>26248</v>
      </c>
      <c r="F54" s="340" t="n"/>
      <c r="G54" s="279" t="n">
        <v>26248</v>
      </c>
      <c r="H54" s="278" t="inlineStr">
        <is>
          <t>실적</t>
        </is>
      </c>
    </row>
    <row r="55">
      <c r="A55" s="343" t="n">
        <v>46051</v>
      </c>
      <c r="B55" s="278" t="n">
        <v>1</v>
      </c>
      <c r="C55" s="278" t="inlineStr">
        <is>
          <t>433330</t>
        </is>
      </c>
      <c r="D55" s="278" t="inlineStr">
        <is>
          <t>SOL 미국 S&amp;P500</t>
        </is>
      </c>
      <c r="E55" s="279" t="n">
        <v>15288</v>
      </c>
      <c r="F55" s="340" t="n"/>
      <c r="G55" s="279" t="n">
        <v>15288</v>
      </c>
      <c r="H55" s="278" t="inlineStr">
        <is>
          <t>실적</t>
        </is>
      </c>
    </row>
    <row r="56">
      <c r="A56" s="343" t="n">
        <v>46051</v>
      </c>
      <c r="B56" s="278" t="n">
        <v>1</v>
      </c>
      <c r="C56" s="278" t="inlineStr">
        <is>
          <t>446720</t>
        </is>
      </c>
      <c r="D56" s="278" t="inlineStr">
        <is>
          <t>SOL 미국배당다우존스</t>
        </is>
      </c>
      <c r="E56" s="279" t="n">
        <v>39900</v>
      </c>
      <c r="F56" s="340" t="n"/>
      <c r="G56" s="279" t="n">
        <v>39900</v>
      </c>
      <c r="H56" s="278" t="inlineStr">
        <is>
          <t>실적</t>
        </is>
      </c>
    </row>
    <row r="57">
      <c r="A57" s="343" t="n">
        <v>46051</v>
      </c>
      <c r="B57" s="278" t="n">
        <v>1</v>
      </c>
      <c r="C57" s="278" t="inlineStr">
        <is>
          <t>458760</t>
        </is>
      </c>
      <c r="D57" s="278" t="inlineStr">
        <is>
          <t>TIGER 미배당다우커버드콜2호</t>
        </is>
      </c>
      <c r="E57" s="279" t="n">
        <v>1351064</v>
      </c>
      <c r="F57" s="340" t="n"/>
      <c r="G57" s="279" t="n">
        <v>1351064</v>
      </c>
      <c r="H57" s="278" t="inlineStr">
        <is>
          <t>실적</t>
        </is>
      </c>
    </row>
    <row r="58">
      <c r="A58" s="343" t="n">
        <v>46051</v>
      </c>
      <c r="B58" s="278" t="n">
        <v>1</v>
      </c>
      <c r="C58" s="278" t="inlineStr">
        <is>
          <t>468380</t>
        </is>
      </c>
      <c r="D58" s="278" t="inlineStr">
        <is>
          <t>KODEX iShares미국하이일드액티브</t>
        </is>
      </c>
      <c r="E58" s="279" t="n">
        <v>146000</v>
      </c>
      <c r="F58" s="340" t="n"/>
      <c r="G58" s="279" t="n">
        <v>146000</v>
      </c>
      <c r="H58" s="278" t="inlineStr">
        <is>
          <t>실적</t>
        </is>
      </c>
    </row>
    <row r="59">
      <c r="A59" s="343" t="n">
        <v>46051</v>
      </c>
      <c r="B59" s="278" t="n">
        <v>1</v>
      </c>
      <c r="C59" s="278" t="inlineStr">
        <is>
          <t>473330</t>
        </is>
      </c>
      <c r="D59" s="278" t="inlineStr">
        <is>
          <t>SOL 미국 30년국채커버드콜(합성)</t>
        </is>
      </c>
      <c r="E59" s="279" t="n">
        <v>72000</v>
      </c>
      <c r="F59" s="340" t="n"/>
      <c r="G59" s="279" t="n">
        <v>72000</v>
      </c>
      <c r="H59" s="278" t="inlineStr">
        <is>
          <t>실적</t>
        </is>
      </c>
    </row>
    <row r="60">
      <c r="A60" s="343" t="n">
        <v>46051</v>
      </c>
      <c r="B60" s="278" t="n">
        <v>1</v>
      </c>
      <c r="C60" s="278" t="inlineStr">
        <is>
          <t>475380</t>
        </is>
      </c>
      <c r="D60" s="278" t="inlineStr">
        <is>
          <t>RISE 글로벌리얼티인컴</t>
        </is>
      </c>
      <c r="E60" s="279" t="n">
        <v>3131</v>
      </c>
      <c r="F60" s="340" t="n"/>
      <c r="G60" s="279" t="n">
        <v>3131</v>
      </c>
      <c r="H60" s="278" t="inlineStr">
        <is>
          <t>실적</t>
        </is>
      </c>
    </row>
    <row r="61">
      <c r="A61" s="343" t="n">
        <v>46051</v>
      </c>
      <c r="B61" s="278" t="n">
        <v>1</v>
      </c>
      <c r="C61" s="278" t="inlineStr">
        <is>
          <t>476550</t>
        </is>
      </c>
      <c r="D61" s="278" t="inlineStr">
        <is>
          <t>TIGER 미국30년국채커버드콜액티브(H)</t>
        </is>
      </c>
      <c r="E61" s="279" t="n">
        <v>33187</v>
      </c>
      <c r="F61" s="340" t="n"/>
      <c r="G61" s="279" t="n">
        <v>33187</v>
      </c>
      <c r="H61" s="278" t="inlineStr">
        <is>
          <t>실적</t>
        </is>
      </c>
    </row>
    <row r="62">
      <c r="A62" s="343" t="n">
        <v>46051</v>
      </c>
      <c r="B62" s="278" t="n">
        <v>1</v>
      </c>
      <c r="C62" s="278" t="inlineStr">
        <is>
          <t>476690</t>
        </is>
      </c>
      <c r="D62" s="278" t="inlineStr">
        <is>
          <t>TIGER 글로벌비만치료제 TOP2 Plus</t>
        </is>
      </c>
      <c r="E62" s="279" t="n">
        <v>1200</v>
      </c>
      <c r="F62" s="340" t="n"/>
      <c r="G62" s="279" t="n">
        <v>1200</v>
      </c>
      <c r="H62" s="278" t="inlineStr">
        <is>
          <t>실적</t>
        </is>
      </c>
    </row>
    <row r="63">
      <c r="A63" s="343" t="n">
        <v>46051</v>
      </c>
      <c r="B63" s="278" t="n">
        <v>1</v>
      </c>
      <c r="C63" s="278" t="inlineStr">
        <is>
          <t>482730</t>
        </is>
      </c>
      <c r="D63" s="278" t="inlineStr">
        <is>
          <t>미국S&amp;P500타겟데일리커버드콜</t>
        </is>
      </c>
      <c r="E63" s="279" t="n">
        <v>42500</v>
      </c>
      <c r="F63" s="340" t="n"/>
      <c r="G63" s="279" t="n">
        <v>42500</v>
      </c>
      <c r="H63" s="278" t="inlineStr">
        <is>
          <t>실적</t>
        </is>
      </c>
    </row>
    <row r="64">
      <c r="A64" s="343" t="n">
        <v>46051</v>
      </c>
      <c r="B64" s="278" t="n">
        <v>1</v>
      </c>
      <c r="C64" s="278" t="inlineStr">
        <is>
          <t>483280</t>
        </is>
      </c>
      <c r="D64" s="278" t="inlineStr">
        <is>
          <t>KODEX 미국AI테크TOP10타겟커버드콜</t>
        </is>
      </c>
      <c r="E64" s="279" t="n">
        <v>353934</v>
      </c>
      <c r="F64" s="340" t="n"/>
      <c r="G64" s="279" t="n">
        <v>353934</v>
      </c>
      <c r="H64" s="278" t="inlineStr">
        <is>
          <t>실적</t>
        </is>
      </c>
    </row>
    <row r="65">
      <c r="A65" s="343" t="n">
        <v>46051</v>
      </c>
      <c r="B65" s="278" t="n">
        <v>1</v>
      </c>
      <c r="C65" s="278" t="inlineStr">
        <is>
          <t>498270</t>
        </is>
      </c>
      <c r="D65" s="278" t="inlineStr">
        <is>
          <t>KIWOOM 미국양자컴퓨팅</t>
        </is>
      </c>
      <c r="E65" s="279" t="n">
        <v>5940</v>
      </c>
      <c r="F65" s="340" t="n"/>
      <c r="G65" s="279" t="n">
        <v>5940</v>
      </c>
      <c r="H65" s="278" t="inlineStr">
        <is>
          <t>실적</t>
        </is>
      </c>
    </row>
    <row r="66">
      <c r="A66" s="343" t="n">
        <v>46051</v>
      </c>
      <c r="B66" s="278" t="n">
        <v>1</v>
      </c>
      <c r="C66" s="278" t="inlineStr">
        <is>
          <t>498410</t>
        </is>
      </c>
      <c r="D66" s="278" t="inlineStr">
        <is>
          <t>KODEX금융고배당TOP10타겟위클리커버드콜</t>
        </is>
      </c>
      <c r="E66" s="279" t="n">
        <v>368435</v>
      </c>
      <c r="F66" s="340" t="n"/>
      <c r="G66" s="279" t="n">
        <v>368435</v>
      </c>
      <c r="H66" s="278" t="inlineStr">
        <is>
          <t>실적</t>
        </is>
      </c>
    </row>
    <row r="67">
      <c r="A67" s="343" t="n">
        <v>46052</v>
      </c>
      <c r="B67" s="278" t="n">
        <v>1</v>
      </c>
      <c r="C67" s="278" t="inlineStr">
        <is>
          <t>O</t>
        </is>
      </c>
      <c r="D67" s="278" t="inlineStr">
        <is>
          <t>리얼티인컴</t>
        </is>
      </c>
      <c r="E67" s="279" t="n"/>
      <c r="F67" s="340" t="n">
        <v>14.31</v>
      </c>
      <c r="G67" s="279" t="n">
        <v>19733.49</v>
      </c>
      <c r="H67" s="278" t="inlineStr">
        <is>
          <t>실적</t>
        </is>
      </c>
    </row>
    <row r="68">
      <c r="A68" s="343" t="n">
        <v>46062</v>
      </c>
      <c r="B68" s="278" t="n">
        <v>2</v>
      </c>
      <c r="C68" s="278" t="inlineStr">
        <is>
          <t>AAPL</t>
        </is>
      </c>
      <c r="D68" s="278" t="inlineStr">
        <is>
          <t>애플</t>
        </is>
      </c>
      <c r="E68" s="279" t="n"/>
      <c r="F68" s="340" t="n">
        <v>2.34</v>
      </c>
      <c r="G68" s="279" t="n">
        <v>3226.86</v>
      </c>
      <c r="H68" s="278" t="inlineStr">
        <is>
          <t>실적</t>
        </is>
      </c>
    </row>
    <row r="69">
      <c r="A69" s="343" t="n">
        <v>46065</v>
      </c>
      <c r="B69" s="278" t="n">
        <v>2</v>
      </c>
      <c r="C69" s="278" t="inlineStr">
        <is>
          <t>0008S0</t>
        </is>
      </c>
      <c r="D69" s="278" t="inlineStr">
        <is>
          <t>TIGER 미국배당다우존스타겟데일리커버드콜</t>
        </is>
      </c>
      <c r="E69" s="279" t="n">
        <v>306000</v>
      </c>
      <c r="F69" s="340" t="n"/>
      <c r="G69" s="279" t="n">
        <v>306000</v>
      </c>
      <c r="H69" s="278" t="inlineStr">
        <is>
          <t>실적</t>
        </is>
      </c>
    </row>
    <row r="70">
      <c r="A70" s="343" t="n">
        <v>46065</v>
      </c>
      <c r="B70" s="278" t="n">
        <v>2</v>
      </c>
      <c r="C70" s="278" t="inlineStr">
        <is>
          <t>474220</t>
        </is>
      </c>
      <c r="D70" s="278" t="inlineStr">
        <is>
          <t>TIGER미국테크TOP10커버드콜</t>
        </is>
      </c>
      <c r="E70" s="279" t="n">
        <v>588240</v>
      </c>
      <c r="F70" s="340" t="n"/>
      <c r="G70" s="279" t="n">
        <v>588240</v>
      </c>
      <c r="H70" s="278" t="inlineStr">
        <is>
          <t>실적</t>
        </is>
      </c>
    </row>
    <row r="71">
      <c r="A71" s="343" t="n">
        <v>46065</v>
      </c>
      <c r="B71" s="278" t="n">
        <v>2</v>
      </c>
      <c r="C71" s="278" t="inlineStr">
        <is>
          <t>481060</t>
        </is>
      </c>
      <c r="D71" s="278" t="inlineStr">
        <is>
          <t>KODEX 미국30년국채타겟커버드콜(H)</t>
        </is>
      </c>
      <c r="E71" s="279" t="n">
        <v>253980</v>
      </c>
      <c r="F71" s="340" t="n"/>
      <c r="G71" s="279" t="n">
        <v>253980</v>
      </c>
      <c r="H71" s="278" t="inlineStr">
        <is>
          <t>실적</t>
        </is>
      </c>
    </row>
    <row r="72">
      <c r="A72" s="343" t="n">
        <v>46065</v>
      </c>
      <c r="B72" s="278" t="n">
        <v>2</v>
      </c>
      <c r="C72" s="278" t="inlineStr">
        <is>
          <t>490490</t>
        </is>
      </c>
      <c r="D72" s="278" t="inlineStr">
        <is>
          <t>SOL미국배당미국채혼합50</t>
        </is>
      </c>
      <c r="E72" s="279" t="n">
        <v>91704</v>
      </c>
      <c r="F72" s="340" t="n"/>
      <c r="G72" s="279" t="n">
        <v>91704</v>
      </c>
      <c r="H72" s="278" t="inlineStr">
        <is>
          <t>실적</t>
        </is>
      </c>
    </row>
    <row r="73">
      <c r="A73" s="343" t="n">
        <v>46065</v>
      </c>
      <c r="B73" s="278" t="n">
        <v>2</v>
      </c>
      <c r="C73" s="278" t="inlineStr">
        <is>
          <t>498400</t>
        </is>
      </c>
      <c r="D73" s="278" t="inlineStr">
        <is>
          <t>KODEX 200타켓위클리커버드콜</t>
        </is>
      </c>
      <c r="E73" s="279" t="n">
        <v>149084</v>
      </c>
      <c r="F73" s="340" t="n"/>
      <c r="G73" s="279" t="n">
        <v>149084</v>
      </c>
      <c r="H73" s="278" t="inlineStr">
        <is>
          <t>실적</t>
        </is>
      </c>
    </row>
    <row r="74">
      <c r="A74" s="343" t="n">
        <v>46065</v>
      </c>
      <c r="B74" s="278" t="n">
        <v>2</v>
      </c>
      <c r="C74" s="278" t="inlineStr">
        <is>
          <t>XOM</t>
        </is>
      </c>
      <c r="D74" s="278" t="inlineStr">
        <is>
          <t>엑슨모빌</t>
        </is>
      </c>
      <c r="E74" s="279" t="n"/>
      <c r="F74" s="340" t="n">
        <v>1.03</v>
      </c>
      <c r="G74" s="279" t="n">
        <v>1420.37</v>
      </c>
      <c r="H74" s="278" t="inlineStr">
        <is>
          <t>실적</t>
        </is>
      </c>
    </row>
    <row r="75">
      <c r="A75" s="343" t="n">
        <v>46066</v>
      </c>
      <c r="B75" s="278" t="n">
        <v>2</v>
      </c>
      <c r="C75" s="278" t="inlineStr">
        <is>
          <t>SBUX</t>
        </is>
      </c>
      <c r="D75" s="278" t="inlineStr">
        <is>
          <t>스타벅스</t>
        </is>
      </c>
      <c r="E75" s="279" t="n"/>
      <c r="F75" s="340" t="n">
        <v>1.24</v>
      </c>
      <c r="G75" s="279" t="n">
        <v>1709.96</v>
      </c>
      <c r="H75" s="278" t="inlineStr">
        <is>
          <t>실적</t>
        </is>
      </c>
    </row>
    <row r="76">
      <c r="A76" s="343" t="n">
        <v>46070</v>
      </c>
      <c r="B76" s="278" t="n">
        <v>2</v>
      </c>
      <c r="C76" s="278" t="inlineStr">
        <is>
          <t>CVX</t>
        </is>
      </c>
      <c r="D76" s="278" t="inlineStr">
        <is>
          <t>셰브론</t>
        </is>
      </c>
      <c r="E76" s="279" t="n"/>
      <c r="F76" s="340" t="n">
        <v>1.78</v>
      </c>
      <c r="G76" s="279" t="n">
        <v>2454.62</v>
      </c>
      <c r="H76" s="278" t="inlineStr">
        <is>
          <t>실적</t>
        </is>
      </c>
    </row>
    <row r="77">
      <c r="A77" s="343" t="n">
        <v>46072</v>
      </c>
      <c r="B77" s="278" t="n">
        <v>2</v>
      </c>
      <c r="C77" s="278" t="inlineStr">
        <is>
          <t>MSFT</t>
        </is>
      </c>
      <c r="D77" s="278" t="inlineStr">
        <is>
          <t>마이크로소프트</t>
        </is>
      </c>
      <c r="E77" s="279" t="n"/>
      <c r="F77" s="340" t="n">
        <v>1.82</v>
      </c>
      <c r="G77" s="279" t="n">
        <v>2509.78</v>
      </c>
      <c r="H77" s="278" t="inlineStr">
        <is>
          <t>실적</t>
        </is>
      </c>
    </row>
    <row r="78">
      <c r="A78" s="343" t="n">
        <v>46079</v>
      </c>
      <c r="B78" s="278" t="n">
        <v>2</v>
      </c>
      <c r="C78" s="278" t="inlineStr">
        <is>
          <t>005389</t>
        </is>
      </c>
      <c r="D78" s="278" t="inlineStr">
        <is>
          <t>현대차3우B</t>
        </is>
      </c>
      <c r="E78" s="279" t="n">
        <v>33150</v>
      </c>
      <c r="F78" s="340" t="n"/>
      <c r="G78" s="279" t="n">
        <v>33150</v>
      </c>
      <c r="H78" s="278" t="inlineStr">
        <is>
          <t>실적</t>
        </is>
      </c>
    </row>
    <row r="79">
      <c r="A79" s="343" t="n">
        <v>46079</v>
      </c>
      <c r="B79" s="278" t="n">
        <v>2</v>
      </c>
      <c r="C79" s="278" t="n">
        <v>105560</v>
      </c>
      <c r="D79" s="278" t="inlineStr">
        <is>
          <t>KB금융</t>
        </is>
      </c>
      <c r="E79" s="279" t="n">
        <v>19260</v>
      </c>
      <c r="F79" s="340" t="n"/>
      <c r="G79" s="279" t="n">
        <v>19260</v>
      </c>
      <c r="H79" s="278" t="inlineStr">
        <is>
          <t>실적</t>
        </is>
      </c>
    </row>
    <row r="80">
      <c r="A80" s="343" t="n">
        <v>46079</v>
      </c>
      <c r="B80" s="278" t="n">
        <v>2</v>
      </c>
      <c r="C80" s="278" t="inlineStr">
        <is>
          <t>329200</t>
        </is>
      </c>
      <c r="D80" s="278" t="inlineStr">
        <is>
          <t>TIGER리츠부동산인프라</t>
        </is>
      </c>
      <c r="E80" s="279" t="n">
        <v>165000</v>
      </c>
      <c r="F80" s="340" t="n"/>
      <c r="G80" s="279" t="n">
        <v>165000</v>
      </c>
      <c r="H80" s="278" t="inlineStr">
        <is>
          <t>실적</t>
        </is>
      </c>
    </row>
    <row r="81">
      <c r="A81" s="343" t="n">
        <v>46079</v>
      </c>
      <c r="B81" s="278" t="n">
        <v>2</v>
      </c>
      <c r="C81" s="278" t="inlineStr">
        <is>
          <t>433330</t>
        </is>
      </c>
      <c r="D81" s="278" t="inlineStr">
        <is>
          <t>SOL 미국 S&amp;P500</t>
        </is>
      </c>
      <c r="E81" s="279" t="n">
        <v>17836</v>
      </c>
      <c r="F81" s="340" t="n"/>
      <c r="G81" s="279" t="n">
        <v>17836</v>
      </c>
      <c r="H81" s="278" t="inlineStr">
        <is>
          <t>실적</t>
        </is>
      </c>
    </row>
    <row r="82">
      <c r="A82" s="343" t="n">
        <v>46079</v>
      </c>
      <c r="B82" s="278" t="n">
        <v>2</v>
      </c>
      <c r="C82" s="278" t="inlineStr">
        <is>
          <t>446720</t>
        </is>
      </c>
      <c r="D82" s="278" t="inlineStr">
        <is>
          <t>SOL 미국배당다우존스</t>
        </is>
      </c>
      <c r="E82" s="279" t="n">
        <v>46550</v>
      </c>
      <c r="F82" s="340" t="n"/>
      <c r="G82" s="279" t="n">
        <v>46550</v>
      </c>
      <c r="H82" s="278" t="inlineStr">
        <is>
          <t>실적</t>
        </is>
      </c>
    </row>
    <row r="83">
      <c r="A83" s="343" t="n">
        <v>46079</v>
      </c>
      <c r="B83" s="278" t="n">
        <v>2</v>
      </c>
      <c r="C83" s="278" t="inlineStr">
        <is>
          <t>458760</t>
        </is>
      </c>
      <c r="D83" s="278" t="inlineStr">
        <is>
          <t>TIGER 미배당다우커버드콜2호</t>
        </is>
      </c>
      <c r="E83" s="279" t="n">
        <v>1443182</v>
      </c>
      <c r="F83" s="340" t="n"/>
      <c r="G83" s="279" t="n">
        <v>1443182</v>
      </c>
      <c r="H83" s="278" t="inlineStr">
        <is>
          <t>실적</t>
        </is>
      </c>
    </row>
    <row r="84">
      <c r="A84" s="343" t="n">
        <v>46079</v>
      </c>
      <c r="B84" s="278" t="n">
        <v>2</v>
      </c>
      <c r="C84" s="278" t="inlineStr">
        <is>
          <t>468380</t>
        </is>
      </c>
      <c r="D84" s="278" t="inlineStr">
        <is>
          <t>KODEX iShares미국하이일드액티브</t>
        </is>
      </c>
      <c r="E84" s="279" t="n">
        <v>128000</v>
      </c>
      <c r="F84" s="340" t="n"/>
      <c r="G84" s="279" t="n">
        <v>128000</v>
      </c>
      <c r="H84" s="278" t="inlineStr">
        <is>
          <t>실적</t>
        </is>
      </c>
    </row>
    <row r="85">
      <c r="A85" s="343" t="n">
        <v>46079</v>
      </c>
      <c r="B85" s="278" t="n">
        <v>2</v>
      </c>
      <c r="C85" s="278" t="inlineStr">
        <is>
          <t>473330</t>
        </is>
      </c>
      <c r="D85" s="278" t="inlineStr">
        <is>
          <t>SOL 미국 30년국채커버드콜(합성)</t>
        </is>
      </c>
      <c r="E85" s="279" t="n">
        <v>72000</v>
      </c>
      <c r="F85" s="340" t="n"/>
      <c r="G85" s="279" t="n">
        <v>72000</v>
      </c>
      <c r="H85" s="278" t="inlineStr">
        <is>
          <t>실적</t>
        </is>
      </c>
    </row>
    <row r="86">
      <c r="A86" s="343" t="n">
        <v>46079</v>
      </c>
      <c r="B86" s="278" t="n">
        <v>2</v>
      </c>
      <c r="C86" s="278" t="inlineStr">
        <is>
          <t>475380</t>
        </is>
      </c>
      <c r="D86" s="278" t="inlineStr">
        <is>
          <t>RISE 글로벌리얼티인컴</t>
        </is>
      </c>
      <c r="E86" s="279" t="n">
        <v>3131</v>
      </c>
      <c r="F86" s="340" t="n"/>
      <c r="G86" s="279" t="n">
        <v>3131</v>
      </c>
      <c r="H86" s="278" t="inlineStr">
        <is>
          <t>실적</t>
        </is>
      </c>
    </row>
    <row r="87">
      <c r="A87" s="343" t="n">
        <v>46079</v>
      </c>
      <c r="B87" s="278" t="n">
        <v>2</v>
      </c>
      <c r="C87" s="278" t="inlineStr">
        <is>
          <t>476550</t>
        </is>
      </c>
      <c r="D87" s="278" t="inlineStr">
        <is>
          <t>TIGER 미국30년국채커버드콜액티브(H)</t>
        </is>
      </c>
      <c r="E87" s="279" t="n">
        <v>33187</v>
      </c>
      <c r="F87" s="340" t="n"/>
      <c r="G87" s="279" t="n">
        <v>33187</v>
      </c>
      <c r="H87" s="278" t="inlineStr">
        <is>
          <t>실적</t>
        </is>
      </c>
    </row>
    <row r="88">
      <c r="A88" s="343" t="n">
        <v>46079</v>
      </c>
      <c r="B88" s="278" t="n">
        <v>2</v>
      </c>
      <c r="C88" s="278" t="inlineStr">
        <is>
          <t>476690</t>
        </is>
      </c>
      <c r="D88" s="278" t="inlineStr">
        <is>
          <t>TIGER 글로벌비만치료제 TOP2 Plus</t>
        </is>
      </c>
      <c r="E88" s="279" t="n">
        <v>1200</v>
      </c>
      <c r="F88" s="340" t="n"/>
      <c r="G88" s="279" t="n">
        <v>1200</v>
      </c>
      <c r="H88" s="278" t="inlineStr">
        <is>
          <t>실적</t>
        </is>
      </c>
    </row>
    <row r="89">
      <c r="A89" s="343" t="n">
        <v>46079</v>
      </c>
      <c r="B89" s="278" t="n">
        <v>2</v>
      </c>
      <c r="C89" s="278" t="inlineStr">
        <is>
          <t>482730</t>
        </is>
      </c>
      <c r="D89" s="278" t="inlineStr">
        <is>
          <t>미국S&amp;P500타겟데일리커버드콜</t>
        </is>
      </c>
      <c r="E89" s="279" t="n">
        <v>41225</v>
      </c>
      <c r="F89" s="340" t="n"/>
      <c r="G89" s="279" t="n">
        <v>41225</v>
      </c>
      <c r="H89" s="278" t="inlineStr">
        <is>
          <t>실적</t>
        </is>
      </c>
    </row>
    <row r="90">
      <c r="A90" s="343" t="n">
        <v>46079</v>
      </c>
      <c r="B90" s="278" t="n">
        <v>2</v>
      </c>
      <c r="C90" s="278" t="inlineStr">
        <is>
          <t>483280</t>
        </is>
      </c>
      <c r="D90" s="278" t="inlineStr">
        <is>
          <t>KODEX 미국AI테크TOP10타겟커버드콜</t>
        </is>
      </c>
      <c r="E90" s="279" t="n">
        <v>331674</v>
      </c>
      <c r="F90" s="340" t="n"/>
      <c r="G90" s="279" t="n">
        <v>331674</v>
      </c>
      <c r="H90" s="278" t="inlineStr">
        <is>
          <t>실적</t>
        </is>
      </c>
    </row>
    <row r="91">
      <c r="A91" s="343" t="n">
        <v>46079</v>
      </c>
      <c r="B91" s="278" t="n">
        <v>2</v>
      </c>
      <c r="C91" s="278" t="inlineStr">
        <is>
          <t>498410</t>
        </is>
      </c>
      <c r="D91" s="278" t="inlineStr">
        <is>
          <t>KODEX금융고배당TOP10타겟위클리커버드콜</t>
        </is>
      </c>
      <c r="E91" s="279" t="n">
        <v>449253</v>
      </c>
      <c r="F91" s="340" t="n"/>
      <c r="G91" s="279" t="n">
        <v>449253</v>
      </c>
      <c r="H91" s="278" t="inlineStr">
        <is>
          <t>실적</t>
        </is>
      </c>
    </row>
    <row r="92">
      <c r="A92" s="343" t="n">
        <v>46080</v>
      </c>
      <c r="B92" s="278" t="n">
        <v>2</v>
      </c>
      <c r="C92" s="278" t="inlineStr">
        <is>
          <t>O</t>
        </is>
      </c>
      <c r="D92" s="278" t="inlineStr">
        <is>
          <t>리얼티인컴</t>
        </is>
      </c>
      <c r="E92" s="279" t="n"/>
      <c r="F92" s="340" t="n">
        <v>14.31</v>
      </c>
      <c r="G92" s="279" t="n">
        <v>19733.49</v>
      </c>
      <c r="H92" s="278" t="inlineStr">
        <is>
          <t>실적</t>
        </is>
      </c>
    </row>
    <row r="93">
      <c r="A93" s="343" t="n">
        <v>46080</v>
      </c>
      <c r="B93" s="278" t="n">
        <v>2</v>
      </c>
      <c r="C93" s="278" t="inlineStr">
        <is>
          <t>TMUS</t>
        </is>
      </c>
      <c r="D93" s="278" t="inlineStr">
        <is>
          <t>T-모바일</t>
        </is>
      </c>
      <c r="E93" s="279" t="n"/>
      <c r="F93" s="340" t="n">
        <v>4.08</v>
      </c>
      <c r="G93" s="279" t="n">
        <v>5626.32</v>
      </c>
      <c r="H93" s="278" t="inlineStr">
        <is>
          <t>실적</t>
        </is>
      </c>
    </row>
    <row r="94">
      <c r="A94" s="343" t="n">
        <v>46083</v>
      </c>
      <c r="B94" s="278" t="n">
        <v>3</v>
      </c>
      <c r="C94" s="278" t="inlineStr">
        <is>
          <t>NKE</t>
        </is>
      </c>
      <c r="D94" s="278" t="inlineStr">
        <is>
          <t>나이키</t>
        </is>
      </c>
      <c r="E94" s="279" t="n"/>
      <c r="F94" s="340" t="n">
        <v>4.1</v>
      </c>
      <c r="G94" s="279" t="n">
        <v>5653.9</v>
      </c>
      <c r="H94" s="278" t="inlineStr">
        <is>
          <t>실적</t>
        </is>
      </c>
    </row>
    <row r="95">
      <c r="A95" s="343" t="n">
        <v>46093</v>
      </c>
      <c r="B95" s="278" t="n">
        <v>3</v>
      </c>
      <c r="C95" s="278" t="inlineStr">
        <is>
          <t>0008S0</t>
        </is>
      </c>
      <c r="D95" s="278" t="inlineStr">
        <is>
          <t>TIGER 미국배당다우존스타겟데일리커버드콜</t>
        </is>
      </c>
      <c r="E95" s="279" t="n">
        <v>303000</v>
      </c>
      <c r="F95" s="340" t="n"/>
      <c r="G95" s="279" t="n">
        <v>303000</v>
      </c>
      <c r="H95" s="278" t="inlineStr">
        <is>
          <t>실적</t>
        </is>
      </c>
    </row>
    <row r="96">
      <c r="A96" s="343" t="n">
        <v>46093</v>
      </c>
      <c r="B96" s="278" t="n">
        <v>3</v>
      </c>
      <c r="C96" s="278" t="inlineStr">
        <is>
          <t>352820</t>
        </is>
      </c>
      <c r="D96" s="278" t="inlineStr">
        <is>
          <t>하이브</t>
        </is>
      </c>
      <c r="E96" s="279" t="n">
        <v>9000</v>
      </c>
      <c r="F96" s="340" t="n"/>
      <c r="G96" s="279" t="n">
        <v>9000</v>
      </c>
      <c r="H96" s="278" t="inlineStr">
        <is>
          <t>실적</t>
        </is>
      </c>
    </row>
    <row r="97">
      <c r="A97" s="343" t="n">
        <v>46093</v>
      </c>
      <c r="B97" s="278" t="n">
        <v>3</v>
      </c>
      <c r="C97" s="278" t="inlineStr">
        <is>
          <t>474220</t>
        </is>
      </c>
      <c r="D97" s="278" t="inlineStr">
        <is>
          <t>TIGER미국테크TOP10커버드콜</t>
        </is>
      </c>
      <c r="E97" s="279" t="n">
        <v>574560</v>
      </c>
      <c r="F97" s="340" t="n"/>
      <c r="G97" s="279" t="n">
        <v>574560</v>
      </c>
      <c r="H97" s="278" t="inlineStr">
        <is>
          <t>실적</t>
        </is>
      </c>
    </row>
    <row r="98">
      <c r="A98" s="343" t="n">
        <v>46093</v>
      </c>
      <c r="B98" s="278" t="n">
        <v>3</v>
      </c>
      <c r="C98" s="278" t="inlineStr">
        <is>
          <t>481060</t>
        </is>
      </c>
      <c r="D98" s="278" t="inlineStr">
        <is>
          <t>KODEX 미국30년국채타겟커버드콜(H)</t>
        </is>
      </c>
      <c r="E98" s="279" t="n">
        <v>250920</v>
      </c>
      <c r="F98" s="340" t="n"/>
      <c r="G98" s="279" t="n">
        <v>250920</v>
      </c>
      <c r="H98" s="278" t="inlineStr">
        <is>
          <t>실적</t>
        </is>
      </c>
    </row>
    <row r="99">
      <c r="A99" s="343" t="n">
        <v>46093</v>
      </c>
      <c r="B99" s="278" t="n">
        <v>3</v>
      </c>
      <c r="C99" s="278" t="inlineStr">
        <is>
          <t>490490</t>
        </is>
      </c>
      <c r="D99" s="278" t="inlineStr">
        <is>
          <t>SOL미국배당미국채혼합50</t>
        </is>
      </c>
      <c r="E99" s="279" t="n">
        <v>114630</v>
      </c>
      <c r="F99" s="340" t="n"/>
      <c r="G99" s="279" t="n">
        <v>114630</v>
      </c>
      <c r="H99" s="278" t="inlineStr">
        <is>
          <t>실적</t>
        </is>
      </c>
    </row>
    <row r="100">
      <c r="A100" s="343" t="n">
        <v>46093</v>
      </c>
      <c r="B100" s="278" t="n">
        <v>3</v>
      </c>
      <c r="C100" s="278" t="inlineStr">
        <is>
          <t>498400</t>
        </is>
      </c>
      <c r="D100" s="278" t="inlineStr">
        <is>
          <t>KODEX 200타켓위클리커버드콜</t>
        </is>
      </c>
      <c r="E100" s="279" t="n">
        <v>153972</v>
      </c>
      <c r="F100" s="340" t="n"/>
      <c r="G100" s="279" t="n">
        <v>153972</v>
      </c>
      <c r="H100" s="278" t="inlineStr">
        <is>
          <t>실적</t>
        </is>
      </c>
    </row>
    <row r="101">
      <c r="A101" s="343" t="n">
        <v>46098</v>
      </c>
      <c r="B101" s="278" t="n">
        <v>3</v>
      </c>
      <c r="C101" s="278" t="inlineStr">
        <is>
          <t>TSM</t>
        </is>
      </c>
      <c r="D101" s="278" t="inlineStr">
        <is>
          <t>TSMC</t>
        </is>
      </c>
      <c r="E101" s="279" t="n"/>
      <c r="F101" s="340" t="n">
        <v>0.956</v>
      </c>
      <c r="G101" s="279" t="n">
        <v>1318.324</v>
      </c>
      <c r="H101" s="278" t="inlineStr">
        <is>
          <t>실적</t>
        </is>
      </c>
    </row>
    <row r="102">
      <c r="A102" s="343" t="n">
        <v>46105</v>
      </c>
      <c r="B102" s="278" t="n">
        <v>3</v>
      </c>
      <c r="C102" s="278" t="inlineStr">
        <is>
          <t>000270</t>
        </is>
      </c>
      <c r="D102" s="278" t="inlineStr">
        <is>
          <t>기아</t>
        </is>
      </c>
      <c r="E102" s="279" t="n">
        <v>231200</v>
      </c>
      <c r="F102" s="340" t="n"/>
      <c r="G102" s="279" t="n">
        <v>231200</v>
      </c>
      <c r="H102" s="278" t="inlineStr">
        <is>
          <t>실적</t>
        </is>
      </c>
    </row>
    <row r="103">
      <c r="A103" s="343" t="n">
        <v>46106</v>
      </c>
      <c r="B103" s="278" t="n">
        <v>3</v>
      </c>
      <c r="C103" s="278" t="inlineStr">
        <is>
          <t>SCHD</t>
        </is>
      </c>
      <c r="D103" s="278" t="inlineStr">
        <is>
          <t>SCHD</t>
        </is>
      </c>
      <c r="E103" s="279" t="n"/>
      <c r="F103" s="340" t="n">
        <v>6.168</v>
      </c>
      <c r="G103" s="279" t="n">
        <v>8505.672</v>
      </c>
      <c r="H103" s="278" t="inlineStr">
        <is>
          <t>실적</t>
        </is>
      </c>
    </row>
    <row r="104">
      <c r="A104" s="344" t="n">
        <v>46109</v>
      </c>
      <c r="B104" s="287" t="n">
        <v>3</v>
      </c>
      <c r="C104" s="287" t="inlineStr">
        <is>
          <t>005389</t>
        </is>
      </c>
      <c r="D104" s="287" t="inlineStr">
        <is>
          <t>현대차3우B</t>
        </is>
      </c>
      <c r="E104" s="288" t="n">
        <v>26000</v>
      </c>
      <c r="F104" s="342" t="n"/>
      <c r="G104" s="288" t="n">
        <v>26000</v>
      </c>
      <c r="H104" s="287" t="inlineStr">
        <is>
          <t>예측</t>
        </is>
      </c>
    </row>
    <row r="105">
      <c r="A105" s="344" t="n">
        <v>46109</v>
      </c>
      <c r="B105" s="287" t="n">
        <v>3</v>
      </c>
      <c r="C105" s="287" t="n">
        <v>105560</v>
      </c>
      <c r="D105" s="287" t="inlineStr">
        <is>
          <t>KB금융</t>
        </is>
      </c>
      <c r="E105" s="288" t="n">
        <v>9408</v>
      </c>
      <c r="F105" s="342" t="n"/>
      <c r="G105" s="288" t="n">
        <v>9408</v>
      </c>
      <c r="H105" s="287" t="inlineStr">
        <is>
          <t>예측</t>
        </is>
      </c>
    </row>
    <row r="106">
      <c r="A106" s="343" t="n">
        <v>46111</v>
      </c>
      <c r="B106" s="278" t="n">
        <v>3</v>
      </c>
      <c r="C106" s="278" t="inlineStr">
        <is>
          <t>005930</t>
        </is>
      </c>
      <c r="D106" s="278" t="inlineStr">
        <is>
          <t>삼성전자</t>
        </is>
      </c>
      <c r="E106" s="279" t="n">
        <v>36828</v>
      </c>
      <c r="F106" s="340" t="n"/>
      <c r="G106" s="279" t="n">
        <v>36828</v>
      </c>
      <c r="H106" s="278" t="inlineStr">
        <is>
          <t>실적</t>
        </is>
      </c>
    </row>
    <row r="107">
      <c r="A107" s="343" t="n">
        <v>46111</v>
      </c>
      <c r="B107" s="278" t="n">
        <v>3</v>
      </c>
      <c r="C107" s="278" t="inlineStr">
        <is>
          <t>024110</t>
        </is>
      </c>
      <c r="D107" s="278" t="inlineStr">
        <is>
          <t>기업은행</t>
        </is>
      </c>
      <c r="E107" s="279" t="n">
        <v>187592</v>
      </c>
      <c r="F107" s="340" t="n"/>
      <c r="G107" s="279" t="n">
        <v>187592</v>
      </c>
      <c r="H107" s="278" t="inlineStr">
        <is>
          <t>실적</t>
        </is>
      </c>
    </row>
    <row r="108">
      <c r="A108" s="343" t="n">
        <v>46111</v>
      </c>
      <c r="B108" s="278" t="n">
        <v>3</v>
      </c>
      <c r="C108" s="278" t="inlineStr">
        <is>
          <t>329200</t>
        </is>
      </c>
      <c r="D108" s="278" t="inlineStr">
        <is>
          <t>TIGER리츠부동산인프라</t>
        </is>
      </c>
      <c r="E108" s="279" t="n">
        <v>165000</v>
      </c>
      <c r="F108" s="340" t="n"/>
      <c r="G108" s="279" t="n">
        <v>165000</v>
      </c>
      <c r="H108" s="278" t="inlineStr">
        <is>
          <t>실적</t>
        </is>
      </c>
    </row>
    <row r="109">
      <c r="A109" s="343" t="n">
        <v>46111</v>
      </c>
      <c r="B109" s="278" t="n">
        <v>3</v>
      </c>
      <c r="C109" s="278" t="inlineStr">
        <is>
          <t>433330</t>
        </is>
      </c>
      <c r="D109" s="278" t="inlineStr">
        <is>
          <t>SOL 미국 S&amp;P500</t>
        </is>
      </c>
      <c r="E109" s="279" t="n">
        <v>26754</v>
      </c>
      <c r="F109" s="340" t="n"/>
      <c r="G109" s="279" t="n">
        <v>26754</v>
      </c>
      <c r="H109" s="278" t="inlineStr">
        <is>
          <t>실적</t>
        </is>
      </c>
    </row>
    <row r="110">
      <c r="A110" s="343" t="n">
        <v>46111</v>
      </c>
      <c r="B110" s="278" t="n">
        <v>3</v>
      </c>
      <c r="C110" s="278" t="inlineStr">
        <is>
          <t>446720</t>
        </is>
      </c>
      <c r="D110" s="278" t="inlineStr">
        <is>
          <t>SOL 미국배당다우존스</t>
        </is>
      </c>
      <c r="E110" s="279" t="n">
        <v>43890</v>
      </c>
      <c r="F110" s="340" t="n"/>
      <c r="G110" s="279" t="n">
        <v>43890</v>
      </c>
      <c r="H110" s="278" t="inlineStr">
        <is>
          <t>실적</t>
        </is>
      </c>
    </row>
    <row r="111">
      <c r="A111" s="343" t="n">
        <v>46111</v>
      </c>
      <c r="B111" s="278" t="n">
        <v>3</v>
      </c>
      <c r="C111" s="278" t="inlineStr">
        <is>
          <t>458760</t>
        </is>
      </c>
      <c r="D111" s="278" t="inlineStr">
        <is>
          <t>TIGER 미배당다우커버드콜2호</t>
        </is>
      </c>
      <c r="E111" s="279" t="n">
        <v>1443182</v>
      </c>
      <c r="F111" s="340" t="n"/>
      <c r="G111" s="279" t="n">
        <v>1443182</v>
      </c>
      <c r="H111" s="278" t="inlineStr">
        <is>
          <t>실적</t>
        </is>
      </c>
    </row>
    <row r="112">
      <c r="A112" s="343" t="n">
        <v>46111</v>
      </c>
      <c r="B112" s="278" t="n">
        <v>3</v>
      </c>
      <c r="C112" s="278" t="inlineStr">
        <is>
          <t>468380</t>
        </is>
      </c>
      <c r="D112" s="278" t="inlineStr">
        <is>
          <t>KODEX iShares미국하이일드액티브</t>
        </is>
      </c>
      <c r="E112" s="279" t="n">
        <v>118000</v>
      </c>
      <c r="F112" s="340" t="n"/>
      <c r="G112" s="279" t="n">
        <v>118000</v>
      </c>
      <c r="H112" s="278" t="inlineStr">
        <is>
          <t>실적</t>
        </is>
      </c>
    </row>
    <row r="113">
      <c r="A113" s="343" t="n">
        <v>46111</v>
      </c>
      <c r="B113" s="278" t="n">
        <v>3</v>
      </c>
      <c r="C113" s="278" t="inlineStr">
        <is>
          <t>473330</t>
        </is>
      </c>
      <c r="D113" s="278" t="inlineStr">
        <is>
          <t>SOL 미국 30년국채커버드콜(합성)</t>
        </is>
      </c>
      <c r="E113" s="279" t="n">
        <v>73920</v>
      </c>
      <c r="F113" s="340" t="n"/>
      <c r="G113" s="279" t="n">
        <v>73920</v>
      </c>
      <c r="H113" s="278" t="inlineStr">
        <is>
          <t>실적</t>
        </is>
      </c>
    </row>
    <row r="114">
      <c r="A114" s="343" t="n">
        <v>46111</v>
      </c>
      <c r="B114" s="278" t="n">
        <v>3</v>
      </c>
      <c r="C114" s="278" t="inlineStr">
        <is>
          <t>475380</t>
        </is>
      </c>
      <c r="D114" s="278" t="inlineStr">
        <is>
          <t>RISE 글로벌리얼티인컴</t>
        </is>
      </c>
      <c r="E114" s="279" t="n">
        <v>3333</v>
      </c>
      <c r="F114" s="340" t="n"/>
      <c r="G114" s="279" t="n">
        <v>3333</v>
      </c>
      <c r="H114" s="278" t="inlineStr">
        <is>
          <t>실적</t>
        </is>
      </c>
    </row>
    <row r="115">
      <c r="A115" s="343" t="n">
        <v>46111</v>
      </c>
      <c r="B115" s="278" t="n">
        <v>3</v>
      </c>
      <c r="C115" s="278" t="inlineStr">
        <is>
          <t>476550</t>
        </is>
      </c>
      <c r="D115" s="278" t="inlineStr">
        <is>
          <t>TIGER 미국30년국채커버드콜액티브(H)</t>
        </is>
      </c>
      <c r="E115" s="279" t="n">
        <v>32325</v>
      </c>
      <c r="F115" s="340" t="n"/>
      <c r="G115" s="279" t="n">
        <v>32325</v>
      </c>
      <c r="H115" s="278" t="inlineStr">
        <is>
          <t>실적</t>
        </is>
      </c>
    </row>
    <row r="116">
      <c r="A116" s="343" t="n">
        <v>46111</v>
      </c>
      <c r="B116" s="278" t="n">
        <v>3</v>
      </c>
      <c r="C116" s="278" t="inlineStr">
        <is>
          <t>476690</t>
        </is>
      </c>
      <c r="D116" s="278" t="inlineStr">
        <is>
          <t>TIGER 글로벌비만치료제 TOP2 Plus</t>
        </is>
      </c>
      <c r="E116" s="279" t="n">
        <v>3300</v>
      </c>
      <c r="F116" s="340" t="n"/>
      <c r="G116" s="279" t="n">
        <v>3300</v>
      </c>
      <c r="H116" s="278" t="inlineStr">
        <is>
          <t>실적</t>
        </is>
      </c>
    </row>
    <row r="117">
      <c r="A117" s="343" t="n">
        <v>46111</v>
      </c>
      <c r="B117" s="278" t="n">
        <v>3</v>
      </c>
      <c r="C117" s="278" t="inlineStr">
        <is>
          <t>482730</t>
        </is>
      </c>
      <c r="D117" s="278" t="inlineStr">
        <is>
          <t>미국S&amp;P500타겟데일리커버드콜</t>
        </is>
      </c>
      <c r="E117" s="279" t="n">
        <v>41225</v>
      </c>
      <c r="F117" s="340" t="n"/>
      <c r="G117" s="279" t="n">
        <v>41225</v>
      </c>
      <c r="H117" s="278" t="inlineStr">
        <is>
          <t>실적</t>
        </is>
      </c>
    </row>
    <row r="118">
      <c r="A118" s="343" t="n">
        <v>46111</v>
      </c>
      <c r="B118" s="278" t="n">
        <v>3</v>
      </c>
      <c r="C118" s="278" t="inlineStr">
        <is>
          <t>483280</t>
        </is>
      </c>
      <c r="D118" s="278" t="inlineStr">
        <is>
          <t>KODEX 미국AI테크TOP10타겟커버드콜</t>
        </is>
      </c>
      <c r="E118" s="279" t="n">
        <v>329448</v>
      </c>
      <c r="F118" s="340" t="n"/>
      <c r="G118" s="279" t="n">
        <v>329448</v>
      </c>
      <c r="H118" s="278" t="inlineStr">
        <is>
          <t>실적</t>
        </is>
      </c>
    </row>
    <row r="119">
      <c r="A119" s="343" t="n">
        <v>46111</v>
      </c>
      <c r="B119" s="278" t="n">
        <v>3</v>
      </c>
      <c r="C119" s="278" t="inlineStr">
        <is>
          <t>498410</t>
        </is>
      </c>
      <c r="D119" s="278" t="inlineStr">
        <is>
          <t>KODEX금융고배당TOP10타겟위클리커버드콜</t>
        </is>
      </c>
      <c r="E119" s="279" t="n">
        <v>385074</v>
      </c>
      <c r="F119" s="340" t="n"/>
      <c r="G119" s="279" t="n">
        <v>385074</v>
      </c>
      <c r="H119" s="278" t="inlineStr">
        <is>
          <t>실적</t>
        </is>
      </c>
    </row>
    <row r="120">
      <c r="A120" s="343" t="n">
        <v>46111</v>
      </c>
      <c r="B120" s="278" t="n">
        <v>3</v>
      </c>
      <c r="C120" s="278" t="inlineStr">
        <is>
          <t>NVO</t>
        </is>
      </c>
      <c r="D120" s="278" t="inlineStr">
        <is>
          <t>노보 노디스크</t>
        </is>
      </c>
      <c r="E120" s="279" t="n"/>
      <c r="F120" s="340" t="n">
        <v>19.125</v>
      </c>
      <c r="G120" s="279" t="n">
        <v>26373.375</v>
      </c>
      <c r="H120" s="278" t="inlineStr">
        <is>
          <t>실적</t>
        </is>
      </c>
    </row>
    <row r="121">
      <c r="A121" s="343" t="n">
        <v>46112</v>
      </c>
      <c r="B121" s="278" t="n">
        <v>3</v>
      </c>
      <c r="C121" s="278" t="inlineStr">
        <is>
          <t>O</t>
        </is>
      </c>
      <c r="D121" s="278" t="inlineStr">
        <is>
          <t>리얼티인컴</t>
        </is>
      </c>
      <c r="E121" s="279" t="n"/>
      <c r="F121" s="340" t="n">
        <v>14.363</v>
      </c>
      <c r="G121" s="279" t="n">
        <v>19806.577</v>
      </c>
      <c r="H121" s="278" t="inlineStr">
        <is>
          <t>실적</t>
        </is>
      </c>
    </row>
    <row r="122">
      <c r="A122" s="343" t="n">
        <v>46114</v>
      </c>
      <c r="B122" s="278" t="n">
        <v>4</v>
      </c>
      <c r="C122" s="278" t="inlineStr">
        <is>
          <t>475560</t>
        </is>
      </c>
      <c r="D122" s="278" t="inlineStr">
        <is>
          <t>더본코리아</t>
        </is>
      </c>
      <c r="E122" s="279" t="n">
        <v>7500</v>
      </c>
      <c r="F122" s="340" t="n"/>
      <c r="G122" s="279" t="n">
        <v>7500</v>
      </c>
      <c r="H122" s="278" t="inlineStr">
        <is>
          <t>실적</t>
        </is>
      </c>
    </row>
    <row r="123">
      <c r="A123" s="343" t="n">
        <v>46121</v>
      </c>
      <c r="B123" s="278" t="n">
        <v>4</v>
      </c>
      <c r="C123" s="278" t="inlineStr">
        <is>
          <t>ORCL</t>
        </is>
      </c>
      <c r="D123" s="278" t="inlineStr">
        <is>
          <t>오라클</t>
        </is>
      </c>
      <c r="E123" s="279" t="n"/>
      <c r="F123" s="340" t="n">
        <v>1</v>
      </c>
      <c r="G123" s="279" t="n">
        <v>1379</v>
      </c>
      <c r="H123" s="278" t="inlineStr">
        <is>
          <t>실적</t>
        </is>
      </c>
    </row>
    <row r="124">
      <c r="A124" s="343" t="n">
        <v>46126</v>
      </c>
      <c r="B124" s="278" t="n">
        <v>4</v>
      </c>
      <c r="C124" s="278" t="inlineStr">
        <is>
          <t>0008S0</t>
        </is>
      </c>
      <c r="D124" s="278" t="inlineStr">
        <is>
          <t>TIGER 미국배당다우존스타겟데일리커버드콜</t>
        </is>
      </c>
      <c r="E124" s="279" t="n">
        <v>303000</v>
      </c>
      <c r="F124" s="340" t="n"/>
      <c r="G124" s="279" t="n">
        <v>303000</v>
      </c>
      <c r="H124" s="278" t="inlineStr">
        <is>
          <t>실적</t>
        </is>
      </c>
    </row>
    <row r="125">
      <c r="A125" s="343" t="n">
        <v>46126</v>
      </c>
      <c r="B125" s="278" t="n">
        <v>4</v>
      </c>
      <c r="C125" s="278" t="inlineStr">
        <is>
          <t>474220</t>
        </is>
      </c>
      <c r="D125" s="278" t="inlineStr">
        <is>
          <t>TIGER미국테크TOP10커버드콜</t>
        </is>
      </c>
      <c r="E125" s="279" t="n">
        <v>574560</v>
      </c>
      <c r="F125" s="340" t="n"/>
      <c r="G125" s="279" t="n">
        <v>574560</v>
      </c>
      <c r="H125" s="278" t="inlineStr">
        <is>
          <t>실적</t>
        </is>
      </c>
    </row>
    <row r="126">
      <c r="A126" s="343" t="n">
        <v>46126</v>
      </c>
      <c r="B126" s="278" t="n">
        <v>4</v>
      </c>
      <c r="C126" s="278" t="inlineStr">
        <is>
          <t>481060</t>
        </is>
      </c>
      <c r="D126" s="278" t="inlineStr">
        <is>
          <t>KODEX 미국30년국채타겟커버드콜(H)</t>
        </is>
      </c>
      <c r="E126" s="279" t="n">
        <v>244800</v>
      </c>
      <c r="F126" s="340" t="n"/>
      <c r="G126" s="279" t="n">
        <v>244800</v>
      </c>
      <c r="H126" s="278" t="inlineStr">
        <is>
          <t>실적</t>
        </is>
      </c>
    </row>
    <row r="127">
      <c r="A127" s="343" t="n">
        <v>46126</v>
      </c>
      <c r="B127" s="278" t="n">
        <v>4</v>
      </c>
      <c r="C127" s="278" t="inlineStr">
        <is>
          <t>490490</t>
        </is>
      </c>
      <c r="D127" s="278" t="inlineStr">
        <is>
          <t>SOL미국배당미국채혼합50</t>
        </is>
      </c>
      <c r="E127" s="279" t="n">
        <v>114630</v>
      </c>
      <c r="F127" s="340" t="n"/>
      <c r="G127" s="279" t="n">
        <v>114630</v>
      </c>
      <c r="H127" s="278" t="inlineStr">
        <is>
          <t>실적</t>
        </is>
      </c>
    </row>
    <row r="128">
      <c r="A128" s="343" t="n">
        <v>46126</v>
      </c>
      <c r="B128" s="278" t="n">
        <v>4</v>
      </c>
      <c r="C128" s="278" t="inlineStr">
        <is>
          <t>498400</t>
        </is>
      </c>
      <c r="D128" s="278" t="inlineStr">
        <is>
          <t>KODEX 200타켓위클리커버드콜</t>
        </is>
      </c>
      <c r="E128" s="279" t="n">
        <v>160082</v>
      </c>
      <c r="F128" s="340" t="n"/>
      <c r="G128" s="279" t="n">
        <v>160082</v>
      </c>
      <c r="H128" s="278" t="inlineStr">
        <is>
          <t>실적</t>
        </is>
      </c>
    </row>
    <row r="129">
      <c r="A129" s="343" t="n">
        <v>46126</v>
      </c>
      <c r="B129" s="278" t="n">
        <v>4</v>
      </c>
      <c r="C129" s="278" t="inlineStr">
        <is>
          <t>AMT</t>
        </is>
      </c>
      <c r="D129" s="278" t="inlineStr">
        <is>
          <t>아메리칸타워</t>
        </is>
      </c>
      <c r="E129" s="279" t="n"/>
      <c r="F129" s="340" t="n">
        <v>8.949999999999999</v>
      </c>
      <c r="G129" s="279" t="n">
        <v>12342.05</v>
      </c>
      <c r="H129" s="278" t="inlineStr">
        <is>
          <t>실적</t>
        </is>
      </c>
    </row>
    <row r="130">
      <c r="A130" s="343" t="n">
        <v>46141</v>
      </c>
      <c r="B130" s="278" t="n">
        <v>4</v>
      </c>
      <c r="C130" s="278" t="inlineStr">
        <is>
          <t>133690</t>
        </is>
      </c>
      <c r="D130" s="278" t="inlineStr">
        <is>
          <t>TIGER 미국나스닥100</t>
        </is>
      </c>
      <c r="E130" s="279" t="n">
        <v>13395</v>
      </c>
      <c r="F130" s="340" t="n"/>
      <c r="G130" s="279" t="n">
        <v>13395</v>
      </c>
      <c r="H130" s="278" t="inlineStr">
        <is>
          <t>실적</t>
        </is>
      </c>
    </row>
    <row r="131">
      <c r="A131" s="343" t="n">
        <v>46141</v>
      </c>
      <c r="B131" s="278" t="n">
        <v>4</v>
      </c>
      <c r="C131" s="278" t="inlineStr">
        <is>
          <t>329200</t>
        </is>
      </c>
      <c r="D131" s="278" t="inlineStr">
        <is>
          <t>TIGER리츠부동산인프라</t>
        </is>
      </c>
      <c r="E131" s="279" t="n">
        <v>165000</v>
      </c>
      <c r="F131" s="340" t="n"/>
      <c r="G131" s="279" t="n">
        <v>165000</v>
      </c>
      <c r="H131" s="278" t="inlineStr">
        <is>
          <t>실적</t>
        </is>
      </c>
    </row>
    <row r="132">
      <c r="A132" s="343" t="n">
        <v>46141</v>
      </c>
      <c r="B132" s="278" t="n">
        <v>4</v>
      </c>
      <c r="C132" s="278" t="inlineStr">
        <is>
          <t>360750</t>
        </is>
      </c>
      <c r="D132" s="278" t="inlineStr">
        <is>
          <t>TIGER미국S&amp;P500</t>
        </is>
      </c>
      <c r="E132" s="279" t="n">
        <v>13578</v>
      </c>
      <c r="F132" s="340" t="n"/>
      <c r="G132" s="279" t="n">
        <v>13578</v>
      </c>
      <c r="H132" s="278" t="inlineStr">
        <is>
          <t>실적</t>
        </is>
      </c>
    </row>
    <row r="133">
      <c r="A133" s="344" t="n">
        <v>46141</v>
      </c>
      <c r="B133" s="287" t="n">
        <v>4</v>
      </c>
      <c r="C133" s="287" t="inlineStr">
        <is>
          <t>364980</t>
        </is>
      </c>
      <c r="D133" s="287" t="inlineStr">
        <is>
          <t>TIGER 2차전지TOP10</t>
        </is>
      </c>
      <c r="E133" s="288" t="n">
        <v>5104</v>
      </c>
      <c r="F133" s="342" t="n"/>
      <c r="G133" s="288" t="n">
        <v>5104</v>
      </c>
      <c r="H133" s="287" t="inlineStr">
        <is>
          <t>예측</t>
        </is>
      </c>
    </row>
    <row r="134">
      <c r="A134" s="343" t="n">
        <v>46141</v>
      </c>
      <c r="B134" s="278" t="n">
        <v>4</v>
      </c>
      <c r="C134" s="278" t="inlineStr">
        <is>
          <t>367380</t>
        </is>
      </c>
      <c r="D134" s="278" t="inlineStr">
        <is>
          <t>ACE 미국나스닥100</t>
        </is>
      </c>
      <c r="E134" s="279" t="n">
        <v>13520</v>
      </c>
      <c r="F134" s="340" t="n"/>
      <c r="G134" s="279" t="n">
        <v>13520</v>
      </c>
      <c r="H134" s="278" t="inlineStr">
        <is>
          <t>실적</t>
        </is>
      </c>
    </row>
    <row r="135">
      <c r="A135" s="343" t="n">
        <v>46141</v>
      </c>
      <c r="B135" s="278" t="n">
        <v>4</v>
      </c>
      <c r="C135" s="278" t="inlineStr">
        <is>
          <t>379810</t>
        </is>
      </c>
      <c r="D135" s="278" t="inlineStr">
        <is>
          <t>KODEX 미국나스닥100</t>
        </is>
      </c>
      <c r="E135" s="279" t="n">
        <v>26248</v>
      </c>
      <c r="F135" s="340" t="n"/>
      <c r="G135" s="279" t="n">
        <v>26248</v>
      </c>
      <c r="H135" s="278" t="inlineStr">
        <is>
          <t>실적</t>
        </is>
      </c>
    </row>
    <row r="136">
      <c r="A136" s="343" t="n">
        <v>46141</v>
      </c>
      <c r="B136" s="278" t="n">
        <v>4</v>
      </c>
      <c r="C136" s="278" t="inlineStr">
        <is>
          <t>433330</t>
        </is>
      </c>
      <c r="D136" s="278" t="inlineStr">
        <is>
          <t>SOL 미국 S&amp;P500</t>
        </is>
      </c>
      <c r="E136" s="279" t="n">
        <v>12740</v>
      </c>
      <c r="F136" s="340" t="n"/>
      <c r="G136" s="279" t="n">
        <v>12740</v>
      </c>
      <c r="H136" s="278" t="inlineStr">
        <is>
          <t>실적</t>
        </is>
      </c>
    </row>
    <row r="137">
      <c r="A137" s="343" t="n">
        <v>46141</v>
      </c>
      <c r="B137" s="278" t="n">
        <v>4</v>
      </c>
      <c r="C137" s="278" t="inlineStr">
        <is>
          <t>446720</t>
        </is>
      </c>
      <c r="D137" s="278" t="inlineStr">
        <is>
          <t>SOL 미국배당다우존스</t>
        </is>
      </c>
      <c r="E137" s="279" t="n">
        <v>39900</v>
      </c>
      <c r="F137" s="340" t="n"/>
      <c r="G137" s="279" t="n">
        <v>39900</v>
      </c>
      <c r="H137" s="278" t="inlineStr">
        <is>
          <t>실적</t>
        </is>
      </c>
    </row>
    <row r="138">
      <c r="A138" s="343" t="n">
        <v>46141</v>
      </c>
      <c r="B138" s="278" t="n">
        <v>4</v>
      </c>
      <c r="C138" s="278" t="inlineStr">
        <is>
          <t>458760</t>
        </is>
      </c>
      <c r="D138" s="278" t="inlineStr">
        <is>
          <t>TIGER 미배당다우커버드콜2호</t>
        </is>
      </c>
      <c r="E138" s="279" t="n">
        <v>1412476</v>
      </c>
      <c r="F138" s="340" t="n"/>
      <c r="G138" s="279" t="n">
        <v>1412476</v>
      </c>
      <c r="H138" s="278" t="inlineStr">
        <is>
          <t>실적</t>
        </is>
      </c>
    </row>
    <row r="139">
      <c r="A139" s="343" t="n">
        <v>46141</v>
      </c>
      <c r="B139" s="278" t="n">
        <v>4</v>
      </c>
      <c r="C139" s="278" t="inlineStr">
        <is>
          <t>468380</t>
        </is>
      </c>
      <c r="D139" s="278" t="inlineStr">
        <is>
          <t>KODEX iShares미국하이일드액티브</t>
        </is>
      </c>
      <c r="E139" s="279" t="n">
        <v>142000</v>
      </c>
      <c r="F139" s="340" t="n"/>
      <c r="G139" s="279" t="n">
        <v>142000</v>
      </c>
      <c r="H139" s="278" t="inlineStr">
        <is>
          <t>실적</t>
        </is>
      </c>
    </row>
    <row r="140">
      <c r="A140" s="343" t="n">
        <v>46141</v>
      </c>
      <c r="B140" s="278" t="n">
        <v>4</v>
      </c>
      <c r="C140" s="278" t="inlineStr">
        <is>
          <t>473330</t>
        </is>
      </c>
      <c r="D140" s="278" t="inlineStr">
        <is>
          <t>SOL 미국 30년국채커버드콜(합성)</t>
        </is>
      </c>
      <c r="E140" s="279" t="n">
        <v>91200</v>
      </c>
      <c r="F140" s="340" t="n"/>
      <c r="G140" s="279" t="n">
        <v>91200</v>
      </c>
      <c r="H140" s="278" t="inlineStr">
        <is>
          <t>실적</t>
        </is>
      </c>
    </row>
    <row r="141">
      <c r="A141" s="343" t="n">
        <v>46141</v>
      </c>
      <c r="B141" s="278" t="n">
        <v>4</v>
      </c>
      <c r="C141" s="278" t="inlineStr">
        <is>
          <t>475380</t>
        </is>
      </c>
      <c r="D141" s="278" t="inlineStr">
        <is>
          <t>RISE 글로벌리얼티인컴</t>
        </is>
      </c>
      <c r="E141" s="279" t="n">
        <v>3535</v>
      </c>
      <c r="F141" s="340" t="n"/>
      <c r="G141" s="279" t="n">
        <v>3535</v>
      </c>
      <c r="H141" s="278" t="inlineStr">
        <is>
          <t>실적</t>
        </is>
      </c>
    </row>
    <row r="142">
      <c r="A142" s="343" t="n">
        <v>46141</v>
      </c>
      <c r="B142" s="278" t="n">
        <v>4</v>
      </c>
      <c r="C142" s="278" t="inlineStr">
        <is>
          <t>476550</t>
        </is>
      </c>
      <c r="D142" s="278" t="inlineStr">
        <is>
          <t>TIGER 미국30년국채커버드콜액티브(H)</t>
        </is>
      </c>
      <c r="E142" s="279" t="n">
        <v>31894</v>
      </c>
      <c r="F142" s="340" t="n"/>
      <c r="G142" s="279" t="n">
        <v>31894</v>
      </c>
      <c r="H142" s="278" t="inlineStr">
        <is>
          <t>실적</t>
        </is>
      </c>
    </row>
    <row r="143">
      <c r="A143" s="343" t="n">
        <v>46141</v>
      </c>
      <c r="B143" s="278" t="n">
        <v>4</v>
      </c>
      <c r="C143" s="278" t="inlineStr">
        <is>
          <t>476690</t>
        </is>
      </c>
      <c r="D143" s="278" t="inlineStr">
        <is>
          <t>TIGER 글로벌비만치료제 TOP2 Plus</t>
        </is>
      </c>
      <c r="E143" s="279" t="n">
        <v>1200</v>
      </c>
      <c r="F143" s="340" t="n"/>
      <c r="G143" s="279" t="n">
        <v>1200</v>
      </c>
      <c r="H143" s="278" t="inlineStr">
        <is>
          <t>실적</t>
        </is>
      </c>
    </row>
    <row r="144">
      <c r="A144" s="343" t="n">
        <v>46141</v>
      </c>
      <c r="B144" s="278" t="n">
        <v>4</v>
      </c>
      <c r="C144" s="278" t="inlineStr">
        <is>
          <t>482730</t>
        </is>
      </c>
      <c r="D144" s="278" t="inlineStr">
        <is>
          <t>미국S&amp;P500타겟데일리커버드콜</t>
        </is>
      </c>
      <c r="E144" s="279" t="n">
        <v>42925</v>
      </c>
      <c r="F144" s="340" t="n"/>
      <c r="G144" s="279" t="n">
        <v>42925</v>
      </c>
      <c r="H144" s="278" t="inlineStr">
        <is>
          <t>실적</t>
        </is>
      </c>
    </row>
    <row r="145">
      <c r="A145" s="343" t="n">
        <v>46141</v>
      </c>
      <c r="B145" s="278" t="n">
        <v>4</v>
      </c>
      <c r="C145" s="278" t="inlineStr">
        <is>
          <t>483280</t>
        </is>
      </c>
      <c r="D145" s="278" t="inlineStr">
        <is>
          <t>KODEX 미국AI테크TOP10타겟커버드콜</t>
        </is>
      </c>
      <c r="E145" s="279" t="n">
        <v>356160</v>
      </c>
      <c r="F145" s="340" t="n"/>
      <c r="G145" s="279" t="n">
        <v>356160</v>
      </c>
      <c r="H145" s="278" t="inlineStr">
        <is>
          <t>실적</t>
        </is>
      </c>
    </row>
    <row r="146">
      <c r="A146" s="343" t="n">
        <v>46141</v>
      </c>
      <c r="B146" s="278" t="n">
        <v>4</v>
      </c>
      <c r="C146" s="278" t="inlineStr">
        <is>
          <t>498270</t>
        </is>
      </c>
      <c r="D146" s="278" t="inlineStr">
        <is>
          <t>KIWOOM 미국양자컴퓨팅</t>
        </is>
      </c>
      <c r="E146" s="279" t="n">
        <v>3564</v>
      </c>
      <c r="F146" s="340" t="n"/>
      <c r="G146" s="279" t="n">
        <v>3564</v>
      </c>
      <c r="H146" s="278" t="inlineStr">
        <is>
          <t>실적</t>
        </is>
      </c>
    </row>
    <row r="147">
      <c r="A147" s="343" t="n">
        <v>46141</v>
      </c>
      <c r="B147" s="278" t="n">
        <v>4</v>
      </c>
      <c r="C147" s="278" t="inlineStr">
        <is>
          <t>498410</t>
        </is>
      </c>
      <c r="D147" s="278" t="inlineStr">
        <is>
          <t>KODEX금융고배당TOP10타겟위클리커버드콜</t>
        </is>
      </c>
      <c r="E147" s="279" t="n">
        <v>392205</v>
      </c>
      <c r="F147" s="340" t="n"/>
      <c r="G147" s="279" t="n">
        <v>392205</v>
      </c>
      <c r="H147" s="278" t="inlineStr">
        <is>
          <t>실적</t>
        </is>
      </c>
    </row>
    <row r="148">
      <c r="A148" s="343" t="n">
        <v>46142</v>
      </c>
      <c r="B148" s="278" t="n">
        <v>4</v>
      </c>
      <c r="C148" s="278" t="inlineStr">
        <is>
          <t>O</t>
        </is>
      </c>
      <c r="D148" s="278" t="inlineStr">
        <is>
          <t>리얼티인컴</t>
        </is>
      </c>
      <c r="E148" s="279" t="n"/>
      <c r="F148" s="340" t="n">
        <v>14.363</v>
      </c>
      <c r="G148" s="279" t="n">
        <v>19806.577</v>
      </c>
      <c r="H148" s="278" t="inlineStr">
        <is>
          <t>실적</t>
        </is>
      </c>
    </row>
    <row r="149">
      <c r="A149" s="343" t="n">
        <v>46149</v>
      </c>
      <c r="B149" s="278" t="n">
        <v>5</v>
      </c>
      <c r="C149" s="278" t="n">
        <v>105560</v>
      </c>
      <c r="D149" s="278" t="inlineStr">
        <is>
          <t>KB금융</t>
        </is>
      </c>
      <c r="E149" s="279" t="n">
        <v>13716</v>
      </c>
      <c r="F149" s="340" t="n"/>
      <c r="G149" s="279" t="n">
        <v>13716</v>
      </c>
      <c r="H149" s="278" t="inlineStr">
        <is>
          <t>실적</t>
        </is>
      </c>
    </row>
    <row r="150">
      <c r="A150" s="343" t="n">
        <v>46153</v>
      </c>
      <c r="B150" s="278" t="n">
        <v>5</v>
      </c>
      <c r="C150" s="278" t="inlineStr">
        <is>
          <t>AAPL</t>
        </is>
      </c>
      <c r="D150" s="278" t="inlineStr">
        <is>
          <t>애플</t>
        </is>
      </c>
      <c r="E150" s="279" t="n"/>
      <c r="F150" s="340" t="n">
        <v>2.43</v>
      </c>
      <c r="G150" s="279" t="n">
        <v>3350.97</v>
      </c>
      <c r="H150" s="278" t="inlineStr">
        <is>
          <t>실적</t>
        </is>
      </c>
    </row>
    <row r="151">
      <c r="A151" s="343" t="n">
        <v>46156</v>
      </c>
      <c r="B151" s="278" t="n">
        <v>5</v>
      </c>
      <c r="C151" s="278" t="inlineStr">
        <is>
          <t>0008S0</t>
        </is>
      </c>
      <c r="D151" s="278" t="inlineStr">
        <is>
          <t>TIGER 미국배당다우존스타겟데일리커버드콜</t>
        </is>
      </c>
      <c r="E151" s="279" t="n">
        <v>306000</v>
      </c>
      <c r="F151" s="340" t="n"/>
      <c r="G151" s="279" t="n">
        <v>306000</v>
      </c>
      <c r="H151" s="278" t="inlineStr">
        <is>
          <t>실적</t>
        </is>
      </c>
    </row>
    <row r="152">
      <c r="A152" s="343" t="n">
        <v>46156</v>
      </c>
      <c r="B152" s="278" t="n">
        <v>5</v>
      </c>
      <c r="C152" s="278" t="inlineStr">
        <is>
          <t>474220</t>
        </is>
      </c>
      <c r="D152" s="278" t="inlineStr">
        <is>
          <t>TIGER미국테크TOP10커버드콜</t>
        </is>
      </c>
      <c r="E152" s="279" t="n">
        <v>629280</v>
      </c>
      <c r="F152" s="340" t="n"/>
      <c r="G152" s="279" t="n">
        <v>629280</v>
      </c>
      <c r="H152" s="278" t="inlineStr">
        <is>
          <t>실적</t>
        </is>
      </c>
    </row>
    <row r="153">
      <c r="A153" s="343" t="n">
        <v>46156</v>
      </c>
      <c r="B153" s="278" t="n">
        <v>5</v>
      </c>
      <c r="C153" s="278" t="inlineStr">
        <is>
          <t>481060</t>
        </is>
      </c>
      <c r="D153" s="278" t="inlineStr">
        <is>
          <t>KODEX 미국30년국채타겟커버드콜(H)</t>
        </is>
      </c>
      <c r="E153" s="279" t="n">
        <v>241740</v>
      </c>
      <c r="F153" s="340" t="n"/>
      <c r="G153" s="279" t="n">
        <v>241740</v>
      </c>
      <c r="H153" s="278" t="inlineStr">
        <is>
          <t>실적</t>
        </is>
      </c>
    </row>
    <row r="154">
      <c r="A154" s="343" t="n">
        <v>46156</v>
      </c>
      <c r="B154" s="278" t="n">
        <v>5</v>
      </c>
      <c r="C154" s="278" t="inlineStr">
        <is>
          <t>490490</t>
        </is>
      </c>
      <c r="D154" s="278" t="inlineStr">
        <is>
          <t>SOL미국배당미국채혼합50</t>
        </is>
      </c>
      <c r="E154" s="279" t="n">
        <v>84062</v>
      </c>
      <c r="F154" s="340" t="n"/>
      <c r="G154" s="279" t="n">
        <v>84062</v>
      </c>
      <c r="H154" s="278" t="inlineStr">
        <is>
          <t>실적</t>
        </is>
      </c>
    </row>
    <row r="155">
      <c r="A155" s="343" t="n">
        <v>46156</v>
      </c>
      <c r="B155" s="278" t="n">
        <v>5</v>
      </c>
      <c r="C155" s="278" t="inlineStr">
        <is>
          <t>498400</t>
        </is>
      </c>
      <c r="D155" s="278" t="inlineStr">
        <is>
          <t>KODEX 200타켓위클리커버드콜</t>
        </is>
      </c>
      <c r="E155" s="279" t="n">
        <v>212628</v>
      </c>
      <c r="F155" s="340" t="n"/>
      <c r="G155" s="279" t="n">
        <v>212628</v>
      </c>
      <c r="H155" s="278" t="inlineStr">
        <is>
          <t>실적</t>
        </is>
      </c>
    </row>
    <row r="156">
      <c r="A156" s="343" t="n">
        <v>46157</v>
      </c>
      <c r="B156" s="278" t="n">
        <v>5</v>
      </c>
      <c r="C156" s="278" t="inlineStr">
        <is>
          <t>SBUX</t>
        </is>
      </c>
      <c r="D156" s="278" t="inlineStr">
        <is>
          <t>스타벅스</t>
        </is>
      </c>
      <c r="E156" s="279" t="n"/>
      <c r="F156" s="340" t="n">
        <v>1.24</v>
      </c>
      <c r="G156" s="279" t="n">
        <v>1709.96</v>
      </c>
      <c r="H156" s="278" t="inlineStr">
        <is>
          <t>실적</t>
        </is>
      </c>
    </row>
    <row r="157">
      <c r="A157" s="343" t="n">
        <v>46157</v>
      </c>
      <c r="B157" s="278" t="n">
        <v>5</v>
      </c>
      <c r="C157" s="278" t="inlineStr">
        <is>
          <t>XOM</t>
        </is>
      </c>
      <c r="D157" s="278" t="inlineStr">
        <is>
          <t>엑슨모빌</t>
        </is>
      </c>
      <c r="E157" s="279" t="n"/>
      <c r="F157" s="340" t="n">
        <v>1.03</v>
      </c>
      <c r="G157" s="279" t="n">
        <v>1420.37</v>
      </c>
      <c r="H157" s="278" t="inlineStr">
        <is>
          <t>실적</t>
        </is>
      </c>
    </row>
    <row r="158">
      <c r="A158" s="343" t="n">
        <v>46161</v>
      </c>
      <c r="B158" s="278" t="n">
        <v>5</v>
      </c>
      <c r="C158" s="278" t="inlineStr">
        <is>
          <t>CVX</t>
        </is>
      </c>
      <c r="D158" s="278" t="inlineStr">
        <is>
          <t>셰브론</t>
        </is>
      </c>
      <c r="E158" s="279" t="n"/>
      <c r="F158" s="340" t="n">
        <v>1.78</v>
      </c>
      <c r="G158" s="279" t="n">
        <v>2454.62</v>
      </c>
      <c r="H158" s="278" t="inlineStr">
        <is>
          <t>실적</t>
        </is>
      </c>
    </row>
    <row r="159">
      <c r="A159" s="343" t="n">
        <v>46163</v>
      </c>
      <c r="B159" s="278" t="n">
        <v>5</v>
      </c>
      <c r="C159" s="278" t="inlineStr">
        <is>
          <t>MSFT</t>
        </is>
      </c>
      <c r="D159" s="278" t="inlineStr">
        <is>
          <t>마이크로소프트</t>
        </is>
      </c>
      <c r="E159" s="279" t="n"/>
      <c r="F159" s="340" t="n">
        <v>1.82</v>
      </c>
      <c r="G159" s="279" t="n">
        <v>2509.78</v>
      </c>
      <c r="H159" s="278" t="inlineStr">
        <is>
          <t>실적</t>
        </is>
      </c>
    </row>
    <row r="160">
      <c r="A160" s="343" t="n">
        <v>46170</v>
      </c>
      <c r="B160" s="278" t="n">
        <v>5</v>
      </c>
      <c r="C160" s="278" t="inlineStr">
        <is>
          <t>005389</t>
        </is>
      </c>
      <c r="D160" s="278" t="inlineStr">
        <is>
          <t>현대차3우B</t>
        </is>
      </c>
      <c r="E160" s="279" t="n">
        <v>32500</v>
      </c>
      <c r="F160" s="340" t="n"/>
      <c r="G160" s="279" t="n">
        <v>32500</v>
      </c>
      <c r="H160" s="278" t="inlineStr">
        <is>
          <t>실적</t>
        </is>
      </c>
    </row>
    <row r="161">
      <c r="A161" s="343" t="n">
        <v>46170</v>
      </c>
      <c r="B161" s="278" t="n">
        <v>5</v>
      </c>
      <c r="C161" s="278" t="inlineStr">
        <is>
          <t>329200</t>
        </is>
      </c>
      <c r="D161" s="278" t="inlineStr">
        <is>
          <t>TIGER리츠부동산인프라</t>
        </is>
      </c>
      <c r="E161" s="279" t="n">
        <v>165000</v>
      </c>
      <c r="F161" s="340" t="n"/>
      <c r="G161" s="279" t="n">
        <v>165000</v>
      </c>
      <c r="H161" s="278" t="inlineStr">
        <is>
          <t>실적</t>
        </is>
      </c>
    </row>
    <row r="162">
      <c r="A162" s="343" t="n">
        <v>46170</v>
      </c>
      <c r="B162" s="278" t="n">
        <v>5</v>
      </c>
      <c r="C162" s="278" t="inlineStr">
        <is>
          <t>433330</t>
        </is>
      </c>
      <c r="D162" s="278" t="inlineStr">
        <is>
          <t>SOL 미국 S&amp;P500</t>
        </is>
      </c>
      <c r="E162" s="279" t="n">
        <v>22932</v>
      </c>
      <c r="F162" s="340" t="n"/>
      <c r="G162" s="279" t="n">
        <v>22932</v>
      </c>
      <c r="H162" s="278" t="inlineStr">
        <is>
          <t>실적</t>
        </is>
      </c>
    </row>
    <row r="163">
      <c r="A163" s="343" t="n">
        <v>46170</v>
      </c>
      <c r="B163" s="278" t="n">
        <v>5</v>
      </c>
      <c r="C163" s="278" t="inlineStr">
        <is>
          <t>446720</t>
        </is>
      </c>
      <c r="D163" s="278" t="inlineStr">
        <is>
          <t>SOL 미국배당다우존스</t>
        </is>
      </c>
      <c r="E163" s="279" t="n">
        <v>43890</v>
      </c>
      <c r="F163" s="340" t="n"/>
      <c r="G163" s="279" t="n">
        <v>43890</v>
      </c>
      <c r="H163" s="278" t="inlineStr">
        <is>
          <t>실적</t>
        </is>
      </c>
    </row>
    <row r="164">
      <c r="A164" s="343" t="n">
        <v>46170</v>
      </c>
      <c r="B164" s="278" t="n">
        <v>5</v>
      </c>
      <c r="C164" s="278" t="inlineStr">
        <is>
          <t>458760</t>
        </is>
      </c>
      <c r="D164" s="278" t="inlineStr">
        <is>
          <t>TIGER 미배당다우커버드콜2호</t>
        </is>
      </c>
      <c r="E164" s="279" t="n">
        <v>1473888</v>
      </c>
      <c r="F164" s="340" t="n"/>
      <c r="G164" s="279" t="n">
        <v>1473888</v>
      </c>
      <c r="H164" s="278" t="inlineStr">
        <is>
          <t>실적</t>
        </is>
      </c>
    </row>
    <row r="165">
      <c r="A165" s="343" t="n">
        <v>46170</v>
      </c>
      <c r="B165" s="278" t="n">
        <v>5</v>
      </c>
      <c r="C165" s="278" t="inlineStr">
        <is>
          <t>468380</t>
        </is>
      </c>
      <c r="D165" s="278" t="inlineStr">
        <is>
          <t>KODEX iShares미국하이일드액티브</t>
        </is>
      </c>
      <c r="E165" s="279" t="n">
        <v>122000</v>
      </c>
      <c r="F165" s="340" t="n"/>
      <c r="G165" s="279" t="n">
        <v>122000</v>
      </c>
      <c r="H165" s="278" t="inlineStr">
        <is>
          <t>실적</t>
        </is>
      </c>
    </row>
    <row r="166">
      <c r="A166" s="343" t="n">
        <v>46170</v>
      </c>
      <c r="B166" s="278" t="n">
        <v>5</v>
      </c>
      <c r="C166" s="278" t="inlineStr">
        <is>
          <t>473330</t>
        </is>
      </c>
      <c r="D166" s="278" t="inlineStr">
        <is>
          <t>SOL 미국 30년국채커버드콜(합성)</t>
        </is>
      </c>
      <c r="E166" s="279" t="n">
        <v>72000</v>
      </c>
      <c r="F166" s="340" t="n"/>
      <c r="G166" s="279" t="n">
        <v>72000</v>
      </c>
      <c r="H166" s="278" t="inlineStr">
        <is>
          <t>실적</t>
        </is>
      </c>
    </row>
    <row r="167">
      <c r="A167" s="343" t="n">
        <v>46170</v>
      </c>
      <c r="B167" s="278" t="n">
        <v>5</v>
      </c>
      <c r="C167" s="278" t="inlineStr">
        <is>
          <t>475380</t>
        </is>
      </c>
      <c r="D167" s="278" t="inlineStr">
        <is>
          <t>RISE 글로벌리얼티인컴</t>
        </is>
      </c>
      <c r="E167" s="279" t="n">
        <v>3535</v>
      </c>
      <c r="F167" s="340" t="n"/>
      <c r="G167" s="279" t="n">
        <v>3535</v>
      </c>
      <c r="H167" s="278" t="inlineStr">
        <is>
          <t>실적</t>
        </is>
      </c>
    </row>
    <row r="168">
      <c r="A168" s="343" t="n">
        <v>46170</v>
      </c>
      <c r="B168" s="278" t="n">
        <v>5</v>
      </c>
      <c r="C168" s="278" t="inlineStr">
        <is>
          <t>476550</t>
        </is>
      </c>
      <c r="D168" s="278" t="inlineStr">
        <is>
          <t>TIGER 미국30년국채커버드콜액티브(H)</t>
        </is>
      </c>
      <c r="E168" s="279" t="n">
        <v>31032</v>
      </c>
      <c r="F168" s="340" t="n"/>
      <c r="G168" s="279" t="n">
        <v>31032</v>
      </c>
      <c r="H168" s="278" t="inlineStr">
        <is>
          <t>실적</t>
        </is>
      </c>
    </row>
    <row r="169">
      <c r="A169" s="343" t="n">
        <v>46170</v>
      </c>
      <c r="B169" s="278" t="n">
        <v>5</v>
      </c>
      <c r="C169" s="278" t="inlineStr">
        <is>
          <t>476690</t>
        </is>
      </c>
      <c r="D169" s="278" t="inlineStr">
        <is>
          <t>TIGER 글로벌비만치료제 TOP2 Plus</t>
        </is>
      </c>
      <c r="E169" s="279" t="n">
        <v>1200</v>
      </c>
      <c r="F169" s="340" t="n"/>
      <c r="G169" s="279" t="n">
        <v>1200</v>
      </c>
      <c r="H169" s="278" t="inlineStr">
        <is>
          <t>실적</t>
        </is>
      </c>
    </row>
    <row r="170">
      <c r="A170" s="343" t="n">
        <v>46170</v>
      </c>
      <c r="B170" s="278" t="n">
        <v>5</v>
      </c>
      <c r="C170" s="278" t="inlineStr">
        <is>
          <t>482730</t>
        </is>
      </c>
      <c r="D170" s="278" t="inlineStr">
        <is>
          <t>미국S&amp;P500타겟데일리커버드콜</t>
        </is>
      </c>
      <c r="E170" s="279" t="n">
        <v>45900</v>
      </c>
      <c r="F170" s="340" t="n"/>
      <c r="G170" s="279" t="n">
        <v>45900</v>
      </c>
      <c r="H170" s="278" t="inlineStr">
        <is>
          <t>실적</t>
        </is>
      </c>
    </row>
    <row r="171">
      <c r="A171" s="343" t="n">
        <v>46170</v>
      </c>
      <c r="B171" s="278" t="n">
        <v>5</v>
      </c>
      <c r="C171" s="278" t="inlineStr">
        <is>
          <t>483280</t>
        </is>
      </c>
      <c r="D171" s="278" t="inlineStr">
        <is>
          <t>KODEX 미국AI테크TOP10타겟커버드콜</t>
        </is>
      </c>
      <c r="E171" s="279" t="n">
        <v>376194</v>
      </c>
      <c r="F171" s="340" t="n"/>
      <c r="G171" s="279" t="n">
        <v>376194</v>
      </c>
      <c r="H171" s="278" t="inlineStr">
        <is>
          <t>실적</t>
        </is>
      </c>
    </row>
    <row r="172">
      <c r="A172" s="343" t="n">
        <v>46170</v>
      </c>
      <c r="B172" s="278" t="n">
        <v>5</v>
      </c>
      <c r="C172" s="278" t="inlineStr">
        <is>
          <t>498410</t>
        </is>
      </c>
      <c r="D172" s="278" t="inlineStr">
        <is>
          <t>KODEX금융고배당TOP10타겟위클리커버드콜</t>
        </is>
      </c>
      <c r="E172" s="279" t="n">
        <v>368435</v>
      </c>
      <c r="F172" s="340" t="n"/>
      <c r="G172" s="279" t="n">
        <v>368435</v>
      </c>
      <c r="H172" s="278" t="inlineStr">
        <is>
          <t>실적</t>
        </is>
      </c>
    </row>
    <row r="173">
      <c r="A173" s="343" t="n">
        <v>46171</v>
      </c>
      <c r="B173" s="278" t="n">
        <v>5</v>
      </c>
      <c r="C173" s="278" t="inlineStr">
        <is>
          <t>O</t>
        </is>
      </c>
      <c r="D173" s="278" t="inlineStr">
        <is>
          <t>리얼티인컴</t>
        </is>
      </c>
      <c r="E173" s="279" t="n"/>
      <c r="F173" s="340" t="n">
        <v>14.363</v>
      </c>
      <c r="G173" s="279" t="n">
        <v>19806.577</v>
      </c>
      <c r="H173" s="278" t="inlineStr">
        <is>
          <t>실적</t>
        </is>
      </c>
    </row>
    <row r="174">
      <c r="A174" s="343" t="n">
        <v>46171</v>
      </c>
      <c r="B174" s="278" t="n">
        <v>5</v>
      </c>
      <c r="C174" s="278" t="inlineStr">
        <is>
          <t>TMUS</t>
        </is>
      </c>
      <c r="D174" s="278" t="inlineStr">
        <is>
          <t>T-모바일</t>
        </is>
      </c>
      <c r="E174" s="279" t="n"/>
      <c r="F174" s="340" t="n">
        <v>4.08</v>
      </c>
      <c r="G174" s="279" t="n">
        <v>5626.32</v>
      </c>
      <c r="H174" s="278" t="inlineStr">
        <is>
          <t>실적</t>
        </is>
      </c>
    </row>
    <row r="175">
      <c r="A175" s="343" t="n">
        <v>46174</v>
      </c>
      <c r="B175" s="278" t="n">
        <v>6</v>
      </c>
      <c r="C175" s="278" t="inlineStr">
        <is>
          <t>NKE</t>
        </is>
      </c>
      <c r="D175" s="278" t="inlineStr">
        <is>
          <t>나이키</t>
        </is>
      </c>
      <c r="E175" s="279" t="n"/>
      <c r="F175" s="340" t="n">
        <v>4.1</v>
      </c>
      <c r="G175" s="279" t="n">
        <v>5653.9</v>
      </c>
      <c r="H175" s="278" t="inlineStr">
        <is>
          <t>실적</t>
        </is>
      </c>
    </row>
    <row r="176">
      <c r="A176" s="343" t="n">
        <v>46177</v>
      </c>
      <c r="B176" s="278" t="n">
        <v>6</v>
      </c>
      <c r="C176" s="278" t="inlineStr">
        <is>
          <t>NVDA</t>
        </is>
      </c>
      <c r="D176" s="278" t="inlineStr">
        <is>
          <t>엔비디아</t>
        </is>
      </c>
      <c r="E176" s="279" t="n"/>
      <c r="F176" s="340" t="n">
        <v>1</v>
      </c>
      <c r="G176" s="279" t="n">
        <v>1379</v>
      </c>
      <c r="H176" s="278" t="inlineStr">
        <is>
          <t>실적</t>
        </is>
      </c>
    </row>
    <row r="177">
      <c r="A177" s="343" t="n">
        <v>46184</v>
      </c>
      <c r="B177" s="278" t="n">
        <v>6</v>
      </c>
      <c r="C177" s="278" t="inlineStr">
        <is>
          <t>TSM</t>
        </is>
      </c>
      <c r="D177" s="278" t="inlineStr">
        <is>
          <t>TSMC</t>
        </is>
      </c>
      <c r="E177" s="279" t="n"/>
      <c r="F177" s="340" t="n">
        <v>0.955</v>
      </c>
      <c r="G177" s="279" t="n">
        <v>1316.945</v>
      </c>
      <c r="H177" s="278" t="inlineStr">
        <is>
          <t>실적</t>
        </is>
      </c>
    </row>
    <row r="178">
      <c r="A178" s="343" t="n">
        <v>46185</v>
      </c>
      <c r="B178" s="278" t="n">
        <v>6</v>
      </c>
      <c r="C178" s="278" t="inlineStr">
        <is>
          <t>0008S0</t>
        </is>
      </c>
      <c r="D178" s="278" t="inlineStr">
        <is>
          <t>TIGER 미국배당다우존스타겟데일리커버드콜</t>
        </is>
      </c>
      <c r="E178" s="279" t="n">
        <v>318000</v>
      </c>
      <c r="F178" s="340" t="n"/>
      <c r="G178" s="279" t="n">
        <v>318000</v>
      </c>
      <c r="H178" s="278" t="inlineStr">
        <is>
          <t>실적</t>
        </is>
      </c>
    </row>
    <row r="179">
      <c r="A179" s="343" t="n">
        <v>46185</v>
      </c>
      <c r="B179" s="278" t="n">
        <v>6</v>
      </c>
      <c r="C179" s="278" t="inlineStr">
        <is>
          <t>474220</t>
        </is>
      </c>
      <c r="D179" s="278" t="inlineStr">
        <is>
          <t>TIGER미국테크TOP10커버드콜</t>
        </is>
      </c>
      <c r="E179" s="279" t="n">
        <v>606480</v>
      </c>
      <c r="F179" s="340" t="n"/>
      <c r="G179" s="279" t="n">
        <v>606480</v>
      </c>
      <c r="H179" s="278" t="inlineStr">
        <is>
          <t>실적</t>
        </is>
      </c>
    </row>
    <row r="180">
      <c r="A180" s="343" t="n">
        <v>46185</v>
      </c>
      <c r="B180" s="278" t="n">
        <v>6</v>
      </c>
      <c r="C180" s="278" t="inlineStr">
        <is>
          <t>481060</t>
        </is>
      </c>
      <c r="D180" s="278" t="inlineStr">
        <is>
          <t>KODEX 미국30년국채타겟커버드콜(H)</t>
        </is>
      </c>
      <c r="E180" s="279" t="n">
        <v>238680</v>
      </c>
      <c r="F180" s="340" t="n"/>
      <c r="G180" s="279" t="n">
        <v>238680</v>
      </c>
      <c r="H180" s="278" t="inlineStr">
        <is>
          <t>실적</t>
        </is>
      </c>
    </row>
    <row r="181">
      <c r="A181" s="343" t="n">
        <v>46185</v>
      </c>
      <c r="B181" s="278" t="n">
        <v>6</v>
      </c>
      <c r="C181" s="278" t="inlineStr">
        <is>
          <t>490490</t>
        </is>
      </c>
      <c r="D181" s="278" t="inlineStr">
        <is>
          <t>SOL미국배당미국채혼합50</t>
        </is>
      </c>
      <c r="E181" s="279" t="n">
        <v>129914</v>
      </c>
      <c r="F181" s="340" t="n"/>
      <c r="G181" s="279" t="n">
        <v>129914</v>
      </c>
      <c r="H181" s="278" t="inlineStr">
        <is>
          <t>실적</t>
        </is>
      </c>
    </row>
    <row r="182">
      <c r="A182" s="343" t="n">
        <v>46185</v>
      </c>
      <c r="B182" s="278" t="n">
        <v>6</v>
      </c>
      <c r="C182" s="278" t="inlineStr">
        <is>
          <t>498400</t>
        </is>
      </c>
      <c r="D182" s="278" t="inlineStr">
        <is>
          <t>KODEX 200타켓위클리커버드콜</t>
        </is>
      </c>
      <c r="E182" s="279" t="n">
        <v>213850</v>
      </c>
      <c r="F182" s="340" t="n"/>
      <c r="G182" s="279" t="n">
        <v>213850</v>
      </c>
      <c r="H182" s="278" t="inlineStr">
        <is>
          <t>실적</t>
        </is>
      </c>
    </row>
    <row r="183">
      <c r="A183" s="343" t="n">
        <v>46185</v>
      </c>
      <c r="B183" s="278" t="n">
        <v>6</v>
      </c>
      <c r="C183" s="278" t="inlineStr">
        <is>
          <t>AMT</t>
        </is>
      </c>
      <c r="D183" s="278" t="inlineStr">
        <is>
          <t>아메리칸타워</t>
        </is>
      </c>
      <c r="E183" s="279" t="n"/>
      <c r="F183" s="340" t="n">
        <v>8.949999999999999</v>
      </c>
      <c r="G183" s="279" t="n">
        <v>12342.05</v>
      </c>
      <c r="H183" s="278" t="inlineStr">
        <is>
          <t>실적</t>
        </is>
      </c>
    </row>
    <row r="184">
      <c r="A184" s="343" t="n">
        <v>46197</v>
      </c>
      <c r="B184" s="278" t="n">
        <v>6</v>
      </c>
      <c r="C184" s="278" t="inlineStr">
        <is>
          <t>QLD</t>
        </is>
      </c>
      <c r="D184" s="278" t="inlineStr">
        <is>
          <t>QLD</t>
        </is>
      </c>
      <c r="E184" s="279" t="n"/>
      <c r="F184" s="340" t="n">
        <v>2.623</v>
      </c>
      <c r="G184" s="279" t="n">
        <v>3617.117</v>
      </c>
      <c r="H184" s="278" t="inlineStr">
        <is>
          <t>실적</t>
        </is>
      </c>
    </row>
    <row r="185">
      <c r="A185" s="343" t="n">
        <v>46197</v>
      </c>
      <c r="B185" s="278" t="n">
        <v>6</v>
      </c>
      <c r="C185" s="278" t="inlineStr">
        <is>
          <t>SCHD</t>
        </is>
      </c>
      <c r="D185" s="278" t="inlineStr">
        <is>
          <t>SCHD</t>
        </is>
      </c>
      <c r="E185" s="279" t="n"/>
      <c r="F185" s="340" t="n">
        <v>6.072</v>
      </c>
      <c r="G185" s="279" t="n">
        <v>8373.288</v>
      </c>
      <c r="H185" s="278" t="inlineStr">
        <is>
          <t>실적</t>
        </is>
      </c>
    </row>
    <row r="186">
      <c r="A186" s="344" t="n">
        <v>46200</v>
      </c>
      <c r="B186" s="287" t="n">
        <v>6</v>
      </c>
      <c r="C186" s="287" t="inlineStr">
        <is>
          <t>005389</t>
        </is>
      </c>
      <c r="D186" s="287" t="inlineStr">
        <is>
          <t>현대차3우B</t>
        </is>
      </c>
      <c r="E186" s="288" t="n">
        <v>26000</v>
      </c>
      <c r="F186" s="342" t="n"/>
      <c r="G186" s="288" t="n">
        <v>26000</v>
      </c>
      <c r="H186" s="287" t="inlineStr">
        <is>
          <t>예측</t>
        </is>
      </c>
    </row>
    <row r="187">
      <c r="A187" s="344" t="n">
        <v>46200</v>
      </c>
      <c r="B187" s="287" t="n">
        <v>6</v>
      </c>
      <c r="C187" s="287" t="n">
        <v>105560</v>
      </c>
      <c r="D187" s="287" t="inlineStr">
        <is>
          <t>KB금융</t>
        </is>
      </c>
      <c r="E187" s="288" t="n">
        <v>9492</v>
      </c>
      <c r="F187" s="342" t="n"/>
      <c r="G187" s="288" t="n">
        <v>9492</v>
      </c>
      <c r="H187" s="287" t="inlineStr">
        <is>
          <t>예측</t>
        </is>
      </c>
    </row>
    <row r="188">
      <c r="A188" s="343" t="n">
        <v>46202</v>
      </c>
      <c r="B188" s="278" t="n">
        <v>6</v>
      </c>
      <c r="C188" s="278" t="inlineStr">
        <is>
          <t>005930</t>
        </is>
      </c>
      <c r="D188" s="278" t="inlineStr">
        <is>
          <t>삼성전자</t>
        </is>
      </c>
      <c r="E188" s="279" t="n">
        <v>37026</v>
      </c>
      <c r="F188" s="340" t="n"/>
      <c r="G188" s="279" t="n">
        <v>37026</v>
      </c>
      <c r="H188" s="278" t="inlineStr">
        <is>
          <t>실적</t>
        </is>
      </c>
    </row>
    <row r="189">
      <c r="A189" s="343" t="n">
        <v>46202</v>
      </c>
      <c r="B189" s="278" t="n">
        <v>6</v>
      </c>
      <c r="C189" s="278" t="inlineStr">
        <is>
          <t>329200</t>
        </is>
      </c>
      <c r="D189" s="278" t="inlineStr">
        <is>
          <t>TIGER리츠부동산인프라</t>
        </is>
      </c>
      <c r="E189" s="279" t="n">
        <v>165000</v>
      </c>
      <c r="F189" s="340" t="n"/>
      <c r="G189" s="279" t="n">
        <v>165000</v>
      </c>
      <c r="H189" s="278" t="inlineStr">
        <is>
          <t>실적</t>
        </is>
      </c>
    </row>
    <row r="190">
      <c r="A190" s="343" t="n">
        <v>46202</v>
      </c>
      <c r="B190" s="278" t="n">
        <v>6</v>
      </c>
      <c r="C190" s="278" t="inlineStr">
        <is>
          <t>433330</t>
        </is>
      </c>
      <c r="D190" s="278" t="inlineStr">
        <is>
          <t>SOL 미국 S&amp;P500</t>
        </is>
      </c>
      <c r="E190" s="279" t="n">
        <v>30576</v>
      </c>
      <c r="F190" s="340" t="n"/>
      <c r="G190" s="279" t="n">
        <v>30576</v>
      </c>
      <c r="H190" s="278" t="inlineStr">
        <is>
          <t>실적</t>
        </is>
      </c>
    </row>
    <row r="191">
      <c r="A191" s="343" t="n">
        <v>46202</v>
      </c>
      <c r="B191" s="278" t="n">
        <v>6</v>
      </c>
      <c r="C191" s="278" t="inlineStr">
        <is>
          <t>446720</t>
        </is>
      </c>
      <c r="D191" s="278" t="inlineStr">
        <is>
          <t>SOL 미국배당다우존스</t>
        </is>
      </c>
      <c r="E191" s="279" t="n">
        <v>55860</v>
      </c>
      <c r="F191" s="340" t="n"/>
      <c r="G191" s="279" t="n">
        <v>55860</v>
      </c>
      <c r="H191" s="278" t="inlineStr">
        <is>
          <t>실적</t>
        </is>
      </c>
    </row>
    <row r="192">
      <c r="A192" s="343" t="n">
        <v>46202</v>
      </c>
      <c r="B192" s="278" t="n">
        <v>6</v>
      </c>
      <c r="C192" s="278" t="inlineStr">
        <is>
          <t>458760</t>
        </is>
      </c>
      <c r="D192" s="278" t="inlineStr">
        <is>
          <t>TIGER 미배당다우커버드콜2호</t>
        </is>
      </c>
      <c r="E192" s="279" t="n">
        <v>1489241</v>
      </c>
      <c r="F192" s="340" t="n"/>
      <c r="G192" s="279" t="n">
        <v>1489241</v>
      </c>
      <c r="H192" s="278" t="inlineStr">
        <is>
          <t>실적</t>
        </is>
      </c>
    </row>
    <row r="193">
      <c r="A193" s="343" t="n">
        <v>46202</v>
      </c>
      <c r="B193" s="278" t="n">
        <v>6</v>
      </c>
      <c r="C193" s="278" t="inlineStr">
        <is>
          <t>468380</t>
        </is>
      </c>
      <c r="D193" s="278" t="inlineStr">
        <is>
          <t>KODEX iShares미국하이일드액티브</t>
        </is>
      </c>
      <c r="E193" s="279" t="n">
        <v>130000</v>
      </c>
      <c r="F193" s="340" t="n"/>
      <c r="G193" s="279" t="n">
        <v>130000</v>
      </c>
      <c r="H193" s="278" t="inlineStr">
        <is>
          <t>실적</t>
        </is>
      </c>
    </row>
    <row r="194">
      <c r="A194" s="343" t="n">
        <v>46202</v>
      </c>
      <c r="B194" s="278" t="n">
        <v>6</v>
      </c>
      <c r="C194" s="278" t="inlineStr">
        <is>
          <t>473330</t>
        </is>
      </c>
      <c r="D194" s="278" t="inlineStr">
        <is>
          <t>SOL 미국 30년국채커버드콜(합성)</t>
        </is>
      </c>
      <c r="E194" s="279" t="n">
        <v>81600</v>
      </c>
      <c r="F194" s="340" t="n"/>
      <c r="G194" s="279" t="n">
        <v>81600</v>
      </c>
      <c r="H194" s="278" t="inlineStr">
        <is>
          <t>실적</t>
        </is>
      </c>
    </row>
    <row r="195">
      <c r="A195" s="343" t="n">
        <v>46202</v>
      </c>
      <c r="B195" s="278" t="n">
        <v>6</v>
      </c>
      <c r="C195" s="278" t="inlineStr">
        <is>
          <t>475380</t>
        </is>
      </c>
      <c r="D195" s="278" t="inlineStr">
        <is>
          <t>RISE 글로벌리얼티인컴</t>
        </is>
      </c>
      <c r="E195" s="279" t="n">
        <v>3535</v>
      </c>
      <c r="F195" s="340" t="n"/>
      <c r="G195" s="279" t="n">
        <v>3535</v>
      </c>
      <c r="H195" s="278" t="inlineStr">
        <is>
          <t>실적</t>
        </is>
      </c>
    </row>
    <row r="196">
      <c r="A196" s="343" t="n">
        <v>46202</v>
      </c>
      <c r="B196" s="278" t="n">
        <v>6</v>
      </c>
      <c r="C196" s="278" t="inlineStr">
        <is>
          <t>476550</t>
        </is>
      </c>
      <c r="D196" s="278" t="inlineStr">
        <is>
          <t>TIGER 미국30년국채커버드콜액티브(H)</t>
        </is>
      </c>
      <c r="E196" s="279" t="n">
        <v>31463</v>
      </c>
      <c r="F196" s="340" t="n"/>
      <c r="G196" s="279" t="n">
        <v>31463</v>
      </c>
      <c r="H196" s="278" t="inlineStr">
        <is>
          <t>실적</t>
        </is>
      </c>
    </row>
    <row r="197">
      <c r="A197" s="343" t="n">
        <v>46202</v>
      </c>
      <c r="B197" s="278" t="n">
        <v>6</v>
      </c>
      <c r="C197" s="278" t="inlineStr">
        <is>
          <t>476690</t>
        </is>
      </c>
      <c r="D197" s="278" t="inlineStr">
        <is>
          <t>TIGER 글로벌비만치료제 TOP2 Plus</t>
        </is>
      </c>
      <c r="E197" s="279" t="n">
        <v>1500</v>
      </c>
      <c r="F197" s="340" t="n"/>
      <c r="G197" s="279" t="n">
        <v>1500</v>
      </c>
      <c r="H197" s="278" t="inlineStr">
        <is>
          <t>실적</t>
        </is>
      </c>
    </row>
    <row r="198">
      <c r="A198" s="343" t="n">
        <v>46202</v>
      </c>
      <c r="B198" s="278" t="n">
        <v>6</v>
      </c>
      <c r="C198" s="278" t="inlineStr">
        <is>
          <t>482730</t>
        </is>
      </c>
      <c r="D198" s="278" t="inlineStr">
        <is>
          <t>미국S&amp;P500타겟데일리커버드콜</t>
        </is>
      </c>
      <c r="E198" s="279" t="n">
        <v>45900</v>
      </c>
      <c r="F198" s="340" t="n"/>
      <c r="G198" s="279" t="n">
        <v>45900</v>
      </c>
      <c r="H198" s="278" t="inlineStr">
        <is>
          <t>실적</t>
        </is>
      </c>
    </row>
    <row r="199">
      <c r="A199" s="343" t="n">
        <v>46202</v>
      </c>
      <c r="B199" s="278" t="n">
        <v>6</v>
      </c>
      <c r="C199" s="278" t="inlineStr">
        <is>
          <t>483280</t>
        </is>
      </c>
      <c r="D199" s="278" t="inlineStr">
        <is>
          <t>KODEX 미국AI테크TOP10타겟커버드콜</t>
        </is>
      </c>
      <c r="E199" s="279" t="n">
        <v>351708</v>
      </c>
      <c r="F199" s="340" t="n"/>
      <c r="G199" s="279" t="n">
        <v>351708</v>
      </c>
      <c r="H199" s="278" t="inlineStr">
        <is>
          <t>실적</t>
        </is>
      </c>
    </row>
    <row r="200">
      <c r="A200" s="343" t="n">
        <v>46202</v>
      </c>
      <c r="B200" s="278" t="n">
        <v>6</v>
      </c>
      <c r="C200" s="278" t="inlineStr">
        <is>
          <t>498410</t>
        </is>
      </c>
      <c r="D200" s="278" t="inlineStr">
        <is>
          <t>KODEX금융고배당TOP10타겟위클리커버드콜</t>
        </is>
      </c>
      <c r="E200" s="279" t="n">
        <v>332780</v>
      </c>
      <c r="F200" s="340" t="n"/>
      <c r="G200" s="279" t="n">
        <v>332780</v>
      </c>
      <c r="H200" s="278" t="inlineStr">
        <is>
          <t>실적</t>
        </is>
      </c>
    </row>
    <row r="201">
      <c r="A201" s="343" t="n">
        <v>46203</v>
      </c>
      <c r="B201" s="278" t="n">
        <v>6</v>
      </c>
      <c r="C201" s="278" t="inlineStr">
        <is>
          <t>O</t>
        </is>
      </c>
      <c r="D201" s="278" t="inlineStr">
        <is>
          <t>리얼티인컴</t>
        </is>
      </c>
      <c r="E201" s="279" t="n"/>
      <c r="F201" s="340" t="n">
        <v>14.363</v>
      </c>
      <c r="G201" s="279" t="n">
        <v>19806.577</v>
      </c>
      <c r="H201" s="278" t="inlineStr">
        <is>
          <t>실적</t>
        </is>
      </c>
    </row>
    <row r="202">
      <c r="A202" s="343" t="n">
        <v>46213</v>
      </c>
      <c r="B202" s="278" t="n">
        <v>7</v>
      </c>
      <c r="C202" s="278" t="inlineStr">
        <is>
          <t>ORCL</t>
        </is>
      </c>
      <c r="D202" s="278" t="inlineStr">
        <is>
          <t>오라클</t>
        </is>
      </c>
      <c r="E202" s="279" t="n"/>
      <c r="F202" s="340" t="n">
        <v>1</v>
      </c>
      <c r="G202" s="279" t="n">
        <v>1379</v>
      </c>
      <c r="H202" s="278" t="inlineStr">
        <is>
          <t>실적</t>
        </is>
      </c>
    </row>
    <row r="203">
      <c r="A203" s="343" t="n">
        <v>46217</v>
      </c>
      <c r="B203" s="278" t="n">
        <v>7</v>
      </c>
      <c r="C203" s="278" t="inlineStr">
        <is>
          <t>0008S0</t>
        </is>
      </c>
      <c r="D203" s="278" t="inlineStr">
        <is>
          <t>TIGER 미국배당다우존스타겟데일리커버드콜</t>
        </is>
      </c>
      <c r="E203" s="279" t="n">
        <v>312000</v>
      </c>
      <c r="F203" s="340" t="n"/>
      <c r="G203" s="279" t="n">
        <v>312000</v>
      </c>
      <c r="H203" s="278" t="inlineStr">
        <is>
          <t>실적</t>
        </is>
      </c>
    </row>
    <row r="204">
      <c r="A204" s="343" t="n">
        <v>46217</v>
      </c>
      <c r="B204" s="278" t="n">
        <v>7</v>
      </c>
      <c r="C204" s="278" t="inlineStr">
        <is>
          <t>474220</t>
        </is>
      </c>
      <c r="D204" s="278" t="inlineStr">
        <is>
          <t>TIGER미국테크TOP10커버드콜</t>
        </is>
      </c>
      <c r="E204" s="279" t="n">
        <v>601920</v>
      </c>
      <c r="F204" s="340" t="n"/>
      <c r="G204" s="279" t="n">
        <v>601920</v>
      </c>
      <c r="H204" s="278" t="inlineStr">
        <is>
          <t>실적</t>
        </is>
      </c>
    </row>
    <row r="205">
      <c r="A205" s="343" t="n">
        <v>46217</v>
      </c>
      <c r="B205" s="278" t="n">
        <v>7</v>
      </c>
      <c r="C205" s="278" t="inlineStr">
        <is>
          <t>481060</t>
        </is>
      </c>
      <c r="D205" s="278" t="inlineStr">
        <is>
          <t>KODEX 미국30년국채타겟커버드콜(H)</t>
        </is>
      </c>
      <c r="E205" s="279" t="n">
        <v>238680</v>
      </c>
      <c r="F205" s="340" t="n"/>
      <c r="G205" s="279" t="n">
        <v>238680</v>
      </c>
      <c r="H205" s="278" t="inlineStr">
        <is>
          <t>실적</t>
        </is>
      </c>
    </row>
    <row r="206">
      <c r="A206" s="343" t="n">
        <v>46217</v>
      </c>
      <c r="B206" s="278" t="n">
        <v>7</v>
      </c>
      <c r="C206" s="278" t="inlineStr">
        <is>
          <t>490490</t>
        </is>
      </c>
      <c r="D206" s="278" t="inlineStr">
        <is>
          <t>SOL미국배당미국채혼합50</t>
        </is>
      </c>
      <c r="E206" s="279" t="n">
        <v>103167</v>
      </c>
      <c r="F206" s="340" t="n"/>
      <c r="G206" s="279" t="n">
        <v>103167</v>
      </c>
      <c r="H206" s="278" t="inlineStr">
        <is>
          <t>실적</t>
        </is>
      </c>
    </row>
    <row r="207">
      <c r="A207" s="343" t="n">
        <v>46217</v>
      </c>
      <c r="B207" s="278" t="n">
        <v>7</v>
      </c>
      <c r="C207" s="278" t="inlineStr">
        <is>
          <t>498400</t>
        </is>
      </c>
      <c r="D207" s="278" t="inlineStr">
        <is>
          <t>KODEX 200타켓위클리커버드콜</t>
        </is>
      </c>
      <c r="E207" s="279" t="n">
        <v>197353</v>
      </c>
      <c r="F207" s="340" t="n"/>
      <c r="G207" s="279" t="n">
        <v>197353</v>
      </c>
      <c r="H207" s="278" t="inlineStr">
        <is>
          <t>실적</t>
        </is>
      </c>
    </row>
    <row r="208">
      <c r="A208" s="343" t="n">
        <v>46233</v>
      </c>
      <c r="B208" s="278" t="n">
        <v>7</v>
      </c>
      <c r="C208" s="278" t="inlineStr">
        <is>
          <t>0219E0</t>
        </is>
      </c>
      <c r="D208" s="278" t="inlineStr">
        <is>
          <t>KODEX 200커버드콜액티브</t>
        </is>
      </c>
      <c r="E208" s="279" t="n">
        <v>192168</v>
      </c>
      <c r="F208" s="340" t="n"/>
      <c r="G208" s="279" t="n">
        <v>192168</v>
      </c>
      <c r="H208" s="278" t="inlineStr">
        <is>
          <t>실적</t>
        </is>
      </c>
    </row>
    <row r="209">
      <c r="A209" s="343" t="n">
        <v>46233</v>
      </c>
      <c r="B209" s="278" t="n">
        <v>7</v>
      </c>
      <c r="C209" s="278" t="inlineStr">
        <is>
          <t>024110</t>
        </is>
      </c>
      <c r="D209" s="278" t="inlineStr">
        <is>
          <t>기업은행</t>
        </is>
      </c>
      <c r="E209" s="279" t="n">
        <v>37590</v>
      </c>
      <c r="F209" s="340" t="n"/>
      <c r="G209" s="279" t="n">
        <v>37590</v>
      </c>
      <c r="H209" s="278" t="inlineStr">
        <is>
          <t>실적</t>
        </is>
      </c>
    </row>
    <row r="210">
      <c r="A210" s="343" t="n">
        <v>46233</v>
      </c>
      <c r="B210" s="278" t="n">
        <v>7</v>
      </c>
      <c r="C210" s="278" t="inlineStr">
        <is>
          <t>133690</t>
        </is>
      </c>
      <c r="D210" s="278" t="inlineStr">
        <is>
          <t>TIGER 미국나스닥100</t>
        </is>
      </c>
      <c r="E210" s="279" t="n">
        <v>14535</v>
      </c>
      <c r="F210" s="340" t="n"/>
      <c r="G210" s="279" t="n">
        <v>14535</v>
      </c>
      <c r="H210" s="278" t="inlineStr">
        <is>
          <t>실적</t>
        </is>
      </c>
    </row>
    <row r="211">
      <c r="A211" s="343" t="n">
        <v>46233</v>
      </c>
      <c r="B211" s="278" t="n">
        <v>7</v>
      </c>
      <c r="C211" s="278" t="inlineStr">
        <is>
          <t>329200</t>
        </is>
      </c>
      <c r="D211" s="278" t="inlineStr">
        <is>
          <t>TIGER리츠부동산인프라</t>
        </is>
      </c>
      <c r="E211" s="279" t="n">
        <v>165000</v>
      </c>
      <c r="F211" s="340" t="n"/>
      <c r="G211" s="279" t="n">
        <v>165000</v>
      </c>
      <c r="H211" s="278" t="inlineStr">
        <is>
          <t>실적</t>
        </is>
      </c>
    </row>
    <row r="212">
      <c r="A212" s="343" t="n">
        <v>46233</v>
      </c>
      <c r="B212" s="278" t="n">
        <v>7</v>
      </c>
      <c r="C212" s="278" t="inlineStr">
        <is>
          <t>360750</t>
        </is>
      </c>
      <c r="D212" s="278" t="inlineStr">
        <is>
          <t>TIGER미국S&amp;P500</t>
        </is>
      </c>
      <c r="E212" s="279" t="n">
        <v>14454</v>
      </c>
      <c r="F212" s="340" t="n"/>
      <c r="G212" s="279" t="n">
        <v>14454</v>
      </c>
      <c r="H212" s="278" t="inlineStr">
        <is>
          <t>실적</t>
        </is>
      </c>
    </row>
    <row r="213">
      <c r="A213" s="343" t="n">
        <v>46233</v>
      </c>
      <c r="B213" s="278" t="n">
        <v>7</v>
      </c>
      <c r="C213" s="278" t="inlineStr">
        <is>
          <t>367380</t>
        </is>
      </c>
      <c r="D213" s="278" t="inlineStr">
        <is>
          <t>ACE 미국나스닥100</t>
        </is>
      </c>
      <c r="E213" s="279" t="n">
        <v>15210</v>
      </c>
      <c r="F213" s="340" t="n"/>
      <c r="G213" s="279" t="n">
        <v>15210</v>
      </c>
      <c r="H213" s="278" t="inlineStr">
        <is>
          <t>실적</t>
        </is>
      </c>
    </row>
    <row r="214">
      <c r="A214" s="343" t="n">
        <v>46233</v>
      </c>
      <c r="B214" s="278" t="n">
        <v>7</v>
      </c>
      <c r="C214" s="278" t="inlineStr">
        <is>
          <t>379810</t>
        </is>
      </c>
      <c r="D214" s="278" t="inlineStr">
        <is>
          <t>KODEX 미국나스닥100</t>
        </is>
      </c>
      <c r="E214" s="279" t="n">
        <v>32038</v>
      </c>
      <c r="F214" s="340" t="n"/>
      <c r="G214" s="279" t="n">
        <v>32038</v>
      </c>
      <c r="H214" s="278" t="inlineStr">
        <is>
          <t>실적</t>
        </is>
      </c>
    </row>
    <row r="215">
      <c r="A215" s="343" t="n">
        <v>46233</v>
      </c>
      <c r="B215" s="278" t="n">
        <v>7</v>
      </c>
      <c r="C215" s="278" t="inlineStr">
        <is>
          <t>433330</t>
        </is>
      </c>
      <c r="D215" s="278" t="inlineStr">
        <is>
          <t>SOL 미국 S&amp;P500</t>
        </is>
      </c>
      <c r="E215" s="279" t="n">
        <v>15288</v>
      </c>
      <c r="F215" s="340" t="n"/>
      <c r="G215" s="279" t="n">
        <v>15288</v>
      </c>
      <c r="H215" s="278" t="inlineStr">
        <is>
          <t>실적</t>
        </is>
      </c>
    </row>
    <row r="216">
      <c r="A216" s="343" t="n">
        <v>46233</v>
      </c>
      <c r="B216" s="278" t="n">
        <v>7</v>
      </c>
      <c r="C216" s="278" t="inlineStr">
        <is>
          <t>446720</t>
        </is>
      </c>
      <c r="D216" s="278" t="inlineStr">
        <is>
          <t>SOL 미국배당다우존스</t>
        </is>
      </c>
      <c r="E216" s="279" t="n">
        <v>46550</v>
      </c>
      <c r="F216" s="340" t="n"/>
      <c r="G216" s="279" t="n">
        <v>46550</v>
      </c>
      <c r="H216" s="278" t="inlineStr">
        <is>
          <t>실적</t>
        </is>
      </c>
    </row>
    <row r="217">
      <c r="A217" s="343" t="n">
        <v>46233</v>
      </c>
      <c r="B217" s="278" t="n">
        <v>7</v>
      </c>
      <c r="C217" s="278" t="inlineStr">
        <is>
          <t>458760</t>
        </is>
      </c>
      <c r="D217" s="278" t="inlineStr">
        <is>
          <t>TIGER 미배당다우커버드콜2호</t>
        </is>
      </c>
      <c r="E217" s="279" t="n">
        <v>1427829</v>
      </c>
      <c r="F217" s="340" t="n"/>
      <c r="G217" s="279" t="n">
        <v>1427829</v>
      </c>
      <c r="H217" s="278" t="inlineStr">
        <is>
          <t>실적</t>
        </is>
      </c>
    </row>
    <row r="218">
      <c r="A218" s="343" t="n">
        <v>46233</v>
      </c>
      <c r="B218" s="278" t="n">
        <v>7</v>
      </c>
      <c r="C218" s="278" t="inlineStr">
        <is>
          <t>468380</t>
        </is>
      </c>
      <c r="D218" s="278" t="inlineStr">
        <is>
          <t>KODEX iShares미국하이일드액티브</t>
        </is>
      </c>
      <c r="E218" s="279" t="n">
        <v>130000</v>
      </c>
      <c r="F218" s="340" t="n"/>
      <c r="G218" s="279" t="n">
        <v>130000</v>
      </c>
      <c r="H218" s="278" t="inlineStr">
        <is>
          <t>실적</t>
        </is>
      </c>
    </row>
    <row r="219">
      <c r="A219" s="343" t="n">
        <v>46233</v>
      </c>
      <c r="B219" s="278" t="n">
        <v>7</v>
      </c>
      <c r="C219" s="278" t="inlineStr">
        <is>
          <t>473330</t>
        </is>
      </c>
      <c r="D219" s="278" t="inlineStr">
        <is>
          <t>SOL 미국 30년국채커버드콜(합성)</t>
        </is>
      </c>
      <c r="E219" s="279" t="n">
        <v>62400</v>
      </c>
      <c r="F219" s="340" t="n"/>
      <c r="G219" s="279" t="n">
        <v>62400</v>
      </c>
      <c r="H219" s="278" t="inlineStr">
        <is>
          <t>실적</t>
        </is>
      </c>
    </row>
    <row r="220">
      <c r="A220" s="343" t="n">
        <v>46233</v>
      </c>
      <c r="B220" s="278" t="n">
        <v>7</v>
      </c>
      <c r="C220" s="278" t="inlineStr">
        <is>
          <t>475380</t>
        </is>
      </c>
      <c r="D220" s="278" t="inlineStr">
        <is>
          <t>RISE 글로벌리얼티인컴</t>
        </is>
      </c>
      <c r="E220" s="279" t="n">
        <v>3333</v>
      </c>
      <c r="F220" s="340" t="n"/>
      <c r="G220" s="279" t="n">
        <v>3333</v>
      </c>
      <c r="H220" s="278" t="inlineStr">
        <is>
          <t>실적</t>
        </is>
      </c>
    </row>
    <row r="221">
      <c r="A221" s="343" t="n">
        <v>46233</v>
      </c>
      <c r="B221" s="278" t="n">
        <v>7</v>
      </c>
      <c r="C221" s="278" t="inlineStr">
        <is>
          <t>476550</t>
        </is>
      </c>
      <c r="D221" s="278" t="inlineStr">
        <is>
          <t>TIGER 미국30년국채커버드콜액티브(H)</t>
        </is>
      </c>
      <c r="E221" s="279" t="n">
        <v>30170</v>
      </c>
      <c r="F221" s="340" t="n"/>
      <c r="G221" s="279" t="n">
        <v>30170</v>
      </c>
      <c r="H221" s="278" t="inlineStr">
        <is>
          <t>실적</t>
        </is>
      </c>
    </row>
    <row r="222">
      <c r="A222" s="343" t="n">
        <v>46233</v>
      </c>
      <c r="B222" s="278" t="n">
        <v>7</v>
      </c>
      <c r="C222" s="278" t="inlineStr">
        <is>
          <t>476690</t>
        </is>
      </c>
      <c r="D222" s="278" t="inlineStr">
        <is>
          <t>TIGER 글로벌비만치료제 TOP2 Plus</t>
        </is>
      </c>
      <c r="E222" s="279" t="n">
        <v>1100</v>
      </c>
      <c r="F222" s="340" t="n"/>
      <c r="G222" s="279" t="n">
        <v>1100</v>
      </c>
      <c r="H222" s="278" t="inlineStr">
        <is>
          <t>실적</t>
        </is>
      </c>
    </row>
    <row r="223">
      <c r="A223" s="343" t="n">
        <v>46233</v>
      </c>
      <c r="B223" s="278" t="n">
        <v>7</v>
      </c>
      <c r="C223" s="278" t="inlineStr">
        <is>
          <t>482730</t>
        </is>
      </c>
      <c r="D223" s="278" t="inlineStr">
        <is>
          <t>미국S&amp;P500타겟데일리커버드콜</t>
        </is>
      </c>
      <c r="E223" s="279" t="n">
        <v>43350</v>
      </c>
      <c r="F223" s="340" t="n"/>
      <c r="G223" s="279" t="n">
        <v>43350</v>
      </c>
      <c r="H223" s="278" t="inlineStr">
        <is>
          <t>실적</t>
        </is>
      </c>
    </row>
    <row r="224">
      <c r="A224" s="343" t="n">
        <v>46233</v>
      </c>
      <c r="B224" s="278" t="n">
        <v>7</v>
      </c>
      <c r="C224" s="278" t="inlineStr">
        <is>
          <t>483280</t>
        </is>
      </c>
      <c r="D224" s="278" t="inlineStr">
        <is>
          <t>KODEX 미국AI테크TOP10타겟커버드콜</t>
        </is>
      </c>
      <c r="E224" s="279" t="n">
        <v>260442</v>
      </c>
      <c r="F224" s="340" t="n"/>
      <c r="G224" s="279" t="n">
        <v>260442</v>
      </c>
      <c r="H224" s="278" t="inlineStr">
        <is>
          <t>실적</t>
        </is>
      </c>
    </row>
    <row r="225">
      <c r="A225" s="343" t="n">
        <v>46233</v>
      </c>
      <c r="B225" s="278" t="n">
        <v>7</v>
      </c>
      <c r="C225" s="278" t="inlineStr">
        <is>
          <t>498270</t>
        </is>
      </c>
      <c r="D225" s="278" t="inlineStr">
        <is>
          <t>KIWOOM 미국양자컴퓨팅</t>
        </is>
      </c>
      <c r="E225" s="279" t="n">
        <v>4158</v>
      </c>
      <c r="F225" s="340" t="n"/>
      <c r="G225" s="279" t="n">
        <v>4158</v>
      </c>
      <c r="H225" s="278" t="inlineStr">
        <is>
          <t>실적</t>
        </is>
      </c>
    </row>
    <row r="226">
      <c r="A226" s="343" t="n">
        <v>46233</v>
      </c>
      <c r="B226" s="278" t="n">
        <v>7</v>
      </c>
      <c r="C226" s="278" t="inlineStr">
        <is>
          <t>498410</t>
        </is>
      </c>
      <c r="D226" s="278" t="inlineStr">
        <is>
          <t>KODEX금융고배당TOP10타겟위클리커버드콜</t>
        </is>
      </c>
      <c r="E226" s="279" t="n">
        <v>366058</v>
      </c>
      <c r="F226" s="340" t="n"/>
      <c r="G226" s="279" t="n">
        <v>366058</v>
      </c>
      <c r="H226" s="278" t="inlineStr">
        <is>
          <t>실적</t>
        </is>
      </c>
    </row>
    <row r="227">
      <c r="A227" s="343" t="n">
        <v>46234</v>
      </c>
      <c r="B227" s="278" t="n">
        <v>7</v>
      </c>
      <c r="C227" s="278" t="inlineStr">
        <is>
          <t>O</t>
        </is>
      </c>
      <c r="D227" s="278" t="inlineStr">
        <is>
          <t>리얼티인컴</t>
        </is>
      </c>
      <c r="E227" s="279" t="n"/>
      <c r="F227" s="340" t="n">
        <v>14.363</v>
      </c>
      <c r="G227" s="279" t="n">
        <v>19806.577</v>
      </c>
      <c r="H227" s="278" t="inlineStr">
        <is>
          <t>실적</t>
        </is>
      </c>
    </row>
    <row r="228">
      <c r="A228" s="344" t="n">
        <v>46235</v>
      </c>
      <c r="B228" s="287" t="n">
        <v>8</v>
      </c>
      <c r="C228" s="287" t="inlineStr">
        <is>
          <t>O</t>
        </is>
      </c>
      <c r="D228" s="287" t="inlineStr">
        <is>
          <t>리얼티인컴</t>
        </is>
      </c>
      <c r="E228" s="288" t="n"/>
      <c r="F228" s="342" t="n">
        <v>14.098</v>
      </c>
      <c r="G228" s="288" t="n">
        <v>19441.142</v>
      </c>
      <c r="H228" s="287" t="inlineStr">
        <is>
          <t>예측</t>
        </is>
      </c>
    </row>
    <row r="229">
      <c r="A229" s="343" t="n">
        <v>46240</v>
      </c>
      <c r="B229" s="278" t="n">
        <v>8</v>
      </c>
      <c r="C229" s="278" t="n">
        <v>105560</v>
      </c>
      <c r="D229" s="278" t="inlineStr">
        <is>
          <t>KB금융</t>
        </is>
      </c>
      <c r="E229" s="279" t="n">
        <v>13860</v>
      </c>
      <c r="F229" s="340" t="n"/>
      <c r="G229" s="279" t="n">
        <v>13860</v>
      </c>
      <c r="H229" s="278" t="inlineStr">
        <is>
          <t>실적</t>
        </is>
      </c>
    </row>
    <row r="230">
      <c r="A230" s="343" t="n">
        <v>46244</v>
      </c>
      <c r="B230" s="278" t="n">
        <v>8</v>
      </c>
      <c r="C230" s="278" t="inlineStr">
        <is>
          <t>AAPL</t>
        </is>
      </c>
      <c r="D230" s="278" t="inlineStr">
        <is>
          <t>애플</t>
        </is>
      </c>
      <c r="E230" s="279" t="n"/>
      <c r="F230" s="340" t="n">
        <v>2.43</v>
      </c>
      <c r="G230" s="279" t="n">
        <v>3350.97</v>
      </c>
      <c r="H230" s="278" t="inlineStr">
        <is>
          <t>실적</t>
        </is>
      </c>
    </row>
    <row r="231">
      <c r="A231" s="343" t="n">
        <v>46247</v>
      </c>
      <c r="B231" s="278" t="n">
        <v>8</v>
      </c>
      <c r="C231" s="278" t="inlineStr">
        <is>
          <t>0008S0</t>
        </is>
      </c>
      <c r="D231" s="278" t="inlineStr">
        <is>
          <t>TIGER 미국배당다우존스타겟데일리커버드콜</t>
        </is>
      </c>
      <c r="E231" s="279" t="n">
        <v>309000</v>
      </c>
      <c r="F231" s="340" t="n"/>
      <c r="G231" s="279" t="n">
        <v>309000</v>
      </c>
      <c r="H231" s="278" t="inlineStr">
        <is>
          <t>실적</t>
        </is>
      </c>
    </row>
    <row r="232">
      <c r="A232" s="343" t="n">
        <v>46247</v>
      </c>
      <c r="B232" s="278" t="n">
        <v>8</v>
      </c>
      <c r="C232" s="278" t="inlineStr">
        <is>
          <t>474220</t>
        </is>
      </c>
      <c r="D232" s="278" t="inlineStr">
        <is>
          <t>TIGER미국테크TOP10커버드콜</t>
        </is>
      </c>
      <c r="E232" s="279" t="n">
        <v>592800</v>
      </c>
      <c r="F232" s="340" t="n"/>
      <c r="G232" s="279" t="n">
        <v>592800</v>
      </c>
      <c r="H232" s="278" t="inlineStr">
        <is>
          <t>실적</t>
        </is>
      </c>
    </row>
    <row r="233">
      <c r="A233" s="343" t="n">
        <v>46247</v>
      </c>
      <c r="B233" s="278" t="n">
        <v>8</v>
      </c>
      <c r="C233" s="278" t="inlineStr">
        <is>
          <t>481060</t>
        </is>
      </c>
      <c r="D233" s="278" t="inlineStr">
        <is>
          <t>KODEX 미국30년국채타겟커버드콜(H)</t>
        </is>
      </c>
      <c r="E233" s="279" t="n">
        <v>226440</v>
      </c>
      <c r="F233" s="340" t="n"/>
      <c r="G233" s="279" t="n">
        <v>226440</v>
      </c>
      <c r="H233" s="278" t="inlineStr">
        <is>
          <t>실적</t>
        </is>
      </c>
    </row>
    <row r="234">
      <c r="A234" s="343" t="n">
        <v>46247</v>
      </c>
      <c r="B234" s="278" t="n">
        <v>8</v>
      </c>
      <c r="C234" s="278" t="inlineStr">
        <is>
          <t>490490</t>
        </is>
      </c>
      <c r="D234" s="278" t="inlineStr">
        <is>
          <t>SOL미국배당미국채혼합50</t>
        </is>
      </c>
      <c r="E234" s="279" t="n">
        <v>80241</v>
      </c>
      <c r="F234" s="340" t="n"/>
      <c r="G234" s="279" t="n">
        <v>80241</v>
      </c>
      <c r="H234" s="278" t="inlineStr">
        <is>
          <t>실적</t>
        </is>
      </c>
    </row>
    <row r="235">
      <c r="A235" s="343" t="n">
        <v>46247</v>
      </c>
      <c r="B235" s="278" t="n">
        <v>8</v>
      </c>
      <c r="C235" s="278" t="inlineStr">
        <is>
          <t>498400</t>
        </is>
      </c>
      <c r="D235" s="278" t="inlineStr">
        <is>
          <t>KODEX 200타켓위클리커버드콜</t>
        </is>
      </c>
      <c r="E235" s="279" t="n">
        <v>164970</v>
      </c>
      <c r="F235" s="340" t="n"/>
      <c r="G235" s="279" t="n">
        <v>164970</v>
      </c>
      <c r="H235" s="278" t="inlineStr">
        <is>
          <t>실적</t>
        </is>
      </c>
    </row>
    <row r="236">
      <c r="A236" s="343" t="n">
        <v>46248</v>
      </c>
      <c r="B236" s="278" t="n">
        <v>8</v>
      </c>
      <c r="C236" s="278" t="inlineStr">
        <is>
          <t>SBUX</t>
        </is>
      </c>
      <c r="D236" s="278" t="inlineStr">
        <is>
          <t>스타벅스</t>
        </is>
      </c>
      <c r="E236" s="279" t="n"/>
      <c r="F236" s="340" t="n">
        <v>1.24</v>
      </c>
      <c r="G236" s="279" t="n">
        <v>1709.96</v>
      </c>
      <c r="H236" s="278" t="inlineStr">
        <is>
          <t>실적</t>
        </is>
      </c>
    </row>
    <row r="237">
      <c r="A237" s="343" t="n">
        <v>46251</v>
      </c>
      <c r="B237" s="278" t="n">
        <v>8</v>
      </c>
      <c r="C237" s="278" t="inlineStr">
        <is>
          <t>NVO</t>
        </is>
      </c>
      <c r="D237" s="278" t="inlineStr">
        <is>
          <t>노보 노디스크</t>
        </is>
      </c>
      <c r="E237" s="279" t="n"/>
      <c r="F237" s="340" t="n">
        <v>8.685</v>
      </c>
      <c r="G237" s="279" t="n">
        <v>11976.615</v>
      </c>
      <c r="H237" s="278" t="inlineStr">
        <is>
          <t>실적</t>
        </is>
      </c>
    </row>
    <row r="238">
      <c r="A238" s="343" t="n">
        <v>46251</v>
      </c>
      <c r="B238" s="278" t="n">
        <v>8</v>
      </c>
      <c r="C238" s="278" t="inlineStr">
        <is>
          <t>XOM</t>
        </is>
      </c>
      <c r="D238" s="278" t="inlineStr">
        <is>
          <t>엑슨모빌</t>
        </is>
      </c>
      <c r="E238" s="279" t="n"/>
      <c r="F238" s="340" t="n">
        <v>1.03</v>
      </c>
      <c r="G238" s="279" t="n">
        <v>1420.37</v>
      </c>
      <c r="H238" s="278" t="inlineStr">
        <is>
          <t>실적</t>
        </is>
      </c>
    </row>
    <row r="239">
      <c r="A239" s="343" t="n">
        <v>46253</v>
      </c>
      <c r="B239" s="278" t="n">
        <v>8</v>
      </c>
      <c r="C239" s="278" t="inlineStr">
        <is>
          <t>CVX</t>
        </is>
      </c>
      <c r="D239" s="278" t="inlineStr">
        <is>
          <t>셰브론</t>
        </is>
      </c>
      <c r="E239" s="279" t="n"/>
      <c r="F239" s="340" t="n">
        <v>1.78</v>
      </c>
      <c r="G239" s="279" t="n">
        <v>2454.62</v>
      </c>
      <c r="H239" s="278" t="inlineStr">
        <is>
          <t>실적</t>
        </is>
      </c>
    </row>
    <row r="240">
      <c r="A240" s="343" t="n">
        <v>46254</v>
      </c>
      <c r="B240" s="278" t="n">
        <v>8</v>
      </c>
      <c r="C240" s="278" t="inlineStr">
        <is>
          <t>MSFT</t>
        </is>
      </c>
      <c r="D240" s="278" t="inlineStr">
        <is>
          <t>마이크로소프트</t>
        </is>
      </c>
      <c r="E240" s="279" t="n"/>
      <c r="F240" s="340" t="n">
        <v>1.82</v>
      </c>
      <c r="G240" s="279" t="n">
        <v>2509.78</v>
      </c>
      <c r="H240" s="278" t="inlineStr">
        <is>
          <t>실적</t>
        </is>
      </c>
    </row>
    <row r="241">
      <c r="A241" s="344" t="n">
        <v>46262</v>
      </c>
      <c r="B241" s="287" t="n">
        <v>8</v>
      </c>
      <c r="C241" s="287" t="inlineStr">
        <is>
          <t>005389</t>
        </is>
      </c>
      <c r="D241" s="287" t="inlineStr">
        <is>
          <t>현대차3우B</t>
        </is>
      </c>
      <c r="E241" s="288" t="n">
        <v>32500</v>
      </c>
      <c r="F241" s="342" t="n"/>
      <c r="G241" s="288" t="n">
        <v>32500</v>
      </c>
      <c r="H241" s="287" t="inlineStr">
        <is>
          <t>예측</t>
        </is>
      </c>
    </row>
    <row r="242">
      <c r="A242" s="344" t="n">
        <v>46262</v>
      </c>
      <c r="B242" s="287" t="n">
        <v>8</v>
      </c>
      <c r="C242" s="287" t="inlineStr">
        <is>
          <t>329200</t>
        </is>
      </c>
      <c r="D242" s="287" t="inlineStr">
        <is>
          <t>TIGER리츠부동산인프라</t>
        </is>
      </c>
      <c r="E242" s="288" t="n">
        <v>162500</v>
      </c>
      <c r="F242" s="342" t="n"/>
      <c r="G242" s="288" t="n">
        <v>162500</v>
      </c>
      <c r="H242" s="287" t="inlineStr">
        <is>
          <t>예측</t>
        </is>
      </c>
    </row>
    <row r="243">
      <c r="A243" s="344" t="n">
        <v>46262</v>
      </c>
      <c r="B243" s="287" t="n">
        <v>8</v>
      </c>
      <c r="C243" s="287" t="inlineStr">
        <is>
          <t>433330</t>
        </is>
      </c>
      <c r="D243" s="287" t="inlineStr">
        <is>
          <t>SOL 미국 S&amp;P500</t>
        </is>
      </c>
      <c r="E243" s="288" t="n">
        <v>21021</v>
      </c>
      <c r="F243" s="342" t="n"/>
      <c r="G243" s="288" t="n">
        <v>21021</v>
      </c>
      <c r="H243" s="287" t="inlineStr">
        <is>
          <t>예측</t>
        </is>
      </c>
    </row>
    <row r="244">
      <c r="A244" s="344" t="n">
        <v>46262</v>
      </c>
      <c r="B244" s="287" t="n">
        <v>8</v>
      </c>
      <c r="C244" s="287" t="inlineStr">
        <is>
          <t>446720</t>
        </is>
      </c>
      <c r="D244" s="287" t="inlineStr">
        <is>
          <t>SOL 미국배당다우존스</t>
        </is>
      </c>
      <c r="E244" s="288" t="n">
        <v>44555</v>
      </c>
      <c r="F244" s="342" t="n"/>
      <c r="G244" s="288" t="n">
        <v>44555</v>
      </c>
      <c r="H244" s="287" t="inlineStr">
        <is>
          <t>예측</t>
        </is>
      </c>
    </row>
    <row r="245">
      <c r="A245" s="344" t="n">
        <v>46262</v>
      </c>
      <c r="B245" s="287" t="n">
        <v>8</v>
      </c>
      <c r="C245" s="287" t="inlineStr">
        <is>
          <t>458760</t>
        </is>
      </c>
      <c r="D245" s="287" t="inlineStr">
        <is>
          <t>TIGER 미배당다우커버드콜2호</t>
        </is>
      </c>
      <c r="E245" s="288" t="n">
        <v>1381770</v>
      </c>
      <c r="F245" s="342" t="n"/>
      <c r="G245" s="288" t="n">
        <v>1381770</v>
      </c>
      <c r="H245" s="287" t="inlineStr">
        <is>
          <t>예측</t>
        </is>
      </c>
    </row>
    <row r="246">
      <c r="A246" s="344" t="n">
        <v>46262</v>
      </c>
      <c r="B246" s="287" t="n">
        <v>8</v>
      </c>
      <c r="C246" s="287" t="inlineStr">
        <is>
          <t>468380</t>
        </is>
      </c>
      <c r="D246" s="287" t="inlineStr">
        <is>
          <t>KODEX iShares미국하이일드액티브</t>
        </is>
      </c>
      <c r="E246" s="288" t="n">
        <v>112000</v>
      </c>
      <c r="F246" s="342" t="n"/>
      <c r="G246" s="288" t="n">
        <v>112000</v>
      </c>
      <c r="H246" s="287" t="inlineStr">
        <is>
          <t>예측</t>
        </is>
      </c>
    </row>
    <row r="247">
      <c r="A247" s="344" t="n">
        <v>46262</v>
      </c>
      <c r="B247" s="287" t="n">
        <v>8</v>
      </c>
      <c r="C247" s="287" t="inlineStr">
        <is>
          <t>473330</t>
        </is>
      </c>
      <c r="D247" s="287" t="inlineStr">
        <is>
          <t>SOL 미국 30년국채커버드콜(합성)</t>
        </is>
      </c>
      <c r="E247" s="288" t="n">
        <v>81600</v>
      </c>
      <c r="F247" s="342" t="n"/>
      <c r="G247" s="288" t="n">
        <v>81600</v>
      </c>
      <c r="H247" s="287" t="inlineStr">
        <is>
          <t>예측</t>
        </is>
      </c>
    </row>
    <row r="248">
      <c r="A248" s="344" t="n">
        <v>46262</v>
      </c>
      <c r="B248" s="287" t="n">
        <v>8</v>
      </c>
      <c r="C248" s="287" t="inlineStr">
        <is>
          <t>475380</t>
        </is>
      </c>
      <c r="D248" s="287" t="inlineStr">
        <is>
          <t>RISE 글로벌리얼티인컴</t>
        </is>
      </c>
      <c r="E248" s="288" t="n">
        <v>3636</v>
      </c>
      <c r="F248" s="342" t="n"/>
      <c r="G248" s="288" t="n">
        <v>3636</v>
      </c>
      <c r="H248" s="287" t="inlineStr">
        <is>
          <t>예측</t>
        </is>
      </c>
    </row>
    <row r="249">
      <c r="A249" s="344" t="n">
        <v>46262</v>
      </c>
      <c r="B249" s="287" t="n">
        <v>8</v>
      </c>
      <c r="C249" s="287" t="inlineStr">
        <is>
          <t>476550</t>
        </is>
      </c>
      <c r="D249" s="287" t="inlineStr">
        <is>
          <t>TIGER 미국30년국채커버드콜액티브(H)</t>
        </is>
      </c>
      <c r="E249" s="288" t="n">
        <v>38574</v>
      </c>
      <c r="F249" s="342" t="n"/>
      <c r="G249" s="288" t="n">
        <v>38574</v>
      </c>
      <c r="H249" s="287" t="inlineStr">
        <is>
          <t>예측</t>
        </is>
      </c>
    </row>
    <row r="250">
      <c r="A250" s="344" t="n">
        <v>46262</v>
      </c>
      <c r="B250" s="287" t="n">
        <v>8</v>
      </c>
      <c r="C250" s="287" t="inlineStr">
        <is>
          <t>476690</t>
        </is>
      </c>
      <c r="D250" s="287" t="inlineStr">
        <is>
          <t>TIGER 글로벌비만치료제 TOP2 Plus</t>
        </is>
      </c>
      <c r="E250" s="288" t="n">
        <v>1750</v>
      </c>
      <c r="F250" s="342" t="n"/>
      <c r="G250" s="288" t="n">
        <v>1750</v>
      </c>
      <c r="H250" s="287" t="inlineStr">
        <is>
          <t>예측</t>
        </is>
      </c>
    </row>
    <row r="251">
      <c r="A251" s="344" t="n">
        <v>46262</v>
      </c>
      <c r="B251" s="287" t="n">
        <v>8</v>
      </c>
      <c r="C251" s="287" t="inlineStr">
        <is>
          <t>482730</t>
        </is>
      </c>
      <c r="D251" s="287" t="inlineStr">
        <is>
          <t>미국S&amp;P500타겟데일리커버드콜</t>
        </is>
      </c>
      <c r="E251" s="288" t="n">
        <v>37825</v>
      </c>
      <c r="F251" s="342" t="n"/>
      <c r="G251" s="288" t="n">
        <v>37825</v>
      </c>
      <c r="H251" s="287" t="inlineStr">
        <is>
          <t>예측</t>
        </is>
      </c>
    </row>
    <row r="252">
      <c r="A252" s="344" t="n">
        <v>46262</v>
      </c>
      <c r="B252" s="287" t="n">
        <v>8</v>
      </c>
      <c r="C252" s="287" t="inlineStr">
        <is>
          <t>483280</t>
        </is>
      </c>
      <c r="D252" s="287" t="inlineStr">
        <is>
          <t>KODEX 미국AI테크TOP10타겟커버드콜</t>
        </is>
      </c>
      <c r="E252" s="288" t="n">
        <v>296058</v>
      </c>
      <c r="F252" s="342" t="n"/>
      <c r="G252" s="288" t="n">
        <v>296058</v>
      </c>
      <c r="H252" s="287" t="inlineStr">
        <is>
          <t>예측</t>
        </is>
      </c>
    </row>
    <row r="253">
      <c r="A253" s="344" t="n">
        <v>46262</v>
      </c>
      <c r="B253" s="287" t="n">
        <v>8</v>
      </c>
      <c r="C253" s="287" t="inlineStr">
        <is>
          <t>498410</t>
        </is>
      </c>
      <c r="D253" s="287" t="inlineStr">
        <is>
          <t>KODEX금융고배당TOP10타겟위클리커버드콜</t>
        </is>
      </c>
      <c r="E253" s="288" t="n">
        <v>366058</v>
      </c>
      <c r="F253" s="342" t="n"/>
      <c r="G253" s="288" t="n">
        <v>366058</v>
      </c>
      <c r="H253" s="287" t="inlineStr">
        <is>
          <t>예측</t>
        </is>
      </c>
    </row>
    <row r="254">
      <c r="A254" s="344" t="n">
        <v>46264</v>
      </c>
      <c r="B254" s="287" t="n">
        <v>8</v>
      </c>
      <c r="C254" s="287" t="inlineStr">
        <is>
          <t>TMUS</t>
        </is>
      </c>
      <c r="D254" s="287" t="inlineStr">
        <is>
          <t>T-모바일</t>
        </is>
      </c>
      <c r="E254" s="288" t="n"/>
      <c r="F254" s="342" t="n">
        <v>3.06</v>
      </c>
      <c r="G254" s="288" t="n">
        <v>4219.74</v>
      </c>
      <c r="H254" s="287" t="inlineStr">
        <is>
          <t>예측</t>
        </is>
      </c>
    </row>
    <row r="255">
      <c r="A255" s="344" t="n">
        <v>46265</v>
      </c>
      <c r="B255" s="287" t="n">
        <v>8</v>
      </c>
      <c r="C255" s="287" t="inlineStr">
        <is>
          <t>0219E0</t>
        </is>
      </c>
      <c r="D255" s="287" t="inlineStr">
        <is>
          <t>KODEX 200커버드콜액티브</t>
        </is>
      </c>
      <c r="E255" s="288" t="n">
        <v>192168</v>
      </c>
      <c r="F255" s="342" t="n"/>
      <c r="G255" s="288" t="n">
        <v>192168</v>
      </c>
      <c r="H255" s="287" t="inlineStr">
        <is>
          <t>예측</t>
        </is>
      </c>
    </row>
    <row r="256">
      <c r="A256" s="344" t="n">
        <v>46267</v>
      </c>
      <c r="B256" s="287" t="n">
        <v>9</v>
      </c>
      <c r="C256" s="287" t="inlineStr">
        <is>
          <t>NKE</t>
        </is>
      </c>
      <c r="D256" s="287" t="inlineStr">
        <is>
          <t>나이키</t>
        </is>
      </c>
      <c r="E256" s="288" t="n"/>
      <c r="F256" s="342" t="n">
        <v>3.85</v>
      </c>
      <c r="G256" s="288" t="n">
        <v>5309.150000000001</v>
      </c>
      <c r="H256" s="287" t="inlineStr">
        <is>
          <t>예측</t>
        </is>
      </c>
    </row>
    <row r="257">
      <c r="A257" s="344" t="n">
        <v>46267</v>
      </c>
      <c r="B257" s="287" t="n">
        <v>9</v>
      </c>
      <c r="C257" s="287" t="inlineStr">
        <is>
          <t>O</t>
        </is>
      </c>
      <c r="D257" s="287" t="inlineStr">
        <is>
          <t>리얼티인컴</t>
        </is>
      </c>
      <c r="E257" s="288" t="n"/>
      <c r="F257" s="342" t="n">
        <v>14.098</v>
      </c>
      <c r="G257" s="288" t="n">
        <v>19441.142</v>
      </c>
      <c r="H257" s="287" t="inlineStr">
        <is>
          <t>예측</t>
        </is>
      </c>
    </row>
    <row r="258">
      <c r="A258" s="344" t="n">
        <v>46277</v>
      </c>
      <c r="B258" s="287" t="n">
        <v>9</v>
      </c>
      <c r="C258" s="287" t="inlineStr">
        <is>
          <t>0008S0</t>
        </is>
      </c>
      <c r="D258" s="287" t="inlineStr">
        <is>
          <t>TIGER 미국배당다우존스타겟데일리커버드콜</t>
        </is>
      </c>
      <c r="E258" s="288" t="n">
        <v>264000</v>
      </c>
      <c r="F258" s="342" t="n"/>
      <c r="G258" s="288" t="n">
        <v>264000</v>
      </c>
      <c r="H258" s="287" t="inlineStr">
        <is>
          <t>예측</t>
        </is>
      </c>
    </row>
    <row r="259">
      <c r="A259" s="344" t="n">
        <v>46277</v>
      </c>
      <c r="B259" s="287" t="n">
        <v>9</v>
      </c>
      <c r="C259" s="287" t="inlineStr">
        <is>
          <t>474220</t>
        </is>
      </c>
      <c r="D259" s="287" t="inlineStr">
        <is>
          <t>TIGER미국테크TOP10커버드콜</t>
        </is>
      </c>
      <c r="E259" s="288" t="n">
        <v>494760</v>
      </c>
      <c r="F259" s="342" t="n"/>
      <c r="G259" s="288" t="n">
        <v>494760</v>
      </c>
      <c r="H259" s="287" t="inlineStr">
        <is>
          <t>예측</t>
        </is>
      </c>
    </row>
    <row r="260">
      <c r="A260" s="344" t="n">
        <v>46277</v>
      </c>
      <c r="B260" s="287" t="n">
        <v>9</v>
      </c>
      <c r="C260" s="287" t="inlineStr">
        <is>
          <t>490490</t>
        </is>
      </c>
      <c r="D260" s="287" t="inlineStr">
        <is>
          <t>SOL미국배당미국채혼합50</t>
        </is>
      </c>
      <c r="E260" s="288" t="n">
        <v>137556</v>
      </c>
      <c r="F260" s="342" t="n"/>
      <c r="G260" s="288" t="n">
        <v>137556</v>
      </c>
      <c r="H260" s="287" t="inlineStr">
        <is>
          <t>예측</t>
        </is>
      </c>
    </row>
    <row r="261">
      <c r="A261" s="344" t="n">
        <v>46277</v>
      </c>
      <c r="B261" s="287" t="n">
        <v>9</v>
      </c>
      <c r="C261" s="287" t="inlineStr">
        <is>
          <t>498400</t>
        </is>
      </c>
      <c r="D261" s="287" t="inlineStr">
        <is>
          <t>KODEX 200타켓위클리커버드콜</t>
        </is>
      </c>
      <c r="E261" s="288" t="n">
        <v>98371</v>
      </c>
      <c r="F261" s="342" t="n"/>
      <c r="G261" s="288" t="n">
        <v>98371</v>
      </c>
      <c r="H261" s="287" t="inlineStr">
        <is>
          <t>예측</t>
        </is>
      </c>
    </row>
    <row r="262">
      <c r="A262" s="344" t="n">
        <v>46285</v>
      </c>
      <c r="B262" s="287" t="n">
        <v>9</v>
      </c>
      <c r="C262" s="287" t="inlineStr">
        <is>
          <t>481060</t>
        </is>
      </c>
      <c r="D262" s="287" t="inlineStr">
        <is>
          <t>KODEX 미국30년국채타겟커버드콜(H)</t>
        </is>
      </c>
      <c r="E262" s="288" t="n">
        <v>296820</v>
      </c>
      <c r="F262" s="342" t="n"/>
      <c r="G262" s="288" t="n">
        <v>296820</v>
      </c>
      <c r="H262" s="287" t="inlineStr">
        <is>
          <t>예측</t>
        </is>
      </c>
    </row>
    <row r="263">
      <c r="A263" s="344" t="n">
        <v>46289</v>
      </c>
      <c r="B263" s="287" t="n">
        <v>9</v>
      </c>
      <c r="C263" s="287" t="inlineStr">
        <is>
          <t>QLD</t>
        </is>
      </c>
      <c r="D263" s="287" t="inlineStr">
        <is>
          <t>QLD</t>
        </is>
      </c>
      <c r="E263" s="288" t="n"/>
      <c r="F263" s="342" t="n">
        <v>0.989</v>
      </c>
      <c r="G263" s="288" t="n">
        <v>1363.831</v>
      </c>
      <c r="H263" s="287" t="inlineStr">
        <is>
          <t>예측</t>
        </is>
      </c>
    </row>
    <row r="264">
      <c r="A264" s="344" t="n">
        <v>46289</v>
      </c>
      <c r="B264" s="287" t="n">
        <v>9</v>
      </c>
      <c r="C264" s="287" t="inlineStr">
        <is>
          <t>SCHD</t>
        </is>
      </c>
      <c r="D264" s="287" t="inlineStr">
        <is>
          <t>SCHD</t>
        </is>
      </c>
      <c r="E264" s="288" t="n"/>
      <c r="F264" s="342" t="n">
        <v>6.14</v>
      </c>
      <c r="G264" s="288" t="n">
        <v>8467.059999999999</v>
      </c>
      <c r="H264" s="287" t="inlineStr">
        <is>
          <t>예측</t>
        </is>
      </c>
    </row>
    <row r="265">
      <c r="A265" s="344" t="n">
        <v>46292</v>
      </c>
      <c r="B265" s="287" t="n">
        <v>9</v>
      </c>
      <c r="C265" s="287" t="inlineStr">
        <is>
          <t>005389</t>
        </is>
      </c>
      <c r="D265" s="287" t="inlineStr">
        <is>
          <t>현대차3우B</t>
        </is>
      </c>
      <c r="E265" s="288" t="n">
        <v>26000</v>
      </c>
      <c r="F265" s="342" t="n"/>
      <c r="G265" s="288" t="n">
        <v>26000</v>
      </c>
      <c r="H265" s="287" t="inlineStr">
        <is>
          <t>예측</t>
        </is>
      </c>
    </row>
    <row r="266">
      <c r="A266" s="344" t="n">
        <v>46292</v>
      </c>
      <c r="B266" s="287" t="n">
        <v>9</v>
      </c>
      <c r="C266" s="287" t="n">
        <v>105560</v>
      </c>
      <c r="D266" s="287" t="inlineStr">
        <is>
          <t>KB금융</t>
        </is>
      </c>
      <c r="E266" s="288" t="n">
        <v>9540</v>
      </c>
      <c r="F266" s="342" t="n"/>
      <c r="G266" s="288" t="n">
        <v>9540</v>
      </c>
      <c r="H266" s="287" t="inlineStr">
        <is>
          <t>예측</t>
        </is>
      </c>
    </row>
    <row r="267">
      <c r="A267" s="344" t="n">
        <v>46293</v>
      </c>
      <c r="B267" s="287" t="n">
        <v>9</v>
      </c>
      <c r="C267" s="287" t="inlineStr">
        <is>
          <t>005930</t>
        </is>
      </c>
      <c r="D267" s="287" t="inlineStr">
        <is>
          <t>삼성전자</t>
        </is>
      </c>
      <c r="E267" s="288" t="n">
        <v>36184</v>
      </c>
      <c r="F267" s="342" t="n"/>
      <c r="G267" s="288" t="n">
        <v>36184</v>
      </c>
      <c r="H267" s="287" t="inlineStr">
        <is>
          <t>예측</t>
        </is>
      </c>
    </row>
    <row r="268">
      <c r="A268" s="344" t="n">
        <v>46293</v>
      </c>
      <c r="B268" s="287" t="n">
        <v>9</v>
      </c>
      <c r="C268" s="287" t="inlineStr">
        <is>
          <t>329200</t>
        </is>
      </c>
      <c r="D268" s="287" t="inlineStr">
        <is>
          <t>TIGER리츠부동산인프라</t>
        </is>
      </c>
      <c r="E268" s="288" t="n">
        <v>195000</v>
      </c>
      <c r="F268" s="342" t="n"/>
      <c r="G268" s="288" t="n">
        <v>195000</v>
      </c>
      <c r="H268" s="287" t="inlineStr">
        <is>
          <t>예측</t>
        </is>
      </c>
    </row>
    <row r="269">
      <c r="A269" s="344" t="n">
        <v>46293</v>
      </c>
      <c r="B269" s="287" t="n">
        <v>9</v>
      </c>
      <c r="C269" s="287" t="inlineStr">
        <is>
          <t>433330</t>
        </is>
      </c>
      <c r="D269" s="287" t="inlineStr">
        <is>
          <t>SOL 미국 S&amp;P500</t>
        </is>
      </c>
      <c r="E269" s="288" t="n">
        <v>19747</v>
      </c>
      <c r="F269" s="342" t="n"/>
      <c r="G269" s="288" t="n">
        <v>19747</v>
      </c>
      <c r="H269" s="287" t="inlineStr">
        <is>
          <t>예측</t>
        </is>
      </c>
    </row>
    <row r="270">
      <c r="A270" s="344" t="n">
        <v>46293</v>
      </c>
      <c r="B270" s="287" t="n">
        <v>9</v>
      </c>
      <c r="C270" s="287" t="inlineStr">
        <is>
          <t>446720</t>
        </is>
      </c>
      <c r="D270" s="287" t="inlineStr">
        <is>
          <t>SOL 미국배당다우존스</t>
        </is>
      </c>
      <c r="E270" s="288" t="n">
        <v>43225</v>
      </c>
      <c r="F270" s="342" t="n"/>
      <c r="G270" s="288" t="n">
        <v>43225</v>
      </c>
      <c r="H270" s="287" t="inlineStr">
        <is>
          <t>예측</t>
        </is>
      </c>
    </row>
    <row r="271">
      <c r="A271" s="344" t="n">
        <v>46293</v>
      </c>
      <c r="B271" s="287" t="n">
        <v>9</v>
      </c>
      <c r="C271" s="287" t="inlineStr">
        <is>
          <t>458760</t>
        </is>
      </c>
      <c r="D271" s="287" t="inlineStr">
        <is>
          <t>TIGER 미배당다우커버드콜2호</t>
        </is>
      </c>
      <c r="E271" s="288" t="n">
        <v>1366417</v>
      </c>
      <c r="F271" s="342" t="n"/>
      <c r="G271" s="288" t="n">
        <v>1366417</v>
      </c>
      <c r="H271" s="287" t="inlineStr">
        <is>
          <t>예측</t>
        </is>
      </c>
    </row>
    <row r="272">
      <c r="A272" s="344" t="n">
        <v>46293</v>
      </c>
      <c r="B272" s="287" t="n">
        <v>9</v>
      </c>
      <c r="C272" s="287" t="inlineStr">
        <is>
          <t>468380</t>
        </is>
      </c>
      <c r="D272" s="287" t="inlineStr">
        <is>
          <t>KODEX iShares미국하이일드액티브</t>
        </is>
      </c>
      <c r="E272" s="288" t="n">
        <v>119000</v>
      </c>
      <c r="F272" s="342" t="n"/>
      <c r="G272" s="288" t="n">
        <v>119000</v>
      </c>
      <c r="H272" s="287" t="inlineStr">
        <is>
          <t>예측</t>
        </is>
      </c>
    </row>
    <row r="273">
      <c r="A273" s="344" t="n">
        <v>46293</v>
      </c>
      <c r="B273" s="287" t="n">
        <v>9</v>
      </c>
      <c r="C273" s="287" t="inlineStr">
        <is>
          <t>473330</t>
        </is>
      </c>
      <c r="D273" s="287" t="inlineStr">
        <is>
          <t>SOL 미국 30년국채커버드콜(합성)</t>
        </is>
      </c>
      <c r="E273" s="288" t="n">
        <v>89280</v>
      </c>
      <c r="F273" s="342" t="n"/>
      <c r="G273" s="288" t="n">
        <v>89280</v>
      </c>
      <c r="H273" s="287" t="inlineStr">
        <is>
          <t>예측</t>
        </is>
      </c>
    </row>
    <row r="274">
      <c r="A274" s="344" t="n">
        <v>46293</v>
      </c>
      <c r="B274" s="287" t="n">
        <v>9</v>
      </c>
      <c r="C274" s="287" t="inlineStr">
        <is>
          <t>475380</t>
        </is>
      </c>
      <c r="D274" s="287" t="inlineStr">
        <is>
          <t>RISE 글로벌리얼티인컴</t>
        </is>
      </c>
      <c r="E274" s="288" t="n">
        <v>3737</v>
      </c>
      <c r="F274" s="342" t="n"/>
      <c r="G274" s="288" t="n">
        <v>3737</v>
      </c>
      <c r="H274" s="287" t="inlineStr">
        <is>
          <t>예측</t>
        </is>
      </c>
    </row>
    <row r="275">
      <c r="A275" s="344" t="n">
        <v>46293</v>
      </c>
      <c r="B275" s="287" t="n">
        <v>9</v>
      </c>
      <c r="C275" s="287" t="inlineStr">
        <is>
          <t>476550</t>
        </is>
      </c>
      <c r="D275" s="287" t="inlineStr">
        <is>
          <t>TIGER 미국30년국채커버드콜액티브(H)</t>
        </is>
      </c>
      <c r="E275" s="288" t="n">
        <v>38790</v>
      </c>
      <c r="F275" s="342" t="n"/>
      <c r="G275" s="288" t="n">
        <v>38790</v>
      </c>
      <c r="H275" s="287" t="inlineStr">
        <is>
          <t>예측</t>
        </is>
      </c>
    </row>
    <row r="276">
      <c r="A276" s="344" t="n">
        <v>46293</v>
      </c>
      <c r="B276" s="287" t="n">
        <v>9</v>
      </c>
      <c r="C276" s="287" t="inlineStr">
        <is>
          <t>476690</t>
        </is>
      </c>
      <c r="D276" s="287" t="inlineStr">
        <is>
          <t>TIGER 글로벌비만치료제 TOP2 Plus</t>
        </is>
      </c>
      <c r="E276" s="288" t="n">
        <v>1250</v>
      </c>
      <c r="F276" s="342" t="n"/>
      <c r="G276" s="288" t="n">
        <v>1250</v>
      </c>
      <c r="H276" s="287" t="inlineStr">
        <is>
          <t>예측</t>
        </is>
      </c>
    </row>
    <row r="277">
      <c r="A277" s="344" t="n">
        <v>46293</v>
      </c>
      <c r="B277" s="287" t="n">
        <v>9</v>
      </c>
      <c r="C277" s="287" t="inlineStr">
        <is>
          <t>482730</t>
        </is>
      </c>
      <c r="D277" s="287" t="inlineStr">
        <is>
          <t>미국S&amp;P500타겟데일리커버드콜</t>
        </is>
      </c>
      <c r="E277" s="288" t="n">
        <v>38250</v>
      </c>
      <c r="F277" s="342" t="n"/>
      <c r="G277" s="288" t="n">
        <v>38250</v>
      </c>
      <c r="H277" s="287" t="inlineStr">
        <is>
          <t>예측</t>
        </is>
      </c>
    </row>
    <row r="278">
      <c r="A278" s="344" t="n">
        <v>46293</v>
      </c>
      <c r="B278" s="287" t="n">
        <v>9</v>
      </c>
      <c r="C278" s="287" t="inlineStr">
        <is>
          <t>483280</t>
        </is>
      </c>
      <c r="D278" s="287" t="inlineStr">
        <is>
          <t>KODEX 미국AI테크TOP10타겟커버드콜</t>
        </is>
      </c>
      <c r="E278" s="288" t="n">
        <v>309414</v>
      </c>
      <c r="F278" s="342" t="n"/>
      <c r="G278" s="288" t="n">
        <v>309414</v>
      </c>
      <c r="H278" s="287" t="inlineStr">
        <is>
          <t>예측</t>
        </is>
      </c>
    </row>
    <row r="279">
      <c r="A279" s="344" t="n">
        <v>46294</v>
      </c>
      <c r="B279" s="287" t="n">
        <v>9</v>
      </c>
      <c r="C279" s="287" t="inlineStr">
        <is>
          <t>498410</t>
        </is>
      </c>
      <c r="D279" s="287" t="inlineStr">
        <is>
          <t>KODEX금융고배당TOP10타겟위클리커버드콜</t>
        </is>
      </c>
      <c r="E279" s="288" t="n">
        <v>375566</v>
      </c>
      <c r="F279" s="342" t="n"/>
      <c r="G279" s="288" t="n">
        <v>375566</v>
      </c>
      <c r="H279" s="287" t="inlineStr">
        <is>
          <t>예측</t>
        </is>
      </c>
    </row>
    <row r="280">
      <c r="A280" s="344" t="n">
        <v>46295</v>
      </c>
      <c r="B280" s="287" t="n">
        <v>9</v>
      </c>
      <c r="C280" s="287" t="inlineStr">
        <is>
          <t>0219E0</t>
        </is>
      </c>
      <c r="D280" s="287" t="inlineStr">
        <is>
          <t>KODEX 200커버드콜액티브</t>
        </is>
      </c>
      <c r="E280" s="288" t="n">
        <v>192168</v>
      </c>
      <c r="F280" s="342" t="n"/>
      <c r="G280" s="288" t="n">
        <v>192168</v>
      </c>
      <c r="H280" s="287" t="inlineStr">
        <is>
          <t>예측</t>
        </is>
      </c>
    </row>
    <row r="281">
      <c r="A281" s="344" t="n">
        <v>46295</v>
      </c>
      <c r="B281" s="287" t="n">
        <v>9</v>
      </c>
      <c r="C281" s="287" t="inlineStr">
        <is>
          <t>AMT</t>
        </is>
      </c>
      <c r="D281" s="287" t="inlineStr">
        <is>
          <t>아메리칸타워</t>
        </is>
      </c>
      <c r="E281" s="288" t="n"/>
      <c r="F281" s="342" t="n">
        <v>8.5</v>
      </c>
      <c r="G281" s="288" t="n">
        <v>11721.5</v>
      </c>
      <c r="H281" s="287" t="inlineStr">
        <is>
          <t>예측</t>
        </is>
      </c>
    </row>
    <row r="282">
      <c r="A282" s="344" t="n">
        <v>46304</v>
      </c>
      <c r="B282" s="287" t="n">
        <v>10</v>
      </c>
      <c r="C282" s="287" t="inlineStr">
        <is>
          <t>AMT</t>
        </is>
      </c>
      <c r="D282" s="287" t="inlineStr">
        <is>
          <t>아메리칸타워</t>
        </is>
      </c>
      <c r="E282" s="288" t="n"/>
      <c r="F282" s="342" t="n">
        <v>8.1</v>
      </c>
      <c r="G282" s="288" t="n">
        <v>11169.9</v>
      </c>
      <c r="H282" s="287" t="inlineStr">
        <is>
          <t>예측</t>
        </is>
      </c>
    </row>
    <row r="283">
      <c r="A283" s="344" t="n">
        <v>46305</v>
      </c>
      <c r="B283" s="287" t="n">
        <v>10</v>
      </c>
      <c r="C283" s="287" t="inlineStr">
        <is>
          <t>ORCL</t>
        </is>
      </c>
      <c r="D283" s="287" t="inlineStr">
        <is>
          <t>오라클</t>
        </is>
      </c>
      <c r="E283" s="288" t="n"/>
      <c r="F283" s="342" t="n">
        <v>0.9</v>
      </c>
      <c r="G283" s="288" t="n">
        <v>1241.1</v>
      </c>
      <c r="H283" s="287" t="inlineStr">
        <is>
          <t>예측</t>
        </is>
      </c>
    </row>
    <row r="284">
      <c r="A284" s="344" t="n">
        <v>46306</v>
      </c>
      <c r="B284" s="287" t="n">
        <v>10</v>
      </c>
      <c r="C284" s="287" t="inlineStr">
        <is>
          <t>O</t>
        </is>
      </c>
      <c r="D284" s="287" t="inlineStr">
        <is>
          <t>리얼티인컴</t>
        </is>
      </c>
      <c r="E284" s="288" t="n"/>
      <c r="F284" s="342" t="n">
        <v>14.204</v>
      </c>
      <c r="G284" s="288" t="n">
        <v>19587.316</v>
      </c>
      <c r="H284" s="287" t="inlineStr">
        <is>
          <t>예측</t>
        </is>
      </c>
    </row>
    <row r="285">
      <c r="A285" s="344" t="n">
        <v>46309</v>
      </c>
      <c r="B285" s="287" t="n">
        <v>10</v>
      </c>
      <c r="C285" s="287" t="inlineStr">
        <is>
          <t>0008S0</t>
        </is>
      </c>
      <c r="D285" s="287" t="inlineStr">
        <is>
          <t>TIGER 미국배당다우존스타겟데일리커버드콜</t>
        </is>
      </c>
      <c r="E285" s="288" t="n">
        <v>261000</v>
      </c>
      <c r="F285" s="342" t="n"/>
      <c r="G285" s="288" t="n">
        <v>261000</v>
      </c>
      <c r="H285" s="287" t="inlineStr">
        <is>
          <t>예측</t>
        </is>
      </c>
    </row>
    <row r="286">
      <c r="A286" s="344" t="n">
        <v>46309</v>
      </c>
      <c r="B286" s="287" t="n">
        <v>10</v>
      </c>
      <c r="C286" s="287" t="inlineStr">
        <is>
          <t>474220</t>
        </is>
      </c>
      <c r="D286" s="287" t="inlineStr">
        <is>
          <t>TIGER미국테크TOP10커버드콜</t>
        </is>
      </c>
      <c r="E286" s="288" t="n">
        <v>522120</v>
      </c>
      <c r="F286" s="342" t="n"/>
      <c r="G286" s="288" t="n">
        <v>522120</v>
      </c>
      <c r="H286" s="287" t="inlineStr">
        <is>
          <t>예측</t>
        </is>
      </c>
    </row>
    <row r="287">
      <c r="A287" s="344" t="n">
        <v>46309</v>
      </c>
      <c r="B287" s="287" t="n">
        <v>10</v>
      </c>
      <c r="C287" s="287" t="inlineStr">
        <is>
          <t>481060</t>
        </is>
      </c>
      <c r="D287" s="287" t="inlineStr">
        <is>
          <t>KODEX 미국30년국채타겟커버드콜(H)</t>
        </is>
      </c>
      <c r="E287" s="288" t="n">
        <v>287640</v>
      </c>
      <c r="F287" s="342" t="n"/>
      <c r="G287" s="288" t="n">
        <v>287640</v>
      </c>
      <c r="H287" s="287" t="inlineStr">
        <is>
          <t>예측</t>
        </is>
      </c>
    </row>
    <row r="288">
      <c r="A288" s="344" t="n">
        <v>46309</v>
      </c>
      <c r="B288" s="287" t="n">
        <v>10</v>
      </c>
      <c r="C288" s="287" t="inlineStr">
        <is>
          <t>490490</t>
        </is>
      </c>
      <c r="D288" s="287" t="inlineStr">
        <is>
          <t>SOL미국배당미국채혼합50</t>
        </is>
      </c>
      <c r="E288" s="288" t="n">
        <v>80241</v>
      </c>
      <c r="F288" s="342" t="n"/>
      <c r="G288" s="288" t="n">
        <v>80241</v>
      </c>
      <c r="H288" s="287" t="inlineStr">
        <is>
          <t>예측</t>
        </is>
      </c>
    </row>
    <row r="289">
      <c r="A289" s="344" t="n">
        <v>46309</v>
      </c>
      <c r="B289" s="287" t="n">
        <v>10</v>
      </c>
      <c r="C289" s="287" t="inlineStr">
        <is>
          <t>498400</t>
        </is>
      </c>
      <c r="D289" s="287" t="inlineStr">
        <is>
          <t>KODEX 200타켓위클리커버드콜</t>
        </is>
      </c>
      <c r="E289" s="288" t="n">
        <v>105092</v>
      </c>
      <c r="F289" s="342" t="n"/>
      <c r="G289" s="288" t="n">
        <v>105092</v>
      </c>
      <c r="H289" s="287" t="inlineStr">
        <is>
          <t>예측</t>
        </is>
      </c>
    </row>
    <row r="290">
      <c r="A290" s="344" t="n">
        <v>46325</v>
      </c>
      <c r="B290" s="287" t="n">
        <v>10</v>
      </c>
      <c r="C290" s="287" t="inlineStr">
        <is>
          <t>133690</t>
        </is>
      </c>
      <c r="D290" s="287" t="inlineStr">
        <is>
          <t>TIGER 미국나스닥100</t>
        </is>
      </c>
      <c r="E290" s="288" t="n">
        <v>11457</v>
      </c>
      <c r="F290" s="342" t="n"/>
      <c r="G290" s="288" t="n">
        <v>11457</v>
      </c>
      <c r="H290" s="287" t="inlineStr">
        <is>
          <t>예측</t>
        </is>
      </c>
    </row>
    <row r="291">
      <c r="A291" s="344" t="n">
        <v>46325</v>
      </c>
      <c r="B291" s="287" t="n">
        <v>10</v>
      </c>
      <c r="C291" s="287" t="inlineStr">
        <is>
          <t>329200</t>
        </is>
      </c>
      <c r="D291" s="287" t="inlineStr">
        <is>
          <t>TIGER리츠부동산인프라</t>
        </is>
      </c>
      <c r="E291" s="288" t="n">
        <v>155000</v>
      </c>
      <c r="F291" s="342" t="n"/>
      <c r="G291" s="288" t="n">
        <v>155000</v>
      </c>
      <c r="H291" s="287" t="inlineStr">
        <is>
          <t>예측</t>
        </is>
      </c>
    </row>
    <row r="292">
      <c r="A292" s="344" t="n">
        <v>46325</v>
      </c>
      <c r="B292" s="287" t="n">
        <v>10</v>
      </c>
      <c r="C292" s="287" t="inlineStr">
        <is>
          <t>360750</t>
        </is>
      </c>
      <c r="D292" s="287" t="inlineStr">
        <is>
          <t>TIGER미국S&amp;P500</t>
        </is>
      </c>
      <c r="E292" s="288" t="n">
        <v>13688</v>
      </c>
      <c r="F292" s="342" t="n"/>
      <c r="G292" s="288" t="n">
        <v>13688</v>
      </c>
      <c r="H292" s="287" t="inlineStr">
        <is>
          <t>예측</t>
        </is>
      </c>
    </row>
    <row r="293">
      <c r="A293" s="344" t="n">
        <v>46325</v>
      </c>
      <c r="B293" s="287" t="n">
        <v>10</v>
      </c>
      <c r="C293" s="287" t="inlineStr">
        <is>
          <t>367380</t>
        </is>
      </c>
      <c r="D293" s="287" t="inlineStr">
        <is>
          <t>ACE 미국나스닥100</t>
        </is>
      </c>
      <c r="E293" s="288" t="n">
        <v>12337</v>
      </c>
      <c r="F293" s="342" t="n"/>
      <c r="G293" s="288" t="n">
        <v>12337</v>
      </c>
      <c r="H293" s="287" t="inlineStr">
        <is>
          <t>예측</t>
        </is>
      </c>
    </row>
    <row r="294">
      <c r="A294" s="344" t="n">
        <v>46325</v>
      </c>
      <c r="B294" s="287" t="n">
        <v>10</v>
      </c>
      <c r="C294" s="287" t="inlineStr">
        <is>
          <t>379810</t>
        </is>
      </c>
      <c r="D294" s="287" t="inlineStr">
        <is>
          <t>KODEX 미국나스닥100</t>
        </is>
      </c>
      <c r="E294" s="288" t="n">
        <v>24318</v>
      </c>
      <c r="F294" s="342" t="n"/>
      <c r="G294" s="288" t="n">
        <v>24318</v>
      </c>
      <c r="H294" s="287" t="inlineStr">
        <is>
          <t>예측</t>
        </is>
      </c>
    </row>
    <row r="295">
      <c r="A295" s="344" t="n">
        <v>46325</v>
      </c>
      <c r="B295" s="287" t="n">
        <v>10</v>
      </c>
      <c r="C295" s="287" t="inlineStr">
        <is>
          <t>433330</t>
        </is>
      </c>
      <c r="D295" s="287" t="inlineStr">
        <is>
          <t>SOL 미국 S&amp;P500</t>
        </is>
      </c>
      <c r="E295" s="288" t="n">
        <v>14014</v>
      </c>
      <c r="F295" s="342" t="n"/>
      <c r="G295" s="288" t="n">
        <v>14014</v>
      </c>
      <c r="H295" s="287" t="inlineStr">
        <is>
          <t>예측</t>
        </is>
      </c>
    </row>
    <row r="296">
      <c r="A296" s="344" t="n">
        <v>46325</v>
      </c>
      <c r="B296" s="287" t="n">
        <v>10</v>
      </c>
      <c r="C296" s="287" t="inlineStr">
        <is>
          <t>446720</t>
        </is>
      </c>
      <c r="D296" s="287" t="inlineStr">
        <is>
          <t>SOL 미국배당다우존스</t>
        </is>
      </c>
      <c r="E296" s="288" t="n">
        <v>43890</v>
      </c>
      <c r="F296" s="342" t="n"/>
      <c r="G296" s="288" t="n">
        <v>43890</v>
      </c>
      <c r="H296" s="287" t="inlineStr">
        <is>
          <t>예측</t>
        </is>
      </c>
    </row>
    <row r="297">
      <c r="A297" s="344" t="n">
        <v>46325</v>
      </c>
      <c r="B297" s="287" t="n">
        <v>10</v>
      </c>
      <c r="C297" s="287" t="inlineStr">
        <is>
          <t>458760</t>
        </is>
      </c>
      <c r="D297" s="287" t="inlineStr">
        <is>
          <t>TIGER 미배당다우커버드콜2호</t>
        </is>
      </c>
      <c r="E297" s="288" t="n">
        <v>1343388</v>
      </c>
      <c r="F297" s="342" t="n"/>
      <c r="G297" s="288" t="n">
        <v>1343388</v>
      </c>
      <c r="H297" s="287" t="inlineStr">
        <is>
          <t>예측</t>
        </is>
      </c>
    </row>
    <row r="298">
      <c r="A298" s="344" t="n">
        <v>46325</v>
      </c>
      <c r="B298" s="287" t="n">
        <v>10</v>
      </c>
      <c r="C298" s="287" t="inlineStr">
        <is>
          <t>468380</t>
        </is>
      </c>
      <c r="D298" s="287" t="inlineStr">
        <is>
          <t>KODEX iShares미국하이일드액티브</t>
        </is>
      </c>
      <c r="E298" s="288" t="n">
        <v>120000</v>
      </c>
      <c r="F298" s="342" t="n"/>
      <c r="G298" s="288" t="n">
        <v>120000</v>
      </c>
      <c r="H298" s="287" t="inlineStr">
        <is>
          <t>예측</t>
        </is>
      </c>
    </row>
    <row r="299">
      <c r="A299" s="344" t="n">
        <v>46325</v>
      </c>
      <c r="B299" s="287" t="n">
        <v>10</v>
      </c>
      <c r="C299" s="287" t="inlineStr">
        <is>
          <t>473330</t>
        </is>
      </c>
      <c r="D299" s="287" t="inlineStr">
        <is>
          <t>SOL 미국 30년국채커버드콜(합성)</t>
        </is>
      </c>
      <c r="E299" s="288" t="n">
        <v>78720</v>
      </c>
      <c r="F299" s="342" t="n"/>
      <c r="G299" s="288" t="n">
        <v>78720</v>
      </c>
      <c r="H299" s="287" t="inlineStr">
        <is>
          <t>예측</t>
        </is>
      </c>
    </row>
    <row r="300">
      <c r="A300" s="344" t="n">
        <v>46325</v>
      </c>
      <c r="B300" s="287" t="n">
        <v>10</v>
      </c>
      <c r="C300" s="287" t="inlineStr">
        <is>
          <t>475380</t>
        </is>
      </c>
      <c r="D300" s="287" t="inlineStr">
        <is>
          <t>RISE 글로벌리얼티인컴</t>
        </is>
      </c>
      <c r="E300" s="288" t="n">
        <v>3737</v>
      </c>
      <c r="F300" s="342" t="n"/>
      <c r="G300" s="288" t="n">
        <v>3737</v>
      </c>
      <c r="H300" s="287" t="inlineStr">
        <is>
          <t>예측</t>
        </is>
      </c>
    </row>
    <row r="301">
      <c r="A301" s="344" t="n">
        <v>46325</v>
      </c>
      <c r="B301" s="287" t="n">
        <v>10</v>
      </c>
      <c r="C301" s="287" t="inlineStr">
        <is>
          <t>476550</t>
        </is>
      </c>
      <c r="D301" s="287" t="inlineStr">
        <is>
          <t>TIGER 미국30년국채커버드콜액티브(H)</t>
        </is>
      </c>
      <c r="E301" s="288" t="n">
        <v>37928</v>
      </c>
      <c r="F301" s="342" t="n"/>
      <c r="G301" s="288" t="n">
        <v>37928</v>
      </c>
      <c r="H301" s="287" t="inlineStr">
        <is>
          <t>예측</t>
        </is>
      </c>
    </row>
    <row r="302">
      <c r="A302" s="344" t="n">
        <v>46325</v>
      </c>
      <c r="B302" s="287" t="n">
        <v>10</v>
      </c>
      <c r="C302" s="287" t="inlineStr">
        <is>
          <t>476690</t>
        </is>
      </c>
      <c r="D302" s="287" t="inlineStr">
        <is>
          <t>TIGER 글로벌비만치료제 TOP2 Plus</t>
        </is>
      </c>
      <c r="E302" s="288" t="n">
        <v>1200</v>
      </c>
      <c r="F302" s="342" t="n"/>
      <c r="G302" s="288" t="n">
        <v>1200</v>
      </c>
      <c r="H302" s="287" t="inlineStr">
        <is>
          <t>예측</t>
        </is>
      </c>
    </row>
    <row r="303">
      <c r="A303" s="344" t="n">
        <v>46325</v>
      </c>
      <c r="B303" s="287" t="n">
        <v>10</v>
      </c>
      <c r="C303" s="287" t="inlineStr">
        <is>
          <t>482730</t>
        </is>
      </c>
      <c r="D303" s="287" t="inlineStr">
        <is>
          <t>미국S&amp;P500타겟데일리커버드콜</t>
        </is>
      </c>
      <c r="E303" s="288" t="n">
        <v>40375</v>
      </c>
      <c r="F303" s="342" t="n"/>
      <c r="G303" s="288" t="n">
        <v>40375</v>
      </c>
      <c r="H303" s="287" t="inlineStr">
        <is>
          <t>예측</t>
        </is>
      </c>
    </row>
    <row r="304">
      <c r="A304" s="344" t="n">
        <v>46325</v>
      </c>
      <c r="B304" s="287" t="n">
        <v>10</v>
      </c>
      <c r="C304" s="287" t="inlineStr">
        <is>
          <t>483280</t>
        </is>
      </c>
      <c r="D304" s="287" t="inlineStr">
        <is>
          <t>KODEX 미국AI테크TOP10타겟커버드콜</t>
        </is>
      </c>
      <c r="E304" s="288" t="n">
        <v>324996</v>
      </c>
      <c r="F304" s="342" t="n"/>
      <c r="G304" s="288" t="n">
        <v>324996</v>
      </c>
      <c r="H304" s="287" t="inlineStr">
        <is>
          <t>예측</t>
        </is>
      </c>
    </row>
    <row r="305">
      <c r="A305" s="344" t="n">
        <v>46325</v>
      </c>
      <c r="B305" s="287" t="n">
        <v>10</v>
      </c>
      <c r="C305" s="287" t="inlineStr">
        <is>
          <t>498410</t>
        </is>
      </c>
      <c r="D305" s="287" t="inlineStr">
        <is>
          <t>KODEX금융고배당TOP10타겟위클리커버드콜</t>
        </is>
      </c>
      <c r="E305" s="288" t="n">
        <v>366058</v>
      </c>
      <c r="F305" s="342" t="n"/>
      <c r="G305" s="288" t="n">
        <v>366058</v>
      </c>
      <c r="H305" s="287" t="inlineStr">
        <is>
          <t>예측</t>
        </is>
      </c>
    </row>
    <row r="306">
      <c r="A306" s="344" t="n">
        <v>46326</v>
      </c>
      <c r="B306" s="287" t="n">
        <v>10</v>
      </c>
      <c r="C306" s="287" t="inlineStr">
        <is>
          <t>0219E0</t>
        </is>
      </c>
      <c r="D306" s="287" t="inlineStr">
        <is>
          <t>KODEX 200커버드콜액티브</t>
        </is>
      </c>
      <c r="E306" s="288" t="n">
        <v>192168</v>
      </c>
      <c r="F306" s="342" t="n"/>
      <c r="G306" s="288" t="n">
        <v>192168</v>
      </c>
      <c r="H306" s="287" t="inlineStr">
        <is>
          <t>예측</t>
        </is>
      </c>
    </row>
    <row r="307">
      <c r="A307" s="344" t="n">
        <v>46335</v>
      </c>
      <c r="B307" s="287" t="n">
        <v>11</v>
      </c>
      <c r="C307" s="287" t="inlineStr">
        <is>
          <t>AAPL</t>
        </is>
      </c>
      <c r="D307" s="287" t="inlineStr">
        <is>
          <t>애플</t>
        </is>
      </c>
      <c r="E307" s="288" t="n"/>
      <c r="F307" s="342" t="n">
        <v>2.295</v>
      </c>
      <c r="G307" s="288" t="n">
        <v>3164.805</v>
      </c>
      <c r="H307" s="287" t="inlineStr">
        <is>
          <t>예측</t>
        </is>
      </c>
    </row>
    <row r="308">
      <c r="A308" s="344" t="n">
        <v>46339</v>
      </c>
      <c r="B308" s="287" t="n">
        <v>11</v>
      </c>
      <c r="C308" s="287" t="inlineStr">
        <is>
          <t>0008S0</t>
        </is>
      </c>
      <c r="D308" s="287" t="inlineStr">
        <is>
          <t>TIGER 미국배당다우존스타겟데일리커버드콜</t>
        </is>
      </c>
      <c r="E308" s="288" t="n">
        <v>267000</v>
      </c>
      <c r="F308" s="342" t="n"/>
      <c r="G308" s="288" t="n">
        <v>267000</v>
      </c>
      <c r="H308" s="287" t="inlineStr">
        <is>
          <t>예측</t>
        </is>
      </c>
    </row>
    <row r="309">
      <c r="A309" s="344" t="n">
        <v>46339</v>
      </c>
      <c r="B309" s="287" t="n">
        <v>11</v>
      </c>
      <c r="C309" s="287" t="n">
        <v>105560</v>
      </c>
      <c r="D309" s="287" t="inlineStr">
        <is>
          <t>KB금융</t>
        </is>
      </c>
      <c r="E309" s="288" t="n">
        <v>11160</v>
      </c>
      <c r="F309" s="342" t="n"/>
      <c r="G309" s="288" t="n">
        <v>11160</v>
      </c>
      <c r="H309" s="287" t="inlineStr">
        <is>
          <t>예측</t>
        </is>
      </c>
    </row>
    <row r="310">
      <c r="A310" s="344" t="n">
        <v>46339</v>
      </c>
      <c r="B310" s="287" t="n">
        <v>11</v>
      </c>
      <c r="C310" s="287" t="inlineStr">
        <is>
          <t>498400</t>
        </is>
      </c>
      <c r="D310" s="287" t="inlineStr">
        <is>
          <t>KODEX 200타켓위클리커버드콜</t>
        </is>
      </c>
      <c r="E310" s="288" t="n">
        <v>119756</v>
      </c>
      <c r="F310" s="342" t="n"/>
      <c r="G310" s="288" t="n">
        <v>119756</v>
      </c>
      <c r="H310" s="287" t="inlineStr">
        <is>
          <t>예측</t>
        </is>
      </c>
    </row>
    <row r="311">
      <c r="A311" s="344" t="n">
        <v>46340</v>
      </c>
      <c r="B311" s="287" t="n">
        <v>11</v>
      </c>
      <c r="C311" s="287" t="inlineStr">
        <is>
          <t>474220</t>
        </is>
      </c>
      <c r="D311" s="287" t="inlineStr">
        <is>
          <t>TIGER미국테크TOP10커버드콜</t>
        </is>
      </c>
      <c r="E311" s="288" t="n">
        <v>570000</v>
      </c>
      <c r="F311" s="342" t="n"/>
      <c r="G311" s="288" t="n">
        <v>570000</v>
      </c>
      <c r="H311" s="287" t="inlineStr">
        <is>
          <t>예측</t>
        </is>
      </c>
    </row>
    <row r="312">
      <c r="A312" s="344" t="n">
        <v>46340</v>
      </c>
      <c r="B312" s="287" t="n">
        <v>11</v>
      </c>
      <c r="C312" s="287" t="inlineStr">
        <is>
          <t>481060</t>
        </is>
      </c>
      <c r="D312" s="287" t="inlineStr">
        <is>
          <t>KODEX 미국30년국채타겟커버드콜(H)</t>
        </is>
      </c>
      <c r="E312" s="288" t="n">
        <v>278460</v>
      </c>
      <c r="F312" s="342" t="n"/>
      <c r="G312" s="288" t="n">
        <v>278460</v>
      </c>
      <c r="H312" s="287" t="inlineStr">
        <is>
          <t>예측</t>
        </is>
      </c>
    </row>
    <row r="313">
      <c r="A313" s="344" t="n">
        <v>46340</v>
      </c>
      <c r="B313" s="287" t="n">
        <v>11</v>
      </c>
      <c r="C313" s="287" t="inlineStr">
        <is>
          <t>490490</t>
        </is>
      </c>
      <c r="D313" s="287" t="inlineStr">
        <is>
          <t>SOL미국배당미국채혼합50</t>
        </is>
      </c>
      <c r="E313" s="288" t="n">
        <v>122272</v>
      </c>
      <c r="F313" s="342" t="n"/>
      <c r="G313" s="288" t="n">
        <v>122272</v>
      </c>
      <c r="H313" s="287" t="inlineStr">
        <is>
          <t>예측</t>
        </is>
      </c>
    </row>
    <row r="314">
      <c r="A314" s="344" t="n">
        <v>46340</v>
      </c>
      <c r="B314" s="287" t="n">
        <v>11</v>
      </c>
      <c r="C314" s="287" t="inlineStr">
        <is>
          <t>O</t>
        </is>
      </c>
      <c r="D314" s="287" t="inlineStr">
        <is>
          <t>리얼티인컴</t>
        </is>
      </c>
      <c r="E314" s="288" t="n"/>
      <c r="F314" s="342" t="n">
        <v>14.151</v>
      </c>
      <c r="G314" s="288" t="n">
        <v>19514.229</v>
      </c>
      <c r="H314" s="287" t="inlineStr">
        <is>
          <t>예측</t>
        </is>
      </c>
    </row>
    <row r="315">
      <c r="A315" s="344" t="n">
        <v>46340</v>
      </c>
      <c r="B315" s="287" t="n">
        <v>11</v>
      </c>
      <c r="C315" s="287" t="inlineStr">
        <is>
          <t>SBUX</t>
        </is>
      </c>
      <c r="D315" s="287" t="inlineStr">
        <is>
          <t>스타벅스</t>
        </is>
      </c>
      <c r="E315" s="288" t="n"/>
      <c r="F315" s="342" t="n">
        <v>1.23</v>
      </c>
      <c r="G315" s="288" t="n">
        <v>1696.17</v>
      </c>
      <c r="H315" s="287" t="inlineStr">
        <is>
          <t>예측</t>
        </is>
      </c>
    </row>
    <row r="316">
      <c r="A316" s="344" t="n">
        <v>46340</v>
      </c>
      <c r="B316" s="287" t="n">
        <v>11</v>
      </c>
      <c r="C316" s="287" t="inlineStr">
        <is>
          <t>XOM</t>
        </is>
      </c>
      <c r="D316" s="287" t="inlineStr">
        <is>
          <t>엑슨모빌</t>
        </is>
      </c>
      <c r="E316" s="288" t="n"/>
      <c r="F316" s="342" t="n">
        <v>1.01</v>
      </c>
      <c r="G316" s="288" t="n">
        <v>1392.79</v>
      </c>
      <c r="H316" s="287" t="inlineStr">
        <is>
          <t>예측</t>
        </is>
      </c>
    </row>
    <row r="317">
      <c r="A317" s="344" t="n">
        <v>46344</v>
      </c>
      <c r="B317" s="287" t="n">
        <v>11</v>
      </c>
      <c r="C317" s="287" t="inlineStr">
        <is>
          <t>CVX</t>
        </is>
      </c>
      <c r="D317" s="287" t="inlineStr">
        <is>
          <t>셰브론</t>
        </is>
      </c>
      <c r="E317" s="288" t="n"/>
      <c r="F317" s="342" t="n">
        <v>1.67</v>
      </c>
      <c r="G317" s="288" t="n">
        <v>2302.93</v>
      </c>
      <c r="H317" s="287" t="inlineStr">
        <is>
          <t>예측</t>
        </is>
      </c>
    </row>
    <row r="318">
      <c r="A318" s="344" t="n">
        <v>46346</v>
      </c>
      <c r="B318" s="287" t="n">
        <v>11</v>
      </c>
      <c r="C318" s="287" t="inlineStr">
        <is>
          <t>MSFT</t>
        </is>
      </c>
      <c r="D318" s="287" t="inlineStr">
        <is>
          <t>마이크로소프트</t>
        </is>
      </c>
      <c r="E318" s="288" t="n"/>
      <c r="F318" s="342" t="n">
        <v>1.74</v>
      </c>
      <c r="G318" s="288" t="n">
        <v>2399.46</v>
      </c>
      <c r="H318" s="287" t="inlineStr">
        <is>
          <t>예측</t>
        </is>
      </c>
    </row>
    <row r="319">
      <c r="A319" s="344" t="n">
        <v>46352</v>
      </c>
      <c r="B319" s="287" t="n">
        <v>11</v>
      </c>
      <c r="C319" s="287" t="inlineStr">
        <is>
          <t>TMUS</t>
        </is>
      </c>
      <c r="D319" s="287" t="inlineStr">
        <is>
          <t>T-모바일</t>
        </is>
      </c>
      <c r="E319" s="288" t="n"/>
      <c r="F319" s="342" t="n">
        <v>3.8</v>
      </c>
      <c r="G319" s="288" t="n">
        <v>5240.2</v>
      </c>
      <c r="H319" s="287" t="inlineStr">
        <is>
          <t>예측</t>
        </is>
      </c>
    </row>
    <row r="320">
      <c r="A320" s="344" t="n">
        <v>46353</v>
      </c>
      <c r="B320" s="287" t="n">
        <v>11</v>
      </c>
      <c r="C320" s="287" t="inlineStr">
        <is>
          <t>005389</t>
        </is>
      </c>
      <c r="D320" s="287" t="inlineStr">
        <is>
          <t>현대차3우B</t>
        </is>
      </c>
      <c r="E320" s="288" t="n">
        <v>32500</v>
      </c>
      <c r="F320" s="342" t="n"/>
      <c r="G320" s="288" t="n">
        <v>32500</v>
      </c>
      <c r="H320" s="287" t="inlineStr">
        <is>
          <t>예측</t>
        </is>
      </c>
    </row>
    <row r="321">
      <c r="A321" s="344" t="n">
        <v>46353</v>
      </c>
      <c r="B321" s="287" t="n">
        <v>11</v>
      </c>
      <c r="C321" s="287" t="inlineStr">
        <is>
          <t>472170</t>
        </is>
      </c>
      <c r="D321" s="287" t="inlineStr">
        <is>
          <t>TIGER 미국테크TOP10채권혼합</t>
        </is>
      </c>
      <c r="E321" s="288" t="n">
        <v>100521</v>
      </c>
      <c r="F321" s="342" t="n"/>
      <c r="G321" s="288" t="n">
        <v>100521</v>
      </c>
      <c r="H321" s="287" t="inlineStr">
        <is>
          <t>예측</t>
        </is>
      </c>
    </row>
    <row r="322">
      <c r="A322" s="344" t="n">
        <v>46353</v>
      </c>
      <c r="B322" s="287" t="n">
        <v>11</v>
      </c>
      <c r="C322" s="287" t="inlineStr">
        <is>
          <t>498410</t>
        </is>
      </c>
      <c r="D322" s="287" t="inlineStr">
        <is>
          <t>KODEX금융고배당TOP10타겟위클리커버드콜</t>
        </is>
      </c>
      <c r="E322" s="288" t="n">
        <v>366058</v>
      </c>
      <c r="F322" s="342" t="n"/>
      <c r="G322" s="288" t="n">
        <v>366058</v>
      </c>
      <c r="H322" s="287" t="inlineStr">
        <is>
          <t>예측</t>
        </is>
      </c>
    </row>
    <row r="323">
      <c r="A323" s="344" t="n">
        <v>46354</v>
      </c>
      <c r="B323" s="287" t="n">
        <v>11</v>
      </c>
      <c r="C323" s="287" t="inlineStr">
        <is>
          <t>329200</t>
        </is>
      </c>
      <c r="D323" s="287" t="inlineStr">
        <is>
          <t>TIGER리츠부동산인프라</t>
        </is>
      </c>
      <c r="E323" s="288" t="n">
        <v>107500</v>
      </c>
      <c r="F323" s="342" t="n"/>
      <c r="G323" s="288" t="n">
        <v>107500</v>
      </c>
      <c r="H323" s="287" t="inlineStr">
        <is>
          <t>예측</t>
        </is>
      </c>
    </row>
    <row r="324">
      <c r="A324" s="344" t="n">
        <v>46354</v>
      </c>
      <c r="B324" s="287" t="n">
        <v>11</v>
      </c>
      <c r="C324" s="287" t="inlineStr">
        <is>
          <t>433330</t>
        </is>
      </c>
      <c r="D324" s="287" t="inlineStr">
        <is>
          <t>SOL 미국 S&amp;P500</t>
        </is>
      </c>
      <c r="E324" s="288" t="n">
        <v>22295</v>
      </c>
      <c r="F324" s="342" t="n"/>
      <c r="G324" s="288" t="n">
        <v>22295</v>
      </c>
      <c r="H324" s="287" t="inlineStr">
        <is>
          <t>예측</t>
        </is>
      </c>
    </row>
    <row r="325">
      <c r="A325" s="344" t="n">
        <v>46354</v>
      </c>
      <c r="B325" s="287" t="n">
        <v>11</v>
      </c>
      <c r="C325" s="287" t="inlineStr">
        <is>
          <t>446720</t>
        </is>
      </c>
      <c r="D325" s="287" t="inlineStr">
        <is>
          <t>SOL 미국배당다우존스</t>
        </is>
      </c>
      <c r="E325" s="288" t="n">
        <v>53865</v>
      </c>
      <c r="F325" s="342" t="n"/>
      <c r="G325" s="288" t="n">
        <v>53865</v>
      </c>
      <c r="H325" s="287" t="inlineStr">
        <is>
          <t>예측</t>
        </is>
      </c>
    </row>
    <row r="326">
      <c r="A326" s="344" t="n">
        <v>46354</v>
      </c>
      <c r="B326" s="287" t="n">
        <v>11</v>
      </c>
      <c r="C326" s="287" t="inlineStr">
        <is>
          <t>458760</t>
        </is>
      </c>
      <c r="D326" s="287" t="inlineStr">
        <is>
          <t>TIGER 미배당다우커버드콜2호</t>
        </is>
      </c>
      <c r="E326" s="288" t="n">
        <v>1435506</v>
      </c>
      <c r="F326" s="342" t="n"/>
      <c r="G326" s="288" t="n">
        <v>1435506</v>
      </c>
      <c r="H326" s="287" t="inlineStr">
        <is>
          <t>예측</t>
        </is>
      </c>
    </row>
    <row r="327">
      <c r="A327" s="344" t="n">
        <v>46354</v>
      </c>
      <c r="B327" s="287" t="n">
        <v>11</v>
      </c>
      <c r="C327" s="287" t="inlineStr">
        <is>
          <t>468380</t>
        </is>
      </c>
      <c r="D327" s="287" t="inlineStr">
        <is>
          <t>KODEX iShares미국하이일드액티브</t>
        </is>
      </c>
      <c r="E327" s="288" t="n">
        <v>124000</v>
      </c>
      <c r="F327" s="342" t="n"/>
      <c r="G327" s="288" t="n">
        <v>124000</v>
      </c>
      <c r="H327" s="287" t="inlineStr">
        <is>
          <t>예측</t>
        </is>
      </c>
    </row>
    <row r="328">
      <c r="A328" s="344" t="n">
        <v>46354</v>
      </c>
      <c r="B328" s="287" t="n">
        <v>11</v>
      </c>
      <c r="C328" s="287" t="inlineStr">
        <is>
          <t>473330</t>
        </is>
      </c>
      <c r="D328" s="287" t="inlineStr">
        <is>
          <t>SOL 미국 30년국채커버드콜(합성)</t>
        </is>
      </c>
      <c r="E328" s="288" t="n">
        <v>108000</v>
      </c>
      <c r="F328" s="342" t="n"/>
      <c r="G328" s="288" t="n">
        <v>108000</v>
      </c>
      <c r="H328" s="287" t="inlineStr">
        <is>
          <t>예측</t>
        </is>
      </c>
    </row>
    <row r="329">
      <c r="A329" s="344" t="n">
        <v>46354</v>
      </c>
      <c r="B329" s="287" t="n">
        <v>11</v>
      </c>
      <c r="C329" s="287" t="inlineStr">
        <is>
          <t>475380</t>
        </is>
      </c>
      <c r="D329" s="287" t="inlineStr">
        <is>
          <t>RISE 글로벌리얼티인컴</t>
        </is>
      </c>
      <c r="E329" s="288" t="n">
        <v>3737</v>
      </c>
      <c r="F329" s="342" t="n"/>
      <c r="G329" s="288" t="n">
        <v>3737</v>
      </c>
      <c r="H329" s="287" t="inlineStr">
        <is>
          <t>예측</t>
        </is>
      </c>
    </row>
    <row r="330">
      <c r="A330" s="344" t="n">
        <v>46354</v>
      </c>
      <c r="B330" s="287" t="n">
        <v>11</v>
      </c>
      <c r="C330" s="287" t="inlineStr">
        <is>
          <t>476550</t>
        </is>
      </c>
      <c r="D330" s="287" t="inlineStr">
        <is>
          <t>TIGER 미국30년국채커버드콜액티브(H)</t>
        </is>
      </c>
      <c r="E330" s="288" t="n">
        <v>37066</v>
      </c>
      <c r="F330" s="342" t="n"/>
      <c r="G330" s="288" t="n">
        <v>37066</v>
      </c>
      <c r="H330" s="287" t="inlineStr">
        <is>
          <t>예측</t>
        </is>
      </c>
    </row>
    <row r="331">
      <c r="A331" s="344" t="n">
        <v>46354</v>
      </c>
      <c r="B331" s="287" t="n">
        <v>11</v>
      </c>
      <c r="C331" s="287" t="inlineStr">
        <is>
          <t>476690</t>
        </is>
      </c>
      <c r="D331" s="287" t="inlineStr">
        <is>
          <t>TIGER 글로벌비만치료제 TOP2 Plus</t>
        </is>
      </c>
      <c r="E331" s="288" t="n">
        <v>1200</v>
      </c>
      <c r="F331" s="342" t="n"/>
      <c r="G331" s="288" t="n">
        <v>1200</v>
      </c>
      <c r="H331" s="287" t="inlineStr">
        <is>
          <t>예측</t>
        </is>
      </c>
    </row>
    <row r="332">
      <c r="A332" s="344" t="n">
        <v>46354</v>
      </c>
      <c r="B332" s="287" t="n">
        <v>11</v>
      </c>
      <c r="C332" s="287" t="inlineStr">
        <is>
          <t>482730</t>
        </is>
      </c>
      <c r="D332" s="287" t="inlineStr">
        <is>
          <t>미국S&amp;P500타겟데일리커버드콜</t>
        </is>
      </c>
      <c r="E332" s="288" t="n">
        <v>40800</v>
      </c>
      <c r="F332" s="342" t="n"/>
      <c r="G332" s="288" t="n">
        <v>40800</v>
      </c>
      <c r="H332" s="287" t="inlineStr">
        <is>
          <t>예측</t>
        </is>
      </c>
    </row>
    <row r="333">
      <c r="A333" s="344" t="n">
        <v>46354</v>
      </c>
      <c r="B333" s="287" t="n">
        <v>11</v>
      </c>
      <c r="C333" s="287" t="inlineStr">
        <is>
          <t>483280</t>
        </is>
      </c>
      <c r="D333" s="287" t="inlineStr">
        <is>
          <t>KODEX 미국AI테크TOP10타겟커버드콜</t>
        </is>
      </c>
      <c r="E333" s="288" t="n">
        <v>329448</v>
      </c>
      <c r="F333" s="342" t="n"/>
      <c r="G333" s="288" t="n">
        <v>329448</v>
      </c>
      <c r="H333" s="287" t="inlineStr">
        <is>
          <t>예측</t>
        </is>
      </c>
    </row>
    <row r="334">
      <c r="A334" s="344" t="n">
        <v>46356</v>
      </c>
      <c r="B334" s="287" t="n">
        <v>11</v>
      </c>
      <c r="C334" s="287" t="inlineStr">
        <is>
          <t>0219E0</t>
        </is>
      </c>
      <c r="D334" s="287" t="inlineStr">
        <is>
          <t>KODEX 200커버드콜액티브</t>
        </is>
      </c>
      <c r="E334" s="288" t="n">
        <v>192168</v>
      </c>
      <c r="F334" s="342" t="n"/>
      <c r="G334" s="288" t="n">
        <v>192168</v>
      </c>
      <c r="H334" s="287" t="inlineStr">
        <is>
          <t>예측</t>
        </is>
      </c>
    </row>
    <row r="335">
      <c r="A335" s="344" t="n">
        <v>46358</v>
      </c>
      <c r="B335" s="287" t="n">
        <v>12</v>
      </c>
      <c r="C335" s="287" t="inlineStr">
        <is>
          <t>NKE</t>
        </is>
      </c>
      <c r="D335" s="287" t="inlineStr">
        <is>
          <t>나이키</t>
        </is>
      </c>
      <c r="E335" s="288" t="n"/>
      <c r="F335" s="342" t="n">
        <v>4.05</v>
      </c>
      <c r="G335" s="288" t="n">
        <v>5584.95</v>
      </c>
      <c r="H335" s="287" t="inlineStr">
        <is>
          <t>예측</t>
        </is>
      </c>
    </row>
    <row r="336">
      <c r="A336" s="344" t="n">
        <v>46366</v>
      </c>
      <c r="B336" s="287" t="n">
        <v>12</v>
      </c>
      <c r="C336" s="287" t="inlineStr">
        <is>
          <t>SCHD</t>
        </is>
      </c>
      <c r="D336" s="287" t="inlineStr">
        <is>
          <t>SCHD</t>
        </is>
      </c>
      <c r="E336" s="288" t="n"/>
      <c r="F336" s="342" t="n">
        <v>6.516</v>
      </c>
      <c r="G336" s="288" t="n">
        <v>8985.564</v>
      </c>
      <c r="H336" s="287" t="inlineStr">
        <is>
          <t>예측</t>
        </is>
      </c>
    </row>
    <row r="337">
      <c r="A337" s="344" t="n">
        <v>46368</v>
      </c>
      <c r="B337" s="287" t="n">
        <v>12</v>
      </c>
      <c r="C337" s="287" t="inlineStr">
        <is>
          <t>0008S0</t>
        </is>
      </c>
      <c r="D337" s="287" t="inlineStr">
        <is>
          <t>TIGER 미국배당다우존스타겟데일리커버드콜</t>
        </is>
      </c>
      <c r="E337" s="288" t="n">
        <v>273000</v>
      </c>
      <c r="F337" s="342" t="n"/>
      <c r="G337" s="288" t="n">
        <v>273000</v>
      </c>
      <c r="H337" s="287" t="inlineStr">
        <is>
          <t>예측</t>
        </is>
      </c>
    </row>
    <row r="338">
      <c r="A338" s="344" t="n">
        <v>46368</v>
      </c>
      <c r="B338" s="287" t="n">
        <v>12</v>
      </c>
      <c r="C338" s="287" t="inlineStr">
        <is>
          <t>474220</t>
        </is>
      </c>
      <c r="D338" s="287" t="inlineStr">
        <is>
          <t>TIGER미국테크TOP10커버드콜</t>
        </is>
      </c>
      <c r="E338" s="288" t="n">
        <v>581400</v>
      </c>
      <c r="F338" s="342" t="n"/>
      <c r="G338" s="288" t="n">
        <v>581400</v>
      </c>
      <c r="H338" s="287" t="inlineStr">
        <is>
          <t>예측</t>
        </is>
      </c>
    </row>
    <row r="339">
      <c r="A339" s="344" t="n">
        <v>46368</v>
      </c>
      <c r="B339" s="287" t="n">
        <v>12</v>
      </c>
      <c r="C339" s="287" t="inlineStr">
        <is>
          <t>481060</t>
        </is>
      </c>
      <c r="D339" s="287" t="inlineStr">
        <is>
          <t>KODEX 미국30년국채타겟커버드콜(H)</t>
        </is>
      </c>
      <c r="E339" s="288" t="n">
        <v>278460</v>
      </c>
      <c r="F339" s="342" t="n"/>
      <c r="G339" s="288" t="n">
        <v>278460</v>
      </c>
      <c r="H339" s="287" t="inlineStr">
        <is>
          <t>예측</t>
        </is>
      </c>
    </row>
    <row r="340">
      <c r="A340" s="344" t="n">
        <v>46368</v>
      </c>
      <c r="B340" s="287" t="n">
        <v>12</v>
      </c>
      <c r="C340" s="287" t="inlineStr">
        <is>
          <t>490490</t>
        </is>
      </c>
      <c r="D340" s="287" t="inlineStr">
        <is>
          <t>SOL미국배당미국채혼합50</t>
        </is>
      </c>
      <c r="E340" s="288" t="n">
        <v>114630</v>
      </c>
      <c r="F340" s="342" t="n"/>
      <c r="G340" s="288" t="n">
        <v>114630</v>
      </c>
      <c r="H340" s="287" t="inlineStr">
        <is>
          <t>예측</t>
        </is>
      </c>
    </row>
    <row r="341">
      <c r="A341" s="344" t="n">
        <v>46368</v>
      </c>
      <c r="B341" s="287" t="n">
        <v>12</v>
      </c>
      <c r="C341" s="287" t="inlineStr">
        <is>
          <t>498400</t>
        </is>
      </c>
      <c r="D341" s="287" t="inlineStr">
        <is>
          <t>KODEX 200타켓위클리커버드콜</t>
        </is>
      </c>
      <c r="E341" s="288" t="n">
        <v>119756</v>
      </c>
      <c r="F341" s="342" t="n"/>
      <c r="G341" s="288" t="n">
        <v>119756</v>
      </c>
      <c r="H341" s="287" t="inlineStr">
        <is>
          <t>예측</t>
        </is>
      </c>
    </row>
    <row r="342">
      <c r="A342" s="344" t="n">
        <v>46368</v>
      </c>
      <c r="B342" s="287" t="n">
        <v>12</v>
      </c>
      <c r="C342" s="287" t="inlineStr">
        <is>
          <t>TSM</t>
        </is>
      </c>
      <c r="D342" s="287" t="inlineStr">
        <is>
          <t>TSMC</t>
        </is>
      </c>
      <c r="E342" s="288" t="n"/>
      <c r="F342" s="342" t="n">
        <v>0.7255</v>
      </c>
      <c r="G342" s="288" t="n">
        <v>1000.4645</v>
      </c>
      <c r="H342" s="287" t="inlineStr">
        <is>
          <t>예측</t>
        </is>
      </c>
    </row>
    <row r="343">
      <c r="A343" s="344" t="n">
        <v>46372</v>
      </c>
      <c r="B343" s="287" t="n">
        <v>12</v>
      </c>
      <c r="C343" s="287" t="inlineStr">
        <is>
          <t>O</t>
        </is>
      </c>
      <c r="D343" s="287" t="inlineStr">
        <is>
          <t>리얼티인컴</t>
        </is>
      </c>
      <c r="E343" s="288" t="n"/>
      <c r="F343" s="342" t="n">
        <v>14.151</v>
      </c>
      <c r="G343" s="288" t="n">
        <v>19514.229</v>
      </c>
      <c r="H343" s="287" t="inlineStr">
        <is>
          <t>예측</t>
        </is>
      </c>
    </row>
    <row r="344">
      <c r="A344" s="344" t="n">
        <v>46380</v>
      </c>
      <c r="B344" s="287" t="n">
        <v>12</v>
      </c>
      <c r="C344" s="287" t="inlineStr">
        <is>
          <t>QLD</t>
        </is>
      </c>
      <c r="D344" s="287" t="inlineStr">
        <is>
          <t>QLD</t>
        </is>
      </c>
      <c r="E344" s="288" t="n"/>
      <c r="F344" s="342" t="n">
        <v>1.1502</v>
      </c>
      <c r="G344" s="288" t="n">
        <v>1586.1258</v>
      </c>
      <c r="H344" s="287" t="inlineStr">
        <is>
          <t>예측</t>
        </is>
      </c>
    </row>
    <row r="345">
      <c r="A345" s="344" t="n">
        <v>46383</v>
      </c>
      <c r="B345" s="287" t="n">
        <v>12</v>
      </c>
      <c r="C345" s="287" t="inlineStr">
        <is>
          <t>472170</t>
        </is>
      </c>
      <c r="D345" s="287" t="inlineStr">
        <is>
          <t>TIGER 미국테크TOP10채권혼합</t>
        </is>
      </c>
      <c r="E345" s="288" t="n">
        <v>473040</v>
      </c>
      <c r="F345" s="342" t="n"/>
      <c r="G345" s="288" t="n">
        <v>473040</v>
      </c>
      <c r="H345" s="287" t="inlineStr">
        <is>
          <t>예측</t>
        </is>
      </c>
    </row>
    <row r="346">
      <c r="A346" s="344" t="n">
        <v>46384</v>
      </c>
      <c r="B346" s="287" t="n">
        <v>12</v>
      </c>
      <c r="C346" s="287" t="inlineStr">
        <is>
          <t>005930</t>
        </is>
      </c>
      <c r="D346" s="287" t="inlineStr">
        <is>
          <t>삼성전자</t>
        </is>
      </c>
      <c r="E346" s="288" t="n">
        <v>45986</v>
      </c>
      <c r="F346" s="342" t="n"/>
      <c r="G346" s="288" t="n">
        <v>45986</v>
      </c>
      <c r="H346" s="287" t="inlineStr">
        <is>
          <t>예측</t>
        </is>
      </c>
    </row>
    <row r="347">
      <c r="A347" s="344" t="n">
        <v>46384</v>
      </c>
      <c r="B347" s="287" t="n">
        <v>12</v>
      </c>
      <c r="C347" s="287" t="inlineStr">
        <is>
          <t>329200</t>
        </is>
      </c>
      <c r="D347" s="287" t="inlineStr">
        <is>
          <t>TIGER리츠부동산인프라</t>
        </is>
      </c>
      <c r="E347" s="288" t="n">
        <v>120000</v>
      </c>
      <c r="F347" s="342" t="n"/>
      <c r="G347" s="288" t="n">
        <v>120000</v>
      </c>
      <c r="H347" s="287" t="inlineStr">
        <is>
          <t>예측</t>
        </is>
      </c>
    </row>
    <row r="348">
      <c r="A348" s="344" t="n">
        <v>46384</v>
      </c>
      <c r="B348" s="287" t="n">
        <v>12</v>
      </c>
      <c r="C348" s="287" t="inlineStr">
        <is>
          <t>433330</t>
        </is>
      </c>
      <c r="D348" s="287" t="inlineStr">
        <is>
          <t>SOL 미국 S&amp;P500</t>
        </is>
      </c>
      <c r="E348" s="288" t="n">
        <v>22932</v>
      </c>
      <c r="F348" s="342" t="n"/>
      <c r="G348" s="288" t="n">
        <v>22932</v>
      </c>
      <c r="H348" s="287" t="inlineStr">
        <is>
          <t>예측</t>
        </is>
      </c>
    </row>
    <row r="349">
      <c r="A349" s="344" t="n">
        <v>46384</v>
      </c>
      <c r="B349" s="287" t="n">
        <v>12</v>
      </c>
      <c r="C349" s="287" t="inlineStr">
        <is>
          <t>446720</t>
        </is>
      </c>
      <c r="D349" s="287" t="inlineStr">
        <is>
          <t>SOL 미국배당다우존스</t>
        </is>
      </c>
      <c r="E349" s="288" t="n">
        <v>47880</v>
      </c>
      <c r="F349" s="342" t="n"/>
      <c r="G349" s="288" t="n">
        <v>47880</v>
      </c>
      <c r="H349" s="287" t="inlineStr">
        <is>
          <t>예측</t>
        </is>
      </c>
    </row>
    <row r="350">
      <c r="A350" s="344" t="n">
        <v>46384</v>
      </c>
      <c r="B350" s="287" t="n">
        <v>12</v>
      </c>
      <c r="C350" s="287" t="inlineStr">
        <is>
          <t>458760</t>
        </is>
      </c>
      <c r="D350" s="287" t="inlineStr">
        <is>
          <t>TIGER 미배당다우커버드콜2호</t>
        </is>
      </c>
      <c r="E350" s="288" t="n">
        <v>1412476</v>
      </c>
      <c r="F350" s="342" t="n"/>
      <c r="G350" s="288" t="n">
        <v>1412476</v>
      </c>
      <c r="H350" s="287" t="inlineStr">
        <is>
          <t>예측</t>
        </is>
      </c>
    </row>
    <row r="351">
      <c r="A351" s="344" t="n">
        <v>46384</v>
      </c>
      <c r="B351" s="287" t="n">
        <v>12</v>
      </c>
      <c r="C351" s="287" t="inlineStr">
        <is>
          <t>468380</t>
        </is>
      </c>
      <c r="D351" s="287" t="inlineStr">
        <is>
          <t>KODEX iShares미국하이일드액티브</t>
        </is>
      </c>
      <c r="E351" s="288" t="n">
        <v>133000</v>
      </c>
      <c r="F351" s="342" t="n"/>
      <c r="G351" s="288" t="n">
        <v>133000</v>
      </c>
      <c r="H351" s="287" t="inlineStr">
        <is>
          <t>예측</t>
        </is>
      </c>
    </row>
    <row r="352">
      <c r="A352" s="344" t="n">
        <v>46384</v>
      </c>
      <c r="B352" s="287" t="n">
        <v>12</v>
      </c>
      <c r="C352" s="287" t="inlineStr">
        <is>
          <t>473330</t>
        </is>
      </c>
      <c r="D352" s="287" t="inlineStr">
        <is>
          <t>SOL 미국 30년국채커버드콜(합성)</t>
        </is>
      </c>
      <c r="E352" s="288" t="n">
        <v>129600</v>
      </c>
      <c r="F352" s="342" t="n"/>
      <c r="G352" s="288" t="n">
        <v>129600</v>
      </c>
      <c r="H352" s="287" t="inlineStr">
        <is>
          <t>예측</t>
        </is>
      </c>
    </row>
    <row r="353">
      <c r="A353" s="344" t="n">
        <v>46384</v>
      </c>
      <c r="B353" s="287" t="n">
        <v>12</v>
      </c>
      <c r="C353" s="287" t="inlineStr">
        <is>
          <t>475380</t>
        </is>
      </c>
      <c r="D353" s="287" t="inlineStr">
        <is>
          <t>RISE 글로벌리얼티인컴</t>
        </is>
      </c>
      <c r="E353" s="288" t="n">
        <v>3737</v>
      </c>
      <c r="F353" s="342" t="n"/>
      <c r="G353" s="288" t="n">
        <v>3737</v>
      </c>
      <c r="H353" s="287" t="inlineStr">
        <is>
          <t>예측</t>
        </is>
      </c>
    </row>
    <row r="354">
      <c r="A354" s="344" t="n">
        <v>46384</v>
      </c>
      <c r="B354" s="287" t="n">
        <v>12</v>
      </c>
      <c r="C354" s="287" t="inlineStr">
        <is>
          <t>476550</t>
        </is>
      </c>
      <c r="D354" s="287" t="inlineStr">
        <is>
          <t>TIGER 미국30년국채커버드콜액티브(H)</t>
        </is>
      </c>
      <c r="E354" s="288" t="n">
        <v>34911</v>
      </c>
      <c r="F354" s="342" t="n"/>
      <c r="G354" s="288" t="n">
        <v>34911</v>
      </c>
      <c r="H354" s="287" t="inlineStr">
        <is>
          <t>예측</t>
        </is>
      </c>
    </row>
    <row r="355">
      <c r="A355" s="344" t="n">
        <v>46384</v>
      </c>
      <c r="B355" s="287" t="n">
        <v>12</v>
      </c>
      <c r="C355" s="287" t="inlineStr">
        <is>
          <t>476690</t>
        </is>
      </c>
      <c r="D355" s="287" t="inlineStr">
        <is>
          <t>TIGER 글로벌비만치료제 TOP2 Plus</t>
        </is>
      </c>
      <c r="E355" s="288" t="n">
        <v>1350</v>
      </c>
      <c r="F355" s="342" t="n"/>
      <c r="G355" s="288" t="n">
        <v>1350</v>
      </c>
      <c r="H355" s="287" t="inlineStr">
        <is>
          <t>예측</t>
        </is>
      </c>
    </row>
    <row r="356">
      <c r="A356" s="344" t="n">
        <v>46384</v>
      </c>
      <c r="B356" s="287" t="n">
        <v>12</v>
      </c>
      <c r="C356" s="287" t="inlineStr">
        <is>
          <t>482730</t>
        </is>
      </c>
      <c r="D356" s="287" t="inlineStr">
        <is>
          <t>미국S&amp;P500타겟데일리커버드콜</t>
        </is>
      </c>
      <c r="E356" s="288" t="n">
        <v>41650</v>
      </c>
      <c r="F356" s="342" t="n"/>
      <c r="G356" s="288" t="n">
        <v>41650</v>
      </c>
      <c r="H356" s="287" t="inlineStr">
        <is>
          <t>예측</t>
        </is>
      </c>
    </row>
    <row r="357">
      <c r="A357" s="344" t="n">
        <v>46384</v>
      </c>
      <c r="B357" s="287" t="n">
        <v>12</v>
      </c>
      <c r="C357" s="287" t="inlineStr">
        <is>
          <t>483280</t>
        </is>
      </c>
      <c r="D357" s="287" t="inlineStr">
        <is>
          <t>KODEX 미국AI테크TOP10타겟커버드콜</t>
        </is>
      </c>
      <c r="E357" s="288" t="n">
        <v>342804</v>
      </c>
      <c r="F357" s="342" t="n"/>
      <c r="G357" s="288" t="n">
        <v>342804</v>
      </c>
      <c r="H357" s="287" t="inlineStr">
        <is>
          <t>예측</t>
        </is>
      </c>
    </row>
    <row r="358">
      <c r="A358" s="344" t="n">
        <v>46384</v>
      </c>
      <c r="B358" s="287" t="n">
        <v>12</v>
      </c>
      <c r="C358" s="287" t="inlineStr">
        <is>
          <t>AMT</t>
        </is>
      </c>
      <c r="D358" s="287" t="inlineStr">
        <is>
          <t>아메리칸타워</t>
        </is>
      </c>
      <c r="E358" s="288" t="n"/>
      <c r="F358" s="342" t="n">
        <v>8.300000000000001</v>
      </c>
      <c r="G358" s="288" t="n">
        <v>11445.7</v>
      </c>
      <c r="H358" s="287" t="inlineStr">
        <is>
          <t>예측</t>
        </is>
      </c>
    </row>
    <row r="359">
      <c r="A359" s="344" t="n">
        <v>46385</v>
      </c>
      <c r="B359" s="287" t="n">
        <v>12</v>
      </c>
      <c r="C359" s="287" t="inlineStr">
        <is>
          <t>381170</t>
        </is>
      </c>
      <c r="D359" s="287" t="inlineStr">
        <is>
          <t>TIGER 미국테크TOP10 INDXX</t>
        </is>
      </c>
      <c r="E359" s="288" t="n">
        <v>24871</v>
      </c>
      <c r="F359" s="342" t="n"/>
      <c r="G359" s="288" t="n">
        <v>24871</v>
      </c>
      <c r="H359" s="287" t="inlineStr">
        <is>
          <t>예측</t>
        </is>
      </c>
    </row>
    <row r="360">
      <c r="A360" s="344" t="n">
        <v>46385</v>
      </c>
      <c r="B360" s="287" t="n">
        <v>12</v>
      </c>
      <c r="C360" s="287" t="inlineStr">
        <is>
          <t>438100</t>
        </is>
      </c>
      <c r="D360" s="287" t="inlineStr">
        <is>
          <t>ACE미국나스닥100미국채혼합50액티브</t>
        </is>
      </c>
      <c r="E360" s="288" t="n">
        <v>228672</v>
      </c>
      <c r="F360" s="342" t="n"/>
      <c r="G360" s="288" t="n">
        <v>228672</v>
      </c>
      <c r="H360" s="287" t="inlineStr">
        <is>
          <t>예측</t>
        </is>
      </c>
    </row>
    <row r="361">
      <c r="A361" s="344" t="n">
        <v>46385</v>
      </c>
      <c r="B361" s="287" t="n">
        <v>12</v>
      </c>
      <c r="C361" s="287" t="inlineStr">
        <is>
          <t>457480</t>
        </is>
      </c>
      <c r="D361" s="287" t="inlineStr">
        <is>
          <t>ACE테슬라밸류체인액티브</t>
        </is>
      </c>
      <c r="E361" s="288" t="n">
        <v>184325</v>
      </c>
      <c r="F361" s="342" t="n"/>
      <c r="G361" s="288" t="n">
        <v>184325</v>
      </c>
      <c r="H361" s="287" t="inlineStr">
        <is>
          <t>예측</t>
        </is>
      </c>
    </row>
    <row r="362">
      <c r="A362" s="344" t="n">
        <v>46385</v>
      </c>
      <c r="B362" s="287" t="n">
        <v>12</v>
      </c>
      <c r="C362" s="287" t="inlineStr">
        <is>
          <t>498410</t>
        </is>
      </c>
      <c r="D362" s="287" t="inlineStr">
        <is>
          <t>KODEX금융고배당TOP10타겟위클리커버드콜</t>
        </is>
      </c>
      <c r="E362" s="288" t="n">
        <v>361304</v>
      </c>
      <c r="F362" s="342" t="n"/>
      <c r="G362" s="288" t="n">
        <v>361304</v>
      </c>
      <c r="H362" s="287" t="inlineStr">
        <is>
          <t>예측</t>
        </is>
      </c>
    </row>
    <row r="363">
      <c r="A363" s="344" t="n">
        <v>46387</v>
      </c>
      <c r="B363" s="287" t="n">
        <v>12</v>
      </c>
      <c r="C363" s="287" t="inlineStr">
        <is>
          <t>0219E0</t>
        </is>
      </c>
      <c r="D363" s="287" t="inlineStr">
        <is>
          <t>KODEX 200커버드콜액티브</t>
        </is>
      </c>
      <c r="E363" s="288" t="n">
        <v>192168</v>
      </c>
      <c r="F363" s="342" t="n"/>
      <c r="G363" s="288" t="n">
        <v>192168</v>
      </c>
      <c r="H363" s="287" t="inlineStr">
        <is>
          <t>예측</t>
        </is>
      </c>
    </row>
  </sheetData>
  <autoFilter ref="A43:H363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2026-07-19T12:57:25Z</dcterms:created>
  <dcterms:modified xmlns:dcterms="http://purl.org/dc/terms/" xmlns:xsi="http://www.w3.org/2001/XMLSchema-instance" xsi:type="dcterms:W3CDTF">2026-08-24T06:04:11Z</dcterms:modified>
  <cp:lastModifiedBy>Hyoyol Park</cp:lastModifiedBy>
</cp:coreProperties>
</file>